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pivotTables/pivotTable21.xml" ContentType="application/vnd.openxmlformats-officedocument.spreadsheetml.pivotTable+xml"/>
  <Override PartName="/xl/drawings/drawing4.xml" ContentType="application/vnd.openxmlformats-officedocument.drawing+xml"/>
  <Override PartName="/xl/tables/table1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drawings/drawing5.xml" ContentType="application/vnd.openxmlformats-officedocument.drawing+xml"/>
  <Override PartName="/xl/tables/table14.xml" ContentType="application/vnd.openxmlformats-officedocument.spreadsheetml.table+xml"/>
  <Override PartName="/xl/drawings/drawing6.xml" ContentType="application/vnd.openxmlformats-officedocument.drawing+xml"/>
  <Override PartName="/xl/tables/table15.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namedSheetViews/namedSheetView1.xml" ContentType="application/vnd.ms-excel.namedsheetviews+xml"/>
  <Override PartName="/xl/tables/table16.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drawings/drawing7.xml" ContentType="application/vnd.openxmlformats-officedocument.drawing+xml"/>
  <Override PartName="/xl/tables/table17.xml" ContentType="application/vnd.openxmlformats-officedocument.spreadsheetml.table+xml"/>
  <Override PartName="/xl/drawings/drawing8.xml" ContentType="application/vnd.openxmlformats-officedocument.drawing+xml"/>
  <Override PartName="/xl/tables/table18.xml" ContentType="application/vnd.openxmlformats-officedocument.spreadsheetml.table+xml"/>
  <Override PartName="/xl/drawings/drawing9.xml" ContentType="application/vnd.openxmlformats-officedocument.drawing+xml"/>
  <Override PartName="/xl/tables/table19.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drawings/drawing10.xml" ContentType="application/vnd.openxmlformats-officedocument.drawing+xml"/>
  <Override PartName="/xl/tables/table20.xml" ContentType="application/vnd.openxmlformats-officedocument.spreadsheetml.table+xml"/>
  <Override PartName="/xl/drawings/drawing11.xml" ContentType="application/vnd.openxmlformats-officedocument.drawing+xml"/>
  <Override PartName="/xl/tables/table21.xml" ContentType="application/vnd.openxmlformats-officedocument.spreadsheetml.table+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queryTables/queryTable3.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kotrik.sharepoint.com/sites/FINANCEIRO-Financeiro/Shared Documents/Financeiro privado/4. Folha de pagamento/2026/2. Fevereiro/"/>
    </mc:Choice>
  </mc:AlternateContent>
  <xr:revisionPtr revIDLastSave="2162" documentId="8_{C4F8BA60-828C-4BD6-8FFE-592852F274EF}" xr6:coauthVersionLast="47" xr6:coauthVersionMax="47" xr10:uidLastSave="{4EBBCDCB-1DCB-457F-BC02-7ECE991CBA4A}"/>
  <bookViews>
    <workbookView xWindow="-108" yWindow="-108" windowWidth="23256" windowHeight="12456" tabRatio="864" firstSheet="5" activeTab="11" xr2:uid="{F080B513-6563-4980-8F1C-A1E26716E7EE}"/>
  </bookViews>
  <sheets>
    <sheet name="Colaboradores" sheetId="30" r:id="rId1"/>
    <sheet name="Analises" sheetId="66" r:id="rId2"/>
    <sheet name="Declaração salário" sheetId="79" r:id="rId3"/>
    <sheet name="TotalHorasAjustadas (2)" sheetId="88" r:id="rId4"/>
    <sheet name="Tarifas dezembro att" sheetId="78" r:id="rId5"/>
    <sheet name="Informações" sheetId="53" r:id="rId6"/>
    <sheet name="Confirmaçoes" sheetId="89" r:id="rId7"/>
    <sheet name="Hoja1" sheetId="90" r:id="rId8"/>
    <sheet name="Kotrik Industrial" sheetId="51" r:id="rId9"/>
    <sheet name="Kotrik Rosas" sheetId="50" r:id="rId10"/>
    <sheet name="Wiseowe" sheetId="52" r:id="rId11"/>
    <sheet name="Luminous" sheetId="75" r:id="rId12"/>
    <sheet name="Adiantamentos" sheetId="45" r:id="rId13"/>
    <sheet name="Outros descontos" sheetId="49" r:id="rId14"/>
    <sheet name="Alojamentos" sheetId="44" r:id="rId15"/>
    <sheet name="Carro" sheetId="46" r:id="rId16"/>
    <sheet name="Altas Rosas" sheetId="42" r:id="rId17"/>
    <sheet name="Altas Luminous" sheetId="77" r:id="rId18"/>
    <sheet name="Altas Wiseowe" sheetId="56" r:id="rId19"/>
    <sheet name="Altas Industrial" sheetId="41" r:id="rId20"/>
    <sheet name="Iban" sheetId="48" r:id="rId21"/>
  </sheets>
  <definedNames>
    <definedName name="_xlnm._FilterDatabase" localSheetId="18" hidden="1">'Altas Wiseowe'!$B$3:$E$51</definedName>
    <definedName name="_xlnm._FilterDatabase" localSheetId="13" hidden="1">'Outros descontos'!$A$2:$W$2</definedName>
    <definedName name="_xlnm.Print_Area" localSheetId="1">Analises!$A$2:$T$33</definedName>
    <definedName name="_xlnm.Print_Area" localSheetId="2">'Declaração salário'!$D$1:$N$178</definedName>
    <definedName name="_xlnm.Print_Area" localSheetId="5">Informações!$A$2:$T$32</definedName>
    <definedName name="clCompletado">#REF!</definedName>
    <definedName name="clConRetraso">#REF!</definedName>
    <definedName name="clEnCurso">#REF!</definedName>
    <definedName name="clPersonalizado1">#REF!</definedName>
    <definedName name="clPersonalizado2">#REF!</definedName>
    <definedName name="clPersonalizado4">#REF!</definedName>
    <definedName name="clSinComenzar">#REF!</definedName>
    <definedName name="DatosExternos_1" localSheetId="15" hidden="1">Carro!#REF!</definedName>
    <definedName name="DatosExternos_1" localSheetId="0" hidden="1">Colaboradores!$A$1:$L$1996</definedName>
    <definedName name="DatosExternos_1" localSheetId="20" hidden="1">Iban!$A$1:$F$2001</definedName>
    <definedName name="DatosExternos_1" localSheetId="3" hidden="1">'TotalHorasAjustadas (2)'!$A$1:$L$379</definedName>
    <definedName name="DatosExternos_2" localSheetId="20" hidden="1">Iban!#REF!</definedName>
    <definedName name="S">#REF!</definedName>
    <definedName name="SegmentaciónDeDatos_EMPRESA">#N/A</definedName>
    <definedName name="txtPersonalizado1">#REF!</definedName>
    <definedName name="txtPersonalizado2">#REF!</definedName>
    <definedName name="txtPersonalizado3">#REF!</definedName>
    <definedName name="txtPersonalizado4">#REF!</definedName>
  </definedNames>
  <calcPr calcId="191028"/>
  <pivotCaches>
    <pivotCache cacheId="0" r:id="rId22"/>
    <pivotCache cacheId="1" r:id="rId23"/>
    <pivotCache cacheId="2" r:id="rId24"/>
    <pivotCache cacheId="3" r:id="rId25"/>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8" i="51" l="1"/>
  <c r="H48" i="51" s="1"/>
  <c r="O11" i="51"/>
  <c r="L11" i="51"/>
  <c r="G11" i="51"/>
  <c r="C11" i="51"/>
  <c r="J11" i="51" s="1"/>
  <c r="AD11" i="51" s="1"/>
  <c r="AE11" i="51"/>
  <c r="P79" i="52"/>
  <c r="P80" i="52"/>
  <c r="F48" i="51" l="1"/>
  <c r="AF48" i="51"/>
  <c r="C48" i="51"/>
  <c r="J48" i="51" s="1"/>
  <c r="AD48" i="51" s="1"/>
  <c r="AE48" i="51"/>
  <c r="G48" i="51"/>
  <c r="E48" i="51"/>
  <c r="D48" i="51"/>
  <c r="AT48" i="51"/>
  <c r="P48" i="51"/>
  <c r="I48" i="51"/>
  <c r="AT11" i="51"/>
  <c r="P11" i="51"/>
  <c r="I11" i="51"/>
  <c r="H11" i="51"/>
  <c r="F11" i="51"/>
  <c r="E11" i="51"/>
  <c r="D11" i="51"/>
  <c r="AF11" i="51"/>
  <c r="L16" i="52" l="1"/>
  <c r="AT18" i="50"/>
  <c r="AT26" i="50"/>
  <c r="AT32" i="50"/>
  <c r="AT38" i="50"/>
  <c r="AT42" i="50"/>
  <c r="AT41" i="50"/>
  <c r="AT47" i="50"/>
  <c r="AT10" i="50"/>
  <c r="AT7" i="50"/>
  <c r="AT19" i="50"/>
  <c r="AT21" i="50"/>
  <c r="AT23" i="50"/>
  <c r="AT34" i="50"/>
  <c r="AT52" i="50"/>
  <c r="AT14" i="50"/>
  <c r="AT27" i="50"/>
  <c r="AT31" i="50"/>
  <c r="AT4" i="50"/>
  <c r="AT6" i="50"/>
  <c r="AT28" i="50"/>
  <c r="AT15" i="50"/>
  <c r="AT17" i="50"/>
  <c r="AT53" i="50"/>
  <c r="AT40" i="50"/>
  <c r="AT46" i="50"/>
  <c r="AT25" i="50"/>
  <c r="AT49" i="50"/>
  <c r="AT24" i="50"/>
  <c r="AT35" i="50"/>
  <c r="AT48" i="50"/>
  <c r="AT11" i="50"/>
  <c r="AT30" i="50"/>
  <c r="AT5" i="50"/>
  <c r="AT9" i="50"/>
  <c r="AT36" i="50"/>
  <c r="AT44" i="50"/>
  <c r="AT45" i="50"/>
  <c r="AT43" i="50"/>
  <c r="AT50" i="50"/>
  <c r="AT12" i="50"/>
  <c r="AT13" i="50"/>
  <c r="AT29" i="50"/>
  <c r="AT33" i="50"/>
  <c r="AT16" i="50"/>
  <c r="AT37" i="50"/>
  <c r="AT39" i="50"/>
  <c r="AT51" i="50"/>
  <c r="AT20" i="50"/>
  <c r="AT22" i="50"/>
  <c r="L72" i="52"/>
  <c r="L73" i="52"/>
  <c r="L74" i="52"/>
  <c r="L75" i="52"/>
  <c r="L76" i="52"/>
  <c r="L77" i="52"/>
  <c r="L78" i="52"/>
  <c r="L81" i="52"/>
  <c r="O72" i="52"/>
  <c r="O73" i="52"/>
  <c r="O74" i="52"/>
  <c r="O75" i="52"/>
  <c r="O76" i="52"/>
  <c r="O77" i="52"/>
  <c r="O78" i="52"/>
  <c r="O81" i="52"/>
  <c r="P72" i="52"/>
  <c r="P73" i="52"/>
  <c r="P74" i="52"/>
  <c r="P75" i="52"/>
  <c r="P76" i="52"/>
  <c r="P77" i="52"/>
  <c r="P78" i="52"/>
  <c r="P81" i="52"/>
  <c r="AE72" i="52"/>
  <c r="AE74" i="52"/>
  <c r="AE75" i="52"/>
  <c r="AE76" i="52"/>
  <c r="AE77" i="52"/>
  <c r="AE78" i="52"/>
  <c r="AE81" i="52"/>
  <c r="AT72" i="52"/>
  <c r="AT73" i="52"/>
  <c r="AT74" i="52"/>
  <c r="AT75" i="52"/>
  <c r="AT76" i="52"/>
  <c r="AT77" i="52"/>
  <c r="AT78" i="52"/>
  <c r="AT81" i="52"/>
  <c r="L116" i="75" l="1"/>
  <c r="O116" i="75"/>
  <c r="P116" i="75"/>
  <c r="AE116" i="75"/>
  <c r="AT116" i="75"/>
  <c r="Q124" i="52"/>
  <c r="Q95" i="52"/>
  <c r="B66" i="49"/>
  <c r="B24" i="49"/>
  <c r="B3" i="49"/>
  <c r="B52" i="49"/>
  <c r="B27" i="49"/>
  <c r="B47" i="49"/>
  <c r="B67" i="49"/>
  <c r="B39" i="49"/>
  <c r="B32" i="49"/>
  <c r="B53" i="49"/>
  <c r="B68" i="49"/>
  <c r="B69" i="49"/>
  <c r="B54" i="49"/>
  <c r="B6" i="49"/>
  <c r="B5" i="49"/>
  <c r="B48" i="49"/>
  <c r="B55" i="49"/>
  <c r="B49" i="49"/>
  <c r="B63" i="49"/>
  <c r="B70" i="49"/>
  <c r="B50" i="49"/>
  <c r="B4" i="49"/>
  <c r="B77" i="49"/>
  <c r="B28" i="49"/>
  <c r="B60" i="49"/>
  <c r="B33" i="49"/>
  <c r="B59" i="49"/>
  <c r="B71" i="49"/>
  <c r="B29" i="49"/>
  <c r="W29" i="49" s="1"/>
  <c r="B9" i="49"/>
  <c r="X9" i="49" s="1"/>
  <c r="B40" i="49"/>
  <c r="W40" i="49" s="1"/>
  <c r="B16" i="49"/>
  <c r="U16" i="49" s="1"/>
  <c r="B22" i="49"/>
  <c r="U22" i="49" s="1"/>
  <c r="B7" i="49"/>
  <c r="U7" i="49" s="1"/>
  <c r="B30" i="49"/>
  <c r="U30" i="49" s="1"/>
  <c r="B26" i="49"/>
  <c r="U26" i="49" s="1"/>
  <c r="B56" i="49"/>
  <c r="W56" i="49" s="1"/>
  <c r="B15" i="49"/>
  <c r="W15" i="49" s="1"/>
  <c r="B41" i="49"/>
  <c r="U41" i="49" s="1"/>
  <c r="B44" i="49"/>
  <c r="W44" i="49" s="1"/>
  <c r="B12" i="49"/>
  <c r="X12" i="49" s="1"/>
  <c r="B13" i="49"/>
  <c r="X13" i="49" s="1"/>
  <c r="B10" i="49"/>
  <c r="W10" i="49" s="1"/>
  <c r="B25" i="49"/>
  <c r="X25" i="49" s="1"/>
  <c r="B19" i="49"/>
  <c r="X19" i="49" s="1"/>
  <c r="B42" i="49"/>
  <c r="U42" i="49" s="1"/>
  <c r="B23" i="49"/>
  <c r="W23" i="49" s="1"/>
  <c r="B45" i="49"/>
  <c r="U45" i="49" s="1"/>
  <c r="B31" i="49"/>
  <c r="X31" i="49" s="1"/>
  <c r="B17" i="49"/>
  <c r="B34" i="49"/>
  <c r="W34" i="49" s="1"/>
  <c r="B14" i="49"/>
  <c r="W14" i="49" s="1"/>
  <c r="B8" i="49"/>
  <c r="W8" i="49" s="1"/>
  <c r="B72" i="49"/>
  <c r="W72" i="49" s="1"/>
  <c r="B64" i="49"/>
  <c r="U64" i="49" s="1"/>
  <c r="B20" i="49"/>
  <c r="U20" i="49" s="1"/>
  <c r="B73" i="49"/>
  <c r="U73" i="49" s="1"/>
  <c r="B11" i="49"/>
  <c r="W11" i="49" s="1"/>
  <c r="B35" i="49"/>
  <c r="X35" i="49" s="1"/>
  <c r="B57" i="49"/>
  <c r="W57" i="49" s="1"/>
  <c r="B36" i="49"/>
  <c r="W36" i="49" s="1"/>
  <c r="B37" i="49"/>
  <c r="W37" i="49" s="1"/>
  <c r="B38" i="49"/>
  <c r="W38" i="49" s="1"/>
  <c r="B74" i="49"/>
  <c r="U74" i="49" s="1"/>
  <c r="B61" i="49"/>
  <c r="X61" i="49" s="1"/>
  <c r="B51" i="49"/>
  <c r="U51" i="49" s="1"/>
  <c r="B21" i="49"/>
  <c r="U21" i="49" s="1"/>
  <c r="B62" i="49"/>
  <c r="U62" i="49" s="1"/>
  <c r="B75" i="49"/>
  <c r="U75" i="49" s="1"/>
  <c r="B18" i="49"/>
  <c r="U18" i="49" s="1"/>
  <c r="B76" i="49"/>
  <c r="U76" i="49" s="1"/>
  <c r="B58" i="49"/>
  <c r="W58" i="49" s="1"/>
  <c r="B46" i="49"/>
  <c r="W46" i="49" s="1"/>
  <c r="B65" i="49"/>
  <c r="U65" i="49" s="1"/>
  <c r="B43" i="49"/>
  <c r="U43" i="49" s="1"/>
  <c r="U40" i="49"/>
  <c r="X40" i="49"/>
  <c r="AI48" i="51" l="1"/>
  <c r="AG48" i="51"/>
  <c r="AH48" i="51"/>
  <c r="AJ48" i="51"/>
  <c r="AM48" i="51"/>
  <c r="AL48" i="51"/>
  <c r="AK48" i="51"/>
  <c r="AM11" i="51"/>
  <c r="AL11" i="51"/>
  <c r="AK11" i="51"/>
  <c r="AJ11" i="51"/>
  <c r="AI11" i="51"/>
  <c r="AH11" i="51"/>
  <c r="AG11" i="51"/>
  <c r="X14" i="49"/>
  <c r="AH116" i="75"/>
  <c r="AG73" i="52"/>
  <c r="AH77" i="52"/>
  <c r="AJ73" i="52"/>
  <c r="AK77" i="52"/>
  <c r="AM73" i="52"/>
  <c r="AG74" i="52"/>
  <c r="AH78" i="52"/>
  <c r="AK78" i="52"/>
  <c r="AM74" i="52"/>
  <c r="AG75" i="52"/>
  <c r="AG76" i="52"/>
  <c r="AI72" i="52"/>
  <c r="AJ76" i="52"/>
  <c r="AL72" i="52"/>
  <c r="AM76" i="52"/>
  <c r="AG77" i="52"/>
  <c r="AI73" i="52"/>
  <c r="AJ77" i="52"/>
  <c r="AL73" i="52"/>
  <c r="AM77" i="52"/>
  <c r="AG78" i="52"/>
  <c r="AI74" i="52"/>
  <c r="AJ78" i="52"/>
  <c r="AL74" i="52"/>
  <c r="AM78" i="52"/>
  <c r="AG81" i="52"/>
  <c r="AI75" i="52"/>
  <c r="AJ81" i="52"/>
  <c r="AL75" i="52"/>
  <c r="AM81" i="52"/>
  <c r="AH72" i="52"/>
  <c r="AI76" i="52"/>
  <c r="AK72" i="52"/>
  <c r="AL76" i="52"/>
  <c r="AH81" i="52"/>
  <c r="AK81" i="52"/>
  <c r="AJ75" i="52"/>
  <c r="AM75" i="52"/>
  <c r="AH73" i="52"/>
  <c r="AI77" i="52"/>
  <c r="AK73" i="52"/>
  <c r="AL77" i="52"/>
  <c r="AJ74" i="52"/>
  <c r="AH74" i="52"/>
  <c r="AI78" i="52"/>
  <c r="AK74" i="52"/>
  <c r="AL78" i="52"/>
  <c r="AH75" i="52"/>
  <c r="AI81" i="52"/>
  <c r="AK75" i="52"/>
  <c r="AL81" i="52"/>
  <c r="AG72" i="52"/>
  <c r="AH76" i="52"/>
  <c r="AJ72" i="52"/>
  <c r="AK76" i="52"/>
  <c r="AM72" i="52"/>
  <c r="AG116" i="75"/>
  <c r="U14" i="49"/>
  <c r="AM116" i="75"/>
  <c r="U10" i="49"/>
  <c r="AL116" i="75"/>
  <c r="AK116" i="75"/>
  <c r="AJ116" i="75"/>
  <c r="AI116" i="75"/>
  <c r="W31" i="49"/>
  <c r="U31" i="49"/>
  <c r="U36" i="49"/>
  <c r="W20" i="49"/>
  <c r="W22" i="49"/>
  <c r="W16" i="49"/>
  <c r="U19" i="49"/>
  <c r="X20" i="49"/>
  <c r="AL162" i="52"/>
  <c r="W19" i="49"/>
  <c r="X22" i="49"/>
  <c r="X34" i="49"/>
  <c r="U34" i="49"/>
  <c r="X42" i="49"/>
  <c r="W7" i="49"/>
  <c r="X7" i="49"/>
  <c r="W42" i="49"/>
  <c r="U12" i="49"/>
  <c r="W12" i="49"/>
  <c r="X75" i="49"/>
  <c r="X74" i="49"/>
  <c r="X30" i="49"/>
  <c r="X57" i="49"/>
  <c r="U11" i="49"/>
  <c r="X11" i="49"/>
  <c r="W75" i="49"/>
  <c r="W30" i="49"/>
  <c r="U57" i="49"/>
  <c r="V75" i="49"/>
  <c r="U13" i="49"/>
  <c r="W76" i="49"/>
  <c r="W13" i="49"/>
  <c r="AL105" i="52"/>
  <c r="AL157" i="52"/>
  <c r="AL133" i="52"/>
  <c r="AL84" i="52"/>
  <c r="AL14" i="52"/>
  <c r="V74" i="49"/>
  <c r="AL104" i="52"/>
  <c r="AL156" i="52"/>
  <c r="AL144" i="52"/>
  <c r="AL132" i="52"/>
  <c r="AL114" i="52"/>
  <c r="AL96" i="52"/>
  <c r="AL83" i="52"/>
  <c r="AL61" i="52"/>
  <c r="AL49" i="52"/>
  <c r="AL37" i="52"/>
  <c r="AL25" i="52"/>
  <c r="AL13" i="52"/>
  <c r="AL115" i="52"/>
  <c r="AL62" i="52"/>
  <c r="AL26" i="52"/>
  <c r="X62" i="49"/>
  <c r="X41" i="49"/>
  <c r="W61" i="49"/>
  <c r="AL97" i="52"/>
  <c r="AL155" i="52"/>
  <c r="AL143" i="52"/>
  <c r="AL131" i="52"/>
  <c r="AL111" i="52"/>
  <c r="AL94" i="52"/>
  <c r="AL82" i="52"/>
  <c r="AL60" i="52"/>
  <c r="AL48" i="52"/>
  <c r="AL36" i="52"/>
  <c r="AL24" i="52"/>
  <c r="AL12" i="52"/>
  <c r="X65" i="49"/>
  <c r="U35" i="49"/>
  <c r="AL109" i="52"/>
  <c r="AL145" i="52"/>
  <c r="AL98" i="52"/>
  <c r="AL50" i="52"/>
  <c r="AL38" i="52"/>
  <c r="W41" i="49"/>
  <c r="W74" i="49"/>
  <c r="AL124" i="52"/>
  <c r="AL95" i="52"/>
  <c r="AL154" i="52"/>
  <c r="AL142" i="52"/>
  <c r="AL130" i="52"/>
  <c r="AL108" i="52"/>
  <c r="AL93" i="52"/>
  <c r="AL71" i="52"/>
  <c r="AL59" i="52"/>
  <c r="AL47" i="52"/>
  <c r="AL35" i="52"/>
  <c r="AL23" i="52"/>
  <c r="AL11" i="52"/>
  <c r="U29" i="49"/>
  <c r="AL123" i="52"/>
  <c r="AL166" i="52"/>
  <c r="AL153" i="52"/>
  <c r="AL141" i="52"/>
  <c r="AL129" i="52"/>
  <c r="AL107" i="52"/>
  <c r="AL92" i="52"/>
  <c r="AL70" i="52"/>
  <c r="AL58" i="52"/>
  <c r="AL46" i="52"/>
  <c r="AL34" i="52"/>
  <c r="AL22" i="52"/>
  <c r="AL10" i="52"/>
  <c r="AL122" i="52"/>
  <c r="AL165" i="52"/>
  <c r="AL152" i="52"/>
  <c r="AL140" i="52"/>
  <c r="AL128" i="52"/>
  <c r="AL106" i="52"/>
  <c r="AL91" i="52"/>
  <c r="AL69" i="52"/>
  <c r="AL57" i="52"/>
  <c r="AL45" i="52"/>
  <c r="AL33" i="52"/>
  <c r="AL21" i="52"/>
  <c r="AL9" i="52"/>
  <c r="AL151" i="52"/>
  <c r="AL117" i="52"/>
  <c r="AL163" i="52"/>
  <c r="AL150" i="52"/>
  <c r="AL138" i="52"/>
  <c r="AL126" i="52"/>
  <c r="AL103" i="52"/>
  <c r="AL89" i="52"/>
  <c r="AL67" i="52"/>
  <c r="AL55" i="52"/>
  <c r="AL43" i="52"/>
  <c r="AL31" i="52"/>
  <c r="AL19" i="52"/>
  <c r="AL7" i="52"/>
  <c r="AL121" i="52"/>
  <c r="AL139" i="52"/>
  <c r="AL127" i="52"/>
  <c r="AL90" i="52"/>
  <c r="AL68" i="52"/>
  <c r="AL56" i="52"/>
  <c r="AL44" i="52"/>
  <c r="AL32" i="52"/>
  <c r="AL20" i="52"/>
  <c r="AL8" i="52"/>
  <c r="W35" i="49"/>
  <c r="U25" i="49"/>
  <c r="AL116" i="52"/>
  <c r="AL161" i="52"/>
  <c r="AL149" i="52"/>
  <c r="AL137" i="52"/>
  <c r="AL125" i="52"/>
  <c r="AL102" i="52"/>
  <c r="AL88" i="52"/>
  <c r="AL66" i="52"/>
  <c r="AL54" i="52"/>
  <c r="AL42" i="52"/>
  <c r="AL30" i="52"/>
  <c r="AL18" i="52"/>
  <c r="AL6" i="52"/>
  <c r="AL164" i="52"/>
  <c r="AL113" i="52"/>
  <c r="AL160" i="52"/>
  <c r="AL148" i="52"/>
  <c r="AL136" i="52"/>
  <c r="AL120" i="52"/>
  <c r="AL101" i="52"/>
  <c r="AL87" i="52"/>
  <c r="AL65" i="52"/>
  <c r="AL53" i="52"/>
  <c r="AL41" i="52"/>
  <c r="AL29" i="52"/>
  <c r="AL17" i="52"/>
  <c r="AL5" i="52"/>
  <c r="X29" i="49"/>
  <c r="W25" i="49"/>
  <c r="AL112" i="52"/>
  <c r="AL159" i="52"/>
  <c r="AL147" i="52"/>
  <c r="AL135" i="52"/>
  <c r="AL119" i="52"/>
  <c r="AL100" i="52"/>
  <c r="AL86" i="52"/>
  <c r="AL64" i="52"/>
  <c r="AL52" i="52"/>
  <c r="AL40" i="52"/>
  <c r="AL28" i="52"/>
  <c r="AL16" i="52"/>
  <c r="AL4" i="52"/>
  <c r="AL110" i="52"/>
  <c r="AL158" i="52"/>
  <c r="AL146" i="52"/>
  <c r="AL134" i="52"/>
  <c r="AL118" i="52"/>
  <c r="AL99" i="52"/>
  <c r="AL85" i="52"/>
  <c r="AL63" i="52"/>
  <c r="AL51" i="52"/>
  <c r="AL39" i="52"/>
  <c r="AL27" i="52"/>
  <c r="AL15" i="52"/>
  <c r="X64" i="49"/>
  <c r="W45" i="49"/>
  <c r="W64" i="49"/>
  <c r="X51" i="49"/>
  <c r="X44" i="49"/>
  <c r="W51" i="49"/>
  <c r="W9" i="49"/>
  <c r="U44" i="49"/>
  <c r="X45" i="49"/>
  <c r="U9" i="49"/>
  <c r="X43" i="49"/>
  <c r="W43" i="49"/>
  <c r="U61" i="49"/>
  <c r="W18" i="49"/>
  <c r="W65" i="49"/>
  <c r="W26" i="49"/>
  <c r="U8" i="49"/>
  <c r="U17" i="49"/>
  <c r="X18" i="49"/>
  <c r="W62" i="49"/>
  <c r="W21" i="49"/>
  <c r="W73" i="49"/>
  <c r="W17" i="49"/>
  <c r="X21" i="49"/>
  <c r="X73" i="49"/>
  <c r="X17" i="49"/>
  <c r="X10" i="49"/>
  <c r="X16" i="49"/>
  <c r="V72" i="49"/>
  <c r="V76" i="49"/>
  <c r="U46" i="49"/>
  <c r="U38" i="49"/>
  <c r="U23" i="49"/>
  <c r="U15" i="49"/>
  <c r="U58" i="49"/>
  <c r="U56" i="49"/>
  <c r="X46" i="49"/>
  <c r="X38" i="49"/>
  <c r="X23" i="49"/>
  <c r="X15" i="49"/>
  <c r="U37" i="49"/>
  <c r="U72" i="49"/>
  <c r="X58" i="49"/>
  <c r="X37" i="49"/>
  <c r="X72" i="49"/>
  <c r="X56" i="49"/>
  <c r="X76" i="49"/>
  <c r="X36" i="49"/>
  <c r="X8" i="49"/>
  <c r="X26" i="49"/>
  <c r="B4" i="44"/>
  <c r="B5" i="44"/>
  <c r="B6" i="44"/>
  <c r="B7" i="44"/>
  <c r="B8" i="44"/>
  <c r="B9" i="44"/>
  <c r="B10" i="44"/>
  <c r="B11" i="44"/>
  <c r="B12" i="44"/>
  <c r="B13" i="44"/>
  <c r="B14" i="44"/>
  <c r="B15" i="44"/>
  <c r="B16" i="44"/>
  <c r="B17" i="44"/>
  <c r="B18" i="44"/>
  <c r="B19" i="44"/>
  <c r="B20" i="44"/>
  <c r="B21" i="44"/>
  <c r="B22" i="44"/>
  <c r="B23" i="44"/>
  <c r="B24" i="44"/>
  <c r="B25" i="44"/>
  <c r="B26" i="44"/>
  <c r="B27" i="44"/>
  <c r="B28" i="44"/>
  <c r="B29" i="44"/>
  <c r="B30" i="44"/>
  <c r="B31" i="44"/>
  <c r="B32" i="44"/>
  <c r="B33" i="44"/>
  <c r="B34" i="44"/>
  <c r="B35" i="44"/>
  <c r="B36" i="44"/>
  <c r="B37" i="44"/>
  <c r="B38" i="44"/>
  <c r="B39" i="44"/>
  <c r="B40" i="44"/>
  <c r="B41" i="44"/>
  <c r="B42" i="44"/>
  <c r="B43" i="44"/>
  <c r="B44" i="44"/>
  <c r="B45" i="44"/>
  <c r="B46" i="44"/>
  <c r="B47" i="44"/>
  <c r="B48" i="44"/>
  <c r="B49" i="44"/>
  <c r="B50" i="44"/>
  <c r="B51" i="44"/>
  <c r="B52" i="44"/>
  <c r="B53" i="44"/>
  <c r="B54" i="44"/>
  <c r="B55" i="44"/>
  <c r="B56" i="44"/>
  <c r="B57" i="44"/>
  <c r="B58" i="44"/>
  <c r="B59" i="44"/>
  <c r="B60" i="44"/>
  <c r="B61" i="44"/>
  <c r="B62" i="44"/>
  <c r="B63" i="44"/>
  <c r="B64" i="44"/>
  <c r="B65" i="44"/>
  <c r="B66" i="44"/>
  <c r="B67" i="44"/>
  <c r="B68" i="44"/>
  <c r="B69" i="44"/>
  <c r="B70" i="44"/>
  <c r="B71" i="44"/>
  <c r="B72" i="44"/>
  <c r="B73" i="44"/>
  <c r="B74" i="44"/>
  <c r="B75" i="44"/>
  <c r="B76" i="44"/>
  <c r="B77" i="44"/>
  <c r="B78" i="44"/>
  <c r="B79" i="44"/>
  <c r="B80" i="44"/>
  <c r="L98" i="75" l="1"/>
  <c r="P98" i="75"/>
  <c r="AE98" i="75"/>
  <c r="AT98" i="75"/>
  <c r="P134" i="52"/>
  <c r="B43" i="51"/>
  <c r="AT43" i="51" s="1"/>
  <c r="B41" i="51"/>
  <c r="AT41" i="51" s="1"/>
  <c r="B36" i="51"/>
  <c r="X52" i="49"/>
  <c r="X47" i="49"/>
  <c r="X32" i="49"/>
  <c r="X53" i="49"/>
  <c r="X54" i="49"/>
  <c r="X48" i="49"/>
  <c r="X63" i="49"/>
  <c r="X50" i="49"/>
  <c r="X28" i="49"/>
  <c r="X60" i="49"/>
  <c r="X33" i="49"/>
  <c r="U71" i="49"/>
  <c r="Q34" i="51"/>
  <c r="Q21" i="51"/>
  <c r="Q44" i="51"/>
  <c r="Q38" i="51"/>
  <c r="P5" i="75"/>
  <c r="P82" i="75"/>
  <c r="P123" i="75"/>
  <c r="P23" i="75"/>
  <c r="P31" i="75"/>
  <c r="P34" i="75"/>
  <c r="P35" i="75"/>
  <c r="P56" i="75"/>
  <c r="P75" i="75"/>
  <c r="P80" i="75"/>
  <c r="P92" i="75"/>
  <c r="P97" i="75"/>
  <c r="P13" i="75"/>
  <c r="P60" i="75"/>
  <c r="P64" i="75"/>
  <c r="P66" i="75"/>
  <c r="P84" i="75"/>
  <c r="P115" i="75"/>
  <c r="P107" i="75"/>
  <c r="P122" i="75"/>
  <c r="P45" i="75"/>
  <c r="P95" i="75"/>
  <c r="P104" i="75"/>
  <c r="P119" i="75"/>
  <c r="P51" i="75"/>
  <c r="P25" i="75"/>
  <c r="P79" i="75"/>
  <c r="P29" i="75"/>
  <c r="P70" i="75"/>
  <c r="P88" i="75"/>
  <c r="P89" i="75"/>
  <c r="P113" i="75"/>
  <c r="P50" i="75"/>
  <c r="P54" i="75"/>
  <c r="P68" i="75"/>
  <c r="P106" i="75"/>
  <c r="P14" i="75"/>
  <c r="P30" i="75"/>
  <c r="P33" i="75"/>
  <c r="P8" i="75"/>
  <c r="P24" i="75"/>
  <c r="P86" i="75"/>
  <c r="P37" i="75"/>
  <c r="P38" i="75"/>
  <c r="P40" i="75"/>
  <c r="P41" i="75"/>
  <c r="P42" i="75"/>
  <c r="P43" i="75"/>
  <c r="P46" i="75"/>
  <c r="P72" i="75"/>
  <c r="P65" i="75"/>
  <c r="P71" i="75"/>
  <c r="P73" i="75"/>
  <c r="P74" i="75"/>
  <c r="P76" i="75"/>
  <c r="P77" i="75"/>
  <c r="P85" i="75"/>
  <c r="P99" i="75"/>
  <c r="P102" i="75"/>
  <c r="P103" i="75"/>
  <c r="P108" i="75"/>
  <c r="P117" i="75"/>
  <c r="P118" i="75"/>
  <c r="P120" i="75"/>
  <c r="P105" i="75"/>
  <c r="P17" i="75"/>
  <c r="P39" i="75"/>
  <c r="P93" i="75"/>
  <c r="P101" i="75"/>
  <c r="P110" i="75"/>
  <c r="P83" i="75"/>
  <c r="P91" i="75"/>
  <c r="P87" i="75"/>
  <c r="P96" i="75"/>
  <c r="P11" i="75"/>
  <c r="P49" i="75"/>
  <c r="P62" i="75"/>
  <c r="P109" i="75"/>
  <c r="P21" i="75"/>
  <c r="P36" i="75"/>
  <c r="P94" i="75"/>
  <c r="P22" i="75"/>
  <c r="P28" i="75"/>
  <c r="P7" i="75"/>
  <c r="P26" i="75"/>
  <c r="P114" i="75"/>
  <c r="P9" i="75"/>
  <c r="P10" i="75"/>
  <c r="P12" i="75"/>
  <c r="P16" i="75"/>
  <c r="P19" i="75"/>
  <c r="P47" i="75"/>
  <c r="P57" i="75"/>
  <c r="P58" i="75"/>
  <c r="P67" i="75"/>
  <c r="P69" i="75"/>
  <c r="P18" i="75"/>
  <c r="P100" i="75"/>
  <c r="P27" i="75"/>
  <c r="P32" i="75"/>
  <c r="P63" i="75"/>
  <c r="P90" i="75"/>
  <c r="P61" i="75"/>
  <c r="P111" i="75"/>
  <c r="P44" i="75"/>
  <c r="P81" i="75"/>
  <c r="P121" i="75"/>
  <c r="P20" i="75"/>
  <c r="P52" i="75"/>
  <c r="P59" i="75"/>
  <c r="P6" i="75"/>
  <c r="P55" i="75"/>
  <c r="P78" i="75"/>
  <c r="P53" i="75"/>
  <c r="P112" i="75"/>
  <c r="P15" i="75"/>
  <c r="P48" i="75"/>
  <c r="L110" i="75"/>
  <c r="L83" i="75"/>
  <c r="L91" i="75"/>
  <c r="L87" i="75"/>
  <c r="L96" i="75"/>
  <c r="L11" i="75"/>
  <c r="L49" i="75"/>
  <c r="L62" i="75"/>
  <c r="L109" i="75"/>
  <c r="L21" i="75"/>
  <c r="L36" i="75"/>
  <c r="L94" i="75"/>
  <c r="L22" i="75"/>
  <c r="L28" i="75"/>
  <c r="L7" i="75"/>
  <c r="L26" i="75"/>
  <c r="L114" i="75"/>
  <c r="L9" i="75"/>
  <c r="L10" i="75"/>
  <c r="L12" i="75"/>
  <c r="L16" i="75"/>
  <c r="L19" i="75"/>
  <c r="L47" i="75"/>
  <c r="L57" i="75"/>
  <c r="L58" i="75"/>
  <c r="L67" i="75"/>
  <c r="L69" i="75"/>
  <c r="L18" i="75"/>
  <c r="L100" i="75"/>
  <c r="L27" i="75"/>
  <c r="L32" i="75"/>
  <c r="L63" i="75"/>
  <c r="L90" i="75"/>
  <c r="L61" i="75"/>
  <c r="L111" i="75"/>
  <c r="L44" i="75"/>
  <c r="L81" i="75"/>
  <c r="L121" i="75"/>
  <c r="L20" i="75"/>
  <c r="L52" i="75"/>
  <c r="L59" i="75"/>
  <c r="L6" i="75"/>
  <c r="L55" i="75"/>
  <c r="L78" i="75"/>
  <c r="L53" i="75"/>
  <c r="L112" i="75"/>
  <c r="L15" i="75"/>
  <c r="L48" i="75"/>
  <c r="L82" i="75"/>
  <c r="L123" i="75"/>
  <c r="L23" i="75"/>
  <c r="L31" i="75"/>
  <c r="L34" i="75"/>
  <c r="L35" i="75"/>
  <c r="L56" i="75"/>
  <c r="L75" i="75"/>
  <c r="L80" i="75"/>
  <c r="L92" i="75"/>
  <c r="L97" i="75"/>
  <c r="L13" i="75"/>
  <c r="L60" i="75"/>
  <c r="L64" i="75"/>
  <c r="L66" i="75"/>
  <c r="L84" i="75"/>
  <c r="L115" i="75"/>
  <c r="L107" i="75"/>
  <c r="L122" i="75"/>
  <c r="L45" i="75"/>
  <c r="L95" i="75"/>
  <c r="L104" i="75"/>
  <c r="L119" i="75"/>
  <c r="L51" i="75"/>
  <c r="L25" i="75"/>
  <c r="L79" i="75"/>
  <c r="L29" i="75"/>
  <c r="L70" i="75"/>
  <c r="L88" i="75"/>
  <c r="L89" i="75"/>
  <c r="L113" i="75"/>
  <c r="L50" i="75"/>
  <c r="L54" i="75"/>
  <c r="L68" i="75"/>
  <c r="L106" i="75"/>
  <c r="L14" i="75"/>
  <c r="L30" i="75"/>
  <c r="L33" i="75"/>
  <c r="L8" i="75"/>
  <c r="L24" i="75"/>
  <c r="L86" i="75"/>
  <c r="L37" i="75"/>
  <c r="L38" i="75"/>
  <c r="L40" i="75"/>
  <c r="L41" i="75"/>
  <c r="L42" i="75"/>
  <c r="L43" i="75"/>
  <c r="L46" i="75"/>
  <c r="L72" i="75"/>
  <c r="L65" i="75"/>
  <c r="L71" i="75"/>
  <c r="L73" i="75"/>
  <c r="L74" i="75"/>
  <c r="L76" i="75"/>
  <c r="L77" i="75"/>
  <c r="L85" i="75"/>
  <c r="L99" i="75"/>
  <c r="L102" i="75"/>
  <c r="L103" i="75"/>
  <c r="L108" i="75"/>
  <c r="L117" i="75"/>
  <c r="L118" i="75"/>
  <c r="L120" i="75"/>
  <c r="L105" i="75"/>
  <c r="L17" i="75"/>
  <c r="L39" i="75"/>
  <c r="L93" i="75"/>
  <c r="L101" i="75"/>
  <c r="L5" i="75"/>
  <c r="O83" i="75"/>
  <c r="O21" i="75"/>
  <c r="O36" i="75"/>
  <c r="O94" i="75"/>
  <c r="O9" i="75"/>
  <c r="O10" i="75"/>
  <c r="O12" i="75"/>
  <c r="O16" i="75"/>
  <c r="O19" i="75"/>
  <c r="O47" i="75"/>
  <c r="O57" i="75"/>
  <c r="O58" i="75"/>
  <c r="O67" i="75"/>
  <c r="O69" i="75"/>
  <c r="O100" i="75"/>
  <c r="O32" i="75"/>
  <c r="O63" i="75"/>
  <c r="O111" i="75"/>
  <c r="O121" i="75"/>
  <c r="O52" i="75"/>
  <c r="O55" i="75"/>
  <c r="O78" i="75"/>
  <c r="O112" i="75"/>
  <c r="O15" i="75"/>
  <c r="O48" i="75"/>
  <c r="O82" i="75"/>
  <c r="O123" i="75"/>
  <c r="O23" i="75"/>
  <c r="O31" i="75"/>
  <c r="O34" i="75"/>
  <c r="O35" i="75"/>
  <c r="O56" i="75"/>
  <c r="O75" i="75"/>
  <c r="O80" i="75"/>
  <c r="O92" i="75"/>
  <c r="O97" i="75"/>
  <c r="O13" i="75"/>
  <c r="O60" i="75"/>
  <c r="O64" i="75"/>
  <c r="O66" i="75"/>
  <c r="O84" i="75"/>
  <c r="O115" i="75"/>
  <c r="O122" i="75"/>
  <c r="O45" i="75"/>
  <c r="O95" i="75"/>
  <c r="O104" i="75"/>
  <c r="O119" i="75"/>
  <c r="O51" i="75"/>
  <c r="O25" i="75"/>
  <c r="O79" i="75"/>
  <c r="O29" i="75"/>
  <c r="O70" i="75"/>
  <c r="O88" i="75"/>
  <c r="O113" i="75"/>
  <c r="O50" i="75"/>
  <c r="O54" i="75"/>
  <c r="O68" i="75"/>
  <c r="O106" i="75"/>
  <c r="O14" i="75"/>
  <c r="O30" i="75"/>
  <c r="O33" i="75"/>
  <c r="O86" i="75"/>
  <c r="O37" i="75"/>
  <c r="O38" i="75"/>
  <c r="O40" i="75"/>
  <c r="O41" i="75"/>
  <c r="O42" i="75"/>
  <c r="O43" i="75"/>
  <c r="O46" i="75"/>
  <c r="O72" i="75"/>
  <c r="O65" i="75"/>
  <c r="O71" i="75"/>
  <c r="O74" i="75"/>
  <c r="O77" i="75"/>
  <c r="O85" i="75"/>
  <c r="O99" i="75"/>
  <c r="O103" i="75"/>
  <c r="O108" i="75"/>
  <c r="O117" i="75"/>
  <c r="O118" i="75"/>
  <c r="O120" i="75"/>
  <c r="O5" i="75"/>
  <c r="AT83" i="75"/>
  <c r="AT91" i="75"/>
  <c r="AT87" i="75"/>
  <c r="AT96" i="75"/>
  <c r="AT11" i="75"/>
  <c r="AT49" i="75"/>
  <c r="AT62" i="75"/>
  <c r="AT109" i="75"/>
  <c r="AT21" i="75"/>
  <c r="AT36" i="75"/>
  <c r="AT94" i="75"/>
  <c r="AT22" i="75"/>
  <c r="AT28" i="75"/>
  <c r="AT7" i="75"/>
  <c r="AT26" i="75"/>
  <c r="AT114" i="75"/>
  <c r="AT9" i="75"/>
  <c r="AT10" i="75"/>
  <c r="AT12" i="75"/>
  <c r="AT16" i="75"/>
  <c r="AT19" i="75"/>
  <c r="AT47" i="75"/>
  <c r="AT57" i="75"/>
  <c r="AT58" i="75"/>
  <c r="AT67" i="75"/>
  <c r="AT69" i="75"/>
  <c r="AT18" i="75"/>
  <c r="AT100" i="75"/>
  <c r="AT27" i="75"/>
  <c r="AT32" i="75"/>
  <c r="AT63" i="75"/>
  <c r="AT90" i="75"/>
  <c r="AT61" i="75"/>
  <c r="AT111" i="75"/>
  <c r="AT44" i="75"/>
  <c r="AT81" i="75"/>
  <c r="AT121" i="75"/>
  <c r="AT20" i="75"/>
  <c r="AT52" i="75"/>
  <c r="AT59" i="75"/>
  <c r="AT6" i="75"/>
  <c r="AT55" i="75"/>
  <c r="AT78" i="75"/>
  <c r="AT53" i="75"/>
  <c r="AT112" i="75"/>
  <c r="AT15" i="75"/>
  <c r="AT48" i="75"/>
  <c r="P4" i="52"/>
  <c r="P5" i="52"/>
  <c r="P6" i="52"/>
  <c r="P7" i="52"/>
  <c r="P8" i="52"/>
  <c r="P9" i="52"/>
  <c r="P10" i="52"/>
  <c r="P12" i="52"/>
  <c r="P13" i="52"/>
  <c r="P14" i="52"/>
  <c r="P15" i="52"/>
  <c r="P17" i="52"/>
  <c r="P18" i="52"/>
  <c r="P19" i="52"/>
  <c r="P16" i="52"/>
  <c r="P20" i="52"/>
  <c r="P21" i="52"/>
  <c r="P22" i="52"/>
  <c r="P23" i="52"/>
  <c r="P24" i="52"/>
  <c r="P25" i="52"/>
  <c r="P26" i="52"/>
  <c r="P27" i="52"/>
  <c r="P28" i="52"/>
  <c r="P29" i="52"/>
  <c r="P11" i="52"/>
  <c r="P30" i="52"/>
  <c r="P32" i="52"/>
  <c r="P31" i="52"/>
  <c r="P33" i="52"/>
  <c r="P35" i="52"/>
  <c r="P34" i="52"/>
  <c r="P36" i="52"/>
  <c r="P37" i="52"/>
  <c r="P38" i="52"/>
  <c r="P39" i="52"/>
  <c r="P40" i="52"/>
  <c r="P41" i="52"/>
  <c r="P42" i="52"/>
  <c r="P43" i="52"/>
  <c r="P44" i="52"/>
  <c r="P45" i="52"/>
  <c r="P46" i="52"/>
  <c r="P47" i="52"/>
  <c r="P48" i="52"/>
  <c r="P49" i="52"/>
  <c r="P50" i="52"/>
  <c r="P51" i="52"/>
  <c r="P52" i="52"/>
  <c r="P53" i="52"/>
  <c r="P54" i="52"/>
  <c r="P55" i="52"/>
  <c r="P56" i="52"/>
  <c r="P57" i="52"/>
  <c r="P58" i="52"/>
  <c r="P59" i="52"/>
  <c r="P60" i="52"/>
  <c r="P61" i="52"/>
  <c r="P62" i="52"/>
  <c r="P63" i="52"/>
  <c r="P64" i="52"/>
  <c r="P65" i="52"/>
  <c r="P66" i="52"/>
  <c r="P67" i="52"/>
  <c r="P68" i="52"/>
  <c r="P69" i="52"/>
  <c r="P70" i="52"/>
  <c r="P71" i="52"/>
  <c r="P82" i="52"/>
  <c r="P83" i="52"/>
  <c r="P84" i="52"/>
  <c r="P85" i="52"/>
  <c r="P86" i="52"/>
  <c r="P87" i="52"/>
  <c r="P88" i="52"/>
  <c r="P89" i="52"/>
  <c r="P91" i="52"/>
  <c r="P90" i="52"/>
  <c r="P92" i="52"/>
  <c r="P93" i="52"/>
  <c r="P94" i="52"/>
  <c r="P96" i="52"/>
  <c r="P98" i="52"/>
  <c r="P119" i="52"/>
  <c r="P100" i="52"/>
  <c r="P101" i="52"/>
  <c r="P102" i="52"/>
  <c r="P105" i="52"/>
  <c r="P106" i="52"/>
  <c r="P103" i="52"/>
  <c r="P107" i="52"/>
  <c r="P108" i="52"/>
  <c r="P111" i="52"/>
  <c r="P114" i="52"/>
  <c r="P115" i="52"/>
  <c r="P118" i="52"/>
  <c r="P120" i="52"/>
  <c r="P125" i="52"/>
  <c r="P126" i="52"/>
  <c r="P127" i="52"/>
  <c r="P128" i="52"/>
  <c r="P129" i="52"/>
  <c r="P130" i="52"/>
  <c r="P131" i="52"/>
  <c r="P132" i="52"/>
  <c r="P133" i="52"/>
  <c r="P135" i="52"/>
  <c r="P136" i="52"/>
  <c r="P137" i="52"/>
  <c r="P138" i="52"/>
  <c r="P139" i="52"/>
  <c r="P140" i="52"/>
  <c r="P141" i="52"/>
  <c r="P142" i="52"/>
  <c r="P143" i="52"/>
  <c r="P144" i="52"/>
  <c r="P145" i="52"/>
  <c r="P146" i="52"/>
  <c r="P147" i="52"/>
  <c r="P148" i="52"/>
  <c r="P149" i="52"/>
  <c r="P150" i="52"/>
  <c r="P151" i="52"/>
  <c r="P152" i="52"/>
  <c r="P153" i="52"/>
  <c r="P154" i="52"/>
  <c r="P158" i="52"/>
  <c r="P155" i="52"/>
  <c r="P156" i="52"/>
  <c r="P157" i="52"/>
  <c r="P159" i="52"/>
  <c r="P160" i="52"/>
  <c r="P161" i="52"/>
  <c r="P162" i="52"/>
  <c r="P163" i="52"/>
  <c r="P164" i="52"/>
  <c r="P165" i="52"/>
  <c r="P166" i="52"/>
  <c r="P95" i="52"/>
  <c r="P97" i="52"/>
  <c r="P104" i="52"/>
  <c r="P109" i="52"/>
  <c r="P110" i="52"/>
  <c r="P112" i="52"/>
  <c r="P113" i="52"/>
  <c r="P116" i="52"/>
  <c r="P117" i="52"/>
  <c r="P121" i="52"/>
  <c r="P122" i="52"/>
  <c r="P123" i="52"/>
  <c r="P124" i="52"/>
  <c r="O5" i="52"/>
  <c r="O6" i="52"/>
  <c r="O7" i="52"/>
  <c r="O8" i="52"/>
  <c r="O9" i="52"/>
  <c r="O10" i="52"/>
  <c r="O12" i="52"/>
  <c r="O13" i="52"/>
  <c r="O14" i="52"/>
  <c r="O15" i="52"/>
  <c r="O17" i="52"/>
  <c r="O18" i="52"/>
  <c r="O19" i="52"/>
  <c r="O16" i="52"/>
  <c r="O20" i="52"/>
  <c r="O21" i="52"/>
  <c r="O22" i="52"/>
  <c r="O23" i="52"/>
  <c r="O24" i="52"/>
  <c r="O25" i="52"/>
  <c r="O26" i="52"/>
  <c r="O27" i="52"/>
  <c r="O28" i="52"/>
  <c r="O29" i="52"/>
  <c r="O11" i="52"/>
  <c r="O30" i="52"/>
  <c r="O32" i="52"/>
  <c r="O31" i="52"/>
  <c r="O33" i="52"/>
  <c r="O35" i="52"/>
  <c r="O34" i="52"/>
  <c r="O36" i="52"/>
  <c r="O37" i="52"/>
  <c r="O38" i="52"/>
  <c r="O39" i="52"/>
  <c r="O40" i="52"/>
  <c r="O41" i="52"/>
  <c r="O42" i="52"/>
  <c r="O43" i="52"/>
  <c r="O44" i="52"/>
  <c r="O45" i="52"/>
  <c r="O46" i="52"/>
  <c r="O47" i="52"/>
  <c r="O48" i="52"/>
  <c r="O49" i="52"/>
  <c r="O50" i="52"/>
  <c r="O51" i="52"/>
  <c r="O52" i="52"/>
  <c r="O53" i="52"/>
  <c r="O54" i="52"/>
  <c r="O55" i="52"/>
  <c r="O56" i="52"/>
  <c r="O57" i="52"/>
  <c r="O58" i="52"/>
  <c r="O59" i="52"/>
  <c r="O60" i="52"/>
  <c r="O61" i="52"/>
  <c r="O62" i="52"/>
  <c r="O64" i="52"/>
  <c r="O65" i="52"/>
  <c r="O66" i="52"/>
  <c r="O67" i="52"/>
  <c r="O68" i="52"/>
  <c r="O69" i="52"/>
  <c r="O71" i="52"/>
  <c r="O82" i="52"/>
  <c r="O83" i="52"/>
  <c r="O84" i="52"/>
  <c r="O85" i="52"/>
  <c r="O86" i="52"/>
  <c r="O87" i="52"/>
  <c r="O88" i="52"/>
  <c r="O89" i="52"/>
  <c r="O91" i="52"/>
  <c r="O90" i="52"/>
  <c r="O92" i="52"/>
  <c r="O93" i="52"/>
  <c r="O94" i="52"/>
  <c r="O96" i="52"/>
  <c r="O98" i="52"/>
  <c r="O119" i="52"/>
  <c r="O99" i="52"/>
  <c r="O100" i="52"/>
  <c r="O101" i="52"/>
  <c r="O102" i="52"/>
  <c r="O105" i="52"/>
  <c r="O106" i="52"/>
  <c r="O103" i="52"/>
  <c r="O107" i="52"/>
  <c r="O108" i="52"/>
  <c r="O111" i="52"/>
  <c r="O114" i="52"/>
  <c r="O115" i="52"/>
  <c r="O118" i="52"/>
  <c r="O120" i="52"/>
  <c r="O125" i="52"/>
  <c r="O126" i="52"/>
  <c r="O127" i="52"/>
  <c r="O128" i="52"/>
  <c r="O129" i="52"/>
  <c r="O130" i="52"/>
  <c r="O131" i="52"/>
  <c r="O132" i="52"/>
  <c r="O133" i="52"/>
  <c r="O134" i="52"/>
  <c r="O135" i="52"/>
  <c r="O136" i="52"/>
  <c r="O137" i="52"/>
  <c r="O138" i="52"/>
  <c r="O139" i="52"/>
  <c r="O140" i="52"/>
  <c r="O141" i="52"/>
  <c r="O142" i="52"/>
  <c r="O143" i="52"/>
  <c r="O144" i="52"/>
  <c r="O145" i="52"/>
  <c r="O146" i="52"/>
  <c r="O147" i="52"/>
  <c r="O148" i="52"/>
  <c r="O149" i="52"/>
  <c r="O150" i="52"/>
  <c r="O151" i="52"/>
  <c r="O152" i="52"/>
  <c r="O153" i="52"/>
  <c r="O158" i="52"/>
  <c r="O155" i="52"/>
  <c r="O156" i="52"/>
  <c r="O157" i="52"/>
  <c r="O159" i="52"/>
  <c r="O160" i="52"/>
  <c r="O161" i="52"/>
  <c r="O162" i="52"/>
  <c r="O163" i="52"/>
  <c r="O164" i="52"/>
  <c r="O165" i="52"/>
  <c r="O166" i="52"/>
  <c r="O95" i="52"/>
  <c r="O109" i="52"/>
  <c r="O110" i="52"/>
  <c r="O112" i="52"/>
  <c r="O113" i="52"/>
  <c r="O117" i="52"/>
  <c r="O121" i="52"/>
  <c r="O122" i="52"/>
  <c r="O123" i="52"/>
  <c r="O124" i="52"/>
  <c r="O4" i="52"/>
  <c r="L5" i="52"/>
  <c r="L6" i="52"/>
  <c r="L7" i="52"/>
  <c r="L8" i="52"/>
  <c r="L9" i="52"/>
  <c r="L10" i="52"/>
  <c r="L12" i="52"/>
  <c r="L13" i="52"/>
  <c r="L14" i="52"/>
  <c r="L15" i="52"/>
  <c r="L17" i="52"/>
  <c r="L18" i="52"/>
  <c r="L19" i="52"/>
  <c r="L20" i="52"/>
  <c r="L21" i="52"/>
  <c r="L22" i="52"/>
  <c r="L23" i="52"/>
  <c r="L24" i="52"/>
  <c r="L25" i="52"/>
  <c r="L26" i="52"/>
  <c r="L27" i="52"/>
  <c r="L28" i="52"/>
  <c r="L29" i="52"/>
  <c r="L11" i="52"/>
  <c r="L30" i="52"/>
  <c r="L32" i="52"/>
  <c r="L31" i="52"/>
  <c r="L33" i="52"/>
  <c r="L35" i="52"/>
  <c r="L34" i="52"/>
  <c r="L36" i="52"/>
  <c r="L37" i="52"/>
  <c r="L38" i="52"/>
  <c r="L39" i="52"/>
  <c r="L40" i="52"/>
  <c r="L41" i="52"/>
  <c r="L42" i="52"/>
  <c r="L43" i="52"/>
  <c r="L44" i="52"/>
  <c r="L45" i="52"/>
  <c r="L46" i="52"/>
  <c r="L47" i="52"/>
  <c r="L48" i="52"/>
  <c r="L49" i="52"/>
  <c r="L50" i="52"/>
  <c r="L51" i="52"/>
  <c r="L52" i="52"/>
  <c r="L53" i="52"/>
  <c r="L54" i="52"/>
  <c r="L55" i="52"/>
  <c r="L56" i="52"/>
  <c r="L57" i="52"/>
  <c r="L58" i="52"/>
  <c r="L59" i="52"/>
  <c r="L60" i="52"/>
  <c r="L61" i="52"/>
  <c r="L62" i="52"/>
  <c r="L63" i="52"/>
  <c r="L64" i="52"/>
  <c r="L65" i="52"/>
  <c r="L66" i="52"/>
  <c r="L67" i="52"/>
  <c r="L68" i="52"/>
  <c r="L69" i="52"/>
  <c r="L70" i="52"/>
  <c r="L71" i="52"/>
  <c r="L82" i="52"/>
  <c r="L83" i="52"/>
  <c r="L84" i="52"/>
  <c r="L85" i="52"/>
  <c r="L86" i="52"/>
  <c r="L87" i="52"/>
  <c r="L88" i="52"/>
  <c r="L89" i="52"/>
  <c r="L91" i="52"/>
  <c r="L90" i="52"/>
  <c r="L92" i="52"/>
  <c r="L93" i="52"/>
  <c r="L94" i="52"/>
  <c r="L96" i="52"/>
  <c r="L98" i="52"/>
  <c r="L119" i="52"/>
  <c r="L99" i="52"/>
  <c r="L100" i="52"/>
  <c r="L101" i="52"/>
  <c r="L102" i="52"/>
  <c r="L105" i="52"/>
  <c r="L106" i="52"/>
  <c r="L103" i="52"/>
  <c r="L107" i="52"/>
  <c r="L108" i="52"/>
  <c r="L111" i="52"/>
  <c r="L114" i="52"/>
  <c r="L115" i="52"/>
  <c r="L118" i="52"/>
  <c r="L120" i="52"/>
  <c r="L125" i="52"/>
  <c r="L126" i="52"/>
  <c r="L127" i="52"/>
  <c r="L128" i="52"/>
  <c r="L129" i="52"/>
  <c r="L130" i="52"/>
  <c r="L131" i="52"/>
  <c r="L132" i="52"/>
  <c r="L133" i="52"/>
  <c r="L134" i="52"/>
  <c r="L135" i="52"/>
  <c r="L136" i="52"/>
  <c r="L137" i="52"/>
  <c r="L138" i="52"/>
  <c r="L139" i="52"/>
  <c r="L140" i="52"/>
  <c r="L141" i="52"/>
  <c r="L142" i="52"/>
  <c r="L143" i="52"/>
  <c r="L144" i="52"/>
  <c r="L145" i="52"/>
  <c r="L146" i="52"/>
  <c r="L147" i="52"/>
  <c r="L148" i="52"/>
  <c r="L149" i="52"/>
  <c r="L150" i="52"/>
  <c r="L151" i="52"/>
  <c r="L152" i="52"/>
  <c r="L153" i="52"/>
  <c r="L154" i="52"/>
  <c r="L158" i="52"/>
  <c r="L155" i="52"/>
  <c r="L156" i="52"/>
  <c r="L157" i="52"/>
  <c r="L159" i="52"/>
  <c r="L160" i="52"/>
  <c r="L161" i="52"/>
  <c r="L162" i="52"/>
  <c r="L163" i="52"/>
  <c r="L164" i="52"/>
  <c r="L165" i="52"/>
  <c r="L166" i="52"/>
  <c r="L95" i="52"/>
  <c r="L97" i="52"/>
  <c r="L104" i="52"/>
  <c r="L109" i="52"/>
  <c r="L110" i="52"/>
  <c r="L112" i="52"/>
  <c r="L113" i="52"/>
  <c r="L116" i="52"/>
  <c r="L117" i="52"/>
  <c r="L121" i="52"/>
  <c r="L122" i="52"/>
  <c r="L123" i="52"/>
  <c r="L124" i="52"/>
  <c r="L4" i="52"/>
  <c r="P26" i="50"/>
  <c r="P8" i="50"/>
  <c r="P18" i="50"/>
  <c r="P25" i="50"/>
  <c r="P32" i="50"/>
  <c r="P38" i="50"/>
  <c r="P42" i="50"/>
  <c r="P49" i="50"/>
  <c r="P24" i="50"/>
  <c r="P35" i="50"/>
  <c r="P41" i="50"/>
  <c r="P47" i="50"/>
  <c r="P48" i="50"/>
  <c r="P11" i="50"/>
  <c r="P30" i="50"/>
  <c r="P10" i="50"/>
  <c r="P7" i="50"/>
  <c r="P5" i="50"/>
  <c r="P9" i="50"/>
  <c r="P36" i="50"/>
  <c r="P44" i="50"/>
  <c r="P45" i="50"/>
  <c r="P43" i="50"/>
  <c r="P50" i="50"/>
  <c r="P12" i="50"/>
  <c r="P13" i="50"/>
  <c r="P19" i="50"/>
  <c r="P23" i="50"/>
  <c r="P29" i="50"/>
  <c r="P33" i="50"/>
  <c r="P34" i="50"/>
  <c r="P52" i="50"/>
  <c r="P14" i="50"/>
  <c r="P27" i="50"/>
  <c r="P31" i="50"/>
  <c r="P4" i="50"/>
  <c r="P6" i="50"/>
  <c r="P28" i="50"/>
  <c r="P15" i="50"/>
  <c r="P16" i="50"/>
  <c r="P17" i="50"/>
  <c r="P37" i="50"/>
  <c r="P39" i="50"/>
  <c r="P51" i="50"/>
  <c r="P53" i="50"/>
  <c r="P20" i="50"/>
  <c r="P40" i="50"/>
  <c r="P46" i="50"/>
  <c r="P22" i="50"/>
  <c r="O8" i="50"/>
  <c r="O18" i="50"/>
  <c r="O25" i="50"/>
  <c r="O32" i="50"/>
  <c r="O38" i="50"/>
  <c r="O42" i="50"/>
  <c r="O49" i="50"/>
  <c r="O24" i="50"/>
  <c r="O35" i="50"/>
  <c r="O41" i="50"/>
  <c r="O47" i="50"/>
  <c r="O48" i="50"/>
  <c r="O11" i="50"/>
  <c r="O30" i="50"/>
  <c r="O10" i="50"/>
  <c r="O7" i="50"/>
  <c r="O5" i="50"/>
  <c r="O9" i="50"/>
  <c r="O36" i="50"/>
  <c r="O44" i="50"/>
  <c r="O45" i="50"/>
  <c r="O43" i="50"/>
  <c r="O50" i="50"/>
  <c r="O12" i="50"/>
  <c r="O13" i="50"/>
  <c r="O19" i="50"/>
  <c r="O23" i="50"/>
  <c r="O29" i="50"/>
  <c r="O33" i="50"/>
  <c r="O34" i="50"/>
  <c r="O52" i="50"/>
  <c r="O14" i="50"/>
  <c r="O27" i="50"/>
  <c r="O31" i="50"/>
  <c r="O4" i="50"/>
  <c r="O6" i="50"/>
  <c r="O28" i="50"/>
  <c r="O15" i="50"/>
  <c r="O16" i="50"/>
  <c r="O17" i="50"/>
  <c r="O37" i="50"/>
  <c r="O39" i="50"/>
  <c r="O51" i="50"/>
  <c r="O53" i="50"/>
  <c r="O20" i="50"/>
  <c r="O40" i="50"/>
  <c r="O46" i="50"/>
  <c r="O22" i="50"/>
  <c r="O26" i="50"/>
  <c r="L8" i="50"/>
  <c r="L18" i="50"/>
  <c r="L25" i="50"/>
  <c r="L32" i="50"/>
  <c r="L38" i="50"/>
  <c r="L42" i="50"/>
  <c r="L49" i="50"/>
  <c r="L24" i="50"/>
  <c r="L35" i="50"/>
  <c r="L41" i="50"/>
  <c r="L47" i="50"/>
  <c r="L48" i="50"/>
  <c r="L11" i="50"/>
  <c r="L30" i="50"/>
  <c r="L10" i="50"/>
  <c r="L7" i="50"/>
  <c r="L5" i="50"/>
  <c r="L9" i="50"/>
  <c r="L36" i="50"/>
  <c r="L44" i="50"/>
  <c r="L45" i="50"/>
  <c r="L43" i="50"/>
  <c r="L50" i="50"/>
  <c r="L12" i="50"/>
  <c r="L13" i="50"/>
  <c r="L19" i="50"/>
  <c r="L21" i="50"/>
  <c r="L23" i="50"/>
  <c r="L29" i="50"/>
  <c r="L33" i="50"/>
  <c r="L34" i="50"/>
  <c r="L52" i="50"/>
  <c r="L14" i="50"/>
  <c r="L27" i="50"/>
  <c r="L31" i="50"/>
  <c r="L4" i="50"/>
  <c r="L6" i="50"/>
  <c r="L28" i="50"/>
  <c r="L15" i="50"/>
  <c r="L16" i="50"/>
  <c r="L17" i="50"/>
  <c r="L37" i="50"/>
  <c r="L39" i="50"/>
  <c r="L51" i="50"/>
  <c r="L53" i="50"/>
  <c r="L20" i="50"/>
  <c r="L40" i="50"/>
  <c r="L46" i="50"/>
  <c r="L22" i="50"/>
  <c r="L26" i="50"/>
  <c r="P23" i="51"/>
  <c r="P47" i="51"/>
  <c r="P35" i="51"/>
  <c r="P40" i="51"/>
  <c r="P32" i="51"/>
  <c r="P33" i="51"/>
  <c r="P10" i="51"/>
  <c r="P28" i="51"/>
  <c r="P5" i="51"/>
  <c r="P15" i="51"/>
  <c r="P17" i="51"/>
  <c r="P9" i="51"/>
  <c r="P16" i="51"/>
  <c r="P25" i="51"/>
  <c r="P42" i="51"/>
  <c r="P4" i="51"/>
  <c r="P8" i="51"/>
  <c r="P7" i="51"/>
  <c r="P13" i="51"/>
  <c r="P19" i="51"/>
  <c r="P21" i="51"/>
  <c r="P27" i="51"/>
  <c r="P29" i="51"/>
  <c r="P30" i="51"/>
  <c r="P31" i="51"/>
  <c r="P34" i="51"/>
  <c r="P37" i="51"/>
  <c r="P38" i="51"/>
  <c r="P39" i="51"/>
  <c r="P12" i="51"/>
  <c r="P44" i="51"/>
  <c r="P45" i="51"/>
  <c r="P46" i="51"/>
  <c r="P14" i="51"/>
  <c r="P18" i="51"/>
  <c r="P20" i="51"/>
  <c r="P22" i="51"/>
  <c r="P26" i="51"/>
  <c r="P6" i="51"/>
  <c r="O47" i="51"/>
  <c r="O35" i="51"/>
  <c r="O40" i="51"/>
  <c r="O32" i="51"/>
  <c r="O33" i="51"/>
  <c r="O10" i="51"/>
  <c r="O28" i="51"/>
  <c r="O5" i="51"/>
  <c r="O15" i="51"/>
  <c r="O17" i="51"/>
  <c r="O24" i="51"/>
  <c r="O4" i="51"/>
  <c r="O8" i="51"/>
  <c r="O7" i="51"/>
  <c r="O13" i="51"/>
  <c r="O19" i="51"/>
  <c r="O21" i="51"/>
  <c r="O27" i="51"/>
  <c r="O29" i="51"/>
  <c r="O30" i="51"/>
  <c r="O31" i="51"/>
  <c r="O34" i="51"/>
  <c r="O37" i="51"/>
  <c r="O38" i="51"/>
  <c r="O39" i="51"/>
  <c r="O12" i="51"/>
  <c r="O44" i="51"/>
  <c r="O45" i="51"/>
  <c r="O46" i="51"/>
  <c r="O14" i="51"/>
  <c r="O18" i="51"/>
  <c r="O20" i="51"/>
  <c r="O22" i="51"/>
  <c r="O26" i="51"/>
  <c r="O6" i="51"/>
  <c r="O23" i="51"/>
  <c r="L47" i="51"/>
  <c r="L35" i="51"/>
  <c r="L40" i="51"/>
  <c r="L32" i="51"/>
  <c r="L33" i="51"/>
  <c r="L10" i="51"/>
  <c r="L28" i="51"/>
  <c r="L5" i="51"/>
  <c r="L15" i="51"/>
  <c r="L17" i="51"/>
  <c r="L9" i="51"/>
  <c r="L16" i="51"/>
  <c r="L25" i="51"/>
  <c r="L42" i="51"/>
  <c r="L24" i="51"/>
  <c r="L4" i="51"/>
  <c r="L8" i="51"/>
  <c r="L7" i="51"/>
  <c r="L13" i="51"/>
  <c r="L19" i="51"/>
  <c r="L21" i="51"/>
  <c r="L27" i="51"/>
  <c r="L29" i="51"/>
  <c r="L30" i="51"/>
  <c r="L31" i="51"/>
  <c r="L34" i="51"/>
  <c r="L37" i="51"/>
  <c r="L38" i="51"/>
  <c r="L39" i="51"/>
  <c r="L12" i="51"/>
  <c r="L44" i="51"/>
  <c r="L45" i="51"/>
  <c r="L46" i="51"/>
  <c r="L14" i="51"/>
  <c r="L18" i="51"/>
  <c r="L20" i="51"/>
  <c r="L22" i="51"/>
  <c r="L26" i="51"/>
  <c r="L6" i="51"/>
  <c r="L23" i="51"/>
  <c r="AT23" i="51"/>
  <c r="AT47" i="51"/>
  <c r="AT35" i="51"/>
  <c r="AT40" i="51"/>
  <c r="AT32" i="51"/>
  <c r="AT33" i="51"/>
  <c r="AT10" i="51"/>
  <c r="AT28" i="51"/>
  <c r="AT5" i="51"/>
  <c r="AT15" i="51"/>
  <c r="AT17" i="51"/>
  <c r="AT9" i="51"/>
  <c r="AT16" i="51"/>
  <c r="AT25" i="51"/>
  <c r="AT42" i="51"/>
  <c r="AT24" i="51"/>
  <c r="AT4" i="51"/>
  <c r="AT8" i="51"/>
  <c r="AT7" i="51"/>
  <c r="AT13" i="51"/>
  <c r="AT19" i="51"/>
  <c r="AT21" i="51"/>
  <c r="AT27" i="51"/>
  <c r="AT29" i="51"/>
  <c r="AT30" i="51"/>
  <c r="AT31" i="51"/>
  <c r="AT34" i="51"/>
  <c r="AT37" i="51"/>
  <c r="AT38" i="51"/>
  <c r="AT39" i="51"/>
  <c r="AT12" i="51"/>
  <c r="AT44" i="51"/>
  <c r="AT45" i="51"/>
  <c r="AT46" i="51"/>
  <c r="AT14" i="51"/>
  <c r="AT18" i="51"/>
  <c r="AT20" i="51"/>
  <c r="AT22" i="51"/>
  <c r="AT26" i="51"/>
  <c r="AT6" i="51"/>
  <c r="X27" i="49"/>
  <c r="X3" i="49"/>
  <c r="X39" i="49"/>
  <c r="X49" i="49"/>
  <c r="X5" i="49"/>
  <c r="X55" i="49"/>
  <c r="X70" i="49"/>
  <c r="X66" i="49"/>
  <c r="X24" i="49"/>
  <c r="X68" i="49"/>
  <c r="X6" i="49"/>
  <c r="X4" i="49"/>
  <c r="X67" i="49"/>
  <c r="AT110" i="75"/>
  <c r="J35" i="79"/>
  <c r="K35" i="79" s="1"/>
  <c r="J34" i="79"/>
  <c r="K34" i="79" s="1"/>
  <c r="J52" i="79"/>
  <c r="K52" i="79" s="1"/>
  <c r="J53" i="79"/>
  <c r="K53" i="79" s="1"/>
  <c r="J64" i="79"/>
  <c r="K64" i="79" s="1"/>
  <c r="J63" i="79"/>
  <c r="K63" i="79" s="1"/>
  <c r="J110" i="79"/>
  <c r="K110" i="79" s="1"/>
  <c r="J109" i="79"/>
  <c r="K109" i="79" s="1"/>
  <c r="K122" i="79"/>
  <c r="J135" i="79"/>
  <c r="K135" i="79" s="1"/>
  <c r="J136" i="79"/>
  <c r="K136" i="79" s="1"/>
  <c r="J142" i="79"/>
  <c r="K142" i="79" s="1"/>
  <c r="J141" i="79"/>
  <c r="K141" i="79" s="1"/>
  <c r="J151" i="79"/>
  <c r="K151" i="79" s="1"/>
  <c r="J150" i="79"/>
  <c r="K150" i="79" s="1"/>
  <c r="J3" i="79"/>
  <c r="K3" i="79" s="1"/>
  <c r="J4" i="79"/>
  <c r="K4" i="79" s="1"/>
  <c r="J5" i="79"/>
  <c r="K5" i="79" s="1"/>
  <c r="J6" i="79"/>
  <c r="K6" i="79" s="1"/>
  <c r="J7" i="79"/>
  <c r="K7" i="79" s="1"/>
  <c r="J8" i="79"/>
  <c r="K8" i="79" s="1"/>
  <c r="J9" i="79"/>
  <c r="K9" i="79" s="1"/>
  <c r="J10" i="79"/>
  <c r="K10" i="79" s="1"/>
  <c r="J11" i="79"/>
  <c r="J12" i="79"/>
  <c r="K12" i="79" s="1"/>
  <c r="J13" i="79"/>
  <c r="K13" i="79" s="1"/>
  <c r="J14" i="79"/>
  <c r="K14" i="79" s="1"/>
  <c r="J15" i="79"/>
  <c r="K15" i="79" s="1"/>
  <c r="J16" i="79"/>
  <c r="K16" i="79" s="1"/>
  <c r="J17" i="79"/>
  <c r="K17" i="79" s="1"/>
  <c r="J18" i="79"/>
  <c r="K18" i="79" s="1"/>
  <c r="J19" i="79"/>
  <c r="J20" i="79"/>
  <c r="K20" i="79" s="1"/>
  <c r="J21" i="79"/>
  <c r="K21" i="79" s="1"/>
  <c r="J22" i="79"/>
  <c r="K22" i="79" s="1"/>
  <c r="J23" i="79"/>
  <c r="J24" i="79"/>
  <c r="K24" i="79" s="1"/>
  <c r="J25" i="79"/>
  <c r="K25" i="79" s="1"/>
  <c r="J26" i="79"/>
  <c r="K26" i="79" s="1"/>
  <c r="J27" i="79"/>
  <c r="K27" i="79" s="1"/>
  <c r="J28" i="79"/>
  <c r="K28" i="79" s="1"/>
  <c r="J29" i="79"/>
  <c r="K29" i="79" s="1"/>
  <c r="J30" i="79"/>
  <c r="K30" i="79" s="1"/>
  <c r="J31" i="79"/>
  <c r="K31" i="79" s="1"/>
  <c r="J32" i="79"/>
  <c r="K32" i="79" s="1"/>
  <c r="J33" i="79"/>
  <c r="K33" i="79" s="1"/>
  <c r="J36" i="79"/>
  <c r="K36" i="79" s="1"/>
  <c r="J37" i="79"/>
  <c r="K37" i="79" s="1"/>
  <c r="J38" i="79"/>
  <c r="K38" i="79" s="1"/>
  <c r="J39" i="79"/>
  <c r="K39" i="79" s="1"/>
  <c r="J40" i="79"/>
  <c r="K40" i="79" s="1"/>
  <c r="J41" i="79"/>
  <c r="K41" i="79" s="1"/>
  <c r="J42" i="79"/>
  <c r="K42" i="79" s="1"/>
  <c r="J43" i="79"/>
  <c r="K43" i="79" s="1"/>
  <c r="J44" i="79"/>
  <c r="K44" i="79" s="1"/>
  <c r="J45" i="79"/>
  <c r="K45" i="79" s="1"/>
  <c r="J46" i="79"/>
  <c r="K46" i="79" s="1"/>
  <c r="J47" i="79"/>
  <c r="K47" i="79" s="1"/>
  <c r="J48" i="79"/>
  <c r="K48" i="79" s="1"/>
  <c r="J49" i="79"/>
  <c r="K49" i="79" s="1"/>
  <c r="J50" i="79"/>
  <c r="K50" i="79" s="1"/>
  <c r="J51" i="79"/>
  <c r="J54" i="79"/>
  <c r="K54" i="79" s="1"/>
  <c r="J55" i="79"/>
  <c r="K55" i="79" s="1"/>
  <c r="J56" i="79"/>
  <c r="J57" i="79"/>
  <c r="K57" i="79" s="1"/>
  <c r="J58" i="79"/>
  <c r="K58" i="79" s="1"/>
  <c r="J59" i="79"/>
  <c r="K59" i="79" s="1"/>
  <c r="J60" i="79"/>
  <c r="J61" i="79"/>
  <c r="K61" i="79" s="1"/>
  <c r="J62" i="79"/>
  <c r="K62" i="79" s="1"/>
  <c r="J65" i="79"/>
  <c r="K65" i="79" s="1"/>
  <c r="J66" i="79"/>
  <c r="K66" i="79" s="1"/>
  <c r="J67" i="79"/>
  <c r="K67" i="79" s="1"/>
  <c r="J68" i="79"/>
  <c r="K68" i="79" s="1"/>
  <c r="J69" i="79"/>
  <c r="K69" i="79" s="1"/>
  <c r="J70" i="79"/>
  <c r="K70" i="79" s="1"/>
  <c r="J71" i="79"/>
  <c r="K71" i="79" s="1"/>
  <c r="J72" i="79"/>
  <c r="K72" i="79" s="1"/>
  <c r="J73" i="79"/>
  <c r="K73" i="79" s="1"/>
  <c r="J74" i="79"/>
  <c r="K74" i="79" s="1"/>
  <c r="J75" i="79"/>
  <c r="K75" i="79" s="1"/>
  <c r="J76" i="79"/>
  <c r="K76" i="79" s="1"/>
  <c r="J77" i="79"/>
  <c r="K77" i="79" s="1"/>
  <c r="J78" i="79"/>
  <c r="K78" i="79" s="1"/>
  <c r="J79" i="79"/>
  <c r="K79" i="79" s="1"/>
  <c r="J80" i="79"/>
  <c r="K80" i="79" s="1"/>
  <c r="J81" i="79"/>
  <c r="K81" i="79" s="1"/>
  <c r="J82" i="79"/>
  <c r="K82" i="79" s="1"/>
  <c r="J83" i="79"/>
  <c r="K83" i="79" s="1"/>
  <c r="J84" i="79"/>
  <c r="K84" i="79" s="1"/>
  <c r="J85" i="79"/>
  <c r="K85" i="79" s="1"/>
  <c r="J86" i="79"/>
  <c r="K86" i="79" s="1"/>
  <c r="J87" i="79"/>
  <c r="K87" i="79" s="1"/>
  <c r="J88" i="79"/>
  <c r="K88" i="79" s="1"/>
  <c r="J89" i="79"/>
  <c r="K89" i="79" s="1"/>
  <c r="J90" i="79"/>
  <c r="K90" i="79" s="1"/>
  <c r="J91" i="79"/>
  <c r="K91" i="79" s="1"/>
  <c r="J92" i="79"/>
  <c r="K92" i="79" s="1"/>
  <c r="J93" i="79"/>
  <c r="K93" i="79" s="1"/>
  <c r="J94" i="79"/>
  <c r="K94" i="79" s="1"/>
  <c r="J95" i="79"/>
  <c r="K95" i="79" s="1"/>
  <c r="J96" i="79"/>
  <c r="J97" i="79"/>
  <c r="K97" i="79" s="1"/>
  <c r="J98" i="79"/>
  <c r="K98" i="79" s="1"/>
  <c r="J99" i="79"/>
  <c r="K99" i="79" s="1"/>
  <c r="J100" i="79"/>
  <c r="K100" i="79" s="1"/>
  <c r="J101" i="79"/>
  <c r="K101" i="79" s="1"/>
  <c r="J102" i="79"/>
  <c r="K102" i="79" s="1"/>
  <c r="J103" i="79"/>
  <c r="K103" i="79" s="1"/>
  <c r="J104" i="79"/>
  <c r="K104" i="79" s="1"/>
  <c r="J105" i="79"/>
  <c r="K105" i="79" s="1"/>
  <c r="J106" i="79"/>
  <c r="K106" i="79" s="1"/>
  <c r="J107" i="79"/>
  <c r="K107" i="79" s="1"/>
  <c r="J108" i="79"/>
  <c r="K108" i="79" s="1"/>
  <c r="J111" i="79"/>
  <c r="K111" i="79" s="1"/>
  <c r="J112" i="79"/>
  <c r="K112" i="79" s="1"/>
  <c r="J113" i="79"/>
  <c r="J114" i="79"/>
  <c r="K114" i="79" s="1"/>
  <c r="J115" i="79"/>
  <c r="K115" i="79" s="1"/>
  <c r="J116" i="79"/>
  <c r="K116" i="79" s="1"/>
  <c r="J117" i="79"/>
  <c r="K117" i="79" s="1"/>
  <c r="J118" i="79"/>
  <c r="J119" i="79"/>
  <c r="K119" i="79" s="1"/>
  <c r="J120" i="79"/>
  <c r="K120" i="79" s="1"/>
  <c r="J121" i="79"/>
  <c r="K121" i="79" s="1"/>
  <c r="J123" i="79"/>
  <c r="K123" i="79" s="1"/>
  <c r="J124" i="79"/>
  <c r="K124" i="79" s="1"/>
  <c r="J125" i="79"/>
  <c r="K125" i="79" s="1"/>
  <c r="J126" i="79"/>
  <c r="K126" i="79" s="1"/>
  <c r="J127" i="79"/>
  <c r="J128" i="79"/>
  <c r="K128" i="79" s="1"/>
  <c r="J129" i="79"/>
  <c r="K129" i="79" s="1"/>
  <c r="J130" i="79"/>
  <c r="J131" i="79"/>
  <c r="J132" i="79"/>
  <c r="K132" i="79" s="1"/>
  <c r="J133" i="79"/>
  <c r="K133" i="79" s="1"/>
  <c r="J134" i="79"/>
  <c r="K134" i="79" s="1"/>
  <c r="J137" i="79"/>
  <c r="K137" i="79" s="1"/>
  <c r="J138" i="79"/>
  <c r="K138" i="79" s="1"/>
  <c r="J139" i="79"/>
  <c r="K139" i="79" s="1"/>
  <c r="J140" i="79"/>
  <c r="K140" i="79" s="1"/>
  <c r="J143" i="79"/>
  <c r="K143" i="79" s="1"/>
  <c r="J144" i="79"/>
  <c r="K144" i="79" s="1"/>
  <c r="J145" i="79"/>
  <c r="K145" i="79" s="1"/>
  <c r="J146" i="79"/>
  <c r="K146" i="79" s="1"/>
  <c r="J147" i="79"/>
  <c r="K147" i="79" s="1"/>
  <c r="J148" i="79"/>
  <c r="K148" i="79" s="1"/>
  <c r="J149" i="79"/>
  <c r="K149" i="79" s="1"/>
  <c r="J152" i="79"/>
  <c r="K152" i="79" s="1"/>
  <c r="J153" i="79"/>
  <c r="K153" i="79" s="1"/>
  <c r="J154" i="79"/>
  <c r="K154" i="79" s="1"/>
  <c r="J155" i="79"/>
  <c r="J156" i="79"/>
  <c r="K156" i="79" s="1"/>
  <c r="J157" i="79"/>
  <c r="K157" i="79" s="1"/>
  <c r="J158" i="79"/>
  <c r="K158" i="79" s="1"/>
  <c r="J159" i="79"/>
  <c r="K159" i="79" s="1"/>
  <c r="J160" i="79"/>
  <c r="K160" i="79" s="1"/>
  <c r="J161" i="79"/>
  <c r="K161" i="79" s="1"/>
  <c r="J162" i="79"/>
  <c r="K162" i="79" s="1"/>
  <c r="J163" i="79"/>
  <c r="J164" i="79"/>
  <c r="K164" i="79" s="1"/>
  <c r="J165" i="79"/>
  <c r="J166" i="79"/>
  <c r="K166" i="79" s="1"/>
  <c r="J167" i="79"/>
  <c r="K167" i="79" s="1"/>
  <c r="J168" i="79"/>
  <c r="K168" i="79" s="1"/>
  <c r="J169" i="79"/>
  <c r="K169" i="79" s="1"/>
  <c r="J170" i="79"/>
  <c r="K170" i="79" s="1"/>
  <c r="J171" i="79"/>
  <c r="K171" i="79" s="1"/>
  <c r="J172" i="79"/>
  <c r="K172" i="79" s="1"/>
  <c r="J173" i="79"/>
  <c r="K173" i="79" s="1"/>
  <c r="J174" i="79"/>
  <c r="K174" i="79" s="1"/>
  <c r="J175" i="79"/>
  <c r="J176" i="79"/>
  <c r="K176" i="79" s="1"/>
  <c r="J177" i="79"/>
  <c r="K177" i="79" s="1"/>
  <c r="J178" i="79"/>
  <c r="K178" i="79" s="1"/>
  <c r="B20" i="41"/>
  <c r="AJ10" i="52" l="1"/>
  <c r="AK98" i="75"/>
  <c r="AJ98" i="75"/>
  <c r="AI98" i="75"/>
  <c r="AH98" i="75"/>
  <c r="AG98" i="75"/>
  <c r="AT36" i="51"/>
  <c r="T43" i="49"/>
  <c r="T9" i="49"/>
  <c r="T45" i="49"/>
  <c r="T61" i="49"/>
  <c r="T42" i="49"/>
  <c r="T57" i="49"/>
  <c r="T30" i="49"/>
  <c r="T29" i="49"/>
  <c r="T41" i="49"/>
  <c r="T74" i="49"/>
  <c r="T65" i="49"/>
  <c r="T44" i="49"/>
  <c r="T75" i="49"/>
  <c r="T12" i="49"/>
  <c r="T31" i="49"/>
  <c r="T64" i="49"/>
  <c r="T51" i="49"/>
  <c r="T7" i="49"/>
  <c r="T14" i="49"/>
  <c r="T22" i="49"/>
  <c r="T25" i="49"/>
  <c r="T11" i="49"/>
  <c r="T18" i="49"/>
  <c r="T19" i="49"/>
  <c r="T34" i="49"/>
  <c r="T35" i="49"/>
  <c r="T62" i="49"/>
  <c r="T46" i="49"/>
  <c r="T38" i="49"/>
  <c r="T73" i="49"/>
  <c r="T37" i="49"/>
  <c r="T17" i="49"/>
  <c r="T20" i="49"/>
  <c r="T15" i="49"/>
  <c r="T10" i="49"/>
  <c r="T58" i="49"/>
  <c r="T16" i="49"/>
  <c r="T13" i="49"/>
  <c r="T72" i="49"/>
  <c r="T40" i="49"/>
  <c r="T21" i="49"/>
  <c r="T56" i="49"/>
  <c r="T36" i="49"/>
  <c r="T8" i="49"/>
  <c r="T26" i="49"/>
  <c r="T23" i="49"/>
  <c r="T76" i="49"/>
  <c r="AM98" i="75"/>
  <c r="AL98" i="75"/>
  <c r="AM23" i="51"/>
  <c r="M56" i="79"/>
  <c r="M60" i="79"/>
  <c r="M51" i="79"/>
  <c r="AJ23" i="51"/>
  <c r="AI23" i="51"/>
  <c r="M96" i="79"/>
  <c r="AK23" i="51"/>
  <c r="M11" i="79"/>
  <c r="AH23" i="51"/>
  <c r="M23" i="79"/>
  <c r="M163" i="79"/>
  <c r="M155" i="79"/>
  <c r="M131" i="79"/>
  <c r="M19" i="79"/>
  <c r="M175" i="79"/>
  <c r="M165" i="79"/>
  <c r="M130" i="79"/>
  <c r="AL23" i="51"/>
  <c r="AI82" i="75"/>
  <c r="M118" i="79"/>
  <c r="M113" i="79"/>
  <c r="AG10" i="50"/>
  <c r="AJ13" i="51"/>
  <c r="AJ37" i="50"/>
  <c r="AM5" i="50"/>
  <c r="AG44" i="52"/>
  <c r="AM11" i="52"/>
  <c r="AI10" i="52"/>
  <c r="AH10" i="52"/>
  <c r="AL8" i="51"/>
  <c r="AJ16" i="50"/>
  <c r="AK6" i="51"/>
  <c r="AH42" i="51"/>
  <c r="AI28" i="50"/>
  <c r="AL48" i="50"/>
  <c r="AM8" i="52"/>
  <c r="AI20" i="51"/>
  <c r="AI16" i="51"/>
  <c r="AJ4" i="50"/>
  <c r="AJ35" i="50"/>
  <c r="AK11" i="52"/>
  <c r="AK14" i="51"/>
  <c r="AJ17" i="51"/>
  <c r="AJ27" i="50"/>
  <c r="AH42" i="50"/>
  <c r="AJ11" i="52"/>
  <c r="AJ8" i="52"/>
  <c r="AI44" i="51"/>
  <c r="AL5" i="51"/>
  <c r="AI52" i="50"/>
  <c r="AK18" i="50"/>
  <c r="AI11" i="52"/>
  <c r="AI8" i="52"/>
  <c r="AL39" i="51"/>
  <c r="AH33" i="51"/>
  <c r="AJ33" i="50"/>
  <c r="AH121" i="52"/>
  <c r="AH11" i="52"/>
  <c r="AH8" i="52"/>
  <c r="AG38" i="51"/>
  <c r="AI40" i="51"/>
  <c r="AJ23" i="50"/>
  <c r="AJ166" i="52"/>
  <c r="AG11" i="52"/>
  <c r="AG8" i="52"/>
  <c r="AJ34" i="51"/>
  <c r="AI47" i="51"/>
  <c r="AI19" i="50"/>
  <c r="AM10" i="52"/>
  <c r="AM30" i="51"/>
  <c r="AJ46" i="50"/>
  <c r="AI12" i="50"/>
  <c r="AG134" i="52"/>
  <c r="AH29" i="51"/>
  <c r="AJ20" i="50"/>
  <c r="AH43" i="50"/>
  <c r="AG102" i="52"/>
  <c r="AK10" i="52"/>
  <c r="AI21" i="51"/>
  <c r="AI51" i="50"/>
  <c r="AM36" i="50"/>
  <c r="AG68" i="52"/>
  <c r="AK82" i="75"/>
  <c r="AH34" i="75"/>
  <c r="AM13" i="75"/>
  <c r="AM64" i="75"/>
  <c r="AH115" i="75"/>
  <c r="AH122" i="75"/>
  <c r="AJ95" i="75"/>
  <c r="AH119" i="75"/>
  <c r="AI25" i="75"/>
  <c r="AG29" i="75"/>
  <c r="AH88" i="75"/>
  <c r="AL50" i="75"/>
  <c r="AK68" i="75"/>
  <c r="AI14" i="75"/>
  <c r="AL8" i="75"/>
  <c r="AI86" i="75"/>
  <c r="AK40" i="75"/>
  <c r="AH42" i="75"/>
  <c r="AM43" i="75"/>
  <c r="AJ72" i="75"/>
  <c r="AG71" i="75"/>
  <c r="AL73" i="75"/>
  <c r="AI76" i="75"/>
  <c r="AL99" i="75"/>
  <c r="AI103" i="75"/>
  <c r="AK118" i="75"/>
  <c r="AH105" i="75"/>
  <c r="AM17" i="75"/>
  <c r="AJ93" i="75"/>
  <c r="AG110" i="75"/>
  <c r="AL83" i="75"/>
  <c r="AI87" i="75"/>
  <c r="AL49" i="75"/>
  <c r="AI109" i="75"/>
  <c r="AK94" i="75"/>
  <c r="AH28" i="75"/>
  <c r="AJ34" i="75"/>
  <c r="AK92" i="75"/>
  <c r="AJ115" i="75"/>
  <c r="AJ122" i="75"/>
  <c r="AK95" i="75"/>
  <c r="AJ119" i="75"/>
  <c r="AJ25" i="75"/>
  <c r="AH29" i="75"/>
  <c r="AM92" i="75"/>
  <c r="AH60" i="75"/>
  <c r="AH66" i="75"/>
  <c r="AK115" i="75"/>
  <c r="AL122" i="75"/>
  <c r="AL95" i="75"/>
  <c r="AK119" i="75"/>
  <c r="AK35" i="75"/>
  <c r="AK60" i="75"/>
  <c r="AL66" i="75"/>
  <c r="AL115" i="75"/>
  <c r="AM95" i="75"/>
  <c r="AH82" i="75"/>
  <c r="AM35" i="75"/>
  <c r="AH97" i="75"/>
  <c r="AL60" i="75"/>
  <c r="AM115" i="75"/>
  <c r="AG45" i="75"/>
  <c r="AM25" i="75"/>
  <c r="AJ82" i="75"/>
  <c r="AM60" i="75"/>
  <c r="AG84" i="75"/>
  <c r="AH45" i="75"/>
  <c r="AG104" i="75"/>
  <c r="AG51" i="75"/>
  <c r="AK123" i="75"/>
  <c r="AG75" i="75"/>
  <c r="AG13" i="75"/>
  <c r="AH84" i="75"/>
  <c r="AG107" i="75"/>
  <c r="AM123" i="75"/>
  <c r="AI75" i="75"/>
  <c r="AH13" i="75"/>
  <c r="AG64" i="75"/>
  <c r="AI84" i="75"/>
  <c r="AI107" i="75"/>
  <c r="AJ45" i="75"/>
  <c r="AI104" i="75"/>
  <c r="AI51" i="75"/>
  <c r="AH80" i="75"/>
  <c r="AJ13" i="75"/>
  <c r="AI64" i="75"/>
  <c r="AK84" i="75"/>
  <c r="AL107" i="75"/>
  <c r="AM45" i="75"/>
  <c r="AL104" i="75"/>
  <c r="AM51" i="75"/>
  <c r="AL79" i="75"/>
  <c r="AK70" i="75"/>
  <c r="AK89" i="75"/>
  <c r="AI50" i="75"/>
  <c r="AG68" i="75"/>
  <c r="AK30" i="75"/>
  <c r="AH8" i="75"/>
  <c r="AM24" i="75"/>
  <c r="AJ37" i="75"/>
  <c r="AH40" i="75"/>
  <c r="AM41" i="75"/>
  <c r="AJ43" i="75"/>
  <c r="AG72" i="75"/>
  <c r="AL65" i="75"/>
  <c r="AI73" i="75"/>
  <c r="AK77" i="75"/>
  <c r="AH99" i="75"/>
  <c r="AM102" i="75"/>
  <c r="AJ108" i="75"/>
  <c r="AH118" i="75"/>
  <c r="AM120" i="75"/>
  <c r="AJ17" i="75"/>
  <c r="AG93" i="75"/>
  <c r="AL101" i="75"/>
  <c r="AI83" i="75"/>
  <c r="AK96" i="75"/>
  <c r="AH49" i="75"/>
  <c r="AM62" i="75"/>
  <c r="AJ21" i="75"/>
  <c r="AH94" i="75"/>
  <c r="AM22" i="75"/>
  <c r="AJ7" i="75"/>
  <c r="AG114" i="75"/>
  <c r="AL9" i="75"/>
  <c r="AI12" i="75"/>
  <c r="AK47" i="75"/>
  <c r="AH58" i="75"/>
  <c r="AM67" i="75"/>
  <c r="AJ18" i="75"/>
  <c r="AH27" i="75"/>
  <c r="AM32" i="75"/>
  <c r="AJ90" i="75"/>
  <c r="AG111" i="75"/>
  <c r="AL44" i="75"/>
  <c r="AI121" i="75"/>
  <c r="AK59" i="75"/>
  <c r="AH55" i="75"/>
  <c r="AM78" i="75"/>
  <c r="AJ112" i="75"/>
  <c r="AH48" i="75"/>
  <c r="AM5" i="52"/>
  <c r="AJ7" i="52"/>
  <c r="AG9" i="52"/>
  <c r="AI13" i="52"/>
  <c r="AK17" i="52"/>
  <c r="AH19" i="52"/>
  <c r="AM16" i="52"/>
  <c r="AJ21" i="52"/>
  <c r="AH23" i="52"/>
  <c r="AH26" i="52"/>
  <c r="AH29" i="52"/>
  <c r="AG31" i="75"/>
  <c r="AJ80" i="75"/>
  <c r="AK13" i="75"/>
  <c r="AK64" i="75"/>
  <c r="AM84" i="75"/>
  <c r="AM107" i="75"/>
  <c r="AM79" i="75"/>
  <c r="AM70" i="75"/>
  <c r="AL89" i="75"/>
  <c r="AJ50" i="75"/>
  <c r="AH68" i="75"/>
  <c r="AG14" i="75"/>
  <c r="AL30" i="75"/>
  <c r="AI8" i="75"/>
  <c r="AL25" i="75"/>
  <c r="AI113" i="75"/>
  <c r="AL54" i="75"/>
  <c r="AH14" i="75"/>
  <c r="AJ33" i="75"/>
  <c r="AJ24" i="75"/>
  <c r="AI37" i="75"/>
  <c r="AJ40" i="75"/>
  <c r="AJ42" i="75"/>
  <c r="AI46" i="75"/>
  <c r="AI65" i="75"/>
  <c r="AH73" i="75"/>
  <c r="AH76" i="75"/>
  <c r="AI85" i="75"/>
  <c r="AH102" i="75"/>
  <c r="AG108" i="75"/>
  <c r="AG105" i="75"/>
  <c r="AG39" i="75"/>
  <c r="AM91" i="75"/>
  <c r="AM96" i="75"/>
  <c r="AM109" i="75"/>
  <c r="AL36" i="75"/>
  <c r="AL22" i="75"/>
  <c r="AL7" i="75"/>
  <c r="AJ114" i="75"/>
  <c r="AH10" i="75"/>
  <c r="AM19" i="75"/>
  <c r="AK57" i="75"/>
  <c r="AI67" i="75"/>
  <c r="AG18" i="75"/>
  <c r="AM100" i="75"/>
  <c r="AL32" i="75"/>
  <c r="AK90" i="75"/>
  <c r="AI111" i="75"/>
  <c r="AG81" i="75"/>
  <c r="AM121" i="75"/>
  <c r="AL52" i="75"/>
  <c r="AJ6" i="75"/>
  <c r="AH78" i="75"/>
  <c r="AL15" i="75"/>
  <c r="AJ5" i="52"/>
  <c r="AI7" i="52"/>
  <c r="AH9" i="52"/>
  <c r="AK13" i="52"/>
  <c r="AI15" i="52"/>
  <c r="AH18" i="52"/>
  <c r="AJ22" i="52"/>
  <c r="AH24" i="52"/>
  <c r="AM25" i="52"/>
  <c r="AJ27" i="52"/>
  <c r="AG29" i="52"/>
  <c r="AH32" i="52"/>
  <c r="AH35" i="52"/>
  <c r="AH37" i="52"/>
  <c r="AH40" i="52"/>
  <c r="AH43" i="52"/>
  <c r="AH46" i="52"/>
  <c r="AH49" i="52"/>
  <c r="AH52" i="52"/>
  <c r="AH55" i="52"/>
  <c r="AH58" i="52"/>
  <c r="AH61" i="52"/>
  <c r="AH64" i="52"/>
  <c r="AH67" i="52"/>
  <c r="AH70" i="52"/>
  <c r="AH83" i="52"/>
  <c r="AH86" i="52"/>
  <c r="AH89" i="52"/>
  <c r="AH92" i="52"/>
  <c r="AH96" i="52"/>
  <c r="AH99" i="52"/>
  <c r="AH102" i="52"/>
  <c r="AH103" i="52"/>
  <c r="AI45" i="75"/>
  <c r="AG79" i="75"/>
  <c r="AI88" i="75"/>
  <c r="AJ113" i="75"/>
  <c r="AM54" i="75"/>
  <c r="AJ14" i="75"/>
  <c r="AK33" i="75"/>
  <c r="AK24" i="75"/>
  <c r="AL37" i="75"/>
  <c r="AL40" i="75"/>
  <c r="AK42" i="75"/>
  <c r="AJ46" i="75"/>
  <c r="AJ65" i="75"/>
  <c r="AJ73" i="75"/>
  <c r="AJ76" i="75"/>
  <c r="AJ85" i="75"/>
  <c r="AI102" i="75"/>
  <c r="AH108" i="75"/>
  <c r="AI118" i="75"/>
  <c r="AI105" i="75"/>
  <c r="AH39" i="75"/>
  <c r="AH101" i="75"/>
  <c r="AG83" i="75"/>
  <c r="AG87" i="75"/>
  <c r="AH11" i="75"/>
  <c r="AG62" i="75"/>
  <c r="AM36" i="75"/>
  <c r="AM7" i="75"/>
  <c r="AK114" i="75"/>
  <c r="AI10" i="75"/>
  <c r="AH16" i="75"/>
  <c r="AL57" i="75"/>
  <c r="AJ67" i="75"/>
  <c r="AH18" i="75"/>
  <c r="AL90" i="75"/>
  <c r="AJ111" i="75"/>
  <c r="AH81" i="75"/>
  <c r="AM52" i="75"/>
  <c r="AK6" i="75"/>
  <c r="AI78" i="75"/>
  <c r="AG112" i="75"/>
  <c r="AM15" i="75"/>
  <c r="AK7" i="52"/>
  <c r="AI9" i="52"/>
  <c r="AJ15" i="52"/>
  <c r="AI18" i="52"/>
  <c r="AG16" i="52"/>
  <c r="AM20" i="52"/>
  <c r="AK22" i="52"/>
  <c r="AI24" i="52"/>
  <c r="AK27" i="52"/>
  <c r="AI29" i="52"/>
  <c r="AI32" i="52"/>
  <c r="AM31" i="52"/>
  <c r="AI35" i="52"/>
  <c r="AM34" i="52"/>
  <c r="AK45" i="75"/>
  <c r="AH79" i="75"/>
  <c r="AJ88" i="75"/>
  <c r="AL113" i="75"/>
  <c r="AL14" i="75"/>
  <c r="AL33" i="75"/>
  <c r="AL24" i="75"/>
  <c r="AM37" i="75"/>
  <c r="AM40" i="75"/>
  <c r="AL42" i="75"/>
  <c r="AL46" i="75"/>
  <c r="AK65" i="75"/>
  <c r="AK73" i="75"/>
  <c r="AL76" i="75"/>
  <c r="AK85" i="75"/>
  <c r="AJ102" i="75"/>
  <c r="AI108" i="75"/>
  <c r="AJ118" i="75"/>
  <c r="AJ105" i="75"/>
  <c r="AI39" i="75"/>
  <c r="AI101" i="75"/>
  <c r="AH83" i="75"/>
  <c r="AH87" i="75"/>
  <c r="AI11" i="75"/>
  <c r="AH62" i="75"/>
  <c r="AG21" i="75"/>
  <c r="AG28" i="75"/>
  <c r="AL114" i="75"/>
  <c r="AJ10" i="75"/>
  <c r="AI16" i="75"/>
  <c r="AG47" i="75"/>
  <c r="AM57" i="75"/>
  <c r="AK67" i="75"/>
  <c r="AI18" i="75"/>
  <c r="AI27" i="75"/>
  <c r="AG63" i="75"/>
  <c r="AM90" i="75"/>
  <c r="AK111" i="75"/>
  <c r="AI81" i="75"/>
  <c r="AH20" i="75"/>
  <c r="AL6" i="75"/>
  <c r="AJ78" i="75"/>
  <c r="AH112" i="75"/>
  <c r="AJ9" i="52"/>
  <c r="AG12" i="52"/>
  <c r="AM13" i="52"/>
  <c r="AJ18" i="52"/>
  <c r="AH16" i="52"/>
  <c r="AJ24" i="52"/>
  <c r="AG26" i="52"/>
  <c r="AM27" i="52"/>
  <c r="AJ29" i="52"/>
  <c r="AJ32" i="52"/>
  <c r="AJ35" i="52"/>
  <c r="AI95" i="75"/>
  <c r="AK79" i="75"/>
  <c r="AK88" i="75"/>
  <c r="AI68" i="75"/>
  <c r="AM14" i="75"/>
  <c r="AM33" i="75"/>
  <c r="AG38" i="75"/>
  <c r="AM42" i="75"/>
  <c r="AM46" i="75"/>
  <c r="AM65" i="75"/>
  <c r="AM73" i="75"/>
  <c r="AM76" i="75"/>
  <c r="AL85" i="75"/>
  <c r="AK102" i="75"/>
  <c r="AL108" i="75"/>
  <c r="AL118" i="75"/>
  <c r="AK105" i="75"/>
  <c r="AJ39" i="75"/>
  <c r="AJ101" i="75"/>
  <c r="AJ83" i="75"/>
  <c r="AJ87" i="75"/>
  <c r="AJ11" i="75"/>
  <c r="AI62" i="75"/>
  <c r="AH21" i="75"/>
  <c r="AI94" i="75"/>
  <c r="AI28" i="75"/>
  <c r="AG26" i="75"/>
  <c r="AM114" i="75"/>
  <c r="AL10" i="75"/>
  <c r="AJ16" i="75"/>
  <c r="AH47" i="75"/>
  <c r="AL67" i="75"/>
  <c r="AL18" i="75"/>
  <c r="AJ27" i="75"/>
  <c r="AH63" i="75"/>
  <c r="AL111" i="75"/>
  <c r="AJ81" i="75"/>
  <c r="AI20" i="75"/>
  <c r="AG59" i="75"/>
  <c r="AM6" i="75"/>
  <c r="AK78" i="75"/>
  <c r="AI112" i="75"/>
  <c r="AI48" i="75"/>
  <c r="AG6" i="52"/>
  <c r="AM7" i="52"/>
  <c r="AK9" i="52"/>
  <c r="AH12" i="52"/>
  <c r="AM15" i="52"/>
  <c r="AK18" i="52"/>
  <c r="AI16" i="52"/>
  <c r="AG21" i="52"/>
  <c r="AM22" i="52"/>
  <c r="AK24" i="52"/>
  <c r="AI26" i="52"/>
  <c r="AK29" i="52"/>
  <c r="AG30" i="52"/>
  <c r="AK32" i="52"/>
  <c r="AG33" i="52"/>
  <c r="AK35" i="52"/>
  <c r="AG36" i="52"/>
  <c r="AK37" i="52"/>
  <c r="AL80" i="75"/>
  <c r="AH104" i="75"/>
  <c r="AL88" i="75"/>
  <c r="AG50" i="75"/>
  <c r="AL68" i="75"/>
  <c r="AH86" i="75"/>
  <c r="AH38" i="75"/>
  <c r="AG41" i="75"/>
  <c r="AM85" i="75"/>
  <c r="AL102" i="75"/>
  <c r="AM108" i="75"/>
  <c r="AM118" i="75"/>
  <c r="AL105" i="75"/>
  <c r="AL39" i="75"/>
  <c r="AK101" i="75"/>
  <c r="AK83" i="75"/>
  <c r="AL87" i="75"/>
  <c r="AK11" i="75"/>
  <c r="AJ62" i="75"/>
  <c r="AI21" i="75"/>
  <c r="AJ94" i="75"/>
  <c r="AJ28" i="75"/>
  <c r="AH26" i="75"/>
  <c r="AM10" i="75"/>
  <c r="AK16" i="75"/>
  <c r="AI47" i="75"/>
  <c r="AG58" i="75"/>
  <c r="AM18" i="75"/>
  <c r="AK27" i="75"/>
  <c r="AI63" i="75"/>
  <c r="AG61" i="75"/>
  <c r="AM111" i="75"/>
  <c r="AL81" i="75"/>
  <c r="AJ20" i="75"/>
  <c r="AH59" i="75"/>
  <c r="AL78" i="75"/>
  <c r="AL112" i="75"/>
  <c r="AJ48" i="75"/>
  <c r="AH6" i="52"/>
  <c r="AI12" i="52"/>
  <c r="AH14" i="52"/>
  <c r="AJ16" i="52"/>
  <c r="AH21" i="52"/>
  <c r="AM24" i="52"/>
  <c r="AJ26" i="52"/>
  <c r="AG28" i="52"/>
  <c r="AH30" i="52"/>
  <c r="AH33" i="52"/>
  <c r="AH36" i="52"/>
  <c r="AI13" i="75"/>
  <c r="AK104" i="75"/>
  <c r="AJ29" i="75"/>
  <c r="AM88" i="75"/>
  <c r="AH50" i="75"/>
  <c r="AM68" i="75"/>
  <c r="AG30" i="75"/>
  <c r="AG8" i="75"/>
  <c r="AJ86" i="75"/>
  <c r="AI38" i="75"/>
  <c r="AH41" i="75"/>
  <c r="AH43" i="75"/>
  <c r="AH72" i="75"/>
  <c r="AH71" i="75"/>
  <c r="AH74" i="75"/>
  <c r="AG77" i="75"/>
  <c r="AG117" i="75"/>
  <c r="AM105" i="75"/>
  <c r="AM39" i="75"/>
  <c r="AM101" i="75"/>
  <c r="AM83" i="75"/>
  <c r="AM87" i="75"/>
  <c r="AL11" i="75"/>
  <c r="AK62" i="75"/>
  <c r="AL21" i="75"/>
  <c r="AL94" i="75"/>
  <c r="AK28" i="75"/>
  <c r="AI26" i="75"/>
  <c r="AH9" i="75"/>
  <c r="AL16" i="75"/>
  <c r="AJ47" i="75"/>
  <c r="AI58" i="75"/>
  <c r="AH69" i="75"/>
  <c r="AL27" i="75"/>
  <c r="AJ63" i="75"/>
  <c r="AH61" i="75"/>
  <c r="AM81" i="75"/>
  <c r="AK20" i="75"/>
  <c r="AI59" i="75"/>
  <c r="AG55" i="75"/>
  <c r="AM112" i="75"/>
  <c r="AK48" i="75"/>
  <c r="AI6" i="52"/>
  <c r="AM9" i="52"/>
  <c r="AJ12" i="52"/>
  <c r="AI14" i="52"/>
  <c r="AG17" i="52"/>
  <c r="AM18" i="52"/>
  <c r="AK16" i="52"/>
  <c r="AI21" i="52"/>
  <c r="AI23" i="52"/>
  <c r="AK26" i="52"/>
  <c r="AH28" i="52"/>
  <c r="AM29" i="52"/>
  <c r="AI30" i="52"/>
  <c r="AL13" i="75"/>
  <c r="AG119" i="75"/>
  <c r="AK29" i="75"/>
  <c r="AG89" i="75"/>
  <c r="AK50" i="75"/>
  <c r="AG106" i="75"/>
  <c r="AH30" i="75"/>
  <c r="AJ8" i="75"/>
  <c r="AK86" i="75"/>
  <c r="AJ38" i="75"/>
  <c r="AI41" i="75"/>
  <c r="AI43" i="75"/>
  <c r="AI72" i="75"/>
  <c r="AI71" i="75"/>
  <c r="AI74" i="75"/>
  <c r="AH77" i="75"/>
  <c r="AG99" i="75"/>
  <c r="AH103" i="75"/>
  <c r="AH117" i="75"/>
  <c r="AG120" i="75"/>
  <c r="AM11" i="75"/>
  <c r="AL62" i="75"/>
  <c r="AM21" i="75"/>
  <c r="AM94" i="75"/>
  <c r="AL28" i="75"/>
  <c r="AJ26" i="75"/>
  <c r="AI9" i="75"/>
  <c r="AG12" i="75"/>
  <c r="AM16" i="75"/>
  <c r="AL47" i="75"/>
  <c r="AJ58" i="75"/>
  <c r="AI69" i="75"/>
  <c r="AG100" i="75"/>
  <c r="AM27" i="75"/>
  <c r="AK63" i="75"/>
  <c r="AI61" i="75"/>
  <c r="AH44" i="75"/>
  <c r="AL20" i="75"/>
  <c r="AJ59" i="75"/>
  <c r="AI55" i="75"/>
  <c r="AH53" i="75"/>
  <c r="AL48" i="75"/>
  <c r="AJ6" i="52"/>
  <c r="AJ14" i="52"/>
  <c r="AH17" i="52"/>
  <c r="AJ23" i="52"/>
  <c r="AG25" i="52"/>
  <c r="AH64" i="75"/>
  <c r="AL119" i="75"/>
  <c r="AL29" i="75"/>
  <c r="AH89" i="75"/>
  <c r="AM50" i="75"/>
  <c r="AH106" i="75"/>
  <c r="AI30" i="75"/>
  <c r="AM8" i="75"/>
  <c r="AL86" i="75"/>
  <c r="AK38" i="75"/>
  <c r="AJ41" i="75"/>
  <c r="AK43" i="75"/>
  <c r="AK72" i="75"/>
  <c r="AJ71" i="75"/>
  <c r="AJ74" i="75"/>
  <c r="AI77" i="75"/>
  <c r="AI99" i="75"/>
  <c r="AJ103" i="75"/>
  <c r="AI117" i="75"/>
  <c r="AH120" i="75"/>
  <c r="AH17" i="75"/>
  <c r="AH93" i="75"/>
  <c r="AH110" i="75"/>
  <c r="AH91" i="75"/>
  <c r="AG96" i="75"/>
  <c r="AG36" i="75"/>
  <c r="AM28" i="75"/>
  <c r="AL26" i="75"/>
  <c r="AJ9" i="75"/>
  <c r="AH12" i="75"/>
  <c r="AG19" i="75"/>
  <c r="AM47" i="75"/>
  <c r="AL58" i="75"/>
  <c r="AJ69" i="75"/>
  <c r="AH100" i="75"/>
  <c r="AL63" i="75"/>
  <c r="AJ61" i="75"/>
  <c r="AI44" i="75"/>
  <c r="AG121" i="75"/>
  <c r="AM20" i="75"/>
  <c r="AL59" i="75"/>
  <c r="AJ55" i="75"/>
  <c r="AI53" i="75"/>
  <c r="AG15" i="75"/>
  <c r="AM48" i="75"/>
  <c r="AK6" i="52"/>
  <c r="AM12" i="52"/>
  <c r="AK14" i="52"/>
  <c r="AI17" i="52"/>
  <c r="AG19" i="52"/>
  <c r="AM21" i="52"/>
  <c r="AK23" i="52"/>
  <c r="AH25" i="52"/>
  <c r="AL64" i="75"/>
  <c r="AH51" i="75"/>
  <c r="AI89" i="75"/>
  <c r="AI106" i="75"/>
  <c r="AJ30" i="75"/>
  <c r="AM86" i="75"/>
  <c r="AL38" i="75"/>
  <c r="AL41" i="75"/>
  <c r="AL43" i="75"/>
  <c r="AL72" i="75"/>
  <c r="AL71" i="75"/>
  <c r="AK74" i="75"/>
  <c r="AJ77" i="75"/>
  <c r="AJ99" i="75"/>
  <c r="AK103" i="75"/>
  <c r="AJ117" i="75"/>
  <c r="AI120" i="75"/>
  <c r="AI17" i="75"/>
  <c r="AI93" i="75"/>
  <c r="AI110" i="75"/>
  <c r="AI91" i="75"/>
  <c r="AH96" i="75"/>
  <c r="AG49" i="75"/>
  <c r="AH109" i="75"/>
  <c r="AH36" i="75"/>
  <c r="AG22" i="75"/>
  <c r="AM26" i="75"/>
  <c r="AK9" i="75"/>
  <c r="AJ12" i="75"/>
  <c r="AH19" i="75"/>
  <c r="AM58" i="75"/>
  <c r="AK69" i="75"/>
  <c r="AI100" i="75"/>
  <c r="AG32" i="75"/>
  <c r="AM63" i="75"/>
  <c r="AL61" i="75"/>
  <c r="AJ44" i="75"/>
  <c r="AH121" i="75"/>
  <c r="AG52" i="75"/>
  <c r="AJ84" i="75"/>
  <c r="AJ51" i="75"/>
  <c r="AG70" i="75"/>
  <c r="AM89" i="75"/>
  <c r="AH54" i="75"/>
  <c r="AJ106" i="75"/>
  <c r="AM30" i="75"/>
  <c r="AG24" i="75"/>
  <c r="AM38" i="75"/>
  <c r="AM72" i="75"/>
  <c r="AM71" i="75"/>
  <c r="AL74" i="75"/>
  <c r="AL77" i="75"/>
  <c r="AM99" i="75"/>
  <c r="AL103" i="75"/>
  <c r="AK117" i="75"/>
  <c r="AJ120" i="75"/>
  <c r="AK17" i="75"/>
  <c r="AK93" i="75"/>
  <c r="AJ110" i="75"/>
  <c r="AJ91" i="75"/>
  <c r="AI96" i="75"/>
  <c r="AI49" i="75"/>
  <c r="AJ109" i="75"/>
  <c r="AI36" i="75"/>
  <c r="AH22" i="75"/>
  <c r="AH7" i="75"/>
  <c r="AM9" i="75"/>
  <c r="AK12" i="75"/>
  <c r="AI19" i="75"/>
  <c r="AH57" i="75"/>
  <c r="AL69" i="75"/>
  <c r="AJ100" i="75"/>
  <c r="AH32" i="75"/>
  <c r="AM61" i="75"/>
  <c r="AK44" i="75"/>
  <c r="AJ121" i="75"/>
  <c r="AH52" i="75"/>
  <c r="AM55" i="75"/>
  <c r="AK53" i="75"/>
  <c r="AI15" i="75"/>
  <c r="AG5" i="52"/>
  <c r="AM6" i="52"/>
  <c r="AG13" i="52"/>
  <c r="AM14" i="52"/>
  <c r="AJ19" i="52"/>
  <c r="AI20" i="52"/>
  <c r="AG22" i="52"/>
  <c r="AM23" i="52"/>
  <c r="AJ25" i="52"/>
  <c r="AG27" i="52"/>
  <c r="AM30" i="52"/>
  <c r="AI31" i="52"/>
  <c r="AM33" i="52"/>
  <c r="AI34" i="52"/>
  <c r="AM36" i="52"/>
  <c r="AI38" i="52"/>
  <c r="AM39" i="52"/>
  <c r="AI41" i="52"/>
  <c r="AM42" i="52"/>
  <c r="AI44" i="52"/>
  <c r="AM45" i="52"/>
  <c r="AI47" i="52"/>
  <c r="AM48" i="52"/>
  <c r="AI50" i="52"/>
  <c r="AM51" i="52"/>
  <c r="AI53" i="52"/>
  <c r="AM54" i="52"/>
  <c r="AI56" i="52"/>
  <c r="AM57" i="52"/>
  <c r="AI59" i="52"/>
  <c r="AM60" i="52"/>
  <c r="AI62" i="52"/>
  <c r="AM63" i="52"/>
  <c r="AI65" i="52"/>
  <c r="AM66" i="52"/>
  <c r="AI68" i="52"/>
  <c r="AM69" i="52"/>
  <c r="AI71" i="52"/>
  <c r="AM82" i="52"/>
  <c r="AI84" i="52"/>
  <c r="AM85" i="52"/>
  <c r="AI87" i="52"/>
  <c r="AM88" i="52"/>
  <c r="AI91" i="52"/>
  <c r="AM90" i="52"/>
  <c r="AI93" i="52"/>
  <c r="AM94" i="52"/>
  <c r="AI98" i="52"/>
  <c r="AM119" i="52"/>
  <c r="AI100" i="52"/>
  <c r="AM101" i="52"/>
  <c r="AI105" i="52"/>
  <c r="AM106" i="52"/>
  <c r="AI107" i="52"/>
  <c r="AM108" i="52"/>
  <c r="AI114" i="52"/>
  <c r="AM115" i="52"/>
  <c r="AI120" i="52"/>
  <c r="AM125" i="52"/>
  <c r="AI127" i="52"/>
  <c r="AM128" i="52"/>
  <c r="AI130" i="52"/>
  <c r="AM131" i="52"/>
  <c r="AI133" i="52"/>
  <c r="AM134" i="52"/>
  <c r="AI136" i="52"/>
  <c r="AM137" i="52"/>
  <c r="AI139" i="52"/>
  <c r="AM140" i="52"/>
  <c r="AI142" i="52"/>
  <c r="AM143" i="52"/>
  <c r="AI145" i="52"/>
  <c r="AM146" i="52"/>
  <c r="AI148" i="52"/>
  <c r="AM149" i="52"/>
  <c r="AI151" i="52"/>
  <c r="AM152" i="52"/>
  <c r="AI154" i="52"/>
  <c r="AM158" i="52"/>
  <c r="AI156" i="52"/>
  <c r="AM157" i="52"/>
  <c r="AI160" i="52"/>
  <c r="AM161" i="52"/>
  <c r="AI163" i="52"/>
  <c r="AM164" i="52"/>
  <c r="AI166" i="52"/>
  <c r="AM95" i="52"/>
  <c r="AI104" i="52"/>
  <c r="AM109" i="52"/>
  <c r="AI112" i="52"/>
  <c r="AM113" i="52"/>
  <c r="AI117" i="52"/>
  <c r="AM121" i="52"/>
  <c r="AI123" i="52"/>
  <c r="AM124" i="52"/>
  <c r="AI18" i="50"/>
  <c r="AM25" i="50"/>
  <c r="AI38" i="50"/>
  <c r="AM42" i="50"/>
  <c r="AI24" i="50"/>
  <c r="AM35" i="50"/>
  <c r="AI47" i="50"/>
  <c r="AM48" i="50"/>
  <c r="AI30" i="50"/>
  <c r="AM10" i="50"/>
  <c r="AI5" i="50"/>
  <c r="AM9" i="50"/>
  <c r="AI44" i="50"/>
  <c r="AM45" i="50"/>
  <c r="AI50" i="50"/>
  <c r="AM12" i="50"/>
  <c r="AH25" i="75"/>
  <c r="AI70" i="75"/>
  <c r="AG113" i="75"/>
  <c r="AJ54" i="75"/>
  <c r="AK106" i="75"/>
  <c r="AH33" i="75"/>
  <c r="AH24" i="75"/>
  <c r="AG37" i="75"/>
  <c r="AG42" i="75"/>
  <c r="AG46" i="75"/>
  <c r="AM74" i="75"/>
  <c r="AM77" i="75"/>
  <c r="AM103" i="75"/>
  <c r="AL117" i="75"/>
  <c r="AL120" i="75"/>
  <c r="AL17" i="75"/>
  <c r="AL93" i="75"/>
  <c r="AL110" i="75"/>
  <c r="AK91" i="75"/>
  <c r="AJ96" i="75"/>
  <c r="AJ49" i="75"/>
  <c r="AK109" i="75"/>
  <c r="AJ36" i="75"/>
  <c r="AI22" i="75"/>
  <c r="AI7" i="75"/>
  <c r="AH114" i="75"/>
  <c r="AL12" i="75"/>
  <c r="AJ19" i="75"/>
  <c r="AI57" i="75"/>
  <c r="AG67" i="75"/>
  <c r="AM69" i="75"/>
  <c r="AK100" i="75"/>
  <c r="AI32" i="75"/>
  <c r="AH90" i="75"/>
  <c r="AM44" i="75"/>
  <c r="AK121" i="75"/>
  <c r="AI52" i="75"/>
  <c r="AH6" i="75"/>
  <c r="AL53" i="75"/>
  <c r="AJ15" i="75"/>
  <c r="AH5" i="52"/>
  <c r="AH13" i="52"/>
  <c r="AG15" i="52"/>
  <c r="AM17" i="52"/>
  <c r="AJ20" i="52"/>
  <c r="AH22" i="52"/>
  <c r="AK25" i="52"/>
  <c r="AH27" i="52"/>
  <c r="AM28" i="52"/>
  <c r="AJ31" i="52"/>
  <c r="AJ34" i="52"/>
  <c r="AJ38" i="52"/>
  <c r="AJ41" i="52"/>
  <c r="AJ44" i="52"/>
  <c r="AJ47" i="52"/>
  <c r="AJ50" i="52"/>
  <c r="AJ53" i="52"/>
  <c r="AJ56" i="52"/>
  <c r="AJ59" i="52"/>
  <c r="AJ62" i="52"/>
  <c r="AJ65" i="52"/>
  <c r="AJ68" i="52"/>
  <c r="AJ71" i="52"/>
  <c r="AJ84" i="52"/>
  <c r="AJ87" i="52"/>
  <c r="AJ91" i="52"/>
  <c r="AH46" i="75"/>
  <c r="AL91" i="75"/>
  <c r="AH67" i="75"/>
  <c r="AG78" i="75"/>
  <c r="AI25" i="52"/>
  <c r="AH31" i="52"/>
  <c r="AH38" i="52"/>
  <c r="AJ40" i="52"/>
  <c r="AI42" i="52"/>
  <c r="AH44" i="52"/>
  <c r="AJ46" i="52"/>
  <c r="AI48" i="52"/>
  <c r="AH50" i="52"/>
  <c r="AJ52" i="52"/>
  <c r="AI54" i="52"/>
  <c r="AH56" i="52"/>
  <c r="AJ58" i="52"/>
  <c r="AI60" i="52"/>
  <c r="AH62" i="52"/>
  <c r="AJ64" i="52"/>
  <c r="AI66" i="52"/>
  <c r="AH68" i="52"/>
  <c r="AJ70" i="52"/>
  <c r="AI82" i="52"/>
  <c r="AH84" i="52"/>
  <c r="AJ86" i="52"/>
  <c r="AI88" i="52"/>
  <c r="AH91" i="52"/>
  <c r="AI92" i="52"/>
  <c r="AG94" i="52"/>
  <c r="AM96" i="52"/>
  <c r="AK119" i="52"/>
  <c r="AJ100" i="52"/>
  <c r="AI102" i="52"/>
  <c r="AG106" i="52"/>
  <c r="AM103" i="52"/>
  <c r="AJ108" i="52"/>
  <c r="AG114" i="52"/>
  <c r="AJ120" i="52"/>
  <c r="AG126" i="52"/>
  <c r="AI129" i="52"/>
  <c r="AK132" i="52"/>
  <c r="AH134" i="52"/>
  <c r="AM135" i="52"/>
  <c r="AJ137" i="52"/>
  <c r="AG139" i="52"/>
  <c r="AJ142" i="52"/>
  <c r="AG144" i="52"/>
  <c r="AI147" i="52"/>
  <c r="AK150" i="52"/>
  <c r="AH152" i="52"/>
  <c r="AM153" i="52"/>
  <c r="AJ158" i="52"/>
  <c r="AG156" i="52"/>
  <c r="AJ160" i="52"/>
  <c r="AG162" i="52"/>
  <c r="AI165" i="52"/>
  <c r="AK97" i="52"/>
  <c r="AH109" i="52"/>
  <c r="AM110" i="52"/>
  <c r="AJ113" i="52"/>
  <c r="AG117" i="52"/>
  <c r="AJ123" i="52"/>
  <c r="AG8" i="50"/>
  <c r="AL18" i="50"/>
  <c r="AI32" i="50"/>
  <c r="AK49" i="50"/>
  <c r="AH35" i="50"/>
  <c r="AM41" i="50"/>
  <c r="AJ48" i="50"/>
  <c r="AG30" i="50"/>
  <c r="AL10" i="50"/>
  <c r="AJ5" i="50"/>
  <c r="AG36" i="50"/>
  <c r="AL44" i="50"/>
  <c r="AI43" i="50"/>
  <c r="AK13" i="50"/>
  <c r="AG21" i="50"/>
  <c r="AK23" i="50"/>
  <c r="AG33" i="50"/>
  <c r="AK34" i="50"/>
  <c r="AG14" i="50"/>
  <c r="AK27" i="50"/>
  <c r="AG4" i="50"/>
  <c r="AK6" i="50"/>
  <c r="AG15" i="50"/>
  <c r="AK16" i="50"/>
  <c r="AG37" i="50"/>
  <c r="AK39" i="50"/>
  <c r="AG53" i="50"/>
  <c r="AK20" i="50"/>
  <c r="AG46" i="50"/>
  <c r="AK22" i="50"/>
  <c r="AG35" i="51"/>
  <c r="AK40" i="51"/>
  <c r="AG33" i="51"/>
  <c r="AK10" i="51"/>
  <c r="AG5" i="51"/>
  <c r="AK15" i="51"/>
  <c r="AG9" i="51"/>
  <c r="AK16" i="51"/>
  <c r="AG42" i="51"/>
  <c r="AK24" i="51"/>
  <c r="AG8" i="51"/>
  <c r="AK7" i="51"/>
  <c r="AG19" i="51"/>
  <c r="AK21" i="51"/>
  <c r="AG29" i="51"/>
  <c r="AK107" i="75"/>
  <c r="AH65" i="75"/>
  <c r="AL96" i="75"/>
  <c r="AJ53" i="75"/>
  <c r="AH15" i="52"/>
  <c r="AK31" i="52"/>
  <c r="AI36" i="52"/>
  <c r="AK38" i="52"/>
  <c r="AK40" i="52"/>
  <c r="AJ42" i="52"/>
  <c r="AK44" i="52"/>
  <c r="AK46" i="52"/>
  <c r="AJ48" i="52"/>
  <c r="AK50" i="52"/>
  <c r="AK52" i="52"/>
  <c r="AJ54" i="52"/>
  <c r="AK56" i="52"/>
  <c r="AK58" i="52"/>
  <c r="AJ60" i="52"/>
  <c r="AK62" i="52"/>
  <c r="AK64" i="52"/>
  <c r="AJ66" i="52"/>
  <c r="AK68" i="52"/>
  <c r="AK70" i="52"/>
  <c r="AJ82" i="52"/>
  <c r="AK84" i="52"/>
  <c r="AK86" i="52"/>
  <c r="AJ88" i="52"/>
  <c r="AK91" i="52"/>
  <c r="AJ92" i="52"/>
  <c r="AH94" i="52"/>
  <c r="AK100" i="52"/>
  <c r="AJ102" i="52"/>
  <c r="AH106" i="52"/>
  <c r="AK108" i="52"/>
  <c r="AH114" i="52"/>
  <c r="AK120" i="52"/>
  <c r="AH126" i="52"/>
  <c r="AM127" i="52"/>
  <c r="AJ129" i="52"/>
  <c r="AG131" i="52"/>
  <c r="AI134" i="52"/>
  <c r="AK137" i="52"/>
  <c r="AH139" i="52"/>
  <c r="AK142" i="52"/>
  <c r="AH144" i="52"/>
  <c r="AM145" i="52"/>
  <c r="AJ147" i="52"/>
  <c r="AG149" i="52"/>
  <c r="AI152" i="52"/>
  <c r="AK158" i="52"/>
  <c r="AH156" i="52"/>
  <c r="AK160" i="52"/>
  <c r="AH162" i="52"/>
  <c r="AM163" i="52"/>
  <c r="AJ165" i="52"/>
  <c r="AG95" i="52"/>
  <c r="AI109" i="52"/>
  <c r="AK113" i="52"/>
  <c r="AH117" i="52"/>
  <c r="AK123" i="52"/>
  <c r="AH8" i="50"/>
  <c r="AM18" i="50"/>
  <c r="AJ32" i="50"/>
  <c r="AG42" i="50"/>
  <c r="AL49" i="50"/>
  <c r="AI35" i="50"/>
  <c r="AK48" i="50"/>
  <c r="AH30" i="50"/>
  <c r="AK5" i="50"/>
  <c r="AK25" i="75"/>
  <c r="AG73" i="75"/>
  <c r="AM49" i="75"/>
  <c r="AL100" i="75"/>
  <c r="AM53" i="75"/>
  <c r="AJ17" i="52"/>
  <c r="AM26" i="52"/>
  <c r="AI33" i="52"/>
  <c r="AJ36" i="52"/>
  <c r="AM38" i="52"/>
  <c r="AK42" i="52"/>
  <c r="AM44" i="52"/>
  <c r="AK48" i="52"/>
  <c r="AM50" i="52"/>
  <c r="AK54" i="52"/>
  <c r="AM56" i="52"/>
  <c r="AK60" i="52"/>
  <c r="AM62" i="52"/>
  <c r="AK66" i="52"/>
  <c r="AM68" i="52"/>
  <c r="AK82" i="52"/>
  <c r="AM84" i="52"/>
  <c r="AK88" i="52"/>
  <c r="AM91" i="52"/>
  <c r="AK92" i="52"/>
  <c r="AI94" i="52"/>
  <c r="AG98" i="52"/>
  <c r="AM100" i="52"/>
  <c r="AK102" i="52"/>
  <c r="AI106" i="52"/>
  <c r="AG107" i="52"/>
  <c r="AJ114" i="52"/>
  <c r="AG118" i="52"/>
  <c r="AI126" i="52"/>
  <c r="AK129" i="52"/>
  <c r="AH131" i="52"/>
  <c r="AM132" i="52"/>
  <c r="AJ134" i="52"/>
  <c r="AG136" i="52"/>
  <c r="AJ139" i="52"/>
  <c r="AG141" i="52"/>
  <c r="AI144" i="52"/>
  <c r="AK147" i="52"/>
  <c r="AH149" i="52"/>
  <c r="AM150" i="52"/>
  <c r="AJ152" i="52"/>
  <c r="AG154" i="52"/>
  <c r="AJ156" i="52"/>
  <c r="AG159" i="52"/>
  <c r="AI162" i="52"/>
  <c r="AK165" i="52"/>
  <c r="AH95" i="52"/>
  <c r="AM97" i="52"/>
  <c r="AJ109" i="52"/>
  <c r="AG112" i="52"/>
  <c r="AJ117" i="52"/>
  <c r="AG122" i="52"/>
  <c r="AI8" i="50"/>
  <c r="AJ70" i="75"/>
  <c r="AG76" i="75"/>
  <c r="AL109" i="75"/>
  <c r="AJ32" i="75"/>
  <c r="AH15" i="75"/>
  <c r="AJ33" i="52"/>
  <c r="AK36" i="52"/>
  <c r="AM40" i="52"/>
  <c r="AM46" i="52"/>
  <c r="AM52" i="52"/>
  <c r="AM58" i="52"/>
  <c r="AM64" i="52"/>
  <c r="AM70" i="52"/>
  <c r="AM86" i="52"/>
  <c r="AJ94" i="52"/>
  <c r="AH98" i="52"/>
  <c r="AG99" i="52"/>
  <c r="AJ106" i="52"/>
  <c r="AH107" i="52"/>
  <c r="AK114" i="52"/>
  <c r="AH118" i="52"/>
  <c r="AM120" i="52"/>
  <c r="AJ126" i="52"/>
  <c r="AG128" i="52"/>
  <c r="AI131" i="52"/>
  <c r="AK134" i="52"/>
  <c r="AH136" i="52"/>
  <c r="AK139" i="52"/>
  <c r="AH141" i="52"/>
  <c r="AM142" i="52"/>
  <c r="AJ144" i="52"/>
  <c r="AG146" i="52"/>
  <c r="AI149" i="52"/>
  <c r="AK152" i="52"/>
  <c r="AH154" i="52"/>
  <c r="AK156" i="52"/>
  <c r="AH159" i="52"/>
  <c r="AM160" i="52"/>
  <c r="AJ162" i="52"/>
  <c r="AG164" i="52"/>
  <c r="AI95" i="52"/>
  <c r="AK109" i="52"/>
  <c r="AH112" i="52"/>
  <c r="AK117" i="52"/>
  <c r="AH122" i="52"/>
  <c r="AM123" i="52"/>
  <c r="AJ8" i="50"/>
  <c r="AG25" i="50"/>
  <c r="AL32" i="50"/>
  <c r="AI42" i="50"/>
  <c r="AK35" i="50"/>
  <c r="AH47" i="50"/>
  <c r="AH113" i="75"/>
  <c r="AH85" i="75"/>
  <c r="AK36" i="75"/>
  <c r="AI90" i="75"/>
  <c r="AK15" i="75"/>
  <c r="AI19" i="52"/>
  <c r="AI27" i="52"/>
  <c r="AK33" i="52"/>
  <c r="AG39" i="52"/>
  <c r="AG43" i="52"/>
  <c r="AG45" i="52"/>
  <c r="AG49" i="52"/>
  <c r="AG51" i="52"/>
  <c r="AG55" i="52"/>
  <c r="AG57" i="52"/>
  <c r="AG61" i="52"/>
  <c r="AG63" i="52"/>
  <c r="AG67" i="52"/>
  <c r="AG69" i="52"/>
  <c r="AG83" i="52"/>
  <c r="AG85" i="52"/>
  <c r="AG89" i="52"/>
  <c r="AG90" i="52"/>
  <c r="AM92" i="52"/>
  <c r="AK94" i="52"/>
  <c r="AJ98" i="52"/>
  <c r="AI99" i="52"/>
  <c r="AG101" i="52"/>
  <c r="AM102" i="52"/>
  <c r="AK106" i="52"/>
  <c r="AJ107" i="52"/>
  <c r="AG111" i="52"/>
  <c r="AI118" i="52"/>
  <c r="AK126" i="52"/>
  <c r="AH128" i="52"/>
  <c r="AM129" i="52"/>
  <c r="AJ131" i="52"/>
  <c r="AG133" i="52"/>
  <c r="AJ136" i="52"/>
  <c r="AG138" i="52"/>
  <c r="AI141" i="52"/>
  <c r="AK144" i="52"/>
  <c r="AH146" i="52"/>
  <c r="AM147" i="52"/>
  <c r="AJ149" i="52"/>
  <c r="AG151" i="52"/>
  <c r="AJ154" i="52"/>
  <c r="AG155" i="52"/>
  <c r="AI159" i="52"/>
  <c r="AK162" i="52"/>
  <c r="AH164" i="52"/>
  <c r="AM165" i="52"/>
  <c r="AJ95" i="52"/>
  <c r="AG104" i="52"/>
  <c r="AJ112" i="52"/>
  <c r="AG116" i="52"/>
  <c r="AI122" i="52"/>
  <c r="AK8" i="50"/>
  <c r="AH25" i="50"/>
  <c r="AM32" i="50"/>
  <c r="AJ42" i="50"/>
  <c r="AG24" i="50"/>
  <c r="AL35" i="50"/>
  <c r="AJ47" i="50"/>
  <c r="AK54" i="75"/>
  <c r="AG102" i="75"/>
  <c r="AJ22" i="75"/>
  <c r="AH111" i="75"/>
  <c r="AM19" i="52"/>
  <c r="AI28" i="52"/>
  <c r="AJ30" i="52"/>
  <c r="AG37" i="52"/>
  <c r="AH39" i="52"/>
  <c r="AG41" i="52"/>
  <c r="AI43" i="52"/>
  <c r="AH45" i="52"/>
  <c r="AG47" i="52"/>
  <c r="AI49" i="52"/>
  <c r="AH51" i="52"/>
  <c r="AG53" i="52"/>
  <c r="AI55" i="52"/>
  <c r="AH57" i="52"/>
  <c r="AG59" i="52"/>
  <c r="AI61" i="52"/>
  <c r="AH63" i="52"/>
  <c r="AG65" i="52"/>
  <c r="AI67" i="52"/>
  <c r="AH69" i="52"/>
  <c r="AG71" i="52"/>
  <c r="AI83" i="52"/>
  <c r="AH85" i="52"/>
  <c r="AG87" i="52"/>
  <c r="AI89" i="52"/>
  <c r="AH90" i="52"/>
  <c r="AK98" i="52"/>
  <c r="AJ99" i="52"/>
  <c r="AH101" i="52"/>
  <c r="AK107" i="52"/>
  <c r="AH111" i="52"/>
  <c r="AM114" i="52"/>
  <c r="AJ118" i="52"/>
  <c r="AG125" i="52"/>
  <c r="AI128" i="52"/>
  <c r="AK131" i="52"/>
  <c r="AH133" i="52"/>
  <c r="AK136" i="52"/>
  <c r="AH138" i="52"/>
  <c r="AM139" i="52"/>
  <c r="AJ141" i="52"/>
  <c r="AG143" i="52"/>
  <c r="AI146" i="52"/>
  <c r="AK149" i="52"/>
  <c r="AH151" i="52"/>
  <c r="AK154" i="52"/>
  <c r="AH155" i="52"/>
  <c r="AM156" i="52"/>
  <c r="AJ159" i="52"/>
  <c r="AG161" i="52"/>
  <c r="AI164" i="52"/>
  <c r="AK95" i="52"/>
  <c r="AH104" i="52"/>
  <c r="AK112" i="52"/>
  <c r="AH116" i="52"/>
  <c r="AM117" i="52"/>
  <c r="AJ122" i="52"/>
  <c r="AG124" i="52"/>
  <c r="AL8" i="50"/>
  <c r="AL106" i="75"/>
  <c r="AK7" i="75"/>
  <c r="AI5" i="52"/>
  <c r="AH20" i="52"/>
  <c r="AJ28" i="52"/>
  <c r="AK30" i="52"/>
  <c r="AG35" i="52"/>
  <c r="AI37" i="52"/>
  <c r="AI39" i="52"/>
  <c r="AH41" i="52"/>
  <c r="AJ43" i="52"/>
  <c r="AI45" i="52"/>
  <c r="AH47" i="52"/>
  <c r="AJ49" i="52"/>
  <c r="AI51" i="52"/>
  <c r="AH53" i="52"/>
  <c r="AJ55" i="52"/>
  <c r="AI57" i="52"/>
  <c r="AH59" i="52"/>
  <c r="AJ61" i="52"/>
  <c r="AI63" i="52"/>
  <c r="AH65" i="52"/>
  <c r="AJ67" i="52"/>
  <c r="AI69" i="52"/>
  <c r="AH71" i="52"/>
  <c r="AJ83" i="52"/>
  <c r="AI85" i="52"/>
  <c r="AH87" i="52"/>
  <c r="AJ89" i="52"/>
  <c r="AI90" i="52"/>
  <c r="AG93" i="52"/>
  <c r="AM98" i="52"/>
  <c r="AK99" i="52"/>
  <c r="AI101" i="52"/>
  <c r="AG105" i="52"/>
  <c r="AI111" i="52"/>
  <c r="AK118" i="52"/>
  <c r="AH125" i="52"/>
  <c r="AM126" i="52"/>
  <c r="AJ128" i="52"/>
  <c r="AG130" i="52"/>
  <c r="AJ133" i="52"/>
  <c r="AG135" i="52"/>
  <c r="AI138" i="52"/>
  <c r="AK141" i="52"/>
  <c r="AH143" i="52"/>
  <c r="AM144" i="52"/>
  <c r="AJ146" i="52"/>
  <c r="AG148" i="52"/>
  <c r="AJ151" i="52"/>
  <c r="AG153" i="52"/>
  <c r="AI155" i="52"/>
  <c r="AK159" i="52"/>
  <c r="AH161" i="52"/>
  <c r="AM162" i="52"/>
  <c r="AJ164" i="52"/>
  <c r="AG166" i="52"/>
  <c r="AJ104" i="52"/>
  <c r="AG110" i="52"/>
  <c r="AI116" i="52"/>
  <c r="AK122" i="52"/>
  <c r="AI33" i="75"/>
  <c r="AM117" i="75"/>
  <c r="AI114" i="75"/>
  <c r="AL121" i="75"/>
  <c r="AK20" i="52"/>
  <c r="AK28" i="52"/>
  <c r="AM35" i="52"/>
  <c r="AJ37" i="52"/>
  <c r="AJ39" i="52"/>
  <c r="AK41" i="52"/>
  <c r="AK43" i="52"/>
  <c r="AJ45" i="52"/>
  <c r="AK47" i="52"/>
  <c r="AK49" i="52"/>
  <c r="AJ51" i="52"/>
  <c r="AK53" i="52"/>
  <c r="AK55" i="52"/>
  <c r="AJ57" i="52"/>
  <c r="AK59" i="52"/>
  <c r="AK61" i="52"/>
  <c r="AJ63" i="52"/>
  <c r="AK65" i="52"/>
  <c r="AK67" i="52"/>
  <c r="AJ69" i="52"/>
  <c r="AK71" i="52"/>
  <c r="AK83" i="52"/>
  <c r="AJ85" i="52"/>
  <c r="AK87" i="52"/>
  <c r="AK89" i="52"/>
  <c r="AJ90" i="52"/>
  <c r="AH93" i="52"/>
  <c r="AG96" i="52"/>
  <c r="AJ101" i="52"/>
  <c r="AH105" i="52"/>
  <c r="AG103" i="52"/>
  <c r="AM107" i="52"/>
  <c r="AJ111" i="52"/>
  <c r="AG115" i="52"/>
  <c r="AI125" i="52"/>
  <c r="AK128" i="52"/>
  <c r="AH130" i="52"/>
  <c r="AK133" i="52"/>
  <c r="AH135" i="52"/>
  <c r="AM136" i="52"/>
  <c r="AJ138" i="52"/>
  <c r="AG140" i="52"/>
  <c r="AI143" i="52"/>
  <c r="AK146" i="52"/>
  <c r="AH148" i="52"/>
  <c r="AK151" i="52"/>
  <c r="AH153" i="52"/>
  <c r="AM154" i="52"/>
  <c r="AJ155" i="52"/>
  <c r="AG157" i="52"/>
  <c r="AI161" i="52"/>
  <c r="AK164" i="52"/>
  <c r="AH166" i="52"/>
  <c r="AK104" i="52"/>
  <c r="AH110" i="52"/>
  <c r="AM112" i="52"/>
  <c r="AJ116" i="52"/>
  <c r="AG121" i="52"/>
  <c r="AI24" i="75"/>
  <c r="AG10" i="75"/>
  <c r="AJ52" i="75"/>
  <c r="AH7" i="52"/>
  <c r="AG32" i="52"/>
  <c r="AK39" i="52"/>
  <c r="AM41" i="52"/>
  <c r="AK45" i="52"/>
  <c r="AM47" i="52"/>
  <c r="AK51" i="52"/>
  <c r="AM53" i="52"/>
  <c r="AK57" i="52"/>
  <c r="AM59" i="52"/>
  <c r="AK63" i="52"/>
  <c r="AM65" i="52"/>
  <c r="AK69" i="52"/>
  <c r="AM71" i="52"/>
  <c r="AK85" i="52"/>
  <c r="AM87" i="52"/>
  <c r="AK90" i="52"/>
  <c r="AJ93" i="52"/>
  <c r="AI96" i="52"/>
  <c r="AG119" i="52"/>
  <c r="AM99" i="52"/>
  <c r="AK101" i="52"/>
  <c r="AJ105" i="52"/>
  <c r="AI103" i="52"/>
  <c r="AK111" i="52"/>
  <c r="AH115" i="52"/>
  <c r="AM118" i="52"/>
  <c r="AJ125" i="52"/>
  <c r="AG127" i="52"/>
  <c r="AJ130" i="52"/>
  <c r="AG132" i="52"/>
  <c r="AI135" i="52"/>
  <c r="AK138" i="52"/>
  <c r="AH140" i="52"/>
  <c r="AM141" i="52"/>
  <c r="AJ143" i="52"/>
  <c r="AG145" i="52"/>
  <c r="AJ148" i="52"/>
  <c r="AG150" i="52"/>
  <c r="AI153" i="52"/>
  <c r="AK155" i="52"/>
  <c r="AH157" i="52"/>
  <c r="AH37" i="75"/>
  <c r="AM12" i="75"/>
  <c r="AM59" i="75"/>
  <c r="AI22" i="52"/>
  <c r="AM32" i="52"/>
  <c r="AG34" i="52"/>
  <c r="AM37" i="52"/>
  <c r="AM43" i="52"/>
  <c r="AM49" i="52"/>
  <c r="AM55" i="52"/>
  <c r="AM61" i="52"/>
  <c r="AM67" i="52"/>
  <c r="AM83" i="52"/>
  <c r="AM89" i="52"/>
  <c r="AK93" i="52"/>
  <c r="AJ96" i="52"/>
  <c r="AH119" i="52"/>
  <c r="AK105" i="52"/>
  <c r="AJ103" i="52"/>
  <c r="AG108" i="52"/>
  <c r="AI115" i="52"/>
  <c r="AK125" i="52"/>
  <c r="AH127" i="52"/>
  <c r="AK130" i="52"/>
  <c r="AH132" i="52"/>
  <c r="AM133" i="52"/>
  <c r="AJ135" i="52"/>
  <c r="AG137" i="52"/>
  <c r="AI140" i="52"/>
  <c r="AK143" i="52"/>
  <c r="AH145" i="52"/>
  <c r="AK148" i="52"/>
  <c r="AH150" i="52"/>
  <c r="AM151" i="52"/>
  <c r="AJ153" i="52"/>
  <c r="AG158" i="52"/>
  <c r="AI157" i="52"/>
  <c r="AK161" i="52"/>
  <c r="AH163" i="52"/>
  <c r="AK166" i="52"/>
  <c r="AH97" i="52"/>
  <c r="AM104" i="52"/>
  <c r="AJ110" i="52"/>
  <c r="AG113" i="52"/>
  <c r="AI121" i="52"/>
  <c r="AK124" i="52"/>
  <c r="AH18" i="50"/>
  <c r="AK38" i="50"/>
  <c r="AH49" i="50"/>
  <c r="AM24" i="50"/>
  <c r="AJ41" i="50"/>
  <c r="AG48" i="50"/>
  <c r="AL11" i="50"/>
  <c r="AI10" i="50"/>
  <c r="AK9" i="50"/>
  <c r="AH44" i="50"/>
  <c r="AK50" i="50"/>
  <c r="AH13" i="50"/>
  <c r="AL19" i="50"/>
  <c r="AH23" i="50"/>
  <c r="AL29" i="50"/>
  <c r="AH34" i="50"/>
  <c r="AL52" i="50"/>
  <c r="AH27" i="50"/>
  <c r="AL31" i="50"/>
  <c r="AH6" i="50"/>
  <c r="AL28" i="50"/>
  <c r="AH16" i="50"/>
  <c r="AL17" i="50"/>
  <c r="AH39" i="50"/>
  <c r="AL51" i="50"/>
  <c r="AH20" i="50"/>
  <c r="AL40" i="50"/>
  <c r="AH22" i="50"/>
  <c r="AL47" i="51"/>
  <c r="AH40" i="51"/>
  <c r="AL32" i="51"/>
  <c r="AH10" i="51"/>
  <c r="AL28" i="51"/>
  <c r="AH15" i="51"/>
  <c r="AL17" i="51"/>
  <c r="AH16" i="51"/>
  <c r="AL25" i="51"/>
  <c r="AH24" i="51"/>
  <c r="AL4" i="51"/>
  <c r="AH7" i="51"/>
  <c r="AL13" i="51"/>
  <c r="AH21" i="51"/>
  <c r="AL27" i="51"/>
  <c r="AH30" i="51"/>
  <c r="AL31" i="51"/>
  <c r="AH37" i="51"/>
  <c r="AL38" i="51"/>
  <c r="AH12" i="51"/>
  <c r="AL44" i="51"/>
  <c r="AH46" i="51"/>
  <c r="AL14" i="51"/>
  <c r="AH20" i="51"/>
  <c r="AL22" i="51"/>
  <c r="AH6" i="51"/>
  <c r="AI40" i="75"/>
  <c r="AM93" i="75"/>
  <c r="AL19" i="75"/>
  <c r="AI6" i="75"/>
  <c r="AH34" i="52"/>
  <c r="AG40" i="52"/>
  <c r="AG42" i="52"/>
  <c r="AG46" i="52"/>
  <c r="AG48" i="52"/>
  <c r="AG52" i="52"/>
  <c r="AG54" i="52"/>
  <c r="AG58" i="52"/>
  <c r="AG60" i="52"/>
  <c r="AG64" i="52"/>
  <c r="AG66" i="52"/>
  <c r="AG70" i="52"/>
  <c r="AG82" i="52"/>
  <c r="AG86" i="52"/>
  <c r="AG88" i="52"/>
  <c r="AM93" i="52"/>
  <c r="AK96" i="52"/>
  <c r="AI119" i="52"/>
  <c r="AG100" i="52"/>
  <c r="AM105" i="52"/>
  <c r="AK103" i="52"/>
  <c r="AH108" i="52"/>
  <c r="AM111" i="52"/>
  <c r="AJ115" i="52"/>
  <c r="AG120" i="52"/>
  <c r="AJ127" i="52"/>
  <c r="AG129" i="52"/>
  <c r="AI132" i="52"/>
  <c r="AK135" i="52"/>
  <c r="AH137" i="52"/>
  <c r="AM138" i="52"/>
  <c r="AJ140" i="52"/>
  <c r="AG142" i="52"/>
  <c r="AJ145" i="52"/>
  <c r="AG147" i="52"/>
  <c r="AI150" i="52"/>
  <c r="AK153" i="52"/>
  <c r="AH158" i="52"/>
  <c r="AM155" i="52"/>
  <c r="AJ157" i="52"/>
  <c r="AG160" i="52"/>
  <c r="AJ163" i="52"/>
  <c r="AG165" i="52"/>
  <c r="AI97" i="52"/>
  <c r="AK110" i="52"/>
  <c r="AH113" i="52"/>
  <c r="AM116" i="52"/>
  <c r="AJ121" i="52"/>
  <c r="AG123" i="52"/>
  <c r="AJ18" i="50"/>
  <c r="AG32" i="50"/>
  <c r="AL38" i="50"/>
  <c r="AI49" i="50"/>
  <c r="AK41" i="50"/>
  <c r="AH48" i="50"/>
  <c r="AM11" i="50"/>
  <c r="AJ10" i="50"/>
  <c r="AG5" i="50"/>
  <c r="AL9" i="50"/>
  <c r="AJ44" i="50"/>
  <c r="AG43" i="50"/>
  <c r="AL50" i="50"/>
  <c r="AI13" i="50"/>
  <c r="AM19" i="50"/>
  <c r="AI23" i="50"/>
  <c r="AM29" i="50"/>
  <c r="AI34" i="50"/>
  <c r="AM52" i="50"/>
  <c r="AI27" i="50"/>
  <c r="AM31" i="50"/>
  <c r="AI6" i="50"/>
  <c r="AM28" i="50"/>
  <c r="AI16" i="50"/>
  <c r="AM17" i="50"/>
  <c r="AI39" i="50"/>
  <c r="AM51" i="50"/>
  <c r="AI20" i="50"/>
  <c r="AM40" i="50"/>
  <c r="AI22" i="50"/>
  <c r="AM47" i="51"/>
  <c r="AJ6" i="51"/>
  <c r="AM22" i="51"/>
  <c r="AG20" i="51"/>
  <c r="AJ14" i="51"/>
  <c r="AM45" i="51"/>
  <c r="AH44" i="51"/>
  <c r="AK39" i="51"/>
  <c r="AI34" i="51"/>
  <c r="AL30" i="51"/>
  <c r="AG21" i="51"/>
  <c r="AI13" i="51"/>
  <c r="AK8" i="51"/>
  <c r="AM24" i="51"/>
  <c r="AG16" i="51"/>
  <c r="AI17" i="51"/>
  <c r="AK5" i="51"/>
  <c r="AM10" i="51"/>
  <c r="AG40" i="51"/>
  <c r="AH47" i="51"/>
  <c r="AI46" i="50"/>
  <c r="AG20" i="50"/>
  <c r="AH51" i="50"/>
  <c r="AI37" i="50"/>
  <c r="AG16" i="50"/>
  <c r="AH28" i="50"/>
  <c r="AI4" i="50"/>
  <c r="AG27" i="50"/>
  <c r="AH52" i="50"/>
  <c r="AI33" i="50"/>
  <c r="AG23" i="50"/>
  <c r="AH19" i="50"/>
  <c r="AH12" i="50"/>
  <c r="AL45" i="50"/>
  <c r="AL36" i="50"/>
  <c r="AL5" i="50"/>
  <c r="AI48" i="50"/>
  <c r="AG35" i="50"/>
  <c r="AM38" i="50"/>
  <c r="AG18" i="50"/>
  <c r="AH165" i="52"/>
  <c r="AG152" i="52"/>
  <c r="AJ132" i="52"/>
  <c r="AH100" i="52"/>
  <c r="AH66" i="52"/>
  <c r="AH42" i="52"/>
  <c r="AG24" i="52"/>
  <c r="X69" i="49"/>
  <c r="M127" i="79"/>
  <c r="AG23" i="51"/>
  <c r="AI6" i="51"/>
  <c r="AK22" i="51"/>
  <c r="AI14" i="51"/>
  <c r="AL45" i="51"/>
  <c r="AG44" i="51"/>
  <c r="AJ39" i="51"/>
  <c r="AM37" i="51"/>
  <c r="AH34" i="51"/>
  <c r="AK30" i="51"/>
  <c r="AM27" i="51"/>
  <c r="AH13" i="51"/>
  <c r="AJ8" i="51"/>
  <c r="AL24" i="51"/>
  <c r="AM25" i="51"/>
  <c r="AH17" i="51"/>
  <c r="AJ5" i="51"/>
  <c r="AL10" i="51"/>
  <c r="AM32" i="51"/>
  <c r="AG47" i="51"/>
  <c r="AH46" i="50"/>
  <c r="AG51" i="50"/>
  <c r="AH37" i="50"/>
  <c r="AG28" i="50"/>
  <c r="AH4" i="50"/>
  <c r="AG52" i="50"/>
  <c r="AH33" i="50"/>
  <c r="AG19" i="50"/>
  <c r="AG12" i="50"/>
  <c r="AK45" i="50"/>
  <c r="AK36" i="50"/>
  <c r="AH5" i="50"/>
  <c r="AM30" i="50"/>
  <c r="AL24" i="50"/>
  <c r="AJ38" i="50"/>
  <c r="AK116" i="52"/>
  <c r="AJ150" i="52"/>
  <c r="AM130" i="52"/>
  <c r="AJ119" i="52"/>
  <c r="AI64" i="52"/>
  <c r="AI40" i="52"/>
  <c r="AJ13" i="52"/>
  <c r="AG6" i="51"/>
  <c r="AJ22" i="51"/>
  <c r="AM18" i="51"/>
  <c r="AH14" i="51"/>
  <c r="AK45" i="51"/>
  <c r="AI39" i="51"/>
  <c r="AL37" i="51"/>
  <c r="AG34" i="51"/>
  <c r="AJ30" i="51"/>
  <c r="AK27" i="51"/>
  <c r="AM19" i="51"/>
  <c r="AG13" i="51"/>
  <c r="AI8" i="51"/>
  <c r="AJ24" i="51"/>
  <c r="AK25" i="51"/>
  <c r="AM9" i="51"/>
  <c r="AG17" i="51"/>
  <c r="AI5" i="51"/>
  <c r="AJ10" i="51"/>
  <c r="AK32" i="51"/>
  <c r="AM35" i="51"/>
  <c r="AM53" i="50"/>
  <c r="AM15" i="50"/>
  <c r="AM14" i="50"/>
  <c r="AM21" i="50"/>
  <c r="AM50" i="50"/>
  <c r="AJ45" i="50"/>
  <c r="AJ36" i="50"/>
  <c r="AM7" i="50"/>
  <c r="AL30" i="50"/>
  <c r="AM47" i="50"/>
  <c r="AK24" i="50"/>
  <c r="AH38" i="50"/>
  <c r="AM8" i="50"/>
  <c r="AI113" i="52"/>
  <c r="AK163" i="52"/>
  <c r="AM148" i="52"/>
  <c r="AH129" i="52"/>
  <c r="AG62" i="52"/>
  <c r="AG38" i="52"/>
  <c r="AL55" i="75"/>
  <c r="AI22" i="51"/>
  <c r="AL18" i="51"/>
  <c r="AG14" i="51"/>
  <c r="AJ45" i="51"/>
  <c r="AM12" i="51"/>
  <c r="AH39" i="51"/>
  <c r="AK37" i="51"/>
  <c r="AI30" i="51"/>
  <c r="AJ27" i="51"/>
  <c r="AL19" i="51"/>
  <c r="AH8" i="51"/>
  <c r="AI24" i="51"/>
  <c r="AJ25" i="51"/>
  <c r="AL9" i="51"/>
  <c r="AH5" i="51"/>
  <c r="AI10" i="51"/>
  <c r="AJ32" i="51"/>
  <c r="AL35" i="51"/>
  <c r="AM22" i="50"/>
  <c r="AK40" i="50"/>
  <c r="AL53" i="50"/>
  <c r="AM39" i="50"/>
  <c r="AK17" i="50"/>
  <c r="AL15" i="50"/>
  <c r="AM6" i="50"/>
  <c r="AK31" i="50"/>
  <c r="AL14" i="50"/>
  <c r="AM34" i="50"/>
  <c r="AK29" i="50"/>
  <c r="AL21" i="50"/>
  <c r="AM13" i="50"/>
  <c r="AJ50" i="50"/>
  <c r="AI45" i="50"/>
  <c r="AI36" i="50"/>
  <c r="AL7" i="50"/>
  <c r="AK30" i="50"/>
  <c r="AL47" i="50"/>
  <c r="AJ24" i="50"/>
  <c r="AG38" i="50"/>
  <c r="AG163" i="52"/>
  <c r="AH147" i="52"/>
  <c r="AK127" i="52"/>
  <c r="AH60" i="52"/>
  <c r="AK34" i="52"/>
  <c r="AJ57" i="75"/>
  <c r="AM26" i="51"/>
  <c r="AH22" i="51"/>
  <c r="AK18" i="51"/>
  <c r="AI45" i="51"/>
  <c r="AL12" i="51"/>
  <c r="AG39" i="51"/>
  <c r="AJ37" i="51"/>
  <c r="AM31" i="51"/>
  <c r="AG30" i="51"/>
  <c r="AI27" i="51"/>
  <c r="AK19" i="51"/>
  <c r="AM7" i="51"/>
  <c r="AG24" i="51"/>
  <c r="AI25" i="51"/>
  <c r="AK9" i="51"/>
  <c r="AM15" i="51"/>
  <c r="AG10" i="51"/>
  <c r="AI32" i="51"/>
  <c r="AK35" i="51"/>
  <c r="AL22" i="50"/>
  <c r="AJ40" i="50"/>
  <c r="AK53" i="50"/>
  <c r="AL39" i="50"/>
  <c r="AJ17" i="50"/>
  <c r="AK15" i="50"/>
  <c r="AL6" i="50"/>
  <c r="AJ31" i="50"/>
  <c r="AK14" i="50"/>
  <c r="AL34" i="50"/>
  <c r="AJ29" i="50"/>
  <c r="AK21" i="50"/>
  <c r="AL13" i="50"/>
  <c r="AH50" i="50"/>
  <c r="AH45" i="50"/>
  <c r="AH36" i="50"/>
  <c r="AK7" i="50"/>
  <c r="AJ30" i="50"/>
  <c r="AK47" i="50"/>
  <c r="AH24" i="50"/>
  <c r="AJ124" i="52"/>
  <c r="AK145" i="52"/>
  <c r="AG92" i="52"/>
  <c r="AI58" i="52"/>
  <c r="AG31" i="52"/>
  <c r="AM110" i="75"/>
  <c r="AL26" i="51"/>
  <c r="AG22" i="51"/>
  <c r="AJ18" i="51"/>
  <c r="AM46" i="51"/>
  <c r="AH45" i="51"/>
  <c r="AK12" i="51"/>
  <c r="AI37" i="51"/>
  <c r="AK31" i="51"/>
  <c r="AH27" i="51"/>
  <c r="AJ19" i="51"/>
  <c r="AL7" i="51"/>
  <c r="AM4" i="51"/>
  <c r="AH25" i="51"/>
  <c r="AJ9" i="51"/>
  <c r="AL15" i="51"/>
  <c r="AM28" i="51"/>
  <c r="AH32" i="51"/>
  <c r="AJ35" i="51"/>
  <c r="AJ22" i="50"/>
  <c r="AI40" i="50"/>
  <c r="AJ53" i="50"/>
  <c r="AJ39" i="50"/>
  <c r="AI17" i="50"/>
  <c r="AJ15" i="50"/>
  <c r="AJ6" i="50"/>
  <c r="AI31" i="50"/>
  <c r="AJ14" i="50"/>
  <c r="AJ34" i="50"/>
  <c r="AI29" i="50"/>
  <c r="AJ21" i="50"/>
  <c r="AJ13" i="50"/>
  <c r="AG50" i="50"/>
  <c r="AG45" i="50"/>
  <c r="AJ7" i="50"/>
  <c r="AG47" i="50"/>
  <c r="AM49" i="50"/>
  <c r="AK32" i="50"/>
  <c r="AI124" i="52"/>
  <c r="AI110" i="52"/>
  <c r="AJ161" i="52"/>
  <c r="AH120" i="52"/>
  <c r="AG91" i="52"/>
  <c r="AG56" i="52"/>
  <c r="AI42" i="75"/>
  <c r="AK26" i="51"/>
  <c r="AI18" i="51"/>
  <c r="AL46" i="51"/>
  <c r="AG45" i="51"/>
  <c r="AJ12" i="51"/>
  <c r="AM38" i="51"/>
  <c r="AG37" i="51"/>
  <c r="AJ31" i="51"/>
  <c r="AM29" i="51"/>
  <c r="AG27" i="51"/>
  <c r="AI19" i="51"/>
  <c r="AJ7" i="51"/>
  <c r="AK4" i="51"/>
  <c r="AM42" i="51"/>
  <c r="AG25" i="51"/>
  <c r="AI9" i="51"/>
  <c r="AJ15" i="51"/>
  <c r="AK28" i="51"/>
  <c r="AM33" i="51"/>
  <c r="AG32" i="51"/>
  <c r="AI35" i="51"/>
  <c r="AG22" i="50"/>
  <c r="AH40" i="50"/>
  <c r="AI53" i="50"/>
  <c r="AG39" i="50"/>
  <c r="AH17" i="50"/>
  <c r="AI15" i="50"/>
  <c r="AG6" i="50"/>
  <c r="AH31" i="50"/>
  <c r="AI14" i="50"/>
  <c r="AG34" i="50"/>
  <c r="AH29" i="50"/>
  <c r="AI21" i="50"/>
  <c r="AG13" i="50"/>
  <c r="AJ9" i="50"/>
  <c r="AI7" i="50"/>
  <c r="AK11" i="50"/>
  <c r="AL41" i="50"/>
  <c r="AJ49" i="50"/>
  <c r="AH32" i="50"/>
  <c r="AH124" i="52"/>
  <c r="AG109" i="52"/>
  <c r="AH160" i="52"/>
  <c r="AH142" i="52"/>
  <c r="AK115" i="52"/>
  <c r="AH88" i="52"/>
  <c r="AH54" i="52"/>
  <c r="AJ26" i="51"/>
  <c r="AM20" i="51"/>
  <c r="AH18" i="51"/>
  <c r="AK46" i="51"/>
  <c r="AI12" i="51"/>
  <c r="AK38" i="51"/>
  <c r="AI31" i="51"/>
  <c r="AL29" i="51"/>
  <c r="AH19" i="51"/>
  <c r="AI7" i="51"/>
  <c r="AJ4" i="51"/>
  <c r="AL42" i="51"/>
  <c r="AH9" i="51"/>
  <c r="AI15" i="51"/>
  <c r="AJ28" i="51"/>
  <c r="AL33" i="51"/>
  <c r="AH35" i="51"/>
  <c r="AG40" i="50"/>
  <c r="AH53" i="50"/>
  <c r="AG17" i="50"/>
  <c r="AH15" i="50"/>
  <c r="AG31" i="50"/>
  <c r="AH14" i="50"/>
  <c r="AG29" i="50"/>
  <c r="AH21" i="50"/>
  <c r="AM43" i="50"/>
  <c r="AM44" i="50"/>
  <c r="AI9" i="50"/>
  <c r="AH7" i="50"/>
  <c r="AJ11" i="50"/>
  <c r="AI41" i="50"/>
  <c r="AG49" i="50"/>
  <c r="AL25" i="50"/>
  <c r="AH123" i="52"/>
  <c r="AM159" i="52"/>
  <c r="AK140" i="52"/>
  <c r="AI86" i="52"/>
  <c r="AI52" i="52"/>
  <c r="AI26" i="51"/>
  <c r="AL20" i="51"/>
  <c r="AG18" i="51"/>
  <c r="AJ46" i="51"/>
  <c r="AM44" i="51"/>
  <c r="AG12" i="51"/>
  <c r="AJ38" i="51"/>
  <c r="AM34" i="51"/>
  <c r="AH31" i="51"/>
  <c r="AK29" i="51"/>
  <c r="AM21" i="51"/>
  <c r="AG7" i="51"/>
  <c r="AI4" i="51"/>
  <c r="AK42" i="51"/>
  <c r="AM16" i="51"/>
  <c r="AG15" i="51"/>
  <c r="AI28" i="51"/>
  <c r="AK33" i="51"/>
  <c r="AM40" i="51"/>
  <c r="AM46" i="50"/>
  <c r="AM37" i="50"/>
  <c r="AM4" i="50"/>
  <c r="AM33" i="50"/>
  <c r="AL12" i="50"/>
  <c r="AL43" i="50"/>
  <c r="AK44" i="50"/>
  <c r="AH9" i="50"/>
  <c r="AG7" i="50"/>
  <c r="AI11" i="50"/>
  <c r="AH41" i="50"/>
  <c r="AK25" i="50"/>
  <c r="AM122" i="52"/>
  <c r="AJ97" i="52"/>
  <c r="AK157" i="52"/>
  <c r="AI108" i="52"/>
  <c r="AG84" i="52"/>
  <c r="AG50" i="52"/>
  <c r="AM6" i="51"/>
  <c r="AH26" i="51"/>
  <c r="AK20" i="51"/>
  <c r="AI46" i="51"/>
  <c r="AK44" i="51"/>
  <c r="AI38" i="51"/>
  <c r="AL34" i="51"/>
  <c r="AG31" i="51"/>
  <c r="AJ29" i="51"/>
  <c r="AL21" i="51"/>
  <c r="AM13" i="51"/>
  <c r="AH4" i="51"/>
  <c r="AJ42" i="51"/>
  <c r="AL16" i="51"/>
  <c r="AM17" i="51"/>
  <c r="AH28" i="51"/>
  <c r="AJ33" i="51"/>
  <c r="AL40" i="51"/>
  <c r="AK47" i="51"/>
  <c r="AL46" i="50"/>
  <c r="AM20" i="50"/>
  <c r="AK51" i="50"/>
  <c r="AL37" i="50"/>
  <c r="AM16" i="50"/>
  <c r="AK28" i="50"/>
  <c r="AL4" i="50"/>
  <c r="AM27" i="50"/>
  <c r="AK52" i="50"/>
  <c r="AL33" i="50"/>
  <c r="AM23" i="50"/>
  <c r="AK19" i="50"/>
  <c r="AK12" i="50"/>
  <c r="AK43" i="50"/>
  <c r="AG44" i="50"/>
  <c r="AG9" i="50"/>
  <c r="AK10" i="50"/>
  <c r="AH11" i="50"/>
  <c r="AG41" i="50"/>
  <c r="AL42" i="50"/>
  <c r="AJ25" i="50"/>
  <c r="AG97" i="52"/>
  <c r="AI137" i="52"/>
  <c r="AH82" i="52"/>
  <c r="AH48" i="52"/>
  <c r="AL6" i="51"/>
  <c r="AG26" i="51"/>
  <c r="AJ20" i="51"/>
  <c r="AM14" i="51"/>
  <c r="AG46" i="51"/>
  <c r="AJ44" i="51"/>
  <c r="AM39" i="51"/>
  <c r="AH38" i="51"/>
  <c r="AK34" i="51"/>
  <c r="AI29" i="51"/>
  <c r="AJ21" i="51"/>
  <c r="AK13" i="51"/>
  <c r="AM8" i="51"/>
  <c r="AG4" i="51"/>
  <c r="AI42" i="51"/>
  <c r="AJ16" i="51"/>
  <c r="AK17" i="51"/>
  <c r="AM5" i="51"/>
  <c r="AG28" i="51"/>
  <c r="AI33" i="51"/>
  <c r="AJ40" i="51"/>
  <c r="AJ47" i="51"/>
  <c r="AK46" i="50"/>
  <c r="AL20" i="50"/>
  <c r="AJ51" i="50"/>
  <c r="AK37" i="50"/>
  <c r="AL16" i="50"/>
  <c r="AJ28" i="50"/>
  <c r="AK4" i="50"/>
  <c r="AL27" i="50"/>
  <c r="AJ52" i="50"/>
  <c r="AK33" i="50"/>
  <c r="AL23" i="50"/>
  <c r="AJ19" i="50"/>
  <c r="AJ12" i="50"/>
  <c r="AJ43" i="50"/>
  <c r="AH10" i="50"/>
  <c r="AG11" i="50"/>
  <c r="AK42" i="50"/>
  <c r="AI25" i="50"/>
  <c r="AK121" i="52"/>
  <c r="AM166" i="52"/>
  <c r="AI158" i="52"/>
  <c r="AI70" i="52"/>
  <c r="AI46" i="52"/>
  <c r="AG97" i="75"/>
  <c r="AG23" i="52"/>
  <c r="AK21" i="52"/>
  <c r="AG20" i="52"/>
  <c r="AK19" i="52"/>
  <c r="AG18" i="52"/>
  <c r="AK15" i="52"/>
  <c r="AG14" i="52"/>
  <c r="AK12" i="52"/>
  <c r="AG10" i="52"/>
  <c r="AK8" i="52"/>
  <c r="AG7" i="52"/>
  <c r="AK5" i="52"/>
  <c r="AG48" i="75"/>
  <c r="AK112" i="75"/>
  <c r="AG53" i="75"/>
  <c r="AK55" i="75"/>
  <c r="AG6" i="75"/>
  <c r="AK52" i="75"/>
  <c r="AG20" i="75"/>
  <c r="AK81" i="75"/>
  <c r="AG44" i="75"/>
  <c r="AK61" i="75"/>
  <c r="AG90" i="75"/>
  <c r="AK32" i="75"/>
  <c r="AG27" i="75"/>
  <c r="AK18" i="75"/>
  <c r="AG69" i="75"/>
  <c r="AK58" i="75"/>
  <c r="AG57" i="75"/>
  <c r="AK19" i="75"/>
  <c r="AG16" i="75"/>
  <c r="AK10" i="75"/>
  <c r="AG9" i="75"/>
  <c r="AK26" i="75"/>
  <c r="AG7" i="75"/>
  <c r="AK22" i="75"/>
  <c r="AG94" i="75"/>
  <c r="AK21" i="75"/>
  <c r="AG109" i="75"/>
  <c r="AK49" i="75"/>
  <c r="AG11" i="75"/>
  <c r="AK87" i="75"/>
  <c r="AG91" i="75"/>
  <c r="AK110" i="75"/>
  <c r="AG101" i="75"/>
  <c r="AK39" i="75"/>
  <c r="AG17" i="75"/>
  <c r="AK120" i="75"/>
  <c r="AG118" i="75"/>
  <c r="AK108" i="75"/>
  <c r="AG103" i="75"/>
  <c r="AK99" i="75"/>
  <c r="AG85" i="75"/>
  <c r="AK76" i="75"/>
  <c r="AG74" i="75"/>
  <c r="AK71" i="75"/>
  <c r="AG65" i="75"/>
  <c r="AK46" i="75"/>
  <c r="AG43" i="75"/>
  <c r="AK41" i="75"/>
  <c r="AG40" i="75"/>
  <c r="AK37" i="75"/>
  <c r="AG86" i="75"/>
  <c r="AK8" i="75"/>
  <c r="AG33" i="75"/>
  <c r="AK14" i="75"/>
  <c r="AI54" i="75"/>
  <c r="AK113" i="75"/>
  <c r="AH70" i="75"/>
  <c r="AI79" i="75"/>
  <c r="AK51" i="75"/>
  <c r="AM104" i="75"/>
  <c r="AH95" i="75"/>
  <c r="AG122" i="75"/>
  <c r="AI115" i="75"/>
  <c r="AG66" i="75"/>
  <c r="AJ60" i="75"/>
  <c r="W33" i="49"/>
  <c r="X59" i="49"/>
  <c r="U59" i="49"/>
  <c r="W59" i="49"/>
  <c r="AL41" i="51"/>
  <c r="AK41" i="51"/>
  <c r="AM36" i="51"/>
  <c r="AL36" i="51"/>
  <c r="AM41" i="51"/>
  <c r="AK36" i="51"/>
  <c r="AJ36" i="51"/>
  <c r="AM43" i="51"/>
  <c r="AI36" i="51"/>
  <c r="AL43" i="51"/>
  <c r="AJ41" i="51"/>
  <c r="AH36" i="51"/>
  <c r="AK43" i="51"/>
  <c r="AI41" i="51"/>
  <c r="AG36" i="51"/>
  <c r="AJ43" i="51"/>
  <c r="AH41" i="51"/>
  <c r="AI43" i="51"/>
  <c r="AG41" i="51"/>
  <c r="AH43" i="51"/>
  <c r="AG43" i="51"/>
  <c r="P43" i="51"/>
  <c r="P41" i="51"/>
  <c r="T59" i="49"/>
  <c r="T33" i="49"/>
  <c r="P36" i="51"/>
  <c r="AM106" i="75"/>
  <c r="AJ68" i="75"/>
  <c r="AG54" i="75"/>
  <c r="AM113" i="75"/>
  <c r="AJ89" i="75"/>
  <c r="AG88" i="75"/>
  <c r="AM29" i="75"/>
  <c r="AJ79" i="75"/>
  <c r="AG25" i="75"/>
  <c r="AM119" i="75"/>
  <c r="AJ104" i="75"/>
  <c r="AG95" i="75"/>
  <c r="AM122" i="75"/>
  <c r="AJ107" i="75"/>
  <c r="AG115" i="75"/>
  <c r="AM66" i="75"/>
  <c r="AJ64" i="75"/>
  <c r="AG60" i="75"/>
  <c r="AM97" i="75"/>
  <c r="AJ92" i="75"/>
  <c r="AG80" i="75"/>
  <c r="AM56" i="75"/>
  <c r="AJ35" i="75"/>
  <c r="AG34" i="75"/>
  <c r="AM23" i="75"/>
  <c r="AJ123" i="75"/>
  <c r="AG82" i="75"/>
  <c r="U33" i="49"/>
  <c r="AL97" i="75"/>
  <c r="AI92" i="75"/>
  <c r="AL56" i="75"/>
  <c r="AI35" i="75"/>
  <c r="AL23" i="75"/>
  <c r="AI123" i="75"/>
  <c r="V71" i="49"/>
  <c r="AK122" i="75"/>
  <c r="AH107" i="75"/>
  <c r="AK66" i="75"/>
  <c r="AK97" i="75"/>
  <c r="AH92" i="75"/>
  <c r="AK56" i="75"/>
  <c r="AH35" i="75"/>
  <c r="AK23" i="75"/>
  <c r="AH123" i="75"/>
  <c r="AJ66" i="75"/>
  <c r="AJ97" i="75"/>
  <c r="AG92" i="75"/>
  <c r="AM75" i="75"/>
  <c r="AJ56" i="75"/>
  <c r="AG35" i="75"/>
  <c r="AM31" i="75"/>
  <c r="AJ23" i="75"/>
  <c r="AG123" i="75"/>
  <c r="AL70" i="75"/>
  <c r="AI29" i="75"/>
  <c r="AL51" i="75"/>
  <c r="AI119" i="75"/>
  <c r="AL45" i="75"/>
  <c r="AI122" i="75"/>
  <c r="AL84" i="75"/>
  <c r="AI66" i="75"/>
  <c r="AI97" i="75"/>
  <c r="AL75" i="75"/>
  <c r="AI56" i="75"/>
  <c r="AL31" i="75"/>
  <c r="AI23" i="75"/>
  <c r="W71" i="49"/>
  <c r="AK75" i="75"/>
  <c r="AH56" i="75"/>
  <c r="AK31" i="75"/>
  <c r="AH23" i="75"/>
  <c r="AM80" i="75"/>
  <c r="AJ75" i="75"/>
  <c r="AG56" i="75"/>
  <c r="AM34" i="75"/>
  <c r="AJ31" i="75"/>
  <c r="AG23" i="75"/>
  <c r="AM82" i="75"/>
  <c r="AL34" i="75"/>
  <c r="AI31" i="75"/>
  <c r="AL82" i="75"/>
  <c r="T71" i="49"/>
  <c r="X71" i="49"/>
  <c r="AK80" i="75"/>
  <c r="AH75" i="75"/>
  <c r="AK34" i="75"/>
  <c r="AH31" i="75"/>
  <c r="AI60" i="75"/>
  <c r="AL92" i="75"/>
  <c r="AI80" i="75"/>
  <c r="AL35" i="75"/>
  <c r="AI34" i="75"/>
  <c r="AL123" i="75"/>
  <c r="B5" i="56"/>
  <c r="B7" i="56"/>
  <c r="B8" i="56"/>
  <c r="B11" i="56"/>
  <c r="B12" i="56"/>
  <c r="B13" i="56"/>
  <c r="B14" i="56"/>
  <c r="B16" i="56"/>
  <c r="B17" i="56"/>
  <c r="B18" i="56"/>
  <c r="B19" i="56"/>
  <c r="B20" i="56"/>
  <c r="B21" i="56"/>
  <c r="B23" i="56"/>
  <c r="B25" i="56"/>
  <c r="B27" i="56"/>
  <c r="B28" i="56"/>
  <c r="B29" i="56"/>
  <c r="B30" i="56"/>
  <c r="B31" i="56"/>
  <c r="B32" i="56"/>
  <c r="B33" i="56"/>
  <c r="B35" i="56"/>
  <c r="B37" i="56"/>
  <c r="B41" i="56"/>
  <c r="B42" i="56"/>
  <c r="B44" i="56"/>
  <c r="B47" i="56"/>
  <c r="B48" i="56"/>
  <c r="B49" i="56"/>
  <c r="B50" i="56"/>
  <c r="B52" i="56"/>
  <c r="B53" i="56"/>
  <c r="B54" i="56"/>
  <c r="B55" i="56"/>
  <c r="B57" i="56"/>
  <c r="B58" i="56"/>
  <c r="B59" i="56"/>
  <c r="B60" i="56"/>
  <c r="B61" i="56"/>
  <c r="B63" i="56"/>
  <c r="B4" i="46"/>
  <c r="B50" i="46"/>
  <c r="B75" i="46"/>
  <c r="B37" i="46"/>
  <c r="B55" i="46"/>
  <c r="B99" i="46"/>
  <c r="B47" i="46"/>
  <c r="B90" i="46"/>
  <c r="B7" i="46"/>
  <c r="B84" i="46"/>
  <c r="B46" i="46"/>
  <c r="B81" i="46"/>
  <c r="B30" i="46"/>
  <c r="B108" i="46"/>
  <c r="B70" i="46"/>
  <c r="B20" i="46"/>
  <c r="B16" i="46"/>
  <c r="B69" i="46"/>
  <c r="B92" i="46"/>
  <c r="B28" i="46"/>
  <c r="B34" i="46"/>
  <c r="B86" i="46"/>
  <c r="B19" i="46"/>
  <c r="B87" i="46"/>
  <c r="B91" i="46"/>
  <c r="B43" i="46"/>
  <c r="B83" i="46"/>
  <c r="B38" i="46"/>
  <c r="B71" i="46"/>
  <c r="B23" i="46"/>
  <c r="B85" i="46"/>
  <c r="B53" i="46"/>
  <c r="B10" i="46"/>
  <c r="B25" i="46"/>
  <c r="B107" i="46"/>
  <c r="B41" i="46"/>
  <c r="B67" i="46"/>
  <c r="B35" i="46"/>
  <c r="B68" i="46"/>
  <c r="B24" i="46"/>
  <c r="B48" i="46"/>
  <c r="B45" i="46"/>
  <c r="B31" i="46"/>
  <c r="B61" i="46"/>
  <c r="B100" i="46"/>
  <c r="B14" i="46"/>
  <c r="B74" i="46"/>
  <c r="B88" i="46"/>
  <c r="B104" i="46"/>
  <c r="B5" i="46"/>
  <c r="B29" i="46"/>
  <c r="B97" i="46"/>
  <c r="B12" i="46"/>
  <c r="B105" i="46"/>
  <c r="B63" i="46"/>
  <c r="B60" i="46"/>
  <c r="B33" i="46"/>
  <c r="B77" i="46"/>
  <c r="B109" i="46"/>
  <c r="B32" i="46"/>
  <c r="B54" i="46"/>
  <c r="B76" i="46"/>
  <c r="B80" i="46"/>
  <c r="B102" i="46"/>
  <c r="B82" i="46"/>
  <c r="B101" i="46"/>
  <c r="B8" i="46"/>
  <c r="B72" i="46"/>
  <c r="B11" i="46"/>
  <c r="B17" i="46"/>
  <c r="B62" i="46"/>
  <c r="B73" i="46"/>
  <c r="B39" i="46"/>
  <c r="B3" i="46"/>
  <c r="B111" i="46"/>
  <c r="B79" i="46"/>
  <c r="B6" i="46"/>
  <c r="B98" i="46"/>
  <c r="B96" i="46"/>
  <c r="B52" i="46"/>
  <c r="B27" i="46"/>
  <c r="B15" i="46"/>
  <c r="B56" i="46"/>
  <c r="B94" i="46"/>
  <c r="B106" i="46"/>
  <c r="B58" i="46"/>
  <c r="B110" i="46"/>
  <c r="B21" i="46"/>
  <c r="B26" i="46"/>
  <c r="B49" i="46"/>
  <c r="B66" i="46"/>
  <c r="B57" i="46"/>
  <c r="B36" i="46"/>
  <c r="B95" i="46"/>
  <c r="B89" i="46"/>
  <c r="B42" i="46"/>
  <c r="B40" i="46"/>
  <c r="B22" i="46"/>
  <c r="B44" i="46"/>
  <c r="B13" i="46"/>
  <c r="B59" i="46"/>
  <c r="B9" i="46"/>
  <c r="B93" i="46"/>
  <c r="B64" i="46"/>
  <c r="B65" i="46"/>
  <c r="B78" i="46"/>
  <c r="B51" i="46"/>
  <c r="B103" i="46"/>
  <c r="B18" i="46"/>
  <c r="W21" i="44"/>
  <c r="W55" i="44"/>
  <c r="W18" i="44"/>
  <c r="W70" i="44"/>
  <c r="W69" i="44"/>
  <c r="W52" i="44"/>
  <c r="W14" i="44"/>
  <c r="W51" i="44"/>
  <c r="B3" i="44"/>
  <c r="W6" i="44"/>
  <c r="W32" i="44"/>
  <c r="W12" i="44"/>
  <c r="W13" i="44"/>
  <c r="W40" i="44"/>
  <c r="W25" i="44"/>
  <c r="W27" i="44"/>
  <c r="W30" i="44"/>
  <c r="W61" i="44"/>
  <c r="W22" i="44"/>
  <c r="W43" i="44"/>
  <c r="W59" i="44"/>
  <c r="W44" i="44"/>
  <c r="W19" i="44"/>
  <c r="W48" i="44"/>
  <c r="W53" i="44"/>
  <c r="W54" i="44"/>
  <c r="W31" i="44"/>
  <c r="W11" i="44"/>
  <c r="W63" i="44"/>
  <c r="W71" i="44"/>
  <c r="W73" i="44"/>
  <c r="W75" i="44"/>
  <c r="W77" i="44"/>
  <c r="W78" i="44"/>
  <c r="W33" i="44"/>
  <c r="W24" i="44"/>
  <c r="W4" i="44"/>
  <c r="W15" i="44"/>
  <c r="W36" i="44"/>
  <c r="W26" i="44"/>
  <c r="W35" i="44"/>
  <c r="W39" i="44"/>
  <c r="W57" i="44"/>
  <c r="W49" i="44"/>
  <c r="W50" i="44"/>
  <c r="W23" i="44"/>
  <c r="W17" i="44"/>
  <c r="W46" i="44"/>
  <c r="W42" i="44"/>
  <c r="W80" i="44"/>
  <c r="W67" i="44"/>
  <c r="W28" i="44"/>
  <c r="W7" i="44"/>
  <c r="W72" i="44"/>
  <c r="W66" i="44"/>
  <c r="W16" i="44"/>
  <c r="W29" i="44"/>
  <c r="W9" i="44"/>
  <c r="W10" i="44"/>
  <c r="B5" i="77"/>
  <c r="B6" i="77"/>
  <c r="B7" i="77"/>
  <c r="B8" i="77"/>
  <c r="B9" i="77"/>
  <c r="B10" i="77"/>
  <c r="B12" i="77"/>
  <c r="B13" i="77"/>
  <c r="B14" i="77"/>
  <c r="B15" i="77"/>
  <c r="B16" i="77"/>
  <c r="B17" i="77"/>
  <c r="B18" i="77"/>
  <c r="B19" i="77"/>
  <c r="B20" i="77"/>
  <c r="B21" i="77"/>
  <c r="B22" i="77"/>
  <c r="B23" i="77"/>
  <c r="B24" i="77"/>
  <c r="B25" i="77"/>
  <c r="B26" i="77"/>
  <c r="B27" i="77"/>
  <c r="B28" i="77"/>
  <c r="B29" i="77"/>
  <c r="B30" i="77"/>
  <c r="B31" i="77"/>
  <c r="B32" i="77"/>
  <c r="B33" i="77"/>
  <c r="B34" i="77"/>
  <c r="B35" i="77"/>
  <c r="B36" i="77"/>
  <c r="B37" i="77"/>
  <c r="B38" i="77"/>
  <c r="B39" i="77"/>
  <c r="B40" i="77"/>
  <c r="B41" i="77"/>
  <c r="B42" i="77"/>
  <c r="B43" i="77"/>
  <c r="B44" i="77"/>
  <c r="B45" i="77"/>
  <c r="B46" i="77"/>
  <c r="B47" i="77"/>
  <c r="B48" i="77"/>
  <c r="B49" i="77"/>
  <c r="B50" i="77"/>
  <c r="B51" i="77"/>
  <c r="B52" i="77"/>
  <c r="B53" i="77"/>
  <c r="B54" i="77"/>
  <c r="B55" i="77"/>
  <c r="B56" i="77"/>
  <c r="B57" i="77"/>
  <c r="B58" i="77"/>
  <c r="B59" i="77"/>
  <c r="B60" i="77"/>
  <c r="AA98" i="75" l="1"/>
  <c r="AA48" i="51"/>
  <c r="AA11" i="51"/>
  <c r="AA73" i="52"/>
  <c r="AA74" i="52"/>
  <c r="AA76" i="52"/>
  <c r="AA77" i="52"/>
  <c r="AA78" i="52"/>
  <c r="AA81" i="52"/>
  <c r="AA75" i="52"/>
  <c r="AA72" i="52"/>
  <c r="AA116" i="75"/>
  <c r="AF72" i="52"/>
  <c r="AF73" i="52"/>
  <c r="AF74" i="52"/>
  <c r="AF75" i="52"/>
  <c r="AF76" i="52"/>
  <c r="AF77" i="52"/>
  <c r="AF78" i="52"/>
  <c r="AF81" i="52"/>
  <c r="AF116" i="75"/>
  <c r="AF98" i="75"/>
  <c r="AA36" i="51"/>
  <c r="W8" i="44"/>
  <c r="AF41" i="51"/>
  <c r="AA43" i="51"/>
  <c r="W3" i="44"/>
  <c r="AA16" i="51"/>
  <c r="AA30" i="51"/>
  <c r="AA20" i="51"/>
  <c r="AA35" i="50"/>
  <c r="AA45" i="50"/>
  <c r="AA14" i="50"/>
  <c r="AA53" i="50"/>
  <c r="AA13" i="52"/>
  <c r="AA25" i="52"/>
  <c r="AA36" i="52"/>
  <c r="AA48" i="52"/>
  <c r="AA60" i="52"/>
  <c r="AA82" i="52"/>
  <c r="AA94" i="52"/>
  <c r="AA108" i="52"/>
  <c r="AA131" i="52"/>
  <c r="AA143" i="52"/>
  <c r="AA158" i="52"/>
  <c r="AA95" i="52"/>
  <c r="AA124" i="52"/>
  <c r="AA66" i="75"/>
  <c r="AA29" i="75"/>
  <c r="AA8" i="75"/>
  <c r="AA71" i="75"/>
  <c r="AA120" i="75"/>
  <c r="AA49" i="75"/>
  <c r="AA10" i="75"/>
  <c r="AA32" i="75"/>
  <c r="AA55" i="75"/>
  <c r="AA15" i="51"/>
  <c r="AA42" i="51"/>
  <c r="AA37" i="51"/>
  <c r="AA8" i="50"/>
  <c r="AA30" i="50"/>
  <c r="AA21" i="50"/>
  <c r="AA16" i="50"/>
  <c r="AA8" i="52"/>
  <c r="AA22" i="52"/>
  <c r="AA35" i="52"/>
  <c r="AA47" i="52"/>
  <c r="AA61" i="52"/>
  <c r="AA84" i="52"/>
  <c r="AA119" i="52"/>
  <c r="AA118" i="52"/>
  <c r="AA136" i="52"/>
  <c r="AA149" i="52"/>
  <c r="AA162" i="52"/>
  <c r="AA117" i="52"/>
  <c r="AA13" i="75"/>
  <c r="AA25" i="75"/>
  <c r="AA33" i="75"/>
  <c r="AA73" i="75"/>
  <c r="AA17" i="75"/>
  <c r="AA21" i="75"/>
  <c r="AA47" i="75"/>
  <c r="AA44" i="75"/>
  <c r="AA82" i="75"/>
  <c r="AA24" i="51"/>
  <c r="AA38" i="51"/>
  <c r="AA18" i="50"/>
  <c r="AA10" i="50"/>
  <c r="AA23" i="50"/>
  <c r="AA17" i="50"/>
  <c r="AA9" i="52"/>
  <c r="AA23" i="52"/>
  <c r="AA34" i="52"/>
  <c r="AA49" i="52"/>
  <c r="AA62" i="52"/>
  <c r="AA85" i="52"/>
  <c r="AA99" i="52"/>
  <c r="AA120" i="52"/>
  <c r="AA137" i="52"/>
  <c r="AA150" i="52"/>
  <c r="AA163" i="52"/>
  <c r="AA121" i="52"/>
  <c r="AA60" i="75"/>
  <c r="AA79" i="75"/>
  <c r="AA24" i="75"/>
  <c r="AA74" i="75"/>
  <c r="AA39" i="75"/>
  <c r="AA36" i="75"/>
  <c r="AA57" i="75"/>
  <c r="AA81" i="75"/>
  <c r="AA123" i="75"/>
  <c r="AA47" i="51"/>
  <c r="AA4" i="51"/>
  <c r="AA39" i="51"/>
  <c r="AA25" i="50"/>
  <c r="AA7" i="50"/>
  <c r="AA29" i="50"/>
  <c r="AA37" i="50"/>
  <c r="AA10" i="52"/>
  <c r="AA24" i="52"/>
  <c r="AA37" i="52"/>
  <c r="AA50" i="52"/>
  <c r="AA63" i="52"/>
  <c r="AA86" i="52"/>
  <c r="AA100" i="52"/>
  <c r="AA125" i="52"/>
  <c r="AA138" i="52"/>
  <c r="AA151" i="52"/>
  <c r="AA164" i="52"/>
  <c r="AA122" i="52"/>
  <c r="AA64" i="75"/>
  <c r="AA70" i="75"/>
  <c r="AA86" i="75"/>
  <c r="AA76" i="75"/>
  <c r="AA93" i="75"/>
  <c r="AA94" i="75"/>
  <c r="AA58" i="75"/>
  <c r="AA121" i="75"/>
  <c r="AA23" i="75"/>
  <c r="AA35" i="51"/>
  <c r="AA8" i="51"/>
  <c r="AA12" i="51"/>
  <c r="AA32" i="50"/>
  <c r="AA5" i="50"/>
  <c r="AA33" i="50"/>
  <c r="AA39" i="50"/>
  <c r="AA12" i="52"/>
  <c r="AA26" i="52"/>
  <c r="AA38" i="52"/>
  <c r="AA51" i="52"/>
  <c r="AA64" i="52"/>
  <c r="AA87" i="52"/>
  <c r="AA101" i="52"/>
  <c r="AA126" i="52"/>
  <c r="AA139" i="52"/>
  <c r="AA152" i="52"/>
  <c r="AA165" i="52"/>
  <c r="AA123" i="52"/>
  <c r="AA84" i="75"/>
  <c r="AA88" i="75"/>
  <c r="AA37" i="75"/>
  <c r="AA77" i="75"/>
  <c r="AA101" i="75"/>
  <c r="AA22" i="75"/>
  <c r="AA67" i="75"/>
  <c r="AA20" i="75"/>
  <c r="AA40" i="51"/>
  <c r="AA7" i="51"/>
  <c r="AA44" i="51"/>
  <c r="AA38" i="50"/>
  <c r="AA9" i="50"/>
  <c r="AA34" i="50"/>
  <c r="AA51" i="50"/>
  <c r="AA14" i="52"/>
  <c r="AA27" i="52"/>
  <c r="AA39" i="52"/>
  <c r="AA52" i="52"/>
  <c r="AA65" i="52"/>
  <c r="AA88" i="52"/>
  <c r="AA102" i="52"/>
  <c r="AA127" i="52"/>
  <c r="AA140" i="52"/>
  <c r="AA153" i="52"/>
  <c r="AA166" i="52"/>
  <c r="AA31" i="75"/>
  <c r="AA115" i="75"/>
  <c r="AA89" i="75"/>
  <c r="AA38" i="75"/>
  <c r="AA85" i="75"/>
  <c r="AA110" i="75"/>
  <c r="AA28" i="75"/>
  <c r="AA69" i="75"/>
  <c r="AA52" i="75"/>
  <c r="AA32" i="51"/>
  <c r="AA13" i="51"/>
  <c r="AA45" i="51"/>
  <c r="AA42" i="50"/>
  <c r="AA36" i="50"/>
  <c r="AA52" i="50"/>
  <c r="AA20" i="50"/>
  <c r="AA15" i="52"/>
  <c r="AA28" i="52"/>
  <c r="AA40" i="52"/>
  <c r="AA53" i="52"/>
  <c r="AA66" i="52"/>
  <c r="AA89" i="52"/>
  <c r="AA105" i="52"/>
  <c r="AA128" i="52"/>
  <c r="AA141" i="52"/>
  <c r="AA154" i="52"/>
  <c r="AA97" i="52"/>
  <c r="AA34" i="75"/>
  <c r="AA107" i="75"/>
  <c r="AA113" i="75"/>
  <c r="AA40" i="75"/>
  <c r="AA99" i="75"/>
  <c r="AA83" i="75"/>
  <c r="AA7" i="75"/>
  <c r="AA18" i="75"/>
  <c r="AA59" i="75"/>
  <c r="AA33" i="51"/>
  <c r="AA19" i="51"/>
  <c r="AA46" i="51"/>
  <c r="AA49" i="50"/>
  <c r="AA44" i="50"/>
  <c r="AA27" i="50"/>
  <c r="AA40" i="50"/>
  <c r="AA17" i="52"/>
  <c r="AA29" i="52"/>
  <c r="AA41" i="52"/>
  <c r="AA54" i="52"/>
  <c r="AA67" i="52"/>
  <c r="AA91" i="52"/>
  <c r="AA106" i="52"/>
  <c r="AA129" i="52"/>
  <c r="AA142" i="52"/>
  <c r="AA155" i="52"/>
  <c r="AA104" i="52"/>
  <c r="AA35" i="75"/>
  <c r="AA122" i="75"/>
  <c r="AA50" i="75"/>
  <c r="AA41" i="75"/>
  <c r="AA102" i="75"/>
  <c r="AA91" i="75"/>
  <c r="AA26" i="75"/>
  <c r="AA100" i="75"/>
  <c r="AA6" i="75"/>
  <c r="AA10" i="51"/>
  <c r="AA21" i="51"/>
  <c r="AA14" i="51"/>
  <c r="AA24" i="50"/>
  <c r="AA43" i="50"/>
  <c r="AA31" i="50"/>
  <c r="AA46" i="50"/>
  <c r="AA18" i="52"/>
  <c r="AA11" i="52"/>
  <c r="AA42" i="52"/>
  <c r="AA55" i="52"/>
  <c r="AA68" i="52"/>
  <c r="AA90" i="52"/>
  <c r="AA103" i="52"/>
  <c r="AA130" i="52"/>
  <c r="AA144" i="52"/>
  <c r="AA156" i="52"/>
  <c r="AA109" i="52"/>
  <c r="AA56" i="75"/>
  <c r="AA45" i="75"/>
  <c r="AA54" i="75"/>
  <c r="AA42" i="75"/>
  <c r="AA103" i="75"/>
  <c r="AA87" i="75"/>
  <c r="AA114" i="75"/>
  <c r="AA27" i="75"/>
  <c r="AA78" i="75"/>
  <c r="AA17" i="51"/>
  <c r="AA29" i="51"/>
  <c r="AA22" i="51"/>
  <c r="AA47" i="50"/>
  <c r="AA12" i="50"/>
  <c r="AA6" i="50"/>
  <c r="AA5" i="52"/>
  <c r="AA16" i="52"/>
  <c r="AA32" i="52"/>
  <c r="AA44" i="52"/>
  <c r="AA57" i="52"/>
  <c r="AA70" i="52"/>
  <c r="AA93" i="52"/>
  <c r="AA111" i="52"/>
  <c r="AA133" i="52"/>
  <c r="AA146" i="52"/>
  <c r="AA159" i="52"/>
  <c r="AA112" i="52"/>
  <c r="AA80" i="75"/>
  <c r="AA104" i="75"/>
  <c r="AA106" i="75"/>
  <c r="AA46" i="75"/>
  <c r="AA117" i="75"/>
  <c r="AA11" i="75"/>
  <c r="AA12" i="75"/>
  <c r="AA90" i="75"/>
  <c r="AA112" i="75"/>
  <c r="AA9" i="51"/>
  <c r="AA31" i="51"/>
  <c r="AA26" i="51"/>
  <c r="AA48" i="50"/>
  <c r="AA13" i="50"/>
  <c r="AA28" i="50"/>
  <c r="AA6" i="52"/>
  <c r="AA20" i="52"/>
  <c r="AA31" i="52"/>
  <c r="AA45" i="52"/>
  <c r="AA58" i="52"/>
  <c r="AA71" i="52"/>
  <c r="AA96" i="52"/>
  <c r="AA114" i="52"/>
  <c r="AA134" i="52"/>
  <c r="AA147" i="52"/>
  <c r="AA160" i="52"/>
  <c r="AA113" i="52"/>
  <c r="AA92" i="75"/>
  <c r="AA119" i="75"/>
  <c r="AA14" i="75"/>
  <c r="AA72" i="75"/>
  <c r="AA118" i="75"/>
  <c r="AA62" i="75"/>
  <c r="AA16" i="75"/>
  <c r="AA61" i="75"/>
  <c r="AA15" i="75"/>
  <c r="AA6" i="51"/>
  <c r="AA33" i="52"/>
  <c r="AA135" i="52"/>
  <c r="AA30" i="75"/>
  <c r="AA48" i="75"/>
  <c r="AA41" i="50"/>
  <c r="AA43" i="52"/>
  <c r="AA145" i="52"/>
  <c r="AA43" i="75"/>
  <c r="AA11" i="50"/>
  <c r="AA46" i="52"/>
  <c r="AA148" i="52"/>
  <c r="AA65" i="75"/>
  <c r="AA50" i="50"/>
  <c r="AA56" i="52"/>
  <c r="AA157" i="52"/>
  <c r="AA108" i="75"/>
  <c r="AA19" i="50"/>
  <c r="AA59" i="52"/>
  <c r="AA161" i="52"/>
  <c r="AA105" i="75"/>
  <c r="AA4" i="50"/>
  <c r="AA69" i="52"/>
  <c r="AA110" i="52"/>
  <c r="AA96" i="75"/>
  <c r="AA15" i="50"/>
  <c r="AA83" i="52"/>
  <c r="AA116" i="52"/>
  <c r="AA109" i="75"/>
  <c r="AA28" i="51"/>
  <c r="AA22" i="50"/>
  <c r="AA92" i="52"/>
  <c r="AA75" i="75"/>
  <c r="AA9" i="75"/>
  <c r="AA25" i="51"/>
  <c r="AA7" i="52"/>
  <c r="AA98" i="52"/>
  <c r="AA97" i="75"/>
  <c r="AA19" i="75"/>
  <c r="AA27" i="51"/>
  <c r="AA19" i="52"/>
  <c r="AA107" i="52"/>
  <c r="AA95" i="75"/>
  <c r="AA63" i="75"/>
  <c r="AA34" i="51"/>
  <c r="AA21" i="52"/>
  <c r="AA115" i="52"/>
  <c r="AA51" i="75"/>
  <c r="AA111" i="75"/>
  <c r="AA53" i="75"/>
  <c r="AA18" i="51"/>
  <c r="AA30" i="52"/>
  <c r="AA132" i="52"/>
  <c r="I60" i="79"/>
  <c r="I113" i="79"/>
  <c r="AA68" i="75"/>
  <c r="I118" i="79"/>
  <c r="I96" i="79"/>
  <c r="I127" i="79"/>
  <c r="I56" i="79"/>
  <c r="I130" i="79"/>
  <c r="I51" i="79"/>
  <c r="I175" i="79"/>
  <c r="AA23" i="51"/>
  <c r="I131" i="79"/>
  <c r="I11" i="79"/>
  <c r="I155" i="79"/>
  <c r="I19" i="79"/>
  <c r="I163" i="79"/>
  <c r="I23" i="79"/>
  <c r="I165" i="79"/>
  <c r="AA41" i="51"/>
  <c r="AF43" i="51"/>
  <c r="AF75" i="75"/>
  <c r="AF21" i="50"/>
  <c r="AF40" i="50"/>
  <c r="AF10" i="51"/>
  <c r="AF17" i="51"/>
  <c r="AF7" i="51"/>
  <c r="AF34" i="51"/>
  <c r="AF14" i="51"/>
  <c r="AF26" i="51"/>
  <c r="AF153" i="52"/>
  <c r="AF122" i="52"/>
  <c r="AF30" i="50"/>
  <c r="AF43" i="50"/>
  <c r="AF27" i="50"/>
  <c r="AF47" i="51"/>
  <c r="AF25" i="51"/>
  <c r="AF21" i="51"/>
  <c r="AF46" i="51"/>
  <c r="AF22" i="51"/>
  <c r="AF22" i="50"/>
  <c r="AF92" i="75"/>
  <c r="AF89" i="75"/>
  <c r="AF84" i="75"/>
  <c r="AF54" i="75"/>
  <c r="AF14" i="75"/>
  <c r="AF46" i="75"/>
  <c r="AF85" i="75"/>
  <c r="AF101" i="75"/>
  <c r="AF87" i="75"/>
  <c r="AF94" i="75"/>
  <c r="AF12" i="75"/>
  <c r="AF18" i="75"/>
  <c r="AF44" i="75"/>
  <c r="AF48" i="75"/>
  <c r="AF18" i="52"/>
  <c r="AF29" i="52"/>
  <c r="AF36" i="52"/>
  <c r="AF44" i="52"/>
  <c r="AF52" i="52"/>
  <c r="AF60" i="52"/>
  <c r="AF82" i="52"/>
  <c r="AF86" i="52"/>
  <c r="AF94" i="52"/>
  <c r="AF105" i="52"/>
  <c r="AF118" i="52"/>
  <c r="AF131" i="52"/>
  <c r="AF143" i="52"/>
  <c r="AF147" i="52"/>
  <c r="AF158" i="52"/>
  <c r="AF163" i="52"/>
  <c r="AF82" i="75"/>
  <c r="AF97" i="75"/>
  <c r="AF88" i="75"/>
  <c r="AF50" i="75"/>
  <c r="AF8" i="75"/>
  <c r="AF38" i="75"/>
  <c r="AF43" i="75"/>
  <c r="AF71" i="75"/>
  <c r="AF77" i="75"/>
  <c r="AF103" i="75"/>
  <c r="AF120" i="75"/>
  <c r="AF93" i="75"/>
  <c r="AF91" i="75"/>
  <c r="AF49" i="75"/>
  <c r="AF36" i="75"/>
  <c r="AF7" i="75"/>
  <c r="AF10" i="75"/>
  <c r="AF47" i="75"/>
  <c r="AF69" i="75"/>
  <c r="AF32" i="75"/>
  <c r="AF111" i="75"/>
  <c r="AF20" i="75"/>
  <c r="AF55" i="75"/>
  <c r="AF15" i="75"/>
  <c r="AF7" i="52"/>
  <c r="AF12" i="52"/>
  <c r="AF17" i="52"/>
  <c r="AF20" i="52"/>
  <c r="AF24" i="52"/>
  <c r="AF28" i="52"/>
  <c r="AF32" i="52"/>
  <c r="AF34" i="52"/>
  <c r="AF39" i="52"/>
  <c r="AF43" i="52"/>
  <c r="AF47" i="52"/>
  <c r="AF51" i="52"/>
  <c r="AF55" i="52"/>
  <c r="AF59" i="52"/>
  <c r="AF63" i="52"/>
  <c r="AF67" i="52"/>
  <c r="AF71" i="52"/>
  <c r="AF85" i="52"/>
  <c r="AF89" i="52"/>
  <c r="AF93" i="52"/>
  <c r="AF119" i="52"/>
  <c r="AF102" i="52"/>
  <c r="AF107" i="52"/>
  <c r="AF115" i="52"/>
  <c r="AF126" i="52"/>
  <c r="AF130" i="52"/>
  <c r="AF134" i="52"/>
  <c r="AF138" i="52"/>
  <c r="AF142" i="52"/>
  <c r="AF146" i="52"/>
  <c r="AF150" i="52"/>
  <c r="AF154" i="52"/>
  <c r="AF162" i="52"/>
  <c r="AF166" i="52"/>
  <c r="AF109" i="52"/>
  <c r="AF116" i="52"/>
  <c r="AF123" i="52"/>
  <c r="AF25" i="50"/>
  <c r="AF49" i="50"/>
  <c r="AF47" i="50"/>
  <c r="AF10" i="50"/>
  <c r="AF36" i="50"/>
  <c r="AF50" i="50"/>
  <c r="AF34" i="50"/>
  <c r="AF31" i="50"/>
  <c r="AF15" i="50"/>
  <c r="AF39" i="50"/>
  <c r="AF35" i="51"/>
  <c r="AF42" i="51"/>
  <c r="AF27" i="51"/>
  <c r="AF12" i="51"/>
  <c r="AF18" i="50"/>
  <c r="AF34" i="75"/>
  <c r="AF60" i="75"/>
  <c r="AF79" i="75"/>
  <c r="AF106" i="75"/>
  <c r="AF9" i="75"/>
  <c r="AF67" i="75"/>
  <c r="AF121" i="75"/>
  <c r="AF112" i="75"/>
  <c r="AF10" i="52"/>
  <c r="AF27" i="52"/>
  <c r="AF38" i="52"/>
  <c r="AF50" i="52"/>
  <c r="AF58" i="52"/>
  <c r="AF66" i="52"/>
  <c r="AF92" i="52"/>
  <c r="AF101" i="52"/>
  <c r="AF114" i="52"/>
  <c r="AF137" i="52"/>
  <c r="AF145" i="52"/>
  <c r="AF156" i="52"/>
  <c r="AF104" i="52"/>
  <c r="AF41" i="50"/>
  <c r="AF19" i="50"/>
  <c r="AF20" i="50"/>
  <c r="AF15" i="51"/>
  <c r="AF31" i="51"/>
  <c r="AF45" i="75"/>
  <c r="AF119" i="75"/>
  <c r="AF80" i="75"/>
  <c r="AF37" i="75"/>
  <c r="AF42" i="75"/>
  <c r="AF65" i="75"/>
  <c r="AF76" i="75"/>
  <c r="AF102" i="75"/>
  <c r="AF118" i="75"/>
  <c r="AF39" i="75"/>
  <c r="AF83" i="75"/>
  <c r="AF11" i="75"/>
  <c r="AF21" i="75"/>
  <c r="AF28" i="75"/>
  <c r="AF19" i="75"/>
  <c r="AF27" i="75"/>
  <c r="AF61" i="75"/>
  <c r="AF6" i="75"/>
  <c r="AF6" i="52"/>
  <c r="AF15" i="52"/>
  <c r="AF16" i="52"/>
  <c r="AF23" i="52"/>
  <c r="AF30" i="52"/>
  <c r="AF35" i="52"/>
  <c r="AF42" i="52"/>
  <c r="AF46" i="52"/>
  <c r="AF54" i="52"/>
  <c r="AF62" i="52"/>
  <c r="AF70" i="52"/>
  <c r="AF84" i="52"/>
  <c r="AF88" i="52"/>
  <c r="AF98" i="52"/>
  <c r="AF103" i="52"/>
  <c r="AF125" i="52"/>
  <c r="AF129" i="52"/>
  <c r="AF133" i="52"/>
  <c r="AF141" i="52"/>
  <c r="AF149" i="52"/>
  <c r="AF161" i="52"/>
  <c r="AF165" i="52"/>
  <c r="AF113" i="52"/>
  <c r="AF42" i="50"/>
  <c r="AF9" i="50"/>
  <c r="AF33" i="50"/>
  <c r="AF28" i="50"/>
  <c r="AF37" i="50"/>
  <c r="AF33" i="51"/>
  <c r="AF8" i="51"/>
  <c r="AF39" i="51"/>
  <c r="AF45" i="51"/>
  <c r="AF23" i="75"/>
  <c r="AF64" i="75"/>
  <c r="AF122" i="75"/>
  <c r="AF56" i="75"/>
  <c r="AF51" i="75"/>
  <c r="AF29" i="75"/>
  <c r="AF24" i="75"/>
  <c r="AF40" i="75"/>
  <c r="AF73" i="75"/>
  <c r="AF108" i="75"/>
  <c r="AF105" i="75"/>
  <c r="AF62" i="75"/>
  <c r="AF26" i="75"/>
  <c r="AF57" i="75"/>
  <c r="AF63" i="75"/>
  <c r="AF78" i="75"/>
  <c r="AF8" i="52"/>
  <c r="AF13" i="52"/>
  <c r="AF21" i="52"/>
  <c r="AF25" i="52"/>
  <c r="AF31" i="52"/>
  <c r="AF40" i="52"/>
  <c r="AF48" i="52"/>
  <c r="AF56" i="52"/>
  <c r="AF64" i="52"/>
  <c r="AF68" i="52"/>
  <c r="AF91" i="52"/>
  <c r="AF99" i="52"/>
  <c r="AF108" i="52"/>
  <c r="AF127" i="52"/>
  <c r="AF135" i="52"/>
  <c r="AF139" i="52"/>
  <c r="AF151" i="52"/>
  <c r="AF159" i="52"/>
  <c r="AF123" i="75"/>
  <c r="AF13" i="75"/>
  <c r="AF66" i="75"/>
  <c r="AF70" i="75"/>
  <c r="AF113" i="75"/>
  <c r="AF23" i="51"/>
  <c r="AF41" i="75"/>
  <c r="AF74" i="75"/>
  <c r="AF17" i="75"/>
  <c r="AF96" i="75"/>
  <c r="AF22" i="75"/>
  <c r="AF16" i="75"/>
  <c r="AF100" i="75"/>
  <c r="AF81" i="75"/>
  <c r="AF53" i="75"/>
  <c r="AF9" i="52"/>
  <c r="AF19" i="52"/>
  <c r="AF26" i="52"/>
  <c r="AF33" i="52"/>
  <c r="AF41" i="52"/>
  <c r="AF49" i="52"/>
  <c r="AF57" i="52"/>
  <c r="AF65" i="52"/>
  <c r="AF83" i="52"/>
  <c r="AF90" i="52"/>
  <c r="AF100" i="52"/>
  <c r="AF111" i="52"/>
  <c r="AF128" i="52"/>
  <c r="AF136" i="52"/>
  <c r="AF144" i="52"/>
  <c r="AF148" i="52"/>
  <c r="AF160" i="52"/>
  <c r="AF97" i="52"/>
  <c r="AF112" i="52"/>
  <c r="AF8" i="50"/>
  <c r="AF35" i="50"/>
  <c r="AF5" i="50"/>
  <c r="AF13" i="50"/>
  <c r="AF6" i="50"/>
  <c r="AF17" i="50"/>
  <c r="AF32" i="51"/>
  <c r="AF16" i="51"/>
  <c r="AF19" i="51"/>
  <c r="AF38" i="51"/>
  <c r="AF20" i="51"/>
  <c r="AF35" i="75"/>
  <c r="AF115" i="75"/>
  <c r="AF25" i="75"/>
  <c r="AF68" i="75"/>
  <c r="AF104" i="75"/>
  <c r="AF86" i="75"/>
  <c r="AF72" i="75"/>
  <c r="AF99" i="75"/>
  <c r="AF117" i="75"/>
  <c r="AF110" i="75"/>
  <c r="AF109" i="75"/>
  <c r="AF114" i="75"/>
  <c r="AF58" i="75"/>
  <c r="AF90" i="75"/>
  <c r="AF59" i="75"/>
  <c r="AF5" i="52"/>
  <c r="AF14" i="52"/>
  <c r="AF22" i="52"/>
  <c r="AF11" i="52"/>
  <c r="AF37" i="52"/>
  <c r="AF45" i="52"/>
  <c r="AF53" i="52"/>
  <c r="AF61" i="52"/>
  <c r="AF69" i="52"/>
  <c r="AF87" i="52"/>
  <c r="AF96" i="52"/>
  <c r="AF106" i="52"/>
  <c r="AF120" i="52"/>
  <c r="AF132" i="52"/>
  <c r="AF140" i="52"/>
  <c r="AF152" i="52"/>
  <c r="AF155" i="52"/>
  <c r="AF164" i="52"/>
  <c r="AF121" i="52"/>
  <c r="AF38" i="50"/>
  <c r="AF11" i="50"/>
  <c r="AF45" i="50"/>
  <c r="AF29" i="50"/>
  <c r="AF14" i="50"/>
  <c r="AF53" i="50"/>
  <c r="AF4" i="51"/>
  <c r="AF30" i="51"/>
  <c r="AF44" i="51"/>
  <c r="AF95" i="75"/>
  <c r="AF48" i="50"/>
  <c r="AF23" i="50"/>
  <c r="AF9" i="51"/>
  <c r="AF37" i="51"/>
  <c r="AF44" i="50"/>
  <c r="AF13" i="51"/>
  <c r="AF18" i="51"/>
  <c r="AF52" i="75"/>
  <c r="AF124" i="52"/>
  <c r="AF7" i="50"/>
  <c r="AF52" i="50"/>
  <c r="AF46" i="50"/>
  <c r="AF24" i="51"/>
  <c r="AF117" i="52"/>
  <c r="AF51" i="50"/>
  <c r="AF32" i="50"/>
  <c r="AF40" i="51"/>
  <c r="AF110" i="52"/>
  <c r="AF24" i="50"/>
  <c r="AF12" i="50"/>
  <c r="AF16" i="50"/>
  <c r="AF28" i="51"/>
  <c r="AF29" i="51"/>
  <c r="AF6" i="51"/>
  <c r="AF4" i="50"/>
  <c r="AF31" i="75"/>
  <c r="AF95" i="52"/>
  <c r="AF36" i="51"/>
  <c r="W34" i="44"/>
  <c r="W65" i="44"/>
  <c r="W5" i="44"/>
  <c r="W41" i="44"/>
  <c r="W68" i="44"/>
  <c r="W62" i="44"/>
  <c r="W79" i="44"/>
  <c r="W38" i="44"/>
  <c r="W56" i="44"/>
  <c r="W60" i="44"/>
  <c r="W47" i="44"/>
  <c r="W58" i="44"/>
  <c r="W45" i="44"/>
  <c r="W76" i="44"/>
  <c r="W20" i="44"/>
  <c r="W64" i="44"/>
  <c r="W74" i="44"/>
  <c r="W37" i="44"/>
  <c r="C4" i="79"/>
  <c r="C7" i="79"/>
  <c r="C12" i="79"/>
  <c r="C14" i="79"/>
  <c r="C16" i="79"/>
  <c r="C26" i="79"/>
  <c r="C27" i="79"/>
  <c r="C31" i="79"/>
  <c r="C32" i="79"/>
  <c r="C33" i="79"/>
  <c r="C34" i="79"/>
  <c r="C41" i="79"/>
  <c r="C43" i="79"/>
  <c r="C44" i="79"/>
  <c r="C45" i="79"/>
  <c r="C47" i="79"/>
  <c r="C55" i="79"/>
  <c r="C58" i="79"/>
  <c r="C63" i="79"/>
  <c r="C69" i="79"/>
  <c r="C78" i="79"/>
  <c r="C81" i="79"/>
  <c r="C82" i="79"/>
  <c r="C88" i="79"/>
  <c r="C90" i="79"/>
  <c r="C97" i="79"/>
  <c r="C94" i="79"/>
  <c r="C99" i="79"/>
  <c r="C100" i="79"/>
  <c r="C115" i="79"/>
  <c r="C119" i="79"/>
  <c r="C126" i="79"/>
  <c r="C129" i="79"/>
  <c r="C133" i="79"/>
  <c r="C148" i="79"/>
  <c r="C149" i="79"/>
  <c r="C152" i="79"/>
  <c r="C156" i="79"/>
  <c r="C158" i="79"/>
  <c r="C161" i="79"/>
  <c r="C162" i="79"/>
  <c r="C164" i="79"/>
  <c r="C166" i="79"/>
  <c r="C167" i="79"/>
  <c r="C172" i="79"/>
  <c r="C173" i="79"/>
  <c r="C177" i="79"/>
  <c r="C5" i="79"/>
  <c r="C9" i="79"/>
  <c r="C20" i="79"/>
  <c r="C29" i="79"/>
  <c r="C30" i="79"/>
  <c r="C37" i="79"/>
  <c r="C38" i="79"/>
  <c r="C57" i="79"/>
  <c r="C61" i="79"/>
  <c r="C76" i="79"/>
  <c r="C87" i="79"/>
  <c r="C92" i="79"/>
  <c r="C95" i="79"/>
  <c r="C98" i="79"/>
  <c r="C101" i="79"/>
  <c r="C103" i="79"/>
  <c r="C110" i="79"/>
  <c r="C112" i="79"/>
  <c r="C125" i="79"/>
  <c r="C128" i="79"/>
  <c r="C143" i="79"/>
  <c r="C151" i="79"/>
  <c r="C154" i="79"/>
  <c r="C171" i="79"/>
  <c r="C3" i="79"/>
  <c r="M3" i="79" s="1"/>
  <c r="C10" i="79"/>
  <c r="C13" i="79"/>
  <c r="C15" i="79"/>
  <c r="C17" i="79"/>
  <c r="C21" i="79"/>
  <c r="C25" i="79"/>
  <c r="C39" i="79"/>
  <c r="C46" i="79"/>
  <c r="C48" i="79"/>
  <c r="C52" i="79"/>
  <c r="C62" i="79"/>
  <c r="C65" i="79"/>
  <c r="C66" i="79"/>
  <c r="C75" i="79"/>
  <c r="C80" i="79"/>
  <c r="C84" i="79"/>
  <c r="C85" i="79"/>
  <c r="C89" i="79"/>
  <c r="C102" i="79"/>
  <c r="C107" i="79"/>
  <c r="C111" i="79"/>
  <c r="C116" i="79"/>
  <c r="C135" i="79"/>
  <c r="C137" i="79"/>
  <c r="C138" i="79"/>
  <c r="C142" i="79"/>
  <c r="C144" i="79"/>
  <c r="C146" i="79"/>
  <c r="C147" i="79"/>
  <c r="C159" i="79"/>
  <c r="C160" i="79"/>
  <c r="C174" i="79"/>
  <c r="C176" i="79"/>
  <c r="C6" i="79"/>
  <c r="C8" i="79"/>
  <c r="C18" i="79"/>
  <c r="C22" i="79"/>
  <c r="C24" i="79"/>
  <c r="C28" i="79"/>
  <c r="C35" i="79"/>
  <c r="C36" i="79"/>
  <c r="C40" i="79"/>
  <c r="C42" i="79"/>
  <c r="C49" i="79"/>
  <c r="C50" i="79"/>
  <c r="C53" i="79"/>
  <c r="C54" i="79"/>
  <c r="C59" i="79"/>
  <c r="C64" i="79"/>
  <c r="C67" i="79"/>
  <c r="C68" i="79"/>
  <c r="C70" i="79"/>
  <c r="C71" i="79"/>
  <c r="C72" i="79"/>
  <c r="C73" i="79"/>
  <c r="C74" i="79"/>
  <c r="C77" i="79"/>
  <c r="C79" i="79"/>
  <c r="C83" i="79"/>
  <c r="C86" i="79"/>
  <c r="C91" i="79"/>
  <c r="C93" i="79"/>
  <c r="C104" i="79"/>
  <c r="C105" i="79"/>
  <c r="C106" i="79"/>
  <c r="C108" i="79"/>
  <c r="C109" i="79"/>
  <c r="C114" i="79"/>
  <c r="C117" i="79"/>
  <c r="C120" i="79"/>
  <c r="C121" i="79"/>
  <c r="C122" i="79"/>
  <c r="C123" i="79"/>
  <c r="C124" i="79"/>
  <c r="C132" i="79"/>
  <c r="C134" i="79"/>
  <c r="C136" i="79"/>
  <c r="C139" i="79"/>
  <c r="C140" i="79"/>
  <c r="C141" i="79"/>
  <c r="C145" i="79"/>
  <c r="C150" i="79"/>
  <c r="C153" i="79"/>
  <c r="C157" i="79"/>
  <c r="C168" i="79"/>
  <c r="C169" i="79"/>
  <c r="C170" i="79"/>
  <c r="C178" i="79"/>
  <c r="AQ11" i="51" l="1"/>
  <c r="AR11" i="51"/>
  <c r="AQ48" i="51"/>
  <c r="AR48" i="51"/>
  <c r="M67" i="79"/>
  <c r="I67" i="79"/>
  <c r="M136" i="79"/>
  <c r="I136" i="79"/>
  <c r="M106" i="79"/>
  <c r="I106" i="79"/>
  <c r="M71" i="79"/>
  <c r="I71" i="79"/>
  <c r="M36" i="79"/>
  <c r="I36" i="79"/>
  <c r="M147" i="79"/>
  <c r="I147" i="79"/>
  <c r="M85" i="79"/>
  <c r="I85" i="79"/>
  <c r="M21" i="79"/>
  <c r="I21" i="79"/>
  <c r="M112" i="79"/>
  <c r="I112" i="79"/>
  <c r="M37" i="79"/>
  <c r="I37" i="79"/>
  <c r="M162" i="79"/>
  <c r="I162" i="79"/>
  <c r="M100" i="79"/>
  <c r="I100" i="79"/>
  <c r="M55" i="79"/>
  <c r="I55" i="79"/>
  <c r="M16" i="79"/>
  <c r="I16" i="79"/>
  <c r="M105" i="79"/>
  <c r="I105" i="79"/>
  <c r="M146" i="79"/>
  <c r="I146" i="79"/>
  <c r="M84" i="79"/>
  <c r="I84" i="79"/>
  <c r="M17" i="79"/>
  <c r="I17" i="79"/>
  <c r="M110" i="79"/>
  <c r="I110" i="79"/>
  <c r="M30" i="79"/>
  <c r="I30" i="79"/>
  <c r="M161" i="79"/>
  <c r="I161" i="79"/>
  <c r="M99" i="79"/>
  <c r="I99" i="79"/>
  <c r="M47" i="79"/>
  <c r="I47" i="79"/>
  <c r="M14" i="79"/>
  <c r="I14" i="79"/>
  <c r="M70" i="79"/>
  <c r="I70" i="79"/>
  <c r="M35" i="79"/>
  <c r="I35" i="79"/>
  <c r="M170" i="79"/>
  <c r="I170" i="79"/>
  <c r="M132" i="79"/>
  <c r="I132" i="79"/>
  <c r="M104" i="79"/>
  <c r="I104" i="79"/>
  <c r="M68" i="79"/>
  <c r="I68" i="79"/>
  <c r="M28" i="79"/>
  <c r="I28" i="79"/>
  <c r="M144" i="79"/>
  <c r="I144" i="79"/>
  <c r="M80" i="79"/>
  <c r="I80" i="79"/>
  <c r="M15" i="79"/>
  <c r="I15" i="79"/>
  <c r="M103" i="79"/>
  <c r="I103" i="79"/>
  <c r="M29" i="79"/>
  <c r="I29" i="79"/>
  <c r="M158" i="79"/>
  <c r="I158" i="79"/>
  <c r="M94" i="79"/>
  <c r="I94" i="79"/>
  <c r="M45" i="79"/>
  <c r="I45" i="79"/>
  <c r="M12" i="79"/>
  <c r="I12" i="79"/>
  <c r="M13" i="79"/>
  <c r="I13" i="79"/>
  <c r="M156" i="79"/>
  <c r="I156" i="79"/>
  <c r="M97" i="79"/>
  <c r="I97" i="79"/>
  <c r="M44" i="79"/>
  <c r="I44" i="79"/>
  <c r="M7" i="79"/>
  <c r="I7" i="79"/>
  <c r="M123" i="79"/>
  <c r="I123" i="79"/>
  <c r="M64" i="79"/>
  <c r="I64" i="79"/>
  <c r="M138" i="79"/>
  <c r="I138" i="79"/>
  <c r="M66" i="79"/>
  <c r="I66" i="79"/>
  <c r="M10" i="79"/>
  <c r="I10" i="79"/>
  <c r="M98" i="79"/>
  <c r="I98" i="79"/>
  <c r="M9" i="79"/>
  <c r="I9" i="79"/>
  <c r="M152" i="79"/>
  <c r="I152" i="79"/>
  <c r="M90" i="79"/>
  <c r="I90" i="79"/>
  <c r="M43" i="79"/>
  <c r="I43" i="79"/>
  <c r="M4" i="79"/>
  <c r="I4" i="79"/>
  <c r="M168" i="79"/>
  <c r="I168" i="79"/>
  <c r="M91" i="79"/>
  <c r="I91" i="79"/>
  <c r="M22" i="79"/>
  <c r="I22" i="79"/>
  <c r="M157" i="79"/>
  <c r="I157" i="79"/>
  <c r="M122" i="79"/>
  <c r="I122" i="79"/>
  <c r="M86" i="79"/>
  <c r="I86" i="79"/>
  <c r="M59" i="79"/>
  <c r="I59" i="79"/>
  <c r="M18" i="79"/>
  <c r="I18" i="79"/>
  <c r="M137" i="79"/>
  <c r="I137" i="79"/>
  <c r="M65" i="79"/>
  <c r="I65" i="79"/>
  <c r="M95" i="79"/>
  <c r="I95" i="79"/>
  <c r="M5" i="79"/>
  <c r="I5" i="79"/>
  <c r="M149" i="79"/>
  <c r="I149" i="79"/>
  <c r="M88" i="79"/>
  <c r="I88" i="79"/>
  <c r="M41" i="79"/>
  <c r="I41" i="79"/>
  <c r="M169" i="79"/>
  <c r="I169" i="79"/>
  <c r="M75" i="79"/>
  <c r="I75" i="79"/>
  <c r="M101" i="79"/>
  <c r="I101" i="79"/>
  <c r="M20" i="79"/>
  <c r="I20" i="79"/>
  <c r="M121" i="79"/>
  <c r="I121" i="79"/>
  <c r="M83" i="79"/>
  <c r="I83" i="79"/>
  <c r="M54" i="79"/>
  <c r="I54" i="79"/>
  <c r="M8" i="79"/>
  <c r="I8" i="79"/>
  <c r="M135" i="79"/>
  <c r="I135" i="79"/>
  <c r="M62" i="79"/>
  <c r="I62" i="79"/>
  <c r="M171" i="79"/>
  <c r="I171" i="79"/>
  <c r="M92" i="79"/>
  <c r="I92" i="79"/>
  <c r="M177" i="79"/>
  <c r="I177" i="79"/>
  <c r="M148" i="79"/>
  <c r="I148" i="79"/>
  <c r="M82" i="79"/>
  <c r="I82" i="79"/>
  <c r="M34" i="79"/>
  <c r="I34" i="79"/>
  <c r="M124" i="79"/>
  <c r="I124" i="79"/>
  <c r="M24" i="79"/>
  <c r="I24" i="79"/>
  <c r="M153" i="79"/>
  <c r="I153" i="79"/>
  <c r="M150" i="79"/>
  <c r="I150" i="79"/>
  <c r="M120" i="79"/>
  <c r="I120" i="79"/>
  <c r="M79" i="79"/>
  <c r="I79" i="79"/>
  <c r="M53" i="79"/>
  <c r="I53" i="79"/>
  <c r="M6" i="79"/>
  <c r="I6" i="79"/>
  <c r="M116" i="79"/>
  <c r="I116" i="79"/>
  <c r="M52" i="79"/>
  <c r="I52" i="79"/>
  <c r="M154" i="79"/>
  <c r="I154" i="79"/>
  <c r="M87" i="79"/>
  <c r="I87" i="79"/>
  <c r="M173" i="79"/>
  <c r="I173" i="79"/>
  <c r="M133" i="79"/>
  <c r="I133" i="79"/>
  <c r="M81" i="79"/>
  <c r="I81" i="79"/>
  <c r="M33" i="79"/>
  <c r="I33" i="79"/>
  <c r="M178" i="79"/>
  <c r="I178" i="79"/>
  <c r="M145" i="79"/>
  <c r="I145" i="79"/>
  <c r="M117" i="79"/>
  <c r="I117" i="79"/>
  <c r="M77" i="79"/>
  <c r="I77" i="79"/>
  <c r="M50" i="79"/>
  <c r="I50" i="79"/>
  <c r="M176" i="79"/>
  <c r="I176" i="79"/>
  <c r="M111" i="79"/>
  <c r="I111" i="79"/>
  <c r="M48" i="79"/>
  <c r="I48" i="79"/>
  <c r="M151" i="79"/>
  <c r="I151" i="79"/>
  <c r="M76" i="79"/>
  <c r="I76" i="79"/>
  <c r="M172" i="79"/>
  <c r="I172" i="79"/>
  <c r="M129" i="79"/>
  <c r="I129" i="79"/>
  <c r="M78" i="79"/>
  <c r="I78" i="79"/>
  <c r="M32" i="79"/>
  <c r="I32" i="79"/>
  <c r="M142" i="79"/>
  <c r="I142" i="79"/>
  <c r="M141" i="79"/>
  <c r="I141" i="79"/>
  <c r="M114" i="79"/>
  <c r="I114" i="79"/>
  <c r="M74" i="79"/>
  <c r="I74" i="79"/>
  <c r="M49" i="79"/>
  <c r="I49" i="79"/>
  <c r="M174" i="79"/>
  <c r="I174" i="79"/>
  <c r="M107" i="79"/>
  <c r="I107" i="79"/>
  <c r="M46" i="79"/>
  <c r="I46" i="79"/>
  <c r="M143" i="79"/>
  <c r="I143" i="79"/>
  <c r="M61" i="79"/>
  <c r="I61" i="79"/>
  <c r="M167" i="79"/>
  <c r="I167" i="79"/>
  <c r="M126" i="79"/>
  <c r="I126" i="79"/>
  <c r="M69" i="79"/>
  <c r="I69" i="79"/>
  <c r="M31" i="79"/>
  <c r="I31" i="79"/>
  <c r="M134" i="79"/>
  <c r="I134" i="79"/>
  <c r="M140" i="79"/>
  <c r="I140" i="79"/>
  <c r="M109" i="79"/>
  <c r="I109" i="79"/>
  <c r="M73" i="79"/>
  <c r="I73" i="79"/>
  <c r="M42" i="79"/>
  <c r="I42" i="79"/>
  <c r="M160" i="79"/>
  <c r="I160" i="79"/>
  <c r="M102" i="79"/>
  <c r="I102" i="79"/>
  <c r="M39" i="79"/>
  <c r="I39" i="79"/>
  <c r="M128" i="79"/>
  <c r="I128" i="79"/>
  <c r="M57" i="79"/>
  <c r="I57" i="79"/>
  <c r="M166" i="79"/>
  <c r="I166" i="79"/>
  <c r="M119" i="79"/>
  <c r="I119" i="79"/>
  <c r="M63" i="79"/>
  <c r="I63" i="79"/>
  <c r="M27" i="79"/>
  <c r="I27" i="79"/>
  <c r="M93" i="79"/>
  <c r="I93" i="79"/>
  <c r="M139" i="79"/>
  <c r="I139" i="79"/>
  <c r="M108" i="79"/>
  <c r="I108" i="79"/>
  <c r="M72" i="79"/>
  <c r="I72" i="79"/>
  <c r="M40" i="79"/>
  <c r="I40" i="79"/>
  <c r="M159" i="79"/>
  <c r="I159" i="79"/>
  <c r="M89" i="79"/>
  <c r="I89" i="79"/>
  <c r="M25" i="79"/>
  <c r="I25" i="79"/>
  <c r="M125" i="79"/>
  <c r="I125" i="79"/>
  <c r="M38" i="79"/>
  <c r="I38" i="79"/>
  <c r="M164" i="79"/>
  <c r="I164" i="79"/>
  <c r="M115" i="79"/>
  <c r="I115" i="79"/>
  <c r="M58" i="79"/>
  <c r="I58" i="79"/>
  <c r="M26" i="79"/>
  <c r="I26" i="79"/>
  <c r="G136" i="79"/>
  <c r="G106" i="79"/>
  <c r="G71" i="79"/>
  <c r="G36" i="79"/>
  <c r="G147" i="79"/>
  <c r="G85" i="79"/>
  <c r="G21" i="79"/>
  <c r="G112" i="79"/>
  <c r="G37" i="79"/>
  <c r="G162" i="79"/>
  <c r="G100" i="79"/>
  <c r="G55" i="79"/>
  <c r="G84" i="79"/>
  <c r="G99" i="79"/>
  <c r="G132" i="79"/>
  <c r="G104" i="79"/>
  <c r="G68" i="79"/>
  <c r="G28" i="79"/>
  <c r="G144" i="79"/>
  <c r="G80" i="79"/>
  <c r="G15" i="79"/>
  <c r="G103" i="79"/>
  <c r="G29" i="79"/>
  <c r="G158" i="79"/>
  <c r="G94" i="79"/>
  <c r="G45" i="79"/>
  <c r="G47" i="79"/>
  <c r="G14" i="79"/>
  <c r="G124" i="79"/>
  <c r="G67" i="79"/>
  <c r="G24" i="79"/>
  <c r="G142" i="79"/>
  <c r="G13" i="79"/>
  <c r="G101" i="79"/>
  <c r="G20" i="79"/>
  <c r="G156" i="79"/>
  <c r="G97" i="79"/>
  <c r="G44" i="79"/>
  <c r="G7" i="79"/>
  <c r="G134" i="79"/>
  <c r="G161" i="79"/>
  <c r="G168" i="79"/>
  <c r="G64" i="79"/>
  <c r="G22" i="79"/>
  <c r="G138" i="79"/>
  <c r="G66" i="79"/>
  <c r="G10" i="79"/>
  <c r="G98" i="79"/>
  <c r="G9" i="79"/>
  <c r="G152" i="79"/>
  <c r="G90" i="79"/>
  <c r="G43" i="79"/>
  <c r="G4" i="79"/>
  <c r="G146" i="79"/>
  <c r="G169" i="79"/>
  <c r="G157" i="79"/>
  <c r="G122" i="79"/>
  <c r="G59" i="79"/>
  <c r="G18" i="79"/>
  <c r="G65" i="79"/>
  <c r="G3" i="79"/>
  <c r="G95" i="79"/>
  <c r="G5" i="79"/>
  <c r="G149" i="79"/>
  <c r="G88" i="79"/>
  <c r="G41" i="79"/>
  <c r="G70" i="79"/>
  <c r="G17" i="79"/>
  <c r="G83" i="79"/>
  <c r="G54" i="79"/>
  <c r="G8" i="79"/>
  <c r="G62" i="79"/>
  <c r="G171" i="79"/>
  <c r="G92" i="79"/>
  <c r="G177" i="79"/>
  <c r="G148" i="79"/>
  <c r="G82" i="79"/>
  <c r="G120" i="79"/>
  <c r="G79" i="79"/>
  <c r="G6" i="79"/>
  <c r="G154" i="79"/>
  <c r="G173" i="79"/>
  <c r="G133" i="79"/>
  <c r="G81" i="79"/>
  <c r="G33" i="79"/>
  <c r="G105" i="79"/>
  <c r="G117" i="79"/>
  <c r="G176" i="79"/>
  <c r="G111" i="79"/>
  <c r="G48" i="79"/>
  <c r="G172" i="79"/>
  <c r="G32" i="79"/>
  <c r="G145" i="79"/>
  <c r="G114" i="79"/>
  <c r="G74" i="79"/>
  <c r="G49" i="79"/>
  <c r="G174" i="79"/>
  <c r="G107" i="79"/>
  <c r="G46" i="79"/>
  <c r="G143" i="79"/>
  <c r="G61" i="79"/>
  <c r="G167" i="79"/>
  <c r="G126" i="79"/>
  <c r="G69" i="79"/>
  <c r="G31" i="79"/>
  <c r="G178" i="79"/>
  <c r="G153" i="79"/>
  <c r="G73" i="79"/>
  <c r="G42" i="79"/>
  <c r="G160" i="79"/>
  <c r="G102" i="79"/>
  <c r="G39" i="79"/>
  <c r="G128" i="79"/>
  <c r="G57" i="79"/>
  <c r="G166" i="79"/>
  <c r="G119" i="79"/>
  <c r="G63" i="79"/>
  <c r="G27" i="79"/>
  <c r="G140" i="79"/>
  <c r="G139" i="79"/>
  <c r="G108" i="79"/>
  <c r="G72" i="79"/>
  <c r="G40" i="79"/>
  <c r="G159" i="79"/>
  <c r="G89" i="79"/>
  <c r="G25" i="79"/>
  <c r="G125" i="79"/>
  <c r="G38" i="79"/>
  <c r="G164" i="79"/>
  <c r="G115" i="79"/>
  <c r="G58" i="79"/>
  <c r="G26" i="79"/>
  <c r="H73" i="79"/>
  <c r="H35" i="79"/>
  <c r="H42" i="79"/>
  <c r="H49" i="79"/>
  <c r="H50" i="79"/>
  <c r="H64" i="79"/>
  <c r="H67" i="79"/>
  <c r="H70" i="79"/>
  <c r="H72" i="79"/>
  <c r="H79" i="79"/>
  <c r="H83" i="79"/>
  <c r="H91" i="79"/>
  <c r="H93" i="79"/>
  <c r="H114" i="79"/>
  <c r="H120" i="79"/>
  <c r="H121" i="79"/>
  <c r="H139" i="79"/>
  <c r="H141" i="79"/>
  <c r="H145" i="79"/>
  <c r="H150" i="79"/>
  <c r="H153" i="79"/>
  <c r="H178" i="79"/>
  <c r="L68" i="79"/>
  <c r="L109" i="79"/>
  <c r="H152" i="79"/>
  <c r="H41" i="79"/>
  <c r="H90" i="79"/>
  <c r="H164" i="79"/>
  <c r="H177" i="79"/>
  <c r="H95" i="79"/>
  <c r="H17" i="79"/>
  <c r="H21" i="79"/>
  <c r="H25" i="79"/>
  <c r="H138" i="79"/>
  <c r="H142" i="79"/>
  <c r="H146" i="79"/>
  <c r="H16" i="79"/>
  <c r="H34" i="79"/>
  <c r="H58" i="79"/>
  <c r="H133" i="79"/>
  <c r="H4" i="79"/>
  <c r="H7" i="79"/>
  <c r="H12" i="79"/>
  <c r="H14" i="79"/>
  <c r="H26" i="79"/>
  <c r="H31" i="79"/>
  <c r="H32" i="79"/>
  <c r="H33" i="79"/>
  <c r="H43" i="79"/>
  <c r="H45" i="79"/>
  <c r="H47" i="79"/>
  <c r="H55" i="79"/>
  <c r="H63" i="79"/>
  <c r="H78" i="79"/>
  <c r="H81" i="79"/>
  <c r="H82" i="79"/>
  <c r="H88" i="79"/>
  <c r="H97" i="79"/>
  <c r="H94" i="79"/>
  <c r="H115" i="79"/>
  <c r="H119" i="79"/>
  <c r="H129" i="79"/>
  <c r="H158" i="79"/>
  <c r="H161" i="79"/>
  <c r="H162" i="79"/>
  <c r="H167" i="79"/>
  <c r="H172" i="79"/>
  <c r="H5" i="79"/>
  <c r="H9" i="79"/>
  <c r="H20" i="79"/>
  <c r="H30" i="79"/>
  <c r="H37" i="79"/>
  <c r="H38" i="79"/>
  <c r="H57" i="79"/>
  <c r="H98" i="79"/>
  <c r="H110" i="79"/>
  <c r="H112" i="79"/>
  <c r="H3" i="79"/>
  <c r="H13" i="79"/>
  <c r="H15" i="79"/>
  <c r="H48" i="79"/>
  <c r="H52" i="79"/>
  <c r="H62" i="79"/>
  <c r="H66" i="79"/>
  <c r="H80" i="79"/>
  <c r="H84" i="79"/>
  <c r="H85" i="79"/>
  <c r="H102" i="79"/>
  <c r="H107" i="79"/>
  <c r="H111" i="79"/>
  <c r="H135" i="79"/>
  <c r="H159" i="79"/>
  <c r="H160" i="79"/>
  <c r="H174" i="79"/>
  <c r="H24" i="79"/>
  <c r="N109" i="79" l="1"/>
  <c r="N68" i="79"/>
  <c r="H169" i="79"/>
  <c r="H108" i="79"/>
  <c r="H124" i="79"/>
  <c r="H53" i="79"/>
  <c r="H59" i="79"/>
  <c r="H168" i="79"/>
  <c r="H54" i="79"/>
  <c r="H123" i="79"/>
  <c r="H104" i="79"/>
  <c r="H18" i="79"/>
  <c r="H136" i="79"/>
  <c r="H144" i="79"/>
  <c r="H137" i="79"/>
  <c r="H39" i="79"/>
  <c r="H147" i="79"/>
  <c r="H89" i="79"/>
  <c r="H171" i="79"/>
  <c r="H151" i="79"/>
  <c r="H125" i="79"/>
  <c r="H143" i="79"/>
  <c r="H103" i="79"/>
  <c r="H100" i="79"/>
  <c r="H156" i="79"/>
  <c r="H149" i="79"/>
  <c r="H166" i="79"/>
  <c r="H92" i="79"/>
  <c r="H154" i="79"/>
  <c r="H46" i="79"/>
  <c r="H176" i="79"/>
  <c r="H116" i="79"/>
  <c r="H65" i="79"/>
  <c r="H101" i="79"/>
  <c r="H29" i="79"/>
  <c r="H148" i="79"/>
  <c r="H126" i="79"/>
  <c r="H99" i="79"/>
  <c r="H69" i="79"/>
  <c r="H27" i="79"/>
  <c r="B43" i="42"/>
  <c r="B44" i="42"/>
  <c r="F14" i="53"/>
  <c r="AE123" i="75" l="1"/>
  <c r="AE56" i="75"/>
  <c r="AE89" i="75"/>
  <c r="AE106" i="75"/>
  <c r="AE92" i="75"/>
  <c r="AE113" i="75"/>
  <c r="AE33" i="75"/>
  <c r="AE38" i="75"/>
  <c r="AE85" i="75"/>
  <c r="AE117" i="75"/>
  <c r="AE11" i="75"/>
  <c r="AE36" i="75"/>
  <c r="AE60" i="75"/>
  <c r="AE66" i="75"/>
  <c r="AE35" i="75"/>
  <c r="AE82" i="75"/>
  <c r="AE97" i="75"/>
  <c r="AE45" i="75"/>
  <c r="AE84" i="75"/>
  <c r="AE104" i="75"/>
  <c r="AE51" i="75"/>
  <c r="AE75" i="75"/>
  <c r="AE13" i="75"/>
  <c r="AE107" i="75"/>
  <c r="AE79" i="75"/>
  <c r="AE64" i="75"/>
  <c r="AE31" i="75"/>
  <c r="AE76" i="75"/>
  <c r="AE87" i="75"/>
  <c r="AE19" i="75"/>
  <c r="AE52" i="75"/>
  <c r="AE15" i="52"/>
  <c r="AE95" i="75"/>
  <c r="AE119" i="75"/>
  <c r="AE25" i="75"/>
  <c r="AE122" i="75"/>
  <c r="AE88" i="75"/>
  <c r="AE118" i="75"/>
  <c r="AE101" i="75"/>
  <c r="AE83" i="75"/>
  <c r="AE62" i="75"/>
  <c r="AE16" i="75"/>
  <c r="AE112" i="75"/>
  <c r="AE16" i="52"/>
  <c r="AE23" i="75"/>
  <c r="AE21" i="75"/>
  <c r="AE28" i="75"/>
  <c r="AE47" i="75"/>
  <c r="AE27" i="75"/>
  <c r="AE63" i="75"/>
  <c r="AE20" i="75"/>
  <c r="AE12" i="52"/>
  <c r="AE26" i="52"/>
  <c r="AE34" i="75"/>
  <c r="AE68" i="75"/>
  <c r="AE94" i="75"/>
  <c r="AE26" i="75"/>
  <c r="AE59" i="75"/>
  <c r="AE48" i="75"/>
  <c r="AE6" i="52"/>
  <c r="AE21" i="52"/>
  <c r="AE30" i="52"/>
  <c r="AE33" i="52"/>
  <c r="AE80" i="75"/>
  <c r="AE50" i="75"/>
  <c r="AE86" i="75"/>
  <c r="AE41" i="75"/>
  <c r="AE58" i="75"/>
  <c r="AE61" i="75"/>
  <c r="AE14" i="52"/>
  <c r="AE28" i="52"/>
  <c r="AE29" i="75"/>
  <c r="AE30" i="75"/>
  <c r="AE8" i="75"/>
  <c r="AE43" i="75"/>
  <c r="AE72" i="75"/>
  <c r="AE71" i="75"/>
  <c r="AE74" i="75"/>
  <c r="AE77" i="75"/>
  <c r="AE9" i="75"/>
  <c r="AE69" i="75"/>
  <c r="AE55" i="75"/>
  <c r="AE8" i="52"/>
  <c r="AE17" i="52"/>
  <c r="AE23" i="52"/>
  <c r="AE99" i="75"/>
  <c r="AE103" i="75"/>
  <c r="AE120" i="75"/>
  <c r="AE12" i="75"/>
  <c r="AE100" i="75"/>
  <c r="AE44" i="75"/>
  <c r="AE53" i="75"/>
  <c r="AE25" i="52"/>
  <c r="AE17" i="75"/>
  <c r="AE93" i="75"/>
  <c r="AE110" i="75"/>
  <c r="AE91" i="75"/>
  <c r="AE96" i="75"/>
  <c r="AE121" i="75"/>
  <c r="AE15" i="75"/>
  <c r="AE10" i="52"/>
  <c r="AE19" i="52"/>
  <c r="AE49" i="75"/>
  <c r="AE109" i="75"/>
  <c r="AE22" i="75"/>
  <c r="AE32" i="75"/>
  <c r="AE20" i="52"/>
  <c r="AE70" i="75"/>
  <c r="AE54" i="75"/>
  <c r="AE24" i="75"/>
  <c r="AE7" i="75"/>
  <c r="AE57" i="75"/>
  <c r="AE37" i="75"/>
  <c r="AE42" i="75"/>
  <c r="AE46" i="75"/>
  <c r="AE114" i="75"/>
  <c r="AE67" i="75"/>
  <c r="AE90" i="75"/>
  <c r="AE6" i="75"/>
  <c r="AE115" i="75"/>
  <c r="AE40" i="75"/>
  <c r="AE65" i="75"/>
  <c r="AE73" i="75"/>
  <c r="AE102" i="75"/>
  <c r="AE10" i="75"/>
  <c r="AE111" i="75"/>
  <c r="AE78" i="75"/>
  <c r="AE7" i="52"/>
  <c r="AE24" i="52"/>
  <c r="AE32" i="52"/>
  <c r="AE35" i="52"/>
  <c r="AE37" i="52"/>
  <c r="AE40" i="52"/>
  <c r="AE43" i="52"/>
  <c r="AE46" i="52"/>
  <c r="AE49" i="52"/>
  <c r="AE52" i="52"/>
  <c r="AE55" i="52"/>
  <c r="AE58" i="52"/>
  <c r="AE61" i="52"/>
  <c r="AE64" i="52"/>
  <c r="AE67" i="52"/>
  <c r="AE70" i="52"/>
  <c r="AE83" i="52"/>
  <c r="AE86" i="52"/>
  <c r="AE89" i="52"/>
  <c r="AE36" i="52"/>
  <c r="AE131" i="52"/>
  <c r="AE149" i="52"/>
  <c r="AE95" i="52"/>
  <c r="AE42" i="50"/>
  <c r="AE12" i="50"/>
  <c r="AE18" i="75"/>
  <c r="AE98" i="52"/>
  <c r="AE107" i="52"/>
  <c r="AE118" i="52"/>
  <c r="AE136" i="52"/>
  <c r="AE141" i="52"/>
  <c r="AE154" i="52"/>
  <c r="AE159" i="52"/>
  <c r="AE112" i="52"/>
  <c r="AE122" i="52"/>
  <c r="AE47" i="50"/>
  <c r="AE7" i="50"/>
  <c r="AE99" i="52"/>
  <c r="AE128" i="52"/>
  <c r="AE146" i="52"/>
  <c r="AE164" i="52"/>
  <c r="AE25" i="50"/>
  <c r="AE9" i="52"/>
  <c r="AE18" i="52"/>
  <c r="AE27" i="52"/>
  <c r="AE39" i="52"/>
  <c r="AE45" i="52"/>
  <c r="AE51" i="52"/>
  <c r="AE57" i="52"/>
  <c r="AE63" i="52"/>
  <c r="AE69" i="52"/>
  <c r="AE85" i="52"/>
  <c r="AE90" i="52"/>
  <c r="AE101" i="52"/>
  <c r="AE111" i="52"/>
  <c r="AE133" i="52"/>
  <c r="AE138" i="52"/>
  <c r="AE151" i="52"/>
  <c r="AE155" i="52"/>
  <c r="AE104" i="52"/>
  <c r="AE116" i="52"/>
  <c r="AE24" i="50"/>
  <c r="AE11" i="50"/>
  <c r="AE41" i="52"/>
  <c r="AE47" i="52"/>
  <c r="AE53" i="52"/>
  <c r="AE59" i="52"/>
  <c r="AE65" i="52"/>
  <c r="AE71" i="52"/>
  <c r="AE87" i="52"/>
  <c r="AE125" i="52"/>
  <c r="AE143" i="52"/>
  <c r="AE161" i="52"/>
  <c r="AE124" i="52"/>
  <c r="AE5" i="52"/>
  <c r="AE93" i="52"/>
  <c r="AE105" i="52"/>
  <c r="AE130" i="52"/>
  <c r="AE135" i="52"/>
  <c r="AE148" i="52"/>
  <c r="AE153" i="52"/>
  <c r="AE166" i="52"/>
  <c r="AE110" i="52"/>
  <c r="AE108" i="75"/>
  <c r="AE81" i="75"/>
  <c r="AE96" i="52"/>
  <c r="AE103" i="52"/>
  <c r="AE115" i="52"/>
  <c r="AE140" i="52"/>
  <c r="AE157" i="52"/>
  <c r="AE121" i="52"/>
  <c r="AE119" i="52"/>
  <c r="AE127" i="52"/>
  <c r="AE132" i="52"/>
  <c r="AE145" i="52"/>
  <c r="AE150" i="52"/>
  <c r="AE163" i="52"/>
  <c r="AE97" i="52"/>
  <c r="AE105" i="75"/>
  <c r="AE22" i="52"/>
  <c r="AE29" i="52"/>
  <c r="AE34" i="52"/>
  <c r="AE108" i="52"/>
  <c r="AE137" i="52"/>
  <c r="AE158" i="52"/>
  <c r="AE39" i="75"/>
  <c r="AE11" i="52"/>
  <c r="AE42" i="52"/>
  <c r="AE48" i="52"/>
  <c r="AE54" i="52"/>
  <c r="AE60" i="52"/>
  <c r="AE66" i="52"/>
  <c r="AE82" i="52"/>
  <c r="AE88" i="52"/>
  <c r="AE100" i="52"/>
  <c r="AE120" i="52"/>
  <c r="AE129" i="52"/>
  <c r="AE142" i="52"/>
  <c r="AE147" i="52"/>
  <c r="AE160" i="52"/>
  <c r="AE165" i="52"/>
  <c r="AE123" i="52"/>
  <c r="AE32" i="50"/>
  <c r="AE5" i="50"/>
  <c r="AE43" i="50"/>
  <c r="AE13" i="52"/>
  <c r="AE31" i="52"/>
  <c r="AE38" i="52"/>
  <c r="AE44" i="52"/>
  <c r="AE50" i="52"/>
  <c r="AE56" i="52"/>
  <c r="AE62" i="52"/>
  <c r="AE68" i="52"/>
  <c r="AE84" i="52"/>
  <c r="AE91" i="52"/>
  <c r="AE92" i="52"/>
  <c r="AE102" i="52"/>
  <c r="AE134" i="52"/>
  <c r="AE152" i="52"/>
  <c r="AE109" i="52"/>
  <c r="AE35" i="50"/>
  <c r="AE106" i="52"/>
  <c r="AE41" i="50"/>
  <c r="AE9" i="50"/>
  <c r="AE44" i="50"/>
  <c r="AE31" i="51"/>
  <c r="AE156" i="52"/>
  <c r="AE15" i="51"/>
  <c r="AE7" i="51"/>
  <c r="AE12" i="51"/>
  <c r="AE18" i="51"/>
  <c r="AE139" i="52"/>
  <c r="AE49" i="50"/>
  <c r="AE21" i="50"/>
  <c r="AE29" i="50"/>
  <c r="AE14" i="50"/>
  <c r="AE31" i="50"/>
  <c r="AE15" i="50"/>
  <c r="AE17" i="50"/>
  <c r="AE53" i="50"/>
  <c r="AE40" i="50"/>
  <c r="AE35" i="51"/>
  <c r="AE9" i="51"/>
  <c r="AE19" i="51"/>
  <c r="AE114" i="52"/>
  <c r="AE13" i="50"/>
  <c r="AE34" i="50"/>
  <c r="AE6" i="50"/>
  <c r="AE39" i="50"/>
  <c r="AE22" i="50"/>
  <c r="AE32" i="51"/>
  <c r="AE25" i="51"/>
  <c r="AE27" i="51"/>
  <c r="AE37" i="51"/>
  <c r="AE45" i="51"/>
  <c r="AE45" i="50"/>
  <c r="AE50" i="50"/>
  <c r="AE22" i="51"/>
  <c r="AE144" i="52"/>
  <c r="AE30" i="50"/>
  <c r="AE36" i="50"/>
  <c r="AE10" i="51"/>
  <c r="AE24" i="51"/>
  <c r="AE30" i="51"/>
  <c r="AE39" i="51"/>
  <c r="AE126" i="52"/>
  <c r="AE162" i="52"/>
  <c r="AE38" i="50"/>
  <c r="AE5" i="51"/>
  <c r="AE8" i="51"/>
  <c r="AE14" i="51"/>
  <c r="AE94" i="52"/>
  <c r="AE113" i="52"/>
  <c r="AE8" i="50"/>
  <c r="AE17" i="51"/>
  <c r="AE13" i="51"/>
  <c r="AE34" i="51"/>
  <c r="AE6" i="51"/>
  <c r="AE26" i="51"/>
  <c r="AE19" i="50"/>
  <c r="AE33" i="50"/>
  <c r="AE52" i="50"/>
  <c r="AE4" i="50"/>
  <c r="AE28" i="50"/>
  <c r="AE37" i="50"/>
  <c r="AE51" i="50"/>
  <c r="AE46" i="50"/>
  <c r="AE47" i="51"/>
  <c r="AE44" i="51"/>
  <c r="AE23" i="51"/>
  <c r="AE46" i="51"/>
  <c r="AE18" i="50"/>
  <c r="AE48" i="50"/>
  <c r="AE23" i="50"/>
  <c r="AE27" i="50"/>
  <c r="AE16" i="50"/>
  <c r="AE20" i="50"/>
  <c r="AE40" i="51"/>
  <c r="AE16" i="51"/>
  <c r="AE21" i="51"/>
  <c r="AE20" i="51"/>
  <c r="AE117" i="52"/>
  <c r="AE10" i="50"/>
  <c r="AE33" i="51"/>
  <c r="AE42" i="51"/>
  <c r="AE29" i="51"/>
  <c r="AE38" i="51"/>
  <c r="AE28" i="51"/>
  <c r="AE4" i="51"/>
  <c r="AE43" i="51"/>
  <c r="AE36" i="51"/>
  <c r="AE41" i="51"/>
  <c r="AT8" i="50"/>
  <c r="W27" i="49" l="1"/>
  <c r="AT5" i="75"/>
  <c r="H105" i="46"/>
  <c r="H63" i="46"/>
  <c r="H60" i="46"/>
  <c r="V37" i="44"/>
  <c r="H12" i="46"/>
  <c r="H81" i="46"/>
  <c r="AT40" i="52"/>
  <c r="AT67" i="52"/>
  <c r="AT83" i="52"/>
  <c r="AT57" i="52"/>
  <c r="AT59" i="52"/>
  <c r="AT65" i="52"/>
  <c r="AT70" i="52"/>
  <c r="AT71" i="52"/>
  <c r="AT86" i="52"/>
  <c r="AT87" i="52"/>
  <c r="AT13" i="75"/>
  <c r="AT76" i="75"/>
  <c r="AT56" i="75"/>
  <c r="AT107" i="75"/>
  <c r="AT35" i="75"/>
  <c r="AT115" i="75"/>
  <c r="AT34" i="75"/>
  <c r="AT24" i="75"/>
  <c r="AT31" i="75"/>
  <c r="AT29" i="75"/>
  <c r="AT23" i="75"/>
  <c r="AT123" i="75"/>
  <c r="AT82" i="75"/>
  <c r="AE5" i="75"/>
  <c r="X77" i="49" l="1"/>
  <c r="L86" i="79" l="1"/>
  <c r="L134" i="79"/>
  <c r="N134" i="79" s="1"/>
  <c r="L91" i="79"/>
  <c r="L64" i="79"/>
  <c r="N64" i="79" s="1"/>
  <c r="L168" i="79"/>
  <c r="N168" i="79" s="1"/>
  <c r="L67" i="79"/>
  <c r="N67" i="79" s="1"/>
  <c r="L93" i="79"/>
  <c r="N93" i="79" s="1"/>
  <c r="L145" i="79"/>
  <c r="N145" i="79" s="1"/>
  <c r="L72" i="79"/>
  <c r="N72" i="79" s="1"/>
  <c r="L178" i="79"/>
  <c r="N178" i="79" s="1"/>
  <c r="L28" i="79"/>
  <c r="N28" i="79" s="1"/>
  <c r="L150" i="79"/>
  <c r="N150" i="79" s="1"/>
  <c r="L117" i="79"/>
  <c r="N117" i="79" s="1"/>
  <c r="L70" i="79"/>
  <c r="N70" i="79" s="1"/>
  <c r="L153" i="79"/>
  <c r="N153" i="79" s="1"/>
  <c r="L40" i="79"/>
  <c r="N40" i="79" s="1"/>
  <c r="L36" i="79"/>
  <c r="N36" i="79" s="1"/>
  <c r="L71" i="79"/>
  <c r="N71" i="79" s="1"/>
  <c r="L114" i="79"/>
  <c r="N114" i="79" s="1"/>
  <c r="L42" i="79"/>
  <c r="N42" i="79" s="1"/>
  <c r="L73" i="79"/>
  <c r="N73" i="79" s="1"/>
  <c r="L120" i="79"/>
  <c r="N120" i="79" s="1"/>
  <c r="L79" i="79"/>
  <c r="N79" i="79" s="1"/>
  <c r="L121" i="79"/>
  <c r="L140" i="79"/>
  <c r="N140" i="79" s="1"/>
  <c r="L49" i="79"/>
  <c r="N49" i="79" s="1"/>
  <c r="L50" i="79"/>
  <c r="L83" i="79"/>
  <c r="N83" i="79" s="1"/>
  <c r="L122" i="79"/>
  <c r="N122" i="79" s="1"/>
  <c r="L141" i="79"/>
  <c r="N141" i="79" s="1"/>
  <c r="L124" i="79"/>
  <c r="N124" i="79" s="1"/>
  <c r="L74" i="79"/>
  <c r="N74" i="79" s="1"/>
  <c r="L59" i="79"/>
  <c r="N59" i="79" s="1"/>
  <c r="L106" i="79"/>
  <c r="N106" i="79" s="1"/>
  <c r="L54" i="79"/>
  <c r="N54" i="79" s="1"/>
  <c r="L169" i="79"/>
  <c r="N169" i="79" s="1"/>
  <c r="L105" i="79"/>
  <c r="N105" i="79" s="1"/>
  <c r="L157" i="79"/>
  <c r="N157" i="79" s="1"/>
  <c r="L104" i="79"/>
  <c r="N104" i="79" s="1"/>
  <c r="L108" i="79"/>
  <c r="L53" i="79"/>
  <c r="N53" i="79" s="1"/>
  <c r="L136" i="79"/>
  <c r="N136" i="79" s="1"/>
  <c r="L77" i="79"/>
  <c r="L123" i="79"/>
  <c r="L139" i="79"/>
  <c r="N139" i="79" s="1"/>
  <c r="L170" i="79"/>
  <c r="L132" i="79"/>
  <c r="N132" i="79" s="1"/>
  <c r="N35" i="79"/>
  <c r="AF5" i="75"/>
  <c r="L13" i="79"/>
  <c r="L144" i="79"/>
  <c r="L17" i="79"/>
  <c r="N17" i="79" s="1"/>
  <c r="L32" i="79"/>
  <c r="L118" i="79"/>
  <c r="L90" i="79"/>
  <c r="L15" i="79"/>
  <c r="L156" i="79"/>
  <c r="L115" i="79"/>
  <c r="L142" i="79"/>
  <c r="L75" i="79"/>
  <c r="L137" i="79"/>
  <c r="L162" i="79"/>
  <c r="L82" i="79"/>
  <c r="L6" i="79"/>
  <c r="L135" i="79"/>
  <c r="L3" i="79"/>
  <c r="L107" i="79"/>
  <c r="L52" i="79"/>
  <c r="L158" i="79"/>
  <c r="L152" i="79"/>
  <c r="L165" i="79"/>
  <c r="L151" i="79"/>
  <c r="L39" i="79"/>
  <c r="L143" i="79"/>
  <c r="L94" i="79"/>
  <c r="L119" i="79"/>
  <c r="L97" i="79"/>
  <c r="L167" i="79"/>
  <c r="L5" i="79"/>
  <c r="L81" i="79"/>
  <c r="L37" i="79"/>
  <c r="L166" i="79"/>
  <c r="L164" i="79"/>
  <c r="L116" i="79"/>
  <c r="L65" i="79"/>
  <c r="L101" i="79"/>
  <c r="L111" i="79"/>
  <c r="L98" i="79"/>
  <c r="L149" i="79"/>
  <c r="L161" i="79"/>
  <c r="L9" i="79"/>
  <c r="L69" i="79"/>
  <c r="L38" i="79"/>
  <c r="L112" i="79"/>
  <c r="L95" i="79"/>
  <c r="L88" i="79"/>
  <c r="L30" i="79"/>
  <c r="L62" i="79"/>
  <c r="L131" i="79"/>
  <c r="L10" i="79"/>
  <c r="L155" i="79"/>
  <c r="L133" i="79"/>
  <c r="L113" i="79"/>
  <c r="L78" i="79"/>
  <c r="N78" i="79" s="1"/>
  <c r="L138" i="79"/>
  <c r="L84" i="79"/>
  <c r="L21" i="79"/>
  <c r="L57" i="79"/>
  <c r="L89" i="79"/>
  <c r="L127" i="79"/>
  <c r="L146" i="79"/>
  <c r="L99" i="79"/>
  <c r="L25" i="79"/>
  <c r="L100" i="79"/>
  <c r="L148" i="79"/>
  <c r="L18" i="79"/>
  <c r="L126" i="79"/>
  <c r="L8" i="79"/>
  <c r="L29" i="79"/>
  <c r="L80" i="79"/>
  <c r="L20" i="79"/>
  <c r="L176" i="79"/>
  <c r="L128" i="79"/>
  <c r="L174" i="79"/>
  <c r="L66" i="79"/>
  <c r="L125" i="79"/>
  <c r="L85" i="79"/>
  <c r="L130" i="79"/>
  <c r="L103" i="79"/>
  <c r="L129" i="79"/>
  <c r="L163" i="79"/>
  <c r="L96" i="79"/>
  <c r="L92" i="79"/>
  <c r="L177" i="79"/>
  <c r="L87" i="79"/>
  <c r="L175" i="79"/>
  <c r="L76" i="79"/>
  <c r="L173" i="79"/>
  <c r="L61" i="79"/>
  <c r="L172" i="79"/>
  <c r="L24" i="79"/>
  <c r="L160" i="79"/>
  <c r="L102" i="79"/>
  <c r="L48" i="79"/>
  <c r="L171" i="79"/>
  <c r="L23" i="79"/>
  <c r="L159" i="79"/>
  <c r="L46" i="79"/>
  <c r="L154" i="79"/>
  <c r="L22" i="79"/>
  <c r="L147" i="79"/>
  <c r="N108" i="79" l="1"/>
  <c r="W3" i="49" l="1"/>
  <c r="W53" i="49"/>
  <c r="W52" i="49"/>
  <c r="W66" i="49"/>
  <c r="W68" i="49"/>
  <c r="W69" i="49"/>
  <c r="W39" i="49"/>
  <c r="W5" i="49"/>
  <c r="W55" i="49"/>
  <c r="W70" i="49"/>
  <c r="W24" i="49"/>
  <c r="W6" i="49"/>
  <c r="W48" i="49"/>
  <c r="W67" i="49"/>
  <c r="W49" i="49"/>
  <c r="W28" i="49"/>
  <c r="W54" i="49"/>
  <c r="W63" i="49"/>
  <c r="W32" i="49"/>
  <c r="W4" i="49"/>
  <c r="W47" i="49"/>
  <c r="W50" i="49"/>
  <c r="W60" i="49"/>
  <c r="V18" i="44"/>
  <c r="H69" i="46"/>
  <c r="V43" i="44"/>
  <c r="H86" i="46"/>
  <c r="V6" i="44"/>
  <c r="V15" i="44"/>
  <c r="H83" i="46"/>
  <c r="V71" i="44"/>
  <c r="V29" i="44"/>
  <c r="H54" i="46"/>
  <c r="H110" i="46"/>
  <c r="H89" i="46"/>
  <c r="V39" i="44"/>
  <c r="H25" i="46"/>
  <c r="V22" i="44"/>
  <c r="H18" i="46"/>
  <c r="H49" i="46"/>
  <c r="V48" i="44"/>
  <c r="H41" i="46"/>
  <c r="H70" i="46"/>
  <c r="V25" i="44"/>
  <c r="H85" i="46"/>
  <c r="V75" i="44"/>
  <c r="H107" i="46"/>
  <c r="V19" i="44"/>
  <c r="V67" i="44"/>
  <c r="H24" i="46"/>
  <c r="V73" i="44"/>
  <c r="V27" i="44"/>
  <c r="H33" i="46"/>
  <c r="H90" i="46"/>
  <c r="V47" i="44"/>
  <c r="H14" i="46"/>
  <c r="H44" i="46"/>
  <c r="H10" i="46"/>
  <c r="H45" i="46"/>
  <c r="H17" i="46"/>
  <c r="V44" i="44"/>
  <c r="V12" i="44"/>
  <c r="V62" i="44"/>
  <c r="V7" i="44"/>
  <c r="H36" i="46"/>
  <c r="H38" i="46"/>
  <c r="V11" i="44"/>
  <c r="H61" i="46"/>
  <c r="V46" i="44"/>
  <c r="H104" i="46"/>
  <c r="V24" i="44"/>
  <c r="H30" i="46"/>
  <c r="V55" i="44"/>
  <c r="V34" i="44"/>
  <c r="H65" i="46"/>
  <c r="H74" i="46"/>
  <c r="V72" i="44"/>
  <c r="H78" i="46"/>
  <c r="H106" i="46"/>
  <c r="H39" i="46"/>
  <c r="V56" i="44"/>
  <c r="H48" i="46"/>
  <c r="V49" i="44"/>
  <c r="H3" i="46"/>
  <c r="H99" i="46"/>
  <c r="H80" i="46"/>
  <c r="V80" i="44"/>
  <c r="H43" i="46"/>
  <c r="H8" i="46"/>
  <c r="V35" i="44"/>
  <c r="V61" i="44"/>
  <c r="H4" i="46"/>
  <c r="V9" i="44"/>
  <c r="H79" i="46"/>
  <c r="H7" i="46"/>
  <c r="H109" i="46"/>
  <c r="V58" i="44"/>
  <c r="H50" i="46"/>
  <c r="H66" i="46"/>
  <c r="V68" i="44"/>
  <c r="H98" i="46"/>
  <c r="H46" i="46"/>
  <c r="H68" i="46"/>
  <c r="H58" i="46"/>
  <c r="V41" i="44"/>
  <c r="V74" i="44"/>
  <c r="V79" i="44"/>
  <c r="V76" i="44"/>
  <c r="V45" i="44"/>
  <c r="V64" i="44"/>
  <c r="V57" i="44"/>
  <c r="V38" i="44"/>
  <c r="H111" i="46"/>
  <c r="H59" i="46"/>
  <c r="V26" i="44"/>
  <c r="V66" i="44"/>
  <c r="H52" i="46"/>
  <c r="V17" i="44"/>
  <c r="H56" i="46"/>
  <c r="H72" i="46"/>
  <c r="H16" i="46"/>
  <c r="H37" i="46"/>
  <c r="V59" i="44"/>
  <c r="H84" i="46"/>
  <c r="H91" i="46"/>
  <c r="H97" i="46"/>
  <c r="H64" i="46"/>
  <c r="V70" i="44"/>
  <c r="H22" i="46"/>
  <c r="V5" i="44"/>
  <c r="H34" i="46"/>
  <c r="H11" i="46"/>
  <c r="H57" i="46"/>
  <c r="V60" i="44"/>
  <c r="H27" i="46"/>
  <c r="H21" i="46"/>
  <c r="H23" i="46"/>
  <c r="H92" i="46"/>
  <c r="V77" i="44"/>
  <c r="H19" i="46"/>
  <c r="H35" i="46"/>
  <c r="H101" i="46"/>
  <c r="V21" i="44"/>
  <c r="V50" i="44"/>
  <c r="H95" i="46"/>
  <c r="H76" i="46"/>
  <c r="H88" i="46"/>
  <c r="H103" i="46"/>
  <c r="V20" i="44"/>
  <c r="H94" i="46"/>
  <c r="H102" i="46"/>
  <c r="V52" i="44"/>
  <c r="H96" i="46"/>
  <c r="H55" i="46"/>
  <c r="V32" i="44"/>
  <c r="V4" i="44"/>
  <c r="H42" i="46"/>
  <c r="H20" i="46"/>
  <c r="H31" i="46"/>
  <c r="H53" i="46"/>
  <c r="V42" i="44"/>
  <c r="H67" i="46"/>
  <c r="H29" i="46"/>
  <c r="H15" i="46"/>
  <c r="V13" i="44"/>
  <c r="V69" i="44"/>
  <c r="H32" i="46"/>
  <c r="H28" i="46"/>
  <c r="H51" i="46"/>
  <c r="H87" i="46"/>
  <c r="H40" i="46"/>
  <c r="V31" i="44"/>
  <c r="V3" i="44"/>
  <c r="H71" i="46"/>
  <c r="H77" i="46"/>
  <c r="V51" i="44"/>
  <c r="H5" i="46"/>
  <c r="H82" i="46"/>
  <c r="H9" i="46"/>
  <c r="V53" i="44"/>
  <c r="V23" i="44"/>
  <c r="H93" i="46"/>
  <c r="V10" i="44"/>
  <c r="V16" i="44"/>
  <c r="H73" i="46"/>
  <c r="H62" i="46"/>
  <c r="V28" i="44"/>
  <c r="V78" i="44"/>
  <c r="V54" i="44"/>
  <c r="V36" i="44"/>
  <c r="H26" i="46"/>
  <c r="H75" i="46"/>
  <c r="V14" i="44"/>
  <c r="H13" i="46"/>
  <c r="V8" i="44"/>
  <c r="H108" i="46"/>
  <c r="V63" i="44"/>
  <c r="V40" i="44"/>
  <c r="H6" i="46"/>
  <c r="H100" i="46"/>
  <c r="H47" i="46"/>
  <c r="V65" i="44"/>
  <c r="V33" i="44"/>
  <c r="V30" i="44"/>
  <c r="AT101" i="75"/>
  <c r="AT104" i="75"/>
  <c r="AT103" i="75"/>
  <c r="AT43" i="75"/>
  <c r="AT68" i="75"/>
  <c r="AT95" i="75"/>
  <c r="AT102" i="75"/>
  <c r="AT42" i="75"/>
  <c r="AT54" i="75"/>
  <c r="AT45" i="75"/>
  <c r="AT106" i="75"/>
  <c r="AT39" i="75"/>
  <c r="AT99" i="75"/>
  <c r="AT41" i="75"/>
  <c r="AT50" i="75"/>
  <c r="AT122" i="75"/>
  <c r="AT46" i="75"/>
  <c r="AT17" i="75"/>
  <c r="AT85" i="75"/>
  <c r="AT40" i="75"/>
  <c r="AT113" i="75"/>
  <c r="AT84" i="75"/>
  <c r="AT93" i="75"/>
  <c r="AT105" i="75"/>
  <c r="AT77" i="75"/>
  <c r="AT38" i="75"/>
  <c r="AT89" i="75"/>
  <c r="AT66" i="75"/>
  <c r="AT108" i="75"/>
  <c r="AT74" i="75"/>
  <c r="AT37" i="75"/>
  <c r="AT88" i="75"/>
  <c r="AT64" i="75"/>
  <c r="AT118" i="75"/>
  <c r="AT73" i="75"/>
  <c r="AT86" i="75"/>
  <c r="AT70" i="75"/>
  <c r="AT60" i="75"/>
  <c r="AT120" i="75"/>
  <c r="AT71" i="75"/>
  <c r="AT8" i="75"/>
  <c r="AT79" i="75"/>
  <c r="AT97" i="75"/>
  <c r="AT65" i="75"/>
  <c r="AT33" i="75"/>
  <c r="AT25" i="75"/>
  <c r="AT92" i="75"/>
  <c r="AT30" i="75"/>
  <c r="AT51" i="75"/>
  <c r="AT80" i="75"/>
  <c r="AT72" i="75"/>
  <c r="AT117" i="75"/>
  <c r="AT14" i="75"/>
  <c r="AT119" i="75"/>
  <c r="AT75" i="75"/>
  <c r="W77" i="49"/>
  <c r="AT58" i="52" l="1"/>
  <c r="AT63" i="52"/>
  <c r="AT69" i="52"/>
  <c r="AT84" i="52"/>
  <c r="AI5" i="75" l="1"/>
  <c r="AL5" i="75"/>
  <c r="AK5" i="75"/>
  <c r="AM5" i="75"/>
  <c r="AJ5" i="75"/>
  <c r="AG5" i="75"/>
  <c r="AH5" i="75"/>
  <c r="AT140" i="52" l="1"/>
  <c r="AT129" i="52"/>
  <c r="AT135" i="52"/>
  <c r="AT137" i="52"/>
  <c r="AT147" i="52"/>
  <c r="AT132" i="52"/>
  <c r="AT149" i="52"/>
  <c r="AT28" i="52"/>
  <c r="AT157" i="52"/>
  <c r="AT29" i="52"/>
  <c r="AT109" i="52"/>
  <c r="AT136" i="52"/>
  <c r="AT162" i="52"/>
  <c r="AT30" i="52"/>
  <c r="AT163" i="52"/>
  <c r="AT32" i="52"/>
  <c r="AT35" i="52"/>
  <c r="AT164" i="52"/>
  <c r="AT37" i="52"/>
  <c r="AT41" i="52"/>
  <c r="AT165" i="52"/>
  <c r="AT39" i="52"/>
  <c r="AT116" i="52"/>
  <c r="AT38" i="52"/>
  <c r="AT122" i="52"/>
  <c r="AA5" i="75"/>
  <c r="N18" i="79"/>
  <c r="N32" i="79"/>
  <c r="N128" i="79"/>
  <c r="N57" i="79"/>
  <c r="N37" i="79"/>
  <c r="N110" i="79"/>
  <c r="N62" i="79"/>
  <c r="N149" i="79"/>
  <c r="N143" i="79"/>
  <c r="N101" i="79"/>
  <c r="N102" i="79"/>
  <c r="N8" i="79"/>
  <c r="N61" i="79"/>
  <c r="N10" i="79"/>
  <c r="N99" i="79"/>
  <c r="N92" i="79"/>
  <c r="N48" i="79"/>
  <c r="N22" i="79"/>
  <c r="N173" i="79"/>
  <c r="N172" i="79"/>
  <c r="N125" i="79"/>
  <c r="N156" i="79"/>
  <c r="N177" i="79"/>
  <c r="N107" i="79"/>
  <c r="N171" i="79"/>
  <c r="N147" i="79"/>
  <c r="N6" i="79"/>
  <c r="N167" i="79"/>
  <c r="N161" i="79"/>
  <c r="N146" i="79"/>
  <c r="N90" i="79"/>
  <c r="N52" i="79"/>
  <c r="N9" i="79"/>
  <c r="N158" i="79"/>
  <c r="N115" i="79"/>
  <c r="N20" i="79"/>
  <c r="N13" i="79"/>
  <c r="N159" i="79"/>
  <c r="I3" i="79"/>
  <c r="N3" i="79" s="1"/>
  <c r="N39" i="79"/>
  <c r="N75" i="79"/>
  <c r="N166" i="79"/>
  <c r="N82" i="79"/>
  <c r="N133" i="79"/>
  <c r="N162" i="79"/>
  <c r="N65" i="79"/>
  <c r="N29" i="79"/>
  <c r="N151" i="79"/>
  <c r="N15" i="79"/>
  <c r="N94" i="79"/>
  <c r="N138" i="79"/>
  <c r="N152" i="79"/>
  <c r="N46" i="79"/>
  <c r="N5" i="79"/>
  <c r="N66" i="79"/>
  <c r="N176" i="79"/>
  <c r="N81" i="79"/>
  <c r="N144" i="79"/>
  <c r="N154" i="79"/>
  <c r="N119" i="79"/>
  <c r="N97" i="79"/>
  <c r="N80" i="79"/>
  <c r="N88" i="79"/>
  <c r="N95" i="79"/>
  <c r="N111" i="79"/>
  <c r="N100" i="79"/>
  <c r="N126" i="79"/>
  <c r="N103" i="79"/>
  <c r="N135" i="79"/>
  <c r="N129" i="79"/>
  <c r="N160" i="79"/>
  <c r="N112" i="79"/>
  <c r="N84" i="79"/>
  <c r="N148" i="79"/>
  <c r="N98" i="79"/>
  <c r="N89" i="79"/>
  <c r="N21" i="79"/>
  <c r="N69" i="79"/>
  <c r="N174" i="79"/>
  <c r="N142" i="79"/>
  <c r="N24" i="79"/>
  <c r="N85" i="79"/>
  <c r="N164" i="79"/>
  <c r="N38" i="79"/>
  <c r="N25" i="79"/>
  <c r="AT90" i="52" l="1"/>
  <c r="AT91" i="52"/>
  <c r="AT92" i="52"/>
  <c r="AT94" i="52"/>
  <c r="AT93" i="52"/>
  <c r="AT12" i="52" l="1"/>
  <c r="AT14" i="52"/>
  <c r="AT15" i="52"/>
  <c r="AT6" i="52"/>
  <c r="AT8" i="52"/>
  <c r="AT19" i="52"/>
  <c r="AT16" i="52"/>
  <c r="AT7" i="52"/>
  <c r="AT5" i="52"/>
  <c r="AT10" i="52"/>
  <c r="L19" i="79"/>
  <c r="L55" i="79"/>
  <c r="N55" i="79" s="1"/>
  <c r="L43" i="79"/>
  <c r="N43" i="79" s="1"/>
  <c r="L11" i="79"/>
  <c r="L44" i="79"/>
  <c r="N44" i="79" s="1"/>
  <c r="L14" i="79"/>
  <c r="N14" i="79" s="1"/>
  <c r="L41" i="79"/>
  <c r="N41" i="79" s="1"/>
  <c r="L33" i="79"/>
  <c r="L7" i="79"/>
  <c r="N7" i="79" s="1"/>
  <c r="L31" i="79"/>
  <c r="N31" i="79" s="1"/>
  <c r="L45" i="79"/>
  <c r="L51" i="79"/>
  <c r="L16" i="79"/>
  <c r="L60" i="79"/>
  <c r="L4" i="79"/>
  <c r="N4" i="79" s="1"/>
  <c r="L63" i="79"/>
  <c r="L47" i="79"/>
  <c r="N47" i="79" s="1"/>
  <c r="L34" i="79"/>
  <c r="L12" i="79"/>
  <c r="N12" i="79" s="1"/>
  <c r="L56" i="79"/>
  <c r="L58" i="79"/>
  <c r="N58" i="79" s="1"/>
  <c r="L26" i="79"/>
  <c r="N26" i="79" s="1"/>
  <c r="N16" i="79" l="1"/>
  <c r="N34" i="79"/>
  <c r="N45" i="79"/>
  <c r="N63" i="79"/>
  <c r="L27" i="79" l="1"/>
  <c r="N27" i="79" l="1"/>
  <c r="AA14" i="53"/>
  <c r="M14" i="53"/>
  <c r="T14" i="53"/>
  <c r="AT98" i="52" l="1"/>
  <c r="AT103" i="52"/>
  <c r="AT139" i="52"/>
  <c r="AT33" i="52"/>
  <c r="AT27" i="52"/>
  <c r="AT36" i="52"/>
  <c r="AT56" i="52"/>
  <c r="AT106" i="52"/>
  <c r="AT138" i="52"/>
  <c r="AT49" i="52"/>
  <c r="AT85" i="52"/>
  <c r="AT105" i="52"/>
  <c r="AT134" i="52"/>
  <c r="AT48" i="52"/>
  <c r="AT82" i="52"/>
  <c r="AT101" i="52"/>
  <c r="AT133" i="52"/>
  <c r="AT47" i="52"/>
  <c r="AT102" i="52"/>
  <c r="AT131" i="52"/>
  <c r="AT23" i="52"/>
  <c r="AT44" i="52"/>
  <c r="AT68" i="52"/>
  <c r="AT108" i="52"/>
  <c r="AT130" i="52"/>
  <c r="AT46" i="52"/>
  <c r="AT66" i="52"/>
  <c r="AT107" i="52"/>
  <c r="AT97" i="52"/>
  <c r="AT21" i="52"/>
  <c r="AT20" i="52"/>
  <c r="AT22" i="52"/>
  <c r="AT64" i="52"/>
  <c r="AT111" i="52"/>
  <c r="AT113" i="52"/>
  <c r="AT13" i="52"/>
  <c r="AT54" i="52"/>
  <c r="AT34" i="52"/>
  <c r="AT53" i="52"/>
  <c r="AT62" i="52"/>
  <c r="AT114" i="52"/>
  <c r="AT25" i="52"/>
  <c r="AT52" i="52"/>
  <c r="AT61" i="52"/>
  <c r="AT120" i="52"/>
  <c r="AT128" i="52"/>
  <c r="AT31" i="52"/>
  <c r="AT51" i="52"/>
  <c r="AT60" i="52"/>
  <c r="AT11" i="52"/>
  <c r="AT50" i="52"/>
  <c r="AT119" i="52"/>
  <c r="AT141" i="52"/>
  <c r="B4" i="42" l="1"/>
  <c r="B5" i="42"/>
  <c r="B6" i="42"/>
  <c r="B7" i="42"/>
  <c r="B8" i="42"/>
  <c r="B9" i="42"/>
  <c r="B10" i="42"/>
  <c r="B11" i="42"/>
  <c r="B12" i="42"/>
  <c r="B13" i="42"/>
  <c r="B14" i="42"/>
  <c r="B15" i="42"/>
  <c r="B16" i="42"/>
  <c r="B17" i="42"/>
  <c r="B18" i="42"/>
  <c r="B19" i="42"/>
  <c r="B20" i="42"/>
  <c r="B21" i="42"/>
  <c r="B22" i="42"/>
  <c r="B23" i="42"/>
  <c r="B24" i="42"/>
  <c r="B25" i="42"/>
  <c r="B26" i="42"/>
  <c r="B27" i="42"/>
  <c r="B28" i="42"/>
  <c r="B29" i="42"/>
  <c r="B30" i="42"/>
  <c r="B31" i="42"/>
  <c r="B32" i="42"/>
  <c r="B33" i="42"/>
  <c r="B34" i="42"/>
  <c r="B36" i="42"/>
  <c r="B37" i="42"/>
  <c r="B38" i="42"/>
  <c r="B39" i="42"/>
  <c r="B40" i="42"/>
  <c r="B41" i="42"/>
  <c r="B42" i="42"/>
  <c r="B3" i="42"/>
  <c r="E98" i="75" l="1"/>
  <c r="E74" i="52"/>
  <c r="E81" i="52"/>
  <c r="E72" i="52"/>
  <c r="E73" i="52"/>
  <c r="E75" i="52"/>
  <c r="E76" i="52"/>
  <c r="E77" i="52"/>
  <c r="E78" i="52"/>
  <c r="E116" i="75"/>
  <c r="E5" i="51"/>
  <c r="E19" i="51"/>
  <c r="E45" i="51"/>
  <c r="I26" i="50"/>
  <c r="E32" i="50"/>
  <c r="C42" i="50"/>
  <c r="H49" i="50"/>
  <c r="I48" i="50"/>
  <c r="E7" i="50"/>
  <c r="C9" i="50"/>
  <c r="H36" i="50"/>
  <c r="I13" i="50"/>
  <c r="E29" i="50"/>
  <c r="C34" i="50"/>
  <c r="H52" i="50"/>
  <c r="I6" i="50"/>
  <c r="E17" i="50"/>
  <c r="C39" i="50"/>
  <c r="H51" i="50"/>
  <c r="I22" i="50"/>
  <c r="E18" i="52"/>
  <c r="E19" i="52"/>
  <c r="E10" i="52"/>
  <c r="E41" i="52"/>
  <c r="E53" i="52"/>
  <c r="E16" i="51"/>
  <c r="E30" i="51"/>
  <c r="E28" i="51"/>
  <c r="E13" i="51"/>
  <c r="E44" i="51"/>
  <c r="E32" i="51"/>
  <c r="E25" i="51"/>
  <c r="E39" i="51"/>
  <c r="E38" i="50"/>
  <c r="C35" i="50"/>
  <c r="I41" i="50"/>
  <c r="H48" i="50"/>
  <c r="H30" i="50"/>
  <c r="E44" i="50"/>
  <c r="C13" i="50"/>
  <c r="I19" i="50"/>
  <c r="H23" i="50"/>
  <c r="E27" i="50"/>
  <c r="E4" i="50"/>
  <c r="C16" i="50"/>
  <c r="I17" i="50"/>
  <c r="H39" i="50"/>
  <c r="E22" i="50"/>
  <c r="E4" i="52"/>
  <c r="E34" i="52"/>
  <c r="E46" i="52"/>
  <c r="E64" i="52"/>
  <c r="E90" i="52"/>
  <c r="E96" i="52"/>
  <c r="E126" i="52"/>
  <c r="E137" i="52"/>
  <c r="E146" i="52"/>
  <c r="E161" i="52"/>
  <c r="E117" i="52"/>
  <c r="E35" i="51"/>
  <c r="E9" i="51"/>
  <c r="E37" i="51"/>
  <c r="E15" i="51"/>
  <c r="E7" i="51"/>
  <c r="C26" i="50"/>
  <c r="I8" i="50"/>
  <c r="H25" i="50"/>
  <c r="E35" i="50"/>
  <c r="E47" i="50"/>
  <c r="C10" i="50"/>
  <c r="I7" i="50"/>
  <c r="H9" i="50"/>
  <c r="E13" i="50"/>
  <c r="C29" i="50"/>
  <c r="I33" i="50"/>
  <c r="I52" i="50"/>
  <c r="H27" i="50"/>
  <c r="E16" i="50"/>
  <c r="C51" i="50"/>
  <c r="I53" i="50"/>
  <c r="H40" i="50"/>
  <c r="E29" i="52"/>
  <c r="E25" i="52"/>
  <c r="E38" i="52"/>
  <c r="E4" i="51"/>
  <c r="E31" i="51"/>
  <c r="E26" i="51"/>
  <c r="C18" i="50"/>
  <c r="I25" i="50"/>
  <c r="H38" i="50"/>
  <c r="E42" i="51"/>
  <c r="E29" i="51"/>
  <c r="E14" i="51"/>
  <c r="E20" i="51"/>
  <c r="E26" i="50"/>
  <c r="C32" i="50"/>
  <c r="I38" i="50"/>
  <c r="I49" i="50"/>
  <c r="H35" i="50"/>
  <c r="E10" i="50"/>
  <c r="C36" i="50"/>
  <c r="I44" i="50"/>
  <c r="H43" i="50"/>
  <c r="E34" i="50"/>
  <c r="C31" i="50"/>
  <c r="I4" i="50"/>
  <c r="H28" i="50"/>
  <c r="E51" i="50"/>
  <c r="C46" i="50"/>
  <c r="E27" i="52"/>
  <c r="E21" i="52"/>
  <c r="E43" i="52"/>
  <c r="E21" i="51"/>
  <c r="E12" i="51"/>
  <c r="E18" i="50"/>
  <c r="C24" i="50"/>
  <c r="I35" i="50"/>
  <c r="H47" i="50"/>
  <c r="E5" i="50"/>
  <c r="C45" i="50"/>
  <c r="I43" i="50"/>
  <c r="H13" i="50"/>
  <c r="H21" i="50"/>
  <c r="E14" i="50"/>
  <c r="C6" i="50"/>
  <c r="I28" i="50"/>
  <c r="H16" i="50"/>
  <c r="E20" i="50"/>
  <c r="E46" i="50"/>
  <c r="E23" i="52"/>
  <c r="E7" i="52"/>
  <c r="E47" i="52"/>
  <c r="E33" i="51"/>
  <c r="E38" i="51"/>
  <c r="E42" i="50"/>
  <c r="C41" i="50"/>
  <c r="I47" i="50"/>
  <c r="H11" i="50"/>
  <c r="E36" i="50"/>
  <c r="C12" i="50"/>
  <c r="C19" i="50"/>
  <c r="I21" i="50"/>
  <c r="H29" i="50"/>
  <c r="E31" i="50"/>
  <c r="E49" i="50"/>
  <c r="C30" i="50"/>
  <c r="C5" i="50"/>
  <c r="C23" i="50"/>
  <c r="H33" i="50"/>
  <c r="C27" i="50"/>
  <c r="H53" i="50"/>
  <c r="H46" i="50"/>
  <c r="E6" i="52"/>
  <c r="E22" i="52"/>
  <c r="E37" i="52"/>
  <c r="E71" i="52"/>
  <c r="E105" i="52"/>
  <c r="E108" i="52"/>
  <c r="E107" i="52"/>
  <c r="E138" i="52"/>
  <c r="E149" i="52"/>
  <c r="E163" i="52"/>
  <c r="E13" i="75"/>
  <c r="E119" i="75"/>
  <c r="E14" i="75"/>
  <c r="E17" i="51"/>
  <c r="E24" i="51"/>
  <c r="H26" i="50"/>
  <c r="H41" i="50"/>
  <c r="H12" i="50"/>
  <c r="E39" i="50"/>
  <c r="C20" i="50"/>
  <c r="I46" i="50"/>
  <c r="E35" i="52"/>
  <c r="E9" i="52"/>
  <c r="E83" i="52"/>
  <c r="E94" i="52"/>
  <c r="E119" i="52"/>
  <c r="C8" i="50"/>
  <c r="H32" i="50"/>
  <c r="E24" i="50"/>
  <c r="C47" i="50"/>
  <c r="E30" i="50"/>
  <c r="H5" i="50"/>
  <c r="H44" i="50"/>
  <c r="I12" i="50"/>
  <c r="E23" i="50"/>
  <c r="H34" i="50"/>
  <c r="H6" i="50"/>
  <c r="I16" i="50"/>
  <c r="C22" i="50"/>
  <c r="E26" i="52"/>
  <c r="E20" i="52"/>
  <c r="E39" i="52"/>
  <c r="E45" i="52"/>
  <c r="E57" i="52"/>
  <c r="E61" i="52"/>
  <c r="E60" i="52"/>
  <c r="E88" i="52"/>
  <c r="E101" i="52"/>
  <c r="I32" i="50"/>
  <c r="I5" i="50"/>
  <c r="E45" i="50"/>
  <c r="I34" i="50"/>
  <c r="I27" i="50"/>
  <c r="C28" i="50"/>
  <c r="C17" i="50"/>
  <c r="H20" i="50"/>
  <c r="E16" i="52"/>
  <c r="E11" i="52"/>
  <c r="E48" i="52"/>
  <c r="E51" i="52"/>
  <c r="E56" i="52"/>
  <c r="E54" i="52"/>
  <c r="E67" i="52"/>
  <c r="E91" i="52"/>
  <c r="E118" i="52"/>
  <c r="E22" i="51"/>
  <c r="E8" i="50"/>
  <c r="C38" i="50"/>
  <c r="C48" i="50"/>
  <c r="I30" i="50"/>
  <c r="C52" i="50"/>
  <c r="E28" i="50"/>
  <c r="I39" i="50"/>
  <c r="I20" i="50"/>
  <c r="E32" i="52"/>
  <c r="E33" i="52"/>
  <c r="E42" i="52"/>
  <c r="E62" i="52"/>
  <c r="E86" i="52"/>
  <c r="E100" i="52"/>
  <c r="E8" i="51"/>
  <c r="E27" i="51"/>
  <c r="E46" i="51"/>
  <c r="H24" i="50"/>
  <c r="E9" i="50"/>
  <c r="H45" i="50"/>
  <c r="I23" i="50"/>
  <c r="C40" i="50"/>
  <c r="H22" i="50"/>
  <c r="E13" i="52"/>
  <c r="E69" i="52"/>
  <c r="E89" i="52"/>
  <c r="E102" i="52"/>
  <c r="E120" i="52"/>
  <c r="E47" i="51"/>
  <c r="E10" i="51"/>
  <c r="H8" i="50"/>
  <c r="I24" i="50"/>
  <c r="E48" i="50"/>
  <c r="H10" i="50"/>
  <c r="I45" i="50"/>
  <c r="E19" i="50"/>
  <c r="E52" i="50"/>
  <c r="H31" i="50"/>
  <c r="C15" i="50"/>
  <c r="E36" i="52"/>
  <c r="E31" i="52"/>
  <c r="E12" i="52"/>
  <c r="E40" i="52"/>
  <c r="E70" i="52"/>
  <c r="E111" i="52"/>
  <c r="I18" i="50"/>
  <c r="C7" i="50"/>
  <c r="E43" i="50"/>
  <c r="C33" i="50"/>
  <c r="E40" i="51"/>
  <c r="E6" i="51"/>
  <c r="C25" i="50"/>
  <c r="H42" i="50"/>
  <c r="C11" i="50"/>
  <c r="H19" i="50"/>
  <c r="E37" i="50"/>
  <c r="I40" i="50"/>
  <c r="E30" i="52"/>
  <c r="E15" i="52"/>
  <c r="E50" i="52"/>
  <c r="E65" i="52"/>
  <c r="E84" i="52"/>
  <c r="E106" i="52"/>
  <c r="E128" i="52"/>
  <c r="E147" i="52"/>
  <c r="C4" i="50"/>
  <c r="C53" i="50"/>
  <c r="E52" i="52"/>
  <c r="E63" i="52"/>
  <c r="E114" i="52"/>
  <c r="E115" i="52"/>
  <c r="E135" i="52"/>
  <c r="E154" i="52"/>
  <c r="E112" i="52"/>
  <c r="E121" i="52"/>
  <c r="E110" i="52"/>
  <c r="E122" i="52"/>
  <c r="E97" i="52"/>
  <c r="E116" i="52"/>
  <c r="E113" i="75"/>
  <c r="E33" i="75"/>
  <c r="E41" i="75"/>
  <c r="E102" i="75"/>
  <c r="E110" i="75"/>
  <c r="H4" i="50"/>
  <c r="E53" i="50"/>
  <c r="E99" i="52"/>
  <c r="E127" i="52"/>
  <c r="E130" i="52"/>
  <c r="E152" i="52"/>
  <c r="E95" i="52"/>
  <c r="E34" i="75"/>
  <c r="E115" i="75"/>
  <c r="E51" i="75"/>
  <c r="E38" i="75"/>
  <c r="E85" i="75"/>
  <c r="E93" i="75"/>
  <c r="E94" i="75"/>
  <c r="E28" i="75"/>
  <c r="E26" i="75"/>
  <c r="E9" i="75"/>
  <c r="E12" i="75"/>
  <c r="E11" i="50"/>
  <c r="C21" i="50"/>
  <c r="E6" i="50"/>
  <c r="E5" i="52"/>
  <c r="E133" i="52"/>
  <c r="E139" i="52"/>
  <c r="E155" i="52"/>
  <c r="E164" i="52"/>
  <c r="E162" i="52"/>
  <c r="E92" i="75"/>
  <c r="E88" i="75"/>
  <c r="E86" i="75"/>
  <c r="E76" i="75"/>
  <c r="E17" i="75"/>
  <c r="E21" i="75"/>
  <c r="I11" i="50"/>
  <c r="E21" i="50"/>
  <c r="E40" i="50"/>
  <c r="E85" i="52"/>
  <c r="E144" i="52"/>
  <c r="E159" i="52"/>
  <c r="E23" i="75"/>
  <c r="E66" i="75"/>
  <c r="E104" i="75"/>
  <c r="E68" i="75"/>
  <c r="E73" i="75"/>
  <c r="E120" i="75"/>
  <c r="E62" i="75"/>
  <c r="H18" i="50"/>
  <c r="I10" i="50"/>
  <c r="I29" i="50"/>
  <c r="E15" i="50"/>
  <c r="E24" i="52"/>
  <c r="E49" i="52"/>
  <c r="E58" i="52"/>
  <c r="E150" i="52"/>
  <c r="E75" i="75"/>
  <c r="E29" i="75"/>
  <c r="E8" i="75"/>
  <c r="E65" i="75"/>
  <c r="E117" i="75"/>
  <c r="E11" i="75"/>
  <c r="E33" i="50"/>
  <c r="H15" i="50"/>
  <c r="E28" i="52"/>
  <c r="E92" i="52"/>
  <c r="E129" i="52"/>
  <c r="E136" i="52"/>
  <c r="E157" i="52"/>
  <c r="E82" i="75"/>
  <c r="E60" i="75"/>
  <c r="E45" i="75"/>
  <c r="E50" i="75"/>
  <c r="E46" i="75"/>
  <c r="E103" i="75"/>
  <c r="E87" i="75"/>
  <c r="E34" i="51"/>
  <c r="E25" i="50"/>
  <c r="H7" i="50"/>
  <c r="I15" i="50"/>
  <c r="E66" i="52"/>
  <c r="E103" i="52"/>
  <c r="E98" i="52"/>
  <c r="E132" i="52"/>
  <c r="E148" i="52"/>
  <c r="E123" i="52"/>
  <c r="E104" i="52"/>
  <c r="E35" i="75"/>
  <c r="E25" i="75"/>
  <c r="E30" i="75"/>
  <c r="E42" i="75"/>
  <c r="E99" i="75"/>
  <c r="E83" i="75"/>
  <c r="I9" i="50"/>
  <c r="H17" i="50"/>
  <c r="E17" i="52"/>
  <c r="E8" i="52"/>
  <c r="E125" i="52"/>
  <c r="E141" i="52"/>
  <c r="E140" i="52"/>
  <c r="E165" i="52"/>
  <c r="E166" i="52"/>
  <c r="E109" i="52"/>
  <c r="E113" i="52"/>
  <c r="E124" i="52"/>
  <c r="E97" i="75"/>
  <c r="E107" i="75"/>
  <c r="E89" i="75"/>
  <c r="E40" i="75"/>
  <c r="E77" i="75"/>
  <c r="E101" i="75"/>
  <c r="I42" i="50"/>
  <c r="I36" i="50"/>
  <c r="C14" i="50"/>
  <c r="C37" i="50"/>
  <c r="E44" i="52"/>
  <c r="E55" i="52"/>
  <c r="E59" i="52"/>
  <c r="E87" i="52"/>
  <c r="E131" i="52"/>
  <c r="E153" i="52"/>
  <c r="E143" i="52"/>
  <c r="C49" i="50"/>
  <c r="C44" i="50"/>
  <c r="H14" i="50"/>
  <c r="H37" i="50"/>
  <c r="E68" i="52"/>
  <c r="E142" i="52"/>
  <c r="E160" i="52"/>
  <c r="E80" i="75"/>
  <c r="E84" i="75"/>
  <c r="E95" i="75"/>
  <c r="E70" i="75"/>
  <c r="E71" i="75"/>
  <c r="E105" i="75"/>
  <c r="E49" i="75"/>
  <c r="I14" i="50"/>
  <c r="E122" i="75"/>
  <c r="E43" i="75"/>
  <c r="I31" i="50"/>
  <c r="E39" i="75"/>
  <c r="E69" i="75"/>
  <c r="E63" i="75"/>
  <c r="E20" i="75"/>
  <c r="E78" i="75"/>
  <c r="I37" i="50"/>
  <c r="E93" i="52"/>
  <c r="E145" i="52"/>
  <c r="E123" i="75"/>
  <c r="E24" i="75"/>
  <c r="E72" i="75"/>
  <c r="I51" i="50"/>
  <c r="E22" i="75"/>
  <c r="E114" i="75"/>
  <c r="E58" i="75"/>
  <c r="E27" i="75"/>
  <c r="E81" i="75"/>
  <c r="E6" i="75"/>
  <c r="E158" i="52"/>
  <c r="E31" i="75"/>
  <c r="E37" i="75"/>
  <c r="E54" i="75"/>
  <c r="E47" i="75"/>
  <c r="E18" i="75"/>
  <c r="E111" i="75"/>
  <c r="E52" i="75"/>
  <c r="E15" i="75"/>
  <c r="E64" i="75"/>
  <c r="E108" i="75"/>
  <c r="E109" i="75"/>
  <c r="E18" i="51"/>
  <c r="E134" i="52"/>
  <c r="E156" i="52"/>
  <c r="E106" i="75"/>
  <c r="E74" i="75"/>
  <c r="E16" i="75"/>
  <c r="E67" i="75"/>
  <c r="E90" i="75"/>
  <c r="E121" i="75"/>
  <c r="E53" i="75"/>
  <c r="E118" i="75"/>
  <c r="E41" i="50"/>
  <c r="E56" i="75"/>
  <c r="E79" i="75"/>
  <c r="E91" i="75"/>
  <c r="E7" i="75"/>
  <c r="E57" i="75"/>
  <c r="E32" i="75"/>
  <c r="E44" i="75"/>
  <c r="E55" i="75"/>
  <c r="E48" i="75"/>
  <c r="C43" i="50"/>
  <c r="E36" i="75"/>
  <c r="E10" i="75"/>
  <c r="E19" i="75"/>
  <c r="E112" i="75"/>
  <c r="E100" i="75"/>
  <c r="E12" i="50"/>
  <c r="E61" i="75"/>
  <c r="E82" i="52"/>
  <c r="E96" i="75"/>
  <c r="E59" i="75"/>
  <c r="E151" i="52"/>
  <c r="E23" i="51"/>
  <c r="H50" i="50"/>
  <c r="I50" i="50"/>
  <c r="E43" i="51"/>
  <c r="E36" i="51"/>
  <c r="E41" i="51"/>
  <c r="E5" i="75"/>
  <c r="E14" i="52"/>
  <c r="J39" i="50"/>
  <c r="AD39" i="50" s="1"/>
  <c r="J6" i="50" l="1"/>
  <c r="AD6" i="50" s="1"/>
  <c r="AR6" i="50" s="1"/>
  <c r="J8" i="50"/>
  <c r="AD8" i="50" s="1"/>
  <c r="AQ8" i="50" s="1"/>
  <c r="J28" i="50"/>
  <c r="AD28" i="50" s="1"/>
  <c r="AR39" i="50"/>
  <c r="AR8" i="50" l="1"/>
  <c r="AQ28" i="50"/>
  <c r="AR28" i="50"/>
  <c r="AQ39" i="50"/>
  <c r="AT150" i="52" l="1"/>
  <c r="AT118" i="52"/>
  <c r="AT161" i="52"/>
  <c r="AT26" i="52"/>
  <c r="AT160" i="52"/>
  <c r="AT146" i="52"/>
  <c r="AT121" i="52"/>
  <c r="AT159" i="52"/>
  <c r="AT145" i="52"/>
  <c r="AT117" i="52"/>
  <c r="AT43" i="52"/>
  <c r="AT144" i="52"/>
  <c r="AT9" i="52"/>
  <c r="AT99" i="52"/>
  <c r="AT24" i="52"/>
  <c r="AT45" i="52"/>
  <c r="AT156" i="52"/>
  <c r="AT143" i="52"/>
  <c r="AT155" i="52"/>
  <c r="AT142" i="52"/>
  <c r="AT158" i="52"/>
  <c r="AT115" i="52"/>
  <c r="AT42" i="52"/>
  <c r="AT55" i="52"/>
  <c r="AT88" i="52"/>
  <c r="AT89" i="52"/>
  <c r="AT154" i="52"/>
  <c r="AT18" i="52"/>
  <c r="AT96" i="52"/>
  <c r="AT153" i="52"/>
  <c r="AT127" i="52"/>
  <c r="AT152" i="52"/>
  <c r="AT126" i="52"/>
  <c r="AT17" i="52"/>
  <c r="AT100" i="52"/>
  <c r="AT151" i="52"/>
  <c r="AT125" i="52"/>
  <c r="AT148" i="52"/>
  <c r="AT104" i="52"/>
  <c r="B4" i="77" l="1"/>
  <c r="B3" i="41"/>
  <c r="B4" i="41"/>
  <c r="B5" i="41"/>
  <c r="B6" i="41"/>
  <c r="B7" i="41"/>
  <c r="B8" i="41"/>
  <c r="B9" i="41"/>
  <c r="B10" i="41"/>
  <c r="B11" i="41"/>
  <c r="B12" i="41"/>
  <c r="B13" i="41"/>
  <c r="B14" i="41"/>
  <c r="B15" i="41"/>
  <c r="B17" i="41"/>
  <c r="B18" i="41"/>
  <c r="B19" i="41"/>
  <c r="B21" i="41"/>
  <c r="B22" i="41"/>
  <c r="B23" i="41"/>
  <c r="B24" i="41"/>
  <c r="B25" i="41"/>
  <c r="B26" i="41"/>
  <c r="B27" i="41"/>
  <c r="B28" i="41"/>
  <c r="B29" i="41"/>
  <c r="B31" i="41"/>
  <c r="B32" i="41"/>
  <c r="B33" i="41"/>
  <c r="B34" i="41"/>
  <c r="B35" i="41"/>
  <c r="B36" i="41"/>
  <c r="B37" i="41"/>
  <c r="B38" i="41"/>
  <c r="B39" i="41"/>
  <c r="B40" i="41"/>
  <c r="B41" i="41"/>
  <c r="B42" i="41"/>
  <c r="B43" i="41"/>
  <c r="B44" i="41"/>
  <c r="B45" i="41"/>
  <c r="B46" i="41"/>
  <c r="B47" i="41"/>
  <c r="B48" i="41"/>
  <c r="B49" i="41"/>
  <c r="B50" i="41"/>
  <c r="B51" i="41"/>
  <c r="A6" i="75" a="1"/>
  <c r="A6" i="75" s="1"/>
  <c r="D98" i="75" l="1"/>
  <c r="C98" i="75"/>
  <c r="J98" i="75" s="1"/>
  <c r="G98" i="75"/>
  <c r="H98" i="75"/>
  <c r="I98" i="75"/>
  <c r="D75" i="52"/>
  <c r="D76" i="52"/>
  <c r="D78" i="52"/>
  <c r="D81" i="52"/>
  <c r="D77" i="52"/>
  <c r="D72" i="52"/>
  <c r="D73" i="52"/>
  <c r="D74" i="52"/>
  <c r="D116" i="75"/>
  <c r="G76" i="52"/>
  <c r="G78" i="52"/>
  <c r="G75" i="52"/>
  <c r="G81" i="52"/>
  <c r="G77" i="52"/>
  <c r="G72" i="52"/>
  <c r="G73" i="52"/>
  <c r="G74" i="52"/>
  <c r="C116" i="75"/>
  <c r="J116" i="75" s="1"/>
  <c r="AD116" i="75" s="1"/>
  <c r="G116" i="75"/>
  <c r="H116" i="75"/>
  <c r="I116" i="75"/>
  <c r="D40" i="51"/>
  <c r="I32" i="51"/>
  <c r="C17" i="51"/>
  <c r="J17" i="51" s="1"/>
  <c r="AD17" i="51" s="1"/>
  <c r="H9" i="51"/>
  <c r="D24" i="51"/>
  <c r="I4" i="51"/>
  <c r="C27" i="51"/>
  <c r="J27" i="51" s="1"/>
  <c r="AD27" i="51" s="1"/>
  <c r="H29" i="51"/>
  <c r="D37" i="51"/>
  <c r="I38" i="51"/>
  <c r="C14" i="51"/>
  <c r="J14" i="51" s="1"/>
  <c r="AD14" i="51" s="1"/>
  <c r="H18" i="51"/>
  <c r="D6" i="51"/>
  <c r="D47" i="50"/>
  <c r="D12" i="50"/>
  <c r="D4" i="50"/>
  <c r="D46" i="50"/>
  <c r="D26" i="52"/>
  <c r="D13" i="52"/>
  <c r="D44" i="52"/>
  <c r="D49" i="52"/>
  <c r="C35" i="51"/>
  <c r="J35" i="51" s="1"/>
  <c r="AD35" i="51" s="1"/>
  <c r="H40" i="51"/>
  <c r="D28" i="51"/>
  <c r="I5" i="51"/>
  <c r="C42" i="51"/>
  <c r="J42" i="51" s="1"/>
  <c r="AD42" i="51" s="1"/>
  <c r="H24" i="51"/>
  <c r="D13" i="51"/>
  <c r="I19" i="51"/>
  <c r="C34" i="51"/>
  <c r="J34" i="51" s="1"/>
  <c r="AD34" i="51" s="1"/>
  <c r="H37" i="51"/>
  <c r="D35" i="51"/>
  <c r="I40" i="51"/>
  <c r="C15" i="51"/>
  <c r="J15" i="51" s="1"/>
  <c r="AD15" i="51" s="1"/>
  <c r="H17" i="51"/>
  <c r="D42" i="51"/>
  <c r="I24" i="51"/>
  <c r="C21" i="51"/>
  <c r="J21" i="51" s="1"/>
  <c r="AD21" i="51" s="1"/>
  <c r="H27" i="51"/>
  <c r="D34" i="51"/>
  <c r="I37" i="51"/>
  <c r="C46" i="51"/>
  <c r="J46" i="51" s="1"/>
  <c r="AD46" i="51" s="1"/>
  <c r="H14" i="51"/>
  <c r="D26" i="51"/>
  <c r="I47" i="51"/>
  <c r="H5" i="51"/>
  <c r="D9" i="51"/>
  <c r="C7" i="51"/>
  <c r="J7" i="51" s="1"/>
  <c r="AD7" i="51" s="1"/>
  <c r="D19" i="51"/>
  <c r="I30" i="51"/>
  <c r="C37" i="51"/>
  <c r="J37" i="51" s="1"/>
  <c r="AD37" i="51" s="1"/>
  <c r="H22" i="51"/>
  <c r="H6" i="51"/>
  <c r="D49" i="50"/>
  <c r="D43" i="50"/>
  <c r="D28" i="50"/>
  <c r="D6" i="52"/>
  <c r="D32" i="52"/>
  <c r="D24" i="52"/>
  <c r="D50" i="52"/>
  <c r="D60" i="52"/>
  <c r="D85" i="52"/>
  <c r="D108" i="52"/>
  <c r="D120" i="52"/>
  <c r="D132" i="52"/>
  <c r="D145" i="52"/>
  <c r="D159" i="52"/>
  <c r="D112" i="52"/>
  <c r="H10" i="51"/>
  <c r="D15" i="51"/>
  <c r="C4" i="51"/>
  <c r="D7" i="51"/>
  <c r="I27" i="51"/>
  <c r="C31" i="51"/>
  <c r="H39" i="51"/>
  <c r="H44" i="51"/>
  <c r="H46" i="51"/>
  <c r="I10" i="51"/>
  <c r="H25" i="51"/>
  <c r="D4" i="51"/>
  <c r="C29" i="51"/>
  <c r="J29" i="51" s="1"/>
  <c r="AD29" i="51" s="1"/>
  <c r="D31" i="51"/>
  <c r="I39" i="51"/>
  <c r="I44" i="51"/>
  <c r="I46" i="51"/>
  <c r="C20" i="51"/>
  <c r="J20" i="51" s="1"/>
  <c r="AD20" i="51" s="1"/>
  <c r="C26" i="51"/>
  <c r="J26" i="51" s="1"/>
  <c r="AD26" i="51" s="1"/>
  <c r="D11" i="50"/>
  <c r="D21" i="50"/>
  <c r="D37" i="50"/>
  <c r="D35" i="52"/>
  <c r="D15" i="52"/>
  <c r="H32" i="51"/>
  <c r="C28" i="51"/>
  <c r="I25" i="51"/>
  <c r="H19" i="51"/>
  <c r="D29" i="51"/>
  <c r="C12" i="51"/>
  <c r="C45" i="51"/>
  <c r="J45" i="51" s="1"/>
  <c r="AD45" i="51" s="1"/>
  <c r="D14" i="51"/>
  <c r="D20" i="51"/>
  <c r="D26" i="50"/>
  <c r="H35" i="51"/>
  <c r="C33" i="51"/>
  <c r="I9" i="51"/>
  <c r="H7" i="51"/>
  <c r="D21" i="51"/>
  <c r="C38" i="51"/>
  <c r="J38" i="51" s="1"/>
  <c r="AD38" i="51" s="1"/>
  <c r="D12" i="51"/>
  <c r="D45" i="51"/>
  <c r="D18" i="50"/>
  <c r="D5" i="50"/>
  <c r="D14" i="50"/>
  <c r="D20" i="50"/>
  <c r="D23" i="52"/>
  <c r="D7" i="52"/>
  <c r="D41" i="52"/>
  <c r="D47" i="52"/>
  <c r="I35" i="51"/>
  <c r="D33" i="51"/>
  <c r="H15" i="51"/>
  <c r="C16" i="51"/>
  <c r="I7" i="51"/>
  <c r="H31" i="51"/>
  <c r="D38" i="51"/>
  <c r="D32" i="50"/>
  <c r="D42" i="50"/>
  <c r="D36" i="50"/>
  <c r="D31" i="50"/>
  <c r="D36" i="52"/>
  <c r="D20" i="52"/>
  <c r="D12" i="52"/>
  <c r="D48" i="52"/>
  <c r="C40" i="51"/>
  <c r="J40" i="51" s="1"/>
  <c r="AD40" i="51" s="1"/>
  <c r="H28" i="51"/>
  <c r="I15" i="51"/>
  <c r="D16" i="51"/>
  <c r="H4" i="51"/>
  <c r="C13" i="51"/>
  <c r="I31" i="51"/>
  <c r="H20" i="51"/>
  <c r="H26" i="51"/>
  <c r="D24" i="50"/>
  <c r="D45" i="50"/>
  <c r="D6" i="50"/>
  <c r="C32" i="51"/>
  <c r="J32" i="51" s="1"/>
  <c r="AD32" i="51" s="1"/>
  <c r="D17" i="51"/>
  <c r="C24" i="51"/>
  <c r="J24" i="51" s="1"/>
  <c r="AD24" i="51" s="1"/>
  <c r="C19" i="51"/>
  <c r="J19" i="51" s="1"/>
  <c r="AD19" i="51" s="1"/>
  <c r="D44" i="51"/>
  <c r="I18" i="51"/>
  <c r="I6" i="51"/>
  <c r="D44" i="50"/>
  <c r="D16" i="50"/>
  <c r="D39" i="50"/>
  <c r="D25" i="52"/>
  <c r="D9" i="52"/>
  <c r="D83" i="52"/>
  <c r="D94" i="52"/>
  <c r="D119" i="52"/>
  <c r="D139" i="52"/>
  <c r="D151" i="52"/>
  <c r="D95" i="52"/>
  <c r="D92" i="75"/>
  <c r="D95" i="75"/>
  <c r="D68" i="75"/>
  <c r="D32" i="51"/>
  <c r="I20" i="51"/>
  <c r="D30" i="50"/>
  <c r="D23" i="50"/>
  <c r="D34" i="50"/>
  <c r="D27" i="50"/>
  <c r="D21" i="52"/>
  <c r="D39" i="52"/>
  <c r="D45" i="52"/>
  <c r="D57" i="52"/>
  <c r="D61" i="52"/>
  <c r="D88" i="52"/>
  <c r="D101" i="52"/>
  <c r="H33" i="51"/>
  <c r="H21" i="51"/>
  <c r="H34" i="51"/>
  <c r="H45" i="51"/>
  <c r="C22" i="51"/>
  <c r="J22" i="51" s="1"/>
  <c r="AD22" i="51" s="1"/>
  <c r="D16" i="52"/>
  <c r="D11" i="52"/>
  <c r="D51" i="52"/>
  <c r="D56" i="52"/>
  <c r="D54" i="52"/>
  <c r="D53" i="52"/>
  <c r="D67" i="52"/>
  <c r="D91" i="52"/>
  <c r="D118" i="52"/>
  <c r="I33" i="51"/>
  <c r="I17" i="51"/>
  <c r="C8" i="51"/>
  <c r="J8" i="51" s="1"/>
  <c r="AD8" i="51" s="1"/>
  <c r="I21" i="51"/>
  <c r="I34" i="51"/>
  <c r="I45" i="51"/>
  <c r="D22" i="51"/>
  <c r="D8" i="50"/>
  <c r="D13" i="50"/>
  <c r="D22" i="50"/>
  <c r="D33" i="52"/>
  <c r="D10" i="52"/>
  <c r="D42" i="52"/>
  <c r="D62" i="52"/>
  <c r="D90" i="52"/>
  <c r="D86" i="52"/>
  <c r="D100" i="52"/>
  <c r="C47" i="51"/>
  <c r="J47" i="51" s="1"/>
  <c r="AD47" i="51" s="1"/>
  <c r="C10" i="51"/>
  <c r="J10" i="51" s="1"/>
  <c r="AD10" i="51" s="1"/>
  <c r="C9" i="51"/>
  <c r="D8" i="51"/>
  <c r="D27" i="51"/>
  <c r="D46" i="51"/>
  <c r="D9" i="50"/>
  <c r="D17" i="50"/>
  <c r="D29" i="52"/>
  <c r="D38" i="52"/>
  <c r="D69" i="52"/>
  <c r="D89" i="52"/>
  <c r="D102" i="52"/>
  <c r="D47" i="51"/>
  <c r="D10" i="51"/>
  <c r="D38" i="50"/>
  <c r="D48" i="50"/>
  <c r="D10" i="50"/>
  <c r="D19" i="50"/>
  <c r="D52" i="50"/>
  <c r="D51" i="50"/>
  <c r="D31" i="52"/>
  <c r="D40" i="52"/>
  <c r="D70" i="52"/>
  <c r="D111" i="52"/>
  <c r="D115" i="52"/>
  <c r="H16" i="51"/>
  <c r="H8" i="51"/>
  <c r="I29" i="51"/>
  <c r="H38" i="51"/>
  <c r="I22" i="51"/>
  <c r="D29" i="50"/>
  <c r="D40" i="50"/>
  <c r="D17" i="52"/>
  <c r="D8" i="52"/>
  <c r="D82" i="52"/>
  <c r="D125" i="52"/>
  <c r="H47" i="51"/>
  <c r="C5" i="51"/>
  <c r="J5" i="51" s="1"/>
  <c r="AD5" i="51" s="1"/>
  <c r="C25" i="51"/>
  <c r="J25" i="51" s="1"/>
  <c r="AD25" i="51" s="1"/>
  <c r="D30" i="51"/>
  <c r="D39" i="51"/>
  <c r="C18" i="51"/>
  <c r="J18" i="51" s="1"/>
  <c r="AD18" i="51" s="1"/>
  <c r="C6" i="51"/>
  <c r="J6" i="51" s="1"/>
  <c r="AD6" i="51" s="1"/>
  <c r="D5" i="51"/>
  <c r="D25" i="51"/>
  <c r="H12" i="51"/>
  <c r="D18" i="51"/>
  <c r="D41" i="50"/>
  <c r="D7" i="50"/>
  <c r="D33" i="50"/>
  <c r="D53" i="50"/>
  <c r="D27" i="52"/>
  <c r="D28" i="52"/>
  <c r="D68" i="52"/>
  <c r="D92" i="52"/>
  <c r="D99" i="52"/>
  <c r="D131" i="52"/>
  <c r="D150" i="52"/>
  <c r="I42" i="51"/>
  <c r="D18" i="52"/>
  <c r="D84" i="52"/>
  <c r="D127" i="52"/>
  <c r="D130" i="52"/>
  <c r="D152" i="52"/>
  <c r="D34" i="75"/>
  <c r="D13" i="75"/>
  <c r="D115" i="75"/>
  <c r="D51" i="75"/>
  <c r="D38" i="75"/>
  <c r="D85" i="75"/>
  <c r="D93" i="75"/>
  <c r="D94" i="75"/>
  <c r="D28" i="75"/>
  <c r="D26" i="75"/>
  <c r="D9" i="75"/>
  <c r="D12" i="75"/>
  <c r="D19" i="75"/>
  <c r="D57" i="75"/>
  <c r="D67" i="75"/>
  <c r="D18" i="75"/>
  <c r="D27" i="75"/>
  <c r="D63" i="75"/>
  <c r="D61" i="75"/>
  <c r="D44" i="75"/>
  <c r="D121" i="75"/>
  <c r="D52" i="75"/>
  <c r="D6" i="75"/>
  <c r="D78" i="75"/>
  <c r="D112" i="75"/>
  <c r="D48" i="75"/>
  <c r="I8" i="51"/>
  <c r="I26" i="51"/>
  <c r="D5" i="52"/>
  <c r="D64" i="52"/>
  <c r="D133" i="52"/>
  <c r="D146" i="52"/>
  <c r="D155" i="52"/>
  <c r="D164" i="52"/>
  <c r="D162" i="52"/>
  <c r="D163" i="52"/>
  <c r="D88" i="75"/>
  <c r="D14" i="75"/>
  <c r="D86" i="75"/>
  <c r="D76" i="75"/>
  <c r="D17" i="75"/>
  <c r="D21" i="75"/>
  <c r="H13" i="51"/>
  <c r="D22" i="52"/>
  <c r="D34" i="52"/>
  <c r="D43" i="52"/>
  <c r="D105" i="52"/>
  <c r="D144" i="52"/>
  <c r="D23" i="75"/>
  <c r="D66" i="75"/>
  <c r="D104" i="75"/>
  <c r="D73" i="75"/>
  <c r="D120" i="75"/>
  <c r="D62" i="75"/>
  <c r="I13" i="51"/>
  <c r="D15" i="50"/>
  <c r="D4" i="52"/>
  <c r="D58" i="52"/>
  <c r="D138" i="52"/>
  <c r="D75" i="75"/>
  <c r="D29" i="75"/>
  <c r="D8" i="75"/>
  <c r="D65" i="75"/>
  <c r="D117" i="75"/>
  <c r="D11" i="75"/>
  <c r="C30" i="51"/>
  <c r="D30" i="52"/>
  <c r="D65" i="52"/>
  <c r="D96" i="52"/>
  <c r="D129" i="52"/>
  <c r="D136" i="52"/>
  <c r="D157" i="52"/>
  <c r="D82" i="75"/>
  <c r="D60" i="75"/>
  <c r="D45" i="75"/>
  <c r="D50" i="75"/>
  <c r="D46" i="75"/>
  <c r="D103" i="75"/>
  <c r="D87" i="75"/>
  <c r="H30" i="51"/>
  <c r="D25" i="50"/>
  <c r="D19" i="52"/>
  <c r="D66" i="52"/>
  <c r="D103" i="52"/>
  <c r="D98" i="52"/>
  <c r="D147" i="52"/>
  <c r="D148" i="52"/>
  <c r="D123" i="52"/>
  <c r="D104" i="52"/>
  <c r="D35" i="75"/>
  <c r="D25" i="75"/>
  <c r="D30" i="75"/>
  <c r="D42" i="75"/>
  <c r="D99" i="75"/>
  <c r="D83" i="75"/>
  <c r="D37" i="52"/>
  <c r="D141" i="52"/>
  <c r="D140" i="52"/>
  <c r="D165" i="52"/>
  <c r="D166" i="52"/>
  <c r="D109" i="52"/>
  <c r="D113" i="52"/>
  <c r="D124" i="52"/>
  <c r="D117" i="52"/>
  <c r="D97" i="75"/>
  <c r="D107" i="75"/>
  <c r="D89" i="75"/>
  <c r="D40" i="75"/>
  <c r="D77" i="75"/>
  <c r="D101" i="75"/>
  <c r="I28" i="51"/>
  <c r="C39" i="51"/>
  <c r="J39" i="51" s="1"/>
  <c r="AD39" i="51" s="1"/>
  <c r="D55" i="52"/>
  <c r="D59" i="52"/>
  <c r="D87" i="52"/>
  <c r="D153" i="52"/>
  <c r="D143" i="52"/>
  <c r="D158" i="52"/>
  <c r="D156" i="52"/>
  <c r="D161" i="52"/>
  <c r="D31" i="75"/>
  <c r="D119" i="75"/>
  <c r="D106" i="75"/>
  <c r="D37" i="75"/>
  <c r="D74" i="75"/>
  <c r="D39" i="75"/>
  <c r="I12" i="51"/>
  <c r="D106" i="52"/>
  <c r="D142" i="52"/>
  <c r="C44" i="51"/>
  <c r="J44" i="51" s="1"/>
  <c r="AD44" i="51" s="1"/>
  <c r="D93" i="52"/>
  <c r="D128" i="52"/>
  <c r="D137" i="52"/>
  <c r="D123" i="75"/>
  <c r="D54" i="75"/>
  <c r="D24" i="75"/>
  <c r="D72" i="75"/>
  <c r="D118" i="75"/>
  <c r="D96" i="75"/>
  <c r="D121" i="52"/>
  <c r="D116" i="52"/>
  <c r="D33" i="75"/>
  <c r="D69" i="75"/>
  <c r="D20" i="75"/>
  <c r="D154" i="52"/>
  <c r="D160" i="52"/>
  <c r="D46" i="52"/>
  <c r="D49" i="75"/>
  <c r="D22" i="75"/>
  <c r="D114" i="75"/>
  <c r="D58" i="75"/>
  <c r="D81" i="75"/>
  <c r="D110" i="52"/>
  <c r="D113" i="75"/>
  <c r="D102" i="75"/>
  <c r="I16" i="51"/>
  <c r="D71" i="75"/>
  <c r="D47" i="75"/>
  <c r="D111" i="75"/>
  <c r="D15" i="75"/>
  <c r="H42" i="51"/>
  <c r="D52" i="52"/>
  <c r="D114" i="52"/>
  <c r="D135" i="52"/>
  <c r="D64" i="75"/>
  <c r="D108" i="75"/>
  <c r="D109" i="75"/>
  <c r="I14" i="51"/>
  <c r="D134" i="52"/>
  <c r="D122" i="52"/>
  <c r="D110" i="75"/>
  <c r="D16" i="75"/>
  <c r="D90" i="75"/>
  <c r="D53" i="75"/>
  <c r="D63" i="52"/>
  <c r="D84" i="75"/>
  <c r="D35" i="50"/>
  <c r="D56" i="75"/>
  <c r="D79" i="75"/>
  <c r="D91" i="75"/>
  <c r="D7" i="75"/>
  <c r="D32" i="75"/>
  <c r="D107" i="52"/>
  <c r="D149" i="52"/>
  <c r="D97" i="52"/>
  <c r="D41" i="75"/>
  <c r="D36" i="75"/>
  <c r="D10" i="75"/>
  <c r="D71" i="52"/>
  <c r="D126" i="52"/>
  <c r="D80" i="75"/>
  <c r="D70" i="75"/>
  <c r="D105" i="75"/>
  <c r="D100" i="75"/>
  <c r="D59" i="75"/>
  <c r="D122" i="75"/>
  <c r="D43" i="75"/>
  <c r="D55" i="75"/>
  <c r="C23" i="51"/>
  <c r="J23" i="51" s="1"/>
  <c r="AD23" i="51" s="1"/>
  <c r="D23" i="51"/>
  <c r="H23" i="51"/>
  <c r="I23" i="51"/>
  <c r="H41" i="51"/>
  <c r="H43" i="51"/>
  <c r="I36" i="51"/>
  <c r="I43" i="51"/>
  <c r="C36" i="51"/>
  <c r="D41" i="51"/>
  <c r="D36" i="51"/>
  <c r="I41" i="51"/>
  <c r="C41" i="51"/>
  <c r="J41" i="51" s="1"/>
  <c r="AD41" i="51" s="1"/>
  <c r="C43" i="51"/>
  <c r="J43" i="51" s="1"/>
  <c r="AD43" i="51" s="1"/>
  <c r="D43" i="51"/>
  <c r="H36" i="51"/>
  <c r="G10" i="51"/>
  <c r="G7" i="51"/>
  <c r="G12" i="51"/>
  <c r="G18" i="50"/>
  <c r="G30" i="50"/>
  <c r="G21" i="50"/>
  <c r="G15" i="50"/>
  <c r="G6" i="52"/>
  <c r="G20" i="52"/>
  <c r="G8" i="52"/>
  <c r="G43" i="52"/>
  <c r="G54" i="52"/>
  <c r="G17" i="51"/>
  <c r="G27" i="51"/>
  <c r="G33" i="51"/>
  <c r="G8" i="51"/>
  <c r="G39" i="51"/>
  <c r="G24" i="51"/>
  <c r="G44" i="51"/>
  <c r="G46" i="51"/>
  <c r="G18" i="51"/>
  <c r="G8" i="50"/>
  <c r="G7" i="50"/>
  <c r="G33" i="50"/>
  <c r="G53" i="50"/>
  <c r="G26" i="52"/>
  <c r="G28" i="52"/>
  <c r="G42" i="52"/>
  <c r="G57" i="52"/>
  <c r="G68" i="52"/>
  <c r="G91" i="52"/>
  <c r="G114" i="52"/>
  <c r="G119" i="52"/>
  <c r="G134" i="52"/>
  <c r="G144" i="52"/>
  <c r="G156" i="52"/>
  <c r="G124" i="52"/>
  <c r="G25" i="51"/>
  <c r="G32" i="51"/>
  <c r="G19" i="51"/>
  <c r="G38" i="50"/>
  <c r="G44" i="50"/>
  <c r="G4" i="50"/>
  <c r="G22" i="50"/>
  <c r="G4" i="52"/>
  <c r="G34" i="52"/>
  <c r="G35" i="51"/>
  <c r="G9" i="51"/>
  <c r="G37" i="51"/>
  <c r="G15" i="51"/>
  <c r="G31" i="51"/>
  <c r="G47" i="50"/>
  <c r="G13" i="50"/>
  <c r="G16" i="50"/>
  <c r="G29" i="52"/>
  <c r="G25" i="52"/>
  <c r="G15" i="52"/>
  <c r="G38" i="52"/>
  <c r="G28" i="51"/>
  <c r="G4" i="51"/>
  <c r="G20" i="51"/>
  <c r="G26" i="51"/>
  <c r="G11" i="50"/>
  <c r="G29" i="50"/>
  <c r="G37" i="50"/>
  <c r="G35" i="52"/>
  <c r="G13" i="52"/>
  <c r="G39" i="52"/>
  <c r="G42" i="51"/>
  <c r="G29" i="51"/>
  <c r="G45" i="51"/>
  <c r="G14" i="51"/>
  <c r="G26" i="50"/>
  <c r="G10" i="50"/>
  <c r="G34" i="50"/>
  <c r="G25" i="50"/>
  <c r="G41" i="50"/>
  <c r="G12" i="50"/>
  <c r="G5" i="52"/>
  <c r="G19" i="52"/>
  <c r="G64" i="52"/>
  <c r="G92" i="52"/>
  <c r="G99" i="52"/>
  <c r="G132" i="52"/>
  <c r="G150" i="52"/>
  <c r="G164" i="52"/>
  <c r="G123" i="52"/>
  <c r="G23" i="75"/>
  <c r="H34" i="75"/>
  <c r="I56" i="75"/>
  <c r="G64" i="75"/>
  <c r="H84" i="75"/>
  <c r="I107" i="75"/>
  <c r="G29" i="75"/>
  <c r="H88" i="75"/>
  <c r="I113" i="75"/>
  <c r="G33" i="75"/>
  <c r="H24" i="75"/>
  <c r="G21" i="51"/>
  <c r="G34" i="51"/>
  <c r="G32" i="50"/>
  <c r="G49" i="50"/>
  <c r="G5" i="50"/>
  <c r="G6" i="50"/>
  <c r="G37" i="52"/>
  <c r="G46" i="52"/>
  <c r="G66" i="52"/>
  <c r="G93" i="52"/>
  <c r="G105" i="52"/>
  <c r="G103" i="52"/>
  <c r="G27" i="50"/>
  <c r="G20" i="50"/>
  <c r="G22" i="52"/>
  <c r="G21" i="52"/>
  <c r="G71" i="52"/>
  <c r="G108" i="52"/>
  <c r="G107" i="52"/>
  <c r="G39" i="50"/>
  <c r="G9" i="52"/>
  <c r="G45" i="52"/>
  <c r="G61" i="52"/>
  <c r="G83" i="52"/>
  <c r="G94" i="52"/>
  <c r="G126" i="52"/>
  <c r="G24" i="50"/>
  <c r="G45" i="50"/>
  <c r="G23" i="50"/>
  <c r="G10" i="52"/>
  <c r="G53" i="52"/>
  <c r="G60" i="52"/>
  <c r="G88" i="52"/>
  <c r="G101" i="52"/>
  <c r="G129" i="52"/>
  <c r="G16" i="51"/>
  <c r="G38" i="51"/>
  <c r="G22" i="51"/>
  <c r="G31" i="50"/>
  <c r="G28" i="50"/>
  <c r="G16" i="52"/>
  <c r="G32" i="52"/>
  <c r="G11" i="52"/>
  <c r="G48" i="52"/>
  <c r="G51" i="52"/>
  <c r="G56" i="52"/>
  <c r="G67" i="52"/>
  <c r="G90" i="52"/>
  <c r="G118" i="52"/>
  <c r="G9" i="50"/>
  <c r="G17" i="50"/>
  <c r="G51" i="50"/>
  <c r="G33" i="52"/>
  <c r="G62" i="52"/>
  <c r="G86" i="52"/>
  <c r="G100" i="52"/>
  <c r="G102" i="52"/>
  <c r="G42" i="50"/>
  <c r="G35" i="50"/>
  <c r="G48" i="50"/>
  <c r="G19" i="50"/>
  <c r="G13" i="51"/>
  <c r="G30" i="51"/>
  <c r="G36" i="50"/>
  <c r="G43" i="50"/>
  <c r="G14" i="50"/>
  <c r="G18" i="52"/>
  <c r="G17" i="52"/>
  <c r="G24" i="52"/>
  <c r="G41" i="52"/>
  <c r="G85" i="52"/>
  <c r="G125" i="52"/>
  <c r="G98" i="52"/>
  <c r="G153" i="52"/>
  <c r="G148" i="52"/>
  <c r="G157" i="52"/>
  <c r="G12" i="52"/>
  <c r="G40" i="52"/>
  <c r="G82" i="52"/>
  <c r="G145" i="52"/>
  <c r="G151" i="52"/>
  <c r="H123" i="75"/>
  <c r="H80" i="75"/>
  <c r="H64" i="75"/>
  <c r="H95" i="75"/>
  <c r="G79" i="75"/>
  <c r="I70" i="75"/>
  <c r="G54" i="75"/>
  <c r="I106" i="75"/>
  <c r="I24" i="75"/>
  <c r="G72" i="75"/>
  <c r="H71" i="75"/>
  <c r="I74" i="75"/>
  <c r="G108" i="75"/>
  <c r="H118" i="75"/>
  <c r="I105" i="75"/>
  <c r="G96" i="75"/>
  <c r="H49" i="75"/>
  <c r="I109" i="75"/>
  <c r="C56" i="75"/>
  <c r="C122" i="75"/>
  <c r="C113" i="75"/>
  <c r="J113" i="75" s="1"/>
  <c r="C38" i="75"/>
  <c r="C77" i="75"/>
  <c r="C93" i="75"/>
  <c r="C36" i="75"/>
  <c r="J36" i="75" s="1"/>
  <c r="C47" i="75"/>
  <c r="J47" i="75" s="1"/>
  <c r="C111" i="75"/>
  <c r="C15" i="75"/>
  <c r="J15" i="75" s="1"/>
  <c r="G50" i="52"/>
  <c r="G52" i="52"/>
  <c r="G63" i="52"/>
  <c r="G154" i="52"/>
  <c r="G149" i="52"/>
  <c r="G116" i="52"/>
  <c r="I123" i="75"/>
  <c r="G56" i="75"/>
  <c r="I80" i="75"/>
  <c r="G13" i="75"/>
  <c r="I64" i="75"/>
  <c r="G122" i="75"/>
  <c r="I95" i="75"/>
  <c r="H79" i="75"/>
  <c r="H54" i="75"/>
  <c r="H33" i="75"/>
  <c r="G43" i="75"/>
  <c r="H72" i="75"/>
  <c r="I71" i="75"/>
  <c r="G102" i="75"/>
  <c r="H108" i="75"/>
  <c r="I118" i="75"/>
  <c r="G91" i="75"/>
  <c r="H96" i="75"/>
  <c r="I49" i="75"/>
  <c r="G84" i="52"/>
  <c r="G115" i="52"/>
  <c r="G127" i="52"/>
  <c r="G135" i="52"/>
  <c r="G146" i="52"/>
  <c r="G95" i="52"/>
  <c r="G112" i="52"/>
  <c r="G121" i="52"/>
  <c r="G110" i="52"/>
  <c r="G122" i="52"/>
  <c r="G97" i="52"/>
  <c r="H56" i="75"/>
  <c r="H13" i="75"/>
  <c r="H122" i="75"/>
  <c r="G51" i="75"/>
  <c r="I79" i="75"/>
  <c r="G113" i="75"/>
  <c r="I54" i="75"/>
  <c r="G14" i="75"/>
  <c r="I33" i="75"/>
  <c r="G41" i="75"/>
  <c r="H43" i="75"/>
  <c r="I72" i="75"/>
  <c r="G85" i="75"/>
  <c r="H102" i="75"/>
  <c r="I108" i="75"/>
  <c r="G110" i="75"/>
  <c r="H91" i="75"/>
  <c r="I96" i="75"/>
  <c r="G6" i="51"/>
  <c r="G69" i="52"/>
  <c r="G130" i="52"/>
  <c r="G152" i="52"/>
  <c r="G162" i="52"/>
  <c r="G163" i="52"/>
  <c r="G34" i="75"/>
  <c r="G92" i="75"/>
  <c r="I13" i="75"/>
  <c r="G115" i="75"/>
  <c r="I122" i="75"/>
  <c r="H51" i="75"/>
  <c r="H113" i="75"/>
  <c r="H14" i="75"/>
  <c r="G38" i="75"/>
  <c r="H41" i="75"/>
  <c r="I43" i="75"/>
  <c r="G76" i="75"/>
  <c r="H85" i="75"/>
  <c r="I102" i="75"/>
  <c r="G93" i="75"/>
  <c r="H110" i="75"/>
  <c r="I91" i="75"/>
  <c r="G21" i="75"/>
  <c r="G94" i="75"/>
  <c r="G28" i="75"/>
  <c r="G26" i="75"/>
  <c r="G9" i="75"/>
  <c r="G47" i="51"/>
  <c r="G40" i="50"/>
  <c r="G111" i="52"/>
  <c r="G133" i="52"/>
  <c r="G139" i="52"/>
  <c r="G159" i="52"/>
  <c r="G155" i="52"/>
  <c r="I34" i="75"/>
  <c r="H92" i="75"/>
  <c r="H115" i="75"/>
  <c r="G104" i="75"/>
  <c r="I51" i="75"/>
  <c r="G88" i="75"/>
  <c r="G68" i="75"/>
  <c r="I14" i="75"/>
  <c r="G86" i="75"/>
  <c r="H38" i="75"/>
  <c r="I41" i="75"/>
  <c r="G73" i="75"/>
  <c r="H76" i="75"/>
  <c r="I85" i="75"/>
  <c r="G17" i="75"/>
  <c r="H93" i="75"/>
  <c r="I110" i="75"/>
  <c r="G62" i="75"/>
  <c r="H21" i="75"/>
  <c r="H94" i="75"/>
  <c r="H28" i="75"/>
  <c r="H26" i="75"/>
  <c r="H9" i="75"/>
  <c r="G49" i="52"/>
  <c r="G58" i="52"/>
  <c r="G96" i="52"/>
  <c r="G138" i="52"/>
  <c r="H23" i="75"/>
  <c r="G75" i="75"/>
  <c r="I92" i="75"/>
  <c r="G66" i="75"/>
  <c r="I115" i="75"/>
  <c r="H104" i="75"/>
  <c r="I88" i="75"/>
  <c r="H68" i="75"/>
  <c r="H86" i="75"/>
  <c r="I38" i="75"/>
  <c r="G65" i="75"/>
  <c r="H73" i="75"/>
  <c r="I76" i="75"/>
  <c r="G120" i="75"/>
  <c r="H17" i="75"/>
  <c r="I93" i="75"/>
  <c r="G11" i="75"/>
  <c r="H62" i="75"/>
  <c r="I21" i="75"/>
  <c r="I94" i="75"/>
  <c r="I28" i="75"/>
  <c r="I26" i="75"/>
  <c r="G40" i="51"/>
  <c r="G46" i="50"/>
  <c r="G30" i="52"/>
  <c r="G65" i="52"/>
  <c r="G136" i="52"/>
  <c r="G82" i="75"/>
  <c r="I23" i="75"/>
  <c r="H75" i="75"/>
  <c r="H66" i="75"/>
  <c r="G45" i="75"/>
  <c r="I104" i="75"/>
  <c r="H29" i="75"/>
  <c r="G50" i="75"/>
  <c r="I68" i="75"/>
  <c r="G8" i="75"/>
  <c r="I86" i="75"/>
  <c r="G46" i="75"/>
  <c r="H65" i="75"/>
  <c r="I73" i="75"/>
  <c r="G117" i="75"/>
  <c r="H120" i="75"/>
  <c r="I17" i="75"/>
  <c r="G87" i="75"/>
  <c r="H11" i="75"/>
  <c r="I62" i="75"/>
  <c r="G52" i="50"/>
  <c r="G31" i="52"/>
  <c r="G47" i="52"/>
  <c r="G147" i="52"/>
  <c r="G104" i="52"/>
  <c r="H82" i="75"/>
  <c r="G35" i="75"/>
  <c r="I75" i="75"/>
  <c r="G60" i="75"/>
  <c r="I66" i="75"/>
  <c r="H45" i="75"/>
  <c r="G25" i="75"/>
  <c r="I29" i="75"/>
  <c r="H50" i="75"/>
  <c r="H8" i="75"/>
  <c r="G42" i="75"/>
  <c r="H46" i="75"/>
  <c r="I65" i="75"/>
  <c r="G103" i="75"/>
  <c r="H117" i="75"/>
  <c r="I120" i="75"/>
  <c r="G83" i="75"/>
  <c r="H87" i="75"/>
  <c r="G36" i="52"/>
  <c r="G70" i="52"/>
  <c r="G120" i="52"/>
  <c r="G141" i="52"/>
  <c r="G5" i="51"/>
  <c r="G27" i="52"/>
  <c r="G44" i="52"/>
  <c r="G55" i="52"/>
  <c r="G59" i="52"/>
  <c r="G87" i="52"/>
  <c r="G131" i="52"/>
  <c r="G140" i="52"/>
  <c r="G161" i="52"/>
  <c r="G165" i="52"/>
  <c r="G166" i="52"/>
  <c r="G109" i="52"/>
  <c r="G113" i="52"/>
  <c r="G31" i="75"/>
  <c r="I35" i="75"/>
  <c r="G97" i="75"/>
  <c r="I60" i="75"/>
  <c r="H107" i="75"/>
  <c r="G119" i="75"/>
  <c r="I25" i="75"/>
  <c r="H89" i="75"/>
  <c r="H30" i="75"/>
  <c r="G37" i="75"/>
  <c r="H40" i="75"/>
  <c r="I42" i="75"/>
  <c r="G77" i="75"/>
  <c r="H99" i="75"/>
  <c r="I103" i="75"/>
  <c r="G39" i="75"/>
  <c r="H101" i="75"/>
  <c r="I83" i="75"/>
  <c r="G36" i="75"/>
  <c r="G22" i="75"/>
  <c r="G7" i="75"/>
  <c r="G114" i="75"/>
  <c r="G10" i="75"/>
  <c r="G16" i="75"/>
  <c r="G47" i="75"/>
  <c r="G58" i="75"/>
  <c r="G69" i="75"/>
  <c r="G100" i="75"/>
  <c r="G32" i="75"/>
  <c r="G90" i="75"/>
  <c r="G111" i="75"/>
  <c r="G81" i="75"/>
  <c r="G20" i="75"/>
  <c r="G59" i="75"/>
  <c r="G55" i="75"/>
  <c r="G53" i="75"/>
  <c r="G15" i="75"/>
  <c r="C31" i="75"/>
  <c r="C84" i="75"/>
  <c r="J84" i="75" s="1"/>
  <c r="C70" i="75"/>
  <c r="J70" i="75" s="1"/>
  <c r="C24" i="75"/>
  <c r="J24" i="75" s="1"/>
  <c r="C73" i="75"/>
  <c r="C105" i="75"/>
  <c r="C62" i="75"/>
  <c r="C12" i="75"/>
  <c r="J12" i="75" s="1"/>
  <c r="C63" i="75"/>
  <c r="J63" i="75" s="1"/>
  <c r="C78" i="75"/>
  <c r="G80" i="75"/>
  <c r="H70" i="75"/>
  <c r="I77" i="75"/>
  <c r="H105" i="75"/>
  <c r="H36" i="75"/>
  <c r="I7" i="75"/>
  <c r="H10" i="75"/>
  <c r="H57" i="75"/>
  <c r="I32" i="75"/>
  <c r="H44" i="75"/>
  <c r="I55" i="75"/>
  <c r="H48" i="75"/>
  <c r="C60" i="75"/>
  <c r="C29" i="75"/>
  <c r="C37" i="75"/>
  <c r="J37" i="75" s="1"/>
  <c r="C99" i="75"/>
  <c r="C91" i="75"/>
  <c r="C114" i="75"/>
  <c r="J114" i="75" s="1"/>
  <c r="C32" i="75"/>
  <c r="C112" i="75"/>
  <c r="J112" i="75" s="1"/>
  <c r="G128" i="52"/>
  <c r="I82" i="75"/>
  <c r="I45" i="75"/>
  <c r="G89" i="75"/>
  <c r="I8" i="75"/>
  <c r="I46" i="75"/>
  <c r="G99" i="75"/>
  <c r="I11" i="75"/>
  <c r="I36" i="75"/>
  <c r="I10" i="75"/>
  <c r="G19" i="75"/>
  <c r="I57" i="75"/>
  <c r="H100" i="75"/>
  <c r="G61" i="75"/>
  <c r="I44" i="75"/>
  <c r="H59" i="75"/>
  <c r="G112" i="75"/>
  <c r="I48" i="75"/>
  <c r="C64" i="75"/>
  <c r="J64" i="75" s="1"/>
  <c r="C88" i="75"/>
  <c r="C40" i="75"/>
  <c r="J40" i="75" s="1"/>
  <c r="C102" i="75"/>
  <c r="J102" i="75" s="1"/>
  <c r="C87" i="75"/>
  <c r="C9" i="75"/>
  <c r="C90" i="75"/>
  <c r="C48" i="75"/>
  <c r="H97" i="75"/>
  <c r="I89" i="75"/>
  <c r="I99" i="75"/>
  <c r="H39" i="75"/>
  <c r="H19" i="75"/>
  <c r="I100" i="75"/>
  <c r="H61" i="75"/>
  <c r="I59" i="75"/>
  <c r="H112" i="75"/>
  <c r="C82" i="75"/>
  <c r="C66" i="75"/>
  <c r="C89" i="75"/>
  <c r="C41" i="75"/>
  <c r="C103" i="75"/>
  <c r="J103" i="75" s="1"/>
  <c r="C96" i="75"/>
  <c r="C10" i="75"/>
  <c r="C61" i="75"/>
  <c r="G89" i="52"/>
  <c r="G160" i="52"/>
  <c r="G123" i="75"/>
  <c r="I97" i="75"/>
  <c r="G95" i="75"/>
  <c r="G24" i="75"/>
  <c r="I39" i="75"/>
  <c r="G12" i="75"/>
  <c r="I19" i="75"/>
  <c r="H69" i="75"/>
  <c r="G63" i="75"/>
  <c r="I61" i="75"/>
  <c r="H20" i="75"/>
  <c r="G78" i="75"/>
  <c r="I112" i="75"/>
  <c r="C123" i="75"/>
  <c r="C115" i="75"/>
  <c r="J115" i="75" s="1"/>
  <c r="C50" i="75"/>
  <c r="C42" i="75"/>
  <c r="J42" i="75" s="1"/>
  <c r="C108" i="75"/>
  <c r="C11" i="75"/>
  <c r="C16" i="75"/>
  <c r="C44" i="75"/>
  <c r="G117" i="52"/>
  <c r="H60" i="75"/>
  <c r="I50" i="75"/>
  <c r="H103" i="75"/>
  <c r="G101" i="75"/>
  <c r="G49" i="75"/>
  <c r="H12" i="75"/>
  <c r="I69" i="75"/>
  <c r="H63" i="75"/>
  <c r="I20" i="75"/>
  <c r="H78" i="75"/>
  <c r="C23" i="75"/>
  <c r="J23" i="75" s="1"/>
  <c r="C107" i="75"/>
  <c r="C54" i="75"/>
  <c r="C43" i="75"/>
  <c r="C117" i="75"/>
  <c r="C49" i="75"/>
  <c r="C19" i="75"/>
  <c r="C81" i="75"/>
  <c r="G142" i="52"/>
  <c r="G158" i="52"/>
  <c r="H31" i="75"/>
  <c r="H119" i="75"/>
  <c r="H37" i="75"/>
  <c r="I101" i="75"/>
  <c r="H22" i="75"/>
  <c r="H114" i="75"/>
  <c r="I12" i="75"/>
  <c r="H58" i="75"/>
  <c r="G27" i="75"/>
  <c r="I63" i="75"/>
  <c r="H81" i="75"/>
  <c r="G6" i="75"/>
  <c r="I78" i="75"/>
  <c r="C34" i="75"/>
  <c r="C45" i="75"/>
  <c r="J45" i="75" s="1"/>
  <c r="C68" i="75"/>
  <c r="J68" i="75" s="1"/>
  <c r="C46" i="75"/>
  <c r="C118" i="75"/>
  <c r="C109" i="75"/>
  <c r="C57" i="75"/>
  <c r="C121" i="75"/>
  <c r="G106" i="52"/>
  <c r="G143" i="52"/>
  <c r="I31" i="75"/>
  <c r="I119" i="75"/>
  <c r="I37" i="75"/>
  <c r="G71" i="75"/>
  <c r="I22" i="75"/>
  <c r="I114" i="75"/>
  <c r="I58" i="75"/>
  <c r="H27" i="75"/>
  <c r="I81" i="75"/>
  <c r="H6" i="75"/>
  <c r="C35" i="75"/>
  <c r="C95" i="75"/>
  <c r="C106" i="75"/>
  <c r="C72" i="75"/>
  <c r="C120" i="75"/>
  <c r="C21" i="75"/>
  <c r="C58" i="75"/>
  <c r="C20" i="75"/>
  <c r="G23" i="52"/>
  <c r="H35" i="75"/>
  <c r="H25" i="75"/>
  <c r="G40" i="75"/>
  <c r="I117" i="75"/>
  <c r="H83" i="75"/>
  <c r="G109" i="75"/>
  <c r="H47" i="75"/>
  <c r="G18" i="75"/>
  <c r="I27" i="75"/>
  <c r="H111" i="75"/>
  <c r="G52" i="75"/>
  <c r="I6" i="75"/>
  <c r="H15" i="75"/>
  <c r="C75" i="75"/>
  <c r="J75" i="75" s="1"/>
  <c r="C104" i="75"/>
  <c r="C14" i="75"/>
  <c r="C65" i="75"/>
  <c r="C17" i="75"/>
  <c r="C94" i="75"/>
  <c r="J94" i="75" s="1"/>
  <c r="C67" i="75"/>
  <c r="J67" i="75" s="1"/>
  <c r="C52" i="75"/>
  <c r="G84" i="75"/>
  <c r="G106" i="75"/>
  <c r="I40" i="75"/>
  <c r="G74" i="75"/>
  <c r="H109" i="75"/>
  <c r="I9" i="75"/>
  <c r="I47" i="75"/>
  <c r="H18" i="75"/>
  <c r="I111" i="75"/>
  <c r="H52" i="75"/>
  <c r="G137" i="52"/>
  <c r="I84" i="75"/>
  <c r="H106" i="75"/>
  <c r="H74" i="75"/>
  <c r="G118" i="75"/>
  <c r="H16" i="75"/>
  <c r="G67" i="75"/>
  <c r="I18" i="75"/>
  <c r="H90" i="75"/>
  <c r="G121" i="75"/>
  <c r="I52" i="75"/>
  <c r="H53" i="75"/>
  <c r="C92" i="75"/>
  <c r="C51" i="75"/>
  <c r="C33" i="75"/>
  <c r="J33" i="75" s="1"/>
  <c r="C74" i="75"/>
  <c r="C101" i="75"/>
  <c r="J101" i="75" s="1"/>
  <c r="C28" i="75"/>
  <c r="C18" i="75"/>
  <c r="C6" i="75"/>
  <c r="G7" i="52"/>
  <c r="G107" i="75"/>
  <c r="G30" i="75"/>
  <c r="H42" i="75"/>
  <c r="I87" i="75"/>
  <c r="I16" i="75"/>
  <c r="H67" i="75"/>
  <c r="I90" i="75"/>
  <c r="H121" i="75"/>
  <c r="I53" i="75"/>
  <c r="C97" i="75"/>
  <c r="C25" i="75"/>
  <c r="C8" i="75"/>
  <c r="C76" i="75"/>
  <c r="C110" i="75"/>
  <c r="C7" i="75"/>
  <c r="J7" i="75" s="1"/>
  <c r="C100" i="75"/>
  <c r="J100" i="75" s="1"/>
  <c r="C55" i="75"/>
  <c r="J55" i="75" s="1"/>
  <c r="C83" i="75"/>
  <c r="J83" i="75" s="1"/>
  <c r="G57" i="75"/>
  <c r="I15" i="75"/>
  <c r="C22" i="75"/>
  <c r="I67" i="75"/>
  <c r="G48" i="75"/>
  <c r="C26" i="75"/>
  <c r="J26" i="75" s="1"/>
  <c r="G70" i="75"/>
  <c r="C80" i="75"/>
  <c r="C69" i="75"/>
  <c r="J69" i="75" s="1"/>
  <c r="I30" i="75"/>
  <c r="H32" i="75"/>
  <c r="C13" i="75"/>
  <c r="J13" i="75" s="1"/>
  <c r="C27" i="75"/>
  <c r="C119" i="75"/>
  <c r="J119" i="75" s="1"/>
  <c r="C59" i="75"/>
  <c r="H77" i="75"/>
  <c r="G44" i="75"/>
  <c r="C79" i="75"/>
  <c r="C53" i="75"/>
  <c r="G105" i="75"/>
  <c r="I121" i="75"/>
  <c r="C30" i="75"/>
  <c r="C86" i="75"/>
  <c r="C71" i="75"/>
  <c r="J71" i="75" s="1"/>
  <c r="H7" i="75"/>
  <c r="H55" i="75"/>
  <c r="C85" i="75"/>
  <c r="C39" i="75"/>
  <c r="J39" i="75" s="1"/>
  <c r="G23" i="51"/>
  <c r="G41" i="51"/>
  <c r="G36" i="51"/>
  <c r="G43" i="51"/>
  <c r="D5" i="75"/>
  <c r="G5" i="75"/>
  <c r="H5" i="75"/>
  <c r="C5" i="75"/>
  <c r="J5" i="75" s="1"/>
  <c r="AD5" i="75" s="1"/>
  <c r="I5" i="75"/>
  <c r="D14" i="52"/>
  <c r="G14" i="52"/>
  <c r="D50" i="50"/>
  <c r="G50" i="50"/>
  <c r="AQ116" i="75" l="1"/>
  <c r="AR116" i="75"/>
  <c r="J95" i="75"/>
  <c r="AD95" i="75" s="1"/>
  <c r="AR95" i="75" s="1"/>
  <c r="J49" i="75"/>
  <c r="AD49" i="75" s="1"/>
  <c r="AR49" i="75" s="1"/>
  <c r="J104" i="75"/>
  <c r="AD104" i="75" s="1"/>
  <c r="AR104" i="75" s="1"/>
  <c r="J72" i="75"/>
  <c r="AD72" i="75" s="1"/>
  <c r="AR72" i="75" s="1"/>
  <c r="J80" i="75"/>
  <c r="AD80" i="75" s="1"/>
  <c r="AR80" i="75" s="1"/>
  <c r="J35" i="75"/>
  <c r="AD35" i="75" s="1"/>
  <c r="J6" i="75"/>
  <c r="AD6" i="75" s="1"/>
  <c r="J22" i="75"/>
  <c r="AD22" i="75" s="1"/>
  <c r="AR22" i="75" s="1"/>
  <c r="J76" i="75"/>
  <c r="AD76" i="75" s="1"/>
  <c r="AR76" i="75" s="1"/>
  <c r="J85" i="75"/>
  <c r="AD85" i="75" s="1"/>
  <c r="AR85" i="75" s="1"/>
  <c r="J52" i="75"/>
  <c r="AD52" i="75" s="1"/>
  <c r="J51" i="75"/>
  <c r="AD51" i="75" s="1"/>
  <c r="AR51" i="75" s="1"/>
  <c r="J29" i="75"/>
  <c r="AD29" i="75" s="1"/>
  <c r="J30" i="75"/>
  <c r="AD30" i="75" s="1"/>
  <c r="AR30" i="75" s="1"/>
  <c r="J92" i="75"/>
  <c r="AD92" i="75" s="1"/>
  <c r="AR92" i="75" s="1"/>
  <c r="J96" i="75"/>
  <c r="AD96" i="75" s="1"/>
  <c r="AR96" i="75" s="1"/>
  <c r="J8" i="75"/>
  <c r="AD8" i="75" s="1"/>
  <c r="AR8" i="75" s="1"/>
  <c r="J19" i="75"/>
  <c r="AD19" i="75" s="1"/>
  <c r="J97" i="75"/>
  <c r="AD97" i="75" s="1"/>
  <c r="AR97" i="75" s="1"/>
  <c r="J123" i="75"/>
  <c r="AD123" i="75" s="1"/>
  <c r="AR123" i="75" s="1"/>
  <c r="J28" i="75"/>
  <c r="AD28" i="75" s="1"/>
  <c r="J118" i="75"/>
  <c r="AD118" i="75" s="1"/>
  <c r="AR118" i="75" s="1"/>
  <c r="J91" i="75"/>
  <c r="AD91" i="75" s="1"/>
  <c r="J46" i="75"/>
  <c r="AD46" i="75" s="1"/>
  <c r="AR46" i="75" s="1"/>
  <c r="J88" i="75"/>
  <c r="AD88" i="75" s="1"/>
  <c r="AR88" i="75" s="1"/>
  <c r="J99" i="75"/>
  <c r="AD99" i="75" s="1"/>
  <c r="AR99" i="75" s="1"/>
  <c r="J31" i="75"/>
  <c r="AD31" i="75" s="1"/>
  <c r="AQ31" i="75" s="1"/>
  <c r="J81" i="75"/>
  <c r="AD81" i="75" s="1"/>
  <c r="AQ81" i="75" s="1"/>
  <c r="J44" i="75"/>
  <c r="AD44" i="75" s="1"/>
  <c r="AD112" i="75"/>
  <c r="AQ112" i="75" s="1"/>
  <c r="J111" i="75"/>
  <c r="AD111" i="75" s="1"/>
  <c r="J90" i="75"/>
  <c r="AD90" i="75" s="1"/>
  <c r="AQ90" i="75" s="1"/>
  <c r="AD26" i="75"/>
  <c r="AR26" i="75" s="1"/>
  <c r="J25" i="75"/>
  <c r="AD25" i="75" s="1"/>
  <c r="AR25" i="75" s="1"/>
  <c r="AD83" i="75"/>
  <c r="AR83" i="75" s="1"/>
  <c r="J82" i="75"/>
  <c r="AD82" i="75" s="1"/>
  <c r="AR82" i="75" s="1"/>
  <c r="J57" i="75"/>
  <c r="AD57" i="75" s="1"/>
  <c r="J87" i="75"/>
  <c r="AD87" i="75" s="1"/>
  <c r="J32" i="75"/>
  <c r="AD32" i="75" s="1"/>
  <c r="J59" i="75"/>
  <c r="AD59" i="75" s="1"/>
  <c r="J109" i="75"/>
  <c r="AD109" i="75" s="1"/>
  <c r="J43" i="75"/>
  <c r="AD43" i="75" s="1"/>
  <c r="AR43" i="75" s="1"/>
  <c r="J27" i="75"/>
  <c r="AD27" i="75" s="1"/>
  <c r="AD75" i="75"/>
  <c r="AR75" i="75" s="1"/>
  <c r="J74" i="75"/>
  <c r="AD74" i="75" s="1"/>
  <c r="AR74" i="75" s="1"/>
  <c r="J20" i="75"/>
  <c r="AD20" i="75" s="1"/>
  <c r="AQ20" i="75" s="1"/>
  <c r="AD55" i="75"/>
  <c r="AR55" i="75" s="1"/>
  <c r="J54" i="75"/>
  <c r="AD54" i="75" s="1"/>
  <c r="AR54" i="75" s="1"/>
  <c r="J58" i="75"/>
  <c r="AD58" i="75" s="1"/>
  <c r="J107" i="75"/>
  <c r="AD107" i="75" s="1"/>
  <c r="AR107" i="75" s="1"/>
  <c r="J61" i="75"/>
  <c r="AD61" i="75" s="1"/>
  <c r="J86" i="75"/>
  <c r="AD86" i="75" s="1"/>
  <c r="AR86" i="75" s="1"/>
  <c r="J21" i="75"/>
  <c r="AD21" i="75" s="1"/>
  <c r="J10" i="75"/>
  <c r="AD10" i="75" s="1"/>
  <c r="AR10" i="75" s="1"/>
  <c r="J120" i="75"/>
  <c r="AD120" i="75" s="1"/>
  <c r="AR120" i="75" s="1"/>
  <c r="J34" i="75"/>
  <c r="AD34" i="75" s="1"/>
  <c r="AR34" i="75" s="1"/>
  <c r="J16" i="75"/>
  <c r="AD16" i="75" s="1"/>
  <c r="J60" i="75"/>
  <c r="AD60" i="75" s="1"/>
  <c r="AR60" i="75" s="1"/>
  <c r="AD12" i="75"/>
  <c r="AQ12" i="75" s="1"/>
  <c r="J11" i="75"/>
  <c r="AD11" i="75" s="1"/>
  <c r="J78" i="75"/>
  <c r="AD78" i="75" s="1"/>
  <c r="J110" i="75"/>
  <c r="AD110" i="75" s="1"/>
  <c r="J17" i="75"/>
  <c r="AD17" i="75" s="1"/>
  <c r="AR17" i="75" s="1"/>
  <c r="J106" i="75"/>
  <c r="AD106" i="75" s="1"/>
  <c r="AR106" i="75" s="1"/>
  <c r="J108" i="75"/>
  <c r="AD108" i="75" s="1"/>
  <c r="AR108" i="75" s="1"/>
  <c r="AD42" i="75"/>
  <c r="AR42" i="75" s="1"/>
  <c r="J41" i="75"/>
  <c r="AD41" i="75" s="1"/>
  <c r="AR41" i="75" s="1"/>
  <c r="J53" i="75"/>
  <c r="AD53" i="75" s="1"/>
  <c r="J65" i="75"/>
  <c r="AD65" i="75" s="1"/>
  <c r="AR65" i="75" s="1"/>
  <c r="J89" i="75"/>
  <c r="AD89" i="75" s="1"/>
  <c r="AR89" i="75" s="1"/>
  <c r="J48" i="75"/>
  <c r="AD48" i="75" s="1"/>
  <c r="AD94" i="75"/>
  <c r="AR94" i="75" s="1"/>
  <c r="J93" i="75"/>
  <c r="AD93" i="75" s="1"/>
  <c r="AR93" i="75" s="1"/>
  <c r="J77" i="75"/>
  <c r="AD77" i="75" s="1"/>
  <c r="AR77" i="75" s="1"/>
  <c r="J38" i="75"/>
  <c r="AD38" i="75" s="1"/>
  <c r="AR38" i="75" s="1"/>
  <c r="J122" i="75"/>
  <c r="AD122" i="75" s="1"/>
  <c r="AR122" i="75" s="1"/>
  <c r="J79" i="75"/>
  <c r="AD79" i="75" s="1"/>
  <c r="AR79" i="75" s="1"/>
  <c r="AD15" i="75"/>
  <c r="AQ15" i="75" s="1"/>
  <c r="J14" i="75"/>
  <c r="AD14" i="75" s="1"/>
  <c r="AR14" i="75" s="1"/>
  <c r="J50" i="75"/>
  <c r="AD50" i="75" s="1"/>
  <c r="AR50" i="75" s="1"/>
  <c r="AD67" i="75"/>
  <c r="AR67" i="75" s="1"/>
  <c r="J66" i="75"/>
  <c r="AD66" i="75" s="1"/>
  <c r="AR66" i="75" s="1"/>
  <c r="AD63" i="75"/>
  <c r="AQ63" i="75" s="1"/>
  <c r="J62" i="75"/>
  <c r="AD62" i="75" s="1"/>
  <c r="J121" i="75"/>
  <c r="AD121" i="75" s="1"/>
  <c r="J9" i="75"/>
  <c r="AD9" i="75" s="1"/>
  <c r="AR9" i="75" s="1"/>
  <c r="J105" i="75"/>
  <c r="AD105" i="75" s="1"/>
  <c r="AR105" i="75" s="1"/>
  <c r="J18" i="75"/>
  <c r="AD18" i="75" s="1"/>
  <c r="J73" i="75"/>
  <c r="AD73" i="75" s="1"/>
  <c r="AR73" i="75" s="1"/>
  <c r="J117" i="75"/>
  <c r="AD117" i="75" s="1"/>
  <c r="AR117" i="75" s="1"/>
  <c r="J56" i="75"/>
  <c r="AD56" i="75" s="1"/>
  <c r="AR56" i="75" s="1"/>
  <c r="AD98" i="75"/>
  <c r="AR98" i="75" s="1"/>
  <c r="AD7" i="75"/>
  <c r="AQ7" i="75" s="1"/>
  <c r="AD69" i="75"/>
  <c r="AQ69" i="75" s="1"/>
  <c r="AD36" i="75"/>
  <c r="AQ36" i="75" s="1"/>
  <c r="J36" i="51"/>
  <c r="AD36" i="51" s="1"/>
  <c r="AQ36" i="51" s="1"/>
  <c r="AR38" i="51"/>
  <c r="AQ38" i="51"/>
  <c r="AR7" i="51"/>
  <c r="AQ7" i="51"/>
  <c r="AD114" i="75"/>
  <c r="J4" i="51"/>
  <c r="AD4" i="51" s="1"/>
  <c r="AR14" i="51"/>
  <c r="AQ14" i="51"/>
  <c r="AR25" i="51"/>
  <c r="AQ25" i="51"/>
  <c r="J28" i="51"/>
  <c r="AD28" i="51" s="1"/>
  <c r="AQ15" i="51"/>
  <c r="AR15" i="51"/>
  <c r="AQ35" i="51"/>
  <c r="AR35" i="51"/>
  <c r="AR44" i="51"/>
  <c r="AQ44" i="51"/>
  <c r="AQ5" i="51"/>
  <c r="AR5" i="51"/>
  <c r="J9" i="51"/>
  <c r="AD9" i="51" s="1"/>
  <c r="AQ29" i="51"/>
  <c r="AR29" i="51"/>
  <c r="AR10" i="51"/>
  <c r="AQ10" i="51"/>
  <c r="J33" i="51"/>
  <c r="AD33" i="51" s="1"/>
  <c r="AR43" i="51"/>
  <c r="AQ43" i="51"/>
  <c r="AQ47" i="51"/>
  <c r="AR47" i="51"/>
  <c r="J13" i="51"/>
  <c r="AD13" i="51" s="1"/>
  <c r="AR27" i="51"/>
  <c r="AQ27" i="51"/>
  <c r="AR41" i="51"/>
  <c r="AQ41" i="51"/>
  <c r="AQ23" i="51"/>
  <c r="AR23" i="51"/>
  <c r="AQ46" i="51"/>
  <c r="AR46" i="51"/>
  <c r="AQ34" i="51"/>
  <c r="AR34" i="51"/>
  <c r="J30" i="51"/>
  <c r="AD30" i="51" s="1"/>
  <c r="AQ19" i="51"/>
  <c r="AR19" i="51"/>
  <c r="AQ8" i="51"/>
  <c r="AR8" i="51"/>
  <c r="AQ22" i="51"/>
  <c r="AR22" i="51"/>
  <c r="AR24" i="51"/>
  <c r="AQ24" i="51"/>
  <c r="AR39" i="51"/>
  <c r="AQ39" i="51"/>
  <c r="AQ45" i="51"/>
  <c r="AR45" i="51"/>
  <c r="AQ26" i="51"/>
  <c r="AR26" i="51"/>
  <c r="AQ37" i="51"/>
  <c r="AR37" i="51"/>
  <c r="AR17" i="51"/>
  <c r="AQ17" i="51"/>
  <c r="AQ6" i="51"/>
  <c r="AR6" i="51"/>
  <c r="AR32" i="51"/>
  <c r="AQ32" i="51"/>
  <c r="AR40" i="51"/>
  <c r="AQ40" i="51"/>
  <c r="J16" i="51"/>
  <c r="AD16" i="51" s="1"/>
  <c r="J12" i="51"/>
  <c r="AD12" i="51" s="1"/>
  <c r="AR20" i="51"/>
  <c r="AQ20" i="51"/>
  <c r="J31" i="51"/>
  <c r="AD31" i="51" s="1"/>
  <c r="AQ21" i="51"/>
  <c r="AR21" i="51"/>
  <c r="AQ42" i="51"/>
  <c r="AR42" i="51"/>
  <c r="AD47" i="75"/>
  <c r="AD100" i="75"/>
  <c r="AQ18" i="51"/>
  <c r="AR18" i="51"/>
  <c r="AD33" i="75"/>
  <c r="AR33" i="75" s="1"/>
  <c r="AD23" i="75"/>
  <c r="AR23" i="75" s="1"/>
  <c r="AD71" i="75"/>
  <c r="AR71" i="75" s="1"/>
  <c r="AD40" i="75"/>
  <c r="AR40" i="75" s="1"/>
  <c r="AD113" i="75"/>
  <c r="AR113" i="75" s="1"/>
  <c r="AD101" i="75"/>
  <c r="AR101" i="75" s="1"/>
  <c r="AD119" i="75"/>
  <c r="AR119" i="75" s="1"/>
  <c r="AD37" i="75"/>
  <c r="AR37" i="75" s="1"/>
  <c r="AD39" i="75"/>
  <c r="AR39" i="75" s="1"/>
  <c r="AD84" i="75"/>
  <c r="AR84" i="75" s="1"/>
  <c r="AD13" i="75"/>
  <c r="AQ13" i="75" s="1"/>
  <c r="AD102" i="75"/>
  <c r="AR102" i="75" s="1"/>
  <c r="AD68" i="75"/>
  <c r="AR68" i="75" s="1"/>
  <c r="AD24" i="75"/>
  <c r="AQ24" i="75" s="1"/>
  <c r="AD115" i="75"/>
  <c r="AQ115" i="75" s="1"/>
  <c r="AD45" i="75"/>
  <c r="AR45" i="75" s="1"/>
  <c r="AD103" i="75"/>
  <c r="AR103" i="75" s="1"/>
  <c r="AD64" i="75"/>
  <c r="AR64" i="75" s="1"/>
  <c r="AD70" i="75"/>
  <c r="AR70" i="75" s="1"/>
  <c r="AR5" i="75"/>
  <c r="AQ5" i="75"/>
  <c r="AQ67" i="75" l="1"/>
  <c r="AQ123" i="75"/>
  <c r="AR63" i="75"/>
  <c r="AQ22" i="75"/>
  <c r="AQ55" i="75"/>
  <c r="AQ29" i="75"/>
  <c r="AR29" i="75"/>
  <c r="AR111" i="75"/>
  <c r="AQ111" i="75"/>
  <c r="AQ83" i="75"/>
  <c r="AR112" i="75"/>
  <c r="AR12" i="75"/>
  <c r="AR35" i="75"/>
  <c r="AQ35" i="75"/>
  <c r="AQ49" i="75"/>
  <c r="AQ121" i="75"/>
  <c r="AR121" i="75"/>
  <c r="AQ61" i="75"/>
  <c r="AR61" i="75"/>
  <c r="AR59" i="75"/>
  <c r="AQ59" i="75"/>
  <c r="AQ26" i="75"/>
  <c r="AR44" i="75"/>
  <c r="AQ44" i="75"/>
  <c r="AQ87" i="75"/>
  <c r="AR87" i="75"/>
  <c r="AR18" i="75"/>
  <c r="AQ18" i="75"/>
  <c r="AR21" i="75"/>
  <c r="AQ21" i="75"/>
  <c r="AR62" i="75"/>
  <c r="AQ62" i="75"/>
  <c r="AR11" i="75"/>
  <c r="AQ11" i="75"/>
  <c r="AQ57" i="75"/>
  <c r="AR57" i="75"/>
  <c r="AR110" i="75"/>
  <c r="AQ110" i="75"/>
  <c r="AR109" i="75"/>
  <c r="AQ109" i="75"/>
  <c r="AR90" i="75"/>
  <c r="AQ10" i="75"/>
  <c r="AR15" i="75"/>
  <c r="AQ82" i="75"/>
  <c r="AR31" i="75"/>
  <c r="AQ94" i="75"/>
  <c r="AQ107" i="75"/>
  <c r="AQ98" i="75"/>
  <c r="AQ9" i="75"/>
  <c r="AR7" i="75"/>
  <c r="AR20" i="75"/>
  <c r="AR36" i="51"/>
  <c r="AR36" i="75"/>
  <c r="AQ96" i="75"/>
  <c r="AR69" i="75"/>
  <c r="AR81" i="75"/>
  <c r="AR58" i="75"/>
  <c r="AQ58" i="75"/>
  <c r="AR16" i="51"/>
  <c r="AQ16" i="51"/>
  <c r="AR9" i="51"/>
  <c r="AQ9" i="51"/>
  <c r="AR114" i="75"/>
  <c r="AQ114" i="75"/>
  <c r="AR16" i="75"/>
  <c r="AQ16" i="75"/>
  <c r="AQ28" i="75"/>
  <c r="AR28" i="75"/>
  <c r="AR13" i="51"/>
  <c r="AQ13" i="51"/>
  <c r="AQ52" i="75"/>
  <c r="AR52" i="75"/>
  <c r="AR48" i="75"/>
  <c r="AQ48" i="75"/>
  <c r="AR32" i="75"/>
  <c r="AQ32" i="75"/>
  <c r="AR30" i="51"/>
  <c r="AQ30" i="51"/>
  <c r="AR53" i="75"/>
  <c r="AQ53" i="75"/>
  <c r="AR4" i="51"/>
  <c r="AQ4" i="51"/>
  <c r="AQ78" i="75"/>
  <c r="AR78" i="75"/>
  <c r="AR19" i="75"/>
  <c r="AQ19" i="75"/>
  <c r="AQ33" i="51"/>
  <c r="AR33" i="51"/>
  <c r="AR100" i="75"/>
  <c r="AQ100" i="75"/>
  <c r="AR31" i="51"/>
  <c r="AQ31" i="51"/>
  <c r="AR28" i="51"/>
  <c r="AQ28" i="51"/>
  <c r="AQ91" i="75"/>
  <c r="AR91" i="75"/>
  <c r="AQ47" i="75"/>
  <c r="AR47" i="75"/>
  <c r="AQ12" i="51"/>
  <c r="AR12" i="51"/>
  <c r="AR27" i="75"/>
  <c r="AQ27" i="75"/>
  <c r="AR6" i="75"/>
  <c r="AQ6" i="75"/>
  <c r="AQ34" i="75"/>
  <c r="AR13" i="75"/>
  <c r="AQ76" i="75"/>
  <c r="AR24" i="75"/>
  <c r="AQ23" i="75"/>
  <c r="AR115" i="75"/>
  <c r="AQ56" i="75"/>
  <c r="AQ50" i="75"/>
  <c r="AQ105" i="75"/>
  <c r="AQ80" i="75"/>
  <c r="AQ51" i="75"/>
  <c r="AQ101" i="75"/>
  <c r="AQ43" i="75"/>
  <c r="AQ103" i="75"/>
  <c r="AQ41" i="75"/>
  <c r="AQ102" i="75"/>
  <c r="AQ64" i="75"/>
  <c r="AQ37" i="75"/>
  <c r="AQ60" i="75"/>
  <c r="AQ42" i="75"/>
  <c r="AQ65" i="75"/>
  <c r="AQ73" i="75"/>
  <c r="AQ30" i="75"/>
  <c r="AQ85" i="75"/>
  <c r="AQ77" i="75"/>
  <c r="AQ89" i="75"/>
  <c r="AQ38" i="75"/>
  <c r="AQ8" i="75"/>
  <c r="AQ17" i="75"/>
  <c r="AQ84" i="75"/>
  <c r="AQ99" i="75"/>
  <c r="AQ88" i="75"/>
  <c r="AQ66" i="75"/>
  <c r="AQ95" i="75"/>
  <c r="AQ106" i="75"/>
  <c r="AQ72" i="75"/>
  <c r="AQ108" i="75"/>
  <c r="AQ113" i="75"/>
  <c r="AQ54" i="75"/>
  <c r="AQ92" i="75"/>
  <c r="AQ68" i="75"/>
  <c r="AQ79" i="75"/>
  <c r="AQ74" i="75"/>
  <c r="AQ33" i="75"/>
  <c r="AQ93" i="75"/>
  <c r="AQ40" i="75"/>
  <c r="AQ39" i="75"/>
  <c r="AQ122" i="75"/>
  <c r="AQ71" i="75"/>
  <c r="AQ117" i="75"/>
  <c r="AQ120" i="75"/>
  <c r="AQ14" i="75"/>
  <c r="AQ119" i="75"/>
  <c r="AQ45" i="75"/>
  <c r="AQ104" i="75"/>
  <c r="AQ118" i="75"/>
  <c r="AQ70" i="75"/>
  <c r="AQ97" i="75"/>
  <c r="AQ86" i="75"/>
  <c r="AQ46" i="75"/>
  <c r="AQ25" i="75"/>
  <c r="AT112" i="52" l="1"/>
  <c r="V47" i="49" l="1"/>
  <c r="V50" i="49"/>
  <c r="V68" i="49"/>
  <c r="G15" i="46"/>
  <c r="G27" i="46"/>
  <c r="AT124" i="52"/>
  <c r="AT123" i="52"/>
  <c r="AA4" i="52"/>
  <c r="AM4" i="52"/>
  <c r="AJ4" i="52"/>
  <c r="AG4" i="52"/>
  <c r="AH4" i="52"/>
  <c r="AT4" i="52"/>
  <c r="AI4" i="52"/>
  <c r="AK4" i="52"/>
  <c r="AE4" i="52" l="1"/>
  <c r="B4" i="56"/>
  <c r="F98" i="75" s="1"/>
  <c r="C72" i="52" l="1"/>
  <c r="F72" i="52"/>
  <c r="I72" i="52"/>
  <c r="C74" i="52"/>
  <c r="J74" i="52" s="1"/>
  <c r="AD74" i="52" s="1"/>
  <c r="F74" i="52"/>
  <c r="I74" i="52"/>
  <c r="F78" i="52"/>
  <c r="H74" i="52"/>
  <c r="I78" i="52"/>
  <c r="H81" i="52"/>
  <c r="C75" i="52"/>
  <c r="F75" i="52"/>
  <c r="I75" i="52"/>
  <c r="C73" i="52"/>
  <c r="J73" i="52" s="1"/>
  <c r="AD73" i="52" s="1"/>
  <c r="F73" i="52"/>
  <c r="I73" i="52"/>
  <c r="C76" i="52"/>
  <c r="J76" i="52" s="1"/>
  <c r="AD76" i="52" s="1"/>
  <c r="F76" i="52"/>
  <c r="H72" i="52"/>
  <c r="I76" i="52"/>
  <c r="C77" i="52"/>
  <c r="J77" i="52" s="1"/>
  <c r="AD77" i="52" s="1"/>
  <c r="F77" i="52"/>
  <c r="H73" i="52"/>
  <c r="I77" i="52"/>
  <c r="C78" i="52"/>
  <c r="J78" i="52" s="1"/>
  <c r="AD78" i="52" s="1"/>
  <c r="C81" i="52"/>
  <c r="J81" i="52" s="1"/>
  <c r="AD81" i="52" s="1"/>
  <c r="F81" i="52"/>
  <c r="H75" i="52"/>
  <c r="I81" i="52"/>
  <c r="H76" i="52"/>
  <c r="H77" i="52"/>
  <c r="H78" i="52"/>
  <c r="F116" i="75"/>
  <c r="F47" i="51"/>
  <c r="F25" i="51"/>
  <c r="F31" i="51"/>
  <c r="F22" i="51"/>
  <c r="F35" i="50"/>
  <c r="F45" i="50"/>
  <c r="F27" i="50"/>
  <c r="F20" i="50"/>
  <c r="C29" i="52"/>
  <c r="H30" i="52"/>
  <c r="F31" i="52"/>
  <c r="I23" i="52"/>
  <c r="C17" i="52"/>
  <c r="H25" i="52"/>
  <c r="F15" i="52"/>
  <c r="I28" i="52"/>
  <c r="C34" i="52"/>
  <c r="H11" i="52"/>
  <c r="F37" i="52"/>
  <c r="I39" i="52"/>
  <c r="C47" i="52"/>
  <c r="H46" i="52"/>
  <c r="F50" i="52"/>
  <c r="I56" i="52"/>
  <c r="C57" i="52"/>
  <c r="H59" i="52"/>
  <c r="F33" i="51"/>
  <c r="F8" i="51"/>
  <c r="F39" i="51"/>
  <c r="F16" i="51"/>
  <c r="F30" i="51"/>
  <c r="F20" i="51"/>
  <c r="F10" i="51"/>
  <c r="F27" i="51"/>
  <c r="F25" i="50"/>
  <c r="F9" i="50"/>
  <c r="F52" i="50"/>
  <c r="F40" i="50"/>
  <c r="C18" i="52"/>
  <c r="I22" i="52"/>
  <c r="I30" i="52"/>
  <c r="H31" i="52"/>
  <c r="F5" i="52"/>
  <c r="C25" i="52"/>
  <c r="I33" i="52"/>
  <c r="H9" i="52"/>
  <c r="F8" i="52"/>
  <c r="F10" i="52"/>
  <c r="C38" i="52"/>
  <c r="I44" i="52"/>
  <c r="H40" i="52"/>
  <c r="F45" i="52"/>
  <c r="C49" i="52"/>
  <c r="C55" i="52"/>
  <c r="I54" i="52"/>
  <c r="H53" i="52"/>
  <c r="F61" i="52"/>
  <c r="I65" i="52"/>
  <c r="C66" i="52"/>
  <c r="H70" i="52"/>
  <c r="F82" i="52"/>
  <c r="I88" i="52"/>
  <c r="C86" i="52"/>
  <c r="J86" i="52" s="1"/>
  <c r="AD86" i="52" s="1"/>
  <c r="H93" i="52"/>
  <c r="F105" i="52"/>
  <c r="I125" i="52"/>
  <c r="C106" i="52"/>
  <c r="H100" i="52"/>
  <c r="F102" i="52"/>
  <c r="I107" i="52"/>
  <c r="C129" i="52"/>
  <c r="H128" i="52"/>
  <c r="F131" i="52"/>
  <c r="I135" i="52"/>
  <c r="C153" i="52"/>
  <c r="J153" i="52" s="1"/>
  <c r="AD153" i="52" s="1"/>
  <c r="H152" i="52"/>
  <c r="F154" i="52"/>
  <c r="I150" i="52"/>
  <c r="C149" i="52"/>
  <c r="H148" i="52"/>
  <c r="F157" i="52"/>
  <c r="I158" i="52"/>
  <c r="C165" i="52"/>
  <c r="H163" i="52"/>
  <c r="F95" i="52"/>
  <c r="I113" i="52"/>
  <c r="C123" i="52"/>
  <c r="H97" i="52"/>
  <c r="F116" i="52"/>
  <c r="F123" i="75"/>
  <c r="F31" i="75"/>
  <c r="F35" i="75"/>
  <c r="F75" i="75"/>
  <c r="F92" i="75"/>
  <c r="F13" i="75"/>
  <c r="F64" i="75"/>
  <c r="F84" i="75"/>
  <c r="F107" i="75"/>
  <c r="F45" i="75"/>
  <c r="F104" i="75"/>
  <c r="F51" i="75"/>
  <c r="F79" i="75"/>
  <c r="F70" i="75"/>
  <c r="F89" i="75"/>
  <c r="F50" i="75"/>
  <c r="F68" i="75"/>
  <c r="F14" i="75"/>
  <c r="F33" i="75"/>
  <c r="F24" i="75"/>
  <c r="F37" i="75"/>
  <c r="F40" i="75"/>
  <c r="F42" i="75"/>
  <c r="F46" i="75"/>
  <c r="F65" i="75"/>
  <c r="F73" i="75"/>
  <c r="F76" i="75"/>
  <c r="F85" i="75"/>
  <c r="F102" i="75"/>
  <c r="F108" i="75"/>
  <c r="F118" i="75"/>
  <c r="F105" i="75"/>
  <c r="F39" i="75"/>
  <c r="F101" i="75"/>
  <c r="F83" i="75"/>
  <c r="F87" i="75"/>
  <c r="F11" i="75"/>
  <c r="F62" i="75"/>
  <c r="F21" i="75"/>
  <c r="F32" i="51"/>
  <c r="F19" i="51"/>
  <c r="F35" i="51"/>
  <c r="F9" i="51"/>
  <c r="F37" i="51"/>
  <c r="F49" i="50"/>
  <c r="F43" i="50"/>
  <c r="F28" i="50"/>
  <c r="F6" i="52"/>
  <c r="F18" i="52"/>
  <c r="C27" i="52"/>
  <c r="J27" i="52" s="1"/>
  <c r="AD27" i="52" s="1"/>
  <c r="I26" i="52"/>
  <c r="H5" i="52"/>
  <c r="F32" i="52"/>
  <c r="C13" i="52"/>
  <c r="C21" i="52"/>
  <c r="I8" i="52"/>
  <c r="H10" i="52"/>
  <c r="F24" i="52"/>
  <c r="F15" i="51"/>
  <c r="F7" i="51"/>
  <c r="F28" i="51"/>
  <c r="F4" i="51"/>
  <c r="F26" i="51"/>
  <c r="F11" i="50"/>
  <c r="F21" i="50"/>
  <c r="F29" i="50"/>
  <c r="F37" i="50"/>
  <c r="C36" i="52"/>
  <c r="I6" i="52"/>
  <c r="H18" i="52"/>
  <c r="F35" i="52"/>
  <c r="C20" i="52"/>
  <c r="I4" i="52"/>
  <c r="H32" i="52"/>
  <c r="F13" i="52"/>
  <c r="C12" i="52"/>
  <c r="I34" i="52"/>
  <c r="H24" i="52"/>
  <c r="F39" i="52"/>
  <c r="C48" i="52"/>
  <c r="F42" i="51"/>
  <c r="F29" i="51"/>
  <c r="F45" i="51"/>
  <c r="F14" i="51"/>
  <c r="F26" i="50"/>
  <c r="F10" i="50"/>
  <c r="F34" i="50"/>
  <c r="F51" i="50"/>
  <c r="C16" i="52"/>
  <c r="I18" i="52"/>
  <c r="H29" i="52"/>
  <c r="F27" i="52"/>
  <c r="C19" i="52"/>
  <c r="I32" i="52"/>
  <c r="I25" i="52"/>
  <c r="H15" i="52"/>
  <c r="F21" i="52"/>
  <c r="C11" i="52"/>
  <c r="I24" i="52"/>
  <c r="H38" i="52"/>
  <c r="F43" i="52"/>
  <c r="F41" i="52"/>
  <c r="F21" i="51"/>
  <c r="F12" i="51"/>
  <c r="F18" i="50"/>
  <c r="F32" i="50"/>
  <c r="F5" i="50"/>
  <c r="F14" i="50"/>
  <c r="F34" i="51"/>
  <c r="F6" i="50"/>
  <c r="C35" i="52"/>
  <c r="I27" i="52"/>
  <c r="H28" i="52"/>
  <c r="H7" i="52"/>
  <c r="F34" i="52"/>
  <c r="C39" i="52"/>
  <c r="H43" i="52"/>
  <c r="C45" i="52"/>
  <c r="F46" i="52"/>
  <c r="I50" i="52"/>
  <c r="I49" i="52"/>
  <c r="I55" i="52"/>
  <c r="I52" i="52"/>
  <c r="I58" i="52"/>
  <c r="C61" i="52"/>
  <c r="J61" i="52" s="1"/>
  <c r="AD61" i="52" s="1"/>
  <c r="I63" i="52"/>
  <c r="H65" i="52"/>
  <c r="H68" i="52"/>
  <c r="F66" i="52"/>
  <c r="C88" i="52"/>
  <c r="J88" i="52" s="1"/>
  <c r="AD88" i="52" s="1"/>
  <c r="I87" i="52"/>
  <c r="H84" i="52"/>
  <c r="F93" i="52"/>
  <c r="C101" i="52"/>
  <c r="I96" i="52"/>
  <c r="H106" i="52"/>
  <c r="F103" i="52"/>
  <c r="C126" i="52"/>
  <c r="I127" i="52"/>
  <c r="I128" i="52"/>
  <c r="H131" i="52"/>
  <c r="F136" i="52"/>
  <c r="C152" i="52"/>
  <c r="J152" i="52" s="1"/>
  <c r="AD152" i="52" s="1"/>
  <c r="I141" i="52"/>
  <c r="H147" i="52"/>
  <c r="F144" i="52"/>
  <c r="F146" i="52"/>
  <c r="C160" i="52"/>
  <c r="J160" i="52" s="1"/>
  <c r="AD160" i="52" s="1"/>
  <c r="I159" i="52"/>
  <c r="H155" i="52"/>
  <c r="F162" i="52"/>
  <c r="C112" i="52"/>
  <c r="J112" i="52" s="1"/>
  <c r="AD112" i="52" s="1"/>
  <c r="C121" i="52"/>
  <c r="I124" i="52"/>
  <c r="H117" i="52"/>
  <c r="F104" i="52"/>
  <c r="F82" i="75"/>
  <c r="F25" i="75"/>
  <c r="F44" i="51"/>
  <c r="F44" i="50"/>
  <c r="F16" i="50"/>
  <c r="H6" i="52"/>
  <c r="F22" i="52"/>
  <c r="C26" i="52"/>
  <c r="I5" i="52"/>
  <c r="H19" i="52"/>
  <c r="F25" i="52"/>
  <c r="I7" i="52"/>
  <c r="H34" i="52"/>
  <c r="I43" i="52"/>
  <c r="C51" i="52"/>
  <c r="C56" i="52"/>
  <c r="C54" i="52"/>
  <c r="C53" i="52"/>
  <c r="J53" i="52" s="1"/>
  <c r="AD53" i="52" s="1"/>
  <c r="C60" i="52"/>
  <c r="J60" i="52" s="1"/>
  <c r="AD60" i="52" s="1"/>
  <c r="C67" i="52"/>
  <c r="J67" i="52" s="1"/>
  <c r="AD67" i="52" s="1"/>
  <c r="I68" i="52"/>
  <c r="H64" i="52"/>
  <c r="F71" i="52"/>
  <c r="C91" i="52"/>
  <c r="I84" i="52"/>
  <c r="H92" i="52"/>
  <c r="F108" i="52"/>
  <c r="C118" i="52"/>
  <c r="I106" i="52"/>
  <c r="H99" i="52"/>
  <c r="F107" i="52"/>
  <c r="F17" i="51"/>
  <c r="F24" i="51"/>
  <c r="F39" i="50"/>
  <c r="H35" i="52"/>
  <c r="I19" i="52"/>
  <c r="C33" i="52"/>
  <c r="F9" i="52"/>
  <c r="C10" i="52"/>
  <c r="H37" i="52"/>
  <c r="C42" i="52"/>
  <c r="I46" i="52"/>
  <c r="C62" i="52"/>
  <c r="I64" i="52"/>
  <c r="H66" i="52"/>
  <c r="F83" i="52"/>
  <c r="C90" i="52"/>
  <c r="I92" i="52"/>
  <c r="I93" i="52"/>
  <c r="H105" i="52"/>
  <c r="F94" i="52"/>
  <c r="C100" i="52"/>
  <c r="I99" i="52"/>
  <c r="H103" i="52"/>
  <c r="F119" i="52"/>
  <c r="F126" i="52"/>
  <c r="F24" i="50"/>
  <c r="F47" i="50"/>
  <c r="F30" i="50"/>
  <c r="F23" i="50"/>
  <c r="H22" i="52"/>
  <c r="I35" i="52"/>
  <c r="F26" i="52"/>
  <c r="F20" i="52"/>
  <c r="C32" i="52"/>
  <c r="H21" i="52"/>
  <c r="I37" i="52"/>
  <c r="H39" i="52"/>
  <c r="F53" i="52"/>
  <c r="F57" i="52"/>
  <c r="F60" i="52"/>
  <c r="C69" i="52"/>
  <c r="J69" i="52" s="1"/>
  <c r="AD69" i="52" s="1"/>
  <c r="I66" i="52"/>
  <c r="H71" i="52"/>
  <c r="F88" i="52"/>
  <c r="C89" i="52"/>
  <c r="I105" i="52"/>
  <c r="H108" i="52"/>
  <c r="F101" i="52"/>
  <c r="C102" i="52"/>
  <c r="I103" i="52"/>
  <c r="H107" i="52"/>
  <c r="H119" i="52"/>
  <c r="F129" i="52"/>
  <c r="F38" i="51"/>
  <c r="F13" i="50"/>
  <c r="F31" i="50"/>
  <c r="F22" i="50"/>
  <c r="F16" i="52"/>
  <c r="C31" i="52"/>
  <c r="H26" i="52"/>
  <c r="H20" i="52"/>
  <c r="I9" i="52"/>
  <c r="I21" i="52"/>
  <c r="F11" i="52"/>
  <c r="C40" i="52"/>
  <c r="H45" i="52"/>
  <c r="F48" i="52"/>
  <c r="F51" i="52"/>
  <c r="F56" i="52"/>
  <c r="F54" i="52"/>
  <c r="H57" i="52"/>
  <c r="H61" i="52"/>
  <c r="F67" i="52"/>
  <c r="C70" i="52"/>
  <c r="I71" i="52"/>
  <c r="H83" i="52"/>
  <c r="F91" i="52"/>
  <c r="F90" i="52"/>
  <c r="C111" i="52"/>
  <c r="I108" i="52"/>
  <c r="H94" i="52"/>
  <c r="F118" i="52"/>
  <c r="C120" i="52"/>
  <c r="C115" i="52"/>
  <c r="I119" i="52"/>
  <c r="H126" i="52"/>
  <c r="F8" i="50"/>
  <c r="F17" i="50"/>
  <c r="F29" i="52"/>
  <c r="C23" i="52"/>
  <c r="I20" i="52"/>
  <c r="F33" i="52"/>
  <c r="C8" i="52"/>
  <c r="I10" i="52"/>
  <c r="F38" i="52"/>
  <c r="F42" i="52"/>
  <c r="I45" i="52"/>
  <c r="H54" i="52"/>
  <c r="I53" i="52"/>
  <c r="I57" i="52"/>
  <c r="I61" i="52"/>
  <c r="H60" i="52"/>
  <c r="F62" i="52"/>
  <c r="C82" i="52"/>
  <c r="J82" i="52" s="1"/>
  <c r="AD82" i="52" s="1"/>
  <c r="I83" i="52"/>
  <c r="H88" i="52"/>
  <c r="H91" i="52"/>
  <c r="F86" i="52"/>
  <c r="C125" i="52"/>
  <c r="I94" i="52"/>
  <c r="H101" i="52"/>
  <c r="F100" i="52"/>
  <c r="C98" i="52"/>
  <c r="I126" i="52"/>
  <c r="F46" i="51"/>
  <c r="F38" i="50"/>
  <c r="H16" i="52"/>
  <c r="I29" i="52"/>
  <c r="F23" i="52"/>
  <c r="C4" i="52"/>
  <c r="J4" i="52" s="1"/>
  <c r="AD4" i="52" s="1"/>
  <c r="H13" i="52"/>
  <c r="I11" i="52"/>
  <c r="I38" i="52"/>
  <c r="H42" i="52"/>
  <c r="F47" i="52"/>
  <c r="H48" i="52"/>
  <c r="H51" i="52"/>
  <c r="H56" i="52"/>
  <c r="C52" i="52"/>
  <c r="C58" i="52"/>
  <c r="C59" i="52"/>
  <c r="J59" i="52" s="1"/>
  <c r="AD59" i="52" s="1"/>
  <c r="C63" i="52"/>
  <c r="I60" i="52"/>
  <c r="H67" i="52"/>
  <c r="F69" i="52"/>
  <c r="C85" i="52"/>
  <c r="C87" i="52"/>
  <c r="J87" i="52" s="1"/>
  <c r="AD87" i="52" s="1"/>
  <c r="I91" i="52"/>
  <c r="H90" i="52"/>
  <c r="F89" i="52"/>
  <c r="C114" i="52"/>
  <c r="I101" i="52"/>
  <c r="H118" i="52"/>
  <c r="F13" i="51"/>
  <c r="F36" i="50"/>
  <c r="F4" i="50"/>
  <c r="F15" i="50"/>
  <c r="H36" i="52"/>
  <c r="C5" i="52"/>
  <c r="H4" i="52"/>
  <c r="C7" i="52"/>
  <c r="J7" i="52" s="1"/>
  <c r="AD7" i="52" s="1"/>
  <c r="H12" i="52"/>
  <c r="F44" i="52"/>
  <c r="I40" i="52"/>
  <c r="I47" i="52"/>
  <c r="F49" i="52"/>
  <c r="F55" i="52"/>
  <c r="F52" i="52"/>
  <c r="F58" i="52"/>
  <c r="F59" i="52"/>
  <c r="F63" i="52"/>
  <c r="C64" i="52"/>
  <c r="J64" i="52" s="1"/>
  <c r="AD64" i="52" s="1"/>
  <c r="I69" i="52"/>
  <c r="I70" i="52"/>
  <c r="H82" i="52"/>
  <c r="F87" i="52"/>
  <c r="C93" i="52"/>
  <c r="I89" i="52"/>
  <c r="H111" i="52"/>
  <c r="F114" i="52"/>
  <c r="F96" i="52"/>
  <c r="C103" i="52"/>
  <c r="I120" i="52"/>
  <c r="H115" i="52"/>
  <c r="F127" i="52"/>
  <c r="C132" i="52"/>
  <c r="C136" i="52"/>
  <c r="I134" i="52"/>
  <c r="H137" i="52"/>
  <c r="F141" i="52"/>
  <c r="C144" i="52"/>
  <c r="J144" i="52" s="1"/>
  <c r="AD144" i="52" s="1"/>
  <c r="I143" i="52"/>
  <c r="H140" i="52"/>
  <c r="F159" i="52"/>
  <c r="F18" i="51"/>
  <c r="F41" i="50"/>
  <c r="F12" i="50"/>
  <c r="H23" i="52"/>
  <c r="C15" i="52"/>
  <c r="C50" i="52"/>
  <c r="I62" i="52"/>
  <c r="H89" i="52"/>
  <c r="C99" i="52"/>
  <c r="C133" i="52"/>
  <c r="F134" i="52"/>
  <c r="I137" i="52"/>
  <c r="H142" i="52"/>
  <c r="C146" i="52"/>
  <c r="F149" i="52"/>
  <c r="H160" i="52"/>
  <c r="C155" i="52"/>
  <c r="C164" i="52"/>
  <c r="C162" i="52"/>
  <c r="C163" i="52"/>
  <c r="C95" i="52"/>
  <c r="F56" i="75"/>
  <c r="F122" i="75"/>
  <c r="F43" i="75"/>
  <c r="F91" i="75"/>
  <c r="F48" i="50"/>
  <c r="F19" i="50"/>
  <c r="C22" i="52"/>
  <c r="I15" i="52"/>
  <c r="I12" i="52"/>
  <c r="C43" i="52"/>
  <c r="I82" i="52"/>
  <c r="F84" i="52"/>
  <c r="C105" i="52"/>
  <c r="H114" i="52"/>
  <c r="F115" i="52"/>
  <c r="F135" i="52"/>
  <c r="H134" i="52"/>
  <c r="C139" i="52"/>
  <c r="H145" i="52"/>
  <c r="I142" i="52"/>
  <c r="H151" i="52"/>
  <c r="I160" i="52"/>
  <c r="F112" i="52"/>
  <c r="F121" i="52"/>
  <c r="F110" i="52"/>
  <c r="F122" i="52"/>
  <c r="F97" i="52"/>
  <c r="F113" i="75"/>
  <c r="F41" i="75"/>
  <c r="F110" i="75"/>
  <c r="F6" i="51"/>
  <c r="F53" i="50"/>
  <c r="C9" i="52"/>
  <c r="H50" i="52"/>
  <c r="H52" i="52"/>
  <c r="H63" i="52"/>
  <c r="F64" i="52"/>
  <c r="C83" i="52"/>
  <c r="I114" i="52"/>
  <c r="F99" i="52"/>
  <c r="F130" i="52"/>
  <c r="C138" i="52"/>
  <c r="J138" i="52" s="1"/>
  <c r="AD138" i="52" s="1"/>
  <c r="F152" i="52"/>
  <c r="H154" i="52"/>
  <c r="I145" i="52"/>
  <c r="H149" i="52"/>
  <c r="I151" i="52"/>
  <c r="C159" i="52"/>
  <c r="F163" i="52"/>
  <c r="H116" i="52"/>
  <c r="F34" i="75"/>
  <c r="F115" i="75"/>
  <c r="F38" i="75"/>
  <c r="F93" i="75"/>
  <c r="F94" i="75"/>
  <c r="C30" i="52"/>
  <c r="I13" i="52"/>
  <c r="C24" i="52"/>
  <c r="I42" i="52"/>
  <c r="I51" i="52"/>
  <c r="C65" i="52"/>
  <c r="J65" i="52" s="1"/>
  <c r="AD65" i="52" s="1"/>
  <c r="I90" i="52"/>
  <c r="F111" i="52"/>
  <c r="C96" i="52"/>
  <c r="H102" i="52"/>
  <c r="I115" i="52"/>
  <c r="H127" i="52"/>
  <c r="F133" i="52"/>
  <c r="H135" i="52"/>
  <c r="F139" i="52"/>
  <c r="I154" i="52"/>
  <c r="C150" i="52"/>
  <c r="H146" i="52"/>
  <c r="I149" i="52"/>
  <c r="C157" i="52"/>
  <c r="F155" i="52"/>
  <c r="F164" i="52"/>
  <c r="H95" i="52"/>
  <c r="H112" i="52"/>
  <c r="H121" i="52"/>
  <c r="H110" i="52"/>
  <c r="H122" i="52"/>
  <c r="I97" i="52"/>
  <c r="I116" i="52"/>
  <c r="F88" i="75"/>
  <c r="F86" i="75"/>
  <c r="F17" i="75"/>
  <c r="F4" i="52"/>
  <c r="C28" i="52"/>
  <c r="C41" i="52"/>
  <c r="J41" i="52" s="1"/>
  <c r="AD41" i="52" s="1"/>
  <c r="H69" i="52"/>
  <c r="F85" i="52"/>
  <c r="C92" i="52"/>
  <c r="I102" i="52"/>
  <c r="C119" i="52"/>
  <c r="H130" i="52"/>
  <c r="F138" i="52"/>
  <c r="I152" i="52"/>
  <c r="C147" i="52"/>
  <c r="H144" i="52"/>
  <c r="I146" i="52"/>
  <c r="C148" i="52"/>
  <c r="J148" i="52" s="1"/>
  <c r="AD148" i="52" s="1"/>
  <c r="H164" i="52"/>
  <c r="H162" i="52"/>
  <c r="I163" i="52"/>
  <c r="I95" i="52"/>
  <c r="I112" i="52"/>
  <c r="I121" i="52"/>
  <c r="I110" i="52"/>
  <c r="I122" i="52"/>
  <c r="C104" i="52"/>
  <c r="F23" i="75"/>
  <c r="F66" i="75"/>
  <c r="F120" i="75"/>
  <c r="F40" i="51"/>
  <c r="F7" i="50"/>
  <c r="F46" i="50"/>
  <c r="F30" i="52"/>
  <c r="C37" i="52"/>
  <c r="H41" i="52"/>
  <c r="F65" i="52"/>
  <c r="H85" i="52"/>
  <c r="I111" i="52"/>
  <c r="H133" i="52"/>
  <c r="I130" i="52"/>
  <c r="H139" i="52"/>
  <c r="C141" i="52"/>
  <c r="F150" i="52"/>
  <c r="I144" i="52"/>
  <c r="C140" i="52"/>
  <c r="H159" i="52"/>
  <c r="I155" i="52"/>
  <c r="I164" i="52"/>
  <c r="I162" i="52"/>
  <c r="C166" i="52"/>
  <c r="C109" i="52"/>
  <c r="C113" i="52"/>
  <c r="C124" i="52"/>
  <c r="J124" i="52" s="1"/>
  <c r="AD124" i="52" s="1"/>
  <c r="C117" i="52"/>
  <c r="F29" i="75"/>
  <c r="F8" i="75"/>
  <c r="F117" i="75"/>
  <c r="F33" i="50"/>
  <c r="F19" i="52"/>
  <c r="F28" i="52"/>
  <c r="I41" i="52"/>
  <c r="H49" i="52"/>
  <c r="H58" i="52"/>
  <c r="I85" i="52"/>
  <c r="F92" i="52"/>
  <c r="C108" i="52"/>
  <c r="H96" i="52"/>
  <c r="H129" i="52"/>
  <c r="I133" i="52"/>
  <c r="H138" i="52"/>
  <c r="I139" i="52"/>
  <c r="F147" i="52"/>
  <c r="H150" i="52"/>
  <c r="C143" i="52"/>
  <c r="J143" i="52" s="1"/>
  <c r="AD143" i="52" s="1"/>
  <c r="H157" i="52"/>
  <c r="C158" i="52"/>
  <c r="J158" i="52" s="1"/>
  <c r="AD158" i="52" s="1"/>
  <c r="C156" i="52"/>
  <c r="C161" i="52"/>
  <c r="F60" i="75"/>
  <c r="F103" i="75"/>
  <c r="F42" i="50"/>
  <c r="F36" i="52"/>
  <c r="C44" i="52"/>
  <c r="I67" i="52"/>
  <c r="F70" i="52"/>
  <c r="H86" i="52"/>
  <c r="I118" i="52"/>
  <c r="F120" i="52"/>
  <c r="F98" i="52"/>
  <c r="I129" i="52"/>
  <c r="C131" i="52"/>
  <c r="F132" i="52"/>
  <c r="H136" i="52"/>
  <c r="I138" i="52"/>
  <c r="C142" i="52"/>
  <c r="F148" i="52"/>
  <c r="I157" i="52"/>
  <c r="F117" i="52"/>
  <c r="F123" i="52"/>
  <c r="F30" i="75"/>
  <c r="F99" i="75"/>
  <c r="F5" i="51"/>
  <c r="I31" i="52"/>
  <c r="F17" i="52"/>
  <c r="H8" i="52"/>
  <c r="H47" i="52"/>
  <c r="C68" i="52"/>
  <c r="I86" i="52"/>
  <c r="F125" i="52"/>
  <c r="H98" i="52"/>
  <c r="C128" i="52"/>
  <c r="H132" i="52"/>
  <c r="I136" i="52"/>
  <c r="C137" i="52"/>
  <c r="I147" i="52"/>
  <c r="F140" i="52"/>
  <c r="I36" i="52"/>
  <c r="H17" i="52"/>
  <c r="F7" i="52"/>
  <c r="C46" i="52"/>
  <c r="J46" i="52" s="1"/>
  <c r="AD46" i="52" s="1"/>
  <c r="C71" i="52"/>
  <c r="J71" i="52" s="1"/>
  <c r="AD71" i="52" s="1"/>
  <c r="H125" i="52"/>
  <c r="F106" i="52"/>
  <c r="H120" i="52"/>
  <c r="I98" i="52"/>
  <c r="I132" i="52"/>
  <c r="C134" i="52"/>
  <c r="F153" i="52"/>
  <c r="H141" i="52"/>
  <c r="C145" i="52"/>
  <c r="J145" i="52" s="1"/>
  <c r="AD145" i="52" s="1"/>
  <c r="F143" i="52"/>
  <c r="C151" i="52"/>
  <c r="F158" i="52"/>
  <c r="F156" i="52"/>
  <c r="H124" i="52"/>
  <c r="I117" i="52"/>
  <c r="I123" i="52"/>
  <c r="I104" i="52"/>
  <c r="F106" i="75"/>
  <c r="F74" i="75"/>
  <c r="F109" i="75"/>
  <c r="H44" i="52"/>
  <c r="H87" i="52"/>
  <c r="F128" i="52"/>
  <c r="C154" i="52"/>
  <c r="F151" i="52"/>
  <c r="I161" i="52"/>
  <c r="F96" i="75"/>
  <c r="F19" i="75"/>
  <c r="F100" i="75"/>
  <c r="F61" i="75"/>
  <c r="F59" i="75"/>
  <c r="F112" i="75"/>
  <c r="F40" i="52"/>
  <c r="C84" i="52"/>
  <c r="F165" i="52"/>
  <c r="F124" i="52"/>
  <c r="F97" i="75"/>
  <c r="F26" i="75"/>
  <c r="I131" i="52"/>
  <c r="F160" i="52"/>
  <c r="H165" i="52"/>
  <c r="C110" i="52"/>
  <c r="F95" i="75"/>
  <c r="F12" i="75"/>
  <c r="F69" i="75"/>
  <c r="F63" i="75"/>
  <c r="F20" i="75"/>
  <c r="F78" i="75"/>
  <c r="I48" i="52"/>
  <c r="C130" i="52"/>
  <c r="J130" i="52" s="1"/>
  <c r="AD130" i="52" s="1"/>
  <c r="F145" i="52"/>
  <c r="I165" i="52"/>
  <c r="F72" i="75"/>
  <c r="F49" i="75"/>
  <c r="C6" i="52"/>
  <c r="H55" i="52"/>
  <c r="C94" i="52"/>
  <c r="C135" i="52"/>
  <c r="F142" i="52"/>
  <c r="F166" i="52"/>
  <c r="F119" i="75"/>
  <c r="F22" i="75"/>
  <c r="F114" i="75"/>
  <c r="F58" i="75"/>
  <c r="F27" i="75"/>
  <c r="F81" i="75"/>
  <c r="F6" i="75"/>
  <c r="I16" i="52"/>
  <c r="H166" i="52"/>
  <c r="C122" i="52"/>
  <c r="F71" i="75"/>
  <c r="H27" i="52"/>
  <c r="I59" i="52"/>
  <c r="H158" i="52"/>
  <c r="I166" i="52"/>
  <c r="F54" i="75"/>
  <c r="F47" i="75"/>
  <c r="F18" i="75"/>
  <c r="F111" i="75"/>
  <c r="F52" i="75"/>
  <c r="F15" i="75"/>
  <c r="I100" i="52"/>
  <c r="H143" i="52"/>
  <c r="F109" i="52"/>
  <c r="H123" i="52"/>
  <c r="F28" i="75"/>
  <c r="F9" i="75"/>
  <c r="I17" i="52"/>
  <c r="F68" i="52"/>
  <c r="C107" i="52"/>
  <c r="J107" i="52" s="1"/>
  <c r="AD107" i="52" s="1"/>
  <c r="F137" i="52"/>
  <c r="I140" i="52"/>
  <c r="H156" i="52"/>
  <c r="H109" i="52"/>
  <c r="C97" i="52"/>
  <c r="J97" i="52" s="1"/>
  <c r="AD97" i="52" s="1"/>
  <c r="F16" i="75"/>
  <c r="F67" i="75"/>
  <c r="F90" i="75"/>
  <c r="F121" i="75"/>
  <c r="H33" i="52"/>
  <c r="H62" i="52"/>
  <c r="I156" i="52"/>
  <c r="I109" i="52"/>
  <c r="H153" i="52"/>
  <c r="I148" i="52"/>
  <c r="F161" i="52"/>
  <c r="F113" i="52"/>
  <c r="H104" i="52"/>
  <c r="F77" i="75"/>
  <c r="F7" i="75"/>
  <c r="F57" i="75"/>
  <c r="F32" i="75"/>
  <c r="F44" i="75"/>
  <c r="F55" i="75"/>
  <c r="F48" i="75"/>
  <c r="C116" i="52"/>
  <c r="F80" i="75"/>
  <c r="F12" i="52"/>
  <c r="C127" i="52"/>
  <c r="I153" i="52"/>
  <c r="F36" i="75"/>
  <c r="H161" i="52"/>
  <c r="H113" i="52"/>
  <c r="F10" i="75"/>
  <c r="F53" i="75"/>
  <c r="F23" i="51"/>
  <c r="F36" i="51"/>
  <c r="F41" i="51"/>
  <c r="F43" i="51"/>
  <c r="J57" i="52"/>
  <c r="AD57" i="52" s="1"/>
  <c r="F5" i="75"/>
  <c r="J83" i="52"/>
  <c r="AD83" i="52" s="1"/>
  <c r="F14" i="52"/>
  <c r="H14" i="52"/>
  <c r="C14" i="52"/>
  <c r="I14" i="52"/>
  <c r="F50" i="50"/>
  <c r="E50" i="50"/>
  <c r="C50" i="50"/>
  <c r="J46" i="50"/>
  <c r="AD46" i="50" s="1"/>
  <c r="J36" i="50"/>
  <c r="AD36" i="50" s="1"/>
  <c r="J37" i="50"/>
  <c r="AD37" i="50" s="1"/>
  <c r="J19" i="50"/>
  <c r="AD19" i="50" s="1"/>
  <c r="J17" i="50"/>
  <c r="AD17" i="50" s="1"/>
  <c r="J75" i="52" l="1"/>
  <c r="AD75" i="52" s="1"/>
  <c r="AQ75" i="52" s="1"/>
  <c r="J72" i="52"/>
  <c r="AD72" i="52" s="1"/>
  <c r="AQ72" i="52" s="1"/>
  <c r="AR81" i="52"/>
  <c r="AQ81" i="52"/>
  <c r="AQ78" i="52"/>
  <c r="AR78" i="52"/>
  <c r="AQ77" i="52"/>
  <c r="AR77" i="52"/>
  <c r="AQ76" i="52"/>
  <c r="AR76" i="52"/>
  <c r="AR73" i="52"/>
  <c r="AQ73" i="52"/>
  <c r="AQ74" i="52"/>
  <c r="AR74" i="52"/>
  <c r="J16" i="50"/>
  <c r="AD16" i="50" s="1"/>
  <c r="AR16" i="50" s="1"/>
  <c r="J13" i="50"/>
  <c r="AD13" i="50" s="1"/>
  <c r="AR13" i="50" s="1"/>
  <c r="J12" i="50"/>
  <c r="AD12" i="50" s="1"/>
  <c r="AR12" i="50" s="1"/>
  <c r="J50" i="50"/>
  <c r="AD50" i="50" s="1"/>
  <c r="AR50" i="50" s="1"/>
  <c r="J31" i="52"/>
  <c r="AD31" i="52" s="1"/>
  <c r="AR31" i="52" s="1"/>
  <c r="J136" i="52"/>
  <c r="AD136" i="52" s="1"/>
  <c r="AQ136" i="52" s="1"/>
  <c r="J63" i="52"/>
  <c r="AD63" i="52" s="1"/>
  <c r="AR63" i="52" s="1"/>
  <c r="J26" i="52"/>
  <c r="AD26" i="52" s="1"/>
  <c r="J125" i="52"/>
  <c r="AD125" i="52" s="1"/>
  <c r="AR125" i="52" s="1"/>
  <c r="J55" i="52"/>
  <c r="AD55" i="52" s="1"/>
  <c r="AR55" i="52" s="1"/>
  <c r="J56" i="52"/>
  <c r="AD56" i="52" s="1"/>
  <c r="AR56" i="52" s="1"/>
  <c r="J103" i="52"/>
  <c r="AD103" i="52" s="1"/>
  <c r="AR103" i="52" s="1"/>
  <c r="J50" i="52"/>
  <c r="AD50" i="52" s="1"/>
  <c r="AR50" i="52" s="1"/>
  <c r="J114" i="52"/>
  <c r="AD114" i="52" s="1"/>
  <c r="AR114" i="52" s="1"/>
  <c r="J162" i="52"/>
  <c r="AD162" i="52" s="1"/>
  <c r="AQ162" i="52" s="1"/>
  <c r="J154" i="52"/>
  <c r="AD154" i="52" s="1"/>
  <c r="AR154" i="52" s="1"/>
  <c r="J140" i="52"/>
  <c r="AD140" i="52" s="1"/>
  <c r="AR140" i="52" s="1"/>
  <c r="J108" i="52"/>
  <c r="AD108" i="52" s="1"/>
  <c r="AR108" i="52" s="1"/>
  <c r="J23" i="52"/>
  <c r="AD23" i="52" s="1"/>
  <c r="AR23" i="52" s="1"/>
  <c r="J104" i="52"/>
  <c r="AD104" i="52" s="1"/>
  <c r="AR104" i="52" s="1"/>
  <c r="J151" i="52"/>
  <c r="AD151" i="52" s="1"/>
  <c r="AR151" i="52" s="1"/>
  <c r="J116" i="52"/>
  <c r="AD116" i="52" s="1"/>
  <c r="AR116" i="52" s="1"/>
  <c r="J142" i="52"/>
  <c r="AD142" i="52" s="1"/>
  <c r="AR142" i="52" s="1"/>
  <c r="J123" i="52"/>
  <c r="AD123" i="52" s="1"/>
  <c r="AR123" i="52" s="1"/>
  <c r="J100" i="52"/>
  <c r="AD100" i="52" s="1"/>
  <c r="AR100" i="52" s="1"/>
  <c r="J119" i="52"/>
  <c r="AD119" i="52" s="1"/>
  <c r="AR119" i="52" s="1"/>
  <c r="J36" i="52"/>
  <c r="AD36" i="52" s="1"/>
  <c r="AR36" i="52" s="1"/>
  <c r="J111" i="52"/>
  <c r="AD111" i="52" s="1"/>
  <c r="AR111" i="52" s="1"/>
  <c r="J16" i="52"/>
  <c r="AD16" i="52" s="1"/>
  <c r="J30" i="52"/>
  <c r="AD30" i="52" s="1"/>
  <c r="AR30" i="52" s="1"/>
  <c r="J147" i="52"/>
  <c r="AD147" i="52" s="1"/>
  <c r="AR147" i="52" s="1"/>
  <c r="J8" i="52"/>
  <c r="AD8" i="52" s="1"/>
  <c r="AQ8" i="52" s="1"/>
  <c r="J163" i="52"/>
  <c r="AD163" i="52" s="1"/>
  <c r="AR163" i="52" s="1"/>
  <c r="J122" i="52"/>
  <c r="AD122" i="52" s="1"/>
  <c r="AR122" i="52" s="1"/>
  <c r="J129" i="52"/>
  <c r="AD129" i="52" s="1"/>
  <c r="AR129" i="52" s="1"/>
  <c r="J165" i="52"/>
  <c r="AD165" i="52" s="1"/>
  <c r="AQ165" i="52" s="1"/>
  <c r="J44" i="52"/>
  <c r="AD44" i="52" s="1"/>
  <c r="AR44" i="52" s="1"/>
  <c r="J45" i="52"/>
  <c r="AD45" i="52" s="1"/>
  <c r="AR45" i="52" s="1"/>
  <c r="J146" i="52"/>
  <c r="AD146" i="52" s="1"/>
  <c r="AR146" i="52" s="1"/>
  <c r="J17" i="52"/>
  <c r="AD17" i="52" s="1"/>
  <c r="AQ17" i="52" s="1"/>
  <c r="J134" i="52"/>
  <c r="AD134" i="52" s="1"/>
  <c r="AR134" i="52" s="1"/>
  <c r="J33" i="52"/>
  <c r="AD33" i="52" s="1"/>
  <c r="AR33" i="52" s="1"/>
  <c r="J11" i="52"/>
  <c r="AD11" i="52" s="1"/>
  <c r="AR11" i="52" s="1"/>
  <c r="J47" i="52"/>
  <c r="AD47" i="52" s="1"/>
  <c r="AR47" i="52" s="1"/>
  <c r="J15" i="52"/>
  <c r="AD15" i="52" s="1"/>
  <c r="AR15" i="52" s="1"/>
  <c r="J137" i="52"/>
  <c r="AD137" i="52" s="1"/>
  <c r="AR137" i="52" s="1"/>
  <c r="J149" i="52"/>
  <c r="AD149" i="52" s="1"/>
  <c r="AR149" i="52" s="1"/>
  <c r="J32" i="52"/>
  <c r="AD32" i="52" s="1"/>
  <c r="AR32" i="52" s="1"/>
  <c r="J126" i="52"/>
  <c r="AD126" i="52" s="1"/>
  <c r="AR126" i="52" s="1"/>
  <c r="J89" i="52"/>
  <c r="AD89" i="52" s="1"/>
  <c r="AR89" i="52" s="1"/>
  <c r="J127" i="52"/>
  <c r="AD127" i="52" s="1"/>
  <c r="AR127" i="52" s="1"/>
  <c r="J115" i="52"/>
  <c r="AD115" i="52" s="1"/>
  <c r="AR115" i="52" s="1"/>
  <c r="J139" i="52"/>
  <c r="AD139" i="52" s="1"/>
  <c r="AQ139" i="52" s="1"/>
  <c r="J98" i="52"/>
  <c r="AD98" i="52" s="1"/>
  <c r="AQ98" i="52" s="1"/>
  <c r="J133" i="52"/>
  <c r="AD133" i="52" s="1"/>
  <c r="AR133" i="52" s="1"/>
  <c r="J13" i="52"/>
  <c r="AD13" i="52" s="1"/>
  <c r="AR13" i="52" s="1"/>
  <c r="J6" i="52"/>
  <c r="AD6" i="52" s="1"/>
  <c r="AR6" i="52" s="1"/>
  <c r="J121" i="52"/>
  <c r="AD121" i="52" s="1"/>
  <c r="AQ121" i="52" s="1"/>
  <c r="J131" i="52"/>
  <c r="AD131" i="52" s="1"/>
  <c r="AR131" i="52" s="1"/>
  <c r="J20" i="52"/>
  <c r="AD20" i="52" s="1"/>
  <c r="AR20" i="52" s="1"/>
  <c r="J141" i="52"/>
  <c r="AD141" i="52" s="1"/>
  <c r="J5" i="52"/>
  <c r="AD5" i="52" s="1"/>
  <c r="AQ5" i="52" s="1"/>
  <c r="J19" i="52"/>
  <c r="AD19" i="52" s="1"/>
  <c r="AQ19" i="52" s="1"/>
  <c r="J10" i="52"/>
  <c r="AD10" i="52" s="1"/>
  <c r="AQ10" i="52" s="1"/>
  <c r="J91" i="52"/>
  <c r="AD91" i="52" s="1"/>
  <c r="AR91" i="52" s="1"/>
  <c r="J132" i="52"/>
  <c r="AD132" i="52" s="1"/>
  <c r="AR132" i="52" s="1"/>
  <c r="J157" i="52"/>
  <c r="AD157" i="52" s="1"/>
  <c r="AQ157" i="52" s="1"/>
  <c r="J135" i="52"/>
  <c r="AD135" i="52" s="1"/>
  <c r="AR135" i="52" s="1"/>
  <c r="J84" i="52"/>
  <c r="AD84" i="52" s="1"/>
  <c r="AR84" i="52" s="1"/>
  <c r="J118" i="52"/>
  <c r="AD118" i="52" s="1"/>
  <c r="AR118" i="52" s="1"/>
  <c r="J22" i="52"/>
  <c r="AD22" i="52" s="1"/>
  <c r="AR22" i="52" s="1"/>
  <c r="J48" i="52"/>
  <c r="AD48" i="52" s="1"/>
  <c r="AQ48" i="52" s="1"/>
  <c r="J106" i="52"/>
  <c r="AD106" i="52" s="1"/>
  <c r="AR106" i="52" s="1"/>
  <c r="J14" i="52"/>
  <c r="AD14" i="52" s="1"/>
  <c r="AQ14" i="52" s="1"/>
  <c r="J156" i="52"/>
  <c r="AD156" i="52" s="1"/>
  <c r="AQ156" i="52" s="1"/>
  <c r="J66" i="52"/>
  <c r="AD66" i="52" s="1"/>
  <c r="AR66" i="52" s="1"/>
  <c r="J105" i="52"/>
  <c r="AD105" i="52" s="1"/>
  <c r="AR105" i="52" s="1"/>
  <c r="J51" i="52"/>
  <c r="AD51" i="52" s="1"/>
  <c r="AR51" i="52" s="1"/>
  <c r="J54" i="52"/>
  <c r="AD54" i="52" s="1"/>
  <c r="AQ54" i="52" s="1"/>
  <c r="J12" i="52"/>
  <c r="AD12" i="52" s="1"/>
  <c r="AR12" i="52" s="1"/>
  <c r="J94" i="52"/>
  <c r="AD94" i="52" s="1"/>
  <c r="AR94" i="52" s="1"/>
  <c r="J28" i="52"/>
  <c r="AD28" i="52" s="1"/>
  <c r="AR28" i="52" s="1"/>
  <c r="J37" i="52"/>
  <c r="AD37" i="52" s="1"/>
  <c r="AR37" i="52" s="1"/>
  <c r="J113" i="52"/>
  <c r="AD113" i="52" s="1"/>
  <c r="AR113" i="52" s="1"/>
  <c r="J155" i="52"/>
  <c r="AD155" i="52" s="1"/>
  <c r="AR155" i="52" s="1"/>
  <c r="J150" i="52"/>
  <c r="AD150" i="52" s="1"/>
  <c r="AR150" i="52" s="1"/>
  <c r="J68" i="52"/>
  <c r="AD68" i="52" s="1"/>
  <c r="AQ68" i="52" s="1"/>
  <c r="J62" i="52"/>
  <c r="AD62" i="52" s="1"/>
  <c r="AR62" i="52" s="1"/>
  <c r="J102" i="52"/>
  <c r="AD102" i="52" s="1"/>
  <c r="AR102" i="52" s="1"/>
  <c r="J29" i="52"/>
  <c r="AD29" i="52" s="1"/>
  <c r="AR29" i="52" s="1"/>
  <c r="J39" i="52"/>
  <c r="AD39" i="52" s="1"/>
  <c r="AQ39" i="52" s="1"/>
  <c r="J109" i="52"/>
  <c r="AD109" i="52" s="1"/>
  <c r="AQ109" i="52" s="1"/>
  <c r="J38" i="52"/>
  <c r="AD38" i="52" s="1"/>
  <c r="AR38" i="52" s="1"/>
  <c r="J70" i="52"/>
  <c r="AD70" i="52" s="1"/>
  <c r="AR70" i="52" s="1"/>
  <c r="J52" i="52"/>
  <c r="AD52" i="52" s="1"/>
  <c r="AR52" i="52" s="1"/>
  <c r="J120" i="52"/>
  <c r="AD120" i="52" s="1"/>
  <c r="AR120" i="52" s="1"/>
  <c r="J93" i="52"/>
  <c r="AD93" i="52" s="1"/>
  <c r="AR93" i="52" s="1"/>
  <c r="J40" i="52"/>
  <c r="AD40" i="52" s="1"/>
  <c r="AQ40" i="52" s="1"/>
  <c r="J24" i="52"/>
  <c r="AD24" i="52" s="1"/>
  <c r="AQ24" i="52" s="1"/>
  <c r="J43" i="52"/>
  <c r="AD43" i="52" s="1"/>
  <c r="AQ43" i="52" s="1"/>
  <c r="J42" i="52"/>
  <c r="AD42" i="52" s="1"/>
  <c r="AQ42" i="52" s="1"/>
  <c r="J117" i="52"/>
  <c r="AD117" i="52" s="1"/>
  <c r="AR117" i="52" s="1"/>
  <c r="J34" i="52"/>
  <c r="AD34" i="52" s="1"/>
  <c r="AR34" i="52" s="1"/>
  <c r="J90" i="52"/>
  <c r="AD90" i="52" s="1"/>
  <c r="AQ90" i="52" s="1"/>
  <c r="J164" i="52"/>
  <c r="AD164" i="52" s="1"/>
  <c r="AQ164" i="52" s="1"/>
  <c r="J35" i="52"/>
  <c r="AD35" i="52" s="1"/>
  <c r="AR35" i="52" s="1"/>
  <c r="J58" i="52"/>
  <c r="AD58" i="52" s="1"/>
  <c r="AR58" i="52" s="1"/>
  <c r="J9" i="52"/>
  <c r="AD9" i="52" s="1"/>
  <c r="AR9" i="52" s="1"/>
  <c r="J159" i="52"/>
  <c r="AD159" i="52" s="1"/>
  <c r="AR159" i="52" s="1"/>
  <c r="J18" i="52"/>
  <c r="AD18" i="52" s="1"/>
  <c r="AQ18" i="52" s="1"/>
  <c r="J85" i="52"/>
  <c r="AD85" i="52" s="1"/>
  <c r="AQ85" i="52" s="1"/>
  <c r="J21" i="52"/>
  <c r="AD21" i="52" s="1"/>
  <c r="AR21" i="52" s="1"/>
  <c r="J101" i="52"/>
  <c r="AD101" i="52" s="1"/>
  <c r="AR101" i="52" s="1"/>
  <c r="J49" i="52"/>
  <c r="AD49" i="52" s="1"/>
  <c r="AR49" i="52" s="1"/>
  <c r="J161" i="52"/>
  <c r="AD161" i="52" s="1"/>
  <c r="AR161" i="52" s="1"/>
  <c r="J96" i="52"/>
  <c r="AD96" i="52" s="1"/>
  <c r="AR96" i="52" s="1"/>
  <c r="J128" i="52"/>
  <c r="AD128" i="52" s="1"/>
  <c r="AQ128" i="52" s="1"/>
  <c r="J25" i="52"/>
  <c r="AD25" i="52" s="1"/>
  <c r="AR25" i="52" s="1"/>
  <c r="J92" i="52"/>
  <c r="AD92" i="52" s="1"/>
  <c r="AR92" i="52" s="1"/>
  <c r="J99" i="52"/>
  <c r="AD99" i="52" s="1"/>
  <c r="AR99" i="52" s="1"/>
  <c r="AR138" i="52"/>
  <c r="AR87" i="52"/>
  <c r="AQ87" i="52"/>
  <c r="AR65" i="52"/>
  <c r="AQ65" i="52"/>
  <c r="AR71" i="52"/>
  <c r="AQ71" i="52"/>
  <c r="AR83" i="52"/>
  <c r="AQ83" i="52"/>
  <c r="AR57" i="52"/>
  <c r="AQ57" i="52"/>
  <c r="AR59" i="52"/>
  <c r="AQ59" i="52"/>
  <c r="AQ86" i="52"/>
  <c r="AR86" i="52"/>
  <c r="AR67" i="52"/>
  <c r="AQ67" i="52"/>
  <c r="AR82" i="52"/>
  <c r="AR124" i="52"/>
  <c r="AR19" i="50"/>
  <c r="AR17" i="50"/>
  <c r="AR36" i="50"/>
  <c r="AR46" i="50"/>
  <c r="AR37" i="50"/>
  <c r="AR61" i="52"/>
  <c r="AR112" i="52"/>
  <c r="AR145" i="52"/>
  <c r="AR144" i="52"/>
  <c r="AR27" i="52"/>
  <c r="AR7" i="52"/>
  <c r="AR97" i="52"/>
  <c r="AR160" i="52"/>
  <c r="AR60" i="52"/>
  <c r="AR41" i="52"/>
  <c r="AR152" i="52"/>
  <c r="AR158" i="52"/>
  <c r="AR64" i="52"/>
  <c r="AR148" i="52"/>
  <c r="AR88" i="52"/>
  <c r="AR153" i="52"/>
  <c r="AR107" i="52"/>
  <c r="AR143" i="52"/>
  <c r="AR53" i="52"/>
  <c r="AF4" i="52"/>
  <c r="AR75" i="52" l="1"/>
  <c r="AQ26" i="52"/>
  <c r="AR26" i="52"/>
  <c r="AR72" i="52"/>
  <c r="AQ84" i="52"/>
  <c r="AQ132" i="52"/>
  <c r="AQ140" i="52"/>
  <c r="AQ114" i="52"/>
  <c r="AQ11" i="52"/>
  <c r="AQ113" i="52"/>
  <c r="AQ122" i="52"/>
  <c r="AQ123" i="52"/>
  <c r="AQ116" i="52"/>
  <c r="AQ118" i="52"/>
  <c r="AQ6" i="52"/>
  <c r="AQ137" i="52"/>
  <c r="AR136" i="52"/>
  <c r="AQ100" i="52"/>
  <c r="AQ129" i="52"/>
  <c r="AQ89" i="52"/>
  <c r="AQ12" i="52"/>
  <c r="AQ25" i="52"/>
  <c r="AQ104" i="52"/>
  <c r="AQ127" i="52"/>
  <c r="AQ142" i="52"/>
  <c r="AQ149" i="52"/>
  <c r="AR19" i="52"/>
  <c r="AR5" i="52"/>
  <c r="AQ106" i="52"/>
  <c r="AQ146" i="52"/>
  <c r="AQ13" i="52"/>
  <c r="AQ134" i="52"/>
  <c r="AR162" i="52"/>
  <c r="AQ147" i="52"/>
  <c r="AQ62" i="52"/>
  <c r="AQ37" i="52"/>
  <c r="AQ66" i="52"/>
  <c r="AQ135" i="52"/>
  <c r="AQ105" i="52"/>
  <c r="AR39" i="52"/>
  <c r="AQ9" i="52"/>
  <c r="AQ115" i="52"/>
  <c r="AR85" i="52"/>
  <c r="AR139" i="52"/>
  <c r="AQ21" i="52"/>
  <c r="AQ96" i="52"/>
  <c r="AQ120" i="52"/>
  <c r="AQ161" i="52"/>
  <c r="AR42" i="52"/>
  <c r="AQ44" i="52"/>
  <c r="AQ101" i="52"/>
  <c r="AQ93" i="52"/>
  <c r="AR10" i="52"/>
  <c r="AR98" i="52"/>
  <c r="AR165" i="52"/>
  <c r="AQ111" i="52"/>
  <c r="AQ99" i="52"/>
  <c r="AQ108" i="52"/>
  <c r="AQ92" i="52"/>
  <c r="AQ117" i="52"/>
  <c r="AQ155" i="52"/>
  <c r="AQ36" i="52"/>
  <c r="AQ150" i="52"/>
  <c r="AR17" i="52"/>
  <c r="AQ91" i="52"/>
  <c r="AQ15" i="52"/>
  <c r="AR164" i="52"/>
  <c r="AQ70" i="52"/>
  <c r="AR156" i="52"/>
  <c r="AR68" i="52"/>
  <c r="AR14" i="52"/>
  <c r="AR43" i="52"/>
  <c r="AR24" i="52"/>
  <c r="AR157" i="52"/>
  <c r="AR128" i="52"/>
  <c r="AR18" i="52"/>
  <c r="AR90" i="52"/>
  <c r="AR54" i="52"/>
  <c r="AR8" i="52"/>
  <c r="AQ131" i="52"/>
  <c r="AQ119" i="52"/>
  <c r="AQ45" i="52"/>
  <c r="AR109" i="52"/>
  <c r="AR48" i="52"/>
  <c r="AR121" i="52"/>
  <c r="AR40" i="52"/>
  <c r="AQ20" i="52"/>
  <c r="AQ47" i="52"/>
  <c r="AQ102" i="52"/>
  <c r="AQ94" i="52"/>
  <c r="AQ154" i="52"/>
  <c r="AQ31" i="52"/>
  <c r="AQ126" i="52"/>
  <c r="AQ125" i="52"/>
  <c r="AQ138" i="52"/>
  <c r="AQ143" i="52"/>
  <c r="AQ144" i="52"/>
  <c r="AQ41" i="52"/>
  <c r="AQ82" i="52"/>
  <c r="AQ97" i="52"/>
  <c r="AR16" i="52"/>
  <c r="AR141" i="52"/>
  <c r="AR130" i="52"/>
  <c r="AR46" i="52"/>
  <c r="AR69" i="52"/>
  <c r="AR4" i="52"/>
  <c r="AQ75" i="75"/>
  <c r="AQ63" i="52"/>
  <c r="AQ35" i="52"/>
  <c r="AQ30" i="52"/>
  <c r="AQ28" i="52"/>
  <c r="AQ32" i="52"/>
  <c r="AQ58" i="52"/>
  <c r="AQ38" i="52"/>
  <c r="AQ29" i="52"/>
  <c r="AQ4" i="52"/>
  <c r="AQ7" i="52"/>
  <c r="AQ49" i="52"/>
  <c r="AQ152" i="52"/>
  <c r="AQ61" i="52"/>
  <c r="AQ153" i="52"/>
  <c r="AQ145" i="52"/>
  <c r="AQ52" i="52"/>
  <c r="AQ107" i="52"/>
  <c r="AQ148" i="52"/>
  <c r="AQ55" i="52"/>
  <c r="AQ64" i="52"/>
  <c r="AQ124" i="52"/>
  <c r="AQ88" i="52"/>
  <c r="AQ112" i="52"/>
  <c r="AQ103" i="52"/>
  <c r="AQ23" i="52"/>
  <c r="AQ22" i="52"/>
  <c r="AQ159" i="52"/>
  <c r="AQ151" i="52"/>
  <c r="AQ158" i="52"/>
  <c r="AQ17" i="50"/>
  <c r="AQ37" i="50"/>
  <c r="AQ36" i="50"/>
  <c r="AQ13" i="50"/>
  <c r="AQ50" i="50"/>
  <c r="AQ12" i="50"/>
  <c r="AQ19" i="50"/>
  <c r="AQ16" i="50"/>
  <c r="AQ46" i="50"/>
  <c r="AQ46" i="52" l="1"/>
  <c r="AQ16" i="52"/>
  <c r="AQ69" i="52"/>
  <c r="AQ130" i="52"/>
  <c r="AQ141" i="52"/>
  <c r="AQ60" i="52"/>
  <c r="AQ53" i="52"/>
  <c r="AQ163" i="52"/>
  <c r="AQ27" i="52"/>
  <c r="AQ51" i="52"/>
  <c r="AQ160" i="52"/>
  <c r="AQ50" i="52"/>
  <c r="AQ34" i="52"/>
  <c r="AQ56" i="52"/>
  <c r="AQ33" i="52"/>
  <c r="AQ133" i="52"/>
  <c r="Z2" i="75"/>
  <c r="AT110" i="52" l="1"/>
  <c r="J43" i="50"/>
  <c r="AD43" i="50" s="1"/>
  <c r="J45" i="50"/>
  <c r="AD45" i="50" s="1"/>
  <c r="J44" i="50"/>
  <c r="AD44" i="50" s="1"/>
  <c r="J40" i="50"/>
  <c r="AD40" i="50" s="1"/>
  <c r="J20" i="50"/>
  <c r="AD20" i="50" s="1"/>
  <c r="J53" i="50"/>
  <c r="AD53" i="50" s="1"/>
  <c r="J14" i="50"/>
  <c r="AD14" i="50" s="1"/>
  <c r="J51" i="50"/>
  <c r="AD51" i="50" s="1"/>
  <c r="J27" i="50"/>
  <c r="AD27" i="50" s="1"/>
  <c r="J35" i="50"/>
  <c r="AD35" i="50" s="1"/>
  <c r="J24" i="50"/>
  <c r="AD24" i="50" s="1"/>
  <c r="J110" i="52"/>
  <c r="AD110" i="52" s="1"/>
  <c r="AR14" i="50" l="1"/>
  <c r="AR53" i="50"/>
  <c r="AR44" i="50"/>
  <c r="AR40" i="50"/>
  <c r="AR27" i="50"/>
  <c r="AR43" i="50"/>
  <c r="AR51" i="50"/>
  <c r="AR24" i="50"/>
  <c r="AR35" i="50"/>
  <c r="AR20" i="50"/>
  <c r="AR45" i="50"/>
  <c r="AR110" i="52"/>
  <c r="AQ110" i="52" l="1"/>
  <c r="AQ40" i="50" l="1"/>
  <c r="AQ43" i="50"/>
  <c r="AQ27" i="50"/>
  <c r="AQ53" i="50"/>
  <c r="AQ20" i="50"/>
  <c r="AQ44" i="50"/>
  <c r="AQ35" i="50"/>
  <c r="AQ14" i="50"/>
  <c r="AQ45" i="50"/>
  <c r="AQ24" i="50"/>
  <c r="AQ51" i="50"/>
  <c r="V69" i="49" l="1"/>
  <c r="V67" i="49"/>
  <c r="V49" i="49"/>
  <c r="V70" i="49"/>
  <c r="V48" i="49"/>
  <c r="U16" i="44"/>
  <c r="G26" i="46"/>
  <c r="AT166" i="52"/>
  <c r="AT95" i="52"/>
  <c r="J95" i="52"/>
  <c r="AD95" i="52" s="1"/>
  <c r="J166" i="52" l="1"/>
  <c r="AD166" i="52" s="1"/>
  <c r="AR166" i="52" s="1"/>
  <c r="AR95" i="52"/>
  <c r="AQ166" i="52" l="1"/>
  <c r="AQ95" i="52"/>
  <c r="J34" i="50" l="1"/>
  <c r="AD34" i="50" s="1"/>
  <c r="J4" i="50"/>
  <c r="AD4" i="50" s="1"/>
  <c r="AR34" i="50" l="1"/>
  <c r="AR4" i="50"/>
  <c r="AQ6" i="50"/>
  <c r="T27" i="49" l="1"/>
  <c r="T70" i="49"/>
  <c r="T69" i="49"/>
  <c r="T48" i="49"/>
  <c r="T60" i="49"/>
  <c r="T3" i="49"/>
  <c r="T63" i="49"/>
  <c r="T24" i="49"/>
  <c r="T32" i="49"/>
  <c r="T49" i="49"/>
  <c r="T67" i="49"/>
  <c r="T66" i="49"/>
  <c r="T52" i="49"/>
  <c r="T39" i="49"/>
  <c r="T55" i="49"/>
  <c r="T50" i="49"/>
  <c r="T54" i="49"/>
  <c r="T28" i="49"/>
  <c r="T47" i="49"/>
  <c r="T53" i="49"/>
  <c r="T68" i="49"/>
  <c r="T6" i="49"/>
  <c r="T4" i="49"/>
  <c r="T5" i="49"/>
  <c r="E17" i="46"/>
  <c r="E43" i="46"/>
  <c r="S61" i="44"/>
  <c r="E78" i="46"/>
  <c r="E95" i="46"/>
  <c r="E65" i="46"/>
  <c r="E59" i="46"/>
  <c r="S60" i="44"/>
  <c r="E100" i="46"/>
  <c r="S13" i="44"/>
  <c r="E57" i="46"/>
  <c r="E30" i="46"/>
  <c r="S46" i="44"/>
  <c r="S31" i="44"/>
  <c r="S75" i="44"/>
  <c r="E32" i="46"/>
  <c r="E90" i="46"/>
  <c r="S41" i="44"/>
  <c r="E28" i="46"/>
  <c r="S10" i="44"/>
  <c r="E8" i="46"/>
  <c r="S45" i="44"/>
  <c r="E81" i="46"/>
  <c r="S68" i="44"/>
  <c r="E24" i="46"/>
  <c r="E58" i="46"/>
  <c r="S3" i="44"/>
  <c r="E64" i="46"/>
  <c r="E93" i="46"/>
  <c r="S47" i="44"/>
  <c r="E72" i="46"/>
  <c r="E7" i="46"/>
  <c r="E49" i="46"/>
  <c r="S70" i="44"/>
  <c r="S38" i="44"/>
  <c r="E111" i="46"/>
  <c r="E37" i="46"/>
  <c r="E36" i="46"/>
  <c r="E74" i="46"/>
  <c r="S67" i="44"/>
  <c r="E83" i="46"/>
  <c r="S11" i="44"/>
  <c r="S28" i="44"/>
  <c r="S57" i="44"/>
  <c r="E82" i="46"/>
  <c r="S49" i="44"/>
  <c r="S7" i="44"/>
  <c r="E12" i="46"/>
  <c r="E42" i="46"/>
  <c r="S52" i="44"/>
  <c r="E9" i="46"/>
  <c r="S24" i="44"/>
  <c r="E56" i="46"/>
  <c r="S37" i="44"/>
  <c r="E62" i="46"/>
  <c r="S53" i="44"/>
  <c r="S15" i="44"/>
  <c r="S69" i="44"/>
  <c r="E108" i="46"/>
  <c r="E76" i="46"/>
  <c r="E91" i="46"/>
  <c r="E21" i="46"/>
  <c r="S16" i="44"/>
  <c r="E99" i="46"/>
  <c r="E33" i="46"/>
  <c r="E31" i="46"/>
  <c r="E94" i="46"/>
  <c r="E48" i="46"/>
  <c r="S5" i="44"/>
  <c r="S17" i="44"/>
  <c r="S56" i="44"/>
  <c r="S76" i="44"/>
  <c r="E102" i="46"/>
  <c r="E86" i="46"/>
  <c r="E45" i="46"/>
  <c r="S35" i="44"/>
  <c r="E38" i="46"/>
  <c r="S55" i="44"/>
  <c r="E88" i="46"/>
  <c r="S54" i="44"/>
  <c r="E54" i="46"/>
  <c r="S58" i="44"/>
  <c r="E52" i="46"/>
  <c r="E26" i="46"/>
  <c r="E70" i="46"/>
  <c r="S39" i="44"/>
  <c r="E61" i="46"/>
  <c r="S30" i="44"/>
  <c r="E63" i="46"/>
  <c r="S73" i="44"/>
  <c r="E53" i="46"/>
  <c r="S48" i="44"/>
  <c r="E104" i="46"/>
  <c r="E34" i="46"/>
  <c r="E44" i="46"/>
  <c r="S12" i="44"/>
  <c r="E14" i="46"/>
  <c r="E69" i="46"/>
  <c r="S63" i="44"/>
  <c r="E11" i="46"/>
  <c r="S18" i="44"/>
  <c r="S36" i="44"/>
  <c r="E106" i="46"/>
  <c r="E107" i="46"/>
  <c r="E3" i="46"/>
  <c r="E79" i="46"/>
  <c r="E84" i="46"/>
  <c r="E103" i="46"/>
  <c r="E10" i="46"/>
  <c r="E75" i="46"/>
  <c r="S72" i="44"/>
  <c r="E51" i="46"/>
  <c r="E4" i="46"/>
  <c r="S27" i="44"/>
  <c r="E29" i="46"/>
  <c r="E77" i="46"/>
  <c r="S44" i="44"/>
  <c r="E16" i="46"/>
  <c r="S34" i="44"/>
  <c r="E109" i="46"/>
  <c r="E71" i="46"/>
  <c r="E98" i="46"/>
  <c r="E68" i="46"/>
  <c r="S43" i="44"/>
  <c r="E39" i="46"/>
  <c r="E15" i="46"/>
  <c r="E46" i="46"/>
  <c r="S29" i="44"/>
  <c r="E97" i="46"/>
  <c r="S6" i="44"/>
  <c r="S51" i="44"/>
  <c r="E18" i="46"/>
  <c r="S71" i="44"/>
  <c r="S19" i="44"/>
  <c r="E5" i="46"/>
  <c r="S62" i="44"/>
  <c r="S74" i="44"/>
  <c r="S26" i="44"/>
  <c r="S9" i="44"/>
  <c r="S22" i="44"/>
  <c r="S21" i="44"/>
  <c r="E85" i="46"/>
  <c r="E101" i="46"/>
  <c r="E47" i="46"/>
  <c r="E40" i="46"/>
  <c r="S40" i="44"/>
  <c r="S20" i="44"/>
  <c r="E19" i="46"/>
  <c r="S59" i="44"/>
  <c r="E67" i="46"/>
  <c r="E89" i="46"/>
  <c r="S14" i="44"/>
  <c r="S66" i="44"/>
  <c r="E87" i="46"/>
  <c r="E13" i="46"/>
  <c r="E96" i="46"/>
  <c r="S78" i="44"/>
  <c r="E105" i="46"/>
  <c r="E27" i="46"/>
  <c r="E66" i="46"/>
  <c r="S33" i="44"/>
  <c r="E35" i="46"/>
  <c r="E55" i="46"/>
  <c r="E41" i="46"/>
  <c r="S23" i="44"/>
  <c r="E50" i="46"/>
  <c r="S77" i="44"/>
  <c r="E60" i="46"/>
  <c r="S80" i="44"/>
  <c r="S65" i="44"/>
  <c r="S4" i="44"/>
  <c r="E73" i="46"/>
  <c r="E25" i="46"/>
  <c r="E20" i="46"/>
  <c r="S25" i="44"/>
  <c r="E110" i="46"/>
  <c r="S79" i="44"/>
  <c r="S32" i="44"/>
  <c r="E22" i="46"/>
  <c r="E6" i="46"/>
  <c r="E23" i="46"/>
  <c r="S50" i="44"/>
  <c r="E92" i="46"/>
  <c r="S64" i="44"/>
  <c r="E80" i="46"/>
  <c r="S8" i="44"/>
  <c r="S42" i="44"/>
  <c r="T77" i="49"/>
  <c r="AQ34" i="50"/>
  <c r="J29" i="50"/>
  <c r="AD29" i="50" s="1"/>
  <c r="J30" i="50"/>
  <c r="AD30" i="50" s="1"/>
  <c r="J22" i="50"/>
  <c r="AD22" i="50" s="1"/>
  <c r="J23" i="50"/>
  <c r="AD23" i="50" s="1"/>
  <c r="J21" i="50"/>
  <c r="AD21" i="50" s="1"/>
  <c r="J25" i="50"/>
  <c r="AD25" i="50" s="1"/>
  <c r="J7" i="50"/>
  <c r="AD7" i="50" s="1"/>
  <c r="J49" i="50"/>
  <c r="AD49" i="50" s="1"/>
  <c r="J15" i="50"/>
  <c r="AD15" i="50" s="1"/>
  <c r="J9" i="50"/>
  <c r="AD9" i="50" s="1"/>
  <c r="J42" i="50"/>
  <c r="AD42" i="50" s="1"/>
  <c r="J48" i="50"/>
  <c r="AD48" i="50" s="1"/>
  <c r="J38" i="50"/>
  <c r="AD38" i="50" s="1"/>
  <c r="J11" i="50"/>
  <c r="AD11" i="50" s="1"/>
  <c r="J32" i="50"/>
  <c r="AD32" i="50" s="1"/>
  <c r="J5" i="50"/>
  <c r="AD5" i="50" s="1"/>
  <c r="J18" i="50"/>
  <c r="AD18" i="50" s="1"/>
  <c r="J47" i="50"/>
  <c r="AD47" i="50" s="1"/>
  <c r="J31" i="50"/>
  <c r="AD31" i="50" s="1"/>
  <c r="J10" i="50"/>
  <c r="AD10" i="50" s="1"/>
  <c r="J52" i="50"/>
  <c r="AD52" i="50" s="1"/>
  <c r="J41" i="50"/>
  <c r="AD41" i="50" s="1"/>
  <c r="J33" i="50"/>
  <c r="AD33" i="50" s="1"/>
  <c r="AR7" i="50" l="1"/>
  <c r="AR47" i="50"/>
  <c r="AR42" i="50"/>
  <c r="AR5" i="50"/>
  <c r="AR30" i="50"/>
  <c r="AR38" i="50"/>
  <c r="AR48" i="50"/>
  <c r="AR21" i="50"/>
  <c r="AR29" i="50"/>
  <c r="AR23" i="50"/>
  <c r="AR18" i="50"/>
  <c r="AR31" i="50"/>
  <c r="AR10" i="50"/>
  <c r="AR15" i="50"/>
  <c r="AR25" i="50"/>
  <c r="AR41" i="50"/>
  <c r="AR32" i="50"/>
  <c r="AR49" i="50"/>
  <c r="AR33" i="50"/>
  <c r="AR52" i="50"/>
  <c r="AR11" i="50"/>
  <c r="AR22" i="50"/>
  <c r="AR9" i="50"/>
  <c r="AQ4" i="50"/>
  <c r="AQ30" i="50" l="1"/>
  <c r="AQ18" i="50"/>
  <c r="AQ10" i="50"/>
  <c r="AQ32" i="50"/>
  <c r="AQ47" i="50"/>
  <c r="AQ25" i="50"/>
  <c r="AQ5" i="50" l="1"/>
  <c r="AQ29" i="50"/>
  <c r="AQ15" i="50"/>
  <c r="AQ33" i="50"/>
  <c r="AQ52" i="50"/>
  <c r="AQ48" i="50"/>
  <c r="AQ11" i="50"/>
  <c r="AQ9" i="50"/>
  <c r="AQ23" i="50"/>
  <c r="AQ21" i="50"/>
  <c r="AQ38" i="50"/>
  <c r="AQ7" i="50"/>
  <c r="AQ41" i="50"/>
  <c r="AQ49" i="50"/>
  <c r="AQ22" i="50"/>
  <c r="AQ31" i="50"/>
  <c r="AQ42" i="50"/>
  <c r="AD1" i="51" l="1"/>
  <c r="F51" i="46"/>
  <c r="F60" i="46" l="1"/>
  <c r="T5" i="44"/>
  <c r="F96" i="46"/>
  <c r="T51" i="44"/>
  <c r="T75" i="44"/>
  <c r="T25" i="44"/>
  <c r="T42" i="44"/>
  <c r="F58" i="46"/>
  <c r="F109" i="46"/>
  <c r="U70" i="49"/>
  <c r="T10" i="44"/>
  <c r="F40" i="46"/>
  <c r="F43" i="46"/>
  <c r="F23" i="46"/>
  <c r="T67" i="44"/>
  <c r="F46" i="46"/>
  <c r="AJ26" i="50"/>
  <c r="T70" i="44"/>
  <c r="T40" i="44"/>
  <c r="F78" i="46"/>
  <c r="F48" i="46"/>
  <c r="F36" i="46"/>
  <c r="F20" i="46"/>
  <c r="T77" i="44"/>
  <c r="T9" i="44"/>
  <c r="AE26" i="50"/>
  <c r="F88" i="46"/>
  <c r="U3" i="49"/>
  <c r="F5" i="46"/>
  <c r="T68" i="44"/>
  <c r="T78" i="44"/>
  <c r="U60" i="49"/>
  <c r="U48" i="49"/>
  <c r="T47" i="44"/>
  <c r="F9" i="46"/>
  <c r="T62" i="44"/>
  <c r="T53" i="44"/>
  <c r="F92" i="46"/>
  <c r="T39" i="44"/>
  <c r="T4" i="44"/>
  <c r="F102" i="46"/>
  <c r="T20" i="44"/>
  <c r="F3" i="46"/>
  <c r="F44" i="46"/>
  <c r="F54" i="46"/>
  <c r="T63" i="44"/>
  <c r="F49" i="46"/>
  <c r="F31" i="46"/>
  <c r="AI26" i="50"/>
  <c r="T44" i="44"/>
  <c r="F85" i="46"/>
  <c r="F12" i="46"/>
  <c r="T31" i="44"/>
  <c r="T38" i="44"/>
  <c r="F16" i="46"/>
  <c r="F47" i="46"/>
  <c r="F79" i="46"/>
  <c r="U53" i="49"/>
  <c r="U66" i="49"/>
  <c r="U67" i="49"/>
  <c r="F69" i="46"/>
  <c r="F13" i="46"/>
  <c r="T14" i="44"/>
  <c r="AL26" i="50"/>
  <c r="T50" i="44"/>
  <c r="F62" i="46"/>
  <c r="F89" i="46"/>
  <c r="F82" i="46"/>
  <c r="AM26" i="50"/>
  <c r="F110" i="46"/>
  <c r="F84" i="46"/>
  <c r="F10" i="46"/>
  <c r="F14" i="46"/>
  <c r="F15" i="46"/>
  <c r="T7" i="44"/>
  <c r="F67" i="46"/>
  <c r="T8" i="44"/>
  <c r="J26" i="50"/>
  <c r="AD26" i="50" s="1"/>
  <c r="T48" i="44"/>
  <c r="F103" i="46"/>
  <c r="T29" i="44"/>
  <c r="F63" i="46"/>
  <c r="F101" i="46"/>
  <c r="U24" i="49"/>
  <c r="U68" i="49"/>
  <c r="F59" i="46"/>
  <c r="F27" i="46"/>
  <c r="F70" i="46"/>
  <c r="T80" i="44"/>
  <c r="F53" i="46"/>
  <c r="T43" i="44"/>
  <c r="F111" i="46"/>
  <c r="T23" i="44"/>
  <c r="F75" i="46"/>
  <c r="F41" i="46"/>
  <c r="F71" i="46"/>
  <c r="U77" i="49"/>
  <c r="T61" i="44"/>
  <c r="T60" i="44"/>
  <c r="F8" i="46"/>
  <c r="T59" i="44"/>
  <c r="T73" i="44"/>
  <c r="U4" i="49"/>
  <c r="F32" i="46"/>
  <c r="U5" i="49"/>
  <c r="F86" i="46"/>
  <c r="T28" i="44"/>
  <c r="T24" i="44"/>
  <c r="T21" i="44"/>
  <c r="T34" i="44"/>
  <c r="T54" i="44"/>
  <c r="F7" i="46"/>
  <c r="T22" i="44"/>
  <c r="F91" i="46"/>
  <c r="F38" i="46"/>
  <c r="F93" i="46"/>
  <c r="AA26" i="50"/>
  <c r="T65" i="44"/>
  <c r="T11" i="44"/>
  <c r="U50" i="49"/>
  <c r="F65" i="46"/>
  <c r="T13" i="44"/>
  <c r="AK26" i="50"/>
  <c r="T79" i="44"/>
  <c r="T32" i="44"/>
  <c r="U63" i="49"/>
  <c r="U27" i="49"/>
  <c r="U55" i="49"/>
  <c r="F76" i="46"/>
  <c r="T55" i="44"/>
  <c r="AH26" i="50"/>
  <c r="T64" i="44"/>
  <c r="T19" i="44"/>
  <c r="T49" i="44"/>
  <c r="T56" i="44"/>
  <c r="F105" i="46"/>
  <c r="F57" i="46"/>
  <c r="T27" i="44"/>
  <c r="T76" i="44"/>
  <c r="F42" i="46"/>
  <c r="F17" i="46"/>
  <c r="F24" i="46"/>
  <c r="F11" i="46"/>
  <c r="F100" i="46"/>
  <c r="T37" i="44"/>
  <c r="F35" i="46"/>
  <c r="F30" i="46"/>
  <c r="U39" i="49"/>
  <c r="U52" i="49"/>
  <c r="F106" i="46"/>
  <c r="F66" i="46"/>
  <c r="T58" i="44"/>
  <c r="F45" i="46"/>
  <c r="T12" i="44"/>
  <c r="F80" i="46"/>
  <c r="U28" i="49"/>
  <c r="U6" i="49"/>
  <c r="T15" i="44"/>
  <c r="F19" i="46"/>
  <c r="F4" i="46"/>
  <c r="F97" i="46"/>
  <c r="F81" i="46"/>
  <c r="F74" i="46"/>
  <c r="F64" i="46"/>
  <c r="F33" i="46"/>
  <c r="T46" i="44"/>
  <c r="T36" i="44"/>
  <c r="T17" i="44"/>
  <c r="T6" i="44"/>
  <c r="F73" i="46"/>
  <c r="F55" i="46"/>
  <c r="T41" i="44"/>
  <c r="F87" i="46"/>
  <c r="F28" i="46"/>
  <c r="T71" i="44"/>
  <c r="F21" i="46"/>
  <c r="F56" i="46"/>
  <c r="U49" i="49"/>
  <c r="F94" i="46"/>
  <c r="F104" i="46"/>
  <c r="AG26" i="50"/>
  <c r="U47" i="49"/>
  <c r="U54" i="49"/>
  <c r="F26" i="46"/>
  <c r="F61" i="46"/>
  <c r="F29" i="46"/>
  <c r="F99" i="46"/>
  <c r="F34" i="46"/>
  <c r="T26" i="44"/>
  <c r="F77" i="46"/>
  <c r="F83" i="46"/>
  <c r="F50" i="46"/>
  <c r="T66" i="44"/>
  <c r="T57" i="44"/>
  <c r="T72" i="44"/>
  <c r="F68" i="46"/>
  <c r="T3" i="44"/>
  <c r="F22" i="46"/>
  <c r="T74" i="44"/>
  <c r="U32" i="49"/>
  <c r="AF26" i="50"/>
  <c r="F107" i="46"/>
  <c r="F39" i="46"/>
  <c r="F98" i="46"/>
  <c r="F90" i="46"/>
  <c r="U69" i="49"/>
  <c r="T35" i="44"/>
  <c r="T33" i="44"/>
  <c r="F6" i="46"/>
  <c r="T69" i="44"/>
  <c r="F72" i="46"/>
  <c r="T18" i="44"/>
  <c r="F95" i="46"/>
  <c r="T30" i="44"/>
  <c r="F108" i="46"/>
  <c r="T16" i="44"/>
  <c r="F18" i="46"/>
  <c r="F25" i="46"/>
  <c r="T45" i="44"/>
  <c r="T52" i="44"/>
  <c r="F52" i="46"/>
  <c r="F37" i="46"/>
  <c r="AQ26" i="50" l="1"/>
  <c r="AR26" i="50" l="1"/>
  <c r="U26" i="44" l="1"/>
  <c r="U58" i="44"/>
  <c r="G99" i="46"/>
  <c r="G59" i="46"/>
  <c r="U46" i="44"/>
  <c r="U75" i="44"/>
  <c r="G14" i="46"/>
  <c r="U65" i="44"/>
  <c r="G94" i="46"/>
  <c r="U20" i="44"/>
  <c r="G74" i="46"/>
  <c r="G28" i="46"/>
  <c r="G9" i="46"/>
  <c r="U8" i="44"/>
  <c r="G16" i="46"/>
  <c r="G37" i="46"/>
  <c r="V54" i="49"/>
  <c r="G58" i="46"/>
  <c r="G61" i="46"/>
  <c r="G34" i="46"/>
  <c r="U76" i="44"/>
  <c r="U64" i="44"/>
  <c r="U72" i="44"/>
  <c r="V46" i="49"/>
  <c r="U35" i="44"/>
  <c r="G106" i="46"/>
  <c r="G107" i="46"/>
  <c r="G88" i="46"/>
  <c r="U39" i="44"/>
  <c r="G100" i="46"/>
  <c r="U36" i="44"/>
  <c r="U18" i="44"/>
  <c r="G69" i="46"/>
  <c r="G19" i="46"/>
  <c r="O79" i="52"/>
  <c r="AF79" i="52"/>
  <c r="AE79" i="52"/>
  <c r="AT79" i="52"/>
  <c r="AG79" i="52"/>
  <c r="AM79" i="52"/>
  <c r="E79" i="52"/>
  <c r="AI79" i="52"/>
  <c r="D79" i="52"/>
  <c r="AH79" i="52"/>
  <c r="AA79" i="52"/>
  <c r="AK79" i="52"/>
  <c r="H79" i="52"/>
  <c r="G79" i="52"/>
  <c r="I79" i="52"/>
  <c r="AJ79" i="52"/>
  <c r="F79" i="52"/>
  <c r="AL79" i="52"/>
  <c r="L79" i="52"/>
  <c r="C79" i="52"/>
  <c r="J79" i="52" l="1"/>
  <c r="AD79" i="52" s="1"/>
  <c r="AQ79" i="52" s="1"/>
  <c r="C80" i="52"/>
  <c r="J80" i="52" s="1"/>
  <c r="AD80" i="52" s="1"/>
  <c r="O80" i="52"/>
  <c r="V8" i="49"/>
  <c r="G4" i="46"/>
  <c r="AL80" i="52"/>
  <c r="U41" i="44"/>
  <c r="G22" i="46"/>
  <c r="G51" i="46"/>
  <c r="G54" i="46"/>
  <c r="G30" i="46"/>
  <c r="AH80" i="52"/>
  <c r="U32" i="44"/>
  <c r="G60" i="46"/>
  <c r="G108" i="46"/>
  <c r="G111" i="46"/>
  <c r="V20" i="49"/>
  <c r="V43" i="49"/>
  <c r="U51" i="44"/>
  <c r="U15" i="44"/>
  <c r="V4" i="49"/>
  <c r="G52" i="46"/>
  <c r="V16" i="49"/>
  <c r="G96" i="46"/>
  <c r="G32" i="46"/>
  <c r="AF80" i="52"/>
  <c r="G50" i="46"/>
  <c r="U45" i="44"/>
  <c r="U61" i="44"/>
  <c r="U23" i="44"/>
  <c r="V9" i="49"/>
  <c r="V37" i="49"/>
  <c r="G101" i="46"/>
  <c r="U80" i="44"/>
  <c r="G73" i="46"/>
  <c r="V28" i="49"/>
  <c r="U9" i="44"/>
  <c r="G29" i="46"/>
  <c r="G91" i="46"/>
  <c r="G20" i="46"/>
  <c r="G65" i="46"/>
  <c r="V15" i="49"/>
  <c r="U49" i="44"/>
  <c r="AA80" i="52"/>
  <c r="V30" i="49"/>
  <c r="G104" i="46"/>
  <c r="V17" i="49"/>
  <c r="G5" i="46"/>
  <c r="G40" i="46"/>
  <c r="V7" i="49"/>
  <c r="V65" i="49"/>
  <c r="U70" i="44"/>
  <c r="U78" i="44"/>
  <c r="U29" i="44"/>
  <c r="U62" i="44"/>
  <c r="U53" i="44"/>
  <c r="U52" i="44"/>
  <c r="G109" i="46"/>
  <c r="V23" i="49"/>
  <c r="U31" i="44"/>
  <c r="G8" i="46"/>
  <c r="U68" i="44"/>
  <c r="AJ80" i="52"/>
  <c r="G48" i="46"/>
  <c r="U24" i="44"/>
  <c r="U3" i="44"/>
  <c r="U43" i="44"/>
  <c r="G90" i="46"/>
  <c r="H80" i="52"/>
  <c r="G47" i="46"/>
  <c r="G3" i="46"/>
  <c r="G12" i="46"/>
  <c r="G64" i="46"/>
  <c r="G67" i="46"/>
  <c r="U37" i="44"/>
  <c r="V27" i="49"/>
  <c r="V44" i="49"/>
  <c r="V34" i="49"/>
  <c r="G63" i="46"/>
  <c r="U5" i="44"/>
  <c r="V57" i="49"/>
  <c r="U60" i="44"/>
  <c r="AG80" i="52"/>
  <c r="G62" i="46"/>
  <c r="V53" i="49"/>
  <c r="V60" i="49"/>
  <c r="V64" i="49"/>
  <c r="V32" i="49"/>
  <c r="V51" i="49"/>
  <c r="G23" i="46"/>
  <c r="G66" i="46"/>
  <c r="G110" i="46"/>
  <c r="U13" i="44"/>
  <c r="V26" i="49"/>
  <c r="U19" i="44"/>
  <c r="U33" i="44"/>
  <c r="V45" i="49"/>
  <c r="G55" i="46"/>
  <c r="G86" i="46"/>
  <c r="G97" i="46"/>
  <c r="V59" i="49"/>
  <c r="G53" i="46"/>
  <c r="U63" i="44"/>
  <c r="U67" i="44"/>
  <c r="U12" i="44"/>
  <c r="G31" i="46"/>
  <c r="U25" i="44"/>
  <c r="U42" i="44"/>
  <c r="I80" i="52"/>
  <c r="G25" i="46"/>
  <c r="G78" i="46"/>
  <c r="U28" i="44"/>
  <c r="V73" i="49"/>
  <c r="V55" i="49"/>
  <c r="V13" i="49"/>
  <c r="V11" i="49"/>
  <c r="G33" i="46"/>
  <c r="D80" i="52"/>
  <c r="V19" i="49"/>
  <c r="V63" i="49"/>
  <c r="G41" i="46"/>
  <c r="V22" i="49"/>
  <c r="V33" i="49"/>
  <c r="U10" i="44"/>
  <c r="G85" i="46"/>
  <c r="G76" i="46"/>
  <c r="U44" i="44"/>
  <c r="G42" i="46"/>
  <c r="U21" i="44"/>
  <c r="G21" i="46"/>
  <c r="V52" i="49"/>
  <c r="AE80" i="52"/>
  <c r="E80" i="52"/>
  <c r="V66" i="49"/>
  <c r="G39" i="46"/>
  <c r="V24" i="49"/>
  <c r="G18" i="46"/>
  <c r="G70" i="46"/>
  <c r="G83" i="46"/>
  <c r="G35" i="46"/>
  <c r="V31" i="49"/>
  <c r="G10" i="46"/>
  <c r="U73" i="44"/>
  <c r="G57" i="46"/>
  <c r="U74" i="44"/>
  <c r="V18" i="49"/>
  <c r="U40" i="44"/>
  <c r="U71" i="44"/>
  <c r="V3" i="49"/>
  <c r="U50" i="44"/>
  <c r="AI80" i="52"/>
  <c r="V6" i="49"/>
  <c r="V10" i="49"/>
  <c r="G82" i="46"/>
  <c r="V12" i="49"/>
  <c r="G80" i="52"/>
  <c r="V5" i="49"/>
  <c r="U14" i="44"/>
  <c r="V58" i="49"/>
  <c r="U66" i="44"/>
  <c r="U11" i="44"/>
  <c r="G45" i="46"/>
  <c r="AT80" i="52"/>
  <c r="G71" i="46"/>
  <c r="G95" i="46"/>
  <c r="G77" i="46"/>
  <c r="U30" i="44"/>
  <c r="U47" i="44"/>
  <c r="G38" i="46"/>
  <c r="G92" i="46"/>
  <c r="G72" i="46"/>
  <c r="V39" i="49"/>
  <c r="U57" i="44"/>
  <c r="G98" i="46"/>
  <c r="G46" i="46"/>
  <c r="G24" i="46"/>
  <c r="G43" i="46"/>
  <c r="V56" i="49"/>
  <c r="G87" i="46"/>
  <c r="G79" i="46"/>
  <c r="U38" i="44"/>
  <c r="G80" i="46"/>
  <c r="V29" i="49"/>
  <c r="U79" i="44"/>
  <c r="G36" i="46"/>
  <c r="G81" i="46"/>
  <c r="G7" i="46"/>
  <c r="U34" i="44"/>
  <c r="G84" i="46"/>
  <c r="V21" i="49"/>
  <c r="AM80" i="52"/>
  <c r="G17" i="46"/>
  <c r="V40" i="49"/>
  <c r="V36" i="49"/>
  <c r="V41" i="49"/>
  <c r="U48" i="44"/>
  <c r="G93" i="46"/>
  <c r="G11" i="46"/>
  <c r="U56" i="44"/>
  <c r="U17" i="44"/>
  <c r="V42" i="49"/>
  <c r="V25" i="49"/>
  <c r="U22" i="44"/>
  <c r="G75" i="46"/>
  <c r="V77" i="49"/>
  <c r="G68" i="46"/>
  <c r="U7" i="44"/>
  <c r="G102" i="46"/>
  <c r="U54" i="44"/>
  <c r="F80" i="52"/>
  <c r="G44" i="46"/>
  <c r="V14" i="49"/>
  <c r="G6" i="46"/>
  <c r="U77" i="44"/>
  <c r="V35" i="49"/>
  <c r="G13" i="46"/>
  <c r="U55" i="44"/>
  <c r="G103" i="46"/>
  <c r="U69" i="44"/>
  <c r="U27" i="44"/>
  <c r="V62" i="49"/>
  <c r="U59" i="44"/>
  <c r="V61" i="49"/>
  <c r="AK80" i="52"/>
  <c r="U6" i="44"/>
  <c r="G56" i="46"/>
  <c r="G49" i="46"/>
  <c r="U4" i="44"/>
  <c r="G105" i="46"/>
  <c r="V38" i="49"/>
  <c r="L80" i="52"/>
  <c r="G89" i="46"/>
  <c r="AR80" i="52" l="1"/>
  <c r="AQ80" i="52"/>
  <c r="AR79" i="5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tc={3EE40559-B11F-4CAC-8F03-14C538D5DC95}</author>
    <author>tc={B877AA6E-6631-4613-B908-BDAD5AD4E7BB}</author>
    <author>tc={C38ACA79-E9B7-4AFB-8B9F-6451D4A4D2AE}</author>
    <author>tc={AE4CF2B7-559E-4800-8991-70819487A42B}</author>
  </authors>
  <commentList>
    <comment ref="G86" authorId="0" shapeId="0" xr:uid="{3EE40559-B11F-4CAC-8F03-14C538D5DC9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Según la información proporcionada, el trabajador no se presentó a trabajar.
Tras conversar con los responsables de Bachiller, por el momento no es necesario un sustituto. </t>
      </text>
    </comment>
    <comment ref="G93" authorId="1" shapeId="0" xr:uid="{B877AA6E-6631-4613-B908-BDAD5AD4E7BB}">
      <text>
        <t>[Comentário encadeado]
Sua versão do Excel permite que você leia este comentário encadeado, no entanto, as edições serão removidas se o arquivo for aberto em uma versão mais recente do Excel. Saiba mais: https://go.microsoft.com/fwlink/?linkid=870924
Comentário:
    Férias</t>
      </text>
    </comment>
    <comment ref="G123" authorId="2" shapeId="0" xr:uid="{C38ACA79-E9B7-4AFB-8B9F-6451D4A4D2AE}">
      <text>
        <t>[Comentário encadeado]
Sua versão do Excel permite que você leia este comentário encadeado, no entanto, as edições serão removidas se o arquivo for aberto em uma versão mais recente do Excel. Saiba mais: https://go.microsoft.com/fwlink/?linkid=870924
Comentário:
    Nao trabalha</t>
      </text>
    </comment>
    <comment ref="G170" authorId="3" shapeId="0" xr:uid="{AE4CF2B7-559E-4800-8991-70819487A42B}">
      <text>
        <t>[Comentário encadeado]
Sua versão do Excel permite que você leia este comentário encadeado, no entanto, as edições serão removidas se o arquivo for aberto em uma versão mais recente do Excel. Saiba mais: https://go.microsoft.com/fwlink/?linkid=870924
Comentário:
    Detido pela policia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tc={9130CCA2-4915-42E9-BA7B-2D48FAF72F33}</author>
  </authors>
  <commentList>
    <comment ref="G112" authorId="0" shapeId="0" xr:uid="{9130CCA2-4915-42E9-BA7B-2D48FAF72F33}">
      <text>
        <t>[Comentário encadeado]
Sua versão do Excel permite que você leia este comentário encadeado, no entanto, as edições serão removidas se o arquivo for aberto em uma versão mais recente do Excel. Saiba mais: https://go.microsoft.com/fwlink/?linkid=870924
Comentário:
    comesa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tc={988194AE-331A-4926-B0E4-C35641002792}</author>
    <author>tc={7058098D-D9CE-4D4F-B9E7-B6C55A027876}</author>
  </authors>
  <commentList>
    <comment ref="AA5" authorId="0" shapeId="0" xr:uid="{988194AE-331A-4926-B0E4-C35641002792}">
      <text>
        <t>[Comentário encadeado]
Sua versão do Excel permite que você leia este comentário encadeado, no entanto, as edições serão removidas se o arquivo for aberto em uma versão mais recente do Excel. Saiba mais: https://go.microsoft.com/fwlink/?linkid=870924
Comentário:
    Adicionado a Luminous</t>
      </text>
    </comment>
    <comment ref="AF5" authorId="1" shapeId="0" xr:uid="{7058098D-D9CE-4D4F-B9E7-B6C55A027876}">
      <text>
        <t>[Comentário encadeado]
Sua versão do Excel permite que você leia este comentário encadeado, no entanto, as edições serão removidas se o arquivo for aberto em uma versão mais recente do Excel. Saiba mais: https://go.microsoft.com/fwlink/?linkid=870924
Comentário:
    Cobrado pela Luminous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tc={B6F89134-831A-4DF4-B4CB-EA3DAE1AAD26}</author>
    <author>tc={1D48DCF7-4AA0-4FD1-B1ED-5D51A654CD22}</author>
    <author>tc={48075D7C-2220-4856-8DA5-6908240D9640}</author>
    <author>tc={D5F256D7-23B2-4937-B9CB-EC2AC032A6AE}</author>
    <author>tc={61384E30-F515-4BBD-BADD-6DDD42C03B78}</author>
    <author>tc={FED99E92-C229-4C87-B4D6-68391C244AAF}</author>
    <author>tc={01D246CE-4096-431D-B837-4ED5EB19F5D6}</author>
    <author>tc={07F95563-8311-43B8-8A3A-3341BF7313A0}</author>
    <author>tc={D514B367-583F-4E51-95BA-6ED0C37D960E}</author>
  </authors>
  <commentList>
    <comment ref="AN6" authorId="0" shapeId="0" xr:uid="{B6F89134-831A-4DF4-B4CB-EA3DAE1AAD26}">
      <text>
        <t>[Comentário encadeado]
Sua versão do Excel permite que você leia este comentário encadeado, no entanto, as edições serão removidas se o arquivo for aberto em uma versão mais recente do Excel. Saiba mais: https://go.microsoft.com/fwlink/?linkid=870924
Comentário:
    Desconto correçao dezembro</t>
      </text>
    </comment>
    <comment ref="AB56" authorId="1" shapeId="0" xr:uid="{1D48DCF7-4AA0-4FD1-B1ED-5D51A654CD22}">
      <text>
        <t>[Comentário encadeado]
Sua versão do Excel permite que você leia este comentário encadeado, no entanto, as edições serão removidas se o arquivo for aberto em uma versão mais recente do Excel. Saiba mais: https://go.microsoft.com/fwlink/?linkid=870924
Comentário:
    Dietas enviada por Ibrahim e Raul</t>
      </text>
    </comment>
    <comment ref="AB64" authorId="2" shapeId="0" xr:uid="{48075D7C-2220-4856-8DA5-6908240D9640}">
      <text>
        <t>[Comentário encadeado]
Sua versão do Excel permite que você leia este comentário encadeado, no entanto, as edições serão removidas se o arquivo for aberto em uma versão mais recente do Excel. Saiba mais: https://go.microsoft.com/fwlink/?linkid=870924
Comentário:
    Alojamento enviado por Ibrahim + dietas</t>
      </text>
    </comment>
    <comment ref="AN64" authorId="3" shapeId="0" xr:uid="{D5F256D7-23B2-4937-B9CB-EC2AC032A6AE}">
      <text>
        <t>[Comentário encadeado]
Sua versão do Excel permite que você leia este comentário encadeado, no entanto, as edições serão removidas se o arquivo for aberto em uma versão mais recente do Excel. Saiba mais: https://go.microsoft.com/fwlink/?linkid=870924
Comentário:
    Horas pagas a mais outubro</t>
      </text>
    </comment>
    <comment ref="AE73" authorId="4" shapeId="0" xr:uid="{61384E30-F515-4BBD-BADD-6DDD42C03B78}">
      <text>
        <t>[Comentário encadeado]
Sua versão do Excel permite que você leia este comentário encadeado, no entanto, as edições serão removidas se o arquivo for aberto em uma versão mais recente do Excel. Saiba mais: https://go.microsoft.com/fwlink/?linkid=870924
Comentário:
    Adiantamento 200 18/02/2026</t>
      </text>
    </comment>
    <comment ref="AB88" authorId="5" shapeId="0" xr:uid="{FED99E92-C229-4C87-B4D6-68391C244AAF}">
      <text>
        <t>[Comentário encadeado]
Sua versão do Excel permite que você leia este comentário encadeado, no entanto, as edições serão removidas se o arquivo for aberto em uma versão mais recente do Excel. Saiba mais: https://go.microsoft.com/fwlink/?linkid=870924
Comentário:
    Dietas enviada por Ibrahim e Raul</t>
      </text>
    </comment>
    <comment ref="L91" authorId="6" shapeId="0" xr:uid="{01D246CE-4096-431D-B837-4ED5EB19F5D6}">
      <text>
        <t>[Comentário encadeado]
Sua versão do Excel permite que você leia este comentário encadeado, no entanto, as edições serão removidas se o arquivo for aberto em uma versão mais recente do Excel. Saiba mais: https://go.microsoft.com/fwlink/?linkid=870924
Comentário:
    Mudou iban, no banco esta outro</t>
      </text>
    </comment>
    <comment ref="AN92" authorId="7" shapeId="0" xr:uid="{07F95563-8311-43B8-8A3A-3341BF7313A0}">
      <text>
        <t>[Comentário encadeado]
Sua versão do Excel permite que você leia este comentário encadeado, no entanto, as edições serão removidas se o arquivo for aberto em uma versão mais recente do Excel. Saiba mais: https://go.microsoft.com/fwlink/?linkid=870924
Comentário:
    Desconto dano maquina Premetalic
Responder:
    Devolvido 22/12 metade do valor ate que a premetalic ajude a resolver</t>
      </text>
    </comment>
    <comment ref="AF157" authorId="8" shapeId="0" xr:uid="{D514B367-583F-4E51-95BA-6ED0C37D960E}">
      <text>
        <t>[Comentário encadeado]
Sua versão do Excel permite que você leia este comentário encadeado, no entanto, as edições serão removidas se o arquivo for aberto em uma versão mais recente do Excel. Saiba mais: https://go.microsoft.com/fwlink/?linkid=870924
Comentário:
    Cobrado pela LM</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tc={F6D26153-940D-4D9A-82DF-1C60568F61F3}</author>
    <author>tc={17B8B452-D50B-433D-9FA1-AC23DA02AA3A}</author>
    <author>tc={39D12A5D-DB0E-463B-8DE8-F1D9AA6D6655}</author>
    <author>tc={75079129-CE6E-4F36-A886-ED81F2ACD082}</author>
    <author>tc={1B09A6CD-89C2-4737-B225-353F20700777}</author>
    <author>tc={081E31C3-2235-4861-BF21-C38F612BC5B8}</author>
    <author>tc={AA97CDEB-F7FB-4F18-8834-7CBC51B25A0B}</author>
    <author>tc={27A8FA72-69B3-4A98-A9E9-4499800846D6}</author>
    <author>tc={F4CFF145-4DA0-40AD-A7CA-B807448855E1}</author>
    <author>tc={F546B4DE-CE82-4B76-AD5D-5AEE018B7FA0}</author>
    <author>tc={797C3691-06FC-46F8-A82B-9887622586D5}</author>
    <author>tc={DB03F2C2-8CB6-4AD8-9245-F59734CE6F64}</author>
  </authors>
  <commentList>
    <comment ref="AE14" authorId="0" shapeId="0" xr:uid="{F6D26153-940D-4D9A-82DF-1C60568F61F3}">
      <text>
        <t>[Comentário encadeado]
Sua versão do Excel permite que você leia este comentário encadeado, no entanto, as edições serão removidas se o arquivo for aberto em uma versão mais recente do Excel. Saiba mais: https://go.microsoft.com/fwlink/?linkid=870924
Comentário:
    Desconto aplicado nas horas KI</t>
      </text>
    </comment>
    <comment ref="AN25" authorId="1" shapeId="0" xr:uid="{17B8B452-D50B-433D-9FA1-AC23DA02AA3A}">
      <text>
        <t>[Comentário encadeado]
Sua versão do Excel permite que você leia este comentário encadeado, no entanto, as edições serão removidas se o arquivo for aberto em uma versão mais recente do Excel. Saiba mais: https://go.microsoft.com/fwlink/?linkid=870924
Comentário:
    Desconto mês outubro</t>
      </text>
    </comment>
    <comment ref="AF30" authorId="2" shapeId="0" xr:uid="{39D12A5D-DB0E-463B-8DE8-F1D9AA6D6655}">
      <text>
        <t>[Comentário encadeado]
Sua versão do Excel permite que você leia este comentário encadeado, no entanto, as edições serão removidas se o arquivo for aberto em uma versão mais recente do Excel. Saiba mais: https://go.microsoft.com/fwlink/?linkid=870924
Comentário:
    Cobrado na KI</t>
      </text>
    </comment>
    <comment ref="AN30" authorId="3" shapeId="0" xr:uid="{75079129-CE6E-4F36-A886-ED81F2ACD082}">
      <text>
        <t>[Comentário encadeado]
Sua versão do Excel permite que você leia este comentário encadeado, no entanto, as edições serão removidas se o arquivo for aberto em uma versão mais recente do Excel. Saiba mais: https://go.microsoft.com/fwlink/?linkid=870924
Comentário:
    Desconto mês outubro</t>
      </text>
    </comment>
    <comment ref="AF33" authorId="4" shapeId="0" xr:uid="{1B09A6CD-89C2-4737-B225-353F20700777}">
      <text>
        <t>[Comentário encadeado]
Sua versão do Excel permite que você leia este comentário encadeado, no entanto, as edições serão removidas se o arquivo for aberto em uma versão mais recente do Excel. Saiba mais: https://go.microsoft.com/fwlink/?linkid=870924
Comentário:
    Cobrado na KI</t>
      </text>
    </comment>
    <comment ref="AN46" authorId="5" shapeId="0" xr:uid="{081E31C3-2235-4861-BF21-C38F612BC5B8}">
      <text>
        <t>[Comentário encadeado]
Sua versão do Excel permite que você leia este comentário encadeado, no entanto, as edições serão removidas se o arquivo for aberto em uma versão mais recente do Excel. Saiba mais: https://go.microsoft.com/fwlink/?linkid=870924
Comentário:
    Desconto correçao horas</t>
      </text>
    </comment>
    <comment ref="AN65" authorId="6" shapeId="0" xr:uid="{AA97CDEB-F7FB-4F18-8834-7CBC51B25A0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Desconto correção de horas
</t>
      </text>
    </comment>
    <comment ref="AN68" authorId="7" shapeId="0" xr:uid="{27A8FA72-69B3-4A98-A9E9-4499800846D6}">
      <text>
        <t>[Comentário encadeado]
Sua versão do Excel permite que você leia este comentário encadeado, no entanto, as edições serão removidas se o arquivo for aberto em uma versão mais recente do Excel. Saiba mais: https://go.microsoft.com/fwlink/?linkid=870924
Comentário:
    Desconto hora correção</t>
      </text>
    </comment>
    <comment ref="AN77" authorId="8" shapeId="0" xr:uid="{F4CFF145-4DA0-40AD-A7CA-B807448855E1}">
      <text>
        <t>[Comentário encadeado]
Sua versão do Excel permite que você leia este comentário encadeado, no entanto, as edições serão removidas se o arquivo for aberto em uma versão mais recente do Excel. Saiba mais: https://go.microsoft.com/fwlink/?linkid=870924
Comentário:
    Desconto correção de horas</t>
      </text>
    </comment>
    <comment ref="AN103" authorId="9" shapeId="0" xr:uid="{F546B4DE-CE82-4B76-AD5D-5AEE018B7FA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Desconto correção de horas
</t>
      </text>
    </comment>
    <comment ref="O107" authorId="10" shapeId="0" xr:uid="{797C3691-06FC-46F8-A82B-9887622586D5}">
      <text>
        <t>[Comentário encadeado]
Sua versão do Excel permite que você leia este comentário encadeado, no entanto, as edições serão removidas se o arquivo for aberto em uma versão mais recente do Excel. Saiba mais: https://go.microsoft.com/fwlink/?linkid=870924
Comentário:
    Valor na mointer 15€</t>
      </text>
    </comment>
    <comment ref="AF107" authorId="11" shapeId="0" xr:uid="{DB03F2C2-8CB6-4AD8-9245-F59734CE6F64}">
      <text>
        <t>[Comentário encadeado]
Sua versão do Excel permite que você leia este comentário encadeado, no entanto, as edições serão removidas se o arquivo for aberto em uma versão mais recente do Excel. Saiba mais: https://go.microsoft.com/fwlink/?linkid=870924
Comentário:
    Cobrado pela WS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tc={B6B6183C-62D4-4338-9715-67802D8B2FC4}</author>
  </authors>
  <commentList>
    <comment ref="D18" authorId="0" shapeId="0" xr:uid="{B6B6183C-62D4-4338-9715-67802D8B2FC4}">
      <text>
        <t>[Comentário encadeado]
Sua versão do Excel permite que você leia este comentário encadeado, no entanto, as edições serão removidas se o arquivo for aberto em uma versão mais recente do Excel. Saiba mais: https://go.microsoft.com/fwlink/?linkid=870924
Comentário:
    Verificando</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C8E2E8-6E75-4879-9638-F3BF10346B64}" keepAlive="1" name="Consulta - Alojamentos" description="Conexión a la consulta 'Alojamentos' en el libro." type="5" refreshedVersion="8" background="1" saveData="1">
    <dbPr connection="Provider=Microsoft.Mashup.OleDb.1;Data Source=$Workbook$;Location=Alojamentos;Extended Properties=&quot;&quot;" command="SELECT * FROM [Alojamentos]"/>
  </connection>
  <connection id="2" xr16:uid="{C5AC7453-7585-4EBA-8E10-C35A874C2B5A}" keepAlive="1" name="Consulta - Base de datos" description="Conexión a la consulta 'Base de datos' en el libro." type="5" refreshedVersion="8" background="1" saveData="1">
    <dbPr connection="Provider=Microsoft.Mashup.OleDb.1;Data Source=$Workbook$;Location=&quot;Base de datos&quot;;Extended Properties=&quot;&quot;" command="SELECT * FROM [Base de datos]"/>
  </connection>
  <connection id="3" xr16:uid="{2C66D4B0-3605-4957-A896-B3BE125F5E89}" keepAlive="1" name="Consulta - Base de datos (2)" description="Conexión a la consulta 'Base de datos (2)' en el libro." type="5" refreshedVersion="8" background="1" saveData="1">
    <dbPr connection="Provider=Microsoft.Mashup.OleDb.1;Data Source=$Workbook$;Location=&quot;Base de datos (2)&quot;;Extended Properties=&quot;&quot;" command="SELECT * FROM [Base de datos (2)]"/>
  </connection>
  <connection id="4" xr16:uid="{1A1FDC47-FC7D-4F04-A9FD-3AFB02996234}" keepAlive="1" name="Consulta - Carro" description="Conexión a la consulta 'Carro' en el libro." type="5" refreshedVersion="8" background="1" saveData="1">
    <dbPr connection="Provider=Microsoft.Mashup.OleDb.1;Data Source=$Workbook$;Location=Carro;Extended Properties=&quot;&quot;" command="SELECT * FROM [Carro]"/>
  </connection>
  <connection id="5" xr16:uid="{597804C7-9F01-4032-A29C-86874989852E}" keepAlive="1" name="Consulta - Colaborador ID" description="Conexión a la consulta 'Colaborador ID' en el libro." type="5" refreshedVersion="8" background="1" saveData="1">
    <dbPr connection="Provider=Microsoft.Mashup.OleDb.1;Data Source=$Workbook$;Location=&quot;Colaborador ID&quot;;Extended Properties=&quot;&quot;" command="SELECT * FROM [Colaborador ID]"/>
  </connection>
  <connection id="6" xr16:uid="{CD422DE4-6E86-421E-A9BE-0D962E56A9F0}" keepAlive="1" name="Consulta - Control General" description="Conexión a la consulta 'Control General' en el libro." type="5" refreshedVersion="8" background="1" saveData="1">
    <dbPr connection="Provider=Microsoft.Mashup.OleDb.1;Data Source=$Workbook$;Location=&quot;Control General&quot;;Extended Properties=&quot;&quot;" command="SELECT * FROM [Control General]"/>
  </connection>
  <connection id="7" xr16:uid="{92BA6B92-09A7-4552-A94E-9F6225791A2E}" keepAlive="1" name="Consulta - HorasTrabalhadas1" description="Conexión a la consulta 'HorasTrabalhadas' en el libro." type="5" refreshedVersion="8" background="1" saveData="1">
    <dbPr connection="Provider=Microsoft.Mashup.OleDb.1;Data Source=$Workbook$;Location=HorasTrabalhadas;Extended Properties=&quot;&quot;" command="SELECT * FROM [HorasTrabalhadas]"/>
  </connection>
  <connection id="8" xr16:uid="{24CB40E3-A231-41DE-A079-E51B04687427}" keepAlive="1" name="Consulta - TotalHoras" description="Conexión a la consulta 'TotalHoras' en el libro." type="5" refreshedVersion="8" background="1" saveData="1">
    <dbPr connection="Provider=Microsoft.Mashup.OleDb.1;Data Source=$Workbook$;Location=TotalHoras;Extended Properties=&quot;&quot;" command="SELECT * FROM [TotalHoras]"/>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<sst xmlns="http://schemas.openxmlformats.org/spreadsheetml/2006/main" count="31836" uniqueCount="9243">
  <si>
    <t>Cod_colab</t>
  </si>
  <si>
    <t>Id</t>
  </si>
  <si>
    <t>Nombre</t>
  </si>
  <si>
    <t>Pasaporte</t>
  </si>
  <si>
    <t>Movil</t>
  </si>
  <si>
    <t>StatusSeguridad</t>
  </si>
  <si>
    <t>FechaAlta</t>
  </si>
  <si>
    <t>FechaBaja</t>
  </si>
  <si>
    <t>FechaInicio</t>
  </si>
  <si>
    <t>FechaFinPedido</t>
  </si>
  <si>
    <t>FechaSalidaTrabajador</t>
  </si>
  <si>
    <t>Contratante</t>
  </si>
  <si>
    <t>E1172</t>
  </si>
  <si>
    <t>ABDALLAH SAMMAR</t>
  </si>
  <si>
    <t>+351 964 185 751</t>
  </si>
  <si>
    <t>Baja</t>
  </si>
  <si>
    <t>KOTRIK INDUSTRIAL</t>
  </si>
  <si>
    <t>E0530</t>
  </si>
  <si>
    <t>ABDELFAHAM OUBOUZID</t>
  </si>
  <si>
    <t>166231325</t>
  </si>
  <si>
    <t>+351 927 245 833</t>
  </si>
  <si>
    <t>KOTRIK ROSAS</t>
  </si>
  <si>
    <t>E1365</t>
  </si>
  <si>
    <t>ABDELHAQ GUEHOUANE</t>
  </si>
  <si>
    <t>34 602 49 64 70</t>
  </si>
  <si>
    <t>E1855</t>
  </si>
  <si>
    <t>ABDRUBAL FONSECA RINCON</t>
  </si>
  <si>
    <t>BG974479</t>
  </si>
  <si>
    <t>+57 311 686 4894</t>
  </si>
  <si>
    <t>E0663</t>
  </si>
  <si>
    <t>ABEL ANTONIO CUESTA CIFUENTES</t>
  </si>
  <si>
    <t>+39 366 142 9913</t>
  </si>
  <si>
    <t>E0513</t>
  </si>
  <si>
    <t>ABRAHAM DAVID HOYOS ALVAREZ</t>
  </si>
  <si>
    <t>BE508253</t>
  </si>
  <si>
    <t>+57 301 7613079</t>
  </si>
  <si>
    <t>alta</t>
  </si>
  <si>
    <t>STOCCO</t>
  </si>
  <si>
    <t>E0432</t>
  </si>
  <si>
    <t>ADALBERTO ARAGON GOMEZ</t>
  </si>
  <si>
    <t>+57 310 4676699</t>
  </si>
  <si>
    <t>Alta</t>
  </si>
  <si>
    <t>E0687</t>
  </si>
  <si>
    <t>ADILSON ESCOBAR OREJUELA</t>
  </si>
  <si>
    <t>BE550492</t>
  </si>
  <si>
    <t>+34 616 68 47 21</t>
  </si>
  <si>
    <t>E1050</t>
  </si>
  <si>
    <t>ADRIAN BERNAL GOMEZ</t>
  </si>
  <si>
    <t>+34 654 47 87 56</t>
  </si>
  <si>
    <t>anulado</t>
  </si>
  <si>
    <t>E0570</t>
  </si>
  <si>
    <t>ADRIAN CAMILO PINILLA AGUIRRE</t>
  </si>
  <si>
    <t>+57 311 5096970</t>
  </si>
  <si>
    <t>Pendiente Alta</t>
  </si>
  <si>
    <t>E0452</t>
  </si>
  <si>
    <t>ADRIAN CARLOSAMA CHAVEZ</t>
  </si>
  <si>
    <t>+34 604 21 21 79</t>
  </si>
  <si>
    <t>pendiente alta</t>
  </si>
  <si>
    <t>E1221</t>
  </si>
  <si>
    <t>ADRIAN RICARDO BAQUERO GONZALEZ</t>
  </si>
  <si>
    <t>57 320 4650287</t>
  </si>
  <si>
    <t>E0764</t>
  </si>
  <si>
    <t>ADRIANO DOS SANTOS DE CARVALHO</t>
  </si>
  <si>
    <t>351 910 384 813</t>
  </si>
  <si>
    <t>E0516</t>
  </si>
  <si>
    <t>AGNER MARTINEZ CARREAZO</t>
  </si>
  <si>
    <t>+34 603 22 41 86</t>
  </si>
  <si>
    <t>E0814</t>
  </si>
  <si>
    <t>AGUINALDO JOSE DA SILVA SOUZA</t>
  </si>
  <si>
    <t>FR290366</t>
  </si>
  <si>
    <t>351 960 190 974</t>
  </si>
  <si>
    <t>Anulado</t>
  </si>
  <si>
    <t>E0194</t>
  </si>
  <si>
    <t>ALAN FRANCISCO NAVAS DIAZ</t>
  </si>
  <si>
    <t>BD749809</t>
  </si>
  <si>
    <t>+57 323 4616593</t>
  </si>
  <si>
    <t>E0406</t>
  </si>
  <si>
    <t>ALAN GERSON RAMIREZ ACARO</t>
  </si>
  <si>
    <t>120655378</t>
  </si>
  <si>
    <t>+51 947 371 486</t>
  </si>
  <si>
    <t>E1402</t>
  </si>
  <si>
    <t>ALBEIRO CARDOZO HEREDIA</t>
  </si>
  <si>
    <t>AY405605</t>
  </si>
  <si>
    <t>+57 310 418 7853</t>
  </si>
  <si>
    <t>E0347</t>
  </si>
  <si>
    <t>ALBEIRO ENRIQUE AMOR AGUILAR</t>
  </si>
  <si>
    <t>AQ894821</t>
  </si>
  <si>
    <t>+57 321 2579013</t>
  </si>
  <si>
    <t>Kotrik &amp; Rosas</t>
  </si>
  <si>
    <t>E0272</t>
  </si>
  <si>
    <t>ALBEIRO OBANDO MICOLTA</t>
  </si>
  <si>
    <t>BD593560</t>
  </si>
  <si>
    <t>+34 637 08 87 33</t>
  </si>
  <si>
    <t>E0853</t>
  </si>
  <si>
    <t>ALBERT IGO SILVA LIMA DE CERQUEIRA</t>
  </si>
  <si>
    <t>351 926 101 401</t>
  </si>
  <si>
    <t>E0189</t>
  </si>
  <si>
    <t>ALBERTO CCENHUA MICHCA</t>
  </si>
  <si>
    <t>+51 956 343 384</t>
  </si>
  <si>
    <t>E0208</t>
  </si>
  <si>
    <t>ALBERTO DURAN</t>
  </si>
  <si>
    <t>AV989255</t>
  </si>
  <si>
    <t>+48 790 797 494</t>
  </si>
  <si>
    <t>E0134</t>
  </si>
  <si>
    <t>ALBERTO ENRIQUE MACIAS TEHERAN</t>
  </si>
  <si>
    <t>57 324 5729666</t>
  </si>
  <si>
    <t>E0449</t>
  </si>
  <si>
    <t>ALBERTO ISMAEL MENDIETA CACERES</t>
  </si>
  <si>
    <t>122134064</t>
  </si>
  <si>
    <t>+51 983 738 942</t>
  </si>
  <si>
    <t>E1448</t>
  </si>
  <si>
    <t>ALBERTO LUIS MALDONADO BARRERA</t>
  </si>
  <si>
    <t>AY305422</t>
  </si>
  <si>
    <t>57 323 2914686</t>
  </si>
  <si>
    <t>E2135</t>
  </si>
  <si>
    <t>ALBERTO RICHELLI DA SILVA</t>
  </si>
  <si>
    <t>GE293997</t>
  </si>
  <si>
    <t>+351 932 828 968</t>
  </si>
  <si>
    <t>E1356</t>
  </si>
  <si>
    <t>ALDAIR  GABRIEL LARA RAMIREZ</t>
  </si>
  <si>
    <t>+34 611 376 106</t>
  </si>
  <si>
    <t>E2114</t>
  </si>
  <si>
    <t>ALDEMAR DOMINGUEZ CERCADO</t>
  </si>
  <si>
    <t xml:space="preserve">BG720416 </t>
  </si>
  <si>
    <t>+34 604 10 75 05</t>
  </si>
  <si>
    <t>E0460</t>
  </si>
  <si>
    <t>ALDO IVAN AILIO LABBE</t>
  </si>
  <si>
    <t>AAI878342</t>
  </si>
  <si>
    <t>+54 911 265 34702</t>
  </si>
  <si>
    <t>E1382</t>
  </si>
  <si>
    <t>ALDO LUIS CHACON BALAREZO</t>
  </si>
  <si>
    <t>223302581</t>
  </si>
  <si>
    <t>+51 915 332 957</t>
  </si>
  <si>
    <t>E1449</t>
  </si>
  <si>
    <t>ALDRINIS EDWARDS MENDOZA NIETO</t>
  </si>
  <si>
    <t>+57 301 782 4463</t>
  </si>
  <si>
    <t>E0648</t>
  </si>
  <si>
    <t>ALDRUMAR CABALLERO MARTINEZ</t>
  </si>
  <si>
    <t>AT606726</t>
  </si>
  <si>
    <t>+57 316 299 0121</t>
  </si>
  <si>
    <t>E0243</t>
  </si>
  <si>
    <t>ALEEX IVAN LOPEZ CUBILLOS</t>
  </si>
  <si>
    <t>BE054818</t>
  </si>
  <si>
    <t>+34 641 56 11 84</t>
  </si>
  <si>
    <t>E1770</t>
  </si>
  <si>
    <t>ALEJANDRO ERWIN ZAMBRANO AGUILERA</t>
  </si>
  <si>
    <t>P13933983</t>
  </si>
  <si>
    <t>+46 767 098 768</t>
  </si>
  <si>
    <t>WISEOWE, UNIPESSOAL LDA</t>
  </si>
  <si>
    <t>E0662</t>
  </si>
  <si>
    <t>ALEJANDRO GONZALO URIBE</t>
  </si>
  <si>
    <t>+57 320 7160004</t>
  </si>
  <si>
    <t>E0009</t>
  </si>
  <si>
    <t>ALEJANDRO HERNANDEZ PIMIENTA</t>
  </si>
  <si>
    <t>AS996395</t>
  </si>
  <si>
    <t>+57 313 7806680</t>
  </si>
  <si>
    <t>E0128</t>
  </si>
  <si>
    <t>ALEJANDRO JOSE BORJA MANGA</t>
  </si>
  <si>
    <t xml:space="preserve"> +34647527268</t>
  </si>
  <si>
    <t>E0960</t>
  </si>
  <si>
    <t>ALEJANDRO QUINCENO ROA</t>
  </si>
  <si>
    <t>34 674 42 17 82</t>
  </si>
  <si>
    <t>E1352</t>
  </si>
  <si>
    <t>ALESSANDRO FERREIRA</t>
  </si>
  <si>
    <t>E1253</t>
  </si>
  <si>
    <t>ALESSANDRO SANTANA DE JESUS</t>
  </si>
  <si>
    <t>+351 915 857 016</t>
  </si>
  <si>
    <t>E1380</t>
  </si>
  <si>
    <t>ALEX ALTAMAR CARMONA</t>
  </si>
  <si>
    <t>+57 350 6415820</t>
  </si>
  <si>
    <t>baja</t>
  </si>
  <si>
    <t>E0388</t>
  </si>
  <si>
    <t>ALEX DAVID GOMEZ VILLADA</t>
  </si>
  <si>
    <t>AW558954</t>
  </si>
  <si>
    <t>+34 633 10 59 23</t>
  </si>
  <si>
    <t>E1921</t>
  </si>
  <si>
    <t>ALEX JAVIER LEONEL OTAVO</t>
  </si>
  <si>
    <t>BD414292</t>
  </si>
  <si>
    <t>+34 602 592 928</t>
  </si>
  <si>
    <t>E1319</t>
  </si>
  <si>
    <t>ALEX LUCAS SCHOROEDER</t>
  </si>
  <si>
    <t>+351 912 814 148</t>
  </si>
  <si>
    <t>E0593</t>
  </si>
  <si>
    <t>ALEX MAURICIO CARDONA RAMIREZ</t>
  </si>
  <si>
    <t>BE848923</t>
  </si>
  <si>
    <t>+34 643 67 45 89</t>
  </si>
  <si>
    <t>E0302</t>
  </si>
  <si>
    <t>ALEX MENDOZA ALCAZAR</t>
  </si>
  <si>
    <t>+351 922 243 701</t>
  </si>
  <si>
    <t>E1056</t>
  </si>
  <si>
    <t>ALEX SANDRO VALENGA</t>
  </si>
  <si>
    <t>351 932 585 168</t>
  </si>
  <si>
    <t>E1400</t>
  </si>
  <si>
    <t>ALEXANDER ALONSO ROMERO</t>
  </si>
  <si>
    <t>BG171257</t>
  </si>
  <si>
    <t>+57 311 544 3382</t>
  </si>
  <si>
    <t>E0362</t>
  </si>
  <si>
    <t>ALEXANDER ANTHONY ZAMORA ALMENDARIZ</t>
  </si>
  <si>
    <t>124688504</t>
  </si>
  <si>
    <t>+34 645 01 84 52</t>
  </si>
  <si>
    <t>E0456</t>
  </si>
  <si>
    <t>ALEXANDER DE LA OSSA VEGA</t>
  </si>
  <si>
    <t>+57 300 6171364</t>
  </si>
  <si>
    <t>E1936</t>
  </si>
  <si>
    <t>ALEXANDER GUTIERREZ MONTANEZ</t>
  </si>
  <si>
    <t>AZ841752</t>
  </si>
  <si>
    <t>+34 603 190 229</t>
  </si>
  <si>
    <t>E1450</t>
  </si>
  <si>
    <t>ALEXANDER GUTIERREZ MONTAÑEZ</t>
  </si>
  <si>
    <t>+57 320 6977132</t>
  </si>
  <si>
    <t>E2098</t>
  </si>
  <si>
    <t>ALEXANDER GUZMAN</t>
  </si>
  <si>
    <t>AS735626</t>
  </si>
  <si>
    <t>+57 316 4247180</t>
  </si>
  <si>
    <t>E0831</t>
  </si>
  <si>
    <t>ALEXANDER JAVIER ALBINO JIMENEZ</t>
  </si>
  <si>
    <t>+48 783 056 361</t>
  </si>
  <si>
    <t>E0386</t>
  </si>
  <si>
    <t>ALEXANDER MANUEL LOPEZ ROJAS</t>
  </si>
  <si>
    <t>AV692233</t>
  </si>
  <si>
    <t>+48 731 013 497</t>
  </si>
  <si>
    <t>E1684</t>
  </si>
  <si>
    <t>ALEXANDER PEREIRA HERNANDEZ</t>
  </si>
  <si>
    <t>BD874725</t>
  </si>
  <si>
    <t>+48 515 733 428</t>
  </si>
  <si>
    <t>Stocco LDA</t>
  </si>
  <si>
    <t>E1451</t>
  </si>
  <si>
    <t>ALEXANDER SUAREZ PULGAR</t>
  </si>
  <si>
    <t>BD467127</t>
  </si>
  <si>
    <t>57 321 720 7178</t>
  </si>
  <si>
    <t>Kotrik Industrial, LDA</t>
  </si>
  <si>
    <t>E1313</t>
  </si>
  <si>
    <t>ALEXANDRE BEZERRA DE OLIVEIRA</t>
  </si>
  <si>
    <t>+351 929 070 753</t>
  </si>
  <si>
    <t>E1984</t>
  </si>
  <si>
    <t>ALEXEI MOLINA CHICA</t>
  </si>
  <si>
    <t>+58 4146978916</t>
  </si>
  <si>
    <t>E1876</t>
  </si>
  <si>
    <t>ALEXIS DIAGO ZUNIGA</t>
  </si>
  <si>
    <t>BF904145</t>
  </si>
  <si>
    <t>+34 610 72 21 22</t>
  </si>
  <si>
    <t>E2074</t>
  </si>
  <si>
    <t>ALEXIS ENRIQUE MORENO ARRIETA</t>
  </si>
  <si>
    <t>BG732756</t>
  </si>
  <si>
    <t>+57 314 5412524</t>
  </si>
  <si>
    <t>E1273</t>
  </si>
  <si>
    <t>ALEXIS HAIR GALEANO BOTELLO</t>
  </si>
  <si>
    <t>+34 600 77 33 42</t>
  </si>
  <si>
    <t>E1355</t>
  </si>
  <si>
    <t>ALEXIS JESUS SUAREZ GONZALEZ</t>
  </si>
  <si>
    <t>BC575429</t>
  </si>
  <si>
    <t>+57 312 630 5315</t>
  </si>
  <si>
    <t>E1277</t>
  </si>
  <si>
    <t>ALEXIS ORTIZ</t>
  </si>
  <si>
    <t>+57 311 2797029</t>
  </si>
  <si>
    <t>E1051</t>
  </si>
  <si>
    <t>ALFONSO DE JESUS YANES CABARCAS</t>
  </si>
  <si>
    <t>+57 323 5868503</t>
  </si>
  <si>
    <t>E1973</t>
  </si>
  <si>
    <t>ALFREDO ANTONIO OSPINO RANGEL</t>
  </si>
  <si>
    <t>BD903027</t>
  </si>
  <si>
    <t>+57 301 607 8912</t>
  </si>
  <si>
    <t>E1128</t>
  </si>
  <si>
    <t>ALFREDO ENRIQUE RODRIGUEZ NOGUERA</t>
  </si>
  <si>
    <t>+57 314 4890387</t>
  </si>
  <si>
    <t>E2018</t>
  </si>
  <si>
    <t>ALIRIO ACEROS AGUILAR</t>
  </si>
  <si>
    <t>+57 314 30 44143</t>
  </si>
  <si>
    <t>E0254</t>
  </si>
  <si>
    <t>ALIRIO ORTIZ MOLINA</t>
  </si>
  <si>
    <t>BE286208</t>
  </si>
  <si>
    <t>+34 642 60 05 16</t>
  </si>
  <si>
    <t>E0934</t>
  </si>
  <si>
    <t>ALISSON ANTONIO SOUSA DOS SANTOS</t>
  </si>
  <si>
    <t>+351 964 686 820</t>
  </si>
  <si>
    <t>Pendiente Baja</t>
  </si>
  <si>
    <t>E0783</t>
  </si>
  <si>
    <t>ALONSO PRADA</t>
  </si>
  <si>
    <t>34 624 09 61 14</t>
  </si>
  <si>
    <t>E1236</t>
  </si>
  <si>
    <t>ALONSO SIERRA GAFARO</t>
  </si>
  <si>
    <t>57 314 3506000</t>
  </si>
  <si>
    <t>E1244</t>
  </si>
  <si>
    <t>ALONSO SOLANO GOMEZ</t>
  </si>
  <si>
    <t> +34 647 50 93 68</t>
  </si>
  <si>
    <t>E1232</t>
  </si>
  <si>
    <t>ALVARO ADRIAN GOMEZ CASTRO</t>
  </si>
  <si>
    <t>+34 640 79 60 80</t>
  </si>
  <si>
    <t>E0888</t>
  </si>
  <si>
    <t>ALVARO ANDRES ARBELAEZ</t>
  </si>
  <si>
    <t>+57 317-4121683</t>
  </si>
  <si>
    <t>E0769</t>
  </si>
  <si>
    <t>ALVARO ANDRES QUIÑONES ZUÑIGA</t>
  </si>
  <si>
    <t>34 674 04 37 18</t>
  </si>
  <si>
    <t>E1707</t>
  </si>
  <si>
    <t>ALVARO ARIZA CONTRERAS</t>
  </si>
  <si>
    <t>BE168542</t>
  </si>
  <si>
    <t>+57 320 6915049</t>
  </si>
  <si>
    <t>E0677</t>
  </si>
  <si>
    <t>ALVARO DAZA MESA</t>
  </si>
  <si>
    <t>+57 321 3414128</t>
  </si>
  <si>
    <t>E0815</t>
  </si>
  <si>
    <t>ALVARO DIAZ GARCIA</t>
  </si>
  <si>
    <t>48 731 176 989</t>
  </si>
  <si>
    <t>E0166</t>
  </si>
  <si>
    <t>ALVARO ENRIQUE ROJAS DE LA OSSA</t>
  </si>
  <si>
    <t>AQ520819</t>
  </si>
  <si>
    <t>+34 672 20 36 15</t>
  </si>
  <si>
    <t>E0651</t>
  </si>
  <si>
    <t>ALVARO ESPINOSA ALCALDE</t>
  </si>
  <si>
    <t>+34 672 97 80 14</t>
  </si>
  <si>
    <t>E0565</t>
  </si>
  <si>
    <t>ALVARO FIGUEROA ARANGO</t>
  </si>
  <si>
    <t>BF806838</t>
  </si>
  <si>
    <t>+57 313 436 0999</t>
  </si>
  <si>
    <t>Wiseowe LDA</t>
  </si>
  <si>
    <t>E2079</t>
  </si>
  <si>
    <t>ALVARO JAVIER NARVAEZ MUÑOZ</t>
  </si>
  <si>
    <t>BD516455</t>
  </si>
  <si>
    <t>34607275082</t>
  </si>
  <si>
    <t>E0247</t>
  </si>
  <si>
    <t>ALVARO JOSE NAVARRETE GAMBOA</t>
  </si>
  <si>
    <t>+34 662 48 33 12</t>
  </si>
  <si>
    <t>E0442</t>
  </si>
  <si>
    <t>ALVARO JUNIOR CERVANTES MELENDEZ</t>
  </si>
  <si>
    <t>+57 310 738 2860</t>
  </si>
  <si>
    <t>E1061</t>
  </si>
  <si>
    <t>ALVARO NAVARRO CONTRERAS</t>
  </si>
  <si>
    <t>34 673917276</t>
  </si>
  <si>
    <t>E1404</t>
  </si>
  <si>
    <t>ALVARO PUERTA ESPITIA</t>
  </si>
  <si>
    <t>BC803810</t>
  </si>
  <si>
    <t>+48 505 734 353</t>
  </si>
  <si>
    <t>E1882</t>
  </si>
  <si>
    <t>ALVARO SEGOVIA TORRES</t>
  </si>
  <si>
    <t xml:space="preserve">AV605518 </t>
  </si>
  <si>
    <t>+57 320 489 0425</t>
  </si>
  <si>
    <t>E1192</t>
  </si>
  <si>
    <t>ALVARO SOLARTE VARON</t>
  </si>
  <si>
    <t>+34 600 47 04 14</t>
  </si>
  <si>
    <t>E1330</t>
  </si>
  <si>
    <t>ALYSON HENRIQUE SILVA NASCIMENTO</t>
  </si>
  <si>
    <t>+351 926 787 364</t>
  </si>
  <si>
    <t>E1878</t>
  </si>
  <si>
    <t>AMADOR JOSE JIMENEZ</t>
  </si>
  <si>
    <t>196828893</t>
  </si>
  <si>
    <t>+57 315 490 5421</t>
  </si>
  <si>
    <t>E1703</t>
  </si>
  <si>
    <t>ANDERSON CHELUVAY GONZALEZ TRUJILLO</t>
  </si>
  <si>
    <t>AY076491</t>
  </si>
  <si>
    <t>+57 313 813 3854</t>
  </si>
  <si>
    <t>E1186</t>
  </si>
  <si>
    <t>ANDERSON CORREA FLORES</t>
  </si>
  <si>
    <t>+34 640 93 28 44</t>
  </si>
  <si>
    <t>E0175</t>
  </si>
  <si>
    <t>ANDERSSON CANAVAL NUÑEZ</t>
  </si>
  <si>
    <t>+57 333 2625846</t>
  </si>
  <si>
    <t>E0536</t>
  </si>
  <si>
    <t>ANDERSSON DENILSON GOMEZ ASCENSIO</t>
  </si>
  <si>
    <t>+51 912 683 395</t>
  </si>
  <si>
    <t>E1331</t>
  </si>
  <si>
    <t>ANDRE DA SILVA ARAUJO</t>
  </si>
  <si>
    <t>+351 933 835 552</t>
  </si>
  <si>
    <t>E2067</t>
  </si>
  <si>
    <t>ANDRES AGREDO ARBOLEDA</t>
  </si>
  <si>
    <t>AX610947</t>
  </si>
  <si>
    <t>+57 316 6743908</t>
  </si>
  <si>
    <t>E1891</t>
  </si>
  <si>
    <t>ANDRES ALEXANDER BEJARANO PEREZ</t>
  </si>
  <si>
    <t>BG383525</t>
  </si>
  <si>
    <t>+34 624 36 99 54</t>
  </si>
  <si>
    <t>E0500</t>
  </si>
  <si>
    <t>ANDRES CAMILO ALVAREZ CUERVO</t>
  </si>
  <si>
    <t>BD487431</t>
  </si>
  <si>
    <t>+57 304 5451632</t>
  </si>
  <si>
    <t>E1964</t>
  </si>
  <si>
    <t>ANDRES CARLOS CANEDO BARRAGAN</t>
  </si>
  <si>
    <t>AX056912</t>
  </si>
  <si>
    <t>+57 301 778 7730</t>
  </si>
  <si>
    <t>E0795</t>
  </si>
  <si>
    <t>ANDRES FABIAN CASTRO OSPINA</t>
  </si>
  <si>
    <t>+57 313 8269973</t>
  </si>
  <si>
    <t>E1088</t>
  </si>
  <si>
    <t>ANDRES FABIAN GONZALEZ GARZON</t>
  </si>
  <si>
    <t>+34 642 03 94 85</t>
  </si>
  <si>
    <t>E0836</t>
  </si>
  <si>
    <t>ANDRES FELIPE CHAMIZO CERON</t>
  </si>
  <si>
    <t>34 603 26 95 09</t>
  </si>
  <si>
    <t>E0285</t>
  </si>
  <si>
    <t>ANDRES FELIPE GIRALDO GOMEZ</t>
  </si>
  <si>
    <t>AV241142</t>
  </si>
  <si>
    <t>+57 316 2346034</t>
  </si>
  <si>
    <t>E0359</t>
  </si>
  <si>
    <t>ANDRES FELIPE GOMEZ PUERTA</t>
  </si>
  <si>
    <t>AY694983</t>
  </si>
  <si>
    <t>+34 603 71 39 81</t>
  </si>
  <si>
    <t>E1101</t>
  </si>
  <si>
    <t>ANDRES FELIPE GRAJALES MOSQUERA</t>
  </si>
  <si>
    <t>34 624 83 01 16</t>
  </si>
  <si>
    <t>E1406</t>
  </si>
  <si>
    <t>ANDRES FELIPE LOPEZ FONTALVO</t>
  </si>
  <si>
    <t>BC345878</t>
  </si>
  <si>
    <t>+34 617 856 299</t>
  </si>
  <si>
    <t>E0617</t>
  </si>
  <si>
    <t>ANDRES FELIPE MARULANDA ARAQUE</t>
  </si>
  <si>
    <t>BE863158</t>
  </si>
  <si>
    <t>+34 647 01 84 58</t>
  </si>
  <si>
    <t>E1888</t>
  </si>
  <si>
    <t>ANDRES FELIPE PULIDO GOMEZ</t>
  </si>
  <si>
    <t>BF917906</t>
  </si>
  <si>
    <t>+57 311 502 5824</t>
  </si>
  <si>
    <t>E0778</t>
  </si>
  <si>
    <t>ANDRES FERNANDO MEDINA VALENCIA</t>
  </si>
  <si>
    <t>+34 602 41 33 83</t>
  </si>
  <si>
    <t>E0085</t>
  </si>
  <si>
    <t>ANDRES FERNANDO MONCAYO FLOREZ</t>
  </si>
  <si>
    <t>+57 315 865 3744</t>
  </si>
  <si>
    <t>E0581</t>
  </si>
  <si>
    <t>ANDRES VARON</t>
  </si>
  <si>
    <t>+34 643 65 33 76</t>
  </si>
  <si>
    <t>E0529</t>
  </si>
  <si>
    <t>ANDRIGK EDILBERTO CARDENAS SUAREZ</t>
  </si>
  <si>
    <t>BC998014</t>
  </si>
  <si>
    <t>48 453246364</t>
  </si>
  <si>
    <t>E1452</t>
  </si>
  <si>
    <t>ANDY JAVIER BARBOZA LEDESMA</t>
  </si>
  <si>
    <t>57 301 706 8952</t>
  </si>
  <si>
    <t>E0487</t>
  </si>
  <si>
    <t>ANDY LYONEL CARRASCO VARGAS</t>
  </si>
  <si>
    <t>+51 903 013 743</t>
  </si>
  <si>
    <t>E1453</t>
  </si>
  <si>
    <t>ANGEL ANDRES BARDALES RAMIREZ</t>
  </si>
  <si>
    <t>124965116</t>
  </si>
  <si>
    <t>34 613 84 68 35</t>
  </si>
  <si>
    <t>E1454</t>
  </si>
  <si>
    <t>ANGEL TEHERAN CARABALLO</t>
  </si>
  <si>
    <t>AS491762</t>
  </si>
  <si>
    <t>57 324 543 3919</t>
  </si>
  <si>
    <t>E0038</t>
  </si>
  <si>
    <t>ANGELO DE JESUS AGUDELO RESTREPO</t>
  </si>
  <si>
    <t>AS112747</t>
  </si>
  <si>
    <t>+57 320 510 4194</t>
  </si>
  <si>
    <t>E1455</t>
  </si>
  <si>
    <t>ÁNGELO PAUL VALLADOLID MOGOLLON</t>
  </si>
  <si>
    <t>51 989711276</t>
  </si>
  <si>
    <t>E1332</t>
  </si>
  <si>
    <t>ANGERSON GIULLIANO DE OLIVEIRA DANTAS</t>
  </si>
  <si>
    <t>+351 910 855 663</t>
  </si>
  <si>
    <t>E0621</t>
  </si>
  <si>
    <t>ANGINSON ARTURO PETRO SUAREZ</t>
  </si>
  <si>
    <t>AW052895</t>
  </si>
  <si>
    <t>+57 314 249 7386</t>
  </si>
  <si>
    <t>E0625</t>
  </si>
  <si>
    <t>ANSONY RODRIGUEZ PORRAS</t>
  </si>
  <si>
    <t>BD082611</t>
  </si>
  <si>
    <t>+57 321 563 5065</t>
  </si>
  <si>
    <t>E0129</t>
  </si>
  <si>
    <t>ANTERO UBALDO RAMIREZ MIRABAL</t>
  </si>
  <si>
    <t>+51 927 212 470</t>
  </si>
  <si>
    <t>E0213</t>
  </si>
  <si>
    <t>ANTHONY JULIAN MORENO VALDERRAMA</t>
  </si>
  <si>
    <t>BF729372</t>
  </si>
  <si>
    <t>+48 570 052 363</t>
  </si>
  <si>
    <t>E0712</t>
  </si>
  <si>
    <t>ANTHONY YESID BEDOYA TAQUINAS</t>
  </si>
  <si>
    <t>+34 641 33 90 01</t>
  </si>
  <si>
    <t>E1208</t>
  </si>
  <si>
    <t>ANTONIO ELIVAL SANTOS TORRES</t>
  </si>
  <si>
    <t>351 938 580 285</t>
  </si>
  <si>
    <t>E2126</t>
  </si>
  <si>
    <t>ANTONIO FAGNER ARAUJO DE OLIVEIRA</t>
  </si>
  <si>
    <t>GC832324</t>
  </si>
  <si>
    <t>+351939763300</t>
  </si>
  <si>
    <t>E1201</t>
  </si>
  <si>
    <t>ANTONIO YESID MARRUGO JARAMILLO</t>
  </si>
  <si>
    <t>+57 317 7631760</t>
  </si>
  <si>
    <t>E2137</t>
  </si>
  <si>
    <t>ANTONY ALEXANDER HERNANDEZ CHIRINOS</t>
  </si>
  <si>
    <t>169090263</t>
  </si>
  <si>
    <t>+58 424-6908619</t>
  </si>
  <si>
    <t>E1801</t>
  </si>
  <si>
    <t>ANUAR JIMENEZ DELGADO</t>
  </si>
  <si>
    <t>BG111658</t>
  </si>
  <si>
    <t>+57 320 655 1941</t>
  </si>
  <si>
    <t>E2073</t>
  </si>
  <si>
    <t>APOLINAR GARCIA HERNANDEZ</t>
  </si>
  <si>
    <t>BH153822</t>
  </si>
  <si>
    <t>+57 322 3274283</t>
  </si>
  <si>
    <t>E0545</t>
  </si>
  <si>
    <t>ARFAXAD SALINAS TORRES</t>
  </si>
  <si>
    <t>AT428285</t>
  </si>
  <si>
    <t>+57 311 5383848</t>
  </si>
  <si>
    <t>E2043</t>
  </si>
  <si>
    <t>ARGEMIRO JAVIER CORTES CALDERON</t>
  </si>
  <si>
    <t>AZ496736</t>
  </si>
  <si>
    <t>+7 321 879 4975</t>
  </si>
  <si>
    <t>E1736</t>
  </si>
  <si>
    <t>ARIEL SILVA GAMBOA</t>
  </si>
  <si>
    <t>AY749251</t>
  </si>
  <si>
    <t>+34 641 66 71 23</t>
  </si>
  <si>
    <t>E0383</t>
  </si>
  <si>
    <t>ARLEMAR RAFAEL CAMPOS WOLFF</t>
  </si>
  <si>
    <t>172294076</t>
  </si>
  <si>
    <t>+48 789 773 653</t>
  </si>
  <si>
    <t>E0177</t>
  </si>
  <si>
    <t>ARLEY DARIO PANTOJA CABRERA</t>
  </si>
  <si>
    <t>BE394505</t>
  </si>
  <si>
    <t>+34 615 15 75 95</t>
  </si>
  <si>
    <t>E1723</t>
  </si>
  <si>
    <t>ARLEY GUTIERREZ CORREDOR</t>
  </si>
  <si>
    <t>BD565193</t>
  </si>
  <si>
    <t>+34 671 41 94 37</t>
  </si>
  <si>
    <t>E1749</t>
  </si>
  <si>
    <t>ARLINTON ENRIQUE CABALLERO PEDROZO</t>
  </si>
  <si>
    <t>AW839925</t>
  </si>
  <si>
    <t>+34 678 94 33 73</t>
  </si>
  <si>
    <t>E0401</t>
  </si>
  <si>
    <t>ARMANDO DENIS ENRIQUEZ BLAS</t>
  </si>
  <si>
    <t>+51 978 913 605</t>
  </si>
  <si>
    <t>WISEOWE</t>
  </si>
  <si>
    <t>E1790</t>
  </si>
  <si>
    <t>ARMANDO QUIROGA JOVEN</t>
  </si>
  <si>
    <t>AV579253</t>
  </si>
  <si>
    <t>+57 310 5869336</t>
  </si>
  <si>
    <t>E1456</t>
  </si>
  <si>
    <t>ARNALDO ACEVEDO PATIÑO</t>
  </si>
  <si>
    <t>34 611233638</t>
  </si>
  <si>
    <t>E0024</t>
  </si>
  <si>
    <t>ARNULFO ENRIQUE JIMENEZ BARRIOS</t>
  </si>
  <si>
    <t>+57 301 5679536</t>
  </si>
  <si>
    <t>E1457</t>
  </si>
  <si>
    <t>ARNULFO SANCHEZ RUEDA</t>
  </si>
  <si>
    <t>57 310 213 0583</t>
  </si>
  <si>
    <t>E1694</t>
  </si>
  <si>
    <t>ARTURO HANS VELARDE AVALOS</t>
  </si>
  <si>
    <t>122340427</t>
  </si>
  <si>
    <t>+34 642 388 396</t>
  </si>
  <si>
    <t>E0062</t>
  </si>
  <si>
    <t>AYRTON MAXIMO CUMPA SENADOR</t>
  </si>
  <si>
    <t>124908115</t>
  </si>
  <si>
    <t>+51 965 920 131</t>
  </si>
  <si>
    <t>E2122</t>
  </si>
  <si>
    <t>BAIRON ALBERTO BELTRAN PARDO</t>
  </si>
  <si>
    <t>+57 322 8799335</t>
  </si>
  <si>
    <t>E1590</t>
  </si>
  <si>
    <t>BAIRON RENE BURBANO MORALES</t>
  </si>
  <si>
    <t>Bverificar</t>
  </si>
  <si>
    <t>+48 513 125 245</t>
  </si>
  <si>
    <t>E1837</t>
  </si>
  <si>
    <t>BAIRON SANCHEZ ORTIZ</t>
  </si>
  <si>
    <t>+34 664 402 836</t>
  </si>
  <si>
    <t>E0209</t>
  </si>
  <si>
    <t>BENJAMIN ALVARO CHILCA ORE</t>
  </si>
  <si>
    <t>124833502</t>
  </si>
  <si>
    <t>+51 902 248 221</t>
  </si>
  <si>
    <t>E0020</t>
  </si>
  <si>
    <t>BENJAMIN HERRERA MANOTAS</t>
  </si>
  <si>
    <t>+34 647 31 20 17</t>
  </si>
  <si>
    <t>E0201</t>
  </si>
  <si>
    <t>BENJAMIN MIGUEL VENTOCILLA CANDELARIO</t>
  </si>
  <si>
    <t>124668147</t>
  </si>
  <si>
    <t>+51 960 548 848</t>
  </si>
  <si>
    <t>E1902</t>
  </si>
  <si>
    <t>BENJAMIN MORALES GONZALEZ</t>
  </si>
  <si>
    <t>+31 6 6287211</t>
  </si>
  <si>
    <t>E1133</t>
  </si>
  <si>
    <t>BERNARDO CABRERA MARTINEZ</t>
  </si>
  <si>
    <t>+1 5819963903</t>
  </si>
  <si>
    <t>E0548</t>
  </si>
  <si>
    <t>BILLY ADOLFO MONSALVO VERGARA</t>
  </si>
  <si>
    <t>BC246432</t>
  </si>
  <si>
    <t>+34 635 69 86 59</t>
  </si>
  <si>
    <t>E0140</t>
  </si>
  <si>
    <t>BILLY STEFAN GONZALES DIAZ</t>
  </si>
  <si>
    <t>+507 683 239 48</t>
  </si>
  <si>
    <t>E0750</t>
  </si>
  <si>
    <t>BLADIMIR BARRAZA DIAZ</t>
  </si>
  <si>
    <t>+34 663 37 20 93</t>
  </si>
  <si>
    <t>E1458</t>
  </si>
  <si>
    <t>BLADIMIR JOSE FAJARDO CANO</t>
  </si>
  <si>
    <t>57 314 6710049</t>
  </si>
  <si>
    <t>E0195</t>
  </si>
  <si>
    <t>BLADIMIRO DIAZ MARTINEZ</t>
  </si>
  <si>
    <t>BE469722</t>
  </si>
  <si>
    <t>+57 300 2067223</t>
  </si>
  <si>
    <t>E1842</t>
  </si>
  <si>
    <t>BLAKIS ANTONIO BARBOZA TRUJILLO</t>
  </si>
  <si>
    <t>BD964686</t>
  </si>
  <si>
    <t>+57 320 522 2198</t>
  </si>
  <si>
    <t>E2103</t>
  </si>
  <si>
    <t>BOLIVAR GABRIEL ALDANA RAMIREZ</t>
  </si>
  <si>
    <t>BE190764</t>
  </si>
  <si>
    <t>+57 323 4683786</t>
  </si>
  <si>
    <t>E0250</t>
  </si>
  <si>
    <t>BORIS ALI CHUNGA LUJAN</t>
  </si>
  <si>
    <t>123498354</t>
  </si>
  <si>
    <t>+51 997 123 606</t>
  </si>
  <si>
    <t>E0949</t>
  </si>
  <si>
    <t>BORIS KIKO RAMIREZ PEREZ</t>
  </si>
  <si>
    <t>+34 673 40 42 83</t>
  </si>
  <si>
    <t>E1249</t>
  </si>
  <si>
    <t>BRANDON ALEXANDER BAYONA CABALLERO</t>
  </si>
  <si>
    <t>+48 509 040 462</t>
  </si>
  <si>
    <t>E1979</t>
  </si>
  <si>
    <t>BRANDON RAMIREZ ZAPATA</t>
  </si>
  <si>
    <t>BG012266</t>
  </si>
  <si>
    <t>+57 302 603 6157</t>
  </si>
  <si>
    <t>E0756</t>
  </si>
  <si>
    <t>BRAULIO JOSE ORTIZ LLORENTE</t>
  </si>
  <si>
    <t>+57 300 7422078</t>
  </si>
  <si>
    <t>E2055</t>
  </si>
  <si>
    <t>BRAYAN ALBERTO MOYA MERINO</t>
  </si>
  <si>
    <t>BA231685</t>
  </si>
  <si>
    <t>+57 301 5982745</t>
  </si>
  <si>
    <t>E1762</t>
  </si>
  <si>
    <t>BRAYAN ALEXANDER CARABALI SANCHEZ</t>
  </si>
  <si>
    <t>BE295377</t>
  </si>
  <si>
    <t>+57 320 614 9450</t>
  </si>
  <si>
    <t>E0812</t>
  </si>
  <si>
    <t>BRAYAN ANDRES CAMACHO BURGOS</t>
  </si>
  <si>
    <t>57 312 7444181</t>
  </si>
  <si>
    <t>E0994</t>
  </si>
  <si>
    <t>BRAYAN ANDRES VASQUEZ AGUIRRE</t>
  </si>
  <si>
    <t>+34 641 02 48 99</t>
  </si>
  <si>
    <t>E0292</t>
  </si>
  <si>
    <t>BRAYAN ESTEBAN NIETO DIAZ</t>
  </si>
  <si>
    <t>+34 632 54 04 18</t>
  </si>
  <si>
    <t>E0886</t>
  </si>
  <si>
    <t>BRAYAN ESTIVEN SANCHEZ LINARES</t>
  </si>
  <si>
    <t>+57 321 6272182</t>
  </si>
  <si>
    <t>E0052</t>
  </si>
  <si>
    <t>BRAYAN JAIR SALAZAR ORTEGA</t>
  </si>
  <si>
    <t>BD534950</t>
  </si>
  <si>
    <t>+57 311 7452227</t>
  </si>
  <si>
    <t>E1682</t>
  </si>
  <si>
    <t>BRAYAN JAVIER CHAVES NARVAEZ</t>
  </si>
  <si>
    <t>AZ881148</t>
  </si>
  <si>
    <t>+34 685 77 44 59</t>
  </si>
  <si>
    <t>E1897</t>
  </si>
  <si>
    <t>BRAYAN JOSE ALARCON MORALES</t>
  </si>
  <si>
    <t>BG482312</t>
  </si>
  <si>
    <t>+34 625 56 62 70</t>
  </si>
  <si>
    <t>E1668</t>
  </si>
  <si>
    <t>BRAYAN JOSE SALINAS MARTINEZ</t>
  </si>
  <si>
    <t>BA629221</t>
  </si>
  <si>
    <t>+48 512 745 953</t>
  </si>
  <si>
    <t>E1821</t>
  </si>
  <si>
    <t>BRAYAN JULIAN GAZCON MARIN</t>
  </si>
  <si>
    <t xml:space="preserve"> BA238295</t>
  </si>
  <si>
    <t>+57 314 667 1448</t>
  </si>
  <si>
    <t>E0925</t>
  </si>
  <si>
    <t>BRAYAN STEVEN BARRIOS MIÑO</t>
  </si>
  <si>
    <t>+34 617 74 08 42</t>
  </si>
  <si>
    <t>E1758</t>
  </si>
  <si>
    <t>BRAYN STEVENS OBANDO CORAL</t>
  </si>
  <si>
    <t>AV618583</t>
  </si>
  <si>
    <t>+57 310 3751826</t>
  </si>
  <si>
    <t>E0558</t>
  </si>
  <si>
    <t>BREIDIS JOSE CARDOZO GALUE</t>
  </si>
  <si>
    <t>+34 654 35 94 43</t>
  </si>
  <si>
    <t>E0622</t>
  </si>
  <si>
    <t>BREINER MOLINA PELAEZ</t>
  </si>
  <si>
    <t>AZ062652</t>
  </si>
  <si>
    <t>+34 603 97 30 45</t>
  </si>
  <si>
    <t>E0752</t>
  </si>
  <si>
    <t>BRUNO ARIEL WINTER COMANDO</t>
  </si>
  <si>
    <t>+34 603 761663</t>
  </si>
  <si>
    <t>E1333</t>
  </si>
  <si>
    <t>BRUNO DA COSTA FÉ</t>
  </si>
  <si>
    <t>+351 915 712 558</t>
  </si>
  <si>
    <t>E0743</t>
  </si>
  <si>
    <t>BRUNO DE OLIVEIRA GALVÃO DOS SANTOS</t>
  </si>
  <si>
    <t>51 915 334 651</t>
  </si>
  <si>
    <t>E0360</t>
  </si>
  <si>
    <t>BRYAN ELIUT GAITAN GOMEZ</t>
  </si>
  <si>
    <t>BF066172</t>
  </si>
  <si>
    <t>+57 313 4993437</t>
  </si>
  <si>
    <t>E0153</t>
  </si>
  <si>
    <t>BYRON GIUSEPPE FONSECA DURAN</t>
  </si>
  <si>
    <t>BC119086</t>
  </si>
  <si>
    <t>+48 512 132 813</t>
  </si>
  <si>
    <t>E2094</t>
  </si>
  <si>
    <t>BYRON YESID SUAREZ CUADRADO</t>
  </si>
  <si>
    <t xml:space="preserve">BF203713 </t>
  </si>
  <si>
    <t>+34 613 84 69 93</t>
  </si>
  <si>
    <t>E1459</t>
  </si>
  <si>
    <t>CAMILO ANDRES DUEÑAS NIÑO</t>
  </si>
  <si>
    <t>AY619580</t>
  </si>
  <si>
    <t>57 324 685 1937</t>
  </si>
  <si>
    <t>E0923</t>
  </si>
  <si>
    <t>CAMILO ANDRES RAMIREZ BAHAMON</t>
  </si>
  <si>
    <t>48 780 163 657</t>
  </si>
  <si>
    <t>E1995</t>
  </si>
  <si>
    <t>CAMILO ANDRES RUBIO LEON</t>
  </si>
  <si>
    <t>AW659299</t>
  </si>
  <si>
    <t>+57 320 368 6551</t>
  </si>
  <si>
    <t>E0277</t>
  </si>
  <si>
    <t>CAMILO ANDRES VALERO PEREZ</t>
  </si>
  <si>
    <t>+57 302 4600991</t>
  </si>
  <si>
    <t>E2048</t>
  </si>
  <si>
    <t>CAMILO BUSTOS BECERRA</t>
  </si>
  <si>
    <t>AX573980</t>
  </si>
  <si>
    <t>+57 350 627 9395</t>
  </si>
  <si>
    <t>E0152</t>
  </si>
  <si>
    <t>CARLOS ADRIAN CAMELO CALDERON</t>
  </si>
  <si>
    <t>+48 516 802 203</t>
  </si>
  <si>
    <t>E0060</t>
  </si>
  <si>
    <t>CARLOS ALBERTO CABEZAS IBARGUEN</t>
  </si>
  <si>
    <t>+57 312 6763857</t>
  </si>
  <si>
    <t>E2012</t>
  </si>
  <si>
    <t>CARLOS ALBERTO CARDONA YAIMA</t>
  </si>
  <si>
    <t>BG927763</t>
  </si>
  <si>
    <t>+57 316 276 3566</t>
  </si>
  <si>
    <t>E0451</t>
  </si>
  <si>
    <t>CARLOS ALBERTO CARTAGENA GONZALEZ</t>
  </si>
  <si>
    <t>AT527122</t>
  </si>
  <si>
    <t>+34 613 787 029</t>
  </si>
  <si>
    <t>E1943</t>
  </si>
  <si>
    <t>CARLOS ALBERTO CIFUENTES MIRANDA</t>
  </si>
  <si>
    <t>AS470050</t>
  </si>
  <si>
    <t>+34 615 746 667</t>
  </si>
  <si>
    <t>E0271</t>
  </si>
  <si>
    <t>CARLOS ALBERTO CORREA OREJUELA</t>
  </si>
  <si>
    <t>AZ436778</t>
  </si>
  <si>
    <t>+57 317 297 0401</t>
  </si>
  <si>
    <t>E1599</t>
  </si>
  <si>
    <t>CARLOS ALBERTO DOMINGUEZ CORDOVA</t>
  </si>
  <si>
    <t>122451233</t>
  </si>
  <si>
    <t>51 948 792 482</t>
  </si>
  <si>
    <t>E1695</t>
  </si>
  <si>
    <t>CARLOS ALBERTO GUIA MONROY</t>
  </si>
  <si>
    <t>124512934</t>
  </si>
  <si>
    <t>+34 640 044 994</t>
  </si>
  <si>
    <t>E0041</t>
  </si>
  <si>
    <t>CARLOS ALBERTO GUZMAN CASTRO</t>
  </si>
  <si>
    <t>+57 321 3118383</t>
  </si>
  <si>
    <t>E0933</t>
  </si>
  <si>
    <t>CARLOS ALBERTO PACHAJOA ZEMANATE</t>
  </si>
  <si>
    <t>+57 317 7276452</t>
  </si>
  <si>
    <t>E0252</t>
  </si>
  <si>
    <t>CARLOS ALBERTO PINTADO CARRION</t>
  </si>
  <si>
    <t>+51 921 104 305</t>
  </si>
  <si>
    <t>Pendiente alta</t>
  </si>
  <si>
    <t>E0155</t>
  </si>
  <si>
    <t>CARLOS ALBERTO RAMOS URBANO</t>
  </si>
  <si>
    <t>+57 310 4429935</t>
  </si>
  <si>
    <t>E1460</t>
  </si>
  <si>
    <t>CARLOS ALBERTO SALAZAR URBINA</t>
  </si>
  <si>
    <t>34 676 395 121</t>
  </si>
  <si>
    <t>E2003</t>
  </si>
  <si>
    <t>CARLOS ALBERTO ZAMBRANO OROZCO</t>
  </si>
  <si>
    <t>BE901887</t>
  </si>
  <si>
    <t>+34 654 974 338</t>
  </si>
  <si>
    <t>E0176</t>
  </si>
  <si>
    <t>CARLOS ALFREDO ESCORCIA MORENO</t>
  </si>
  <si>
    <t>+34 632 53 99 40</t>
  </si>
  <si>
    <t>E2100</t>
  </si>
  <si>
    <t>CARLOS ANDRES ARIAS RODRIGUEZ</t>
  </si>
  <si>
    <t>AW201200</t>
  </si>
  <si>
    <t>+34 672 86 08 60</t>
  </si>
  <si>
    <t>E2020</t>
  </si>
  <si>
    <t>CARLOS ANDRES ARROYO BERTEL</t>
  </si>
  <si>
    <t>BD878641</t>
  </si>
  <si>
    <t>+57 302 318 8051</t>
  </si>
  <si>
    <t>E0835</t>
  </si>
  <si>
    <t>CARLOS ANDRES ECHAVEZ ALVAREZ</t>
  </si>
  <si>
    <t>+39 377 311 7968</t>
  </si>
  <si>
    <t>E1461</t>
  </si>
  <si>
    <t>CARLOS ANDRES GONZALEZ GUTIERREZ</t>
  </si>
  <si>
    <t>34 643 649 856</t>
  </si>
  <si>
    <t>E0133</t>
  </si>
  <si>
    <t>CARLOS ANDRES JIMENEZ OROZCO</t>
  </si>
  <si>
    <t>+34 613 391850</t>
  </si>
  <si>
    <t>E0396</t>
  </si>
  <si>
    <t>CARLOS ANDRES JIMENEZ RAMIREZ</t>
  </si>
  <si>
    <t>BG312181</t>
  </si>
  <si>
    <t>+57 301 2789677</t>
  </si>
  <si>
    <t>E1407</t>
  </si>
  <si>
    <t>CARLOS ANDRES MANTILLA URREGO</t>
  </si>
  <si>
    <t>AT366466</t>
  </si>
  <si>
    <t>+573186024417</t>
  </si>
  <si>
    <t>E1679</t>
  </si>
  <si>
    <t>CARLOS ANDRES PARRA ESPITIA</t>
  </si>
  <si>
    <t>AZ417007</t>
  </si>
  <si>
    <t>+57 312 465 7238</t>
  </si>
  <si>
    <t>E1731</t>
  </si>
  <si>
    <t>CARLOS ANDRES PULIDO CHAVEZ</t>
  </si>
  <si>
    <t>BE316400</t>
  </si>
  <si>
    <t>+34 617 747 889</t>
  </si>
  <si>
    <t>E1989</t>
  </si>
  <si>
    <t>CARLOS ANDRES QUINTERO ARCIA</t>
  </si>
  <si>
    <t>AU834323</t>
  </si>
  <si>
    <t>+57 318 5408084</t>
  </si>
  <si>
    <t>E0231</t>
  </si>
  <si>
    <t>CARLOS ANDRES RIBON PABON</t>
  </si>
  <si>
    <t>BC511835</t>
  </si>
  <si>
    <t>+34 624 928 829</t>
  </si>
  <si>
    <t>E0016</t>
  </si>
  <si>
    <t>CARLOS ANDRES RINCON USAQUEN</t>
  </si>
  <si>
    <t>AU913504</t>
  </si>
  <si>
    <t>+48 881 381 099</t>
  </si>
  <si>
    <t>E0313</t>
  </si>
  <si>
    <t>CARLOS ANDRES ROJAS</t>
  </si>
  <si>
    <t>+34 637 96 14 71</t>
  </si>
  <si>
    <t>E2026</t>
  </si>
  <si>
    <t>CARLOS ANDRES SILVA CORREA</t>
  </si>
  <si>
    <t>AW284218</t>
  </si>
  <si>
    <t>+57 320 984 2120</t>
  </si>
  <si>
    <t>E1346</t>
  </si>
  <si>
    <t>CARLOS ARTURO ALARCON CAMACHO</t>
  </si>
  <si>
    <t>57 317 5913898</t>
  </si>
  <si>
    <t>E0100</t>
  </si>
  <si>
    <t>CARLOS ARTURO GONZALEZ GOMEZ</t>
  </si>
  <si>
    <t>BE784998</t>
  </si>
  <si>
    <t>+34 654 02 57 85</t>
  </si>
  <si>
    <t>E1860</t>
  </si>
  <si>
    <t>CARLOS ARTURO RESTREPO RESTREPO</t>
  </si>
  <si>
    <t>BD698089</t>
  </si>
  <si>
    <t>+57 310 724 1411</t>
  </si>
  <si>
    <t>E0402</t>
  </si>
  <si>
    <t>CARLOS AUGUSTO SALDARRIAGA MONTEALBAN</t>
  </si>
  <si>
    <t>224482572</t>
  </si>
  <si>
    <t>+51 941 919 935</t>
  </si>
  <si>
    <t>E0012</t>
  </si>
  <si>
    <t>CARLOS AUGUSTO SOLANO GRISALES</t>
  </si>
  <si>
    <t>+34 647 53 16 39</t>
  </si>
  <si>
    <t>E1976</t>
  </si>
  <si>
    <t>CARLOS DANIEL RODRIGUEZ PENA</t>
  </si>
  <si>
    <t>BE392017</t>
  </si>
  <si>
    <t>+57 313 263 8487</t>
  </si>
  <si>
    <t>E1211</t>
  </si>
  <si>
    <t>CARLOS DELGADO QUIÑONES</t>
  </si>
  <si>
    <t>321 6247881</t>
  </si>
  <si>
    <t>E0481</t>
  </si>
  <si>
    <t>CARLOS EDUARDO CALDERON SALDARRIAGA</t>
  </si>
  <si>
    <t>+51 977 811 169</t>
  </si>
  <si>
    <t>E0144</t>
  </si>
  <si>
    <t>CARLOS EDUARDO CARDENAS ESPINOSA</t>
  </si>
  <si>
    <t>bc201112</t>
  </si>
  <si>
    <t>+34 604 17 58 87</t>
  </si>
  <si>
    <t>E0736</t>
  </si>
  <si>
    <t>CARLOS EDUARDO FORBES MARIN</t>
  </si>
  <si>
    <t>34 641 31 84 23</t>
  </si>
  <si>
    <t>E1031</t>
  </si>
  <si>
    <t>CARLOS EDUARDO TEIXEIRA DA COSTA</t>
  </si>
  <si>
    <t>351 915 884 159</t>
  </si>
  <si>
    <t>E0745</t>
  </si>
  <si>
    <t>CARLOS EMILIO MONSALVE MARIN</t>
  </si>
  <si>
    <t>+34 600 90 58 73</t>
  </si>
  <si>
    <t>E1463</t>
  </si>
  <si>
    <t>CARLOS ERNESTO GUZMÁN ARIZA GUZMÁN</t>
  </si>
  <si>
    <t>+48 501 855 526</t>
  </si>
  <si>
    <t>E0782</t>
  </si>
  <si>
    <t>CARLOS FABIAN ACERO BAUTISTA</t>
  </si>
  <si>
    <t>+57 312 4866719</t>
  </si>
  <si>
    <t>E2010</t>
  </si>
  <si>
    <t>CARLOS FELIPE QUINTERO JAIMES</t>
  </si>
  <si>
    <t>+57 311 817 6224</t>
  </si>
  <si>
    <t>E0221</t>
  </si>
  <si>
    <t>CARLOS FERNANDEZ MARTINEZ</t>
  </si>
  <si>
    <t>+34 602 360 156</t>
  </si>
  <si>
    <t>E1464</t>
  </si>
  <si>
    <t>CARLOS GIOVANNI RONDEROS VEGA</t>
  </si>
  <si>
    <t>BG101061</t>
  </si>
  <si>
    <t>34602059821</t>
  </si>
  <si>
    <t>E1164</t>
  </si>
  <si>
    <t>CARLOS HENRIQUE DA SILVA</t>
  </si>
  <si>
    <t>3.51915E+16</t>
  </si>
  <si>
    <t>E0675</t>
  </si>
  <si>
    <t>CARLOS JAIRO CORREA MEJIA</t>
  </si>
  <si>
    <t>34 682001707</t>
  </si>
  <si>
    <t>E1303</t>
  </si>
  <si>
    <t>CARLOS JESUS ESCUDERO LUNA</t>
  </si>
  <si>
    <t>AU300608</t>
  </si>
  <si>
    <t>+34 647 07 12 92</t>
  </si>
  <si>
    <t>E1465</t>
  </si>
  <si>
    <t>CARLOS JESUS MENDIGUETE VILLA</t>
  </si>
  <si>
    <t>122371760</t>
  </si>
  <si>
    <t>51 956631495</t>
  </si>
  <si>
    <t>E0926</t>
  </si>
  <si>
    <t>CARLOS JOSUE CUMPA TALLEDO</t>
  </si>
  <si>
    <t>+51 972 354 228</t>
  </si>
  <si>
    <t>E0553</t>
  </si>
  <si>
    <t>CARLOS JULIO ACOSTA CAMACHO</t>
  </si>
  <si>
    <t>AZ347415</t>
  </si>
  <si>
    <t>+48 576 860 261</t>
  </si>
  <si>
    <t>E2095</t>
  </si>
  <si>
    <t>CARLOS JULIO CANON</t>
  </si>
  <si>
    <t>AY987746</t>
  </si>
  <si>
    <t>+57 321 7575834</t>
  </si>
  <si>
    <t>E1815</t>
  </si>
  <si>
    <t>CARLOS JULIO CANON SALCEDO</t>
  </si>
  <si>
    <t>AZ008379</t>
  </si>
  <si>
    <t>+34 624 87 15 03</t>
  </si>
  <si>
    <t>E1854</t>
  </si>
  <si>
    <t>CARLOS JULIO LOZANO SIERRA</t>
  </si>
  <si>
    <t>AZ527939</t>
  </si>
  <si>
    <t>+57 321 217 2373</t>
  </si>
  <si>
    <t>E0013</t>
  </si>
  <si>
    <t>CARLOS JULIO MARTINEZ ESPINOSA</t>
  </si>
  <si>
    <t>+34 613 98 23 45</t>
  </si>
  <si>
    <t>E0491</t>
  </si>
  <si>
    <t>CARLOS MARIO JARAMILLO LOPEZ</t>
  </si>
  <si>
    <t>AV385391</t>
  </si>
  <si>
    <t>+34 641 35 73 88</t>
  </si>
  <si>
    <t>E0325</t>
  </si>
  <si>
    <t>CARLOS MARIO MOLINA</t>
  </si>
  <si>
    <t>AR950474</t>
  </si>
  <si>
    <t>+57 321 6192816</t>
  </si>
  <si>
    <t>E2054</t>
  </si>
  <si>
    <t>CARLOS MARIO ROCHA ARIZ</t>
  </si>
  <si>
    <t>BA866770</t>
  </si>
  <si>
    <t>+57 320 535 6863</t>
  </si>
  <si>
    <t>E0801</t>
  </si>
  <si>
    <t>CARLOS MITCHELL SANTOS RODRIGUEZ</t>
  </si>
  <si>
    <t>122692216</t>
  </si>
  <si>
    <t>+34 666 49 02 43</t>
  </si>
  <si>
    <t>E1349</t>
  </si>
  <si>
    <t>CARLOS RAMIRO BERRIO TORRES</t>
  </si>
  <si>
    <t>57 311 8658175</t>
  </si>
  <si>
    <t>E0746</t>
  </si>
  <si>
    <t>CARLOS ROBEIRO BETANCUR</t>
  </si>
  <si>
    <t>+57 300 7209587</t>
  </si>
  <si>
    <t>E1874</t>
  </si>
  <si>
    <t>CARLOS ROBERTO SAAVEDRA ROJAS</t>
  </si>
  <si>
    <t>AT332240</t>
  </si>
  <si>
    <t>+57 317 734 8676</t>
  </si>
  <si>
    <t>E2013</t>
  </si>
  <si>
    <t>CARLOS SANCHEZ DURAN</t>
  </si>
  <si>
    <t>+57 315 405 4470</t>
  </si>
  <si>
    <t>E0797</t>
  </si>
  <si>
    <t>CARLOS URIEL CASTRO NIEVA</t>
  </si>
  <si>
    <t>+34 624 14 95 34</t>
  </si>
  <si>
    <t>E0977</t>
  </si>
  <si>
    <t>CELINIO LEONARDO DELL ARETI ASSIS</t>
  </si>
  <si>
    <t>351 931 625 560</t>
  </si>
  <si>
    <t>E1007</t>
  </si>
  <si>
    <t>CELSO ROBERTO GONANDY DE ALMEIDA</t>
  </si>
  <si>
    <t>E1982</t>
  </si>
  <si>
    <t>CESAR AUGUSTO ANGARITA RIVERA</t>
  </si>
  <si>
    <t>BC804892</t>
  </si>
  <si>
    <t>+57 310 274 7613</t>
  </si>
  <si>
    <t>E1466</t>
  </si>
  <si>
    <t>CESAR AUGUSTO ARCE GOMEZ</t>
  </si>
  <si>
    <t>BE520573</t>
  </si>
  <si>
    <t>+34 671 17 44 75</t>
  </si>
  <si>
    <t>E1759</t>
  </si>
  <si>
    <t>CESAR AUGUSTO HOYOS SERNA</t>
  </si>
  <si>
    <t>BC566381</t>
  </si>
  <si>
    <t>+48 733 125 192</t>
  </si>
  <si>
    <t>E0331</t>
  </si>
  <si>
    <t>CESAR AUGUSTO LONDONO GASCA</t>
  </si>
  <si>
    <t>AR065055</t>
  </si>
  <si>
    <t>+34 645 20 86 04</t>
  </si>
  <si>
    <t>E1923</t>
  </si>
  <si>
    <t>CESAR AUGUSTO LONDONO USME</t>
  </si>
  <si>
    <t>BF334150</t>
  </si>
  <si>
    <t>+34 674 65 71 34</t>
  </si>
  <si>
    <t>E0821</t>
  </si>
  <si>
    <t>CESAR AUGUSTO MELENDEZ MECADO</t>
  </si>
  <si>
    <t>57 310 5819387</t>
  </si>
  <si>
    <t>E1107</t>
  </si>
  <si>
    <t>CESAR AUGUSTO PORTOCARRERO PISCO</t>
  </si>
  <si>
    <t>+34 670 33 89 53</t>
  </si>
  <si>
    <t>E1467</t>
  </si>
  <si>
    <t>CESAR AUGUSTO RAMIREZ TABERA</t>
  </si>
  <si>
    <t>34 666 310 888</t>
  </si>
  <si>
    <t>E0063</t>
  </si>
  <si>
    <t>CESAR EDUARDO GONZALES BARRIENTOS</t>
  </si>
  <si>
    <t>124368963</t>
  </si>
  <si>
    <t>+51 941 418 066</t>
  </si>
  <si>
    <t>E2050</t>
  </si>
  <si>
    <t>CESAR EDUARDO RAMIREZ TOVAR</t>
  </si>
  <si>
    <t>BH257842</t>
  </si>
  <si>
    <t>+57 314 787 0526</t>
  </si>
  <si>
    <t>E0454</t>
  </si>
  <si>
    <t>CESAR FARID PADILLA MORENO</t>
  </si>
  <si>
    <t>+57 301 7466479</t>
  </si>
  <si>
    <t>E1468</t>
  </si>
  <si>
    <t>CESAR GABRIEL TORRES MONTAÑEZ</t>
  </si>
  <si>
    <t>57 321 208 6563</t>
  </si>
  <si>
    <t>E1716</t>
  </si>
  <si>
    <t>CESAR IVAN SANDOVAL CADENA</t>
  </si>
  <si>
    <t>+34 603 57 09 64</t>
  </si>
  <si>
    <t>E1689</t>
  </si>
  <si>
    <t>CESAR JOSE MARTINEZ RIVERO</t>
  </si>
  <si>
    <t>187471888</t>
  </si>
  <si>
    <t>+33 780 215 600</t>
  </si>
  <si>
    <t>E2120</t>
  </si>
  <si>
    <t>CESAR NORBEY PENAGOS DUQUE</t>
  </si>
  <si>
    <t>BH278670</t>
  </si>
  <si>
    <t>+573106730946</t>
  </si>
  <si>
    <t>E0459</t>
  </si>
  <si>
    <t>CESAR ORLANDO PEDRAZA LANCHEROS</t>
  </si>
  <si>
    <t>+48 888 763 922</t>
  </si>
  <si>
    <t>E0826</t>
  </si>
  <si>
    <t>CHARLY DURAN UPEGUI</t>
  </si>
  <si>
    <t>34 624 59 22 02</t>
  </si>
  <si>
    <t>E0295</t>
  </si>
  <si>
    <t>CHARLY PEREZ LORZA</t>
  </si>
  <si>
    <t>+34 612 42 52 36</t>
  </si>
  <si>
    <t>E0420</t>
  </si>
  <si>
    <t>CHRISTIAN ALBERTO VALENCIA LOBON</t>
  </si>
  <si>
    <t>+34 602 53 51 85</t>
  </si>
  <si>
    <t>E0861</t>
  </si>
  <si>
    <t>CHRISTIAN ANDRES IZQUIERDO LOURIDO</t>
  </si>
  <si>
    <t>+34 697 73 50 57</t>
  </si>
  <si>
    <t>E1341</t>
  </si>
  <si>
    <t>CHRISTIAN JAIR DIAZ CORDOVA</t>
  </si>
  <si>
    <t>+51 927 659 502</t>
  </si>
  <si>
    <t>E0546</t>
  </si>
  <si>
    <t>CHRISTIAN NAYID SIMONDS GOMEZ</t>
  </si>
  <si>
    <t>BA304090</t>
  </si>
  <si>
    <t>34 611 36 43 78</t>
  </si>
  <si>
    <t>E0629</t>
  </si>
  <si>
    <t>CHRISTIAN ZAMBRANO</t>
  </si>
  <si>
    <t>BF640844</t>
  </si>
  <si>
    <t>+34 674 106 133</t>
  </si>
  <si>
    <t>E1129</t>
  </si>
  <si>
    <t>CICERO LIMA BATISTA</t>
  </si>
  <si>
    <t>FU806455</t>
  </si>
  <si>
    <t>+34 641997520</t>
  </si>
  <si>
    <t>E1835</t>
  </si>
  <si>
    <t>CLAUBER FONSECA MARCIANO</t>
  </si>
  <si>
    <t>GG297271</t>
  </si>
  <si>
    <t>+34 610 605 414</t>
  </si>
  <si>
    <t>E2131</t>
  </si>
  <si>
    <t>CLAUDEMIR DO NASCIMENTO FURTADO</t>
  </si>
  <si>
    <t>GA370662</t>
  </si>
  <si>
    <t>+351 917 210 759</t>
  </si>
  <si>
    <t>E1600</t>
  </si>
  <si>
    <t>CLAUDIO JOSE ANTUNES</t>
  </si>
  <si>
    <t>351 937 382 987</t>
  </si>
  <si>
    <t>E1231</t>
  </si>
  <si>
    <t>CLAUDIO MARTIN DIAZ MANJARREZ</t>
  </si>
  <si>
    <t>48 696 718 529</t>
  </si>
  <si>
    <t>E0898</t>
  </si>
  <si>
    <t>CLAUDIONOR GONÇALVEZ FREIRE</t>
  </si>
  <si>
    <t>E1254</t>
  </si>
  <si>
    <t>CLEDISON DE NOVAIS</t>
  </si>
  <si>
    <t>+351 915 836 358</t>
  </si>
  <si>
    <t>E1176</t>
  </si>
  <si>
    <t>CLESSIO DOS SANTOS CORREIA</t>
  </si>
  <si>
    <t>E1469</t>
  </si>
  <si>
    <t>CORIOLANO ALFREDO ROJAS MURILLO</t>
  </si>
  <si>
    <t>BE452964</t>
  </si>
  <si>
    <t>+57 310 4258886</t>
  </si>
  <si>
    <t>E1083</t>
  </si>
  <si>
    <t>CRISTHIAN ANDRES CURAY LAZARO</t>
  </si>
  <si>
    <t>+51 938 648 155</t>
  </si>
  <si>
    <t>E0499</t>
  </si>
  <si>
    <t>CRISTHIAN MAURICIO VALENCIA MOLINA</t>
  </si>
  <si>
    <t>AY201860</t>
  </si>
  <si>
    <t>+34 607 25 65 49</t>
  </si>
  <si>
    <t>E0798</t>
  </si>
  <si>
    <t>CRISTHIAN MOLINA AGUILAR</t>
  </si>
  <si>
    <t>+48 518 094 466</t>
  </si>
  <si>
    <t>E1776</t>
  </si>
  <si>
    <t>CRISTIAN ADRIAN QUIROS RAMOS</t>
  </si>
  <si>
    <t>PA1303403</t>
  </si>
  <si>
    <t>+507 635 88750</t>
  </si>
  <si>
    <t>E1379</t>
  </si>
  <si>
    <t>CRISTIAN AGUILAR OSORIO</t>
  </si>
  <si>
    <t>E1909</t>
  </si>
  <si>
    <t>CRISTIAN ARIZA MARTINEZ</t>
  </si>
  <si>
    <t>AV770384</t>
  </si>
  <si>
    <t>+34 637 469 286</t>
  </si>
  <si>
    <t>E1918</t>
  </si>
  <si>
    <t>CRISTIAN CAMILO BORRE SILVA</t>
  </si>
  <si>
    <t>BG774596</t>
  </si>
  <si>
    <t>+57 312 241 4941</t>
  </si>
  <si>
    <t>E1673</t>
  </si>
  <si>
    <t>CRISTIAN CAMILO CABALLERO CORREDOR</t>
  </si>
  <si>
    <t>AU247818</t>
  </si>
  <si>
    <t>+57 317 837 0960</t>
  </si>
  <si>
    <t>E0330</t>
  </si>
  <si>
    <t>CRISTIAN DARIO VILLADA CATAÑO</t>
  </si>
  <si>
    <t>BE154924</t>
  </si>
  <si>
    <t>+34 685 41 24 57</t>
  </si>
  <si>
    <t>E1220</t>
  </si>
  <si>
    <t>CRISTIAN DAVID CADAVID MENESES</t>
  </si>
  <si>
    <t>34 663 98 31 75</t>
  </si>
  <si>
    <t>E1157</t>
  </si>
  <si>
    <t>CRISTIAN DAVID GRAZON ALTAMAR</t>
  </si>
  <si>
    <t>+57 310 5096623</t>
  </si>
  <si>
    <t>E1470</t>
  </si>
  <si>
    <t>CRISTIAN DAVID MARÍN ZAPATA</t>
  </si>
  <si>
    <t>57 300 222 5416</t>
  </si>
  <si>
    <t>E0415</t>
  </si>
  <si>
    <t>CRISTIAN DAVID ORTIZ MADRID</t>
  </si>
  <si>
    <t>+34 666 76 82 80</t>
  </si>
  <si>
    <t>E0733</t>
  </si>
  <si>
    <t>CRISTIAN DAVID SOTO ÂNGULO</t>
  </si>
  <si>
    <t>34 665 55 06 64</t>
  </si>
  <si>
    <t>E0145</t>
  </si>
  <si>
    <t>CRISTIAN DENNIS NARVAEZ CIFUENTES</t>
  </si>
  <si>
    <t>AZ283955</t>
  </si>
  <si>
    <t>57 311 5865902</t>
  </si>
  <si>
    <t>E1898</t>
  </si>
  <si>
    <t>CRISTIAN FELIPE QUINONEZ SALAZAR</t>
  </si>
  <si>
    <t>BF352819</t>
  </si>
  <si>
    <t>+34 664 039 069</t>
  </si>
  <si>
    <t>E0732</t>
  </si>
  <si>
    <t>CRISTIAN JAVIER MOGOLLON ZAPATA</t>
  </si>
  <si>
    <t>+34 680 82 44 51</t>
  </si>
  <si>
    <t>E0599</t>
  </si>
  <si>
    <t>CRISTIAN RICARDO LLONTOP SANTISTEBAN</t>
  </si>
  <si>
    <t>124474933</t>
  </si>
  <si>
    <t>+51 946 943 865</t>
  </si>
  <si>
    <t>E1367</t>
  </si>
  <si>
    <t>DAGOBERTO OSPINO COLLANTE</t>
  </si>
  <si>
    <t>48 723 173 948</t>
  </si>
  <si>
    <t>E0073</t>
  </si>
  <si>
    <t>DAHIR GREGORIO MUÑOZ GRANADOS</t>
  </si>
  <si>
    <t>+57 312 7473601</t>
  </si>
  <si>
    <t>E1373</t>
  </si>
  <si>
    <t>DALMIRO SOTO RAMOS</t>
  </si>
  <si>
    <t>57 300 2387271</t>
  </si>
  <si>
    <t>E1895</t>
  </si>
  <si>
    <t>DAMIAN ZAMBRANO TULANDE</t>
  </si>
  <si>
    <t>AX016404</t>
  </si>
  <si>
    <t>+48 780 110 611</t>
  </si>
  <si>
    <t>E1219</t>
  </si>
  <si>
    <t>DANEYSON CHARRY HORTA</t>
  </si>
  <si>
    <t>57 313 4809596</t>
  </si>
  <si>
    <t>E1052</t>
  </si>
  <si>
    <t>DANIEL ADRIAN GARCIA QUINTERO</t>
  </si>
  <si>
    <t>+34 672 85 33 58</t>
  </si>
  <si>
    <t>E0096</t>
  </si>
  <si>
    <t>DANIEL ANDRES CANDELO GUTIERREZ</t>
  </si>
  <si>
    <t>BC811411</t>
  </si>
  <si>
    <t>+34 672 02 33 52</t>
  </si>
  <si>
    <t>E0506</t>
  </si>
  <si>
    <t>DANIEL ANDRES MARULANDA BOLAÑOS</t>
  </si>
  <si>
    <t>BC190807</t>
  </si>
  <si>
    <t>+34 643 95 40 10</t>
  </si>
  <si>
    <t>E0256</t>
  </si>
  <si>
    <t>DANIEL CAICEDO BEDOYA</t>
  </si>
  <si>
    <t>BA968595</t>
  </si>
  <si>
    <t>34 641 97 66 26</t>
  </si>
  <si>
    <t>E1312</t>
  </si>
  <si>
    <t>DANIEL CHAVES SILVA</t>
  </si>
  <si>
    <t>+351 920 106 091</t>
  </si>
  <si>
    <t>E0303</t>
  </si>
  <si>
    <t>DANIEL DOMINGO MARCHENA AGURTO</t>
  </si>
  <si>
    <t>+51 974 654 232</t>
  </si>
  <si>
    <t>E1408</t>
  </si>
  <si>
    <t>DANIEL ELIECER PEREZ ACEVEDO</t>
  </si>
  <si>
    <t>+57 300 571 6419</t>
  </si>
  <si>
    <t>E1998</t>
  </si>
  <si>
    <t>DANIEL FELIPE PATINO CANDELA</t>
  </si>
  <si>
    <t>AZ817191</t>
  </si>
  <si>
    <t>+34 632 278 603</t>
  </si>
  <si>
    <t>E1601</t>
  </si>
  <si>
    <t>DANIEL GERMANO DE BARROS SILVA</t>
  </si>
  <si>
    <t>351 936 177 117</t>
  </si>
  <si>
    <t>E1370</t>
  </si>
  <si>
    <t>DANIEL HERNAN ESCARRAGA BERMUDEZ</t>
  </si>
  <si>
    <t>+48 698 569 072</t>
  </si>
  <si>
    <t>E1127</t>
  </si>
  <si>
    <t>DANIEL HORACIO BURBANO RAMOS</t>
  </si>
  <si>
    <t> +34 653 08 19 30</t>
  </si>
  <si>
    <t>E1824</t>
  </si>
  <si>
    <t>DANIEL MATEO AGUDELO RUEDA</t>
  </si>
  <si>
    <t>BG347810</t>
  </si>
  <si>
    <t>+34 603 247 564</t>
  </si>
  <si>
    <t>E1360</t>
  </si>
  <si>
    <t>DANIEL SEGUNDO ALVIS MONTES</t>
  </si>
  <si>
    <t>31 6 23890494</t>
  </si>
  <si>
    <t>E1853</t>
  </si>
  <si>
    <t>DANIER CALDERON SALAS</t>
  </si>
  <si>
    <t>BG974482</t>
  </si>
  <si>
    <t>+57 316 707 7955</t>
  </si>
  <si>
    <t>E1471</t>
  </si>
  <si>
    <t>DANILO PINEDA RIVAS</t>
  </si>
  <si>
    <t>PA0882805</t>
  </si>
  <si>
    <t>507 670 10197</t>
  </si>
  <si>
    <t>E0534</t>
  </si>
  <si>
    <t>DANILO RAMIREZ SARATE</t>
  </si>
  <si>
    <t>AR943569</t>
  </si>
  <si>
    <t>+34 652 95 03 14</t>
  </si>
  <si>
    <t>E0361</t>
  </si>
  <si>
    <t>DANIS PADILLA RODRIGUEZ</t>
  </si>
  <si>
    <t>BA778636</t>
  </si>
  <si>
    <t>+48 722 018 533</t>
  </si>
  <si>
    <t>E1602</t>
  </si>
  <si>
    <t>DANNY  DANIEL CORREA CAMPOVERDE</t>
  </si>
  <si>
    <t>56 9 3668 2170</t>
  </si>
  <si>
    <t>E2062</t>
  </si>
  <si>
    <t>DANNY ALBERTO HERRERA ARIAS</t>
  </si>
  <si>
    <t>BG572777</t>
  </si>
  <si>
    <t>+57 312 7466152</t>
  </si>
  <si>
    <t>E1434</t>
  </si>
  <si>
    <t>DANNY DANIEL CORREA CAMPOVERDE</t>
  </si>
  <si>
    <t>+56 936 682 170</t>
  </si>
  <si>
    <t>E1724</t>
  </si>
  <si>
    <t>DANNY JOSE CAICEDO VILLANUEVA</t>
  </si>
  <si>
    <t>AW160741</t>
  </si>
  <si>
    <t>+57 302 7018537</t>
  </si>
  <si>
    <t>E0722</t>
  </si>
  <si>
    <t>DANY HUMBERTO RAMOS URIZA</t>
  </si>
  <si>
    <t>57 316 5203913</t>
  </si>
  <si>
    <t>E1663</t>
  </si>
  <si>
    <t>DARIO CARLOS MANUEL PEREIRA</t>
  </si>
  <si>
    <t>N2728314</t>
  </si>
  <si>
    <t>+244 927 524 426</t>
  </si>
  <si>
    <t>E1392</t>
  </si>
  <si>
    <t>DARIO RUBEN LOBOS</t>
  </si>
  <si>
    <t>+34 603 25 25 73</t>
  </si>
  <si>
    <t>E1472</t>
  </si>
  <si>
    <t>DARWIN FAURICIO RAMIREZ JARAMILLO</t>
  </si>
  <si>
    <t>BF854375</t>
  </si>
  <si>
    <t>57 322 8240453</t>
  </si>
  <si>
    <t>E1764</t>
  </si>
  <si>
    <t>DARWIN GARCIA GUERRERO</t>
  </si>
  <si>
    <t>AV856842</t>
  </si>
  <si>
    <t>+34 691 756 520</t>
  </si>
  <si>
    <t>E0592</t>
  </si>
  <si>
    <t>DARWIN JOSE VASQUEZ ORTEGA</t>
  </si>
  <si>
    <t>122668383</t>
  </si>
  <si>
    <t>+51 984 364 271</t>
  </si>
  <si>
    <t>E1473</t>
  </si>
  <si>
    <t>DARWIN TORRES CRESPO</t>
  </si>
  <si>
    <t>57 302 203 7349</t>
  </si>
  <si>
    <t>E1054</t>
  </si>
  <si>
    <t>DAVID ALBERTO INSAURRALDE</t>
  </si>
  <si>
    <t>+34 650 84 49 26</t>
  </si>
  <si>
    <t>E1474</t>
  </si>
  <si>
    <t>DAVID ENRIQUE BUZON ARIAS</t>
  </si>
  <si>
    <t>57 304 2004760</t>
  </si>
  <si>
    <t>E1659</t>
  </si>
  <si>
    <t>DAVID FELIPE HERRERA HERRERA</t>
  </si>
  <si>
    <t>AX773849</t>
  </si>
  <si>
    <t>+34 671 39 47 30</t>
  </si>
  <si>
    <t>E0403</t>
  </si>
  <si>
    <t>DAVID GUSTAVO DE LOS ANGELES PATIÑO RAMOS</t>
  </si>
  <si>
    <t>AW458316</t>
  </si>
  <si>
    <t>+57 311 641 6189</t>
  </si>
  <si>
    <t>E1386</t>
  </si>
  <si>
    <t>DAVID JONATHAN CHAMBILLA COAPAZA</t>
  </si>
  <si>
    <t>+51 918 125 318</t>
  </si>
  <si>
    <t>E0083</t>
  </si>
  <si>
    <t>DAVID RICARDO SANCHEZ ZAPATA</t>
  </si>
  <si>
    <t>124650623</t>
  </si>
  <si>
    <t>+51 958 351 006</t>
  </si>
  <si>
    <t>E1252</t>
  </si>
  <si>
    <t>DAVY ARAUJO DO NASCIMENTO</t>
  </si>
  <si>
    <t>+351 914 346 801</t>
  </si>
  <si>
    <t>E0214</t>
  </si>
  <si>
    <t>DAWED JAIR AGUDELO PEREZ</t>
  </si>
  <si>
    <t>AT457821</t>
  </si>
  <si>
    <t>+48 790 812 621</t>
  </si>
  <si>
    <t>E1859</t>
  </si>
  <si>
    <t>DAYAN CRISTOBAL ROMERO YARA</t>
  </si>
  <si>
    <t>BE988537</t>
  </si>
  <si>
    <t>+57 311 209 2273</t>
  </si>
  <si>
    <t>E1730</t>
  </si>
  <si>
    <t>DEIBIS ENRIQUE HERNANDEZ OROZCO</t>
  </si>
  <si>
    <t>BF099502</t>
  </si>
  <si>
    <t>+34 643 05 37 69</t>
  </si>
  <si>
    <t>E1475</t>
  </si>
  <si>
    <t>DEIMER NUÑEZ MENDOZA</t>
  </si>
  <si>
    <t>57 322 438 2121</t>
  </si>
  <si>
    <t>E1125</t>
  </si>
  <si>
    <t>DEINER ENRIQUE OVIEDO CORTEZ</t>
  </si>
  <si>
    <t>48 45 212 90 60</t>
  </si>
  <si>
    <t>E1760</t>
  </si>
  <si>
    <t>DEINER MARIN ROCHA</t>
  </si>
  <si>
    <t>BC287562</t>
  </si>
  <si>
    <t>+48 452 897 774</t>
  </si>
  <si>
    <t>E0884</t>
  </si>
  <si>
    <t>DEIVI STIVEN ORTIZ MONTENEGRO</t>
  </si>
  <si>
    <t>AZ836158</t>
  </si>
  <si>
    <t>+57 316 6299650</t>
  </si>
  <si>
    <t>E0947</t>
  </si>
  <si>
    <t>DEIVID PIRES DOS SANTOS</t>
  </si>
  <si>
    <t>51 960 167 481</t>
  </si>
  <si>
    <t>E1105</t>
  </si>
  <si>
    <t>DEIVIS DAVID CASTRO MARTINEZ</t>
  </si>
  <si>
    <t>AX525202</t>
  </si>
  <si>
    <t>+57 321 2958523</t>
  </si>
  <si>
    <t>E0297</t>
  </si>
  <si>
    <t>DEIVIS MUÑOZ TORRES</t>
  </si>
  <si>
    <t>+34 608 26 78 44</t>
  </si>
  <si>
    <t>E0482</t>
  </si>
  <si>
    <t>DEIVIX ERIC MANUEL PRETEL RONCAL</t>
  </si>
  <si>
    <t>122686797</t>
  </si>
  <si>
    <t>+51 991 457 258</t>
  </si>
  <si>
    <t>E1255</t>
  </si>
  <si>
    <t>DENYSVAN LIBERIO SILVA</t>
  </si>
  <si>
    <t>+351 912 173 973</t>
  </si>
  <si>
    <t>E2021</t>
  </si>
  <si>
    <t>DEWIN DE JESUS DE LEON BARRERA</t>
  </si>
  <si>
    <t>BD239523</t>
  </si>
  <si>
    <t>+57 321 223 6092</t>
  </si>
  <si>
    <t>E0283</t>
  </si>
  <si>
    <t>DEYBY DAVISON LOPEZ DIAZ</t>
  </si>
  <si>
    <t>+34 631 35 65 53</t>
  </si>
  <si>
    <t>E1226</t>
  </si>
  <si>
    <t>DEYVI JOHAN ROMERO MARIN</t>
  </si>
  <si>
    <t>48 665 645 916</t>
  </si>
  <si>
    <t>E0477</t>
  </si>
  <si>
    <t>DEYVIS HERNANDEZ DIAZ</t>
  </si>
  <si>
    <t>+51 958 032 832</t>
  </si>
  <si>
    <t>E1368</t>
  </si>
  <si>
    <t>DEYVIS OSPINA DADUL</t>
  </si>
  <si>
    <t>+34 643 78 10 63</t>
  </si>
  <si>
    <t>E1409</t>
  </si>
  <si>
    <t>DIDEROY SILVEIRA ALVES</t>
  </si>
  <si>
    <t>CE911855</t>
  </si>
  <si>
    <t>+351 910 742 796</t>
  </si>
  <si>
    <t>E1270</t>
  </si>
  <si>
    <t>DIDIER HERNAN MONTENEGRO LOPEZ</t>
  </si>
  <si>
    <t>+34623313975</t>
  </si>
  <si>
    <t>E0613</t>
  </si>
  <si>
    <t>DIDIER JOSE CHOLES MIRANDA</t>
  </si>
  <si>
    <t>BF490621</t>
  </si>
  <si>
    <t>+57 316 6906875</t>
  </si>
  <si>
    <t>E0473</t>
  </si>
  <si>
    <t>DIEGO ALEJANDRO CRUZ LOPEZ</t>
  </si>
  <si>
    <t>BA448585</t>
  </si>
  <si>
    <t>+57 311 3025954</t>
  </si>
  <si>
    <t>E0823</t>
  </si>
  <si>
    <t>DIEGO ALEJANDRO YANES FAJARDO</t>
  </si>
  <si>
    <t>34 631 27 11 07</t>
  </si>
  <si>
    <t>E0284</t>
  </si>
  <si>
    <t>DIEGO ANDRES SALCEDO BAUTISTA</t>
  </si>
  <si>
    <t>+48 724 208 488</t>
  </si>
  <si>
    <t>E0737</t>
  </si>
  <si>
    <t>DIEGO ANTON PEÑARANDA</t>
  </si>
  <si>
    <t>34 651 50 35 62</t>
  </si>
  <si>
    <t>E1137</t>
  </si>
  <si>
    <t>DIEGO ARMANDO COLLAZOS NOVOA</t>
  </si>
  <si>
    <t>+34 625 22 40 14</t>
  </si>
  <si>
    <t>E1193</t>
  </si>
  <si>
    <t>DIEGO ARMANDO LEIVA SOTO</t>
  </si>
  <si>
    <t>+34 603 20 96 90</t>
  </si>
  <si>
    <t>E0278</t>
  </si>
  <si>
    <t>DIEGO ARMANDO PEDRAZA CHOQUE</t>
  </si>
  <si>
    <t>BE145675</t>
  </si>
  <si>
    <t>+34 607 65 61 88</t>
  </si>
  <si>
    <t>E0170</t>
  </si>
  <si>
    <t>DIEGO ARMANDO RAMIREZ ACEVEDO</t>
  </si>
  <si>
    <t>+34 692 47 39 14</t>
  </si>
  <si>
    <t>E1476</t>
  </si>
  <si>
    <t>DIEGO ARMANDO RIVERO MANZANO</t>
  </si>
  <si>
    <t>BF443011</t>
  </si>
  <si>
    <t>57 300 8154328</t>
  </si>
  <si>
    <t>E0874</t>
  </si>
  <si>
    <t>DIEGO ARMANDO SANCHEZ OSPITIA</t>
  </si>
  <si>
    <t>+34 637 56 10 15</t>
  </si>
  <si>
    <t>E0697</t>
  </si>
  <si>
    <t>DIEGO CORTES REAL BARBOSA</t>
  </si>
  <si>
    <t>+351 927 053 553</t>
  </si>
  <si>
    <t>E0049</t>
  </si>
  <si>
    <t>DIEGO DIAZ LUNA</t>
  </si>
  <si>
    <t>AZ501796</t>
  </si>
  <si>
    <t>+34 663 82 40 54</t>
  </si>
  <si>
    <t>E1095</t>
  </si>
  <si>
    <t>DIEGO FERNANDO BOCANEGRA RAMIREZ</t>
  </si>
  <si>
    <t>+34 604 38 75 60</t>
  </si>
  <si>
    <t>E0959</t>
  </si>
  <si>
    <t>DIEGO FERNANDO CAPOTE PORTILLA</t>
  </si>
  <si>
    <t>+34 613 20 59 49</t>
  </si>
  <si>
    <t>E1477</t>
  </si>
  <si>
    <t>DIEGO FERNANDO CHICUE RODRIGUEZ</t>
  </si>
  <si>
    <t>AY764211</t>
  </si>
  <si>
    <t>57 315 200 4031</t>
  </si>
  <si>
    <t>E0544</t>
  </si>
  <si>
    <t>DIEGO FERNANDO VIVEROS CORREA</t>
  </si>
  <si>
    <t>AW562596</t>
  </si>
  <si>
    <t>34 607 28 16 80</t>
  </si>
  <si>
    <t>E0828</t>
  </si>
  <si>
    <t>DIEGO FERNEY GONZALEZ CEBALLOS</t>
  </si>
  <si>
    <t>34 643 76 50 96</t>
  </si>
  <si>
    <t>E1397</t>
  </si>
  <si>
    <t>DIEGO JAVIER RAMIREZ MORENO</t>
  </si>
  <si>
    <t>BA029403</t>
  </si>
  <si>
    <t xml:space="preserve"> +57 313 556 6393</t>
  </si>
  <si>
    <t>E1358</t>
  </si>
  <si>
    <t>DIEGO JOEL NOGUEIRA</t>
  </si>
  <si>
    <t>351 912 376 498</t>
  </si>
  <si>
    <t>E0856</t>
  </si>
  <si>
    <t>DIEGO LEWIS GOMEZ CARRILLO</t>
  </si>
  <si>
    <t>57 315 4681359</t>
  </si>
  <si>
    <t>E0219</t>
  </si>
  <si>
    <t>DIEGO NAHUEL ROMERO</t>
  </si>
  <si>
    <t>AAK823956</t>
  </si>
  <si>
    <t>+34 654 44 97 91</t>
  </si>
  <si>
    <t>E0578</t>
  </si>
  <si>
    <t>DIEGO ROBERTO SOUZA SCAVACINI</t>
  </si>
  <si>
    <t>GA008817</t>
  </si>
  <si>
    <t>+351 930 604 910</t>
  </si>
  <si>
    <t>E1058</t>
  </si>
  <si>
    <t>DIONERLIS PEREIRA CRUZ</t>
  </si>
  <si>
    <t>351 915 463 145</t>
  </si>
  <si>
    <t>E0937</t>
  </si>
  <si>
    <t>DIOUF IBOU</t>
  </si>
  <si>
    <t>34 612404758</t>
  </si>
  <si>
    <t>E1478</t>
  </si>
  <si>
    <t>DIVIER HUMBERTO PAEZ MONROY</t>
  </si>
  <si>
    <t>AS384675</t>
  </si>
  <si>
    <t>57 313 8804568</t>
  </si>
  <si>
    <t>E0550</t>
  </si>
  <si>
    <t>DIVINSO JOSE LARA PERALTA</t>
  </si>
  <si>
    <t>BE058839</t>
  </si>
  <si>
    <t>+57 318 3839060</t>
  </si>
  <si>
    <t>E1826</t>
  </si>
  <si>
    <t>DOMINGO RAMON VEGA HUMANEZ</t>
  </si>
  <si>
    <t>BD711341</t>
  </si>
  <si>
    <t>+57 05 373 7090</t>
  </si>
  <si>
    <t>E1245</t>
  </si>
  <si>
    <t>DOMINGOS ADÃO PASCOAL</t>
  </si>
  <si>
    <t>+244 924 503 628</t>
  </si>
  <si>
    <t>E0868</t>
  </si>
  <si>
    <t>DORIAN DE JESUS OSPINO MARTINEZ</t>
  </si>
  <si>
    <t>34 627 88 30 54</t>
  </si>
  <si>
    <t>E0356</t>
  </si>
  <si>
    <t>DUAN ANTONIO AVILA NORIEGA</t>
  </si>
  <si>
    <t>BD237295</t>
  </si>
  <si>
    <t>+57 310 8383856</t>
  </si>
  <si>
    <t>E2075</t>
  </si>
  <si>
    <t>DUBERNEY POSCUE FAJARDO</t>
  </si>
  <si>
    <t>AV106744</t>
  </si>
  <si>
    <t>+34 673 62 98 63</t>
  </si>
  <si>
    <t>E0676</t>
  </si>
  <si>
    <t>DUFRAY ANDRES ARDILA BELTRAN</t>
  </si>
  <si>
    <t>34 643 01 73 96</t>
  </si>
  <si>
    <t>E0990</t>
  </si>
  <si>
    <t>DUFRAY ARDILA MONROY</t>
  </si>
  <si>
    <t>+57 321 8043539</t>
  </si>
  <si>
    <t>E1148</t>
  </si>
  <si>
    <t>DUMAR EFREN RAMIREZ MENDOZA</t>
  </si>
  <si>
    <t>+48 453 524 993</t>
  </si>
  <si>
    <t>E2134</t>
  </si>
  <si>
    <t>DUVAN ALEXIS SUAREZ TRUJILLO</t>
  </si>
  <si>
    <t>BG659846</t>
  </si>
  <si>
    <t>+57 321 9822530</t>
  </si>
  <si>
    <t>E2133</t>
  </si>
  <si>
    <t>DUVAN EDUARDO CHAVEZ CUARAN</t>
  </si>
  <si>
    <t>BF586580</t>
  </si>
  <si>
    <t>+34 661 38 76 05</t>
  </si>
  <si>
    <t>E1742</t>
  </si>
  <si>
    <t>DUVAN OVIEDO OREJUELA</t>
  </si>
  <si>
    <t>BA851112</t>
  </si>
  <si>
    <t>+34 687 39 01 79</t>
  </si>
  <si>
    <t>E0973</t>
  </si>
  <si>
    <t>EDDER CARLOS ATENCIO VILLANUEVA</t>
  </si>
  <si>
    <t>Pendiente baja</t>
  </si>
  <si>
    <t>E1970</t>
  </si>
  <si>
    <t>EDDIE DE JESUS ZARATE IGUARAN</t>
  </si>
  <si>
    <t>BG744554</t>
  </si>
  <si>
    <t>+57 322 307 6923</t>
  </si>
  <si>
    <t>E0279</t>
  </si>
  <si>
    <t>EDGAR ALEXANDER VEGA CARDOZO</t>
  </si>
  <si>
    <t>+34 624 16 97 78</t>
  </si>
  <si>
    <t>E2090</t>
  </si>
  <si>
    <t>EDGAR CORRALES HOYOS</t>
  </si>
  <si>
    <t>AU803778</t>
  </si>
  <si>
    <t>+34 661 16 17 66</t>
  </si>
  <si>
    <t>E1697</t>
  </si>
  <si>
    <t>EDGAR DIAZ MACHADO</t>
  </si>
  <si>
    <t>BE912995</t>
  </si>
  <si>
    <t>+57 315 201 8571</t>
  </si>
  <si>
    <t>E1868</t>
  </si>
  <si>
    <t>EDGAR ENRIQUE TORRES RAMIREZ</t>
  </si>
  <si>
    <t>123970265</t>
  </si>
  <si>
    <t>+34 634 195 921</t>
  </si>
  <si>
    <t>E0974</t>
  </si>
  <si>
    <t>EDGAR ESTIVEN NARANJO RUIZ</t>
  </si>
  <si>
    <t>+34 603 19 49 58</t>
  </si>
  <si>
    <t>E1381</t>
  </si>
  <si>
    <t>EDGAR FERNEY JAIMES RODRIGUEZ</t>
  </si>
  <si>
    <t>+34 643787706</t>
  </si>
  <si>
    <t>E0543</t>
  </si>
  <si>
    <t>EDGAR LONDOÑO VILLADA</t>
  </si>
  <si>
    <t>BD697286</t>
  </si>
  <si>
    <t>34 600 16 49 07</t>
  </si>
  <si>
    <t>E2111</t>
  </si>
  <si>
    <t>EDGAR MARINO ESCOBAR CAICEDO</t>
  </si>
  <si>
    <t>BF662688</t>
  </si>
  <si>
    <t>+34 627 04 25 73</t>
  </si>
  <si>
    <t>E1480</t>
  </si>
  <si>
    <t>EDGAR RAIMER MEZA MARTÍNEZ</t>
  </si>
  <si>
    <t>34 643 493 825</t>
  </si>
  <si>
    <t>E0931</t>
  </si>
  <si>
    <t>EDGAR ROMULO GUINEA CRUZ</t>
  </si>
  <si>
    <t>+34 614 29 29 56</t>
  </si>
  <si>
    <t>E0600</t>
  </si>
  <si>
    <t>EDGAR STEVEN PENAGOS CESPEDES</t>
  </si>
  <si>
    <t>AZ302351</t>
  </si>
  <si>
    <t>+34 642 61 18 69</t>
  </si>
  <si>
    <t>E1774</t>
  </si>
  <si>
    <t>EDGARDO JOAN SUAREZ</t>
  </si>
  <si>
    <t>AAE838382</t>
  </si>
  <si>
    <t>+54 1125259726</t>
  </si>
  <si>
    <t>E0572</t>
  </si>
  <si>
    <t>EDGARDO LUIS GARCIA JULIO</t>
  </si>
  <si>
    <t>BD624532</t>
  </si>
  <si>
    <t>48 737 619 688</t>
  </si>
  <si>
    <t>E0115</t>
  </si>
  <si>
    <t>EDGARDO RAFAEL DE ARMAS URBANO</t>
  </si>
  <si>
    <t>+57 323 2467815</t>
  </si>
  <si>
    <t>E1119</t>
  </si>
  <si>
    <t>EDIE JAVIER GUERRERO SARMIENTO</t>
  </si>
  <si>
    <t>48 690 164 021</t>
  </si>
  <si>
    <t>E0161</t>
  </si>
  <si>
    <t>EDILBERTO DOMINGUEZ PEREIRA</t>
  </si>
  <si>
    <t>AS480654</t>
  </si>
  <si>
    <t>+34 602 45 52 31</t>
  </si>
  <si>
    <t>E1366</t>
  </si>
  <si>
    <t>EDILBERTO HERNANDEZ BERMEJO</t>
  </si>
  <si>
    <t>57 313 8728930</t>
  </si>
  <si>
    <t>E1410</t>
  </si>
  <si>
    <t>EDILBERTO SEGUNDO SARMIENTO RAMIREZ</t>
  </si>
  <si>
    <t>+57 324 359 2286</t>
  </si>
  <si>
    <t>E0615</t>
  </si>
  <si>
    <t>EDILSON FIERRO DAGUA</t>
  </si>
  <si>
    <t>AT071454</t>
  </si>
  <si>
    <t>+34 634 024 051</t>
  </si>
  <si>
    <t>E1206</t>
  </si>
  <si>
    <t>EDILSON RODRIGUEZ MARTINEZ</t>
  </si>
  <si>
    <t>+57 312 220 3736</t>
  </si>
  <si>
    <t>E1806</t>
  </si>
  <si>
    <t>EDILSON TORRES SALCEDO</t>
  </si>
  <si>
    <t>BG874595</t>
  </si>
  <si>
    <t>+57 315 765 4451</t>
  </si>
  <si>
    <t>E0225</t>
  </si>
  <si>
    <t>EDIMSON OMAR CARREÑO PINTO</t>
  </si>
  <si>
    <t>AR017252</t>
  </si>
  <si>
    <t>+34 613 694 203</t>
  </si>
  <si>
    <t>E0143</t>
  </si>
  <si>
    <t>EDINSON HUARI HUAMAN</t>
  </si>
  <si>
    <t>+51 914 132 423</t>
  </si>
  <si>
    <t>E0984</t>
  </si>
  <si>
    <t>EDINSON LOZANO TELLEZ</t>
  </si>
  <si>
    <t>+57 350 4574845</t>
  </si>
  <si>
    <t>E1481</t>
  </si>
  <si>
    <t>EDINSON MANUEL DEL TORO MIRANDA</t>
  </si>
  <si>
    <t>AY453073</t>
  </si>
  <si>
    <t>57 304 558 9491</t>
  </si>
  <si>
    <t>E0669</t>
  </si>
  <si>
    <t>EDINSON MANUEL MARTINEZ SALCEDO</t>
  </si>
  <si>
    <t>57 317 7843427</t>
  </si>
  <si>
    <t>E2015</t>
  </si>
  <si>
    <t>EDINSON SIZA SANCHEZ</t>
  </si>
  <si>
    <t>AY749404</t>
  </si>
  <si>
    <t>+57 318 651 9491</t>
  </si>
  <si>
    <t>E1482</t>
  </si>
  <si>
    <t>EDSON MIULLER SANTANA ERAZO</t>
  </si>
  <si>
    <t>125007529</t>
  </si>
  <si>
    <t>34 614 575 507</t>
  </si>
  <si>
    <t>E0106</t>
  </si>
  <si>
    <t>EDU PANDURO RUIZ</t>
  </si>
  <si>
    <t>124554632</t>
  </si>
  <si>
    <t>51951390264</t>
  </si>
  <si>
    <t>E1740</t>
  </si>
  <si>
    <t>EDUAR DARIO MOSQUERA</t>
  </si>
  <si>
    <t>BE717960</t>
  </si>
  <si>
    <t>+34 602 65 27 22</t>
  </si>
  <si>
    <t>E0637</t>
  </si>
  <si>
    <t>EDUAR MANUEL DAVILA CERON</t>
  </si>
  <si>
    <t>BD233738</t>
  </si>
  <si>
    <t>+48 576 029 661</t>
  </si>
  <si>
    <t>E1411</t>
  </si>
  <si>
    <t>EDUARD JAVIER JULIO INDABURO</t>
  </si>
  <si>
    <t>AS603694</t>
  </si>
  <si>
    <t>+48 518 074 469</t>
  </si>
  <si>
    <t>E0363</t>
  </si>
  <si>
    <t>EDUARD YOVANNY LOZANO OSORIO</t>
  </si>
  <si>
    <t>BE510629</t>
  </si>
  <si>
    <t>+57 301 5654334</t>
  </si>
  <si>
    <t>E0661</t>
  </si>
  <si>
    <t>EDUARDO ANTONIO ALVARADO CASTILLO</t>
  </si>
  <si>
    <t>+57 322 2288659</t>
  </si>
  <si>
    <t>E0692</t>
  </si>
  <si>
    <t>EDUARDO BAMBAREN CISTERNA</t>
  </si>
  <si>
    <t>122196944</t>
  </si>
  <si>
    <t>+51 907 466 018</t>
  </si>
  <si>
    <t>E1937</t>
  </si>
  <si>
    <t>EDUARDO DANIEL ESALAS MARTINEZ</t>
  </si>
  <si>
    <t>BF755663</t>
  </si>
  <si>
    <t>+57 313 793 2681</t>
  </si>
  <si>
    <t>E1607</t>
  </si>
  <si>
    <t>EDUARDO DO NASCIMENTO</t>
  </si>
  <si>
    <t>351 929 254 647</t>
  </si>
  <si>
    <t>E1915</t>
  </si>
  <si>
    <t>EDUARDO JOSE MENDOZA ARIAS</t>
  </si>
  <si>
    <t>BG261552</t>
  </si>
  <si>
    <t>+57 316 464 3507</t>
  </si>
  <si>
    <t>E0107</t>
  </si>
  <si>
    <t>EDUARDO JOSE RUSSO LINERO</t>
  </si>
  <si>
    <t>BC862773</t>
  </si>
  <si>
    <t>+48 508 784 979</t>
  </si>
  <si>
    <t>E0494</t>
  </si>
  <si>
    <t>EDUARDO JOSE SEQUEDA CONTRERAS</t>
  </si>
  <si>
    <t>AR807768</t>
  </si>
  <si>
    <t>+57 311 693 1276</t>
  </si>
  <si>
    <t>E1126</t>
  </si>
  <si>
    <t>EDUARDO NICOLAS VILLEGAS</t>
  </si>
  <si>
    <t>+34 613 75 20 68</t>
  </si>
  <si>
    <t>E0427</t>
  </si>
  <si>
    <t>EDUARDO PINZON DITTA</t>
  </si>
  <si>
    <t>AU049846</t>
  </si>
  <si>
    <t>+34 603 34 69 73</t>
  </si>
  <si>
    <t>E1334</t>
  </si>
  <si>
    <t>EDUARDO ROBERTO GUZMAN</t>
  </si>
  <si>
    <t>+351 927 280 764</t>
  </si>
  <si>
    <t>E0257</t>
  </si>
  <si>
    <t>EDWAR ANDRES BENACHI ARCE</t>
  </si>
  <si>
    <t>AT564771</t>
  </si>
  <si>
    <t>+34 632471557</t>
  </si>
  <si>
    <t>E1412</t>
  </si>
  <si>
    <t>EDWAR ARIEL VELEZ POSADA</t>
  </si>
  <si>
    <t>BC510407</t>
  </si>
  <si>
    <t>+48 739 045 241</t>
  </si>
  <si>
    <t>E1677</t>
  </si>
  <si>
    <t>EDWAR GITERLY TORRES LIZARAZO</t>
  </si>
  <si>
    <t>AY693223</t>
  </si>
  <si>
    <t>+57 301 458 3511</t>
  </si>
  <si>
    <t>E0497</t>
  </si>
  <si>
    <t>EDWAR VARGAS LOPEZ</t>
  </si>
  <si>
    <t>BF529257</t>
  </si>
  <si>
    <t>+57 311 756 1178</t>
  </si>
  <si>
    <t>E1608</t>
  </si>
  <si>
    <t>EDWAR VARGAS LÓPEZ</t>
  </si>
  <si>
    <t>57 311 756 1178</t>
  </si>
  <si>
    <t>E0030</t>
  </si>
  <si>
    <t>EDWARD FABIAN CRUZ HURTADO</t>
  </si>
  <si>
    <t>+34 602 592 267</t>
  </si>
  <si>
    <t>E1130</t>
  </si>
  <si>
    <t>EDWARD FRANCISCO RAMIREZ JARAMILLO</t>
  </si>
  <si>
    <t>+57 321 7651872</t>
  </si>
  <si>
    <t>E0507</t>
  </si>
  <si>
    <t>EDWARD IGNACIO DIAZ AVILA</t>
  </si>
  <si>
    <t>BC426669</t>
  </si>
  <si>
    <t>E0631</t>
  </si>
  <si>
    <t>EDWARD JEFRID OSPINA MANOSALVA</t>
  </si>
  <si>
    <t>AW641257</t>
  </si>
  <si>
    <t>+48 452 764 057</t>
  </si>
  <si>
    <t>E1483</t>
  </si>
  <si>
    <t>EDWIN ALBEIRO RODRIGUEZ BARRERA</t>
  </si>
  <si>
    <t>57 310 641 7564</t>
  </si>
  <si>
    <t>E1484</t>
  </si>
  <si>
    <t>EDWIN ALBERTO CABRERA AGUILAR</t>
  </si>
  <si>
    <t>BG219450</t>
  </si>
  <si>
    <t>57 311 467 4214</t>
  </si>
  <si>
    <t>E1413</t>
  </si>
  <si>
    <t>EDWIN ALBERTO CORTES GUERRERO</t>
  </si>
  <si>
    <t>BF984974</t>
  </si>
  <si>
    <t>+57 312 203 1457</t>
  </si>
  <si>
    <t>E0559</t>
  </si>
  <si>
    <t>EDWIN ALBERTO HINESTROZA</t>
  </si>
  <si>
    <t>BF421201</t>
  </si>
  <si>
    <t>+57 316 349 2303</t>
  </si>
  <si>
    <t>E0232</t>
  </si>
  <si>
    <t>EDWIN ALEXANDER DIAZ PITRE</t>
  </si>
  <si>
    <t>AT800138</t>
  </si>
  <si>
    <t>+34 661 112 615</t>
  </si>
  <si>
    <t>E1722</t>
  </si>
  <si>
    <t>EDWIN ALEXIS MUNOZ GUTIERREZ</t>
  </si>
  <si>
    <t>AZ022355</t>
  </si>
  <si>
    <t>+34 657 57 64 76</t>
  </si>
  <si>
    <t>E1907</t>
  </si>
  <si>
    <t>EDWIN ALFONSO ORTIZ DELGADO</t>
  </si>
  <si>
    <t>125441645</t>
  </si>
  <si>
    <t>+51 957 846 876</t>
  </si>
  <si>
    <t>E1485</t>
  </si>
  <si>
    <t>EDWIN BERNAL ARCINIEGAS</t>
  </si>
  <si>
    <t>57 312 526 2806</t>
  </si>
  <si>
    <t>E1787</t>
  </si>
  <si>
    <t>EDWIN CASTANEDA HENAO</t>
  </si>
  <si>
    <t>BG026315</t>
  </si>
  <si>
    <t>+34 615 30 16 36</t>
  </si>
  <si>
    <t>E0057</t>
  </si>
  <si>
    <t>EDWIN DAYAN BENITEZ RIOS</t>
  </si>
  <si>
    <t>BA413126</t>
  </si>
  <si>
    <t>+351 960 096 936</t>
  </si>
  <si>
    <t>E0364</t>
  </si>
  <si>
    <t>EDWIN DIAZ MARULANDA</t>
  </si>
  <si>
    <t>AS696648</t>
  </si>
  <si>
    <t>+48 534 135 918</t>
  </si>
  <si>
    <t>E0180</t>
  </si>
  <si>
    <t>EDWIN FERNANDO LINARES MACA</t>
  </si>
  <si>
    <t>AW519147</t>
  </si>
  <si>
    <t>+34 642 33 47 34</t>
  </si>
  <si>
    <t>E1773</t>
  </si>
  <si>
    <t>EDWIN FERNEY MORENO PARADA</t>
  </si>
  <si>
    <t>BA277927</t>
  </si>
  <si>
    <t>+57 321 395 6905</t>
  </si>
  <si>
    <t>E2017</t>
  </si>
  <si>
    <t>EDWIN FREDY SUAREZ</t>
  </si>
  <si>
    <t>BF047759</t>
  </si>
  <si>
    <t>+57 313 896 3526</t>
  </si>
  <si>
    <t>E2046</t>
  </si>
  <si>
    <t>EDWIN FREDY SUAREZ CARDENAS</t>
  </si>
  <si>
    <t>E0332</t>
  </si>
  <si>
    <t>EDWIN GARCES SINISTERRA</t>
  </si>
  <si>
    <t>AY716347</t>
  </si>
  <si>
    <t>+34 614 19 93 64</t>
  </si>
  <si>
    <t>E0294</t>
  </si>
  <si>
    <t>EDWIN GOMEZ ROJAS</t>
  </si>
  <si>
    <t>BA222666</t>
  </si>
  <si>
    <t>+57 320 3710738</t>
  </si>
  <si>
    <t>E1190</t>
  </si>
  <si>
    <t>EDWIN JOEL SILVA RAMOS</t>
  </si>
  <si>
    <t>+51 937263542</t>
  </si>
  <si>
    <t>E0956</t>
  </si>
  <si>
    <t>EDWIN LLE PALACIOS CORTEZ</t>
  </si>
  <si>
    <t>+51 988 279 454</t>
  </si>
  <si>
    <t>E0862</t>
  </si>
  <si>
    <t>EDWIN MIGUEL CASTILLO NIETO</t>
  </si>
  <si>
    <t>57 317 4599996</t>
  </si>
  <si>
    <t>E0084</t>
  </si>
  <si>
    <t>EDWIN RAFAEL CAMARGO RUIZ</t>
  </si>
  <si>
    <t>+57 300 395 6961</t>
  </si>
  <si>
    <t>E1486</t>
  </si>
  <si>
    <t>EDWIN RAUL LIMA NARCISO</t>
  </si>
  <si>
    <t>L35220765</t>
  </si>
  <si>
    <t>34 693 75 34 38</t>
  </si>
  <si>
    <t>E1712</t>
  </si>
  <si>
    <t>EDWIN RODRIGO AVILA PENA</t>
  </si>
  <si>
    <t>BF937836</t>
  </si>
  <si>
    <t>+57 311 8411567</t>
  </si>
  <si>
    <t>E1922</t>
  </si>
  <si>
    <t>EDWIN ROMARIO RODRIGUEZ SANABRIA</t>
  </si>
  <si>
    <t>BE754095</t>
  </si>
  <si>
    <t>+34 623 456 381</t>
  </si>
  <si>
    <t>E0158</t>
  </si>
  <si>
    <t>EDWING ORTEGA BOSSIO</t>
  </si>
  <si>
    <t>+48 518 824 551</t>
  </si>
  <si>
    <t>E0357</t>
  </si>
  <si>
    <t>EFRAIN DARIO SIMANCAS DAZA</t>
  </si>
  <si>
    <t>AT719319</t>
  </si>
  <si>
    <t>+57 313 7046312</t>
  </si>
  <si>
    <t>E0210</t>
  </si>
  <si>
    <t>EFRAIN MAXIMO CHILCA ORE</t>
  </si>
  <si>
    <t>120289520</t>
  </si>
  <si>
    <t>+51 980 662 133</t>
  </si>
  <si>
    <t>E1198</t>
  </si>
  <si>
    <t>EGIDIO JOSÉ FARIA ALVAREZ</t>
  </si>
  <si>
    <t>+34 634 83 46 23</t>
  </si>
  <si>
    <t>E0720</t>
  </si>
  <si>
    <t>EINSTEN STEPHERSON GIRALDO RAMOS</t>
  </si>
  <si>
    <t>57 313 3446188</t>
  </si>
  <si>
    <t>E2045</t>
  </si>
  <si>
    <t>EISON RAFAEL IBARRA SIERRA</t>
  </si>
  <si>
    <t>AY726428</t>
  </si>
  <si>
    <t>+34 653 555 510</t>
  </si>
  <si>
    <t>E0233</t>
  </si>
  <si>
    <t>EISON SALAS AHUMEDO</t>
  </si>
  <si>
    <t>BF023432</t>
  </si>
  <si>
    <t>+57 313 5353890</t>
  </si>
  <si>
    <t>E0706</t>
  </si>
  <si>
    <t>EL MOSTAFA EL KHARFAOUI</t>
  </si>
  <si>
    <t>34 641 11 97 05</t>
  </si>
  <si>
    <t>E1008</t>
  </si>
  <si>
    <t>ELCIO SOARES GUSMAO</t>
  </si>
  <si>
    <t>351 924 913 954</t>
  </si>
  <si>
    <t>E0784</t>
  </si>
  <si>
    <t>ELEOTERIO ESPINOZA HERRERA</t>
  </si>
  <si>
    <t>124847673</t>
  </si>
  <si>
    <t>+51 928 757 698</t>
  </si>
  <si>
    <t>E0961</t>
  </si>
  <si>
    <t>ELIAS DE SOUZA</t>
  </si>
  <si>
    <t>351 912 673 146</t>
  </si>
  <si>
    <t>E1704</t>
  </si>
  <si>
    <t>ELICEO FUENTES PARRA</t>
  </si>
  <si>
    <t>BF646254</t>
  </si>
  <si>
    <t>+57 323 437 2125</t>
  </si>
  <si>
    <t>E1064</t>
  </si>
  <si>
    <t>ELIECER ANTONIO ZURITA CORDDOBA</t>
  </si>
  <si>
    <t>+57 315 7185860</t>
  </si>
  <si>
    <t>E0656</t>
  </si>
  <si>
    <t>ELIECER MARTINEZ MENDOZA</t>
  </si>
  <si>
    <t>+57 310 3365689</t>
  </si>
  <si>
    <t>E0436</t>
  </si>
  <si>
    <t>ELIS RAMON GARCIA DIAZ</t>
  </si>
  <si>
    <t>+57 311 6345716</t>
  </si>
  <si>
    <t>E0873</t>
  </si>
  <si>
    <t>ELKIN ARMANDO GARZON LOPEZ</t>
  </si>
  <si>
    <t>AZ662731</t>
  </si>
  <si>
    <t>+34 672 805 684</t>
  </si>
  <si>
    <t>E1069</t>
  </si>
  <si>
    <t>ELKIN DE JESUS CERVANTES MANOTAS</t>
  </si>
  <si>
    <t>+34 603 16 46 97</t>
  </si>
  <si>
    <t>E0579</t>
  </si>
  <si>
    <t>ELKIN GIOVANNI VALENZUELA DIAZ</t>
  </si>
  <si>
    <t>AZ618277</t>
  </si>
  <si>
    <t>+34 611 29 07 71</t>
  </si>
  <si>
    <t>E1237</t>
  </si>
  <si>
    <t>ELKIN JAVIER ARIZA PERALTA</t>
  </si>
  <si>
    <t>57 322 6027625</t>
  </si>
  <si>
    <t>E1840</t>
  </si>
  <si>
    <t>ELKIN YAIR QUINTANA SILVA</t>
  </si>
  <si>
    <t>BE373144</t>
  </si>
  <si>
    <t>+57 322 703 7126</t>
  </si>
  <si>
    <t>E0609</t>
  </si>
  <si>
    <t>ELMER JACKSON ROJAS CUMPA</t>
  </si>
  <si>
    <t>123826926</t>
  </si>
  <si>
    <t>+51 950 319 047</t>
  </si>
  <si>
    <t>E0537</t>
  </si>
  <si>
    <t>ELTON JHONNY GONGORA BELTRAN</t>
  </si>
  <si>
    <t>AZ294665</t>
  </si>
  <si>
    <t>+57 320 4955219</t>
  </si>
  <si>
    <t>E1686</t>
  </si>
  <si>
    <t>ELVIN AXEL POLO MANZANO</t>
  </si>
  <si>
    <t>BA589773</t>
  </si>
  <si>
    <t>+57 315 807 5496</t>
  </si>
  <si>
    <t>E1708</t>
  </si>
  <si>
    <t>ELVIO ELISANDER MORE ORREGO</t>
  </si>
  <si>
    <t>+51 984 986 193</t>
  </si>
  <si>
    <t>E1487</t>
  </si>
  <si>
    <t>ELVIS ABELARDO CASTAÑEDA CANCHARI</t>
  </si>
  <si>
    <t>51 942076911</t>
  </si>
  <si>
    <t>E1488</t>
  </si>
  <si>
    <t>ELVIS WILLY VARGAS CASTILLO</t>
  </si>
  <si>
    <t>+51 939 044 037</t>
  </si>
  <si>
    <t>E1388</t>
  </si>
  <si>
    <t>EMANUEL JOSE LOBOS GATICA</t>
  </si>
  <si>
    <t>AAH262115</t>
  </si>
  <si>
    <t>+34 685 42 29 99</t>
  </si>
  <si>
    <t>E0796</t>
  </si>
  <si>
    <t>EMANUEL NICOLAS MUNOZ FERNANDEZ</t>
  </si>
  <si>
    <t>+54 9 2616 80-8137</t>
  </si>
  <si>
    <t>E0435</t>
  </si>
  <si>
    <t>EMERSON DA SILVA</t>
  </si>
  <si>
    <t>+351 934 260 510</t>
  </si>
  <si>
    <t>E0407</t>
  </si>
  <si>
    <t>EMILIANO CUADROS LAGUADO</t>
  </si>
  <si>
    <t>AX135406</t>
  </si>
  <si>
    <t>+34 631 48 64 65</t>
  </si>
  <si>
    <t>E0980</t>
  </si>
  <si>
    <t>EMIRO ALEJANDRO HENRIQUEZ ROMERO</t>
  </si>
  <si>
    <t>57 320 5027616</t>
  </si>
  <si>
    <t>E0573</t>
  </si>
  <si>
    <t>EMIRO ARRAZOLA MAZA</t>
  </si>
  <si>
    <t>57 6299 2758</t>
  </si>
  <si>
    <t>E0424</t>
  </si>
  <si>
    <t>ENRI JAIME CALDAS BERMUDES</t>
  </si>
  <si>
    <t>124087149</t>
  </si>
  <si>
    <t>+51 998 009 455</t>
  </si>
  <si>
    <t>Luminous Alley</t>
  </si>
  <si>
    <t>E2019</t>
  </si>
  <si>
    <t>ENRIQUE LIMA PUERTA</t>
  </si>
  <si>
    <t>BH211252</t>
  </si>
  <si>
    <t>+57 311 327 1444</t>
  </si>
  <si>
    <t>E0348</t>
  </si>
  <si>
    <t>ENRIQUE PEREZ CARREAZO</t>
  </si>
  <si>
    <t>AT586636</t>
  </si>
  <si>
    <t>+48 505 254 155</t>
  </si>
  <si>
    <t>E1857</t>
  </si>
  <si>
    <t>ENRIQUE RUBIANO AGUDELO</t>
  </si>
  <si>
    <t>BD664243</t>
  </si>
  <si>
    <t>+34 662 057 078</t>
  </si>
  <si>
    <t>E0932</t>
  </si>
  <si>
    <t>ENRIQUE SABALZA RODRIGUEZ</t>
  </si>
  <si>
    <t>+34 641 05 96 05</t>
  </si>
  <si>
    <t>E1316</t>
  </si>
  <si>
    <t>EON IVES ARAUJO REIS JUNIOR</t>
  </si>
  <si>
    <t>+351 924 874 162</t>
  </si>
  <si>
    <t>E1489</t>
  </si>
  <si>
    <t>ERASMO QUISPE MARTINEZ</t>
  </si>
  <si>
    <t>+51 973 696 512</t>
  </si>
  <si>
    <t>E2040</t>
  </si>
  <si>
    <t>ERGUIN ADRIAN OJEDA MACHADO</t>
  </si>
  <si>
    <t>BC895611</t>
  </si>
  <si>
    <t>+34 634 277 376</t>
  </si>
  <si>
    <t>E1210</t>
  </si>
  <si>
    <t>ERIC FERNANDO SILVA DE SANTANA</t>
  </si>
  <si>
    <t>55 12981327736</t>
  </si>
  <si>
    <t>E1610</t>
  </si>
  <si>
    <t>ERICK DAVID ALEGRIA GRANJA</t>
  </si>
  <si>
    <t>BA539798</t>
  </si>
  <si>
    <t>+32 465 78 54 66</t>
  </si>
  <si>
    <t>E0646</t>
  </si>
  <si>
    <t>ERICK NILSON SANCHEZ BARRIOS</t>
  </si>
  <si>
    <t>57 312 2754427</t>
  </si>
  <si>
    <t>E1317</t>
  </si>
  <si>
    <t>ERICKSON GOMES DA CUNHA</t>
  </si>
  <si>
    <t>+351 934 332 942</t>
  </si>
  <si>
    <t>E1268</t>
  </si>
  <si>
    <t>ERIK CHARLY GOMEZ RIOS</t>
  </si>
  <si>
    <t>+51 916 944611</t>
  </si>
  <si>
    <t>E1251</t>
  </si>
  <si>
    <t>ERIK DAVID ALEGRIA GRANJA</t>
  </si>
  <si>
    <t>+48 793 212 332</t>
  </si>
  <si>
    <t>E1117</t>
  </si>
  <si>
    <t>ERIK RUBEN RAMIREZ SIMANCAS</t>
  </si>
  <si>
    <t>AU419727</t>
  </si>
  <si>
    <t>+57 301 1746508</t>
  </si>
  <si>
    <t>E1765</t>
  </si>
  <si>
    <t>ERIKC SAUL JIMENEZ SORACA</t>
  </si>
  <si>
    <t>BD224269</t>
  </si>
  <si>
    <t>+48 725 712 614</t>
  </si>
  <si>
    <t>E1021</t>
  </si>
  <si>
    <t>ERISVALDO AVELINO</t>
  </si>
  <si>
    <t>351 939 602 292</t>
  </si>
  <si>
    <t>E0995</t>
  </si>
  <si>
    <t>ERLEIN GOMEZ RAMOS</t>
  </si>
  <si>
    <t>+34 674 53 41 00</t>
  </si>
  <si>
    <t>E1250</t>
  </si>
  <si>
    <t>ERMINSON OMAR INFANTE CASAS</t>
  </si>
  <si>
    <t>+34 618 96 58 35</t>
  </si>
  <si>
    <t>E1713</t>
  </si>
  <si>
    <t>ERNESTO GERMAN HERRERA</t>
  </si>
  <si>
    <t>AAH381134</t>
  </si>
  <si>
    <t>+57 310 462 2071</t>
  </si>
  <si>
    <t>E0590</t>
  </si>
  <si>
    <t>ESNEIDER ALFONSO GALAN MENCO</t>
  </si>
  <si>
    <t>AZ935982</t>
  </si>
  <si>
    <t>+34 600 897 071</t>
  </si>
  <si>
    <t>E0202</t>
  </si>
  <si>
    <t>ESNEYDER TORRES ULLOA</t>
  </si>
  <si>
    <t>BE601148</t>
  </si>
  <si>
    <t>+57 320 3973484</t>
  </si>
  <si>
    <t>E0006</t>
  </si>
  <si>
    <t>ESTEBAN DARIO ACOSTA MARTINEZ</t>
  </si>
  <si>
    <t>BF919018</t>
  </si>
  <si>
    <t>+57 310 2628075</t>
  </si>
  <si>
    <t>E1115</t>
  </si>
  <si>
    <t>ESTORLACE DE OLIVEIRA LACERDA</t>
  </si>
  <si>
    <t>351 933 071 227</t>
  </si>
  <si>
    <t>E0665</t>
  </si>
  <si>
    <t>ETEVALDO FONSECA SABA FILHO</t>
  </si>
  <si>
    <t>351 913241114</t>
  </si>
  <si>
    <t>E0077</t>
  </si>
  <si>
    <t>EUSEBIO ANAMURO CUSI</t>
  </si>
  <si>
    <t>+51 981 850 202</t>
  </si>
  <si>
    <t>E0179</t>
  </si>
  <si>
    <t>EUSEBIO DE JESUS MEJIA DE LA ROSA</t>
  </si>
  <si>
    <t>+57 300 4697020</t>
  </si>
  <si>
    <t>E1351</t>
  </si>
  <si>
    <t>EVALDO DA LUZ BATISTA JUNIOR</t>
  </si>
  <si>
    <t>351 939 765 665</t>
  </si>
  <si>
    <t>E0870</t>
  </si>
  <si>
    <t>EVARISTO ERNESTO MILANDO</t>
  </si>
  <si>
    <t>+351 935 646 148</t>
  </si>
  <si>
    <t>E0125</t>
  </si>
  <si>
    <t>EVELIO ANGULO ANGULO</t>
  </si>
  <si>
    <t>BD539122</t>
  </si>
  <si>
    <t>+34 613 93 10 90</t>
  </si>
  <si>
    <t>E0717</t>
  </si>
  <si>
    <t>EVER ROBINSON LOPEZ CASTRO</t>
  </si>
  <si>
    <t>57 302 7554117</t>
  </si>
  <si>
    <t>E1131</t>
  </si>
  <si>
    <t>EVERTH CASTRO GONZALEZ</t>
  </si>
  <si>
    <t>+34 641 28 54 18</t>
  </si>
  <si>
    <t>E0709</t>
  </si>
  <si>
    <t>EXEARIO ENRIQUE SANCHEZ</t>
  </si>
  <si>
    <t>34 674 40 90 25</t>
  </si>
  <si>
    <t>E0670</t>
  </si>
  <si>
    <t>EXNEIDER MENESES VALDES</t>
  </si>
  <si>
    <t>57 320 4111767</t>
  </si>
  <si>
    <t>E1182</t>
  </si>
  <si>
    <t>EZEQUIEL AUGUSTO DA SILVA LIMA</t>
  </si>
  <si>
    <t>+351 910 049 072</t>
  </si>
  <si>
    <t>E1184</t>
  </si>
  <si>
    <t>EZEQUIEL BISPO RIBEIRO</t>
  </si>
  <si>
    <t>351 960 075 505</t>
  </si>
  <si>
    <t>E0865</t>
  </si>
  <si>
    <t>EZEQUIEL GOMES DE SOUSA</t>
  </si>
  <si>
    <t>E1490</t>
  </si>
  <si>
    <t>FABER FABIAN DE LA CRUZ RIQUETT</t>
  </si>
  <si>
    <t>BD917752</t>
  </si>
  <si>
    <t>57 301 531 4562</t>
  </si>
  <si>
    <t>E1194</t>
  </si>
  <si>
    <t>FABIAN ANDRES BERNAL MONTENEGRO</t>
  </si>
  <si>
    <t>BE117627</t>
  </si>
  <si>
    <t>+34 667 69 59 72</t>
  </si>
  <si>
    <t>E1394</t>
  </si>
  <si>
    <t>FABIAN ANDRES RIOS VARGAS</t>
  </si>
  <si>
    <t>+48 575 407 345</t>
  </si>
  <si>
    <t>E0389</t>
  </si>
  <si>
    <t>FABIAN ARTURO RUIZ GARCIA</t>
  </si>
  <si>
    <t>BE808642</t>
  </si>
  <si>
    <t>+34 613 37 47 24</t>
  </si>
  <si>
    <t>E1612</t>
  </si>
  <si>
    <t>FABIAN BERNAL MONTENEGRO</t>
  </si>
  <si>
    <t>34 667 695 972</t>
  </si>
  <si>
    <t>E0632</t>
  </si>
  <si>
    <t>FABIAN JARAMILLO MARIN</t>
  </si>
  <si>
    <t>BG051966</t>
  </si>
  <si>
    <t>+57 313 688 1196</t>
  </si>
  <si>
    <t>E0890</t>
  </si>
  <si>
    <t>FABIAN LEONARDO CERON VALENCIA</t>
  </si>
  <si>
    <t>AY595372</t>
  </si>
  <si>
    <t>+34 641 271 785</t>
  </si>
  <si>
    <t>E0235</t>
  </si>
  <si>
    <t>FABIAN LLERAR ROA MATEUS</t>
  </si>
  <si>
    <t>BF667496</t>
  </si>
  <si>
    <t>+57 312 415 1283</t>
  </si>
  <si>
    <t>E2056</t>
  </si>
  <si>
    <t>FABIAN ORLANDO VARGAS RIOS</t>
  </si>
  <si>
    <t>AS529639</t>
  </si>
  <si>
    <t>+57 317 635 9675</t>
  </si>
  <si>
    <t>E0004</t>
  </si>
  <si>
    <t>FABIANIZ GIRADO MARTINEZ</t>
  </si>
  <si>
    <t>BC378153</t>
  </si>
  <si>
    <t>+34 624 22 67 04</t>
  </si>
  <si>
    <t>E0694</t>
  </si>
  <si>
    <t>FABIANO ANTUNES DE CARVALHO</t>
  </si>
  <si>
    <t>+351 925 207 707</t>
  </si>
  <si>
    <t>E1213</t>
  </si>
  <si>
    <t>FABIANO CARNEIRO SILVA</t>
  </si>
  <si>
    <t>3.51912E+16</t>
  </si>
  <si>
    <t>E0429</t>
  </si>
  <si>
    <t>FABIO ANDRES LUJAN ARANGO</t>
  </si>
  <si>
    <t>AU955727</t>
  </si>
  <si>
    <t>+57 313 5114714</t>
  </si>
  <si>
    <t>E1256</t>
  </si>
  <si>
    <t>FABIO CESAR BEZERRA</t>
  </si>
  <si>
    <t>+351 912 021 926</t>
  </si>
  <si>
    <t>E1932</t>
  </si>
  <si>
    <t>FABIO DOMINGUEZ BRAVO</t>
  </si>
  <si>
    <t>AX758453</t>
  </si>
  <si>
    <t>+48 513 832 360</t>
  </si>
  <si>
    <t>E0854</t>
  </si>
  <si>
    <t>FABIO FERREIRA DA SILVA</t>
  </si>
  <si>
    <t>E1178</t>
  </si>
  <si>
    <t>FABIO FONSECA PINHEIRO</t>
  </si>
  <si>
    <t>32 455 14 45 18</t>
  </si>
  <si>
    <t>SANTIFER</t>
  </si>
  <si>
    <t>E1257</t>
  </si>
  <si>
    <t>FABIO GOMES DOS ANJOS</t>
  </si>
  <si>
    <t>+351 914 440 613</t>
  </si>
  <si>
    <t>E1700</t>
  </si>
  <si>
    <t>FABIO LEON OROZCO RODRIGUEZ</t>
  </si>
  <si>
    <t>BF674702</t>
  </si>
  <si>
    <t>+57 322 294 5527</t>
  </si>
  <si>
    <t>E0864</t>
  </si>
  <si>
    <t>FABIO NASCIMENTO DE JESUS</t>
  </si>
  <si>
    <t>E1850</t>
  </si>
  <si>
    <t>FABIO NELSON DIAZ ACHINTE</t>
  </si>
  <si>
    <t>BE439247</t>
  </si>
  <si>
    <t>+34 624 79 06 04</t>
  </si>
  <si>
    <t>E1109</t>
  </si>
  <si>
    <t>FABIO NELSON ROSERO GONZALEZ</t>
  </si>
  <si>
    <t>34 602 64 21 96</t>
  </si>
  <si>
    <t>E1297</t>
  </si>
  <si>
    <t>FABIO SANTANA DOS SANTOS</t>
  </si>
  <si>
    <t>351 915 964 216</t>
  </si>
  <si>
    <t>E1491</t>
  </si>
  <si>
    <t>FABRICIO SANTOS DA SOLEDADE</t>
  </si>
  <si>
    <t>351 932 633 638</t>
  </si>
  <si>
    <t>E0847</t>
  </si>
  <si>
    <t>FAIBER EDUARDO URRIAGO CARDENAS</t>
  </si>
  <si>
    <t>57 315 4029 445</t>
  </si>
  <si>
    <t>E0463</t>
  </si>
  <si>
    <t>FANOR ENRIQUE BAHOS OVIEDO</t>
  </si>
  <si>
    <t>+34 677 36 79 41</t>
  </si>
  <si>
    <t>E2002</t>
  </si>
  <si>
    <t>FARID ENRIQUE DE LAS SALAS COGOLLO</t>
  </si>
  <si>
    <t>AY897041</t>
  </si>
  <si>
    <t>+48 502 875 700</t>
  </si>
  <si>
    <t>E2052</t>
  </si>
  <si>
    <t>FARID JOSE ROJAS GUERRA</t>
  </si>
  <si>
    <t>AW775868</t>
  </si>
  <si>
    <t>+57 315 268 5615</t>
  </si>
  <si>
    <t>E1086</t>
  </si>
  <si>
    <t>FARID SAMUEL URUETA HEREDIA</t>
  </si>
  <si>
    <t>+34 624 48 13 58</t>
  </si>
  <si>
    <t>E0985</t>
  </si>
  <si>
    <t>FELIPE DA SILVA LEAL</t>
  </si>
  <si>
    <t>+351 925 044 508</t>
  </si>
  <si>
    <t>E0899</t>
  </si>
  <si>
    <t>FELIPE FRONCZAK</t>
  </si>
  <si>
    <t>351 913 881 662</t>
  </si>
  <si>
    <t>E0253</t>
  </si>
  <si>
    <t>FELIPE GUTIERREZ ALFARO</t>
  </si>
  <si>
    <t>+51 996 886 968</t>
  </si>
  <si>
    <t>E1748</t>
  </si>
  <si>
    <t>FELIPE LOAIZA CARDENAS</t>
  </si>
  <si>
    <t>BG400700</t>
  </si>
  <si>
    <t>+34 667 04 09 38</t>
  </si>
  <si>
    <t>E1492</t>
  </si>
  <si>
    <t>FELIPE OQUENDO CALLEJAS</t>
  </si>
  <si>
    <t>57 322 539 4168</t>
  </si>
  <si>
    <t>E0527</t>
  </si>
  <si>
    <t>FELIPE SANTOS DA SILVA</t>
  </si>
  <si>
    <t>FQ005436</t>
  </si>
  <si>
    <t>+351 933 361 753</t>
  </si>
  <si>
    <t>E1750</t>
  </si>
  <si>
    <t>FELIX DARIO MAESTRE DEL GUERCIO</t>
  </si>
  <si>
    <t>AX336080</t>
  </si>
  <si>
    <t>+34 635 05 95 11</t>
  </si>
  <si>
    <t>E0900</t>
  </si>
  <si>
    <t>FELIX DUVAN GUTIERREZ HERNANDEZ</t>
  </si>
  <si>
    <t>48 453 197 890</t>
  </si>
  <si>
    <t>E0483</t>
  </si>
  <si>
    <t>FENIX DE JESUS BARBOSA COLORADO</t>
  </si>
  <si>
    <t>+57 321 6863455</t>
  </si>
  <si>
    <t>E1933</t>
  </si>
  <si>
    <t>FERNANDO ALFREDO VELEZ VALENCIA</t>
  </si>
  <si>
    <t>BG604609</t>
  </si>
  <si>
    <t>+57 313 253 0918</t>
  </si>
  <si>
    <t>E2033</t>
  </si>
  <si>
    <t>FERNANDO ANTONIO CARDENAS CARDENAS</t>
  </si>
  <si>
    <t>BH171655</t>
  </si>
  <si>
    <t>+57 312 4236443</t>
  </si>
  <si>
    <t>E1181</t>
  </si>
  <si>
    <t>FERNANDO DA SILVA NOGAL</t>
  </si>
  <si>
    <t>+32 470 54 83 39</t>
  </si>
  <si>
    <t>E1396</t>
  </si>
  <si>
    <t>FERNANDO DARIO LUNA PINEDA</t>
  </si>
  <si>
    <t>AX271695</t>
  </si>
  <si>
    <t>+48 727 476 345</t>
  </si>
  <si>
    <t>E0113</t>
  </si>
  <si>
    <t>FERNANDO ENRIQUE SALAS ARCO</t>
  </si>
  <si>
    <t>+57 310 5028556</t>
  </si>
  <si>
    <t>E1118</t>
  </si>
  <si>
    <t>FERNANDO HENRIQUE BARBOSA</t>
  </si>
  <si>
    <t>5.53798E+16</t>
  </si>
  <si>
    <t>E0827</t>
  </si>
  <si>
    <t>FERNANDO SAUCEDO ALVEAR</t>
  </si>
  <si>
    <t>+57 316 4854416</t>
  </si>
  <si>
    <t>E0156</t>
  </si>
  <si>
    <t>FERNANDO VELEZ GIRALDO</t>
  </si>
  <si>
    <t>+57 312 2928296</t>
  </si>
  <si>
    <t>E0825</t>
  </si>
  <si>
    <t>FERNANDO VIVEROS PASTES</t>
  </si>
  <si>
    <t>57 300 6747309</t>
  </si>
  <si>
    <t>E2082</t>
  </si>
  <si>
    <t>FERNEY ALEXANDER VARGAS SERRANO</t>
  </si>
  <si>
    <t>AV984921</t>
  </si>
  <si>
    <t>+34 631982091</t>
  </si>
  <si>
    <t>E2069</t>
  </si>
  <si>
    <t>FERNEY TORRES LEDESMA</t>
  </si>
  <si>
    <t>BE603008</t>
  </si>
  <si>
    <t>+57 313 3286364</t>
  </si>
  <si>
    <t>E0753</t>
  </si>
  <si>
    <t>FILIBERTO GAITAN PEREZ</t>
  </si>
  <si>
    <t>+57 322 9097643</t>
  </si>
  <si>
    <t>E1293</t>
  </si>
  <si>
    <t>FLABIO JOSE ASCUNTAR CASTILLO</t>
  </si>
  <si>
    <t>34 678 56 06 35</t>
  </si>
  <si>
    <t>E1278</t>
  </si>
  <si>
    <t>FLAVIO ELIECER</t>
  </si>
  <si>
    <t>E1009</t>
  </si>
  <si>
    <t>FLAVIO IVO DA SILVA DE JESUS</t>
  </si>
  <si>
    <t>351 926 777 269</t>
  </si>
  <si>
    <t>E0768</t>
  </si>
  <si>
    <t>FLINMAN ALEXANDER RAMIREZ TOBA</t>
  </si>
  <si>
    <t>+48 505 248 675</t>
  </si>
  <si>
    <t>E0938</t>
  </si>
  <si>
    <t>FOFANA ABASS</t>
  </si>
  <si>
    <t>34 634 15 94 98</t>
  </si>
  <si>
    <t>E0940</t>
  </si>
  <si>
    <t>FOUED BOULOUEDNINE</t>
  </si>
  <si>
    <t>351 920 377 193</t>
  </si>
  <si>
    <t>E1032</t>
  </si>
  <si>
    <t>FRANCIMAR DA SILVA PEREIRA</t>
  </si>
  <si>
    <t>351 915 480 615</t>
  </si>
  <si>
    <t>E0747</t>
  </si>
  <si>
    <t>FRANCISCO ALBERTO MARAVI CHUMBE</t>
  </si>
  <si>
    <t>+34 600 90 52 79</t>
  </si>
  <si>
    <t>E1676</t>
  </si>
  <si>
    <t>FRANCISCO ALBERTO OCHOA GAITAN</t>
  </si>
  <si>
    <t>BG364221</t>
  </si>
  <si>
    <t>+57 302 403 3681</t>
  </si>
  <si>
    <t>E0901</t>
  </si>
  <si>
    <t>FRANCISCO DE ASSIS</t>
  </si>
  <si>
    <t>34 613 43 54 89</t>
  </si>
  <si>
    <t>E0813</t>
  </si>
  <si>
    <t>FRANCISCO EDUARDO HERRERA BARRAGAN</t>
  </si>
  <si>
    <t>57 322 3994120</t>
  </si>
  <si>
    <t>E1290</t>
  </si>
  <si>
    <t>FRANCISCO ERANDI OLIVEIRA DE FARIAS</t>
  </si>
  <si>
    <t>34 600 48 07 06</t>
  </si>
  <si>
    <t>E1033</t>
  </si>
  <si>
    <t>FRANCISCO FABIO BRAGA VIANA</t>
  </si>
  <si>
    <t>351 925 510 773</t>
  </si>
  <si>
    <t>E0508</t>
  </si>
  <si>
    <t>FRANCISCO JAVIER BENITEZ RESTREPO</t>
  </si>
  <si>
    <t>+57 314 8212450</t>
  </si>
  <si>
    <t>E0229</t>
  </si>
  <si>
    <t>FRANCISCO JAVIER MERCADO MELENDEZ</t>
  </si>
  <si>
    <t>BF307871</t>
  </si>
  <si>
    <t>+57 318 6453291</t>
  </si>
  <si>
    <t>E1946</t>
  </si>
  <si>
    <t>FRANCISCO JAVIER OJEDA MACHADO</t>
  </si>
  <si>
    <t>BE087145</t>
  </si>
  <si>
    <t>+34 603 309 104</t>
  </si>
  <si>
    <t>E0740</t>
  </si>
  <si>
    <t>FRANCISCO JAVIER RAMIREZ RODRIGUEZ</t>
  </si>
  <si>
    <t>+34 624 13 71 31</t>
  </si>
  <si>
    <t>E1324</t>
  </si>
  <si>
    <t>FRANCISCO MANUEL PASSOS</t>
  </si>
  <si>
    <t>+244 926 428 578</t>
  </si>
  <si>
    <t>E1300</t>
  </si>
  <si>
    <t>FRANCO ANDRES MELO RODRIGUEZ</t>
  </si>
  <si>
    <t>+34 654 90 38 75</t>
  </si>
  <si>
    <t>E0966</t>
  </si>
  <si>
    <t>FRANCO CESAR GONZALES CUMPA</t>
  </si>
  <si>
    <t>+51 921 467 890</t>
  </si>
  <si>
    <t>E0608</t>
  </si>
  <si>
    <t>FRANCO NAHUEL ARCE</t>
  </si>
  <si>
    <t>AAJ628765</t>
  </si>
  <si>
    <t>+34 604 29 52 04</t>
  </si>
  <si>
    <t>E1832</t>
  </si>
  <si>
    <t>FRANK ESNEIDER PEREZ TABARES</t>
  </si>
  <si>
    <t>BA181068</t>
  </si>
  <si>
    <t>+34 610 677 434</t>
  </si>
  <si>
    <t>E1494</t>
  </si>
  <si>
    <t>FRANK PERDOMO YUCUMA</t>
  </si>
  <si>
    <t>AX845264</t>
  </si>
  <si>
    <t>57 314 492 7999</t>
  </si>
  <si>
    <t>E0275</t>
  </si>
  <si>
    <t>FRANKLIN ALEXANDER CASSIANI HERRERA</t>
  </si>
  <si>
    <t>AZ174143</t>
  </si>
  <si>
    <t>+48 452 593 604</t>
  </si>
  <si>
    <t>E2115</t>
  </si>
  <si>
    <t>FRANKLIN JOSE DIAZ LINCE</t>
  </si>
  <si>
    <t>AZ056980</t>
  </si>
  <si>
    <t>+34 613 20 01 58</t>
  </si>
  <si>
    <t>E1205</t>
  </si>
  <si>
    <t>FRANKLIN MUÑOZ RODRIGUEZ</t>
  </si>
  <si>
    <t>+34 604 26 95 21</t>
  </si>
  <si>
    <t>E0909</t>
  </si>
  <si>
    <t>FRANKLIN RAFAEL RODRIGUEZ BELTRAN</t>
  </si>
  <si>
    <t>57 313 6522122</t>
  </si>
  <si>
    <t>E1948</t>
  </si>
  <si>
    <t>FRANKLYN OMAR DE LA CRUZ SERNAQUE</t>
  </si>
  <si>
    <t>124910690</t>
  </si>
  <si>
    <t>+51 947 838 217</t>
  </si>
  <si>
    <t>E0157</t>
  </si>
  <si>
    <t>FRANKY EXNEIDER ORDUZ NIÑO</t>
  </si>
  <si>
    <t>AZ023925</t>
  </si>
  <si>
    <t>+48 781 545 201</t>
  </si>
  <si>
    <t>E0169</t>
  </si>
  <si>
    <t>FRAY DAVID GIL VALENCIA</t>
  </si>
  <si>
    <t>+34 642 19 49 53</t>
  </si>
  <si>
    <t>E0688</t>
  </si>
  <si>
    <t>FRAY LUIS ESPITIA LOPEZ</t>
  </si>
  <si>
    <t>57 324 3370726</t>
  </si>
  <si>
    <t>E0991</t>
  </si>
  <si>
    <t>FRED ALBERTO SOLANO GALLO</t>
  </si>
  <si>
    <t>+34 691 29 40 76</t>
  </si>
  <si>
    <t>E1856</t>
  </si>
  <si>
    <t>FREDDY ANDRES BAYONA CASTRO</t>
  </si>
  <si>
    <t>BH162372</t>
  </si>
  <si>
    <t>+57 320 402 8438</t>
  </si>
  <si>
    <t>E1735</t>
  </si>
  <si>
    <t>FREDDY ENRIQUE MEZA ARISTIZABAL</t>
  </si>
  <si>
    <t>AX388853</t>
  </si>
  <si>
    <t>+34 697 32 88 29</t>
  </si>
  <si>
    <t>E1911</t>
  </si>
  <si>
    <t>FREDERICK AU BLANQUICETT</t>
  </si>
  <si>
    <t>AT154012</t>
  </si>
  <si>
    <t>+34 662 15 89 04</t>
  </si>
  <si>
    <t>E0120</t>
  </si>
  <si>
    <t>FREDERY DURANGO DELGADO</t>
  </si>
  <si>
    <t>34 687 12 33 15</t>
  </si>
  <si>
    <t>E0414</t>
  </si>
  <si>
    <t>FREDIS ANTONIO MORELOS COLON</t>
  </si>
  <si>
    <t>BE962974</t>
  </si>
  <si>
    <t>+56 9 3685 9596</t>
  </si>
  <si>
    <t>E1495</t>
  </si>
  <si>
    <t>FREDIS BARRIOS MARTINEZ</t>
  </si>
  <si>
    <t>+34 624 46 98 17</t>
  </si>
  <si>
    <t>E1496</t>
  </si>
  <si>
    <t>FREDIS BOLAÑOS GARCIA</t>
  </si>
  <si>
    <t>AU905718</t>
  </si>
  <si>
    <t>34 602 654 765</t>
  </si>
  <si>
    <t>E0785</t>
  </si>
  <si>
    <t>FREDY ALBERTO CORDOBA BEJARANO</t>
  </si>
  <si>
    <t>57 313 5531395</t>
  </si>
  <si>
    <t>E1497</t>
  </si>
  <si>
    <t>FREDY ALEXANDER GOMEZ CORTES</t>
  </si>
  <si>
    <t>AZ806528</t>
  </si>
  <si>
    <t>34 643 722 685</t>
  </si>
  <si>
    <t>E1173</t>
  </si>
  <si>
    <t>FREDY ALONSO AREVALO CARRILO</t>
  </si>
  <si>
    <t>E0237</t>
  </si>
  <si>
    <t>FREDY JAVIER CCALLA ROJAS</t>
  </si>
  <si>
    <t>L35147044</t>
  </si>
  <si>
    <t>+34 645 647 622</t>
  </si>
  <si>
    <t>E0394</t>
  </si>
  <si>
    <t>FREDY MANCERA URIBE</t>
  </si>
  <si>
    <t>AW852982</t>
  </si>
  <si>
    <t>+57 321 2499828</t>
  </si>
  <si>
    <t>E1155</t>
  </si>
  <si>
    <t>FREDY MATITUY GARCIA</t>
  </si>
  <si>
    <t>E1699</t>
  </si>
  <si>
    <t>FREDY RICARDO AGUDELO SALAMANCA</t>
  </si>
  <si>
    <t>BG794783</t>
  </si>
  <si>
    <t>+57 310 7535869</t>
  </si>
  <si>
    <t>E0759</t>
  </si>
  <si>
    <t>FREDY RONDON CORDOBA</t>
  </si>
  <si>
    <t>E1110</t>
  </si>
  <si>
    <t>FREDY ULISES LEON SANTIAGO</t>
  </si>
  <si>
    <t>+34 641 55 46 13</t>
  </si>
  <si>
    <t>E0875</t>
  </si>
  <si>
    <t>FREILY JOSE CARO VILORIA</t>
  </si>
  <si>
    <t>+48 690 261 104</t>
  </si>
  <si>
    <t>E1399</t>
  </si>
  <si>
    <t>GABRIEL OCHOA GAITAN</t>
  </si>
  <si>
    <t>AV109542</t>
  </si>
  <si>
    <t>+57 320 310 6786</t>
  </si>
  <si>
    <t>E0713</t>
  </si>
  <si>
    <t>GEICKOLL DAVID PUERTO TORRES</t>
  </si>
  <si>
    <t>32 466 17 62 28</t>
  </si>
  <si>
    <t>E1046</t>
  </si>
  <si>
    <t>GEIDER PATIÑO QUIROGA</t>
  </si>
  <si>
    <t>+351 933 425 120</t>
  </si>
  <si>
    <t>E0562</t>
  </si>
  <si>
    <t>GEINER DE LA CRUZ RIQUETT</t>
  </si>
  <si>
    <t>+48 508 858 709</t>
  </si>
  <si>
    <t>E0601</t>
  </si>
  <si>
    <t>GEORGE BILLY CIENFUEGOS SUAREZ</t>
  </si>
  <si>
    <t>122369662</t>
  </si>
  <si>
    <t>+507 6049 1388</t>
  </si>
  <si>
    <t>E2024</t>
  </si>
  <si>
    <t>GERARDO LARA GONZALEZ</t>
  </si>
  <si>
    <t>AZ350154</t>
  </si>
  <si>
    <t>+57 310 759 7838</t>
  </si>
  <si>
    <t>E1498</t>
  </si>
  <si>
    <t>GERMAN ALONSO PRIETO ALARCÓN</t>
  </si>
  <si>
    <t>57 320 462 8859</t>
  </si>
  <si>
    <t>E0574</t>
  </si>
  <si>
    <t>GERMAN DARIO MERCHAN CARO</t>
  </si>
  <si>
    <t>+34 662 43 11 60</t>
  </si>
  <si>
    <t>E1152</t>
  </si>
  <si>
    <t>GERMAN GARCIA RODRIGUEZ</t>
  </si>
  <si>
    <t>48 886 941 093</t>
  </si>
  <si>
    <t>E0571</t>
  </si>
  <si>
    <t>GERMAN GASPAR GODOY</t>
  </si>
  <si>
    <t>AAH092004</t>
  </si>
  <si>
    <t>+48 577 237 944</t>
  </si>
  <si>
    <t>E1869</t>
  </si>
  <si>
    <t>GERMAN JOSE GAMBOA FARIAS</t>
  </si>
  <si>
    <t>AU809847</t>
  </si>
  <si>
    <t>+34 603 35 30 53</t>
  </si>
  <si>
    <t>E0803</t>
  </si>
  <si>
    <t>GERMAN LORZA TORRES</t>
  </si>
  <si>
    <t>57 315 5182313</t>
  </si>
  <si>
    <t>E0710</t>
  </si>
  <si>
    <t>GERMAN MAURICIO CARO CASTRO</t>
  </si>
  <si>
    <t>+34 602 496 653</t>
  </si>
  <si>
    <t>E1710</t>
  </si>
  <si>
    <t>GERSON ANDRES LOPEZ LONDONO</t>
  </si>
  <si>
    <t>BG001226</t>
  </si>
  <si>
    <t>+57 310 259 1165</t>
  </si>
  <si>
    <t>E1499</t>
  </si>
  <si>
    <t>GERSON DO NASCIMENTO</t>
  </si>
  <si>
    <t>351 936 118 483</t>
  </si>
  <si>
    <t>E1500</t>
  </si>
  <si>
    <t>GERSON STEVENS BELTRAN CASTELLANOS</t>
  </si>
  <si>
    <t>BF979529</t>
  </si>
  <si>
    <t>34 603 41 71 54</t>
  </si>
  <si>
    <t>E0197</t>
  </si>
  <si>
    <t>GIAN CARLOS SAAVEDRA LAPA</t>
  </si>
  <si>
    <t>122112465</t>
  </si>
  <si>
    <t>+51 913 889 454</t>
  </si>
  <si>
    <t>E1234</t>
  </si>
  <si>
    <t>GIANFRANCO MICHAEL GEOVANNY SANCHEZ PITA</t>
  </si>
  <si>
    <t>+48 787 492 860</t>
  </si>
  <si>
    <t>E0104</t>
  </si>
  <si>
    <t>GILBER MORA DIAZ</t>
  </si>
  <si>
    <t>BF997699</t>
  </si>
  <si>
    <t>+57 322 9682570</t>
  </si>
  <si>
    <t>E0987</t>
  </si>
  <si>
    <t>GILBERTO ALMIR FERMIANO</t>
  </si>
  <si>
    <t>351 912 988 042</t>
  </si>
  <si>
    <t>E1034</t>
  </si>
  <si>
    <t>GILMAR GOMES DE TOLEDO JUNIOR</t>
  </si>
  <si>
    <t>verificar</t>
  </si>
  <si>
    <t>351 911 974 686</t>
  </si>
  <si>
    <t>E1761</t>
  </si>
  <si>
    <t>GILMAR LUIS PARRILLA ALCANTARA</t>
  </si>
  <si>
    <t>123814697</t>
  </si>
  <si>
    <t>+34 624 334 806</t>
  </si>
  <si>
    <t>E0924</t>
  </si>
  <si>
    <t>GILSON PINHEIRO DOS SANTOS</t>
  </si>
  <si>
    <t>351 911 934 610</t>
  </si>
  <si>
    <t>E0594</t>
  </si>
  <si>
    <t>GIOVANNI CHRISTIAN SALAZAR HIDALGO</t>
  </si>
  <si>
    <t>124851568</t>
  </si>
  <si>
    <t>+51 971 499 762</t>
  </si>
  <si>
    <t>E0880</t>
  </si>
  <si>
    <t>GIOVANNI DAVID MORAN RODRIGUEZ</t>
  </si>
  <si>
    <t>34 667 45 16 85</t>
  </si>
  <si>
    <t>E1613</t>
  </si>
  <si>
    <t>GIOVANNY ANTONIO COBOS ROBLES</t>
  </si>
  <si>
    <t>AT110751</t>
  </si>
  <si>
    <t>48 516 802 211</t>
  </si>
  <si>
    <t>E0699</t>
  </si>
  <si>
    <t>GLECIO DOS SANTOS ANDRADE</t>
  </si>
  <si>
    <t>351 911 897 794</t>
  </si>
  <si>
    <t>E1318</t>
  </si>
  <si>
    <t>GLEIDSON WASHINGTON SANTOS OLIVEIRA XAVIER</t>
  </si>
  <si>
    <t>+351 926 572 163</t>
  </si>
  <si>
    <t>E0094</t>
  </si>
  <si>
    <t>GONZALO ARIEL NAVARRO</t>
  </si>
  <si>
    <t>AAF976893</t>
  </si>
  <si>
    <t>34 640 86 04 70</t>
  </si>
  <si>
    <t>E1501</t>
  </si>
  <si>
    <t>GONZALO JAVIER CERON GARCIA</t>
  </si>
  <si>
    <t>48 502 507 331</t>
  </si>
  <si>
    <t>E1951</t>
  </si>
  <si>
    <t>GONZALO MISAEL GOMEZ</t>
  </si>
  <si>
    <t>ALL849636</t>
  </si>
  <si>
    <t>+57 9 2613 03 9462</t>
  </si>
  <si>
    <t>E1216</t>
  </si>
  <si>
    <t>GONZALO QUINTANA PIMIENTO</t>
  </si>
  <si>
    <t>AV974864</t>
  </si>
  <si>
    <t>+34 642 71 33 29</t>
  </si>
  <si>
    <t>E0329</t>
  </si>
  <si>
    <t>GONZALO RENE RIVAS GAVIRIA</t>
  </si>
  <si>
    <t>+57 310 360 3559</t>
  </si>
  <si>
    <t>E1502</t>
  </si>
  <si>
    <t>GRAVIEL ISIDRO DIAZ OROPEZA</t>
  </si>
  <si>
    <t>176533263</t>
  </si>
  <si>
    <t>34 614 625 972</t>
  </si>
  <si>
    <t>E1819</t>
  </si>
  <si>
    <t>GREGORIO HERNAN ARIAS JARAMILLO</t>
  </si>
  <si>
    <t>BG491448</t>
  </si>
  <si>
    <t>+57 315 5496789</t>
  </si>
  <si>
    <t>E0472</t>
  </si>
  <si>
    <t>GRISERIO COLLAZOS MURCIA</t>
  </si>
  <si>
    <t>+34 611 21 67 33</t>
  </si>
  <si>
    <t>E1280</t>
  </si>
  <si>
    <t>GROVER JESUS JUAREZ LOPEZ</t>
  </si>
  <si>
    <t>+51 951 790 854</t>
  </si>
  <si>
    <t>E1151</t>
  </si>
  <si>
    <t>GUBERNEY HURTADO SAUCEDO</t>
  </si>
  <si>
    <t>34600801366</t>
  </si>
  <si>
    <t>E0035</t>
  </si>
  <si>
    <t>GUERMAIN ISAAC SAJAMIN PANDURO</t>
  </si>
  <si>
    <t>123269924</t>
  </si>
  <si>
    <t>+51 981 349 763</t>
  </si>
  <si>
    <t>E1350</t>
  </si>
  <si>
    <t>GUILHERME ANTONIO SILVA</t>
  </si>
  <si>
    <t>351 926 851 624</t>
  </si>
  <si>
    <t>E1661</t>
  </si>
  <si>
    <t>GUILHERME CARVALHO DA SILVA</t>
  </si>
  <si>
    <t>YE227559</t>
  </si>
  <si>
    <t>+351 926 851 624</t>
  </si>
  <si>
    <t>E0917</t>
  </si>
  <si>
    <t>GUILHERME MURBACH ARBIGAUS</t>
  </si>
  <si>
    <t>+351 910 632 074</t>
  </si>
  <si>
    <t>E0286</t>
  </si>
  <si>
    <t>GUILLERMO ALFONSO CHACON BOHORQUEZ</t>
  </si>
  <si>
    <t>+48 507 372 445</t>
  </si>
  <si>
    <t>E1160</t>
  </si>
  <si>
    <t>GUILLERMO ALFONSO TEJADA VILLAMIZAR</t>
  </si>
  <si>
    <t>+34 664 29 41 89</t>
  </si>
  <si>
    <t>E1817</t>
  </si>
  <si>
    <t>GUILLERMO ANDRES GOMEZ PABON</t>
  </si>
  <si>
    <t>+34 624 71 73 41</t>
  </si>
  <si>
    <t>E0387</t>
  </si>
  <si>
    <t>GUILLERMO ARCINIEGAS MURILLO</t>
  </si>
  <si>
    <t>BD835107</t>
  </si>
  <si>
    <t>+34 642 03 24 96</t>
  </si>
  <si>
    <t>E0151</t>
  </si>
  <si>
    <t>GUILLERMO LEON POSADA LONDONO</t>
  </si>
  <si>
    <t>+57 3234874532</t>
  </si>
  <si>
    <t>E1395</t>
  </si>
  <si>
    <t>GULFRAN ENRIQUE LUGO GUTIERREZ</t>
  </si>
  <si>
    <t>AY455832</t>
  </si>
  <si>
    <t>+48 726 603 445</t>
  </si>
  <si>
    <t>E2105</t>
  </si>
  <si>
    <t>GUSTAVO ADOLFO DEL ANGEL MONTERO</t>
  </si>
  <si>
    <t>N06484260</t>
  </si>
  <si>
    <t>+34 623 16 30 44</t>
  </si>
  <si>
    <t>E0674</t>
  </si>
  <si>
    <t>GUSTAVO ADOLFO VALLECILLA GRANJA</t>
  </si>
  <si>
    <t>34 603 18 68 40</t>
  </si>
  <si>
    <t>E1150</t>
  </si>
  <si>
    <t>GUSTAVO ALVES DE MOURA</t>
  </si>
  <si>
    <t>+351 913 446 372</t>
  </si>
  <si>
    <t>E1925</t>
  </si>
  <si>
    <t>GUSTAVO ANDRES DUQUE CASTILLO</t>
  </si>
  <si>
    <t>BG785421</t>
  </si>
  <si>
    <t>+57 313 706 2942</t>
  </si>
  <si>
    <t>E1829</t>
  </si>
  <si>
    <t>GUSTAVO ANDRES PORRAS MORALES</t>
  </si>
  <si>
    <t>BF160063</t>
  </si>
  <si>
    <t>+57 316 745 9176</t>
  </si>
  <si>
    <t>E0089</t>
  </si>
  <si>
    <t>GUSTAVO DAMIAN DONOSO</t>
  </si>
  <si>
    <t>AAH720600</t>
  </si>
  <si>
    <t>34 656 65 37 94</t>
  </si>
  <si>
    <t>E1383</t>
  </si>
  <si>
    <t>GUSTAVO ELORREAGA MAYANGA</t>
  </si>
  <si>
    <t>+51 987 384 308</t>
  </si>
  <si>
    <t>E0738</t>
  </si>
  <si>
    <t>GUSTAVO FRANCIS ORTIZ COSTA</t>
  </si>
  <si>
    <t>55 21 96481-9204</t>
  </si>
  <si>
    <t>E1335</t>
  </si>
  <si>
    <t>GUSTAVO MENDES TEIXEIRA DA SILVA</t>
  </si>
  <si>
    <t>+55 21 99073-4839</t>
  </si>
  <si>
    <t>E1965</t>
  </si>
  <si>
    <t>GUSTAVO RAFAEL CARRILLO NUNEZ</t>
  </si>
  <si>
    <t>BE664524</t>
  </si>
  <si>
    <t>+57 315 842 8478</t>
  </si>
  <si>
    <t>E0910</t>
  </si>
  <si>
    <t>GUSTAVO VALOIS SINISTERRA</t>
  </si>
  <si>
    <t>34 641 41 92 54</t>
  </si>
  <si>
    <t>E1271</t>
  </si>
  <si>
    <t>GUSTAVO YOLIAN MEJIA SALAZAR</t>
  </si>
  <si>
    <t>BC720202</t>
  </si>
  <si>
    <t>+34 641 62 42 80</t>
  </si>
  <si>
    <t>E0939</t>
  </si>
  <si>
    <t>HAMAM MOHAMED EL ABBES</t>
  </si>
  <si>
    <t>33 6 13 58 73 30</t>
  </si>
  <si>
    <t>E1185</t>
  </si>
  <si>
    <t>HAMIDI MILOUD</t>
  </si>
  <si>
    <t>34 602 80 12 53</t>
  </si>
  <si>
    <t>E1503</t>
  </si>
  <si>
    <t>HANNER STIVEN GUZMAN PENCUA</t>
  </si>
  <si>
    <t>BC579554</t>
  </si>
  <si>
    <t>57 321 757 8224</t>
  </si>
  <si>
    <t>E0154</t>
  </si>
  <si>
    <t>HARLIM YAIR SILVA MIRANDA</t>
  </si>
  <si>
    <t>+48 725712599</t>
  </si>
  <si>
    <t>E0525</t>
  </si>
  <si>
    <t>HARLYS ENRIQUE DOMINGUEZ ALGARIN</t>
  </si>
  <si>
    <t>+57 300 7571270</t>
  </si>
  <si>
    <t>E0438</t>
  </si>
  <si>
    <t>HAROLD ALBERTO GRISALES ARRIETA</t>
  </si>
  <si>
    <t>+57 301 7788240</t>
  </si>
  <si>
    <t>E1833</t>
  </si>
  <si>
    <t>HAROLD HEVER ALARCON MOLINA</t>
  </si>
  <si>
    <t>BE875996</t>
  </si>
  <si>
    <t>+34 625 798 300</t>
  </si>
  <si>
    <t>E0532</t>
  </si>
  <si>
    <t>HAROLD LLERENA BELTRAN</t>
  </si>
  <si>
    <t>BD264667</t>
  </si>
  <si>
    <t>+34 652 95 04 91</t>
  </si>
  <si>
    <t>E0251</t>
  </si>
  <si>
    <t>HAROLD REFERTIN SERNAQUE CARRASCO</t>
  </si>
  <si>
    <t>122168657</t>
  </si>
  <si>
    <t>+51 907 891 888</t>
  </si>
  <si>
    <t>E0993</t>
  </si>
  <si>
    <t>HAROLD SMITH MAESTRE LEON</t>
  </si>
  <si>
    <t>+34 631 30 43 42</t>
  </si>
  <si>
    <t>E1746</t>
  </si>
  <si>
    <t>HAROLD STIVEN INCAPIE CUELLAR</t>
  </si>
  <si>
    <t>BG111576</t>
  </si>
  <si>
    <t>+34 694 20 80 89</t>
  </si>
  <si>
    <t>E1504</t>
  </si>
  <si>
    <t>HARRIS HUMBERTO MENDOZA ANGULO</t>
  </si>
  <si>
    <t>BG117089</t>
  </si>
  <si>
    <t>57 304 337 1604</t>
  </si>
  <si>
    <t>E0849</t>
  </si>
  <si>
    <t>HAWER PONTON MANCILLA</t>
  </si>
  <si>
    <t>57 315 5802839</t>
  </si>
  <si>
    <t>E2076</t>
  </si>
  <si>
    <t>HAYDER RAFAEL DIAZ MANAURE</t>
  </si>
  <si>
    <t>176850678</t>
  </si>
  <si>
    <t>+34 614 90 86 54</t>
  </si>
  <si>
    <t>E0079</t>
  </si>
  <si>
    <t>HECTOR DAVID LEQUERNAQUE DIAZ</t>
  </si>
  <si>
    <t>+51 934 356 748</t>
  </si>
  <si>
    <t>E0086</t>
  </si>
  <si>
    <t>HECTOR DAVID RAMOS BUHEZO</t>
  </si>
  <si>
    <t>122564005</t>
  </si>
  <si>
    <t>+51 992 973 306</t>
  </si>
  <si>
    <t>E1505</t>
  </si>
  <si>
    <t>HECTOR EDUARDO RIVERO MANZANO</t>
  </si>
  <si>
    <t>57 301 7186221</t>
  </si>
  <si>
    <t>E1295</t>
  </si>
  <si>
    <t>HECTOR ENRIQUE CHAVEZ CONOVILCA</t>
  </si>
  <si>
    <t>+51 993 334 510</t>
  </si>
  <si>
    <t>E0428</t>
  </si>
  <si>
    <t>HECTOR FABIAN ROJAS GOMEZ</t>
  </si>
  <si>
    <t>AY991595</t>
  </si>
  <si>
    <t>+34 652 26 32 13</t>
  </si>
  <si>
    <t>E1769</t>
  </si>
  <si>
    <t>HECTOR FABIO GOMEZ ROMAN</t>
  </si>
  <si>
    <t>BC232819</t>
  </si>
  <si>
    <t>+4 695 31 88 83</t>
  </si>
  <si>
    <t>E1615</t>
  </si>
  <si>
    <t>HECTOR FABIO GUZMAN CAICEDO</t>
  </si>
  <si>
    <t>BG173517</t>
  </si>
  <si>
    <t>573116897666‬</t>
  </si>
  <si>
    <t>E0557</t>
  </si>
  <si>
    <t>HECTOR FABIO MAHETE CEDEÑO</t>
  </si>
  <si>
    <t>AZ190036</t>
  </si>
  <si>
    <t>+57 300 7051651</t>
  </si>
  <si>
    <t>E1728</t>
  </si>
  <si>
    <t>HECTOR FABIO TIERRADENTRO GARZON</t>
  </si>
  <si>
    <t>AV072456</t>
  </si>
  <si>
    <t>+34 603 919 248</t>
  </si>
  <si>
    <t>E1074</t>
  </si>
  <si>
    <t>HECTOR FABIO VASQUEZ MAYORGA</t>
  </si>
  <si>
    <t>AU535352</t>
  </si>
  <si>
    <t>+14184097428</t>
  </si>
  <si>
    <t>E0418</t>
  </si>
  <si>
    <t>HECTOR FABIO VIVAS GUTIERREZ</t>
  </si>
  <si>
    <t>AV652727</t>
  </si>
  <si>
    <t>+57 313 418 6960</t>
  </si>
  <si>
    <t>E0958</t>
  </si>
  <si>
    <t>HECTOR GARZON SANCHEZ</t>
  </si>
  <si>
    <t>+34 613 42 98 21</t>
  </si>
  <si>
    <t>E0274</t>
  </si>
  <si>
    <t>HECTOR GIOVANNI MORENO SUSA</t>
  </si>
  <si>
    <t>BC642342</t>
  </si>
  <si>
    <t>+34 624 833 439</t>
  </si>
  <si>
    <t>E0645</t>
  </si>
  <si>
    <t>HECTOR JAIME ROA CONTRERAS</t>
  </si>
  <si>
    <t>+57 311 834 8951</t>
  </si>
  <si>
    <t>E1990</t>
  </si>
  <si>
    <t>HECTOR JAUMEN GUEVARA FORERO</t>
  </si>
  <si>
    <t>BA488496</t>
  </si>
  <si>
    <t>+57 313 665 3290</t>
  </si>
  <si>
    <t>E1778</t>
  </si>
  <si>
    <t>HECTOR JESUS QUINONES PEREZ</t>
  </si>
  <si>
    <t>167791164</t>
  </si>
  <si>
    <t>+56 929659296</t>
  </si>
  <si>
    <t>E0683</t>
  </si>
  <si>
    <t>HECTOR JULIAN MOSQUERA OROBIO</t>
  </si>
  <si>
    <t>+57 322 6376349</t>
  </si>
  <si>
    <t>E0989</t>
  </si>
  <si>
    <t>HECTOR LEONEL MARTINEZ GUERRA</t>
  </si>
  <si>
    <t>+57 314 7856796</t>
  </si>
  <si>
    <t>E1839</t>
  </si>
  <si>
    <t>HECTOR LUCIANO CAMELO BENAVIDES</t>
  </si>
  <si>
    <t>BG183517</t>
  </si>
  <si>
    <t>+57 311 485 1083</t>
  </si>
  <si>
    <t>E0240</t>
  </si>
  <si>
    <t>HECTOR LUIS PARRAGA ZAVALA</t>
  </si>
  <si>
    <t>124801216</t>
  </si>
  <si>
    <t>+51 923 999 856</t>
  </si>
  <si>
    <t>E2083</t>
  </si>
  <si>
    <t>HECTOR MANUEL BUELVAS ZAMBRANO</t>
  </si>
  <si>
    <t>AZ172333</t>
  </si>
  <si>
    <t>34687746033</t>
  </si>
  <si>
    <t>E0015</t>
  </si>
  <si>
    <t>HECTOR REYNALDO CHAVEZ</t>
  </si>
  <si>
    <t>AAI907194</t>
  </si>
  <si>
    <t>+54 221 434 2411</t>
  </si>
  <si>
    <t>E1073</t>
  </si>
  <si>
    <t>HECTOR ROMAN LUQUE CUTIPA</t>
  </si>
  <si>
    <t>124958248</t>
  </si>
  <si>
    <t>+51 988 999 707</t>
  </si>
  <si>
    <t>E0087</t>
  </si>
  <si>
    <t>HECTOR SANCHEZ GUERRERO</t>
  </si>
  <si>
    <t>BF505231</t>
  </si>
  <si>
    <t>+34 614 11 6302</t>
  </si>
  <si>
    <t>E1781</t>
  </si>
  <si>
    <t>HEDICXON OLIVIO QUINONES PEREZ</t>
  </si>
  <si>
    <t>168128059</t>
  </si>
  <si>
    <t>+56 9 5328 2030</t>
  </si>
  <si>
    <t>E0404</t>
  </si>
  <si>
    <t>HEINER GONZALEZ ALAPE</t>
  </si>
  <si>
    <t>+34 685 03 29 26</t>
  </si>
  <si>
    <t>E1506</t>
  </si>
  <si>
    <t>HELMER STIWAR MONTAÑA</t>
  </si>
  <si>
    <t>BE317576</t>
  </si>
  <si>
    <t>57 323 212 0945</t>
  </si>
  <si>
    <t>E0431</t>
  </si>
  <si>
    <t>HELMUT WALTER ROSALES MURILLO</t>
  </si>
  <si>
    <t>BF928317</t>
  </si>
  <si>
    <t>+34 614 790 940</t>
  </si>
  <si>
    <t>E0117</t>
  </si>
  <si>
    <t>HEMERSON GARCIA MOSQUERA</t>
  </si>
  <si>
    <t>+34 612 59 4774</t>
  </si>
  <si>
    <t>E1035</t>
  </si>
  <si>
    <t>HENRIQUE KOPELE COIMBRA</t>
  </si>
  <si>
    <t>351 932 518 122</t>
  </si>
  <si>
    <t>E0495</t>
  </si>
  <si>
    <t>HENRIS ORTEGA BOSSIO</t>
  </si>
  <si>
    <t>BD708523</t>
  </si>
  <si>
    <t>+57 301 301 1474</t>
  </si>
  <si>
    <t>E0058</t>
  </si>
  <si>
    <t>HENRRY CASTRO COLLACHAGUA</t>
  </si>
  <si>
    <t>123949560</t>
  </si>
  <si>
    <t>+51 947 862 919</t>
  </si>
  <si>
    <t>E1306</t>
  </si>
  <si>
    <t>HENRY ALEXANDER RAMIREZ</t>
  </si>
  <si>
    <t>BG904860</t>
  </si>
  <si>
    <t>34 647 34 77 17</t>
  </si>
  <si>
    <t>E1743</t>
  </si>
  <si>
    <t>HENRY ANDRES VELAZQUEZ GONZALEZ</t>
  </si>
  <si>
    <t>+34 642 197 311</t>
  </si>
  <si>
    <t>E2008</t>
  </si>
  <si>
    <t>HENRY BOHORQUEZ VEGA</t>
  </si>
  <si>
    <t>BG917635</t>
  </si>
  <si>
    <t>+57 350 211 0575</t>
  </si>
  <si>
    <t>E2066</t>
  </si>
  <si>
    <t>HENRY FIERRO MEDINA</t>
  </si>
  <si>
    <t>BH288120</t>
  </si>
  <si>
    <t>+57 3155629458</t>
  </si>
  <si>
    <t>E1999</t>
  </si>
  <si>
    <t>HENRY MARTINEZ CABEZAS</t>
  </si>
  <si>
    <t>BD872694</t>
  </si>
  <si>
    <t>+57 322 655 5372</t>
  </si>
  <si>
    <t>E1010</t>
  </si>
  <si>
    <t>HERBENILSON VITORINO MOURA</t>
  </si>
  <si>
    <t>351 916 284 699</t>
  </si>
  <si>
    <t>E1036</t>
  </si>
  <si>
    <t>HERBERT RICARDO DA SILVA</t>
  </si>
  <si>
    <t>351 964 252 306</t>
  </si>
  <si>
    <t>E1053</t>
  </si>
  <si>
    <t>HERIBERTO GRANDAS HURTADO</t>
  </si>
  <si>
    <t>+57 311 4247926</t>
  </si>
  <si>
    <t>E1889</t>
  </si>
  <si>
    <t>HERLEN DAVID RAMIREZ LACERA</t>
  </si>
  <si>
    <t>AZ186736</t>
  </si>
  <si>
    <t>+57 321 818 9103</t>
  </si>
  <si>
    <t>E0307</t>
  </si>
  <si>
    <t>HERLEY REYES AMAYA</t>
  </si>
  <si>
    <t>+34622362687</t>
  </si>
  <si>
    <t>E0681</t>
  </si>
  <si>
    <t>HERMAN COLLAZOS MURCIA</t>
  </si>
  <si>
    <t>+34 602 38 81 80</t>
  </si>
  <si>
    <t>E0754</t>
  </si>
  <si>
    <t>HERMES ALFONSO NIETO CASTRO</t>
  </si>
  <si>
    <t>E1094</t>
  </si>
  <si>
    <t>HERMES DAVID MEJIA BOSSA</t>
  </si>
  <si>
    <t>57 302 6072932</t>
  </si>
  <si>
    <t>E1299</t>
  </si>
  <si>
    <t>HERMES EDUARDO RODRIGUEZ PAJARO</t>
  </si>
  <si>
    <t>+57 350 4798789</t>
  </si>
  <si>
    <t>E1805</t>
  </si>
  <si>
    <t>HERMIDES VILLADIEGO DAGER</t>
  </si>
  <si>
    <t>AY164052</t>
  </si>
  <si>
    <t>+57 318 8890273</t>
  </si>
  <si>
    <t>E1507</t>
  </si>
  <si>
    <t>HERNAN ALONSO CONTRERAS MARROQUIN</t>
  </si>
  <si>
    <t>57 320 3011053</t>
  </si>
  <si>
    <t>E2070</t>
  </si>
  <si>
    <t>HERNAN BERNARDO QUINTERO JARAMILLO</t>
  </si>
  <si>
    <t>BD730030</t>
  </si>
  <si>
    <t>+34 634 01 05 07</t>
  </si>
  <si>
    <t>E0300</t>
  </si>
  <si>
    <t>HERNAN GERONIMO ALEJANDRO TARAZONA</t>
  </si>
  <si>
    <t>123259906</t>
  </si>
  <si>
    <t>+51920658811</t>
  </si>
  <si>
    <t>E2057</t>
  </si>
  <si>
    <t>+51 920 658 811</t>
  </si>
  <si>
    <t>E0501</t>
  </si>
  <si>
    <t>HERNAN RODRIGUEZ CUY</t>
  </si>
  <si>
    <t>AY323956</t>
  </si>
  <si>
    <t>+34 670 21 45 38</t>
  </si>
  <si>
    <t>E0408</t>
  </si>
  <si>
    <t>HERNANDO AUGUSTO GALINDO GOMEZ</t>
  </si>
  <si>
    <t>AX321519</t>
  </si>
  <si>
    <t>+34 666 485 963</t>
  </si>
  <si>
    <t>E1958</t>
  </si>
  <si>
    <t>HERNANDO ENRIQUE MAESTRE CASTILLA</t>
  </si>
  <si>
    <t>BD293773</t>
  </si>
  <si>
    <t>+57 310 527 0299</t>
  </si>
  <si>
    <t>E1508</t>
  </si>
  <si>
    <t>HERNANDO ORTIZ ALVAREZ</t>
  </si>
  <si>
    <t>57 321 960 1019</t>
  </si>
  <si>
    <t>E0141</t>
  </si>
  <si>
    <t>HEVERT CONDORHUAMAN GALLEGOS</t>
  </si>
  <si>
    <t>+51 949 463 948</t>
  </si>
  <si>
    <t>E1154</t>
  </si>
  <si>
    <t>HONNY YEIMER COMBINDO DALANTA</t>
  </si>
  <si>
    <t>57 3135312395</t>
  </si>
  <si>
    <t>E1509</t>
  </si>
  <si>
    <t>HUERLIN MANGLIO ALVARADO GUZMÁN</t>
  </si>
  <si>
    <t>51 937 202 730</t>
  </si>
  <si>
    <t>E1721</t>
  </si>
  <si>
    <t>HUGO ALBENIZ PULIDO MARTINEZ</t>
  </si>
  <si>
    <t>AZ518896</t>
  </si>
  <si>
    <t>+48 511 280 674</t>
  </si>
  <si>
    <t>E0871</t>
  </si>
  <si>
    <t>HUGO ALEXANDER SERRANO ALCALDE</t>
  </si>
  <si>
    <t>+34 611 21 61 60</t>
  </si>
  <si>
    <t>E1348</t>
  </si>
  <si>
    <t>HUGO ALFREDO DE LA OSSA DE LA CRUZ</t>
  </si>
  <si>
    <t>57 300 6376770</t>
  </si>
  <si>
    <t>E1879</t>
  </si>
  <si>
    <t>HUGO ARSENIO ORTEGA HERRERA</t>
  </si>
  <si>
    <t>BH107811</t>
  </si>
  <si>
    <t>+57 316 069 6251</t>
  </si>
  <si>
    <t>E1771</t>
  </si>
  <si>
    <t>HUGO ERNESTO SEGURA CASTILLO</t>
  </si>
  <si>
    <t>+34 664 488 964</t>
  </si>
  <si>
    <t>E0943</t>
  </si>
  <si>
    <t>HUGO MAMANI HERRERA</t>
  </si>
  <si>
    <t>+51 950 982 405</t>
  </si>
  <si>
    <t>E1892</t>
  </si>
  <si>
    <t>HUGO NELSON HERRERA MEDINA</t>
  </si>
  <si>
    <t>BH064321</t>
  </si>
  <si>
    <t>+57 315 600 7833</t>
  </si>
  <si>
    <t>E0466</t>
  </si>
  <si>
    <t>HUMBERTO ENRIQUE MARTINEZ</t>
  </si>
  <si>
    <t>BD961488</t>
  </si>
  <si>
    <t>+34 614 75 61 83</t>
  </si>
  <si>
    <t>E0042</t>
  </si>
  <si>
    <t>HUMBERTO HERRERA GAVIRIA</t>
  </si>
  <si>
    <t>BC556765</t>
  </si>
  <si>
    <t>31 6 86100825</t>
  </si>
  <si>
    <t>E0967</t>
  </si>
  <si>
    <t>HUMBERTO JOSE NUÑEZ CANTILLO</t>
  </si>
  <si>
    <t>E1510</t>
  </si>
  <si>
    <t>HUMBERTO OCHOA RIOS</t>
  </si>
  <si>
    <t>BG001231</t>
  </si>
  <si>
    <t>57 310 707 8123</t>
  </si>
  <si>
    <t>E2038</t>
  </si>
  <si>
    <t>HUMBERTO RIVERA HERNANDEZ</t>
  </si>
  <si>
    <t>AX779323</t>
  </si>
  <si>
    <t>+57 322 848938</t>
  </si>
  <si>
    <t>E0735</t>
  </si>
  <si>
    <t>HUMBERTO VERGARA QUINTERO</t>
  </si>
  <si>
    <t>57 319 7646006</t>
  </si>
  <si>
    <t>E1803</t>
  </si>
  <si>
    <t>IGNACIO ANTONIO ROLDAN AREVALO</t>
  </si>
  <si>
    <t>BG008627</t>
  </si>
  <si>
    <t>+57 313 389 8684</t>
  </si>
  <si>
    <t>E2025</t>
  </si>
  <si>
    <t>IGNACIO ARCE MOLINA</t>
  </si>
  <si>
    <t>+57 314 819 7334</t>
  </si>
  <si>
    <t>E1309</t>
  </si>
  <si>
    <t>IGOR GABRIEL CARDOSO CAPISTRANO</t>
  </si>
  <si>
    <t>+351 911 890 335</t>
  </si>
  <si>
    <t>E0902</t>
  </si>
  <si>
    <t>IGOR VINICIUS PEREIRA</t>
  </si>
  <si>
    <t>E1617</t>
  </si>
  <si>
    <t>ILLERMAN DE LA HOZ PELAEZ</t>
  </si>
  <si>
    <t>BE740667</t>
  </si>
  <si>
    <t>34 678 189 153</t>
  </si>
  <si>
    <t>E1037</t>
  </si>
  <si>
    <t>IRAN JOSE DA SILVA</t>
  </si>
  <si>
    <t>351 927 706 758</t>
  </si>
  <si>
    <t>E0022</t>
  </si>
  <si>
    <t>IRVING JOEL MARTINEZ RUMICHE</t>
  </si>
  <si>
    <t>123256110</t>
  </si>
  <si>
    <t>+51 938 400 316</t>
  </si>
  <si>
    <t>E0724</t>
  </si>
  <si>
    <t>ISAAC ABRAHAN RUBILAR</t>
  </si>
  <si>
    <t>54 9 2494 56-4160</t>
  </si>
  <si>
    <t>E0711</t>
  </si>
  <si>
    <t>ISAAC REYNEL LOPEZ</t>
  </si>
  <si>
    <t>57 322 6077155</t>
  </si>
  <si>
    <t>E1618</t>
  </si>
  <si>
    <t>ISAHAC EMILIO RADA BRUGES</t>
  </si>
  <si>
    <t>BF100511</t>
  </si>
  <si>
    <t>57 316 7575498</t>
  </si>
  <si>
    <t>E0365</t>
  </si>
  <si>
    <t>ISAIAS MUNOZ MACHADO</t>
  </si>
  <si>
    <t>BF343684</t>
  </si>
  <si>
    <t>+57 322 3218589</t>
  </si>
  <si>
    <t>E1511</t>
  </si>
  <si>
    <t>ISAQUE FRANCISCO DOS SANTOS OLIVEIRA</t>
  </si>
  <si>
    <t>351 913 232 955</t>
  </si>
  <si>
    <t>E0866</t>
  </si>
  <si>
    <t>ISHAK KASSA</t>
  </si>
  <si>
    <t>+351 934 249 551</t>
  </si>
  <si>
    <t>E0728</t>
  </si>
  <si>
    <t>ISMAEL ALBERTO MENESES VALDES</t>
  </si>
  <si>
    <t>314 5531997</t>
  </si>
  <si>
    <t>E1246</t>
  </si>
  <si>
    <t>ISMAEL DA SILVA</t>
  </si>
  <si>
    <t>+55 41 9651-8780</t>
  </si>
  <si>
    <t>E0858</t>
  </si>
  <si>
    <t>ISMAEL EDUARDO RAMOS GOMEZ</t>
  </si>
  <si>
    <t>E0193</t>
  </si>
  <si>
    <t>ISMAEL JUNIO DOS SANTOS</t>
  </si>
  <si>
    <t>+ 34 613 43 54 89</t>
  </si>
  <si>
    <t>E1992</t>
  </si>
  <si>
    <t>ISMAEL MENDEZ GAITAN</t>
  </si>
  <si>
    <t>BG972717</t>
  </si>
  <si>
    <t>+57 313 4698079</t>
  </si>
  <si>
    <t>E1020</t>
  </si>
  <si>
    <t>ISRAEL ALEGRIA LUCUMI</t>
  </si>
  <si>
    <t>310 4388598</t>
  </si>
  <si>
    <t>E0567</t>
  </si>
  <si>
    <t>ISRAEL ANTHONY GARCIA MOREANO</t>
  </si>
  <si>
    <t>+51 941642606</t>
  </si>
  <si>
    <t>E0238</t>
  </si>
  <si>
    <t>ISRAEL BENAVIDES PRECIADO</t>
  </si>
  <si>
    <t>BA377442</t>
  </si>
  <si>
    <t>+57 310 260 7769</t>
  </si>
  <si>
    <t>E2028</t>
  </si>
  <si>
    <t>IVAN ANDRES ORTIZ GALVAN</t>
  </si>
  <si>
    <t>BF743548</t>
  </si>
  <si>
    <t>+34 651 147 454</t>
  </si>
  <si>
    <t>E0068</t>
  </si>
  <si>
    <t>IVAN DARIO CASTRO BLANCO</t>
  </si>
  <si>
    <t>AW196304</t>
  </si>
  <si>
    <t>+34 624 15 68 65</t>
  </si>
  <si>
    <t>E0893</t>
  </si>
  <si>
    <t>IVAN DARIO GARCIA CHIQUIZA</t>
  </si>
  <si>
    <t>+57 304 3919603</t>
  </si>
  <si>
    <t>E0872</t>
  </si>
  <si>
    <t>IVAN DARIO GONZALEZ PEREZ</t>
  </si>
  <si>
    <t>+57 304 363 3726</t>
  </si>
  <si>
    <t>E0276</t>
  </si>
  <si>
    <t>IVAN DARIO VALLEJO BARRAZA</t>
  </si>
  <si>
    <t>+48 608 102 620</t>
  </si>
  <si>
    <t>E0053</t>
  </si>
  <si>
    <t>IVAN DE JESUS HERNANDEZ GARCIA</t>
  </si>
  <si>
    <t>AW193686</t>
  </si>
  <si>
    <t>+34 611 39 77 09</t>
  </si>
  <si>
    <t>E0033</t>
  </si>
  <si>
    <t>IVAN PRADA LOPEZ</t>
  </si>
  <si>
    <t>BA925941</t>
  </si>
  <si>
    <t>+57 300 717 1910</t>
  </si>
  <si>
    <t>E0891</t>
  </si>
  <si>
    <t>IVANOR HERNANDEZ HERRERA</t>
  </si>
  <si>
    <t>AZ046611</t>
  </si>
  <si>
    <t>+34 617 14 09 58</t>
  </si>
  <si>
    <t>E0130</t>
  </si>
  <si>
    <t>IVER ALONSO TORRES MONTAÑO</t>
  </si>
  <si>
    <t>BF492645</t>
  </si>
  <si>
    <t>+34 642 75 35 53</t>
  </si>
  <si>
    <t>E1967</t>
  </si>
  <si>
    <t>IVER MOISES ALVAREZ CORDOBA</t>
  </si>
  <si>
    <t>BG682488</t>
  </si>
  <si>
    <t>+34 672 513 364</t>
  </si>
  <si>
    <t>E0255</t>
  </si>
  <si>
    <t>JACH ANTONIO DONADO ZAMBRANO</t>
  </si>
  <si>
    <t>BE492610</t>
  </si>
  <si>
    <t>+34 643 37 23 52</t>
  </si>
  <si>
    <t>E1200</t>
  </si>
  <si>
    <t>JADER ENRIQUE QUINONEZ HERRERA</t>
  </si>
  <si>
    <t>+57 300 7314578</t>
  </si>
  <si>
    <t>E0895</t>
  </si>
  <si>
    <t>JAEL ABRAHAM BAUTISTA GUZMAN</t>
  </si>
  <si>
    <t>+34 623 72 66 98</t>
  </si>
  <si>
    <t>E0112</t>
  </si>
  <si>
    <t>JAHIR SURLEY DELGADO AGREDO</t>
  </si>
  <si>
    <t>BF019535</t>
  </si>
  <si>
    <t>+34 613 69 73 58</t>
  </si>
  <si>
    <t>E0346</t>
  </si>
  <si>
    <t>JAIDER ASTAIZA TOSE</t>
  </si>
  <si>
    <t>AR755179</t>
  </si>
  <si>
    <t>+57 312 295 43 53</t>
  </si>
  <si>
    <t>E1149</t>
  </si>
  <si>
    <t>JAIDER DE JESUS PAREDES LOPEZ</t>
  </si>
  <si>
    <t>48 45 282 21 60</t>
  </si>
  <si>
    <t>E1966</t>
  </si>
  <si>
    <t>JAILER PEREZ MORALES</t>
  </si>
  <si>
    <t>+34 622 55 41 85</t>
  </si>
  <si>
    <t>E0311</t>
  </si>
  <si>
    <t>JAILER VERGARA VALENCIA</t>
  </si>
  <si>
    <t>+57 320 6344476</t>
  </si>
  <si>
    <t>E1375</t>
  </si>
  <si>
    <t>JAILSON FERREIRA BARBOSA</t>
  </si>
  <si>
    <t>351 932 182 280</t>
  </si>
  <si>
    <t>E1414</t>
  </si>
  <si>
    <t>JAIME ALBERTO QUIÑONES BLANDON</t>
  </si>
  <si>
    <t>AU421597</t>
  </si>
  <si>
    <t>+48 790 329 068</t>
  </si>
  <si>
    <t>E0587</t>
  </si>
  <si>
    <t>JAIME ALEJANDRO RETIS TOLENTINO</t>
  </si>
  <si>
    <t>123539902</t>
  </si>
  <si>
    <t>+34 682 455 504</t>
  </si>
  <si>
    <t>E0419</t>
  </si>
  <si>
    <t>JAIME ANTONIO PERTUZ VALDIRIS</t>
  </si>
  <si>
    <t>AS164622</t>
  </si>
  <si>
    <t>+57 304 3004911</t>
  </si>
  <si>
    <t>E0470</t>
  </si>
  <si>
    <t>JAIME AUGUSTO JOYA BOTIA</t>
  </si>
  <si>
    <t>+57 312 4872734</t>
  </si>
  <si>
    <t>E0203</t>
  </si>
  <si>
    <t>JAIME CASTREJON CUEVA</t>
  </si>
  <si>
    <t>122693788</t>
  </si>
  <si>
    <t>+33 7 53 23 69 08</t>
  </si>
  <si>
    <t>E1975</t>
  </si>
  <si>
    <t>JAIME HERNAN ARANGO MONSALVE</t>
  </si>
  <si>
    <t>AY631349</t>
  </si>
  <si>
    <t>+34 677 453 779</t>
  </si>
  <si>
    <t>E0122</t>
  </si>
  <si>
    <t>JAIME HUMBERTO DUARTE MONTAÑO</t>
  </si>
  <si>
    <t>+34 653 26 80 34</t>
  </si>
  <si>
    <t>E0064</t>
  </si>
  <si>
    <t>JAIME MANOLO ALVAREZ TORRES</t>
  </si>
  <si>
    <t>123470552</t>
  </si>
  <si>
    <t>+51 974 562 321</t>
  </si>
  <si>
    <t>E0802</t>
  </si>
  <si>
    <t>JAIME NICOLAS GOYES</t>
  </si>
  <si>
    <t>AY708560</t>
  </si>
  <si>
    <t>+57 302 4551458</t>
  </si>
  <si>
    <t>E0942</t>
  </si>
  <si>
    <t>JAIR ALEJANDRO PEREZ CASTRO</t>
  </si>
  <si>
    <t>+57 320 840 0451</t>
  </si>
  <si>
    <t>E1187</t>
  </si>
  <si>
    <t>JAIR HENRY REATEGUI DIAZ</t>
  </si>
  <si>
    <t>120190562</t>
  </si>
  <si>
    <t>+56 9 6603 7588</t>
  </si>
  <si>
    <t>E1709</t>
  </si>
  <si>
    <t>JAIR PLAZA AGUILAR</t>
  </si>
  <si>
    <t>EP102614</t>
  </si>
  <si>
    <t>+34 613 769 765</t>
  </si>
  <si>
    <t>E1927</t>
  </si>
  <si>
    <t>JAIR SNAIDER MEZA GOMEZ</t>
  </si>
  <si>
    <t>BF679644</t>
  </si>
  <si>
    <t>+57 314 691 7144</t>
  </si>
  <si>
    <t>E0056</t>
  </si>
  <si>
    <t>JAIRO ABRIL BEJARANO</t>
  </si>
  <si>
    <t>BE895688</t>
  </si>
  <si>
    <t>+57 313 2769408</t>
  </si>
  <si>
    <t>E1070</t>
  </si>
  <si>
    <t>JAIRO ALBERTO BOLAÑO PACHECO</t>
  </si>
  <si>
    <t>+34 614 51 09 62</t>
  </si>
  <si>
    <t>E1113</t>
  </si>
  <si>
    <t>JAIRO ALBERTO GUZMAN REYES</t>
  </si>
  <si>
    <t>+34 650 12 14 95</t>
  </si>
  <si>
    <t>E1307</t>
  </si>
  <si>
    <t>JAIRO ALEJANDRO CAICEDO SANCHEZ</t>
  </si>
  <si>
    <t>+34 661 53 77 02</t>
  </si>
  <si>
    <t>E1701</t>
  </si>
  <si>
    <t>JAIRO ALFONSO MUNOZ VALLE</t>
  </si>
  <si>
    <t>BG734432</t>
  </si>
  <si>
    <t>+57 310 621 6413</t>
  </si>
  <si>
    <t>E0385</t>
  </si>
  <si>
    <t>JAIRO ANDRES OQUENDO BONILLA</t>
  </si>
  <si>
    <t>BA444020</t>
  </si>
  <si>
    <t>+34 634 09 41 72</t>
  </si>
  <si>
    <t>E0054</t>
  </si>
  <si>
    <t>JAIRO ANDRES ROMO LOPEZ</t>
  </si>
  <si>
    <t>BE967062</t>
  </si>
  <si>
    <t>+57 321 5259749</t>
  </si>
  <si>
    <t>E0280</t>
  </si>
  <si>
    <t>JAIRO ERNESTO GAITAN GOMEZ</t>
  </si>
  <si>
    <t>AX804927</t>
  </si>
  <si>
    <t>+57 315 3952224</t>
  </si>
  <si>
    <t>E0611</t>
  </si>
  <si>
    <t>JAIRO JOSE DOMINGUEZ BARRERA</t>
  </si>
  <si>
    <t>BC707361</t>
  </si>
  <si>
    <t>+34 613 61 21 89</t>
  </si>
  <si>
    <t>E1447</t>
  </si>
  <si>
    <t>JAIRO TROYANO LEUDO</t>
  </si>
  <si>
    <t>57 318 8904731</t>
  </si>
  <si>
    <t>E0384</t>
  </si>
  <si>
    <t>JAIVER JOSE POLANCO PEREZ</t>
  </si>
  <si>
    <t>BA546146</t>
  </si>
  <si>
    <t>+57 317 4257482</t>
  </si>
  <si>
    <t>E0705</t>
  </si>
  <si>
    <t>JAMES ADRIAN VEGA RAMOS</t>
  </si>
  <si>
    <t>BD889954</t>
  </si>
  <si>
    <t>57 310 4264680</t>
  </si>
  <si>
    <t>E0776</t>
  </si>
  <si>
    <t>JAMES RODRIGO NEIRA CASTRO</t>
  </si>
  <si>
    <t>+57 314 3338811</t>
  </si>
  <si>
    <t>E0673</t>
  </si>
  <si>
    <t>JAMES VALLECILLA GRANJA</t>
  </si>
  <si>
    <t>34 604146435</t>
  </si>
  <si>
    <t>E1512</t>
  </si>
  <si>
    <t>JAN CESAR VILLEGAS MOSCOTE</t>
  </si>
  <si>
    <t>AY958148</t>
  </si>
  <si>
    <t>57 302 2165235</t>
  </si>
  <si>
    <t>E0318</t>
  </si>
  <si>
    <t>JANNER ESCOBAR ROJAS</t>
  </si>
  <si>
    <t>AT309605</t>
  </si>
  <si>
    <t>+34 604 33 60 89</t>
  </si>
  <si>
    <t>E1513</t>
  </si>
  <si>
    <t>JAPSIN STEVEN RUIZ PARRA</t>
  </si>
  <si>
    <t>34 614 684 344</t>
  </si>
  <si>
    <t>E0918</t>
  </si>
  <si>
    <t>JARDEL RICARDO ROBINSON</t>
  </si>
  <si>
    <t>351 935 261 752</t>
  </si>
  <si>
    <t>E0623</t>
  </si>
  <si>
    <t>JARRINSON JOSE PATRON MARTINEZ</t>
  </si>
  <si>
    <t>BA762735</t>
  </si>
  <si>
    <t>+48 725 712 613</t>
  </si>
  <si>
    <t>E1514</t>
  </si>
  <si>
    <t>JARULESKI SCOTINNI ALVARADO GUZMAN</t>
  </si>
  <si>
    <t>124417844</t>
  </si>
  <si>
    <t>34 664 40 86 62</t>
  </si>
  <si>
    <t>E1515</t>
  </si>
  <si>
    <t>JASIR ENRIQUE DIAZ MANJARREZ</t>
  </si>
  <si>
    <t>BC329880</t>
  </si>
  <si>
    <t>48 452824382</t>
  </si>
  <si>
    <t>E1147</t>
  </si>
  <si>
    <t>JASSIR DE JESUS DAVILA LUBO</t>
  </si>
  <si>
    <t>+48 791 769 767</t>
  </si>
  <si>
    <t>E0076</t>
  </si>
  <si>
    <t>JAVIER ALEGRIA ARBOLEDA</t>
  </si>
  <si>
    <t>57 316 4563559</t>
  </si>
  <si>
    <t>E1974</t>
  </si>
  <si>
    <t>JAVIER ALONSO LOPEZ AYALA</t>
  </si>
  <si>
    <t>BF254684</t>
  </si>
  <si>
    <t>+57 301 548 7883</t>
  </si>
  <si>
    <t>E0830</t>
  </si>
  <si>
    <t>JAVIER ANTONIO BARROS RICO</t>
  </si>
  <si>
    <t>+48 574 055 086</t>
  </si>
  <si>
    <t>E1924</t>
  </si>
  <si>
    <t>JAVIER DAVID RODRIGUEZ BARRIOS</t>
  </si>
  <si>
    <t>BE162112</t>
  </si>
  <si>
    <t>+34 603 985 923</t>
  </si>
  <si>
    <t>E1747</t>
  </si>
  <si>
    <t>JAVIER DE JESUS SALAS MARTINEZ</t>
  </si>
  <si>
    <t>AX751742</t>
  </si>
  <si>
    <t>+34 624 686 538</t>
  </si>
  <si>
    <t>E0911</t>
  </si>
  <si>
    <t>JAVIER EDUARDO VILLA ARRIETA</t>
  </si>
  <si>
    <t>57 323 3983492</t>
  </si>
  <si>
    <t>E1435</t>
  </si>
  <si>
    <t>JAVIER FRANCISCO BALDOVINO ORTEGA</t>
  </si>
  <si>
    <t xml:space="preserve"> BC167879</t>
  </si>
  <si>
    <t>+48 736 343 166</t>
  </si>
  <si>
    <t>E2001</t>
  </si>
  <si>
    <t>JAVIER HERNANDEZ DEVIA</t>
  </si>
  <si>
    <t>BH151776</t>
  </si>
  <si>
    <t>+57 317 828 2526</t>
  </si>
  <si>
    <t>E1675</t>
  </si>
  <si>
    <t>JAVIER HERNANDO VALDERRAMA GUTIERREZ</t>
  </si>
  <si>
    <t>AY69784</t>
  </si>
  <si>
    <t>+57 317 376 5687</t>
  </si>
  <si>
    <t>E1674</t>
  </si>
  <si>
    <t>JAVIER HUMBERTO PARRA CORREA</t>
  </si>
  <si>
    <t>AY229676</t>
  </si>
  <si>
    <t>+57 313 460 4502</t>
  </si>
  <si>
    <t>E2071</t>
  </si>
  <si>
    <t>+57 313 4604502</t>
  </si>
  <si>
    <t>E0642</t>
  </si>
  <si>
    <t>JAVIER JAYO FUENTES</t>
  </si>
  <si>
    <t>+34 607 815 612</t>
  </si>
  <si>
    <t>E0509</t>
  </si>
  <si>
    <t>JAVIER MAURICIO VARGAS CASTAÑEDA</t>
  </si>
  <si>
    <t>+57 315 3272664</t>
  </si>
  <si>
    <t>E0794</t>
  </si>
  <si>
    <t>JAVIER MELENDEZ ALVARADO</t>
  </si>
  <si>
    <t>57 320 2427811</t>
  </si>
  <si>
    <t>E0026</t>
  </si>
  <si>
    <t>JAVIER MURIEL SARREA</t>
  </si>
  <si>
    <t>+51 932 466 328</t>
  </si>
  <si>
    <t>E1796</t>
  </si>
  <si>
    <t>JAVIER ORLANDO PINTO VIANCHA</t>
  </si>
  <si>
    <t>AT701076</t>
  </si>
  <si>
    <t>+57 311 895 2682</t>
  </si>
  <si>
    <t>E1786</t>
  </si>
  <si>
    <t>JAVIER RODRIGUEZ CONTRERAS</t>
  </si>
  <si>
    <t>AS213886</t>
  </si>
  <si>
    <t>+48 512 787 975</t>
  </si>
  <si>
    <t>E0067</t>
  </si>
  <si>
    <t>JAVIER SAUL PEREA CAMARGO</t>
  </si>
  <si>
    <t>PA0888226</t>
  </si>
  <si>
    <t>+507 63640567</t>
  </si>
  <si>
    <t>E0205</t>
  </si>
  <si>
    <t>JAVIER STIVEN ORTIZ GALINDEZ</t>
  </si>
  <si>
    <t>BC638966</t>
  </si>
  <si>
    <t>+34 614 56 21 33</t>
  </si>
  <si>
    <t>E0894</t>
  </si>
  <si>
    <t>JAVIER VARGAS</t>
  </si>
  <si>
    <t>+34 653 55 38 09</t>
  </si>
  <si>
    <t>E1214</t>
  </si>
  <si>
    <t>JEAN CARLO DOS SANTOS BUDZIAK</t>
  </si>
  <si>
    <t>E0097</t>
  </si>
  <si>
    <t>JEAN CARLO GARCIA GARCIA</t>
  </si>
  <si>
    <t>AR376982</t>
  </si>
  <si>
    <t>+57 321 4328445</t>
  </si>
  <si>
    <t>E2037</t>
  </si>
  <si>
    <t>JEAN CARLO SUAREZ VALENCIA</t>
  </si>
  <si>
    <t>BF929760</t>
  </si>
  <si>
    <t>+57 317 126 1757</t>
  </si>
  <si>
    <t>E0504</t>
  </si>
  <si>
    <t>JEAN CARLOS CARDONA SUAREZ</t>
  </si>
  <si>
    <t>+48 721 729 274</t>
  </si>
  <si>
    <t>E1011</t>
  </si>
  <si>
    <t>JEAN LANCE</t>
  </si>
  <si>
    <t>351 927 513 782</t>
  </si>
  <si>
    <t>E1518</t>
  </si>
  <si>
    <t>JEENVINSON ADALBERTO IGUARAN GRANADILLO</t>
  </si>
  <si>
    <t>BC823124</t>
  </si>
  <si>
    <t>57 321 8082277</t>
  </si>
  <si>
    <t>E0682</t>
  </si>
  <si>
    <t>JEFERSON HORACIO VARGAS QUINTERO</t>
  </si>
  <si>
    <t>+34 643 85 57 90</t>
  </si>
  <si>
    <t>E0820</t>
  </si>
  <si>
    <t>JEFERY YAZED LEON RAMOS</t>
  </si>
  <si>
    <t>+57 312 4415671</t>
  </si>
  <si>
    <t>E1519</t>
  </si>
  <si>
    <t>JEFFER LEANDRO VALENCIA QUINTANO</t>
  </si>
  <si>
    <t>+34 678 47 72 85</t>
  </si>
  <si>
    <t>E0398</t>
  </si>
  <si>
    <t>JEFFERSON ANDRES OROZCO RODRIGUEZ</t>
  </si>
  <si>
    <t>AX877936</t>
  </si>
  <si>
    <t>+34 643 29 35 52</t>
  </si>
  <si>
    <t>E0182</t>
  </si>
  <si>
    <t>JEFFERSON ANDRES VALIENTE PEREZ</t>
  </si>
  <si>
    <t>AY030368</t>
  </si>
  <si>
    <t>+57 323 2346145</t>
  </si>
  <si>
    <t>E0502</t>
  </si>
  <si>
    <t>JEFFERSON FABIAN MARTINEZ ALVAREZ</t>
  </si>
  <si>
    <t>BA613953</t>
  </si>
  <si>
    <t>+34 641 16 23 62</t>
  </si>
  <si>
    <t>E0953</t>
  </si>
  <si>
    <t>JEFFERSON GRANJA ALVEAR</t>
  </si>
  <si>
    <t>48 502 747 679</t>
  </si>
  <si>
    <t>E1662</t>
  </si>
  <si>
    <t>JEFFERSON STEVEN CARBALIDO VIDALES</t>
  </si>
  <si>
    <t>BF733269</t>
  </si>
  <si>
    <t>+57 333 2584617</t>
  </si>
  <si>
    <t>E0198</t>
  </si>
  <si>
    <t>JEHU AMADOR CACERES HERRERA</t>
  </si>
  <si>
    <t>124464895</t>
  </si>
  <si>
    <t>+51 983 473 582</t>
  </si>
  <si>
    <t>E2110</t>
  </si>
  <si>
    <t>JEISON ALEXANDER GONZALEZ FARFAN</t>
  </si>
  <si>
    <t>AY151855</t>
  </si>
  <si>
    <t>+57 321 4474285</t>
  </si>
  <si>
    <t>E2119</t>
  </si>
  <si>
    <t>JEISON ANDRES REYES PACHECO</t>
  </si>
  <si>
    <t>AX789725</t>
  </si>
  <si>
    <t>+34 647 02 69 60</t>
  </si>
  <si>
    <t>E1521</t>
  </si>
  <si>
    <t>JEISON DAVID RIVAS OVIEDO</t>
  </si>
  <si>
    <t>48 511 727 917</t>
  </si>
  <si>
    <t>E0321</t>
  </si>
  <si>
    <t>JEISON DAVID RONDON CARVAJAL</t>
  </si>
  <si>
    <t>AS357915</t>
  </si>
  <si>
    <t>+34 624 32 03 04</t>
  </si>
  <si>
    <t>E0696</t>
  </si>
  <si>
    <t>JEISON FARID BENITEZ RODRIGUEZ</t>
  </si>
  <si>
    <t>+48793507586</t>
  </si>
  <si>
    <t>E1950</t>
  </si>
  <si>
    <t>JEISON FARID LOPEZ AGREDO</t>
  </si>
  <si>
    <t>BD565907</t>
  </si>
  <si>
    <t>+34 603 924 126</t>
  </si>
  <si>
    <t>E1962</t>
  </si>
  <si>
    <t>JEISON GUTIERREZ MARTINEZ</t>
  </si>
  <si>
    <t>BD862298</t>
  </si>
  <si>
    <t>+57 314 726 0315</t>
  </si>
  <si>
    <t>E1851</t>
  </si>
  <si>
    <t>JEISON HERRERA LOZANO</t>
  </si>
  <si>
    <t>BC335616</t>
  </si>
  <si>
    <t>+57 302 6432724</t>
  </si>
  <si>
    <t>E0954</t>
  </si>
  <si>
    <t>JEISSON JAVIER SUAREZ ROJAS</t>
  </si>
  <si>
    <t>34 692704865</t>
  </si>
  <si>
    <t>E0695</t>
  </si>
  <si>
    <t>JEMIS ANDRE PETER FLORINDEZ SILVA</t>
  </si>
  <si>
    <t>+48 538 913 736</t>
  </si>
  <si>
    <t>E1248</t>
  </si>
  <si>
    <t>JEREMIAS JOSÉ DA SILVA LESSA</t>
  </si>
  <si>
    <t>+351 930 418 174</t>
  </si>
  <si>
    <t>E1665</t>
  </si>
  <si>
    <t>JEREMY PAUL CABRERA CALDERON</t>
  </si>
  <si>
    <t>124105825</t>
  </si>
  <si>
    <t>+351 910 457 426</t>
  </si>
  <si>
    <t>E0382</t>
  </si>
  <si>
    <t>JERSON DANIEL MARIN ORTIZ</t>
  </si>
  <si>
    <t>AS329063</t>
  </si>
  <si>
    <t>+57 301 2517673</t>
  </si>
  <si>
    <t>E0660</t>
  </si>
  <si>
    <t>JERSON FARITH CHAPARRO VEGA</t>
  </si>
  <si>
    <t>57 320 9077741</t>
  </si>
  <si>
    <t>E1158</t>
  </si>
  <si>
    <t>JESUS ALBERTO CANTILLO ESCORCIA</t>
  </si>
  <si>
    <t>+34 602 64 02 84</t>
  </si>
  <si>
    <t>E0065</t>
  </si>
  <si>
    <t>JESUS ALBERTO GONZALES FERNANDEZ</t>
  </si>
  <si>
    <t>123706220</t>
  </si>
  <si>
    <t>+51 961 637 225</t>
  </si>
  <si>
    <t>E2121</t>
  </si>
  <si>
    <t>JESUS ALBERTO PENARANDA VILLALOBOS</t>
  </si>
  <si>
    <t>BA229290</t>
  </si>
  <si>
    <t>+57 321 2469305</t>
  </si>
  <si>
    <t>E0773</t>
  </si>
  <si>
    <t>JESUS ANTONIO CAÑON PEÑA</t>
  </si>
  <si>
    <t>34 643 68 06 77</t>
  </si>
  <si>
    <t>E0450</t>
  </si>
  <si>
    <t>JESUS ANTONIO HERNANDEZ ARISMENDY</t>
  </si>
  <si>
    <t>AZ503132</t>
  </si>
  <si>
    <t>+57 302 448 8303</t>
  </si>
  <si>
    <t>E0101</t>
  </si>
  <si>
    <t>JESUS ANTONIO PAJARO ARCIRIA</t>
  </si>
  <si>
    <t>BE949785</t>
  </si>
  <si>
    <t>+34 607 50 40 66</t>
  </si>
  <si>
    <t>E0468</t>
  </si>
  <si>
    <t>JESUS ARLEN TORRES LANDAZURI</t>
  </si>
  <si>
    <t>+34 602 47 74 22</t>
  </si>
  <si>
    <t>E0146</t>
  </si>
  <si>
    <t>JESUS DAVID CARDENAS RIVERA</t>
  </si>
  <si>
    <t>AX913061</t>
  </si>
  <si>
    <t>+57 301 433 6102</t>
  </si>
  <si>
    <t>E0647</t>
  </si>
  <si>
    <t>JESUS DAVID VILLA GONZALEZ</t>
  </si>
  <si>
    <t>57 300 3379477</t>
  </si>
  <si>
    <t>E1904</t>
  </si>
  <si>
    <t>JESUS ELIECER ALVAREZ</t>
  </si>
  <si>
    <t>+34 634 059 908</t>
  </si>
  <si>
    <t>E1772</t>
  </si>
  <si>
    <t>JESUS ELIECER ALVAREZ ORTIZ</t>
  </si>
  <si>
    <t>AZ496884</t>
  </si>
  <si>
    <t>+57 316 625 8037</t>
  </si>
  <si>
    <t>E1978</t>
  </si>
  <si>
    <t>JESUS EMILIO CASTILLO SALAZAR</t>
  </si>
  <si>
    <t>BD751733</t>
  </si>
  <si>
    <t>+34 642 325 450</t>
  </si>
  <si>
    <t>E1522</t>
  </si>
  <si>
    <t>JESUS ENRIQUE ARIAS HERNANDEZ</t>
  </si>
  <si>
    <t>173135808</t>
  </si>
  <si>
    <t>+34 691 75 52 31</t>
  </si>
  <si>
    <t>E1204</t>
  </si>
  <si>
    <t>JESUS HEYBER YELA MELO</t>
  </si>
  <si>
    <t>+34 654 74 72 16</t>
  </si>
  <si>
    <t>E0044</t>
  </si>
  <si>
    <t>JESUS JAMES BALDEON ZUNIGA</t>
  </si>
  <si>
    <t>224412652</t>
  </si>
  <si>
    <t>+34 666 49 96 23</t>
  </si>
  <si>
    <t>E0137</t>
  </si>
  <si>
    <t>JESUS JOEL ESPINOZA YOVERA</t>
  </si>
  <si>
    <t>124907765</t>
  </si>
  <si>
    <t>+51 948 345 423</t>
  </si>
  <si>
    <t>E1934</t>
  </si>
  <si>
    <t>JHAN CARLOS SALAS HERRERA</t>
  </si>
  <si>
    <t xml:space="preserve">BD314625 </t>
  </si>
  <si>
    <t>+34 604 301 089</t>
  </si>
  <si>
    <t>E0391</t>
  </si>
  <si>
    <t>JHARLINSON MOSQUERA MEZA</t>
  </si>
  <si>
    <t>BE471731</t>
  </si>
  <si>
    <t>+48 730 138 483</t>
  </si>
  <si>
    <t>E0430</t>
  </si>
  <si>
    <t>JHEAN MARCOS CASTILLO CHUNAS</t>
  </si>
  <si>
    <t>124020387</t>
  </si>
  <si>
    <t>+56 929 762 277</t>
  </si>
  <si>
    <t>E2093</t>
  </si>
  <si>
    <t>JHEFRIN ALEXANDER GONZALEZ PADILLA</t>
  </si>
  <si>
    <t>BD042388</t>
  </si>
  <si>
    <t>+34 623 76 41 57</t>
  </si>
  <si>
    <t>E0148</t>
  </si>
  <si>
    <t>JHESUAT EMANUEL DELGADO ALPALA</t>
  </si>
  <si>
    <t>BE687830</t>
  </si>
  <si>
    <t>+34 624 25 58 96</t>
  </si>
  <si>
    <t>E0199</t>
  </si>
  <si>
    <t>JHEYSON DE LOS REYES MENDOZA RUIZ</t>
  </si>
  <si>
    <t>124166397</t>
  </si>
  <si>
    <t>+51 977 688 902</t>
  </si>
  <si>
    <t>E0761</t>
  </si>
  <si>
    <t>JHOAN ANDRES SANCHEZ PEDRAZA</t>
  </si>
  <si>
    <t>+34 647 34 10 73</t>
  </si>
  <si>
    <t>E1872</t>
  </si>
  <si>
    <t>JHOAN DAVID JARA PINZON</t>
  </si>
  <si>
    <t>BH075512</t>
  </si>
  <si>
    <t>+57 317 799 5191</t>
  </si>
  <si>
    <t>E0029</t>
  </si>
  <si>
    <t>JHOBERGS JESUS PARRA DE ARCO</t>
  </si>
  <si>
    <t>AZ180974</t>
  </si>
  <si>
    <t>+48 739 076 060</t>
  </si>
  <si>
    <t>E1744</t>
  </si>
  <si>
    <t>JHOJAN ESNEIDER NIÑO PARRA</t>
  </si>
  <si>
    <t>BC660905</t>
  </si>
  <si>
    <t>+57 314 255 5712</t>
  </si>
  <si>
    <t>E0196</t>
  </si>
  <si>
    <t>JHON ADAIMER MORALES MORALES</t>
  </si>
  <si>
    <t>BC014190</t>
  </si>
  <si>
    <t>+57 320 6495050</t>
  </si>
  <si>
    <t>E0707</t>
  </si>
  <si>
    <t>JHON ALDAIR MINA MONTAÑO</t>
  </si>
  <si>
    <t>+34 685 68 58 81</t>
  </si>
  <si>
    <t>E0766</t>
  </si>
  <si>
    <t>JHON ALEJANDRO GONZALEZ PRADO</t>
  </si>
  <si>
    <t>57 317 7084035</t>
  </si>
  <si>
    <t>E2049</t>
  </si>
  <si>
    <t>JHON ALEXANDER ARENAS CASTRILLON</t>
  </si>
  <si>
    <t>BG248165</t>
  </si>
  <si>
    <t>+57 300 556 3349</t>
  </si>
  <si>
    <t>E0936</t>
  </si>
  <si>
    <t>JHON ALEXANDER LATORRE ESCOBAR</t>
  </si>
  <si>
    <t>+34 624 83 77 16</t>
  </si>
  <si>
    <t>E1298</t>
  </si>
  <si>
    <t>JHON ANDERSON PEREA RUEDA</t>
  </si>
  <si>
    <t>E1981</t>
  </si>
  <si>
    <t>JHON CARLOS ALCAZAR CASTRO</t>
  </si>
  <si>
    <t>AZ823706</t>
  </si>
  <si>
    <t>+34 613 46 52 41</t>
  </si>
  <si>
    <t>E0351</t>
  </si>
  <si>
    <t>JHON DAVIS SERRATO CHUZON</t>
  </si>
  <si>
    <t>+51 932 054 983</t>
  </si>
  <si>
    <t>E1523</t>
  </si>
  <si>
    <t>JHON EDER CASTRO MONTAÑO</t>
  </si>
  <si>
    <t>BG053362</t>
  </si>
  <si>
    <t>34 643 779 036</t>
  </si>
  <si>
    <t>E0308</t>
  </si>
  <si>
    <t>JHON EDISON JARAMILLO RUIZ</t>
  </si>
  <si>
    <t>+57 321 3870026</t>
  </si>
  <si>
    <t>E1372</t>
  </si>
  <si>
    <t>JHON EDWARD GRISALES REINA</t>
  </si>
  <si>
    <t>+34 604 40 82 27</t>
  </si>
  <si>
    <t>E1415</t>
  </si>
  <si>
    <t>JHON EINER INSUASTI TULANDE</t>
  </si>
  <si>
    <t>BE016530</t>
  </si>
  <si>
    <t>+48 515 025 202</t>
  </si>
  <si>
    <t>E1177</t>
  </si>
  <si>
    <t>JHON ERICSON SANTOS CARVALHO</t>
  </si>
  <si>
    <t>E0628</t>
  </si>
  <si>
    <t>JHON ESTIVEN RUIZ ALZATE</t>
  </si>
  <si>
    <t>AZ270122</t>
  </si>
  <si>
    <t>+57 301 4018454</t>
  </si>
  <si>
    <t>E1690</t>
  </si>
  <si>
    <t>JHON FREDDY CABRERA AGUILAR</t>
  </si>
  <si>
    <t>BE967012</t>
  </si>
  <si>
    <t>+34 603 726 388</t>
  </si>
  <si>
    <t>E1082</t>
  </si>
  <si>
    <t>JHON FREDY BOLANOS</t>
  </si>
  <si>
    <t>AT102646</t>
  </si>
  <si>
    <t>57 321 6114276</t>
  </si>
  <si>
    <t>E0659</t>
  </si>
  <si>
    <t>JHON FREDY GIRALDO MUÑOZ</t>
  </si>
  <si>
    <t>34 641 78 54 51</t>
  </si>
  <si>
    <t>E1961</t>
  </si>
  <si>
    <t>JHON FREDY VELEIZANO PULIDO</t>
  </si>
  <si>
    <t>AY659508</t>
  </si>
  <si>
    <t>+57 320 217 0849</t>
  </si>
  <si>
    <t>E0855</t>
  </si>
  <si>
    <t>JHON FREDYS ESTOR PALLARES</t>
  </si>
  <si>
    <t>E1132</t>
  </si>
  <si>
    <t>JHON GENER USUGA HERRERA</t>
  </si>
  <si>
    <t>AX435650</t>
  </si>
  <si>
    <t>+34 641 05 02 88</t>
  </si>
  <si>
    <t>E0416</t>
  </si>
  <si>
    <t>JHON JAIRO ADRIANZEN MEDRANO</t>
  </si>
  <si>
    <t>+34 617 58 94 93</t>
  </si>
  <si>
    <t>E0040</t>
  </si>
  <si>
    <t>JHON JAIRO CASTAÑO POSADA</t>
  </si>
  <si>
    <t>AT446373</t>
  </si>
  <si>
    <t>34 624 80 03 65</t>
  </si>
  <si>
    <t>E1524</t>
  </si>
  <si>
    <t>JHON JAIRO DIAZ ZARATE</t>
  </si>
  <si>
    <t>AX633904</t>
  </si>
  <si>
    <t>57 314 306 9873</t>
  </si>
  <si>
    <t>E1304</t>
  </si>
  <si>
    <t>JHON JAIRO FLOREZ CISNEROS</t>
  </si>
  <si>
    <t>34 600 475709</t>
  </si>
  <si>
    <t>E0614</t>
  </si>
  <si>
    <t>JHON JAIRO HERNANDEZ GUZMAN</t>
  </si>
  <si>
    <t>AS047833</t>
  </si>
  <si>
    <t>+57 317 594 9917</t>
  </si>
  <si>
    <t>E1416</t>
  </si>
  <si>
    <t>JHON JAIRO MUÑOZ BARBOSA</t>
  </si>
  <si>
    <t>+34 631 411 978</t>
  </si>
  <si>
    <t>E1525</t>
  </si>
  <si>
    <t>JHON JAIRO PAREJA JARAMILLO</t>
  </si>
  <si>
    <t>57 310 638 4461</t>
  </si>
  <si>
    <t>E0322</t>
  </si>
  <si>
    <t>JHON JAMES MARTINEZ ARENAS</t>
  </si>
  <si>
    <t>AX399910</t>
  </si>
  <si>
    <t>+57 316 4648528</t>
  </si>
  <si>
    <t>E1865</t>
  </si>
  <si>
    <t>JHON LUIS URBAY HURTADO</t>
  </si>
  <si>
    <t>BG309072</t>
  </si>
  <si>
    <t>+57 321 871 8786</t>
  </si>
  <si>
    <t>E1239</t>
  </si>
  <si>
    <t>JHON MILLER VISCATIVA MARTINEZ</t>
  </si>
  <si>
    <t>+34 685 22 20 97</t>
  </si>
  <si>
    <t>E1929</t>
  </si>
  <si>
    <t>JHON SEBASTIAN AHUMADA RUBIO</t>
  </si>
  <si>
    <t>BH184732</t>
  </si>
  <si>
    <t>+57 310 222 0196</t>
  </si>
  <si>
    <t>E0777</t>
  </si>
  <si>
    <t>JHON SEBASTIAN BUITRAGO ANGEL</t>
  </si>
  <si>
    <t>+48 506 205 005</t>
  </si>
  <si>
    <t>E1980</t>
  </si>
  <si>
    <t>JHON STHEVEEN MERINO ALVAREZ</t>
  </si>
  <si>
    <t>BE942636</t>
  </si>
  <si>
    <t>+48 515 745 194</t>
  </si>
  <si>
    <t>E1591</t>
  </si>
  <si>
    <t>JHONATAN ALEJANDRO PEREA HIGUERA</t>
  </si>
  <si>
    <t>+48 577 628 115</t>
  </si>
  <si>
    <t>E1389</t>
  </si>
  <si>
    <t>JHONATAN ALEXIS VELEZ MACHADO</t>
  </si>
  <si>
    <t>+34 670 307 290</t>
  </si>
  <si>
    <t>E1526</t>
  </si>
  <si>
    <t>JHONATAN DANIEL OSPINA OJEDA</t>
  </si>
  <si>
    <t>34 627 88 68 92</t>
  </si>
  <si>
    <t>E0816</t>
  </si>
  <si>
    <t>JHONATAN DAVID SARRIA ORTIZ</t>
  </si>
  <si>
    <t>E0817</t>
  </si>
  <si>
    <t>JHONATAN JADIR SOLANO HERNANDEZ</t>
  </si>
  <si>
    <t>+57 310 8832632</t>
  </si>
  <si>
    <t>E1527</t>
  </si>
  <si>
    <t>JHONATAN MIGUEL ARIZA HERRERA</t>
  </si>
  <si>
    <t>BD088447</t>
  </si>
  <si>
    <t>48 727 524 052</t>
  </si>
  <si>
    <t>E0808</t>
  </si>
  <si>
    <t>JHONATHAN ALEXIS VALDERRAMA BLANCO</t>
  </si>
  <si>
    <t>34 664 34 99 49</t>
  </si>
  <si>
    <t>E0524</t>
  </si>
  <si>
    <t>JHONATHAN ENRIQUE QUINTANA FONTALVO</t>
  </si>
  <si>
    <t>+57 301 3889373</t>
  </si>
  <si>
    <t>E0789</t>
  </si>
  <si>
    <t>JHONN JAIRO NAVARRO BANDERA</t>
  </si>
  <si>
    <t>+34 666 52 19 34</t>
  </si>
  <si>
    <t>E1956</t>
  </si>
  <si>
    <t>JHONNATAN DE JESUS JIMENEZ SANCHEZ</t>
  </si>
  <si>
    <t>AS524249</t>
  </si>
  <si>
    <t>+376 398 814</t>
  </si>
  <si>
    <t>E0127</t>
  </si>
  <si>
    <t>JHONNY ALEXANDER CALLE HERNANDEZ</t>
  </si>
  <si>
    <t>57 316 6454082</t>
  </si>
  <si>
    <t>E0381</t>
  </si>
  <si>
    <t>JHONNY ESTID QUIJANO TREJO</t>
  </si>
  <si>
    <t>BE842267</t>
  </si>
  <si>
    <t>+57 313 6953908</t>
  </si>
  <si>
    <t>E0352</t>
  </si>
  <si>
    <t>JHONNY GERARDO CALDAS VILLANUEVA</t>
  </si>
  <si>
    <t>+51 954 712 460</t>
  </si>
  <si>
    <t>E1685</t>
  </si>
  <si>
    <t>JHONNY RAFAEL LOPEZ FIGUEROA</t>
  </si>
  <si>
    <t>AZ347478</t>
  </si>
  <si>
    <t>+34 633 31 20 48</t>
  </si>
  <si>
    <t>E1065</t>
  </si>
  <si>
    <t>JHONS WILFREDO RAMIREZ VIERA</t>
  </si>
  <si>
    <t>+51 910 819 272</t>
  </si>
  <si>
    <t>E0216</t>
  </si>
  <si>
    <t>JHONSON MARLON DUTRA</t>
  </si>
  <si>
    <t>FX379988</t>
  </si>
  <si>
    <t>+351 962 564 278</t>
  </si>
  <si>
    <t>E1079</t>
  </si>
  <si>
    <t>JHONY WATSON SIANCAS MORALES</t>
  </si>
  <si>
    <t>+51988701219</t>
  </si>
  <si>
    <t>E1852</t>
  </si>
  <si>
    <t>JHORMAN STEVEN PINTO QUITORA</t>
  </si>
  <si>
    <t>BD350783</t>
  </si>
  <si>
    <t>+57 313 4529618</t>
  </si>
  <si>
    <t>E0881</t>
  </si>
  <si>
    <t>JHOSEPH LEANDRO MAYOR PIEDRAHITA</t>
  </si>
  <si>
    <t>+34 641 75 76 31</t>
  </si>
  <si>
    <t>E0123</t>
  </si>
  <si>
    <t>JIM PAUL CHUNGA LUJAN</t>
  </si>
  <si>
    <t>+34 692 35 06 11</t>
  </si>
  <si>
    <t>E0206</t>
  </si>
  <si>
    <t>JIMMY ALEXANDER CAICEDO</t>
  </si>
  <si>
    <t>BD944225</t>
  </si>
  <si>
    <t>+56 9 3883 3516</t>
  </si>
  <si>
    <t>E1883</t>
  </si>
  <si>
    <t>JIMMY ALEXANDER CASTANEDA ROMERO</t>
  </si>
  <si>
    <t>AT779961</t>
  </si>
  <si>
    <t>+57 310 422 4030</t>
  </si>
  <si>
    <t>E0138</t>
  </si>
  <si>
    <t>JIMMY JHON SANDI CAHUACHI</t>
  </si>
  <si>
    <t>+34 603 40 80 54</t>
  </si>
  <si>
    <t>E1342</t>
  </si>
  <si>
    <t>JIMMY RICHARD ROBLES USHINAHUA</t>
  </si>
  <si>
    <t>+34 613 70 80 39</t>
  </si>
  <si>
    <t>E1059</t>
  </si>
  <si>
    <t>JOANDERSON DOS SANTOS LOBO</t>
  </si>
  <si>
    <t>351 914 079 184</t>
  </si>
  <si>
    <t>E1808</t>
  </si>
  <si>
    <t>JOÃO ALDAIR OSORIO OROZCO</t>
  </si>
  <si>
    <t>BE716532</t>
  </si>
  <si>
    <t>+57 302 341 5389</t>
  </si>
  <si>
    <t>E1022</t>
  </si>
  <si>
    <t>JOAO BATISTA MARQUES PEREIRA</t>
  </si>
  <si>
    <t>351 910 821 508</t>
  </si>
  <si>
    <t>E0982</t>
  </si>
  <si>
    <t>JOÃO CARLOS PEREIRA MACHADO</t>
  </si>
  <si>
    <t>351 931 625 717</t>
  </si>
  <si>
    <t>E1038</t>
  </si>
  <si>
    <t>JOÃO PAULO FIGUEIROA SANTOS</t>
  </si>
  <si>
    <t>351 962 069 348</t>
  </si>
  <si>
    <t>E0421</t>
  </si>
  <si>
    <t>JOEL MAGALHAES</t>
  </si>
  <si>
    <t>+35 193 49 07 535</t>
  </si>
  <si>
    <t>E0903</t>
  </si>
  <si>
    <t>JOELSON RODRIGUES</t>
  </si>
  <si>
    <t>34 641 12 79 27</t>
  </si>
  <si>
    <t>E1670</t>
  </si>
  <si>
    <t>JOHAN ANDRES HERRERA RUGE</t>
  </si>
  <si>
    <t>AV315880</t>
  </si>
  <si>
    <t>+34 675 222 805</t>
  </si>
  <si>
    <t>E1528</t>
  </si>
  <si>
    <t>JOHAN ANDRÉS HERRERA RUGE</t>
  </si>
  <si>
    <t>57 313 765 5640</t>
  </si>
  <si>
    <t>E1274</t>
  </si>
  <si>
    <t>JOHAN MAURICIO MORENO QUINTANA</t>
  </si>
  <si>
    <t>48 576 603 892</t>
  </si>
  <si>
    <t>E1993</t>
  </si>
  <si>
    <t>JOHANS FERNANDO HERRERA VELASCO</t>
  </si>
  <si>
    <t>BG099949</t>
  </si>
  <si>
    <t>+34 633 846031</t>
  </si>
  <si>
    <t>E1275</t>
  </si>
  <si>
    <t>JOHN ALEJANDRO PADILLA PEREZ</t>
  </si>
  <si>
    <t>+34 624 69 93 16</t>
  </si>
  <si>
    <t>E0824</t>
  </si>
  <si>
    <t>JOHN ALEX BALANTA CANCHIMBO</t>
  </si>
  <si>
    <t>34 624 15 61 16</t>
  </si>
  <si>
    <t>E0512</t>
  </si>
  <si>
    <t>JOHN ALEXANDER LUGO CUESTAS</t>
  </si>
  <si>
    <t>+34 671 31 41 67</t>
  </si>
  <si>
    <t>E1062</t>
  </si>
  <si>
    <t>JOHN CALDERON SANCHEZ</t>
  </si>
  <si>
    <t>+57 3175860746</t>
  </si>
  <si>
    <t>E0786</t>
  </si>
  <si>
    <t>JOHN EDGAR QUIMBAYO TORO</t>
  </si>
  <si>
    <t>34 652 66 93 30</t>
  </si>
  <si>
    <t>E0672</t>
  </si>
  <si>
    <t>JOHN EDUARD FUENTES PINILLA</t>
  </si>
  <si>
    <t>34 680 65 13 31</t>
  </si>
  <si>
    <t>E0555</t>
  </si>
  <si>
    <t>JOHN EDWARD VELEZ GRISALES</t>
  </si>
  <si>
    <t>+34 613877816</t>
  </si>
  <si>
    <t>E0108</t>
  </si>
  <si>
    <t>JOHN FREDDY PEREZ RUIZ</t>
  </si>
  <si>
    <t>BF595564</t>
  </si>
  <si>
    <t>+57 320 6058840</t>
  </si>
  <si>
    <t>E0492</t>
  </si>
  <si>
    <t>JOHN FREDY CASTRO JIMENEZ</t>
  </si>
  <si>
    <t>BH671578</t>
  </si>
  <si>
    <t>+34 624 91 43 87</t>
  </si>
  <si>
    <t>E2023</t>
  </si>
  <si>
    <t>JOHN FREDY QUINONES HENAO</t>
  </si>
  <si>
    <t>AU474405</t>
  </si>
  <si>
    <t>+57 312 336 5820</t>
  </si>
  <si>
    <t>E1529</t>
  </si>
  <si>
    <t>JOHN HAROLD PERENGUEZ CUARAN</t>
  </si>
  <si>
    <t>34 632 37 89 99</t>
  </si>
  <si>
    <t>E0691</t>
  </si>
  <si>
    <t>JOHN JAIRO BENITEZ CASTRO</t>
  </si>
  <si>
    <t>57 314 63 77 806</t>
  </si>
  <si>
    <t>E0355</t>
  </si>
  <si>
    <t>JOHN JAIRO MORENO MENDIVELSO</t>
  </si>
  <si>
    <t>+57 314 4405048</t>
  </si>
  <si>
    <t>E0547</t>
  </si>
  <si>
    <t>JOHN MAURY LOPEZ SOCARRAS</t>
  </si>
  <si>
    <t>BE058709</t>
  </si>
  <si>
    <t>+34 656 46 89 03</t>
  </si>
  <si>
    <t>E0725</t>
  </si>
  <si>
    <t>JOHNNY FRANCOIS MENESES BARRIENTOS</t>
  </si>
  <si>
    <t>+57 316 1738460</t>
  </si>
  <si>
    <t>E0268</t>
  </si>
  <si>
    <t>JOHNNY JAVIER BORJA MANGA</t>
  </si>
  <si>
    <t>AX765156</t>
  </si>
  <si>
    <t>+48 789 823 149</t>
  </si>
  <si>
    <t>E1093</t>
  </si>
  <si>
    <t>JOHNNY OCAMPO BORRERO</t>
  </si>
  <si>
    <t>+34 602 49 73 46</t>
  </si>
  <si>
    <t>E0211</t>
  </si>
  <si>
    <t>JOLBER ENRIQUE PINTO BRITO</t>
  </si>
  <si>
    <t>AS421986</t>
  </si>
  <si>
    <t>+57 318 5104963</t>
  </si>
  <si>
    <t>E1782</t>
  </si>
  <si>
    <t>JONAHTAN NONTOA HERNANDEZ</t>
  </si>
  <si>
    <t>PE180195</t>
  </si>
  <si>
    <t>+34 647 96 80 25</t>
  </si>
  <si>
    <t>E1120</t>
  </si>
  <si>
    <t>JONAS SILVA DOS SANTOS</t>
  </si>
  <si>
    <t>+351 925 530 457</t>
  </si>
  <si>
    <t>E1991</t>
  </si>
  <si>
    <t>JONATAN MAURICIO TOLEDO CHARRY</t>
  </si>
  <si>
    <t>BH170429</t>
  </si>
  <si>
    <t>+57 314 8795583</t>
  </si>
  <si>
    <t>E1168</t>
  </si>
  <si>
    <t>JONATAN OCHOA GAMBOA</t>
  </si>
  <si>
    <t>+34 611 47 77 90</t>
  </si>
  <si>
    <t>E0860</t>
  </si>
  <si>
    <t>JONATAN ROBINSON CEBALLOS PEREZ</t>
  </si>
  <si>
    <t>321 7521980</t>
  </si>
  <si>
    <t>E0069</t>
  </si>
  <si>
    <t>JONATAS HERTEL LOUZADA</t>
  </si>
  <si>
    <t>FY634500</t>
  </si>
  <si>
    <t>34642119823</t>
  </si>
  <si>
    <t>E0552</t>
  </si>
  <si>
    <t>JONATHAN ALEJANDRO MARTINEZ CASTIBLANCO</t>
  </si>
  <si>
    <t>BD259254</t>
  </si>
  <si>
    <t>+57 310 577 3015</t>
  </si>
  <si>
    <t>E1763</t>
  </si>
  <si>
    <t>JONATHAN ALEXANDRE NEIRA SUAZO</t>
  </si>
  <si>
    <t>AAG119604</t>
  </si>
  <si>
    <t>+542996266331</t>
  </si>
  <si>
    <t>E0929</t>
  </si>
  <si>
    <t>JONATHAN ALVARO CHAVARRO CORDOBA</t>
  </si>
  <si>
    <t>+57 320 2183625</t>
  </si>
  <si>
    <t>E0301</t>
  </si>
  <si>
    <t>JONATHAN ANDRES ORTEGA CASTRO</t>
  </si>
  <si>
    <t>AZ563371</t>
  </si>
  <si>
    <t>+34 635 47 06 44</t>
  </si>
  <si>
    <t>E0591</t>
  </si>
  <si>
    <t>JONATHAN BLANDON HINCAPIE</t>
  </si>
  <si>
    <t>BC903992</t>
  </si>
  <si>
    <t>+57 301 6451681</t>
  </si>
  <si>
    <t>E0171</t>
  </si>
  <si>
    <t>JONATHAN EDUARDO RODRIGUEZ MADARIAGA</t>
  </si>
  <si>
    <t>+34 664 17 15 69</t>
  </si>
  <si>
    <t>E0585</t>
  </si>
  <si>
    <t>JONATHAN FELACIO FISGATIVA</t>
  </si>
  <si>
    <t>BE616976</t>
  </si>
  <si>
    <t>+57 314 846 6333</t>
  </si>
  <si>
    <t>E0017</t>
  </si>
  <si>
    <t>JONATHAN GONZALO RODRIGUEZ CABEZAS</t>
  </si>
  <si>
    <t>AU386190</t>
  </si>
  <si>
    <t>+57 319 367 0123</t>
  </si>
  <si>
    <t>E1530</t>
  </si>
  <si>
    <t>JONATHAN JAVIER GARRIDO SILVA</t>
  </si>
  <si>
    <t>57 316 5754649</t>
  </si>
  <si>
    <t>E1683</t>
  </si>
  <si>
    <t>JONATHAN RICARDO TINJACA COLMENARES</t>
  </si>
  <si>
    <t>BF841942</t>
  </si>
  <si>
    <t>+57 312 3964257</t>
  </si>
  <si>
    <t>E1039</t>
  </si>
  <si>
    <t>JONATHAN RODRIGUES DE SOUZA</t>
  </si>
  <si>
    <t>55 62 9692-7447</t>
  </si>
  <si>
    <t>E2113</t>
  </si>
  <si>
    <t>JONNY ENRIQUE CURA VARGAS</t>
  </si>
  <si>
    <t>BG659816</t>
  </si>
  <si>
    <t>+57 3115655036</t>
  </si>
  <si>
    <t>E0034</t>
  </si>
  <si>
    <t>JORDY ALEXANDER ALVA PAYAC</t>
  </si>
  <si>
    <t>120754778</t>
  </si>
  <si>
    <t>+51 929 232 190</t>
  </si>
  <si>
    <t>E1725</t>
  </si>
  <si>
    <t>JORDY STEVAN VARGAS FIGUEROA</t>
  </si>
  <si>
    <t>BG398268</t>
  </si>
  <si>
    <t>+57 318 507 7617</t>
  </si>
  <si>
    <t>E0885</t>
  </si>
  <si>
    <t>JORGE ALBERTO CACHAYA CARDOSO</t>
  </si>
  <si>
    <t>+57 320 3426730</t>
  </si>
  <si>
    <t>E0109</t>
  </si>
  <si>
    <t>JORGE ALBERTO CASTILLO GARCIA</t>
  </si>
  <si>
    <t>+51 977 353 112</t>
  </si>
  <si>
    <t>E0731</t>
  </si>
  <si>
    <t>JORGE ALBERTO PEREA CAMACHO</t>
  </si>
  <si>
    <t>+34 671 61 30 62</t>
  </si>
  <si>
    <t>E1146</t>
  </si>
  <si>
    <t>JORGE ALEXANDER GUEVARA PEÑA</t>
  </si>
  <si>
    <t>34631144266</t>
  </si>
  <si>
    <t>E1040</t>
  </si>
  <si>
    <t>JORGE ANASTACIO FILHO</t>
  </si>
  <si>
    <t>351 961 921 063</t>
  </si>
  <si>
    <t>E0028</t>
  </si>
  <si>
    <t>JORGE ANDRES MARTINEZ VEGA</t>
  </si>
  <si>
    <t>BC076409</t>
  </si>
  <si>
    <t>+57 314 4507638</t>
  </si>
  <si>
    <t>E1698</t>
  </si>
  <si>
    <t>JORGE ANDRES VEGA DELGADO</t>
  </si>
  <si>
    <t>AZ404504</t>
  </si>
  <si>
    <t>+48 691 182 963</t>
  </si>
  <si>
    <t>E1531</t>
  </si>
  <si>
    <t>JORGE ANTONIO RAMIREZ LUNA</t>
  </si>
  <si>
    <t>124949405</t>
  </si>
  <si>
    <t>51 966814238</t>
  </si>
  <si>
    <t>E0920</t>
  </si>
  <si>
    <t>JORGE ARLEX MARTINEZ MENDEZ</t>
  </si>
  <si>
    <t>34 613 94 23 87</t>
  </si>
  <si>
    <t>E0164</t>
  </si>
  <si>
    <t>JORGE ARLEY ALVAREZ GONZALEZ</t>
  </si>
  <si>
    <t>BD135014</t>
  </si>
  <si>
    <t>+57 314 6729263</t>
  </si>
  <si>
    <t>E1241</t>
  </si>
  <si>
    <t>JORGE ARMANDO DIAZ FLOREZ</t>
  </si>
  <si>
    <t>57 312 8345006</t>
  </si>
  <si>
    <t>E0671</t>
  </si>
  <si>
    <t>JORGE ARMANDO HURTADO RODRIGUEZ</t>
  </si>
  <si>
    <t>AT545336</t>
  </si>
  <si>
    <t>+57 312 7270028</t>
  </si>
  <si>
    <t>E0014</t>
  </si>
  <si>
    <t>JORGE ARMANDO OTALORA CORTES</t>
  </si>
  <si>
    <t>AR871853</t>
  </si>
  <si>
    <t>+57 323 8037 997</t>
  </si>
  <si>
    <t>E1715</t>
  </si>
  <si>
    <t>JORGE CAMILO QUINTERO OJEDA</t>
  </si>
  <si>
    <t>AY477919</t>
  </si>
  <si>
    <t>+57 313 414 6223</t>
  </si>
  <si>
    <t>E1153</t>
  </si>
  <si>
    <t>JORGE DUVAN GONZALEZ CARDONA</t>
  </si>
  <si>
    <t>57 305 7540793</t>
  </si>
  <si>
    <t>E1757</t>
  </si>
  <si>
    <t>JORGE EDUARDO OSPINO DURAN</t>
  </si>
  <si>
    <t>BD173610</t>
  </si>
  <si>
    <t>+57 300 8292138</t>
  </si>
  <si>
    <t>E1532</t>
  </si>
  <si>
    <t>JORGE EDUARDO VARGAS CASTAÑEDA</t>
  </si>
  <si>
    <t>+57 304 4337137</t>
  </si>
  <si>
    <t>E0876</t>
  </si>
  <si>
    <t>JORGE ELIECER NAVARRO PALOMINO</t>
  </si>
  <si>
    <t>+48 727 424 135</t>
  </si>
  <si>
    <t>E1167</t>
  </si>
  <si>
    <t>JORGE ELIECER VILLADIEGO PUELLO</t>
  </si>
  <si>
    <t>+351 913 452 006</t>
  </si>
  <si>
    <t>E0376</t>
  </si>
  <si>
    <t>JORGE ENRIQUE BUENAVENTURA GARCIA</t>
  </si>
  <si>
    <t>BE057960</t>
  </si>
  <si>
    <t>+34 631 94 37 10</t>
  </si>
  <si>
    <t>E0845</t>
  </si>
  <si>
    <t>JORGE ENRIQUE GUERRA VEGA</t>
  </si>
  <si>
    <t>+39 344 582 6957</t>
  </si>
  <si>
    <t xml:space="preserve"> Baja</t>
  </si>
  <si>
    <t>E0518</t>
  </si>
  <si>
    <t>JORGE ENRIQUE LIEVANO ALZATE</t>
  </si>
  <si>
    <t>+57 311 3317054</t>
  </si>
  <si>
    <t>E1900</t>
  </si>
  <si>
    <t>JORGE ENRIQUE OSPINA GARCES</t>
  </si>
  <si>
    <t>BA112431</t>
  </si>
  <si>
    <t>+34 663 799 744</t>
  </si>
  <si>
    <t>E1671</t>
  </si>
  <si>
    <t>JORGE ENRIQUE SANABRIA MORENO</t>
  </si>
  <si>
    <t>BF817775</t>
  </si>
  <si>
    <t>+34 677 134 487</t>
  </si>
  <si>
    <t>E1756</t>
  </si>
  <si>
    <t>JORGE FACEDT VANEGAS MEDINA</t>
  </si>
  <si>
    <t>BC760989</t>
  </si>
  <si>
    <t>E1669</t>
  </si>
  <si>
    <t>JORGE HERNANDO AGUIRRE VELANDIA</t>
  </si>
  <si>
    <t>BF223217</t>
  </si>
  <si>
    <t>+34 677 134 485</t>
  </si>
  <si>
    <t>E0755</t>
  </si>
  <si>
    <t>JORGE IVAN CATAÑO CASTAÑO</t>
  </si>
  <si>
    <t>E1446</t>
  </si>
  <si>
    <t>JORGE IVAN LOPEZ CORDOBA</t>
  </si>
  <si>
    <t>AX275106</t>
  </si>
  <si>
    <t>+34 641 25 79 79</t>
  </si>
  <si>
    <t>E0818</t>
  </si>
  <si>
    <t>JORGE IVAN SARRIA ORTIZ</t>
  </si>
  <si>
    <t>E0533</t>
  </si>
  <si>
    <t>JORGE IVAN TEHERAN CAUSADO</t>
  </si>
  <si>
    <t>AQ365839</t>
  </si>
  <si>
    <t>+34 636 71 06 76</t>
  </si>
  <si>
    <t>E0904</t>
  </si>
  <si>
    <t>JORGE JAVIER BETANCOUTH HERNANDEZ</t>
  </si>
  <si>
    <t>E1680</t>
  </si>
  <si>
    <t>JORGE LEONARDO MACHUCA GARCIA</t>
  </si>
  <si>
    <t>BG215264</t>
  </si>
  <si>
    <t>+57 3235104624</t>
  </si>
  <si>
    <t>E1533</t>
  </si>
  <si>
    <t>JORGE LUIS ASCUNTAR ZAMORA</t>
  </si>
  <si>
    <t>BF478049</t>
  </si>
  <si>
    <t>34 642 58 33 05</t>
  </si>
  <si>
    <t>E1437</t>
  </si>
  <si>
    <t>JORGE LUIS AVILA CASTRO</t>
  </si>
  <si>
    <t>+57 302 304 9813</t>
  </si>
  <si>
    <t>E0380</t>
  </si>
  <si>
    <t>JORGE LUIS CUELLAR GONZALEZ</t>
  </si>
  <si>
    <t>BC097413</t>
  </si>
  <si>
    <t>+34 603 93 65 12</t>
  </si>
  <si>
    <t>E0597</t>
  </si>
  <si>
    <t>JORGE LUIS DURAND JAUREGUI</t>
  </si>
  <si>
    <t>120620723</t>
  </si>
  <si>
    <t>+51 966 241 025</t>
  </si>
  <si>
    <t>E0379</t>
  </si>
  <si>
    <t>JORGE LUIS FLOREZ RAMIREZ</t>
  </si>
  <si>
    <t>BE822796</t>
  </si>
  <si>
    <t>+57 320 4178654</t>
  </si>
  <si>
    <t>E1664</t>
  </si>
  <si>
    <t>E0215</t>
  </si>
  <si>
    <t>JORGE LUIS GONZALES VIERA</t>
  </si>
  <si>
    <t>120655148</t>
  </si>
  <si>
    <t>+51 994 850 501</t>
  </si>
  <si>
    <t>E0002</t>
  </si>
  <si>
    <t>JORGE LUIS HUERTA OBREGON</t>
  </si>
  <si>
    <t>123391900</t>
  </si>
  <si>
    <t>+34 643 19 75 90</t>
  </si>
  <si>
    <t>E1534</t>
  </si>
  <si>
    <t>JORGE LUIS JIMENEZ BISCUMICHE</t>
  </si>
  <si>
    <t>BF249367</t>
  </si>
  <si>
    <t>48 575 464 966</t>
  </si>
  <si>
    <t>E1896</t>
  </si>
  <si>
    <t>JORGE LUIS ROMERO DE ANGEL</t>
  </si>
  <si>
    <t>BE850677</t>
  </si>
  <si>
    <t>+48 509 400 381</t>
  </si>
  <si>
    <t>E1325</t>
  </si>
  <si>
    <t>JORGE LUIS ROQUE MADRUGA</t>
  </si>
  <si>
    <t>+351 911 162 823</t>
  </si>
  <si>
    <t>E1145</t>
  </si>
  <si>
    <t>JORGE LUIS TAMARA ABIANTUN</t>
  </si>
  <si>
    <t>+57 301 6279862</t>
  </si>
  <si>
    <t>E1867</t>
  </si>
  <si>
    <t>JORGE LUIS VILLAREAL ESPINOZA</t>
  </si>
  <si>
    <t>+34 637 94 00 16</t>
  </si>
  <si>
    <t>E0490</t>
  </si>
  <si>
    <t>JORGE NAYRO GARCIA OROZCO</t>
  </si>
  <si>
    <t>BA511544</t>
  </si>
  <si>
    <t>+57 320 8285445</t>
  </si>
  <si>
    <t>E0560</t>
  </si>
  <si>
    <t>JORGE REINALDO GOMEZ ROJAS</t>
  </si>
  <si>
    <t>BF338970</t>
  </si>
  <si>
    <t>+57 321 303 2468</t>
  </si>
  <si>
    <t>E0718</t>
  </si>
  <si>
    <t>JORGE RICHARD INFANTE VILLANUEVA</t>
  </si>
  <si>
    <t>+51 973 52 3984</t>
  </si>
  <si>
    <t>E0896</t>
  </si>
  <si>
    <t>JORGE YORDAN HERNANDEZ RONDON</t>
  </si>
  <si>
    <t>34 634 07 99 31</t>
  </si>
  <si>
    <t>E1944</t>
  </si>
  <si>
    <t>JORGY VALLEJO SOLIS</t>
  </si>
  <si>
    <t>BF839372</t>
  </si>
  <si>
    <t>+34 671 491 709</t>
  </si>
  <si>
    <t>E0846</t>
  </si>
  <si>
    <t>JORMAN ELCIN AGUDELO PEREZ</t>
  </si>
  <si>
    <t>57 304 2473467</t>
  </si>
  <si>
    <t>E0952</t>
  </si>
  <si>
    <t>JOSE ALBERTO MOROSTOQUE MARULANDA</t>
  </si>
  <si>
    <t>34 654 55 27 47</t>
  </si>
  <si>
    <t>E0843</t>
  </si>
  <si>
    <t>JOSE ALEJANDRO PINEDA GONZALEZ</t>
  </si>
  <si>
    <t>+57 321 2491721</t>
  </si>
  <si>
    <t>E2107</t>
  </si>
  <si>
    <t>JOSE ALEXANDER CALDERON AGUDELO</t>
  </si>
  <si>
    <t>BG625661</t>
  </si>
  <si>
    <t>+34 634 22 94 29</t>
  </si>
  <si>
    <t>E1536</t>
  </si>
  <si>
    <t>JOSE ALFREDO ACOSTA EPIEYU</t>
  </si>
  <si>
    <t>BC251234</t>
  </si>
  <si>
    <t>57 310 6614082</t>
  </si>
  <si>
    <t>E0378</t>
  </si>
  <si>
    <t>JOSE ALFREDO BARRETO AGUILAR</t>
  </si>
  <si>
    <t>BE225182</t>
  </si>
  <si>
    <t>+34 641 71 31 59</t>
  </si>
  <si>
    <t>E0437</t>
  </si>
  <si>
    <t>JOSE ALFREDO GUTIERREZ LANCHEZ</t>
  </si>
  <si>
    <t>+51 937 532 050</t>
  </si>
  <si>
    <t>E0905</t>
  </si>
  <si>
    <t>JOSE ALVES</t>
  </si>
  <si>
    <t>E1417</t>
  </si>
  <si>
    <t>JOSE AMAURI DE SÁ</t>
  </si>
  <si>
    <t>FY707764</t>
  </si>
  <si>
    <t>+351 924 687 911</t>
  </si>
  <si>
    <t>E0804</t>
  </si>
  <si>
    <t>JOSE ANDERSON SILVA DOS SANTOS</t>
  </si>
  <si>
    <t>E0658</t>
  </si>
  <si>
    <t>JOSE ANDRES BLANCO IBARRA</t>
  </si>
  <si>
    <t>+57 310 5233979</t>
  </si>
  <si>
    <t>E1124</t>
  </si>
  <si>
    <t>JOSE ANDRES CASTILLO</t>
  </si>
  <si>
    <t>+57 317 6965679</t>
  </si>
  <si>
    <t>E1427</t>
  </si>
  <si>
    <t>JOSE ANDRES PEREZ RUIZ</t>
  </si>
  <si>
    <t>+48 725 712 725</t>
  </si>
  <si>
    <t>E1104</t>
  </si>
  <si>
    <t>JOSE ANGEL CARREÑO REMOLINA</t>
  </si>
  <si>
    <t>57 301 5084694</t>
  </si>
  <si>
    <t>E2078</t>
  </si>
  <si>
    <t>JOSE ANGEL URBINA RAMIREZ</t>
  </si>
  <si>
    <t>+34 642 84 63 03</t>
  </si>
  <si>
    <t>E0605</t>
  </si>
  <si>
    <t>JOSE ANTONIO CASTRO BALANTA</t>
  </si>
  <si>
    <t>AS795872</t>
  </si>
  <si>
    <t>+34 611286689</t>
  </si>
  <si>
    <t>E2061</t>
  </si>
  <si>
    <t>JOSE ANTONIO GUIZAO SANDOVAL</t>
  </si>
  <si>
    <t>AS571062</t>
  </si>
  <si>
    <t>+57 311 4299190</t>
  </si>
  <si>
    <t>E0377</t>
  </si>
  <si>
    <t>JOSE ANTONIO MORALES HURTADO</t>
  </si>
  <si>
    <t>AZ752110</t>
  </si>
  <si>
    <t>+34 613 47 72 92</t>
  </si>
  <si>
    <t>E1706</t>
  </si>
  <si>
    <t>JOSE ANTONIO RIVILLAS ROJO</t>
  </si>
  <si>
    <t>AX570935</t>
  </si>
  <si>
    <t>+57 314 268 6724</t>
  </si>
  <si>
    <t>E1875</t>
  </si>
  <si>
    <t>JOSE ANTONIO RUEDA CAMARGO</t>
  </si>
  <si>
    <t>BH064654</t>
  </si>
  <si>
    <t>+57 321 6234986</t>
  </si>
  <si>
    <t>E1997</t>
  </si>
  <si>
    <t>JOSE ARBEY CORREA RUIZ</t>
  </si>
  <si>
    <t>BE734113</t>
  </si>
  <si>
    <t>+34 655 759 642</t>
  </si>
  <si>
    <t>E1294</t>
  </si>
  <si>
    <t>JOSE ARISTIDES PATIÑO CABRERA</t>
  </si>
  <si>
    <t>57 311 3403960</t>
  </si>
  <si>
    <t>E0353</t>
  </si>
  <si>
    <t>JOSE CARBAJAL YAURI</t>
  </si>
  <si>
    <t>+51 913 056 293</t>
  </si>
  <si>
    <t>E1428</t>
  </si>
  <si>
    <t>JOSE CARLOS CARRASCAL LIDUEÑAS</t>
  </si>
  <si>
    <t>BD439033</t>
  </si>
  <si>
    <t>+57 305 912 3013</t>
  </si>
  <si>
    <t>E1901</t>
  </si>
  <si>
    <t>JOSE CARLOS HUAMAN LOBATO</t>
  </si>
  <si>
    <t>+51 991 066 867</t>
  </si>
  <si>
    <t>E1537</t>
  </si>
  <si>
    <t>JOSÉ DANIEL RESTREPO RODRÍGUEZ</t>
  </si>
  <si>
    <t>57 313 600 6115</t>
  </si>
  <si>
    <t>E0291</t>
  </si>
  <si>
    <t>JOSE DAYNER ACOSTA LENIS</t>
  </si>
  <si>
    <t>BE657669</t>
  </si>
  <si>
    <t>+34 631 50 62 60</t>
  </si>
  <si>
    <t>E0163</t>
  </si>
  <si>
    <t>JOSE DE JESUS MENDOZA PADILLA</t>
  </si>
  <si>
    <t>AV083614</t>
  </si>
  <si>
    <t>+34 641 47 69 96</t>
  </si>
  <si>
    <t>E0771</t>
  </si>
  <si>
    <t>JOSE DO CARMO RODRIGUES DOS SANTOS</t>
  </si>
  <si>
    <t>351 914 177 229</t>
  </si>
  <si>
    <t>E1096</t>
  </si>
  <si>
    <t>JOSE EDER VALLEJO YAMA</t>
  </si>
  <si>
    <t>573154147885</t>
  </si>
  <si>
    <t>E0390</t>
  </si>
  <si>
    <t>JOSE EDUARDO CARREAZO PINEDA</t>
  </si>
  <si>
    <t>+57 313 5894178</t>
  </si>
  <si>
    <t>E1080</t>
  </si>
  <si>
    <t>JOSE EDUARDO NUÑEZ ESCARATE</t>
  </si>
  <si>
    <t>+51 994 709 522</t>
  </si>
  <si>
    <t>E0181</t>
  </si>
  <si>
    <t>JOSE ELMES PASTES DOMINGUEZ</t>
  </si>
  <si>
    <t>AY300058</t>
  </si>
  <si>
    <t>+34 600 29 97 90</t>
  </si>
  <si>
    <t>E0110</t>
  </si>
  <si>
    <t>JOSE ENRIQUE BURITICA BURITICA</t>
  </si>
  <si>
    <t>+57 316 5526719</t>
  </si>
  <si>
    <t>E0212</t>
  </si>
  <si>
    <t>JOSE ENRIQUE SANCHEZ CHARCAPE</t>
  </si>
  <si>
    <t>123878577</t>
  </si>
  <si>
    <t>+51 938 981 615</t>
  </si>
  <si>
    <t>E1144</t>
  </si>
  <si>
    <t>JOSE ERDUBEY SALGADO GOMEZ</t>
  </si>
  <si>
    <t>34 611 38 25 02</t>
  </si>
  <si>
    <t>E1538</t>
  </si>
  <si>
    <t>JOSE ERMOGENES BARRIENTOS DIAZ</t>
  </si>
  <si>
    <t>124914068</t>
  </si>
  <si>
    <t>34 622 730 616</t>
  </si>
  <si>
    <t>E0298</t>
  </si>
  <si>
    <t>JOSE FERNANDO JARAMILLO HERNANDEZ</t>
  </si>
  <si>
    <t>+34 687 39 33 09</t>
  </si>
  <si>
    <t>E0260</t>
  </si>
  <si>
    <t>JOSE FERNANDO VEGA BUITRAGO</t>
  </si>
  <si>
    <t>AU365094</t>
  </si>
  <si>
    <t>+57 322 8959226</t>
  </si>
  <si>
    <t>E1971</t>
  </si>
  <si>
    <t>JOSE FERNEY TORRES</t>
  </si>
  <si>
    <t>AT097491</t>
  </si>
  <si>
    <t>+48 784 439 831</t>
  </si>
  <si>
    <t>E0775</t>
  </si>
  <si>
    <t>JOSE FRAIDA DOS SANTOS</t>
  </si>
  <si>
    <t>+351 934 858 860</t>
  </si>
  <si>
    <t>E1777</t>
  </si>
  <si>
    <t>JOSE FRANCISCO PINEDO BERRIO</t>
  </si>
  <si>
    <t>BG397678</t>
  </si>
  <si>
    <t>+34 642 84 90 90</t>
  </si>
  <si>
    <t>E0227</t>
  </si>
  <si>
    <t>JOSE GABRIEL GONZALEZ SUAREZ</t>
  </si>
  <si>
    <t>AU853901</t>
  </si>
  <si>
    <t>+34 607 747 595</t>
  </si>
  <si>
    <t>E1387</t>
  </si>
  <si>
    <t>JOSE GERARDO GIRALDO NIETO</t>
  </si>
  <si>
    <t>E0981</t>
  </si>
  <si>
    <t>JOSE GREGORIO POSSO NIETO</t>
  </si>
  <si>
    <t>+57 316 4048702</t>
  </si>
  <si>
    <t>E0461</t>
  </si>
  <si>
    <t>JOSE GUILLERMO MARTINEZ QUINTERO</t>
  </si>
  <si>
    <t>+34 627 684 132</t>
  </si>
  <si>
    <t>E1969</t>
  </si>
  <si>
    <t>JOSE GUILLERMO PENA BARRERA</t>
  </si>
  <si>
    <t>AT601373</t>
  </si>
  <si>
    <t>+57 310 473 5053</t>
  </si>
  <si>
    <t>E1296</t>
  </si>
  <si>
    <t>JOSE GUSTAVO AGUILAR TORRES</t>
  </si>
  <si>
    <t>AY222663</t>
  </si>
  <si>
    <t>+34 673 40 19 16</t>
  </si>
  <si>
    <t>E1353</t>
  </si>
  <si>
    <t>JOSE HELIO AMORIM DA SILVA JUNIOR</t>
  </si>
  <si>
    <t>E0090</t>
  </si>
  <si>
    <t>JOSE HERNAN RODRIGUEZ</t>
  </si>
  <si>
    <t>317389289</t>
  </si>
  <si>
    <t>685 69 65 57</t>
  </si>
  <si>
    <t>E0654</t>
  </si>
  <si>
    <t>JOSE HERNEY RESTREPO MURIEL</t>
  </si>
  <si>
    <t>+34 674 66 45 20</t>
  </si>
  <si>
    <t>E1954</t>
  </si>
  <si>
    <t>JOSE IGNACIO VALDERRAMA JIMENEZ</t>
  </si>
  <si>
    <t>AS469031</t>
  </si>
  <si>
    <t>+48 696 082 891</t>
  </si>
  <si>
    <t>E0439</t>
  </si>
  <si>
    <t>JOSE JAVIER CASTRO OBANDO</t>
  </si>
  <si>
    <t>+34 722 38 62 98</t>
  </si>
  <si>
    <t>E1539</t>
  </si>
  <si>
    <t>JOSE JAVIER RISCO DURAND</t>
  </si>
  <si>
    <t>51 949 407 502</t>
  </si>
  <si>
    <t>E1629</t>
  </si>
  <si>
    <t>JOSE JAVIER SAAVEDRA POLANIA</t>
  </si>
  <si>
    <t>+351 963 839 111</t>
  </si>
  <si>
    <t>E0561</t>
  </si>
  <si>
    <t>JOSE JHON JAIRO FELIX LONDOÑO</t>
  </si>
  <si>
    <t>+57 320 5261867</t>
  </si>
  <si>
    <t>E1066</t>
  </si>
  <si>
    <t>JOSE JOAQUIM GARCIA MORALES</t>
  </si>
  <si>
    <t>+57 324 4807586</t>
  </si>
  <si>
    <t>E0248</t>
  </si>
  <si>
    <t>JOSE JOHN PEREZ TARRILLO</t>
  </si>
  <si>
    <t>123982248</t>
  </si>
  <si>
    <t>+51 992 432 806</t>
  </si>
  <si>
    <t>E2101</t>
  </si>
  <si>
    <t>JOSE JONATHAN CANO SALAZAR</t>
  </si>
  <si>
    <t>AY143348</t>
  </si>
  <si>
    <t>+34 624 93 04 29</t>
  </si>
  <si>
    <t>E1687</t>
  </si>
  <si>
    <t>JOSE JULIAN LEMOS ZUNIGA</t>
  </si>
  <si>
    <t>BG260404</t>
  </si>
  <si>
    <t>+34 678 71 88 64</t>
  </si>
  <si>
    <t>E1143</t>
  </si>
  <si>
    <t>JOSE JULIAN ROSERO VILLARREAL</t>
  </si>
  <si>
    <t>+34 624 34 62 35</t>
  </si>
  <si>
    <t>E1799</t>
  </si>
  <si>
    <t>JOSE LEONARDO CALDERON MANZANO</t>
  </si>
  <si>
    <t>AS409908</t>
  </si>
  <si>
    <t>+57 320 6827272</t>
  </si>
  <si>
    <t>E0441</t>
  </si>
  <si>
    <t>JOSE LEONARDO MENESES LOPEZ</t>
  </si>
  <si>
    <t>+34 667 30 36 99</t>
  </si>
  <si>
    <t>E2030</t>
  </si>
  <si>
    <t>JOSE LIBARDO CAMACHO ZAMUDIO</t>
  </si>
  <si>
    <t>BH198200</t>
  </si>
  <si>
    <t>+57 304 631 2327</t>
  </si>
  <si>
    <t>E1825</t>
  </si>
  <si>
    <t>JOSE LISARDO LINARES</t>
  </si>
  <si>
    <t>BG900657</t>
  </si>
  <si>
    <t>+57 317 699 3298</t>
  </si>
  <si>
    <t>E2036</t>
  </si>
  <si>
    <t>JOSE LUIS ARENAS DIAZ</t>
  </si>
  <si>
    <t>223246257</t>
  </si>
  <si>
    <t>+507 535357543</t>
  </si>
  <si>
    <t>E0399</t>
  </si>
  <si>
    <t>JOSE LUIS CAUSADO TAMAYO</t>
  </si>
  <si>
    <t>AY976250</t>
  </si>
  <si>
    <t>+34 642 41 97 10</t>
  </si>
  <si>
    <t>E0078</t>
  </si>
  <si>
    <t>JOSE LUIS CHAVEZ PAUCAR</t>
  </si>
  <si>
    <t>+51 994 687 044</t>
  </si>
  <si>
    <t>E0978</t>
  </si>
  <si>
    <t>JOSE LUIS GONZALEZ ALVAREZ</t>
  </si>
  <si>
    <t>+34 611 37 90 32</t>
  </si>
  <si>
    <t>E1343</t>
  </si>
  <si>
    <t>JOSE LUIS PETRO GENES</t>
  </si>
  <si>
    <t>34 603 72 65 87</t>
  </si>
  <si>
    <t>E1688</t>
  </si>
  <si>
    <t>JOSE LUIS SAEZ RIVERO</t>
  </si>
  <si>
    <t>166705131</t>
  </si>
  <si>
    <t>+58 424 6169768</t>
  </si>
  <si>
    <t>E1540</t>
  </si>
  <si>
    <t>JOSE LUIS SANCHEZ OLARTE</t>
  </si>
  <si>
    <t>+57 317 2622220</t>
  </si>
  <si>
    <t>E1630</t>
  </si>
  <si>
    <t>JOSE MANUEL CEDEÑO MARTINEZ</t>
  </si>
  <si>
    <t>+351 938 857 549</t>
  </si>
  <si>
    <t>E1912</t>
  </si>
  <si>
    <t>JOSE MANUEL MARULANDA MEDINA</t>
  </si>
  <si>
    <t>AT701750</t>
  </si>
  <si>
    <t>+57 302 3323193</t>
  </si>
  <si>
    <t>E1222</t>
  </si>
  <si>
    <t>JOSE MANUEL MENDOZA SARA</t>
  </si>
  <si>
    <t>BH034674</t>
  </si>
  <si>
    <t>48 889 552 148</t>
  </si>
  <si>
    <t>E1947</t>
  </si>
  <si>
    <t>JOSE MANUEL MORALES TUDARE</t>
  </si>
  <si>
    <t>+34 600 315 075</t>
  </si>
  <si>
    <t>E1795</t>
  </si>
  <si>
    <t>JOSE MIGUEL ZACARIAS CHIRINOS</t>
  </si>
  <si>
    <t>182139448</t>
  </si>
  <si>
    <t>+34 683 259 078</t>
  </si>
  <si>
    <t>E1291</t>
  </si>
  <si>
    <t>JOSE NELSON OLAYA OLAYA</t>
  </si>
  <si>
    <t>48 505 398 572</t>
  </si>
  <si>
    <t>E1952</t>
  </si>
  <si>
    <t>JOSE NEPSE LOPEZ RAMIREZ</t>
  </si>
  <si>
    <t>182253241</t>
  </si>
  <si>
    <t>+34 642 150 400</t>
  </si>
  <si>
    <t>E1732</t>
  </si>
  <si>
    <t>JOSE RAIMUNDO JIMENEZ ARRIETA</t>
  </si>
  <si>
    <t>BE905797</t>
  </si>
  <si>
    <t>+34 644 964 449</t>
  </si>
  <si>
    <t>E0489</t>
  </si>
  <si>
    <t>JOSE RAMON DAZA OROZCO</t>
  </si>
  <si>
    <t>AZ203367</t>
  </si>
  <si>
    <t>+48 500 262 535</t>
  </si>
  <si>
    <t>E0324</t>
  </si>
  <si>
    <t>JOSE STEVAN MURILLO MARTINEZ</t>
  </si>
  <si>
    <t>BA922988</t>
  </si>
  <si>
    <t>+34 643 25 78 13</t>
  </si>
  <si>
    <t>E1858</t>
  </si>
  <si>
    <t>JOSE TRINIDAD ALVAREZ SALAMANCA</t>
  </si>
  <si>
    <t>AU108598</t>
  </si>
  <si>
    <t>+57 311 816 9063</t>
  </si>
  <si>
    <t>E0540</t>
  </si>
  <si>
    <t>JOSE WALTER VALENCIA PEREZ</t>
  </si>
  <si>
    <t>AV694086</t>
  </si>
  <si>
    <t>+34 642 32 10 31</t>
  </si>
  <si>
    <t>E1097</t>
  </si>
  <si>
    <t>JOSE YESID RIVAS SARRIA</t>
  </si>
  <si>
    <t>+57 318 5409012</t>
  </si>
  <si>
    <t>E1820</t>
  </si>
  <si>
    <t>JOSE YOVANNY LOZANO GOMEZ</t>
  </si>
  <si>
    <t>AU558324</t>
  </si>
  <si>
    <t>+57 310 708 2196</t>
  </si>
  <si>
    <t>E0244</t>
  </si>
  <si>
    <t>JOSELIN GUZMAN CARRANZA</t>
  </si>
  <si>
    <t>AR951518</t>
  </si>
  <si>
    <t>+34 604 84 90 77</t>
  </si>
  <si>
    <t>E1284</t>
  </si>
  <si>
    <t>JOSEPH ESTIVENS NIETO FERNANDEZ</t>
  </si>
  <si>
    <t>AS287428</t>
  </si>
  <si>
    <t>34 667 35 11 92</t>
  </si>
  <si>
    <t>E0293</t>
  </si>
  <si>
    <t>JOSIAS CANDELO BOLAÑOS</t>
  </si>
  <si>
    <t>+57 316 797 3488</t>
  </si>
  <si>
    <t>E1023</t>
  </si>
  <si>
    <t>JOSUE ALONSO DUARTE PINZON</t>
  </si>
  <si>
    <t>57 310 6960441</t>
  </si>
  <si>
    <t>E0474</t>
  </si>
  <si>
    <t>JOSUE ENRIQUE ZEVALLOS BENITES</t>
  </si>
  <si>
    <t>119253276</t>
  </si>
  <si>
    <t>+34 646 83 68 62</t>
  </si>
  <si>
    <t>E1541</t>
  </si>
  <si>
    <t>JOSUE JUAN PINTO MACHACA</t>
  </si>
  <si>
    <t>124927472</t>
  </si>
  <si>
    <t>56 9 8767 9825</t>
  </si>
  <si>
    <t>E0443</t>
  </si>
  <si>
    <t>JOZIMAR ANTONIO PEREIRA DE SOUZA</t>
  </si>
  <si>
    <t>+351 931 357 585</t>
  </si>
  <si>
    <t>E1843</t>
  </si>
  <si>
    <t>JUAN ALBEIRO MONSALVE MARIN</t>
  </si>
  <si>
    <t>BF895966</t>
  </si>
  <si>
    <t>+57 310 698 0495</t>
  </si>
  <si>
    <t>E0426</t>
  </si>
  <si>
    <t>JUAN ALBERTO RODRIGUEZ</t>
  </si>
  <si>
    <t>AAH357072</t>
  </si>
  <si>
    <t>+54 9 11 6749 4775</t>
  </si>
  <si>
    <t>E0304</t>
  </si>
  <si>
    <t>JUAN ANDRES AGUILAR MARIN</t>
  </si>
  <si>
    <t>AS519522</t>
  </si>
  <si>
    <t>+57 324 6832044</t>
  </si>
  <si>
    <t>E0162</t>
  </si>
  <si>
    <t>JUAN ANDRES BALANTA DIAZ</t>
  </si>
  <si>
    <t>+34 672 11 04 31</t>
  </si>
  <si>
    <t>E0190</t>
  </si>
  <si>
    <t>JUAN BERNARDO PALACIOS RUIZ</t>
  </si>
  <si>
    <t>124784989</t>
  </si>
  <si>
    <t>+34 603 91 97 06</t>
  </si>
  <si>
    <t>E1848</t>
  </si>
  <si>
    <t>JUAN BETANCOUR MARTINEZ</t>
  </si>
  <si>
    <t>AU498027</t>
  </si>
  <si>
    <t>+57 315 606 8560</t>
  </si>
  <si>
    <t>E2042</t>
  </si>
  <si>
    <t>JUAN CAMILO ESPINOZA VILLEGAS</t>
  </si>
  <si>
    <t>BF446963</t>
  </si>
  <si>
    <t>+57 313 802 6132</t>
  </si>
  <si>
    <t>E1542</t>
  </si>
  <si>
    <t>JUAN CAMILO HERRERA DAZA</t>
  </si>
  <si>
    <t>+34 600 47 74 85</t>
  </si>
  <si>
    <t>E0787</t>
  </si>
  <si>
    <t>JUAN CAMILO SERNA SOLARTE</t>
  </si>
  <si>
    <t>57 305 9413666</t>
  </si>
  <si>
    <t>E0267</t>
  </si>
  <si>
    <t>JUAN CAMILO SOSA QUINTERO</t>
  </si>
  <si>
    <t>+57 322 7173379</t>
  </si>
  <si>
    <t>E1935</t>
  </si>
  <si>
    <t>JUAN CARLOS AMARILLA CORREA</t>
  </si>
  <si>
    <t>T822936</t>
  </si>
  <si>
    <t>+34 642 669 028</t>
  </si>
  <si>
    <t>E0484</t>
  </si>
  <si>
    <t>JUAN CARLOS ARCAYA NORIEGA</t>
  </si>
  <si>
    <t>122475318</t>
  </si>
  <si>
    <t>+51 956 807 778</t>
  </si>
  <si>
    <t>E0395</t>
  </si>
  <si>
    <t>JUAN CARLOS BENAVIDES RODRIGUEZ</t>
  </si>
  <si>
    <t>AW083493</t>
  </si>
  <si>
    <t>+57 321 4512725</t>
  </si>
  <si>
    <t>E2118</t>
  </si>
  <si>
    <t>JUAN CARLOS CASTRO BARRAGAN</t>
  </si>
  <si>
    <t>BD209841</t>
  </si>
  <si>
    <t>+34 634 08 71 27</t>
  </si>
  <si>
    <t>E0093</t>
  </si>
  <si>
    <t>JUAN CARLOS CHAPARRO QUINTERO</t>
  </si>
  <si>
    <t>BD815258</t>
  </si>
  <si>
    <t>+34 624 22 58 27</t>
  </si>
  <si>
    <t>E0031</t>
  </si>
  <si>
    <t>JUAN CARLOS DE LA HOZ CUADROS</t>
  </si>
  <si>
    <t>48 45 280 96 68</t>
  </si>
  <si>
    <t>E0889</t>
  </si>
  <si>
    <t>JUAN CARLOS GALAN ALMENDRA</t>
  </si>
  <si>
    <t>+34 677 85 57 31</t>
  </si>
  <si>
    <t>E1189</t>
  </si>
  <si>
    <t>JUAN CARLOS HUAMAN RIVERA</t>
  </si>
  <si>
    <t>+48 787 108 780</t>
  </si>
  <si>
    <t>E0627</t>
  </si>
  <si>
    <t>JUAN CARLOS MEZA MEDINA</t>
  </si>
  <si>
    <t>+351 969 851 494</t>
  </si>
  <si>
    <t>E0698</t>
  </si>
  <si>
    <t>JUAN CARLOS MUNOZ</t>
  </si>
  <si>
    <t>E1240</t>
  </si>
  <si>
    <t>JUAN CARLOS NUÑEZ MORALES</t>
  </si>
  <si>
    <t>AW246849</t>
  </si>
  <si>
    <t>57 321 6712337</t>
  </si>
  <si>
    <t>E0323</t>
  </si>
  <si>
    <t>JUAN CARLOS PINZON GOMEZ</t>
  </si>
  <si>
    <t>AT094547</t>
  </si>
  <si>
    <t>+34 613 68 76 39</t>
  </si>
  <si>
    <t>E2072</t>
  </si>
  <si>
    <t>JUAN CARLOS RONDON COSSIO</t>
  </si>
  <si>
    <t>AV923115</t>
  </si>
  <si>
    <t>+48 733 035 420</t>
  </si>
  <si>
    <t>E1091</t>
  </si>
  <si>
    <t>JUAN CARLOS SANABRIA SUAREZ</t>
  </si>
  <si>
    <t>34 652 21 24 34</t>
  </si>
  <si>
    <t>E2106</t>
  </si>
  <si>
    <t>JUAN CARLOS TORRES LEON</t>
  </si>
  <si>
    <t>+51 932 296 860</t>
  </si>
  <si>
    <t>E0050</t>
  </si>
  <si>
    <t>JUAN CARLOS VELASQUEZ PUENTES</t>
  </si>
  <si>
    <t>48 573023 702</t>
  </si>
  <si>
    <t>E1199</t>
  </si>
  <si>
    <t>JUAN CARLOS VERGARA VALDERRAMA</t>
  </si>
  <si>
    <t>+34 613 121 154</t>
  </si>
  <si>
    <t>E1543</t>
  </si>
  <si>
    <t>JUAN CARLOS VILLANUEVA DE LA HOZ</t>
  </si>
  <si>
    <t>AX435937</t>
  </si>
  <si>
    <t>57 313 735 5368</t>
  </si>
  <si>
    <t>E0105</t>
  </si>
  <si>
    <t>JUAN CARLOS VILLANUEVA GALVIS</t>
  </si>
  <si>
    <t>AS930695</t>
  </si>
  <si>
    <t>+34 612 28 13 24</t>
  </si>
  <si>
    <t>E0263</t>
  </si>
  <si>
    <t>JUAN DANIEL MORA PEÑALOZA</t>
  </si>
  <si>
    <t>BA666566</t>
  </si>
  <si>
    <t>+57 317 5013694</t>
  </si>
  <si>
    <t>E2065</t>
  </si>
  <si>
    <t>JUAN DANIEL ROA ROSAS</t>
  </si>
  <si>
    <t>BH281510</t>
  </si>
  <si>
    <t>+57 315 7677130</t>
  </si>
  <si>
    <t>E1544</t>
  </si>
  <si>
    <t>JUAN DAVID ALTAMAR CHIQUILLO</t>
  </si>
  <si>
    <t>AW957193</t>
  </si>
  <si>
    <t>57 313 521 8614</t>
  </si>
  <si>
    <t>E1340</t>
  </si>
  <si>
    <t>JUAN DAVID FLORES INGA</t>
  </si>
  <si>
    <t>120575511</t>
  </si>
  <si>
    <t>+51 986 281 971</t>
  </si>
  <si>
    <t>E1755</t>
  </si>
  <si>
    <t>JUAN DAVID GOMEZ GUTIERREZ</t>
  </si>
  <si>
    <t>BE556634</t>
  </si>
  <si>
    <t>+57 321 6490779</t>
  </si>
  <si>
    <t>E1693</t>
  </si>
  <si>
    <t>JUAN DAVID GUALDRON REYES</t>
  </si>
  <si>
    <t>BG269019</t>
  </si>
  <si>
    <t>+34 672 160 908</t>
  </si>
  <si>
    <t>E1633</t>
  </si>
  <si>
    <t>JUAN DAVID LUNA PARRA</t>
  </si>
  <si>
    <t>48 780 574 357‬</t>
  </si>
  <si>
    <t>E1696</t>
  </si>
  <si>
    <t>JUAN DAVID MOLANO CARDONA</t>
  </si>
  <si>
    <t>AX973197</t>
  </si>
  <si>
    <t>+48 513 440 841</t>
  </si>
  <si>
    <t>E0261</t>
  </si>
  <si>
    <t>JUAN DAVID RUSSO LINERO</t>
  </si>
  <si>
    <t>+48 506 686 173</t>
  </si>
  <si>
    <t>E1870</t>
  </si>
  <si>
    <t>JUAN EMILIO REBOLLEDO SANCHEZ</t>
  </si>
  <si>
    <t>BD354786</t>
  </si>
  <si>
    <t>+34 42 046 698</t>
  </si>
  <si>
    <t>E0165</t>
  </si>
  <si>
    <t>JUAN ESTEBAN CUERVO CHALARCA</t>
  </si>
  <si>
    <t>+34 671 138 964</t>
  </si>
  <si>
    <t>E1988</t>
  </si>
  <si>
    <t>JUAN ESTEBAN QUINTERO MONSALVE</t>
  </si>
  <si>
    <t>BE979745</t>
  </si>
  <si>
    <t>+57 313 2785122</t>
  </si>
  <si>
    <t>E1794</t>
  </si>
  <si>
    <t>JUAN ESTEBAN RANGEL HERNANDEZ</t>
  </si>
  <si>
    <t>BH029258</t>
  </si>
  <si>
    <t>+57 314 304 2275</t>
  </si>
  <si>
    <t>E0236</t>
  </si>
  <si>
    <t>JUAN ESTEBAN RUIZ GONZALEZ</t>
  </si>
  <si>
    <t>BD997884</t>
  </si>
  <si>
    <t>+34 614 60 44 13</t>
  </si>
  <si>
    <t>E0037</t>
  </si>
  <si>
    <t>JUAN EUSEVIO VILELA SANDOVAL</t>
  </si>
  <si>
    <t>123917113</t>
  </si>
  <si>
    <t>+51 925 477 664</t>
  </si>
  <si>
    <t>E1930</t>
  </si>
  <si>
    <t>JUAN FERNANDO DUQUE CARDONA</t>
  </si>
  <si>
    <t>BH182698</t>
  </si>
  <si>
    <t>+57 302 329 6835</t>
  </si>
  <si>
    <t>E0409</t>
  </si>
  <si>
    <t>JUAN GABRIEL GOEZ MESA</t>
  </si>
  <si>
    <t>+57 305 2620624</t>
  </si>
  <si>
    <t>E0679</t>
  </si>
  <si>
    <t>JUAN GUILLERMO ACOSTA LENIS</t>
  </si>
  <si>
    <t>AZ281305</t>
  </si>
  <si>
    <t>+57 318 8875399</t>
  </si>
  <si>
    <t>E1429</t>
  </si>
  <si>
    <t>JUAN GUILLERMO CASTRO</t>
  </si>
  <si>
    <t>BG129162</t>
  </si>
  <si>
    <t>+57 302 256 3516</t>
  </si>
  <si>
    <t>E0055</t>
  </si>
  <si>
    <t>JUAN GUILLERMO RIOS PEREZ</t>
  </si>
  <si>
    <t>AS559536</t>
  </si>
  <si>
    <t>+34 671 15 54 78</t>
  </si>
  <si>
    <t>E1545</t>
  </si>
  <si>
    <t>JUAN GUILLERMO ZUÑIGA MAYOR</t>
  </si>
  <si>
    <t>AY971431</t>
  </si>
  <si>
    <t>34 614 76 14 35</t>
  </si>
  <si>
    <t>E0867</t>
  </si>
  <si>
    <t>JUAN HUMBERTO ROSALES BAZAN</t>
  </si>
  <si>
    <t>54 9 261 666 8702</t>
  </si>
  <si>
    <t>E1344</t>
  </si>
  <si>
    <t>JUAN ISRAEL BARONA NARVAEZ</t>
  </si>
  <si>
    <t>34 602 65 04 81</t>
  </si>
  <si>
    <t>E1071</t>
  </si>
  <si>
    <t>JUAN JESUS BARRANCA URIBE</t>
  </si>
  <si>
    <t>+51948776851</t>
  </si>
  <si>
    <t>E0957</t>
  </si>
  <si>
    <t>JUAN MANUEL CIRO</t>
  </si>
  <si>
    <t>57 315 7616621</t>
  </si>
  <si>
    <t>E0799</t>
  </si>
  <si>
    <t>JUAN MANUEL LOZADA GOICOCHEA</t>
  </si>
  <si>
    <t>+51 959 562 802</t>
  </si>
  <si>
    <t>E1845</t>
  </si>
  <si>
    <t>JUAN OMAR ORDINOLA AGURTO</t>
  </si>
  <si>
    <t>124468814</t>
  </si>
  <si>
    <t>+51 965 011 693</t>
  </si>
  <si>
    <t>E0604</t>
  </si>
  <si>
    <t>JUAN PABLO ABACA</t>
  </si>
  <si>
    <t>AAF441176</t>
  </si>
  <si>
    <t>+685 42 49 67</t>
  </si>
  <si>
    <t>E0568</t>
  </si>
  <si>
    <t>JUAN PABLO NINA CHACON</t>
  </si>
  <si>
    <t>+51 958 904 922</t>
  </si>
  <si>
    <t>E1894</t>
  </si>
  <si>
    <t>JUAN PABLO PENA ZAPATA</t>
  </si>
  <si>
    <t>BG252662</t>
  </si>
  <si>
    <t>+34 614 77 29 86</t>
  </si>
  <si>
    <t>E0770</t>
  </si>
  <si>
    <t>JUAN PABLO PORTILLA ZAMBRANO</t>
  </si>
  <si>
    <t>34 687 14 94 28</t>
  </si>
  <si>
    <t>E0314</t>
  </si>
  <si>
    <t>JUAN PABLO RODRIGUEZ CABALLERO</t>
  </si>
  <si>
    <t>+34 621 32 37 17</t>
  </si>
  <si>
    <t>E1726</t>
  </si>
  <si>
    <t>JUAN QUINTANA DE AVILA</t>
  </si>
  <si>
    <t>BF828969</t>
  </si>
  <si>
    <t>+34 614 314 443</t>
  </si>
  <si>
    <t>E1377</t>
  </si>
  <si>
    <t>JUAN RAUL GUIMAREY VARILLAS</t>
  </si>
  <si>
    <t>+34 626 17 31 66</t>
  </si>
  <si>
    <t>E0102</t>
  </si>
  <si>
    <t>JUAN SEBASTIAN GARCIA GARCIA</t>
  </si>
  <si>
    <t>BE654702</t>
  </si>
  <si>
    <t>+34 680 22 44 47</t>
  </si>
  <si>
    <t>E0962</t>
  </si>
  <si>
    <t>JUAN SEBASTIAN RODRIGUEZ URUETA</t>
  </si>
  <si>
    <t>+34 624 34 13 73</t>
  </si>
  <si>
    <t>E0333</t>
  </si>
  <si>
    <t>JULIAN ANDRES CASTRO ESCOBAR</t>
  </si>
  <si>
    <t>AW163691</t>
  </si>
  <si>
    <t>+34 602 51 68 10</t>
  </si>
  <si>
    <t>E2000</t>
  </si>
  <si>
    <t>JULIAN ANDRES LUCUMI CALERO</t>
  </si>
  <si>
    <t>BE800591</t>
  </si>
  <si>
    <t>+34 647 640 056</t>
  </si>
  <si>
    <t>E1885</t>
  </si>
  <si>
    <t>JULIAN ANDRES RODALLEGA RIVAS</t>
  </si>
  <si>
    <t>BF960523</t>
  </si>
  <si>
    <t>+34 624 56 44 42</t>
  </si>
  <si>
    <t>E1430</t>
  </si>
  <si>
    <t>JULIAN CAMILO MUÑOZ CADONA</t>
  </si>
  <si>
    <t>+57 304 616 8202</t>
  </si>
  <si>
    <t>E0306</t>
  </si>
  <si>
    <t>JULIAN EDUARDO AGUILAR</t>
  </si>
  <si>
    <t>BD515278</t>
  </si>
  <si>
    <t>+34 641 46 8032</t>
  </si>
  <si>
    <t>E0174</t>
  </si>
  <si>
    <t>JULIAN EDUARDO ARCO SAENZ</t>
  </si>
  <si>
    <t>BD581184</t>
  </si>
  <si>
    <t>+57 313 7644866</t>
  </si>
  <si>
    <t>E0716</t>
  </si>
  <si>
    <t>JULIAN EDUARDO YANES FAJARDO</t>
  </si>
  <si>
    <t>57 311 3056154</t>
  </si>
  <si>
    <t>E0369</t>
  </si>
  <si>
    <t>JULIAN ENRIQUE GUTIERREZ SALDAÑA</t>
  </si>
  <si>
    <t>AR328452</t>
  </si>
  <si>
    <t>+34 601 54 56 47</t>
  </si>
  <si>
    <t>E0941</t>
  </si>
  <si>
    <t>JULIAN FERNANDO MORALES AGUILAR</t>
  </si>
  <si>
    <t>+34 603 17 93 67</t>
  </si>
  <si>
    <t>E0440</t>
  </si>
  <si>
    <t>JULIAN FIGUEROA MORANTE</t>
  </si>
  <si>
    <t>+34 634 11 97 51</t>
  </si>
  <si>
    <t>E1276</t>
  </si>
  <si>
    <t>JULIAN HERNANDO VERA MERCADO</t>
  </si>
  <si>
    <t>34 655 71 88 22</t>
  </si>
  <si>
    <t>E2077</t>
  </si>
  <si>
    <t>JULIAN JAVIER PEARSON GUERRERO</t>
  </si>
  <si>
    <t>BC124318</t>
  </si>
  <si>
    <t>+34 613 68 99 72</t>
  </si>
  <si>
    <t>E0417</t>
  </si>
  <si>
    <t>JULIAN OSWALDO CAMACHO SALAZAR</t>
  </si>
  <si>
    <t>+57 320 7597807</t>
  </si>
  <si>
    <t>E2004</t>
  </si>
  <si>
    <t>JULIAN STIVEN RUBIO HERNANDEZ</t>
  </si>
  <si>
    <t>BH241924</t>
  </si>
  <si>
    <t>+57 314 215 8413</t>
  </si>
  <si>
    <t>E1092</t>
  </si>
  <si>
    <t>JULIO ALEXANDER CASTRO POLO</t>
  </si>
  <si>
    <t>+34 613 92 53 10</t>
  </si>
  <si>
    <t>E0410</t>
  </si>
  <si>
    <t>JULIO ALEXANDER TOVAR BAQUERO</t>
  </si>
  <si>
    <t>56 9 5440 1056</t>
  </si>
  <si>
    <t>E1025</t>
  </si>
  <si>
    <t>JULIO ANDRES ROCA FLOREZ</t>
  </si>
  <si>
    <t>321 2914648</t>
  </si>
  <si>
    <t>E0639</t>
  </si>
  <si>
    <t>JULIO CESAR ANTEQUERA ALMARALES</t>
  </si>
  <si>
    <t>BC071402</t>
  </si>
  <si>
    <t>+34 643 464 131</t>
  </si>
  <si>
    <t>E0912</t>
  </si>
  <si>
    <t>JULIO CESAR BOLIVAR TORRES</t>
  </si>
  <si>
    <t>34 631 45 29 94</t>
  </si>
  <si>
    <t>E0043</t>
  </si>
  <si>
    <t>JULIO CESAR CAICEDO BOLAÑOS</t>
  </si>
  <si>
    <t>AV991911</t>
  </si>
  <si>
    <t>+34 641 67 81 30</t>
  </si>
  <si>
    <t>E1546</t>
  </si>
  <si>
    <t>JULIO CESAR ELJACH BERROCAL</t>
  </si>
  <si>
    <t>57 321 630 1107</t>
  </si>
  <si>
    <t>E1547</t>
  </si>
  <si>
    <t>JULIO CESAR MANJARRES</t>
  </si>
  <si>
    <t>BG214517</t>
  </si>
  <si>
    <t>57 310 395 3235</t>
  </si>
  <si>
    <t>E1592</t>
  </si>
  <si>
    <t>JULIO CESAR OROZCO MEDINA</t>
  </si>
  <si>
    <t>+48 503 858 441</t>
  </si>
  <si>
    <t>E2039</t>
  </si>
  <si>
    <t>JULIO CESAR OSPINA MONTANEZ</t>
  </si>
  <si>
    <t>AU353313</t>
  </si>
  <si>
    <t>+57 311 213 8270</t>
  </si>
  <si>
    <t>E0375</t>
  </si>
  <si>
    <t>JULIO CESAR QUINTERO CHINCHILLA</t>
  </si>
  <si>
    <t>AY500106</t>
  </si>
  <si>
    <t>+34 624 75 36 43</t>
  </si>
  <si>
    <t>E1827</t>
  </si>
  <si>
    <t>JULIO CESAR VERA</t>
  </si>
  <si>
    <t>AS219875</t>
  </si>
  <si>
    <t>+57 313 351 9669</t>
  </si>
  <si>
    <t>E1067</t>
  </si>
  <si>
    <t>JULIO CESAR VERGARA DE AVILA</t>
  </si>
  <si>
    <t>57 316 352 0838</t>
  </si>
  <si>
    <t>E1068</t>
  </si>
  <si>
    <t>JULIO ENRIQUE ZAMBRANO SANCHEZ</t>
  </si>
  <si>
    <t>+34 678 62 04 19</t>
  </si>
  <si>
    <t>E1233</t>
  </si>
  <si>
    <t>JULIO ZAMBRANO</t>
  </si>
  <si>
    <t>+48 739 071 626</t>
  </si>
  <si>
    <t>E0963</t>
  </si>
  <si>
    <t>JURACY MOSQUERA DIAS</t>
  </si>
  <si>
    <t>E1012</t>
  </si>
  <si>
    <t>Jurandir Moreira</t>
  </si>
  <si>
    <t>351 960 344 280</t>
  </si>
  <si>
    <t>E0927</t>
  </si>
  <si>
    <t>JURGEN COGOLLO CUARTAS</t>
  </si>
  <si>
    <t>+57 314 5683109</t>
  </si>
  <si>
    <t>E1548</t>
  </si>
  <si>
    <t>JUSED CHAMORRO MENDEZ</t>
  </si>
  <si>
    <t>BF084398</t>
  </si>
  <si>
    <t>+34 663 74 87 61</t>
  </si>
  <si>
    <t>E2130</t>
  </si>
  <si>
    <t>JUSSED CHAMORRO MENDEZ</t>
  </si>
  <si>
    <t>+57 318 2231990</t>
  </si>
  <si>
    <t>E1121</t>
  </si>
  <si>
    <t>JUTAI MELO PEREIRA</t>
  </si>
  <si>
    <t>+55 22 99817-7361</t>
  </si>
  <si>
    <t>E1169</t>
  </si>
  <si>
    <t>JUVENAL DE LA ROSA GUERRERO</t>
  </si>
  <si>
    <t>+57 312 6825923</t>
  </si>
  <si>
    <t>E1320</t>
  </si>
  <si>
    <t>KAIQUI SANTOS DE SOUZA</t>
  </si>
  <si>
    <t>+351 935 116 197</t>
  </si>
  <si>
    <t>E0478</t>
  </si>
  <si>
    <t>KARLO CESAR COLONA CRUZ</t>
  </si>
  <si>
    <t>+51 959 894 018</t>
  </si>
  <si>
    <t>E1049</t>
  </si>
  <si>
    <t>KEVIN ANDRES ZUÑIGA MELO</t>
  </si>
  <si>
    <t>+34 687 53 57 02</t>
  </si>
  <si>
    <t>E0693</t>
  </si>
  <si>
    <t>KEVIN ELI CACERES SOLARI</t>
  </si>
  <si>
    <t>+51 901 748 296</t>
  </si>
  <si>
    <t>E0425</t>
  </si>
  <si>
    <t>KEVIN FRANKLYN LESCANO REYES</t>
  </si>
  <si>
    <t>122152513</t>
  </si>
  <si>
    <t>+51 950 349 025</t>
  </si>
  <si>
    <t>E0025</t>
  </si>
  <si>
    <t>KEVIN JOSE AVILA GALAN</t>
  </si>
  <si>
    <t>+57 318 2064631</t>
  </si>
  <si>
    <t>E0772</t>
  </si>
  <si>
    <t>KEVIN LISANDRO PINEDA LEIVA</t>
  </si>
  <si>
    <t>34 641 28 09 39</t>
  </si>
  <si>
    <t>E0584</t>
  </si>
  <si>
    <t>KEVIN STEVEN RAMIREZ CARDONA</t>
  </si>
  <si>
    <t>BD278070</t>
  </si>
  <si>
    <t>+57 302 602 4221</t>
  </si>
  <si>
    <t>E1983</t>
  </si>
  <si>
    <t>KEVIN VIDES MARTINEZ</t>
  </si>
  <si>
    <t>AY617531</t>
  </si>
  <si>
    <t>+48 10 866 973</t>
  </si>
  <si>
    <t>E0988</t>
  </si>
  <si>
    <t>KEWIN RAFAEL RUMBO YEPES</t>
  </si>
  <si>
    <t>AX138736</t>
  </si>
  <si>
    <t>+34 603 93 40 18</t>
  </si>
  <si>
    <t>E1963</t>
  </si>
  <si>
    <t>KEYLER JAVYD MERLANO CERVANTES</t>
  </si>
  <si>
    <t>BD910624</t>
  </si>
  <si>
    <t>+57 301 348 2327</t>
  </si>
  <si>
    <t>E0641</t>
  </si>
  <si>
    <t>KILDER ELBIS RAMIREZ SHUAN</t>
  </si>
  <si>
    <t>119233887</t>
  </si>
  <si>
    <t>+51 981 980 363</t>
  </si>
  <si>
    <t>E0832</t>
  </si>
  <si>
    <t>KILMER RAFAEL ALVAREZ GUZMAN</t>
  </si>
  <si>
    <t>48 502164 681</t>
  </si>
  <si>
    <t>E2132</t>
  </si>
  <si>
    <t>KLINSMANN ANDRE COLINA MARIN</t>
  </si>
  <si>
    <t>199016947</t>
  </si>
  <si>
    <t>+34 614 85 11 40</t>
  </si>
  <si>
    <t>E1175</t>
  </si>
  <si>
    <t>LACIDES SANCHEZ BADILLO</t>
  </si>
  <si>
    <t>+34 624 42 74 41</t>
  </si>
  <si>
    <t>E0413</t>
  </si>
  <si>
    <t>LAISNERS GALICIA MORALES</t>
  </si>
  <si>
    <t>+34 604 35 19 10</t>
  </si>
  <si>
    <t>E1347</t>
  </si>
  <si>
    <t>LEANDRO ANTONIO GONZALEZ BOLIBAR</t>
  </si>
  <si>
    <t>312 5494421</t>
  </si>
  <si>
    <t>E0668</t>
  </si>
  <si>
    <t>LEANDRO MATIAS ENCINA</t>
  </si>
  <si>
    <t>+34 675 764 898</t>
  </si>
  <si>
    <t>E0951</t>
  </si>
  <si>
    <t>LEANDRO RENDON ALVAREZ</t>
  </si>
  <si>
    <t>+57 312 2494719</t>
  </si>
  <si>
    <t>E0892</t>
  </si>
  <si>
    <t>LEANDRO VARGAS BETANCOURTH</t>
  </si>
  <si>
    <t>BE323689</t>
  </si>
  <si>
    <t>+34 635 19 34 56</t>
  </si>
  <si>
    <t>E0968</t>
  </si>
  <si>
    <t>LEIBINSON HINESTROZA MURILLO</t>
  </si>
  <si>
    <t>57 321 6721705</t>
  </si>
  <si>
    <t>E0281</t>
  </si>
  <si>
    <t>LEIDER PACHECO MENDOZA</t>
  </si>
  <si>
    <t>+34 610 66 82 97</t>
  </si>
  <si>
    <t>E1814</t>
  </si>
  <si>
    <t>LEISER DONCEL AVILA</t>
  </si>
  <si>
    <t>AY164114</t>
  </si>
  <si>
    <t>+34 603 998 524</t>
  </si>
  <si>
    <t>E1422</t>
  </si>
  <si>
    <t>LEIXER AUGUSTO RIVERO MUNIVE</t>
  </si>
  <si>
    <t>+57 316 456 6691</t>
  </si>
  <si>
    <t>E0259</t>
  </si>
  <si>
    <t>LENNER VICTOR RAMOS RUIZ</t>
  </si>
  <si>
    <t>124963283</t>
  </si>
  <si>
    <t>+51 973 592 831</t>
  </si>
  <si>
    <t>E1423</t>
  </si>
  <si>
    <t>LENNIN JESUS CANON CARDENAS</t>
  </si>
  <si>
    <t>+48 880 224 819</t>
  </si>
  <si>
    <t>E0051</t>
  </si>
  <si>
    <t>LEONARDO ALTUZARRA RODRIGUEZ</t>
  </si>
  <si>
    <t>AT625023</t>
  </si>
  <si>
    <t>+34 674 64 37 07</t>
  </si>
  <si>
    <t>E1813</t>
  </si>
  <si>
    <t>LEONARDO JAVIER RIOS CORREA</t>
  </si>
  <si>
    <t>BG918343</t>
  </si>
  <si>
    <t>+57 314 409 7399</t>
  </si>
  <si>
    <t>E1362</t>
  </si>
  <si>
    <t>LEONARDO SILVA LOPES</t>
  </si>
  <si>
    <t>351 934 113 326</t>
  </si>
  <si>
    <t>E1242</t>
  </si>
  <si>
    <t>LEWIS AGUSTIN BARBOZA HERRERA</t>
  </si>
  <si>
    <t>57 301 52 50 454</t>
  </si>
  <si>
    <t>E0488</t>
  </si>
  <si>
    <t>LIBARDO CABRERA SANCHEZ</t>
  </si>
  <si>
    <t>BD430880</t>
  </si>
  <si>
    <t>+57 319 431 4958</t>
  </si>
  <si>
    <t>E1959</t>
  </si>
  <si>
    <t>LUBERMI JOSE MIRANDA PEREZ</t>
  </si>
  <si>
    <t>175628915</t>
  </si>
  <si>
    <t>+34 611 367 218</t>
  </si>
  <si>
    <t>E0887</t>
  </si>
  <si>
    <t>LUCAS EZEQUIEL RODRIGUEZ</t>
  </si>
  <si>
    <t>+54 9 3571 573060</t>
  </si>
  <si>
    <t>E1314</t>
  </si>
  <si>
    <t>LUCAS SALES DE FARIA</t>
  </si>
  <si>
    <t>+351 966 504 537</t>
  </si>
  <si>
    <t>E1041</t>
  </si>
  <si>
    <t>LUCAS SANTOS DIONISIO</t>
  </si>
  <si>
    <t>351 964 240 161</t>
  </si>
  <si>
    <t>E0541</t>
  </si>
  <si>
    <t>LUCAS SEBASTIÃO CARDOSO</t>
  </si>
  <si>
    <t>GE998973</t>
  </si>
  <si>
    <t>351 937 288 429</t>
  </si>
  <si>
    <t>E1258</t>
  </si>
  <si>
    <t>LUCIANO LOPES DE ALMEIDA</t>
  </si>
  <si>
    <t>+351 926 221 965</t>
  </si>
  <si>
    <t>E1057</t>
  </si>
  <si>
    <t>LUCIANO PEREIRA DA SILVA</t>
  </si>
  <si>
    <t>31 6 87594831</t>
  </si>
  <si>
    <t>E0964</t>
  </si>
  <si>
    <t>LUCIANO RIVALDINO IRRAÇABAL</t>
  </si>
  <si>
    <t>34 624 04 07 79</t>
  </si>
  <si>
    <t>E1550</t>
  </si>
  <si>
    <t>LUCIO MODESTO BRAVO</t>
  </si>
  <si>
    <t>51 943 892 101</t>
  </si>
  <si>
    <t>E1804</t>
  </si>
  <si>
    <t>LUDWING ALBERTO FLECHAS HERNANDEZ</t>
  </si>
  <si>
    <t>BG037065</t>
  </si>
  <si>
    <t>+7 315 740 4653</t>
  </si>
  <si>
    <t>E0027</t>
  </si>
  <si>
    <t>LUIGUI ARMANDO QUINES GRANADOS</t>
  </si>
  <si>
    <t>L53418887</t>
  </si>
  <si>
    <t>+36 703 535 219</t>
  </si>
  <si>
    <t>E0564</t>
  </si>
  <si>
    <t>LUIS ALBERTO AMOROS SHUPINGAHUA</t>
  </si>
  <si>
    <t>+51 968 285 455</t>
  </si>
  <si>
    <t>E1681</t>
  </si>
  <si>
    <t>LUIS ALBERTO BUSTOS CALDERON</t>
  </si>
  <si>
    <t>BD253156</t>
  </si>
  <si>
    <t>+34 612 274 819</t>
  </si>
  <si>
    <t>E1866</t>
  </si>
  <si>
    <t>LUIS ALBERTO CAMARGO NINO</t>
  </si>
  <si>
    <t>BD965436</t>
  </si>
  <si>
    <t>+48 608 781 626</t>
  </si>
  <si>
    <t>E0913</t>
  </si>
  <si>
    <t>LUIS ALBERTO CATALAN MORENO</t>
  </si>
  <si>
    <t>48 663 687 579</t>
  </si>
  <si>
    <t>E0344</t>
  </si>
  <si>
    <t>LUIS ALBERTO DIAZ CLAVIJO</t>
  </si>
  <si>
    <t>AW680082</t>
  </si>
  <si>
    <t>+34 663 40 98 96</t>
  </si>
  <si>
    <t>E1266</t>
  </si>
  <si>
    <t>LUIS ALBERTO FUNEZ COLLAZOS</t>
  </si>
  <si>
    <t>+51 960 746 462</t>
  </si>
  <si>
    <t>E1931</t>
  </si>
  <si>
    <t>LUIS ALBERTO HERRERA CHAVARRO</t>
  </si>
  <si>
    <t>BH200470</t>
  </si>
  <si>
    <t>+57 323 989 8206</t>
  </si>
  <si>
    <t>E0131</t>
  </si>
  <si>
    <t>LUIS ALBERTO MARTINEZ BLANQUICETT</t>
  </si>
  <si>
    <t>AS472383</t>
  </si>
  <si>
    <t>+34 671 25 71 97</t>
  </si>
  <si>
    <t>E1203</t>
  </si>
  <si>
    <t>LUIS ALBERTO MIRANDA ESPINOZA</t>
  </si>
  <si>
    <t>+34 612 228 236</t>
  </si>
  <si>
    <t>E0066</t>
  </si>
  <si>
    <t>LUIS ALBERTO RAMIREZ PINEDO</t>
  </si>
  <si>
    <t>124194671</t>
  </si>
  <si>
    <t>+51 967 451 393</t>
  </si>
  <si>
    <t>E2092</t>
  </si>
  <si>
    <t>+34 612 23 17 29</t>
  </si>
  <si>
    <t>E0167</t>
  </si>
  <si>
    <t>LUIS ALBERTO SABOGAL OROZCO</t>
  </si>
  <si>
    <t>+34 614 43 66 48</t>
  </si>
  <si>
    <t>E1551</t>
  </si>
  <si>
    <t>LUIS ALBERTO SOTO ARANDA</t>
  </si>
  <si>
    <t>34 602498464</t>
  </si>
  <si>
    <t>E0228</t>
  </si>
  <si>
    <t>LUIS ALBERTO ZUÑIGA PEREZ</t>
  </si>
  <si>
    <t xml:space="preserve"> 48 575 464 943</t>
  </si>
  <si>
    <t>E0765</t>
  </si>
  <si>
    <t>LUIS ALEJANDRO ALVAREZ JOVEL</t>
  </si>
  <si>
    <t>+34 637 18 36 73</t>
  </si>
  <si>
    <t>E2044</t>
  </si>
  <si>
    <t>LUIS ALEJANDRO CORTES GONZALEZ</t>
  </si>
  <si>
    <t>AZ496657</t>
  </si>
  <si>
    <t>+57 313 545 9994</t>
  </si>
  <si>
    <t>E1942</t>
  </si>
  <si>
    <t>LUIS ALEXANDER SEPULVEDA GUERRERO</t>
  </si>
  <si>
    <t>BA378154</t>
  </si>
  <si>
    <t>+48 510 576141</t>
  </si>
  <si>
    <t>E0556</t>
  </si>
  <si>
    <t>LUIS ALFONSO BARRIOS GOMEZ</t>
  </si>
  <si>
    <t>+34 624 18 09 50</t>
  </si>
  <si>
    <t>E0708</t>
  </si>
  <si>
    <t>LUIS ALFONSO RIASCOS TORRES</t>
  </si>
  <si>
    <t>34 604 95 48 40</t>
  </si>
  <si>
    <t>E1785</t>
  </si>
  <si>
    <t>LUIS ALFREDO APONTE ANTON</t>
  </si>
  <si>
    <t>120219574</t>
  </si>
  <si>
    <t>+48 886 523 410</t>
  </si>
  <si>
    <t>E2127</t>
  </si>
  <si>
    <t>LUIS ALFREDO CONTRERA ROBLES</t>
  </si>
  <si>
    <t>BC849528</t>
  </si>
  <si>
    <t>+57 302 4160786</t>
  </si>
  <si>
    <t>E0833</t>
  </si>
  <si>
    <t>LUIS ALFREDO FIGUEROA</t>
  </si>
  <si>
    <t>48 789 733 583</t>
  </si>
  <si>
    <t>E1953</t>
  </si>
  <si>
    <t>LUIS ALFREDO MALAVER CARDENAS</t>
  </si>
  <si>
    <t>AZ522992</t>
  </si>
  <si>
    <t>+34 691 29 00 17</t>
  </si>
  <si>
    <t>E0514</t>
  </si>
  <si>
    <t>LUIS ALFREDO RODRIGUEZ HERNANDEZ</t>
  </si>
  <si>
    <t>+34 632 59 68 69</t>
  </si>
  <si>
    <t>E1893</t>
  </si>
  <si>
    <t>LUIS ANDRES MERCHAN VACA</t>
  </si>
  <si>
    <t>BF935652</t>
  </si>
  <si>
    <t>+57 320 9327281</t>
  </si>
  <si>
    <t>E1369</t>
  </si>
  <si>
    <t>LUIS ANGEL DIAZ RODRIGUEZ</t>
  </si>
  <si>
    <t>48 514 223 491</t>
  </si>
  <si>
    <t>E0879</t>
  </si>
  <si>
    <t>LUIS ANGEL TELLO GONZALES</t>
  </si>
  <si>
    <t>+51992373703</t>
  </si>
  <si>
    <t>E1552</t>
  </si>
  <si>
    <t>LUIS ANTONIO ORTEGA CRUZ</t>
  </si>
  <si>
    <t>34 627 97 75 98</t>
  </si>
  <si>
    <t>E2032</t>
  </si>
  <si>
    <t>LUIS ANTONIO SOTO VIDAL</t>
  </si>
  <si>
    <t>BE752545</t>
  </si>
  <si>
    <t>+57 310 880 3477</t>
  </si>
  <si>
    <t>E1089</t>
  </si>
  <si>
    <t>LUIS BANIER PAZ</t>
  </si>
  <si>
    <t>BF505527</t>
  </si>
  <si>
    <t>34 602 51 62 98</t>
  </si>
  <si>
    <t>E1873</t>
  </si>
  <si>
    <t>LUIS CARLOS CASTELLAR VILLARREAL</t>
  </si>
  <si>
    <t>BD792126</t>
  </si>
  <si>
    <t>+57 321 770 6088</t>
  </si>
  <si>
    <t>E1106</t>
  </si>
  <si>
    <t>LUIS CARLOS CASTRO ARBOLEDA</t>
  </si>
  <si>
    <t>+48 514 126 812</t>
  </si>
  <si>
    <t>E0095</t>
  </si>
  <si>
    <t>LUIS CARLOS PEREZ GONZALEZ</t>
  </si>
  <si>
    <t>BD982113</t>
  </si>
  <si>
    <t>57 318 2488241</t>
  </si>
  <si>
    <t>E0655</t>
  </si>
  <si>
    <t>LUIS CARLOS VILLALBA ACEVEDO</t>
  </si>
  <si>
    <t>573023691611</t>
  </si>
  <si>
    <t>E1048</t>
  </si>
  <si>
    <t>LUIS DANIEL REDONDO OBAGI</t>
  </si>
  <si>
    <t>+34 678 18 95 16</t>
  </si>
  <si>
    <t>E2099</t>
  </si>
  <si>
    <t>LUIS DIOMEDES RODRIGUEZ USTARIS</t>
  </si>
  <si>
    <t>AW715135</t>
  </si>
  <si>
    <t>+57 317 7080118</t>
  </si>
  <si>
    <t>E1336</t>
  </si>
  <si>
    <t>LUIS EDUARDO BRAGA TEIXEIRA VILELA VIDAL</t>
  </si>
  <si>
    <t>+351 961 738 515</t>
  </si>
  <si>
    <t>E0319</t>
  </si>
  <si>
    <t>LUIS EDUARDO PAREDES MUÑOZ</t>
  </si>
  <si>
    <t>AV717047</t>
  </si>
  <si>
    <t>+34 624 85 40 97</t>
  </si>
  <si>
    <t>E0289</t>
  </si>
  <si>
    <t>LUIS EDUARDO VALDEZ ELLES</t>
  </si>
  <si>
    <t>+34 603 16 63 61</t>
  </si>
  <si>
    <t>E1767</t>
  </si>
  <si>
    <t>LUIS EFRAIN ADRIANZEN MARCELO</t>
  </si>
  <si>
    <t>122272554</t>
  </si>
  <si>
    <t>+51 950 252 572</t>
  </si>
  <si>
    <t>E1207</t>
  </si>
  <si>
    <t>LUIS ENRIQUE GARRIDO CASTRO</t>
  </si>
  <si>
    <t>+58 4125126387</t>
  </si>
  <si>
    <t>E2116</t>
  </si>
  <si>
    <t>LUIS ENRIQUE LOPEZ CRESPO</t>
  </si>
  <si>
    <t>124286123</t>
  </si>
  <si>
    <t>+34 691 77 84 82</t>
  </si>
  <si>
    <t>E1987</t>
  </si>
  <si>
    <t>LUIS ENRIQUE MEDINA CASTRILLON</t>
  </si>
  <si>
    <t>+57 318 740 6095</t>
  </si>
  <si>
    <t>E1737</t>
  </si>
  <si>
    <t>LUIS ENRIQUE SILVA GAMBOA</t>
  </si>
  <si>
    <t>BG329270</t>
  </si>
  <si>
    <t>+34 655 410 174</t>
  </si>
  <si>
    <t>E0118</t>
  </si>
  <si>
    <t>LUIS FELIPE OSPINA GARCIA</t>
  </si>
  <si>
    <t>+34 675 81 50 85</t>
  </si>
  <si>
    <t>E2112</t>
  </si>
  <si>
    <t>LUIS FELIPE TRILLOS NAVARRO</t>
  </si>
  <si>
    <t>BA547454</t>
  </si>
  <si>
    <t>+34 667480913</t>
  </si>
  <si>
    <t>E0542</t>
  </si>
  <si>
    <t>LUIS FELIPE VALDERRAMA PALOMINO</t>
  </si>
  <si>
    <t>AW467681</t>
  </si>
  <si>
    <t>34 602 69 90 45</t>
  </si>
  <si>
    <t>E1705</t>
  </si>
  <si>
    <t>LUIS FERNANDO BENJUMEA ORTIZ</t>
  </si>
  <si>
    <t>BE724177</t>
  </si>
  <si>
    <t>+34 612 212 260</t>
  </si>
  <si>
    <t>E0498</t>
  </si>
  <si>
    <t>LUIS FERNANDO CAICEDO MOSQUERA</t>
  </si>
  <si>
    <t>AW916581</t>
  </si>
  <si>
    <t>+34 651 126 162</t>
  </si>
  <si>
    <t>E0852</t>
  </si>
  <si>
    <t>LUIS FERNANDO CUBILLOS SILVA</t>
  </si>
  <si>
    <t>57 300 2088214</t>
  </si>
  <si>
    <t>E1170</t>
  </si>
  <si>
    <t>LUIS FERNANDO DENIS BEJARANO</t>
  </si>
  <si>
    <t>+57 311 3821692</t>
  </si>
  <si>
    <t>E0046</t>
  </si>
  <si>
    <t>LUIS FERNANDO MARTINEZ MACOTT</t>
  </si>
  <si>
    <t>AR060146</t>
  </si>
  <si>
    <t>+39 380 597 7368</t>
  </si>
  <si>
    <t>E0837</t>
  </si>
  <si>
    <t>LUIS FERNANDO MELO PULIDO</t>
  </si>
  <si>
    <t>+57 313 2365483</t>
  </si>
  <si>
    <t>E1191</t>
  </si>
  <si>
    <t>LUIS FERNANDO RIVERA PUERTA</t>
  </si>
  <si>
    <t>BF526127</t>
  </si>
  <si>
    <t>+57 314 8865518</t>
  </si>
  <si>
    <t>E0099</t>
  </si>
  <si>
    <t>LUIS FERNANDO TOVAR LLAMOZA</t>
  </si>
  <si>
    <t>AS553748</t>
  </si>
  <si>
    <t>+34 600 385 601</t>
  </si>
  <si>
    <t>E1846</t>
  </si>
  <si>
    <t>LUIS FERNANDO VASQUEZ ALVARADO</t>
  </si>
  <si>
    <t>125422139</t>
  </si>
  <si>
    <t>+51 983 252 439</t>
  </si>
  <si>
    <t>E2011</t>
  </si>
  <si>
    <t>LUIS FRANCISCO BERNAL VELASQUEZ</t>
  </si>
  <si>
    <t>+57 316 378 9601</t>
  </si>
  <si>
    <t>E0374</t>
  </si>
  <si>
    <t>LUIS GABRIEL DE AVILA CASTELLON</t>
  </si>
  <si>
    <t>AZ918005</t>
  </si>
  <si>
    <t>+57 301 3959076</t>
  </si>
  <si>
    <t>E0857</t>
  </si>
  <si>
    <t>LUIS GONCALVES DA SILVA</t>
  </si>
  <si>
    <t>34 604 25 78 01</t>
  </si>
  <si>
    <t>E0992</t>
  </si>
  <si>
    <t>LUIS GONZAGA OSORIO MORENO</t>
  </si>
  <si>
    <t>+34 642 12 64 77</t>
  </si>
  <si>
    <t>E1881</t>
  </si>
  <si>
    <t>LUIS GUILLERMO ARTEAGA AGUDELO</t>
  </si>
  <si>
    <t>AZ847739</t>
  </si>
  <si>
    <t>+57 320 889 8811</t>
  </si>
  <si>
    <t>E1391</t>
  </si>
  <si>
    <t>LUIS GUILLERMO SANCHEZ LUQUE</t>
  </si>
  <si>
    <t>311 4611717</t>
  </si>
  <si>
    <t>E2014</t>
  </si>
  <si>
    <t>LUIS HERNANDO HINESTROZA VALENCIA</t>
  </si>
  <si>
    <t>AS782526</t>
  </si>
  <si>
    <t>+57 317 541 0495</t>
  </si>
  <si>
    <t>E1229</t>
  </si>
  <si>
    <t>LUIS HERNANDO LOPEZ MUÑOZ</t>
  </si>
  <si>
    <t>BC208108</t>
  </si>
  <si>
    <t>+57 310 3863880</t>
  </si>
  <si>
    <t>E0829</t>
  </si>
  <si>
    <t>LUIS JAVIER SERPA ENRIQUE</t>
  </si>
  <si>
    <t>+48 793 172 590</t>
  </si>
  <si>
    <t>E1081</t>
  </si>
  <si>
    <t>LUIS JAVIER ZAMORA CANACHE</t>
  </si>
  <si>
    <t>186052538</t>
  </si>
  <si>
    <t>+34 614 660 484</t>
  </si>
  <si>
    <t>E1553</t>
  </si>
  <si>
    <t>LUIS LEONARDO SALAMANCA ARIAS</t>
  </si>
  <si>
    <t>34 687 347 538</t>
  </si>
  <si>
    <t>E1142</t>
  </si>
  <si>
    <t>LUIS MANUEL ACOSTA FLOREZ</t>
  </si>
  <si>
    <t>57 316 4754583</t>
  </si>
  <si>
    <t>E0838</t>
  </si>
  <si>
    <t>LUIS MANUEL MEJIA AYALA</t>
  </si>
  <si>
    <t>123566219</t>
  </si>
  <si>
    <t>34641024451</t>
  </si>
  <si>
    <t>E1141</t>
  </si>
  <si>
    <t>LUIS MANUEL PEREZ MAESTRE</t>
  </si>
  <si>
    <t>57 301 4661693</t>
  </si>
  <si>
    <t>E1269</t>
  </si>
  <si>
    <t>LUIS MANUEL SALCEDO VITOLA</t>
  </si>
  <si>
    <t>BA249063</t>
  </si>
  <si>
    <t>+57 301 738 8915</t>
  </si>
  <si>
    <t>E0774</t>
  </si>
  <si>
    <t>LUIS MARCO YUGSI GUANOTUÑA</t>
  </si>
  <si>
    <t>34 615 36 46 95</t>
  </si>
  <si>
    <t>E1919</t>
  </si>
  <si>
    <t>LUIS MAURICIO RANGEL MENESES</t>
  </si>
  <si>
    <t>AZ182023</t>
  </si>
  <si>
    <t>+48 785 488 231</t>
  </si>
  <si>
    <t>E1247</t>
  </si>
  <si>
    <t>LUIS MERCEDES VILLALTA SUAREZ</t>
  </si>
  <si>
    <t>+34 634 98 81 31</t>
  </si>
  <si>
    <t>E0684</t>
  </si>
  <si>
    <t>LUIS MIGUEL BELEÑO NAVARRO</t>
  </si>
  <si>
    <t>AV643450</t>
  </si>
  <si>
    <t>+34 627 78 74 80</t>
  </si>
  <si>
    <t>E0549</t>
  </si>
  <si>
    <t>LUIS MIGUEL DIAZ GUTIERREZ</t>
  </si>
  <si>
    <t>BA183587</t>
  </si>
  <si>
    <t>+57 318 8908811</t>
  </si>
  <si>
    <t>E1385</t>
  </si>
  <si>
    <t>LUIS MIGUEL SANABRIA LOZANO</t>
  </si>
  <si>
    <t>+57 300 3755363</t>
  </si>
  <si>
    <t>E0258</t>
  </si>
  <si>
    <t>LUIS MIGUEL VEGA FUENTES</t>
  </si>
  <si>
    <t>BF200929</t>
  </si>
  <si>
    <t>+57 304 2911920</t>
  </si>
  <si>
    <t>E1122</t>
  </si>
  <si>
    <t>LUIS RICARDO MUÑOZ</t>
  </si>
  <si>
    <t>34 623 20 16 66</t>
  </si>
  <si>
    <t>E1862</t>
  </si>
  <si>
    <t>LUIS SAUL ARIAS NAVA</t>
  </si>
  <si>
    <t>AZ096008</t>
  </si>
  <si>
    <t>+34 611 340 907</t>
  </si>
  <si>
    <t>E0793</t>
  </si>
  <si>
    <t>LUIS YEISON GUERRERO GOMEZ</t>
  </si>
  <si>
    <t>+34 603 91 20 47</t>
  </si>
  <si>
    <t>E1042</t>
  </si>
  <si>
    <t>LUIZ CLAUDIO DE SOUZA JUNIOR</t>
  </si>
  <si>
    <t>351 963 813 650</t>
  </si>
  <si>
    <t>E1359</t>
  </si>
  <si>
    <t>LUIZ GUILHERME AMARAL ALVES</t>
  </si>
  <si>
    <t>FS708526</t>
  </si>
  <si>
    <t>34 634 14 85 34</t>
  </si>
  <si>
    <t>E0805</t>
  </si>
  <si>
    <t>LUIZ HENRIQUE LIMA  DOS SANTOS</t>
  </si>
  <si>
    <t>34 624 65 10 45</t>
  </si>
  <si>
    <t>E1326</t>
  </si>
  <si>
    <t>LUIZ PAULO PONCIANO DA SILVA</t>
  </si>
  <si>
    <t>+351 914 079 876</t>
  </si>
  <si>
    <t>E1745</t>
  </si>
  <si>
    <t>LUYSMER DAVID PEÑARANDA CABRERA</t>
  </si>
  <si>
    <t>BA640674</t>
  </si>
  <si>
    <t>+48 796363061</t>
  </si>
  <si>
    <t>E1123</t>
  </si>
  <si>
    <t>MACIEL DE OLIVEIRA LAGARES</t>
  </si>
  <si>
    <t>+351 912 038 209</t>
  </si>
  <si>
    <t>E1013</t>
  </si>
  <si>
    <t>MACLEI MELO DE MENEZES</t>
  </si>
  <si>
    <t>351 910 266 661</t>
  </si>
  <si>
    <t>E0965</t>
  </si>
  <si>
    <t>MACSANDRO BAIA DIAS</t>
  </si>
  <si>
    <t>E1554</t>
  </si>
  <si>
    <t>MAGNO GOMES GUIMARÃES</t>
  </si>
  <si>
    <t>351 968 537 568</t>
  </si>
  <si>
    <t>E1438</t>
  </si>
  <si>
    <t>MAGUEY MAURICIO MUÑOZ CARDENAS</t>
  </si>
  <si>
    <t>AT899565</t>
  </si>
  <si>
    <t>+48666730605</t>
  </si>
  <si>
    <t>E0819</t>
  </si>
  <si>
    <t>MAICON MARTINS NEVES</t>
  </si>
  <si>
    <t>E1928</t>
  </si>
  <si>
    <t>MANUEL ANTONIO AHUMADA LEON</t>
  </si>
  <si>
    <t>AU826158</t>
  </si>
  <si>
    <t>+57 310 317 1136</t>
  </si>
  <si>
    <t>E0841</t>
  </si>
  <si>
    <t>MANUEL FERNANDO NARANJO QUINTANA</t>
  </si>
  <si>
    <t>+57 311 2130352</t>
  </si>
  <si>
    <t>E1899</t>
  </si>
  <si>
    <t>MANUEL FRANCISCO DE LA HOZ PEREZ</t>
  </si>
  <si>
    <t>AX680462</t>
  </si>
  <si>
    <t>+34 637 15 91 61</t>
  </si>
  <si>
    <t>E1243</t>
  </si>
  <si>
    <t>MANUEL MACIAS BALANTA</t>
  </si>
  <si>
    <t>48 575 328 739</t>
  </si>
  <si>
    <t>E0287</t>
  </si>
  <si>
    <t>MANUEL SALVADOR ORTEGA SANCHEZ</t>
  </si>
  <si>
    <t>+57 300 8385983</t>
  </si>
  <si>
    <t>E1797</t>
  </si>
  <si>
    <t>MANUEL TCHIMBINJA GOMBACASSI</t>
  </si>
  <si>
    <t>N2730592</t>
  </si>
  <si>
    <t>+351 925 566 723</t>
  </si>
  <si>
    <t>E1555</t>
  </si>
  <si>
    <t>MANUEL ZAMBRANO BECOCHE</t>
  </si>
  <si>
    <t>57 3173512873</t>
  </si>
  <si>
    <t>E0727</t>
  </si>
  <si>
    <t>MARCELO ALEJANDRO GUEVARA</t>
  </si>
  <si>
    <t>+34 652 36 42 28</t>
  </si>
  <si>
    <t>E1910</t>
  </si>
  <si>
    <t>MARCELO ALEJANDRO ROJAS CARRASCO</t>
  </si>
  <si>
    <t>F42398050</t>
  </si>
  <si>
    <t>+34 602 717 080</t>
  </si>
  <si>
    <t>E1116</t>
  </si>
  <si>
    <t>MARCELO ALVES DA SILVA</t>
  </si>
  <si>
    <t>351 911 182 890</t>
  </si>
  <si>
    <t>E0704</t>
  </si>
  <si>
    <t>MARCELO CORDEIRO DE SOUSA NARCIZO</t>
  </si>
  <si>
    <t>+351 914 657 028</t>
  </si>
  <si>
    <t>E2117</t>
  </si>
  <si>
    <t>MARCELO JAVIER GARCIA RUIZ DIAZ</t>
  </si>
  <si>
    <t>A119903</t>
  </si>
  <si>
    <t>+595 987 250660</t>
  </si>
  <si>
    <t>E1339</t>
  </si>
  <si>
    <t>MARCELO NASCIMENTO COSME</t>
  </si>
  <si>
    <t>+351 933 159 594</t>
  </si>
  <si>
    <t>pendiente baja</t>
  </si>
  <si>
    <t>E1043</t>
  </si>
  <si>
    <t>MARCELO PEREIRA DA SILVA</t>
  </si>
  <si>
    <t>351 927 536 952</t>
  </si>
  <si>
    <t>E1267</t>
  </si>
  <si>
    <t>MARCIAL RAUL ANCO GONZALES</t>
  </si>
  <si>
    <t>+51 935 040 908</t>
  </si>
  <si>
    <t>E0757</t>
  </si>
  <si>
    <t>MARCIANO SOARES LOPES</t>
  </si>
  <si>
    <t>+351 936 730 700</t>
  </si>
  <si>
    <t>E1014</t>
  </si>
  <si>
    <t>MARCIO ADRIANO LACERDA</t>
  </si>
  <si>
    <t>351 915 536 594</t>
  </si>
  <si>
    <t>E1044</t>
  </si>
  <si>
    <t>MARCIO ANDRÉ RODRIGUES MENDES</t>
  </si>
  <si>
    <t>351 939 899 398</t>
  </si>
  <si>
    <t>E2085</t>
  </si>
  <si>
    <t>MARCO ALEXIS VILLAMIL SUAREZ</t>
  </si>
  <si>
    <t>AZ602014</t>
  </si>
  <si>
    <t>34604110400</t>
  </si>
  <si>
    <t>E0373</t>
  </si>
  <si>
    <t>MARCO ANTONIO CRISTOBAL CALERO</t>
  </si>
  <si>
    <t>122499343</t>
  </si>
  <si>
    <t>+51 964 792 231</t>
  </si>
  <si>
    <t>E0569</t>
  </si>
  <si>
    <t>MARCO ANTONIO ROJAS CARBAJAL</t>
  </si>
  <si>
    <t>+51 980 832 235</t>
  </si>
  <si>
    <t>E1793</t>
  </si>
  <si>
    <t>MARCO ANTONIO VALERO MEDINA</t>
  </si>
  <si>
    <t>AS435577</t>
  </si>
  <si>
    <t>+57 310 4978327</t>
  </si>
  <si>
    <t>E0950</t>
  </si>
  <si>
    <t>MARCOS DA SILVA TEOTONIO</t>
  </si>
  <si>
    <t>351 964 222 333</t>
  </si>
  <si>
    <t>E1556</t>
  </si>
  <si>
    <t>MARCOS RAFAEL CASANI VALDEZ</t>
  </si>
  <si>
    <t>124927629</t>
  </si>
  <si>
    <t>51 973 696 512</t>
  </si>
  <si>
    <t>E0217</t>
  </si>
  <si>
    <t>MARCOS ROBERTO GOMES FREITAS</t>
  </si>
  <si>
    <t>CE203697</t>
  </si>
  <si>
    <t>+351 914 037 981</t>
  </si>
  <si>
    <t>E1265</t>
  </si>
  <si>
    <t>MARCOS VINICIUS SAMUEL PEREIRA</t>
  </si>
  <si>
    <t>351 912 314 553</t>
  </si>
  <si>
    <t>E0121</t>
  </si>
  <si>
    <t>MARIANO CERON MUÑOZ</t>
  </si>
  <si>
    <t>57 315 8857444</t>
  </si>
  <si>
    <t>E0667</t>
  </si>
  <si>
    <t>MARIANO EZEQUIEL ENCINA</t>
  </si>
  <si>
    <t>+54 934 124 28744</t>
  </si>
  <si>
    <t>E2035</t>
  </si>
  <si>
    <t>MARIANO ONIAS TENORIO GALLO</t>
  </si>
  <si>
    <t>BG342451</t>
  </si>
  <si>
    <t>+57 314 628 4842</t>
  </si>
  <si>
    <t>E0505</t>
  </si>
  <si>
    <t>MARIO ALEXANDER PEÑALOZA GARCIA</t>
  </si>
  <si>
    <t>AZ475234</t>
  </si>
  <si>
    <t>+48 663 545 495</t>
  </si>
  <si>
    <t>E1440</t>
  </si>
  <si>
    <t>MARIO ANDRES SUAREZ ACOSTA</t>
  </si>
  <si>
    <t>BG213301</t>
  </si>
  <si>
    <t>+573128085855</t>
  </si>
  <si>
    <t>E1917</t>
  </si>
  <si>
    <t>MARIO ANTONIO HERRERA ORTEGA</t>
  </si>
  <si>
    <t>BC899690</t>
  </si>
  <si>
    <t>+57 310 652 7649</t>
  </si>
  <si>
    <t>Kotrik Rosas, Unipessoal LDA</t>
  </si>
  <si>
    <t>E1836</t>
  </si>
  <si>
    <t>MARIO ENRIQUE CHANTRE CALAMBAS</t>
  </si>
  <si>
    <t>BA465324</t>
  </si>
  <si>
    <t>+48 781 572 854</t>
  </si>
  <si>
    <t>E0906</t>
  </si>
  <si>
    <t>MARIO FAIMAR NAVEROS GARAY</t>
  </si>
  <si>
    <t>57 314 8843223</t>
  </si>
  <si>
    <t>E0467</t>
  </si>
  <si>
    <t>MARIO FERNANDO ALBERCA PUICON</t>
  </si>
  <si>
    <t>122415866</t>
  </si>
  <si>
    <t>+34 666 49 47 44</t>
  </si>
  <si>
    <t>E2016</t>
  </si>
  <si>
    <t>MARIO LUIS FERNANDO PEDEMONTE RUIZ</t>
  </si>
  <si>
    <t>125082456</t>
  </si>
  <si>
    <t>+51 972 539 434</t>
  </si>
  <si>
    <t>E0471</t>
  </si>
  <si>
    <t>MARIO PEÑA HERNANDEZ</t>
  </si>
  <si>
    <t>BD837578</t>
  </si>
  <si>
    <t>+34 643 32 25 72</t>
  </si>
  <si>
    <t>E1102</t>
  </si>
  <si>
    <t>MARISVALDO RODRIGUES DA SILVA</t>
  </si>
  <si>
    <t>E1327</t>
  </si>
  <si>
    <t>MARLLON SALES DE FARIA</t>
  </si>
  <si>
    <t>+351 912 056 724</t>
  </si>
  <si>
    <t>E1557</t>
  </si>
  <si>
    <t>MARLO CESAR CASTILLO SILUPU</t>
  </si>
  <si>
    <t>51 948 279 902</t>
  </si>
  <si>
    <t>E1558</t>
  </si>
  <si>
    <t>MARLON BUJATO SILVERA</t>
  </si>
  <si>
    <t>49 176 75960342</t>
  </si>
  <si>
    <t>E1692</t>
  </si>
  <si>
    <t>MARLON HJALMAR MEDINA MIQUILENA</t>
  </si>
  <si>
    <t>146552926</t>
  </si>
  <si>
    <t>+33 759 776 514</t>
  </si>
  <si>
    <t>E1363</t>
  </si>
  <si>
    <t>MARLON RICARDO CERQUEIRA</t>
  </si>
  <si>
    <t>351 964 917 998</t>
  </si>
  <si>
    <t>E0366</t>
  </si>
  <si>
    <t>MARLON SERNA URBANO</t>
  </si>
  <si>
    <t>BC783911</t>
  </si>
  <si>
    <t>+34 722 44 70 99</t>
  </si>
  <si>
    <t>E1941</t>
  </si>
  <si>
    <t>MARLON STIVEN MOLANO CARDONA</t>
  </si>
  <si>
    <t>BD617127</t>
  </si>
  <si>
    <t>+57 321 2743756</t>
  </si>
  <si>
    <t>E1163</t>
  </si>
  <si>
    <t>MARLUCIA MENDONÇA CORREIA</t>
  </si>
  <si>
    <t>E0521</t>
  </si>
  <si>
    <t>MARTIN ALONSO SEGURA BENITEZ</t>
  </si>
  <si>
    <t>+57 321 6989117</t>
  </si>
  <si>
    <t>E0246</t>
  </si>
  <si>
    <t>MARTIN CAMILO SUAREZ BARRERA</t>
  </si>
  <si>
    <t>AU574938</t>
  </si>
  <si>
    <t>+351 920 762 889</t>
  </si>
  <si>
    <t>E0607</t>
  </si>
  <si>
    <t>MARTIN FRANCISCO ABACA</t>
  </si>
  <si>
    <t>AAH262127</t>
  </si>
  <si>
    <t>+34 606 71 75 46</t>
  </si>
  <si>
    <t>E0586</t>
  </si>
  <si>
    <t>MARTINIANO ALFONSO DEANTONIO</t>
  </si>
  <si>
    <t>+34 613 80 13 20</t>
  </si>
  <si>
    <t>E1727</t>
  </si>
  <si>
    <t>MATEO CANTILLO PAYARES</t>
  </si>
  <si>
    <t>AX242434</t>
  </si>
  <si>
    <t>+57 321 8268850</t>
  </si>
  <si>
    <t>E1338</t>
  </si>
  <si>
    <t>MATHEUS ALVES BARBOSA CASTRO</t>
  </si>
  <si>
    <t>+351 925 524 386</t>
  </si>
  <si>
    <t>E1328</t>
  </si>
  <si>
    <t>MATHEUS FERREIRA DE OLIVEIRA</t>
  </si>
  <si>
    <t>+351 924 919 839</t>
  </si>
  <si>
    <t>E1638</t>
  </si>
  <si>
    <t>MATHEUS RODRIGUES JOSE</t>
  </si>
  <si>
    <t>34 632 01 86 57</t>
  </si>
  <si>
    <t>E1361</t>
  </si>
  <si>
    <t>MATHIOUNE DIOP DIOP</t>
  </si>
  <si>
    <t>34 602 80 81 45</t>
  </si>
  <si>
    <t>E1100</t>
  </si>
  <si>
    <t>MAURI ANTONIO VICENTINI</t>
  </si>
  <si>
    <t>351 910 602 108</t>
  </si>
  <si>
    <t>E0644</t>
  </si>
  <si>
    <t>MAURICIO ALVAREZ NIEVA</t>
  </si>
  <si>
    <t>+57 317 248 1783</t>
  </si>
  <si>
    <t>E0945</t>
  </si>
  <si>
    <t>MAURICIO ANDRADE VIAFARA</t>
  </si>
  <si>
    <t>+34 632 11 13 49</t>
  </si>
  <si>
    <t>E0996</t>
  </si>
  <si>
    <t>MAURICIO FIUZA DA CRUZ CARVALHO</t>
  </si>
  <si>
    <t>351 911946575</t>
  </si>
  <si>
    <t>E0575</t>
  </si>
  <si>
    <t>MAURICIO GIRALDO VILLALBA</t>
  </si>
  <si>
    <t>+57 315 6664631</t>
  </si>
  <si>
    <t>E0207</t>
  </si>
  <si>
    <t>MAURICIO MORALES OCAMPO</t>
  </si>
  <si>
    <t>BD660807</t>
  </si>
  <si>
    <t>+57 300 5968298</t>
  </si>
  <si>
    <t>E1734</t>
  </si>
  <si>
    <t>MAURICIO ORTIZ CONTRERAS</t>
  </si>
  <si>
    <t>BE243759</t>
  </si>
  <si>
    <t>+34 688 67 68 32</t>
  </si>
  <si>
    <t>E1871</t>
  </si>
  <si>
    <t>MAURICIO TELLO RODRIGUEZ</t>
  </si>
  <si>
    <t>BG271851</t>
  </si>
  <si>
    <t>+34 625 394 098</t>
  </si>
  <si>
    <t>E0147</t>
  </si>
  <si>
    <t>MAURICIO TORO RAMIREZ</t>
  </si>
  <si>
    <t>AW779699</t>
  </si>
  <si>
    <t>+48 572 963 690</t>
  </si>
  <si>
    <t>E2108</t>
  </si>
  <si>
    <t>MAURO ADOLFO PLAZAS GUTIERREZ</t>
  </si>
  <si>
    <t>AW662700</t>
  </si>
  <si>
    <t>+57 313 5422842</t>
  </si>
  <si>
    <t>E0839</t>
  </si>
  <si>
    <t>MAX ALEX MELENDREZ CAYOTOPA</t>
  </si>
  <si>
    <t>34 624 5064 42</t>
  </si>
  <si>
    <t>E1559</t>
  </si>
  <si>
    <t>MAYKOL GUILLERMO MAESTRE PEREIRA</t>
  </si>
  <si>
    <t>57 310 6172146</t>
  </si>
  <si>
    <t>E1262</t>
  </si>
  <si>
    <t>MEIKER SADAINER OVIEDO CANCHILA</t>
  </si>
  <si>
    <t>+48 502 227 545</t>
  </si>
  <si>
    <t>E0003</t>
  </si>
  <si>
    <t>MELBIN JULIO ALBOR SUAREZ</t>
  </si>
  <si>
    <t>AX287058</t>
  </si>
  <si>
    <t>+48 665 972 933</t>
  </si>
  <si>
    <t>E2005</t>
  </si>
  <si>
    <t>MELVIN DANIEL TRIANA SIERRA</t>
  </si>
  <si>
    <t>+57 315 543 0653</t>
  </si>
  <si>
    <t>E1994</t>
  </si>
  <si>
    <t>MICHAEL ANDRES AHUMADA RUBIO</t>
  </si>
  <si>
    <t>BH210996</t>
  </si>
  <si>
    <t>+57 318 878 1448</t>
  </si>
  <si>
    <t>E1639</t>
  </si>
  <si>
    <t>MICHAEL ANDRES PIZARRO LUNA</t>
  </si>
  <si>
    <t>AZ157920</t>
  </si>
  <si>
    <t>57 300 791 4090</t>
  </si>
  <si>
    <t>E0979</t>
  </si>
  <si>
    <t>MICHAEL GEORGE DE OLIVEIRA MATOS</t>
  </si>
  <si>
    <t>55 71 9152-7166</t>
  </si>
  <si>
    <t>E1261</t>
  </si>
  <si>
    <t>MICHAEL LUIZ DE FREITAS</t>
  </si>
  <si>
    <t>+351 913 743 530</t>
  </si>
  <si>
    <t>E0883</t>
  </si>
  <si>
    <t>MICHAEL SANDOVAL CAMARGO</t>
  </si>
  <si>
    <t>+ 48 605 073 659</t>
  </si>
  <si>
    <t>E1230</t>
  </si>
  <si>
    <t>MICHAEL YESID CUBILLOS CORTES</t>
  </si>
  <si>
    <t>AY032976</t>
  </si>
  <si>
    <t>+57 314 4572594</t>
  </si>
  <si>
    <t>E2102</t>
  </si>
  <si>
    <t>MICHAEL ZUNIGA PIMIENTA</t>
  </si>
  <si>
    <t>+57 302 3941337</t>
  </si>
  <si>
    <t>E0640</t>
  </si>
  <si>
    <t>MIGUEL ALEXANDER LEON ORTIZ</t>
  </si>
  <si>
    <t>+34 617 451 092</t>
  </si>
  <si>
    <t>E0464</t>
  </si>
  <si>
    <t>MIGUEL ANGEL ARCAYA NORIEGA</t>
  </si>
  <si>
    <t>123850723</t>
  </si>
  <si>
    <t>+51 942 03 6843</t>
  </si>
  <si>
    <t>E0780</t>
  </si>
  <si>
    <t>MIGUEL ANGEL CHUQUIZAPON VASQUEZ</t>
  </si>
  <si>
    <t>123871649</t>
  </si>
  <si>
    <t>+34 607 77 60 66</t>
  </si>
  <si>
    <t>E1849</t>
  </si>
  <si>
    <t>MIGUEL ANGEL GARCIA CASTRO</t>
  </si>
  <si>
    <t>BF679853</t>
  </si>
  <si>
    <t>+34 607 73 25 38</t>
  </si>
  <si>
    <t>E0282</t>
  </si>
  <si>
    <t>MIGUEL ANGEL LLINAS DE LA ROSA</t>
  </si>
  <si>
    <t>BC533068</t>
  </si>
  <si>
    <t>+34 632 07 88 72</t>
  </si>
  <si>
    <t>E0485</t>
  </si>
  <si>
    <t>MIGUEL ANGEL MARTINEZ CHAVEZ</t>
  </si>
  <si>
    <t>+57 301 2377158</t>
  </si>
  <si>
    <t>E1560</t>
  </si>
  <si>
    <t>MIGUEL ANGEL MARTINEZ ISAZA</t>
  </si>
  <si>
    <t>57 310 6307581</t>
  </si>
  <si>
    <t>E0218</t>
  </si>
  <si>
    <t>MIGUEL ANGEL NUNEZ PADILLA</t>
  </si>
  <si>
    <t>124444934</t>
  </si>
  <si>
    <t>+51 938 849 857</t>
  </si>
  <si>
    <t>E1393</t>
  </si>
  <si>
    <t>MIGUEL ANGEL ORTIZ LEON</t>
  </si>
  <si>
    <t>E0480</t>
  </si>
  <si>
    <t>MIGUEL FERNANDO OLARTE PRADILLA</t>
  </si>
  <si>
    <t>+34 603 85 84 80</t>
  </si>
  <si>
    <t>E1561</t>
  </si>
  <si>
    <t>MIGUEL RICARDO URTEAGA GARCÍA</t>
  </si>
  <si>
    <t>124174008</t>
  </si>
  <si>
    <t>34 687 055 177</t>
  </si>
  <si>
    <t>E0479</t>
  </si>
  <si>
    <t>MIGUEL SUMIRE ROA</t>
  </si>
  <si>
    <t>223146797</t>
  </si>
  <si>
    <t>+51 929 861 515</t>
  </si>
  <si>
    <t>E0566</t>
  </si>
  <si>
    <t>MIJAEL CESAR JIMENEZ FERNANDEZ</t>
  </si>
  <si>
    <t>+51 932 767 194</t>
  </si>
  <si>
    <t>E0792</t>
  </si>
  <si>
    <t>MILTHON WALTER PORRAS JIMENEZ</t>
  </si>
  <si>
    <t>+51 982 067 856</t>
  </si>
  <si>
    <t>E0734</t>
  </si>
  <si>
    <t>MILTON ANDRES HERNANDEZ OSORIO</t>
  </si>
  <si>
    <t>57 310 7504802</t>
  </si>
  <si>
    <t>E0019</t>
  </si>
  <si>
    <t>MILTON CESAR DIAZ GIL</t>
  </si>
  <si>
    <t>AR342209</t>
  </si>
  <si>
    <t>+57 305 3649125</t>
  </si>
  <si>
    <t>E1752</t>
  </si>
  <si>
    <t>MILTON DAVID MORALES LEITON</t>
  </si>
  <si>
    <t>AS403899</t>
  </si>
  <si>
    <t>+57 314 874 6230</t>
  </si>
  <si>
    <t>E0392</t>
  </si>
  <si>
    <t>MILTON DAVID SOSA PALLAS</t>
  </si>
  <si>
    <t>D736368</t>
  </si>
  <si>
    <t>+34 613 20 83 86</t>
  </si>
  <si>
    <t>E0372</t>
  </si>
  <si>
    <t>MILTON ENRIQUE JIMENEZ ARDILA</t>
  </si>
  <si>
    <t>BE129257</t>
  </si>
  <si>
    <t>+48 736 352 410</t>
  </si>
  <si>
    <t>E0126</t>
  </si>
  <si>
    <t>MILTON JONATHAN OSORIO MARTINEZ</t>
  </si>
  <si>
    <t>+34 603 99 62 48</t>
  </si>
  <si>
    <t>E0204</t>
  </si>
  <si>
    <t>MILTON OMAR MEDINA PANTA</t>
  </si>
  <si>
    <t>L55211330</t>
  </si>
  <si>
    <t>+51 940 922 112</t>
  </si>
  <si>
    <t>E0686</t>
  </si>
  <si>
    <t>MILTON RAFAEL AGUAS CHAVES</t>
  </si>
  <si>
    <t>57 313 4201437</t>
  </si>
  <si>
    <t>E1828</t>
  </si>
  <si>
    <t>MILTON SAA MILLAN</t>
  </si>
  <si>
    <t>AX097064</t>
  </si>
  <si>
    <t>+48 505 407 099</t>
  </si>
  <si>
    <t>E2053</t>
  </si>
  <si>
    <t>MISAEL SUAREZ SIJONA</t>
  </si>
  <si>
    <t>BG942989</t>
  </si>
  <si>
    <t>+57 313 560 7427</t>
  </si>
  <si>
    <t>E0072</t>
  </si>
  <si>
    <t>MOACIR DA SILVA</t>
  </si>
  <si>
    <t>GD039378</t>
  </si>
  <si>
    <t>+351 933 158 912</t>
  </si>
  <si>
    <t>E1957</t>
  </si>
  <si>
    <t>MODESTO FERNANDEZ QUINTERO</t>
  </si>
  <si>
    <t>BG936744</t>
  </si>
  <si>
    <t>+57 313 776 0265</t>
  </si>
  <si>
    <t>E0652</t>
  </si>
  <si>
    <t>MOHAMED BOUSTILA</t>
  </si>
  <si>
    <t>+49 1521 2454920</t>
  </si>
  <si>
    <t>E0781</t>
  </si>
  <si>
    <t>MOISES CHAUX MUÑOZ</t>
  </si>
  <si>
    <t>+34 624 98 75 18</t>
  </si>
  <si>
    <t>E1228</t>
  </si>
  <si>
    <t>MOISES DAVID BENITEZ GOMEZ</t>
  </si>
  <si>
    <t>39 351 307 9239</t>
  </si>
  <si>
    <t>E1441</t>
  </si>
  <si>
    <t>MOISES ESTUPINAN SANCHEZ</t>
  </si>
  <si>
    <t>AU997006</t>
  </si>
  <si>
    <t>+573166701341</t>
  </si>
  <si>
    <t>E1321</t>
  </si>
  <si>
    <t>MOISES JOSÉ BARRETO ALMEIDA</t>
  </si>
  <si>
    <t>+351 932 013 977</t>
  </si>
  <si>
    <t>E2088</t>
  </si>
  <si>
    <t>MOISES MUNOZ ZAMBRANO</t>
  </si>
  <si>
    <t>BG866431</t>
  </si>
  <si>
    <t>+57 313 7141812</t>
  </si>
  <si>
    <t>E0603</t>
  </si>
  <si>
    <t>MOISES NUNES FERREIRA</t>
  </si>
  <si>
    <t>FZ734995</t>
  </si>
  <si>
    <t>+351 914 264 642</t>
  </si>
  <si>
    <t>E0423</t>
  </si>
  <si>
    <t>NASSER MOHAMAD MERES LUNA</t>
  </si>
  <si>
    <t>123446084</t>
  </si>
  <si>
    <t>+34 696 32 52 24</t>
  </si>
  <si>
    <t>E0729</t>
  </si>
  <si>
    <t>NAYI JAIR PEREZ BENAVIDES</t>
  </si>
  <si>
    <t>34 645 19 15 04</t>
  </si>
  <si>
    <t>E0458</t>
  </si>
  <si>
    <t>NEDER MIGUEL VELASQUEZ ACOSTA</t>
  </si>
  <si>
    <t>+34 604 22 89 75</t>
  </si>
  <si>
    <t>E1720</t>
  </si>
  <si>
    <t>NEFER YASETH PESTANA CABALLERO</t>
  </si>
  <si>
    <t>BG339966</t>
  </si>
  <si>
    <t>+34 600 850 835</t>
  </si>
  <si>
    <t>E0149</t>
  </si>
  <si>
    <t>NEIDER ALEXANDER MONTERO PAEZ</t>
  </si>
  <si>
    <t>AX439694</t>
  </si>
  <si>
    <t>+48 723 178 790</t>
  </si>
  <si>
    <t>E0948</t>
  </si>
  <si>
    <t>NEILSON DA SILVA RODRIGUES</t>
  </si>
  <si>
    <t>351 931 832 110</t>
  </si>
  <si>
    <t>E1442</t>
  </si>
  <si>
    <t>NEIRON ENRIQUE CARCAMO REALES</t>
  </si>
  <si>
    <t>BG098195</t>
  </si>
  <si>
    <t>+573228520021</t>
  </si>
  <si>
    <t>E1780</t>
  </si>
  <si>
    <t>NELGER CARDONA NORIEGA</t>
  </si>
  <si>
    <t>AZ739244</t>
  </si>
  <si>
    <t>+57 320 221 0996</t>
  </si>
  <si>
    <t>E1562</t>
  </si>
  <si>
    <t>NELSON ALBEIRO PIRACON CELY</t>
  </si>
  <si>
    <t>57 311 2664152</t>
  </si>
  <si>
    <t>E0515</t>
  </si>
  <si>
    <t>NELSON ALBERTO SALCEDO RODRIGUEZ</t>
  </si>
  <si>
    <t>+34 643 04 76 04</t>
  </si>
  <si>
    <t>E1672</t>
  </si>
  <si>
    <t>NELSON ENRIQUE CABALLERO CORREDOR</t>
  </si>
  <si>
    <t>BG091884</t>
  </si>
  <si>
    <t>+57 315 4199879</t>
  </si>
  <si>
    <t>E0635</t>
  </si>
  <si>
    <t>NELSON ENRIQUE MARTINEZ VEGA</t>
  </si>
  <si>
    <t>BA116098</t>
  </si>
  <si>
    <t>+57 322 431 0202</t>
  </si>
  <si>
    <t>E1802</t>
  </si>
  <si>
    <t>NELSON ENRIQUE MONTOYA BATISTA</t>
  </si>
  <si>
    <t>BG362717</t>
  </si>
  <si>
    <t>+57 313 8749435</t>
  </si>
  <si>
    <t>E1227</t>
  </si>
  <si>
    <t>NELSON ENRIQUE PICO VARGAS</t>
  </si>
  <si>
    <t>+57 312 5537728</t>
  </si>
  <si>
    <t>E1751</t>
  </si>
  <si>
    <t>NELSON JAIME PITRE CASTILLA</t>
  </si>
  <si>
    <t>BG203871</t>
  </si>
  <si>
    <t>+57 302 2734585</t>
  </si>
  <si>
    <t>E0273</t>
  </si>
  <si>
    <t>NELSON JAVIER ACOSTA SANTISTEBAN</t>
  </si>
  <si>
    <t>AZ911698</t>
  </si>
  <si>
    <t>+57 317 5599162</t>
  </si>
  <si>
    <t>E0526</t>
  </si>
  <si>
    <t>NELSON RIAÑO VARGAS</t>
  </si>
  <si>
    <t>AT439362</t>
  </si>
  <si>
    <t>+34 634 12 17 18</t>
  </si>
  <si>
    <t>E1714</t>
  </si>
  <si>
    <t>NELSON ROBERTO HENAO BEDOYA</t>
  </si>
  <si>
    <t>BE474832</t>
  </si>
  <si>
    <t>E2009</t>
  </si>
  <si>
    <t>NELSON RODRIGO MOSSOS ANDRADE</t>
  </si>
  <si>
    <t>BA626823</t>
  </si>
  <si>
    <t>+57 304 610 7671</t>
  </si>
  <si>
    <t>E0595</t>
  </si>
  <si>
    <t>NELSON URIEL RAMIREZ MENDOZA</t>
  </si>
  <si>
    <t>AW639786</t>
  </si>
  <si>
    <t>+48 734 671 099</t>
  </si>
  <si>
    <t>E1263</t>
  </si>
  <si>
    <t>NERIKER ARMANDO OVIEDO CANCHILA</t>
  </si>
  <si>
    <t>+48 573 839 932</t>
  </si>
  <si>
    <t>E0914</t>
  </si>
  <si>
    <t>NERIO CERVANTES CALDERON</t>
  </si>
  <si>
    <t>57 313 5326539</t>
  </si>
  <si>
    <t>E0788</t>
  </si>
  <si>
    <t>NESTOR ALEXANDER RODRIGUEZ GONZALEZ</t>
  </si>
  <si>
    <t>+34 623 35 25 79</t>
  </si>
  <si>
    <t>E2007</t>
  </si>
  <si>
    <t>NESTOR ALEXANDER VIERA CANALES</t>
  </si>
  <si>
    <t>124136527</t>
  </si>
  <si>
    <t>+51 938 289 558</t>
  </si>
  <si>
    <t>E0596</t>
  </si>
  <si>
    <t>NESTOR RAUL RESTREPO POLO</t>
  </si>
  <si>
    <t>BD302816</t>
  </si>
  <si>
    <t>+34 624 13 70 92</t>
  </si>
  <si>
    <t>E1077</t>
  </si>
  <si>
    <t>NEYDER GELVIS MAMANI HUAYCANI</t>
  </si>
  <si>
    <t>+51910925514</t>
  </si>
  <si>
    <t>E1281</t>
  </si>
  <si>
    <t>NICOLAS ALEJANDRO FLEITAS LIMA</t>
  </si>
  <si>
    <t>E1563</t>
  </si>
  <si>
    <t>NICOLAS MIGUEL PEDRAZA MENDOZA</t>
  </si>
  <si>
    <t>AS484348</t>
  </si>
  <si>
    <t>+48 45 121 25 94</t>
  </si>
  <si>
    <t>E0349</t>
  </si>
  <si>
    <t>NICOLAS RAUL MACIAS MEJIA</t>
  </si>
  <si>
    <t>BA857205</t>
  </si>
  <si>
    <t>+57 300 2476932</t>
  </si>
  <si>
    <t>E1940</t>
  </si>
  <si>
    <t>NICXON GARCIA FIERRO</t>
  </si>
  <si>
    <t>BG261002</t>
  </si>
  <si>
    <t>+57 320 823 7661</t>
  </si>
  <si>
    <t>E1564</t>
  </si>
  <si>
    <t>NILSON IVAN PRECIADO ANGULO</t>
  </si>
  <si>
    <t>BE952383</t>
  </si>
  <si>
    <t>57 311 800 1333</t>
  </si>
  <si>
    <t>E0551</t>
  </si>
  <si>
    <t>NILSON MOSQUERA GOMEZ</t>
  </si>
  <si>
    <t>BF347619</t>
  </si>
  <si>
    <t>+34 655 534 263</t>
  </si>
  <si>
    <t>E0088</t>
  </si>
  <si>
    <t>NIVALDO MENDES DA SILVA</t>
  </si>
  <si>
    <t>6632</t>
  </si>
  <si>
    <t>34 634 85 87 27</t>
  </si>
  <si>
    <t>E1844</t>
  </si>
  <si>
    <t>NIXO ELIECER CHAVEZ GARCIA</t>
  </si>
  <si>
    <t>PA0777833</t>
  </si>
  <si>
    <t>+507 6739 5215</t>
  </si>
  <si>
    <t>E1140</t>
  </si>
  <si>
    <t>NIXON JENE FERNANDEZ CASTILLO</t>
  </si>
  <si>
    <t>48 503 409 163</t>
  </si>
  <si>
    <t>E1098</t>
  </si>
  <si>
    <t>NODIER FLOREZ QUINTERO</t>
  </si>
  <si>
    <t>+57 310 6960256</t>
  </si>
  <si>
    <t>E0444</t>
  </si>
  <si>
    <t>NOE JONATHAN HERNANDEZ RAMIREZ</t>
  </si>
  <si>
    <t>+34 632 75 13 97</t>
  </si>
  <si>
    <t>E1916</t>
  </si>
  <si>
    <t>NORBALDO CHAPARRO BUITRAGO</t>
  </si>
  <si>
    <t>AZ791120</t>
  </si>
  <si>
    <t>+57 313 8453900</t>
  </si>
  <si>
    <t>E2029</t>
  </si>
  <si>
    <t>NORBERTO CHIQUILLO OLIVIERI</t>
  </si>
  <si>
    <t>BG379426</t>
  </si>
  <si>
    <t>+57 313 423 2304</t>
  </si>
  <si>
    <t>E0447</t>
  </si>
  <si>
    <t>NORBEY BALLESTEROS CRUZ</t>
  </si>
  <si>
    <t>AZ03428</t>
  </si>
  <si>
    <t>+34 642 80 92 63</t>
  </si>
  <si>
    <t>E0400</t>
  </si>
  <si>
    <t>NORBEY VARON ESQUIVEL</t>
  </si>
  <si>
    <t>AW650546</t>
  </si>
  <si>
    <t>+34 634 027246</t>
  </si>
  <si>
    <t>E1754</t>
  </si>
  <si>
    <t>NORVEY GONZALEZ LOPEZ</t>
  </si>
  <si>
    <t>AT650688</t>
  </si>
  <si>
    <t>+57 314 3137269</t>
  </si>
  <si>
    <t>E0638</t>
  </si>
  <si>
    <t>ODAIR JERONIMO GONZALEZ ESCORCIA</t>
  </si>
  <si>
    <t>BD895286</t>
  </si>
  <si>
    <t>+39 331 402 0688</t>
  </si>
  <si>
    <t>E1076</t>
  </si>
  <si>
    <t>ODAR JOHN REYES RAMIREZ</t>
  </si>
  <si>
    <t>120417894</t>
  </si>
  <si>
    <t>+51992557123</t>
  </si>
  <si>
    <t>E0915</t>
  </si>
  <si>
    <t>ODEMIR SANDRO DE OLIVEIRA</t>
  </si>
  <si>
    <t>E0726</t>
  </si>
  <si>
    <t>OELISON ANJO DE CAMARGO</t>
  </si>
  <si>
    <t>+351 926 494 851</t>
  </si>
  <si>
    <t>E1565</t>
  </si>
  <si>
    <t>OLIVER LUIS RAMIREZ ANGULO</t>
  </si>
  <si>
    <t>+34 641 54 66 40</t>
  </si>
  <si>
    <t>E2109</t>
  </si>
  <si>
    <t>OLMEDO ARIEL HERNANDEZ GONZALEZ</t>
  </si>
  <si>
    <t>PA1279201</t>
  </si>
  <si>
    <t>+34 643 55 96 09</t>
  </si>
  <si>
    <t>E1218</t>
  </si>
  <si>
    <t>OMAR ALFREDO OTERO OCHOA</t>
  </si>
  <si>
    <t>+34 624 86 55 83</t>
  </si>
  <si>
    <t>E1139</t>
  </si>
  <si>
    <t>OMAR ANTONIO CAÑON CAÑON</t>
  </si>
  <si>
    <t>57 311 8706783</t>
  </si>
  <si>
    <t>E0800</t>
  </si>
  <si>
    <t>OMAR ARNOLDO DULCEY PEÑA</t>
  </si>
  <si>
    <t>48 789 703 847</t>
  </si>
  <si>
    <t>E1753</t>
  </si>
  <si>
    <t>OMAR DAVID DIAZ MORALES</t>
  </si>
  <si>
    <t>BG481892</t>
  </si>
  <si>
    <t>+57 3016 122 486</t>
  </si>
  <si>
    <t>E0476</t>
  </si>
  <si>
    <t>OMAR DE JESUS ZAPATA MORENO</t>
  </si>
  <si>
    <t>+34 673 32 33 97</t>
  </si>
  <si>
    <t>E1877</t>
  </si>
  <si>
    <t>OMAR FERNANDO ANDRADE SANCHEZ</t>
  </si>
  <si>
    <t>AS283913</t>
  </si>
  <si>
    <t>+57 317 770 8868</t>
  </si>
  <si>
    <t>E0023</t>
  </si>
  <si>
    <t>OMAR FONTECHA HERNANDEZ</t>
  </si>
  <si>
    <t>+57 313 4707481</t>
  </si>
  <si>
    <t>E0367</t>
  </si>
  <si>
    <t>OMAR STEVEEN SANCHEZ ROJAS</t>
  </si>
  <si>
    <t>BE989548</t>
  </si>
  <si>
    <t>+34 610 79 20 30</t>
  </si>
  <si>
    <t>E1913</t>
  </si>
  <si>
    <t>OMAR YESID HERRERA LOPEZ</t>
  </si>
  <si>
    <t>BF957908</t>
  </si>
  <si>
    <t>+57 304 201 1130</t>
  </si>
  <si>
    <t>E2041</t>
  </si>
  <si>
    <t>OMAR YESSID HERRERA LOPEZ</t>
  </si>
  <si>
    <t>E1566</t>
  </si>
  <si>
    <t>ORLANDO ALFONSO LEÓN VASQUEZ</t>
  </si>
  <si>
    <t>48 530 837 162</t>
  </si>
  <si>
    <t>E0159</t>
  </si>
  <si>
    <t>ORLANDO GOMEZ</t>
  </si>
  <si>
    <t>BF967341</t>
  </si>
  <si>
    <t>+57 321 644 2011</t>
  </si>
  <si>
    <t>E1287</t>
  </si>
  <si>
    <t>ORLANDO JANNCARLO ACEVEDO GUZMAN</t>
  </si>
  <si>
    <t>+51 973 329 145</t>
  </si>
  <si>
    <t>E0522</t>
  </si>
  <si>
    <t>ORLANDO MONCAYO FLOREZ</t>
  </si>
  <si>
    <t>+57 310 5084191</t>
  </si>
  <si>
    <t>E0626</t>
  </si>
  <si>
    <t>ORLANDO RODRIGUEZ MADARIAGA</t>
  </si>
  <si>
    <t>BA053607</t>
  </si>
  <si>
    <t>+34 633 188 650</t>
  </si>
  <si>
    <t>E1798</t>
  </si>
  <si>
    <t>OSCAR ALBERTO BRAVO</t>
  </si>
  <si>
    <t>AW662102</t>
  </si>
  <si>
    <t>+57 313 887 5615</t>
  </si>
  <si>
    <t>E1202</t>
  </si>
  <si>
    <t>OSCAR ALEXANDER VARGAS COTRINO</t>
  </si>
  <si>
    <t>+34 642 72 91 51</t>
  </si>
  <si>
    <t>E0241</t>
  </si>
  <si>
    <t>OSCAR ANDRES RIVAS ESCALANTE</t>
  </si>
  <si>
    <t>PE150448</t>
  </si>
  <si>
    <t>+34 663 336 020</t>
  </si>
  <si>
    <t>E0371</t>
  </si>
  <si>
    <t>OSCAR ASTORGA MUÑOZ</t>
  </si>
  <si>
    <t>BC133224</t>
  </si>
  <si>
    <t>+34 610 73 68 93</t>
  </si>
  <si>
    <t>E1289</t>
  </si>
  <si>
    <t>OSCAR BALTAZAR GUTIERREZ PACHECO</t>
  </si>
  <si>
    <t>+51 955 924 399</t>
  </si>
  <si>
    <t>E0222</t>
  </si>
  <si>
    <t>OSCAR EDUARDO GONZALEZ ROJAS</t>
  </si>
  <si>
    <t>AT047438</t>
  </si>
  <si>
    <t>+34 604 36 65 96</t>
  </si>
  <si>
    <t>E0345</t>
  </si>
  <si>
    <t>OSCAR EDUARDO JARAMILLO MUÑOZ</t>
  </si>
  <si>
    <t>AU858190</t>
  </si>
  <si>
    <t>+57 318 2592118</t>
  </si>
  <si>
    <t>E0539</t>
  </si>
  <si>
    <t>OSCAR EDUARDO ORTEGA LOPEZ</t>
  </si>
  <si>
    <t>AX870283</t>
  </si>
  <si>
    <t>+34 643 88 06 69</t>
  </si>
  <si>
    <t>E0326</t>
  </si>
  <si>
    <t>OSCAR EDUARDO PEREIRA PABON</t>
  </si>
  <si>
    <t>BE456952</t>
  </si>
  <si>
    <t>+34 617 89 88 00</t>
  </si>
  <si>
    <t>E0412</t>
  </si>
  <si>
    <t>OSCAR EDUARDO RIVERA AROCA</t>
  </si>
  <si>
    <t>+34 659 17 15 60</t>
  </si>
  <si>
    <t>E0859</t>
  </si>
  <si>
    <t>OSCAR FERNANDO NEIRA LAMUS</t>
  </si>
  <si>
    <t>34 656 18 16 21</t>
  </si>
  <si>
    <t>E1719</t>
  </si>
  <si>
    <t>OSCAR GIOVANNI DIAZ MARTINEZ</t>
  </si>
  <si>
    <t>BE470549</t>
  </si>
  <si>
    <t>+34 632 96 75 97</t>
  </si>
  <si>
    <t>E1567</t>
  </si>
  <si>
    <t>OSCAR HENRIGUEZ CANO</t>
  </si>
  <si>
    <t>+34 722 56 05 69</t>
  </si>
  <si>
    <t>E0453</t>
  </si>
  <si>
    <t>OSCAR IVAN GONZALEZ SERRATO</t>
  </si>
  <si>
    <t>+57 313 7687407</t>
  </si>
  <si>
    <t>E0433</t>
  </si>
  <si>
    <t>OSCAR IVAN PEÑALOZA GARCIA</t>
  </si>
  <si>
    <t>AZ950368</t>
  </si>
  <si>
    <t>+57 316 3501344</t>
  </si>
  <si>
    <t>E0172</t>
  </si>
  <si>
    <t>OSCAR JACINTO PEÑA SANDOVAL</t>
  </si>
  <si>
    <t>+34 604 96 95 48</t>
  </si>
  <si>
    <t>E1444</t>
  </si>
  <si>
    <t>OSCAR JAVIER JAIMES GOMEZ</t>
  </si>
  <si>
    <t>BF777047</t>
  </si>
  <si>
    <t>+34600801633</t>
  </si>
  <si>
    <t>E0465</t>
  </si>
  <si>
    <t>OSCAR JESUS MENDEZ BELLO</t>
  </si>
  <si>
    <t>+51 900 81 6975</t>
  </si>
  <si>
    <t>E1569</t>
  </si>
  <si>
    <t>OSCAR LAZO GABRIEL CARGO</t>
  </si>
  <si>
    <t>123693613</t>
  </si>
  <si>
    <t>51923337636</t>
  </si>
  <si>
    <t>E0496</t>
  </si>
  <si>
    <t>OWIN ENRIQUE MORELO GOMEZ</t>
  </si>
  <si>
    <t>BD212684</t>
  </si>
  <si>
    <t>+57 301 660 7481</t>
  </si>
  <si>
    <t>E1779</t>
  </si>
  <si>
    <t>PABLO ALBERTO RIANO BONILLA</t>
  </si>
  <si>
    <t>AY830583</t>
  </si>
  <si>
    <t>+57 313 2413764</t>
  </si>
  <si>
    <t>E0132</t>
  </si>
  <si>
    <t>PABLO ALEXIS PUERTO CRUZ</t>
  </si>
  <si>
    <t>+57 310 6884300</t>
  </si>
  <si>
    <t>E0220</t>
  </si>
  <si>
    <t>PABLO ANDRÉ DE PADUA MOTA</t>
  </si>
  <si>
    <t>GB114611</t>
  </si>
  <si>
    <t>+351 912 755 600</t>
  </si>
  <si>
    <t>E1570</t>
  </si>
  <si>
    <t>PABLO CESAR MORALES JULCA</t>
  </si>
  <si>
    <t>34 600 446 913</t>
  </si>
  <si>
    <t>E1800</t>
  </si>
  <si>
    <t>PABLO MANOLO ROMERO HUERTAS</t>
  </si>
  <si>
    <t>BG918492</t>
  </si>
  <si>
    <t>+57 316 412 6062</t>
  </si>
  <si>
    <t>Kotrik Rosas, Unipessoal Lda</t>
  </si>
  <si>
    <t>E2096</t>
  </si>
  <si>
    <t>PASTOR JOSE FERNANDEZ CANELO</t>
  </si>
  <si>
    <t>195790157</t>
  </si>
  <si>
    <t>+34 624 10 16 22</t>
  </si>
  <si>
    <t>E0245</t>
  </si>
  <si>
    <t>PATRICIO ANTONIO CATRICHEO BELMAR</t>
  </si>
  <si>
    <t>F38739193</t>
  </si>
  <si>
    <t>+34 685 06 37 27</t>
  </si>
  <si>
    <t>E0997</t>
  </si>
  <si>
    <t>PATRICK ARAUJO DA COSTA</t>
  </si>
  <si>
    <t>351 964 074 043</t>
  </si>
  <si>
    <t>E1161</t>
  </si>
  <si>
    <t>PAUL ALEXANDER BELTRAN PARRA</t>
  </si>
  <si>
    <t>+34 613 36 22 61</t>
  </si>
  <si>
    <t>E0535</t>
  </si>
  <si>
    <t>PAULO CESAR GOMEZ NAVARRETE</t>
  </si>
  <si>
    <t>+51 973772959</t>
  </si>
  <si>
    <t>E1179</t>
  </si>
  <si>
    <t>PAULO JORGE DE SOUSA CORDEIRO</t>
  </si>
  <si>
    <t>E0998</t>
  </si>
  <si>
    <t>PAULO LUCIO FRANCISCO MUHONGO</t>
  </si>
  <si>
    <t>351 915 623 520</t>
  </si>
  <si>
    <t>E0811</t>
  </si>
  <si>
    <t>PAULO MARQUES DE OLIVEIRA</t>
  </si>
  <si>
    <t>GB133293</t>
  </si>
  <si>
    <t>51 912 684 787</t>
  </si>
  <si>
    <t>E1016</t>
  </si>
  <si>
    <t>PAULO SERGIO VASCONCELOS MENDES</t>
  </si>
  <si>
    <t>351 913 993 746</t>
  </si>
  <si>
    <t>E2059</t>
  </si>
  <si>
    <t>PAVEL FERNANDO GARCIA ZAPATA</t>
  </si>
  <si>
    <t>BF743771</t>
  </si>
  <si>
    <t>+57 323 2321915</t>
  </si>
  <si>
    <t>E1571</t>
  </si>
  <si>
    <t>PEDRO AGUSTIN CONDE VILCAPUMA</t>
  </si>
  <si>
    <t>120012361</t>
  </si>
  <si>
    <t>34 604 19 38 78</t>
  </si>
  <si>
    <t>E0748</t>
  </si>
  <si>
    <t>PEDRO ALEJANDRO JIMENEZ VEGA</t>
  </si>
  <si>
    <t>+34 631 64 39 99</t>
  </si>
  <si>
    <t>E2125</t>
  </si>
  <si>
    <t>PEDRO ALEXANDER ROJAS RODRIGUEZ</t>
  </si>
  <si>
    <t>AW121633</t>
  </si>
  <si>
    <t>+573505179783</t>
  </si>
  <si>
    <t>E1572</t>
  </si>
  <si>
    <t>PEDRO AYALA RIVERA</t>
  </si>
  <si>
    <t>57 316 298 8238</t>
  </si>
  <si>
    <t>E0074</t>
  </si>
  <si>
    <t>PEDRO CARLOS ARMENDARIZ</t>
  </si>
  <si>
    <t>120526074</t>
  </si>
  <si>
    <t>+51 979 530 860</t>
  </si>
  <si>
    <t>E1424</t>
  </si>
  <si>
    <t>PEDRO DE JESUS DE LA HOZ SALCEDO</t>
  </si>
  <si>
    <t>+48 502 723 854</t>
  </si>
  <si>
    <t>E0598</t>
  </si>
  <si>
    <t>PEDRO HERMOGENES GAMARRA ALBAN</t>
  </si>
  <si>
    <t>123432452</t>
  </si>
  <si>
    <t>+51 996 949 550</t>
  </si>
  <si>
    <t>E1445</t>
  </si>
  <si>
    <t>PEDRO HUMBERTO CASTELLANOS</t>
  </si>
  <si>
    <t>AZ325840</t>
  </si>
  <si>
    <t>+34665447496</t>
  </si>
  <si>
    <t>E1573</t>
  </si>
  <si>
    <t>PEDRO ISIDRO CAMELO BENAVIDES</t>
  </si>
  <si>
    <t>BF812041</t>
  </si>
  <si>
    <t>57 310 7400471</t>
  </si>
  <si>
    <t>E1075</t>
  </si>
  <si>
    <t>PEDRO JESUS SANCHEZ CHIRA</t>
  </si>
  <si>
    <t>+51 906 595 409</t>
  </si>
  <si>
    <t>E1905</t>
  </si>
  <si>
    <t>PEDRO JOSE PAEZ</t>
  </si>
  <si>
    <t>167776781</t>
  </si>
  <si>
    <t>+34 664 275 393</t>
  </si>
  <si>
    <t>E0715</t>
  </si>
  <si>
    <t>PEDRO LOUAM DOS SANTOS SILVA E LIMA</t>
  </si>
  <si>
    <t>351 913 126 336</t>
  </si>
  <si>
    <t>E0606</t>
  </si>
  <si>
    <t>PEDRO LUIS ANGULO RODRIGUEZ</t>
  </si>
  <si>
    <t>AU180460</t>
  </si>
  <si>
    <t>+624 73 27 25</t>
  </si>
  <si>
    <t>E0531</t>
  </si>
  <si>
    <t>PEDRO LUIS ORTEGA MULET</t>
  </si>
  <si>
    <t>57 301 7651218</t>
  </si>
  <si>
    <t>E1996</t>
  </si>
  <si>
    <t>PEDRO LUIS PADILLA VALDEZ</t>
  </si>
  <si>
    <t>AY673052</t>
  </si>
  <si>
    <t>+57 323 7515162</t>
  </si>
  <si>
    <t>E0616</t>
  </si>
  <si>
    <t>PEDRO MARTIN GUTIERREZ BARRIENTOS</t>
  </si>
  <si>
    <t>L43174852</t>
  </si>
  <si>
    <t>+51 943 676 702</t>
  </si>
  <si>
    <t>E0664</t>
  </si>
  <si>
    <t>PEDRO NEL CANO RUEDA</t>
  </si>
  <si>
    <t>+57 316 3775180</t>
  </si>
  <si>
    <t>E0790</t>
  </si>
  <si>
    <t>PEDRO NEL VILLERO PINEDO</t>
  </si>
  <si>
    <t>BE939572</t>
  </si>
  <si>
    <t>+34 619 73 98 15</t>
  </si>
  <si>
    <t>E1574</t>
  </si>
  <si>
    <t>PEDRO PABLO ZAVALA GALLARDO</t>
  </si>
  <si>
    <t>51 990 063 492</t>
  </si>
  <si>
    <t>E1575</t>
  </si>
  <si>
    <t>PEDRO SALGUERO CASTIBLANCO</t>
  </si>
  <si>
    <t>57 320 461 8633</t>
  </si>
  <si>
    <t>E0486</t>
  </si>
  <si>
    <t>PEDRO SARMIENTO ROBLES</t>
  </si>
  <si>
    <t>+51 961 781 563</t>
  </si>
  <si>
    <t>E0200</t>
  </si>
  <si>
    <t>PERCY ROMEO SAAVEDRA VELASQUEZ</t>
  </si>
  <si>
    <t>124851508</t>
  </si>
  <si>
    <t>+34 671 86 16 84</t>
  </si>
  <si>
    <t>E1645</t>
  </si>
  <si>
    <t>PETERSON AUGUSTO DA SILVA</t>
  </si>
  <si>
    <t>35191600000000000</t>
  </si>
  <si>
    <t>E1103</t>
  </si>
  <si>
    <t>PETRUT PURCARIU</t>
  </si>
  <si>
    <t>34 624 21 09 58</t>
  </si>
  <si>
    <t>E1180</t>
  </si>
  <si>
    <t>PLINYO KARLLOS FONSECA CORDEIRO</t>
  </si>
  <si>
    <t>E1282</t>
  </si>
  <si>
    <t>POMPILHO GUEVARA</t>
  </si>
  <si>
    <t>E2060</t>
  </si>
  <si>
    <t>PROSPERO SUAREZ PASTRAN</t>
  </si>
  <si>
    <t>BE669200</t>
  </si>
  <si>
    <t>+48 512 671 092</t>
  </si>
  <si>
    <t>E1816</t>
  </si>
  <si>
    <t>RAFAEL ALEJANDRO HERRERA URBANO</t>
  </si>
  <si>
    <t>BE913789</t>
  </si>
  <si>
    <t>+34 672 82 18 48</t>
  </si>
  <si>
    <t>E0842</t>
  </si>
  <si>
    <t>RAFAEL ANDRES NIETO MORENO</t>
  </si>
  <si>
    <t>+39 3929616329</t>
  </si>
  <si>
    <t>E0327</t>
  </si>
  <si>
    <t>RAFAEL ARTURO REYES ROMERO</t>
  </si>
  <si>
    <t>124474638</t>
  </si>
  <si>
    <t>+51 986 998 375</t>
  </si>
  <si>
    <t>E0634</t>
  </si>
  <si>
    <t>RAFAEL CALDERON CAVIEDES</t>
  </si>
  <si>
    <t>BG267967</t>
  </si>
  <si>
    <t>+57 310 811 9936</t>
  </si>
  <si>
    <t>E1729</t>
  </si>
  <si>
    <t>RAFAEL ELIAS VALDERRAMA VERGARA</t>
  </si>
  <si>
    <t>AX585502</t>
  </si>
  <si>
    <t>+34 641 72 34 82</t>
  </si>
  <si>
    <t>E0290</t>
  </si>
  <si>
    <t>RAFAEL JOSE MENDOZA TURIZO</t>
  </si>
  <si>
    <t>+34 680 70 67 84</t>
  </si>
  <si>
    <t>E0844</t>
  </si>
  <si>
    <t>RAFAEL REYES MORALES</t>
  </si>
  <si>
    <t>+57 304 2024664</t>
  </si>
  <si>
    <t>E1890</t>
  </si>
  <si>
    <t>RAFAEL SANTIAGO FADUL TONCEL</t>
  </si>
  <si>
    <t>AZ330558</t>
  </si>
  <si>
    <t>+57 301 357 7097</t>
  </si>
  <si>
    <t>E1264</t>
  </si>
  <si>
    <t>RAIMUNDO FILHO DE SOUZA</t>
  </si>
  <si>
    <t>+351 911 163 491</t>
  </si>
  <si>
    <t>E1197</t>
  </si>
  <si>
    <t>RAIMUNDO NONATO FERREIRA</t>
  </si>
  <si>
    <t>351 912 910 949</t>
  </si>
  <si>
    <t>E1425</t>
  </si>
  <si>
    <t>RAMIRO ENRIQUE PEREIRA MEDINA</t>
  </si>
  <si>
    <t>BA938970</t>
  </si>
  <si>
    <t>+57 300 181 6573</t>
  </si>
  <si>
    <t>E1822</t>
  </si>
  <si>
    <t>RAMIRO RODRIGUEZ LEGUIZAMÓ</t>
  </si>
  <si>
    <t>BG981941</t>
  </si>
  <si>
    <t>+57 311 844 1230</t>
  </si>
  <si>
    <t>E0264</t>
  </si>
  <si>
    <t>RAMON EDUARDO JIMENEZ PEREZ</t>
  </si>
  <si>
    <t>AT933269</t>
  </si>
  <si>
    <t>+34 672987511</t>
  </si>
  <si>
    <t>E1977</t>
  </si>
  <si>
    <t>RAMON GUILLERMO SANABRIA ECHARRI</t>
  </si>
  <si>
    <t>174601364</t>
  </si>
  <si>
    <t>+48 45 35 24 449</t>
  </si>
  <si>
    <t>E1576</t>
  </si>
  <si>
    <t>RANDDY ELIECER GAVIRIA RODRÍGUEZ</t>
  </si>
  <si>
    <t>57 301 709 6233</t>
  </si>
  <si>
    <t>E2128</t>
  </si>
  <si>
    <t>RANDYS MIGUEL NIEBLES HURTADO</t>
  </si>
  <si>
    <t>BG467207</t>
  </si>
  <si>
    <t>+573003140087</t>
  </si>
  <si>
    <t>E0955</t>
  </si>
  <si>
    <t>RAPHAEL ALMEIDA  OLIVEIRA</t>
  </si>
  <si>
    <t>+351 933 158 521</t>
  </si>
  <si>
    <t>E0975</t>
  </si>
  <si>
    <t>RAPHAEL ANDRADE SANTOS</t>
  </si>
  <si>
    <t>+351 931 910 281</t>
  </si>
  <si>
    <t>E1310</t>
  </si>
  <si>
    <t>RAPHAEL BARONI MARTINS</t>
  </si>
  <si>
    <t>+351 926 572 393</t>
  </si>
  <si>
    <t>E0370</t>
  </si>
  <si>
    <t>RAUL ANDRES PAREJO DE LA ROSA</t>
  </si>
  <si>
    <t>AZ395364</t>
  </si>
  <si>
    <t>+34 600 840 124</t>
  </si>
  <si>
    <t>E1791</t>
  </si>
  <si>
    <t>RAUL AUGUSTO MIRANDA</t>
  </si>
  <si>
    <t>AS469048</t>
  </si>
  <si>
    <t>+57 316 3839993</t>
  </si>
  <si>
    <t>E1789</t>
  </si>
  <si>
    <t>RAUL ERNESTO MORA MARTINEZ</t>
  </si>
  <si>
    <t>AT927641</t>
  </si>
  <si>
    <t>+57 321 320 7509</t>
  </si>
  <si>
    <t>E1171</t>
  </si>
  <si>
    <t>RAUL HOYOS ALBA</t>
  </si>
  <si>
    <t>+34 613 42 15 16</t>
  </si>
  <si>
    <t>E0834</t>
  </si>
  <si>
    <t>RAUL MANUEL CERA PACHECO</t>
  </si>
  <si>
    <t>+48 690 259 826</t>
  </si>
  <si>
    <t>E1329</t>
  </si>
  <si>
    <t>RAUL ROBERTO DA SILVA</t>
  </si>
  <si>
    <t>+351 912 835 719</t>
  </si>
  <si>
    <t>E0863</t>
  </si>
  <si>
    <t>RAUL SUAREZ FRANCO</t>
  </si>
  <si>
    <t>34 671 61 29 88</t>
  </si>
  <si>
    <t>E0462</t>
  </si>
  <si>
    <t>RAYMOND JOSE GARRIDO FERRER</t>
  </si>
  <si>
    <t>AV590824</t>
  </si>
  <si>
    <t>+48 502 736 057</t>
  </si>
  <si>
    <t>E1311</t>
  </si>
  <si>
    <t>RAYSON RAPHAEL DO NASCIMENTO GUIMARAES</t>
  </si>
  <si>
    <t>+351 938 795 144</t>
  </si>
  <si>
    <t>E1015</t>
  </si>
  <si>
    <t>REGINALDO DA SILVA GOMES</t>
  </si>
  <si>
    <t>E0223</t>
  </si>
  <si>
    <t>REGINALDO GONÇALVES DE MORAIS</t>
  </si>
  <si>
    <t>FZ199453</t>
  </si>
  <si>
    <t>+351 924 792 909</t>
  </si>
  <si>
    <t>E0999</t>
  </si>
  <si>
    <t>REGINALDO RIBEIRO NICOLÁU</t>
  </si>
  <si>
    <t>351 964 189 101</t>
  </si>
  <si>
    <t>E0048</t>
  </si>
  <si>
    <t>REINERD SALAZAR FAJARDO</t>
  </si>
  <si>
    <t>BF854945</t>
  </si>
  <si>
    <t>+34 662 641 301</t>
  </si>
  <si>
    <t>E0620</t>
  </si>
  <si>
    <t>REMY SENNDER FARIAS ACARO</t>
  </si>
  <si>
    <t>124840679</t>
  </si>
  <si>
    <t>+34 633 384 621</t>
  </si>
  <si>
    <t>E0320</t>
  </si>
  <si>
    <t>RENSO MANUEL BLANCO DIAZ</t>
  </si>
  <si>
    <t>BD051533</t>
  </si>
  <si>
    <t>+57 318 6556260</t>
  </si>
  <si>
    <t>E1426</t>
  </si>
  <si>
    <t>RENZO JUNIOR CHUNGA LUJAN</t>
  </si>
  <si>
    <t>124955101</t>
  </si>
  <si>
    <t>+51 914 771 075</t>
  </si>
  <si>
    <t>E0448</t>
  </si>
  <si>
    <t>RICARDO ANDRES DE LA ROSA CANDANOZA</t>
  </si>
  <si>
    <t>+57 321 989 9849</t>
  </si>
  <si>
    <t>E1018</t>
  </si>
  <si>
    <t>RICARDO MAYA ALZATE</t>
  </si>
  <si>
    <t>57 318 2274400</t>
  </si>
  <si>
    <t>E0098</t>
  </si>
  <si>
    <t>RICARDO MILLER SANCHEZ BECERRA</t>
  </si>
  <si>
    <t>123153929</t>
  </si>
  <si>
    <t>+51 988 088 827</t>
  </si>
  <si>
    <t>E2091</t>
  </si>
  <si>
    <t>RICARDO RAFAEL BONILLA BLANCO</t>
  </si>
  <si>
    <t>BA716922</t>
  </si>
  <si>
    <t>+34 603 90 29 97</t>
  </si>
  <si>
    <t>E1000</t>
  </si>
  <si>
    <t>RICARDO RODRIGUES GUZE DE LIMA</t>
  </si>
  <si>
    <t>351 912 418 663</t>
  </si>
  <si>
    <t>E2138</t>
  </si>
  <si>
    <t>RICARDO SILVA GARCIA</t>
  </si>
  <si>
    <t>BG285140</t>
  </si>
  <si>
    <t xml:space="preserve">+34631502799 </t>
  </si>
  <si>
    <t>E2006</t>
  </si>
  <si>
    <t>RICHAR TAYLOR JIMENEZ CORONADO</t>
  </si>
  <si>
    <t>BG744551</t>
  </si>
  <si>
    <t>+57 317 3064691</t>
  </si>
  <si>
    <t>E0335</t>
  </si>
  <si>
    <t>RICHARD ALBERTO NIETO VASQUEZ</t>
  </si>
  <si>
    <t>BD203520</t>
  </si>
  <si>
    <t>+57 310 3278734</t>
  </si>
  <si>
    <t>E1906</t>
  </si>
  <si>
    <t>RICHARD ANTONIO GUERRA HERRERA</t>
  </si>
  <si>
    <t>BD757770</t>
  </si>
  <si>
    <t>+34 671 079 000</t>
  </si>
  <si>
    <t>E0749</t>
  </si>
  <si>
    <t>RICHARD FREDY CIENFUEGOS ARANA</t>
  </si>
  <si>
    <t>+51 923 360 099</t>
  </si>
  <si>
    <t>E1159</t>
  </si>
  <si>
    <t>RICHARD GONZALEZ SANCHEZ</t>
  </si>
  <si>
    <t>+57 323 3534315</t>
  </si>
  <si>
    <t>E0008</t>
  </si>
  <si>
    <t>RICHARD HURTADO RENGIFO</t>
  </si>
  <si>
    <t>AU690266</t>
  </si>
  <si>
    <t>34 643 43 93 31</t>
  </si>
  <si>
    <t>E1717</t>
  </si>
  <si>
    <t>RICHARD OMAR CASTRO CUEVAS</t>
  </si>
  <si>
    <t>AZ176529</t>
  </si>
  <si>
    <t>+34 641 88 92 76</t>
  </si>
  <si>
    <t>E0160</t>
  </si>
  <si>
    <t>RICHARD PILCO ATENCIO</t>
  </si>
  <si>
    <t>+51 959 722 869</t>
  </si>
  <si>
    <t>E0580</t>
  </si>
  <si>
    <t>RIGOBERTO BUELVAS BERRIO</t>
  </si>
  <si>
    <t>AY794522</t>
  </si>
  <si>
    <t>+39 351 417 6266</t>
  </si>
  <si>
    <t>E1783</t>
  </si>
  <si>
    <t>RIGOBERTO RIOS PACHECO</t>
  </si>
  <si>
    <t>PA1389743</t>
  </si>
  <si>
    <t>+507 63031383</t>
  </si>
  <si>
    <t>E1436</t>
  </si>
  <si>
    <t>RIGOBERTO ROMERO REINA</t>
  </si>
  <si>
    <t>+57 321 639 5455</t>
  </si>
  <si>
    <t>E0082</t>
  </si>
  <si>
    <t>ROBER HENRRY CHUMBES ROJAS</t>
  </si>
  <si>
    <t>124840952</t>
  </si>
  <si>
    <t>+34 663 137 629</t>
  </si>
  <si>
    <t>E0850</t>
  </si>
  <si>
    <t>ROBER JOUTE LABIO OCAMPO</t>
  </si>
  <si>
    <t>34 602 18 78 78</t>
  </si>
  <si>
    <t>E1968</t>
  </si>
  <si>
    <t>ROBERT ALIRIO DUARTE SIERRA</t>
  </si>
  <si>
    <t>177831399</t>
  </si>
  <si>
    <t>+34 641 64 26 63</t>
  </si>
  <si>
    <t>E0242</t>
  </si>
  <si>
    <t>ROBERT SMITH HURTADO RODRIGUEZ</t>
  </si>
  <si>
    <t>BA238132</t>
  </si>
  <si>
    <t>+57 313 4232719</t>
  </si>
  <si>
    <t>E2047</t>
  </si>
  <si>
    <t>ROBERT STIVEN ESPINOSA PAREDES</t>
  </si>
  <si>
    <t>BH219230</t>
  </si>
  <si>
    <t>+34 634 069 565</t>
  </si>
  <si>
    <t>E0680</t>
  </si>
  <si>
    <t>ROBERT YOVANNI CASTILLO ANGULO</t>
  </si>
  <si>
    <t>AS154422</t>
  </si>
  <si>
    <t>+34 695 65 59 60</t>
  </si>
  <si>
    <t>E0510</t>
  </si>
  <si>
    <t>ROBERTO CARLOS MARQUINA CABRERA</t>
  </si>
  <si>
    <t>124019978</t>
  </si>
  <si>
    <t>+34 641 13 21 17</t>
  </si>
  <si>
    <t>E1354</t>
  </si>
  <si>
    <t>ROBERTO CARLOS PABON CHAVEZ</t>
  </si>
  <si>
    <t>+34 672 56 38 02</t>
  </si>
  <si>
    <t>E2124</t>
  </si>
  <si>
    <t>ROBERTO CASTILLA JIMENEZ</t>
  </si>
  <si>
    <t>AYO44681</t>
  </si>
  <si>
    <t>+573156271902</t>
  </si>
  <si>
    <t>E1577</t>
  </si>
  <si>
    <t>ROBERTO JAVIER ESCOBAR USURRIAGA</t>
  </si>
  <si>
    <t>+34 665 44 66 25</t>
  </si>
  <si>
    <t>E0848</t>
  </si>
  <si>
    <t>ROBERTO RAMIREZ BELTRAN</t>
  </si>
  <si>
    <t>+57 324 2276722</t>
  </si>
  <si>
    <t>E1775</t>
  </si>
  <si>
    <t>ROBERTO RICHARD OSCCO CHILINGANO</t>
  </si>
  <si>
    <t>125289594</t>
  </si>
  <si>
    <t>+34 631 75 08 76</t>
  </si>
  <si>
    <t>E1914</t>
  </si>
  <si>
    <t>ROBI DAVID OSORIO RANGEL</t>
  </si>
  <si>
    <t>AZ316775</t>
  </si>
  <si>
    <t>+34 657 665 012</t>
  </si>
  <si>
    <t>E1809</t>
  </si>
  <si>
    <t>ROBIN JOSE TORRES VANEGAS</t>
  </si>
  <si>
    <t>AZ451114</t>
  </si>
  <si>
    <t>E0511</t>
  </si>
  <si>
    <t>ROBINSON ANGULO CAICEDO</t>
  </si>
  <si>
    <t>BE552735</t>
  </si>
  <si>
    <t>+57 314 8516342</t>
  </si>
  <si>
    <t>E0538</t>
  </si>
  <si>
    <t>ROBINSON CAMILO CASTAÑEDA SALGADO</t>
  </si>
  <si>
    <t>BE866913</t>
  </si>
  <si>
    <t>+34 687 11 39 58</t>
  </si>
  <si>
    <t>E2022</t>
  </si>
  <si>
    <t>ROBINSON DABIAN TABORDA ESCAMILLA</t>
  </si>
  <si>
    <t>BH265375</t>
  </si>
  <si>
    <t>+57 312 604 5654</t>
  </si>
  <si>
    <t>E0299</t>
  </si>
  <si>
    <t>ROBINSON DE FEX DIAZ</t>
  </si>
  <si>
    <t>57 3102715669</t>
  </si>
  <si>
    <t>E0869</t>
  </si>
  <si>
    <t>ROBSON HAMILTON CARDOSO SOUZA</t>
  </si>
  <si>
    <t>+351 927 544 504</t>
  </si>
  <si>
    <t>E1678</t>
  </si>
  <si>
    <t>RODNEY NEFTALI RODRIGUEZ HERRERA</t>
  </si>
  <si>
    <t>PA0834185</t>
  </si>
  <si>
    <t>+507 6645-8105</t>
  </si>
  <si>
    <t>E0563</t>
  </si>
  <si>
    <t>RODOLFO ALBERTO MARCHAN PALACIOS</t>
  </si>
  <si>
    <t>+51 959 824 998</t>
  </si>
  <si>
    <t>E1823</t>
  </si>
  <si>
    <t>RODOLFO ARRIETA VASQUEZ</t>
  </si>
  <si>
    <t>AV197722</t>
  </si>
  <si>
    <t>+34 632 196 621</t>
  </si>
  <si>
    <t>E0005</t>
  </si>
  <si>
    <t>RODOLFO ZAMBRANO LAJO</t>
  </si>
  <si>
    <t>122693138</t>
  </si>
  <si>
    <t>+51 979 391 133</t>
  </si>
  <si>
    <t>E0503</t>
  </si>
  <si>
    <t>RODRIGO ALEXANDRO AVILA DIEGO</t>
  </si>
  <si>
    <t>124078581</t>
  </si>
  <si>
    <t>+51 970 652 934</t>
  </si>
  <si>
    <t>E1315</t>
  </si>
  <si>
    <t>RODRIGO DA COSTA MOREIRA</t>
  </si>
  <si>
    <t>+351 924 374 832</t>
  </si>
  <si>
    <t>E1834</t>
  </si>
  <si>
    <t>RODRIGO DE OLIVEIRA BEZERRA</t>
  </si>
  <si>
    <t>GG297272</t>
  </si>
  <si>
    <t>+34 629 911 730</t>
  </si>
  <si>
    <t>E1114</t>
  </si>
  <si>
    <t>RODRIGO PRADO SEPULVEDA</t>
  </si>
  <si>
    <t>+48 695 281 339</t>
  </si>
  <si>
    <t>E0877</t>
  </si>
  <si>
    <t>RODRIGO RODRIGUEZ QUIMBAYO</t>
  </si>
  <si>
    <t>34 624 07 14 19</t>
  </si>
  <si>
    <t>E1578</t>
  </si>
  <si>
    <t>ROGER ANTONIO GUERRA HERRERA</t>
  </si>
  <si>
    <t>BG205056</t>
  </si>
  <si>
    <t>57 311 676 0161</t>
  </si>
  <si>
    <t>E0806</t>
  </si>
  <si>
    <t>ROGER COUTO LARA</t>
  </si>
  <si>
    <t>34 642 07 82 60</t>
  </si>
  <si>
    <t>E0116</t>
  </si>
  <si>
    <t>ROGER HALDER CHILCA LEON</t>
  </si>
  <si>
    <t>123812121</t>
  </si>
  <si>
    <t>E1019</t>
  </si>
  <si>
    <t>ROGER NELI DA SILVA</t>
  </si>
  <si>
    <t>351 926 738 810</t>
  </si>
  <si>
    <t>E0602</t>
  </si>
  <si>
    <t>ROGGER EDUARDO LOPEZ AURAZO</t>
  </si>
  <si>
    <t>123827602</t>
  </si>
  <si>
    <t>+51948921237</t>
  </si>
  <si>
    <t>E0036</t>
  </si>
  <si>
    <t>ROLANDO CATUNTA MAMANI</t>
  </si>
  <si>
    <t>124103780</t>
  </si>
  <si>
    <t>+51 941 604 000</t>
  </si>
  <si>
    <t>E0081</t>
  </si>
  <si>
    <t>ROLFI ESTEBAN TORRES SOTELO</t>
  </si>
  <si>
    <t>122085401</t>
  </si>
  <si>
    <t>+51914113925</t>
  </si>
  <si>
    <t>E0666</t>
  </si>
  <si>
    <t>ROLISTON FREITAS SOUSA</t>
  </si>
  <si>
    <t>351 914151146</t>
  </si>
  <si>
    <t>E0080</t>
  </si>
  <si>
    <t>ROMEL YBAN TUFINIO ZOCON</t>
  </si>
  <si>
    <t>120663928</t>
  </si>
  <si>
    <t>+51992675264</t>
  </si>
  <si>
    <t>E2051</t>
  </si>
  <si>
    <t>ROMER DAVID RODRIGUEZ GONZALEZ</t>
  </si>
  <si>
    <t>BG940864</t>
  </si>
  <si>
    <t>+34 610 94 86 98</t>
  </si>
  <si>
    <t>E0139</t>
  </si>
  <si>
    <t>ROMULO JUAN SANDY CAHUACHI</t>
  </si>
  <si>
    <t>+51 952 814 201</t>
  </si>
  <si>
    <t>E1259</t>
  </si>
  <si>
    <t>ROMULO RIBEIRO MENDONÇA</t>
  </si>
  <si>
    <t>+351 935 317 753</t>
  </si>
  <si>
    <t>E1072</t>
  </si>
  <si>
    <t>RONAL TAYPE HUAMAN</t>
  </si>
  <si>
    <t>123674732</t>
  </si>
  <si>
    <t>+36204730819</t>
  </si>
  <si>
    <t>E0678</t>
  </si>
  <si>
    <t>RONALD ALBERTO ORTEGA PATERNINA</t>
  </si>
  <si>
    <t>AU109529</t>
  </si>
  <si>
    <t>+57 316 2359646</t>
  </si>
  <si>
    <t>E1903</t>
  </si>
  <si>
    <t>RONALD ALFONSO HERNANDEZ SALGADO</t>
  </si>
  <si>
    <t>BF148842</t>
  </si>
  <si>
    <t>+34 610 64 61 35</t>
  </si>
  <si>
    <t>E0136</t>
  </si>
  <si>
    <t>RONALD DEYVIS RONCEROS CARRIZALES</t>
  </si>
  <si>
    <t>124851648</t>
  </si>
  <si>
    <t>+51 962 242 843</t>
  </si>
  <si>
    <t>E0059</t>
  </si>
  <si>
    <t>RONALD GARCIA GIRON</t>
  </si>
  <si>
    <t>+57 316 4999394</t>
  </si>
  <si>
    <t>E0312</t>
  </si>
  <si>
    <t>RONALD JAVIER MARCELO SEMINARIO</t>
  </si>
  <si>
    <t>+51 903 450 967</t>
  </si>
  <si>
    <t>E1880</t>
  </si>
  <si>
    <t>RONALD REY SEPULVEDA</t>
  </si>
  <si>
    <t>AW700633</t>
  </si>
  <si>
    <t>+57 322 643 3175</t>
  </si>
  <si>
    <t>E1260</t>
  </si>
  <si>
    <t>RONALDO DA SILVA PEREIRA</t>
  </si>
  <si>
    <t>+351 912 910 416</t>
  </si>
  <si>
    <t>E1063</t>
  </si>
  <si>
    <t>RONNY MEJIA HERNANDEZ</t>
  </si>
  <si>
    <t>34 613 44 26 36</t>
  </si>
  <si>
    <t>E1108</t>
  </si>
  <si>
    <t>ROQUE MIGUEL GARCIA CUELLO</t>
  </si>
  <si>
    <t>34 678 49 91 53</t>
  </si>
  <si>
    <t>E0742</t>
  </si>
  <si>
    <t>ROSEMBERT PATERNINA BARON</t>
  </si>
  <si>
    <t xml:space="preserve">   57 313 7619579</t>
  </si>
  <si>
    <t>E0018</t>
  </si>
  <si>
    <t>ROSMAN TORRES MESA</t>
  </si>
  <si>
    <t>+34 619 81 13 53</t>
  </si>
  <si>
    <t>E0969</t>
  </si>
  <si>
    <t>ROYEMBER MORALES PEÑA</t>
  </si>
  <si>
    <t>34 611 291924</t>
  </si>
  <si>
    <t>E0703</t>
  </si>
  <si>
    <t>RUBEM DOS ANJOS SILVA</t>
  </si>
  <si>
    <t>41 76 737 12 64</t>
  </si>
  <si>
    <t>E1283</t>
  </si>
  <si>
    <t>RUBEN DARIO ARRIZA FERRER</t>
  </si>
  <si>
    <t>E1702</t>
  </si>
  <si>
    <t>RUBEN DARIO GUAPACHA GUARIN</t>
  </si>
  <si>
    <t>AX694082</t>
  </si>
  <si>
    <t>+57 322 402 6511</t>
  </si>
  <si>
    <t>E1579</t>
  </si>
  <si>
    <t>RUBEN DARIO HURTADO MURCIA</t>
  </si>
  <si>
    <t>AV559510</t>
  </si>
  <si>
    <t>57 318 2439127</t>
  </si>
  <si>
    <t>E1986</t>
  </si>
  <si>
    <t>RUBEN DARIO JIMENEZ ACOSTA</t>
  </si>
  <si>
    <t>AX498173</t>
  </si>
  <si>
    <t>+48 698 540 312</t>
  </si>
  <si>
    <t>E1648</t>
  </si>
  <si>
    <t>RUBEN DARIO MONSALVE RIVERO</t>
  </si>
  <si>
    <t>57 320 902 0539</t>
  </si>
  <si>
    <t>E1087</t>
  </si>
  <si>
    <t>RUBEN DARIO MORENO VARGAS</t>
  </si>
  <si>
    <t>+57 319 2760557</t>
  </si>
  <si>
    <t>E2068</t>
  </si>
  <si>
    <t>RUBEN DARIO RINCON CORTES</t>
  </si>
  <si>
    <t>BE655666</t>
  </si>
  <si>
    <t>+57 322 7311590</t>
  </si>
  <si>
    <t>E0224</t>
  </si>
  <si>
    <t>RUBEN DARIO ZAPATA QUINTERO</t>
  </si>
  <si>
    <t>BE277389</t>
  </si>
  <si>
    <t>+57 321 7167728</t>
  </si>
  <si>
    <t>E1811</t>
  </si>
  <si>
    <t>RUBEN ERNESTO JARA SANTOS</t>
  </si>
  <si>
    <t>AX814238</t>
  </si>
  <si>
    <t>+57 320 4949783</t>
  </si>
  <si>
    <t>E0554</t>
  </si>
  <si>
    <t>RUBEN PONCE PABLO</t>
  </si>
  <si>
    <t>+51 995668045</t>
  </si>
  <si>
    <t>E1580</t>
  </si>
  <si>
    <t>RUDOLF HENRY VIRAMA FRANCO</t>
  </si>
  <si>
    <t>+34 611 93 53 89</t>
  </si>
  <si>
    <t>E0689</t>
  </si>
  <si>
    <t>RYAN ARAUJO DE MELO</t>
  </si>
  <si>
    <t>351 967 901 345</t>
  </si>
  <si>
    <t>E1224</t>
  </si>
  <si>
    <t>SAID LMALAQUIA</t>
  </si>
  <si>
    <t>34 643 29 87 06</t>
  </si>
  <si>
    <t>Descartado</t>
  </si>
  <si>
    <t>E1649</t>
  </si>
  <si>
    <t>SAIR PERALTA GARCÍA</t>
  </si>
  <si>
    <t>48 512 564 215</t>
  </si>
  <si>
    <t>E0916</t>
  </si>
  <si>
    <t>SALAH CHAOUKI</t>
  </si>
  <si>
    <t>34 624 34 72 27</t>
  </si>
  <si>
    <t>E1001</t>
  </si>
  <si>
    <t>SALATIEL SILVA DE SANTANA</t>
  </si>
  <si>
    <t>351 914 045 392</t>
  </si>
  <si>
    <t>E1112</t>
  </si>
  <si>
    <t>SAMERS SOLMER JOHAO VARON LARA</t>
  </si>
  <si>
    <t>+34 663 32 79 35</t>
  </si>
  <si>
    <t>E1002</t>
  </si>
  <si>
    <t>SAMUEL ANTONIO DA SILVA</t>
  </si>
  <si>
    <t>351 924 884 896</t>
  </si>
  <si>
    <t>E1768</t>
  </si>
  <si>
    <t>SAMUEL DAVID CARVAJAL SINISTERRA</t>
  </si>
  <si>
    <t>BE319630</t>
  </si>
  <si>
    <t>+34 642 947 697</t>
  </si>
  <si>
    <t>E0983</t>
  </si>
  <si>
    <t>SAMUEL DIAZ MORA</t>
  </si>
  <si>
    <t>48 724 775 683</t>
  </si>
  <si>
    <t>E1286</t>
  </si>
  <si>
    <t>SAMUEL ENRIQUE LEON NOBLE</t>
  </si>
  <si>
    <t>+48 45 331 1737</t>
  </si>
  <si>
    <t>E1581</t>
  </si>
  <si>
    <t>SAMUEL JUSTO CARLOS DONAIRES</t>
  </si>
  <si>
    <t>120193820</t>
  </si>
  <si>
    <t>51 986 814 956</t>
  </si>
  <si>
    <t>E1003</t>
  </si>
  <si>
    <t>SAMUEL LUIZ DE GODOY</t>
  </si>
  <si>
    <t>351 913 656 526</t>
  </si>
  <si>
    <t>E0523</t>
  </si>
  <si>
    <t>SANDRO GONZALEZ ÑUSTES</t>
  </si>
  <si>
    <t>AY234746</t>
  </si>
  <si>
    <t>+57 315 8444275</t>
  </si>
  <si>
    <t>E0779</t>
  </si>
  <si>
    <t>SANTIAGO AGUILAR HURTADO</t>
  </si>
  <si>
    <t>+31 6 47165134</t>
  </si>
  <si>
    <t>E2136</t>
  </si>
  <si>
    <t>SANTIAGO CASTRO RODRIGUEZ</t>
  </si>
  <si>
    <t>BG461258</t>
  </si>
  <si>
    <t>+34 613 28 69 31</t>
  </si>
  <si>
    <t>E1841</t>
  </si>
  <si>
    <t>SANTIAGO HIGUITA ARBOLEDA</t>
  </si>
  <si>
    <t>AZ967420</t>
  </si>
  <si>
    <t>+57 314 200 0430</t>
  </si>
  <si>
    <t>E0310</t>
  </si>
  <si>
    <t>SANTOS PAULO ARCAYA NORIEGA</t>
  </si>
  <si>
    <t>123856495</t>
  </si>
  <si>
    <t>+51 934 115 679</t>
  </si>
  <si>
    <t>E1582</t>
  </si>
  <si>
    <t>SAUL RONDEROS VEGA</t>
  </si>
  <si>
    <t>57 311 854 2291</t>
  </si>
  <si>
    <t>E1443</t>
  </si>
  <si>
    <t>SAULO GUIMARÃES LIMA</t>
  </si>
  <si>
    <t>GD083361</t>
  </si>
  <si>
    <t>+34 643 04 51 66</t>
  </si>
  <si>
    <t>E1188</t>
  </si>
  <si>
    <t>SEBASTIAN ANDRADE PERLAZA</t>
  </si>
  <si>
    <t>+34 673 31 42 30</t>
  </si>
  <si>
    <t>E1738</t>
  </si>
  <si>
    <t>SEBASTIAN DAVID ARIAS CORREA</t>
  </si>
  <si>
    <t>AT217153</t>
  </si>
  <si>
    <t>+57 312 752 6417</t>
  </si>
  <si>
    <t>E0970</t>
  </si>
  <si>
    <t>SEBASTIAN JESUS ARRIAGADA</t>
  </si>
  <si>
    <t>E0685</t>
  </si>
  <si>
    <t>SERAFIM TEIXEIRA GOMES</t>
  </si>
  <si>
    <t>351 938 848 096</t>
  </si>
  <si>
    <t>E0315</t>
  </si>
  <si>
    <t>SERGIO ALONSO ANDRADE CASTRILLON</t>
  </si>
  <si>
    <t>AY747696</t>
  </si>
  <si>
    <t>+34 624 53 52 14</t>
  </si>
  <si>
    <t>E0001</t>
  </si>
  <si>
    <t>SERGIO ANDRES FLOREZ MARIN</t>
  </si>
  <si>
    <t>BG201360</t>
  </si>
  <si>
    <t>57 316 410 5501</t>
  </si>
  <si>
    <t>E0445</t>
  </si>
  <si>
    <t>SERGIO ANDRES LANDINES BARRIOS</t>
  </si>
  <si>
    <t>+57 320 4776027</t>
  </si>
  <si>
    <t>E0650</t>
  </si>
  <si>
    <t>SERGIO ANDRES LOBO BARRIOS</t>
  </si>
  <si>
    <t>34 647 84 38 93</t>
  </si>
  <si>
    <t>E0730</t>
  </si>
  <si>
    <t>SERGIO ANDRES LUENGAS CASTELLANOS</t>
  </si>
  <si>
    <t>+34 603 16 55 07</t>
  </si>
  <si>
    <t>E0422</t>
  </si>
  <si>
    <t>SERGIO DANIEL GOMEZ ARAMBURO</t>
  </si>
  <si>
    <t>BD963578</t>
  </si>
  <si>
    <t>+34 603 38 25 52</t>
  </si>
  <si>
    <t>E0446</t>
  </si>
  <si>
    <t>SERGIO DAVID CORDOBA TUTA</t>
  </si>
  <si>
    <t>BF731010</t>
  </si>
  <si>
    <t>+57 321 2516946</t>
  </si>
  <si>
    <t>E0946</t>
  </si>
  <si>
    <t>SERGIO JULIO CHARRIS YUNEZ</t>
  </si>
  <si>
    <t>34 643601268</t>
  </si>
  <si>
    <t>E0588</t>
  </si>
  <si>
    <t>SERGIO LUIS BELTRAN BALDOVINO</t>
  </si>
  <si>
    <t>BF575714</t>
  </si>
  <si>
    <t>+57 311 4349636</t>
  </si>
  <si>
    <t>E0457</t>
  </si>
  <si>
    <t>SERGIO TUNJANO GOMEZ</t>
  </si>
  <si>
    <t>BE895736</t>
  </si>
  <si>
    <t>+57 322 4365271</t>
  </si>
  <si>
    <t>E1215</t>
  </si>
  <si>
    <t>SEVERIANO VIEIRA NETO</t>
  </si>
  <si>
    <t>3.51914E+16</t>
  </si>
  <si>
    <t>E0178</t>
  </si>
  <si>
    <t>SEVERO PABON CASTRO</t>
  </si>
  <si>
    <t>BF215315</t>
  </si>
  <si>
    <t>+34 657 22 29 79</t>
  </si>
  <si>
    <t>E1733</t>
  </si>
  <si>
    <t>SHELBY ENRIQUE OSPINA MONTERROSA</t>
  </si>
  <si>
    <t>BF848100</t>
  </si>
  <si>
    <t>+57 304 2515129</t>
  </si>
  <si>
    <t>E1322</t>
  </si>
  <si>
    <t>SILAS ADI PEREIRA DE LIMA</t>
  </si>
  <si>
    <t>+351 969 750 847</t>
  </si>
  <si>
    <t>E0643</t>
  </si>
  <si>
    <t>SILVESTRE PABLO MARTIN VILLARRUEL</t>
  </si>
  <si>
    <t>+351 939 217 088</t>
  </si>
  <si>
    <t>E1376</t>
  </si>
  <si>
    <t>SILVIO ROMERO DE SOUSA</t>
  </si>
  <si>
    <t>351 926 188 878</t>
  </si>
  <si>
    <t>E0061</t>
  </si>
  <si>
    <t>SIMION LUCIANO CHILINGANO PILLACA</t>
  </si>
  <si>
    <t>122006449</t>
  </si>
  <si>
    <t>+51 986 083 436</t>
  </si>
  <si>
    <t>E0751</t>
  </si>
  <si>
    <t>SNEYDER JESUS ALCALA JIMENEZ</t>
  </si>
  <si>
    <t>+34 610 31 27 89</t>
  </si>
  <si>
    <t>E0583</t>
  </si>
  <si>
    <t>STEVEN SUAREZ BETANCOURT</t>
  </si>
  <si>
    <t>AZ674414</t>
  </si>
  <si>
    <t>+34 621 19 66 06</t>
  </si>
  <si>
    <t>E1272</t>
  </si>
  <si>
    <t>STIBENSON ARDILA ACUÑA</t>
  </si>
  <si>
    <t>57 321 6276403</t>
  </si>
  <si>
    <t>E1583</t>
  </si>
  <si>
    <t>TAKAMU KAPHILAH AGUDELO CONTECHA</t>
  </si>
  <si>
    <t>+48 690 259 805</t>
  </si>
  <si>
    <t>E1861</t>
  </si>
  <si>
    <t>AX775081</t>
  </si>
  <si>
    <t>+57 300 8005005</t>
  </si>
  <si>
    <t>E1584</t>
  </si>
  <si>
    <t>THALISSON LUCAS SOUSA SILVA</t>
  </si>
  <si>
    <t>351 968 797 392</t>
  </si>
  <si>
    <t>E1305</t>
  </si>
  <si>
    <t>THIAGO ALEXANDREY GOMES DE FREITAS</t>
  </si>
  <si>
    <t>351 925 087 957</t>
  </si>
  <si>
    <t>E1017</t>
  </si>
  <si>
    <t>THIAGO DIAS MOURA</t>
  </si>
  <si>
    <t>351 929 027 114</t>
  </si>
  <si>
    <t>E0702</t>
  </si>
  <si>
    <t>THIAGO FELIPE DA SILVA</t>
  </si>
  <si>
    <t>351 963 487 011</t>
  </si>
  <si>
    <t>E1165</t>
  </si>
  <si>
    <t>THIAGO GOMES DA SILVA</t>
  </si>
  <si>
    <t>+351 913 800 527</t>
  </si>
  <si>
    <t>E0739</t>
  </si>
  <si>
    <t>THIAGO GOMES DE SOUZA</t>
  </si>
  <si>
    <t>351 920 474 628</t>
  </si>
  <si>
    <t>E1285</t>
  </si>
  <si>
    <t>TIAGO VITOR DA SILVA</t>
  </si>
  <si>
    <t>E1004</t>
  </si>
  <si>
    <t>TIMOTEO SIQUEIRA DE VASCONCELLOS</t>
  </si>
  <si>
    <t>351 926 428 436</t>
  </si>
  <si>
    <t>E0576</t>
  </si>
  <si>
    <t>TIRZO GONZALEZ BOLIVAR</t>
  </si>
  <si>
    <t>BE002891</t>
  </si>
  <si>
    <t>+56 9 8311 5105</t>
  </si>
  <si>
    <t>E0971</t>
  </si>
  <si>
    <t>TONIVAL CARDOSO DE MORAES</t>
  </si>
  <si>
    <t>E0316</t>
  </si>
  <si>
    <t>ULISES HERNAN CORDOVA HERNANDEZ</t>
  </si>
  <si>
    <t>122375039</t>
  </si>
  <si>
    <t>+51 967 702 961</t>
  </si>
  <si>
    <t>E0851</t>
  </si>
  <si>
    <t>URIEL CORTES HERNANDEZ</t>
  </si>
  <si>
    <t>+57 310 3378909</t>
  </si>
  <si>
    <t>E1390</t>
  </si>
  <si>
    <t>VALDECI CARLOS DOS SANTOS</t>
  </si>
  <si>
    <t>+351 910 949 060</t>
  </si>
  <si>
    <t>E0807</t>
  </si>
  <si>
    <t>VALDINEI DOMINGOS DOS SANTOS</t>
  </si>
  <si>
    <t>34 665 83 02 00</t>
  </si>
  <si>
    <t>E1784</t>
  </si>
  <si>
    <t>VALMORE HERNANDEZ BARRANTES</t>
  </si>
  <si>
    <t>+34 722 45 65 42</t>
  </si>
  <si>
    <t>E1792</t>
  </si>
  <si>
    <t>VICENCIO VILLAMIZAR LEON</t>
  </si>
  <si>
    <t>BF770493</t>
  </si>
  <si>
    <t>+57 310 784 5110</t>
  </si>
  <si>
    <t>E1111</t>
  </si>
  <si>
    <t>VICTOR ADRIAN SAAVEDRA</t>
  </si>
  <si>
    <t>+54 9 2616 99-8957</t>
  </si>
  <si>
    <t>E2089</t>
  </si>
  <si>
    <t>VICTOR ALFONSO ALFARO</t>
  </si>
  <si>
    <t>+57 312 5514228</t>
  </si>
  <si>
    <t>E1045</t>
  </si>
  <si>
    <t>VICTOR ALFONSO LUQUE CONDORI</t>
  </si>
  <si>
    <t>122646370</t>
  </si>
  <si>
    <t>+51 973 485 913</t>
  </si>
  <si>
    <t>E1741</t>
  </si>
  <si>
    <t>VICTOR ALFONSO MINA QUIJANO</t>
  </si>
  <si>
    <t>BD008003</t>
  </si>
  <si>
    <t>+34 634 84 69 20</t>
  </si>
  <si>
    <t>E1084</t>
  </si>
  <si>
    <t>VICTOR ALFONSO QUINONEZ ALVARADO</t>
  </si>
  <si>
    <t>+34 605 74 94 00</t>
  </si>
  <si>
    <t>E1302</t>
  </si>
  <si>
    <t>VICTOR ALFONSO SANCHEZ</t>
  </si>
  <si>
    <t>E0047</t>
  </si>
  <si>
    <t>VICTOR ANGEL NIQUE YZAGUIRRE</t>
  </si>
  <si>
    <t>L33831378</t>
  </si>
  <si>
    <t xml:space="preserve"> +34 671 23 87 12</t>
  </si>
  <si>
    <t>E0475</t>
  </si>
  <si>
    <t>VICTOR ARTURO GALVEZ PALACIOS</t>
  </si>
  <si>
    <t>123336473</t>
  </si>
  <si>
    <t>+51 933 624 894</t>
  </si>
  <si>
    <t>E0368</t>
  </si>
  <si>
    <t>VICTOR AUGUSTO RAMIREZ GRANDA</t>
  </si>
  <si>
    <t>120655791</t>
  </si>
  <si>
    <t>+34 604 19 04 30</t>
  </si>
  <si>
    <t>E0393</t>
  </si>
  <si>
    <t>VICTOR BLANCO BRAVO</t>
  </si>
  <si>
    <t>AX786057</t>
  </si>
  <si>
    <t>+48 453 199415</t>
  </si>
  <si>
    <t>E1301</t>
  </si>
  <si>
    <t>VICTOR DANIEL ARIAS GONZALEZ</t>
  </si>
  <si>
    <t>BF015606</t>
  </si>
  <si>
    <t>+57 312 4397783</t>
  </si>
  <si>
    <t>E0343</t>
  </si>
  <si>
    <t>VICTOR EDGARDO RAMIREZ GRANDA</t>
  </si>
  <si>
    <t>123852503</t>
  </si>
  <si>
    <t>+51 971 355 509</t>
  </si>
  <si>
    <t>E1920</t>
  </si>
  <si>
    <t>VICTOR EDUARDO VILLAFANE REVOLLO</t>
  </si>
  <si>
    <t>AU499754</t>
  </si>
  <si>
    <t>+48 728 656 420</t>
  </si>
  <si>
    <t>E0653</t>
  </si>
  <si>
    <t>VICTOR HUGO GOSSO</t>
  </si>
  <si>
    <t>+54 9 2612 07-6124</t>
  </si>
  <si>
    <t>E2097</t>
  </si>
  <si>
    <t>VICTOR JAVIER RIERA FLORES</t>
  </si>
  <si>
    <t>173594065</t>
  </si>
  <si>
    <t>+34 614 88 34 49</t>
  </si>
  <si>
    <t>E1807</t>
  </si>
  <si>
    <t>VICTOR MANUEL VELASQUEZ ARROYO</t>
  </si>
  <si>
    <t>BG876889</t>
  </si>
  <si>
    <t>+57 314 621 2695</t>
  </si>
  <si>
    <t>E0045</t>
  </si>
  <si>
    <t>VICTOR RAMON TUANAMA GARCIA</t>
  </si>
  <si>
    <t>119309495</t>
  </si>
  <si>
    <t>+51 959 625 102</t>
  </si>
  <si>
    <t>E1085</t>
  </si>
  <si>
    <t>VILSON GARCIA</t>
  </si>
  <si>
    <t>+351 931 845 572</t>
  </si>
  <si>
    <t>E1766</t>
  </si>
  <si>
    <t>VIVIANO MIGUEL PEINADO ABELLA</t>
  </si>
  <si>
    <t>BF366841</t>
  </si>
  <si>
    <t>+57 320 4649494</t>
  </si>
  <si>
    <t>E0262</t>
  </si>
  <si>
    <t>VLADIMIR CAMILO CASTRO MULFOR</t>
  </si>
  <si>
    <t>AS391108</t>
  </si>
  <si>
    <t>48 505 226 068</t>
  </si>
  <si>
    <t>E1985</t>
  </si>
  <si>
    <t>VLADIMIR ZABALA PARRA</t>
  </si>
  <si>
    <t>+48 796 890 239</t>
  </si>
  <si>
    <t>E0288</t>
  </si>
  <si>
    <t>WALDEMAR ALVAREZ SAENZ</t>
  </si>
  <si>
    <t>BC647759</t>
  </si>
  <si>
    <t>+48 697 101 889</t>
  </si>
  <si>
    <t>E1162</t>
  </si>
  <si>
    <t>WALDIR ENRIQUE VERGARA PACHECO</t>
  </si>
  <si>
    <t>+48 452 849 238</t>
  </si>
  <si>
    <t>E1955</t>
  </si>
  <si>
    <t>WALDO SEGUNDO BARRIGA DURAN</t>
  </si>
  <si>
    <t>AZ000002</t>
  </si>
  <si>
    <t>+34 607 66 08 59</t>
  </si>
  <si>
    <t>E0577</t>
  </si>
  <si>
    <t>WALLACE DA SILVA GOMES</t>
  </si>
  <si>
    <t>FR075656</t>
  </si>
  <si>
    <t>+351 915 504 862</t>
  </si>
  <si>
    <t>E1364</t>
  </si>
  <si>
    <t>WALLACE SEGUNDO DOS SANTOS</t>
  </si>
  <si>
    <t>351 911 962 118</t>
  </si>
  <si>
    <t>E0935</t>
  </si>
  <si>
    <t>WALLYSSON FEITOSA BARBOSA</t>
  </si>
  <si>
    <t>+351 968 657 200</t>
  </si>
  <si>
    <t>E0612</t>
  </si>
  <si>
    <t>WALTER DAVID ZAGARRA RODRIGUEZ</t>
  </si>
  <si>
    <t>BC646207</t>
  </si>
  <si>
    <t>+57 311 286 2440</t>
  </si>
  <si>
    <t>E0582</t>
  </si>
  <si>
    <t>WALTER GOMEZ ROJAS</t>
  </si>
  <si>
    <t>BD183493</t>
  </si>
  <si>
    <t>+57 311 5262741</t>
  </si>
  <si>
    <t>E0741</t>
  </si>
  <si>
    <t>WALTER HURTADO MINA</t>
  </si>
  <si>
    <t>57 300 4097886</t>
  </si>
  <si>
    <t>E0517</t>
  </si>
  <si>
    <t>WALTER RAMIREZ LONDOÑO</t>
  </si>
  <si>
    <t>AU144672</t>
  </si>
  <si>
    <t>+34 613 23 04 98</t>
  </si>
  <si>
    <t>E0455</t>
  </si>
  <si>
    <t>WANDERSON FERREIRA LEMES</t>
  </si>
  <si>
    <t>+351 937 042 472</t>
  </si>
  <si>
    <t>E0986</t>
  </si>
  <si>
    <t>WANDERSON VAGNER SANTOS BAIENSE</t>
  </si>
  <si>
    <t>+351 926 025 530</t>
  </si>
  <si>
    <t>E1183</t>
  </si>
  <si>
    <t>WASHINGTON MERCES DA SILVA</t>
  </si>
  <si>
    <t>+351 912 665 073</t>
  </si>
  <si>
    <t>E0092</t>
  </si>
  <si>
    <t>WAYNER IBARBO VERGARA</t>
  </si>
  <si>
    <t>AT988426</t>
  </si>
  <si>
    <t>+34 613 78 07 45</t>
  </si>
  <si>
    <t>E1337</t>
  </si>
  <si>
    <t>WAYSTEY SILVA SOUSA</t>
  </si>
  <si>
    <t>+351 926 573 734</t>
  </si>
  <si>
    <t>E1863</t>
  </si>
  <si>
    <t>WEIMAR ALEXANDER RUA MESA</t>
  </si>
  <si>
    <t>BG501384</t>
  </si>
  <si>
    <t>+507 633 55125</t>
  </si>
  <si>
    <t>E1005</t>
  </si>
  <si>
    <t>WELLINGTON FERNANDES DE JESUS</t>
  </si>
  <si>
    <t>351 937 455 291</t>
  </si>
  <si>
    <t>E0690</t>
  </si>
  <si>
    <t>WELLINGTON GERONIMO DANTAS</t>
  </si>
  <si>
    <t>55 83 8745 2449</t>
  </si>
  <si>
    <t>E0767</t>
  </si>
  <si>
    <t>WELTON MARQUES PEREIRA</t>
  </si>
  <si>
    <t>351 914 177 021</t>
  </si>
  <si>
    <t>E1711</t>
  </si>
  <si>
    <t>WENDI ALBERTO GARCIA ARRIETA</t>
  </si>
  <si>
    <t>AS668146</t>
  </si>
  <si>
    <t>+34 663 208 642</t>
  </si>
  <si>
    <t>E0972</t>
  </si>
  <si>
    <t>WESLEY ALVES ARAUJO</t>
  </si>
  <si>
    <t>E1323</t>
  </si>
  <si>
    <t>WESLEY DOS SANTOS SARAIVA</t>
  </si>
  <si>
    <t>+351 939 264 296</t>
  </si>
  <si>
    <t>E1818</t>
  </si>
  <si>
    <t>WILBER LOPEZ BALETA</t>
  </si>
  <si>
    <t>AY631036</t>
  </si>
  <si>
    <t>+48 667 403 253</t>
  </si>
  <si>
    <t>E1960</t>
  </si>
  <si>
    <t>WILBERT ORTIZ TOLOSA</t>
  </si>
  <si>
    <t>BG996636</t>
  </si>
  <si>
    <t>+57 322 895 2669</t>
  </si>
  <si>
    <t>E1138</t>
  </si>
  <si>
    <t>WILDER ESNEIDER CHARRIS BERRIO</t>
  </si>
  <si>
    <t>AY948072</t>
  </si>
  <si>
    <t>34 602 42 08 07</t>
  </si>
  <si>
    <t>E1099</t>
  </si>
  <si>
    <t>WILDERSON PERAFAN PEDRAHITA</t>
  </si>
  <si>
    <t>+57 315 2205149</t>
  </si>
  <si>
    <t>E1384</t>
  </si>
  <si>
    <t>WILFREDO ALONSO QUISPESAYHUA CARRION</t>
  </si>
  <si>
    <t>224452881</t>
  </si>
  <si>
    <t>+51 993 390467</t>
  </si>
  <si>
    <t>E1195</t>
  </si>
  <si>
    <t>WILFREDO MAYORGA DURAN</t>
  </si>
  <si>
    <t>+57 310 709 7710</t>
  </si>
  <si>
    <t>E0649</t>
  </si>
  <si>
    <t>WILIAN FERNANDO PIZARRO AMAYA</t>
  </si>
  <si>
    <t>AS451435</t>
  </si>
  <si>
    <t>+57 311 823 5239</t>
  </si>
  <si>
    <t>E0760</t>
  </si>
  <si>
    <t>WILINGTON ORDOÑEZ REYES</t>
  </si>
  <si>
    <t>+34 611 37 90 13</t>
  </si>
  <si>
    <t>E1090</t>
  </si>
  <si>
    <t>WILL ALEXANDER CASTILLA</t>
  </si>
  <si>
    <t>57 301 2744670</t>
  </si>
  <si>
    <t>E0070</t>
  </si>
  <si>
    <t>WILL ALFONSO RODRIGUEZ LUNA</t>
  </si>
  <si>
    <t>AY915897</t>
  </si>
  <si>
    <t> +34 659564336</t>
  </si>
  <si>
    <t>E1810</t>
  </si>
  <si>
    <t>WILLIAM ALEXANDER JARA SANTOS</t>
  </si>
  <si>
    <t>AV741977</t>
  </si>
  <si>
    <t>+57 310 480 0680</t>
  </si>
  <si>
    <t>E0762</t>
  </si>
  <si>
    <t>WILLIAM AMAURY ROJAS FUENTES</t>
  </si>
  <si>
    <t>+34 670 99 85 54</t>
  </si>
  <si>
    <t>E1196</t>
  </si>
  <si>
    <t>WILLIAM DARIO CUERVO ANGULO</t>
  </si>
  <si>
    <t>+34 642 86 42 02</t>
  </si>
  <si>
    <t>E0309</t>
  </si>
  <si>
    <t>WILLIAM HERNAN JARAMILLO RUIZ</t>
  </si>
  <si>
    <t>+57 313 4990245</t>
  </si>
  <si>
    <t>E0091</t>
  </si>
  <si>
    <t>WILLIAM MORAIS DA SILVA</t>
  </si>
  <si>
    <t>GH281425</t>
  </si>
  <si>
    <t>34 654 98 50 51</t>
  </si>
  <si>
    <t>E0075</t>
  </si>
  <si>
    <t>WILLIAM NOE MANRIQUE MOREYRA</t>
  </si>
  <si>
    <t>122474825</t>
  </si>
  <si>
    <t>+51 956 948 971</t>
  </si>
  <si>
    <t>E1939</t>
  </si>
  <si>
    <t>WILLIAM NORBERTO MELO MELO</t>
  </si>
  <si>
    <t>BF462864</t>
  </si>
  <si>
    <t>+57 316 2540548</t>
  </si>
  <si>
    <t>E0878</t>
  </si>
  <si>
    <t>WILLIAM PASTOR CONSUEGRA DE LA HOZ</t>
  </si>
  <si>
    <t>+48 509 594 429</t>
  </si>
  <si>
    <t>E0610</t>
  </si>
  <si>
    <t>WILLIAM PUENTES ANTOLINEZ</t>
  </si>
  <si>
    <t>AQ825685</t>
  </si>
  <si>
    <t>+34 614 79 54 69</t>
  </si>
  <si>
    <t>E1938</t>
  </si>
  <si>
    <t>WILLIAM RAFAEL LEE HERNANDEZ</t>
  </si>
  <si>
    <t>AZ283975</t>
  </si>
  <si>
    <t>+57 304 485 0644</t>
  </si>
  <si>
    <t>E1217</t>
  </si>
  <si>
    <t>WILLIAM SEBASTIAN MAYA GOMEZ</t>
  </si>
  <si>
    <t>57 322 2234763</t>
  </si>
  <si>
    <t>E0624</t>
  </si>
  <si>
    <t>WILLIAM YECID ERAZO JURADO</t>
  </si>
  <si>
    <t>AT072455</t>
  </si>
  <si>
    <t>+34 653 89 35 66</t>
  </si>
  <si>
    <t>E1847</t>
  </si>
  <si>
    <t>WILLIAMS HUMBERTO ABAD MONTALBAN</t>
  </si>
  <si>
    <t>125067652</t>
  </si>
  <si>
    <t>+34 684 711 903</t>
  </si>
  <si>
    <t>E0007</t>
  </si>
  <si>
    <t>WILLIAN ALFREDO RUSSO LINERO</t>
  </si>
  <si>
    <t>BE9006250</t>
  </si>
  <si>
    <t>+57 304 2983520</t>
  </si>
  <si>
    <t>E0928</t>
  </si>
  <si>
    <t>WILLIAN LINO NOLASCO BAÑOS</t>
  </si>
  <si>
    <t>51987488210</t>
  </si>
  <si>
    <t>E1949</t>
  </si>
  <si>
    <t>WILLIAN VARGAS CACERES</t>
  </si>
  <si>
    <t>124813640</t>
  </si>
  <si>
    <t>+51902130090</t>
  </si>
  <si>
    <t>E0701</t>
  </si>
  <si>
    <t>WILLIANS MARCOS PEREIRA NASCIMENTO</t>
  </si>
  <si>
    <t>351 913 813 012</t>
  </si>
  <si>
    <t>E0700</t>
  </si>
  <si>
    <t>WILMAN ARBEY ROMERO GONZALEZ</t>
  </si>
  <si>
    <t>+57 315 7189761</t>
  </si>
  <si>
    <t>E1047</t>
  </si>
  <si>
    <t>WILMAN CEBALLOS SINISTERRA</t>
  </si>
  <si>
    <t>+57 321 6982666</t>
  </si>
  <si>
    <t>E0234</t>
  </si>
  <si>
    <t>WILMAN DE AVILA MARRIAGA</t>
  </si>
  <si>
    <t>AT094343</t>
  </si>
  <si>
    <t>+57 300 5341558</t>
  </si>
  <si>
    <t>E0520</t>
  </si>
  <si>
    <t>WILMAN JOSE SANCHEZ ORTIZ</t>
  </si>
  <si>
    <t>+57 304 6054741</t>
  </si>
  <si>
    <t>E0723</t>
  </si>
  <si>
    <t>WILMAR ARNOBIO AGREDO BENEVIDES</t>
  </si>
  <si>
    <t>34 662 63 45 45</t>
  </si>
  <si>
    <t>E0266</t>
  </si>
  <si>
    <t>WILMAR ESTUPIÑAN ANGULO</t>
  </si>
  <si>
    <t>BE288070</t>
  </si>
  <si>
    <t xml:space="preserve">+34 613 85 53 74 </t>
  </si>
  <si>
    <t>E2027</t>
  </si>
  <si>
    <t>WILMAR JOSE SANCHEZ ORTIZ</t>
  </si>
  <si>
    <t>BA567394</t>
  </si>
  <si>
    <t>+34 643 922 343</t>
  </si>
  <si>
    <t>E1926</t>
  </si>
  <si>
    <t>WILMER ANDRES AREVALO MARIN</t>
  </si>
  <si>
    <t>BH135499</t>
  </si>
  <si>
    <t>+57 321 222 5092</t>
  </si>
  <si>
    <t>E2034</t>
  </si>
  <si>
    <t>WILMER ANTONIO BLANCO ALVAREZ</t>
  </si>
  <si>
    <t>BA973407</t>
  </si>
  <si>
    <t>+34 653 11 69 16</t>
  </si>
  <si>
    <t>E0630</t>
  </si>
  <si>
    <t>WILMER DE JESUS ARIZA MUÑOZ</t>
  </si>
  <si>
    <t>BA779790</t>
  </si>
  <si>
    <t>+48 795 202 322</t>
  </si>
  <si>
    <t>E1585</t>
  </si>
  <si>
    <t>WILMER FERNANDO ROJAS RAMIREZ</t>
  </si>
  <si>
    <t>+57 321 3121347</t>
  </si>
  <si>
    <t>E1136</t>
  </si>
  <si>
    <t>WILMER GONZALEZ QUINTERO</t>
  </si>
  <si>
    <t>+57 305 2883387</t>
  </si>
  <si>
    <t>E1831</t>
  </si>
  <si>
    <t>WILMER LEANDRO SANCHEZ</t>
  </si>
  <si>
    <t>BG770160</t>
  </si>
  <si>
    <t>+34 699 284 853</t>
  </si>
  <si>
    <t>E1718</t>
  </si>
  <si>
    <t>WILMER PEREZ CUSBA</t>
  </si>
  <si>
    <t>AU230049</t>
  </si>
  <si>
    <t>+48 503 378 536</t>
  </si>
  <si>
    <t>E0142</t>
  </si>
  <si>
    <t>WILMER RAUL NUÑEZ RAFAEL</t>
  </si>
  <si>
    <t>+51 993 760 068</t>
  </si>
  <si>
    <t>E2058</t>
  </si>
  <si>
    <t>WILMER SEGOVIA GARCIA</t>
  </si>
  <si>
    <t>AY970731</t>
  </si>
  <si>
    <t>+57 300 420 8439</t>
  </si>
  <si>
    <t>E0493</t>
  </si>
  <si>
    <t>WILMER SIMANCA GOMEZ</t>
  </si>
  <si>
    <t>AR481339</t>
  </si>
  <si>
    <t>+48 725 712 619</t>
  </si>
  <si>
    <t>E0296</t>
  </si>
  <si>
    <t>WILMER YANAYACO PINEDO</t>
  </si>
  <si>
    <t>+51 934 628 474</t>
  </si>
  <si>
    <t>E2031</t>
  </si>
  <si>
    <t>WILSON ALEXANDER GOMEZ</t>
  </si>
  <si>
    <t>BD498839</t>
  </si>
  <si>
    <t>+57 318 435 5987</t>
  </si>
  <si>
    <t>E1357</t>
  </si>
  <si>
    <t>WILSON CAMILO CHAPARRO CASTAÑEDA</t>
  </si>
  <si>
    <t>+57 320 200 9975</t>
  </si>
  <si>
    <t>E1586</t>
  </si>
  <si>
    <t>WILSON CHUQUIVIGUEL BRICEÑO</t>
  </si>
  <si>
    <t>120289518</t>
  </si>
  <si>
    <t>51 986 341 983</t>
  </si>
  <si>
    <t>E1135</t>
  </si>
  <si>
    <t>WILSON CUERO ALVAREZ</t>
  </si>
  <si>
    <t>+34 643 23 85 63</t>
  </si>
  <si>
    <t>E0519</t>
  </si>
  <si>
    <t>WILSON DAVID HERNANDEZ SEGURA</t>
  </si>
  <si>
    <t>+34 665 08 67 37</t>
  </si>
  <si>
    <t>E0619</t>
  </si>
  <si>
    <t>WILSON FLORES ROMERO</t>
  </si>
  <si>
    <t>124364842</t>
  </si>
  <si>
    <t>+51 925 507 380</t>
  </si>
  <si>
    <t>E0714</t>
  </si>
  <si>
    <t>WILSON RODRIGUEZ AGUDELO</t>
  </si>
  <si>
    <t>57 313 4638328</t>
  </si>
  <si>
    <t>E0317</t>
  </si>
  <si>
    <t>WILSON VALLEJO HERRERA</t>
  </si>
  <si>
    <t>BA136289</t>
  </si>
  <si>
    <t>+57 310 4956591</t>
  </si>
  <si>
    <t>E1587</t>
  </si>
  <si>
    <t>WILSON YESID GUARIN GALAN</t>
  </si>
  <si>
    <t>57 311 521 4025</t>
  </si>
  <si>
    <t>E1398</t>
  </si>
  <si>
    <t>WILTON MANUEL CRUZ RAMIREZ</t>
  </si>
  <si>
    <t>BC361603</t>
  </si>
  <si>
    <t>+48 725 837 008</t>
  </si>
  <si>
    <t>E0809</t>
  </si>
  <si>
    <t>XAVIER DE LOS ANGELES FERIA ALMANZA</t>
  </si>
  <si>
    <t>57 317 7767188</t>
  </si>
  <si>
    <t>E0111</t>
  </si>
  <si>
    <t>XEMIR SOLER ROMERO</t>
  </si>
  <si>
    <t>AX418409</t>
  </si>
  <si>
    <t>+34 635 52 71 34</t>
  </si>
  <si>
    <t>E0810</t>
  </si>
  <si>
    <t>YAFARD LOPEZ PASTES</t>
  </si>
  <si>
    <t>34 670 21 78 85</t>
  </si>
  <si>
    <t>E0840</t>
  </si>
  <si>
    <t>YAMID EDUARDO GARCIA GONZALEZ</t>
  </si>
  <si>
    <t>48 506 260291</t>
  </si>
  <si>
    <t>E1371</t>
  </si>
  <si>
    <t>YAMIR CUTIVA SANCHEZ</t>
  </si>
  <si>
    <t>BC756010</t>
  </si>
  <si>
    <t>+57 323 8269922</t>
  </si>
  <si>
    <t>E1653</t>
  </si>
  <si>
    <t>YAN CARLOS ACEVEDO RUIZ</t>
  </si>
  <si>
    <t>AX604079</t>
  </si>
  <si>
    <t>573159253699</t>
  </si>
  <si>
    <t>E1972</t>
  </si>
  <si>
    <t>YAN CARLOS RUIZ ROJAS</t>
  </si>
  <si>
    <t>BF881866</t>
  </si>
  <si>
    <t>+48 605 955 025</t>
  </si>
  <si>
    <t>E1788</t>
  </si>
  <si>
    <t>YANNY ALBERTO HERNANDEZ LOZANO</t>
  </si>
  <si>
    <t>BF3389675</t>
  </si>
  <si>
    <t>+57 322 7119087</t>
  </si>
  <si>
    <t>E1288</t>
  </si>
  <si>
    <t>YEEN LEONARD MARTINEZ YUPANQUI</t>
  </si>
  <si>
    <t>+51 933 842 496</t>
  </si>
  <si>
    <t>E2123</t>
  </si>
  <si>
    <t>YEFERSON DANIEL NEIRA ESPINOSA</t>
  </si>
  <si>
    <t>BH336988</t>
  </si>
  <si>
    <t>+34 623456477</t>
  </si>
  <si>
    <t>E0230</t>
  </si>
  <si>
    <t>YEFFERSON ZULUAGA BUITRAGO</t>
  </si>
  <si>
    <t>AU926102</t>
  </si>
  <si>
    <t>+57 313 6333468</t>
  </si>
  <si>
    <t>E0528</t>
  </si>
  <si>
    <t>YEFRY JAMIR DIAZ DIAZ</t>
  </si>
  <si>
    <t>BD024885</t>
  </si>
  <si>
    <t>+57 310 5708908</t>
  </si>
  <si>
    <t>E0919</t>
  </si>
  <si>
    <t>YEISON ANDRES TORRES NIÑO</t>
  </si>
  <si>
    <t>34 613 27 65 72</t>
  </si>
  <si>
    <t>E0636</t>
  </si>
  <si>
    <t>YEISON ARLEY DIAZ CHAUX</t>
  </si>
  <si>
    <t>+34 613 215 435</t>
  </si>
  <si>
    <t>E1739</t>
  </si>
  <si>
    <t>YEISON ARLEY TOBON MORENO</t>
  </si>
  <si>
    <t>BD199342</t>
  </si>
  <si>
    <t>+34 647 584 935</t>
  </si>
  <si>
    <t>E0469</t>
  </si>
  <si>
    <t>YEISON DE AVILA MENDOZA</t>
  </si>
  <si>
    <t>+34 672 52 53 64</t>
  </si>
  <si>
    <t>E2129</t>
  </si>
  <si>
    <t>YEISON HUGO ANGEL CALDERON</t>
  </si>
  <si>
    <t>AY358329</t>
  </si>
  <si>
    <t>+57 320 4799216</t>
  </si>
  <si>
    <t>E0305</t>
  </si>
  <si>
    <t>YEISON SAMIR CAICEDO</t>
  </si>
  <si>
    <t>BD375114</t>
  </si>
  <si>
    <t>+57 312 7594407</t>
  </si>
  <si>
    <t>E0039</t>
  </si>
  <si>
    <t>YERSON GABRIEL ARISTIZABAL LOZANO</t>
  </si>
  <si>
    <t>+57 320 412 8140</t>
  </si>
  <si>
    <t>E0411</t>
  </si>
  <si>
    <t>YERSON RENE CALA NAVARRO</t>
  </si>
  <si>
    <t>+34 611 22 84 88</t>
  </si>
  <si>
    <t>E0358</t>
  </si>
  <si>
    <t>YESID DAVID GOMEZ ARZUAGA</t>
  </si>
  <si>
    <t>BD443602</t>
  </si>
  <si>
    <t>+34 747 85 59 26</t>
  </si>
  <si>
    <t>E0397</t>
  </si>
  <si>
    <t>YESID NIEVA</t>
  </si>
  <si>
    <t>AU612268</t>
  </si>
  <si>
    <t>+34 614 55 63 50</t>
  </si>
  <si>
    <t>E1830</t>
  </si>
  <si>
    <t>YESID RAFAEL ZARATE MANJARREZ</t>
  </si>
  <si>
    <t>BA907407</t>
  </si>
  <si>
    <t>+48 787 983 913</t>
  </si>
  <si>
    <t>E1134</t>
  </si>
  <si>
    <t>YESSID MANUEL BLANCO PUCHE</t>
  </si>
  <si>
    <t>48576124352</t>
  </si>
  <si>
    <t>E1864</t>
  </si>
  <si>
    <t>YESSID RAFAEL BLANCO VILLANUEVA</t>
  </si>
  <si>
    <t>+34 671 30 56 27</t>
  </si>
  <si>
    <t>E0589</t>
  </si>
  <si>
    <t>YEXID ELIAS JULIO LICONA</t>
  </si>
  <si>
    <t>AY941476</t>
  </si>
  <si>
    <t>+34 603 794 417</t>
  </si>
  <si>
    <t>E1886</t>
  </si>
  <si>
    <t>YIMI ALEXANDER TRIANA FRANCO</t>
  </si>
  <si>
    <t>BG894646</t>
  </si>
  <si>
    <t>+57 322 3039788</t>
  </si>
  <si>
    <t>E2063</t>
  </si>
  <si>
    <t>YIMIS ALFREDO FERNANDEZ PENA</t>
  </si>
  <si>
    <t>BD087312</t>
  </si>
  <si>
    <t>+57 321 939 0551</t>
  </si>
  <si>
    <t>E0633</t>
  </si>
  <si>
    <t>YIMIS RAMIRO PEREZ ARRIETA</t>
  </si>
  <si>
    <t>AU057724</t>
  </si>
  <si>
    <t>+507 6817 1817</t>
  </si>
  <si>
    <t>E0930</t>
  </si>
  <si>
    <t>YIMMI MOSQUERA GONZALEZ</t>
  </si>
  <si>
    <t>+34 602 04 67 24</t>
  </si>
  <si>
    <t>E1235</t>
  </si>
  <si>
    <t>YOANNY ARQUIMIDES CHAVERRA FLOREZ</t>
  </si>
  <si>
    <t>34 695 03 28 57</t>
  </si>
  <si>
    <t>E0032</t>
  </si>
  <si>
    <t>YOBER HUAMAN VELASQUE</t>
  </si>
  <si>
    <t>123632572</t>
  </si>
  <si>
    <t>+51 978 019 047</t>
  </si>
  <si>
    <t>E0239</t>
  </si>
  <si>
    <t>YODARLI GONZALEZ BRAVO</t>
  </si>
  <si>
    <t>AS426531</t>
  </si>
  <si>
    <t>+57 301 224 8883</t>
  </si>
  <si>
    <t>E1691</t>
  </si>
  <si>
    <t>YOEL DAVID SANCHEZ BRANCHO</t>
  </si>
  <si>
    <t>+33 604 465 272</t>
  </si>
  <si>
    <t>E0657</t>
  </si>
  <si>
    <t>YOELMI LEONARDO MONSALVE ARZUZA</t>
  </si>
  <si>
    <t>+48 501 129 503</t>
  </si>
  <si>
    <t>E0173</t>
  </si>
  <si>
    <t>YOFRE DAVID ERAZO TORRES</t>
  </si>
  <si>
    <t>AT882922</t>
  </si>
  <si>
    <t>57 311 6928659</t>
  </si>
  <si>
    <t>E0791</t>
  </si>
  <si>
    <t>YOISER ALBERTO POLO MERCADO</t>
  </si>
  <si>
    <t>BC550834</t>
  </si>
  <si>
    <t>+34 652 65 40 69</t>
  </si>
  <si>
    <t>E1884</t>
  </si>
  <si>
    <t>YOLMAN PEREZ SANCHEZ</t>
  </si>
  <si>
    <t>AW832485</t>
  </si>
  <si>
    <t>+57 313 3546130</t>
  </si>
  <si>
    <t>E1945</t>
  </si>
  <si>
    <t>YOLMAR MARULANDA PEREZ</t>
  </si>
  <si>
    <t>BH189069</t>
  </si>
  <si>
    <t>+57 304 201 6013</t>
  </si>
  <si>
    <t>E1378</t>
  </si>
  <si>
    <t>YONATAN RODRIGUEZ LUNA</t>
  </si>
  <si>
    <t>57 316 2459948</t>
  </si>
  <si>
    <t>E1225</t>
  </si>
  <si>
    <t>YONATHAN SANTIAGO MEDINA PATARROYO</t>
  </si>
  <si>
    <t>VERIFICAR</t>
  </si>
  <si>
    <t>57 318 8081762</t>
  </si>
  <si>
    <t>E0350</t>
  </si>
  <si>
    <t>YONNY ALEXANDER HERNANDEZ CHALACAN</t>
  </si>
  <si>
    <t>AY836464</t>
  </si>
  <si>
    <t>+57 317 4549800</t>
  </si>
  <si>
    <t>E0269</t>
  </si>
  <si>
    <t>YONY ALEXANDER BERNAL ARCINIEGAS</t>
  </si>
  <si>
    <t>AV413433</t>
  </si>
  <si>
    <t>+34 611 22 77 10</t>
  </si>
  <si>
    <t>E0758</t>
  </si>
  <si>
    <t>YONY SMITH MORALES ORTIZ</t>
  </si>
  <si>
    <t>+34 631 86 10 68</t>
  </si>
  <si>
    <t>E2064</t>
  </si>
  <si>
    <t>YORVY RAFAEL MARTINEZ ROMERO</t>
  </si>
  <si>
    <t>194343305</t>
  </si>
  <si>
    <t>+34 631 16 01 28</t>
  </si>
  <si>
    <t>E0822</t>
  </si>
  <si>
    <t>YOVANY ALEXANDER GIL GARCIA</t>
  </si>
  <si>
    <t>+34 641 27 76 80</t>
  </si>
  <si>
    <t>E0354</t>
  </si>
  <si>
    <t>YUBYINER SANTIAGO CELIS</t>
  </si>
  <si>
    <t>+51 923 167 359</t>
  </si>
  <si>
    <t>E0405</t>
  </si>
  <si>
    <t>YULDOR MAURICIO BOLAÑOS</t>
  </si>
  <si>
    <t>AT915053</t>
  </si>
  <si>
    <t>+34 607 43 29 84</t>
  </si>
  <si>
    <t>E1060</t>
  </si>
  <si>
    <t>YUNNIS ARROYO CASTILLO</t>
  </si>
  <si>
    <t>57 317 8624832</t>
  </si>
  <si>
    <t>E1279</t>
  </si>
  <si>
    <t>YURI MARCELINO SALAS SANCHEZ</t>
  </si>
  <si>
    <t>+51 965 999 031</t>
  </si>
  <si>
    <t>E1055</t>
  </si>
  <si>
    <t>YUSSED MURADT CHAVES AMEZQUITA</t>
  </si>
  <si>
    <t>B302544</t>
  </si>
  <si>
    <t>34 641 54 64 62</t>
  </si>
  <si>
    <t>E0192</t>
  </si>
  <si>
    <t>YUVER RUSO CRUZ DAMIAN</t>
  </si>
  <si>
    <t>12455777</t>
  </si>
  <si>
    <t>+51 920 618 473</t>
  </si>
  <si>
    <t>E1588</t>
  </si>
  <si>
    <t>ZAIR GIL AMARIS</t>
  </si>
  <si>
    <t>48 733 394 633</t>
  </si>
  <si>
    <t>Janeiro</t>
  </si>
  <si>
    <t>Fevereiro</t>
  </si>
  <si>
    <t>Março</t>
  </si>
  <si>
    <t>Abril</t>
  </si>
  <si>
    <t>Maio</t>
  </si>
  <si>
    <t>Junho</t>
  </si>
  <si>
    <t>Julho</t>
  </si>
  <si>
    <t>Agosto</t>
  </si>
  <si>
    <t>Wiseowe</t>
  </si>
  <si>
    <t>Kotrik Industrial</t>
  </si>
  <si>
    <t>Kotrik Rosas</t>
  </si>
  <si>
    <t>VENCIMENTOS JANEIRO</t>
  </si>
  <si>
    <t>EMPRESA</t>
  </si>
  <si>
    <t>COD</t>
  </si>
  <si>
    <t>TRABALHADOR</t>
  </si>
  <si>
    <t>INICIO VINCULO</t>
  </si>
  <si>
    <t>FIM VINCULO</t>
  </si>
  <si>
    <t>HORAS TRABALHADAS</t>
  </si>
  <si>
    <t>TARIFA</t>
  </si>
  <si>
    <t>ALOJAMENTO</t>
  </si>
  <si>
    <t>DIAS DE ALTA</t>
  </si>
  <si>
    <t>IMPOSTO</t>
  </si>
  <si>
    <t>CARRO</t>
  </si>
  <si>
    <t>OUTROS DEScontos</t>
  </si>
  <si>
    <t>VALOR</t>
  </si>
  <si>
    <t>SALDO PENDENTE</t>
  </si>
  <si>
    <t>Columna1</t>
  </si>
  <si>
    <t>KR</t>
  </si>
  <si>
    <t>WS</t>
  </si>
  <si>
    <t>KI</t>
  </si>
  <si>
    <t>LM</t>
  </si>
  <si>
    <t>ANA LUIZA TAVARES LARA</t>
  </si>
  <si>
    <t>BRENDA JAVORSKI NECKEL</t>
  </si>
  <si>
    <t>CARLOS DE MARINS MENINO JUNIOR</t>
  </si>
  <si>
    <t>EMMANUEL DE LIMA MACIÉL</t>
  </si>
  <si>
    <t>EVA MARIA KOTRIK REIS</t>
  </si>
  <si>
    <t>FERNANDO HENRIQUE GONÇALVES PZIVITOVSKI</t>
  </si>
  <si>
    <t>JONATHAN DUBINSKI DA SILVA</t>
  </si>
  <si>
    <t>KAROL PAOLA ROLON PITRE</t>
  </si>
  <si>
    <t>LUCCAS SABATKE MELLO</t>
  </si>
  <si>
    <t>MARCELO KOTRICH</t>
  </si>
  <si>
    <t>MARIA EDUARDA MOURA ALBUQUERQUE</t>
  </si>
  <si>
    <t>MARIA EDUARDA RABELO DE MELO</t>
  </si>
  <si>
    <t>REBECA MARIA CASTRO PAREJA</t>
  </si>
  <si>
    <t>TANIA GISSELA CACERES SANCHEZ</t>
  </si>
  <si>
    <t>VALTENCIR KOTRIK ROSAS</t>
  </si>
  <si>
    <t>YAJAIRA YESENIA DIAZ PITRE</t>
  </si>
  <si>
    <t>Cliente</t>
  </si>
  <si>
    <t>Empresa</t>
  </si>
  <si>
    <t>Funcion</t>
  </si>
  <si>
    <t>COD_colab</t>
  </si>
  <si>
    <t>Trabalhador</t>
  </si>
  <si>
    <t>Periodo_fat</t>
  </si>
  <si>
    <t>Total_Horas</t>
  </si>
  <si>
    <t>Dias_lancados</t>
  </si>
  <si>
    <t>Soma_qtd_hrs_old</t>
  </si>
  <si>
    <t>Soma_Qtd_hrs</t>
  </si>
  <si>
    <t>Total_Horas_Ajustado</t>
  </si>
  <si>
    <t>Dif_Horas</t>
  </si>
  <si>
    <t>105-INGENIERIA PARA EL DESAROLLO TECNOLOGICO</t>
  </si>
  <si>
    <t>KOTRIK</t>
  </si>
  <si>
    <t>SOLDADOR TIG (GTAW)</t>
  </si>
  <si>
    <t>JOIN VILLEGAS</t>
  </si>
  <si>
    <t>SOLDADOR ELECTRODO (SMAW)</t>
  </si>
  <si>
    <t>SANTIAGO CELU YUBYINER</t>
  </si>
  <si>
    <t>148-MONTAJES GOMUR S.L</t>
  </si>
  <si>
    <t>CALDERERO / SOLDADOR (MIG-MAG)</t>
  </si>
  <si>
    <t>VICTOR GALVEZ PALACIOS</t>
  </si>
  <si>
    <t>ZEVALLOS BENITES JOSUE</t>
  </si>
  <si>
    <t>191-TALLERES LANDALICE SA</t>
  </si>
  <si>
    <t>203-TECNOLOGIA MECANICA I ELECTRA SLU</t>
  </si>
  <si>
    <t>225-CARVISA CONTAINER SLU</t>
  </si>
  <si>
    <t>E0001590</t>
  </si>
  <si>
    <t>BAIRON BURBANO</t>
  </si>
  <si>
    <t>ELKIN GARZON LOPEZ</t>
  </si>
  <si>
    <t>FABIAN CERÓN</t>
  </si>
  <si>
    <t>30-CALDENOR</t>
  </si>
  <si>
    <t>DAMIAN ZAMBRANO</t>
  </si>
  <si>
    <t>EVALIO ANGULO</t>
  </si>
  <si>
    <t>SOLDADOR MIG-MAG / ELECTRODO (GMAW / SMAW)</t>
  </si>
  <si>
    <t>42-CALDESOL</t>
  </si>
  <si>
    <t>JESUS CARDENAS RIVERA</t>
  </si>
  <si>
    <t>43-CAM IMPIANTI INDUSTRIALI SRL</t>
  </si>
  <si>
    <t>TUBERO</t>
  </si>
  <si>
    <t>ALVARO ROJAS</t>
  </si>
  <si>
    <t>CARLOS A. RAMOS Q.</t>
  </si>
  <si>
    <t>AYUDANTE</t>
  </si>
  <si>
    <t>EDILBERTO DOMINGUEZ</t>
  </si>
  <si>
    <t>GUILLERMO POSADA</t>
  </si>
  <si>
    <t>HENÁN QUINTERO JARAMILLO</t>
  </si>
  <si>
    <t>JORDY ALEXADER ALVA PAYAC</t>
  </si>
  <si>
    <t>JOSE DE JESUS MENDOZA</t>
  </si>
  <si>
    <t>RENZO CHUNGA LUJAN</t>
  </si>
  <si>
    <t>ROLANDO CATUNTA M.</t>
  </si>
  <si>
    <t>SOLDADOR TIG / ELECTRODO (GTAW / SMAW)</t>
  </si>
  <si>
    <t>STIVEN PENAGOS</t>
  </si>
  <si>
    <t>WILMER YANAYACO</t>
  </si>
  <si>
    <t>YOBER HUAMAN VELASQUEZ</t>
  </si>
  <si>
    <t>71-ELYTT ENERGY</t>
  </si>
  <si>
    <t>EDILSON FIERRO</t>
  </si>
  <si>
    <t>84-GRUPO LOAFA</t>
  </si>
  <si>
    <t>119-LASAFE SLU</t>
  </si>
  <si>
    <t>LUMINOUS</t>
  </si>
  <si>
    <t>CALDERERO MONTADOR</t>
  </si>
  <si>
    <t>LEONARDO RIOS CORREA</t>
  </si>
  <si>
    <t>130-MEN MONTAJES INDUSTRIALES</t>
  </si>
  <si>
    <t>FABIO LUJAN</t>
  </si>
  <si>
    <t>HERNAN ALEJANDRO TARAZONA</t>
  </si>
  <si>
    <t>JUAN ALBERTO RODRÍGUEZ</t>
  </si>
  <si>
    <t>NASSER MERCES LUNA</t>
  </si>
  <si>
    <t>13-ARDANORE 14 SL</t>
  </si>
  <si>
    <t>AYRTON CUMPA SENADOR</t>
  </si>
  <si>
    <t>JAVIER PEREA</t>
  </si>
  <si>
    <t>JESUS A. GONZALES F.</t>
  </si>
  <si>
    <t>LUIS RAMIREZ PINEDO</t>
  </si>
  <si>
    <t>SIMION CHILANGANO</t>
  </si>
  <si>
    <t>144-MOINTER S.L</t>
  </si>
  <si>
    <t>RAINERD SALAZAR FAJARDOO</t>
  </si>
  <si>
    <t>YODARLI GONZALEZ B</t>
  </si>
  <si>
    <t>16-ATTSU TECNIVAP S.A</t>
  </si>
  <si>
    <t>GUERMAIN SAJAMIN</t>
  </si>
  <si>
    <t>17-AURO-TUB S.L</t>
  </si>
  <si>
    <t>WILLIAM MANRIQUE</t>
  </si>
  <si>
    <t>186-TACMAN 2000</t>
  </si>
  <si>
    <t>CALDERERO DE FABRICACIÓN</t>
  </si>
  <si>
    <t>19-AZERO</t>
  </si>
  <si>
    <t>DAVID SANCHEZ ZAPATA</t>
  </si>
  <si>
    <t>MONTADOR (ARMADOR) / SOLDADOR (ELETRODO)</t>
  </si>
  <si>
    <t>JUAN FERNANDO DUQUE C</t>
  </si>
  <si>
    <t>214-AUTOMATISMES ELECTRICS GRANOLLERS, S.L</t>
  </si>
  <si>
    <t>EDWAR A. BENACHI A.</t>
  </si>
  <si>
    <t>ELECTRICISTA</t>
  </si>
  <si>
    <t>JORGE ZAMORA</t>
  </si>
  <si>
    <t>RUBEN HURTADO</t>
  </si>
  <si>
    <t>21-BABCOCK MONTAJES S.A.U</t>
  </si>
  <si>
    <t>RAFAEL REYES ROMERO</t>
  </si>
  <si>
    <t>225-CARVISA CONTAINER S.L.U</t>
  </si>
  <si>
    <t>22-BACHILLER</t>
  </si>
  <si>
    <t>MECÁNICO INDUSTRIAL</t>
  </si>
  <si>
    <t>SOLDADOR TIG / MIG-MAG (GTAW / GMAW)</t>
  </si>
  <si>
    <t>FERNANDO TOVAR LLAMOZA</t>
  </si>
  <si>
    <t>TORNERO (CONVENCIONAL)</t>
  </si>
  <si>
    <t>FREDIS A. MORELOS COLON</t>
  </si>
  <si>
    <t>GIOVANNI SALAZAR HIDALGO</t>
  </si>
  <si>
    <t>GONZALO N.</t>
  </si>
  <si>
    <t>GUSTAVO DONOSO</t>
  </si>
  <si>
    <t>HERNÁN RODRIGUEZ</t>
  </si>
  <si>
    <t>JOSE GUILLERMO PENA</t>
  </si>
  <si>
    <t>JUAN ANDRÉS AGUILAR</t>
  </si>
  <si>
    <t>LUIS CARLOS PEREZ G</t>
  </si>
  <si>
    <t>NIVALDO</t>
  </si>
  <si>
    <t>PAVEL FERNANDO GARCIA</t>
  </si>
  <si>
    <t>RICARDO SANCHEZ BECERRA</t>
  </si>
  <si>
    <t>WILLIAM MORAIS</t>
  </si>
  <si>
    <t>WILSON CHUQUIVIGUEL B.</t>
  </si>
  <si>
    <t>233-MANUFACTURES DFERRO SLU</t>
  </si>
  <si>
    <t>234-TINCASUR SUR S.L</t>
  </si>
  <si>
    <t>MICHAEL AHUMADA RUBIO</t>
  </si>
  <si>
    <t>257-TALLERES RO-DA-JE S.L</t>
  </si>
  <si>
    <t>ENCARGADO SOLDADURA</t>
  </si>
  <si>
    <t>GRANALLADOR (ARENADOR)</t>
  </si>
  <si>
    <t>265-SINFINES FACTORY S.L</t>
  </si>
  <si>
    <t>MONTADOR (ARMADOR) / SOLDADOR (TIG / MIG-MAG)</t>
  </si>
  <si>
    <t>MOISES MUÑOZ ZAMBRANO</t>
  </si>
  <si>
    <t>266-CALVO CONTRUCCIONES Y MONTAJES S.L</t>
  </si>
  <si>
    <t>CALDERERO / SOLDADOR (TIG / MIG-MAG)</t>
  </si>
  <si>
    <t>ANGEL TEHERAN C.</t>
  </si>
  <si>
    <t>HARRYS MENDOZA ANGULO</t>
  </si>
  <si>
    <t>JAIR PLAZA</t>
  </si>
  <si>
    <t>273-HERRERIA MITXEL S.L</t>
  </si>
  <si>
    <t>RICARDO BONILLA BLANCO</t>
  </si>
  <si>
    <t>279-GAMOHER CONSTRUCCIONES METÁLICAS S.L</t>
  </si>
  <si>
    <t>MONTADOR (ARMADOR) / SOLDADOR (MIG-MAG / ELECTRODO)</t>
  </si>
  <si>
    <t>CARLOS MARIO ROCHA</t>
  </si>
  <si>
    <t>33-CALDERAS RCB</t>
  </si>
  <si>
    <t>SOLDADOR MIG-MAG (GMAW)</t>
  </si>
  <si>
    <t>CHRISTIAN CAMILO BORRE SILVA</t>
  </si>
  <si>
    <t>EDUAR MANUEL DAVILA CERÓN</t>
  </si>
  <si>
    <t>41-CMR SA</t>
  </si>
  <si>
    <t>ALEXIS E MORENO ARRIETA</t>
  </si>
  <si>
    <t>SERGIO BELTRAN</t>
  </si>
  <si>
    <t>ARLEY PANTOJA</t>
  </si>
  <si>
    <t>MONTADOR (ARMADOR) / SOLDADOR (MIG-MAG)</t>
  </si>
  <si>
    <t>CARLOS CARDENAS</t>
  </si>
  <si>
    <t>HERNANDO MAESTRE</t>
  </si>
  <si>
    <t>54-COMESA</t>
  </si>
  <si>
    <t>CERRAJERO</t>
  </si>
  <si>
    <t>CARLOS RODRIGUEZ</t>
  </si>
  <si>
    <t>CALDERERO / SOLDADOR (TIG)</t>
  </si>
  <si>
    <t>CHAVEZ GARCIA, NIXO ELIECER</t>
  </si>
  <si>
    <t>MONTADOR (ARMADOR) / SOLDADOR (TIG)</t>
  </si>
  <si>
    <t>EDGAR CORRALES H</t>
  </si>
  <si>
    <t>MONTADOR DE ESTRUTURA METALICA (TALLER)</t>
  </si>
  <si>
    <t>592-CALDERERIA CAVESA</t>
  </si>
  <si>
    <t>JAIME GOYO</t>
  </si>
  <si>
    <t>602-STOKES FLUID SYSTEMS S.L</t>
  </si>
  <si>
    <t>RODNEY RODRIGUEZ</t>
  </si>
  <si>
    <t>610-GRUPO LECRU</t>
  </si>
  <si>
    <t>GONZALO QUINTANA</t>
  </si>
  <si>
    <t>LEANDRO VARGAS B.</t>
  </si>
  <si>
    <t>613-IBERTECNIC</t>
  </si>
  <si>
    <t>616-INSTALACIONES MDV</t>
  </si>
  <si>
    <t>617-METALFLEXJAM</t>
  </si>
  <si>
    <t>HECTOR VASQUEZ</t>
  </si>
  <si>
    <t>JAIME ARANGO</t>
  </si>
  <si>
    <t>620-TALLERES CRANTE S.L</t>
  </si>
  <si>
    <t>MONTADOR DE ESTRUTURA METALICA (OBRA)</t>
  </si>
  <si>
    <t>HENRY MARTINEZ</t>
  </si>
  <si>
    <t>621-TALLERES METALICOS LEZIAGA S.L.U</t>
  </si>
  <si>
    <t>RODRIGO AVILA</t>
  </si>
  <si>
    <t>76-ERBIA SL</t>
  </si>
  <si>
    <t>BORIS ALI CHUNGA LUJÁN</t>
  </si>
  <si>
    <t>HAROLD SERNAQUE</t>
  </si>
  <si>
    <t>111-IQUORD</t>
  </si>
  <si>
    <t>ROSAS</t>
  </si>
  <si>
    <t>ANDRES OROZCO</t>
  </si>
  <si>
    <t>CARLOS JIMENEZ</t>
  </si>
  <si>
    <t>FREDY MANCERA</t>
  </si>
  <si>
    <t>JAVIER BALDOVINO</t>
  </si>
  <si>
    <t>JUAN C BENAVIDES R</t>
  </si>
  <si>
    <t>MILTON SOSA</t>
  </si>
  <si>
    <t>136-METALLIC SOLUTIONS</t>
  </si>
  <si>
    <t>JAIRO MUÑOZ</t>
  </si>
  <si>
    <t>NORBEY BALLESTEROS</t>
  </si>
  <si>
    <t>SERGIO ANDRES LANDINES B</t>
  </si>
  <si>
    <t>SERGIO CORDOBA T</t>
  </si>
  <si>
    <t>158-PMA ESTRUCTURAS</t>
  </si>
  <si>
    <t>JHON FREDY CASTRO JIMENEZ</t>
  </si>
  <si>
    <t>176-SISTEMAS DE FILTRADO Y TRATAMIENTO DE FLUIDOS S.L</t>
  </si>
  <si>
    <t>CARLOS JULIO ACOSTA</t>
  </si>
  <si>
    <t>188-TALLERES BAMA</t>
  </si>
  <si>
    <t>BREIDIS CARDOZO</t>
  </si>
  <si>
    <t>205-TOKIO METAL SL</t>
  </si>
  <si>
    <t>ALEXANDRICO CARDONA RAMIREZ</t>
  </si>
  <si>
    <t>218-INAGAL SOLDADURA SL</t>
  </si>
  <si>
    <t>CARLOS MANTILLA</t>
  </si>
  <si>
    <t>LENNIN JESUS CANON C.</t>
  </si>
  <si>
    <t>PEDRO DE LA HOZ SALCEDO</t>
  </si>
  <si>
    <t>224-BEKOTER INSTALACIONES INDUSTRIALES SL</t>
  </si>
  <si>
    <t>ACEVEDO GUZMÁN ORLANDO</t>
  </si>
  <si>
    <t>VICTOR TUANAMA GARCIA</t>
  </si>
  <si>
    <t>25-BIANNA RECYCLING</t>
  </si>
  <si>
    <t>EDU PANDURO</t>
  </si>
  <si>
    <t>EDUARDO JOSÉ RUSSO LINERO</t>
  </si>
  <si>
    <t>GILBER MORA</t>
  </si>
  <si>
    <t>E0103</t>
  </si>
  <si>
    <t>HECTOR BUELVAS</t>
  </si>
  <si>
    <t>JAHIR DELGADO</t>
  </si>
  <si>
    <t>JHON FREDY PEREZ</t>
  </si>
  <si>
    <t>JUAN VILLANUEVA DE LA HOZ</t>
  </si>
  <si>
    <t>JUAN VILLANUEVA GALVIS</t>
  </si>
  <si>
    <t>60-CORDOBA S.L</t>
  </si>
  <si>
    <t>EDWIN F. LINARES</t>
  </si>
  <si>
    <t>64-DOHERCO MIRANDA S.L</t>
  </si>
  <si>
    <t>ALAN NAVAS</t>
  </si>
  <si>
    <t>BLADIMIR DIAZ</t>
  </si>
  <si>
    <t>JHON ADAIMER MORALES</t>
  </si>
  <si>
    <t>70-ELECTRODINAMIC JO-AN S.L</t>
  </si>
  <si>
    <t>EISON SALAS</t>
  </si>
  <si>
    <t>FABIAN ROA</t>
  </si>
  <si>
    <t>FRANCISCO MERCADO</t>
  </si>
  <si>
    <t>MARIO SUAREZ</t>
  </si>
  <si>
    <t>NEIRON CARCAMO</t>
  </si>
  <si>
    <t>WILMAN DE AVILA</t>
  </si>
  <si>
    <t>YEFERSON ZULUAGA</t>
  </si>
  <si>
    <t>86-GRUPO SOLDATEC S.L</t>
  </si>
  <si>
    <t>HECTOR JAIME ROA</t>
  </si>
  <si>
    <t>NICOLÁS MACÍAS MEJIA</t>
  </si>
  <si>
    <t>97-INDUSTRIAS BALMES</t>
  </si>
  <si>
    <t>SERGIO ANDRADE CASTRILLON</t>
  </si>
  <si>
    <t>9-ALUMINIO YACHT COSTA S.L</t>
  </si>
  <si>
    <t>HENRRY CASTRO COLLACHAGUAA</t>
  </si>
  <si>
    <t>108-INSTALACIONES Y SISTEMAS HIDRAULICOS</t>
  </si>
  <si>
    <t>ALEXANDER LOPEZ</t>
  </si>
  <si>
    <t>ANDRES FELIPE GOMEZ</t>
  </si>
  <si>
    <t>ALEX DAVID GOMEZ V.</t>
  </si>
  <si>
    <t>BRANDON RAMIRO ZAPATA</t>
  </si>
  <si>
    <t>DOMINGO</t>
  </si>
  <si>
    <t>BRAYAN JULIAN GARCON MARIN</t>
  </si>
  <si>
    <t>CARLOS ARROYO BERTEL</t>
  </si>
  <si>
    <t>EDWIN</t>
  </si>
  <si>
    <t>FLOR</t>
  </si>
  <si>
    <t>GUILLERMO ARCINIEGAS M</t>
  </si>
  <si>
    <t>GUSTAVO ANDRES PORRAS M</t>
  </si>
  <si>
    <t>ISAIAS MUÑOZ MACHADO</t>
  </si>
  <si>
    <t>JAIVER POLANCO PEREZ</t>
  </si>
  <si>
    <t>JEAN CARLO SUAREZ</t>
  </si>
  <si>
    <t>JHONNY ESTID QUIJANO</t>
  </si>
  <si>
    <t>JOSE ANTONIO MORALES</t>
  </si>
  <si>
    <t>JULIO VERA</t>
  </si>
  <si>
    <t>MARLO SERNA</t>
  </si>
  <si>
    <t>NÃO IDENTIFICADO</t>
  </si>
  <si>
    <t>OSCAR</t>
  </si>
  <si>
    <t>RAMIREZ GRANDA VICTOR AUGUSTO</t>
  </si>
  <si>
    <t>ROBINSON TABORDA</t>
  </si>
  <si>
    <t>113-JACKSON S.A</t>
  </si>
  <si>
    <t>122-MANREC</t>
  </si>
  <si>
    <t>JUAN GABRIEL GOEZ M.</t>
  </si>
  <si>
    <t>124-MATEU INOXWELDING SL</t>
  </si>
  <si>
    <t>JAIME PERTUZ VALDIRIS</t>
  </si>
  <si>
    <t>LEONARDO CALDERÓN</t>
  </si>
  <si>
    <t>LUIS ALFREDO APONTE ANTONIO</t>
  </si>
  <si>
    <t>REINARD SALAZAR F.</t>
  </si>
  <si>
    <t>128-MECAONDO S.L</t>
  </si>
  <si>
    <t>ALBAÑIL</t>
  </si>
  <si>
    <t>EDWIN CASTONIEDA</t>
  </si>
  <si>
    <t>SERGIO DANIEL GOMEZ</t>
  </si>
  <si>
    <t>176-SISTEMAS DE FILTRADO Y TRATAMIENTO DE FLUIDOS SL</t>
  </si>
  <si>
    <t>197-TALLERES QUINTANA S.L</t>
  </si>
  <si>
    <t>TIRZO GONZALEZ</t>
  </si>
  <si>
    <t>198-TAPIA</t>
  </si>
  <si>
    <t>JOSE A. GUIZAO SANDOVAL</t>
  </si>
  <si>
    <t>KEVIN RAMIREZ</t>
  </si>
  <si>
    <t>216-GRUPO VENTO</t>
  </si>
  <si>
    <t>24-BECK &amp; POLLITIZER IBERICA SLU</t>
  </si>
  <si>
    <t>BLACKYS BARBOZA T</t>
  </si>
  <si>
    <t>CARLOS H. LOPEZ G.</t>
  </si>
  <si>
    <t>EDWIN A DIAZ PITRE</t>
  </si>
  <si>
    <t>MECÁNICO MONTADOR</t>
  </si>
  <si>
    <t>MIGUEL ANGEL GARCIA</t>
  </si>
  <si>
    <t>580-COMMSAL</t>
  </si>
  <si>
    <t>580-COMMSAL ESTRUCTURAS METÁLICAS S.L.U</t>
  </si>
  <si>
    <t>581-OBRESIEDIFICACIONS</t>
  </si>
  <si>
    <t>ANDRÉS CAMILO ALVAREZ</t>
  </si>
  <si>
    <t>ELVIN POLO</t>
  </si>
  <si>
    <t>HERNÁN RODRIGUEZ C</t>
  </si>
  <si>
    <t>JAIME RETIS TOLENTINO</t>
  </si>
  <si>
    <t>JAVIER RODRÍGUEZ C</t>
  </si>
  <si>
    <t>JOHAN ANDRES H</t>
  </si>
  <si>
    <t>582-GRUPO ANRO</t>
  </si>
  <si>
    <t>583-JUNSASTEEL</t>
  </si>
  <si>
    <t>JORGE LUIS JIMENEZ B</t>
  </si>
  <si>
    <t>587-INTUYMA</t>
  </si>
  <si>
    <t>CARLOS ALBERTO CORREA O.</t>
  </si>
  <si>
    <t>FRANKLYN DE LA CRUZ SERNAQUE</t>
  </si>
  <si>
    <t>GERMÁN GODOY GASPAR</t>
  </si>
  <si>
    <t>HERNANDO AUGUSTO GALINDO</t>
  </si>
  <si>
    <t>JEISON LÓPEZ AGREDO</t>
  </si>
  <si>
    <t>RAÚL ERNESTO MORA MARTÍNEZ</t>
  </si>
  <si>
    <t>RAÚL MIRANDA</t>
  </si>
  <si>
    <t>593-GRUPO FERRERAS SL</t>
  </si>
  <si>
    <t>ALVARO ARIZA C.</t>
  </si>
  <si>
    <t>ALBEIRO OBANDO</t>
  </si>
  <si>
    <t>ANDRES FELIPE PULIDO GÓMEZ</t>
  </si>
  <si>
    <t>BRAYAN SALINAS M.</t>
  </si>
  <si>
    <t>DARIO MERINO</t>
  </si>
  <si>
    <t>EDWIN R AVILA</t>
  </si>
  <si>
    <t>HANNER STIVEN GERMAN</t>
  </si>
  <si>
    <t>HERRERA ERNESTO GERMÁN</t>
  </si>
  <si>
    <t>JHOBERGS PARRA</t>
  </si>
  <si>
    <t>JHON ALEXANDER ARENAS C</t>
  </si>
  <si>
    <t>JORGE ANDRES MARTINEZ</t>
  </si>
  <si>
    <t>LUIS ALBERTO DIAZ G.</t>
  </si>
  <si>
    <t>MANUEL GOMBACASSI</t>
  </si>
  <si>
    <t>MONTADOR (ARMADOR)</t>
  </si>
  <si>
    <t>WILMAR</t>
  </si>
  <si>
    <t>596-JOUSSEAU MECANO SOUDURE</t>
  </si>
  <si>
    <t>597-HERMANOS DJ 2000</t>
  </si>
  <si>
    <t>599-HIDROSISTEMAS Y MONTAJES</t>
  </si>
  <si>
    <t>JOSÈ MIGUEL ZACARIAS</t>
  </si>
  <si>
    <t>5-AEB DRYTECH</t>
  </si>
  <si>
    <t>ELISEO FUENTES P</t>
  </si>
  <si>
    <t>JORGE ENRIQUE SANABRIA M</t>
  </si>
  <si>
    <t>NORVEY GONZALEZ</t>
  </si>
  <si>
    <t>600-DINAT 2006 SLU</t>
  </si>
  <si>
    <t>JOSE DARNEY ACOSTA LENIS</t>
  </si>
  <si>
    <t>606-INDOFORMA</t>
  </si>
  <si>
    <t>60-CORDOBA SL</t>
  </si>
  <si>
    <t>EDDIE ZARATE</t>
  </si>
  <si>
    <t>EDWARD IGNACIO DIAZ</t>
  </si>
  <si>
    <t>TORNERO (CNC)</t>
  </si>
  <si>
    <t>EDWIN ORTIZ DELGADO</t>
  </si>
  <si>
    <t>MONTADOR (ARMADOR) / SOLDADOR (TIG / ELECTRODO)</t>
  </si>
  <si>
    <t>LUIS ALBERTO CAMARGO NIÑO</t>
  </si>
  <si>
    <t>LUIS ALEXANDER SEPULVEDA</t>
  </si>
  <si>
    <t>MARIO LUIS F. P. DEMONTE RUIZ</t>
  </si>
  <si>
    <t>NESTOR A VIERA CANALES</t>
  </si>
  <si>
    <t>PROSPERO SUAREZ</t>
  </si>
  <si>
    <t>615-GRUPO MICESA</t>
  </si>
  <si>
    <t>ALBERTO RIAÑO</t>
  </si>
  <si>
    <t>ANDES JERIANO</t>
  </si>
  <si>
    <t>HECTOR GUEVARA</t>
  </si>
  <si>
    <t>LUIS ALBERTO RAMIREZ</t>
  </si>
  <si>
    <t>NIXON FIERRO</t>
  </si>
  <si>
    <t>ROBERTO CARLOS MARQUINA</t>
  </si>
  <si>
    <t>71-ELYTT ENERGY SL</t>
  </si>
  <si>
    <t>CARLOS SANTOS RODRIGUEZ</t>
  </si>
  <si>
    <t>JONATHAN MARTINEZ CASTIBLANCO</t>
  </si>
  <si>
    <t>LUIS ZAMORA</t>
  </si>
  <si>
    <t>74-EMYPRO</t>
  </si>
  <si>
    <t>MARTIN CAMILO SUAREZ</t>
  </si>
  <si>
    <t>83-VALLISOLETANA DE ELEMENTOS METÁLICOS, S.L</t>
  </si>
  <si>
    <t>B ALEJANDRO HERRERA</t>
  </si>
  <si>
    <t>FERNEY ALEXANDER VARGAS</t>
  </si>
  <si>
    <t>JAVIER SALAS MARTINEZ</t>
  </si>
  <si>
    <t>JOHNNY BORJA</t>
  </si>
  <si>
    <t>JUAN DANIEL MORA</t>
  </si>
  <si>
    <t>NELSON JAVIER ACOSTA</t>
  </si>
  <si>
    <t>VICTOR DANIEL ARIAS GONZALES</t>
  </si>
  <si>
    <t>WENDI ALBERTO GARCIA A.</t>
  </si>
  <si>
    <t>Cod trabalhador</t>
  </si>
  <si>
    <t>Colaborador</t>
  </si>
  <si>
    <t xml:space="preserve">Nome cliente 1 </t>
  </si>
  <si>
    <t>Tarifa cliente 1</t>
  </si>
  <si>
    <t>AEB DRYTECH</t>
  </si>
  <si>
    <t>ALUMINIO YACHT COSTA SL</t>
  </si>
  <si>
    <t>ARDANORE</t>
  </si>
  <si>
    <t>Ardanore 14 s.l</t>
  </si>
  <si>
    <t>ATTSU</t>
  </si>
  <si>
    <t>AURO-TUB</t>
  </si>
  <si>
    <t>AUTOMATISME GRANOLLERS</t>
  </si>
  <si>
    <t>AZERO</t>
  </si>
  <si>
    <t>BABCOCK</t>
  </si>
  <si>
    <t>BACHILLER</t>
  </si>
  <si>
    <t>BECK &amp; POLLITIZER</t>
  </si>
  <si>
    <t>BEKOTER</t>
  </si>
  <si>
    <t>BIANNA</t>
  </si>
  <si>
    <t>CALDENOR</t>
  </si>
  <si>
    <t>CALDESOL</t>
  </si>
  <si>
    <t>CAM IMPIAMTI</t>
  </si>
  <si>
    <t>CARVISA</t>
  </si>
  <si>
    <t>CM TENERIFE</t>
  </si>
  <si>
    <t>COMESA</t>
  </si>
  <si>
    <t>CORDOBA</t>
  </si>
  <si>
    <t>DBIZ</t>
  </si>
  <si>
    <t>DINAT</t>
  </si>
  <si>
    <t>DOHERCO</t>
  </si>
  <si>
    <t>ELECTRODINAMIC</t>
  </si>
  <si>
    <t>ELYTT ENERGY</t>
  </si>
  <si>
    <t>EMYPRO</t>
  </si>
  <si>
    <t>ERBIA</t>
  </si>
  <si>
    <t>E0270</t>
  </si>
  <si>
    <t>FERRERAS</t>
  </si>
  <si>
    <t>E0265</t>
  </si>
  <si>
    <t>GAMOHER</t>
  </si>
  <si>
    <t>GRANOLLERS</t>
  </si>
  <si>
    <t>GRUPO ANRO</t>
  </si>
  <si>
    <t>GRUPO LOAFA</t>
  </si>
  <si>
    <t>GRUPO MICESA</t>
  </si>
  <si>
    <t>GRUPO SOLDATEC</t>
  </si>
  <si>
    <t>GRUPO VENTO</t>
  </si>
  <si>
    <t>GRUPO VENTO (INGENIERIA)</t>
  </si>
  <si>
    <t>HERMANOS DJ 2000</t>
  </si>
  <si>
    <t>HIDRO</t>
  </si>
  <si>
    <t>HIMEPAL</t>
  </si>
  <si>
    <t>IBERTECNIC</t>
  </si>
  <si>
    <t>INAGAL</t>
  </si>
  <si>
    <t>INDOFORMA</t>
  </si>
  <si>
    <t>INDUSTRIAS BALMES</t>
  </si>
  <si>
    <t>INTUYMA</t>
  </si>
  <si>
    <t>IQUORD</t>
  </si>
  <si>
    <t>ISH</t>
  </si>
  <si>
    <t>Jackson</t>
  </si>
  <si>
    <t>JOUSSEAU MECANO</t>
  </si>
  <si>
    <t>JUNSASTEEL</t>
  </si>
  <si>
    <t>LASAFE</t>
  </si>
  <si>
    <t>MANREC</t>
  </si>
  <si>
    <t>MATEU INOXWELDING S.L</t>
  </si>
  <si>
    <t>MECAONDO, S.L</t>
  </si>
  <si>
    <t xml:space="preserve">MEN MONTAJES </t>
  </si>
  <si>
    <t>METALLIC SOLUTIONS</t>
  </si>
  <si>
    <t>MONTAJES GOMUR</t>
  </si>
  <si>
    <t>NORTON</t>
  </si>
  <si>
    <t>NOVA HIDRAULICA SL</t>
  </si>
  <si>
    <t>OBRES I EDIFICACIONS</t>
  </si>
  <si>
    <t>PMA ESTRUCTURAS</t>
  </si>
  <si>
    <t>SBV</t>
  </si>
  <si>
    <t>SCS</t>
  </si>
  <si>
    <t>SISTEMAS DE FILTRADO Y TRATAMIENTO DE FLUIDOS S.L.</t>
  </si>
  <si>
    <t>TACMAN 2000</t>
  </si>
  <si>
    <t>TALLARES LANDALUCE</t>
  </si>
  <si>
    <t>TALLERES BAMA</t>
  </si>
  <si>
    <t>TALLERES QUINTANA</t>
  </si>
  <si>
    <t>TAPIA</t>
  </si>
  <si>
    <t>TEMIC</t>
  </si>
  <si>
    <t>TOKIO METAL</t>
  </si>
  <si>
    <t>Previsão</t>
  </si>
  <si>
    <t>Total general</t>
  </si>
  <si>
    <t>Etiquetas de fila</t>
  </si>
  <si>
    <t>Suma de Valor previsão de folha</t>
  </si>
  <si>
    <t>Suma de Liquido total</t>
  </si>
  <si>
    <t>Rótulos de Linha</t>
  </si>
  <si>
    <t>Ativo</t>
  </si>
  <si>
    <t>Não ativo</t>
  </si>
  <si>
    <t>Total Geral</t>
  </si>
  <si>
    <t>Cuenta de Colaborador</t>
  </si>
  <si>
    <t>Banco</t>
  </si>
  <si>
    <t>Diferença</t>
  </si>
  <si>
    <t>Altas Segurança Social</t>
  </si>
  <si>
    <t>Cuenta de Status SS</t>
  </si>
  <si>
    <t>Valores</t>
  </si>
  <si>
    <t>Suma de Auxilio alojamento</t>
  </si>
  <si>
    <t xml:space="preserve"> </t>
  </si>
  <si>
    <t>Suma de Imposto ss</t>
  </si>
  <si>
    <t>Suma de Outros acréscimos</t>
  </si>
  <si>
    <t>Suma de Adiantamento</t>
  </si>
  <si>
    <t>Suma de Desconto Carro</t>
  </si>
  <si>
    <t>Suma de Outros  descontos</t>
  </si>
  <si>
    <t>Suma de Taxa bancária</t>
  </si>
  <si>
    <t>Pendente</t>
  </si>
  <si>
    <t>Pago</t>
  </si>
  <si>
    <t>auxilio alojamento</t>
  </si>
  <si>
    <t>Impostos</t>
  </si>
  <si>
    <t>Adiantamentos</t>
  </si>
  <si>
    <t>Desconto carro</t>
  </si>
  <si>
    <t>Suministros</t>
  </si>
  <si>
    <t>Multas</t>
  </si>
  <si>
    <t>Limpeza e danos</t>
  </si>
  <si>
    <t>Tarifa</t>
  </si>
  <si>
    <t>ID</t>
  </si>
  <si>
    <t>Nomes</t>
  </si>
  <si>
    <t>valor</t>
  </si>
  <si>
    <t>Revisão</t>
  </si>
  <si>
    <t/>
  </si>
  <si>
    <t>OK</t>
  </si>
  <si>
    <t>OK - APAGAGO</t>
  </si>
  <si>
    <t>CLIENTE</t>
  </si>
  <si>
    <t>CLIENTE 2</t>
  </si>
  <si>
    <t>Status SS</t>
  </si>
  <si>
    <t>LN</t>
  </si>
  <si>
    <t>Data admissão</t>
  </si>
  <si>
    <t>Data cessação</t>
  </si>
  <si>
    <t>Dias de alta</t>
  </si>
  <si>
    <t>PUXADO</t>
  </si>
  <si>
    <t>Columna6</t>
  </si>
  <si>
    <t>Hora por Previsão</t>
  </si>
  <si>
    <t>Horas confirmadas cliente 1</t>
  </si>
  <si>
    <t>Status confirmação cliente 13</t>
  </si>
  <si>
    <t>Status revisão</t>
  </si>
  <si>
    <t>Columna3</t>
  </si>
  <si>
    <t>Nome cliente 2</t>
  </si>
  <si>
    <t>Tarifa cliente 2</t>
  </si>
  <si>
    <t>Horas confirmadas cliente 2</t>
  </si>
  <si>
    <t>Status confirmação cliente 2</t>
  </si>
  <si>
    <t>Status revisão 2</t>
  </si>
  <si>
    <t>Columna32</t>
  </si>
  <si>
    <t>Auxilio alojamento</t>
  </si>
  <si>
    <t>Outros acréscimos</t>
  </si>
  <si>
    <t>Columna4</t>
  </si>
  <si>
    <t>Imposto ss</t>
  </si>
  <si>
    <t>Adiantamento</t>
  </si>
  <si>
    <t>Desconto Carro</t>
  </si>
  <si>
    <t>MULTA TRANSITO</t>
  </si>
  <si>
    <t>COMBUSTIBLE</t>
  </si>
  <si>
    <t>PEAJES</t>
  </si>
  <si>
    <t>SUMINISTROS</t>
  </si>
  <si>
    <t>MULTA ALOJAMIENTO</t>
  </si>
  <si>
    <t>LIMPIEZA O DAÑOS</t>
  </si>
  <si>
    <t>EPIS</t>
  </si>
  <si>
    <t>Outros  descontos</t>
  </si>
  <si>
    <t>Taxa bancária</t>
  </si>
  <si>
    <t>Columna2</t>
  </si>
  <si>
    <t>Valor previsão de folha</t>
  </si>
  <si>
    <t>Liquido total</t>
  </si>
  <si>
    <t>Columna5</t>
  </si>
  <si>
    <t>IBAN pagamento</t>
  </si>
  <si>
    <t>Observações</t>
  </si>
  <si>
    <t>Status pagamento cliente</t>
  </si>
  <si>
    <t>Responsável pagamento</t>
  </si>
  <si>
    <t>Status pagamento</t>
  </si>
  <si>
    <t>Confirmada</t>
  </si>
  <si>
    <t>Fernando 16-02</t>
  </si>
  <si>
    <t>HORAS ABONADAS POR ACORDO</t>
  </si>
  <si>
    <t>AURO TUB</t>
  </si>
  <si>
    <t>DESCONTAR</t>
  </si>
  <si>
    <t>n</t>
  </si>
  <si>
    <t>Status confirmação cliente 12</t>
  </si>
  <si>
    <t>Ok</t>
  </si>
  <si>
    <t>Brenda 16-02</t>
  </si>
  <si>
    <t>IBAN NOVO</t>
  </si>
  <si>
    <t>Pago Fernando 18-02</t>
  </si>
  <si>
    <t>Fernando 18-02</t>
  </si>
  <si>
    <t>ok</t>
  </si>
  <si>
    <t xml:space="preserve">                                                                                                                                                                                                   </t>
  </si>
  <si>
    <t>pago</t>
  </si>
  <si>
    <t>OUTROS</t>
  </si>
  <si>
    <t>Confirmado</t>
  </si>
  <si>
    <t>FECHA</t>
  </si>
  <si>
    <t>ID TRABAJADOR</t>
  </si>
  <si>
    <t>TRABAJADOR</t>
  </si>
  <si>
    <t>IBAN</t>
  </si>
  <si>
    <t>PEDIDO</t>
  </si>
  <si>
    <t>ADELANTO</t>
  </si>
  <si>
    <t>REEMBOLSO</t>
  </si>
  <si>
    <t>AYUDA
VIAJE</t>
  </si>
  <si>
    <t>OTROS</t>
  </si>
  <si>
    <t>TOTAL</t>
  </si>
  <si>
    <t>ANEXO</t>
  </si>
  <si>
    <t>STATUS APROBACION</t>
  </si>
  <si>
    <t xml:space="preserve">OBSERVACIONES  STATUS </t>
  </si>
  <si>
    <t>STATUS REALIZACIÓN</t>
  </si>
  <si>
    <t>FECHA DE REALIZACIÓN</t>
  </si>
  <si>
    <t>FECHA DESCUENTO NOMINA</t>
  </si>
  <si>
    <t xml:space="preserve">ES08 0182 5011 1002 0223 3298 </t>
  </si>
  <si>
    <t>2025/007</t>
  </si>
  <si>
    <t>BACHILLER, SA</t>
  </si>
  <si>
    <t>Aprobado</t>
  </si>
  <si>
    <t>Realizado</t>
  </si>
  <si>
    <t>ES54 0182 2270 0102 0248 1802</t>
  </si>
  <si>
    <t>R2025/057</t>
  </si>
  <si>
    <t>CARVISA CONTAINER SLU</t>
  </si>
  <si>
    <t>PT50 0033 0000 4579 1848 1740 5</t>
  </si>
  <si>
    <t>BACHILLER SA</t>
  </si>
  <si>
    <t>ES09 0182 0702 3702 0164 8709</t>
  </si>
  <si>
    <t>R2025/169</t>
  </si>
  <si>
    <t>GRUPO FERRERAS SL</t>
  </si>
  <si>
    <t>BE57 9678 3485 6835</t>
  </si>
  <si>
    <t>R-0122</t>
  </si>
  <si>
    <t>INSTALACIONES Y SISTEMAS HIDRÁULICOS</t>
  </si>
  <si>
    <t>PT50 0018 0003 5495 3765 0204 8</t>
  </si>
  <si>
    <t>2025/264</t>
  </si>
  <si>
    <t>ATTSU TECNIVAP, SA</t>
  </si>
  <si>
    <t>ES09 0182 0374 9202 0154 6596</t>
  </si>
  <si>
    <t>2025/053</t>
  </si>
  <si>
    <t>CORDOBA SL</t>
  </si>
  <si>
    <t>PL44 1090 2835 0000 0001 6259 0741</t>
  </si>
  <si>
    <t>R-0184</t>
  </si>
  <si>
    <t>"NUEVO"</t>
  </si>
  <si>
    <t>ES04 0182 2455 6102 0165 3384</t>
  </si>
  <si>
    <t>PO-0430</t>
  </si>
  <si>
    <t>ES50 0049 5082 7123 1618 2021</t>
  </si>
  <si>
    <t>PO-0515</t>
  </si>
  <si>
    <t>JOUSSEAU MECANO SOUDURE</t>
  </si>
  <si>
    <t>ES82 0182 1758 9102 0178 1875</t>
  </si>
  <si>
    <t>PO-0536</t>
  </si>
  <si>
    <t>HIDRO SISTEMAS Y MONTAJES</t>
  </si>
  <si>
    <t>ES51 6893 0001 7100 0033 3635</t>
  </si>
  <si>
    <t>PO-0704</t>
  </si>
  <si>
    <t>CRANTE</t>
  </si>
  <si>
    <t>SALDO A DESCONTAR NOM</t>
  </si>
  <si>
    <t>MÓVIL</t>
  </si>
  <si>
    <t>STATUS NOTIFICACIÓN</t>
  </si>
  <si>
    <t>OBSERVACIONES</t>
  </si>
  <si>
    <t>FECHA MES DESCUENTO</t>
  </si>
  <si>
    <t>Columna22</t>
  </si>
  <si>
    <t>REMOMEC</t>
  </si>
  <si>
    <t>DBIZ INSTALACIONES Y SERVICIOS INDUSTRIALES SL</t>
  </si>
  <si>
    <t>NO TIENE HORAS EN ENERO</t>
  </si>
  <si>
    <t>ELYTT ENEGY S.L</t>
  </si>
  <si>
    <t>SI</t>
  </si>
  <si>
    <t>DINAT 2006 SLU</t>
  </si>
  <si>
    <t>MONTAJES GOMUR SL</t>
  </si>
  <si>
    <t>HGL</t>
  </si>
  <si>
    <t>FINALIZÓ EN OCTUBRE</t>
  </si>
  <si>
    <t>2025/031</t>
  </si>
  <si>
    <t>2 MULTAS (50€ CADA UNA)</t>
  </si>
  <si>
    <t>2025/083</t>
  </si>
  <si>
    <t>ARDANORE 14 SL</t>
  </si>
  <si>
    <t>5 MULTAS (CADA UNA DE 50€)</t>
  </si>
  <si>
    <t>2025/654</t>
  </si>
  <si>
    <t>GAMOHER CONSTRUCCIONES METÁLICAS S.L</t>
  </si>
  <si>
    <t>BABCOCK MONTAJES SAU</t>
  </si>
  <si>
    <t>lUMINOUS</t>
  </si>
  <si>
    <t>2025/273</t>
  </si>
  <si>
    <t>LUMINOUS ALLEY LDA</t>
  </si>
  <si>
    <t>AUTOMATISMES ELECTRICS GRANOLLERS, S.L.</t>
  </si>
  <si>
    <t>MATEU INOXWELDING SL</t>
  </si>
  <si>
    <t>INSTALACIONES Y SISTEMAS HIDRAULICOS</t>
  </si>
  <si>
    <t>2025/R129</t>
  </si>
  <si>
    <t>SISTEMAS DE FILTRADO Y TRATAMIENTO DE FLUIDOS SL</t>
  </si>
  <si>
    <t>3 MULTAS (40€-100€-45€)</t>
  </si>
  <si>
    <t>2025/118</t>
  </si>
  <si>
    <t>+57 304 600 4105</t>
  </si>
  <si>
    <t>2025/430</t>
  </si>
  <si>
    <t>3 MULTAS (50€ - 50€ - 40€)</t>
  </si>
  <si>
    <t>BABCOCK MONTAJES, S.A.U</t>
  </si>
  <si>
    <t>FINALIZÓ EN NOVIEMBRE</t>
  </si>
  <si>
    <t>OBRESIEDIFICACIONS</t>
  </si>
  <si>
    <t>2025/R169</t>
  </si>
  <si>
    <t>MECAONDO S.L</t>
  </si>
  <si>
    <t>WISEOWE, LDA</t>
  </si>
  <si>
    <t>COLABORADOR</t>
  </si>
  <si>
    <t>PAIS</t>
  </si>
  <si>
    <t>LOCALIDAD</t>
  </si>
  <si>
    <t>Nº PEDIDO</t>
  </si>
  <si>
    <t>FECHA INICIO</t>
  </si>
  <si>
    <t xml:space="preserve">FECHA FIN </t>
  </si>
  <si>
    <t>TOTAL DIAS PROYECTO</t>
  </si>
  <si>
    <t xml:space="preserve">COSTO FIJO </t>
  </si>
  <si>
    <t>revisao</t>
  </si>
  <si>
    <t>TIPO ALOJAMIENTO</t>
  </si>
  <si>
    <t>ESTATUS</t>
  </si>
  <si>
    <t>Revisao2</t>
  </si>
  <si>
    <t>Columna7</t>
  </si>
  <si>
    <t>Columna8</t>
  </si>
  <si>
    <t>ESPAÑA</t>
  </si>
  <si>
    <t>BURGOS</t>
  </si>
  <si>
    <t>2024/219</t>
  </si>
  <si>
    <t>DOHERCO MIRANDA SL</t>
  </si>
  <si>
    <t>PROPIO</t>
  </si>
  <si>
    <t>EN CURSO</t>
  </si>
  <si>
    <t>VALLADOLID</t>
  </si>
  <si>
    <t>RU2025/017/2024/246</t>
  </si>
  <si>
    <t>Cuando tengan que permanecer y pernoctar fuera de Valladolid (donde ustedes como empresa les tienen alojamiento), estos trabajadores les indicarán dónde se hospedarán los trabajadores de Grupo P. Ferreras, S.L. para que ustedes les cojan el alojamiento en las mismas inmediaciones, debido a que son trasladados por nuestros trabajadores haciendo uso de nuestros vehículos.</t>
  </si>
  <si>
    <t>BARCELONA</t>
  </si>
  <si>
    <t>2026/671</t>
  </si>
  <si>
    <t xml:space="preserve">ESPAÑA </t>
  </si>
  <si>
    <t>2025/333</t>
  </si>
  <si>
    <t>ZARAGOZA</t>
  </si>
  <si>
    <t>2025/413</t>
  </si>
  <si>
    <t>CALDERERIA Y ENERGIA SOLAR S.L</t>
  </si>
  <si>
    <t>SEVILLA</t>
  </si>
  <si>
    <t>2025/175</t>
  </si>
  <si>
    <t>2025/R145</t>
  </si>
  <si>
    <t>PENDIENTE COMPROBANTE ALOJAMIENTO PROPIO</t>
  </si>
  <si>
    <t>CANTABRIA</t>
  </si>
  <si>
    <t>2026/676</t>
  </si>
  <si>
    <t>CALVO CONSTRUCCIONES Y MONTAJES, S.L</t>
  </si>
  <si>
    <t>2025/R057</t>
  </si>
  <si>
    <t>ASTURIAS</t>
  </si>
  <si>
    <t>2024/387</t>
  </si>
  <si>
    <t>2024/099</t>
  </si>
  <si>
    <t>Alojamiento hasta 21/10 Ingresan a piso fijo 17/05/// Salen del aloamiento Joaquina// Calle grupo Alferez Rojas 41BD Zaragoza Josè Daniel Roman +34 645 86 07 02// sale alojamiento propio 18/10/2024</t>
  </si>
  <si>
    <t>KOTRIK ROSAS, UNIPESSOAL LDA</t>
  </si>
  <si>
    <t>LLEIDA</t>
  </si>
  <si>
    <t>2025/015</t>
  </si>
  <si>
    <t>PMA ESTRUCTURAS 318, SL</t>
  </si>
  <si>
    <t>HUESCA</t>
  </si>
  <si>
    <t>GIRONA</t>
  </si>
  <si>
    <t>2025/228</t>
  </si>
  <si>
    <t>TECNOLOGIA MECANICA I ELECTRICA SLU</t>
  </si>
  <si>
    <t>ALOJAMIENTO POR CUENTA DEL CLENTE</t>
  </si>
  <si>
    <t>VIZCAYA</t>
  </si>
  <si>
    <t>2025/465</t>
  </si>
  <si>
    <t>Contaba con alojamiento propio y por circunstancias ajenas a él, le han pedido la habitación. Debe salir el día 15 de Enero de 2026.Solicita nuevamente alojamiento que brinda la empresa mientras consigue otro alojamiento propio.//Yajaira informa que el trabajador tiene alojamiento propio confirmar info.</t>
  </si>
  <si>
    <t>FINALIZADO</t>
  </si>
  <si>
    <t>2025/389</t>
  </si>
  <si>
    <t>ha pedido la baja voluntaria para el 31/01/2025. El trabajador debe viajar a su país por motivos personales, y a acordado con el cliente volver a trabajar con él a la vuelta del operario. Por el momento, no se necesita reemplazo.</t>
  </si>
  <si>
    <t>2025/064</t>
  </si>
  <si>
    <t>KOTRIK INDUSTRIAL LDA</t>
  </si>
  <si>
    <t>2025/368</t>
  </si>
  <si>
    <t>Trabaja hasta el 04/01/2026 //PREAVISO HASTA: 04/01/2026</t>
  </si>
  <si>
    <t>2024/351</t>
  </si>
  <si>
    <t>ALOJAMIENTO PAGO HASTA EL 06-08</t>
  </si>
  <si>
    <t>2025/550</t>
  </si>
  <si>
    <t>2025/508</t>
  </si>
  <si>
    <t>2024/136</t>
  </si>
  <si>
    <t>el trabajador sale alojamiento propio el 16/09, pero este se pago el 01/09, es decir, que es procedente a partir del 01/10</t>
  </si>
  <si>
    <t>2025/R175</t>
  </si>
  <si>
    <t>CIUDAD REAL</t>
  </si>
  <si>
    <t>Salen alojamiento por su cuenta a partir del 01/05/2024</t>
  </si>
  <si>
    <t>2024/314</t>
  </si>
  <si>
    <t>BIANNA RECYCLING</t>
  </si>
  <si>
    <t>PE</t>
  </si>
  <si>
    <t>R2025/040/277</t>
  </si>
  <si>
    <t>ALUMINIO YACHT COSTA SL.</t>
  </si>
  <si>
    <t>Tania envio correo y dice: queda pendiente que envie algun comprobante</t>
  </si>
  <si>
    <t>TARRAGONA</t>
  </si>
  <si>
    <t>2026/R185</t>
  </si>
  <si>
    <t>SINFINES FACTORY S.L</t>
  </si>
  <si>
    <t>2025/125</t>
  </si>
  <si>
    <t>2025/467</t>
  </si>
  <si>
    <t>2025/082</t>
  </si>
  <si>
    <t>ARDANORE 14 S.L.</t>
  </si>
  <si>
    <t>GUIPUZCOA</t>
  </si>
  <si>
    <t xml:space="preserve">2025/674 </t>
  </si>
  <si>
    <t>CALDERERIA CAVESA</t>
  </si>
  <si>
    <t>2025/054</t>
  </si>
  <si>
    <t>2024/481</t>
  </si>
  <si>
    <t>2025/271</t>
  </si>
  <si>
    <t xml:space="preserve">Reemplazo de Raphael // PASA ALOJAMIENTO PROPIO 01/11 // C/ Roncal 88.Valladolid pasa a alojamiento propio el 01/11Angela +34 666 01 56 84 </t>
  </si>
  <si>
    <t>2025/063</t>
  </si>
  <si>
    <t>2025/559</t>
  </si>
  <si>
    <t>2025/608</t>
  </si>
  <si>
    <t>quien opta por alojamiento propio a partir del 22/10</t>
  </si>
  <si>
    <t>2024/080</t>
  </si>
  <si>
    <t>Cambio de alojamiento Jacinto Benavente 20 4°1° Mollet del Vallés sale 27/04/// hostalCan Parera Hotel Restaurant Can Parera Carrer Sant Joan Bosco, 6, 8, 08150 Parets del Vallès, Sale 20/11  a propio</t>
  </si>
  <si>
    <t>HUELVA</t>
  </si>
  <si>
    <t>2025/589</t>
  </si>
  <si>
    <t>MANTENIMIENTOS Y MONTAJES CORDOBA S.L</t>
  </si>
  <si>
    <t xml:space="preserve">  reubicacion a partir del 26/01///alojamiento propio a partir del día 15 de Enero de 2026, PENDIENTE EL ENVIO DEL COMPROBANTE</t>
  </si>
  <si>
    <t>R2025/027/2023</t>
  </si>
  <si>
    <t>2025/466</t>
  </si>
  <si>
    <t>TALLERES LANDALICE SA</t>
  </si>
  <si>
    <t>el último día efectivo de trabajo fue el 13 de enero- Yajaira informa que renuncio.</t>
  </si>
  <si>
    <t>2025/482</t>
  </si>
  <si>
    <t>2024/002</t>
  </si>
  <si>
    <t>2025/170</t>
  </si>
  <si>
    <t xml:space="preserve">BARCELONA </t>
  </si>
  <si>
    <t>2025/450</t>
  </si>
  <si>
    <t>EMYPRO S.A</t>
  </si>
  <si>
    <t>2024/247</t>
  </si>
  <si>
    <t>2024/191</t>
  </si>
  <si>
    <t>Fecha aprox 20/12 /Carrer del Bisbe Morgades, 31, 08500 Vic, Barcelona Fabian +34 642 03 84 26 // sale el 19/11</t>
  </si>
  <si>
    <t>2024/405</t>
  </si>
  <si>
    <t>cuenta propia le cubre a partir del 01/10/2025</t>
  </si>
  <si>
    <t>2025/498</t>
  </si>
  <si>
    <t>MONTAJES GOMUR S.L</t>
  </si>
  <si>
    <t>2025/647</t>
  </si>
  <si>
    <t>Prevision hasta el 31 de Diciembre de 2025//</t>
  </si>
  <si>
    <t>C/ Roncal 88.Valladolid Angela +34 666 01 56 84  sale alojamiento propio 28/09</t>
  </si>
  <si>
    <t>2025/548</t>
  </si>
  <si>
    <t>reubicacion a partir del 26/01////alojamiento propio a partir del día 15 de Enero de 2026, PENDIENTE EL ENVIO DEL COMPROBANTE</t>
  </si>
  <si>
    <t>R2025/034/191</t>
  </si>
  <si>
    <t>ZAMORA</t>
  </si>
  <si>
    <t>TALLERES TAPIA</t>
  </si>
  <si>
    <t>2025/436</t>
  </si>
  <si>
    <t>VITORIA</t>
  </si>
  <si>
    <t>TALLERES QUINTANA, S.L</t>
  </si>
  <si>
    <t>Calle Castillo 3B, 01194 Vitoria Gazteiz, Alava //Sale 17/03 Alojamiento propio</t>
  </si>
  <si>
    <t>2024/129</t>
  </si>
  <si>
    <t>Prevision Finales de Diciembre</t>
  </si>
  <si>
    <t>Pasa Alojamiento propio 30/7// carta de resicion hasta el 31/05</t>
  </si>
  <si>
    <t>Cod</t>
  </si>
  <si>
    <t>Nome</t>
  </si>
  <si>
    <t>Valor</t>
  </si>
  <si>
    <t>Ativo Segurança Social Kotrik Rosas</t>
  </si>
  <si>
    <t>Início vínculo</t>
  </si>
  <si>
    <t>Fim vínculo</t>
  </si>
  <si>
    <t>Nome trabalhador</t>
  </si>
  <si>
    <t>BANCO</t>
  </si>
  <si>
    <t>FECHA ÚLTIMO CAMBIO</t>
  </si>
  <si>
    <t>FR76 1659 8000 0131 9171 7000 163</t>
  </si>
  <si>
    <t>NICKEL</t>
  </si>
  <si>
    <t>ES16 0182 2247 0702 0167 7660</t>
  </si>
  <si>
    <t>BBVA</t>
  </si>
  <si>
    <t xml:space="preserve"> BE13 9050 1484 4239</t>
  </si>
  <si>
    <t>WISE</t>
  </si>
  <si>
    <t>ES68 0182 0702 3702 0165 0072</t>
  </si>
  <si>
    <t>BE53 9050 1170 2853</t>
  </si>
  <si>
    <t>ES71 6893 0001 7100 0030 4078</t>
  </si>
  <si>
    <t>ES88 0182 4590 1202 0161 8527</t>
  </si>
  <si>
    <t xml:space="preserve">BE31 9051 9847 6555 </t>
  </si>
  <si>
    <t>ES11 0049 3121 9220 1430 8753</t>
  </si>
  <si>
    <t>SANTANDER</t>
  </si>
  <si>
    <t>PT50 0033 0000 4563 9326 4410 5</t>
  </si>
  <si>
    <t>MILLENNIUM</t>
  </si>
  <si>
    <t>ES43 0182 0706 1902 0164 4996</t>
  </si>
  <si>
    <t>ES21 1576 1212 1910 1041 2202</t>
  </si>
  <si>
    <t>BUNQ</t>
  </si>
  <si>
    <t>ES46 0182 8151 8902 0193 8271</t>
  </si>
  <si>
    <t>LT85 3250 0126 1672 5392</t>
  </si>
  <si>
    <t>REVOLUT</t>
  </si>
  <si>
    <t>ES64 0182 1216 2502 0159 8939</t>
  </si>
  <si>
    <t>ES92 0182 0635 5102 0163 1740</t>
  </si>
  <si>
    <t>BE86 9052 9845 3950</t>
  </si>
  <si>
    <t>ES25 0182 9725 8102 0029 2530</t>
  </si>
  <si>
    <t>ES70 0182 3107 1302 0173 7184</t>
  </si>
  <si>
    <t>ES77 0182 0362 2502 0159 3681</t>
  </si>
  <si>
    <t>ES46 6893 0001 7400 0028 3429</t>
  </si>
  <si>
    <t>ES06 0182 1250 4402 0157 8825</t>
  </si>
  <si>
    <t>BE72 9054 0937 0016</t>
  </si>
  <si>
    <t xml:space="preserve">ES40 6893 0001 7500 0023 4018 </t>
  </si>
  <si>
    <t>ES58 0049 5413 5422 1609 3588</t>
  </si>
  <si>
    <t>PT50 0007 0000 0078 4116 1852 3</t>
  </si>
  <si>
    <t>BE13 9053 6734 2239</t>
  </si>
  <si>
    <t>ES69 0182 0043 1702 0168 0589</t>
  </si>
  <si>
    <t>PT50 0033 0000 4558 3993 6640 5</t>
  </si>
  <si>
    <t>ES85 0182 8181 1502 0234 1275</t>
  </si>
  <si>
    <t>ES71 0182 1270 9602 0166 8003</t>
  </si>
  <si>
    <t>ES04 0182 2082 1502 0168 9129</t>
  </si>
  <si>
    <t>PT50 0007 0000 0079 0352 4122 3</t>
  </si>
  <si>
    <t>NOVOBANCO</t>
  </si>
  <si>
    <t>ES86 0182 8181 1602 0234 6058</t>
  </si>
  <si>
    <t xml:space="preserve">ES35 0182 5430 4702 0169 2651 </t>
  </si>
  <si>
    <t>ES45 0182 5400 2702 0221 8266</t>
  </si>
  <si>
    <t>ES58 6893 0001 7700 0027 5112</t>
  </si>
  <si>
    <t>ES49 0182 8181 1302 0232 8441</t>
  </si>
  <si>
    <t>ES29 6893 0001 7400 0036 7834</t>
  </si>
  <si>
    <t>BE28 9050 2145 7720</t>
  </si>
  <si>
    <t>ALEXANDER PERAFAN GONZALEZ</t>
  </si>
  <si>
    <t>BE38 9678 7418 4372</t>
  </si>
  <si>
    <t>BE56 9055 6513 9888</t>
  </si>
  <si>
    <t>ES60 0182 9050 1202 0170 3133</t>
  </si>
  <si>
    <t>PT50 0010 0000 6025 4850 0012 0</t>
  </si>
  <si>
    <t>BPI</t>
  </si>
  <si>
    <t>ES89 6893 0001 7800 0034 7643</t>
  </si>
  <si>
    <t>ES60 0182 0956 5102 0178 8150</t>
  </si>
  <si>
    <t xml:space="preserve">ES60 6893 0001 7400 0033 7594 </t>
  </si>
  <si>
    <t>ES42 6893 0001 7900 0026 4147</t>
  </si>
  <si>
    <t>BE67 9674 1303 8187</t>
  </si>
  <si>
    <t>PT50 0007 0000 0078 6467 7562 3</t>
  </si>
  <si>
    <t xml:space="preserve">ES80 0182 2620 9502 0164 8696 </t>
  </si>
  <si>
    <t>ES31 1563 2626 3032 6099 2916</t>
  </si>
  <si>
    <t>N26</t>
  </si>
  <si>
    <t>BE21 9050 5590 0703</t>
  </si>
  <si>
    <t>BE48 9679 8632 1527</t>
  </si>
  <si>
    <t>ES43 6893 0001 7400 0030 8121</t>
  </si>
  <si>
    <t>ES48 0182 6398 2102 0169 4761</t>
  </si>
  <si>
    <t>NL02 BUNQ 2185 0437 57</t>
  </si>
  <si>
    <t>ES38 0182 3921 6502 0161 5554</t>
  </si>
  <si>
    <t>ES66 0182 5430 4802 0169 1559</t>
  </si>
  <si>
    <t>ES97 0182 0648 6802 0155 7514</t>
  </si>
  <si>
    <t>ES70 0182 4003 1902 0167 1817</t>
  </si>
  <si>
    <t>ES67 0182 5011 1702 0224 0429</t>
  </si>
  <si>
    <t>ES33 0182 2229 5402 0161 8236</t>
  </si>
  <si>
    <t>ES46 0182 7541 3802 0160 6259</t>
  </si>
  <si>
    <t>PT50 0033 0000 4565 8781 6340 5</t>
  </si>
  <si>
    <t>ES56 0182 0600 0802 0174 9832</t>
  </si>
  <si>
    <t>BE72 9055 8338 8016</t>
  </si>
  <si>
    <t>ANDERSON PIMIENTO RAMIREZ</t>
  </si>
  <si>
    <t>ES75 0182 3212 8202 0157 7143</t>
  </si>
  <si>
    <t>BE23 9051 8890 6291</t>
  </si>
  <si>
    <t>ES51 0182 1245 1402 0166 2379</t>
  </si>
  <si>
    <t>PT50 0023 0000 4556 2935 2559 4</t>
  </si>
  <si>
    <t>ACTIVOBANK</t>
  </si>
  <si>
    <t>ES44 0182 5011 1102 0224 2883</t>
  </si>
  <si>
    <t>ES52 0182 1306 9802 0168 8854</t>
  </si>
  <si>
    <t>BE86 9052 2247 3850</t>
  </si>
  <si>
    <t xml:space="preserve">ES76 0182 5005 0102 0159 4458 </t>
  </si>
  <si>
    <t xml:space="preserve">ES04 0182 8181 1502 0233 7883 </t>
  </si>
  <si>
    <t>ES30 6893 0001 7900 0027 5712</t>
  </si>
  <si>
    <t>ES32 0182 6337 4402 0158 1251</t>
  </si>
  <si>
    <t xml:space="preserve">BE27 9051 8348 2173 </t>
  </si>
  <si>
    <t>ES64 0182 3961 5402 0176 6982</t>
  </si>
  <si>
    <t>BE79 9678 0488 3633</t>
  </si>
  <si>
    <t>ES36 0182 0702 3102 0165 0263</t>
  </si>
  <si>
    <t>ANDRES GUILLERMO VALENCIA PARRA</t>
  </si>
  <si>
    <t xml:space="preserve">ES50 0049 0036 1120 1164 1145 </t>
  </si>
  <si>
    <t>ES08 0182 3921 6002 0161 2265</t>
  </si>
  <si>
    <t>BE77 9679 3559 2042</t>
  </si>
  <si>
    <t>ES33 0182 9050 1102 0170 2116</t>
  </si>
  <si>
    <t>ES61 0049 5413 5125 1609 0431</t>
  </si>
  <si>
    <t>BE63 9053 6884 2608</t>
  </si>
  <si>
    <t>ES76 0182 2125 3202 0160 1042</t>
  </si>
  <si>
    <t>ES04 0182 3660 1302 0164 6314</t>
  </si>
  <si>
    <t>ES56 0049 2661 4225 1447 4511</t>
  </si>
  <si>
    <t>PT50 0033 0000 4566 8273 76305</t>
  </si>
  <si>
    <t>ES21 0182 9502 2102 0176 2468</t>
  </si>
  <si>
    <t xml:space="preserve">ES59 2100 0639 0102 0104 9195 </t>
  </si>
  <si>
    <t>ES85 0182 2626 6902 0169 5946</t>
  </si>
  <si>
    <t>ES71 6893 0001 7400 0027 3085</t>
  </si>
  <si>
    <t>ES25 0182 0720 9602 0163 6676</t>
  </si>
  <si>
    <t xml:space="preserve">BE82 9678 9558 2168 </t>
  </si>
  <si>
    <t>ANTONIO JOSE NASCIMENTO SILVA</t>
  </si>
  <si>
    <t>PT50 0010 0000 6142 5610 0010 4</t>
  </si>
  <si>
    <t>ES12 0182 5141 5102 0158 6263</t>
  </si>
  <si>
    <t>ES22 0182 0394 3002 0176 6941</t>
  </si>
  <si>
    <t>ES12 0182 8674 4102 0165 0081</t>
  </si>
  <si>
    <t>ES48 6893 0001 7000 0030 9973</t>
  </si>
  <si>
    <t>ES37 6893 0001 7000 0021 7924</t>
  </si>
  <si>
    <t>ES91 6893 0001 7600 0026 0211</t>
  </si>
  <si>
    <t>ES16 6893 0001 7600 0031 1031</t>
  </si>
  <si>
    <t>BE74 9055 7644 1907</t>
  </si>
  <si>
    <t>FR76 1659 8000 0140 0010 1905 939</t>
  </si>
  <si>
    <t>ES18 0182 0345 1302 0185 9245</t>
  </si>
  <si>
    <t>ARNOLD ANGARITA NIETO</t>
  </si>
  <si>
    <t>DE67 1001 1001 2545 7313 07</t>
  </si>
  <si>
    <t>ES20 6893 0001 7100 0026 9397</t>
  </si>
  <si>
    <t>ES07 2100 2343 3307 0050 5021</t>
  </si>
  <si>
    <t>CAIXABANK</t>
  </si>
  <si>
    <t>ES06 0049 3063 3523 1414 6677</t>
  </si>
  <si>
    <t>ES70 0182 8191 7102 0204 9338</t>
  </si>
  <si>
    <t xml:space="preserve">ES43 0049 1330 5620 1027 8931 </t>
  </si>
  <si>
    <t>ES32 6893 0001 7100 0015 5691</t>
  </si>
  <si>
    <t>ES71 6893 0001 7100 0026 3726</t>
  </si>
  <si>
    <t>ES59 0182 2620 9102 0164 6263</t>
  </si>
  <si>
    <t>ES03 6893 0001 7800 0027 3337</t>
  </si>
  <si>
    <t>ES13 0182 7029 7802 0159 1693</t>
  </si>
  <si>
    <t>ES92 0182 0706 1502 0164 4989</t>
  </si>
  <si>
    <t>ES41 0182 0702 3402 0165 3712</t>
  </si>
  <si>
    <t>BE92 9053 0079 8623</t>
  </si>
  <si>
    <t>PL82 1050 1793 1000 0097 6481 6352</t>
  </si>
  <si>
    <t>ING BANK</t>
  </si>
  <si>
    <t>ES63 0182 8674 4702 0165 0906</t>
  </si>
  <si>
    <t>BE70 9050 4880 2525</t>
  </si>
  <si>
    <t>ES17 0182 0956 5002 0179 1495</t>
  </si>
  <si>
    <t>ES87 2100 0309 8402 0062 7243</t>
  </si>
  <si>
    <t>ES86 0182 0382 7102 0167 2230</t>
  </si>
  <si>
    <t>ES76 0182 0710 1102 0156 7867</t>
  </si>
  <si>
    <t>BE80 9056 8570 9777</t>
  </si>
  <si>
    <t>ES68 0182 6106 0402 0161 7587</t>
  </si>
  <si>
    <t>ES67 0182 3191 8602 0175 0801</t>
  </si>
  <si>
    <t>ES24 0182 8680 3702 0039 8752</t>
  </si>
  <si>
    <t>ES66 0182 1649 2102 0167 1636</t>
  </si>
  <si>
    <t>ES43 0182 3350 1102 0160 2525</t>
  </si>
  <si>
    <t>PT50 0045 3161 4039 6631 8588 0</t>
  </si>
  <si>
    <t>CA CREDITO AGRICOLA</t>
  </si>
  <si>
    <t xml:space="preserve">ES54 0182 2620 9802 0164 7853 </t>
  </si>
  <si>
    <t>BE92 9053 9029 0823</t>
  </si>
  <si>
    <t>ES78 0182 4951 1402 0178 5150</t>
  </si>
  <si>
    <t>ES05 6893 0001 7900 0033 5429</t>
  </si>
  <si>
    <t xml:space="preserve"> ES44 0182 4388 1902 0186 5368 </t>
  </si>
  <si>
    <t>ES28 0182 0917 0102 0175 5296</t>
  </si>
  <si>
    <t>ES62 0182 1965 1702 0169 8881</t>
  </si>
  <si>
    <t>ES49 0182 1268 8902 0159 8129</t>
  </si>
  <si>
    <t>ES32 0049 6156 9528 1001 3154</t>
  </si>
  <si>
    <t>ES12 0182 9035 1202 0172 0461</t>
  </si>
  <si>
    <t>FR76 1659 8000 0140 0010 4278 559</t>
  </si>
  <si>
    <t>ES35 6893 0001 7100 0028 2901</t>
  </si>
  <si>
    <t>ES32 0182 0674 1102 0163 2636</t>
  </si>
  <si>
    <t>BE32 9050 4042 9102</t>
  </si>
  <si>
    <t>BE30 9673 5704 2111</t>
  </si>
  <si>
    <t>ES12 0182 1433 0002 0188 6585</t>
  </si>
  <si>
    <t>BE96 9054 2055 3005</t>
  </si>
  <si>
    <t>ES29 6893 0001 7500 0028 6111</t>
  </si>
  <si>
    <t>ES34 0182 4143 2702 0193 7934</t>
  </si>
  <si>
    <t>BE56 9057 7352 4988</t>
  </si>
  <si>
    <t>ES71 0182 0660 4402 0167 2824</t>
  </si>
  <si>
    <t>ES42 0182 0152 8802 0176 3908</t>
  </si>
  <si>
    <t>ES45 0182 0606 8002 0178 1704</t>
  </si>
  <si>
    <t>ES35 0182 8151 8802 0193 7742</t>
  </si>
  <si>
    <t>BE44 9055 3212 6445</t>
  </si>
  <si>
    <t>ES88 0182 2125 3902 0160 1356</t>
  </si>
  <si>
    <t>ES67 6893 0001 7500 0033 5479</t>
  </si>
  <si>
    <t xml:space="preserve">NL79 BUNQ 2117 9726 91 </t>
  </si>
  <si>
    <t>ES71 0182 6855 8602 0180 4597</t>
  </si>
  <si>
    <t>BE20 9679 9312 4156</t>
  </si>
  <si>
    <t>ES17 0049 5774 4929 1621 2724</t>
  </si>
  <si>
    <t>ES90 0182 0660 4102 0167 2435</t>
  </si>
  <si>
    <t>ES17 0182 4027 2802 0188 2590</t>
  </si>
  <si>
    <t>BE62 9053 0428 4761</t>
  </si>
  <si>
    <t xml:space="preserve"> BE10 9050 6925 7704
</t>
  </si>
  <si>
    <t>BE68 9057 2251 6934</t>
  </si>
  <si>
    <t>ES29 0182 0573 1502 0173 3186</t>
  </si>
  <si>
    <t>BE41 9679 5785 0310</t>
  </si>
  <si>
    <t xml:space="preserve">BE19 9677 7022 3412 </t>
  </si>
  <si>
    <t xml:space="preserve">ES98 6893 0001 7500 0030 1747 </t>
  </si>
  <si>
    <t>BE88 9051 2046 7741</t>
  </si>
  <si>
    <t>ES82 6893 0001 7600 0029 3256</t>
  </si>
  <si>
    <t>ES42 2100 1162 4102 0054 5121</t>
  </si>
  <si>
    <t>ES27 0049 2439 1327 1543 4791</t>
  </si>
  <si>
    <t>ES59 1576 1212 1010 1040 8758</t>
  </si>
  <si>
    <t>ES97 6893 0001 7700 0027 2470</t>
  </si>
  <si>
    <t>ES71 2100 0868 5902 0107 2129</t>
  </si>
  <si>
    <t>ES71 0182 1140 3702 0170 2808</t>
  </si>
  <si>
    <t>ES31 0182 2247 0102 0167 7684</t>
  </si>
  <si>
    <t>ES68 0182 6855 8402 0179 7086</t>
  </si>
  <si>
    <t>ES25 0182 0838 6502 0157 5647</t>
  </si>
  <si>
    <t xml:space="preserve">ES30 6893 0001 7100 0025 2727 </t>
  </si>
  <si>
    <t>ES24 0182 4003 1702 0167 7884</t>
  </si>
  <si>
    <t>ES16 0182 8674 4202 0164 9087</t>
  </si>
  <si>
    <t>ES27 0182 6560 1502 0159 8578</t>
  </si>
  <si>
    <t>ES05 0182 1418 9502 0161 1982</t>
  </si>
  <si>
    <t>BE27 9056 9390 5873</t>
  </si>
  <si>
    <t>ES86 0182 8181 1302 0234 3295</t>
  </si>
  <si>
    <t>ES41 0182 7312 9802 0165 2010</t>
  </si>
  <si>
    <t>ES53 0182 3507 4602 0231 2326</t>
  </si>
  <si>
    <t>ES97 2100 4247 1422 0031 7610</t>
  </si>
  <si>
    <t>ES83 0182 0382 7802 0167 5239</t>
  </si>
  <si>
    <t>ES21 0182 8191 7502 0204 9345</t>
  </si>
  <si>
    <t>BE28 9057 4395 2520</t>
  </si>
  <si>
    <t>BE84 9051 0276 7059</t>
  </si>
  <si>
    <t>ES67 0182 6790 0202 0176 6057</t>
  </si>
  <si>
    <t>ES16 0182 2620 9002 0164 8832</t>
  </si>
  <si>
    <t>FR76 3000 3027 5300 0502 6110 266</t>
  </si>
  <si>
    <t>RIB</t>
  </si>
  <si>
    <t>ES40 0182 1428 6002 0157 0857</t>
  </si>
  <si>
    <t>ES73 0182 4532 5502 0176 9164</t>
  </si>
  <si>
    <t>BE02 9670 0813 6040</t>
  </si>
  <si>
    <t xml:space="preserve">ES82 2100 0137 3107 0000 7237 </t>
  </si>
  <si>
    <t>ES09 0182 0382 7602 0167 6669</t>
  </si>
  <si>
    <t>PT50 0033 0000 4556 2981 4270 5</t>
  </si>
  <si>
    <t>ES66 0182 2952 0502 0163 9377</t>
  </si>
  <si>
    <t>ES64 2100 0003 1107 0000 3310</t>
  </si>
  <si>
    <t>ES89 0182 0869 2102 0187 6577</t>
  </si>
  <si>
    <t>ES19 6893 0001 7500 0031 9465</t>
  </si>
  <si>
    <t>ES26 0182 9050 1902 0169 9522</t>
  </si>
  <si>
    <t>ES96 2100 4247 1022 0031 7145</t>
  </si>
  <si>
    <t>BE64 9055 7587 4152</t>
  </si>
  <si>
    <t>ES10 0182 0652 6302 0152 7600</t>
  </si>
  <si>
    <t>BE27 9673 9305 4773</t>
  </si>
  <si>
    <t>ES85 0182 7029 7602 0159 1853</t>
  </si>
  <si>
    <t>ES96 0182 1428 6002 0157 0819</t>
  </si>
  <si>
    <t xml:space="preserve">ES43 0049 0154 9627 1005 5068 </t>
  </si>
  <si>
    <t>BE23 9056 6755 2791</t>
  </si>
  <si>
    <t>ES06 0182 8674 4302 0164 8442</t>
  </si>
  <si>
    <t xml:space="preserve"> ES74 0182 2620 9002 0164 7594 </t>
  </si>
  <si>
    <t>ES97 6893 0001 7400 0026 2529</t>
  </si>
  <si>
    <t>ES73 0182 2620 9902 0164 6201</t>
  </si>
  <si>
    <t xml:space="preserve">ES31 0182 0361 8402 0160 6315 </t>
  </si>
  <si>
    <t xml:space="preserve"> BE42 9674 2783 7054</t>
  </si>
  <si>
    <t>DANIEL ALVES CAVALHEIRO</t>
  </si>
  <si>
    <t>PT50 0023 0000 4557 2925 3829 4</t>
  </si>
  <si>
    <t>ES45 0182 5011 1002 0223 0886</t>
  </si>
  <si>
    <t>PL18 1020 3958 0000 9902 0335 3992</t>
  </si>
  <si>
    <t xml:space="preserve">ES28 0182 4641 1702 0163 9510 </t>
  </si>
  <si>
    <t>LT97 3250 0980 4632 0057</t>
  </si>
  <si>
    <t>ES91 2100 3726 9922 0032 4762</t>
  </si>
  <si>
    <t>ES72 1576 1212 1310 1048 7335</t>
  </si>
  <si>
    <t xml:space="preserve">ES22 6893 0001 7800 0033 7597 </t>
  </si>
  <si>
    <t>BE34 9056 5086 8690</t>
  </si>
  <si>
    <t>ES22 6893 0001 7000 0032 5573</t>
  </si>
  <si>
    <t>ES20 0182 2125 3202 0160 1080</t>
  </si>
  <si>
    <t>ES03 0182 8674 4502 0164 4518</t>
  </si>
  <si>
    <t xml:space="preserve">ES05 0182 6786 0102 0155 5380 </t>
  </si>
  <si>
    <t>BE36 9053 7365 1481</t>
  </si>
  <si>
    <t>PT50 0036 0135 9910 0047 8146 2</t>
  </si>
  <si>
    <t>BANCO MONTEPIO</t>
  </si>
  <si>
    <t>ES84 6893 0001 7300 0029 5016</t>
  </si>
  <si>
    <t>ES63 0182 0956 5702 0179 1488</t>
  </si>
  <si>
    <t>ES09 6893 0001 7400 0027 7208</t>
  </si>
  <si>
    <t>ES49 0182 7029 7202 0159 2115</t>
  </si>
  <si>
    <t>BE86 9675 8730 4650</t>
  </si>
  <si>
    <t>BE74 9054 8149 8307</t>
  </si>
  <si>
    <t>PT50 0035 0159 00090993 630 71</t>
  </si>
  <si>
    <t>CAIXA GERAL</t>
  </si>
  <si>
    <t xml:space="preserve">ES22 0182 0606 8402 0178 3571 </t>
  </si>
  <si>
    <t>ES85 0182 5141 5602 0158 6256</t>
  </si>
  <si>
    <t>ES36 0182 4609 9102 0576 4108</t>
  </si>
  <si>
    <t>ES92 6893 0001 7000 0027 3097</t>
  </si>
  <si>
    <t>BE29 9056 6569 7364</t>
  </si>
  <si>
    <t>ES30 0182 0704 2702 0156 5204</t>
  </si>
  <si>
    <t>BE47 9056 2273 7680</t>
  </si>
  <si>
    <t>ES73 6893 0001 7600 0030 0984</t>
  </si>
  <si>
    <t xml:space="preserve">ES36 0049 5475 8021 1610 0749 </t>
  </si>
  <si>
    <t xml:space="preserve">ES78 6893 0001 7000 0024 2600 </t>
  </si>
  <si>
    <t>ES94 0182 0573 1602 0173 3131</t>
  </si>
  <si>
    <t>PT50 0033 0000 4566 4361 9470 5</t>
  </si>
  <si>
    <t>ES76 0182 6786 0202 0155 7836</t>
  </si>
  <si>
    <t>ES38 0182 8181 1502 0233 8435</t>
  </si>
  <si>
    <t>ES68 0182 0496 6402 0179 4655</t>
  </si>
  <si>
    <t xml:space="preserve"> ES79 6893 0001 7800 0019 1459</t>
  </si>
  <si>
    <t>ES29 0182 2939 8802 0017 5321</t>
  </si>
  <si>
    <t>ES71 0182 5430 4102 0169 2200</t>
  </si>
  <si>
    <t>BE46 9678 3863 9936</t>
  </si>
  <si>
    <t>ES20 0182 8181 1102 0233 8664</t>
  </si>
  <si>
    <t>ES14 0182 0927 8702 0163 9090</t>
  </si>
  <si>
    <t xml:space="preserve">ES23 0182 8181 1202 0233 8367 </t>
  </si>
  <si>
    <t>ES34 6893 0001 7100 0020 4252</t>
  </si>
  <si>
    <t>ES72 0182 3275 5802 0165 2629</t>
  </si>
  <si>
    <t>ES71 0182 7312 9602 0164 6912</t>
  </si>
  <si>
    <t>BE90 9050 2898 6132</t>
  </si>
  <si>
    <t>BE39 9055 3310 3519</t>
  </si>
  <si>
    <t>BE43 9678 5886 0901</t>
  </si>
  <si>
    <t>PL16 1090 1102 0000 0001 6252 0599</t>
  </si>
  <si>
    <t>DIEGO JONATAN MALGIOGLIO</t>
  </si>
  <si>
    <t>DE38 1001 1001 2998 2545 80</t>
  </si>
  <si>
    <t>ES45 6893 0001 7600 0028 0633</t>
  </si>
  <si>
    <t>ES38 0049 0199 0328 1136 8533</t>
  </si>
  <si>
    <t>ES37 0182 0702 3102 0164 8693</t>
  </si>
  <si>
    <t xml:space="preserve">    ES71 0182 0578 4402 0447 3822</t>
  </si>
  <si>
    <t>BE24 9056 9017 7538</t>
  </si>
  <si>
    <t>PT50 0033 0000 4564 6447 1140 5</t>
  </si>
  <si>
    <t>DORIEDSON E SILVA SANTANA</t>
  </si>
  <si>
    <t>PT50 0010 0000 6225 8420 0017 1</t>
  </si>
  <si>
    <t>BE98 9052 9051 3993</t>
  </si>
  <si>
    <t>LU76 4080 0000 4475 6306</t>
  </si>
  <si>
    <t>DolarApp</t>
  </si>
  <si>
    <t>ES56 0182 6800 9202 0179 0542</t>
  </si>
  <si>
    <t>ES77 0182 6556 1402 0167 5430</t>
  </si>
  <si>
    <t>DUVAN ANDRES BOSIGA SANCHEZ</t>
  </si>
  <si>
    <t xml:space="preserve">ES83 0182 5430 4102 0169 1887 </t>
  </si>
  <si>
    <t>ES50 6893 0001 7800 0032 0021</t>
  </si>
  <si>
    <t>BE15 9052 4000 9430</t>
  </si>
  <si>
    <t>BE75 9057 2882 3651</t>
  </si>
  <si>
    <t>ES70 1576 1212 1110 1041 3846</t>
  </si>
  <si>
    <t>ES87 0182 1077 3702 0162 4772</t>
  </si>
  <si>
    <t>BE06 9055 8284 5422</t>
  </si>
  <si>
    <t>ES89 0049 0627 9726 1085 5510</t>
  </si>
  <si>
    <t>EDGAR ESTEBAN RODAS GOMEZ</t>
  </si>
  <si>
    <t>BE27 9679 3840 8173</t>
  </si>
  <si>
    <t>BE53 9050 5997 9753</t>
  </si>
  <si>
    <t>ES10 6893 0001 7100 0017 1510</t>
  </si>
  <si>
    <t>NL48 BUNQ 2166 1509 18</t>
  </si>
  <si>
    <t>ES55 0182 4960 2102 0166 4297</t>
  </si>
  <si>
    <t>ES57 0182 3275 5202 0165 2902</t>
  </si>
  <si>
    <t>ES76 6893 0001 7900 0028 5845</t>
  </si>
  <si>
    <t>ES51 0182 6786 0702 0155 5519</t>
  </si>
  <si>
    <t>NL52 BUNQ 2185 1063 92</t>
  </si>
  <si>
    <t>ES26 0182 5322 2102 0680 7313</t>
  </si>
  <si>
    <t>ES24 0182 4003 1202 0167 1824</t>
  </si>
  <si>
    <t>ES89 0182 7345 4802 0171 3250</t>
  </si>
  <si>
    <t xml:space="preserve">BE54 9052 0666 7597 </t>
  </si>
  <si>
    <t xml:space="preserve">ES84 6893 0001 7200 0027 9739 </t>
  </si>
  <si>
    <t>ES07 0182 4388 1302 0186 6231</t>
  </si>
  <si>
    <t>ES66 0182 2125 3902 0160 1073</t>
  </si>
  <si>
    <t>LU83 4080 0000 4329 9628</t>
  </si>
  <si>
    <t>ES47 0182 1710 3902 0166 9113</t>
  </si>
  <si>
    <t>BE90 9053 5093 8832</t>
  </si>
  <si>
    <t xml:space="preserve"> ES43 0182 1248 3802 0154 9938</t>
  </si>
  <si>
    <t>BE76 9054 4665 5095</t>
  </si>
  <si>
    <t>NL18 BUNQ 2155 0836 61</t>
  </si>
  <si>
    <t>BE31 9052 9879 3955</t>
  </si>
  <si>
    <t xml:space="preserve">ES07 0182 6755 4402 0157 4187 </t>
  </si>
  <si>
    <t>ES09 0182 2626 6002 0169 4554</t>
  </si>
  <si>
    <t>ES71 6893 0001 7300 0033 5020</t>
  </si>
  <si>
    <t>ES20 2100 4247 1622 0032 0062</t>
  </si>
  <si>
    <t>BE28 9052 3933 9120</t>
  </si>
  <si>
    <t>BE18 9054 7747 8665</t>
  </si>
  <si>
    <t>BE81 9678 1527 1424</t>
  </si>
  <si>
    <t>BE61 9051 6671 4917</t>
  </si>
  <si>
    <t xml:space="preserve">ES07 0182 9055 4302 0166 2936  </t>
  </si>
  <si>
    <t>BE58 9055 1631 8879</t>
  </si>
  <si>
    <t>ES43 0182 0615 0002 0162 0601</t>
  </si>
  <si>
    <t>BE97 9054 4971 5649</t>
  </si>
  <si>
    <t>BE50 9050 5996 6518</t>
  </si>
  <si>
    <t>BE21 9053 4864 6703</t>
  </si>
  <si>
    <t>ES60 0182 0701 9702 0160 8623</t>
  </si>
  <si>
    <t>BE49 9054 6102 8071</t>
  </si>
  <si>
    <t>ES64 6893 0001 7200 0029 3097</t>
  </si>
  <si>
    <t>ES45 0182 2455 6002 0165 3568</t>
  </si>
  <si>
    <t>ES33 0182 0702 3902 0165 0119</t>
  </si>
  <si>
    <t>ES20 0182 0606 8702 0178 3557</t>
  </si>
  <si>
    <t>ES68 0182 9730 2602 0035 9385</t>
  </si>
  <si>
    <t>ES32 0182 6936 1802 0159 9523</t>
  </si>
  <si>
    <t>ES07 0182 1215 8802 0155 3957</t>
  </si>
  <si>
    <t>PT50 0035 0379 0000 7080 130 58</t>
  </si>
  <si>
    <t>CAIXADIRECTA</t>
  </si>
  <si>
    <t xml:space="preserve">ES94 6893 0001 7800 0029 2166 </t>
  </si>
  <si>
    <t xml:space="preserve">BE08 9051 8010 0513 </t>
  </si>
  <si>
    <t>ES87 0182 4960 2102 0166 4303</t>
  </si>
  <si>
    <t>BE49 9057 4663 4871</t>
  </si>
  <si>
    <t>ES08 2100 5002 4902 0013 6934</t>
  </si>
  <si>
    <t>ES91 0182 6398 2202 0169 3065</t>
  </si>
  <si>
    <t>ES56 0182 7421 5202 0270 2061</t>
  </si>
  <si>
    <t>ES61 0182 0043 1702 0168 6747</t>
  </si>
  <si>
    <t>ES46 0182 0917 0302 0174 7017</t>
  </si>
  <si>
    <t>ES35 6893 0001 7400 0031 6219</t>
  </si>
  <si>
    <t>ES13 0182 2082 1602 0168 9112</t>
  </si>
  <si>
    <t>BE77 9054 1155 5142</t>
  </si>
  <si>
    <t xml:space="preserve">ES17 0182 5764 5502 0166 4146 </t>
  </si>
  <si>
    <t xml:space="preserve">ES26 0049 1330 5224 1027 8915 </t>
  </si>
  <si>
    <t>BE40 9053 0596 3063</t>
  </si>
  <si>
    <t>ES77 0182 0496 6802 0179 4297</t>
  </si>
  <si>
    <t>ES61 0182 4291 3502 0159 5879</t>
  </si>
  <si>
    <t>ES32 6893 0001 7500 0024 2601</t>
  </si>
  <si>
    <t>ES82 0182 6800 9802 0179 7055</t>
  </si>
  <si>
    <t>ELITON APARECIDO DE ANDRADE</t>
  </si>
  <si>
    <t xml:space="preserve">PT50 0007 0000 0072 1640 6192 3 </t>
  </si>
  <si>
    <t>ES33 0182 8738 7102 0262 1047</t>
  </si>
  <si>
    <t>ES70 0182 0670 1702 0161 0227</t>
  </si>
  <si>
    <t xml:space="preserve">DE10 1001 1001 2469 4973 17 </t>
  </si>
  <si>
    <t>ES78 0182 4390 2802 0177 6818</t>
  </si>
  <si>
    <t>ES11 0182 0424 6002 0254 3273</t>
  </si>
  <si>
    <t>ES60 0182 0710 1602 0156 4806</t>
  </si>
  <si>
    <t>BE67 9055 6012 4887</t>
  </si>
  <si>
    <t>ES02 0049 1176 4929 1007 3971</t>
  </si>
  <si>
    <t xml:space="preserve">BE98 9674 9803 9893 </t>
  </si>
  <si>
    <t xml:space="preserve">ES76 0182 9725 8902 0029 4130 </t>
  </si>
  <si>
    <t xml:space="preserve"> PT50 0023 0000 4565 6230 5349 4</t>
  </si>
  <si>
    <t xml:space="preserve">ES50 0182 0699 7802 0164 2135 </t>
  </si>
  <si>
    <t>ES57 0182 0845 1502 0220 2821</t>
  </si>
  <si>
    <t xml:space="preserve">ES81 6893 0001 7100 0033 5423 </t>
  </si>
  <si>
    <t>ES50 0182 3212 8002 0157 7303</t>
  </si>
  <si>
    <t>ES06 6893 0001 7700 0033 7740</t>
  </si>
  <si>
    <t>ES60 6893 0001 7900 0017 8463</t>
  </si>
  <si>
    <t>PT50 0007 0000 0070 3427 3172 3</t>
  </si>
  <si>
    <t>PT50 0007 0000 0069 9851 0242 3</t>
  </si>
  <si>
    <t>ES88 0182 4018 1802 0169 4072</t>
  </si>
  <si>
    <t>LT85 3250 0484 3812 1463</t>
  </si>
  <si>
    <t>ES61 0182 8181 1102 0234 2582</t>
  </si>
  <si>
    <t>BE60 9053 5228 1270</t>
  </si>
  <si>
    <t xml:space="preserve">ES57 0182 8181 1502 0233 8190 </t>
  </si>
  <si>
    <t>ES74 2080 0405 4430 4004 9938</t>
  </si>
  <si>
    <t>ABANCA</t>
  </si>
  <si>
    <t>PT50 0269 0373 0020 9419 1665 1</t>
  </si>
  <si>
    <t>BANKINTER</t>
  </si>
  <si>
    <t>BE13 9051 1989 5239</t>
  </si>
  <si>
    <t xml:space="preserve">NL53 BUNQ 2140 6245 99 </t>
  </si>
  <si>
    <t>ES50 0182 3100 8702 0178 6163</t>
  </si>
  <si>
    <t>ES86 6893 0001 7600 0027 7373</t>
  </si>
  <si>
    <t>ES54 0182 3834 3002 0161 9294</t>
  </si>
  <si>
    <t xml:space="preserve">PT50 0007 0000 0074 2713 9662 3 </t>
  </si>
  <si>
    <t>ES83 0182 0057 7502 0161 6655</t>
  </si>
  <si>
    <t>BE10 9052 2684 3904</t>
  </si>
  <si>
    <t>ES81 0182 4960 2402 0165 4661</t>
  </si>
  <si>
    <t>PT50 0007 0000 0038 5742 8112 3</t>
  </si>
  <si>
    <t>ES91 6893 0001 7000 0029 4358</t>
  </si>
  <si>
    <t xml:space="preserve">BE06 9051 8519 3922 </t>
  </si>
  <si>
    <t xml:space="preserve">ES59 0182 6786 0902 0155 5762 </t>
  </si>
  <si>
    <t>BE53 9054 7119 1853</t>
  </si>
  <si>
    <t xml:space="preserve"> ES72 0182 1150 0202 0159 3522 </t>
  </si>
  <si>
    <t>ES56 1576 1212 1110 1044 6399</t>
  </si>
  <si>
    <t>BE42 9057 7680 0154</t>
  </si>
  <si>
    <t>ES23 0182 0529 2602 0167 8307</t>
  </si>
  <si>
    <t>PT50 0007 0000 0064 9706 9712 3</t>
  </si>
  <si>
    <t>ES79 0182 3212 8702 0157 5468</t>
  </si>
  <si>
    <t>PT50 0010 0000 5989 4940 0013 1</t>
  </si>
  <si>
    <t>ES03 6893 0001 7100 0034 0513</t>
  </si>
  <si>
    <t>BE91 9679 8049 6776</t>
  </si>
  <si>
    <t>ES94 0182 6900 2402 0208 4331</t>
  </si>
  <si>
    <t>ES48 0182 1016 5202 0215 0813</t>
  </si>
  <si>
    <t>ES65 0182 2229 5002 0161 8632</t>
  </si>
  <si>
    <t>ES21 0182 2648 1702 0166 2656</t>
  </si>
  <si>
    <t xml:space="preserve">ES14 0049 1986 0328 1005 1692 </t>
  </si>
  <si>
    <t>FELIPE DOS SANTOS</t>
  </si>
  <si>
    <t xml:space="preserve">PT50 0010 0000 6220 0330 0016 5 </t>
  </si>
  <si>
    <t>ES11 0049 5413 5224 1609 0490</t>
  </si>
  <si>
    <t>ES54 6893 0001 7900 0031 1849</t>
  </si>
  <si>
    <t>BE35 9055 2083 4837</t>
  </si>
  <si>
    <t>ES33 2100 1129 7702 0044 3416</t>
  </si>
  <si>
    <t>ES90 0182 4882 2602 0159 9907</t>
  </si>
  <si>
    <t>ES49 0182 7782 4102 0165 5700</t>
  </si>
  <si>
    <t>ES85 6893 0001 7400 0033 5204</t>
  </si>
  <si>
    <t>ES10 0182 4003 1302 0167 7556</t>
  </si>
  <si>
    <t>BE08 0636 5438 8913</t>
  </si>
  <si>
    <t>BANCONTACT</t>
  </si>
  <si>
    <t>PL39 1160 2202 0000 0006 6910 5520</t>
  </si>
  <si>
    <t>FERNANDO EMANUEL GUEVARAS</t>
  </si>
  <si>
    <t>ES33 0182 9725 8202 0029 0688</t>
  </si>
  <si>
    <t>BE02 9678 1520 5140</t>
  </si>
  <si>
    <t>BE38 9054 1996 8072</t>
  </si>
  <si>
    <t>ES54 0182 6556 1202 0166 4399</t>
  </si>
  <si>
    <t>BE53 9057 8844 0053</t>
  </si>
  <si>
    <t>BE34 9050 6659 8890</t>
  </si>
  <si>
    <t>ES86 6893 0001 7100 0026 6269</t>
  </si>
  <si>
    <t>ES02 6893 0001 7100 0030 5029</t>
  </si>
  <si>
    <t>ES23 0182 7312 9202 0164 6905</t>
  </si>
  <si>
    <t>BE45 9052 1257 4089</t>
  </si>
  <si>
    <t>BE78 9056 9631 2786</t>
  </si>
  <si>
    <t>PT50 0035 0361 0000 4591 9300 2</t>
  </si>
  <si>
    <t>BE33 9679 0140 9646</t>
  </si>
  <si>
    <t>ES29 6893 0001 7500 0026 4771</t>
  </si>
  <si>
    <t>ES90 6893 0001 7100 0016 0467</t>
  </si>
  <si>
    <t>FRANK ANTHONY QUIÑONES ALVARADO</t>
  </si>
  <si>
    <t>ES38 2100 5779 2402 0033 2054</t>
  </si>
  <si>
    <t>ES81 6893 0001 7200 0031 0639</t>
  </si>
  <si>
    <t>ES85 0182 0496 6002 0179 7746</t>
  </si>
  <si>
    <t>PL17 1020 4144 0000 6402 0341 5973</t>
  </si>
  <si>
    <t>BE42 9054 8308 4154</t>
  </si>
  <si>
    <t>BE30 9054 2367 7011</t>
  </si>
  <si>
    <t>ES09 0182 0374 9602 0154 6206</t>
  </si>
  <si>
    <t xml:space="preserve">FR76 1659 8000 0140 0004 7013 251 </t>
  </si>
  <si>
    <t>ES51 6893 0001 7700 0034 0616</t>
  </si>
  <si>
    <t>BE06 9056 8886 6422</t>
  </si>
  <si>
    <t>BE39 9678 1519 3319</t>
  </si>
  <si>
    <t>BE05 9053 5228 1775</t>
  </si>
  <si>
    <t>ES87 0182 0117 1502 0170 1301</t>
  </si>
  <si>
    <t>ES89 0182 6936 1302 0159 9615</t>
  </si>
  <si>
    <t>ES94 0182 0278 3202 0160 1209</t>
  </si>
  <si>
    <t>ES84 0182 0187 2702 0162 9464</t>
  </si>
  <si>
    <t>ES95 0182 4388 1202 0186 5375</t>
  </si>
  <si>
    <t>BE56 9056 5075 2088</t>
  </si>
  <si>
    <t>ES94 0049 2795 8122 1463 2978</t>
  </si>
  <si>
    <t>PL63 1020 5297 0000 1002 0275 3150</t>
  </si>
  <si>
    <t>BANK POLSKI</t>
  </si>
  <si>
    <t>ES94 0182 5400 2302 0221 8259</t>
  </si>
  <si>
    <t>ES79 6893 0001 7600 0027 7111</t>
  </si>
  <si>
    <t>ES69 0182 8674 4102 0164 8473</t>
  </si>
  <si>
    <t>ES58 0182 8323 2602 0195 7471</t>
  </si>
  <si>
    <t>ES50 0182 4026 8502 0181 8143</t>
  </si>
  <si>
    <t>ES79 0182 5011 1302 0223 3328</t>
  </si>
  <si>
    <t>ES22 0182 4590 1902 0161 8596</t>
  </si>
  <si>
    <t>BE17 9056 6708 9821</t>
  </si>
  <si>
    <t>ES41 0182 1215 8802 0155 2763</t>
  </si>
  <si>
    <t>ES21 0182 5929 6102 0157 9676</t>
  </si>
  <si>
    <t>ES58 0182 6936 1202 0159 9349</t>
  </si>
  <si>
    <t>ES76 0182 5430 4002 0169 6912</t>
  </si>
  <si>
    <t>ES58 0182 0345 1502 0184 9503</t>
  </si>
  <si>
    <t>ES88 0182 0956 5302 0179 1525</t>
  </si>
  <si>
    <t>ES40 0182 1215 8102 0155 2930</t>
  </si>
  <si>
    <t>BE47 9679 6001 0780</t>
  </si>
  <si>
    <t>ES60 0049 4668 1329 1605 7748</t>
  </si>
  <si>
    <t>PT50 0033 0000 4564 6159 0240 5</t>
  </si>
  <si>
    <t>ES10 6893 0001 7100 0020 3132</t>
  </si>
  <si>
    <t>ES85 0182 7029 7302 0159 1709</t>
  </si>
  <si>
    <t>BE27 9056 9823 2073</t>
  </si>
  <si>
    <t>ES47 6893 0001 7900 0031 0617</t>
  </si>
  <si>
    <t>BE14 9050 2903 0083</t>
  </si>
  <si>
    <t xml:space="preserve">ES14 6893 0001 7700 0027 7844 </t>
  </si>
  <si>
    <t>ES71 0182 3337 9702 0161 0873</t>
  </si>
  <si>
    <t>ES15 0182 5005 0002 0159 4441</t>
  </si>
  <si>
    <t>ES34 0049 1382 0020 1004 1199</t>
  </si>
  <si>
    <t>ES09 6893 0001 7400 0026 4695</t>
  </si>
  <si>
    <t xml:space="preserve">BE84 9679 7986 4559 </t>
  </si>
  <si>
    <t xml:space="preserve">ES03 0049 1785 9121 1003 5109 </t>
  </si>
  <si>
    <t xml:space="preserve"> ES11 0182 6786 0802 0155 7645</t>
  </si>
  <si>
    <t>ES13 0182 0869 2702 0189 2201</t>
  </si>
  <si>
    <t>PL96 1090 1102 0000 0001 6255 2624</t>
  </si>
  <si>
    <t>ES50 0049 4684 6828 1610 9610</t>
  </si>
  <si>
    <t xml:space="preserve"> BE70 9679 7922 0925</t>
  </si>
  <si>
    <t>BE75 9057 9199 9751</t>
  </si>
  <si>
    <t>ES41 0182 7345 4102 0171 2226</t>
  </si>
  <si>
    <t>BE63 9675 2024 4308</t>
  </si>
  <si>
    <t>PT50 0007 0000 0079 6431 5962 3</t>
  </si>
  <si>
    <t xml:space="preserve"> BE62 9057 0876 5061</t>
  </si>
  <si>
    <t>ES93 0182 1366 2802 0161 2013</t>
  </si>
  <si>
    <t>ES77 0182 1275 1902 0216 8446</t>
  </si>
  <si>
    <t>BE13 9054 1448 4239</t>
  </si>
  <si>
    <t xml:space="preserve">BE50 9051 5365 8818 </t>
  </si>
  <si>
    <t>ES24 0182 2232 0202 0162 3706</t>
  </si>
  <si>
    <t>ES17 0182 3577 5402 0235 6127</t>
  </si>
  <si>
    <t>PT50 0033 0000 4579 1296 5350 5</t>
  </si>
  <si>
    <t>ES40 6893 0001 7500 0026 4767</t>
  </si>
  <si>
    <t>ES89 1563 2626 3432 6259 4795</t>
  </si>
  <si>
    <t>ES35 0182 2125 3202 0160 1004</t>
  </si>
  <si>
    <t>ES34 0182 7345 4102 0170 6241</t>
  </si>
  <si>
    <t>ES28 0049 0688 7827 1171 8775</t>
  </si>
  <si>
    <t>ES18 0182 3275 5202 0165 2537</t>
  </si>
  <si>
    <t>ES42 0182 0256 1702 0191 1179</t>
  </si>
  <si>
    <t>ES34 0182 4464 2102 0167 3373</t>
  </si>
  <si>
    <t>ES43 0182 4026 8102 0181 8174</t>
  </si>
  <si>
    <t>ES19 0182 0956 5602 0176 9922</t>
  </si>
  <si>
    <t>ES79 0182 0660 4102 0167 3506</t>
  </si>
  <si>
    <t>ES31 0182 7312 9502 0165 0397</t>
  </si>
  <si>
    <t>ES83 0182 9348 1702 0162 9859</t>
  </si>
  <si>
    <t>ES53 0182 7611 5602 0168 0903</t>
  </si>
  <si>
    <t>BE51 9057 4462 6062</t>
  </si>
  <si>
    <t>ES83 0182 1216 2802 0160 6016</t>
  </si>
  <si>
    <t>ES26 0182 0845 1702 0220 3572</t>
  </si>
  <si>
    <t>ES32 0182 4390 2102 0177 6825</t>
  </si>
  <si>
    <t>ES26 0182 1226 1902 0159 3209</t>
  </si>
  <si>
    <t>ES82 0049 2439 1525 1544 5505</t>
  </si>
  <si>
    <t>ES80 0182 6855 8702 0180 4580</t>
  </si>
  <si>
    <t>ES77 0182 1965 1702 0169 8805</t>
  </si>
  <si>
    <t>ES64 0182 1215 8102 0155 2886</t>
  </si>
  <si>
    <t>ES37 0182 1216 2102 0160 6023</t>
  </si>
  <si>
    <t>ES32 0182 1007 2502 0346 6254</t>
  </si>
  <si>
    <t>HELKIN ANTONIO OJEDA DE LA CRUZ</t>
  </si>
  <si>
    <t>BE25 9678 9737 8082</t>
  </si>
  <si>
    <t>ES04 0182 0317 9502 0158 3048</t>
  </si>
  <si>
    <t>ES26 6893 0001 7000 0028 9126</t>
  </si>
  <si>
    <t xml:space="preserve">ES37 6893 0001 7400 0021 4624 </t>
  </si>
  <si>
    <t>BE57 9054 2134 1735</t>
  </si>
  <si>
    <t>ES58 6893 0001 7100 0027 8025</t>
  </si>
  <si>
    <t>ES36 2100 1943 3107 0000 5744</t>
  </si>
  <si>
    <t>ES26 0182 4018 1202 0170 4988</t>
  </si>
  <si>
    <t>BE26 9057 3126 5829</t>
  </si>
  <si>
    <t>ES82 0182 8323 2002 0195 6751</t>
  </si>
  <si>
    <t xml:space="preserve">ES81 6893 0001 7600 0020 7138 </t>
  </si>
  <si>
    <t>ES04 0182 8680 3102 0039 2907</t>
  </si>
  <si>
    <t xml:space="preserve">ES25 6893 0001 7100 0020 0631 </t>
  </si>
  <si>
    <t>ES66 0182 4018 1502 0170 0726</t>
  </si>
  <si>
    <t>ES86 0182 0275 1702 0168 0517</t>
  </si>
  <si>
    <t>ES71 6893 0001 7100 0034 7437</t>
  </si>
  <si>
    <t>ES33 0049 3002 5521 1478 5810</t>
  </si>
  <si>
    <t>ES34 6893 0001 7400 0025 8134</t>
  </si>
  <si>
    <t>ES77 0182 7351 3102 0160 4195</t>
  </si>
  <si>
    <t>ES91 0182 0602 1702 0160 7235</t>
  </si>
  <si>
    <t>ES22 0182 2125 3302 0160 0995</t>
  </si>
  <si>
    <t xml:space="preserve">ES81 6893 0001 7100 0027 9745 </t>
  </si>
  <si>
    <t>ES47 0049 2439 1921 1543 2683</t>
  </si>
  <si>
    <t>ES66 0182 3463 6502 0165 8514</t>
  </si>
  <si>
    <t>ES98 0182 4072 6902 0175 6981</t>
  </si>
  <si>
    <t>ES14 6893 0001 7200 0033 2021</t>
  </si>
  <si>
    <t>ES78 6893 0001 7700 0027 7371</t>
  </si>
  <si>
    <t>ES06 0182 1245 1102 0166 8186</t>
  </si>
  <si>
    <t>BE62 9674 7304 9461</t>
  </si>
  <si>
    <t>FR76 1659 8000 0140 0010 3859 228</t>
  </si>
  <si>
    <t>ES91 0182 2125 3502 0160 1110</t>
  </si>
  <si>
    <t>ES54 0182 1275 1502 0217 4100</t>
  </si>
  <si>
    <t>BE72 9055 9207 9216</t>
  </si>
  <si>
    <t>ES10 0182 7345 4602 0170 6234</t>
  </si>
  <si>
    <t>PT50 0036 0368 9910 6024 6577 7</t>
  </si>
  <si>
    <t>ES61 0182 0021 8402 0157 2141</t>
  </si>
  <si>
    <t>ES21 6893 0001 7100 0026 4141</t>
  </si>
  <si>
    <t>PT50 0010 0000 5943 8480 0018 8</t>
  </si>
  <si>
    <t>FR76 2823 3000 0195 8472 9674 546</t>
  </si>
  <si>
    <t>ES55 0049 4890 2722 1615 8848</t>
  </si>
  <si>
    <t>PT50 0007 0000 0066 5629 9092 3</t>
  </si>
  <si>
    <t>BE29 9674 8694 0164</t>
  </si>
  <si>
    <t>ES49 0182 0600 0302 0175 0300</t>
  </si>
  <si>
    <t>ES06 0049 3001 0229 1423 4522</t>
  </si>
  <si>
    <t>ES06 0182 0079 0402 0156 0862</t>
  </si>
  <si>
    <t>ES58 0182 2082 1902 0169 0192</t>
  </si>
  <si>
    <t>BE57 9678 8247 4135</t>
  </si>
  <si>
    <t>BE60 9050 3341 3170</t>
  </si>
  <si>
    <t>ES67 0182 3660 1102 0164 6345</t>
  </si>
  <si>
    <t>PL08 1090 1926 0000 0001 5830 1856</t>
  </si>
  <si>
    <t>ES91 0182 0382 7802 0167 1312</t>
  </si>
  <si>
    <t>ES06 0182 8674 4302 0164 9315</t>
  </si>
  <si>
    <t>ES55 0049 7348 1428 1004 4797</t>
  </si>
  <si>
    <t>ES78 0182 0869 2702 0189 3068</t>
  </si>
  <si>
    <t>ES17 6717 0003 3435 1894 5242</t>
  </si>
  <si>
    <t>IKUALO</t>
  </si>
  <si>
    <t xml:space="preserve">ES39 0182 1714 1102 0033 2896 </t>
  </si>
  <si>
    <t>BE15 9053 7562 5130</t>
  </si>
  <si>
    <t xml:space="preserve">ES70 0182 0369 4202 0168 2737 </t>
  </si>
  <si>
    <t>ES16 0182 7784 3002 0159 9697</t>
  </si>
  <si>
    <t>ES07 0182 8181 1202 0232 3620</t>
  </si>
  <si>
    <t>ES02 0182 2738 6502 0162 1226</t>
  </si>
  <si>
    <t>ES52 6893 0001 7100 0030 2868</t>
  </si>
  <si>
    <t>ES48 6893 0001 7400 0026 4769</t>
  </si>
  <si>
    <t>JAIME ANDRES SILVA SABOGAL</t>
  </si>
  <si>
    <t>ES27 0182 5430 4502 0169 1535</t>
  </si>
  <si>
    <t>ES15 0182 0043 1102 0167 9721</t>
  </si>
  <si>
    <t>ES57 0049 4488 7321 1008 6691</t>
  </si>
  <si>
    <t>ES14 6893 0001 7900 0026 6203</t>
  </si>
  <si>
    <t>ES04 0182 2234 1302 0168 0172</t>
  </si>
  <si>
    <t>BE18 9678 9736 6665</t>
  </si>
  <si>
    <t>ES92 0182 8191 7102 0204 8748</t>
  </si>
  <si>
    <t>BE69 9054 0295 4878</t>
  </si>
  <si>
    <t>ES38 0182 0704 2902 0156 4089</t>
  </si>
  <si>
    <t>BE64 9055 9467 2752</t>
  </si>
  <si>
    <t xml:space="preserve">ES04 6893 0001 7100 0033 7585 </t>
  </si>
  <si>
    <t>ES43 0182 0382 7402 0167 1305</t>
  </si>
  <si>
    <t>ES13 6893 0001 7700 0026 6416</t>
  </si>
  <si>
    <t>ES02 0182 0841 1902 0165 8481</t>
  </si>
  <si>
    <t>ES88 0182 2402 6102 0209 2768</t>
  </si>
  <si>
    <t>ES45 6893 0001 7900 0031 5309</t>
  </si>
  <si>
    <t xml:space="preserve">ES40 6893 0001 7700 0018 8912 </t>
  </si>
  <si>
    <t>ES82 0182 0382 7702 0167 1329</t>
  </si>
  <si>
    <t>BE24 9055 0214 3038</t>
  </si>
  <si>
    <t xml:space="preserve">BE57 9050 0197 1935 </t>
  </si>
  <si>
    <t xml:space="preserve">BE66 9050 1529 0843 </t>
  </si>
  <si>
    <t xml:space="preserve">DE75 1001 1001 2229 4218 26 </t>
  </si>
  <si>
    <t>ES42 6893 0001 7300 0008 0238</t>
  </si>
  <si>
    <t>ES17 0182 3275 5302 0165 2797</t>
  </si>
  <si>
    <t>ES02 0049 0036 1626 1163 8853</t>
  </si>
  <si>
    <t>BE63 9054 5758 7908</t>
  </si>
  <si>
    <t>PL15 1090 1102 0000 0001 5679 6259</t>
  </si>
  <si>
    <t>ES96 0049 2661 4027 1447 4503</t>
  </si>
  <si>
    <t>BE78 9050 1598 3886</t>
  </si>
  <si>
    <t xml:space="preserve">ES64 0049 1986 0229 1005 1633 </t>
  </si>
  <si>
    <t>ES17 6893 0001 7100 0018 3412</t>
  </si>
  <si>
    <t xml:space="preserve">  </t>
  </si>
  <si>
    <t>BE34 9057 2847 8390</t>
  </si>
  <si>
    <t xml:space="preserve">ES75 0049 0198 6421 1046 9215 </t>
  </si>
  <si>
    <t>ES33 0182 5332 1902 0750 0432</t>
  </si>
  <si>
    <t>ES28 0182 1991 3802 0159 7545</t>
  </si>
  <si>
    <t>ES19 0182 0606 8202 0179 2647</t>
  </si>
  <si>
    <t>ES41 6893 0001 7900 0033 5072</t>
  </si>
  <si>
    <t>ES54 0182 3275 5202 0165 4120</t>
  </si>
  <si>
    <t>BE77 9054 8746 7342</t>
  </si>
  <si>
    <t>ES10 0049 4488 7827 1008 7388</t>
  </si>
  <si>
    <t>BE92 9050 5550 5023</t>
  </si>
  <si>
    <t>ES53 2100 3632 4607 0050 3126</t>
  </si>
  <si>
    <t>ES17 0182 0698 2002 0162 7094</t>
  </si>
  <si>
    <t>ES07 6893 0001 7400 0032 0700</t>
  </si>
  <si>
    <t>BE39 9054 8485 5719</t>
  </si>
  <si>
    <t xml:space="preserve"> BE19 9054 0187 1512</t>
  </si>
  <si>
    <t>BE23 9050 2474 3491</t>
  </si>
  <si>
    <t xml:space="preserve">ES87 6893 0001 7900 0033 0946 </t>
  </si>
  <si>
    <t>ES98 2100 4247 1622 0031 4099</t>
  </si>
  <si>
    <t>PL19 1090 1102 0000 0001 5632 3797</t>
  </si>
  <si>
    <t xml:space="preserve"> ES68 0182 6786 0302 0155 7737</t>
  </si>
  <si>
    <t>ES42 0182 3212 8102 0157 7204</t>
  </si>
  <si>
    <t>ES28 0182 8181 1002 0234 3516</t>
  </si>
  <si>
    <t>ES31 0182 0043 1202 0168 3458</t>
  </si>
  <si>
    <t>BE63 9050 6069 3008</t>
  </si>
  <si>
    <t>BE58 9052 4612 5379</t>
  </si>
  <si>
    <t>ES58 0182 0374 9502 0154 6343</t>
  </si>
  <si>
    <t>BE11 9055 2876 0848</t>
  </si>
  <si>
    <t>ES63 0182 1077 3402 0162 1568</t>
  </si>
  <si>
    <t>ES06 0049 0036 1122 1164 8468</t>
  </si>
  <si>
    <t>BE28 9056 9599 5720</t>
  </si>
  <si>
    <t>BE80 9057 3117 3677</t>
  </si>
  <si>
    <t>PT50 0007 0000 0074 2740 9322 3</t>
  </si>
  <si>
    <t xml:space="preserve">ES29 6893 0001 7200 0019 0422 </t>
  </si>
  <si>
    <t>BE20 9678 0836 8256</t>
  </si>
  <si>
    <t>ES04 0182 8191 7202 0204 8731</t>
  </si>
  <si>
    <t>ES44 0182 3107 1602 0173 7214</t>
  </si>
  <si>
    <t>BE78 9053 0972 8986</t>
  </si>
  <si>
    <t>ES35 0182 0374 9302 0154 6176</t>
  </si>
  <si>
    <t>BE29 9053 9101 2764</t>
  </si>
  <si>
    <t>ES56 0182 4960 2202 0166 4327</t>
  </si>
  <si>
    <t>BE15 9054 8465 3130</t>
  </si>
  <si>
    <t>ES78 0182 5430 4102 0169 8185</t>
  </si>
  <si>
    <t>ES31 0049 5413 5521 1609 5173</t>
  </si>
  <si>
    <t>ES81 6893 0001 7300 0027 0238</t>
  </si>
  <si>
    <t>BE90 9051 5525 1032</t>
  </si>
  <si>
    <t xml:space="preserve">ES02 6893 0001 7000 0027 1904 </t>
  </si>
  <si>
    <t>DE54 1001 1001 2482 0562 79</t>
  </si>
  <si>
    <t>ES14 0182 1077 3802 0162 1575</t>
  </si>
  <si>
    <t>BE88 9056 7893 5541</t>
  </si>
  <si>
    <t>ES32 0182 5011 1102 0224 0092</t>
  </si>
  <si>
    <t>ES43 0182 4532 5402 0177 4894</t>
  </si>
  <si>
    <t>ES54 0182 0706 1302 0164 9748</t>
  </si>
  <si>
    <t xml:space="preserve">ES89 0182 0256 1602 0191 0770 </t>
  </si>
  <si>
    <t xml:space="preserve"> BE70 9678 0757 9425</t>
  </si>
  <si>
    <t>ES43 0182 2599 7002 0363 0340</t>
  </si>
  <si>
    <t xml:space="preserve">ES07 0182 5319 7202 0417 0398 </t>
  </si>
  <si>
    <t xml:space="preserve">ES26 0182 2563 8802 0165 8196 </t>
  </si>
  <si>
    <t xml:space="preserve">ES49 0182 0573 1202 0173 1906 </t>
  </si>
  <si>
    <t>ES98 0182 4353 7102 0164 4572</t>
  </si>
  <si>
    <t>ES60 0182 2738 6202 0162 1202</t>
  </si>
  <si>
    <t>JHON EDWARD FONSECA BOHORQUEZ</t>
  </si>
  <si>
    <t>ES40 0182 3212 8702 0157 7334</t>
  </si>
  <si>
    <t>ES08 0182 2620 9802 0164 6256</t>
  </si>
  <si>
    <t>ES74 0182 0316 4302 0158 7975</t>
  </si>
  <si>
    <t>ES52 0182 1245 1802 0165 9546</t>
  </si>
  <si>
    <t>ES43 0182 8323 2002 0195 6386</t>
  </si>
  <si>
    <t>ES27 6893 0001 7100 0033 1642</t>
  </si>
  <si>
    <t xml:space="preserve">ES06 0049 1785 9429 1004 4833 </t>
  </si>
  <si>
    <t>ES29 0182 0559 4702 0208 0063</t>
  </si>
  <si>
    <t>BE37 9673 9426 2728</t>
  </si>
  <si>
    <t>ES60 0182 8674 4902 0164 9407</t>
  </si>
  <si>
    <t>ES79 6893 0001 7300 0026 4454</t>
  </si>
  <si>
    <t>ES17 0182 0079 0902 0156 1001</t>
  </si>
  <si>
    <t xml:space="preserve">ES51 6893 0001 7900 0031 2194 </t>
  </si>
  <si>
    <t xml:space="preserve">ES98 0182 0652 6202 0152 6744 </t>
  </si>
  <si>
    <t>JHON KEVIN SOLIS IRRIBARREN</t>
  </si>
  <si>
    <t>BE22 9053 5614 9247</t>
  </si>
  <si>
    <t>ES54 0182 1245 1502 0166 8193</t>
  </si>
  <si>
    <t>ES58 0182 4003 1702 0167 7563</t>
  </si>
  <si>
    <t>BE24 9057 1990 8038</t>
  </si>
  <si>
    <t>JHONATAN CIFUENTES SANCHEZ</t>
  </si>
  <si>
    <t xml:space="preserve">ES94 0182 0374 9902 0154 7827 </t>
  </si>
  <si>
    <t>ES82 2100 0765 8702 0055 3267</t>
  </si>
  <si>
    <t>ES41 0182 9730 2702 0035 7785</t>
  </si>
  <si>
    <t>ES41 0182 0702 3702 0164 4738</t>
  </si>
  <si>
    <t>BE91 9679 0188 7976</t>
  </si>
  <si>
    <t>AD47 0003 1101 1274 9411 0101</t>
  </si>
  <si>
    <t>BE83 9679 2553 0415</t>
  </si>
  <si>
    <t xml:space="preserve">BE19 9051 5184 4312 </t>
  </si>
  <si>
    <t>ES97 0182 0573 1602 0173 1913</t>
  </si>
  <si>
    <t>ES65 0182 2680 2802 0176 4291</t>
  </si>
  <si>
    <t>ES34 0182 0581 1902 0159 8737</t>
  </si>
  <si>
    <t>PT50 0033 0000 4556 2790 7250 5</t>
  </si>
  <si>
    <t>ES59 0182 7345 4202 0170 6227</t>
  </si>
  <si>
    <t>ES25 0182 4904 7102 0287 0606</t>
  </si>
  <si>
    <t>ES94 0182 8674 4202 0164 8459</t>
  </si>
  <si>
    <t>BE67 9050 4040 8587</t>
  </si>
  <si>
    <t>ES09 0182 2247 0302 0167 7691</t>
  </si>
  <si>
    <t>ES74 6893 0001 7800 0027 0604</t>
  </si>
  <si>
    <t>PENDIENTE</t>
  </si>
  <si>
    <t>ES24 0049 5126 5829 1624 9989</t>
  </si>
  <si>
    <t>ES11 6893 0001 7900 0033 4254</t>
  </si>
  <si>
    <t>BE58 9670 0176 7079</t>
  </si>
  <si>
    <t xml:space="preserve">ES21 0182 0956 5702 0177 5075 </t>
  </si>
  <si>
    <t>ES46 6893 0001 7700 0023 8080</t>
  </si>
  <si>
    <t>ES19 0182 7071 7402 0166 9997</t>
  </si>
  <si>
    <t>BE69 9053 4725 7478</t>
  </si>
  <si>
    <t>BE25 9052 7289 7682</t>
  </si>
  <si>
    <t>ES34 2100 2343 3707 0050 1429</t>
  </si>
  <si>
    <t>BE04 9050 4499 1031</t>
  </si>
  <si>
    <t>ES96 0182 8739 1602 0251 1299</t>
  </si>
  <si>
    <t>BE05 9670 5535 9175</t>
  </si>
  <si>
    <t>ES70 0182 8674 4902 0164 4280</t>
  </si>
  <si>
    <t>ES94 0182 6556 1402 0166 5521</t>
  </si>
  <si>
    <t>ES40 0182 5322 2700 0048 1753</t>
  </si>
  <si>
    <t>BE24 9052 4967 1438</t>
  </si>
  <si>
    <t>JOLMAN ALQUIBAR OCAMPO MURILLO</t>
  </si>
  <si>
    <t>PT50 0007 0000 0070 8739 8132 3</t>
  </si>
  <si>
    <t>ES20 0182 8181 1002 0234 5697</t>
  </si>
  <si>
    <t>ES52 6893 0001 7800 0033 9288</t>
  </si>
  <si>
    <t>PT50 0033 0000 4556 8675 3270 5</t>
  </si>
  <si>
    <t>ES52 0182 8181 1602 0234 8610</t>
  </si>
  <si>
    <t>BE93 9056 2279 4567</t>
  </si>
  <si>
    <t>BE85 9673 6564 5506</t>
  </si>
  <si>
    <t>ES04 2100 5002 4502 0017 3577</t>
  </si>
  <si>
    <t>ES36 0182 0578 4102 0447 7121</t>
  </si>
  <si>
    <t xml:space="preserve"> ES50 0182 6380 9902 0160 7704</t>
  </si>
  <si>
    <t>ES32 0182 6855 8302 0180 4573</t>
  </si>
  <si>
    <t>ES81 0182 3275 5902 0165 2612</t>
  </si>
  <si>
    <t>FR76 1659 8000 0140 0010 3859 519</t>
  </si>
  <si>
    <t>BE20 9052 5002 2456</t>
  </si>
  <si>
    <t>ES71 0182 8674 4802 0164 4020</t>
  </si>
  <si>
    <t>ES51 0182 0021 8802 0157 2028</t>
  </si>
  <si>
    <t>ES11 0182 1461 3002 0195 7356</t>
  </si>
  <si>
    <t>ES70 0182 0704 2502 0156 4485</t>
  </si>
  <si>
    <t>ES43 0182 8318 8902 0164 0818</t>
  </si>
  <si>
    <t>BE87 9678 8605 9394</t>
  </si>
  <si>
    <t>ES93 0182 6855 8002 0179 7123</t>
  </si>
  <si>
    <t>BE29 9057 0814 4564</t>
  </si>
  <si>
    <t>ES54 0182 0956 5102 0179 1556</t>
  </si>
  <si>
    <t>ES40 2100 6507 7202 0053 7609</t>
  </si>
  <si>
    <t>PT50 0007 0000 0077 3862 9942 3</t>
  </si>
  <si>
    <t xml:space="preserve"> BE05 9670 4878 2575</t>
  </si>
  <si>
    <t>ES36 0182 0702 3002 0164 6529</t>
  </si>
  <si>
    <t>ES11 0182 4032 7202 0291 7901</t>
  </si>
  <si>
    <t>BE38 9055 7596 3472</t>
  </si>
  <si>
    <t>ES76 0182 4032 7202 0291 7895</t>
  </si>
  <si>
    <t>BE15 9051 0917 5830</t>
  </si>
  <si>
    <t>ES61 0182 1064 2102 0198 1985</t>
  </si>
  <si>
    <t>PT50 0033 0000 4579 3942 5980 5</t>
  </si>
  <si>
    <t>ES82 0182 7421 5602 0270 6926</t>
  </si>
  <si>
    <t>BE46 9053 3092 8136</t>
  </si>
  <si>
    <t>ES96 6893 0001 7500 0030 4499</t>
  </si>
  <si>
    <t>BE90 9052 7819 8532</t>
  </si>
  <si>
    <t>ES07 0182 1965 1302 0169 8515</t>
  </si>
  <si>
    <t>ES28 0182 5011 1402 0224 0405</t>
  </si>
  <si>
    <t>BE47 9055 3126 6680</t>
  </si>
  <si>
    <t xml:space="preserve">ES42 6893 0001 7000 0024 6546 </t>
  </si>
  <si>
    <t>ES66 0182 3275 5602 0165 2544</t>
  </si>
  <si>
    <t>ES30 0049 4930 2227 1640 0026</t>
  </si>
  <si>
    <t>ES58 0182 0371 5602 0166 4222</t>
  </si>
  <si>
    <t>ES84 0182 0702 3202 0165 0126</t>
  </si>
  <si>
    <t>ES05 6893 0001 7300 0033 2716</t>
  </si>
  <si>
    <t>BE44 9678 8500 6845</t>
  </si>
  <si>
    <t>ES60 0182 0936 0202 0170 0662</t>
  </si>
  <si>
    <t>ES29 6893 0001 7100 0020 3081</t>
  </si>
  <si>
    <t>ES87 0182 0710 1802 0156 6550</t>
  </si>
  <si>
    <t>PT50 0010 0000 6148 6800 00179</t>
  </si>
  <si>
    <t>BE32 9050 3703 4102</t>
  </si>
  <si>
    <t>BE05 9054 5052 3375</t>
  </si>
  <si>
    <t xml:space="preserve">ES11 6893 0001 7500 0023 9487 </t>
  </si>
  <si>
    <t>ES21 0182 4003 1402 0167 8085</t>
  </si>
  <si>
    <t>ES52 0182 8181 1402 0234 0463</t>
  </si>
  <si>
    <t>ES07 0182 2247 0602 0167 7677</t>
  </si>
  <si>
    <t>ES04 0182 0573 1102 0173 3056</t>
  </si>
  <si>
    <t>ES29 0182 4532 5402 0177 3303</t>
  </si>
  <si>
    <t>BE11 9051 5193 5248</t>
  </si>
  <si>
    <t>ES19 2100 0109 0302 0069 0257</t>
  </si>
  <si>
    <t>ES92 0182 0622 4502 0156 0613</t>
  </si>
  <si>
    <t>ES35 0182 4021 5702 0206 0401</t>
  </si>
  <si>
    <t xml:space="preserve"> BE80 9678 2837 1777</t>
  </si>
  <si>
    <t xml:space="preserve">ES97 1576 1212 1710 1040 4045
</t>
  </si>
  <si>
    <t>ES38 0182 7029 7402 0159 1730</t>
  </si>
  <si>
    <t xml:space="preserve">ES76 6893 0001 7600 0023 8365 </t>
  </si>
  <si>
    <t>ES13 0182 6398 2302 0169 4808</t>
  </si>
  <si>
    <t xml:space="preserve">ES46 6893 0001 7900 0029 9383 </t>
  </si>
  <si>
    <t>BE85 9055 7578 2206</t>
  </si>
  <si>
    <t>ES33 0049 4912 7024 1648 2571</t>
  </si>
  <si>
    <t>ES56 3020 0004 9121 4735 4910</t>
  </si>
  <si>
    <t>CAJA RURAL DE UTRERA</t>
  </si>
  <si>
    <t>BE33 9051 0824 6246</t>
  </si>
  <si>
    <t>ES31 0182 5011 1202 0224 2098</t>
  </si>
  <si>
    <t xml:space="preserve">ES26 0182 5319 7202 0671 0583 </t>
  </si>
  <si>
    <t>ES46 0182 5011 1402 0222 8926</t>
  </si>
  <si>
    <t>ES88 0182 8732 1102 0207 8933</t>
  </si>
  <si>
    <t>ES59 0182 6752 0302 0155 6883</t>
  </si>
  <si>
    <t xml:space="preserve">ES53 6893 0001 7200 0027 5641 </t>
  </si>
  <si>
    <t>PT50 0010 0000 6156 9650 0016 6</t>
  </si>
  <si>
    <t>ES44 0182 7541 3402 0160 7849</t>
  </si>
  <si>
    <t xml:space="preserve">ES59 6893 0001 7100 0024 2602 </t>
  </si>
  <si>
    <t>ES67 2100 5002 4002 0017 3464</t>
  </si>
  <si>
    <t>ES23 0182 4477 3102 0158 3773</t>
  </si>
  <si>
    <t>ES69 0049 0054 5829 1249 9880</t>
  </si>
  <si>
    <t>ES11 0182 4018 1002 0170 0894</t>
  </si>
  <si>
    <t>BE04 9052 9288 4231</t>
  </si>
  <si>
    <t>ES57 2100 6473 6302 0019 0632</t>
  </si>
  <si>
    <t>ES45 6893 0001 7500 0035 0134</t>
  </si>
  <si>
    <t xml:space="preserve">ES04 0182 1481 8502 0157 6942 </t>
  </si>
  <si>
    <t>ES35 6893 0001 7100 0027 7372</t>
  </si>
  <si>
    <t>BE43 9052 9614 0401</t>
  </si>
  <si>
    <t>ES84 6893 0001 7100 0026 5529</t>
  </si>
  <si>
    <t>ES56 0182 4610 5502 0195 1034</t>
  </si>
  <si>
    <t>BE52 9050 3305 7809</t>
  </si>
  <si>
    <t>ES62 2100 0802 4707 0003 2345</t>
  </si>
  <si>
    <t>ES10 6893 0001 7500 0024 1251</t>
  </si>
  <si>
    <t>ES26 0182 0108 9902 0164 4510</t>
  </si>
  <si>
    <t>ES10 0182 0371 5202 0166 4215</t>
  </si>
  <si>
    <t>BE25 9051 0427 2882</t>
  </si>
  <si>
    <t>BE14 9056 7705 7983</t>
  </si>
  <si>
    <t xml:space="preserve"> BE60 9678 7440 7270</t>
  </si>
  <si>
    <t>ES49 0182 0652 6602 0152 6751</t>
  </si>
  <si>
    <t>ES78 0182 0519 5202 0467 9469</t>
  </si>
  <si>
    <t>ES06 0182 5319 7702 0549 9847</t>
  </si>
  <si>
    <t>ES96 2100 0536 3202 0067 9389</t>
  </si>
  <si>
    <t>ES77 0182 5430 4902 0169 2088</t>
  </si>
  <si>
    <t xml:space="preserve">BE56 9679 3975 7988 </t>
  </si>
  <si>
    <t>ES07 2100 2814 4607 0100 9678</t>
  </si>
  <si>
    <t>ES98 0182 0917 0502 0174 6953</t>
  </si>
  <si>
    <t>PT50 0010 0000 6182 0520 0016 8</t>
  </si>
  <si>
    <t>ES63 6893 0001 7500 0032 8858</t>
  </si>
  <si>
    <t>ES84 0182 0845 1302 0220 7574</t>
  </si>
  <si>
    <t>ES77 6893 0001 7600 0028 4131</t>
  </si>
  <si>
    <t>ES45 6893 0001 7400 0018 2082</t>
  </si>
  <si>
    <t>ES09 0049 6682 0427 1010 6753</t>
  </si>
  <si>
    <t>ES94 2100 2254 1102 0078 3607</t>
  </si>
  <si>
    <t>BE69 9050 3477 1978</t>
  </si>
  <si>
    <t>ES77 0182 0573 1902 0173 3193</t>
  </si>
  <si>
    <t>ES85 0182 0606 8702 0178 6655</t>
  </si>
  <si>
    <t>ES97 0182 3365 1302 0182 5357</t>
  </si>
  <si>
    <t xml:space="preserve">BE52 9051 7803 4009 </t>
  </si>
  <si>
    <t>ES41 6893 0001 7000 0026 4994</t>
  </si>
  <si>
    <t xml:space="preserve">ES89 0182 4242 1002 0175 6287 </t>
  </si>
  <si>
    <t xml:space="preserve">ES98 0049 0036 1122 1163 8373 </t>
  </si>
  <si>
    <t>ES75 0182 0894 1602 0161 3730</t>
  </si>
  <si>
    <t>PL67 1090 1926 0000 0001 5999 6451</t>
  </si>
  <si>
    <t>BE68 9054 3699 7434</t>
  </si>
  <si>
    <t>BE65 9051 0809 6096</t>
  </si>
  <si>
    <t>ES71 0182 4641 1102 0164 0873</t>
  </si>
  <si>
    <t xml:space="preserve">ES02 6893 0001 7100 0034 6739 </t>
  </si>
  <si>
    <t>ES87 0182 7029 7102 0159 2450</t>
  </si>
  <si>
    <t>ES44 0182 5141 5602 0158 6218</t>
  </si>
  <si>
    <t xml:space="preserve">ES85 0182 2012 9902 0164 2435 </t>
  </si>
  <si>
    <t>BE41 9056 7688 5710</t>
  </si>
  <si>
    <t>BE81 9055 5073 8624</t>
  </si>
  <si>
    <t xml:space="preserve">BE20 9050 4997 9356
</t>
  </si>
  <si>
    <t xml:space="preserve">ES93 0182 2499 3202 0269 3947 </t>
  </si>
  <si>
    <t>ES13 2100 2332 1002 0048 2163</t>
  </si>
  <si>
    <t>ES47 2100 4247 1407 0000 2438</t>
  </si>
  <si>
    <t>ES48 0182 1433 0902 0189 0540</t>
  </si>
  <si>
    <t xml:space="preserve"> ES75 0182 7312 9602 0164 9362 </t>
  </si>
  <si>
    <t>ES08 6893 0001 7100 0033 5476</t>
  </si>
  <si>
    <t>ES17 0182 0507 9102 0454 8500</t>
  </si>
  <si>
    <t>ES12 0182 0382 7302 0167 1039</t>
  </si>
  <si>
    <t>ES14 0182 1227 4802 0158 2448</t>
  </si>
  <si>
    <t xml:space="preserve">ES11 0182 7665 1402 0190 4796  </t>
  </si>
  <si>
    <t>ES78 0182 0704 2402 0156 4584</t>
  </si>
  <si>
    <t>BE71 9678 0858 2969</t>
  </si>
  <si>
    <t>ES82 6893 0001 7900 0027 5843</t>
  </si>
  <si>
    <t>ES27 0182 3275 5902 0165 3196</t>
  </si>
  <si>
    <t>ES06 0049 0269 2326 1139 8935</t>
  </si>
  <si>
    <t>BE96 9675 0023 2905</t>
  </si>
  <si>
    <t>ES46 0182 4590 1102 0161 8459</t>
  </si>
  <si>
    <t>ES33 0049 5547 9627 1611 7758</t>
  </si>
  <si>
    <t>ES94 0182 6800 9602 0179 4803</t>
  </si>
  <si>
    <t>ES57 0182 2656 8402 0159 9252</t>
  </si>
  <si>
    <t>BE84 9055 5549 5159</t>
  </si>
  <si>
    <t xml:space="preserve">ES04 0182 6553 8102 0160 8233 </t>
  </si>
  <si>
    <t xml:space="preserve">ES26 0182 8320 9402 0188 6480 </t>
  </si>
  <si>
    <t xml:space="preserve">ES49 0182 5430 4502 0169 1818 </t>
  </si>
  <si>
    <t>ES58 2100 1550 2107 0002 6167</t>
  </si>
  <si>
    <t>ES70 0182 2012 9902 0164 4257</t>
  </si>
  <si>
    <t>ES26 0049 4668 1527 1605 7551</t>
  </si>
  <si>
    <t>ES89 6893 0001 7700 0027 7464</t>
  </si>
  <si>
    <t>BE35 9050 6207 3337</t>
  </si>
  <si>
    <t>ES29 0182 8674 4502 0164 6378</t>
  </si>
  <si>
    <t>ES92 0182 4670 9202 0159 3269</t>
  </si>
  <si>
    <t xml:space="preserve">ES16 0182 0317 9902 0158 0599 </t>
  </si>
  <si>
    <t>BE94 9051 9088 7014</t>
  </si>
  <si>
    <t>ES83 0182 7312 9202 0164 9317</t>
  </si>
  <si>
    <t xml:space="preserve">ES38 6893 0001 7700 0033 5418 </t>
  </si>
  <si>
    <t>BE47 9679 1279 1180</t>
  </si>
  <si>
    <t>ES49 0182 0315 1602 0153 1210</t>
  </si>
  <si>
    <t>ES98 0182 0710 1602 0156 6062</t>
  </si>
  <si>
    <t>ES21 0182 5430 4302 0169 1450</t>
  </si>
  <si>
    <t>ES88 0182 3418 2202 0172 4943</t>
  </si>
  <si>
    <t>BE14 9056 0085 4783</t>
  </si>
  <si>
    <t>ES15 0182 6595 6202 0167 6609</t>
  </si>
  <si>
    <t>ES19 0182 6786 0102 0155 4837</t>
  </si>
  <si>
    <t>BE78 9056 7975 4886</t>
  </si>
  <si>
    <t xml:space="preserve">ES91 6893 0001 7900 0024 2604 </t>
  </si>
  <si>
    <t>ES94 0182 5005 0102 0159 6850</t>
  </si>
  <si>
    <t>PT50 0018 0003 5536 1489 0208 5</t>
  </si>
  <si>
    <t>ES10 0182 0496 6702 0179 4679</t>
  </si>
  <si>
    <t>ES25 0182 0043 1002 0168 3373</t>
  </si>
  <si>
    <t>ES55 0182 2626 6702 0169 4547</t>
  </si>
  <si>
    <t>ES22 0182 6734 5102 0201 0348</t>
  </si>
  <si>
    <t>BE76 9050 3560 7895</t>
  </si>
  <si>
    <t>ES67 0182 0845 1402 0220 3466</t>
  </si>
  <si>
    <t xml:space="preserve">ES96 0182 5870 8102 0195 1806 </t>
  </si>
  <si>
    <t xml:space="preserve">ES47 0182 8674 4302 0164 8480 </t>
  </si>
  <si>
    <t xml:space="preserve">DE61 1001 1001 2439 3301 75 </t>
  </si>
  <si>
    <t>ES90 0182 4353 7802 0162 9629</t>
  </si>
  <si>
    <t>ES58 2100 5002 4802 0017 3816</t>
  </si>
  <si>
    <t xml:space="preserve">BE67 9051 6249 2787 </t>
  </si>
  <si>
    <t xml:space="preserve">ES19 0182 8181 1802 0233 7951 </t>
  </si>
  <si>
    <t>ES43 0182 4018 1002 0170 0900</t>
  </si>
  <si>
    <t>BE64 9054 9114 4652</t>
  </si>
  <si>
    <t>ES97 0182 3397 2302 0229 3523</t>
  </si>
  <si>
    <t xml:space="preserve"> ES86 0182 5003 1302 0162 6382</t>
  </si>
  <si>
    <t>ES36 0182 0382 7002 0167 1336</t>
  </si>
  <si>
    <t>ES15 0182 4023 4102 0161 5439</t>
  </si>
  <si>
    <t>BE74 9050 0805 1007</t>
  </si>
  <si>
    <t xml:space="preserve">ES15 0182 8181 1602 0233 9285 </t>
  </si>
  <si>
    <t>ES50 6893 0001 7600 0032 9237</t>
  </si>
  <si>
    <t>PT50 0023 0000 4557 2974 2709 4</t>
  </si>
  <si>
    <t>PT50 0007 0000 0061 5645 6152 3</t>
  </si>
  <si>
    <t>PT50 0033 0000 4559 1734 3610 5</t>
  </si>
  <si>
    <t>LT31 3250 0841 5508 1516</t>
  </si>
  <si>
    <t>ES38 6893 0001 7000 0027 2420</t>
  </si>
  <si>
    <t>ES86 6893 0001 7700 003 06133</t>
  </si>
  <si>
    <t>ES06 0182 2808 8102 0160 1350</t>
  </si>
  <si>
    <t>ES43 0182 0374 9202 0154 7148</t>
  </si>
  <si>
    <t>ES87 0182 6337 4202 0158 1329</t>
  </si>
  <si>
    <t>ES91 0049 5415 4929 1810 7262</t>
  </si>
  <si>
    <t>ES36 0182 5323 7302 0161 5811</t>
  </si>
  <si>
    <t>ES50 0182 8191 7902 0204 8724</t>
  </si>
  <si>
    <t>ES46 6893 0001 7900 0026 2232</t>
  </si>
  <si>
    <t xml:space="preserve">ES62 0182 2620 9402 0164 7808 </t>
  </si>
  <si>
    <t xml:space="preserve"> BE38 9050 3744 8572</t>
  </si>
  <si>
    <t>ES46 0182 3100 8902 0179 7389</t>
  </si>
  <si>
    <t>BE03 9050 3697 4484</t>
  </si>
  <si>
    <t>ES10 0182 8181 1702 0235 6592</t>
  </si>
  <si>
    <t>ES49 6893 0001 7200 0033 2264</t>
  </si>
  <si>
    <t>ES89 0182 5332 1202 0793 3357</t>
  </si>
  <si>
    <t>ES34 0182 7345 4002 0171 3274</t>
  </si>
  <si>
    <t xml:space="preserve"> ES61 6893 0001 7100 0019 1447</t>
  </si>
  <si>
    <t>ES72 6893 0001 7800 0025 9582</t>
  </si>
  <si>
    <t>ES43 0182 4924 1502 0174 7408</t>
  </si>
  <si>
    <t>BE52 9053 5846 3709</t>
  </si>
  <si>
    <t>ES52 0182 1245 1802 0166 8179</t>
  </si>
  <si>
    <t>ES16 0182 5011 1602 0223 4024</t>
  </si>
  <si>
    <t>PT50 0007 0000 0079 9422 5912 3</t>
  </si>
  <si>
    <t>BE61 9679 7872 5417</t>
  </si>
  <si>
    <t xml:space="preserve">ES26 0182 6552 3102 0161 0240 </t>
  </si>
  <si>
    <t>ES75 0049 7405 0526 1005 2569</t>
  </si>
  <si>
    <t>ES92 0182 3107 1102 0173 7177</t>
  </si>
  <si>
    <t>ES15 6893 0001 7200 0030 9984</t>
  </si>
  <si>
    <t>ES91 0182 3350 1502 0160 2532</t>
  </si>
  <si>
    <t>ES59 6893 0001 7900 0029 6627</t>
  </si>
  <si>
    <t>ES20 0182 7345 4702 0171 0855</t>
  </si>
  <si>
    <t>ES18 0182 8182 4502 0308 6309</t>
  </si>
  <si>
    <t>ES48 0182 4353 7102 0164 0525</t>
  </si>
  <si>
    <t>BE03 9050 2636 2684</t>
  </si>
  <si>
    <t>ES27 0182 0845 1202 0220 4575</t>
  </si>
  <si>
    <t>ES93 6893 0001 7000 0027 7638</t>
  </si>
  <si>
    <t>ES70 0049 2604 4929 1530 2688</t>
  </si>
  <si>
    <t>BE91 9050 0588 5176</t>
  </si>
  <si>
    <t>ES22 6893 0001 7300 0033 9200</t>
  </si>
  <si>
    <t>ES78 0049 2961 5323 1441 5767</t>
  </si>
  <si>
    <t>ES24 0182 2771 3502 0164 5579</t>
  </si>
  <si>
    <t>ES73 0049 7476 6520 1005 1548</t>
  </si>
  <si>
    <t>ES47 6893 0001 7500 0028 8406</t>
  </si>
  <si>
    <t>BE07 9057 0700 0166</t>
  </si>
  <si>
    <t>ES98 0049 4269 1122 1407 2010</t>
  </si>
  <si>
    <t>ES11 0182 0382 7702 0167 3189</t>
  </si>
  <si>
    <t xml:space="preserve">ES93 0182 8181 1102 0234 0357	</t>
  </si>
  <si>
    <t xml:space="preserve">ES96 0182 0670 1402 0161 0197 </t>
  </si>
  <si>
    <t>ES21 0182 5319 7802 0887 8717</t>
  </si>
  <si>
    <t xml:space="preserve">ES34 6893 0001 7100 0025 5565 </t>
  </si>
  <si>
    <t>ES36 0049 5432 5026 1759 9413</t>
  </si>
  <si>
    <t xml:space="preserve"> PT50 0033 0000 4566 1017 6780 5</t>
  </si>
  <si>
    <t>ES35 1576 1212 1110 1054 9500</t>
  </si>
  <si>
    <t>PT50 0269 0112 0020 0567 5511 7</t>
  </si>
  <si>
    <t>ES36 6893 0001 7700 0029 6751</t>
  </si>
  <si>
    <t xml:space="preserve">ES63 6893 0001 7600 0033 5502 </t>
  </si>
  <si>
    <t>BE47 9056 8587 4980</t>
  </si>
  <si>
    <t xml:space="preserve">ES64 0182 1797 3602 0408 6112 </t>
  </si>
  <si>
    <t>PT50 0036 0135 9910 0047 616 74</t>
  </si>
  <si>
    <t>BE23 9056 8649 6891</t>
  </si>
  <si>
    <t>PT50 0193 0000 1050 0754 5274 6</t>
  </si>
  <si>
    <t>PT50 0033 0000 4565 0587 3650 5</t>
  </si>
  <si>
    <t>ES38 0182 6337 4602 0158 1336</t>
  </si>
  <si>
    <t>ES09 0182 0733 1202 0165 8957</t>
  </si>
  <si>
    <t>ES40 6893 0001 7900 0027 0294</t>
  </si>
  <si>
    <t xml:space="preserve">ES39 0182 4590 1602 0161 8534	</t>
  </si>
  <si>
    <t>ES81 0049 0128 5620 1097 1951</t>
  </si>
  <si>
    <t>PT50 0035 0774 0012 8798 0003 0</t>
  </si>
  <si>
    <t>BE79 9678 9953 6233</t>
  </si>
  <si>
    <t>BE25 9057 4912 8882</t>
  </si>
  <si>
    <t>ES59 0182 0894 1702 0161 6685</t>
  </si>
  <si>
    <t>BE79 9056 8891 6033</t>
  </si>
  <si>
    <t>ES38 0182 0855 7102 0208 7690</t>
  </si>
  <si>
    <t>ES27 0182 1503 2102 0165 6843</t>
  </si>
  <si>
    <t>ES25 0182 8674 4302 0164 9070</t>
  </si>
  <si>
    <t>ES88 0182 0689 1302 0161 5163</t>
  </si>
  <si>
    <t xml:space="preserve"> ES30 0049 4488 7728 1008 6705</t>
  </si>
  <si>
    <t>PT50 0023 0000 4557 2631 5699 4</t>
  </si>
  <si>
    <t>ES30 0049 2439 1822 1543 3345</t>
  </si>
  <si>
    <t>BE02 9054 7600 1740</t>
  </si>
  <si>
    <t>BE72 9053 1405 7816</t>
  </si>
  <si>
    <t>BE19 9057 1451 2212</t>
  </si>
  <si>
    <t>ES36 0182 0702 3002 0164 4783</t>
  </si>
  <si>
    <t>PT50 0007 0000 0081 5617 9052 3</t>
  </si>
  <si>
    <t>BE32 9054 4030 1902</t>
  </si>
  <si>
    <t>ES23 0182 0043 1502 0167 9769</t>
  </si>
  <si>
    <t>ES81 0182 0704 2002 0156 5211</t>
  </si>
  <si>
    <t>PT50 0010 0000 6175 1180 0017 6</t>
  </si>
  <si>
    <t>PT50 0007 0000 0064 7118 2352 3</t>
  </si>
  <si>
    <t>PT50 0007 0000 0077 9646 3282 3</t>
  </si>
  <si>
    <t xml:space="preserve"> BE71 9679 6256 0769</t>
  </si>
  <si>
    <t>BE19 9678 2042 0912</t>
  </si>
  <si>
    <t>BE59 9679 9692 3526</t>
  </si>
  <si>
    <t>BE36 9050 3947 6781</t>
  </si>
  <si>
    <t>ES48 0182 7424 9502 0160 6273</t>
  </si>
  <si>
    <t>ES50 6717 0003 3992 5579 7749</t>
  </si>
  <si>
    <t xml:space="preserve"> BE05 9050 0921 2175</t>
  </si>
  <si>
    <t>ES47 6893 0001 7900 0026 9295</t>
  </si>
  <si>
    <t>PL41 1090 2835 0000 0001 5350 2671</t>
  </si>
  <si>
    <t>LT21 3250 0217 3643 2968</t>
  </si>
  <si>
    <t>ES84 6893 0001 7200 0033 5417</t>
  </si>
  <si>
    <t>BE42 9054 5064 7354</t>
  </si>
  <si>
    <t>ES18 6893 0001 7800 0026 6374</t>
  </si>
  <si>
    <t>BE10 9050 6210 8804</t>
  </si>
  <si>
    <t>ES40 6893 0001 7100 0016 2240</t>
  </si>
  <si>
    <t>ES49 0182 0917 0902 0174 6960</t>
  </si>
  <si>
    <t>ES97 0049 2795 8529 1466 2231</t>
  </si>
  <si>
    <t xml:space="preserve">ES87 0182 1930 5002 0164 0170 </t>
  </si>
  <si>
    <t>ES60 0182 8181 1502 0233 6972</t>
  </si>
  <si>
    <t>ES66 6893 0001 7900 0026 7401</t>
  </si>
  <si>
    <t>ES03 0182 0021 8402 0157 1148</t>
  </si>
  <si>
    <t>ES50 0182 4021 5102 0206 0425</t>
  </si>
  <si>
    <t>ES95 0182 1965 1202 0169 7659</t>
  </si>
  <si>
    <t xml:space="preserve">ES10 6893 0001 7200 0028 1556 </t>
  </si>
  <si>
    <t>ES06 0182 1077 3902 0162 1476</t>
  </si>
  <si>
    <t>ES17 0049 3001 0625 1423 4549</t>
  </si>
  <si>
    <t>ES37 0182 2626 6502 0169 5939</t>
  </si>
  <si>
    <t>ES30 0182 8674 4102 0164 4228</t>
  </si>
  <si>
    <t>ES17 0182 3507 4002 0230 9388</t>
  </si>
  <si>
    <t xml:space="preserve">BE56 9056 7078 2588 </t>
  </si>
  <si>
    <t>ES93 0182 0606 8402 0178 1711</t>
  </si>
  <si>
    <t xml:space="preserve">ES95 0182 8181 1302 0233 8671 </t>
  </si>
  <si>
    <t>ES51 0182 1509 1902 0159 6651</t>
  </si>
  <si>
    <t xml:space="preserve">ES04 6893 0001 7400 0026 6143 </t>
  </si>
  <si>
    <t>ES02 0182 9792 5402 0031 0511</t>
  </si>
  <si>
    <t>ES46 0182 7345 4402 0171 4802</t>
  </si>
  <si>
    <t xml:space="preserve">PT50 0033 0000 4557 0222 6710 5 </t>
  </si>
  <si>
    <t xml:space="preserve">ES38 1576 1212 1010 1051 9619 </t>
  </si>
  <si>
    <t>PT50 0035 0361 0000 4506 5302 5</t>
  </si>
  <si>
    <t>BE66 9676 0328 9543</t>
  </si>
  <si>
    <t>PT50 0079 0000 8499 5659 1012 8</t>
  </si>
  <si>
    <t>EUROBIC</t>
  </si>
  <si>
    <t>ES24 2100 2473 9102 1051 2483</t>
  </si>
  <si>
    <t xml:space="preserve">ES80 0182 0706 1502 0164 5302 </t>
  </si>
  <si>
    <t xml:space="preserve"> BE88 9057 4046 2641</t>
  </si>
  <si>
    <t>BE39 9053 7990 1719</t>
  </si>
  <si>
    <t xml:space="preserve">ES10 6893 0001 7400 0029 2904 </t>
  </si>
  <si>
    <t>ES74 0182 8181 1302 0235 3890</t>
  </si>
  <si>
    <t>ES85 0182 0646 7402 0165 0462</t>
  </si>
  <si>
    <t>ES24 0182 6551 9502 0169 7594</t>
  </si>
  <si>
    <t>BE34 9055 7588 7690</t>
  </si>
  <si>
    <t>ES24 0182 0075 2502 0166 9028</t>
  </si>
  <si>
    <t>ES02 0182 4010 3902 0183 3798</t>
  </si>
  <si>
    <t>BE72 9050 4273 9116</t>
  </si>
  <si>
    <t>ES68 6893 0001 7800 0031 8242</t>
  </si>
  <si>
    <t>ES10 6893 0001 7100 0018 1016</t>
  </si>
  <si>
    <t xml:space="preserve"> ES91 6893 0001 7100 0029 1302</t>
  </si>
  <si>
    <t>FR76 1659 8000 0140 0011 2313 942</t>
  </si>
  <si>
    <t>ES26 2100 1943 3507 0000 5631</t>
  </si>
  <si>
    <t>ES76 0182 6800 9802 0179 1828</t>
  </si>
  <si>
    <t>PL76 1090 2688 0000 0001 5052 6174</t>
  </si>
  <si>
    <t>ES56 6893 0001 7300 0022 2479</t>
  </si>
  <si>
    <t>ES43 6893 0001 7800 0034 0517</t>
  </si>
  <si>
    <t>NESTOR JULIAN BORRERO HERNANDEZ</t>
  </si>
  <si>
    <t>ES90 0182 0841 1802 0165 8498</t>
  </si>
  <si>
    <t>ES15 0049 0932 4621 1136 4222</t>
  </si>
  <si>
    <t>ES83 0182 7351 3002 0160 4621</t>
  </si>
  <si>
    <t>ES44 2080 0035 1130 4006 3029</t>
  </si>
  <si>
    <t>ES19 0182 2939 8202 0017 4922</t>
  </si>
  <si>
    <t>BE38 9051 1220 6472</t>
  </si>
  <si>
    <t>ES32 0182 8323 2202 0195 6874</t>
  </si>
  <si>
    <t>ES82 0182 4026 8402 0181 8198</t>
  </si>
  <si>
    <t>ES79 0182 4414 6402 0155 7623</t>
  </si>
  <si>
    <t>PT50 0033 0000 4579 1255 2130 5</t>
  </si>
  <si>
    <t>BE06 9057 2185 6122</t>
  </si>
  <si>
    <t>BE28 9050 1575 4120</t>
  </si>
  <si>
    <t>ES43 6893 0001 7700 0016 2668</t>
  </si>
  <si>
    <t xml:space="preserve">ES53 0182 4924 1802 0172 4674 </t>
  </si>
  <si>
    <t>ES82 0182 1216 2302 0160 5600</t>
  </si>
  <si>
    <t>ES78 0182 5011 1802 0224 0085</t>
  </si>
  <si>
    <t>ES63 0182 2808 8902 0159 9059</t>
  </si>
  <si>
    <t>PT50 0033 0000 4556 1350 5660 5</t>
  </si>
  <si>
    <t>ES27 6893 0001 7300 0021 0294</t>
  </si>
  <si>
    <t>BE80 9055 6224 8177</t>
  </si>
  <si>
    <t>ES62 0182 6517 7502 0196 6243</t>
  </si>
  <si>
    <t>BE25 9057 2548 9982</t>
  </si>
  <si>
    <t>FR76 1659 8000 0140 0009 1876 333</t>
  </si>
  <si>
    <t>OMAR JOSE RAMIREZ PAZ</t>
  </si>
  <si>
    <t>ES20 0182 6855 8002 0179 7079</t>
  </si>
  <si>
    <t>ES64 1563 2626 3132 6463 4041</t>
  </si>
  <si>
    <t>ES77 6893 0001 7500 0033 5008</t>
  </si>
  <si>
    <t>ES14 0182 6936 1102 0159 9608</t>
  </si>
  <si>
    <t>BE20 9054 1802 6456</t>
  </si>
  <si>
    <t>ES17 0049 6980 2722 1007 4594</t>
  </si>
  <si>
    <t>BE20 9050 7006 8056</t>
  </si>
  <si>
    <t>ES87 0182 1527 5002 0475 8597</t>
  </si>
  <si>
    <t>ES73 6893 0001 7400 0020 4179</t>
  </si>
  <si>
    <t>ES92 0182 0275 1302 0167 9247</t>
  </si>
  <si>
    <t>ES54 0182 6786 0202 0155 7553</t>
  </si>
  <si>
    <t>ES13 6893 0001 7900 0027 5824</t>
  </si>
  <si>
    <t>ES53 0182 6380 9602 0160 1201</t>
  </si>
  <si>
    <t xml:space="preserve">ES42 0182 5430 4102 0169 1849 </t>
  </si>
  <si>
    <t xml:space="preserve">ES07 6893 0001 7300 0025 0521 </t>
  </si>
  <si>
    <t xml:space="preserve"> ES05 0182 3507 4202 0231 2319</t>
  </si>
  <si>
    <t>ES51 0182 6786 0602 0155 7799</t>
  </si>
  <si>
    <t>BE67 9679 4155 2387</t>
  </si>
  <si>
    <t>BE58 9050 3571 2979</t>
  </si>
  <si>
    <t>BE79 9675 7774 8433</t>
  </si>
  <si>
    <t>BE25 9054 4523 7582</t>
  </si>
  <si>
    <t>ES03 0182 4004 4902 0167 7614</t>
  </si>
  <si>
    <t>ES44 0182 0917 0902 0174 7147</t>
  </si>
  <si>
    <t>ES37 2100 7917 0820 0050 2403</t>
  </si>
  <si>
    <t>ES97 0182 1275 1102 0217 3619</t>
  </si>
  <si>
    <t>BE55 9674 3492 6744</t>
  </si>
  <si>
    <t>PT50 0007 0000 0071 0207 5202 3</t>
  </si>
  <si>
    <t>ES80 0182 1275 1202 0217 4070</t>
  </si>
  <si>
    <t xml:space="preserve"> ES78 0182 5319 7900 0018 1172</t>
  </si>
  <si>
    <t>BE16 9676 3966 7674</t>
  </si>
  <si>
    <t>ES53 0182 1245 1102 0166 2393</t>
  </si>
  <si>
    <t>PT50 0023 0000 4577 7325 7229 4</t>
  </si>
  <si>
    <t>ES31 0182 1005 3102 0172 5898</t>
  </si>
  <si>
    <t xml:space="preserve">ES93 0182 6720 1302 0231 2720 </t>
  </si>
  <si>
    <t>BE11 9052 5001 1948</t>
  </si>
  <si>
    <t>ES85 0182 3275 5602 0165 3172</t>
  </si>
  <si>
    <t>ES55 6893 0001 7300 0027 4004</t>
  </si>
  <si>
    <t>BE72 9054 5053 6816</t>
  </si>
  <si>
    <t>ES88 0182 1965 1802 0169 8461</t>
  </si>
  <si>
    <t>PT50 0007 0000 0063 2606 35623</t>
  </si>
  <si>
    <t xml:space="preserve">ES25 0182 6092 4502 0175 0136 </t>
  </si>
  <si>
    <t>ES12 0182 7351 3102 0160 4201</t>
  </si>
  <si>
    <t>BE32 9056 9162 8902</t>
  </si>
  <si>
    <t>ES06 6893 0001 7900 0016 5855</t>
  </si>
  <si>
    <t>BE56 9050 0324 7988</t>
  </si>
  <si>
    <t xml:space="preserve">ES55 0182 2229 5702 0161 8663 </t>
  </si>
  <si>
    <t>ES98 0182 0845 1502 0220 4605</t>
  </si>
  <si>
    <t>NL16 BUNQ 2126 0401 51</t>
  </si>
  <si>
    <t xml:space="preserve">BE04 9051 6697 8231 </t>
  </si>
  <si>
    <t>ES28 6893 0001 7600 0028 8311</t>
  </si>
  <si>
    <t xml:space="preserve">ES33 6893 0001 7100 0029 4092 </t>
  </si>
  <si>
    <t>ES36 0182 0573 1902 0173 3155</t>
  </si>
  <si>
    <t>ES25 0182 5430 4702 0169 6905</t>
  </si>
  <si>
    <t>BE43 9057 7267 2301</t>
  </si>
  <si>
    <t>ES73 0182 4641 1602 0164 6703</t>
  </si>
  <si>
    <t>ES52 0182 5899 3102 0170 6636</t>
  </si>
  <si>
    <t>BE97 9054 6031 7749</t>
  </si>
  <si>
    <t xml:space="preserve">BE16 9051 6396 5874 </t>
  </si>
  <si>
    <t>ES41 0182 8323 2002 0195 6713</t>
  </si>
  <si>
    <t>ES60 0182 2455 6302 0165 3636</t>
  </si>
  <si>
    <t>ES27 0182 0731 0102 0160 6310</t>
  </si>
  <si>
    <t>ES54 0182 1300 1002 0188 4229</t>
  </si>
  <si>
    <t>ES92 0182 2661 2502 0160 0875</t>
  </si>
  <si>
    <t xml:space="preserve"> BE07 9052 9039 4866</t>
  </si>
  <si>
    <t>BE21 9056 7288 8603</t>
  </si>
  <si>
    <t>ES66 0182 0345 1702 0185 9252</t>
  </si>
  <si>
    <t>ES89 0182 4353 7802 0163 0326</t>
  </si>
  <si>
    <t>PT50 0010 0000 6030 8470 0016 7</t>
  </si>
  <si>
    <t>BE98 9050 3482 1993</t>
  </si>
  <si>
    <t>PT50 0007 0000 0066 6628 3302 3</t>
  </si>
  <si>
    <t>ES85 0182 7081 4402 0159 4119</t>
  </si>
  <si>
    <t xml:space="preserve">ES18 6893 0001 7400 0026 9674 </t>
  </si>
  <si>
    <t xml:space="preserve"> BE18 9679 8940 0265</t>
  </si>
  <si>
    <t>BE57 9054 7750 4735</t>
  </si>
  <si>
    <t xml:space="preserve">BE87 9051 9978 0294 </t>
  </si>
  <si>
    <t>ES61 6893 0001 7400 0028 1704</t>
  </si>
  <si>
    <t>ES56 6893 0001 7500 0036 0121</t>
  </si>
  <si>
    <t>BE78 9057 1935 9986</t>
  </si>
  <si>
    <t>ES82 0182 0841 1102 0165 8306</t>
  </si>
  <si>
    <t>ES56 0182 1216 2802 0160 7569</t>
  </si>
  <si>
    <t>ES75 6893 0001 7100 0026 6273</t>
  </si>
  <si>
    <t>ES60 0182 0297 3902 0202 5485</t>
  </si>
  <si>
    <t>ES93 0182 6556 1902 0167 4024</t>
  </si>
  <si>
    <t xml:space="preserve"> ES84 1576 1212 1110 1044 6380</t>
  </si>
  <si>
    <t>BE76 9050 2885 6695</t>
  </si>
  <si>
    <t>ES27 0182 8191 7802 0205 3164</t>
  </si>
  <si>
    <t>ES14 0182 6194 7002 0162 3729</t>
  </si>
  <si>
    <t>ES31 0182 1965 1002 0169 8812</t>
  </si>
  <si>
    <t>ES92 2100 1927 7902 0045 5124</t>
  </si>
  <si>
    <t xml:space="preserve">ES61 6893 0001 7400 0020 4977 </t>
  </si>
  <si>
    <t>BE25 9057 8242 8982</t>
  </si>
  <si>
    <t>BE33 9679 6253 9046</t>
  </si>
  <si>
    <t>ES52 0182 0702 3802 0164 5267</t>
  </si>
  <si>
    <t>ES10 0182 0956  5502 0176 9939</t>
  </si>
  <si>
    <t>NL41 BUNQ 2126 6108 37</t>
  </si>
  <si>
    <t>ES59 0049 6123 3721 1620 4775</t>
  </si>
  <si>
    <t>ES96 1576 1212 1810 1049 8589</t>
  </si>
  <si>
    <t>ES50 0182 0917 0502 0175 2570</t>
  </si>
  <si>
    <t>ES25 0182 4023 4802 0160 9775</t>
  </si>
  <si>
    <t>ES21 0182 0249 6402 0433 9066</t>
  </si>
  <si>
    <t>ES57 2100 4247 1122 0031 4112</t>
  </si>
  <si>
    <t xml:space="preserve">ES47 6893 0001 7100 0025 0772 </t>
  </si>
  <si>
    <t>ES05 6893 0001 7300 0029 5565</t>
  </si>
  <si>
    <t>ES87 6893 0001 7800 0027 2407</t>
  </si>
  <si>
    <t>RODOLFO DAZAHER ARRIETA VASQUEZ</t>
  </si>
  <si>
    <t>ES60 0182 5430 4602 0169 1474</t>
  </si>
  <si>
    <t>ES75 0049 1256 3325 1030 0334</t>
  </si>
  <si>
    <t>ES81 0182 0883 1302 0173 3726</t>
  </si>
  <si>
    <t>PT50 0007 0000 0081 1563 0142 3</t>
  </si>
  <si>
    <t>ES89 0182 0382 7102 0167 6638</t>
  </si>
  <si>
    <t>ES60 0182 0625 8002 0181 8799</t>
  </si>
  <si>
    <t>ROGELIO EFRAIN CONDORI HUANCA</t>
  </si>
  <si>
    <t>ES27 0182 0635 5002 0163 1795</t>
  </si>
  <si>
    <t>ES03 0182 3275 5902 0165 4113</t>
  </si>
  <si>
    <t xml:space="preserve"> PT50 0033 0000 4569 7112 251 05</t>
  </si>
  <si>
    <t xml:space="preserve">ES56 6893 0001 7400 0028 1018 </t>
  </si>
  <si>
    <t>ES32 0182 1250 4102 0157 8795</t>
  </si>
  <si>
    <t>ES66 0182 4960 2102 0166 4099</t>
  </si>
  <si>
    <t>ES48 0182 2808 8102 0159 9042</t>
  </si>
  <si>
    <t>ES89 0182 2808 8102 0159 9080</t>
  </si>
  <si>
    <t>BE81 9057 4146 9724</t>
  </si>
  <si>
    <t>ES90 6893 0001 7600 0027 0608</t>
  </si>
  <si>
    <t>PT50 0023 0000 4566 1549 5299 4</t>
  </si>
  <si>
    <t>ES53 0182 2229 5802 0161 2733</t>
  </si>
  <si>
    <t xml:space="preserve">ES86 0182 8181 1702 0233 0295 </t>
  </si>
  <si>
    <t>ES97 0182 1418 9402 0161 7553</t>
  </si>
  <si>
    <t>ES51 0182 1758 9202 0178 1899</t>
  </si>
  <si>
    <t>ES03 0182 1268 8202 0159 8136</t>
  </si>
  <si>
    <t xml:space="preserve"> ES11 0182 2738 6402 0162 8388</t>
  </si>
  <si>
    <t>ES43 6893 0001 7200 0033 3633</t>
  </si>
  <si>
    <t>PT50 0018 0003 6449 2747 0206 2</t>
  </si>
  <si>
    <t xml:space="preserve">BE13 9670 4981 6839 </t>
  </si>
  <si>
    <t>ES68 6893 0001 7100 0015 2618</t>
  </si>
  <si>
    <t>ES64 1583 0001 1990 7344 1635</t>
  </si>
  <si>
    <t>ES21 0182 0846 4202 0206 0282</t>
  </si>
  <si>
    <t>ES83 0182 6092 4202 0175 0112</t>
  </si>
  <si>
    <t>PL45 1020 3668 0000 5402 0661 2909</t>
  </si>
  <si>
    <t>ES20 0049 4668 1527 1605 7756</t>
  </si>
  <si>
    <t xml:space="preserve">ES24 0182 9730 2802 0035 3677 </t>
  </si>
  <si>
    <t>ES72 0182 4027 2902 0188 4558</t>
  </si>
  <si>
    <t>BE37 9674 3500 2728</t>
  </si>
  <si>
    <t>ES03 0182 1245 1202 0166 8773</t>
  </si>
  <si>
    <t>ES82 6893 0001 7400 0028 3072</t>
  </si>
  <si>
    <t>ES65 6893 0001 7500 0030 3214</t>
  </si>
  <si>
    <t>BE18 9677 2848 9665</t>
  </si>
  <si>
    <t>ES60 0182 0841 1302 0165 8313</t>
  </si>
  <si>
    <t>SAMUEL ANTONIO BAVATIVA SANCHEZ</t>
  </si>
  <si>
    <t xml:space="preserve">ES32 6893 0001 7900 0020 4769  </t>
  </si>
  <si>
    <t>BE55 9056 1659 3944</t>
  </si>
  <si>
    <t xml:space="preserve">ES92 6893 0001 7100 0020 5148 </t>
  </si>
  <si>
    <t>ES07 0049 0622 6421 1004 1354</t>
  </si>
  <si>
    <t>ES84 0182 0702 3402 0164 6536</t>
  </si>
  <si>
    <t>BE44 9678 2724 3345</t>
  </si>
  <si>
    <t>ES12 6893 0001 7100 0033 3658</t>
  </si>
  <si>
    <t>ES68 0182 5141 5102 0158 6225</t>
  </si>
  <si>
    <t>ES09 6893 0001 7000 0029 3700</t>
  </si>
  <si>
    <t>PT50 0018 0003 5536 1836 0208 9</t>
  </si>
  <si>
    <t>ES48 6893 0001 7200 0031 0263</t>
  </si>
  <si>
    <t>ES64 0182 6194 7502 0162 1129</t>
  </si>
  <si>
    <t>BE04 9050 6051 1031</t>
  </si>
  <si>
    <t>ES11 0182 0974 0202 0174 9696</t>
  </si>
  <si>
    <t>ES04 6893 0001 7500 0013 5726</t>
  </si>
  <si>
    <t>ES59 0182 1212 4702 0156 4783</t>
  </si>
  <si>
    <t>ES67 6893 0001 7300 0028 5622</t>
  </si>
  <si>
    <t>BE90 9679 3231 2432</t>
  </si>
  <si>
    <t>ES05 6893 0001 7400 0027 2818</t>
  </si>
  <si>
    <t>BE33 9051 1401 7746</t>
  </si>
  <si>
    <t>BE69 9052 4717 2878</t>
  </si>
  <si>
    <t>ES42 0182 1758 9402 0179 3797</t>
  </si>
  <si>
    <t>ES33 0182 8191 7702 0205 0486</t>
  </si>
  <si>
    <t xml:space="preserve">ES42 0182 8674 4402 0164 8909 </t>
  </si>
  <si>
    <t>ES73 0182 2350 1802 0160 1590</t>
  </si>
  <si>
    <t>BE08 9056 2287 6413</t>
  </si>
  <si>
    <t>PT50 0035 0701 0000 8569 7306 8</t>
  </si>
  <si>
    <t>ES35 0182 0702 3602 0165 1006</t>
  </si>
  <si>
    <t>ES55 0182 1965 1702 0169 8522</t>
  </si>
  <si>
    <t>BE27 9674 7073 2373</t>
  </si>
  <si>
    <t>ES82 0182 8320 9102 0189 4058</t>
  </si>
  <si>
    <t>ES64 6893 0001 7100 0029 9257</t>
  </si>
  <si>
    <t>ES46 2100 3222 2207 0001 1313</t>
  </si>
  <si>
    <t>ES70 2100 2814 4107 0100 9565</t>
  </si>
  <si>
    <t>ES05 6893 0001 7800 0026 4474</t>
  </si>
  <si>
    <t xml:space="preserve">ES29 0182 0606 8802 0178 3540 </t>
  </si>
  <si>
    <t>BE83 9053 0218 4915</t>
  </si>
  <si>
    <t>ES17 0182 3212 8502 0157 7167</t>
  </si>
  <si>
    <t>BE18 9057 0976 4565</t>
  </si>
  <si>
    <t xml:space="preserve">ES26 0182 3507 4902 0232 7506 </t>
  </si>
  <si>
    <t>ES48 0182 0917 0802 0175 2556</t>
  </si>
  <si>
    <t>ES91 0049 1256 3521 1030 0369</t>
  </si>
  <si>
    <t>BE42 9674 1021 2154</t>
  </si>
  <si>
    <t xml:space="preserve">ES04 0182 8181 1202 0234 5499 </t>
  </si>
  <si>
    <t>ES45 0182 4041 1202 0273 7031</t>
  </si>
  <si>
    <t>PT50 0007 0000 0077 6610 0342 3</t>
  </si>
  <si>
    <t>PT50 0007 0000 0068 6412 9352 3</t>
  </si>
  <si>
    <t>ES84 0182 0701 9202 0161 0279</t>
  </si>
  <si>
    <t>ES88 0182 0786 1102 0165 8038</t>
  </si>
  <si>
    <t>ES58 0182 0702 3802 0165 0300</t>
  </si>
  <si>
    <t xml:space="preserve">PT50 0010 0000 6145 2590 0010 5 </t>
  </si>
  <si>
    <t>PT50 0023 0000 4556 2313 776 94</t>
  </si>
  <si>
    <t xml:space="preserve">PT50 0033 0000 4578 4032 7870 5 </t>
  </si>
  <si>
    <t>PT50 0033 0000 4571 5052 1100 5</t>
  </si>
  <si>
    <t>ES84 0182 6139 6602 0165 4030</t>
  </si>
  <si>
    <t>BE17 9055 8689 9921</t>
  </si>
  <si>
    <t>ES65 0049 5396 3622 1614 5925</t>
  </si>
  <si>
    <t>ES55 0182 1250 4002 0157 8818</t>
  </si>
  <si>
    <t>BE58 9050 0473 1179</t>
  </si>
  <si>
    <t>ES61 1576 1212 1910 1043 7090</t>
  </si>
  <si>
    <t xml:space="preserve"> BE70 9678 5410 0625</t>
  </si>
  <si>
    <t>BE51 9679 7135 7962</t>
  </si>
  <si>
    <t>ES96 0182 7345 4902 0171 2202</t>
  </si>
  <si>
    <t>BE81 9678 9082 4724</t>
  </si>
  <si>
    <t>BE32 9679 6181 6802</t>
  </si>
  <si>
    <t>ES28 0182 2738 6202 0162 1196</t>
  </si>
  <si>
    <t>ES47 6893 0001 7200 0027 5846</t>
  </si>
  <si>
    <t>ES09 6893 0001 7100 0033 0511</t>
  </si>
  <si>
    <t xml:space="preserve">ES13 0182 4208 1702 0186 6779 </t>
  </si>
  <si>
    <t>ES96 0182 0702 3502 0165 3934</t>
  </si>
  <si>
    <t>BE76 9056 8722 4795</t>
  </si>
  <si>
    <t>BE84 9051 9975 7359</t>
  </si>
  <si>
    <t>BE19 9055 0045 2612</t>
  </si>
  <si>
    <t>ES64 0049 0573 3028 1033 5459</t>
  </si>
  <si>
    <t>ES27 6893 0001 7700 0027 9744</t>
  </si>
  <si>
    <t>ES02 0182 0731 0502 0160 6273</t>
  </si>
  <si>
    <t>ES66 0182 1216 2202 0159 8953</t>
  </si>
  <si>
    <t>ES84 0182 1005 3702 0172 5232</t>
  </si>
  <si>
    <t>ES82 0182 0316 4902 0158 8701</t>
  </si>
  <si>
    <t>ES90 6893 0001 7000 0026 9253</t>
  </si>
  <si>
    <t>ES79 0182 1150 0202 0159 3881</t>
  </si>
  <si>
    <t>ES39 6893 0001 7100 0031 9107</t>
  </si>
  <si>
    <t>ES78 6893 0001 7000 0027 9751</t>
  </si>
  <si>
    <t>ES49 6893 0001 7300 0034 6765</t>
  </si>
  <si>
    <t>PL28 1090 1102 0000 0001 5679 6995</t>
  </si>
  <si>
    <t>ES29 0182 0670 1002 0161 0920</t>
  </si>
  <si>
    <t>ES91 0182 2082 1502 0168 9891</t>
  </si>
  <si>
    <t>ES81 0182 0702 3102 0165 0423</t>
  </si>
  <si>
    <t>ES37 0182 3275 5202 0165 3165</t>
  </si>
  <si>
    <t xml:space="preserve"> BE50 9677 9384 3518</t>
  </si>
  <si>
    <t>ES34 0182 0702 3302 0164 4769</t>
  </si>
  <si>
    <t>ES36 0049 4835 1921 1639 1915</t>
  </si>
  <si>
    <t>BE47 9679 6382 2880</t>
  </si>
  <si>
    <t>ES12 6893 0001 7600 0025 8238</t>
  </si>
  <si>
    <t>ES49 0182 2249 1302 0157 2785</t>
  </si>
  <si>
    <t>PL79 1090 1102 0000 0001 6232 6532</t>
  </si>
  <si>
    <t>ES57 0182 0374 9102 0154 6169</t>
  </si>
  <si>
    <t>ES57 0182 2620 9402 0164 6249</t>
  </si>
  <si>
    <t xml:space="preserve">ES86 6893 0001 7600 0033 4021 </t>
  </si>
  <si>
    <t>FR76 2763 3121 2905 0404 5072 673</t>
  </si>
  <si>
    <t>YEDIN CASTILLO VASQUEZ</t>
  </si>
  <si>
    <t>ES43 2100 8342 1007 0050 2176</t>
  </si>
  <si>
    <t xml:space="preserve">ES23 0049 5103 7024 1673 3258 </t>
  </si>
  <si>
    <t>BE39 9052 8855 6819</t>
  </si>
  <si>
    <t>BE84 9677 9556 4559</t>
  </si>
  <si>
    <t>BE49 9054 6328 8171</t>
  </si>
  <si>
    <t>BE76 9057 2556 8895</t>
  </si>
  <si>
    <t>BE74 9050 2033 1207</t>
  </si>
  <si>
    <t xml:space="preserve"> ES92 0182 0708 0402 0167 0939</t>
  </si>
  <si>
    <t>ES54 0182 8674 4702 0164 9322</t>
  </si>
  <si>
    <t>ES56 0182 0043 1002 0167 9905</t>
  </si>
  <si>
    <t>ES74 6893 0001 7200 0027 2159</t>
  </si>
  <si>
    <t>BE85 9050 8840 5706</t>
  </si>
  <si>
    <t>BE56 9056 5513 6488</t>
  </si>
  <si>
    <t>ES58 6893 0001 7900 0027 4723</t>
  </si>
  <si>
    <t>BE10 9057 8657 2704</t>
  </si>
  <si>
    <t>BE24 9050 3809 5038</t>
  </si>
  <si>
    <t>ES40 0182 0394 3602 0176 1182</t>
  </si>
  <si>
    <t>ES55 0182 0079 0002 0156 0855</t>
  </si>
  <si>
    <t>BE88 9678 6412 2341</t>
  </si>
  <si>
    <t>ES66 0182 2824 4302 0171 2009</t>
  </si>
  <si>
    <t>ES80 0182 4390 2502 0177 6832</t>
  </si>
  <si>
    <t>ES88 0182 7541 3102 0160 9241</t>
  </si>
  <si>
    <t>BE81 9677 7824 6524</t>
  </si>
  <si>
    <t>BE36 9677 8341 2681</t>
  </si>
  <si>
    <t>ES79 6893 0001 7000 0030 5147</t>
  </si>
  <si>
    <t>ES21 0182 0573 1602 0173 3087</t>
  </si>
  <si>
    <t>BE95 9053 1577 8958</t>
  </si>
  <si>
    <t>BE11 9670 0269 5148</t>
  </si>
  <si>
    <t>ES66 0049 6682 0625 1010 6761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</si>
</sst>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00\ &quot;€&quot;_-;\-* #,##0.00\ &quot;€&quot;_-;_-* &quot;-&quot;??\ &quot;€&quot;_-;_-@_-"/>
    <numFmt numFmtId="165" formatCode="#,##0.00\ &quot;€&quot;"/>
    <numFmt numFmtId="166" formatCode="dd\-mm\-yy;@"/>
    <numFmt numFmtId="167" formatCode="#,##0.00\ [$€-1]"/>
  </numFmts>
  <fonts count="52" x14ac:knownFonts="1">
    <font>
      <sz val="11"/>
      <color theme="1"/>
      <name val="Aptos Narrow"/>
      <family val="2"/>
      <scheme val="minor"/>
    </font>
    <font>
      <sz val="10"/>
      <color theme="1"/>
      <name val="Segoe UI"/>
      <family val="2"/>
    </font>
    <font>
      <b/>
      <sz val="10"/>
      <color theme="1"/>
      <name val="Segoe UI"/>
      <family val="2"/>
    </font>
    <font>
      <b/>
      <sz val="8"/>
      <color theme="0"/>
      <name val="Segoe UI"/>
      <family val="2"/>
    </font>
    <font>
      <b/>
      <sz val="8"/>
      <color theme="1"/>
      <name val="Segoe UI"/>
      <family val="2"/>
    </font>
    <font>
      <b/>
      <sz val="10"/>
      <color theme="0"/>
      <name val="Segoe UI"/>
      <family val="2"/>
    </font>
    <font>
      <b/>
      <sz val="18"/>
      <color theme="0"/>
      <name val="Segoe UI"/>
      <family val="2"/>
    </font>
    <font>
      <sz val="8"/>
      <color theme="1"/>
      <name val="Segoe UI"/>
      <family val="2"/>
    </font>
    <font>
      <sz val="18"/>
      <color theme="0"/>
      <name val="Segoe UI"/>
      <family val="2"/>
    </font>
    <font>
      <sz val="9"/>
      <color theme="1"/>
      <name val="Segoe UI"/>
      <family val="2"/>
    </font>
    <font>
      <b/>
      <sz val="8"/>
      <color theme="1"/>
      <name val="Aptos Narrow"/>
      <family val="2"/>
      <scheme val="minor"/>
    </font>
    <font>
      <sz val="8"/>
      <name val="Aptos Narrow"/>
      <family val="2"/>
      <scheme val="minor"/>
    </font>
    <font>
      <sz val="8"/>
      <color theme="2" tint="-0.499984740745262"/>
      <name val="Segoe UI"/>
      <family val="2"/>
    </font>
    <font>
      <sz val="10"/>
      <color theme="2" tint="-0.499984740745262"/>
      <name val="Segoe UI"/>
      <family val="2"/>
    </font>
    <font>
      <b/>
      <sz val="11"/>
      <color theme="1"/>
      <name val="Aptos Narrow"/>
      <family val="2"/>
      <scheme val="minor"/>
    </font>
    <font>
      <sz val="9"/>
      <color theme="2" tint="-0.499984740745262"/>
      <name val="Segoe UI"/>
      <family val="2"/>
    </font>
    <font>
      <sz val="6"/>
      <color theme="1" tint="0.499984740745262"/>
      <name val="Segoe UI"/>
      <family val="2"/>
    </font>
    <font>
      <sz val="9"/>
      <color theme="2" tint="-0.749992370372631"/>
      <name val="Segoe UI"/>
      <family val="2"/>
    </font>
    <font>
      <i/>
      <sz val="10"/>
      <color theme="1"/>
      <name val="Segoe UI"/>
      <family val="2"/>
    </font>
    <font>
      <b/>
      <sz val="10"/>
      <color theme="2" tint="-0.499984740745262"/>
      <name val="Segoe UI"/>
      <family val="2"/>
    </font>
    <font>
      <sz val="10"/>
      <color theme="0" tint="-0.34998626667073579"/>
      <name val="Segoe UI"/>
      <family val="2"/>
    </font>
    <font>
      <sz val="8"/>
      <color theme="0"/>
      <name val="Aptos Narrow"/>
      <family val="2"/>
      <scheme val="minor"/>
    </font>
    <font>
      <b/>
      <sz val="11"/>
      <color theme="0"/>
      <name val="Aptos Narrow"/>
      <family val="2"/>
      <scheme val="minor"/>
    </font>
    <font>
      <b/>
      <sz val="18"/>
      <color theme="1"/>
      <name val="Segoe UI"/>
      <family val="2"/>
    </font>
    <font>
      <b/>
      <sz val="20"/>
      <color theme="1"/>
      <name val="Segoe UI"/>
      <family val="2"/>
    </font>
    <font>
      <b/>
      <sz val="8"/>
      <color theme="1" tint="0.499984740745262"/>
      <name val="Segoe UI"/>
      <family val="2"/>
    </font>
    <font>
      <sz val="10"/>
      <color theme="0" tint="-0.499984740745262"/>
      <name val="Segoe UI"/>
      <family val="2"/>
    </font>
    <font>
      <sz val="10"/>
      <name val="Segoe UI"/>
      <family val="2"/>
    </font>
    <font>
      <sz val="9"/>
      <color theme="1"/>
      <name val="Aptos Narrow"/>
      <family val="2"/>
      <scheme val="minor"/>
    </font>
    <font>
      <sz val="9"/>
      <name val="Segoe UI"/>
      <family val="2"/>
    </font>
    <font>
      <sz val="9"/>
      <color theme="1" tint="0.34998626667073579"/>
      <name val="Segoe UI"/>
      <family val="2"/>
    </font>
    <font>
      <sz val="8"/>
      <color theme="1" tint="0.34998626667073579"/>
      <name val="Segoe UI"/>
      <family val="2"/>
    </font>
    <font>
      <sz val="9"/>
      <color theme="0" tint="-0.499984740745262"/>
      <name val="Segoe UI"/>
      <family val="2"/>
    </font>
    <font>
      <sz val="8"/>
      <color theme="0" tint="-0.499984740745262"/>
      <name val="Segoe UI"/>
      <family val="2"/>
    </font>
    <font>
      <sz val="10"/>
      <color theme="0"/>
      <name val="Segoe UI"/>
      <family val="2"/>
    </font>
    <font>
      <sz val="10"/>
      <color theme="7" tint="-0.499984740745262"/>
      <name val="Segoe UI"/>
      <family val="2"/>
    </font>
    <font>
      <sz val="10"/>
      <color theme="1"/>
      <name val="Segoe UI"/>
      <family val="2"/>
    </font>
    <font>
      <b/>
      <sz val="8"/>
      <color theme="2" tint="-0.499984740745262"/>
      <name val="Segoe UI"/>
      <family val="2"/>
    </font>
    <font>
      <sz val="9"/>
      <color theme="1"/>
      <name val="Segoe UI"/>
      <family val="2"/>
    </font>
    <font>
      <b/>
      <sz val="8"/>
      <color theme="1"/>
      <name val="Segoe UI"/>
      <family val="2"/>
    </font>
    <font>
      <sz val="8"/>
      <color theme="2" tint="-0.499984740745262"/>
      <name val="Segoe UI"/>
      <family val="2"/>
    </font>
    <font>
      <sz val="10"/>
      <color theme="2" tint="-0.499984740745262"/>
      <name val="Segoe UI"/>
      <family val="2"/>
    </font>
    <font>
      <b/>
      <sz val="14"/>
      <color theme="1"/>
      <name val="Segoe UI"/>
      <family val="2"/>
    </font>
    <font>
      <sz val="8"/>
      <color theme="1"/>
      <name val="Aptos Narrow"/>
      <family val="2"/>
      <scheme val="minor"/>
    </font>
    <font>
      <b/>
      <sz val="14"/>
      <color theme="1"/>
      <name val="Aptos Narrow"/>
      <family val="2"/>
      <scheme val="minor"/>
    </font>
    <font>
      <sz val="12"/>
      <color theme="1"/>
      <name val="Aptos Narrow"/>
      <family val="2"/>
      <scheme val="minor"/>
    </font>
    <font>
      <sz val="10"/>
      <color theme="1"/>
      <name val="Aptos Narrow"/>
      <family val="2"/>
      <scheme val="minor"/>
    </font>
    <font>
      <b/>
      <sz val="10"/>
      <color theme="1"/>
      <name val="Aptos Narrow"/>
      <family val="2"/>
      <scheme val="minor"/>
    </font>
    <font>
      <b/>
      <i/>
      <sz val="8"/>
      <color theme="1"/>
      <name val="Segoe UI"/>
      <family val="2"/>
    </font>
    <font>
      <b/>
      <sz val="11"/>
      <color theme="4" tint="-0.249977111117893"/>
      <name val="Calibri"/>
      <family val="2"/>
    </font>
    <font>
      <b/>
      <sz val="10"/>
      <name val="Segoe UI"/>
      <family val="2"/>
    </font>
    <font>
      <b/>
      <i/>
      <sz val="9"/>
      <color theme="1"/>
      <name val="Segoe UI"/>
      <family val="2"/>
    </font>
  </fonts>
  <fills count="28">
    <fill>
      <patternFill patternType="none"/>
    </fill>
    <fill>
      <patternFill patternType="gray125"/>
    </fill>
    <fill>
      <patternFill patternType="solid">
        <fgColor theme="4" tint="-0.499984740745262"/>
        <bgColor indexed="64"/>
      </patternFill>
    </fill>
    <fill>
      <patternFill patternType="solid">
        <fgColor theme="0"/>
        <bgColor indexed="64"/>
      </patternFill>
    </fill>
    <fill>
      <patternFill patternType="solid">
        <fgColor rgb="FFFFE5E5"/>
        <bgColor indexed="64"/>
      </patternFill>
    </fill>
    <fill>
      <patternFill patternType="solid">
        <fgColor theme="0" tint="-4.9989318521683403E-2"/>
        <bgColor indexed="64"/>
      </patternFill>
    </fill>
    <fill>
      <patternFill patternType="solid">
        <fgColor rgb="FFECF9E7"/>
        <bgColor indexed="64"/>
      </patternFill>
    </fill>
    <fill>
      <patternFill patternType="solid">
        <fgColor rgb="FFFFE7E7"/>
        <bgColor indexed="64"/>
      </patternFill>
    </fill>
    <fill>
      <patternFill patternType="solid">
        <fgColor theme="5" tint="-0.249977111117893"/>
        <bgColor indexed="64"/>
      </patternFill>
    </fill>
    <fill>
      <patternFill patternType="solid">
        <fgColor theme="6" tint="-0.499984740745262"/>
        <bgColor indexed="64"/>
      </patternFill>
    </fill>
    <fill>
      <patternFill patternType="solid">
        <fgColor theme="7" tint="-0.499984740745262"/>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theme="2" tint="-0.89999084444715716"/>
        <bgColor indexed="64"/>
      </patternFill>
    </fill>
    <fill>
      <patternFill patternType="solid">
        <fgColor theme="4" tint="-0.499984740745262"/>
        <bgColor theme="9"/>
      </patternFill>
    </fill>
    <fill>
      <patternFill patternType="solid">
        <fgColor theme="0" tint="-0.34998626667073579"/>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1"/>
        <bgColor indexed="64"/>
      </patternFill>
    </fill>
    <fill>
      <patternFill patternType="solid">
        <fgColor theme="1"/>
        <bgColor theme="9"/>
      </patternFill>
    </fill>
    <fill>
      <patternFill patternType="solid">
        <fgColor theme="0"/>
        <bgColor theme="4" tint="0.79998168889431442"/>
      </patternFill>
    </fill>
    <fill>
      <patternFill patternType="solid">
        <fgColor rgb="FFFFC000"/>
        <bgColor indexed="64"/>
      </patternFill>
    </fill>
    <fill>
      <patternFill patternType="solid">
        <fgColor rgb="FFFFFFCD"/>
        <bgColor indexed="64"/>
      </patternFill>
    </fill>
    <fill>
      <patternFill patternType="solid">
        <fgColor theme="9" tint="0.79998168889431442"/>
        <bgColor indexed="64"/>
      </patternFill>
    </fill>
    <fill>
      <patternFill patternType="solid">
        <fgColor rgb="FFFFFF00"/>
        <bgColor indexed="64"/>
      </patternFill>
    </fill>
    <fill>
      <patternFill patternType="solid">
        <fgColor theme="5"/>
        <bgColor indexed="64"/>
      </patternFill>
    </fill>
  </fills>
  <borders count="35">
    <border>
      <left/>
      <right/>
      <top/>
      <bottom/>
      <diagonal/>
    </border>
    <border>
      <left style="thin">
        <color theme="0"/>
      </left>
      <right style="thin">
        <color theme="0"/>
      </right>
      <top style="thin">
        <color theme="0"/>
      </top>
      <bottom style="thin">
        <color theme="0"/>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
      <left/>
      <right/>
      <top style="thin">
        <color theme="0" tint="-4.9989318521683403E-2"/>
      </top>
      <bottom style="thin">
        <color theme="0" tint="-4.9989318521683403E-2"/>
      </bottom>
      <diagonal/>
    </border>
    <border>
      <left/>
      <right style="thin">
        <color theme="0" tint="-4.9989318521683403E-2"/>
      </right>
      <top/>
      <bottom/>
      <diagonal/>
    </border>
    <border>
      <left/>
      <right style="thin">
        <color theme="0" tint="-4.9989318521683403E-2"/>
      </right>
      <top style="thin">
        <color theme="0" tint="-4.9989318521683403E-2"/>
      </top>
      <bottom/>
      <diagonal/>
    </border>
    <border>
      <left style="thin">
        <color theme="0" tint="-4.9989318521683403E-2"/>
      </left>
      <right/>
      <top style="thin">
        <color theme="0" tint="-4.9989318521683403E-2"/>
      </top>
      <bottom style="thin">
        <color theme="0" tint="-4.9989318521683403E-2"/>
      </bottom>
      <diagonal/>
    </border>
    <border>
      <left style="thin">
        <color theme="0"/>
      </left>
      <right/>
      <top/>
      <bottom/>
      <diagonal/>
    </border>
    <border>
      <left/>
      <right/>
      <top/>
      <bottom style="thin">
        <color theme="0" tint="-4.9989318521683403E-2"/>
      </bottom>
      <diagonal/>
    </border>
    <border>
      <left style="thin">
        <color theme="0" tint="-4.9989318521683403E-2"/>
      </left>
      <right/>
      <top style="thin">
        <color theme="0" tint="-4.9989318521683403E-2"/>
      </top>
      <bottom/>
      <diagonal/>
    </border>
    <border>
      <left style="thin">
        <color theme="0" tint="-4.9989318521683403E-2"/>
      </left>
      <right style="thin">
        <color theme="0" tint="-4.9989318521683403E-2"/>
      </right>
      <top/>
      <bottom style="thin">
        <color theme="0" tint="-4.9989318521683403E-2"/>
      </bottom>
      <diagonal/>
    </border>
    <border>
      <left style="thin">
        <color theme="9" tint="0.39997558519241921"/>
      </left>
      <right/>
      <top style="thin">
        <color theme="9" tint="0.39997558519241921"/>
      </top>
      <bottom/>
      <diagonal/>
    </border>
    <border>
      <left style="thin">
        <color theme="0" tint="-4.9989318521683403E-2"/>
      </left>
      <right/>
      <top style="thin">
        <color theme="9" tint="0.39997558519241921"/>
      </top>
      <bottom/>
      <diagonal/>
    </border>
    <border>
      <left style="thin">
        <color theme="0" tint="-4.9989318521683403E-2"/>
      </left>
      <right style="thin">
        <color theme="9" tint="0.39997558519241921"/>
      </right>
      <top style="thin">
        <color theme="9" tint="0.39997558519241921"/>
      </top>
      <bottom/>
      <diagonal/>
    </border>
    <border>
      <left style="thin">
        <color theme="9" tint="0.39997558519241921"/>
      </left>
      <right/>
      <top style="thin">
        <color theme="9" tint="0.39997558519241921"/>
      </top>
      <bottom style="thin">
        <color theme="0" tint="-4.9989318521683403E-2"/>
      </bottom>
      <diagonal/>
    </border>
    <border>
      <left/>
      <right/>
      <top style="thin">
        <color theme="4" tint="0.39997558519241921"/>
      </top>
      <bottom/>
      <diagonal/>
    </border>
    <border>
      <left/>
      <right/>
      <top style="thin">
        <color theme="0" tint="-4.9989318521683403E-2"/>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medium">
        <color theme="0" tint="-0.14996795556505021"/>
      </left>
      <right/>
      <top/>
      <bottom/>
      <diagonal/>
    </border>
    <border>
      <left style="thin">
        <color theme="0" tint="-4.9989318521683403E-2"/>
      </left>
      <right/>
      <top/>
      <bottom/>
      <diagonal/>
    </border>
    <border>
      <left/>
      <right/>
      <top/>
      <bottom style="thin">
        <color theme="9" tint="0.39997558519241921"/>
      </bottom>
      <diagonal/>
    </border>
    <border>
      <left style="thin">
        <color theme="9" tint="0.39997558519241921"/>
      </left>
      <right/>
      <top/>
      <bottom/>
      <diagonal/>
    </border>
    <border>
      <left style="thin">
        <color theme="0" tint="-4.9989318521683403E-2"/>
      </left>
      <right style="thin">
        <color theme="9" tint="0.39997558519241921"/>
      </right>
      <top/>
      <bottom/>
      <diagonal/>
    </border>
    <border>
      <left style="thin">
        <color theme="0" tint="-4.9989318521683403E-2"/>
      </left>
      <right style="thin">
        <color theme="0" tint="-4.9989318521683403E-2"/>
      </right>
      <top/>
      <bottom/>
      <diagonal/>
    </border>
    <border>
      <left style="thick">
        <color auto="1"/>
      </left>
      <right/>
      <top/>
      <bottom/>
      <diagonal/>
    </border>
    <border>
      <left style="medium">
        <color theme="0" tint="-4.9989318521683403E-2"/>
      </left>
      <right style="medium">
        <color theme="0" tint="-4.9989318521683403E-2"/>
      </right>
      <top style="medium">
        <color theme="0" tint="-4.9989318521683403E-2"/>
      </top>
      <bottom style="medium">
        <color theme="0" tint="-4.9989318521683403E-2"/>
      </bottom>
      <diagonal/>
    </border>
    <border>
      <left/>
      <right/>
      <top/>
      <bottom style="thin">
        <color theme="4"/>
      </bottom>
      <diagonal/>
    </border>
    <border>
      <left/>
      <right style="thin">
        <color theme="0" tint="-4.9989318521683403E-2"/>
      </right>
      <top/>
      <bottom style="thin">
        <color theme="0" tint="-4.9989318521683403E-2"/>
      </bottom>
      <diagonal/>
    </border>
    <border>
      <left/>
      <right style="thin">
        <color theme="0"/>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left>
      <right style="thin">
        <color theme="0"/>
      </right>
      <top style="thin">
        <color theme="0"/>
      </top>
      <bottom/>
      <diagonal/>
    </border>
  </borders>
  <cellStyleXfs count="1">
    <xf numFmtId="0" fontId="0" fillId="0" borderId="0"/>
  </cellStyleXfs>
  <cellXfs count="448">
    <xf numFmtId="0" fontId="0" fillId="0" borderId="0" xfId="0"/>
    <xf numFmtId="0" fontId="1" fillId="0" borderId="0" xfId="0" applyFont="1" applyAlignment="1">
      <alignment horizontal="center" vertical="center"/>
    </xf>
    <xf numFmtId="0" fontId="1" fillId="0" borderId="0" xfId="0" applyFont="1" applyAlignment="1">
      <alignment horizontal="center"/>
    </xf>
    <xf numFmtId="0" fontId="1" fillId="0" borderId="0" xfId="0" applyFont="1"/>
    <xf numFmtId="0" fontId="6" fillId="2" borderId="0" xfId="0" applyFont="1" applyFill="1" applyAlignment="1">
      <alignment vertical="center"/>
    </xf>
    <xf numFmtId="165" fontId="8" fillId="2" borderId="0" xfId="0" applyNumberFormat="1" applyFont="1" applyFill="1" applyAlignment="1">
      <alignment horizontal="center" vertical="center"/>
    </xf>
    <xf numFmtId="0" fontId="8" fillId="2" borderId="0" xfId="0" applyFont="1" applyFill="1" applyAlignment="1">
      <alignment horizontal="center" vertical="center"/>
    </xf>
    <xf numFmtId="165" fontId="1" fillId="0" borderId="0" xfId="0" applyNumberFormat="1" applyFont="1" applyAlignment="1">
      <alignment horizontal="center"/>
    </xf>
    <xf numFmtId="0" fontId="1" fillId="3" borderId="0" xfId="0" applyFont="1" applyFill="1"/>
    <xf numFmtId="0" fontId="5" fillId="2" borderId="0" xfId="0" applyFont="1" applyFill="1" applyAlignment="1">
      <alignment vertical="center"/>
    </xf>
    <xf numFmtId="0" fontId="3" fillId="3" borderId="0" xfId="0" applyFont="1" applyFill="1" applyAlignment="1">
      <alignment horizontal="center" vertical="center" wrapText="1"/>
    </xf>
    <xf numFmtId="165" fontId="0" fillId="0" borderId="0" xfId="0" applyNumberFormat="1" applyAlignment="1">
      <alignment horizontal="center"/>
    </xf>
    <xf numFmtId="2" fontId="8" fillId="2" borderId="0" xfId="0" applyNumberFormat="1" applyFont="1" applyFill="1" applyAlignment="1">
      <alignment horizontal="center" vertical="center"/>
    </xf>
    <xf numFmtId="165" fontId="0" fillId="0" borderId="0" xfId="0" applyNumberFormat="1"/>
    <xf numFmtId="0" fontId="0" fillId="3" borderId="0" xfId="0" applyFill="1"/>
    <xf numFmtId="0" fontId="1" fillId="3" borderId="0" xfId="0" applyFont="1" applyFill="1" applyAlignment="1">
      <alignment vertical="center"/>
    </xf>
    <xf numFmtId="165" fontId="2" fillId="0" borderId="0" xfId="0" applyNumberFormat="1" applyFont="1" applyAlignment="1">
      <alignment horizontal="center" vertical="center"/>
    </xf>
    <xf numFmtId="14" fontId="0" fillId="0" borderId="0" xfId="0" applyNumberFormat="1"/>
    <xf numFmtId="14" fontId="0" fillId="0" borderId="0" xfId="0" applyNumberFormat="1" applyAlignment="1">
      <alignment horizontal="center"/>
    </xf>
    <xf numFmtId="0" fontId="1" fillId="0" borderId="0" xfId="0" applyFont="1" applyAlignment="1">
      <alignment vertical="center"/>
    </xf>
    <xf numFmtId="165" fontId="1" fillId="0" borderId="0" xfId="0" applyNumberFormat="1" applyFont="1" applyAlignment="1">
      <alignment vertical="center"/>
    </xf>
    <xf numFmtId="0" fontId="9" fillId="0" borderId="0" xfId="0" applyFont="1" applyAlignment="1">
      <alignment horizontal="center" vertical="center"/>
    </xf>
    <xf numFmtId="0" fontId="7" fillId="0" borderId="0" xfId="0" applyFont="1" applyAlignment="1">
      <alignment horizontal="center" vertical="center"/>
    </xf>
    <xf numFmtId="0" fontId="7" fillId="0" borderId="0" xfId="0" applyFont="1" applyAlignment="1">
      <alignment horizontal="center" vertical="center" wrapText="1"/>
    </xf>
    <xf numFmtId="0" fontId="1" fillId="0" borderId="2" xfId="0" applyFont="1" applyBorder="1" applyAlignment="1">
      <alignment vertical="center"/>
    </xf>
    <xf numFmtId="0" fontId="7" fillId="0" borderId="2" xfId="0" applyFont="1" applyBorder="1" applyAlignment="1">
      <alignment horizontal="center" vertical="center" wrapText="1"/>
    </xf>
    <xf numFmtId="165" fontId="15" fillId="0" borderId="2" xfId="0" applyNumberFormat="1" applyFont="1" applyBorder="1" applyAlignment="1">
      <alignment horizontal="center" vertical="center"/>
    </xf>
    <xf numFmtId="0" fontId="1" fillId="0" borderId="2" xfId="0" applyFont="1" applyBorder="1" applyAlignment="1">
      <alignment horizontal="center" vertical="center"/>
    </xf>
    <xf numFmtId="0" fontId="7" fillId="0" borderId="2" xfId="0" applyFont="1" applyBorder="1" applyAlignment="1">
      <alignment horizontal="center" vertical="center"/>
    </xf>
    <xf numFmtId="0" fontId="9" fillId="0" borderId="0" xfId="0" applyFont="1" applyAlignment="1">
      <alignment vertical="center"/>
    </xf>
    <xf numFmtId="165" fontId="9" fillId="0" borderId="0" xfId="0" applyNumberFormat="1" applyFont="1" applyAlignment="1">
      <alignment horizontal="center" vertical="center"/>
    </xf>
    <xf numFmtId="0" fontId="3" fillId="2" borderId="0" xfId="0" applyFont="1" applyFill="1" applyAlignment="1">
      <alignment horizontal="center" vertical="center" wrapText="1"/>
    </xf>
    <xf numFmtId="165" fontId="3" fillId="2" borderId="0" xfId="0" applyNumberFormat="1" applyFont="1" applyFill="1" applyAlignment="1">
      <alignment horizontal="center" vertical="center" wrapText="1"/>
    </xf>
    <xf numFmtId="0" fontId="10" fillId="0" borderId="0" xfId="0" applyFont="1" applyAlignment="1">
      <alignment horizontal="center" vertical="center" wrapText="1"/>
    </xf>
    <xf numFmtId="165" fontId="1" fillId="6" borderId="0" xfId="0" applyNumberFormat="1" applyFont="1" applyFill="1" applyAlignment="1">
      <alignment horizontal="center" vertical="center"/>
    </xf>
    <xf numFmtId="165" fontId="1" fillId="7" borderId="0" xfId="0" applyNumberFormat="1" applyFont="1" applyFill="1" applyAlignment="1">
      <alignment horizontal="center" vertical="center"/>
    </xf>
    <xf numFmtId="165" fontId="7" fillId="0" borderId="0" xfId="0" applyNumberFormat="1" applyFont="1" applyAlignment="1">
      <alignment vertical="center"/>
    </xf>
    <xf numFmtId="165" fontId="7" fillId="7" borderId="0" xfId="0" applyNumberFormat="1" applyFont="1" applyFill="1" applyAlignment="1">
      <alignment horizontal="center" vertical="center"/>
    </xf>
    <xf numFmtId="165" fontId="13" fillId="6" borderId="0" xfId="0" applyNumberFormat="1" applyFont="1" applyFill="1" applyAlignment="1">
      <alignment horizontal="center" vertical="center"/>
    </xf>
    <xf numFmtId="0" fontId="15" fillId="0" borderId="2" xfId="0" applyFont="1" applyBorder="1" applyAlignment="1">
      <alignment horizontal="center" vertical="center"/>
    </xf>
    <xf numFmtId="165" fontId="13" fillId="4" borderId="1" xfId="0" applyNumberFormat="1" applyFont="1" applyFill="1" applyBorder="1" applyAlignment="1">
      <alignment horizontal="center" vertical="center"/>
    </xf>
    <xf numFmtId="165" fontId="1" fillId="7" borderId="1" xfId="0" applyNumberFormat="1" applyFont="1" applyFill="1" applyBorder="1" applyAlignment="1">
      <alignment horizontal="center" vertical="center"/>
    </xf>
    <xf numFmtId="0" fontId="16" fillId="0" borderId="0" xfId="0" applyFont="1" applyAlignment="1">
      <alignment horizontal="center"/>
    </xf>
    <xf numFmtId="0" fontId="16" fillId="3" borderId="0" xfId="0" applyFont="1" applyFill="1" applyAlignment="1">
      <alignment horizont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165" fontId="13" fillId="7" borderId="1" xfId="0" applyNumberFormat="1" applyFont="1" applyFill="1" applyBorder="1" applyAlignment="1">
      <alignment horizontal="center" vertical="center"/>
    </xf>
    <xf numFmtId="0" fontId="7" fillId="0" borderId="0" xfId="0" applyFont="1" applyAlignment="1">
      <alignment vertical="center" wrapText="1"/>
    </xf>
    <xf numFmtId="0" fontId="9" fillId="0" borderId="0" xfId="0" applyFont="1" applyAlignment="1">
      <alignment horizontal="center" vertical="center" wrapText="1"/>
    </xf>
    <xf numFmtId="165" fontId="15" fillId="0" borderId="2" xfId="0" applyNumberFormat="1" applyFont="1" applyBorder="1" applyAlignment="1">
      <alignment horizontal="center" vertical="center" wrapText="1"/>
    </xf>
    <xf numFmtId="14" fontId="7" fillId="0" borderId="0" xfId="0" applyNumberFormat="1" applyFont="1" applyAlignment="1">
      <alignment horizontal="center" vertical="center"/>
    </xf>
    <xf numFmtId="14" fontId="12" fillId="0" borderId="3" xfId="0" applyNumberFormat="1" applyFont="1" applyBorder="1" applyAlignment="1">
      <alignment horizontal="center" vertical="center"/>
    </xf>
    <xf numFmtId="0" fontId="0" fillId="0" borderId="0" xfId="0" applyAlignment="1">
      <alignment horizontal="center"/>
    </xf>
    <xf numFmtId="165" fontId="9" fillId="0" borderId="0" xfId="0" applyNumberFormat="1" applyFont="1" applyAlignment="1">
      <alignment vertical="center"/>
    </xf>
    <xf numFmtId="165" fontId="15" fillId="6" borderId="0" xfId="0" applyNumberFormat="1" applyFont="1" applyFill="1" applyAlignment="1">
      <alignment horizontal="center" vertical="center"/>
    </xf>
    <xf numFmtId="165" fontId="9" fillId="6" borderId="0" xfId="0" applyNumberFormat="1" applyFont="1" applyFill="1" applyAlignment="1">
      <alignment horizontal="center" vertical="center"/>
    </xf>
    <xf numFmtId="165" fontId="1" fillId="0" borderId="0" xfId="0" applyNumberFormat="1" applyFont="1" applyAlignment="1">
      <alignment horizontal="center" vertical="center"/>
    </xf>
    <xf numFmtId="0" fontId="9" fillId="0" borderId="4" xfId="0" applyFont="1" applyBorder="1" applyAlignment="1">
      <alignment horizontal="center" vertical="center"/>
    </xf>
    <xf numFmtId="2" fontId="2" fillId="0" borderId="0" xfId="0" applyNumberFormat="1" applyFont="1" applyAlignment="1">
      <alignment horizontal="center" vertical="center"/>
    </xf>
    <xf numFmtId="2" fontId="3" fillId="2" borderId="0" xfId="0" applyNumberFormat="1" applyFont="1" applyFill="1" applyAlignment="1">
      <alignment horizontal="center" vertical="center" wrapText="1"/>
    </xf>
    <xf numFmtId="2" fontId="2" fillId="5" borderId="0" xfId="0" applyNumberFormat="1" applyFont="1" applyFill="1" applyAlignment="1">
      <alignment horizontal="center" vertical="center"/>
    </xf>
    <xf numFmtId="14" fontId="12" fillId="0" borderId="5" xfId="0" applyNumberFormat="1" applyFont="1" applyBorder="1" applyAlignment="1">
      <alignment horizontal="center" vertical="center"/>
    </xf>
    <xf numFmtId="165" fontId="1" fillId="0" borderId="0" xfId="0" applyNumberFormat="1" applyFont="1"/>
    <xf numFmtId="0" fontId="2" fillId="0" borderId="0" xfId="0" applyFont="1" applyAlignment="1">
      <alignment horizontal="center" vertical="center"/>
    </xf>
    <xf numFmtId="0" fontId="14" fillId="0" borderId="0" xfId="0" applyFont="1" applyAlignment="1">
      <alignment horizontal="center" vertical="center"/>
    </xf>
    <xf numFmtId="165" fontId="9" fillId="0" borderId="0" xfId="0" applyNumberFormat="1" applyFont="1" applyAlignment="1">
      <alignment horizontal="center" vertical="center" wrapText="1"/>
    </xf>
    <xf numFmtId="0" fontId="1" fillId="0" borderId="2" xfId="0" applyFont="1" applyBorder="1" applyAlignment="1">
      <alignment horizontal="center" vertical="center" wrapText="1"/>
    </xf>
    <xf numFmtId="0" fontId="14" fillId="0" borderId="0" xfId="0" applyFont="1"/>
    <xf numFmtId="0" fontId="8" fillId="0" borderId="0" xfId="0" applyFont="1" applyAlignment="1">
      <alignment horizontal="center" vertical="center"/>
    </xf>
    <xf numFmtId="165" fontId="8" fillId="0" borderId="0" xfId="0" applyNumberFormat="1" applyFont="1" applyAlignment="1">
      <alignment horizontal="center" vertical="center"/>
    </xf>
    <xf numFmtId="2" fontId="8" fillId="0" borderId="0" xfId="0" applyNumberFormat="1" applyFont="1" applyAlignment="1">
      <alignment horizontal="center" vertical="center"/>
    </xf>
    <xf numFmtId="0" fontId="6" fillId="3" borderId="0" xfId="0" applyFont="1" applyFill="1" applyAlignment="1">
      <alignment vertical="center"/>
    </xf>
    <xf numFmtId="0" fontId="5" fillId="3" borderId="0" xfId="0" applyFont="1" applyFill="1" applyAlignment="1">
      <alignment vertical="center"/>
    </xf>
    <xf numFmtId="0" fontId="0" fillId="3" borderId="0" xfId="0" applyFill="1" applyAlignment="1">
      <alignment horizontal="center"/>
    </xf>
    <xf numFmtId="0" fontId="5" fillId="3" borderId="0" xfId="0" applyFont="1" applyFill="1" applyAlignment="1">
      <alignment horizontal="right" vertical="center"/>
    </xf>
    <xf numFmtId="0" fontId="18" fillId="3" borderId="0" xfId="0" applyFont="1" applyFill="1" applyAlignment="1">
      <alignment horizontal="center" vertical="center"/>
    </xf>
    <xf numFmtId="0" fontId="14" fillId="3" borderId="0" xfId="0" applyFont="1" applyFill="1"/>
    <xf numFmtId="0" fontId="5" fillId="8" borderId="0" xfId="0" applyFont="1" applyFill="1" applyAlignment="1">
      <alignment horizontal="right" vertical="center"/>
    </xf>
    <xf numFmtId="0" fontId="5" fillId="8" borderId="0" xfId="0" applyFont="1" applyFill="1" applyAlignment="1">
      <alignment vertical="center"/>
    </xf>
    <xf numFmtId="165" fontId="13" fillId="3" borderId="0" xfId="0" applyNumberFormat="1" applyFont="1" applyFill="1"/>
    <xf numFmtId="0" fontId="13" fillId="3" borderId="0" xfId="0" applyFont="1" applyFill="1" applyAlignment="1">
      <alignment horizontal="left"/>
    </xf>
    <xf numFmtId="0" fontId="13" fillId="3" borderId="0" xfId="0" applyFont="1" applyFill="1"/>
    <xf numFmtId="0" fontId="13" fillId="3" borderId="0" xfId="0" applyFont="1" applyFill="1" applyAlignment="1">
      <alignment horizontal="center"/>
    </xf>
    <xf numFmtId="0" fontId="13" fillId="0" borderId="0" xfId="0" applyFont="1"/>
    <xf numFmtId="0" fontId="13" fillId="0" borderId="0" xfId="0" applyFont="1" applyAlignment="1">
      <alignment horizontal="left"/>
    </xf>
    <xf numFmtId="0" fontId="19" fillId="8" borderId="0" xfId="0" applyFont="1" applyFill="1" applyAlignment="1">
      <alignment horizontal="left" vertical="center"/>
    </xf>
    <xf numFmtId="0" fontId="19" fillId="8" borderId="0" xfId="0" applyFont="1" applyFill="1" applyAlignment="1">
      <alignment vertical="center"/>
    </xf>
    <xf numFmtId="0" fontId="19" fillId="3" borderId="0" xfId="0" applyFont="1" applyFill="1" applyAlignment="1">
      <alignment horizontal="left" vertical="center"/>
    </xf>
    <xf numFmtId="0" fontId="19" fillId="3" borderId="0" xfId="0" applyFont="1" applyFill="1" applyAlignment="1">
      <alignment vertical="center"/>
    </xf>
    <xf numFmtId="0" fontId="19" fillId="9" borderId="0" xfId="0" applyFont="1" applyFill="1" applyAlignment="1">
      <alignment vertical="center"/>
    </xf>
    <xf numFmtId="0" fontId="9" fillId="3" borderId="0" xfId="0" applyFont="1" applyFill="1" applyAlignment="1">
      <alignment horizontal="center"/>
    </xf>
    <xf numFmtId="0" fontId="9" fillId="0" borderId="0" xfId="0" applyFont="1" applyAlignment="1">
      <alignment horizontal="center"/>
    </xf>
    <xf numFmtId="0" fontId="20" fillId="0" borderId="2" xfId="0" applyFont="1" applyBorder="1" applyAlignment="1">
      <alignment horizontal="center" vertical="center"/>
    </xf>
    <xf numFmtId="14" fontId="21" fillId="10" borderId="0" xfId="0" applyNumberFormat="1" applyFont="1" applyFill="1" applyAlignment="1">
      <alignment horizontal="center" vertical="center"/>
    </xf>
    <xf numFmtId="0" fontId="21" fillId="10" borderId="0" xfId="0" applyFont="1" applyFill="1" applyAlignment="1">
      <alignment horizontal="center" vertical="center"/>
    </xf>
    <xf numFmtId="165" fontId="21" fillId="10" borderId="0" xfId="0" applyNumberFormat="1" applyFont="1" applyFill="1" applyAlignment="1">
      <alignment horizontal="center" vertical="center"/>
    </xf>
    <xf numFmtId="0" fontId="7" fillId="0" borderId="4" xfId="0" applyFont="1" applyBorder="1" applyAlignment="1">
      <alignment horizontal="center" vertical="center" wrapText="1"/>
    </xf>
    <xf numFmtId="0" fontId="1" fillId="0" borderId="4" xfId="0" applyFont="1" applyBorder="1" applyAlignment="1">
      <alignment horizontal="center" vertical="center"/>
    </xf>
    <xf numFmtId="0" fontId="7" fillId="0" borderId="4" xfId="0" applyFont="1" applyBorder="1" applyAlignment="1">
      <alignment horizontal="center" vertical="center"/>
    </xf>
    <xf numFmtId="165" fontId="15" fillId="0" borderId="4" xfId="0" applyNumberFormat="1" applyFont="1" applyBorder="1" applyAlignment="1">
      <alignment horizontal="center" vertical="center"/>
    </xf>
    <xf numFmtId="0" fontId="15" fillId="0" borderId="4" xfId="0" applyFont="1" applyBorder="1" applyAlignment="1">
      <alignment horizontal="center" vertical="center"/>
    </xf>
    <xf numFmtId="0" fontId="12" fillId="0" borderId="7" xfId="0" applyFont="1" applyBorder="1" applyAlignment="1">
      <alignment horizontal="center" vertical="center"/>
    </xf>
    <xf numFmtId="0" fontId="7" fillId="0" borderId="8" xfId="0" applyFont="1" applyBorder="1" applyAlignment="1">
      <alignment horizontal="center" vertical="center"/>
    </xf>
    <xf numFmtId="165" fontId="15" fillId="0" borderId="4" xfId="0" applyNumberFormat="1" applyFont="1" applyBorder="1" applyAlignment="1">
      <alignment horizontal="center" vertical="center" wrapText="1"/>
    </xf>
    <xf numFmtId="165" fontId="1" fillId="3" borderId="0" xfId="0" applyNumberFormat="1" applyFont="1" applyFill="1" applyAlignment="1">
      <alignment vertical="center"/>
    </xf>
    <xf numFmtId="2" fontId="2" fillId="3" borderId="0" xfId="0" applyNumberFormat="1" applyFont="1" applyFill="1" applyAlignment="1">
      <alignment vertical="center"/>
    </xf>
    <xf numFmtId="0" fontId="9" fillId="3" borderId="0" xfId="0" applyFont="1" applyFill="1" applyAlignment="1">
      <alignment vertical="center"/>
    </xf>
    <xf numFmtId="0" fontId="7" fillId="3" borderId="0" xfId="0" applyFont="1" applyFill="1" applyAlignment="1">
      <alignment horizontal="center" vertical="center"/>
    </xf>
    <xf numFmtId="14" fontId="1" fillId="3" borderId="0" xfId="0" applyNumberFormat="1" applyFont="1" applyFill="1" applyAlignment="1">
      <alignment vertical="center"/>
    </xf>
    <xf numFmtId="0" fontId="7" fillId="3" borderId="0" xfId="0" applyFont="1" applyFill="1" applyAlignment="1">
      <alignment horizontal="center" vertical="center" wrapText="1"/>
    </xf>
    <xf numFmtId="165" fontId="9" fillId="3" borderId="0" xfId="0" applyNumberFormat="1" applyFont="1" applyFill="1" applyAlignment="1">
      <alignment horizontal="center" vertical="center" wrapText="1"/>
    </xf>
    <xf numFmtId="0" fontId="1" fillId="3" borderId="0" xfId="0" applyFont="1" applyFill="1" applyAlignment="1">
      <alignment horizontal="center" vertical="center"/>
    </xf>
    <xf numFmtId="0" fontId="9" fillId="3" borderId="0" xfId="0" applyFont="1" applyFill="1" applyAlignment="1">
      <alignment horizontal="center" vertical="center" wrapText="1"/>
    </xf>
    <xf numFmtId="0" fontId="7" fillId="3" borderId="0" xfId="0" applyFont="1" applyFill="1" applyAlignment="1">
      <alignment vertical="center" wrapText="1"/>
    </xf>
    <xf numFmtId="165" fontId="9" fillId="3" borderId="0" xfId="0" applyNumberFormat="1" applyFont="1" applyFill="1" applyAlignment="1">
      <alignment horizontal="center" vertical="center"/>
    </xf>
    <xf numFmtId="0" fontId="9" fillId="3" borderId="0" xfId="0" applyFont="1" applyFill="1" applyAlignment="1">
      <alignment horizontal="center" vertical="center"/>
    </xf>
    <xf numFmtId="165" fontId="9" fillId="3" borderId="0" xfId="0" applyNumberFormat="1" applyFont="1" applyFill="1" applyAlignment="1">
      <alignment vertical="center"/>
    </xf>
    <xf numFmtId="165" fontId="7" fillId="3" borderId="0" xfId="0" applyNumberFormat="1" applyFont="1" applyFill="1" applyAlignment="1">
      <alignment vertical="center"/>
    </xf>
    <xf numFmtId="2" fontId="2" fillId="3" borderId="0" xfId="0" applyNumberFormat="1" applyFont="1" applyFill="1" applyAlignment="1">
      <alignment horizontal="center" vertical="center"/>
    </xf>
    <xf numFmtId="0" fontId="7" fillId="3" borderId="0" xfId="0" applyFont="1" applyFill="1" applyAlignment="1">
      <alignment horizontal="right" vertical="center" wrapText="1"/>
    </xf>
    <xf numFmtId="0" fontId="13" fillId="3" borderId="0" xfId="0" applyFont="1" applyFill="1" applyAlignment="1">
      <alignment horizontal="right"/>
    </xf>
    <xf numFmtId="0" fontId="0" fillId="0" borderId="0" xfId="0" pivotButton="1"/>
    <xf numFmtId="0" fontId="0" fillId="0" borderId="0" xfId="0" applyAlignment="1">
      <alignment horizontal="left"/>
    </xf>
    <xf numFmtId="0" fontId="1" fillId="3" borderId="0" xfId="0" applyFont="1" applyFill="1" applyAlignment="1">
      <alignment horizontal="center" vertical="center" wrapText="1"/>
    </xf>
    <xf numFmtId="0" fontId="0" fillId="0" borderId="0" xfId="0" applyAlignment="1">
      <alignment horizontal="center" wrapText="1"/>
    </xf>
    <xf numFmtId="0" fontId="25" fillId="3" borderId="0" xfId="0" applyFont="1" applyFill="1" applyAlignment="1">
      <alignment horizontal="center" vertical="center" wrapText="1"/>
    </xf>
    <xf numFmtId="0" fontId="3" fillId="2" borderId="0" xfId="0" applyFont="1" applyFill="1" applyAlignment="1">
      <alignment horizontal="center" vertical="top" wrapText="1"/>
    </xf>
    <xf numFmtId="165" fontId="1" fillId="6" borderId="1" xfId="0" applyNumberFormat="1" applyFont="1" applyFill="1" applyBorder="1" applyAlignment="1">
      <alignment horizontal="center" vertical="center"/>
    </xf>
    <xf numFmtId="165" fontId="26" fillId="5" borderId="0" xfId="0" applyNumberFormat="1" applyFont="1" applyFill="1" applyAlignment="1">
      <alignment horizontal="center" vertical="center"/>
    </xf>
    <xf numFmtId="2" fontId="26" fillId="5" borderId="0" xfId="0" applyNumberFormat="1" applyFont="1" applyFill="1" applyAlignment="1">
      <alignment horizontal="center" vertical="center"/>
    </xf>
    <xf numFmtId="0" fontId="1" fillId="0" borderId="4" xfId="0" applyFont="1" applyBorder="1" applyAlignment="1">
      <alignment horizontal="center" vertical="center" wrapText="1"/>
    </xf>
    <xf numFmtId="0" fontId="27" fillId="0" borderId="2" xfId="0" applyFont="1" applyBorder="1" applyAlignment="1">
      <alignment horizontal="center" vertical="center"/>
    </xf>
    <xf numFmtId="14" fontId="1" fillId="0" borderId="0" xfId="0" applyNumberFormat="1" applyFont="1" applyAlignment="1">
      <alignment horizontal="center" vertical="center"/>
    </xf>
    <xf numFmtId="0" fontId="28" fillId="0" borderId="0" xfId="0" applyFont="1" applyAlignment="1">
      <alignment horizontal="center" vertical="center" wrapText="1"/>
    </xf>
    <xf numFmtId="0" fontId="0" fillId="0" borderId="0" xfId="0" applyAlignment="1">
      <alignment vertical="center" wrapText="1"/>
    </xf>
    <xf numFmtId="0" fontId="22" fillId="11" borderId="13" xfId="0" applyFont="1" applyFill="1" applyBorder="1" applyAlignment="1">
      <alignment horizontal="center"/>
    </xf>
    <xf numFmtId="0" fontId="22" fillId="11" borderId="14" xfId="0" applyFont="1" applyFill="1" applyBorder="1"/>
    <xf numFmtId="14" fontId="22" fillId="11" borderId="14" xfId="0" applyNumberFormat="1" applyFont="1" applyFill="1" applyBorder="1" applyAlignment="1">
      <alignment horizontal="center"/>
    </xf>
    <xf numFmtId="14" fontId="22" fillId="11" borderId="15" xfId="0" applyNumberFormat="1" applyFont="1" applyFill="1" applyBorder="1" applyAlignment="1">
      <alignment horizontal="center"/>
    </xf>
    <xf numFmtId="0" fontId="0" fillId="12" borderId="16" xfId="0" applyFill="1" applyBorder="1" applyAlignment="1">
      <alignment horizontal="center"/>
    </xf>
    <xf numFmtId="0" fontId="0" fillId="13" borderId="11" xfId="0" applyFill="1" applyBorder="1" applyAlignment="1">
      <alignment horizontal="center"/>
    </xf>
    <xf numFmtId="0" fontId="30" fillId="0" borderId="2" xfId="0" applyFont="1" applyBorder="1" applyAlignment="1">
      <alignment horizontal="center" vertical="center"/>
    </xf>
    <xf numFmtId="0" fontId="31" fillId="0" borderId="3" xfId="0" applyFont="1" applyBorder="1" applyAlignment="1">
      <alignment horizontal="center" vertical="center"/>
    </xf>
    <xf numFmtId="14" fontId="31" fillId="0" borderId="3" xfId="0" applyNumberFormat="1" applyFont="1" applyBorder="1" applyAlignment="1">
      <alignment horizontal="center" vertical="center"/>
    </xf>
    <xf numFmtId="165" fontId="32" fillId="0" borderId="0" xfId="0" applyNumberFormat="1" applyFont="1" applyAlignment="1">
      <alignment horizontal="center" vertical="center" wrapText="1"/>
    </xf>
    <xf numFmtId="165" fontId="32" fillId="3" borderId="0" xfId="0" applyNumberFormat="1" applyFont="1" applyFill="1" applyAlignment="1">
      <alignment horizontal="center" vertical="center" wrapText="1"/>
    </xf>
    <xf numFmtId="0" fontId="27" fillId="0" borderId="0" xfId="0" applyFont="1" applyAlignment="1">
      <alignment horizontal="center" vertical="center"/>
    </xf>
    <xf numFmtId="0" fontId="27" fillId="3" borderId="0" xfId="0" applyFont="1" applyFill="1" applyAlignment="1">
      <alignment horizontal="center" vertical="center"/>
    </xf>
    <xf numFmtId="0" fontId="31" fillId="0" borderId="2" xfId="0" applyFont="1" applyBorder="1" applyAlignment="1">
      <alignment horizontal="center" vertical="center"/>
    </xf>
    <xf numFmtId="0" fontId="1" fillId="0" borderId="6" xfId="0" applyFont="1" applyBorder="1" applyAlignment="1">
      <alignment vertical="center"/>
    </xf>
    <xf numFmtId="0" fontId="1" fillId="3" borderId="9" xfId="0" applyFont="1" applyFill="1" applyBorder="1" applyAlignment="1">
      <alignment vertical="center"/>
    </xf>
    <xf numFmtId="0" fontId="1" fillId="0" borderId="0" xfId="0" applyFont="1" applyAlignment="1">
      <alignment wrapText="1"/>
    </xf>
    <xf numFmtId="0" fontId="5" fillId="2" borderId="0" xfId="0" applyFont="1" applyFill="1" applyAlignment="1">
      <alignment vertical="center" wrapText="1"/>
    </xf>
    <xf numFmtId="0" fontId="5" fillId="3" borderId="0" xfId="0" applyFont="1" applyFill="1" applyAlignment="1">
      <alignment vertical="center" wrapText="1"/>
    </xf>
    <xf numFmtId="0" fontId="13" fillId="3" borderId="0" xfId="0" applyFont="1" applyFill="1" applyAlignment="1">
      <alignment horizontal="left" wrapText="1"/>
    </xf>
    <xf numFmtId="165" fontId="13" fillId="3" borderId="0" xfId="0" applyNumberFormat="1" applyFont="1" applyFill="1" applyAlignment="1">
      <alignment wrapText="1"/>
    </xf>
    <xf numFmtId="0" fontId="13" fillId="3" borderId="0" xfId="0" applyFont="1" applyFill="1" applyAlignment="1">
      <alignment wrapText="1"/>
    </xf>
    <xf numFmtId="0" fontId="1" fillId="0" borderId="0" xfId="0" applyFont="1" applyAlignment="1">
      <alignment horizontal="right"/>
    </xf>
    <xf numFmtId="0" fontId="2" fillId="3" borderId="0" xfId="0" applyFont="1" applyFill="1"/>
    <xf numFmtId="0" fontId="1" fillId="3" borderId="0" xfId="0" applyFont="1" applyFill="1" applyAlignment="1">
      <alignment horizontal="right"/>
    </xf>
    <xf numFmtId="0" fontId="1" fillId="3" borderId="0" xfId="0" applyFont="1" applyFill="1" applyAlignment="1">
      <alignment horizontal="center"/>
    </xf>
    <xf numFmtId="0" fontId="0" fillId="3" borderId="0" xfId="0" applyFill="1" applyAlignment="1">
      <alignment vertical="top"/>
    </xf>
    <xf numFmtId="0" fontId="1" fillId="3" borderId="0" xfId="0" applyFont="1" applyFill="1" applyAlignment="1">
      <alignment horizontal="right" vertical="top"/>
    </xf>
    <xf numFmtId="0" fontId="13" fillId="3" borderId="0" xfId="0" applyFont="1" applyFill="1" applyAlignment="1">
      <alignment vertical="top"/>
    </xf>
    <xf numFmtId="0" fontId="0" fillId="0" borderId="0" xfId="0" applyAlignment="1">
      <alignment vertical="top"/>
    </xf>
    <xf numFmtId="0" fontId="1" fillId="3" borderId="0" xfId="0" applyFont="1" applyFill="1" applyAlignment="1">
      <alignment vertical="top"/>
    </xf>
    <xf numFmtId="0" fontId="13" fillId="3" borderId="0" xfId="0" applyFont="1" applyFill="1" applyAlignment="1">
      <alignment horizontal="left" vertical="top"/>
    </xf>
    <xf numFmtId="0" fontId="34" fillId="3" borderId="0" xfId="0" applyFont="1" applyFill="1" applyAlignment="1">
      <alignment horizontal="right" vertical="top"/>
    </xf>
    <xf numFmtId="0" fontId="1" fillId="3" borderId="0" xfId="0" applyFont="1" applyFill="1" applyAlignment="1">
      <alignment vertical="top" wrapText="1"/>
    </xf>
    <xf numFmtId="165" fontId="1" fillId="3" borderId="0" xfId="0" applyNumberFormat="1" applyFont="1" applyFill="1" applyAlignment="1">
      <alignment vertical="top" wrapText="1"/>
    </xf>
    <xf numFmtId="0" fontId="33" fillId="3" borderId="0" xfId="0" applyFont="1" applyFill="1" applyAlignment="1">
      <alignment vertical="center" wrapText="1"/>
    </xf>
    <xf numFmtId="0" fontId="9" fillId="3" borderId="0" xfId="0" applyFont="1" applyFill="1" applyAlignment="1">
      <alignment vertical="center" wrapText="1"/>
    </xf>
    <xf numFmtId="0" fontId="4" fillId="3" borderId="0" xfId="0" applyFont="1" applyFill="1" applyAlignment="1">
      <alignment horizontal="right" vertical="center"/>
    </xf>
    <xf numFmtId="0" fontId="2" fillId="3" borderId="0" xfId="0" applyFont="1" applyFill="1" applyAlignment="1">
      <alignment horizontal="right" vertical="center"/>
    </xf>
    <xf numFmtId="0" fontId="4" fillId="0" borderId="0" xfId="0" applyFont="1" applyAlignment="1">
      <alignment horizontal="right" vertical="center"/>
    </xf>
    <xf numFmtId="2" fontId="13" fillId="5" borderId="0" xfId="0" applyNumberFormat="1" applyFont="1" applyFill="1" applyAlignment="1">
      <alignment horizontal="center" vertical="center"/>
    </xf>
    <xf numFmtId="0" fontId="37" fillId="2" borderId="0" xfId="0" applyFont="1" applyFill="1" applyAlignment="1">
      <alignment horizontal="center" vertical="center"/>
    </xf>
    <xf numFmtId="0" fontId="37" fillId="3" borderId="0" xfId="0" applyFont="1" applyFill="1" applyAlignment="1">
      <alignment horizontal="center" vertical="center"/>
    </xf>
    <xf numFmtId="0" fontId="12" fillId="3" borderId="0" xfId="0" applyFont="1" applyFill="1" applyAlignment="1">
      <alignment horizontal="center" vertical="top"/>
    </xf>
    <xf numFmtId="0" fontId="12" fillId="0" borderId="0" xfId="0" applyFont="1" applyAlignment="1">
      <alignment horizontal="center"/>
    </xf>
    <xf numFmtId="165" fontId="9" fillId="7" borderId="0" xfId="0" applyNumberFormat="1" applyFont="1" applyFill="1" applyAlignment="1">
      <alignment horizontal="center" vertical="center"/>
    </xf>
    <xf numFmtId="0" fontId="36" fillId="0" borderId="0" xfId="0" applyFont="1" applyAlignment="1">
      <alignment wrapText="1"/>
    </xf>
    <xf numFmtId="0" fontId="36" fillId="0" borderId="0" xfId="0" applyFont="1"/>
    <xf numFmtId="0" fontId="36" fillId="0" borderId="0" xfId="0" applyFont="1" applyAlignment="1">
      <alignment horizontal="left"/>
    </xf>
    <xf numFmtId="0" fontId="1" fillId="3" borderId="0" xfId="0" applyFont="1" applyFill="1" applyAlignment="1">
      <alignment wrapText="1"/>
    </xf>
    <xf numFmtId="0" fontId="12" fillId="3" borderId="0" xfId="0" applyFont="1" applyFill="1" applyAlignment="1">
      <alignment horizontal="center"/>
    </xf>
    <xf numFmtId="0" fontId="4" fillId="3" borderId="19" xfId="0" applyFont="1" applyFill="1" applyBorder="1" applyAlignment="1">
      <alignment horizontal="center" vertical="center"/>
    </xf>
    <xf numFmtId="165" fontId="1" fillId="3" borderId="19" xfId="0" applyNumberFormat="1" applyFont="1" applyFill="1" applyBorder="1" applyAlignment="1">
      <alignment horizontal="center" vertical="center" wrapText="1"/>
    </xf>
    <xf numFmtId="165" fontId="1" fillId="3" borderId="19" xfId="0" applyNumberFormat="1" applyFont="1" applyFill="1" applyBorder="1" applyAlignment="1">
      <alignment horizontal="center" vertical="center"/>
    </xf>
    <xf numFmtId="0" fontId="39" fillId="0" borderId="0" xfId="0" applyFont="1" applyAlignment="1">
      <alignment horizontal="right" vertical="center"/>
    </xf>
    <xf numFmtId="0" fontId="38" fillId="0" borderId="0" xfId="0" applyFont="1" applyAlignment="1">
      <alignment horizontal="center"/>
    </xf>
    <xf numFmtId="0" fontId="40" fillId="0" borderId="0" xfId="0" applyFont="1" applyAlignment="1">
      <alignment horizontal="center"/>
    </xf>
    <xf numFmtId="0" fontId="36" fillId="0" borderId="0" xfId="0" applyFont="1" applyAlignment="1">
      <alignment horizontal="right"/>
    </xf>
    <xf numFmtId="0" fontId="41" fillId="0" borderId="0" xfId="0" applyFont="1" applyAlignment="1">
      <alignment horizontal="left"/>
    </xf>
    <xf numFmtId="0" fontId="41" fillId="0" borderId="0" xfId="0" applyFont="1"/>
    <xf numFmtId="0" fontId="0" fillId="14" borderId="0" xfId="0" applyFill="1"/>
    <xf numFmtId="0" fontId="0" fillId="3" borderId="20" xfId="0" applyFill="1" applyBorder="1"/>
    <xf numFmtId="0" fontId="4" fillId="3" borderId="19" xfId="0" applyFont="1" applyFill="1" applyBorder="1" applyAlignment="1">
      <alignment horizontal="center" vertical="center" wrapText="1"/>
    </xf>
    <xf numFmtId="165" fontId="0" fillId="3" borderId="0" xfId="0" applyNumberFormat="1" applyFill="1"/>
    <xf numFmtId="2" fontId="1" fillId="0" borderId="0" xfId="0" applyNumberFormat="1" applyFont="1" applyAlignment="1">
      <alignment vertical="center"/>
    </xf>
    <xf numFmtId="0" fontId="1" fillId="0" borderId="0" xfId="0" applyFont="1" applyAlignment="1">
      <alignment horizontal="center" vertical="center" wrapText="1"/>
    </xf>
    <xf numFmtId="0" fontId="1" fillId="0" borderId="18" xfId="0" applyFont="1" applyBorder="1" applyAlignment="1">
      <alignment horizontal="center" vertical="center" wrapText="1"/>
    </xf>
    <xf numFmtId="0" fontId="29" fillId="0" borderId="4" xfId="0" applyFont="1" applyBorder="1" applyAlignment="1">
      <alignment horizontal="center" vertical="center"/>
    </xf>
    <xf numFmtId="165" fontId="0" fillId="0" borderId="11" xfId="0" applyNumberFormat="1" applyBorder="1"/>
    <xf numFmtId="165" fontId="0" fillId="0" borderId="4" xfId="0" applyNumberFormat="1" applyBorder="1" applyAlignment="1">
      <alignment horizontal="center"/>
    </xf>
    <xf numFmtId="14" fontId="1" fillId="0" borderId="0" xfId="0" applyNumberFormat="1" applyFont="1" applyAlignment="1">
      <alignment vertical="center"/>
    </xf>
    <xf numFmtId="0" fontId="27" fillId="0" borderId="6" xfId="0" applyFont="1" applyBorder="1" applyAlignment="1">
      <alignment horizontal="center" vertical="center"/>
    </xf>
    <xf numFmtId="0" fontId="26" fillId="0" borderId="0" xfId="0" applyFont="1" applyAlignment="1">
      <alignment horizontal="center" vertical="center"/>
    </xf>
    <xf numFmtId="0" fontId="0" fillId="0" borderId="0" xfId="0" applyAlignment="1">
      <alignment vertical="center"/>
    </xf>
    <xf numFmtId="0" fontId="28" fillId="0" borderId="10" xfId="0" applyFont="1" applyBorder="1" applyAlignment="1">
      <alignment horizontal="center" vertical="center" wrapText="1"/>
    </xf>
    <xf numFmtId="14" fontId="1" fillId="0" borderId="0" xfId="0" applyNumberFormat="1" applyFont="1" applyAlignment="1">
      <alignment horizontal="left" vertical="center"/>
    </xf>
    <xf numFmtId="14" fontId="1" fillId="0" borderId="0" xfId="0" applyNumberFormat="1" applyFont="1" applyAlignment="1">
      <alignment horizontal="center"/>
    </xf>
    <xf numFmtId="0" fontId="3" fillId="15" borderId="0" xfId="0" applyFont="1" applyFill="1" applyAlignment="1">
      <alignment horizontal="center" vertical="center"/>
    </xf>
    <xf numFmtId="14" fontId="3" fillId="15" borderId="0" xfId="0" applyNumberFormat="1" applyFont="1" applyFill="1" applyAlignment="1">
      <alignment horizontal="center" vertical="center"/>
    </xf>
    <xf numFmtId="165" fontId="3" fillId="15" borderId="0" xfId="0" applyNumberFormat="1" applyFont="1" applyFill="1" applyAlignment="1">
      <alignment horizontal="center" vertical="center"/>
    </xf>
    <xf numFmtId="0" fontId="43" fillId="0" borderId="0" xfId="0" applyFont="1"/>
    <xf numFmtId="0" fontId="42" fillId="0" borderId="0" xfId="0" applyFont="1" applyAlignment="1">
      <alignment vertical="center"/>
    </xf>
    <xf numFmtId="14" fontId="4" fillId="0" borderId="0" xfId="0" applyNumberFormat="1" applyFont="1" applyAlignment="1">
      <alignment horizontal="center" vertical="center" wrapText="1"/>
    </xf>
    <xf numFmtId="0" fontId="4" fillId="0" borderId="0" xfId="0" applyFont="1" applyAlignment="1">
      <alignment horizontal="center" vertical="center" wrapText="1"/>
    </xf>
    <xf numFmtId="165" fontId="4" fillId="0" borderId="0" xfId="0" applyNumberFormat="1" applyFont="1" applyAlignment="1">
      <alignment horizontal="center" vertical="center" wrapText="1"/>
    </xf>
    <xf numFmtId="165" fontId="9" fillId="0" borderId="2" xfId="0" applyNumberFormat="1" applyFont="1" applyBorder="1" applyAlignment="1">
      <alignment horizontal="center" vertical="center"/>
    </xf>
    <xf numFmtId="0" fontId="2" fillId="0" borderId="0" xfId="0" applyFont="1" applyAlignment="1">
      <alignment horizontal="center" vertical="top" wrapText="1"/>
    </xf>
    <xf numFmtId="0" fontId="1" fillId="0" borderId="0" xfId="0" applyFont="1" applyAlignment="1">
      <alignment horizontal="center" vertical="top" wrapText="1"/>
    </xf>
    <xf numFmtId="0" fontId="44" fillId="0" borderId="22" xfId="0" applyFont="1" applyBorder="1" applyAlignment="1">
      <alignment vertical="center"/>
    </xf>
    <xf numFmtId="0" fontId="22" fillId="16" borderId="23" xfId="0" applyFont="1" applyFill="1" applyBorder="1" applyAlignment="1">
      <alignment horizontal="center" vertical="center"/>
    </xf>
    <xf numFmtId="14" fontId="22" fillId="16" borderId="21" xfId="0" applyNumberFormat="1" applyFont="1" applyFill="1" applyBorder="1" applyAlignment="1">
      <alignment horizontal="center" vertical="center"/>
    </xf>
    <xf numFmtId="14" fontId="22" fillId="16" borderId="24" xfId="0" applyNumberFormat="1" applyFont="1" applyFill="1" applyBorder="1" applyAlignment="1">
      <alignment horizontal="center" vertical="center"/>
    </xf>
    <xf numFmtId="0" fontId="22" fillId="16" borderId="21" xfId="0" applyFont="1" applyFill="1" applyBorder="1" applyAlignment="1">
      <alignment horizontal="center" vertical="center"/>
    </xf>
    <xf numFmtId="0" fontId="44" fillId="0" borderId="22" xfId="0" applyFont="1" applyBorder="1" applyAlignment="1">
      <alignment horizontal="left" vertical="center"/>
    </xf>
    <xf numFmtId="0" fontId="0" fillId="0" borderId="17" xfId="0" applyBorder="1"/>
    <xf numFmtId="14" fontId="0" fillId="13" borderId="0" xfId="0" applyNumberFormat="1" applyFill="1" applyAlignment="1">
      <alignment horizontal="center"/>
    </xf>
    <xf numFmtId="165" fontId="15" fillId="0" borderId="6" xfId="0" applyNumberFormat="1" applyFont="1" applyBorder="1" applyAlignment="1">
      <alignment horizontal="center" vertical="center"/>
    </xf>
    <xf numFmtId="0" fontId="20" fillId="0" borderId="0" xfId="0" applyFont="1" applyAlignment="1">
      <alignment horizontal="center" vertical="center"/>
    </xf>
    <xf numFmtId="0" fontId="1" fillId="0" borderId="0" xfId="0" applyFont="1" applyAlignment="1">
      <alignment horizontal="left"/>
    </xf>
    <xf numFmtId="0" fontId="5" fillId="2" borderId="0" xfId="0" applyFont="1" applyFill="1" applyAlignment="1">
      <alignment horizontal="left" vertical="center"/>
    </xf>
    <xf numFmtId="0" fontId="5" fillId="3" borderId="0" xfId="0" applyFont="1" applyFill="1" applyAlignment="1">
      <alignment horizontal="left" vertical="center"/>
    </xf>
    <xf numFmtId="0" fontId="35" fillId="3" borderId="0" xfId="0" applyFont="1" applyFill="1" applyAlignment="1">
      <alignment wrapText="1"/>
    </xf>
    <xf numFmtId="0" fontId="5" fillId="3" borderId="20" xfId="0" applyFont="1" applyFill="1" applyBorder="1" applyAlignment="1">
      <alignment horizontal="right" vertical="center"/>
    </xf>
    <xf numFmtId="0" fontId="5" fillId="3" borderId="20" xfId="0" applyFont="1" applyFill="1" applyBorder="1" applyAlignment="1">
      <alignment vertical="center"/>
    </xf>
    <xf numFmtId="0" fontId="1" fillId="3" borderId="0" xfId="0" applyFont="1" applyFill="1" applyAlignment="1">
      <alignment horizontal="left"/>
    </xf>
    <xf numFmtId="0" fontId="34" fillId="3" borderId="20" xfId="0" applyFont="1" applyFill="1" applyBorder="1" applyAlignment="1">
      <alignment horizontal="right" vertical="top"/>
    </xf>
    <xf numFmtId="0" fontId="6" fillId="3" borderId="20" xfId="0" applyFont="1" applyFill="1" applyBorder="1" applyAlignment="1">
      <alignment vertical="center"/>
    </xf>
    <xf numFmtId="0" fontId="4" fillId="3" borderId="20" xfId="0" applyFont="1" applyFill="1" applyBorder="1" applyAlignment="1">
      <alignment horizontal="right" vertical="center"/>
    </xf>
    <xf numFmtId="0" fontId="1" fillId="3" borderId="19" xfId="0" applyFont="1" applyFill="1" applyBorder="1" applyAlignment="1">
      <alignment horizontal="left" vertical="center" wrapText="1"/>
    </xf>
    <xf numFmtId="0" fontId="1" fillId="3" borderId="20" xfId="0" applyFont="1" applyFill="1" applyBorder="1" applyAlignment="1">
      <alignment vertical="top"/>
    </xf>
    <xf numFmtId="0" fontId="2" fillId="3" borderId="0" xfId="0" applyFont="1" applyFill="1" applyAlignment="1">
      <alignment horizontal="left"/>
    </xf>
    <xf numFmtId="0" fontId="1" fillId="3" borderId="0" xfId="0" applyFont="1" applyFill="1" applyAlignment="1">
      <alignment horizontal="left" vertical="top"/>
    </xf>
    <xf numFmtId="0" fontId="1" fillId="3" borderId="20" xfId="0" applyFont="1" applyFill="1" applyBorder="1" applyAlignment="1">
      <alignment horizontal="right"/>
    </xf>
    <xf numFmtId="0" fontId="1" fillId="3" borderId="20" xfId="0" applyFont="1" applyFill="1" applyBorder="1"/>
    <xf numFmtId="14" fontId="1" fillId="3" borderId="0" xfId="0" applyNumberFormat="1" applyFont="1" applyFill="1" applyAlignment="1">
      <alignment horizontal="center"/>
    </xf>
    <xf numFmtId="165" fontId="1" fillId="3" borderId="0" xfId="0" applyNumberFormat="1" applyFont="1" applyFill="1" applyAlignment="1">
      <alignment horizontal="center"/>
    </xf>
    <xf numFmtId="0" fontId="26" fillId="0" borderId="12" xfId="0" applyFont="1" applyBorder="1" applyAlignment="1">
      <alignment horizontal="center" vertical="center"/>
    </xf>
    <xf numFmtId="0" fontId="7" fillId="0" borderId="12" xfId="0" applyFont="1" applyBorder="1" applyAlignment="1">
      <alignment horizontal="center" vertical="center"/>
    </xf>
    <xf numFmtId="165" fontId="15" fillId="0" borderId="12" xfId="0" applyNumberFormat="1" applyFont="1" applyBorder="1" applyAlignment="1">
      <alignment horizontal="center" vertical="center"/>
    </xf>
    <xf numFmtId="0" fontId="0" fillId="3" borderId="0" xfId="0" applyFill="1" applyAlignment="1">
      <alignment horizontal="left"/>
    </xf>
    <xf numFmtId="165" fontId="1" fillId="3" borderId="0" xfId="0" applyNumberFormat="1" applyFont="1" applyFill="1"/>
    <xf numFmtId="0" fontId="45" fillId="0" borderId="0" xfId="0" applyFont="1" applyAlignment="1">
      <alignment wrapText="1"/>
    </xf>
    <xf numFmtId="0" fontId="45" fillId="3" borderId="0" xfId="0" applyFont="1" applyFill="1" applyAlignment="1">
      <alignment wrapText="1"/>
    </xf>
    <xf numFmtId="0" fontId="13" fillId="3" borderId="0" xfId="0" applyFont="1" applyFill="1" applyAlignment="1">
      <alignment horizontal="center" wrapText="1"/>
    </xf>
    <xf numFmtId="0" fontId="5" fillId="8" borderId="0" xfId="0" applyFont="1" applyFill="1" applyAlignment="1">
      <alignment vertical="center" wrapText="1"/>
    </xf>
    <xf numFmtId="0" fontId="0" fillId="3" borderId="0" xfId="0" applyFill="1" applyAlignment="1">
      <alignment horizontal="right"/>
    </xf>
    <xf numFmtId="0" fontId="18" fillId="3" borderId="0" xfId="0" applyFont="1" applyFill="1" applyAlignment="1">
      <alignment vertical="center" wrapText="1"/>
    </xf>
    <xf numFmtId="0" fontId="35" fillId="3" borderId="0" xfId="0" applyFont="1" applyFill="1"/>
    <xf numFmtId="165" fontId="0" fillId="3" borderId="0" xfId="0" applyNumberFormat="1" applyFill="1" applyAlignment="1">
      <alignment horizontal="center"/>
    </xf>
    <xf numFmtId="0" fontId="46" fillId="3" borderId="0" xfId="0" applyFont="1" applyFill="1"/>
    <xf numFmtId="0" fontId="19" fillId="8" borderId="0" xfId="0" applyFont="1" applyFill="1" applyAlignment="1">
      <alignment horizontal="center" vertical="center"/>
    </xf>
    <xf numFmtId="0" fontId="19" fillId="2" borderId="0" xfId="0" applyFont="1" applyFill="1" applyAlignment="1">
      <alignment horizontal="center" vertical="center"/>
    </xf>
    <xf numFmtId="0" fontId="19" fillId="3" borderId="0" xfId="0" applyFont="1" applyFill="1" applyAlignment="1">
      <alignment horizontal="center" vertical="center"/>
    </xf>
    <xf numFmtId="0" fontId="19" fillId="3" borderId="0" xfId="0" applyFont="1" applyFill="1" applyAlignment="1">
      <alignment horizontal="center" vertical="center" wrapText="1"/>
    </xf>
    <xf numFmtId="0" fontId="46" fillId="3" borderId="0" xfId="0" applyFont="1" applyFill="1" applyAlignment="1">
      <alignment horizontal="center"/>
    </xf>
    <xf numFmtId="0" fontId="47" fillId="3" borderId="0" xfId="0" applyFont="1" applyFill="1"/>
    <xf numFmtId="0" fontId="19" fillId="3" borderId="0" xfId="0" applyFont="1" applyFill="1" applyAlignment="1">
      <alignment horizontal="center"/>
    </xf>
    <xf numFmtId="0" fontId="46" fillId="3" borderId="0" xfId="0" applyFont="1" applyFill="1" applyAlignment="1">
      <alignment vertical="top"/>
    </xf>
    <xf numFmtId="0" fontId="13" fillId="3" borderId="0" xfId="0" applyFont="1" applyFill="1" applyAlignment="1">
      <alignment horizontal="center" vertical="top"/>
    </xf>
    <xf numFmtId="0" fontId="46" fillId="0" borderId="0" xfId="0" applyFont="1"/>
    <xf numFmtId="0" fontId="13" fillId="0" borderId="0" xfId="0" applyFont="1" applyAlignment="1">
      <alignment horizontal="center"/>
    </xf>
    <xf numFmtId="0" fontId="19" fillId="3" borderId="26" xfId="0" applyFont="1" applyFill="1" applyBorder="1" applyAlignment="1">
      <alignment horizontal="center" vertical="center"/>
    </xf>
    <xf numFmtId="0" fontId="19" fillId="3" borderId="26" xfId="0" applyFont="1" applyFill="1" applyBorder="1" applyAlignment="1">
      <alignment horizontal="center" vertical="center" wrapText="1"/>
    </xf>
    <xf numFmtId="0" fontId="13" fillId="3" borderId="26" xfId="0" applyFont="1" applyFill="1" applyBorder="1" applyAlignment="1">
      <alignment horizontal="center"/>
    </xf>
    <xf numFmtId="0" fontId="19" fillId="3" borderId="26" xfId="0" applyFont="1" applyFill="1" applyBorder="1" applyAlignment="1">
      <alignment horizontal="center"/>
    </xf>
    <xf numFmtId="0" fontId="13" fillId="3" borderId="26" xfId="0" applyFont="1" applyFill="1" applyBorder="1" applyAlignment="1">
      <alignment horizontal="center" vertical="top"/>
    </xf>
    <xf numFmtId="0" fontId="1" fillId="3" borderId="26" xfId="0" applyFont="1" applyFill="1" applyBorder="1"/>
    <xf numFmtId="0" fontId="1" fillId="3" borderId="26" xfId="0" applyFont="1" applyFill="1" applyBorder="1" applyAlignment="1">
      <alignment wrapText="1"/>
    </xf>
    <xf numFmtId="0" fontId="2" fillId="3" borderId="26" xfId="0" applyFont="1" applyFill="1" applyBorder="1" applyAlignment="1">
      <alignment horizontal="right" vertical="center"/>
    </xf>
    <xf numFmtId="0" fontId="1" fillId="3" borderId="26" xfId="0" applyFont="1" applyFill="1" applyBorder="1" applyAlignment="1">
      <alignment horizontal="center"/>
    </xf>
    <xf numFmtId="0" fontId="2" fillId="3" borderId="26" xfId="0" applyFont="1" applyFill="1" applyBorder="1"/>
    <xf numFmtId="0" fontId="1" fillId="3" borderId="26" xfId="0" applyFont="1" applyFill="1" applyBorder="1" applyAlignment="1">
      <alignment vertical="top"/>
    </xf>
    <xf numFmtId="165" fontId="1" fillId="3" borderId="26" xfId="0" applyNumberFormat="1" applyFont="1" applyFill="1" applyBorder="1" applyAlignment="1">
      <alignment horizontal="center"/>
    </xf>
    <xf numFmtId="0" fontId="5" fillId="17" borderId="0" xfId="0" applyFont="1" applyFill="1" applyAlignment="1">
      <alignment vertical="center"/>
    </xf>
    <xf numFmtId="0" fontId="19" fillId="17" borderId="0" xfId="0" applyFont="1" applyFill="1" applyAlignment="1">
      <alignment horizontal="center" vertical="center"/>
    </xf>
    <xf numFmtId="0" fontId="5" fillId="17" borderId="0" xfId="0" applyFont="1" applyFill="1" applyAlignment="1">
      <alignment vertical="center" wrapText="1"/>
    </xf>
    <xf numFmtId="0" fontId="19" fillId="18" borderId="0" xfId="0" applyFont="1" applyFill="1" applyAlignment="1">
      <alignment horizontal="center" vertical="center"/>
    </xf>
    <xf numFmtId="0" fontId="5" fillId="18" borderId="0" xfId="0" applyFont="1" applyFill="1" applyAlignment="1">
      <alignment vertical="center"/>
    </xf>
    <xf numFmtId="0" fontId="5" fillId="18" borderId="0" xfId="0" applyFont="1" applyFill="1" applyAlignment="1">
      <alignment vertical="center" wrapText="1"/>
    </xf>
    <xf numFmtId="0" fontId="0" fillId="0" borderId="18" xfId="0" applyBorder="1" applyAlignment="1">
      <alignment horizontal="center"/>
    </xf>
    <xf numFmtId="165" fontId="15" fillId="4" borderId="0" xfId="0" applyNumberFormat="1" applyFont="1" applyFill="1" applyAlignment="1">
      <alignment horizontal="center" vertical="center"/>
    </xf>
    <xf numFmtId="0" fontId="48" fillId="19" borderId="4" xfId="0" applyFont="1" applyFill="1" applyBorder="1" applyAlignment="1">
      <alignment horizontal="center" vertical="center"/>
    </xf>
    <xf numFmtId="0" fontId="22" fillId="21" borderId="21" xfId="0" applyFont="1" applyFill="1" applyBorder="1" applyAlignment="1">
      <alignment horizontal="center" vertical="center"/>
    </xf>
    <xf numFmtId="0" fontId="5" fillId="20" borderId="18" xfId="0" applyFont="1" applyFill="1" applyBorder="1" applyAlignment="1">
      <alignment horizontal="center" vertical="center" wrapText="1"/>
    </xf>
    <xf numFmtId="14" fontId="22" fillId="20" borderId="0" xfId="0" applyNumberFormat="1" applyFont="1" applyFill="1" applyAlignment="1">
      <alignment horizontal="center"/>
    </xf>
    <xf numFmtId="0" fontId="0" fillId="22" borderId="27" xfId="0" applyFill="1" applyBorder="1" applyAlignment="1">
      <alignment horizontal="center"/>
    </xf>
    <xf numFmtId="0" fontId="1" fillId="3" borderId="27" xfId="0" applyFont="1" applyFill="1" applyBorder="1" applyAlignment="1">
      <alignment vertical="center"/>
    </xf>
    <xf numFmtId="14" fontId="0" fillId="3" borderId="27" xfId="0" applyNumberFormat="1" applyFill="1" applyBorder="1" applyAlignment="1">
      <alignment horizontal="center"/>
    </xf>
    <xf numFmtId="14" fontId="0" fillId="22" borderId="27" xfId="0" applyNumberFormat="1" applyFill="1" applyBorder="1" applyAlignment="1">
      <alignment horizontal="center"/>
    </xf>
    <xf numFmtId="0" fontId="0" fillId="3" borderId="27" xfId="0" applyFill="1" applyBorder="1"/>
    <xf numFmtId="0" fontId="1" fillId="0" borderId="25" xfId="0" applyFont="1" applyBorder="1" applyAlignment="1">
      <alignment horizontal="center" vertical="center" wrapText="1"/>
    </xf>
    <xf numFmtId="0" fontId="1" fillId="0" borderId="4" xfId="0" applyFont="1" applyBorder="1" applyAlignment="1">
      <alignment vertical="center"/>
    </xf>
    <xf numFmtId="0" fontId="7" fillId="0" borderId="0" xfId="0" applyFont="1" applyAlignment="1">
      <alignment vertical="center"/>
    </xf>
    <xf numFmtId="0" fontId="2" fillId="3" borderId="0" xfId="0" applyFont="1" applyFill="1" applyAlignment="1">
      <alignment horizontal="center" vertical="center"/>
    </xf>
    <xf numFmtId="0" fontId="16" fillId="3" borderId="0" xfId="0" applyFont="1" applyFill="1" applyAlignment="1">
      <alignment horizontal="center" vertical="center"/>
    </xf>
    <xf numFmtId="0" fontId="0" fillId="0" borderId="0" xfId="0" applyAlignment="1">
      <alignment horizontal="center" vertical="center"/>
    </xf>
    <xf numFmtId="0" fontId="1" fillId="0" borderId="25" xfId="0" applyFont="1" applyBorder="1" applyAlignment="1">
      <alignment horizontal="center" vertical="center"/>
    </xf>
    <xf numFmtId="2" fontId="1" fillId="3" borderId="0" xfId="0" applyNumberFormat="1" applyFont="1" applyFill="1" applyAlignment="1">
      <alignment horizontal="center" vertical="center"/>
    </xf>
    <xf numFmtId="165" fontId="7" fillId="3" borderId="0" xfId="0" applyNumberFormat="1" applyFont="1" applyFill="1" applyAlignment="1">
      <alignment horizontal="center" vertical="center"/>
    </xf>
    <xf numFmtId="0" fontId="0" fillId="3" borderId="0" xfId="0" applyFill="1" applyAlignment="1">
      <alignment horizontal="center" vertical="center"/>
    </xf>
    <xf numFmtId="0" fontId="46" fillId="3" borderId="0" xfId="0" applyFont="1" applyFill="1" applyAlignment="1">
      <alignment horizontal="right" wrapText="1"/>
    </xf>
    <xf numFmtId="0" fontId="0" fillId="0" borderId="0" xfId="0" applyAlignment="1">
      <alignment horizontal="right" wrapText="1"/>
    </xf>
    <xf numFmtId="165" fontId="13" fillId="3" borderId="0" xfId="0" applyNumberFormat="1" applyFont="1" applyFill="1" applyAlignment="1">
      <alignment horizontal="right" wrapText="1"/>
    </xf>
    <xf numFmtId="0" fontId="1" fillId="3" borderId="0" xfId="0" applyFont="1" applyFill="1" applyAlignment="1">
      <alignment horizontal="right" wrapText="1"/>
    </xf>
    <xf numFmtId="0" fontId="13" fillId="3" borderId="0" xfId="0" applyFont="1" applyFill="1" applyAlignment="1">
      <alignment horizontal="right" wrapText="1"/>
    </xf>
    <xf numFmtId="0" fontId="13" fillId="3" borderId="26" xfId="0" applyFont="1" applyFill="1" applyBorder="1" applyAlignment="1">
      <alignment horizontal="right" wrapText="1"/>
    </xf>
    <xf numFmtId="0" fontId="1" fillId="3" borderId="26" xfId="0" applyFont="1" applyFill="1" applyBorder="1" applyAlignment="1">
      <alignment horizontal="right" wrapText="1"/>
    </xf>
    <xf numFmtId="0" fontId="0" fillId="3" borderId="0" xfId="0" applyFill="1" applyAlignment="1">
      <alignment horizontal="right" wrapText="1"/>
    </xf>
    <xf numFmtId="164" fontId="0" fillId="0" borderId="0" xfId="0" applyNumberFormat="1" applyAlignment="1">
      <alignment horizontal="center"/>
    </xf>
    <xf numFmtId="0" fontId="1" fillId="0" borderId="0" xfId="0" applyFont="1" applyAlignment="1">
      <alignment horizontal="left" vertical="center"/>
    </xf>
    <xf numFmtId="0" fontId="49" fillId="0" borderId="28" xfId="0" applyFont="1" applyBorder="1" applyAlignment="1">
      <alignment horizontal="center" vertical="center"/>
    </xf>
    <xf numFmtId="166" fontId="49" fillId="0" borderId="28" xfId="0" applyNumberFormat="1" applyFont="1" applyBorder="1" applyAlignment="1">
      <alignment horizontal="center" vertical="center"/>
    </xf>
    <xf numFmtId="2" fontId="49" fillId="0" borderId="28" xfId="0" applyNumberFormat="1" applyFont="1" applyBorder="1" applyAlignment="1">
      <alignment horizontal="center" vertical="center"/>
    </xf>
    <xf numFmtId="167" fontId="49" fillId="0" borderId="28" xfId="0" applyNumberFormat="1" applyFont="1" applyBorder="1" applyAlignment="1">
      <alignment horizontal="center" vertical="center"/>
    </xf>
    <xf numFmtId="164" fontId="27" fillId="0" borderId="0" xfId="0" applyNumberFormat="1" applyFont="1" applyAlignment="1">
      <alignment horizontal="center" vertical="center" wrapText="1"/>
    </xf>
    <xf numFmtId="2" fontId="0" fillId="0" borderId="0" xfId="0" applyNumberFormat="1"/>
    <xf numFmtId="0" fontId="20" fillId="0" borderId="4" xfId="0" applyFont="1" applyBorder="1" applyAlignment="1">
      <alignment horizontal="center" vertical="center"/>
    </xf>
    <xf numFmtId="0" fontId="15" fillId="0" borderId="12" xfId="0" applyFont="1" applyBorder="1" applyAlignment="1">
      <alignment horizontal="center" vertical="center"/>
    </xf>
    <xf numFmtId="0" fontId="20" fillId="0" borderId="12" xfId="0" applyFont="1" applyBorder="1" applyAlignment="1">
      <alignment horizontal="center" vertical="center"/>
    </xf>
    <xf numFmtId="0" fontId="1" fillId="0" borderId="12" xfId="0" applyFont="1" applyBorder="1" applyAlignment="1">
      <alignment horizontal="center" vertical="center"/>
    </xf>
    <xf numFmtId="0" fontId="7" fillId="3" borderId="2" xfId="0" applyFont="1" applyFill="1" applyBorder="1" applyAlignment="1">
      <alignment horizontal="center" vertical="center"/>
    </xf>
    <xf numFmtId="2" fontId="3" fillId="15" borderId="0" xfId="0" applyNumberFormat="1" applyFont="1" applyFill="1" applyAlignment="1">
      <alignment horizontal="center" vertical="center"/>
    </xf>
    <xf numFmtId="2" fontId="1" fillId="0" borderId="0" xfId="0" applyNumberFormat="1" applyFont="1" applyAlignment="1">
      <alignment horizontal="center"/>
    </xf>
    <xf numFmtId="14" fontId="1" fillId="3" borderId="0" xfId="0" applyNumberFormat="1" applyFont="1" applyFill="1" applyAlignment="1">
      <alignment horizontal="left"/>
    </xf>
    <xf numFmtId="164" fontId="1" fillId="3" borderId="0" xfId="0" applyNumberFormat="1" applyFont="1" applyFill="1" applyAlignment="1">
      <alignment horizontal="center"/>
    </xf>
    <xf numFmtId="0" fontId="1" fillId="0" borderId="21" xfId="0" applyFont="1" applyBorder="1" applyAlignment="1">
      <alignment vertical="center"/>
    </xf>
    <xf numFmtId="0" fontId="1" fillId="3" borderId="12" xfId="0" applyFont="1" applyFill="1" applyBorder="1" applyAlignment="1">
      <alignment vertical="center"/>
    </xf>
    <xf numFmtId="0" fontId="1" fillId="3" borderId="2" xfId="0" applyFont="1" applyFill="1" applyBorder="1" applyAlignment="1">
      <alignment vertical="center"/>
    </xf>
    <xf numFmtId="165" fontId="9" fillId="7" borderId="30" xfId="0" applyNumberFormat="1" applyFont="1" applyFill="1" applyBorder="1" applyAlignment="1">
      <alignment horizontal="center" vertical="center"/>
    </xf>
    <xf numFmtId="165" fontId="17" fillId="7" borderId="0" xfId="0" applyNumberFormat="1" applyFont="1" applyFill="1" applyAlignment="1">
      <alignment horizontal="center" vertical="center"/>
    </xf>
    <xf numFmtId="0" fontId="0" fillId="13" borderId="21" xfId="0" applyFill="1" applyBorder="1" applyAlignment="1">
      <alignment horizontal="center"/>
    </xf>
    <xf numFmtId="0" fontId="1" fillId="23" borderId="2" xfId="0" applyFont="1" applyFill="1" applyBorder="1" applyAlignment="1">
      <alignment horizontal="center" vertical="center"/>
    </xf>
    <xf numFmtId="0" fontId="1" fillId="24" borderId="0" xfId="0" applyFont="1" applyFill="1" applyAlignment="1">
      <alignment horizontal="center" vertical="center"/>
    </xf>
    <xf numFmtId="0" fontId="1" fillId="24" borderId="0" xfId="0" applyFont="1" applyFill="1" applyAlignment="1">
      <alignment horizontal="center"/>
    </xf>
    <xf numFmtId="0" fontId="27" fillId="0" borderId="3" xfId="0" applyFont="1" applyBorder="1" applyAlignment="1">
      <alignment vertical="center"/>
    </xf>
    <xf numFmtId="14" fontId="27" fillId="0" borderId="2" xfId="0" applyNumberFormat="1" applyFont="1" applyBorder="1" applyAlignment="1">
      <alignment horizontal="left" vertical="center"/>
    </xf>
    <xf numFmtId="14" fontId="27" fillId="0" borderId="2" xfId="0" applyNumberFormat="1" applyFont="1" applyBorder="1" applyAlignment="1">
      <alignment horizontal="center" vertical="center"/>
    </xf>
    <xf numFmtId="165" fontId="27" fillId="0" borderId="2" xfId="0" applyNumberFormat="1" applyFont="1" applyBorder="1" applyAlignment="1">
      <alignment horizontal="center" vertical="center"/>
    </xf>
    <xf numFmtId="14" fontId="27" fillId="0" borderId="2" xfId="0" applyNumberFormat="1" applyFont="1" applyBorder="1" applyAlignment="1">
      <alignment vertical="center"/>
    </xf>
    <xf numFmtId="14" fontId="27" fillId="0" borderId="8" xfId="0" applyNumberFormat="1" applyFont="1" applyBorder="1" applyAlignment="1">
      <alignment horizontal="center" vertical="center"/>
    </xf>
    <xf numFmtId="0" fontId="27" fillId="0" borderId="8" xfId="0" applyFont="1" applyBorder="1" applyAlignment="1">
      <alignment horizontal="center" vertical="center" wrapText="1"/>
    </xf>
    <xf numFmtId="164" fontId="27" fillId="0" borderId="8" xfId="0" applyNumberFormat="1" applyFont="1" applyBorder="1" applyAlignment="1">
      <alignment horizontal="center" vertical="center" wrapText="1"/>
    </xf>
    <xf numFmtId="0" fontId="27" fillId="0" borderId="7" xfId="0" applyFont="1" applyBorder="1" applyAlignment="1">
      <alignment vertical="center"/>
    </xf>
    <xf numFmtId="14" fontId="27" fillId="0" borderId="4" xfId="0" applyNumberFormat="1" applyFont="1" applyBorder="1" applyAlignment="1">
      <alignment horizontal="left" vertical="center"/>
    </xf>
    <xf numFmtId="14" fontId="27" fillId="0" borderId="4" xfId="0" applyNumberFormat="1" applyFont="1" applyBorder="1" applyAlignment="1">
      <alignment horizontal="center" vertical="center"/>
    </xf>
    <xf numFmtId="0" fontId="27" fillId="0" borderId="4" xfId="0" applyFont="1" applyBorder="1" applyAlignment="1">
      <alignment horizontal="center" vertical="center"/>
    </xf>
    <xf numFmtId="165" fontId="27" fillId="0" borderId="4" xfId="0" applyNumberFormat="1" applyFont="1" applyBorder="1" applyAlignment="1">
      <alignment horizontal="center" vertical="center"/>
    </xf>
    <xf numFmtId="14" fontId="27" fillId="0" borderId="4" xfId="0" applyNumberFormat="1" applyFont="1" applyBorder="1" applyAlignment="1">
      <alignment vertical="center"/>
    </xf>
    <xf numFmtId="14" fontId="27" fillId="0" borderId="11" xfId="0" applyNumberFormat="1" applyFont="1" applyBorder="1" applyAlignment="1">
      <alignment horizontal="center" vertical="center"/>
    </xf>
    <xf numFmtId="0" fontId="27" fillId="0" borderId="11" xfId="0" applyFont="1" applyBorder="1" applyAlignment="1">
      <alignment horizontal="center" vertical="center" wrapText="1"/>
    </xf>
    <xf numFmtId="164" fontId="27" fillId="0" borderId="11" xfId="0" applyNumberFormat="1" applyFont="1" applyBorder="1" applyAlignment="1">
      <alignment horizontal="center" vertical="center" wrapText="1"/>
    </xf>
    <xf numFmtId="0" fontId="0" fillId="25" borderId="5" xfId="0" applyFill="1" applyBorder="1" applyAlignment="1">
      <alignment horizontal="center"/>
    </xf>
    <xf numFmtId="0" fontId="0" fillId="25" borderId="18" xfId="0" applyFill="1" applyBorder="1" applyAlignment="1">
      <alignment horizontal="center"/>
    </xf>
    <xf numFmtId="165" fontId="0" fillId="25" borderId="0" xfId="0" applyNumberFormat="1" applyFill="1"/>
    <xf numFmtId="165" fontId="0" fillId="25" borderId="0" xfId="0" applyNumberFormat="1" applyFill="1" applyAlignment="1">
      <alignment horizontal="center"/>
    </xf>
    <xf numFmtId="0" fontId="0" fillId="25" borderId="0" xfId="0" applyFill="1"/>
    <xf numFmtId="164" fontId="1" fillId="24" borderId="0" xfId="0" applyNumberFormat="1" applyFont="1" applyFill="1" applyAlignment="1">
      <alignment horizontal="center"/>
    </xf>
    <xf numFmtId="0" fontId="3" fillId="15" borderId="0" xfId="0" applyFont="1" applyFill="1" applyAlignment="1">
      <alignment horizontal="center" vertical="center" wrapText="1"/>
    </xf>
    <xf numFmtId="0" fontId="32" fillId="0" borderId="2" xfId="0" applyFont="1" applyBorder="1" applyAlignment="1">
      <alignment horizontal="center" vertical="center" wrapText="1"/>
    </xf>
    <xf numFmtId="165" fontId="9" fillId="7" borderId="9" xfId="0" applyNumberFormat="1" applyFont="1" applyFill="1" applyBorder="1" applyAlignment="1">
      <alignment horizontal="center" vertical="center"/>
    </xf>
    <xf numFmtId="0" fontId="32" fillId="0" borderId="4" xfId="0" applyFont="1" applyBorder="1" applyAlignment="1">
      <alignment horizontal="center" vertical="center" wrapText="1"/>
    </xf>
    <xf numFmtId="0" fontId="12" fillId="0" borderId="3" xfId="0" applyFont="1" applyBorder="1" applyAlignment="1">
      <alignment horizontal="left" vertical="center"/>
    </xf>
    <xf numFmtId="0" fontId="12" fillId="0" borderId="7" xfId="0" applyFont="1" applyBorder="1" applyAlignment="1">
      <alignment horizontal="left" vertical="center"/>
    </xf>
    <xf numFmtId="0" fontId="7" fillId="0" borderId="0" xfId="0" applyFont="1" applyAlignment="1">
      <alignment horizontal="left" vertical="center"/>
    </xf>
    <xf numFmtId="0" fontId="7" fillId="3" borderId="0" xfId="0" applyFont="1" applyFill="1" applyAlignment="1">
      <alignment horizontal="left" vertical="center"/>
    </xf>
    <xf numFmtId="0" fontId="31" fillId="0" borderId="29" xfId="0" applyFont="1" applyBorder="1" applyAlignment="1">
      <alignment horizontal="left" vertical="center"/>
    </xf>
    <xf numFmtId="0" fontId="7" fillId="0" borderId="25" xfId="0" applyFont="1" applyBorder="1" applyAlignment="1">
      <alignment horizontal="center" vertical="center" wrapText="1"/>
    </xf>
    <xf numFmtId="0" fontId="7" fillId="3" borderId="0" xfId="0" applyFont="1" applyFill="1" applyAlignment="1">
      <alignment horizontal="center" vertical="top" wrapText="1"/>
    </xf>
    <xf numFmtId="0" fontId="7" fillId="0" borderId="0" xfId="0" applyFont="1" applyAlignment="1">
      <alignment horizontal="center" vertical="top" wrapText="1"/>
    </xf>
    <xf numFmtId="0" fontId="12" fillId="0" borderId="18" xfId="0" applyFont="1" applyBorder="1" applyAlignment="1">
      <alignment horizontal="center" vertical="center"/>
    </xf>
    <xf numFmtId="0" fontId="12" fillId="0" borderId="4" xfId="0" applyFont="1" applyBorder="1" applyAlignment="1">
      <alignment horizontal="center" vertical="center"/>
    </xf>
    <xf numFmtId="14" fontId="12" fillId="0" borderId="7" xfId="0" applyNumberFormat="1" applyFont="1" applyBorder="1" applyAlignment="1">
      <alignment horizontal="center" vertical="center"/>
    </xf>
    <xf numFmtId="14" fontId="12" fillId="0" borderId="18" xfId="0" applyNumberFormat="1" applyFont="1" applyBorder="1" applyAlignment="1">
      <alignment horizontal="center" vertical="center"/>
    </xf>
    <xf numFmtId="165" fontId="9" fillId="0" borderId="6" xfId="0" applyNumberFormat="1" applyFont="1" applyBorder="1" applyAlignment="1">
      <alignment horizontal="center" vertical="center"/>
    </xf>
    <xf numFmtId="165" fontId="15" fillId="26" borderId="0" xfId="0" applyNumberFormat="1" applyFont="1" applyFill="1" applyAlignment="1">
      <alignment horizontal="center" vertical="center"/>
    </xf>
    <xf numFmtId="0" fontId="31" fillId="0" borderId="0" xfId="0" applyFont="1" applyAlignment="1">
      <alignment horizontal="center" vertical="center"/>
    </xf>
    <xf numFmtId="165" fontId="9" fillId="26" borderId="9" xfId="0" applyNumberFormat="1" applyFont="1" applyFill="1" applyBorder="1" applyAlignment="1">
      <alignment horizontal="center" vertical="center"/>
    </xf>
    <xf numFmtId="165" fontId="26" fillId="6" borderId="1" xfId="0" applyNumberFormat="1" applyFont="1" applyFill="1" applyBorder="1" applyAlignment="1">
      <alignment horizontal="center" vertical="center"/>
    </xf>
    <xf numFmtId="165" fontId="13" fillId="7" borderId="0" xfId="0" applyNumberFormat="1" applyFont="1" applyFill="1" applyAlignment="1">
      <alignment horizontal="center" vertical="center"/>
    </xf>
    <xf numFmtId="14" fontId="27" fillId="26" borderId="2" xfId="0" applyNumberFormat="1" applyFont="1" applyFill="1" applyBorder="1" applyAlignment="1">
      <alignment horizontal="left" vertical="center"/>
    </xf>
    <xf numFmtId="165" fontId="26" fillId="5" borderId="6" xfId="0" applyNumberFormat="1" applyFont="1" applyFill="1" applyBorder="1" applyAlignment="1">
      <alignment horizontal="center" vertical="center"/>
    </xf>
    <xf numFmtId="0" fontId="1" fillId="3" borderId="21" xfId="0" applyFont="1" applyFill="1" applyBorder="1" applyAlignment="1">
      <alignment vertical="center"/>
    </xf>
    <xf numFmtId="0" fontId="12" fillId="0" borderId="5" xfId="0" applyFont="1" applyBorder="1" applyAlignment="1">
      <alignment horizontal="center" vertical="center"/>
    </xf>
    <xf numFmtId="0" fontId="12" fillId="0" borderId="6" xfId="0" applyFont="1" applyBorder="1" applyAlignment="1">
      <alignment horizontal="center" vertical="center"/>
    </xf>
    <xf numFmtId="0" fontId="48" fillId="19" borderId="25" xfId="0" applyFont="1" applyFill="1" applyBorder="1" applyAlignment="1">
      <alignment horizontal="center" vertical="center"/>
    </xf>
    <xf numFmtId="0" fontId="0" fillId="27" borderId="0" xfId="0" applyFill="1"/>
    <xf numFmtId="165" fontId="15" fillId="0" borderId="0" xfId="0" applyNumberFormat="1" applyFont="1" applyAlignment="1">
      <alignment horizontal="center" vertical="center"/>
    </xf>
    <xf numFmtId="0" fontId="1" fillId="3" borderId="4" xfId="0" applyFont="1" applyFill="1" applyBorder="1" applyAlignment="1">
      <alignment vertical="center"/>
    </xf>
    <xf numFmtId="165" fontId="1" fillId="6" borderId="34" xfId="0" applyNumberFormat="1" applyFont="1" applyFill="1" applyBorder="1" applyAlignment="1">
      <alignment horizontal="center" vertical="center"/>
    </xf>
    <xf numFmtId="165" fontId="13" fillId="7" borderId="34" xfId="0" applyNumberFormat="1" applyFont="1" applyFill="1" applyBorder="1" applyAlignment="1">
      <alignment horizontal="center" vertical="center"/>
    </xf>
    <xf numFmtId="0" fontId="7" fillId="0" borderId="2" xfId="0" applyFont="1" applyBorder="1" applyAlignment="1">
      <alignment horizontal="center" vertical="top" wrapText="1"/>
    </xf>
    <xf numFmtId="0" fontId="7" fillId="0" borderId="4" xfId="0" applyFont="1" applyBorder="1" applyAlignment="1">
      <alignment horizontal="center" vertical="top" wrapText="1"/>
    </xf>
    <xf numFmtId="0" fontId="7" fillId="0" borderId="12" xfId="0" applyFont="1" applyBorder="1" applyAlignment="1">
      <alignment horizontal="center" vertical="top" wrapText="1"/>
    </xf>
    <xf numFmtId="0" fontId="7" fillId="0" borderId="6" xfId="0" applyFont="1" applyBorder="1" applyAlignment="1">
      <alignment horizontal="center" vertical="center" wrapText="1"/>
    </xf>
    <xf numFmtId="2" fontId="2" fillId="0" borderId="2" xfId="0" applyNumberFormat="1" applyFont="1" applyBorder="1" applyAlignment="1">
      <alignment horizontal="center" vertical="center"/>
    </xf>
    <xf numFmtId="2" fontId="2" fillId="0" borderId="4" xfId="0" applyNumberFormat="1" applyFont="1" applyBorder="1" applyAlignment="1">
      <alignment horizontal="center" vertical="center"/>
    </xf>
    <xf numFmtId="2" fontId="50" fillId="14" borderId="0" xfId="0" applyNumberFormat="1" applyFont="1" applyFill="1" applyAlignment="1">
      <alignment horizontal="center" vertical="center"/>
    </xf>
    <xf numFmtId="2" fontId="2" fillId="14" borderId="0" xfId="0" applyNumberFormat="1" applyFont="1" applyFill="1" applyAlignment="1">
      <alignment horizontal="center" vertical="center"/>
    </xf>
    <xf numFmtId="0" fontId="12" fillId="0" borderId="0" xfId="0" applyFont="1" applyAlignment="1">
      <alignment horizontal="center" vertical="center"/>
    </xf>
    <xf numFmtId="0" fontId="15" fillId="26" borderId="2" xfId="0" applyFont="1" applyFill="1" applyBorder="1" applyAlignment="1">
      <alignment horizontal="center" vertical="center"/>
    </xf>
    <xf numFmtId="0" fontId="12" fillId="26" borderId="2" xfId="0" applyFont="1" applyFill="1" applyBorder="1" applyAlignment="1">
      <alignment horizontal="center" vertical="center"/>
    </xf>
    <xf numFmtId="0" fontId="12" fillId="26" borderId="3" xfId="0" applyFont="1" applyFill="1" applyBorder="1" applyAlignment="1">
      <alignment horizontal="center" vertical="center"/>
    </xf>
    <xf numFmtId="0" fontId="12" fillId="26" borderId="7" xfId="0" applyFont="1" applyFill="1" applyBorder="1" applyAlignment="1">
      <alignment horizontal="center" vertical="center"/>
    </xf>
    <xf numFmtId="14" fontId="12" fillId="26" borderId="3" xfId="0" applyNumberFormat="1" applyFont="1" applyFill="1" applyBorder="1" applyAlignment="1">
      <alignment horizontal="center" vertical="center"/>
    </xf>
    <xf numFmtId="0" fontId="12" fillId="26" borderId="3" xfId="0" applyFont="1" applyFill="1" applyBorder="1" applyAlignment="1">
      <alignment horizontal="left" vertical="center"/>
    </xf>
    <xf numFmtId="0" fontId="1" fillId="26" borderId="2" xfId="0" applyFont="1" applyFill="1" applyBorder="1" applyAlignment="1">
      <alignment vertical="center"/>
    </xf>
    <xf numFmtId="0" fontId="1" fillId="26" borderId="0" xfId="0" applyFont="1" applyFill="1" applyAlignment="1">
      <alignment vertical="center"/>
    </xf>
    <xf numFmtId="0" fontId="7" fillId="26" borderId="2" xfId="0" applyFont="1" applyFill="1" applyBorder="1" applyAlignment="1">
      <alignment horizontal="center" vertical="top" wrapText="1"/>
    </xf>
    <xf numFmtId="165" fontId="15" fillId="26" borderId="2" xfId="0" applyNumberFormat="1" applyFont="1" applyFill="1" applyBorder="1" applyAlignment="1">
      <alignment horizontal="center" vertical="center"/>
    </xf>
    <xf numFmtId="0" fontId="20" fillId="26" borderId="2" xfId="0" applyFont="1" applyFill="1" applyBorder="1" applyAlignment="1">
      <alignment horizontal="center" vertical="center"/>
    </xf>
    <xf numFmtId="0" fontId="1" fillId="26" borderId="2" xfId="0" applyFont="1" applyFill="1" applyBorder="1" applyAlignment="1">
      <alignment horizontal="center" vertical="center"/>
    </xf>
    <xf numFmtId="0" fontId="7" fillId="26" borderId="2" xfId="0" applyFont="1" applyFill="1" applyBorder="1" applyAlignment="1">
      <alignment horizontal="center" vertical="center"/>
    </xf>
    <xf numFmtId="165" fontId="13" fillId="26" borderId="0" xfId="0" applyNumberFormat="1" applyFont="1" applyFill="1" applyAlignment="1">
      <alignment horizontal="center" vertical="center"/>
    </xf>
    <xf numFmtId="0" fontId="9" fillId="0" borderId="2" xfId="0" applyFont="1" applyBorder="1" applyAlignment="1">
      <alignment horizontal="center" vertical="center" wrapText="1"/>
    </xf>
    <xf numFmtId="0" fontId="51" fillId="19" borderId="2" xfId="0" applyFont="1" applyFill="1" applyBorder="1" applyAlignment="1">
      <alignment horizontal="center" vertical="center"/>
    </xf>
    <xf numFmtId="0" fontId="48" fillId="19" borderId="2" xfId="0" applyFont="1" applyFill="1" applyBorder="1" applyAlignment="1">
      <alignment horizontal="center" vertical="center"/>
    </xf>
    <xf numFmtId="0" fontId="51" fillId="19" borderId="4" xfId="0" applyFont="1" applyFill="1" applyBorder="1" applyAlignment="1">
      <alignment horizontal="center" vertical="center"/>
    </xf>
    <xf numFmtId="0" fontId="1" fillId="3" borderId="26" xfId="0" applyFont="1" applyFill="1" applyBorder="1" applyAlignment="1">
      <alignment horizontal="left"/>
    </xf>
    <xf numFmtId="0" fontId="1" fillId="0" borderId="0" xfId="0" pivotButton="1" applyFont="1"/>
    <xf numFmtId="0" fontId="1" fillId="3" borderId="0" xfId="0" applyFont="1" applyFill="1" applyAlignment="1">
      <alignment horizontal="left" vertical="center"/>
    </xf>
    <xf numFmtId="0" fontId="1" fillId="3" borderId="0" xfId="0" applyFont="1" applyFill="1" applyAlignment="1">
      <alignment horizontal="right" vertical="center"/>
    </xf>
    <xf numFmtId="0" fontId="18" fillId="3" borderId="0" xfId="0" applyFont="1" applyFill="1" applyAlignment="1">
      <alignment wrapText="1"/>
    </xf>
    <xf numFmtId="165" fontId="26" fillId="6" borderId="34" xfId="0" applyNumberFormat="1" applyFont="1" applyFill="1" applyBorder="1" applyAlignment="1">
      <alignment horizontal="center" vertical="center"/>
    </xf>
    <xf numFmtId="165" fontId="13" fillId="26" borderId="1" xfId="0" applyNumberFormat="1" applyFont="1" applyFill="1" applyBorder="1" applyAlignment="1">
      <alignment horizontal="center" vertical="center"/>
    </xf>
    <xf numFmtId="0" fontId="42" fillId="0" borderId="0" xfId="0" applyFont="1" applyAlignment="1">
      <alignment horizontal="left" vertical="center"/>
    </xf>
    <xf numFmtId="0" fontId="18" fillId="3" borderId="0" xfId="0" applyFont="1" applyFill="1" applyAlignment="1">
      <alignment horizontal="center" vertical="center" wrapText="1"/>
    </xf>
    <xf numFmtId="0" fontId="18" fillId="3" borderId="0" xfId="0" applyFont="1" applyFill="1" applyAlignment="1">
      <alignment horizontal="center" wrapText="1"/>
    </xf>
    <xf numFmtId="0" fontId="14" fillId="27" borderId="31" xfId="0" applyFont="1" applyFill="1" applyBorder="1" applyAlignment="1">
      <alignment horizontal="center"/>
    </xf>
    <xf numFmtId="0" fontId="14" fillId="27" borderId="32" xfId="0" applyFont="1" applyFill="1" applyBorder="1" applyAlignment="1">
      <alignment horizontal="center"/>
    </xf>
    <xf numFmtId="0" fontId="14" fillId="27" borderId="33" xfId="0" applyFont="1" applyFill="1" applyBorder="1" applyAlignment="1">
      <alignment horizontal="center"/>
    </xf>
    <xf numFmtId="165" fontId="23" fillId="3" borderId="0" xfId="0" applyNumberFormat="1" applyFont="1" applyFill="1" applyAlignment="1">
      <alignment horizontal="center" vertical="center"/>
    </xf>
    <xf numFmtId="0" fontId="7" fillId="3" borderId="0" xfId="0" applyFont="1" applyFill="1" applyAlignment="1">
      <alignment horizontal="center" vertical="center" wrapText="1"/>
    </xf>
    <xf numFmtId="165" fontId="24" fillId="3" borderId="0" xfId="0" applyNumberFormat="1" applyFont="1" applyFill="1" applyAlignment="1">
      <alignment horizontal="center" vertical="center"/>
    </xf>
  </cellXfs>
  <cellStyles count="1">
    <cellStyle name="Normal" xfId="0" builtinId="0"/>
  </cellStyles>
  <dxfs count="847">
    <dxf>
      <font>
        <color theme="1" tint="0.34998626667073579"/>
      </font>
      <fill>
        <patternFill>
          <bgColor rgb="FFFFEBEB"/>
        </patternFill>
      </fill>
    </dxf>
    <dxf>
      <fill>
        <patternFill>
          <bgColor rgb="FFFFC000"/>
        </patternFill>
      </fill>
    </dxf>
    <dxf>
      <fill>
        <patternFill>
          <bgColor rgb="FFFFC00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F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ont>
        <b/>
        <i val="0"/>
        <color theme="0"/>
      </font>
      <fill>
        <patternFill>
          <bgColor rgb="FFC00000"/>
        </patternFill>
      </fill>
    </dxf>
    <dxf>
      <fill>
        <patternFill>
          <bgColor rgb="FF1B7726"/>
        </patternFill>
      </fill>
    </dxf>
    <dxf>
      <fill>
        <patternFill>
          <bgColor rgb="FF92D050"/>
        </patternFill>
      </fill>
    </dxf>
    <dxf>
      <fill>
        <patternFill>
          <bgColor rgb="FFFFFF00"/>
        </patternFill>
      </fill>
    </dxf>
    <dxf>
      <fill>
        <patternFill>
          <bgColor rgb="FFFFFF00"/>
        </patternFill>
      </fill>
    </dxf>
    <dxf>
      <fill>
        <patternFill>
          <bgColor rgb="FF92D050"/>
        </patternFill>
      </fill>
    </dxf>
    <dxf>
      <font>
        <b/>
        <i val="0"/>
        <color theme="0"/>
      </font>
      <fill>
        <patternFill>
          <bgColor rgb="FFC00000"/>
        </patternFill>
      </fill>
    </dxf>
    <dxf>
      <fill>
        <patternFill>
          <bgColor rgb="FFFF0000"/>
        </patternFill>
      </fill>
    </dxf>
    <dxf>
      <font>
        <color theme="3" tint="0.499984740745262"/>
      </font>
    </dxf>
    <dxf>
      <font>
        <color rgb="FFFFC000"/>
      </font>
    </dxf>
    <dxf>
      <font>
        <color theme="9" tint="-0.24994659260841701"/>
      </font>
    </dxf>
    <dxf>
      <font>
        <color rgb="FFFFC000"/>
      </font>
    </dxf>
    <dxf>
      <font>
        <color theme="3" tint="0.499984740745262"/>
      </font>
    </dxf>
    <dxf>
      <font>
        <color rgb="FFFFC000"/>
      </font>
    </dxf>
    <dxf>
      <font>
        <color theme="9" tint="-0.24994659260841701"/>
      </font>
    </dxf>
    <dxf>
      <font>
        <b/>
        <i val="0"/>
        <color theme="5" tint="-0.24994659260841701"/>
      </font>
      <fill>
        <patternFill>
          <bgColor rgb="FFFFE5C3"/>
        </patternFill>
      </fill>
    </dxf>
    <dxf>
      <font>
        <b/>
        <i val="0"/>
        <color theme="9" tint="-0.24994659260841701"/>
      </font>
      <fill>
        <patternFill>
          <bgColor theme="9" tint="0.79998168889431442"/>
        </patternFill>
      </fill>
    </dxf>
    <dxf>
      <font>
        <color theme="9" tint="-0.24994659260841701"/>
      </font>
    </dxf>
    <dxf>
      <font>
        <color theme="3" tint="0.499984740745262"/>
      </font>
    </dxf>
    <dxf>
      <font>
        <b/>
        <i val="0"/>
        <color theme="5" tint="-0.24994659260841701"/>
      </font>
      <fill>
        <patternFill>
          <bgColor rgb="FFFFE5C3"/>
        </patternFill>
      </fill>
    </dxf>
    <dxf>
      <font>
        <color theme="9" tint="-0.24994659260841701"/>
      </font>
    </dxf>
    <dxf>
      <font>
        <color rgb="FFFFC000"/>
      </font>
    </dxf>
    <dxf>
      <font>
        <b/>
        <i val="0"/>
        <color theme="9" tint="-0.24994659260841701"/>
      </font>
      <fill>
        <patternFill>
          <bgColor theme="9" tint="0.79998168889431442"/>
        </patternFill>
      </fill>
    </dxf>
    <dxf>
      <font>
        <color theme="9" tint="-0.24994659260841701"/>
      </font>
    </dxf>
    <dxf>
      <font>
        <color rgb="FFFFC000"/>
      </font>
    </dxf>
    <dxf>
      <font>
        <color theme="3" tint="0.499984740745262"/>
      </font>
    </dxf>
    <dxf>
      <font>
        <color rgb="FFFFC000"/>
      </font>
    </dxf>
    <dxf>
      <font>
        <color theme="9" tint="-0.24994659260841701"/>
      </font>
    </dxf>
    <dxf>
      <font>
        <color rgb="FFFFC000"/>
      </font>
    </dxf>
    <dxf>
      <font>
        <color theme="3" tint="0.499984740745262"/>
      </font>
    </dxf>
    <dxf>
      <font>
        <color rgb="FFFFC000"/>
      </font>
    </dxf>
    <dxf>
      <font>
        <color theme="9" tint="-0.24994659260841701"/>
      </font>
    </dxf>
    <dxf>
      <font>
        <b/>
        <i val="0"/>
        <color theme="5" tint="-0.24994659260841701"/>
      </font>
      <fill>
        <patternFill>
          <bgColor rgb="FFFFE5C3"/>
        </patternFill>
      </fill>
    </dxf>
    <dxf>
      <font>
        <b/>
        <i val="0"/>
        <color theme="9" tint="-0.24994659260841701"/>
      </font>
      <fill>
        <patternFill>
          <bgColor theme="9" tint="0.79998168889431442"/>
        </patternFill>
      </fill>
    </dxf>
    <dxf>
      <font>
        <color theme="9" tint="-0.24994659260841701"/>
      </font>
    </dxf>
    <dxf>
      <font>
        <b/>
        <i val="0"/>
        <color theme="5" tint="-0.24994659260841701"/>
      </font>
      <fill>
        <patternFill>
          <bgColor rgb="FFFFE5C3"/>
        </patternFill>
      </fill>
    </dxf>
    <dxf>
      <font>
        <color rgb="FFFFC000"/>
      </font>
    </dxf>
    <dxf>
      <font>
        <color theme="9" tint="-0.24994659260841701"/>
      </font>
    </dxf>
    <dxf>
      <font>
        <color theme="3" tint="0.499984740745262"/>
      </font>
    </dxf>
    <dxf>
      <font>
        <color rgb="FFFFC000"/>
      </font>
    </dxf>
    <dxf>
      <font>
        <color theme="9" tint="-0.24994659260841701"/>
      </font>
    </dxf>
    <dxf>
      <font>
        <b/>
        <i val="0"/>
        <color theme="5" tint="-0.24994659260841701"/>
      </font>
      <fill>
        <patternFill>
          <bgColor rgb="FFFFE5C3"/>
        </patternFill>
      </fill>
    </dxf>
    <dxf>
      <font>
        <b/>
        <i val="0"/>
        <color theme="9" tint="-0.24994659260841701"/>
      </font>
      <fill>
        <patternFill>
          <bgColor theme="9" tint="0.79998168889431442"/>
        </patternFill>
      </fill>
    </dxf>
    <dxf>
      <font>
        <color theme="9" tint="-0.24994659260841701"/>
      </font>
    </dxf>
    <dxf>
      <font>
        <color theme="9" tint="-0.24994659260841701"/>
      </font>
    </dxf>
    <dxf>
      <font>
        <color rgb="FFFFC000"/>
      </font>
    </dxf>
    <dxf>
      <font>
        <color rgb="FFFFC000"/>
      </font>
    </dxf>
    <dxf>
      <font>
        <color theme="3" tint="0.499984740745262"/>
      </font>
    </dxf>
    <dxf>
      <font>
        <b/>
        <i val="0"/>
        <color theme="9" tint="-0.24994659260841701"/>
      </font>
      <fill>
        <patternFill>
          <bgColor theme="9" tint="0.79998168889431442"/>
        </patternFill>
      </fill>
    </dxf>
    <dxf>
      <font>
        <color theme="9" tint="-0.24994659260841701"/>
      </font>
    </dxf>
    <dxf>
      <font>
        <b/>
        <i val="0"/>
        <color theme="5" tint="-0.24994659260841701"/>
      </font>
      <fill>
        <patternFill>
          <bgColor rgb="FFFFE5C3"/>
        </patternFill>
      </fill>
    </dxf>
    <dxf>
      <font>
        <b/>
        <i val="0"/>
        <color theme="9" tint="-0.24994659260841701"/>
      </font>
      <fill>
        <patternFill>
          <bgColor theme="9" tint="0.79998168889431442"/>
        </patternFill>
      </fill>
    </dxf>
    <dxf>
      <font>
        <color theme="3" tint="0.499984740745262"/>
      </font>
    </dxf>
    <dxf>
      <font>
        <color rgb="FFFFC000"/>
      </font>
    </dxf>
    <dxf>
      <font>
        <color rgb="FFFFC000"/>
      </font>
    </dxf>
    <dxf>
      <font>
        <color theme="9" tint="-0.24994659260841701"/>
      </font>
    </dxf>
    <dxf>
      <font>
        <b/>
        <i/>
        <color theme="5" tint="-0.24994659260841701"/>
      </font>
      <fill>
        <patternFill>
          <bgColor rgb="FFFFFFCD"/>
        </patternFill>
      </fill>
    </dxf>
    <dxf>
      <font>
        <b/>
        <i/>
        <color theme="9" tint="-0.24994659260841701"/>
      </font>
      <fill>
        <patternFill>
          <bgColor theme="9" tint="0.79998168889431442"/>
        </patternFill>
      </fill>
    </dxf>
    <dxf>
      <font>
        <b/>
        <i/>
        <color rgb="FFC00000"/>
      </font>
      <fill>
        <patternFill>
          <bgColor rgb="FFFFCDCD"/>
        </patternFill>
      </fill>
    </dxf>
    <dxf>
      <font>
        <b/>
        <i val="0"/>
        <color theme="0"/>
      </font>
      <fill>
        <patternFill>
          <bgColor theme="1"/>
        </patternFill>
      </fill>
    </dxf>
    <dxf>
      <font>
        <color rgb="FFFFC000"/>
      </font>
    </dxf>
    <dxf>
      <font>
        <color theme="9" tint="-0.24994659260841701"/>
      </font>
    </dxf>
    <dxf>
      <font>
        <color theme="3" tint="0.499984740745262"/>
      </font>
    </dxf>
    <dxf>
      <font>
        <color theme="9" tint="-0.24994659260841701"/>
      </font>
    </dxf>
    <dxf>
      <font>
        <color rgb="FFFFC000"/>
      </font>
    </dxf>
    <dxf>
      <font>
        <b/>
        <i val="0"/>
        <color theme="9" tint="-0.24994659260841701"/>
      </font>
      <fill>
        <patternFill>
          <bgColor theme="9" tint="0.79998168889431442"/>
        </patternFill>
      </fill>
    </dxf>
    <dxf>
      <font>
        <b/>
        <i val="0"/>
        <color theme="5" tint="-0.24994659260841701"/>
      </font>
      <fill>
        <patternFill>
          <bgColor rgb="FFFFE5C3"/>
        </patternFill>
      </fill>
    </dxf>
    <dxf>
      <font>
        <color theme="9" tint="-0.24994659260841701"/>
      </font>
    </dxf>
    <dxf>
      <font>
        <color rgb="FFFFC000"/>
      </font>
    </dxf>
    <dxf>
      <font>
        <color theme="3" tint="0.499984740745262"/>
      </font>
    </dxf>
    <dxf>
      <font>
        <b/>
        <i val="0"/>
        <color theme="0"/>
      </font>
      <fill>
        <patternFill>
          <bgColor theme="1"/>
        </patternFill>
      </fill>
    </dxf>
    <dxf>
      <font>
        <color rgb="FFFFE7E7"/>
      </font>
    </dxf>
    <dxf>
      <font>
        <color rgb="FFFFE7E7"/>
      </font>
    </dxf>
    <dxf>
      <font>
        <color rgb="FFFFE7E7"/>
      </font>
    </dxf>
    <dxf>
      <font>
        <color rgb="FFFFC000"/>
      </font>
    </dxf>
    <dxf>
      <font>
        <color theme="9" tint="-0.24994659260841701"/>
      </font>
    </dxf>
    <dxf>
      <font>
        <b/>
        <i/>
        <color theme="9" tint="-0.24994659260841701"/>
      </font>
      <fill>
        <patternFill>
          <bgColor theme="9" tint="0.79998168889431442"/>
        </patternFill>
      </fill>
    </dxf>
    <dxf>
      <font>
        <color theme="3" tint="0.499984740745262"/>
      </font>
    </dxf>
    <dxf>
      <font>
        <color rgb="FFFFC000"/>
      </font>
    </dxf>
    <dxf>
      <font>
        <color theme="9" tint="-0.24994659260841701"/>
      </font>
    </dxf>
    <dxf>
      <font>
        <color theme="9" tint="-0.24994659260841701"/>
      </font>
      <fill>
        <patternFill>
          <bgColor theme="9" tint="0.79998168889431442"/>
        </patternFill>
      </fill>
    </dxf>
    <dxf>
      <font>
        <b val="0"/>
        <i val="0"/>
        <color theme="5" tint="-0.24994659260841701"/>
      </font>
      <fill>
        <patternFill>
          <bgColor rgb="FFFFFF00"/>
        </patternFill>
      </fill>
    </dxf>
    <dxf>
      <font>
        <color theme="9" tint="-0.24994659260841701"/>
      </font>
      <fill>
        <patternFill>
          <bgColor theme="9" tint="0.79998168889431442"/>
        </patternFill>
      </fill>
    </dxf>
    <dxf>
      <font>
        <b val="0"/>
        <i val="0"/>
        <color theme="5" tint="-0.24994659260841701"/>
      </font>
      <fill>
        <patternFill>
          <bgColor rgb="FFFFFF00"/>
        </patternFill>
      </fill>
    </dxf>
    <dxf>
      <font>
        <color theme="9" tint="-0.24994659260841701"/>
      </font>
    </dxf>
    <dxf>
      <font>
        <b/>
        <i/>
        <color theme="5" tint="-0.24994659260841701"/>
      </font>
      <fill>
        <patternFill>
          <bgColor rgb="FFFFFFCD"/>
        </patternFill>
      </fill>
    </dxf>
    <dxf>
      <font>
        <color theme="9" tint="-0.24994659260841701"/>
      </font>
    </dxf>
    <dxf>
      <font>
        <b/>
        <i val="0"/>
        <color rgb="FFC00000"/>
      </font>
    </dxf>
    <dxf>
      <font>
        <b/>
        <i val="0"/>
        <color rgb="FFC00000"/>
      </font>
    </dxf>
    <dxf>
      <font>
        <color theme="0"/>
      </font>
    </dxf>
    <dxf>
      <font>
        <color theme="0"/>
      </font>
    </dxf>
    <dxf>
      <fill>
        <patternFill>
          <bgColor rgb="FFFF0000"/>
        </patternFill>
      </fill>
    </dxf>
    <dxf>
      <font>
        <color theme="9" tint="-0.24994659260841701"/>
      </font>
      <fill>
        <patternFill>
          <bgColor theme="9" tint="0.79998168889431442"/>
        </patternFill>
      </fill>
    </dxf>
    <dxf>
      <font>
        <b val="0"/>
        <i val="0"/>
        <color theme="5" tint="-0.24994659260841701"/>
      </font>
      <fill>
        <patternFill>
          <bgColor rgb="FFFFFF00"/>
        </patternFill>
      </fill>
    </dxf>
    <dxf>
      <font>
        <color theme="9" tint="-0.24994659260841701"/>
      </font>
    </dxf>
    <dxf>
      <font>
        <color theme="9" tint="-0.24994659260841701"/>
      </font>
      <fill>
        <patternFill>
          <bgColor theme="9" tint="0.79998168889431442"/>
        </patternFill>
      </fill>
    </dxf>
    <dxf>
      <font>
        <b val="0"/>
        <i val="0"/>
        <color theme="5" tint="-0.24994659260841701"/>
      </font>
      <fill>
        <patternFill>
          <bgColor rgb="FFFFFF00"/>
        </patternFill>
      </fill>
    </dxf>
    <dxf>
      <font>
        <color theme="9" tint="-0.24994659260841701"/>
      </font>
    </dxf>
    <dxf>
      <font>
        <b/>
        <i/>
        <color theme="5" tint="-0.24994659260841701"/>
      </font>
      <fill>
        <patternFill>
          <bgColor rgb="FFFFFFCD"/>
        </patternFill>
      </fill>
    </dxf>
    <dxf>
      <font>
        <color theme="9" tint="-0.24994659260841701"/>
      </font>
    </dxf>
    <dxf>
      <font>
        <b/>
        <i/>
        <color theme="9" tint="-0.24994659260841701"/>
      </font>
      <fill>
        <patternFill>
          <bgColor theme="9" tint="0.79998168889431442"/>
        </patternFill>
      </fill>
    </dxf>
    <dxf>
      <font>
        <color theme="3" tint="0.499984740745262"/>
      </font>
    </dxf>
    <dxf>
      <font>
        <color rgb="FFFFC000"/>
      </font>
    </dxf>
    <dxf>
      <font>
        <color theme="9" tint="-0.24994659260841701"/>
      </font>
    </dxf>
    <dxf>
      <font>
        <color rgb="FFFFC000"/>
      </font>
    </dxf>
    <dxf>
      <font>
        <color theme="9" tint="-0.24994659260841701"/>
      </font>
    </dxf>
    <dxf>
      <font>
        <color rgb="FFFFC000"/>
      </font>
    </dxf>
    <dxf>
      <font>
        <color theme="3" tint="0.499984740745262"/>
      </font>
    </dxf>
    <dxf>
      <font>
        <b/>
        <i val="0"/>
        <color theme="9" tint="-0.24994659260841701"/>
      </font>
      <fill>
        <patternFill>
          <bgColor theme="9" tint="0.79998168889431442"/>
        </patternFill>
      </fill>
    </dxf>
    <dxf>
      <font>
        <b/>
        <i val="0"/>
        <color theme="5" tint="-0.24994659260841701"/>
      </font>
      <fill>
        <patternFill>
          <bgColor rgb="FFFFE5C3"/>
        </patternFill>
      </fill>
    </dxf>
    <dxf>
      <font>
        <b/>
        <i val="0"/>
        <color theme="0"/>
      </font>
      <fill>
        <patternFill>
          <bgColor theme="1"/>
        </patternFill>
      </fill>
    </dxf>
    <dxf>
      <font>
        <b/>
        <i/>
        <color rgb="FFC00000"/>
      </font>
      <fill>
        <patternFill>
          <bgColor rgb="FFFFCDCD"/>
        </patternFill>
      </fill>
    </dxf>
    <dxf>
      <fill>
        <patternFill>
          <bgColor rgb="FF92D050"/>
        </patternFill>
      </fill>
    </dxf>
    <dxf>
      <fill>
        <patternFill>
          <bgColor rgb="FFFFFF00"/>
        </patternFill>
      </fill>
    </dxf>
    <dxf>
      <fill>
        <patternFill>
          <bgColor rgb="FFFF0000"/>
        </patternFill>
      </fill>
    </dxf>
    <dxf>
      <font>
        <color rgb="FFFFE7E7"/>
      </font>
    </dxf>
    <dxf>
      <font>
        <color rgb="FFFFE7E7"/>
      </font>
    </dxf>
    <dxf>
      <font>
        <color theme="9" tint="-0.24994659260841701"/>
      </font>
    </dxf>
    <dxf>
      <font>
        <color rgb="FFFFC000"/>
      </font>
    </dxf>
    <dxf>
      <font>
        <color rgb="FFFFC000"/>
      </font>
    </dxf>
    <dxf>
      <font>
        <color theme="9" tint="-0.24994659260841701"/>
      </font>
    </dxf>
    <dxf>
      <font>
        <b/>
        <i val="0"/>
        <color theme="5" tint="-0.24994659260841701"/>
      </font>
      <fill>
        <patternFill>
          <bgColor rgb="FFFFE5C3"/>
        </patternFill>
      </fill>
    </dxf>
    <dxf>
      <font>
        <color theme="9" tint="-0.24994659260841701"/>
      </font>
    </dxf>
    <dxf>
      <font>
        <color rgb="FFFFC000"/>
      </font>
    </dxf>
    <dxf>
      <font>
        <color theme="3" tint="0.499984740745262"/>
      </font>
    </dxf>
    <dxf>
      <font>
        <b/>
        <i/>
        <color theme="9" tint="-0.24994659260841701"/>
      </font>
      <fill>
        <patternFill>
          <bgColor theme="9" tint="0.79998168889431442"/>
        </patternFill>
      </fill>
    </dxf>
    <dxf>
      <font>
        <b/>
        <i/>
        <color theme="5" tint="-0.24994659260841701"/>
      </font>
      <fill>
        <patternFill>
          <bgColor rgb="FFFFFFCD"/>
        </patternFill>
      </fill>
    </dxf>
    <dxf>
      <font>
        <color theme="9" tint="-0.24994659260841701"/>
      </font>
      <fill>
        <patternFill>
          <bgColor theme="9" tint="0.79998168889431442"/>
        </patternFill>
      </fill>
    </dxf>
    <dxf>
      <font>
        <b val="0"/>
        <i val="0"/>
        <color theme="5" tint="-0.24994659260841701"/>
      </font>
      <fill>
        <patternFill>
          <bgColor rgb="FFFFFF00"/>
        </patternFill>
      </fill>
    </dxf>
    <dxf>
      <font>
        <color theme="9" tint="-0.24994659260841701"/>
      </font>
    </dxf>
    <dxf>
      <font>
        <b val="0"/>
        <i val="0"/>
        <color theme="5" tint="-0.24994659260841701"/>
      </font>
      <fill>
        <patternFill>
          <bgColor rgb="FFFFFF00"/>
        </patternFill>
      </fill>
    </dxf>
    <dxf>
      <font>
        <color theme="9" tint="-0.24994659260841701"/>
      </font>
      <fill>
        <patternFill>
          <bgColor theme="9" tint="0.79998168889431442"/>
        </patternFill>
      </fill>
    </dxf>
    <dxf>
      <font>
        <b/>
        <i val="0"/>
        <color theme="9" tint="-0.24994659260841701"/>
      </font>
      <fill>
        <patternFill>
          <bgColor theme="9" tint="0.79998168889431442"/>
        </patternFill>
      </fill>
    </dxf>
    <dxf>
      <font>
        <color theme="0"/>
      </font>
    </dxf>
    <dxf>
      <font>
        <b/>
        <i val="0"/>
        <color rgb="FFC00000"/>
      </font>
    </dxf>
    <dxf>
      <font>
        <b/>
        <i val="0"/>
        <color rgb="FFC00000"/>
      </font>
    </dxf>
    <dxf>
      <font>
        <b/>
        <i val="0"/>
        <color rgb="FFC00000"/>
      </font>
    </dxf>
    <dxf>
      <font>
        <b/>
        <i val="0"/>
        <color rgb="FFC00000"/>
      </font>
    </dxf>
    <dxf>
      <font>
        <color theme="0"/>
      </font>
    </dxf>
    <dxf>
      <font>
        <color theme="0"/>
      </font>
    </dxf>
    <dxf>
      <font>
        <color theme="0"/>
      </font>
    </dxf>
    <dxf>
      <fill>
        <patternFill>
          <bgColor rgb="FFFF0000"/>
        </patternFill>
      </fill>
    </dxf>
    <dxf>
      <fill>
        <patternFill>
          <bgColor rgb="FFFF0000"/>
        </patternFill>
      </fill>
    </dxf>
    <dxf>
      <font>
        <b/>
        <i val="0"/>
        <color theme="0"/>
      </font>
      <fill>
        <patternFill>
          <bgColor theme="1"/>
        </patternFill>
      </fill>
    </dxf>
    <dxf>
      <font>
        <color theme="9" tint="-0.24994659260841701"/>
      </font>
    </dxf>
    <dxf>
      <font>
        <b val="0"/>
        <i val="0"/>
        <color theme="5" tint="-0.24994659260841701"/>
      </font>
      <fill>
        <patternFill>
          <bgColor rgb="FFFFFF00"/>
        </patternFill>
      </fill>
    </dxf>
    <dxf>
      <font>
        <color theme="9" tint="-0.24994659260841701"/>
      </font>
    </dxf>
    <dxf>
      <font>
        <color theme="9" tint="-0.24994659260841701"/>
      </font>
      <fill>
        <patternFill>
          <bgColor theme="9" tint="0.79998168889431442"/>
        </patternFill>
      </fill>
    </dxf>
    <dxf>
      <font>
        <b val="0"/>
        <i val="0"/>
        <color theme="5" tint="-0.24994659260841701"/>
      </font>
      <fill>
        <patternFill>
          <bgColor rgb="FFFFFF00"/>
        </patternFill>
      </fill>
    </dxf>
    <dxf>
      <font>
        <color theme="9" tint="-0.24994659260841701"/>
      </font>
    </dxf>
    <dxf>
      <font>
        <b/>
        <i/>
        <color theme="5" tint="-0.24994659260841701"/>
      </font>
      <fill>
        <patternFill>
          <bgColor rgb="FFFFFFCD"/>
        </patternFill>
      </fill>
    </dxf>
    <dxf>
      <font>
        <b/>
        <i/>
        <color theme="9" tint="-0.24994659260841701"/>
      </font>
      <fill>
        <patternFill>
          <bgColor theme="9" tint="0.79998168889431442"/>
        </patternFill>
      </fill>
    </dxf>
    <dxf>
      <font>
        <color theme="3" tint="0.499984740745262"/>
      </font>
    </dxf>
    <dxf>
      <font>
        <color rgb="FFFFC000"/>
      </font>
    </dxf>
    <dxf>
      <font>
        <color theme="9" tint="-0.24994659260841701"/>
      </font>
      <fill>
        <patternFill>
          <bgColor theme="9" tint="0.79998168889431442"/>
        </patternFill>
      </fill>
    </dxf>
    <dxf>
      <fill>
        <patternFill>
          <bgColor rgb="FFFF0000"/>
        </patternFill>
      </fill>
    </dxf>
    <dxf>
      <font>
        <color rgb="FFFFE7E7"/>
      </font>
    </dxf>
    <dxf>
      <font>
        <color rgb="FFFFC000"/>
      </font>
    </dxf>
    <dxf>
      <font>
        <color theme="9" tint="-0.24994659260841701"/>
      </font>
    </dxf>
    <dxf>
      <font>
        <b/>
        <i/>
        <color theme="5" tint="-0.24994659260841701"/>
      </font>
      <fill>
        <patternFill>
          <bgColor rgb="FFFFFFCD"/>
        </patternFill>
      </fill>
    </dxf>
    <dxf>
      <font>
        <b/>
        <i/>
        <color theme="9" tint="-0.24994659260841701"/>
      </font>
      <fill>
        <patternFill>
          <bgColor theme="9" tint="0.79998168889431442"/>
        </patternFill>
      </fill>
    </dxf>
    <dxf>
      <font>
        <color theme="3" tint="0.499984740745262"/>
      </font>
    </dxf>
    <dxf>
      <font>
        <color rgb="FFFFC000"/>
      </font>
    </dxf>
    <dxf>
      <font>
        <color theme="9" tint="-0.24994659260841701"/>
      </font>
    </dxf>
    <dxf>
      <font>
        <color theme="9" tint="-0.24994659260841701"/>
      </font>
      <fill>
        <patternFill>
          <bgColor theme="9" tint="0.79998168889431442"/>
        </patternFill>
      </fill>
    </dxf>
    <dxf>
      <font>
        <b val="0"/>
        <i val="0"/>
        <color theme="5" tint="-0.24994659260841701"/>
      </font>
      <fill>
        <patternFill>
          <bgColor rgb="FFFFFF00"/>
        </patternFill>
      </fill>
    </dxf>
    <dxf>
      <font>
        <color theme="9" tint="-0.24994659260841701"/>
      </font>
    </dxf>
    <dxf>
      <font>
        <color theme="0"/>
      </font>
    </dxf>
    <dxf>
      <font>
        <b/>
        <i val="0"/>
        <color rgb="FFC00000"/>
      </font>
    </dxf>
    <dxf>
      <font>
        <b/>
        <i val="0"/>
        <color rgb="FFC00000"/>
      </font>
    </dxf>
    <dxf>
      <font>
        <b/>
        <i val="0"/>
        <color rgb="FFC00000"/>
      </font>
    </dxf>
    <dxf>
      <font>
        <color theme="0"/>
      </font>
    </dxf>
    <dxf>
      <font>
        <color theme="0"/>
      </font>
    </dxf>
    <dxf>
      <font>
        <b/>
        <i val="0"/>
        <color rgb="FFC00000"/>
      </font>
    </dxf>
    <dxf>
      <font>
        <color theme="0"/>
      </font>
    </dxf>
    <dxf>
      <font>
        <b/>
        <i val="0"/>
        <color rgb="FFC00000"/>
      </font>
    </dxf>
    <dxf>
      <font>
        <color theme="0"/>
      </font>
    </dxf>
    <dxf>
      <font>
        <color theme="0"/>
      </font>
    </dxf>
    <dxf>
      <fill>
        <patternFill>
          <bgColor rgb="FFFF0000"/>
        </patternFill>
      </fill>
    </dxf>
    <dxf>
      <fill>
        <patternFill>
          <bgColor rgb="FFFF0000"/>
        </patternFill>
      </fill>
    </dxf>
    <dxf>
      <font>
        <color rgb="FFFFC000"/>
      </font>
    </dxf>
    <dxf>
      <font>
        <color theme="9" tint="-0.24994659260841701"/>
      </font>
    </dxf>
    <dxf>
      <font>
        <color theme="3" tint="0.499984740745262"/>
      </font>
    </dxf>
    <dxf>
      <font>
        <color theme="3" tint="0.499984740745262"/>
      </font>
    </dxf>
    <dxf>
      <font>
        <color rgb="FFFFC000"/>
      </font>
    </dxf>
    <dxf>
      <font>
        <color theme="9" tint="-0.24994659260841701"/>
      </font>
    </dxf>
    <dxf>
      <font>
        <b/>
        <i val="0"/>
        <color theme="5" tint="-0.24994659260841701"/>
      </font>
      <fill>
        <patternFill>
          <bgColor rgb="FFFFE5C3"/>
        </patternFill>
      </fill>
    </dxf>
    <dxf>
      <font>
        <b/>
        <i val="0"/>
        <color theme="9" tint="-0.24994659260841701"/>
      </font>
      <fill>
        <patternFill>
          <bgColor theme="9" tint="0.79998168889431442"/>
        </patternFill>
      </fill>
    </dxf>
    <dxf>
      <font>
        <color rgb="FFFFC000"/>
      </font>
    </dxf>
    <dxf>
      <font>
        <color theme="9" tint="-0.24994659260841701"/>
      </font>
    </dxf>
    <dxf>
      <font>
        <color theme="3" tint="0.499984740745262"/>
      </font>
    </dxf>
    <dxf>
      <font>
        <color rgb="FFFFC000"/>
      </font>
    </dxf>
    <dxf>
      <font>
        <color theme="9" tint="-0.24994659260841701"/>
      </font>
    </dxf>
    <dxf>
      <font>
        <b/>
        <i val="0"/>
        <color theme="9" tint="-0.24994659260841701"/>
      </font>
      <fill>
        <patternFill>
          <bgColor theme="9" tint="0.79998168889431442"/>
        </patternFill>
      </fill>
    </dxf>
    <dxf>
      <font>
        <color theme="3" tint="0.499984740745262"/>
      </font>
    </dxf>
    <dxf>
      <font>
        <color rgb="FFFFC000"/>
      </font>
    </dxf>
    <dxf>
      <font>
        <color theme="9" tint="-0.24994659260841701"/>
      </font>
    </dxf>
    <dxf>
      <font>
        <b/>
        <i val="0"/>
        <color theme="5" tint="-0.24994659260841701"/>
      </font>
      <fill>
        <patternFill>
          <bgColor rgb="FFFFE5C3"/>
        </patternFill>
      </fill>
    </dxf>
    <dxf>
      <font>
        <color rgb="FFFFC000"/>
      </font>
    </dxf>
    <dxf>
      <font>
        <color theme="9" tint="-0.24994659260841701"/>
      </font>
    </dxf>
    <dxf>
      <font>
        <color rgb="FFFFC000"/>
      </font>
    </dxf>
    <dxf>
      <font>
        <color theme="9" tint="-0.24994659260841701"/>
      </font>
    </dxf>
    <dxf>
      <font>
        <color theme="3" tint="0.499984740745262"/>
      </font>
    </dxf>
    <dxf>
      <font>
        <b/>
        <i val="0"/>
        <color theme="5" tint="-0.24994659260841701"/>
      </font>
      <fill>
        <patternFill>
          <bgColor rgb="FFFFE5C3"/>
        </patternFill>
      </fill>
    </dxf>
    <dxf>
      <font>
        <b/>
        <i val="0"/>
        <color theme="9" tint="-0.24994659260841701"/>
      </font>
      <fill>
        <patternFill>
          <bgColor theme="9" tint="0.79998168889431442"/>
        </patternFill>
      </fill>
    </dxf>
    <dxf>
      <font>
        <color rgb="FFFFC000"/>
      </font>
    </dxf>
    <dxf>
      <font>
        <color theme="9" tint="-0.24994659260841701"/>
      </font>
    </dxf>
    <dxf>
      <font>
        <color theme="3" tint="0.499984740745262"/>
      </font>
    </dxf>
    <dxf>
      <font>
        <color rgb="FFFFC000"/>
      </font>
    </dxf>
    <dxf>
      <font>
        <color theme="9" tint="-0.24994659260841701"/>
      </font>
    </dxf>
    <dxf>
      <font>
        <color rgb="FFFFC000"/>
      </font>
    </dxf>
    <dxf>
      <font>
        <b/>
        <i val="0"/>
        <color theme="9" tint="-0.24994659260841701"/>
      </font>
      <fill>
        <patternFill>
          <bgColor theme="9" tint="0.79998168889431442"/>
        </patternFill>
      </fill>
    </dxf>
    <dxf>
      <font>
        <b/>
        <i val="0"/>
        <color theme="5" tint="-0.24994659260841701"/>
      </font>
      <fill>
        <patternFill>
          <bgColor rgb="FFFFE5C3"/>
        </patternFill>
      </fill>
    </dxf>
    <dxf>
      <font>
        <color theme="9" tint="-0.24994659260841701"/>
      </font>
    </dxf>
    <dxf>
      <font>
        <color rgb="FFFFC000"/>
      </font>
    </dxf>
    <dxf>
      <font>
        <color theme="3" tint="0.499984740745262"/>
      </font>
    </dxf>
    <dxf>
      <font>
        <color theme="9" tint="-0.24994659260841701"/>
      </font>
    </dxf>
    <dxf>
      <font>
        <color theme="3" tint="0.499984740745262"/>
      </font>
    </dxf>
    <dxf>
      <font>
        <color rgb="FFFFC000"/>
      </font>
    </dxf>
    <dxf>
      <font>
        <color theme="9" tint="-0.24994659260841701"/>
      </font>
    </dxf>
    <dxf>
      <font>
        <b/>
        <i val="0"/>
        <color theme="5" tint="-0.24994659260841701"/>
      </font>
      <fill>
        <patternFill>
          <bgColor rgb="FFFFE5C3"/>
        </patternFill>
      </fill>
    </dxf>
    <dxf>
      <font>
        <color rgb="FFFFC000"/>
      </font>
    </dxf>
    <dxf>
      <font>
        <b/>
        <i val="0"/>
        <color theme="9" tint="-0.24994659260841701"/>
      </font>
      <fill>
        <patternFill>
          <bgColor theme="9" tint="0.79998168889431442"/>
        </patternFill>
      </fill>
    </dxf>
    <dxf>
      <font>
        <color theme="9" tint="-0.24994659260841701"/>
      </font>
    </dxf>
    <dxf>
      <font>
        <b/>
        <i/>
        <color rgb="FFC00000"/>
      </font>
      <fill>
        <patternFill>
          <bgColor rgb="FFFFCDCD"/>
        </patternFill>
      </fill>
    </dxf>
    <dxf>
      <font>
        <b/>
        <i val="0"/>
        <color theme="0"/>
      </font>
      <fill>
        <patternFill>
          <bgColor theme="1"/>
        </patternFill>
      </fill>
    </dxf>
    <dxf>
      <font>
        <b/>
        <i/>
        <color theme="5" tint="-0.24994659260841701"/>
      </font>
      <fill>
        <patternFill>
          <bgColor rgb="FFFFFFCD"/>
        </patternFill>
      </fill>
    </dxf>
    <dxf>
      <font>
        <b/>
        <i/>
        <color theme="9" tint="-0.24994659260841701"/>
      </font>
      <fill>
        <patternFill>
          <bgColor theme="9" tint="0.79998168889431442"/>
        </patternFill>
      </fill>
    </dxf>
    <dxf>
      <font>
        <color rgb="FFFFC000"/>
      </font>
    </dxf>
    <dxf>
      <font>
        <color theme="9" tint="-0.24994659260841701"/>
      </font>
    </dxf>
    <dxf>
      <font>
        <color theme="3" tint="0.499984740745262"/>
      </font>
    </dxf>
    <dxf>
      <font>
        <color rgb="FFFFC000"/>
      </font>
    </dxf>
    <dxf>
      <font>
        <color theme="9" tint="-0.24994659260841701"/>
      </font>
    </dxf>
    <dxf>
      <font>
        <b/>
        <i val="0"/>
        <color theme="5" tint="-0.24994659260841701"/>
      </font>
      <fill>
        <patternFill>
          <bgColor rgb="FFFFE5C3"/>
        </patternFill>
      </fill>
    </dxf>
    <dxf>
      <font>
        <b/>
        <i val="0"/>
        <color theme="9" tint="-0.24994659260841701"/>
      </font>
      <fill>
        <patternFill>
          <bgColor theme="9" tint="0.79998168889431442"/>
        </patternFill>
      </fill>
    </dxf>
    <dxf>
      <font>
        <color theme="3" tint="0.499984740745262"/>
      </font>
    </dxf>
    <dxf>
      <font>
        <color rgb="FFFFC000"/>
      </font>
    </dxf>
    <dxf>
      <font>
        <color theme="9" tint="-0.24994659260841701"/>
      </font>
    </dxf>
    <dxf>
      <fill>
        <patternFill>
          <bgColor rgb="FFFFFF00"/>
        </patternFill>
      </fill>
    </dxf>
    <dxf>
      <fill>
        <patternFill>
          <bgColor rgb="FFFF0000"/>
        </patternFill>
      </fill>
    </dxf>
    <dxf>
      <font>
        <color rgb="FFFFE7E7"/>
      </font>
    </dxf>
    <dxf>
      <font>
        <color rgb="FFFFE7E7"/>
      </font>
    </dxf>
    <dxf>
      <font>
        <b/>
        <i/>
        <color theme="5" tint="-0.24994659260841701"/>
      </font>
      <fill>
        <patternFill>
          <bgColor rgb="FFFFFFCD"/>
        </patternFill>
      </fill>
    </dxf>
    <dxf>
      <font>
        <b/>
        <i/>
        <color theme="9" tint="-0.24994659260841701"/>
      </font>
      <fill>
        <patternFill>
          <bgColor theme="9" tint="0.79998168889431442"/>
        </patternFill>
      </fill>
    </dxf>
    <dxf>
      <font>
        <color theme="3" tint="0.499984740745262"/>
      </font>
    </dxf>
    <dxf>
      <font>
        <color rgb="FFFFC000"/>
      </font>
    </dxf>
    <dxf>
      <font>
        <color theme="9" tint="-0.24994659260841701"/>
      </font>
    </dxf>
    <dxf>
      <fill>
        <patternFill>
          <bgColor rgb="FFFFFF00"/>
        </patternFill>
      </fill>
    </dxf>
    <dxf>
      <font>
        <b/>
        <i val="0"/>
        <color rgb="FFC00000"/>
      </font>
    </dxf>
    <dxf>
      <font>
        <b/>
        <i val="0"/>
        <color rgb="FFC00000"/>
      </font>
    </dxf>
    <dxf>
      <font>
        <color theme="0"/>
      </font>
    </dxf>
    <dxf>
      <font>
        <color theme="0"/>
      </font>
    </dxf>
    <dxf>
      <font>
        <color theme="0"/>
      </font>
    </dxf>
    <dxf>
      <font>
        <b/>
        <i val="0"/>
        <color rgb="FFC00000"/>
      </font>
    </dxf>
    <dxf>
      <font>
        <b/>
        <i val="0"/>
        <color rgb="FFC00000"/>
      </font>
    </dxf>
    <dxf>
      <font>
        <color theme="0"/>
      </font>
    </dxf>
    <dxf>
      <fill>
        <patternFill>
          <bgColor rgb="FFFF0000"/>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ill>
        <patternFill>
          <bgColor rgb="FFFF0000"/>
        </patternFill>
      </fill>
    </dxf>
    <dxf>
      <font>
        <b/>
        <i val="0"/>
        <color theme="5" tint="-0.499984740745262"/>
      </font>
      <fill>
        <patternFill>
          <bgColor theme="4" tint="0.79998168889431442"/>
        </patternFill>
      </fill>
    </dxf>
    <dxf>
      <numFmt numFmtId="0" formatCode="General"/>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center" textRotation="0" wrapText="1" indent="0" justifyLastLine="0" shrinkToFit="0" readingOrder="0"/>
      <border diagonalUp="0" diagonalDown="0">
        <left/>
        <right/>
        <top style="thin">
          <color theme="0" tint="-4.9989318521683403E-2"/>
        </top>
        <bottom/>
        <vertical/>
        <horizontal/>
      </border>
    </dxf>
    <dxf>
      <border outline="0">
        <left style="thin">
          <color theme="0" tint="-4.9989318521683403E-2"/>
        </left>
      </border>
    </dxf>
    <dxf>
      <font>
        <b/>
        <strike val="0"/>
        <outline val="0"/>
        <shadow val="0"/>
        <u val="none"/>
        <vertAlign val="baseline"/>
        <color theme="0"/>
      </font>
      <fill>
        <patternFill>
          <bgColor theme="1"/>
        </patternFill>
      </fill>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tint="-4.9989318521683403E-2"/>
        </left>
        <right/>
        <top style="thin">
          <color theme="0" tint="-4.9989318521683403E-2"/>
        </top>
        <bottom/>
        <vertical/>
        <horizontal/>
      </border>
    </dxf>
    <dxf>
      <border outline="0">
        <top style="thin">
          <color theme="9" tint="0.39997558519241921"/>
        </top>
      </border>
    </dxf>
    <dxf>
      <fill>
        <patternFill patternType="solid">
          <fgColor theme="9"/>
          <bgColor theme="4" tint="-0.499984740745262"/>
        </patternFill>
      </fill>
      <alignment horizontal="center" vertical="center" textRotation="0" wrapText="0" indent="0" justifyLastLine="0" shrinkToFit="0" readingOrder="0"/>
    </dxf>
    <dxf>
      <numFmt numFmtId="0" formatCode="General"/>
      <fill>
        <patternFill>
          <fgColor indexed="64"/>
          <bgColor theme="9" tint="0.79998168889431442"/>
        </patternFill>
      </fill>
    </dxf>
    <dxf>
      <numFmt numFmtId="0" formatCode="General"/>
      <fill>
        <patternFill>
          <fgColor indexed="64"/>
          <bgColor theme="9" tint="0.79998168889431442"/>
        </patternFill>
      </fill>
    </dxf>
    <dxf>
      <numFmt numFmtId="0" formatCode="General"/>
      <fill>
        <patternFill>
          <fgColor indexed="64"/>
          <bgColor theme="9" tint="0.79998168889431442"/>
        </patternFill>
      </fill>
    </dxf>
    <dxf>
      <numFmt numFmtId="0" formatCode="General"/>
      <fill>
        <patternFill>
          <fgColor indexed="64"/>
          <bgColor theme="9" tint="0.79998168889431442"/>
        </patternFill>
      </fill>
    </dxf>
    <dxf>
      <numFmt numFmtId="165" formatCode="#,##0.00\ &quot;€&quot;"/>
      <fill>
        <patternFill>
          <fgColor indexed="64"/>
          <bgColor theme="9" tint="0.79998168889431442"/>
        </patternFill>
      </fill>
      <alignment horizontal="center" vertical="bottom" textRotation="0" wrapText="0" indent="0" justifyLastLine="0" shrinkToFit="0" readingOrder="0"/>
    </dxf>
    <dxf>
      <numFmt numFmtId="165" formatCode="#,##0.00\ &quot;€&quot;"/>
      <fill>
        <patternFill>
          <fgColor indexed="64"/>
          <bgColor theme="9" tint="0.79998168889431442"/>
        </patternFill>
      </fill>
    </dxf>
    <dxf>
      <fill>
        <patternFill>
          <fgColor indexed="64"/>
          <bgColor theme="9" tint="0.79998168889431442"/>
        </patternFill>
      </fill>
      <alignment horizontal="center" vertical="bottom" textRotation="0" wrapText="0" indent="0" justifyLastLine="0" shrinkToFit="0" readingOrder="0"/>
      <border diagonalUp="0" diagonalDown="0" outline="0">
        <left/>
        <right/>
        <top style="thin">
          <color theme="0" tint="-4.9989318521683403E-2"/>
        </top>
        <bottom style="thin">
          <color theme="0" tint="-4.9989318521683403E-2"/>
        </bottom>
      </border>
    </dxf>
    <dxf>
      <border outline="0">
        <left style="thin">
          <color theme="0" tint="-4.9989318521683403E-2"/>
        </left>
      </border>
    </dxf>
    <dxf>
      <fill>
        <patternFill>
          <fgColor indexed="64"/>
          <bgColor theme="9" tint="0.79998168889431442"/>
        </patternFill>
      </fill>
    </dxf>
    <dxf>
      <numFmt numFmtId="0" formatCode="General"/>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general" vertical="center" textRotation="0" wrapText="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font>
        <b val="0"/>
        <i val="0"/>
        <strike val="0"/>
        <condense val="0"/>
        <extend val="0"/>
        <outline val="0"/>
        <shadow val="0"/>
        <u val="none"/>
        <vertAlign val="baseline"/>
        <sz val="10"/>
        <color auto="1"/>
        <name val="Segoe UI"/>
        <family val="2"/>
        <scheme val="none"/>
      </font>
      <numFmt numFmtId="164" formatCode="_-* #,##0.00\ &quot;€&quot;_-;\-* #,##0.00\ &quot;€&quot;_-;_-* &quot;-&quot;??\ &quot;€&quot;_-;_-@_-"/>
      <alignment horizontal="center" vertical="center" textRotation="0" wrapText="1" indent="0" justifyLastLine="0" shrinkToFit="0" readingOrder="0"/>
    </dxf>
    <dxf>
      <font>
        <b val="0"/>
        <i val="0"/>
        <strike val="0"/>
        <condense val="0"/>
        <extend val="0"/>
        <outline val="0"/>
        <shadow val="0"/>
        <u val="none"/>
        <vertAlign val="baseline"/>
        <sz val="10"/>
        <color auto="1"/>
        <name val="Segoe UI"/>
        <family val="2"/>
        <scheme val="none"/>
      </font>
      <numFmt numFmtId="164" formatCode="_-* #,##0.00\ &quot;€&quot;_-;\-* #,##0.00\ &quot;€&quot;_-;_-* &quot;-&quot;??\ &quot;€&quot;_-;_-@_-"/>
      <fill>
        <patternFill patternType="none">
          <fgColor indexed="64"/>
          <bgColor indexed="65"/>
        </patternFill>
      </fill>
      <alignment horizontal="center" vertical="center" textRotation="0" wrapText="1" indent="0" justifyLastLine="0" shrinkToFit="0" readingOrder="0"/>
      <border diagonalUp="0" diagonalDown="0" outline="0">
        <left style="thin">
          <color theme="0" tint="-4.9989318521683403E-2"/>
        </left>
        <right/>
        <top style="thin">
          <color theme="0" tint="-4.9989318521683403E-2"/>
        </top>
        <bottom style="thin">
          <color theme="0" tint="-4.9989318521683403E-2"/>
        </bottom>
      </border>
    </dxf>
    <dxf>
      <font>
        <b val="0"/>
        <i val="0"/>
        <strike val="0"/>
        <condense val="0"/>
        <extend val="0"/>
        <outline val="0"/>
        <shadow val="0"/>
        <u val="none"/>
        <vertAlign val="baseline"/>
        <sz val="10"/>
        <color auto="1"/>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theme="0" tint="-4.9989318521683403E-2"/>
        </left>
        <right/>
        <top style="thin">
          <color theme="0" tint="-4.9989318521683403E-2"/>
        </top>
        <bottom style="thin">
          <color theme="0" tint="-4.9989318521683403E-2"/>
        </bottom>
      </border>
    </dxf>
    <dxf>
      <font>
        <b val="0"/>
        <i val="0"/>
        <strike val="0"/>
        <condense val="0"/>
        <extend val="0"/>
        <outline val="0"/>
        <shadow val="0"/>
        <u val="none"/>
        <vertAlign val="baseline"/>
        <sz val="10"/>
        <color auto="1"/>
        <name val="Segoe UI"/>
        <family val="2"/>
        <scheme val="none"/>
      </font>
      <numFmt numFmtId="19" formatCode="dd/mm/yyyy"/>
      <fill>
        <patternFill patternType="none">
          <fgColor indexed="64"/>
          <bgColor indexed="65"/>
        </patternFill>
      </fill>
      <alignment horizontal="center" vertical="center" textRotation="0" wrapText="0" indent="0" justifyLastLine="0" shrinkToFit="0" readingOrder="0"/>
      <border diagonalUp="0" diagonalDown="0" outline="0">
        <left style="thin">
          <color theme="0" tint="-4.9989318521683403E-2"/>
        </left>
        <right/>
        <top style="thin">
          <color theme="0" tint="-4.9989318521683403E-2"/>
        </top>
        <bottom style="thin">
          <color theme="0" tint="-4.9989318521683403E-2"/>
        </bottom>
      </border>
    </dxf>
    <dxf>
      <font>
        <b val="0"/>
        <i val="0"/>
        <strike val="0"/>
        <condense val="0"/>
        <extend val="0"/>
        <outline val="0"/>
        <shadow val="0"/>
        <u val="none"/>
        <vertAlign val="baseline"/>
        <sz val="10"/>
        <color auto="1"/>
        <name val="Segoe UI"/>
        <family val="2"/>
        <scheme val="none"/>
      </font>
      <numFmt numFmtId="19" formatCode="dd/mm/yyyy"/>
      <fill>
        <patternFill patternType="none">
          <fgColor indexed="64"/>
          <bgColor indexed="65"/>
        </patternFill>
      </fill>
      <alignment vertical="center" textRotation="0"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b val="0"/>
        <i val="0"/>
        <strike val="0"/>
        <condense val="0"/>
        <extend val="0"/>
        <outline val="0"/>
        <shadow val="0"/>
        <u val="none"/>
        <vertAlign val="baseline"/>
        <sz val="10"/>
        <color auto="1"/>
        <name val="Segoe UI"/>
        <family val="2"/>
        <scheme val="none"/>
      </font>
      <numFmt numFmtId="165" formatCode="#,##0.00\ &quot;€&quot;"/>
      <fill>
        <patternFill patternType="none">
          <fgColor indexed="64"/>
          <bgColor indexed="65"/>
        </patternFill>
      </fill>
      <alignment horizontal="center" vertical="center" textRotation="0" wrapText="0"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b val="0"/>
        <i val="0"/>
        <strike val="0"/>
        <condense val="0"/>
        <extend val="0"/>
        <outline val="0"/>
        <shadow val="0"/>
        <u val="none"/>
        <vertAlign val="baseline"/>
        <sz val="10"/>
        <color auto="1"/>
        <name val="Segoe U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b val="0"/>
        <i val="0"/>
        <strike val="0"/>
        <condense val="0"/>
        <extend val="0"/>
        <outline val="0"/>
        <shadow val="0"/>
        <u val="none"/>
        <vertAlign val="baseline"/>
        <sz val="10"/>
        <color auto="1"/>
        <name val="Segoe UI"/>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b val="0"/>
        <i val="0"/>
        <strike val="0"/>
        <condense val="0"/>
        <extend val="0"/>
        <outline val="0"/>
        <shadow val="0"/>
        <u val="none"/>
        <vertAlign val="baseline"/>
        <sz val="10"/>
        <color auto="1"/>
        <name val="Segoe UI"/>
        <family val="2"/>
        <scheme val="none"/>
      </font>
      <numFmt numFmtId="19" formatCode="dd/mm/yyyy"/>
      <fill>
        <patternFill patternType="none">
          <fgColor indexed="64"/>
          <bgColor indexed="65"/>
        </patternFill>
      </fill>
      <alignment horizontal="center" vertical="center" textRotation="0" wrapText="0"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b val="0"/>
        <i val="0"/>
        <strike val="0"/>
        <condense val="0"/>
        <extend val="0"/>
        <outline val="0"/>
        <shadow val="0"/>
        <u val="none"/>
        <vertAlign val="baseline"/>
        <sz val="10"/>
        <color auto="1"/>
        <name val="Segoe UI"/>
        <family val="2"/>
        <scheme val="none"/>
      </font>
      <numFmt numFmtId="19" formatCode="dd/mm/yyyy"/>
      <fill>
        <patternFill patternType="none">
          <fgColor indexed="64"/>
          <bgColor indexed="65"/>
        </patternFill>
      </fill>
      <alignment horizontal="left" vertical="center" textRotation="0" wrapText="0"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b val="0"/>
        <i val="0"/>
        <strike val="0"/>
        <condense val="0"/>
        <extend val="0"/>
        <outline val="0"/>
        <shadow val="0"/>
        <u val="none"/>
        <vertAlign val="baseline"/>
        <sz val="10"/>
        <color auto="1"/>
        <name val="Segoe UI"/>
        <family val="2"/>
        <scheme val="none"/>
      </font>
      <fill>
        <patternFill patternType="none">
          <fgColor indexed="64"/>
          <bgColor indexed="65"/>
        </patternFill>
      </fill>
      <alignment vertical="center" textRotation="0" indent="0" justifyLastLine="0" shrinkToFit="0" readingOrder="0"/>
      <border diagonalUp="0" diagonalDown="0" outline="0">
        <left/>
        <right style="thin">
          <color theme="0" tint="-4.9989318521683403E-2"/>
        </right>
        <top style="thin">
          <color theme="0" tint="-4.9989318521683403E-2"/>
        </top>
        <bottom style="thin">
          <color theme="0" tint="-4.9989318521683403E-2"/>
        </bottom>
      </border>
    </dxf>
    <dxf>
      <alignment vertical="center" textRotation="0" indent="0" justifyLastLine="0" shrinkToFit="0" readingOrder="0"/>
    </dxf>
    <dxf>
      <border outline="0">
        <top style="thin">
          <color theme="0" tint="-4.9989318521683403E-2"/>
        </top>
      </border>
    </dxf>
    <dxf>
      <border outline="0">
        <left style="thin">
          <color theme="0" tint="-4.9989318521683403E-2"/>
        </left>
        <right style="thin">
          <color theme="0" tint="-4.9989318521683403E-2"/>
        </right>
        <top style="thin">
          <color theme="0" tint="-4.9989318521683403E-2"/>
        </top>
        <bottom style="thin">
          <color theme="0" tint="-4.9989318521683403E-2"/>
        </bottom>
      </border>
    </dxf>
    <dxf>
      <alignment vertical="center" textRotation="0" indent="0" justifyLastLine="0" shrinkToFit="0" readingOrder="0"/>
    </dxf>
    <dxf>
      <border outline="0">
        <bottom style="thin">
          <color theme="0" tint="-4.9989318521683403E-2"/>
        </bottom>
      </border>
    </dxf>
    <dxf>
      <font>
        <strike val="0"/>
        <outline val="0"/>
        <shadow val="0"/>
        <u val="none"/>
        <vertAlign val="baseline"/>
        <sz val="9"/>
      </font>
      <alignment horizontal="center"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numFmt numFmtId="165" formatCode="#,##0.00\ &quot;€&quot;"/>
    </dxf>
    <dxf>
      <font>
        <b val="0"/>
        <i val="0"/>
        <strike val="0"/>
        <condense val="0"/>
        <extend val="0"/>
        <outline val="0"/>
        <shadow val="0"/>
        <u val="none"/>
        <vertAlign val="baseline"/>
        <sz val="10"/>
        <color theme="1"/>
        <name val="Segoe UI"/>
        <family val="2"/>
        <scheme val="none"/>
      </font>
      <numFmt numFmtId="165" formatCode="#,##0.00\ &quot;€&quot;"/>
    </dxf>
    <dxf>
      <font>
        <b val="0"/>
        <i val="0"/>
        <strike val="0"/>
        <condense val="0"/>
        <extend val="0"/>
        <outline val="0"/>
        <shadow val="0"/>
        <u val="none"/>
        <vertAlign val="baseline"/>
        <sz val="10"/>
        <color theme="1"/>
        <name val="Segoe UI"/>
        <family val="2"/>
        <scheme val="none"/>
      </font>
      <numFmt numFmtId="165" formatCode="#,##0.00\ &quot;€&quot;"/>
      <alignment horizontal="center" vertical="bottom" textRotation="0" wrapText="0" indent="0" justifyLastLine="0" shrinkToFit="0" readingOrder="0"/>
    </dxf>
    <dxf>
      <font>
        <b val="0"/>
        <i val="0"/>
        <strike val="0"/>
        <condense val="0"/>
        <extend val="0"/>
        <outline val="0"/>
        <shadow val="0"/>
        <u val="none"/>
        <vertAlign val="baseline"/>
        <sz val="10"/>
        <color theme="1"/>
        <name val="Segoe UI"/>
        <family val="2"/>
        <scheme val="none"/>
      </font>
      <numFmt numFmtId="165" formatCode="#,##0.00\ &quot;€&quot;"/>
      <alignment horizontal="center" vertical="bottom" textRotation="0" wrapText="0" indent="0" justifyLastLine="0" shrinkToFit="0" readingOrder="0"/>
    </dxf>
    <dxf>
      <font>
        <b val="0"/>
        <i val="0"/>
        <strike val="0"/>
        <condense val="0"/>
        <extend val="0"/>
        <outline val="0"/>
        <shadow val="0"/>
        <u val="none"/>
        <vertAlign val="baseline"/>
        <sz val="10"/>
        <color theme="1"/>
        <name val="Segoe UI"/>
        <family val="2"/>
        <scheme val="none"/>
      </font>
      <numFmt numFmtId="165" formatCode="#,##0.00\ &quot;€&quot;"/>
      <alignment horizontal="center" vertical="bottom" textRotation="0" wrapText="0" indent="0" justifyLastLine="0" shrinkToFit="0" readingOrder="0"/>
    </dxf>
    <dxf>
      <font>
        <b val="0"/>
        <i val="0"/>
        <strike val="0"/>
        <condense val="0"/>
        <extend val="0"/>
        <outline val="0"/>
        <shadow val="0"/>
        <u val="none"/>
        <vertAlign val="baseline"/>
        <sz val="10"/>
        <color theme="1"/>
        <name val="Segoe UI"/>
        <family val="2"/>
        <scheme val="none"/>
      </font>
      <numFmt numFmtId="165" formatCode="#,##0.00\ &quot;€&quot;"/>
      <alignment horizontal="center" vertical="bottom" textRotation="0" wrapText="0" indent="0" justifyLastLine="0" shrinkToFit="0" readingOrder="0"/>
    </dxf>
    <dxf>
      <font>
        <b val="0"/>
        <i val="0"/>
        <strike val="0"/>
        <condense val="0"/>
        <extend val="0"/>
        <outline val="0"/>
        <shadow val="0"/>
        <u val="none"/>
        <vertAlign val="baseline"/>
        <sz val="10"/>
        <color theme="1"/>
        <name val="Segoe UI"/>
        <family val="2"/>
        <scheme val="none"/>
      </font>
      <numFmt numFmtId="165" formatCode="#,##0.00\ &quot;€&quot;"/>
      <alignment horizontal="center" vertical="bottom" textRotation="0" wrapText="0" indent="0" justifyLastLine="0" shrinkToFit="0" readingOrder="0"/>
    </dxf>
    <dxf>
      <font>
        <b val="0"/>
        <i val="0"/>
        <strike val="0"/>
        <condense val="0"/>
        <extend val="0"/>
        <outline val="0"/>
        <shadow val="0"/>
        <u val="none"/>
        <vertAlign val="baseline"/>
        <sz val="10"/>
        <color theme="1"/>
        <name val="Segoe UI"/>
        <family val="2"/>
        <scheme val="none"/>
      </font>
      <numFmt numFmtId="165" formatCode="#,##0.00\ &quot;€&quot;"/>
      <alignment horizontal="center" vertical="bottom" textRotation="0" wrapText="0" indent="0" justifyLastLine="0" shrinkToFit="0" readingOrder="0"/>
    </dxf>
    <dxf>
      <font>
        <b val="0"/>
        <i val="0"/>
        <strike val="0"/>
        <condense val="0"/>
        <extend val="0"/>
        <outline val="0"/>
        <shadow val="0"/>
        <u val="none"/>
        <vertAlign val="baseline"/>
        <sz val="10"/>
        <color theme="1"/>
        <name val="Segoe UI"/>
        <family val="2"/>
        <scheme val="none"/>
      </font>
      <numFmt numFmtId="165" formatCode="#,##0.00\ &quot;€&quot;"/>
      <alignment horizontal="center" vertical="bottom" textRotation="0" wrapText="0" indent="0" justifyLastLine="0" shrinkToFit="0" readingOrder="0"/>
    </dxf>
    <dxf>
      <font>
        <b val="0"/>
        <i val="0"/>
        <strike val="0"/>
        <condense val="0"/>
        <extend val="0"/>
        <outline val="0"/>
        <shadow val="0"/>
        <u val="none"/>
        <vertAlign val="baseline"/>
        <sz val="10"/>
        <color theme="1"/>
        <name val="Segoe UI"/>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alignment horizontal="center" textRotation="0" indent="0" justifyLastLine="0" shrinkToFit="0" readingOrder="0"/>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dxf>
    <dxf>
      <font>
        <b val="0"/>
        <i val="0"/>
        <strike val="0"/>
        <condense val="0"/>
        <extend val="0"/>
        <outline val="0"/>
        <shadow val="0"/>
        <u val="none"/>
        <vertAlign val="baseline"/>
        <sz val="10"/>
        <color theme="1"/>
        <name val="Segoe U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Segoe UI"/>
        <family val="2"/>
        <scheme val="none"/>
      </font>
      <numFmt numFmtId="19" formatCode="dd/mm/yyyy"/>
      <alignment horizontal="center" vertical="bottom" textRotation="0" wrapText="0" indent="0" justifyLastLine="0" shrinkToFit="0" readingOrder="0"/>
    </dxf>
    <dxf>
      <font>
        <b/>
        <i val="0"/>
        <strike val="0"/>
        <condense val="0"/>
        <extend val="0"/>
        <outline val="0"/>
        <shadow val="0"/>
        <u val="none"/>
        <vertAlign val="baseline"/>
        <sz val="8"/>
        <color theme="1"/>
        <name val="Aptos Narrow"/>
        <family val="2"/>
        <scheme val="minor"/>
      </font>
      <alignment horizontal="center" vertical="center" textRotation="0" wrapText="1"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alignment horizontal="center" textRotation="0" wrapText="0" indent="0" justifyLastLine="0" shrinkToFit="0" readingOrder="0"/>
    </dxf>
    <dxf>
      <numFmt numFmtId="19" formatCode="dd/mm/yyyy"/>
      <alignment horizontal="center" vertical="bottom"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numFmt numFmtId="165" formatCode="#,##0.00\ &quot;€&quot;"/>
      <alignment horizontal="center" vertical="bottom" textRotation="0" wrapText="0" indent="0" justifyLastLine="0" shrinkToFit="0" readingOrder="0"/>
    </dxf>
    <dxf>
      <numFmt numFmtId="165" formatCode="#,##0.00\ &quot;€&quot;"/>
      <alignment horizontal="center" vertical="bottom" textRotation="0" wrapText="0" indent="0" justifyLastLine="0" shrinkToFit="0" readingOrder="0"/>
    </dxf>
    <dxf>
      <numFmt numFmtId="165" formatCode="#,##0.00\ &quot;€&quot;"/>
      <alignment horizontal="center" vertical="bottom" textRotation="0" wrapText="0" indent="0" justifyLastLine="0" shrinkToFit="0" readingOrder="0"/>
    </dxf>
    <dxf>
      <numFmt numFmtId="165" formatCode="#,##0.00\ &quot;€&quot;"/>
      <alignment horizontal="center" vertical="bottom" textRotation="0" wrapText="0" indent="0" justifyLastLine="0" shrinkToFit="0" readingOrder="0"/>
    </dxf>
    <dxf>
      <numFmt numFmtId="165" formatCode="#,##0.00\ &quot;€&quot;"/>
      <alignment horizontal="center" vertical="bottom" textRotation="0" wrapText="0" indent="0" justifyLastLine="0" shrinkToFit="0" readingOrder="0"/>
    </dxf>
    <dxf>
      <alignment horizontal="center" textRotation="0" wrapText="0" indent="0" justifyLastLine="0" shrinkToFit="0" readingOrder="0"/>
    </dxf>
    <dxf>
      <numFmt numFmtId="19" formatCode="dd/mm/yyyy"/>
    </dxf>
    <dxf>
      <font>
        <b val="0"/>
        <strike val="0"/>
        <outline val="0"/>
        <shadow val="0"/>
        <u val="none"/>
        <vertAlign val="baseline"/>
        <sz val="8"/>
        <color theme="0"/>
        <name val="Aptos Narrow"/>
        <family val="2"/>
        <scheme val="minor"/>
      </font>
      <fill>
        <patternFill patternType="solid">
          <fgColor indexed="64"/>
          <bgColor theme="7" tint="-0.499984740745262"/>
        </patternFill>
      </fill>
      <alignment horizontal="center" vertical="center" textRotation="0" wrapText="0" indent="0" justifyLastLine="0" shrinkToFit="0" readingOrder="0"/>
    </dxf>
    <dxf>
      <font>
        <b/>
        <i/>
        <sz val="8"/>
        <name val="Segoe UI"/>
        <family val="2"/>
        <scheme val="none"/>
      </font>
      <fill>
        <patternFill patternType="solid">
          <fgColor indexed="64"/>
          <bgColor theme="9" tint="0.59999389629810485"/>
        </patternFill>
      </fill>
      <alignment horizontal="center" vertical="center" textRotation="0" wrapText="0" indent="0" justifyLastLine="0" shrinkToFit="0" readingOrder="0"/>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border>
    </dxf>
    <dxf>
      <font>
        <sz val="10"/>
        <name val="Segoe UI"/>
        <family val="2"/>
        <scheme val="none"/>
      </font>
      <alignment horizontal="center" vertical="center" textRotation="0" wrapText="1"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border>
    </dxf>
    <dxf>
      <font>
        <sz val="10"/>
        <name val="Segoe UI"/>
        <family val="2"/>
        <scheme val="none"/>
      </font>
      <alignment horizontal="center" vertical="center" textRotation="0" wrapText="0" indent="0" justifyLastLine="0" shrinkToFit="0" readingOrder="0"/>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border>
    </dxf>
    <dxf>
      <font>
        <strike val="0"/>
        <outline val="0"/>
        <shadow val="0"/>
        <u val="none"/>
        <vertAlign val="baseline"/>
        <sz val="10"/>
        <name val="Segoe UI"/>
        <family val="2"/>
        <scheme val="none"/>
      </font>
      <alignment horizontal="center" vertical="center" textRotation="0" wrapText="0" indent="0" justifyLastLine="0" shrinkToFit="0" readingOrder="0"/>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style="thin">
          <color theme="0" tint="-4.9989318521683403E-2"/>
        </horizontal>
      </border>
    </dxf>
    <dxf>
      <font>
        <strike val="0"/>
        <outline val="0"/>
        <shadow val="0"/>
        <u val="none"/>
        <vertAlign val="baseline"/>
        <sz val="10"/>
        <name val="Segoe UI"/>
        <family val="2"/>
        <scheme val="none"/>
      </font>
      <fill>
        <patternFill patternType="solid">
          <fgColor indexed="64"/>
          <bgColor theme="0"/>
        </patternFill>
      </fill>
      <alignment horizontal="general" vertical="center" textRotation="0" wrapText="0" indent="0" justifyLastLine="0" shrinkToFit="0" readingOrder="0"/>
    </dxf>
    <dxf>
      <font>
        <b/>
        <i val="0"/>
        <strike val="0"/>
        <condense val="0"/>
        <extend val="0"/>
        <outline val="0"/>
        <shadow val="0"/>
        <u val="none"/>
        <vertAlign val="baseline"/>
        <sz val="10"/>
        <color theme="1"/>
        <name val="Segoe UI"/>
        <family val="2"/>
        <scheme val="none"/>
      </font>
      <numFmt numFmtId="2" formatCode="0.00"/>
      <fill>
        <patternFill patternType="solid">
          <fgColor indexed="64"/>
          <bgColor theme="0" tint="-0.14999847407452621"/>
        </patternFill>
      </fill>
      <alignment horizontal="center" vertical="center" textRotation="0" wrapText="0" indent="0" justifyLastLine="0" shrinkToFit="0" readingOrder="0"/>
    </dxf>
    <dxf>
      <font>
        <b val="0"/>
        <strike val="0"/>
        <outline val="0"/>
        <shadow val="0"/>
        <u val="none"/>
        <vertAlign val="baseline"/>
        <sz val="10"/>
        <color theme="0" tint="-0.499984740745262"/>
        <name val="Segoe UI"/>
        <family val="2"/>
        <scheme val="none"/>
      </font>
      <numFmt numFmtId="165" formatCode="#,##0.00\ &quot;€&quot;"/>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0"/>
        <name val="Segoe UI"/>
        <family val="2"/>
        <scheme val="none"/>
      </font>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8"/>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b val="0"/>
        <i val="0"/>
        <strike val="0"/>
        <condense val="0"/>
        <extend val="0"/>
        <outline val="0"/>
        <shadow val="0"/>
        <u val="none"/>
        <vertAlign val="baseline"/>
        <sz val="10"/>
        <color theme="2" tint="-0.499984740745262"/>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10"/>
        <color theme="2" tint="-0.499984740745262"/>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10"/>
        <color theme="2" tint="-0.499984740745262"/>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10"/>
        <color theme="2" tint="-0.499984740745262"/>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10"/>
        <color theme="2" tint="-0.499984740745262"/>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10"/>
        <color theme="2" tint="-0.499984740745262"/>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10"/>
        <color theme="2" tint="-0.499984740745262"/>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10"/>
        <color theme="2" tint="-0.499984740745262"/>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10"/>
        <color theme="2" tint="-0.499984740745262"/>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10"/>
        <color theme="2" tint="-0.499984740745262"/>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10"/>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10"/>
        <name val="Segoe UI"/>
        <family val="2"/>
        <scheme val="none"/>
      </font>
      <fill>
        <patternFill patternType="solid">
          <fgColor indexed="64"/>
          <bgColor theme="0"/>
        </patternFill>
      </fill>
      <alignment horizontal="general" vertical="center" textRotation="0" wrapText="0" indent="0" justifyLastLine="0" shrinkToFit="0" readingOrder="0"/>
      <border outline="0">
        <left style="thin">
          <color theme="0"/>
        </left>
      </border>
    </dxf>
    <dxf>
      <font>
        <strike val="0"/>
        <outline val="0"/>
        <shadow val="0"/>
        <u val="none"/>
        <vertAlign val="baseline"/>
        <sz val="10"/>
        <color theme="1"/>
        <name val="Segoe UI"/>
        <family val="2"/>
        <scheme val="none"/>
      </font>
      <numFmt numFmtId="165" formatCode="#,##0.00\ &quot;€&quot;"/>
      <fill>
        <patternFill patternType="solid">
          <fgColor indexed="64"/>
          <bgColor rgb="FFECF9E7"/>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0"/>
        <color theme="0" tint="-0.499984740745262"/>
        <name val="Segoe UI"/>
        <family val="2"/>
        <scheme val="none"/>
      </font>
      <numFmt numFmtId="165" formatCode="#,##0.00\ &quot;€&quot;"/>
      <fill>
        <patternFill patternType="solid">
          <fgColor indexed="64"/>
          <bgColor rgb="FFECF9E7"/>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0"/>
        <name val="Segoe UI"/>
        <family val="2"/>
        <scheme val="none"/>
      </font>
      <fill>
        <patternFill patternType="none">
          <fgColor indexed="64"/>
          <bgColor auto="1"/>
        </patternFill>
      </fill>
      <alignment horizontal="general" vertical="center" textRotation="0" wrapText="0" indent="0" justifyLastLine="0" shrinkToFit="0" readingOrder="0"/>
      <border outline="0">
        <right style="thin">
          <color theme="0" tint="-4.9989318521683403E-2"/>
        </right>
      </border>
    </dxf>
    <dxf>
      <font>
        <b val="0"/>
        <i val="0"/>
        <strike val="0"/>
        <condense val="0"/>
        <extend val="0"/>
        <outline val="0"/>
        <shadow val="0"/>
        <u val="none"/>
        <vertAlign val="baseline"/>
        <sz val="8"/>
        <color theme="1"/>
        <name val="Segoe UI"/>
        <family val="2"/>
        <scheme val="none"/>
      </font>
      <alignment horizontal="center" vertical="center" textRotation="0" wrapText="0" indent="0" justifyLastLine="0" shrinkToFit="0" readingOrder="0"/>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style="thin">
          <color theme="0" tint="-4.9989318521683403E-2"/>
        </horizontal>
      </border>
    </dxf>
    <dxf>
      <font>
        <strike val="0"/>
        <outline val="0"/>
        <shadow val="0"/>
        <u val="none"/>
        <vertAlign val="baseline"/>
        <sz val="8"/>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b val="0"/>
        <i val="0"/>
        <strike val="0"/>
        <condense val="0"/>
        <extend val="0"/>
        <outline val="0"/>
        <shadow val="0"/>
        <u val="none"/>
        <vertAlign val="baseline"/>
        <sz val="10"/>
        <color theme="1"/>
        <name val="Segoe UI"/>
        <family val="2"/>
        <scheme val="none"/>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9"/>
        <color theme="2" tint="-0.499984740745262"/>
        <name val="Segoe UI"/>
        <family val="2"/>
        <scheme val="none"/>
      </font>
      <numFmt numFmtId="165" formatCode="#,##0.00\ &quot;€&quot;"/>
      <fill>
        <patternFill patternType="none">
          <fgColor indexed="64"/>
          <bgColor indexed="65"/>
        </patternFill>
      </fill>
      <alignment horizontal="center" vertical="center" textRotation="0" wrapText="0" indent="0" justifyLastLine="0" shrinkToFit="0" readingOrder="0"/>
      <border diagonalUp="0" diagonalDown="0">
        <left/>
        <right style="thin">
          <color theme="0" tint="-4.9989318521683403E-2"/>
        </right>
        <top/>
        <bottom/>
        <vertical/>
        <horizontal/>
      </border>
    </dxf>
    <dxf>
      <font>
        <strike val="0"/>
        <outline val="0"/>
        <shadow val="0"/>
        <u val="none"/>
        <vertAlign val="baseline"/>
        <sz val="8"/>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theme="0" tint="-4.9989318521683403E-2"/>
        </left>
        <right style="thin">
          <color theme="0" tint="-4.9989318521683403E-2"/>
        </right>
        <top style="thin">
          <color theme="0" tint="-4.9989318521683403E-2"/>
        </top>
        <bottom/>
        <vertical/>
        <horizontal/>
      </border>
    </dxf>
    <dxf>
      <font>
        <strike val="0"/>
        <outline val="0"/>
        <shadow val="0"/>
        <u val="none"/>
        <vertAlign val="baseline"/>
        <sz val="10"/>
        <name val="Segoe UI"/>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8"/>
        <color theme="1"/>
        <name val="Segoe UI"/>
        <family val="2"/>
        <scheme val="none"/>
      </font>
      <alignment horizontal="center" vertical="center" textRotation="0" wrapText="0" indent="0" justifyLastLine="0" shrinkToFit="0" readingOrder="0"/>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style="thin">
          <color theme="0" tint="-4.9989318521683403E-2"/>
        </horizontal>
      </border>
    </dxf>
    <dxf>
      <font>
        <b val="0"/>
        <i val="0"/>
        <strike val="0"/>
        <condense val="0"/>
        <extend val="0"/>
        <outline val="0"/>
        <shadow val="0"/>
        <u val="none"/>
        <vertAlign val="baseline"/>
        <sz val="8"/>
        <color theme="1"/>
        <name val="Segoe UI"/>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theme="0" tint="-4.9989318521683403E-2"/>
        </left>
        <right style="thin">
          <color theme="0" tint="-4.9989318521683403E-2"/>
        </right>
        <top style="thin">
          <color theme="0" tint="-4.9989318521683403E-2"/>
        </top>
        <bottom/>
        <vertical/>
        <horizontal/>
      </border>
    </dxf>
    <dxf>
      <font>
        <b val="0"/>
        <i val="0"/>
        <strike val="0"/>
        <condense val="0"/>
        <extend val="0"/>
        <outline val="0"/>
        <shadow val="0"/>
        <u val="none"/>
        <vertAlign val="baseline"/>
        <sz val="10"/>
        <color theme="1"/>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strike val="0"/>
        <outline val="0"/>
        <shadow val="0"/>
        <u val="none"/>
        <vertAlign val="baseline"/>
        <sz val="10"/>
        <color theme="0" tint="-0.34998626667073579"/>
        <name val="Segoe UI"/>
        <family val="2"/>
        <scheme val="none"/>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9"/>
        <color theme="2" tint="-0.499984740745262"/>
        <name val="Segoe UI"/>
        <family val="2"/>
        <scheme val="none"/>
      </font>
      <numFmt numFmtId="165" formatCode="#,##0.00\ &quot;€&quot;"/>
      <fill>
        <patternFill patternType="none">
          <fgColor indexed="64"/>
          <bgColor auto="1"/>
        </patternFill>
      </fill>
      <alignment horizontal="center" vertical="center" textRotation="0" wrapText="0" indent="0" justifyLastLine="0" shrinkToFit="0" readingOrder="0"/>
      <border outline="0">
        <right style="thin">
          <color theme="0" tint="-4.9989318521683403E-2"/>
        </right>
      </border>
    </dxf>
    <dxf>
      <font>
        <strike val="0"/>
        <outline val="0"/>
        <shadow val="0"/>
        <u val="none"/>
        <vertAlign val="baseline"/>
        <sz val="8"/>
        <name val="Segoe UI"/>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name val="Segoe UI"/>
        <family val="2"/>
        <scheme val="none"/>
      </font>
      <fill>
        <patternFill patternType="none">
          <fgColor indexed="64"/>
          <bgColor auto="1"/>
        </patternFill>
      </fill>
      <alignment horizontal="general" vertical="center" textRotation="0" wrapText="0" indent="0" justifyLastLine="0" shrinkToFit="0" readingOrder="0"/>
      <border outline="0">
        <left style="thin">
          <color theme="0" tint="-4.9989318521683403E-2"/>
        </left>
      </border>
    </dxf>
    <dxf>
      <font>
        <strike val="0"/>
        <outline val="0"/>
        <shadow val="0"/>
        <u val="none"/>
        <vertAlign val="baseline"/>
        <sz val="10"/>
        <name val="Segoe UI"/>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b val="0"/>
        <i val="0"/>
        <strike val="0"/>
        <condense val="0"/>
        <extend val="0"/>
        <outline val="0"/>
        <shadow val="0"/>
        <u val="none"/>
        <vertAlign val="baseline"/>
        <sz val="8"/>
        <color theme="2" tint="-0.499984740745262"/>
        <name val="Segoe UI"/>
        <family val="2"/>
        <scheme val="none"/>
      </font>
      <alignment horizontal="center" vertical="center" textRotation="0" wrapText="0" indent="0" justifyLastLine="0" shrinkToFit="0" readingOrder="0"/>
      <border diagonalUp="0" diagonalDown="0">
        <left/>
        <right style="thin">
          <color theme="0" tint="-4.9989318521683403E-2"/>
        </right>
        <top style="thin">
          <color theme="0" tint="-4.9989318521683403E-2"/>
        </top>
        <bottom style="thin">
          <color theme="0" tint="-4.9989318521683403E-2"/>
        </bottom>
        <vertical/>
        <horizontal/>
      </border>
    </dxf>
    <dxf>
      <font>
        <b val="0"/>
        <i val="0"/>
        <strike val="0"/>
        <condense val="0"/>
        <extend val="0"/>
        <outline val="0"/>
        <shadow val="0"/>
        <u val="none"/>
        <vertAlign val="baseline"/>
        <sz val="8"/>
        <color theme="2" tint="-0.499984740745262"/>
        <name val="Segoe UI"/>
        <family val="2"/>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left/>
        <right style="thin">
          <color theme="0" tint="-4.9989318521683403E-2"/>
        </right>
        <top style="thin">
          <color theme="0" tint="-4.9989318521683403E-2"/>
        </top>
        <bottom style="thin">
          <color theme="0" tint="-4.9989318521683403E-2"/>
        </bottom>
      </border>
    </dxf>
    <dxf>
      <font>
        <b val="0"/>
        <i val="0"/>
        <strike val="0"/>
        <condense val="0"/>
        <extend val="0"/>
        <outline val="0"/>
        <shadow val="0"/>
        <u val="none"/>
        <vertAlign val="baseline"/>
        <sz val="8"/>
        <color theme="2" tint="-0.499984740745262"/>
        <name val="Segoe UI"/>
        <family val="2"/>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left/>
        <right style="thin">
          <color theme="0" tint="-4.9989318521683403E-2"/>
        </right>
        <top style="thin">
          <color theme="0" tint="-4.9989318521683403E-2"/>
        </top>
        <bottom style="thin">
          <color theme="0" tint="-4.9989318521683403E-2"/>
        </bottom>
      </border>
    </dxf>
    <dxf>
      <font>
        <b val="0"/>
        <i val="0"/>
        <strike val="0"/>
        <condense val="0"/>
        <extend val="0"/>
        <outline val="0"/>
        <shadow val="0"/>
        <u val="none"/>
        <vertAlign val="baseline"/>
        <sz val="8"/>
        <color theme="2" tint="-0.499984740745262"/>
        <name val="Segoe UI"/>
        <family val="2"/>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left/>
        <right style="thin">
          <color theme="0" tint="-4.9989318521683403E-2"/>
        </right>
        <top style="thin">
          <color theme="0" tint="-4.9989318521683403E-2"/>
        </top>
        <bottom style="thin">
          <color theme="0" tint="-4.9989318521683403E-2"/>
        </bottom>
      </border>
    </dxf>
    <dxf>
      <font>
        <b val="0"/>
        <i val="0"/>
        <strike val="0"/>
        <condense val="0"/>
        <extend val="0"/>
        <outline val="0"/>
        <shadow val="0"/>
        <u val="none"/>
        <vertAlign val="baseline"/>
        <sz val="8"/>
        <color theme="2" tint="-0.499984740745262"/>
        <name val="Segoe UI"/>
        <family val="2"/>
        <scheme val="none"/>
      </font>
      <numFmt numFmtId="0" formatCode="General"/>
      <alignment horizontal="center" vertical="center" textRotation="0" wrapText="0" indent="0" justifyLastLine="0" shrinkToFit="0" readingOrder="0"/>
      <border diagonalUp="0" diagonalDown="0">
        <left/>
        <right style="thin">
          <color theme="0" tint="-4.9989318521683403E-2"/>
        </right>
        <top style="thin">
          <color theme="0" tint="-4.9989318521683403E-2"/>
        </top>
        <bottom style="thin">
          <color theme="0" tint="-4.9989318521683403E-2"/>
        </bottom>
        <vertical/>
        <horizontal/>
      </border>
    </dxf>
    <dxf>
      <font>
        <b val="0"/>
        <i val="0"/>
        <strike val="0"/>
        <condense val="0"/>
        <extend val="0"/>
        <outline val="0"/>
        <shadow val="0"/>
        <u val="none"/>
        <vertAlign val="baseline"/>
        <sz val="8"/>
        <color theme="2" tint="-0.499984740745262"/>
        <name val="Segoe UI"/>
        <family val="2"/>
        <scheme val="none"/>
      </font>
      <numFmt numFmtId="0" formatCode="General"/>
      <alignment horizontal="center" vertical="center" textRotation="0" wrapText="0" indent="0" justifyLastLine="0" shrinkToFit="0" readingOrder="0"/>
      <border diagonalUp="0" diagonalDown="0">
        <left/>
        <right style="thin">
          <color theme="0" tint="-4.9989318521683403E-2"/>
        </right>
        <top style="thin">
          <color theme="0" tint="-4.9989318521683403E-2"/>
        </top>
        <bottom style="thin">
          <color theme="0" tint="-4.9989318521683403E-2"/>
        </bottom>
        <vertical/>
        <horizontal/>
      </border>
    </dxf>
    <dxf>
      <font>
        <b val="0"/>
        <i val="0"/>
        <strike val="0"/>
        <condense val="0"/>
        <extend val="0"/>
        <outline val="0"/>
        <shadow val="0"/>
        <u val="none"/>
        <vertAlign val="baseline"/>
        <sz val="8"/>
        <color theme="2" tint="-0.499984740745262"/>
        <name val="Segoe UI"/>
        <family val="2"/>
        <scheme val="none"/>
      </font>
      <numFmt numFmtId="0" formatCode="General"/>
      <alignment horizontal="center" vertical="center" textRotation="0" wrapText="0" indent="0" justifyLastLine="0" shrinkToFit="0" readingOrder="0"/>
      <border diagonalUp="0" diagonalDown="0">
        <left/>
        <right style="thin">
          <color theme="0" tint="-4.9989318521683403E-2"/>
        </right>
        <top style="thin">
          <color theme="0" tint="-4.9989318521683403E-2"/>
        </top>
        <bottom style="thin">
          <color theme="0" tint="-4.9989318521683403E-2"/>
        </bottom>
        <vertical/>
        <horizontal/>
      </border>
    </dxf>
    <dxf>
      <font>
        <b val="0"/>
        <i val="0"/>
        <strike val="0"/>
        <condense val="0"/>
        <extend val="0"/>
        <outline val="0"/>
        <shadow val="0"/>
        <u val="none"/>
        <vertAlign val="baseline"/>
        <sz val="8"/>
        <color theme="2" tint="-0.499984740745262"/>
        <name val="Segoe UI"/>
        <family val="2"/>
        <scheme val="none"/>
      </font>
      <numFmt numFmtId="0" formatCode="General"/>
      <alignment horizontal="center" vertical="center" textRotation="0" wrapText="0" indent="0" justifyLastLine="0" shrinkToFit="0" readingOrder="0"/>
      <border diagonalUp="0" diagonalDown="0">
        <left/>
        <right style="thin">
          <color theme="0" tint="-4.9989318521683403E-2"/>
        </right>
        <top style="thin">
          <color theme="0" tint="-4.9989318521683403E-2"/>
        </top>
        <bottom style="thin">
          <color theme="0" tint="-4.9989318521683403E-2"/>
        </bottom>
        <vertical/>
        <horizontal/>
      </border>
    </dxf>
    <dxf>
      <font>
        <strike val="0"/>
        <outline val="0"/>
        <shadow val="0"/>
        <u val="none"/>
        <vertAlign val="baseline"/>
        <sz val="8"/>
        <color theme="2" tint="-0.499984740745262"/>
        <name val="Segoe UI"/>
        <family val="2"/>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theme="0" tint="-4.9989318521683403E-2"/>
        </left>
        <right style="thin">
          <color theme="0" tint="-4.9989318521683403E-2"/>
        </right>
        <top style="thin">
          <color theme="0" tint="-4.9989318521683403E-2"/>
        </top>
        <bottom style="thin">
          <color theme="0" tint="-4.9989318521683403E-2"/>
        </bottom>
      </border>
    </dxf>
    <dxf>
      <font>
        <strike val="0"/>
        <outline val="0"/>
        <shadow val="0"/>
        <u val="none"/>
        <vertAlign val="baseline"/>
        <sz val="9"/>
        <color theme="2" tint="-0.499984740745262"/>
        <name val="Segoe UI"/>
        <family val="2"/>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alignment horizontal="general" vertical="center" textRotation="0" wrapText="0" indent="0" justifyLastLine="0" shrinkToFit="0" readingOrder="0"/>
    </dxf>
    <dxf>
      <font>
        <b/>
        <strike val="0"/>
        <outline val="0"/>
        <shadow val="0"/>
        <u val="none"/>
        <vertAlign val="baseline"/>
        <sz val="8"/>
        <color theme="0"/>
        <name val="Aptos Narrow"/>
        <family val="2"/>
        <scheme val="minor"/>
      </font>
      <fill>
        <patternFill patternType="solid">
          <fgColor indexed="64"/>
          <bgColor theme="4" tint="-0.499984740745262"/>
        </patternFill>
      </fill>
      <alignment horizontal="center" vertical="center" textRotation="0" wrapText="1" indent="0" justifyLastLine="0" shrinkToFit="0" readingOrder="0"/>
    </dxf>
    <dxf>
      <font>
        <sz val="9"/>
        <name val="Segoe UI"/>
        <family val="2"/>
        <scheme val="none"/>
      </font>
      <fill>
        <patternFill>
          <fgColor indexed="64"/>
          <bgColor theme="0"/>
        </patternFill>
      </fill>
      <alignment horizontal="center" vertical="center" textRotation="0" wrapText="0" indent="0" justifyLastLine="0" shrinkToFit="0" readingOrder="0"/>
      <border diagonalUp="0" diagonalDown="0" outline="0">
        <left style="thin">
          <color theme="0" tint="-4.9989318521683403E-2"/>
        </left>
        <right style="thin">
          <color theme="0" tint="-4.9989318521683403E-2"/>
        </right>
        <top style="thin">
          <color theme="0" tint="-4.9989318521683403E-2"/>
        </top>
        <bottom/>
      </border>
    </dxf>
    <dxf>
      <font>
        <b val="0"/>
        <i val="0"/>
        <strike val="0"/>
        <condense val="0"/>
        <extend val="0"/>
        <outline val="0"/>
        <shadow val="0"/>
        <u val="none"/>
        <vertAlign val="baseline"/>
        <sz val="10"/>
        <color theme="1"/>
        <name val="Segoe UI"/>
        <family val="2"/>
        <scheme val="none"/>
      </font>
      <alignment horizontal="center" vertical="center" textRotation="0" wrapText="1" indent="0" justifyLastLine="0" shrinkToFit="0" readingOrder="0"/>
      <border diagonalUp="0" diagonalDown="0" outline="0">
        <left style="thin">
          <color theme="0" tint="-4.9989318521683403E-2"/>
        </left>
        <right style="thin">
          <color theme="0" tint="-4.9989318521683403E-2"/>
        </right>
        <top style="thin">
          <color theme="0" tint="-4.9989318521683403E-2"/>
        </top>
        <bottom/>
      </border>
    </dxf>
    <dxf>
      <font>
        <b val="0"/>
        <i val="0"/>
        <strike val="0"/>
        <condense val="0"/>
        <extend val="0"/>
        <outline val="0"/>
        <shadow val="0"/>
        <u val="none"/>
        <vertAlign val="baseline"/>
        <sz val="10"/>
        <color theme="1"/>
        <name val="Segoe UI"/>
        <family val="2"/>
        <scheme val="none"/>
      </font>
      <alignment horizontal="center" vertical="center" textRotation="0" wrapText="1" indent="0" justifyLastLine="0" shrinkToFit="0" readingOrder="0"/>
      <border diagonalUp="0" diagonalDown="0">
        <left style="thin">
          <color theme="0" tint="-4.9989318521683403E-2"/>
        </left>
        <right style="thin">
          <color theme="0" tint="-4.9989318521683403E-2"/>
        </right>
        <top/>
        <bottom/>
        <vertical/>
        <horizontal/>
      </border>
    </dxf>
    <dxf>
      <font>
        <sz val="10"/>
        <name val="Segoe UI"/>
        <family val="2"/>
        <scheme val="none"/>
      </font>
      <alignment horizontal="center" vertical="center" textRotation="0" wrapText="1"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strike val="0"/>
        <outline val="0"/>
        <shadow val="0"/>
        <u val="none"/>
        <vertAlign val="baseline"/>
        <sz val="10"/>
        <name val="Segoe UI"/>
        <family val="2"/>
        <scheme val="none"/>
      </font>
      <alignment horizontal="center" vertical="center" textRotation="0" wrapText="0" indent="0" justifyLastLine="0" shrinkToFit="0" readingOrder="0"/>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style="thin">
          <color theme="0" tint="-4.9989318521683403E-2"/>
        </horizontal>
      </border>
    </dxf>
    <dxf>
      <font>
        <strike val="0"/>
        <outline val="0"/>
        <shadow val="0"/>
        <u val="none"/>
        <vertAlign val="baseline"/>
        <sz val="10"/>
        <name val="Segoe UI"/>
        <family val="2"/>
        <scheme val="none"/>
      </font>
      <fill>
        <patternFill patternType="solid">
          <fgColor indexed="64"/>
          <bgColor theme="0"/>
        </patternFill>
      </fill>
      <alignment horizontal="general" vertical="center" textRotation="0" wrapText="0" indent="0" justifyLastLine="0" shrinkToFit="0" readingOrder="0"/>
    </dxf>
    <dxf>
      <font>
        <b/>
        <i val="0"/>
        <strike val="0"/>
        <condense val="0"/>
        <extend val="0"/>
        <outline val="0"/>
        <shadow val="0"/>
        <u val="none"/>
        <vertAlign val="baseline"/>
        <sz val="10"/>
        <color theme="1"/>
        <name val="Segoe UI"/>
        <family val="2"/>
        <scheme val="none"/>
      </font>
      <numFmt numFmtId="2" formatCode="0.00"/>
      <fill>
        <patternFill patternType="solid">
          <fgColor indexed="64"/>
          <bgColor theme="0" tint="-4.9989318521683403E-2"/>
        </patternFill>
      </fill>
      <alignment horizontal="center" vertical="center" textRotation="0" wrapText="0" indent="0" justifyLastLine="0" shrinkToFit="0" readingOrder="0"/>
    </dxf>
    <dxf>
      <font>
        <b val="0"/>
        <strike val="0"/>
        <outline val="0"/>
        <shadow val="0"/>
        <u val="none"/>
        <vertAlign val="baseline"/>
        <sz val="10"/>
        <color theme="2" tint="-0.499984740745262"/>
        <name val="Segoe UI"/>
        <family val="2"/>
        <scheme val="none"/>
      </font>
      <numFmt numFmtId="2" formatCode="0.00"/>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0"/>
        <name val="Segoe UI"/>
        <family val="2"/>
        <scheme val="none"/>
      </font>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8"/>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10"/>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b val="0"/>
        <i val="0"/>
        <strike val="0"/>
        <condense val="0"/>
        <extend val="0"/>
        <outline val="0"/>
        <shadow val="0"/>
        <u val="none"/>
        <vertAlign val="baseline"/>
        <sz val="10"/>
        <color theme="2" tint="-0.499984740745262"/>
        <name val="Segoe UI"/>
        <family val="2"/>
        <scheme val="none"/>
      </font>
      <numFmt numFmtId="165" formatCode="#,##0.00\ &quot;€&quot;"/>
      <fill>
        <patternFill patternType="solid">
          <fgColor indexed="64"/>
          <bgColor rgb="FFFFE5E5"/>
        </patternFill>
      </fill>
      <alignment horizontal="center" vertical="center" textRotation="0" wrapText="0" indent="0" justifyLastLine="0" shrinkToFit="0" readingOrder="0"/>
    </dxf>
    <dxf>
      <font>
        <strike val="0"/>
        <outline val="0"/>
        <shadow val="0"/>
        <u val="none"/>
        <vertAlign val="baseline"/>
        <sz val="10"/>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10"/>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10"/>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10"/>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10"/>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10"/>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10"/>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border outline="0">
        <left style="thin">
          <color theme="0"/>
        </left>
      </border>
    </dxf>
    <dxf>
      <font>
        <strike val="0"/>
        <outline val="0"/>
        <shadow val="0"/>
        <u val="none"/>
        <vertAlign val="baseline"/>
        <sz val="10"/>
        <color theme="2" tint="-0.499984740745262"/>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10"/>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border>
        <right style="thin">
          <color theme="0"/>
        </right>
      </border>
    </dxf>
    <dxf>
      <font>
        <strike val="0"/>
        <outline val="0"/>
        <shadow val="0"/>
        <u val="none"/>
        <vertAlign val="baseline"/>
        <sz val="10"/>
        <name val="Segoe UI"/>
        <family val="2"/>
        <scheme val="none"/>
      </font>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0"/>
        <name val="Segoe UI"/>
        <family val="2"/>
        <scheme val="none"/>
      </font>
      <numFmt numFmtId="165" formatCode="#,##0.00\ &quot;€&quot;"/>
      <fill>
        <patternFill patternType="solid">
          <fgColor indexed="64"/>
          <bgColor rgb="FFECF9E7"/>
        </patternFill>
      </fill>
      <alignment horizontal="center" vertical="center" textRotation="0" wrapText="0" indent="0" justifyLastLine="0" shrinkToFit="0" readingOrder="0"/>
    </dxf>
    <dxf>
      <font>
        <strike val="0"/>
        <outline val="0"/>
        <shadow val="0"/>
        <u val="none"/>
        <vertAlign val="baseline"/>
        <sz val="10"/>
        <color theme="2" tint="-0.499984740745262"/>
        <name val="Segoe UI"/>
        <family val="2"/>
        <scheme val="none"/>
      </font>
      <numFmt numFmtId="165" formatCode="#,##0.00\ &quot;€&quot;"/>
      <fill>
        <patternFill patternType="solid">
          <fgColor indexed="64"/>
          <bgColor rgb="FFECF9E7"/>
        </patternFill>
      </fill>
      <alignment horizontal="center" vertical="center" textRotation="0" wrapText="0" indent="0" justifyLastLine="0" shrinkToFit="0" readingOrder="0"/>
    </dxf>
    <dxf>
      <font>
        <strike val="0"/>
        <outline val="0"/>
        <shadow val="0"/>
        <u val="none"/>
        <vertAlign val="baseline"/>
        <sz val="10"/>
        <name val="Segoe U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9"/>
        <color theme="2" tint="-0.499984740745262"/>
        <name val="Segoe UI"/>
        <family val="2"/>
        <scheme val="none"/>
      </font>
      <numFmt numFmtId="165" formatCode="#,##0.00\ &quot;€&quot;"/>
      <alignment horizontal="center" vertical="center" textRotation="0" wrapText="0" indent="0" justifyLastLine="0" shrinkToFit="0" readingOrder="0"/>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border>
    </dxf>
    <dxf>
      <font>
        <strike val="0"/>
        <outline val="0"/>
        <shadow val="0"/>
        <u val="none"/>
        <vertAlign val="baseline"/>
        <sz val="8"/>
        <name val="Segoe UI"/>
        <family val="2"/>
        <scheme val="none"/>
      </font>
      <alignment horizontal="center" vertical="center" textRotation="0" wrapText="0" indent="0" justifyLastLine="0" shrinkToFit="0" readingOrder="0"/>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border>
    </dxf>
    <dxf>
      <font>
        <strike val="0"/>
        <outline val="0"/>
        <shadow val="0"/>
        <u val="none"/>
        <vertAlign val="baseline"/>
        <sz val="10"/>
        <name val="Segoe UI"/>
        <family val="2"/>
        <scheme val="none"/>
      </font>
      <alignment horizontal="center" vertical="center" textRotation="0" wrapText="0"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strike val="0"/>
        <outline val="0"/>
        <shadow val="0"/>
        <u val="none"/>
        <vertAlign val="baseline"/>
        <sz val="9"/>
        <color theme="2" tint="-0.499984740745262"/>
        <name val="Segoe UI"/>
        <family val="2"/>
        <scheme val="none"/>
      </font>
      <numFmt numFmtId="165" formatCode="#,##0.00\ &quot;€&quot;"/>
      <alignment horizontal="center" vertical="center" textRotation="0" wrapText="0" indent="0" justifyLastLine="0" shrinkToFit="0" readingOrder="0"/>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border>
    </dxf>
    <dxf>
      <font>
        <strike val="0"/>
        <outline val="0"/>
        <shadow val="0"/>
        <u val="none"/>
        <vertAlign val="baseline"/>
        <sz val="8"/>
        <name val="Segoe UI"/>
        <family val="2"/>
        <scheme val="none"/>
      </font>
      <alignment horizontal="center" vertical="center" textRotation="0" wrapText="1"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strike val="0"/>
        <outline val="0"/>
        <shadow val="0"/>
        <u val="none"/>
        <vertAlign val="baseline"/>
        <sz val="10"/>
        <name val="Segoe U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9"/>
        <color theme="2" tint="-0.499984740745262"/>
        <name val="Segoe UI"/>
        <family val="2"/>
        <scheme val="none"/>
      </font>
      <numFmt numFmtId="165" formatCode="#,##0.00\ &quot;€&quot;"/>
      <alignment horizontal="center" vertical="center" textRotation="0" wrapText="0" indent="0" justifyLastLine="0" shrinkToFit="0" readingOrder="0"/>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border>
    </dxf>
    <dxf>
      <font>
        <b val="0"/>
        <i val="0"/>
        <strike val="0"/>
        <condense val="0"/>
        <extend val="0"/>
        <outline val="0"/>
        <shadow val="0"/>
        <u val="none"/>
        <vertAlign val="baseline"/>
        <sz val="8"/>
        <color theme="1"/>
        <name val="Segoe UI"/>
        <family val="2"/>
        <scheme val="none"/>
      </font>
      <alignment horizontal="center" vertical="center" textRotation="0" wrapText="0" indent="0" justifyLastLine="0" shrinkToFit="0" readingOrder="0"/>
      <border diagonalUp="0" diagonalDown="0">
        <left style="thin">
          <color theme="0" tint="-4.9989318521683403E-2"/>
        </left>
        <right style="thin">
          <color theme="0" tint="-4.9989318521683403E-2"/>
        </right>
        <top/>
        <bottom style="thin">
          <color theme="0" tint="-4.9989318521683403E-2"/>
        </bottom>
        <vertical/>
        <horizontal/>
      </border>
    </dxf>
    <dxf>
      <font>
        <b val="0"/>
        <i val="0"/>
        <strike val="0"/>
        <condense val="0"/>
        <extend val="0"/>
        <outline val="0"/>
        <shadow val="0"/>
        <u val="none"/>
        <vertAlign val="baseline"/>
        <sz val="10"/>
        <color auto="1"/>
        <name val="Segoe UI"/>
        <family val="2"/>
        <scheme val="none"/>
      </font>
      <alignment horizontal="center" vertical="center" textRotation="0" wrapText="0" indent="0" justifyLastLine="0" shrinkToFit="0" readingOrder="0"/>
      <border diagonalUp="0" diagonalDown="0" outline="0">
        <left/>
        <right style="thin">
          <color theme="0" tint="-4.9989318521683403E-2"/>
        </right>
        <top/>
        <bottom/>
      </border>
    </dxf>
    <dxf>
      <font>
        <b val="0"/>
        <i val="0"/>
        <strike val="0"/>
        <condense val="0"/>
        <extend val="0"/>
        <outline val="0"/>
        <shadow val="0"/>
        <u val="none"/>
        <vertAlign val="baseline"/>
        <sz val="10"/>
        <color theme="0" tint="-0.499984740745262"/>
        <name val="Segoe UI"/>
        <family val="2"/>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theme="0" tint="-4.9989318521683403E-2"/>
        </left>
        <right style="thin">
          <color theme="0" tint="-4.9989318521683403E-2"/>
        </right>
        <top style="thin">
          <color theme="0" tint="-4.9989318521683403E-2"/>
        </top>
        <bottom style="thin">
          <color theme="0" tint="-4.9989318521683403E-2"/>
        </bottom>
      </border>
    </dxf>
    <dxf>
      <font>
        <strike val="0"/>
        <outline val="0"/>
        <shadow val="0"/>
        <u val="none"/>
        <vertAlign val="baseline"/>
        <sz val="9"/>
        <color theme="2" tint="-0.499984740745262"/>
        <name val="Segoe UI"/>
        <family val="2"/>
        <scheme val="none"/>
      </font>
      <numFmt numFmtId="165" formatCode="#,##0.00\ &quot;€&quot;"/>
      <alignment horizontal="center" vertical="center" textRotation="0" wrapText="0" indent="0" justifyLastLine="0" shrinkToFit="0" readingOrder="0"/>
      <border outline="0">
        <right style="thin">
          <color theme="0" tint="-4.9989318521683403E-2"/>
        </right>
      </border>
    </dxf>
    <dxf>
      <font>
        <strike val="0"/>
        <outline val="0"/>
        <shadow val="0"/>
        <u val="none"/>
        <vertAlign val="baseline"/>
        <sz val="8"/>
        <name val="Segoe UI"/>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name val="Segoe UI"/>
        <family val="2"/>
        <scheme val="none"/>
      </font>
      <fill>
        <patternFill patternType="solid">
          <fgColor indexed="64"/>
          <bgColor theme="0"/>
        </patternFill>
      </fill>
      <alignment horizontal="general" vertical="center" textRotation="0" wrapText="0" indent="0" justifyLastLine="0" shrinkToFit="0" readingOrder="0"/>
      <border outline="0">
        <left style="thin">
          <color theme="0" tint="-4.9989318521683403E-2"/>
        </left>
      </border>
    </dxf>
    <dxf>
      <font>
        <strike val="0"/>
        <outline val="0"/>
        <shadow val="0"/>
        <u val="none"/>
        <vertAlign val="baseline"/>
        <sz val="10"/>
        <name val="Segoe UI"/>
        <family val="2"/>
        <scheme val="none"/>
      </font>
      <fill>
        <patternFill patternType="solid">
          <fgColor indexed="64"/>
          <bgColor theme="0"/>
        </patternFill>
      </fill>
      <alignment horizontal="general" vertical="center" textRotation="0" wrapText="0" indent="0" justifyLastLine="0" shrinkToFit="0" readingOrder="0"/>
      <border diagonalUp="0" diagonalDown="0">
        <left style="thin">
          <color theme="0" tint="-4.9989318521683403E-2"/>
        </left>
        <right style="thin">
          <color theme="0" tint="-4.9989318521683403E-2"/>
        </right>
        <top/>
        <bottom style="thin">
          <color theme="0" tint="-4.9989318521683403E-2"/>
        </bottom>
        <vertical/>
        <horizontal/>
      </border>
    </dxf>
    <dxf>
      <font>
        <b val="0"/>
        <i val="0"/>
        <strike val="0"/>
        <condense val="0"/>
        <extend val="0"/>
        <outline val="0"/>
        <shadow val="0"/>
        <u val="none"/>
        <vertAlign val="baseline"/>
        <sz val="8"/>
        <color theme="1" tint="0.34998626667073579"/>
        <name val="Segoe UI"/>
        <family val="2"/>
        <scheme val="none"/>
      </font>
      <alignment horizontal="left" vertical="center" textRotation="0" wrapText="0" indent="0" justifyLastLine="0" shrinkToFit="0" readingOrder="0"/>
      <border diagonalUp="0" diagonalDown="0" outline="0">
        <left/>
        <right style="thin">
          <color theme="0" tint="-4.9989318521683403E-2"/>
        </right>
        <top/>
        <bottom style="thin">
          <color theme="0" tint="-4.9989318521683403E-2"/>
        </bottom>
      </border>
    </dxf>
    <dxf>
      <font>
        <b val="0"/>
        <i val="0"/>
        <strike val="0"/>
        <condense val="0"/>
        <extend val="0"/>
        <outline val="0"/>
        <shadow val="0"/>
        <u val="none"/>
        <vertAlign val="baseline"/>
        <sz val="8"/>
        <color theme="1" tint="0.34998626667073579"/>
        <name val="Segoe UI"/>
        <family val="2"/>
        <scheme val="none"/>
      </font>
      <numFmt numFmtId="0" formatCode="General"/>
      <alignment horizontal="center" vertical="center" textRotation="0" wrapText="0" indent="0" justifyLastLine="0" shrinkToFit="0" readingOrder="0"/>
      <border diagonalUp="0" diagonalDown="0">
        <left style="thin">
          <color theme="0" tint="-4.9989318521683403E-2"/>
        </left>
        <right/>
        <top style="thin">
          <color theme="0" tint="-4.9989318521683403E-2"/>
        </top>
        <bottom style="thin">
          <color theme="0" tint="-4.9989318521683403E-2"/>
        </bottom>
      </border>
    </dxf>
    <dxf>
      <font>
        <b val="0"/>
        <i val="0"/>
        <strike val="0"/>
        <condense val="0"/>
        <extend val="0"/>
        <outline val="0"/>
        <shadow val="0"/>
        <u val="none"/>
        <vertAlign val="baseline"/>
        <sz val="8"/>
        <color theme="1" tint="0.34998626667073579"/>
        <name val="Segoe UI"/>
        <family val="2"/>
        <scheme val="none"/>
      </font>
      <numFmt numFmtId="19" formatCode="dd/mm/yyyy"/>
      <alignment horizontal="center" vertical="center" textRotation="0" wrapText="0"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b val="0"/>
        <i val="0"/>
        <strike val="0"/>
        <condense val="0"/>
        <extend val="0"/>
        <outline val="0"/>
        <shadow val="0"/>
        <u val="none"/>
        <vertAlign val="baseline"/>
        <sz val="8"/>
        <color theme="1" tint="0.34998626667073579"/>
        <name val="Segoe UI"/>
        <family val="2"/>
        <scheme val="none"/>
      </font>
      <numFmt numFmtId="19" formatCode="dd/mm/yyyy"/>
      <alignment horizontal="center" vertical="center" textRotation="0" wrapText="0" indent="0" justifyLastLine="0" shrinkToFit="0" readingOrder="0"/>
      <border diagonalUp="0" diagonalDown="0" outline="0">
        <left style="thin">
          <color theme="0" tint="-4.9989318521683403E-2"/>
        </left>
        <right/>
        <top style="thin">
          <color theme="0" tint="-4.9989318521683403E-2"/>
        </top>
        <bottom style="thin">
          <color theme="0" tint="-4.9989318521683403E-2"/>
        </bottom>
      </border>
    </dxf>
    <dxf>
      <font>
        <b val="0"/>
        <i val="0"/>
        <strike val="0"/>
        <condense val="0"/>
        <extend val="0"/>
        <outline val="0"/>
        <shadow val="0"/>
        <u val="none"/>
        <vertAlign val="baseline"/>
        <sz val="8"/>
        <color theme="1" tint="0.34998626667073579"/>
        <name val="Segoe UI"/>
        <family val="2"/>
        <scheme val="none"/>
      </font>
      <numFmt numFmtId="0" formatCode="General"/>
      <alignment horizontal="center" vertical="center" textRotation="0" wrapText="0" indent="0" justifyLastLine="0" shrinkToFit="0" readingOrder="0"/>
      <border diagonalUp="0" diagonalDown="0">
        <left/>
        <right/>
        <top style="thin">
          <color theme="0" tint="-4.9989318521683403E-2"/>
        </top>
        <bottom style="thin">
          <color theme="0" tint="-4.9989318521683403E-2"/>
        </bottom>
        <vertical/>
        <horizontal/>
      </border>
    </dxf>
    <dxf>
      <font>
        <b val="0"/>
        <i val="0"/>
        <strike val="0"/>
        <condense val="0"/>
        <extend val="0"/>
        <outline val="0"/>
        <shadow val="0"/>
        <u val="none"/>
        <vertAlign val="baseline"/>
        <sz val="8"/>
        <color theme="1" tint="0.34998626667073579"/>
        <name val="Segoe UI"/>
        <family val="2"/>
        <scheme val="none"/>
      </font>
      <numFmt numFmtId="0" formatCode="General"/>
      <alignment horizontal="center" vertical="center" textRotation="0" wrapText="0" indent="0" justifyLastLine="0" shrinkToFit="0" readingOrder="0"/>
      <border diagonalUp="0" diagonalDown="0">
        <left/>
        <right style="thin">
          <color theme="0" tint="-4.9989318521683403E-2"/>
        </right>
        <top style="thin">
          <color theme="0" tint="-4.9989318521683403E-2"/>
        </top>
        <bottom style="thin">
          <color theme="0" tint="-4.9989318521683403E-2"/>
        </bottom>
        <vertical/>
        <horizontal/>
      </border>
    </dxf>
    <dxf>
      <font>
        <b val="0"/>
        <i val="0"/>
        <strike val="0"/>
        <condense val="0"/>
        <extend val="0"/>
        <outline val="0"/>
        <shadow val="0"/>
        <u val="none"/>
        <vertAlign val="baseline"/>
        <sz val="8"/>
        <color theme="1" tint="0.34998626667073579"/>
        <name val="Segoe UI"/>
        <family val="2"/>
        <scheme val="none"/>
      </font>
      <numFmt numFmtId="0" formatCode="General"/>
      <alignment horizontal="center" vertical="center" textRotation="0" wrapText="0" indent="0" justifyLastLine="0" shrinkToFit="0" readingOrder="0"/>
      <border diagonalUp="0" diagonalDown="0">
        <left/>
        <right style="thin">
          <color theme="0" tint="-4.9989318521683403E-2"/>
        </right>
        <top style="thin">
          <color theme="0" tint="-4.9989318521683403E-2"/>
        </top>
        <bottom style="thin">
          <color theme="0" tint="-4.9989318521683403E-2"/>
        </bottom>
        <vertical/>
        <horizontal/>
      </border>
    </dxf>
    <dxf>
      <font>
        <b val="0"/>
        <i val="0"/>
        <strike val="0"/>
        <condense val="0"/>
        <extend val="0"/>
        <outline val="0"/>
        <shadow val="0"/>
        <u val="none"/>
        <vertAlign val="baseline"/>
        <sz val="8"/>
        <color theme="1" tint="0.34998626667073579"/>
        <name val="Segoe UI"/>
        <family val="2"/>
        <scheme val="none"/>
      </font>
      <numFmt numFmtId="0" formatCode="General"/>
      <alignment horizontal="center" vertical="center" textRotation="0" wrapText="0" indent="0" justifyLastLine="0" shrinkToFit="0" readingOrder="0"/>
      <border diagonalUp="0" diagonalDown="0">
        <left style="thin">
          <color theme="0" tint="-4.9989318521683403E-2"/>
        </left>
        <right/>
        <top style="thin">
          <color theme="0" tint="-4.9989318521683403E-2"/>
        </top>
        <bottom/>
      </border>
    </dxf>
    <dxf>
      <font>
        <strike val="0"/>
        <outline val="0"/>
        <shadow val="0"/>
        <u val="none"/>
        <vertAlign val="baseline"/>
        <sz val="8"/>
        <color theme="1" tint="0.34998626667073579"/>
        <name val="Segoe UI"/>
        <family val="2"/>
        <scheme val="none"/>
      </font>
      <numFmt numFmtId="0" formatCode="General"/>
      <alignment horizontal="center" vertical="center" textRotation="0" wrapText="0"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strike val="0"/>
        <outline val="0"/>
        <shadow val="0"/>
        <u val="none"/>
        <vertAlign val="baseline"/>
        <sz val="9"/>
        <color theme="1" tint="0.34998626667073579"/>
        <name val="Segoe UI"/>
        <family val="2"/>
        <scheme val="none"/>
      </font>
      <numFmt numFmtId="0" formatCode="General"/>
      <alignment horizontal="center" vertical="center" textRotation="0" wrapText="0"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alignment horizontal="general" vertical="center" textRotation="0" wrapText="0" indent="0" justifyLastLine="0" shrinkToFit="0" readingOrder="0"/>
    </dxf>
    <dxf>
      <font>
        <b/>
        <strike val="0"/>
        <outline val="0"/>
        <shadow val="0"/>
        <u val="none"/>
        <vertAlign val="baseline"/>
        <sz val="8"/>
        <color theme="0"/>
        <name val="Aptos Narrow"/>
        <family val="2"/>
        <scheme val="minor"/>
      </font>
      <fill>
        <patternFill patternType="solid">
          <fgColor indexed="64"/>
          <bgColor theme="4" tint="-0.499984740745262"/>
        </patternFill>
      </fill>
      <alignment horizontal="center" vertical="center" textRotation="0" wrapText="1" indent="0" justifyLastLine="0" shrinkToFit="0" readingOrder="0"/>
    </dxf>
    <dxf>
      <font>
        <strike val="0"/>
        <outline val="0"/>
        <shadow val="0"/>
        <u val="none"/>
        <vertAlign val="baseline"/>
        <sz val="9"/>
        <name val="Segoe UI"/>
        <family val="2"/>
        <scheme val="none"/>
      </font>
      <alignment horizontal="center" vertical="center" textRotation="0" wrapText="0"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strike val="0"/>
        <outline val="0"/>
        <shadow val="0"/>
        <u val="none"/>
        <vertAlign val="baseline"/>
        <sz val="9"/>
        <name val="Segoe UI"/>
        <family val="2"/>
        <scheme val="none"/>
      </font>
      <alignment horizontal="center" vertical="center" textRotation="0" wrapText="1"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border diagonalUp="0" diagonalDown="0">
        <left style="thin">
          <color theme="0" tint="-4.9989318521683403E-2"/>
        </left>
        <right style="thin">
          <color theme="0" tint="-4.9989318521683403E-2"/>
        </right>
        <top style="thin">
          <color theme="0" tint="-4.9989318521683403E-2"/>
        </top>
        <bottom/>
        <vertical/>
        <horizontal/>
      </border>
    </dxf>
    <dxf>
      <font>
        <sz val="10"/>
        <name val="Segoe UI"/>
        <family val="2"/>
        <scheme val="none"/>
      </font>
      <alignment horizontal="center" vertical="center" textRotation="0" wrapText="0" indent="0" justifyLastLine="0" shrinkToFit="0" readingOrder="0"/>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border>
    </dxf>
    <dxf>
      <font>
        <strike val="0"/>
        <outline val="0"/>
        <shadow val="0"/>
        <u val="none"/>
        <vertAlign val="baseline"/>
        <sz val="10"/>
        <name val="Segoe UI"/>
        <family val="2"/>
        <scheme val="none"/>
      </font>
      <alignment horizontal="center" vertical="center" textRotation="0" wrapText="0" indent="0" justifyLastLine="0" shrinkToFit="0" readingOrder="0"/>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style="thin">
          <color theme="0" tint="-4.9989318521683403E-2"/>
        </horizontal>
      </border>
    </dxf>
    <dxf>
      <font>
        <strike val="0"/>
        <outline val="0"/>
        <shadow val="0"/>
        <u val="none"/>
        <vertAlign val="baseline"/>
        <sz val="10"/>
        <name val="Segoe UI"/>
        <family val="2"/>
        <scheme val="none"/>
      </font>
      <fill>
        <patternFill patternType="solid">
          <fgColor indexed="64"/>
          <bgColor theme="0"/>
        </patternFill>
      </fill>
      <alignment horizontal="general" vertical="center" textRotation="0" wrapText="0" indent="0" justifyLastLine="0" shrinkToFit="0" readingOrder="0"/>
    </dxf>
    <dxf>
      <font>
        <b/>
        <i val="0"/>
        <strike val="0"/>
        <condense val="0"/>
        <extend val="0"/>
        <outline val="0"/>
        <shadow val="0"/>
        <u val="none"/>
        <vertAlign val="baseline"/>
        <sz val="10"/>
        <color theme="1"/>
        <name val="Segoe UI"/>
        <family val="2"/>
        <scheme val="none"/>
      </font>
      <numFmt numFmtId="2" formatCode="0.00"/>
      <fill>
        <patternFill patternType="solid">
          <fgColor indexed="64"/>
          <bgColor theme="0" tint="-4.9989318521683403E-2"/>
        </patternFill>
      </fill>
      <alignment horizontal="center" vertical="center" textRotation="0" wrapText="0" indent="0" justifyLastLine="0" shrinkToFit="0" readingOrder="0"/>
    </dxf>
    <dxf>
      <font>
        <b val="0"/>
        <strike val="0"/>
        <outline val="0"/>
        <shadow val="0"/>
        <u val="none"/>
        <vertAlign val="baseline"/>
        <sz val="10"/>
        <color theme="0" tint="-0.499984740745262"/>
        <name val="Segoe UI"/>
        <family val="2"/>
        <scheme val="none"/>
      </font>
      <numFmt numFmtId="2" formatCode="0.00"/>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0"/>
        <name val="Segoe UI"/>
        <family val="2"/>
        <scheme val="none"/>
      </font>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8"/>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9"/>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b val="0"/>
        <i val="0"/>
        <strike val="0"/>
        <condense val="0"/>
        <extend val="0"/>
        <outline val="0"/>
        <shadow val="0"/>
        <u val="none"/>
        <vertAlign val="baseline"/>
        <sz val="9"/>
        <color theme="2" tint="-0.499984740745262"/>
        <name val="Segoe UI"/>
        <family val="2"/>
        <scheme val="none"/>
      </font>
      <numFmt numFmtId="165" formatCode="#,##0.00\ &quot;€&quot;"/>
      <fill>
        <patternFill patternType="solid">
          <fgColor indexed="64"/>
          <bgColor rgb="FFFFE5E5"/>
        </patternFill>
      </fill>
      <alignment horizontal="center" vertical="center" textRotation="0" wrapText="0" indent="0" justifyLastLine="0" shrinkToFit="0" readingOrder="0"/>
    </dxf>
    <dxf>
      <font>
        <strike val="0"/>
        <outline val="0"/>
        <shadow val="0"/>
        <u val="none"/>
        <vertAlign val="baseline"/>
        <sz val="9"/>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9"/>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9"/>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9"/>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9"/>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9"/>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9"/>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border>
        <left style="thin">
          <color theme="0"/>
        </left>
      </border>
    </dxf>
    <dxf>
      <font>
        <strike val="0"/>
        <outline val="0"/>
        <shadow val="0"/>
        <u val="none"/>
        <vertAlign val="baseline"/>
        <sz val="9"/>
        <color theme="2" tint="-0.749992370372631"/>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9"/>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border>
        <right style="thin">
          <color theme="0"/>
        </right>
      </border>
    </dxf>
    <dxf>
      <font>
        <strike val="0"/>
        <outline val="0"/>
        <shadow val="0"/>
        <u val="none"/>
        <vertAlign val="baseline"/>
        <sz val="10"/>
        <name val="Segoe UI"/>
        <family val="2"/>
        <scheme val="none"/>
      </font>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9"/>
        <name val="Segoe UI"/>
        <family val="2"/>
        <scheme val="none"/>
      </font>
      <numFmt numFmtId="165" formatCode="#,##0.00\ &quot;€&quot;"/>
      <fill>
        <patternFill patternType="solid">
          <fgColor indexed="64"/>
          <bgColor rgb="FFECF9E7"/>
        </patternFill>
      </fill>
      <alignment horizontal="center" vertical="center" textRotation="0" wrapText="0" indent="0" justifyLastLine="0" shrinkToFit="0" readingOrder="0"/>
    </dxf>
    <dxf>
      <font>
        <strike val="0"/>
        <outline val="0"/>
        <shadow val="0"/>
        <u val="none"/>
        <vertAlign val="baseline"/>
        <sz val="9"/>
        <color theme="2" tint="-0.499984740745262"/>
        <name val="Segoe UI"/>
        <family val="2"/>
        <scheme val="none"/>
      </font>
      <numFmt numFmtId="165" formatCode="#,##0.00\ &quot;€&quot;"/>
      <fill>
        <patternFill patternType="solid">
          <fgColor indexed="64"/>
          <bgColor rgb="FFECF9E7"/>
        </patternFill>
      </fill>
      <alignment horizontal="center" vertical="center" textRotation="0" wrapText="0" indent="0" justifyLastLine="0" shrinkToFit="0" readingOrder="0"/>
    </dxf>
    <dxf>
      <font>
        <strike val="0"/>
        <outline val="0"/>
        <shadow val="0"/>
        <u val="none"/>
        <vertAlign val="baseline"/>
        <sz val="10"/>
        <name val="Segoe U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9"/>
        <color theme="2" tint="-0.499984740745262"/>
        <name val="Segoe UI"/>
        <family val="2"/>
        <scheme val="none"/>
      </font>
      <numFmt numFmtId="165" formatCode="#,##0.00\ &quot;€&quot;"/>
      <alignment horizontal="center" vertical="center" textRotation="0" wrapText="0" indent="0" justifyLastLine="0" shrinkToFit="0" readingOrder="0"/>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border>
    </dxf>
    <dxf>
      <font>
        <strike val="0"/>
        <outline val="0"/>
        <shadow val="0"/>
        <u val="none"/>
        <vertAlign val="baseline"/>
        <sz val="8"/>
        <name val="Segoe UI"/>
        <family val="2"/>
        <scheme val="none"/>
      </font>
      <alignment horizontal="center" vertical="center" textRotation="0" wrapText="0" indent="0" justifyLastLine="0" shrinkToFit="0" readingOrder="0"/>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border>
    </dxf>
    <dxf>
      <font>
        <strike val="0"/>
        <outline val="0"/>
        <shadow val="0"/>
        <u val="none"/>
        <vertAlign val="baseline"/>
        <sz val="10"/>
        <name val="Segoe UI"/>
        <family val="2"/>
        <scheme val="none"/>
      </font>
      <alignment horizontal="center" vertical="center" textRotation="0" wrapText="0"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strike val="0"/>
        <outline val="0"/>
        <shadow val="0"/>
        <u val="none"/>
        <vertAlign val="baseline"/>
        <sz val="9"/>
        <color theme="2" tint="-0.499984740745262"/>
        <name val="Segoe UI"/>
        <family val="2"/>
        <scheme val="none"/>
      </font>
      <numFmt numFmtId="165" formatCode="#,##0.00\ &quot;€&quot;"/>
      <alignment horizontal="center" vertical="center" textRotation="0" wrapText="1" indent="0" justifyLastLine="0" shrinkToFit="0" readingOrder="0"/>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border>
    </dxf>
    <dxf>
      <font>
        <strike val="0"/>
        <outline val="0"/>
        <shadow val="0"/>
        <u val="none"/>
        <vertAlign val="baseline"/>
        <sz val="8"/>
        <name val="Segoe UI"/>
        <family val="2"/>
        <scheme val="none"/>
      </font>
      <alignment horizontal="center" vertical="center" textRotation="0" wrapText="1"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strike val="0"/>
        <outline val="0"/>
        <shadow val="0"/>
        <u val="none"/>
        <vertAlign val="baseline"/>
        <sz val="10"/>
        <name val="Segoe U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9"/>
        <color theme="2" tint="-0.499984740745262"/>
        <name val="Segoe UI"/>
        <family val="2"/>
        <scheme val="none"/>
      </font>
      <numFmt numFmtId="165" formatCode="#,##0.00\ &quot;€&quot;"/>
      <alignment horizontal="center" vertical="center" textRotation="0" wrapText="1"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b val="0"/>
        <i val="0"/>
        <strike val="0"/>
        <condense val="0"/>
        <extend val="0"/>
        <outline val="0"/>
        <shadow val="0"/>
        <u val="none"/>
        <vertAlign val="baseline"/>
        <sz val="8"/>
        <color theme="1"/>
        <name val="Segoe UI"/>
        <family val="2"/>
        <scheme val="none"/>
      </font>
      <alignment horizontal="center" vertical="center" textRotation="0" wrapText="0" indent="0" justifyLastLine="0" shrinkToFit="0" readingOrder="0"/>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border>
    </dxf>
    <dxf>
      <font>
        <b val="0"/>
        <i val="0"/>
        <strike val="0"/>
        <condense val="0"/>
        <extend val="0"/>
        <outline val="0"/>
        <shadow val="0"/>
        <u val="none"/>
        <vertAlign val="baseline"/>
        <sz val="9"/>
        <color auto="1"/>
        <name val="Segoe UI"/>
        <family val="2"/>
        <scheme val="none"/>
      </font>
      <alignment horizontal="center" vertical="center" textRotation="0" wrapText="0" indent="0" justifyLastLine="0" shrinkToFit="0" readingOrder="0"/>
      <border diagonalUp="0" diagonalDown="0" outline="0">
        <left style="thin">
          <color theme="0" tint="-4.9989318521683403E-2"/>
        </left>
        <right style="thin">
          <color theme="0" tint="-4.9989318521683403E-2"/>
        </right>
        <top style="thin">
          <color theme="0" tint="-4.9989318521683403E-2"/>
        </top>
        <bottom/>
      </border>
    </dxf>
    <dxf>
      <font>
        <b val="0"/>
        <i val="0"/>
        <strike val="0"/>
        <condense val="0"/>
        <extend val="0"/>
        <outline val="0"/>
        <shadow val="0"/>
        <u val="none"/>
        <vertAlign val="baseline"/>
        <sz val="9"/>
        <color theme="0" tint="-0.499984740745262"/>
        <name val="Segoe UI"/>
        <family val="2"/>
        <scheme val="none"/>
      </font>
      <numFmt numFmtId="0" formatCode="General"/>
      <alignment horizontal="center" vertical="center" textRotation="0" wrapText="1" indent="0" justifyLastLine="0" shrinkToFit="0" readingOrder="0"/>
      <border diagonalUp="0" diagonalDown="0">
        <left style="thin">
          <color theme="0" tint="-4.9989318521683403E-2"/>
        </left>
        <right style="thin">
          <color theme="0" tint="-4.9989318521683403E-2"/>
        </right>
        <top style="thin">
          <color theme="0" tint="-4.9989318521683403E-2"/>
        </top>
        <bottom style="thin">
          <color theme="0" tint="-4.9989318521683403E-2"/>
        </bottom>
      </border>
    </dxf>
    <dxf>
      <font>
        <b val="0"/>
        <i val="0"/>
        <strike val="0"/>
        <condense val="0"/>
        <extend val="0"/>
        <outline val="0"/>
        <shadow val="0"/>
        <u val="none"/>
        <vertAlign val="baseline"/>
        <sz val="9"/>
        <color theme="2" tint="-0.499984740745262"/>
        <name val="Segoe UI"/>
        <family val="2"/>
        <scheme val="none"/>
      </font>
      <numFmt numFmtId="165" formatCode="#,##0.00\ &quot;€&quot;"/>
      <alignment horizontal="center" vertical="center" textRotation="0" wrapText="1"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strike val="0"/>
        <outline val="0"/>
        <shadow val="0"/>
        <u val="none"/>
        <vertAlign val="baseline"/>
        <sz val="8"/>
        <name val="Segoe UI"/>
        <family val="2"/>
        <scheme val="none"/>
      </font>
      <fill>
        <patternFill patternType="none">
          <fgColor indexed="64"/>
          <bgColor auto="1"/>
        </patternFill>
      </fill>
      <alignment horizontal="center" vertical="center" textRotation="0" wrapText="1" indent="0" justifyLastLine="0" shrinkToFit="0" readingOrder="0"/>
      <border outline="0">
        <right style="thin">
          <color theme="0" tint="-4.9989318521683403E-2"/>
        </right>
      </border>
    </dxf>
    <dxf>
      <font>
        <strike val="0"/>
        <outline val="0"/>
        <shadow val="0"/>
        <u val="none"/>
        <vertAlign val="baseline"/>
        <sz val="10"/>
        <name val="Segoe UI"/>
        <family val="2"/>
        <scheme val="none"/>
      </font>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0"/>
        <name val="Segoe UI"/>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b val="0"/>
        <i val="0"/>
        <strike val="0"/>
        <condense val="0"/>
        <extend val="0"/>
        <outline val="0"/>
        <shadow val="0"/>
        <u val="none"/>
        <vertAlign val="baseline"/>
        <sz val="8"/>
        <color theme="2" tint="-0.499984740745262"/>
        <name val="Segoe UI"/>
        <family val="2"/>
        <scheme val="none"/>
      </font>
      <alignment horizontal="left" vertical="center" textRotation="0" wrapText="0" indent="0" justifyLastLine="0" shrinkToFit="0" readingOrder="0"/>
      <border diagonalUp="0" diagonalDown="0" outline="0">
        <left/>
        <right style="thin">
          <color theme="0" tint="-4.9989318521683403E-2"/>
        </right>
        <top style="thin">
          <color theme="0" tint="-4.9989318521683403E-2"/>
        </top>
        <bottom style="thin">
          <color theme="0" tint="-4.9989318521683403E-2"/>
        </bottom>
      </border>
    </dxf>
    <dxf>
      <font>
        <b val="0"/>
        <i val="0"/>
        <strike val="0"/>
        <condense val="0"/>
        <extend val="0"/>
        <outline val="0"/>
        <shadow val="0"/>
        <u val="none"/>
        <vertAlign val="baseline"/>
        <sz val="8"/>
        <color theme="2" tint="-0.499984740745262"/>
        <name val="Segoe UI"/>
        <family val="2"/>
        <scheme val="none"/>
      </font>
      <numFmt numFmtId="0" formatCode="General"/>
      <alignment horizontal="center" vertical="center" textRotation="0" wrapText="0" indent="0" justifyLastLine="0" shrinkToFit="0" readingOrder="0"/>
      <border diagonalUp="0" diagonalDown="0">
        <left/>
        <right/>
        <top style="thin">
          <color theme="0" tint="-4.9989318521683403E-2"/>
        </top>
        <bottom style="thin">
          <color theme="0" tint="-4.9989318521683403E-2"/>
        </bottom>
      </border>
    </dxf>
    <dxf>
      <font>
        <b val="0"/>
        <i val="0"/>
        <strike val="0"/>
        <condense val="0"/>
        <extend val="0"/>
        <outline val="0"/>
        <shadow val="0"/>
        <u val="none"/>
        <vertAlign val="baseline"/>
        <sz val="8"/>
        <color theme="2" tint="-0.499984740745262"/>
        <name val="Segoe UI"/>
        <family val="2"/>
        <scheme val="none"/>
      </font>
      <numFmt numFmtId="19" formatCode="dd/mm/yyyy"/>
      <alignment horizontal="center" vertical="center" textRotation="0" wrapText="0" indent="0" justifyLastLine="0" shrinkToFit="0" readingOrder="0"/>
      <border diagonalUp="0" diagonalDown="0" outline="0">
        <left/>
        <right/>
        <top style="thin">
          <color theme="0" tint="-4.9989318521683403E-2"/>
        </top>
        <bottom style="thin">
          <color theme="0" tint="-4.9989318521683403E-2"/>
        </bottom>
      </border>
    </dxf>
    <dxf>
      <font>
        <b val="0"/>
        <i val="0"/>
        <strike val="0"/>
        <condense val="0"/>
        <extend val="0"/>
        <outline val="0"/>
        <shadow val="0"/>
        <u val="none"/>
        <vertAlign val="baseline"/>
        <sz val="8"/>
        <color theme="2" tint="-0.499984740745262"/>
        <name val="Segoe UI"/>
        <family val="2"/>
        <scheme val="none"/>
      </font>
      <numFmt numFmtId="19" formatCode="dd/mm/yyyy"/>
      <alignment horizontal="center" vertical="center" textRotation="0" wrapText="0" indent="0" justifyLastLine="0" shrinkToFit="0" readingOrder="0"/>
      <border diagonalUp="0" diagonalDown="0" outline="0">
        <left/>
        <right style="thin">
          <color theme="0" tint="-4.9989318521683403E-2"/>
        </right>
        <top style="thin">
          <color theme="0" tint="-4.9989318521683403E-2"/>
        </top>
        <bottom style="thin">
          <color theme="0" tint="-4.9989318521683403E-2"/>
        </bottom>
      </border>
    </dxf>
    <dxf>
      <font>
        <b val="0"/>
        <i val="0"/>
        <strike val="0"/>
        <condense val="0"/>
        <extend val="0"/>
        <outline val="0"/>
        <shadow val="0"/>
        <u val="none"/>
        <vertAlign val="baseline"/>
        <sz val="8"/>
        <color theme="2" tint="-0.499984740745262"/>
        <name val="Segoe UI"/>
        <family val="2"/>
        <scheme val="none"/>
      </font>
      <numFmt numFmtId="0" formatCode="General"/>
      <alignment horizontal="center" vertical="center" textRotation="0" wrapText="0" indent="0" justifyLastLine="0" shrinkToFit="0" readingOrder="0"/>
      <border diagonalUp="0" diagonalDown="0">
        <left/>
        <right style="thin">
          <color theme="0" tint="-4.9989318521683403E-2"/>
        </right>
        <top style="thin">
          <color theme="0" tint="-4.9989318521683403E-2"/>
        </top>
        <bottom/>
        <vertical/>
        <horizontal/>
      </border>
    </dxf>
    <dxf>
      <font>
        <b val="0"/>
        <i val="0"/>
        <strike val="0"/>
        <condense val="0"/>
        <extend val="0"/>
        <outline val="0"/>
        <shadow val="0"/>
        <u val="none"/>
        <vertAlign val="baseline"/>
        <sz val="8"/>
        <color theme="2" tint="-0.499984740745262"/>
        <name val="Segoe UI"/>
        <family val="2"/>
        <scheme val="none"/>
      </font>
      <numFmt numFmtId="0" formatCode="General"/>
      <alignment horizontal="center" vertical="center" textRotation="0" wrapText="0" indent="0" justifyLastLine="0" shrinkToFit="0" readingOrder="0"/>
      <border diagonalUp="0" diagonalDown="0">
        <left/>
        <right style="thin">
          <color theme="0" tint="-4.9989318521683403E-2"/>
        </right>
        <top style="thin">
          <color theme="0" tint="-4.9989318521683403E-2"/>
        </top>
        <bottom/>
        <vertical/>
        <horizontal/>
      </border>
    </dxf>
    <dxf>
      <font>
        <b val="0"/>
        <i val="0"/>
        <strike val="0"/>
        <condense val="0"/>
        <extend val="0"/>
        <outline val="0"/>
        <shadow val="0"/>
        <u val="none"/>
        <vertAlign val="baseline"/>
        <sz val="8"/>
        <color theme="2" tint="-0.499984740745262"/>
        <name val="Segoe UI"/>
        <family val="2"/>
        <scheme val="none"/>
      </font>
      <numFmt numFmtId="0" formatCode="General"/>
      <alignment horizontal="center" vertical="center" textRotation="0" wrapText="0" indent="0" justifyLastLine="0" shrinkToFit="0" readingOrder="0"/>
      <border diagonalUp="0" diagonalDown="0">
        <left/>
        <right style="thin">
          <color theme="0" tint="-4.9989318521683403E-2"/>
        </right>
        <top style="thin">
          <color theme="0" tint="-4.9989318521683403E-2"/>
        </top>
        <bottom/>
        <vertical/>
        <horizontal/>
      </border>
    </dxf>
    <dxf>
      <font>
        <b val="0"/>
        <i val="0"/>
        <strike val="0"/>
        <condense val="0"/>
        <extend val="0"/>
        <outline val="0"/>
        <shadow val="0"/>
        <u val="none"/>
        <vertAlign val="baseline"/>
        <sz val="8"/>
        <color theme="2" tint="-0.499984740745262"/>
        <name val="Segoe UI"/>
        <family val="2"/>
        <scheme val="none"/>
      </font>
      <numFmt numFmtId="0" formatCode="General"/>
      <alignment horizontal="center" vertical="center" textRotation="0" wrapText="0" indent="0" justifyLastLine="0" shrinkToFit="0" readingOrder="0"/>
      <border diagonalUp="0" diagonalDown="0">
        <left/>
        <right style="thin">
          <color theme="0" tint="-4.9989318521683403E-2"/>
        </right>
        <top style="thin">
          <color theme="0" tint="-4.9989318521683403E-2"/>
        </top>
        <bottom/>
      </border>
    </dxf>
    <dxf>
      <font>
        <strike val="0"/>
        <outline val="0"/>
        <shadow val="0"/>
        <u val="none"/>
        <vertAlign val="baseline"/>
        <sz val="8"/>
        <color theme="2" tint="-0.499984740745262"/>
        <name val="Segoe UI"/>
        <family val="2"/>
        <scheme val="none"/>
      </font>
      <numFmt numFmtId="0" formatCode="General"/>
      <alignment horizontal="center" vertical="center" textRotation="0" wrapText="0"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strike val="0"/>
        <outline val="0"/>
        <shadow val="0"/>
        <u val="none"/>
        <vertAlign val="baseline"/>
        <sz val="9"/>
        <color theme="2" tint="-0.499984740745262"/>
        <name val="Segoe UI"/>
        <family val="2"/>
        <scheme val="none"/>
      </font>
      <numFmt numFmtId="0" formatCode="General"/>
      <alignment horizontal="center" vertical="center" textRotation="0" wrapText="0"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alignment horizontal="general" vertical="center" textRotation="0" wrapText="0" indent="0" justifyLastLine="0" shrinkToFit="0" readingOrder="0"/>
    </dxf>
    <dxf>
      <font>
        <b/>
        <strike val="0"/>
        <outline val="0"/>
        <shadow val="0"/>
        <u val="none"/>
        <vertAlign val="baseline"/>
        <sz val="8"/>
        <color theme="0"/>
        <name val="Aptos Narrow"/>
        <family val="2"/>
        <scheme val="minor"/>
      </font>
      <fill>
        <patternFill patternType="solid">
          <fgColor indexed="64"/>
          <bgColor theme="4" tint="-0.499984740745262"/>
        </patternFill>
      </fill>
      <alignment horizontal="center" vertical="center" textRotation="0" wrapText="1" indent="0" justifyLastLine="0" shrinkToFit="0" readingOrder="0"/>
    </dxf>
    <dxf>
      <numFmt numFmtId="165" formatCode="#,##0.00\ &quot;€&quot;"/>
    </dxf>
    <dxf>
      <font>
        <sz val="10"/>
      </font>
    </dxf>
    <dxf>
      <font>
        <sz val="10"/>
      </font>
    </dxf>
    <dxf>
      <font>
        <sz val="10"/>
      </font>
    </dxf>
    <dxf>
      <font>
        <sz val="10"/>
      </font>
    </dxf>
    <dxf>
      <font>
        <sz val="10"/>
      </font>
    </dxf>
    <dxf>
      <font>
        <name val="Segoe UI"/>
        <scheme val="none"/>
      </font>
    </dxf>
    <dxf>
      <font>
        <name val="Segoe UI"/>
        <scheme val="none"/>
      </font>
    </dxf>
    <dxf>
      <font>
        <name val="Segoe UI"/>
        <scheme val="none"/>
      </font>
    </dxf>
    <dxf>
      <font>
        <name val="Segoe UI"/>
        <scheme val="none"/>
      </font>
    </dxf>
    <dxf>
      <font>
        <name val="Segoe UI"/>
        <scheme val="none"/>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5" formatCode="#,##0.00\ &quot;€&quot;"/>
    </dxf>
    <dxf>
      <alignment horizontal="right"/>
    </dxf>
    <dxf>
      <font>
        <sz val="10"/>
      </font>
    </dxf>
    <dxf>
      <font>
        <sz val="10"/>
      </font>
    </dxf>
    <dxf>
      <font>
        <sz val="10"/>
      </font>
    </dxf>
    <dxf>
      <font>
        <sz val="10"/>
      </font>
    </dxf>
    <dxf>
      <font>
        <sz val="10"/>
      </font>
    </dxf>
    <dxf>
      <font>
        <sz val="10"/>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alignment horizontal="right"/>
    </dxf>
    <dxf>
      <numFmt numFmtId="165" formatCode="#,##0.00\ &quot;€&quot;"/>
    </dxf>
    <dxf>
      <alignment horizontal="righ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5" formatCode="#,##0.00\ &quot;€&quot;"/>
    </dxf>
    <dxf>
      <font>
        <sz val="10"/>
      </font>
    </dxf>
    <dxf>
      <font>
        <sz val="10"/>
      </font>
    </dxf>
    <dxf>
      <font>
        <sz val="10"/>
      </font>
    </dxf>
    <dxf>
      <font>
        <sz val="10"/>
      </font>
    </dxf>
    <dxf>
      <font>
        <sz val="10"/>
      </font>
    </dxf>
    <dxf>
      <font>
        <sz val="10"/>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sz val="10"/>
      </font>
    </dxf>
    <dxf>
      <font>
        <sz val="10"/>
      </font>
    </dxf>
    <dxf>
      <font>
        <sz val="10"/>
      </font>
    </dxf>
    <dxf>
      <font>
        <sz val="10"/>
      </font>
    </dxf>
    <dxf>
      <font>
        <sz val="10"/>
      </font>
    </dxf>
    <dxf>
      <font>
        <sz val="10"/>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alignment horizontal="lef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wrapText="0"/>
    </dxf>
    <dxf>
      <alignment wrapText="0"/>
    </dxf>
    <dxf>
      <font>
        <sz val="10"/>
      </font>
    </dxf>
    <dxf>
      <font>
        <sz val="10"/>
      </font>
    </dxf>
    <dxf>
      <font>
        <sz val="10"/>
      </font>
    </dxf>
    <dxf>
      <font>
        <sz val="10"/>
      </font>
    </dxf>
    <dxf>
      <font>
        <sz val="10"/>
      </font>
    </dxf>
    <dxf>
      <font>
        <sz val="10"/>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alignment horizontal="right"/>
    </dxf>
    <dxf>
      <alignment horizontal="right"/>
    </dxf>
    <dxf>
      <alignment vertical="center"/>
    </dxf>
    <dxf>
      <alignment vertical="center"/>
    </dxf>
    <dxf>
      <alignment wrapText="1"/>
    </dxf>
    <dxf>
      <alignment wrapText="1"/>
    </dxf>
    <dxf>
      <numFmt numFmtId="165" formatCode="#,##0.00\ &quot;€&quot;"/>
    </dxf>
    <dxf>
      <alignment horizontal="center"/>
    </dxf>
    <dxf>
      <alignment horizontal="righ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10"/>
      </font>
    </dxf>
    <dxf>
      <font>
        <sz val="10"/>
      </font>
    </dxf>
    <dxf>
      <font>
        <sz val="10"/>
      </font>
    </dxf>
    <dxf>
      <font>
        <sz val="10"/>
      </font>
    </dxf>
    <dxf>
      <font>
        <sz val="10"/>
      </font>
    </dxf>
    <dxf>
      <font>
        <sz val="10"/>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sz val="10"/>
      </font>
    </dxf>
    <dxf>
      <font>
        <sz val="10"/>
      </font>
    </dxf>
    <dxf>
      <font>
        <sz val="10"/>
      </font>
    </dxf>
    <dxf>
      <font>
        <sz val="10"/>
      </font>
    </dxf>
    <dxf>
      <font>
        <sz val="10"/>
      </font>
    </dxf>
    <dxf>
      <font>
        <sz val="10"/>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alignment horizontal="right"/>
    </dxf>
    <dxf>
      <alignment horizontal="center"/>
    </dxf>
    <dxf>
      <alignment horizontal="center"/>
    </dxf>
    <dxf>
      <font>
        <sz val="10"/>
      </font>
    </dxf>
    <dxf>
      <font>
        <sz val="10"/>
      </font>
    </dxf>
    <dxf>
      <font>
        <sz val="10"/>
      </font>
    </dxf>
    <dxf>
      <font>
        <sz val="10"/>
      </font>
    </dxf>
    <dxf>
      <font>
        <sz val="10"/>
      </font>
    </dxf>
    <dxf>
      <font>
        <sz val="10"/>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alignment horizontal="righ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right"/>
    </dxf>
    <dxf>
      <font>
        <sz val="10"/>
        <name val="Segoe UI"/>
        <scheme val="none"/>
      </font>
      <fill>
        <patternFill patternType="solid">
          <fgColor indexed="64"/>
          <bgColor theme="0"/>
        </patternFill>
      </fill>
    </dxf>
    <dxf>
      <numFmt numFmtId="165" formatCode="#,##0.00\ &quot;€&quot;"/>
    </dxf>
    <dxf>
      <border>
        <left style="thick">
          <color auto="1"/>
        </left>
      </border>
    </dxf>
    <dxf>
      <border>
        <left style="thick">
          <color auto="1"/>
        </left>
      </border>
    </dxf>
    <dxf>
      <border>
        <left style="thick">
          <color auto="1"/>
        </left>
      </border>
    </dxf>
    <dxf>
      <alignment horizontal="righ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10"/>
      </font>
    </dxf>
    <dxf>
      <font>
        <sz val="10"/>
      </font>
    </dxf>
    <dxf>
      <font>
        <sz val="10"/>
      </font>
    </dxf>
    <dxf>
      <font>
        <sz val="10"/>
      </font>
    </dxf>
    <dxf>
      <font>
        <sz val="10"/>
      </font>
    </dxf>
    <dxf>
      <font>
        <sz val="10"/>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165" formatCode="#,##0.00\ &quot;€&quot;"/>
    </dxf>
    <dxf>
      <alignment horizontal="righ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right"/>
    </dxf>
    <dxf>
      <alignment horizontal="center"/>
    </dxf>
    <dxf>
      <font>
        <sz val="10"/>
      </font>
    </dxf>
    <dxf>
      <font>
        <sz val="10"/>
      </font>
    </dxf>
    <dxf>
      <font>
        <sz val="10"/>
      </font>
    </dxf>
    <dxf>
      <font>
        <sz val="10"/>
      </font>
    </dxf>
    <dxf>
      <font>
        <sz val="10"/>
      </font>
    </dxf>
    <dxf>
      <font>
        <sz val="10"/>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10"/>
      </font>
    </dxf>
    <dxf>
      <font>
        <sz val="10"/>
      </font>
    </dxf>
    <dxf>
      <font>
        <sz val="10"/>
      </font>
    </dxf>
    <dxf>
      <font>
        <sz val="10"/>
      </font>
    </dxf>
    <dxf>
      <font>
        <sz val="10"/>
      </font>
    </dxf>
    <dxf>
      <font>
        <sz val="10"/>
      </font>
    </dxf>
    <dxf>
      <fill>
        <patternFill>
          <bgColor theme="0"/>
        </patternFill>
      </fill>
    </dxf>
    <dxf>
      <fill>
        <patternFill>
          <bgColor theme="0"/>
        </patternFill>
      </fill>
    </dxf>
    <dxf>
      <font>
        <sz val="9"/>
      </font>
    </dxf>
    <dxf>
      <font>
        <sz val="9"/>
      </font>
    </dxf>
    <dxf>
      <font>
        <sz val="9"/>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alignment horizontal="left"/>
    </dxf>
    <dxf>
      <alignment horizontal="righ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5" formatCode="#,##0.00\ &quot;€&quot;"/>
    </dxf>
    <dxf>
      <numFmt numFmtId="165" formatCode="#,##0.00\ &quot;€&quot;"/>
      <alignment horizontal="center" vertical="bottom" textRotation="0" wrapText="0" indent="0" justifyLastLine="0" shrinkToFit="0" readingOrder="0"/>
    </dxf>
    <dxf>
      <numFmt numFmtId="19" formatCode="dd/mm/yyyy"/>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theme="1"/>
        <name val="Segoe UI"/>
        <family val="2"/>
        <scheme val="none"/>
      </font>
      <numFmt numFmtId="164" formatCode="_-* #,##0.00\ &quot;€&quot;_-;\-* #,##0.00\ &quot;€&quot;_-;_-* &quot;-&quot;??\ &quot;€&quot;_-;_-@_-"/>
      <fill>
        <patternFill patternType="solid">
          <fgColor indexed="64"/>
          <bgColor theme="0"/>
        </patternFill>
      </fill>
      <alignment horizontal="center" vertical="bottom" textRotation="0" wrapText="0" indent="0" justifyLastLine="0" shrinkToFit="0" readingOrder="0"/>
    </dxf>
    <dxf>
      <font>
        <strike val="0"/>
        <outline val="0"/>
        <shadow val="0"/>
        <u val="none"/>
        <vertAlign val="baseline"/>
        <sz val="10"/>
        <color theme="1"/>
        <name val="Segoe UI"/>
        <family val="2"/>
        <scheme val="none"/>
      </font>
      <numFmt numFmtId="165" formatCode="#,##0.00\ &quot;€&quot;"/>
      <alignment horizontal="center" vertical="bottom" textRotation="0" wrapText="0" indent="0" justifyLastLine="0" shrinkToFit="0" readingOrder="0"/>
    </dxf>
    <dxf>
      <font>
        <strike val="0"/>
        <outline val="0"/>
        <shadow val="0"/>
        <u val="none"/>
        <vertAlign val="baseline"/>
        <sz val="10"/>
        <color theme="1"/>
        <name val="Segoe UI"/>
        <family val="2"/>
        <scheme val="none"/>
      </font>
      <numFmt numFmtId="165" formatCode="#,##0.00\ &quot;€&quo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Segoe UI"/>
        <family val="2"/>
        <scheme val="none"/>
      </font>
      <numFmt numFmtId="164" formatCode="_-* #,##0.00\ &quot;€&quot;_-;\-* #,##0.00\ &quot;€&quot;_-;_-* &quot;-&quot;??\ &quot;€&quot;_-;_-@_-"/>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Segoe UI"/>
        <family val="2"/>
        <scheme val="none"/>
      </font>
      <numFmt numFmtId="164" formatCode="_-* #,##0.00\ &quot;€&quot;_-;\-* #,##0.00\ &quot;€&quot;_-;_-* &quot;-&quot;??\ &quot;€&quot;_-;_-@_-"/>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Segoe UI"/>
        <family val="2"/>
        <scheme val="none"/>
      </font>
      <numFmt numFmtId="164" formatCode="_-* #,##0.00\ &quot;€&quot;_-;\-* #,##0.00\ &quot;€&quot;_-;_-* &quot;-&quot;??\ &quot;€&quot;_-;_-@_-"/>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Segoe UI"/>
        <family val="2"/>
        <scheme val="none"/>
      </font>
      <numFmt numFmtId="0" formatCode="General"/>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Segoe UI"/>
        <family val="2"/>
        <scheme val="none"/>
      </font>
      <numFmt numFmtId="164" formatCode="_-* #,##0.00\ &quot;€&quot;_-;\-* #,##0.00\ &quot;€&quot;_-;_-* &quot;-&quot;??\ &quot;€&quot;_-;_-@_-"/>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Segoe UI"/>
        <family val="2"/>
        <scheme val="none"/>
      </font>
      <numFmt numFmtId="164" formatCode="_-* #,##0.00\ &quot;€&quot;_-;\-* #,##0.00\ &quot;€&quot;_-;_-* &quot;-&quot;??\ &quot;€&quot;_-;_-@_-"/>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Segoe UI"/>
        <family val="2"/>
        <scheme val="none"/>
      </font>
      <numFmt numFmtId="0" formatCode="General"/>
      <fill>
        <patternFill patternType="solid">
          <fgColor indexed="64"/>
          <bgColor theme="0"/>
        </patternFill>
      </fill>
      <alignment horizontal="center" vertical="bottom" textRotation="0" wrapText="0" indent="0" justifyLastLine="0" shrinkToFit="0" readingOrder="0"/>
    </dxf>
    <dxf>
      <font>
        <strike val="0"/>
        <outline val="0"/>
        <shadow val="0"/>
        <u val="none"/>
        <vertAlign val="baseline"/>
        <sz val="10"/>
        <color theme="1"/>
        <name val="Segoe UI"/>
        <family val="2"/>
        <scheme val="none"/>
      </font>
      <numFmt numFmtId="19" formatCode="dd/mm/yyyy"/>
      <fill>
        <patternFill patternType="solid">
          <fgColor indexed="64"/>
          <bgColor theme="0"/>
        </patternFill>
      </fill>
      <alignment horizontal="center" vertical="bottom" textRotation="0" wrapText="0" indent="0" justifyLastLine="0" shrinkToFit="0" readingOrder="0"/>
    </dxf>
    <dxf>
      <font>
        <strike val="0"/>
        <outline val="0"/>
        <shadow val="0"/>
        <u val="none"/>
        <vertAlign val="baseline"/>
        <sz val="10"/>
        <color theme="1"/>
        <name val="Segoe UI"/>
        <family val="2"/>
        <scheme val="none"/>
      </font>
      <numFmt numFmtId="19" formatCode="dd/mm/yyyy"/>
      <fill>
        <patternFill patternType="solid">
          <fgColor indexed="64"/>
          <bgColor theme="0"/>
        </patternFill>
      </fill>
      <alignment horizontal="center" vertical="bottom" textRotation="0" wrapText="0" indent="0" justifyLastLine="0" shrinkToFit="0" readingOrder="0"/>
    </dxf>
    <dxf>
      <font>
        <strike val="0"/>
        <outline val="0"/>
        <shadow val="0"/>
        <u val="none"/>
        <vertAlign val="baseline"/>
        <sz val="10"/>
        <color theme="1"/>
        <name val="Segoe UI"/>
        <family val="2"/>
        <scheme val="none"/>
      </font>
      <fill>
        <patternFill patternType="solid">
          <fgColor indexed="64"/>
          <bgColor theme="0"/>
        </patternFill>
      </fill>
      <alignment horizontal="left" vertical="bottom" textRotation="0" wrapText="0" indent="0" justifyLastLine="0" shrinkToFit="0" readingOrder="0"/>
    </dxf>
    <dxf>
      <font>
        <strike val="0"/>
        <outline val="0"/>
        <shadow val="0"/>
        <u val="none"/>
        <vertAlign val="baseline"/>
        <sz val="10"/>
        <color theme="1"/>
        <name val="Segoe UI"/>
        <family val="2"/>
        <scheme val="none"/>
      </font>
      <numFmt numFmtId="0" formatCode="General"/>
      <fill>
        <patternFill patternType="solid">
          <fgColor indexed="64"/>
          <bgColor theme="0"/>
        </patternFill>
      </fill>
      <alignment horizontal="center" vertical="bottom" textRotation="0" wrapText="0" indent="0" justifyLastLine="0" shrinkToFit="0" readingOrder="0"/>
    </dxf>
    <dxf>
      <font>
        <strike val="0"/>
        <outline val="0"/>
        <shadow val="0"/>
        <u val="none"/>
        <vertAlign val="baseline"/>
        <sz val="10"/>
        <color theme="1"/>
        <name val="Segoe UI"/>
        <family val="2"/>
        <scheme val="none"/>
      </font>
      <fill>
        <patternFill patternType="solid">
          <fgColor indexed="64"/>
          <bgColor theme="0"/>
        </patternFill>
      </fill>
      <alignment horizontal="center" vertical="bottom" textRotation="0" wrapText="0" indent="0" justifyLastLine="0" shrinkToFit="0" readingOrder="0"/>
    </dxf>
    <dxf>
      <font>
        <strike val="0"/>
        <outline val="0"/>
        <shadow val="0"/>
        <u val="none"/>
        <vertAlign val="baseline"/>
        <sz val="10"/>
        <color theme="1"/>
        <name val="Segoe UI"/>
        <family val="2"/>
        <scheme val="none"/>
      </font>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font>
        <sz val="9"/>
        <name val="Segoe UI"/>
        <family val="2"/>
        <scheme val="none"/>
      </font>
      <alignment horizontal="center" vertical="center" textRotation="0" wrapText="0" indent="0" justifyLastLine="0" shrinkToFit="0" readingOrder="0"/>
      <border diagonalUp="0" diagonalDown="0">
        <left style="thin">
          <color theme="0" tint="-4.9989318521683403E-2"/>
        </left>
        <right style="thin">
          <color theme="0" tint="-4.9989318521683403E-2"/>
        </right>
        <top style="thin">
          <color theme="0" tint="-4.9989318521683403E-2"/>
        </top>
        <bottom/>
        <vertical/>
        <horizontal/>
      </border>
    </dxf>
    <dxf>
      <font>
        <sz val="10"/>
        <name val="Segoe UI"/>
        <family val="2"/>
        <scheme val="none"/>
      </font>
      <alignment horizontal="center" vertical="center" textRotation="0" wrapText="1"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b val="0"/>
        <i val="0"/>
        <strike val="0"/>
        <condense val="0"/>
        <extend val="0"/>
        <outline val="0"/>
        <shadow val="0"/>
        <u val="none"/>
        <vertAlign val="baseline"/>
        <sz val="10"/>
        <color theme="1"/>
        <name val="Segoe UI"/>
        <family val="2"/>
        <scheme val="none"/>
      </font>
      <alignment horizontal="center" vertical="center" textRotation="0" wrapText="0" indent="0" justifyLastLine="0" shrinkToFit="0" readingOrder="0"/>
      <border diagonalUp="0" diagonalDown="0">
        <left style="thin">
          <color theme="0" tint="-4.9989318521683403E-2"/>
        </left>
        <right style="thin">
          <color theme="0" tint="-4.9989318521683403E-2"/>
        </right>
        <top style="thin">
          <color theme="0" tint="-4.9989318521683403E-2"/>
        </top>
        <bottom/>
        <vertical/>
        <horizontal/>
      </border>
    </dxf>
    <dxf>
      <font>
        <sz val="10"/>
        <name val="Segoe UI"/>
        <family val="2"/>
        <scheme val="none"/>
      </font>
      <alignment horizontal="center" vertical="center" textRotation="0" wrapText="0" indent="0" justifyLastLine="0" shrinkToFit="0" readingOrder="0"/>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border>
    </dxf>
    <dxf>
      <font>
        <strike val="0"/>
        <outline val="0"/>
        <shadow val="0"/>
        <u val="none"/>
        <vertAlign val="baseline"/>
        <sz val="10"/>
        <name val="Segoe UI"/>
        <family val="2"/>
        <scheme val="none"/>
      </font>
      <alignment horizontal="center" vertical="center" textRotation="0" wrapText="0" indent="0" justifyLastLine="0" shrinkToFit="0" readingOrder="0"/>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style="thin">
          <color theme="0" tint="-4.9989318521683403E-2"/>
        </horizontal>
      </border>
    </dxf>
    <dxf>
      <font>
        <strike val="0"/>
        <outline val="0"/>
        <shadow val="0"/>
        <u val="none"/>
        <vertAlign val="baseline"/>
        <sz val="10"/>
        <name val="Segoe UI"/>
        <family val="2"/>
        <scheme val="none"/>
      </font>
      <fill>
        <patternFill patternType="solid">
          <fgColor indexed="64"/>
          <bgColor theme="0"/>
        </patternFill>
      </fill>
      <alignment horizontal="general" vertical="center" textRotation="0" wrapText="0" indent="0" justifyLastLine="0" shrinkToFit="0" readingOrder="0"/>
      <border outline="0">
        <left style="thin">
          <color theme="0" tint="-4.9989318521683403E-2"/>
        </left>
      </border>
    </dxf>
    <dxf>
      <font>
        <b/>
        <i val="0"/>
        <strike val="0"/>
        <condense val="0"/>
        <extend val="0"/>
        <outline val="0"/>
        <shadow val="0"/>
        <u val="none"/>
        <vertAlign val="baseline"/>
        <sz val="10"/>
        <color theme="1"/>
        <name val="Segoe UI"/>
        <family val="2"/>
        <scheme val="none"/>
      </font>
      <numFmt numFmtId="2" formatCode="0.00"/>
      <fill>
        <patternFill patternType="none">
          <fgColor indexed="64"/>
          <bgColor auto="1"/>
        </patternFill>
      </fill>
      <alignment horizontal="center" vertical="center" textRotation="0" wrapText="0"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b val="0"/>
        <strike val="0"/>
        <outline val="0"/>
        <shadow val="0"/>
        <u val="none"/>
        <vertAlign val="baseline"/>
        <sz val="10"/>
        <color theme="0" tint="-0.499984740745262"/>
        <name val="Segoe UI"/>
        <family val="2"/>
        <scheme val="none"/>
      </font>
      <numFmt numFmtId="165" formatCode="#,##0.00\ &quot;€&quot;"/>
      <fill>
        <patternFill patternType="solid">
          <fgColor indexed="64"/>
          <bgColor theme="0" tint="-4.9989318521683403E-2"/>
        </patternFill>
      </fill>
      <alignment horizontal="center" vertical="center" textRotation="0" wrapText="0" indent="0" justifyLastLine="0" shrinkToFit="0" readingOrder="0"/>
      <border outline="0">
        <right style="thin">
          <color theme="0" tint="-4.9989318521683403E-2"/>
        </right>
      </border>
    </dxf>
    <dxf>
      <font>
        <strike val="0"/>
        <outline val="0"/>
        <shadow val="0"/>
        <u val="none"/>
        <vertAlign val="baseline"/>
        <sz val="10"/>
        <name val="Segoe UI"/>
        <family val="2"/>
        <scheme val="none"/>
      </font>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8"/>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10"/>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b val="0"/>
        <i val="0"/>
        <strike val="0"/>
        <condense val="0"/>
        <extend val="0"/>
        <outline val="0"/>
        <shadow val="0"/>
        <u val="none"/>
        <vertAlign val="baseline"/>
        <sz val="10"/>
        <color theme="2" tint="-0.499984740745262"/>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strike val="0"/>
        <outline val="0"/>
        <shadow val="0"/>
        <u val="none"/>
        <vertAlign val="baseline"/>
        <sz val="10"/>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10"/>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10"/>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10"/>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10"/>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10"/>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10"/>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10"/>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10"/>
        <name val="Segoe UI"/>
        <family val="2"/>
        <scheme val="none"/>
      </font>
      <numFmt numFmtId="165" formatCode="#,##0.00\ &quot;€&quot;"/>
      <fill>
        <patternFill patternType="solid">
          <fgColor indexed="64"/>
          <bgColor rgb="FFFFE7E7"/>
        </patternFill>
      </fill>
      <alignment horizontal="center" vertical="center" textRotation="0" wrapText="0" indent="0" justifyLastLine="0" shrinkToFit="0" readingOrder="0"/>
    </dxf>
    <dxf>
      <font>
        <strike val="0"/>
        <outline val="0"/>
        <shadow val="0"/>
        <u val="none"/>
        <vertAlign val="baseline"/>
        <sz val="10"/>
        <name val="Segoe UI"/>
        <family val="2"/>
        <scheme val="none"/>
      </font>
      <fill>
        <patternFill patternType="solid">
          <fgColor indexed="64"/>
          <bgColor theme="0"/>
        </patternFill>
      </fill>
      <alignment horizontal="general" vertical="center" textRotation="0" wrapText="0" indent="0" justifyLastLine="0" shrinkToFit="0" readingOrder="0"/>
      <border outline="0">
        <left style="thin">
          <color theme="0"/>
        </left>
      </border>
    </dxf>
    <dxf>
      <font>
        <strike val="0"/>
        <outline val="0"/>
        <shadow val="0"/>
        <u val="none"/>
        <vertAlign val="baseline"/>
        <sz val="10"/>
        <color theme="1"/>
        <name val="Segoe UI"/>
        <family val="2"/>
        <scheme val="none"/>
      </font>
      <numFmt numFmtId="165" formatCode="#,##0.00\ &quot;€&quot;"/>
      <fill>
        <patternFill patternType="solid">
          <fgColor indexed="64"/>
          <bgColor rgb="FFECF9E7"/>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0"/>
        <color theme="0" tint="-0.499984740745262"/>
        <name val="Segoe UI"/>
        <family val="2"/>
        <scheme val="none"/>
      </font>
      <numFmt numFmtId="165" formatCode="#,##0.00\ &quot;€&quot;"/>
      <fill>
        <patternFill patternType="solid">
          <fgColor indexed="64"/>
          <bgColor rgb="FFECF9E7"/>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0"/>
        <name val="Segoe UI"/>
        <family val="2"/>
        <scheme val="none"/>
      </font>
      <fill>
        <patternFill patternType="none">
          <fgColor indexed="64"/>
          <bgColor auto="1"/>
        </patternFill>
      </fill>
      <alignment horizontal="general" vertical="center" textRotation="0" wrapText="0" indent="0" justifyLastLine="0" shrinkToFit="0" readingOrder="0"/>
      <border outline="0">
        <right style="thin">
          <color theme="0" tint="-4.9989318521683403E-2"/>
        </right>
      </border>
    </dxf>
    <dxf>
      <font>
        <b val="0"/>
        <i val="0"/>
        <strike val="0"/>
        <condense val="0"/>
        <extend val="0"/>
        <outline val="0"/>
        <shadow val="0"/>
        <u val="none"/>
        <vertAlign val="baseline"/>
        <sz val="8"/>
        <color theme="1"/>
        <name val="Segoe UI"/>
        <family val="2"/>
        <scheme val="none"/>
      </font>
      <alignment horizontal="center" vertical="center" textRotation="0" wrapText="0" indent="0" justifyLastLine="0" shrinkToFit="0" readingOrder="0"/>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style="thin">
          <color theme="0" tint="-4.9989318521683403E-2"/>
        </horizontal>
      </border>
    </dxf>
    <dxf>
      <font>
        <strike val="0"/>
        <outline val="0"/>
        <shadow val="0"/>
        <u val="none"/>
        <vertAlign val="baseline"/>
        <sz val="8"/>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b val="0"/>
        <i val="0"/>
        <strike val="0"/>
        <condense val="0"/>
        <extend val="0"/>
        <outline val="0"/>
        <shadow val="0"/>
        <u val="none"/>
        <vertAlign val="baseline"/>
        <sz val="10"/>
        <color theme="1"/>
        <name val="Segoe UI"/>
        <family val="2"/>
        <scheme val="none"/>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9"/>
        <color theme="1"/>
        <name val="Segoe UI"/>
        <family val="2"/>
        <scheme val="none"/>
      </font>
      <numFmt numFmtId="165" formatCode="#,##0.00\ &quot;€&quot;"/>
      <fill>
        <patternFill patternType="none">
          <fgColor indexed="64"/>
          <bgColor indexed="65"/>
        </patternFill>
      </fill>
      <alignment horizontal="center" vertical="center" textRotation="0" wrapText="0" indent="0" justifyLastLine="0" shrinkToFit="0" readingOrder="0"/>
      <border diagonalUp="0" diagonalDown="0" outline="0">
        <left/>
        <right style="thin">
          <color theme="0" tint="-4.9989318521683403E-2"/>
        </right>
        <top/>
        <bottom/>
      </border>
    </dxf>
    <dxf>
      <font>
        <strike val="0"/>
        <outline val="0"/>
        <shadow val="0"/>
        <u val="none"/>
        <vertAlign val="baseline"/>
        <sz val="8"/>
        <name val="Segoe UI"/>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theme="0" tint="-4.9989318521683403E-2"/>
        </left>
        <right style="thin">
          <color theme="0" tint="-4.9989318521683403E-2"/>
        </right>
        <top style="thin">
          <color theme="0" tint="-4.9989318521683403E-2"/>
        </top>
        <bottom/>
        <vertical/>
        <horizontal/>
      </border>
    </dxf>
    <dxf>
      <font>
        <strike val="0"/>
        <outline val="0"/>
        <shadow val="0"/>
        <u val="none"/>
        <vertAlign val="baseline"/>
        <sz val="10"/>
        <name val="Segoe UI"/>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8"/>
        <color theme="1"/>
        <name val="Segoe UI"/>
        <family val="2"/>
        <scheme val="none"/>
      </font>
      <numFmt numFmtId="0" formatCode="General"/>
      <alignment horizontal="center" vertical="center" textRotation="0" wrapText="0" indent="0" justifyLastLine="0" shrinkToFit="0" readingOrder="0"/>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style="thin">
          <color theme="0" tint="-4.9989318521683403E-2"/>
        </horizontal>
      </border>
    </dxf>
    <dxf>
      <font>
        <b val="0"/>
        <i val="0"/>
        <strike val="0"/>
        <condense val="0"/>
        <extend val="0"/>
        <outline val="0"/>
        <shadow val="0"/>
        <u val="none"/>
        <vertAlign val="baseline"/>
        <sz val="8"/>
        <color theme="1"/>
        <name val="Segoe UI"/>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border>
    </dxf>
    <dxf>
      <font>
        <b val="0"/>
        <i val="0"/>
        <strike val="0"/>
        <condense val="0"/>
        <extend val="0"/>
        <outline val="0"/>
        <shadow val="0"/>
        <u val="none"/>
        <vertAlign val="baseline"/>
        <sz val="10"/>
        <color theme="1"/>
        <name val="Segoe U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strike val="0"/>
        <outline val="0"/>
        <shadow val="0"/>
        <u val="none"/>
        <vertAlign val="baseline"/>
        <sz val="10"/>
        <color theme="0" tint="-0.34998626667073579"/>
        <name val="Segoe UI"/>
        <family val="2"/>
        <scheme val="none"/>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9"/>
        <color theme="2" tint="-0.499984740745262"/>
        <name val="Segoe UI"/>
        <family val="2"/>
        <scheme val="none"/>
      </font>
      <numFmt numFmtId="165" formatCode="#,##0.00\ &quot;€&quot;"/>
      <fill>
        <patternFill patternType="none">
          <fgColor indexed="64"/>
          <bgColor auto="1"/>
        </patternFill>
      </fill>
      <alignment horizontal="center" vertical="center" textRotation="0" wrapText="0" indent="0" justifyLastLine="0" shrinkToFit="0" readingOrder="0"/>
      <border outline="0">
        <right style="thin">
          <color theme="0" tint="-4.9989318521683403E-2"/>
        </right>
      </border>
    </dxf>
    <dxf>
      <font>
        <strike val="0"/>
        <outline val="0"/>
        <shadow val="0"/>
        <u val="none"/>
        <vertAlign val="baseline"/>
        <sz val="8"/>
        <name val="Segoe UI"/>
        <family val="2"/>
        <scheme val="none"/>
      </font>
      <fill>
        <patternFill patternType="none">
          <fgColor indexed="64"/>
          <bgColor auto="1"/>
        </patternFill>
      </fill>
      <alignment horizontal="center" vertical="top" textRotation="0" wrapText="1" indent="0" justifyLastLine="0" shrinkToFit="0" readingOrder="0"/>
    </dxf>
    <dxf>
      <font>
        <strike val="0"/>
        <outline val="0"/>
        <shadow val="0"/>
        <u val="none"/>
        <vertAlign val="baseline"/>
        <sz val="10"/>
        <name val="Segoe UI"/>
        <family val="2"/>
        <scheme val="none"/>
      </font>
      <fill>
        <patternFill patternType="none">
          <fgColor indexed="64"/>
          <bgColor auto="1"/>
        </patternFill>
      </fill>
      <alignment horizontal="general" vertical="center" textRotation="0" wrapText="0" indent="0" justifyLastLine="0" shrinkToFit="0" readingOrder="0"/>
      <border outline="0">
        <left style="thin">
          <color theme="0" tint="-4.9989318521683403E-2"/>
        </left>
      </border>
    </dxf>
    <dxf>
      <font>
        <strike val="0"/>
        <outline val="0"/>
        <shadow val="0"/>
        <u val="none"/>
        <vertAlign val="baseline"/>
        <sz val="10"/>
        <name val="Segoe UI"/>
        <family val="2"/>
        <scheme val="none"/>
      </font>
      <fill>
        <patternFill patternType="solid">
          <fgColor indexed="64"/>
          <bgColor theme="0"/>
        </patternFill>
      </fill>
      <alignment horizontal="general" vertical="center" textRotation="0" wrapText="0" indent="0" justifyLastLine="0" shrinkToFit="0" readingOrder="0"/>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border>
    </dxf>
    <dxf>
      <font>
        <b val="0"/>
        <i val="0"/>
        <strike val="0"/>
        <condense val="0"/>
        <extend val="0"/>
        <outline val="0"/>
        <shadow val="0"/>
        <u val="none"/>
        <vertAlign val="baseline"/>
        <sz val="8"/>
        <color theme="2" tint="-0.499984740745262"/>
        <name val="Segoe UI"/>
        <family val="2"/>
        <scheme val="none"/>
      </font>
      <alignment horizontal="left" vertical="center" textRotation="0" wrapText="0" indent="0" justifyLastLine="0" shrinkToFit="0" readingOrder="0"/>
      <border diagonalUp="0" diagonalDown="0" outline="0">
        <left/>
        <right style="thin">
          <color theme="0" tint="-4.9989318521683403E-2"/>
        </right>
        <top style="thin">
          <color theme="0" tint="-4.9989318521683403E-2"/>
        </top>
        <bottom style="thin">
          <color theme="0" tint="-4.9989318521683403E-2"/>
        </bottom>
      </border>
    </dxf>
    <dxf>
      <font>
        <b val="0"/>
        <i val="0"/>
        <strike val="0"/>
        <condense val="0"/>
        <extend val="0"/>
        <outline val="0"/>
        <shadow val="0"/>
        <u val="none"/>
        <vertAlign val="baseline"/>
        <sz val="8"/>
        <color theme="2" tint="-0.499984740745262"/>
        <name val="Segoe UI"/>
        <family val="2"/>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left/>
        <right/>
        <top style="thin">
          <color theme="0" tint="-4.9989318521683403E-2"/>
        </top>
        <bottom style="thin">
          <color theme="0" tint="-4.9989318521683403E-2"/>
        </bottom>
      </border>
    </dxf>
    <dxf>
      <font>
        <b val="0"/>
        <i val="0"/>
        <strike val="0"/>
        <condense val="0"/>
        <extend val="0"/>
        <outline val="0"/>
        <shadow val="0"/>
        <u val="none"/>
        <vertAlign val="baseline"/>
        <sz val="8"/>
        <color theme="2" tint="-0.499984740745262"/>
        <name val="Segoe UI"/>
        <family val="2"/>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right style="thin">
          <color theme="0" tint="-4.9989318521683403E-2"/>
        </right>
        <top style="thin">
          <color theme="0" tint="-4.9989318521683403E-2"/>
        </top>
        <bottom style="thin">
          <color theme="0" tint="-4.9989318521683403E-2"/>
        </bottom>
      </border>
    </dxf>
    <dxf>
      <font>
        <b val="0"/>
        <i val="0"/>
        <strike val="0"/>
        <condense val="0"/>
        <extend val="0"/>
        <outline val="0"/>
        <shadow val="0"/>
        <u val="none"/>
        <vertAlign val="baseline"/>
        <sz val="8"/>
        <color theme="2" tint="-0.499984740745262"/>
        <name val="Segoe UI"/>
        <family val="2"/>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right style="thin">
          <color theme="0" tint="-4.9989318521683403E-2"/>
        </right>
        <top style="thin">
          <color theme="0" tint="-4.9989318521683403E-2"/>
        </top>
        <bottom style="thin">
          <color theme="0" tint="-4.9989318521683403E-2"/>
        </bottom>
      </border>
    </dxf>
    <dxf>
      <font>
        <b val="0"/>
        <i val="0"/>
        <strike val="0"/>
        <condense val="0"/>
        <extend val="0"/>
        <outline val="0"/>
        <shadow val="0"/>
        <u val="none"/>
        <vertAlign val="baseline"/>
        <sz val="8"/>
        <color theme="2" tint="-0.499984740745262"/>
        <name val="Segoe UI"/>
        <family val="2"/>
        <scheme val="none"/>
      </font>
      <numFmt numFmtId="0" formatCode="General"/>
      <alignment horizontal="center" vertical="center" textRotation="0" wrapText="0" indent="0" justifyLastLine="0" shrinkToFit="0" readingOrder="0"/>
      <border diagonalUp="0" diagonalDown="0">
        <left/>
        <right style="thin">
          <color theme="0" tint="-4.9989318521683403E-2"/>
        </right>
        <top style="thin">
          <color theme="0" tint="-4.9989318521683403E-2"/>
        </top>
        <bottom/>
        <vertical/>
        <horizontal/>
      </border>
    </dxf>
    <dxf>
      <font>
        <b val="0"/>
        <i val="0"/>
        <strike val="0"/>
        <condense val="0"/>
        <extend val="0"/>
        <outline val="0"/>
        <shadow val="0"/>
        <u val="none"/>
        <vertAlign val="baseline"/>
        <sz val="8"/>
        <color theme="2" tint="-0.499984740745262"/>
        <name val="Segoe UI"/>
        <family val="2"/>
        <scheme val="none"/>
      </font>
      <numFmt numFmtId="0" formatCode="General"/>
      <alignment horizontal="center" vertical="center" textRotation="0" wrapText="0" indent="0" justifyLastLine="0" shrinkToFit="0" readingOrder="0"/>
      <border diagonalUp="0" diagonalDown="0">
        <left/>
        <right style="thin">
          <color theme="0" tint="-4.9989318521683403E-2"/>
        </right>
        <top style="thin">
          <color theme="0" tint="-4.9989318521683403E-2"/>
        </top>
        <bottom style="thin">
          <color theme="0" tint="-4.9989318521683403E-2"/>
        </bottom>
        <vertical/>
        <horizontal/>
      </border>
    </dxf>
    <dxf>
      <font>
        <b val="0"/>
        <i val="0"/>
        <strike val="0"/>
        <condense val="0"/>
        <extend val="0"/>
        <outline val="0"/>
        <shadow val="0"/>
        <u val="none"/>
        <vertAlign val="baseline"/>
        <sz val="8"/>
        <color theme="2" tint="-0.499984740745262"/>
        <name val="Segoe UI"/>
        <family val="2"/>
        <scheme val="none"/>
      </font>
      <numFmt numFmtId="0" formatCode="General"/>
      <alignment horizontal="center" vertical="center" textRotation="0" wrapText="0" indent="0" justifyLastLine="0" shrinkToFit="0" readingOrder="0"/>
      <border diagonalUp="0" diagonalDown="0">
        <left/>
        <right style="thin">
          <color theme="0" tint="-4.9989318521683403E-2"/>
        </right>
        <top style="thin">
          <color theme="0" tint="-4.9989318521683403E-2"/>
        </top>
        <bottom style="thin">
          <color theme="0" tint="-4.9989318521683403E-2"/>
        </bottom>
        <vertical/>
        <horizontal/>
      </border>
    </dxf>
    <dxf>
      <font>
        <b val="0"/>
        <i val="0"/>
        <strike val="0"/>
        <condense val="0"/>
        <extend val="0"/>
        <outline val="0"/>
        <shadow val="0"/>
        <u val="none"/>
        <vertAlign val="baseline"/>
        <sz val="8"/>
        <color theme="2" tint="-0.499984740745262"/>
        <name val="Segoe UI"/>
        <family val="2"/>
        <scheme val="none"/>
      </font>
      <numFmt numFmtId="0" formatCode="General"/>
      <alignment horizontal="center" vertical="center" textRotation="0" wrapText="0" indent="0" justifyLastLine="0" shrinkToFit="0" readingOrder="0"/>
      <border diagonalUp="0" diagonalDown="0">
        <left/>
        <right style="thin">
          <color theme="0" tint="-4.9989318521683403E-2"/>
        </right>
        <top style="thin">
          <color theme="0" tint="-4.9989318521683403E-2"/>
        </top>
        <bottom style="thin">
          <color theme="0" tint="-4.9989318521683403E-2"/>
        </bottom>
        <vertical/>
        <horizontal/>
      </border>
    </dxf>
    <dxf>
      <font>
        <strike val="0"/>
        <outline val="0"/>
        <shadow val="0"/>
        <u val="none"/>
        <vertAlign val="baseline"/>
        <sz val="8"/>
        <color theme="2" tint="-0.499984740745262"/>
        <name val="Segoe UI"/>
        <family val="2"/>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strike val="0"/>
        <outline val="0"/>
        <shadow val="0"/>
        <u val="none"/>
        <vertAlign val="baseline"/>
        <sz val="9"/>
        <color theme="2" tint="-0.499984740745262"/>
        <name val="Segoe UI"/>
        <family val="2"/>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alignment horizontal="general" vertical="center" textRotation="0" wrapText="0" indent="0" justifyLastLine="0" shrinkToFit="0" readingOrder="0"/>
    </dxf>
    <dxf>
      <font>
        <b/>
        <strike val="0"/>
        <outline val="0"/>
        <shadow val="0"/>
        <u val="none"/>
        <vertAlign val="baseline"/>
        <sz val="8"/>
        <color theme="0"/>
        <name val="Aptos Narrow"/>
        <family val="2"/>
        <scheme val="minor"/>
      </font>
      <fill>
        <patternFill patternType="solid">
          <fgColor indexed="64"/>
          <bgColor theme="4" tint="-0.499984740745262"/>
        </patternFill>
      </fill>
      <alignment horizontal="center" vertical="center" textRotation="0" wrapText="1" indent="0" justifyLastLine="0" shrinkToFit="0" readingOrder="0"/>
    </dxf>
    <dxf>
      <border>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border>
        <left style="thin">
          <color theme="0"/>
        </left>
        <right style="thin">
          <color theme="0"/>
        </right>
        <top style="thin">
          <color theme="0"/>
        </top>
        <bottom style="thin">
          <color theme="0"/>
        </bottom>
        <vertical style="thin">
          <color theme="0"/>
        </vertical>
        <horizontal style="thin">
          <color theme="0"/>
        </horizontal>
      </border>
    </dxf>
    <dxf>
      <fill>
        <patternFill>
          <bgColor theme="0" tint="-4.9989318521683403E-2"/>
        </patternFill>
      </fill>
    </dxf>
  </dxfs>
  <tableStyles count="3" defaultTableStyle="TableStyleMedium2" defaultPivotStyle="PivotStyleLight16">
    <tableStyle name="Estilo de tabla 1" pivot="0" count="1" xr9:uid="{CE0BD577-5285-46CD-92F2-B00E8D84A763}">
      <tableStyleElement type="secondRowStripe" dxfId="846"/>
    </tableStyle>
    <tableStyle name="Estilo de tabla 2" pivot="0" count="1" xr9:uid="{0C6C5B9A-B785-49F4-83EF-19643B497A1A}">
      <tableStyleElement type="wholeTable" dxfId="845"/>
    </tableStyle>
    <tableStyle name="Estilo de tabla 3" pivot="0" count="1" xr9:uid="{BC6FCAF1-5D74-4916-ADF9-95FF5B4DE58F}">
      <tableStyleElement type="wholeTable" dxfId="844"/>
    </tableStyle>
  </tableStyles>
  <colors>
    <mruColors>
      <color rgb="FFFFFFCD"/>
      <color rgb="FFFFE5C3"/>
      <color rgb="FFFFFFFF"/>
      <color rgb="FFFF9797"/>
      <color rgb="FFDBD600"/>
      <color rgb="FF2AACA0"/>
      <color rgb="FFFFCC66"/>
      <color rgb="FFECF9E7"/>
      <color rgb="FFFFE5E5"/>
      <color rgb="FFFFE7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1.xml"/><Relationship Id="rId39" Type="http://schemas.openxmlformats.org/officeDocument/2006/relationships/customXml" Target="../customXml/item2.xml"/><Relationship Id="rId21" Type="http://schemas.openxmlformats.org/officeDocument/2006/relationships/worksheet" Target="worksheets/sheet21.xml"/><Relationship Id="rId34" Type="http://schemas.microsoft.com/office/2017/06/relationships/rdRichValueStructure" Target="richData/rdrichvaluestructure.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41"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32" Type="http://schemas.microsoft.com/office/2022/10/relationships/richValueRel" Target="richData/richValueRel.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connections" Target="connections.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theme" Target="theme/theme1.xml"/><Relationship Id="rId30" Type="http://schemas.openxmlformats.org/officeDocument/2006/relationships/sharedStrings" Target="sharedStrings.xml"/><Relationship Id="rId35" Type="http://schemas.microsoft.com/office/2017/06/relationships/rdRichValueTypes" Target="richData/rdRichValueTyp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4.xml"/><Relationship Id="rId33" Type="http://schemas.microsoft.com/office/2017/06/relationships/rdRichValue" Target="richData/rdrichvalue.xml"/><Relationship Id="rId38"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0"/>
          <c:order val="0"/>
          <c:tx>
            <c:strRef>
              <c:f>Analises!$V$7</c:f>
              <c:strCache>
                <c:ptCount val="1"/>
                <c:pt idx="0">
                  <c:v>Wiseowe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Analises!$AC$7:$AD$7</c:f>
              <c:numCache>
                <c:formatCode>#,##0.00\ "€"</c:formatCode>
                <c:ptCount val="2"/>
                <c:pt idx="0">
                  <c:v>47111.644</c:v>
                </c:pt>
                <c:pt idx="1">
                  <c:v>130651.03218650784</c:v>
                </c:pt>
              </c:numCache>
            </c:numRef>
          </c:val>
          <c:smooth val="0"/>
          <c:extLst>
            <c:ext xmlns:c16="http://schemas.microsoft.com/office/drawing/2014/chart" uri="{C3380CC4-5D6E-409C-BE32-E72D297353CC}">
              <c16:uniqueId val="{00000000-46E9-47D2-BB7C-D6960F038B11}"/>
            </c:ext>
          </c:extLst>
        </c:ser>
        <c:dLbls>
          <c:dLblPos val="t"/>
          <c:showLegendKey val="0"/>
          <c:showVal val="1"/>
          <c:showCatName val="0"/>
          <c:showSerName val="0"/>
          <c:showPercent val="0"/>
          <c:showBubbleSize val="0"/>
        </c:dLbls>
        <c:smooth val="0"/>
        <c:axId val="248619424"/>
        <c:axId val="248610304"/>
      </c:lineChart>
      <c:catAx>
        <c:axId val="24861942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48610304"/>
        <c:crosses val="autoZero"/>
        <c:auto val="1"/>
        <c:lblAlgn val="ctr"/>
        <c:lblOffset val="100"/>
        <c:noMultiLvlLbl val="0"/>
      </c:catAx>
      <c:valAx>
        <c:axId val="248610304"/>
        <c:scaling>
          <c:orientation val="minMax"/>
        </c:scaling>
        <c:delete val="0"/>
        <c:axPos val="l"/>
        <c:majorGridlines>
          <c:spPr>
            <a:ln w="9525" cap="flat" cmpd="sng" algn="ctr">
              <a:solidFill>
                <a:schemeClr val="tx1">
                  <a:lumMod val="15000"/>
                  <a:lumOff val="85000"/>
                </a:schemeClr>
              </a:solidFill>
              <a:round/>
            </a:ln>
            <a:effectLst/>
          </c:spPr>
        </c:majorGridlines>
        <c:numFmt formatCode="#,##0.00\ &quot;€&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4861942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B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4"/>
    </mc:Choice>
    <mc:Fallback>
      <c:style val="4"/>
    </mc:Fallback>
  </mc:AlternateContent>
  <c:pivotSource>
    <c:name>[1. Folha salarial - Janeiro FERNANDO.xlsx]Informações!TablaDinámica14</c:name>
    <c:fmtId val="1"/>
  </c:pivotSource>
  <c:chart>
    <c:autoTitleDeleted val="1"/>
    <c:pivotFmts>
      <c:pivotFmt>
        <c:idx val="0"/>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76000"/>
            </a:schemeClr>
          </a:solidFill>
          <a:ln>
            <a:noFill/>
          </a:ln>
          <a:effectLst>
            <a:outerShdw blurRad="254000" sx="102000" sy="102000" algn="ctr" rotWithShape="0">
              <a:prstClr val="black">
                <a:alpha val="20000"/>
              </a:prstClr>
            </a:outerShdw>
          </a:effectLst>
          <a:sp3d/>
        </c:spPr>
      </c:pivotFmt>
      <c:pivotFmt>
        <c:idx val="2"/>
        <c:spPr>
          <a:solidFill>
            <a:schemeClr val="accent2">
              <a:tint val="77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7914162138183429"/>
          <c:w val="0.80467458516837953"/>
          <c:h val="0.73062569975955816"/>
        </c:manualLayout>
      </c:layout>
      <c:pie3DChart>
        <c:varyColors val="1"/>
        <c:ser>
          <c:idx val="0"/>
          <c:order val="0"/>
          <c:tx>
            <c:strRef>
              <c:f>Informações!$C$20</c:f>
              <c:strCache>
                <c:ptCount val="1"/>
                <c:pt idx="0">
                  <c:v>Total</c:v>
                </c:pt>
              </c:strCache>
            </c:strRef>
          </c:tx>
          <c:dPt>
            <c:idx val="0"/>
            <c:bubble3D val="0"/>
            <c:spPr>
              <a:solidFill>
                <a:schemeClr val="accent2">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97E-4075-B4D5-A531A0BC3395}"/>
              </c:ext>
            </c:extLst>
          </c:dPt>
          <c:dPt>
            <c:idx val="1"/>
            <c:bubble3D val="0"/>
            <c:spPr>
              <a:solidFill>
                <a:schemeClr val="accent2">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E-4075-B4D5-A531A0BC339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Informações!$B$21:$B$23</c:f>
              <c:strCache>
                <c:ptCount val="2"/>
                <c:pt idx="0">
                  <c:v>Ativo</c:v>
                </c:pt>
                <c:pt idx="1">
                  <c:v>Não ativo</c:v>
                </c:pt>
              </c:strCache>
            </c:strRef>
          </c:cat>
          <c:val>
            <c:numRef>
              <c:f>Informações!$C$21:$C$23</c:f>
              <c:numCache>
                <c:formatCode>General</c:formatCode>
                <c:ptCount val="2"/>
                <c:pt idx="0">
                  <c:v>11</c:v>
                </c:pt>
                <c:pt idx="1">
                  <c:v>32</c:v>
                </c:pt>
              </c:numCache>
            </c:numRef>
          </c:val>
          <c:extLst>
            <c:ext xmlns:c16="http://schemas.microsoft.com/office/drawing/2014/chart" uri="{C3380CC4-5D6E-409C-BE32-E72D297353CC}">
              <c16:uniqueId val="{00000000-2AAC-4474-992F-9026FD396E86}"/>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1956586507767606"/>
          <c:y val="0.3426557243724816"/>
          <c:w val="0.26579315299756634"/>
          <c:h val="0.3169036264833093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3"/>
    </mc:Choice>
    <mc:Fallback>
      <c:style val="3"/>
    </mc:Fallback>
  </mc:AlternateContent>
  <c:pivotSource>
    <c:name>[1. Folha salarial - Janeiro FERNANDO.xlsx]Informações!TablaDinámica7</c:name>
    <c:fmtId val="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76000"/>
            </a:schemeClr>
          </a:solidFill>
          <a:ln>
            <a:noFill/>
          </a:ln>
          <a:effectLst>
            <a:outerShdw blurRad="254000" sx="102000" sy="102000" algn="ctr" rotWithShape="0">
              <a:prstClr val="black">
                <a:alpha val="20000"/>
              </a:prstClr>
            </a:outerShdw>
          </a:effectLst>
          <a:sp3d/>
        </c:spPr>
      </c:pivotFmt>
      <c:pivotFmt>
        <c:idx val="2"/>
        <c:spPr>
          <a:solidFill>
            <a:schemeClr val="accent1">
              <a:tint val="77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Informações!$J$20</c:f>
              <c:strCache>
                <c:ptCount val="1"/>
                <c:pt idx="0">
                  <c:v>Total</c:v>
                </c:pt>
              </c:strCache>
            </c:strRef>
          </c:tx>
          <c:dPt>
            <c:idx val="0"/>
            <c:bubble3D val="0"/>
            <c:spPr>
              <a:solidFill>
                <a:schemeClr val="accent1">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726-45A4-8BD3-8728D60E19EE}"/>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726-45A4-8BD3-8728D60E19E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Informações!$I$21:$I$23</c:f>
              <c:strCache>
                <c:ptCount val="2"/>
                <c:pt idx="0">
                  <c:v>Ativo</c:v>
                </c:pt>
                <c:pt idx="1">
                  <c:v>Não ativo</c:v>
                </c:pt>
              </c:strCache>
            </c:strRef>
          </c:cat>
          <c:val>
            <c:numRef>
              <c:f>Informações!$J$21:$J$23</c:f>
              <c:numCache>
                <c:formatCode>General</c:formatCode>
                <c:ptCount val="2"/>
                <c:pt idx="0">
                  <c:v>26</c:v>
                </c:pt>
                <c:pt idx="1">
                  <c:v>24</c:v>
                </c:pt>
              </c:numCache>
            </c:numRef>
          </c:val>
          <c:extLst>
            <c:ext xmlns:c16="http://schemas.microsoft.com/office/drawing/2014/chart" uri="{C3380CC4-5D6E-409C-BE32-E72D297353CC}">
              <c16:uniqueId val="{00000000-2138-41AF-84C3-D7C5CEF06D6A}"/>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8"/>
    </mc:Choice>
    <mc:Fallback>
      <c:style val="8"/>
    </mc:Fallback>
  </mc:AlternateContent>
  <c:pivotSource>
    <c:name>[1. Folha salarial - Janeiro FERNANDO.xlsx]Informações!TablaDinámica8</c:name>
    <c:fmtId val="2"/>
  </c:pivotSource>
  <c:chart>
    <c:autoTitleDeleted val="1"/>
    <c:pivotFmts>
      <c:pivotFmt>
        <c:idx val="0"/>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hade val="76000"/>
            </a:schemeClr>
          </a:solidFill>
          <a:ln>
            <a:noFill/>
          </a:ln>
          <a:effectLst>
            <a:outerShdw blurRad="254000" sx="102000" sy="102000" algn="ctr" rotWithShape="0">
              <a:prstClr val="black">
                <a:alpha val="20000"/>
              </a:prstClr>
            </a:outerShdw>
          </a:effectLst>
          <a:sp3d/>
        </c:spPr>
      </c:pivotFmt>
      <c:pivotFmt>
        <c:idx val="2"/>
        <c:spPr>
          <a:solidFill>
            <a:schemeClr val="accent6">
              <a:tint val="77000"/>
            </a:schemeClr>
          </a:solidFill>
          <a:ln>
            <a:noFill/>
          </a:ln>
          <a:effectLst>
            <a:outerShdw blurRad="254000" sx="102000" sy="102000" algn="ctr" rotWithShape="0">
              <a:prstClr val="black">
                <a:alpha val="20000"/>
              </a:prstClr>
            </a:outerShdw>
          </a:effectLst>
          <a:sp3d/>
        </c:spPr>
      </c:pivotFmt>
      <c:pivotFmt>
        <c:idx val="3"/>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shade val="76000"/>
            </a:schemeClr>
          </a:solidFill>
          <a:ln>
            <a:noFill/>
          </a:ln>
          <a:effectLst>
            <a:outerShdw blurRad="254000" sx="102000" sy="102000" algn="ctr" rotWithShape="0">
              <a:prstClr val="black">
                <a:alpha val="20000"/>
              </a:prstClr>
            </a:outerShdw>
          </a:effectLst>
          <a:sp3d/>
        </c:spPr>
      </c:pivotFmt>
      <c:pivotFmt>
        <c:idx val="5"/>
        <c:spPr>
          <a:solidFill>
            <a:schemeClr val="accent6">
              <a:tint val="77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Informações!$Q$20</c:f>
              <c:strCache>
                <c:ptCount val="1"/>
                <c:pt idx="0">
                  <c:v>Total</c:v>
                </c:pt>
              </c:strCache>
            </c:strRef>
          </c:tx>
          <c:dPt>
            <c:idx val="0"/>
            <c:bubble3D val="0"/>
            <c:spPr>
              <a:solidFill>
                <a:schemeClr val="accent6">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6C2-48F0-B0D0-D72F363CF4E2}"/>
              </c:ext>
            </c:extLst>
          </c:dPt>
          <c:dPt>
            <c:idx val="1"/>
            <c:bubble3D val="0"/>
            <c:spPr>
              <a:solidFill>
                <a:schemeClr val="accent6">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6C2-48F0-B0D0-D72F363CF4E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Informações!$P$21:$P$23</c:f>
              <c:strCache>
                <c:ptCount val="2"/>
                <c:pt idx="0">
                  <c:v>Ativo</c:v>
                </c:pt>
                <c:pt idx="1">
                  <c:v>Não ativo</c:v>
                </c:pt>
              </c:strCache>
            </c:strRef>
          </c:cat>
          <c:val>
            <c:numRef>
              <c:f>Informações!$Q$21:$Q$23</c:f>
              <c:numCache>
                <c:formatCode>General</c:formatCode>
                <c:ptCount val="2"/>
                <c:pt idx="0">
                  <c:v>42</c:v>
                </c:pt>
                <c:pt idx="1">
                  <c:v>121</c:v>
                </c:pt>
              </c:numCache>
            </c:numRef>
          </c:val>
          <c:extLst>
            <c:ext xmlns:c16="http://schemas.microsoft.com/office/drawing/2014/chart" uri="{C3380CC4-5D6E-409C-BE32-E72D297353CC}">
              <c16:uniqueId val="{00000000-59AF-4C44-B356-27FC08638B7E}"/>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1"/>
    </mc:Choice>
    <mc:Fallback>
      <c:style val="1"/>
    </mc:Fallback>
  </mc:AlternateContent>
  <c:pivotSource>
    <c:name>[1. Folha salarial - Janeiro FERNANDO.xlsx]Informações!TablaDinámica10</c:name>
    <c:fmtId val="3"/>
  </c:pivotSource>
  <c:chart>
    <c:autoTitleDeleted val="1"/>
    <c:pivotFmts>
      <c:pivotFmt>
        <c:idx val="0"/>
        <c:spPr>
          <a:solidFill>
            <a:schemeClr val="dk1">
              <a:tint val="88500"/>
            </a:schemeClr>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dk1">
              <a:tint val="88500"/>
            </a:schemeClr>
          </a:solidFill>
          <a:ln>
            <a:noFill/>
          </a:ln>
          <a:effectLst>
            <a:outerShdw blurRad="254000" sx="102000" sy="102000" algn="ctr" rotWithShape="0">
              <a:prstClr val="black">
                <a:alpha val="20000"/>
              </a:prstClr>
            </a:outerShdw>
          </a:effectLst>
          <a:sp3d/>
        </c:spPr>
      </c:pivotFmt>
      <c:pivotFmt>
        <c:idx val="2"/>
        <c:spPr>
          <a:solidFill>
            <a:schemeClr val="dk1">
              <a:tint val="885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Informações!$X$20</c:f>
              <c:strCache>
                <c:ptCount val="1"/>
                <c:pt idx="0">
                  <c:v>Total</c:v>
                </c:pt>
              </c:strCache>
            </c:strRef>
          </c:tx>
          <c:dPt>
            <c:idx val="0"/>
            <c:bubble3D val="0"/>
            <c:spPr>
              <a:solidFill>
                <a:schemeClr val="dk1">
                  <a:tint val="885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D61-414B-AD61-93F1F5E36D76}"/>
              </c:ext>
            </c:extLst>
          </c:dPt>
          <c:dPt>
            <c:idx val="1"/>
            <c:bubble3D val="0"/>
            <c:spPr>
              <a:solidFill>
                <a:schemeClr val="dk1">
                  <a:tint val="5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D61-414B-AD61-93F1F5E36D7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Informações!$W$21:$W$23</c:f>
              <c:strCache>
                <c:ptCount val="2"/>
                <c:pt idx="0">
                  <c:v>Ativo</c:v>
                </c:pt>
                <c:pt idx="1">
                  <c:v>Não ativo</c:v>
                </c:pt>
              </c:strCache>
            </c:strRef>
          </c:cat>
          <c:val>
            <c:numRef>
              <c:f>Informações!$X$21:$X$23</c:f>
              <c:numCache>
                <c:formatCode>General</c:formatCode>
                <c:ptCount val="2"/>
                <c:pt idx="0">
                  <c:v>46</c:v>
                </c:pt>
                <c:pt idx="1">
                  <c:v>73</c:v>
                </c:pt>
              </c:numCache>
            </c:numRef>
          </c:val>
          <c:extLst>
            <c:ext xmlns:c16="http://schemas.microsoft.com/office/drawing/2014/chart" uri="{C3380CC4-5D6E-409C-BE32-E72D297353CC}">
              <c16:uniqueId val="{00000000-7A3F-491C-958C-815F23A92192}"/>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hyperlink" Target="#'Kotrik Industrial'!A1"/><Relationship Id="rId6" Type="http://schemas.openxmlformats.org/officeDocument/2006/relationships/hyperlink" Target="#'Kotrik Rosas'!A1"/><Relationship Id="rId5" Type="http://schemas.openxmlformats.org/officeDocument/2006/relationships/hyperlink" Target="#Wiseowe!A1"/><Relationship Id="rId4"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svg"/><Relationship Id="rId7" Type="http://schemas.openxmlformats.org/officeDocument/2006/relationships/hyperlink" Target="#Luminous!A1"/><Relationship Id="rId2" Type="http://schemas.openxmlformats.org/officeDocument/2006/relationships/image" Target="../media/image2.png"/><Relationship Id="rId1" Type="http://schemas.openxmlformats.org/officeDocument/2006/relationships/hyperlink" Target="#'Kotrik Industrial'!A1"/><Relationship Id="rId6" Type="http://schemas.openxmlformats.org/officeDocument/2006/relationships/hyperlink" Target="#Wiseowe!A1"/><Relationship Id="rId5" Type="http://schemas.openxmlformats.org/officeDocument/2006/relationships/hyperlink" Target="#'Kotrik Rosas'!A1"/><Relationship Id="rId10" Type="http://schemas.openxmlformats.org/officeDocument/2006/relationships/chart" Target="../charts/chart5.xml"/><Relationship Id="rId4" Type="http://schemas.openxmlformats.org/officeDocument/2006/relationships/chart" Target="../charts/chart2.xml"/><Relationship Id="rId9"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1333501</xdr:colOff>
      <xdr:row>1</xdr:row>
      <xdr:rowOff>47626</xdr:rowOff>
    </xdr:from>
    <xdr:to>
      <xdr:col>6</xdr:col>
      <xdr:colOff>388621</xdr:colOff>
      <xdr:row>1</xdr:row>
      <xdr:rowOff>542926</xdr:rowOff>
    </xdr:to>
    <xdr:pic>
      <xdr:nvPicPr>
        <xdr:cNvPr id="2" name="Gráfico 1" descr="Tabla contorno">
          <a:hlinkClick xmlns:r="http://schemas.openxmlformats.org/officeDocument/2006/relationships" r:id="rId1"/>
          <a:extLst>
            <a:ext uri="{FF2B5EF4-FFF2-40B4-BE49-F238E27FC236}">
              <a16:creationId xmlns:a16="http://schemas.microsoft.com/office/drawing/2014/main" id="{BC0A3AE3-556A-40B6-BAC6-6AD021F08B8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581526" y="400051"/>
          <a:ext cx="495300" cy="495300"/>
        </a:xfrm>
        <a:prstGeom prst="rect">
          <a:avLst/>
        </a:prstGeom>
      </xdr:spPr>
    </xdr:pic>
    <xdr:clientData/>
  </xdr:twoCellAnchor>
  <xdr:twoCellAnchor>
    <xdr:from>
      <xdr:col>7</xdr:col>
      <xdr:colOff>19048</xdr:colOff>
      <xdr:row>1</xdr:row>
      <xdr:rowOff>0</xdr:rowOff>
    </xdr:from>
    <xdr:to>
      <xdr:col>9</xdr:col>
      <xdr:colOff>704850</xdr:colOff>
      <xdr:row>2</xdr:row>
      <xdr:rowOff>90853</xdr:rowOff>
    </xdr:to>
    <xdr:sp macro="" textlink="">
      <xdr:nvSpPr>
        <xdr:cNvPr id="3" name="CuadroTexto 2">
          <a:extLst>
            <a:ext uri="{FF2B5EF4-FFF2-40B4-BE49-F238E27FC236}">
              <a16:creationId xmlns:a16="http://schemas.microsoft.com/office/drawing/2014/main" id="{EFA7089A-64DC-4BF5-B04C-3A4A65450A33}"/>
            </a:ext>
          </a:extLst>
        </xdr:cNvPr>
        <xdr:cNvSpPr txBox="1"/>
      </xdr:nvSpPr>
      <xdr:spPr>
        <a:xfrm>
          <a:off x="5181598" y="352425"/>
          <a:ext cx="2333627" cy="643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s-ES" sz="2800" b="1">
              <a:solidFill>
                <a:schemeClr val="bg1">
                  <a:alpha val="49000"/>
                </a:schemeClr>
              </a:solidFill>
              <a:latin typeface="Segoe UI" panose="020B0502040204020203" pitchFamily="34" charset="0"/>
              <a:ea typeface="+mn-ea"/>
              <a:cs typeface="Segoe UI" panose="020B0502040204020203" pitchFamily="34" charset="0"/>
            </a:rPr>
            <a:t>Kotrik Rosas</a:t>
          </a:r>
        </a:p>
      </xdr:txBody>
    </xdr:sp>
    <xdr:clientData/>
  </xdr:twoCellAnchor>
  <xdr:twoCellAnchor>
    <xdr:from>
      <xdr:col>14</xdr:col>
      <xdr:colOff>2</xdr:colOff>
      <xdr:row>1</xdr:row>
      <xdr:rowOff>0</xdr:rowOff>
    </xdr:from>
    <xdr:to>
      <xdr:col>16</xdr:col>
      <xdr:colOff>487680</xdr:colOff>
      <xdr:row>2</xdr:row>
      <xdr:rowOff>0</xdr:rowOff>
    </xdr:to>
    <xdr:sp macro="" textlink="">
      <xdr:nvSpPr>
        <xdr:cNvPr id="4" name="CuadroTexto 15">
          <a:extLst>
            <a:ext uri="{FF2B5EF4-FFF2-40B4-BE49-F238E27FC236}">
              <a16:creationId xmlns:a16="http://schemas.microsoft.com/office/drawing/2014/main" id="{7B1975C9-BA6B-4AF3-8CD4-DD7D56316DB5}"/>
            </a:ext>
          </a:extLst>
        </xdr:cNvPr>
        <xdr:cNvSpPr txBox="1"/>
      </xdr:nvSpPr>
      <xdr:spPr>
        <a:xfrm>
          <a:off x="11210927" y="352425"/>
          <a:ext cx="2059303"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s-ES" sz="2800" b="1">
              <a:solidFill>
                <a:schemeClr val="bg1">
                  <a:alpha val="49000"/>
                </a:schemeClr>
              </a:solidFill>
              <a:latin typeface="Segoe UI" panose="020B0502040204020203" pitchFamily="34" charset="0"/>
              <a:ea typeface="+mn-ea"/>
              <a:cs typeface="Segoe UI" panose="020B0502040204020203" pitchFamily="34" charset="0"/>
            </a:rPr>
            <a:t>Wiseowe</a:t>
          </a:r>
        </a:p>
      </xdr:txBody>
    </xdr:sp>
    <xdr:clientData/>
  </xdr:twoCellAnchor>
  <xdr:twoCellAnchor>
    <xdr:from>
      <xdr:col>0</xdr:col>
      <xdr:colOff>0</xdr:colOff>
      <xdr:row>1</xdr:row>
      <xdr:rowOff>0</xdr:rowOff>
    </xdr:from>
    <xdr:to>
      <xdr:col>5</xdr:col>
      <xdr:colOff>38100</xdr:colOff>
      <xdr:row>1</xdr:row>
      <xdr:rowOff>514350</xdr:rowOff>
    </xdr:to>
    <xdr:sp macro="" textlink="">
      <xdr:nvSpPr>
        <xdr:cNvPr id="18" name="CuadroTexto 4">
          <a:extLst>
            <a:ext uri="{FF2B5EF4-FFF2-40B4-BE49-F238E27FC236}">
              <a16:creationId xmlns:a16="http://schemas.microsoft.com/office/drawing/2014/main" id="{7AF97AA3-9198-49E5-BFA8-6E49FE5EDB04}"/>
            </a:ext>
          </a:extLst>
        </xdr:cNvPr>
        <xdr:cNvSpPr txBox="1"/>
      </xdr:nvSpPr>
      <xdr:spPr>
        <a:xfrm>
          <a:off x="0" y="352425"/>
          <a:ext cx="328612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2800" b="1">
              <a:solidFill>
                <a:schemeClr val="bg1">
                  <a:alpha val="49000"/>
                </a:schemeClr>
              </a:solidFill>
              <a:latin typeface="Segoe UI" panose="020B0502040204020203" pitchFamily="34" charset="0"/>
              <a:cs typeface="Segoe UI" panose="020B0502040204020203" pitchFamily="34" charset="0"/>
            </a:rPr>
            <a:t>Kotrik Industrial</a:t>
          </a:r>
        </a:p>
      </xdr:txBody>
    </xdr:sp>
    <xdr:clientData/>
  </xdr:twoCellAnchor>
  <xdr:twoCellAnchor>
    <xdr:from>
      <xdr:col>2</xdr:col>
      <xdr:colOff>61912</xdr:colOff>
      <xdr:row>6</xdr:row>
      <xdr:rowOff>180975</xdr:rowOff>
    </xdr:from>
    <xdr:to>
      <xdr:col>5</xdr:col>
      <xdr:colOff>857250</xdr:colOff>
      <xdr:row>13</xdr:row>
      <xdr:rowOff>180975</xdr:rowOff>
    </xdr:to>
    <xdr:graphicFrame macro="">
      <xdr:nvGraphicFramePr>
        <xdr:cNvPr id="16" name="Gráfico 8">
          <a:extLst>
            <a:ext uri="{FF2B5EF4-FFF2-40B4-BE49-F238E27FC236}">
              <a16:creationId xmlns:a16="http://schemas.microsoft.com/office/drawing/2014/main" id="{9EF64D3C-5F08-457C-8DFE-5D783B880D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19051</xdr:colOff>
      <xdr:row>1</xdr:row>
      <xdr:rowOff>38101</xdr:rowOff>
    </xdr:from>
    <xdr:to>
      <xdr:col>20</xdr:col>
      <xdr:colOff>514351</xdr:colOff>
      <xdr:row>1</xdr:row>
      <xdr:rowOff>533401</xdr:rowOff>
    </xdr:to>
    <xdr:pic>
      <xdr:nvPicPr>
        <xdr:cNvPr id="10" name="Gráfico 9" descr="Tabla contorno">
          <a:hlinkClick xmlns:r="http://schemas.openxmlformats.org/officeDocument/2006/relationships" r:id="rId5"/>
          <a:extLst>
            <a:ext uri="{FF2B5EF4-FFF2-40B4-BE49-F238E27FC236}">
              <a16:creationId xmlns:a16="http://schemas.microsoft.com/office/drawing/2014/main" id="{A3CCDCC7-E131-4ECD-B6BC-A162008EF74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249776" y="390526"/>
          <a:ext cx="495300" cy="495300"/>
        </a:xfrm>
        <a:prstGeom prst="rect">
          <a:avLst/>
        </a:prstGeom>
      </xdr:spPr>
    </xdr:pic>
    <xdr:clientData/>
  </xdr:twoCellAnchor>
  <xdr:twoCellAnchor editAs="oneCell">
    <xdr:from>
      <xdr:col>12</xdr:col>
      <xdr:colOff>1228726</xdr:colOff>
      <xdr:row>1</xdr:row>
      <xdr:rowOff>57151</xdr:rowOff>
    </xdr:from>
    <xdr:to>
      <xdr:col>13</xdr:col>
      <xdr:colOff>283846</xdr:colOff>
      <xdr:row>2</xdr:row>
      <xdr:rowOff>3811</xdr:rowOff>
    </xdr:to>
    <xdr:pic>
      <xdr:nvPicPr>
        <xdr:cNvPr id="11" name="Gráfico 10" descr="Tabla contorno">
          <a:hlinkClick xmlns:r="http://schemas.openxmlformats.org/officeDocument/2006/relationships" r:id="rId6"/>
          <a:extLst>
            <a:ext uri="{FF2B5EF4-FFF2-40B4-BE49-F238E27FC236}">
              <a16:creationId xmlns:a16="http://schemas.microsoft.com/office/drawing/2014/main" id="{06854753-9FC6-4CA4-8AC9-18C20C025C0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572751" y="409576"/>
          <a:ext cx="495300" cy="495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14</xdr:col>
      <xdr:colOff>571500</xdr:colOff>
      <xdr:row>0</xdr:row>
      <xdr:rowOff>104775</xdr:rowOff>
    </xdr:from>
    <xdr:to>
      <xdr:col>16</xdr:col>
      <xdr:colOff>647700</xdr:colOff>
      <xdr:row>2</xdr:row>
      <xdr:rowOff>0</xdr:rowOff>
    </xdr:to>
    <mc:AlternateContent xmlns:mc="http://schemas.openxmlformats.org/markup-compatibility/2006" xmlns:sle15="http://schemas.microsoft.com/office/drawing/2012/slicer">
      <mc:Choice Requires="sle15">
        <xdr:graphicFrame macro="">
          <xdr:nvGraphicFramePr>
            <xdr:cNvPr id="3" name="EMPRESA">
              <a:extLst>
                <a:ext uri="{FF2B5EF4-FFF2-40B4-BE49-F238E27FC236}">
                  <a16:creationId xmlns:a16="http://schemas.microsoft.com/office/drawing/2014/main" id="{FAB93321-80D1-84A9-929D-5217818A7959}"/>
                </a:ext>
              </a:extLst>
            </xdr:cNvPr>
            <xdr:cNvGraphicFramePr/>
          </xdr:nvGraphicFramePr>
          <xdr:xfrm>
            <a:off x="0" y="0"/>
            <a:ext cx="0" cy="0"/>
          </xdr:xfrm>
          <a:graphic>
            <a:graphicData uri="http://schemas.microsoft.com/office/drawing/2010/slicer">
              <sle:slicer xmlns:sle="http://schemas.microsoft.com/office/drawing/2010/slicer" name="EMPRESA"/>
            </a:graphicData>
          </a:graphic>
        </xdr:graphicFrame>
      </mc:Choice>
      <mc:Fallback xmlns="">
        <xdr:sp macro="" textlink="">
          <xdr:nvSpPr>
            <xdr:cNvPr id="0" name=""/>
            <xdr:cNvSpPr>
              <a:spLocks noTextEdit="1"/>
            </xdr:cNvSpPr>
          </xdr:nvSpPr>
          <xdr:spPr>
            <a:xfrm>
              <a:off x="14639925" y="104775"/>
              <a:ext cx="2038350" cy="942975"/>
            </a:xfrm>
            <a:prstGeom prst="rect">
              <a:avLst/>
            </a:prstGeom>
            <a:solidFill>
              <a:prstClr val="white"/>
            </a:solidFill>
            <a:ln w="1">
              <a:solidFill>
                <a:prstClr val="green"/>
              </a:solidFill>
            </a:ln>
          </xdr:spPr>
          <xdr:txBody>
            <a:bodyPr vertOverflow="clip" horzOverflow="clip"/>
            <a:lstStyle/>
            <a:p>
              <a:r>
                <a:rPr lang="es-ES"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447677</xdr:colOff>
      <xdr:row>1</xdr:row>
      <xdr:rowOff>38101</xdr:rowOff>
    </xdr:from>
    <xdr:to>
      <xdr:col>5</xdr:col>
      <xdr:colOff>857251</xdr:colOff>
      <xdr:row>1</xdr:row>
      <xdr:rowOff>533401</xdr:rowOff>
    </xdr:to>
    <xdr:pic>
      <xdr:nvPicPr>
        <xdr:cNvPr id="103" name="Gráfico 11" descr="Tabla contorno">
          <a:hlinkClick xmlns:r="http://schemas.openxmlformats.org/officeDocument/2006/relationships" r:id="rId1"/>
          <a:extLst>
            <a:ext uri="{FF2B5EF4-FFF2-40B4-BE49-F238E27FC236}">
              <a16:creationId xmlns:a16="http://schemas.microsoft.com/office/drawing/2014/main" id="{52B0C1E5-644A-9816-E642-9CDF8BB4569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676777" y="390526"/>
          <a:ext cx="447674" cy="495300"/>
        </a:xfrm>
        <a:prstGeom prst="rect">
          <a:avLst/>
        </a:prstGeom>
      </xdr:spPr>
    </xdr:pic>
    <xdr:clientData/>
  </xdr:twoCellAnchor>
  <xdr:twoCellAnchor>
    <xdr:from>
      <xdr:col>0</xdr:col>
      <xdr:colOff>0</xdr:colOff>
      <xdr:row>1</xdr:row>
      <xdr:rowOff>0</xdr:rowOff>
    </xdr:from>
    <xdr:to>
      <xdr:col>4</xdr:col>
      <xdr:colOff>609600</xdr:colOff>
      <xdr:row>1</xdr:row>
      <xdr:rowOff>542925</xdr:rowOff>
    </xdr:to>
    <xdr:sp macro="" textlink="">
      <xdr:nvSpPr>
        <xdr:cNvPr id="21" name="CuadroTexto 20">
          <a:extLst>
            <a:ext uri="{FF2B5EF4-FFF2-40B4-BE49-F238E27FC236}">
              <a16:creationId xmlns:a16="http://schemas.microsoft.com/office/drawing/2014/main" id="{84ED5D3E-5236-4002-A80E-D1C948AF3D37}"/>
            </a:ext>
          </a:extLst>
        </xdr:cNvPr>
        <xdr:cNvSpPr txBox="1"/>
      </xdr:nvSpPr>
      <xdr:spPr>
        <a:xfrm>
          <a:off x="0" y="352425"/>
          <a:ext cx="3086100"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2800" b="1">
              <a:solidFill>
                <a:schemeClr val="bg1">
                  <a:alpha val="49000"/>
                </a:schemeClr>
              </a:solidFill>
              <a:latin typeface="Segoe UI" panose="020B0502040204020203" pitchFamily="34" charset="0"/>
              <a:cs typeface="Segoe UI" panose="020B0502040204020203" pitchFamily="34" charset="0"/>
            </a:rPr>
            <a:t>Kotrik Industrial</a:t>
          </a:r>
        </a:p>
      </xdr:txBody>
    </xdr:sp>
    <xdr:clientData/>
  </xdr:twoCellAnchor>
  <xdr:twoCellAnchor>
    <xdr:from>
      <xdr:col>2</xdr:col>
      <xdr:colOff>1057276</xdr:colOff>
      <xdr:row>17</xdr:row>
      <xdr:rowOff>66675</xdr:rowOff>
    </xdr:from>
    <xdr:to>
      <xdr:col>6</xdr:col>
      <xdr:colOff>28575</xdr:colOff>
      <xdr:row>24</xdr:row>
      <xdr:rowOff>85725</xdr:rowOff>
    </xdr:to>
    <xdr:graphicFrame macro="">
      <xdr:nvGraphicFramePr>
        <xdr:cNvPr id="4" name="Gráfico 3">
          <a:extLst>
            <a:ext uri="{FF2B5EF4-FFF2-40B4-BE49-F238E27FC236}">
              <a16:creationId xmlns:a16="http://schemas.microsoft.com/office/drawing/2014/main" id="{2DDAE646-7828-8D21-4BF7-6ED5C2528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12</xdr:col>
      <xdr:colOff>647702</xdr:colOff>
      <xdr:row>1</xdr:row>
      <xdr:rowOff>38101</xdr:rowOff>
    </xdr:from>
    <xdr:ext cx="447674" cy="495300"/>
    <xdr:pic>
      <xdr:nvPicPr>
        <xdr:cNvPr id="6" name="Gráfico 11" descr="Tabla contorno">
          <a:hlinkClick xmlns:r="http://schemas.openxmlformats.org/officeDocument/2006/relationships" r:id="rId5"/>
          <a:extLst>
            <a:ext uri="{FF2B5EF4-FFF2-40B4-BE49-F238E27FC236}">
              <a16:creationId xmlns:a16="http://schemas.microsoft.com/office/drawing/2014/main" id="{070DED3E-0F85-43D9-A3EB-64232CD68DE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867777" y="238126"/>
          <a:ext cx="447674" cy="495300"/>
        </a:xfrm>
        <a:prstGeom prst="rect">
          <a:avLst/>
        </a:prstGeom>
      </xdr:spPr>
    </xdr:pic>
    <xdr:clientData/>
  </xdr:oneCellAnchor>
  <xdr:twoCellAnchor>
    <xdr:from>
      <xdr:col>8</xdr:col>
      <xdr:colOff>0</xdr:colOff>
      <xdr:row>1</xdr:row>
      <xdr:rowOff>0</xdr:rowOff>
    </xdr:from>
    <xdr:to>
      <xdr:col>12</xdr:col>
      <xdr:colOff>609600</xdr:colOff>
      <xdr:row>1</xdr:row>
      <xdr:rowOff>542925</xdr:rowOff>
    </xdr:to>
    <xdr:sp macro="" textlink="">
      <xdr:nvSpPr>
        <xdr:cNvPr id="7" name="CuadroTexto 6">
          <a:extLst>
            <a:ext uri="{FF2B5EF4-FFF2-40B4-BE49-F238E27FC236}">
              <a16:creationId xmlns:a16="http://schemas.microsoft.com/office/drawing/2014/main" id="{B1040578-792C-4714-B72F-92B82558E59B}"/>
            </a:ext>
          </a:extLst>
        </xdr:cNvPr>
        <xdr:cNvSpPr txBox="1"/>
      </xdr:nvSpPr>
      <xdr:spPr>
        <a:xfrm>
          <a:off x="0" y="352425"/>
          <a:ext cx="3676650"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2800" b="1">
              <a:solidFill>
                <a:schemeClr val="bg1">
                  <a:alpha val="49000"/>
                </a:schemeClr>
              </a:solidFill>
              <a:latin typeface="Segoe UI" panose="020B0502040204020203" pitchFamily="34" charset="0"/>
              <a:cs typeface="Segoe UI" panose="020B0502040204020203" pitchFamily="34" charset="0"/>
            </a:rPr>
            <a:t>Kotrik Rosas</a:t>
          </a:r>
        </a:p>
      </xdr:txBody>
    </xdr:sp>
    <xdr:clientData/>
  </xdr:twoCellAnchor>
  <xdr:oneCellAnchor>
    <xdr:from>
      <xdr:col>19</xdr:col>
      <xdr:colOff>590552</xdr:colOff>
      <xdr:row>1</xdr:row>
      <xdr:rowOff>38101</xdr:rowOff>
    </xdr:from>
    <xdr:ext cx="447674" cy="495300"/>
    <xdr:pic>
      <xdr:nvPicPr>
        <xdr:cNvPr id="8" name="Gráfico 11" descr="Tabla contorno">
          <a:hlinkClick xmlns:r="http://schemas.openxmlformats.org/officeDocument/2006/relationships" r:id="rId6"/>
          <a:extLst>
            <a:ext uri="{FF2B5EF4-FFF2-40B4-BE49-F238E27FC236}">
              <a16:creationId xmlns:a16="http://schemas.microsoft.com/office/drawing/2014/main" id="{437595F5-D9B0-4579-98D9-FF1CA149374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830177" y="238126"/>
          <a:ext cx="447674" cy="495300"/>
        </a:xfrm>
        <a:prstGeom prst="rect">
          <a:avLst/>
        </a:prstGeom>
      </xdr:spPr>
    </xdr:pic>
    <xdr:clientData/>
  </xdr:oneCellAnchor>
  <xdr:twoCellAnchor>
    <xdr:from>
      <xdr:col>14</xdr:col>
      <xdr:colOff>114300</xdr:colOff>
      <xdr:row>0</xdr:row>
      <xdr:rowOff>171450</xdr:rowOff>
    </xdr:from>
    <xdr:to>
      <xdr:col>19</xdr:col>
      <xdr:colOff>495300</xdr:colOff>
      <xdr:row>1</xdr:row>
      <xdr:rowOff>514350</xdr:rowOff>
    </xdr:to>
    <xdr:sp macro="" textlink="">
      <xdr:nvSpPr>
        <xdr:cNvPr id="9" name="CuadroTexto 8">
          <a:extLst>
            <a:ext uri="{FF2B5EF4-FFF2-40B4-BE49-F238E27FC236}">
              <a16:creationId xmlns:a16="http://schemas.microsoft.com/office/drawing/2014/main" id="{975D97E2-C3F0-4BB4-B16D-7E8831AF8D27}"/>
            </a:ext>
          </a:extLst>
        </xdr:cNvPr>
        <xdr:cNvSpPr txBox="1"/>
      </xdr:nvSpPr>
      <xdr:spPr>
        <a:xfrm>
          <a:off x="9324975" y="171450"/>
          <a:ext cx="357187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2800" b="1">
              <a:solidFill>
                <a:schemeClr val="bg1">
                  <a:alpha val="49000"/>
                </a:schemeClr>
              </a:solidFill>
              <a:latin typeface="Segoe UI" panose="020B0502040204020203" pitchFamily="34" charset="0"/>
              <a:cs typeface="Segoe UI" panose="020B0502040204020203" pitchFamily="34" charset="0"/>
            </a:rPr>
            <a:t>Wiseowe</a:t>
          </a:r>
        </a:p>
      </xdr:txBody>
    </xdr:sp>
    <xdr:clientData/>
  </xdr:twoCellAnchor>
  <xdr:oneCellAnchor>
    <xdr:from>
      <xdr:col>26</xdr:col>
      <xdr:colOff>466727</xdr:colOff>
      <xdr:row>1</xdr:row>
      <xdr:rowOff>38101</xdr:rowOff>
    </xdr:from>
    <xdr:ext cx="447674" cy="495300"/>
    <xdr:pic>
      <xdr:nvPicPr>
        <xdr:cNvPr id="10" name="Gráfico 11" descr="Tabla contorno">
          <a:hlinkClick xmlns:r="http://schemas.openxmlformats.org/officeDocument/2006/relationships" r:id="rId7"/>
          <a:extLst>
            <a:ext uri="{FF2B5EF4-FFF2-40B4-BE49-F238E27FC236}">
              <a16:creationId xmlns:a16="http://schemas.microsoft.com/office/drawing/2014/main" id="{1E150C94-BD15-447D-89BD-0333B535525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135477" y="238126"/>
          <a:ext cx="447674" cy="495300"/>
        </a:xfrm>
        <a:prstGeom prst="rect">
          <a:avLst/>
        </a:prstGeom>
      </xdr:spPr>
    </xdr:pic>
    <xdr:clientData/>
  </xdr:oneCellAnchor>
  <xdr:twoCellAnchor>
    <xdr:from>
      <xdr:col>22</xdr:col>
      <xdr:colOff>19050</xdr:colOff>
      <xdr:row>0</xdr:row>
      <xdr:rowOff>161925</xdr:rowOff>
    </xdr:from>
    <xdr:to>
      <xdr:col>25</xdr:col>
      <xdr:colOff>323850</xdr:colOff>
      <xdr:row>1</xdr:row>
      <xdr:rowOff>504825</xdr:rowOff>
    </xdr:to>
    <xdr:sp macro="" textlink="">
      <xdr:nvSpPr>
        <xdr:cNvPr id="12" name="CuadroTexto 11">
          <a:extLst>
            <a:ext uri="{FF2B5EF4-FFF2-40B4-BE49-F238E27FC236}">
              <a16:creationId xmlns:a16="http://schemas.microsoft.com/office/drawing/2014/main" id="{0E1F8D00-26FC-49E0-AB04-D75BD38C89A9}"/>
            </a:ext>
          </a:extLst>
        </xdr:cNvPr>
        <xdr:cNvSpPr txBox="1"/>
      </xdr:nvSpPr>
      <xdr:spPr>
        <a:xfrm>
          <a:off x="13582650" y="161925"/>
          <a:ext cx="25622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2800" b="1">
              <a:solidFill>
                <a:schemeClr val="bg1">
                  <a:alpha val="49000"/>
                </a:schemeClr>
              </a:solidFill>
              <a:latin typeface="Segoe UI" panose="020B0502040204020203" pitchFamily="34" charset="0"/>
              <a:cs typeface="Segoe UI" panose="020B0502040204020203" pitchFamily="34" charset="0"/>
            </a:rPr>
            <a:t>Luminous</a:t>
          </a:r>
        </a:p>
      </xdr:txBody>
    </xdr:sp>
    <xdr:clientData/>
  </xdr:twoCellAnchor>
  <xdr:twoCellAnchor>
    <xdr:from>
      <xdr:col>10</xdr:col>
      <xdr:colOff>47625</xdr:colOff>
      <xdr:row>17</xdr:row>
      <xdr:rowOff>138114</xdr:rowOff>
    </xdr:from>
    <xdr:to>
      <xdr:col>13</xdr:col>
      <xdr:colOff>133350</xdr:colOff>
      <xdr:row>24</xdr:row>
      <xdr:rowOff>133350</xdr:rowOff>
    </xdr:to>
    <xdr:graphicFrame macro="">
      <xdr:nvGraphicFramePr>
        <xdr:cNvPr id="13" name="Gráfico 12">
          <a:extLst>
            <a:ext uri="{FF2B5EF4-FFF2-40B4-BE49-F238E27FC236}">
              <a16:creationId xmlns:a16="http://schemas.microsoft.com/office/drawing/2014/main" id="{BEBCDB4C-1F5E-5767-D6FE-CF6A35C5D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1047751</xdr:colOff>
      <xdr:row>17</xdr:row>
      <xdr:rowOff>23813</xdr:rowOff>
    </xdr:from>
    <xdr:to>
      <xdr:col>21</xdr:col>
      <xdr:colOff>38100</xdr:colOff>
      <xdr:row>24</xdr:row>
      <xdr:rowOff>38101</xdr:rowOff>
    </xdr:to>
    <xdr:graphicFrame macro="">
      <xdr:nvGraphicFramePr>
        <xdr:cNvPr id="19" name="Gráfico 13">
          <a:extLst>
            <a:ext uri="{FF2B5EF4-FFF2-40B4-BE49-F238E27FC236}">
              <a16:creationId xmlns:a16="http://schemas.microsoft.com/office/drawing/2014/main" id="{D1DD8B7C-5789-BD48-AF86-447BA37C15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95251</xdr:colOff>
      <xdr:row>17</xdr:row>
      <xdr:rowOff>14288</xdr:rowOff>
    </xdr:from>
    <xdr:to>
      <xdr:col>28</xdr:col>
      <xdr:colOff>57150</xdr:colOff>
      <xdr:row>24</xdr:row>
      <xdr:rowOff>28576</xdr:rowOff>
    </xdr:to>
    <xdr:graphicFrame macro="">
      <xdr:nvGraphicFramePr>
        <xdr:cNvPr id="15" name="Gráfico 14">
          <a:extLst>
            <a:ext uri="{FF2B5EF4-FFF2-40B4-BE49-F238E27FC236}">
              <a16:creationId xmlns:a16="http://schemas.microsoft.com/office/drawing/2014/main" id="{83686338-2B57-56C4-DF56-7E0425F47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38100</xdr:colOff>
      <xdr:row>0</xdr:row>
      <xdr:rowOff>38100</xdr:rowOff>
    </xdr:from>
    <xdr:to>
      <xdr:col>1</xdr:col>
      <xdr:colOff>520608</xdr:colOff>
      <xdr:row>1</xdr:row>
      <xdr:rowOff>114300</xdr:rowOff>
    </xdr:to>
    <xdr:pic>
      <xdr:nvPicPr>
        <xdr:cNvPr id="3" name="Imagen 2">
          <a:extLst>
            <a:ext uri="{FF2B5EF4-FFF2-40B4-BE49-F238E27FC236}">
              <a16:creationId xmlns:a16="http://schemas.microsoft.com/office/drawing/2014/main" id="{182D0F95-9B47-82F0-9543-91DDC4A02D4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787" r="81427" b="-1"/>
        <a:stretch>
          <a:fillRect/>
        </a:stretch>
      </xdr:blipFill>
      <xdr:spPr>
        <a:xfrm>
          <a:off x="247650" y="38100"/>
          <a:ext cx="482508" cy="4857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38100</xdr:colOff>
      <xdr:row>0</xdr:row>
      <xdr:rowOff>38100</xdr:rowOff>
    </xdr:from>
    <xdr:to>
      <xdr:col>1</xdr:col>
      <xdr:colOff>520608</xdr:colOff>
      <xdr:row>1</xdr:row>
      <xdr:rowOff>114300</xdr:rowOff>
    </xdr:to>
    <xdr:pic>
      <xdr:nvPicPr>
        <xdr:cNvPr id="2" name="Imagen 1">
          <a:extLst>
            <a:ext uri="{FF2B5EF4-FFF2-40B4-BE49-F238E27FC236}">
              <a16:creationId xmlns:a16="http://schemas.microsoft.com/office/drawing/2014/main" id="{253F406B-6F6C-4787-B2F1-9F22B4AA415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787" r="81427" b="-1"/>
        <a:stretch>
          <a:fillRect/>
        </a:stretch>
      </xdr:blipFill>
      <xdr:spPr>
        <a:xfrm>
          <a:off x="247650" y="38100"/>
          <a:ext cx="482508" cy="4857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57150</xdr:colOff>
      <xdr:row>0</xdr:row>
      <xdr:rowOff>28576</xdr:rowOff>
    </xdr:from>
    <xdr:to>
      <xdr:col>3</xdr:col>
      <xdr:colOff>202521</xdr:colOff>
      <xdr:row>1</xdr:row>
      <xdr:rowOff>57151</xdr:rowOff>
    </xdr:to>
    <xdr:pic>
      <xdr:nvPicPr>
        <xdr:cNvPr id="2" name="Imagen 3">
          <a:extLst>
            <a:ext uri="{FF2B5EF4-FFF2-40B4-BE49-F238E27FC236}">
              <a16:creationId xmlns:a16="http://schemas.microsoft.com/office/drawing/2014/main" id="{71C13031-B54E-8A3A-B24F-9918281CCC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6700" y="28576"/>
          <a:ext cx="1021671" cy="4381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133350</xdr:colOff>
      <xdr:row>0</xdr:row>
      <xdr:rowOff>152400</xdr:rowOff>
    </xdr:from>
    <xdr:to>
      <xdr:col>3</xdr:col>
      <xdr:colOff>476250</xdr:colOff>
      <xdr:row>0</xdr:row>
      <xdr:rowOff>952500</xdr:rowOff>
    </xdr:to>
    <xdr:sp macro="" textlink="">
      <xdr:nvSpPr>
        <xdr:cNvPr id="3" name="CuadroTexto 1">
          <a:extLst>
            <a:ext uri="{FF2B5EF4-FFF2-40B4-BE49-F238E27FC236}">
              <a16:creationId xmlns:a16="http://schemas.microsoft.com/office/drawing/2014/main" id="{2F28C25E-333A-422A-B14D-418A33ED5195}"/>
            </a:ext>
          </a:extLst>
        </xdr:cNvPr>
        <xdr:cNvSpPr txBox="1"/>
      </xdr:nvSpPr>
      <xdr:spPr>
        <a:xfrm>
          <a:off x="133350" y="152400"/>
          <a:ext cx="4400550"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1"/>
            <a:t>COLAR TODOS OS MESES AQUÍ O ATUALIZADO</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257736</xdr:colOff>
      <xdr:row>0</xdr:row>
      <xdr:rowOff>100853</xdr:rowOff>
    </xdr:from>
    <xdr:to>
      <xdr:col>2</xdr:col>
      <xdr:colOff>3268757</xdr:colOff>
      <xdr:row>0</xdr:row>
      <xdr:rowOff>900953</xdr:rowOff>
    </xdr:to>
    <xdr:sp macro="" textlink="">
      <xdr:nvSpPr>
        <xdr:cNvPr id="3" name="CuadroTexto 1">
          <a:extLst>
            <a:ext uri="{FF2B5EF4-FFF2-40B4-BE49-F238E27FC236}">
              <a16:creationId xmlns:a16="http://schemas.microsoft.com/office/drawing/2014/main" id="{0A1E0E8C-6757-4062-83FB-064C6D95AA80}"/>
            </a:ext>
          </a:extLst>
        </xdr:cNvPr>
        <xdr:cNvSpPr txBox="1"/>
      </xdr:nvSpPr>
      <xdr:spPr>
        <a:xfrm>
          <a:off x="257736" y="100853"/>
          <a:ext cx="4400550"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1"/>
            <a:t>COLAR TODOS OS MESES AQUÍ O ATUALIZADO</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152400</xdr:colOff>
      <xdr:row>0</xdr:row>
      <xdr:rowOff>247650</xdr:rowOff>
    </xdr:from>
    <xdr:to>
      <xdr:col>3</xdr:col>
      <xdr:colOff>2076450</xdr:colOff>
      <xdr:row>0</xdr:row>
      <xdr:rowOff>1047750</xdr:rowOff>
    </xdr:to>
    <xdr:sp macro="" textlink="">
      <xdr:nvSpPr>
        <xdr:cNvPr id="3" name="CuadroTexto 1">
          <a:extLst>
            <a:ext uri="{FF2B5EF4-FFF2-40B4-BE49-F238E27FC236}">
              <a16:creationId xmlns:a16="http://schemas.microsoft.com/office/drawing/2014/main" id="{23044BA6-62B6-4955-BA5A-2B8CB79335ED}"/>
            </a:ext>
          </a:extLst>
        </xdr:cNvPr>
        <xdr:cNvSpPr txBox="1"/>
      </xdr:nvSpPr>
      <xdr:spPr>
        <a:xfrm>
          <a:off x="323850" y="247650"/>
          <a:ext cx="4400550"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1"/>
            <a:t>COLAR TODOS OS MESES AQUÍ O ATUALIZADO</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485775</xdr:colOff>
      <xdr:row>0</xdr:row>
      <xdr:rowOff>38101</xdr:rowOff>
    </xdr:from>
    <xdr:to>
      <xdr:col>3</xdr:col>
      <xdr:colOff>1152525</xdr:colOff>
      <xdr:row>0</xdr:row>
      <xdr:rowOff>800101</xdr:rowOff>
    </xdr:to>
    <xdr:sp macro="" textlink="">
      <xdr:nvSpPr>
        <xdr:cNvPr id="4" name="CuadroTexto 1">
          <a:extLst>
            <a:ext uri="{FF2B5EF4-FFF2-40B4-BE49-F238E27FC236}">
              <a16:creationId xmlns:a16="http://schemas.microsoft.com/office/drawing/2014/main" id="{047D572B-5FB8-4478-960B-744AFCC7CFCF}"/>
            </a:ext>
          </a:extLst>
        </xdr:cNvPr>
        <xdr:cNvSpPr txBox="1"/>
      </xdr:nvSpPr>
      <xdr:spPr>
        <a:xfrm>
          <a:off x="1257300" y="38101"/>
          <a:ext cx="4400550"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1"/>
            <a:t>COLAR TODOS OS MESES AQUÍ O ATUALIZADO</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238125</xdr:colOff>
      <xdr:row>0</xdr:row>
      <xdr:rowOff>123825</xdr:rowOff>
    </xdr:from>
    <xdr:to>
      <xdr:col>4</xdr:col>
      <xdr:colOff>866775</xdr:colOff>
      <xdr:row>0</xdr:row>
      <xdr:rowOff>923925</xdr:rowOff>
    </xdr:to>
    <xdr:sp macro="" textlink="">
      <xdr:nvSpPr>
        <xdr:cNvPr id="3" name="CuadroTexto 1">
          <a:extLst>
            <a:ext uri="{FF2B5EF4-FFF2-40B4-BE49-F238E27FC236}">
              <a16:creationId xmlns:a16="http://schemas.microsoft.com/office/drawing/2014/main" id="{25E406F5-F961-4A51-8D7D-32F8929EF677}"/>
            </a:ext>
          </a:extLst>
        </xdr:cNvPr>
        <xdr:cNvSpPr txBox="1"/>
      </xdr:nvSpPr>
      <xdr:spPr>
        <a:xfrm>
          <a:off x="1009650" y="123825"/>
          <a:ext cx="4400550"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1"/>
            <a:t>COLAR TODOS OS MESES AQUÍ O ATUALIZADO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152400</xdr:colOff>
      <xdr:row>0</xdr:row>
      <xdr:rowOff>95250</xdr:rowOff>
    </xdr:from>
    <xdr:to>
      <xdr:col>3</xdr:col>
      <xdr:colOff>781050</xdr:colOff>
      <xdr:row>1</xdr:row>
      <xdr:rowOff>190500</xdr:rowOff>
    </xdr:to>
    <xdr:sp macro="" textlink="">
      <xdr:nvSpPr>
        <xdr:cNvPr id="10" name="CuadroTexto 1">
          <a:extLst>
            <a:ext uri="{FF2B5EF4-FFF2-40B4-BE49-F238E27FC236}">
              <a16:creationId xmlns:a16="http://schemas.microsoft.com/office/drawing/2014/main" id="{C228017D-2A2E-E60C-7DE6-AA9EE5400EDE}"/>
            </a:ext>
          </a:extLst>
        </xdr:cNvPr>
        <xdr:cNvSpPr txBox="1"/>
      </xdr:nvSpPr>
      <xdr:spPr>
        <a:xfrm>
          <a:off x="923925" y="95250"/>
          <a:ext cx="4400550"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1"/>
            <a:t>COLAR TODOS OS MESES AQUÍ O ATUALIZADO</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419100</xdr:colOff>
      <xdr:row>0</xdr:row>
      <xdr:rowOff>133350</xdr:rowOff>
    </xdr:from>
    <xdr:to>
      <xdr:col>4</xdr:col>
      <xdr:colOff>0</xdr:colOff>
      <xdr:row>0</xdr:row>
      <xdr:rowOff>933450</xdr:rowOff>
    </xdr:to>
    <xdr:sp macro="" textlink="">
      <xdr:nvSpPr>
        <xdr:cNvPr id="3" name="CuadroTexto 1">
          <a:extLst>
            <a:ext uri="{FF2B5EF4-FFF2-40B4-BE49-F238E27FC236}">
              <a16:creationId xmlns:a16="http://schemas.microsoft.com/office/drawing/2014/main" id="{977A4EB6-6981-4840-BB9E-6BAC8968BA36}"/>
            </a:ext>
          </a:extLst>
        </xdr:cNvPr>
        <xdr:cNvSpPr txBox="1"/>
      </xdr:nvSpPr>
      <xdr:spPr>
        <a:xfrm>
          <a:off x="1190625" y="133350"/>
          <a:ext cx="4400550"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1"/>
            <a:t>COLAR TODOS OS MESES AQUÍ O ATUALIZADO</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266700</xdr:colOff>
      <xdr:row>0</xdr:row>
      <xdr:rowOff>1</xdr:rowOff>
    </xdr:from>
    <xdr:to>
      <xdr:col>3</xdr:col>
      <xdr:colOff>209550</xdr:colOff>
      <xdr:row>0</xdr:row>
      <xdr:rowOff>723901</xdr:rowOff>
    </xdr:to>
    <xdr:sp macro="" textlink="">
      <xdr:nvSpPr>
        <xdr:cNvPr id="4" name="CuadroTexto 1">
          <a:extLst>
            <a:ext uri="{FF2B5EF4-FFF2-40B4-BE49-F238E27FC236}">
              <a16:creationId xmlns:a16="http://schemas.microsoft.com/office/drawing/2014/main" id="{13E9D2A7-0D1D-4ED8-A05E-F961CC3F4383}"/>
            </a:ext>
          </a:extLst>
        </xdr:cNvPr>
        <xdr:cNvSpPr txBox="1"/>
      </xdr:nvSpPr>
      <xdr:spPr>
        <a:xfrm>
          <a:off x="1038225" y="1"/>
          <a:ext cx="4400550" cy="723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1"/>
            <a:t>COLAR TODOS OS MESES AQUÍ O ATUALIZADO</a:t>
          </a:r>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sta 1" id="{0057AA2A-A792-4AC0-8B38-549CFAD340C5}">
    <nsvFilter filterId="{15F45368-D3C8-4B2B-AB60-310626E7A4BD}" ref="B3:AX166" tableId="7">
      <sortRules>
        <sortRule colId="48" id="{74DD0FE6-D05E-42D4-963D-A999B203507A}">
          <sortCondition descending="1" ref="AX3:AX166"/>
        </sortRule>
      </sortRules>
    </nsvFilter>
  </namedSheetView>
</namedSheetViews>
</file>

<file path=xl/persons/person.xml><?xml version="1.0" encoding="utf-8"?>
<personList xmlns="http://schemas.microsoft.com/office/spreadsheetml/2018/threadedcomments" xmlns:x="http://schemas.openxmlformats.org/spreadsheetml/2006/main">
  <person displayName="Brenda" id="{6B22B41A-AA47-4A2D-BCBC-1A8ACEEDBDD2}" userId="S::brenda@gestaologinpro.com::1de80b4a-eb06-4113-98b1-4eccfc7427c8" providerId="AD"/>
  <person displayName="Fernando" id="{BC8AB6A9-3EBC-4987-B3DA-69FD8B4523B4}" userId="S::fernando@gestaologinpro.com::9a2de501-fa2b-4243-bd0c-e26d608edfd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rnando Pzivitovski" refreshedDate="46069.380162268521" createdVersion="8" refreshedVersion="8" minRefreshableVersion="3" recordCount="50" xr:uid="{6F10A68E-8B6D-4BD9-B6E0-F6D6412718CC}">
  <cacheSource type="worksheet">
    <worksheetSource name="Tabla5"/>
  </cacheSource>
  <cacheFields count="49">
    <cacheField name="Cod trabalhador" numFmtId="0">
      <sharedItems/>
    </cacheField>
    <cacheField name="Status SS" numFmtId="0">
      <sharedItems containsBlank="1" count="3">
        <s v="Ativo"/>
        <s v="Não ativo"/>
        <m u="1"/>
      </sharedItems>
    </cacheField>
    <cacheField name="KI" numFmtId="0">
      <sharedItems/>
    </cacheField>
    <cacheField name="KR" numFmtId="0">
      <sharedItems/>
    </cacheField>
    <cacheField name="WS" numFmtId="0">
      <sharedItems/>
    </cacheField>
    <cacheField name="LN" numFmtId="0">
      <sharedItems/>
    </cacheField>
    <cacheField name="Data admissão" numFmtId="14">
      <sharedItems containsDate="1" containsMixedTypes="1" minDate="2024-06-27T00:00:00" maxDate="2025-08-12T00:00:00"/>
    </cacheField>
    <cacheField name="Data cessação" numFmtId="14">
      <sharedItems containsDate="1" containsMixedTypes="1" minDate="2026-01-30T00:00:00" maxDate="2026-02-01T00:00:00"/>
    </cacheField>
    <cacheField name="Dias de alta" numFmtId="0">
      <sharedItems containsSemiMixedTypes="0" containsString="0" containsNumber="1" containsInteger="1" minValue="0" maxValue="31"/>
    </cacheField>
    <cacheField name="PUXADO" numFmtId="0">
      <sharedItems/>
    </cacheField>
    <cacheField name="Colaborador" numFmtId="0">
      <sharedItems/>
    </cacheField>
    <cacheField name="Columna6" numFmtId="0">
      <sharedItems containsNonDate="0" containsString="0" containsBlank="1"/>
    </cacheField>
    <cacheField name="Nome cliente 1 " numFmtId="0">
      <sharedItems/>
    </cacheField>
    <cacheField name="Tarifa cliente 1" numFmtId="165">
      <sharedItems containsSemiMixedTypes="0" containsString="0" containsNumber="1" containsInteger="1" minValue="12" maxValue="17"/>
    </cacheField>
    <cacheField name="Hora por Previsão" numFmtId="0">
      <sharedItems containsSemiMixedTypes="0" containsString="0" containsNumber="1" minValue="80" maxValue="282"/>
    </cacheField>
    <cacheField name="Horas confirmadas cliente 1" numFmtId="0">
      <sharedItems containsSemiMixedTypes="0" containsString="0" containsNumber="1" minValue="80" maxValue="282"/>
    </cacheField>
    <cacheField name="Status confirmação cliente 12" numFmtId="0">
      <sharedItems/>
    </cacheField>
    <cacheField name="Status revisão" numFmtId="165">
      <sharedItems/>
    </cacheField>
    <cacheField name="Columna3" numFmtId="0">
      <sharedItems containsNonDate="0" containsString="0" containsBlank="1"/>
    </cacheField>
    <cacheField name="Nome cliente 2" numFmtId="0">
      <sharedItems containsNonDate="0" containsString="0" containsBlank="1"/>
    </cacheField>
    <cacheField name="Tarifa cliente 2" numFmtId="165">
      <sharedItems containsNonDate="0" containsString="0" containsBlank="1"/>
    </cacheField>
    <cacheField name="Horas confirmadas cliente 2" numFmtId="0">
      <sharedItems containsNonDate="0" containsString="0" containsBlank="1"/>
    </cacheField>
    <cacheField name="Status confirmação cliente 2" numFmtId="0">
      <sharedItems containsNonDate="0" containsString="0" containsBlank="1"/>
    </cacheField>
    <cacheField name="Status revisão 2" numFmtId="165">
      <sharedItems containsNonDate="0" containsString="0" containsBlank="1"/>
    </cacheField>
    <cacheField name="Columna32" numFmtId="0">
      <sharedItems containsNonDate="0" containsString="0" containsBlank="1"/>
    </cacheField>
    <cacheField name="Auxilio alojamento" numFmtId="165">
      <sharedItems containsMixedTypes="1" containsNumber="1" containsInteger="1" minValue="300" maxValue="300"/>
    </cacheField>
    <cacheField name="Outros acréscimos" numFmtId="165">
      <sharedItems containsNonDate="0" containsString="0" containsBlank="1"/>
    </cacheField>
    <cacheField name="Columna4" numFmtId="0">
      <sharedItems containsNonDate="0" containsString="0" containsBlank="1"/>
    </cacheField>
    <cacheField name="Imposto ss" numFmtId="165">
      <sharedItems containsSemiMixedTypes="0" containsString="0" containsNumber="1" minValue="0" maxValue="218.798"/>
    </cacheField>
    <cacheField name="Adiantamento" numFmtId="165">
      <sharedItems containsMixedTypes="1" containsNumber="1" containsInteger="1" minValue="200" maxValue="200"/>
    </cacheField>
    <cacheField name="Desconto Carro" numFmtId="165">
      <sharedItems containsMixedTypes="1" containsNumber="1" minValue="42.857142857142854" maxValue="140"/>
    </cacheField>
    <cacheField name="MULTA TRANSITO" numFmtId="165">
      <sharedItems containsMixedTypes="1" containsNumber="1" containsInteger="1" minValue="0" maxValue="100"/>
    </cacheField>
    <cacheField name="COMBUSTIBLE" numFmtId="165">
      <sharedItems containsMixedTypes="1" containsNumber="1" containsInteger="1" minValue="0" maxValue="0"/>
    </cacheField>
    <cacheField name="PEAJES" numFmtId="165">
      <sharedItems containsMixedTypes="1" containsNumber="1" containsInteger="1" minValue="0" maxValue="0"/>
    </cacheField>
    <cacheField name="SUMINISTROS" numFmtId="165">
      <sharedItems containsMixedTypes="1" containsNumber="1" containsInteger="1" minValue="0" maxValue="0"/>
    </cacheField>
    <cacheField name="MULTA ALOJAMIENTO" numFmtId="165">
      <sharedItems containsMixedTypes="1" containsNumber="1" containsInteger="1" minValue="0" maxValue="0"/>
    </cacheField>
    <cacheField name="LIMPIEZA O DAÑOS" numFmtId="165">
      <sharedItems containsMixedTypes="1" containsNumber="1" minValue="0" maxValue="21.74"/>
    </cacheField>
    <cacheField name="EPIS" numFmtId="165">
      <sharedItems/>
    </cacheField>
    <cacheField name="Outros  descontos" numFmtId="165">
      <sharedItems containsNonDate="0" containsString="0" containsBlank="1"/>
    </cacheField>
    <cacheField name="Taxa bancária" numFmtId="165">
      <sharedItems containsSemiMixedTypes="0" containsString="0" containsNumber="1" minValue="4.08" maxValue="4.08"/>
    </cacheField>
    <cacheField name="Columna2" numFmtId="0">
      <sharedItems containsNonDate="0" containsString="0" containsBlank="1"/>
    </cacheField>
    <cacheField name="Valor previsão de folha" numFmtId="2">
      <sharedItems containsSemiMixedTypes="0" containsString="0" containsNumber="1" minValue="927.12199999999996" maxValue="3809.7355555555559"/>
    </cacheField>
    <cacheField name="Liquido total" numFmtId="2">
      <sharedItems containsSemiMixedTypes="0" containsString="0" containsNumber="1" minValue="927.12199999999996" maxValue="3809.7355555555559"/>
    </cacheField>
    <cacheField name="Columna5" numFmtId="0">
      <sharedItems containsNonDate="0" containsString="0" containsBlank="1"/>
    </cacheField>
    <cacheField name="IBAN pagamento" numFmtId="0">
      <sharedItems/>
    </cacheField>
    <cacheField name="Observações" numFmtId="0">
      <sharedItems containsNonDate="0" containsString="0" containsBlank="1"/>
    </cacheField>
    <cacheField name="Status pagamento cliente" numFmtId="0">
      <sharedItems containsNonDate="0" containsString="0" containsBlank="1"/>
    </cacheField>
    <cacheField name="Responsável pagamento" numFmtId="0">
      <sharedItems containsNonDate="0" containsString="0" containsBlank="1"/>
    </cacheField>
    <cacheField name="Status pagamento" numFmtId="0">
      <sharedItems containsBlank="1" count="5">
        <s v="Pago"/>
        <s v="Pendente"/>
        <s v="Nao pagar" u="1"/>
        <m u="1"/>
        <s v="Lista Negra"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rnando Pzivitovski" refreshedDate="46069.380164467591" createdVersion="8" refreshedVersion="8" minRefreshableVersion="3" recordCount="119" xr:uid="{C956CF9A-94FB-46FE-92A5-45ACBCB00560}">
  <cacheSource type="worksheet">
    <worksheetSource name="Tabla5810"/>
  </cacheSource>
  <cacheFields count="49">
    <cacheField name="Cod trabalhador" numFmtId="0">
      <sharedItems/>
    </cacheField>
    <cacheField name="Status SS" numFmtId="0">
      <sharedItems count="2">
        <s v="Não ativo"/>
        <s v="Ativo"/>
      </sharedItems>
    </cacheField>
    <cacheField name="KI" numFmtId="0">
      <sharedItems/>
    </cacheField>
    <cacheField name="KR" numFmtId="0">
      <sharedItems/>
    </cacheField>
    <cacheField name="WS" numFmtId="0">
      <sharedItems/>
    </cacheField>
    <cacheField name="LM" numFmtId="0">
      <sharedItems/>
    </cacheField>
    <cacheField name="Data admissão" numFmtId="14">
      <sharedItems containsDate="1" containsMixedTypes="1" minDate="2025-09-26T00:00:00" maxDate="2026-01-31T00:00:00"/>
    </cacheField>
    <cacheField name="Data cessação" numFmtId="14">
      <sharedItems containsDate="1" containsMixedTypes="1" minDate="2026-01-14T00:00:00" maxDate="2026-02-02T00:00:00"/>
    </cacheField>
    <cacheField name="Dias de alta" numFmtId="0">
      <sharedItems containsSemiMixedTypes="0" containsString="0" containsNumber="1" containsInteger="1" minValue="0" maxValue="31"/>
    </cacheField>
    <cacheField name="PUXADO" numFmtId="0">
      <sharedItems containsBlank="1"/>
    </cacheField>
    <cacheField name="Colaborador" numFmtId="0">
      <sharedItems/>
    </cacheField>
    <cacheField name="Columna6" numFmtId="0">
      <sharedItems containsNonDate="0" containsString="0" containsBlank="1"/>
    </cacheField>
    <cacheField name="Nome cliente 1 " numFmtId="0">
      <sharedItems/>
    </cacheField>
    <cacheField name="Tarifa cliente 1" numFmtId="165">
      <sharedItems containsSemiMixedTypes="0" containsString="0" containsNumber="1" containsInteger="1" minValue="12" maxValue="18"/>
    </cacheField>
    <cacheField name="Hora por Previsão" numFmtId="0">
      <sharedItems containsMixedTypes="1" containsNumber="1" minValue="13" maxValue="229"/>
    </cacheField>
    <cacheField name="Horas confirmadas cliente 1" numFmtId="0">
      <sharedItems containsSemiMixedTypes="0" containsString="0" containsNumber="1" minValue="13" maxValue="229"/>
    </cacheField>
    <cacheField name="Status confirmação cliente 12" numFmtId="0">
      <sharedItems/>
    </cacheField>
    <cacheField name="Status revisão" numFmtId="0">
      <sharedItems containsNonDate="0" containsString="0" containsBlank="1"/>
    </cacheField>
    <cacheField name="Columna3" numFmtId="0">
      <sharedItems containsNonDate="0" containsString="0" containsBlank="1"/>
    </cacheField>
    <cacheField name="Nome cliente 2" numFmtId="0">
      <sharedItems containsBlank="1"/>
    </cacheField>
    <cacheField name="Tarifa cliente 2" numFmtId="165">
      <sharedItems containsString="0" containsBlank="1" containsNumber="1" containsInteger="1" minValue="15" maxValue="15"/>
    </cacheField>
    <cacheField name="Horas confirmadas cliente 2" numFmtId="0">
      <sharedItems containsString="0" containsBlank="1" containsNumber="1" containsInteger="1" minValue="23" maxValue="23"/>
    </cacheField>
    <cacheField name="Status confirmação cliente 2" numFmtId="0">
      <sharedItems containsBlank="1"/>
    </cacheField>
    <cacheField name="Status revisão 2" numFmtId="0">
      <sharedItems containsNonDate="0" containsString="0" containsBlank="1"/>
    </cacheField>
    <cacheField name="Columna32" numFmtId="0">
      <sharedItems containsNonDate="0" containsString="0" containsBlank="1"/>
    </cacheField>
    <cacheField name="Auxilio alojamento" numFmtId="165">
      <sharedItems containsMixedTypes="1" containsNumber="1" containsInteger="1" minValue="30" maxValue="300"/>
    </cacheField>
    <cacheField name="Outros acréscimos" numFmtId="165">
      <sharedItems containsNonDate="0" containsString="0" containsBlank="1"/>
    </cacheField>
    <cacheField name="Columna4" numFmtId="0">
      <sharedItems containsNonDate="0" containsString="0" containsBlank="1"/>
    </cacheField>
    <cacheField name="Imposto ss" numFmtId="165">
      <sharedItems containsSemiMixedTypes="0" containsString="0" containsNumber="1" minValue="0" maxValue="218.798"/>
    </cacheField>
    <cacheField name="Adiantamento" numFmtId="165">
      <sharedItems containsBlank="1" containsMixedTypes="1" containsNumber="1" containsInteger="1" minValue="64" maxValue="300"/>
    </cacheField>
    <cacheField name="Desconto Carro" numFmtId="165">
      <sharedItems containsBlank="1" containsMixedTypes="1" containsNumber="1" minValue="10" maxValue="140"/>
    </cacheField>
    <cacheField name="MULTA TRANSITO" numFmtId="165">
      <sharedItems containsMixedTypes="1" containsNumber="1" containsInteger="1" minValue="0" maxValue="250"/>
    </cacheField>
    <cacheField name="COMBUSTIBLE" numFmtId="165">
      <sharedItems containsMixedTypes="1" containsNumber="1" containsInteger="1" minValue="0" maxValue="0"/>
    </cacheField>
    <cacheField name="PEAJES" numFmtId="165">
      <sharedItems containsMixedTypes="1" containsNumber="1" containsInteger="1" minValue="0" maxValue="0"/>
    </cacheField>
    <cacheField name="SUMINISTROS" numFmtId="165">
      <sharedItems containsMixedTypes="1" containsNumber="1" minValue="0" maxValue="53.16"/>
    </cacheField>
    <cacheField name="MULTA ALOJAMIENTO" numFmtId="165">
      <sharedItems containsMixedTypes="1" containsNumber="1" containsInteger="1" minValue="0" maxValue="0"/>
    </cacheField>
    <cacheField name="LIMPIEZA O DAÑOS" numFmtId="165">
      <sharedItems containsMixedTypes="1" containsNumber="1" minValue="0" maxValue="21.74"/>
    </cacheField>
    <cacheField name="EPIS" numFmtId="165">
      <sharedItems/>
    </cacheField>
    <cacheField name="OUTROS" numFmtId="165">
      <sharedItems containsString="0" containsBlank="1" containsNumber="1" containsInteger="1" minValue="15" maxValue="18"/>
    </cacheField>
    <cacheField name="Taxa bancária" numFmtId="165">
      <sharedItems containsString="0" containsBlank="1" containsNumber="1" minValue="4.08" maxValue="4.08"/>
    </cacheField>
    <cacheField name="Columna2" numFmtId="0">
      <sharedItems containsNonDate="0" containsString="0" containsBlank="1"/>
    </cacheField>
    <cacheField name="Valor previsão de folha" numFmtId="165">
      <sharedItems containsSemiMixedTypes="0" containsString="0" containsNumber="1" minValue="-4.08" maxValue="3719.1220000000003"/>
    </cacheField>
    <cacheField name="Liquido total" numFmtId="2">
      <sharedItems containsSemiMixedTypes="0" containsString="0" containsNumber="1" minValue="176.804" maxValue="3719.1220000000003"/>
    </cacheField>
    <cacheField name="Columna5" numFmtId="0">
      <sharedItems containsNonDate="0" containsString="0" containsBlank="1"/>
    </cacheField>
    <cacheField name="IBAN pagamento" numFmtId="0">
      <sharedItems/>
    </cacheField>
    <cacheField name="Observações" numFmtId="0">
      <sharedItems containsNonDate="0" containsString="0" containsBlank="1"/>
    </cacheField>
    <cacheField name="Status pagamento cliente" numFmtId="0">
      <sharedItems containsNonDate="0" containsString="0" containsBlank="1"/>
    </cacheField>
    <cacheField name="Responsável pagamento" numFmtId="0">
      <sharedItems containsNonDate="0" containsString="0" containsBlank="1"/>
    </cacheField>
    <cacheField name="Status pagamento"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rnando Pzivitovski" refreshedDate="46069.380165162038" createdVersion="8" refreshedVersion="8" minRefreshableVersion="3" recordCount="43" xr:uid="{3CEE37E0-8AF3-4812-AED8-1E8AD3E7B458}">
  <cacheSource type="worksheet">
    <worksheetSource name="Tabla57"/>
  </cacheSource>
  <cacheFields count="49">
    <cacheField name="Cod trabalhador" numFmtId="0">
      <sharedItems/>
    </cacheField>
    <cacheField name="Status SS" numFmtId="0">
      <sharedItems count="2">
        <s v="Não ativo"/>
        <s v="Ativo"/>
      </sharedItems>
    </cacheField>
    <cacheField name="KI" numFmtId="0">
      <sharedItems/>
    </cacheField>
    <cacheField name="KR" numFmtId="0">
      <sharedItems/>
    </cacheField>
    <cacheField name="WS" numFmtId="0">
      <sharedItems/>
    </cacheField>
    <cacheField name="LN" numFmtId="0">
      <sharedItems/>
    </cacheField>
    <cacheField name="Data admissão" numFmtId="14">
      <sharedItems containsDate="1" containsMixedTypes="1" minDate="2024-03-13T00:00:00" maxDate="2025-08-29T00:00:00"/>
    </cacheField>
    <cacheField name="Data cessação" numFmtId="14">
      <sharedItems containsDate="1" containsMixedTypes="1" minDate="2026-01-12T00:00:00" maxDate="2026-02-01T00:00:00"/>
    </cacheField>
    <cacheField name="Dias de alta" numFmtId="0">
      <sharedItems containsSemiMixedTypes="0" containsString="0" containsNumber="1" containsInteger="1" minValue="0" maxValue="31"/>
    </cacheField>
    <cacheField name="PUXADO" numFmtId="0">
      <sharedItems containsBlank="1"/>
    </cacheField>
    <cacheField name="Colaborador" numFmtId="0">
      <sharedItems/>
    </cacheField>
    <cacheField name="Columna6" numFmtId="0">
      <sharedItems containsNonDate="0" containsString="0" containsBlank="1"/>
    </cacheField>
    <cacheField name="Nome cliente 1 " numFmtId="0">
      <sharedItems/>
    </cacheField>
    <cacheField name="Tarifa cliente 1" numFmtId="165">
      <sharedItems containsSemiMixedTypes="0" containsString="0" containsNumber="1" minValue="13" maxValue="18"/>
    </cacheField>
    <cacheField name="Hora por Previsão" numFmtId="0">
      <sharedItems containsSemiMixedTypes="0" containsString="0" containsNumber="1" minValue="36" maxValue="307"/>
    </cacheField>
    <cacheField name="Horas confirmadas cliente 1" numFmtId="0">
      <sharedItems containsSemiMixedTypes="0" containsString="0" containsNumber="1" minValue="42" maxValue="307"/>
    </cacheField>
    <cacheField name="Status confirmação cliente 13" numFmtId="0">
      <sharedItems/>
    </cacheField>
    <cacheField name="Status revisão" numFmtId="165">
      <sharedItems containsNonDate="0" containsString="0" containsBlank="1"/>
    </cacheField>
    <cacheField name="Columna3" numFmtId="0">
      <sharedItems containsNonDate="0" containsString="0" containsBlank="1"/>
    </cacheField>
    <cacheField name="Nome cliente 2" numFmtId="0">
      <sharedItems containsNonDate="0" containsString="0" containsBlank="1"/>
    </cacheField>
    <cacheField name="Tarifa cliente 2" numFmtId="165">
      <sharedItems containsNonDate="0" containsString="0" containsBlank="1"/>
    </cacheField>
    <cacheField name="Horas confirmadas cliente 2" numFmtId="0">
      <sharedItems containsNonDate="0" containsString="0" containsBlank="1"/>
    </cacheField>
    <cacheField name="Status confirmação cliente 2" numFmtId="0">
      <sharedItems containsNonDate="0" containsString="0" containsBlank="1"/>
    </cacheField>
    <cacheField name="Status revisão 2" numFmtId="165">
      <sharedItems containsNonDate="0" containsString="0" containsBlank="1"/>
    </cacheField>
    <cacheField name="Columna32" numFmtId="0">
      <sharedItems containsNonDate="0" containsString="0" containsBlank="1"/>
    </cacheField>
    <cacheField name="Auxilio alojamento" numFmtId="165">
      <sharedItems containsBlank="1" containsMixedTypes="1" containsNumber="1" containsInteger="1" minValue="130" maxValue="300"/>
    </cacheField>
    <cacheField name="Outros acréscimos" numFmtId="165">
      <sharedItems containsNonDate="0" containsString="0" containsBlank="1"/>
    </cacheField>
    <cacheField name="Columna4" numFmtId="0">
      <sharedItems containsNonDate="0" containsString="0" containsBlank="1"/>
    </cacheField>
    <cacheField name="Imposto ss" numFmtId="165">
      <sharedItems containsSemiMixedTypes="0" containsString="0" containsNumber="1" minValue="0" maxValue="218.798"/>
    </cacheField>
    <cacheField name="Adiantamento" numFmtId="165">
      <sharedItems containsMixedTypes="1" containsNumber="1" containsInteger="1" minValue="200" maxValue="200"/>
    </cacheField>
    <cacheField name="Desconto Carro" numFmtId="165">
      <sharedItems containsBlank="1" containsMixedTypes="1" containsNumber="1" minValue="66.666666666666657" maxValue="145"/>
    </cacheField>
    <cacheField name="MULTA TRANSITO" numFmtId="165">
      <sharedItems containsMixedTypes="1" containsNumber="1" containsInteger="1" minValue="0" maxValue="0"/>
    </cacheField>
    <cacheField name="COMBUSTIBLE" numFmtId="165">
      <sharedItems containsMixedTypes="1" containsNumber="1" containsInteger="1" minValue="0" maxValue="0"/>
    </cacheField>
    <cacheField name="PEAJES" numFmtId="165">
      <sharedItems containsMixedTypes="1" containsNumber="1" containsInteger="1" minValue="0" maxValue="0"/>
    </cacheField>
    <cacheField name="SUMINISTROS" numFmtId="165">
      <sharedItems containsMixedTypes="1" containsNumber="1" minValue="148.97" maxValue="197.2"/>
    </cacheField>
    <cacheField name="MULTA ALOJAMIENTO" numFmtId="165">
      <sharedItems containsMixedTypes="1" containsNumber="1" containsInteger="1" minValue="0" maxValue="0"/>
    </cacheField>
    <cacheField name="LIMPIEZA O DAÑOS" numFmtId="165">
      <sharedItems containsMixedTypes="1" containsNumber="1" containsInteger="1" minValue="0" maxValue="0"/>
    </cacheField>
    <cacheField name="EPIS" numFmtId="165">
      <sharedItems/>
    </cacheField>
    <cacheField name="Outros  descontos" numFmtId="165">
      <sharedItems containsNonDate="0" containsString="0" containsBlank="1"/>
    </cacheField>
    <cacheField name="Taxa bancária" numFmtId="165">
      <sharedItems containsSemiMixedTypes="0" containsString="0" containsNumber="1" minValue="4.08" maxValue="4.08"/>
    </cacheField>
    <cacheField name="Columna2" numFmtId="0">
      <sharedItems containsNonDate="0" containsString="0" containsBlank="1"/>
    </cacheField>
    <cacheField name="Valor previsão de folha" numFmtId="2">
      <sharedItems containsSemiMixedTypes="0" containsString="0" containsNumber="1" minValue="335.92" maxValue="4526.2533333333331"/>
    </cacheField>
    <cacheField name="Liquido total" numFmtId="2">
      <sharedItems containsSemiMixedTypes="0" containsString="0" containsNumber="1" minValue="664.16599999999994" maxValue="4526.2533333333331"/>
    </cacheField>
    <cacheField name="Columna5" numFmtId="0">
      <sharedItems containsNonDate="0" containsString="0" containsBlank="1"/>
    </cacheField>
    <cacheField name="IBAN pagamento" numFmtId="0">
      <sharedItems/>
    </cacheField>
    <cacheField name="Observações" numFmtId="0">
      <sharedItems containsNonDate="0" containsString="0" containsBlank="1"/>
    </cacheField>
    <cacheField name="Status pagamento cliente" numFmtId="0">
      <sharedItems containsNonDate="0" containsString="0" containsBlank="1"/>
    </cacheField>
    <cacheField name="Responsável pagamento" numFmtId="0">
      <sharedItems containsNonDate="0" containsString="0" containsBlank="1"/>
    </cacheField>
    <cacheField name="Status pagamento" numFmtId="0">
      <sharedItems containsBlank="1" count="4">
        <s v="Pendente"/>
        <m u="1"/>
        <s v="Pago" u="1"/>
        <s v="Lista Negra" u="1"/>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balho" refreshedDate="46083.528988773149" createdVersion="8" refreshedVersion="8" minRefreshableVersion="3" recordCount="163" xr:uid="{1B96BA3E-9837-4045-9E77-0473A74A0F06}">
  <cacheSource type="worksheet">
    <worksheetSource name="Tabla58"/>
  </cacheSource>
  <cacheFields count="49">
    <cacheField name="Cod trabalhador" numFmtId="0">
      <sharedItems/>
    </cacheField>
    <cacheField name="Status SS" numFmtId="0">
      <sharedItems count="2">
        <s v="Não ativo"/>
        <s v="Ativo"/>
      </sharedItems>
    </cacheField>
    <cacheField name="KI" numFmtId="0">
      <sharedItems/>
    </cacheField>
    <cacheField name="KR" numFmtId="0">
      <sharedItems/>
    </cacheField>
    <cacheField name="WS" numFmtId="0">
      <sharedItems/>
    </cacheField>
    <cacheField name="LM" numFmtId="0">
      <sharedItems/>
    </cacheField>
    <cacheField name="Data admissão" numFmtId="14">
      <sharedItems containsDate="1" containsMixedTypes="1" minDate="2025-06-20T00:00:00" maxDate="2026-01-28T00:00:00"/>
    </cacheField>
    <cacheField name="Data cessação" numFmtId="14">
      <sharedItems containsDate="1" containsMixedTypes="1" minDate="2026-01-07T00:00:00" maxDate="2026-01-31T00:00:00"/>
    </cacheField>
    <cacheField name="Dias de alta" numFmtId="0">
      <sharedItems containsSemiMixedTypes="0" containsString="0" containsNumber="1" containsInteger="1" minValue="0" maxValue="31"/>
    </cacheField>
    <cacheField name="PUXADO" numFmtId="0">
      <sharedItems containsBlank="1"/>
    </cacheField>
    <cacheField name="Colaborador" numFmtId="0">
      <sharedItems/>
    </cacheField>
    <cacheField name="Columna6" numFmtId="0">
      <sharedItems containsNonDate="0" containsString="0" containsBlank="1"/>
    </cacheField>
    <cacheField name="Nome cliente 1 " numFmtId="0">
      <sharedItems/>
    </cacheField>
    <cacheField name="Tarifa cliente 1" numFmtId="165">
      <sharedItems containsSemiMixedTypes="0" containsString="0" containsNumber="1" minValue="12" maxValue="17"/>
    </cacheField>
    <cacheField name="Hora por Previsão" numFmtId="0">
      <sharedItems containsMixedTypes="1" containsNumber="1" minValue="0" maxValue="304"/>
    </cacheField>
    <cacheField name="Horas confirmadas cliente 1" numFmtId="0">
      <sharedItems containsSemiMixedTypes="0" containsString="0" containsNumber="1" minValue="8" maxValue="304"/>
    </cacheField>
    <cacheField name="Status confirmação cliente 12" numFmtId="0">
      <sharedItems/>
    </cacheField>
    <cacheField name="Status revisão" numFmtId="0">
      <sharedItems containsBlank="1"/>
    </cacheField>
    <cacheField name="Columna3" numFmtId="0">
      <sharedItems containsNonDate="0" containsString="0" containsBlank="1"/>
    </cacheField>
    <cacheField name="Nome cliente 2" numFmtId="0">
      <sharedItems containsBlank="1"/>
    </cacheField>
    <cacheField name="Tarifa cliente 2" numFmtId="165">
      <sharedItems containsString="0" containsBlank="1" containsNumber="1" containsInteger="1" minValue="15" maxValue="15"/>
    </cacheField>
    <cacheField name="Horas confirmadas cliente 2" numFmtId="0">
      <sharedItems containsString="0" containsBlank="1" containsNumber="1" containsInteger="1" minValue="147" maxValue="147"/>
    </cacheField>
    <cacheField name="Status confirmação cliente 2" numFmtId="0">
      <sharedItems containsNonDate="0" containsString="0" containsBlank="1"/>
    </cacheField>
    <cacheField name="Status revisão 2" numFmtId="0">
      <sharedItems containsBlank="1"/>
    </cacheField>
    <cacheField name="Columna32" numFmtId="0">
      <sharedItems containsNonDate="0" containsString="0" containsBlank="1"/>
    </cacheField>
    <cacheField name="Auxilio alojamento" numFmtId="165">
      <sharedItems containsMixedTypes="1" containsNumber="1" containsInteger="1" minValue="110" maxValue="300"/>
    </cacheField>
    <cacheField name="Outros acréscimos" numFmtId="165">
      <sharedItems containsNonDate="0" containsString="0" containsBlank="1"/>
    </cacheField>
    <cacheField name="Columna4" numFmtId="0">
      <sharedItems containsNonDate="0" containsString="0" containsBlank="1"/>
    </cacheField>
    <cacheField name="Imposto ss" numFmtId="165">
      <sharedItems containsSemiMixedTypes="0" containsString="0" containsNumber="1" minValue="0" maxValue="218.798"/>
    </cacheField>
    <cacheField name="Adiantamento" numFmtId="165">
      <sharedItems containsMixedTypes="1" containsNumber="1" containsInteger="1" minValue="200" maxValue="200"/>
    </cacheField>
    <cacheField name="Desconto Carro" numFmtId="165">
      <sharedItems containsBlank="1" containsMixedTypes="1" containsNumber="1" minValue="13.333333333333334" maxValue="140"/>
    </cacheField>
    <cacheField name="MULTA TRANSITO" numFmtId="165">
      <sharedItems containsMixedTypes="1" containsNumber="1" containsInteger="1" minValue="0" maxValue="185"/>
    </cacheField>
    <cacheField name="COMBUSTIBLE" numFmtId="165">
      <sharedItems containsMixedTypes="1" containsNumber="1" containsInteger="1" minValue="0" maxValue="0"/>
    </cacheField>
    <cacheField name="PEAJES" numFmtId="165">
      <sharedItems containsMixedTypes="1" containsNumber="1" containsInteger="1" minValue="0" maxValue="0"/>
    </cacheField>
    <cacheField name="SUMINISTROS" numFmtId="165">
      <sharedItems containsMixedTypes="1" containsNumber="1" minValue="0" maxValue="159.1"/>
    </cacheField>
    <cacheField name="MULTA ALOJAMIENTO" numFmtId="165">
      <sharedItems containsMixedTypes="1" containsNumber="1" containsInteger="1" minValue="0" maxValue="0"/>
    </cacheField>
    <cacheField name="LIMPIEZA O DAÑOS" numFmtId="165">
      <sharedItems containsMixedTypes="1" containsNumber="1" minValue="0" maxValue="112.93"/>
    </cacheField>
    <cacheField name="EPIS" numFmtId="165">
      <sharedItems/>
    </cacheField>
    <cacheField name="Outros  descontos" numFmtId="165">
      <sharedItems containsString="0" containsBlank="1" containsNumber="1" minValue="18.75" maxValue="18.75"/>
    </cacheField>
    <cacheField name="Taxa bancária" numFmtId="165">
      <sharedItems containsSemiMixedTypes="0" containsString="0" containsNumber="1" minValue="4.08" maxValue="4.08"/>
    </cacheField>
    <cacheField name="Columna2" numFmtId="0">
      <sharedItems containsNonDate="0" containsString="0" containsBlank="1"/>
    </cacheField>
    <cacheField name="Valor previsão de folha" numFmtId="165">
      <sharedItems containsSemiMixedTypes="0" containsString="0" containsNumber="1" minValue="-222.87800000000001" maxValue="4660.4553333333333"/>
    </cacheField>
    <cacheField name="Liquido total" numFmtId="2">
      <sharedItems containsSemiMixedTypes="0" containsString="0" containsNumber="1" minValue="115.92" maxValue="4575.92"/>
    </cacheField>
    <cacheField name="Columna5" numFmtId="0">
      <sharedItems containsNonDate="0" containsString="0" containsBlank="1"/>
    </cacheField>
    <cacheField name="IBAN pagamento" numFmtId="0">
      <sharedItems/>
    </cacheField>
    <cacheField name="Observações" numFmtId="0">
      <sharedItems containsBlank="1"/>
    </cacheField>
    <cacheField name="Status pagamento cliente" numFmtId="0">
      <sharedItems containsNonDate="0" containsString="0" containsBlank="1"/>
    </cacheField>
    <cacheField name="Responsável pagamento" numFmtId="0">
      <sharedItems containsBlank="1"/>
    </cacheField>
    <cacheField name="Status pagamento"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E0396"/>
    <x v="0"/>
    <s v=""/>
    <s v="KR"/>
    <s v=""/>
    <s v=""/>
    <d v="2025-08-11T00:00:00"/>
    <d v="2026-01-30T00:00:00"/>
    <n v="30"/>
    <s v="CARLOS JIMENEZ"/>
    <s v="CARLOS ANDRES JIMENEZ RAMIREZ"/>
    <m/>
    <s v="111-IQUORD"/>
    <n v="15"/>
    <n v="143"/>
    <n v="143"/>
    <s v="Pendente"/>
    <s v="Ok"/>
    <m/>
    <m/>
    <m/>
    <m/>
    <m/>
    <m/>
    <m/>
    <n v="300"/>
    <m/>
    <m/>
    <n v="211.74"/>
    <s v=""/>
    <s v=""/>
    <s v=""/>
    <s v=""/>
    <s v=""/>
    <s v=""/>
    <s v=""/>
    <s v=""/>
    <s v=""/>
    <m/>
    <n v="4.08"/>
    <m/>
    <n v="2229.1800000000003"/>
    <n v="2229.1800000000003"/>
    <m/>
    <s v="ES45 0182 0606 8002 0178 1704"/>
    <m/>
    <m/>
    <m/>
    <x v="0"/>
  </r>
  <r>
    <s v="E0394"/>
    <x v="0"/>
    <s v=""/>
    <s v="KR"/>
    <s v=""/>
    <s v=""/>
    <d v="2025-04-14T00:00:00"/>
    <d v="2026-01-30T00:00:00"/>
    <n v="30"/>
    <s v="FREDY MANCERA"/>
    <s v="FREDY MANCERA URIBE"/>
    <m/>
    <s v="111-IQUORD"/>
    <n v="15"/>
    <n v="143"/>
    <n v="143"/>
    <s v="Pendente"/>
    <s v="Ok"/>
    <m/>
    <m/>
    <m/>
    <m/>
    <m/>
    <m/>
    <m/>
    <n v="300"/>
    <m/>
    <m/>
    <n v="211.74"/>
    <s v=""/>
    <s v=""/>
    <s v=""/>
    <s v=""/>
    <s v=""/>
    <s v=""/>
    <s v=""/>
    <s v=""/>
    <s v=""/>
    <m/>
    <n v="4.08"/>
    <m/>
    <n v="2229.1800000000003"/>
    <n v="2229.1800000000003"/>
    <m/>
    <s v="ES95 0182 4388 1202 0186 5375"/>
    <m/>
    <m/>
    <m/>
    <x v="1"/>
  </r>
  <r>
    <s v="E0398"/>
    <x v="0"/>
    <s v=""/>
    <s v="KR"/>
    <s v=""/>
    <s v=""/>
    <d v="2025-04-17T00:00:00"/>
    <d v="2026-01-30T00:00:00"/>
    <n v="30"/>
    <s v="ANDRES OROZCO"/>
    <s v="JEFFERSON ANDRES OROZCO RODRIGUEZ"/>
    <m/>
    <s v="111-IQUORD"/>
    <n v="14"/>
    <n v="143"/>
    <n v="143"/>
    <s v="Pendente"/>
    <s v="Ok"/>
    <m/>
    <m/>
    <m/>
    <m/>
    <m/>
    <m/>
    <m/>
    <n v="300"/>
    <m/>
    <m/>
    <n v="211.74"/>
    <s v=""/>
    <s v=""/>
    <s v=""/>
    <s v=""/>
    <s v=""/>
    <s v=""/>
    <s v=""/>
    <s v=""/>
    <s v=""/>
    <m/>
    <n v="4.08"/>
    <m/>
    <n v="2086.1800000000003"/>
    <n v="2086.1800000000003"/>
    <m/>
    <s v="ES31 0182 0043 1202 0168 3458"/>
    <m/>
    <m/>
    <m/>
    <x v="1"/>
  </r>
  <r>
    <s v="E0395"/>
    <x v="0"/>
    <s v=""/>
    <s v="KR"/>
    <s v=""/>
    <s v=""/>
    <d v="2025-04-17T00:00:00"/>
    <d v="2026-01-30T00:00:00"/>
    <n v="30"/>
    <s v="JUAN C BENAVIDES R"/>
    <s v="JUAN CARLOS BENAVIDES RODRIGUEZ"/>
    <m/>
    <s v="111-IQUORD"/>
    <n v="15"/>
    <n v="143"/>
    <n v="143"/>
    <s v="Pendente"/>
    <s v="Ok"/>
    <m/>
    <m/>
    <m/>
    <m/>
    <m/>
    <m/>
    <m/>
    <n v="300"/>
    <m/>
    <m/>
    <n v="211.74"/>
    <s v=""/>
    <s v=""/>
    <s v=""/>
    <s v=""/>
    <s v=""/>
    <s v=""/>
    <s v=""/>
    <s v=""/>
    <s v=""/>
    <m/>
    <n v="4.08"/>
    <m/>
    <n v="2229.1800000000003"/>
    <n v="2229.1800000000003"/>
    <m/>
    <s v="ES85 0182 0606 8702 0178 6655"/>
    <m/>
    <m/>
    <m/>
    <x v="1"/>
  </r>
  <r>
    <s v="E0392"/>
    <x v="0"/>
    <s v=""/>
    <s v="KR"/>
    <s v=""/>
    <s v=""/>
    <d v="2025-05-02T00:00:00"/>
    <d v="2026-01-30T00:00:00"/>
    <n v="30"/>
    <s v="MILTON SOSA"/>
    <s v="MILTON DAVID SOSA PALLAS"/>
    <m/>
    <s v="111-IQUORD"/>
    <n v="15"/>
    <n v="143"/>
    <n v="143"/>
    <s v="Pendente"/>
    <s v="Ok"/>
    <m/>
    <m/>
    <m/>
    <m/>
    <m/>
    <m/>
    <m/>
    <n v="300"/>
    <m/>
    <m/>
    <n v="211.74"/>
    <s v=""/>
    <s v=""/>
    <s v=""/>
    <s v=""/>
    <s v=""/>
    <s v=""/>
    <s v=""/>
    <s v=""/>
    <s v=""/>
    <m/>
    <n v="4.08"/>
    <m/>
    <n v="2229.1800000000003"/>
    <n v="2229.1800000000003"/>
    <m/>
    <s v="ES93 0182 0606 8402 0178 1711"/>
    <m/>
    <m/>
    <m/>
    <x v="1"/>
  </r>
  <r>
    <s v="E0400"/>
    <x v="0"/>
    <s v=""/>
    <s v="KR"/>
    <s v=""/>
    <s v=""/>
    <d v="2025-05-30T00:00:00"/>
    <d v="2026-01-30T00:00:00"/>
    <n v="30"/>
    <s v="NORBEY VARON ESQUIVEL"/>
    <s v="NORBEY VARON ESQUIVEL"/>
    <m/>
    <s v="111-IQUORD"/>
    <n v="15"/>
    <n v="143"/>
    <n v="143"/>
    <s v="Pendente"/>
    <s v="Ok"/>
    <m/>
    <m/>
    <m/>
    <m/>
    <m/>
    <m/>
    <m/>
    <n v="300"/>
    <m/>
    <m/>
    <n v="211.74"/>
    <s v=""/>
    <s v=""/>
    <s v=""/>
    <s v=""/>
    <s v=""/>
    <s v=""/>
    <s v=""/>
    <s v=""/>
    <s v=""/>
    <m/>
    <n v="4.08"/>
    <m/>
    <n v="2229.1800000000003"/>
    <n v="2229.1800000000003"/>
    <m/>
    <s v="ES53 0182 4924 1802 0172 4674 "/>
    <m/>
    <m/>
    <m/>
    <x v="1"/>
  </r>
  <r>
    <s v="E0447"/>
    <x v="0"/>
    <s v=""/>
    <s v="KR"/>
    <s v=""/>
    <s v=""/>
    <d v="2024-06-27T00:00:00"/>
    <d v="2026-01-30T00:00:00"/>
    <n v="30"/>
    <s v="NORBEY BALLESTEROS"/>
    <s v="NORBEY BALLESTEROS CRUZ"/>
    <m/>
    <s v="136-METALLIC SOLUTIONS"/>
    <n v="17"/>
    <n v="161"/>
    <n v="161"/>
    <s v="Pendente"/>
    <s v="Ok"/>
    <m/>
    <m/>
    <m/>
    <m/>
    <m/>
    <m/>
    <m/>
    <n v="300"/>
    <m/>
    <m/>
    <n v="211.74"/>
    <s v=""/>
    <n v="140"/>
    <s v=""/>
    <s v=""/>
    <s v=""/>
    <s v=""/>
    <s v=""/>
    <s v=""/>
    <s v=""/>
    <m/>
    <n v="4.08"/>
    <m/>
    <n v="2681.1800000000003"/>
    <n v="2681.1800000000003"/>
    <m/>
    <s v="ES43 6893 0001 7700 0016 2668"/>
    <m/>
    <m/>
    <m/>
    <x v="1"/>
  </r>
  <r>
    <s v="E0445"/>
    <x v="0"/>
    <s v=""/>
    <s v="KR"/>
    <s v=""/>
    <s v=""/>
    <d v="2025-07-19T00:00:00"/>
    <d v="2026-01-30T00:00:00"/>
    <n v="30"/>
    <s v="SERGIO ANDRES LANDINES B"/>
    <s v="SERGIO ANDRES LANDINES BARRIOS"/>
    <m/>
    <s v="136-METALLIC SOLUTIONS"/>
    <n v="15"/>
    <n v="154.5"/>
    <n v="154.5"/>
    <s v="Pendente"/>
    <s v="Ok"/>
    <m/>
    <m/>
    <m/>
    <m/>
    <m/>
    <m/>
    <m/>
    <s v=""/>
    <m/>
    <m/>
    <n v="211.74"/>
    <s v=""/>
    <s v=""/>
    <s v=""/>
    <s v=""/>
    <s v=""/>
    <s v=""/>
    <s v=""/>
    <s v=""/>
    <s v=""/>
    <m/>
    <n v="4.08"/>
    <m/>
    <n v="2101.6800000000003"/>
    <n v="2101.6800000000003"/>
    <m/>
    <s v="ES11 0182 0974 0202 0174 9696"/>
    <m/>
    <m/>
    <m/>
    <x v="1"/>
  </r>
  <r>
    <s v="E0553"/>
    <x v="0"/>
    <s v=""/>
    <s v="KR"/>
    <s v=""/>
    <s v=""/>
    <d v="2025-05-02T00:00:00"/>
    <d v="2026-01-30T00:00:00"/>
    <n v="30"/>
    <s v="CARLOS JULIO ACOSTA"/>
    <s v="CARLOS JULIO ACOSTA CAMACHO"/>
    <m/>
    <s v="176-SISTEMAS DE FILTRADO Y TRATAMIENTO DE FLUIDOS S.L"/>
    <n v="15"/>
    <n v="170"/>
    <n v="170"/>
    <s v="Confirmada"/>
    <s v="Ok"/>
    <m/>
    <m/>
    <m/>
    <m/>
    <m/>
    <m/>
    <m/>
    <s v=""/>
    <m/>
    <m/>
    <n v="211.74"/>
    <s v=""/>
    <n v="120"/>
    <s v=""/>
    <s v=""/>
    <s v=""/>
    <s v=""/>
    <s v=""/>
    <s v=""/>
    <s v=""/>
    <m/>
    <n v="4.08"/>
    <m/>
    <n v="2214.1800000000003"/>
    <n v="2214.1800000000003"/>
    <m/>
    <s v="ES97 6893 0001 7700 0027 2470"/>
    <m/>
    <m/>
    <m/>
    <x v="1"/>
  </r>
  <r>
    <s v="E0558"/>
    <x v="0"/>
    <s v=""/>
    <s v="KR"/>
    <s v=""/>
    <s v=""/>
    <d v="2025-04-14T00:00:00"/>
    <s v=""/>
    <n v="31"/>
    <s v="BREIDIS CARDOZO"/>
    <s v="BREIDIS JOSE CARDOZO GALUE"/>
    <m/>
    <s v="188-TALLERES BAMA"/>
    <n v="15"/>
    <n v="194"/>
    <n v="194"/>
    <s v="Pendente"/>
    <s v="Ok"/>
    <m/>
    <m/>
    <m/>
    <m/>
    <m/>
    <m/>
    <m/>
    <s v=""/>
    <m/>
    <m/>
    <n v="218.798"/>
    <s v=""/>
    <s v=""/>
    <s v=""/>
    <s v=""/>
    <s v=""/>
    <s v=""/>
    <s v=""/>
    <s v=""/>
    <s v=""/>
    <m/>
    <n v="4.08"/>
    <m/>
    <n v="2687.1220000000003"/>
    <n v="2687.1220000000003"/>
    <m/>
    <s v="ES24 0182 8680 3702 0039 8752"/>
    <m/>
    <m/>
    <m/>
    <x v="1"/>
  </r>
  <r>
    <s v="E0104"/>
    <x v="0"/>
    <s v=""/>
    <s v="KR"/>
    <s v=""/>
    <s v=""/>
    <d v="2025-04-04T00:00:00"/>
    <s v=""/>
    <n v="31"/>
    <s v="GILBER MORA"/>
    <s v="GILBER MORA DIAZ"/>
    <m/>
    <s v="25-BIANNA RECYCLING"/>
    <n v="15"/>
    <n v="173"/>
    <n v="173"/>
    <s v="Confirmada"/>
    <s v="Ok"/>
    <m/>
    <m/>
    <m/>
    <m/>
    <m/>
    <m/>
    <m/>
    <s v=""/>
    <m/>
    <m/>
    <n v="218.798"/>
    <s v=""/>
    <s v=""/>
    <s v=""/>
    <s v=""/>
    <s v=""/>
    <s v=""/>
    <s v=""/>
    <s v=""/>
    <s v=""/>
    <m/>
    <n v="4.08"/>
    <m/>
    <n v="2372.1220000000003"/>
    <n v="2372.1220000000003"/>
    <m/>
    <s v="ES58 0182 0345 1502 0184 9503"/>
    <m/>
    <m/>
    <m/>
    <x v="1"/>
  </r>
  <r>
    <s v="E2083"/>
    <x v="0"/>
    <s v=""/>
    <s v="KR"/>
    <s v=""/>
    <s v=""/>
    <d v="2025-04-04T00:00:00"/>
    <s v=""/>
    <n v="31"/>
    <s v="HECTOR BUELVAS"/>
    <s v="HECTOR MANUEL BUELVAS ZAMBRANO"/>
    <m/>
    <s v="25-BIANNA RECYCLING"/>
    <n v="15"/>
    <n v="183.5"/>
    <n v="183.5"/>
    <s v="Confirmada"/>
    <s v="Ok"/>
    <m/>
    <m/>
    <m/>
    <m/>
    <m/>
    <m/>
    <m/>
    <n v="300"/>
    <m/>
    <m/>
    <n v="218.798"/>
    <s v=""/>
    <s v=""/>
    <s v=""/>
    <s v=""/>
    <s v=""/>
    <s v=""/>
    <s v=""/>
    <s v=""/>
    <s v=""/>
    <m/>
    <n v="4.08"/>
    <m/>
    <n v="2829.6220000000003"/>
    <n v="2829.6220000000003"/>
    <m/>
    <s v="ES82 0049 2439 1525 1544 5505"/>
    <m/>
    <m/>
    <m/>
    <x v="1"/>
  </r>
  <r>
    <s v="E0112"/>
    <x v="0"/>
    <s v=""/>
    <s v="KR"/>
    <s v=""/>
    <s v=""/>
    <d v="2025-04-04T00:00:00"/>
    <s v=""/>
    <n v="31"/>
    <s v="JAHIR DELGADO"/>
    <s v="JAHIR SURLEY DELGADO AGREDO"/>
    <m/>
    <s v="25-BIANNA RECYCLING"/>
    <n v="15"/>
    <n v="167"/>
    <n v="167"/>
    <s v="Confirmada"/>
    <s v="Ok"/>
    <m/>
    <m/>
    <m/>
    <m/>
    <m/>
    <m/>
    <m/>
    <s v=""/>
    <m/>
    <m/>
    <n v="218.798"/>
    <s v=""/>
    <n v="89.523809523809518"/>
    <s v=""/>
    <s v=""/>
    <s v=""/>
    <s v=""/>
    <s v=""/>
    <s v=""/>
    <s v=""/>
    <m/>
    <n v="4.08"/>
    <m/>
    <n v="2192.5981904761907"/>
    <n v="2192.5981904761907"/>
    <m/>
    <s v="ES16 0182 7784 3002 0159 9697"/>
    <m/>
    <m/>
    <m/>
    <x v="1"/>
  </r>
  <r>
    <s v="E0105"/>
    <x v="0"/>
    <s v=""/>
    <s v="KR"/>
    <s v=""/>
    <s v=""/>
    <d v="2025-04-04T00:00:00"/>
    <s v=""/>
    <n v="31"/>
    <s v="JUAN VILLANUEVA GALVIS"/>
    <s v="JUAN CARLOS VILLANUEVA GALVIS"/>
    <m/>
    <s v="25-BIANNA RECYCLING"/>
    <n v="15"/>
    <n v="167"/>
    <n v="167"/>
    <s v="Confirmada"/>
    <s v="Ok"/>
    <m/>
    <m/>
    <m/>
    <m/>
    <m/>
    <m/>
    <m/>
    <s v=""/>
    <m/>
    <m/>
    <n v="218.798"/>
    <s v=""/>
    <n v="89.523809523809518"/>
    <s v=""/>
    <s v=""/>
    <s v=""/>
    <s v=""/>
    <s v=""/>
    <s v=""/>
    <s v=""/>
    <m/>
    <n v="4.08"/>
    <m/>
    <n v="2192.5981904761907"/>
    <n v="2192.5981904761907"/>
    <m/>
    <s v="BE65 9051 0809 6096"/>
    <m/>
    <m/>
    <m/>
    <x v="1"/>
  </r>
  <r>
    <s v="E0111"/>
    <x v="0"/>
    <s v=""/>
    <s v="KR"/>
    <s v=""/>
    <s v=""/>
    <d v="2025-01-29T00:00:00"/>
    <s v=""/>
    <n v="31"/>
    <s v="XEMIR SOLER ROMERO"/>
    <s v="XEMIR SOLER ROMERO"/>
    <m/>
    <s v="25-BIANNA RECYCLING"/>
    <n v="15"/>
    <n v="137"/>
    <n v="137"/>
    <s v="Confirmada"/>
    <s v="Ok"/>
    <m/>
    <m/>
    <m/>
    <m/>
    <m/>
    <m/>
    <m/>
    <s v=""/>
    <m/>
    <m/>
    <n v="218.798"/>
    <s v=""/>
    <n v="89.523809523809518"/>
    <s v=""/>
    <s v=""/>
    <s v=""/>
    <s v=""/>
    <s v=""/>
    <s v=""/>
    <s v=""/>
    <m/>
    <n v="4.08"/>
    <m/>
    <n v="1742.5981904761907"/>
    <n v="1742.5981904761907"/>
    <m/>
    <s v="ES57 0182 0374 9102 0154 6169"/>
    <m/>
    <m/>
    <m/>
    <x v="1"/>
  </r>
  <r>
    <s v="E0180"/>
    <x v="0"/>
    <s v=""/>
    <s v="KR"/>
    <s v=""/>
    <s v=""/>
    <d v="2025-05-19T00:00:00"/>
    <d v="2026-01-30T00:00:00"/>
    <n v="30"/>
    <s v="EDWIN F. LINARES"/>
    <s v="EDWIN FERNANDO LINARES MACA"/>
    <m/>
    <s v="60-CORDOBA S.L"/>
    <n v="15"/>
    <n v="253"/>
    <n v="253"/>
    <s v="Confirmada"/>
    <s v="Ok"/>
    <m/>
    <m/>
    <m/>
    <m/>
    <m/>
    <m/>
    <m/>
    <s v=""/>
    <m/>
    <m/>
    <n v="211.74"/>
    <s v=""/>
    <n v="104.44444444444446"/>
    <s v=""/>
    <s v=""/>
    <s v=""/>
    <s v=""/>
    <s v=""/>
    <s v=""/>
    <s v=""/>
    <m/>
    <n v="4.08"/>
    <m/>
    <n v="3474.7355555555559"/>
    <n v="3474.7355555555559"/>
    <m/>
    <s v="BE08 9051 8010 0513 "/>
    <m/>
    <m/>
    <m/>
    <x v="1"/>
  </r>
  <r>
    <s v="E0182"/>
    <x v="0"/>
    <s v=""/>
    <s v="KR"/>
    <s v=""/>
    <s v=""/>
    <d v="2025-06-12T00:00:00"/>
    <d v="2026-01-30T00:00:00"/>
    <n v="30"/>
    <s v="JEFFERSON ANDRES VALIENTE PEREZ"/>
    <s v="JEFFERSON ANDRES VALIENTE PEREZ"/>
    <m/>
    <s v="60-CORDOBA S.L"/>
    <n v="15"/>
    <n v="282"/>
    <n v="282"/>
    <s v="Confirmada"/>
    <s v="Ok"/>
    <m/>
    <m/>
    <m/>
    <m/>
    <m/>
    <m/>
    <m/>
    <s v=""/>
    <m/>
    <m/>
    <n v="211.74"/>
    <s v=""/>
    <n v="104.44444444444446"/>
    <n v="100"/>
    <n v="0"/>
    <n v="0"/>
    <n v="0"/>
    <n v="0"/>
    <n v="0"/>
    <s v=""/>
    <m/>
    <n v="4.08"/>
    <m/>
    <n v="3809.7355555555559"/>
    <n v="3809.7355555555559"/>
    <m/>
    <s v="BE63 9050 6069 3008"/>
    <m/>
    <m/>
    <m/>
    <x v="1"/>
  </r>
  <r>
    <s v="E0181"/>
    <x v="0"/>
    <s v=""/>
    <s v="KR"/>
    <s v=""/>
    <s v=""/>
    <d v="2025-06-12T00:00:00"/>
    <d v="2026-01-30T00:00:00"/>
    <n v="30"/>
    <s v="JOSE ELMES PASTES DOMINGUEZ"/>
    <s v="JOSE ELMES PASTES DOMINGUEZ"/>
    <m/>
    <s v="60-CORDOBA S.L"/>
    <n v="15"/>
    <n v="275"/>
    <n v="275"/>
    <s v="Confirmada"/>
    <s v="Ok"/>
    <m/>
    <m/>
    <m/>
    <m/>
    <m/>
    <m/>
    <m/>
    <s v=""/>
    <m/>
    <m/>
    <n v="211.74"/>
    <n v="200"/>
    <n v="104.44444444444446"/>
    <s v=""/>
    <s v=""/>
    <s v=""/>
    <s v=""/>
    <s v=""/>
    <s v=""/>
    <s v=""/>
    <m/>
    <n v="4.08"/>
    <m/>
    <n v="3604.7355555555559"/>
    <n v="3604.7355555555559"/>
    <m/>
    <s v="ES09 0182 0374 9202 0154 6596"/>
    <m/>
    <m/>
    <m/>
    <x v="1"/>
  </r>
  <r>
    <s v="E0194"/>
    <x v="0"/>
    <s v=""/>
    <s v="KR"/>
    <s v=""/>
    <s v=""/>
    <d v="2025-04-14T00:00:00"/>
    <d v="2026-01-31T00:00:00"/>
    <n v="31"/>
    <s v="ALAN NAVAS"/>
    <s v="ALAN FRANCISCO NAVAS DIAZ"/>
    <m/>
    <s v="64-DOHERCO MIRANDA S.L"/>
    <n v="13"/>
    <n v="144"/>
    <n v="144"/>
    <s v="Pendente"/>
    <s v="Ok"/>
    <m/>
    <m/>
    <m/>
    <m/>
    <m/>
    <m/>
    <m/>
    <n v="300"/>
    <m/>
    <m/>
    <n v="218.798"/>
    <s v=""/>
    <s v=""/>
    <s v=""/>
    <s v=""/>
    <s v=""/>
    <s v=""/>
    <s v=""/>
    <s v=""/>
    <s v=""/>
    <m/>
    <n v="4.08"/>
    <m/>
    <n v="1949.1220000000001"/>
    <n v="1949.1220000000001"/>
    <m/>
    <s v="ES43 0182 0706 1902 0164 4996"/>
    <m/>
    <m/>
    <m/>
    <x v="1"/>
  </r>
  <r>
    <s v="E0195"/>
    <x v="0"/>
    <s v=""/>
    <s v="KR"/>
    <s v=""/>
    <s v=""/>
    <d v="2025-04-14T00:00:00"/>
    <d v="2026-01-31T00:00:00"/>
    <n v="31"/>
    <s v="BLADIMIR DIAZ"/>
    <s v="BLADIMIRO DIAZ MARTINEZ"/>
    <m/>
    <s v="64-DOHERCO MIRANDA S.L"/>
    <n v="13"/>
    <n v="144"/>
    <n v="144"/>
    <s v="Pendente"/>
    <s v="Ok"/>
    <m/>
    <m/>
    <m/>
    <m/>
    <m/>
    <m/>
    <m/>
    <n v="300"/>
    <m/>
    <m/>
    <n v="218.798"/>
    <s v=""/>
    <s v=""/>
    <s v=""/>
    <s v=""/>
    <s v=""/>
    <s v=""/>
    <s v=""/>
    <s v=""/>
    <s v=""/>
    <m/>
    <n v="4.08"/>
    <m/>
    <n v="1949.1220000000001"/>
    <n v="1949.1220000000001"/>
    <m/>
    <s v="ES92 0182 0706 1502 0164 4989"/>
    <m/>
    <m/>
    <m/>
    <x v="1"/>
  </r>
  <r>
    <s v="E0196"/>
    <x v="0"/>
    <s v=""/>
    <s v="KR"/>
    <s v=""/>
    <s v=""/>
    <d v="2025-04-17T00:00:00"/>
    <d v="2026-01-31T00:00:00"/>
    <n v="31"/>
    <s v="JHON ADAIMER MORALES"/>
    <s v="JHON ADAIMER MORALES MORALES"/>
    <m/>
    <s v="64-DOHERCO MIRANDA S.L"/>
    <n v="13"/>
    <n v="160"/>
    <n v="160"/>
    <s v="Pendente"/>
    <s v="Ok"/>
    <m/>
    <m/>
    <m/>
    <m/>
    <m/>
    <m/>
    <m/>
    <n v="300"/>
    <m/>
    <m/>
    <n v="218.798"/>
    <s v=""/>
    <s v=""/>
    <s v=""/>
    <s v=""/>
    <s v=""/>
    <s v=""/>
    <s v=""/>
    <s v=""/>
    <s v=""/>
    <m/>
    <n v="4.08"/>
    <m/>
    <n v="2157.1220000000003"/>
    <n v="2157.1220000000003"/>
    <m/>
    <s v="ES54 0182 0706 1302 0164 9748"/>
    <m/>
    <m/>
    <m/>
    <x v="1"/>
  </r>
  <r>
    <s v="E0233"/>
    <x v="0"/>
    <s v=""/>
    <s v="KR"/>
    <s v=""/>
    <s v=""/>
    <d v="2025-04-22T00:00:00"/>
    <d v="2026-01-30T00:00:00"/>
    <n v="30"/>
    <s v="EISON SALAS"/>
    <s v="EISON SALAS AHUMEDO"/>
    <m/>
    <s v="70-ELECTRODINAMIC JO-AN S.L"/>
    <n v="14"/>
    <n v="143"/>
    <n v="143"/>
    <s v="Confirmada"/>
    <s v="Ok"/>
    <m/>
    <m/>
    <m/>
    <m/>
    <m/>
    <m/>
    <m/>
    <s v=""/>
    <m/>
    <m/>
    <n v="211.74"/>
    <s v=""/>
    <s v=""/>
    <s v=""/>
    <s v=""/>
    <s v=""/>
    <s v=""/>
    <s v=""/>
    <s v=""/>
    <s v=""/>
    <m/>
    <n v="4.08"/>
    <m/>
    <n v="1786.18"/>
    <n v="1786.18"/>
    <m/>
    <s v="BE40 9053 0596 3063"/>
    <m/>
    <m/>
    <m/>
    <x v="1"/>
  </r>
  <r>
    <s v="E0229"/>
    <x v="0"/>
    <s v=""/>
    <s v="KR"/>
    <s v=""/>
    <s v=""/>
    <d v="2025-04-14T00:00:00"/>
    <d v="2026-01-30T00:00:00"/>
    <n v="30"/>
    <s v="FRANCISCO MERCADO"/>
    <s v="FRANCISCO JAVIER MERCADO MELENDEZ"/>
    <m/>
    <s v="70-ELECTRODINAMIC JO-AN S.L"/>
    <n v="14"/>
    <n v="144"/>
    <n v="144"/>
    <s v="Confirmada"/>
    <s v="Ok"/>
    <m/>
    <m/>
    <m/>
    <m/>
    <m/>
    <m/>
    <m/>
    <s v=""/>
    <m/>
    <m/>
    <n v="211.74"/>
    <s v=""/>
    <s v=""/>
    <s v=""/>
    <s v=""/>
    <s v=""/>
    <s v=""/>
    <s v=""/>
    <s v=""/>
    <s v=""/>
    <m/>
    <n v="4.08"/>
    <m/>
    <n v="1800.18"/>
    <n v="1800.18"/>
    <m/>
    <s v="BE45 9052 1257 4089"/>
    <m/>
    <m/>
    <m/>
    <x v="1"/>
  </r>
  <r>
    <s v="E0230"/>
    <x v="0"/>
    <s v=""/>
    <s v="KR"/>
    <s v=""/>
    <s v=""/>
    <d v="2025-04-15T00:00:00"/>
    <d v="2026-01-30T00:00:00"/>
    <n v="30"/>
    <s v="YEFERSON ZULUAGA"/>
    <s v="YEFFERSON ZULUAGA BUITRAGO"/>
    <m/>
    <s v="70-ELECTRODINAMIC JO-AN S.L"/>
    <n v="14"/>
    <n v="144"/>
    <n v="144"/>
    <s v="Confirmada"/>
    <s v="Ok"/>
    <m/>
    <m/>
    <m/>
    <m/>
    <m/>
    <m/>
    <m/>
    <s v=""/>
    <m/>
    <m/>
    <n v="211.74"/>
    <s v=""/>
    <s v=""/>
    <s v=""/>
    <s v=""/>
    <s v=""/>
    <s v=""/>
    <s v=""/>
    <s v=""/>
    <s v=""/>
    <m/>
    <n v="4.08"/>
    <m/>
    <n v="1800.18"/>
    <n v="1800.18"/>
    <m/>
    <s v="BE39 9052 8855 6819"/>
    <m/>
    <m/>
    <m/>
    <x v="1"/>
  </r>
  <r>
    <s v="E0349"/>
    <x v="0"/>
    <s v=""/>
    <s v="KR"/>
    <s v=""/>
    <s v=""/>
    <d v="2025-07-24T00:00:00"/>
    <s v=""/>
    <n v="31"/>
    <s v="NICOLÁS MACÍAS MEJIA"/>
    <s v="NICOLAS RAUL MACIAS MEJIA"/>
    <m/>
    <s v="86-GRUPO SOLDATEC S.L"/>
    <n v="15"/>
    <n v="80"/>
    <n v="80"/>
    <s v="Confirmada"/>
    <s v="Ok"/>
    <m/>
    <m/>
    <m/>
    <m/>
    <m/>
    <m/>
    <m/>
    <s v=""/>
    <m/>
    <m/>
    <n v="218.798"/>
    <s v=""/>
    <n v="50"/>
    <s v=""/>
    <s v=""/>
    <s v=""/>
    <s v=""/>
    <s v=""/>
    <s v=""/>
    <s v=""/>
    <m/>
    <n v="4.08"/>
    <m/>
    <n v="927.12199999999996"/>
    <n v="927.12199999999996"/>
    <m/>
    <s v="BE38 9051 1220 6472"/>
    <m/>
    <m/>
    <m/>
    <x v="1"/>
  </r>
  <r>
    <s v="E0315"/>
    <x v="0"/>
    <s v=""/>
    <s v="KR"/>
    <s v=""/>
    <s v=""/>
    <d v="2025-04-15T00:00:00"/>
    <d v="2026-01-30T00:00:00"/>
    <n v="30"/>
    <s v="SERGIO ANDRADE CASTRILLON"/>
    <s v="SERGIO ALONSO ANDRADE CASTRILLON"/>
    <m/>
    <s v="97-INDUSTRIAS BALMES"/>
    <n v="15"/>
    <n v="148"/>
    <n v="148"/>
    <s v="Confirmada"/>
    <s v="Ok"/>
    <m/>
    <m/>
    <m/>
    <m/>
    <m/>
    <m/>
    <m/>
    <s v=""/>
    <m/>
    <m/>
    <n v="211.74"/>
    <s v=""/>
    <s v=""/>
    <s v=""/>
    <s v=""/>
    <s v=""/>
    <s v=""/>
    <s v=""/>
    <s v=""/>
    <s v=""/>
    <m/>
    <n v="4.08"/>
    <m/>
    <n v="2004.18"/>
    <n v="2004.18"/>
    <m/>
    <s v="ES64 0182 6194 7502 0162 1129"/>
    <m/>
    <m/>
    <m/>
    <x v="1"/>
  </r>
  <r>
    <s v="E1435"/>
    <x v="1"/>
    <s v=""/>
    <s v=""/>
    <s v=""/>
    <s v=""/>
    <s v=""/>
    <s v=""/>
    <n v="0"/>
    <s v="JAVIER BALDOVINO"/>
    <s v="JAVIER FRANCISCO BALDOVINO ORTEGA"/>
    <m/>
    <s v="111-IQUORD"/>
    <n v="15"/>
    <n v="136"/>
    <n v="136"/>
    <s v="Pendente"/>
    <s v="Ok"/>
    <m/>
    <m/>
    <m/>
    <m/>
    <m/>
    <m/>
    <m/>
    <s v=""/>
    <m/>
    <m/>
    <n v="0"/>
    <s v=""/>
    <s v=""/>
    <s v=""/>
    <s v=""/>
    <s v=""/>
    <s v=""/>
    <s v=""/>
    <s v=""/>
    <s v=""/>
    <m/>
    <n v="4.08"/>
    <m/>
    <n v="2035.92"/>
    <n v="2035.92"/>
    <m/>
    <s v="ES19 0182 0606 8202 0179 2647"/>
    <m/>
    <m/>
    <m/>
    <x v="1"/>
  </r>
  <r>
    <s v="E0393"/>
    <x v="1"/>
    <s v=""/>
    <s v=""/>
    <s v=""/>
    <s v=""/>
    <s v=""/>
    <s v=""/>
    <n v="0"/>
    <s v="VICTOR BLANCO BRAVO"/>
    <s v="VICTOR BLANCO BRAVO"/>
    <m/>
    <s v="111-IQUORD"/>
    <n v="15"/>
    <n v="135"/>
    <n v="135"/>
    <s v="Pendente"/>
    <s v="Ok"/>
    <m/>
    <m/>
    <m/>
    <m/>
    <m/>
    <m/>
    <m/>
    <n v="300"/>
    <m/>
    <m/>
    <n v="0"/>
    <s v=""/>
    <s v=""/>
    <s v=""/>
    <s v=""/>
    <s v=""/>
    <s v=""/>
    <s v=""/>
    <s v=""/>
    <s v=""/>
    <m/>
    <n v="4.08"/>
    <m/>
    <n v="2320.92"/>
    <n v="2320.92"/>
    <m/>
    <s v="ES29 0182 0606 8802 0178 3540 "/>
    <m/>
    <m/>
    <m/>
    <x v="1"/>
  </r>
  <r>
    <s v="E1701"/>
    <x v="1"/>
    <s v=""/>
    <s v=""/>
    <s v=""/>
    <s v=""/>
    <s v=""/>
    <s v=""/>
    <n v="0"/>
    <s v="JAIRO MUÑOZ"/>
    <s v="JAIRO ALFONSO MUNOZ VALLE"/>
    <m/>
    <s v="136-METALLIC SOLUTIONS"/>
    <n v="15"/>
    <n v="148"/>
    <n v="148"/>
    <s v="Pendente"/>
    <s v="Ok"/>
    <m/>
    <m/>
    <m/>
    <m/>
    <m/>
    <m/>
    <m/>
    <s v=""/>
    <m/>
    <m/>
    <n v="0"/>
    <s v=""/>
    <s v=""/>
    <n v="0"/>
    <n v="0"/>
    <n v="0"/>
    <n v="0"/>
    <n v="0"/>
    <n v="21.74"/>
    <s v=""/>
    <m/>
    <n v="4.08"/>
    <m/>
    <n v="2194.1800000000003"/>
    <n v="2194.1800000000003"/>
    <m/>
    <s v="ES45 6893 0001 7900 0031 5309"/>
    <m/>
    <m/>
    <m/>
    <x v="1"/>
  </r>
  <r>
    <s v="E1547"/>
    <x v="1"/>
    <s v=""/>
    <s v=""/>
    <s v=""/>
    <s v=""/>
    <s v=""/>
    <s v=""/>
    <n v="0"/>
    <s v="JULIO CESAR MANJARRES"/>
    <s v="JULIO CESAR MANJARRES"/>
    <m/>
    <s v="136-METALLIC SOLUTIONS"/>
    <n v="15"/>
    <n v="170"/>
    <n v="170"/>
    <s v="Pendente"/>
    <s v="Ok"/>
    <m/>
    <m/>
    <m/>
    <m/>
    <m/>
    <m/>
    <m/>
    <s v=""/>
    <m/>
    <m/>
    <n v="0"/>
    <s v=""/>
    <n v="140"/>
    <n v="0"/>
    <n v="0"/>
    <n v="0"/>
    <n v="0"/>
    <n v="0"/>
    <n v="21.74"/>
    <s v=""/>
    <m/>
    <n v="4.08"/>
    <m/>
    <n v="2384.1800000000003"/>
    <n v="2384.1800000000003"/>
    <m/>
    <s v="BE14 9056 0085 4783"/>
    <m/>
    <m/>
    <m/>
    <x v="1"/>
  </r>
  <r>
    <s v="E0446"/>
    <x v="1"/>
    <s v=""/>
    <s v=""/>
    <s v=""/>
    <s v=""/>
    <s v=""/>
    <s v=""/>
    <n v="0"/>
    <s v="SERGIO CORDOBA T"/>
    <s v="SERGIO DAVID CORDOBA TUTA"/>
    <m/>
    <s v="136-METALLIC SOLUTIONS"/>
    <n v="15"/>
    <n v="161"/>
    <n v="161"/>
    <s v="Pendente"/>
    <s v="Ok"/>
    <m/>
    <m/>
    <m/>
    <m/>
    <m/>
    <m/>
    <m/>
    <n v="300"/>
    <m/>
    <m/>
    <n v="0"/>
    <s v=""/>
    <n v="140"/>
    <s v=""/>
    <s v=""/>
    <s v=""/>
    <s v=""/>
    <s v=""/>
    <s v=""/>
    <s v=""/>
    <m/>
    <n v="4.08"/>
    <m/>
    <n v="2570.92"/>
    <n v="2570.92"/>
    <m/>
    <s v="ES67 6893 0001 7300 0028 5622"/>
    <m/>
    <m/>
    <m/>
    <x v="1"/>
  </r>
  <r>
    <s v="E0491"/>
    <x v="1"/>
    <s v=""/>
    <s v=""/>
    <s v=""/>
    <s v=""/>
    <s v=""/>
    <s v=""/>
    <n v="0"/>
    <s v="CARLOS MARIO JARAMILLO LOPEZ"/>
    <s v="CARLOS MARIO JARAMILLO LOPEZ"/>
    <m/>
    <s v="158-PMA ESTRUCTURAS"/>
    <n v="15"/>
    <n v="151.5"/>
    <n v="151.5"/>
    <s v="Pendente"/>
    <s v="Ok"/>
    <m/>
    <m/>
    <m/>
    <m/>
    <m/>
    <m/>
    <m/>
    <n v="300"/>
    <m/>
    <m/>
    <n v="0"/>
    <s v=""/>
    <s v=""/>
    <s v=""/>
    <s v=""/>
    <s v=""/>
    <s v=""/>
    <s v=""/>
    <s v=""/>
    <s v=""/>
    <m/>
    <n v="4.08"/>
    <m/>
    <n v="2568.42"/>
    <n v="2568.42"/>
    <m/>
    <s v="ES25 0182 0838 6502 0157 5647"/>
    <m/>
    <m/>
    <m/>
    <x v="1"/>
  </r>
  <r>
    <s v="E0492"/>
    <x v="1"/>
    <s v=""/>
    <s v=""/>
    <s v=""/>
    <s v=""/>
    <s v=""/>
    <s v=""/>
    <n v="0"/>
    <s v="JHON FREDY CASTRO JIMENEZ"/>
    <s v="JOHN FREDY CASTRO JIMENEZ"/>
    <m/>
    <s v="158-PMA ESTRUCTURAS"/>
    <n v="15"/>
    <n v="114"/>
    <n v="114"/>
    <s v="Pendente"/>
    <s v="Ok"/>
    <m/>
    <m/>
    <m/>
    <m/>
    <m/>
    <m/>
    <m/>
    <n v="300"/>
    <m/>
    <m/>
    <n v="0"/>
    <s v=""/>
    <s v=""/>
    <s v=""/>
    <s v=""/>
    <s v=""/>
    <s v=""/>
    <s v=""/>
    <s v=""/>
    <s v=""/>
    <m/>
    <n v="4.08"/>
    <m/>
    <n v="2005.92"/>
    <n v="2005.92"/>
    <m/>
    <s v="BE25 9052 7289 7682"/>
    <m/>
    <m/>
    <m/>
    <x v="1"/>
  </r>
  <r>
    <s v="E0593"/>
    <x v="1"/>
    <s v=""/>
    <s v=""/>
    <s v=""/>
    <s v=""/>
    <s v=""/>
    <s v=""/>
    <n v="0"/>
    <s v="ALEXANDRICO CARDONA RAMIREZ"/>
    <s v="ALEX MAURICIO CARDONA RAMIREZ"/>
    <m/>
    <s v="205-TOKIO METAL SL"/>
    <n v="15"/>
    <n v="150"/>
    <n v="150"/>
    <s v="Confirmada"/>
    <s v="Ok"/>
    <m/>
    <m/>
    <m/>
    <m/>
    <m/>
    <m/>
    <m/>
    <s v=""/>
    <m/>
    <m/>
    <n v="0"/>
    <s v=""/>
    <s v=""/>
    <s v=""/>
    <s v=""/>
    <s v=""/>
    <s v=""/>
    <s v=""/>
    <s v=""/>
    <s v=""/>
    <m/>
    <n v="4.08"/>
    <m/>
    <n v="2245.92"/>
    <n v="2245.92"/>
    <m/>
    <s v="ES86 0182 8181 1602 0234 6058"/>
    <m/>
    <m/>
    <m/>
    <x v="1"/>
  </r>
  <r>
    <s v="E1407"/>
    <x v="1"/>
    <s v=""/>
    <s v=""/>
    <s v=""/>
    <s v=""/>
    <s v=""/>
    <s v=""/>
    <n v="0"/>
    <s v="CARLOS MANTILLA"/>
    <s v="CARLOS ANDRES MANTILLA URREGO"/>
    <m/>
    <s v="218-INAGAL SOLDADURA SL"/>
    <n v="15"/>
    <n v="132.28"/>
    <n v="132.28"/>
    <s v="Pendente"/>
    <s v="Ok"/>
    <m/>
    <m/>
    <m/>
    <m/>
    <m/>
    <m/>
    <m/>
    <s v=""/>
    <m/>
    <m/>
    <n v="0"/>
    <s v=""/>
    <s v=""/>
    <s v=""/>
    <s v=""/>
    <s v=""/>
    <s v=""/>
    <s v=""/>
    <s v=""/>
    <s v=""/>
    <m/>
    <n v="4.08"/>
    <m/>
    <n v="1980.1200000000001"/>
    <n v="1980.1200000000001"/>
    <m/>
    <s v="ES35 0182 8151 8802 0193 7742"/>
    <m/>
    <m/>
    <m/>
    <x v="1"/>
  </r>
  <r>
    <s v="E1423"/>
    <x v="1"/>
    <s v=""/>
    <s v=""/>
    <s v=""/>
    <s v=""/>
    <s v=""/>
    <s v=""/>
    <n v="0"/>
    <s v="LENNIN JESUS CANON C."/>
    <s v="LENNIN JESUS CANON CARDENAS"/>
    <m/>
    <s v="218-INAGAL SOLDADURA SL"/>
    <n v="15"/>
    <n v="124.44999999999999"/>
    <n v="124.45"/>
    <s v="Pendente"/>
    <s v="Ok"/>
    <m/>
    <m/>
    <m/>
    <m/>
    <m/>
    <m/>
    <m/>
    <s v=""/>
    <m/>
    <m/>
    <n v="0"/>
    <s v=""/>
    <s v=""/>
    <s v=""/>
    <s v=""/>
    <s v=""/>
    <s v=""/>
    <s v=""/>
    <s v=""/>
    <s v=""/>
    <m/>
    <n v="4.08"/>
    <m/>
    <n v="1862.6699999999998"/>
    <n v="1862.67"/>
    <m/>
    <s v=" ES86 0182 5003 1302 0162 6382"/>
    <m/>
    <m/>
    <m/>
    <x v="1"/>
  </r>
  <r>
    <s v="E1424"/>
    <x v="1"/>
    <s v=""/>
    <s v=""/>
    <s v=""/>
    <s v=""/>
    <s v=""/>
    <s v=""/>
    <n v="0"/>
    <s v="PEDRO DE LA HOZ SALCEDO"/>
    <s v="PEDRO DE JESUS DE LA HOZ SALCEDO"/>
    <m/>
    <s v="218-INAGAL SOLDADURA SL"/>
    <n v="15"/>
    <n v="121.61999999999999"/>
    <n v="121.61999999999999"/>
    <s v="Pendente"/>
    <s v="Ok"/>
    <m/>
    <m/>
    <m/>
    <m/>
    <m/>
    <m/>
    <m/>
    <s v=""/>
    <m/>
    <m/>
    <n v="0"/>
    <s v=""/>
    <s v=""/>
    <s v=""/>
    <s v=""/>
    <s v=""/>
    <s v=""/>
    <s v=""/>
    <s v=""/>
    <s v=""/>
    <m/>
    <n v="4.08"/>
    <m/>
    <n v="1820.22"/>
    <n v="1820.22"/>
    <m/>
    <s v="BE72 9054 5053 6816"/>
    <m/>
    <m/>
    <m/>
    <x v="1"/>
  </r>
  <r>
    <s v="E1436"/>
    <x v="1"/>
    <s v=""/>
    <s v=""/>
    <s v=""/>
    <s v=""/>
    <s v=""/>
    <s v=""/>
    <n v="0"/>
    <s v="RIGOBERTO ROMERO REINA"/>
    <s v="RIGOBERTO ROMERO REINA"/>
    <m/>
    <s v="218-INAGAL SOLDADURA SL"/>
    <n v="15"/>
    <n v="127.20999999999998"/>
    <n v="127.20999999999998"/>
    <s v="Pendente"/>
    <s v="Ok"/>
    <m/>
    <m/>
    <m/>
    <m/>
    <m/>
    <m/>
    <m/>
    <s v=""/>
    <m/>
    <m/>
    <n v="0"/>
    <s v=""/>
    <s v=""/>
    <s v=""/>
    <s v=""/>
    <s v=""/>
    <s v=""/>
    <s v=""/>
    <s v=""/>
    <s v=""/>
    <m/>
    <n v="4.08"/>
    <m/>
    <n v="1904.0699999999997"/>
    <n v="1904.0699999999997"/>
    <m/>
    <s v="ES14 0182 6194 7002 0162 3729"/>
    <m/>
    <m/>
    <m/>
    <x v="1"/>
  </r>
  <r>
    <s v="E1287"/>
    <x v="1"/>
    <s v=""/>
    <s v=""/>
    <s v=""/>
    <s v=""/>
    <s v=""/>
    <s v=""/>
    <n v="0"/>
    <s v="ACEVEDO GUZMÁN ORLANDO"/>
    <s v="ORLANDO JANNCARLO ACEVEDO GUZMAN"/>
    <m/>
    <s v="224-BEKOTER INSTALACIONES INDUSTRIALES SL"/>
    <n v="15"/>
    <n v="238"/>
    <n v="238"/>
    <s v="Confirmada"/>
    <s v="Ok"/>
    <m/>
    <m/>
    <m/>
    <m/>
    <m/>
    <m/>
    <m/>
    <s v=""/>
    <m/>
    <m/>
    <n v="0"/>
    <s v=""/>
    <s v=""/>
    <s v=""/>
    <s v=""/>
    <s v=""/>
    <s v=""/>
    <s v=""/>
    <s v=""/>
    <s v=""/>
    <m/>
    <n v="4.08"/>
    <m/>
    <n v="3565.92"/>
    <n v="3565.92"/>
    <m/>
    <s v="ES17 0049 6980 2722 1007 4594"/>
    <m/>
    <m/>
    <m/>
    <x v="1"/>
  </r>
  <r>
    <s v="E0045"/>
    <x v="1"/>
    <s v=""/>
    <s v=""/>
    <s v=""/>
    <s v=""/>
    <s v=""/>
    <s v=""/>
    <n v="0"/>
    <s v="VICTOR TUANAMA GARCIA"/>
    <s v="VICTOR RAMON TUANAMA GARCIA"/>
    <m/>
    <s v="224-BEKOTER INSTALACIONES INDUSTRIALES SL"/>
    <n v="15"/>
    <n v="238"/>
    <n v="238"/>
    <s v="Confirmada"/>
    <s v="Ok"/>
    <m/>
    <m/>
    <m/>
    <m/>
    <m/>
    <m/>
    <m/>
    <s v=""/>
    <m/>
    <m/>
    <n v="0"/>
    <s v=""/>
    <s v=""/>
    <s v=""/>
    <s v=""/>
    <s v=""/>
    <s v=""/>
    <s v=""/>
    <s v=""/>
    <s v=""/>
    <m/>
    <n v="4.08"/>
    <m/>
    <n v="3565.92"/>
    <n v="3565.92"/>
    <m/>
    <s v="ES91 0049 1256 3521 1030 0369"/>
    <m/>
    <m/>
    <m/>
    <x v="1"/>
  </r>
  <r>
    <s v="E0106"/>
    <x v="1"/>
    <s v=""/>
    <s v=""/>
    <s v=""/>
    <s v=""/>
    <s v=""/>
    <s v=""/>
    <n v="0"/>
    <s v="EDU PANDURO"/>
    <s v="EDU PANDURO RUIZ"/>
    <m/>
    <s v="25-BIANNA RECYCLING"/>
    <n v="13"/>
    <n v="172.5"/>
    <n v="172.5"/>
    <s v="Confirmada"/>
    <s v="Ok"/>
    <m/>
    <m/>
    <m/>
    <m/>
    <m/>
    <m/>
    <m/>
    <s v=""/>
    <m/>
    <m/>
    <n v="0"/>
    <s v=""/>
    <n v="89.523809523809518"/>
    <s v=""/>
    <s v=""/>
    <s v=""/>
    <s v=""/>
    <s v=""/>
    <s v=""/>
    <s v=""/>
    <m/>
    <n v="4.08"/>
    <m/>
    <n v="2148.8961904761904"/>
    <n v="2148.8961904761904"/>
    <m/>
    <s v="BE90 9053 5093 8832"/>
    <m/>
    <m/>
    <m/>
    <x v="1"/>
  </r>
  <r>
    <s v="E0107"/>
    <x v="1"/>
    <s v=""/>
    <s v=""/>
    <s v=""/>
    <s v=""/>
    <s v=""/>
    <s v=""/>
    <n v="0"/>
    <s v="EDUARDO JOSÉ RUSSO LINERO"/>
    <s v="EDUARDO JOSE RUSSO LINERO"/>
    <m/>
    <s v="25-BIANNA RECYCLING"/>
    <n v="12"/>
    <n v="173"/>
    <n v="173"/>
    <s v="Confirmada"/>
    <s v="Ok"/>
    <m/>
    <m/>
    <m/>
    <m/>
    <m/>
    <m/>
    <m/>
    <s v=""/>
    <m/>
    <m/>
    <n v="0"/>
    <s v=""/>
    <n v="89.523809523809518"/>
    <s v=""/>
    <s v=""/>
    <s v=""/>
    <s v=""/>
    <s v=""/>
    <s v=""/>
    <s v=""/>
    <m/>
    <n v="4.08"/>
    <m/>
    <n v="1982.3961904761904"/>
    <n v="1982.3961904761904"/>
    <m/>
    <s v="BE28 9052 3933 9120"/>
    <m/>
    <m/>
    <m/>
    <x v="1"/>
  </r>
  <r>
    <s v="E0108"/>
    <x v="1"/>
    <s v=""/>
    <s v=""/>
    <s v=""/>
    <s v=""/>
    <s v=""/>
    <s v=""/>
    <n v="0"/>
    <s v="JHON FREDY PEREZ"/>
    <s v="JOHN FREDDY PEREZ RUIZ"/>
    <m/>
    <s v="25-BIANNA RECYCLING"/>
    <n v="13"/>
    <n v="164"/>
    <n v="164"/>
    <s v="Confirmada"/>
    <s v="Ok"/>
    <m/>
    <m/>
    <m/>
    <m/>
    <m/>
    <m/>
    <m/>
    <s v=""/>
    <m/>
    <m/>
    <n v="0"/>
    <s v=""/>
    <n v="42.857142857142854"/>
    <s v=""/>
    <s v=""/>
    <s v=""/>
    <s v=""/>
    <s v=""/>
    <s v=""/>
    <s v=""/>
    <m/>
    <n v="4.08"/>
    <m/>
    <n v="2085.0628571428574"/>
    <n v="2085.0628571428574"/>
    <m/>
    <s v="BE69 9053 4725 7478"/>
    <m/>
    <m/>
    <m/>
    <x v="1"/>
  </r>
  <r>
    <s v="E1543"/>
    <x v="1"/>
    <s v=""/>
    <s v=""/>
    <s v=""/>
    <s v=""/>
    <s v=""/>
    <s v=""/>
    <n v="0"/>
    <s v="JUAN VILLANUEVA DE LA HOZ"/>
    <s v="JUAN CARLOS VILLANUEVA DE LA HOZ"/>
    <m/>
    <s v="25-BIANNA RECYCLING"/>
    <n v="15"/>
    <n v="170"/>
    <n v="170"/>
    <s v="Confirmada"/>
    <s v="Ok"/>
    <m/>
    <m/>
    <m/>
    <m/>
    <m/>
    <m/>
    <m/>
    <s v=""/>
    <m/>
    <m/>
    <n v="0"/>
    <s v=""/>
    <n v="89.523809523809518"/>
    <s v=""/>
    <s v=""/>
    <s v=""/>
    <s v=""/>
    <s v=""/>
    <s v=""/>
    <s v=""/>
    <m/>
    <n v="4.08"/>
    <m/>
    <n v="2456.3961904761904"/>
    <n v="2456.3961904761904"/>
    <m/>
    <s v="BE68 9054 3699 7434"/>
    <m/>
    <m/>
    <m/>
    <x v="1"/>
  </r>
  <r>
    <s v="E0235"/>
    <x v="1"/>
    <s v=""/>
    <s v=""/>
    <s v=""/>
    <s v=""/>
    <s v=""/>
    <s v=""/>
    <n v="0"/>
    <s v="FABIAN ROA"/>
    <s v="FABIAN LLERAR ROA MATEUS"/>
    <m/>
    <s v="70-ELECTRODINAMIC JO-AN S.L"/>
    <n v="14"/>
    <n v="144"/>
    <n v="144"/>
    <s v="Confirmada"/>
    <s v="Ok"/>
    <m/>
    <m/>
    <m/>
    <m/>
    <m/>
    <m/>
    <m/>
    <s v=""/>
    <m/>
    <m/>
    <n v="0"/>
    <s v=""/>
    <s v=""/>
    <s v=""/>
    <s v=""/>
    <s v=""/>
    <s v=""/>
    <s v=""/>
    <s v=""/>
    <s v=""/>
    <m/>
    <n v="4.08"/>
    <m/>
    <n v="2011.92"/>
    <n v="2011.92"/>
    <m/>
    <s v="ES56 1576 1212 1110 1044 6399"/>
    <m/>
    <m/>
    <m/>
    <x v="1"/>
  </r>
  <r>
    <s v="E1440"/>
    <x v="1"/>
    <s v=""/>
    <s v=""/>
    <s v=""/>
    <s v=""/>
    <s v=""/>
    <s v=""/>
    <n v="0"/>
    <s v="MARIO SUAREZ"/>
    <s v="MARIO ANDRES SUAREZ ACOSTA"/>
    <m/>
    <s v="70-ELECTRODINAMIC JO-AN S.L"/>
    <n v="14"/>
    <n v="135"/>
    <n v="135"/>
    <s v="Confirmada"/>
    <s v="Ok"/>
    <m/>
    <m/>
    <m/>
    <m/>
    <m/>
    <m/>
    <m/>
    <s v=""/>
    <m/>
    <m/>
    <n v="0"/>
    <s v=""/>
    <s v=""/>
    <s v=""/>
    <s v=""/>
    <s v=""/>
    <s v=""/>
    <s v=""/>
    <s v=""/>
    <s v=""/>
    <m/>
    <n v="4.08"/>
    <m/>
    <n v="1885.92"/>
    <n v="1885.92"/>
    <m/>
    <s v="BE79 9056 8891 6033"/>
    <m/>
    <m/>
    <m/>
    <x v="1"/>
  </r>
  <r>
    <s v="E1442"/>
    <x v="1"/>
    <s v=""/>
    <s v=""/>
    <s v=""/>
    <s v=""/>
    <s v=""/>
    <s v=""/>
    <n v="0"/>
    <s v="NEIRON CARCAMO"/>
    <s v="NEIRON ENRIQUE CARCAMO REALES"/>
    <m/>
    <s v="70-ELECTRODINAMIC JO-AN S.L"/>
    <n v="14"/>
    <n v="144"/>
    <n v="144"/>
    <s v="Confirmada"/>
    <s v="Ok"/>
    <m/>
    <m/>
    <m/>
    <m/>
    <m/>
    <m/>
    <m/>
    <s v=""/>
    <m/>
    <m/>
    <n v="0"/>
    <s v=""/>
    <s v=""/>
    <s v=""/>
    <s v=""/>
    <s v=""/>
    <s v=""/>
    <s v=""/>
    <s v=""/>
    <s v=""/>
    <m/>
    <n v="4.08"/>
    <m/>
    <n v="2011.92"/>
    <n v="2011.92"/>
    <m/>
    <s v="ES10 6893 0001 7400 0029 2904 "/>
    <m/>
    <m/>
    <m/>
    <x v="1"/>
  </r>
  <r>
    <s v="E0234"/>
    <x v="1"/>
    <s v=""/>
    <s v=""/>
    <s v=""/>
    <s v=""/>
    <s v=""/>
    <s v=""/>
    <n v="0"/>
    <s v="WILMAN DE AVILA"/>
    <s v="WILMAN DE AVILA MARRIAGA"/>
    <m/>
    <s v="70-ELECTRODINAMIC JO-AN S.L"/>
    <n v="14"/>
    <n v="143"/>
    <n v="143"/>
    <s v="Confirmada"/>
    <s v="Ok"/>
    <m/>
    <m/>
    <m/>
    <m/>
    <m/>
    <m/>
    <m/>
    <s v=""/>
    <m/>
    <m/>
    <n v="0"/>
    <s v=""/>
    <s v=""/>
    <s v=""/>
    <s v=""/>
    <s v=""/>
    <s v=""/>
    <s v=""/>
    <s v=""/>
    <s v=""/>
    <m/>
    <n v="4.08"/>
    <m/>
    <n v="1997.92"/>
    <n v="1997.92"/>
    <m/>
    <s v="ES27 6893 0001 7700 0027 9744"/>
    <m/>
    <m/>
    <m/>
    <x v="1"/>
  </r>
  <r>
    <s v="E0645"/>
    <x v="1"/>
    <s v=""/>
    <s v=""/>
    <s v=""/>
    <s v=""/>
    <s v=""/>
    <s v=""/>
    <n v="0"/>
    <s v="HECTOR JAIME ROA"/>
    <s v="HECTOR JAIME ROA CONTRERAS"/>
    <m/>
    <s v="86-GRUPO SOLDATEC S.L"/>
    <n v="15"/>
    <n v="147.5"/>
    <n v="147.5"/>
    <s v="Confirmada"/>
    <s v="Ok"/>
    <m/>
    <m/>
    <m/>
    <m/>
    <m/>
    <m/>
    <m/>
    <s v=""/>
    <m/>
    <m/>
    <n v="0"/>
    <s v=""/>
    <s v=""/>
    <s v=""/>
    <s v=""/>
    <s v=""/>
    <s v=""/>
    <s v=""/>
    <s v=""/>
    <s v=""/>
    <m/>
    <n v="4.08"/>
    <m/>
    <n v="2208.42"/>
    <n v="2208.42"/>
    <m/>
    <s v="ES53 0182 7611 5602 0168 0903"/>
    <m/>
    <m/>
    <m/>
    <x v="1"/>
  </r>
  <r>
    <s v="E0058"/>
    <x v="1"/>
    <s v=""/>
    <s v=""/>
    <s v=""/>
    <s v=""/>
    <s v=""/>
    <s v=""/>
    <n v="0"/>
    <s v="HENRRY CASTRO COLLACHAGUAA"/>
    <s v="HENRRY CASTRO COLLACHAGUA"/>
    <m/>
    <s v="9-ALUMINIO YACHT COSTA S.L"/>
    <n v="15"/>
    <n v="145"/>
    <n v="145"/>
    <s v="Pendente"/>
    <s v="Ok"/>
    <m/>
    <m/>
    <m/>
    <m/>
    <m/>
    <m/>
    <m/>
    <n v="300"/>
    <m/>
    <m/>
    <n v="0"/>
    <s v=""/>
    <s v=""/>
    <s v=""/>
    <s v=""/>
    <s v=""/>
    <s v=""/>
    <s v=""/>
    <s v=""/>
    <s v=""/>
    <m/>
    <n v="4.08"/>
    <m/>
    <n v="2470.92"/>
    <n v="2470.92"/>
    <m/>
    <s v="ES58 6893 0001 7100 0027 8025"/>
    <m/>
    <m/>
    <m/>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
  <r>
    <s v="E0406"/>
    <x v="0"/>
    <s v=""/>
    <s v=""/>
    <s v=""/>
    <s v=""/>
    <s v=""/>
    <s v=""/>
    <n v="0"/>
    <s v="ALAN GERSON RAMIREZ ACARO"/>
    <s v="ALAN GERSON RAMIREZ ACARO"/>
    <m/>
    <s v="119-LASAFE SLU"/>
    <n v="15"/>
    <n v="157"/>
    <n v="157"/>
    <s v="Confirmada"/>
    <m/>
    <m/>
    <m/>
    <m/>
    <m/>
    <m/>
    <m/>
    <m/>
    <s v=""/>
    <m/>
    <m/>
    <n v="0"/>
    <s v=""/>
    <n v="106.66666666666667"/>
    <s v=""/>
    <s v=""/>
    <s v=""/>
    <s v=""/>
    <s v=""/>
    <s v=""/>
    <s v=""/>
    <m/>
    <n v="4.08"/>
    <m/>
    <n v="2244.2533333333336"/>
    <n v="2244.2533333333336"/>
    <m/>
    <s v="ES21 1576 1212 1910 1041 2202"/>
    <m/>
    <m/>
    <m/>
    <s v="Pendente"/>
  </r>
  <r>
    <s v="E1813"/>
    <x v="0"/>
    <s v=""/>
    <s v=""/>
    <s v=""/>
    <s v=""/>
    <s v=""/>
    <s v=""/>
    <n v="0"/>
    <s v="LEONARDO RIOS CORREA"/>
    <s v="LEONARDO JAVIER RIOS CORREA"/>
    <m/>
    <s v="119-LASAFE SLU"/>
    <n v="15"/>
    <n v="164"/>
    <n v="164"/>
    <s v="Confirmada"/>
    <m/>
    <m/>
    <m/>
    <m/>
    <m/>
    <m/>
    <m/>
    <m/>
    <s v=""/>
    <m/>
    <m/>
    <n v="0"/>
    <s v=""/>
    <n v="106.66666666666667"/>
    <s v=""/>
    <s v=""/>
    <s v=""/>
    <s v=""/>
    <s v=""/>
    <s v=""/>
    <s v=""/>
    <m/>
    <n v="4.08"/>
    <m/>
    <n v="2349.2533333333336"/>
    <n v="2349.2533333333336"/>
    <m/>
    <s v="ES15 0182 4023 4102 0161 5439"/>
    <m/>
    <m/>
    <m/>
    <s v="Pendente"/>
  </r>
  <r>
    <s v="E0405"/>
    <x v="1"/>
    <s v=""/>
    <s v=""/>
    <s v=""/>
    <s v="LM"/>
    <d v="2025-11-26T00:00:00"/>
    <s v=""/>
    <n v="31"/>
    <s v="YULDOR MAURICIO BOLAÑOS"/>
    <s v="YULDOR MAURICIO BOLAÑOS"/>
    <m/>
    <s v="119-LASAFE SLU"/>
    <n v="15"/>
    <n v="157"/>
    <n v="157"/>
    <s v="Confirmada"/>
    <m/>
    <m/>
    <m/>
    <m/>
    <m/>
    <m/>
    <m/>
    <m/>
    <s v=""/>
    <m/>
    <m/>
    <n v="218.798"/>
    <s v=""/>
    <n v="106.66666666666667"/>
    <s v=""/>
    <s v=""/>
    <s v=""/>
    <s v=""/>
    <s v=""/>
    <s v=""/>
    <s v=""/>
    <m/>
    <n v="4.08"/>
    <m/>
    <n v="2025.4553333333336"/>
    <n v="2025.4553333333336"/>
    <m/>
    <s v="BE95 9053 1577 8958"/>
    <m/>
    <m/>
    <m/>
    <s v="Pendente"/>
  </r>
  <r>
    <s v="E1673"/>
    <x v="0"/>
    <s v=""/>
    <s v=""/>
    <s v=""/>
    <s v=""/>
    <s v=""/>
    <s v=""/>
    <n v="0"/>
    <s v="CRISTIAN CAMILO CABALLERO CORREDOR"/>
    <s v="CRISTIAN CAMILO CABALLERO CORREDOR"/>
    <m/>
    <s v="130-MEN MONTAJES INDUSTRIALES"/>
    <n v="15"/>
    <n v="188.39999999999992"/>
    <n v="188.4"/>
    <s v="Confirmada"/>
    <m/>
    <m/>
    <m/>
    <m/>
    <m/>
    <m/>
    <m/>
    <m/>
    <s v=""/>
    <m/>
    <m/>
    <n v="0"/>
    <s v=""/>
    <s v=""/>
    <n v="0"/>
    <n v="0"/>
    <n v="0"/>
    <n v="0"/>
    <n v="0"/>
    <n v="21.74"/>
    <s v=""/>
    <m/>
    <n v="4.08"/>
    <m/>
    <n v="2800.1799999999989"/>
    <n v="2800.1800000000003"/>
    <m/>
    <s v="BE64 9055 7587 4152"/>
    <m/>
    <m/>
    <m/>
    <s v="Pendente"/>
  </r>
  <r>
    <s v="E0424"/>
    <x v="1"/>
    <s v=""/>
    <s v="KR"/>
    <s v=""/>
    <s v="LM"/>
    <d v="2026-01-06T00:00:00"/>
    <s v=""/>
    <n v="26"/>
    <s v="ENRI JAIME CALDAS BERMUDES"/>
    <s v="ENRI JAIME CALDAS BERMUDES"/>
    <m/>
    <s v="130-MEN MONTAJES INDUSTRIALES"/>
    <n v="15"/>
    <n v="190.05999999999995"/>
    <n v="190.06"/>
    <s v="Confirmada"/>
    <m/>
    <m/>
    <m/>
    <m/>
    <m/>
    <m/>
    <m/>
    <m/>
    <s v=""/>
    <m/>
    <m/>
    <n v="183.50799999999998"/>
    <s v=""/>
    <s v=""/>
    <s v=""/>
    <s v=""/>
    <s v=""/>
    <s v=""/>
    <s v=""/>
    <s v=""/>
    <s v=""/>
    <m/>
    <n v="4.08"/>
    <m/>
    <n v="2663.3119999999994"/>
    <n v="2663.3120000000004"/>
    <m/>
    <s v="ES57 0182 0845 1502 0220 2821"/>
    <m/>
    <m/>
    <m/>
    <s v="Pendente"/>
  </r>
  <r>
    <s v="E2056"/>
    <x v="0"/>
    <s v=""/>
    <s v=""/>
    <s v=""/>
    <s v=""/>
    <s v=""/>
    <s v=""/>
    <n v="0"/>
    <s v="FABIAN ORLANDO VARGAS RIOS"/>
    <s v="FABIAN ORLANDO VARGAS RIOS"/>
    <m/>
    <s v="130-MEN MONTAJES INDUSTRIALES"/>
    <n v="15"/>
    <n v="184.72999999999993"/>
    <n v="184.73"/>
    <s v="Confirmada"/>
    <m/>
    <m/>
    <m/>
    <m/>
    <m/>
    <m/>
    <m/>
    <m/>
    <s v=""/>
    <m/>
    <m/>
    <n v="0"/>
    <s v=""/>
    <s v=""/>
    <s v=""/>
    <s v=""/>
    <s v=""/>
    <s v=""/>
    <s v=""/>
    <s v=""/>
    <s v=""/>
    <m/>
    <n v="4.08"/>
    <m/>
    <n v="2766.869999999999"/>
    <n v="2766.87"/>
    <m/>
    <s v="BE42 9057 7680 0154"/>
    <m/>
    <m/>
    <m/>
    <s v="Pendente"/>
  </r>
  <r>
    <s v="E0429"/>
    <x v="1"/>
    <s v=""/>
    <s v=""/>
    <s v=""/>
    <s v="LM"/>
    <d v="2025-12-22T00:00:00"/>
    <s v=""/>
    <n v="31"/>
    <s v="FABIO LUJAN"/>
    <s v="FABIO ANDRES LUJAN ARANGO"/>
    <m/>
    <s v="130-MEN MONTAJES INDUSTRIALES"/>
    <n v="15"/>
    <n v="176.55999999999995"/>
    <n v="176.56"/>
    <s v="Confirmada"/>
    <m/>
    <m/>
    <m/>
    <m/>
    <m/>
    <m/>
    <m/>
    <m/>
    <s v=""/>
    <m/>
    <m/>
    <n v="218.798"/>
    <s v=""/>
    <s v=""/>
    <s v=""/>
    <s v=""/>
    <s v=""/>
    <s v=""/>
    <s v=""/>
    <s v=""/>
    <s v=""/>
    <m/>
    <n v="4.08"/>
    <m/>
    <n v="2425.521999999999"/>
    <n v="2425.5219999999999"/>
    <m/>
    <s v="ES79 0182 3212 8702 0157 5468"/>
    <m/>
    <m/>
    <m/>
    <s v="Pendente"/>
  </r>
  <r>
    <s v="E0300"/>
    <x v="0"/>
    <s v=""/>
    <s v=""/>
    <s v=""/>
    <s v=""/>
    <s v=""/>
    <s v=""/>
    <n v="0"/>
    <s v="HERNAN ALEJANDRO TARAZONA"/>
    <s v="HERNAN GERONIMO ALEJANDRO TARAZONA"/>
    <m/>
    <s v="130-MEN MONTAJES INDUSTRIALES"/>
    <n v="15"/>
    <n v="188.39999999999992"/>
    <n v="188.4"/>
    <s v="Confirmada"/>
    <m/>
    <m/>
    <m/>
    <m/>
    <m/>
    <m/>
    <m/>
    <m/>
    <s v=""/>
    <m/>
    <m/>
    <n v="0"/>
    <s v=""/>
    <s v=""/>
    <s v=""/>
    <s v=""/>
    <s v=""/>
    <s v=""/>
    <s v=""/>
    <s v=""/>
    <s v=""/>
    <m/>
    <n v="4.08"/>
    <m/>
    <n v="2821.9199999999987"/>
    <n v="2821.92"/>
    <m/>
    <s v="ES33 0049 3002 5521 1478 5810"/>
    <m/>
    <m/>
    <m/>
    <s v="Pendente"/>
  </r>
  <r>
    <s v="E0426"/>
    <x v="0"/>
    <s v=""/>
    <s v=""/>
    <s v=""/>
    <s v=""/>
    <s v=""/>
    <s v=""/>
    <n v="0"/>
    <s v="JUAN ALBERTO RODRÍGUEZ"/>
    <s v="JUAN ALBERTO RODRIGUEZ"/>
    <m/>
    <s v="130-MEN MONTAJES INDUSTRIALES"/>
    <n v="15"/>
    <n v="178"/>
    <n v="178"/>
    <s v="Confirmada"/>
    <m/>
    <m/>
    <m/>
    <m/>
    <m/>
    <m/>
    <m/>
    <m/>
    <s v=""/>
    <m/>
    <m/>
    <n v="0"/>
    <s v=""/>
    <s v=""/>
    <s v=""/>
    <s v=""/>
    <s v=""/>
    <s v=""/>
    <s v=""/>
    <s v=""/>
    <s v=""/>
    <m/>
    <n v="4.08"/>
    <m/>
    <n v="2665.92"/>
    <n v="2665.92"/>
    <m/>
    <s v="ES84 0182 0845 1302 0220 7574"/>
    <m/>
    <m/>
    <m/>
    <s v="Pendente"/>
  </r>
  <r>
    <s v="E0425"/>
    <x v="1"/>
    <s v=""/>
    <s v=""/>
    <s v=""/>
    <s v="LM"/>
    <d v="2025-12-22T00:00:00"/>
    <s v=""/>
    <n v="31"/>
    <s v="KEVIN FRANKLYN LESCANO REYES"/>
    <s v="KEVIN FRANKLYN LESCANO REYES"/>
    <m/>
    <s v="130-MEN MONTAJES INDUSTRIALES"/>
    <n v="15"/>
    <n v="178.72999999999993"/>
    <n v="178.73"/>
    <s v="Confirmada"/>
    <m/>
    <m/>
    <m/>
    <m/>
    <m/>
    <m/>
    <m/>
    <m/>
    <s v=""/>
    <m/>
    <m/>
    <n v="218.798"/>
    <s v=""/>
    <s v=""/>
    <s v=""/>
    <s v=""/>
    <s v=""/>
    <s v=""/>
    <s v=""/>
    <s v=""/>
    <s v=""/>
    <m/>
    <n v="4.08"/>
    <m/>
    <n v="2458.0719999999992"/>
    <n v="2458.0720000000001"/>
    <m/>
    <s v="ES22 0182 6734 5102 0201 0348"/>
    <m/>
    <m/>
    <m/>
    <s v="Pendente"/>
  </r>
  <r>
    <s v="E0147"/>
    <x v="1"/>
    <s v=""/>
    <s v="KR"/>
    <s v=""/>
    <s v="LM"/>
    <d v="2026-01-06T00:00:00"/>
    <s v=""/>
    <n v="26"/>
    <s v="MAURICIO TORO RAMIREZ"/>
    <s v="MAURICIO TORO RAMIREZ"/>
    <m/>
    <s v="130-MEN MONTAJES INDUSTRIALES"/>
    <n v="15"/>
    <n v="180.72999999999993"/>
    <n v="180.73"/>
    <s v="Confirmada"/>
    <m/>
    <m/>
    <m/>
    <m/>
    <m/>
    <m/>
    <m/>
    <m/>
    <s v=""/>
    <m/>
    <m/>
    <n v="183.50799999999998"/>
    <s v=""/>
    <s v=""/>
    <s v=""/>
    <s v=""/>
    <s v=""/>
    <s v=""/>
    <s v=""/>
    <s v=""/>
    <s v=""/>
    <m/>
    <n v="4.08"/>
    <m/>
    <n v="2523.3619999999992"/>
    <n v="2523.3620000000001"/>
    <m/>
    <s v=" BE05 9050 0921 2175"/>
    <m/>
    <m/>
    <m/>
    <s v="Pendente"/>
  </r>
  <r>
    <s v="E0423"/>
    <x v="1"/>
    <s v=""/>
    <s v="KR"/>
    <s v=""/>
    <s v="LM"/>
    <d v="2026-01-06T00:00:00"/>
    <s v=""/>
    <n v="26"/>
    <s v="NASSER MERCES LUNA"/>
    <s v="NASSER MOHAMAD MERES LUNA"/>
    <m/>
    <s v="130-MEN MONTAJES INDUSTRIALES"/>
    <n v="15"/>
    <n v="190.05999999999995"/>
    <n v="190.06"/>
    <s v="Confirmada"/>
    <m/>
    <m/>
    <m/>
    <m/>
    <m/>
    <m/>
    <m/>
    <m/>
    <s v=""/>
    <m/>
    <m/>
    <n v="183.50799999999998"/>
    <s v=""/>
    <s v=""/>
    <s v=""/>
    <s v=""/>
    <s v=""/>
    <s v=""/>
    <s v=""/>
    <s v=""/>
    <s v=""/>
    <m/>
    <n v="4.08"/>
    <m/>
    <n v="2663.3119999999994"/>
    <n v="2663.3120000000004"/>
    <m/>
    <s v="ES24 2100 2473 9102 1051 2483"/>
    <m/>
    <m/>
    <m/>
    <s v="Pendente"/>
  </r>
  <r>
    <s v="E0062"/>
    <x v="0"/>
    <s v=""/>
    <s v=""/>
    <s v=""/>
    <s v=""/>
    <s v=""/>
    <s v=""/>
    <n v="0"/>
    <s v="AYRTON CUMPA SENADOR"/>
    <s v="AYRTON MAXIMO CUMPA SENADOR"/>
    <m/>
    <s v="13-ARDANORE 14 SL"/>
    <n v="15"/>
    <n v="143.5"/>
    <n v="143.5"/>
    <s v="Confirmada"/>
    <m/>
    <m/>
    <m/>
    <m/>
    <m/>
    <m/>
    <m/>
    <m/>
    <s v=""/>
    <m/>
    <m/>
    <n v="0"/>
    <s v=""/>
    <n v="86.666666666666657"/>
    <n v="250"/>
    <n v="0"/>
    <n v="0"/>
    <n v="0"/>
    <n v="0"/>
    <n v="0"/>
    <s v=""/>
    <m/>
    <n v="4.08"/>
    <m/>
    <n v="1811.7533333333336"/>
    <n v="1811.7533333333336"/>
    <m/>
    <s v="ES70 0182 8191 7102 0204 9338"/>
    <m/>
    <m/>
    <m/>
    <s v="Pendente"/>
  </r>
  <r>
    <s v="E0064"/>
    <x v="0"/>
    <s v=""/>
    <s v=""/>
    <s v=""/>
    <s v=""/>
    <s v=""/>
    <s v=""/>
    <n v="0"/>
    <s v="JAIME MANOLO ALVAREZ TORRES"/>
    <s v="JAIME MANOLO ALVAREZ TORRES"/>
    <m/>
    <s v="13-ARDANORE 14 SL"/>
    <n v="15"/>
    <n v="143"/>
    <n v="143"/>
    <s v="Confirmada"/>
    <m/>
    <m/>
    <m/>
    <m/>
    <m/>
    <m/>
    <m/>
    <m/>
    <n v="300"/>
    <m/>
    <m/>
    <n v="0"/>
    <s v=""/>
    <s v=""/>
    <s v=""/>
    <s v=""/>
    <s v=""/>
    <s v=""/>
    <s v=""/>
    <s v=""/>
    <s v=""/>
    <m/>
    <n v="4.08"/>
    <m/>
    <n v="2440.92"/>
    <n v="2440.92"/>
    <m/>
    <s v="ES92 0182 8191 7102 0204 8748"/>
    <m/>
    <m/>
    <m/>
    <s v="Pendente"/>
  </r>
  <r>
    <s v="E0067"/>
    <x v="0"/>
    <s v=""/>
    <s v=""/>
    <s v=""/>
    <s v=""/>
    <s v=""/>
    <s v=""/>
    <n v="0"/>
    <s v="JAVIER PEREA"/>
    <s v="JAVIER SAUL PEREA CAMARGO"/>
    <m/>
    <s v="13-ARDANORE 14 SL"/>
    <n v="15"/>
    <n v="143.5"/>
    <n v="143.5"/>
    <s v="Confirmada"/>
    <m/>
    <m/>
    <m/>
    <m/>
    <m/>
    <m/>
    <m/>
    <m/>
    <s v=""/>
    <m/>
    <m/>
    <n v="0"/>
    <s v=""/>
    <n v="86.666666666666657"/>
    <n v="50"/>
    <n v="0"/>
    <n v="0"/>
    <n v="0"/>
    <n v="0"/>
    <n v="0"/>
    <s v=""/>
    <m/>
    <n v="4.08"/>
    <m/>
    <n v="2011.7533333333336"/>
    <n v="2011.7533333333336"/>
    <m/>
    <s v="BE39 9054 8485 5719"/>
    <m/>
    <m/>
    <m/>
    <s v="Pendente"/>
  </r>
  <r>
    <s v="E0065"/>
    <x v="0"/>
    <s v=""/>
    <s v=""/>
    <s v=""/>
    <s v=""/>
    <s v=""/>
    <s v=""/>
    <n v="0"/>
    <s v="JESUS A. GONZALES F."/>
    <s v="JESUS ALBERTO GONZALES FERNANDEZ"/>
    <m/>
    <s v="13-ARDANORE 14 SL"/>
    <n v="15"/>
    <n v="143.5"/>
    <n v="143.5"/>
    <s v="Confirmada"/>
    <m/>
    <m/>
    <m/>
    <m/>
    <m/>
    <m/>
    <m/>
    <m/>
    <s v=""/>
    <m/>
    <m/>
    <n v="0"/>
    <s v=""/>
    <n v="86.666666666666657"/>
    <s v=""/>
    <s v=""/>
    <s v=""/>
    <s v=""/>
    <s v=""/>
    <s v=""/>
    <s v=""/>
    <m/>
    <n v="4.08"/>
    <m/>
    <n v="2061.7533333333336"/>
    <n v="2061.7533333333336"/>
    <m/>
    <s v="ES04 0182 8191 7202 0204 8731"/>
    <m/>
    <m/>
    <m/>
    <s v="Pendente"/>
  </r>
  <r>
    <s v="E0066"/>
    <x v="0"/>
    <s v=""/>
    <s v=""/>
    <s v=""/>
    <s v=""/>
    <s v=""/>
    <s v=""/>
    <n v="0"/>
    <s v="LUIS RAMIREZ PINEDO"/>
    <s v="LUIS ALBERTO RAMIREZ PINEDO"/>
    <m/>
    <s v="13-ARDANORE 14 SL"/>
    <n v="15"/>
    <n v="48.25"/>
    <n v="48.25"/>
    <s v="Confirmada"/>
    <m/>
    <m/>
    <m/>
    <m/>
    <m/>
    <m/>
    <m/>
    <m/>
    <s v=""/>
    <m/>
    <m/>
    <n v="0"/>
    <s v=""/>
    <n v="40"/>
    <s v=""/>
    <s v=""/>
    <s v=""/>
    <s v=""/>
    <s v=""/>
    <s v=""/>
    <s v=""/>
    <m/>
    <n v="4.08"/>
    <m/>
    <n v="679.67"/>
    <n v="679.67"/>
    <m/>
    <s v="ES50 0182 8191 7902 0204 8724"/>
    <m/>
    <m/>
    <m/>
    <s v="Pendente"/>
  </r>
  <r>
    <s v="E0061"/>
    <x v="0"/>
    <s v=""/>
    <s v=""/>
    <s v=""/>
    <s v=""/>
    <s v=""/>
    <s v=""/>
    <n v="0"/>
    <s v="SIMION CHILANGANO"/>
    <s v="SIMION LUCIANO CHILINGANO PILLACA"/>
    <m/>
    <s v="13-ARDANORE 14 SL"/>
    <n v="15"/>
    <n v="143.75"/>
    <n v="143.75"/>
    <s v="Confirmada"/>
    <m/>
    <m/>
    <m/>
    <m/>
    <m/>
    <m/>
    <m/>
    <m/>
    <s v=""/>
    <m/>
    <m/>
    <n v="0"/>
    <s v=""/>
    <n v="86.666666666666657"/>
    <s v=""/>
    <s v=""/>
    <s v=""/>
    <s v=""/>
    <s v=""/>
    <s v=""/>
    <s v=""/>
    <m/>
    <n v="4.08"/>
    <m/>
    <n v="2065.5033333333336"/>
    <n v="2065.5033333333336"/>
    <m/>
    <s v="ES33 0182 8191 7702 0205 0486"/>
    <m/>
    <m/>
    <m/>
    <s v="Pendente"/>
  </r>
  <r>
    <s v="E0048"/>
    <x v="0"/>
    <s v=""/>
    <s v=""/>
    <s v=""/>
    <s v=""/>
    <s v=""/>
    <s v=""/>
    <n v="0"/>
    <s v="RAINERD SALAZAR FAJARDOO"/>
    <s v="REINERD SALAZAR FAJARDO"/>
    <m/>
    <s v="144-MOINTER S.L"/>
    <n v="15"/>
    <n v="34"/>
    <n v="34"/>
    <s v="Pendente"/>
    <m/>
    <m/>
    <m/>
    <m/>
    <m/>
    <m/>
    <m/>
    <m/>
    <s v=""/>
    <m/>
    <m/>
    <n v="0"/>
    <s v=""/>
    <m/>
    <s v=""/>
    <s v=""/>
    <s v=""/>
    <s v=""/>
    <s v=""/>
    <s v=""/>
    <s v=""/>
    <m/>
    <n v="4.08"/>
    <m/>
    <n v="505.92"/>
    <n v="505.92"/>
    <m/>
    <s v="ES85 0182 7081 4402 0159 4119"/>
    <m/>
    <m/>
    <m/>
    <s v="Pendente"/>
  </r>
  <r>
    <s v="E0239"/>
    <x v="0"/>
    <s v=""/>
    <s v=""/>
    <s v=""/>
    <s v=""/>
    <s v=""/>
    <s v=""/>
    <n v="0"/>
    <s v="YODARLI GONZALEZ B"/>
    <s v="YODARLI GONZALEZ BRAVO"/>
    <m/>
    <s v="144-MOINTER S.L"/>
    <n v="15"/>
    <n v="50"/>
    <n v="50"/>
    <s v="Pendente"/>
    <m/>
    <m/>
    <m/>
    <m/>
    <m/>
    <m/>
    <m/>
    <m/>
    <s v=""/>
    <m/>
    <m/>
    <n v="0"/>
    <s v=""/>
    <s v=""/>
    <s v=""/>
    <s v=""/>
    <s v=""/>
    <s v=""/>
    <s v=""/>
    <s v=""/>
    <s v=""/>
    <m/>
    <n v="4.08"/>
    <m/>
    <n v="745.92"/>
    <n v="745.92"/>
    <m/>
    <s v="ES55 0182 0079 0002 0156 0855"/>
    <m/>
    <m/>
    <m/>
    <s v="Pendente"/>
  </r>
  <r>
    <s v="E0035"/>
    <x v="0"/>
    <s v=""/>
    <s v=""/>
    <s v=""/>
    <s v=""/>
    <s v=""/>
    <s v=""/>
    <n v="0"/>
    <s v="GUERMAIN SAJAMIN"/>
    <s v="GUERMAIN ISAAC SAJAMIN PANDURO"/>
    <m/>
    <s v="16-ATTSU TECNIVAP S.A"/>
    <n v="15"/>
    <n v="213.5"/>
    <n v="213.5"/>
    <s v="Confirmada"/>
    <m/>
    <m/>
    <m/>
    <m/>
    <m/>
    <m/>
    <m/>
    <m/>
    <s v=""/>
    <m/>
    <m/>
    <n v="0"/>
    <s v=""/>
    <s v=""/>
    <s v=""/>
    <s v=""/>
    <s v=""/>
    <s v=""/>
    <s v=""/>
    <s v=""/>
    <s v=""/>
    <m/>
    <n v="4.08"/>
    <m/>
    <n v="3198.42"/>
    <n v="3198.42"/>
    <m/>
    <s v="ES09 6893 0001 7400 0026 4695"/>
    <m/>
    <m/>
    <m/>
    <s v="Pendente"/>
  </r>
  <r>
    <s v="E0072"/>
    <x v="1"/>
    <s v=""/>
    <s v=""/>
    <s v=""/>
    <s v="LM"/>
    <d v="2025-09-26T00:00:00"/>
    <s v=""/>
    <n v="31"/>
    <s v="MOACIR DA SILVA"/>
    <s v="MOACIR DA SILVA"/>
    <m/>
    <s v="16-ATTSU TECNIVAP S.A"/>
    <n v="18"/>
    <n v="188"/>
    <n v="188"/>
    <s v="Confirmada"/>
    <m/>
    <m/>
    <m/>
    <m/>
    <m/>
    <m/>
    <m/>
    <m/>
    <s v=""/>
    <m/>
    <m/>
    <n v="218.798"/>
    <n v="200"/>
    <s v=""/>
    <s v=""/>
    <s v=""/>
    <s v=""/>
    <s v=""/>
    <s v=""/>
    <s v=""/>
    <s v=""/>
    <m/>
    <n v="4.08"/>
    <m/>
    <n v="2961.1220000000003"/>
    <n v="2961.1220000000003"/>
    <m/>
    <s v="PT50 0018 0003 5495 3765 0204 8"/>
    <m/>
    <m/>
    <m/>
    <s v="Pendente"/>
  </r>
  <r>
    <s v="E0074"/>
    <x v="1"/>
    <s v="KI"/>
    <s v=""/>
    <s v=""/>
    <s v="LM"/>
    <d v="2026-01-14T00:00:00"/>
    <d v="2026-02-01T00:00:00"/>
    <n v="18"/>
    <s v="PEDRO CARLOS ARMENDARIZ"/>
    <s v="PEDRO CARLOS ARMENDARIZ"/>
    <m/>
    <s v="17-AURO-TUB S.L"/>
    <n v="15"/>
    <n v="130"/>
    <n v="130"/>
    <s v="Pendente"/>
    <m/>
    <m/>
    <m/>
    <m/>
    <m/>
    <m/>
    <m/>
    <m/>
    <s v=""/>
    <m/>
    <m/>
    <n v="127.044"/>
    <s v=""/>
    <s v=""/>
    <s v=""/>
    <s v=""/>
    <s v=""/>
    <s v=""/>
    <s v=""/>
    <s v=""/>
    <s v=""/>
    <m/>
    <n v="4.08"/>
    <m/>
    <n v="1818.876"/>
    <n v="1818.876"/>
    <m/>
    <s v="ES55 6893 0001 7300 0027 4004"/>
    <m/>
    <m/>
    <m/>
    <s v="Pendente"/>
  </r>
  <r>
    <s v="E0343"/>
    <x v="0"/>
    <s v=""/>
    <s v=""/>
    <s v=""/>
    <s v=""/>
    <s v=""/>
    <s v=""/>
    <n v="0"/>
    <m/>
    <s v="VICTOR EDGARDO RAMIREZ GRANDA"/>
    <m/>
    <s v="17-AURO-TUB S.L"/>
    <n v="15"/>
    <n v="140"/>
    <n v="140"/>
    <s v="Pendente"/>
    <m/>
    <m/>
    <m/>
    <m/>
    <m/>
    <m/>
    <m/>
    <m/>
    <s v=""/>
    <m/>
    <m/>
    <n v="0"/>
    <s v=""/>
    <s v=""/>
    <s v=""/>
    <s v=""/>
    <s v=""/>
    <s v=""/>
    <s v=""/>
    <s v=""/>
    <s v=""/>
    <m/>
    <m/>
    <m/>
    <n v="2100"/>
    <n v="2100"/>
    <m/>
    <s v="ES17 0182 3212 8502 0157 7167"/>
    <m/>
    <m/>
    <m/>
    <s v="Pendente"/>
  </r>
  <r>
    <s v="E0075"/>
    <x v="0"/>
    <s v=""/>
    <s v=""/>
    <s v=""/>
    <s v=""/>
    <s v=""/>
    <s v=""/>
    <n v="0"/>
    <s v="WILLIAM MANRIQUE"/>
    <s v="WILLIAM NOE MANRIQUE MOREYRA"/>
    <m/>
    <s v="17-AURO-TUB S.L"/>
    <n v="15"/>
    <n v="130"/>
    <n v="130"/>
    <s v="Pendente"/>
    <m/>
    <m/>
    <m/>
    <m/>
    <m/>
    <m/>
    <m/>
    <m/>
    <s v=""/>
    <m/>
    <m/>
    <n v="0"/>
    <s v=""/>
    <s v=""/>
    <s v=""/>
    <s v=""/>
    <s v=""/>
    <s v=""/>
    <s v=""/>
    <s v=""/>
    <s v=""/>
    <m/>
    <n v="4.08"/>
    <m/>
    <n v="1945.92"/>
    <n v="1945.92"/>
    <m/>
    <s v="ES47 6893 0001 7200 0027 5846"/>
    <m/>
    <m/>
    <m/>
    <s v="Pendente"/>
  </r>
  <r>
    <s v="E0557"/>
    <x v="1"/>
    <s v=""/>
    <s v=""/>
    <s v=""/>
    <s v="LM"/>
    <d v="2025-10-02T00:00:00"/>
    <s v=""/>
    <n v="31"/>
    <s v="HECTOR FABIO MAHETE CEDEÑO"/>
    <s v="HECTOR FABIO MAHETE CEDEÑO"/>
    <m/>
    <s v="186-TACMAN 2000"/>
    <n v="16"/>
    <n v="218"/>
    <n v="218"/>
    <s v="Pendente"/>
    <m/>
    <m/>
    <m/>
    <m/>
    <m/>
    <m/>
    <m/>
    <m/>
    <n v="300"/>
    <m/>
    <m/>
    <n v="218.798"/>
    <s v=""/>
    <s v=""/>
    <s v=""/>
    <s v=""/>
    <s v=""/>
    <s v=""/>
    <s v=""/>
    <s v=""/>
    <s v=""/>
    <m/>
    <n v="4.08"/>
    <m/>
    <n v="3565.1220000000003"/>
    <n v="3565.1220000000003"/>
    <m/>
    <s v="ES19 0182 0956 5602 0176 9922"/>
    <m/>
    <m/>
    <m/>
    <s v="Pendente"/>
  </r>
  <r>
    <s v="E0083"/>
    <x v="0"/>
    <s v=""/>
    <s v=""/>
    <s v=""/>
    <s v=""/>
    <s v=""/>
    <s v=""/>
    <n v="0"/>
    <s v="DAVID SANCHEZ ZAPATA"/>
    <s v="DAVID RICARDO SANCHEZ ZAPATA"/>
    <m/>
    <s v="19-AZERO"/>
    <n v="15"/>
    <n v="51"/>
    <n v="51"/>
    <s v="Pendente"/>
    <m/>
    <m/>
    <m/>
    <m/>
    <m/>
    <m/>
    <m/>
    <m/>
    <s v=""/>
    <m/>
    <m/>
    <n v="0"/>
    <s v=""/>
    <s v=""/>
    <s v=""/>
    <s v=""/>
    <s v=""/>
    <s v=""/>
    <s v=""/>
    <s v=""/>
    <s v=""/>
    <m/>
    <n v="4.08"/>
    <m/>
    <n v="760.92"/>
    <n v="760.92"/>
    <m/>
    <s v="ES36 0182 4609 9102 0576 4108"/>
    <m/>
    <m/>
    <m/>
    <s v="Pendente"/>
  </r>
  <r>
    <s v="E1930"/>
    <x v="0"/>
    <s v=""/>
    <s v=""/>
    <s v=""/>
    <s v=""/>
    <s v=""/>
    <s v=""/>
    <n v="0"/>
    <s v="JUAN FERNANDO DUQUE C"/>
    <s v="JUAN FERNANDO DUQUE CARDONA"/>
    <m/>
    <s v="19-AZERO"/>
    <n v="15"/>
    <n v="138"/>
    <n v="138"/>
    <s v="Pendente"/>
    <m/>
    <m/>
    <m/>
    <m/>
    <m/>
    <m/>
    <m/>
    <m/>
    <s v=""/>
    <m/>
    <m/>
    <n v="0"/>
    <s v=""/>
    <s v=""/>
    <n v="0"/>
    <n v="0"/>
    <n v="0"/>
    <n v="0"/>
    <n v="0"/>
    <n v="21.74"/>
    <s v=""/>
    <m/>
    <n v="4.08"/>
    <m/>
    <n v="2044.1800000000003"/>
    <n v="2044.1800000000003"/>
    <m/>
    <s v="ES08 6893 0001 7100 0033 5476"/>
    <m/>
    <m/>
    <m/>
    <s v="Pendente"/>
  </r>
  <r>
    <s v="E0257"/>
    <x v="1"/>
    <s v=""/>
    <s v=""/>
    <s v=""/>
    <s v="LM"/>
    <d v="2025-12-19T00:00:00"/>
    <s v=""/>
    <n v="31"/>
    <s v="EDWAR A. BENACHI A."/>
    <s v="EDWAR ANDRES BENACHI ARCE"/>
    <m/>
    <s v="214-AUTOMATISMES ELECTRICS GRANOLLERS, S.L"/>
    <n v="15"/>
    <n v="215.5"/>
    <n v="215.5"/>
    <s v="Confirmada"/>
    <m/>
    <m/>
    <m/>
    <m/>
    <m/>
    <m/>
    <m/>
    <m/>
    <s v=""/>
    <m/>
    <m/>
    <n v="218.798"/>
    <s v=""/>
    <s v=""/>
    <s v=""/>
    <s v=""/>
    <s v=""/>
    <s v=""/>
    <s v=""/>
    <s v=""/>
    <s v=""/>
    <m/>
    <n v="4.08"/>
    <m/>
    <n v="3009.6220000000003"/>
    <n v="3009.6220000000003"/>
    <m/>
    <s v="ES07 0182 9055 4302 0166 2936  "/>
    <m/>
    <m/>
    <m/>
    <s v="Pendente"/>
  </r>
  <r>
    <s v="E1533"/>
    <x v="0"/>
    <s v=""/>
    <s v=""/>
    <s v=""/>
    <s v=""/>
    <s v=""/>
    <s v=""/>
    <n v="0"/>
    <s v="JORGE ZAMORA"/>
    <s v="JORGE LUIS ASCUNTAR ZAMORA"/>
    <m/>
    <s v="214-AUTOMATISMES ELECTRICS GRANOLLERS, S.L"/>
    <n v="14"/>
    <n v="168"/>
    <n v="168"/>
    <s v="Confirmada"/>
    <m/>
    <m/>
    <m/>
    <m/>
    <m/>
    <m/>
    <m/>
    <m/>
    <s v=""/>
    <m/>
    <m/>
    <n v="0"/>
    <s v=""/>
    <s v=""/>
    <s v=""/>
    <s v=""/>
    <s v=""/>
    <s v=""/>
    <s v=""/>
    <s v=""/>
    <s v=""/>
    <m/>
    <n v="4.08"/>
    <m/>
    <n v="2347.92"/>
    <n v="2347.92"/>
    <m/>
    <s v="BE46 9053 3092 8136"/>
    <m/>
    <m/>
    <m/>
    <s v="Pendente"/>
  </r>
  <r>
    <s v="E0258"/>
    <x v="1"/>
    <s v=""/>
    <s v=""/>
    <s v=""/>
    <s v="LM"/>
    <d v="2025-12-19T00:00:00"/>
    <s v=""/>
    <n v="31"/>
    <s v="LUIS MIGUEL VEGA FUENTES"/>
    <s v="LUIS MIGUEL VEGA FUENTES"/>
    <m/>
    <s v="214-AUTOMATISMES ELECTRICS GRANOLLERS, S.L"/>
    <n v="15"/>
    <n v="182"/>
    <n v="190"/>
    <s v="Confirmada"/>
    <m/>
    <m/>
    <m/>
    <m/>
    <m/>
    <m/>
    <m/>
    <m/>
    <s v=""/>
    <m/>
    <m/>
    <n v="218.798"/>
    <s v=""/>
    <s v=""/>
    <s v=""/>
    <s v=""/>
    <s v=""/>
    <s v=""/>
    <s v=""/>
    <s v=""/>
    <s v=""/>
    <m/>
    <n v="4.08"/>
    <m/>
    <n v="2507.1220000000003"/>
    <n v="2627.1220000000003"/>
    <m/>
    <s v="ES96 0182 0670 1402 0161 0197 "/>
    <m/>
    <m/>
    <m/>
    <s v="Pendente"/>
  </r>
  <r>
    <s v="E1556"/>
    <x v="0"/>
    <s v=""/>
    <s v=""/>
    <s v=""/>
    <s v=""/>
    <s v=""/>
    <s v=""/>
    <n v="0"/>
    <s v="MARCOS RAFAEL CASANI VALDEZ"/>
    <s v="MARCOS RAFAEL CASANI VALDEZ"/>
    <m/>
    <s v="214-AUTOMATISMES ELECTRICS GRANOLLERS, S.L"/>
    <n v="15"/>
    <n v="191.5"/>
    <n v="191.5"/>
    <s v="Confirmada"/>
    <m/>
    <m/>
    <m/>
    <m/>
    <m/>
    <m/>
    <m/>
    <m/>
    <s v=""/>
    <m/>
    <m/>
    <n v="0"/>
    <s v=""/>
    <s v=""/>
    <n v="0"/>
    <n v="0"/>
    <n v="0"/>
    <n v="0"/>
    <n v="0"/>
    <n v="21.74"/>
    <s v=""/>
    <m/>
    <n v="4.08"/>
    <m/>
    <n v="2846.6800000000003"/>
    <n v="2846.6800000000003"/>
    <m/>
    <s v="ES81 0049 0128 5620 1097 1951"/>
    <m/>
    <m/>
    <m/>
    <s v="Pendente"/>
  </r>
  <r>
    <s v="E1579"/>
    <x v="0"/>
    <s v=""/>
    <s v=""/>
    <s v=""/>
    <s v=""/>
    <s v=""/>
    <s v=""/>
    <n v="0"/>
    <s v="RUBEN HURTADO"/>
    <s v="RUBEN DARIO HURTADO MURCIA"/>
    <m/>
    <s v="214-AUTOMATISMES ELECTRICS GRANOLLERS, S.L"/>
    <n v="14"/>
    <n v="182"/>
    <n v="182"/>
    <s v="Confirmada"/>
    <m/>
    <m/>
    <m/>
    <m/>
    <m/>
    <m/>
    <m/>
    <m/>
    <s v=""/>
    <m/>
    <m/>
    <n v="0"/>
    <s v=""/>
    <s v=""/>
    <s v=""/>
    <s v=""/>
    <s v=""/>
    <s v=""/>
    <s v=""/>
    <s v=""/>
    <s v=""/>
    <m/>
    <n v="4.08"/>
    <m/>
    <n v="2543.92"/>
    <n v="2543.92"/>
    <m/>
    <s v="ES83 0182 6092 4202 0175 0112"/>
    <m/>
    <m/>
    <m/>
    <s v="Pendente"/>
  </r>
  <r>
    <s v="E0086"/>
    <x v="0"/>
    <s v=""/>
    <s v=""/>
    <s v=""/>
    <s v=""/>
    <s v=""/>
    <s v=""/>
    <n v="0"/>
    <s v="HECTOR DAVID RAMOS BUHEZO"/>
    <s v="HECTOR DAVID RAMOS BUHEZO"/>
    <m/>
    <s v="21-BABCOCK MONTAJES S.A.U"/>
    <n v="15"/>
    <n v="144"/>
    <n v="144"/>
    <s v="Confirmada"/>
    <m/>
    <m/>
    <m/>
    <m/>
    <m/>
    <m/>
    <m/>
    <m/>
    <s v=""/>
    <m/>
    <m/>
    <n v="0"/>
    <s v=""/>
    <s v=""/>
    <n v="0"/>
    <n v="0"/>
    <n v="0"/>
    <n v="36.25"/>
    <n v="0"/>
    <n v="0"/>
    <s v=""/>
    <m/>
    <n v="4.08"/>
    <m/>
    <n v="2119.67"/>
    <n v="2119.67"/>
    <m/>
    <s v="ES28 0049 0688 7827 1171 8775"/>
    <m/>
    <m/>
    <m/>
    <s v="Pendente"/>
  </r>
  <r>
    <s v="E0087"/>
    <x v="0"/>
    <s v=""/>
    <s v=""/>
    <s v=""/>
    <s v=""/>
    <s v=""/>
    <s v=""/>
    <n v="0"/>
    <s v="HECTOR SANCHEZ GUERRERO"/>
    <s v="HECTOR SANCHEZ GUERRERO"/>
    <m/>
    <s v="21-BABCOCK MONTAJES S.A.U"/>
    <n v="15"/>
    <n v="167"/>
    <n v="167"/>
    <s v="Confirmada"/>
    <m/>
    <m/>
    <m/>
    <m/>
    <m/>
    <m/>
    <m/>
    <m/>
    <s v=""/>
    <m/>
    <m/>
    <n v="0"/>
    <s v=""/>
    <n v="120"/>
    <s v=""/>
    <s v=""/>
    <s v=""/>
    <s v=""/>
    <s v=""/>
    <s v=""/>
    <s v=""/>
    <m/>
    <n v="4.08"/>
    <m/>
    <n v="2380.92"/>
    <n v="2380.92"/>
    <m/>
    <s v="ES64 0182 1215 8102 0155 2886"/>
    <m/>
    <m/>
    <m/>
    <s v="Pendente"/>
  </r>
  <r>
    <s v="E0044"/>
    <x v="0"/>
    <s v=""/>
    <s v=""/>
    <s v=""/>
    <s v=""/>
    <s v=""/>
    <s v=""/>
    <n v="0"/>
    <s v="JESUS JAMES BALDEON ZUNIGA"/>
    <s v="JESUS JAMES BALDEON ZUNIGA"/>
    <m/>
    <s v="21-BABCOCK MONTAJES S.A.U"/>
    <n v="15"/>
    <n v="167"/>
    <n v="167"/>
    <s v="Confirmada"/>
    <m/>
    <m/>
    <m/>
    <m/>
    <m/>
    <m/>
    <m/>
    <m/>
    <s v=""/>
    <m/>
    <m/>
    <n v="0"/>
    <s v=""/>
    <n v="120"/>
    <s v=""/>
    <s v=""/>
    <s v=""/>
    <s v=""/>
    <s v=""/>
    <s v=""/>
    <s v=""/>
    <m/>
    <n v="4.08"/>
    <m/>
    <n v="2380.92"/>
    <n v="2380.92"/>
    <m/>
    <s v="ES31 0049 5413 5521 1609 5173"/>
    <m/>
    <m/>
    <m/>
    <s v="Pendente"/>
  </r>
  <r>
    <s v="E0327"/>
    <x v="1"/>
    <s v=""/>
    <s v=""/>
    <s v=""/>
    <s v="LM"/>
    <d v="2025-12-19T00:00:00"/>
    <d v="2026-01-23T00:00:00"/>
    <n v="23"/>
    <s v="RAFAEL REYES ROMERO"/>
    <s v="RAFAEL ARTURO REYES ROMERO"/>
    <m/>
    <s v="21-BABCOCK MONTAJES S.A.U"/>
    <n v="15"/>
    <n v="127"/>
    <n v="127"/>
    <s v="Confirmada"/>
    <m/>
    <m/>
    <m/>
    <m/>
    <m/>
    <m/>
    <m/>
    <m/>
    <s v=""/>
    <m/>
    <m/>
    <n v="162.334"/>
    <s v=""/>
    <n v="85"/>
    <s v=""/>
    <s v=""/>
    <s v=""/>
    <s v=""/>
    <s v=""/>
    <s v=""/>
    <s v=""/>
    <m/>
    <n v="4.08"/>
    <m/>
    <n v="1653.586"/>
    <n v="1653.586"/>
    <m/>
    <s v="ES52 0182 5899 3102 0170 6636"/>
    <m/>
    <m/>
    <m/>
    <s v="Pendente"/>
  </r>
  <r>
    <s v="E1590"/>
    <x v="0"/>
    <s v=""/>
    <s v=""/>
    <s v=""/>
    <s v=""/>
    <s v=""/>
    <s v=""/>
    <n v="0"/>
    <s v="BAIRON BURBANO"/>
    <s v="BAIRON RENE BURBANO MORALES"/>
    <m/>
    <s v="225-CARVISA CONTAINER S.L.U"/>
    <n v="15"/>
    <n v="36"/>
    <n v="36"/>
    <s v="Pendente"/>
    <m/>
    <m/>
    <m/>
    <m/>
    <m/>
    <m/>
    <m/>
    <m/>
    <n v="300"/>
    <m/>
    <m/>
    <n v="0"/>
    <m/>
    <n v="128.88888888888889"/>
    <s v=""/>
    <s v=""/>
    <s v=""/>
    <s v=""/>
    <s v=""/>
    <s v=""/>
    <s v=""/>
    <m/>
    <n v="4.08"/>
    <m/>
    <n v="707.03111111111104"/>
    <n v="707.03111111111104"/>
    <m/>
    <s v="ES54 0182 2270 0102 0248 1802"/>
    <m/>
    <m/>
    <m/>
    <s v="Pendente"/>
  </r>
  <r>
    <s v="E0873"/>
    <x v="1"/>
    <s v=""/>
    <s v=""/>
    <s v=""/>
    <s v="LM"/>
    <d v="2026-01-29T00:00:00"/>
    <s v=""/>
    <n v="3"/>
    <s v="ELKIN ARMANDO GARZON LOPEZ"/>
    <s v="ELKIN ARMANDO GARZON LOPEZ"/>
    <m/>
    <s v="225-CARVISA CONTAINER S.L.U"/>
    <n v="15"/>
    <n v="132"/>
    <n v="38"/>
    <s v="Pendente"/>
    <m/>
    <m/>
    <m/>
    <m/>
    <m/>
    <m/>
    <m/>
    <m/>
    <s v=""/>
    <m/>
    <m/>
    <n v="21.173999999999999"/>
    <s v=""/>
    <m/>
    <s v=""/>
    <s v=""/>
    <s v=""/>
    <s v=""/>
    <s v=""/>
    <s v=""/>
    <s v=""/>
    <m/>
    <n v="4.08"/>
    <m/>
    <n v="1954.7460000000001"/>
    <n v="544.74599999999998"/>
    <m/>
    <s v="ES33 0182 8738 7102 0262 1047"/>
    <m/>
    <m/>
    <m/>
    <s v="Pendente"/>
  </r>
  <r>
    <s v="E0890"/>
    <x v="0"/>
    <s v=""/>
    <s v=""/>
    <s v=""/>
    <s v=""/>
    <s v=""/>
    <s v=""/>
    <n v="0"/>
    <s v="FABIAN CERÓN"/>
    <s v="FABIAN LEONARDO CERON VALENCIA"/>
    <m/>
    <s v="225-CARVISA CONTAINER S.L.U"/>
    <n v="15"/>
    <n v="136"/>
    <n v="50"/>
    <s v="Pendente"/>
    <m/>
    <m/>
    <m/>
    <m/>
    <m/>
    <m/>
    <m/>
    <m/>
    <s v=""/>
    <m/>
    <m/>
    <n v="0"/>
    <s v=""/>
    <m/>
    <s v=""/>
    <s v=""/>
    <s v=""/>
    <s v=""/>
    <s v=""/>
    <s v=""/>
    <s v=""/>
    <m/>
    <n v="4.08"/>
    <m/>
    <n v="2035.92"/>
    <n v="745.92"/>
    <m/>
    <s v=" ES72 0182 1150 0202 0159 3522 "/>
    <m/>
    <m/>
    <m/>
    <s v="Pendente"/>
  </r>
  <r>
    <s v="E0254"/>
    <x v="1"/>
    <s v=""/>
    <s v=""/>
    <s v=""/>
    <s v="LM"/>
    <d v="2026-01-08T00:00:00"/>
    <s v=""/>
    <n v="24"/>
    <s v="ALIRIO ORTIZ MOLINA"/>
    <s v="ALIRIO ORTIZ MOLINA"/>
    <m/>
    <s v="22-BACHILLER"/>
    <n v="15"/>
    <n v="171"/>
    <n v="171"/>
    <s v="Pendente"/>
    <m/>
    <m/>
    <m/>
    <m/>
    <m/>
    <m/>
    <m/>
    <m/>
    <n v="240"/>
    <m/>
    <m/>
    <n v="169.392"/>
    <s v=""/>
    <s v=""/>
    <s v=""/>
    <s v=""/>
    <s v=""/>
    <s v=""/>
    <s v=""/>
    <s v=""/>
    <s v=""/>
    <m/>
    <n v="4.08"/>
    <m/>
    <n v="2631.5280000000002"/>
    <n v="2631.5280000000002"/>
    <m/>
    <s v="BE67 9674 1303 8187"/>
    <m/>
    <m/>
    <m/>
    <s v="Pendente"/>
  </r>
  <r>
    <s v="E1471"/>
    <x v="0"/>
    <s v=""/>
    <s v=""/>
    <s v=""/>
    <s v=""/>
    <s v=""/>
    <s v=""/>
    <n v="0"/>
    <s v="DANILO PINEDA RIVAS"/>
    <s v="DANILO PINEDA RIVAS"/>
    <m/>
    <s v="22-BACHILLER"/>
    <n v="15"/>
    <n v="148"/>
    <n v="148"/>
    <s v="Pendente"/>
    <m/>
    <m/>
    <m/>
    <m/>
    <m/>
    <m/>
    <m/>
    <m/>
    <s v=""/>
    <m/>
    <m/>
    <n v="0"/>
    <s v=""/>
    <s v=""/>
    <s v=""/>
    <s v=""/>
    <s v=""/>
    <s v=""/>
    <s v=""/>
    <s v=""/>
    <s v=""/>
    <m/>
    <n v="4.08"/>
    <m/>
    <n v="2215.92"/>
    <n v="2215.92"/>
    <m/>
    <s v="ES20 0182 2125 3202 0160 1080"/>
    <m/>
    <m/>
    <m/>
    <s v="Pendente"/>
  </r>
  <r>
    <s v="E2069"/>
    <x v="0"/>
    <s v=""/>
    <s v=""/>
    <s v=""/>
    <s v=""/>
    <s v=""/>
    <s v=""/>
    <n v="0"/>
    <s v="FERNEY TORRES LEDESMA"/>
    <s v="FERNEY TORRES LEDESMA"/>
    <m/>
    <s v="22-BACHILLER"/>
    <n v="15"/>
    <n v="77"/>
    <n v="77"/>
    <s v="Pendente"/>
    <m/>
    <m/>
    <m/>
    <m/>
    <m/>
    <m/>
    <m/>
    <m/>
    <s v=""/>
    <m/>
    <m/>
    <n v="0"/>
    <s v=""/>
    <s v=""/>
    <s v=""/>
    <s v=""/>
    <s v=""/>
    <s v=""/>
    <s v=""/>
    <s v=""/>
    <s v=""/>
    <m/>
    <n v="4.08"/>
    <m/>
    <n v="1150.92"/>
    <n v="1150.92"/>
    <m/>
    <s v="BE53 9057 8844 0053"/>
    <m/>
    <m/>
    <m/>
    <s v="Pendente"/>
  </r>
  <r>
    <s v="E0414"/>
    <x v="1"/>
    <s v=""/>
    <s v=""/>
    <s v="WS"/>
    <s v="LM"/>
    <d v="2026-01-20T00:00:00"/>
    <s v=""/>
    <n v="12"/>
    <s v="FREDIS A. MORELOS COLON"/>
    <s v="FREDIS ANTONIO MORELOS COLON"/>
    <m/>
    <s v="22-BACHILLER"/>
    <n v="16"/>
    <n v="80"/>
    <n v="80"/>
    <s v="Pendente"/>
    <m/>
    <m/>
    <m/>
    <m/>
    <m/>
    <m/>
    <m/>
    <m/>
    <s v=""/>
    <m/>
    <m/>
    <n v="84.695999999999998"/>
    <s v=""/>
    <s v=""/>
    <s v=""/>
    <s v=""/>
    <s v=""/>
    <s v=""/>
    <s v=""/>
    <s v=""/>
    <s v=""/>
    <m/>
    <n v="4.08"/>
    <m/>
    <n v="1191.2240000000002"/>
    <n v="1191.2240000000002"/>
    <m/>
    <s v="BE05 9053 5228 1775"/>
    <m/>
    <m/>
    <m/>
    <s v="Pendente"/>
  </r>
  <r>
    <s v="E2024"/>
    <x v="0"/>
    <s v=""/>
    <s v=""/>
    <s v=""/>
    <s v=""/>
    <s v=""/>
    <s v=""/>
    <n v="0"/>
    <s v="GERARDO LARA GONZALEZ"/>
    <s v="GERARDO LARA GONZALEZ"/>
    <m/>
    <s v="22-BACHILLER"/>
    <n v="15"/>
    <n v="175"/>
    <n v="166"/>
    <s v="Pendente"/>
    <m/>
    <m/>
    <m/>
    <m/>
    <m/>
    <m/>
    <m/>
    <m/>
    <s v=""/>
    <m/>
    <m/>
    <n v="0"/>
    <s v=""/>
    <s v=""/>
    <s v=""/>
    <s v=""/>
    <s v=""/>
    <s v=""/>
    <s v=""/>
    <s v=""/>
    <s v=""/>
    <m/>
    <n v="4.08"/>
    <m/>
    <n v="2620.92"/>
    <n v="2485.92"/>
    <m/>
    <s v="ES58 0182 8323 2602 0195 7471"/>
    <m/>
    <m/>
    <m/>
    <s v="Pendente"/>
  </r>
  <r>
    <s v="E0197"/>
    <x v="0"/>
    <s v=""/>
    <s v=""/>
    <s v=""/>
    <s v=""/>
    <s v=""/>
    <s v=""/>
    <n v="0"/>
    <s v="GIAN CARLOS SAAVEDRA LAPA"/>
    <s v="GIAN CARLOS SAAVEDRA LAPA"/>
    <m/>
    <s v="22-BACHILLER"/>
    <n v="15"/>
    <n v="160"/>
    <n v="160"/>
    <s v="Pendente"/>
    <m/>
    <m/>
    <m/>
    <m/>
    <m/>
    <m/>
    <m/>
    <m/>
    <n v="300"/>
    <m/>
    <m/>
    <n v="0"/>
    <s v=""/>
    <s v=""/>
    <s v=""/>
    <s v=""/>
    <s v=""/>
    <s v=""/>
    <s v=""/>
    <s v=""/>
    <s v=""/>
    <m/>
    <n v="4.08"/>
    <m/>
    <n v="2695.92"/>
    <n v="2695.92"/>
    <m/>
    <s v="ES76 0182 5430 4002 0169 6912"/>
    <m/>
    <m/>
    <m/>
    <s v="Pendente"/>
  </r>
  <r>
    <s v="E0594"/>
    <x v="0"/>
    <s v=""/>
    <s v=""/>
    <s v=""/>
    <s v=""/>
    <s v=""/>
    <s v=""/>
    <n v="0"/>
    <s v="GIOVANNI SALAZAR HIDALGO"/>
    <s v="GIOVANNI CHRISTIAN SALAZAR HIDALGO"/>
    <m/>
    <s v="22-BACHILLER"/>
    <n v="15"/>
    <n v="169"/>
    <n v="169"/>
    <s v="Pendente"/>
    <m/>
    <m/>
    <m/>
    <m/>
    <m/>
    <m/>
    <m/>
    <m/>
    <s v=""/>
    <m/>
    <m/>
    <n v="0"/>
    <s v=""/>
    <s v=""/>
    <n v="0"/>
    <n v="0"/>
    <n v="0"/>
    <n v="0"/>
    <n v="0"/>
    <n v="21.74"/>
    <s v=""/>
    <m/>
    <n v="4.08"/>
    <m/>
    <n v="2509.1800000000003"/>
    <n v="2509.1800000000003"/>
    <m/>
    <s v="ES40 0182 1215 8102 0155 2930"/>
    <m/>
    <m/>
    <m/>
    <s v="Pendente"/>
  </r>
  <r>
    <s v="E0094"/>
    <x v="1"/>
    <s v=""/>
    <s v=""/>
    <s v=""/>
    <s v="LM"/>
    <d v="2025-10-01T00:00:00"/>
    <s v=""/>
    <n v="31"/>
    <s v="GONZALO N."/>
    <s v="GONZALO ARIEL NAVARRO"/>
    <m/>
    <s v="22-BACHILLER"/>
    <n v="15"/>
    <n v="185"/>
    <n v="185"/>
    <s v="Pendente"/>
    <m/>
    <m/>
    <m/>
    <m/>
    <m/>
    <m/>
    <m/>
    <m/>
    <n v="300"/>
    <m/>
    <m/>
    <n v="218.798"/>
    <s v=""/>
    <s v=""/>
    <s v=""/>
    <s v=""/>
    <s v=""/>
    <s v=""/>
    <s v=""/>
    <s v=""/>
    <s v=""/>
    <m/>
    <n v="4.08"/>
    <m/>
    <n v="2852.1220000000003"/>
    <n v="2852.1220000000003"/>
    <m/>
    <s v="ES10 6893 0001 7100 0020 3132"/>
    <m/>
    <m/>
    <m/>
    <s v="Pendente"/>
  </r>
  <r>
    <s v="E0089"/>
    <x v="1"/>
    <s v=""/>
    <s v=""/>
    <s v=""/>
    <s v="LM"/>
    <d v="2025-10-01T00:00:00"/>
    <s v=""/>
    <n v="31"/>
    <s v="GUSTAVO DONOSO"/>
    <s v="GUSTAVO DAMIAN DONOSO"/>
    <m/>
    <s v="22-BACHILLER"/>
    <n v="18"/>
    <n v="163"/>
    <n v="163"/>
    <s v="Pendente"/>
    <m/>
    <m/>
    <m/>
    <m/>
    <m/>
    <m/>
    <m/>
    <m/>
    <n v="300"/>
    <m/>
    <m/>
    <n v="218.798"/>
    <s v=""/>
    <s v=""/>
    <s v=""/>
    <s v=""/>
    <s v=""/>
    <s v=""/>
    <s v=""/>
    <s v=""/>
    <s v=""/>
    <n v="18"/>
    <n v="4.08"/>
    <m/>
    <n v="3011.1220000000003"/>
    <n v="2993.1220000000003"/>
    <m/>
    <s v="BE63 9675 2024 4308"/>
    <m/>
    <m/>
    <m/>
    <s v="Pendente"/>
  </r>
  <r>
    <s v="E0097"/>
    <x v="1"/>
    <s v=""/>
    <s v=""/>
    <s v=""/>
    <s v="LM"/>
    <d v="2025-10-01T00:00:00"/>
    <s v=""/>
    <n v="31"/>
    <s v="JEAN CARLO GARCIA GARCIA"/>
    <s v="JEAN CARLO GARCIA GARCIA"/>
    <m/>
    <s v="22-BACHILLER"/>
    <n v="15"/>
    <n v="183"/>
    <n v="182"/>
    <s v="Pendente"/>
    <m/>
    <m/>
    <m/>
    <m/>
    <m/>
    <m/>
    <m/>
    <m/>
    <n v="300"/>
    <m/>
    <m/>
    <n v="218.798"/>
    <s v=""/>
    <s v=""/>
    <s v=""/>
    <s v=""/>
    <s v=""/>
    <s v=""/>
    <s v=""/>
    <s v=""/>
    <s v=""/>
    <n v="15"/>
    <n v="4.08"/>
    <m/>
    <n v="2822.1220000000003"/>
    <n v="2792.1220000000003"/>
    <m/>
    <s v="ES87 6893 0001 7900 0033 0946 "/>
    <m/>
    <m/>
    <m/>
    <s v="Pendente"/>
  </r>
  <r>
    <s v="E1969"/>
    <x v="0"/>
    <s v=""/>
    <s v=""/>
    <s v=""/>
    <s v=""/>
    <s v=""/>
    <s v=""/>
    <n v="0"/>
    <s v="JOSE GUILLERMO PENA"/>
    <s v="JOSE GUILLERMO PENA BARRERA"/>
    <m/>
    <s v="22-BACHILLER"/>
    <n v="15"/>
    <n v="169"/>
    <n v="169"/>
    <s v="Pendente"/>
    <m/>
    <m/>
    <m/>
    <m/>
    <m/>
    <m/>
    <m/>
    <m/>
    <s v=""/>
    <m/>
    <m/>
    <n v="0"/>
    <s v=""/>
    <s v=""/>
    <s v=""/>
    <s v=""/>
    <s v=""/>
    <s v=""/>
    <s v=""/>
    <s v=""/>
    <s v=""/>
    <m/>
    <n v="4.08"/>
    <m/>
    <n v="2530.92"/>
    <n v="2530.92"/>
    <m/>
    <s v="ES31 0182 5011 1202 0224 2098"/>
    <m/>
    <m/>
    <m/>
    <s v="Pendente"/>
  </r>
  <r>
    <s v="E0090"/>
    <x v="1"/>
    <s v=""/>
    <s v=""/>
    <s v=""/>
    <s v="LM"/>
    <d v="2025-10-01T00:00:00"/>
    <s v=""/>
    <n v="31"/>
    <s v="HERNÁN RODRIGUEZ"/>
    <s v="JOSE HERNAN RODRIGUEZ"/>
    <m/>
    <s v="22-BACHILLER"/>
    <n v="17"/>
    <n v="169"/>
    <n v="169"/>
    <s v="Pendente"/>
    <m/>
    <m/>
    <m/>
    <m/>
    <m/>
    <m/>
    <m/>
    <m/>
    <n v="300"/>
    <m/>
    <m/>
    <n v="218.798"/>
    <s v=""/>
    <s v=""/>
    <s v=""/>
    <s v=""/>
    <s v=""/>
    <s v=""/>
    <s v=""/>
    <s v=""/>
    <s v=""/>
    <m/>
    <n v="4.08"/>
    <m/>
    <n v="2950.1220000000003"/>
    <n v="2950.1220000000003"/>
    <m/>
    <s v="ES46 0182 5011 1402 0222 8926"/>
    <m/>
    <m/>
    <m/>
    <s v="Pendente"/>
  </r>
  <r>
    <s v="E1222"/>
    <x v="1"/>
    <s v=""/>
    <s v=""/>
    <s v=""/>
    <s v="LM"/>
    <d v="2026-01-12T00:00:00"/>
    <d v="2026-01-14T00:00:00"/>
    <n v="3"/>
    <s v="JOSE MANUEL MENDOZA SARA"/>
    <s v="JOSE MANUEL MENDOZA SARA"/>
    <m/>
    <s v="22-BACHILLER"/>
    <n v="15"/>
    <n v="34"/>
    <n v="34"/>
    <s v="Pendente"/>
    <m/>
    <m/>
    <m/>
    <m/>
    <m/>
    <m/>
    <m/>
    <m/>
    <s v=""/>
    <m/>
    <m/>
    <n v="21.173999999999999"/>
    <s v=""/>
    <s v=""/>
    <s v=""/>
    <s v=""/>
    <s v=""/>
    <s v=""/>
    <s v=""/>
    <s v=""/>
    <s v=""/>
    <m/>
    <n v="4.08"/>
    <m/>
    <n v="484.74600000000004"/>
    <n v="484.74600000000004"/>
    <m/>
    <s v="BE52 9050 3305 7809"/>
    <m/>
    <m/>
    <m/>
    <s v="Pendente"/>
  </r>
  <r>
    <s v="E1284"/>
    <x v="0"/>
    <s v=""/>
    <s v=""/>
    <s v=""/>
    <s v=""/>
    <s v=""/>
    <s v=""/>
    <n v="0"/>
    <s v="JOSEPH ESTIVENS NIETO FERNANDEZ"/>
    <s v="JOSEPH ESTIVENS NIETO FERNANDEZ"/>
    <m/>
    <s v="22-BACHILLER"/>
    <n v="16"/>
    <n v="173"/>
    <n v="174"/>
    <s v="Pendente"/>
    <m/>
    <m/>
    <m/>
    <m/>
    <m/>
    <m/>
    <m/>
    <m/>
    <n v="300"/>
    <m/>
    <m/>
    <n v="0"/>
    <s v=""/>
    <s v=""/>
    <s v=""/>
    <s v=""/>
    <s v=""/>
    <s v=""/>
    <s v=""/>
    <s v=""/>
    <s v=""/>
    <m/>
    <n v="4.08"/>
    <m/>
    <n v="3063.92"/>
    <n v="3079.92"/>
    <m/>
    <s v="ES96 2100 0536 3202 0067 9389"/>
    <m/>
    <m/>
    <m/>
    <s v="Pendente"/>
  </r>
  <r>
    <s v="E0304"/>
    <x v="1"/>
    <s v=""/>
    <s v=""/>
    <s v=""/>
    <s v="LM"/>
    <d v="2026-01-12T00:00:00"/>
    <d v="2026-01-28T00:00:00"/>
    <n v="17"/>
    <s v="JUAN ANDRÉS AGUILAR"/>
    <s v="JUAN ANDRES AGUILAR MARIN"/>
    <m/>
    <s v="22-BACHILLER"/>
    <n v="14"/>
    <n v="118"/>
    <n v="118"/>
    <s v="Pendente"/>
    <m/>
    <m/>
    <m/>
    <m/>
    <m/>
    <m/>
    <m/>
    <m/>
    <s v=""/>
    <m/>
    <m/>
    <n v="119.98599999999999"/>
    <s v=""/>
    <s v=""/>
    <s v=""/>
    <s v=""/>
    <s v=""/>
    <s v=""/>
    <s v=""/>
    <s v=""/>
    <s v=""/>
    <m/>
    <n v="4.08"/>
    <m/>
    <n v="1527.9340000000002"/>
    <n v="1527.9340000000002"/>
    <m/>
    <s v="ES77 6893 0001 7600 0028 4131"/>
    <m/>
    <m/>
    <m/>
    <s v="Pendente"/>
  </r>
  <r>
    <s v="E0093"/>
    <x v="1"/>
    <s v=""/>
    <s v=""/>
    <s v=""/>
    <s v="LM"/>
    <d v="2025-10-01T00:00:00"/>
    <s v=""/>
    <n v="31"/>
    <s v="JUAN CARLOS CHAPARRO QUINTERO"/>
    <s v="JUAN CARLOS CHAPARRO QUINTERO"/>
    <m/>
    <s v="22-BACHILLER"/>
    <n v="17"/>
    <n v="203"/>
    <n v="201"/>
    <s v="Pendente"/>
    <m/>
    <m/>
    <m/>
    <m/>
    <m/>
    <m/>
    <m/>
    <m/>
    <n v="300"/>
    <m/>
    <m/>
    <n v="218.798"/>
    <n v="200"/>
    <s v=""/>
    <s v=""/>
    <s v=""/>
    <s v=""/>
    <s v=""/>
    <s v=""/>
    <s v=""/>
    <s v=""/>
    <n v="17"/>
    <n v="4.08"/>
    <m/>
    <n v="3328.1220000000003"/>
    <n v="3277.1220000000003"/>
    <m/>
    <s v="ES08 0182 5011 1002 0223 3298 "/>
    <m/>
    <m/>
    <m/>
    <s v="Pendente"/>
  </r>
  <r>
    <s v="E0095"/>
    <x v="1"/>
    <s v=""/>
    <s v=""/>
    <s v=""/>
    <s v="LM"/>
    <d v="2025-10-01T00:00:00"/>
    <s v=""/>
    <n v="31"/>
    <s v="LUIS CARLOS PEREZ G"/>
    <s v="LUIS CARLOS PEREZ GONZALEZ"/>
    <m/>
    <s v="22-BACHILLER"/>
    <n v="15"/>
    <n v="174"/>
    <n v="174"/>
    <s v="Pendente"/>
    <m/>
    <m/>
    <m/>
    <m/>
    <m/>
    <m/>
    <m/>
    <m/>
    <n v="300"/>
    <m/>
    <m/>
    <n v="218.798"/>
    <s v=""/>
    <s v=""/>
    <s v=""/>
    <s v=""/>
    <s v=""/>
    <s v=""/>
    <s v=""/>
    <s v=""/>
    <s v=""/>
    <m/>
    <n v="4.08"/>
    <m/>
    <n v="2687.1220000000003"/>
    <n v="2687.1220000000003"/>
    <m/>
    <s v="ES16 0182 5011 1602 0223 4024"/>
    <m/>
    <m/>
    <m/>
    <s v="Pendente"/>
  </r>
  <r>
    <s v="E0099"/>
    <x v="0"/>
    <s v=""/>
    <s v=""/>
    <s v=""/>
    <s v=""/>
    <s v=""/>
    <s v=""/>
    <n v="0"/>
    <s v="FERNANDO TOVAR LLAMOZA"/>
    <s v="LUIS FERNANDO TOVAR LLAMOZA"/>
    <m/>
    <s v="22-BACHILLER"/>
    <n v="15"/>
    <n v="165.5"/>
    <n v="165.5"/>
    <s v="Pendente"/>
    <m/>
    <m/>
    <m/>
    <m/>
    <m/>
    <m/>
    <m/>
    <m/>
    <n v="300"/>
    <m/>
    <m/>
    <n v="0"/>
    <s v=""/>
    <s v=""/>
    <s v=""/>
    <s v=""/>
    <s v=""/>
    <s v=""/>
    <s v=""/>
    <s v=""/>
    <s v=""/>
    <m/>
    <n v="4.08"/>
    <m/>
    <n v="2778.42"/>
    <n v="2778.42"/>
    <m/>
    <s v="ES93 6893 0001 7000 0027 7638"/>
    <m/>
    <m/>
    <m/>
    <s v="Pendente"/>
  </r>
  <r>
    <s v="E0551"/>
    <x v="0"/>
    <s v=""/>
    <s v=""/>
    <s v=""/>
    <s v=""/>
    <s v=""/>
    <s v=""/>
    <n v="0"/>
    <m/>
    <s v="NILSON MOSQUERA GOMEZ"/>
    <m/>
    <s v="22-BACHILLER"/>
    <n v="15"/>
    <s v=""/>
    <n v="42"/>
    <s v="Pendente"/>
    <m/>
    <m/>
    <m/>
    <m/>
    <m/>
    <m/>
    <m/>
    <m/>
    <s v=""/>
    <m/>
    <m/>
    <n v="0"/>
    <s v=""/>
    <s v=""/>
    <s v=""/>
    <s v=""/>
    <s v=""/>
    <s v=""/>
    <s v=""/>
    <s v=""/>
    <s v=""/>
    <m/>
    <n v="4.08"/>
    <m/>
    <n v="-4.08"/>
    <n v="625.91999999999996"/>
    <m/>
    <s v="ES79 0182 4414 6402 0155 7623"/>
    <m/>
    <m/>
    <m/>
    <s v="Pendente"/>
  </r>
  <r>
    <s v="E0088"/>
    <x v="1"/>
    <s v=""/>
    <s v=""/>
    <s v=""/>
    <s v="LM"/>
    <d v="2025-10-01T00:00:00"/>
    <s v=""/>
    <n v="31"/>
    <s v="NIVALDO"/>
    <s v="NIVALDO MENDES DA SILVA"/>
    <m/>
    <s v="22-BACHILLER"/>
    <n v="18"/>
    <n v="219"/>
    <n v="219"/>
    <s v="Pendente"/>
    <m/>
    <m/>
    <m/>
    <m/>
    <m/>
    <m/>
    <m/>
    <m/>
    <s v=""/>
    <m/>
    <m/>
    <n v="218.798"/>
    <s v=""/>
    <s v=""/>
    <s v=""/>
    <s v=""/>
    <s v=""/>
    <s v=""/>
    <s v=""/>
    <s v=""/>
    <s v=""/>
    <m/>
    <n v="4.08"/>
    <m/>
    <n v="3719.1220000000003"/>
    <n v="3719.1220000000003"/>
    <m/>
    <s v="PT50 0033 0000 4579 1255 2130 5"/>
    <m/>
    <m/>
    <m/>
    <s v="Pendente"/>
  </r>
  <r>
    <s v="E2096"/>
    <x v="0"/>
    <s v=""/>
    <s v=""/>
    <s v=""/>
    <s v=""/>
    <s v=""/>
    <s v=""/>
    <n v="0"/>
    <s v="PASTOR JOSE FERNANDEZ CANELO"/>
    <s v="PASTOR JOSE FERNANDEZ CANELO"/>
    <m/>
    <s v="22-BACHILLER"/>
    <n v="15"/>
    <n v="25"/>
    <n v="25"/>
    <s v="Pendente"/>
    <m/>
    <m/>
    <m/>
    <m/>
    <m/>
    <m/>
    <m/>
    <m/>
    <s v=""/>
    <m/>
    <m/>
    <n v="0"/>
    <s v=""/>
    <s v=""/>
    <s v=""/>
    <s v=""/>
    <s v=""/>
    <s v=""/>
    <s v=""/>
    <s v=""/>
    <s v=""/>
    <m/>
    <n v="4.08"/>
    <m/>
    <n v="370.92"/>
    <n v="370.92"/>
    <m/>
    <s v=" ES78 0182 5319 7900 0018 1172"/>
    <m/>
    <m/>
    <m/>
    <s v="Pendente"/>
  </r>
  <r>
    <s v="E2059"/>
    <x v="0"/>
    <s v=""/>
    <s v=""/>
    <s v=""/>
    <s v=""/>
    <s v=""/>
    <s v=""/>
    <n v="0"/>
    <s v="PAVEL FERNANDO GARCIA"/>
    <s v="PAVEL FERNANDO GARCIA ZAPATA"/>
    <m/>
    <s v="22-BACHILLER"/>
    <n v="15"/>
    <n v="226"/>
    <n v="62"/>
    <s v="Pendente"/>
    <m/>
    <m/>
    <m/>
    <m/>
    <m/>
    <m/>
    <m/>
    <m/>
    <s v=""/>
    <m/>
    <m/>
    <n v="0"/>
    <s v=""/>
    <s v=""/>
    <s v=""/>
    <s v=""/>
    <s v=""/>
    <s v=""/>
    <s v=""/>
    <s v=""/>
    <s v=""/>
    <n v="15"/>
    <n v="4.08"/>
    <m/>
    <n v="3385.92"/>
    <n v="910.92"/>
    <m/>
    <s v="ES31 0182 1005 3102 0172 5898"/>
    <m/>
    <m/>
    <m/>
    <s v="Pendente"/>
  </r>
  <r>
    <s v="E0098"/>
    <x v="0"/>
    <s v=""/>
    <s v=""/>
    <s v=""/>
    <s v=""/>
    <s v=""/>
    <s v=""/>
    <n v="0"/>
    <s v="RICARDO SANCHEZ BECERRA"/>
    <s v="RICARDO MILLER SANCHEZ BECERRA"/>
    <m/>
    <s v="22-BACHILLER"/>
    <n v="15"/>
    <n v="169"/>
    <n v="169"/>
    <s v="Pendente"/>
    <m/>
    <m/>
    <m/>
    <m/>
    <m/>
    <m/>
    <m/>
    <m/>
    <s v=""/>
    <m/>
    <m/>
    <n v="0"/>
    <s v=""/>
    <s v=""/>
    <s v=""/>
    <s v=""/>
    <s v=""/>
    <s v=""/>
    <s v=""/>
    <s v=""/>
    <s v=""/>
    <m/>
    <n v="4.08"/>
    <m/>
    <n v="2530.92"/>
    <n v="2530.92"/>
    <m/>
    <s v="ES61 6893 0001 7400 0028 1704"/>
    <m/>
    <m/>
    <m/>
    <s v="Pendente"/>
  </r>
  <r>
    <s v="E0092"/>
    <x v="1"/>
    <s v=""/>
    <s v=""/>
    <s v=""/>
    <s v="LM"/>
    <d v="2025-10-01T00:00:00"/>
    <s v=""/>
    <n v="31"/>
    <s v="WAYNER IBARBO VERGARA"/>
    <s v="WAYNER IBARBO VERGARA"/>
    <m/>
    <s v="22-BACHILLER"/>
    <n v="15"/>
    <n v="215"/>
    <n v="215"/>
    <s v="Pendente"/>
    <m/>
    <m/>
    <m/>
    <m/>
    <m/>
    <m/>
    <m/>
    <m/>
    <n v="300"/>
    <m/>
    <m/>
    <n v="218.798"/>
    <s v=""/>
    <s v=""/>
    <s v=""/>
    <s v=""/>
    <s v=""/>
    <s v=""/>
    <s v=""/>
    <s v=""/>
    <s v=""/>
    <m/>
    <n v="4.08"/>
    <m/>
    <n v="3302.1220000000003"/>
    <n v="3302.1220000000003"/>
    <m/>
    <s v="PT50 0033 0000 4578 4032 7870 5 "/>
    <m/>
    <m/>
    <m/>
    <s v="Pendente"/>
  </r>
  <r>
    <s v="E0091"/>
    <x v="1"/>
    <s v=""/>
    <s v=""/>
    <s v=""/>
    <s v="LM"/>
    <d v="2025-10-01T00:00:00"/>
    <s v=""/>
    <n v="31"/>
    <s v="WILLIAM MORAIS"/>
    <s v="WILLIAM MORAIS DA SILVA"/>
    <m/>
    <s v="22-BACHILLER"/>
    <n v="17"/>
    <n v="227"/>
    <n v="227"/>
    <s v="Pendente"/>
    <m/>
    <m/>
    <m/>
    <m/>
    <m/>
    <m/>
    <m/>
    <m/>
    <n v="300"/>
    <m/>
    <m/>
    <n v="218.798"/>
    <n v="300"/>
    <s v=""/>
    <s v=""/>
    <s v=""/>
    <s v=""/>
    <s v=""/>
    <s v=""/>
    <s v=""/>
    <s v=""/>
    <m/>
    <n v="4.08"/>
    <m/>
    <n v="3636.1220000000003"/>
    <n v="3636.1220000000003"/>
    <m/>
    <s v="PT50 0033 0000 4579 1848 1740 5"/>
    <m/>
    <m/>
    <m/>
    <s v="Pendente"/>
  </r>
  <r>
    <s v="E1586"/>
    <x v="0"/>
    <s v=""/>
    <s v=""/>
    <s v=""/>
    <s v=""/>
    <s v=""/>
    <s v=""/>
    <n v="0"/>
    <s v="WILSON CHUQUIVIGUEL B."/>
    <s v="WILSON CHUQUIVIGUEL BRICEÑO"/>
    <m/>
    <s v="22-BACHILLER"/>
    <n v="15"/>
    <n v="190"/>
    <n v="190"/>
    <s v="Pendente"/>
    <m/>
    <m/>
    <m/>
    <m/>
    <m/>
    <m/>
    <m/>
    <m/>
    <s v=""/>
    <m/>
    <m/>
    <n v="0"/>
    <s v=""/>
    <s v=""/>
    <s v=""/>
    <s v=""/>
    <s v=""/>
    <s v=""/>
    <s v=""/>
    <s v=""/>
    <s v=""/>
    <m/>
    <n v="4.08"/>
    <m/>
    <n v="2845.92"/>
    <n v="2845.92"/>
    <m/>
    <s v="ES37 0182 3275 5202 0165 3165"/>
    <m/>
    <m/>
    <m/>
    <s v="Pendente"/>
  </r>
  <r>
    <s v="E1996"/>
    <x v="0"/>
    <s v=""/>
    <s v=""/>
    <s v=""/>
    <s v=""/>
    <s v=""/>
    <s v=""/>
    <n v="0"/>
    <s v="PEDRO LUIS PADILLA VALDEZ"/>
    <s v="PEDRO LUIS PADILLA VALDEZ"/>
    <m/>
    <s v="233-MANUFACTURES DFERRO SLU"/>
    <n v="15"/>
    <n v="40"/>
    <n v="80"/>
    <s v="Pendente"/>
    <m/>
    <m/>
    <m/>
    <m/>
    <m/>
    <m/>
    <m/>
    <m/>
    <s v=""/>
    <m/>
    <m/>
    <n v="0"/>
    <s v=""/>
    <s v=""/>
    <s v=""/>
    <s v=""/>
    <s v=""/>
    <s v=""/>
    <s v=""/>
    <s v=""/>
    <s v=""/>
    <m/>
    <n v="4.08"/>
    <m/>
    <n v="595.91999999999996"/>
    <n v="1195.92"/>
    <m/>
    <s v="ES55 0182 2229 5702 0161 8663 "/>
    <m/>
    <m/>
    <m/>
    <s v="Pendente"/>
  </r>
  <r>
    <s v="E1995"/>
    <x v="0"/>
    <s v=""/>
    <s v=""/>
    <s v=""/>
    <s v=""/>
    <s v=""/>
    <s v=""/>
    <n v="0"/>
    <s v="CAMILO ANDRES RUBIO LEON"/>
    <s v="CAMILO ANDRES RUBIO LEON"/>
    <m/>
    <s v="234-TINCASUR SUR S.L"/>
    <n v="14"/>
    <n v="108"/>
    <n v="108"/>
    <s v="Confirmada"/>
    <m/>
    <m/>
    <m/>
    <m/>
    <m/>
    <m/>
    <m/>
    <m/>
    <s v=""/>
    <m/>
    <m/>
    <n v="0"/>
    <s v=""/>
    <s v=""/>
    <n v="0"/>
    <n v="0"/>
    <n v="0"/>
    <n v="0"/>
    <n v="0"/>
    <n v="21.74"/>
    <s v=""/>
    <m/>
    <n v="4.08"/>
    <m/>
    <n v="1486.18"/>
    <n v="1486.18"/>
    <m/>
    <s v="ES05 6893 0001 7900 0033 5429"/>
    <m/>
    <m/>
    <m/>
    <s v="Pendente"/>
  </r>
  <r>
    <s v="E1496"/>
    <x v="0"/>
    <s v=""/>
    <s v=""/>
    <s v=""/>
    <s v=""/>
    <s v=""/>
    <s v=""/>
    <n v="0"/>
    <s v="FREDIS BOLAÑOS GARCIA"/>
    <s v="FREDIS BOLAÑOS GARCIA"/>
    <m/>
    <s v="234-TINCASUR SUR S.L"/>
    <n v="14"/>
    <n v="117"/>
    <n v="117"/>
    <s v="Confirmada"/>
    <m/>
    <m/>
    <m/>
    <m/>
    <m/>
    <m/>
    <m/>
    <m/>
    <s v=""/>
    <m/>
    <m/>
    <n v="0"/>
    <s v=""/>
    <s v=""/>
    <n v="0"/>
    <n v="0"/>
    <n v="0"/>
    <n v="0"/>
    <n v="0"/>
    <n v="21.74"/>
    <s v=""/>
    <m/>
    <n v="4.08"/>
    <m/>
    <n v="1612.18"/>
    <n v="1612.18"/>
    <m/>
    <s v="ES89 0182 6936 1302 0159 9615"/>
    <m/>
    <m/>
    <m/>
    <s v="Pendente"/>
  </r>
  <r>
    <s v="E1994"/>
    <x v="0"/>
    <s v=""/>
    <s v=""/>
    <s v=""/>
    <s v=""/>
    <s v=""/>
    <s v=""/>
    <n v="0"/>
    <s v="MICHAEL AHUMADA RUBIO"/>
    <s v="MICHAEL ANDRES AHUMADA RUBIO"/>
    <m/>
    <s v="234-TINCASUR SUR S.L"/>
    <n v="14"/>
    <n v="107"/>
    <n v="107"/>
    <s v="Confirmada"/>
    <m/>
    <m/>
    <m/>
    <m/>
    <m/>
    <m/>
    <m/>
    <m/>
    <s v=""/>
    <m/>
    <m/>
    <n v="0"/>
    <s v=""/>
    <s v=""/>
    <n v="0"/>
    <n v="0"/>
    <n v="0"/>
    <n v="0"/>
    <n v="0"/>
    <n v="21.74"/>
    <s v=""/>
    <m/>
    <n v="4.08"/>
    <m/>
    <n v="1472.18"/>
    <n v="1472.18"/>
    <m/>
    <s v="ES84 6893 0001 7200 0033 5417"/>
    <m/>
    <m/>
    <m/>
    <s v="Pendente"/>
  </r>
  <r>
    <s v="E1753"/>
    <x v="0"/>
    <s v=""/>
    <s v=""/>
    <s v=""/>
    <s v=""/>
    <s v=""/>
    <s v=""/>
    <n v="0"/>
    <s v="OMAR DAVID DIAZ MORALES"/>
    <s v="OMAR DAVID DIAZ MORALES"/>
    <m/>
    <s v="234-TINCASUR SUR S.L"/>
    <n v="15"/>
    <n v="108"/>
    <n v="108"/>
    <s v="Confirmada"/>
    <m/>
    <m/>
    <m/>
    <m/>
    <m/>
    <m/>
    <m/>
    <m/>
    <s v=""/>
    <m/>
    <m/>
    <n v="0"/>
    <s v=""/>
    <s v=""/>
    <n v="0"/>
    <n v="0"/>
    <n v="0"/>
    <n v="0"/>
    <n v="0"/>
    <n v="21.74"/>
    <s v=""/>
    <m/>
    <n v="4.08"/>
    <m/>
    <n v="1594.18"/>
    <n v="1594.18"/>
    <m/>
    <s v="BE80 9055 6224 8177"/>
    <m/>
    <m/>
    <m/>
    <s v="Pendente"/>
  </r>
  <r>
    <s v="E0082"/>
    <x v="0"/>
    <s v=""/>
    <s v=""/>
    <s v=""/>
    <s v=""/>
    <s v=""/>
    <s v=""/>
    <n v="0"/>
    <s v="ROBER HENRRY CHUMBES ROJAS"/>
    <s v="ROBER HENRRY CHUMBES ROJAS"/>
    <m/>
    <s v="234-TINCASUR SUR S.L"/>
    <n v="15"/>
    <n v="116"/>
    <n v="116"/>
    <s v="Confirmada"/>
    <m/>
    <m/>
    <m/>
    <m/>
    <m/>
    <m/>
    <m/>
    <m/>
    <s v=""/>
    <m/>
    <m/>
    <n v="0"/>
    <s v=""/>
    <s v=""/>
    <n v="0"/>
    <n v="0"/>
    <n v="0"/>
    <n v="0"/>
    <n v="0"/>
    <n v="21.74"/>
    <s v=""/>
    <m/>
    <n v="4.08"/>
    <m/>
    <n v="1714.18"/>
    <n v="1714.18"/>
    <m/>
    <s v="ES31 0182 1965 1002 0169 8812"/>
    <m/>
    <m/>
    <m/>
    <s v="Pendente"/>
  </r>
  <r>
    <s v="E1959"/>
    <x v="0"/>
    <s v=""/>
    <s v=""/>
    <s v=""/>
    <s v=""/>
    <s v=""/>
    <s v=""/>
    <n v="0"/>
    <s v="LUBERMI JOSE MIRANDA PEREZ"/>
    <s v="LUBERMI JOSE MIRANDA PEREZ"/>
    <m/>
    <s v="257-TALLERES RO-DA-JE S.L"/>
    <n v="15"/>
    <n v="30"/>
    <n v="30"/>
    <s v="Confirmada"/>
    <m/>
    <m/>
    <m/>
    <m/>
    <m/>
    <m/>
    <m/>
    <m/>
    <s v=""/>
    <m/>
    <m/>
    <n v="0"/>
    <s v=""/>
    <s v=""/>
    <s v=""/>
    <s v=""/>
    <s v=""/>
    <s v=""/>
    <s v=""/>
    <s v=""/>
    <s v=""/>
    <m/>
    <n v="4.08"/>
    <m/>
    <n v="445.92"/>
    <n v="445.92"/>
    <m/>
    <s v="ES50 6893 0001 7600 0032 9237"/>
    <m/>
    <m/>
    <m/>
    <s v="Pendente"/>
  </r>
  <r>
    <s v="E1734"/>
    <x v="1"/>
    <s v=""/>
    <s v=""/>
    <s v=""/>
    <s v="LM"/>
    <d v="2026-01-26T00:00:00"/>
    <s v=""/>
    <n v="6"/>
    <s v="MAURICIO ORTIZ CONTRERAS"/>
    <s v="MAURICIO ORTIZ CONTRERAS"/>
    <m/>
    <s v="257-TALLERES RO-DA-JE S.L"/>
    <n v="12"/>
    <n v="30"/>
    <n v="30"/>
    <s v="Confirmada"/>
    <m/>
    <m/>
    <m/>
    <m/>
    <m/>
    <m/>
    <m/>
    <m/>
    <s v=""/>
    <m/>
    <m/>
    <n v="42.347999999999999"/>
    <s v=""/>
    <s v=""/>
    <s v=""/>
    <s v=""/>
    <s v=""/>
    <s v=""/>
    <s v=""/>
    <s v=""/>
    <s v=""/>
    <m/>
    <n v="4.08"/>
    <m/>
    <n v="313.572"/>
    <n v="313.572"/>
    <m/>
    <s v="ES48 0182 7424 9502 0160 6273"/>
    <m/>
    <m/>
    <m/>
    <s v="Pendente"/>
  </r>
  <r>
    <s v="E1881"/>
    <x v="1"/>
    <s v=""/>
    <s v=""/>
    <s v=""/>
    <s v="LM"/>
    <d v="2026-01-30T00:00:00"/>
    <s v=""/>
    <n v="2"/>
    <s v="LUIS GUILLERMO ARTEAGA AGUDELO"/>
    <s v="LUIS GUILLERMO ARTEAGA AGUDELO"/>
    <m/>
    <s v="265-SINFINES FACTORY S.L"/>
    <n v="15"/>
    <n v="36"/>
    <n v="36"/>
    <s v="Pendente"/>
    <m/>
    <m/>
    <s v="620-TALLERES CRANTE S.L"/>
    <n v="15"/>
    <n v="23"/>
    <s v="pendente"/>
    <m/>
    <m/>
    <s v=""/>
    <m/>
    <m/>
    <n v="14.116"/>
    <n v="64"/>
    <n v="30"/>
    <s v=""/>
    <s v=""/>
    <s v=""/>
    <s v=""/>
    <s v=""/>
    <s v=""/>
    <s v=""/>
    <m/>
    <n v="4.08"/>
    <m/>
    <n v="427.80400000000003"/>
    <n v="772.80399999999997"/>
    <m/>
    <s v="ES51 6893 0001 7100 0033 3635"/>
    <m/>
    <m/>
    <m/>
    <s v="Pendente"/>
  </r>
  <r>
    <s v="E2088"/>
    <x v="1"/>
    <s v=""/>
    <s v=""/>
    <s v=""/>
    <s v="LM"/>
    <d v="2026-01-20T00:00:00"/>
    <d v="2026-01-23T00:00:00"/>
    <n v="4"/>
    <s v="MOISES MUÑOZ ZAMBRANO"/>
    <s v="MOISES MUNOZ ZAMBRANO"/>
    <m/>
    <s v="265-SINFINES FACTORY S.L"/>
    <n v="15"/>
    <n v="36"/>
    <n v="36"/>
    <s v="Pendente"/>
    <m/>
    <m/>
    <m/>
    <m/>
    <m/>
    <m/>
    <m/>
    <m/>
    <s v=""/>
    <m/>
    <m/>
    <n v="28.231999999999999"/>
    <s v=""/>
    <n v="20"/>
    <s v=""/>
    <s v=""/>
    <s v=""/>
    <s v=""/>
    <s v=""/>
    <s v=""/>
    <s v=""/>
    <m/>
    <n v="4.08"/>
    <m/>
    <n v="487.68800000000005"/>
    <n v="487.68800000000005"/>
    <m/>
    <s v="BE66 9676 0328 9543"/>
    <m/>
    <m/>
    <m/>
    <s v="Pendente"/>
  </r>
  <r>
    <s v="E1454"/>
    <x v="0"/>
    <s v=""/>
    <s v=""/>
    <s v=""/>
    <s v=""/>
    <s v=""/>
    <s v=""/>
    <n v="0"/>
    <s v="ANGEL TEHERAN C."/>
    <s v="ANGEL TEHERAN CARABALLO"/>
    <m/>
    <s v="266-CALVO CONTRUCCIONES Y MONTAJES S.L"/>
    <n v="15"/>
    <n v="101"/>
    <n v="101"/>
    <s v="Confirmada"/>
    <m/>
    <m/>
    <m/>
    <m/>
    <m/>
    <m/>
    <m/>
    <m/>
    <n v="30"/>
    <m/>
    <m/>
    <n v="0"/>
    <s v=""/>
    <s v=""/>
    <s v=""/>
    <s v=""/>
    <s v=""/>
    <s v=""/>
    <s v=""/>
    <s v=""/>
    <s v=""/>
    <m/>
    <n v="4.08"/>
    <m/>
    <n v="1540.92"/>
    <n v="1540.92"/>
    <m/>
    <s v="ES76 0182 2125 3202 0160 1042"/>
    <m/>
    <m/>
    <m/>
    <s v="Pendente"/>
  </r>
  <r>
    <s v="E1504"/>
    <x v="1"/>
    <s v=""/>
    <s v=""/>
    <s v=""/>
    <s v="LM"/>
    <d v="2026-01-19T00:00:00"/>
    <s v=""/>
    <n v="13"/>
    <s v="HARRYS MENDOZA ANGULO"/>
    <s v="HARRIS HUMBERTO MENDOZA ANGULO"/>
    <m/>
    <s v="266-CALVO CONTRUCCIONES Y MONTAJES S.L"/>
    <n v="15"/>
    <n v="111"/>
    <n v="111"/>
    <s v="Confirmada"/>
    <m/>
    <m/>
    <m/>
    <m/>
    <m/>
    <m/>
    <m/>
    <m/>
    <n v="30"/>
    <m/>
    <m/>
    <n v="91.753999999999991"/>
    <s v=""/>
    <s v=""/>
    <s v=""/>
    <s v=""/>
    <s v=""/>
    <s v=""/>
    <s v=""/>
    <s v=""/>
    <s v=""/>
    <m/>
    <n v="4.08"/>
    <m/>
    <n v="1599.1660000000002"/>
    <n v="1599.1660000000002"/>
    <m/>
    <s v="ES35 0182 2125 3202 0160 1004"/>
    <m/>
    <m/>
    <m/>
    <s v="Pendente"/>
  </r>
  <r>
    <s v="E1709"/>
    <x v="0"/>
    <s v=""/>
    <s v=""/>
    <s v=""/>
    <s v=""/>
    <s v=""/>
    <s v=""/>
    <n v="0"/>
    <s v="JAIR PLAZA"/>
    <s v="JAIR PLAZA AGUILAR"/>
    <m/>
    <s v="266-CALVO CONTRUCCIONES Y MONTAJES S.L"/>
    <n v="15"/>
    <n v="112"/>
    <n v="112"/>
    <s v="Confirmada"/>
    <m/>
    <m/>
    <m/>
    <m/>
    <m/>
    <m/>
    <m/>
    <m/>
    <s v=""/>
    <m/>
    <m/>
    <n v="0"/>
    <s v=""/>
    <s v=""/>
    <s v=""/>
    <s v=""/>
    <s v=""/>
    <s v=""/>
    <s v=""/>
    <s v=""/>
    <s v=""/>
    <m/>
    <n v="4.08"/>
    <m/>
    <n v="1675.92"/>
    <n v="1675.92"/>
    <m/>
    <s v="BE64 9055 9467 2752"/>
    <m/>
    <m/>
    <m/>
    <s v="Pendente"/>
  </r>
  <r>
    <s v="E2091"/>
    <x v="1"/>
    <s v=""/>
    <s v=""/>
    <s v=""/>
    <s v="LM"/>
    <d v="2026-01-26T00:00:00"/>
    <s v=""/>
    <n v="6"/>
    <s v="RICARDO BONILLA BLANCO"/>
    <s v="RICARDO RAFAEL BONILLA BLANCO"/>
    <m/>
    <s v="273-HERRERIA MITXEL S.L"/>
    <n v="15"/>
    <n v="54"/>
    <n v="54"/>
    <s v="Pendente"/>
    <m/>
    <m/>
    <m/>
    <m/>
    <m/>
    <m/>
    <m/>
    <m/>
    <s v=""/>
    <m/>
    <m/>
    <n v="42.347999999999999"/>
    <s v=""/>
    <s v=""/>
    <s v=""/>
    <s v=""/>
    <s v=""/>
    <s v=""/>
    <s v=""/>
    <s v=""/>
    <s v=""/>
    <m/>
    <n v="4.08"/>
    <m/>
    <n v="763.572"/>
    <n v="763.572"/>
    <m/>
    <s v="ES56 6893 0001 7500 0036 0121"/>
    <m/>
    <m/>
    <m/>
    <s v="Pendente"/>
  </r>
  <r>
    <s v="E2054"/>
    <x v="0"/>
    <s v=""/>
    <s v=""/>
    <s v=""/>
    <s v=""/>
    <s v=""/>
    <s v=""/>
    <n v="0"/>
    <s v="CARLOS MARIO ROCHA"/>
    <s v="CARLOS MARIO ROCHA ARIZ"/>
    <m/>
    <s v="279-GAMOHER CONSTRUCCIONES METÁLICAS S.L"/>
    <n v="15"/>
    <n v="229"/>
    <n v="229"/>
    <s v="Pendente"/>
    <m/>
    <m/>
    <m/>
    <m/>
    <m/>
    <m/>
    <m/>
    <m/>
    <s v=""/>
    <m/>
    <m/>
    <n v="0"/>
    <s v=""/>
    <n v="128.88888888888889"/>
    <s v=""/>
    <s v=""/>
    <s v=""/>
    <s v=""/>
    <s v=""/>
    <s v=""/>
    <s v=""/>
    <m/>
    <n v="4.08"/>
    <m/>
    <n v="3302.0311111111114"/>
    <n v="3302.0311111111114"/>
    <m/>
    <s v="ES24 0182 4003 1702 0167 7884"/>
    <m/>
    <m/>
    <m/>
    <s v="Pendente"/>
  </r>
  <r>
    <s v="E2052"/>
    <x v="0"/>
    <s v=""/>
    <s v=""/>
    <s v=""/>
    <s v=""/>
    <s v=""/>
    <s v=""/>
    <n v="0"/>
    <s v="FARID JOSE ROJAS GUERRA"/>
    <s v="FARID JOSE ROJAS GUERRA"/>
    <m/>
    <s v="279-GAMOHER CONSTRUCCIONES METÁLICAS S.L"/>
    <n v="15"/>
    <n v="207"/>
    <n v="207"/>
    <s v="Pendente"/>
    <m/>
    <m/>
    <m/>
    <m/>
    <m/>
    <m/>
    <m/>
    <m/>
    <s v=""/>
    <m/>
    <m/>
    <n v="0"/>
    <s v=""/>
    <n v="128.88888888888889"/>
    <n v="100"/>
    <n v="0"/>
    <n v="0"/>
    <n v="0"/>
    <n v="0"/>
    <n v="0"/>
    <s v=""/>
    <m/>
    <n v="4.08"/>
    <m/>
    <n v="2872.0311111111114"/>
    <n v="2872.0311111111114"/>
    <m/>
    <s v="ES21 0182 2648 1702 0166 2656"/>
    <m/>
    <m/>
    <m/>
    <s v="Pendente"/>
  </r>
  <r>
    <s v="E2053"/>
    <x v="0"/>
    <s v=""/>
    <s v=""/>
    <s v=""/>
    <s v=""/>
    <s v=""/>
    <s v=""/>
    <n v="0"/>
    <s v="MISAEL SUAREZ SIJONA"/>
    <s v="MISAEL SUAREZ SIJONA"/>
    <m/>
    <s v="279-GAMOHER CONSTRUCCIONES METÁLICAS S.L"/>
    <n v="15"/>
    <n v="207"/>
    <n v="207"/>
    <s v="Pendente"/>
    <m/>
    <m/>
    <m/>
    <m/>
    <m/>
    <m/>
    <m/>
    <m/>
    <s v=""/>
    <m/>
    <m/>
    <n v="0"/>
    <s v=""/>
    <n v="128.88888888888889"/>
    <s v=""/>
    <s v=""/>
    <s v=""/>
    <s v=""/>
    <s v=""/>
    <s v=""/>
    <s v=""/>
    <m/>
    <n v="4.08"/>
    <m/>
    <n v="2972.0311111111114"/>
    <n v="2972.0311111111114"/>
    <m/>
    <s v="ES46 0182 7345 4402 0171 4802"/>
    <m/>
    <m/>
    <m/>
    <s v="Pendente"/>
  </r>
  <r>
    <s v="E1918"/>
    <x v="1"/>
    <s v=""/>
    <s v=""/>
    <s v=""/>
    <s v="LM"/>
    <d v="2026-01-19T00:00:00"/>
    <s v=""/>
    <n v="13"/>
    <s v="CHRISTIAN CAMILO BORRE SILVA"/>
    <s v="CRISTIAN CAMILO BORRE SILVA"/>
    <m/>
    <s v="33-CALDERAS RCB"/>
    <n v="15"/>
    <n v="103"/>
    <n v="103"/>
    <s v="Confirmada"/>
    <m/>
    <m/>
    <m/>
    <m/>
    <m/>
    <m/>
    <m/>
    <m/>
    <s v=""/>
    <m/>
    <m/>
    <n v="91.753999999999991"/>
    <s v=""/>
    <s v=""/>
    <s v=""/>
    <s v=""/>
    <s v=""/>
    <s v=""/>
    <s v=""/>
    <s v=""/>
    <s v=""/>
    <m/>
    <n v="4.08"/>
    <m/>
    <n v="1449.1660000000002"/>
    <n v="1449.1660000000002"/>
    <m/>
    <s v="ES96 2100 4247 1022 0031 7145"/>
    <m/>
    <m/>
    <m/>
    <s v="Pendente"/>
  </r>
  <r>
    <s v="E0637"/>
    <x v="1"/>
    <s v=""/>
    <s v=""/>
    <s v=""/>
    <s v="LM"/>
    <d v="2026-01-19T00:00:00"/>
    <s v=""/>
    <n v="13"/>
    <s v="EDUAR MANUEL DAVILA CERÓN"/>
    <s v="EDUAR MANUEL DAVILA CERON"/>
    <m/>
    <s v="33-CALDERAS RCB"/>
    <n v="15"/>
    <n v="102.5"/>
    <n v="102.5"/>
    <s v="Confirmada"/>
    <m/>
    <m/>
    <m/>
    <m/>
    <m/>
    <m/>
    <m/>
    <m/>
    <s v=""/>
    <m/>
    <m/>
    <n v="91.753999999999991"/>
    <s v=""/>
    <s v=""/>
    <s v=""/>
    <s v=""/>
    <s v=""/>
    <s v=""/>
    <s v=""/>
    <s v=""/>
    <s v=""/>
    <m/>
    <n v="4.08"/>
    <m/>
    <n v="1441.6660000000002"/>
    <n v="1441.6660000000002"/>
    <m/>
    <s v="BE76 9054 4665 5095"/>
    <m/>
    <m/>
    <m/>
    <s v="Pendente"/>
  </r>
  <r>
    <s v="E2074"/>
    <x v="0"/>
    <s v=""/>
    <s v=""/>
    <s v=""/>
    <s v=""/>
    <s v=""/>
    <s v=""/>
    <n v="0"/>
    <s v="ALEXIS E MORENO ARRIETA"/>
    <s v="ALEXIS ENRIQUE MORENO ARRIETA"/>
    <m/>
    <s v="41-CMR SA"/>
    <n v="15"/>
    <n v="192"/>
    <n v="192"/>
    <s v="Confirmada"/>
    <m/>
    <m/>
    <m/>
    <m/>
    <m/>
    <m/>
    <m/>
    <m/>
    <s v=""/>
    <m/>
    <m/>
    <n v="0"/>
    <s v=""/>
    <n v="84.444444444444443"/>
    <s v=""/>
    <s v=""/>
    <s v=""/>
    <s v=""/>
    <s v=""/>
    <s v=""/>
    <s v=""/>
    <m/>
    <n v="4.08"/>
    <m/>
    <n v="2791.4755555555557"/>
    <n v="2791.4755555555557"/>
    <m/>
    <s v="ES89 6893 0001 7800 0034 7643"/>
    <m/>
    <m/>
    <m/>
    <s v="Pendente"/>
  </r>
  <r>
    <s v="E2075"/>
    <x v="0"/>
    <s v=""/>
    <s v=""/>
    <s v=""/>
    <s v=""/>
    <s v=""/>
    <s v=""/>
    <n v="0"/>
    <s v="DUBERNEY POSCUE FAJARDO"/>
    <s v="DUBERNEY POSCUE FAJARDO"/>
    <m/>
    <s v="41-CMR SA"/>
    <n v="15"/>
    <n v="192"/>
    <n v="192"/>
    <s v="Confirmada"/>
    <m/>
    <m/>
    <m/>
    <m/>
    <m/>
    <m/>
    <m/>
    <m/>
    <s v=""/>
    <m/>
    <m/>
    <n v="0"/>
    <s v=""/>
    <n v="84.444444444444443"/>
    <s v=""/>
    <s v=""/>
    <s v=""/>
    <s v=""/>
    <s v=""/>
    <s v=""/>
    <s v=""/>
    <m/>
    <n v="4.08"/>
    <m/>
    <n v="2791.4755555555557"/>
    <n v="2791.4755555555557"/>
    <m/>
    <s v="LU76 4080 0000 4475 6306"/>
    <m/>
    <m/>
    <m/>
    <s v="Pendente"/>
  </r>
  <r>
    <s v="E0588"/>
    <x v="0"/>
    <s v=""/>
    <s v=""/>
    <s v=""/>
    <s v=""/>
    <s v=""/>
    <s v=""/>
    <n v="0"/>
    <s v="SERGIO BELTRAN"/>
    <s v="SERGIO LUIS BELTRAN BALDOVINO"/>
    <m/>
    <s v="41-CMR SA"/>
    <n v="15"/>
    <n v="192"/>
    <n v="192"/>
    <s v="Confirmada"/>
    <m/>
    <m/>
    <m/>
    <m/>
    <m/>
    <m/>
    <m/>
    <m/>
    <s v=""/>
    <m/>
    <m/>
    <n v="0"/>
    <s v=""/>
    <n v="84.444444444444443"/>
    <s v=""/>
    <s v=""/>
    <s v=""/>
    <s v=""/>
    <s v=""/>
    <s v=""/>
    <s v=""/>
    <m/>
    <n v="4.08"/>
    <m/>
    <n v="2791.4755555555557"/>
    <n v="2791.4755555555557"/>
    <m/>
    <s v="ES05 6893 0001 7400 0027 2818"/>
    <m/>
    <m/>
    <m/>
    <s v="Pendente"/>
  </r>
  <r>
    <s v="E1882"/>
    <x v="0"/>
    <s v=""/>
    <s v=""/>
    <s v=""/>
    <s v=""/>
    <s v=""/>
    <s v=""/>
    <n v="0"/>
    <s v="ALVARO SEGOVIA TORRES"/>
    <s v="ALVARO SEGOVIA TORRES"/>
    <m/>
    <s v="42-CALDESOL"/>
    <n v="15"/>
    <n v="51"/>
    <n v="51"/>
    <s v="Confirmada"/>
    <m/>
    <m/>
    <m/>
    <m/>
    <m/>
    <m/>
    <m/>
    <m/>
    <s v=""/>
    <m/>
    <m/>
    <n v="0"/>
    <s v=""/>
    <n v="26.666666666666668"/>
    <s v=""/>
    <s v=""/>
    <s v=""/>
    <s v=""/>
    <s v=""/>
    <s v=""/>
    <s v=""/>
    <m/>
    <n v="4.08"/>
    <m/>
    <n v="734.25333333333333"/>
    <n v="734.25333333333333"/>
    <m/>
    <s v="ES33 0182 2229 5402 0161 8236"/>
    <m/>
    <m/>
    <m/>
    <s v="Pendente"/>
  </r>
  <r>
    <s v="E1703"/>
    <x v="0"/>
    <s v=""/>
    <s v=""/>
    <s v=""/>
    <s v=""/>
    <s v=""/>
    <s v=""/>
    <n v="0"/>
    <s v="ANDERSON CHELUVAY GONZALEZ TRUJILLO"/>
    <s v="ANDERSON CHELUVAY GONZALEZ TRUJILLO"/>
    <m/>
    <s v="42-CALDESOL"/>
    <n v="15"/>
    <n v="222"/>
    <n v="222"/>
    <s v="Confirmada"/>
    <m/>
    <m/>
    <m/>
    <m/>
    <m/>
    <m/>
    <m/>
    <m/>
    <n v="300"/>
    <m/>
    <m/>
    <n v="0"/>
    <s v=""/>
    <n v="102.66"/>
    <s v=""/>
    <s v=""/>
    <s v=""/>
    <s v=""/>
    <s v=""/>
    <s v=""/>
    <s v=""/>
    <m/>
    <n v="4.08"/>
    <m/>
    <n v="3523.26"/>
    <n v="3523.26"/>
    <m/>
    <s v="BE72 9055 8338 8016"/>
    <m/>
    <m/>
    <m/>
    <s v="Pendente"/>
  </r>
  <r>
    <s v="E0177"/>
    <x v="0"/>
    <s v=""/>
    <s v=""/>
    <s v=""/>
    <s v=""/>
    <s v=""/>
    <s v=""/>
    <n v="0"/>
    <s v="ARLEY PANTOJA"/>
    <s v="ARLEY DARIO PANTOJA CABRERA"/>
    <m/>
    <s v="42-CALDESOL"/>
    <n v="15"/>
    <n v="195"/>
    <n v="195"/>
    <s v="Confirmada"/>
    <m/>
    <m/>
    <m/>
    <m/>
    <m/>
    <m/>
    <m/>
    <m/>
    <s v=""/>
    <m/>
    <m/>
    <n v="0"/>
    <s v=""/>
    <n v="102.66"/>
    <s v=""/>
    <s v=""/>
    <s v=""/>
    <s v=""/>
    <s v=""/>
    <s v=""/>
    <s v=""/>
    <m/>
    <n v="4.08"/>
    <m/>
    <n v="2818.26"/>
    <n v="2818.26"/>
    <m/>
    <s v="ES91 6893 0001 7600 0026 0211"/>
    <m/>
    <m/>
    <m/>
    <s v="Pendente"/>
  </r>
  <r>
    <s v="E0622"/>
    <x v="1"/>
    <s v=""/>
    <s v=""/>
    <s v=""/>
    <s v="LM"/>
    <d v="2025-10-12T00:00:00"/>
    <s v=""/>
    <n v="31"/>
    <s v="BREINER MOLINA PELAEZ"/>
    <s v="BREINER MOLINA PELAEZ"/>
    <m/>
    <s v="42-CALDESOL"/>
    <n v="15"/>
    <n v="210"/>
    <n v="210"/>
    <s v="Confirmada"/>
    <m/>
    <m/>
    <m/>
    <m/>
    <m/>
    <m/>
    <m/>
    <m/>
    <s v=""/>
    <m/>
    <m/>
    <n v="218.798"/>
    <s v=""/>
    <n v="102.66"/>
    <n v="0"/>
    <n v="0"/>
    <n v="0"/>
    <n v="53.16"/>
    <n v="0"/>
    <n v="0"/>
    <s v=""/>
    <m/>
    <n v="4.08"/>
    <m/>
    <n v="2771.3020000000006"/>
    <n v="2771.3020000000006"/>
    <m/>
    <s v="ES66 0182 1649 2102 0167 1636"/>
    <m/>
    <m/>
    <m/>
    <s v="Pendente"/>
  </r>
  <r>
    <s v="E0144"/>
    <x v="1"/>
    <s v=""/>
    <s v=""/>
    <s v=""/>
    <s v="LM"/>
    <d v="2025-10-13T00:00:00"/>
    <s v=""/>
    <n v="31"/>
    <s v="CARLOS CARDENAS"/>
    <s v="CARLOS EDUARDO CARDENAS ESPINOSA"/>
    <m/>
    <s v="42-CALDESOL"/>
    <n v="15"/>
    <n v="204.5"/>
    <n v="204.5"/>
    <s v="Confirmada"/>
    <m/>
    <m/>
    <m/>
    <m/>
    <m/>
    <m/>
    <m/>
    <m/>
    <n v="300"/>
    <m/>
    <m/>
    <n v="218.798"/>
    <s v=""/>
    <s v=""/>
    <s v=""/>
    <s v=""/>
    <s v=""/>
    <s v=""/>
    <s v=""/>
    <s v=""/>
    <s v=""/>
    <m/>
    <n v="4.08"/>
    <m/>
    <n v="3144.6220000000003"/>
    <n v="3144.6220000000003"/>
    <m/>
    <s v="BE41 9679 5785 0310"/>
    <m/>
    <m/>
    <m/>
    <s v="Pendente"/>
  </r>
  <r>
    <s v="E1965"/>
    <x v="0"/>
    <s v=""/>
    <s v=""/>
    <s v=""/>
    <s v=""/>
    <s v=""/>
    <s v=""/>
    <n v="0"/>
    <s v="GUSTAVO RAFAEL CARRILLO NUNEZ"/>
    <s v="GUSTAVO RAFAEL CARRILLO NUNEZ"/>
    <m/>
    <s v="42-CALDESOL"/>
    <n v="15"/>
    <n v="189"/>
    <n v="189"/>
    <s v="Confirmada"/>
    <m/>
    <m/>
    <m/>
    <m/>
    <m/>
    <m/>
    <m/>
    <m/>
    <n v="300"/>
    <m/>
    <m/>
    <n v="0"/>
    <s v=""/>
    <s v=""/>
    <s v=""/>
    <s v=""/>
    <s v=""/>
    <s v=""/>
    <s v=""/>
    <s v=""/>
    <s v=""/>
    <m/>
    <n v="4.08"/>
    <m/>
    <n v="3130.92"/>
    <n v="3130.92"/>
    <m/>
    <s v=" BE62 9057 0876 5061"/>
    <m/>
    <m/>
    <m/>
    <s v="Pendente"/>
  </r>
  <r>
    <s v="E1958"/>
    <x v="1"/>
    <s v=""/>
    <s v=""/>
    <s v=""/>
    <s v="LM"/>
    <d v="2025-11-24T00:00:00"/>
    <s v=""/>
    <n v="31"/>
    <s v="HERNANDO MAESTRE"/>
    <s v="HERNANDO ENRIQUE MAESTRE CASTILLA"/>
    <m/>
    <s v="42-CALDESOL"/>
    <n v="15"/>
    <n v="152"/>
    <n v="152"/>
    <s v="Confirmada"/>
    <m/>
    <m/>
    <m/>
    <m/>
    <m/>
    <m/>
    <m/>
    <m/>
    <s v=""/>
    <m/>
    <m/>
    <n v="218.798"/>
    <s v=""/>
    <n v="140"/>
    <n v="0"/>
    <n v="0"/>
    <n v="0"/>
    <n v="53.16"/>
    <n v="0"/>
    <n v="0"/>
    <s v=""/>
    <m/>
    <n v="4.08"/>
    <m/>
    <n v="1863.9620000000002"/>
    <n v="1863.9620000000002"/>
    <m/>
    <s v="ES91 0182 0602 1702 0160 7235"/>
    <m/>
    <m/>
    <m/>
    <s v="Pendente"/>
  </r>
  <r>
    <s v="E1618"/>
    <x v="0"/>
    <s v=""/>
    <s v=""/>
    <s v=""/>
    <s v=""/>
    <s v=""/>
    <s v=""/>
    <n v="0"/>
    <s v="ISAHAC EMILIO RADA BRUGES"/>
    <s v="ISAHAC EMILIO RADA BRUGES"/>
    <m/>
    <s v="42-CALDESOL"/>
    <n v="15"/>
    <n v="120"/>
    <n v="120"/>
    <s v="Confirmada"/>
    <m/>
    <m/>
    <m/>
    <m/>
    <m/>
    <m/>
    <m/>
    <m/>
    <s v=""/>
    <m/>
    <m/>
    <n v="0"/>
    <s v=""/>
    <n v="114.66666666666667"/>
    <s v=""/>
    <s v=""/>
    <s v=""/>
    <s v=""/>
    <s v=""/>
    <s v=""/>
    <s v=""/>
    <m/>
    <n v="4.08"/>
    <m/>
    <n v="1681.2533333333333"/>
    <n v="1681.2533333333333"/>
    <m/>
    <s v="ES61 0182 0021 8402 0157 2141"/>
    <m/>
    <m/>
    <m/>
    <s v="Pendente"/>
  </r>
  <r>
    <s v="E1772"/>
    <x v="0"/>
    <s v=""/>
    <s v=""/>
    <s v=""/>
    <s v=""/>
    <s v=""/>
    <s v=""/>
    <n v="0"/>
    <s v="JESUS ELIECER ALVAREZ ORTIZ"/>
    <s v="JESUS ELIECER ALVAREZ ORTIZ"/>
    <m/>
    <s v="42-CALDESOL"/>
    <n v="15"/>
    <n v="152"/>
    <n v="152"/>
    <s v="Confirmada"/>
    <m/>
    <m/>
    <m/>
    <m/>
    <m/>
    <m/>
    <m/>
    <m/>
    <s v=""/>
    <m/>
    <m/>
    <n v="0"/>
    <s v=""/>
    <n v="140"/>
    <n v="0"/>
    <n v="0"/>
    <n v="0"/>
    <n v="53.16"/>
    <n v="0"/>
    <n v="0"/>
    <s v=""/>
    <m/>
    <n v="4.08"/>
    <m/>
    <n v="2082.7600000000002"/>
    <n v="2082.7600000000002"/>
    <m/>
    <s v="ES56 0182 4960 2202 0166 4327"/>
    <m/>
    <m/>
    <m/>
    <s v="Pendente"/>
  </r>
  <r>
    <s v="E1531"/>
    <x v="0"/>
    <s v=""/>
    <s v=""/>
    <s v=""/>
    <s v=""/>
    <s v=""/>
    <s v=""/>
    <n v="0"/>
    <s v="JORGE ANTONIO RAMIREZ LUNA"/>
    <s v="JORGE ANTONIO RAMIREZ LUNA"/>
    <m/>
    <s v="42-CALDESOL"/>
    <n v="15"/>
    <n v="204"/>
    <n v="204"/>
    <s v="Confirmada"/>
    <m/>
    <m/>
    <m/>
    <m/>
    <m/>
    <m/>
    <m/>
    <m/>
    <s v=""/>
    <m/>
    <m/>
    <n v="0"/>
    <s v=""/>
    <n v="102.66"/>
    <n v="0"/>
    <n v="0"/>
    <n v="0"/>
    <n v="53.16"/>
    <n v="0"/>
    <n v="0"/>
    <s v=""/>
    <m/>
    <n v="4.08"/>
    <m/>
    <n v="2900.1000000000004"/>
    <n v="2900.1000000000004"/>
    <m/>
    <s v="ES70 0182 0704 2502 0156 4485"/>
    <m/>
    <m/>
    <m/>
    <s v="Pendente"/>
  </r>
  <r>
    <s v="E1976"/>
    <x v="1"/>
    <s v=""/>
    <s v=""/>
    <s v=""/>
    <s v="LM"/>
    <d v="2026-01-26T00:00:00"/>
    <s v=""/>
    <n v="6"/>
    <s v="CARLOS RODRIGUEZ"/>
    <s v="CARLOS DANIEL RODRIGUEZ PENA"/>
    <m/>
    <s v="54-COMESA"/>
    <n v="15"/>
    <n v="62"/>
    <n v="62"/>
    <s v="Confirmada"/>
    <m/>
    <m/>
    <m/>
    <m/>
    <m/>
    <m/>
    <m/>
    <m/>
    <s v=""/>
    <m/>
    <m/>
    <n v="42.347999999999999"/>
    <s v=""/>
    <n v="45"/>
    <s v=""/>
    <s v=""/>
    <s v=""/>
    <s v=""/>
    <s v=""/>
    <s v=""/>
    <s v=""/>
    <m/>
    <n v="4.08"/>
    <m/>
    <n v="838.572"/>
    <n v="838.572"/>
    <m/>
    <s v="BE68 9057 2251 6934"/>
    <m/>
    <m/>
    <m/>
    <s v="Pendente"/>
  </r>
  <r>
    <s v="E2090"/>
    <x v="1"/>
    <s v=""/>
    <s v=""/>
    <s v=""/>
    <s v="LM"/>
    <d v="2026-01-19T00:00:00"/>
    <s v=""/>
    <n v="13"/>
    <s v="EDGAR CORRALES H"/>
    <s v="EDGAR CORRALES HOYOS"/>
    <m/>
    <s v="54-COMESA"/>
    <n v="15"/>
    <n v="74"/>
    <n v="74"/>
    <s v="Confirmada"/>
    <m/>
    <m/>
    <m/>
    <m/>
    <m/>
    <m/>
    <m/>
    <m/>
    <s v=""/>
    <m/>
    <m/>
    <n v="91.753999999999991"/>
    <s v=""/>
    <s v=""/>
    <s v=""/>
    <s v=""/>
    <s v=""/>
    <s v=""/>
    <s v=""/>
    <s v=""/>
    <s v=""/>
    <m/>
    <n v="4.08"/>
    <m/>
    <n v="1014.1659999999999"/>
    <n v="1014.1659999999999"/>
    <m/>
    <s v="ES87 0182 1077 3702 0162 4772"/>
    <m/>
    <m/>
    <m/>
    <s v="Pendente"/>
  </r>
  <r>
    <s v="E1117"/>
    <x v="1"/>
    <s v=""/>
    <s v=""/>
    <s v=""/>
    <s v="LM"/>
    <d v="2025-11-18T00:00:00"/>
    <s v=""/>
    <n v="31"/>
    <s v="ERIK RUBEN RAMIREZ SIMANCAS"/>
    <s v="ERIK RUBEN RAMIREZ SIMANCAS"/>
    <m/>
    <s v="54-COMESA"/>
    <n v="15"/>
    <n v="151.5"/>
    <n v="151.5"/>
    <s v="Confirmada"/>
    <m/>
    <m/>
    <m/>
    <m/>
    <m/>
    <m/>
    <m/>
    <m/>
    <s v=""/>
    <m/>
    <m/>
    <n v="218.798"/>
    <s v=""/>
    <s v=""/>
    <n v="0"/>
    <n v="0"/>
    <n v="0"/>
    <n v="0"/>
    <n v="0"/>
    <n v="21.74"/>
    <s v=""/>
    <m/>
    <n v="4.08"/>
    <m/>
    <n v="2027.8820000000003"/>
    <n v="2027.8820000000003"/>
    <m/>
    <s v="ES61 0182 8181 1102 0234 2582"/>
    <m/>
    <m/>
    <m/>
    <s v="Pendente"/>
  </r>
  <r>
    <s v="E1674"/>
    <x v="0"/>
    <s v=""/>
    <s v=""/>
    <s v=""/>
    <s v=""/>
    <s v=""/>
    <s v=""/>
    <n v="0"/>
    <s v="JAVIER HUMBERTO PARRA CORREA"/>
    <s v="JAVIER HUMBERTO PARRA CORREA"/>
    <m/>
    <s v="54-COMESA"/>
    <n v="13"/>
    <n v="74"/>
    <n v="73"/>
    <s v="Confirmada"/>
    <m/>
    <m/>
    <m/>
    <m/>
    <m/>
    <m/>
    <m/>
    <m/>
    <s v=""/>
    <m/>
    <m/>
    <n v="0"/>
    <s v=""/>
    <s v=""/>
    <s v=""/>
    <s v=""/>
    <s v=""/>
    <s v=""/>
    <s v=""/>
    <s v=""/>
    <s v=""/>
    <m/>
    <n v="4.08"/>
    <m/>
    <n v="957.92"/>
    <n v="944.92"/>
    <m/>
    <s v="BE77 9054 8746 7342"/>
    <m/>
    <m/>
    <m/>
    <s v="Pendente"/>
  </r>
  <r>
    <s v="E0505"/>
    <x v="1"/>
    <s v=""/>
    <s v=""/>
    <s v=""/>
    <s v="LM"/>
    <d v="2026-01-19T00:00:00"/>
    <s v=""/>
    <n v="13"/>
    <s v="MARIO ALEXANDER PEÑALOZA GARCIA"/>
    <s v="MARIO ALEXANDER PEÑALOZA GARCIA"/>
    <m/>
    <s v="54-COMESA"/>
    <n v="15"/>
    <n v="73"/>
    <n v="82.5"/>
    <s v="Confirmada"/>
    <m/>
    <m/>
    <m/>
    <m/>
    <m/>
    <m/>
    <m/>
    <m/>
    <s v=""/>
    <m/>
    <m/>
    <n v="91.753999999999991"/>
    <s v=""/>
    <n v="55"/>
    <s v=""/>
    <s v=""/>
    <s v=""/>
    <s v=""/>
    <s v=""/>
    <s v=""/>
    <s v=""/>
    <m/>
    <n v="4.08"/>
    <m/>
    <n v="944.16599999999994"/>
    <n v="1086.6660000000002"/>
    <m/>
    <s v="ES59 0182 0894 1702 0161 6685"/>
    <m/>
    <m/>
    <m/>
    <s v="Pendente"/>
  </r>
  <r>
    <s v="E1844"/>
    <x v="0"/>
    <s v=""/>
    <s v=""/>
    <s v=""/>
    <s v=""/>
    <s v=""/>
    <s v=""/>
    <n v="0"/>
    <s v="CHAVEZ GARCIA, NIXO ELIECER"/>
    <s v="NIXO ELIECER CHAVEZ GARCIA"/>
    <m/>
    <s v="54-COMESA"/>
    <n v="15"/>
    <n v="82.5"/>
    <n v="82.5"/>
    <s v="Confirmada"/>
    <m/>
    <m/>
    <m/>
    <m/>
    <m/>
    <m/>
    <m/>
    <m/>
    <s v=""/>
    <m/>
    <m/>
    <n v="0"/>
    <s v=""/>
    <s v=""/>
    <n v="0"/>
    <n v="0"/>
    <n v="0"/>
    <n v="0"/>
    <n v="0"/>
    <n v="21.74"/>
    <s v=""/>
    <m/>
    <n v="4.08"/>
    <m/>
    <n v="1211.68"/>
    <n v="1211.68"/>
    <m/>
    <s v="BE06 9057 2185 6122"/>
    <m/>
    <m/>
    <m/>
    <s v="Pendente"/>
  </r>
  <r>
    <s v="E0802"/>
    <x v="0"/>
    <s v=""/>
    <s v=""/>
    <s v=""/>
    <s v=""/>
    <s v=""/>
    <s v=""/>
    <n v="0"/>
    <s v="JAIME GOYO"/>
    <s v="JAIME NICOLAS GOYES"/>
    <m/>
    <s v="592-CALDERERIA CAVESA"/>
    <n v="15"/>
    <n v="139"/>
    <n v="139"/>
    <s v="Pendente"/>
    <m/>
    <m/>
    <m/>
    <m/>
    <m/>
    <m/>
    <m/>
    <m/>
    <n v="240"/>
    <m/>
    <m/>
    <n v="0"/>
    <s v=""/>
    <s v=""/>
    <s v=""/>
    <s v=""/>
    <s v=""/>
    <s v=""/>
    <s v=""/>
    <s v=""/>
    <s v=""/>
    <m/>
    <n v="4.08"/>
    <m/>
    <n v="2320.92"/>
    <n v="2320.92"/>
    <m/>
    <s v="BE69 9054 0295 4878"/>
    <m/>
    <m/>
    <m/>
    <s v="Pendente"/>
  </r>
  <r>
    <s v="E1678"/>
    <x v="0"/>
    <s v=""/>
    <s v=""/>
    <s v=""/>
    <s v=""/>
    <s v=""/>
    <s v=""/>
    <n v="0"/>
    <s v="RODNEY RODRIGUEZ"/>
    <s v="RODNEY NEFTALI RODRIGUEZ HERRERA"/>
    <m/>
    <s v="602-STOKES FLUID SYSTEMS S.L"/>
    <n v="16"/>
    <n v="64"/>
    <n v="64"/>
    <s v="Pendente"/>
    <m/>
    <m/>
    <m/>
    <m/>
    <m/>
    <m/>
    <m/>
    <m/>
    <s v=""/>
    <m/>
    <m/>
    <n v="0"/>
    <s v=""/>
    <s v=""/>
    <s v=""/>
    <s v=""/>
    <s v=""/>
    <s v=""/>
    <s v=""/>
    <s v=""/>
    <s v=""/>
    <m/>
    <n v="4.08"/>
    <m/>
    <n v="1019.92"/>
    <n v="1019.92"/>
    <m/>
    <s v="ES05 6893 0001 7300 0029 5565"/>
    <m/>
    <m/>
    <m/>
    <s v="Pendente"/>
  </r>
  <r>
    <s v="E1216"/>
    <x v="1"/>
    <s v=""/>
    <s v=""/>
    <s v=""/>
    <s v="LM"/>
    <d v="2026-01-30T00:00:00"/>
    <s v=""/>
    <n v="2"/>
    <s v="GONZALO QUINTANA"/>
    <s v="GONZALO QUINTANA PIMIENTO"/>
    <m/>
    <s v="610-GRUPO LECRU"/>
    <n v="15"/>
    <n v="13"/>
    <n v="13"/>
    <s v="Pendente"/>
    <m/>
    <m/>
    <m/>
    <m/>
    <m/>
    <m/>
    <m/>
    <m/>
    <s v=""/>
    <m/>
    <m/>
    <n v="14.116"/>
    <s v=""/>
    <s v=""/>
    <s v=""/>
    <s v=""/>
    <s v=""/>
    <s v=""/>
    <s v=""/>
    <s v=""/>
    <s v=""/>
    <m/>
    <n v="4.08"/>
    <m/>
    <n v="176.804"/>
    <n v="176.804"/>
    <m/>
    <s v="ES47 6893 0001 7900 0031 0617"/>
    <m/>
    <m/>
    <m/>
    <s v="Pendente"/>
  </r>
  <r>
    <s v="E0892"/>
    <x v="1"/>
    <s v=""/>
    <s v=""/>
    <s v=""/>
    <s v="LM"/>
    <d v="2026-01-30T00:00:00"/>
    <s v=""/>
    <n v="2"/>
    <s v="LEANDRO VARGAS B."/>
    <s v="LEANDRO VARGAS BETANCOURTH"/>
    <m/>
    <s v="610-GRUPO LECRU"/>
    <n v="15"/>
    <n v="13"/>
    <n v="13"/>
    <s v="Pendente"/>
    <m/>
    <m/>
    <m/>
    <m/>
    <m/>
    <m/>
    <m/>
    <m/>
    <s v=""/>
    <m/>
    <m/>
    <n v="14.116"/>
    <s v=""/>
    <s v=""/>
    <s v=""/>
    <s v=""/>
    <s v=""/>
    <s v=""/>
    <s v=""/>
    <s v=""/>
    <s v=""/>
    <m/>
    <n v="4.08"/>
    <m/>
    <n v="176.804"/>
    <n v="176.804"/>
    <m/>
    <s v="BE67 9051 6249 2787 "/>
    <m/>
    <m/>
    <m/>
    <s v="Pendente"/>
  </r>
  <r>
    <s v="E1886"/>
    <x v="0"/>
    <s v=""/>
    <s v=""/>
    <s v=""/>
    <s v=""/>
    <s v=""/>
    <s v=""/>
    <n v="0"/>
    <s v="YIMI ALEXANDER TRIANA FRANCO"/>
    <s v="YIMI ALEXANDER TRIANA FRANCO"/>
    <m/>
    <s v="613-IBERTECNIC"/>
    <n v="15"/>
    <n v="160"/>
    <n v="160"/>
    <s v="Pendente"/>
    <m/>
    <m/>
    <m/>
    <m/>
    <m/>
    <m/>
    <m/>
    <m/>
    <s v=""/>
    <m/>
    <m/>
    <n v="0"/>
    <s v=""/>
    <s v=""/>
    <s v=""/>
    <s v=""/>
    <s v=""/>
    <s v=""/>
    <s v=""/>
    <s v=""/>
    <s v=""/>
    <m/>
    <n v="4.08"/>
    <m/>
    <n v="2395.92"/>
    <n v="2395.92"/>
    <m/>
    <s v="BE10 9057 8657 2704"/>
    <m/>
    <m/>
    <m/>
    <s v="Pendente"/>
  </r>
  <r>
    <s v="E2095"/>
    <x v="0"/>
    <s v=""/>
    <s v=""/>
    <s v=""/>
    <s v=""/>
    <s v=""/>
    <s v=""/>
    <n v="0"/>
    <s v="CARLOS JULIO CANON"/>
    <s v="CARLOS JULIO CANON"/>
    <m/>
    <s v="616-INSTALACIONES MDV"/>
    <n v="15"/>
    <n v="41.5"/>
    <n v="41.5"/>
    <s v="Pendente"/>
    <m/>
    <m/>
    <m/>
    <m/>
    <m/>
    <m/>
    <m/>
    <m/>
    <s v=""/>
    <m/>
    <m/>
    <n v="0"/>
    <s v=""/>
    <s v=""/>
    <s v=""/>
    <s v=""/>
    <s v=""/>
    <s v=""/>
    <s v=""/>
    <s v=""/>
    <s v=""/>
    <m/>
    <n v="4.08"/>
    <m/>
    <n v="618.41999999999996"/>
    <n v="618.41999999999996"/>
    <m/>
    <s v="ES71 2100 0868 5902 0107 2129"/>
    <m/>
    <m/>
    <m/>
    <s v="Pendente"/>
  </r>
  <r>
    <s v="E1074"/>
    <x v="1"/>
    <s v=""/>
    <s v=""/>
    <s v=""/>
    <s v="LM"/>
    <d v="2026-01-26T00:00:00"/>
    <s v=""/>
    <n v="6"/>
    <s v="HECTOR VASQUEZ"/>
    <s v="HECTOR FABIO VASQUEZ MAYORGA"/>
    <m/>
    <s v="617-METALFLEXJAM"/>
    <n v="16"/>
    <n v="39.5"/>
    <n v="39.5"/>
    <s v="Pendente"/>
    <m/>
    <m/>
    <m/>
    <m/>
    <m/>
    <m/>
    <m/>
    <m/>
    <s v=""/>
    <m/>
    <m/>
    <n v="42.347999999999999"/>
    <s v=""/>
    <n v="15"/>
    <s v=""/>
    <s v=""/>
    <s v=""/>
    <s v=""/>
    <s v=""/>
    <s v=""/>
    <s v=""/>
    <m/>
    <n v="4.08"/>
    <m/>
    <n v="570.572"/>
    <n v="570.572"/>
    <m/>
    <s v="ES79 0182 0660 4102 0167 3506"/>
    <m/>
    <m/>
    <m/>
    <s v="Pendente"/>
  </r>
  <r>
    <s v="E1975"/>
    <x v="0"/>
    <s v=""/>
    <s v=""/>
    <s v=""/>
    <s v=""/>
    <s v=""/>
    <s v=""/>
    <n v="0"/>
    <s v="JAIME ARANGO"/>
    <s v="JAIME HERNAN ARANGO MONSALVE"/>
    <m/>
    <s v="617-METALFLEXJAM"/>
    <n v="15"/>
    <n v="39.5"/>
    <n v="39.5"/>
    <s v="Pendente"/>
    <m/>
    <m/>
    <m/>
    <m/>
    <m/>
    <m/>
    <m/>
    <m/>
    <s v=""/>
    <m/>
    <m/>
    <n v="0"/>
    <s v=""/>
    <n v="15"/>
    <s v=""/>
    <s v=""/>
    <s v=""/>
    <s v=""/>
    <s v=""/>
    <s v=""/>
    <s v=""/>
    <m/>
    <n v="4.08"/>
    <m/>
    <n v="573.41999999999996"/>
    <n v="573.41999999999996"/>
    <m/>
    <s v="ES04 0182 2234 1302 0168 0172"/>
    <m/>
    <m/>
    <m/>
    <s v="Pendente"/>
  </r>
  <r>
    <s v="E2098"/>
    <x v="1"/>
    <s v=""/>
    <s v=""/>
    <s v=""/>
    <s v="LM"/>
    <d v="2026-01-29T00:00:00"/>
    <s v=""/>
    <n v="3"/>
    <s v="ALEXANDER GUZMAN"/>
    <s v="ALEXANDER GUZMAN"/>
    <m/>
    <s v="620-TALLERES CRANTE S.L"/>
    <n v="15"/>
    <n v="23"/>
    <n v="23"/>
    <s v="Pendente"/>
    <m/>
    <m/>
    <m/>
    <m/>
    <m/>
    <m/>
    <m/>
    <m/>
    <s v=""/>
    <m/>
    <m/>
    <n v="21.173999999999999"/>
    <s v=""/>
    <n v="10"/>
    <s v=""/>
    <s v=""/>
    <s v=""/>
    <s v=""/>
    <s v=""/>
    <s v=""/>
    <s v=""/>
    <m/>
    <n v="4.08"/>
    <m/>
    <n v="309.74600000000004"/>
    <n v="309.74600000000004"/>
    <m/>
    <s v="ES29 6893 0001 7400 0036 7834"/>
    <m/>
    <m/>
    <m/>
    <s v="Pendente"/>
  </r>
  <r>
    <s v="E1999"/>
    <x v="0"/>
    <s v=""/>
    <s v=""/>
    <s v=""/>
    <s v=""/>
    <s v=""/>
    <s v=""/>
    <n v="0"/>
    <s v="HENRY MARTINEZ"/>
    <s v="HENRY MARTINEZ CABEZAS"/>
    <m/>
    <s v="620-TALLERES CRANTE S.L"/>
    <n v="15"/>
    <n v="23"/>
    <n v="23"/>
    <s v="Pendente"/>
    <m/>
    <m/>
    <m/>
    <m/>
    <m/>
    <m/>
    <m/>
    <m/>
    <s v=""/>
    <m/>
    <m/>
    <n v="0"/>
    <s v=""/>
    <n v="10"/>
    <s v=""/>
    <s v=""/>
    <s v=""/>
    <s v=""/>
    <s v=""/>
    <s v=""/>
    <s v=""/>
    <m/>
    <n v="4.08"/>
    <m/>
    <n v="330.92"/>
    <n v="330.92"/>
    <m/>
    <s v="BE26 9057 3126 5829"/>
    <m/>
    <m/>
    <m/>
    <s v="Pendente"/>
  </r>
  <r>
    <s v="E1240"/>
    <x v="1"/>
    <s v="KI"/>
    <s v=""/>
    <s v=""/>
    <s v="LM"/>
    <d v="2026-01-29T00:00:00"/>
    <s v=""/>
    <n v="3"/>
    <s v="JUAN CARLOS NUÑEZ MORALES"/>
    <s v="JUAN CARLOS NUÑEZ MORALES"/>
    <m/>
    <s v="620-TALLERES CRANTE S.L"/>
    <n v="15"/>
    <n v="23"/>
    <n v="23"/>
    <s v="Pendente"/>
    <m/>
    <m/>
    <m/>
    <m/>
    <m/>
    <m/>
    <m/>
    <m/>
    <s v=""/>
    <m/>
    <m/>
    <n v="21.173999999999999"/>
    <s v=""/>
    <n v="10"/>
    <s v=""/>
    <s v=""/>
    <s v=""/>
    <s v=""/>
    <s v=""/>
    <s v=""/>
    <s v=""/>
    <m/>
    <n v="4.08"/>
    <m/>
    <n v="309.74600000000004"/>
    <n v="309.74600000000004"/>
    <m/>
    <s v="ES89 0182 4242 1002 0175 6287 "/>
    <m/>
    <m/>
    <m/>
    <s v="Pendente"/>
  </r>
  <r>
    <s v="E0274"/>
    <x v="1"/>
    <s v=""/>
    <s v=""/>
    <s v=""/>
    <s v="LM"/>
    <d v="2026-01-29T00:00:00"/>
    <s v=""/>
    <n v="3"/>
    <s v="HECTOR GIOVANNI MORENO SUSA"/>
    <s v="HECTOR GIOVANNI MORENO SUSA"/>
    <m/>
    <s v="621-TALLERES METALICOS LEZIAGA S.L.U"/>
    <n v="15"/>
    <n v="19.5"/>
    <n v="19.5"/>
    <s v="Confirmada"/>
    <m/>
    <m/>
    <m/>
    <m/>
    <m/>
    <m/>
    <m/>
    <m/>
    <s v=""/>
    <m/>
    <m/>
    <n v="21.173999999999999"/>
    <s v=""/>
    <s v=""/>
    <s v=""/>
    <s v=""/>
    <s v=""/>
    <s v=""/>
    <s v=""/>
    <s v=""/>
    <s v=""/>
    <m/>
    <n v="4.08"/>
    <m/>
    <n v="267.24600000000004"/>
    <n v="267.24600000000004"/>
    <m/>
    <s v="ES83 0182 9348 1702 0162 9859"/>
    <m/>
    <m/>
    <m/>
    <s v="Pendente"/>
  </r>
  <r>
    <s v="E0503"/>
    <x v="0"/>
    <s v=""/>
    <s v=""/>
    <s v=""/>
    <s v=""/>
    <s v=""/>
    <s v=""/>
    <n v="0"/>
    <s v="RODRIGO AVILA"/>
    <s v="RODRIGO ALEXANDRO AVILA DIEGO"/>
    <m/>
    <s v="621-TALLERES METALICOS LEZIAGA S.L.U"/>
    <n v="15"/>
    <n v="19.5"/>
    <n v="19.5"/>
    <s v="Confirmada"/>
    <m/>
    <m/>
    <m/>
    <m/>
    <m/>
    <m/>
    <m/>
    <m/>
    <s v=""/>
    <m/>
    <m/>
    <n v="0"/>
    <s v=""/>
    <s v=""/>
    <s v=""/>
    <s v=""/>
    <s v=""/>
    <s v=""/>
    <s v=""/>
    <s v=""/>
    <s v=""/>
    <m/>
    <n v="4.08"/>
    <m/>
    <n v="288.42"/>
    <n v="288.42"/>
    <m/>
    <s v="ES81 0182 0883 1302 0173 3726"/>
    <m/>
    <m/>
    <m/>
    <s v="Pendente"/>
  </r>
  <r>
    <s v="E0250"/>
    <x v="0"/>
    <s v=""/>
    <s v=""/>
    <s v=""/>
    <s v=""/>
    <s v=""/>
    <s v=""/>
    <n v="0"/>
    <s v="BORIS ALI CHUNGA LUJÁN"/>
    <s v="BORIS ALI CHUNGA LUJAN"/>
    <m/>
    <s v="76-ERBIA SL"/>
    <n v="15"/>
    <n v="196.55"/>
    <n v="196.55"/>
    <s v="Pendente"/>
    <m/>
    <m/>
    <m/>
    <m/>
    <m/>
    <m/>
    <m/>
    <m/>
    <s v=""/>
    <m/>
    <m/>
    <n v="0"/>
    <s v=""/>
    <s v=""/>
    <s v=""/>
    <s v=""/>
    <s v=""/>
    <s v=""/>
    <s v=""/>
    <s v=""/>
    <s v=""/>
    <m/>
    <n v="4.08"/>
    <m/>
    <n v="2944.17"/>
    <n v="2944.17"/>
    <m/>
    <s v="BE92 9053 0079 8623"/>
    <m/>
    <m/>
    <m/>
    <s v="Pendente"/>
  </r>
  <r>
    <s v="E0251"/>
    <x v="0"/>
    <s v=""/>
    <s v=""/>
    <s v=""/>
    <s v=""/>
    <s v=""/>
    <s v=""/>
    <n v="0"/>
    <s v="HAROLD SERNAQUE"/>
    <s v="HAROLD REFERTIN SERNAQUE CARRASCO"/>
    <m/>
    <s v="76-ERBIA SL"/>
    <n v="15"/>
    <n v="188.5"/>
    <n v="188.5"/>
    <s v="Pendente"/>
    <m/>
    <m/>
    <m/>
    <m/>
    <m/>
    <m/>
    <m/>
    <m/>
    <s v=""/>
    <m/>
    <m/>
    <n v="0"/>
    <s v=""/>
    <s v=""/>
    <s v=""/>
    <s v=""/>
    <s v=""/>
    <s v=""/>
    <s v=""/>
    <s v=""/>
    <s v=""/>
    <m/>
    <n v="4.08"/>
    <m/>
    <n v="2823.42"/>
    <n v="2823.42"/>
    <m/>
    <s v="ES40 6893 0001 7500 0026 4767"/>
    <m/>
    <m/>
    <m/>
    <s v="Pendente"/>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
  <r>
    <s v="E1512"/>
    <x v="0"/>
    <s v=""/>
    <s v=""/>
    <s v=""/>
    <s v=""/>
    <s v=""/>
    <s v=""/>
    <n v="0"/>
    <s v="JOIN VILLEGAS"/>
    <s v="JAN CESAR VILLEGAS MOSCOTE"/>
    <m/>
    <s v="105-INGENIERIA PARA EL DESAROLLO TECNOLOGICO"/>
    <n v="15"/>
    <n v="216"/>
    <n v="216"/>
    <s v="Pendente"/>
    <m/>
    <m/>
    <m/>
    <m/>
    <m/>
    <m/>
    <m/>
    <m/>
    <s v=""/>
    <m/>
    <m/>
    <n v="0"/>
    <s v=""/>
    <n v="116"/>
    <s v=""/>
    <s v=""/>
    <s v=""/>
    <s v=""/>
    <s v=""/>
    <s v=""/>
    <s v=""/>
    <m/>
    <n v="4.08"/>
    <m/>
    <n v="3119.92"/>
    <n v="3119.92"/>
    <m/>
    <s v="ES17 0182 3275 5302 0165 2797"/>
    <m/>
    <m/>
    <m/>
    <x v="0"/>
  </r>
  <r>
    <s v="E0354"/>
    <x v="0"/>
    <s v=""/>
    <s v=""/>
    <s v=""/>
    <s v=""/>
    <s v=""/>
    <s v=""/>
    <n v="0"/>
    <s v="SANTIAGO CELU YUBYINER"/>
    <s v="YUBYINER SANTIAGO CELIS"/>
    <m/>
    <s v="105-INGENIERIA PARA EL DESAROLLO TECNOLOGICO"/>
    <n v="15"/>
    <n v="252"/>
    <n v="252"/>
    <s v="Pendente"/>
    <m/>
    <m/>
    <m/>
    <m/>
    <m/>
    <m/>
    <m/>
    <m/>
    <s v=""/>
    <m/>
    <m/>
    <n v="0"/>
    <s v=""/>
    <n v="116"/>
    <s v=""/>
    <s v=""/>
    <s v=""/>
    <s v=""/>
    <s v=""/>
    <s v=""/>
    <s v=""/>
    <m/>
    <n v="4.08"/>
    <m/>
    <n v="3659.92"/>
    <n v="3659.92"/>
    <m/>
    <s v="ES21 0182 0573 1602 0173 3087"/>
    <m/>
    <m/>
    <m/>
    <x v="0"/>
  </r>
  <r>
    <s v="E0474"/>
    <x v="0"/>
    <s v=""/>
    <s v=""/>
    <s v=""/>
    <s v=""/>
    <s v=""/>
    <s v=""/>
    <n v="0"/>
    <s v="ZEVALLOS BENITES JOSUE"/>
    <s v="JOSUE ENRIQUE ZEVALLOS BENITES"/>
    <m/>
    <s v="148-MONTAJES GOMUR S.L"/>
    <n v="15"/>
    <n v="173"/>
    <n v="173"/>
    <s v="Pendente"/>
    <m/>
    <m/>
    <m/>
    <m/>
    <m/>
    <m/>
    <m/>
    <m/>
    <s v=""/>
    <m/>
    <m/>
    <n v="0"/>
    <s v=""/>
    <s v=""/>
    <n v="0"/>
    <n v="0"/>
    <n v="0"/>
    <n v="197.2"/>
    <n v="0"/>
    <n v="0"/>
    <s v=""/>
    <m/>
    <n v="4.08"/>
    <m/>
    <n v="2393.7200000000003"/>
    <n v="2393.7200000000003"/>
    <m/>
    <s v="ES07 2100 2814 4607 0100 9678"/>
    <m/>
    <m/>
    <m/>
    <x v="0"/>
  </r>
  <r>
    <s v="E1800"/>
    <x v="0"/>
    <s v=""/>
    <s v=""/>
    <s v=""/>
    <s v=""/>
    <s v=""/>
    <s v=""/>
    <n v="0"/>
    <s v="PABLO MANOLO ROMERO HUERTAS"/>
    <s v="PABLO MANOLO ROMERO HUERTAS"/>
    <m/>
    <s v="148-MONTAJES GOMUR S.L"/>
    <n v="15"/>
    <n v="208"/>
    <n v="208"/>
    <s v="Pendente"/>
    <m/>
    <m/>
    <m/>
    <m/>
    <m/>
    <m/>
    <m/>
    <m/>
    <n v="180"/>
    <m/>
    <m/>
    <n v="0"/>
    <s v=""/>
    <s v=""/>
    <s v=""/>
    <s v=""/>
    <s v=""/>
    <s v=""/>
    <s v=""/>
    <s v=""/>
    <s v=""/>
    <m/>
    <n v="4.08"/>
    <m/>
    <n v="3295.92"/>
    <n v="3295.92"/>
    <m/>
    <s v="ES80 0182 1275 1202 0217 4070"/>
    <m/>
    <m/>
    <m/>
    <x v="0"/>
  </r>
  <r>
    <s v="E0475"/>
    <x v="0"/>
    <s v=""/>
    <s v=""/>
    <s v=""/>
    <s v=""/>
    <s v=""/>
    <s v=""/>
    <n v="0"/>
    <s v="VICTOR GALVEZ PALACIOS"/>
    <s v="VICTOR ARTURO GALVEZ PALACIOS"/>
    <m/>
    <s v="148-MONTAJES GOMUR S.L"/>
    <n v="15"/>
    <n v="203"/>
    <n v="203"/>
    <s v="Pendente"/>
    <m/>
    <m/>
    <m/>
    <m/>
    <m/>
    <m/>
    <m/>
    <m/>
    <s v=""/>
    <m/>
    <m/>
    <n v="0"/>
    <s v=""/>
    <s v=""/>
    <n v="0"/>
    <n v="0"/>
    <n v="0"/>
    <n v="197.2"/>
    <n v="0"/>
    <n v="0"/>
    <s v=""/>
    <m/>
    <n v="4.08"/>
    <m/>
    <n v="2843.7200000000003"/>
    <n v="2843.7200000000003"/>
    <m/>
    <s v="ES70 2100 2814 4107 0100 9565"/>
    <m/>
    <m/>
    <m/>
    <x v="0"/>
  </r>
  <r>
    <s v="E1359"/>
    <x v="1"/>
    <s v="KI"/>
    <s v=""/>
    <s v=""/>
    <s v=""/>
    <d v="2025-08-28T00:00:00"/>
    <d v="2026-01-13T00:00:00"/>
    <n v="13"/>
    <s v="LUIZ GUILHERME AMARAL ALVES"/>
    <s v="LUIZ GUILHERME AMARAL ALVES"/>
    <m/>
    <s v="191-TALLERES LANDALICE SA"/>
    <n v="15"/>
    <n v="42"/>
    <n v="42"/>
    <s v="Confirmada"/>
    <m/>
    <m/>
    <m/>
    <m/>
    <m/>
    <m/>
    <m/>
    <m/>
    <n v="130"/>
    <m/>
    <m/>
    <n v="91.753999999999991"/>
    <s v=""/>
    <s v=""/>
    <s v=""/>
    <s v=""/>
    <s v=""/>
    <s v=""/>
    <s v=""/>
    <s v=""/>
    <s v=""/>
    <m/>
    <n v="4.08"/>
    <m/>
    <n v="664.16599999999994"/>
    <n v="664.16599999999994"/>
    <m/>
    <s v="ES36 0049 5432 5026 1759 9413"/>
    <m/>
    <m/>
    <m/>
    <x v="0"/>
  </r>
  <r>
    <s v="E0592"/>
    <x v="0"/>
    <s v=""/>
    <s v=""/>
    <s v=""/>
    <s v=""/>
    <s v=""/>
    <s v=""/>
    <n v="0"/>
    <s v="DARWIN JOSE VASQUEZ ORTEGA"/>
    <s v="DARWIN JOSE VASQUEZ ORTEGA"/>
    <m/>
    <s v="203-TECNOLOGIA MECANICA I ELECTRA SLU"/>
    <n v="15"/>
    <n v="191.25"/>
    <n v="191.25"/>
    <s v="Confirmada"/>
    <m/>
    <m/>
    <m/>
    <m/>
    <m/>
    <m/>
    <m/>
    <m/>
    <n v="300"/>
    <m/>
    <m/>
    <n v="0"/>
    <s v=""/>
    <s v=""/>
    <s v=""/>
    <s v=""/>
    <s v=""/>
    <s v=""/>
    <s v=""/>
    <s v=""/>
    <s v=""/>
    <m/>
    <n v="4.08"/>
    <m/>
    <n v="3164.67"/>
    <n v="3164.67"/>
    <m/>
    <s v="ES09 6893 0001 7400 0027 7208"/>
    <m/>
    <m/>
    <m/>
    <x v="0"/>
  </r>
  <r>
    <s v="E0591"/>
    <x v="1"/>
    <s v="KI"/>
    <s v=""/>
    <s v=""/>
    <s v=""/>
    <d v="2025-04-30T00:00:00"/>
    <d v="2026-01-30T00:00:00"/>
    <n v="30"/>
    <s v="JONATHAN BLANDON HINCAPIE"/>
    <s v="JONATHAN BLANDON HINCAPIE"/>
    <m/>
    <s v="203-TECNOLOGIA MECANICA I ELECTRA SLU"/>
    <n v="15"/>
    <n v="179"/>
    <n v="179"/>
    <s v="Confirmada"/>
    <m/>
    <m/>
    <m/>
    <m/>
    <m/>
    <m/>
    <m/>
    <m/>
    <s v=""/>
    <m/>
    <m/>
    <n v="211.74"/>
    <s v=""/>
    <s v=""/>
    <s v=""/>
    <s v=""/>
    <s v=""/>
    <s v=""/>
    <s v=""/>
    <s v=""/>
    <s v=""/>
    <m/>
    <n v="4.08"/>
    <m/>
    <n v="2469.1800000000003"/>
    <n v="2469.1800000000003"/>
    <m/>
    <s v="ES04 2100 5002 4502 0017 3577"/>
    <m/>
    <m/>
    <m/>
    <x v="0"/>
  </r>
  <r>
    <s v="E1590"/>
    <x v="0"/>
    <s v=""/>
    <s v=""/>
    <s v=""/>
    <s v=""/>
    <s v=""/>
    <s v=""/>
    <n v="0"/>
    <s v="BAIRON BURBANO"/>
    <s v="BAIRON RENE BURBANO MORALES"/>
    <m/>
    <s v="225-CARVISA CONTAINER SLU"/>
    <n v="15"/>
    <n v="36"/>
    <n v="142"/>
    <s v="Pendente"/>
    <m/>
    <m/>
    <m/>
    <m/>
    <m/>
    <m/>
    <m/>
    <m/>
    <m/>
    <m/>
    <m/>
    <n v="0"/>
    <n v="200"/>
    <m/>
    <s v=""/>
    <s v=""/>
    <s v=""/>
    <s v=""/>
    <s v=""/>
    <s v=""/>
    <s v=""/>
    <m/>
    <n v="4.08"/>
    <m/>
    <n v="335.92"/>
    <n v="1925.92"/>
    <m/>
    <s v="ES54 0182 2270 0102 0248 1802"/>
    <m/>
    <m/>
    <m/>
    <x v="0"/>
  </r>
  <r>
    <s v="E0873"/>
    <x v="0"/>
    <s v=""/>
    <s v=""/>
    <s v=""/>
    <s v="LM"/>
    <s v=""/>
    <s v=""/>
    <n v="0"/>
    <s v="ELKIN GARZON LOPEZ"/>
    <s v="ELKIN ARMANDO GARZON LOPEZ"/>
    <m/>
    <s v="225-CARVISA CONTAINER SLU"/>
    <n v="15"/>
    <n v="132"/>
    <n v="132"/>
    <s v="Pendente"/>
    <m/>
    <m/>
    <m/>
    <m/>
    <m/>
    <m/>
    <m/>
    <m/>
    <s v=""/>
    <m/>
    <m/>
    <n v="0"/>
    <s v=""/>
    <n v="128.88888888888889"/>
    <s v=""/>
    <s v=""/>
    <s v=""/>
    <s v=""/>
    <s v=""/>
    <s v=""/>
    <s v=""/>
    <m/>
    <n v="4.08"/>
    <m/>
    <n v="1847.0311111111112"/>
    <n v="1847.0311111111112"/>
    <m/>
    <s v="ES33 0182 8738 7102 0262 1047"/>
    <m/>
    <m/>
    <m/>
    <x v="0"/>
  </r>
  <r>
    <s v="E0890"/>
    <x v="0"/>
    <s v=""/>
    <s v=""/>
    <s v=""/>
    <s v=""/>
    <s v=""/>
    <s v=""/>
    <n v="0"/>
    <s v="FABIAN CERÓN"/>
    <s v="FABIAN LEONARDO CERON VALENCIA"/>
    <m/>
    <s v="225-CARVISA CONTAINER SLU"/>
    <n v="15"/>
    <n v="136"/>
    <n v="136"/>
    <s v="Pendente"/>
    <m/>
    <m/>
    <m/>
    <m/>
    <m/>
    <m/>
    <m/>
    <m/>
    <s v=""/>
    <m/>
    <m/>
    <n v="0"/>
    <s v=""/>
    <n v="128.88888888888889"/>
    <s v=""/>
    <s v=""/>
    <s v=""/>
    <s v=""/>
    <s v=""/>
    <s v=""/>
    <s v=""/>
    <m/>
    <n v="4.08"/>
    <m/>
    <n v="1907.0311111111112"/>
    <n v="1907.0311111111112"/>
    <m/>
    <s v=" ES72 0182 1150 0202 0159 3522 "/>
    <m/>
    <m/>
    <m/>
    <x v="0"/>
  </r>
  <r>
    <s v="E1895"/>
    <x v="1"/>
    <s v="KI"/>
    <s v=""/>
    <s v=""/>
    <s v=""/>
    <d v="2025-04-15T00:00:00"/>
    <d v="2026-01-30T00:00:00"/>
    <n v="30"/>
    <s v="DAMIAN ZAMBRANO"/>
    <s v="DAMIAN ZAMBRANO TULANDE"/>
    <m/>
    <s v="30-CALDENOR"/>
    <n v="16.5"/>
    <n v="142"/>
    <n v="142"/>
    <s v="Confirmada"/>
    <m/>
    <m/>
    <m/>
    <m/>
    <m/>
    <m/>
    <m/>
    <m/>
    <s v=""/>
    <m/>
    <m/>
    <n v="211.74"/>
    <s v=""/>
    <n v="66.666666666666671"/>
    <s v=""/>
    <s v=""/>
    <s v=""/>
    <s v=""/>
    <s v=""/>
    <s v=""/>
    <s v=""/>
    <m/>
    <n v="4.08"/>
    <m/>
    <n v="2060.5133333333338"/>
    <n v="2060.5133333333338"/>
    <m/>
    <s v="ES31 0182 0361 8402 0160 6315 "/>
    <m/>
    <m/>
    <m/>
    <x v="0"/>
  </r>
  <r>
    <s v="E0125"/>
    <x v="1"/>
    <s v="KI"/>
    <s v=""/>
    <s v=""/>
    <s v=""/>
    <d v="2025-04-14T00:00:00"/>
    <d v="2026-01-30T00:00:00"/>
    <n v="30"/>
    <s v="EVALIO ANGULO"/>
    <s v="EVELIO ANGULO ANGULO"/>
    <m/>
    <s v="30-CALDENOR"/>
    <n v="16.5"/>
    <n v="142"/>
    <n v="142"/>
    <s v="Confirmada"/>
    <m/>
    <m/>
    <m/>
    <m/>
    <m/>
    <m/>
    <m/>
    <m/>
    <s v=""/>
    <m/>
    <m/>
    <n v="211.74"/>
    <s v=""/>
    <n v="66.666666666666671"/>
    <s v=""/>
    <s v=""/>
    <s v=""/>
    <s v=""/>
    <s v=""/>
    <s v=""/>
    <s v=""/>
    <m/>
    <n v="4.08"/>
    <m/>
    <n v="2060.5133333333338"/>
    <n v="2060.5133333333338"/>
    <m/>
    <s v="ES83 0182 0057 7502 0161 6655"/>
    <m/>
    <m/>
    <m/>
    <x v="0"/>
  </r>
  <r>
    <s v="E1415"/>
    <x v="0"/>
    <s v=""/>
    <s v=""/>
    <s v=""/>
    <s v=""/>
    <s v=""/>
    <s v=""/>
    <n v="0"/>
    <s v="JHON EINER INSUASTI TULANDE"/>
    <s v="JHON EINER INSUASTI TULANDE"/>
    <m/>
    <s v="30-CALDENOR"/>
    <n v="16.5"/>
    <n v="142"/>
    <n v="142"/>
    <s v="Confirmada"/>
    <m/>
    <m/>
    <m/>
    <m/>
    <m/>
    <m/>
    <m/>
    <m/>
    <s v=""/>
    <m/>
    <m/>
    <n v="0"/>
    <s v=""/>
    <n v="66.666666666666671"/>
    <s v=""/>
    <s v=""/>
    <s v=""/>
    <s v=""/>
    <s v=""/>
    <s v=""/>
    <s v=""/>
    <m/>
    <n v="4.08"/>
    <m/>
    <n v="2272.2533333333336"/>
    <n v="2272.2533333333336"/>
    <m/>
    <s v="ES74 0182 0316 4302 0158 7975"/>
    <m/>
    <m/>
    <m/>
    <x v="0"/>
  </r>
  <r>
    <s v="E1818"/>
    <x v="0"/>
    <s v=""/>
    <s v=""/>
    <s v=""/>
    <s v=""/>
    <s v=""/>
    <s v=""/>
    <n v="0"/>
    <s v="WILBER LOPEZ BALETA"/>
    <s v="WILBER LOPEZ BALETA"/>
    <m/>
    <s v="30-CALDENOR"/>
    <n v="16.5"/>
    <n v="133"/>
    <n v="133"/>
    <s v="Confirmada"/>
    <m/>
    <m/>
    <m/>
    <m/>
    <m/>
    <m/>
    <m/>
    <m/>
    <s v=""/>
    <m/>
    <m/>
    <n v="0"/>
    <s v=""/>
    <s v=""/>
    <s v=""/>
    <s v=""/>
    <s v=""/>
    <s v=""/>
    <s v=""/>
    <s v=""/>
    <s v=""/>
    <m/>
    <n v="4.08"/>
    <m/>
    <n v="2190.42"/>
    <n v="2190.42"/>
    <m/>
    <s v="ES65 0049 5396 3622 1614 5925"/>
    <m/>
    <m/>
    <m/>
    <x v="0"/>
  </r>
  <r>
    <s v="E0146"/>
    <x v="0"/>
    <s v=""/>
    <s v=""/>
    <s v=""/>
    <s v=""/>
    <s v=""/>
    <s v=""/>
    <n v="0"/>
    <s v="JESUS CARDENAS RIVERA"/>
    <s v="JESUS DAVID CARDENAS RIVERA"/>
    <m/>
    <s v="42-CALDESOL"/>
    <n v="15"/>
    <n v="177"/>
    <n v="177"/>
    <s v="Pendente"/>
    <m/>
    <m/>
    <m/>
    <m/>
    <m/>
    <m/>
    <m/>
    <m/>
    <n v="300"/>
    <m/>
    <m/>
    <n v="0"/>
    <s v=""/>
    <n v="140"/>
    <s v=""/>
    <s v=""/>
    <s v=""/>
    <s v=""/>
    <s v=""/>
    <s v=""/>
    <s v=""/>
    <m/>
    <n v="4.08"/>
    <m/>
    <n v="2810.92"/>
    <n v="2810.92"/>
    <m/>
    <s v="BE29 9053 9101 2764"/>
    <m/>
    <m/>
    <m/>
    <x v="0"/>
  </r>
  <r>
    <s v="E0166"/>
    <x v="1"/>
    <s v="KI"/>
    <s v=""/>
    <s v=""/>
    <s v=""/>
    <d v="2025-04-15T00:00:00"/>
    <d v="2026-01-31T00:00:00"/>
    <n v="31"/>
    <s v="ALVARO ROJAS"/>
    <s v="ALVARO ENRIQUE ROJAS DE LA OSSA"/>
    <m/>
    <s v="43-CAM IMPIANTI INDUSTRIALI SRL"/>
    <n v="17"/>
    <n v="144"/>
    <n v="144"/>
    <s v="Confirmada"/>
    <m/>
    <m/>
    <m/>
    <m/>
    <m/>
    <m/>
    <m/>
    <m/>
    <s v=""/>
    <m/>
    <m/>
    <n v="218.798"/>
    <s v=""/>
    <s v=""/>
    <s v=""/>
    <s v=""/>
    <s v=""/>
    <s v=""/>
    <s v=""/>
    <s v=""/>
    <s v=""/>
    <m/>
    <n v="4.08"/>
    <m/>
    <n v="2225.1220000000003"/>
    <n v="2225.1220000000003"/>
    <m/>
    <s v="NL02 BUNQ 2185 0437 57"/>
    <m/>
    <m/>
    <m/>
    <x v="0"/>
  </r>
  <r>
    <s v="E0152"/>
    <x v="0"/>
    <s v=""/>
    <s v=""/>
    <s v=""/>
    <s v=""/>
    <s v=""/>
    <s v=""/>
    <n v="0"/>
    <s v="CARLOS ADRIAN CAMELO CALDERON"/>
    <s v="CARLOS ADRIAN CAMELO CALDERON"/>
    <m/>
    <s v="43-CAM IMPIANTI INDUSTRIALI SRL"/>
    <n v="13"/>
    <n v="161"/>
    <n v="161"/>
    <s v="Confirmada"/>
    <m/>
    <m/>
    <m/>
    <m/>
    <m/>
    <m/>
    <m/>
    <m/>
    <s v=""/>
    <m/>
    <m/>
    <n v="0"/>
    <s v=""/>
    <s v=""/>
    <s v=""/>
    <s v=""/>
    <s v=""/>
    <s v=""/>
    <s v=""/>
    <s v=""/>
    <s v=""/>
    <m/>
    <n v="4.08"/>
    <m/>
    <n v="2088.92"/>
    <n v="2088.92"/>
    <m/>
    <s v="ES62 0182 1965 1702 0169 8881"/>
    <m/>
    <m/>
    <m/>
    <x v="0"/>
  </r>
  <r>
    <s v="E0155"/>
    <x v="0"/>
    <s v=""/>
    <s v=""/>
    <s v=""/>
    <s v=""/>
    <s v=""/>
    <s v=""/>
    <n v="0"/>
    <s v="CARLOS A. RAMOS Q."/>
    <s v="CARLOS ALBERTO RAMOS URBANO"/>
    <m/>
    <s v="43-CAM IMPIANTI INDUSTRIALI SRL"/>
    <n v="16"/>
    <n v="225"/>
    <n v="225"/>
    <s v="Confirmada"/>
    <m/>
    <m/>
    <m/>
    <m/>
    <m/>
    <m/>
    <m/>
    <m/>
    <s v=""/>
    <m/>
    <m/>
    <n v="0"/>
    <s v=""/>
    <s v=""/>
    <s v=""/>
    <s v=""/>
    <s v=""/>
    <s v=""/>
    <s v=""/>
    <s v=""/>
    <s v=""/>
    <m/>
    <n v="4.08"/>
    <m/>
    <n v="3595.92"/>
    <n v="3595.92"/>
    <m/>
    <s v="BE96 9054 2055 3005"/>
    <m/>
    <m/>
    <m/>
    <x v="0"/>
  </r>
  <r>
    <s v="E0600"/>
    <x v="1"/>
    <s v="KI"/>
    <s v=""/>
    <s v=""/>
    <s v=""/>
    <d v="2024-03-13T00:00:00"/>
    <d v="2026-01-30T00:00:00"/>
    <n v="30"/>
    <s v="STIVEN PENAGOS"/>
    <s v="EDGAR STEVEN PENAGOS CESPEDES"/>
    <m/>
    <s v="43-CAM IMPIANTI INDUSTRIALI SRL"/>
    <n v="16"/>
    <n v="225"/>
    <n v="225"/>
    <s v="Confirmada"/>
    <m/>
    <m/>
    <m/>
    <m/>
    <m/>
    <m/>
    <m/>
    <m/>
    <s v=""/>
    <m/>
    <m/>
    <n v="211.74"/>
    <s v=""/>
    <s v=""/>
    <s v=""/>
    <s v=""/>
    <s v=""/>
    <s v=""/>
    <s v=""/>
    <s v=""/>
    <s v=""/>
    <m/>
    <n v="4.08"/>
    <m/>
    <n v="3384.1800000000003"/>
    <n v="3384.1800000000003"/>
    <m/>
    <s v="NL48 BUNQ 2166 1509 18"/>
    <m/>
    <m/>
    <m/>
    <x v="0"/>
  </r>
  <r>
    <s v="E0161"/>
    <x v="1"/>
    <s v="KI"/>
    <s v=""/>
    <s v=""/>
    <s v=""/>
    <d v="2025-04-15T00:00:00"/>
    <d v="2026-01-31T00:00:00"/>
    <n v="31"/>
    <s v="EDILBERTO DOMINGUEZ"/>
    <s v="EDILBERTO DOMINGUEZ PEREIRA"/>
    <m/>
    <s v="43-CAM IMPIANTI INDUSTRIALI SRL"/>
    <n v="18"/>
    <n v="199"/>
    <n v="199"/>
    <s v="Confirmada"/>
    <m/>
    <m/>
    <m/>
    <m/>
    <m/>
    <m/>
    <m/>
    <m/>
    <s v=""/>
    <m/>
    <m/>
    <n v="218.798"/>
    <s v=""/>
    <s v=""/>
    <s v=""/>
    <s v=""/>
    <s v=""/>
    <s v=""/>
    <s v=""/>
    <s v=""/>
    <s v=""/>
    <m/>
    <n v="4.08"/>
    <m/>
    <n v="3359.1220000000003"/>
    <n v="3359.1220000000003"/>
    <m/>
    <s v="NL52 BUNQ 2185 1063 92"/>
    <m/>
    <m/>
    <m/>
    <x v="0"/>
  </r>
  <r>
    <s v="E0151"/>
    <x v="0"/>
    <s v=""/>
    <s v=""/>
    <s v=""/>
    <s v=""/>
    <s v=""/>
    <s v=""/>
    <n v="0"/>
    <s v="GUILLERMO POSADA"/>
    <s v="GUILLERMO LEON POSADA LONDONO"/>
    <m/>
    <s v="43-CAM IMPIANTI INDUSTRIALI SRL"/>
    <n v="16"/>
    <n v="225"/>
    <n v="225"/>
    <s v="Confirmada"/>
    <m/>
    <m/>
    <m/>
    <m/>
    <m/>
    <m/>
    <m/>
    <m/>
    <s v=""/>
    <m/>
    <m/>
    <n v="0"/>
    <s v=""/>
    <s v=""/>
    <s v=""/>
    <s v=""/>
    <s v=""/>
    <s v=""/>
    <s v=""/>
    <s v=""/>
    <s v=""/>
    <m/>
    <n v="4.08"/>
    <m/>
    <n v="3595.92"/>
    <n v="3595.92"/>
    <m/>
    <s v="ES13 0182 0869 2702 0189 2201"/>
    <m/>
    <m/>
    <m/>
    <x v="0"/>
  </r>
  <r>
    <s v="E2070"/>
    <x v="0"/>
    <s v=""/>
    <s v=""/>
    <s v=""/>
    <s v=""/>
    <s v=""/>
    <s v=""/>
    <n v="0"/>
    <s v="HENÁN QUINTERO JARAMILLO"/>
    <s v="HERNAN BERNARDO QUINTERO JARAMILLO"/>
    <m/>
    <s v="43-CAM IMPIANTI INDUSTRIALI SRL"/>
    <n v="14"/>
    <n v="146"/>
    <n v="146"/>
    <s v="Confirmada"/>
    <m/>
    <m/>
    <m/>
    <m/>
    <m/>
    <m/>
    <m/>
    <m/>
    <s v=""/>
    <m/>
    <m/>
    <n v="0"/>
    <s v=""/>
    <s v=""/>
    <s v=""/>
    <s v=""/>
    <s v=""/>
    <s v=""/>
    <s v=""/>
    <s v=""/>
    <s v=""/>
    <m/>
    <n v="4.08"/>
    <m/>
    <n v="2039.92"/>
    <n v="2039.92"/>
    <m/>
    <s v="ES71 6893 0001 7100 0034 7437"/>
    <m/>
    <m/>
    <m/>
    <x v="0"/>
  </r>
  <r>
    <s v="E0123"/>
    <x v="0"/>
    <s v=""/>
    <s v=""/>
    <s v=""/>
    <s v=""/>
    <s v=""/>
    <s v=""/>
    <n v="0"/>
    <s v="JIM PAUL CHUNGA LUJAN"/>
    <s v="JIM PAUL CHUNGA LUJAN"/>
    <m/>
    <s v="43-CAM IMPIANTI INDUSTRIALI SRL"/>
    <n v="16"/>
    <n v="199"/>
    <n v="199"/>
    <s v="Confirmada"/>
    <m/>
    <m/>
    <m/>
    <m/>
    <m/>
    <m/>
    <m/>
    <m/>
    <s v=""/>
    <m/>
    <m/>
    <n v="0"/>
    <s v=""/>
    <s v=""/>
    <s v=""/>
    <s v=""/>
    <s v=""/>
    <s v=""/>
    <s v=""/>
    <s v=""/>
    <s v=""/>
    <m/>
    <n v="4.08"/>
    <m/>
    <n v="3179.92"/>
    <n v="3179.92"/>
    <m/>
    <s v="ES94 0182 8674 4202 0164 8459"/>
    <m/>
    <m/>
    <m/>
    <x v="0"/>
  </r>
  <r>
    <s v="E0034"/>
    <x v="0"/>
    <s v=""/>
    <s v=""/>
    <s v=""/>
    <s v=""/>
    <s v=""/>
    <s v=""/>
    <n v="0"/>
    <s v="JORDY ALEXADER ALVA PAYAC"/>
    <s v="JORDY ALEXANDER ALVA PAYAC"/>
    <m/>
    <s v="43-CAM IMPIANTI INDUSTRIALI SRL"/>
    <n v="16"/>
    <n v="196"/>
    <n v="196"/>
    <s v="Confirmada"/>
    <m/>
    <m/>
    <m/>
    <m/>
    <m/>
    <m/>
    <m/>
    <m/>
    <s v=""/>
    <m/>
    <m/>
    <n v="0"/>
    <s v=""/>
    <s v=""/>
    <s v=""/>
    <s v=""/>
    <s v=""/>
    <s v=""/>
    <s v=""/>
    <s v=""/>
    <s v=""/>
    <m/>
    <n v="4.08"/>
    <m/>
    <n v="3131.92"/>
    <n v="3131.92"/>
    <m/>
    <s v="FR76 1659 8000 0140 0010 3859 519"/>
    <m/>
    <m/>
    <m/>
    <x v="0"/>
  </r>
  <r>
    <s v="E0164"/>
    <x v="1"/>
    <s v="KI"/>
    <s v=""/>
    <s v=""/>
    <s v=""/>
    <d v="2025-05-02T00:00:00"/>
    <d v="2026-01-31T00:00:00"/>
    <n v="31"/>
    <s v="JORGE ARLEY ALVAREZ GONZALEZ"/>
    <s v="JORGE ARLEY ALVAREZ GONZALEZ"/>
    <m/>
    <s v="43-CAM IMPIANTI INDUSTRIALI SRL"/>
    <n v="16"/>
    <n v="199"/>
    <n v="199"/>
    <s v="Confirmada"/>
    <m/>
    <m/>
    <m/>
    <m/>
    <m/>
    <m/>
    <m/>
    <m/>
    <s v=""/>
    <m/>
    <m/>
    <n v="218.798"/>
    <s v=""/>
    <s v=""/>
    <s v=""/>
    <s v=""/>
    <s v=""/>
    <s v=""/>
    <s v=""/>
    <s v=""/>
    <s v=""/>
    <m/>
    <n v="4.08"/>
    <m/>
    <n v="2961.1220000000003"/>
    <n v="2961.1220000000003"/>
    <m/>
    <s v="ES43 0182 8318 8902 0164 0818"/>
    <m/>
    <m/>
    <m/>
    <x v="0"/>
  </r>
  <r>
    <s v="E0163"/>
    <x v="1"/>
    <s v="KI"/>
    <s v=""/>
    <s v=""/>
    <s v=""/>
    <d v="2025-04-16T00:00:00"/>
    <d v="2026-01-31T00:00:00"/>
    <n v="31"/>
    <s v="JOSE DE JESUS MENDOZA"/>
    <s v="JOSE DE JESUS MENDOZA PADILLA"/>
    <m/>
    <s v="43-CAM IMPIANTI INDUSTRIALI SRL"/>
    <n v="16"/>
    <n v="162"/>
    <n v="162"/>
    <s v="Confirmada"/>
    <m/>
    <m/>
    <m/>
    <m/>
    <m/>
    <m/>
    <m/>
    <m/>
    <s v=""/>
    <m/>
    <m/>
    <n v="218.798"/>
    <s v=""/>
    <s v=""/>
    <s v=""/>
    <s v=""/>
    <s v=""/>
    <s v=""/>
    <s v=""/>
    <s v=""/>
    <s v=""/>
    <m/>
    <n v="4.08"/>
    <m/>
    <n v="2369.1220000000003"/>
    <n v="2369.1220000000003"/>
    <m/>
    <s v="ES19 2100 0109 0302 0069 0257"/>
    <m/>
    <m/>
    <m/>
    <x v="0"/>
  </r>
  <r>
    <s v="E1751"/>
    <x v="0"/>
    <s v=""/>
    <s v=""/>
    <s v=""/>
    <s v=""/>
    <s v=""/>
    <s v=""/>
    <n v="0"/>
    <s v="NELSON JAIME PITRE CASTILLA"/>
    <s v="NELSON JAIME PITRE CASTILLA"/>
    <m/>
    <s v="43-CAM IMPIANTI INDUSTRIALI SRL"/>
    <n v="13"/>
    <n v="147"/>
    <n v="147"/>
    <s v="Confirmada"/>
    <m/>
    <m/>
    <m/>
    <m/>
    <m/>
    <m/>
    <m/>
    <m/>
    <s v=""/>
    <m/>
    <m/>
    <n v="0"/>
    <s v=""/>
    <s v=""/>
    <s v=""/>
    <s v=""/>
    <s v=""/>
    <s v=""/>
    <s v=""/>
    <s v=""/>
    <s v=""/>
    <m/>
    <n v="4.08"/>
    <m/>
    <n v="1906.92"/>
    <n v="1906.92"/>
    <m/>
    <s v="ES68 6893 0001 7800 0031 8242"/>
    <m/>
    <m/>
    <m/>
    <x v="0"/>
  </r>
  <r>
    <s v="E1426"/>
    <x v="0"/>
    <s v=""/>
    <s v=""/>
    <s v=""/>
    <s v=""/>
    <s v=""/>
    <s v=""/>
    <n v="0"/>
    <s v="RENZO CHUNGA LUJAN"/>
    <s v="RENZO JUNIOR CHUNGA LUJAN"/>
    <m/>
    <s v="43-CAM IMPIANTI INDUSTRIALI SRL"/>
    <n v="13"/>
    <n v="199"/>
    <n v="199"/>
    <s v="Confirmada"/>
    <m/>
    <m/>
    <m/>
    <m/>
    <m/>
    <m/>
    <m/>
    <m/>
    <s v=""/>
    <m/>
    <m/>
    <n v="0"/>
    <s v=""/>
    <s v=""/>
    <s v=""/>
    <s v=""/>
    <s v=""/>
    <s v=""/>
    <s v=""/>
    <s v=""/>
    <s v=""/>
    <m/>
    <n v="4.08"/>
    <m/>
    <n v="2582.92"/>
    <n v="2582.92"/>
    <m/>
    <s v="BE57 9054 7750 4735"/>
    <m/>
    <m/>
    <m/>
    <x v="0"/>
  </r>
  <r>
    <s v="E0116"/>
    <x v="0"/>
    <s v=""/>
    <s v=""/>
    <s v=""/>
    <s v=""/>
    <s v=""/>
    <s v=""/>
    <n v="0"/>
    <s v="ROGER HALDER CHILCA LEON"/>
    <s v="ROGER HALDER CHILCA LEON"/>
    <m/>
    <s v="43-CAM IMPIANTI INDUSTRIALI SRL"/>
    <n v="16"/>
    <n v="180"/>
    <n v="180"/>
    <s v="Confirmada"/>
    <m/>
    <m/>
    <m/>
    <m/>
    <m/>
    <m/>
    <m/>
    <m/>
    <s v=""/>
    <m/>
    <m/>
    <n v="0"/>
    <s v=""/>
    <s v=""/>
    <s v=""/>
    <s v=""/>
    <s v=""/>
    <s v=""/>
    <s v=""/>
    <s v=""/>
    <s v=""/>
    <m/>
    <n v="4.08"/>
    <m/>
    <n v="2875.92"/>
    <n v="2875.92"/>
    <m/>
    <s v="ES56 6893 0001 7400 0028 1018 "/>
    <m/>
    <m/>
    <m/>
    <x v="0"/>
  </r>
  <r>
    <s v="E0036"/>
    <x v="0"/>
    <s v=""/>
    <s v=""/>
    <s v=""/>
    <s v=""/>
    <s v=""/>
    <s v=""/>
    <n v="0"/>
    <s v="ROLANDO CATUNTA M."/>
    <s v="ROLANDO CATUNTA MAMANI"/>
    <m/>
    <s v="43-CAM IMPIANTI INDUSTRIALI SRL"/>
    <n v="16"/>
    <n v="199"/>
    <n v="199"/>
    <s v="Confirmada"/>
    <m/>
    <m/>
    <m/>
    <m/>
    <m/>
    <m/>
    <m/>
    <m/>
    <s v=""/>
    <m/>
    <m/>
    <n v="0"/>
    <s v=""/>
    <s v=""/>
    <s v=""/>
    <s v=""/>
    <s v=""/>
    <s v=""/>
    <s v=""/>
    <s v=""/>
    <s v=""/>
    <m/>
    <n v="4.08"/>
    <m/>
    <n v="3179.92"/>
    <n v="3179.92"/>
    <m/>
    <s v="ES66 0182 4960 2102 0166 4099"/>
    <m/>
    <m/>
    <m/>
    <x v="0"/>
  </r>
  <r>
    <s v="E0296"/>
    <x v="0"/>
    <s v=""/>
    <s v=""/>
    <s v=""/>
    <s v=""/>
    <s v=""/>
    <s v=""/>
    <n v="0"/>
    <s v="WILMER YANAYACO"/>
    <s v="WILMER YANAYACO PINEDO"/>
    <m/>
    <s v="43-CAM IMPIANTI INDUSTRIALI SRL"/>
    <n v="16"/>
    <n v="188"/>
    <n v="188"/>
    <s v="Confirmada"/>
    <m/>
    <m/>
    <m/>
    <m/>
    <m/>
    <m/>
    <m/>
    <m/>
    <s v=""/>
    <m/>
    <m/>
    <n v="0"/>
    <s v=""/>
    <s v=""/>
    <s v=""/>
    <s v=""/>
    <s v=""/>
    <s v=""/>
    <s v=""/>
    <s v=""/>
    <s v=""/>
    <m/>
    <n v="4.08"/>
    <m/>
    <n v="3003.92"/>
    <n v="3003.92"/>
    <m/>
    <s v="ES29 0182 0670 1002 0161 0920"/>
    <m/>
    <m/>
    <m/>
    <x v="0"/>
  </r>
  <r>
    <s v="E1788"/>
    <x v="0"/>
    <s v=""/>
    <s v=""/>
    <s v=""/>
    <s v=""/>
    <s v=""/>
    <s v=""/>
    <n v="0"/>
    <s v="YANNY ALBERTO HERNANDEZ LOZANO"/>
    <s v="YANNY ALBERTO HERNANDEZ LOZANO"/>
    <m/>
    <s v="43-CAM IMPIANTI INDUSTRIALI SRL"/>
    <n v="16"/>
    <n v="225"/>
    <n v="225"/>
    <s v="Confirmada"/>
    <m/>
    <m/>
    <m/>
    <m/>
    <m/>
    <m/>
    <m/>
    <m/>
    <s v=""/>
    <m/>
    <m/>
    <n v="0"/>
    <s v=""/>
    <s v=""/>
    <s v=""/>
    <s v=""/>
    <s v=""/>
    <s v=""/>
    <s v=""/>
    <s v=""/>
    <s v=""/>
    <m/>
    <n v="4.08"/>
    <m/>
    <n v="3595.92"/>
    <n v="3595.92"/>
    <m/>
    <s v="FR76 2763 3121 2905 0404 5072 673"/>
    <m/>
    <m/>
    <m/>
    <x v="0"/>
  </r>
  <r>
    <s v="E0032"/>
    <x v="0"/>
    <s v=""/>
    <s v=""/>
    <s v=""/>
    <s v=""/>
    <s v=""/>
    <s v=""/>
    <n v="0"/>
    <s v="YOBER HUAMAN VELASQUEZ"/>
    <s v="YOBER HUAMAN VELASQUE"/>
    <m/>
    <s v="43-CAM IMPIANTI INDUSTRIALI SRL"/>
    <n v="16"/>
    <n v="144"/>
    <n v="144"/>
    <s v="Confirmada"/>
    <m/>
    <m/>
    <m/>
    <m/>
    <m/>
    <m/>
    <m/>
    <m/>
    <s v=""/>
    <m/>
    <m/>
    <n v="0"/>
    <s v=""/>
    <s v=""/>
    <s v=""/>
    <s v=""/>
    <s v=""/>
    <s v=""/>
    <s v=""/>
    <s v=""/>
    <s v=""/>
    <m/>
    <n v="4.08"/>
    <m/>
    <n v="2299.92"/>
    <n v="2299.92"/>
    <m/>
    <s v="ES40 0182 0394 3602 0176 1182"/>
    <m/>
    <m/>
    <m/>
    <x v="0"/>
  </r>
  <r>
    <s v="E0615"/>
    <x v="0"/>
    <s v=""/>
    <s v="KR"/>
    <s v=""/>
    <s v=""/>
    <s v=""/>
    <s v=""/>
    <n v="0"/>
    <s v="EDILSON FIERRO"/>
    <s v="EDILSON FIERRO DAGUA"/>
    <m/>
    <s v="71-ELYTT ENERGY"/>
    <n v="15"/>
    <n v="227"/>
    <n v="227"/>
    <s v="Pendente"/>
    <m/>
    <m/>
    <m/>
    <m/>
    <m/>
    <m/>
    <m/>
    <m/>
    <s v=""/>
    <m/>
    <m/>
    <n v="0"/>
    <s v=""/>
    <n v="74.666666666666657"/>
    <s v=""/>
    <s v=""/>
    <s v=""/>
    <s v=""/>
    <s v=""/>
    <s v=""/>
    <s v=""/>
    <m/>
    <n v="4.08"/>
    <m/>
    <n v="3326.2533333333336"/>
    <n v="3326.2533333333336"/>
    <m/>
    <s v="ES26 0182 5322 2102 0680 7313"/>
    <m/>
    <m/>
    <m/>
    <x v="0"/>
  </r>
  <r>
    <s v="E0237"/>
    <x v="0"/>
    <s v=""/>
    <s v=""/>
    <s v=""/>
    <s v=""/>
    <s v=""/>
    <s v=""/>
    <n v="0"/>
    <s v="FREDY JAVIER CCALLA ROJAS"/>
    <s v="FREDY JAVIER CCALLA ROJAS"/>
    <m/>
    <s v="71-ELYTT ENERGY"/>
    <n v="15"/>
    <n v="248"/>
    <n v="248"/>
    <s v="Pendente"/>
    <m/>
    <m/>
    <m/>
    <m/>
    <m/>
    <m/>
    <m/>
    <m/>
    <s v=""/>
    <m/>
    <m/>
    <n v="0"/>
    <s v=""/>
    <n v="74.666666666666657"/>
    <s v=""/>
    <s v=""/>
    <s v=""/>
    <s v=""/>
    <s v=""/>
    <s v=""/>
    <s v=""/>
    <m/>
    <n v="4.08"/>
    <m/>
    <n v="3641.2533333333336"/>
    <n v="3641.2533333333336"/>
    <m/>
    <s v="ES84 0182 0187 2702 0162 9464"/>
    <m/>
    <m/>
    <m/>
    <x v="0"/>
  </r>
  <r>
    <s v="E0240"/>
    <x v="0"/>
    <s v=""/>
    <s v=""/>
    <s v=""/>
    <s v=""/>
    <s v=""/>
    <s v=""/>
    <n v="0"/>
    <s v="HECTOR LUIS PARRAGA ZAVALA"/>
    <s v="HECTOR LUIS PARRAGA ZAVALA"/>
    <m/>
    <s v="71-ELYTT ENERGY"/>
    <n v="15"/>
    <n v="252"/>
    <n v="252"/>
    <s v="Pendente"/>
    <m/>
    <m/>
    <m/>
    <m/>
    <m/>
    <m/>
    <m/>
    <m/>
    <s v=""/>
    <m/>
    <m/>
    <n v="0"/>
    <s v=""/>
    <n v="74.666666666666657"/>
    <s v=""/>
    <s v=""/>
    <s v=""/>
    <s v=""/>
    <s v=""/>
    <s v=""/>
    <s v=""/>
    <m/>
    <n v="4.08"/>
    <m/>
    <n v="3701.2533333333336"/>
    <n v="3701.2533333333336"/>
    <m/>
    <s v="ES26 0182 1226 1902 0159 3209"/>
    <m/>
    <m/>
    <m/>
    <x v="0"/>
  </r>
  <r>
    <s v="E0238"/>
    <x v="0"/>
    <s v=""/>
    <s v=""/>
    <s v=""/>
    <s v=""/>
    <s v=""/>
    <s v=""/>
    <n v="0"/>
    <s v="ISRAEL BENAVIDES PRECIADO"/>
    <s v="ISRAEL BENAVIDES PRECIADO"/>
    <m/>
    <s v="71-ELYTT ENERGY"/>
    <n v="15"/>
    <n v="276"/>
    <n v="276"/>
    <s v="Pendente"/>
    <m/>
    <m/>
    <m/>
    <m/>
    <m/>
    <m/>
    <m/>
    <m/>
    <s v=""/>
    <m/>
    <m/>
    <n v="0"/>
    <s v=""/>
    <n v="66.666666666666657"/>
    <n v="0"/>
    <n v="0"/>
    <n v="0"/>
    <n v="148.97"/>
    <n v="0"/>
    <n v="0"/>
    <s v=""/>
    <m/>
    <n v="4.08"/>
    <m/>
    <n v="3920.2833333333338"/>
    <n v="3920.2833333333338"/>
    <m/>
    <s v="ES06 0182 0079 0402 0156 0862"/>
    <m/>
    <m/>
    <m/>
    <x v="0"/>
  </r>
  <r>
    <s v="E1416"/>
    <x v="0"/>
    <s v=""/>
    <s v=""/>
    <s v=""/>
    <s v=""/>
    <s v=""/>
    <s v=""/>
    <n v="0"/>
    <s v="JHON JAIRO MUÑOZ BARBOSA"/>
    <s v="JHON JAIRO MUÑOZ BARBOSA"/>
    <m/>
    <s v="71-ELYTT ENERGY"/>
    <n v="15"/>
    <n v="307"/>
    <n v="307"/>
    <s v="Pendente"/>
    <m/>
    <m/>
    <m/>
    <m/>
    <m/>
    <m/>
    <m/>
    <m/>
    <s v=""/>
    <m/>
    <m/>
    <n v="0"/>
    <s v=""/>
    <n v="74.666666666666657"/>
    <s v=""/>
    <s v=""/>
    <s v=""/>
    <s v=""/>
    <s v=""/>
    <s v=""/>
    <s v=""/>
    <m/>
    <n v="4.08"/>
    <m/>
    <n v="4526.2533333333331"/>
    <n v="4526.2533333333331"/>
    <m/>
    <s v="ES17 0182 0079 0902 0156 1001"/>
    <m/>
    <m/>
    <m/>
    <x v="0"/>
  </r>
  <r>
    <s v="E0277"/>
    <x v="1"/>
    <s v="KI"/>
    <s v=""/>
    <s v=""/>
    <s v=""/>
    <d v="2025-04-15T00:00:00"/>
    <d v="2026-01-31T00:00:00"/>
    <n v="31"/>
    <s v="CAMILO ANDRES VALERO PEREZ"/>
    <s v="CAMILO ANDRES VALERO PEREZ"/>
    <m/>
    <s v="84-GRUPO LOAFA"/>
    <n v="15"/>
    <n v="201"/>
    <n v="201"/>
    <s v="Confirmada"/>
    <m/>
    <m/>
    <m/>
    <m/>
    <m/>
    <m/>
    <m/>
    <m/>
    <s v=""/>
    <m/>
    <m/>
    <n v="218.798"/>
    <s v=""/>
    <n v="145"/>
    <s v=""/>
    <s v=""/>
    <s v=""/>
    <s v=""/>
    <s v=""/>
    <s v=""/>
    <s v=""/>
    <m/>
    <n v="4.08"/>
    <m/>
    <n v="2647.1220000000003"/>
    <n v="2647.1220000000003"/>
    <m/>
    <s v=" ES44 0182 4388 1902 0186 5368 "/>
    <m/>
    <m/>
    <m/>
    <x v="0"/>
  </r>
  <r>
    <s v="E0074"/>
    <x v="1"/>
    <s v="KI"/>
    <s v=""/>
    <s v=""/>
    <s v="LM"/>
    <d v="2025-08-01T00:00:00"/>
    <d v="2026-01-12T00:00:00"/>
    <n v="12"/>
    <m/>
    <s v="PEDRO CARLOS ARMENDARIZ"/>
    <m/>
    <s v="AURO TUB"/>
    <n v="15"/>
    <n v="130"/>
    <n v="74"/>
    <s v="Confirmada"/>
    <m/>
    <m/>
    <m/>
    <m/>
    <m/>
    <m/>
    <m/>
    <m/>
    <s v=""/>
    <m/>
    <m/>
    <n v="84.695999999999998"/>
    <s v=""/>
    <s v=""/>
    <s v=""/>
    <s v=""/>
    <s v=""/>
    <s v=""/>
    <s v=""/>
    <s v=""/>
    <s v=""/>
    <m/>
    <n v="4.08"/>
    <m/>
    <n v="1861.2240000000002"/>
    <n v="1021.224"/>
    <m/>
    <s v="ES55 6893 0001 7300 0027 4004"/>
    <m/>
    <m/>
    <m/>
    <x v="0"/>
  </r>
  <r>
    <s v="E0343"/>
    <x v="0"/>
    <s v=""/>
    <s v=""/>
    <s v=""/>
    <s v=""/>
    <s v=""/>
    <s v=""/>
    <n v="0"/>
    <m/>
    <s v="VICTOR EDGARDO RAMIREZ GRANDA"/>
    <m/>
    <s v="AURO TUB"/>
    <n v="15"/>
    <n v="140"/>
    <n v="74"/>
    <s v="Confirmada"/>
    <m/>
    <m/>
    <m/>
    <m/>
    <m/>
    <m/>
    <m/>
    <m/>
    <s v=""/>
    <m/>
    <m/>
    <n v="0"/>
    <s v=""/>
    <s v=""/>
    <s v=""/>
    <s v=""/>
    <s v=""/>
    <s v=""/>
    <s v=""/>
    <s v=""/>
    <s v=""/>
    <m/>
    <n v="4.08"/>
    <m/>
    <n v="2095.92"/>
    <n v="1105.92"/>
    <m/>
    <s v="ES17 0182 3212 8502 0157 7167"/>
    <m/>
    <m/>
    <m/>
    <x v="0"/>
  </r>
  <r>
    <s v="E0075"/>
    <x v="0"/>
    <s v=""/>
    <s v=""/>
    <s v=""/>
    <s v=""/>
    <s v=""/>
    <s v=""/>
    <n v="0"/>
    <m/>
    <s v="WILLIAM NOE MANRIQUE MOREYRA"/>
    <m/>
    <s v="AURO TUB"/>
    <n v="15"/>
    <n v="130"/>
    <n v="74"/>
    <s v="Confirmada"/>
    <m/>
    <m/>
    <m/>
    <m/>
    <m/>
    <m/>
    <m/>
    <m/>
    <s v=""/>
    <m/>
    <m/>
    <n v="0"/>
    <s v=""/>
    <s v=""/>
    <s v=""/>
    <s v=""/>
    <s v=""/>
    <s v=""/>
    <s v=""/>
    <s v=""/>
    <s v=""/>
    <m/>
    <n v="4.08"/>
    <m/>
    <n v="1945.92"/>
    <n v="1105.92"/>
    <m/>
    <s v="ES47 6893 0001 7200 0027 5846"/>
    <m/>
    <m/>
    <m/>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
  <r>
    <s v="E0388"/>
    <x v="0"/>
    <s v="KI"/>
    <s v=""/>
    <s v=""/>
    <s v=""/>
    <s v=""/>
    <s v=""/>
    <n v="0"/>
    <s v="ALEX DAVID GOMEZ V."/>
    <s v="ALEX DAVID GOMEZ VILLADA"/>
    <m/>
    <s v="108-INSTALACIONES Y SISTEMAS HIDRAULICOS"/>
    <n v="15"/>
    <n v="181"/>
    <n v="181"/>
    <s v="Pendente"/>
    <m/>
    <m/>
    <m/>
    <m/>
    <m/>
    <m/>
    <m/>
    <m/>
    <s v=""/>
    <m/>
    <m/>
    <n v="0"/>
    <s v=""/>
    <s v=""/>
    <s v=""/>
    <s v=""/>
    <s v=""/>
    <s v=""/>
    <s v=""/>
    <s v=""/>
    <s v=""/>
    <m/>
    <n v="4.08"/>
    <m/>
    <n v="2710.92"/>
    <n v="2710.92"/>
    <m/>
    <s v="ES71 0182 1270 9602 0166 8003"/>
    <m/>
    <m/>
    <s v="Fernando 16-02"/>
    <s v="Pago"/>
  </r>
  <r>
    <s v="E0386"/>
    <x v="1"/>
    <s v=""/>
    <s v=""/>
    <s v="WS"/>
    <s v=""/>
    <d v="2025-10-09T00:00:00"/>
    <s v=""/>
    <n v="31"/>
    <s v="ALEXANDER LOPEZ"/>
    <s v="ALEXANDER MANUEL LOPEZ ROJAS"/>
    <m/>
    <s v="108-INSTALACIONES Y SISTEMAS HIDRAULICOS"/>
    <n v="12"/>
    <n v="188.5"/>
    <n v="182.5"/>
    <s v="Pendente"/>
    <m/>
    <m/>
    <m/>
    <m/>
    <m/>
    <m/>
    <m/>
    <m/>
    <s v=""/>
    <m/>
    <m/>
    <n v="218.798"/>
    <s v=""/>
    <s v=""/>
    <s v=""/>
    <s v=""/>
    <s v=""/>
    <s v=""/>
    <s v=""/>
    <s v=""/>
    <s v=""/>
    <m/>
    <n v="4.08"/>
    <m/>
    <n v="2039.1220000000001"/>
    <n v="1967.1220000000001"/>
    <m/>
    <s v="BE28 9050 2145 7720"/>
    <m/>
    <m/>
    <s v="Brenda 16-02"/>
    <s v="Pago"/>
  </r>
  <r>
    <s v="E0359"/>
    <x v="0"/>
    <s v=""/>
    <s v="KR"/>
    <s v=""/>
    <s v=""/>
    <s v=""/>
    <s v=""/>
    <n v="0"/>
    <s v="ANDRES FELIPE GOMEZ"/>
    <s v="ANDRES FELIPE GOMEZ PUERTA"/>
    <m/>
    <s v="108-INSTALACIONES Y SISTEMAS HIDRAULICOS"/>
    <n v="15"/>
    <n v="133"/>
    <n v="126"/>
    <s v="Pendente"/>
    <m/>
    <m/>
    <m/>
    <m/>
    <m/>
    <m/>
    <m/>
    <m/>
    <n v="300"/>
    <m/>
    <m/>
    <n v="0"/>
    <s v=""/>
    <s v=""/>
    <s v=""/>
    <s v=""/>
    <s v=""/>
    <s v=""/>
    <s v=""/>
    <s v=""/>
    <s v=""/>
    <n v="18.75"/>
    <n v="4.08"/>
    <m/>
    <n v="2272.17"/>
    <n v="2167.17"/>
    <m/>
    <s v="ES30 6893 0001 7900 0027 5712"/>
    <m/>
    <m/>
    <s v="Fernando 16-02"/>
    <s v="Pago"/>
  </r>
  <r>
    <s v="E1979"/>
    <x v="0"/>
    <s v=""/>
    <s v=""/>
    <s v=""/>
    <s v=""/>
    <s v=""/>
    <s v=""/>
    <n v="0"/>
    <s v="BRANDON RAMIRO ZAPATA"/>
    <s v="BRANDON RAMIREZ ZAPATA"/>
    <m/>
    <s v="108-INSTALACIONES Y SISTEMAS HIDRAULICOS"/>
    <n v="15"/>
    <n v="132.5"/>
    <n v="142.5"/>
    <s v="Pendente"/>
    <m/>
    <m/>
    <m/>
    <m/>
    <m/>
    <m/>
    <m/>
    <m/>
    <s v=""/>
    <m/>
    <m/>
    <n v="0"/>
    <s v=""/>
    <n v="115"/>
    <n v="0"/>
    <n v="0"/>
    <n v="0"/>
    <n v="128.65"/>
    <n v="0"/>
    <n v="0"/>
    <s v=""/>
    <m/>
    <n v="4.08"/>
    <m/>
    <n v="1739.77"/>
    <n v="1889.77"/>
    <m/>
    <s v="ES63 0182 8674 4702 0165 0906"/>
    <m/>
    <m/>
    <s v="Fernando 16-02"/>
    <s v="Pago"/>
  </r>
  <r>
    <s v="E1897"/>
    <x v="0"/>
    <s v=""/>
    <s v=""/>
    <s v=""/>
    <s v=""/>
    <s v=""/>
    <s v=""/>
    <n v="0"/>
    <s v="BRAYAN JOSE ALARCON MORALES"/>
    <s v="BRAYAN JOSE ALARCON MORALES"/>
    <m/>
    <s v="108-INSTALACIONES Y SISTEMAS HIDRAULICOS"/>
    <n v="15"/>
    <n v="157"/>
    <n v="171"/>
    <s v="Pendente"/>
    <m/>
    <m/>
    <m/>
    <m/>
    <m/>
    <m/>
    <m/>
    <m/>
    <s v=""/>
    <m/>
    <m/>
    <n v="0"/>
    <s v=""/>
    <s v=""/>
    <n v="0"/>
    <n v="0"/>
    <n v="0"/>
    <n v="159.1"/>
    <n v="0"/>
    <n v="0"/>
    <s v=""/>
    <m/>
    <n v="4.08"/>
    <m/>
    <n v="2191.8200000000002"/>
    <n v="2401.8200000000002"/>
    <m/>
    <s v="BE80 9056 8570 9777"/>
    <m/>
    <m/>
    <s v="Fernando 16-02"/>
    <s v="Pago"/>
  </r>
  <r>
    <s v="E1821"/>
    <x v="0"/>
    <s v=""/>
    <s v=""/>
    <s v=""/>
    <s v=""/>
    <s v=""/>
    <s v=""/>
    <n v="0"/>
    <s v="BRAYAN JULIAN GARCON MARIN"/>
    <s v="BRAYAN JULIAN GAZCON MARIN"/>
    <m/>
    <s v="108-INSTALACIONES Y SISTEMAS HIDRAULICOS"/>
    <n v="15"/>
    <n v="83"/>
    <n v="83"/>
    <s v="Pendente"/>
    <m/>
    <m/>
    <m/>
    <m/>
    <m/>
    <m/>
    <m/>
    <m/>
    <s v=""/>
    <m/>
    <m/>
    <n v="0"/>
    <s v=""/>
    <n v="50"/>
    <s v=""/>
    <s v=""/>
    <s v=""/>
    <s v=""/>
    <s v=""/>
    <s v=""/>
    <s v=""/>
    <m/>
    <n v="4.08"/>
    <m/>
    <n v="1190.92"/>
    <n v="1190.92"/>
    <m/>
    <s v="ES67 0182 3191 8602 0175 0801"/>
    <m/>
    <m/>
    <s v="Fernando 16-02"/>
    <s v="Pago"/>
  </r>
  <r>
    <s v="E2020"/>
    <x v="0"/>
    <s v=""/>
    <s v=""/>
    <s v=""/>
    <s v=""/>
    <s v=""/>
    <s v=""/>
    <n v="0"/>
    <s v="CARLOS ARROYO BERTEL"/>
    <s v="CARLOS ANDRES ARROYO BERTEL"/>
    <m/>
    <s v="108-INSTALACIONES Y SISTEMAS HIDRAULICOS"/>
    <n v="15"/>
    <n v="167"/>
    <n v="167"/>
    <s v="Pendente"/>
    <m/>
    <m/>
    <m/>
    <m/>
    <m/>
    <m/>
    <m/>
    <m/>
    <s v=""/>
    <m/>
    <m/>
    <n v="0"/>
    <s v=""/>
    <s v=""/>
    <n v="0"/>
    <n v="0"/>
    <n v="0"/>
    <n v="147.19999999999999"/>
    <n v="0"/>
    <n v="0"/>
    <s v=""/>
    <m/>
    <n v="4.08"/>
    <m/>
    <n v="2353.7200000000003"/>
    <n v="2353.7200000000003"/>
    <m/>
    <s v="BE56 9057 7352 4988"/>
    <m/>
    <m/>
    <s v="Fernando 16-02"/>
    <s v="Pago"/>
  </r>
  <r>
    <s v="E2026"/>
    <x v="0"/>
    <s v=""/>
    <s v=""/>
    <s v=""/>
    <s v=""/>
    <s v=""/>
    <s v=""/>
    <n v="0"/>
    <s v="NÃO IDENTIFICADO"/>
    <s v="CARLOS ANDRES SILVA CORREA"/>
    <m/>
    <s v="108-INSTALACIONES Y SISTEMAS HIDRAULICOS"/>
    <n v="15"/>
    <n v="140.5"/>
    <n v="141.5"/>
    <s v="Pendente"/>
    <m/>
    <m/>
    <m/>
    <m/>
    <m/>
    <m/>
    <m/>
    <m/>
    <s v=""/>
    <m/>
    <m/>
    <n v="0"/>
    <s v=""/>
    <s v=""/>
    <n v="0"/>
    <n v="0"/>
    <n v="0"/>
    <n v="147.19999999999999"/>
    <n v="0"/>
    <n v="0"/>
    <s v=""/>
    <m/>
    <n v="4.08"/>
    <m/>
    <n v="1956.22"/>
    <n v="1971.22"/>
    <m/>
    <s v="ES17 0049 5774 4929 1621 2724"/>
    <m/>
    <m/>
    <s v="Fernando 16-02"/>
    <s v="Pago"/>
  </r>
  <r>
    <s v="E2021"/>
    <x v="0"/>
    <s v=""/>
    <s v=""/>
    <s v=""/>
    <s v=""/>
    <s v=""/>
    <s v=""/>
    <n v="0"/>
    <s v="DEWIN DE JESUS DE LEON BARRERA"/>
    <s v="DEWIN DE JESUS DE LEON BARRERA"/>
    <m/>
    <s v="108-INSTALACIONES Y SISTEMAS HIDRAULICOS"/>
    <n v="15"/>
    <n v="142"/>
    <n v="143"/>
    <s v="Pendente"/>
    <m/>
    <m/>
    <m/>
    <m/>
    <m/>
    <m/>
    <m/>
    <m/>
    <s v=""/>
    <m/>
    <m/>
    <n v="0"/>
    <s v=""/>
    <n v="115"/>
    <n v="0"/>
    <n v="0"/>
    <n v="0"/>
    <n v="128.65"/>
    <n v="0"/>
    <n v="0"/>
    <s v=""/>
    <m/>
    <n v="4.08"/>
    <m/>
    <n v="1882.27"/>
    <n v="1897.27"/>
    <m/>
    <s v="ES76 0182 6786 0202 0155 7836"/>
    <s v="IBAN NOVO"/>
    <m/>
    <s v="Fernando 16-02"/>
    <s v="Pago"/>
  </r>
  <r>
    <s v="E1826"/>
    <x v="0"/>
    <s v=""/>
    <s v=""/>
    <s v=""/>
    <s v=""/>
    <s v=""/>
    <s v=""/>
    <n v="0"/>
    <s v="DOMINGO"/>
    <s v="DOMINGO RAMON VEGA HUMANEZ"/>
    <m/>
    <s v="108-INSTALACIONES Y SISTEMAS HIDRAULICOS"/>
    <n v="15"/>
    <n v="172.5"/>
    <n v="173"/>
    <s v="Pendente"/>
    <m/>
    <m/>
    <m/>
    <m/>
    <m/>
    <m/>
    <m/>
    <m/>
    <s v=""/>
    <m/>
    <m/>
    <n v="0"/>
    <s v=""/>
    <s v=""/>
    <s v=""/>
    <s v=""/>
    <s v=""/>
    <s v=""/>
    <s v=""/>
    <s v=""/>
    <s v=""/>
    <m/>
    <n v="4.08"/>
    <m/>
    <n v="2583.42"/>
    <n v="2590.92"/>
    <m/>
    <s v="BE24 9056 9017 7538"/>
    <m/>
    <m/>
    <s v="Fernando 16-02"/>
    <s v="Pago"/>
  </r>
  <r>
    <s v="E0356"/>
    <x v="0"/>
    <s v=""/>
    <s v=""/>
    <s v=""/>
    <s v=""/>
    <s v=""/>
    <s v=""/>
    <n v="0"/>
    <s v="DUAN ANTONIO AVILA NORIEGA"/>
    <s v="DUAN ANTONIO AVILA NORIEGA"/>
    <m/>
    <s v="108-INSTALACIONES Y SISTEMAS HIDRAULICOS"/>
    <n v="15"/>
    <n v="83"/>
    <n v="83"/>
    <s v="Pendente"/>
    <m/>
    <m/>
    <m/>
    <m/>
    <m/>
    <m/>
    <m/>
    <m/>
    <s v=""/>
    <m/>
    <m/>
    <n v="0"/>
    <s v=""/>
    <n v="50"/>
    <s v=""/>
    <s v=""/>
    <s v=""/>
    <s v=""/>
    <s v=""/>
    <s v=""/>
    <s v=""/>
    <m/>
    <n v="4.08"/>
    <m/>
    <n v="1190.92"/>
    <n v="1190.92"/>
    <m/>
    <s v="BE98 9052 9051 3993"/>
    <m/>
    <m/>
    <s v="Fernando 16-02"/>
    <s v="Pago"/>
  </r>
  <r>
    <s v="E1806"/>
    <x v="0"/>
    <s v=""/>
    <s v=""/>
    <s v=""/>
    <s v=""/>
    <s v=""/>
    <s v=""/>
    <n v="0"/>
    <s v="EDILSON TORRES SALCEDO"/>
    <s v="EDILSON TORRES SALCEDO"/>
    <m/>
    <s v="108-INSTALACIONES Y SISTEMAS HIDRAULICOS"/>
    <n v="15"/>
    <n v="157"/>
    <n v="157"/>
    <s v="Pendente"/>
    <m/>
    <m/>
    <m/>
    <m/>
    <m/>
    <m/>
    <m/>
    <m/>
    <s v=""/>
    <m/>
    <m/>
    <n v="0"/>
    <s v=""/>
    <s v=""/>
    <n v="0"/>
    <n v="0"/>
    <n v="0"/>
    <n v="42.36"/>
    <n v="0"/>
    <n v="0"/>
    <s v=""/>
    <m/>
    <n v="4.08"/>
    <m/>
    <n v="2308.56"/>
    <n v="2308.56"/>
    <m/>
    <s v="ES89 0182 7345 4802 0171 3250"/>
    <m/>
    <m/>
    <s v="Fernando 16-02"/>
    <s v="Pago"/>
  </r>
  <r>
    <s v="E0363"/>
    <x v="1"/>
    <s v=""/>
    <s v=""/>
    <s v="WS"/>
    <s v=""/>
    <d v="2025-10-08T00:00:00"/>
    <s v=""/>
    <n v="31"/>
    <s v="FLOR"/>
    <s v="EDUARD YOVANNY LOZANO OSORIO"/>
    <m/>
    <s v="108-INSTALACIONES Y SISTEMAS HIDRAULICOS"/>
    <n v="15"/>
    <n v="175"/>
    <n v="175"/>
    <s v="Pendente"/>
    <m/>
    <m/>
    <m/>
    <m/>
    <m/>
    <m/>
    <m/>
    <m/>
    <s v=""/>
    <m/>
    <m/>
    <n v="218.798"/>
    <s v=""/>
    <s v=""/>
    <n v="50"/>
    <n v="0"/>
    <n v="0"/>
    <n v="0"/>
    <n v="0"/>
    <n v="0"/>
    <s v=""/>
    <m/>
    <n v="4.08"/>
    <m/>
    <n v="2352.1220000000003"/>
    <n v="2352.1220000000003"/>
    <m/>
    <s v="BE31 9052 9879 3955"/>
    <m/>
    <m/>
    <s v="Brenda 16-02"/>
    <s v="Pago"/>
  </r>
  <r>
    <s v="E1412"/>
    <x v="0"/>
    <s v=""/>
    <s v=""/>
    <s v=""/>
    <s v=""/>
    <s v=""/>
    <s v=""/>
    <n v="0"/>
    <s v="EDWAR ARIEL VELEZ POSADA"/>
    <s v="EDWAR ARIEL VELEZ POSADA"/>
    <m/>
    <s v="108-INSTALACIONES Y SISTEMAS HIDRAULICOS"/>
    <n v="15"/>
    <n v="83"/>
    <n v="83"/>
    <s v="Pendente"/>
    <m/>
    <m/>
    <m/>
    <m/>
    <m/>
    <m/>
    <m/>
    <m/>
    <s v=""/>
    <m/>
    <m/>
    <n v="0"/>
    <s v=""/>
    <n v="50"/>
    <s v=""/>
    <s v=""/>
    <s v=""/>
    <s v=""/>
    <s v=""/>
    <s v=""/>
    <s v=""/>
    <m/>
    <n v="4.08"/>
    <m/>
    <n v="1190.92"/>
    <n v="1190.92"/>
    <m/>
    <s v="BE58 9055 1631 8879"/>
    <m/>
    <m/>
    <s v="Fernando 16-02"/>
    <s v="Pago"/>
  </r>
  <r>
    <s v="E0364"/>
    <x v="1"/>
    <s v=""/>
    <s v=""/>
    <s v="WS"/>
    <s v=""/>
    <d v="2025-10-08T00:00:00"/>
    <s v=""/>
    <n v="31"/>
    <s v="EDWIN"/>
    <s v="EDWIN DIAZ MARULANDA"/>
    <m/>
    <s v="108-INSTALACIONES Y SISTEMAS HIDRAULICOS"/>
    <n v="15"/>
    <n v="170"/>
    <n v="170.5"/>
    <s v="Pendente"/>
    <m/>
    <m/>
    <m/>
    <m/>
    <m/>
    <m/>
    <m/>
    <m/>
    <s v=""/>
    <m/>
    <m/>
    <n v="218.798"/>
    <s v=""/>
    <s v=""/>
    <s v=""/>
    <s v=""/>
    <s v=""/>
    <s v=""/>
    <s v=""/>
    <s v=""/>
    <s v=""/>
    <m/>
    <n v="4.08"/>
    <m/>
    <n v="2327.1220000000003"/>
    <n v="2334.6220000000003"/>
    <m/>
    <s v="ES94 6893 0001 7800 0029 2166 "/>
    <m/>
    <m/>
    <s v="Brenda 16-02"/>
    <s v="Pago"/>
  </r>
  <r>
    <s v="E0389"/>
    <x v="1"/>
    <s v=""/>
    <s v=""/>
    <s v="WS"/>
    <s v=""/>
    <d v="2025-10-09T00:00:00"/>
    <s v=""/>
    <n v="31"/>
    <s v="FABIAN ARTURO RUIZ GARCIA"/>
    <s v="FABIAN ARTURO RUIZ GARCIA"/>
    <m/>
    <s v="108-INSTALACIONES Y SISTEMAS HIDRAULICOS"/>
    <n v="15"/>
    <n v="176"/>
    <n v="169"/>
    <s v="Pendente"/>
    <m/>
    <m/>
    <m/>
    <m/>
    <m/>
    <m/>
    <m/>
    <m/>
    <n v="300"/>
    <m/>
    <m/>
    <n v="218.798"/>
    <s v=""/>
    <s v=""/>
    <s v=""/>
    <s v=""/>
    <s v=""/>
    <s v=""/>
    <s v=""/>
    <s v=""/>
    <s v=""/>
    <m/>
    <n v="4.08"/>
    <m/>
    <n v="2717.1220000000003"/>
    <n v="2612.1220000000003"/>
    <m/>
    <s v="ES59 0182 6786 0902 0155 5762 "/>
    <m/>
    <m/>
    <s v="Brenda 16-02"/>
    <s v="Pago"/>
  </r>
  <r>
    <s v="E0387"/>
    <x v="1"/>
    <s v=""/>
    <s v=""/>
    <s v="WS"/>
    <s v=""/>
    <d v="2025-10-09T00:00:00"/>
    <s v=""/>
    <n v="31"/>
    <s v="GUILLERMO ARCINIEGAS M"/>
    <s v="GUILLERMO ARCINIEGAS MURILLO"/>
    <m/>
    <s v="108-INSTALACIONES Y SISTEMAS HIDRAULICOS"/>
    <n v="15"/>
    <n v="170"/>
    <n v="170.5"/>
    <s v="Pendente"/>
    <m/>
    <m/>
    <m/>
    <m/>
    <m/>
    <m/>
    <m/>
    <m/>
    <n v="300"/>
    <m/>
    <m/>
    <n v="218.798"/>
    <s v=""/>
    <s v=""/>
    <s v=""/>
    <s v=""/>
    <s v=""/>
    <s v=""/>
    <s v=""/>
    <s v=""/>
    <s v=""/>
    <m/>
    <n v="4.08"/>
    <m/>
    <n v="2627.1220000000003"/>
    <n v="2634.6220000000003"/>
    <m/>
    <s v=" ES11 0182 6786 0802 0155 7645"/>
    <m/>
    <m/>
    <s v="Brenda 16-02"/>
    <s v="Pago"/>
  </r>
  <r>
    <s v="E1829"/>
    <x v="0"/>
    <s v=""/>
    <s v=""/>
    <s v=""/>
    <s v=""/>
    <s v=""/>
    <s v=""/>
    <n v="0"/>
    <s v="GUSTAVO ANDRES PORRAS M"/>
    <s v="GUSTAVO ANDRES PORRAS MORALES"/>
    <m/>
    <s v="108-INSTALACIONES Y SISTEMAS HIDRAULICOS"/>
    <n v="15"/>
    <n v="144.5"/>
    <n v="144.5"/>
    <s v="Pendente"/>
    <m/>
    <m/>
    <m/>
    <m/>
    <m/>
    <m/>
    <m/>
    <m/>
    <s v=""/>
    <m/>
    <m/>
    <n v="0"/>
    <s v=""/>
    <s v=""/>
    <n v="0"/>
    <n v="0"/>
    <n v="0"/>
    <n v="63.78"/>
    <n v="0"/>
    <n v="0"/>
    <s v=""/>
    <m/>
    <n v="4.08"/>
    <m/>
    <n v="2099.64"/>
    <n v="2099.64"/>
    <m/>
    <s v="ES41 0182 7345 4102 0171 2226"/>
    <m/>
    <m/>
    <s v="Fernando 16-02"/>
    <s v="Pago"/>
  </r>
  <r>
    <s v="E0365"/>
    <x v="0"/>
    <s v=""/>
    <s v=""/>
    <s v=""/>
    <s v=""/>
    <s v=""/>
    <s v=""/>
    <n v="0"/>
    <s v="ISAIAS MUÑOZ MACHADO"/>
    <s v="ISAIAS MUNOZ MACHADO"/>
    <m/>
    <s v="108-INSTALACIONES Y SISTEMAS HIDRAULICOS"/>
    <n v="15"/>
    <n v="142"/>
    <n v="145"/>
    <s v="Pendente"/>
    <m/>
    <m/>
    <m/>
    <m/>
    <m/>
    <m/>
    <m/>
    <m/>
    <n v="300"/>
    <m/>
    <m/>
    <n v="0"/>
    <s v=""/>
    <s v=""/>
    <s v=""/>
    <s v=""/>
    <s v=""/>
    <s v=""/>
    <s v=""/>
    <s v=""/>
    <s v=""/>
    <m/>
    <n v="4.08"/>
    <m/>
    <n v="2425.92"/>
    <n v="2470.92"/>
    <m/>
    <s v="ES21 6893 0001 7100 0026 4141"/>
    <m/>
    <m/>
    <s v="Fernando 16-02"/>
    <s v="Pago"/>
  </r>
  <r>
    <s v="E0384"/>
    <x v="1"/>
    <s v=""/>
    <s v=""/>
    <s v="WS"/>
    <s v=""/>
    <d v="2025-10-09T00:00:00"/>
    <s v=""/>
    <n v="31"/>
    <s v="JAIVER POLANCO PEREZ"/>
    <s v="JAIVER JOSE POLANCO PEREZ"/>
    <m/>
    <s v="108-INSTALACIONES Y SISTEMAS HIDRAULICOS"/>
    <n v="15"/>
    <n v="176"/>
    <n v="175"/>
    <s v="Pendente"/>
    <m/>
    <m/>
    <m/>
    <m/>
    <m/>
    <m/>
    <m/>
    <m/>
    <n v="300"/>
    <m/>
    <m/>
    <n v="218.798"/>
    <s v=""/>
    <s v=""/>
    <s v=""/>
    <s v=""/>
    <s v=""/>
    <s v=""/>
    <s v=""/>
    <s v=""/>
    <s v=""/>
    <m/>
    <n v="4.08"/>
    <m/>
    <n v="2717.1220000000003"/>
    <n v="2702.1220000000003"/>
    <m/>
    <s v="BE66 9050 1529 0843 "/>
    <m/>
    <m/>
    <s v="Brenda 16-02"/>
    <s v="Pago"/>
  </r>
  <r>
    <s v="E2037"/>
    <x v="0"/>
    <s v=""/>
    <s v=""/>
    <s v=""/>
    <s v=""/>
    <s v=""/>
    <s v=""/>
    <n v="0"/>
    <s v="JEAN CARLO SUAREZ"/>
    <s v="JEAN CARLO SUAREZ VALENCIA"/>
    <m/>
    <s v="108-INSTALACIONES Y SISTEMAS HIDRAULICOS"/>
    <n v="15"/>
    <n v="108.5"/>
    <n v="107.5"/>
    <s v="Pendente"/>
    <m/>
    <m/>
    <m/>
    <m/>
    <m/>
    <m/>
    <m/>
    <m/>
    <s v=""/>
    <m/>
    <m/>
    <n v="0"/>
    <s v=""/>
    <n v="80"/>
    <s v=""/>
    <s v=""/>
    <s v=""/>
    <s v=""/>
    <s v=""/>
    <s v=""/>
    <s v=""/>
    <m/>
    <n v="4.08"/>
    <m/>
    <n v="1543.42"/>
    <n v="1528.42"/>
    <m/>
    <s v="ES98 2100 4247 1622 0031 4099"/>
    <m/>
    <m/>
    <s v="Fernando 16-02"/>
    <s v="Pago"/>
  </r>
  <r>
    <s v="E1518"/>
    <x v="0"/>
    <s v=""/>
    <s v=""/>
    <s v=""/>
    <s v=""/>
    <s v=""/>
    <s v=""/>
    <n v="0"/>
    <s v="JEENVINSON ADALBERTO IGUARAN GRANADILLO"/>
    <s v="JEENVINSON ADALBERTO IGUARAN GRANADILLO"/>
    <m/>
    <s v="108-INSTALACIONES Y SISTEMAS HIDRAULICOS"/>
    <n v="15"/>
    <n v="180.5"/>
    <n v="180.5"/>
    <s v="Pendente"/>
    <m/>
    <m/>
    <m/>
    <m/>
    <m/>
    <m/>
    <m/>
    <m/>
    <s v=""/>
    <m/>
    <m/>
    <n v="0"/>
    <s v=""/>
    <s v=""/>
    <s v=""/>
    <s v=""/>
    <s v=""/>
    <s v=""/>
    <s v=""/>
    <s v=""/>
    <s v=""/>
    <m/>
    <n v="4.08"/>
    <m/>
    <n v="2703.42"/>
    <n v="2703.42"/>
    <m/>
    <s v=" ES68 0182 6786 0302 0155 7737"/>
    <s v="IBAN NOVO"/>
    <m/>
    <s v="Fernando 16-02"/>
    <s v="Pago"/>
  </r>
  <r>
    <s v="E0381"/>
    <x v="1"/>
    <s v=""/>
    <s v=""/>
    <s v="WS"/>
    <s v=""/>
    <d v="2025-09-22T00:00:00"/>
    <s v=""/>
    <n v="31"/>
    <s v="JHONNY ESTID QUIJANO"/>
    <s v="JHONNY ESTID QUIJANO TREJO"/>
    <m/>
    <s v="108-INSTALACIONES Y SISTEMAS HIDRAULICOS"/>
    <n v="15"/>
    <n v="83"/>
    <n v="83"/>
    <s v="Pendente"/>
    <m/>
    <m/>
    <m/>
    <m/>
    <m/>
    <m/>
    <m/>
    <m/>
    <s v=""/>
    <m/>
    <m/>
    <n v="218.798"/>
    <s v=""/>
    <n v="50"/>
    <s v=""/>
    <s v=""/>
    <s v=""/>
    <s v=""/>
    <s v=""/>
    <s v=""/>
    <s v=""/>
    <m/>
    <n v="4.08"/>
    <m/>
    <n v="972.12199999999996"/>
    <n v="972.12199999999996"/>
    <m/>
    <s v="BE19 9051 5184 4312 "/>
    <m/>
    <m/>
    <s v="Brenda 16-02"/>
    <s v="Pago"/>
  </r>
  <r>
    <s v="E0377"/>
    <x v="0"/>
    <s v=""/>
    <s v=""/>
    <s v=""/>
    <s v=""/>
    <s v=""/>
    <s v=""/>
    <n v="0"/>
    <s v="JOSE ANTONIO MORALES"/>
    <s v="JOSE ANTONIO MORALES HURTADO"/>
    <m/>
    <s v="108-INSTALACIONES Y SISTEMAS HIDRAULICOS"/>
    <n v="15"/>
    <n v="168"/>
    <n v="168"/>
    <s v="Pendente"/>
    <m/>
    <m/>
    <m/>
    <m/>
    <m/>
    <m/>
    <m/>
    <m/>
    <n v="300"/>
    <m/>
    <m/>
    <n v="0"/>
    <s v=""/>
    <s v=""/>
    <s v=""/>
    <s v=""/>
    <s v=""/>
    <s v=""/>
    <s v=""/>
    <s v=""/>
    <s v=""/>
    <m/>
    <n v="4.08"/>
    <m/>
    <n v="2815.92"/>
    <n v="2815.92"/>
    <m/>
    <s v="ES52 0182 8181 1402 0234 0463"/>
    <m/>
    <m/>
    <s v="Fernando 16-02"/>
    <s v="Pago"/>
  </r>
  <r>
    <s v="E1827"/>
    <x v="0"/>
    <s v=""/>
    <s v=""/>
    <s v=""/>
    <s v=""/>
    <s v=""/>
    <s v=""/>
    <n v="0"/>
    <s v="JULIO VERA"/>
    <s v="JULIO CESAR VERA"/>
    <m/>
    <s v="108-INSTALACIONES Y SISTEMAS HIDRAULICOS"/>
    <n v="15"/>
    <n v="159.5"/>
    <n v="159.5"/>
    <s v="Pendente"/>
    <m/>
    <m/>
    <m/>
    <m/>
    <m/>
    <m/>
    <m/>
    <m/>
    <s v=""/>
    <m/>
    <m/>
    <n v="0"/>
    <s v=""/>
    <s v=""/>
    <n v="0"/>
    <n v="0"/>
    <n v="0"/>
    <n v="137.21"/>
    <n v="0"/>
    <n v="0"/>
    <s v=""/>
    <m/>
    <n v="4.08"/>
    <m/>
    <n v="2251.21"/>
    <n v="2251.21"/>
    <m/>
    <s v="BE78 9056 7975 4886"/>
    <m/>
    <m/>
    <s v="Fernando 16-02"/>
    <s v="Pago"/>
  </r>
  <r>
    <s v="E0366"/>
    <x v="0"/>
    <s v=""/>
    <s v=""/>
    <s v=""/>
    <s v=""/>
    <s v=""/>
    <s v=""/>
    <n v="0"/>
    <s v="MARLO SERNA"/>
    <s v="MARLON SERNA URBANO"/>
    <m/>
    <s v="108-INSTALACIONES Y SISTEMAS HIDRAULICOS"/>
    <n v="13"/>
    <n v="172"/>
    <n v="171.5"/>
    <s v="Pendente"/>
    <m/>
    <m/>
    <m/>
    <m/>
    <m/>
    <m/>
    <m/>
    <m/>
    <n v="300"/>
    <m/>
    <m/>
    <n v="0"/>
    <s v=""/>
    <s v=""/>
    <s v=""/>
    <s v=""/>
    <s v=""/>
    <s v=""/>
    <s v=""/>
    <s v=""/>
    <s v=""/>
    <m/>
    <n v="4.08"/>
    <m/>
    <n v="2531.92"/>
    <n v="2525.42"/>
    <m/>
    <s v="BE72 9053 1405 7816"/>
    <m/>
    <m/>
    <s v="Fernando 16-02"/>
    <s v="Pago"/>
  </r>
  <r>
    <s v="E0367"/>
    <x v="0"/>
    <s v=""/>
    <s v=""/>
    <s v=""/>
    <s v=""/>
    <s v=""/>
    <s v=""/>
    <n v="0"/>
    <s v="OMAR STEVEEN SANCHEZ ROJAS"/>
    <s v="OMAR STEVEEN SANCHEZ ROJAS"/>
    <m/>
    <s v="108-INSTALACIONES Y SISTEMAS HIDRAULICOS"/>
    <n v="15"/>
    <n v="175"/>
    <n v="181.5"/>
    <s v="Pendente"/>
    <m/>
    <m/>
    <m/>
    <m/>
    <m/>
    <m/>
    <m/>
    <m/>
    <n v="300"/>
    <m/>
    <m/>
    <n v="0"/>
    <s v=""/>
    <s v=""/>
    <s v=""/>
    <s v=""/>
    <s v=""/>
    <s v=""/>
    <s v=""/>
    <s v=""/>
    <s v=""/>
    <m/>
    <n v="4.08"/>
    <m/>
    <n v="2920.92"/>
    <n v="3018.42"/>
    <m/>
    <s v="ES64 1563 2626 3132 6463 4041"/>
    <m/>
    <m/>
    <s v="Fernando 16-02"/>
    <s v="Pago"/>
  </r>
  <r>
    <s v="E0371"/>
    <x v="1"/>
    <s v=""/>
    <s v=""/>
    <s v="WS"/>
    <s v=""/>
    <d v="2025-10-09T00:00:00"/>
    <s v=""/>
    <n v="31"/>
    <s v="OSCAR ASTORGA MUÑOZ"/>
    <s v="OSCAR ASTORGA MUÑOZ"/>
    <m/>
    <s v="108-INSTALACIONES Y SISTEMAS HIDRAULICOS"/>
    <n v="15"/>
    <n v="187.5"/>
    <n v="187.5"/>
    <s v="Pendente"/>
    <m/>
    <m/>
    <m/>
    <m/>
    <m/>
    <m/>
    <m/>
    <m/>
    <n v="300"/>
    <m/>
    <m/>
    <n v="218.798"/>
    <s v=""/>
    <s v=""/>
    <s v=""/>
    <s v=""/>
    <s v=""/>
    <s v=""/>
    <s v=""/>
    <s v=""/>
    <s v=""/>
    <m/>
    <n v="4.08"/>
    <m/>
    <n v="2889.6220000000003"/>
    <n v="2889.6220000000003"/>
    <m/>
    <s v="ES54 0182 6786 0202 0155 7553"/>
    <m/>
    <m/>
    <s v="Brenda 16-02"/>
    <s v="Pago"/>
  </r>
  <r>
    <s v="E0539"/>
    <x v="1"/>
    <s v=""/>
    <s v=""/>
    <s v="WS"/>
    <s v=""/>
    <d v="2025-10-01T00:00:00"/>
    <s v=""/>
    <n v="31"/>
    <s v="OSCAR"/>
    <s v="OSCAR EDUARDO ORTEGA LOPEZ"/>
    <m/>
    <s v="108-INSTALACIONES Y SISTEMAS HIDRAULICOS"/>
    <n v="15"/>
    <n v="170"/>
    <n v="170.5"/>
    <s v="Pendente"/>
    <m/>
    <m/>
    <m/>
    <m/>
    <m/>
    <m/>
    <m/>
    <m/>
    <s v=""/>
    <m/>
    <m/>
    <n v="218.798"/>
    <n v="200"/>
    <s v=""/>
    <s v=""/>
    <s v=""/>
    <s v=""/>
    <s v=""/>
    <s v=""/>
    <s v=""/>
    <s v=""/>
    <m/>
    <n v="4.08"/>
    <m/>
    <n v="2127.1220000000003"/>
    <n v="2134.6220000000003"/>
    <m/>
    <s v="BE57 9678 3485 6835"/>
    <m/>
    <m/>
    <s v="Brenda 16-02"/>
    <s v="Pago"/>
  </r>
  <r>
    <s v="E1719"/>
    <x v="0"/>
    <s v=""/>
    <s v=""/>
    <s v=""/>
    <s v=""/>
    <s v=""/>
    <s v=""/>
    <n v="0"/>
    <s v="OSCAR GIOVANNI DIAZ MARTINEZ"/>
    <s v="OSCAR GIOVANNI DIAZ MARTINEZ"/>
    <m/>
    <s v="108-INSTALACIONES Y SISTEMAS HIDRAULICOS"/>
    <n v="15"/>
    <n v="165.5"/>
    <n v="165.5"/>
    <s v="Pendente"/>
    <m/>
    <m/>
    <m/>
    <m/>
    <m/>
    <m/>
    <m/>
    <m/>
    <s v=""/>
    <m/>
    <m/>
    <n v="0"/>
    <s v=""/>
    <s v=""/>
    <n v="0"/>
    <n v="0"/>
    <n v="0"/>
    <n v="69.97"/>
    <n v="0"/>
    <n v="0"/>
    <s v=""/>
    <m/>
    <n v="4.08"/>
    <m/>
    <n v="2408.4500000000003"/>
    <n v="2408.4500000000003"/>
    <m/>
    <s v="ES51 0182 6786 0602 0155 7799"/>
    <m/>
    <m/>
    <s v="Fernando 16-02"/>
    <s v="Pago"/>
  </r>
  <r>
    <s v="E2022"/>
    <x v="0"/>
    <s v=""/>
    <s v=""/>
    <s v=""/>
    <s v=""/>
    <s v=""/>
    <s v=""/>
    <n v="0"/>
    <s v="ROBINSON TABORDA"/>
    <s v="ROBINSON DABIAN TABORDA ESCAMILLA"/>
    <m/>
    <s v="108-INSTALACIONES Y SISTEMAS HIDRAULICOS"/>
    <n v="15"/>
    <n v="108.5"/>
    <n v="107.5"/>
    <s v="Pendente"/>
    <m/>
    <m/>
    <m/>
    <m/>
    <m/>
    <m/>
    <m/>
    <m/>
    <s v=""/>
    <m/>
    <m/>
    <n v="0"/>
    <s v=""/>
    <n v="80"/>
    <s v=""/>
    <s v=""/>
    <s v=""/>
    <s v=""/>
    <s v=""/>
    <s v=""/>
    <s v=""/>
    <m/>
    <n v="4.08"/>
    <m/>
    <n v="1543.42"/>
    <n v="1528.42"/>
    <m/>
    <s v="ES57 2100 4247 1122 0031 4112"/>
    <m/>
    <m/>
    <s v="Fernando 16-02"/>
    <s v="Pago"/>
  </r>
  <r>
    <s v="E0368"/>
    <x v="0"/>
    <s v=""/>
    <s v=""/>
    <s v=""/>
    <s v=""/>
    <s v=""/>
    <s v=""/>
    <n v="0"/>
    <s v="RAMIREZ GRANDA VICTOR AUGUSTO"/>
    <s v="VICTOR AUGUSTO RAMIREZ GRANDA"/>
    <m/>
    <s v="108-INSTALACIONES Y SISTEMAS HIDRAULICOS"/>
    <n v="15"/>
    <n v="194"/>
    <n v="194.5"/>
    <s v="Pendente"/>
    <m/>
    <m/>
    <m/>
    <m/>
    <m/>
    <m/>
    <m/>
    <m/>
    <s v=""/>
    <m/>
    <m/>
    <n v="0"/>
    <s v=""/>
    <s v=""/>
    <n v="0"/>
    <n v="0"/>
    <n v="0"/>
    <n v="6.19"/>
    <n v="0"/>
    <n v="0"/>
    <s v=""/>
    <m/>
    <n v="4.08"/>
    <m/>
    <n v="2899.73"/>
    <n v="2907.23"/>
    <m/>
    <s v="ES05 6893 0001 7800 0026 4474"/>
    <m/>
    <m/>
    <s v="Fernando 16-02"/>
    <s v="Pago"/>
  </r>
  <r>
    <s v="E0358"/>
    <x v="0"/>
    <s v=""/>
    <s v=""/>
    <s v=""/>
    <s v=""/>
    <s v=""/>
    <s v=""/>
    <n v="0"/>
    <s v="YESID DAVID GOMEZ ARZUAGA"/>
    <s v="YESID DAVID GOMEZ ARZUAGA"/>
    <m/>
    <s v="108-INSTALACIONES Y SISTEMAS HIDRAULICOS"/>
    <n v="15"/>
    <n v="133"/>
    <n v="127"/>
    <s v="Pendente"/>
    <m/>
    <m/>
    <m/>
    <m/>
    <m/>
    <m/>
    <m/>
    <m/>
    <s v=""/>
    <m/>
    <m/>
    <n v="0"/>
    <s v=""/>
    <s v=""/>
    <s v=""/>
    <s v=""/>
    <s v=""/>
    <s v=""/>
    <s v=""/>
    <s v=""/>
    <s v=""/>
    <m/>
    <n v="4.08"/>
    <m/>
    <n v="1990.92"/>
    <n v="1900.92"/>
    <m/>
    <s v="ES74 6893 0001 7200 0027 2159"/>
    <m/>
    <m/>
    <s v="Fernando 16-02"/>
    <s v="Pago"/>
  </r>
  <r>
    <s v="E0401"/>
    <x v="0"/>
    <s v=""/>
    <s v=""/>
    <s v=""/>
    <s v=""/>
    <s v=""/>
    <s v=""/>
    <n v="0"/>
    <s v="ARMANDO DENIS ENRIQUEZ BLAS"/>
    <s v="ARMANDO DENIS ENRIQUEZ BLAS"/>
    <m/>
    <s v="113-JACKSON S.A"/>
    <n v="16"/>
    <n v="155.5"/>
    <n v="155.5"/>
    <s v="Confirmada"/>
    <s v="Ok"/>
    <m/>
    <m/>
    <m/>
    <m/>
    <m/>
    <m/>
    <m/>
    <s v=""/>
    <m/>
    <m/>
    <n v="0"/>
    <s v=""/>
    <s v=""/>
    <s v=""/>
    <s v=""/>
    <s v=""/>
    <s v=""/>
    <s v=""/>
    <s v=""/>
    <s v=""/>
    <m/>
    <n v="4.08"/>
    <m/>
    <n v="2483.92"/>
    <n v="2483.92"/>
    <m/>
    <s v="FR76 1659 8000 0140 0010 1905 939"/>
    <m/>
    <m/>
    <s v="Fernando 16-02"/>
    <s v="Pago"/>
  </r>
  <r>
    <s v="E0409"/>
    <x v="0"/>
    <s v=""/>
    <s v=""/>
    <s v=""/>
    <s v=""/>
    <s v=""/>
    <s v=""/>
    <n v="0"/>
    <s v="JUAN GABRIEL GOEZ M."/>
    <s v="JUAN GABRIEL GOEZ MESA"/>
    <m/>
    <s v="122-MANREC"/>
    <n v="13"/>
    <n v="117"/>
    <n v="117"/>
    <s v="Confirmada"/>
    <s v="Ok"/>
    <m/>
    <m/>
    <m/>
    <m/>
    <m/>
    <m/>
    <m/>
    <s v=""/>
    <m/>
    <m/>
    <n v="0"/>
    <s v=""/>
    <s v=""/>
    <s v=""/>
    <s v=""/>
    <s v=""/>
    <s v=""/>
    <s v=""/>
    <s v=""/>
    <s v=""/>
    <m/>
    <n v="4.08"/>
    <m/>
    <n v="1516.92"/>
    <n v="1516.92"/>
    <m/>
    <s v="ES17 0182 0507 9102 0454 8500"/>
    <m/>
    <m/>
    <s v="Fernando 16-02"/>
    <s v="Pago"/>
  </r>
  <r>
    <s v="E0414"/>
    <x v="1"/>
    <s v=""/>
    <s v=""/>
    <s v="WS"/>
    <s v="LM"/>
    <d v="2025-06-20T00:00:00"/>
    <d v="2026-01-14T00:00:00"/>
    <n v="14"/>
    <s v="FREDIS A. MORELOS COLON"/>
    <s v="FREDIS ANTONIO MORELOS COLON"/>
    <m/>
    <s v="124-MATEU INOXWELDING SL"/>
    <n v="16"/>
    <n v="80"/>
    <n v="80"/>
    <s v="Confirmada"/>
    <s v="Ok"/>
    <m/>
    <m/>
    <m/>
    <m/>
    <m/>
    <m/>
    <m/>
    <s v=""/>
    <m/>
    <m/>
    <n v="98.811999999999998"/>
    <s v=""/>
    <s v=""/>
    <s v=""/>
    <s v=""/>
    <s v=""/>
    <s v=""/>
    <s v=""/>
    <s v=""/>
    <s v=""/>
    <m/>
    <n v="4.08"/>
    <m/>
    <n v="1177.1080000000002"/>
    <n v="1177.1080000000002"/>
    <m/>
    <s v="BE05 9053 5228 1775"/>
    <m/>
    <m/>
    <s v="Brenda 16-02"/>
    <s v="Pago"/>
  </r>
  <r>
    <s v="E0419"/>
    <x v="1"/>
    <s v=""/>
    <s v=""/>
    <s v="WS"/>
    <s v=""/>
    <d v="2025-06-20T00:00:00"/>
    <s v=""/>
    <n v="31"/>
    <s v="JAIME PERTUZ VALDIRIS"/>
    <s v="JAIME ANTONIO PERTUZ VALDIRIS"/>
    <m/>
    <s v="124-MATEU INOXWELDING SL"/>
    <n v="16"/>
    <n v="203"/>
    <n v="203"/>
    <s v="Confirmada"/>
    <s v="Ok"/>
    <m/>
    <m/>
    <m/>
    <m/>
    <m/>
    <m/>
    <m/>
    <s v=""/>
    <m/>
    <m/>
    <n v="218.798"/>
    <s v=""/>
    <s v=""/>
    <s v=""/>
    <s v=""/>
    <s v=""/>
    <s v=""/>
    <s v=""/>
    <s v=""/>
    <s v=""/>
    <m/>
    <n v="4.08"/>
    <m/>
    <n v="3025.1220000000003"/>
    <n v="3025.1220000000003"/>
    <m/>
    <s v="ES15 0182 0043 1102 0167 9721"/>
    <s v="IBAN NOVO"/>
    <m/>
    <s v="Brenda 16-02"/>
    <s v="Pago"/>
  </r>
  <r>
    <s v="E1799"/>
    <x v="0"/>
    <s v=""/>
    <s v=""/>
    <s v=""/>
    <s v=""/>
    <s v=""/>
    <s v=""/>
    <n v="0"/>
    <s v="LEONARDO CALDERÓN"/>
    <s v="JOSE LEONARDO CALDERON MANZANO"/>
    <m/>
    <s v="124-MATEU INOXWELDING SL"/>
    <n v="15"/>
    <n v="197.5"/>
    <n v="197.5"/>
    <s v="Confirmada"/>
    <s v="Ok"/>
    <m/>
    <m/>
    <m/>
    <m/>
    <m/>
    <m/>
    <m/>
    <s v=""/>
    <m/>
    <m/>
    <n v="0"/>
    <s v=""/>
    <s v=""/>
    <s v=""/>
    <s v=""/>
    <s v=""/>
    <s v=""/>
    <s v=""/>
    <s v=""/>
    <s v=""/>
    <m/>
    <n v="4.08"/>
    <m/>
    <n v="2958.42"/>
    <n v="2958.42"/>
    <m/>
    <s v="ES11 0182 4018 1002 0170 0894"/>
    <m/>
    <m/>
    <s v="Fernando 16-02"/>
    <s v="Pago"/>
  </r>
  <r>
    <s v="E1785"/>
    <x v="0"/>
    <s v=""/>
    <s v=""/>
    <s v=""/>
    <s v=""/>
    <s v=""/>
    <s v=""/>
    <n v="0"/>
    <s v="LUIS ALFREDO APONTE ANTONIO"/>
    <s v="LUIS ALFREDO APONTE ANTON"/>
    <m/>
    <s v="124-MATEU INOXWELDING SL"/>
    <n v="15"/>
    <n v="171"/>
    <n v="171"/>
    <s v="Confirmada"/>
    <s v="Ok"/>
    <m/>
    <m/>
    <m/>
    <m/>
    <m/>
    <m/>
    <m/>
    <s v=""/>
    <m/>
    <m/>
    <n v="0"/>
    <s v=""/>
    <s v=""/>
    <s v=""/>
    <s v=""/>
    <s v=""/>
    <s v=""/>
    <s v=""/>
    <s v=""/>
    <s v=""/>
    <m/>
    <n v="4.08"/>
    <m/>
    <n v="2560.92"/>
    <n v="2560.92"/>
    <m/>
    <s v="ES10 0182 8181 1702 0235 6592"/>
    <m/>
    <m/>
    <s v="Fernando 16-02"/>
    <s v="Pago"/>
  </r>
  <r>
    <s v="E1714"/>
    <x v="0"/>
    <s v=""/>
    <s v=""/>
    <s v=""/>
    <s v=""/>
    <s v=""/>
    <s v=""/>
    <n v="0"/>
    <s v="NELSON ROBERTO HENAO BEDOYA"/>
    <s v="NELSON ROBERTO HENAO BEDOYA"/>
    <m/>
    <s v="124-MATEU INOXWELDING SL"/>
    <n v="16"/>
    <n v="203"/>
    <n v="203"/>
    <s v="Confirmada"/>
    <s v="Ok"/>
    <m/>
    <m/>
    <m/>
    <m/>
    <m/>
    <m/>
    <m/>
    <s v=""/>
    <m/>
    <m/>
    <n v="0"/>
    <s v=""/>
    <s v=""/>
    <s v=""/>
    <s v=""/>
    <s v=""/>
    <s v=""/>
    <s v=""/>
    <s v=""/>
    <s v=""/>
    <m/>
    <n v="4.08"/>
    <m/>
    <n v="3243.92"/>
    <n v="3243.92"/>
    <m/>
    <s v="FR76 1659 8000 0140 0011 2313 942"/>
    <m/>
    <m/>
    <s v="Fernando 16-02"/>
    <s v="Pago"/>
  </r>
  <r>
    <s v="E0048"/>
    <x v="0"/>
    <s v=""/>
    <s v=""/>
    <s v=""/>
    <s v=""/>
    <s v=""/>
    <s v=""/>
    <n v="0"/>
    <s v="REINARD SALAZAR F."/>
    <s v="REINERD SALAZAR FAJARDO"/>
    <m/>
    <s v="124-MATEU INOXWELDING SL"/>
    <n v="16"/>
    <n v="34"/>
    <n v="80"/>
    <s v="Confirmada"/>
    <s v="Ok"/>
    <m/>
    <m/>
    <m/>
    <m/>
    <m/>
    <m/>
    <m/>
    <s v=""/>
    <m/>
    <m/>
    <n v="0"/>
    <s v=""/>
    <n v="15"/>
    <s v=""/>
    <s v=""/>
    <s v=""/>
    <s v=""/>
    <s v=""/>
    <s v=""/>
    <s v=""/>
    <m/>
    <n v="4.08"/>
    <m/>
    <n v="524.91999999999996"/>
    <n v="1260.92"/>
    <m/>
    <s v="ES85 0182 7081 4402 0159 4119"/>
    <m/>
    <m/>
    <s v="Fernando 16-02"/>
    <s v="Pago"/>
  </r>
  <r>
    <s v="E1926"/>
    <x v="0"/>
    <s v=""/>
    <s v=""/>
    <s v=""/>
    <s v=""/>
    <s v=""/>
    <s v=""/>
    <n v="0"/>
    <s v="WILMER ANDRES AREVALO MARIN"/>
    <s v="WILMER ANDRES AREVALO MARIN"/>
    <m/>
    <s v="124-MATEU INOXWELDING SL"/>
    <n v="15"/>
    <n v="206"/>
    <n v="206"/>
    <s v="Confirmada"/>
    <s v="Ok"/>
    <m/>
    <m/>
    <m/>
    <m/>
    <m/>
    <m/>
    <m/>
    <s v=""/>
    <m/>
    <m/>
    <n v="0"/>
    <s v=""/>
    <s v=""/>
    <n v="0"/>
    <n v="0"/>
    <n v="0"/>
    <n v="0"/>
    <n v="0"/>
    <n v="21.74"/>
    <s v=""/>
    <m/>
    <n v="4.08"/>
    <m/>
    <n v="3064.1800000000003"/>
    <n v="3064.1800000000003"/>
    <m/>
    <s v="ES84 0182 1005 3702 0172 5232"/>
    <m/>
    <m/>
    <s v="Fernando 16-02"/>
    <s v="Pago"/>
  </r>
  <r>
    <s v="E1787"/>
    <x v="0"/>
    <s v=""/>
    <s v=""/>
    <s v=""/>
    <s v=""/>
    <s v=""/>
    <s v=""/>
    <n v="0"/>
    <s v="EDWIN CASTONIEDA"/>
    <s v="EDWIN CASTANEDA HENAO"/>
    <m/>
    <s v="128-MECAONDO S.L"/>
    <n v="15"/>
    <n v="135"/>
    <n v="135"/>
    <s v="Confirmada"/>
    <s v="Ok"/>
    <m/>
    <m/>
    <m/>
    <m/>
    <m/>
    <m/>
    <m/>
    <n v="140"/>
    <m/>
    <m/>
    <n v="0"/>
    <s v=""/>
    <s v=""/>
    <s v=""/>
    <s v=""/>
    <s v=""/>
    <s v=""/>
    <s v=""/>
    <s v=""/>
    <s v=""/>
    <m/>
    <n v="4.08"/>
    <m/>
    <n v="2160.92"/>
    <n v="2160.92"/>
    <m/>
    <s v="ES07 0182 1215 8802 0155 3957"/>
    <m/>
    <m/>
    <s v="Fernando 16-02"/>
    <s v="Pago"/>
  </r>
  <r>
    <s v="E0422"/>
    <x v="1"/>
    <s v=""/>
    <s v=""/>
    <s v="WS"/>
    <s v=""/>
    <d v="2025-08-04T00:00:00"/>
    <s v=""/>
    <n v="31"/>
    <s v="SERGIO DANIEL GOMEZ"/>
    <s v="SERGIO DANIEL GOMEZ ARAMBURO"/>
    <m/>
    <s v="128-MECAONDO S.L"/>
    <n v="15"/>
    <n v="141"/>
    <n v="141"/>
    <s v="Confirmada"/>
    <s v="Ok"/>
    <m/>
    <m/>
    <m/>
    <m/>
    <m/>
    <m/>
    <m/>
    <s v=""/>
    <m/>
    <m/>
    <n v="218.798"/>
    <s v=""/>
    <s v=""/>
    <n v="0"/>
    <n v="0"/>
    <n v="0"/>
    <n v="148.97"/>
    <n v="0"/>
    <n v="0"/>
    <s v=""/>
    <m/>
    <n v="4.08"/>
    <m/>
    <n v="1743.152"/>
    <n v="1743.152"/>
    <m/>
    <s v="ES59 0182 1212 4702 0156 4783"/>
    <m/>
    <m/>
    <s v="Brenda 16-02"/>
    <s v="Pago"/>
  </r>
  <r>
    <s v="E1853"/>
    <x v="0"/>
    <s v=""/>
    <s v=""/>
    <s v=""/>
    <s v=""/>
    <s v=""/>
    <s v=""/>
    <n v="0"/>
    <s v="DANIER CALDERON SALAS"/>
    <s v="DANIER CALDERON SALAS"/>
    <m/>
    <s v="176-SISTEMAS DE FILTRADO Y TRATAMIENTO DE FLUIDOS SL"/>
    <n v="15"/>
    <n v="180"/>
    <n v="180"/>
    <s v="Confirmada"/>
    <s v="Ok"/>
    <m/>
    <m/>
    <m/>
    <m/>
    <m/>
    <m/>
    <m/>
    <n v="110"/>
    <m/>
    <m/>
    <n v="0"/>
    <s v=""/>
    <n v="120"/>
    <n v="185"/>
    <n v="0"/>
    <n v="0"/>
    <n v="0"/>
    <n v="0"/>
    <n v="0"/>
    <s v=""/>
    <m/>
    <n v="4.08"/>
    <m/>
    <n v="2500.92"/>
    <n v="2500.92"/>
    <m/>
    <s v="ES22 6893 0001 7000 0032 5573"/>
    <m/>
    <m/>
    <s v="Fernando 16-02"/>
    <s v="Pago"/>
  </r>
  <r>
    <s v="E0578"/>
    <x v="1"/>
    <s v=""/>
    <s v=""/>
    <s v="WS"/>
    <s v=""/>
    <d v="2025-08-04T00:00:00"/>
    <s v=""/>
    <n v="31"/>
    <s v="DIEGO ROBERTO SOUZA SCAVACINI"/>
    <s v="DIEGO ROBERTO SOUZA SCAVACINI"/>
    <m/>
    <s v="197-TALLERES QUINTANA S.L"/>
    <n v="17"/>
    <n v="76"/>
    <n v="76"/>
    <s v="Confirmada"/>
    <s v="Ok"/>
    <m/>
    <m/>
    <m/>
    <m/>
    <m/>
    <m/>
    <m/>
    <s v=""/>
    <m/>
    <m/>
    <n v="218.798"/>
    <s v=""/>
    <s v=""/>
    <s v=""/>
    <s v=""/>
    <s v=""/>
    <s v=""/>
    <s v=""/>
    <s v=""/>
    <s v=""/>
    <m/>
    <n v="4.08"/>
    <m/>
    <n v="1069.1220000000001"/>
    <n v="1069.1220000000001"/>
    <m/>
    <s v="ES38 0049 0199 0328 1136 8533"/>
    <m/>
    <m/>
    <s v="Brenda 16-02"/>
    <s v="Pago"/>
  </r>
  <r>
    <s v="E0576"/>
    <x v="1"/>
    <s v=""/>
    <s v=""/>
    <s v="WS"/>
    <s v=""/>
    <d v="2025-08-04T00:00:00"/>
    <s v=""/>
    <n v="31"/>
    <s v="TIRZO GONZALEZ"/>
    <s v="TIRZO GONZALEZ BOLIVAR"/>
    <m/>
    <s v="197-TALLERES QUINTANA S.L"/>
    <n v="15"/>
    <n v="149.75"/>
    <n v="149.75"/>
    <s v="Confirmada"/>
    <s v="Ok"/>
    <m/>
    <m/>
    <m/>
    <m/>
    <m/>
    <m/>
    <m/>
    <s v=""/>
    <m/>
    <m/>
    <n v="218.798"/>
    <s v=""/>
    <s v=""/>
    <s v=""/>
    <s v=""/>
    <s v=""/>
    <s v=""/>
    <s v=""/>
    <s v=""/>
    <s v=""/>
    <m/>
    <n v="4.08"/>
    <m/>
    <n v="2023.3720000000001"/>
    <n v="2023.3720000000001"/>
    <m/>
    <s v="ES35 0182 0702 3602 0165 1006"/>
    <m/>
    <m/>
    <s v="Brenda 16-02"/>
    <s v="Pago"/>
  </r>
  <r>
    <s v="E0577"/>
    <x v="1"/>
    <s v=""/>
    <s v=""/>
    <s v="WS"/>
    <s v=""/>
    <d v="2025-08-04T00:00:00"/>
    <s v=""/>
    <n v="31"/>
    <s v="WALLACE DA SILVA GOMES"/>
    <s v="WALLACE DA SILVA GOMES"/>
    <m/>
    <s v="197-TALLERES QUINTANA S.L"/>
    <n v="17"/>
    <n v="148.5"/>
    <n v="148.5"/>
    <s v="Confirmada"/>
    <s v="Ok"/>
    <m/>
    <m/>
    <m/>
    <m/>
    <m/>
    <m/>
    <m/>
    <n v="300"/>
    <m/>
    <m/>
    <n v="218.798"/>
    <s v=""/>
    <s v=""/>
    <s v=""/>
    <s v=""/>
    <s v=""/>
    <s v=""/>
    <s v=""/>
    <s v=""/>
    <s v=""/>
    <m/>
    <n v="4.08"/>
    <m/>
    <n v="2601.6220000000003"/>
    <n v="2601.6220000000003"/>
    <m/>
    <s v="PT50 0007 0000 0077 6610 0342 3"/>
    <m/>
    <m/>
    <s v="Brenda 16-02"/>
    <s v="Pago"/>
  </r>
  <r>
    <s v="E0585"/>
    <x v="0"/>
    <s v=""/>
    <s v=""/>
    <s v=""/>
    <s v=""/>
    <s v=""/>
    <s v=""/>
    <n v="0"/>
    <s v="JONATHAN FELACIO FISGATIVA"/>
    <s v="JONATHAN FELACIO FISGATIVA"/>
    <m/>
    <s v="198-TAPIA"/>
    <n v="15"/>
    <n v="156"/>
    <n v="156"/>
    <s v="Pendente"/>
    <s v="Ok"/>
    <m/>
    <m/>
    <m/>
    <m/>
    <m/>
    <m/>
    <m/>
    <s v=""/>
    <m/>
    <m/>
    <n v="0"/>
    <s v=""/>
    <s v=""/>
    <s v=""/>
    <s v=""/>
    <s v=""/>
    <s v=""/>
    <s v=""/>
    <s v=""/>
    <s v=""/>
    <m/>
    <n v="4.08"/>
    <m/>
    <n v="2335.92"/>
    <n v="2335.92"/>
    <m/>
    <s v=" ES50 0182 6380 9902 0160 7704"/>
    <m/>
    <m/>
    <s v="Pago Fernando 18-02"/>
    <s v="Pago"/>
  </r>
  <r>
    <s v="E2061"/>
    <x v="0"/>
    <s v=""/>
    <s v=""/>
    <s v=""/>
    <s v=""/>
    <s v=""/>
    <s v=""/>
    <n v="0"/>
    <s v="JOSE A. GUIZAO SANDOVAL"/>
    <s v="JOSE ANTONIO GUIZAO SANDOVAL"/>
    <m/>
    <s v="198-TAPIA"/>
    <n v="15"/>
    <n v="170"/>
    <n v="170"/>
    <s v="Pendente"/>
    <s v="Ok"/>
    <m/>
    <m/>
    <m/>
    <m/>
    <m/>
    <m/>
    <m/>
    <s v=""/>
    <m/>
    <m/>
    <n v="0"/>
    <s v=""/>
    <s v=""/>
    <s v=""/>
    <s v=""/>
    <s v=""/>
    <s v=""/>
    <s v=""/>
    <s v=""/>
    <s v=""/>
    <m/>
    <n v="4.08"/>
    <m/>
    <n v="2545.92"/>
    <n v="2545.92"/>
    <m/>
    <s v="ES21 0182 4003 1402 0167 8085"/>
    <m/>
    <m/>
    <m/>
    <s v="Pago"/>
  </r>
  <r>
    <s v="E0584"/>
    <x v="0"/>
    <s v=""/>
    <s v=""/>
    <s v=""/>
    <s v=""/>
    <s v=""/>
    <s v=""/>
    <n v="0"/>
    <s v="KEVIN RAMIREZ"/>
    <s v="KEVIN STEVEN RAMIREZ CARDONA"/>
    <m/>
    <s v="198-TAPIA"/>
    <n v="15"/>
    <n v="156"/>
    <n v="156"/>
    <s v="Pendente"/>
    <s v="Ok"/>
    <m/>
    <m/>
    <m/>
    <m/>
    <m/>
    <m/>
    <m/>
    <s v=""/>
    <m/>
    <m/>
    <n v="0"/>
    <s v=""/>
    <s v=""/>
    <s v=""/>
    <s v=""/>
    <s v=""/>
    <s v=""/>
    <s v=""/>
    <s v=""/>
    <s v=""/>
    <m/>
    <n v="4.08"/>
    <m/>
    <n v="2335.92"/>
    <n v="2335.92"/>
    <m/>
    <s v="ES67 0182 0845 1402 0220 3466"/>
    <m/>
    <m/>
    <m/>
    <s v="Pago"/>
  </r>
  <r>
    <s v="E0583"/>
    <x v="1"/>
    <s v=""/>
    <s v=""/>
    <s v="WS"/>
    <s v=""/>
    <d v="2025-12-19T00:00:00"/>
    <s v=""/>
    <n v="31"/>
    <s v="STEVEN SUAREZ BETANCOURT"/>
    <s v="STEVEN SUAREZ BETANCOURT"/>
    <m/>
    <s v="198-TAPIA"/>
    <n v="16"/>
    <n v="152"/>
    <n v="152"/>
    <s v="Pendente"/>
    <s v="Ok"/>
    <m/>
    <m/>
    <m/>
    <m/>
    <m/>
    <m/>
    <m/>
    <n v="300"/>
    <m/>
    <m/>
    <n v="218.798"/>
    <s v=""/>
    <s v=""/>
    <s v=""/>
    <s v=""/>
    <s v=""/>
    <s v=""/>
    <s v=""/>
    <s v=""/>
    <s v=""/>
    <m/>
    <n v="4.08"/>
    <m/>
    <n v="2509.1220000000003"/>
    <n v="2509.1220000000003"/>
    <m/>
    <s v="ES73 0182 2350 1802 0160 1590"/>
    <m/>
    <m/>
    <s v="Fernando 18-02"/>
    <s v="Pago"/>
  </r>
  <r>
    <s v="E0582"/>
    <x v="1"/>
    <s v=""/>
    <s v=""/>
    <s v="WS"/>
    <s v=""/>
    <d v="2025-12-19T00:00:00"/>
    <s v=""/>
    <n v="31"/>
    <s v="WALTER GOMEZ ROJAS"/>
    <s v="WALTER GOMEZ ROJAS"/>
    <m/>
    <s v="198-TAPIA"/>
    <n v="15"/>
    <n v="174"/>
    <n v="174"/>
    <s v="Pendente"/>
    <s v="Ok"/>
    <m/>
    <m/>
    <m/>
    <m/>
    <m/>
    <m/>
    <m/>
    <n v="300"/>
    <m/>
    <m/>
    <n v="218.798"/>
    <s v=""/>
    <s v=""/>
    <s v=""/>
    <s v=""/>
    <s v=""/>
    <s v=""/>
    <s v=""/>
    <s v=""/>
    <s v=""/>
    <m/>
    <n v="4.08"/>
    <m/>
    <n v="2687.1220000000003"/>
    <n v="2687.1220000000003"/>
    <m/>
    <s v="ES88 0182 0786 1102 0165 8038"/>
    <m/>
    <m/>
    <s v="Fernando 18-02"/>
    <s v="Pago"/>
  </r>
  <r>
    <s v="E1796"/>
    <x v="0"/>
    <s v=""/>
    <s v=""/>
    <s v=""/>
    <s v=""/>
    <s v=""/>
    <s v=""/>
    <n v="0"/>
    <s v="JAVIER ORLANDO PINTO VIANCHA"/>
    <s v="JAVIER ORLANDO PINTO VIANCHA"/>
    <m/>
    <s v="216-GRUPO VENTO"/>
    <n v="15"/>
    <n v="273"/>
    <n v="273"/>
    <s v="Pendente"/>
    <s v="Ok"/>
    <m/>
    <m/>
    <m/>
    <m/>
    <m/>
    <m/>
    <m/>
    <s v=""/>
    <m/>
    <m/>
    <n v="0"/>
    <s v=""/>
    <n v="116"/>
    <s v=""/>
    <s v=""/>
    <s v=""/>
    <s v=""/>
    <s v=""/>
    <s v=""/>
    <s v=""/>
    <m/>
    <n v="4.08"/>
    <m/>
    <n v="3974.92"/>
    <n v="3974.92"/>
    <m/>
    <s v="ES17 0182 0698 2002 0162 7094"/>
    <m/>
    <m/>
    <s v="Fernando 16-02"/>
    <s v="Pago"/>
  </r>
  <r>
    <s v="E1076"/>
    <x v="0"/>
    <s v=""/>
    <s v=""/>
    <s v=""/>
    <s v=""/>
    <s v=""/>
    <s v=""/>
    <n v="0"/>
    <s v="ODAR JOHN REYES RAMIREZ"/>
    <s v="ODAR JOHN REYES RAMIREZ"/>
    <m/>
    <s v="216-GRUPO VENTO"/>
    <n v="15"/>
    <n v="273"/>
    <n v="273"/>
    <s v="Pendente"/>
    <s v="Ok"/>
    <m/>
    <m/>
    <m/>
    <m/>
    <m/>
    <m/>
    <m/>
    <s v=""/>
    <m/>
    <m/>
    <n v="0"/>
    <s v=""/>
    <n v="116"/>
    <s v=""/>
    <s v=""/>
    <s v=""/>
    <s v=""/>
    <s v=""/>
    <s v=""/>
    <s v=""/>
    <m/>
    <n v="4.08"/>
    <m/>
    <n v="3974.92"/>
    <n v="3974.92"/>
    <m/>
    <s v="ES63 0182 2808 8902 0159 9059"/>
    <m/>
    <m/>
    <s v="Fernando 16-02"/>
    <s v="Pago"/>
  </r>
  <r>
    <s v="E1863"/>
    <x v="0"/>
    <s v=""/>
    <s v=""/>
    <s v=""/>
    <s v=""/>
    <s v=""/>
    <s v=""/>
    <n v="0"/>
    <s v="WEIMAR ALEXANDER RUA MESA"/>
    <s v="WEIMAR ALEXANDER RUA MESA"/>
    <m/>
    <s v="216-GRUPO VENTO"/>
    <n v="15"/>
    <n v="273"/>
    <n v="273"/>
    <s v="Pendente"/>
    <s v="Ok"/>
    <m/>
    <m/>
    <m/>
    <m/>
    <m/>
    <m/>
    <m/>
    <s v=""/>
    <m/>
    <m/>
    <n v="0"/>
    <s v=""/>
    <n v="116"/>
    <s v=""/>
    <s v=""/>
    <s v=""/>
    <s v=""/>
    <s v=""/>
    <s v=""/>
    <s v=""/>
    <m/>
    <n v="4.08"/>
    <m/>
    <n v="3974.92"/>
    <n v="3974.92"/>
    <m/>
    <s v="ES84 0182 6139 6602 0165 4030"/>
    <m/>
    <m/>
    <s v="Fernando 16-02"/>
    <s v="Pago"/>
  </r>
  <r>
    <s v="E1842"/>
    <x v="0"/>
    <s v=""/>
    <s v=""/>
    <s v=""/>
    <s v=""/>
    <s v=""/>
    <s v=""/>
    <n v="0"/>
    <s v="BLACKYS BARBOZA T"/>
    <s v="BLAKIS ANTONIO BARBOZA TRUJILLO"/>
    <m/>
    <s v="24-BECK &amp; POLLITIZER IBERICA SLU"/>
    <n v="14"/>
    <n v="206"/>
    <n v="206"/>
    <s v="Confirmada"/>
    <s v="Ok"/>
    <m/>
    <m/>
    <m/>
    <m/>
    <m/>
    <m/>
    <m/>
    <s v=""/>
    <m/>
    <m/>
    <n v="0"/>
    <s v=""/>
    <n v="81.111111111111114"/>
    <s v=""/>
    <s v=""/>
    <s v=""/>
    <s v=""/>
    <s v=""/>
    <s v=""/>
    <s v=""/>
    <m/>
    <n v="4.08"/>
    <m/>
    <n v="2798.8088888888888"/>
    <n v="2798.8088888888888"/>
    <m/>
    <s v="ES41 0182 0702 3402 0165 3712"/>
    <m/>
    <m/>
    <s v="Fernando 16-02"/>
    <s v="Pago"/>
  </r>
  <r>
    <s v="E0100"/>
    <x v="0"/>
    <s v=""/>
    <s v=""/>
    <s v=""/>
    <s v=""/>
    <s v=""/>
    <s v=""/>
    <n v="0"/>
    <s v="CARLOS H. LOPEZ G."/>
    <s v="CARLOS ARTURO GONZALEZ GOMEZ"/>
    <m/>
    <s v="24-BECK &amp; POLLITIZER IBERICA SLU"/>
    <n v="14"/>
    <n v="196"/>
    <n v="196"/>
    <s v="Confirmada"/>
    <s v="Ok"/>
    <m/>
    <m/>
    <m/>
    <m/>
    <m/>
    <m/>
    <m/>
    <s v=""/>
    <m/>
    <m/>
    <n v="0"/>
    <s v=""/>
    <n v="63.333333333333336"/>
    <s v=""/>
    <s v=""/>
    <s v=""/>
    <s v=""/>
    <s v=""/>
    <s v=""/>
    <s v=""/>
    <m/>
    <n v="4.08"/>
    <m/>
    <n v="2676.5866666666666"/>
    <n v="2676.5866666666666"/>
    <m/>
    <s v="ES90 0182 0660 4102 0167 2435"/>
    <m/>
    <m/>
    <s v="Fernando 16-02"/>
    <s v="Pago"/>
  </r>
  <r>
    <s v="E1868"/>
    <x v="0"/>
    <s v=""/>
    <s v=""/>
    <s v=""/>
    <s v=""/>
    <s v=""/>
    <s v=""/>
    <n v="0"/>
    <s v="EDGAR ENRIQUE TORRES RAMIREZ"/>
    <s v="EDGAR ENRIQUE TORRES RAMIREZ"/>
    <m/>
    <s v="24-BECK &amp; POLLITIZER IBERICA SLU"/>
    <n v="14"/>
    <n v="189"/>
    <n v="183"/>
    <s v="Confirmada"/>
    <s v="Ok"/>
    <m/>
    <m/>
    <m/>
    <m/>
    <m/>
    <m/>
    <m/>
    <s v=""/>
    <m/>
    <m/>
    <n v="0"/>
    <s v=""/>
    <s v=""/>
    <s v=""/>
    <s v=""/>
    <s v=""/>
    <s v=""/>
    <s v=""/>
    <s v=""/>
    <s v=""/>
    <m/>
    <n v="4.08"/>
    <m/>
    <n v="2641.92"/>
    <n v="2557.92"/>
    <m/>
    <s v="ES89 0049 0627 9726 1085 5510"/>
    <m/>
    <m/>
    <s v="Fernando 16-02"/>
    <s v="Pago"/>
  </r>
  <r>
    <s v="E0232"/>
    <x v="1"/>
    <s v=""/>
    <s v=""/>
    <s v="WS"/>
    <s v=""/>
    <d v="2026-01-13T00:00:00"/>
    <s v=""/>
    <n v="19"/>
    <s v="EDWIN A DIAZ PITRE"/>
    <s v="EDWIN ALEXANDER DIAZ PITRE"/>
    <m/>
    <s v="24-BECK &amp; POLLITIZER IBERICA SLU"/>
    <n v="14"/>
    <n v="159.5"/>
    <n v="159.5"/>
    <s v="Confirmada"/>
    <s v="Ok"/>
    <m/>
    <m/>
    <m/>
    <m/>
    <m/>
    <m/>
    <m/>
    <s v=""/>
    <m/>
    <m/>
    <n v="134.102"/>
    <s v=""/>
    <n v="13.333333333333334"/>
    <s v=""/>
    <s v=""/>
    <s v=""/>
    <s v=""/>
    <s v=""/>
    <s v=""/>
    <s v=""/>
    <m/>
    <n v="4.08"/>
    <m/>
    <n v="2081.4846666666667"/>
    <n v="2081.4846666666667"/>
    <m/>
    <s v="ES20 0182 0606 8702 0178 3557"/>
    <m/>
    <m/>
    <s v="Brenda 16-02"/>
    <s v="Pago"/>
  </r>
  <r>
    <s v="E2028"/>
    <x v="0"/>
    <s v=""/>
    <s v=""/>
    <s v=""/>
    <s v=""/>
    <s v=""/>
    <s v=""/>
    <n v="0"/>
    <s v="IVAN ANDRES ORTIZ GALVAN"/>
    <s v="IVAN ANDRES ORTIZ GALVAN"/>
    <m/>
    <s v="24-BECK &amp; POLLITIZER IBERICA SLU"/>
    <n v="15"/>
    <n v="174"/>
    <n v="164"/>
    <s v="Confirmada"/>
    <s v="Ok"/>
    <m/>
    <m/>
    <m/>
    <m/>
    <m/>
    <m/>
    <m/>
    <s v=""/>
    <m/>
    <m/>
    <n v="0"/>
    <s v=""/>
    <s v=""/>
    <s v=""/>
    <s v=""/>
    <s v=""/>
    <s v=""/>
    <s v=""/>
    <s v=""/>
    <s v=""/>
    <m/>
    <n v="4.08"/>
    <m/>
    <n v="2605.92"/>
    <n v="2455.92"/>
    <m/>
    <s v="ES58 0182 2082 1902 0169 0192"/>
    <m/>
    <m/>
    <s v="Fernando 16-02"/>
    <s v="Pago"/>
  </r>
  <r>
    <s v="E1843"/>
    <x v="0"/>
    <s v=""/>
    <s v=""/>
    <s v=""/>
    <s v=""/>
    <s v=""/>
    <s v=""/>
    <n v="0"/>
    <s v="JUAN ALBEIRO MONSALVE MARIN"/>
    <s v="JUAN ALBEIRO MONSALVE MARIN"/>
    <m/>
    <s v="24-BECK &amp; POLLITIZER IBERICA SLU"/>
    <n v="14"/>
    <n v="206"/>
    <n v="206"/>
    <s v="Confirmada"/>
    <s v="Ok"/>
    <m/>
    <m/>
    <m/>
    <m/>
    <m/>
    <m/>
    <m/>
    <s v=""/>
    <m/>
    <m/>
    <n v="0"/>
    <s v=""/>
    <n v="81.111111111111114"/>
    <s v=""/>
    <s v=""/>
    <s v=""/>
    <s v=""/>
    <s v=""/>
    <s v=""/>
    <s v=""/>
    <m/>
    <n v="4.08"/>
    <m/>
    <n v="2798.8088888888888"/>
    <n v="2798.8088888888888"/>
    <m/>
    <s v="ES63 6893 0001 7500 0032 8858"/>
    <m/>
    <m/>
    <s v="Fernando 16-02"/>
    <s v="Pago"/>
  </r>
  <r>
    <s v="E2032"/>
    <x v="0"/>
    <s v=""/>
    <s v=""/>
    <s v=""/>
    <s v=""/>
    <s v=""/>
    <s v=""/>
    <n v="0"/>
    <s v="LUIS ANTONIO SOTO VIDAL"/>
    <s v="LUIS ANTONIO SOTO VIDAL"/>
    <m/>
    <s v="24-BECK &amp; POLLITIZER IBERICA SLU"/>
    <n v="15"/>
    <n v="167"/>
    <n v="167"/>
    <s v="Confirmada"/>
    <s v="Ok"/>
    <m/>
    <m/>
    <m/>
    <m/>
    <m/>
    <m/>
    <m/>
    <s v=""/>
    <m/>
    <m/>
    <n v="0"/>
    <s v=""/>
    <s v=""/>
    <s v=""/>
    <s v=""/>
    <s v=""/>
    <s v=""/>
    <s v=""/>
    <s v=""/>
    <s v=""/>
    <m/>
    <n v="4.08"/>
    <m/>
    <n v="2500.92"/>
    <n v="2500.92"/>
    <m/>
    <s v="ES43 0182 4924 1502 0174 7408"/>
    <m/>
    <m/>
    <s v="Fernando 16-02"/>
    <s v="Pago"/>
  </r>
  <r>
    <s v="E1846"/>
    <x v="0"/>
    <s v=""/>
    <s v=""/>
    <s v=""/>
    <s v=""/>
    <s v=""/>
    <s v=""/>
    <n v="0"/>
    <s v="LUIS FERNANDO VASQUEZ ALVARADO"/>
    <s v="LUIS FERNANDO VASQUEZ ALVARADO"/>
    <m/>
    <s v="24-BECK &amp; POLLITIZER IBERICA SLU"/>
    <n v="14"/>
    <n v="173"/>
    <n v="175"/>
    <s v="Confirmada"/>
    <s v="Ok"/>
    <m/>
    <m/>
    <m/>
    <m/>
    <m/>
    <m/>
    <m/>
    <s v=""/>
    <m/>
    <m/>
    <n v="0"/>
    <s v=""/>
    <s v=""/>
    <s v=""/>
    <s v=""/>
    <s v=""/>
    <s v=""/>
    <s v=""/>
    <s v=""/>
    <s v=""/>
    <m/>
    <n v="4.08"/>
    <m/>
    <n v="2417.92"/>
    <n v="2445.92"/>
    <m/>
    <s v="ES70 0049 2604 4929 1530 2688"/>
    <s v="IBAN NOVO"/>
    <m/>
    <s v="Fernando 16-02"/>
    <s v="Pago"/>
  </r>
  <r>
    <s v="E1849"/>
    <x v="0"/>
    <s v=""/>
    <s v=""/>
    <s v=""/>
    <s v=""/>
    <s v=""/>
    <s v=""/>
    <n v="0"/>
    <s v="MIGUEL ANGEL GARCIA"/>
    <s v="MIGUEL ANGEL GARCIA CASTRO"/>
    <m/>
    <s v="24-BECK &amp; POLLITIZER IBERICA SLU"/>
    <n v="14"/>
    <n v="199.5"/>
    <n v="199.5"/>
    <s v="Confirmada"/>
    <s v="Ok"/>
    <m/>
    <m/>
    <m/>
    <m/>
    <m/>
    <m/>
    <m/>
    <s v=""/>
    <m/>
    <m/>
    <n v="0"/>
    <s v=""/>
    <n v="81.111111111111114"/>
    <s v=""/>
    <s v=""/>
    <s v=""/>
    <s v=""/>
    <s v=""/>
    <s v=""/>
    <s v=""/>
    <m/>
    <n v="4.08"/>
    <m/>
    <n v="2707.8088888888888"/>
    <n v="2707.8088888888888"/>
    <m/>
    <s v="ES87 0182 1930 5002 0164 0170 "/>
    <m/>
    <m/>
    <s v="Fernando 16-02"/>
    <s v="Pago"/>
  </r>
  <r>
    <s v="E2031"/>
    <x v="0"/>
    <s v=""/>
    <s v=""/>
    <s v=""/>
    <s v=""/>
    <s v=""/>
    <s v=""/>
    <n v="0"/>
    <s v="WILSON ALEXANDER GOMEZ"/>
    <s v="WILSON ALEXANDER GOMEZ"/>
    <m/>
    <s v="24-BECK &amp; POLLITIZER IBERICA SLU"/>
    <n v="15"/>
    <n v="175"/>
    <n v="175"/>
    <s v="Confirmada"/>
    <s v="Ok"/>
    <m/>
    <m/>
    <m/>
    <m/>
    <m/>
    <m/>
    <m/>
    <s v=""/>
    <m/>
    <m/>
    <n v="0"/>
    <s v=""/>
    <s v=""/>
    <s v=""/>
    <s v=""/>
    <s v=""/>
    <s v=""/>
    <s v=""/>
    <s v=""/>
    <s v=""/>
    <m/>
    <n v="4.08"/>
    <m/>
    <n v="2620.92"/>
    <n v="2620.92"/>
    <m/>
    <s v="ES91 0182 2082 1502 0168 9891"/>
    <m/>
    <m/>
    <s v="Fernando 16-02"/>
    <s v="Pago"/>
  </r>
  <r>
    <s v="E2034"/>
    <x v="1"/>
    <s v=""/>
    <s v=""/>
    <s v="WS"/>
    <s v=""/>
    <d v="2025-11-04T00:00:00"/>
    <s v=""/>
    <n v="31"/>
    <s v="WILMER ANTONIO BLANCO ALVAREZ"/>
    <s v="WILMER ANTONIO BLANCO ALVAREZ"/>
    <m/>
    <s v="30-CALDENOR"/>
    <n v="16.5"/>
    <n v="300"/>
    <n v="150"/>
    <s v="Confirmada"/>
    <s v="Ok"/>
    <m/>
    <m/>
    <m/>
    <m/>
    <m/>
    <m/>
    <m/>
    <s v=""/>
    <m/>
    <m/>
    <n v="218.798"/>
    <s v=""/>
    <n v="66.666666666666671"/>
    <s v=""/>
    <s v=""/>
    <s v=""/>
    <s v=""/>
    <s v=""/>
    <s v=""/>
    <s v=""/>
    <m/>
    <n v="4.08"/>
    <m/>
    <n v="4660.4553333333333"/>
    <n v="2185.4553333333338"/>
    <m/>
    <s v="ES82 0182 0316 4902 0158 8701"/>
    <m/>
    <m/>
    <s v="Brenda 16-02"/>
    <s v="Pago"/>
  </r>
  <r>
    <s v="E1940"/>
    <x v="0"/>
    <s v=""/>
    <s v=""/>
    <s v=""/>
    <s v=""/>
    <s v=""/>
    <s v=""/>
    <n v="0"/>
    <s v="NICXON GARCIA FIERRO"/>
    <s v="NICXON GARCIA FIERRO"/>
    <m/>
    <s v="580-COMMSAL"/>
    <n v="15"/>
    <n v="28"/>
    <n v="28"/>
    <s v="Pendente"/>
    <s v="Ok"/>
    <m/>
    <s v="615-GRUPO MICESA"/>
    <n v="15"/>
    <n v="147"/>
    <m/>
    <s v="ok"/>
    <m/>
    <s v=""/>
    <m/>
    <m/>
    <n v="0"/>
    <s v=""/>
    <s v=""/>
    <s v=""/>
    <s v=""/>
    <s v=""/>
    <s v=""/>
    <s v=""/>
    <s v=""/>
    <s v=""/>
    <m/>
    <n v="4.08"/>
    <m/>
    <n v="415.92"/>
    <n v="2620.92"/>
    <m/>
    <s v="ES32 0182 8323 2202 0195 6874"/>
    <m/>
    <m/>
    <s v="Fernando 16-02"/>
    <s v="Pago"/>
  </r>
  <r>
    <s v="E0500"/>
    <x v="1"/>
    <s v=""/>
    <s v=""/>
    <s v="WS"/>
    <s v=""/>
    <d v="2025-08-27T00:00:00"/>
    <s v=""/>
    <n v="31"/>
    <s v="ANDRÉS CAMILO ALVAREZ"/>
    <s v="ANDRES CAMILO ALVAREZ CUERVO"/>
    <m/>
    <s v="581-OBRESIEDIFICACIONS"/>
    <n v="15"/>
    <n v="207.5"/>
    <n v="207.5"/>
    <s v="Confirmada"/>
    <s v="Ok"/>
    <m/>
    <m/>
    <m/>
    <m/>
    <m/>
    <m/>
    <m/>
    <s v=""/>
    <m/>
    <m/>
    <n v="218.798"/>
    <s v=""/>
    <n v="140"/>
    <s v=""/>
    <s v=""/>
    <s v=""/>
    <s v=""/>
    <s v=""/>
    <s v=""/>
    <s v=""/>
    <m/>
    <n v="4.08"/>
    <m/>
    <n v="2749.6220000000003"/>
    <n v="2749.6220000000003"/>
    <m/>
    <s v="BE86 9052 2247 3850"/>
    <m/>
    <m/>
    <s v="Fernando 18-02"/>
    <s v="Pago"/>
  </r>
  <r>
    <s v="E1815"/>
    <x v="0"/>
    <s v=""/>
    <s v=""/>
    <s v=""/>
    <s v=""/>
    <s v=""/>
    <s v=""/>
    <n v="0"/>
    <s v="CARLOS JULIO CANON SALCEDO"/>
    <s v="CARLOS JULIO CANON SALCEDO"/>
    <m/>
    <s v="581-OBRESIEDIFICACIONS"/>
    <n v="15"/>
    <n v="143"/>
    <n v="143"/>
    <s v="Confirmada"/>
    <s v="Ok"/>
    <m/>
    <m/>
    <m/>
    <m/>
    <m/>
    <m/>
    <m/>
    <s v=""/>
    <m/>
    <m/>
    <n v="0"/>
    <n v="200"/>
    <s v=""/>
    <n v="0"/>
    <n v="0"/>
    <n v="0"/>
    <n v="0"/>
    <n v="0"/>
    <n v="21.74"/>
    <s v=""/>
    <m/>
    <n v="4.08"/>
    <m/>
    <n v="1919.18"/>
    <n v="1919.18"/>
    <m/>
    <s v="ES71 0182 1140 3702 0170 2808"/>
    <m/>
    <m/>
    <m/>
    <s v="Pago"/>
  </r>
  <r>
    <s v="E1686"/>
    <x v="0"/>
    <s v=""/>
    <s v=""/>
    <s v=""/>
    <s v=""/>
    <s v=""/>
    <s v=""/>
    <n v="0"/>
    <s v="ELVIN POLO"/>
    <s v="ELVIN AXEL POLO MANZANO"/>
    <m/>
    <s v="581-OBRESIEDIFICACIONS"/>
    <n v="15"/>
    <n v="159"/>
    <n v="159"/>
    <s v="Confirmada"/>
    <s v="Ok"/>
    <m/>
    <m/>
    <m/>
    <m/>
    <m/>
    <m/>
    <m/>
    <s v=""/>
    <m/>
    <m/>
    <n v="0"/>
    <s v=""/>
    <s v=""/>
    <s v=""/>
    <s v=""/>
    <s v=""/>
    <s v=""/>
    <s v=""/>
    <s v=""/>
    <s v=""/>
    <m/>
    <n v="4.08"/>
    <m/>
    <n v="2380.92"/>
    <n v="2380.92"/>
    <m/>
    <s v="BE67 9055 6012 4887"/>
    <m/>
    <m/>
    <m/>
    <s v="Pago"/>
  </r>
  <r>
    <s v="E0501"/>
    <x v="1"/>
    <s v=""/>
    <s v=""/>
    <s v="WS"/>
    <s v=""/>
    <d v="2025-08-27T00:00:00"/>
    <s v=""/>
    <n v="31"/>
    <s v="HERNÁN RODRIGUEZ C"/>
    <s v="HERNAN RODRIGUEZ CUY"/>
    <m/>
    <s v="581-OBRESIEDIFICACIONS"/>
    <n v="15"/>
    <n v="109.5"/>
    <n v="109.5"/>
    <s v="Confirmada"/>
    <s v="Ok"/>
    <m/>
    <m/>
    <m/>
    <m/>
    <m/>
    <m/>
    <m/>
    <s v=""/>
    <m/>
    <m/>
    <n v="218.798"/>
    <s v=""/>
    <s v=""/>
    <s v=""/>
    <s v=""/>
    <s v=""/>
    <s v=""/>
    <s v=""/>
    <s v=""/>
    <s v=""/>
    <m/>
    <n v="4.08"/>
    <m/>
    <n v="1419.6220000000001"/>
    <n v="1419.6220000000001"/>
    <m/>
    <s v="ES34 6893 0001 7400 0025 8134"/>
    <m/>
    <m/>
    <s v="Fernando 18-02"/>
    <s v="Pago"/>
  </r>
  <r>
    <s v="E0587"/>
    <x v="0"/>
    <s v=""/>
    <s v=""/>
    <s v=""/>
    <s v=""/>
    <s v=""/>
    <s v=""/>
    <n v="0"/>
    <s v="JAIME RETIS TOLENTINO"/>
    <s v="JAIME ALEJANDRO RETIS TOLENTINO"/>
    <m/>
    <s v="581-OBRESIEDIFICACIONS"/>
    <n v="15"/>
    <n v="62"/>
    <n v="62"/>
    <s v="Confirmada"/>
    <s v="Ok"/>
    <m/>
    <m/>
    <m/>
    <m/>
    <m/>
    <m/>
    <m/>
    <n v="300"/>
    <m/>
    <m/>
    <n v="0"/>
    <s v=""/>
    <s v=""/>
    <s v=""/>
    <s v=""/>
    <s v=""/>
    <s v=""/>
    <s v=""/>
    <s v=""/>
    <s v=""/>
    <m/>
    <n v="4.08"/>
    <m/>
    <n v="1225.92"/>
    <n v="1225.92"/>
    <m/>
    <s v="ES48 6893 0001 7400 0026 4769"/>
    <m/>
    <m/>
    <m/>
    <s v="Pago"/>
  </r>
  <r>
    <s v="E1786"/>
    <x v="0"/>
    <s v=""/>
    <s v=""/>
    <s v=""/>
    <s v=""/>
    <s v=""/>
    <s v=""/>
    <n v="0"/>
    <s v="JAVIER RODRÍGUEZ C"/>
    <s v="JAVIER RODRIGUEZ CONTRERAS"/>
    <m/>
    <s v="581-OBRESIEDIFICACIONS"/>
    <n v="15"/>
    <n v="224"/>
    <n v="224"/>
    <s v="Confirmada"/>
    <s v="Ok"/>
    <m/>
    <m/>
    <m/>
    <m/>
    <m/>
    <m/>
    <m/>
    <s v=""/>
    <m/>
    <m/>
    <n v="0"/>
    <s v=""/>
    <n v="140"/>
    <s v=""/>
    <s v=""/>
    <s v=""/>
    <s v=""/>
    <s v=""/>
    <s v=""/>
    <s v=""/>
    <m/>
    <n v="4.08"/>
    <m/>
    <n v="3215.92"/>
    <n v="3215.92"/>
    <m/>
    <s v="ES07 6893 0001 7400 0032 0700"/>
    <m/>
    <m/>
    <m/>
    <s v="Pago"/>
  </r>
  <r>
    <s v="E1670"/>
    <x v="0"/>
    <s v=""/>
    <s v=""/>
    <s v=""/>
    <s v=""/>
    <s v=""/>
    <s v=""/>
    <n v="0"/>
    <s v="JOHAN ANDRES H"/>
    <s v="JOHAN ANDRES HERRERA RUGE"/>
    <m/>
    <s v="581-OBRESIEDIFICACIONS"/>
    <n v="15"/>
    <n v="207.5"/>
    <n v="207.5"/>
    <s v="Confirmada"/>
    <s v="Ok"/>
    <m/>
    <m/>
    <m/>
    <m/>
    <m/>
    <m/>
    <m/>
    <s v=""/>
    <m/>
    <m/>
    <n v="0"/>
    <s v=""/>
    <s v=""/>
    <s v=""/>
    <s v=""/>
    <s v=""/>
    <s v=""/>
    <s v=""/>
    <s v=""/>
    <s v=""/>
    <m/>
    <n v="4.08"/>
    <m/>
    <n v="3108.42"/>
    <n v="3108.42"/>
    <m/>
    <s v="ES24 0049 5126 5829 1624 9989"/>
    <m/>
    <m/>
    <m/>
    <s v="Pago"/>
  </r>
  <r>
    <s v="E0373"/>
    <x v="1"/>
    <s v=""/>
    <s v=""/>
    <s v="WS"/>
    <s v=""/>
    <d v="2025-10-22T00:00:00"/>
    <s v=""/>
    <n v="31"/>
    <m/>
    <s v="MARCO ANTONIO CRISTOBAL CALERO"/>
    <m/>
    <s v="581-OBRESIEDIFICACIONS"/>
    <n v="15"/>
    <s v=""/>
    <n v="56"/>
    <s v="Pendente"/>
    <s v="Ok"/>
    <m/>
    <m/>
    <m/>
    <m/>
    <m/>
    <m/>
    <m/>
    <s v=""/>
    <m/>
    <m/>
    <n v="218.798"/>
    <s v=""/>
    <s v=""/>
    <s v=""/>
    <s v=""/>
    <s v=""/>
    <s v=""/>
    <s v=""/>
    <s v=""/>
    <s v=""/>
    <m/>
    <n v="4.08"/>
    <m/>
    <n v="-222.87800000000001"/>
    <n v="617.12199999999996"/>
    <m/>
    <s v="ES40 6893 0001 7900 0027 0294"/>
    <m/>
    <m/>
    <m/>
    <s v="Pago"/>
  </r>
  <r>
    <s v="E0464"/>
    <x v="0"/>
    <s v=""/>
    <s v=""/>
    <s v=""/>
    <s v=""/>
    <s v=""/>
    <s v=""/>
    <n v="0"/>
    <m/>
    <s v="MIGUEL ANGEL ARCAYA NORIEGA"/>
    <m/>
    <s v="581-OBRESIEDIFICACIONS"/>
    <n v="15"/>
    <s v=""/>
    <n v="207.3"/>
    <s v="Pendente"/>
    <s v="Ok"/>
    <m/>
    <m/>
    <m/>
    <m/>
    <m/>
    <m/>
    <m/>
    <s v=""/>
    <m/>
    <m/>
    <n v="0"/>
    <s v=""/>
    <s v=""/>
    <s v=""/>
    <s v=""/>
    <s v=""/>
    <s v=""/>
    <s v=""/>
    <s v=""/>
    <s v=""/>
    <m/>
    <n v="4.08"/>
    <m/>
    <n v="-4.08"/>
    <n v="3105.42"/>
    <m/>
    <s v="ES49 0182 0917 0902 0174 6960"/>
    <m/>
    <m/>
    <m/>
    <s v="Pago"/>
  </r>
  <r>
    <s v="E0619"/>
    <x v="0"/>
    <s v=""/>
    <s v=""/>
    <s v=""/>
    <s v=""/>
    <s v=""/>
    <s v=""/>
    <n v="0"/>
    <s v="WILSON FLORES ROMERO"/>
    <s v="WILSON FLORES ROMERO"/>
    <m/>
    <s v="581-OBRESIEDIFICACIONS"/>
    <n v="15"/>
    <n v="8"/>
    <n v="8"/>
    <s v="Confirmada"/>
    <s v="Ok"/>
    <m/>
    <m/>
    <m/>
    <m/>
    <m/>
    <m/>
    <m/>
    <s v=""/>
    <m/>
    <m/>
    <n v="0"/>
    <s v=""/>
    <s v=""/>
    <s v=""/>
    <s v=""/>
    <s v=""/>
    <s v=""/>
    <s v=""/>
    <s v=""/>
    <s v=""/>
    <m/>
    <n v="4.08"/>
    <m/>
    <n v="115.92"/>
    <n v="115.92"/>
    <m/>
    <s v="ES36 0049 4835 1921 1639 1915"/>
    <m/>
    <m/>
    <m/>
    <s v="Pago"/>
  </r>
  <r>
    <s v="E1801"/>
    <x v="0"/>
    <s v=""/>
    <s v=""/>
    <s v=""/>
    <s v=""/>
    <s v=""/>
    <s v=""/>
    <n v="0"/>
    <s v="ANUAR JIMENEZ DELGADO"/>
    <s v="ANUAR JIMENEZ DELGADO"/>
    <m/>
    <s v="582-GRUPO ANRO"/>
    <n v="15"/>
    <n v="178"/>
    <n v="178"/>
    <s v="Pendente"/>
    <s v="Ok"/>
    <m/>
    <m/>
    <m/>
    <m/>
    <m/>
    <m/>
    <m/>
    <s v=""/>
    <m/>
    <m/>
    <n v="0"/>
    <s v=""/>
    <s v=""/>
    <s v=""/>
    <s v=""/>
    <s v=""/>
    <s v=""/>
    <s v=""/>
    <s v=""/>
    <s v=""/>
    <m/>
    <n v="4.08"/>
    <m/>
    <n v="2665.92"/>
    <n v="2665.92"/>
    <m/>
    <s v="ES22 0182 0394 3002 0176 6941"/>
    <m/>
    <m/>
    <s v="Fernando 16-02"/>
    <s v="Pago"/>
  </r>
  <r>
    <s v="E1534"/>
    <x v="0"/>
    <s v=""/>
    <s v=""/>
    <s v=""/>
    <s v=""/>
    <s v=""/>
    <s v=""/>
    <n v="0"/>
    <s v="JORGE LUIS JIMENEZ B"/>
    <s v="JORGE LUIS JIMENEZ BISCUMICHE"/>
    <m/>
    <s v="583-JUNSASTEEL"/>
    <n v="15"/>
    <n v="144"/>
    <n v="144"/>
    <s v="Confirmada"/>
    <s v="Ok"/>
    <m/>
    <m/>
    <m/>
    <m/>
    <m/>
    <m/>
    <m/>
    <s v=""/>
    <m/>
    <m/>
    <n v="0"/>
    <s v=""/>
    <s v=""/>
    <s v=""/>
    <s v=""/>
    <s v=""/>
    <s v=""/>
    <s v=""/>
    <s v=""/>
    <s v=""/>
    <m/>
    <n v="4.08"/>
    <m/>
    <n v="2155.92"/>
    <n v="2155.92"/>
    <m/>
    <s v="ES66 0182 3275 5602 0165 2544"/>
    <m/>
    <m/>
    <s v="Fernando 16-02"/>
    <s v="Pago"/>
  </r>
  <r>
    <s v="E1790"/>
    <x v="0"/>
    <s v=""/>
    <s v=""/>
    <s v=""/>
    <s v=""/>
    <s v=""/>
    <s v=""/>
    <n v="0"/>
    <s v="ARMANDO QUIROGA JOVEN"/>
    <s v="ARMANDO QUIROGA JOVEN"/>
    <m/>
    <s v="587-INTUYMA"/>
    <n v="15"/>
    <n v="207.5"/>
    <n v="207.5"/>
    <s v="Confirmada"/>
    <s v="Ok"/>
    <m/>
    <m/>
    <m/>
    <m/>
    <m/>
    <m/>
    <m/>
    <s v=""/>
    <m/>
    <m/>
    <n v="0"/>
    <s v=""/>
    <s v=""/>
    <s v=""/>
    <s v=""/>
    <s v=""/>
    <s v=""/>
    <s v=""/>
    <s v=""/>
    <s v=""/>
    <m/>
    <n v="4.08"/>
    <m/>
    <n v="3108.42"/>
    <n v="3108.42"/>
    <m/>
    <s v="ES18 0182 0345 1302 0185 9245"/>
    <m/>
    <m/>
    <s v="Fernando 16-02"/>
    <s v="Pago"/>
  </r>
  <r>
    <s v="E0271"/>
    <x v="0"/>
    <s v=""/>
    <s v=""/>
    <s v=""/>
    <s v=""/>
    <s v=""/>
    <s v=""/>
    <n v="0"/>
    <s v="CARLOS ALBERTO CORREA O."/>
    <s v="CARLOS ALBERTO CORREA OREJUELA"/>
    <m/>
    <s v="587-INTUYMA"/>
    <n v="15"/>
    <n v="25"/>
    <n v="25"/>
    <s v="Confirmada"/>
    <s v="Ok"/>
    <m/>
    <m/>
    <m/>
    <m/>
    <m/>
    <m/>
    <m/>
    <s v=""/>
    <m/>
    <m/>
    <n v="0"/>
    <s v=""/>
    <s v=""/>
    <s v=""/>
    <s v=""/>
    <s v=""/>
    <s v=""/>
    <s v=""/>
    <s v=""/>
    <s v=""/>
    <m/>
    <n v="4.08"/>
    <m/>
    <n v="370.92"/>
    <n v="370.92"/>
    <m/>
    <s v="FR76 1659 8000 0140 0010 4278 559"/>
    <m/>
    <m/>
    <s v="Fernando 16-02"/>
    <s v="Pago"/>
  </r>
  <r>
    <s v="E1948"/>
    <x v="0"/>
    <s v=""/>
    <s v=""/>
    <s v=""/>
    <s v=""/>
    <s v=""/>
    <s v=""/>
    <n v="0"/>
    <s v="FRANKLYN DE LA CRUZ SERNAQUE"/>
    <s v="FRANKLYN OMAR DE LA CRUZ SERNAQUE"/>
    <m/>
    <s v="587-INTUYMA"/>
    <n v="15"/>
    <n v="212"/>
    <n v="212"/>
    <s v="Confirmada"/>
    <s v="Ok"/>
    <m/>
    <m/>
    <m/>
    <m/>
    <m/>
    <m/>
    <m/>
    <s v=""/>
    <m/>
    <m/>
    <n v="0"/>
    <s v=""/>
    <s v=""/>
    <s v=""/>
    <s v=""/>
    <s v=""/>
    <s v=""/>
    <s v=""/>
    <s v=""/>
    <s v=""/>
    <m/>
    <n v="4.08"/>
    <m/>
    <n v="3175.92"/>
    <n v="3175.92"/>
    <m/>
    <s v="BE42 9054 8308 4154"/>
    <m/>
    <m/>
    <s v="Fernando 16-02"/>
    <s v="Pago"/>
  </r>
  <r>
    <s v="E0571"/>
    <x v="0"/>
    <s v=""/>
    <s v=""/>
    <s v=""/>
    <s v=""/>
    <s v=""/>
    <s v=""/>
    <n v="0"/>
    <s v="GERMÁN GODOY GASPAR"/>
    <s v="GERMAN GASPAR GODOY"/>
    <m/>
    <s v="587-INTUYMA"/>
    <n v="15"/>
    <n v="180"/>
    <n v="180"/>
    <s v="Confirmada"/>
    <s v="Ok"/>
    <m/>
    <m/>
    <m/>
    <m/>
    <m/>
    <m/>
    <m/>
    <s v=""/>
    <m/>
    <m/>
    <n v="0"/>
    <s v=""/>
    <s v=""/>
    <s v=""/>
    <s v=""/>
    <s v=""/>
    <s v=""/>
    <s v=""/>
    <s v=""/>
    <s v=""/>
    <m/>
    <n v="4.08"/>
    <m/>
    <n v="2695.92"/>
    <n v="2695.92"/>
    <m/>
    <s v="ES22 0182 4590 1902 0161 8596"/>
    <m/>
    <m/>
    <s v="Fernando 16-02"/>
    <s v="Pago"/>
  </r>
  <r>
    <s v="E0408"/>
    <x v="0"/>
    <s v=""/>
    <s v=""/>
    <s v=""/>
    <s v=""/>
    <s v=""/>
    <s v=""/>
    <n v="0"/>
    <s v="HERNANDO AUGUSTO GALINDO"/>
    <s v="HERNANDO AUGUSTO GALINDO GOMEZ"/>
    <m/>
    <s v="587-INTUYMA"/>
    <n v="15"/>
    <n v="214"/>
    <n v="214"/>
    <s v="Confirmada"/>
    <s v="Ok"/>
    <m/>
    <m/>
    <m/>
    <m/>
    <m/>
    <m/>
    <m/>
    <s v=""/>
    <m/>
    <m/>
    <n v="0"/>
    <s v=""/>
    <s v=""/>
    <s v=""/>
    <s v=""/>
    <s v=""/>
    <s v=""/>
    <s v=""/>
    <s v=""/>
    <s v=""/>
    <m/>
    <n v="4.08"/>
    <m/>
    <n v="3205.92"/>
    <n v="3205.92"/>
    <m/>
    <s v="ES77 0182 7351 3102 0160 4195"/>
    <m/>
    <m/>
    <s v="Fernando 16-02"/>
    <s v="Pago"/>
  </r>
  <r>
    <s v="E1950"/>
    <x v="0"/>
    <s v=""/>
    <s v=""/>
    <s v=""/>
    <s v=""/>
    <s v=""/>
    <s v=""/>
    <n v="0"/>
    <s v="JEISON LÓPEZ AGREDO"/>
    <s v="JEISON FARID LOPEZ AGREDO"/>
    <m/>
    <s v="587-INTUYMA"/>
    <n v="15"/>
    <n v="205.5"/>
    <n v="205.5"/>
    <s v="Confirmada"/>
    <s v="Ok"/>
    <m/>
    <m/>
    <m/>
    <m/>
    <m/>
    <m/>
    <m/>
    <s v=""/>
    <m/>
    <m/>
    <n v="0"/>
    <s v=""/>
    <s v=""/>
    <s v=""/>
    <s v=""/>
    <s v=""/>
    <s v=""/>
    <s v=""/>
    <s v=""/>
    <s v=""/>
    <m/>
    <n v="4.08"/>
    <m/>
    <n v="3078.42"/>
    <n v="3078.42"/>
    <m/>
    <s v="BE28 9056 9599 5720"/>
    <m/>
    <m/>
    <s v="Fernando 16-02"/>
    <s v="Pago"/>
  </r>
  <r>
    <s v="E1791"/>
    <x v="0"/>
    <s v=""/>
    <s v=""/>
    <s v=""/>
    <s v=""/>
    <s v=""/>
    <s v=""/>
    <n v="0"/>
    <s v="RAÚL MIRANDA"/>
    <s v="RAUL AUGUSTO MIRANDA"/>
    <m/>
    <s v="587-INTUYMA"/>
    <n v="15"/>
    <n v="214"/>
    <n v="214"/>
    <s v="Confirmada"/>
    <s v="Ok"/>
    <m/>
    <m/>
    <m/>
    <m/>
    <m/>
    <m/>
    <m/>
    <s v=""/>
    <m/>
    <m/>
    <n v="0"/>
    <s v=""/>
    <s v=""/>
    <s v=""/>
    <s v=""/>
    <s v=""/>
    <s v=""/>
    <s v=""/>
    <s v=""/>
    <s v=""/>
    <m/>
    <n v="4.08"/>
    <m/>
    <n v="3205.92"/>
    <n v="3205.92"/>
    <m/>
    <s v="BE21 9056 7288 8603"/>
    <m/>
    <m/>
    <s v="Fernando 16-02"/>
    <s v="Pago"/>
  </r>
  <r>
    <s v="E1789"/>
    <x v="0"/>
    <s v=""/>
    <s v=""/>
    <s v=""/>
    <s v=""/>
    <s v=""/>
    <s v=""/>
    <n v="0"/>
    <s v="RAÚL ERNESTO MORA MARTÍNEZ"/>
    <s v="RAUL ERNESTO MORA MARTINEZ"/>
    <m/>
    <s v="587-INTUYMA"/>
    <n v="15"/>
    <n v="214.5"/>
    <n v="214.5"/>
    <s v="Confirmada"/>
    <s v="Ok"/>
    <m/>
    <m/>
    <m/>
    <m/>
    <m/>
    <m/>
    <m/>
    <s v=""/>
    <m/>
    <m/>
    <n v="0"/>
    <s v=""/>
    <s v=""/>
    <s v=""/>
    <s v=""/>
    <s v=""/>
    <s v=""/>
    <s v=""/>
    <s v=""/>
    <s v=""/>
    <m/>
    <n v="4.08"/>
    <m/>
    <n v="3213.42"/>
    <n v="3213.42"/>
    <m/>
    <s v="ES66 0182 0345 1702 0185 9252"/>
    <s v="IBAN NOVO"/>
    <m/>
    <s v="Fernando 16-02"/>
    <s v="Pago"/>
  </r>
  <r>
    <s v="E1792"/>
    <x v="0"/>
    <s v=""/>
    <s v=""/>
    <s v=""/>
    <s v=""/>
    <s v=""/>
    <s v=""/>
    <n v="0"/>
    <s v="VICENCIO VILLAMIZAR LEON"/>
    <s v="VICENCIO VILLAMIZAR LEON"/>
    <m/>
    <s v="587-INTUYMA"/>
    <n v="15"/>
    <n v="214.5"/>
    <n v="214.5"/>
    <s v="Confirmada"/>
    <s v="Ok"/>
    <m/>
    <m/>
    <m/>
    <m/>
    <m/>
    <m/>
    <m/>
    <s v=""/>
    <m/>
    <m/>
    <n v="0"/>
    <s v=""/>
    <s v=""/>
    <s v=""/>
    <s v=""/>
    <s v=""/>
    <s v=""/>
    <s v=""/>
    <s v=""/>
    <s v=""/>
    <m/>
    <n v="4.08"/>
    <m/>
    <n v="3213.42"/>
    <n v="3213.42"/>
    <m/>
    <s v="ES82 0182 8320 9102 0189 4058"/>
    <m/>
    <m/>
    <s v="Fernando 16-02"/>
    <s v="Pago"/>
  </r>
  <r>
    <s v="E1949"/>
    <x v="0"/>
    <s v=""/>
    <s v=""/>
    <s v=""/>
    <s v=""/>
    <s v=""/>
    <s v=""/>
    <n v="0"/>
    <s v="WILLIAN VARGAS CACERES"/>
    <s v="WILLIAN VARGAS CACERES"/>
    <m/>
    <s v="587-INTUYMA"/>
    <n v="15"/>
    <n v="205"/>
    <n v="205"/>
    <s v="Confirmada"/>
    <s v="Ok"/>
    <m/>
    <m/>
    <m/>
    <m/>
    <m/>
    <m/>
    <m/>
    <s v=""/>
    <m/>
    <m/>
    <n v="0"/>
    <s v=""/>
    <s v=""/>
    <s v=""/>
    <s v=""/>
    <s v=""/>
    <s v=""/>
    <s v=""/>
    <s v=""/>
    <s v=""/>
    <m/>
    <n v="4.08"/>
    <m/>
    <n v="3070.92"/>
    <n v="3070.92"/>
    <m/>
    <s v="BE19 9055 0045 2612"/>
    <m/>
    <m/>
    <s v="Fernando 16-02"/>
    <s v="Pago"/>
  </r>
  <r>
    <s v="E0272"/>
    <x v="1"/>
    <s v=""/>
    <s v=""/>
    <s v="WS"/>
    <s v=""/>
    <d v="2025-10-15T00:00:00"/>
    <s v=""/>
    <n v="31"/>
    <s v="ALBEIRO OBANDO"/>
    <s v="ALBEIRO OBANDO MICOLTA"/>
    <m/>
    <s v="593-GRUPO FERRERAS SL"/>
    <n v="17"/>
    <n v="179"/>
    <n v="179"/>
    <s v="Confirmada"/>
    <s v="Ok"/>
    <m/>
    <m/>
    <m/>
    <m/>
    <m/>
    <m/>
    <m/>
    <n v="300"/>
    <m/>
    <m/>
    <n v="218.798"/>
    <s v=""/>
    <s v=""/>
    <s v=""/>
    <s v=""/>
    <s v=""/>
    <s v=""/>
    <s v=""/>
    <s v=""/>
    <s v=""/>
    <m/>
    <n v="4.08"/>
    <m/>
    <n v="3120.1220000000003"/>
    <n v="3120.1220000000003"/>
    <m/>
    <s v="ES64 0182 1216 2502 0159 8939"/>
    <m/>
    <m/>
    <s v="Brenda 16-02"/>
    <s v="Pago"/>
  </r>
  <r>
    <s v="E1707"/>
    <x v="0"/>
    <s v=""/>
    <s v=""/>
    <s v=""/>
    <s v=""/>
    <s v=""/>
    <s v=""/>
    <n v="0"/>
    <s v="ALVARO ARIZA C."/>
    <s v="ALVARO ARIZA CONTRERAS"/>
    <m/>
    <s v="593-GRUPO FERRERAS SL"/>
    <n v="15"/>
    <n v="18"/>
    <n v="45"/>
    <s v="Confirmada"/>
    <s v="Ok"/>
    <m/>
    <m/>
    <m/>
    <m/>
    <m/>
    <m/>
    <m/>
    <s v=""/>
    <m/>
    <m/>
    <n v="0"/>
    <s v=""/>
    <s v=""/>
    <s v=""/>
    <s v=""/>
    <s v=""/>
    <s v=""/>
    <s v=""/>
    <s v=""/>
    <s v=""/>
    <m/>
    <n v="4.08"/>
    <m/>
    <n v="265.92"/>
    <n v="670.92"/>
    <m/>
    <s v="ES43 6893 0001 7400 0030 8121"/>
    <m/>
    <m/>
    <s v="Fernando 16-02"/>
    <s v="Pago"/>
  </r>
  <r>
    <s v="E0565"/>
    <x v="0"/>
    <s v=""/>
    <s v=""/>
    <s v=""/>
    <s v=""/>
    <s v=""/>
    <s v=""/>
    <n v="0"/>
    <s v="ALVARO FIGUEROA ARANGO"/>
    <s v="ALVARO FIGUEROA ARANGO"/>
    <m/>
    <s v="593-GRUPO FERRERAS SL"/>
    <n v="15"/>
    <n v="202"/>
    <n v="202"/>
    <s v="Confirmada"/>
    <s v="Ok"/>
    <m/>
    <m/>
    <m/>
    <m/>
    <m/>
    <m/>
    <m/>
    <s v=""/>
    <m/>
    <m/>
    <n v="0"/>
    <n v="200"/>
    <n v="111.11111111111111"/>
    <n v="40"/>
    <n v="0"/>
    <n v="0"/>
    <n v="0"/>
    <n v="0"/>
    <n v="0"/>
    <s v=""/>
    <m/>
    <n v="4.08"/>
    <m/>
    <n v="2674.8088888888888"/>
    <n v="2674.8088888888888"/>
    <m/>
    <s v="ES09 0182 0702 3702 0164 8709"/>
    <m/>
    <m/>
    <s v="Fernando 16-02"/>
    <s v="Pago"/>
  </r>
  <r>
    <s v="E2079"/>
    <x v="0"/>
    <s v=""/>
    <s v="KR"/>
    <s v=""/>
    <s v=""/>
    <s v=""/>
    <s v=""/>
    <n v="0"/>
    <s v="ALVARO JAVIER NARVAEZ MUÑOZ"/>
    <s v="ALVARO JAVIER NARVAEZ MUÑOZ"/>
    <m/>
    <s v="593-GRUPO FERRERAS SL"/>
    <n v="15"/>
    <n v="144"/>
    <n v="144"/>
    <s v="Confirmada"/>
    <s v="Ok"/>
    <m/>
    <m/>
    <m/>
    <m/>
    <m/>
    <m/>
    <m/>
    <n v="300"/>
    <m/>
    <m/>
    <n v="0"/>
    <s v=""/>
    <s v=""/>
    <s v=""/>
    <s v=""/>
    <s v=""/>
    <s v=""/>
    <s v=""/>
    <s v=""/>
    <s v=""/>
    <m/>
    <n v="4.08"/>
    <m/>
    <n v="2455.92"/>
    <n v="2455.92"/>
    <m/>
    <s v="ES66 0182 5430 4802 0169 1559"/>
    <m/>
    <m/>
    <s v="Fernando 16-02"/>
    <s v="Pago"/>
  </r>
  <r>
    <s v="E1888"/>
    <x v="0"/>
    <s v=""/>
    <s v=""/>
    <s v=""/>
    <s v=""/>
    <s v=""/>
    <s v=""/>
    <n v="0"/>
    <s v="ANDRES FELIPE PULIDO GÓMEZ"/>
    <s v="ANDRES FELIPE PULIDO GOMEZ"/>
    <m/>
    <s v="593-GRUPO FERRERAS SL"/>
    <n v="15"/>
    <n v="0"/>
    <n v="153"/>
    <s v="Confirmada"/>
    <s v="Ok"/>
    <m/>
    <m/>
    <m/>
    <m/>
    <m/>
    <m/>
    <m/>
    <n v="110"/>
    <m/>
    <m/>
    <n v="0"/>
    <s v=""/>
    <s v=""/>
    <s v=""/>
    <s v=""/>
    <s v=""/>
    <s v=""/>
    <s v=""/>
    <s v=""/>
    <s v=""/>
    <m/>
    <n v="4.08"/>
    <m/>
    <n v="105.92"/>
    <n v="2400.92"/>
    <m/>
    <s v="ES64 0182 3961 5402 0176 6982"/>
    <m/>
    <m/>
    <s v="Fernando 16-02"/>
    <s v="Pago"/>
  </r>
  <r>
    <s v="E1668"/>
    <x v="0"/>
    <s v=""/>
    <s v=""/>
    <s v=""/>
    <s v=""/>
    <s v=""/>
    <s v=""/>
    <n v="0"/>
    <s v="BRAYAN SALINAS M."/>
    <s v="BRAYAN JOSE SALINAS MARTINEZ"/>
    <m/>
    <s v="593-GRUPO FERRERAS SL"/>
    <n v="15"/>
    <n v="165"/>
    <n v="174"/>
    <s v="Confirmada"/>
    <s v="Ok"/>
    <m/>
    <m/>
    <m/>
    <m/>
    <m/>
    <m/>
    <m/>
    <s v=""/>
    <m/>
    <m/>
    <n v="0"/>
    <s v=""/>
    <s v=""/>
    <s v=""/>
    <s v=""/>
    <s v=""/>
    <s v=""/>
    <s v=""/>
    <s v=""/>
    <s v=""/>
    <m/>
    <n v="4.08"/>
    <m/>
    <n v="2470.92"/>
    <n v="2605.92"/>
    <m/>
    <s v="ES68 0182 6106 0402 0161 7587"/>
    <m/>
    <m/>
    <s v="Fernando 16-02"/>
    <s v="Pago"/>
  </r>
  <r>
    <s v="E1663"/>
    <x v="1"/>
    <s v=""/>
    <s v=""/>
    <s v="WS"/>
    <s v=""/>
    <d v="2025-10-15T00:00:00"/>
    <s v=""/>
    <n v="31"/>
    <s v="DARIO MERINO"/>
    <s v="DARIO CARLOS MANUEL PEREIRA"/>
    <m/>
    <s v="593-GRUPO FERRERAS SL"/>
    <n v="15"/>
    <n v="102"/>
    <n v="102"/>
    <s v="Confirmada"/>
    <s v="Ok"/>
    <m/>
    <m/>
    <m/>
    <m/>
    <m/>
    <m/>
    <m/>
    <s v=""/>
    <m/>
    <m/>
    <n v="218.798"/>
    <s v=""/>
    <s v=""/>
    <s v=""/>
    <s v=""/>
    <s v=""/>
    <s v=""/>
    <s v=""/>
    <s v=""/>
    <s v=""/>
    <m/>
    <n v="4.08"/>
    <m/>
    <n v="1307.1220000000001"/>
    <n v="1307.1220000000001"/>
    <m/>
    <s v="PT50 0036 0135 9910 0047 8146 2"/>
    <m/>
    <m/>
    <s v="Brenda 16-02"/>
    <s v="Pago"/>
  </r>
  <r>
    <s v="E0559"/>
    <x v="0"/>
    <s v=""/>
    <s v=""/>
    <s v=""/>
    <s v=""/>
    <s v=""/>
    <s v=""/>
    <n v="0"/>
    <s v="EDWIN ALBERTO HINESTROZA"/>
    <s v="EDWIN ALBERTO HINESTROZA"/>
    <m/>
    <s v="593-GRUPO FERRERAS SL"/>
    <n v="15"/>
    <n v="224"/>
    <n v="224"/>
    <s v="Confirmada"/>
    <s v="Ok"/>
    <m/>
    <m/>
    <m/>
    <m/>
    <m/>
    <m/>
    <m/>
    <s v=""/>
    <m/>
    <m/>
    <n v="0"/>
    <s v=""/>
    <n v="121.66666666666667"/>
    <s v=""/>
    <s v=""/>
    <s v=""/>
    <s v=""/>
    <s v=""/>
    <s v=""/>
    <s v=""/>
    <m/>
    <n v="4.08"/>
    <m/>
    <n v="3234.2533333333336"/>
    <n v="3234.2533333333336"/>
    <m/>
    <s v="ES33 0182 0702 3902 0165 0119"/>
    <m/>
    <m/>
    <s v="Fernando 16-02"/>
    <s v="Pago"/>
  </r>
  <r>
    <s v="E1712"/>
    <x v="1"/>
    <s v=""/>
    <s v=""/>
    <s v="WS"/>
    <s v=""/>
    <d v="2026-01-15T00:00:00"/>
    <s v=""/>
    <n v="17"/>
    <s v="EDWIN R AVILA"/>
    <s v="EDWIN RODRIGO AVILA PENA"/>
    <m/>
    <s v="593-GRUPO FERRERAS SL"/>
    <n v="15"/>
    <n v="173"/>
    <n v="173"/>
    <s v="Confirmada"/>
    <s v="Ok"/>
    <m/>
    <m/>
    <m/>
    <m/>
    <m/>
    <m/>
    <m/>
    <s v=""/>
    <m/>
    <m/>
    <n v="119.98599999999999"/>
    <s v=""/>
    <s v=""/>
    <s v=""/>
    <s v=""/>
    <s v=""/>
    <s v=""/>
    <s v=""/>
    <s v=""/>
    <s v=""/>
    <m/>
    <n v="4.08"/>
    <m/>
    <n v="2470.9340000000002"/>
    <n v="2470.9340000000002"/>
    <m/>
    <s v="ES35 6893 0001 7400 0031 6219"/>
    <m/>
    <m/>
    <s v="Brenda 16-02"/>
    <s v="Pago"/>
  </r>
  <r>
    <s v="E1713"/>
    <x v="1"/>
    <s v=""/>
    <s v=""/>
    <s v="WS"/>
    <s v=""/>
    <d v="2025-10-15T00:00:00"/>
    <d v="2026-01-30T00:00:00"/>
    <n v="30"/>
    <s v="HERRERA ERNESTO GERMÁN"/>
    <s v="ERNESTO GERMAN HERRERA"/>
    <m/>
    <s v="593-GRUPO FERRERAS SL"/>
    <n v="15"/>
    <n v="162"/>
    <n v="162"/>
    <s v="Confirmada"/>
    <s v="Ok"/>
    <m/>
    <m/>
    <m/>
    <m/>
    <m/>
    <m/>
    <m/>
    <n v="300"/>
    <m/>
    <m/>
    <n v="211.74"/>
    <s v=""/>
    <s v=""/>
    <s v=""/>
    <s v=""/>
    <s v=""/>
    <s v=""/>
    <s v=""/>
    <s v=""/>
    <s v=""/>
    <m/>
    <n v="4.08"/>
    <m/>
    <n v="2514.1800000000003"/>
    <n v="2514.1800000000003"/>
    <m/>
    <s v="PT50 0269 0373 0020 9419 1665 1"/>
    <m/>
    <m/>
    <s v="Brenda 16-02"/>
    <s v="Pago"/>
  </r>
  <r>
    <s v="E2082"/>
    <x v="0"/>
    <s v="KI"/>
    <s v=""/>
    <s v=""/>
    <s v=""/>
    <s v=""/>
    <s v=""/>
    <n v="0"/>
    <s v="FERNEY ALEXANDER VARGAS"/>
    <s v="FERNEY ALEXANDER VARGAS SERRANO"/>
    <m/>
    <s v="593-GRUPO FERRERAS SL"/>
    <n v="15"/>
    <n v="135"/>
    <n v="135"/>
    <s v="Confirmada"/>
    <s v="Ok"/>
    <m/>
    <m/>
    <m/>
    <m/>
    <m/>
    <m/>
    <m/>
    <s v=""/>
    <m/>
    <m/>
    <n v="0"/>
    <s v=""/>
    <s v=""/>
    <s v=""/>
    <s v=""/>
    <s v=""/>
    <s v=""/>
    <s v=""/>
    <s v=""/>
    <s v=""/>
    <m/>
    <n v="4.08"/>
    <m/>
    <n v="2020.92"/>
    <n v="2020.92"/>
    <m/>
    <s v="ES54 0182 6556 1202 0166 4399"/>
    <m/>
    <m/>
    <s v="Fernando 16-02"/>
    <s v="Pago"/>
  </r>
  <r>
    <s v="E1699"/>
    <x v="0"/>
    <s v=""/>
    <s v=""/>
    <s v=""/>
    <s v=""/>
    <s v=""/>
    <s v=""/>
    <n v="0"/>
    <s v="FREDY RICARDO AGUDELO SALAMANCA"/>
    <s v="FREDY RICARDO AGUDELO SALAMANCA"/>
    <m/>
    <s v="593-GRUPO FERRERAS SL"/>
    <n v="15"/>
    <n v="0"/>
    <n v="117"/>
    <s v="Confirmada"/>
    <s v="Ok"/>
    <m/>
    <m/>
    <m/>
    <m/>
    <m/>
    <m/>
    <m/>
    <n v="300"/>
    <m/>
    <m/>
    <n v="0"/>
    <s v=""/>
    <s v=""/>
    <s v=""/>
    <s v=""/>
    <s v=""/>
    <s v=""/>
    <s v=""/>
    <s v=""/>
    <s v=""/>
    <m/>
    <n v="4.08"/>
    <m/>
    <n v="295.92"/>
    <n v="2050.92"/>
    <m/>
    <s v="BE56 9056 5075 2088"/>
    <m/>
    <m/>
    <s v="Fernando 16-02"/>
    <s v="Pago"/>
  </r>
  <r>
    <s v="E1503"/>
    <x v="0"/>
    <s v=""/>
    <s v=""/>
    <s v=""/>
    <s v=""/>
    <s v=""/>
    <s v=""/>
    <n v="0"/>
    <s v="HANNER STIVEN GERMAN"/>
    <s v="HANNER STIVEN GUZMAN PENCUA"/>
    <m/>
    <s v="593-GRUPO FERRERAS SL"/>
    <n v="15"/>
    <n v="182.5"/>
    <n v="182.5"/>
    <s v="Confirmada"/>
    <s v="Ok"/>
    <m/>
    <m/>
    <m/>
    <m/>
    <m/>
    <m/>
    <m/>
    <s v=""/>
    <m/>
    <m/>
    <n v="0"/>
    <s v=""/>
    <s v=""/>
    <s v=""/>
    <s v=""/>
    <s v=""/>
    <s v=""/>
    <s v=""/>
    <s v=""/>
    <s v=""/>
    <m/>
    <n v="4.08"/>
    <m/>
    <n v="2733.42"/>
    <n v="2733.42"/>
    <m/>
    <s v="ES77 0182 1275 1902 0216 8446"/>
    <m/>
    <m/>
    <s v="Fernando 16-02"/>
    <s v="Pago"/>
  </r>
  <r>
    <s v="E1747"/>
    <x v="0"/>
    <s v=""/>
    <s v=""/>
    <s v=""/>
    <s v=""/>
    <s v=""/>
    <s v=""/>
    <n v="0"/>
    <s v="JAVIER SALAS MARTINEZ"/>
    <s v="JAVIER DE JESUS SALAS MARTINEZ"/>
    <m/>
    <s v="593-GRUPO FERRERAS SL"/>
    <n v="15"/>
    <n v="215"/>
    <n v="215"/>
    <s v="Confirmada"/>
    <s v="Ok"/>
    <m/>
    <m/>
    <m/>
    <m/>
    <m/>
    <m/>
    <m/>
    <s v=""/>
    <m/>
    <m/>
    <n v="0"/>
    <s v=""/>
    <n v="121.66666666666667"/>
    <s v=""/>
    <s v=""/>
    <s v=""/>
    <s v=""/>
    <s v=""/>
    <s v=""/>
    <s v=""/>
    <m/>
    <n v="4.08"/>
    <m/>
    <n v="3099.2533333333336"/>
    <n v="3099.2533333333336"/>
    <m/>
    <s v="ES28 0182 1991 3802 0159 7545"/>
    <m/>
    <m/>
    <s v="Fernando 16-02"/>
    <s v="Pago"/>
  </r>
  <r>
    <s v="E0029"/>
    <x v="1"/>
    <s v=""/>
    <s v=""/>
    <s v="WS"/>
    <s v=""/>
    <d v="2025-10-27T00:00:00"/>
    <s v=""/>
    <n v="31"/>
    <s v="JHOBERGS PARRA"/>
    <s v="JHOBERGS JESUS PARRA DE ARCO"/>
    <m/>
    <s v="593-GRUPO FERRERAS SL"/>
    <n v="15"/>
    <n v="158"/>
    <n v="158"/>
    <s v="Confirmada"/>
    <s v="Ok"/>
    <m/>
    <m/>
    <m/>
    <m/>
    <m/>
    <m/>
    <m/>
    <s v=""/>
    <m/>
    <m/>
    <n v="218.798"/>
    <s v=""/>
    <s v=""/>
    <s v=""/>
    <s v=""/>
    <s v=""/>
    <s v=""/>
    <s v=""/>
    <s v=""/>
    <s v=""/>
    <m/>
    <n v="4.08"/>
    <m/>
    <n v="2147.1220000000003"/>
    <n v="2147.1220000000003"/>
    <m/>
    <s v="ES32 0182 5011 1102 0224 0092"/>
    <m/>
    <m/>
    <s v="Brenda 16-02"/>
    <s v="Pago"/>
  </r>
  <r>
    <s v="E2049"/>
    <x v="0"/>
    <s v=""/>
    <s v=""/>
    <s v=""/>
    <s v=""/>
    <s v=""/>
    <s v=""/>
    <n v="0"/>
    <s v="JHON ALEXANDER ARENAS C"/>
    <s v="JHON ALEXANDER ARENAS CASTRILLON"/>
    <m/>
    <s v="593-GRUPO FERRERAS SL"/>
    <n v="15"/>
    <n v="0"/>
    <n v="27"/>
    <s v="Confirmada"/>
    <s v="Ok"/>
    <m/>
    <m/>
    <m/>
    <m/>
    <m/>
    <m/>
    <m/>
    <s v=""/>
    <m/>
    <m/>
    <n v="0"/>
    <s v=""/>
    <s v=""/>
    <s v=""/>
    <s v=""/>
    <s v=""/>
    <s v=""/>
    <s v=""/>
    <s v=""/>
    <s v=""/>
    <m/>
    <n v="4.08"/>
    <m/>
    <n v="-4.08"/>
    <n v="400.92"/>
    <m/>
    <s v="ES43 0182 2599 7002 0363 0340"/>
    <m/>
    <m/>
    <s v="Fernando 16-02"/>
    <s v="Pago"/>
  </r>
  <r>
    <s v="E0268"/>
    <x v="0"/>
    <s v="KI"/>
    <s v=""/>
    <s v=""/>
    <s v=""/>
    <s v=""/>
    <s v=""/>
    <n v="0"/>
    <s v="JOHNNY BORJA"/>
    <s v="JOHNNY JAVIER BORJA MANGA"/>
    <m/>
    <s v="593-GRUPO FERRERAS SL"/>
    <n v="15"/>
    <n v="135"/>
    <n v="135"/>
    <s v="Confirmada"/>
    <s v="Ok"/>
    <m/>
    <m/>
    <m/>
    <m/>
    <m/>
    <m/>
    <m/>
    <n v="300"/>
    <m/>
    <m/>
    <n v="0"/>
    <s v=""/>
    <s v=""/>
    <s v=""/>
    <s v=""/>
    <s v=""/>
    <s v=""/>
    <s v=""/>
    <s v=""/>
    <s v=""/>
    <m/>
    <n v="4.08"/>
    <m/>
    <n v="2320.92"/>
    <n v="2320.92"/>
    <m/>
    <s v="ES94 0182 6556 1402 0166 5521"/>
    <m/>
    <m/>
    <s v="Fernando 16-02"/>
    <s v="Pago"/>
  </r>
  <r>
    <s v="E0028"/>
    <x v="0"/>
    <s v=""/>
    <s v=""/>
    <s v=""/>
    <s v=""/>
    <s v=""/>
    <s v=""/>
    <n v="0"/>
    <s v="JORGE ANDRES MARTINEZ"/>
    <s v="JORGE ANDRES MARTINEZ VEGA"/>
    <m/>
    <s v="593-GRUPO FERRERAS SL"/>
    <n v="15"/>
    <n v="0"/>
    <n v="27"/>
    <s v="Confirmada"/>
    <s v="Ok"/>
    <m/>
    <m/>
    <m/>
    <m/>
    <m/>
    <m/>
    <m/>
    <s v=""/>
    <m/>
    <m/>
    <n v="0"/>
    <s v=""/>
    <s v=""/>
    <s v=""/>
    <s v=""/>
    <s v=""/>
    <s v=""/>
    <s v=""/>
    <s v=""/>
    <s v=""/>
    <m/>
    <n v="4.08"/>
    <m/>
    <n v="-4.08"/>
    <n v="400.92"/>
    <m/>
    <s v="ES51 0182 0021 8802 0157 2028"/>
    <s v="IBAN NOVO"/>
    <m/>
    <s v="Fernando 16-02"/>
    <s v="Pago"/>
  </r>
  <r>
    <s v="E0260"/>
    <x v="0"/>
    <s v="KI"/>
    <s v=""/>
    <s v=""/>
    <s v=""/>
    <s v=""/>
    <s v=""/>
    <n v="0"/>
    <s v="JOSE FERNANDO VEGA BUITRAGO"/>
    <s v="JOSE FERNANDO VEGA BUITRAGO"/>
    <m/>
    <s v="593-GRUPO FERRERAS SL"/>
    <n v="15"/>
    <n v="117"/>
    <n v="117"/>
    <s v="Confirmada"/>
    <s v="Ok"/>
    <m/>
    <m/>
    <m/>
    <m/>
    <m/>
    <m/>
    <m/>
    <s v=""/>
    <m/>
    <m/>
    <n v="0"/>
    <s v=""/>
    <s v=""/>
    <s v=""/>
    <s v=""/>
    <s v=""/>
    <s v=""/>
    <s v=""/>
    <s v=""/>
    <s v=""/>
    <m/>
    <n v="4.08"/>
    <m/>
    <n v="1750.92"/>
    <n v="1750.92"/>
    <m/>
    <s v="ES13 0182 6398 2302 0169 4808"/>
    <m/>
    <m/>
    <s v="Fernando 16-02"/>
    <s v="Pago"/>
  </r>
  <r>
    <s v="E0263"/>
    <x v="0"/>
    <s v="KI"/>
    <s v=""/>
    <s v=""/>
    <s v=""/>
    <s v=""/>
    <s v=""/>
    <n v="0"/>
    <s v="JUAN DANIEL MORA"/>
    <s v="JUAN DANIEL MORA PEÑALOZA"/>
    <m/>
    <s v="593-GRUPO FERRERAS SL"/>
    <n v="15"/>
    <n v="72"/>
    <n v="72"/>
    <s v="Confirmada"/>
    <s v="Ok"/>
    <m/>
    <m/>
    <m/>
    <m/>
    <m/>
    <m/>
    <m/>
    <s v=""/>
    <m/>
    <m/>
    <n v="0"/>
    <s v=""/>
    <s v=""/>
    <s v=""/>
    <s v=""/>
    <s v=""/>
    <s v=""/>
    <s v=""/>
    <s v=""/>
    <s v=""/>
    <m/>
    <n v="4.08"/>
    <m/>
    <n v="1075.92"/>
    <n v="1075.92"/>
    <m/>
    <s v="ES71 0182 4641 1102 0164 0873"/>
    <m/>
    <m/>
    <s v="Fernando 16-02"/>
    <s v="Pago"/>
  </r>
  <r>
    <s v="E0344"/>
    <x v="1"/>
    <s v=""/>
    <s v=""/>
    <s v="WS"/>
    <s v=""/>
    <d v="2025-10-15T00:00:00"/>
    <s v=""/>
    <n v="31"/>
    <s v="LUIS ALBERTO DIAZ G."/>
    <s v="LUIS ALBERTO DIAZ CLAVIJO"/>
    <m/>
    <s v="593-GRUPO FERRERAS SL"/>
    <n v="15"/>
    <n v="164.5"/>
    <n v="164.5"/>
    <s v="Confirmada"/>
    <s v="Ok"/>
    <m/>
    <m/>
    <m/>
    <m/>
    <m/>
    <m/>
    <m/>
    <s v=""/>
    <m/>
    <m/>
    <n v="218.798"/>
    <s v=""/>
    <s v=""/>
    <s v=""/>
    <s v=""/>
    <s v=""/>
    <s v=""/>
    <s v=""/>
    <s v=""/>
    <s v=""/>
    <m/>
    <n v="4.08"/>
    <m/>
    <n v="2244.6220000000003"/>
    <n v="2244.6220000000003"/>
    <m/>
    <s v="ES43 0182 0374 9202 0154 7148"/>
    <m/>
    <m/>
    <s v="Brenda 16-02"/>
    <s v="Pago"/>
  </r>
  <r>
    <s v="E1797"/>
    <x v="1"/>
    <s v=""/>
    <s v=""/>
    <s v="WS"/>
    <s v=""/>
    <d v="2025-09-02T00:00:00"/>
    <s v=""/>
    <n v="31"/>
    <s v="MANUEL GOMBACASSI"/>
    <s v="MANUEL TCHIMBINJA GOMBACASSI"/>
    <m/>
    <s v="593-GRUPO FERRERAS SL"/>
    <n v="15"/>
    <n v="150"/>
    <n v="150"/>
    <s v="Confirmada"/>
    <s v="Ok"/>
    <m/>
    <m/>
    <m/>
    <m/>
    <m/>
    <m/>
    <m/>
    <n v="300"/>
    <m/>
    <m/>
    <n v="218.798"/>
    <s v=""/>
    <s v=""/>
    <s v=""/>
    <s v=""/>
    <s v=""/>
    <s v=""/>
    <s v=""/>
    <s v=""/>
    <s v=""/>
    <m/>
    <n v="4.08"/>
    <m/>
    <n v="2327.1220000000003"/>
    <n v="2327.1220000000003"/>
    <m/>
    <s v="PT50 0036 0135 9910 0047 616 74"/>
    <m/>
    <m/>
    <s v="Brenda 16-02"/>
    <s v="Pago"/>
  </r>
  <r>
    <s v="E2085"/>
    <x v="0"/>
    <s v="KI"/>
    <s v=""/>
    <s v=""/>
    <s v=""/>
    <s v=""/>
    <s v=""/>
    <n v="0"/>
    <s v="MARCO ALEXIS VILLAMIL SUAREZ"/>
    <s v="MARCO ALEXIS VILLAMIL SUAREZ"/>
    <m/>
    <s v="593-GRUPO FERRERAS SL"/>
    <n v="17"/>
    <n v="153"/>
    <n v="153"/>
    <s v="Confirmada"/>
    <s v="Ok"/>
    <m/>
    <m/>
    <m/>
    <m/>
    <m/>
    <m/>
    <m/>
    <n v="300"/>
    <m/>
    <m/>
    <n v="0"/>
    <s v=""/>
    <s v=""/>
    <s v=""/>
    <s v=""/>
    <s v=""/>
    <s v=""/>
    <s v=""/>
    <s v=""/>
    <s v=""/>
    <m/>
    <n v="4.08"/>
    <m/>
    <n v="2896.92"/>
    <n v="2896.92"/>
    <m/>
    <s v="ES09 0182 0733 1202 0165 8957"/>
    <s v="IBAN NOVO"/>
    <m/>
    <s v="Fernando 16-02"/>
    <s v="Pago"/>
  </r>
  <r>
    <s v="E0273"/>
    <x v="0"/>
    <s v="KI"/>
    <s v=""/>
    <s v=""/>
    <s v=""/>
    <s v=""/>
    <s v=""/>
    <n v="0"/>
    <s v="NELSON JAVIER ACOSTA"/>
    <s v="NELSON JAVIER ACOSTA SANTISTEBAN"/>
    <m/>
    <s v="593-GRUPO FERRERAS SL"/>
    <n v="15"/>
    <n v="108"/>
    <n v="108"/>
    <s v="Confirmada"/>
    <s v="Ok"/>
    <m/>
    <m/>
    <m/>
    <m/>
    <m/>
    <m/>
    <m/>
    <n v="300"/>
    <m/>
    <m/>
    <n v="0"/>
    <s v=""/>
    <s v=""/>
    <s v=""/>
    <s v=""/>
    <s v=""/>
    <s v=""/>
    <s v=""/>
    <s v=""/>
    <s v=""/>
    <m/>
    <n v="4.08"/>
    <m/>
    <n v="1915.92"/>
    <n v="1915.92"/>
    <m/>
    <s v="ES10 6893 0001 7100 0018 1016"/>
    <m/>
    <m/>
    <s v="Fernando 16-02"/>
    <s v="Pago"/>
  </r>
  <r>
    <s v="E0626"/>
    <x v="0"/>
    <s v=""/>
    <s v=""/>
    <s v=""/>
    <s v=""/>
    <s v=""/>
    <s v=""/>
    <n v="0"/>
    <s v="ORLANDO RODRIGUEZ MADARIAGA"/>
    <s v="ORLANDO RODRIGUEZ MADARIAGA"/>
    <m/>
    <s v="593-GRUPO FERRERAS SL"/>
    <n v="15"/>
    <n v="177"/>
    <n v="177"/>
    <s v="Confirmada"/>
    <s v="Ok"/>
    <m/>
    <m/>
    <m/>
    <m/>
    <m/>
    <m/>
    <m/>
    <s v=""/>
    <m/>
    <m/>
    <n v="0"/>
    <s v=""/>
    <s v=""/>
    <s v=""/>
    <s v=""/>
    <s v=""/>
    <s v=""/>
    <s v=""/>
    <s v=""/>
    <s v=""/>
    <m/>
    <n v="4.08"/>
    <m/>
    <n v="2650.92"/>
    <n v="2650.92"/>
    <m/>
    <s v="ES87 0182 1527 5002 0475 8597"/>
    <m/>
    <m/>
    <s v="Fernando 16-02"/>
    <s v="Pago"/>
  </r>
  <r>
    <s v="E1816"/>
    <x v="0"/>
    <s v=""/>
    <s v=""/>
    <s v=""/>
    <s v=""/>
    <s v=""/>
    <s v=""/>
    <n v="0"/>
    <s v="B ALEJANDRO HERRERA"/>
    <s v="RAFAEL ALEJANDRO HERRERA URBANO"/>
    <m/>
    <s v="593-GRUPO FERRERAS SL"/>
    <n v="15"/>
    <n v="203.5"/>
    <n v="203.5"/>
    <s v="Confirmada"/>
    <s v="Ok"/>
    <m/>
    <m/>
    <m/>
    <m/>
    <m/>
    <m/>
    <m/>
    <n v="300"/>
    <m/>
    <m/>
    <n v="0"/>
    <s v=""/>
    <n v="111.11111111111111"/>
    <n v="0"/>
    <n v="0"/>
    <n v="0"/>
    <n v="0"/>
    <n v="0"/>
    <n v="21.74"/>
    <s v=""/>
    <m/>
    <n v="4.08"/>
    <m/>
    <n v="3215.568888888889"/>
    <n v="3215.568888888889"/>
    <m/>
    <s v="ES73 0182 4641 1602 0164 6703"/>
    <m/>
    <m/>
    <s v="Fernando 16-02"/>
    <s v="Pago"/>
  </r>
  <r>
    <s v="E1729"/>
    <x v="0"/>
    <s v=""/>
    <s v=""/>
    <s v=""/>
    <s v=""/>
    <s v=""/>
    <s v=""/>
    <n v="0"/>
    <s v="RAFAEL ELIAS VALDERRAMA VERGARA"/>
    <s v="RAFAEL ELIAS VALDERRAMA VERGARA"/>
    <m/>
    <s v="593-GRUPO FERRERAS SL"/>
    <n v="15"/>
    <n v="187"/>
    <n v="187"/>
    <s v="Confirmada"/>
    <s v="Ok"/>
    <m/>
    <m/>
    <m/>
    <m/>
    <m/>
    <m/>
    <m/>
    <s v=""/>
    <m/>
    <m/>
    <n v="0"/>
    <n v="200"/>
    <n v="111.11111111111111"/>
    <n v="140"/>
    <n v="0"/>
    <n v="0"/>
    <n v="0"/>
    <n v="0"/>
    <n v="0"/>
    <s v=""/>
    <m/>
    <n v="4.08"/>
    <m/>
    <n v="2349.8088888888888"/>
    <n v="2349.8088888888888"/>
    <m/>
    <s v="ES04 0182 2455 6102 0165 3384"/>
    <m/>
    <m/>
    <s v="Fernando 16-02"/>
    <s v="Pago"/>
  </r>
  <r>
    <s v="E0264"/>
    <x v="0"/>
    <s v="KI"/>
    <s v=""/>
    <s v=""/>
    <s v=""/>
    <s v=""/>
    <s v=""/>
    <n v="0"/>
    <s v="RAMON EDUARDO JIMENEZ PEREZ"/>
    <s v="RAMON EDUARDO JIMENEZ PEREZ"/>
    <m/>
    <s v="593-GRUPO FERRERAS SL"/>
    <n v="14"/>
    <n v="117"/>
    <n v="117"/>
    <s v="Confirmada"/>
    <s v="Ok"/>
    <m/>
    <m/>
    <m/>
    <m/>
    <m/>
    <m/>
    <m/>
    <n v="300"/>
    <m/>
    <m/>
    <n v="0"/>
    <s v=""/>
    <s v=""/>
    <s v=""/>
    <s v=""/>
    <s v=""/>
    <s v=""/>
    <s v=""/>
    <s v=""/>
    <s v=""/>
    <m/>
    <n v="4.08"/>
    <m/>
    <n v="1933.92"/>
    <n v="1933.92"/>
    <m/>
    <s v="ES27 0182 0731 0102 0160 6310"/>
    <m/>
    <m/>
    <s v="Fernando 16-02"/>
    <s v="Pago"/>
  </r>
  <r>
    <s v="E1301"/>
    <x v="0"/>
    <s v=""/>
    <s v=""/>
    <s v=""/>
    <s v=""/>
    <s v=""/>
    <s v=""/>
    <n v="0"/>
    <s v="VICTOR DANIEL ARIAS GONZALES"/>
    <s v="VICTOR DANIEL ARIAS GONZALEZ"/>
    <m/>
    <s v="593-GRUPO FERRERAS SL"/>
    <n v="15"/>
    <n v="144"/>
    <n v="144"/>
    <s v="Confirmada"/>
    <s v="Ok"/>
    <m/>
    <m/>
    <m/>
    <m/>
    <m/>
    <m/>
    <m/>
    <n v="300"/>
    <m/>
    <m/>
    <n v="0"/>
    <s v=""/>
    <s v=""/>
    <s v=""/>
    <s v=""/>
    <s v=""/>
    <s v=""/>
    <s v=""/>
    <s v=""/>
    <s v=""/>
    <m/>
    <n v="4.08"/>
    <m/>
    <n v="2455.92"/>
    <n v="2455.92"/>
    <m/>
    <s v="BE83 9053 0218 4915"/>
    <m/>
    <m/>
    <s v="Fernando 16-02"/>
    <s v="Pago"/>
  </r>
  <r>
    <s v="E1711"/>
    <x v="0"/>
    <s v=""/>
    <s v=""/>
    <s v=""/>
    <s v=""/>
    <s v=""/>
    <s v=""/>
    <n v="0"/>
    <s v="WENDI ALBERTO GARCIA A."/>
    <s v="WENDI ALBERTO GARCIA ARRIETA"/>
    <m/>
    <s v="593-GRUPO FERRERAS SL"/>
    <n v="15"/>
    <n v="152"/>
    <n v="152"/>
    <s v="Confirmada"/>
    <s v="Ok"/>
    <m/>
    <m/>
    <m/>
    <m/>
    <m/>
    <m/>
    <m/>
    <s v=""/>
    <m/>
    <m/>
    <n v="0"/>
    <s v=""/>
    <s v=""/>
    <s v=""/>
    <s v=""/>
    <s v=""/>
    <s v=""/>
    <s v=""/>
    <s v=""/>
    <s v=""/>
    <m/>
    <n v="4.08"/>
    <m/>
    <n v="2275.92"/>
    <n v="2275.92"/>
    <m/>
    <s v="BE17 9055 8689 9921"/>
    <m/>
    <m/>
    <s v="Fernando 16-02"/>
    <s v="Pago"/>
  </r>
  <r>
    <s v="E0266"/>
    <x v="0"/>
    <s v="KI"/>
    <s v=""/>
    <s v=""/>
    <s v=""/>
    <s v=""/>
    <s v=""/>
    <n v="0"/>
    <s v="WILMAR"/>
    <s v="WILMAR ESTUPIÑAN ANGULO"/>
    <m/>
    <s v="593-GRUPO FERRERAS SL"/>
    <n v="17"/>
    <n v="5"/>
    <n v="143"/>
    <s v="Confirmada"/>
    <s v="Ok"/>
    <m/>
    <m/>
    <m/>
    <m/>
    <m/>
    <m/>
    <m/>
    <n v="300"/>
    <m/>
    <m/>
    <n v="0"/>
    <s v=""/>
    <s v=""/>
    <s v=""/>
    <s v=""/>
    <s v=""/>
    <s v=""/>
    <s v=""/>
    <s v=""/>
    <s v=""/>
    <m/>
    <n v="4.08"/>
    <m/>
    <n v="380.92"/>
    <n v="2726.92"/>
    <m/>
    <s v="ES66 0182 1216 2202 0159 8953"/>
    <m/>
    <m/>
    <s v="Brenda 16-02"/>
    <s v="Pago"/>
  </r>
  <r>
    <s v="E0269"/>
    <x v="1"/>
    <s v=""/>
    <s v=""/>
    <s v="WS"/>
    <s v=""/>
    <d v="2025-10-15T00:00:00"/>
    <s v=""/>
    <n v="31"/>
    <s v="YONY ALEXANDER BERNAL ARCINIEGAS"/>
    <s v="YONY ALEXANDER BERNAL ARCINIEGAS"/>
    <m/>
    <s v="593-GRUPO FERRERAS SL"/>
    <n v="17"/>
    <n v="145"/>
    <n v="145"/>
    <s v="Confirmada"/>
    <s v="Ok"/>
    <m/>
    <m/>
    <m/>
    <m/>
    <m/>
    <m/>
    <m/>
    <n v="300"/>
    <m/>
    <m/>
    <n v="218.798"/>
    <s v=""/>
    <s v=""/>
    <s v=""/>
    <s v=""/>
    <s v=""/>
    <s v=""/>
    <s v=""/>
    <s v=""/>
    <s v=""/>
    <m/>
    <n v="4.08"/>
    <m/>
    <n v="2542.1220000000003"/>
    <n v="2542.1220000000003"/>
    <m/>
    <s v="BE81 9677 7824 6524"/>
    <m/>
    <m/>
    <s v="Brenda 16-02"/>
    <s v="Pago"/>
  </r>
  <r>
    <s v="E1129"/>
    <x v="1"/>
    <s v=""/>
    <s v=""/>
    <s v="WS"/>
    <s v=""/>
    <d v="2025-10-01T00:00:00"/>
    <s v=""/>
    <n v="31"/>
    <s v="CICERO LIMA BATISTA"/>
    <s v="CICERO LIMA BATISTA"/>
    <m/>
    <s v="596-JOUSSEAU MECANO SOUDURE"/>
    <n v="16"/>
    <n v="160"/>
    <n v="160"/>
    <s v="Confirmada"/>
    <s v="Ok"/>
    <m/>
    <m/>
    <m/>
    <m/>
    <m/>
    <m/>
    <m/>
    <s v=""/>
    <m/>
    <m/>
    <n v="218.798"/>
    <n v="200"/>
    <s v=""/>
    <s v=""/>
    <s v=""/>
    <s v=""/>
    <s v=""/>
    <s v=""/>
    <s v=""/>
    <s v=""/>
    <m/>
    <n v="4.08"/>
    <m/>
    <n v="2137.1220000000003"/>
    <n v="2137.1220000000003"/>
    <m/>
    <s v="ES50 0049 5082 7123 1618 2021"/>
    <m/>
    <m/>
    <s v="Brenda 16-02"/>
    <s v="Pago"/>
  </r>
  <r>
    <s v="E1744"/>
    <x v="0"/>
    <s v=""/>
    <s v=""/>
    <s v=""/>
    <s v=""/>
    <s v=""/>
    <s v=""/>
    <n v="0"/>
    <s v="JHOJAN ESNEIDER NIÑO PARRA"/>
    <s v="JHOJAN ESNEIDER NIÑO PARRA"/>
    <m/>
    <s v="597-HERMANOS DJ 2000"/>
    <n v="15"/>
    <n v="104"/>
    <n v="104"/>
    <s v="Pendente"/>
    <s v="Ok"/>
    <m/>
    <m/>
    <m/>
    <m/>
    <m/>
    <m/>
    <m/>
    <s v=""/>
    <m/>
    <m/>
    <n v="0"/>
    <s v=""/>
    <s v=""/>
    <n v="0"/>
    <n v="0"/>
    <n v="0"/>
    <n v="0"/>
    <n v="0"/>
    <n v="21.74"/>
    <s v=""/>
    <m/>
    <n v="4.08"/>
    <m/>
    <n v="1534.18"/>
    <n v="1534.18"/>
    <m/>
    <s v="ES43 0182 4532 5402 0177 4894"/>
    <m/>
    <m/>
    <s v="Brenda 16-02"/>
    <s v="Pago"/>
  </r>
  <r>
    <s v="E1795"/>
    <x v="0"/>
    <s v=""/>
    <s v=""/>
    <s v=""/>
    <s v=""/>
    <s v=""/>
    <s v=""/>
    <n v="0"/>
    <s v="JOSÈ MIGUEL ZACARIAS"/>
    <s v="JOSE MIGUEL ZACARIAS CHIRINOS"/>
    <m/>
    <s v="599-HIDROSISTEMAS Y MONTAJES"/>
    <n v="15"/>
    <n v="198"/>
    <n v="198"/>
    <s v="Pendente"/>
    <s v="Ok"/>
    <m/>
    <m/>
    <m/>
    <m/>
    <m/>
    <m/>
    <m/>
    <s v=""/>
    <m/>
    <m/>
    <n v="0"/>
    <s v=""/>
    <s v=""/>
    <s v=""/>
    <s v=""/>
    <s v=""/>
    <s v=""/>
    <s v=""/>
    <s v=""/>
    <s v=""/>
    <m/>
    <n v="4.08"/>
    <m/>
    <n v="2965.92"/>
    <n v="2965.92"/>
    <m/>
    <s v="ES62 2100 0802 4707 0003 2345"/>
    <m/>
    <m/>
    <s v="Brenda 16-02"/>
    <s v="Pago"/>
  </r>
  <r>
    <s v="E1045"/>
    <x v="0"/>
    <s v=""/>
    <s v=""/>
    <s v=""/>
    <s v=""/>
    <s v=""/>
    <s v=""/>
    <n v="0"/>
    <s v="VICTOR ALFONSO LUQUE CONDORI"/>
    <s v="VICTOR ALFONSO LUQUE CONDORI"/>
    <m/>
    <s v="599-HIDROSISTEMAS Y MONTAJES"/>
    <n v="15"/>
    <n v="198"/>
    <n v="198"/>
    <s v="Pendente"/>
    <s v="Ok"/>
    <m/>
    <m/>
    <m/>
    <m/>
    <m/>
    <m/>
    <m/>
    <s v=""/>
    <m/>
    <m/>
    <n v="0"/>
    <n v="200"/>
    <s v=""/>
    <s v=""/>
    <s v=""/>
    <s v=""/>
    <s v=""/>
    <s v=""/>
    <s v=""/>
    <s v=""/>
    <m/>
    <n v="4.08"/>
    <m/>
    <n v="2765.92"/>
    <n v="2765.92"/>
    <m/>
    <s v="ES82 0182 1758 9102 0178 1875"/>
    <m/>
    <m/>
    <s v="Brenda 16-02"/>
    <s v="Pago"/>
  </r>
  <r>
    <s v="E1704"/>
    <x v="0"/>
    <s v=""/>
    <s v=""/>
    <s v=""/>
    <s v=""/>
    <s v=""/>
    <s v=""/>
    <n v="0"/>
    <s v="ELISEO FUENTES P"/>
    <s v="ELICEO FUENTES PARRA"/>
    <m/>
    <s v="5-AEB DRYTECH"/>
    <n v="16"/>
    <n v="67"/>
    <n v="67"/>
    <s v="Pendente"/>
    <s v="Ok"/>
    <m/>
    <m/>
    <m/>
    <m/>
    <m/>
    <m/>
    <m/>
    <s v=""/>
    <m/>
    <m/>
    <n v="0"/>
    <s v=""/>
    <s v=""/>
    <s v=""/>
    <s v=""/>
    <s v=""/>
    <s v=""/>
    <s v=""/>
    <s v=""/>
    <s v=""/>
    <m/>
    <n v="4.08"/>
    <m/>
    <n v="1067.92"/>
    <n v="1067.92"/>
    <m/>
    <s v="ES61 0182 4291 3502 0159 5879"/>
    <m/>
    <m/>
    <s v="Brenda 16-02"/>
    <s v="Pago"/>
  </r>
  <r>
    <s v="E1671"/>
    <x v="0"/>
    <s v=""/>
    <s v=""/>
    <s v=""/>
    <s v=""/>
    <s v=""/>
    <s v=""/>
    <n v="0"/>
    <s v="JORGE ENRIQUE SANABRIA M"/>
    <s v="JORGE ENRIQUE SANABRIA MORENO"/>
    <m/>
    <s v="5-AEB DRYTECH"/>
    <n v="16"/>
    <n v="67"/>
    <n v="67"/>
    <s v="Pendente"/>
    <s v="Ok"/>
    <m/>
    <m/>
    <m/>
    <m/>
    <m/>
    <m/>
    <m/>
    <s v=""/>
    <m/>
    <m/>
    <n v="0"/>
    <s v=""/>
    <s v=""/>
    <s v=""/>
    <s v=""/>
    <s v=""/>
    <s v=""/>
    <s v=""/>
    <s v=""/>
    <s v=""/>
    <m/>
    <n v="4.08"/>
    <m/>
    <n v="1067.92"/>
    <n v="1067.92"/>
    <m/>
    <s v="ES11 0182 4032 7202 0291 7901"/>
    <m/>
    <m/>
    <s v="Brenda 16-02"/>
    <s v="Pago"/>
  </r>
  <r>
    <s v="E1754"/>
    <x v="0"/>
    <s v=""/>
    <s v=""/>
    <s v=""/>
    <s v=""/>
    <s v=""/>
    <s v=""/>
    <n v="0"/>
    <s v="NORVEY GONZALEZ"/>
    <s v="NORVEY GONZALEZ LOPEZ"/>
    <m/>
    <s v="5-AEB DRYTECH"/>
    <n v="16"/>
    <n v="67"/>
    <n v="67"/>
    <s v="Pendente"/>
    <s v="Ok"/>
    <m/>
    <m/>
    <m/>
    <m/>
    <m/>
    <m/>
    <m/>
    <s v=""/>
    <m/>
    <m/>
    <n v="0"/>
    <s v=""/>
    <s v=""/>
    <s v=""/>
    <s v=""/>
    <s v=""/>
    <s v=""/>
    <s v=""/>
    <s v=""/>
    <s v=""/>
    <m/>
    <n v="4.08"/>
    <m/>
    <n v="1067.92"/>
    <n v="1067.92"/>
    <m/>
    <s v="ES82 0182 1216 2302 0160 5600"/>
    <m/>
    <m/>
    <s v="Brenda 16-02"/>
    <s v="Pago"/>
  </r>
  <r>
    <s v="E0620"/>
    <x v="1"/>
    <s v=""/>
    <s v=""/>
    <s v="WS"/>
    <s v=""/>
    <d v="2025-10-22T00:00:00"/>
    <d v="2026-01-07T00:00:00"/>
    <n v="7"/>
    <s v="REMY SENNDER FARIAS ACARO"/>
    <s v="REMY SENNDER FARIAS ACARO"/>
    <m/>
    <s v="5-AEB DRYTECH"/>
    <n v="16"/>
    <n v="67"/>
    <n v="67"/>
    <s v="Pendente"/>
    <s v="Ok"/>
    <m/>
    <m/>
    <m/>
    <m/>
    <m/>
    <m/>
    <m/>
    <s v=""/>
    <m/>
    <m/>
    <n v="49.405999999999999"/>
    <s v=""/>
    <s v=""/>
    <s v=""/>
    <s v=""/>
    <s v=""/>
    <s v=""/>
    <s v=""/>
    <s v=""/>
    <s v=""/>
    <m/>
    <n v="4.08"/>
    <m/>
    <n v="1018.514"/>
    <n v="1018.514"/>
    <m/>
    <s v="ES18 6893 0001 7400 0026 9674 "/>
    <m/>
    <m/>
    <s v="Brenda 16-02"/>
    <s v="Pago"/>
  </r>
  <r>
    <s v="E1832"/>
    <x v="0"/>
    <s v=""/>
    <s v=""/>
    <s v=""/>
    <s v=""/>
    <s v=""/>
    <s v=""/>
    <n v="0"/>
    <s v="FRANK ESNEIDER PEREZ TABARES"/>
    <s v="FRANK ESNEIDER PEREZ TABARES"/>
    <m/>
    <s v="600-DINAT 2006 SLU"/>
    <n v="14"/>
    <n v="239.5"/>
    <n v="239.5"/>
    <s v="Pendente"/>
    <s v="Ok"/>
    <m/>
    <m/>
    <m/>
    <m/>
    <m/>
    <m/>
    <m/>
    <s v=""/>
    <m/>
    <m/>
    <n v="0"/>
    <s v=""/>
    <s v=""/>
    <n v="0"/>
    <n v="0"/>
    <n v="0"/>
    <n v="0"/>
    <n v="0"/>
    <n v="21.74"/>
    <s v=""/>
    <m/>
    <n v="4.08"/>
    <m/>
    <n v="3327.1800000000003"/>
    <n v="3327.1800000000003"/>
    <m/>
    <s v="ES81 6893 0001 7200 0031 0639"/>
    <m/>
    <m/>
    <s v="Brenda 16-02"/>
    <s v="Pago"/>
  </r>
  <r>
    <s v="E0101"/>
    <x v="0"/>
    <s v=""/>
    <s v=""/>
    <s v=""/>
    <s v=""/>
    <s v=""/>
    <s v=""/>
    <n v="0"/>
    <s v="JESUS ANTONIO PAJARO ARCIRIA"/>
    <s v="JESUS ANTONIO PAJARO ARCIRIA"/>
    <m/>
    <s v="600-DINAT 2006 SLU"/>
    <n v="14"/>
    <n v="219"/>
    <n v="219"/>
    <s v="Pendente"/>
    <s v="Ok"/>
    <m/>
    <m/>
    <m/>
    <m/>
    <m/>
    <m/>
    <m/>
    <s v=""/>
    <m/>
    <m/>
    <n v="0"/>
    <s v=""/>
    <s v=""/>
    <n v="0"/>
    <n v="0"/>
    <n v="0"/>
    <n v="0"/>
    <n v="0"/>
    <n v="21.74"/>
    <s v=""/>
    <m/>
    <n v="4.08"/>
    <m/>
    <n v="3040.1800000000003"/>
    <n v="3040.1800000000003"/>
    <m/>
    <s v="BE78 9053 0972 8986"/>
    <m/>
    <m/>
    <s v="Brenda 16-02"/>
    <s v="Pago"/>
  </r>
  <r>
    <s v="E0291"/>
    <x v="1"/>
    <s v=""/>
    <s v=""/>
    <s v="WS"/>
    <s v=""/>
    <d v="2025-10-15T00:00:00"/>
    <s v=""/>
    <n v="31"/>
    <s v="JOSE DARNEY ACOSTA LENIS"/>
    <s v="JOSE DAYNER ACOSTA LENIS"/>
    <m/>
    <s v="600-DINAT 2006 SLU"/>
    <n v="15"/>
    <n v="241"/>
    <n v="241"/>
    <s v="Pendente"/>
    <s v="Ok"/>
    <m/>
    <m/>
    <m/>
    <m/>
    <m/>
    <m/>
    <m/>
    <n v="300"/>
    <m/>
    <m/>
    <n v="218.798"/>
    <s v=""/>
    <s v=""/>
    <n v="0"/>
    <n v="0"/>
    <n v="0"/>
    <n v="0"/>
    <n v="0"/>
    <n v="21.74"/>
    <s v=""/>
    <m/>
    <n v="4.08"/>
    <m/>
    <n v="3670.3820000000005"/>
    <n v="3670.3820000000005"/>
    <m/>
    <s v="BE11 9051 5193 5248"/>
    <m/>
    <m/>
    <s v="Brenda 16-02"/>
    <s v="Pago"/>
  </r>
  <r>
    <s v="E1971"/>
    <x v="0"/>
    <s v=""/>
    <s v=""/>
    <s v=""/>
    <s v=""/>
    <s v=""/>
    <s v=""/>
    <n v="0"/>
    <s v="JOSE FERNEY TORRES"/>
    <s v="JOSE FERNEY TORRES"/>
    <m/>
    <s v="600-DINAT 2006 SLU"/>
    <n v="15"/>
    <n v="218"/>
    <n v="218"/>
    <s v="Pendente"/>
    <s v="Ok"/>
    <m/>
    <m/>
    <m/>
    <m/>
    <m/>
    <m/>
    <m/>
    <s v=""/>
    <m/>
    <m/>
    <n v="0"/>
    <s v=""/>
    <s v=""/>
    <n v="0"/>
    <n v="0"/>
    <n v="0"/>
    <n v="0"/>
    <n v="0"/>
    <n v="21.74"/>
    <s v=""/>
    <m/>
    <n v="4.08"/>
    <m/>
    <n v="3244.1800000000003"/>
    <n v="3244.1800000000003"/>
    <m/>
    <s v="ES46 6893 0001 7900 0029 9383 "/>
    <m/>
    <m/>
    <s v="Brenda 16-02"/>
    <s v="Pago"/>
  </r>
  <r>
    <s v="E1841"/>
    <x v="0"/>
    <s v=""/>
    <s v=""/>
    <s v=""/>
    <s v=""/>
    <s v=""/>
    <s v=""/>
    <n v="0"/>
    <s v="SANTIAGO HIGUITA ARBOLEDA"/>
    <s v="SANTIAGO HIGUITA ARBOLEDA"/>
    <m/>
    <s v="600-DINAT 2006 SLU"/>
    <n v="14"/>
    <n v="244"/>
    <n v="244"/>
    <s v="Pendente"/>
    <s v="Ok"/>
    <m/>
    <m/>
    <m/>
    <m/>
    <m/>
    <m/>
    <m/>
    <s v=""/>
    <m/>
    <m/>
    <n v="0"/>
    <s v=""/>
    <s v=""/>
    <n v="0"/>
    <n v="0"/>
    <n v="0"/>
    <n v="0"/>
    <n v="0"/>
    <n v="21.74"/>
    <s v=""/>
    <m/>
    <n v="4.08"/>
    <m/>
    <n v="3390.1800000000003"/>
    <n v="3390.1800000000003"/>
    <m/>
    <s v="ES12 6893 0001 7100 0033 3658"/>
    <m/>
    <m/>
    <s v="Brenda 16-02"/>
    <s v="Pago"/>
  </r>
  <r>
    <s v="E0479"/>
    <x v="0"/>
    <s v=""/>
    <s v=""/>
    <s v=""/>
    <s v=""/>
    <s v=""/>
    <s v=""/>
    <n v="0"/>
    <s v="MIGUEL SUMIRE ROA"/>
    <s v="MIGUEL SUMIRE ROA"/>
    <m/>
    <s v="606-INDOFORMA"/>
    <n v="15"/>
    <n v="136"/>
    <n v="136"/>
    <s v="Pendente"/>
    <s v="Ok"/>
    <m/>
    <m/>
    <m/>
    <m/>
    <m/>
    <m/>
    <m/>
    <s v=""/>
    <m/>
    <m/>
    <n v="0"/>
    <s v=""/>
    <s v=""/>
    <s v=""/>
    <s v=""/>
    <s v=""/>
    <s v=""/>
    <s v=""/>
    <s v=""/>
    <s v=""/>
    <m/>
    <n v="4.08"/>
    <m/>
    <n v="2035.92"/>
    <n v="2035.92"/>
    <m/>
    <s v="ES06 0182 1077 3902 0162 1476"/>
    <m/>
    <m/>
    <s v="Brenda 16-02"/>
    <s v="Pago"/>
  </r>
  <r>
    <s v="E1970"/>
    <x v="1"/>
    <s v=""/>
    <s v=""/>
    <s v="WS"/>
    <s v=""/>
    <d v="2026-01-19T00:00:00"/>
    <s v=""/>
    <n v="13"/>
    <s v="EDDIE ZARATE"/>
    <s v="EDDIE DE JESUS ZARATE IGUARAN"/>
    <m/>
    <s v="60-CORDOBA SL"/>
    <n v="15"/>
    <n v="96"/>
    <n v="96"/>
    <s v="Confirmada"/>
    <s v="Ok"/>
    <m/>
    <m/>
    <m/>
    <m/>
    <m/>
    <m/>
    <m/>
    <s v=""/>
    <m/>
    <m/>
    <n v="91.753999999999991"/>
    <s v=""/>
    <n v="40"/>
    <n v="0"/>
    <n v="0"/>
    <n v="0"/>
    <n v="0"/>
    <n v="0"/>
    <n v="112.93"/>
    <s v=""/>
    <m/>
    <n v="4.08"/>
    <m/>
    <n v="1191.2360000000001"/>
    <n v="1191.2360000000001"/>
    <m/>
    <s v="BE75 9057 2882 3651"/>
    <m/>
    <m/>
    <s v="Brenda 16-02"/>
    <s v="Pago"/>
  </r>
  <r>
    <s v="E0507"/>
    <x v="1"/>
    <s v=""/>
    <s v=""/>
    <s v="WS"/>
    <s v=""/>
    <d v="2025-09-19T00:00:00"/>
    <s v=""/>
    <n v="31"/>
    <s v="EDWARD IGNACIO DIAZ"/>
    <s v="EDWARD IGNACIO DIAZ AVILA"/>
    <m/>
    <s v="60-CORDOBA SL"/>
    <n v="15"/>
    <n v="250"/>
    <n v="250"/>
    <s v="Confirmada"/>
    <s v="Ok"/>
    <m/>
    <m/>
    <m/>
    <m/>
    <m/>
    <m/>
    <m/>
    <s v=""/>
    <m/>
    <m/>
    <n v="218.798"/>
    <s v=""/>
    <n v="67"/>
    <s v=""/>
    <s v=""/>
    <s v=""/>
    <s v=""/>
    <s v=""/>
    <s v=""/>
    <s v=""/>
    <m/>
    <n v="4.08"/>
    <m/>
    <n v="3460.1220000000003"/>
    <n v="3460.1220000000003"/>
    <m/>
    <s v="ES60 0182 0701 9702 0160 8623"/>
    <m/>
    <m/>
    <s v="Brenda 16-02"/>
    <s v="Pago"/>
  </r>
  <r>
    <s v="E1907"/>
    <x v="0"/>
    <s v=""/>
    <s v=""/>
    <s v=""/>
    <s v=""/>
    <s v=""/>
    <s v=""/>
    <n v="0"/>
    <s v="EDWIN ORTIZ DELGADO"/>
    <s v="EDWIN ALFONSO ORTIZ DELGADO"/>
    <m/>
    <s v="60-CORDOBA SL"/>
    <n v="15"/>
    <n v="171"/>
    <n v="171"/>
    <s v="Confirmada"/>
    <s v="Ok"/>
    <m/>
    <m/>
    <m/>
    <m/>
    <m/>
    <m/>
    <m/>
    <s v=""/>
    <m/>
    <m/>
    <n v="0"/>
    <s v=""/>
    <n v="64"/>
    <s v=""/>
    <s v=""/>
    <s v=""/>
    <s v=""/>
    <s v=""/>
    <s v=""/>
    <s v=""/>
    <m/>
    <n v="4.08"/>
    <m/>
    <n v="2496.92"/>
    <n v="2496.92"/>
    <m/>
    <s v="ES68 0182 9730 2602 0035 9385"/>
    <m/>
    <m/>
    <s v="Brenda 16-02"/>
    <s v="Pago"/>
  </r>
  <r>
    <s v="E1932"/>
    <x v="0"/>
    <s v=""/>
    <s v=""/>
    <s v=""/>
    <s v=""/>
    <s v=""/>
    <s v=""/>
    <n v="0"/>
    <s v="FABIO DOMINGUEZ BRAVO"/>
    <s v="FABIO DOMINGUEZ BRAVO"/>
    <m/>
    <s v="60-CORDOBA SL"/>
    <n v="15"/>
    <n v="172"/>
    <n v="172"/>
    <s v="Confirmada"/>
    <s v="Ok"/>
    <m/>
    <m/>
    <m/>
    <m/>
    <m/>
    <m/>
    <m/>
    <s v=""/>
    <m/>
    <m/>
    <n v="0"/>
    <s v=""/>
    <n v="64"/>
    <s v=""/>
    <s v=""/>
    <s v=""/>
    <s v=""/>
    <s v=""/>
    <s v=""/>
    <s v=""/>
    <m/>
    <n v="4.08"/>
    <m/>
    <n v="2511.92"/>
    <n v="2511.92"/>
    <m/>
    <s v="ES03 6893 0001 7100 0034 0513"/>
    <m/>
    <m/>
    <s v="Brenda 16-02"/>
    <s v="Pago"/>
  </r>
  <r>
    <s v="E1925"/>
    <x v="0"/>
    <s v=""/>
    <s v=""/>
    <s v=""/>
    <s v=""/>
    <s v=""/>
    <s v=""/>
    <n v="0"/>
    <s v="GUSTAVO ANDRES DUQUE CASTILLO"/>
    <s v="GUSTAVO ANDRES DUQUE CASTILLO"/>
    <m/>
    <s v="60-CORDOBA SL"/>
    <n v="15"/>
    <n v="108"/>
    <n v="108"/>
    <s v="Confirmada"/>
    <s v="Ok"/>
    <m/>
    <m/>
    <m/>
    <m/>
    <m/>
    <m/>
    <m/>
    <s v=""/>
    <m/>
    <m/>
    <n v="0"/>
    <s v=""/>
    <n v="40"/>
    <s v=""/>
    <s v=""/>
    <s v=""/>
    <s v=""/>
    <s v=""/>
    <s v=""/>
    <s v=""/>
    <m/>
    <n v="4.08"/>
    <m/>
    <n v="1575.92"/>
    <n v="1575.92"/>
    <m/>
    <s v="BE75 9057 9199 9751"/>
    <m/>
    <m/>
    <s v="Brenda 16-02"/>
    <s v="Pago"/>
  </r>
  <r>
    <s v="E1866"/>
    <x v="0"/>
    <s v=""/>
    <s v=""/>
    <s v=""/>
    <s v=""/>
    <s v=""/>
    <s v=""/>
    <n v="0"/>
    <s v="LUIS ALBERTO CAMARGO NIÑO"/>
    <s v="LUIS ALBERTO CAMARGO NINO"/>
    <m/>
    <s v="60-CORDOBA SL"/>
    <n v="15"/>
    <n v="198"/>
    <n v="198"/>
    <s v="Confirmada"/>
    <s v="Ok"/>
    <m/>
    <m/>
    <m/>
    <m/>
    <m/>
    <m/>
    <m/>
    <s v=""/>
    <m/>
    <m/>
    <n v="0"/>
    <s v=""/>
    <n v="97"/>
    <n v="0"/>
    <n v="0"/>
    <n v="0"/>
    <n v="0"/>
    <n v="0"/>
    <n v="112.93"/>
    <s v=""/>
    <m/>
    <n v="4.08"/>
    <m/>
    <n v="2755.9900000000002"/>
    <n v="2755.9900000000002"/>
    <m/>
    <s v="ES06 0182 2808 8102 0160 1350"/>
    <m/>
    <m/>
    <s v="Brenda 16-02"/>
    <s v="Pago"/>
  </r>
  <r>
    <s v="E1942"/>
    <x v="0"/>
    <s v=""/>
    <s v=""/>
    <s v=""/>
    <s v=""/>
    <s v=""/>
    <s v=""/>
    <n v="0"/>
    <s v="LUIS ALEXANDER SEPULVEDA"/>
    <s v="LUIS ALEXANDER SEPULVEDA GUERRERO"/>
    <m/>
    <s v="60-CORDOBA SL"/>
    <n v="15"/>
    <n v="304"/>
    <n v="304"/>
    <s v="Confirmada"/>
    <s v="Ok"/>
    <m/>
    <m/>
    <m/>
    <m/>
    <m/>
    <m/>
    <m/>
    <n v="120"/>
    <m/>
    <m/>
    <n v="0"/>
    <s v=""/>
    <n v="100"/>
    <s v=""/>
    <s v=""/>
    <s v=""/>
    <s v=""/>
    <s v=""/>
    <s v=""/>
    <s v=""/>
    <m/>
    <n v="4.08"/>
    <m/>
    <n v="4575.92"/>
    <n v="4575.92"/>
    <m/>
    <s v="ES46 0182 3100 8902 0179 7389"/>
    <m/>
    <m/>
    <s v="Brenda 16-02"/>
    <s v="Pago"/>
  </r>
  <r>
    <s v="E1767"/>
    <x v="0"/>
    <s v=""/>
    <s v=""/>
    <s v=""/>
    <s v=""/>
    <s v=""/>
    <s v=""/>
    <n v="0"/>
    <s v="LUIS EFRAIN ADRIANZEN MARCELO"/>
    <s v="LUIS EFRAIN ADRIANZEN MARCELO"/>
    <m/>
    <s v="60-CORDOBA SL"/>
    <n v="15"/>
    <n v="172"/>
    <n v="172"/>
    <s v="Confirmada"/>
    <s v="Ok"/>
    <m/>
    <m/>
    <m/>
    <m/>
    <m/>
    <m/>
    <m/>
    <s v=""/>
    <m/>
    <m/>
    <n v="0"/>
    <s v=""/>
    <n v="64"/>
    <s v=""/>
    <s v=""/>
    <s v=""/>
    <s v=""/>
    <s v=""/>
    <s v=""/>
    <s v=""/>
    <m/>
    <n v="4.08"/>
    <m/>
    <n v="2511.92"/>
    <n v="2511.92"/>
    <m/>
    <s v="ES75 0049 7405 0526 1005 2569"/>
    <m/>
    <m/>
    <s v="Brenda 16-02"/>
    <s v="Pago"/>
  </r>
  <r>
    <s v="E2016"/>
    <x v="0"/>
    <s v=""/>
    <s v=""/>
    <s v=""/>
    <s v=""/>
    <s v=""/>
    <s v=""/>
    <n v="0"/>
    <s v="MARIO LUIS F. P. DEMONTE RUIZ"/>
    <s v="MARIO LUIS FERNANDO PEDEMONTE RUIZ"/>
    <m/>
    <s v="60-CORDOBA SL"/>
    <n v="15"/>
    <n v="171"/>
    <n v="171"/>
    <s v="Confirmada"/>
    <s v="Ok"/>
    <m/>
    <m/>
    <m/>
    <m/>
    <m/>
    <m/>
    <m/>
    <s v=""/>
    <m/>
    <m/>
    <n v="0"/>
    <s v=""/>
    <n v="64"/>
    <s v=""/>
    <s v=""/>
    <s v=""/>
    <s v=""/>
    <s v=""/>
    <s v=""/>
    <s v=""/>
    <m/>
    <n v="4.08"/>
    <m/>
    <n v="2496.92"/>
    <n v="2496.92"/>
    <m/>
    <s v="ES88 0182 0689 1302 0161 5163"/>
    <m/>
    <m/>
    <s v="Brenda 16-02"/>
    <s v="Pago"/>
  </r>
  <r>
    <s v="E2007"/>
    <x v="0"/>
    <s v=""/>
    <s v=""/>
    <s v=""/>
    <s v=""/>
    <s v=""/>
    <s v=""/>
    <n v="0"/>
    <s v="NESTOR A VIERA CANALES"/>
    <s v="NESTOR ALEXANDER VIERA CANALES"/>
    <m/>
    <s v="60-CORDOBA SL"/>
    <n v="15"/>
    <n v="172"/>
    <n v="172"/>
    <s v="Confirmada"/>
    <s v="Ok"/>
    <m/>
    <m/>
    <m/>
    <m/>
    <m/>
    <m/>
    <m/>
    <s v=""/>
    <m/>
    <m/>
    <n v="0"/>
    <s v=""/>
    <n v="64"/>
    <s v=""/>
    <s v=""/>
    <s v=""/>
    <s v=""/>
    <s v=""/>
    <s v=""/>
    <s v=""/>
    <m/>
    <n v="4.08"/>
    <m/>
    <n v="2511.92"/>
    <n v="2511.92"/>
    <m/>
    <s v="ES43 6893 0001 7800 0034 0517"/>
    <m/>
    <m/>
    <s v="Brenda 16-02"/>
    <s v="Pago"/>
  </r>
  <r>
    <s v="E1905"/>
    <x v="0"/>
    <s v=""/>
    <s v=""/>
    <s v=""/>
    <s v=""/>
    <s v=""/>
    <s v=""/>
    <n v="0"/>
    <s v="PEDRO JOSE PAEZ"/>
    <s v="PEDRO JOSE PAEZ"/>
    <m/>
    <s v="60-CORDOBA SL"/>
    <n v="15"/>
    <n v="33"/>
    <n v="33"/>
    <s v="Confirmada"/>
    <s v="Ok"/>
    <m/>
    <m/>
    <m/>
    <m/>
    <m/>
    <m/>
    <m/>
    <s v=""/>
    <m/>
    <m/>
    <n v="0"/>
    <s v=""/>
    <s v=""/>
    <s v=""/>
    <s v=""/>
    <s v=""/>
    <s v=""/>
    <s v=""/>
    <s v=""/>
    <s v=""/>
    <m/>
    <n v="4.08"/>
    <m/>
    <n v="490.92"/>
    <n v="490.92"/>
    <m/>
    <s v="BE32 9056 9162 8902"/>
    <m/>
    <m/>
    <s v="Brenda 16-02"/>
    <s v="Pago"/>
  </r>
  <r>
    <s v="E2060"/>
    <x v="1"/>
    <s v=""/>
    <s v=""/>
    <s v="WS"/>
    <s v=""/>
    <d v="2025-11-19T00:00:00"/>
    <s v=""/>
    <n v="31"/>
    <s v="PROSPERO SUAREZ"/>
    <s v="PROSPERO SUAREZ PASTRAN"/>
    <m/>
    <s v="60-CORDOBA SL"/>
    <n v="15"/>
    <n v="223"/>
    <n v="223"/>
    <s v="Confirmada"/>
    <s v="Ok"/>
    <m/>
    <m/>
    <m/>
    <m/>
    <m/>
    <m/>
    <m/>
    <s v=""/>
    <m/>
    <m/>
    <n v="218.798"/>
    <s v=""/>
    <n v="126.66666666666667"/>
    <s v=""/>
    <s v=""/>
    <s v=""/>
    <s v=""/>
    <s v=""/>
    <s v=""/>
    <s v=""/>
    <m/>
    <n v="4.08"/>
    <m/>
    <n v="2995.4553333333338"/>
    <n v="2995.4553333333338"/>
    <m/>
    <s v="BE43 9057 7267 2301"/>
    <m/>
    <m/>
    <s v="Brenda 16-02"/>
    <s v="Pago"/>
  </r>
  <r>
    <s v="E0081"/>
    <x v="0"/>
    <s v=""/>
    <s v=""/>
    <s v=""/>
    <s v=""/>
    <s v=""/>
    <s v=""/>
    <n v="0"/>
    <s v="ROLFI ESTEBAN TORRES SOTELO"/>
    <s v="ROLFI ESTEBAN TORRES SOTELO"/>
    <m/>
    <s v="60-CORDOBA SL"/>
    <n v="15"/>
    <n v="304"/>
    <n v="304"/>
    <s v="Confirmada"/>
    <s v="Ok"/>
    <m/>
    <m/>
    <m/>
    <m/>
    <m/>
    <m/>
    <m/>
    <n v="120"/>
    <m/>
    <m/>
    <n v="0"/>
    <s v=""/>
    <n v="100"/>
    <s v=""/>
    <s v=""/>
    <s v=""/>
    <s v=""/>
    <s v=""/>
    <s v=""/>
    <s v=""/>
    <m/>
    <n v="4.08"/>
    <m/>
    <n v="4575.92"/>
    <n v="4575.92"/>
    <m/>
    <s v="ES48 0182 2808 8102 0159 9042"/>
    <m/>
    <m/>
    <s v="Brenda 16-02"/>
    <s v="Pago"/>
  </r>
  <r>
    <s v="E0080"/>
    <x v="0"/>
    <s v=""/>
    <s v=""/>
    <s v=""/>
    <s v=""/>
    <s v=""/>
    <s v=""/>
    <n v="0"/>
    <s v="ROMEL YBAN TUFINIO ZOCON"/>
    <s v="ROMEL YBAN TUFINIO ZOCON"/>
    <m/>
    <s v="60-CORDOBA SL"/>
    <n v="15"/>
    <n v="304"/>
    <n v="304"/>
    <s v="Confirmada"/>
    <s v="Ok"/>
    <m/>
    <m/>
    <m/>
    <m/>
    <m/>
    <m/>
    <m/>
    <n v="120"/>
    <m/>
    <m/>
    <n v="0"/>
    <s v=""/>
    <n v="100"/>
    <s v=""/>
    <s v=""/>
    <s v=""/>
    <s v=""/>
    <s v=""/>
    <s v=""/>
    <s v=""/>
    <m/>
    <n v="4.08"/>
    <m/>
    <n v="4575.92"/>
    <n v="4575.92"/>
    <m/>
    <s v="ES89 0182 2808 8102 0159 9080"/>
    <m/>
    <m/>
    <s v="Brenda 16-02"/>
    <s v="Pago"/>
  </r>
  <r>
    <s v="E0630"/>
    <x v="1"/>
    <s v=""/>
    <s v=""/>
    <s v="WS"/>
    <s v=""/>
    <d v="2026-01-19T00:00:00"/>
    <s v=""/>
    <n v="13"/>
    <s v="WILMER DE JESUS ARIZA MUÑOZ"/>
    <s v="WILMER DE JESUS ARIZA MUÑOZ"/>
    <m/>
    <s v="60-CORDOBA SL"/>
    <n v="15"/>
    <n v="96"/>
    <n v="96"/>
    <s v="Confirmada"/>
    <s v="Ok"/>
    <m/>
    <m/>
    <m/>
    <m/>
    <m/>
    <m/>
    <m/>
    <s v=""/>
    <m/>
    <m/>
    <n v="91.753999999999991"/>
    <n v="200"/>
    <n v="40"/>
    <n v="0"/>
    <n v="0"/>
    <n v="0"/>
    <n v="0"/>
    <n v="0"/>
    <n v="112.93"/>
    <s v=""/>
    <m/>
    <n v="4.08"/>
    <m/>
    <n v="991.23599999999999"/>
    <n v="991.23599999999999"/>
    <m/>
    <s v="PL44 1090 2835 0000 0001 6259 0741"/>
    <m/>
    <m/>
    <s v="Brenda 16-02"/>
    <s v="Pago"/>
  </r>
  <r>
    <s v="E1891"/>
    <x v="0"/>
    <s v=""/>
    <s v=""/>
    <s v=""/>
    <s v=""/>
    <s v=""/>
    <s v=""/>
    <n v="0"/>
    <s v="ANDES JERIANO"/>
    <s v="ANDRES ALEXANDER BEJARANO PEREZ"/>
    <m/>
    <s v="615-GRUPO MICESA"/>
    <n v="15"/>
    <n v="257"/>
    <n v="257"/>
    <s v="Pendente"/>
    <s v="Ok"/>
    <m/>
    <m/>
    <m/>
    <m/>
    <m/>
    <m/>
    <m/>
    <s v=""/>
    <m/>
    <m/>
    <n v="0"/>
    <s v=""/>
    <s v=""/>
    <s v=""/>
    <s v=""/>
    <s v=""/>
    <s v=""/>
    <s v=""/>
    <s v=""/>
    <s v=""/>
    <m/>
    <n v="4.08"/>
    <m/>
    <n v="3850.92"/>
    <n v="3850.92"/>
    <m/>
    <s v="ES52 0182 1306 9802 0168 8854"/>
    <m/>
    <m/>
    <s v="Brenda 16-02"/>
    <s v="Pago"/>
  </r>
  <r>
    <s v="E1990"/>
    <x v="0"/>
    <s v=""/>
    <s v=""/>
    <s v=""/>
    <s v=""/>
    <s v=""/>
    <s v=""/>
    <n v="0"/>
    <s v="HECTOR GUEVARA"/>
    <s v="HECTOR JAUMEN GUEVARA FORERO"/>
    <m/>
    <s v="615-GRUPO MICESA"/>
    <n v="15"/>
    <n v="257"/>
    <n v="257"/>
    <s v="Pendente"/>
    <s v="Ok"/>
    <m/>
    <m/>
    <m/>
    <m/>
    <m/>
    <m/>
    <m/>
    <s v=""/>
    <m/>
    <m/>
    <n v="0"/>
    <s v=""/>
    <s v=""/>
    <s v=""/>
    <s v=""/>
    <s v=""/>
    <s v=""/>
    <s v=""/>
    <s v=""/>
    <s v=""/>
    <m/>
    <n v="4.08"/>
    <m/>
    <n v="3850.92"/>
    <n v="3850.92"/>
    <m/>
    <s v="BE51 9057 4462 6062"/>
    <m/>
    <m/>
    <s v="Brenda 16-02"/>
    <s v="Pago"/>
  </r>
  <r>
    <s v="E0066"/>
    <x v="0"/>
    <s v=""/>
    <s v=""/>
    <s v=""/>
    <s v=""/>
    <s v=""/>
    <s v=""/>
    <n v="0"/>
    <s v="LUIS ALBERTO RAMIREZ"/>
    <s v="LUIS ALBERTO RAMIREZ PINEDO"/>
    <m/>
    <s v="615-GRUPO MICESA"/>
    <n v="15"/>
    <n v="48.25"/>
    <n v="50"/>
    <s v="Pendente"/>
    <s v="Ok"/>
    <m/>
    <m/>
    <m/>
    <m/>
    <m/>
    <m/>
    <m/>
    <s v=""/>
    <m/>
    <m/>
    <n v="0"/>
    <s v=""/>
    <m/>
    <s v=""/>
    <s v=""/>
    <s v=""/>
    <s v=""/>
    <s v=""/>
    <s v=""/>
    <s v=""/>
    <m/>
    <n v="4.08"/>
    <m/>
    <n v="719.67"/>
    <n v="745.92"/>
    <m/>
    <s v="ES50 0182 8191 7902 0204 8724"/>
    <m/>
    <m/>
    <s v="Brenda 16-02"/>
    <s v="Pago"/>
  </r>
  <r>
    <s v="E1779"/>
    <x v="0"/>
    <s v=""/>
    <s v=""/>
    <s v=""/>
    <s v=""/>
    <s v=""/>
    <s v=""/>
    <n v="0"/>
    <s v="ALBERTO RIAÑO"/>
    <s v="PABLO ALBERTO RIANO BONILLA"/>
    <m/>
    <s v="615-GRUPO MICESA"/>
    <n v="15"/>
    <n v="257"/>
    <n v="257"/>
    <s v="Pendente"/>
    <s v="Ok"/>
    <m/>
    <m/>
    <m/>
    <m/>
    <m/>
    <m/>
    <m/>
    <s v=""/>
    <m/>
    <m/>
    <n v="0"/>
    <s v=""/>
    <s v=""/>
    <s v=""/>
    <s v=""/>
    <s v=""/>
    <s v=""/>
    <s v=""/>
    <s v=""/>
    <s v=""/>
    <m/>
    <n v="4.08"/>
    <m/>
    <n v="3850.92"/>
    <n v="3850.92"/>
    <m/>
    <s v="ES97 0182 1275 1102 0217 3619"/>
    <m/>
    <m/>
    <s v="Brenda 16-02"/>
    <s v="Pago"/>
  </r>
  <r>
    <s v="E0510"/>
    <x v="1"/>
    <s v=""/>
    <s v=""/>
    <s v="WS"/>
    <s v=""/>
    <d v="2026-01-27T00:00:00"/>
    <s v=""/>
    <n v="5"/>
    <s v="ROBERTO CARLOS MARQUINA"/>
    <s v="ROBERTO CARLOS MARQUINA CABRERA"/>
    <m/>
    <s v="615-GRUPO MICESA"/>
    <n v="16"/>
    <n v="50"/>
    <n v="50"/>
    <s v="Pendente"/>
    <s v="Ok"/>
    <m/>
    <m/>
    <m/>
    <m/>
    <m/>
    <m/>
    <m/>
    <s v=""/>
    <m/>
    <m/>
    <n v="35.29"/>
    <s v=""/>
    <s v=""/>
    <s v=""/>
    <s v=""/>
    <s v=""/>
    <s v=""/>
    <s v=""/>
    <s v=""/>
    <s v=""/>
    <m/>
    <n v="4.08"/>
    <m/>
    <n v="760.63"/>
    <n v="760.63"/>
    <m/>
    <s v="ES52 0182 0702 3802 0164 5267"/>
    <m/>
    <m/>
    <s v="Brenda 16-02"/>
    <s v="Pago"/>
  </r>
  <r>
    <s v="E0503"/>
    <x v="0"/>
    <s v=""/>
    <s v=""/>
    <s v=""/>
    <s v=""/>
    <s v=""/>
    <s v=""/>
    <n v="0"/>
    <s v="RODRIGO AVILA"/>
    <s v="RODRIGO ALEXANDRO AVILA DIEGO"/>
    <m/>
    <s v="615-GRUPO MICESA"/>
    <n v="15"/>
    <n v="19.5"/>
    <n v="147"/>
    <s v="Pendente"/>
    <s v="Ok"/>
    <m/>
    <m/>
    <m/>
    <m/>
    <m/>
    <m/>
    <m/>
    <s v=""/>
    <m/>
    <m/>
    <n v="0"/>
    <s v=""/>
    <s v=""/>
    <s v=""/>
    <s v=""/>
    <s v=""/>
    <s v=""/>
    <s v=""/>
    <s v=""/>
    <s v=""/>
    <m/>
    <n v="4.08"/>
    <m/>
    <n v="288.42"/>
    <n v="2200.92"/>
    <m/>
    <s v="ES81 0182 0883 1302 0173 3726"/>
    <m/>
    <m/>
    <s v="Brenda 16-02"/>
    <s v="Pago"/>
  </r>
  <r>
    <s v="E0617"/>
    <x v="1"/>
    <s v=""/>
    <s v=""/>
    <s v="WS"/>
    <s v=""/>
    <d v="2025-10-15T00:00:00"/>
    <s v=""/>
    <n v="31"/>
    <s v="ANDRES FELIPE MARULANDA ARAQUE"/>
    <s v="ANDRES FELIPE MARULANDA ARAQUE"/>
    <m/>
    <s v="71-ELYTT ENERGY SL"/>
    <n v="15"/>
    <n v="268"/>
    <n v="268"/>
    <s v="Pendente"/>
    <s v="Ok"/>
    <m/>
    <m/>
    <m/>
    <m/>
    <m/>
    <m/>
    <m/>
    <s v=""/>
    <m/>
    <m/>
    <n v="218.798"/>
    <s v=""/>
    <n v="66.666666666666657"/>
    <n v="0"/>
    <n v="0"/>
    <n v="0"/>
    <n v="148.97"/>
    <n v="0"/>
    <n v="0"/>
    <s v=""/>
    <m/>
    <n v="4.08"/>
    <m/>
    <n v="3581.485333333334"/>
    <n v="3581.485333333334"/>
    <m/>
    <s v="BE27 9051 8348 2173 "/>
    <m/>
    <m/>
    <s v="Fernando 18-02"/>
    <s v="Pago"/>
  </r>
  <r>
    <s v="E0801"/>
    <x v="1"/>
    <s v=""/>
    <s v=""/>
    <s v="WS"/>
    <s v=""/>
    <d v="2025-10-15T00:00:00"/>
    <s v=""/>
    <n v="31"/>
    <s v="CARLOS SANTOS RODRIGUEZ"/>
    <s v="CARLOS MITCHELL SANTOS RODRIGUEZ"/>
    <m/>
    <s v="71-ELYTT ENERGY SL"/>
    <n v="15"/>
    <n v="268"/>
    <n v="268"/>
    <s v="Pendente"/>
    <s v="Ok"/>
    <m/>
    <m/>
    <m/>
    <m/>
    <m/>
    <m/>
    <m/>
    <s v=""/>
    <m/>
    <m/>
    <n v="218.798"/>
    <s v=""/>
    <n v="66.666666666666657"/>
    <n v="0"/>
    <n v="0"/>
    <n v="0"/>
    <n v="148.97"/>
    <n v="0"/>
    <n v="21.74"/>
    <s v=""/>
    <m/>
    <n v="4.08"/>
    <m/>
    <n v="3559.7453333333342"/>
    <n v="3559.7453333333342"/>
    <m/>
    <s v="ES16 0182 8674 4202 0164 9087"/>
    <m/>
    <m/>
    <s v="Fernando 18-02"/>
    <s v="Pago"/>
  </r>
  <r>
    <s v="E1909"/>
    <x v="0"/>
    <s v=""/>
    <s v=""/>
    <s v=""/>
    <s v=""/>
    <s v=""/>
    <s v=""/>
    <n v="0"/>
    <s v="CRISTIAN ARIZA MARTINEZ"/>
    <s v="CRISTIAN ARIZA MARTINEZ"/>
    <m/>
    <s v="71-ELYTT ENERGY SL"/>
    <n v="14"/>
    <n v="255"/>
    <n v="255"/>
    <s v="Pendente"/>
    <s v="Ok"/>
    <m/>
    <m/>
    <m/>
    <m/>
    <m/>
    <m/>
    <m/>
    <s v=""/>
    <m/>
    <m/>
    <n v="0"/>
    <s v=""/>
    <n v="74.666666666666657"/>
    <s v=""/>
    <s v=""/>
    <s v=""/>
    <s v=""/>
    <s v=""/>
    <s v=""/>
    <s v=""/>
    <m/>
    <n v="4.08"/>
    <m/>
    <n v="3491.2533333333336"/>
    <n v="3491.2533333333336"/>
    <m/>
    <s v="ES26 0182 9050 1902 0169 9522"/>
    <m/>
    <m/>
    <m/>
    <s v="Pago"/>
  </r>
  <r>
    <s v="E0552"/>
    <x v="1"/>
    <s v=""/>
    <s v=""/>
    <s v="WS"/>
    <s v=""/>
    <d v="2025-10-15T00:00:00"/>
    <s v=""/>
    <n v="31"/>
    <s v="JONATHAN MARTINEZ CASTIBLANCO"/>
    <s v="JONATHAN ALEJANDRO MARTINEZ CASTIBLANCO"/>
    <m/>
    <s v="71-ELYTT ENERGY SL"/>
    <n v="15"/>
    <n v="268"/>
    <n v="268"/>
    <s v="Pendente"/>
    <s v="Ok"/>
    <m/>
    <m/>
    <m/>
    <m/>
    <m/>
    <m/>
    <m/>
    <s v=""/>
    <m/>
    <m/>
    <n v="218.798"/>
    <s v=""/>
    <n v="66.666666666666657"/>
    <n v="0"/>
    <n v="0"/>
    <n v="0"/>
    <n v="148.97"/>
    <n v="0"/>
    <n v="0"/>
    <s v=""/>
    <m/>
    <n v="4.08"/>
    <m/>
    <n v="3581.485333333334"/>
    <n v="3581.485333333334"/>
    <m/>
    <s v="ES52 0182 8181 1602 0234 8610"/>
    <m/>
    <m/>
    <s v="Fernando 18-02"/>
    <s v="Pago"/>
  </r>
  <r>
    <s v="E1081"/>
    <x v="0"/>
    <s v=""/>
    <s v=""/>
    <s v=""/>
    <s v=""/>
    <s v=""/>
    <s v=""/>
    <n v="0"/>
    <s v="LUIS ZAMORA"/>
    <s v="LUIS JAVIER ZAMORA CANACHE"/>
    <m/>
    <s v="71-ELYTT ENERGY SL"/>
    <n v="15"/>
    <n v="268"/>
    <n v="268"/>
    <s v="Pendente"/>
    <s v="Ok"/>
    <m/>
    <m/>
    <m/>
    <m/>
    <m/>
    <m/>
    <m/>
    <s v=""/>
    <m/>
    <m/>
    <n v="0"/>
    <s v=""/>
    <n v="66.666666666666657"/>
    <n v="0"/>
    <n v="0"/>
    <n v="0"/>
    <n v="148.97"/>
    <n v="0"/>
    <n v="0"/>
    <s v=""/>
    <m/>
    <n v="4.08"/>
    <m/>
    <n v="3800.2833333333338"/>
    <n v="3800.2833333333338"/>
    <m/>
    <s v="ES24 0182 2771 3502 0164 5579"/>
    <m/>
    <m/>
    <m/>
    <s v="Pago"/>
  </r>
  <r>
    <s v="E0246"/>
    <x v="1"/>
    <s v=""/>
    <s v=""/>
    <s v="WS"/>
    <s v=""/>
    <d v="2025-08-18T00:00:00"/>
    <s v=""/>
    <n v="31"/>
    <s v="MARTIN CAMILO SUAREZ"/>
    <s v="MARTIN CAMILO SUAREZ BARRERA"/>
    <m/>
    <s v="74-EMYPRO"/>
    <n v="16"/>
    <n v="94.5"/>
    <n v="134"/>
    <s v="Confirmada"/>
    <s v="Ok"/>
    <m/>
    <m/>
    <m/>
    <m/>
    <m/>
    <m/>
    <m/>
    <n v="300"/>
    <m/>
    <m/>
    <n v="218.798"/>
    <s v=""/>
    <s v=""/>
    <s v=""/>
    <s v=""/>
    <s v=""/>
    <s v=""/>
    <s v=""/>
    <s v=""/>
    <s v=""/>
    <m/>
    <n v="4.08"/>
    <m/>
    <n v="1589.1220000000001"/>
    <n v="2221.1220000000003"/>
    <m/>
    <s v="PT50 0007 0000 0081 5617 9052 3"/>
    <m/>
    <m/>
    <s v="Brenda 16-02"/>
    <s v="Pag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5BAA19-B061-40E1-A324-60D74835AF43}" name="TablaDinámica11" cacheId="0" dataOnRows="1" applyNumberFormats="0" applyBorderFormats="0" applyFontFormats="0" applyPatternFormats="0" applyAlignmentFormats="0" applyWidthHeightFormats="1" dataCaption="Valores" updatedVersion="8" minRefreshableVersion="3" itemPrintTitles="1" createdVersion="8" indent="0" outline="1" outlineData="1" multipleFieldFilters="0">
  <location ref="I26:J28" firstHeaderRow="1" firstDataRow="1" firstDataCol="1"/>
  <pivotFields count="49">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defaultSubtota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showAll="0"/>
    <pivotField showAll="0"/>
    <pivotField showAll="0"/>
    <pivotField showAll="0"/>
    <pivotField showAll="0"/>
    <pivotField showAll="0"/>
  </pivotFields>
  <rowFields count="1">
    <field x="-2"/>
  </rowFields>
  <rowItems count="2">
    <i>
      <x/>
    </i>
    <i i="1">
      <x v="1"/>
    </i>
  </rowItems>
  <colItems count="1">
    <i/>
  </colItems>
  <dataFields count="2">
    <dataField name="Suma de Auxilio alojamento" fld="25" baseField="0" baseItem="0"/>
    <dataField name="Suma de Outros acréscimos" fld="26" baseField="0" baseItem="0"/>
  </dataFields>
  <formats count="17">
    <format dxfId="551">
      <pivotArea dataOnly="0" labelOnly="1" outline="0" fieldPosition="0">
        <references count="1">
          <reference field="4294967294" count="2">
            <x v="0"/>
            <x v="1"/>
          </reference>
        </references>
      </pivotArea>
    </format>
    <format dxfId="550">
      <pivotArea outline="0" collapsedLevelsAreSubtotals="1" fieldPosition="0"/>
    </format>
    <format dxfId="549">
      <pivotArea type="all" dataOnly="0" outline="0" fieldPosition="0"/>
    </format>
    <format dxfId="548">
      <pivotArea outline="0" collapsedLevelsAreSubtotals="1" fieldPosition="0"/>
    </format>
    <format dxfId="547">
      <pivotArea field="-2" type="button" dataOnly="0" labelOnly="1" outline="0" axis="axisRow" fieldPosition="0"/>
    </format>
    <format dxfId="546">
      <pivotArea dataOnly="0" labelOnly="1" outline="0" fieldPosition="0">
        <references count="1">
          <reference field="4294967294" count="2">
            <x v="0"/>
            <x v="1"/>
          </reference>
        </references>
      </pivotArea>
    </format>
    <format dxfId="545">
      <pivotArea dataOnly="0" labelOnly="1" grandCol="1" outline="0" axis="axisCol" fieldPosition="0"/>
    </format>
    <format dxfId="544">
      <pivotArea type="all" dataOnly="0" outline="0" fieldPosition="0"/>
    </format>
    <format dxfId="543">
      <pivotArea outline="0" collapsedLevelsAreSubtotals="1" fieldPosition="0"/>
    </format>
    <format dxfId="542">
      <pivotArea field="-2" type="button" dataOnly="0" labelOnly="1" outline="0" axis="axisRow" fieldPosition="0"/>
    </format>
    <format dxfId="541">
      <pivotArea dataOnly="0" labelOnly="1" outline="0" fieldPosition="0">
        <references count="1">
          <reference field="4294967294" count="2">
            <x v="0"/>
            <x v="1"/>
          </reference>
        </references>
      </pivotArea>
    </format>
    <format dxfId="540">
      <pivotArea dataOnly="0" labelOnly="1" grandCol="1" outline="0" axis="axisCol" fieldPosition="0"/>
    </format>
    <format dxfId="539">
      <pivotArea type="all" dataOnly="0" outline="0" fieldPosition="0"/>
    </format>
    <format dxfId="538">
      <pivotArea outline="0" collapsedLevelsAreSubtotals="1" fieldPosition="0"/>
    </format>
    <format dxfId="537">
      <pivotArea field="-2" type="button" dataOnly="0" labelOnly="1" outline="0" axis="axisRow" fieldPosition="0"/>
    </format>
    <format dxfId="536">
      <pivotArea dataOnly="0" labelOnly="1" outline="0" fieldPosition="0">
        <references count="1">
          <reference field="4294967294" count="2">
            <x v="0"/>
            <x v="1"/>
          </reference>
        </references>
      </pivotArea>
    </format>
    <format dxfId="535">
      <pivotArea dataOnly="0" labelOnly="1" grandCol="1" outline="0" axis="axisCol" fieldPosition="0"/>
    </format>
  </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AD7E7D-EA03-491B-ABCF-59AB60648534}" name="TablaDinámica1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I34:J37" firstHeaderRow="1" firstDataRow="1" firstDataCol="1"/>
  <pivotFields count="49">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numFmtId="165" showAll="0"/>
    <pivotField showAll="0"/>
    <pivotField numFmtId="2" showAll="0"/>
    <pivotField dataField="1" numFmtId="2" showAll="0"/>
    <pivotField showAll="0"/>
    <pivotField showAll="0"/>
    <pivotField showAll="0"/>
    <pivotField showAll="0"/>
    <pivotField showAll="0"/>
    <pivotField axis="axisRow" showAll="0">
      <items count="6">
        <item x="1"/>
        <item x="0"/>
        <item m="1" x="4"/>
        <item m="1" x="3"/>
        <item m="1" x="2"/>
        <item t="default"/>
      </items>
    </pivotField>
  </pivotFields>
  <rowFields count="1">
    <field x="48"/>
  </rowFields>
  <rowItems count="3">
    <i>
      <x/>
    </i>
    <i>
      <x v="1"/>
    </i>
    <i t="grand">
      <x/>
    </i>
  </rowItems>
  <colItems count="1">
    <i/>
  </colItems>
  <dataFields count="1">
    <dataField name="Suma de Liquido total" fld="42"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FC5169-273B-41A3-9A17-BC4A15C00EB9}" name="TablaDinámica1" cacheId="2" applyNumberFormats="0" applyBorderFormats="0" applyFontFormats="0" applyPatternFormats="0" applyAlignmentFormats="0" applyWidthHeightFormats="1" dataCaption="Valores" updatedVersion="8" minRefreshableVersion="3" itemPrintTitles="1" createdVersion="8" indent="0" outline="1" outlineData="1" multipleFieldFilters="0">
  <location ref="B6:C9" firstHeaderRow="1" firstDataRow="1" firstDataCol="1"/>
  <pivotFields count="49">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numFmtId="2"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Suma de Valor previsão de folha" fld="41" baseField="0" baseItem="0" numFmtId="165"/>
  </dataFields>
  <formats count="14">
    <format dxfId="565">
      <pivotArea outline="0" collapsedLevelsAreSubtotals="1" fieldPosition="0"/>
    </format>
    <format dxfId="564">
      <pivotArea dataOnly="0" outline="0" axis="axisValues" fieldPosition="0"/>
    </format>
    <format dxfId="563">
      <pivotArea type="all" dataOnly="0" outline="0" fieldPosition="0"/>
    </format>
    <format dxfId="562">
      <pivotArea outline="0" collapsedLevelsAreSubtotals="1" fieldPosition="0"/>
    </format>
    <format dxfId="561">
      <pivotArea field="1" type="button" dataOnly="0" labelOnly="1" outline="0" axis="axisRow" fieldPosition="0"/>
    </format>
    <format dxfId="560">
      <pivotArea dataOnly="0" labelOnly="1" fieldPosition="0">
        <references count="1">
          <reference field="1" count="0"/>
        </references>
      </pivotArea>
    </format>
    <format dxfId="559">
      <pivotArea dataOnly="0" labelOnly="1" grandRow="1" outline="0" fieldPosition="0"/>
    </format>
    <format dxfId="558">
      <pivotArea dataOnly="0" labelOnly="1" outline="0" axis="axisValues" fieldPosition="0"/>
    </format>
    <format dxfId="557">
      <pivotArea type="all" dataOnly="0" outline="0" fieldPosition="0"/>
    </format>
    <format dxfId="556">
      <pivotArea outline="0" collapsedLevelsAreSubtotals="1" fieldPosition="0"/>
    </format>
    <format dxfId="555">
      <pivotArea field="1" type="button" dataOnly="0" labelOnly="1" outline="0" axis="axisRow" fieldPosition="0"/>
    </format>
    <format dxfId="554">
      <pivotArea dataOnly="0" labelOnly="1" fieldPosition="0">
        <references count="1">
          <reference field="1" count="0"/>
        </references>
      </pivotArea>
    </format>
    <format dxfId="553">
      <pivotArea dataOnly="0" labelOnly="1" grandRow="1" outline="0" fieldPosition="0"/>
    </format>
    <format dxfId="552">
      <pivotArea dataOnly="0" labelOnly="1" outline="0" axis="axisValues" fieldPosition="0"/>
    </format>
  </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10BD49-300D-4DEF-BE1D-22533A848529}" name="TablaDinámica15"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13:B14" firstHeaderRow="1" firstDataRow="1" firstDataCol="0"/>
  <pivotFields count="49">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numFmtId="165" showAll="0"/>
    <pivotField showAll="0"/>
    <pivotField numFmtId="2" showAll="0"/>
    <pivotField numFmtId="2" showAll="0"/>
    <pivotField showAll="0"/>
    <pivotField showAll="0"/>
    <pivotField showAll="0"/>
    <pivotField showAll="0"/>
    <pivotField showAll="0"/>
    <pivotField showAll="0"/>
  </pivotFields>
  <rowItems count="1">
    <i/>
  </rowItems>
  <colItems count="1">
    <i/>
  </colItems>
  <dataFields count="1">
    <dataField name="Cuenta de Colaborador" fld="10" subtotal="count" baseField="0" baseItem="0"/>
  </dataField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ABFDB5-666D-40D2-896A-B9F634BD5752}" name="TablaDinámica18" cacheId="2" dataOnRows="1" applyNumberFormats="0" applyBorderFormats="0" applyFontFormats="0" applyPatternFormats="0" applyAlignmentFormats="0" applyWidthHeightFormats="1" dataCaption="Valores" updatedVersion="8" minRefreshableVersion="3" preserveFormatting="0" itemPrintTitles="1" createdVersion="8" indent="0" outline="1" outlineData="1" multipleFieldFilters="0">
  <location ref="E26:F31" firstHeaderRow="1" firstDataRow="1" firstDataCol="1"/>
  <pivotFields count="4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dataField="1" showAll="0"/>
    <pivotField dataField="1" showAll="0"/>
    <pivotField showAll="0"/>
    <pivotField showAll="0"/>
    <pivotField showAll="0"/>
    <pivotField showAll="0"/>
    <pivotField showAll="0"/>
    <pivotField showAll="0"/>
    <pivotField showAll="0"/>
    <pivotField dataField="1" showAll="0"/>
    <pivotField dataField="1" showAll="0"/>
    <pivotField showAll="0"/>
    <pivotField numFmtId="2" showAll="0"/>
    <pivotField numFmtId="2" showAll="0"/>
    <pivotField showAll="0"/>
    <pivotField showAll="0"/>
    <pivotField showAll="0"/>
    <pivotField showAll="0"/>
    <pivotField showAll="0"/>
    <pivotField showAll="0"/>
  </pivotFields>
  <rowFields count="1">
    <field x="-2"/>
  </rowFields>
  <rowItems count="5">
    <i>
      <x/>
    </i>
    <i i="1">
      <x v="1"/>
    </i>
    <i i="2">
      <x v="2"/>
    </i>
    <i i="3">
      <x v="3"/>
    </i>
    <i i="4">
      <x v="4"/>
    </i>
  </rowItems>
  <colItems count="1">
    <i/>
  </colItems>
  <dataFields count="5">
    <dataField name="Suma de Imposto ss" fld="28" baseField="0" baseItem="0" numFmtId="165"/>
    <dataField name="Suma de Adiantamento" fld="29" baseField="0" baseItem="0" numFmtId="165"/>
    <dataField name="Suma de Desconto Carro" fld="30" baseField="0" baseItem="0"/>
    <dataField name="Suma de Outros  descontos" fld="38" baseField="0" baseItem="0"/>
    <dataField name="Suma de Taxa bancária" fld="39" baseField="0" baseItem="0"/>
  </dataField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F3126A-302E-4170-98E6-8BF2ADDCF0D4}" name="TablaDinámica19"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P12:P13" firstHeaderRow="1" firstDataRow="1" firstDataCol="0"/>
  <pivotFields count="49">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numFmtId="165" showAll="0"/>
    <pivotField showAll="0"/>
    <pivotField numFmtId="165" showAll="0"/>
    <pivotField numFmtId="2" showAll="0"/>
    <pivotField showAll="0"/>
    <pivotField showAll="0"/>
    <pivotField showAll="0"/>
    <pivotField showAll="0"/>
    <pivotField showAll="0"/>
    <pivotField showAll="0"/>
  </pivotFields>
  <rowItems count="1">
    <i/>
  </rowItems>
  <colItems count="1">
    <i/>
  </colItems>
  <dataFields count="1">
    <dataField name="Cuenta de Colaborador" fld="10" subtotal="count" baseField="0" baseItem="0"/>
  </dataField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59BEA3-D357-42BD-981B-B6650BB30F73}" name="TablaDinámica12"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34:C36" firstHeaderRow="1" firstDataRow="1" firstDataCol="1"/>
  <pivotFields count="49">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numFmtId="165" showAll="0"/>
    <pivotField showAll="0"/>
    <pivotField numFmtId="2" showAll="0"/>
    <pivotField dataField="1" numFmtId="2" showAll="0"/>
    <pivotField showAll="0"/>
    <pivotField showAll="0"/>
    <pivotField showAll="0"/>
    <pivotField showAll="0"/>
    <pivotField showAll="0"/>
    <pivotField axis="axisRow" showAll="0">
      <items count="5">
        <item x="0"/>
        <item m="1" x="2"/>
        <item m="1" x="3"/>
        <item m="1" x="1"/>
        <item t="default"/>
      </items>
    </pivotField>
  </pivotFields>
  <rowFields count="1">
    <field x="48"/>
  </rowFields>
  <rowItems count="2">
    <i>
      <x/>
    </i>
    <i t="grand">
      <x/>
    </i>
  </rowItems>
  <colItems count="1">
    <i/>
  </colItems>
  <dataFields count="1">
    <dataField name="Suma de Liquido total" fld="42"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A51D6A-D819-4C51-B4B2-A7C1115A872F}" name="TablaDinámica4" cacheId="3" applyNumberFormats="0" applyBorderFormats="0" applyFontFormats="0" applyPatternFormats="0" applyAlignmentFormats="0" applyWidthHeightFormats="1" dataCaption="Valores" updatedVersion="8" minRefreshableVersion="3" itemPrintTitles="1" createdVersion="8" indent="0" outline="1" outlineData="1" multipleFieldFilters="0">
  <location ref="S6:T9" firstHeaderRow="1" firstDataRow="1" firstDataCol="1"/>
  <pivotFields count="49">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numFmtId="165" showAll="0"/>
    <pivotField showAll="0"/>
    <pivotField numFmtId="165" showAll="0"/>
    <pivotField dataField="1" numFmtId="2"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Suma de Liquido total" fld="42" baseField="0" baseItem="0" numFmtId="165"/>
  </dataFields>
  <formats count="20">
    <format dxfId="585">
      <pivotArea type="all" dataOnly="0" outline="0" fieldPosition="0"/>
    </format>
    <format dxfId="584">
      <pivotArea outline="0" collapsedLevelsAreSubtotals="1" fieldPosition="0"/>
    </format>
    <format dxfId="583">
      <pivotArea field="1" type="button" dataOnly="0" labelOnly="1" outline="0" axis="axisRow" fieldPosition="0"/>
    </format>
    <format dxfId="582">
      <pivotArea dataOnly="0" labelOnly="1" fieldPosition="0">
        <references count="1">
          <reference field="1" count="0"/>
        </references>
      </pivotArea>
    </format>
    <format dxfId="581">
      <pivotArea dataOnly="0" labelOnly="1" grandRow="1" outline="0" fieldPosition="0"/>
    </format>
    <format dxfId="580">
      <pivotArea dataOnly="0" labelOnly="1" outline="0" axis="axisValues" fieldPosition="0"/>
    </format>
    <format dxfId="579">
      <pivotArea type="all" dataOnly="0" outline="0" fieldPosition="0"/>
    </format>
    <format dxfId="578">
      <pivotArea outline="0" collapsedLevelsAreSubtotals="1" fieldPosition="0"/>
    </format>
    <format dxfId="577">
      <pivotArea field="1" type="button" dataOnly="0" labelOnly="1" outline="0" axis="axisRow" fieldPosition="0"/>
    </format>
    <format dxfId="576">
      <pivotArea dataOnly="0" labelOnly="1" fieldPosition="0">
        <references count="1">
          <reference field="1" count="0"/>
        </references>
      </pivotArea>
    </format>
    <format dxfId="575">
      <pivotArea dataOnly="0" labelOnly="1" grandRow="1" outline="0" fieldPosition="0"/>
    </format>
    <format dxfId="574">
      <pivotArea dataOnly="0" labelOnly="1" outline="0" axis="axisValues" fieldPosition="0"/>
    </format>
    <format dxfId="573">
      <pivotArea outline="0" collapsedLevelsAreSubtotals="1" fieldPosition="0"/>
    </format>
    <format dxfId="572">
      <pivotArea type="all" dataOnly="0" outline="0" fieldPosition="0"/>
    </format>
    <format dxfId="571">
      <pivotArea outline="0" collapsedLevelsAreSubtotals="1" fieldPosition="0"/>
    </format>
    <format dxfId="570">
      <pivotArea field="1" type="button" dataOnly="0" labelOnly="1" outline="0" axis="axisRow" fieldPosition="0"/>
    </format>
    <format dxfId="569">
      <pivotArea dataOnly="0" labelOnly="1" fieldPosition="0">
        <references count="1">
          <reference field="1" count="0"/>
        </references>
      </pivotArea>
    </format>
    <format dxfId="568">
      <pivotArea dataOnly="0" labelOnly="1" grandRow="1" outline="0" fieldPosition="0"/>
    </format>
    <format dxfId="567">
      <pivotArea dataOnly="0" labelOnly="1" outline="0" axis="axisValues" fieldPosition="0"/>
    </format>
    <format dxfId="566">
      <pivotArea dataOnly="0" labelOnly="1" outline="0" axis="axisValues" fieldPosition="0"/>
    </format>
  </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9C39F5-6C74-4760-92C8-8E95C81A3F11}" name="TablaDinámica9" cacheId="2" applyNumberFormats="0" applyBorderFormats="0" applyFontFormats="0" applyPatternFormats="0" applyAlignmentFormats="0" applyWidthHeightFormats="1" dataCaption="Valores" updatedVersion="8" minRefreshableVersion="3" itemPrintTitles="1" createdVersion="8" indent="0" outline="1" outlineData="1" multipleFieldFilters="0">
  <location ref="E6:F9" firstHeaderRow="1" firstDataRow="1" firstDataCol="1"/>
  <pivotFields count="49">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dataField="1" numFmtId="2"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Suma de Liquido total" fld="42" baseField="0" baseItem="0" numFmtId="165"/>
  </dataFields>
  <formats count="40">
    <format dxfId="625">
      <pivotArea outline="0" collapsedLevelsAreSubtotals="1" fieldPosition="0"/>
    </format>
    <format dxfId="624">
      <pivotArea field="1" type="button" dataOnly="0" labelOnly="1" outline="0" axis="axisRow" fieldPosition="0"/>
    </format>
    <format dxfId="623">
      <pivotArea dataOnly="0" labelOnly="1" outline="0" axis="axisValues" fieldPosition="0"/>
    </format>
    <format dxfId="622">
      <pivotArea field="1" type="button" dataOnly="0" labelOnly="1" outline="0" axis="axisRow" fieldPosition="0"/>
    </format>
    <format dxfId="621">
      <pivotArea dataOnly="0" labelOnly="1" outline="0" axis="axisValues" fieldPosition="0"/>
    </format>
    <format dxfId="620">
      <pivotArea field="1" type="button" dataOnly="0" labelOnly="1" outline="0" axis="axisRow" fieldPosition="0"/>
    </format>
    <format dxfId="619">
      <pivotArea dataOnly="0" labelOnly="1" outline="0" axis="axisValues" fieldPosition="0"/>
    </format>
    <format dxfId="618">
      <pivotArea type="all" dataOnly="0" outline="0" fieldPosition="0"/>
    </format>
    <format dxfId="617">
      <pivotArea outline="0" collapsedLevelsAreSubtotals="1" fieldPosition="0"/>
    </format>
    <format dxfId="616">
      <pivotArea field="1" type="button" dataOnly="0" labelOnly="1" outline="0" axis="axisRow" fieldPosition="0"/>
    </format>
    <format dxfId="615">
      <pivotArea dataOnly="0" labelOnly="1" fieldPosition="0">
        <references count="1">
          <reference field="1" count="0"/>
        </references>
      </pivotArea>
    </format>
    <format dxfId="614">
      <pivotArea dataOnly="0" labelOnly="1" grandRow="1" outline="0" fieldPosition="0"/>
    </format>
    <format dxfId="613">
      <pivotArea dataOnly="0" labelOnly="1" outline="0" axis="axisValues" fieldPosition="0"/>
    </format>
    <format dxfId="612">
      <pivotArea type="all" dataOnly="0" outline="0" fieldPosition="0"/>
    </format>
    <format dxfId="611">
      <pivotArea outline="0" collapsedLevelsAreSubtotals="1" fieldPosition="0"/>
    </format>
    <format dxfId="610">
      <pivotArea field="1" type="button" dataOnly="0" labelOnly="1" outline="0" axis="axisRow" fieldPosition="0"/>
    </format>
    <format dxfId="609">
      <pivotArea dataOnly="0" labelOnly="1" fieldPosition="0">
        <references count="1">
          <reference field="1" count="0"/>
        </references>
      </pivotArea>
    </format>
    <format dxfId="608">
      <pivotArea dataOnly="0" labelOnly="1" grandRow="1" outline="0" fieldPosition="0"/>
    </format>
    <format dxfId="607">
      <pivotArea dataOnly="0" labelOnly="1" outline="0" axis="axisValues" fieldPosition="0"/>
    </format>
    <format dxfId="606">
      <pivotArea field="1" type="button" dataOnly="0" labelOnly="1" outline="0" axis="axisRow" fieldPosition="0"/>
    </format>
    <format dxfId="605">
      <pivotArea dataOnly="0" labelOnly="1" outline="0" axis="axisValues" fieldPosition="0"/>
    </format>
    <format dxfId="604">
      <pivotArea type="all" dataOnly="0" outline="0" fieldPosition="0"/>
    </format>
    <format dxfId="603">
      <pivotArea outline="0" collapsedLevelsAreSubtotals="1" fieldPosition="0"/>
    </format>
    <format dxfId="602">
      <pivotArea field="1" type="button" dataOnly="0" labelOnly="1" outline="0" axis="axisRow" fieldPosition="0"/>
    </format>
    <format dxfId="601">
      <pivotArea dataOnly="0" labelOnly="1" fieldPosition="0">
        <references count="1">
          <reference field="1" count="0"/>
        </references>
      </pivotArea>
    </format>
    <format dxfId="600">
      <pivotArea dataOnly="0" labelOnly="1" grandRow="1" outline="0" fieldPosition="0"/>
    </format>
    <format dxfId="599">
      <pivotArea dataOnly="0" labelOnly="1" outline="0" axis="axisValues" fieldPosition="0"/>
    </format>
    <format dxfId="598">
      <pivotArea field="1" type="button" dataOnly="0" labelOnly="1" outline="0" axis="axisRow" fieldPosition="0"/>
    </format>
    <format dxfId="597">
      <pivotArea type="all" dataOnly="0" outline="0" fieldPosition="0"/>
    </format>
    <format dxfId="596">
      <pivotArea outline="0" collapsedLevelsAreSubtotals="1" fieldPosition="0"/>
    </format>
    <format dxfId="595">
      <pivotArea field="1" type="button" dataOnly="0" labelOnly="1" outline="0" axis="axisRow" fieldPosition="0"/>
    </format>
    <format dxfId="594">
      <pivotArea dataOnly="0" labelOnly="1" fieldPosition="0">
        <references count="1">
          <reference field="1" count="0"/>
        </references>
      </pivotArea>
    </format>
    <format dxfId="593">
      <pivotArea dataOnly="0" labelOnly="1" grandRow="1" outline="0" fieldPosition="0"/>
    </format>
    <format dxfId="592">
      <pivotArea dataOnly="0" labelOnly="1" outline="0" axis="axisValues" fieldPosition="0"/>
    </format>
    <format dxfId="591">
      <pivotArea type="all" dataOnly="0" outline="0" fieldPosition="0"/>
    </format>
    <format dxfId="590">
      <pivotArea outline="0" collapsedLevelsAreSubtotals="1" fieldPosition="0"/>
    </format>
    <format dxfId="589">
      <pivotArea field="1" type="button" dataOnly="0" labelOnly="1" outline="0" axis="axisRow" fieldPosition="0"/>
    </format>
    <format dxfId="588">
      <pivotArea dataOnly="0" labelOnly="1" fieldPosition="0">
        <references count="1">
          <reference field="1" count="0"/>
        </references>
      </pivotArea>
    </format>
    <format dxfId="587">
      <pivotArea dataOnly="0" labelOnly="1" grandRow="1" outline="0" fieldPosition="0"/>
    </format>
    <format dxfId="586">
      <pivotArea dataOnly="0" labelOnly="1" outline="0" axis="axisValues" fieldPosition="0"/>
    </format>
  </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D368D4-EF4C-417E-9C74-439E8F8BEA3B}" name="TablaDinámica8" cacheId="3"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10">
  <location ref="P20:Q23" firstHeaderRow="1" firstDataRow="1" firstDataCol="1"/>
  <pivotFields count="49">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numFmtId="165" showAll="0"/>
    <pivotField showAll="0"/>
    <pivotField numFmtId="165" showAll="0"/>
    <pivotField numFmtId="2"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uenta de Status SS" fld="1" subtotal="count" baseField="0" baseItem="0"/>
  </dataFields>
  <formats count="20">
    <format dxfId="645">
      <pivotArea type="all" dataOnly="0" outline="0" fieldPosition="0"/>
    </format>
    <format dxfId="644">
      <pivotArea outline="0" collapsedLevelsAreSubtotals="1" fieldPosition="0"/>
    </format>
    <format dxfId="643">
      <pivotArea field="1" type="button" dataOnly="0" labelOnly="1" outline="0" axis="axisRow" fieldPosition="0"/>
    </format>
    <format dxfId="642">
      <pivotArea dataOnly="0" labelOnly="1" fieldPosition="0">
        <references count="1">
          <reference field="1" count="0"/>
        </references>
      </pivotArea>
    </format>
    <format dxfId="641">
      <pivotArea dataOnly="0" labelOnly="1" grandRow="1" outline="0" fieldPosition="0"/>
    </format>
    <format dxfId="640">
      <pivotArea dataOnly="0" labelOnly="1" outline="0" axis="axisValues" fieldPosition="0"/>
    </format>
    <format dxfId="639">
      <pivotArea type="all" dataOnly="0" outline="0" fieldPosition="0"/>
    </format>
    <format dxfId="638">
      <pivotArea outline="0" collapsedLevelsAreSubtotals="1" fieldPosition="0"/>
    </format>
    <format dxfId="637">
      <pivotArea field="1" type="button" dataOnly="0" labelOnly="1" outline="0" axis="axisRow" fieldPosition="0"/>
    </format>
    <format dxfId="636">
      <pivotArea dataOnly="0" labelOnly="1" fieldPosition="0">
        <references count="1">
          <reference field="1" count="0"/>
        </references>
      </pivotArea>
    </format>
    <format dxfId="635">
      <pivotArea dataOnly="0" labelOnly="1" grandRow="1" outline="0" fieldPosition="0"/>
    </format>
    <format dxfId="634">
      <pivotArea dataOnly="0" labelOnly="1" outline="0" axis="axisValues" fieldPosition="0"/>
    </format>
    <format dxfId="633">
      <pivotArea type="all" dataOnly="0" outline="0" fieldPosition="0"/>
    </format>
    <format dxfId="632">
      <pivotArea outline="0" collapsedLevelsAreSubtotals="1" fieldPosition="0"/>
    </format>
    <format dxfId="631">
      <pivotArea field="1" type="button" dataOnly="0" labelOnly="1" outline="0" axis="axisRow" fieldPosition="0"/>
    </format>
    <format dxfId="630">
      <pivotArea dataOnly="0" labelOnly="1" fieldPosition="0">
        <references count="1">
          <reference field="1" count="0"/>
        </references>
      </pivotArea>
    </format>
    <format dxfId="629">
      <pivotArea dataOnly="0" labelOnly="1" grandRow="1" outline="0" fieldPosition="0"/>
    </format>
    <format dxfId="628">
      <pivotArea dataOnly="0" labelOnly="1" outline="0" axis="axisValues" fieldPosition="0"/>
    </format>
    <format dxfId="627">
      <pivotArea dataOnly="0" labelOnly="1" outline="0" axis="axisValues" fieldPosition="0"/>
    </format>
    <format dxfId="626">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698404-2045-477E-9697-914080579ECB}" name="TablaDinámica14" cacheId="2"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13">
  <location ref="B20:C23" firstHeaderRow="1" firstDataRow="1" firstDataCol="1"/>
  <pivotFields count="49">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uenta de Status SS" fld="1" subtotal="count" baseField="0" baseItem="0"/>
  </dataFields>
  <formats count="14">
    <format dxfId="659">
      <pivotArea outline="0" collapsedLevelsAreSubtotals="1" fieldPosition="0"/>
    </format>
    <format dxfId="658">
      <pivotArea dataOnly="0" labelOnly="1" outline="0" axis="axisValues" fieldPosition="0"/>
    </format>
    <format dxfId="657">
      <pivotArea type="all" dataOnly="0" outline="0" fieldPosition="0"/>
    </format>
    <format dxfId="656">
      <pivotArea outline="0" collapsedLevelsAreSubtotals="1" fieldPosition="0"/>
    </format>
    <format dxfId="655">
      <pivotArea field="1" type="button" dataOnly="0" labelOnly="1" outline="0" axis="axisRow" fieldPosition="0"/>
    </format>
    <format dxfId="654">
      <pivotArea dataOnly="0" labelOnly="1" fieldPosition="0">
        <references count="1">
          <reference field="1" count="0"/>
        </references>
      </pivotArea>
    </format>
    <format dxfId="653">
      <pivotArea dataOnly="0" labelOnly="1" grandRow="1" outline="0" fieldPosition="0"/>
    </format>
    <format dxfId="652">
      <pivotArea dataOnly="0" labelOnly="1" outline="0" axis="axisValues" fieldPosition="0"/>
    </format>
    <format dxfId="651">
      <pivotArea type="all" dataOnly="0" outline="0" fieldPosition="0"/>
    </format>
    <format dxfId="650">
      <pivotArea outline="0" collapsedLevelsAreSubtotals="1" fieldPosition="0"/>
    </format>
    <format dxfId="649">
      <pivotArea field="1" type="button" dataOnly="0" labelOnly="1" outline="0" axis="axisRow" fieldPosition="0"/>
    </format>
    <format dxfId="648">
      <pivotArea dataOnly="0" labelOnly="1" fieldPosition="0">
        <references count="1">
          <reference field="1" count="0"/>
        </references>
      </pivotArea>
    </format>
    <format dxfId="647">
      <pivotArea dataOnly="0" labelOnly="1" grandRow="1" outline="0" fieldPosition="0"/>
    </format>
    <format dxfId="646">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0368489-AF64-4CD7-866D-2FFC4B6D1F9F}" name="TablaDinámica7" cacheId="0"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9">
  <location ref="I20:J23" firstHeaderRow="1" firstDataRow="1" firstDataCol="1"/>
  <pivotFields count="49">
    <pivotField showAll="0"/>
    <pivotField axis="axisRow" dataField="1" showAll="0">
      <items count="4">
        <item x="0"/>
        <item x="1"/>
        <item m="1" x="2"/>
        <item t="default"/>
      </items>
    </pivotField>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uenta de Status SS" fld="1" subtotal="count" baseField="0" baseItem="0"/>
  </dataFields>
  <formats count="20">
    <format dxfId="679">
      <pivotArea type="all" dataOnly="0" outline="0" fieldPosition="0"/>
    </format>
    <format dxfId="678">
      <pivotArea outline="0" collapsedLevelsAreSubtotals="1" fieldPosition="0"/>
    </format>
    <format dxfId="677">
      <pivotArea field="1" type="button" dataOnly="0" labelOnly="1" outline="0" axis="axisRow" fieldPosition="0"/>
    </format>
    <format dxfId="676">
      <pivotArea dataOnly="0" labelOnly="1" fieldPosition="0">
        <references count="1">
          <reference field="1" count="0"/>
        </references>
      </pivotArea>
    </format>
    <format dxfId="675">
      <pivotArea dataOnly="0" labelOnly="1" grandRow="1" outline="0" fieldPosition="0"/>
    </format>
    <format dxfId="674">
      <pivotArea dataOnly="0" labelOnly="1" outline="0" axis="axisValues" fieldPosition="0"/>
    </format>
    <format dxfId="673">
      <pivotArea dataOnly="0" labelOnly="1" outline="0" axis="axisValues" fieldPosition="0"/>
    </format>
    <format dxfId="672">
      <pivotArea type="all" dataOnly="0" outline="0" fieldPosition="0"/>
    </format>
    <format dxfId="671">
      <pivotArea outline="0" collapsedLevelsAreSubtotals="1" fieldPosition="0"/>
    </format>
    <format dxfId="670">
      <pivotArea field="1" type="button" dataOnly="0" labelOnly="1" outline="0" axis="axisRow" fieldPosition="0"/>
    </format>
    <format dxfId="669">
      <pivotArea dataOnly="0" labelOnly="1" fieldPosition="0">
        <references count="1">
          <reference field="1" count="0"/>
        </references>
      </pivotArea>
    </format>
    <format dxfId="668">
      <pivotArea dataOnly="0" labelOnly="1" grandRow="1" outline="0" fieldPosition="0"/>
    </format>
    <format dxfId="667">
      <pivotArea dataOnly="0" labelOnly="1" outline="0" axis="axisValues" fieldPosition="0"/>
    </format>
    <format dxfId="666">
      <pivotArea type="all" dataOnly="0" outline="0" fieldPosition="0"/>
    </format>
    <format dxfId="665">
      <pivotArea outline="0" collapsedLevelsAreSubtotals="1" fieldPosition="0"/>
    </format>
    <format dxfId="664">
      <pivotArea field="1" type="button" dataOnly="0" labelOnly="1" outline="0" axis="axisRow" fieldPosition="0"/>
    </format>
    <format dxfId="663">
      <pivotArea dataOnly="0" labelOnly="1" fieldPosition="0">
        <references count="1">
          <reference field="1" count="0"/>
        </references>
      </pivotArea>
    </format>
    <format dxfId="662">
      <pivotArea dataOnly="0" labelOnly="1" grandRow="1" outline="0" fieldPosition="0"/>
    </format>
    <format dxfId="661">
      <pivotArea dataOnly="0" labelOnly="1" outline="0" axis="axisValues" fieldPosition="0"/>
    </format>
    <format dxfId="660">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C89EC5F-D658-44BC-8414-DE2E844AFBAE}" name="TablaDinámica5" cacheId="1" applyNumberFormats="0" applyBorderFormats="0" applyFontFormats="0" applyPatternFormats="0" applyAlignmentFormats="0" applyWidthHeightFormats="1" dataCaption="Valores" updatedVersion="8" minRefreshableVersion="3" itemPrintTitles="1" createdVersion="8" indent="0" outline="1" outlineData="1" multipleFieldFilters="0">
  <location ref="W6:X9" firstHeaderRow="1" firstDataRow="1" firstDataCol="1"/>
  <pivotFields count="49">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numFmtId="2"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Suma de Valor previsão de folha" fld="41" baseField="0" baseItem="0" numFmtId="165"/>
  </dataFields>
  <formats count="7">
    <format dxfId="686">
      <pivotArea dataOnly="0" labelOnly="1" outline="0" axis="axisValues" fieldPosition="0"/>
    </format>
    <format dxfId="685">
      <pivotArea type="all" dataOnly="0" outline="0" fieldPosition="0"/>
    </format>
    <format dxfId="684">
      <pivotArea outline="0" collapsedLevelsAreSubtotals="1" fieldPosition="0"/>
    </format>
    <format dxfId="683">
      <pivotArea field="1" type="button" dataOnly="0" labelOnly="1" outline="0" axis="axisRow" fieldPosition="0"/>
    </format>
    <format dxfId="682">
      <pivotArea dataOnly="0" labelOnly="1" fieldPosition="0">
        <references count="1">
          <reference field="1" count="0"/>
        </references>
      </pivotArea>
    </format>
    <format dxfId="681">
      <pivotArea dataOnly="0" labelOnly="1" grandRow="1" outline="0" fieldPosition="0"/>
    </format>
    <format dxfId="680">
      <pivotArea dataOnly="0" labelOnly="1" outline="0" axis="axisValues" fieldPosition="0"/>
    </format>
  </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EBA30D5-716B-40EA-91CA-98D39C02F6D1}" name="TablaDinámica20"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I6:J9" firstHeaderRow="1" firstDataRow="1" firstDataCol="1"/>
  <pivotFields count="49">
    <pivotField showAll="0"/>
    <pivotField axis="axisRow" showAll="0">
      <items count="4">
        <item x="0"/>
        <item x="1"/>
        <item m="1" x="2"/>
        <item t="default"/>
      </items>
    </pivotField>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numFmtId="2"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Suma de Valor previsão de folha" fld="41" baseField="0" baseItem="0" numFmtId="2"/>
  </dataFields>
  <formats count="2">
    <format dxfId="688">
      <pivotArea grandRow="1" outline="0" collapsedLevelsAreSubtotals="1" fieldPosition="0"/>
    </format>
    <format dxfId="687">
      <pivotArea field="1" type="button" dataOnly="0" labelOnly="1" outline="0" axis="axisRow" fieldPosition="0"/>
    </format>
  </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420A4D3-A664-494F-B2E3-F77123734791}" name="TablaDinámica16"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I13:I14" firstHeaderRow="1" firstDataRow="1" firstDataCol="0"/>
  <pivotFields count="49">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showAll="0"/>
    <pivotField showAll="0"/>
    <pivotField showAll="0"/>
    <pivotField showAll="0"/>
    <pivotField showAll="0"/>
    <pivotField showAll="0"/>
  </pivotFields>
  <rowItems count="1">
    <i/>
  </rowItems>
  <colItems count="1">
    <i/>
  </colItems>
  <dataFields count="1">
    <dataField name="Cuenta de Colaborador" fld="10" subtotal="count" baseField="0" baseItem="0"/>
  </dataField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367764D-B88A-4F31-BE75-4B313BA5C8AE}" name="TablaDinámica3" cacheId="3" applyNumberFormats="0" applyBorderFormats="0" applyFontFormats="0" applyPatternFormats="0" applyAlignmentFormats="0" applyWidthHeightFormats="1" dataCaption="Valores" updatedVersion="8" minRefreshableVersion="3" itemPrintTitles="1" createdVersion="8" indent="0" outline="1" outlineData="1" multipleFieldFilters="0">
  <location ref="P6:Q9" firstHeaderRow="1" firstDataRow="1" firstDataCol="1"/>
  <pivotFields count="49">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numFmtId="165" showAll="0"/>
    <pivotField showAll="0"/>
    <pivotField dataField="1" numFmtId="165" showAll="0"/>
    <pivotField numFmtId="2"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Suma de Valor previsão de folha" fld="41" baseField="0" baseItem="0" numFmtId="165"/>
  </dataFields>
  <formats count="22">
    <format dxfId="710">
      <pivotArea type="all" dataOnly="0" outline="0" fieldPosition="0"/>
    </format>
    <format dxfId="709">
      <pivotArea outline="0" collapsedLevelsAreSubtotals="1" fieldPosition="0"/>
    </format>
    <format dxfId="708">
      <pivotArea field="1" type="button" dataOnly="0" labelOnly="1" outline="0" axis="axisRow" fieldPosition="0"/>
    </format>
    <format dxfId="707">
      <pivotArea dataOnly="0" labelOnly="1" fieldPosition="0">
        <references count="1">
          <reference field="1" count="0"/>
        </references>
      </pivotArea>
    </format>
    <format dxfId="706">
      <pivotArea dataOnly="0" labelOnly="1" grandRow="1" outline="0" fieldPosition="0"/>
    </format>
    <format dxfId="705">
      <pivotArea dataOnly="0" labelOnly="1" outline="0" axis="axisValues" fieldPosition="0"/>
    </format>
    <format dxfId="704">
      <pivotArea type="all" dataOnly="0" outline="0" fieldPosition="0"/>
    </format>
    <format dxfId="703">
      <pivotArea outline="0" collapsedLevelsAreSubtotals="1" fieldPosition="0"/>
    </format>
    <format dxfId="702">
      <pivotArea field="1" type="button" dataOnly="0" labelOnly="1" outline="0" axis="axisRow" fieldPosition="0"/>
    </format>
    <format dxfId="701">
      <pivotArea dataOnly="0" labelOnly="1" fieldPosition="0">
        <references count="1">
          <reference field="1" count="0"/>
        </references>
      </pivotArea>
    </format>
    <format dxfId="700">
      <pivotArea dataOnly="0" labelOnly="1" grandRow="1" outline="0" fieldPosition="0"/>
    </format>
    <format dxfId="699">
      <pivotArea dataOnly="0" labelOnly="1" outline="0" axis="axisValues" fieldPosition="0"/>
    </format>
    <format dxfId="698">
      <pivotArea type="all" dataOnly="0" outline="0" fieldPosition="0"/>
    </format>
    <format dxfId="697">
      <pivotArea outline="0" collapsedLevelsAreSubtotals="1" fieldPosition="0"/>
    </format>
    <format dxfId="696">
      <pivotArea field="1" type="button" dataOnly="0" labelOnly="1" outline="0" axis="axisRow" fieldPosition="0"/>
    </format>
    <format dxfId="695">
      <pivotArea dataOnly="0" labelOnly="1" fieldPosition="0">
        <references count="1">
          <reference field="1" count="0"/>
        </references>
      </pivotArea>
    </format>
    <format dxfId="694">
      <pivotArea dataOnly="0" labelOnly="1" grandRow="1" outline="0" fieldPosition="0"/>
    </format>
    <format dxfId="693">
      <pivotArea dataOnly="0" labelOnly="1" outline="0" axis="axisValues" fieldPosition="0"/>
    </format>
    <format dxfId="692">
      <pivotArea dataOnly="0" labelOnly="1" outline="0" axis="axisValues" fieldPosition="0"/>
    </format>
    <format dxfId="691">
      <pivotArea field="1" type="button" dataOnly="0" labelOnly="1" outline="0" axis="axisRow" fieldPosition="0"/>
    </format>
    <format dxfId="690">
      <pivotArea dataOnly="0" labelOnly="1" fieldPosition="0">
        <references count="1">
          <reference field="1" count="0"/>
        </references>
      </pivotArea>
    </format>
    <format dxfId="689">
      <pivotArea dataOnly="0" labelOnly="1" grandRow="1" outline="0" fieldPosition="0"/>
    </format>
  </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7B5F4FA-23D5-4219-91BC-28FD49CAD096}" name="TablaDinámica6" cacheId="1" applyNumberFormats="0" applyBorderFormats="0" applyFontFormats="0" applyPatternFormats="0" applyAlignmentFormats="0" applyWidthHeightFormats="1" dataCaption="Valores" updatedVersion="8" minRefreshableVersion="3" itemPrintTitles="1" createdVersion="8" indent="0" outline="1" outlineData="1" multipleFieldFilters="0">
  <location ref="Z6:AA9" firstHeaderRow="1" firstDataRow="1" firstDataCol="1"/>
  <pivotFields count="49">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dataField="1" numFmtId="2"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Suma de Liquido total" fld="42" baseField="0" baseItem="0" numFmtId="165"/>
  </dataFields>
  <formats count="8">
    <format dxfId="718">
      <pivotArea type="all" dataOnly="0" outline="0" fieldPosition="0"/>
    </format>
    <format dxfId="717">
      <pivotArea outline="0" collapsedLevelsAreSubtotals="1" fieldPosition="0"/>
    </format>
    <format dxfId="716">
      <pivotArea field="1" type="button" dataOnly="0" labelOnly="1" outline="0" axis="axisRow" fieldPosition="0"/>
    </format>
    <format dxfId="715">
      <pivotArea dataOnly="0" labelOnly="1" fieldPosition="0">
        <references count="1">
          <reference field="1" count="0"/>
        </references>
      </pivotArea>
    </format>
    <format dxfId="714">
      <pivotArea dataOnly="0" labelOnly="1" grandRow="1" outline="0" fieldPosition="0"/>
    </format>
    <format dxfId="713">
      <pivotArea dataOnly="0" labelOnly="1" outline="0" axis="axisValues" fieldPosition="0"/>
    </format>
    <format dxfId="712">
      <pivotArea dataOnly="0" labelOnly="1" outline="0" axis="axisValues" fieldPosition="0"/>
    </format>
    <format dxfId="711">
      <pivotArea outline="0" collapsedLevelsAreSubtotals="1" fieldPosition="0"/>
    </format>
  </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B604E50-8FF3-4FFA-BA9C-64BE1152B552}" name="TablaDinámica10" cacheId="1"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9">
  <location ref="W20:X23" firstHeaderRow="1" firstDataRow="1" firstDataCol="1"/>
  <pivotFields count="49">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2"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uenta de Status SS" fld="1" subtotal="count" baseField="0" baseItem="0"/>
  </dataFields>
  <formats count="20">
    <format dxfId="738">
      <pivotArea type="all" dataOnly="0" outline="0" fieldPosition="0"/>
    </format>
    <format dxfId="737">
      <pivotArea outline="0" collapsedLevelsAreSubtotals="1" fieldPosition="0"/>
    </format>
    <format dxfId="736">
      <pivotArea field="1" type="button" dataOnly="0" labelOnly="1" outline="0" axis="axisRow" fieldPosition="0"/>
    </format>
    <format dxfId="735">
      <pivotArea dataOnly="0" labelOnly="1" fieldPosition="0">
        <references count="1">
          <reference field="1" count="0"/>
        </references>
      </pivotArea>
    </format>
    <format dxfId="734">
      <pivotArea dataOnly="0" labelOnly="1" grandRow="1" outline="0" fieldPosition="0"/>
    </format>
    <format dxfId="733">
      <pivotArea dataOnly="0" labelOnly="1" outline="0" axis="axisValues" fieldPosition="0"/>
    </format>
    <format dxfId="732">
      <pivotArea type="all" dataOnly="0" outline="0" fieldPosition="0"/>
    </format>
    <format dxfId="731">
      <pivotArea outline="0" collapsedLevelsAreSubtotals="1" fieldPosition="0"/>
    </format>
    <format dxfId="730">
      <pivotArea field="1" type="button" dataOnly="0" labelOnly="1" outline="0" axis="axisRow" fieldPosition="0"/>
    </format>
    <format dxfId="729">
      <pivotArea dataOnly="0" labelOnly="1" fieldPosition="0">
        <references count="1">
          <reference field="1" count="0"/>
        </references>
      </pivotArea>
    </format>
    <format dxfId="728">
      <pivotArea dataOnly="0" labelOnly="1" grandRow="1" outline="0" fieldPosition="0"/>
    </format>
    <format dxfId="727">
      <pivotArea dataOnly="0" labelOnly="1" outline="0" axis="axisValues" fieldPosition="0"/>
    </format>
    <format dxfId="726">
      <pivotArea type="all" dataOnly="0" outline="0" fieldPosition="0"/>
    </format>
    <format dxfId="725">
      <pivotArea outline="0" collapsedLevelsAreSubtotals="1" fieldPosition="0"/>
    </format>
    <format dxfId="724">
      <pivotArea field="1" type="button" dataOnly="0" labelOnly="1" outline="0" axis="axisRow" fieldPosition="0"/>
    </format>
    <format dxfId="723">
      <pivotArea dataOnly="0" labelOnly="1" fieldPosition="0">
        <references count="1">
          <reference field="1" count="0"/>
        </references>
      </pivotArea>
    </format>
    <format dxfId="722">
      <pivotArea dataOnly="0" labelOnly="1" grandRow="1" outline="0" fieldPosition="0"/>
    </format>
    <format dxfId="721">
      <pivotArea dataOnly="0" labelOnly="1" outline="0" axis="axisValues" fieldPosition="0"/>
    </format>
    <format dxfId="720">
      <pivotArea outline="0" collapsedLevelsAreSubtotals="1" fieldPosition="0"/>
    </format>
    <format dxfId="719">
      <pivotArea dataOnly="0" labelOnly="1" outline="0" axis="axisValues" fieldPosition="0"/>
    </format>
  </formats>
  <chartFormats count="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08FBE4A-72CC-4BA7-A6F7-269CC2E90AA6}" name="TablaDinámica2" cacheId="0" applyNumberFormats="0" applyBorderFormats="0" applyFontFormats="0" applyPatternFormats="0" applyAlignmentFormats="0" applyWidthHeightFormats="1" dataCaption="Valores" updatedVersion="8" minRefreshableVersion="3" itemPrintTitles="1" createdVersion="8" indent="0" outline="1" outlineData="1" multipleFieldFilters="0">
  <location ref="L6:M9" firstHeaderRow="1" firstDataRow="1" firstDataCol="1"/>
  <pivotFields count="49">
    <pivotField showAll="0"/>
    <pivotField axis="axisRow" showAll="0">
      <items count="4">
        <item x="0"/>
        <item x="1"/>
        <item m="1" x="2"/>
        <item t="default"/>
      </items>
    </pivotField>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dataField="1" numFmtId="2"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Suma de Liquido total" fld="42" baseField="0" baseItem="0" numFmtId="165"/>
  </dataFields>
  <formats count="26">
    <format dxfId="764">
      <pivotArea outline="0" collapsedLevelsAreSubtotals="1" fieldPosition="0"/>
    </format>
    <format dxfId="763">
      <pivotArea type="all" dataOnly="0" outline="0" fieldPosition="0"/>
    </format>
    <format dxfId="762">
      <pivotArea outline="0" collapsedLevelsAreSubtotals="1" fieldPosition="0"/>
    </format>
    <format dxfId="761">
      <pivotArea field="1" type="button" dataOnly="0" labelOnly="1" outline="0" axis="axisRow" fieldPosition="0"/>
    </format>
    <format dxfId="760">
      <pivotArea dataOnly="0" labelOnly="1" fieldPosition="0">
        <references count="1">
          <reference field="1" count="0"/>
        </references>
      </pivotArea>
    </format>
    <format dxfId="759">
      <pivotArea dataOnly="0" labelOnly="1" grandRow="1" outline="0" fieldPosition="0"/>
    </format>
    <format dxfId="758">
      <pivotArea dataOnly="0" labelOnly="1" outline="0" axis="axisValues" fieldPosition="0"/>
    </format>
    <format dxfId="757">
      <pivotArea dataOnly="0" labelOnly="1" outline="0" axis="axisValues" fieldPosition="0"/>
    </format>
    <format dxfId="756">
      <pivotArea field="1" type="button" dataOnly="0" labelOnly="1" outline="0" axis="axisRow" fieldPosition="0"/>
    </format>
    <format dxfId="755">
      <pivotArea type="all" dataOnly="0" outline="0" fieldPosition="0"/>
    </format>
    <format dxfId="754">
      <pivotArea outline="0" collapsedLevelsAreSubtotals="1" fieldPosition="0"/>
    </format>
    <format dxfId="753">
      <pivotArea field="1" type="button" dataOnly="0" labelOnly="1" outline="0" axis="axisRow" fieldPosition="0"/>
    </format>
    <format dxfId="752">
      <pivotArea dataOnly="0" labelOnly="1" fieldPosition="0">
        <references count="1">
          <reference field="1" count="0"/>
        </references>
      </pivotArea>
    </format>
    <format dxfId="751">
      <pivotArea dataOnly="0" labelOnly="1" grandRow="1" outline="0" fieldPosition="0"/>
    </format>
    <format dxfId="750">
      <pivotArea dataOnly="0" labelOnly="1" outline="0" axis="axisValues" fieldPosition="0"/>
    </format>
    <format dxfId="749">
      <pivotArea type="all" dataOnly="0" outline="0" fieldPosition="0"/>
    </format>
    <format dxfId="748">
      <pivotArea outline="0" collapsedLevelsAreSubtotals="1" fieldPosition="0"/>
    </format>
    <format dxfId="747">
      <pivotArea dataOnly="0" labelOnly="1" outline="0" axis="axisValues" fieldPosition="0"/>
    </format>
    <format dxfId="746">
      <pivotArea outline="0" collapsedLevelsAreSubtotals="1" fieldPosition="0"/>
    </format>
    <format dxfId="745">
      <pivotArea dataOnly="0" labelOnly="1" outline="0" axis="axisValues" fieldPosition="0"/>
    </format>
    <format dxfId="744">
      <pivotArea type="all" dataOnly="0" outline="0" fieldPosition="0"/>
    </format>
    <format dxfId="743">
      <pivotArea outline="0" collapsedLevelsAreSubtotals="1" fieldPosition="0"/>
    </format>
    <format dxfId="742">
      <pivotArea field="1" type="button" dataOnly="0" labelOnly="1" outline="0" axis="axisRow" fieldPosition="0"/>
    </format>
    <format dxfId="741">
      <pivotArea dataOnly="0" labelOnly="1" fieldPosition="0">
        <references count="1">
          <reference field="1" count="0"/>
        </references>
      </pivotArea>
    </format>
    <format dxfId="740">
      <pivotArea dataOnly="0" labelOnly="1" grandRow="1" outline="0" fieldPosition="0"/>
    </format>
    <format dxfId="739">
      <pivotArea dataOnly="0" labelOnly="1" outline="0" axis="axisValues" fieldPosition="0"/>
    </format>
  </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0342630-5D60-4859-A054-CC82FF9697C8}" name="TablaDinámica17" cacheId="2" dataOnRows="1" applyNumberFormats="0" applyBorderFormats="0" applyFontFormats="0" applyPatternFormats="0" applyAlignmentFormats="0" applyWidthHeightFormats="1" dataCaption="Valores" updatedVersion="8" minRefreshableVersion="3" preserveFormatting="0" itemPrintTitles="1" createdVersion="8" indent="0" outline="1" outlineData="1" multipleFieldFilters="0">
  <location ref="B26:C28" firstHeaderRow="1" firstDataRow="1" firstDataCol="1"/>
  <pivotFields count="4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defaultSubtotal="0"/>
    <pivotField dataField="1"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showAll="0"/>
    <pivotField showAll="0"/>
    <pivotField showAll="0"/>
    <pivotField showAll="0"/>
    <pivotField showAll="0"/>
    <pivotField showAll="0"/>
  </pivotFields>
  <rowFields count="1">
    <field x="-2"/>
  </rowFields>
  <rowItems count="2">
    <i>
      <x/>
    </i>
    <i i="1">
      <x v="1"/>
    </i>
  </rowItems>
  <colItems count="1">
    <i/>
  </colItems>
  <dataFields count="2">
    <dataField name="Suma de Auxilio alojamento" fld="25" baseField="0" baseItem="1"/>
    <dataField name="Suma de Outros acréscimos" fld="26" baseField="0" baseItem="0"/>
  </dataField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F626E0-CE0D-482D-804A-376AFE0BDEFA}"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C6" firstHeaderRow="0" firstDataRow="1" firstDataCol="1"/>
  <pivotFields count="49">
    <pivotField showAll="0"/>
    <pivotField axis="axisRow" dataField="1" showAll="0">
      <items count="4">
        <item x="0"/>
        <item x="1"/>
        <item m="1" x="2"/>
        <item t="default"/>
      </items>
    </pivotField>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numFmtId="165" showAll="0"/>
    <pivotField showAll="0"/>
    <pivotField numFmtId="2" showAll="0"/>
    <pivotField dataField="1" numFmtId="2" showAll="0"/>
    <pivotField showAll="0"/>
    <pivotField showAll="0"/>
    <pivotField showAll="0"/>
    <pivotField showAll="0"/>
    <pivotField showAll="0"/>
    <pivotField showAll="0"/>
  </pivotFields>
  <rowFields count="1">
    <field x="1"/>
  </rowFields>
  <rowItems count="3">
    <i>
      <x/>
    </i>
    <i>
      <x v="1"/>
    </i>
    <i t="grand">
      <x/>
    </i>
  </rowItems>
  <colFields count="1">
    <field x="-2"/>
  </colFields>
  <colItems count="2">
    <i>
      <x/>
    </i>
    <i i="1">
      <x v="1"/>
    </i>
  </colItems>
  <dataFields count="2">
    <dataField name="Suma de Liquido total" fld="42" baseField="0" baseItem="0" numFmtId="165"/>
    <dataField name="Cuenta de Status SS" fld="1" subtotal="count" baseField="0" baseItem="0"/>
  </dataFields>
  <formats count="1">
    <format dxfId="53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5" xr16:uid="{5D832B06-ADD9-45C1-B13B-242C1984A2C9}" autoFormatId="16" applyNumberFormats="0" applyBorderFormats="0" applyFontFormats="0" applyPatternFormats="0" applyAlignmentFormats="0" applyWidthHeightFormats="0">
  <queryTableRefresh nextId="13">
    <queryTableFields count="12">
      <queryTableField id="1" name="Cod_colab" tableColumnId="1"/>
      <queryTableField id="2" name="Id" tableColumnId="2"/>
      <queryTableField id="3" name="Nombre" tableColumnId="3"/>
      <queryTableField id="4" name="Pasaporte" tableColumnId="4"/>
      <queryTableField id="5" name="Movil" tableColumnId="5"/>
      <queryTableField id="6" name="StatusSeguridad" tableColumnId="6"/>
      <queryTableField id="7" name="FechaAlta" tableColumnId="7"/>
      <queryTableField id="8" name="FechaBaja" tableColumnId="8"/>
      <queryTableField id="9" name="FechaInicio" tableColumnId="9"/>
      <queryTableField id="10" name="FechaFinPedido" tableColumnId="10"/>
      <queryTableField id="11" name="FechaSalidaTrabajador" tableColumnId="11"/>
      <queryTableField id="12" name="Contratante"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8" xr16:uid="{2C1BA6C9-1F9B-4B0E-9EDF-2057F60862FC}" autoFormatId="16" applyNumberFormats="0" applyBorderFormats="0" applyFontFormats="0" applyPatternFormats="0" applyAlignmentFormats="0" applyWidthHeightFormats="0">
  <queryTableRefresh nextId="13">
    <queryTableFields count="12">
      <queryTableField id="1" name="Cliente" tableColumnId="1"/>
      <queryTableField id="2" name="Empresa" tableColumnId="2"/>
      <queryTableField id="3" name="Funcion" tableColumnId="3"/>
      <queryTableField id="4" name="COD_colab" tableColumnId="4"/>
      <queryTableField id="5" name="Trabalhador" tableColumnId="5"/>
      <queryTableField id="6" name="Periodo_fat" tableColumnId="6"/>
      <queryTableField id="7" name="Total_Horas" tableColumnId="7"/>
      <queryTableField id="8" name="Dias_lancados" tableColumnId="8"/>
      <queryTableField id="9" name="Soma_qtd_hrs_old" tableColumnId="9"/>
      <queryTableField id="10" name="Soma_Qtd_hrs" tableColumnId="10"/>
      <queryTableField id="11" name="Total_Horas_Ajustado" tableColumnId="11"/>
      <queryTableField id="12" name="Dif_Horas"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1" connectionId="6" xr16:uid="{D962BE81-15F4-426A-B86C-6D55342472AC}" autoFormatId="16" applyNumberFormats="0" applyBorderFormats="0" applyFontFormats="0" applyPatternFormats="0" applyAlignmentFormats="0" applyWidthHeightFormats="0">
  <queryTableRefresh nextId="7">
    <queryTableFields count="6">
      <queryTableField id="1" name="ID" tableColumnId="1"/>
      <queryTableField id="2" name="TRABAJADOR" tableColumnId="2"/>
      <queryTableField id="3" name="IBAN" tableColumnId="3"/>
      <queryTableField id="4" name="BANCO" tableColumnId="4"/>
      <queryTableField id="5" name="FECHA ÚLTIMO CAMBIO" tableColumnId="5"/>
      <queryTableField id="6" name="EMPRESA" tableColumnId="6"/>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Documento contorno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MPRESA" xr10:uid="{9E85289E-FA3B-48FD-AB9F-617EACA019D8}" sourceName="EMPRESA">
  <extLst>
    <x:ext xmlns:x15="http://schemas.microsoft.com/office/spreadsheetml/2010/11/main" uri="{2F2917AC-EB37-4324-AD4E-5DD8C200BD13}">
      <x15:tableSlicerCache tableId="10" column="1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RESA" xr10:uid="{2BF97CB8-2003-4C8F-B667-4BCCDE41248B}" cache="SegmentaciónDeDatos_EMPRESA" caption="EMPRESA" columnCount="2"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BCFBF6C-FC02-49E9-94FA-4DEBCCB1000E}" name="Colaborador_ID" displayName="Colaborador_ID" ref="A1:L1996" tableType="queryTable" totalsRowShown="0">
  <autoFilter ref="A1:L1996" xr:uid="{ABCFBF6C-FC02-49E9-94FA-4DEBCCB1000E}"/>
  <sortState xmlns:xlrd2="http://schemas.microsoft.com/office/spreadsheetml/2017/richdata2" ref="A2:L1996">
    <sortCondition ref="C1:C1996"/>
  </sortState>
  <tableColumns count="12">
    <tableColumn id="1" xr3:uid="{79E6AD06-149D-4BCA-ACBA-65274C7E81AB}" uniqueName="1" name="Cod_colab" queryTableFieldId="1"/>
    <tableColumn id="2" xr3:uid="{B169D5ED-74D1-4F72-8D67-F2EE7F4C3711}" uniqueName="2" name="Id" queryTableFieldId="2"/>
    <tableColumn id="3" xr3:uid="{5501214A-FD33-4C73-ACAE-8FE1ACEE5334}" uniqueName="3" name="Nombre" queryTableFieldId="3"/>
    <tableColumn id="4" xr3:uid="{5E63CC9C-1114-4605-A5FA-1A8D5A1FB1D9}" uniqueName="4" name="Pasaporte" queryTableFieldId="4"/>
    <tableColumn id="5" xr3:uid="{441AF638-C4EC-4475-87A4-C9035C306584}" uniqueName="5" name="Movil" queryTableFieldId="5"/>
    <tableColumn id="6" xr3:uid="{84AD18F0-9D21-474C-901B-F951C38232AE}" uniqueName="6" name="StatusSeguridad" queryTableFieldId="6"/>
    <tableColumn id="7" xr3:uid="{C766A2DB-3131-4FB3-8F58-FB5D2CC84E95}" uniqueName="7" name="FechaAlta" queryTableFieldId="7" dataDxfId="792"/>
    <tableColumn id="8" xr3:uid="{7A3A69EB-3DF7-4B1A-9682-BF632B809CBF}" uniqueName="8" name="FechaBaja" queryTableFieldId="8" dataDxfId="791"/>
    <tableColumn id="9" xr3:uid="{B4F70301-1931-4434-84CE-45A4D8506075}" uniqueName="9" name="FechaInicio" queryTableFieldId="9" dataDxfId="790"/>
    <tableColumn id="10" xr3:uid="{0549AA50-8B8C-4863-994F-6A998801E37E}" uniqueName="10" name="FechaFinPedido" queryTableFieldId="10" dataDxfId="789"/>
    <tableColumn id="11" xr3:uid="{14A6355B-812F-42E1-9911-439AB60A1C27}" uniqueName="11" name="FechaSalidaTrabajador" queryTableFieldId="11" dataDxfId="788"/>
    <tableColumn id="12" xr3:uid="{56A71DF7-64A5-43FD-8512-29879282D3E5}" uniqueName="12" name="Contratante"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7F01247-DA41-4988-9DBD-96CC045B2AED}" name="Tabla10" displayName="Tabla10" ref="B2:P178" totalsRowShown="0" dataDxfId="787">
  <autoFilter ref="B2:P178" xr:uid="{E7F01247-DA41-4988-9DBD-96CC045B2AED}">
    <filterColumn colId="2">
      <filters>
        <filter val="WILMAR ESTUPIÑAN ANGULO"/>
      </filters>
    </filterColumn>
  </autoFilter>
  <sortState xmlns:xlrd2="http://schemas.microsoft.com/office/spreadsheetml/2017/richdata2" ref="B171:P171">
    <sortCondition ref="D2:D178"/>
  </sortState>
  <tableColumns count="15">
    <tableColumn id="13" xr3:uid="{3EE3DC73-D52E-423B-9751-1B91FBD279DB}" name="EMPRESA" dataDxfId="786"/>
    <tableColumn id="1" xr3:uid="{08C39ABD-E93D-4882-B31B-CA3E7D99897B}" name="COD" dataDxfId="785">
      <calculatedColumnFormula>IF(D3="", "", INDEX(Colaboradores!A:A, MATCH(D3,Colaboradores!C:C, 0)))</calculatedColumnFormula>
    </tableColumn>
    <tableColumn id="2" xr3:uid="{B4DCF2D7-EB9D-44C6-AF9C-71D7DBA48FFD}" name="TRABALHADOR" dataDxfId="784"/>
    <tableColumn id="3" xr3:uid="{8691B87B-8EF1-4B18-9857-2F06D54BBFC9}" name="INICIO VINCULO" dataDxfId="783"/>
    <tableColumn id="4" xr3:uid="{54C4E088-DF9B-4639-BB5A-E96D99F73514}" name="FIM VINCULO" dataDxfId="782"/>
    <tableColumn id="9" xr3:uid="{9E8DCA65-AA67-42A7-AF33-B2E79AB20D65}" name="HORAS TRABALHADAS" dataDxfId="781">
      <calculatedColumnFormula>IFERROR(VLOOKUP(Tabla10[[#This Row],[COD]],'TotalHorasAjustadas (2)'!D:L,8,FALSE),"")</calculatedColumnFormula>
    </tableColumn>
    <tableColumn id="14" xr3:uid="{0EEA1EFD-47CB-4CC3-AA90-86976ED163BC}" name="TARIFA" dataDxfId="780">
      <calculatedColumnFormula>IFERROR(VLOOKUP(Tabla10[[#This Row],[COD]],Tabla15[],4,FALSE),"")</calculatedColumnFormula>
    </tableColumn>
    <tableColumn id="10" xr3:uid="{E8772388-4F3C-4FAE-A41D-3CA2A7B4B997}" name="ALOJAMENTO" dataDxfId="779">
      <calculatedColumnFormula>IFERROR(VLOOKUP(Tabla10[[#This Row],[COD]],Alojamentos!B:P,11,FALSE),"")</calculatedColumnFormula>
    </tableColumn>
    <tableColumn id="15" xr3:uid="{547723B5-FDAA-47A8-B774-C6006EF1C37B}" name="DIAS DE ALTA" dataDxfId="778">
      <calculatedColumnFormula>IF(ISBLANK(Tabla10[[#This Row],[INICIO VINCULO]]), 0, MAX(0, MIN(IF(ISBLANK(Tabla10[[#This Row],[FIM VINCULO]]), DATE(2026,1,31), Tabla10[[#This Row],[FIM VINCULO]]), DATE(2026,1,31)) - MAX(Tabla10[[#This Row],[INICIO VINCULO]], DATE(2026,1,1)) + 1))</calculatedColumnFormula>
    </tableColumn>
    <tableColumn id="11" xr3:uid="{BB30A137-CE2E-49E9-94D3-BF97CE70BEC7}" name="IMPOSTO" dataDxfId="777">
      <calculatedColumnFormula>7.05806*Tabla10[[#This Row],[DIAS DE ALTA]]</calculatedColumnFormula>
    </tableColumn>
    <tableColumn id="12" xr3:uid="{D12EE65B-14DD-48D9-99A8-44F4DFC19CC1}" name="CARRO" dataDxfId="776">
      <calculatedColumnFormula>IFERROR(VLOOKUP(Tabla10[[#This Row],[COD]],Carro!B:D,3,FALSE),"")</calculatedColumnFormula>
    </tableColumn>
    <tableColumn id="6" xr3:uid="{40B16043-93B8-4BA3-82EE-1F80A2A9FE2D}" name="OUTROS DEScontos" dataDxfId="775">
      <calculatedColumnFormula>IFERROR(VLOOKUP(Tabla10[[#This Row],[COD]],'Outros descontos'!B:P,15,FALSE),"")</calculatedColumnFormula>
    </tableColumn>
    <tableColumn id="5" xr3:uid="{E129FFCB-DFB7-4E03-A156-8EB5BDBFC7CD}" name="VALOR" dataDxfId="774">
      <calculatedColumnFormula>(Tabla10[[#This Row],[HORAS TRABALHADAS]]*Tabla10[[#This Row],[TARIFA]]) - SUM(Tabla10[[#This Row],[ALOJAMENTO]], Tabla10[[#This Row],[IMPOSTO]], Tabla10[[#This Row],[CARRO]])</calculatedColumnFormula>
    </tableColumn>
    <tableColumn id="7" xr3:uid="{CF78E418-0365-4203-99DE-09DCECC31B7A}" name="SALDO PENDENTE" dataDxfId="773"/>
    <tableColumn id="8" xr3:uid="{7EB73063-2DE6-46AF-B71F-C97D4CE1525C}" name="Columna1" dataDxfId="772"/>
  </tableColumns>
  <tableStyleInfo name="Estilo de tabla 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EEF60B-0249-4F6F-ABD8-67AA084B0ED0}" name="TotalHoras" displayName="TotalHoras" ref="A1:L379" tableType="queryTable" totalsRowShown="0">
  <autoFilter ref="A1:L379" xr:uid="{8EEEF60B-0249-4F6F-ABD8-67AA084B0ED0}">
    <filterColumn colId="0">
      <filters>
        <filter val="19-AZERO"/>
      </filters>
    </filterColumn>
  </autoFilter>
  <sortState xmlns:xlrd2="http://schemas.microsoft.com/office/spreadsheetml/2017/richdata2" ref="A68:L69">
    <sortCondition ref="B1:B379"/>
  </sortState>
  <tableColumns count="12">
    <tableColumn id="1" xr3:uid="{9733057C-9142-4CCA-9227-5B6CEF101965}" uniqueName="1" name="Cliente" queryTableFieldId="1" dataDxfId="771"/>
    <tableColumn id="2" xr3:uid="{E26C9986-7AE8-48CC-B240-2D0F5F242BB9}" uniqueName="2" name="Empresa" queryTableFieldId="2" dataDxfId="770"/>
    <tableColumn id="3" xr3:uid="{DA20073B-35E1-4D16-A9D1-29A907E4B11B}" uniqueName="3" name="Funcion" queryTableFieldId="3" dataDxfId="769"/>
    <tableColumn id="4" xr3:uid="{CB722331-B6E0-4361-8AC4-67CFD998FD5A}" uniqueName="4" name="COD_colab" queryTableFieldId="4" dataDxfId="768"/>
    <tableColumn id="5" xr3:uid="{4103A75D-0432-4785-873B-E17530802165}" uniqueName="5" name="Trabalhador" queryTableFieldId="5" dataDxfId="767"/>
    <tableColumn id="6" xr3:uid="{DC480B62-DB47-4A74-9D3B-03B8FAC5DBC5}" uniqueName="6" name="Periodo_fat" queryTableFieldId="6" dataDxfId="766"/>
    <tableColumn id="7" xr3:uid="{5F3E3D38-998E-4905-A736-3FB817A684CF}" uniqueName="7" name="Total_Horas" queryTableFieldId="7"/>
    <tableColumn id="8" xr3:uid="{4C576831-C4FD-42BB-9B5E-41417C086345}" uniqueName="8" name="Dias_lancados" queryTableFieldId="8"/>
    <tableColumn id="9" xr3:uid="{A1DE3ED0-5C42-4C4B-82F9-4DB9D90DD4D6}" uniqueName="9" name="Soma_qtd_hrs_old" queryTableFieldId="9"/>
    <tableColumn id="10" xr3:uid="{49FB1007-6764-452E-A0C8-0CC620DB65E9}" uniqueName="10" name="Soma_Qtd_hrs" queryTableFieldId="10"/>
    <tableColumn id="11" xr3:uid="{F0A827C7-76C6-4CF4-88CF-C89D91F55AFB}" uniqueName="11" name="Total_Horas_Ajustado" queryTableFieldId="11"/>
    <tableColumn id="12" xr3:uid="{93EF0194-A0EB-4D3E-9E4A-B5F108CD9D01}" uniqueName="12" name="Dif_Horas" queryTableFieldId="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2C77F41-E792-4C7A-A3A3-BBE193530B85}" name="Tabla15" displayName="Tabla15" ref="D2:G526" totalsRowShown="0">
  <autoFilter ref="D2:G526" xr:uid="{42C77F41-E792-4C7A-A3A3-BBE193530B85}">
    <filterColumn colId="1">
      <filters>
        <filter val="DAVID RICARDO SANCHEZ ZAPATA"/>
      </filters>
    </filterColumn>
  </autoFilter>
  <sortState xmlns:xlrd2="http://schemas.microsoft.com/office/spreadsheetml/2017/richdata2" ref="D34:G34">
    <sortCondition ref="F2:F526"/>
  </sortState>
  <tableColumns count="4">
    <tableColumn id="1" xr3:uid="{CBFA41EB-6585-4532-B41A-9019096A90B3}" name="Cod trabalhador"/>
    <tableColumn id="2" xr3:uid="{2E3B3A73-C2EE-4CAC-94BA-04FAE6A2022E}" name="Colaborador"/>
    <tableColumn id="3" xr3:uid="{02E9D3FA-60AF-458C-B126-C310C490CBD2}" name="Nome cliente 1 "/>
    <tableColumn id="4" xr3:uid="{7F2B5641-8416-491B-969E-80F916AB43AD}" name="Tarifa cliente 1" dataDxfId="765"/>
  </tableColumns>
  <tableStyleInfo name="Estilo de tabla 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9D11013-8192-4B25-89F8-DDB947C280D8}" name="Tabla16" displayName="Tabla16" ref="B4:E367" totalsRowShown="0">
  <autoFilter ref="B4:E367" xr:uid="{49D11013-8192-4B25-89F8-DDB947C280D8}"/>
  <sortState xmlns:xlrd2="http://schemas.microsoft.com/office/spreadsheetml/2017/richdata2" ref="B5:E367">
    <sortCondition ref="C4:C367"/>
  </sortState>
  <tableColumns count="4">
    <tableColumn id="1" xr3:uid="{5E3ABFD0-3A9B-4421-AE26-B76E13493B5A}" name="ID"/>
    <tableColumn id="2" xr3:uid="{42BA226C-3C5E-4534-A7D6-EA591D60B2B9}" name="Nomes"/>
    <tableColumn id="3" xr3:uid="{72EAAE88-BE00-4B74-922E-9EB43AF885B0}" name="valor"/>
    <tableColumn id="4" xr3:uid="{F7748D1E-D2BA-4CF2-A542-0A389C40B41F}" name="Revisão"/>
  </tableColumns>
  <tableStyleInfo name="Estilo de tabla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096F7B5-C9D1-44F0-BDBD-ABE1BED671AB}" name="Tabla1619" displayName="Tabla1619" ref="G4:J367" totalsRowShown="0">
  <autoFilter ref="G4:J367" xr:uid="{8096F7B5-C9D1-44F0-BDBD-ABE1BED671AB}"/>
  <sortState xmlns:xlrd2="http://schemas.microsoft.com/office/spreadsheetml/2017/richdata2" ref="G5:J367">
    <sortCondition ref="H4:H367"/>
  </sortState>
  <tableColumns count="4">
    <tableColumn id="1" xr3:uid="{96AF1947-DFA0-4690-A0AE-656FF80030FD}" name="ID"/>
    <tableColumn id="2" xr3:uid="{A539B6DE-B3FF-404E-9A65-2130A19978D2}" name="Nomes"/>
    <tableColumn id="3" xr3:uid="{32E72F8D-9132-4546-8044-DABB12250854}" name="valor"/>
    <tableColumn id="4" xr3:uid="{27B92CF0-03BE-41CF-8DC2-CAF11A27E036}" name="Revisão"/>
  </tableColumns>
  <tableStyleInfo name="Estilo de tabla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A967940-60A7-4019-A74D-06695924AA5D}" name="Tabla161920" displayName="Tabla161920" ref="L4:O367" totalsRowShown="0">
  <autoFilter ref="L4:O367" xr:uid="{CA967940-60A7-4019-A74D-06695924AA5D}"/>
  <sortState xmlns:xlrd2="http://schemas.microsoft.com/office/spreadsheetml/2017/richdata2" ref="L5:O367">
    <sortCondition ref="M4:M367"/>
  </sortState>
  <tableColumns count="4">
    <tableColumn id="1" xr3:uid="{667F5411-1735-46FF-BA2A-A13099DAEDE3}" name="ID"/>
    <tableColumn id="2" xr3:uid="{ADB25143-B050-4CDB-A949-152DEC235A8A}" name="Nomes"/>
    <tableColumn id="3" xr3:uid="{D2FF4790-4790-4071-A362-539653B74D6F}" name="valor"/>
    <tableColumn id="4" xr3:uid="{D822E9AD-0835-48EF-9512-BBFCDCB37FC9}" name="Revisão"/>
  </tableColumns>
  <tableStyleInfo name="Estilo de tabla 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65F9AC9-5DDB-45D6-8902-8FA29C7E74EF}" name="Tabla161922" displayName="Tabla161922" ref="Q4:T367" totalsRowShown="0">
  <autoFilter ref="Q4:T367" xr:uid="{F65F9AC9-5DDB-45D6-8902-8FA29C7E74EF}"/>
  <sortState xmlns:xlrd2="http://schemas.microsoft.com/office/spreadsheetml/2017/richdata2" ref="Q5:T367">
    <sortCondition ref="R4:R367"/>
  </sortState>
  <tableColumns count="4">
    <tableColumn id="1" xr3:uid="{D7F03D4E-1886-48B6-A730-B6A378D7D43C}" name="ID"/>
    <tableColumn id="2" xr3:uid="{73118229-DC22-4B4B-B08A-3EADCBBC731E}" name="Nomes"/>
    <tableColumn id="3" xr3:uid="{196DDC24-D78A-4317-BD91-535F8E499D3D}" name="valor"/>
    <tableColumn id="4" xr3:uid="{B3880C92-D29D-4A54-9DBD-1500619B3D40}" name="Revisão"/>
  </tableColumns>
  <tableStyleInfo name="Estilo de tabla 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D1E1CDD-D305-4203-82F4-92F05559D793}" name="Tabla1619209" displayName="Tabla1619209" ref="V4:Y367" totalsRowShown="0">
  <autoFilter ref="V4:Y367" xr:uid="{8D1E1CDD-D305-4203-82F4-92F05559D793}"/>
  <sortState xmlns:xlrd2="http://schemas.microsoft.com/office/spreadsheetml/2017/richdata2" ref="V5:Y367">
    <sortCondition ref="V4:V367"/>
  </sortState>
  <tableColumns count="4">
    <tableColumn id="1" xr3:uid="{FAC21862-44D0-46EB-ABE3-40F60C9F9453}" name="ID"/>
    <tableColumn id="2" xr3:uid="{1D42E164-DF5F-44FE-9CB2-17123259B019}" name="Nomes"/>
    <tableColumn id="3" xr3:uid="{82664ADF-30E7-400F-8A84-E11F08BA1325}" name="valor"/>
    <tableColumn id="4" xr3:uid="{185D2119-7609-414B-8A91-CD35283B8D61}" name="Revisão"/>
  </tableColumns>
  <tableStyleInfo name="Estilo de tabla 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1FFD209-5CD7-4B7D-87DD-3DE20EF58413}" name="Tabla16192013" displayName="Tabla16192013" ref="AA4:AD367" totalsRowShown="0">
  <autoFilter ref="AA4:AD367" xr:uid="{A1FFD209-5CD7-4B7D-87DD-3DE20EF58413}"/>
  <sortState xmlns:xlrd2="http://schemas.microsoft.com/office/spreadsheetml/2017/richdata2" ref="AA5:AD367">
    <sortCondition ref="AB4:AB367"/>
  </sortState>
  <tableColumns count="4">
    <tableColumn id="1" xr3:uid="{733BF2F2-FD3A-4E21-906B-27E9403B3621}" name="ID"/>
    <tableColumn id="2" xr3:uid="{1156AE2E-BAB4-4B94-A1B3-41DF41AFE0F5}" name="Nomes"/>
    <tableColumn id="3" xr3:uid="{968DE476-5FF4-49F2-B926-470F3E8DA115}" name="valor"/>
    <tableColumn id="4" xr3:uid="{8236B8CD-6D84-4F27-BF3E-645B1EF8D8F0}" name="Revisão"/>
  </tableColumns>
  <tableStyleInfo name="Estilo de tabla 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C536A7B-DD85-4C81-8D5D-15AD63E12D57}" name="Tabla16192023" displayName="Tabla16192023" ref="AF4:AI367" totalsRowShown="0">
  <autoFilter ref="AF4:AI367" xr:uid="{0C536A7B-DD85-4C81-8D5D-15AD63E12D57}"/>
  <sortState xmlns:xlrd2="http://schemas.microsoft.com/office/spreadsheetml/2017/richdata2" ref="AF5:AI367">
    <sortCondition ref="AG4:AG367"/>
  </sortState>
  <tableColumns count="4">
    <tableColumn id="1" xr3:uid="{29297E42-4CED-4444-AA1A-BFE245C8D22B}" name="ID"/>
    <tableColumn id="2" xr3:uid="{E858D46C-7577-43A3-91CA-32A9ECCB942C}" name="Nomes"/>
    <tableColumn id="3" xr3:uid="{43CF699E-A86F-439B-8CB6-5C5B01BC9613}" name="valor"/>
    <tableColumn id="4" xr3:uid="{CAA6B7C4-D4EA-4197-A760-EB7DB810483F}" name="Revisão"/>
  </tableColumns>
  <tableStyleInfo name="Estilo de tabla 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D6FCEC8-9277-414E-9AAE-A57A6F898510}" name="Tabla1619202324" displayName="Tabla1619202324" ref="AK4:AN367" totalsRowShown="0">
  <autoFilter ref="AK4:AN367" xr:uid="{FD6FCEC8-9277-414E-9AAE-A57A6F898510}"/>
  <sortState xmlns:xlrd2="http://schemas.microsoft.com/office/spreadsheetml/2017/richdata2" ref="AK5:AN367">
    <sortCondition ref="AL4:AL367"/>
  </sortState>
  <tableColumns count="4">
    <tableColumn id="1" xr3:uid="{FA4520FD-2F92-4430-8552-A570BBB54B8E}" name="ID"/>
    <tableColumn id="2" xr3:uid="{1B6EFB9D-7E07-4786-9823-F27FA173BFCA}" name="Nomes"/>
    <tableColumn id="3" xr3:uid="{8A67A7B6-A25F-4CA7-8777-CF45DA346217}" name="valor"/>
    <tableColumn id="4" xr3:uid="{90FFD85B-D7F6-4286-BED6-EFED05EAB968}" name="Revisão"/>
  </tableColumns>
  <tableStyleInfo name="Estilo de tabla 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B95A997-AABA-4C93-B41C-F620900B6D58}" name="Tabla57" displayName="Tabla57" ref="B3:AX48" totalsRowShown="0" headerRowDxfId="533" dataDxfId="532">
  <autoFilter ref="B3:AX48" xr:uid="{15F45368-D3C8-4B2B-AB60-310626E7A4BD}"/>
  <sortState xmlns:xlrd2="http://schemas.microsoft.com/office/spreadsheetml/2017/richdata2" ref="B4:AX48">
    <sortCondition ref="L3:L48"/>
  </sortState>
  <tableColumns count="49">
    <tableColumn id="1" xr3:uid="{9400C1FA-6861-4FDF-8BC7-E502148B2272}" name="Cod trabalhador" dataDxfId="531">
      <calculatedColumnFormula>IFERROR(IF(Tabla57[[#This Row],[Colaborador]]="",Tabla57[[#This Row],[Colaborador]], INDEX(Colaboradores!A:A, MATCH(Tabla57[[#This Row],[Colaborador]], Colaboradores!C:C, 0))), "")</calculatedColumnFormula>
    </tableColumn>
    <tableColumn id="2" xr3:uid="{DAE86C92-F6A8-49C6-8DC4-1AD46321B1CE}" name="Status SS" dataDxfId="530">
      <calculatedColumnFormula>IF(ISNUMBER(MATCH(Tabla57[[#This Row],[Cod trabalhador]],'Altas Industrial'!B:B, 0)), "Ativo", "Não ativo")</calculatedColumnFormula>
    </tableColumn>
    <tableColumn id="43" xr3:uid="{EBF733DF-7CE3-4B4D-B7CA-04E793298F5E}" name="KI" dataDxfId="529">
      <calculatedColumnFormula>IFERROR(IF(VLOOKUP(Tabla57[[#This Row],[Cod trabalhador]],'Altas Industrial'!B:E,1,0)&lt;&gt;"","KI",""),"")</calculatedColumnFormula>
    </tableColumn>
    <tableColumn id="44" xr3:uid="{EC8C3EE0-0AE5-48CF-B165-D3D16F983FC5}" name="KR" dataDxfId="528">
      <calculatedColumnFormula>IFERROR(IF(VLOOKUP(Tabla57[[#This Row],[Cod trabalhador]],'Altas Rosas'!B:F,1,0)&lt;&gt;"","KR",""),"")</calculatedColumnFormula>
    </tableColumn>
    <tableColumn id="45" xr3:uid="{237AC967-A4C3-4E6A-8968-49ABBB2280C2}" name="WS" dataDxfId="527">
      <calculatedColumnFormula>IFERROR(IF(VLOOKUP(Tabla57[[#This Row],[Cod trabalhador]],'Altas Wiseowe'!B:E,1,0)&lt;&gt;"","WS",""),"")</calculatedColumnFormula>
    </tableColumn>
    <tableColumn id="9" xr3:uid="{AE622257-9186-4996-ABA7-F94D6E2BC74F}" name="LN" dataDxfId="526">
      <calculatedColumnFormula>IFERROR(IF(VLOOKUP(Tabla57[[#This Row],[Cod trabalhador]],'Altas Luminous'!B:E,1,0)&lt;&gt;"","LM",""),"")</calculatedColumnFormula>
    </tableColumn>
    <tableColumn id="37" xr3:uid="{0F65AC16-EA9A-424D-A1CB-71275E15218A}" name="Data admissão" dataDxfId="525">
      <calculatedColumnFormula>IFERROR(VLOOKUP(Tabla57[[#This Row],[Cod trabalhador]],'Altas Industrial'!B:E,3,FALSE),"")</calculatedColumnFormula>
    </tableColumn>
    <tableColumn id="38" xr3:uid="{3856CA05-5EE4-4436-BFA6-91CB5E609C5E}" name="Data cessação" dataDxfId="524">
      <calculatedColumnFormula>IF(OR(Tabla57[[#This Row],[Cod trabalhador]]="",ISBLANK(Tabla57[[#This Row],[Cod trabalhador]])),"",IFERROR(IF(VLOOKUP(Tabla57[[#This Row],[Cod trabalhador]],'Altas Industrial'!B:E,4,FALSE)=0,"",VLOOKUP(Tabla57[[#This Row],[Cod trabalhador]],'Altas Industrial'!B:E,4,FALSE)),""))</calculatedColumnFormula>
    </tableColumn>
    <tableColumn id="39" xr3:uid="{7F2CD9FB-938B-43D7-8566-245EAD6E9FBC}" name="Dias de alta" dataDxfId="523">
      <calculatedColumnFormula>IF(C4="ativo",    IF(ISBLANK(H4),"",MAX(0,MIN(IF(ISBLANK(I4),EOMONTH(DATE(2026,1,1),0),I4),EOMONTH(DATE(2026,1,1),0)) - MAX(H4,DATE(2026,1,1))))+1,
    0
)</calculatedColumnFormula>
    </tableColumn>
    <tableColumn id="49" xr3:uid="{8298F0BA-0F80-43CD-A537-3C7679CECE23}" name="PUXADO" dataDxfId="522"/>
    <tableColumn id="3" xr3:uid="{9640A914-37E9-4C1B-A24F-48DBA91A8DB3}" name="Colaborador" dataDxfId="521"/>
    <tableColumn id="4" xr3:uid="{EE26684E-8C31-4043-9959-3FD48EBACEF5}" name="Columna6" dataDxfId="520"/>
    <tableColumn id="5" xr3:uid="{E60CC3FD-C1ED-4D3E-9B7E-C562B0FE5BE1}" name="Nome cliente 1 " dataDxfId="519"/>
    <tableColumn id="40" xr3:uid="{4C0DAEB6-FE60-4700-B1AD-FD1163AE999B}" name="Tarifa cliente 1" dataDxfId="518"/>
    <tableColumn id="7" xr3:uid="{DEE4F03F-7E09-4F37-B857-679BB58C0357}" name="Hora por Previsão" dataDxfId="517">
      <calculatedColumnFormula>IFERROR(VLOOKUP(Tabla57[[#This Row],[Cod trabalhador]],'TotalHorasAjustadas (2)'!D:L,8,FALSE),"")</calculatedColumnFormula>
    </tableColumn>
    <tableColumn id="47" xr3:uid="{E484E258-E98F-41C5-A6A7-D02629298F20}" name="Horas confirmadas cliente 1" dataDxfId="516"/>
    <tableColumn id="8" xr3:uid="{7D9DE5B6-7716-4AD5-962E-0BEB98734EA5}" name="Status confirmação cliente 13" dataDxfId="515"/>
    <tableColumn id="6" xr3:uid="{AE263534-E935-41B4-8EE6-98A76B72BEAE}" name="Status revisão" dataDxfId="514"/>
    <tableColumn id="10" xr3:uid="{7CECAE4B-30BF-4C03-B40F-50AAE64B7CFE}" name="Columna3" dataDxfId="513"/>
    <tableColumn id="11" xr3:uid="{862F5685-D512-4950-BDE3-E047FCDDC2BD}" name="Nome cliente 2" dataDxfId="512"/>
    <tableColumn id="12" xr3:uid="{8B77653C-5830-4111-A6D7-D11839159328}" name="Tarifa cliente 2" dataDxfId="511"/>
    <tableColumn id="13" xr3:uid="{B2432967-1D73-4217-B6BC-5EFFE55F65EC}" name="Horas confirmadas cliente 2" dataDxfId="510"/>
    <tableColumn id="14" xr3:uid="{2031E3DB-000B-4DEC-84F7-D8F29B2C24FD}" name="Status confirmação cliente 2" dataDxfId="509"/>
    <tableColumn id="36" xr3:uid="{56F70ACE-A9CA-44CE-A06E-6AD045E85ECB}" name="Status revisão 2" dataDxfId="508"/>
    <tableColumn id="15" xr3:uid="{4077D776-8B01-449D-8B4A-CEC951831BEB}" name="Columna32" dataDxfId="507"/>
    <tableColumn id="16" xr3:uid="{84392ED9-B4F1-4B3B-8641-D3D92A91505F}" name="Auxilio alojamento" dataDxfId="506">
      <calculatedColumnFormula>IFERROR(VLOOKUP(Tabla57[[#This Row],[Cod trabalhador]],Alojamentos!B:P,11,FALSE),"")</calculatedColumnFormula>
    </tableColumn>
    <tableColumn id="17" xr3:uid="{72ED3030-B5C3-4ADE-9CC0-5774B73A853E}" name="Outros acréscimos" dataDxfId="505"/>
    <tableColumn id="18" xr3:uid="{05B037FA-DA61-4A80-823F-321B616B1089}" name="Columna4" dataDxfId="504"/>
    <tableColumn id="19" xr3:uid="{DFD2DF70-B039-41F9-AB52-9C21DEC228B7}" name="Imposto ss" dataDxfId="503">
      <calculatedColumnFormula>Tabla57[[#This Row],[Dias de alta]]*7.058</calculatedColumnFormula>
    </tableColumn>
    <tableColumn id="20" xr3:uid="{9F06352A-1541-4483-AC70-E868CC11F9AE}" name="Adiantamento" dataDxfId="502">
      <calculatedColumnFormula>IFERROR(VLOOKUP(Tabla57[[#This Row],[Cod trabalhador]],Adiantamentos!B:S,7,FALSE),"")</calculatedColumnFormula>
    </tableColumn>
    <tableColumn id="21" xr3:uid="{159C8CA9-73A5-4D28-96E3-BD2874CDE27C}" name="Desconto Carro" dataDxfId="501">
      <calculatedColumnFormula>IFERROR(VLOOKUP(Tabla57[[#This Row],[Cod trabalhador]],Carro!B:D,3,FALSE),"")</calculatedColumnFormula>
    </tableColumn>
    <tableColumn id="22" xr3:uid="{F133C279-408E-4432-8576-842085A42FA0}" name="MULTA TRANSITO" dataDxfId="500">
      <calculatedColumnFormula>IFERROR(VLOOKUP(Tabla57[[#This Row],[Cod trabalhador]],'Outros descontos'!B:M,7,FALSE),"")</calculatedColumnFormula>
    </tableColumn>
    <tableColumn id="23" xr3:uid="{782F8C09-DB17-4552-9C8A-B1C138A9AE03}" name="COMBUSTIBLE" dataDxfId="499">
      <calculatedColumnFormula>IFERROR(VLOOKUP(Tabla57[[#This Row],[Cod trabalhador]],'Outros descontos'!B:M,8,FALSE),"")</calculatedColumnFormula>
    </tableColumn>
    <tableColumn id="24" xr3:uid="{2A5EC841-2BE6-43A0-917D-AA60ED666986}" name="PEAJES" dataDxfId="498">
      <calculatedColumnFormula>IFERROR(VLOOKUP(Tabla57[[#This Row],[Cod trabalhador]],'Outros descontos'!B:M,9,FALSE),"")</calculatedColumnFormula>
    </tableColumn>
    <tableColumn id="25" xr3:uid="{8B66B122-7F53-448F-BCFC-49AB9C353A88}" name="SUMINISTROS" dataDxfId="497">
      <calculatedColumnFormula>IFERROR(VLOOKUP(Tabla57[[#This Row],[Cod trabalhador]],'Outros descontos'!B:M,10,FALSE),"")</calculatedColumnFormula>
    </tableColumn>
    <tableColumn id="26" xr3:uid="{D0309614-F57A-4A1B-BA64-212E5AC73036}" name="MULTA ALOJAMIENTO" dataDxfId="496">
      <calculatedColumnFormula>IFERROR(VLOOKUP(Tabla57[[#This Row],[Cod trabalhador]],'Outros descontos'!B:M,11,FALSE),"")</calculatedColumnFormula>
    </tableColumn>
    <tableColumn id="27" xr3:uid="{65932ED9-49DF-4954-9B69-DF49F02B381E}" name="LIMPIEZA O DAÑOS" dataDxfId="495">
      <calculatedColumnFormula>IFERROR(VLOOKUP(Tabla57[[#This Row],[Cod trabalhador]],'Outros descontos'!B:M,12,FALSE),"")</calculatedColumnFormula>
    </tableColumn>
    <tableColumn id="48" xr3:uid="{CDE6DA56-BA94-42A6-AA12-B05B868B3E61}" name="EPIS" dataDxfId="494">
      <calculatedColumnFormula>IFERROR(VLOOKUP(Tabla57[[#This Row],[Cod trabalhador]],'Outros descontos'!B:M,13,FALSE),"")</calculatedColumnFormula>
    </tableColumn>
    <tableColumn id="28" xr3:uid="{AEC52828-73DD-4BBF-B29D-B2D82FE56F06}" name="Outros  descontos" dataDxfId="493"/>
    <tableColumn id="29" xr3:uid="{DE409D69-1B55-4B7C-A1F9-29CD96A48575}" name="Taxa bancária" dataDxfId="492"/>
    <tableColumn id="30" xr3:uid="{D5FBA1D0-F89A-4670-9B91-FBEE7BA93F01}" name="Columna2" dataDxfId="491"/>
    <tableColumn id="31" xr3:uid="{337BF308-6A4A-4071-94A9-34A19294A2C8}" name="Valor previsão de folha" dataDxfId="490">
      <calculatedColumnFormula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calculatedColumnFormula>
    </tableColumn>
    <tableColumn id="41" xr3:uid="{F555365D-60F2-4834-987A-D3C86C033592}" name="Liquido total" dataDxfId="489">
      <calculatedColumnFormula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calculatedColumnFormula>
    </tableColumn>
    <tableColumn id="32" xr3:uid="{86AC7219-2DFB-4A52-9F26-31A9C5D64A4F}" name="Columna5" dataDxfId="488"/>
    <tableColumn id="33" xr3:uid="{E3AB5773-C094-45CF-89BD-2CD844866033}" name="IBAN pagamento" dataDxfId="487">
      <calculatedColumnFormula>IF(Tabla57[[#This Row],[Cod trabalhador]]="", "", INDEX(Iban!C:C, MATCH(Tabla57[[#This Row],[Cod trabalhador]],Iban!A:A, 0)))</calculatedColumnFormula>
    </tableColumn>
    <tableColumn id="34" xr3:uid="{C1ADC11A-DA41-44B1-B42A-7E07E7EE0CA8}" name="Observações" dataDxfId="486"/>
    <tableColumn id="46" xr3:uid="{ABFE654C-7C32-47A8-9F59-F206EBAA0779}" name="Status pagamento cliente" dataDxfId="485"/>
    <tableColumn id="35" xr3:uid="{7BFCA348-227C-4F60-8283-7470F066C4D3}" name="Responsável pagamento" dataDxfId="484"/>
    <tableColumn id="42" xr3:uid="{EE8ACA50-F58E-4BB5-99AC-7A9007C26675}" name="Status pagamento" dataDxfId="483"/>
  </tableColumns>
  <tableStyleInfo name="Estilo de tabla 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5F45368-D3C8-4B2B-AB60-310626E7A4BD}" name="Tabla5" displayName="Tabla5" ref="B3:AX53" totalsRowShown="0" headerRowDxfId="482" dataDxfId="481">
  <autoFilter ref="B3:AX53" xr:uid="{15F45368-D3C8-4B2B-AB60-310626E7A4BD}"/>
  <sortState xmlns:xlrd2="http://schemas.microsoft.com/office/spreadsheetml/2017/richdata2" ref="B4:AX53">
    <sortCondition ref="L3:L53"/>
  </sortState>
  <tableColumns count="49">
    <tableColumn id="1" xr3:uid="{4A9462E1-18B5-4503-959B-E7E81D80F0EE}" name="Cod trabalhador" dataDxfId="480">
      <calculatedColumnFormula>IFERROR(IF(Tabla5[[#This Row],[Colaborador]]="",Tabla5[[#This Row],[Colaborador]], INDEX(Colaboradores!A:A, MATCH(Tabla5[[#This Row],[Colaborador]], Colaboradores!C:C, 0))), "")</calculatedColumnFormula>
    </tableColumn>
    <tableColumn id="2" xr3:uid="{C274731C-5388-4F2F-A197-C22E3235A32D}" name="Status SS" dataDxfId="479">
      <calculatedColumnFormula>IF(ISNUMBER(MATCH(Tabla5[[#This Row],[Cod trabalhador]],'Altas Rosas'!B:B, 0)), "Ativo", "Não ativo")</calculatedColumnFormula>
    </tableColumn>
    <tableColumn id="8" xr3:uid="{7FC3DF42-A676-48E4-816E-5EBEC5ECE027}" name="KI" dataDxfId="478">
      <calculatedColumnFormula>IFERROR(IF(VLOOKUP(Tabla5[[#This Row],[Cod trabalhador]],'Altas Industrial'!B:E,1,0)&lt;&gt;"","KI",""),"")</calculatedColumnFormula>
    </tableColumn>
    <tableColumn id="44" xr3:uid="{B963FB83-5527-488B-9EF0-C5BC534B7D8C}" name="KR" dataDxfId="477">
      <calculatedColumnFormula>IFERROR(IF(VLOOKUP(Tabla5[[#This Row],[Cod trabalhador]],'Altas Rosas'!B:F,1,0)&lt;&gt;"","KR",""),"")</calculatedColumnFormula>
    </tableColumn>
    <tableColumn id="45" xr3:uid="{CDE5ACC1-1D39-43F0-9A62-0ED1E0A4F4B7}" name="WS" dataDxfId="476">
      <calculatedColumnFormula>IFERROR(IF(VLOOKUP(Tabla5[[#This Row],[Cod trabalhador]],'Altas Wiseowe'!B:E,1,0)&lt;&gt;"","WS",""),"")</calculatedColumnFormula>
    </tableColumn>
    <tableColumn id="9" xr3:uid="{211DB83F-1DE2-4249-A941-F5BC80C0E2CD}" name="LN" dataDxfId="475">
      <calculatedColumnFormula>IFERROR(IF(VLOOKUP(Tabla5[[#This Row],[Cod trabalhador]],'Altas Luminous'!B:E,1,0)&lt;&gt;"","LM",""),"")</calculatedColumnFormula>
    </tableColumn>
    <tableColumn id="37" xr3:uid="{9602255C-3729-444F-9C1F-6F6182AEDBDA}" name="Data admissão" dataDxfId="474">
      <calculatedColumnFormula>IFERROR(VLOOKUP(Tabla5[[#This Row],[Cod trabalhador]],'Altas Rosas'!B:F,4,FALSE),"")</calculatedColumnFormula>
    </tableColumn>
    <tableColumn id="38" xr3:uid="{99DB72C5-14D1-40E2-AA48-4EDC03B92F5B}" name="Data cessação" dataDxfId="473">
      <calculatedColumnFormula>IF(OR(Tabla5[[#This Row],[Cod trabalhador]]="",ISBLANK(Tabla5[[#This Row],[Cod trabalhador]])),"",IFERROR(IF(VLOOKUP(Tabla5[[#This Row],[Cod trabalhador]],'Altas Rosas'!B:F,5,FALSE)=0,"",VLOOKUP(Tabla5[[#This Row],[Cod trabalhador]],'Altas Rosas'!B:F,5,FALSE)),""))</calculatedColumnFormula>
    </tableColumn>
    <tableColumn id="39" xr3:uid="{550F043D-CD10-4747-8287-6842F942E505}" name="Dias de alta" dataDxfId="472">
      <calculatedColumnFormula>IF(C4="ativo",    IF(ISBLANK(H4),"",MAX(0,MIN(IF(ISBLANK(I4),EOMONTH(DATE(2026,1,1),0),I4),EOMONTH(DATE(2026,1,1),0)) - MAX(H4,DATE(2026,1,1))))+1,
    0
)</calculatedColumnFormula>
    </tableColumn>
    <tableColumn id="49" xr3:uid="{EB3CF7EC-1F3F-46BD-84B6-6ABB7ABA9457}" name="PUXADO" dataDxfId="471"/>
    <tableColumn id="3" xr3:uid="{A27C45AB-D4F4-47B8-AEA3-746B8D30455E}" name="Colaborador" dataDxfId="470">
      <calculatedColumnFormula>IFERROR(IF(Tabla5[[#This Row],[Cod trabalhador]]="",Tabla5[[#This Row],[Cod trabalhador]], INDEX(Colaborador_ID[Nombre], MATCH(Tabla5[[#This Row],[Cod trabalhador]],Colaborador_ID[Cod_colab], 0))), "")</calculatedColumnFormula>
    </tableColumn>
    <tableColumn id="4" xr3:uid="{F0C47496-E602-4640-A450-6B01E16F9A7B}" name="Columna6" dataDxfId="469"/>
    <tableColumn id="5" xr3:uid="{2857A89C-FFD9-433C-A9B9-CD8282F70A13}" name="Nome cliente 1 " dataDxfId="468"/>
    <tableColumn id="7" xr3:uid="{DC9CF184-326D-4DA6-8817-5B408A111B51}" name="Tarifa cliente 1" dataDxfId="467">
      <calculatedColumnFormula>IFERROR(VLOOKUP(Tabla5[[#This Row],[Cod trabalhador]],Tabla15[],4,FALSE),"")</calculatedColumnFormula>
    </tableColumn>
    <tableColumn id="40" xr3:uid="{9BE3BEF7-4DA1-482E-AEA3-1889CA897F80}" name="Hora por Previsão" dataDxfId="466">
      <calculatedColumnFormula>IFERROR(VLOOKUP(Tabla5[[#This Row],[Cod trabalhador]],'TotalHorasAjustadas (2)'!D:L,8,FALSE),"")</calculatedColumnFormula>
    </tableColumn>
    <tableColumn id="34" xr3:uid="{08C7A88A-DC3F-4A51-A5DB-DACC74CA7365}" name="Horas confirmadas cliente 1" dataDxfId="465"/>
    <tableColumn id="46" xr3:uid="{DC121B78-D7CD-422B-9DF6-6031394A3373}" name="Status confirmação cliente 12" dataDxfId="464"/>
    <tableColumn id="6" xr3:uid="{6451AF9B-E5B6-40DB-AD5A-38BC1DE6B353}" name="Status revisão" dataDxfId="463"/>
    <tableColumn id="10" xr3:uid="{0AA694D1-1180-4E7A-AD00-58350BF76A8C}" name="Columna3" dataDxfId="462"/>
    <tableColumn id="11" xr3:uid="{AD6130DD-D75E-45D1-BE0C-432EB1ADCCF1}" name="Nome cliente 2" dataDxfId="461"/>
    <tableColumn id="12" xr3:uid="{7D07ADFF-0320-4BD7-BFB4-A713133F6F9C}" name="Tarifa cliente 2" dataDxfId="460"/>
    <tableColumn id="13" xr3:uid="{02A8FA03-0FB6-4828-BA3E-85D88477AE4D}" name="Horas confirmadas cliente 2" dataDxfId="459"/>
    <tableColumn id="14" xr3:uid="{3853F17A-1196-48B7-BFB4-69544FBADDA9}" name="Status confirmação cliente 2" dataDxfId="458"/>
    <tableColumn id="36" xr3:uid="{080E030A-B319-42DC-883C-9B65063379BA}" name="Status revisão 2" dataDxfId="457"/>
    <tableColumn id="15" xr3:uid="{DF7CE75A-BF4F-411F-BD01-432D6CD68BE0}" name="Columna32" dataDxfId="456"/>
    <tableColumn id="16" xr3:uid="{9856804D-FFD1-4C0B-9243-6F6F01A5D34A}" name="Auxilio alojamento" dataDxfId="455">
      <calculatedColumnFormula>IFERROR(VLOOKUP(Tabla5[[#This Row],[Cod trabalhador]],Alojamentos!B:P,11,FALSE),"")</calculatedColumnFormula>
    </tableColumn>
    <tableColumn id="17" xr3:uid="{0773645D-5424-4FC1-ADD1-88D79F655D99}" name="Outros acréscimos" dataDxfId="454"/>
    <tableColumn id="18" xr3:uid="{CE7D131C-4FE4-4941-B8BC-DD368127C8D2}" name="Columna4" dataDxfId="453"/>
    <tableColumn id="19" xr3:uid="{088B629B-288E-4AD6-B7A7-D3DAB81F45B6}" name="Imposto ss" dataDxfId="452">
      <calculatedColumnFormula>Tabla5[[#This Row],[Dias de alta]]*7.058</calculatedColumnFormula>
    </tableColumn>
    <tableColumn id="20" xr3:uid="{0835F0D1-655C-4159-BB8F-5DBC080F1F22}" name="Adiantamento" dataDxfId="451">
      <calculatedColumnFormula>IFERROR(VLOOKUP(Tabla5[[#This Row],[Cod trabalhador]],Adiantamentos!B:L,7,FALSE),"")</calculatedColumnFormula>
    </tableColumn>
    <tableColumn id="21" xr3:uid="{158E8BC9-4335-459E-8884-E33DA2126C23}" name="Desconto Carro" dataDxfId="450">
      <calculatedColumnFormula>IFERROR(VLOOKUP(Tabla5[[#This Row],[Cod trabalhador]],Carro!B:D,3,FALSE),"")</calculatedColumnFormula>
    </tableColumn>
    <tableColumn id="22" xr3:uid="{2208DBBE-A554-49BB-AF37-3A8A50CF2187}" name="MULTA TRANSITO" dataDxfId="449">
      <calculatedColumnFormula>IFERROR(VLOOKUP(Tabla5[[#This Row],[Cod trabalhador]],'Outros descontos'!B:M,7,FALSE),"")</calculatedColumnFormula>
    </tableColumn>
    <tableColumn id="23" xr3:uid="{6E71BBC3-2039-4864-B3EA-7C61FFC442F2}" name="COMBUSTIBLE" dataDxfId="448">
      <calculatedColumnFormula>IFERROR(VLOOKUP(Tabla5[[#This Row],[Cod trabalhador]],'Outros descontos'!B:M,8,FALSE),"")</calculatedColumnFormula>
    </tableColumn>
    <tableColumn id="24" xr3:uid="{BA96E98F-8AE0-4E78-985D-D7927F331797}" name="PEAJES" dataDxfId="447">
      <calculatedColumnFormula>IFERROR(VLOOKUP(Tabla5[[#This Row],[Cod trabalhador]],'Outros descontos'!B:M,9,FALSE),"")</calculatedColumnFormula>
    </tableColumn>
    <tableColumn id="25" xr3:uid="{1F4A5BDD-2302-42B7-8D18-FF122AA0AA58}" name="SUMINISTROS" dataDxfId="446">
      <calculatedColumnFormula>IFERROR(VLOOKUP(Tabla5[[#This Row],[Cod trabalhador]],'Outros descontos'!B:M,10,FALSE),"")</calculatedColumnFormula>
    </tableColumn>
    <tableColumn id="26" xr3:uid="{7E00E19B-4702-47BF-9DD9-E194D8EF4FEF}" name="MULTA ALOJAMIENTO" dataDxfId="445">
      <calculatedColumnFormula>IFERROR(VLOOKUP(Tabla5[[#This Row],[Cod trabalhador]],'Outros descontos'!B:M,11,FALSE),"")</calculatedColumnFormula>
    </tableColumn>
    <tableColumn id="27" xr3:uid="{F679F504-4376-4BD6-9BAC-E2C9234F269D}" name="LIMPIEZA O DAÑOS" dataDxfId="444">
      <calculatedColumnFormula>IFERROR(VLOOKUP(Tabla5[[#This Row],[Cod trabalhador]],'Outros descontos'!B:M,12,FALSE),"")</calculatedColumnFormula>
    </tableColumn>
    <tableColumn id="48" xr3:uid="{49CB8245-7871-456F-9954-77BDCDE43C6E}" name="EPIS" dataDxfId="443">
      <calculatedColumnFormula>IFERROR(VLOOKUP(Tabla5[[#This Row],[Cod trabalhador]],'Outros descontos'!B:M,13,FALSE),"")</calculatedColumnFormula>
    </tableColumn>
    <tableColumn id="28" xr3:uid="{79D3AE96-8CE0-47B1-9E09-A14669D97800}" name="Outros  descontos" dataDxfId="442"/>
    <tableColumn id="29" xr3:uid="{B14BF9C1-A51D-4E14-BC02-D558216C4395}" name="Taxa bancária" dataDxfId="441"/>
    <tableColumn id="30" xr3:uid="{D3379A55-80BC-47B3-B903-03E919D96FF5}" name="Columna2" dataDxfId="440"/>
    <tableColumn id="31" xr3:uid="{CDB5FD52-71C1-42ED-89E3-41EAABF89CFA}" name="Valor previsão de folha" dataDxfId="439">
      <calculatedColumnFormula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calculatedColumnFormula>
    </tableColumn>
    <tableColumn id="41" xr3:uid="{89A202B9-4923-46D7-9862-4ACB179F46BE}" name="Liquido total" dataDxfId="438">
      <calculatedColumnFormula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calculatedColumnFormula>
    </tableColumn>
    <tableColumn id="32" xr3:uid="{4C3EF837-6627-46A1-AFB3-933595D70009}" name="Columna5" dataDxfId="437"/>
    <tableColumn id="33" xr3:uid="{BD643A9B-1B9B-42BF-B6F7-935D29AF300E}" name="IBAN pagamento" dataDxfId="436">
      <calculatedColumnFormula>IF(Tabla5[[#This Row],[Cod trabalhador]]="", "", INDEX(Iban!C:C, MATCH(Tabla5[[#This Row],[Cod trabalhador]],Iban!A:A, 0)))</calculatedColumnFormula>
    </tableColumn>
    <tableColumn id="35" xr3:uid="{C214A976-D4B7-4BCF-9688-5BEEBD7B62FE}" name="Observações" dataDxfId="435"/>
    <tableColumn id="47" xr3:uid="{CC3C16A3-95E6-4947-A48E-485C391F9BA4}" name="Status pagamento cliente" dataDxfId="434"/>
    <tableColumn id="43" xr3:uid="{F43207E5-73A1-45B1-BF57-C27B37658F48}" name="Responsável pagamento" dataDxfId="433"/>
    <tableColumn id="42" xr3:uid="{9D5D1877-C244-4875-93E4-515CB81319C2}" name="Status pagamento" dataDxfId="432"/>
  </tableColumns>
  <tableStyleInfo name="Estilo de tabla 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8DA2085-757B-409D-8D9D-1791D59618E3}" name="Tabla58" displayName="Tabla58" ref="B3:AX166" totalsRowShown="0" headerRowDxfId="843" dataDxfId="842">
  <autoFilter ref="B3:AX166" xr:uid="{15F45368-D3C8-4B2B-AB60-310626E7A4BD}">
    <filterColumn colId="10">
      <filters>
        <filter val="MIGUEL ANGEL ARCAYA NORIEGA"/>
      </filters>
    </filterColumn>
  </autoFilter>
  <tableColumns count="49">
    <tableColumn id="1" xr3:uid="{5BBE758D-23BE-4923-86F9-93A11965F566}" name="Cod trabalhador" dataDxfId="841">
      <calculatedColumnFormula>IFERROR(IF(Tabla58[[#This Row],[Colaborador]]="",Tabla58[[#This Row],[Colaborador]], INDEX(Colaboradores!A:A, MATCH(Tabla58[[#This Row],[Colaborador]], Colaboradores!C:C, 0))), "")</calculatedColumnFormula>
    </tableColumn>
    <tableColumn id="2" xr3:uid="{031CDC81-64DF-4DB8-A6AE-313A243C1F15}" name="Status SS" dataDxfId="840">
      <calculatedColumnFormula>IF(ISNUMBER(MATCH(Tabla58[[#This Row],[Cod trabalhador]],'Altas Wiseowe'!B:B, 0)), "Ativo", "Não ativo")</calculatedColumnFormula>
    </tableColumn>
    <tableColumn id="13" xr3:uid="{4B624A25-F649-442F-AED8-A8D1D3743E2D}" name="KI" dataDxfId="839">
      <calculatedColumnFormula>IFERROR(IF(VLOOKUP(Tabla58[[#This Row],[Cod trabalhador]],'Altas Industrial'!B:E,1,0)&lt;&gt;"","KI",""),"")</calculatedColumnFormula>
    </tableColumn>
    <tableColumn id="42" xr3:uid="{B4F11ECF-AAC1-4922-9F6D-469CA0A8093F}" name="KR" dataDxfId="838">
      <calculatedColumnFormula>IFERROR(IF(VLOOKUP(Tabla58[[#This Row],[Cod trabalhador]],'Altas Rosas'!B:F,1,0)&lt;&gt;"","KR",""),"")</calculatedColumnFormula>
    </tableColumn>
    <tableColumn id="45" xr3:uid="{A845D73A-10AC-450B-B423-4719C19FD1DB}" name="WS" dataDxfId="837">
      <calculatedColumnFormula>IFERROR(IF(VLOOKUP(Tabla58[[#This Row],[Cod trabalhador]],'Altas Wiseowe'!B:E,1,0)&lt;&gt;"","WS",""),"")</calculatedColumnFormula>
    </tableColumn>
    <tableColumn id="9" xr3:uid="{F12F23E2-9F52-4DA0-91C1-E4F878920F8A}" name="LM" dataDxfId="836">
      <calculatedColumnFormula>IFERROR(IF(VLOOKUP(Tabla58[[#This Row],[Cod trabalhador]],'Altas Luminous'!B:E,1,0)&lt;&gt;"","LM",""),"")</calculatedColumnFormula>
    </tableColumn>
    <tableColumn id="6" xr3:uid="{79602D5A-00B1-491E-BED6-92A2F28A7C81}" name="Data admissão" dataDxfId="835">
      <calculatedColumnFormula>IFERROR(VLOOKUP(Tabla58[[#This Row],[Cod trabalhador]],'Altas Wiseowe'!B:E,3,FALSE),"")</calculatedColumnFormula>
    </tableColumn>
    <tableColumn id="36" xr3:uid="{DC49CACA-7ECD-4322-8F82-CB7640B740CC}" name="Data cessação" dataDxfId="834">
      <calculatedColumnFormula>IF(OR(Tabla58[[#This Row],[Cod trabalhador]]="",ISBLANK(Tabla58[[#This Row],[Cod trabalhador]])),"",IFERROR(IF(VLOOKUP(Tabla58[[#This Row],[Cod trabalhador]],'Altas Wiseowe'!B:E,4,FALSE)=0,"",VLOOKUP(Tabla58[[#This Row],[Cod trabalhador]],'Altas Wiseowe'!B:E,4,FALSE)),""))</calculatedColumnFormula>
    </tableColumn>
    <tableColumn id="37" xr3:uid="{ABE47E14-CAD9-4649-BC71-3B619EEDE073}" name="Dias de alta" dataDxfId="833">
      <calculatedColumnFormula>IF(C4="ativo",    IF(ISBLANK(H4),"",MAX(0,MIN(IF(ISBLANK(I4),EOMONTH(DATE(2026,1,1),0),I4),EOMONTH(DATE(2026,1,1),0)) - MAX(H4,DATE(2026,1,1))))+1,
    0
)</calculatedColumnFormula>
    </tableColumn>
    <tableColumn id="49" xr3:uid="{3B63E5F4-869D-471D-8EBF-41ED39498B94}" name="PUXADO" dataDxfId="832"/>
    <tableColumn id="3" xr3:uid="{C17D3EF2-8CA4-4BD9-A513-E0B808DFD6DE}" name="Colaborador" dataDxfId="831">
      <calculatedColumnFormula>IFERROR(IF(Tabla58[[#This Row],[Cod trabalhador]]="",Tabla58[[#This Row],[Cod trabalhador]], INDEX(Colaborador_ID[Nombre], MATCH(Tabla58[[#This Row],[Cod trabalhador]],Colaborador_ID[Cod_colab], 0))), "")</calculatedColumnFormula>
    </tableColumn>
    <tableColumn id="4" xr3:uid="{4C9C1E51-6DF4-4B16-BE22-A81FA40B4D72}" name="Columna6" dataDxfId="830"/>
    <tableColumn id="5" xr3:uid="{0D03C060-C7C6-4C85-8279-8CBC290A199A}" name="Nome cliente 1 " dataDxfId="829"/>
    <tableColumn id="7" xr3:uid="{0C1233A9-C40D-4232-B385-FED442A31C49}" name="Tarifa cliente 1" dataDxfId="828">
      <calculatedColumnFormula>IFERROR(VLOOKUP(Tabla58[[#This Row],[Cod trabalhador]],Tabla15[],4,FALSE),"")</calculatedColumnFormula>
    </tableColumn>
    <tableColumn id="8" xr3:uid="{3919326C-3411-4489-B7CC-AD57C36F2AD8}" name="Hora por Previsão" dataDxfId="827">
      <calculatedColumnFormula>IFERROR(VLOOKUP(Tabla58[[#This Row],[Cod trabalhador]],'TotalHorasAjustadas (2)'!D:L,8,FALSE),"")</calculatedColumnFormula>
    </tableColumn>
    <tableColumn id="38" xr3:uid="{D8DE5390-F058-43D5-8C23-D5250C6176CF}" name="Horas confirmadas cliente 1" dataDxfId="826"/>
    <tableColumn id="46" xr3:uid="{9718591D-7E98-486A-8484-15E361AB6615}" name="Status confirmação cliente 12" dataDxfId="825"/>
    <tableColumn id="41" xr3:uid="{5F8D0290-9C3E-44F0-9AD4-7976EE941736}" name="Status revisão" dataDxfId="824"/>
    <tableColumn id="10" xr3:uid="{D9FAE51B-F1AA-48BA-98C8-AA33014BCD00}" name="Columna3" dataDxfId="823"/>
    <tableColumn id="11" xr3:uid="{5B4A329F-6446-4C8E-A61D-6F4C628CCB82}" name="Nome cliente 2" dataDxfId="822"/>
    <tableColumn id="12" xr3:uid="{E6F1308C-0501-436C-8795-ACAA7B8C7136}" name="Tarifa cliente 2" dataDxfId="821"/>
    <tableColumn id="43" xr3:uid="{6814EA6A-08E6-4EF7-8C89-65C9E64DD43C}" name="Horas confirmadas cliente 2" dataDxfId="820"/>
    <tableColumn id="14" xr3:uid="{27AAE987-88A1-4850-BB97-C1FFEA1B7175}" name="Status confirmação cliente 2" dataDxfId="819"/>
    <tableColumn id="44" xr3:uid="{851FD9BD-37DE-4072-92B5-69C8F1CEAB59}" name="Status revisão 2" dataDxfId="818"/>
    <tableColumn id="15" xr3:uid="{FE99F026-A3C8-460F-93ED-5D9BA0752CFA}" name="Columna32" dataDxfId="817"/>
    <tableColumn id="16" xr3:uid="{52A8A4EE-6DC0-4FBB-9BD0-8E9704BDF789}" name="Auxilio alojamento" dataDxfId="816">
      <calculatedColumnFormula>IFERROR(VLOOKUP(Tabla58[[#This Row],[Cod trabalhador]],Alojamentos!B:P,11,FALSE),"")</calculatedColumnFormula>
    </tableColumn>
    <tableColumn id="17" xr3:uid="{F540F092-16CB-43A2-B25A-2B579F95DCEB}" name="Outros acréscimos" dataDxfId="815"/>
    <tableColumn id="18" xr3:uid="{195638EE-2EF0-4B4E-ACF0-E61E42CCE095}" name="Columna4" dataDxfId="814"/>
    <tableColumn id="19" xr3:uid="{9BC4C61B-678A-4B3B-90E0-06DB108E006D}" name="Imposto ss" dataDxfId="813">
      <calculatedColumnFormula>Tabla58[[#This Row],[Dias de alta]]*7.058</calculatedColumnFormula>
    </tableColumn>
    <tableColumn id="20" xr3:uid="{28F45399-EED8-4B50-B2CD-E5CD1DB6EA69}" name="Adiantamento" dataDxfId="812">
      <calculatedColumnFormula>IFERROR(VLOOKUP(Tabla58[[#This Row],[Cod trabalhador]],Adiantamentos!B:L,7,FALSE),"")</calculatedColumnFormula>
    </tableColumn>
    <tableColumn id="21" xr3:uid="{A8356709-C7E0-4F8E-8316-2E5FB3E796CF}" name="Desconto Carro" dataDxfId="811">
      <calculatedColumnFormula>IFERROR(VLOOKUP(Tabla58[[#This Row],[Cod trabalhador]],Carro!B:D,3,FALSE),"")</calculatedColumnFormula>
    </tableColumn>
    <tableColumn id="22" xr3:uid="{DBA97C38-3589-4702-8B36-2F1F0D1A49B5}" name="MULTA TRANSITO" dataDxfId="810">
      <calculatedColumnFormula>IFERROR(VLOOKUP(Tabla58[[#This Row],[Cod trabalhador]],'Outros descontos'!B:O,7,FALSE),"")</calculatedColumnFormula>
    </tableColumn>
    <tableColumn id="23" xr3:uid="{3893ACEC-8246-41F4-A939-1CDF451C2176}" name="COMBUSTIBLE" dataDxfId="809">
      <calculatedColumnFormula>IFERROR(VLOOKUP(Tabla58[[#This Row],[Cod trabalhador]],'Outros descontos'!B:M,8,FALSE),"")</calculatedColumnFormula>
    </tableColumn>
    <tableColumn id="24" xr3:uid="{2E7394C2-F815-402B-8D4B-524179EB64A6}" name="PEAJES" dataDxfId="808">
      <calculatedColumnFormula>IFERROR(VLOOKUP(Tabla58[[#This Row],[Cod trabalhador]],'Outros descontos'!B:M,9,FALSE),"")</calculatedColumnFormula>
    </tableColumn>
    <tableColumn id="25" xr3:uid="{9CF75827-0660-496B-80F6-37695EE9D497}" name="SUMINISTROS" dataDxfId="807">
      <calculatedColumnFormula>IFERROR(VLOOKUP(Tabla58[[#This Row],[Cod trabalhador]],'Outros descontos'!B:M,10,FALSE),"")</calculatedColumnFormula>
    </tableColumn>
    <tableColumn id="26" xr3:uid="{4068B5CA-ACB3-493D-BD96-D181D9E340B5}" name="MULTA ALOJAMIENTO" dataDxfId="806">
      <calculatedColumnFormula>IFERROR(VLOOKUP(Tabla58[[#This Row],[Cod trabalhador]],'Outros descontos'!B:M,11,FALSE),"")</calculatedColumnFormula>
    </tableColumn>
    <tableColumn id="27" xr3:uid="{498BA67D-322D-497F-930F-DB22D64EF946}" name="LIMPIEZA O DAÑOS" dataDxfId="805">
      <calculatedColumnFormula>IFERROR(VLOOKUP(Tabla58[[#This Row],[Cod trabalhador]],'Outros descontos'!B:R,12,FALSE),"")</calculatedColumnFormula>
    </tableColumn>
    <tableColumn id="48" xr3:uid="{905D1F7A-B19F-40B7-AB4E-178062824C32}" name="EPIS" dataDxfId="804">
      <calculatedColumnFormula>IFERROR(VLOOKUP(Tabla58[[#This Row],[Cod trabalhador]],'Outros descontos'!B:M,13,FALSE),"")</calculatedColumnFormula>
    </tableColumn>
    <tableColumn id="28" xr3:uid="{93894B77-D9BC-47BE-9F3A-9CF1CC2FDD1D}" name="Outros  descontos" dataDxfId="803"/>
    <tableColumn id="29" xr3:uid="{66279282-B4EC-41EB-BE7E-62918F9BC0EC}" name="Taxa bancária" dataDxfId="802"/>
    <tableColumn id="30" xr3:uid="{9734A4B0-89B8-4FA3-98B4-BAB1E3FAAF56}" name="Columna2" dataDxfId="801"/>
    <tableColumn id="31" xr3:uid="{B61FDA7A-ACB4-4175-94D2-2C3E32487EC4}" name="Valor previsão de folha" dataDxfId="800">
      <calculatedColumnFormula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calculatedColumnFormula>
    </tableColumn>
    <tableColumn id="40" xr3:uid="{874C5A6D-24DA-4B4C-85A7-52F0DE26DDA5}" name="Liquido total" dataDxfId="799">
      <calculatedColumnFormula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calculatedColumnFormula>
    </tableColumn>
    <tableColumn id="32" xr3:uid="{944CD549-A2FA-407E-B2B1-2C031082537A}" name="Columna5" dataDxfId="798"/>
    <tableColumn id="33" xr3:uid="{A8BCBF30-FDFC-475A-B16F-41272EF6D4E6}" name="IBAN pagamento" dataDxfId="797">
      <calculatedColumnFormula>IF(Tabla58[[#This Row],[Cod trabalhador]]="", "", INDEX(Iban!C:C, MATCH(Tabla58[[#This Row],[Cod trabalhador]],Iban!A:A, 0)))</calculatedColumnFormula>
    </tableColumn>
    <tableColumn id="34" xr3:uid="{E178FBC5-0537-4535-A4A9-CF91C8EFABBC}" name="Observações" dataDxfId="796"/>
    <tableColumn id="47" xr3:uid="{FE9F707D-F1B0-435B-B597-69816A608B6E}" name="Status pagamento cliente" dataDxfId="795"/>
    <tableColumn id="35" xr3:uid="{E698A6C5-2B8F-47BD-8092-1C3CF969FB90}" name="Responsável pagamento" dataDxfId="794"/>
    <tableColumn id="39" xr3:uid="{74DD0FE6-D05E-42D4-963D-A999B203507A}" name="Status pagamento" dataDxfId="793"/>
  </tableColumns>
  <tableStyleInfo name="Estilo de tabla 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FD399D8-283F-4960-816F-AE78251897E7}" name="Tabla5810" displayName="Tabla5810" ref="B4:AX123" totalsRowShown="0" headerRowDxfId="431" dataDxfId="430">
  <autoFilter ref="B4:AX123" xr:uid="{15F45368-D3C8-4B2B-AB60-310626E7A4BD}"/>
  <sortState xmlns:xlrd2="http://schemas.microsoft.com/office/spreadsheetml/2017/richdata2" ref="B5:AX123">
    <sortCondition ref="L4:L123"/>
  </sortState>
  <tableColumns count="49">
    <tableColumn id="1" xr3:uid="{B00AC64D-87F2-4200-A1BE-6CD3F04A2F09}" name="Cod trabalhador" dataDxfId="429"/>
    <tableColumn id="2" xr3:uid="{9D1AA06E-F75F-4EDD-AAD8-6A00B2A56A2A}" name="Status SS" dataDxfId="428">
      <calculatedColumnFormula>IF(ISNUMBER(MATCH(Tabla5810[[#This Row],[Cod trabalhador]],'Altas Luminous'!B:B, 0)), "Ativo", "Não ativo")</calculatedColumnFormula>
    </tableColumn>
    <tableColumn id="13" xr3:uid="{8CD3FA5F-3C4B-46B3-9440-93049AF11CD8}" name="KI" dataDxfId="427">
      <calculatedColumnFormula>IFERROR(IF(VLOOKUP(Tabla5810[[#This Row],[Cod trabalhador]],'Altas Industrial'!B:E,1,0)&lt;&gt;"","KI",""),"")</calculatedColumnFormula>
    </tableColumn>
    <tableColumn id="42" xr3:uid="{EA1DA785-5A9A-4764-A400-C229944456A2}" name="KR" dataDxfId="426">
      <calculatedColumnFormula>IFERROR(IF(VLOOKUP(Tabla5810[[#This Row],[Cod trabalhador]],'Altas Rosas'!B:F,1,0)&lt;&gt;"","KR",""),"")</calculatedColumnFormula>
    </tableColumn>
    <tableColumn id="45" xr3:uid="{0BA2690F-194E-40A7-A5A3-415C6653A8D4}" name="WS" dataDxfId="425">
      <calculatedColumnFormula>IFERROR(IF(VLOOKUP(Tabla5810[[#This Row],[Cod trabalhador]],'Altas Wiseowe'!B:E,1,0)&lt;&gt;"","WS",""),"")</calculatedColumnFormula>
    </tableColumn>
    <tableColumn id="9" xr3:uid="{E5D278F7-6B0E-46E1-9F45-81CE9667CA27}" name="LM" dataDxfId="424">
      <calculatedColumnFormula>IFERROR(IF(VLOOKUP(Tabla5810[[#This Row],[Cod trabalhador]],'Altas Luminous'!B:E,1,0)&lt;&gt;"","LM",""),"")</calculatedColumnFormula>
    </tableColumn>
    <tableColumn id="6" xr3:uid="{3249A0E5-6D68-4EC0-9D5B-0AFF63387765}" name="Data admissão" dataDxfId="423">
      <calculatedColumnFormula>IFERROR(VLOOKUP(Tabla5810[[#This Row],[Cod trabalhador]],'Altas Luminous'!B:E,3,FALSE),"")</calculatedColumnFormula>
    </tableColumn>
    <tableColumn id="36" xr3:uid="{DFB1E8F6-763E-4063-84E8-CEA040FE6916}" name="Data cessação" dataDxfId="422">
      <calculatedColumnFormula>IF(OR(Tabla5810[[#This Row],[Cod trabalhador]]="",ISBLANK(Tabla5810[[#This Row],[Cod trabalhador]])),"",IFERROR(IF(VLOOKUP(Tabla5810[[#This Row],[Cod trabalhador]],'Altas Luminous'!B:E,4,FALSE)=0,"",VLOOKUP(Tabla5810[[#This Row],[Cod trabalhador]],'Altas Luminous'!B:E,4,FALSE)),""))</calculatedColumnFormula>
    </tableColumn>
    <tableColumn id="37" xr3:uid="{46DBCE45-E336-4003-8790-77002EB7111A}" name="Dias de alta" dataDxfId="421">
      <calculatedColumnFormula>IF(C5="ativo",    IF(ISBLANK(H5),"",MAX(0,MIN(IF(ISBLANK(I5),EOMONTH(DATE(2026,1,1),0),I5),EOMONTH(DATE(2026,1,1),0)) - MAX(H5,DATE(2026,1,1))))+1,
    0
)</calculatedColumnFormula>
    </tableColumn>
    <tableColumn id="49" xr3:uid="{0494217E-17DF-404A-A8E0-0867AF02C599}" name="PUXADO" dataDxfId="420"/>
    <tableColumn id="3" xr3:uid="{E8FA573F-2C48-4772-92EC-F410F429FC3D}" name="Colaborador" dataDxfId="419">
      <calculatedColumnFormula>IFERROR(IF(Tabla5810[[#This Row],[Cod trabalhador]]="",Tabla5810[[#This Row],[Cod trabalhador]], INDEX(Colaborador_ID[Nombre], MATCH(Tabla5810[[#This Row],[Cod trabalhador]],Colaborador_ID[Cod_colab], 0))), "")</calculatedColumnFormula>
    </tableColumn>
    <tableColumn id="4" xr3:uid="{DD3EC94A-2E39-4041-8E21-8E801A1936A6}" name="Columna6" dataDxfId="418"/>
    <tableColumn id="5" xr3:uid="{F6670312-F31B-4594-B0C3-4754377F353B}" name="Nome cliente 1 " dataDxfId="417"/>
    <tableColumn id="7" xr3:uid="{4B60FB1E-96B9-43D0-A90E-C60731078B6B}" name="Tarifa cliente 1" dataDxfId="416">
      <calculatedColumnFormula>IFERROR(VLOOKUP(Tabla5810[[#This Row],[Cod trabalhador]],Tabla15[],4,FALSE),"")</calculatedColumnFormula>
    </tableColumn>
    <tableColumn id="8" xr3:uid="{0E19E967-96D4-4758-887C-E77A3D687099}" name="Hora por Previsão" dataDxfId="415">
      <calculatedColumnFormula>IFERROR(VLOOKUP(Tabla5810[[#This Row],[Cod trabalhador]],'TotalHorasAjustadas (2)'!D:L,8,FALSE),"")</calculatedColumnFormula>
    </tableColumn>
    <tableColumn id="38" xr3:uid="{D236935B-266D-4D0A-B79E-CF88DD67C8C8}" name="Horas confirmadas cliente 1" dataDxfId="414"/>
    <tableColumn id="46" xr3:uid="{6EEDA325-95C4-456F-9B9F-C04355BCBFCE}" name="Status confirmação cliente 12" dataDxfId="413"/>
    <tableColumn id="41" xr3:uid="{015BD7EB-7703-473C-8A82-9EE6E9E48660}" name="Status revisão" dataDxfId="412"/>
    <tableColumn id="10" xr3:uid="{6D79D9AA-5AF6-408C-9495-7169713EBF78}" name="Columna3" dataDxfId="411"/>
    <tableColumn id="11" xr3:uid="{D1CAE28B-258E-4EC2-B4E7-0665813CC3E2}" name="Nome cliente 2" dataDxfId="410"/>
    <tableColumn id="12" xr3:uid="{A606C46A-B09F-4574-9846-D2D51EEDECC7}" name="Tarifa cliente 2" dataDxfId="409"/>
    <tableColumn id="43" xr3:uid="{4E14C5EA-9400-4798-BE35-67397CD80344}" name="Horas confirmadas cliente 2" dataDxfId="408"/>
    <tableColumn id="14" xr3:uid="{EDFC0701-7F6E-4DCD-BA32-D7C88F1D0C00}" name="Status confirmação cliente 2" dataDxfId="407"/>
    <tableColumn id="44" xr3:uid="{6E9D3F79-81FF-4086-AD4C-A25E13E78D32}" name="Status revisão 2" dataDxfId="406"/>
    <tableColumn id="15" xr3:uid="{5015EB0C-1ED3-4595-BC7F-DA6552DE9D14}" name="Columna32" dataDxfId="405"/>
    <tableColumn id="16" xr3:uid="{1B51C886-B34A-471C-BFD2-EACFE6C82EE3}" name="Auxilio alojamento" dataDxfId="404">
      <calculatedColumnFormula>IFERROR(VLOOKUP(Tabla5810[[#This Row],[Cod trabalhador]],Alojamentos!B:P,11,FALSE),"")</calculatedColumnFormula>
    </tableColumn>
    <tableColumn id="17" xr3:uid="{2D514172-DA4A-4B2B-8483-D51CA77B1A39}" name="Outros acréscimos" dataDxfId="403"/>
    <tableColumn id="18" xr3:uid="{808613D7-8A72-497C-8DD2-8AF2B1C43BA7}" name="Columna4" dataDxfId="402"/>
    <tableColumn id="19" xr3:uid="{6C12DE28-0DFD-4A75-8B24-0FBDFB3F74A8}" name="Imposto ss" dataDxfId="401">
      <calculatedColumnFormula>Tabla5810[[#This Row],[Dias de alta]]*7.058</calculatedColumnFormula>
    </tableColumn>
    <tableColumn id="20" xr3:uid="{53EB12E9-E5FC-49CD-8144-727AA4D63F1A}" name="Adiantamento" dataDxfId="400">
      <calculatedColumnFormula>IFERROR(VLOOKUP(Tabla5810[[#This Row],[Cod trabalhador]],Adiantamentos!B:L,7,FALSE),"")</calculatedColumnFormula>
    </tableColumn>
    <tableColumn id="21" xr3:uid="{C2633A77-8767-4348-9EAB-D6398BAA021B}" name="Desconto Carro" dataDxfId="399">
      <calculatedColumnFormula>IFERROR(VLOOKUP(Tabla5810[[#This Row],[Cod trabalhador]],Carro!B:D,3,FALSE),"")</calculatedColumnFormula>
    </tableColumn>
    <tableColumn id="22" xr3:uid="{B21379C7-3030-4442-BE2B-B4D5D1A10973}" name="MULTA TRANSITO" dataDxfId="398">
      <calculatedColumnFormula>IFERROR(VLOOKUP(Tabla5810[[#This Row],[Cod trabalhador]],'Outros descontos'!B:O,7,FALSE),"")</calculatedColumnFormula>
    </tableColumn>
    <tableColumn id="23" xr3:uid="{AC369407-E63F-482E-9F0D-51AAB46EC797}" name="COMBUSTIBLE" dataDxfId="397">
      <calculatedColumnFormula>IFERROR(VLOOKUP(Tabla5810[[#This Row],[Cod trabalhador]],'Outros descontos'!B:M,8,FALSE),"")</calculatedColumnFormula>
    </tableColumn>
    <tableColumn id="24" xr3:uid="{0B87BD75-6FC9-4F8C-BD46-11030E5BD3F5}" name="PEAJES" dataDxfId="396">
      <calculatedColumnFormula>IFERROR(VLOOKUP(Tabla5810[[#This Row],[Cod trabalhador]],'Outros descontos'!B:M,9,FALSE),"")</calculatedColumnFormula>
    </tableColumn>
    <tableColumn id="25" xr3:uid="{42BB796F-4815-421C-85E3-9039D137BEEF}" name="SUMINISTROS" dataDxfId="395">
      <calculatedColumnFormula>IFERROR(VLOOKUP(Tabla5810[[#This Row],[Cod trabalhador]],'Outros descontos'!B:M,10,FALSE),"")</calculatedColumnFormula>
    </tableColumn>
    <tableColumn id="26" xr3:uid="{11F1EBFB-6831-447F-9589-F300ACEFCF1E}" name="MULTA ALOJAMIENTO" dataDxfId="394">
      <calculatedColumnFormula>IFERROR(VLOOKUP(Tabla5810[[#This Row],[Cod trabalhador]],'Outros descontos'!B:M,11,FALSE),"")</calculatedColumnFormula>
    </tableColumn>
    <tableColumn id="27" xr3:uid="{DECA76BA-57C5-4EF7-83DF-B17631021796}" name="LIMPIEZA O DAÑOS" dataDxfId="393">
      <calculatedColumnFormula>IFERROR(VLOOKUP(Tabla5810[[#This Row],[Cod trabalhador]],'Outros descontos'!B:M,12,FALSE),"")</calculatedColumnFormula>
    </tableColumn>
    <tableColumn id="28" xr3:uid="{47A6B01D-CDF5-4253-B157-3AE4E09BEC7E}" name="EPIS" dataDxfId="392">
      <calculatedColumnFormula>IFERROR(VLOOKUP(Tabla5810[[#This Row],[Cod trabalhador]],'Outros descontos'!B:M,13,FALSE),"")</calculatedColumnFormula>
    </tableColumn>
    <tableColumn id="47" xr3:uid="{EADA8413-B38C-4F42-BBA6-0A48A540E1CE}" name="OUTROS" dataDxfId="391"/>
    <tableColumn id="29" xr3:uid="{0F9D8528-ACBC-46C6-B02A-9DB5E3FA6E3D}" name="Taxa bancária" dataDxfId="390"/>
    <tableColumn id="30" xr3:uid="{9C91BC2D-CB30-475D-B9C0-CBA11045E590}" name="Columna2" dataDxfId="389"/>
    <tableColumn id="31" xr3:uid="{2D046392-DF99-416B-8C20-394192C7A0CB}" name="Valor previsão de folha" dataDxfId="388">
      <calculatedColumnFormula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calculatedColumnFormula>
    </tableColumn>
    <tableColumn id="40" xr3:uid="{6FDC12A1-B681-4C28-9DF6-8D6016CD068D}" name="Liquido total" dataDxfId="387">
      <calculatedColumnFormula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calculatedColumnFormula>
    </tableColumn>
    <tableColumn id="32" xr3:uid="{757F0DF4-8C7B-4477-86EB-62497418DF74}" name="Columna5" dataDxfId="386"/>
    <tableColumn id="33" xr3:uid="{16C4B500-DB66-4FD8-BD62-55CED64BBDF8}" name="IBAN pagamento" dataDxfId="385">
      <calculatedColumnFormula>IF(Tabla5810[[#This Row],[Cod trabalhador]]="", "", INDEX(Iban!C:C, MATCH(Tabla5810[[#This Row],[Cod trabalhador]],Iban!A:A, 0)))</calculatedColumnFormula>
    </tableColumn>
    <tableColumn id="34" xr3:uid="{3D19E2DF-2F89-4469-9E66-0B317D29E902}" name="Observações" dataDxfId="384"/>
    <tableColumn id="48" xr3:uid="{00965E64-E371-46AB-BB09-1979FEDC346E}" name="Status pagamento cliente" dataDxfId="383"/>
    <tableColumn id="35" xr3:uid="{BA26349A-E57B-4537-B523-E04DA0AE8254}" name="Responsável pagamento" dataDxfId="382"/>
    <tableColumn id="39" xr3:uid="{79003233-9298-45BD-8493-0D3B8511D65D}" name="Status pagamento" dataDxfId="381"/>
  </tableColumns>
  <tableStyleInfo name="Estilo de tabla 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A8B90BD-E464-4B56-9482-A986C8DB4AB7}" name="Tabla17" displayName="Tabla17" ref="A2:V14" totalsRowShown="0" headerRowDxfId="380">
  <autoFilter ref="A2:V14" xr:uid="{2A8B90BD-E464-4B56-9482-A986C8DB4AB7}"/>
  <sortState xmlns:xlrd2="http://schemas.microsoft.com/office/spreadsheetml/2017/richdata2" ref="A3:V5">
    <sortCondition ref="H2:H5"/>
  </sortState>
  <tableColumns count="22">
    <tableColumn id="1" xr3:uid="{AF9A11CB-7FF8-452B-9C66-78BFEBC3432B}" name="FECHA" dataDxfId="379"/>
    <tableColumn id="2" xr3:uid="{72492132-AA9E-40BA-A68A-73EC9B5082DD}" name="ID TRABAJADOR"/>
    <tableColumn id="3" xr3:uid="{4017CAAE-70B2-4D3D-8BA2-63CC4D778D8C}" name="TRABAJADOR"/>
    <tableColumn id="4" xr3:uid="{9263EBFC-C6D6-48B5-9A1F-0D7E80AFAA99}" name="IBAN" dataDxfId="378"/>
    <tableColumn id="5" xr3:uid="{E44F2B76-1009-4F35-AE6A-CE1436ED72A1}" name="EMPRESA"/>
    <tableColumn id="6" xr3:uid="{EB7B4360-7D29-47DE-AFB8-A93D81D44A5D}" name="PEDIDO"/>
    <tableColumn id="7" xr3:uid="{9003D885-A255-4927-8255-BA97C16BD73B}" name="CLIENTE"/>
    <tableColumn id="8" xr3:uid="{B34A70A6-00A4-45F0-85E3-C06F3EFC3C27}" name="ADELANTO" dataDxfId="377"/>
    <tableColumn id="9" xr3:uid="{9B28DC60-FCD8-4605-BE5C-7A4C88CFA8C8}" name="REEMBOLSO" dataDxfId="376"/>
    <tableColumn id="10" xr3:uid="{BC09094A-34B1-49A5-8348-F5A06CAEBE02}" name="AYUDA_x000a_VIAJE" dataDxfId="375"/>
    <tableColumn id="11" xr3:uid="{5F7932F3-1811-4974-B4CB-1DE7AB4276AE}" name="OTROS" dataDxfId="374"/>
    <tableColumn id="12" xr3:uid="{D2A99174-0538-4C18-927D-7EE8BDCCC533}" name="TOTAL" dataDxfId="373"/>
    <tableColumn id="13" xr3:uid="{A02D3829-4224-4B09-8105-A6CC20C11F0A}" name="ANEXO"/>
    <tableColumn id="14" xr3:uid="{90918490-8C1B-4FDE-A1BF-593C234EADFC}" name="STATUS APROBACION" dataDxfId="372"/>
    <tableColumn id="15" xr3:uid="{D3CCCF0E-331C-4F54-A8E2-76D68EF5EDDB}" name="OBSERVACIONES  STATUS " dataDxfId="371"/>
    <tableColumn id="16" xr3:uid="{ACFD0D48-396D-428D-A06D-32F5B84795AD}" name="STATUS REALIZACIÓN" dataDxfId="370"/>
    <tableColumn id="17" xr3:uid="{127B6D20-ACA5-4E80-AFA9-86B7EBA1F0C3}" name="FECHA DE REALIZACIÓN" dataDxfId="369"/>
    <tableColumn id="18" xr3:uid="{9C93CFA5-5E97-46C7-84E7-7430D7FA03DC}" name="FECHA DESCUENTO NOMINA" dataDxfId="368"/>
    <tableColumn id="19" xr3:uid="{E3390789-1344-4D57-852A-8D8A3A4C4383}" name="KI" dataDxfId="367"/>
    <tableColumn id="20" xr3:uid="{30463DC3-9EA0-42B8-9106-65F1FCADF5DD}" name="KR" dataDxfId="366"/>
    <tableColumn id="21" xr3:uid="{A9191C3B-0482-42BD-B5AA-E8A867B87BD5}" name="Columna1" dataDxfId="365"/>
    <tableColumn id="22" xr3:uid="{AB40F1E4-627E-4F3D-804D-11D0E8D547AF}" name="Columna2" dataDxfId="364"/>
  </tableColumns>
  <tableStyleInfo name="Estilo de tabla 3"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D175958-99BF-4977-9FE1-DF532846B6C2}" name="Tabla13" displayName="Tabla13" ref="A2:X77" totalsRowShown="0" headerRowDxfId="363">
  <autoFilter ref="A2:X77" xr:uid="{0D175958-99BF-4977-9FE1-DF532846B6C2}"/>
  <sortState xmlns:xlrd2="http://schemas.microsoft.com/office/spreadsheetml/2017/richdata2" ref="A3:X77">
    <sortCondition ref="E2:E77"/>
  </sortState>
  <tableColumns count="24">
    <tableColumn id="1" xr3:uid="{8984F4C3-F766-440C-9B85-85C26A3CEDA1}" name="FECHA" dataDxfId="362"/>
    <tableColumn id="2" xr3:uid="{646A6753-9B11-416A-979F-7643D69B1AF1}" name="ID TRABAJADOR" dataDxfId="361">
      <calculatedColumnFormula>IF(Tabla13[[#This Row],[TRABAJADOR]]="", "", INDEX(Colaboradores!A:A, MATCH(Tabla13[[#This Row],[TRABAJADOR]],Colaboradores!C:C, 0)))</calculatedColumnFormula>
    </tableColumn>
    <tableColumn id="3" xr3:uid="{998CAA09-AD6F-4808-8E6E-254AB1ADF49E}" name="TRABAJADOR" dataDxfId="360"/>
    <tableColumn id="4" xr3:uid="{78835D9D-5AA5-4962-B17E-6D9B26D8DE2A}" name="MÓVIL" dataDxfId="359"/>
    <tableColumn id="5" xr3:uid="{84BDBE9F-2D87-43D6-8E95-C0B76488603E}" name="EMPRESA" dataDxfId="358"/>
    <tableColumn id="6" xr3:uid="{1AE79BA1-9528-4BF8-8C77-43FBB723AB73}" name="PEDIDO" dataDxfId="357"/>
    <tableColumn id="7" xr3:uid="{648E3628-5FE4-4366-AF23-D978D6727FFA}" name="CLIENTE" dataDxfId="356"/>
    <tableColumn id="8" xr3:uid="{7A9564F0-C1FB-48D1-B55E-20AF759B222E}" name="MULTA TRANSITO" dataDxfId="355"/>
    <tableColumn id="9" xr3:uid="{DA60D712-AC93-4D1F-8302-570BC939BB9B}" name="COMBUSTIBLE" dataDxfId="354"/>
    <tableColumn id="10" xr3:uid="{1B6DEA48-5E2E-46F8-A6D4-02DD94687712}" name="PEAJES" dataDxfId="353"/>
    <tableColumn id="11" xr3:uid="{5AA762A0-F1A7-4177-B194-015B2FFA139F}" name="SUMINISTROS" dataDxfId="352"/>
    <tableColumn id="12" xr3:uid="{A40C7A7C-7150-4E83-8440-CBF21DF0A484}" name="MULTA ALOJAMIENTO" dataDxfId="351"/>
    <tableColumn id="13" xr3:uid="{A4EF4CEA-7359-470F-97BB-ECCA9C3F0EF1}" name="LIMPIEZA O DAÑOS" dataDxfId="350"/>
    <tableColumn id="14" xr3:uid="{6EC2A5A9-3FDF-4452-8248-78A9730670D7}" name="EPIS" dataDxfId="349"/>
    <tableColumn id="15" xr3:uid="{26C000C4-39C0-400E-9500-D516AF4FEEB0}" name="OUTROS" dataDxfId="348"/>
    <tableColumn id="16" xr3:uid="{BC05F05F-1E90-4AAD-B32E-A1FF5ED52C9D}" name="TOTAL" dataDxfId="347"/>
    <tableColumn id="17" xr3:uid="{2D32C7E4-51B8-4C14-85B8-D973422AEA3F}" name="STATUS NOTIFICACIÓN" dataDxfId="346"/>
    <tableColumn id="18" xr3:uid="{81E4E51E-A904-4144-A439-1CF91D0F34D1}" name="OBSERVACIONES" dataDxfId="345"/>
    <tableColumn id="19" xr3:uid="{5FE2897F-010D-4917-9FF4-BFFB27A1DA69}" name="FECHA MES DESCUENTO"/>
    <tableColumn id="22" xr3:uid="{02F31D65-7970-4A7B-ABCB-5AB6102C3F9C}" name="KI" dataDxfId="344">
      <calculatedColumnFormula>IFERROR(IF(VLOOKUP(Tabla13[[#This Row],[ID TRABAJADOR]],Tabla57[Cod trabalhador],1,0)&lt;&gt;"","KI",""),"")</calculatedColumnFormula>
    </tableColumn>
    <tableColumn id="23" xr3:uid="{27CE94D2-BE95-4107-8BFA-9A493FFF4E29}" name="KR" dataDxfId="343">
      <calculatedColumnFormula>IFERROR(IF(VLOOKUP(Tabla13[[#This Row],[ID TRABAJADOR]],Tabla5[Cod trabalhador],1,0)&lt;&gt;"","KR",""),"")</calculatedColumnFormula>
    </tableColumn>
    <tableColumn id="20" xr3:uid="{3AEBC6F2-539E-41B4-803E-D2543F9B5A66}" name="WS" dataDxfId="342">
      <calculatedColumnFormula>IFERROR(IF(VLOOKUP(Tabla13[[#This Row],[ID TRABAJADOR]],Wiseowe!B:B,1,0)&lt;&gt;"","WS",""),"")</calculatedColumnFormula>
    </tableColumn>
    <tableColumn id="21" xr3:uid="{405B09FA-787E-4EB2-AAF1-A7C365FB431D}" name="LM" dataDxfId="341">
      <calculatedColumnFormula>IFERROR(IF(VLOOKUP(Tabla13[[#This Row],[ID TRABAJADOR]],Luminous!B:B,1,0)&lt;&gt;"","LM",""),"")</calculatedColumnFormula>
    </tableColumn>
    <tableColumn id="24" xr3:uid="{EEE7A626-8A5C-4F6B-94B3-184BC77FB4B3}" name="Columna22" dataDxfId="340">
      <calculatedColumnFormula>IFERROR(IF(VLOOKUP(Tabla13[[#This Row],[ID TRABAJADOR]],#REF!,1,0)&lt;&gt;"","ST",""),"")</calculatedColumnFormula>
    </tableColumn>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A982A79-D5B0-46D1-8D96-89DE8B2F8851}" name="Tabla14" displayName="Tabla14" ref="B2:W80" totalsRowShown="0" headerRowDxfId="339" dataDxfId="337" headerRowBorderDxfId="338" tableBorderDxfId="336" totalsRowBorderDxfId="335">
  <autoFilter ref="B2:W80" xr:uid="{0A982A79-D5B0-46D1-8D96-89DE8B2F8851}"/>
  <sortState xmlns:xlrd2="http://schemas.microsoft.com/office/spreadsheetml/2017/richdata2" ref="B3:W80">
    <sortCondition ref="D2:D80"/>
  </sortState>
  <tableColumns count="22">
    <tableColumn id="11" xr3:uid="{094ED12D-5487-4298-AAD8-4E71078EDCF8}" name="COD" dataDxfId="334">
      <calculatedColumnFormula>IF(Tabla14[[#This Row],[COLABORADOR]]="", "", INDEX(Colaboradores!A:A, MATCH(Tabla14[[#This Row],[COLABORADOR]],Colaboradores!C:C, 0)))</calculatedColumnFormula>
    </tableColumn>
    <tableColumn id="1" xr3:uid="{40AE8301-5147-40EE-959C-77D8D734DC12}" name="EMPRESA" dataDxfId="333"/>
    <tableColumn id="2" xr3:uid="{DF7C2FBE-FDEF-49F8-8204-A334B2E8D9C6}" name="COLABORADOR" dataDxfId="332"/>
    <tableColumn id="3" xr3:uid="{E99267AE-15BA-4261-8E47-4146AFE87C7F}" name="PAIS" dataDxfId="331"/>
    <tableColumn id="4" xr3:uid="{3D2F9F7C-FCD9-4FBB-8038-F9DADFF4E8E4}" name="LOCALIDAD" dataDxfId="330"/>
    <tableColumn id="5" xr3:uid="{2AE32A71-D3C4-44DD-86EF-A283C1F38E7F}" name="Nº PEDIDO" dataDxfId="329"/>
    <tableColumn id="6" xr3:uid="{3EFE1F2D-D48D-4D97-9098-B55D9BD808E5}" name="CLIENTE" dataDxfId="328"/>
    <tableColumn id="7" xr3:uid="{8B75C26E-F380-47C5-9BFF-805E40DC9704}" name="FECHA INICIO" dataDxfId="327"/>
    <tableColumn id="8" xr3:uid="{20C69FD5-6D25-45C6-B540-43435119F4BE}" name="FECHA FIN " dataDxfId="326"/>
    <tableColumn id="9" xr3:uid="{340B3A6D-BBDC-4BFC-A619-1449726F9832}" name="TOTAL DIAS PROYECTO" dataDxfId="325"/>
    <tableColumn id="10" xr3:uid="{52C4D410-7BF0-44AC-9F12-235A07BD99CA}" name="COSTO FIJO " dataDxfId="324"/>
    <tableColumn id="23" xr3:uid="{BAA216FF-7E95-441A-B735-C27FDE77BA79}" name="revisao" dataDxfId="323"/>
    <tableColumn id="12" xr3:uid="{0CD85C2D-8096-4F2D-90FF-0371993C7154}" name="TIPO ALOJAMIENTO" dataDxfId="322"/>
    <tableColumn id="13" xr3:uid="{6F32C8CA-BA6F-4C7C-A406-2E4C2DF3D2AE}" name="OBSERVACIONES" dataDxfId="321"/>
    <tableColumn id="14" xr3:uid="{AF551E27-68F0-4C83-94DC-CAD73F0D5205}" name="ESTATUS" dataDxfId="320"/>
    <tableColumn id="21" xr3:uid="{99E50FE9-EA3F-4FDA-801D-6EA95674168A}" name="Revisao2" dataDxfId="319"/>
    <tableColumn id="15" xr3:uid="{DEC4B354-4A65-47D0-9A78-F36EA69ED40F}" name="Columna7" dataDxfId="318"/>
    <tableColumn id="16" xr3:uid="{700AA14F-E2D8-4A10-92D8-3A2A8EC8982C}" name="KI" dataDxfId="317">
      <calculatedColumnFormula>IFERROR(IF(VLOOKUP(Tabla14[[#This Row],[COD]],'Kotrik Industrial'!B:B,1,0)&lt;&gt;"","KI",""),"")</calculatedColumnFormula>
    </tableColumn>
    <tableColumn id="17" xr3:uid="{7C731E78-795E-475E-A48E-AAF645077AD6}" name="KR" dataDxfId="316">
      <calculatedColumnFormula>IFERROR(IF(VLOOKUP(Tabla14[[#This Row],[COD]],Tabla5[Cod trabalhador],1,0)&lt;&gt;"","KR",""),"")</calculatedColumnFormula>
    </tableColumn>
    <tableColumn id="18" xr3:uid="{D3D216E3-0E30-4EFD-A026-A5BEC9D07698}" name="WS" dataDxfId="315">
      <calculatedColumnFormula>IFERROR(IF(VLOOKUP(Tabla14[[#This Row],[COD]],Wiseowe!B:B,1,0)&lt;&gt;"","Ws",""),"")</calculatedColumnFormula>
    </tableColumn>
    <tableColumn id="19" xr3:uid="{A5294A65-C694-4017-BF99-F123DA5AAC40}" name="LM" dataDxfId="314">
      <calculatedColumnFormula>IFERROR(IF(VLOOKUP(Tabla14[[#This Row],[COD]],Luminous!B:B,1,0)&lt;&gt;"","LM",""),"")</calculatedColumnFormula>
    </tableColumn>
    <tableColumn id="20" xr3:uid="{D20C69CB-EF03-4A5A-8442-2EA8CB6DD46E}" name="Columna8" dataDxfId="313">
      <calculatedColumnFormula>IFERROR(IF(VLOOKUP(Tabla14[[#This Row],[COD]],#REF!,1,0)&lt;&gt;"","ST",""),"")</calculatedColumnFormula>
    </tableColumn>
  </tableColumns>
  <tableStyleInfo name="Estilo de tabla 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5B1374-E1AA-4E63-933E-53553D18D193}" name="Tabla3" displayName="Tabla3" ref="B2:H111" totalsRowShown="0" dataDxfId="312" tableBorderDxfId="311">
  <autoFilter ref="B2:H111" xr:uid="{345B1374-E1AA-4E63-933E-53553D18D193}"/>
  <sortState xmlns:xlrd2="http://schemas.microsoft.com/office/spreadsheetml/2017/richdata2" ref="B3:H111">
    <sortCondition ref="C2:C111"/>
  </sortState>
  <tableColumns count="7">
    <tableColumn id="1" xr3:uid="{EAB4EDB5-800C-4CC0-B736-D6F914ADEB98}" name="Cod" dataDxfId="310">
      <calculatedColumnFormula>IF(C3="", "", INDEX(Colaboradores!A:A, MATCH(C3,Colaboradores!C:C, 0)))</calculatedColumnFormula>
    </tableColumn>
    <tableColumn id="2" xr3:uid="{2615D8CA-F58A-4F68-8C7A-482DB0A698D4}" name="Nome" dataDxfId="309"/>
    <tableColumn id="3" xr3:uid="{BD2E95CD-1931-41DA-96EF-96EFBB60D99C}" name="Valor" dataDxfId="308"/>
    <tableColumn id="4" xr3:uid="{4479B480-75FA-4E5A-BD22-0C83C3E3EA9C}" name="Columna1" dataDxfId="307">
      <calculatedColumnFormula>IFERROR(IF(VLOOKUP(Tabla3[[#This Row],[Cod]],'Kotrik Industrial'!B:B,1,0)&lt;&gt;"","KI",""),"")</calculatedColumnFormula>
    </tableColumn>
    <tableColumn id="5" xr3:uid="{1D828BAB-8B7D-4B73-A21D-B011E905D1DD}" name="Columna2" dataDxfId="306">
      <calculatedColumnFormula>IFERROR(IF(VLOOKUP(Tabla3[[#This Row],[Cod]],'Kotrik Rosas'!B:B,1,0)&lt;&gt;"","KR",""),"")</calculatedColumnFormula>
    </tableColumn>
    <tableColumn id="6" xr3:uid="{85870E41-3273-4137-9A84-547BC937A826}" name="Columna3" dataDxfId="305">
      <calculatedColumnFormula>IFERROR(IF(VLOOKUP(Tabla3[[#This Row],[Cod]],Wiseowe!B:B,1,0)&lt;&gt;"","WS",""),"")</calculatedColumnFormula>
    </tableColumn>
    <tableColumn id="7" xr3:uid="{E637CA36-4421-4973-BB55-036B6542DC20}" name="Columna4" dataDxfId="304">
      <calculatedColumnFormula>IFERROR(IF(VLOOKUP(Tabla3[[#This Row],[Cod]],Luminous!B:B,1,0)&lt;&gt;"","LM",""),"")</calculatedColumnFormula>
    </tableColumn>
  </tableColumns>
  <tableStyleInfo name="Estilo de tabla 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CFC0CBB-D15E-4535-B27E-CCB51A2F6C78}" name="Tabla20" displayName="Tabla20" ref="B2:F44" totalsRowShown="0" headerRowDxfId="303" tableBorderDxfId="302">
  <autoFilter ref="B2:F44" xr:uid="{CCFC0CBB-D15E-4535-B27E-CCB51A2F6C78}"/>
  <sortState xmlns:xlrd2="http://schemas.microsoft.com/office/spreadsheetml/2017/richdata2" ref="B3:F42">
    <sortCondition ref="C2:C42"/>
  </sortState>
  <tableColumns count="5">
    <tableColumn id="1" xr3:uid="{16AD6A96-B5FD-4994-8B91-344603FB4549}" name="Columna1" dataDxfId="301">
      <calculatedColumnFormula>IF(C3="", "", INDEX(Colaboradores!A:A, MATCH(C3,Colaboradores!C:C, 0)))</calculatedColumnFormula>
    </tableColumn>
    <tableColumn id="2" xr3:uid="{E608AF9C-6CF7-4D35-A9C0-780B2B1D016E}" name="Nombre"/>
    <tableColumn id="5" xr3:uid="{2935ACF3-9D66-4380-88B9-5664126173BA}" name="Columna2"/>
    <tableColumn id="3" xr3:uid="{40A30F93-57F5-4EFD-B30B-381EF2B79FBE}" name="Início vínculo" dataDxfId="300"/>
    <tableColumn id="4" xr3:uid="{BB5E83B6-7361-4BB6-9E1B-10E4EA634A2E}" name="Fim vínculo" dataDxfId="299"/>
  </tableColumns>
  <tableStyleInfo name="Estilo de tabla 3"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78302EC-7989-4859-9C09-B0F3F020D70B}" name="Tabla11" displayName="Tabla11" ref="B2:E51" totalsRowShown="0" headerRowDxfId="298" tableBorderDxfId="297">
  <autoFilter ref="B2:E51" xr:uid="{178302EC-7989-4859-9C09-B0F3F020D70B}"/>
  <tableColumns count="4">
    <tableColumn id="1" xr3:uid="{4DF852EA-E820-482D-93B4-083CB18C3179}" name="Columna1" dataDxfId="296">
      <calculatedColumnFormula>IF('Altas Industrial'!$C3="", "", INDEX(Colaboradores!A:A, MATCH('Altas Industrial'!$C3,Colaboradores!C:C, 0)))</calculatedColumnFormula>
    </tableColumn>
    <tableColumn id="2" xr3:uid="{77C7183A-EA29-461C-9133-A645F7BE9E0E}" name="Nome trabalhador"/>
    <tableColumn id="3" xr3:uid="{91037557-A3D2-49B7-8A34-702892413455}" name="Início vínculo" dataDxfId="295"/>
    <tableColumn id="4" xr3:uid="{2DB1086B-E3C4-484A-9E39-7DE9FDE047B3}" name="Fim vínculo" dataDxfId="294"/>
  </tableColumns>
  <tableStyleInfo name="Estilo de tabla 3"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AA5790-D26B-4708-B65A-DF457DDE1BD9}" name="Control_General" displayName="Control_General" ref="A1:F2001" tableType="queryTable" totalsRowShown="0">
  <autoFilter ref="A1:F2001" xr:uid="{A3AA5790-D26B-4708-B65A-DF457DDE1BD9}"/>
  <tableColumns count="6">
    <tableColumn id="1" xr3:uid="{0A0E0166-2273-416C-853B-DE4053150FDE}" uniqueName="1" name="ID" queryTableFieldId="1" dataDxfId="293"/>
    <tableColumn id="2" xr3:uid="{41134919-CA94-473F-A90F-DC12AA7BB395}" uniqueName="2" name="TRABAJADOR" queryTableFieldId="2" dataDxfId="292"/>
    <tableColumn id="3" xr3:uid="{2E84E865-3B77-4B6C-A455-D0777A12FBD2}" uniqueName="3" name="IBAN" queryTableFieldId="3" dataDxfId="291"/>
    <tableColumn id="4" xr3:uid="{E28682EB-7CB7-40A3-AF2D-A9A567948FBD}" uniqueName="4" name="BANCO" queryTableFieldId="4" dataDxfId="290"/>
    <tableColumn id="5" xr3:uid="{D99E71F7-7CD1-4FC6-81B5-7FB6120C9C8F}" uniqueName="5" name="FECHA ÚLTIMO CAMBIO" queryTableFieldId="5" dataDxfId="289"/>
    <tableColumn id="6" xr3:uid="{83B99D93-E974-4A47-86B4-85547E27BB8D}" uniqueName="6" name="EMPRESA" queryTableFieldId="6" dataDxfId="288"/>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Amarillo">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Borde de resplandor">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86" dT="2026-02-09T08:17:52.73" personId="{6B22B41A-AA47-4A2D-BCBC-1A8ACEEDBDD2}" id="{3EE40559-B11F-4CAC-8F03-14C538D5DC95}">
    <text xml:space="preserve">Según la información proporcionada, el trabajador no se presentó a trabajar.
Tras conversar con los responsables de Bachiller, por el momento no es necesario un sustituto. </text>
  </threadedComment>
  <threadedComment ref="G93" dT="2026-02-09T08:25:17.35" personId="{6B22B41A-AA47-4A2D-BCBC-1A8ACEEDBDD2}" id="{B877AA6E-6631-4613-B908-BDAD5AD4E7BB}">
    <text>Férias</text>
  </threadedComment>
  <threadedComment ref="G123" dT="2026-02-09T08:31:33.88" personId="{6B22B41A-AA47-4A2D-BCBC-1A8ACEEDBDD2}" id="{C38ACA79-E9B7-4AFB-8B9F-6451D4A4D2AE}">
    <text>Nao trabalha</text>
  </threadedComment>
  <threadedComment ref="G170" dT="2026-02-09T08:18:15.40" personId="{6B22B41A-AA47-4A2D-BCBC-1A8ACEEDBDD2}" id="{AE4CF2B7-559E-4800-8991-70819487A42B}">
    <text>Detido pela policia</text>
  </threadedComment>
</ThreadedComments>
</file>

<file path=xl/threadedComments/threadedComment2.xml><?xml version="1.0" encoding="utf-8"?>
<ThreadedComments xmlns="http://schemas.microsoft.com/office/spreadsheetml/2018/threadedcomments" xmlns:x="http://schemas.openxmlformats.org/spreadsheetml/2006/main">
  <threadedComment ref="G112" dT="2026-02-18T11:14:13.54" personId="{BC8AB6A9-3EBC-4987-B3DA-69FD8B4523B4}" id="{9130CCA2-4915-42E9-BA7B-2D48FAF72F33}">
    <text>comesa</text>
  </threadedComment>
</ThreadedComments>
</file>

<file path=xl/threadedComments/threadedComment3.xml><?xml version="1.0" encoding="utf-8"?>
<ThreadedComments xmlns="http://schemas.microsoft.com/office/spreadsheetml/2018/threadedcomments" xmlns:x="http://schemas.openxmlformats.org/spreadsheetml/2006/main">
  <threadedComment ref="AA5" dT="2026-02-12T08:47:32.12" personId="{BC8AB6A9-3EBC-4987-B3DA-69FD8B4523B4}" id="{988194AE-331A-4926-B0E4-C35641002792}">
    <text>Adicionado a Luminous</text>
  </threadedComment>
  <threadedComment ref="AF5" dT="2026-02-12T09:08:38.92" personId="{BC8AB6A9-3EBC-4987-B3DA-69FD8B4523B4}" id="{7058098D-D9CE-4D4F-B9E7-B6C55A027876}">
    <text>Cobrado pela Luminous</text>
  </threadedComment>
</ThreadedComments>
</file>

<file path=xl/threadedComments/threadedComment4.xml><?xml version="1.0" encoding="utf-8"?>
<ThreadedComments xmlns="http://schemas.microsoft.com/office/spreadsheetml/2018/threadedcomments" xmlns:x="http://schemas.openxmlformats.org/spreadsheetml/2006/main">
  <threadedComment ref="AN6" dT="2026-02-12T10:15:44.20" personId="{BC8AB6A9-3EBC-4987-B3DA-69FD8B4523B4}" id="{B6F89134-831A-4DF4-B4CB-EA3DAE1AAD26}">
    <text>Desconto correçao dezembro</text>
  </threadedComment>
  <threadedComment ref="AB56" dT="2025-12-12T11:31:18.52" personId="{6B22B41A-AA47-4A2D-BCBC-1A8ACEEDBDD2}" id="{1D48DCF7-4AA0-4FD1-B1ED-5D51A654CD22}">
    <text>Dietas enviada por Ibrahim e Raul</text>
  </threadedComment>
  <threadedComment ref="AB64" dT="2025-12-12T11:31:58.34" personId="{6B22B41A-AA47-4A2D-BCBC-1A8ACEEDBDD2}" id="{48075D7C-2220-4856-8DA5-6908240D9640}">
    <text>Alojamento enviado por Ibrahim + dietas</text>
  </threadedComment>
  <threadedComment ref="AN64" dT="2025-12-09T11:13:47.29" personId="{6B22B41A-AA47-4A2D-BCBC-1A8ACEEDBDD2}" id="{D5F256D7-23B2-4937-B9CB-EC2AC032A6AE}">
    <text>Horas pagas a mais outubro</text>
  </threadedComment>
  <threadedComment ref="AE73" dT="2026-02-18T09:21:17.35" personId="{BC8AB6A9-3EBC-4987-B3DA-69FD8B4523B4}" id="{61384E30-F515-4BBD-BADD-6DDD42C03B78}">
    <text>Adiantamento 200 18/02/2026</text>
  </threadedComment>
  <threadedComment ref="AB88" dT="2025-12-12T11:31:06.24" personId="{6B22B41A-AA47-4A2D-BCBC-1A8ACEEDBDD2}" id="{FED99E92-C229-4C87-B4D6-68391C244AAF}">
    <text>Dietas enviada por Ibrahim e Raul</text>
  </threadedComment>
  <threadedComment ref="L91" dT="2026-01-15T07:59:29.91" personId="{6B22B41A-AA47-4A2D-BCBC-1A8ACEEDBDD2}" id="{01D246CE-4096-431D-B837-4ED5EB19F5D6}">
    <text>Mudou iban, no banco esta outro</text>
  </threadedComment>
  <threadedComment ref="AN92" dT="2025-12-09T09:50:32.58" personId="{6B22B41A-AA47-4A2D-BCBC-1A8ACEEDBDD2}" id="{07F95563-8311-43B8-8A3A-3341BF7313A0}">
    <text>Desconto dano maquina Premetalic</text>
  </threadedComment>
  <threadedComment ref="AN92" dT="2025-12-22T15:35:41.58" personId="{6B22B41A-AA47-4A2D-BCBC-1A8ACEEDBDD2}" id="{255D60EB-5E4A-4681-9269-41731E5EC02D}" parentId="{07F95563-8311-43B8-8A3A-3341BF7313A0}">
    <text>Devolvido 22/12 metade do valor ate que a premetalic ajude a resolver</text>
  </threadedComment>
  <threadedComment ref="AF157" dT="2026-02-12T09:12:20.95" personId="{BC8AB6A9-3EBC-4987-B3DA-69FD8B4523B4}" id="{D514B367-583F-4E51-95BA-6ED0C37D960E}">
    <text>Cobrado pela LM</text>
  </threadedComment>
</ThreadedComments>
</file>

<file path=xl/threadedComments/threadedComment5.xml><?xml version="1.0" encoding="utf-8"?>
<ThreadedComments xmlns="http://schemas.microsoft.com/office/spreadsheetml/2018/threadedcomments" xmlns:x="http://schemas.openxmlformats.org/spreadsheetml/2006/main">
  <threadedComment ref="AE14" dT="2026-02-12T12:46:34.74" personId="{BC8AB6A9-3EBC-4987-B3DA-69FD8B4523B4}" id="{F6D26153-940D-4D9A-82DF-1C60568F61F3}">
    <text>Desconto aplicado nas horas KI</text>
  </threadedComment>
  <threadedComment ref="AN25" dT="2025-12-09T09:58:33.66" personId="{6B22B41A-AA47-4A2D-BCBC-1A8ACEEDBDD2}" id="{17B8B452-D50B-433D-9FA1-AC23DA02AA3A}">
    <text>Desconto mês outubro</text>
  </threadedComment>
  <threadedComment ref="AF30" dT="2026-02-12T09:09:51.26" personId="{BC8AB6A9-3EBC-4987-B3DA-69FD8B4523B4}" id="{39D12A5D-DB0E-463B-8DE8-F1D9AA6D6655}">
    <text>Cobrado na KI</text>
  </threadedComment>
  <threadedComment ref="AN30" dT="2025-12-09T09:59:04.99" personId="{6B22B41A-AA47-4A2D-BCBC-1A8ACEEDBDD2}" id="{75079129-CE6E-4F36-A886-ED81F2ACD082}">
    <text>Desconto mês outubro</text>
  </threadedComment>
  <threadedComment ref="AF33" dT="2026-02-12T09:09:51.26" personId="{BC8AB6A9-3EBC-4987-B3DA-69FD8B4523B4}" id="{1B09A6CD-89C2-4737-B225-353F20700777}">
    <text>Cobrado na KI</text>
  </threadedComment>
  <threadedComment ref="AN46" dT="2026-02-12T10:22:18.13" personId="{BC8AB6A9-3EBC-4987-B3DA-69FD8B4523B4}" id="{081E31C3-2235-4861-BF21-C38F612BC5B8}">
    <text>Desconto correçao horas</text>
  </threadedComment>
  <threadedComment ref="AN65" dT="2026-02-12T10:23:43.47" personId="{BC8AB6A9-3EBC-4987-B3DA-69FD8B4523B4}" id="{AA97CDEB-F7FB-4F18-8834-7CBC51B25A0B}">
    <text xml:space="preserve">Desconto correção de horas
</text>
  </threadedComment>
  <threadedComment ref="AN68" dT="2026-01-14T08:09:10.28" personId="{BC8AB6A9-3EBC-4987-B3DA-69FD8B4523B4}" id="{27A8FA72-69B3-4A98-A9E9-4499800846D6}">
    <text>Desconto hora correção</text>
  </threadedComment>
  <threadedComment ref="AN77" dT="2026-02-12T10:23:13.72" personId="{BC8AB6A9-3EBC-4987-B3DA-69FD8B4523B4}" id="{F4CFF145-4DA0-40AD-A7CA-B807448855E1}">
    <text>Desconto correção de horas</text>
  </threadedComment>
  <threadedComment ref="AN103" dT="2026-02-12T10:24:24.54" personId="{BC8AB6A9-3EBC-4987-B3DA-69FD8B4523B4}" id="{F546B4DE-CE82-4B76-AD5D-5AEE018B7FA0}">
    <text xml:space="preserve">Desconto correção de horas
</text>
  </threadedComment>
  <threadedComment ref="O107" dT="2026-02-11T12:17:30.63" personId="{BC8AB6A9-3EBC-4987-B3DA-69FD8B4523B4}" id="{797C3691-06FC-46F8-A82B-9887622586D5}">
    <text>Valor na mointer 15€</text>
  </threadedComment>
  <threadedComment ref="AF107" dT="2026-02-12T09:13:52.00" personId="{BC8AB6A9-3EBC-4987-B3DA-69FD8B4523B4}" id="{DB03F2C2-8CB6-4AD8-9245-F59734CE6F64}">
    <text>Cobrado pela WS</text>
  </threadedComment>
</ThreadedComments>
</file>

<file path=xl/threadedComments/threadedComment6.xml><?xml version="1.0" encoding="utf-8"?>
<ThreadedComments xmlns="http://schemas.microsoft.com/office/spreadsheetml/2018/threadedcomments" xmlns:x="http://schemas.openxmlformats.org/spreadsheetml/2006/main">
  <threadedComment ref="D18" dT="2026-02-12T09:41:44.70" personId="{6B22B41A-AA47-4A2D-BCBC-1A8ACEEDBDD2}" id="{B6B6183C-62D4-4338-9715-67802D8B2FC4}">
    <text>Verificando</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7/10/relationships/threadedComment" Target="../threadedComments/threadedComment1.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4.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rinterSettings" Target="../printerSettings/printerSettings3.bin"/><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table" Target="../tables/table5.xml"/><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table" Target="../tables/table13.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vmlDrawing" Target="../drawings/vmlDrawing4.vml"/><Relationship Id="rId1" Type="http://schemas.openxmlformats.org/officeDocument/2006/relationships/drawing" Target="../drawings/drawing6.xml"/><Relationship Id="rId6" Type="http://schemas.microsoft.com/office/2019/04/relationships/namedSheetView" Target="../namedSheetViews/namedSheetView1.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16.xml"/><Relationship Id="rId1" Type="http://schemas.openxmlformats.org/officeDocument/2006/relationships/vmlDrawing" Target="../drawings/vmlDrawing5.vml"/><Relationship Id="rId4" Type="http://schemas.microsoft.com/office/2017/10/relationships/threadedComment" Target="../threadedComments/threadedComment5.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9.xml"/><Relationship Id="rId1" Type="http://schemas.openxmlformats.org/officeDocument/2006/relationships/printerSettings" Target="../printerSettings/printerSettings7.bin"/><Relationship Id="rId6" Type="http://schemas.microsoft.com/office/2017/10/relationships/threadedComment" Target="../threadedComments/threadedComment6.xml"/><Relationship Id="rId5" Type="http://schemas.openxmlformats.org/officeDocument/2006/relationships/comments" Target="../comments6.xml"/><Relationship Id="rId4" Type="http://schemas.openxmlformats.org/officeDocument/2006/relationships/table" Target="../tables/table1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1F7F5-2848-48DC-8D28-6C5481D36217}">
  <sheetPr codeName="Hoja10"/>
  <dimension ref="A1:L1996"/>
  <sheetViews>
    <sheetView topLeftCell="A1294" workbookViewId="0">
      <selection activeCell="C1330" sqref="C1330"/>
    </sheetView>
  </sheetViews>
  <sheetFormatPr defaultColWidth="11.5546875" defaultRowHeight="14.4" x14ac:dyDescent="0.3"/>
  <cols>
    <col min="1" max="1" width="12.6640625" bestFit="1" customWidth="1"/>
    <col min="2" max="2" width="5" bestFit="1" customWidth="1"/>
    <col min="3" max="3" width="45.6640625" bestFit="1" customWidth="1"/>
    <col min="4" max="4" width="12.33203125" bestFit="1" customWidth="1"/>
    <col min="5" max="5" width="18.109375" bestFit="1" customWidth="1"/>
    <col min="6" max="6" width="18" bestFit="1" customWidth="1"/>
    <col min="7" max="7" width="14.33203125" style="18" bestFit="1" customWidth="1"/>
    <col min="8" max="8" width="14.5546875" style="18" bestFit="1" customWidth="1"/>
    <col min="9" max="9" width="15.88671875" style="18" bestFit="1" customWidth="1"/>
    <col min="10" max="10" width="19.88671875" style="18" bestFit="1" customWidth="1"/>
    <col min="11" max="11" width="26" style="18" bestFit="1" customWidth="1"/>
    <col min="12" max="12" width="27.109375" bestFit="1" customWidth="1"/>
  </cols>
  <sheetData>
    <row r="1" spans="1:12" x14ac:dyDescent="0.3">
      <c r="A1" t="s">
        <v>0</v>
      </c>
      <c r="B1" t="s">
        <v>1</v>
      </c>
      <c r="C1" t="s">
        <v>2</v>
      </c>
      <c r="D1" t="s">
        <v>3</v>
      </c>
      <c r="E1" t="s">
        <v>4</v>
      </c>
      <c r="F1" t="s">
        <v>5</v>
      </c>
      <c r="G1" s="18" t="s">
        <v>6</v>
      </c>
      <c r="H1" s="18" t="s">
        <v>7</v>
      </c>
      <c r="I1" s="18" t="s">
        <v>8</v>
      </c>
      <c r="J1" s="18" t="s">
        <v>9</v>
      </c>
      <c r="K1" s="18" t="s">
        <v>10</v>
      </c>
      <c r="L1" t="s">
        <v>11</v>
      </c>
    </row>
    <row r="2" spans="1:12" x14ac:dyDescent="0.3">
      <c r="A2" t="s">
        <v>12</v>
      </c>
      <c r="B2">
        <v>1172</v>
      </c>
      <c r="C2" t="s">
        <v>13</v>
      </c>
      <c r="E2" t="s">
        <v>14</v>
      </c>
      <c r="F2" t="s">
        <v>15</v>
      </c>
      <c r="G2" s="18">
        <v>45581.916666666664</v>
      </c>
      <c r="H2" s="18">
        <v>45645.958333333336</v>
      </c>
      <c r="K2" s="18">
        <v>45645.958333333336</v>
      </c>
      <c r="L2" t="s">
        <v>16</v>
      </c>
    </row>
    <row r="3" spans="1:12" x14ac:dyDescent="0.3">
      <c r="A3" t="s">
        <v>17</v>
      </c>
      <c r="B3">
        <v>530</v>
      </c>
      <c r="C3" t="s">
        <v>18</v>
      </c>
      <c r="D3" t="s">
        <v>19</v>
      </c>
      <c r="E3" t="s">
        <v>20</v>
      </c>
      <c r="F3" t="s">
        <v>15</v>
      </c>
      <c r="G3" s="18">
        <v>45778.916666666664</v>
      </c>
      <c r="K3" s="18">
        <v>45889.916666666664</v>
      </c>
      <c r="L3" t="s">
        <v>21</v>
      </c>
    </row>
    <row r="4" spans="1:12" x14ac:dyDescent="0.3">
      <c r="A4" t="s">
        <v>22</v>
      </c>
      <c r="B4">
        <v>1365</v>
      </c>
      <c r="C4" t="s">
        <v>23</v>
      </c>
      <c r="E4" t="s">
        <v>24</v>
      </c>
      <c r="F4" t="s">
        <v>15</v>
      </c>
      <c r="G4" s="18">
        <v>45438.916666666664</v>
      </c>
      <c r="H4" s="18">
        <v>45476.916666666664</v>
      </c>
      <c r="K4" s="18">
        <v>45456.916666666664</v>
      </c>
      <c r="L4" t="s">
        <v>16</v>
      </c>
    </row>
    <row r="5" spans="1:12" x14ac:dyDescent="0.3">
      <c r="A5" t="s">
        <v>25</v>
      </c>
      <c r="B5">
        <v>1855</v>
      </c>
      <c r="C5" t="s">
        <v>26</v>
      </c>
      <c r="D5" t="s">
        <v>27</v>
      </c>
      <c r="E5" t="s">
        <v>28</v>
      </c>
    </row>
    <row r="6" spans="1:12" x14ac:dyDescent="0.3">
      <c r="A6" t="s">
        <v>29</v>
      </c>
      <c r="B6">
        <v>663</v>
      </c>
      <c r="C6" t="s">
        <v>30</v>
      </c>
      <c r="E6" t="s">
        <v>31</v>
      </c>
      <c r="F6" t="s">
        <v>15</v>
      </c>
      <c r="G6" s="18">
        <v>45643.958333333336</v>
      </c>
      <c r="K6" s="18">
        <v>45666.958333333336</v>
      </c>
      <c r="L6" t="s">
        <v>21</v>
      </c>
    </row>
    <row r="7" spans="1:12" x14ac:dyDescent="0.3">
      <c r="A7" t="s">
        <v>32</v>
      </c>
      <c r="B7">
        <v>513</v>
      </c>
      <c r="C7" t="s">
        <v>33</v>
      </c>
      <c r="D7" t="s">
        <v>34</v>
      </c>
      <c r="E7" t="s">
        <v>35</v>
      </c>
      <c r="F7" t="s">
        <v>36</v>
      </c>
      <c r="G7" s="18">
        <v>45705.958333333336</v>
      </c>
      <c r="L7" t="s">
        <v>37</v>
      </c>
    </row>
    <row r="8" spans="1:12" x14ac:dyDescent="0.3">
      <c r="A8" t="s">
        <v>38</v>
      </c>
      <c r="B8">
        <v>432</v>
      </c>
      <c r="C8" t="s">
        <v>39</v>
      </c>
      <c r="E8" t="s">
        <v>40</v>
      </c>
      <c r="F8" t="s">
        <v>41</v>
      </c>
      <c r="G8" s="18">
        <v>45761.916666666664</v>
      </c>
      <c r="L8" t="s">
        <v>16</v>
      </c>
    </row>
    <row r="9" spans="1:12" x14ac:dyDescent="0.3">
      <c r="A9" t="s">
        <v>42</v>
      </c>
      <c r="B9">
        <v>687</v>
      </c>
      <c r="C9" t="s">
        <v>43</v>
      </c>
      <c r="D9" t="s">
        <v>44</v>
      </c>
      <c r="E9" t="s">
        <v>45</v>
      </c>
      <c r="F9" t="s">
        <v>15</v>
      </c>
      <c r="G9" s="18">
        <v>45760.916666666664</v>
      </c>
      <c r="H9" s="18">
        <v>45773.916666666664</v>
      </c>
      <c r="K9" s="18">
        <v>45773.916666666664</v>
      </c>
      <c r="L9" t="s">
        <v>21</v>
      </c>
    </row>
    <row r="10" spans="1:12" x14ac:dyDescent="0.3">
      <c r="A10" t="s">
        <v>46</v>
      </c>
      <c r="B10">
        <v>1050</v>
      </c>
      <c r="C10" t="s">
        <v>47</v>
      </c>
      <c r="E10" t="s">
        <v>48</v>
      </c>
      <c r="F10" t="s">
        <v>49</v>
      </c>
      <c r="G10" s="18">
        <v>45553.916666666664</v>
      </c>
      <c r="L10" t="s">
        <v>21</v>
      </c>
    </row>
    <row r="11" spans="1:12" x14ac:dyDescent="0.3">
      <c r="A11" t="s">
        <v>50</v>
      </c>
      <c r="B11">
        <v>570</v>
      </c>
      <c r="C11" t="s">
        <v>51</v>
      </c>
      <c r="E11" t="s">
        <v>52</v>
      </c>
      <c r="F11" t="s">
        <v>53</v>
      </c>
      <c r="L11" t="s">
        <v>16</v>
      </c>
    </row>
    <row r="12" spans="1:12" x14ac:dyDescent="0.3">
      <c r="A12" t="s">
        <v>54</v>
      </c>
      <c r="B12">
        <v>452</v>
      </c>
      <c r="C12" t="s">
        <v>55</v>
      </c>
      <c r="E12" t="s">
        <v>56</v>
      </c>
      <c r="F12" t="s">
        <v>57</v>
      </c>
      <c r="L12" t="s">
        <v>37</v>
      </c>
    </row>
    <row r="13" spans="1:12" x14ac:dyDescent="0.3">
      <c r="A13" t="s">
        <v>58</v>
      </c>
      <c r="B13">
        <v>1221</v>
      </c>
      <c r="C13" t="s">
        <v>59</v>
      </c>
      <c r="E13" t="s">
        <v>60</v>
      </c>
      <c r="F13" t="s">
        <v>15</v>
      </c>
      <c r="G13" s="18">
        <v>45524.916666666664</v>
      </c>
      <c r="H13" s="18">
        <v>45649.958333333336</v>
      </c>
      <c r="K13" s="18">
        <v>45649.958333333336</v>
      </c>
      <c r="L13" t="s">
        <v>16</v>
      </c>
    </row>
    <row r="14" spans="1:12" x14ac:dyDescent="0.3">
      <c r="A14" t="s">
        <v>61</v>
      </c>
      <c r="B14">
        <v>764</v>
      </c>
      <c r="C14" t="s">
        <v>62</v>
      </c>
      <c r="E14" t="s">
        <v>63</v>
      </c>
      <c r="F14" t="s">
        <v>15</v>
      </c>
      <c r="G14" s="18">
        <v>45070.916666666664</v>
      </c>
      <c r="K14" s="18">
        <v>45482.916666666664</v>
      </c>
      <c r="L14" t="s">
        <v>16</v>
      </c>
    </row>
    <row r="15" spans="1:12" x14ac:dyDescent="0.3">
      <c r="A15" t="s">
        <v>64</v>
      </c>
      <c r="B15">
        <v>516</v>
      </c>
      <c r="C15" t="s">
        <v>65</v>
      </c>
      <c r="E15" t="s">
        <v>66</v>
      </c>
      <c r="F15" t="s">
        <v>57</v>
      </c>
      <c r="L15" t="s">
        <v>37</v>
      </c>
    </row>
    <row r="16" spans="1:12" x14ac:dyDescent="0.3">
      <c r="A16" t="s">
        <v>67</v>
      </c>
      <c r="B16">
        <v>814</v>
      </c>
      <c r="C16" t="s">
        <v>68</v>
      </c>
      <c r="D16" t="s">
        <v>69</v>
      </c>
      <c r="E16" t="s">
        <v>70</v>
      </c>
      <c r="F16" t="s">
        <v>71</v>
      </c>
    </row>
    <row r="17" spans="1:12" x14ac:dyDescent="0.3">
      <c r="A17" t="s">
        <v>72</v>
      </c>
      <c r="B17">
        <v>194</v>
      </c>
      <c r="C17" t="s">
        <v>73</v>
      </c>
      <c r="D17" t="s">
        <v>74</v>
      </c>
      <c r="E17" t="s">
        <v>75</v>
      </c>
      <c r="F17" t="s">
        <v>41</v>
      </c>
      <c r="G17" s="18">
        <v>45760.916666666664</v>
      </c>
      <c r="L17" t="s">
        <v>21</v>
      </c>
    </row>
    <row r="18" spans="1:12" x14ac:dyDescent="0.3">
      <c r="A18" t="s">
        <v>76</v>
      </c>
      <c r="B18">
        <v>406</v>
      </c>
      <c r="C18" t="s">
        <v>77</v>
      </c>
      <c r="D18" t="s">
        <v>78</v>
      </c>
      <c r="E18" t="s">
        <v>79</v>
      </c>
      <c r="F18" t="s">
        <v>57</v>
      </c>
      <c r="L18" t="s">
        <v>21</v>
      </c>
    </row>
    <row r="19" spans="1:12" x14ac:dyDescent="0.3">
      <c r="A19" t="s">
        <v>80</v>
      </c>
      <c r="B19">
        <v>1402</v>
      </c>
      <c r="C19" t="s">
        <v>81</v>
      </c>
      <c r="D19" t="s">
        <v>82</v>
      </c>
      <c r="E19" t="s">
        <v>83</v>
      </c>
      <c r="F19" t="s">
        <v>53</v>
      </c>
      <c r="I19" s="18">
        <v>45804.916666666664</v>
      </c>
      <c r="J19" s="18">
        <v>45835.916666666664</v>
      </c>
      <c r="L19" t="s">
        <v>21</v>
      </c>
    </row>
    <row r="20" spans="1:12" x14ac:dyDescent="0.3">
      <c r="A20" t="s">
        <v>84</v>
      </c>
      <c r="B20">
        <v>347</v>
      </c>
      <c r="C20" t="s">
        <v>85</v>
      </c>
      <c r="D20" t="s">
        <v>86</v>
      </c>
      <c r="E20" t="s">
        <v>87</v>
      </c>
      <c r="F20" t="s">
        <v>53</v>
      </c>
      <c r="G20" s="18">
        <v>45760.916666666664</v>
      </c>
      <c r="L20" t="s">
        <v>88</v>
      </c>
    </row>
    <row r="21" spans="1:12" x14ac:dyDescent="0.3">
      <c r="A21" t="s">
        <v>89</v>
      </c>
      <c r="B21">
        <v>272</v>
      </c>
      <c r="C21" t="s">
        <v>90</v>
      </c>
      <c r="D21" t="s">
        <v>91</v>
      </c>
      <c r="E21" t="s">
        <v>92</v>
      </c>
      <c r="F21" t="s">
        <v>41</v>
      </c>
      <c r="G21" s="18">
        <v>45776.916666666664</v>
      </c>
      <c r="L21" t="s">
        <v>16</v>
      </c>
    </row>
    <row r="22" spans="1:12" x14ac:dyDescent="0.3">
      <c r="A22" t="s">
        <v>93</v>
      </c>
      <c r="B22">
        <v>853</v>
      </c>
      <c r="C22" t="s">
        <v>94</v>
      </c>
      <c r="E22" t="s">
        <v>95</v>
      </c>
      <c r="F22" t="s">
        <v>71</v>
      </c>
      <c r="L22" t="s">
        <v>16</v>
      </c>
    </row>
    <row r="23" spans="1:12" x14ac:dyDescent="0.3">
      <c r="A23" t="s">
        <v>96</v>
      </c>
      <c r="B23">
        <v>189</v>
      </c>
      <c r="C23" t="s">
        <v>97</v>
      </c>
      <c r="E23" t="s">
        <v>98</v>
      </c>
      <c r="F23" t="s">
        <v>53</v>
      </c>
      <c r="L23" t="s">
        <v>16</v>
      </c>
    </row>
    <row r="24" spans="1:12" x14ac:dyDescent="0.3">
      <c r="A24" t="s">
        <v>99</v>
      </c>
      <c r="B24">
        <v>208</v>
      </c>
      <c r="C24" t="s">
        <v>100</v>
      </c>
      <c r="D24" t="s">
        <v>101</v>
      </c>
      <c r="E24" t="s">
        <v>102</v>
      </c>
      <c r="F24" t="s">
        <v>41</v>
      </c>
      <c r="G24" s="18">
        <v>45760.916666666664</v>
      </c>
      <c r="L24" t="s">
        <v>21</v>
      </c>
    </row>
    <row r="25" spans="1:12" x14ac:dyDescent="0.3">
      <c r="A25" t="s">
        <v>103</v>
      </c>
      <c r="B25">
        <v>134</v>
      </c>
      <c r="C25" t="s">
        <v>104</v>
      </c>
      <c r="E25" t="s">
        <v>105</v>
      </c>
      <c r="F25" t="s">
        <v>41</v>
      </c>
      <c r="G25" s="18">
        <v>45761.916666666664</v>
      </c>
      <c r="L25" t="s">
        <v>16</v>
      </c>
    </row>
    <row r="26" spans="1:12" x14ac:dyDescent="0.3">
      <c r="A26" t="s">
        <v>106</v>
      </c>
      <c r="B26">
        <v>449</v>
      </c>
      <c r="C26" t="s">
        <v>107</v>
      </c>
      <c r="D26" t="s">
        <v>108</v>
      </c>
      <c r="E26" t="s">
        <v>109</v>
      </c>
      <c r="F26" t="s">
        <v>57</v>
      </c>
      <c r="L26" t="s">
        <v>21</v>
      </c>
    </row>
    <row r="27" spans="1:12" x14ac:dyDescent="0.3">
      <c r="A27" t="s">
        <v>110</v>
      </c>
      <c r="B27">
        <v>1448</v>
      </c>
      <c r="C27" t="s">
        <v>111</v>
      </c>
      <c r="D27" t="s">
        <v>112</v>
      </c>
      <c r="E27" t="s">
        <v>113</v>
      </c>
      <c r="F27" t="s">
        <v>53</v>
      </c>
      <c r="L27" t="s">
        <v>37</v>
      </c>
    </row>
    <row r="28" spans="1:12" x14ac:dyDescent="0.3">
      <c r="A28" t="s">
        <v>114</v>
      </c>
      <c r="B28">
        <v>2135</v>
      </c>
      <c r="C28" t="s">
        <v>115</v>
      </c>
      <c r="D28" t="s">
        <v>116</v>
      </c>
      <c r="E28" t="s">
        <v>117</v>
      </c>
    </row>
    <row r="29" spans="1:12" x14ac:dyDescent="0.3">
      <c r="A29" t="s">
        <v>118</v>
      </c>
      <c r="B29">
        <v>1356</v>
      </c>
      <c r="C29" t="s">
        <v>119</v>
      </c>
      <c r="E29" t="s">
        <v>120</v>
      </c>
      <c r="F29" t="s">
        <v>71</v>
      </c>
      <c r="L29" t="s">
        <v>21</v>
      </c>
    </row>
    <row r="30" spans="1:12" x14ac:dyDescent="0.3">
      <c r="A30" t="s">
        <v>121</v>
      </c>
      <c r="B30">
        <v>2114</v>
      </c>
      <c r="C30" t="s">
        <v>122</v>
      </c>
      <c r="D30" t="s">
        <v>123</v>
      </c>
      <c r="E30" t="s">
        <v>124</v>
      </c>
    </row>
    <row r="31" spans="1:12" x14ac:dyDescent="0.3">
      <c r="A31" t="s">
        <v>125</v>
      </c>
      <c r="B31">
        <v>460</v>
      </c>
      <c r="C31" t="s">
        <v>126</v>
      </c>
      <c r="D31" t="s">
        <v>127</v>
      </c>
      <c r="E31" t="s">
        <v>128</v>
      </c>
      <c r="F31" t="s">
        <v>53</v>
      </c>
      <c r="L31" t="s">
        <v>16</v>
      </c>
    </row>
    <row r="32" spans="1:12" x14ac:dyDescent="0.3">
      <c r="A32" t="s">
        <v>129</v>
      </c>
      <c r="B32">
        <v>1382</v>
      </c>
      <c r="C32" t="s">
        <v>130</v>
      </c>
      <c r="D32" t="s">
        <v>131</v>
      </c>
      <c r="E32" t="s">
        <v>132</v>
      </c>
      <c r="F32" t="s">
        <v>15</v>
      </c>
      <c r="K32" s="18">
        <v>45719.958333333336</v>
      </c>
      <c r="L32" t="s">
        <v>21</v>
      </c>
    </row>
    <row r="33" spans="1:12" x14ac:dyDescent="0.3">
      <c r="A33" t="s">
        <v>133</v>
      </c>
      <c r="B33">
        <v>1449</v>
      </c>
      <c r="C33" t="s">
        <v>134</v>
      </c>
      <c r="E33" t="s">
        <v>135</v>
      </c>
      <c r="F33" t="s">
        <v>53</v>
      </c>
      <c r="L33" t="s">
        <v>37</v>
      </c>
    </row>
    <row r="34" spans="1:12" x14ac:dyDescent="0.3">
      <c r="A34" t="s">
        <v>136</v>
      </c>
      <c r="B34">
        <v>648</v>
      </c>
      <c r="C34" t="s">
        <v>137</v>
      </c>
      <c r="D34" t="s">
        <v>138</v>
      </c>
      <c r="E34" t="s">
        <v>139</v>
      </c>
      <c r="F34" t="s">
        <v>15</v>
      </c>
      <c r="K34" s="18">
        <v>45781.916666666664</v>
      </c>
      <c r="L34" t="s">
        <v>21</v>
      </c>
    </row>
    <row r="35" spans="1:12" x14ac:dyDescent="0.3">
      <c r="A35" t="s">
        <v>140</v>
      </c>
      <c r="B35">
        <v>243</v>
      </c>
      <c r="C35" t="s">
        <v>141</v>
      </c>
      <c r="D35" t="s">
        <v>142</v>
      </c>
      <c r="E35" t="s">
        <v>143</v>
      </c>
      <c r="F35" t="s">
        <v>41</v>
      </c>
      <c r="G35" s="18">
        <v>45761.916666666664</v>
      </c>
      <c r="L35" t="s">
        <v>16</v>
      </c>
    </row>
    <row r="36" spans="1:12" x14ac:dyDescent="0.3">
      <c r="A36" t="s">
        <v>144</v>
      </c>
      <c r="B36">
        <v>1770</v>
      </c>
      <c r="C36" t="s">
        <v>145</v>
      </c>
      <c r="D36" t="s">
        <v>146</v>
      </c>
      <c r="E36" t="s">
        <v>147</v>
      </c>
      <c r="F36" t="s">
        <v>53</v>
      </c>
      <c r="L36" t="s">
        <v>148</v>
      </c>
    </row>
    <row r="37" spans="1:12" x14ac:dyDescent="0.3">
      <c r="A37" t="s">
        <v>149</v>
      </c>
      <c r="B37">
        <v>662</v>
      </c>
      <c r="C37" t="s">
        <v>150</v>
      </c>
      <c r="E37" t="s">
        <v>151</v>
      </c>
      <c r="F37" t="s">
        <v>15</v>
      </c>
      <c r="G37" s="18">
        <v>45536.916666666664</v>
      </c>
      <c r="H37" s="18">
        <v>45555.916666666664</v>
      </c>
      <c r="K37" s="18">
        <v>45555.916666666664</v>
      </c>
      <c r="L37" t="s">
        <v>21</v>
      </c>
    </row>
    <row r="38" spans="1:12" x14ac:dyDescent="0.3">
      <c r="A38" t="s">
        <v>152</v>
      </c>
      <c r="B38">
        <v>9</v>
      </c>
      <c r="C38" t="s">
        <v>153</v>
      </c>
      <c r="D38" t="s">
        <v>154</v>
      </c>
      <c r="E38" t="s">
        <v>155</v>
      </c>
      <c r="F38" t="s">
        <v>41</v>
      </c>
      <c r="G38" s="18">
        <v>45784.916666666664</v>
      </c>
      <c r="K38" s="18">
        <v>45804.916666666664</v>
      </c>
      <c r="L38" t="s">
        <v>16</v>
      </c>
    </row>
    <row r="39" spans="1:12" x14ac:dyDescent="0.3">
      <c r="A39" t="s">
        <v>156</v>
      </c>
      <c r="B39">
        <v>128</v>
      </c>
      <c r="C39" t="s">
        <v>157</v>
      </c>
      <c r="E39" t="s">
        <v>158</v>
      </c>
      <c r="F39" t="s">
        <v>41</v>
      </c>
      <c r="G39" s="18">
        <v>45784.916666666664</v>
      </c>
      <c r="H39" s="18">
        <v>45747.916666666664</v>
      </c>
      <c r="L39" t="s">
        <v>16</v>
      </c>
    </row>
    <row r="40" spans="1:12" x14ac:dyDescent="0.3">
      <c r="A40" t="s">
        <v>159</v>
      </c>
      <c r="B40">
        <v>960</v>
      </c>
      <c r="C40" t="s">
        <v>160</v>
      </c>
      <c r="E40" t="s">
        <v>161</v>
      </c>
      <c r="F40" t="s">
        <v>15</v>
      </c>
      <c r="G40" s="18">
        <v>45470.916666666664</v>
      </c>
      <c r="H40" s="18">
        <v>45566.916666666664</v>
      </c>
      <c r="K40" s="18">
        <v>45566.916666666664</v>
      </c>
      <c r="L40" t="s">
        <v>21</v>
      </c>
    </row>
    <row r="41" spans="1:12" x14ac:dyDescent="0.3">
      <c r="A41" t="s">
        <v>162</v>
      </c>
      <c r="B41">
        <v>1352</v>
      </c>
      <c r="C41" t="s">
        <v>163</v>
      </c>
      <c r="F41" t="s">
        <v>71</v>
      </c>
    </row>
    <row r="42" spans="1:12" x14ac:dyDescent="0.3">
      <c r="A42" t="s">
        <v>164</v>
      </c>
      <c r="B42">
        <v>1253</v>
      </c>
      <c r="C42" t="s">
        <v>165</v>
      </c>
      <c r="E42" t="s">
        <v>166</v>
      </c>
      <c r="F42" t="s">
        <v>71</v>
      </c>
      <c r="L42" t="s">
        <v>21</v>
      </c>
    </row>
    <row r="43" spans="1:12" x14ac:dyDescent="0.3">
      <c r="A43" t="s">
        <v>167</v>
      </c>
      <c r="B43">
        <v>1380</v>
      </c>
      <c r="C43" t="s">
        <v>168</v>
      </c>
      <c r="E43" t="s">
        <v>169</v>
      </c>
      <c r="F43" t="s">
        <v>170</v>
      </c>
      <c r="K43" s="18">
        <v>45715.958333333336</v>
      </c>
      <c r="L43" t="s">
        <v>21</v>
      </c>
    </row>
    <row r="44" spans="1:12" x14ac:dyDescent="0.3">
      <c r="A44" t="s">
        <v>171</v>
      </c>
      <c r="B44">
        <v>388</v>
      </c>
      <c r="C44" t="s">
        <v>172</v>
      </c>
      <c r="D44" t="s">
        <v>173</v>
      </c>
      <c r="E44" t="s">
        <v>174</v>
      </c>
      <c r="F44" t="s">
        <v>41</v>
      </c>
      <c r="G44" s="18">
        <v>45761.916666666664</v>
      </c>
      <c r="L44" t="s">
        <v>16</v>
      </c>
    </row>
    <row r="45" spans="1:12" x14ac:dyDescent="0.3">
      <c r="A45" t="s">
        <v>175</v>
      </c>
      <c r="B45">
        <v>1921</v>
      </c>
      <c r="C45" t="s">
        <v>176</v>
      </c>
      <c r="D45" t="s">
        <v>177</v>
      </c>
      <c r="E45" t="s">
        <v>178</v>
      </c>
    </row>
    <row r="46" spans="1:12" x14ac:dyDescent="0.3">
      <c r="A46" t="s">
        <v>179</v>
      </c>
      <c r="B46">
        <v>1319</v>
      </c>
      <c r="C46" t="s">
        <v>180</v>
      </c>
      <c r="E46" t="s">
        <v>181</v>
      </c>
      <c r="F46" t="s">
        <v>15</v>
      </c>
      <c r="G46" s="18">
        <v>45700.958333333336</v>
      </c>
      <c r="L46" t="s">
        <v>16</v>
      </c>
    </row>
    <row r="47" spans="1:12" x14ac:dyDescent="0.3">
      <c r="A47" t="s">
        <v>182</v>
      </c>
      <c r="B47">
        <v>593</v>
      </c>
      <c r="C47" t="s">
        <v>183</v>
      </c>
      <c r="D47" t="s">
        <v>184</v>
      </c>
      <c r="E47" t="s">
        <v>185</v>
      </c>
      <c r="F47" t="s">
        <v>57</v>
      </c>
      <c r="L47" t="s">
        <v>21</v>
      </c>
    </row>
    <row r="48" spans="1:12" x14ac:dyDescent="0.3">
      <c r="A48" t="s">
        <v>186</v>
      </c>
      <c r="B48">
        <v>302</v>
      </c>
      <c r="C48" t="s">
        <v>187</v>
      </c>
      <c r="E48" t="s">
        <v>188</v>
      </c>
      <c r="F48" t="s">
        <v>41</v>
      </c>
      <c r="G48" s="18">
        <v>45799.916666666664</v>
      </c>
      <c r="L48" t="s">
        <v>16</v>
      </c>
    </row>
    <row r="49" spans="1:12" x14ac:dyDescent="0.3">
      <c r="A49" t="s">
        <v>189</v>
      </c>
      <c r="B49">
        <v>1056</v>
      </c>
      <c r="C49" t="s">
        <v>190</v>
      </c>
      <c r="E49" t="s">
        <v>191</v>
      </c>
      <c r="F49" t="s">
        <v>15</v>
      </c>
      <c r="G49" s="18">
        <v>45401.916666666664</v>
      </c>
      <c r="H49" s="18">
        <v>45432.916666666664</v>
      </c>
      <c r="L49" t="s">
        <v>16</v>
      </c>
    </row>
    <row r="50" spans="1:12" x14ac:dyDescent="0.3">
      <c r="A50" t="s">
        <v>192</v>
      </c>
      <c r="B50">
        <v>1400</v>
      </c>
      <c r="C50" t="s">
        <v>193</v>
      </c>
      <c r="D50" t="s">
        <v>194</v>
      </c>
      <c r="E50" t="s">
        <v>195</v>
      </c>
      <c r="F50" t="s">
        <v>53</v>
      </c>
    </row>
    <row r="51" spans="1:12" x14ac:dyDescent="0.3">
      <c r="A51" t="s">
        <v>196</v>
      </c>
      <c r="B51">
        <v>362</v>
      </c>
      <c r="C51" t="s">
        <v>197</v>
      </c>
      <c r="D51" t="s">
        <v>198</v>
      </c>
      <c r="E51" t="s">
        <v>199</v>
      </c>
      <c r="F51" t="s">
        <v>53</v>
      </c>
      <c r="L51" t="s">
        <v>16</v>
      </c>
    </row>
    <row r="52" spans="1:12" x14ac:dyDescent="0.3">
      <c r="A52" t="s">
        <v>200</v>
      </c>
      <c r="B52">
        <v>456</v>
      </c>
      <c r="C52" t="s">
        <v>201</v>
      </c>
      <c r="E52" t="s">
        <v>202</v>
      </c>
      <c r="F52" t="s">
        <v>41</v>
      </c>
      <c r="G52" s="18">
        <v>45761.916666666664</v>
      </c>
      <c r="L52" t="s">
        <v>16</v>
      </c>
    </row>
    <row r="53" spans="1:12" x14ac:dyDescent="0.3">
      <c r="A53" t="s">
        <v>203</v>
      </c>
      <c r="B53">
        <v>1936</v>
      </c>
      <c r="C53" t="s">
        <v>204</v>
      </c>
      <c r="D53" t="s">
        <v>205</v>
      </c>
      <c r="E53" t="s">
        <v>206</v>
      </c>
    </row>
    <row r="54" spans="1:12" x14ac:dyDescent="0.3">
      <c r="A54" t="s">
        <v>207</v>
      </c>
      <c r="B54">
        <v>1450</v>
      </c>
      <c r="C54" t="s">
        <v>208</v>
      </c>
      <c r="E54" t="s">
        <v>209</v>
      </c>
      <c r="F54" t="s">
        <v>53</v>
      </c>
      <c r="L54" t="s">
        <v>37</v>
      </c>
    </row>
    <row r="55" spans="1:12" x14ac:dyDescent="0.3">
      <c r="A55" t="s">
        <v>210</v>
      </c>
      <c r="B55">
        <v>2098</v>
      </c>
      <c r="C55" t="s">
        <v>211</v>
      </c>
      <c r="D55" t="s">
        <v>212</v>
      </c>
      <c r="E55" t="s">
        <v>213</v>
      </c>
    </row>
    <row r="56" spans="1:12" x14ac:dyDescent="0.3">
      <c r="A56" t="s">
        <v>214</v>
      </c>
      <c r="B56">
        <v>831</v>
      </c>
      <c r="C56" t="s">
        <v>215</v>
      </c>
      <c r="E56" t="s">
        <v>216</v>
      </c>
      <c r="F56" t="s">
        <v>71</v>
      </c>
      <c r="L56" t="s">
        <v>16</v>
      </c>
    </row>
    <row r="57" spans="1:12" x14ac:dyDescent="0.3">
      <c r="A57" t="s">
        <v>217</v>
      </c>
      <c r="B57">
        <v>386</v>
      </c>
      <c r="C57" t="s">
        <v>218</v>
      </c>
      <c r="D57" t="s">
        <v>219</v>
      </c>
      <c r="E57" t="s">
        <v>220</v>
      </c>
      <c r="F57" t="s">
        <v>41</v>
      </c>
      <c r="G57" s="18">
        <v>45761.916666666664</v>
      </c>
      <c r="L57" t="s">
        <v>16</v>
      </c>
    </row>
    <row r="58" spans="1:12" x14ac:dyDescent="0.3">
      <c r="A58" t="s">
        <v>221</v>
      </c>
      <c r="B58">
        <v>1684</v>
      </c>
      <c r="C58" t="s">
        <v>222</v>
      </c>
      <c r="D58" t="s">
        <v>223</v>
      </c>
      <c r="E58" t="s">
        <v>224</v>
      </c>
      <c r="L58" t="s">
        <v>225</v>
      </c>
    </row>
    <row r="59" spans="1:12" x14ac:dyDescent="0.3">
      <c r="A59" t="s">
        <v>226</v>
      </c>
      <c r="B59">
        <v>1451</v>
      </c>
      <c r="C59" t="s">
        <v>227</v>
      </c>
      <c r="D59" t="s">
        <v>228</v>
      </c>
      <c r="E59" t="s">
        <v>229</v>
      </c>
      <c r="F59" t="s">
        <v>53</v>
      </c>
      <c r="L59" t="s">
        <v>230</v>
      </c>
    </row>
    <row r="60" spans="1:12" x14ac:dyDescent="0.3">
      <c r="A60" t="s">
        <v>231</v>
      </c>
      <c r="B60">
        <v>1313</v>
      </c>
      <c r="C60" t="s">
        <v>232</v>
      </c>
      <c r="E60" t="s">
        <v>233</v>
      </c>
      <c r="F60" t="s">
        <v>170</v>
      </c>
      <c r="G60" s="18">
        <v>45728.958333333336</v>
      </c>
      <c r="H60" s="18">
        <v>45763.916666666664</v>
      </c>
      <c r="K60" s="18">
        <v>45763.916666666664</v>
      </c>
      <c r="L60" t="s">
        <v>16</v>
      </c>
    </row>
    <row r="61" spans="1:12" x14ac:dyDescent="0.3">
      <c r="A61" t="s">
        <v>234</v>
      </c>
      <c r="B61">
        <v>1984</v>
      </c>
      <c r="C61" t="s">
        <v>235</v>
      </c>
      <c r="E61" t="s">
        <v>236</v>
      </c>
    </row>
    <row r="62" spans="1:12" x14ac:dyDescent="0.3">
      <c r="A62" t="s">
        <v>237</v>
      </c>
      <c r="B62">
        <v>1876</v>
      </c>
      <c r="C62" t="s">
        <v>238</v>
      </c>
      <c r="D62" t="s">
        <v>239</v>
      </c>
      <c r="E62" t="s">
        <v>240</v>
      </c>
    </row>
    <row r="63" spans="1:12" x14ac:dyDescent="0.3">
      <c r="A63" t="s">
        <v>241</v>
      </c>
      <c r="B63">
        <v>2074</v>
      </c>
      <c r="C63" t="s">
        <v>242</v>
      </c>
      <c r="D63" t="s">
        <v>243</v>
      </c>
      <c r="E63" t="s">
        <v>244</v>
      </c>
    </row>
    <row r="64" spans="1:12" x14ac:dyDescent="0.3">
      <c r="A64" t="s">
        <v>245</v>
      </c>
      <c r="B64">
        <v>1273</v>
      </c>
      <c r="C64" t="s">
        <v>246</v>
      </c>
      <c r="E64" t="s">
        <v>247</v>
      </c>
      <c r="F64" t="s">
        <v>15</v>
      </c>
      <c r="G64" s="18">
        <v>45464.916666666664</v>
      </c>
      <c r="H64" s="18">
        <v>45531.916666666664</v>
      </c>
      <c r="K64" s="18">
        <v>45531.916666666664</v>
      </c>
      <c r="L64" t="s">
        <v>16</v>
      </c>
    </row>
    <row r="65" spans="1:12" x14ac:dyDescent="0.3">
      <c r="A65" t="s">
        <v>248</v>
      </c>
      <c r="B65">
        <v>1355</v>
      </c>
      <c r="C65" t="s">
        <v>249</v>
      </c>
      <c r="D65" t="s">
        <v>250</v>
      </c>
      <c r="E65" t="s">
        <v>251</v>
      </c>
      <c r="F65" t="s">
        <v>15</v>
      </c>
      <c r="K65" s="18">
        <v>45799.916666666664</v>
      </c>
      <c r="L65" t="s">
        <v>16</v>
      </c>
    </row>
    <row r="66" spans="1:12" x14ac:dyDescent="0.3">
      <c r="A66" t="s">
        <v>252</v>
      </c>
      <c r="B66">
        <v>1277</v>
      </c>
      <c r="C66" t="s">
        <v>253</v>
      </c>
      <c r="E66" t="s">
        <v>254</v>
      </c>
      <c r="F66" t="s">
        <v>49</v>
      </c>
      <c r="L66" t="s">
        <v>37</v>
      </c>
    </row>
    <row r="67" spans="1:12" x14ac:dyDescent="0.3">
      <c r="A67" t="s">
        <v>255</v>
      </c>
      <c r="B67">
        <v>1051</v>
      </c>
      <c r="C67" t="s">
        <v>256</v>
      </c>
      <c r="E67" t="s">
        <v>257</v>
      </c>
      <c r="F67" t="s">
        <v>49</v>
      </c>
      <c r="L67" t="s">
        <v>16</v>
      </c>
    </row>
    <row r="68" spans="1:12" x14ac:dyDescent="0.3">
      <c r="A68" t="s">
        <v>258</v>
      </c>
      <c r="B68">
        <v>1973</v>
      </c>
      <c r="C68" t="s">
        <v>259</v>
      </c>
      <c r="D68" t="s">
        <v>260</v>
      </c>
      <c r="E68" t="s">
        <v>261</v>
      </c>
    </row>
    <row r="69" spans="1:12" x14ac:dyDescent="0.3">
      <c r="A69" t="s">
        <v>262</v>
      </c>
      <c r="B69">
        <v>1128</v>
      </c>
      <c r="C69" t="s">
        <v>263</v>
      </c>
      <c r="E69" t="s">
        <v>264</v>
      </c>
      <c r="F69" t="s">
        <v>170</v>
      </c>
      <c r="L69" t="s">
        <v>16</v>
      </c>
    </row>
    <row r="70" spans="1:12" x14ac:dyDescent="0.3">
      <c r="A70" t="s">
        <v>265</v>
      </c>
      <c r="B70">
        <v>2018</v>
      </c>
      <c r="C70" t="s">
        <v>266</v>
      </c>
      <c r="E70" t="s">
        <v>267</v>
      </c>
    </row>
    <row r="71" spans="1:12" x14ac:dyDescent="0.3">
      <c r="A71" t="s">
        <v>268</v>
      </c>
      <c r="B71">
        <v>254</v>
      </c>
      <c r="C71" t="s">
        <v>269</v>
      </c>
      <c r="D71" t="s">
        <v>270</v>
      </c>
      <c r="E71" t="s">
        <v>271</v>
      </c>
      <c r="F71" t="s">
        <v>41</v>
      </c>
      <c r="G71" s="18">
        <v>45760.916666666664</v>
      </c>
      <c r="L71" t="s">
        <v>21</v>
      </c>
    </row>
    <row r="72" spans="1:12" x14ac:dyDescent="0.3">
      <c r="A72" t="s">
        <v>272</v>
      </c>
      <c r="B72">
        <v>934</v>
      </c>
      <c r="C72" t="s">
        <v>273</v>
      </c>
      <c r="E72" t="s">
        <v>274</v>
      </c>
      <c r="F72" t="s">
        <v>275</v>
      </c>
      <c r="G72" s="18">
        <v>45669.958333333336</v>
      </c>
      <c r="K72" s="18">
        <v>45708.958333333336</v>
      </c>
      <c r="L72" t="s">
        <v>21</v>
      </c>
    </row>
    <row r="73" spans="1:12" x14ac:dyDescent="0.3">
      <c r="A73" t="s">
        <v>276</v>
      </c>
      <c r="B73">
        <v>783</v>
      </c>
      <c r="C73" t="s">
        <v>277</v>
      </c>
      <c r="E73" t="s">
        <v>278</v>
      </c>
      <c r="F73" t="s">
        <v>71</v>
      </c>
      <c r="L73" t="s">
        <v>16</v>
      </c>
    </row>
    <row r="74" spans="1:12" x14ac:dyDescent="0.3">
      <c r="A74" t="s">
        <v>279</v>
      </c>
      <c r="B74">
        <v>1236</v>
      </c>
      <c r="C74" t="s">
        <v>280</v>
      </c>
      <c r="E74" t="s">
        <v>281</v>
      </c>
      <c r="F74" t="s">
        <v>71</v>
      </c>
      <c r="L74" t="s">
        <v>21</v>
      </c>
    </row>
    <row r="75" spans="1:12" x14ac:dyDescent="0.3">
      <c r="A75" t="s">
        <v>282</v>
      </c>
      <c r="B75">
        <v>1244</v>
      </c>
      <c r="C75" t="s">
        <v>283</v>
      </c>
      <c r="E75" t="s">
        <v>284</v>
      </c>
      <c r="F75" t="s">
        <v>15</v>
      </c>
      <c r="L75" t="s">
        <v>21</v>
      </c>
    </row>
    <row r="76" spans="1:12" x14ac:dyDescent="0.3">
      <c r="A76" t="s">
        <v>285</v>
      </c>
      <c r="B76">
        <v>1232</v>
      </c>
      <c r="C76" t="s">
        <v>286</v>
      </c>
      <c r="E76" t="s">
        <v>287</v>
      </c>
      <c r="F76" t="s">
        <v>15</v>
      </c>
      <c r="K76" s="18">
        <v>45735.958333333336</v>
      </c>
      <c r="L76" t="s">
        <v>21</v>
      </c>
    </row>
    <row r="77" spans="1:12" x14ac:dyDescent="0.3">
      <c r="A77" t="s">
        <v>288</v>
      </c>
      <c r="B77">
        <v>888</v>
      </c>
      <c r="C77" t="s">
        <v>289</v>
      </c>
      <c r="E77" t="s">
        <v>290</v>
      </c>
      <c r="F77" t="s">
        <v>15</v>
      </c>
      <c r="K77" s="18">
        <v>45533.916666666664</v>
      </c>
      <c r="L77" t="s">
        <v>21</v>
      </c>
    </row>
    <row r="78" spans="1:12" x14ac:dyDescent="0.3">
      <c r="A78" t="s">
        <v>291</v>
      </c>
      <c r="B78">
        <v>769</v>
      </c>
      <c r="C78" t="s">
        <v>292</v>
      </c>
      <c r="E78" t="s">
        <v>293</v>
      </c>
      <c r="F78" t="s">
        <v>15</v>
      </c>
      <c r="G78" s="18">
        <v>45438.916666666664</v>
      </c>
      <c r="H78" s="18">
        <v>45534.916666666664</v>
      </c>
      <c r="K78" s="18">
        <v>45534.916666666664</v>
      </c>
      <c r="L78" t="s">
        <v>16</v>
      </c>
    </row>
    <row r="79" spans="1:12" x14ac:dyDescent="0.3">
      <c r="A79" t="s">
        <v>294</v>
      </c>
      <c r="B79">
        <v>1707</v>
      </c>
      <c r="C79" t="s">
        <v>295</v>
      </c>
      <c r="D79" t="s">
        <v>296</v>
      </c>
      <c r="E79" t="s">
        <v>297</v>
      </c>
      <c r="F79" t="s">
        <v>53</v>
      </c>
      <c r="L79" t="s">
        <v>230</v>
      </c>
    </row>
    <row r="80" spans="1:12" x14ac:dyDescent="0.3">
      <c r="A80" t="s">
        <v>298</v>
      </c>
      <c r="B80">
        <v>677</v>
      </c>
      <c r="C80" t="s">
        <v>299</v>
      </c>
      <c r="E80" t="s">
        <v>300</v>
      </c>
      <c r="F80" t="s">
        <v>15</v>
      </c>
      <c r="G80" s="18">
        <v>45669.958333333336</v>
      </c>
      <c r="K80" s="18">
        <v>45725.958333333336</v>
      </c>
      <c r="L80" t="s">
        <v>16</v>
      </c>
    </row>
    <row r="81" spans="1:12" x14ac:dyDescent="0.3">
      <c r="A81" t="s">
        <v>301</v>
      </c>
      <c r="B81">
        <v>815</v>
      </c>
      <c r="C81" t="s">
        <v>302</v>
      </c>
      <c r="E81" t="s">
        <v>303</v>
      </c>
      <c r="F81" t="s">
        <v>71</v>
      </c>
      <c r="L81" t="s">
        <v>16</v>
      </c>
    </row>
    <row r="82" spans="1:12" x14ac:dyDescent="0.3">
      <c r="A82" t="s">
        <v>304</v>
      </c>
      <c r="B82">
        <v>166</v>
      </c>
      <c r="C82" t="s">
        <v>305</v>
      </c>
      <c r="D82" t="s">
        <v>306</v>
      </c>
      <c r="E82" t="s">
        <v>307</v>
      </c>
      <c r="F82" t="s">
        <v>41</v>
      </c>
      <c r="G82" s="18">
        <v>45761.916666666664</v>
      </c>
      <c r="L82" t="s">
        <v>16</v>
      </c>
    </row>
    <row r="83" spans="1:12" x14ac:dyDescent="0.3">
      <c r="A83" t="s">
        <v>308</v>
      </c>
      <c r="B83">
        <v>651</v>
      </c>
      <c r="C83" t="s">
        <v>309</v>
      </c>
      <c r="E83" t="s">
        <v>310</v>
      </c>
      <c r="F83" t="s">
        <v>15</v>
      </c>
      <c r="G83" s="18">
        <v>45634.958333333336</v>
      </c>
      <c r="K83" s="18">
        <v>45706.958333333336</v>
      </c>
      <c r="L83" t="s">
        <v>21</v>
      </c>
    </row>
    <row r="84" spans="1:12" x14ac:dyDescent="0.3">
      <c r="A84" t="s">
        <v>311</v>
      </c>
      <c r="B84">
        <v>565</v>
      </c>
      <c r="C84" t="s">
        <v>312</v>
      </c>
      <c r="D84" t="s">
        <v>313</v>
      </c>
      <c r="E84" t="s">
        <v>314</v>
      </c>
      <c r="F84" t="s">
        <v>53</v>
      </c>
      <c r="L84" t="s">
        <v>315</v>
      </c>
    </row>
    <row r="85" spans="1:12" x14ac:dyDescent="0.3">
      <c r="A85" t="s">
        <v>316</v>
      </c>
      <c r="B85">
        <v>2079</v>
      </c>
      <c r="C85" t="s">
        <v>317</v>
      </c>
      <c r="D85" t="s">
        <v>318</v>
      </c>
      <c r="E85" t="s">
        <v>319</v>
      </c>
      <c r="F85" t="s">
        <v>41</v>
      </c>
      <c r="G85" s="18">
        <v>45826.916666666664</v>
      </c>
    </row>
    <row r="86" spans="1:12" x14ac:dyDescent="0.3">
      <c r="A86" t="s">
        <v>320</v>
      </c>
      <c r="B86">
        <v>247</v>
      </c>
      <c r="C86" t="s">
        <v>321</v>
      </c>
      <c r="E86" t="s">
        <v>322</v>
      </c>
      <c r="F86" t="s">
        <v>41</v>
      </c>
      <c r="G86" s="18">
        <v>45799.916666666664</v>
      </c>
      <c r="L86" t="s">
        <v>21</v>
      </c>
    </row>
    <row r="87" spans="1:12" x14ac:dyDescent="0.3">
      <c r="A87" t="s">
        <v>323</v>
      </c>
      <c r="B87">
        <v>442</v>
      </c>
      <c r="C87" t="s">
        <v>324</v>
      </c>
      <c r="E87" t="s">
        <v>325</v>
      </c>
      <c r="F87" t="s">
        <v>53</v>
      </c>
      <c r="L87" t="s">
        <v>16</v>
      </c>
    </row>
    <row r="88" spans="1:12" x14ac:dyDescent="0.3">
      <c r="A88" t="s">
        <v>326</v>
      </c>
      <c r="B88">
        <v>1061</v>
      </c>
      <c r="C88" t="s">
        <v>327</v>
      </c>
      <c r="E88" t="s">
        <v>328</v>
      </c>
      <c r="F88" t="s">
        <v>71</v>
      </c>
      <c r="L88" t="s">
        <v>16</v>
      </c>
    </row>
    <row r="89" spans="1:12" x14ac:dyDescent="0.3">
      <c r="A89" t="s">
        <v>329</v>
      </c>
      <c r="B89">
        <v>1404</v>
      </c>
      <c r="C89" t="s">
        <v>330</v>
      </c>
      <c r="D89" t="s">
        <v>331</v>
      </c>
      <c r="E89" t="s">
        <v>332</v>
      </c>
      <c r="F89" t="s">
        <v>53</v>
      </c>
      <c r="I89" s="18">
        <v>45810.916666666664</v>
      </c>
      <c r="L89" t="s">
        <v>315</v>
      </c>
    </row>
    <row r="90" spans="1:12" x14ac:dyDescent="0.3">
      <c r="A90" t="s">
        <v>333</v>
      </c>
      <c r="B90">
        <v>1882</v>
      </c>
      <c r="C90" t="s">
        <v>334</v>
      </c>
      <c r="D90" t="s">
        <v>335</v>
      </c>
      <c r="E90" t="s">
        <v>336</v>
      </c>
    </row>
    <row r="91" spans="1:12" x14ac:dyDescent="0.3">
      <c r="A91" t="s">
        <v>337</v>
      </c>
      <c r="B91">
        <v>1192</v>
      </c>
      <c r="C91" t="s">
        <v>338</v>
      </c>
      <c r="E91" t="s">
        <v>339</v>
      </c>
      <c r="F91" t="s">
        <v>15</v>
      </c>
      <c r="G91" s="18">
        <v>45600.958333333336</v>
      </c>
      <c r="K91" s="18">
        <v>45730.958333333336</v>
      </c>
      <c r="L91" t="s">
        <v>21</v>
      </c>
    </row>
    <row r="92" spans="1:12" x14ac:dyDescent="0.3">
      <c r="A92" t="s">
        <v>340</v>
      </c>
      <c r="B92">
        <v>1330</v>
      </c>
      <c r="C92" t="s">
        <v>341</v>
      </c>
      <c r="E92" t="s">
        <v>342</v>
      </c>
      <c r="F92" t="s">
        <v>15</v>
      </c>
      <c r="G92" s="18">
        <v>45705.958333333336</v>
      </c>
      <c r="K92" s="18">
        <v>45729.958333333336</v>
      </c>
      <c r="L92" t="s">
        <v>16</v>
      </c>
    </row>
    <row r="93" spans="1:12" x14ac:dyDescent="0.3">
      <c r="A93" t="s">
        <v>343</v>
      </c>
      <c r="B93">
        <v>1878</v>
      </c>
      <c r="C93" t="s">
        <v>344</v>
      </c>
      <c r="D93" t="s">
        <v>345</v>
      </c>
      <c r="E93" t="s">
        <v>346</v>
      </c>
    </row>
    <row r="94" spans="1:12" x14ac:dyDescent="0.3">
      <c r="A94" t="s">
        <v>347</v>
      </c>
      <c r="B94">
        <v>1703</v>
      </c>
      <c r="C94" t="s">
        <v>348</v>
      </c>
      <c r="D94" t="s">
        <v>349</v>
      </c>
      <c r="E94" t="s">
        <v>350</v>
      </c>
      <c r="F94" t="s">
        <v>53</v>
      </c>
      <c r="L94" t="s">
        <v>88</v>
      </c>
    </row>
    <row r="95" spans="1:12" x14ac:dyDescent="0.3">
      <c r="A95" t="s">
        <v>351</v>
      </c>
      <c r="B95">
        <v>1186</v>
      </c>
      <c r="C95" t="s">
        <v>352</v>
      </c>
      <c r="E95" t="s">
        <v>353</v>
      </c>
      <c r="F95" t="s">
        <v>71</v>
      </c>
      <c r="L95" t="s">
        <v>21</v>
      </c>
    </row>
    <row r="96" spans="1:12" x14ac:dyDescent="0.3">
      <c r="A96" t="s">
        <v>354</v>
      </c>
      <c r="B96">
        <v>175</v>
      </c>
      <c r="C96" t="s">
        <v>355</v>
      </c>
      <c r="E96" t="s">
        <v>356</v>
      </c>
      <c r="F96" t="s">
        <v>36</v>
      </c>
      <c r="G96" s="18">
        <v>45678.958333333336</v>
      </c>
      <c r="L96" t="s">
        <v>37</v>
      </c>
    </row>
    <row r="97" spans="1:12" x14ac:dyDescent="0.3">
      <c r="A97" t="s">
        <v>357</v>
      </c>
      <c r="B97">
        <v>536</v>
      </c>
      <c r="C97" t="s">
        <v>358</v>
      </c>
      <c r="E97" t="s">
        <v>359</v>
      </c>
      <c r="F97" t="s">
        <v>53</v>
      </c>
      <c r="L97" t="s">
        <v>16</v>
      </c>
    </row>
    <row r="98" spans="1:12" x14ac:dyDescent="0.3">
      <c r="A98" t="s">
        <v>360</v>
      </c>
      <c r="B98">
        <v>1331</v>
      </c>
      <c r="C98" t="s">
        <v>361</v>
      </c>
      <c r="E98" t="s">
        <v>362</v>
      </c>
      <c r="F98" t="s">
        <v>15</v>
      </c>
      <c r="G98" s="18">
        <v>45705.958333333336</v>
      </c>
      <c r="L98" t="s">
        <v>16</v>
      </c>
    </row>
    <row r="99" spans="1:12" x14ac:dyDescent="0.3">
      <c r="A99" t="s">
        <v>363</v>
      </c>
      <c r="B99">
        <v>2067</v>
      </c>
      <c r="C99" t="s">
        <v>364</v>
      </c>
      <c r="D99" t="s">
        <v>365</v>
      </c>
      <c r="E99" t="s">
        <v>366</v>
      </c>
    </row>
    <row r="100" spans="1:12" x14ac:dyDescent="0.3">
      <c r="A100" t="s">
        <v>367</v>
      </c>
      <c r="B100">
        <v>1891</v>
      </c>
      <c r="C100" t="s">
        <v>368</v>
      </c>
      <c r="D100" t="s">
        <v>369</v>
      </c>
      <c r="E100" t="s">
        <v>370</v>
      </c>
    </row>
    <row r="101" spans="1:12" x14ac:dyDescent="0.3">
      <c r="A101" t="s">
        <v>371</v>
      </c>
      <c r="B101">
        <v>500</v>
      </c>
      <c r="C101" t="s">
        <v>372</v>
      </c>
      <c r="D101" t="s">
        <v>373</v>
      </c>
      <c r="E101" t="s">
        <v>374</v>
      </c>
      <c r="F101" t="s">
        <v>53</v>
      </c>
      <c r="L101" t="s">
        <v>315</v>
      </c>
    </row>
    <row r="102" spans="1:12" x14ac:dyDescent="0.3">
      <c r="A102" t="s">
        <v>375</v>
      </c>
      <c r="B102">
        <v>1964</v>
      </c>
      <c r="C102" t="s">
        <v>376</v>
      </c>
      <c r="D102" t="s">
        <v>377</v>
      </c>
      <c r="E102" t="s">
        <v>378</v>
      </c>
    </row>
    <row r="103" spans="1:12" x14ac:dyDescent="0.3">
      <c r="A103" t="s">
        <v>379</v>
      </c>
      <c r="B103">
        <v>795</v>
      </c>
      <c r="C103" t="s">
        <v>380</v>
      </c>
      <c r="E103" t="s">
        <v>381</v>
      </c>
      <c r="F103" t="s">
        <v>15</v>
      </c>
      <c r="G103" s="18">
        <v>45394.916666666664</v>
      </c>
      <c r="K103" s="18">
        <v>45730.958333333336</v>
      </c>
      <c r="L103" t="s">
        <v>21</v>
      </c>
    </row>
    <row r="104" spans="1:12" x14ac:dyDescent="0.3">
      <c r="A104" t="s">
        <v>382</v>
      </c>
      <c r="B104">
        <v>1088</v>
      </c>
      <c r="C104" t="s">
        <v>383</v>
      </c>
      <c r="E104" t="s">
        <v>384</v>
      </c>
      <c r="F104" t="s">
        <v>71</v>
      </c>
      <c r="L104" t="s">
        <v>21</v>
      </c>
    </row>
    <row r="105" spans="1:12" x14ac:dyDescent="0.3">
      <c r="A105" t="s">
        <v>385</v>
      </c>
      <c r="B105">
        <v>836</v>
      </c>
      <c r="C105" t="s">
        <v>386</v>
      </c>
      <c r="E105" t="s">
        <v>387</v>
      </c>
      <c r="F105" t="s">
        <v>15</v>
      </c>
      <c r="K105" s="18">
        <v>45595.958333333336</v>
      </c>
      <c r="L105" t="s">
        <v>16</v>
      </c>
    </row>
    <row r="106" spans="1:12" x14ac:dyDescent="0.3">
      <c r="A106" t="s">
        <v>388</v>
      </c>
      <c r="B106">
        <v>285</v>
      </c>
      <c r="C106" t="s">
        <v>389</v>
      </c>
      <c r="D106" t="s">
        <v>390</v>
      </c>
      <c r="E106" t="s">
        <v>391</v>
      </c>
      <c r="F106" t="s">
        <v>15</v>
      </c>
      <c r="G106" s="18">
        <v>45760.916666666664</v>
      </c>
      <c r="K106" s="18">
        <v>45809.916666666664</v>
      </c>
      <c r="L106" t="s">
        <v>21</v>
      </c>
    </row>
    <row r="107" spans="1:12" x14ac:dyDescent="0.3">
      <c r="A107" t="s">
        <v>392</v>
      </c>
      <c r="B107">
        <v>359</v>
      </c>
      <c r="C107" t="s">
        <v>393</v>
      </c>
      <c r="D107" t="s">
        <v>394</v>
      </c>
      <c r="E107" t="s">
        <v>395</v>
      </c>
      <c r="F107" t="s">
        <v>53</v>
      </c>
      <c r="L107" t="s">
        <v>16</v>
      </c>
    </row>
    <row r="108" spans="1:12" x14ac:dyDescent="0.3">
      <c r="A108" t="s">
        <v>396</v>
      </c>
      <c r="B108">
        <v>1101</v>
      </c>
      <c r="C108" t="s">
        <v>397</v>
      </c>
      <c r="E108" t="s">
        <v>398</v>
      </c>
      <c r="F108" t="s">
        <v>71</v>
      </c>
    </row>
    <row r="109" spans="1:12" x14ac:dyDescent="0.3">
      <c r="A109" t="s">
        <v>399</v>
      </c>
      <c r="B109">
        <v>1406</v>
      </c>
      <c r="C109" t="s">
        <v>400</v>
      </c>
      <c r="D109" t="s">
        <v>401</v>
      </c>
      <c r="E109" t="s">
        <v>402</v>
      </c>
      <c r="F109" t="s">
        <v>53</v>
      </c>
      <c r="I109" s="18">
        <v>45812.916666666664</v>
      </c>
      <c r="J109" s="18">
        <v>45827.916666666664</v>
      </c>
      <c r="L109" t="s">
        <v>21</v>
      </c>
    </row>
    <row r="110" spans="1:12" x14ac:dyDescent="0.3">
      <c r="A110" t="s">
        <v>403</v>
      </c>
      <c r="B110">
        <v>617</v>
      </c>
      <c r="C110" t="s">
        <v>404</v>
      </c>
      <c r="D110" t="s">
        <v>405</v>
      </c>
      <c r="E110" t="s">
        <v>406</v>
      </c>
      <c r="F110" t="s">
        <v>53</v>
      </c>
      <c r="L110" t="s">
        <v>21</v>
      </c>
    </row>
    <row r="111" spans="1:12" x14ac:dyDescent="0.3">
      <c r="A111" t="s">
        <v>407</v>
      </c>
      <c r="B111">
        <v>1888</v>
      </c>
      <c r="C111" t="s">
        <v>408</v>
      </c>
      <c r="D111" t="s">
        <v>409</v>
      </c>
      <c r="E111" t="s">
        <v>410</v>
      </c>
    </row>
    <row r="112" spans="1:12" x14ac:dyDescent="0.3">
      <c r="A112" t="s">
        <v>411</v>
      </c>
      <c r="B112">
        <v>778</v>
      </c>
      <c r="C112" t="s">
        <v>412</v>
      </c>
      <c r="E112" t="s">
        <v>413</v>
      </c>
      <c r="F112" t="s">
        <v>15</v>
      </c>
      <c r="H112" s="18">
        <v>45634.958333333336</v>
      </c>
      <c r="K112" s="18">
        <v>45624.958333333336</v>
      </c>
      <c r="L112" t="s">
        <v>16</v>
      </c>
    </row>
    <row r="113" spans="1:12" x14ac:dyDescent="0.3">
      <c r="A113" t="s">
        <v>414</v>
      </c>
      <c r="B113">
        <v>85</v>
      </c>
      <c r="C113" t="s">
        <v>415</v>
      </c>
      <c r="E113" t="s">
        <v>416</v>
      </c>
      <c r="F113" t="s">
        <v>53</v>
      </c>
      <c r="L113" t="s">
        <v>16</v>
      </c>
    </row>
    <row r="114" spans="1:12" x14ac:dyDescent="0.3">
      <c r="A114" t="s">
        <v>417</v>
      </c>
      <c r="B114">
        <v>581</v>
      </c>
      <c r="C114" t="s">
        <v>418</v>
      </c>
      <c r="E114" t="s">
        <v>419</v>
      </c>
      <c r="F114" t="s">
        <v>41</v>
      </c>
      <c r="G114" s="18">
        <v>45761.916666666664</v>
      </c>
      <c r="L114" t="s">
        <v>16</v>
      </c>
    </row>
    <row r="115" spans="1:12" x14ac:dyDescent="0.3">
      <c r="A115" t="s">
        <v>420</v>
      </c>
      <c r="B115">
        <v>529</v>
      </c>
      <c r="C115" t="s">
        <v>421</v>
      </c>
      <c r="D115" t="s">
        <v>422</v>
      </c>
      <c r="E115" t="s">
        <v>423</v>
      </c>
      <c r="F115" t="s">
        <v>41</v>
      </c>
      <c r="G115" s="18">
        <v>45761.916666666664</v>
      </c>
      <c r="L115" t="s">
        <v>16</v>
      </c>
    </row>
    <row r="116" spans="1:12" x14ac:dyDescent="0.3">
      <c r="A116" t="s">
        <v>424</v>
      </c>
      <c r="B116">
        <v>1452</v>
      </c>
      <c r="C116" t="s">
        <v>425</v>
      </c>
      <c r="E116" t="s">
        <v>426</v>
      </c>
      <c r="F116" t="s">
        <v>53</v>
      </c>
      <c r="L116" t="s">
        <v>37</v>
      </c>
    </row>
    <row r="117" spans="1:12" x14ac:dyDescent="0.3">
      <c r="A117" t="s">
        <v>427</v>
      </c>
      <c r="B117">
        <v>487</v>
      </c>
      <c r="C117" t="s">
        <v>428</v>
      </c>
      <c r="E117" t="s">
        <v>429</v>
      </c>
      <c r="F117" t="s">
        <v>57</v>
      </c>
      <c r="L117" t="s">
        <v>21</v>
      </c>
    </row>
    <row r="118" spans="1:12" x14ac:dyDescent="0.3">
      <c r="A118" t="s">
        <v>430</v>
      </c>
      <c r="B118">
        <v>1453</v>
      </c>
      <c r="C118" t="s">
        <v>431</v>
      </c>
      <c r="D118" t="s">
        <v>432</v>
      </c>
      <c r="E118" t="s">
        <v>433</v>
      </c>
      <c r="F118" t="s">
        <v>53</v>
      </c>
      <c r="L118" t="s">
        <v>37</v>
      </c>
    </row>
    <row r="119" spans="1:12" x14ac:dyDescent="0.3">
      <c r="A119" t="s">
        <v>434</v>
      </c>
      <c r="B119">
        <v>1454</v>
      </c>
      <c r="C119" t="s">
        <v>435</v>
      </c>
      <c r="D119" t="s">
        <v>436</v>
      </c>
      <c r="E119" t="s">
        <v>437</v>
      </c>
      <c r="F119" t="s">
        <v>53</v>
      </c>
      <c r="L119" t="s">
        <v>37</v>
      </c>
    </row>
    <row r="120" spans="1:12" x14ac:dyDescent="0.3">
      <c r="A120" t="s">
        <v>438</v>
      </c>
      <c r="B120">
        <v>38</v>
      </c>
      <c r="C120" t="s">
        <v>439</v>
      </c>
      <c r="D120" t="s">
        <v>440</v>
      </c>
      <c r="E120" t="s">
        <v>441</v>
      </c>
      <c r="F120" t="s">
        <v>53</v>
      </c>
      <c r="L120" t="s">
        <v>21</v>
      </c>
    </row>
    <row r="121" spans="1:12" x14ac:dyDescent="0.3">
      <c r="A121" t="s">
        <v>442</v>
      </c>
      <c r="B121">
        <v>1455</v>
      </c>
      <c r="C121" t="s">
        <v>443</v>
      </c>
      <c r="E121" t="s">
        <v>444</v>
      </c>
      <c r="F121" t="s">
        <v>53</v>
      </c>
      <c r="L121" t="s">
        <v>37</v>
      </c>
    </row>
    <row r="122" spans="1:12" x14ac:dyDescent="0.3">
      <c r="A122" t="s">
        <v>445</v>
      </c>
      <c r="B122">
        <v>1332</v>
      </c>
      <c r="C122" t="s">
        <v>446</v>
      </c>
      <c r="E122" t="s">
        <v>447</v>
      </c>
      <c r="F122" t="s">
        <v>15</v>
      </c>
      <c r="G122" s="18">
        <v>45728.958333333336</v>
      </c>
      <c r="H122" s="18">
        <v>45747.916666666664</v>
      </c>
      <c r="K122" s="18">
        <v>45727.958333333336</v>
      </c>
      <c r="L122" t="s">
        <v>16</v>
      </c>
    </row>
    <row r="123" spans="1:12" x14ac:dyDescent="0.3">
      <c r="A123" t="s">
        <v>448</v>
      </c>
      <c r="B123">
        <v>621</v>
      </c>
      <c r="C123" t="s">
        <v>449</v>
      </c>
      <c r="D123" t="s">
        <v>450</v>
      </c>
      <c r="E123" t="s">
        <v>451</v>
      </c>
      <c r="F123" t="s">
        <v>53</v>
      </c>
      <c r="L123" t="s">
        <v>21</v>
      </c>
    </row>
    <row r="124" spans="1:12" x14ac:dyDescent="0.3">
      <c r="A124" t="s">
        <v>452</v>
      </c>
      <c r="B124">
        <v>625</v>
      </c>
      <c r="C124" t="s">
        <v>453</v>
      </c>
      <c r="D124" t="s">
        <v>454</v>
      </c>
      <c r="E124" t="s">
        <v>455</v>
      </c>
      <c r="F124" t="s">
        <v>41</v>
      </c>
      <c r="G124" s="18">
        <v>45864.916666666664</v>
      </c>
      <c r="L124" t="s">
        <v>88</v>
      </c>
    </row>
    <row r="125" spans="1:12" x14ac:dyDescent="0.3">
      <c r="A125" t="s">
        <v>456</v>
      </c>
      <c r="B125">
        <v>129</v>
      </c>
      <c r="C125" t="s">
        <v>457</v>
      </c>
      <c r="E125" t="s">
        <v>458</v>
      </c>
      <c r="F125" t="s">
        <v>53</v>
      </c>
      <c r="L125" t="s">
        <v>16</v>
      </c>
    </row>
    <row r="126" spans="1:12" x14ac:dyDescent="0.3">
      <c r="A126" t="s">
        <v>459</v>
      </c>
      <c r="B126">
        <v>213</v>
      </c>
      <c r="C126" t="s">
        <v>460</v>
      </c>
      <c r="D126" t="s">
        <v>461</v>
      </c>
      <c r="E126" t="s">
        <v>462</v>
      </c>
      <c r="F126" t="s">
        <v>57</v>
      </c>
      <c r="L126" t="s">
        <v>21</v>
      </c>
    </row>
    <row r="127" spans="1:12" x14ac:dyDescent="0.3">
      <c r="A127" t="s">
        <v>463</v>
      </c>
      <c r="B127">
        <v>712</v>
      </c>
      <c r="C127" t="s">
        <v>464</v>
      </c>
      <c r="E127" t="s">
        <v>465</v>
      </c>
      <c r="F127" t="s">
        <v>15</v>
      </c>
      <c r="G127" s="18">
        <v>45394.916666666664</v>
      </c>
      <c r="K127" s="18">
        <v>45476.916666666664</v>
      </c>
      <c r="L127" t="s">
        <v>16</v>
      </c>
    </row>
    <row r="128" spans="1:12" x14ac:dyDescent="0.3">
      <c r="A128" t="s">
        <v>466</v>
      </c>
      <c r="B128">
        <v>1208</v>
      </c>
      <c r="C128" t="s">
        <v>467</v>
      </c>
      <c r="E128" t="s">
        <v>468</v>
      </c>
      <c r="F128" t="s">
        <v>71</v>
      </c>
    </row>
    <row r="129" spans="1:12" x14ac:dyDescent="0.3">
      <c r="A129" t="s">
        <v>469</v>
      </c>
      <c r="B129">
        <v>2126</v>
      </c>
      <c r="C129" t="s">
        <v>470</v>
      </c>
      <c r="D129" t="s">
        <v>471</v>
      </c>
      <c r="E129" t="s">
        <v>472</v>
      </c>
    </row>
    <row r="130" spans="1:12" x14ac:dyDescent="0.3">
      <c r="A130" t="s">
        <v>473</v>
      </c>
      <c r="B130">
        <v>1201</v>
      </c>
      <c r="C130" t="s">
        <v>474</v>
      </c>
      <c r="E130" t="s">
        <v>475</v>
      </c>
      <c r="F130" t="s">
        <v>170</v>
      </c>
      <c r="K130" s="18">
        <v>45790.916666666664</v>
      </c>
      <c r="L130" t="s">
        <v>21</v>
      </c>
    </row>
    <row r="131" spans="1:12" x14ac:dyDescent="0.3">
      <c r="A131" t="s">
        <v>476</v>
      </c>
      <c r="B131">
        <v>2137</v>
      </c>
      <c r="C131" t="s">
        <v>477</v>
      </c>
      <c r="D131" t="s">
        <v>478</v>
      </c>
      <c r="E131" t="s">
        <v>479</v>
      </c>
    </row>
    <row r="132" spans="1:12" x14ac:dyDescent="0.3">
      <c r="A132" t="s">
        <v>480</v>
      </c>
      <c r="B132">
        <v>1801</v>
      </c>
      <c r="C132" t="s">
        <v>481</v>
      </c>
      <c r="D132" t="s">
        <v>482</v>
      </c>
      <c r="E132" t="s">
        <v>483</v>
      </c>
      <c r="F132" t="s">
        <v>53</v>
      </c>
      <c r="L132" t="s">
        <v>148</v>
      </c>
    </row>
    <row r="133" spans="1:12" x14ac:dyDescent="0.3">
      <c r="A133" t="s">
        <v>484</v>
      </c>
      <c r="B133">
        <v>2073</v>
      </c>
      <c r="C133" t="s">
        <v>485</v>
      </c>
      <c r="D133" t="s">
        <v>486</v>
      </c>
      <c r="E133" t="s">
        <v>487</v>
      </c>
    </row>
    <row r="134" spans="1:12" x14ac:dyDescent="0.3">
      <c r="A134" t="s">
        <v>488</v>
      </c>
      <c r="B134">
        <v>545</v>
      </c>
      <c r="C134" t="s">
        <v>489</v>
      </c>
      <c r="D134" t="s">
        <v>490</v>
      </c>
      <c r="E134" t="s">
        <v>491</v>
      </c>
      <c r="F134" t="s">
        <v>53</v>
      </c>
      <c r="L134" t="s">
        <v>16</v>
      </c>
    </row>
    <row r="135" spans="1:12" x14ac:dyDescent="0.3">
      <c r="A135" t="s">
        <v>492</v>
      </c>
      <c r="B135">
        <v>2043</v>
      </c>
      <c r="C135" t="s">
        <v>493</v>
      </c>
      <c r="D135" t="s">
        <v>494</v>
      </c>
      <c r="E135" t="s">
        <v>495</v>
      </c>
    </row>
    <row r="136" spans="1:12" x14ac:dyDescent="0.3">
      <c r="A136" t="s">
        <v>496</v>
      </c>
      <c r="B136">
        <v>1736</v>
      </c>
      <c r="C136" t="s">
        <v>497</v>
      </c>
      <c r="D136" t="s">
        <v>498</v>
      </c>
      <c r="E136" t="s">
        <v>499</v>
      </c>
      <c r="F136" t="s">
        <v>53</v>
      </c>
      <c r="L136" t="s">
        <v>315</v>
      </c>
    </row>
    <row r="137" spans="1:12" x14ac:dyDescent="0.3">
      <c r="A137" t="s">
        <v>500</v>
      </c>
      <c r="B137">
        <v>383</v>
      </c>
      <c r="C137" t="s">
        <v>501</v>
      </c>
      <c r="D137" t="s">
        <v>502</v>
      </c>
      <c r="E137" t="s">
        <v>503</v>
      </c>
      <c r="F137" t="s">
        <v>41</v>
      </c>
      <c r="G137" s="18">
        <v>45761.916666666664</v>
      </c>
      <c r="L137" t="s">
        <v>16</v>
      </c>
    </row>
    <row r="138" spans="1:12" x14ac:dyDescent="0.3">
      <c r="A138" t="s">
        <v>504</v>
      </c>
      <c r="B138">
        <v>177</v>
      </c>
      <c r="C138" t="s">
        <v>505</v>
      </c>
      <c r="D138" t="s">
        <v>506</v>
      </c>
      <c r="E138" t="s">
        <v>507</v>
      </c>
      <c r="F138" t="s">
        <v>57</v>
      </c>
      <c r="L138" t="s">
        <v>37</v>
      </c>
    </row>
    <row r="139" spans="1:12" x14ac:dyDescent="0.3">
      <c r="A139" t="s">
        <v>508</v>
      </c>
      <c r="B139">
        <v>1723</v>
      </c>
      <c r="C139" t="s">
        <v>509</v>
      </c>
      <c r="D139" t="s">
        <v>510</v>
      </c>
      <c r="E139" t="s">
        <v>511</v>
      </c>
      <c r="F139" t="s">
        <v>53</v>
      </c>
      <c r="L139" t="s">
        <v>315</v>
      </c>
    </row>
    <row r="140" spans="1:12" x14ac:dyDescent="0.3">
      <c r="A140" t="s">
        <v>512</v>
      </c>
      <c r="B140">
        <v>1749</v>
      </c>
      <c r="C140" t="s">
        <v>513</v>
      </c>
      <c r="D140" t="s">
        <v>514</v>
      </c>
      <c r="E140" t="s">
        <v>515</v>
      </c>
      <c r="F140" t="s">
        <v>53</v>
      </c>
      <c r="L140" t="s">
        <v>88</v>
      </c>
    </row>
    <row r="141" spans="1:12" x14ac:dyDescent="0.3">
      <c r="A141" t="s">
        <v>516</v>
      </c>
      <c r="B141">
        <v>401</v>
      </c>
      <c r="C141" t="s">
        <v>517</v>
      </c>
      <c r="E141" t="s">
        <v>518</v>
      </c>
      <c r="F141" t="s">
        <v>53</v>
      </c>
      <c r="L141" t="s">
        <v>519</v>
      </c>
    </row>
    <row r="142" spans="1:12" x14ac:dyDescent="0.3">
      <c r="A142" t="s">
        <v>520</v>
      </c>
      <c r="B142">
        <v>1790</v>
      </c>
      <c r="C142" t="s">
        <v>521</v>
      </c>
      <c r="D142" t="s">
        <v>522</v>
      </c>
      <c r="E142" t="s">
        <v>523</v>
      </c>
      <c r="F142" t="s">
        <v>53</v>
      </c>
      <c r="L142" t="s">
        <v>315</v>
      </c>
    </row>
    <row r="143" spans="1:12" x14ac:dyDescent="0.3">
      <c r="A143" t="s">
        <v>524</v>
      </c>
      <c r="B143">
        <v>1456</v>
      </c>
      <c r="C143" t="s">
        <v>525</v>
      </c>
      <c r="E143" t="s">
        <v>526</v>
      </c>
      <c r="F143" t="s">
        <v>53</v>
      </c>
      <c r="L143" t="s">
        <v>37</v>
      </c>
    </row>
    <row r="144" spans="1:12" x14ac:dyDescent="0.3">
      <c r="A144" t="s">
        <v>527</v>
      </c>
      <c r="B144">
        <v>24</v>
      </c>
      <c r="C144" t="s">
        <v>528</v>
      </c>
      <c r="E144" t="s">
        <v>529</v>
      </c>
      <c r="F144" t="s">
        <v>57</v>
      </c>
      <c r="K144" s="18">
        <v>45808.916666666664</v>
      </c>
      <c r="L144" t="s">
        <v>21</v>
      </c>
    </row>
    <row r="145" spans="1:12" x14ac:dyDescent="0.3">
      <c r="A145" t="s">
        <v>530</v>
      </c>
      <c r="B145">
        <v>1457</v>
      </c>
      <c r="C145" t="s">
        <v>531</v>
      </c>
      <c r="E145" t="s">
        <v>532</v>
      </c>
      <c r="F145" t="s">
        <v>53</v>
      </c>
      <c r="L145" t="s">
        <v>37</v>
      </c>
    </row>
    <row r="146" spans="1:12" x14ac:dyDescent="0.3">
      <c r="A146" t="s">
        <v>533</v>
      </c>
      <c r="B146">
        <v>1694</v>
      </c>
      <c r="C146" t="s">
        <v>534</v>
      </c>
      <c r="D146" t="s">
        <v>535</v>
      </c>
      <c r="E146" t="s">
        <v>536</v>
      </c>
      <c r="L146" t="s">
        <v>225</v>
      </c>
    </row>
    <row r="147" spans="1:12" x14ac:dyDescent="0.3">
      <c r="A147" t="s">
        <v>537</v>
      </c>
      <c r="B147">
        <v>62</v>
      </c>
      <c r="C147" t="s">
        <v>538</v>
      </c>
      <c r="D147" t="s">
        <v>539</v>
      </c>
      <c r="E147" t="s">
        <v>540</v>
      </c>
      <c r="F147" t="s">
        <v>53</v>
      </c>
      <c r="L147" t="s">
        <v>21</v>
      </c>
    </row>
    <row r="148" spans="1:12" x14ac:dyDescent="0.3">
      <c r="A148" t="s">
        <v>541</v>
      </c>
      <c r="B148">
        <v>2122</v>
      </c>
      <c r="C148" t="s">
        <v>542</v>
      </c>
      <c r="E148" t="s">
        <v>543</v>
      </c>
    </row>
    <row r="149" spans="1:12" x14ac:dyDescent="0.3">
      <c r="A149" t="s">
        <v>544</v>
      </c>
      <c r="B149">
        <v>1590</v>
      </c>
      <c r="C149" t="s">
        <v>545</v>
      </c>
      <c r="D149" t="s">
        <v>546</v>
      </c>
      <c r="E149" t="s">
        <v>547</v>
      </c>
      <c r="F149" t="s">
        <v>53</v>
      </c>
      <c r="G149" s="18">
        <v>45827.916666666664</v>
      </c>
      <c r="L149" t="s">
        <v>88</v>
      </c>
    </row>
    <row r="150" spans="1:12" x14ac:dyDescent="0.3">
      <c r="A150" t="s">
        <v>548</v>
      </c>
      <c r="B150">
        <v>1837</v>
      </c>
      <c r="C150" t="s">
        <v>549</v>
      </c>
      <c r="E150" t="s">
        <v>550</v>
      </c>
    </row>
    <row r="151" spans="1:12" x14ac:dyDescent="0.3">
      <c r="A151" t="s">
        <v>551</v>
      </c>
      <c r="B151">
        <v>209</v>
      </c>
      <c r="C151" t="s">
        <v>552</v>
      </c>
      <c r="D151" t="s">
        <v>553</v>
      </c>
      <c r="E151" t="s">
        <v>554</v>
      </c>
      <c r="F151" t="s">
        <v>41</v>
      </c>
      <c r="G151" s="18">
        <v>45760.916666666664</v>
      </c>
      <c r="L151" t="s">
        <v>21</v>
      </c>
    </row>
    <row r="152" spans="1:12" x14ac:dyDescent="0.3">
      <c r="A152" t="s">
        <v>555</v>
      </c>
      <c r="B152">
        <v>20</v>
      </c>
      <c r="C152" t="s">
        <v>556</v>
      </c>
      <c r="E152" t="s">
        <v>557</v>
      </c>
      <c r="F152" t="s">
        <v>41</v>
      </c>
      <c r="G152" s="18">
        <v>45761.916666666664</v>
      </c>
      <c r="K152" s="18">
        <v>45806.916666666664</v>
      </c>
      <c r="L152" t="s">
        <v>16</v>
      </c>
    </row>
    <row r="153" spans="1:12" x14ac:dyDescent="0.3">
      <c r="A153" t="s">
        <v>558</v>
      </c>
      <c r="B153">
        <v>201</v>
      </c>
      <c r="C153" t="s">
        <v>559</v>
      </c>
      <c r="D153" t="s">
        <v>560</v>
      </c>
      <c r="E153" t="s">
        <v>561</v>
      </c>
      <c r="F153" t="s">
        <v>57</v>
      </c>
      <c r="L153" t="s">
        <v>88</v>
      </c>
    </row>
    <row r="154" spans="1:12" x14ac:dyDescent="0.3">
      <c r="A154" t="s">
        <v>562</v>
      </c>
      <c r="B154">
        <v>1902</v>
      </c>
      <c r="C154" t="s">
        <v>563</v>
      </c>
      <c r="E154" t="s">
        <v>564</v>
      </c>
    </row>
    <row r="155" spans="1:12" x14ac:dyDescent="0.3">
      <c r="A155" t="s">
        <v>565</v>
      </c>
      <c r="B155">
        <v>1133</v>
      </c>
      <c r="C155" t="s">
        <v>566</v>
      </c>
      <c r="E155" t="s">
        <v>567</v>
      </c>
      <c r="F155" t="s">
        <v>170</v>
      </c>
      <c r="L155" t="s">
        <v>16</v>
      </c>
    </row>
    <row r="156" spans="1:12" x14ac:dyDescent="0.3">
      <c r="A156" t="s">
        <v>568</v>
      </c>
      <c r="B156">
        <v>548</v>
      </c>
      <c r="C156" t="s">
        <v>569</v>
      </c>
      <c r="D156" t="s">
        <v>570</v>
      </c>
      <c r="E156" t="s">
        <v>571</v>
      </c>
      <c r="F156" t="s">
        <v>41</v>
      </c>
      <c r="G156" s="18">
        <v>45776.916666666664</v>
      </c>
      <c r="L156" t="s">
        <v>16</v>
      </c>
    </row>
    <row r="157" spans="1:12" x14ac:dyDescent="0.3">
      <c r="A157" t="s">
        <v>572</v>
      </c>
      <c r="B157">
        <v>140</v>
      </c>
      <c r="C157" t="s">
        <v>573</v>
      </c>
      <c r="E157" t="s">
        <v>574</v>
      </c>
      <c r="F157" t="s">
        <v>53</v>
      </c>
      <c r="L157" t="s">
        <v>16</v>
      </c>
    </row>
    <row r="158" spans="1:12" x14ac:dyDescent="0.3">
      <c r="A158" t="s">
        <v>575</v>
      </c>
      <c r="B158">
        <v>750</v>
      </c>
      <c r="C158" t="s">
        <v>576</v>
      </c>
      <c r="E158" t="s">
        <v>577</v>
      </c>
      <c r="F158" t="s">
        <v>15</v>
      </c>
      <c r="K158" s="18">
        <v>45668.958333333336</v>
      </c>
      <c r="L158" t="s">
        <v>21</v>
      </c>
    </row>
    <row r="159" spans="1:12" x14ac:dyDescent="0.3">
      <c r="A159" t="s">
        <v>578</v>
      </c>
      <c r="B159">
        <v>1458</v>
      </c>
      <c r="C159" t="s">
        <v>579</v>
      </c>
      <c r="E159" t="s">
        <v>580</v>
      </c>
      <c r="F159" t="s">
        <v>53</v>
      </c>
      <c r="L159" t="s">
        <v>37</v>
      </c>
    </row>
    <row r="160" spans="1:12" x14ac:dyDescent="0.3">
      <c r="A160" t="s">
        <v>581</v>
      </c>
      <c r="B160">
        <v>195</v>
      </c>
      <c r="C160" t="s">
        <v>582</v>
      </c>
      <c r="D160" t="s">
        <v>583</v>
      </c>
      <c r="E160" t="s">
        <v>584</v>
      </c>
      <c r="F160" t="s">
        <v>41</v>
      </c>
      <c r="G160" s="18">
        <v>45760.916666666664</v>
      </c>
      <c r="L160" t="s">
        <v>21</v>
      </c>
    </row>
    <row r="161" spans="1:12" x14ac:dyDescent="0.3">
      <c r="A161" t="s">
        <v>585</v>
      </c>
      <c r="B161">
        <v>1842</v>
      </c>
      <c r="C161" t="s">
        <v>586</v>
      </c>
      <c r="D161" t="s">
        <v>587</v>
      </c>
      <c r="E161" t="s">
        <v>588</v>
      </c>
    </row>
    <row r="162" spans="1:12" x14ac:dyDescent="0.3">
      <c r="A162" t="s">
        <v>589</v>
      </c>
      <c r="B162">
        <v>2103</v>
      </c>
      <c r="C162" t="s">
        <v>590</v>
      </c>
      <c r="D162" t="s">
        <v>591</v>
      </c>
      <c r="E162" t="s">
        <v>592</v>
      </c>
    </row>
    <row r="163" spans="1:12" x14ac:dyDescent="0.3">
      <c r="A163" t="s">
        <v>593</v>
      </c>
      <c r="B163">
        <v>250</v>
      </c>
      <c r="C163" t="s">
        <v>594</v>
      </c>
      <c r="D163" t="s">
        <v>595</v>
      </c>
      <c r="E163" t="s">
        <v>596</v>
      </c>
      <c r="F163" t="s">
        <v>57</v>
      </c>
      <c r="L163" t="s">
        <v>21</v>
      </c>
    </row>
    <row r="164" spans="1:12" x14ac:dyDescent="0.3">
      <c r="A164" t="s">
        <v>597</v>
      </c>
      <c r="B164">
        <v>949</v>
      </c>
      <c r="C164" t="s">
        <v>598</v>
      </c>
      <c r="E164" t="s">
        <v>599</v>
      </c>
      <c r="F164" t="s">
        <v>71</v>
      </c>
      <c r="L164" t="s">
        <v>16</v>
      </c>
    </row>
    <row r="165" spans="1:12" x14ac:dyDescent="0.3">
      <c r="A165" t="s">
        <v>600</v>
      </c>
      <c r="B165">
        <v>1249</v>
      </c>
      <c r="C165" t="s">
        <v>601</v>
      </c>
      <c r="E165" t="s">
        <v>602</v>
      </c>
      <c r="F165" t="s">
        <v>71</v>
      </c>
      <c r="L165" t="s">
        <v>21</v>
      </c>
    </row>
    <row r="166" spans="1:12" x14ac:dyDescent="0.3">
      <c r="A166" t="s">
        <v>603</v>
      </c>
      <c r="B166">
        <v>1979</v>
      </c>
      <c r="C166" t="s">
        <v>604</v>
      </c>
      <c r="D166" t="s">
        <v>605</v>
      </c>
      <c r="E166" t="s">
        <v>606</v>
      </c>
    </row>
    <row r="167" spans="1:12" x14ac:dyDescent="0.3">
      <c r="A167" t="s">
        <v>607</v>
      </c>
      <c r="B167">
        <v>756</v>
      </c>
      <c r="C167" t="s">
        <v>608</v>
      </c>
      <c r="E167" t="s">
        <v>609</v>
      </c>
      <c r="F167" t="s">
        <v>15</v>
      </c>
      <c r="K167" s="18">
        <v>45602.958333333336</v>
      </c>
      <c r="L167" t="s">
        <v>16</v>
      </c>
    </row>
    <row r="168" spans="1:12" x14ac:dyDescent="0.3">
      <c r="A168" t="s">
        <v>610</v>
      </c>
      <c r="B168">
        <v>2055</v>
      </c>
      <c r="C168" t="s">
        <v>611</v>
      </c>
      <c r="D168" t="s">
        <v>612</v>
      </c>
      <c r="E168" t="s">
        <v>613</v>
      </c>
    </row>
    <row r="169" spans="1:12" x14ac:dyDescent="0.3">
      <c r="A169" t="s">
        <v>614</v>
      </c>
      <c r="B169">
        <v>1762</v>
      </c>
      <c r="C169" t="s">
        <v>615</v>
      </c>
      <c r="D169" t="s">
        <v>616</v>
      </c>
      <c r="E169" t="s">
        <v>617</v>
      </c>
      <c r="F169" t="s">
        <v>53</v>
      </c>
      <c r="L169" t="s">
        <v>315</v>
      </c>
    </row>
    <row r="170" spans="1:12" x14ac:dyDescent="0.3">
      <c r="A170" t="s">
        <v>618</v>
      </c>
      <c r="B170">
        <v>812</v>
      </c>
      <c r="C170" t="s">
        <v>619</v>
      </c>
      <c r="E170" t="s">
        <v>620</v>
      </c>
      <c r="F170" t="s">
        <v>71</v>
      </c>
      <c r="L170" t="s">
        <v>16</v>
      </c>
    </row>
    <row r="171" spans="1:12" x14ac:dyDescent="0.3">
      <c r="A171" t="s">
        <v>621</v>
      </c>
      <c r="B171">
        <v>994</v>
      </c>
      <c r="C171" t="s">
        <v>622</v>
      </c>
      <c r="E171" t="s">
        <v>623</v>
      </c>
      <c r="F171" t="s">
        <v>15</v>
      </c>
      <c r="G171" s="18">
        <v>45600.958333333336</v>
      </c>
      <c r="K171" s="18">
        <v>45645.958333333336</v>
      </c>
      <c r="L171" t="s">
        <v>21</v>
      </c>
    </row>
    <row r="172" spans="1:12" x14ac:dyDescent="0.3">
      <c r="A172" t="s">
        <v>624</v>
      </c>
      <c r="B172">
        <v>292</v>
      </c>
      <c r="C172" t="s">
        <v>625</v>
      </c>
      <c r="E172" t="s">
        <v>626</v>
      </c>
      <c r="F172" t="s">
        <v>41</v>
      </c>
      <c r="G172" s="18">
        <v>45760.916666666664</v>
      </c>
      <c r="L172" t="s">
        <v>21</v>
      </c>
    </row>
    <row r="173" spans="1:12" x14ac:dyDescent="0.3">
      <c r="A173" t="s">
        <v>627</v>
      </c>
      <c r="B173">
        <v>886</v>
      </c>
      <c r="C173" t="s">
        <v>628</v>
      </c>
      <c r="E173" t="s">
        <v>629</v>
      </c>
      <c r="F173" t="s">
        <v>71</v>
      </c>
      <c r="K173" s="18">
        <v>45504.916666666664</v>
      </c>
      <c r="L173" t="s">
        <v>21</v>
      </c>
    </row>
    <row r="174" spans="1:12" x14ac:dyDescent="0.3">
      <c r="A174" t="s">
        <v>630</v>
      </c>
      <c r="B174">
        <v>52</v>
      </c>
      <c r="C174" t="s">
        <v>631</v>
      </c>
      <c r="D174" t="s">
        <v>632</v>
      </c>
      <c r="E174" t="s">
        <v>633</v>
      </c>
      <c r="F174" t="s">
        <v>41</v>
      </c>
      <c r="G174" s="18">
        <v>45760.916666666664</v>
      </c>
      <c r="L174" t="s">
        <v>21</v>
      </c>
    </row>
    <row r="175" spans="1:12" x14ac:dyDescent="0.3">
      <c r="A175" t="s">
        <v>634</v>
      </c>
      <c r="B175">
        <v>1682</v>
      </c>
      <c r="C175" t="s">
        <v>635</v>
      </c>
      <c r="D175" t="s">
        <v>636</v>
      </c>
      <c r="E175" t="s">
        <v>637</v>
      </c>
    </row>
    <row r="176" spans="1:12" x14ac:dyDescent="0.3">
      <c r="A176" t="s">
        <v>638</v>
      </c>
      <c r="B176">
        <v>1897</v>
      </c>
      <c r="C176" t="s">
        <v>639</v>
      </c>
      <c r="D176" t="s">
        <v>640</v>
      </c>
      <c r="E176" t="s">
        <v>641</v>
      </c>
      <c r="F176" t="s">
        <v>53</v>
      </c>
      <c r="L176" t="s">
        <v>315</v>
      </c>
    </row>
    <row r="177" spans="1:12" x14ac:dyDescent="0.3">
      <c r="A177" t="s">
        <v>642</v>
      </c>
      <c r="B177">
        <v>1668</v>
      </c>
      <c r="C177" t="s">
        <v>643</v>
      </c>
      <c r="D177" t="s">
        <v>644</v>
      </c>
      <c r="E177" t="s">
        <v>645</v>
      </c>
      <c r="F177" t="s">
        <v>53</v>
      </c>
      <c r="L177" t="s">
        <v>88</v>
      </c>
    </row>
    <row r="178" spans="1:12" x14ac:dyDescent="0.3">
      <c r="A178" t="s">
        <v>646</v>
      </c>
      <c r="B178">
        <v>1821</v>
      </c>
      <c r="C178" t="s">
        <v>647</v>
      </c>
      <c r="D178" t="s">
        <v>648</v>
      </c>
      <c r="E178" t="s">
        <v>649</v>
      </c>
    </row>
    <row r="179" spans="1:12" x14ac:dyDescent="0.3">
      <c r="A179" t="s">
        <v>650</v>
      </c>
      <c r="B179">
        <v>925</v>
      </c>
      <c r="C179" t="s">
        <v>651</v>
      </c>
      <c r="E179" t="s">
        <v>652</v>
      </c>
      <c r="F179" t="s">
        <v>15</v>
      </c>
      <c r="K179" s="18">
        <v>45533.916666666664</v>
      </c>
      <c r="L179" t="s">
        <v>21</v>
      </c>
    </row>
    <row r="180" spans="1:12" x14ac:dyDescent="0.3">
      <c r="A180" t="s">
        <v>653</v>
      </c>
      <c r="B180">
        <v>1758</v>
      </c>
      <c r="C180" t="s">
        <v>654</v>
      </c>
      <c r="D180" t="s">
        <v>655</v>
      </c>
      <c r="E180" t="s">
        <v>656</v>
      </c>
      <c r="F180" t="s">
        <v>53</v>
      </c>
      <c r="L180" t="s">
        <v>315</v>
      </c>
    </row>
    <row r="181" spans="1:12" x14ac:dyDescent="0.3">
      <c r="A181" t="s">
        <v>657</v>
      </c>
      <c r="B181">
        <v>558</v>
      </c>
      <c r="C181" t="s">
        <v>658</v>
      </c>
      <c r="E181" t="s">
        <v>659</v>
      </c>
      <c r="F181" t="s">
        <v>41</v>
      </c>
      <c r="G181" s="18">
        <v>45760.916666666664</v>
      </c>
      <c r="L181" t="s">
        <v>21</v>
      </c>
    </row>
    <row r="182" spans="1:12" x14ac:dyDescent="0.3">
      <c r="A182" t="s">
        <v>660</v>
      </c>
      <c r="B182">
        <v>622</v>
      </c>
      <c r="C182" t="s">
        <v>661</v>
      </c>
      <c r="D182" t="s">
        <v>662</v>
      </c>
      <c r="E182" t="s">
        <v>663</v>
      </c>
      <c r="F182" t="s">
        <v>53</v>
      </c>
      <c r="L182" t="s">
        <v>519</v>
      </c>
    </row>
    <row r="183" spans="1:12" x14ac:dyDescent="0.3">
      <c r="A183" t="s">
        <v>664</v>
      </c>
      <c r="B183">
        <v>752</v>
      </c>
      <c r="C183" t="s">
        <v>665</v>
      </c>
      <c r="E183" t="s">
        <v>666</v>
      </c>
      <c r="F183" t="s">
        <v>15</v>
      </c>
      <c r="G183" s="18">
        <v>45606.958333333336</v>
      </c>
      <c r="K183" s="18">
        <v>45624.958333333336</v>
      </c>
      <c r="L183" t="s">
        <v>21</v>
      </c>
    </row>
    <row r="184" spans="1:12" x14ac:dyDescent="0.3">
      <c r="A184" t="s">
        <v>667</v>
      </c>
      <c r="B184">
        <v>1333</v>
      </c>
      <c r="C184" t="s">
        <v>668</v>
      </c>
      <c r="E184" t="s">
        <v>669</v>
      </c>
      <c r="F184" t="s">
        <v>15</v>
      </c>
      <c r="G184" s="18">
        <v>45705.958333333336</v>
      </c>
      <c r="L184" t="s">
        <v>16</v>
      </c>
    </row>
    <row r="185" spans="1:12" x14ac:dyDescent="0.3">
      <c r="A185" t="s">
        <v>670</v>
      </c>
      <c r="B185">
        <v>743</v>
      </c>
      <c r="C185" t="s">
        <v>671</v>
      </c>
      <c r="E185" t="s">
        <v>672</v>
      </c>
      <c r="F185" t="s">
        <v>15</v>
      </c>
      <c r="G185" s="18">
        <v>45363.958333333336</v>
      </c>
      <c r="H185" s="18">
        <v>45415.916666666664</v>
      </c>
      <c r="L185" t="s">
        <v>16</v>
      </c>
    </row>
    <row r="186" spans="1:12" x14ac:dyDescent="0.3">
      <c r="A186" t="s">
        <v>673</v>
      </c>
      <c r="B186">
        <v>360</v>
      </c>
      <c r="C186" t="s">
        <v>674</v>
      </c>
      <c r="D186" t="s">
        <v>675</v>
      </c>
      <c r="E186" t="s">
        <v>676</v>
      </c>
      <c r="F186" t="s">
        <v>53</v>
      </c>
      <c r="L186" t="s">
        <v>16</v>
      </c>
    </row>
    <row r="187" spans="1:12" x14ac:dyDescent="0.3">
      <c r="A187" t="s">
        <v>677</v>
      </c>
      <c r="B187">
        <v>153</v>
      </c>
      <c r="C187" t="s">
        <v>678</v>
      </c>
      <c r="D187" t="s">
        <v>679</v>
      </c>
      <c r="E187" t="s">
        <v>680</v>
      </c>
      <c r="F187" t="s">
        <v>53</v>
      </c>
      <c r="L187" t="s">
        <v>16</v>
      </c>
    </row>
    <row r="188" spans="1:12" x14ac:dyDescent="0.3">
      <c r="A188" t="s">
        <v>681</v>
      </c>
      <c r="B188">
        <v>2094</v>
      </c>
      <c r="C188" t="s">
        <v>682</v>
      </c>
      <c r="D188" t="s">
        <v>683</v>
      </c>
      <c r="E188" t="s">
        <v>684</v>
      </c>
    </row>
    <row r="189" spans="1:12" x14ac:dyDescent="0.3">
      <c r="A189" t="s">
        <v>685</v>
      </c>
      <c r="B189">
        <v>1459</v>
      </c>
      <c r="C189" t="s">
        <v>686</v>
      </c>
      <c r="D189" t="s">
        <v>687</v>
      </c>
      <c r="E189" t="s">
        <v>688</v>
      </c>
      <c r="F189" t="s">
        <v>53</v>
      </c>
      <c r="L189" t="s">
        <v>37</v>
      </c>
    </row>
    <row r="190" spans="1:12" x14ac:dyDescent="0.3">
      <c r="A190" t="s">
        <v>689</v>
      </c>
      <c r="B190">
        <v>923</v>
      </c>
      <c r="C190" t="s">
        <v>690</v>
      </c>
      <c r="E190" t="s">
        <v>691</v>
      </c>
      <c r="F190" t="s">
        <v>15</v>
      </c>
      <c r="K190" s="18">
        <v>45528.916666666664</v>
      </c>
      <c r="L190" t="s">
        <v>16</v>
      </c>
    </row>
    <row r="191" spans="1:12" x14ac:dyDescent="0.3">
      <c r="A191" t="s">
        <v>692</v>
      </c>
      <c r="B191">
        <v>1995</v>
      </c>
      <c r="C191" t="s">
        <v>693</v>
      </c>
      <c r="D191" t="s">
        <v>694</v>
      </c>
      <c r="E191" t="s">
        <v>695</v>
      </c>
    </row>
    <row r="192" spans="1:12" x14ac:dyDescent="0.3">
      <c r="A192" t="s">
        <v>696</v>
      </c>
      <c r="B192">
        <v>277</v>
      </c>
      <c r="C192" t="s">
        <v>697</v>
      </c>
      <c r="E192" t="s">
        <v>698</v>
      </c>
      <c r="F192" t="s">
        <v>41</v>
      </c>
      <c r="G192" s="18">
        <v>45761.916666666664</v>
      </c>
      <c r="L192" t="s">
        <v>16</v>
      </c>
    </row>
    <row r="193" spans="1:12" x14ac:dyDescent="0.3">
      <c r="A193" t="s">
        <v>699</v>
      </c>
      <c r="B193">
        <v>2048</v>
      </c>
      <c r="C193" t="s">
        <v>700</v>
      </c>
      <c r="D193" t="s">
        <v>701</v>
      </c>
      <c r="E193" t="s">
        <v>702</v>
      </c>
      <c r="F193" t="s">
        <v>53</v>
      </c>
    </row>
    <row r="194" spans="1:12" x14ac:dyDescent="0.3">
      <c r="A194" t="s">
        <v>703</v>
      </c>
      <c r="B194">
        <v>152</v>
      </c>
      <c r="C194" t="s">
        <v>704</v>
      </c>
      <c r="E194" t="s">
        <v>705</v>
      </c>
      <c r="F194" t="s">
        <v>53</v>
      </c>
      <c r="L194" t="s">
        <v>16</v>
      </c>
    </row>
    <row r="195" spans="1:12" x14ac:dyDescent="0.3">
      <c r="A195" t="s">
        <v>706</v>
      </c>
      <c r="B195">
        <v>60</v>
      </c>
      <c r="C195" t="s">
        <v>707</v>
      </c>
      <c r="E195" t="s">
        <v>708</v>
      </c>
      <c r="F195" t="s">
        <v>41</v>
      </c>
      <c r="G195" s="18">
        <v>45702.958333333336</v>
      </c>
      <c r="L195" t="s">
        <v>16</v>
      </c>
    </row>
    <row r="196" spans="1:12" x14ac:dyDescent="0.3">
      <c r="A196" t="s">
        <v>709</v>
      </c>
      <c r="B196">
        <v>2012</v>
      </c>
      <c r="C196" t="s">
        <v>710</v>
      </c>
      <c r="D196" t="s">
        <v>711</v>
      </c>
      <c r="E196" t="s">
        <v>712</v>
      </c>
    </row>
    <row r="197" spans="1:12" x14ac:dyDescent="0.3">
      <c r="A197" t="s">
        <v>713</v>
      </c>
      <c r="B197">
        <v>451</v>
      </c>
      <c r="C197" t="s">
        <v>714</v>
      </c>
      <c r="D197" t="s">
        <v>715</v>
      </c>
      <c r="E197" t="s">
        <v>716</v>
      </c>
      <c r="F197" t="s">
        <v>41</v>
      </c>
      <c r="G197" s="18">
        <v>45760.916666666664</v>
      </c>
      <c r="L197" t="s">
        <v>315</v>
      </c>
    </row>
    <row r="198" spans="1:12" x14ac:dyDescent="0.3">
      <c r="A198" t="s">
        <v>717</v>
      </c>
      <c r="B198">
        <v>1943</v>
      </c>
      <c r="C198" t="s">
        <v>718</v>
      </c>
      <c r="D198" t="s">
        <v>719</v>
      </c>
      <c r="E198" t="s">
        <v>720</v>
      </c>
    </row>
    <row r="199" spans="1:12" x14ac:dyDescent="0.3">
      <c r="A199" t="s">
        <v>721</v>
      </c>
      <c r="B199">
        <v>271</v>
      </c>
      <c r="C199" t="s">
        <v>722</v>
      </c>
      <c r="D199" t="s">
        <v>723</v>
      </c>
      <c r="E199" t="s">
        <v>724</v>
      </c>
      <c r="F199" t="s">
        <v>53</v>
      </c>
      <c r="L199" t="s">
        <v>16</v>
      </c>
    </row>
    <row r="200" spans="1:12" x14ac:dyDescent="0.3">
      <c r="A200" t="s">
        <v>725</v>
      </c>
      <c r="B200">
        <v>1599</v>
      </c>
      <c r="C200" t="s">
        <v>726</v>
      </c>
      <c r="D200" t="s">
        <v>727</v>
      </c>
      <c r="E200" t="s">
        <v>728</v>
      </c>
      <c r="F200" t="s">
        <v>53</v>
      </c>
      <c r="L200" t="s">
        <v>37</v>
      </c>
    </row>
    <row r="201" spans="1:12" x14ac:dyDescent="0.3">
      <c r="A201" t="s">
        <v>729</v>
      </c>
      <c r="B201">
        <v>1695</v>
      </c>
      <c r="C201" t="s">
        <v>730</v>
      </c>
      <c r="D201" t="s">
        <v>731</v>
      </c>
      <c r="E201" t="s">
        <v>732</v>
      </c>
      <c r="F201" t="s">
        <v>53</v>
      </c>
      <c r="L201" t="s">
        <v>88</v>
      </c>
    </row>
    <row r="202" spans="1:12" x14ac:dyDescent="0.3">
      <c r="A202" t="s">
        <v>733</v>
      </c>
      <c r="B202">
        <v>41</v>
      </c>
      <c r="C202" t="s">
        <v>734</v>
      </c>
      <c r="E202" t="s">
        <v>735</v>
      </c>
      <c r="F202" t="s">
        <v>41</v>
      </c>
      <c r="G202" s="18">
        <v>45791.916666666664</v>
      </c>
      <c r="L202" t="s">
        <v>21</v>
      </c>
    </row>
    <row r="203" spans="1:12" x14ac:dyDescent="0.3">
      <c r="A203" t="s">
        <v>736</v>
      </c>
      <c r="B203">
        <v>933</v>
      </c>
      <c r="C203" t="s">
        <v>737</v>
      </c>
      <c r="E203" t="s">
        <v>738</v>
      </c>
      <c r="F203" t="s">
        <v>15</v>
      </c>
      <c r="G203" s="18">
        <v>45504.916666666664</v>
      </c>
      <c r="K203" s="18">
        <v>45743.958333333336</v>
      </c>
      <c r="L203" t="s">
        <v>21</v>
      </c>
    </row>
    <row r="204" spans="1:12" x14ac:dyDescent="0.3">
      <c r="A204" t="s">
        <v>739</v>
      </c>
      <c r="B204">
        <v>252</v>
      </c>
      <c r="C204" t="s">
        <v>740</v>
      </c>
      <c r="E204" t="s">
        <v>741</v>
      </c>
      <c r="F204" t="s">
        <v>742</v>
      </c>
      <c r="L204" t="s">
        <v>21</v>
      </c>
    </row>
    <row r="205" spans="1:12" x14ac:dyDescent="0.3">
      <c r="A205" t="s">
        <v>743</v>
      </c>
      <c r="B205">
        <v>155</v>
      </c>
      <c r="C205" t="s">
        <v>744</v>
      </c>
      <c r="E205" t="s">
        <v>745</v>
      </c>
      <c r="F205" t="s">
        <v>53</v>
      </c>
      <c r="L205" t="s">
        <v>16</v>
      </c>
    </row>
    <row r="206" spans="1:12" x14ac:dyDescent="0.3">
      <c r="A206" t="s">
        <v>746</v>
      </c>
      <c r="B206">
        <v>1460</v>
      </c>
      <c r="C206" t="s">
        <v>747</v>
      </c>
      <c r="E206" t="s">
        <v>748</v>
      </c>
      <c r="F206" t="s">
        <v>53</v>
      </c>
      <c r="L206" t="s">
        <v>37</v>
      </c>
    </row>
    <row r="207" spans="1:12" x14ac:dyDescent="0.3">
      <c r="A207" t="s">
        <v>749</v>
      </c>
      <c r="B207">
        <v>2003</v>
      </c>
      <c r="C207" t="s">
        <v>750</v>
      </c>
      <c r="D207" t="s">
        <v>751</v>
      </c>
      <c r="E207" t="s">
        <v>752</v>
      </c>
    </row>
    <row r="208" spans="1:12" x14ac:dyDescent="0.3">
      <c r="A208" t="s">
        <v>753</v>
      </c>
      <c r="B208">
        <v>176</v>
      </c>
      <c r="C208" t="s">
        <v>754</v>
      </c>
      <c r="E208" t="s">
        <v>755</v>
      </c>
      <c r="F208" t="s">
        <v>41</v>
      </c>
      <c r="L208" t="s">
        <v>37</v>
      </c>
    </row>
    <row r="209" spans="1:12" x14ac:dyDescent="0.3">
      <c r="A209" t="s">
        <v>756</v>
      </c>
      <c r="B209">
        <v>2100</v>
      </c>
      <c r="C209" t="s">
        <v>757</v>
      </c>
      <c r="D209" t="s">
        <v>758</v>
      </c>
      <c r="E209" t="s">
        <v>759</v>
      </c>
    </row>
    <row r="210" spans="1:12" x14ac:dyDescent="0.3">
      <c r="A210" t="s">
        <v>760</v>
      </c>
      <c r="B210">
        <v>2020</v>
      </c>
      <c r="C210" t="s">
        <v>761</v>
      </c>
      <c r="D210" t="s">
        <v>762</v>
      </c>
      <c r="E210" t="s">
        <v>763</v>
      </c>
    </row>
    <row r="211" spans="1:12" x14ac:dyDescent="0.3">
      <c r="A211" t="s">
        <v>764</v>
      </c>
      <c r="B211">
        <v>835</v>
      </c>
      <c r="C211" t="s">
        <v>765</v>
      </c>
      <c r="E211" t="s">
        <v>766</v>
      </c>
      <c r="F211" t="s">
        <v>15</v>
      </c>
      <c r="K211" s="18">
        <v>45625.958333333336</v>
      </c>
      <c r="L211" t="s">
        <v>16</v>
      </c>
    </row>
    <row r="212" spans="1:12" x14ac:dyDescent="0.3">
      <c r="A212" t="s">
        <v>767</v>
      </c>
      <c r="B212">
        <v>1461</v>
      </c>
      <c r="C212" t="s">
        <v>768</v>
      </c>
      <c r="E212" t="s">
        <v>769</v>
      </c>
      <c r="F212" t="s">
        <v>53</v>
      </c>
      <c r="L212" t="s">
        <v>37</v>
      </c>
    </row>
    <row r="213" spans="1:12" x14ac:dyDescent="0.3">
      <c r="A213" t="s">
        <v>770</v>
      </c>
      <c r="B213">
        <v>133</v>
      </c>
      <c r="C213" t="s">
        <v>771</v>
      </c>
      <c r="E213" t="s">
        <v>772</v>
      </c>
      <c r="F213" t="s">
        <v>41</v>
      </c>
      <c r="G213" s="18">
        <v>45760.916666666664</v>
      </c>
      <c r="L213" t="s">
        <v>21</v>
      </c>
    </row>
    <row r="214" spans="1:12" x14ac:dyDescent="0.3">
      <c r="A214" t="s">
        <v>773</v>
      </c>
      <c r="B214">
        <v>396</v>
      </c>
      <c r="C214" t="s">
        <v>774</v>
      </c>
      <c r="D214" t="s">
        <v>775</v>
      </c>
      <c r="E214" t="s">
        <v>776</v>
      </c>
      <c r="F214" t="s">
        <v>41</v>
      </c>
      <c r="G214" s="18">
        <v>45760.916666666664</v>
      </c>
      <c r="L214" t="s">
        <v>21</v>
      </c>
    </row>
    <row r="215" spans="1:12" x14ac:dyDescent="0.3">
      <c r="A215" t="s">
        <v>777</v>
      </c>
      <c r="B215">
        <v>2080</v>
      </c>
      <c r="C215" t="s">
        <v>778</v>
      </c>
      <c r="D215" t="s">
        <v>779</v>
      </c>
      <c r="E215" t="s">
        <v>780</v>
      </c>
      <c r="F215" t="s">
        <v>53</v>
      </c>
    </row>
    <row r="216" spans="1:12" x14ac:dyDescent="0.3">
      <c r="A216" t="s">
        <v>781</v>
      </c>
      <c r="B216">
        <v>1679</v>
      </c>
      <c r="C216" t="s">
        <v>782</v>
      </c>
      <c r="D216" t="s">
        <v>783</v>
      </c>
      <c r="E216" t="s">
        <v>784</v>
      </c>
      <c r="F216" t="s">
        <v>53</v>
      </c>
      <c r="L216" t="s">
        <v>315</v>
      </c>
    </row>
    <row r="217" spans="1:12" x14ac:dyDescent="0.3">
      <c r="A217" t="s">
        <v>785</v>
      </c>
      <c r="B217">
        <v>1731</v>
      </c>
      <c r="C217" t="s">
        <v>786</v>
      </c>
      <c r="D217" t="s">
        <v>787</v>
      </c>
      <c r="E217" t="s">
        <v>788</v>
      </c>
      <c r="L217" t="s">
        <v>225</v>
      </c>
    </row>
    <row r="218" spans="1:12" x14ac:dyDescent="0.3">
      <c r="A218" t="s">
        <v>789</v>
      </c>
      <c r="B218">
        <v>1989</v>
      </c>
      <c r="C218" t="s">
        <v>790</v>
      </c>
      <c r="D218" t="s">
        <v>791</v>
      </c>
      <c r="E218" t="s">
        <v>792</v>
      </c>
    </row>
    <row r="219" spans="1:12" x14ac:dyDescent="0.3">
      <c r="A219" t="s">
        <v>793</v>
      </c>
      <c r="B219">
        <v>231</v>
      </c>
      <c r="C219" t="s">
        <v>794</v>
      </c>
      <c r="D219" t="s">
        <v>795</v>
      </c>
      <c r="E219" t="s">
        <v>796</v>
      </c>
      <c r="F219" t="s">
        <v>41</v>
      </c>
      <c r="G219" s="18">
        <v>45791.916666666664</v>
      </c>
      <c r="L219" t="s">
        <v>21</v>
      </c>
    </row>
    <row r="220" spans="1:12" x14ac:dyDescent="0.3">
      <c r="A220" t="s">
        <v>797</v>
      </c>
      <c r="B220">
        <v>16</v>
      </c>
      <c r="C220" t="s">
        <v>798</v>
      </c>
      <c r="D220" t="s">
        <v>799</v>
      </c>
      <c r="E220" t="s">
        <v>800</v>
      </c>
      <c r="F220" t="s">
        <v>53</v>
      </c>
      <c r="K220" s="18">
        <v>45806.916666666664</v>
      </c>
      <c r="L220" t="s">
        <v>88</v>
      </c>
    </row>
    <row r="221" spans="1:12" x14ac:dyDescent="0.3">
      <c r="A221" t="s">
        <v>801</v>
      </c>
      <c r="B221">
        <v>313</v>
      </c>
      <c r="C221" t="s">
        <v>802</v>
      </c>
      <c r="E221" t="s">
        <v>803</v>
      </c>
      <c r="F221" t="s">
        <v>41</v>
      </c>
      <c r="G221" s="18">
        <v>45760.916666666664</v>
      </c>
      <c r="L221" t="s">
        <v>21</v>
      </c>
    </row>
    <row r="222" spans="1:12" x14ac:dyDescent="0.3">
      <c r="A222" t="s">
        <v>804</v>
      </c>
      <c r="B222">
        <v>2026</v>
      </c>
      <c r="C222" t="s">
        <v>805</v>
      </c>
      <c r="D222" t="s">
        <v>806</v>
      </c>
      <c r="E222" t="s">
        <v>807</v>
      </c>
    </row>
    <row r="223" spans="1:12" x14ac:dyDescent="0.3">
      <c r="A223" t="s">
        <v>808</v>
      </c>
      <c r="B223">
        <v>1346</v>
      </c>
      <c r="C223" t="s">
        <v>809</v>
      </c>
      <c r="E223" t="s">
        <v>810</v>
      </c>
      <c r="F223" t="s">
        <v>15</v>
      </c>
      <c r="G223" s="18">
        <v>45535.916666666664</v>
      </c>
      <c r="H223" s="18">
        <v>45425.916666666664</v>
      </c>
      <c r="L223" t="s">
        <v>16</v>
      </c>
    </row>
    <row r="224" spans="1:12" x14ac:dyDescent="0.3">
      <c r="A224" t="s">
        <v>811</v>
      </c>
      <c r="B224">
        <v>100</v>
      </c>
      <c r="C224" t="s">
        <v>812</v>
      </c>
      <c r="D224" t="s">
        <v>813</v>
      </c>
      <c r="E224" t="s">
        <v>814</v>
      </c>
      <c r="F224" t="s">
        <v>53</v>
      </c>
      <c r="L224" t="s">
        <v>16</v>
      </c>
    </row>
    <row r="225" spans="1:12" x14ac:dyDescent="0.3">
      <c r="A225" t="s">
        <v>815</v>
      </c>
      <c r="B225">
        <v>1860</v>
      </c>
      <c r="C225" t="s">
        <v>816</v>
      </c>
      <c r="D225" t="s">
        <v>817</v>
      </c>
      <c r="E225" t="s">
        <v>818</v>
      </c>
    </row>
    <row r="226" spans="1:12" x14ac:dyDescent="0.3">
      <c r="A226" t="s">
        <v>819</v>
      </c>
      <c r="B226">
        <v>402</v>
      </c>
      <c r="C226" t="s">
        <v>820</v>
      </c>
      <c r="D226" t="s">
        <v>821</v>
      </c>
      <c r="E226" t="s">
        <v>822</v>
      </c>
      <c r="F226" t="s">
        <v>53</v>
      </c>
      <c r="L226" t="s">
        <v>519</v>
      </c>
    </row>
    <row r="227" spans="1:12" x14ac:dyDescent="0.3">
      <c r="A227" t="s">
        <v>823</v>
      </c>
      <c r="B227">
        <v>12</v>
      </c>
      <c r="C227" t="s">
        <v>824</v>
      </c>
      <c r="E227" t="s">
        <v>825</v>
      </c>
      <c r="F227" t="s">
        <v>41</v>
      </c>
      <c r="G227" s="18">
        <v>45761.916666666664</v>
      </c>
      <c r="K227" s="18">
        <v>45806.916666666664</v>
      </c>
      <c r="L227" t="s">
        <v>16</v>
      </c>
    </row>
    <row r="228" spans="1:12" x14ac:dyDescent="0.3">
      <c r="A228" t="s">
        <v>826</v>
      </c>
      <c r="B228">
        <v>1976</v>
      </c>
      <c r="C228" t="s">
        <v>827</v>
      </c>
      <c r="D228" t="s">
        <v>828</v>
      </c>
      <c r="E228" t="s">
        <v>829</v>
      </c>
    </row>
    <row r="229" spans="1:12" x14ac:dyDescent="0.3">
      <c r="A229" t="s">
        <v>830</v>
      </c>
      <c r="B229">
        <v>1211</v>
      </c>
      <c r="C229" t="s">
        <v>831</v>
      </c>
      <c r="E229" t="s">
        <v>832</v>
      </c>
      <c r="F229" t="s">
        <v>15</v>
      </c>
      <c r="L229" t="s">
        <v>16</v>
      </c>
    </row>
    <row r="230" spans="1:12" x14ac:dyDescent="0.3">
      <c r="A230" t="s">
        <v>833</v>
      </c>
      <c r="B230">
        <v>481</v>
      </c>
      <c r="C230" t="s">
        <v>834</v>
      </c>
      <c r="E230" t="s">
        <v>835</v>
      </c>
      <c r="F230" t="s">
        <v>57</v>
      </c>
      <c r="L230" t="s">
        <v>21</v>
      </c>
    </row>
    <row r="231" spans="1:12" x14ac:dyDescent="0.3">
      <c r="A231" t="s">
        <v>836</v>
      </c>
      <c r="B231">
        <v>144</v>
      </c>
      <c r="C231" t="s">
        <v>837</v>
      </c>
      <c r="D231" t="s">
        <v>838</v>
      </c>
      <c r="E231" t="s">
        <v>839</v>
      </c>
      <c r="F231" t="s">
        <v>41</v>
      </c>
      <c r="G231" s="18">
        <v>45536.916666666664</v>
      </c>
      <c r="L231" t="s">
        <v>16</v>
      </c>
    </row>
    <row r="232" spans="1:12" x14ac:dyDescent="0.3">
      <c r="A232" t="s">
        <v>840</v>
      </c>
      <c r="B232">
        <v>736</v>
      </c>
      <c r="C232" t="s">
        <v>841</v>
      </c>
      <c r="E232" t="s">
        <v>842</v>
      </c>
      <c r="F232" t="s">
        <v>15</v>
      </c>
      <c r="G232" s="18">
        <v>45303.958333333336</v>
      </c>
      <c r="H232" s="18">
        <v>45512.916666666664</v>
      </c>
      <c r="K232" s="18">
        <v>45512.916666666664</v>
      </c>
      <c r="L232" t="s">
        <v>16</v>
      </c>
    </row>
    <row r="233" spans="1:12" x14ac:dyDescent="0.3">
      <c r="A233" t="s">
        <v>843</v>
      </c>
      <c r="B233">
        <v>1031</v>
      </c>
      <c r="C233" t="s">
        <v>844</v>
      </c>
      <c r="E233" t="s">
        <v>845</v>
      </c>
      <c r="F233" t="s">
        <v>15</v>
      </c>
      <c r="G233" s="18">
        <v>45380.958333333336</v>
      </c>
      <c r="H233" s="18">
        <v>45397.916666666664</v>
      </c>
      <c r="L233" t="s">
        <v>16</v>
      </c>
    </row>
    <row r="234" spans="1:12" x14ac:dyDescent="0.3">
      <c r="A234" t="s">
        <v>846</v>
      </c>
      <c r="B234">
        <v>745</v>
      </c>
      <c r="C234" t="s">
        <v>847</v>
      </c>
      <c r="E234" t="s">
        <v>848</v>
      </c>
      <c r="F234" t="s">
        <v>15</v>
      </c>
      <c r="K234" s="18">
        <v>45797.916666666664</v>
      </c>
      <c r="L234" t="s">
        <v>16</v>
      </c>
    </row>
    <row r="235" spans="1:12" x14ac:dyDescent="0.3">
      <c r="A235" t="s">
        <v>849</v>
      </c>
      <c r="B235">
        <v>1463</v>
      </c>
      <c r="C235" t="s">
        <v>850</v>
      </c>
      <c r="E235" t="s">
        <v>851</v>
      </c>
      <c r="F235" t="s">
        <v>53</v>
      </c>
      <c r="L235" t="s">
        <v>37</v>
      </c>
    </row>
    <row r="236" spans="1:12" x14ac:dyDescent="0.3">
      <c r="A236" t="s">
        <v>852</v>
      </c>
      <c r="B236">
        <v>782</v>
      </c>
      <c r="C236" t="s">
        <v>853</v>
      </c>
      <c r="E236" t="s">
        <v>854</v>
      </c>
      <c r="F236" t="s">
        <v>15</v>
      </c>
      <c r="G236" s="18">
        <v>45611.958333333336</v>
      </c>
      <c r="K236" s="18">
        <v>45664.958333333336</v>
      </c>
      <c r="L236" t="s">
        <v>16</v>
      </c>
    </row>
    <row r="237" spans="1:12" x14ac:dyDescent="0.3">
      <c r="A237" t="s">
        <v>855</v>
      </c>
      <c r="B237">
        <v>2010</v>
      </c>
      <c r="C237" t="s">
        <v>856</v>
      </c>
      <c r="E237" t="s">
        <v>857</v>
      </c>
    </row>
    <row r="238" spans="1:12" x14ac:dyDescent="0.3">
      <c r="A238" t="s">
        <v>858</v>
      </c>
      <c r="B238">
        <v>221</v>
      </c>
      <c r="C238" t="s">
        <v>859</v>
      </c>
      <c r="E238" t="s">
        <v>860</v>
      </c>
      <c r="F238" t="s">
        <v>53</v>
      </c>
      <c r="L238" t="s">
        <v>519</v>
      </c>
    </row>
    <row r="239" spans="1:12" x14ac:dyDescent="0.3">
      <c r="A239" t="s">
        <v>861</v>
      </c>
      <c r="B239">
        <v>1464</v>
      </c>
      <c r="C239" t="s">
        <v>862</v>
      </c>
      <c r="D239" t="s">
        <v>863</v>
      </c>
      <c r="E239" t="s">
        <v>864</v>
      </c>
      <c r="F239" t="s">
        <v>53</v>
      </c>
      <c r="L239" t="s">
        <v>37</v>
      </c>
    </row>
    <row r="240" spans="1:12" x14ac:dyDescent="0.3">
      <c r="A240" t="s">
        <v>865</v>
      </c>
      <c r="B240">
        <v>1164</v>
      </c>
      <c r="C240" t="s">
        <v>866</v>
      </c>
      <c r="E240" t="s">
        <v>867</v>
      </c>
      <c r="F240" t="s">
        <v>15</v>
      </c>
      <c r="G240" s="18">
        <v>45310.958333333336</v>
      </c>
      <c r="H240" s="18">
        <v>45294.958333333336</v>
      </c>
      <c r="L240" t="s">
        <v>16</v>
      </c>
    </row>
    <row r="241" spans="1:12" x14ac:dyDescent="0.3">
      <c r="A241" t="s">
        <v>868</v>
      </c>
      <c r="B241">
        <v>675</v>
      </c>
      <c r="C241" t="s">
        <v>869</v>
      </c>
      <c r="E241" t="s">
        <v>870</v>
      </c>
      <c r="F241" t="s">
        <v>15</v>
      </c>
      <c r="G241" s="18">
        <v>45439.916666666664</v>
      </c>
      <c r="H241" s="18">
        <v>45649.958333333336</v>
      </c>
      <c r="K241" s="18">
        <v>45649.958333333336</v>
      </c>
      <c r="L241" t="s">
        <v>16</v>
      </c>
    </row>
    <row r="242" spans="1:12" x14ac:dyDescent="0.3">
      <c r="A242" t="s">
        <v>871</v>
      </c>
      <c r="B242">
        <v>1303</v>
      </c>
      <c r="C242" t="s">
        <v>872</v>
      </c>
      <c r="D242" t="s">
        <v>873</v>
      </c>
      <c r="E242" t="s">
        <v>874</v>
      </c>
      <c r="F242" t="s">
        <v>170</v>
      </c>
      <c r="G242" s="18">
        <v>45693.958333333336</v>
      </c>
      <c r="K242" s="18">
        <v>45791.916666666664</v>
      </c>
      <c r="L242" t="s">
        <v>16</v>
      </c>
    </row>
    <row r="243" spans="1:12" x14ac:dyDescent="0.3">
      <c r="A243" t="s">
        <v>875</v>
      </c>
      <c r="B243">
        <v>1465</v>
      </c>
      <c r="C243" t="s">
        <v>876</v>
      </c>
      <c r="D243" t="s">
        <v>877</v>
      </c>
      <c r="E243" t="s">
        <v>878</v>
      </c>
      <c r="F243" t="s">
        <v>53</v>
      </c>
      <c r="L243" t="s">
        <v>37</v>
      </c>
    </row>
    <row r="244" spans="1:12" x14ac:dyDescent="0.3">
      <c r="A244" t="s">
        <v>879</v>
      </c>
      <c r="B244">
        <v>926</v>
      </c>
      <c r="C244" t="s">
        <v>880</v>
      </c>
      <c r="E244" t="s">
        <v>881</v>
      </c>
      <c r="F244" t="s">
        <v>15</v>
      </c>
      <c r="L244" t="s">
        <v>21</v>
      </c>
    </row>
    <row r="245" spans="1:12" x14ac:dyDescent="0.3">
      <c r="A245" t="s">
        <v>882</v>
      </c>
      <c r="B245">
        <v>553</v>
      </c>
      <c r="C245" t="s">
        <v>883</v>
      </c>
      <c r="D245" t="s">
        <v>884</v>
      </c>
      <c r="E245" t="s">
        <v>885</v>
      </c>
      <c r="F245" t="s">
        <v>41</v>
      </c>
      <c r="G245" s="18">
        <v>45761.916666666664</v>
      </c>
      <c r="H245" s="18">
        <v>45771.916666666664</v>
      </c>
      <c r="L245" t="s">
        <v>21</v>
      </c>
    </row>
    <row r="246" spans="1:12" x14ac:dyDescent="0.3">
      <c r="A246" t="s">
        <v>886</v>
      </c>
      <c r="B246">
        <v>2095</v>
      </c>
      <c r="C246" t="s">
        <v>887</v>
      </c>
      <c r="D246" t="s">
        <v>888</v>
      </c>
      <c r="E246" t="s">
        <v>889</v>
      </c>
    </row>
    <row r="247" spans="1:12" x14ac:dyDescent="0.3">
      <c r="A247" t="s">
        <v>890</v>
      </c>
      <c r="B247">
        <v>1815</v>
      </c>
      <c r="C247" t="s">
        <v>891</v>
      </c>
      <c r="D247" t="s">
        <v>892</v>
      </c>
      <c r="E247" t="s">
        <v>893</v>
      </c>
    </row>
    <row r="248" spans="1:12" x14ac:dyDescent="0.3">
      <c r="A248" t="s">
        <v>894</v>
      </c>
      <c r="B248">
        <v>1854</v>
      </c>
      <c r="C248" t="s">
        <v>895</v>
      </c>
      <c r="D248" t="s">
        <v>896</v>
      </c>
      <c r="E248" t="s">
        <v>897</v>
      </c>
      <c r="F248" t="s">
        <v>53</v>
      </c>
    </row>
    <row r="249" spans="1:12" x14ac:dyDescent="0.3">
      <c r="A249" t="s">
        <v>898</v>
      </c>
      <c r="B249">
        <v>13</v>
      </c>
      <c r="C249" t="s">
        <v>899</v>
      </c>
      <c r="E249" t="s">
        <v>900</v>
      </c>
      <c r="F249" t="s">
        <v>41</v>
      </c>
      <c r="G249" s="18">
        <v>45771.916666666664</v>
      </c>
      <c r="K249" s="18">
        <v>45806.916666666664</v>
      </c>
      <c r="L249" t="s">
        <v>16</v>
      </c>
    </row>
    <row r="250" spans="1:12" x14ac:dyDescent="0.3">
      <c r="A250" t="s">
        <v>901</v>
      </c>
      <c r="B250">
        <v>491</v>
      </c>
      <c r="C250" t="s">
        <v>902</v>
      </c>
      <c r="D250" t="s">
        <v>903</v>
      </c>
      <c r="E250" t="s">
        <v>904</v>
      </c>
      <c r="F250" t="s">
        <v>53</v>
      </c>
      <c r="L250" t="s">
        <v>21</v>
      </c>
    </row>
    <row r="251" spans="1:12" x14ac:dyDescent="0.3">
      <c r="A251" t="s">
        <v>905</v>
      </c>
      <c r="B251">
        <v>325</v>
      </c>
      <c r="C251" t="s">
        <v>906</v>
      </c>
      <c r="D251" t="s">
        <v>907</v>
      </c>
      <c r="E251" t="s">
        <v>908</v>
      </c>
      <c r="F251" t="s">
        <v>41</v>
      </c>
      <c r="G251" s="18">
        <v>45760.916666666664</v>
      </c>
      <c r="L251" t="s">
        <v>21</v>
      </c>
    </row>
    <row r="252" spans="1:12" x14ac:dyDescent="0.3">
      <c r="A252" t="s">
        <v>909</v>
      </c>
      <c r="B252">
        <v>2054</v>
      </c>
      <c r="C252" t="s">
        <v>910</v>
      </c>
      <c r="D252" t="s">
        <v>911</v>
      </c>
      <c r="E252" t="s">
        <v>912</v>
      </c>
    </row>
    <row r="253" spans="1:12" x14ac:dyDescent="0.3">
      <c r="A253" t="s">
        <v>913</v>
      </c>
      <c r="B253">
        <v>801</v>
      </c>
      <c r="C253" t="s">
        <v>914</v>
      </c>
      <c r="D253" t="s">
        <v>915</v>
      </c>
      <c r="E253" t="s">
        <v>916</v>
      </c>
      <c r="F253" t="s">
        <v>53</v>
      </c>
      <c r="L253" t="s">
        <v>88</v>
      </c>
    </row>
    <row r="254" spans="1:12" x14ac:dyDescent="0.3">
      <c r="A254" t="s">
        <v>917</v>
      </c>
      <c r="B254">
        <v>1349</v>
      </c>
      <c r="C254" t="s">
        <v>918</v>
      </c>
      <c r="E254" t="s">
        <v>919</v>
      </c>
      <c r="F254" t="s">
        <v>15</v>
      </c>
      <c r="G254" s="18">
        <v>45253.958333333336</v>
      </c>
      <c r="H254" s="18">
        <v>45415.916666666664</v>
      </c>
      <c r="L254" t="s">
        <v>16</v>
      </c>
    </row>
    <row r="255" spans="1:12" x14ac:dyDescent="0.3">
      <c r="A255" t="s">
        <v>920</v>
      </c>
      <c r="B255">
        <v>746</v>
      </c>
      <c r="C255" t="s">
        <v>921</v>
      </c>
      <c r="E255" t="s">
        <v>922</v>
      </c>
      <c r="F255" t="s">
        <v>49</v>
      </c>
      <c r="L255" t="s">
        <v>21</v>
      </c>
    </row>
    <row r="256" spans="1:12" x14ac:dyDescent="0.3">
      <c r="A256" t="s">
        <v>923</v>
      </c>
      <c r="B256">
        <v>1874</v>
      </c>
      <c r="C256" t="s">
        <v>924</v>
      </c>
      <c r="D256" t="s">
        <v>925</v>
      </c>
      <c r="E256" t="s">
        <v>926</v>
      </c>
    </row>
    <row r="257" spans="1:12" x14ac:dyDescent="0.3">
      <c r="A257" t="s">
        <v>927</v>
      </c>
      <c r="B257">
        <v>2013</v>
      </c>
      <c r="C257" t="s">
        <v>928</v>
      </c>
      <c r="E257" t="s">
        <v>929</v>
      </c>
    </row>
    <row r="258" spans="1:12" x14ac:dyDescent="0.3">
      <c r="A258" t="s">
        <v>930</v>
      </c>
      <c r="B258">
        <v>797</v>
      </c>
      <c r="C258" t="s">
        <v>931</v>
      </c>
      <c r="E258" t="s">
        <v>932</v>
      </c>
      <c r="F258" t="s">
        <v>15</v>
      </c>
      <c r="G258" s="18">
        <v>45464.916666666664</v>
      </c>
      <c r="K258" s="18">
        <v>45594.958333333336</v>
      </c>
      <c r="L258" t="s">
        <v>16</v>
      </c>
    </row>
    <row r="259" spans="1:12" x14ac:dyDescent="0.3">
      <c r="A259" t="s">
        <v>933</v>
      </c>
      <c r="B259">
        <v>977</v>
      </c>
      <c r="C259" t="s">
        <v>934</v>
      </c>
      <c r="E259" t="s">
        <v>935</v>
      </c>
      <c r="F259" t="s">
        <v>15</v>
      </c>
      <c r="G259" s="18">
        <v>45320.958333333336</v>
      </c>
      <c r="H259" s="18">
        <v>45382.916666666664</v>
      </c>
      <c r="L259" t="s">
        <v>16</v>
      </c>
    </row>
    <row r="260" spans="1:12" x14ac:dyDescent="0.3">
      <c r="A260" t="s">
        <v>936</v>
      </c>
      <c r="B260">
        <v>1007</v>
      </c>
      <c r="C260" t="s">
        <v>937</v>
      </c>
      <c r="F260" t="s">
        <v>71</v>
      </c>
      <c r="L260" t="s">
        <v>16</v>
      </c>
    </row>
    <row r="261" spans="1:12" x14ac:dyDescent="0.3">
      <c r="A261" t="s">
        <v>938</v>
      </c>
      <c r="B261">
        <v>1982</v>
      </c>
      <c r="C261" t="s">
        <v>939</v>
      </c>
      <c r="D261" t="s">
        <v>940</v>
      </c>
      <c r="E261" t="s">
        <v>941</v>
      </c>
    </row>
    <row r="262" spans="1:12" x14ac:dyDescent="0.3">
      <c r="A262" t="s">
        <v>942</v>
      </c>
      <c r="B262">
        <v>1466</v>
      </c>
      <c r="C262" t="s">
        <v>943</v>
      </c>
      <c r="D262" t="s">
        <v>944</v>
      </c>
      <c r="E262" t="s">
        <v>945</v>
      </c>
      <c r="F262" t="s">
        <v>53</v>
      </c>
      <c r="L262" t="s">
        <v>225</v>
      </c>
    </row>
    <row r="263" spans="1:12" x14ac:dyDescent="0.3">
      <c r="A263" t="s">
        <v>946</v>
      </c>
      <c r="B263">
        <v>1759</v>
      </c>
      <c r="C263" t="s">
        <v>947</v>
      </c>
      <c r="D263" t="s">
        <v>948</v>
      </c>
      <c r="E263" t="s">
        <v>949</v>
      </c>
      <c r="F263" t="s">
        <v>53</v>
      </c>
    </row>
    <row r="264" spans="1:12" x14ac:dyDescent="0.3">
      <c r="A264" t="s">
        <v>950</v>
      </c>
      <c r="B264">
        <v>331</v>
      </c>
      <c r="C264" t="s">
        <v>951</v>
      </c>
      <c r="D264" t="s">
        <v>952</v>
      </c>
      <c r="E264" t="s">
        <v>953</v>
      </c>
      <c r="F264" t="s">
        <v>41</v>
      </c>
      <c r="G264" s="18">
        <v>45524.916666666664</v>
      </c>
      <c r="L264" t="s">
        <v>21</v>
      </c>
    </row>
    <row r="265" spans="1:12" x14ac:dyDescent="0.3">
      <c r="A265" t="s">
        <v>954</v>
      </c>
      <c r="B265">
        <v>1923</v>
      </c>
      <c r="C265" t="s">
        <v>955</v>
      </c>
      <c r="D265" t="s">
        <v>956</v>
      </c>
      <c r="E265" t="s">
        <v>957</v>
      </c>
    </row>
    <row r="266" spans="1:12" x14ac:dyDescent="0.3">
      <c r="A266" t="s">
        <v>958</v>
      </c>
      <c r="B266">
        <v>821</v>
      </c>
      <c r="C266" t="s">
        <v>959</v>
      </c>
      <c r="E266" t="s">
        <v>960</v>
      </c>
      <c r="F266" t="s">
        <v>15</v>
      </c>
      <c r="G266" s="18">
        <v>45474.916666666664</v>
      </c>
      <c r="L266" t="s">
        <v>16</v>
      </c>
    </row>
    <row r="267" spans="1:12" x14ac:dyDescent="0.3">
      <c r="A267" t="s">
        <v>961</v>
      </c>
      <c r="B267">
        <v>1107</v>
      </c>
      <c r="C267" t="s">
        <v>962</v>
      </c>
      <c r="E267" t="s">
        <v>963</v>
      </c>
      <c r="F267" t="s">
        <v>71</v>
      </c>
      <c r="L267" t="s">
        <v>21</v>
      </c>
    </row>
    <row r="268" spans="1:12" x14ac:dyDescent="0.3">
      <c r="A268" t="s">
        <v>964</v>
      </c>
      <c r="B268">
        <v>1467</v>
      </c>
      <c r="C268" t="s">
        <v>965</v>
      </c>
      <c r="E268" t="s">
        <v>966</v>
      </c>
      <c r="F268" t="s">
        <v>53</v>
      </c>
      <c r="L268" t="s">
        <v>37</v>
      </c>
    </row>
    <row r="269" spans="1:12" x14ac:dyDescent="0.3">
      <c r="A269" t="s">
        <v>967</v>
      </c>
      <c r="B269">
        <v>63</v>
      </c>
      <c r="C269" t="s">
        <v>968</v>
      </c>
      <c r="D269" t="s">
        <v>969</v>
      </c>
      <c r="E269" t="s">
        <v>970</v>
      </c>
      <c r="F269" t="s">
        <v>53</v>
      </c>
      <c r="L269" t="s">
        <v>21</v>
      </c>
    </row>
    <row r="270" spans="1:12" x14ac:dyDescent="0.3">
      <c r="A270" t="s">
        <v>971</v>
      </c>
      <c r="B270">
        <v>2050</v>
      </c>
      <c r="C270" t="s">
        <v>972</v>
      </c>
      <c r="D270" t="s">
        <v>973</v>
      </c>
      <c r="E270" t="s">
        <v>974</v>
      </c>
    </row>
    <row r="271" spans="1:12" x14ac:dyDescent="0.3">
      <c r="A271" t="s">
        <v>975</v>
      </c>
      <c r="B271">
        <v>454</v>
      </c>
      <c r="C271" t="s">
        <v>976</v>
      </c>
      <c r="E271" t="s">
        <v>977</v>
      </c>
      <c r="F271" t="s">
        <v>41</v>
      </c>
      <c r="G271" s="18">
        <v>45761.916666666664</v>
      </c>
      <c r="L271" t="s">
        <v>16</v>
      </c>
    </row>
    <row r="272" spans="1:12" x14ac:dyDescent="0.3">
      <c r="A272" t="s">
        <v>978</v>
      </c>
      <c r="B272">
        <v>1468</v>
      </c>
      <c r="C272" t="s">
        <v>979</v>
      </c>
      <c r="E272" t="s">
        <v>980</v>
      </c>
      <c r="F272" t="s">
        <v>53</v>
      </c>
      <c r="L272" t="s">
        <v>37</v>
      </c>
    </row>
    <row r="273" spans="1:12" x14ac:dyDescent="0.3">
      <c r="A273" t="s">
        <v>981</v>
      </c>
      <c r="B273">
        <v>1716</v>
      </c>
      <c r="C273" t="s">
        <v>982</v>
      </c>
      <c r="E273" t="s">
        <v>983</v>
      </c>
    </row>
    <row r="274" spans="1:12" x14ac:dyDescent="0.3">
      <c r="A274" t="s">
        <v>984</v>
      </c>
      <c r="B274">
        <v>1689</v>
      </c>
      <c r="C274" t="s">
        <v>985</v>
      </c>
      <c r="D274" t="s">
        <v>986</v>
      </c>
      <c r="E274" t="s">
        <v>987</v>
      </c>
      <c r="F274" t="s">
        <v>53</v>
      </c>
      <c r="L274" t="s">
        <v>315</v>
      </c>
    </row>
    <row r="275" spans="1:12" x14ac:dyDescent="0.3">
      <c r="A275" t="s">
        <v>988</v>
      </c>
      <c r="B275">
        <v>2120</v>
      </c>
      <c r="C275" t="s">
        <v>989</v>
      </c>
      <c r="D275" t="s">
        <v>990</v>
      </c>
      <c r="E275" t="s">
        <v>991</v>
      </c>
    </row>
    <row r="276" spans="1:12" x14ac:dyDescent="0.3">
      <c r="A276" t="s">
        <v>992</v>
      </c>
      <c r="B276">
        <v>459</v>
      </c>
      <c r="C276" t="s">
        <v>993</v>
      </c>
      <c r="E276" t="s">
        <v>994</v>
      </c>
      <c r="F276" t="s">
        <v>41</v>
      </c>
      <c r="G276" s="18">
        <v>45761.916666666664</v>
      </c>
      <c r="L276" t="s">
        <v>16</v>
      </c>
    </row>
    <row r="277" spans="1:12" x14ac:dyDescent="0.3">
      <c r="A277" t="s">
        <v>995</v>
      </c>
      <c r="B277">
        <v>826</v>
      </c>
      <c r="C277" t="s">
        <v>996</v>
      </c>
      <c r="E277" t="s">
        <v>997</v>
      </c>
      <c r="F277" t="s">
        <v>15</v>
      </c>
      <c r="L277" t="s">
        <v>16</v>
      </c>
    </row>
    <row r="278" spans="1:12" x14ac:dyDescent="0.3">
      <c r="A278" t="s">
        <v>998</v>
      </c>
      <c r="B278">
        <v>295</v>
      </c>
      <c r="C278" t="s">
        <v>999</v>
      </c>
      <c r="E278" t="s">
        <v>1000</v>
      </c>
      <c r="F278" t="s">
        <v>53</v>
      </c>
      <c r="L278" t="s">
        <v>16</v>
      </c>
    </row>
    <row r="279" spans="1:12" x14ac:dyDescent="0.3">
      <c r="A279" t="s">
        <v>1001</v>
      </c>
      <c r="B279">
        <v>420</v>
      </c>
      <c r="C279" t="s">
        <v>1002</v>
      </c>
      <c r="E279" t="s">
        <v>1003</v>
      </c>
      <c r="F279" t="s">
        <v>53</v>
      </c>
      <c r="H279" s="18">
        <v>45679.958333333336</v>
      </c>
      <c r="L279" t="s">
        <v>16</v>
      </c>
    </row>
    <row r="280" spans="1:12" x14ac:dyDescent="0.3">
      <c r="A280" t="s">
        <v>1004</v>
      </c>
      <c r="B280">
        <v>861</v>
      </c>
      <c r="C280" t="s">
        <v>1005</v>
      </c>
      <c r="E280" t="s">
        <v>1006</v>
      </c>
      <c r="F280" t="s">
        <v>15</v>
      </c>
      <c r="G280" s="18">
        <v>45417.916666666664</v>
      </c>
      <c r="K280" s="18">
        <v>45597.958333333336</v>
      </c>
      <c r="L280" t="s">
        <v>16</v>
      </c>
    </row>
    <row r="281" spans="1:12" x14ac:dyDescent="0.3">
      <c r="A281" t="s">
        <v>1007</v>
      </c>
      <c r="B281">
        <v>1341</v>
      </c>
      <c r="C281" t="s">
        <v>1008</v>
      </c>
      <c r="E281" t="s">
        <v>1009</v>
      </c>
      <c r="F281" t="s">
        <v>49</v>
      </c>
      <c r="L281" t="s">
        <v>16</v>
      </c>
    </row>
    <row r="282" spans="1:12" x14ac:dyDescent="0.3">
      <c r="A282" t="s">
        <v>1010</v>
      </c>
      <c r="B282">
        <v>546</v>
      </c>
      <c r="C282" t="s">
        <v>1011</v>
      </c>
      <c r="D282" t="s">
        <v>1012</v>
      </c>
      <c r="E282" t="s">
        <v>1013</v>
      </c>
      <c r="F282" t="s">
        <v>41</v>
      </c>
      <c r="G282" s="18">
        <v>45761.916666666664</v>
      </c>
      <c r="L282" t="s">
        <v>16</v>
      </c>
    </row>
    <row r="283" spans="1:12" x14ac:dyDescent="0.3">
      <c r="A283" t="s">
        <v>1014</v>
      </c>
      <c r="B283">
        <v>629</v>
      </c>
      <c r="C283" t="s">
        <v>1015</v>
      </c>
      <c r="D283" t="s">
        <v>1016</v>
      </c>
      <c r="E283" t="s">
        <v>1017</v>
      </c>
      <c r="F283" t="s">
        <v>53</v>
      </c>
      <c r="L283" t="s">
        <v>88</v>
      </c>
    </row>
    <row r="284" spans="1:12" x14ac:dyDescent="0.3">
      <c r="A284" t="s">
        <v>1018</v>
      </c>
      <c r="B284">
        <v>1129</v>
      </c>
      <c r="C284" t="s">
        <v>1019</v>
      </c>
      <c r="D284" t="s">
        <v>1020</v>
      </c>
      <c r="E284" t="s">
        <v>1021</v>
      </c>
      <c r="F284" t="s">
        <v>170</v>
      </c>
      <c r="K284" s="18">
        <v>45774.916666666664</v>
      </c>
      <c r="L284" t="s">
        <v>16</v>
      </c>
    </row>
    <row r="285" spans="1:12" x14ac:dyDescent="0.3">
      <c r="A285" t="s">
        <v>1022</v>
      </c>
      <c r="B285">
        <v>1835</v>
      </c>
      <c r="C285" t="s">
        <v>1023</v>
      </c>
      <c r="D285" t="s">
        <v>1024</v>
      </c>
      <c r="E285" t="s">
        <v>1025</v>
      </c>
      <c r="F285" t="s">
        <v>53</v>
      </c>
      <c r="L285" t="s">
        <v>148</v>
      </c>
    </row>
    <row r="286" spans="1:12" x14ac:dyDescent="0.3">
      <c r="A286" t="s">
        <v>1026</v>
      </c>
      <c r="B286">
        <v>2131</v>
      </c>
      <c r="C286" t="s">
        <v>1027</v>
      </c>
      <c r="D286" t="s">
        <v>1028</v>
      </c>
      <c r="E286" t="s">
        <v>1029</v>
      </c>
    </row>
    <row r="287" spans="1:12" x14ac:dyDescent="0.3">
      <c r="A287" t="s">
        <v>1030</v>
      </c>
      <c r="B287">
        <v>1600</v>
      </c>
      <c r="C287" t="s">
        <v>1031</v>
      </c>
      <c r="E287" t="s">
        <v>1032</v>
      </c>
      <c r="F287" t="s">
        <v>53</v>
      </c>
      <c r="L287" t="s">
        <v>37</v>
      </c>
    </row>
    <row r="288" spans="1:12" x14ac:dyDescent="0.3">
      <c r="A288" t="s">
        <v>1033</v>
      </c>
      <c r="B288">
        <v>1231</v>
      </c>
      <c r="C288" t="s">
        <v>1034</v>
      </c>
      <c r="E288" t="s">
        <v>1035</v>
      </c>
      <c r="F288" t="s">
        <v>15</v>
      </c>
      <c r="G288" s="18">
        <v>45454.916666666664</v>
      </c>
      <c r="K288" s="18">
        <v>45575.916666666664</v>
      </c>
      <c r="L288" t="s">
        <v>16</v>
      </c>
    </row>
    <row r="289" spans="1:12" x14ac:dyDescent="0.3">
      <c r="A289" t="s">
        <v>1036</v>
      </c>
      <c r="B289">
        <v>898</v>
      </c>
      <c r="C289" t="s">
        <v>1037</v>
      </c>
      <c r="F289" t="s">
        <v>71</v>
      </c>
      <c r="L289" t="s">
        <v>16</v>
      </c>
    </row>
    <row r="290" spans="1:12" x14ac:dyDescent="0.3">
      <c r="A290" t="s">
        <v>1038</v>
      </c>
      <c r="B290">
        <v>1254</v>
      </c>
      <c r="C290" t="s">
        <v>1039</v>
      </c>
      <c r="E290" t="s">
        <v>1040</v>
      </c>
      <c r="F290" t="s">
        <v>71</v>
      </c>
      <c r="L290" t="s">
        <v>21</v>
      </c>
    </row>
    <row r="291" spans="1:12" x14ac:dyDescent="0.3">
      <c r="A291" t="s">
        <v>1041</v>
      </c>
      <c r="B291">
        <v>1176</v>
      </c>
      <c r="C291" t="s">
        <v>1042</v>
      </c>
      <c r="F291" t="s">
        <v>71</v>
      </c>
      <c r="L291" t="s">
        <v>16</v>
      </c>
    </row>
    <row r="292" spans="1:12" x14ac:dyDescent="0.3">
      <c r="A292" t="s">
        <v>1043</v>
      </c>
      <c r="B292">
        <v>1469</v>
      </c>
      <c r="C292" t="s">
        <v>1044</v>
      </c>
      <c r="D292" t="s">
        <v>1045</v>
      </c>
      <c r="E292" t="s">
        <v>1046</v>
      </c>
      <c r="F292" t="s">
        <v>53</v>
      </c>
      <c r="K292" s="18">
        <v>45722.958333333336</v>
      </c>
      <c r="L292" t="s">
        <v>37</v>
      </c>
    </row>
    <row r="293" spans="1:12" x14ac:dyDescent="0.3">
      <c r="A293" t="s">
        <v>1047</v>
      </c>
      <c r="B293">
        <v>1083</v>
      </c>
      <c r="C293" t="s">
        <v>1048</v>
      </c>
      <c r="E293" t="s">
        <v>1049</v>
      </c>
      <c r="F293" t="s">
        <v>15</v>
      </c>
      <c r="K293" s="18">
        <v>45729.958333333336</v>
      </c>
      <c r="L293" t="s">
        <v>21</v>
      </c>
    </row>
    <row r="294" spans="1:12" x14ac:dyDescent="0.3">
      <c r="A294" t="s">
        <v>1050</v>
      </c>
      <c r="B294">
        <v>499</v>
      </c>
      <c r="C294" t="s">
        <v>1051</v>
      </c>
      <c r="D294" t="s">
        <v>1052</v>
      </c>
      <c r="E294" t="s">
        <v>1053</v>
      </c>
      <c r="F294" t="s">
        <v>53</v>
      </c>
      <c r="L294" t="s">
        <v>16</v>
      </c>
    </row>
    <row r="295" spans="1:12" x14ac:dyDescent="0.3">
      <c r="A295" t="s">
        <v>1054</v>
      </c>
      <c r="B295">
        <v>798</v>
      </c>
      <c r="C295" t="s">
        <v>1055</v>
      </c>
      <c r="E295" t="s">
        <v>1056</v>
      </c>
      <c r="F295" t="s">
        <v>15</v>
      </c>
      <c r="G295" s="18">
        <v>45536.916666666664</v>
      </c>
      <c r="H295" s="18">
        <v>45652.958333333336</v>
      </c>
      <c r="K295" s="18">
        <v>45652.958333333336</v>
      </c>
      <c r="L295" t="s">
        <v>16</v>
      </c>
    </row>
    <row r="296" spans="1:12" x14ac:dyDescent="0.3">
      <c r="A296" t="s">
        <v>1057</v>
      </c>
      <c r="B296">
        <v>1776</v>
      </c>
      <c r="C296" t="s">
        <v>1058</v>
      </c>
      <c r="D296" t="s">
        <v>1059</v>
      </c>
      <c r="E296" t="s">
        <v>1060</v>
      </c>
      <c r="F296" t="s">
        <v>53</v>
      </c>
      <c r="L296" t="s">
        <v>88</v>
      </c>
    </row>
    <row r="297" spans="1:12" x14ac:dyDescent="0.3">
      <c r="A297" t="s">
        <v>1061</v>
      </c>
      <c r="B297">
        <v>1379</v>
      </c>
      <c r="C297" t="s">
        <v>1062</v>
      </c>
      <c r="F297" t="s">
        <v>71</v>
      </c>
      <c r="L297" t="s">
        <v>16</v>
      </c>
    </row>
    <row r="298" spans="1:12" x14ac:dyDescent="0.3">
      <c r="A298" t="s">
        <v>1063</v>
      </c>
      <c r="B298">
        <v>1909</v>
      </c>
      <c r="C298" t="s">
        <v>1064</v>
      </c>
      <c r="D298" t="s">
        <v>1065</v>
      </c>
      <c r="E298" t="s">
        <v>1066</v>
      </c>
    </row>
    <row r="299" spans="1:12" x14ac:dyDescent="0.3">
      <c r="A299" t="s">
        <v>1067</v>
      </c>
      <c r="B299">
        <v>1918</v>
      </c>
      <c r="C299" t="s">
        <v>1068</v>
      </c>
      <c r="D299" t="s">
        <v>1069</v>
      </c>
      <c r="E299" t="s">
        <v>1070</v>
      </c>
    </row>
    <row r="300" spans="1:12" x14ac:dyDescent="0.3">
      <c r="A300" t="s">
        <v>1071</v>
      </c>
      <c r="B300">
        <v>1673</v>
      </c>
      <c r="C300" t="s">
        <v>1072</v>
      </c>
      <c r="D300" t="s">
        <v>1073</v>
      </c>
      <c r="E300" t="s">
        <v>1074</v>
      </c>
      <c r="F300" t="s">
        <v>53</v>
      </c>
      <c r="L300" t="s">
        <v>88</v>
      </c>
    </row>
    <row r="301" spans="1:12" x14ac:dyDescent="0.3">
      <c r="A301" t="s">
        <v>1075</v>
      </c>
      <c r="B301">
        <v>330</v>
      </c>
      <c r="C301" t="s">
        <v>1076</v>
      </c>
      <c r="D301" t="s">
        <v>1077</v>
      </c>
      <c r="E301" t="s">
        <v>1078</v>
      </c>
      <c r="F301" t="s">
        <v>41</v>
      </c>
      <c r="G301" s="18">
        <v>45760.916666666664</v>
      </c>
      <c r="L301" t="s">
        <v>21</v>
      </c>
    </row>
    <row r="302" spans="1:12" x14ac:dyDescent="0.3">
      <c r="A302" t="s">
        <v>1079</v>
      </c>
      <c r="B302">
        <v>1220</v>
      </c>
      <c r="C302" t="s">
        <v>1080</v>
      </c>
      <c r="E302" t="s">
        <v>1081</v>
      </c>
      <c r="F302" t="s">
        <v>15</v>
      </c>
      <c r="G302" s="18">
        <v>45490.916666666664</v>
      </c>
      <c r="K302" s="18">
        <v>45676.958333333336</v>
      </c>
      <c r="L302" t="s">
        <v>16</v>
      </c>
    </row>
    <row r="303" spans="1:12" x14ac:dyDescent="0.3">
      <c r="A303" t="s">
        <v>1082</v>
      </c>
      <c r="B303">
        <v>1157</v>
      </c>
      <c r="C303" t="s">
        <v>1083</v>
      </c>
      <c r="E303" t="s">
        <v>1084</v>
      </c>
      <c r="F303" t="s">
        <v>71</v>
      </c>
      <c r="L303" t="s">
        <v>21</v>
      </c>
    </row>
    <row r="304" spans="1:12" x14ac:dyDescent="0.3">
      <c r="A304" t="s">
        <v>1085</v>
      </c>
      <c r="B304">
        <v>1470</v>
      </c>
      <c r="C304" t="s">
        <v>1086</v>
      </c>
      <c r="E304" t="s">
        <v>1087</v>
      </c>
      <c r="F304" t="s">
        <v>53</v>
      </c>
      <c r="L304" t="s">
        <v>37</v>
      </c>
    </row>
    <row r="305" spans="1:12" x14ac:dyDescent="0.3">
      <c r="A305" t="s">
        <v>1088</v>
      </c>
      <c r="B305">
        <v>415</v>
      </c>
      <c r="C305" t="s">
        <v>1089</v>
      </c>
      <c r="E305" t="s">
        <v>1090</v>
      </c>
      <c r="F305" t="s">
        <v>41</v>
      </c>
      <c r="G305" s="18">
        <v>45761.916666666664</v>
      </c>
      <c r="L305" t="s">
        <v>16</v>
      </c>
    </row>
    <row r="306" spans="1:12" x14ac:dyDescent="0.3">
      <c r="A306" t="s">
        <v>1091</v>
      </c>
      <c r="B306">
        <v>733</v>
      </c>
      <c r="C306" t="s">
        <v>1092</v>
      </c>
      <c r="E306" t="s">
        <v>1093</v>
      </c>
      <c r="F306" t="s">
        <v>15</v>
      </c>
      <c r="G306" s="18">
        <v>45331.958333333336</v>
      </c>
      <c r="H306" s="18">
        <v>45512.916666666664</v>
      </c>
      <c r="K306" s="18">
        <v>45512.916666666664</v>
      </c>
      <c r="L306" t="s">
        <v>16</v>
      </c>
    </row>
    <row r="307" spans="1:12" x14ac:dyDescent="0.3">
      <c r="A307" t="s">
        <v>1094</v>
      </c>
      <c r="B307">
        <v>145</v>
      </c>
      <c r="C307" t="s">
        <v>1095</v>
      </c>
      <c r="D307" t="s">
        <v>1096</v>
      </c>
      <c r="E307" t="s">
        <v>1097</v>
      </c>
      <c r="F307" t="s">
        <v>41</v>
      </c>
      <c r="G307" s="18">
        <v>45330.958333333336</v>
      </c>
      <c r="L307" t="s">
        <v>16</v>
      </c>
    </row>
    <row r="308" spans="1:12" x14ac:dyDescent="0.3">
      <c r="A308" t="s">
        <v>1098</v>
      </c>
      <c r="B308">
        <v>1898</v>
      </c>
      <c r="C308" t="s">
        <v>1099</v>
      </c>
      <c r="D308" t="s">
        <v>1100</v>
      </c>
      <c r="E308" t="s">
        <v>1101</v>
      </c>
    </row>
    <row r="309" spans="1:12" x14ac:dyDescent="0.3">
      <c r="A309" t="s">
        <v>1102</v>
      </c>
      <c r="B309">
        <v>732</v>
      </c>
      <c r="C309" t="s">
        <v>1103</v>
      </c>
      <c r="E309" t="s">
        <v>1104</v>
      </c>
      <c r="F309" t="s">
        <v>15</v>
      </c>
      <c r="G309" s="18">
        <v>45323.958333333336</v>
      </c>
      <c r="K309" s="18">
        <v>45484.916666666664</v>
      </c>
      <c r="L309" t="s">
        <v>16</v>
      </c>
    </row>
    <row r="310" spans="1:12" x14ac:dyDescent="0.3">
      <c r="A310" t="s">
        <v>1105</v>
      </c>
      <c r="B310">
        <v>599</v>
      </c>
      <c r="C310" t="s">
        <v>1106</v>
      </c>
      <c r="D310" t="s">
        <v>1107</v>
      </c>
      <c r="E310" t="s">
        <v>1108</v>
      </c>
      <c r="F310" t="s">
        <v>53</v>
      </c>
      <c r="L310" t="s">
        <v>16</v>
      </c>
    </row>
    <row r="311" spans="1:12" x14ac:dyDescent="0.3">
      <c r="A311" t="s">
        <v>1109</v>
      </c>
      <c r="B311">
        <v>1367</v>
      </c>
      <c r="C311" t="s">
        <v>1110</v>
      </c>
      <c r="E311" t="s">
        <v>1111</v>
      </c>
      <c r="F311" t="s">
        <v>15</v>
      </c>
      <c r="G311" s="18">
        <v>45433.916666666664</v>
      </c>
      <c r="K311" s="18">
        <v>45708.958333333336</v>
      </c>
      <c r="L311" t="s">
        <v>16</v>
      </c>
    </row>
    <row r="312" spans="1:12" x14ac:dyDescent="0.3">
      <c r="A312" t="s">
        <v>1112</v>
      </c>
      <c r="B312">
        <v>73</v>
      </c>
      <c r="C312" t="s">
        <v>1113</v>
      </c>
      <c r="E312" t="s">
        <v>1114</v>
      </c>
      <c r="F312" t="s">
        <v>53</v>
      </c>
      <c r="L312" t="s">
        <v>16</v>
      </c>
    </row>
    <row r="313" spans="1:12" x14ac:dyDescent="0.3">
      <c r="A313" t="s">
        <v>1115</v>
      </c>
      <c r="B313">
        <v>1373</v>
      </c>
      <c r="C313" t="s">
        <v>1116</v>
      </c>
      <c r="E313" t="s">
        <v>1117</v>
      </c>
      <c r="F313" t="s">
        <v>15</v>
      </c>
      <c r="G313" s="18">
        <v>45519.916666666664</v>
      </c>
      <c r="K313" s="18">
        <v>45708.958333333336</v>
      </c>
      <c r="L313" t="s">
        <v>16</v>
      </c>
    </row>
    <row r="314" spans="1:12" x14ac:dyDescent="0.3">
      <c r="A314" t="s">
        <v>1118</v>
      </c>
      <c r="B314">
        <v>1895</v>
      </c>
      <c r="C314" t="s">
        <v>1119</v>
      </c>
      <c r="D314" t="s">
        <v>1120</v>
      </c>
      <c r="E314" t="s">
        <v>1121</v>
      </c>
    </row>
    <row r="315" spans="1:12" x14ac:dyDescent="0.3">
      <c r="A315" t="s">
        <v>1122</v>
      </c>
      <c r="B315">
        <v>1219</v>
      </c>
      <c r="C315" t="s">
        <v>1123</v>
      </c>
      <c r="E315" t="s">
        <v>1124</v>
      </c>
      <c r="F315" t="s">
        <v>15</v>
      </c>
      <c r="G315" s="18">
        <v>45489.916666666664</v>
      </c>
      <c r="H315" s="18">
        <v>45683.958333333336</v>
      </c>
      <c r="K315" s="18">
        <v>45683.958333333336</v>
      </c>
      <c r="L315" t="s">
        <v>16</v>
      </c>
    </row>
    <row r="316" spans="1:12" x14ac:dyDescent="0.3">
      <c r="A316" t="s">
        <v>1125</v>
      </c>
      <c r="B316">
        <v>1052</v>
      </c>
      <c r="C316" t="s">
        <v>1126</v>
      </c>
      <c r="E316" t="s">
        <v>1127</v>
      </c>
      <c r="F316" t="s">
        <v>15</v>
      </c>
      <c r="K316" s="18">
        <v>45529.916666666664</v>
      </c>
      <c r="L316" t="s">
        <v>16</v>
      </c>
    </row>
    <row r="317" spans="1:12" x14ac:dyDescent="0.3">
      <c r="A317" t="s">
        <v>1128</v>
      </c>
      <c r="B317">
        <v>96</v>
      </c>
      <c r="C317" t="s">
        <v>1129</v>
      </c>
      <c r="D317" t="s">
        <v>1130</v>
      </c>
      <c r="E317" t="s">
        <v>1131</v>
      </c>
      <c r="F317" t="s">
        <v>41</v>
      </c>
      <c r="G317" s="18">
        <v>45245.958333333336</v>
      </c>
      <c r="L317" t="s">
        <v>16</v>
      </c>
    </row>
    <row r="318" spans="1:12" x14ac:dyDescent="0.3">
      <c r="A318" t="s">
        <v>1132</v>
      </c>
      <c r="B318">
        <v>506</v>
      </c>
      <c r="C318" t="s">
        <v>1133</v>
      </c>
      <c r="D318" t="s">
        <v>1134</v>
      </c>
      <c r="E318" t="s">
        <v>1135</v>
      </c>
      <c r="F318" t="s">
        <v>41</v>
      </c>
      <c r="G318" s="18">
        <v>45732.958333333336</v>
      </c>
      <c r="L318" t="s">
        <v>315</v>
      </c>
    </row>
    <row r="319" spans="1:12" x14ac:dyDescent="0.3">
      <c r="A319" t="s">
        <v>1136</v>
      </c>
      <c r="B319">
        <v>256</v>
      </c>
      <c r="C319" t="s">
        <v>1137</v>
      </c>
      <c r="D319" t="s">
        <v>1138</v>
      </c>
      <c r="E319" t="s">
        <v>1139</v>
      </c>
      <c r="F319" t="s">
        <v>41</v>
      </c>
      <c r="G319" s="18">
        <v>45760.916666666664</v>
      </c>
      <c r="L319" t="s">
        <v>21</v>
      </c>
    </row>
    <row r="320" spans="1:12" x14ac:dyDescent="0.3">
      <c r="A320" t="s">
        <v>1140</v>
      </c>
      <c r="B320">
        <v>1312</v>
      </c>
      <c r="C320" t="s">
        <v>1141</v>
      </c>
      <c r="E320" t="s">
        <v>1142</v>
      </c>
      <c r="F320" t="s">
        <v>15</v>
      </c>
      <c r="G320" s="18">
        <v>45700.958333333336</v>
      </c>
      <c r="H320" s="18">
        <v>45750.916666666664</v>
      </c>
      <c r="K320" s="18">
        <v>45750.916666666664</v>
      </c>
      <c r="L320" t="s">
        <v>16</v>
      </c>
    </row>
    <row r="321" spans="1:12" x14ac:dyDescent="0.3">
      <c r="A321" t="s">
        <v>1143</v>
      </c>
      <c r="B321">
        <v>303</v>
      </c>
      <c r="C321" t="s">
        <v>1144</v>
      </c>
      <c r="E321" t="s">
        <v>1145</v>
      </c>
      <c r="F321" t="s">
        <v>41</v>
      </c>
      <c r="G321" s="18">
        <v>45760.916666666664</v>
      </c>
      <c r="L321" t="s">
        <v>21</v>
      </c>
    </row>
    <row r="322" spans="1:12" x14ac:dyDescent="0.3">
      <c r="A322" t="s">
        <v>1146</v>
      </c>
      <c r="B322">
        <v>1408</v>
      </c>
      <c r="C322" t="s">
        <v>1147</v>
      </c>
      <c r="E322" t="s">
        <v>1148</v>
      </c>
      <c r="F322" t="s">
        <v>53</v>
      </c>
      <c r="I322" s="18">
        <v>45811.916666666664</v>
      </c>
      <c r="J322" s="18">
        <v>45841.916666666664</v>
      </c>
      <c r="L322" t="s">
        <v>21</v>
      </c>
    </row>
    <row r="323" spans="1:12" x14ac:dyDescent="0.3">
      <c r="A323" t="s">
        <v>1149</v>
      </c>
      <c r="B323">
        <v>1998</v>
      </c>
      <c r="C323" t="s">
        <v>1150</v>
      </c>
      <c r="D323" t="s">
        <v>1151</v>
      </c>
      <c r="E323" t="s">
        <v>1152</v>
      </c>
    </row>
    <row r="324" spans="1:12" x14ac:dyDescent="0.3">
      <c r="A324" t="s">
        <v>1153</v>
      </c>
      <c r="B324">
        <v>1601</v>
      </c>
      <c r="C324" t="s">
        <v>1154</v>
      </c>
      <c r="E324" t="s">
        <v>1155</v>
      </c>
      <c r="F324" t="s">
        <v>53</v>
      </c>
      <c r="L324" t="s">
        <v>37</v>
      </c>
    </row>
    <row r="325" spans="1:12" x14ac:dyDescent="0.3">
      <c r="A325" t="s">
        <v>1156</v>
      </c>
      <c r="B325">
        <v>1370</v>
      </c>
      <c r="C325" t="s">
        <v>1157</v>
      </c>
      <c r="E325" t="s">
        <v>1158</v>
      </c>
      <c r="F325" t="s">
        <v>15</v>
      </c>
      <c r="G325" s="18">
        <v>45454.916666666664</v>
      </c>
      <c r="H325" s="18">
        <v>45660.958333333336</v>
      </c>
      <c r="K325" s="18">
        <v>45660.958333333336</v>
      </c>
      <c r="L325" t="s">
        <v>16</v>
      </c>
    </row>
    <row r="326" spans="1:12" x14ac:dyDescent="0.3">
      <c r="A326" t="s">
        <v>1159</v>
      </c>
      <c r="B326">
        <v>1127</v>
      </c>
      <c r="C326" t="s">
        <v>1160</v>
      </c>
      <c r="E326" t="s">
        <v>1161</v>
      </c>
      <c r="F326" t="s">
        <v>15</v>
      </c>
      <c r="G326" s="18">
        <v>45376.958333333336</v>
      </c>
      <c r="H326" s="18">
        <v>45547.916666666664</v>
      </c>
      <c r="K326" s="18">
        <v>45547.916666666664</v>
      </c>
      <c r="L326" t="s">
        <v>16</v>
      </c>
    </row>
    <row r="327" spans="1:12" x14ac:dyDescent="0.3">
      <c r="A327" t="s">
        <v>1162</v>
      </c>
      <c r="B327">
        <v>1824</v>
      </c>
      <c r="C327" t="s">
        <v>1163</v>
      </c>
      <c r="D327" t="s">
        <v>1164</v>
      </c>
      <c r="E327" t="s">
        <v>1165</v>
      </c>
    </row>
    <row r="328" spans="1:12" x14ac:dyDescent="0.3">
      <c r="A328" t="s">
        <v>1166</v>
      </c>
      <c r="B328">
        <v>1360</v>
      </c>
      <c r="C328" t="s">
        <v>1167</v>
      </c>
      <c r="E328" t="s">
        <v>1168</v>
      </c>
      <c r="F328" t="s">
        <v>71</v>
      </c>
      <c r="L328" t="s">
        <v>21</v>
      </c>
    </row>
    <row r="329" spans="1:12" x14ac:dyDescent="0.3">
      <c r="A329" t="s">
        <v>1169</v>
      </c>
      <c r="B329">
        <v>1853</v>
      </c>
      <c r="C329" t="s">
        <v>1170</v>
      </c>
      <c r="D329" t="s">
        <v>1171</v>
      </c>
      <c r="E329" t="s">
        <v>1172</v>
      </c>
    </row>
    <row r="330" spans="1:12" x14ac:dyDescent="0.3">
      <c r="A330" t="s">
        <v>1173</v>
      </c>
      <c r="B330">
        <v>1471</v>
      </c>
      <c r="C330" t="s">
        <v>1174</v>
      </c>
      <c r="D330" t="s">
        <v>1175</v>
      </c>
      <c r="E330" t="s">
        <v>1176</v>
      </c>
      <c r="F330" t="s">
        <v>53</v>
      </c>
      <c r="L330" t="s">
        <v>37</v>
      </c>
    </row>
    <row r="331" spans="1:12" x14ac:dyDescent="0.3">
      <c r="A331" t="s">
        <v>1177</v>
      </c>
      <c r="B331">
        <v>534</v>
      </c>
      <c r="C331" t="s">
        <v>1178</v>
      </c>
      <c r="D331" t="s">
        <v>1179</v>
      </c>
      <c r="E331" t="s">
        <v>1180</v>
      </c>
      <c r="F331" t="s">
        <v>41</v>
      </c>
      <c r="G331" s="18">
        <v>45761.916666666664</v>
      </c>
      <c r="L331" t="s">
        <v>16</v>
      </c>
    </row>
    <row r="332" spans="1:12" x14ac:dyDescent="0.3">
      <c r="A332" t="s">
        <v>1181</v>
      </c>
      <c r="B332">
        <v>361</v>
      </c>
      <c r="C332" t="s">
        <v>1182</v>
      </c>
      <c r="D332" t="s">
        <v>1183</v>
      </c>
      <c r="E332" t="s">
        <v>1184</v>
      </c>
      <c r="F332" t="s">
        <v>41</v>
      </c>
      <c r="G332" s="18">
        <v>45761.916666666664</v>
      </c>
      <c r="L332" t="s">
        <v>16</v>
      </c>
    </row>
    <row r="333" spans="1:12" x14ac:dyDescent="0.3">
      <c r="A333" t="s">
        <v>1185</v>
      </c>
      <c r="B333">
        <v>1602</v>
      </c>
      <c r="C333" t="s">
        <v>1186</v>
      </c>
      <c r="E333" t="s">
        <v>1187</v>
      </c>
      <c r="F333" t="s">
        <v>53</v>
      </c>
      <c r="K333" s="18">
        <v>45813.916666666664</v>
      </c>
      <c r="L333" t="s">
        <v>37</v>
      </c>
    </row>
    <row r="334" spans="1:12" x14ac:dyDescent="0.3">
      <c r="A334" t="s">
        <v>1188</v>
      </c>
      <c r="B334">
        <v>2062</v>
      </c>
      <c r="C334" t="s">
        <v>1189</v>
      </c>
      <c r="D334" t="s">
        <v>1190</v>
      </c>
      <c r="E334" t="s">
        <v>1191</v>
      </c>
    </row>
    <row r="335" spans="1:12" x14ac:dyDescent="0.3">
      <c r="A335" t="s">
        <v>1192</v>
      </c>
      <c r="B335">
        <v>1434</v>
      </c>
      <c r="C335" t="s">
        <v>1193</v>
      </c>
      <c r="E335" t="s">
        <v>1194</v>
      </c>
      <c r="F335" t="s">
        <v>53</v>
      </c>
      <c r="L335" t="s">
        <v>21</v>
      </c>
    </row>
    <row r="336" spans="1:12" x14ac:dyDescent="0.3">
      <c r="A336" t="s">
        <v>1195</v>
      </c>
      <c r="B336">
        <v>1724</v>
      </c>
      <c r="C336" t="s">
        <v>1196</v>
      </c>
      <c r="D336" t="s">
        <v>1197</v>
      </c>
      <c r="E336" t="s">
        <v>1198</v>
      </c>
    </row>
    <row r="337" spans="1:12" x14ac:dyDescent="0.3">
      <c r="A337" t="s">
        <v>1199</v>
      </c>
      <c r="B337">
        <v>722</v>
      </c>
      <c r="C337" t="s">
        <v>1200</v>
      </c>
      <c r="E337" t="s">
        <v>1201</v>
      </c>
      <c r="F337" t="s">
        <v>15</v>
      </c>
      <c r="L337" t="s">
        <v>16</v>
      </c>
    </row>
    <row r="338" spans="1:12" x14ac:dyDescent="0.3">
      <c r="A338" t="s">
        <v>1202</v>
      </c>
      <c r="B338">
        <v>1663</v>
      </c>
      <c r="C338" t="s">
        <v>1203</v>
      </c>
      <c r="D338" t="s">
        <v>1204</v>
      </c>
      <c r="E338" t="s">
        <v>1205</v>
      </c>
      <c r="F338" t="s">
        <v>53</v>
      </c>
      <c r="L338" t="s">
        <v>88</v>
      </c>
    </row>
    <row r="339" spans="1:12" x14ac:dyDescent="0.3">
      <c r="A339" t="s">
        <v>1206</v>
      </c>
      <c r="B339">
        <v>1392</v>
      </c>
      <c r="C339" t="s">
        <v>1207</v>
      </c>
      <c r="E339" t="s">
        <v>1208</v>
      </c>
      <c r="F339" t="s">
        <v>15</v>
      </c>
      <c r="G339" s="18">
        <v>45330.958333333336</v>
      </c>
      <c r="H339" s="18">
        <v>45642.958333333336</v>
      </c>
      <c r="K339" s="18">
        <v>45642.958333333336</v>
      </c>
      <c r="L339" t="s">
        <v>16</v>
      </c>
    </row>
    <row r="340" spans="1:12" x14ac:dyDescent="0.3">
      <c r="A340" t="s">
        <v>1209</v>
      </c>
      <c r="B340">
        <v>1472</v>
      </c>
      <c r="C340" t="s">
        <v>1210</v>
      </c>
      <c r="D340" t="s">
        <v>1211</v>
      </c>
      <c r="E340" t="s">
        <v>1212</v>
      </c>
      <c r="F340" t="s">
        <v>53</v>
      </c>
      <c r="L340" t="s">
        <v>37</v>
      </c>
    </row>
    <row r="341" spans="1:12" x14ac:dyDescent="0.3">
      <c r="A341" t="s">
        <v>1213</v>
      </c>
      <c r="B341">
        <v>1764</v>
      </c>
      <c r="C341" t="s">
        <v>1214</v>
      </c>
      <c r="D341" t="s">
        <v>1215</v>
      </c>
      <c r="E341" t="s">
        <v>1216</v>
      </c>
      <c r="F341" t="s">
        <v>53</v>
      </c>
      <c r="L341" t="s">
        <v>315</v>
      </c>
    </row>
    <row r="342" spans="1:12" x14ac:dyDescent="0.3">
      <c r="A342" t="s">
        <v>1217</v>
      </c>
      <c r="B342">
        <v>592</v>
      </c>
      <c r="C342" t="s">
        <v>1218</v>
      </c>
      <c r="D342" t="s">
        <v>1219</v>
      </c>
      <c r="E342" t="s">
        <v>1220</v>
      </c>
      <c r="F342" t="s">
        <v>53</v>
      </c>
      <c r="L342" t="s">
        <v>16</v>
      </c>
    </row>
    <row r="343" spans="1:12" x14ac:dyDescent="0.3">
      <c r="A343" t="s">
        <v>1221</v>
      </c>
      <c r="B343">
        <v>1473</v>
      </c>
      <c r="C343" t="s">
        <v>1222</v>
      </c>
      <c r="E343" t="s">
        <v>1223</v>
      </c>
      <c r="F343" t="s">
        <v>53</v>
      </c>
      <c r="L343" t="s">
        <v>37</v>
      </c>
    </row>
    <row r="344" spans="1:12" x14ac:dyDescent="0.3">
      <c r="A344" t="s">
        <v>1224</v>
      </c>
      <c r="B344">
        <v>1054</v>
      </c>
      <c r="C344" t="s">
        <v>1225</v>
      </c>
      <c r="E344" t="s">
        <v>1226</v>
      </c>
      <c r="F344" t="s">
        <v>71</v>
      </c>
      <c r="G344" s="18">
        <v>45008.958333333336</v>
      </c>
      <c r="L344" t="s">
        <v>16</v>
      </c>
    </row>
    <row r="345" spans="1:12" x14ac:dyDescent="0.3">
      <c r="A345" t="s">
        <v>1227</v>
      </c>
      <c r="B345">
        <v>1474</v>
      </c>
      <c r="C345" t="s">
        <v>1228</v>
      </c>
      <c r="E345" t="s">
        <v>1229</v>
      </c>
      <c r="F345" t="s">
        <v>53</v>
      </c>
      <c r="L345" t="s">
        <v>37</v>
      </c>
    </row>
    <row r="346" spans="1:12" x14ac:dyDescent="0.3">
      <c r="A346" t="s">
        <v>1230</v>
      </c>
      <c r="B346">
        <v>1659</v>
      </c>
      <c r="C346" t="s">
        <v>1231</v>
      </c>
      <c r="D346" t="s">
        <v>1232</v>
      </c>
      <c r="E346" t="s">
        <v>1233</v>
      </c>
      <c r="L346" t="s">
        <v>225</v>
      </c>
    </row>
    <row r="347" spans="1:12" x14ac:dyDescent="0.3">
      <c r="A347" t="s">
        <v>1234</v>
      </c>
      <c r="B347">
        <v>403</v>
      </c>
      <c r="C347" t="s">
        <v>1235</v>
      </c>
      <c r="D347" t="s">
        <v>1236</v>
      </c>
      <c r="E347" t="s">
        <v>1237</v>
      </c>
      <c r="F347" t="s">
        <v>57</v>
      </c>
      <c r="L347" t="s">
        <v>21</v>
      </c>
    </row>
    <row r="348" spans="1:12" x14ac:dyDescent="0.3">
      <c r="A348" t="s">
        <v>1238</v>
      </c>
      <c r="B348">
        <v>1386</v>
      </c>
      <c r="C348" t="s">
        <v>1239</v>
      </c>
      <c r="E348" t="s">
        <v>1240</v>
      </c>
      <c r="F348" t="s">
        <v>15</v>
      </c>
      <c r="K348" s="18">
        <v>45728.958333333336</v>
      </c>
      <c r="L348" t="s">
        <v>16</v>
      </c>
    </row>
    <row r="349" spans="1:12" x14ac:dyDescent="0.3">
      <c r="A349" t="s">
        <v>1241</v>
      </c>
      <c r="B349">
        <v>83</v>
      </c>
      <c r="C349" t="s">
        <v>1242</v>
      </c>
      <c r="D349" t="s">
        <v>1243</v>
      </c>
      <c r="E349" t="s">
        <v>1244</v>
      </c>
      <c r="F349" t="s">
        <v>53</v>
      </c>
      <c r="L349" t="s">
        <v>16</v>
      </c>
    </row>
    <row r="350" spans="1:12" x14ac:dyDescent="0.3">
      <c r="A350" t="s">
        <v>1245</v>
      </c>
      <c r="B350">
        <v>1252</v>
      </c>
      <c r="C350" t="s">
        <v>1246</v>
      </c>
      <c r="E350" t="s">
        <v>1247</v>
      </c>
      <c r="F350" t="s">
        <v>71</v>
      </c>
      <c r="L350" t="s">
        <v>21</v>
      </c>
    </row>
    <row r="351" spans="1:12" x14ac:dyDescent="0.3">
      <c r="A351" t="s">
        <v>1248</v>
      </c>
      <c r="B351">
        <v>214</v>
      </c>
      <c r="C351" t="s">
        <v>1249</v>
      </c>
      <c r="D351" t="s">
        <v>1250</v>
      </c>
      <c r="E351" t="s">
        <v>1251</v>
      </c>
      <c r="F351" t="s">
        <v>57</v>
      </c>
      <c r="L351" t="s">
        <v>21</v>
      </c>
    </row>
    <row r="352" spans="1:12" x14ac:dyDescent="0.3">
      <c r="A352" t="s">
        <v>1252</v>
      </c>
      <c r="B352">
        <v>1859</v>
      </c>
      <c r="C352" t="s">
        <v>1253</v>
      </c>
      <c r="D352" t="s">
        <v>1254</v>
      </c>
      <c r="E352" t="s">
        <v>1255</v>
      </c>
    </row>
    <row r="353" spans="1:12" x14ac:dyDescent="0.3">
      <c r="A353" t="s">
        <v>1256</v>
      </c>
      <c r="B353">
        <v>1730</v>
      </c>
      <c r="C353" t="s">
        <v>1257</v>
      </c>
      <c r="D353" t="s">
        <v>1258</v>
      </c>
      <c r="E353" t="s">
        <v>1259</v>
      </c>
      <c r="L353" t="s">
        <v>315</v>
      </c>
    </row>
    <row r="354" spans="1:12" x14ac:dyDescent="0.3">
      <c r="A354" t="s">
        <v>1260</v>
      </c>
      <c r="B354">
        <v>1475</v>
      </c>
      <c r="C354" t="s">
        <v>1261</v>
      </c>
      <c r="E354" t="s">
        <v>1262</v>
      </c>
      <c r="F354" t="s">
        <v>53</v>
      </c>
      <c r="L354" t="s">
        <v>37</v>
      </c>
    </row>
    <row r="355" spans="1:12" x14ac:dyDescent="0.3">
      <c r="A355" t="s">
        <v>1263</v>
      </c>
      <c r="B355">
        <v>1125</v>
      </c>
      <c r="C355" t="s">
        <v>1264</v>
      </c>
      <c r="E355" t="s">
        <v>1265</v>
      </c>
      <c r="F355" t="s">
        <v>15</v>
      </c>
      <c r="G355" s="18">
        <v>45421.916666666664</v>
      </c>
      <c r="H355" s="18">
        <v>45561.916666666664</v>
      </c>
      <c r="K355" s="18">
        <v>45561.916666666664</v>
      </c>
      <c r="L355" t="s">
        <v>16</v>
      </c>
    </row>
    <row r="356" spans="1:12" x14ac:dyDescent="0.3">
      <c r="A356" t="s">
        <v>1266</v>
      </c>
      <c r="B356">
        <v>1760</v>
      </c>
      <c r="C356" t="s">
        <v>1267</v>
      </c>
      <c r="D356" t="s">
        <v>1268</v>
      </c>
      <c r="E356" t="s">
        <v>1269</v>
      </c>
      <c r="F356" t="s">
        <v>53</v>
      </c>
      <c r="L356" t="s">
        <v>315</v>
      </c>
    </row>
    <row r="357" spans="1:12" x14ac:dyDescent="0.3">
      <c r="A357" t="s">
        <v>1270</v>
      </c>
      <c r="B357">
        <v>884</v>
      </c>
      <c r="C357" t="s">
        <v>1271</v>
      </c>
      <c r="D357" t="s">
        <v>1272</v>
      </c>
      <c r="E357" t="s">
        <v>1273</v>
      </c>
      <c r="F357" t="s">
        <v>53</v>
      </c>
      <c r="K357" s="18">
        <v>45771.916666666664</v>
      </c>
      <c r="L357" t="s">
        <v>16</v>
      </c>
    </row>
    <row r="358" spans="1:12" x14ac:dyDescent="0.3">
      <c r="A358" t="s">
        <v>1274</v>
      </c>
      <c r="B358">
        <v>947</v>
      </c>
      <c r="C358" t="s">
        <v>1275</v>
      </c>
      <c r="E358" t="s">
        <v>1276</v>
      </c>
      <c r="F358" t="s">
        <v>71</v>
      </c>
      <c r="L358" t="s">
        <v>16</v>
      </c>
    </row>
    <row r="359" spans="1:12" x14ac:dyDescent="0.3">
      <c r="A359" t="s">
        <v>1277</v>
      </c>
      <c r="B359">
        <v>1105</v>
      </c>
      <c r="C359" t="s">
        <v>1278</v>
      </c>
      <c r="D359" t="s">
        <v>1279</v>
      </c>
      <c r="E359" t="s">
        <v>1280</v>
      </c>
      <c r="F359" t="s">
        <v>15</v>
      </c>
      <c r="G359" s="18">
        <v>45426.916666666664</v>
      </c>
      <c r="K359" s="18">
        <v>45560.916666666664</v>
      </c>
      <c r="L359" t="s">
        <v>16</v>
      </c>
    </row>
    <row r="360" spans="1:12" x14ac:dyDescent="0.3">
      <c r="A360" t="s">
        <v>1281</v>
      </c>
      <c r="B360">
        <v>297</v>
      </c>
      <c r="C360" t="s">
        <v>1282</v>
      </c>
      <c r="E360" t="s">
        <v>1283</v>
      </c>
      <c r="F360" t="s">
        <v>41</v>
      </c>
      <c r="G360" s="18">
        <v>45799.916666666664</v>
      </c>
      <c r="L360" t="s">
        <v>16</v>
      </c>
    </row>
    <row r="361" spans="1:12" x14ac:dyDescent="0.3">
      <c r="A361" t="s">
        <v>1284</v>
      </c>
      <c r="B361">
        <v>482</v>
      </c>
      <c r="C361" t="s">
        <v>1285</v>
      </c>
      <c r="D361" t="s">
        <v>1286</v>
      </c>
      <c r="E361" t="s">
        <v>1287</v>
      </c>
      <c r="F361" t="s">
        <v>57</v>
      </c>
      <c r="L361" t="s">
        <v>21</v>
      </c>
    </row>
    <row r="362" spans="1:12" x14ac:dyDescent="0.3">
      <c r="A362" t="s">
        <v>1288</v>
      </c>
      <c r="B362">
        <v>1255</v>
      </c>
      <c r="C362" t="s">
        <v>1289</v>
      </c>
      <c r="E362" t="s">
        <v>1290</v>
      </c>
      <c r="F362" t="s">
        <v>71</v>
      </c>
      <c r="L362" t="s">
        <v>21</v>
      </c>
    </row>
    <row r="363" spans="1:12" x14ac:dyDescent="0.3">
      <c r="A363" t="s">
        <v>1291</v>
      </c>
      <c r="B363">
        <v>2021</v>
      </c>
      <c r="C363" t="s">
        <v>1292</v>
      </c>
      <c r="D363" t="s">
        <v>1293</v>
      </c>
      <c r="E363" t="s">
        <v>1294</v>
      </c>
    </row>
    <row r="364" spans="1:12" x14ac:dyDescent="0.3">
      <c r="A364" t="s">
        <v>1295</v>
      </c>
      <c r="B364">
        <v>283</v>
      </c>
      <c r="C364" t="s">
        <v>1296</v>
      </c>
      <c r="E364" t="s">
        <v>1297</v>
      </c>
      <c r="F364" t="s">
        <v>41</v>
      </c>
      <c r="G364" s="18">
        <v>45760.916666666664</v>
      </c>
      <c r="L364" t="s">
        <v>21</v>
      </c>
    </row>
    <row r="365" spans="1:12" x14ac:dyDescent="0.3">
      <c r="A365" t="s">
        <v>1298</v>
      </c>
      <c r="B365">
        <v>1226</v>
      </c>
      <c r="C365" t="s">
        <v>1299</v>
      </c>
      <c r="E365" t="s">
        <v>1300</v>
      </c>
      <c r="F365" t="s">
        <v>170</v>
      </c>
      <c r="G365" s="18">
        <v>45454.916666666664</v>
      </c>
      <c r="K365" s="18">
        <v>45602.958333333336</v>
      </c>
      <c r="L365" t="s">
        <v>16</v>
      </c>
    </row>
    <row r="366" spans="1:12" x14ac:dyDescent="0.3">
      <c r="A366" t="s">
        <v>1301</v>
      </c>
      <c r="B366">
        <v>477</v>
      </c>
      <c r="C366" t="s">
        <v>1302</v>
      </c>
      <c r="E366" t="s">
        <v>1303</v>
      </c>
      <c r="F366" t="s">
        <v>57</v>
      </c>
      <c r="L366" t="s">
        <v>21</v>
      </c>
    </row>
    <row r="367" spans="1:12" x14ac:dyDescent="0.3">
      <c r="A367" t="s">
        <v>1304</v>
      </c>
      <c r="B367">
        <v>1368</v>
      </c>
      <c r="C367" t="s">
        <v>1305</v>
      </c>
      <c r="E367" t="s">
        <v>1306</v>
      </c>
      <c r="F367" t="s">
        <v>15</v>
      </c>
      <c r="G367" s="18">
        <v>45447.916666666664</v>
      </c>
      <c r="K367" s="18">
        <v>45708.958333333336</v>
      </c>
      <c r="L367" t="s">
        <v>16</v>
      </c>
    </row>
    <row r="368" spans="1:12" x14ac:dyDescent="0.3">
      <c r="A368" t="s">
        <v>1307</v>
      </c>
      <c r="B368">
        <v>1409</v>
      </c>
      <c r="C368" t="s">
        <v>1308</v>
      </c>
      <c r="D368" t="s">
        <v>1309</v>
      </c>
      <c r="E368" t="s">
        <v>1310</v>
      </c>
      <c r="F368" t="s">
        <v>53</v>
      </c>
      <c r="I368" s="18">
        <v>45804.916666666664</v>
      </c>
      <c r="J368" s="18">
        <v>45835.916666666664</v>
      </c>
      <c r="L368" t="s">
        <v>519</v>
      </c>
    </row>
    <row r="369" spans="1:12" x14ac:dyDescent="0.3">
      <c r="A369" t="s">
        <v>1311</v>
      </c>
      <c r="B369">
        <v>1270</v>
      </c>
      <c r="C369" t="s">
        <v>1312</v>
      </c>
      <c r="E369" t="s">
        <v>1313</v>
      </c>
      <c r="F369" t="s">
        <v>71</v>
      </c>
      <c r="L369" t="s">
        <v>16</v>
      </c>
    </row>
    <row r="370" spans="1:12" x14ac:dyDescent="0.3">
      <c r="A370" t="s">
        <v>1314</v>
      </c>
      <c r="B370">
        <v>613</v>
      </c>
      <c r="C370" t="s">
        <v>1315</v>
      </c>
      <c r="D370" t="s">
        <v>1316</v>
      </c>
      <c r="E370" t="s">
        <v>1317</v>
      </c>
      <c r="F370" t="s">
        <v>53</v>
      </c>
      <c r="L370" t="s">
        <v>315</v>
      </c>
    </row>
    <row r="371" spans="1:12" x14ac:dyDescent="0.3">
      <c r="A371" t="s">
        <v>1318</v>
      </c>
      <c r="B371">
        <v>473</v>
      </c>
      <c r="C371" t="s">
        <v>1319</v>
      </c>
      <c r="D371" t="s">
        <v>1320</v>
      </c>
      <c r="E371" t="s">
        <v>1321</v>
      </c>
      <c r="F371" t="s">
        <v>53</v>
      </c>
      <c r="G371" s="18">
        <v>45723.958333333336</v>
      </c>
      <c r="L371" t="s">
        <v>21</v>
      </c>
    </row>
    <row r="372" spans="1:12" x14ac:dyDescent="0.3">
      <c r="A372" t="s">
        <v>1322</v>
      </c>
      <c r="B372">
        <v>823</v>
      </c>
      <c r="C372" t="s">
        <v>1323</v>
      </c>
      <c r="E372" t="s">
        <v>1324</v>
      </c>
      <c r="F372" t="s">
        <v>15</v>
      </c>
      <c r="G372" s="18">
        <v>45344.958333333336</v>
      </c>
      <c r="L372" t="s">
        <v>16</v>
      </c>
    </row>
    <row r="373" spans="1:12" x14ac:dyDescent="0.3">
      <c r="A373" t="s">
        <v>1325</v>
      </c>
      <c r="B373">
        <v>284</v>
      </c>
      <c r="C373" t="s">
        <v>1326</v>
      </c>
      <c r="E373" t="s">
        <v>1327</v>
      </c>
      <c r="F373" t="s">
        <v>41</v>
      </c>
      <c r="G373" s="18">
        <v>45760.916666666664</v>
      </c>
      <c r="L373" t="s">
        <v>21</v>
      </c>
    </row>
    <row r="374" spans="1:12" x14ac:dyDescent="0.3">
      <c r="A374" t="s">
        <v>1328</v>
      </c>
      <c r="B374">
        <v>737</v>
      </c>
      <c r="C374" t="s">
        <v>1329</v>
      </c>
      <c r="E374" t="s">
        <v>1330</v>
      </c>
      <c r="F374" t="s">
        <v>15</v>
      </c>
      <c r="G374" s="18">
        <v>44672.916666666664</v>
      </c>
      <c r="H374" s="18">
        <v>45512.916666666664</v>
      </c>
      <c r="K374" s="18">
        <v>45512.916666666664</v>
      </c>
      <c r="L374" t="s">
        <v>16</v>
      </c>
    </row>
    <row r="375" spans="1:12" x14ac:dyDescent="0.3">
      <c r="A375" t="s">
        <v>1331</v>
      </c>
      <c r="B375">
        <v>1137</v>
      </c>
      <c r="C375" t="s">
        <v>1332</v>
      </c>
      <c r="E375" t="s">
        <v>1333</v>
      </c>
      <c r="F375" t="s">
        <v>15</v>
      </c>
      <c r="G375" s="18">
        <v>45336.958333333336</v>
      </c>
      <c r="K375" s="18">
        <v>45540.916666666664</v>
      </c>
      <c r="L375" t="s">
        <v>16</v>
      </c>
    </row>
    <row r="376" spans="1:12" x14ac:dyDescent="0.3">
      <c r="A376" t="s">
        <v>1334</v>
      </c>
      <c r="B376">
        <v>1193</v>
      </c>
      <c r="C376" t="s">
        <v>1335</v>
      </c>
      <c r="E376" t="s">
        <v>1336</v>
      </c>
      <c r="F376" t="s">
        <v>15</v>
      </c>
      <c r="G376" s="18">
        <v>45642.958333333336</v>
      </c>
      <c r="K376" s="18">
        <v>45673.958333333336</v>
      </c>
      <c r="L376" t="s">
        <v>21</v>
      </c>
    </row>
    <row r="377" spans="1:12" x14ac:dyDescent="0.3">
      <c r="A377" t="s">
        <v>1337</v>
      </c>
      <c r="B377">
        <v>278</v>
      </c>
      <c r="C377" t="s">
        <v>1338</v>
      </c>
      <c r="D377" t="s">
        <v>1339</v>
      </c>
      <c r="E377" t="s">
        <v>1340</v>
      </c>
      <c r="F377" t="s">
        <v>41</v>
      </c>
      <c r="G377" s="18">
        <v>45760.916666666664</v>
      </c>
      <c r="L377" t="s">
        <v>315</v>
      </c>
    </row>
    <row r="378" spans="1:12" x14ac:dyDescent="0.3">
      <c r="A378" t="s">
        <v>1341</v>
      </c>
      <c r="B378">
        <v>170</v>
      </c>
      <c r="C378" t="s">
        <v>1342</v>
      </c>
      <c r="E378" t="s">
        <v>1343</v>
      </c>
      <c r="F378" t="s">
        <v>41</v>
      </c>
      <c r="G378" s="18">
        <v>45771.916666666664</v>
      </c>
      <c r="L378" t="s">
        <v>16</v>
      </c>
    </row>
    <row r="379" spans="1:12" x14ac:dyDescent="0.3">
      <c r="A379" t="s">
        <v>1344</v>
      </c>
      <c r="B379">
        <v>1476</v>
      </c>
      <c r="C379" t="s">
        <v>1345</v>
      </c>
      <c r="D379" t="s">
        <v>1346</v>
      </c>
      <c r="E379" t="s">
        <v>1347</v>
      </c>
      <c r="F379" t="s">
        <v>53</v>
      </c>
      <c r="G379" s="18">
        <v>45789.916666666664</v>
      </c>
      <c r="L379" t="s">
        <v>37</v>
      </c>
    </row>
    <row r="380" spans="1:12" x14ac:dyDescent="0.3">
      <c r="A380" t="s">
        <v>1348</v>
      </c>
      <c r="B380">
        <v>874</v>
      </c>
      <c r="C380" t="s">
        <v>1349</v>
      </c>
      <c r="E380" t="s">
        <v>1350</v>
      </c>
      <c r="F380" t="s">
        <v>15</v>
      </c>
      <c r="K380" s="18">
        <v>45587.916666666664</v>
      </c>
      <c r="L380" t="s">
        <v>16</v>
      </c>
    </row>
    <row r="381" spans="1:12" x14ac:dyDescent="0.3">
      <c r="A381" t="s">
        <v>1351</v>
      </c>
      <c r="B381">
        <v>697</v>
      </c>
      <c r="C381" t="s">
        <v>1352</v>
      </c>
      <c r="E381" t="s">
        <v>1353</v>
      </c>
      <c r="F381" t="s">
        <v>15</v>
      </c>
      <c r="G381" s="18">
        <v>45742.958333333336</v>
      </c>
      <c r="H381" s="18">
        <v>45747.916666666664</v>
      </c>
      <c r="K381" s="18">
        <v>45747.916666666664</v>
      </c>
      <c r="L381" t="s">
        <v>16</v>
      </c>
    </row>
    <row r="382" spans="1:12" x14ac:dyDescent="0.3">
      <c r="A382" t="s">
        <v>1354</v>
      </c>
      <c r="B382">
        <v>49</v>
      </c>
      <c r="C382" t="s">
        <v>1355</v>
      </c>
      <c r="D382" t="s">
        <v>1356</v>
      </c>
      <c r="E382" t="s">
        <v>1357</v>
      </c>
      <c r="F382" t="s">
        <v>41</v>
      </c>
      <c r="G382" s="18">
        <v>45736.958333333336</v>
      </c>
      <c r="L382" t="s">
        <v>21</v>
      </c>
    </row>
    <row r="383" spans="1:12" x14ac:dyDescent="0.3">
      <c r="A383" t="s">
        <v>1358</v>
      </c>
      <c r="B383">
        <v>1095</v>
      </c>
      <c r="C383" t="s">
        <v>1359</v>
      </c>
      <c r="E383" t="s">
        <v>1360</v>
      </c>
      <c r="F383" t="s">
        <v>15</v>
      </c>
      <c r="G383" s="18">
        <v>45501.916666666664</v>
      </c>
      <c r="K383" s="18">
        <v>45718.958333333336</v>
      </c>
      <c r="L383" t="s">
        <v>21</v>
      </c>
    </row>
    <row r="384" spans="1:12" x14ac:dyDescent="0.3">
      <c r="A384" t="s">
        <v>1361</v>
      </c>
      <c r="B384">
        <v>959</v>
      </c>
      <c r="C384" t="s">
        <v>1362</v>
      </c>
      <c r="E384" t="s">
        <v>1363</v>
      </c>
      <c r="F384" t="s">
        <v>49</v>
      </c>
      <c r="L384" t="s">
        <v>21</v>
      </c>
    </row>
    <row r="385" spans="1:12" x14ac:dyDescent="0.3">
      <c r="A385" t="s">
        <v>1364</v>
      </c>
      <c r="B385">
        <v>1477</v>
      </c>
      <c r="C385" t="s">
        <v>1365</v>
      </c>
      <c r="D385" t="s">
        <v>1366</v>
      </c>
      <c r="E385" t="s">
        <v>1367</v>
      </c>
      <c r="F385" t="s">
        <v>53</v>
      </c>
      <c r="L385" t="s">
        <v>88</v>
      </c>
    </row>
    <row r="386" spans="1:12" x14ac:dyDescent="0.3">
      <c r="A386" t="s">
        <v>1368</v>
      </c>
      <c r="B386">
        <v>544</v>
      </c>
      <c r="C386" t="s">
        <v>1369</v>
      </c>
      <c r="D386" t="s">
        <v>1370</v>
      </c>
      <c r="E386" t="s">
        <v>1371</v>
      </c>
      <c r="F386" t="s">
        <v>41</v>
      </c>
      <c r="G386" s="18">
        <v>45761.916666666664</v>
      </c>
      <c r="L386" t="s">
        <v>16</v>
      </c>
    </row>
    <row r="387" spans="1:12" x14ac:dyDescent="0.3">
      <c r="A387" t="s">
        <v>1372</v>
      </c>
      <c r="B387">
        <v>828</v>
      </c>
      <c r="C387" t="s">
        <v>1373</v>
      </c>
      <c r="E387" t="s">
        <v>1374</v>
      </c>
      <c r="F387" t="s">
        <v>15</v>
      </c>
      <c r="G387" s="18">
        <v>45480.916666666664</v>
      </c>
      <c r="H387" s="18">
        <v>45616.958333333336</v>
      </c>
      <c r="K387" s="18">
        <v>45616.958333333336</v>
      </c>
      <c r="L387" t="s">
        <v>16</v>
      </c>
    </row>
    <row r="388" spans="1:12" x14ac:dyDescent="0.3">
      <c r="A388" t="s">
        <v>1375</v>
      </c>
      <c r="B388">
        <v>1397</v>
      </c>
      <c r="C388" t="s">
        <v>1376</v>
      </c>
      <c r="D388" t="s">
        <v>1377</v>
      </c>
      <c r="E388" t="s">
        <v>1378</v>
      </c>
      <c r="F388" t="s">
        <v>53</v>
      </c>
    </row>
    <row r="389" spans="1:12" x14ac:dyDescent="0.3">
      <c r="A389" t="s">
        <v>1379</v>
      </c>
      <c r="B389">
        <v>1358</v>
      </c>
      <c r="C389" t="s">
        <v>1380</v>
      </c>
      <c r="E389" t="s">
        <v>1381</v>
      </c>
      <c r="F389" t="s">
        <v>15</v>
      </c>
      <c r="G389" s="18">
        <v>45373.958333333336</v>
      </c>
      <c r="H389" s="18">
        <v>45456.916666666664</v>
      </c>
      <c r="L389" t="s">
        <v>16</v>
      </c>
    </row>
    <row r="390" spans="1:12" x14ac:dyDescent="0.3">
      <c r="A390" t="s">
        <v>1382</v>
      </c>
      <c r="B390">
        <v>856</v>
      </c>
      <c r="C390" t="s">
        <v>1383</v>
      </c>
      <c r="E390" t="s">
        <v>1384</v>
      </c>
      <c r="F390" t="s">
        <v>15</v>
      </c>
      <c r="L390" t="s">
        <v>16</v>
      </c>
    </row>
    <row r="391" spans="1:12" x14ac:dyDescent="0.3">
      <c r="A391" t="s">
        <v>1385</v>
      </c>
      <c r="B391">
        <v>219</v>
      </c>
      <c r="C391" t="s">
        <v>1386</v>
      </c>
      <c r="D391" t="s">
        <v>1387</v>
      </c>
      <c r="E391" t="s">
        <v>1388</v>
      </c>
      <c r="F391" t="s">
        <v>53</v>
      </c>
      <c r="L391" t="s">
        <v>88</v>
      </c>
    </row>
    <row r="392" spans="1:12" x14ac:dyDescent="0.3">
      <c r="A392" t="s">
        <v>1389</v>
      </c>
      <c r="B392">
        <v>578</v>
      </c>
      <c r="C392" t="s">
        <v>1390</v>
      </c>
      <c r="D392" t="s">
        <v>1391</v>
      </c>
      <c r="E392" t="s">
        <v>1392</v>
      </c>
      <c r="F392" t="s">
        <v>41</v>
      </c>
      <c r="G392" s="18">
        <v>45872.916666666664</v>
      </c>
      <c r="L392" t="s">
        <v>315</v>
      </c>
    </row>
    <row r="393" spans="1:12" x14ac:dyDescent="0.3">
      <c r="A393" t="s">
        <v>1393</v>
      </c>
      <c r="B393">
        <v>1058</v>
      </c>
      <c r="C393" t="s">
        <v>1394</v>
      </c>
      <c r="E393" t="s">
        <v>1395</v>
      </c>
      <c r="F393" t="s">
        <v>15</v>
      </c>
      <c r="G393" s="18">
        <v>45427.916666666664</v>
      </c>
      <c r="H393" s="18">
        <v>45432.916666666664</v>
      </c>
      <c r="L393" t="s">
        <v>16</v>
      </c>
    </row>
    <row r="394" spans="1:12" x14ac:dyDescent="0.3">
      <c r="A394" t="s">
        <v>1396</v>
      </c>
      <c r="B394">
        <v>937</v>
      </c>
      <c r="C394" t="s">
        <v>1397</v>
      </c>
      <c r="E394" t="s">
        <v>1398</v>
      </c>
      <c r="F394" t="s">
        <v>71</v>
      </c>
      <c r="L394" t="s">
        <v>16</v>
      </c>
    </row>
    <row r="395" spans="1:12" x14ac:dyDescent="0.3">
      <c r="A395" t="s">
        <v>1399</v>
      </c>
      <c r="B395">
        <v>1478</v>
      </c>
      <c r="C395" t="s">
        <v>1400</v>
      </c>
      <c r="D395" t="s">
        <v>1401</v>
      </c>
      <c r="E395" t="s">
        <v>1402</v>
      </c>
      <c r="F395" t="s">
        <v>53</v>
      </c>
      <c r="L395" t="s">
        <v>37</v>
      </c>
    </row>
    <row r="396" spans="1:12" x14ac:dyDescent="0.3">
      <c r="A396" t="s">
        <v>1403</v>
      </c>
      <c r="B396">
        <v>550</v>
      </c>
      <c r="C396" t="s">
        <v>1404</v>
      </c>
      <c r="D396" t="s">
        <v>1405</v>
      </c>
      <c r="E396" t="s">
        <v>1406</v>
      </c>
      <c r="F396" t="s">
        <v>41</v>
      </c>
      <c r="G396" s="18">
        <v>45761.916666666664</v>
      </c>
      <c r="L396" t="s">
        <v>16</v>
      </c>
    </row>
    <row r="397" spans="1:12" x14ac:dyDescent="0.3">
      <c r="A397" t="s">
        <v>1407</v>
      </c>
      <c r="B397">
        <v>1826</v>
      </c>
      <c r="C397" t="s">
        <v>1408</v>
      </c>
      <c r="D397" t="s">
        <v>1409</v>
      </c>
      <c r="E397" t="s">
        <v>1410</v>
      </c>
    </row>
    <row r="398" spans="1:12" x14ac:dyDescent="0.3">
      <c r="A398" t="s">
        <v>1411</v>
      </c>
      <c r="B398">
        <v>1245</v>
      </c>
      <c r="C398" t="s">
        <v>1412</v>
      </c>
      <c r="E398" t="s">
        <v>1413</v>
      </c>
      <c r="F398" t="s">
        <v>71</v>
      </c>
      <c r="L398" t="s">
        <v>21</v>
      </c>
    </row>
    <row r="399" spans="1:12" x14ac:dyDescent="0.3">
      <c r="A399" t="s">
        <v>1414</v>
      </c>
      <c r="B399">
        <v>868</v>
      </c>
      <c r="C399" t="s">
        <v>1415</v>
      </c>
      <c r="E399" t="s">
        <v>1416</v>
      </c>
      <c r="F399" t="s">
        <v>15</v>
      </c>
      <c r="L399" t="s">
        <v>16</v>
      </c>
    </row>
    <row r="400" spans="1:12" x14ac:dyDescent="0.3">
      <c r="A400" t="s">
        <v>1417</v>
      </c>
      <c r="B400">
        <v>356</v>
      </c>
      <c r="C400" t="s">
        <v>1418</v>
      </c>
      <c r="D400" t="s">
        <v>1419</v>
      </c>
      <c r="E400" t="s">
        <v>1420</v>
      </c>
      <c r="F400" t="s">
        <v>53</v>
      </c>
      <c r="L400" t="s">
        <v>16</v>
      </c>
    </row>
    <row r="401" spans="1:12" x14ac:dyDescent="0.3">
      <c r="A401" t="s">
        <v>1421</v>
      </c>
      <c r="B401">
        <v>2075</v>
      </c>
      <c r="C401" t="s">
        <v>1422</v>
      </c>
      <c r="D401" t="s">
        <v>1423</v>
      </c>
      <c r="E401" t="s">
        <v>1424</v>
      </c>
    </row>
    <row r="402" spans="1:12" x14ac:dyDescent="0.3">
      <c r="A402" t="s">
        <v>1425</v>
      </c>
      <c r="B402">
        <v>676</v>
      </c>
      <c r="C402" t="s">
        <v>1426</v>
      </c>
      <c r="E402" t="s">
        <v>1427</v>
      </c>
      <c r="F402" t="s">
        <v>15</v>
      </c>
      <c r="G402" s="18">
        <v>45463.916666666664</v>
      </c>
      <c r="H402" s="18">
        <v>45540.916666666664</v>
      </c>
      <c r="K402" s="18">
        <v>45540.916666666664</v>
      </c>
      <c r="L402" t="s">
        <v>16</v>
      </c>
    </row>
    <row r="403" spans="1:12" x14ac:dyDescent="0.3">
      <c r="A403" t="s">
        <v>1428</v>
      </c>
      <c r="B403">
        <v>990</v>
      </c>
      <c r="C403" t="s">
        <v>1429</v>
      </c>
      <c r="E403" t="s">
        <v>1430</v>
      </c>
      <c r="F403" t="s">
        <v>15</v>
      </c>
      <c r="K403" s="18">
        <v>45645.958333333336</v>
      </c>
      <c r="L403" t="s">
        <v>21</v>
      </c>
    </row>
    <row r="404" spans="1:12" x14ac:dyDescent="0.3">
      <c r="A404" t="s">
        <v>1431</v>
      </c>
      <c r="B404">
        <v>1148</v>
      </c>
      <c r="C404" t="s">
        <v>1432</v>
      </c>
      <c r="E404" t="s">
        <v>1433</v>
      </c>
      <c r="F404" t="s">
        <v>49</v>
      </c>
      <c r="L404" t="s">
        <v>16</v>
      </c>
    </row>
    <row r="405" spans="1:12" x14ac:dyDescent="0.3">
      <c r="A405" t="s">
        <v>1434</v>
      </c>
      <c r="B405">
        <v>2134</v>
      </c>
      <c r="C405" t="s">
        <v>1435</v>
      </c>
      <c r="D405" t="s">
        <v>1436</v>
      </c>
      <c r="E405" t="s">
        <v>1437</v>
      </c>
    </row>
    <row r="406" spans="1:12" x14ac:dyDescent="0.3">
      <c r="A406" t="s">
        <v>1438</v>
      </c>
      <c r="B406">
        <v>2133</v>
      </c>
      <c r="C406" t="s">
        <v>1439</v>
      </c>
      <c r="D406" t="s">
        <v>1440</v>
      </c>
      <c r="E406" t="s">
        <v>1441</v>
      </c>
    </row>
    <row r="407" spans="1:12" x14ac:dyDescent="0.3">
      <c r="A407" t="s">
        <v>1442</v>
      </c>
      <c r="B407">
        <v>1742</v>
      </c>
      <c r="C407" t="s">
        <v>1443</v>
      </c>
      <c r="D407" t="s">
        <v>1444</v>
      </c>
      <c r="E407" t="s">
        <v>1445</v>
      </c>
      <c r="F407" t="s">
        <v>53</v>
      </c>
      <c r="L407" t="s">
        <v>315</v>
      </c>
    </row>
    <row r="408" spans="1:12" x14ac:dyDescent="0.3">
      <c r="A408" t="s">
        <v>1446</v>
      </c>
      <c r="B408">
        <v>973</v>
      </c>
      <c r="C408" t="s">
        <v>1447</v>
      </c>
      <c r="F408" t="s">
        <v>1448</v>
      </c>
      <c r="K408" s="18">
        <v>45762.916666666664</v>
      </c>
      <c r="L408" t="s">
        <v>16</v>
      </c>
    </row>
    <row r="409" spans="1:12" x14ac:dyDescent="0.3">
      <c r="A409" t="s">
        <v>1449</v>
      </c>
      <c r="B409">
        <v>1970</v>
      </c>
      <c r="C409" t="s">
        <v>1450</v>
      </c>
      <c r="D409" t="s">
        <v>1451</v>
      </c>
      <c r="E409" t="s">
        <v>1452</v>
      </c>
    </row>
    <row r="410" spans="1:12" x14ac:dyDescent="0.3">
      <c r="A410" t="s">
        <v>1453</v>
      </c>
      <c r="B410">
        <v>279</v>
      </c>
      <c r="C410" t="s">
        <v>1454</v>
      </c>
      <c r="E410" t="s">
        <v>1455</v>
      </c>
      <c r="F410" t="s">
        <v>41</v>
      </c>
      <c r="G410" s="18">
        <v>45760.916666666664</v>
      </c>
      <c r="L410" t="s">
        <v>21</v>
      </c>
    </row>
    <row r="411" spans="1:12" x14ac:dyDescent="0.3">
      <c r="A411" t="s">
        <v>1456</v>
      </c>
      <c r="B411">
        <v>2090</v>
      </c>
      <c r="C411" t="s">
        <v>1457</v>
      </c>
      <c r="D411" t="s">
        <v>1458</v>
      </c>
      <c r="E411" t="s">
        <v>1459</v>
      </c>
    </row>
    <row r="412" spans="1:12" x14ac:dyDescent="0.3">
      <c r="A412" t="s">
        <v>1460</v>
      </c>
      <c r="B412">
        <v>1697</v>
      </c>
      <c r="C412" t="s">
        <v>1461</v>
      </c>
      <c r="D412" t="s">
        <v>1462</v>
      </c>
      <c r="E412" t="s">
        <v>1463</v>
      </c>
      <c r="F412" t="s">
        <v>53</v>
      </c>
      <c r="L412" t="s">
        <v>230</v>
      </c>
    </row>
    <row r="413" spans="1:12" x14ac:dyDescent="0.3">
      <c r="A413" t="s">
        <v>1464</v>
      </c>
      <c r="B413">
        <v>1868</v>
      </c>
      <c r="C413" t="s">
        <v>1465</v>
      </c>
      <c r="D413" t="s">
        <v>1466</v>
      </c>
      <c r="E413" t="s">
        <v>1467</v>
      </c>
    </row>
    <row r="414" spans="1:12" x14ac:dyDescent="0.3">
      <c r="A414" t="s">
        <v>1468</v>
      </c>
      <c r="B414">
        <v>974</v>
      </c>
      <c r="C414" t="s">
        <v>1469</v>
      </c>
      <c r="E414" t="s">
        <v>1470</v>
      </c>
      <c r="F414" t="s">
        <v>41</v>
      </c>
      <c r="G414" s="18">
        <v>45761.916666666664</v>
      </c>
      <c r="K414" s="18">
        <v>45774.916666666664</v>
      </c>
      <c r="L414" t="s">
        <v>16</v>
      </c>
    </row>
    <row r="415" spans="1:12" x14ac:dyDescent="0.3">
      <c r="A415" t="s">
        <v>1471</v>
      </c>
      <c r="B415">
        <v>1381</v>
      </c>
      <c r="C415" t="s">
        <v>1472</v>
      </c>
      <c r="E415" t="s">
        <v>1473</v>
      </c>
      <c r="F415" t="s">
        <v>15</v>
      </c>
      <c r="G415" s="18">
        <v>45699.958333333336</v>
      </c>
      <c r="K415" s="18">
        <v>45708.958333333336</v>
      </c>
      <c r="L415" t="s">
        <v>21</v>
      </c>
    </row>
    <row r="416" spans="1:12" x14ac:dyDescent="0.3">
      <c r="A416" t="s">
        <v>1474</v>
      </c>
      <c r="B416">
        <v>543</v>
      </c>
      <c r="C416" t="s">
        <v>1475</v>
      </c>
      <c r="D416" t="s">
        <v>1476</v>
      </c>
      <c r="E416" t="s">
        <v>1477</v>
      </c>
      <c r="F416" t="s">
        <v>41</v>
      </c>
      <c r="G416" s="18">
        <v>45761.916666666664</v>
      </c>
      <c r="L416" t="s">
        <v>16</v>
      </c>
    </row>
    <row r="417" spans="1:12" x14ac:dyDescent="0.3">
      <c r="A417" t="s">
        <v>1478</v>
      </c>
      <c r="B417">
        <v>2111</v>
      </c>
      <c r="C417" t="s">
        <v>1479</v>
      </c>
      <c r="D417" t="s">
        <v>1480</v>
      </c>
      <c r="E417" t="s">
        <v>1481</v>
      </c>
    </row>
    <row r="418" spans="1:12" x14ac:dyDescent="0.3">
      <c r="A418" t="s">
        <v>1482</v>
      </c>
      <c r="B418">
        <v>1480</v>
      </c>
      <c r="C418" t="s">
        <v>1483</v>
      </c>
      <c r="E418" t="s">
        <v>1484</v>
      </c>
      <c r="F418" t="s">
        <v>53</v>
      </c>
      <c r="L418" t="s">
        <v>37</v>
      </c>
    </row>
    <row r="419" spans="1:12" x14ac:dyDescent="0.3">
      <c r="A419" t="s">
        <v>1485</v>
      </c>
      <c r="B419">
        <v>931</v>
      </c>
      <c r="C419" t="s">
        <v>1486</v>
      </c>
      <c r="E419" t="s">
        <v>1487</v>
      </c>
      <c r="F419" t="s">
        <v>170</v>
      </c>
      <c r="L419" t="s">
        <v>21</v>
      </c>
    </row>
    <row r="420" spans="1:12" x14ac:dyDescent="0.3">
      <c r="A420" t="s">
        <v>1488</v>
      </c>
      <c r="B420">
        <v>600</v>
      </c>
      <c r="C420" t="s">
        <v>1489</v>
      </c>
      <c r="D420" t="s">
        <v>1490</v>
      </c>
      <c r="E420" t="s">
        <v>1491</v>
      </c>
      <c r="F420" t="s">
        <v>41</v>
      </c>
      <c r="G420" s="18">
        <v>45363.958333333336</v>
      </c>
      <c r="L420" t="s">
        <v>16</v>
      </c>
    </row>
    <row r="421" spans="1:12" x14ac:dyDescent="0.3">
      <c r="A421" t="s">
        <v>1492</v>
      </c>
      <c r="B421">
        <v>1774</v>
      </c>
      <c r="C421" t="s">
        <v>1493</v>
      </c>
      <c r="D421" t="s">
        <v>1494</v>
      </c>
      <c r="E421" t="s">
        <v>1495</v>
      </c>
      <c r="F421" t="s">
        <v>53</v>
      </c>
      <c r="L421" t="s">
        <v>230</v>
      </c>
    </row>
    <row r="422" spans="1:12" x14ac:dyDescent="0.3">
      <c r="A422" t="s">
        <v>1496</v>
      </c>
      <c r="B422">
        <v>572</v>
      </c>
      <c r="C422" t="s">
        <v>1497</v>
      </c>
      <c r="D422" t="s">
        <v>1498</v>
      </c>
      <c r="E422" t="s">
        <v>1499</v>
      </c>
      <c r="F422" t="s">
        <v>53</v>
      </c>
      <c r="L422" t="s">
        <v>88</v>
      </c>
    </row>
    <row r="423" spans="1:12" x14ac:dyDescent="0.3">
      <c r="A423" t="s">
        <v>1500</v>
      </c>
      <c r="B423">
        <v>115</v>
      </c>
      <c r="C423" t="s">
        <v>1501</v>
      </c>
      <c r="E423" t="s">
        <v>1502</v>
      </c>
      <c r="F423" t="s">
        <v>41</v>
      </c>
      <c r="G423" s="18">
        <v>45795.916666666664</v>
      </c>
      <c r="L423" t="s">
        <v>16</v>
      </c>
    </row>
    <row r="424" spans="1:12" x14ac:dyDescent="0.3">
      <c r="A424" t="s">
        <v>1503</v>
      </c>
      <c r="B424">
        <v>1119</v>
      </c>
      <c r="C424" t="s">
        <v>1504</v>
      </c>
      <c r="E424" t="s">
        <v>1505</v>
      </c>
      <c r="F424" t="s">
        <v>15</v>
      </c>
      <c r="G424" s="18">
        <v>45519.916666666664</v>
      </c>
      <c r="K424" s="18">
        <v>45669.958333333336</v>
      </c>
      <c r="L424" t="s">
        <v>16</v>
      </c>
    </row>
    <row r="425" spans="1:12" x14ac:dyDescent="0.3">
      <c r="A425" t="s">
        <v>1506</v>
      </c>
      <c r="B425">
        <v>161</v>
      </c>
      <c r="C425" t="s">
        <v>1507</v>
      </c>
      <c r="D425" t="s">
        <v>1508</v>
      </c>
      <c r="E425" t="s">
        <v>1509</v>
      </c>
      <c r="F425" t="s">
        <v>41</v>
      </c>
      <c r="G425" s="18">
        <v>45761.916666666664</v>
      </c>
      <c r="L425" t="s">
        <v>16</v>
      </c>
    </row>
    <row r="426" spans="1:12" x14ac:dyDescent="0.3">
      <c r="A426" t="s">
        <v>1510</v>
      </c>
      <c r="B426">
        <v>1366</v>
      </c>
      <c r="C426" t="s">
        <v>1511</v>
      </c>
      <c r="E426" t="s">
        <v>1512</v>
      </c>
      <c r="F426" t="s">
        <v>15</v>
      </c>
      <c r="L426" t="s">
        <v>16</v>
      </c>
    </row>
    <row r="427" spans="1:12" x14ac:dyDescent="0.3">
      <c r="A427" t="s">
        <v>1513</v>
      </c>
      <c r="B427">
        <v>1410</v>
      </c>
      <c r="C427" t="s">
        <v>1514</v>
      </c>
      <c r="E427" t="s">
        <v>1515</v>
      </c>
      <c r="F427" t="s">
        <v>53</v>
      </c>
      <c r="I427" s="18">
        <v>45810.916666666664</v>
      </c>
      <c r="J427" s="18">
        <v>45840.916666666664</v>
      </c>
      <c r="L427" t="s">
        <v>21</v>
      </c>
    </row>
    <row r="428" spans="1:12" x14ac:dyDescent="0.3">
      <c r="A428" t="s">
        <v>1516</v>
      </c>
      <c r="B428">
        <v>615</v>
      </c>
      <c r="C428" t="s">
        <v>1517</v>
      </c>
      <c r="D428" t="s">
        <v>1518</v>
      </c>
      <c r="E428" t="s">
        <v>1519</v>
      </c>
      <c r="F428" t="s">
        <v>53</v>
      </c>
      <c r="L428" t="s">
        <v>16</v>
      </c>
    </row>
    <row r="429" spans="1:12" x14ac:dyDescent="0.3">
      <c r="A429" t="s">
        <v>1520</v>
      </c>
      <c r="B429">
        <v>1206</v>
      </c>
      <c r="C429" t="s">
        <v>1521</v>
      </c>
      <c r="E429" t="s">
        <v>1522</v>
      </c>
      <c r="F429" t="s">
        <v>15</v>
      </c>
      <c r="L429" t="s">
        <v>21</v>
      </c>
    </row>
    <row r="430" spans="1:12" x14ac:dyDescent="0.3">
      <c r="A430" t="s">
        <v>1523</v>
      </c>
      <c r="B430">
        <v>1806</v>
      </c>
      <c r="C430" t="s">
        <v>1524</v>
      </c>
      <c r="D430" t="s">
        <v>1525</v>
      </c>
      <c r="E430" t="s">
        <v>1526</v>
      </c>
    </row>
    <row r="431" spans="1:12" x14ac:dyDescent="0.3">
      <c r="A431" t="s">
        <v>1527</v>
      </c>
      <c r="B431">
        <v>225</v>
      </c>
      <c r="C431" t="s">
        <v>1528</v>
      </c>
      <c r="D431" t="s">
        <v>1529</v>
      </c>
      <c r="E431" t="s">
        <v>1530</v>
      </c>
      <c r="F431" t="s">
        <v>41</v>
      </c>
      <c r="G431" s="18">
        <v>45760.916666666664</v>
      </c>
      <c r="H431" s="18">
        <v>45772.916666666664</v>
      </c>
      <c r="L431" t="s">
        <v>21</v>
      </c>
    </row>
    <row r="432" spans="1:12" x14ac:dyDescent="0.3">
      <c r="A432" t="s">
        <v>1531</v>
      </c>
      <c r="B432">
        <v>143</v>
      </c>
      <c r="C432" t="s">
        <v>1532</v>
      </c>
      <c r="E432" t="s">
        <v>1533</v>
      </c>
      <c r="F432" t="s">
        <v>53</v>
      </c>
      <c r="L432" t="s">
        <v>16</v>
      </c>
    </row>
    <row r="433" spans="1:12" x14ac:dyDescent="0.3">
      <c r="A433" t="s">
        <v>1534</v>
      </c>
      <c r="B433">
        <v>984</v>
      </c>
      <c r="C433" t="s">
        <v>1535</v>
      </c>
      <c r="E433" t="s">
        <v>1536</v>
      </c>
      <c r="F433" t="s">
        <v>15</v>
      </c>
      <c r="K433" s="18">
        <v>45553.916666666664</v>
      </c>
      <c r="L433" t="s">
        <v>16</v>
      </c>
    </row>
    <row r="434" spans="1:12" x14ac:dyDescent="0.3">
      <c r="A434" t="s">
        <v>1537</v>
      </c>
      <c r="B434">
        <v>1481</v>
      </c>
      <c r="C434" t="s">
        <v>1538</v>
      </c>
      <c r="D434" t="s">
        <v>1539</v>
      </c>
      <c r="E434" t="s">
        <v>1540</v>
      </c>
      <c r="F434" t="s">
        <v>53</v>
      </c>
      <c r="L434" t="s">
        <v>37</v>
      </c>
    </row>
    <row r="435" spans="1:12" x14ac:dyDescent="0.3">
      <c r="A435" t="s">
        <v>1541</v>
      </c>
      <c r="B435">
        <v>669</v>
      </c>
      <c r="C435" t="s">
        <v>1542</v>
      </c>
      <c r="E435" t="s">
        <v>1543</v>
      </c>
      <c r="F435" t="s">
        <v>15</v>
      </c>
      <c r="G435" s="18">
        <v>45299.958333333336</v>
      </c>
      <c r="K435" s="18">
        <v>45526.916666666664</v>
      </c>
      <c r="L435" t="s">
        <v>16</v>
      </c>
    </row>
    <row r="436" spans="1:12" x14ac:dyDescent="0.3">
      <c r="A436" t="s">
        <v>1544</v>
      </c>
      <c r="B436">
        <v>2015</v>
      </c>
      <c r="C436" t="s">
        <v>1545</v>
      </c>
      <c r="D436" t="s">
        <v>1546</v>
      </c>
      <c r="E436" t="s">
        <v>1547</v>
      </c>
    </row>
    <row r="437" spans="1:12" x14ac:dyDescent="0.3">
      <c r="A437" t="s">
        <v>1548</v>
      </c>
      <c r="B437">
        <v>1482</v>
      </c>
      <c r="C437" t="s">
        <v>1549</v>
      </c>
      <c r="D437" t="s">
        <v>1550</v>
      </c>
      <c r="E437" t="s">
        <v>1551</v>
      </c>
      <c r="F437" t="s">
        <v>53</v>
      </c>
      <c r="K437" s="18">
        <v>45798.916666666664</v>
      </c>
      <c r="L437" t="s">
        <v>315</v>
      </c>
    </row>
    <row r="438" spans="1:12" x14ac:dyDescent="0.3">
      <c r="A438" t="s">
        <v>1552</v>
      </c>
      <c r="B438">
        <v>2081</v>
      </c>
      <c r="C438" t="s">
        <v>1553</v>
      </c>
      <c r="D438" t="s">
        <v>1554</v>
      </c>
      <c r="E438" t="s">
        <v>1555</v>
      </c>
      <c r="F438" t="s">
        <v>53</v>
      </c>
    </row>
    <row r="439" spans="1:12" x14ac:dyDescent="0.3">
      <c r="A439" t="s">
        <v>1556</v>
      </c>
      <c r="B439">
        <v>1740</v>
      </c>
      <c r="C439" t="s">
        <v>1557</v>
      </c>
      <c r="D439" t="s">
        <v>1558</v>
      </c>
      <c r="E439" t="s">
        <v>1559</v>
      </c>
      <c r="F439" t="s">
        <v>53</v>
      </c>
      <c r="L439" t="s">
        <v>315</v>
      </c>
    </row>
    <row r="440" spans="1:12" x14ac:dyDescent="0.3">
      <c r="A440" t="s">
        <v>1560</v>
      </c>
      <c r="B440">
        <v>637</v>
      </c>
      <c r="C440" t="s">
        <v>1561</v>
      </c>
      <c r="D440" t="s">
        <v>1562</v>
      </c>
      <c r="E440" t="s">
        <v>1563</v>
      </c>
      <c r="F440" t="s">
        <v>53</v>
      </c>
      <c r="L440" t="s">
        <v>315</v>
      </c>
    </row>
    <row r="441" spans="1:12" x14ac:dyDescent="0.3">
      <c r="A441" t="s">
        <v>1564</v>
      </c>
      <c r="B441">
        <v>1411</v>
      </c>
      <c r="C441" t="s">
        <v>1565</v>
      </c>
      <c r="D441" t="s">
        <v>1566</v>
      </c>
      <c r="E441" t="s">
        <v>1567</v>
      </c>
      <c r="F441" t="s">
        <v>53</v>
      </c>
      <c r="I441" s="18">
        <v>45811.916666666664</v>
      </c>
      <c r="J441" s="18">
        <v>45841.916666666664</v>
      </c>
      <c r="L441" t="s">
        <v>21</v>
      </c>
    </row>
    <row r="442" spans="1:12" x14ac:dyDescent="0.3">
      <c r="A442" t="s">
        <v>1568</v>
      </c>
      <c r="B442">
        <v>363</v>
      </c>
      <c r="C442" t="s">
        <v>1569</v>
      </c>
      <c r="D442" t="s">
        <v>1570</v>
      </c>
      <c r="E442" t="s">
        <v>1571</v>
      </c>
      <c r="F442" t="s">
        <v>41</v>
      </c>
      <c r="G442" s="18">
        <v>45795.916666666664</v>
      </c>
      <c r="L442" t="s">
        <v>16</v>
      </c>
    </row>
    <row r="443" spans="1:12" x14ac:dyDescent="0.3">
      <c r="A443" t="s">
        <v>1572</v>
      </c>
      <c r="B443">
        <v>661</v>
      </c>
      <c r="C443" t="s">
        <v>1573</v>
      </c>
      <c r="E443" t="s">
        <v>1574</v>
      </c>
      <c r="F443" t="s">
        <v>15</v>
      </c>
      <c r="G443" s="18">
        <v>45536.916666666664</v>
      </c>
      <c r="K443" s="18">
        <v>45560.916666666664</v>
      </c>
      <c r="L443" t="s">
        <v>21</v>
      </c>
    </row>
    <row r="444" spans="1:12" x14ac:dyDescent="0.3">
      <c r="A444" t="s">
        <v>1575</v>
      </c>
      <c r="B444">
        <v>692</v>
      </c>
      <c r="C444" t="s">
        <v>1576</v>
      </c>
      <c r="D444" t="s">
        <v>1577</v>
      </c>
      <c r="E444" t="s">
        <v>1578</v>
      </c>
      <c r="F444" t="s">
        <v>71</v>
      </c>
      <c r="L444" t="s">
        <v>16</v>
      </c>
    </row>
    <row r="445" spans="1:12" x14ac:dyDescent="0.3">
      <c r="A445" t="s">
        <v>1579</v>
      </c>
      <c r="B445">
        <v>1937</v>
      </c>
      <c r="C445" t="s">
        <v>1580</v>
      </c>
      <c r="D445" t="s">
        <v>1581</v>
      </c>
      <c r="E445" t="s">
        <v>1582</v>
      </c>
    </row>
    <row r="446" spans="1:12" x14ac:dyDescent="0.3">
      <c r="A446" t="s">
        <v>1583</v>
      </c>
      <c r="B446">
        <v>1607</v>
      </c>
      <c r="C446" t="s">
        <v>1584</v>
      </c>
      <c r="E446" t="s">
        <v>1585</v>
      </c>
      <c r="F446" t="s">
        <v>53</v>
      </c>
      <c r="L446" t="s">
        <v>37</v>
      </c>
    </row>
    <row r="447" spans="1:12" x14ac:dyDescent="0.3">
      <c r="A447" t="s">
        <v>1586</v>
      </c>
      <c r="B447">
        <v>1915</v>
      </c>
      <c r="C447" t="s">
        <v>1587</v>
      </c>
      <c r="D447" t="s">
        <v>1588</v>
      </c>
      <c r="E447" t="s">
        <v>1589</v>
      </c>
    </row>
    <row r="448" spans="1:12" x14ac:dyDescent="0.3">
      <c r="A448" t="s">
        <v>1590</v>
      </c>
      <c r="B448">
        <v>107</v>
      </c>
      <c r="C448" t="s">
        <v>1591</v>
      </c>
      <c r="D448" t="s">
        <v>1592</v>
      </c>
      <c r="E448" t="s">
        <v>1593</v>
      </c>
      <c r="F448" t="s">
        <v>57</v>
      </c>
      <c r="L448" t="s">
        <v>21</v>
      </c>
    </row>
    <row r="449" spans="1:12" x14ac:dyDescent="0.3">
      <c r="A449" t="s">
        <v>1594</v>
      </c>
      <c r="B449">
        <v>494</v>
      </c>
      <c r="C449" t="s">
        <v>1595</v>
      </c>
      <c r="D449" t="s">
        <v>1596</v>
      </c>
      <c r="E449" t="s">
        <v>1597</v>
      </c>
      <c r="F449" t="s">
        <v>53</v>
      </c>
      <c r="L449" t="s">
        <v>16</v>
      </c>
    </row>
    <row r="450" spans="1:12" x14ac:dyDescent="0.3">
      <c r="A450" t="s">
        <v>1598</v>
      </c>
      <c r="B450">
        <v>1126</v>
      </c>
      <c r="C450" t="s">
        <v>1599</v>
      </c>
      <c r="E450" t="s">
        <v>1600</v>
      </c>
      <c r="F450" t="s">
        <v>170</v>
      </c>
      <c r="L450" t="s">
        <v>16</v>
      </c>
    </row>
    <row r="451" spans="1:12" x14ac:dyDescent="0.3">
      <c r="A451" t="s">
        <v>1601</v>
      </c>
      <c r="B451">
        <v>427</v>
      </c>
      <c r="C451" t="s">
        <v>1602</v>
      </c>
      <c r="D451" t="s">
        <v>1603</v>
      </c>
      <c r="E451" t="s">
        <v>1604</v>
      </c>
      <c r="F451" t="s">
        <v>41</v>
      </c>
      <c r="G451" s="18">
        <v>45760.916666666664</v>
      </c>
      <c r="L451" t="s">
        <v>21</v>
      </c>
    </row>
    <row r="452" spans="1:12" x14ac:dyDescent="0.3">
      <c r="A452" t="s">
        <v>1605</v>
      </c>
      <c r="B452">
        <v>1334</v>
      </c>
      <c r="C452" t="s">
        <v>1606</v>
      </c>
      <c r="E452" t="s">
        <v>1607</v>
      </c>
      <c r="F452" t="s">
        <v>15</v>
      </c>
      <c r="G452" s="18">
        <v>45705.958333333336</v>
      </c>
      <c r="L452" t="s">
        <v>16</v>
      </c>
    </row>
    <row r="453" spans="1:12" x14ac:dyDescent="0.3">
      <c r="A453" t="s">
        <v>1608</v>
      </c>
      <c r="B453">
        <v>257</v>
      </c>
      <c r="C453" t="s">
        <v>1609</v>
      </c>
      <c r="D453" t="s">
        <v>1610</v>
      </c>
      <c r="E453" t="s">
        <v>1611</v>
      </c>
      <c r="F453" t="s">
        <v>41</v>
      </c>
      <c r="G453" s="18">
        <v>45795.916666666664</v>
      </c>
      <c r="L453" t="s">
        <v>21</v>
      </c>
    </row>
    <row r="454" spans="1:12" x14ac:dyDescent="0.3">
      <c r="A454" t="s">
        <v>1612</v>
      </c>
      <c r="B454">
        <v>1412</v>
      </c>
      <c r="C454" t="s">
        <v>1613</v>
      </c>
      <c r="D454" t="s">
        <v>1614</v>
      </c>
      <c r="E454" t="s">
        <v>1615</v>
      </c>
      <c r="F454" t="s">
        <v>53</v>
      </c>
      <c r="I454" s="18">
        <v>45810.916666666664</v>
      </c>
      <c r="J454" s="18">
        <v>45840.916666666664</v>
      </c>
      <c r="L454" t="s">
        <v>21</v>
      </c>
    </row>
    <row r="455" spans="1:12" x14ac:dyDescent="0.3">
      <c r="A455" t="s">
        <v>1616</v>
      </c>
      <c r="B455">
        <v>1677</v>
      </c>
      <c r="C455" t="s">
        <v>1617</v>
      </c>
      <c r="D455" t="s">
        <v>1618</v>
      </c>
      <c r="E455" t="s">
        <v>1619</v>
      </c>
      <c r="F455" t="s">
        <v>53</v>
      </c>
      <c r="L455" t="s">
        <v>230</v>
      </c>
    </row>
    <row r="456" spans="1:12" x14ac:dyDescent="0.3">
      <c r="A456" t="s">
        <v>1620</v>
      </c>
      <c r="B456">
        <v>497</v>
      </c>
      <c r="C456" t="s">
        <v>1621</v>
      </c>
      <c r="D456" t="s">
        <v>1622</v>
      </c>
      <c r="E456" t="s">
        <v>1623</v>
      </c>
      <c r="F456" t="s">
        <v>53</v>
      </c>
      <c r="L456" t="s">
        <v>16</v>
      </c>
    </row>
    <row r="457" spans="1:12" x14ac:dyDescent="0.3">
      <c r="A457" t="s">
        <v>1624</v>
      </c>
      <c r="B457">
        <v>1608</v>
      </c>
      <c r="C457" t="s">
        <v>1625</v>
      </c>
      <c r="E457" t="s">
        <v>1626</v>
      </c>
      <c r="F457" t="s">
        <v>53</v>
      </c>
      <c r="K457" s="18">
        <v>45788.916666666664</v>
      </c>
      <c r="L457" t="s">
        <v>37</v>
      </c>
    </row>
    <row r="458" spans="1:12" x14ac:dyDescent="0.3">
      <c r="A458" t="s">
        <v>1627</v>
      </c>
      <c r="B458">
        <v>30</v>
      </c>
      <c r="C458" t="s">
        <v>1628</v>
      </c>
      <c r="E458" t="s">
        <v>1629</v>
      </c>
      <c r="F458" t="s">
        <v>41</v>
      </c>
      <c r="G458" s="18">
        <v>45784.916666666664</v>
      </c>
      <c r="K458" s="18">
        <v>45813.916666666664</v>
      </c>
      <c r="L458" t="s">
        <v>16</v>
      </c>
    </row>
    <row r="459" spans="1:12" x14ac:dyDescent="0.3">
      <c r="A459" t="s">
        <v>1630</v>
      </c>
      <c r="B459">
        <v>1130</v>
      </c>
      <c r="C459" t="s">
        <v>1631</v>
      </c>
      <c r="E459" t="s">
        <v>1632</v>
      </c>
      <c r="F459" t="s">
        <v>15</v>
      </c>
      <c r="K459" s="18">
        <v>45754.916666666664</v>
      </c>
      <c r="L459" t="s">
        <v>16</v>
      </c>
    </row>
    <row r="460" spans="1:12" x14ac:dyDescent="0.3">
      <c r="A460" t="s">
        <v>1633</v>
      </c>
      <c r="B460">
        <v>507</v>
      </c>
      <c r="C460" t="s">
        <v>1634</v>
      </c>
      <c r="D460" t="s">
        <v>1635</v>
      </c>
      <c r="E460" t="s">
        <v>1233</v>
      </c>
      <c r="F460" t="s">
        <v>41</v>
      </c>
      <c r="G460" s="18">
        <v>45663.958333333336</v>
      </c>
      <c r="L460" t="s">
        <v>37</v>
      </c>
    </row>
    <row r="461" spans="1:12" x14ac:dyDescent="0.3">
      <c r="A461" t="s">
        <v>1636</v>
      </c>
      <c r="B461">
        <v>631</v>
      </c>
      <c r="C461" t="s">
        <v>1637</v>
      </c>
      <c r="D461" t="s">
        <v>1638</v>
      </c>
      <c r="E461" t="s">
        <v>1639</v>
      </c>
      <c r="F461" t="s">
        <v>53</v>
      </c>
      <c r="L461" t="s">
        <v>230</v>
      </c>
    </row>
    <row r="462" spans="1:12" x14ac:dyDescent="0.3">
      <c r="A462" t="s">
        <v>1640</v>
      </c>
      <c r="B462">
        <v>1483</v>
      </c>
      <c r="C462" t="s">
        <v>1641</v>
      </c>
      <c r="E462" t="s">
        <v>1642</v>
      </c>
      <c r="F462" t="s">
        <v>53</v>
      </c>
      <c r="L462" t="s">
        <v>37</v>
      </c>
    </row>
    <row r="463" spans="1:12" x14ac:dyDescent="0.3">
      <c r="A463" t="s">
        <v>1643</v>
      </c>
      <c r="B463">
        <v>1484</v>
      </c>
      <c r="C463" t="s">
        <v>1644</v>
      </c>
      <c r="D463" t="s">
        <v>1645</v>
      </c>
      <c r="E463" t="s">
        <v>1646</v>
      </c>
      <c r="F463" t="s">
        <v>53</v>
      </c>
      <c r="L463" t="s">
        <v>37</v>
      </c>
    </row>
    <row r="464" spans="1:12" x14ac:dyDescent="0.3">
      <c r="A464" t="s">
        <v>1647</v>
      </c>
      <c r="B464">
        <v>1413</v>
      </c>
      <c r="C464" t="s">
        <v>1648</v>
      </c>
      <c r="D464" t="s">
        <v>1649</v>
      </c>
      <c r="E464" t="s">
        <v>1650</v>
      </c>
      <c r="F464" t="s">
        <v>53</v>
      </c>
      <c r="G464" s="18">
        <v>45875.916666666664</v>
      </c>
      <c r="I464" s="18">
        <v>45811.916666666664</v>
      </c>
      <c r="J464" s="18">
        <v>45842.916666666664</v>
      </c>
      <c r="L464" t="s">
        <v>21</v>
      </c>
    </row>
    <row r="465" spans="1:12" x14ac:dyDescent="0.3">
      <c r="A465" t="s">
        <v>1651</v>
      </c>
      <c r="B465">
        <v>559</v>
      </c>
      <c r="C465" t="s">
        <v>1652</v>
      </c>
      <c r="D465" t="s">
        <v>1653</v>
      </c>
      <c r="E465" t="s">
        <v>1654</v>
      </c>
      <c r="F465" t="s">
        <v>57</v>
      </c>
      <c r="L465" t="s">
        <v>21</v>
      </c>
    </row>
    <row r="466" spans="1:12" x14ac:dyDescent="0.3">
      <c r="A466" t="s">
        <v>1655</v>
      </c>
      <c r="B466">
        <v>232</v>
      </c>
      <c r="C466" t="s">
        <v>1656</v>
      </c>
      <c r="D466" t="s">
        <v>1657</v>
      </c>
      <c r="E466" t="s">
        <v>1658</v>
      </c>
      <c r="F466" t="s">
        <v>41</v>
      </c>
      <c r="G466" s="18">
        <v>45778.916666666664</v>
      </c>
      <c r="L466" t="s">
        <v>21</v>
      </c>
    </row>
    <row r="467" spans="1:12" x14ac:dyDescent="0.3">
      <c r="A467" t="s">
        <v>1659</v>
      </c>
      <c r="B467">
        <v>1722</v>
      </c>
      <c r="C467" t="s">
        <v>1660</v>
      </c>
      <c r="D467" t="s">
        <v>1661</v>
      </c>
      <c r="E467" t="s">
        <v>1662</v>
      </c>
      <c r="F467" t="s">
        <v>53</v>
      </c>
      <c r="L467" t="s">
        <v>315</v>
      </c>
    </row>
    <row r="468" spans="1:12" x14ac:dyDescent="0.3">
      <c r="A468" t="s">
        <v>1663</v>
      </c>
      <c r="B468">
        <v>1907</v>
      </c>
      <c r="C468" t="s">
        <v>1664</v>
      </c>
      <c r="D468" t="s">
        <v>1665</v>
      </c>
      <c r="E468" t="s">
        <v>1666</v>
      </c>
    </row>
    <row r="469" spans="1:12" x14ac:dyDescent="0.3">
      <c r="A469" t="s">
        <v>1667</v>
      </c>
      <c r="B469">
        <v>1485</v>
      </c>
      <c r="C469" t="s">
        <v>1668</v>
      </c>
      <c r="E469" t="s">
        <v>1669</v>
      </c>
      <c r="F469" t="s">
        <v>53</v>
      </c>
      <c r="K469" s="18">
        <v>45814.916666666664</v>
      </c>
      <c r="L469" t="s">
        <v>37</v>
      </c>
    </row>
    <row r="470" spans="1:12" x14ac:dyDescent="0.3">
      <c r="A470" t="s">
        <v>1670</v>
      </c>
      <c r="B470">
        <v>1787</v>
      </c>
      <c r="C470" t="s">
        <v>1671</v>
      </c>
      <c r="D470" t="s">
        <v>1672</v>
      </c>
      <c r="E470" t="s">
        <v>1673</v>
      </c>
    </row>
    <row r="471" spans="1:12" x14ac:dyDescent="0.3">
      <c r="A471" t="s">
        <v>1674</v>
      </c>
      <c r="B471">
        <v>57</v>
      </c>
      <c r="C471" t="s">
        <v>1675</v>
      </c>
      <c r="D471" t="s">
        <v>1676</v>
      </c>
      <c r="E471" t="s">
        <v>1677</v>
      </c>
      <c r="F471" t="s">
        <v>41</v>
      </c>
      <c r="G471" s="18">
        <v>45721.958333333336</v>
      </c>
      <c r="L471" t="s">
        <v>21</v>
      </c>
    </row>
    <row r="472" spans="1:12" x14ac:dyDescent="0.3">
      <c r="A472" t="s">
        <v>1678</v>
      </c>
      <c r="B472">
        <v>364</v>
      </c>
      <c r="C472" t="s">
        <v>1679</v>
      </c>
      <c r="D472" t="s">
        <v>1680</v>
      </c>
      <c r="E472" t="s">
        <v>1681</v>
      </c>
      <c r="F472" t="s">
        <v>41</v>
      </c>
      <c r="G472" s="18">
        <v>45795.916666666664</v>
      </c>
      <c r="L472" t="s">
        <v>16</v>
      </c>
    </row>
    <row r="473" spans="1:12" x14ac:dyDescent="0.3">
      <c r="A473" t="s">
        <v>1682</v>
      </c>
      <c r="B473">
        <v>180</v>
      </c>
      <c r="C473" t="s">
        <v>1683</v>
      </c>
      <c r="D473" t="s">
        <v>1684</v>
      </c>
      <c r="E473" t="s">
        <v>1685</v>
      </c>
      <c r="F473" t="s">
        <v>41</v>
      </c>
      <c r="G473" s="18">
        <v>45795.916666666664</v>
      </c>
      <c r="L473" t="s">
        <v>21</v>
      </c>
    </row>
    <row r="474" spans="1:12" x14ac:dyDescent="0.3">
      <c r="A474" t="s">
        <v>1686</v>
      </c>
      <c r="B474">
        <v>1773</v>
      </c>
      <c r="C474" t="s">
        <v>1687</v>
      </c>
      <c r="D474" t="s">
        <v>1688</v>
      </c>
      <c r="E474" t="s">
        <v>1689</v>
      </c>
      <c r="F474" t="s">
        <v>53</v>
      </c>
      <c r="L474" t="s">
        <v>88</v>
      </c>
    </row>
    <row r="475" spans="1:12" x14ac:dyDescent="0.3">
      <c r="A475" t="s">
        <v>1690</v>
      </c>
      <c r="B475">
        <v>2017</v>
      </c>
      <c r="C475" t="s">
        <v>1691</v>
      </c>
      <c r="D475" t="s">
        <v>1692</v>
      </c>
      <c r="E475" t="s">
        <v>1693</v>
      </c>
    </row>
    <row r="476" spans="1:12" x14ac:dyDescent="0.3">
      <c r="A476" t="s">
        <v>1694</v>
      </c>
      <c r="B476">
        <v>2046</v>
      </c>
      <c r="C476" t="s">
        <v>1695</v>
      </c>
      <c r="D476" t="s">
        <v>1692</v>
      </c>
      <c r="E476" t="s">
        <v>1693</v>
      </c>
    </row>
    <row r="477" spans="1:12" x14ac:dyDescent="0.3">
      <c r="A477" t="s">
        <v>1696</v>
      </c>
      <c r="B477">
        <v>332</v>
      </c>
      <c r="C477" t="s">
        <v>1697</v>
      </c>
      <c r="D477" t="s">
        <v>1698</v>
      </c>
      <c r="E477" t="s">
        <v>1699</v>
      </c>
      <c r="F477" t="s">
        <v>41</v>
      </c>
      <c r="G477" s="18">
        <v>45743.958333333336</v>
      </c>
      <c r="L477" t="s">
        <v>21</v>
      </c>
    </row>
    <row r="478" spans="1:12" x14ac:dyDescent="0.3">
      <c r="A478" t="s">
        <v>1700</v>
      </c>
      <c r="B478">
        <v>294</v>
      </c>
      <c r="C478" t="s">
        <v>1701</v>
      </c>
      <c r="D478" t="s">
        <v>1702</v>
      </c>
      <c r="E478" t="s">
        <v>1703</v>
      </c>
      <c r="F478" t="s">
        <v>41</v>
      </c>
      <c r="G478" s="18">
        <v>45760.916666666664</v>
      </c>
      <c r="L478" t="s">
        <v>225</v>
      </c>
    </row>
    <row r="479" spans="1:12" x14ac:dyDescent="0.3">
      <c r="A479" t="s">
        <v>1704</v>
      </c>
      <c r="B479">
        <v>1190</v>
      </c>
      <c r="C479" t="s">
        <v>1705</v>
      </c>
      <c r="E479" t="s">
        <v>1706</v>
      </c>
      <c r="F479" t="s">
        <v>170</v>
      </c>
      <c r="K479" s="18">
        <v>45761.916666666664</v>
      </c>
      <c r="L479" t="s">
        <v>21</v>
      </c>
    </row>
    <row r="480" spans="1:12" x14ac:dyDescent="0.3">
      <c r="A480" t="s">
        <v>1707</v>
      </c>
      <c r="B480">
        <v>956</v>
      </c>
      <c r="C480" t="s">
        <v>1708</v>
      </c>
      <c r="E480" t="s">
        <v>1709</v>
      </c>
      <c r="F480" t="s">
        <v>170</v>
      </c>
      <c r="L480" t="s">
        <v>21</v>
      </c>
    </row>
    <row r="481" spans="1:12" x14ac:dyDescent="0.3">
      <c r="A481" t="s">
        <v>1710</v>
      </c>
      <c r="B481">
        <v>862</v>
      </c>
      <c r="C481" t="s">
        <v>1711</v>
      </c>
      <c r="E481" t="s">
        <v>1712</v>
      </c>
      <c r="F481" t="s">
        <v>15</v>
      </c>
      <c r="G481" s="18">
        <v>45432.916666666664</v>
      </c>
      <c r="H481" s="18">
        <v>45442.916666666664</v>
      </c>
      <c r="L481" t="s">
        <v>16</v>
      </c>
    </row>
    <row r="482" spans="1:12" x14ac:dyDescent="0.3">
      <c r="A482" t="s">
        <v>1713</v>
      </c>
      <c r="B482">
        <v>84</v>
      </c>
      <c r="C482" t="s">
        <v>1714</v>
      </c>
      <c r="E482" t="s">
        <v>1715</v>
      </c>
      <c r="F482" t="s">
        <v>53</v>
      </c>
      <c r="L482" t="s">
        <v>16</v>
      </c>
    </row>
    <row r="483" spans="1:12" x14ac:dyDescent="0.3">
      <c r="A483" t="s">
        <v>1716</v>
      </c>
      <c r="B483">
        <v>1486</v>
      </c>
      <c r="C483" t="s">
        <v>1717</v>
      </c>
      <c r="D483" t="s">
        <v>1718</v>
      </c>
      <c r="E483" t="s">
        <v>1719</v>
      </c>
      <c r="F483" t="s">
        <v>53</v>
      </c>
      <c r="K483" s="18">
        <v>45805.916666666664</v>
      </c>
      <c r="L483" t="s">
        <v>37</v>
      </c>
    </row>
    <row r="484" spans="1:12" x14ac:dyDescent="0.3">
      <c r="A484" t="s">
        <v>1720</v>
      </c>
      <c r="B484">
        <v>1712</v>
      </c>
      <c r="C484" t="s">
        <v>1721</v>
      </c>
      <c r="D484" t="s">
        <v>1722</v>
      </c>
      <c r="E484" t="s">
        <v>1723</v>
      </c>
      <c r="F484" t="s">
        <v>53</v>
      </c>
      <c r="L484" t="s">
        <v>230</v>
      </c>
    </row>
    <row r="485" spans="1:12" x14ac:dyDescent="0.3">
      <c r="A485" t="s">
        <v>1724</v>
      </c>
      <c r="B485">
        <v>1922</v>
      </c>
      <c r="C485" t="s">
        <v>1725</v>
      </c>
      <c r="D485" t="s">
        <v>1726</v>
      </c>
      <c r="E485" t="s">
        <v>1727</v>
      </c>
    </row>
    <row r="486" spans="1:12" x14ac:dyDescent="0.3">
      <c r="A486" t="s">
        <v>1728</v>
      </c>
      <c r="B486">
        <v>158</v>
      </c>
      <c r="C486" t="s">
        <v>1729</v>
      </c>
      <c r="E486" t="s">
        <v>1730</v>
      </c>
      <c r="F486" t="s">
        <v>53</v>
      </c>
      <c r="L486" t="s">
        <v>16</v>
      </c>
    </row>
    <row r="487" spans="1:12" x14ac:dyDescent="0.3">
      <c r="A487" t="s">
        <v>1731</v>
      </c>
      <c r="B487">
        <v>357</v>
      </c>
      <c r="C487" t="s">
        <v>1732</v>
      </c>
      <c r="D487" t="s">
        <v>1733</v>
      </c>
      <c r="E487" t="s">
        <v>1734</v>
      </c>
      <c r="F487" t="s">
        <v>41</v>
      </c>
      <c r="G487" s="18">
        <v>45761.916666666664</v>
      </c>
      <c r="L487" t="s">
        <v>16</v>
      </c>
    </row>
    <row r="488" spans="1:12" x14ac:dyDescent="0.3">
      <c r="A488" t="s">
        <v>1735</v>
      </c>
      <c r="B488">
        <v>210</v>
      </c>
      <c r="C488" t="s">
        <v>1736</v>
      </c>
      <c r="D488" t="s">
        <v>1737</v>
      </c>
      <c r="E488" t="s">
        <v>1738</v>
      </c>
      <c r="F488" t="s">
        <v>41</v>
      </c>
      <c r="G488" s="18">
        <v>45768.916666666664</v>
      </c>
      <c r="L488" t="s">
        <v>21</v>
      </c>
    </row>
    <row r="489" spans="1:12" x14ac:dyDescent="0.3">
      <c r="A489" t="s">
        <v>1739</v>
      </c>
      <c r="B489">
        <v>1198</v>
      </c>
      <c r="C489" t="s">
        <v>1740</v>
      </c>
      <c r="E489" t="s">
        <v>1741</v>
      </c>
      <c r="F489" t="s">
        <v>15</v>
      </c>
      <c r="G489" s="18">
        <v>45012.916666666664</v>
      </c>
      <c r="H489" s="18">
        <v>45532.916666666664</v>
      </c>
      <c r="K489" s="18">
        <v>45532.916666666664</v>
      </c>
      <c r="L489" t="s">
        <v>16</v>
      </c>
    </row>
    <row r="490" spans="1:12" x14ac:dyDescent="0.3">
      <c r="A490" t="s">
        <v>1742</v>
      </c>
      <c r="B490">
        <v>720</v>
      </c>
      <c r="C490" t="s">
        <v>1743</v>
      </c>
      <c r="E490" t="s">
        <v>1744</v>
      </c>
      <c r="F490" t="s">
        <v>71</v>
      </c>
      <c r="L490" t="s">
        <v>16</v>
      </c>
    </row>
    <row r="491" spans="1:12" x14ac:dyDescent="0.3">
      <c r="A491" t="s">
        <v>1745</v>
      </c>
      <c r="B491">
        <v>2045</v>
      </c>
      <c r="C491" t="s">
        <v>1746</v>
      </c>
      <c r="D491" t="s">
        <v>1747</v>
      </c>
      <c r="E491" t="s">
        <v>1748</v>
      </c>
    </row>
    <row r="492" spans="1:12" x14ac:dyDescent="0.3">
      <c r="A492" t="s">
        <v>1749</v>
      </c>
      <c r="B492">
        <v>233</v>
      </c>
      <c r="C492" t="s">
        <v>1750</v>
      </c>
      <c r="D492" t="s">
        <v>1751</v>
      </c>
      <c r="E492" t="s">
        <v>1752</v>
      </c>
      <c r="F492" t="s">
        <v>41</v>
      </c>
      <c r="G492" s="18">
        <v>45768.916666666664</v>
      </c>
      <c r="L492" t="s">
        <v>21</v>
      </c>
    </row>
    <row r="493" spans="1:12" x14ac:dyDescent="0.3">
      <c r="A493" t="s">
        <v>1753</v>
      </c>
      <c r="B493">
        <v>706</v>
      </c>
      <c r="C493" t="s">
        <v>1754</v>
      </c>
      <c r="E493" t="s">
        <v>1755</v>
      </c>
      <c r="F493" t="s">
        <v>15</v>
      </c>
      <c r="L493" t="s">
        <v>21</v>
      </c>
    </row>
    <row r="494" spans="1:12" x14ac:dyDescent="0.3">
      <c r="A494" t="s">
        <v>1756</v>
      </c>
      <c r="B494">
        <v>1008</v>
      </c>
      <c r="C494" t="s">
        <v>1757</v>
      </c>
      <c r="E494" t="s">
        <v>1758</v>
      </c>
      <c r="F494" t="s">
        <v>71</v>
      </c>
      <c r="L494" t="s">
        <v>16</v>
      </c>
    </row>
    <row r="495" spans="1:12" x14ac:dyDescent="0.3">
      <c r="A495" t="s">
        <v>1759</v>
      </c>
      <c r="B495">
        <v>784</v>
      </c>
      <c r="C495" t="s">
        <v>1760</v>
      </c>
      <c r="D495" t="s">
        <v>1761</v>
      </c>
      <c r="E495" t="s">
        <v>1762</v>
      </c>
      <c r="F495" t="s">
        <v>53</v>
      </c>
      <c r="L495" t="s">
        <v>88</v>
      </c>
    </row>
    <row r="496" spans="1:12" x14ac:dyDescent="0.3">
      <c r="A496" t="s">
        <v>1763</v>
      </c>
      <c r="B496">
        <v>961</v>
      </c>
      <c r="C496" t="s">
        <v>1764</v>
      </c>
      <c r="E496" t="s">
        <v>1765</v>
      </c>
      <c r="F496" t="s">
        <v>71</v>
      </c>
      <c r="L496" t="s">
        <v>16</v>
      </c>
    </row>
    <row r="497" spans="1:12" x14ac:dyDescent="0.3">
      <c r="A497" t="s">
        <v>1766</v>
      </c>
      <c r="B497">
        <v>1704</v>
      </c>
      <c r="C497" t="s">
        <v>1767</v>
      </c>
      <c r="D497" t="s">
        <v>1768</v>
      </c>
      <c r="E497" t="s">
        <v>1769</v>
      </c>
      <c r="F497" t="s">
        <v>53</v>
      </c>
      <c r="L497" t="s">
        <v>230</v>
      </c>
    </row>
    <row r="498" spans="1:12" x14ac:dyDescent="0.3">
      <c r="A498" t="s">
        <v>1770</v>
      </c>
      <c r="B498">
        <v>1064</v>
      </c>
      <c r="C498" t="s">
        <v>1771</v>
      </c>
      <c r="E498" t="s">
        <v>1772</v>
      </c>
      <c r="F498" t="s">
        <v>15</v>
      </c>
      <c r="K498" s="18">
        <v>45689.958333333336</v>
      </c>
      <c r="L498" t="s">
        <v>16</v>
      </c>
    </row>
    <row r="499" spans="1:12" x14ac:dyDescent="0.3">
      <c r="A499" t="s">
        <v>1773</v>
      </c>
      <c r="B499">
        <v>656</v>
      </c>
      <c r="C499" t="s">
        <v>1774</v>
      </c>
      <c r="E499" t="s">
        <v>1775</v>
      </c>
      <c r="F499" t="s">
        <v>15</v>
      </c>
      <c r="L499" t="s">
        <v>21</v>
      </c>
    </row>
    <row r="500" spans="1:12" x14ac:dyDescent="0.3">
      <c r="A500" t="s">
        <v>1776</v>
      </c>
      <c r="B500">
        <v>436</v>
      </c>
      <c r="C500" t="s">
        <v>1777</v>
      </c>
      <c r="E500" t="s">
        <v>1778</v>
      </c>
      <c r="F500" t="s">
        <v>41</v>
      </c>
      <c r="G500" s="18">
        <v>45768.916666666664</v>
      </c>
      <c r="L500" t="s">
        <v>16</v>
      </c>
    </row>
    <row r="501" spans="1:12" x14ac:dyDescent="0.3">
      <c r="A501" t="s">
        <v>1779</v>
      </c>
      <c r="B501">
        <v>873</v>
      </c>
      <c r="C501" t="s">
        <v>1780</v>
      </c>
      <c r="D501" t="s">
        <v>1781</v>
      </c>
      <c r="E501" t="s">
        <v>1782</v>
      </c>
      <c r="F501" t="s">
        <v>15</v>
      </c>
      <c r="L501" t="s">
        <v>16</v>
      </c>
    </row>
    <row r="502" spans="1:12" x14ac:dyDescent="0.3">
      <c r="A502" t="s">
        <v>1783</v>
      </c>
      <c r="B502">
        <v>1069</v>
      </c>
      <c r="C502" t="s">
        <v>1784</v>
      </c>
      <c r="E502" t="s">
        <v>1785</v>
      </c>
      <c r="F502" t="s">
        <v>15</v>
      </c>
      <c r="G502" s="18">
        <v>45768.916666666664</v>
      </c>
      <c r="H502" s="18">
        <v>45778.916666666664</v>
      </c>
      <c r="K502" s="18">
        <v>45799.916666666664</v>
      </c>
      <c r="L502" t="s">
        <v>16</v>
      </c>
    </row>
    <row r="503" spans="1:12" x14ac:dyDescent="0.3">
      <c r="A503" t="s">
        <v>1786</v>
      </c>
      <c r="B503">
        <v>579</v>
      </c>
      <c r="C503" t="s">
        <v>1787</v>
      </c>
      <c r="D503" t="s">
        <v>1788</v>
      </c>
      <c r="E503" t="s">
        <v>1789</v>
      </c>
      <c r="F503" t="s">
        <v>53</v>
      </c>
      <c r="G503" s="18">
        <v>45706.958333333336</v>
      </c>
      <c r="L503" t="s">
        <v>225</v>
      </c>
    </row>
    <row r="504" spans="1:12" x14ac:dyDescent="0.3">
      <c r="A504" t="s">
        <v>1790</v>
      </c>
      <c r="B504">
        <v>1237</v>
      </c>
      <c r="C504" t="s">
        <v>1791</v>
      </c>
      <c r="E504" t="s">
        <v>1792</v>
      </c>
      <c r="F504" t="s">
        <v>71</v>
      </c>
      <c r="L504" t="s">
        <v>21</v>
      </c>
    </row>
    <row r="505" spans="1:12" x14ac:dyDescent="0.3">
      <c r="A505" t="s">
        <v>1793</v>
      </c>
      <c r="B505">
        <v>1840</v>
      </c>
      <c r="C505" t="s">
        <v>1794</v>
      </c>
      <c r="D505" t="s">
        <v>1795</v>
      </c>
      <c r="E505" t="s">
        <v>1796</v>
      </c>
    </row>
    <row r="506" spans="1:12" x14ac:dyDescent="0.3">
      <c r="A506" t="s">
        <v>1797</v>
      </c>
      <c r="B506">
        <v>609</v>
      </c>
      <c r="C506" t="s">
        <v>1798</v>
      </c>
      <c r="D506" t="s">
        <v>1799</v>
      </c>
      <c r="E506" t="s">
        <v>1800</v>
      </c>
      <c r="F506" t="s">
        <v>53</v>
      </c>
      <c r="L506" t="s">
        <v>88</v>
      </c>
    </row>
    <row r="507" spans="1:12" x14ac:dyDescent="0.3">
      <c r="A507" t="s">
        <v>1801</v>
      </c>
      <c r="B507">
        <v>537</v>
      </c>
      <c r="C507" t="s">
        <v>1802</v>
      </c>
      <c r="D507" t="s">
        <v>1803</v>
      </c>
      <c r="E507" t="s">
        <v>1804</v>
      </c>
      <c r="F507" t="s">
        <v>41</v>
      </c>
      <c r="G507" s="18">
        <v>45761.916666666664</v>
      </c>
      <c r="L507" t="s">
        <v>16</v>
      </c>
    </row>
    <row r="508" spans="1:12" x14ac:dyDescent="0.3">
      <c r="A508" t="s">
        <v>1805</v>
      </c>
      <c r="B508">
        <v>1686</v>
      </c>
      <c r="C508" t="s">
        <v>1806</v>
      </c>
      <c r="D508" t="s">
        <v>1807</v>
      </c>
      <c r="E508" t="s">
        <v>1808</v>
      </c>
      <c r="F508" t="s">
        <v>53</v>
      </c>
      <c r="L508" t="s">
        <v>315</v>
      </c>
    </row>
    <row r="509" spans="1:12" x14ac:dyDescent="0.3">
      <c r="A509" t="s">
        <v>1809</v>
      </c>
      <c r="B509">
        <v>1708</v>
      </c>
      <c r="C509" t="s">
        <v>1810</v>
      </c>
      <c r="E509" t="s">
        <v>1811</v>
      </c>
    </row>
    <row r="510" spans="1:12" x14ac:dyDescent="0.3">
      <c r="A510" t="s">
        <v>1812</v>
      </c>
      <c r="B510">
        <v>1487</v>
      </c>
      <c r="C510" t="s">
        <v>1813</v>
      </c>
      <c r="E510" t="s">
        <v>1814</v>
      </c>
      <c r="F510" t="s">
        <v>53</v>
      </c>
      <c r="L510" t="s">
        <v>37</v>
      </c>
    </row>
    <row r="511" spans="1:12" x14ac:dyDescent="0.3">
      <c r="A511" t="s">
        <v>1815</v>
      </c>
      <c r="B511">
        <v>1488</v>
      </c>
      <c r="C511" t="s">
        <v>1816</v>
      </c>
      <c r="E511" t="s">
        <v>1817</v>
      </c>
      <c r="F511" t="s">
        <v>53</v>
      </c>
      <c r="L511" t="s">
        <v>37</v>
      </c>
    </row>
    <row r="512" spans="1:12" x14ac:dyDescent="0.3">
      <c r="A512" t="s">
        <v>1818</v>
      </c>
      <c r="B512">
        <v>1388</v>
      </c>
      <c r="C512" t="s">
        <v>1819</v>
      </c>
      <c r="D512" t="s">
        <v>1820</v>
      </c>
      <c r="E512" t="s">
        <v>1821</v>
      </c>
      <c r="F512" t="s">
        <v>41</v>
      </c>
      <c r="G512" s="18">
        <v>45760.916666666664</v>
      </c>
      <c r="K512" s="18">
        <v>45743.958333333336</v>
      </c>
      <c r="L512" t="s">
        <v>16</v>
      </c>
    </row>
    <row r="513" spans="1:12" x14ac:dyDescent="0.3">
      <c r="A513" t="s">
        <v>1822</v>
      </c>
      <c r="B513">
        <v>796</v>
      </c>
      <c r="C513" t="s">
        <v>1823</v>
      </c>
      <c r="E513" t="s">
        <v>1824</v>
      </c>
      <c r="F513" t="s">
        <v>170</v>
      </c>
      <c r="K513" s="18">
        <v>45682.958333333336</v>
      </c>
      <c r="L513" t="s">
        <v>16</v>
      </c>
    </row>
    <row r="514" spans="1:12" x14ac:dyDescent="0.3">
      <c r="A514" t="s">
        <v>1825</v>
      </c>
      <c r="B514">
        <v>435</v>
      </c>
      <c r="C514" t="s">
        <v>1826</v>
      </c>
      <c r="E514" t="s">
        <v>1827</v>
      </c>
      <c r="F514" t="s">
        <v>41</v>
      </c>
      <c r="G514" s="18">
        <v>45012.916666666664</v>
      </c>
      <c r="L514" t="s">
        <v>16</v>
      </c>
    </row>
    <row r="515" spans="1:12" x14ac:dyDescent="0.3">
      <c r="A515" t="s">
        <v>1828</v>
      </c>
      <c r="B515">
        <v>407</v>
      </c>
      <c r="C515" t="s">
        <v>1829</v>
      </c>
      <c r="D515" t="s">
        <v>1830</v>
      </c>
      <c r="E515" t="s">
        <v>1831</v>
      </c>
      <c r="F515" t="s">
        <v>41</v>
      </c>
      <c r="G515" s="18">
        <v>45636.958333333336</v>
      </c>
      <c r="L515" t="s">
        <v>21</v>
      </c>
    </row>
    <row r="516" spans="1:12" x14ac:dyDescent="0.3">
      <c r="A516" t="s">
        <v>1832</v>
      </c>
      <c r="B516">
        <v>980</v>
      </c>
      <c r="C516" t="s">
        <v>1833</v>
      </c>
      <c r="E516" t="s">
        <v>1834</v>
      </c>
      <c r="F516" t="s">
        <v>15</v>
      </c>
      <c r="G516" s="18">
        <v>45519.916666666664</v>
      </c>
      <c r="K516" s="18">
        <v>45585.916666666664</v>
      </c>
      <c r="L516" t="s">
        <v>16</v>
      </c>
    </row>
    <row r="517" spans="1:12" x14ac:dyDescent="0.3">
      <c r="A517" t="s">
        <v>1835</v>
      </c>
      <c r="B517">
        <v>573</v>
      </c>
      <c r="C517" t="s">
        <v>1836</v>
      </c>
      <c r="E517" t="s">
        <v>1837</v>
      </c>
      <c r="F517" t="s">
        <v>15</v>
      </c>
      <c r="L517" t="s">
        <v>16</v>
      </c>
    </row>
    <row r="518" spans="1:12" x14ac:dyDescent="0.3">
      <c r="A518" t="s">
        <v>1838</v>
      </c>
      <c r="B518">
        <v>424</v>
      </c>
      <c r="C518" t="s">
        <v>1839</v>
      </c>
      <c r="D518" t="s">
        <v>1840</v>
      </c>
      <c r="E518" t="s">
        <v>1841</v>
      </c>
      <c r="F518" t="s">
        <v>41</v>
      </c>
      <c r="G518" s="18">
        <v>45768.916666666664</v>
      </c>
      <c r="L518" t="s">
        <v>1842</v>
      </c>
    </row>
    <row r="519" spans="1:12" x14ac:dyDescent="0.3">
      <c r="A519" t="s">
        <v>1843</v>
      </c>
      <c r="B519">
        <v>2019</v>
      </c>
      <c r="C519" t="s">
        <v>1844</v>
      </c>
      <c r="D519" t="s">
        <v>1845</v>
      </c>
      <c r="E519" t="s">
        <v>1846</v>
      </c>
    </row>
    <row r="520" spans="1:12" x14ac:dyDescent="0.3">
      <c r="A520" t="s">
        <v>1847</v>
      </c>
      <c r="B520">
        <v>348</v>
      </c>
      <c r="C520" t="s">
        <v>1848</v>
      </c>
      <c r="D520" t="s">
        <v>1849</v>
      </c>
      <c r="E520" t="s">
        <v>1850</v>
      </c>
      <c r="F520" t="s">
        <v>53</v>
      </c>
      <c r="G520" s="18">
        <v>45760.916666666664</v>
      </c>
      <c r="L520" t="s">
        <v>88</v>
      </c>
    </row>
    <row r="521" spans="1:12" x14ac:dyDescent="0.3">
      <c r="A521" t="s">
        <v>1851</v>
      </c>
      <c r="B521">
        <v>1857</v>
      </c>
      <c r="C521" t="s">
        <v>1852</v>
      </c>
      <c r="D521" t="s">
        <v>1853</v>
      </c>
      <c r="E521" t="s">
        <v>1854</v>
      </c>
    </row>
    <row r="522" spans="1:12" x14ac:dyDescent="0.3">
      <c r="A522" t="s">
        <v>1855</v>
      </c>
      <c r="B522">
        <v>932</v>
      </c>
      <c r="C522" t="s">
        <v>1856</v>
      </c>
      <c r="E522" t="s">
        <v>1857</v>
      </c>
      <c r="F522" t="s">
        <v>15</v>
      </c>
      <c r="K522" s="18">
        <v>45762.916666666664</v>
      </c>
      <c r="L522" t="s">
        <v>21</v>
      </c>
    </row>
    <row r="523" spans="1:12" x14ac:dyDescent="0.3">
      <c r="A523" t="s">
        <v>1858</v>
      </c>
      <c r="B523">
        <v>1316</v>
      </c>
      <c r="C523" t="s">
        <v>1859</v>
      </c>
      <c r="E523" t="s">
        <v>1860</v>
      </c>
      <c r="F523" t="s">
        <v>15</v>
      </c>
      <c r="G523" s="18">
        <v>45728.958333333336</v>
      </c>
      <c r="H523" s="18">
        <v>45751.916666666664</v>
      </c>
      <c r="K523" s="18">
        <v>45751.916666666664</v>
      </c>
      <c r="L523" t="s">
        <v>16</v>
      </c>
    </row>
    <row r="524" spans="1:12" x14ac:dyDescent="0.3">
      <c r="A524" t="s">
        <v>1861</v>
      </c>
      <c r="B524">
        <v>1489</v>
      </c>
      <c r="C524" t="s">
        <v>1862</v>
      </c>
      <c r="E524" t="s">
        <v>1863</v>
      </c>
      <c r="F524" t="s">
        <v>53</v>
      </c>
      <c r="L524" t="s">
        <v>37</v>
      </c>
    </row>
    <row r="525" spans="1:12" x14ac:dyDescent="0.3">
      <c r="A525" t="s">
        <v>1864</v>
      </c>
      <c r="B525">
        <v>2040</v>
      </c>
      <c r="C525" t="s">
        <v>1865</v>
      </c>
      <c r="D525" t="s">
        <v>1866</v>
      </c>
      <c r="E525" t="s">
        <v>1867</v>
      </c>
    </row>
    <row r="526" spans="1:12" x14ac:dyDescent="0.3">
      <c r="A526" t="s">
        <v>1868</v>
      </c>
      <c r="B526">
        <v>1210</v>
      </c>
      <c r="C526" t="s">
        <v>1869</v>
      </c>
      <c r="E526" t="s">
        <v>1870</v>
      </c>
      <c r="F526" t="s">
        <v>71</v>
      </c>
      <c r="L526" t="s">
        <v>16</v>
      </c>
    </row>
    <row r="527" spans="1:12" x14ac:dyDescent="0.3">
      <c r="A527" t="s">
        <v>1871</v>
      </c>
      <c r="B527">
        <v>1610</v>
      </c>
      <c r="C527" t="s">
        <v>1872</v>
      </c>
      <c r="D527" t="s">
        <v>1873</v>
      </c>
      <c r="E527" t="s">
        <v>1874</v>
      </c>
      <c r="F527" t="s">
        <v>53</v>
      </c>
      <c r="L527" t="s">
        <v>88</v>
      </c>
    </row>
    <row r="528" spans="1:12" x14ac:dyDescent="0.3">
      <c r="A528" t="s">
        <v>1875</v>
      </c>
      <c r="B528">
        <v>646</v>
      </c>
      <c r="C528" t="s">
        <v>1876</v>
      </c>
      <c r="E528" t="s">
        <v>1877</v>
      </c>
      <c r="F528" t="s">
        <v>15</v>
      </c>
      <c r="K528" s="18">
        <v>45602.958333333336</v>
      </c>
      <c r="L528" t="s">
        <v>21</v>
      </c>
    </row>
    <row r="529" spans="1:12" x14ac:dyDescent="0.3">
      <c r="A529" t="s">
        <v>1878</v>
      </c>
      <c r="B529">
        <v>1317</v>
      </c>
      <c r="C529" t="s">
        <v>1879</v>
      </c>
      <c r="E529" t="s">
        <v>1880</v>
      </c>
      <c r="F529" t="s">
        <v>15</v>
      </c>
      <c r="G529" s="18">
        <v>45728.958333333336</v>
      </c>
      <c r="H529" s="18">
        <v>45763.916666666664</v>
      </c>
      <c r="K529" s="18">
        <v>45763.916666666664</v>
      </c>
      <c r="L529" t="s">
        <v>16</v>
      </c>
    </row>
    <row r="530" spans="1:12" x14ac:dyDescent="0.3">
      <c r="A530" t="s">
        <v>1881</v>
      </c>
      <c r="B530">
        <v>1268</v>
      </c>
      <c r="C530" t="s">
        <v>1882</v>
      </c>
      <c r="E530" t="s">
        <v>1883</v>
      </c>
      <c r="F530" t="s">
        <v>15</v>
      </c>
      <c r="K530" s="18">
        <v>45785.916666666664</v>
      </c>
      <c r="L530" t="s">
        <v>21</v>
      </c>
    </row>
    <row r="531" spans="1:12" x14ac:dyDescent="0.3">
      <c r="A531" t="s">
        <v>1884</v>
      </c>
      <c r="B531">
        <v>1251</v>
      </c>
      <c r="C531" t="s">
        <v>1885</v>
      </c>
      <c r="E531" t="s">
        <v>1886</v>
      </c>
      <c r="F531" t="s">
        <v>71</v>
      </c>
      <c r="L531" t="s">
        <v>21</v>
      </c>
    </row>
    <row r="532" spans="1:12" x14ac:dyDescent="0.3">
      <c r="A532" t="s">
        <v>1887</v>
      </c>
      <c r="B532">
        <v>1117</v>
      </c>
      <c r="C532" t="s">
        <v>1888</v>
      </c>
      <c r="D532" t="s">
        <v>1889</v>
      </c>
      <c r="E532" t="s">
        <v>1890</v>
      </c>
      <c r="F532" t="s">
        <v>41</v>
      </c>
      <c r="G532" s="18">
        <v>45908.916666666664</v>
      </c>
      <c r="L532" t="s">
        <v>230</v>
      </c>
    </row>
    <row r="533" spans="1:12" x14ac:dyDescent="0.3">
      <c r="A533" t="s">
        <v>1891</v>
      </c>
      <c r="B533">
        <v>1765</v>
      </c>
      <c r="C533" t="s">
        <v>1892</v>
      </c>
      <c r="D533" t="s">
        <v>1893</v>
      </c>
      <c r="E533" t="s">
        <v>1894</v>
      </c>
    </row>
    <row r="534" spans="1:12" x14ac:dyDescent="0.3">
      <c r="A534" t="s">
        <v>1895</v>
      </c>
      <c r="B534">
        <v>1021</v>
      </c>
      <c r="C534" t="s">
        <v>1896</v>
      </c>
      <c r="E534" t="s">
        <v>1897</v>
      </c>
      <c r="F534" t="s">
        <v>15</v>
      </c>
      <c r="G534" s="18">
        <v>45380.958333333336</v>
      </c>
      <c r="H534" s="18">
        <v>45397.916666666664</v>
      </c>
      <c r="L534" t="s">
        <v>16</v>
      </c>
    </row>
    <row r="535" spans="1:12" x14ac:dyDescent="0.3">
      <c r="A535" t="s">
        <v>1898</v>
      </c>
      <c r="B535">
        <v>995</v>
      </c>
      <c r="C535" t="s">
        <v>1899</v>
      </c>
      <c r="E535" t="s">
        <v>1900</v>
      </c>
      <c r="F535" t="s">
        <v>15</v>
      </c>
      <c r="G535" s="18">
        <v>45670.958333333336</v>
      </c>
      <c r="K535" s="18">
        <v>45708.958333333336</v>
      </c>
      <c r="L535" t="s">
        <v>21</v>
      </c>
    </row>
    <row r="536" spans="1:12" x14ac:dyDescent="0.3">
      <c r="A536" t="s">
        <v>1901</v>
      </c>
      <c r="B536">
        <v>1250</v>
      </c>
      <c r="C536" t="s">
        <v>1902</v>
      </c>
      <c r="E536" t="s">
        <v>1903</v>
      </c>
      <c r="F536" t="s">
        <v>71</v>
      </c>
      <c r="L536" t="s">
        <v>21</v>
      </c>
    </row>
    <row r="537" spans="1:12" x14ac:dyDescent="0.3">
      <c r="A537" t="s">
        <v>1904</v>
      </c>
      <c r="B537">
        <v>1713</v>
      </c>
      <c r="C537" t="s">
        <v>1905</v>
      </c>
      <c r="D537" t="s">
        <v>1906</v>
      </c>
      <c r="E537" t="s">
        <v>1907</v>
      </c>
      <c r="F537" t="s">
        <v>41</v>
      </c>
      <c r="G537" s="18">
        <v>45861.916666666664</v>
      </c>
      <c r="L537" t="s">
        <v>88</v>
      </c>
    </row>
    <row r="538" spans="1:12" x14ac:dyDescent="0.3">
      <c r="A538" t="s">
        <v>1908</v>
      </c>
      <c r="B538">
        <v>590</v>
      </c>
      <c r="C538" t="s">
        <v>1909</v>
      </c>
      <c r="D538" t="s">
        <v>1910</v>
      </c>
      <c r="E538" t="s">
        <v>1911</v>
      </c>
      <c r="F538" t="s">
        <v>15</v>
      </c>
      <c r="G538" s="18">
        <v>45760.916666666664</v>
      </c>
      <c r="K538" s="18">
        <v>45832.916666666664</v>
      </c>
      <c r="L538" t="s">
        <v>16</v>
      </c>
    </row>
    <row r="539" spans="1:12" x14ac:dyDescent="0.3">
      <c r="A539" t="s">
        <v>1912</v>
      </c>
      <c r="B539">
        <v>202</v>
      </c>
      <c r="C539" t="s">
        <v>1913</v>
      </c>
      <c r="D539" t="s">
        <v>1914</v>
      </c>
      <c r="E539" t="s">
        <v>1915</v>
      </c>
      <c r="F539" t="s">
        <v>41</v>
      </c>
      <c r="G539" s="18">
        <v>45760.916666666664</v>
      </c>
      <c r="L539" t="s">
        <v>21</v>
      </c>
    </row>
    <row r="540" spans="1:12" x14ac:dyDescent="0.3">
      <c r="A540" t="s">
        <v>1916</v>
      </c>
      <c r="B540">
        <v>6</v>
      </c>
      <c r="C540" t="s">
        <v>1917</v>
      </c>
      <c r="D540" t="s">
        <v>1918</v>
      </c>
      <c r="E540" t="s">
        <v>1919</v>
      </c>
      <c r="F540" t="s">
        <v>742</v>
      </c>
      <c r="K540" s="18">
        <v>45801.916666666664</v>
      </c>
      <c r="L540" t="s">
        <v>21</v>
      </c>
    </row>
    <row r="541" spans="1:12" x14ac:dyDescent="0.3">
      <c r="A541" t="s">
        <v>1920</v>
      </c>
      <c r="B541">
        <v>1115</v>
      </c>
      <c r="C541" t="s">
        <v>1921</v>
      </c>
      <c r="E541" t="s">
        <v>1922</v>
      </c>
      <c r="F541" t="s">
        <v>71</v>
      </c>
      <c r="L541" t="s">
        <v>16</v>
      </c>
    </row>
    <row r="542" spans="1:12" x14ac:dyDescent="0.3">
      <c r="A542" t="s">
        <v>1923</v>
      </c>
      <c r="B542">
        <v>665</v>
      </c>
      <c r="C542" t="s">
        <v>1924</v>
      </c>
      <c r="E542" t="s">
        <v>1925</v>
      </c>
      <c r="F542" t="s">
        <v>71</v>
      </c>
      <c r="L542" t="s">
        <v>16</v>
      </c>
    </row>
    <row r="543" spans="1:12" x14ac:dyDescent="0.3">
      <c r="A543" t="s">
        <v>1926</v>
      </c>
      <c r="B543">
        <v>77</v>
      </c>
      <c r="C543" t="s">
        <v>1927</v>
      </c>
      <c r="E543" t="s">
        <v>1928</v>
      </c>
      <c r="F543" t="s">
        <v>53</v>
      </c>
      <c r="L543" t="s">
        <v>16</v>
      </c>
    </row>
    <row r="544" spans="1:12" x14ac:dyDescent="0.3">
      <c r="A544" t="s">
        <v>1929</v>
      </c>
      <c r="B544">
        <v>179</v>
      </c>
      <c r="C544" t="s">
        <v>1930</v>
      </c>
      <c r="E544" t="s">
        <v>1931</v>
      </c>
      <c r="F544" t="s">
        <v>41</v>
      </c>
      <c r="G544" s="18">
        <v>45642.958333333336</v>
      </c>
      <c r="L544" t="s">
        <v>37</v>
      </c>
    </row>
    <row r="545" spans="1:12" x14ac:dyDescent="0.3">
      <c r="A545" t="s">
        <v>1932</v>
      </c>
      <c r="B545">
        <v>1351</v>
      </c>
      <c r="C545" t="s">
        <v>1933</v>
      </c>
      <c r="E545" t="s">
        <v>1934</v>
      </c>
      <c r="F545" t="s">
        <v>71</v>
      </c>
      <c r="L545" t="s">
        <v>16</v>
      </c>
    </row>
    <row r="546" spans="1:12" x14ac:dyDescent="0.3">
      <c r="A546" t="s">
        <v>1935</v>
      </c>
      <c r="B546">
        <v>870</v>
      </c>
      <c r="C546" t="s">
        <v>1936</v>
      </c>
      <c r="E546" t="s">
        <v>1937</v>
      </c>
      <c r="F546" t="s">
        <v>15</v>
      </c>
      <c r="G546" s="18">
        <v>45629.958333333336</v>
      </c>
      <c r="K546" s="18">
        <v>45687.958333333336</v>
      </c>
      <c r="L546" t="s">
        <v>21</v>
      </c>
    </row>
    <row r="547" spans="1:12" x14ac:dyDescent="0.3">
      <c r="A547" t="s">
        <v>1938</v>
      </c>
      <c r="B547">
        <v>125</v>
      </c>
      <c r="C547" t="s">
        <v>1939</v>
      </c>
      <c r="D547" t="s">
        <v>1940</v>
      </c>
      <c r="E547" t="s">
        <v>1941</v>
      </c>
      <c r="F547" t="s">
        <v>41</v>
      </c>
      <c r="G547" s="18">
        <v>45760.916666666664</v>
      </c>
      <c r="L547" t="s">
        <v>16</v>
      </c>
    </row>
    <row r="548" spans="1:12" x14ac:dyDescent="0.3">
      <c r="A548" t="s">
        <v>1942</v>
      </c>
      <c r="B548">
        <v>717</v>
      </c>
      <c r="C548" t="s">
        <v>1943</v>
      </c>
      <c r="E548" t="s">
        <v>1944</v>
      </c>
      <c r="F548" t="s">
        <v>15</v>
      </c>
      <c r="G548" s="18">
        <v>45377.958333333336</v>
      </c>
      <c r="K548" s="18">
        <v>45538.916666666664</v>
      </c>
      <c r="L548" t="s">
        <v>16</v>
      </c>
    </row>
    <row r="549" spans="1:12" x14ac:dyDescent="0.3">
      <c r="A549" t="s">
        <v>1945</v>
      </c>
      <c r="B549">
        <v>1131</v>
      </c>
      <c r="C549" t="s">
        <v>1946</v>
      </c>
      <c r="E549" t="s">
        <v>1947</v>
      </c>
      <c r="F549" t="s">
        <v>15</v>
      </c>
      <c r="K549" s="18">
        <v>45711.958333333336</v>
      </c>
      <c r="L549" t="s">
        <v>16</v>
      </c>
    </row>
    <row r="550" spans="1:12" x14ac:dyDescent="0.3">
      <c r="A550" t="s">
        <v>1948</v>
      </c>
      <c r="B550">
        <v>709</v>
      </c>
      <c r="C550" t="s">
        <v>1949</v>
      </c>
      <c r="E550" t="s">
        <v>1950</v>
      </c>
      <c r="F550" t="s">
        <v>15</v>
      </c>
      <c r="G550" s="18">
        <v>45429.916666666664</v>
      </c>
      <c r="K550" s="18">
        <v>45686.958333333336</v>
      </c>
      <c r="L550" t="s">
        <v>16</v>
      </c>
    </row>
    <row r="551" spans="1:12" x14ac:dyDescent="0.3">
      <c r="A551" t="s">
        <v>1951</v>
      </c>
      <c r="B551">
        <v>670</v>
      </c>
      <c r="C551" t="s">
        <v>1952</v>
      </c>
      <c r="E551" t="s">
        <v>1953</v>
      </c>
      <c r="F551" t="s">
        <v>15</v>
      </c>
      <c r="H551" s="18">
        <v>45435.916666666664</v>
      </c>
      <c r="L551" t="s">
        <v>16</v>
      </c>
    </row>
    <row r="552" spans="1:12" x14ac:dyDescent="0.3">
      <c r="A552" t="s">
        <v>1954</v>
      </c>
      <c r="B552">
        <v>1182</v>
      </c>
      <c r="C552" t="s">
        <v>1955</v>
      </c>
      <c r="E552" t="s">
        <v>1956</v>
      </c>
      <c r="F552" t="s">
        <v>15</v>
      </c>
      <c r="G552" s="18">
        <v>45718.958333333336</v>
      </c>
      <c r="H552" s="18">
        <v>45799.916666666664</v>
      </c>
      <c r="L552" t="s">
        <v>16</v>
      </c>
    </row>
    <row r="553" spans="1:12" x14ac:dyDescent="0.3">
      <c r="A553" t="s">
        <v>1957</v>
      </c>
      <c r="B553">
        <v>1184</v>
      </c>
      <c r="C553" t="s">
        <v>1958</v>
      </c>
      <c r="E553" t="s">
        <v>1959</v>
      </c>
      <c r="F553" t="s">
        <v>15</v>
      </c>
      <c r="G553" s="18">
        <v>45445.916666666664</v>
      </c>
      <c r="H553" s="18">
        <v>45460.916666666664</v>
      </c>
      <c r="K553" s="18">
        <v>45460.916666666664</v>
      </c>
      <c r="L553" t="s">
        <v>16</v>
      </c>
    </row>
    <row r="554" spans="1:12" x14ac:dyDescent="0.3">
      <c r="A554" t="s">
        <v>1960</v>
      </c>
      <c r="B554">
        <v>865</v>
      </c>
      <c r="C554" t="s">
        <v>1961</v>
      </c>
      <c r="F554" t="s">
        <v>15</v>
      </c>
      <c r="H554" s="18">
        <v>45293.958333333336</v>
      </c>
      <c r="L554" t="s">
        <v>16</v>
      </c>
    </row>
    <row r="555" spans="1:12" x14ac:dyDescent="0.3">
      <c r="A555" t="s">
        <v>1962</v>
      </c>
      <c r="B555">
        <v>1490</v>
      </c>
      <c r="C555" t="s">
        <v>1963</v>
      </c>
      <c r="D555" t="s">
        <v>1964</v>
      </c>
      <c r="E555" t="s">
        <v>1965</v>
      </c>
      <c r="F555" t="s">
        <v>53</v>
      </c>
      <c r="L555" t="s">
        <v>315</v>
      </c>
    </row>
    <row r="556" spans="1:12" x14ac:dyDescent="0.3">
      <c r="A556" t="s">
        <v>1966</v>
      </c>
      <c r="B556">
        <v>1194</v>
      </c>
      <c r="C556" t="s">
        <v>1967</v>
      </c>
      <c r="D556" t="s">
        <v>1968</v>
      </c>
      <c r="E556" t="s">
        <v>1969</v>
      </c>
      <c r="F556" t="s">
        <v>15</v>
      </c>
      <c r="G556" s="18">
        <v>45672.958333333336</v>
      </c>
      <c r="K556" s="18">
        <v>45750.916666666664</v>
      </c>
      <c r="L556" t="s">
        <v>21</v>
      </c>
    </row>
    <row r="557" spans="1:12" x14ac:dyDescent="0.3">
      <c r="A557" t="s">
        <v>1970</v>
      </c>
      <c r="B557">
        <v>1394</v>
      </c>
      <c r="C557" t="s">
        <v>1971</v>
      </c>
      <c r="E557" t="s">
        <v>1972</v>
      </c>
      <c r="F557" t="s">
        <v>170</v>
      </c>
      <c r="G557" s="18">
        <v>45524.916666666664</v>
      </c>
      <c r="H557" s="18">
        <v>45543.916666666664</v>
      </c>
      <c r="K557" s="18">
        <v>45543.916666666664</v>
      </c>
      <c r="L557" t="s">
        <v>21</v>
      </c>
    </row>
    <row r="558" spans="1:12" x14ac:dyDescent="0.3">
      <c r="A558" t="s">
        <v>1973</v>
      </c>
      <c r="B558">
        <v>389</v>
      </c>
      <c r="C558" t="s">
        <v>1974</v>
      </c>
      <c r="D558" t="s">
        <v>1975</v>
      </c>
      <c r="E558" t="s">
        <v>1976</v>
      </c>
      <c r="F558" t="s">
        <v>41</v>
      </c>
      <c r="G558" s="18">
        <v>45769.916666666664</v>
      </c>
      <c r="L558" t="s">
        <v>16</v>
      </c>
    </row>
    <row r="559" spans="1:12" x14ac:dyDescent="0.3">
      <c r="A559" t="s">
        <v>1977</v>
      </c>
      <c r="B559">
        <v>1612</v>
      </c>
      <c r="C559" t="s">
        <v>1978</v>
      </c>
      <c r="D559" t="s">
        <v>1968</v>
      </c>
      <c r="E559" t="s">
        <v>1979</v>
      </c>
      <c r="F559" t="s">
        <v>53</v>
      </c>
      <c r="L559" t="s">
        <v>225</v>
      </c>
    </row>
    <row r="560" spans="1:12" x14ac:dyDescent="0.3">
      <c r="A560" t="s">
        <v>1980</v>
      </c>
      <c r="B560">
        <v>632</v>
      </c>
      <c r="C560" t="s">
        <v>1981</v>
      </c>
      <c r="D560" t="s">
        <v>1982</v>
      </c>
      <c r="E560" t="s">
        <v>1983</v>
      </c>
      <c r="F560" t="s">
        <v>53</v>
      </c>
      <c r="L560" t="s">
        <v>16</v>
      </c>
    </row>
    <row r="561" spans="1:12" x14ac:dyDescent="0.3">
      <c r="A561" t="s">
        <v>1984</v>
      </c>
      <c r="B561">
        <v>890</v>
      </c>
      <c r="C561" t="s">
        <v>1985</v>
      </c>
      <c r="D561" t="s">
        <v>1986</v>
      </c>
      <c r="E561" t="s">
        <v>1987</v>
      </c>
      <c r="F561" t="s">
        <v>15</v>
      </c>
      <c r="K561" s="18">
        <v>45702.958333333336</v>
      </c>
      <c r="L561" t="s">
        <v>21</v>
      </c>
    </row>
    <row r="562" spans="1:12" x14ac:dyDescent="0.3">
      <c r="A562" t="s">
        <v>1988</v>
      </c>
      <c r="B562">
        <v>235</v>
      </c>
      <c r="C562" t="s">
        <v>1989</v>
      </c>
      <c r="D562" t="s">
        <v>1990</v>
      </c>
      <c r="E562" t="s">
        <v>1991</v>
      </c>
      <c r="F562" t="s">
        <v>53</v>
      </c>
      <c r="L562" t="s">
        <v>21</v>
      </c>
    </row>
    <row r="563" spans="1:12" x14ac:dyDescent="0.3">
      <c r="A563" t="s">
        <v>1992</v>
      </c>
      <c r="B563">
        <v>2056</v>
      </c>
      <c r="C563" t="s">
        <v>1993</v>
      </c>
      <c r="D563" t="s">
        <v>1994</v>
      </c>
      <c r="E563" t="s">
        <v>1995</v>
      </c>
    </row>
    <row r="564" spans="1:12" x14ac:dyDescent="0.3">
      <c r="A564" t="s">
        <v>1996</v>
      </c>
      <c r="B564">
        <v>4</v>
      </c>
      <c r="C564" t="s">
        <v>1997</v>
      </c>
      <c r="D564" t="s">
        <v>1998</v>
      </c>
      <c r="E564" t="s">
        <v>1999</v>
      </c>
      <c r="F564" t="s">
        <v>41</v>
      </c>
      <c r="G564" s="18">
        <v>45760.916666666664</v>
      </c>
      <c r="K564" s="18">
        <v>45801.916666666664</v>
      </c>
      <c r="L564" t="s">
        <v>21</v>
      </c>
    </row>
    <row r="565" spans="1:12" x14ac:dyDescent="0.3">
      <c r="A565" t="s">
        <v>2000</v>
      </c>
      <c r="B565">
        <v>694</v>
      </c>
      <c r="C565" t="s">
        <v>2001</v>
      </c>
      <c r="E565" t="s">
        <v>2002</v>
      </c>
      <c r="F565" t="s">
        <v>15</v>
      </c>
      <c r="G565" s="18">
        <v>45718.958333333336</v>
      </c>
      <c r="H565" s="18">
        <v>45747.916666666664</v>
      </c>
      <c r="K565" s="18">
        <v>45747.916666666664</v>
      </c>
      <c r="L565" t="s">
        <v>16</v>
      </c>
    </row>
    <row r="566" spans="1:12" x14ac:dyDescent="0.3">
      <c r="A566" t="s">
        <v>2003</v>
      </c>
      <c r="B566">
        <v>1213</v>
      </c>
      <c r="C566" t="s">
        <v>2004</v>
      </c>
      <c r="E566" t="s">
        <v>2005</v>
      </c>
      <c r="F566" t="s">
        <v>15</v>
      </c>
      <c r="G566" s="18">
        <v>45373.958333333336</v>
      </c>
      <c r="H566" s="18">
        <v>45325.958333333336</v>
      </c>
      <c r="L566" t="s">
        <v>16</v>
      </c>
    </row>
    <row r="567" spans="1:12" x14ac:dyDescent="0.3">
      <c r="A567" t="s">
        <v>2006</v>
      </c>
      <c r="B567">
        <v>429</v>
      </c>
      <c r="C567" t="s">
        <v>2007</v>
      </c>
      <c r="D567" t="s">
        <v>2008</v>
      </c>
      <c r="E567" t="s">
        <v>2009</v>
      </c>
      <c r="F567" t="s">
        <v>41</v>
      </c>
      <c r="G567" s="18">
        <v>45760.916666666664</v>
      </c>
      <c r="L567" t="s">
        <v>21</v>
      </c>
    </row>
    <row r="568" spans="1:12" x14ac:dyDescent="0.3">
      <c r="A568" t="s">
        <v>2010</v>
      </c>
      <c r="B568">
        <v>1256</v>
      </c>
      <c r="C568" t="s">
        <v>2011</v>
      </c>
      <c r="E568" t="s">
        <v>2012</v>
      </c>
      <c r="F568" t="s">
        <v>71</v>
      </c>
      <c r="L568" t="s">
        <v>21</v>
      </c>
    </row>
    <row r="569" spans="1:12" x14ac:dyDescent="0.3">
      <c r="A569" t="s">
        <v>2013</v>
      </c>
      <c r="B569">
        <v>1932</v>
      </c>
      <c r="C569" t="s">
        <v>2014</v>
      </c>
      <c r="D569" t="s">
        <v>2015</v>
      </c>
      <c r="E569" t="s">
        <v>2016</v>
      </c>
    </row>
    <row r="570" spans="1:12" x14ac:dyDescent="0.3">
      <c r="A570" t="s">
        <v>2017</v>
      </c>
      <c r="B570">
        <v>854</v>
      </c>
      <c r="C570" t="s">
        <v>2018</v>
      </c>
      <c r="F570" t="s">
        <v>71</v>
      </c>
      <c r="L570" t="s">
        <v>16</v>
      </c>
    </row>
    <row r="571" spans="1:12" x14ac:dyDescent="0.3">
      <c r="A571" t="s">
        <v>2019</v>
      </c>
      <c r="B571">
        <v>1178</v>
      </c>
      <c r="C571" t="s">
        <v>2020</v>
      </c>
      <c r="E571" t="s">
        <v>2021</v>
      </c>
      <c r="F571" t="s">
        <v>15</v>
      </c>
      <c r="K571" s="18">
        <v>45687.958333333336</v>
      </c>
      <c r="L571" t="s">
        <v>2022</v>
      </c>
    </row>
    <row r="572" spans="1:12" x14ac:dyDescent="0.3">
      <c r="A572" t="s">
        <v>2023</v>
      </c>
      <c r="B572">
        <v>1257</v>
      </c>
      <c r="C572" t="s">
        <v>2024</v>
      </c>
      <c r="E572" t="s">
        <v>2025</v>
      </c>
      <c r="F572" t="s">
        <v>71</v>
      </c>
      <c r="L572" t="s">
        <v>21</v>
      </c>
    </row>
    <row r="573" spans="1:12" x14ac:dyDescent="0.3">
      <c r="A573" t="s">
        <v>2026</v>
      </c>
      <c r="B573">
        <v>1700</v>
      </c>
      <c r="C573" t="s">
        <v>2027</v>
      </c>
      <c r="D573" t="s">
        <v>2028</v>
      </c>
      <c r="E573" t="s">
        <v>2029</v>
      </c>
      <c r="F573" t="s">
        <v>53</v>
      </c>
      <c r="L573" t="s">
        <v>315</v>
      </c>
    </row>
    <row r="574" spans="1:12" x14ac:dyDescent="0.3">
      <c r="A574" t="s">
        <v>2030</v>
      </c>
      <c r="B574">
        <v>864</v>
      </c>
      <c r="C574" t="s">
        <v>2031</v>
      </c>
      <c r="F574" t="s">
        <v>15</v>
      </c>
      <c r="G574" s="18">
        <v>45219.916666666664</v>
      </c>
      <c r="H574" s="18">
        <v>45294.958333333336</v>
      </c>
      <c r="L574" t="s">
        <v>16</v>
      </c>
    </row>
    <row r="575" spans="1:12" x14ac:dyDescent="0.3">
      <c r="A575" t="s">
        <v>2032</v>
      </c>
      <c r="B575">
        <v>1850</v>
      </c>
      <c r="C575" t="s">
        <v>2033</v>
      </c>
      <c r="D575" t="s">
        <v>2034</v>
      </c>
      <c r="E575" t="s">
        <v>2035</v>
      </c>
    </row>
    <row r="576" spans="1:12" x14ac:dyDescent="0.3">
      <c r="A576" t="s">
        <v>2036</v>
      </c>
      <c r="B576">
        <v>1109</v>
      </c>
      <c r="C576" t="s">
        <v>2037</v>
      </c>
      <c r="E576" t="s">
        <v>2038</v>
      </c>
      <c r="F576" t="s">
        <v>15</v>
      </c>
      <c r="L576" t="s">
        <v>21</v>
      </c>
    </row>
    <row r="577" spans="1:12" x14ac:dyDescent="0.3">
      <c r="A577" t="s">
        <v>2039</v>
      </c>
      <c r="B577">
        <v>1297</v>
      </c>
      <c r="C577" t="s">
        <v>2040</v>
      </c>
      <c r="E577" t="s">
        <v>2041</v>
      </c>
      <c r="F577" t="s">
        <v>15</v>
      </c>
      <c r="G577" s="18">
        <v>45377.958333333336</v>
      </c>
      <c r="H577" s="18">
        <v>45629.958333333336</v>
      </c>
      <c r="L577" t="s">
        <v>16</v>
      </c>
    </row>
    <row r="578" spans="1:12" x14ac:dyDescent="0.3">
      <c r="A578" t="s">
        <v>2042</v>
      </c>
      <c r="B578">
        <v>1491</v>
      </c>
      <c r="C578" t="s">
        <v>2043</v>
      </c>
      <c r="E578" t="s">
        <v>2044</v>
      </c>
      <c r="F578" t="s">
        <v>53</v>
      </c>
      <c r="L578" t="s">
        <v>37</v>
      </c>
    </row>
    <row r="579" spans="1:12" x14ac:dyDescent="0.3">
      <c r="A579" t="s">
        <v>2045</v>
      </c>
      <c r="B579">
        <v>847</v>
      </c>
      <c r="C579" t="s">
        <v>2046</v>
      </c>
      <c r="E579" t="s">
        <v>2047</v>
      </c>
      <c r="F579" t="s">
        <v>15</v>
      </c>
      <c r="G579" s="18">
        <v>45519.916666666664</v>
      </c>
      <c r="K579" s="18">
        <v>45595.958333333336</v>
      </c>
      <c r="L579" t="s">
        <v>16</v>
      </c>
    </row>
    <row r="580" spans="1:12" x14ac:dyDescent="0.3">
      <c r="A580" t="s">
        <v>2048</v>
      </c>
      <c r="B580">
        <v>463</v>
      </c>
      <c r="C580" t="s">
        <v>2049</v>
      </c>
      <c r="E580" t="s">
        <v>2050</v>
      </c>
      <c r="F580" t="s">
        <v>41</v>
      </c>
      <c r="G580" s="18">
        <v>45760.916666666664</v>
      </c>
      <c r="L580" t="s">
        <v>16</v>
      </c>
    </row>
    <row r="581" spans="1:12" x14ac:dyDescent="0.3">
      <c r="A581" t="s">
        <v>2051</v>
      </c>
      <c r="B581">
        <v>2002</v>
      </c>
      <c r="C581" t="s">
        <v>2052</v>
      </c>
      <c r="D581" t="s">
        <v>2053</v>
      </c>
      <c r="E581" t="s">
        <v>2054</v>
      </c>
    </row>
    <row r="582" spans="1:12" x14ac:dyDescent="0.3">
      <c r="A582" t="s">
        <v>2055</v>
      </c>
      <c r="B582">
        <v>2052</v>
      </c>
      <c r="C582" t="s">
        <v>2056</v>
      </c>
      <c r="D582" t="s">
        <v>2057</v>
      </c>
      <c r="E582" t="s">
        <v>2058</v>
      </c>
    </row>
    <row r="583" spans="1:12" x14ac:dyDescent="0.3">
      <c r="A583" t="s">
        <v>2059</v>
      </c>
      <c r="B583">
        <v>1086</v>
      </c>
      <c r="C583" t="s">
        <v>2060</v>
      </c>
      <c r="E583" t="s">
        <v>2061</v>
      </c>
      <c r="F583" t="s">
        <v>15</v>
      </c>
      <c r="G583" s="18">
        <v>45669.958333333336</v>
      </c>
      <c r="L583" t="s">
        <v>21</v>
      </c>
    </row>
    <row r="584" spans="1:12" x14ac:dyDescent="0.3">
      <c r="A584" t="s">
        <v>2062</v>
      </c>
      <c r="B584">
        <v>985</v>
      </c>
      <c r="C584" t="s">
        <v>2063</v>
      </c>
      <c r="E584" t="s">
        <v>2064</v>
      </c>
      <c r="F584" t="s">
        <v>15</v>
      </c>
      <c r="G584" s="18">
        <v>45473.916666666664</v>
      </c>
      <c r="K584" s="18">
        <v>45526.916666666664</v>
      </c>
      <c r="L584" t="s">
        <v>16</v>
      </c>
    </row>
    <row r="585" spans="1:12" x14ac:dyDescent="0.3">
      <c r="A585" t="s">
        <v>2065</v>
      </c>
      <c r="B585">
        <v>899</v>
      </c>
      <c r="C585" t="s">
        <v>2066</v>
      </c>
      <c r="E585" t="s">
        <v>2067</v>
      </c>
      <c r="F585" t="s">
        <v>71</v>
      </c>
      <c r="L585" t="s">
        <v>16</v>
      </c>
    </row>
    <row r="586" spans="1:12" x14ac:dyDescent="0.3">
      <c r="A586" t="s">
        <v>2068</v>
      </c>
      <c r="B586">
        <v>253</v>
      </c>
      <c r="C586" t="s">
        <v>2069</v>
      </c>
      <c r="E586" t="s">
        <v>2070</v>
      </c>
      <c r="F586" t="s">
        <v>53</v>
      </c>
      <c r="L586" t="s">
        <v>21</v>
      </c>
    </row>
    <row r="587" spans="1:12" x14ac:dyDescent="0.3">
      <c r="A587" t="s">
        <v>2071</v>
      </c>
      <c r="B587">
        <v>1748</v>
      </c>
      <c r="C587" t="s">
        <v>2072</v>
      </c>
      <c r="D587" t="s">
        <v>2073</v>
      </c>
      <c r="E587" t="s">
        <v>2074</v>
      </c>
    </row>
    <row r="588" spans="1:12" x14ac:dyDescent="0.3">
      <c r="A588" t="s">
        <v>2075</v>
      </c>
      <c r="B588">
        <v>1492</v>
      </c>
      <c r="C588" t="s">
        <v>2076</v>
      </c>
      <c r="E588" t="s">
        <v>2077</v>
      </c>
      <c r="F588" t="s">
        <v>53</v>
      </c>
      <c r="L588" t="s">
        <v>37</v>
      </c>
    </row>
    <row r="589" spans="1:12" x14ac:dyDescent="0.3">
      <c r="A589" t="s">
        <v>2078</v>
      </c>
      <c r="B589">
        <v>527</v>
      </c>
      <c r="C589" t="s">
        <v>2079</v>
      </c>
      <c r="D589" t="s">
        <v>2080</v>
      </c>
      <c r="E589" t="s">
        <v>2081</v>
      </c>
      <c r="F589" t="s">
        <v>41</v>
      </c>
      <c r="G589" s="18">
        <v>44510.958333333336</v>
      </c>
      <c r="L589" t="s">
        <v>16</v>
      </c>
    </row>
    <row r="590" spans="1:12" x14ac:dyDescent="0.3">
      <c r="A590" t="s">
        <v>2082</v>
      </c>
      <c r="B590">
        <v>1750</v>
      </c>
      <c r="C590" t="s">
        <v>2083</v>
      </c>
      <c r="D590" t="s">
        <v>2084</v>
      </c>
      <c r="E590" t="s">
        <v>2085</v>
      </c>
    </row>
    <row r="591" spans="1:12" x14ac:dyDescent="0.3">
      <c r="A591" t="s">
        <v>2086</v>
      </c>
      <c r="B591">
        <v>900</v>
      </c>
      <c r="C591" t="s">
        <v>2087</v>
      </c>
      <c r="E591" t="s">
        <v>2088</v>
      </c>
      <c r="F591" t="s">
        <v>71</v>
      </c>
      <c r="L591" t="s">
        <v>16</v>
      </c>
    </row>
    <row r="592" spans="1:12" x14ac:dyDescent="0.3">
      <c r="A592" t="s">
        <v>2089</v>
      </c>
      <c r="B592">
        <v>483</v>
      </c>
      <c r="C592" t="s">
        <v>2090</v>
      </c>
      <c r="E592" t="s">
        <v>2091</v>
      </c>
      <c r="F592" t="s">
        <v>41</v>
      </c>
      <c r="G592" s="18">
        <v>45768.916666666664</v>
      </c>
      <c r="L592" t="s">
        <v>21</v>
      </c>
    </row>
    <row r="593" spans="1:12" x14ac:dyDescent="0.3">
      <c r="A593" t="s">
        <v>2092</v>
      </c>
      <c r="B593">
        <v>1933</v>
      </c>
      <c r="C593" t="s">
        <v>2093</v>
      </c>
      <c r="D593" t="s">
        <v>2094</v>
      </c>
      <c r="E593" t="s">
        <v>2095</v>
      </c>
    </row>
    <row r="594" spans="1:12" x14ac:dyDescent="0.3">
      <c r="A594" t="s">
        <v>2096</v>
      </c>
      <c r="B594">
        <v>2033</v>
      </c>
      <c r="C594" t="s">
        <v>2097</v>
      </c>
      <c r="D594" t="s">
        <v>2098</v>
      </c>
      <c r="E594" t="s">
        <v>2099</v>
      </c>
    </row>
    <row r="595" spans="1:12" x14ac:dyDescent="0.3">
      <c r="A595" t="s">
        <v>2100</v>
      </c>
      <c r="B595">
        <v>1181</v>
      </c>
      <c r="C595" t="s">
        <v>2101</v>
      </c>
      <c r="E595" t="s">
        <v>2102</v>
      </c>
      <c r="F595" t="s">
        <v>15</v>
      </c>
      <c r="G595" s="18">
        <v>45443.916666666664</v>
      </c>
      <c r="H595" s="18">
        <v>45799.916666666664</v>
      </c>
      <c r="L595" t="s">
        <v>16</v>
      </c>
    </row>
    <row r="596" spans="1:12" x14ac:dyDescent="0.3">
      <c r="A596" t="s">
        <v>2103</v>
      </c>
      <c r="B596">
        <v>1396</v>
      </c>
      <c r="C596" t="s">
        <v>2104</v>
      </c>
      <c r="D596" t="s">
        <v>2105</v>
      </c>
      <c r="E596" t="s">
        <v>2106</v>
      </c>
      <c r="F596" t="s">
        <v>53</v>
      </c>
    </row>
    <row r="597" spans="1:12" x14ac:dyDescent="0.3">
      <c r="A597" t="s">
        <v>2107</v>
      </c>
      <c r="B597">
        <v>113</v>
      </c>
      <c r="C597" t="s">
        <v>2108</v>
      </c>
      <c r="E597" t="s">
        <v>2109</v>
      </c>
      <c r="F597" t="s">
        <v>41</v>
      </c>
      <c r="G597" s="18">
        <v>45760.916666666664</v>
      </c>
      <c r="L597" t="s">
        <v>16</v>
      </c>
    </row>
    <row r="598" spans="1:12" x14ac:dyDescent="0.3">
      <c r="A598" t="s">
        <v>2110</v>
      </c>
      <c r="B598">
        <v>1118</v>
      </c>
      <c r="C598" t="s">
        <v>2111</v>
      </c>
      <c r="E598" t="s">
        <v>2112</v>
      </c>
      <c r="F598" t="s">
        <v>71</v>
      </c>
      <c r="L598" t="s">
        <v>16</v>
      </c>
    </row>
    <row r="599" spans="1:12" x14ac:dyDescent="0.3">
      <c r="A599" t="s">
        <v>2113</v>
      </c>
      <c r="B599">
        <v>827</v>
      </c>
      <c r="C599" t="s">
        <v>2114</v>
      </c>
      <c r="E599" t="s">
        <v>2115</v>
      </c>
      <c r="F599" t="s">
        <v>15</v>
      </c>
      <c r="G599" s="18">
        <v>45448.916666666664</v>
      </c>
      <c r="H599" s="18">
        <v>45617.958333333336</v>
      </c>
      <c r="K599" s="18">
        <v>45617.958333333336</v>
      </c>
      <c r="L599" t="s">
        <v>16</v>
      </c>
    </row>
    <row r="600" spans="1:12" x14ac:dyDescent="0.3">
      <c r="A600" t="s">
        <v>2116</v>
      </c>
      <c r="B600">
        <v>156</v>
      </c>
      <c r="C600" t="s">
        <v>2117</v>
      </c>
      <c r="E600" t="s">
        <v>2118</v>
      </c>
      <c r="F600" t="s">
        <v>53</v>
      </c>
      <c r="L600" t="s">
        <v>16</v>
      </c>
    </row>
    <row r="601" spans="1:12" x14ac:dyDescent="0.3">
      <c r="A601" t="s">
        <v>2119</v>
      </c>
      <c r="B601">
        <v>825</v>
      </c>
      <c r="C601" t="s">
        <v>2120</v>
      </c>
      <c r="E601" t="s">
        <v>2121</v>
      </c>
      <c r="F601" t="s">
        <v>15</v>
      </c>
      <c r="G601" s="18">
        <v>45420.916666666664</v>
      </c>
      <c r="K601" s="18">
        <v>45527.916666666664</v>
      </c>
      <c r="L601" t="s">
        <v>16</v>
      </c>
    </row>
    <row r="602" spans="1:12" x14ac:dyDescent="0.3">
      <c r="A602" t="s">
        <v>2122</v>
      </c>
      <c r="B602">
        <v>2082</v>
      </c>
      <c r="C602" t="s">
        <v>2123</v>
      </c>
      <c r="D602" t="s">
        <v>2124</v>
      </c>
      <c r="E602" t="s">
        <v>2125</v>
      </c>
      <c r="F602" t="s">
        <v>41</v>
      </c>
      <c r="G602" s="18">
        <v>45760.916666666664</v>
      </c>
    </row>
    <row r="603" spans="1:12" x14ac:dyDescent="0.3">
      <c r="A603" t="s">
        <v>2126</v>
      </c>
      <c r="B603">
        <v>2069</v>
      </c>
      <c r="C603" t="s">
        <v>2127</v>
      </c>
      <c r="D603" t="s">
        <v>2128</v>
      </c>
      <c r="E603" t="s">
        <v>2129</v>
      </c>
      <c r="L603" t="s">
        <v>1842</v>
      </c>
    </row>
    <row r="604" spans="1:12" x14ac:dyDescent="0.3">
      <c r="A604" t="s">
        <v>2130</v>
      </c>
      <c r="B604">
        <v>753</v>
      </c>
      <c r="C604" t="s">
        <v>2131</v>
      </c>
      <c r="E604" t="s">
        <v>2132</v>
      </c>
      <c r="F604" t="s">
        <v>49</v>
      </c>
      <c r="L604" t="s">
        <v>16</v>
      </c>
    </row>
    <row r="605" spans="1:12" x14ac:dyDescent="0.3">
      <c r="A605" t="s">
        <v>2133</v>
      </c>
      <c r="B605">
        <v>1293</v>
      </c>
      <c r="C605" t="s">
        <v>2134</v>
      </c>
      <c r="E605" t="s">
        <v>2135</v>
      </c>
      <c r="F605" t="s">
        <v>15</v>
      </c>
      <c r="H605" s="18">
        <v>45411.916666666664</v>
      </c>
      <c r="L605" t="s">
        <v>21</v>
      </c>
    </row>
    <row r="606" spans="1:12" x14ac:dyDescent="0.3">
      <c r="A606" t="s">
        <v>2136</v>
      </c>
      <c r="B606">
        <v>1278</v>
      </c>
      <c r="C606" t="s">
        <v>2137</v>
      </c>
      <c r="F606" t="s">
        <v>71</v>
      </c>
      <c r="L606" t="s">
        <v>16</v>
      </c>
    </row>
    <row r="607" spans="1:12" x14ac:dyDescent="0.3">
      <c r="A607" t="s">
        <v>2138</v>
      </c>
      <c r="B607">
        <v>1009</v>
      </c>
      <c r="C607" t="s">
        <v>2139</v>
      </c>
      <c r="E607" t="s">
        <v>2140</v>
      </c>
      <c r="F607" t="s">
        <v>71</v>
      </c>
      <c r="L607" t="s">
        <v>16</v>
      </c>
    </row>
    <row r="608" spans="1:12" x14ac:dyDescent="0.3">
      <c r="A608" t="s">
        <v>2141</v>
      </c>
      <c r="B608">
        <v>768</v>
      </c>
      <c r="C608" t="s">
        <v>2142</v>
      </c>
      <c r="E608" t="s">
        <v>2143</v>
      </c>
      <c r="F608" t="s">
        <v>170</v>
      </c>
      <c r="L608" t="s">
        <v>16</v>
      </c>
    </row>
    <row r="609" spans="1:12" x14ac:dyDescent="0.3">
      <c r="A609" t="s">
        <v>2144</v>
      </c>
      <c r="B609">
        <v>938</v>
      </c>
      <c r="C609" t="s">
        <v>2145</v>
      </c>
      <c r="E609" t="s">
        <v>2146</v>
      </c>
      <c r="F609" t="s">
        <v>71</v>
      </c>
      <c r="L609" t="s">
        <v>16</v>
      </c>
    </row>
    <row r="610" spans="1:12" x14ac:dyDescent="0.3">
      <c r="A610" t="s">
        <v>2147</v>
      </c>
      <c r="B610">
        <v>940</v>
      </c>
      <c r="C610" t="s">
        <v>2148</v>
      </c>
      <c r="E610" t="s">
        <v>2149</v>
      </c>
      <c r="F610" t="s">
        <v>15</v>
      </c>
      <c r="G610" s="18">
        <v>45446.916666666664</v>
      </c>
      <c r="H610" s="18">
        <v>45561.916666666664</v>
      </c>
      <c r="K610" s="18">
        <v>45561.916666666664</v>
      </c>
      <c r="L610" t="s">
        <v>16</v>
      </c>
    </row>
    <row r="611" spans="1:12" x14ac:dyDescent="0.3">
      <c r="A611" t="s">
        <v>2150</v>
      </c>
      <c r="B611">
        <v>1032</v>
      </c>
      <c r="C611" t="s">
        <v>2151</v>
      </c>
      <c r="E611" t="s">
        <v>2152</v>
      </c>
      <c r="F611" t="s">
        <v>15</v>
      </c>
      <c r="G611" s="18">
        <v>45380.958333333336</v>
      </c>
      <c r="H611" s="18">
        <v>45398.916666666664</v>
      </c>
      <c r="L611" t="s">
        <v>16</v>
      </c>
    </row>
    <row r="612" spans="1:12" x14ac:dyDescent="0.3">
      <c r="A612" t="s">
        <v>2153</v>
      </c>
      <c r="B612">
        <v>747</v>
      </c>
      <c r="C612" t="s">
        <v>2154</v>
      </c>
      <c r="E612" t="s">
        <v>2155</v>
      </c>
      <c r="F612" t="s">
        <v>15</v>
      </c>
      <c r="K612" s="18">
        <v>45735.958333333336</v>
      </c>
      <c r="L612" t="s">
        <v>21</v>
      </c>
    </row>
    <row r="613" spans="1:12" x14ac:dyDescent="0.3">
      <c r="A613" t="s">
        <v>2156</v>
      </c>
      <c r="B613">
        <v>1676</v>
      </c>
      <c r="C613" t="s">
        <v>2157</v>
      </c>
      <c r="D613" t="s">
        <v>2158</v>
      </c>
      <c r="E613" t="s">
        <v>2159</v>
      </c>
      <c r="F613" t="s">
        <v>53</v>
      </c>
      <c r="L613" t="s">
        <v>230</v>
      </c>
    </row>
    <row r="614" spans="1:12" x14ac:dyDescent="0.3">
      <c r="A614" t="s">
        <v>2160</v>
      </c>
      <c r="B614">
        <v>901</v>
      </c>
      <c r="C614" t="s">
        <v>2161</v>
      </c>
      <c r="E614" t="s">
        <v>2162</v>
      </c>
      <c r="F614" t="s">
        <v>71</v>
      </c>
      <c r="L614" t="s">
        <v>16</v>
      </c>
    </row>
    <row r="615" spans="1:12" x14ac:dyDescent="0.3">
      <c r="A615" t="s">
        <v>2163</v>
      </c>
      <c r="B615">
        <v>813</v>
      </c>
      <c r="C615" t="s">
        <v>2164</v>
      </c>
      <c r="E615" t="s">
        <v>2165</v>
      </c>
      <c r="F615" t="s">
        <v>15</v>
      </c>
      <c r="G615" s="18">
        <v>45363.958333333336</v>
      </c>
      <c r="L615" t="s">
        <v>16</v>
      </c>
    </row>
    <row r="616" spans="1:12" x14ac:dyDescent="0.3">
      <c r="A616" t="s">
        <v>2166</v>
      </c>
      <c r="B616">
        <v>1290</v>
      </c>
      <c r="C616" t="s">
        <v>2167</v>
      </c>
      <c r="E616" t="s">
        <v>2168</v>
      </c>
      <c r="F616" t="s">
        <v>15</v>
      </c>
      <c r="G616" s="18">
        <v>45447.916666666664</v>
      </c>
      <c r="H616" s="18">
        <v>45498.916666666664</v>
      </c>
      <c r="K616" s="18">
        <v>45498.916666666664</v>
      </c>
      <c r="L616" t="s">
        <v>16</v>
      </c>
    </row>
    <row r="617" spans="1:12" x14ac:dyDescent="0.3">
      <c r="A617" t="s">
        <v>2169</v>
      </c>
      <c r="B617">
        <v>1033</v>
      </c>
      <c r="C617" t="s">
        <v>2170</v>
      </c>
      <c r="E617" t="s">
        <v>2171</v>
      </c>
      <c r="F617" t="s">
        <v>15</v>
      </c>
      <c r="G617" s="18">
        <v>45380.958333333336</v>
      </c>
      <c r="H617" s="18">
        <v>45396.916666666664</v>
      </c>
      <c r="L617" t="s">
        <v>16</v>
      </c>
    </row>
    <row r="618" spans="1:12" x14ac:dyDescent="0.3">
      <c r="A618" t="s">
        <v>2172</v>
      </c>
      <c r="B618">
        <v>508</v>
      </c>
      <c r="C618" t="s">
        <v>2173</v>
      </c>
      <c r="E618" t="s">
        <v>2174</v>
      </c>
      <c r="F618" t="s">
        <v>41</v>
      </c>
      <c r="G618" s="18">
        <v>45585.916666666664</v>
      </c>
      <c r="L618" t="s">
        <v>37</v>
      </c>
    </row>
    <row r="619" spans="1:12" x14ac:dyDescent="0.3">
      <c r="A619" t="s">
        <v>2175</v>
      </c>
      <c r="B619">
        <v>229</v>
      </c>
      <c r="C619" t="s">
        <v>2176</v>
      </c>
      <c r="D619" t="s">
        <v>2177</v>
      </c>
      <c r="E619" t="s">
        <v>2178</v>
      </c>
      <c r="F619" t="s">
        <v>41</v>
      </c>
      <c r="G619" s="18">
        <v>45760.916666666664</v>
      </c>
      <c r="L619" t="s">
        <v>21</v>
      </c>
    </row>
    <row r="620" spans="1:12" x14ac:dyDescent="0.3">
      <c r="A620" t="s">
        <v>2179</v>
      </c>
      <c r="B620">
        <v>1946</v>
      </c>
      <c r="C620" t="s">
        <v>2180</v>
      </c>
      <c r="D620" t="s">
        <v>2181</v>
      </c>
      <c r="E620" t="s">
        <v>2182</v>
      </c>
    </row>
    <row r="621" spans="1:12" x14ac:dyDescent="0.3">
      <c r="A621" t="s">
        <v>2183</v>
      </c>
      <c r="B621">
        <v>740</v>
      </c>
      <c r="C621" t="s">
        <v>2184</v>
      </c>
      <c r="E621" t="s">
        <v>2185</v>
      </c>
      <c r="F621" t="s">
        <v>15</v>
      </c>
      <c r="G621" s="18">
        <v>45408.916666666664</v>
      </c>
      <c r="L621" t="s">
        <v>16</v>
      </c>
    </row>
    <row r="622" spans="1:12" x14ac:dyDescent="0.3">
      <c r="A622" t="s">
        <v>2186</v>
      </c>
      <c r="B622">
        <v>1324</v>
      </c>
      <c r="C622" t="s">
        <v>2187</v>
      </c>
      <c r="E622" t="s">
        <v>2188</v>
      </c>
      <c r="F622" t="s">
        <v>275</v>
      </c>
      <c r="G622" s="18">
        <v>45700.958333333336</v>
      </c>
      <c r="H622" s="18">
        <v>45747.916666666664</v>
      </c>
      <c r="K622" s="18">
        <v>45718.958333333336</v>
      </c>
      <c r="L622" t="s">
        <v>16</v>
      </c>
    </row>
    <row r="623" spans="1:12" x14ac:dyDescent="0.3">
      <c r="A623" t="s">
        <v>2189</v>
      </c>
      <c r="B623">
        <v>1300</v>
      </c>
      <c r="C623" t="s">
        <v>2190</v>
      </c>
      <c r="E623" t="s">
        <v>2191</v>
      </c>
      <c r="F623" t="s">
        <v>1448</v>
      </c>
      <c r="G623" s="18">
        <v>45673.958333333336</v>
      </c>
      <c r="H623" s="18">
        <v>45747.916666666664</v>
      </c>
      <c r="K623" s="18">
        <v>45729.958333333336</v>
      </c>
      <c r="L623" t="s">
        <v>16</v>
      </c>
    </row>
    <row r="624" spans="1:12" x14ac:dyDescent="0.3">
      <c r="A624" t="s">
        <v>2192</v>
      </c>
      <c r="B624">
        <v>966</v>
      </c>
      <c r="C624" t="s">
        <v>2193</v>
      </c>
      <c r="E624" t="s">
        <v>2194</v>
      </c>
      <c r="F624" t="s">
        <v>15</v>
      </c>
      <c r="K624" s="18">
        <v>45714.958333333336</v>
      </c>
      <c r="L624" t="s">
        <v>16</v>
      </c>
    </row>
    <row r="625" spans="1:12" x14ac:dyDescent="0.3">
      <c r="A625" t="s">
        <v>2195</v>
      </c>
      <c r="B625">
        <v>608</v>
      </c>
      <c r="C625" t="s">
        <v>2196</v>
      </c>
      <c r="D625" t="s">
        <v>2197</v>
      </c>
      <c r="E625" t="s">
        <v>2198</v>
      </c>
      <c r="F625" t="s">
        <v>41</v>
      </c>
      <c r="G625" s="18">
        <v>45308.958333333336</v>
      </c>
      <c r="L625" t="s">
        <v>16</v>
      </c>
    </row>
    <row r="626" spans="1:12" x14ac:dyDescent="0.3">
      <c r="A626" t="s">
        <v>2199</v>
      </c>
      <c r="B626">
        <v>1832</v>
      </c>
      <c r="C626" t="s">
        <v>2200</v>
      </c>
      <c r="D626" t="s">
        <v>2201</v>
      </c>
      <c r="E626" t="s">
        <v>2202</v>
      </c>
    </row>
    <row r="627" spans="1:12" x14ac:dyDescent="0.3">
      <c r="A627" t="s">
        <v>2203</v>
      </c>
      <c r="B627">
        <v>1494</v>
      </c>
      <c r="C627" t="s">
        <v>2204</v>
      </c>
      <c r="D627" t="s">
        <v>2205</v>
      </c>
      <c r="E627" t="s">
        <v>2206</v>
      </c>
      <c r="F627" t="s">
        <v>53</v>
      </c>
      <c r="L627" t="s">
        <v>37</v>
      </c>
    </row>
    <row r="628" spans="1:12" x14ac:dyDescent="0.3">
      <c r="A628" t="s">
        <v>2207</v>
      </c>
      <c r="B628">
        <v>275</v>
      </c>
      <c r="C628" t="s">
        <v>2208</v>
      </c>
      <c r="D628" t="s">
        <v>2209</v>
      </c>
      <c r="E628" t="s">
        <v>2210</v>
      </c>
      <c r="F628" t="s">
        <v>41</v>
      </c>
      <c r="G628" s="18">
        <v>45760.916666666664</v>
      </c>
      <c r="L628" t="s">
        <v>225</v>
      </c>
    </row>
    <row r="629" spans="1:12" x14ac:dyDescent="0.3">
      <c r="A629" t="s">
        <v>2211</v>
      </c>
      <c r="B629">
        <v>2115</v>
      </c>
      <c r="C629" t="s">
        <v>2212</v>
      </c>
      <c r="D629" t="s">
        <v>2213</v>
      </c>
      <c r="E629" t="s">
        <v>2214</v>
      </c>
    </row>
    <row r="630" spans="1:12" x14ac:dyDescent="0.3">
      <c r="A630" t="s">
        <v>2215</v>
      </c>
      <c r="B630">
        <v>1205</v>
      </c>
      <c r="C630" t="s">
        <v>2216</v>
      </c>
      <c r="E630" t="s">
        <v>2217</v>
      </c>
      <c r="F630" t="s">
        <v>15</v>
      </c>
      <c r="G630" s="18">
        <v>45292.958333333336</v>
      </c>
      <c r="K630" s="18">
        <v>45643.958333333336</v>
      </c>
      <c r="L630" t="s">
        <v>16</v>
      </c>
    </row>
    <row r="631" spans="1:12" x14ac:dyDescent="0.3">
      <c r="A631" t="s">
        <v>2218</v>
      </c>
      <c r="B631">
        <v>909</v>
      </c>
      <c r="C631" t="s">
        <v>2219</v>
      </c>
      <c r="E631" t="s">
        <v>2220</v>
      </c>
      <c r="F631" t="s">
        <v>15</v>
      </c>
      <c r="K631" s="18">
        <v>45512.916666666664</v>
      </c>
      <c r="L631" t="s">
        <v>16</v>
      </c>
    </row>
    <row r="632" spans="1:12" x14ac:dyDescent="0.3">
      <c r="A632" t="s">
        <v>2221</v>
      </c>
      <c r="B632">
        <v>1948</v>
      </c>
      <c r="C632" t="s">
        <v>2222</v>
      </c>
      <c r="D632" t="s">
        <v>2223</v>
      </c>
      <c r="E632" t="s">
        <v>2224</v>
      </c>
    </row>
    <row r="633" spans="1:12" x14ac:dyDescent="0.3">
      <c r="A633" t="s">
        <v>2225</v>
      </c>
      <c r="B633">
        <v>157</v>
      </c>
      <c r="C633" t="s">
        <v>2226</v>
      </c>
      <c r="D633" t="s">
        <v>2227</v>
      </c>
      <c r="E633" t="s">
        <v>2228</v>
      </c>
      <c r="F633" t="s">
        <v>41</v>
      </c>
      <c r="L633" t="s">
        <v>315</v>
      </c>
    </row>
    <row r="634" spans="1:12" x14ac:dyDescent="0.3">
      <c r="A634" t="s">
        <v>2229</v>
      </c>
      <c r="B634">
        <v>169</v>
      </c>
      <c r="C634" t="s">
        <v>2230</v>
      </c>
      <c r="E634" t="s">
        <v>2231</v>
      </c>
      <c r="F634" t="s">
        <v>41</v>
      </c>
      <c r="G634" s="18">
        <v>45547.916666666664</v>
      </c>
      <c r="L634" t="s">
        <v>16</v>
      </c>
    </row>
    <row r="635" spans="1:12" x14ac:dyDescent="0.3">
      <c r="A635" t="s">
        <v>2232</v>
      </c>
      <c r="B635">
        <v>688</v>
      </c>
      <c r="C635" t="s">
        <v>2233</v>
      </c>
      <c r="E635" t="s">
        <v>2234</v>
      </c>
      <c r="F635" t="s">
        <v>15</v>
      </c>
      <c r="G635" s="18">
        <v>45697.958333333336</v>
      </c>
      <c r="K635" s="18">
        <v>45721.958333333336</v>
      </c>
      <c r="L635" t="s">
        <v>21</v>
      </c>
    </row>
    <row r="636" spans="1:12" x14ac:dyDescent="0.3">
      <c r="A636" t="s">
        <v>2235</v>
      </c>
      <c r="B636">
        <v>991</v>
      </c>
      <c r="C636" t="s">
        <v>2236</v>
      </c>
      <c r="E636" t="s">
        <v>2237</v>
      </c>
      <c r="F636" t="s">
        <v>15</v>
      </c>
      <c r="K636" s="18">
        <v>45628.958333333336</v>
      </c>
      <c r="L636" t="s">
        <v>21</v>
      </c>
    </row>
    <row r="637" spans="1:12" x14ac:dyDescent="0.3">
      <c r="A637" t="s">
        <v>2238</v>
      </c>
      <c r="B637">
        <v>1856</v>
      </c>
      <c r="C637" t="s">
        <v>2239</v>
      </c>
      <c r="D637" t="s">
        <v>2240</v>
      </c>
      <c r="E637" t="s">
        <v>2241</v>
      </c>
    </row>
    <row r="638" spans="1:12" x14ac:dyDescent="0.3">
      <c r="A638" t="s">
        <v>2242</v>
      </c>
      <c r="B638">
        <v>1735</v>
      </c>
      <c r="C638" t="s">
        <v>2243</v>
      </c>
      <c r="D638" t="s">
        <v>2244</v>
      </c>
      <c r="E638" t="s">
        <v>2245</v>
      </c>
    </row>
    <row r="639" spans="1:12" x14ac:dyDescent="0.3">
      <c r="A639" t="s">
        <v>2246</v>
      </c>
      <c r="B639">
        <v>1911</v>
      </c>
      <c r="C639" t="s">
        <v>2247</v>
      </c>
      <c r="D639" t="s">
        <v>2248</v>
      </c>
      <c r="E639" t="s">
        <v>2249</v>
      </c>
    </row>
    <row r="640" spans="1:12" x14ac:dyDescent="0.3">
      <c r="A640" t="s">
        <v>2250</v>
      </c>
      <c r="B640">
        <v>120</v>
      </c>
      <c r="C640" t="s">
        <v>2251</v>
      </c>
      <c r="E640" t="s">
        <v>2252</v>
      </c>
      <c r="F640" t="s">
        <v>41</v>
      </c>
      <c r="G640" s="18">
        <v>45743.958333333336</v>
      </c>
      <c r="L640" t="s">
        <v>16</v>
      </c>
    </row>
    <row r="641" spans="1:12" x14ac:dyDescent="0.3">
      <c r="A641" t="s">
        <v>2253</v>
      </c>
      <c r="B641">
        <v>414</v>
      </c>
      <c r="C641" t="s">
        <v>2254</v>
      </c>
      <c r="D641" t="s">
        <v>2255</v>
      </c>
      <c r="E641" t="s">
        <v>2256</v>
      </c>
      <c r="F641" t="s">
        <v>41</v>
      </c>
      <c r="G641" s="18">
        <v>45768.916666666664</v>
      </c>
      <c r="L641" t="s">
        <v>16</v>
      </c>
    </row>
    <row r="642" spans="1:12" x14ac:dyDescent="0.3">
      <c r="A642" t="s">
        <v>2257</v>
      </c>
      <c r="B642">
        <v>1495</v>
      </c>
      <c r="C642" t="s">
        <v>2258</v>
      </c>
      <c r="E642" t="s">
        <v>2259</v>
      </c>
      <c r="F642" t="s">
        <v>53</v>
      </c>
      <c r="K642" s="18">
        <v>45729.958333333336</v>
      </c>
      <c r="L642" t="s">
        <v>37</v>
      </c>
    </row>
    <row r="643" spans="1:12" x14ac:dyDescent="0.3">
      <c r="A643" t="s">
        <v>2260</v>
      </c>
      <c r="B643">
        <v>1496</v>
      </c>
      <c r="C643" t="s">
        <v>2261</v>
      </c>
      <c r="D643" t="s">
        <v>2262</v>
      </c>
      <c r="E643" t="s">
        <v>2263</v>
      </c>
      <c r="F643" t="s">
        <v>53</v>
      </c>
      <c r="L643" t="s">
        <v>37</v>
      </c>
    </row>
    <row r="644" spans="1:12" x14ac:dyDescent="0.3">
      <c r="A644" t="s">
        <v>2264</v>
      </c>
      <c r="B644">
        <v>785</v>
      </c>
      <c r="C644" t="s">
        <v>2265</v>
      </c>
      <c r="E644" t="s">
        <v>2266</v>
      </c>
      <c r="F644" t="s">
        <v>71</v>
      </c>
      <c r="G644" s="18">
        <v>45376.958333333336</v>
      </c>
      <c r="H644" s="18">
        <v>45471.916666666664</v>
      </c>
      <c r="L644" t="s">
        <v>16</v>
      </c>
    </row>
    <row r="645" spans="1:12" x14ac:dyDescent="0.3">
      <c r="A645" t="s">
        <v>2267</v>
      </c>
      <c r="B645">
        <v>1497</v>
      </c>
      <c r="C645" t="s">
        <v>2268</v>
      </c>
      <c r="D645" t="s">
        <v>2269</v>
      </c>
      <c r="E645" t="s">
        <v>2270</v>
      </c>
      <c r="F645" t="s">
        <v>53</v>
      </c>
      <c r="L645" t="s">
        <v>37</v>
      </c>
    </row>
    <row r="646" spans="1:12" x14ac:dyDescent="0.3">
      <c r="A646" t="s">
        <v>2271</v>
      </c>
      <c r="B646">
        <v>1173</v>
      </c>
      <c r="C646" t="s">
        <v>2272</v>
      </c>
      <c r="F646" t="s">
        <v>71</v>
      </c>
      <c r="L646" t="s">
        <v>16</v>
      </c>
    </row>
    <row r="647" spans="1:12" x14ac:dyDescent="0.3">
      <c r="A647" t="s">
        <v>2273</v>
      </c>
      <c r="B647">
        <v>237</v>
      </c>
      <c r="C647" t="s">
        <v>2274</v>
      </c>
      <c r="D647" t="s">
        <v>2275</v>
      </c>
      <c r="E647" t="s">
        <v>2276</v>
      </c>
      <c r="F647" t="s">
        <v>53</v>
      </c>
      <c r="L647" t="s">
        <v>16</v>
      </c>
    </row>
    <row r="648" spans="1:12" x14ac:dyDescent="0.3">
      <c r="A648" t="s">
        <v>2277</v>
      </c>
      <c r="B648">
        <v>394</v>
      </c>
      <c r="C648" t="s">
        <v>2278</v>
      </c>
      <c r="D648" t="s">
        <v>2279</v>
      </c>
      <c r="E648" t="s">
        <v>2280</v>
      </c>
      <c r="F648" t="s">
        <v>41</v>
      </c>
      <c r="G648" s="18">
        <v>45760.916666666664</v>
      </c>
      <c r="L648" t="s">
        <v>315</v>
      </c>
    </row>
    <row r="649" spans="1:12" x14ac:dyDescent="0.3">
      <c r="A649" t="s">
        <v>2281</v>
      </c>
      <c r="B649">
        <v>1155</v>
      </c>
      <c r="C649" t="s">
        <v>2282</v>
      </c>
      <c r="F649" t="s">
        <v>71</v>
      </c>
      <c r="L649" t="s">
        <v>16</v>
      </c>
    </row>
    <row r="650" spans="1:12" x14ac:dyDescent="0.3">
      <c r="A650" t="s">
        <v>2283</v>
      </c>
      <c r="B650">
        <v>1699</v>
      </c>
      <c r="C650" t="s">
        <v>2284</v>
      </c>
      <c r="D650" t="s">
        <v>2285</v>
      </c>
      <c r="E650" t="s">
        <v>2286</v>
      </c>
    </row>
    <row r="651" spans="1:12" x14ac:dyDescent="0.3">
      <c r="A651" t="s">
        <v>2287</v>
      </c>
      <c r="B651">
        <v>759</v>
      </c>
      <c r="C651" t="s">
        <v>2288</v>
      </c>
      <c r="E651" t="s">
        <v>2266</v>
      </c>
      <c r="F651" t="s">
        <v>15</v>
      </c>
      <c r="L651" t="s">
        <v>16</v>
      </c>
    </row>
    <row r="652" spans="1:12" x14ac:dyDescent="0.3">
      <c r="A652" t="s">
        <v>2289</v>
      </c>
      <c r="B652">
        <v>1110</v>
      </c>
      <c r="C652" t="s">
        <v>2290</v>
      </c>
      <c r="E652" t="s">
        <v>2291</v>
      </c>
      <c r="F652" t="s">
        <v>15</v>
      </c>
      <c r="K652" s="18">
        <v>45692.958333333336</v>
      </c>
      <c r="L652" t="s">
        <v>21</v>
      </c>
    </row>
    <row r="653" spans="1:12" x14ac:dyDescent="0.3">
      <c r="A653" t="s">
        <v>2292</v>
      </c>
      <c r="B653">
        <v>875</v>
      </c>
      <c r="C653" t="s">
        <v>2293</v>
      </c>
      <c r="E653" t="s">
        <v>2294</v>
      </c>
      <c r="F653" t="s">
        <v>15</v>
      </c>
      <c r="G653" s="18">
        <v>45525.916666666664</v>
      </c>
      <c r="K653" s="18">
        <v>45617.958333333336</v>
      </c>
      <c r="L653" t="s">
        <v>21</v>
      </c>
    </row>
    <row r="654" spans="1:12" x14ac:dyDescent="0.3">
      <c r="A654" t="s">
        <v>2295</v>
      </c>
      <c r="B654">
        <v>1399</v>
      </c>
      <c r="C654" t="s">
        <v>2296</v>
      </c>
      <c r="D654" t="s">
        <v>2297</v>
      </c>
      <c r="E654" t="s">
        <v>2298</v>
      </c>
      <c r="F654" t="s">
        <v>53</v>
      </c>
    </row>
    <row r="655" spans="1:12" x14ac:dyDescent="0.3">
      <c r="A655" t="s">
        <v>2299</v>
      </c>
      <c r="B655">
        <v>713</v>
      </c>
      <c r="C655" t="s">
        <v>2300</v>
      </c>
      <c r="E655" t="s">
        <v>2301</v>
      </c>
      <c r="F655" t="s">
        <v>15</v>
      </c>
      <c r="G655" s="18">
        <v>45408.916666666664</v>
      </c>
      <c r="K655" s="18">
        <v>45561.916666666664</v>
      </c>
      <c r="L655" t="s">
        <v>16</v>
      </c>
    </row>
    <row r="656" spans="1:12" x14ac:dyDescent="0.3">
      <c r="A656" t="s">
        <v>2302</v>
      </c>
      <c r="B656">
        <v>1046</v>
      </c>
      <c r="C656" t="s">
        <v>2303</v>
      </c>
      <c r="E656" t="s">
        <v>2304</v>
      </c>
      <c r="F656" t="s">
        <v>15</v>
      </c>
      <c r="G656" s="18">
        <v>45547.916666666664</v>
      </c>
      <c r="H656" s="18">
        <v>45644.958333333336</v>
      </c>
      <c r="K656" s="18">
        <v>45644.958333333336</v>
      </c>
      <c r="L656" t="s">
        <v>21</v>
      </c>
    </row>
    <row r="657" spans="1:12" x14ac:dyDescent="0.3">
      <c r="A657" t="s">
        <v>2305</v>
      </c>
      <c r="B657">
        <v>562</v>
      </c>
      <c r="C657" t="s">
        <v>2306</v>
      </c>
      <c r="E657" t="s">
        <v>2307</v>
      </c>
      <c r="F657" t="s">
        <v>41</v>
      </c>
      <c r="G657" s="18">
        <v>45760.916666666664</v>
      </c>
      <c r="L657" t="s">
        <v>16</v>
      </c>
    </row>
    <row r="658" spans="1:12" x14ac:dyDescent="0.3">
      <c r="A658" t="s">
        <v>2308</v>
      </c>
      <c r="B658">
        <v>601</v>
      </c>
      <c r="C658" t="s">
        <v>2309</v>
      </c>
      <c r="D658" t="s">
        <v>2310</v>
      </c>
      <c r="E658" t="s">
        <v>2311</v>
      </c>
      <c r="F658" t="s">
        <v>53</v>
      </c>
      <c r="L658" t="s">
        <v>16</v>
      </c>
    </row>
    <row r="659" spans="1:12" x14ac:dyDescent="0.3">
      <c r="A659" t="s">
        <v>2312</v>
      </c>
      <c r="B659">
        <v>2024</v>
      </c>
      <c r="C659" t="s">
        <v>2313</v>
      </c>
      <c r="D659" t="s">
        <v>2314</v>
      </c>
      <c r="E659" t="s">
        <v>2315</v>
      </c>
    </row>
    <row r="660" spans="1:12" x14ac:dyDescent="0.3">
      <c r="A660" t="s">
        <v>2316</v>
      </c>
      <c r="B660">
        <v>1498</v>
      </c>
      <c r="C660" t="s">
        <v>2317</v>
      </c>
      <c r="E660" t="s">
        <v>2318</v>
      </c>
      <c r="F660" t="s">
        <v>53</v>
      </c>
      <c r="L660" t="s">
        <v>37</v>
      </c>
    </row>
    <row r="661" spans="1:12" x14ac:dyDescent="0.3">
      <c r="A661" t="s">
        <v>2319</v>
      </c>
      <c r="B661">
        <v>574</v>
      </c>
      <c r="C661" t="s">
        <v>2320</v>
      </c>
      <c r="E661" t="s">
        <v>2321</v>
      </c>
      <c r="F661" t="s">
        <v>41</v>
      </c>
      <c r="G661" s="18">
        <v>45429.916666666664</v>
      </c>
      <c r="L661" t="s">
        <v>16</v>
      </c>
    </row>
    <row r="662" spans="1:12" x14ac:dyDescent="0.3">
      <c r="A662" t="s">
        <v>2322</v>
      </c>
      <c r="B662">
        <v>1152</v>
      </c>
      <c r="C662" t="s">
        <v>2323</v>
      </c>
      <c r="E662" t="s">
        <v>2324</v>
      </c>
      <c r="F662" t="s">
        <v>15</v>
      </c>
      <c r="G662" s="18">
        <v>45468.916666666664</v>
      </c>
      <c r="K662" s="18">
        <v>45669.958333333336</v>
      </c>
      <c r="L662" t="s">
        <v>16</v>
      </c>
    </row>
    <row r="663" spans="1:12" x14ac:dyDescent="0.3">
      <c r="A663" t="s">
        <v>2325</v>
      </c>
      <c r="B663">
        <v>571</v>
      </c>
      <c r="C663" t="s">
        <v>2326</v>
      </c>
      <c r="D663" t="s">
        <v>2327</v>
      </c>
      <c r="E663" t="s">
        <v>2328</v>
      </c>
      <c r="F663" t="s">
        <v>53</v>
      </c>
      <c r="L663" t="s">
        <v>88</v>
      </c>
    </row>
    <row r="664" spans="1:12" x14ac:dyDescent="0.3">
      <c r="A664" t="s">
        <v>2329</v>
      </c>
      <c r="B664">
        <v>1869</v>
      </c>
      <c r="C664" t="s">
        <v>2330</v>
      </c>
      <c r="D664" t="s">
        <v>2331</v>
      </c>
      <c r="E664" t="s">
        <v>2332</v>
      </c>
      <c r="F664" t="s">
        <v>53</v>
      </c>
      <c r="L664" t="s">
        <v>230</v>
      </c>
    </row>
    <row r="665" spans="1:12" x14ac:dyDescent="0.3">
      <c r="A665" t="s">
        <v>2333</v>
      </c>
      <c r="B665">
        <v>803</v>
      </c>
      <c r="C665" t="s">
        <v>2334</v>
      </c>
      <c r="E665" t="s">
        <v>2335</v>
      </c>
      <c r="F665" t="s">
        <v>71</v>
      </c>
      <c r="L665" t="s">
        <v>16</v>
      </c>
    </row>
    <row r="666" spans="1:12" x14ac:dyDescent="0.3">
      <c r="A666" t="s">
        <v>2336</v>
      </c>
      <c r="B666">
        <v>710</v>
      </c>
      <c r="C666" t="s">
        <v>2337</v>
      </c>
      <c r="E666" t="s">
        <v>2338</v>
      </c>
      <c r="F666" t="s">
        <v>15</v>
      </c>
      <c r="K666" s="18">
        <v>45798.916666666664</v>
      </c>
      <c r="L666" t="s">
        <v>16</v>
      </c>
    </row>
    <row r="667" spans="1:12" x14ac:dyDescent="0.3">
      <c r="A667" t="s">
        <v>2339</v>
      </c>
      <c r="B667">
        <v>1710</v>
      </c>
      <c r="C667" t="s">
        <v>2340</v>
      </c>
      <c r="D667" t="s">
        <v>2341</v>
      </c>
      <c r="E667" t="s">
        <v>2342</v>
      </c>
      <c r="F667" t="s">
        <v>53</v>
      </c>
      <c r="L667" t="s">
        <v>315</v>
      </c>
    </row>
    <row r="668" spans="1:12" x14ac:dyDescent="0.3">
      <c r="A668" t="s">
        <v>2343</v>
      </c>
      <c r="B668">
        <v>1499</v>
      </c>
      <c r="C668" t="s">
        <v>2344</v>
      </c>
      <c r="E668" t="s">
        <v>2345</v>
      </c>
      <c r="F668" t="s">
        <v>53</v>
      </c>
      <c r="L668" t="s">
        <v>37</v>
      </c>
    </row>
    <row r="669" spans="1:12" x14ac:dyDescent="0.3">
      <c r="A669" t="s">
        <v>2346</v>
      </c>
      <c r="B669">
        <v>1500</v>
      </c>
      <c r="C669" t="s">
        <v>2347</v>
      </c>
      <c r="D669" t="s">
        <v>2348</v>
      </c>
      <c r="E669" t="s">
        <v>2349</v>
      </c>
      <c r="F669" t="s">
        <v>53</v>
      </c>
      <c r="K669" s="18">
        <v>45814.916666666664</v>
      </c>
      <c r="L669" t="s">
        <v>37</v>
      </c>
    </row>
    <row r="670" spans="1:12" x14ac:dyDescent="0.3">
      <c r="A670" t="s">
        <v>2350</v>
      </c>
      <c r="B670">
        <v>197</v>
      </c>
      <c r="C670" t="s">
        <v>2351</v>
      </c>
      <c r="D670" t="s">
        <v>2352</v>
      </c>
      <c r="E670" t="s">
        <v>2353</v>
      </c>
      <c r="F670" t="s">
        <v>53</v>
      </c>
      <c r="L670" t="s">
        <v>315</v>
      </c>
    </row>
    <row r="671" spans="1:12" x14ac:dyDescent="0.3">
      <c r="A671" t="s">
        <v>2354</v>
      </c>
      <c r="B671">
        <v>1234</v>
      </c>
      <c r="C671" t="s">
        <v>2355</v>
      </c>
      <c r="E671" t="s">
        <v>2356</v>
      </c>
      <c r="F671" t="s">
        <v>170</v>
      </c>
      <c r="L671" t="s">
        <v>21</v>
      </c>
    </row>
    <row r="672" spans="1:12" x14ac:dyDescent="0.3">
      <c r="A672" t="s">
        <v>2357</v>
      </c>
      <c r="B672">
        <v>104</v>
      </c>
      <c r="C672" t="s">
        <v>2358</v>
      </c>
      <c r="D672" t="s">
        <v>2359</v>
      </c>
      <c r="E672" t="s">
        <v>2360</v>
      </c>
      <c r="F672" t="s">
        <v>41</v>
      </c>
      <c r="G672" s="18">
        <v>45750.916666666664</v>
      </c>
      <c r="L672" t="s">
        <v>21</v>
      </c>
    </row>
    <row r="673" spans="1:12" x14ac:dyDescent="0.3">
      <c r="A673" t="s">
        <v>2361</v>
      </c>
      <c r="B673">
        <v>987</v>
      </c>
      <c r="C673" t="s">
        <v>2362</v>
      </c>
      <c r="E673" t="s">
        <v>2363</v>
      </c>
      <c r="F673" t="s">
        <v>15</v>
      </c>
      <c r="G673" s="18">
        <v>45454.916666666664</v>
      </c>
      <c r="H673" s="18">
        <v>45657.958333333336</v>
      </c>
      <c r="K673" s="18">
        <v>45644.958333333336</v>
      </c>
      <c r="L673" t="s">
        <v>16</v>
      </c>
    </row>
    <row r="674" spans="1:12" x14ac:dyDescent="0.3">
      <c r="A674" t="s">
        <v>2364</v>
      </c>
      <c r="B674">
        <v>1034</v>
      </c>
      <c r="C674" t="s">
        <v>2365</v>
      </c>
      <c r="D674" t="s">
        <v>2366</v>
      </c>
      <c r="E674" t="s">
        <v>2367</v>
      </c>
      <c r="F674" t="s">
        <v>15</v>
      </c>
      <c r="G674" s="18">
        <v>45380.958333333336</v>
      </c>
      <c r="H674" s="18">
        <v>45398.916666666664</v>
      </c>
      <c r="L674" t="s">
        <v>16</v>
      </c>
    </row>
    <row r="675" spans="1:12" x14ac:dyDescent="0.3">
      <c r="A675" t="s">
        <v>2368</v>
      </c>
      <c r="B675">
        <v>1761</v>
      </c>
      <c r="C675" t="s">
        <v>2369</v>
      </c>
      <c r="D675" t="s">
        <v>2370</v>
      </c>
      <c r="E675" t="s">
        <v>2371</v>
      </c>
      <c r="F675" t="s">
        <v>53</v>
      </c>
      <c r="L675" t="s">
        <v>315</v>
      </c>
    </row>
    <row r="676" spans="1:12" x14ac:dyDescent="0.3">
      <c r="A676" t="s">
        <v>2372</v>
      </c>
      <c r="B676">
        <v>924</v>
      </c>
      <c r="C676" t="s">
        <v>2373</v>
      </c>
      <c r="E676" t="s">
        <v>2374</v>
      </c>
      <c r="F676" t="s">
        <v>15</v>
      </c>
      <c r="L676" t="s">
        <v>16</v>
      </c>
    </row>
    <row r="677" spans="1:12" x14ac:dyDescent="0.3">
      <c r="A677" t="s">
        <v>2375</v>
      </c>
      <c r="B677">
        <v>594</v>
      </c>
      <c r="C677" t="s">
        <v>2376</v>
      </c>
      <c r="D677" t="s">
        <v>2377</v>
      </c>
      <c r="E677" t="s">
        <v>2378</v>
      </c>
      <c r="F677" t="s">
        <v>53</v>
      </c>
      <c r="L677" t="s">
        <v>315</v>
      </c>
    </row>
    <row r="678" spans="1:12" x14ac:dyDescent="0.3">
      <c r="A678" t="s">
        <v>2379</v>
      </c>
      <c r="B678">
        <v>880</v>
      </c>
      <c r="C678" t="s">
        <v>2380</v>
      </c>
      <c r="E678" t="s">
        <v>2381</v>
      </c>
      <c r="F678" t="s">
        <v>15</v>
      </c>
      <c r="G678" s="18">
        <v>45421.916666666664</v>
      </c>
      <c r="K678" s="18">
        <v>45666.958333333336</v>
      </c>
      <c r="L678" t="s">
        <v>16</v>
      </c>
    </row>
    <row r="679" spans="1:12" x14ac:dyDescent="0.3">
      <c r="A679" t="s">
        <v>2382</v>
      </c>
      <c r="B679">
        <v>1613</v>
      </c>
      <c r="C679" t="s">
        <v>2383</v>
      </c>
      <c r="D679" t="s">
        <v>2384</v>
      </c>
      <c r="E679" t="s">
        <v>2385</v>
      </c>
      <c r="F679" t="s">
        <v>41</v>
      </c>
      <c r="L679" t="s">
        <v>315</v>
      </c>
    </row>
    <row r="680" spans="1:12" x14ac:dyDescent="0.3">
      <c r="A680" t="s">
        <v>2386</v>
      </c>
      <c r="B680">
        <v>699</v>
      </c>
      <c r="C680" t="s">
        <v>2387</v>
      </c>
      <c r="E680" t="s">
        <v>2388</v>
      </c>
      <c r="F680" t="s">
        <v>15</v>
      </c>
      <c r="G680" s="18">
        <v>45363.958333333336</v>
      </c>
      <c r="H680" s="18">
        <v>45294.958333333336</v>
      </c>
      <c r="L680" t="s">
        <v>16</v>
      </c>
    </row>
    <row r="681" spans="1:12" x14ac:dyDescent="0.3">
      <c r="A681" t="s">
        <v>2389</v>
      </c>
      <c r="B681">
        <v>1318</v>
      </c>
      <c r="C681" t="s">
        <v>2390</v>
      </c>
      <c r="E681" t="s">
        <v>2391</v>
      </c>
      <c r="F681" t="s">
        <v>15</v>
      </c>
      <c r="G681" s="18">
        <v>45728.958333333336</v>
      </c>
      <c r="H681" s="18">
        <v>45774.916666666664</v>
      </c>
      <c r="K681" s="18">
        <v>45774.916666666664</v>
      </c>
      <c r="L681" t="s">
        <v>16</v>
      </c>
    </row>
    <row r="682" spans="1:12" x14ac:dyDescent="0.3">
      <c r="A682" t="s">
        <v>2392</v>
      </c>
      <c r="B682">
        <v>94</v>
      </c>
      <c r="C682" t="s">
        <v>2393</v>
      </c>
      <c r="D682" t="s">
        <v>2394</v>
      </c>
      <c r="E682" t="s">
        <v>2395</v>
      </c>
      <c r="F682" t="s">
        <v>41</v>
      </c>
      <c r="G682" s="18">
        <v>45439.916666666664</v>
      </c>
      <c r="L682" t="s">
        <v>16</v>
      </c>
    </row>
    <row r="683" spans="1:12" x14ac:dyDescent="0.3">
      <c r="A683" t="s">
        <v>2396</v>
      </c>
      <c r="B683">
        <v>1501</v>
      </c>
      <c r="C683" t="s">
        <v>2397</v>
      </c>
      <c r="E683" t="s">
        <v>2398</v>
      </c>
      <c r="F683" t="s">
        <v>53</v>
      </c>
      <c r="L683" t="s">
        <v>37</v>
      </c>
    </row>
    <row r="684" spans="1:12" x14ac:dyDescent="0.3">
      <c r="A684" t="s">
        <v>2399</v>
      </c>
      <c r="B684">
        <v>1951</v>
      </c>
      <c r="C684" t="s">
        <v>2400</v>
      </c>
      <c r="D684" t="s">
        <v>2401</v>
      </c>
      <c r="E684" t="s">
        <v>2402</v>
      </c>
    </row>
    <row r="685" spans="1:12" x14ac:dyDescent="0.3">
      <c r="A685" t="s">
        <v>2403</v>
      </c>
      <c r="B685">
        <v>1216</v>
      </c>
      <c r="C685" t="s">
        <v>2404</v>
      </c>
      <c r="D685" t="s">
        <v>2405</v>
      </c>
      <c r="E685" t="s">
        <v>2406</v>
      </c>
      <c r="F685" t="s">
        <v>53</v>
      </c>
      <c r="L685" t="s">
        <v>315</v>
      </c>
    </row>
    <row r="686" spans="1:12" x14ac:dyDescent="0.3">
      <c r="A686" t="s">
        <v>2407</v>
      </c>
      <c r="B686">
        <v>329</v>
      </c>
      <c r="C686" t="s">
        <v>2408</v>
      </c>
      <c r="E686" t="s">
        <v>2409</v>
      </c>
      <c r="F686" t="s">
        <v>41</v>
      </c>
      <c r="G686" s="18">
        <v>45763.916666666664</v>
      </c>
      <c r="L686" t="s">
        <v>21</v>
      </c>
    </row>
    <row r="687" spans="1:12" x14ac:dyDescent="0.3">
      <c r="A687" t="s">
        <v>2410</v>
      </c>
      <c r="B687">
        <v>1502</v>
      </c>
      <c r="C687" t="s">
        <v>2411</v>
      </c>
      <c r="D687" t="s">
        <v>2412</v>
      </c>
      <c r="E687" t="s">
        <v>2413</v>
      </c>
      <c r="F687" t="s">
        <v>53</v>
      </c>
      <c r="L687" t="s">
        <v>225</v>
      </c>
    </row>
    <row r="688" spans="1:12" x14ac:dyDescent="0.3">
      <c r="A688" t="s">
        <v>2414</v>
      </c>
      <c r="B688">
        <v>1819</v>
      </c>
      <c r="C688" t="s">
        <v>2415</v>
      </c>
      <c r="D688" t="s">
        <v>2416</v>
      </c>
      <c r="E688" t="s">
        <v>2417</v>
      </c>
    </row>
    <row r="689" spans="1:12" x14ac:dyDescent="0.3">
      <c r="A689" t="s">
        <v>2418</v>
      </c>
      <c r="B689">
        <v>472</v>
      </c>
      <c r="C689" t="s">
        <v>2419</v>
      </c>
      <c r="E689" t="s">
        <v>2420</v>
      </c>
      <c r="F689" t="s">
        <v>41</v>
      </c>
      <c r="G689" s="18">
        <v>45753.916666666664</v>
      </c>
      <c r="L689" t="s">
        <v>21</v>
      </c>
    </row>
    <row r="690" spans="1:12" x14ac:dyDescent="0.3">
      <c r="A690" t="s">
        <v>2421</v>
      </c>
      <c r="B690">
        <v>1280</v>
      </c>
      <c r="C690" t="s">
        <v>2422</v>
      </c>
      <c r="E690" t="s">
        <v>2423</v>
      </c>
      <c r="F690" t="s">
        <v>15</v>
      </c>
      <c r="L690" t="s">
        <v>16</v>
      </c>
    </row>
    <row r="691" spans="1:12" x14ac:dyDescent="0.3">
      <c r="A691" t="s">
        <v>2424</v>
      </c>
      <c r="B691">
        <v>1151</v>
      </c>
      <c r="C691" t="s">
        <v>2425</v>
      </c>
      <c r="E691" t="s">
        <v>2426</v>
      </c>
      <c r="F691" t="s">
        <v>15</v>
      </c>
      <c r="G691" s="18">
        <v>45394.916666666664</v>
      </c>
      <c r="H691" s="18">
        <v>45649.958333333336</v>
      </c>
      <c r="K691" s="18">
        <v>45649.958333333336</v>
      </c>
      <c r="L691" t="s">
        <v>16</v>
      </c>
    </row>
    <row r="692" spans="1:12" x14ac:dyDescent="0.3">
      <c r="A692" t="s">
        <v>2427</v>
      </c>
      <c r="B692">
        <v>35</v>
      </c>
      <c r="C692" t="s">
        <v>2428</v>
      </c>
      <c r="D692" t="s">
        <v>2429</v>
      </c>
      <c r="E692" t="s">
        <v>2430</v>
      </c>
      <c r="F692" t="s">
        <v>53</v>
      </c>
      <c r="L692" t="s">
        <v>16</v>
      </c>
    </row>
    <row r="693" spans="1:12" x14ac:dyDescent="0.3">
      <c r="A693" t="s">
        <v>2431</v>
      </c>
      <c r="B693">
        <v>1350</v>
      </c>
      <c r="C693" t="s">
        <v>2432</v>
      </c>
      <c r="E693" t="s">
        <v>2433</v>
      </c>
      <c r="F693" t="s">
        <v>71</v>
      </c>
      <c r="L693" t="s">
        <v>16</v>
      </c>
    </row>
    <row r="694" spans="1:12" x14ac:dyDescent="0.3">
      <c r="A694" t="s">
        <v>2434</v>
      </c>
      <c r="B694">
        <v>1661</v>
      </c>
      <c r="C694" t="s">
        <v>2435</v>
      </c>
      <c r="D694" t="s">
        <v>2436</v>
      </c>
      <c r="E694" t="s">
        <v>2437</v>
      </c>
      <c r="L694" t="s">
        <v>225</v>
      </c>
    </row>
    <row r="695" spans="1:12" x14ac:dyDescent="0.3">
      <c r="A695" t="s">
        <v>2438</v>
      </c>
      <c r="B695">
        <v>917</v>
      </c>
      <c r="C695" t="s">
        <v>2439</v>
      </c>
      <c r="E695" t="s">
        <v>2440</v>
      </c>
      <c r="F695" t="s">
        <v>15</v>
      </c>
      <c r="G695" s="18">
        <v>45219.916666666664</v>
      </c>
      <c r="H695" s="18">
        <v>45425.916666666664</v>
      </c>
      <c r="L695" t="s">
        <v>16</v>
      </c>
    </row>
    <row r="696" spans="1:12" x14ac:dyDescent="0.3">
      <c r="A696" t="s">
        <v>2441</v>
      </c>
      <c r="B696">
        <v>286</v>
      </c>
      <c r="C696" t="s">
        <v>2442</v>
      </c>
      <c r="E696" t="s">
        <v>2443</v>
      </c>
      <c r="F696" t="s">
        <v>41</v>
      </c>
      <c r="G696" s="18">
        <v>45763.916666666664</v>
      </c>
      <c r="L696" t="s">
        <v>21</v>
      </c>
    </row>
    <row r="697" spans="1:12" x14ac:dyDescent="0.3">
      <c r="A697" t="s">
        <v>2444</v>
      </c>
      <c r="B697">
        <v>1160</v>
      </c>
      <c r="C697" t="s">
        <v>2445</v>
      </c>
      <c r="E697" t="s">
        <v>2446</v>
      </c>
      <c r="F697" t="s">
        <v>15</v>
      </c>
      <c r="K697" s="18">
        <v>45727.958333333336</v>
      </c>
      <c r="L697" t="s">
        <v>21</v>
      </c>
    </row>
    <row r="698" spans="1:12" x14ac:dyDescent="0.3">
      <c r="A698" t="s">
        <v>2447</v>
      </c>
      <c r="B698">
        <v>1817</v>
      </c>
      <c r="C698" t="s">
        <v>2448</v>
      </c>
      <c r="E698" t="s">
        <v>2449</v>
      </c>
    </row>
    <row r="699" spans="1:12" x14ac:dyDescent="0.3">
      <c r="A699" t="s">
        <v>2450</v>
      </c>
      <c r="B699">
        <v>387</v>
      </c>
      <c r="C699" t="s">
        <v>2451</v>
      </c>
      <c r="D699" t="s">
        <v>2452</v>
      </c>
      <c r="E699" t="s">
        <v>2453</v>
      </c>
      <c r="F699" t="s">
        <v>41</v>
      </c>
      <c r="G699" s="18">
        <v>45760.916666666664</v>
      </c>
      <c r="L699" t="s">
        <v>16</v>
      </c>
    </row>
    <row r="700" spans="1:12" x14ac:dyDescent="0.3">
      <c r="A700" t="s">
        <v>2454</v>
      </c>
      <c r="B700">
        <v>151</v>
      </c>
      <c r="C700" t="s">
        <v>2455</v>
      </c>
      <c r="E700" t="s">
        <v>2456</v>
      </c>
      <c r="F700" t="s">
        <v>53</v>
      </c>
      <c r="L700" t="s">
        <v>16</v>
      </c>
    </row>
    <row r="701" spans="1:12" x14ac:dyDescent="0.3">
      <c r="A701" t="s">
        <v>2457</v>
      </c>
      <c r="B701">
        <v>1395</v>
      </c>
      <c r="C701" t="s">
        <v>2458</v>
      </c>
      <c r="D701" t="s">
        <v>2459</v>
      </c>
      <c r="E701" t="s">
        <v>2460</v>
      </c>
      <c r="F701" t="s">
        <v>53</v>
      </c>
      <c r="L701" t="s">
        <v>21</v>
      </c>
    </row>
    <row r="702" spans="1:12" x14ac:dyDescent="0.3">
      <c r="A702" t="s">
        <v>2461</v>
      </c>
      <c r="B702">
        <v>2105</v>
      </c>
      <c r="C702" t="s">
        <v>2462</v>
      </c>
      <c r="D702" t="s">
        <v>2463</v>
      </c>
      <c r="E702" t="s">
        <v>2464</v>
      </c>
      <c r="L702" t="s">
        <v>315</v>
      </c>
    </row>
    <row r="703" spans="1:12" x14ac:dyDescent="0.3">
      <c r="A703" t="s">
        <v>2465</v>
      </c>
      <c r="B703">
        <v>674</v>
      </c>
      <c r="C703" t="s">
        <v>2466</v>
      </c>
      <c r="E703" t="s">
        <v>2467</v>
      </c>
      <c r="F703" t="s">
        <v>15</v>
      </c>
      <c r="G703" s="18">
        <v>45433.916666666664</v>
      </c>
      <c r="K703" s="18">
        <v>45666.958333333336</v>
      </c>
      <c r="L703" t="s">
        <v>16</v>
      </c>
    </row>
    <row r="704" spans="1:12" x14ac:dyDescent="0.3">
      <c r="A704" t="s">
        <v>2468</v>
      </c>
      <c r="B704">
        <v>1150</v>
      </c>
      <c r="C704" t="s">
        <v>2469</v>
      </c>
      <c r="E704" t="s">
        <v>2470</v>
      </c>
      <c r="F704" t="s">
        <v>71</v>
      </c>
      <c r="L704" t="s">
        <v>16</v>
      </c>
    </row>
    <row r="705" spans="1:12" x14ac:dyDescent="0.3">
      <c r="A705" t="s">
        <v>2471</v>
      </c>
      <c r="B705">
        <v>1925</v>
      </c>
      <c r="C705" t="s">
        <v>2472</v>
      </c>
      <c r="D705" t="s">
        <v>2473</v>
      </c>
      <c r="E705" t="s">
        <v>2474</v>
      </c>
    </row>
    <row r="706" spans="1:12" x14ac:dyDescent="0.3">
      <c r="A706" t="s">
        <v>2475</v>
      </c>
      <c r="B706">
        <v>1829</v>
      </c>
      <c r="C706" t="s">
        <v>2476</v>
      </c>
      <c r="D706" t="s">
        <v>2477</v>
      </c>
      <c r="E706" t="s">
        <v>2478</v>
      </c>
    </row>
    <row r="707" spans="1:12" x14ac:dyDescent="0.3">
      <c r="A707" t="s">
        <v>2479</v>
      </c>
      <c r="B707">
        <v>89</v>
      </c>
      <c r="C707" t="s">
        <v>2480</v>
      </c>
      <c r="D707" t="s">
        <v>2481</v>
      </c>
      <c r="E707" t="s">
        <v>2482</v>
      </c>
      <c r="F707" t="s">
        <v>41</v>
      </c>
      <c r="G707" s="18">
        <v>44931.958333333336</v>
      </c>
      <c r="L707" t="s">
        <v>16</v>
      </c>
    </row>
    <row r="708" spans="1:12" x14ac:dyDescent="0.3">
      <c r="A708" t="s">
        <v>2483</v>
      </c>
      <c r="B708">
        <v>1383</v>
      </c>
      <c r="C708" t="s">
        <v>2484</v>
      </c>
      <c r="E708" t="s">
        <v>2485</v>
      </c>
      <c r="F708" t="s">
        <v>15</v>
      </c>
      <c r="L708" t="s">
        <v>21</v>
      </c>
    </row>
    <row r="709" spans="1:12" x14ac:dyDescent="0.3">
      <c r="A709" t="s">
        <v>2486</v>
      </c>
      <c r="B709">
        <v>738</v>
      </c>
      <c r="C709" t="s">
        <v>2487</v>
      </c>
      <c r="E709" t="s">
        <v>2488</v>
      </c>
      <c r="F709" t="s">
        <v>71</v>
      </c>
      <c r="L709" t="s">
        <v>16</v>
      </c>
    </row>
    <row r="710" spans="1:12" x14ac:dyDescent="0.3">
      <c r="A710" t="s">
        <v>2489</v>
      </c>
      <c r="B710">
        <v>1335</v>
      </c>
      <c r="C710" t="s">
        <v>2490</v>
      </c>
      <c r="E710" t="s">
        <v>2491</v>
      </c>
      <c r="F710" t="s">
        <v>15</v>
      </c>
      <c r="G710" s="18">
        <v>45705.958333333336</v>
      </c>
      <c r="L710" t="s">
        <v>16</v>
      </c>
    </row>
    <row r="711" spans="1:12" x14ac:dyDescent="0.3">
      <c r="A711" t="s">
        <v>2492</v>
      </c>
      <c r="B711">
        <v>1965</v>
      </c>
      <c r="C711" t="s">
        <v>2493</v>
      </c>
      <c r="D711" t="s">
        <v>2494</v>
      </c>
      <c r="E711" t="s">
        <v>2495</v>
      </c>
    </row>
    <row r="712" spans="1:12" x14ac:dyDescent="0.3">
      <c r="A712" t="s">
        <v>2496</v>
      </c>
      <c r="B712">
        <v>910</v>
      </c>
      <c r="C712" t="s">
        <v>2497</v>
      </c>
      <c r="E712" t="s">
        <v>2498</v>
      </c>
      <c r="F712" t="s">
        <v>15</v>
      </c>
      <c r="K712" s="18">
        <v>45528.916666666664</v>
      </c>
      <c r="L712" t="s">
        <v>16</v>
      </c>
    </row>
    <row r="713" spans="1:12" x14ac:dyDescent="0.3">
      <c r="A713" t="s">
        <v>2499</v>
      </c>
      <c r="B713">
        <v>1271</v>
      </c>
      <c r="C713" t="s">
        <v>2500</v>
      </c>
      <c r="D713" t="s">
        <v>2501</v>
      </c>
      <c r="E713" t="s">
        <v>2502</v>
      </c>
      <c r="F713" t="s">
        <v>15</v>
      </c>
      <c r="K713" s="18">
        <v>45558.916666666664</v>
      </c>
      <c r="L713" t="s">
        <v>16</v>
      </c>
    </row>
    <row r="714" spans="1:12" x14ac:dyDescent="0.3">
      <c r="A714" t="s">
        <v>2503</v>
      </c>
      <c r="B714">
        <v>939</v>
      </c>
      <c r="C714" t="s">
        <v>2504</v>
      </c>
      <c r="E714" t="s">
        <v>2505</v>
      </c>
      <c r="F714" t="s">
        <v>15</v>
      </c>
      <c r="G714" s="18">
        <v>45387.916666666664</v>
      </c>
      <c r="H714" s="18">
        <v>45561.916666666664</v>
      </c>
      <c r="K714" s="18">
        <v>45561.916666666664</v>
      </c>
      <c r="L714" t="s">
        <v>16</v>
      </c>
    </row>
    <row r="715" spans="1:12" x14ac:dyDescent="0.3">
      <c r="A715" t="s">
        <v>2506</v>
      </c>
      <c r="B715">
        <v>1185</v>
      </c>
      <c r="C715" t="s">
        <v>2507</v>
      </c>
      <c r="E715" t="s">
        <v>2508</v>
      </c>
      <c r="F715" t="s">
        <v>15</v>
      </c>
      <c r="L715" t="s">
        <v>16</v>
      </c>
    </row>
    <row r="716" spans="1:12" x14ac:dyDescent="0.3">
      <c r="A716" t="s">
        <v>2509</v>
      </c>
      <c r="B716">
        <v>1503</v>
      </c>
      <c r="C716" t="s">
        <v>2510</v>
      </c>
      <c r="D716" t="s">
        <v>2511</v>
      </c>
      <c r="E716" t="s">
        <v>2512</v>
      </c>
      <c r="F716" t="s">
        <v>53</v>
      </c>
      <c r="L716" t="s">
        <v>315</v>
      </c>
    </row>
    <row r="717" spans="1:12" x14ac:dyDescent="0.3">
      <c r="A717" t="s">
        <v>2513</v>
      </c>
      <c r="B717">
        <v>154</v>
      </c>
      <c r="C717" t="s">
        <v>2514</v>
      </c>
      <c r="E717" t="s">
        <v>2515</v>
      </c>
      <c r="F717" t="s">
        <v>53</v>
      </c>
      <c r="L717" t="s">
        <v>16</v>
      </c>
    </row>
    <row r="718" spans="1:12" x14ac:dyDescent="0.3">
      <c r="A718" t="s">
        <v>2516</v>
      </c>
      <c r="B718">
        <v>525</v>
      </c>
      <c r="C718" t="s">
        <v>2517</v>
      </c>
      <c r="E718" t="s">
        <v>2518</v>
      </c>
      <c r="F718" t="s">
        <v>53</v>
      </c>
      <c r="L718" t="s">
        <v>21</v>
      </c>
    </row>
    <row r="719" spans="1:12" x14ac:dyDescent="0.3">
      <c r="A719" t="s">
        <v>2519</v>
      </c>
      <c r="B719">
        <v>438</v>
      </c>
      <c r="C719" t="s">
        <v>2520</v>
      </c>
      <c r="E719" t="s">
        <v>2521</v>
      </c>
      <c r="F719" t="s">
        <v>41</v>
      </c>
      <c r="G719" s="18">
        <v>45763.916666666664</v>
      </c>
      <c r="L719" t="s">
        <v>21</v>
      </c>
    </row>
    <row r="720" spans="1:12" x14ac:dyDescent="0.3">
      <c r="A720" t="s">
        <v>2522</v>
      </c>
      <c r="B720">
        <v>1833</v>
      </c>
      <c r="C720" t="s">
        <v>2523</v>
      </c>
      <c r="D720" t="s">
        <v>2524</v>
      </c>
      <c r="E720" t="s">
        <v>2525</v>
      </c>
      <c r="F720" t="s">
        <v>53</v>
      </c>
      <c r="L720" t="s">
        <v>148</v>
      </c>
    </row>
    <row r="721" spans="1:12" x14ac:dyDescent="0.3">
      <c r="A721" t="s">
        <v>2526</v>
      </c>
      <c r="B721">
        <v>532</v>
      </c>
      <c r="C721" t="s">
        <v>2527</v>
      </c>
      <c r="D721" t="s">
        <v>2528</v>
      </c>
      <c r="E721" t="s">
        <v>2529</v>
      </c>
      <c r="F721" t="s">
        <v>41</v>
      </c>
      <c r="G721" s="18">
        <v>45760.916666666664</v>
      </c>
      <c r="L721" t="s">
        <v>16</v>
      </c>
    </row>
    <row r="722" spans="1:12" x14ac:dyDescent="0.3">
      <c r="A722" t="s">
        <v>2530</v>
      </c>
      <c r="B722">
        <v>251</v>
      </c>
      <c r="C722" t="s">
        <v>2531</v>
      </c>
      <c r="D722" t="s">
        <v>2532</v>
      </c>
      <c r="E722" t="s">
        <v>2533</v>
      </c>
      <c r="F722" t="s">
        <v>57</v>
      </c>
      <c r="L722" t="s">
        <v>21</v>
      </c>
    </row>
    <row r="723" spans="1:12" x14ac:dyDescent="0.3">
      <c r="A723" t="s">
        <v>2534</v>
      </c>
      <c r="B723">
        <v>993</v>
      </c>
      <c r="C723" t="s">
        <v>2535</v>
      </c>
      <c r="E723" t="s">
        <v>2536</v>
      </c>
      <c r="F723" t="s">
        <v>170</v>
      </c>
      <c r="G723" s="18">
        <v>45588.916666666664</v>
      </c>
      <c r="K723" s="18">
        <v>45722.958333333336</v>
      </c>
      <c r="L723" t="s">
        <v>21</v>
      </c>
    </row>
    <row r="724" spans="1:12" x14ac:dyDescent="0.3">
      <c r="A724" t="s">
        <v>2537</v>
      </c>
      <c r="B724">
        <v>1746</v>
      </c>
      <c r="C724" t="s">
        <v>2538</v>
      </c>
      <c r="D724" t="s">
        <v>2539</v>
      </c>
      <c r="E724" t="s">
        <v>2540</v>
      </c>
      <c r="F724" t="s">
        <v>53</v>
      </c>
      <c r="L724" t="s">
        <v>315</v>
      </c>
    </row>
    <row r="725" spans="1:12" x14ac:dyDescent="0.3">
      <c r="A725" t="s">
        <v>2541</v>
      </c>
      <c r="B725">
        <v>1504</v>
      </c>
      <c r="C725" t="s">
        <v>2542</v>
      </c>
      <c r="D725" t="s">
        <v>2543</v>
      </c>
      <c r="E725" t="s">
        <v>2544</v>
      </c>
      <c r="F725" t="s">
        <v>53</v>
      </c>
      <c r="L725" t="s">
        <v>37</v>
      </c>
    </row>
    <row r="726" spans="1:12" x14ac:dyDescent="0.3">
      <c r="A726" t="s">
        <v>2545</v>
      </c>
      <c r="B726">
        <v>849</v>
      </c>
      <c r="C726" t="s">
        <v>2546</v>
      </c>
      <c r="E726" t="s">
        <v>2547</v>
      </c>
      <c r="F726" t="s">
        <v>15</v>
      </c>
      <c r="G726" s="18">
        <v>45550.916666666664</v>
      </c>
      <c r="K726" s="18">
        <v>45625.958333333336</v>
      </c>
      <c r="L726" t="s">
        <v>16</v>
      </c>
    </row>
    <row r="727" spans="1:12" x14ac:dyDescent="0.3">
      <c r="A727" t="s">
        <v>2548</v>
      </c>
      <c r="B727">
        <v>2076</v>
      </c>
      <c r="C727" t="s">
        <v>2549</v>
      </c>
      <c r="D727" t="s">
        <v>2550</v>
      </c>
      <c r="E727" t="s">
        <v>2551</v>
      </c>
    </row>
    <row r="728" spans="1:12" x14ac:dyDescent="0.3">
      <c r="A728" t="s">
        <v>2552</v>
      </c>
      <c r="B728">
        <v>79</v>
      </c>
      <c r="C728" t="s">
        <v>2553</v>
      </c>
      <c r="E728" t="s">
        <v>2554</v>
      </c>
      <c r="F728" t="s">
        <v>53</v>
      </c>
      <c r="L728" t="s">
        <v>16</v>
      </c>
    </row>
    <row r="729" spans="1:12" x14ac:dyDescent="0.3">
      <c r="A729" t="s">
        <v>2555</v>
      </c>
      <c r="B729">
        <v>86</v>
      </c>
      <c r="C729" t="s">
        <v>2556</v>
      </c>
      <c r="D729" t="s">
        <v>2557</v>
      </c>
      <c r="E729" t="s">
        <v>2558</v>
      </c>
      <c r="F729" t="s">
        <v>53</v>
      </c>
      <c r="L729" t="s">
        <v>16</v>
      </c>
    </row>
    <row r="730" spans="1:12" x14ac:dyDescent="0.3">
      <c r="A730" t="s">
        <v>2559</v>
      </c>
      <c r="B730">
        <v>1505</v>
      </c>
      <c r="C730" t="s">
        <v>2560</v>
      </c>
      <c r="E730" t="s">
        <v>2561</v>
      </c>
      <c r="F730" t="s">
        <v>41</v>
      </c>
      <c r="G730" s="18">
        <v>45788.916666666664</v>
      </c>
      <c r="L730" t="s">
        <v>37</v>
      </c>
    </row>
    <row r="731" spans="1:12" x14ac:dyDescent="0.3">
      <c r="A731" t="s">
        <v>2562</v>
      </c>
      <c r="B731">
        <v>1295</v>
      </c>
      <c r="C731" t="s">
        <v>2563</v>
      </c>
      <c r="E731" t="s">
        <v>2564</v>
      </c>
      <c r="F731" t="s">
        <v>49</v>
      </c>
      <c r="L731" t="s">
        <v>16</v>
      </c>
    </row>
    <row r="732" spans="1:12" x14ac:dyDescent="0.3">
      <c r="A732" t="s">
        <v>2565</v>
      </c>
      <c r="B732">
        <v>428</v>
      </c>
      <c r="C732" t="s">
        <v>2566</v>
      </c>
      <c r="D732" t="s">
        <v>2567</v>
      </c>
      <c r="E732" t="s">
        <v>2568</v>
      </c>
      <c r="F732" t="s">
        <v>41</v>
      </c>
      <c r="G732" s="18">
        <v>45763.916666666664</v>
      </c>
      <c r="L732" t="s">
        <v>21</v>
      </c>
    </row>
    <row r="733" spans="1:12" x14ac:dyDescent="0.3">
      <c r="A733" t="s">
        <v>2569</v>
      </c>
      <c r="B733">
        <v>1769</v>
      </c>
      <c r="C733" t="s">
        <v>2570</v>
      </c>
      <c r="D733" t="s">
        <v>2571</v>
      </c>
      <c r="E733" t="s">
        <v>2572</v>
      </c>
      <c r="F733" t="s">
        <v>53</v>
      </c>
      <c r="L733" t="s">
        <v>88</v>
      </c>
    </row>
    <row r="734" spans="1:12" x14ac:dyDescent="0.3">
      <c r="A734" t="s">
        <v>2573</v>
      </c>
      <c r="B734">
        <v>1615</v>
      </c>
      <c r="C734" t="s">
        <v>2574</v>
      </c>
      <c r="D734" t="s">
        <v>2575</v>
      </c>
      <c r="E734" t="s">
        <v>2576</v>
      </c>
      <c r="F734" t="s">
        <v>53</v>
      </c>
      <c r="L734" t="s">
        <v>37</v>
      </c>
    </row>
    <row r="735" spans="1:12" x14ac:dyDescent="0.3">
      <c r="A735" t="s">
        <v>2577</v>
      </c>
      <c r="B735">
        <v>557</v>
      </c>
      <c r="C735" t="s">
        <v>2578</v>
      </c>
      <c r="D735" t="s">
        <v>2579</v>
      </c>
      <c r="E735" t="s">
        <v>2580</v>
      </c>
      <c r="F735" t="s">
        <v>41</v>
      </c>
      <c r="G735" s="18">
        <v>45760.916666666664</v>
      </c>
      <c r="L735" t="s">
        <v>16</v>
      </c>
    </row>
    <row r="736" spans="1:12" x14ac:dyDescent="0.3">
      <c r="A736" t="s">
        <v>2581</v>
      </c>
      <c r="B736">
        <v>1728</v>
      </c>
      <c r="C736" t="s">
        <v>2582</v>
      </c>
      <c r="D736" t="s">
        <v>2583</v>
      </c>
      <c r="E736" t="s">
        <v>2584</v>
      </c>
      <c r="L736" t="s">
        <v>315</v>
      </c>
    </row>
    <row r="737" spans="1:12" x14ac:dyDescent="0.3">
      <c r="A737" t="s">
        <v>2585</v>
      </c>
      <c r="B737">
        <v>1074</v>
      </c>
      <c r="C737" t="s">
        <v>2586</v>
      </c>
      <c r="D737" t="s">
        <v>2587</v>
      </c>
      <c r="E737" t="s">
        <v>2588</v>
      </c>
      <c r="F737" t="s">
        <v>15</v>
      </c>
      <c r="L737" t="s">
        <v>16</v>
      </c>
    </row>
    <row r="738" spans="1:12" x14ac:dyDescent="0.3">
      <c r="A738" t="s">
        <v>2589</v>
      </c>
      <c r="B738">
        <v>418</v>
      </c>
      <c r="C738" t="s">
        <v>2590</v>
      </c>
      <c r="D738" t="s">
        <v>2591</v>
      </c>
      <c r="E738" t="s">
        <v>2592</v>
      </c>
      <c r="F738" t="s">
        <v>53</v>
      </c>
      <c r="L738" t="s">
        <v>88</v>
      </c>
    </row>
    <row r="739" spans="1:12" x14ac:dyDescent="0.3">
      <c r="A739" t="s">
        <v>2593</v>
      </c>
      <c r="B739">
        <v>958</v>
      </c>
      <c r="C739" t="s">
        <v>2594</v>
      </c>
      <c r="E739" t="s">
        <v>2595</v>
      </c>
      <c r="F739" t="s">
        <v>170</v>
      </c>
      <c r="G739" s="18">
        <v>45526.916666666664</v>
      </c>
      <c r="K739" s="18">
        <v>45638.958333333336</v>
      </c>
      <c r="L739" t="s">
        <v>21</v>
      </c>
    </row>
    <row r="740" spans="1:12" x14ac:dyDescent="0.3">
      <c r="A740" t="s">
        <v>2596</v>
      </c>
      <c r="B740">
        <v>274</v>
      </c>
      <c r="C740" t="s">
        <v>2597</v>
      </c>
      <c r="D740" t="s">
        <v>2598</v>
      </c>
      <c r="E740" t="s">
        <v>2599</v>
      </c>
      <c r="F740" t="s">
        <v>41</v>
      </c>
      <c r="G740" s="18">
        <v>45800.916666666664</v>
      </c>
      <c r="L740" t="s">
        <v>21</v>
      </c>
    </row>
    <row r="741" spans="1:12" x14ac:dyDescent="0.3">
      <c r="A741" t="s">
        <v>2600</v>
      </c>
      <c r="B741">
        <v>645</v>
      </c>
      <c r="C741" t="s">
        <v>2601</v>
      </c>
      <c r="E741" t="s">
        <v>2602</v>
      </c>
      <c r="F741" t="s">
        <v>53</v>
      </c>
      <c r="L741" t="s">
        <v>21</v>
      </c>
    </row>
    <row r="742" spans="1:12" x14ac:dyDescent="0.3">
      <c r="A742" t="s">
        <v>2603</v>
      </c>
      <c r="B742">
        <v>1990</v>
      </c>
      <c r="C742" t="s">
        <v>2604</v>
      </c>
      <c r="D742" t="s">
        <v>2605</v>
      </c>
      <c r="E742" t="s">
        <v>2606</v>
      </c>
    </row>
    <row r="743" spans="1:12" x14ac:dyDescent="0.3">
      <c r="A743" t="s">
        <v>2607</v>
      </c>
      <c r="B743">
        <v>1778</v>
      </c>
      <c r="C743" t="s">
        <v>2608</v>
      </c>
      <c r="D743" t="s">
        <v>2609</v>
      </c>
      <c r="E743" t="s">
        <v>2610</v>
      </c>
      <c r="L743" t="s">
        <v>88</v>
      </c>
    </row>
    <row r="744" spans="1:12" x14ac:dyDescent="0.3">
      <c r="A744" t="s">
        <v>2611</v>
      </c>
      <c r="B744">
        <v>683</v>
      </c>
      <c r="C744" t="s">
        <v>2612</v>
      </c>
      <c r="E744" t="s">
        <v>2613</v>
      </c>
      <c r="F744" t="s">
        <v>15</v>
      </c>
      <c r="G744" s="18">
        <v>45608.958333333336</v>
      </c>
      <c r="K744" s="18">
        <v>45680.958333333336</v>
      </c>
      <c r="L744" t="s">
        <v>21</v>
      </c>
    </row>
    <row r="745" spans="1:12" x14ac:dyDescent="0.3">
      <c r="A745" t="s">
        <v>2614</v>
      </c>
      <c r="B745">
        <v>989</v>
      </c>
      <c r="C745" t="s">
        <v>2615</v>
      </c>
      <c r="E745" t="s">
        <v>2616</v>
      </c>
      <c r="F745" t="s">
        <v>15</v>
      </c>
      <c r="K745" s="18">
        <v>45528.916666666664</v>
      </c>
      <c r="L745" t="s">
        <v>16</v>
      </c>
    </row>
    <row r="746" spans="1:12" x14ac:dyDescent="0.3">
      <c r="A746" t="s">
        <v>2617</v>
      </c>
      <c r="B746">
        <v>1839</v>
      </c>
      <c r="C746" t="s">
        <v>2618</v>
      </c>
      <c r="D746" t="s">
        <v>2619</v>
      </c>
      <c r="E746" t="s">
        <v>2620</v>
      </c>
    </row>
    <row r="747" spans="1:12" x14ac:dyDescent="0.3">
      <c r="A747" t="s">
        <v>2621</v>
      </c>
      <c r="B747">
        <v>240</v>
      </c>
      <c r="C747" t="s">
        <v>2622</v>
      </c>
      <c r="D747" t="s">
        <v>2623</v>
      </c>
      <c r="E747" t="s">
        <v>2624</v>
      </c>
      <c r="F747" t="s">
        <v>53</v>
      </c>
      <c r="L747" t="s">
        <v>16</v>
      </c>
    </row>
    <row r="748" spans="1:12" x14ac:dyDescent="0.3">
      <c r="A748" t="s">
        <v>2625</v>
      </c>
      <c r="B748">
        <v>2083</v>
      </c>
      <c r="C748" t="s">
        <v>2626</v>
      </c>
      <c r="D748" t="s">
        <v>2627</v>
      </c>
      <c r="E748" t="s">
        <v>2628</v>
      </c>
      <c r="F748" t="s">
        <v>41</v>
      </c>
      <c r="G748" s="18">
        <v>45750.916666666664</v>
      </c>
    </row>
    <row r="749" spans="1:12" x14ac:dyDescent="0.3">
      <c r="A749" t="s">
        <v>2629</v>
      </c>
      <c r="B749">
        <v>15</v>
      </c>
      <c r="C749" t="s">
        <v>2630</v>
      </c>
      <c r="D749" t="s">
        <v>2631</v>
      </c>
      <c r="E749" t="s">
        <v>2632</v>
      </c>
      <c r="F749" t="s">
        <v>53</v>
      </c>
      <c r="K749" s="18">
        <v>45806.916666666664</v>
      </c>
      <c r="L749" t="s">
        <v>230</v>
      </c>
    </row>
    <row r="750" spans="1:12" x14ac:dyDescent="0.3">
      <c r="A750" t="s">
        <v>2633</v>
      </c>
      <c r="B750">
        <v>1073</v>
      </c>
      <c r="C750" t="s">
        <v>2634</v>
      </c>
      <c r="D750" t="s">
        <v>2635</v>
      </c>
      <c r="E750" t="s">
        <v>2636</v>
      </c>
      <c r="F750" t="s">
        <v>15</v>
      </c>
      <c r="L750" t="s">
        <v>16</v>
      </c>
    </row>
    <row r="751" spans="1:12" x14ac:dyDescent="0.3">
      <c r="A751" t="s">
        <v>2637</v>
      </c>
      <c r="B751">
        <v>87</v>
      </c>
      <c r="C751" t="s">
        <v>2638</v>
      </c>
      <c r="D751" t="s">
        <v>2639</v>
      </c>
      <c r="E751" t="s">
        <v>2640</v>
      </c>
      <c r="F751" t="s">
        <v>53</v>
      </c>
      <c r="L751" t="s">
        <v>1842</v>
      </c>
    </row>
    <row r="752" spans="1:12" x14ac:dyDescent="0.3">
      <c r="A752" t="s">
        <v>2641</v>
      </c>
      <c r="B752">
        <v>1781</v>
      </c>
      <c r="C752" t="s">
        <v>2642</v>
      </c>
      <c r="D752" t="s">
        <v>2643</v>
      </c>
      <c r="E752" t="s">
        <v>2644</v>
      </c>
      <c r="F752" t="s">
        <v>53</v>
      </c>
      <c r="L752" t="s">
        <v>315</v>
      </c>
    </row>
    <row r="753" spans="1:12" x14ac:dyDescent="0.3">
      <c r="A753" t="s">
        <v>2645</v>
      </c>
      <c r="B753">
        <v>404</v>
      </c>
      <c r="C753" t="s">
        <v>2646</v>
      </c>
      <c r="E753" t="s">
        <v>2647</v>
      </c>
      <c r="F753" t="s">
        <v>41</v>
      </c>
      <c r="G753" s="18">
        <v>45760.916666666664</v>
      </c>
      <c r="L753" t="s">
        <v>16</v>
      </c>
    </row>
    <row r="754" spans="1:12" x14ac:dyDescent="0.3">
      <c r="A754" t="s">
        <v>2648</v>
      </c>
      <c r="B754">
        <v>1506</v>
      </c>
      <c r="C754" t="s">
        <v>2649</v>
      </c>
      <c r="D754" t="s">
        <v>2650</v>
      </c>
      <c r="E754" t="s">
        <v>2651</v>
      </c>
      <c r="F754" t="s">
        <v>53</v>
      </c>
      <c r="L754" t="s">
        <v>37</v>
      </c>
    </row>
    <row r="755" spans="1:12" x14ac:dyDescent="0.3">
      <c r="A755" t="s">
        <v>2652</v>
      </c>
      <c r="B755">
        <v>431</v>
      </c>
      <c r="C755" t="s">
        <v>2653</v>
      </c>
      <c r="D755" t="s">
        <v>2654</v>
      </c>
      <c r="E755" t="s">
        <v>2655</v>
      </c>
      <c r="F755" t="s">
        <v>53</v>
      </c>
      <c r="L755" t="s">
        <v>21</v>
      </c>
    </row>
    <row r="756" spans="1:12" x14ac:dyDescent="0.3">
      <c r="A756" t="s">
        <v>2656</v>
      </c>
      <c r="B756">
        <v>117</v>
      </c>
      <c r="C756" t="s">
        <v>2657</v>
      </c>
      <c r="E756" t="s">
        <v>2658</v>
      </c>
      <c r="F756" t="s">
        <v>41</v>
      </c>
      <c r="G756" s="18">
        <v>45760.916666666664</v>
      </c>
      <c r="L756" t="s">
        <v>16</v>
      </c>
    </row>
    <row r="757" spans="1:12" x14ac:dyDescent="0.3">
      <c r="A757" t="s">
        <v>2659</v>
      </c>
      <c r="B757">
        <v>1035</v>
      </c>
      <c r="C757" t="s">
        <v>2660</v>
      </c>
      <c r="E757" t="s">
        <v>2661</v>
      </c>
      <c r="F757" t="s">
        <v>15</v>
      </c>
      <c r="G757" s="18">
        <v>45380.958333333336</v>
      </c>
      <c r="H757" s="18">
        <v>45397.916666666664</v>
      </c>
      <c r="L757" t="s">
        <v>16</v>
      </c>
    </row>
    <row r="758" spans="1:12" x14ac:dyDescent="0.3">
      <c r="A758" t="s">
        <v>2662</v>
      </c>
      <c r="B758">
        <v>495</v>
      </c>
      <c r="C758" t="s">
        <v>2663</v>
      </c>
      <c r="D758" t="s">
        <v>2664</v>
      </c>
      <c r="E758" t="s">
        <v>2665</v>
      </c>
      <c r="F758" t="s">
        <v>53</v>
      </c>
      <c r="L758" t="s">
        <v>16</v>
      </c>
    </row>
    <row r="759" spans="1:12" x14ac:dyDescent="0.3">
      <c r="A759" t="s">
        <v>2666</v>
      </c>
      <c r="B759">
        <v>58</v>
      </c>
      <c r="C759" t="s">
        <v>2667</v>
      </c>
      <c r="D759" t="s">
        <v>2668</v>
      </c>
      <c r="E759" t="s">
        <v>2669</v>
      </c>
      <c r="F759" t="s">
        <v>57</v>
      </c>
      <c r="L759" t="s">
        <v>21</v>
      </c>
    </row>
    <row r="760" spans="1:12" x14ac:dyDescent="0.3">
      <c r="A760" t="s">
        <v>2670</v>
      </c>
      <c r="B760">
        <v>1306</v>
      </c>
      <c r="C760" t="s">
        <v>2671</v>
      </c>
      <c r="D760" t="s">
        <v>2672</v>
      </c>
      <c r="E760" t="s">
        <v>2673</v>
      </c>
      <c r="F760" t="s">
        <v>15</v>
      </c>
      <c r="G760" s="18">
        <v>45447.916666666664</v>
      </c>
      <c r="K760" s="18">
        <v>45610.958333333336</v>
      </c>
      <c r="L760" t="s">
        <v>16</v>
      </c>
    </row>
    <row r="761" spans="1:12" x14ac:dyDescent="0.3">
      <c r="A761" t="s">
        <v>2674</v>
      </c>
      <c r="B761">
        <v>1743</v>
      </c>
      <c r="C761" t="s">
        <v>2675</v>
      </c>
      <c r="E761" t="s">
        <v>2676</v>
      </c>
    </row>
    <row r="762" spans="1:12" x14ac:dyDescent="0.3">
      <c r="A762" t="s">
        <v>2677</v>
      </c>
      <c r="B762">
        <v>2008</v>
      </c>
      <c r="C762" t="s">
        <v>2678</v>
      </c>
      <c r="D762" t="s">
        <v>2679</v>
      </c>
      <c r="E762" t="s">
        <v>2680</v>
      </c>
    </row>
    <row r="763" spans="1:12" x14ac:dyDescent="0.3">
      <c r="A763" t="s">
        <v>2681</v>
      </c>
      <c r="B763">
        <v>2066</v>
      </c>
      <c r="C763" t="s">
        <v>2682</v>
      </c>
      <c r="D763" t="s">
        <v>2683</v>
      </c>
      <c r="E763" t="s">
        <v>2684</v>
      </c>
    </row>
    <row r="764" spans="1:12" x14ac:dyDescent="0.3">
      <c r="A764" t="s">
        <v>2685</v>
      </c>
      <c r="B764">
        <v>1999</v>
      </c>
      <c r="C764" t="s">
        <v>2686</v>
      </c>
      <c r="D764" t="s">
        <v>2687</v>
      </c>
      <c r="E764" t="s">
        <v>2688</v>
      </c>
    </row>
    <row r="765" spans="1:12" x14ac:dyDescent="0.3">
      <c r="A765" t="s">
        <v>2689</v>
      </c>
      <c r="B765">
        <v>1010</v>
      </c>
      <c r="C765" t="s">
        <v>2690</v>
      </c>
      <c r="E765" t="s">
        <v>2691</v>
      </c>
      <c r="F765" t="s">
        <v>71</v>
      </c>
      <c r="L765" t="s">
        <v>16</v>
      </c>
    </row>
    <row r="766" spans="1:12" x14ac:dyDescent="0.3">
      <c r="A766" t="s">
        <v>2692</v>
      </c>
      <c r="B766">
        <v>1036</v>
      </c>
      <c r="C766" t="s">
        <v>2693</v>
      </c>
      <c r="E766" t="s">
        <v>2694</v>
      </c>
      <c r="F766" t="s">
        <v>15</v>
      </c>
      <c r="G766" s="18">
        <v>45380.958333333336</v>
      </c>
      <c r="H766" s="18">
        <v>45398.916666666664</v>
      </c>
      <c r="L766" t="s">
        <v>16</v>
      </c>
    </row>
    <row r="767" spans="1:12" x14ac:dyDescent="0.3">
      <c r="A767" t="s">
        <v>2695</v>
      </c>
      <c r="B767">
        <v>1053</v>
      </c>
      <c r="C767" t="s">
        <v>2696</v>
      </c>
      <c r="E767" t="s">
        <v>2697</v>
      </c>
      <c r="F767" t="s">
        <v>15</v>
      </c>
      <c r="K767" s="18">
        <v>45540.916666666664</v>
      </c>
      <c r="L767" t="s">
        <v>16</v>
      </c>
    </row>
    <row r="768" spans="1:12" x14ac:dyDescent="0.3">
      <c r="A768" t="s">
        <v>2698</v>
      </c>
      <c r="B768">
        <v>1889</v>
      </c>
      <c r="C768" t="s">
        <v>2699</v>
      </c>
      <c r="D768" t="s">
        <v>2700</v>
      </c>
      <c r="E768" t="s">
        <v>2701</v>
      </c>
    </row>
    <row r="769" spans="1:12" x14ac:dyDescent="0.3">
      <c r="A769" t="s">
        <v>2702</v>
      </c>
      <c r="B769">
        <v>307</v>
      </c>
      <c r="C769" t="s">
        <v>2703</v>
      </c>
      <c r="E769" t="s">
        <v>2704</v>
      </c>
      <c r="F769" t="s">
        <v>41</v>
      </c>
      <c r="G769" s="18">
        <v>45763.916666666664</v>
      </c>
      <c r="L769" t="s">
        <v>21</v>
      </c>
    </row>
    <row r="770" spans="1:12" x14ac:dyDescent="0.3">
      <c r="A770" t="s">
        <v>2705</v>
      </c>
      <c r="B770">
        <v>681</v>
      </c>
      <c r="C770" t="s">
        <v>2706</v>
      </c>
      <c r="E770" t="s">
        <v>2707</v>
      </c>
      <c r="F770" t="s">
        <v>15</v>
      </c>
      <c r="G770" s="18">
        <v>45723.958333333336</v>
      </c>
      <c r="K770" s="18">
        <v>45791.916666666664</v>
      </c>
      <c r="L770" t="s">
        <v>21</v>
      </c>
    </row>
    <row r="771" spans="1:12" x14ac:dyDescent="0.3">
      <c r="A771" t="s">
        <v>2708</v>
      </c>
      <c r="B771">
        <v>754</v>
      </c>
      <c r="C771" t="s">
        <v>2709</v>
      </c>
      <c r="F771" t="s">
        <v>71</v>
      </c>
      <c r="L771" t="s">
        <v>16</v>
      </c>
    </row>
    <row r="772" spans="1:12" x14ac:dyDescent="0.3">
      <c r="A772" t="s">
        <v>2710</v>
      </c>
      <c r="B772">
        <v>1094</v>
      </c>
      <c r="C772" t="s">
        <v>2711</v>
      </c>
      <c r="E772" t="s">
        <v>2712</v>
      </c>
      <c r="F772" t="s">
        <v>15</v>
      </c>
      <c r="G772" s="18">
        <v>45426.916666666664</v>
      </c>
      <c r="H772" s="18">
        <v>45511.916666666664</v>
      </c>
      <c r="K772" s="18">
        <v>45511.916666666664</v>
      </c>
      <c r="L772" t="s">
        <v>21</v>
      </c>
    </row>
    <row r="773" spans="1:12" x14ac:dyDescent="0.3">
      <c r="A773" t="s">
        <v>2713</v>
      </c>
      <c r="B773">
        <v>1299</v>
      </c>
      <c r="C773" t="s">
        <v>2714</v>
      </c>
      <c r="E773" t="s">
        <v>2715</v>
      </c>
      <c r="F773" t="s">
        <v>15</v>
      </c>
      <c r="G773" s="18">
        <v>45394.916666666664</v>
      </c>
      <c r="K773" s="18">
        <v>45747.916666666664</v>
      </c>
      <c r="L773" t="s">
        <v>16</v>
      </c>
    </row>
    <row r="774" spans="1:12" x14ac:dyDescent="0.3">
      <c r="A774" t="s">
        <v>2716</v>
      </c>
      <c r="B774">
        <v>1805</v>
      </c>
      <c r="C774" t="s">
        <v>2717</v>
      </c>
      <c r="D774" t="s">
        <v>2718</v>
      </c>
      <c r="E774" t="s">
        <v>2719</v>
      </c>
      <c r="F774" t="s">
        <v>53</v>
      </c>
      <c r="L774" t="s">
        <v>148</v>
      </c>
    </row>
    <row r="775" spans="1:12" x14ac:dyDescent="0.3">
      <c r="A775" t="s">
        <v>2720</v>
      </c>
      <c r="B775">
        <v>1507</v>
      </c>
      <c r="C775" t="s">
        <v>2721</v>
      </c>
      <c r="E775" t="s">
        <v>2722</v>
      </c>
      <c r="F775" t="s">
        <v>53</v>
      </c>
      <c r="L775" t="s">
        <v>37</v>
      </c>
    </row>
    <row r="776" spans="1:12" x14ac:dyDescent="0.3">
      <c r="A776" t="s">
        <v>2723</v>
      </c>
      <c r="B776">
        <v>2070</v>
      </c>
      <c r="C776" t="s">
        <v>2724</v>
      </c>
      <c r="D776" t="s">
        <v>2725</v>
      </c>
      <c r="E776" t="s">
        <v>2726</v>
      </c>
    </row>
    <row r="777" spans="1:12" x14ac:dyDescent="0.3">
      <c r="A777" t="s">
        <v>2727</v>
      </c>
      <c r="B777">
        <v>300</v>
      </c>
      <c r="C777" t="s">
        <v>2728</v>
      </c>
      <c r="D777" t="s">
        <v>2729</v>
      </c>
      <c r="E777" t="s">
        <v>2730</v>
      </c>
      <c r="F777" t="s">
        <v>53</v>
      </c>
      <c r="L777" t="s">
        <v>16</v>
      </c>
    </row>
    <row r="778" spans="1:12" x14ac:dyDescent="0.3">
      <c r="A778" t="s">
        <v>2731</v>
      </c>
      <c r="B778">
        <v>2057</v>
      </c>
      <c r="C778" t="s">
        <v>2728</v>
      </c>
      <c r="D778" t="s">
        <v>2729</v>
      </c>
      <c r="E778" t="s">
        <v>2732</v>
      </c>
      <c r="L778" t="s">
        <v>1842</v>
      </c>
    </row>
    <row r="779" spans="1:12" x14ac:dyDescent="0.3">
      <c r="A779" t="s">
        <v>2733</v>
      </c>
      <c r="B779">
        <v>501</v>
      </c>
      <c r="C779" t="s">
        <v>2734</v>
      </c>
      <c r="D779" t="s">
        <v>2735</v>
      </c>
      <c r="E779" t="s">
        <v>2736</v>
      </c>
      <c r="F779" t="s">
        <v>41</v>
      </c>
      <c r="L779" t="s">
        <v>315</v>
      </c>
    </row>
    <row r="780" spans="1:12" x14ac:dyDescent="0.3">
      <c r="A780" t="s">
        <v>2737</v>
      </c>
      <c r="B780">
        <v>408</v>
      </c>
      <c r="C780" t="s">
        <v>2738</v>
      </c>
      <c r="D780" t="s">
        <v>2739</v>
      </c>
      <c r="E780" t="s">
        <v>2740</v>
      </c>
      <c r="F780" t="s">
        <v>53</v>
      </c>
      <c r="L780" t="s">
        <v>519</v>
      </c>
    </row>
    <row r="781" spans="1:12" x14ac:dyDescent="0.3">
      <c r="A781" t="s">
        <v>2741</v>
      </c>
      <c r="B781">
        <v>1958</v>
      </c>
      <c r="C781" t="s">
        <v>2742</v>
      </c>
      <c r="D781" t="s">
        <v>2743</v>
      </c>
      <c r="E781" t="s">
        <v>2744</v>
      </c>
    </row>
    <row r="782" spans="1:12" x14ac:dyDescent="0.3">
      <c r="A782" t="s">
        <v>2745</v>
      </c>
      <c r="B782">
        <v>1508</v>
      </c>
      <c r="C782" t="s">
        <v>2746</v>
      </c>
      <c r="E782" t="s">
        <v>2747</v>
      </c>
      <c r="F782" t="s">
        <v>53</v>
      </c>
      <c r="L782" t="s">
        <v>37</v>
      </c>
    </row>
    <row r="783" spans="1:12" x14ac:dyDescent="0.3">
      <c r="A783" t="s">
        <v>2748</v>
      </c>
      <c r="B783">
        <v>141</v>
      </c>
      <c r="C783" t="s">
        <v>2749</v>
      </c>
      <c r="E783" t="s">
        <v>2750</v>
      </c>
      <c r="F783" t="s">
        <v>53</v>
      </c>
      <c r="L783" t="s">
        <v>16</v>
      </c>
    </row>
    <row r="784" spans="1:12" x14ac:dyDescent="0.3">
      <c r="A784" t="s">
        <v>2751</v>
      </c>
      <c r="B784">
        <v>1154</v>
      </c>
      <c r="C784" t="s">
        <v>2752</v>
      </c>
      <c r="E784" t="s">
        <v>2753</v>
      </c>
      <c r="F784" t="s">
        <v>15</v>
      </c>
      <c r="G784" s="18">
        <v>45483.916666666664</v>
      </c>
      <c r="K784" s="18">
        <v>45583.916666666664</v>
      </c>
      <c r="L784" t="s">
        <v>21</v>
      </c>
    </row>
    <row r="785" spans="1:12" x14ac:dyDescent="0.3">
      <c r="A785" t="s">
        <v>2754</v>
      </c>
      <c r="B785">
        <v>1509</v>
      </c>
      <c r="C785" t="s">
        <v>2755</v>
      </c>
      <c r="E785" t="s">
        <v>2756</v>
      </c>
      <c r="F785" t="s">
        <v>53</v>
      </c>
      <c r="L785" t="s">
        <v>37</v>
      </c>
    </row>
    <row r="786" spans="1:12" x14ac:dyDescent="0.3">
      <c r="A786" t="s">
        <v>2757</v>
      </c>
      <c r="B786">
        <v>1721</v>
      </c>
      <c r="C786" t="s">
        <v>2758</v>
      </c>
      <c r="D786" t="s">
        <v>2759</v>
      </c>
      <c r="E786" t="s">
        <v>2760</v>
      </c>
      <c r="F786" t="s">
        <v>53</v>
      </c>
      <c r="L786" t="s">
        <v>230</v>
      </c>
    </row>
    <row r="787" spans="1:12" x14ac:dyDescent="0.3">
      <c r="A787" t="s">
        <v>2761</v>
      </c>
      <c r="B787">
        <v>871</v>
      </c>
      <c r="C787" t="s">
        <v>2762</v>
      </c>
      <c r="E787" t="s">
        <v>2763</v>
      </c>
      <c r="F787" t="s">
        <v>15</v>
      </c>
      <c r="K787" s="18">
        <v>45617.958333333336</v>
      </c>
      <c r="L787" t="s">
        <v>21</v>
      </c>
    </row>
    <row r="788" spans="1:12" x14ac:dyDescent="0.3">
      <c r="A788" t="s">
        <v>2764</v>
      </c>
      <c r="B788">
        <v>1348</v>
      </c>
      <c r="C788" t="s">
        <v>2765</v>
      </c>
      <c r="E788" t="s">
        <v>2766</v>
      </c>
      <c r="F788" t="s">
        <v>15</v>
      </c>
      <c r="H788" s="18">
        <v>45554.916666666664</v>
      </c>
      <c r="K788" s="18">
        <v>45554.916666666664</v>
      </c>
      <c r="L788" t="s">
        <v>16</v>
      </c>
    </row>
    <row r="789" spans="1:12" x14ac:dyDescent="0.3">
      <c r="A789" t="s">
        <v>2767</v>
      </c>
      <c r="B789">
        <v>1879</v>
      </c>
      <c r="C789" t="s">
        <v>2768</v>
      </c>
      <c r="D789" t="s">
        <v>2769</v>
      </c>
      <c r="E789" t="s">
        <v>2770</v>
      </c>
    </row>
    <row r="790" spans="1:12" x14ac:dyDescent="0.3">
      <c r="A790" t="s">
        <v>2771</v>
      </c>
      <c r="B790">
        <v>1771</v>
      </c>
      <c r="C790" t="s">
        <v>2772</v>
      </c>
      <c r="E790" t="s">
        <v>2773</v>
      </c>
    </row>
    <row r="791" spans="1:12" x14ac:dyDescent="0.3">
      <c r="A791" t="s">
        <v>2774</v>
      </c>
      <c r="B791">
        <v>943</v>
      </c>
      <c r="C791" t="s">
        <v>2775</v>
      </c>
      <c r="E791" t="s">
        <v>2776</v>
      </c>
      <c r="F791" t="s">
        <v>57</v>
      </c>
      <c r="K791" s="18">
        <v>45754.916666666664</v>
      </c>
      <c r="L791" t="s">
        <v>16</v>
      </c>
    </row>
    <row r="792" spans="1:12" x14ac:dyDescent="0.3">
      <c r="A792" t="s">
        <v>2777</v>
      </c>
      <c r="B792">
        <v>1892</v>
      </c>
      <c r="C792" t="s">
        <v>2778</v>
      </c>
      <c r="D792" t="s">
        <v>2779</v>
      </c>
      <c r="E792" t="s">
        <v>2780</v>
      </c>
    </row>
    <row r="793" spans="1:12" x14ac:dyDescent="0.3">
      <c r="A793" t="s">
        <v>2781</v>
      </c>
      <c r="B793">
        <v>466</v>
      </c>
      <c r="C793" t="s">
        <v>2782</v>
      </c>
      <c r="D793" t="s">
        <v>2783</v>
      </c>
      <c r="E793" t="s">
        <v>2784</v>
      </c>
      <c r="F793" t="s">
        <v>53</v>
      </c>
      <c r="L793" t="s">
        <v>16</v>
      </c>
    </row>
    <row r="794" spans="1:12" x14ac:dyDescent="0.3">
      <c r="A794" t="s">
        <v>2785</v>
      </c>
      <c r="B794">
        <v>42</v>
      </c>
      <c r="C794" t="s">
        <v>2786</v>
      </c>
      <c r="D794" t="s">
        <v>2787</v>
      </c>
      <c r="E794" t="s">
        <v>2788</v>
      </c>
      <c r="F794" t="s">
        <v>41</v>
      </c>
      <c r="G794" s="18">
        <v>45763.916666666664</v>
      </c>
      <c r="L794" t="s">
        <v>21</v>
      </c>
    </row>
    <row r="795" spans="1:12" x14ac:dyDescent="0.3">
      <c r="A795" t="s">
        <v>2789</v>
      </c>
      <c r="B795">
        <v>967</v>
      </c>
      <c r="C795" t="s">
        <v>2790</v>
      </c>
      <c r="E795" t="s">
        <v>1053</v>
      </c>
      <c r="F795" t="s">
        <v>15</v>
      </c>
      <c r="K795" s="18">
        <v>45533.916666666664</v>
      </c>
      <c r="L795" t="s">
        <v>16</v>
      </c>
    </row>
    <row r="796" spans="1:12" x14ac:dyDescent="0.3">
      <c r="A796" t="s">
        <v>2791</v>
      </c>
      <c r="B796">
        <v>1510</v>
      </c>
      <c r="C796" t="s">
        <v>2792</v>
      </c>
      <c r="D796" t="s">
        <v>2793</v>
      </c>
      <c r="E796" t="s">
        <v>2794</v>
      </c>
      <c r="F796" t="s">
        <v>53</v>
      </c>
      <c r="L796" t="s">
        <v>37</v>
      </c>
    </row>
    <row r="797" spans="1:12" x14ac:dyDescent="0.3">
      <c r="A797" t="s">
        <v>2795</v>
      </c>
      <c r="B797">
        <v>2038</v>
      </c>
      <c r="C797" t="s">
        <v>2796</v>
      </c>
      <c r="D797" t="s">
        <v>2797</v>
      </c>
      <c r="E797" t="s">
        <v>2798</v>
      </c>
    </row>
    <row r="798" spans="1:12" x14ac:dyDescent="0.3">
      <c r="A798" t="s">
        <v>2799</v>
      </c>
      <c r="B798">
        <v>735</v>
      </c>
      <c r="C798" t="s">
        <v>2800</v>
      </c>
      <c r="E798" t="s">
        <v>2801</v>
      </c>
      <c r="F798" t="s">
        <v>15</v>
      </c>
      <c r="L798" t="s">
        <v>16</v>
      </c>
    </row>
    <row r="799" spans="1:12" x14ac:dyDescent="0.3">
      <c r="A799" t="s">
        <v>2802</v>
      </c>
      <c r="B799">
        <v>1803</v>
      </c>
      <c r="C799" t="s">
        <v>2803</v>
      </c>
      <c r="D799" t="s">
        <v>2804</v>
      </c>
      <c r="E799" t="s">
        <v>2805</v>
      </c>
      <c r="F799" t="s">
        <v>53</v>
      </c>
      <c r="L799" t="s">
        <v>148</v>
      </c>
    </row>
    <row r="800" spans="1:12" x14ac:dyDescent="0.3">
      <c r="A800" t="s">
        <v>2806</v>
      </c>
      <c r="B800">
        <v>2025</v>
      </c>
      <c r="C800" t="s">
        <v>2807</v>
      </c>
      <c r="E800" t="s">
        <v>2808</v>
      </c>
    </row>
    <row r="801" spans="1:12" x14ac:dyDescent="0.3">
      <c r="A801" t="s">
        <v>2809</v>
      </c>
      <c r="B801">
        <v>1309</v>
      </c>
      <c r="C801" t="s">
        <v>2810</v>
      </c>
      <c r="E801" t="s">
        <v>2811</v>
      </c>
      <c r="F801" t="s">
        <v>49</v>
      </c>
      <c r="L801" t="s">
        <v>16</v>
      </c>
    </row>
    <row r="802" spans="1:12" x14ac:dyDescent="0.3">
      <c r="A802" t="s">
        <v>2812</v>
      </c>
      <c r="B802">
        <v>902</v>
      </c>
      <c r="C802" t="s">
        <v>2813</v>
      </c>
      <c r="F802" t="s">
        <v>71</v>
      </c>
      <c r="L802" t="s">
        <v>16</v>
      </c>
    </row>
    <row r="803" spans="1:12" x14ac:dyDescent="0.3">
      <c r="A803" t="s">
        <v>2814</v>
      </c>
      <c r="B803">
        <v>1617</v>
      </c>
      <c r="C803" t="s">
        <v>2815</v>
      </c>
      <c r="D803" t="s">
        <v>2816</v>
      </c>
      <c r="E803" t="s">
        <v>2817</v>
      </c>
      <c r="F803" t="s">
        <v>53</v>
      </c>
      <c r="L803" t="s">
        <v>37</v>
      </c>
    </row>
    <row r="804" spans="1:12" x14ac:dyDescent="0.3">
      <c r="A804" t="s">
        <v>2818</v>
      </c>
      <c r="B804">
        <v>1037</v>
      </c>
      <c r="C804" t="s">
        <v>2819</v>
      </c>
      <c r="E804" t="s">
        <v>2820</v>
      </c>
      <c r="F804" t="s">
        <v>15</v>
      </c>
      <c r="G804" s="18">
        <v>45380.958333333336</v>
      </c>
      <c r="H804" s="18">
        <v>45398.916666666664</v>
      </c>
      <c r="L804" t="s">
        <v>16</v>
      </c>
    </row>
    <row r="805" spans="1:12" x14ac:dyDescent="0.3">
      <c r="A805" t="s">
        <v>2821</v>
      </c>
      <c r="B805">
        <v>22</v>
      </c>
      <c r="C805" t="s">
        <v>2822</v>
      </c>
      <c r="D805" t="s">
        <v>2823</v>
      </c>
      <c r="E805" t="s">
        <v>2824</v>
      </c>
      <c r="F805" t="s">
        <v>15</v>
      </c>
      <c r="K805" s="18">
        <v>45808.916666666664</v>
      </c>
      <c r="L805" t="s">
        <v>16</v>
      </c>
    </row>
    <row r="806" spans="1:12" x14ac:dyDescent="0.3">
      <c r="A806" t="s">
        <v>2825</v>
      </c>
      <c r="B806">
        <v>724</v>
      </c>
      <c r="C806" t="s">
        <v>2826</v>
      </c>
      <c r="E806" t="s">
        <v>2827</v>
      </c>
      <c r="F806" t="s">
        <v>41</v>
      </c>
      <c r="G806" s="18">
        <v>45162.916666666664</v>
      </c>
      <c r="H806" s="18">
        <v>45776.916666666664</v>
      </c>
      <c r="K806" s="18">
        <v>45776.916666666664</v>
      </c>
      <c r="L806" t="s">
        <v>16</v>
      </c>
    </row>
    <row r="807" spans="1:12" x14ac:dyDescent="0.3">
      <c r="A807" t="s">
        <v>2828</v>
      </c>
      <c r="B807">
        <v>711</v>
      </c>
      <c r="C807" t="s">
        <v>2829</v>
      </c>
      <c r="E807" t="s">
        <v>2830</v>
      </c>
      <c r="F807" t="s">
        <v>15</v>
      </c>
      <c r="G807" s="18">
        <v>45291.958333333336</v>
      </c>
      <c r="H807" s="18">
        <v>45453.916666666664</v>
      </c>
      <c r="L807" t="s">
        <v>16</v>
      </c>
    </row>
    <row r="808" spans="1:12" x14ac:dyDescent="0.3">
      <c r="A808" t="s">
        <v>2831</v>
      </c>
      <c r="B808">
        <v>1618</v>
      </c>
      <c r="C808" t="s">
        <v>2832</v>
      </c>
      <c r="D808" t="s">
        <v>2833</v>
      </c>
      <c r="E808" t="s">
        <v>2834</v>
      </c>
      <c r="F808" t="s">
        <v>53</v>
      </c>
      <c r="L808" t="s">
        <v>37</v>
      </c>
    </row>
    <row r="809" spans="1:12" x14ac:dyDescent="0.3">
      <c r="A809" t="s">
        <v>2835</v>
      </c>
      <c r="B809">
        <v>365</v>
      </c>
      <c r="C809" t="s">
        <v>2836</v>
      </c>
      <c r="D809" t="s">
        <v>2837</v>
      </c>
      <c r="E809" t="s">
        <v>2838</v>
      </c>
      <c r="F809" t="s">
        <v>53</v>
      </c>
      <c r="L809" t="s">
        <v>16</v>
      </c>
    </row>
    <row r="810" spans="1:12" x14ac:dyDescent="0.3">
      <c r="A810" t="s">
        <v>2839</v>
      </c>
      <c r="B810">
        <v>1511</v>
      </c>
      <c r="C810" t="s">
        <v>2840</v>
      </c>
      <c r="E810" t="s">
        <v>2841</v>
      </c>
      <c r="F810" t="s">
        <v>41</v>
      </c>
      <c r="G810" s="18">
        <v>45774.916666666664</v>
      </c>
      <c r="L810" t="s">
        <v>37</v>
      </c>
    </row>
    <row r="811" spans="1:12" x14ac:dyDescent="0.3">
      <c r="A811" t="s">
        <v>2842</v>
      </c>
      <c r="B811">
        <v>866</v>
      </c>
      <c r="C811" t="s">
        <v>2843</v>
      </c>
      <c r="E811" t="s">
        <v>2844</v>
      </c>
      <c r="F811" t="s">
        <v>15</v>
      </c>
      <c r="G811" s="18">
        <v>45711.958333333336</v>
      </c>
      <c r="K811" s="18">
        <v>45715.958333333336</v>
      </c>
      <c r="L811" t="s">
        <v>16</v>
      </c>
    </row>
    <row r="812" spans="1:12" x14ac:dyDescent="0.3">
      <c r="A812" t="s">
        <v>2845</v>
      </c>
      <c r="B812">
        <v>728</v>
      </c>
      <c r="C812" t="s">
        <v>2846</v>
      </c>
      <c r="E812" t="s">
        <v>2847</v>
      </c>
      <c r="F812" t="s">
        <v>170</v>
      </c>
      <c r="G812" s="18">
        <v>45162.916666666664</v>
      </c>
      <c r="K812" s="18">
        <v>45512.916666666664</v>
      </c>
      <c r="L812" t="s">
        <v>16</v>
      </c>
    </row>
    <row r="813" spans="1:12" x14ac:dyDescent="0.3">
      <c r="A813" t="s">
        <v>2848</v>
      </c>
      <c r="B813">
        <v>1246</v>
      </c>
      <c r="C813" t="s">
        <v>2849</v>
      </c>
      <c r="E813" t="s">
        <v>2850</v>
      </c>
      <c r="F813" t="s">
        <v>71</v>
      </c>
      <c r="L813" t="s">
        <v>21</v>
      </c>
    </row>
    <row r="814" spans="1:12" x14ac:dyDescent="0.3">
      <c r="A814" t="s">
        <v>2851</v>
      </c>
      <c r="B814">
        <v>858</v>
      </c>
      <c r="C814" t="s">
        <v>2852</v>
      </c>
      <c r="E814" t="s">
        <v>2162</v>
      </c>
      <c r="F814" t="s">
        <v>15</v>
      </c>
      <c r="G814" s="18">
        <v>45344.958333333336</v>
      </c>
      <c r="H814" s="18">
        <v>45417.916666666664</v>
      </c>
      <c r="L814" t="s">
        <v>16</v>
      </c>
    </row>
    <row r="815" spans="1:12" x14ac:dyDescent="0.3">
      <c r="A815" t="s">
        <v>2853</v>
      </c>
      <c r="B815">
        <v>193</v>
      </c>
      <c r="C815" t="s">
        <v>2854</v>
      </c>
      <c r="E815" t="s">
        <v>2855</v>
      </c>
      <c r="F815" t="s">
        <v>36</v>
      </c>
      <c r="G815" s="18">
        <v>45727.958333333336</v>
      </c>
      <c r="L815" t="s">
        <v>16</v>
      </c>
    </row>
    <row r="816" spans="1:12" x14ac:dyDescent="0.3">
      <c r="A816" t="s">
        <v>2856</v>
      </c>
      <c r="B816">
        <v>1992</v>
      </c>
      <c r="C816" t="s">
        <v>2857</v>
      </c>
      <c r="D816" t="s">
        <v>2858</v>
      </c>
      <c r="E816" t="s">
        <v>2859</v>
      </c>
    </row>
    <row r="817" spans="1:12" x14ac:dyDescent="0.3">
      <c r="A817" t="s">
        <v>2860</v>
      </c>
      <c r="B817">
        <v>1020</v>
      </c>
      <c r="C817" t="s">
        <v>2861</v>
      </c>
      <c r="E817" t="s">
        <v>2862</v>
      </c>
      <c r="F817" t="s">
        <v>15</v>
      </c>
      <c r="G817" s="18">
        <v>45313.958333333336</v>
      </c>
      <c r="H817" s="18">
        <v>45404.916666666664</v>
      </c>
      <c r="L817" t="s">
        <v>16</v>
      </c>
    </row>
    <row r="818" spans="1:12" x14ac:dyDescent="0.3">
      <c r="A818" t="s">
        <v>2863</v>
      </c>
      <c r="B818">
        <v>567</v>
      </c>
      <c r="C818" t="s">
        <v>2864</v>
      </c>
      <c r="E818" t="s">
        <v>2865</v>
      </c>
      <c r="F818" t="s">
        <v>53</v>
      </c>
      <c r="L818" t="s">
        <v>16</v>
      </c>
    </row>
    <row r="819" spans="1:12" x14ac:dyDescent="0.3">
      <c r="A819" t="s">
        <v>2866</v>
      </c>
      <c r="B819">
        <v>238</v>
      </c>
      <c r="C819" t="s">
        <v>2867</v>
      </c>
      <c r="D819" t="s">
        <v>2868</v>
      </c>
      <c r="E819" t="s">
        <v>2869</v>
      </c>
      <c r="F819" t="s">
        <v>53</v>
      </c>
      <c r="L819" t="s">
        <v>16</v>
      </c>
    </row>
    <row r="820" spans="1:12" x14ac:dyDescent="0.3">
      <c r="A820" t="s">
        <v>2870</v>
      </c>
      <c r="B820">
        <v>2028</v>
      </c>
      <c r="C820" t="s">
        <v>2871</v>
      </c>
      <c r="D820" t="s">
        <v>2872</v>
      </c>
      <c r="E820" t="s">
        <v>2873</v>
      </c>
    </row>
    <row r="821" spans="1:12" x14ac:dyDescent="0.3">
      <c r="A821" t="s">
        <v>2874</v>
      </c>
      <c r="B821">
        <v>68</v>
      </c>
      <c r="C821" t="s">
        <v>2875</v>
      </c>
      <c r="D821" t="s">
        <v>2876</v>
      </c>
      <c r="E821" t="s">
        <v>2877</v>
      </c>
      <c r="F821" t="s">
        <v>41</v>
      </c>
      <c r="G821" s="18">
        <v>45394.916666666664</v>
      </c>
      <c r="L821" t="s">
        <v>16</v>
      </c>
    </row>
    <row r="822" spans="1:12" x14ac:dyDescent="0.3">
      <c r="A822" t="s">
        <v>2878</v>
      </c>
      <c r="B822">
        <v>893</v>
      </c>
      <c r="C822" t="s">
        <v>2879</v>
      </c>
      <c r="E822" t="s">
        <v>2880</v>
      </c>
      <c r="F822" t="s">
        <v>15</v>
      </c>
      <c r="G822" s="18">
        <v>45669.958333333336</v>
      </c>
      <c r="K822" s="18">
        <v>45715.958333333336</v>
      </c>
      <c r="L822" t="s">
        <v>21</v>
      </c>
    </row>
    <row r="823" spans="1:12" x14ac:dyDescent="0.3">
      <c r="A823" t="s">
        <v>2881</v>
      </c>
      <c r="B823">
        <v>872</v>
      </c>
      <c r="C823" t="s">
        <v>2882</v>
      </c>
      <c r="E823" t="s">
        <v>2883</v>
      </c>
      <c r="F823" t="s">
        <v>15</v>
      </c>
      <c r="L823" t="s">
        <v>16</v>
      </c>
    </row>
    <row r="824" spans="1:12" x14ac:dyDescent="0.3">
      <c r="A824" t="s">
        <v>2884</v>
      </c>
      <c r="B824">
        <v>276</v>
      </c>
      <c r="C824" t="s">
        <v>2885</v>
      </c>
      <c r="E824" t="s">
        <v>2886</v>
      </c>
      <c r="F824" t="s">
        <v>41</v>
      </c>
      <c r="G824" s="18">
        <v>45760.916666666664</v>
      </c>
      <c r="L824" t="s">
        <v>16</v>
      </c>
    </row>
    <row r="825" spans="1:12" x14ac:dyDescent="0.3">
      <c r="A825" t="s">
        <v>2887</v>
      </c>
      <c r="B825">
        <v>53</v>
      </c>
      <c r="C825" t="s">
        <v>2888</v>
      </c>
      <c r="D825" t="s">
        <v>2889</v>
      </c>
      <c r="E825" t="s">
        <v>2890</v>
      </c>
      <c r="F825" t="s">
        <v>41</v>
      </c>
      <c r="G825" s="18">
        <v>45763.916666666664</v>
      </c>
      <c r="L825" t="s">
        <v>21</v>
      </c>
    </row>
    <row r="826" spans="1:12" x14ac:dyDescent="0.3">
      <c r="A826" t="s">
        <v>2891</v>
      </c>
      <c r="B826">
        <v>33</v>
      </c>
      <c r="C826" t="s">
        <v>2892</v>
      </c>
      <c r="D826" t="s">
        <v>2893</v>
      </c>
      <c r="E826" t="s">
        <v>2894</v>
      </c>
      <c r="F826" t="s">
        <v>57</v>
      </c>
      <c r="L826" t="s">
        <v>21</v>
      </c>
    </row>
    <row r="827" spans="1:12" x14ac:dyDescent="0.3">
      <c r="A827" t="s">
        <v>2895</v>
      </c>
      <c r="B827">
        <v>891</v>
      </c>
      <c r="C827" t="s">
        <v>2896</v>
      </c>
      <c r="D827" t="s">
        <v>2897</v>
      </c>
      <c r="E827" t="s">
        <v>2898</v>
      </c>
      <c r="F827" t="s">
        <v>170</v>
      </c>
      <c r="K827" s="18">
        <v>45693.958333333336</v>
      </c>
      <c r="L827" t="s">
        <v>21</v>
      </c>
    </row>
    <row r="828" spans="1:12" x14ac:dyDescent="0.3">
      <c r="A828" t="s">
        <v>2899</v>
      </c>
      <c r="B828">
        <v>130</v>
      </c>
      <c r="C828" t="s">
        <v>2900</v>
      </c>
      <c r="D828" t="s">
        <v>2901</v>
      </c>
      <c r="E828" t="s">
        <v>2902</v>
      </c>
      <c r="F828" t="s">
        <v>57</v>
      </c>
      <c r="L828" t="s">
        <v>21</v>
      </c>
    </row>
    <row r="829" spans="1:12" x14ac:dyDescent="0.3">
      <c r="A829" t="s">
        <v>2903</v>
      </c>
      <c r="B829">
        <v>1967</v>
      </c>
      <c r="C829" t="s">
        <v>2904</v>
      </c>
      <c r="D829" t="s">
        <v>2905</v>
      </c>
      <c r="E829" t="s">
        <v>2906</v>
      </c>
    </row>
    <row r="830" spans="1:12" x14ac:dyDescent="0.3">
      <c r="A830" t="s">
        <v>2907</v>
      </c>
      <c r="B830">
        <v>255</v>
      </c>
      <c r="C830" t="s">
        <v>2908</v>
      </c>
      <c r="D830" t="s">
        <v>2909</v>
      </c>
      <c r="E830" t="s">
        <v>2910</v>
      </c>
      <c r="F830" t="s">
        <v>41</v>
      </c>
      <c r="G830" s="18">
        <v>45763.916666666664</v>
      </c>
      <c r="L830" t="s">
        <v>21</v>
      </c>
    </row>
    <row r="831" spans="1:12" x14ac:dyDescent="0.3">
      <c r="A831" t="s">
        <v>2911</v>
      </c>
      <c r="B831">
        <v>1200</v>
      </c>
      <c r="C831" t="s">
        <v>2912</v>
      </c>
      <c r="E831" t="s">
        <v>2913</v>
      </c>
      <c r="F831" t="s">
        <v>15</v>
      </c>
      <c r="K831" s="18">
        <v>45771.916666666664</v>
      </c>
      <c r="L831" t="s">
        <v>16</v>
      </c>
    </row>
    <row r="832" spans="1:12" x14ac:dyDescent="0.3">
      <c r="A832" t="s">
        <v>2914</v>
      </c>
      <c r="B832">
        <v>895</v>
      </c>
      <c r="C832" t="s">
        <v>2915</v>
      </c>
      <c r="E832" t="s">
        <v>2916</v>
      </c>
      <c r="F832" t="s">
        <v>170</v>
      </c>
      <c r="G832" s="18">
        <v>45676.958333333336</v>
      </c>
      <c r="K832" s="18">
        <v>45687.958333333336</v>
      </c>
      <c r="L832" t="s">
        <v>21</v>
      </c>
    </row>
    <row r="833" spans="1:12" x14ac:dyDescent="0.3">
      <c r="A833" t="s">
        <v>2917</v>
      </c>
      <c r="B833">
        <v>112</v>
      </c>
      <c r="C833" t="s">
        <v>2918</v>
      </c>
      <c r="D833" t="s">
        <v>2919</v>
      </c>
      <c r="E833" t="s">
        <v>2920</v>
      </c>
      <c r="F833" t="s">
        <v>41</v>
      </c>
      <c r="G833" s="18">
        <v>45750.916666666664</v>
      </c>
      <c r="L833" t="s">
        <v>21</v>
      </c>
    </row>
    <row r="834" spans="1:12" x14ac:dyDescent="0.3">
      <c r="A834" t="s">
        <v>2921</v>
      </c>
      <c r="B834">
        <v>346</v>
      </c>
      <c r="C834" t="s">
        <v>2922</v>
      </c>
      <c r="D834" t="s">
        <v>2923</v>
      </c>
      <c r="E834" t="s">
        <v>2924</v>
      </c>
      <c r="F834" t="s">
        <v>41</v>
      </c>
      <c r="G834" s="18">
        <v>45763.916666666664</v>
      </c>
      <c r="L834" t="s">
        <v>21</v>
      </c>
    </row>
    <row r="835" spans="1:12" x14ac:dyDescent="0.3">
      <c r="A835" t="s">
        <v>2925</v>
      </c>
      <c r="B835">
        <v>1149</v>
      </c>
      <c r="C835" t="s">
        <v>2926</v>
      </c>
      <c r="E835" t="s">
        <v>2927</v>
      </c>
      <c r="F835" t="s">
        <v>15</v>
      </c>
      <c r="G835" s="18">
        <v>45433.916666666664</v>
      </c>
      <c r="H835" s="18">
        <v>45540.916666666664</v>
      </c>
      <c r="K835" s="18">
        <v>45540.916666666664</v>
      </c>
      <c r="L835" t="s">
        <v>16</v>
      </c>
    </row>
    <row r="836" spans="1:12" x14ac:dyDescent="0.3">
      <c r="A836" t="s">
        <v>2928</v>
      </c>
      <c r="B836">
        <v>1966</v>
      </c>
      <c r="C836" t="s">
        <v>2929</v>
      </c>
      <c r="E836" t="s">
        <v>2930</v>
      </c>
    </row>
    <row r="837" spans="1:12" x14ac:dyDescent="0.3">
      <c r="A837" t="s">
        <v>2931</v>
      </c>
      <c r="B837">
        <v>311</v>
      </c>
      <c r="C837" t="s">
        <v>2932</v>
      </c>
      <c r="E837" t="s">
        <v>2933</v>
      </c>
      <c r="F837" t="s">
        <v>41</v>
      </c>
      <c r="G837" s="18">
        <v>45524.916666666664</v>
      </c>
      <c r="L837" t="s">
        <v>21</v>
      </c>
    </row>
    <row r="838" spans="1:12" x14ac:dyDescent="0.3">
      <c r="A838" t="s">
        <v>2934</v>
      </c>
      <c r="B838">
        <v>1375</v>
      </c>
      <c r="C838" t="s">
        <v>2935</v>
      </c>
      <c r="E838" t="s">
        <v>2936</v>
      </c>
      <c r="F838" t="s">
        <v>15</v>
      </c>
      <c r="G838" s="18">
        <v>45401.916666666664</v>
      </c>
      <c r="H838" s="18">
        <v>45538.916666666664</v>
      </c>
      <c r="K838" s="18">
        <v>45538.916666666664</v>
      </c>
      <c r="L838" t="s">
        <v>16</v>
      </c>
    </row>
    <row r="839" spans="1:12" x14ac:dyDescent="0.3">
      <c r="A839" t="s">
        <v>2937</v>
      </c>
      <c r="B839">
        <v>1414</v>
      </c>
      <c r="C839" t="s">
        <v>2938</v>
      </c>
      <c r="D839" t="s">
        <v>2939</v>
      </c>
      <c r="E839" t="s">
        <v>2940</v>
      </c>
      <c r="F839" t="s">
        <v>53</v>
      </c>
      <c r="I839" s="18">
        <v>45811.916666666664</v>
      </c>
      <c r="J839" s="18">
        <v>45842.916666666664</v>
      </c>
      <c r="L839" t="s">
        <v>315</v>
      </c>
    </row>
    <row r="840" spans="1:12" x14ac:dyDescent="0.3">
      <c r="A840" t="s">
        <v>2941</v>
      </c>
      <c r="B840">
        <v>587</v>
      </c>
      <c r="C840" t="s">
        <v>2942</v>
      </c>
      <c r="D840" t="s">
        <v>2943</v>
      </c>
      <c r="E840" t="s">
        <v>2944</v>
      </c>
      <c r="F840" t="s">
        <v>53</v>
      </c>
      <c r="L840" t="s">
        <v>315</v>
      </c>
    </row>
    <row r="841" spans="1:12" x14ac:dyDescent="0.3">
      <c r="A841" t="s">
        <v>2945</v>
      </c>
      <c r="B841">
        <v>419</v>
      </c>
      <c r="C841" t="s">
        <v>2946</v>
      </c>
      <c r="D841" t="s">
        <v>2947</v>
      </c>
      <c r="E841" t="s">
        <v>2948</v>
      </c>
      <c r="F841" t="s">
        <v>41</v>
      </c>
      <c r="G841" s="18">
        <v>45760.916666666664</v>
      </c>
      <c r="L841" t="s">
        <v>16</v>
      </c>
    </row>
    <row r="842" spans="1:12" x14ac:dyDescent="0.3">
      <c r="A842" t="s">
        <v>2949</v>
      </c>
      <c r="B842">
        <v>470</v>
      </c>
      <c r="C842" t="s">
        <v>2950</v>
      </c>
      <c r="E842" t="s">
        <v>2951</v>
      </c>
      <c r="F842" t="s">
        <v>41</v>
      </c>
      <c r="G842" s="18">
        <v>45763.916666666664</v>
      </c>
      <c r="L842" t="s">
        <v>21</v>
      </c>
    </row>
    <row r="843" spans="1:12" x14ac:dyDescent="0.3">
      <c r="A843" t="s">
        <v>2952</v>
      </c>
      <c r="B843">
        <v>203</v>
      </c>
      <c r="C843" t="s">
        <v>2953</v>
      </c>
      <c r="D843" t="s">
        <v>2954</v>
      </c>
      <c r="E843" t="s">
        <v>2955</v>
      </c>
      <c r="F843" t="s">
        <v>41</v>
      </c>
      <c r="G843" s="18">
        <v>45768.916666666664</v>
      </c>
      <c r="L843" t="s">
        <v>21</v>
      </c>
    </row>
    <row r="844" spans="1:12" x14ac:dyDescent="0.3">
      <c r="A844" t="s">
        <v>2956</v>
      </c>
      <c r="B844">
        <v>1975</v>
      </c>
      <c r="C844" t="s">
        <v>2957</v>
      </c>
      <c r="D844" t="s">
        <v>2958</v>
      </c>
      <c r="E844" t="s">
        <v>2959</v>
      </c>
    </row>
    <row r="845" spans="1:12" x14ac:dyDescent="0.3">
      <c r="A845" t="s">
        <v>2960</v>
      </c>
      <c r="B845">
        <v>122</v>
      </c>
      <c r="C845" t="s">
        <v>2961</v>
      </c>
      <c r="E845" t="s">
        <v>2962</v>
      </c>
      <c r="F845" t="s">
        <v>41</v>
      </c>
      <c r="G845" s="18">
        <v>45674.958333333336</v>
      </c>
      <c r="L845" t="s">
        <v>16</v>
      </c>
    </row>
    <row r="846" spans="1:12" x14ac:dyDescent="0.3">
      <c r="A846" t="s">
        <v>2963</v>
      </c>
      <c r="B846">
        <v>64</v>
      </c>
      <c r="C846" t="s">
        <v>2964</v>
      </c>
      <c r="D846" t="s">
        <v>2965</v>
      </c>
      <c r="E846" t="s">
        <v>2966</v>
      </c>
      <c r="F846" t="s">
        <v>57</v>
      </c>
      <c r="L846" t="s">
        <v>21</v>
      </c>
    </row>
    <row r="847" spans="1:12" x14ac:dyDescent="0.3">
      <c r="A847" t="s">
        <v>2967</v>
      </c>
      <c r="B847">
        <v>802</v>
      </c>
      <c r="C847" t="s">
        <v>2968</v>
      </c>
      <c r="D847" t="s">
        <v>2969</v>
      </c>
      <c r="E847" t="s">
        <v>2970</v>
      </c>
      <c r="F847" t="s">
        <v>71</v>
      </c>
      <c r="L847" t="s">
        <v>1842</v>
      </c>
    </row>
    <row r="848" spans="1:12" x14ac:dyDescent="0.3">
      <c r="A848" t="s">
        <v>2971</v>
      </c>
      <c r="B848">
        <v>942</v>
      </c>
      <c r="C848" t="s">
        <v>2972</v>
      </c>
      <c r="E848" t="s">
        <v>2973</v>
      </c>
      <c r="F848" t="s">
        <v>49</v>
      </c>
      <c r="L848" t="s">
        <v>21</v>
      </c>
    </row>
    <row r="849" spans="1:12" x14ac:dyDescent="0.3">
      <c r="A849" t="s">
        <v>2974</v>
      </c>
      <c r="B849">
        <v>1187</v>
      </c>
      <c r="C849" t="s">
        <v>2975</v>
      </c>
      <c r="D849" t="s">
        <v>2976</v>
      </c>
      <c r="E849" t="s">
        <v>2977</v>
      </c>
      <c r="F849" t="s">
        <v>53</v>
      </c>
      <c r="K849" s="18">
        <v>45792.916666666664</v>
      </c>
      <c r="L849" t="s">
        <v>230</v>
      </c>
    </row>
    <row r="850" spans="1:12" x14ac:dyDescent="0.3">
      <c r="A850" t="s">
        <v>2978</v>
      </c>
      <c r="B850">
        <v>1709</v>
      </c>
      <c r="C850" t="s">
        <v>2979</v>
      </c>
      <c r="D850" t="s">
        <v>2980</v>
      </c>
      <c r="E850" t="s">
        <v>2981</v>
      </c>
    </row>
    <row r="851" spans="1:12" x14ac:dyDescent="0.3">
      <c r="A851" t="s">
        <v>2982</v>
      </c>
      <c r="B851">
        <v>1927</v>
      </c>
      <c r="C851" t="s">
        <v>2983</v>
      </c>
      <c r="D851" t="s">
        <v>2984</v>
      </c>
      <c r="E851" t="s">
        <v>2985</v>
      </c>
    </row>
    <row r="852" spans="1:12" x14ac:dyDescent="0.3">
      <c r="A852" t="s">
        <v>2986</v>
      </c>
      <c r="B852">
        <v>56</v>
      </c>
      <c r="C852" t="s">
        <v>2987</v>
      </c>
      <c r="D852" t="s">
        <v>2988</v>
      </c>
      <c r="E852" t="s">
        <v>2989</v>
      </c>
      <c r="F852" t="s">
        <v>41</v>
      </c>
      <c r="G852" s="18">
        <v>45747.916666666664</v>
      </c>
      <c r="L852" t="s">
        <v>21</v>
      </c>
    </row>
    <row r="853" spans="1:12" x14ac:dyDescent="0.3">
      <c r="A853" t="s">
        <v>2990</v>
      </c>
      <c r="B853">
        <v>1070</v>
      </c>
      <c r="C853" t="s">
        <v>2991</v>
      </c>
      <c r="E853" t="s">
        <v>2992</v>
      </c>
      <c r="F853" t="s">
        <v>15</v>
      </c>
      <c r="G853" s="18">
        <v>45768.916666666664</v>
      </c>
      <c r="H853" s="18">
        <v>45778.916666666664</v>
      </c>
      <c r="K853" s="18">
        <v>45799.916666666664</v>
      </c>
      <c r="L853" t="s">
        <v>16</v>
      </c>
    </row>
    <row r="854" spans="1:12" x14ac:dyDescent="0.3">
      <c r="A854" t="s">
        <v>2993</v>
      </c>
      <c r="B854">
        <v>1113</v>
      </c>
      <c r="C854" t="s">
        <v>2994</v>
      </c>
      <c r="E854" t="s">
        <v>2995</v>
      </c>
      <c r="F854" t="s">
        <v>15</v>
      </c>
      <c r="G854" s="18">
        <v>45519.916666666664</v>
      </c>
      <c r="K854" s="18">
        <v>45720.958333333336</v>
      </c>
      <c r="L854" t="s">
        <v>21</v>
      </c>
    </row>
    <row r="855" spans="1:12" x14ac:dyDescent="0.3">
      <c r="A855" t="s">
        <v>2996</v>
      </c>
      <c r="B855">
        <v>1307</v>
      </c>
      <c r="C855" t="s">
        <v>2997</v>
      </c>
      <c r="E855" t="s">
        <v>2998</v>
      </c>
      <c r="F855" t="s">
        <v>15</v>
      </c>
      <c r="G855" s="18">
        <v>45497.916666666664</v>
      </c>
      <c r="K855" s="18">
        <v>45673.958333333336</v>
      </c>
      <c r="L855" t="s">
        <v>16</v>
      </c>
    </row>
    <row r="856" spans="1:12" x14ac:dyDescent="0.3">
      <c r="A856" t="s">
        <v>2999</v>
      </c>
      <c r="B856">
        <v>1701</v>
      </c>
      <c r="C856" t="s">
        <v>3000</v>
      </c>
      <c r="D856" t="s">
        <v>3001</v>
      </c>
      <c r="E856" t="s">
        <v>3002</v>
      </c>
      <c r="F856" t="s">
        <v>53</v>
      </c>
    </row>
    <row r="857" spans="1:12" x14ac:dyDescent="0.3">
      <c r="A857" t="s">
        <v>3003</v>
      </c>
      <c r="B857">
        <v>385</v>
      </c>
      <c r="C857" t="s">
        <v>3004</v>
      </c>
      <c r="D857" t="s">
        <v>3005</v>
      </c>
      <c r="E857" t="s">
        <v>3006</v>
      </c>
      <c r="F857" t="s">
        <v>41</v>
      </c>
      <c r="G857" s="18">
        <v>45760.916666666664</v>
      </c>
      <c r="L857" t="s">
        <v>16</v>
      </c>
    </row>
    <row r="858" spans="1:12" x14ac:dyDescent="0.3">
      <c r="A858" t="s">
        <v>3007</v>
      </c>
      <c r="B858">
        <v>54</v>
      </c>
      <c r="C858" t="s">
        <v>3008</v>
      </c>
      <c r="D858" t="s">
        <v>3009</v>
      </c>
      <c r="E858" t="s">
        <v>3010</v>
      </c>
      <c r="F858" t="s">
        <v>41</v>
      </c>
      <c r="G858" s="18">
        <v>45763.916666666664</v>
      </c>
      <c r="L858" t="s">
        <v>21</v>
      </c>
    </row>
    <row r="859" spans="1:12" x14ac:dyDescent="0.3">
      <c r="A859" t="s">
        <v>3011</v>
      </c>
      <c r="B859">
        <v>280</v>
      </c>
      <c r="C859" t="s">
        <v>3012</v>
      </c>
      <c r="D859" t="s">
        <v>3013</v>
      </c>
      <c r="E859" t="s">
        <v>3014</v>
      </c>
      <c r="F859" t="s">
        <v>53</v>
      </c>
      <c r="G859" s="18">
        <v>45763.916666666664</v>
      </c>
      <c r="L859" t="s">
        <v>21</v>
      </c>
    </row>
    <row r="860" spans="1:12" x14ac:dyDescent="0.3">
      <c r="A860" t="s">
        <v>3015</v>
      </c>
      <c r="B860">
        <v>611</v>
      </c>
      <c r="C860" t="s">
        <v>3016</v>
      </c>
      <c r="D860" t="s">
        <v>3017</v>
      </c>
      <c r="E860" t="s">
        <v>3018</v>
      </c>
      <c r="F860" t="s">
        <v>41</v>
      </c>
      <c r="G860" s="18">
        <v>45760.916666666664</v>
      </c>
      <c r="L860" t="s">
        <v>16</v>
      </c>
    </row>
    <row r="861" spans="1:12" x14ac:dyDescent="0.3">
      <c r="A861" t="s">
        <v>3019</v>
      </c>
      <c r="B861">
        <v>1447</v>
      </c>
      <c r="C861" t="s">
        <v>3020</v>
      </c>
      <c r="E861" t="s">
        <v>3021</v>
      </c>
      <c r="F861" t="s">
        <v>15</v>
      </c>
      <c r="H861" s="18">
        <v>45411.916666666664</v>
      </c>
      <c r="L861" t="s">
        <v>21</v>
      </c>
    </row>
    <row r="862" spans="1:12" x14ac:dyDescent="0.3">
      <c r="A862" t="s">
        <v>3022</v>
      </c>
      <c r="B862">
        <v>384</v>
      </c>
      <c r="C862" t="s">
        <v>3023</v>
      </c>
      <c r="D862" t="s">
        <v>3024</v>
      </c>
      <c r="E862" t="s">
        <v>3025</v>
      </c>
      <c r="F862" t="s">
        <v>36</v>
      </c>
      <c r="G862" s="18">
        <v>45760.916666666664</v>
      </c>
      <c r="L862" t="s">
        <v>16</v>
      </c>
    </row>
    <row r="863" spans="1:12" x14ac:dyDescent="0.3">
      <c r="A863" t="s">
        <v>3026</v>
      </c>
      <c r="B863">
        <v>705</v>
      </c>
      <c r="C863" t="s">
        <v>3027</v>
      </c>
      <c r="D863" t="s">
        <v>3028</v>
      </c>
      <c r="E863" t="s">
        <v>3029</v>
      </c>
      <c r="F863" t="s">
        <v>15</v>
      </c>
      <c r="L863" t="s">
        <v>21</v>
      </c>
    </row>
    <row r="864" spans="1:12" x14ac:dyDescent="0.3">
      <c r="A864" t="s">
        <v>3030</v>
      </c>
      <c r="B864">
        <v>776</v>
      </c>
      <c r="C864" t="s">
        <v>3031</v>
      </c>
      <c r="E864" t="s">
        <v>3032</v>
      </c>
      <c r="F864" t="s">
        <v>15</v>
      </c>
      <c r="K864" s="18">
        <v>45592.958333333336</v>
      </c>
      <c r="L864" t="s">
        <v>16</v>
      </c>
    </row>
    <row r="865" spans="1:12" x14ac:dyDescent="0.3">
      <c r="A865" t="s">
        <v>3033</v>
      </c>
      <c r="B865">
        <v>673</v>
      </c>
      <c r="C865" t="s">
        <v>3034</v>
      </c>
      <c r="E865" t="s">
        <v>3035</v>
      </c>
      <c r="F865" t="s">
        <v>15</v>
      </c>
      <c r="G865" s="18">
        <v>45417.916666666664</v>
      </c>
      <c r="K865" s="18">
        <v>45666.958333333336</v>
      </c>
      <c r="L865" t="s">
        <v>16</v>
      </c>
    </row>
    <row r="866" spans="1:12" x14ac:dyDescent="0.3">
      <c r="A866" t="s">
        <v>3036</v>
      </c>
      <c r="B866">
        <v>1512</v>
      </c>
      <c r="C866" t="s">
        <v>3037</v>
      </c>
      <c r="D866" t="s">
        <v>3038</v>
      </c>
      <c r="E866" t="s">
        <v>3039</v>
      </c>
      <c r="F866" t="s">
        <v>53</v>
      </c>
      <c r="L866" t="s">
        <v>37</v>
      </c>
    </row>
    <row r="867" spans="1:12" x14ac:dyDescent="0.3">
      <c r="A867" t="s">
        <v>3040</v>
      </c>
      <c r="B867">
        <v>318</v>
      </c>
      <c r="C867" t="s">
        <v>3041</v>
      </c>
      <c r="D867" t="s">
        <v>3042</v>
      </c>
      <c r="E867" t="s">
        <v>3043</v>
      </c>
      <c r="F867" t="s">
        <v>41</v>
      </c>
      <c r="G867" s="18">
        <v>45763.916666666664</v>
      </c>
      <c r="L867" t="s">
        <v>21</v>
      </c>
    </row>
    <row r="868" spans="1:12" x14ac:dyDescent="0.3">
      <c r="A868" t="s">
        <v>3044</v>
      </c>
      <c r="B868">
        <v>1513</v>
      </c>
      <c r="C868" t="s">
        <v>3045</v>
      </c>
      <c r="E868" t="s">
        <v>3046</v>
      </c>
      <c r="F868" t="s">
        <v>53</v>
      </c>
      <c r="L868" t="s">
        <v>37</v>
      </c>
    </row>
    <row r="869" spans="1:12" x14ac:dyDescent="0.3">
      <c r="A869" t="s">
        <v>3047</v>
      </c>
      <c r="B869">
        <v>918</v>
      </c>
      <c r="C869" t="s">
        <v>3048</v>
      </c>
      <c r="E869" t="s">
        <v>3049</v>
      </c>
      <c r="F869" t="s">
        <v>15</v>
      </c>
      <c r="G869" s="18">
        <v>45281.958333333336</v>
      </c>
      <c r="L869" t="s">
        <v>16</v>
      </c>
    </row>
    <row r="870" spans="1:12" x14ac:dyDescent="0.3">
      <c r="A870" t="s">
        <v>3050</v>
      </c>
      <c r="B870">
        <v>623</v>
      </c>
      <c r="C870" t="s">
        <v>3051</v>
      </c>
      <c r="D870" t="s">
        <v>3052</v>
      </c>
      <c r="E870" t="s">
        <v>3053</v>
      </c>
      <c r="F870" t="s">
        <v>53</v>
      </c>
      <c r="L870" t="s">
        <v>16</v>
      </c>
    </row>
    <row r="871" spans="1:12" x14ac:dyDescent="0.3">
      <c r="A871" t="s">
        <v>3054</v>
      </c>
      <c r="B871">
        <v>1514</v>
      </c>
      <c r="C871" t="s">
        <v>3055</v>
      </c>
      <c r="D871" t="s">
        <v>3056</v>
      </c>
      <c r="E871" t="s">
        <v>3057</v>
      </c>
      <c r="F871" t="s">
        <v>53</v>
      </c>
      <c r="L871" t="s">
        <v>37</v>
      </c>
    </row>
    <row r="872" spans="1:12" x14ac:dyDescent="0.3">
      <c r="A872" t="s">
        <v>3058</v>
      </c>
      <c r="B872">
        <v>1515</v>
      </c>
      <c r="C872" t="s">
        <v>3059</v>
      </c>
      <c r="D872" t="s">
        <v>3060</v>
      </c>
      <c r="E872" t="s">
        <v>3061</v>
      </c>
      <c r="F872" t="s">
        <v>53</v>
      </c>
      <c r="L872" t="s">
        <v>37</v>
      </c>
    </row>
    <row r="873" spans="1:12" x14ac:dyDescent="0.3">
      <c r="A873" t="s">
        <v>3062</v>
      </c>
      <c r="B873">
        <v>1147</v>
      </c>
      <c r="C873" t="s">
        <v>3063</v>
      </c>
      <c r="E873" t="s">
        <v>3064</v>
      </c>
      <c r="F873" t="s">
        <v>15</v>
      </c>
      <c r="G873" s="18">
        <v>45594.958333333336</v>
      </c>
      <c r="K873" s="18">
        <v>45670.958333333336</v>
      </c>
      <c r="L873" t="s">
        <v>16</v>
      </c>
    </row>
    <row r="874" spans="1:12" x14ac:dyDescent="0.3">
      <c r="A874" t="s">
        <v>3065</v>
      </c>
      <c r="B874">
        <v>76</v>
      </c>
      <c r="C874" t="s">
        <v>3066</v>
      </c>
      <c r="E874" t="s">
        <v>3067</v>
      </c>
      <c r="F874" t="s">
        <v>41</v>
      </c>
      <c r="G874" s="18">
        <v>45760.916666666664</v>
      </c>
      <c r="L874" t="s">
        <v>16</v>
      </c>
    </row>
    <row r="875" spans="1:12" x14ac:dyDescent="0.3">
      <c r="A875" t="s">
        <v>3068</v>
      </c>
      <c r="B875">
        <v>1974</v>
      </c>
      <c r="C875" t="s">
        <v>3069</v>
      </c>
      <c r="D875" t="s">
        <v>3070</v>
      </c>
      <c r="E875" t="s">
        <v>3071</v>
      </c>
    </row>
    <row r="876" spans="1:12" x14ac:dyDescent="0.3">
      <c r="A876" t="s">
        <v>3072</v>
      </c>
      <c r="B876">
        <v>830</v>
      </c>
      <c r="C876" t="s">
        <v>3073</v>
      </c>
      <c r="E876" t="s">
        <v>3074</v>
      </c>
      <c r="F876" t="s">
        <v>71</v>
      </c>
      <c r="L876" t="s">
        <v>16</v>
      </c>
    </row>
    <row r="877" spans="1:12" x14ac:dyDescent="0.3">
      <c r="A877" t="s">
        <v>3075</v>
      </c>
      <c r="B877">
        <v>1924</v>
      </c>
      <c r="C877" t="s">
        <v>3076</v>
      </c>
      <c r="D877" t="s">
        <v>3077</v>
      </c>
      <c r="E877" t="s">
        <v>3078</v>
      </c>
    </row>
    <row r="878" spans="1:12" x14ac:dyDescent="0.3">
      <c r="A878" t="s">
        <v>3079</v>
      </c>
      <c r="B878">
        <v>1747</v>
      </c>
      <c r="C878" t="s">
        <v>3080</v>
      </c>
      <c r="D878" t="s">
        <v>3081</v>
      </c>
      <c r="E878" t="s">
        <v>3082</v>
      </c>
      <c r="F878" t="s">
        <v>53</v>
      </c>
    </row>
    <row r="879" spans="1:12" x14ac:dyDescent="0.3">
      <c r="A879" t="s">
        <v>3083</v>
      </c>
      <c r="B879">
        <v>911</v>
      </c>
      <c r="C879" t="s">
        <v>3084</v>
      </c>
      <c r="E879" t="s">
        <v>3085</v>
      </c>
      <c r="F879" t="s">
        <v>15</v>
      </c>
      <c r="L879" t="s">
        <v>16</v>
      </c>
    </row>
    <row r="880" spans="1:12" x14ac:dyDescent="0.3">
      <c r="A880" t="s">
        <v>3086</v>
      </c>
      <c r="B880">
        <v>1435</v>
      </c>
      <c r="C880" t="s">
        <v>3087</v>
      </c>
      <c r="D880" t="s">
        <v>3088</v>
      </c>
      <c r="E880" t="s">
        <v>3089</v>
      </c>
      <c r="F880" t="s">
        <v>53</v>
      </c>
      <c r="L880" t="s">
        <v>21</v>
      </c>
    </row>
    <row r="881" spans="1:12" x14ac:dyDescent="0.3">
      <c r="A881" t="s">
        <v>3090</v>
      </c>
      <c r="B881">
        <v>2001</v>
      </c>
      <c r="C881" t="s">
        <v>3091</v>
      </c>
      <c r="D881" t="s">
        <v>3092</v>
      </c>
      <c r="E881" t="s">
        <v>3093</v>
      </c>
    </row>
    <row r="882" spans="1:12" x14ac:dyDescent="0.3">
      <c r="A882" t="s">
        <v>3094</v>
      </c>
      <c r="B882">
        <v>1675</v>
      </c>
      <c r="C882" t="s">
        <v>3095</v>
      </c>
      <c r="D882" t="s">
        <v>3096</v>
      </c>
      <c r="E882" t="s">
        <v>3097</v>
      </c>
      <c r="L882" t="s">
        <v>225</v>
      </c>
    </row>
    <row r="883" spans="1:12" x14ac:dyDescent="0.3">
      <c r="A883" t="s">
        <v>3098</v>
      </c>
      <c r="B883">
        <v>1674</v>
      </c>
      <c r="C883" t="s">
        <v>3099</v>
      </c>
      <c r="D883" t="s">
        <v>3100</v>
      </c>
      <c r="E883" t="s">
        <v>3101</v>
      </c>
      <c r="L883" t="s">
        <v>225</v>
      </c>
    </row>
    <row r="884" spans="1:12" x14ac:dyDescent="0.3">
      <c r="A884" t="s">
        <v>3102</v>
      </c>
      <c r="B884">
        <v>2071</v>
      </c>
      <c r="C884" t="s">
        <v>3099</v>
      </c>
      <c r="D884" t="s">
        <v>3100</v>
      </c>
      <c r="E884" t="s">
        <v>3103</v>
      </c>
    </row>
    <row r="885" spans="1:12" x14ac:dyDescent="0.3">
      <c r="A885" t="s">
        <v>3104</v>
      </c>
      <c r="B885">
        <v>642</v>
      </c>
      <c r="C885" t="s">
        <v>3105</v>
      </c>
      <c r="E885" t="s">
        <v>3106</v>
      </c>
      <c r="F885" t="s">
        <v>71</v>
      </c>
      <c r="L885" t="s">
        <v>16</v>
      </c>
    </row>
    <row r="886" spans="1:12" x14ac:dyDescent="0.3">
      <c r="A886" t="s">
        <v>3107</v>
      </c>
      <c r="B886">
        <v>509</v>
      </c>
      <c r="C886" t="s">
        <v>3108</v>
      </c>
      <c r="E886" t="s">
        <v>3109</v>
      </c>
      <c r="F886" t="s">
        <v>41</v>
      </c>
      <c r="G886" s="18">
        <v>45579.916666666664</v>
      </c>
      <c r="L886" t="s">
        <v>37</v>
      </c>
    </row>
    <row r="887" spans="1:12" x14ac:dyDescent="0.3">
      <c r="A887" t="s">
        <v>3110</v>
      </c>
      <c r="B887">
        <v>794</v>
      </c>
      <c r="C887" t="s">
        <v>3111</v>
      </c>
      <c r="E887" t="s">
        <v>3112</v>
      </c>
      <c r="F887" t="s">
        <v>15</v>
      </c>
      <c r="G887" s="18">
        <v>45322.958333333336</v>
      </c>
      <c r="L887" t="s">
        <v>21</v>
      </c>
    </row>
    <row r="888" spans="1:12" x14ac:dyDescent="0.3">
      <c r="A888" t="s">
        <v>3113</v>
      </c>
      <c r="B888">
        <v>26</v>
      </c>
      <c r="C888" t="s">
        <v>3114</v>
      </c>
      <c r="E888" t="s">
        <v>3115</v>
      </c>
      <c r="F888" t="s">
        <v>57</v>
      </c>
      <c r="K888" s="18">
        <v>45811.916666666664</v>
      </c>
      <c r="L888" t="s">
        <v>21</v>
      </c>
    </row>
    <row r="889" spans="1:12" x14ac:dyDescent="0.3">
      <c r="A889" t="s">
        <v>3116</v>
      </c>
      <c r="B889">
        <v>1796</v>
      </c>
      <c r="C889" t="s">
        <v>3117</v>
      </c>
      <c r="D889" t="s">
        <v>3118</v>
      </c>
      <c r="E889" t="s">
        <v>3119</v>
      </c>
      <c r="L889" t="s">
        <v>315</v>
      </c>
    </row>
    <row r="890" spans="1:12" x14ac:dyDescent="0.3">
      <c r="A890" t="s">
        <v>3120</v>
      </c>
      <c r="B890">
        <v>1786</v>
      </c>
      <c r="C890" t="s">
        <v>3121</v>
      </c>
      <c r="D890" t="s">
        <v>3122</v>
      </c>
      <c r="E890" t="s">
        <v>3123</v>
      </c>
      <c r="F890" t="s">
        <v>53</v>
      </c>
      <c r="L890" t="s">
        <v>315</v>
      </c>
    </row>
    <row r="891" spans="1:12" x14ac:dyDescent="0.3">
      <c r="A891" t="s">
        <v>3124</v>
      </c>
      <c r="B891">
        <v>67</v>
      </c>
      <c r="C891" t="s">
        <v>3125</v>
      </c>
      <c r="D891" t="s">
        <v>3126</v>
      </c>
      <c r="E891" t="s">
        <v>3127</v>
      </c>
      <c r="F891" t="s">
        <v>57</v>
      </c>
      <c r="L891" t="s">
        <v>21</v>
      </c>
    </row>
    <row r="892" spans="1:12" x14ac:dyDescent="0.3">
      <c r="A892" t="s">
        <v>3128</v>
      </c>
      <c r="B892">
        <v>205</v>
      </c>
      <c r="C892" t="s">
        <v>3129</v>
      </c>
      <c r="D892" t="s">
        <v>3130</v>
      </c>
      <c r="E892" t="s">
        <v>3131</v>
      </c>
      <c r="F892" t="s">
        <v>57</v>
      </c>
      <c r="L892" t="s">
        <v>21</v>
      </c>
    </row>
    <row r="893" spans="1:12" x14ac:dyDescent="0.3">
      <c r="A893" t="s">
        <v>3132</v>
      </c>
      <c r="B893">
        <v>894</v>
      </c>
      <c r="C893" t="s">
        <v>3133</v>
      </c>
      <c r="E893" t="s">
        <v>3134</v>
      </c>
      <c r="F893" t="s">
        <v>15</v>
      </c>
      <c r="G893" s="18">
        <v>45663.958333333336</v>
      </c>
      <c r="K893" s="18">
        <v>45702.958333333336</v>
      </c>
      <c r="L893" t="s">
        <v>21</v>
      </c>
    </row>
    <row r="894" spans="1:12" x14ac:dyDescent="0.3">
      <c r="A894" t="s">
        <v>3135</v>
      </c>
      <c r="B894">
        <v>1214</v>
      </c>
      <c r="C894" t="s">
        <v>3136</v>
      </c>
      <c r="E894" t="s">
        <v>2005</v>
      </c>
      <c r="F894" t="s">
        <v>15</v>
      </c>
      <c r="G894" s="18">
        <v>45373.958333333336</v>
      </c>
      <c r="H894" s="18">
        <v>45385.916666666664</v>
      </c>
      <c r="L894" t="s">
        <v>16</v>
      </c>
    </row>
    <row r="895" spans="1:12" x14ac:dyDescent="0.3">
      <c r="A895" t="s">
        <v>3137</v>
      </c>
      <c r="B895">
        <v>97</v>
      </c>
      <c r="C895" t="s">
        <v>3138</v>
      </c>
      <c r="D895" t="s">
        <v>3139</v>
      </c>
      <c r="E895" t="s">
        <v>3140</v>
      </c>
      <c r="F895" t="s">
        <v>53</v>
      </c>
      <c r="L895" t="s">
        <v>16</v>
      </c>
    </row>
    <row r="896" spans="1:12" x14ac:dyDescent="0.3">
      <c r="A896" t="s">
        <v>3141</v>
      </c>
      <c r="B896">
        <v>2037</v>
      </c>
      <c r="C896" t="s">
        <v>3142</v>
      </c>
      <c r="D896" t="s">
        <v>3143</v>
      </c>
      <c r="E896" t="s">
        <v>3144</v>
      </c>
    </row>
    <row r="897" spans="1:12" x14ac:dyDescent="0.3">
      <c r="A897" t="s">
        <v>3145</v>
      </c>
      <c r="B897">
        <v>504</v>
      </c>
      <c r="C897" t="s">
        <v>3146</v>
      </c>
      <c r="E897" t="s">
        <v>3147</v>
      </c>
      <c r="F897" t="s">
        <v>49</v>
      </c>
      <c r="G897" s="18">
        <v>45496.916666666664</v>
      </c>
      <c r="L897" t="s">
        <v>519</v>
      </c>
    </row>
    <row r="898" spans="1:12" x14ac:dyDescent="0.3">
      <c r="A898" t="s">
        <v>3148</v>
      </c>
      <c r="B898">
        <v>1011</v>
      </c>
      <c r="C898" t="s">
        <v>3149</v>
      </c>
      <c r="E898" t="s">
        <v>3150</v>
      </c>
      <c r="F898" t="s">
        <v>71</v>
      </c>
      <c r="L898" t="s">
        <v>16</v>
      </c>
    </row>
    <row r="899" spans="1:12" x14ac:dyDescent="0.3">
      <c r="A899" t="s">
        <v>3151</v>
      </c>
      <c r="B899">
        <v>1518</v>
      </c>
      <c r="C899" t="s">
        <v>3152</v>
      </c>
      <c r="D899" t="s">
        <v>3153</v>
      </c>
      <c r="E899" t="s">
        <v>3154</v>
      </c>
      <c r="F899" t="s">
        <v>53</v>
      </c>
      <c r="L899" t="s">
        <v>37</v>
      </c>
    </row>
    <row r="900" spans="1:12" x14ac:dyDescent="0.3">
      <c r="A900" t="s">
        <v>3155</v>
      </c>
      <c r="B900">
        <v>682</v>
      </c>
      <c r="C900" t="s">
        <v>3156</v>
      </c>
      <c r="E900" t="s">
        <v>3157</v>
      </c>
      <c r="F900" t="s">
        <v>49</v>
      </c>
      <c r="K900" s="18">
        <v>45564.916666666664</v>
      </c>
      <c r="L900" t="s">
        <v>21</v>
      </c>
    </row>
    <row r="901" spans="1:12" x14ac:dyDescent="0.3">
      <c r="A901" t="s">
        <v>3158</v>
      </c>
      <c r="B901">
        <v>820</v>
      </c>
      <c r="C901" t="s">
        <v>3159</v>
      </c>
      <c r="E901" t="s">
        <v>3160</v>
      </c>
      <c r="F901" t="s">
        <v>15</v>
      </c>
      <c r="K901" s="18">
        <v>45527.916666666664</v>
      </c>
      <c r="L901" t="s">
        <v>16</v>
      </c>
    </row>
    <row r="902" spans="1:12" x14ac:dyDescent="0.3">
      <c r="A902" t="s">
        <v>3161</v>
      </c>
      <c r="B902">
        <v>1519</v>
      </c>
      <c r="C902" t="s">
        <v>3162</v>
      </c>
      <c r="E902" t="s">
        <v>3163</v>
      </c>
      <c r="F902" t="s">
        <v>53</v>
      </c>
      <c r="K902" s="18">
        <v>45722.958333333336</v>
      </c>
      <c r="L902" t="s">
        <v>37</v>
      </c>
    </row>
    <row r="903" spans="1:12" x14ac:dyDescent="0.3">
      <c r="A903" t="s">
        <v>3164</v>
      </c>
      <c r="B903">
        <v>398</v>
      </c>
      <c r="C903" t="s">
        <v>3165</v>
      </c>
      <c r="D903" t="s">
        <v>3166</v>
      </c>
      <c r="E903" t="s">
        <v>3167</v>
      </c>
      <c r="F903" t="s">
        <v>41</v>
      </c>
      <c r="G903" s="18">
        <v>45763.916666666664</v>
      </c>
      <c r="L903" t="s">
        <v>21</v>
      </c>
    </row>
    <row r="904" spans="1:12" x14ac:dyDescent="0.3">
      <c r="A904" t="s">
        <v>3168</v>
      </c>
      <c r="B904">
        <v>182</v>
      </c>
      <c r="C904" t="s">
        <v>3169</v>
      </c>
      <c r="D904" t="s">
        <v>3170</v>
      </c>
      <c r="E904" t="s">
        <v>3171</v>
      </c>
      <c r="F904" t="s">
        <v>15</v>
      </c>
      <c r="G904" s="18">
        <v>45669.958333333336</v>
      </c>
      <c r="L904" t="s">
        <v>21</v>
      </c>
    </row>
    <row r="905" spans="1:12" x14ac:dyDescent="0.3">
      <c r="A905" t="s">
        <v>3172</v>
      </c>
      <c r="B905">
        <v>502</v>
      </c>
      <c r="C905" t="s">
        <v>3173</v>
      </c>
      <c r="D905" t="s">
        <v>3174</v>
      </c>
      <c r="E905" t="s">
        <v>3175</v>
      </c>
      <c r="F905" t="s">
        <v>49</v>
      </c>
      <c r="L905" t="s">
        <v>519</v>
      </c>
    </row>
    <row r="906" spans="1:12" x14ac:dyDescent="0.3">
      <c r="A906" t="s">
        <v>3176</v>
      </c>
      <c r="B906">
        <v>953</v>
      </c>
      <c r="C906" t="s">
        <v>3177</v>
      </c>
      <c r="E906" t="s">
        <v>3178</v>
      </c>
      <c r="F906" t="s">
        <v>15</v>
      </c>
      <c r="G906" s="18">
        <v>45373.958333333336</v>
      </c>
      <c r="K906" s="18">
        <v>45455.916666666664</v>
      </c>
      <c r="L906" t="s">
        <v>16</v>
      </c>
    </row>
    <row r="907" spans="1:12" x14ac:dyDescent="0.3">
      <c r="A907" t="s">
        <v>3179</v>
      </c>
      <c r="B907">
        <v>1662</v>
      </c>
      <c r="C907" t="s">
        <v>3180</v>
      </c>
      <c r="D907" t="s">
        <v>3181</v>
      </c>
      <c r="E907" t="s">
        <v>3182</v>
      </c>
      <c r="F907" t="s">
        <v>53</v>
      </c>
      <c r="L907" t="s">
        <v>315</v>
      </c>
    </row>
    <row r="908" spans="1:12" x14ac:dyDescent="0.3">
      <c r="A908" t="s">
        <v>3183</v>
      </c>
      <c r="B908">
        <v>198</v>
      </c>
      <c r="C908" t="s">
        <v>3184</v>
      </c>
      <c r="D908" t="s">
        <v>3185</v>
      </c>
      <c r="E908" t="s">
        <v>3186</v>
      </c>
      <c r="F908" t="s">
        <v>53</v>
      </c>
      <c r="L908" t="s">
        <v>21</v>
      </c>
    </row>
    <row r="909" spans="1:12" x14ac:dyDescent="0.3">
      <c r="A909" t="s">
        <v>3187</v>
      </c>
      <c r="B909">
        <v>2110</v>
      </c>
      <c r="C909" t="s">
        <v>3188</v>
      </c>
      <c r="D909" t="s">
        <v>3189</v>
      </c>
      <c r="E909" t="s">
        <v>3190</v>
      </c>
    </row>
    <row r="910" spans="1:12" x14ac:dyDescent="0.3">
      <c r="A910" t="s">
        <v>3191</v>
      </c>
      <c r="B910">
        <v>2119</v>
      </c>
      <c r="C910" t="s">
        <v>3192</v>
      </c>
      <c r="D910" t="s">
        <v>3193</v>
      </c>
      <c r="E910" t="s">
        <v>3194</v>
      </c>
    </row>
    <row r="911" spans="1:12" x14ac:dyDescent="0.3">
      <c r="A911" t="s">
        <v>3195</v>
      </c>
      <c r="B911">
        <v>1521</v>
      </c>
      <c r="C911" t="s">
        <v>3196</v>
      </c>
      <c r="E911" t="s">
        <v>3197</v>
      </c>
      <c r="F911" t="s">
        <v>53</v>
      </c>
      <c r="L911" t="s">
        <v>37</v>
      </c>
    </row>
    <row r="912" spans="1:12" x14ac:dyDescent="0.3">
      <c r="A912" t="s">
        <v>3198</v>
      </c>
      <c r="B912">
        <v>321</v>
      </c>
      <c r="C912" t="s">
        <v>3199</v>
      </c>
      <c r="D912" t="s">
        <v>3200</v>
      </c>
      <c r="E912" t="s">
        <v>3201</v>
      </c>
      <c r="F912" t="s">
        <v>41</v>
      </c>
      <c r="G912" s="18">
        <v>45763.916666666664</v>
      </c>
      <c r="L912" t="s">
        <v>21</v>
      </c>
    </row>
    <row r="913" spans="1:12" x14ac:dyDescent="0.3">
      <c r="A913" t="s">
        <v>3202</v>
      </c>
      <c r="B913">
        <v>696</v>
      </c>
      <c r="C913" t="s">
        <v>3203</v>
      </c>
      <c r="E913" t="s">
        <v>3204</v>
      </c>
      <c r="F913" t="s">
        <v>170</v>
      </c>
      <c r="K913" s="18">
        <v>45747.916666666664</v>
      </c>
      <c r="L913" t="s">
        <v>16</v>
      </c>
    </row>
    <row r="914" spans="1:12" x14ac:dyDescent="0.3">
      <c r="A914" t="s">
        <v>3205</v>
      </c>
      <c r="B914">
        <v>1950</v>
      </c>
      <c r="C914" t="s">
        <v>3206</v>
      </c>
      <c r="D914" t="s">
        <v>3207</v>
      </c>
      <c r="E914" t="s">
        <v>3208</v>
      </c>
    </row>
    <row r="915" spans="1:12" x14ac:dyDescent="0.3">
      <c r="A915" t="s">
        <v>3209</v>
      </c>
      <c r="B915">
        <v>1962</v>
      </c>
      <c r="C915" t="s">
        <v>3210</v>
      </c>
      <c r="D915" t="s">
        <v>3211</v>
      </c>
      <c r="E915" t="s">
        <v>3212</v>
      </c>
    </row>
    <row r="916" spans="1:12" x14ac:dyDescent="0.3">
      <c r="A916" t="s">
        <v>3213</v>
      </c>
      <c r="B916">
        <v>1851</v>
      </c>
      <c r="C916" t="s">
        <v>3214</v>
      </c>
      <c r="D916" t="s">
        <v>3215</v>
      </c>
      <c r="E916" t="s">
        <v>3216</v>
      </c>
      <c r="F916" t="s">
        <v>53</v>
      </c>
      <c r="L916" t="s">
        <v>315</v>
      </c>
    </row>
    <row r="917" spans="1:12" x14ac:dyDescent="0.3">
      <c r="A917" t="s">
        <v>3217</v>
      </c>
      <c r="B917">
        <v>954</v>
      </c>
      <c r="C917" t="s">
        <v>3218</v>
      </c>
      <c r="E917" t="s">
        <v>3219</v>
      </c>
      <c r="F917" t="s">
        <v>15</v>
      </c>
      <c r="G917" s="18">
        <v>45401.916666666664</v>
      </c>
      <c r="H917" s="18">
        <v>45455.916666666664</v>
      </c>
      <c r="L917" t="s">
        <v>16</v>
      </c>
    </row>
    <row r="918" spans="1:12" x14ac:dyDescent="0.3">
      <c r="A918" t="s">
        <v>3220</v>
      </c>
      <c r="B918">
        <v>695</v>
      </c>
      <c r="C918" t="s">
        <v>3221</v>
      </c>
      <c r="E918" t="s">
        <v>3222</v>
      </c>
      <c r="F918" t="s">
        <v>170</v>
      </c>
      <c r="L918" t="s">
        <v>16</v>
      </c>
    </row>
    <row r="919" spans="1:12" x14ac:dyDescent="0.3">
      <c r="A919" t="s">
        <v>3223</v>
      </c>
      <c r="B919">
        <v>1248</v>
      </c>
      <c r="C919" t="s">
        <v>3224</v>
      </c>
      <c r="E919" t="s">
        <v>3225</v>
      </c>
      <c r="F919" t="s">
        <v>71</v>
      </c>
      <c r="L919" t="s">
        <v>21</v>
      </c>
    </row>
    <row r="920" spans="1:12" x14ac:dyDescent="0.3">
      <c r="A920" t="s">
        <v>3226</v>
      </c>
      <c r="B920">
        <v>1667</v>
      </c>
      <c r="C920" t="s">
        <v>3227</v>
      </c>
      <c r="D920" t="s">
        <v>3228</v>
      </c>
      <c r="E920" t="s">
        <v>3229</v>
      </c>
    </row>
    <row r="921" spans="1:12" x14ac:dyDescent="0.3">
      <c r="A921" t="s">
        <v>3230</v>
      </c>
      <c r="B921">
        <v>382</v>
      </c>
      <c r="C921" t="s">
        <v>3231</v>
      </c>
      <c r="D921" t="s">
        <v>3232</v>
      </c>
      <c r="E921" t="s">
        <v>3233</v>
      </c>
      <c r="F921" t="s">
        <v>41</v>
      </c>
      <c r="G921" s="18">
        <v>45760.916666666664</v>
      </c>
      <c r="L921" t="s">
        <v>16</v>
      </c>
    </row>
    <row r="922" spans="1:12" x14ac:dyDescent="0.3">
      <c r="A922" t="s">
        <v>3234</v>
      </c>
      <c r="B922">
        <v>660</v>
      </c>
      <c r="C922" t="s">
        <v>3235</v>
      </c>
      <c r="E922" t="s">
        <v>3236</v>
      </c>
      <c r="L922" t="s">
        <v>16</v>
      </c>
    </row>
    <row r="923" spans="1:12" x14ac:dyDescent="0.3">
      <c r="A923" t="s">
        <v>3237</v>
      </c>
      <c r="B923">
        <v>1158</v>
      </c>
      <c r="C923" t="s">
        <v>3238</v>
      </c>
      <c r="E923" t="s">
        <v>3239</v>
      </c>
      <c r="F923" t="s">
        <v>71</v>
      </c>
      <c r="L923" t="s">
        <v>21</v>
      </c>
    </row>
    <row r="924" spans="1:12" x14ac:dyDescent="0.3">
      <c r="A924" t="s">
        <v>3240</v>
      </c>
      <c r="B924">
        <v>65</v>
      </c>
      <c r="C924" t="s">
        <v>3241</v>
      </c>
      <c r="D924" t="s">
        <v>3242</v>
      </c>
      <c r="E924" t="s">
        <v>3243</v>
      </c>
      <c r="F924" t="s">
        <v>57</v>
      </c>
      <c r="L924" t="s">
        <v>21</v>
      </c>
    </row>
    <row r="925" spans="1:12" x14ac:dyDescent="0.3">
      <c r="A925" t="s">
        <v>3244</v>
      </c>
      <c r="B925">
        <v>2121</v>
      </c>
      <c r="C925" t="s">
        <v>3245</v>
      </c>
      <c r="D925" t="s">
        <v>3246</v>
      </c>
      <c r="E925" t="s">
        <v>3247</v>
      </c>
    </row>
    <row r="926" spans="1:12" x14ac:dyDescent="0.3">
      <c r="A926" t="s">
        <v>3248</v>
      </c>
      <c r="B926">
        <v>773</v>
      </c>
      <c r="C926" t="s">
        <v>3249</v>
      </c>
      <c r="E926" t="s">
        <v>3250</v>
      </c>
      <c r="F926" t="s">
        <v>15</v>
      </c>
      <c r="G926" s="18">
        <v>45461.916666666664</v>
      </c>
      <c r="K926" s="18">
        <v>45534.916666666664</v>
      </c>
      <c r="L926" t="s">
        <v>16</v>
      </c>
    </row>
    <row r="927" spans="1:12" x14ac:dyDescent="0.3">
      <c r="A927" t="s">
        <v>3251</v>
      </c>
      <c r="B927">
        <v>450</v>
      </c>
      <c r="C927" t="s">
        <v>3252</v>
      </c>
      <c r="D927" t="s">
        <v>3253</v>
      </c>
      <c r="E927" t="s">
        <v>3254</v>
      </c>
      <c r="F927" t="s">
        <v>53</v>
      </c>
      <c r="G927" s="18">
        <v>45844.916666666664</v>
      </c>
      <c r="L927" t="s">
        <v>315</v>
      </c>
    </row>
    <row r="928" spans="1:12" x14ac:dyDescent="0.3">
      <c r="A928" t="s">
        <v>3255</v>
      </c>
      <c r="B928">
        <v>101</v>
      </c>
      <c r="C928" t="s">
        <v>3256</v>
      </c>
      <c r="D928" t="s">
        <v>3257</v>
      </c>
      <c r="E928" t="s">
        <v>3258</v>
      </c>
      <c r="F928" t="s">
        <v>53</v>
      </c>
      <c r="L928" t="s">
        <v>16</v>
      </c>
    </row>
    <row r="929" spans="1:12" x14ac:dyDescent="0.3">
      <c r="A929" t="s">
        <v>3259</v>
      </c>
      <c r="B929">
        <v>468</v>
      </c>
      <c r="C929" t="s">
        <v>3260</v>
      </c>
      <c r="E929" t="s">
        <v>3261</v>
      </c>
      <c r="F929" t="s">
        <v>41</v>
      </c>
      <c r="G929" s="18">
        <v>45760.916666666664</v>
      </c>
      <c r="L929" t="s">
        <v>16</v>
      </c>
    </row>
    <row r="930" spans="1:12" x14ac:dyDescent="0.3">
      <c r="A930" t="s">
        <v>3262</v>
      </c>
      <c r="B930">
        <v>146</v>
      </c>
      <c r="C930" t="s">
        <v>3263</v>
      </c>
      <c r="D930" t="s">
        <v>3264</v>
      </c>
      <c r="E930" t="s">
        <v>3265</v>
      </c>
      <c r="F930" t="s">
        <v>53</v>
      </c>
      <c r="L930" t="s">
        <v>16</v>
      </c>
    </row>
    <row r="931" spans="1:12" x14ac:dyDescent="0.3">
      <c r="A931" t="s">
        <v>3266</v>
      </c>
      <c r="B931">
        <v>647</v>
      </c>
      <c r="C931" t="s">
        <v>3267</v>
      </c>
      <c r="E931" t="s">
        <v>3268</v>
      </c>
      <c r="F931" t="s">
        <v>15</v>
      </c>
      <c r="G931" s="18">
        <v>45533.916666666664</v>
      </c>
      <c r="K931" s="18">
        <v>45602.958333333336</v>
      </c>
      <c r="L931" t="s">
        <v>21</v>
      </c>
    </row>
    <row r="932" spans="1:12" x14ac:dyDescent="0.3">
      <c r="A932" t="s">
        <v>3269</v>
      </c>
      <c r="B932">
        <v>1904</v>
      </c>
      <c r="C932" t="s">
        <v>3270</v>
      </c>
      <c r="E932" t="s">
        <v>3271</v>
      </c>
    </row>
    <row r="933" spans="1:12" x14ac:dyDescent="0.3">
      <c r="A933" t="s">
        <v>3272</v>
      </c>
      <c r="B933">
        <v>1772</v>
      </c>
      <c r="C933" t="s">
        <v>3273</v>
      </c>
      <c r="D933" t="s">
        <v>3274</v>
      </c>
      <c r="E933" t="s">
        <v>3275</v>
      </c>
      <c r="F933" t="s">
        <v>53</v>
      </c>
      <c r="L933" t="s">
        <v>88</v>
      </c>
    </row>
    <row r="934" spans="1:12" x14ac:dyDescent="0.3">
      <c r="A934" t="s">
        <v>3276</v>
      </c>
      <c r="B934">
        <v>1978</v>
      </c>
      <c r="C934" t="s">
        <v>3277</v>
      </c>
      <c r="D934" t="s">
        <v>3278</v>
      </c>
      <c r="E934" t="s">
        <v>3279</v>
      </c>
    </row>
    <row r="935" spans="1:12" x14ac:dyDescent="0.3">
      <c r="A935" t="s">
        <v>3280</v>
      </c>
      <c r="B935">
        <v>1522</v>
      </c>
      <c r="C935" t="s">
        <v>3281</v>
      </c>
      <c r="D935" t="s">
        <v>3282</v>
      </c>
      <c r="E935" t="s">
        <v>3283</v>
      </c>
      <c r="F935" t="s">
        <v>53</v>
      </c>
      <c r="K935" s="18">
        <v>45757.916666666664</v>
      </c>
      <c r="L935" t="s">
        <v>37</v>
      </c>
    </row>
    <row r="936" spans="1:12" x14ac:dyDescent="0.3">
      <c r="A936" t="s">
        <v>3284</v>
      </c>
      <c r="B936">
        <v>1204</v>
      </c>
      <c r="C936" t="s">
        <v>3285</v>
      </c>
      <c r="E936" t="s">
        <v>3286</v>
      </c>
      <c r="F936" t="s">
        <v>170</v>
      </c>
      <c r="K936" s="18">
        <v>45790.916666666664</v>
      </c>
      <c r="L936" t="s">
        <v>21</v>
      </c>
    </row>
    <row r="937" spans="1:12" x14ac:dyDescent="0.3">
      <c r="A937" t="s">
        <v>3287</v>
      </c>
      <c r="B937">
        <v>44</v>
      </c>
      <c r="C937" t="s">
        <v>3288</v>
      </c>
      <c r="D937" t="s">
        <v>3289</v>
      </c>
      <c r="E937" t="s">
        <v>3290</v>
      </c>
      <c r="F937" t="s">
        <v>53</v>
      </c>
      <c r="L937" t="s">
        <v>21</v>
      </c>
    </row>
    <row r="938" spans="1:12" x14ac:dyDescent="0.3">
      <c r="A938" t="s">
        <v>3291</v>
      </c>
      <c r="B938">
        <v>137</v>
      </c>
      <c r="C938" t="s">
        <v>3292</v>
      </c>
      <c r="D938" t="s">
        <v>3293</v>
      </c>
      <c r="E938" t="s">
        <v>3294</v>
      </c>
      <c r="F938" t="s">
        <v>53</v>
      </c>
      <c r="L938" t="s">
        <v>16</v>
      </c>
    </row>
    <row r="939" spans="1:12" x14ac:dyDescent="0.3">
      <c r="A939" t="s">
        <v>3295</v>
      </c>
      <c r="B939">
        <v>1934</v>
      </c>
      <c r="C939" t="s">
        <v>3296</v>
      </c>
      <c r="D939" t="s">
        <v>3297</v>
      </c>
      <c r="E939" t="s">
        <v>3298</v>
      </c>
    </row>
    <row r="940" spans="1:12" x14ac:dyDescent="0.3">
      <c r="A940" t="s">
        <v>3299</v>
      </c>
      <c r="B940">
        <v>391</v>
      </c>
      <c r="C940" t="s">
        <v>3300</v>
      </c>
      <c r="D940" t="s">
        <v>3301</v>
      </c>
      <c r="E940" t="s">
        <v>3302</v>
      </c>
      <c r="F940" t="s">
        <v>53</v>
      </c>
      <c r="G940" s="18">
        <v>45768.916666666664</v>
      </c>
      <c r="L940" t="s">
        <v>88</v>
      </c>
    </row>
    <row r="941" spans="1:12" x14ac:dyDescent="0.3">
      <c r="A941" t="s">
        <v>3303</v>
      </c>
      <c r="B941">
        <v>430</v>
      </c>
      <c r="C941" t="s">
        <v>3304</v>
      </c>
      <c r="D941" t="s">
        <v>3305</v>
      </c>
      <c r="E941" t="s">
        <v>3306</v>
      </c>
      <c r="F941" t="s">
        <v>53</v>
      </c>
      <c r="L941" t="s">
        <v>21</v>
      </c>
    </row>
    <row r="942" spans="1:12" x14ac:dyDescent="0.3">
      <c r="A942" t="s">
        <v>3307</v>
      </c>
      <c r="B942">
        <v>2093</v>
      </c>
      <c r="C942" t="s">
        <v>3308</v>
      </c>
      <c r="D942" t="s">
        <v>3309</v>
      </c>
      <c r="E942" t="s">
        <v>3310</v>
      </c>
    </row>
    <row r="943" spans="1:12" x14ac:dyDescent="0.3">
      <c r="A943" t="s">
        <v>3311</v>
      </c>
      <c r="B943">
        <v>148</v>
      </c>
      <c r="C943" t="s">
        <v>3312</v>
      </c>
      <c r="D943" t="s">
        <v>3313</v>
      </c>
      <c r="E943" t="s">
        <v>3314</v>
      </c>
      <c r="F943" t="s">
        <v>41</v>
      </c>
      <c r="G943" s="18">
        <v>45760.916666666664</v>
      </c>
      <c r="L943" t="s">
        <v>16</v>
      </c>
    </row>
    <row r="944" spans="1:12" x14ac:dyDescent="0.3">
      <c r="A944" t="s">
        <v>3315</v>
      </c>
      <c r="B944">
        <v>199</v>
      </c>
      <c r="C944" t="s">
        <v>3316</v>
      </c>
      <c r="D944" t="s">
        <v>3317</v>
      </c>
      <c r="E944" t="s">
        <v>3318</v>
      </c>
      <c r="F944" t="s">
        <v>53</v>
      </c>
      <c r="L944" t="s">
        <v>21</v>
      </c>
    </row>
    <row r="945" spans="1:12" x14ac:dyDescent="0.3">
      <c r="A945" t="s">
        <v>3319</v>
      </c>
      <c r="B945">
        <v>761</v>
      </c>
      <c r="C945" t="s">
        <v>3320</v>
      </c>
      <c r="E945" t="s">
        <v>3321</v>
      </c>
      <c r="F945" t="s">
        <v>15</v>
      </c>
      <c r="G945" s="18">
        <v>45376.958333333336</v>
      </c>
      <c r="H945" s="18">
        <v>45411.916666666664</v>
      </c>
      <c r="L945" t="s">
        <v>16</v>
      </c>
    </row>
    <row r="946" spans="1:12" x14ac:dyDescent="0.3">
      <c r="A946" t="s">
        <v>3322</v>
      </c>
      <c r="B946">
        <v>1872</v>
      </c>
      <c r="C946" t="s">
        <v>3323</v>
      </c>
      <c r="D946" t="s">
        <v>3324</v>
      </c>
      <c r="E946" t="s">
        <v>3325</v>
      </c>
    </row>
    <row r="947" spans="1:12" x14ac:dyDescent="0.3">
      <c r="A947" t="s">
        <v>3326</v>
      </c>
      <c r="B947">
        <v>29</v>
      </c>
      <c r="C947" t="s">
        <v>3327</v>
      </c>
      <c r="D947" t="s">
        <v>3328</v>
      </c>
      <c r="E947" t="s">
        <v>3329</v>
      </c>
      <c r="F947" t="s">
        <v>41</v>
      </c>
      <c r="G947" s="18">
        <v>45880.916666666664</v>
      </c>
      <c r="K947" s="18">
        <v>45813.916666666664</v>
      </c>
      <c r="L947" t="s">
        <v>230</v>
      </c>
    </row>
    <row r="948" spans="1:12" x14ac:dyDescent="0.3">
      <c r="A948" t="s">
        <v>3330</v>
      </c>
      <c r="B948">
        <v>1744</v>
      </c>
      <c r="C948" t="s">
        <v>3331</v>
      </c>
      <c r="D948" t="s">
        <v>3332</v>
      </c>
      <c r="E948" t="s">
        <v>3333</v>
      </c>
      <c r="L948" t="s">
        <v>225</v>
      </c>
    </row>
    <row r="949" spans="1:12" x14ac:dyDescent="0.3">
      <c r="A949" t="s">
        <v>3334</v>
      </c>
      <c r="B949">
        <v>196</v>
      </c>
      <c r="C949" t="s">
        <v>3335</v>
      </c>
      <c r="D949" t="s">
        <v>3336</v>
      </c>
      <c r="E949" t="s">
        <v>3337</v>
      </c>
      <c r="F949" t="s">
        <v>41</v>
      </c>
      <c r="G949" s="18">
        <v>45763.916666666664</v>
      </c>
      <c r="L949" t="s">
        <v>21</v>
      </c>
    </row>
    <row r="950" spans="1:12" x14ac:dyDescent="0.3">
      <c r="A950" t="s">
        <v>3338</v>
      </c>
      <c r="B950">
        <v>707</v>
      </c>
      <c r="C950" t="s">
        <v>3339</v>
      </c>
      <c r="E950" t="s">
        <v>3340</v>
      </c>
      <c r="F950" t="s">
        <v>15</v>
      </c>
      <c r="K950" s="18">
        <v>45595.958333333336</v>
      </c>
      <c r="L950" t="s">
        <v>16</v>
      </c>
    </row>
    <row r="951" spans="1:12" x14ac:dyDescent="0.3">
      <c r="A951" t="s">
        <v>3341</v>
      </c>
      <c r="B951">
        <v>766</v>
      </c>
      <c r="C951" t="s">
        <v>3342</v>
      </c>
      <c r="E951" t="s">
        <v>3343</v>
      </c>
      <c r="F951" t="s">
        <v>15</v>
      </c>
      <c r="G951" s="18">
        <v>45373.958333333336</v>
      </c>
      <c r="K951" s="18">
        <v>45728.958333333336</v>
      </c>
      <c r="L951" t="s">
        <v>16</v>
      </c>
    </row>
    <row r="952" spans="1:12" x14ac:dyDescent="0.3">
      <c r="A952" t="s">
        <v>3344</v>
      </c>
      <c r="B952">
        <v>2049</v>
      </c>
      <c r="C952" t="s">
        <v>3345</v>
      </c>
      <c r="D952" t="s">
        <v>3346</v>
      </c>
      <c r="E952" t="s">
        <v>3347</v>
      </c>
    </row>
    <row r="953" spans="1:12" x14ac:dyDescent="0.3">
      <c r="A953" t="s">
        <v>3348</v>
      </c>
      <c r="B953">
        <v>936</v>
      </c>
      <c r="C953" t="s">
        <v>3349</v>
      </c>
      <c r="E953" t="s">
        <v>3350</v>
      </c>
      <c r="F953" t="s">
        <v>15</v>
      </c>
      <c r="G953" s="18">
        <v>45676.958333333336</v>
      </c>
      <c r="K953" s="18">
        <v>45708.958333333336</v>
      </c>
      <c r="L953" t="s">
        <v>21</v>
      </c>
    </row>
    <row r="954" spans="1:12" x14ac:dyDescent="0.3">
      <c r="A954" t="s">
        <v>3351</v>
      </c>
      <c r="B954">
        <v>1298</v>
      </c>
      <c r="C954" t="s">
        <v>3352</v>
      </c>
      <c r="F954" t="s">
        <v>71</v>
      </c>
      <c r="L954" t="s">
        <v>16</v>
      </c>
    </row>
    <row r="955" spans="1:12" x14ac:dyDescent="0.3">
      <c r="A955" t="s">
        <v>3353</v>
      </c>
      <c r="B955">
        <v>1981</v>
      </c>
      <c r="C955" t="s">
        <v>3354</v>
      </c>
      <c r="D955" t="s">
        <v>3355</v>
      </c>
      <c r="E955" t="s">
        <v>3356</v>
      </c>
    </row>
    <row r="956" spans="1:12" x14ac:dyDescent="0.3">
      <c r="A956" t="s">
        <v>3357</v>
      </c>
      <c r="B956">
        <v>351</v>
      </c>
      <c r="C956" t="s">
        <v>3358</v>
      </c>
      <c r="E956" t="s">
        <v>3359</v>
      </c>
      <c r="F956" t="s">
        <v>53</v>
      </c>
      <c r="L956" t="s">
        <v>16</v>
      </c>
    </row>
    <row r="957" spans="1:12" x14ac:dyDescent="0.3">
      <c r="A957" t="s">
        <v>3360</v>
      </c>
      <c r="B957">
        <v>1523</v>
      </c>
      <c r="C957" t="s">
        <v>3361</v>
      </c>
      <c r="D957" t="s">
        <v>3362</v>
      </c>
      <c r="E957" t="s">
        <v>3363</v>
      </c>
      <c r="F957" t="s">
        <v>53</v>
      </c>
      <c r="L957" t="s">
        <v>37</v>
      </c>
    </row>
    <row r="958" spans="1:12" x14ac:dyDescent="0.3">
      <c r="A958" t="s">
        <v>3364</v>
      </c>
      <c r="B958">
        <v>308</v>
      </c>
      <c r="C958" t="s">
        <v>3365</v>
      </c>
      <c r="E958" t="s">
        <v>3366</v>
      </c>
      <c r="F958" t="s">
        <v>41</v>
      </c>
      <c r="G958" s="18">
        <v>45763.916666666664</v>
      </c>
      <c r="L958" t="s">
        <v>21</v>
      </c>
    </row>
    <row r="959" spans="1:12" x14ac:dyDescent="0.3">
      <c r="A959" t="s">
        <v>3367</v>
      </c>
      <c r="B959">
        <v>1372</v>
      </c>
      <c r="C959" t="s">
        <v>3368</v>
      </c>
      <c r="E959" t="s">
        <v>3369</v>
      </c>
      <c r="F959" t="s">
        <v>15</v>
      </c>
      <c r="G959" s="18">
        <v>45517.916666666664</v>
      </c>
      <c r="K959" s="18">
        <v>45708.958333333336</v>
      </c>
      <c r="L959" t="s">
        <v>16</v>
      </c>
    </row>
    <row r="960" spans="1:12" x14ac:dyDescent="0.3">
      <c r="A960" t="s">
        <v>3370</v>
      </c>
      <c r="B960">
        <v>1415</v>
      </c>
      <c r="C960" t="s">
        <v>3371</v>
      </c>
      <c r="D960" t="s">
        <v>3372</v>
      </c>
      <c r="E960" t="s">
        <v>3373</v>
      </c>
      <c r="F960" t="s">
        <v>53</v>
      </c>
      <c r="I960" s="18">
        <v>45809.916666666664</v>
      </c>
      <c r="J960" s="18">
        <v>45839.916666666664</v>
      </c>
      <c r="L960" t="s">
        <v>21</v>
      </c>
    </row>
    <row r="961" spans="1:12" x14ac:dyDescent="0.3">
      <c r="A961" t="s">
        <v>3374</v>
      </c>
      <c r="B961">
        <v>1177</v>
      </c>
      <c r="C961" t="s">
        <v>3375</v>
      </c>
      <c r="F961" t="s">
        <v>71</v>
      </c>
      <c r="L961" t="s">
        <v>16</v>
      </c>
    </row>
    <row r="962" spans="1:12" x14ac:dyDescent="0.3">
      <c r="A962" t="s">
        <v>3376</v>
      </c>
      <c r="B962">
        <v>628</v>
      </c>
      <c r="C962" t="s">
        <v>3377</v>
      </c>
      <c r="D962" t="s">
        <v>3378</v>
      </c>
      <c r="E962" t="s">
        <v>3379</v>
      </c>
      <c r="F962" t="s">
        <v>53</v>
      </c>
      <c r="L962" t="s">
        <v>88</v>
      </c>
    </row>
    <row r="963" spans="1:12" x14ac:dyDescent="0.3">
      <c r="A963" t="s">
        <v>3380</v>
      </c>
      <c r="B963">
        <v>1690</v>
      </c>
      <c r="C963" t="s">
        <v>3381</v>
      </c>
      <c r="D963" t="s">
        <v>3382</v>
      </c>
      <c r="E963" t="s">
        <v>3383</v>
      </c>
    </row>
    <row r="964" spans="1:12" x14ac:dyDescent="0.3">
      <c r="A964" t="s">
        <v>3384</v>
      </c>
      <c r="B964">
        <v>1082</v>
      </c>
      <c r="C964" t="s">
        <v>3385</v>
      </c>
      <c r="D964" t="s">
        <v>3386</v>
      </c>
      <c r="E964" t="s">
        <v>3387</v>
      </c>
      <c r="F964" t="s">
        <v>15</v>
      </c>
      <c r="G964" s="18">
        <v>45401.916666666664</v>
      </c>
      <c r="H964" s="18">
        <v>45428.916666666664</v>
      </c>
      <c r="L964" t="s">
        <v>16</v>
      </c>
    </row>
    <row r="965" spans="1:12" x14ac:dyDescent="0.3">
      <c r="A965" t="s">
        <v>3388</v>
      </c>
      <c r="B965">
        <v>659</v>
      </c>
      <c r="C965" t="s">
        <v>3389</v>
      </c>
      <c r="E965" t="s">
        <v>3390</v>
      </c>
      <c r="F965" t="s">
        <v>71</v>
      </c>
      <c r="L965" t="s">
        <v>16</v>
      </c>
    </row>
    <row r="966" spans="1:12" x14ac:dyDescent="0.3">
      <c r="A966" t="s">
        <v>3391</v>
      </c>
      <c r="B966">
        <v>1961</v>
      </c>
      <c r="C966" t="s">
        <v>3392</v>
      </c>
      <c r="D966" t="s">
        <v>3393</v>
      </c>
      <c r="E966" t="s">
        <v>3394</v>
      </c>
    </row>
    <row r="967" spans="1:12" x14ac:dyDescent="0.3">
      <c r="A967" t="s">
        <v>3395</v>
      </c>
      <c r="B967">
        <v>855</v>
      </c>
      <c r="C967" t="s">
        <v>3396</v>
      </c>
      <c r="F967" t="s">
        <v>71</v>
      </c>
      <c r="L967" t="s">
        <v>16</v>
      </c>
    </row>
    <row r="968" spans="1:12" x14ac:dyDescent="0.3">
      <c r="A968" t="s">
        <v>3397</v>
      </c>
      <c r="B968">
        <v>1132</v>
      </c>
      <c r="C968" t="s">
        <v>3398</v>
      </c>
      <c r="D968" t="s">
        <v>3399</v>
      </c>
      <c r="E968" t="s">
        <v>3400</v>
      </c>
      <c r="F968" t="s">
        <v>275</v>
      </c>
      <c r="K968" s="18">
        <v>45774.916666666664</v>
      </c>
      <c r="L968" t="s">
        <v>16</v>
      </c>
    </row>
    <row r="969" spans="1:12" x14ac:dyDescent="0.3">
      <c r="A969" t="s">
        <v>3401</v>
      </c>
      <c r="B969">
        <v>416</v>
      </c>
      <c r="C969" t="s">
        <v>3402</v>
      </c>
      <c r="E969" t="s">
        <v>3403</v>
      </c>
      <c r="F969" t="s">
        <v>41</v>
      </c>
      <c r="G969" s="18">
        <v>45768.916666666664</v>
      </c>
      <c r="L969" t="s">
        <v>16</v>
      </c>
    </row>
    <row r="970" spans="1:12" x14ac:dyDescent="0.3">
      <c r="A970" t="s">
        <v>3404</v>
      </c>
      <c r="B970">
        <v>40</v>
      </c>
      <c r="C970" t="s">
        <v>3405</v>
      </c>
      <c r="D970" t="s">
        <v>3406</v>
      </c>
      <c r="E970" t="s">
        <v>3407</v>
      </c>
      <c r="F970" t="s">
        <v>41</v>
      </c>
      <c r="G970" s="18">
        <v>45763.916666666664</v>
      </c>
      <c r="L970" t="s">
        <v>21</v>
      </c>
    </row>
    <row r="971" spans="1:12" x14ac:dyDescent="0.3">
      <c r="A971" t="s">
        <v>3408</v>
      </c>
      <c r="B971">
        <v>1524</v>
      </c>
      <c r="C971" t="s">
        <v>3409</v>
      </c>
      <c r="D971" t="s">
        <v>3410</v>
      </c>
      <c r="E971" t="s">
        <v>3411</v>
      </c>
      <c r="F971" t="s">
        <v>53</v>
      </c>
      <c r="L971" t="s">
        <v>37</v>
      </c>
    </row>
    <row r="972" spans="1:12" x14ac:dyDescent="0.3">
      <c r="A972" t="s">
        <v>3412</v>
      </c>
      <c r="B972">
        <v>1304</v>
      </c>
      <c r="C972" t="s">
        <v>3413</v>
      </c>
      <c r="E972" t="s">
        <v>3414</v>
      </c>
      <c r="F972" t="s">
        <v>15</v>
      </c>
      <c r="G972" s="18">
        <v>45344.958333333336</v>
      </c>
      <c r="K972" s="18">
        <v>45536.916666666664</v>
      </c>
      <c r="L972" t="s">
        <v>16</v>
      </c>
    </row>
    <row r="973" spans="1:12" x14ac:dyDescent="0.3">
      <c r="A973" t="s">
        <v>3415</v>
      </c>
      <c r="B973">
        <v>614</v>
      </c>
      <c r="C973" t="s">
        <v>3416</v>
      </c>
      <c r="D973" t="s">
        <v>3417</v>
      </c>
      <c r="E973" t="s">
        <v>3418</v>
      </c>
      <c r="F973" t="s">
        <v>53</v>
      </c>
      <c r="L973" t="s">
        <v>16</v>
      </c>
    </row>
    <row r="974" spans="1:12" x14ac:dyDescent="0.3">
      <c r="A974" t="s">
        <v>3419</v>
      </c>
      <c r="B974">
        <v>1416</v>
      </c>
      <c r="C974" t="s">
        <v>3420</v>
      </c>
      <c r="E974" t="s">
        <v>3421</v>
      </c>
      <c r="F974" t="s">
        <v>53</v>
      </c>
      <c r="I974" s="18">
        <v>45810.916666666664</v>
      </c>
      <c r="J974" s="18">
        <v>45848.916666666664</v>
      </c>
      <c r="L974" t="s">
        <v>21</v>
      </c>
    </row>
    <row r="975" spans="1:12" x14ac:dyDescent="0.3">
      <c r="A975" t="s">
        <v>3422</v>
      </c>
      <c r="B975">
        <v>1525</v>
      </c>
      <c r="C975" t="s">
        <v>3423</v>
      </c>
      <c r="E975" t="s">
        <v>3424</v>
      </c>
      <c r="F975" t="s">
        <v>53</v>
      </c>
      <c r="L975" t="s">
        <v>37</v>
      </c>
    </row>
    <row r="976" spans="1:12" x14ac:dyDescent="0.3">
      <c r="A976" t="s">
        <v>3425</v>
      </c>
      <c r="B976">
        <v>322</v>
      </c>
      <c r="C976" t="s">
        <v>3426</v>
      </c>
      <c r="D976" t="s">
        <v>3427</v>
      </c>
      <c r="E976" t="s">
        <v>3428</v>
      </c>
      <c r="F976" t="s">
        <v>41</v>
      </c>
      <c r="G976" s="18">
        <v>45767.916666666664</v>
      </c>
      <c r="L976" t="s">
        <v>21</v>
      </c>
    </row>
    <row r="977" spans="1:12" x14ac:dyDescent="0.3">
      <c r="A977" t="s">
        <v>3429</v>
      </c>
      <c r="B977">
        <v>1865</v>
      </c>
      <c r="C977" t="s">
        <v>3430</v>
      </c>
      <c r="D977" t="s">
        <v>3431</v>
      </c>
      <c r="E977" t="s">
        <v>3432</v>
      </c>
    </row>
    <row r="978" spans="1:12" x14ac:dyDescent="0.3">
      <c r="A978" t="s">
        <v>3433</v>
      </c>
      <c r="B978">
        <v>1239</v>
      </c>
      <c r="C978" t="s">
        <v>3434</v>
      </c>
      <c r="E978" t="s">
        <v>3435</v>
      </c>
      <c r="F978" t="s">
        <v>49</v>
      </c>
      <c r="L978" t="s">
        <v>21</v>
      </c>
    </row>
    <row r="979" spans="1:12" x14ac:dyDescent="0.3">
      <c r="A979" t="s">
        <v>3436</v>
      </c>
      <c r="B979">
        <v>1929</v>
      </c>
      <c r="C979" t="s">
        <v>3437</v>
      </c>
      <c r="D979" t="s">
        <v>3438</v>
      </c>
      <c r="E979" t="s">
        <v>3439</v>
      </c>
    </row>
    <row r="980" spans="1:12" x14ac:dyDescent="0.3">
      <c r="A980" t="s">
        <v>3440</v>
      </c>
      <c r="B980">
        <v>777</v>
      </c>
      <c r="C980" t="s">
        <v>3441</v>
      </c>
      <c r="E980" t="s">
        <v>3442</v>
      </c>
      <c r="F980" t="s">
        <v>15</v>
      </c>
      <c r="K980" s="18">
        <v>45571.916666666664</v>
      </c>
      <c r="L980" t="s">
        <v>16</v>
      </c>
    </row>
    <row r="981" spans="1:12" x14ac:dyDescent="0.3">
      <c r="A981" t="s">
        <v>3443</v>
      </c>
      <c r="B981">
        <v>1980</v>
      </c>
      <c r="C981" t="s">
        <v>3444</v>
      </c>
      <c r="D981" t="s">
        <v>3445</v>
      </c>
      <c r="E981" t="s">
        <v>3446</v>
      </c>
    </row>
    <row r="982" spans="1:12" x14ac:dyDescent="0.3">
      <c r="A982" t="s">
        <v>3447</v>
      </c>
      <c r="B982">
        <v>1591</v>
      </c>
      <c r="C982" t="s">
        <v>3448</v>
      </c>
      <c r="D982" t="s">
        <v>2366</v>
      </c>
      <c r="E982" t="s">
        <v>3449</v>
      </c>
      <c r="F982" t="s">
        <v>53</v>
      </c>
      <c r="L982" t="s">
        <v>88</v>
      </c>
    </row>
    <row r="983" spans="1:12" x14ac:dyDescent="0.3">
      <c r="A983" t="s">
        <v>3450</v>
      </c>
      <c r="B983">
        <v>1389</v>
      </c>
      <c r="C983" t="s">
        <v>3451</v>
      </c>
      <c r="E983" t="s">
        <v>3452</v>
      </c>
      <c r="F983" t="s">
        <v>71</v>
      </c>
      <c r="L983" t="s">
        <v>16</v>
      </c>
    </row>
    <row r="984" spans="1:12" x14ac:dyDescent="0.3">
      <c r="A984" t="s">
        <v>3453</v>
      </c>
      <c r="B984">
        <v>1526</v>
      </c>
      <c r="C984" t="s">
        <v>3454</v>
      </c>
      <c r="E984" t="s">
        <v>3455</v>
      </c>
      <c r="F984" t="s">
        <v>53</v>
      </c>
      <c r="K984" s="18">
        <v>45789.916666666664</v>
      </c>
      <c r="L984" t="s">
        <v>37</v>
      </c>
    </row>
    <row r="985" spans="1:12" x14ac:dyDescent="0.3">
      <c r="A985" t="s">
        <v>3456</v>
      </c>
      <c r="B985">
        <v>816</v>
      </c>
      <c r="C985" t="s">
        <v>3457</v>
      </c>
      <c r="F985" t="s">
        <v>71</v>
      </c>
      <c r="L985" t="s">
        <v>16</v>
      </c>
    </row>
    <row r="986" spans="1:12" x14ac:dyDescent="0.3">
      <c r="A986" t="s">
        <v>3458</v>
      </c>
      <c r="B986">
        <v>817</v>
      </c>
      <c r="C986" t="s">
        <v>3459</v>
      </c>
      <c r="E986" t="s">
        <v>3460</v>
      </c>
      <c r="F986" t="s">
        <v>71</v>
      </c>
      <c r="L986" t="s">
        <v>16</v>
      </c>
    </row>
    <row r="987" spans="1:12" x14ac:dyDescent="0.3">
      <c r="A987" t="s">
        <v>3461</v>
      </c>
      <c r="B987">
        <v>1527</v>
      </c>
      <c r="C987" t="s">
        <v>3462</v>
      </c>
      <c r="D987" t="s">
        <v>3463</v>
      </c>
      <c r="E987" t="s">
        <v>3464</v>
      </c>
      <c r="F987" t="s">
        <v>53</v>
      </c>
      <c r="L987" t="s">
        <v>88</v>
      </c>
    </row>
    <row r="988" spans="1:12" x14ac:dyDescent="0.3">
      <c r="A988" t="s">
        <v>3465</v>
      </c>
      <c r="B988">
        <v>808</v>
      </c>
      <c r="C988" t="s">
        <v>3466</v>
      </c>
      <c r="E988" t="s">
        <v>3467</v>
      </c>
      <c r="F988" t="s">
        <v>15</v>
      </c>
      <c r="L988" t="s">
        <v>16</v>
      </c>
    </row>
    <row r="989" spans="1:12" x14ac:dyDescent="0.3">
      <c r="A989" t="s">
        <v>3468</v>
      </c>
      <c r="B989">
        <v>524</v>
      </c>
      <c r="C989" t="s">
        <v>3469</v>
      </c>
      <c r="E989" t="s">
        <v>3470</v>
      </c>
      <c r="F989" t="s">
        <v>53</v>
      </c>
      <c r="L989" t="s">
        <v>37</v>
      </c>
    </row>
    <row r="990" spans="1:12" x14ac:dyDescent="0.3">
      <c r="A990" t="s">
        <v>3471</v>
      </c>
      <c r="B990">
        <v>789</v>
      </c>
      <c r="C990" t="s">
        <v>3472</v>
      </c>
      <c r="E990" t="s">
        <v>3473</v>
      </c>
      <c r="F990" t="s">
        <v>15</v>
      </c>
      <c r="G990" s="18">
        <v>45607.958333333336</v>
      </c>
      <c r="K990" s="18">
        <v>45684.958333333336</v>
      </c>
      <c r="L990" t="s">
        <v>21</v>
      </c>
    </row>
    <row r="991" spans="1:12" x14ac:dyDescent="0.3">
      <c r="A991" t="s">
        <v>3474</v>
      </c>
      <c r="B991">
        <v>1956</v>
      </c>
      <c r="C991" t="s">
        <v>3475</v>
      </c>
      <c r="D991" t="s">
        <v>3476</v>
      </c>
      <c r="E991" t="s">
        <v>3477</v>
      </c>
    </row>
    <row r="992" spans="1:12" x14ac:dyDescent="0.3">
      <c r="A992" t="s">
        <v>3478</v>
      </c>
      <c r="B992">
        <v>127</v>
      </c>
      <c r="C992" t="s">
        <v>3479</v>
      </c>
      <c r="E992" t="s">
        <v>3480</v>
      </c>
      <c r="F992" t="s">
        <v>41</v>
      </c>
      <c r="G992" s="18">
        <v>45736.958333333336</v>
      </c>
      <c r="L992" t="s">
        <v>16</v>
      </c>
    </row>
    <row r="993" spans="1:12" x14ac:dyDescent="0.3">
      <c r="A993" t="s">
        <v>3481</v>
      </c>
      <c r="B993">
        <v>381</v>
      </c>
      <c r="C993" t="s">
        <v>3482</v>
      </c>
      <c r="D993" t="s">
        <v>3483</v>
      </c>
      <c r="E993" t="s">
        <v>3484</v>
      </c>
      <c r="F993" t="s">
        <v>41</v>
      </c>
      <c r="G993" s="18">
        <v>45760.916666666664</v>
      </c>
      <c r="L993" t="s">
        <v>16</v>
      </c>
    </row>
    <row r="994" spans="1:12" x14ac:dyDescent="0.3">
      <c r="A994" t="s">
        <v>3485</v>
      </c>
      <c r="B994">
        <v>352</v>
      </c>
      <c r="C994" t="s">
        <v>3486</v>
      </c>
      <c r="E994" t="s">
        <v>3487</v>
      </c>
      <c r="F994" t="s">
        <v>41</v>
      </c>
      <c r="G994" s="18">
        <v>45768.916666666664</v>
      </c>
      <c r="L994" t="s">
        <v>16</v>
      </c>
    </row>
    <row r="995" spans="1:12" x14ac:dyDescent="0.3">
      <c r="A995" t="s">
        <v>3488</v>
      </c>
      <c r="B995">
        <v>1685</v>
      </c>
      <c r="C995" t="s">
        <v>3489</v>
      </c>
      <c r="D995" t="s">
        <v>3490</v>
      </c>
      <c r="E995" t="s">
        <v>3491</v>
      </c>
      <c r="F995" t="s">
        <v>53</v>
      </c>
    </row>
    <row r="996" spans="1:12" x14ac:dyDescent="0.3">
      <c r="A996" t="s">
        <v>3492</v>
      </c>
      <c r="B996">
        <v>1065</v>
      </c>
      <c r="C996" t="s">
        <v>3493</v>
      </c>
      <c r="E996" t="s">
        <v>3494</v>
      </c>
      <c r="F996" t="s">
        <v>170</v>
      </c>
      <c r="K996" s="18">
        <v>45729.958333333336</v>
      </c>
      <c r="L996" t="s">
        <v>16</v>
      </c>
    </row>
    <row r="997" spans="1:12" x14ac:dyDescent="0.3">
      <c r="A997" t="s">
        <v>3495</v>
      </c>
      <c r="B997">
        <v>216</v>
      </c>
      <c r="C997" t="s">
        <v>3496</v>
      </c>
      <c r="D997" t="s">
        <v>3497</v>
      </c>
      <c r="E997" t="s">
        <v>3498</v>
      </c>
      <c r="F997" t="s">
        <v>41</v>
      </c>
      <c r="G997" s="18">
        <v>45781.916666666664</v>
      </c>
      <c r="L997" t="s">
        <v>21</v>
      </c>
    </row>
    <row r="998" spans="1:12" x14ac:dyDescent="0.3">
      <c r="A998" t="s">
        <v>3499</v>
      </c>
      <c r="B998">
        <v>1079</v>
      </c>
      <c r="C998" t="s">
        <v>3500</v>
      </c>
      <c r="E998" t="s">
        <v>3501</v>
      </c>
      <c r="F998" t="s">
        <v>15</v>
      </c>
      <c r="K998" s="18">
        <v>45779.916666666664</v>
      </c>
      <c r="L998" t="s">
        <v>16</v>
      </c>
    </row>
    <row r="999" spans="1:12" x14ac:dyDescent="0.3">
      <c r="A999" t="s">
        <v>3502</v>
      </c>
      <c r="B999">
        <v>1852</v>
      </c>
      <c r="C999" t="s">
        <v>3503</v>
      </c>
      <c r="D999" t="s">
        <v>3504</v>
      </c>
      <c r="E999" t="s">
        <v>3505</v>
      </c>
    </row>
    <row r="1000" spans="1:12" x14ac:dyDescent="0.3">
      <c r="A1000" t="s">
        <v>3506</v>
      </c>
      <c r="B1000">
        <v>881</v>
      </c>
      <c r="C1000" t="s">
        <v>3507</v>
      </c>
      <c r="E1000" t="s">
        <v>3508</v>
      </c>
      <c r="F1000" t="s">
        <v>49</v>
      </c>
      <c r="L1000" t="s">
        <v>16</v>
      </c>
    </row>
    <row r="1001" spans="1:12" x14ac:dyDescent="0.3">
      <c r="A1001" t="s">
        <v>3509</v>
      </c>
      <c r="B1001">
        <v>123</v>
      </c>
      <c r="C1001" t="s">
        <v>3510</v>
      </c>
      <c r="E1001" t="s">
        <v>3511</v>
      </c>
      <c r="F1001" t="s">
        <v>53</v>
      </c>
      <c r="L1001" t="s">
        <v>16</v>
      </c>
    </row>
    <row r="1002" spans="1:12" x14ac:dyDescent="0.3">
      <c r="A1002" t="s">
        <v>3512</v>
      </c>
      <c r="B1002">
        <v>206</v>
      </c>
      <c r="C1002" t="s">
        <v>3513</v>
      </c>
      <c r="D1002" t="s">
        <v>3514</v>
      </c>
      <c r="E1002" t="s">
        <v>3515</v>
      </c>
      <c r="F1002" t="s">
        <v>41</v>
      </c>
      <c r="G1002" s="18">
        <v>45767.916666666664</v>
      </c>
      <c r="L1002" t="s">
        <v>21</v>
      </c>
    </row>
    <row r="1003" spans="1:12" x14ac:dyDescent="0.3">
      <c r="A1003" t="s">
        <v>3516</v>
      </c>
      <c r="B1003">
        <v>1883</v>
      </c>
      <c r="C1003" t="s">
        <v>3517</v>
      </c>
      <c r="D1003" t="s">
        <v>3518</v>
      </c>
      <c r="E1003" t="s">
        <v>3519</v>
      </c>
    </row>
    <row r="1004" spans="1:12" x14ac:dyDescent="0.3">
      <c r="A1004" t="s">
        <v>3520</v>
      </c>
      <c r="B1004">
        <v>138</v>
      </c>
      <c r="C1004" t="s">
        <v>3521</v>
      </c>
      <c r="E1004" t="s">
        <v>3522</v>
      </c>
      <c r="F1004" t="s">
        <v>53</v>
      </c>
      <c r="L1004" t="s">
        <v>16</v>
      </c>
    </row>
    <row r="1005" spans="1:12" x14ac:dyDescent="0.3">
      <c r="A1005" t="s">
        <v>3523</v>
      </c>
      <c r="B1005">
        <v>1342</v>
      </c>
      <c r="C1005" t="s">
        <v>3524</v>
      </c>
      <c r="E1005" t="s">
        <v>3525</v>
      </c>
      <c r="F1005" t="s">
        <v>15</v>
      </c>
      <c r="K1005" s="18">
        <v>45645.958333333336</v>
      </c>
      <c r="L1005" t="s">
        <v>16</v>
      </c>
    </row>
    <row r="1006" spans="1:12" x14ac:dyDescent="0.3">
      <c r="A1006" t="s">
        <v>3526</v>
      </c>
      <c r="B1006">
        <v>1059</v>
      </c>
      <c r="C1006" t="s">
        <v>3527</v>
      </c>
      <c r="E1006" t="s">
        <v>3528</v>
      </c>
      <c r="F1006" t="s">
        <v>15</v>
      </c>
      <c r="G1006" s="18">
        <v>45488.916666666664</v>
      </c>
      <c r="H1006" s="18">
        <v>45489.916666666664</v>
      </c>
      <c r="L1006" t="s">
        <v>16</v>
      </c>
    </row>
    <row r="1007" spans="1:12" x14ac:dyDescent="0.3">
      <c r="A1007" t="s">
        <v>3529</v>
      </c>
      <c r="B1007">
        <v>1808</v>
      </c>
      <c r="C1007" t="s">
        <v>3530</v>
      </c>
      <c r="D1007" t="s">
        <v>3531</v>
      </c>
      <c r="E1007" t="s">
        <v>3532</v>
      </c>
    </row>
    <row r="1008" spans="1:12" x14ac:dyDescent="0.3">
      <c r="A1008" t="s">
        <v>3533</v>
      </c>
      <c r="B1008">
        <v>1022</v>
      </c>
      <c r="C1008" t="s">
        <v>3534</v>
      </c>
      <c r="E1008" t="s">
        <v>3535</v>
      </c>
      <c r="F1008" t="s">
        <v>15</v>
      </c>
      <c r="G1008" s="18">
        <v>45380.958333333336</v>
      </c>
      <c r="H1008" s="18">
        <v>45397.916666666664</v>
      </c>
      <c r="L1008" t="s">
        <v>16</v>
      </c>
    </row>
    <row r="1009" spans="1:12" x14ac:dyDescent="0.3">
      <c r="A1009" t="s">
        <v>3536</v>
      </c>
      <c r="B1009">
        <v>982</v>
      </c>
      <c r="C1009" t="s">
        <v>3537</v>
      </c>
      <c r="E1009" t="s">
        <v>3538</v>
      </c>
      <c r="F1009" t="s">
        <v>71</v>
      </c>
      <c r="L1009" t="s">
        <v>16</v>
      </c>
    </row>
    <row r="1010" spans="1:12" x14ac:dyDescent="0.3">
      <c r="A1010" t="s">
        <v>3539</v>
      </c>
      <c r="B1010">
        <v>1038</v>
      </c>
      <c r="C1010" t="s">
        <v>3540</v>
      </c>
      <c r="E1010" t="s">
        <v>3541</v>
      </c>
      <c r="F1010" t="s">
        <v>15</v>
      </c>
      <c r="G1010" s="18">
        <v>45380.958333333336</v>
      </c>
      <c r="H1010" s="18">
        <v>45397.916666666664</v>
      </c>
      <c r="L1010" t="s">
        <v>16</v>
      </c>
    </row>
    <row r="1011" spans="1:12" x14ac:dyDescent="0.3">
      <c r="A1011" t="s">
        <v>3542</v>
      </c>
      <c r="B1011">
        <v>421</v>
      </c>
      <c r="C1011" t="s">
        <v>3543</v>
      </c>
      <c r="E1011" t="s">
        <v>3544</v>
      </c>
      <c r="F1011" t="s">
        <v>53</v>
      </c>
      <c r="L1011" t="s">
        <v>2022</v>
      </c>
    </row>
    <row r="1012" spans="1:12" x14ac:dyDescent="0.3">
      <c r="A1012" t="s">
        <v>3545</v>
      </c>
      <c r="B1012">
        <v>903</v>
      </c>
      <c r="C1012" t="s">
        <v>3546</v>
      </c>
      <c r="E1012" t="s">
        <v>3547</v>
      </c>
      <c r="F1012" t="s">
        <v>71</v>
      </c>
      <c r="L1012" t="s">
        <v>16</v>
      </c>
    </row>
    <row r="1013" spans="1:12" x14ac:dyDescent="0.3">
      <c r="A1013" t="s">
        <v>3548</v>
      </c>
      <c r="B1013">
        <v>1670</v>
      </c>
      <c r="C1013" t="s">
        <v>3549</v>
      </c>
      <c r="D1013" t="s">
        <v>3550</v>
      </c>
      <c r="E1013" t="s">
        <v>3551</v>
      </c>
      <c r="L1013" t="s">
        <v>315</v>
      </c>
    </row>
    <row r="1014" spans="1:12" x14ac:dyDescent="0.3">
      <c r="A1014" t="s">
        <v>3552</v>
      </c>
      <c r="B1014">
        <v>1528</v>
      </c>
      <c r="C1014" t="s">
        <v>3553</v>
      </c>
      <c r="E1014" t="s">
        <v>3554</v>
      </c>
      <c r="F1014" t="s">
        <v>53</v>
      </c>
      <c r="L1014" t="s">
        <v>37</v>
      </c>
    </row>
    <row r="1015" spans="1:12" x14ac:dyDescent="0.3">
      <c r="A1015" t="s">
        <v>3555</v>
      </c>
      <c r="B1015">
        <v>1274</v>
      </c>
      <c r="C1015" t="s">
        <v>3556</v>
      </c>
      <c r="E1015" t="s">
        <v>3557</v>
      </c>
      <c r="F1015" t="s">
        <v>15</v>
      </c>
      <c r="G1015" s="18">
        <v>45490.916666666664</v>
      </c>
      <c r="H1015" s="18">
        <v>45645.958333333336</v>
      </c>
      <c r="K1015" s="18">
        <v>45645.958333333336</v>
      </c>
      <c r="L1015" t="s">
        <v>16</v>
      </c>
    </row>
    <row r="1016" spans="1:12" x14ac:dyDescent="0.3">
      <c r="A1016" t="s">
        <v>3558</v>
      </c>
      <c r="B1016">
        <v>1993</v>
      </c>
      <c r="C1016" t="s">
        <v>3559</v>
      </c>
      <c r="D1016" t="s">
        <v>3560</v>
      </c>
      <c r="E1016" t="s">
        <v>3561</v>
      </c>
    </row>
    <row r="1017" spans="1:12" x14ac:dyDescent="0.3">
      <c r="A1017" t="s">
        <v>3562</v>
      </c>
      <c r="B1017">
        <v>1275</v>
      </c>
      <c r="C1017" t="s">
        <v>3563</v>
      </c>
      <c r="E1017" t="s">
        <v>3564</v>
      </c>
      <c r="F1017" t="s">
        <v>15</v>
      </c>
      <c r="G1017" s="18">
        <v>45497.916666666664</v>
      </c>
      <c r="K1017" s="18">
        <v>45721.958333333336</v>
      </c>
      <c r="L1017" t="s">
        <v>16</v>
      </c>
    </row>
    <row r="1018" spans="1:12" x14ac:dyDescent="0.3">
      <c r="A1018" t="s">
        <v>3565</v>
      </c>
      <c r="B1018">
        <v>824</v>
      </c>
      <c r="C1018" t="s">
        <v>3566</v>
      </c>
      <c r="E1018" t="s">
        <v>3567</v>
      </c>
      <c r="F1018" t="s">
        <v>15</v>
      </c>
      <c r="G1018" s="18">
        <v>45401.916666666664</v>
      </c>
      <c r="L1018" t="s">
        <v>16</v>
      </c>
    </row>
    <row r="1019" spans="1:12" x14ac:dyDescent="0.3">
      <c r="A1019" t="s">
        <v>3568</v>
      </c>
      <c r="B1019">
        <v>512</v>
      </c>
      <c r="C1019" t="s">
        <v>3569</v>
      </c>
      <c r="E1019" t="s">
        <v>3570</v>
      </c>
      <c r="F1019" t="s">
        <v>41</v>
      </c>
      <c r="G1019" s="18">
        <v>45671.958333333336</v>
      </c>
      <c r="L1019" t="s">
        <v>37</v>
      </c>
    </row>
    <row r="1020" spans="1:12" x14ac:dyDescent="0.3">
      <c r="A1020" t="s">
        <v>3571</v>
      </c>
      <c r="B1020">
        <v>1062</v>
      </c>
      <c r="C1020" t="s">
        <v>3572</v>
      </c>
      <c r="E1020" t="s">
        <v>3573</v>
      </c>
      <c r="F1020" t="s">
        <v>71</v>
      </c>
      <c r="L1020" t="s">
        <v>16</v>
      </c>
    </row>
    <row r="1021" spans="1:12" x14ac:dyDescent="0.3">
      <c r="A1021" t="s">
        <v>3574</v>
      </c>
      <c r="B1021">
        <v>786</v>
      </c>
      <c r="C1021" t="s">
        <v>3575</v>
      </c>
      <c r="E1021" t="s">
        <v>3576</v>
      </c>
      <c r="F1021" t="s">
        <v>15</v>
      </c>
      <c r="G1021" s="18">
        <v>45408.916666666664</v>
      </c>
      <c r="K1021" s="18">
        <v>45634.958333333336</v>
      </c>
      <c r="L1021" t="s">
        <v>16</v>
      </c>
    </row>
    <row r="1022" spans="1:12" x14ac:dyDescent="0.3">
      <c r="A1022" t="s">
        <v>3577</v>
      </c>
      <c r="B1022">
        <v>672</v>
      </c>
      <c r="C1022" t="s">
        <v>3578</v>
      </c>
      <c r="E1022" t="s">
        <v>3579</v>
      </c>
      <c r="F1022" t="s">
        <v>15</v>
      </c>
      <c r="G1022" s="18">
        <v>45380.958333333336</v>
      </c>
      <c r="L1022" t="s">
        <v>16</v>
      </c>
    </row>
    <row r="1023" spans="1:12" x14ac:dyDescent="0.3">
      <c r="A1023" t="s">
        <v>3580</v>
      </c>
      <c r="B1023">
        <v>555</v>
      </c>
      <c r="C1023" t="s">
        <v>3581</v>
      </c>
      <c r="E1023" t="s">
        <v>3582</v>
      </c>
      <c r="F1023" t="s">
        <v>41</v>
      </c>
      <c r="G1023" s="18">
        <v>45761.916666666664</v>
      </c>
      <c r="L1023" t="s">
        <v>16</v>
      </c>
    </row>
    <row r="1024" spans="1:12" x14ac:dyDescent="0.3">
      <c r="A1024" t="s">
        <v>3583</v>
      </c>
      <c r="B1024">
        <v>108</v>
      </c>
      <c r="C1024" t="s">
        <v>3584</v>
      </c>
      <c r="D1024" t="s">
        <v>3585</v>
      </c>
      <c r="E1024" t="s">
        <v>3586</v>
      </c>
      <c r="F1024" t="s">
        <v>57</v>
      </c>
      <c r="L1024" t="s">
        <v>21</v>
      </c>
    </row>
    <row r="1025" spans="1:12" x14ac:dyDescent="0.3">
      <c r="A1025" t="s">
        <v>3587</v>
      </c>
      <c r="B1025">
        <v>492</v>
      </c>
      <c r="C1025" t="s">
        <v>3588</v>
      </c>
      <c r="D1025" t="s">
        <v>3589</v>
      </c>
      <c r="E1025" t="s">
        <v>3590</v>
      </c>
      <c r="F1025" t="s">
        <v>53</v>
      </c>
      <c r="L1025" t="s">
        <v>21</v>
      </c>
    </row>
    <row r="1026" spans="1:12" x14ac:dyDescent="0.3">
      <c r="A1026" t="s">
        <v>3591</v>
      </c>
      <c r="B1026">
        <v>2023</v>
      </c>
      <c r="C1026" t="s">
        <v>3592</v>
      </c>
      <c r="D1026" t="s">
        <v>3593</v>
      </c>
      <c r="E1026" t="s">
        <v>3594</v>
      </c>
    </row>
    <row r="1027" spans="1:12" x14ac:dyDescent="0.3">
      <c r="A1027" t="s">
        <v>3595</v>
      </c>
      <c r="B1027">
        <v>1529</v>
      </c>
      <c r="C1027" t="s">
        <v>3596</v>
      </c>
      <c r="E1027" t="s">
        <v>3597</v>
      </c>
      <c r="F1027" t="s">
        <v>53</v>
      </c>
      <c r="K1027" s="18">
        <v>45757.916666666664</v>
      </c>
      <c r="L1027" t="s">
        <v>37</v>
      </c>
    </row>
    <row r="1028" spans="1:12" x14ac:dyDescent="0.3">
      <c r="A1028" t="s">
        <v>3598</v>
      </c>
      <c r="B1028">
        <v>691</v>
      </c>
      <c r="C1028" t="s">
        <v>3599</v>
      </c>
      <c r="E1028" t="s">
        <v>3600</v>
      </c>
      <c r="F1028" t="s">
        <v>15</v>
      </c>
      <c r="G1028" s="18">
        <v>45533.916666666664</v>
      </c>
      <c r="K1028" s="18">
        <v>45599.958333333336</v>
      </c>
      <c r="L1028" t="s">
        <v>21</v>
      </c>
    </row>
    <row r="1029" spans="1:12" x14ac:dyDescent="0.3">
      <c r="A1029" t="s">
        <v>3601</v>
      </c>
      <c r="B1029">
        <v>355</v>
      </c>
      <c r="C1029" t="s">
        <v>3602</v>
      </c>
      <c r="E1029" t="s">
        <v>3603</v>
      </c>
      <c r="F1029" t="s">
        <v>53</v>
      </c>
      <c r="L1029" t="s">
        <v>21</v>
      </c>
    </row>
    <row r="1030" spans="1:12" x14ac:dyDescent="0.3">
      <c r="A1030" t="s">
        <v>3604</v>
      </c>
      <c r="B1030">
        <v>547</v>
      </c>
      <c r="C1030" t="s">
        <v>3605</v>
      </c>
      <c r="D1030" t="s">
        <v>3606</v>
      </c>
      <c r="E1030" t="s">
        <v>3607</v>
      </c>
      <c r="F1030" t="s">
        <v>41</v>
      </c>
      <c r="G1030" s="18">
        <v>45574.916666666664</v>
      </c>
      <c r="L1030" t="s">
        <v>16</v>
      </c>
    </row>
    <row r="1031" spans="1:12" x14ac:dyDescent="0.3">
      <c r="A1031" t="s">
        <v>3608</v>
      </c>
      <c r="B1031">
        <v>725</v>
      </c>
      <c r="C1031" t="s">
        <v>3609</v>
      </c>
      <c r="E1031" t="s">
        <v>3610</v>
      </c>
      <c r="F1031" t="s">
        <v>1448</v>
      </c>
      <c r="G1031" s="18">
        <v>45322.958333333336</v>
      </c>
      <c r="K1031" s="18">
        <v>45776.916666666664</v>
      </c>
      <c r="L1031" t="s">
        <v>16</v>
      </c>
    </row>
    <row r="1032" spans="1:12" x14ac:dyDescent="0.3">
      <c r="A1032" t="s">
        <v>3611</v>
      </c>
      <c r="B1032">
        <v>268</v>
      </c>
      <c r="C1032" t="s">
        <v>3612</v>
      </c>
      <c r="D1032" t="s">
        <v>3613</v>
      </c>
      <c r="E1032" t="s">
        <v>3614</v>
      </c>
      <c r="F1032" t="s">
        <v>41</v>
      </c>
      <c r="G1032" s="18">
        <v>45694.958333333336</v>
      </c>
      <c r="L1032" t="s">
        <v>16</v>
      </c>
    </row>
    <row r="1033" spans="1:12" x14ac:dyDescent="0.3">
      <c r="A1033" t="s">
        <v>3615</v>
      </c>
      <c r="B1033">
        <v>1093</v>
      </c>
      <c r="C1033" t="s">
        <v>3616</v>
      </c>
      <c r="E1033" t="s">
        <v>3617</v>
      </c>
      <c r="F1033" t="s">
        <v>15</v>
      </c>
      <c r="K1033" s="18">
        <v>45757.916666666664</v>
      </c>
      <c r="L1033" t="s">
        <v>21</v>
      </c>
    </row>
    <row r="1034" spans="1:12" x14ac:dyDescent="0.3">
      <c r="A1034" t="s">
        <v>3618</v>
      </c>
      <c r="B1034">
        <v>211</v>
      </c>
      <c r="C1034" t="s">
        <v>3619</v>
      </c>
      <c r="D1034" t="s">
        <v>3620</v>
      </c>
      <c r="E1034" t="s">
        <v>3621</v>
      </c>
      <c r="F1034" t="s">
        <v>41</v>
      </c>
      <c r="G1034" s="18">
        <v>45768.916666666664</v>
      </c>
      <c r="L1034" t="s">
        <v>21</v>
      </c>
    </row>
    <row r="1035" spans="1:12" x14ac:dyDescent="0.3">
      <c r="A1035" t="s">
        <v>3622</v>
      </c>
      <c r="B1035">
        <v>1782</v>
      </c>
      <c r="C1035" t="s">
        <v>3623</v>
      </c>
      <c r="D1035" t="s">
        <v>3624</v>
      </c>
      <c r="E1035" t="s">
        <v>3625</v>
      </c>
      <c r="L1035" t="s">
        <v>315</v>
      </c>
    </row>
    <row r="1036" spans="1:12" x14ac:dyDescent="0.3">
      <c r="A1036" t="s">
        <v>3626</v>
      </c>
      <c r="B1036">
        <v>1120</v>
      </c>
      <c r="C1036" t="s">
        <v>3627</v>
      </c>
      <c r="E1036" t="s">
        <v>3628</v>
      </c>
      <c r="F1036" t="s">
        <v>71</v>
      </c>
      <c r="L1036" t="s">
        <v>16</v>
      </c>
    </row>
    <row r="1037" spans="1:12" x14ac:dyDescent="0.3">
      <c r="A1037" t="s">
        <v>3629</v>
      </c>
      <c r="B1037">
        <v>1991</v>
      </c>
      <c r="C1037" t="s">
        <v>3630</v>
      </c>
      <c r="D1037" t="s">
        <v>3631</v>
      </c>
      <c r="E1037" t="s">
        <v>3632</v>
      </c>
    </row>
    <row r="1038" spans="1:12" x14ac:dyDescent="0.3">
      <c r="A1038" t="s">
        <v>3633</v>
      </c>
      <c r="B1038">
        <v>1168</v>
      </c>
      <c r="C1038" t="s">
        <v>3634</v>
      </c>
      <c r="E1038" t="s">
        <v>3635</v>
      </c>
      <c r="F1038" t="s">
        <v>15</v>
      </c>
      <c r="L1038" t="s">
        <v>16</v>
      </c>
    </row>
    <row r="1039" spans="1:12" x14ac:dyDescent="0.3">
      <c r="A1039" t="s">
        <v>3636</v>
      </c>
      <c r="B1039">
        <v>860</v>
      </c>
      <c r="C1039" t="s">
        <v>3637</v>
      </c>
      <c r="E1039" t="s">
        <v>3638</v>
      </c>
      <c r="F1039" t="s">
        <v>15</v>
      </c>
      <c r="G1039" s="18">
        <v>45394.916666666664</v>
      </c>
      <c r="H1039" s="18">
        <v>45442.916666666664</v>
      </c>
      <c r="L1039" t="s">
        <v>16</v>
      </c>
    </row>
    <row r="1040" spans="1:12" x14ac:dyDescent="0.3">
      <c r="A1040" t="s">
        <v>3639</v>
      </c>
      <c r="B1040">
        <v>69</v>
      </c>
      <c r="C1040" t="s">
        <v>3640</v>
      </c>
      <c r="D1040" t="s">
        <v>3641</v>
      </c>
      <c r="E1040" t="s">
        <v>3642</v>
      </c>
      <c r="F1040" t="s">
        <v>41</v>
      </c>
      <c r="G1040" s="18">
        <v>44404.916666666664</v>
      </c>
      <c r="L1040" t="s">
        <v>16</v>
      </c>
    </row>
    <row r="1041" spans="1:12" x14ac:dyDescent="0.3">
      <c r="A1041" t="s">
        <v>3643</v>
      </c>
      <c r="B1041">
        <v>552</v>
      </c>
      <c r="C1041" t="s">
        <v>3644</v>
      </c>
      <c r="D1041" t="s">
        <v>3645</v>
      </c>
      <c r="E1041" t="s">
        <v>3646</v>
      </c>
      <c r="F1041" t="s">
        <v>57</v>
      </c>
      <c r="L1041" t="s">
        <v>21</v>
      </c>
    </row>
    <row r="1042" spans="1:12" x14ac:dyDescent="0.3">
      <c r="A1042" t="s">
        <v>3647</v>
      </c>
      <c r="B1042">
        <v>1763</v>
      </c>
      <c r="C1042" t="s">
        <v>3648</v>
      </c>
      <c r="D1042" t="s">
        <v>3649</v>
      </c>
      <c r="E1042" t="s">
        <v>3650</v>
      </c>
      <c r="F1042" t="s">
        <v>53</v>
      </c>
    </row>
    <row r="1043" spans="1:12" x14ac:dyDescent="0.3">
      <c r="A1043" t="s">
        <v>3651</v>
      </c>
      <c r="B1043">
        <v>929</v>
      </c>
      <c r="C1043" t="s">
        <v>3652</v>
      </c>
      <c r="E1043" t="s">
        <v>3653</v>
      </c>
      <c r="F1043" t="s">
        <v>15</v>
      </c>
      <c r="K1043" s="18">
        <v>45659.958333333336</v>
      </c>
      <c r="L1043" t="s">
        <v>21</v>
      </c>
    </row>
    <row r="1044" spans="1:12" x14ac:dyDescent="0.3">
      <c r="A1044" t="s">
        <v>3654</v>
      </c>
      <c r="B1044">
        <v>301</v>
      </c>
      <c r="C1044" t="s">
        <v>3655</v>
      </c>
      <c r="D1044" t="s">
        <v>3656</v>
      </c>
      <c r="E1044" t="s">
        <v>3657</v>
      </c>
      <c r="F1044" t="s">
        <v>41</v>
      </c>
      <c r="G1044" s="18">
        <v>45914.916666666664</v>
      </c>
      <c r="H1044" s="18">
        <v>45778.916666666664</v>
      </c>
      <c r="L1044" t="s">
        <v>230</v>
      </c>
    </row>
    <row r="1045" spans="1:12" x14ac:dyDescent="0.3">
      <c r="A1045" t="s">
        <v>3658</v>
      </c>
      <c r="B1045">
        <v>591</v>
      </c>
      <c r="C1045" t="s">
        <v>3659</v>
      </c>
      <c r="D1045" t="s">
        <v>3660</v>
      </c>
      <c r="E1045" t="s">
        <v>3661</v>
      </c>
      <c r="F1045" t="s">
        <v>36</v>
      </c>
      <c r="G1045" s="18">
        <v>45776.916666666664</v>
      </c>
      <c r="L1045" t="s">
        <v>16</v>
      </c>
    </row>
    <row r="1046" spans="1:12" x14ac:dyDescent="0.3">
      <c r="A1046" t="s">
        <v>3662</v>
      </c>
      <c r="B1046">
        <v>171</v>
      </c>
      <c r="C1046" t="s">
        <v>3663</v>
      </c>
      <c r="E1046" t="s">
        <v>3664</v>
      </c>
      <c r="F1046" t="s">
        <v>36</v>
      </c>
      <c r="G1046" s="18">
        <v>45672.958333333336</v>
      </c>
      <c r="L1046" t="s">
        <v>37</v>
      </c>
    </row>
    <row r="1047" spans="1:12" x14ac:dyDescent="0.3">
      <c r="A1047" t="s">
        <v>3665</v>
      </c>
      <c r="B1047">
        <v>585</v>
      </c>
      <c r="C1047" t="s">
        <v>3666</v>
      </c>
      <c r="D1047" t="s">
        <v>3667</v>
      </c>
      <c r="E1047" t="s">
        <v>3668</v>
      </c>
      <c r="F1047" t="s">
        <v>41</v>
      </c>
      <c r="G1047" s="18">
        <v>45800.916666666664</v>
      </c>
      <c r="L1047" t="s">
        <v>21</v>
      </c>
    </row>
    <row r="1048" spans="1:12" x14ac:dyDescent="0.3">
      <c r="A1048" t="s">
        <v>3669</v>
      </c>
      <c r="B1048">
        <v>17</v>
      </c>
      <c r="C1048" t="s">
        <v>3670</v>
      </c>
      <c r="D1048" t="s">
        <v>3671</v>
      </c>
      <c r="E1048" t="s">
        <v>3672</v>
      </c>
      <c r="F1048" t="s">
        <v>53</v>
      </c>
      <c r="K1048" s="18">
        <v>45806.916666666664</v>
      </c>
      <c r="L1048" t="s">
        <v>16</v>
      </c>
    </row>
    <row r="1049" spans="1:12" x14ac:dyDescent="0.3">
      <c r="A1049" t="s">
        <v>3673</v>
      </c>
      <c r="B1049">
        <v>1530</v>
      </c>
      <c r="C1049" t="s">
        <v>3674</v>
      </c>
      <c r="E1049" t="s">
        <v>3675</v>
      </c>
      <c r="F1049" t="s">
        <v>53</v>
      </c>
      <c r="L1049" t="s">
        <v>37</v>
      </c>
    </row>
    <row r="1050" spans="1:12" x14ac:dyDescent="0.3">
      <c r="A1050" t="s">
        <v>3676</v>
      </c>
      <c r="B1050">
        <v>1683</v>
      </c>
      <c r="C1050" t="s">
        <v>3677</v>
      </c>
      <c r="D1050" t="s">
        <v>3678</v>
      </c>
      <c r="E1050" t="s">
        <v>3679</v>
      </c>
      <c r="L1050" t="s">
        <v>225</v>
      </c>
    </row>
    <row r="1051" spans="1:12" x14ac:dyDescent="0.3">
      <c r="A1051" t="s">
        <v>3680</v>
      </c>
      <c r="B1051">
        <v>1039</v>
      </c>
      <c r="C1051" t="s">
        <v>3681</v>
      </c>
      <c r="E1051" t="s">
        <v>3682</v>
      </c>
      <c r="F1051" t="s">
        <v>15</v>
      </c>
      <c r="G1051" s="18">
        <v>45380.958333333336</v>
      </c>
      <c r="H1051" s="18">
        <v>45398.916666666664</v>
      </c>
      <c r="L1051" t="s">
        <v>16</v>
      </c>
    </row>
    <row r="1052" spans="1:12" x14ac:dyDescent="0.3">
      <c r="A1052" t="s">
        <v>3683</v>
      </c>
      <c r="B1052">
        <v>2113</v>
      </c>
      <c r="C1052" t="s">
        <v>3684</v>
      </c>
      <c r="D1052" t="s">
        <v>3685</v>
      </c>
      <c r="E1052" t="s">
        <v>3686</v>
      </c>
    </row>
    <row r="1053" spans="1:12" x14ac:dyDescent="0.3">
      <c r="A1053" t="s">
        <v>3687</v>
      </c>
      <c r="B1053">
        <v>34</v>
      </c>
      <c r="C1053" t="s">
        <v>3688</v>
      </c>
      <c r="D1053" t="s">
        <v>3689</v>
      </c>
      <c r="E1053" t="s">
        <v>3690</v>
      </c>
      <c r="F1053" t="s">
        <v>57</v>
      </c>
      <c r="L1053" t="s">
        <v>21</v>
      </c>
    </row>
    <row r="1054" spans="1:12" x14ac:dyDescent="0.3">
      <c r="A1054" t="s">
        <v>3691</v>
      </c>
      <c r="B1054">
        <v>1725</v>
      </c>
      <c r="C1054" t="s">
        <v>3692</v>
      </c>
      <c r="D1054" t="s">
        <v>3693</v>
      </c>
      <c r="E1054" t="s">
        <v>3694</v>
      </c>
      <c r="F1054" t="s">
        <v>53</v>
      </c>
      <c r="L1054" t="s">
        <v>315</v>
      </c>
    </row>
    <row r="1055" spans="1:12" x14ac:dyDescent="0.3">
      <c r="A1055" t="s">
        <v>3695</v>
      </c>
      <c r="B1055">
        <v>885</v>
      </c>
      <c r="C1055" t="s">
        <v>3696</v>
      </c>
      <c r="E1055" t="s">
        <v>3697</v>
      </c>
      <c r="F1055" t="s">
        <v>15</v>
      </c>
      <c r="H1055" s="18">
        <v>45533.916666666664</v>
      </c>
      <c r="K1055" s="18">
        <v>45533.916666666664</v>
      </c>
      <c r="L1055" t="s">
        <v>21</v>
      </c>
    </row>
    <row r="1056" spans="1:12" x14ac:dyDescent="0.3">
      <c r="A1056" t="s">
        <v>3698</v>
      </c>
      <c r="B1056">
        <v>109</v>
      </c>
      <c r="C1056" t="s">
        <v>3699</v>
      </c>
      <c r="E1056" t="s">
        <v>3700</v>
      </c>
      <c r="F1056" t="s">
        <v>41</v>
      </c>
      <c r="G1056" s="18">
        <v>45762.916666666664</v>
      </c>
      <c r="L1056" t="s">
        <v>21</v>
      </c>
    </row>
    <row r="1057" spans="1:12" x14ac:dyDescent="0.3">
      <c r="A1057" t="s">
        <v>3701</v>
      </c>
      <c r="B1057">
        <v>731</v>
      </c>
      <c r="C1057" t="s">
        <v>3702</v>
      </c>
      <c r="E1057" t="s">
        <v>3703</v>
      </c>
      <c r="F1057" t="s">
        <v>275</v>
      </c>
      <c r="G1057" s="18">
        <v>45322.958333333336</v>
      </c>
      <c r="K1057" s="18">
        <v>45693.958333333336</v>
      </c>
      <c r="L1057" t="s">
        <v>16</v>
      </c>
    </row>
    <row r="1058" spans="1:12" x14ac:dyDescent="0.3">
      <c r="A1058" t="s">
        <v>3704</v>
      </c>
      <c r="B1058">
        <v>1146</v>
      </c>
      <c r="C1058" t="s">
        <v>3705</v>
      </c>
      <c r="E1058" t="s">
        <v>3706</v>
      </c>
      <c r="F1058" t="s">
        <v>15</v>
      </c>
      <c r="G1058" s="18">
        <v>45408.916666666664</v>
      </c>
      <c r="H1058" s="18">
        <v>45547.916666666664</v>
      </c>
      <c r="K1058" s="18">
        <v>45547.916666666664</v>
      </c>
      <c r="L1058" t="s">
        <v>16</v>
      </c>
    </row>
    <row r="1059" spans="1:12" x14ac:dyDescent="0.3">
      <c r="A1059" t="s">
        <v>3707</v>
      </c>
      <c r="B1059">
        <v>1040</v>
      </c>
      <c r="C1059" t="s">
        <v>3708</v>
      </c>
      <c r="E1059" t="s">
        <v>3709</v>
      </c>
      <c r="F1059" t="s">
        <v>15</v>
      </c>
      <c r="G1059" s="18">
        <v>45380.958333333336</v>
      </c>
      <c r="H1059" s="18">
        <v>45396.916666666664</v>
      </c>
      <c r="L1059" t="s">
        <v>16</v>
      </c>
    </row>
    <row r="1060" spans="1:12" x14ac:dyDescent="0.3">
      <c r="A1060" t="s">
        <v>3710</v>
      </c>
      <c r="B1060">
        <v>28</v>
      </c>
      <c r="C1060" t="s">
        <v>3711</v>
      </c>
      <c r="D1060" t="s">
        <v>3712</v>
      </c>
      <c r="E1060" t="s">
        <v>3713</v>
      </c>
      <c r="F1060" t="s">
        <v>53</v>
      </c>
      <c r="K1060" s="18">
        <v>45813.916666666664</v>
      </c>
      <c r="L1060" t="s">
        <v>16</v>
      </c>
    </row>
    <row r="1061" spans="1:12" x14ac:dyDescent="0.3">
      <c r="A1061" t="s">
        <v>3714</v>
      </c>
      <c r="B1061">
        <v>1698</v>
      </c>
      <c r="C1061" t="s">
        <v>3715</v>
      </c>
      <c r="D1061" t="s">
        <v>3716</v>
      </c>
      <c r="E1061" t="s">
        <v>3717</v>
      </c>
      <c r="L1061" t="s">
        <v>225</v>
      </c>
    </row>
    <row r="1062" spans="1:12" x14ac:dyDescent="0.3">
      <c r="A1062" t="s">
        <v>3718</v>
      </c>
      <c r="B1062">
        <v>1531</v>
      </c>
      <c r="C1062" t="s">
        <v>3719</v>
      </c>
      <c r="D1062" t="s">
        <v>3720</v>
      </c>
      <c r="E1062" t="s">
        <v>3721</v>
      </c>
      <c r="F1062" t="s">
        <v>53</v>
      </c>
      <c r="L1062" t="s">
        <v>37</v>
      </c>
    </row>
    <row r="1063" spans="1:12" x14ac:dyDescent="0.3">
      <c r="A1063" t="s">
        <v>3722</v>
      </c>
      <c r="B1063">
        <v>920</v>
      </c>
      <c r="C1063" t="s">
        <v>3723</v>
      </c>
      <c r="E1063" t="s">
        <v>3724</v>
      </c>
      <c r="F1063" t="s">
        <v>15</v>
      </c>
      <c r="G1063" s="18">
        <v>45428.916666666664</v>
      </c>
      <c r="H1063" s="18">
        <v>45512.916666666664</v>
      </c>
      <c r="K1063" s="18">
        <v>45512.916666666664</v>
      </c>
      <c r="L1063" t="s">
        <v>16</v>
      </c>
    </row>
    <row r="1064" spans="1:12" x14ac:dyDescent="0.3">
      <c r="A1064" t="s">
        <v>3725</v>
      </c>
      <c r="B1064">
        <v>164</v>
      </c>
      <c r="C1064" t="s">
        <v>3726</v>
      </c>
      <c r="D1064" t="s">
        <v>3727</v>
      </c>
      <c r="E1064" t="s">
        <v>3728</v>
      </c>
      <c r="F1064" t="s">
        <v>41</v>
      </c>
      <c r="G1064" s="18">
        <v>45778.916666666664</v>
      </c>
      <c r="L1064" t="s">
        <v>16</v>
      </c>
    </row>
    <row r="1065" spans="1:12" x14ac:dyDescent="0.3">
      <c r="A1065" t="s">
        <v>3729</v>
      </c>
      <c r="B1065">
        <v>1241</v>
      </c>
      <c r="C1065" t="s">
        <v>3730</v>
      </c>
      <c r="E1065" t="s">
        <v>3731</v>
      </c>
      <c r="F1065" t="s">
        <v>15</v>
      </c>
      <c r="K1065" s="18">
        <v>45572.916666666664</v>
      </c>
      <c r="L1065" t="s">
        <v>21</v>
      </c>
    </row>
    <row r="1066" spans="1:12" x14ac:dyDescent="0.3">
      <c r="A1066" t="s">
        <v>3732</v>
      </c>
      <c r="B1066">
        <v>671</v>
      </c>
      <c r="C1066" t="s">
        <v>3733</v>
      </c>
      <c r="D1066" t="s">
        <v>3734</v>
      </c>
      <c r="E1066" t="s">
        <v>3735</v>
      </c>
      <c r="F1066" t="s">
        <v>15</v>
      </c>
      <c r="G1066" s="18">
        <v>45685.958333333336</v>
      </c>
      <c r="K1066" s="18">
        <v>45736.958333333336</v>
      </c>
      <c r="L1066" t="s">
        <v>16</v>
      </c>
    </row>
    <row r="1067" spans="1:12" x14ac:dyDescent="0.3">
      <c r="A1067" t="s">
        <v>3736</v>
      </c>
      <c r="B1067">
        <v>14</v>
      </c>
      <c r="C1067" t="s">
        <v>3737</v>
      </c>
      <c r="D1067" t="s">
        <v>3738</v>
      </c>
      <c r="E1067" t="s">
        <v>3739</v>
      </c>
      <c r="F1067" t="s">
        <v>41</v>
      </c>
      <c r="G1067" s="18">
        <v>45760.916666666664</v>
      </c>
      <c r="K1067" s="18">
        <v>45806.916666666664</v>
      </c>
      <c r="L1067" t="s">
        <v>225</v>
      </c>
    </row>
    <row r="1068" spans="1:12" x14ac:dyDescent="0.3">
      <c r="A1068" t="s">
        <v>3740</v>
      </c>
      <c r="B1068">
        <v>1715</v>
      </c>
      <c r="C1068" t="s">
        <v>3741</v>
      </c>
      <c r="D1068" t="s">
        <v>3742</v>
      </c>
      <c r="E1068" t="s">
        <v>3743</v>
      </c>
      <c r="F1068" t="s">
        <v>53</v>
      </c>
      <c r="L1068" t="s">
        <v>230</v>
      </c>
    </row>
    <row r="1069" spans="1:12" x14ac:dyDescent="0.3">
      <c r="A1069" t="s">
        <v>3744</v>
      </c>
      <c r="B1069">
        <v>1153</v>
      </c>
      <c r="C1069" t="s">
        <v>3745</v>
      </c>
      <c r="E1069" t="s">
        <v>3746</v>
      </c>
      <c r="F1069" t="s">
        <v>71</v>
      </c>
      <c r="L1069" t="s">
        <v>21</v>
      </c>
    </row>
    <row r="1070" spans="1:12" x14ac:dyDescent="0.3">
      <c r="A1070" t="s">
        <v>3747</v>
      </c>
      <c r="B1070">
        <v>1757</v>
      </c>
      <c r="C1070" t="s">
        <v>3748</v>
      </c>
      <c r="D1070" t="s">
        <v>3749</v>
      </c>
      <c r="E1070" t="s">
        <v>3750</v>
      </c>
      <c r="F1070" t="s">
        <v>53</v>
      </c>
      <c r="L1070" t="s">
        <v>315</v>
      </c>
    </row>
    <row r="1071" spans="1:12" x14ac:dyDescent="0.3">
      <c r="A1071" t="s">
        <v>3751</v>
      </c>
      <c r="B1071">
        <v>1532</v>
      </c>
      <c r="C1071" t="s">
        <v>3752</v>
      </c>
      <c r="E1071" t="s">
        <v>3753</v>
      </c>
      <c r="F1071" t="s">
        <v>53</v>
      </c>
      <c r="K1071" s="18">
        <v>45757.916666666664</v>
      </c>
      <c r="L1071" t="s">
        <v>37</v>
      </c>
    </row>
    <row r="1072" spans="1:12" x14ac:dyDescent="0.3">
      <c r="A1072" t="s">
        <v>3754</v>
      </c>
      <c r="B1072">
        <v>876</v>
      </c>
      <c r="C1072" t="s">
        <v>3755</v>
      </c>
      <c r="E1072" t="s">
        <v>3756</v>
      </c>
      <c r="F1072" t="s">
        <v>15</v>
      </c>
      <c r="L1072" t="s">
        <v>21</v>
      </c>
    </row>
    <row r="1073" spans="1:12" x14ac:dyDescent="0.3">
      <c r="A1073" t="s">
        <v>3757</v>
      </c>
      <c r="B1073">
        <v>1167</v>
      </c>
      <c r="C1073" t="s">
        <v>3758</v>
      </c>
      <c r="E1073" t="s">
        <v>3759</v>
      </c>
      <c r="F1073" t="s">
        <v>15</v>
      </c>
      <c r="G1073" s="18">
        <v>45641.958333333336</v>
      </c>
      <c r="K1073" s="18">
        <v>45656.958333333336</v>
      </c>
      <c r="L1073" t="s">
        <v>21</v>
      </c>
    </row>
    <row r="1074" spans="1:12" x14ac:dyDescent="0.3">
      <c r="A1074" t="s">
        <v>3760</v>
      </c>
      <c r="B1074">
        <v>376</v>
      </c>
      <c r="C1074" t="s">
        <v>3761</v>
      </c>
      <c r="D1074" t="s">
        <v>3762</v>
      </c>
      <c r="E1074" t="s">
        <v>3763</v>
      </c>
      <c r="F1074" t="s">
        <v>41</v>
      </c>
      <c r="G1074" s="18">
        <v>45760.916666666664</v>
      </c>
      <c r="L1074" t="s">
        <v>16</v>
      </c>
    </row>
    <row r="1075" spans="1:12" x14ac:dyDescent="0.3">
      <c r="A1075" t="s">
        <v>3764</v>
      </c>
      <c r="B1075">
        <v>845</v>
      </c>
      <c r="C1075" t="s">
        <v>3765</v>
      </c>
      <c r="E1075" t="s">
        <v>3766</v>
      </c>
      <c r="F1075" t="s">
        <v>3767</v>
      </c>
      <c r="G1075" s="18">
        <v>45516.916666666664</v>
      </c>
      <c r="K1075" s="18">
        <v>45595.958333333336</v>
      </c>
      <c r="L1075" t="s">
        <v>16</v>
      </c>
    </row>
    <row r="1076" spans="1:12" x14ac:dyDescent="0.3">
      <c r="A1076" t="s">
        <v>3768</v>
      </c>
      <c r="B1076">
        <v>518</v>
      </c>
      <c r="C1076" t="s">
        <v>3769</v>
      </c>
      <c r="E1076" t="s">
        <v>3770</v>
      </c>
      <c r="F1076" t="s">
        <v>53</v>
      </c>
      <c r="L1076" t="s">
        <v>37</v>
      </c>
    </row>
    <row r="1077" spans="1:12" x14ac:dyDescent="0.3">
      <c r="A1077" t="s">
        <v>3771</v>
      </c>
      <c r="B1077">
        <v>1900</v>
      </c>
      <c r="C1077" t="s">
        <v>3772</v>
      </c>
      <c r="D1077" t="s">
        <v>3773</v>
      </c>
      <c r="E1077" t="s">
        <v>3774</v>
      </c>
    </row>
    <row r="1078" spans="1:12" x14ac:dyDescent="0.3">
      <c r="A1078" t="s">
        <v>3775</v>
      </c>
      <c r="B1078">
        <v>1671</v>
      </c>
      <c r="C1078" t="s">
        <v>3776</v>
      </c>
      <c r="D1078" t="s">
        <v>3777</v>
      </c>
      <c r="E1078" t="s">
        <v>3778</v>
      </c>
      <c r="F1078" t="s">
        <v>53</v>
      </c>
      <c r="L1078" t="s">
        <v>230</v>
      </c>
    </row>
    <row r="1079" spans="1:12" x14ac:dyDescent="0.3">
      <c r="A1079" t="s">
        <v>3779</v>
      </c>
      <c r="B1079">
        <v>1756</v>
      </c>
      <c r="C1079" t="s">
        <v>3780</v>
      </c>
      <c r="D1079" t="s">
        <v>3781</v>
      </c>
      <c r="E1079" t="s">
        <v>1894</v>
      </c>
      <c r="F1079" t="s">
        <v>53</v>
      </c>
    </row>
    <row r="1080" spans="1:12" x14ac:dyDescent="0.3">
      <c r="A1080" t="s">
        <v>3782</v>
      </c>
      <c r="B1080">
        <v>1669</v>
      </c>
      <c r="C1080" t="s">
        <v>3783</v>
      </c>
      <c r="D1080" t="s">
        <v>3784</v>
      </c>
      <c r="E1080" t="s">
        <v>3785</v>
      </c>
      <c r="F1080" t="s">
        <v>41</v>
      </c>
      <c r="L1080" t="s">
        <v>88</v>
      </c>
    </row>
    <row r="1081" spans="1:12" x14ac:dyDescent="0.3">
      <c r="A1081" t="s">
        <v>3786</v>
      </c>
      <c r="B1081">
        <v>755</v>
      </c>
      <c r="C1081" t="s">
        <v>3787</v>
      </c>
      <c r="F1081" t="s">
        <v>71</v>
      </c>
      <c r="L1081" t="s">
        <v>16</v>
      </c>
    </row>
    <row r="1082" spans="1:12" x14ac:dyDescent="0.3">
      <c r="A1082" t="s">
        <v>3788</v>
      </c>
      <c r="B1082">
        <v>1446</v>
      </c>
      <c r="C1082" t="s">
        <v>3789</v>
      </c>
      <c r="D1082" t="s">
        <v>3790</v>
      </c>
      <c r="E1082" t="s">
        <v>3791</v>
      </c>
      <c r="F1082" t="s">
        <v>53</v>
      </c>
      <c r="L1082" t="s">
        <v>21</v>
      </c>
    </row>
    <row r="1083" spans="1:12" x14ac:dyDescent="0.3">
      <c r="A1083" t="s">
        <v>3792</v>
      </c>
      <c r="B1083">
        <v>818</v>
      </c>
      <c r="C1083" t="s">
        <v>3793</v>
      </c>
      <c r="F1083" t="s">
        <v>71</v>
      </c>
      <c r="L1083" t="s">
        <v>16</v>
      </c>
    </row>
    <row r="1084" spans="1:12" x14ac:dyDescent="0.3">
      <c r="A1084" t="s">
        <v>3794</v>
      </c>
      <c r="B1084">
        <v>533</v>
      </c>
      <c r="C1084" t="s">
        <v>3795</v>
      </c>
      <c r="D1084" t="s">
        <v>3796</v>
      </c>
      <c r="E1084" t="s">
        <v>3797</v>
      </c>
      <c r="F1084" t="s">
        <v>41</v>
      </c>
      <c r="G1084" s="18">
        <v>45743.958333333336</v>
      </c>
      <c r="L1084" t="s">
        <v>16</v>
      </c>
    </row>
    <row r="1085" spans="1:12" x14ac:dyDescent="0.3">
      <c r="A1085" t="s">
        <v>3798</v>
      </c>
      <c r="B1085">
        <v>904</v>
      </c>
      <c r="C1085" t="s">
        <v>3799</v>
      </c>
      <c r="F1085" t="s">
        <v>71</v>
      </c>
      <c r="L1085" t="s">
        <v>16</v>
      </c>
    </row>
    <row r="1086" spans="1:12" x14ac:dyDescent="0.3">
      <c r="A1086" t="s">
        <v>3800</v>
      </c>
      <c r="B1086">
        <v>1680</v>
      </c>
      <c r="C1086" t="s">
        <v>3801</v>
      </c>
      <c r="D1086" t="s">
        <v>3802</v>
      </c>
      <c r="E1086" t="s">
        <v>3803</v>
      </c>
      <c r="F1086" t="s">
        <v>53</v>
      </c>
    </row>
    <row r="1087" spans="1:12" x14ac:dyDescent="0.3">
      <c r="A1087" t="s">
        <v>3804</v>
      </c>
      <c r="B1087">
        <v>1533</v>
      </c>
      <c r="C1087" t="s">
        <v>3805</v>
      </c>
      <c r="D1087" t="s">
        <v>3806</v>
      </c>
      <c r="E1087" t="s">
        <v>3807</v>
      </c>
      <c r="F1087" t="s">
        <v>53</v>
      </c>
      <c r="K1087" s="18">
        <v>45783.916666666664</v>
      </c>
      <c r="L1087" t="s">
        <v>315</v>
      </c>
    </row>
    <row r="1088" spans="1:12" x14ac:dyDescent="0.3">
      <c r="A1088" t="s">
        <v>3808</v>
      </c>
      <c r="B1088">
        <v>1437</v>
      </c>
      <c r="C1088" t="s">
        <v>3809</v>
      </c>
      <c r="E1088" t="s">
        <v>3810</v>
      </c>
      <c r="F1088" t="s">
        <v>53</v>
      </c>
      <c r="L1088" t="s">
        <v>21</v>
      </c>
    </row>
    <row r="1089" spans="1:12" x14ac:dyDescent="0.3">
      <c r="A1089" t="s">
        <v>3811</v>
      </c>
      <c r="B1089">
        <v>380</v>
      </c>
      <c r="C1089" t="s">
        <v>3812</v>
      </c>
      <c r="D1089" t="s">
        <v>3813</v>
      </c>
      <c r="E1089" t="s">
        <v>3814</v>
      </c>
      <c r="F1089" t="s">
        <v>41</v>
      </c>
      <c r="G1089" s="18">
        <v>45768.916666666664</v>
      </c>
      <c r="L1089" t="s">
        <v>16</v>
      </c>
    </row>
    <row r="1090" spans="1:12" x14ac:dyDescent="0.3">
      <c r="A1090" t="s">
        <v>3815</v>
      </c>
      <c r="B1090">
        <v>597</v>
      </c>
      <c r="C1090" t="s">
        <v>3816</v>
      </c>
      <c r="D1090" t="s">
        <v>3817</v>
      </c>
      <c r="E1090" t="s">
        <v>3818</v>
      </c>
      <c r="F1090" t="s">
        <v>53</v>
      </c>
      <c r="L1090" t="s">
        <v>16</v>
      </c>
    </row>
    <row r="1091" spans="1:12" x14ac:dyDescent="0.3">
      <c r="A1091" t="s">
        <v>3819</v>
      </c>
      <c r="B1091">
        <v>379</v>
      </c>
      <c r="C1091" t="s">
        <v>3820</v>
      </c>
      <c r="D1091" t="s">
        <v>3821</v>
      </c>
      <c r="E1091" t="s">
        <v>3822</v>
      </c>
      <c r="F1091" t="s">
        <v>53</v>
      </c>
      <c r="G1091" s="18">
        <v>45768.916666666664</v>
      </c>
      <c r="K1091" s="18">
        <v>45799.916666666664</v>
      </c>
      <c r="L1091" t="s">
        <v>225</v>
      </c>
    </row>
    <row r="1092" spans="1:12" x14ac:dyDescent="0.3">
      <c r="A1092" t="s">
        <v>3823</v>
      </c>
      <c r="B1092">
        <v>1664</v>
      </c>
      <c r="C1092" t="s">
        <v>3820</v>
      </c>
      <c r="D1092" t="s">
        <v>3821</v>
      </c>
      <c r="E1092" t="s">
        <v>3822</v>
      </c>
      <c r="L1092" t="s">
        <v>225</v>
      </c>
    </row>
    <row r="1093" spans="1:12" x14ac:dyDescent="0.3">
      <c r="A1093" t="s">
        <v>3824</v>
      </c>
      <c r="B1093">
        <v>215</v>
      </c>
      <c r="C1093" t="s">
        <v>3825</v>
      </c>
      <c r="D1093" t="s">
        <v>3826</v>
      </c>
      <c r="E1093" t="s">
        <v>3827</v>
      </c>
      <c r="F1093" t="s">
        <v>57</v>
      </c>
      <c r="L1093" t="s">
        <v>21</v>
      </c>
    </row>
    <row r="1094" spans="1:12" x14ac:dyDescent="0.3">
      <c r="A1094" t="s">
        <v>3828</v>
      </c>
      <c r="B1094">
        <v>2</v>
      </c>
      <c r="C1094" t="s">
        <v>3829</v>
      </c>
      <c r="D1094" t="s">
        <v>3830</v>
      </c>
      <c r="E1094" t="s">
        <v>3831</v>
      </c>
      <c r="F1094" t="s">
        <v>41</v>
      </c>
      <c r="G1094" s="18">
        <v>45768.916666666664</v>
      </c>
      <c r="K1094" s="18">
        <v>45801.916666666664</v>
      </c>
      <c r="L1094" t="s">
        <v>21</v>
      </c>
    </row>
    <row r="1095" spans="1:12" x14ac:dyDescent="0.3">
      <c r="A1095" t="s">
        <v>3832</v>
      </c>
      <c r="B1095">
        <v>1534</v>
      </c>
      <c r="C1095" t="s">
        <v>3833</v>
      </c>
      <c r="D1095" t="s">
        <v>3834</v>
      </c>
      <c r="E1095" t="s">
        <v>3835</v>
      </c>
      <c r="F1095" t="s">
        <v>53</v>
      </c>
      <c r="L1095" t="s">
        <v>148</v>
      </c>
    </row>
    <row r="1096" spans="1:12" x14ac:dyDescent="0.3">
      <c r="A1096" t="s">
        <v>3836</v>
      </c>
      <c r="B1096">
        <v>1896</v>
      </c>
      <c r="C1096" t="s">
        <v>3837</v>
      </c>
      <c r="D1096" t="s">
        <v>3838</v>
      </c>
      <c r="E1096" t="s">
        <v>3839</v>
      </c>
    </row>
    <row r="1097" spans="1:12" x14ac:dyDescent="0.3">
      <c r="A1097" t="s">
        <v>3840</v>
      </c>
      <c r="B1097">
        <v>1325</v>
      </c>
      <c r="C1097" t="s">
        <v>3841</v>
      </c>
      <c r="E1097" t="s">
        <v>3842</v>
      </c>
      <c r="F1097" t="s">
        <v>49</v>
      </c>
      <c r="G1097" s="18">
        <v>45705.958333333336</v>
      </c>
      <c r="L1097" t="s">
        <v>16</v>
      </c>
    </row>
    <row r="1098" spans="1:12" x14ac:dyDescent="0.3">
      <c r="A1098" t="s">
        <v>3843</v>
      </c>
      <c r="B1098">
        <v>1145</v>
      </c>
      <c r="C1098" t="s">
        <v>3844</v>
      </c>
      <c r="E1098" t="s">
        <v>3845</v>
      </c>
      <c r="F1098" t="s">
        <v>15</v>
      </c>
      <c r="G1098" s="18">
        <v>45699.958333333336</v>
      </c>
      <c r="L1098" t="s">
        <v>16</v>
      </c>
    </row>
    <row r="1099" spans="1:12" x14ac:dyDescent="0.3">
      <c r="A1099" t="s">
        <v>3846</v>
      </c>
      <c r="B1099">
        <v>1867</v>
      </c>
      <c r="C1099" t="s">
        <v>3847</v>
      </c>
      <c r="E1099" t="s">
        <v>3848</v>
      </c>
    </row>
    <row r="1100" spans="1:12" x14ac:dyDescent="0.3">
      <c r="A1100" t="s">
        <v>3849</v>
      </c>
      <c r="B1100">
        <v>490</v>
      </c>
      <c r="C1100" t="s">
        <v>3850</v>
      </c>
      <c r="D1100" t="s">
        <v>3851</v>
      </c>
      <c r="E1100" t="s">
        <v>3852</v>
      </c>
      <c r="F1100" t="s">
        <v>57</v>
      </c>
      <c r="L1100" t="s">
        <v>21</v>
      </c>
    </row>
    <row r="1101" spans="1:12" x14ac:dyDescent="0.3">
      <c r="A1101" t="s">
        <v>3853</v>
      </c>
      <c r="B1101">
        <v>560</v>
      </c>
      <c r="C1101" t="s">
        <v>3854</v>
      </c>
      <c r="D1101" t="s">
        <v>3855</v>
      </c>
      <c r="E1101" t="s">
        <v>3856</v>
      </c>
      <c r="F1101" t="s">
        <v>53</v>
      </c>
      <c r="L1101" t="s">
        <v>21</v>
      </c>
    </row>
    <row r="1102" spans="1:12" x14ac:dyDescent="0.3">
      <c r="A1102" t="s">
        <v>3857</v>
      </c>
      <c r="B1102">
        <v>718</v>
      </c>
      <c r="C1102" t="s">
        <v>3858</v>
      </c>
      <c r="E1102" t="s">
        <v>3859</v>
      </c>
      <c r="F1102" t="s">
        <v>170</v>
      </c>
      <c r="K1102" s="18">
        <v>45750.916666666664</v>
      </c>
      <c r="L1102" t="s">
        <v>16</v>
      </c>
    </row>
    <row r="1103" spans="1:12" x14ac:dyDescent="0.3">
      <c r="A1103" t="s">
        <v>3860</v>
      </c>
      <c r="B1103">
        <v>896</v>
      </c>
      <c r="C1103" t="s">
        <v>3861</v>
      </c>
      <c r="E1103" t="s">
        <v>3862</v>
      </c>
      <c r="F1103" t="s">
        <v>15</v>
      </c>
      <c r="L1103" t="s">
        <v>16</v>
      </c>
    </row>
    <row r="1104" spans="1:12" x14ac:dyDescent="0.3">
      <c r="A1104" t="s">
        <v>3863</v>
      </c>
      <c r="B1104">
        <v>1944</v>
      </c>
      <c r="C1104" t="s">
        <v>3864</v>
      </c>
      <c r="D1104" t="s">
        <v>3865</v>
      </c>
      <c r="E1104" t="s">
        <v>3866</v>
      </c>
    </row>
    <row r="1105" spans="1:12" x14ac:dyDescent="0.3">
      <c r="A1105" t="s">
        <v>3867</v>
      </c>
      <c r="B1105">
        <v>846</v>
      </c>
      <c r="C1105" t="s">
        <v>3868</v>
      </c>
      <c r="E1105" t="s">
        <v>3869</v>
      </c>
      <c r="F1105" t="s">
        <v>15</v>
      </c>
      <c r="G1105" s="18">
        <v>45516.916666666664</v>
      </c>
      <c r="K1105" s="18">
        <v>45614.958333333336</v>
      </c>
      <c r="L1105" t="s">
        <v>16</v>
      </c>
    </row>
    <row r="1106" spans="1:12" x14ac:dyDescent="0.3">
      <c r="A1106" t="s">
        <v>3870</v>
      </c>
      <c r="B1106">
        <v>952</v>
      </c>
      <c r="C1106" t="s">
        <v>3871</v>
      </c>
      <c r="E1106" t="s">
        <v>3872</v>
      </c>
      <c r="F1106" t="s">
        <v>15</v>
      </c>
      <c r="G1106" s="18">
        <v>45336.958333333336</v>
      </c>
      <c r="L1106" t="s">
        <v>16</v>
      </c>
    </row>
    <row r="1107" spans="1:12" x14ac:dyDescent="0.3">
      <c r="A1107" t="s">
        <v>3873</v>
      </c>
      <c r="B1107">
        <v>843</v>
      </c>
      <c r="C1107" t="s">
        <v>3874</v>
      </c>
      <c r="E1107" t="s">
        <v>3875</v>
      </c>
      <c r="F1107" t="s">
        <v>15</v>
      </c>
      <c r="G1107" s="18">
        <v>45508.916666666664</v>
      </c>
      <c r="K1107" s="18">
        <v>45625.958333333336</v>
      </c>
      <c r="L1107" t="s">
        <v>16</v>
      </c>
    </row>
    <row r="1108" spans="1:12" x14ac:dyDescent="0.3">
      <c r="A1108" t="s">
        <v>3876</v>
      </c>
      <c r="B1108">
        <v>2107</v>
      </c>
      <c r="C1108" t="s">
        <v>3877</v>
      </c>
      <c r="D1108" t="s">
        <v>3878</v>
      </c>
      <c r="E1108" t="s">
        <v>3879</v>
      </c>
    </row>
    <row r="1109" spans="1:12" x14ac:dyDescent="0.3">
      <c r="A1109" t="s">
        <v>3880</v>
      </c>
      <c r="B1109">
        <v>1536</v>
      </c>
      <c r="C1109" t="s">
        <v>3881</v>
      </c>
      <c r="D1109" t="s">
        <v>3882</v>
      </c>
      <c r="E1109" t="s">
        <v>3883</v>
      </c>
      <c r="F1109" t="s">
        <v>53</v>
      </c>
      <c r="L1109" t="s">
        <v>37</v>
      </c>
    </row>
    <row r="1110" spans="1:12" x14ac:dyDescent="0.3">
      <c r="A1110" t="s">
        <v>3884</v>
      </c>
      <c r="B1110">
        <v>378</v>
      </c>
      <c r="C1110" t="s">
        <v>3885</v>
      </c>
      <c r="D1110" t="s">
        <v>3886</v>
      </c>
      <c r="E1110" t="s">
        <v>3887</v>
      </c>
      <c r="F1110" t="s">
        <v>36</v>
      </c>
      <c r="G1110" s="18">
        <v>45760.916666666664</v>
      </c>
      <c r="L1110" t="s">
        <v>16</v>
      </c>
    </row>
    <row r="1111" spans="1:12" x14ac:dyDescent="0.3">
      <c r="A1111" t="s">
        <v>3888</v>
      </c>
      <c r="B1111">
        <v>437</v>
      </c>
      <c r="C1111" t="s">
        <v>3889</v>
      </c>
      <c r="E1111" t="s">
        <v>3890</v>
      </c>
      <c r="F1111" t="s">
        <v>53</v>
      </c>
      <c r="L1111" t="s">
        <v>16</v>
      </c>
    </row>
    <row r="1112" spans="1:12" x14ac:dyDescent="0.3">
      <c r="A1112" t="s">
        <v>3891</v>
      </c>
      <c r="B1112">
        <v>905</v>
      </c>
      <c r="C1112" t="s">
        <v>3892</v>
      </c>
      <c r="F1112" t="s">
        <v>71</v>
      </c>
      <c r="L1112" t="s">
        <v>16</v>
      </c>
    </row>
    <row r="1113" spans="1:12" x14ac:dyDescent="0.3">
      <c r="A1113" t="s">
        <v>3893</v>
      </c>
      <c r="B1113">
        <v>1417</v>
      </c>
      <c r="C1113" t="s">
        <v>3894</v>
      </c>
      <c r="D1113" t="s">
        <v>3895</v>
      </c>
      <c r="E1113" t="s">
        <v>3896</v>
      </c>
      <c r="F1113" t="s">
        <v>53</v>
      </c>
      <c r="I1113" s="18">
        <v>45804.916666666664</v>
      </c>
      <c r="J1113" s="18">
        <v>45825.916666666664</v>
      </c>
      <c r="L1113" t="s">
        <v>21</v>
      </c>
    </row>
    <row r="1114" spans="1:12" x14ac:dyDescent="0.3">
      <c r="A1114" t="s">
        <v>3897</v>
      </c>
      <c r="B1114">
        <v>804</v>
      </c>
      <c r="C1114" t="s">
        <v>3898</v>
      </c>
      <c r="F1114" t="s">
        <v>71</v>
      </c>
      <c r="L1114" t="s">
        <v>16</v>
      </c>
    </row>
    <row r="1115" spans="1:12" x14ac:dyDescent="0.3">
      <c r="A1115" t="s">
        <v>3899</v>
      </c>
      <c r="B1115">
        <v>658</v>
      </c>
      <c r="C1115" t="s">
        <v>3900</v>
      </c>
      <c r="E1115" t="s">
        <v>3901</v>
      </c>
      <c r="F1115" t="s">
        <v>71</v>
      </c>
      <c r="L1115" t="s">
        <v>21</v>
      </c>
    </row>
    <row r="1116" spans="1:12" x14ac:dyDescent="0.3">
      <c r="A1116" t="s">
        <v>3902</v>
      </c>
      <c r="B1116">
        <v>1124</v>
      </c>
      <c r="C1116" t="s">
        <v>3903</v>
      </c>
      <c r="E1116" t="s">
        <v>3904</v>
      </c>
      <c r="F1116" t="s">
        <v>15</v>
      </c>
      <c r="K1116" s="18">
        <v>45531.916666666664</v>
      </c>
      <c r="L1116" t="s">
        <v>16</v>
      </c>
    </row>
    <row r="1117" spans="1:12" x14ac:dyDescent="0.3">
      <c r="A1117" t="s">
        <v>3905</v>
      </c>
      <c r="B1117">
        <v>1427</v>
      </c>
      <c r="C1117" t="s">
        <v>3906</v>
      </c>
      <c r="E1117" t="s">
        <v>3907</v>
      </c>
      <c r="F1117" t="s">
        <v>53</v>
      </c>
      <c r="I1117" s="18">
        <v>45809.916666666664</v>
      </c>
      <c r="J1117" s="18">
        <v>45883.916666666664</v>
      </c>
      <c r="L1117" t="s">
        <v>21</v>
      </c>
    </row>
    <row r="1118" spans="1:12" x14ac:dyDescent="0.3">
      <c r="A1118" t="s">
        <v>3908</v>
      </c>
      <c r="B1118">
        <v>1104</v>
      </c>
      <c r="C1118" t="s">
        <v>3909</v>
      </c>
      <c r="E1118" t="s">
        <v>3910</v>
      </c>
      <c r="F1118" t="s">
        <v>15</v>
      </c>
      <c r="G1118" s="18">
        <v>45322.958333333336</v>
      </c>
      <c r="H1118" s="18">
        <v>45428.916666666664</v>
      </c>
      <c r="L1118" t="s">
        <v>16</v>
      </c>
    </row>
    <row r="1119" spans="1:12" x14ac:dyDescent="0.3">
      <c r="A1119" t="s">
        <v>3911</v>
      </c>
      <c r="B1119">
        <v>2078</v>
      </c>
      <c r="C1119" t="s">
        <v>3912</v>
      </c>
      <c r="E1119" t="s">
        <v>3913</v>
      </c>
    </row>
    <row r="1120" spans="1:12" x14ac:dyDescent="0.3">
      <c r="A1120" t="s">
        <v>3914</v>
      </c>
      <c r="B1120">
        <v>605</v>
      </c>
      <c r="C1120" t="s">
        <v>3915</v>
      </c>
      <c r="D1120" t="s">
        <v>3916</v>
      </c>
      <c r="E1120" t="s">
        <v>3917</v>
      </c>
      <c r="F1120" t="s">
        <v>15</v>
      </c>
      <c r="G1120" s="18">
        <v>45275.958333333336</v>
      </c>
      <c r="K1120" s="18">
        <v>45867.916666666664</v>
      </c>
      <c r="L1120" t="s">
        <v>16</v>
      </c>
    </row>
    <row r="1121" spans="1:12" x14ac:dyDescent="0.3">
      <c r="A1121" t="s">
        <v>3918</v>
      </c>
      <c r="B1121">
        <v>2061</v>
      </c>
      <c r="C1121" t="s">
        <v>3919</v>
      </c>
      <c r="D1121" t="s">
        <v>3920</v>
      </c>
      <c r="E1121" t="s">
        <v>3921</v>
      </c>
    </row>
    <row r="1122" spans="1:12" x14ac:dyDescent="0.3">
      <c r="A1122" t="s">
        <v>3922</v>
      </c>
      <c r="B1122">
        <v>377</v>
      </c>
      <c r="C1122" t="s">
        <v>3923</v>
      </c>
      <c r="D1122" t="s">
        <v>3924</v>
      </c>
      <c r="E1122" t="s">
        <v>3925</v>
      </c>
      <c r="F1122" t="s">
        <v>41</v>
      </c>
      <c r="G1122" s="18">
        <v>45761.916666666664</v>
      </c>
      <c r="L1122" t="s">
        <v>16</v>
      </c>
    </row>
    <row r="1123" spans="1:12" x14ac:dyDescent="0.3">
      <c r="A1123" t="s">
        <v>3926</v>
      </c>
      <c r="B1123">
        <v>1706</v>
      </c>
      <c r="C1123" t="s">
        <v>3927</v>
      </c>
      <c r="D1123" t="s">
        <v>3928</v>
      </c>
      <c r="E1123" t="s">
        <v>3929</v>
      </c>
      <c r="F1123" t="s">
        <v>53</v>
      </c>
      <c r="L1123" t="s">
        <v>230</v>
      </c>
    </row>
    <row r="1124" spans="1:12" x14ac:dyDescent="0.3">
      <c r="A1124" t="s">
        <v>3930</v>
      </c>
      <c r="B1124">
        <v>1875</v>
      </c>
      <c r="C1124" t="s">
        <v>3931</v>
      </c>
      <c r="D1124" t="s">
        <v>3932</v>
      </c>
      <c r="E1124" t="s">
        <v>3933</v>
      </c>
    </row>
    <row r="1125" spans="1:12" x14ac:dyDescent="0.3">
      <c r="A1125" t="s">
        <v>3934</v>
      </c>
      <c r="B1125">
        <v>1997</v>
      </c>
      <c r="C1125" t="s">
        <v>3935</v>
      </c>
      <c r="D1125" t="s">
        <v>3936</v>
      </c>
      <c r="E1125" t="s">
        <v>3937</v>
      </c>
    </row>
    <row r="1126" spans="1:12" x14ac:dyDescent="0.3">
      <c r="A1126" t="s">
        <v>3938</v>
      </c>
      <c r="B1126">
        <v>1294</v>
      </c>
      <c r="C1126" t="s">
        <v>3939</v>
      </c>
      <c r="E1126" t="s">
        <v>3940</v>
      </c>
      <c r="F1126" t="s">
        <v>15</v>
      </c>
      <c r="K1126" s="18">
        <v>45501.916666666664</v>
      </c>
      <c r="L1126" t="s">
        <v>21</v>
      </c>
    </row>
    <row r="1127" spans="1:12" x14ac:dyDescent="0.3">
      <c r="A1127" t="s">
        <v>3941</v>
      </c>
      <c r="B1127">
        <v>353</v>
      </c>
      <c r="C1127" t="s">
        <v>3942</v>
      </c>
      <c r="E1127" t="s">
        <v>3943</v>
      </c>
      <c r="F1127" t="s">
        <v>53</v>
      </c>
      <c r="L1127" t="s">
        <v>16</v>
      </c>
    </row>
    <row r="1128" spans="1:12" x14ac:dyDescent="0.3">
      <c r="A1128" t="s">
        <v>3944</v>
      </c>
      <c r="B1128">
        <v>1428</v>
      </c>
      <c r="C1128" t="s">
        <v>3945</v>
      </c>
      <c r="D1128" t="s">
        <v>3946</v>
      </c>
      <c r="E1128" t="s">
        <v>3947</v>
      </c>
      <c r="F1128" t="s">
        <v>53</v>
      </c>
      <c r="I1128" s="18">
        <v>45811.916666666664</v>
      </c>
      <c r="J1128" s="18">
        <v>45834.916666666664</v>
      </c>
      <c r="L1128" t="s">
        <v>225</v>
      </c>
    </row>
    <row r="1129" spans="1:12" x14ac:dyDescent="0.3">
      <c r="A1129" t="s">
        <v>3948</v>
      </c>
      <c r="B1129">
        <v>1901</v>
      </c>
      <c r="C1129" t="s">
        <v>3949</v>
      </c>
      <c r="E1129" t="s">
        <v>3950</v>
      </c>
    </row>
    <row r="1130" spans="1:12" x14ac:dyDescent="0.3">
      <c r="A1130" t="s">
        <v>3951</v>
      </c>
      <c r="B1130">
        <v>1537</v>
      </c>
      <c r="C1130" t="s">
        <v>3952</v>
      </c>
      <c r="E1130" t="s">
        <v>3953</v>
      </c>
      <c r="F1130" t="s">
        <v>53</v>
      </c>
      <c r="L1130" t="s">
        <v>37</v>
      </c>
    </row>
    <row r="1131" spans="1:12" x14ac:dyDescent="0.3">
      <c r="A1131" t="s">
        <v>3954</v>
      </c>
      <c r="B1131">
        <v>291</v>
      </c>
      <c r="C1131" t="s">
        <v>3955</v>
      </c>
      <c r="D1131" t="s">
        <v>3956</v>
      </c>
      <c r="E1131" t="s">
        <v>3957</v>
      </c>
      <c r="F1131" t="s">
        <v>41</v>
      </c>
      <c r="G1131" s="18">
        <v>45944.916666666664</v>
      </c>
      <c r="L1131" t="s">
        <v>21</v>
      </c>
    </row>
    <row r="1132" spans="1:12" x14ac:dyDescent="0.3">
      <c r="A1132" t="s">
        <v>3958</v>
      </c>
      <c r="B1132">
        <v>163</v>
      </c>
      <c r="C1132" t="s">
        <v>3959</v>
      </c>
      <c r="D1132" t="s">
        <v>3960</v>
      </c>
      <c r="E1132" t="s">
        <v>3961</v>
      </c>
      <c r="F1132" t="s">
        <v>36</v>
      </c>
      <c r="G1132" s="18">
        <v>45762.916666666664</v>
      </c>
      <c r="L1132" t="s">
        <v>16</v>
      </c>
    </row>
    <row r="1133" spans="1:12" x14ac:dyDescent="0.3">
      <c r="A1133" t="s">
        <v>3962</v>
      </c>
      <c r="B1133">
        <v>771</v>
      </c>
      <c r="C1133" t="s">
        <v>3963</v>
      </c>
      <c r="E1133" t="s">
        <v>3964</v>
      </c>
      <c r="F1133" t="s">
        <v>170</v>
      </c>
      <c r="G1133" s="18">
        <v>45459.916666666664</v>
      </c>
      <c r="H1133" s="18">
        <v>45545.916666666664</v>
      </c>
      <c r="K1133" s="18">
        <v>45481.916666666664</v>
      </c>
      <c r="L1133" t="s">
        <v>16</v>
      </c>
    </row>
    <row r="1134" spans="1:12" x14ac:dyDescent="0.3">
      <c r="A1134" t="s">
        <v>3965</v>
      </c>
      <c r="B1134">
        <v>1096</v>
      </c>
      <c r="C1134" t="s">
        <v>3966</v>
      </c>
      <c r="E1134" t="s">
        <v>3967</v>
      </c>
      <c r="F1134" t="s">
        <v>15</v>
      </c>
      <c r="G1134" s="18">
        <v>45501.916666666664</v>
      </c>
      <c r="K1134" s="18">
        <v>45622.958333333336</v>
      </c>
      <c r="L1134" t="s">
        <v>21</v>
      </c>
    </row>
    <row r="1135" spans="1:12" x14ac:dyDescent="0.3">
      <c r="A1135" t="s">
        <v>3968</v>
      </c>
      <c r="B1135">
        <v>390</v>
      </c>
      <c r="C1135" t="s">
        <v>3969</v>
      </c>
      <c r="E1135" t="s">
        <v>3970</v>
      </c>
      <c r="F1135" t="s">
        <v>41</v>
      </c>
      <c r="G1135" s="18">
        <v>45761.916666666664</v>
      </c>
      <c r="L1135" t="s">
        <v>16</v>
      </c>
    </row>
    <row r="1136" spans="1:12" x14ac:dyDescent="0.3">
      <c r="A1136" t="s">
        <v>3971</v>
      </c>
      <c r="B1136">
        <v>1080</v>
      </c>
      <c r="C1136" t="s">
        <v>3972</v>
      </c>
      <c r="E1136" t="s">
        <v>3973</v>
      </c>
      <c r="F1136" t="s">
        <v>15</v>
      </c>
      <c r="L1136" t="s">
        <v>16</v>
      </c>
    </row>
    <row r="1137" spans="1:12" x14ac:dyDescent="0.3">
      <c r="A1137" t="s">
        <v>3974</v>
      </c>
      <c r="B1137">
        <v>181</v>
      </c>
      <c r="C1137" t="s">
        <v>3975</v>
      </c>
      <c r="D1137" t="s">
        <v>3976</v>
      </c>
      <c r="E1137" t="s">
        <v>3977</v>
      </c>
      <c r="F1137" t="s">
        <v>15</v>
      </c>
      <c r="G1137" s="18">
        <v>45676.958333333336</v>
      </c>
      <c r="L1137" t="s">
        <v>21</v>
      </c>
    </row>
    <row r="1138" spans="1:12" x14ac:dyDescent="0.3">
      <c r="A1138" t="s">
        <v>3978</v>
      </c>
      <c r="B1138">
        <v>110</v>
      </c>
      <c r="C1138" t="s">
        <v>3979</v>
      </c>
      <c r="E1138" t="s">
        <v>3980</v>
      </c>
      <c r="F1138" t="s">
        <v>41</v>
      </c>
      <c r="G1138" s="18">
        <v>45685.958333333336</v>
      </c>
      <c r="L1138" t="s">
        <v>21</v>
      </c>
    </row>
    <row r="1139" spans="1:12" x14ac:dyDescent="0.3">
      <c r="A1139" t="s">
        <v>3981</v>
      </c>
      <c r="B1139">
        <v>212</v>
      </c>
      <c r="C1139" t="s">
        <v>3982</v>
      </c>
      <c r="D1139" t="s">
        <v>3983</v>
      </c>
      <c r="E1139" t="s">
        <v>3984</v>
      </c>
      <c r="F1139" t="s">
        <v>41</v>
      </c>
      <c r="G1139" s="18">
        <v>45768.916666666664</v>
      </c>
      <c r="L1139" t="s">
        <v>21</v>
      </c>
    </row>
    <row r="1140" spans="1:12" x14ac:dyDescent="0.3">
      <c r="A1140" t="s">
        <v>3985</v>
      </c>
      <c r="B1140">
        <v>1144</v>
      </c>
      <c r="C1140" t="s">
        <v>3986</v>
      </c>
      <c r="E1140" t="s">
        <v>3987</v>
      </c>
      <c r="F1140" t="s">
        <v>15</v>
      </c>
      <c r="G1140" s="18">
        <v>45420.916666666664</v>
      </c>
      <c r="H1140" s="18">
        <v>45561.916666666664</v>
      </c>
      <c r="K1140" s="18">
        <v>45561.916666666664</v>
      </c>
      <c r="L1140" t="s">
        <v>16</v>
      </c>
    </row>
    <row r="1141" spans="1:12" x14ac:dyDescent="0.3">
      <c r="A1141" t="s">
        <v>3988</v>
      </c>
      <c r="B1141">
        <v>1538</v>
      </c>
      <c r="C1141" t="s">
        <v>3989</v>
      </c>
      <c r="D1141" t="s">
        <v>3990</v>
      </c>
      <c r="E1141" t="s">
        <v>3991</v>
      </c>
      <c r="F1141" t="s">
        <v>53</v>
      </c>
      <c r="L1141" t="s">
        <v>37</v>
      </c>
    </row>
    <row r="1142" spans="1:12" x14ac:dyDescent="0.3">
      <c r="A1142" t="s">
        <v>3992</v>
      </c>
      <c r="B1142">
        <v>298</v>
      </c>
      <c r="C1142" t="s">
        <v>3993</v>
      </c>
      <c r="E1142" t="s">
        <v>3994</v>
      </c>
      <c r="F1142" t="s">
        <v>41</v>
      </c>
      <c r="G1142" s="18">
        <v>45799.916666666664</v>
      </c>
      <c r="L1142" t="s">
        <v>16</v>
      </c>
    </row>
    <row r="1143" spans="1:12" x14ac:dyDescent="0.3">
      <c r="A1143" t="s">
        <v>3995</v>
      </c>
      <c r="B1143">
        <v>260</v>
      </c>
      <c r="C1143" t="s">
        <v>3996</v>
      </c>
      <c r="D1143" t="s">
        <v>3997</v>
      </c>
      <c r="E1143" t="s">
        <v>3998</v>
      </c>
      <c r="F1143" t="s">
        <v>41</v>
      </c>
      <c r="G1143" s="18">
        <v>45761.916666666664</v>
      </c>
      <c r="L1143" t="s">
        <v>16</v>
      </c>
    </row>
    <row r="1144" spans="1:12" x14ac:dyDescent="0.3">
      <c r="A1144" t="s">
        <v>3999</v>
      </c>
      <c r="B1144">
        <v>1971</v>
      </c>
      <c r="C1144" t="s">
        <v>4000</v>
      </c>
      <c r="D1144" t="s">
        <v>4001</v>
      </c>
      <c r="E1144" t="s">
        <v>4002</v>
      </c>
    </row>
    <row r="1145" spans="1:12" x14ac:dyDescent="0.3">
      <c r="A1145" t="s">
        <v>4003</v>
      </c>
      <c r="B1145">
        <v>775</v>
      </c>
      <c r="C1145" t="s">
        <v>4004</v>
      </c>
      <c r="E1145" t="s">
        <v>4005</v>
      </c>
      <c r="F1145" t="s">
        <v>15</v>
      </c>
      <c r="G1145" s="18">
        <v>45616.958333333336</v>
      </c>
      <c r="K1145" s="18">
        <v>45643.958333333336</v>
      </c>
      <c r="L1145" t="s">
        <v>16</v>
      </c>
    </row>
    <row r="1146" spans="1:12" x14ac:dyDescent="0.3">
      <c r="A1146" t="s">
        <v>4006</v>
      </c>
      <c r="B1146">
        <v>1777</v>
      </c>
      <c r="C1146" t="s">
        <v>4007</v>
      </c>
      <c r="D1146" t="s">
        <v>4008</v>
      </c>
      <c r="E1146" t="s">
        <v>4009</v>
      </c>
      <c r="L1146" t="s">
        <v>315</v>
      </c>
    </row>
    <row r="1147" spans="1:12" x14ac:dyDescent="0.3">
      <c r="A1147" t="s">
        <v>4010</v>
      </c>
      <c r="B1147">
        <v>227</v>
      </c>
      <c r="C1147" t="s">
        <v>4011</v>
      </c>
      <c r="D1147" t="s">
        <v>4012</v>
      </c>
      <c r="E1147" t="s">
        <v>4013</v>
      </c>
      <c r="F1147" t="s">
        <v>57</v>
      </c>
      <c r="L1147" t="s">
        <v>21</v>
      </c>
    </row>
    <row r="1148" spans="1:12" x14ac:dyDescent="0.3">
      <c r="A1148" t="s">
        <v>4014</v>
      </c>
      <c r="B1148">
        <v>1387</v>
      </c>
      <c r="C1148" t="s">
        <v>4015</v>
      </c>
      <c r="F1148" t="s">
        <v>71</v>
      </c>
      <c r="L1148" t="s">
        <v>16</v>
      </c>
    </row>
    <row r="1149" spans="1:12" x14ac:dyDescent="0.3">
      <c r="A1149" t="s">
        <v>4016</v>
      </c>
      <c r="B1149">
        <v>981</v>
      </c>
      <c r="C1149" t="s">
        <v>4017</v>
      </c>
      <c r="E1149" t="s">
        <v>4018</v>
      </c>
      <c r="F1149" t="s">
        <v>275</v>
      </c>
      <c r="G1149" s="18">
        <v>45761.916666666664</v>
      </c>
      <c r="H1149" s="18">
        <v>45766.916666666664</v>
      </c>
      <c r="K1149" s="18">
        <v>45766.916666666664</v>
      </c>
      <c r="L1149" t="s">
        <v>16</v>
      </c>
    </row>
    <row r="1150" spans="1:12" x14ac:dyDescent="0.3">
      <c r="A1150" t="s">
        <v>4019</v>
      </c>
      <c r="B1150">
        <v>461</v>
      </c>
      <c r="C1150" t="s">
        <v>4020</v>
      </c>
      <c r="E1150" t="s">
        <v>4021</v>
      </c>
      <c r="F1150" t="s">
        <v>36</v>
      </c>
      <c r="G1150" s="18">
        <v>45784.916666666664</v>
      </c>
      <c r="L1150" t="s">
        <v>16</v>
      </c>
    </row>
    <row r="1151" spans="1:12" x14ac:dyDescent="0.3">
      <c r="A1151" t="s">
        <v>4022</v>
      </c>
      <c r="B1151">
        <v>1969</v>
      </c>
      <c r="C1151" t="s">
        <v>4023</v>
      </c>
      <c r="D1151" t="s">
        <v>4024</v>
      </c>
      <c r="E1151" t="s">
        <v>4025</v>
      </c>
    </row>
    <row r="1152" spans="1:12" x14ac:dyDescent="0.3">
      <c r="A1152" t="s">
        <v>4026</v>
      </c>
      <c r="B1152">
        <v>1296</v>
      </c>
      <c r="C1152" t="s">
        <v>4027</v>
      </c>
      <c r="D1152" t="s">
        <v>4028</v>
      </c>
      <c r="E1152" t="s">
        <v>4029</v>
      </c>
      <c r="F1152" t="s">
        <v>15</v>
      </c>
      <c r="G1152" s="18">
        <v>45761.916666666664</v>
      </c>
      <c r="K1152" s="18">
        <v>45799.916666666664</v>
      </c>
      <c r="L1152" t="s">
        <v>16</v>
      </c>
    </row>
    <row r="1153" spans="1:12" x14ac:dyDescent="0.3">
      <c r="A1153" t="s">
        <v>4030</v>
      </c>
      <c r="B1153">
        <v>1353</v>
      </c>
      <c r="C1153" t="s">
        <v>4031</v>
      </c>
      <c r="F1153" t="s">
        <v>71</v>
      </c>
      <c r="L1153" t="s">
        <v>16</v>
      </c>
    </row>
    <row r="1154" spans="1:12" x14ac:dyDescent="0.3">
      <c r="A1154" t="s">
        <v>4032</v>
      </c>
      <c r="B1154">
        <v>90</v>
      </c>
      <c r="C1154" t="s">
        <v>4033</v>
      </c>
      <c r="D1154" t="s">
        <v>4034</v>
      </c>
      <c r="E1154" t="s">
        <v>4035</v>
      </c>
      <c r="F1154" t="s">
        <v>41</v>
      </c>
      <c r="G1154" s="18">
        <v>45028.916666666664</v>
      </c>
      <c r="L1154" t="s">
        <v>16</v>
      </c>
    </row>
    <row r="1155" spans="1:12" x14ac:dyDescent="0.3">
      <c r="A1155" t="s">
        <v>4036</v>
      </c>
      <c r="B1155">
        <v>654</v>
      </c>
      <c r="C1155" t="s">
        <v>4037</v>
      </c>
      <c r="E1155" t="s">
        <v>4038</v>
      </c>
      <c r="F1155" t="s">
        <v>71</v>
      </c>
      <c r="L1155" t="s">
        <v>21</v>
      </c>
    </row>
    <row r="1156" spans="1:12" x14ac:dyDescent="0.3">
      <c r="A1156" t="s">
        <v>4039</v>
      </c>
      <c r="B1156">
        <v>1954</v>
      </c>
      <c r="C1156" t="s">
        <v>4040</v>
      </c>
      <c r="D1156" t="s">
        <v>4041</v>
      </c>
      <c r="E1156" t="s">
        <v>4042</v>
      </c>
    </row>
    <row r="1157" spans="1:12" x14ac:dyDescent="0.3">
      <c r="A1157" t="s">
        <v>4043</v>
      </c>
      <c r="B1157">
        <v>439</v>
      </c>
      <c r="C1157" t="s">
        <v>4044</v>
      </c>
      <c r="E1157" t="s">
        <v>4045</v>
      </c>
      <c r="F1157" t="s">
        <v>41</v>
      </c>
      <c r="G1157" s="18">
        <v>45763.916666666664</v>
      </c>
      <c r="L1157" t="s">
        <v>21</v>
      </c>
    </row>
    <row r="1158" spans="1:12" x14ac:dyDescent="0.3">
      <c r="A1158" t="s">
        <v>4046</v>
      </c>
      <c r="B1158">
        <v>1539</v>
      </c>
      <c r="C1158" t="s">
        <v>4047</v>
      </c>
      <c r="E1158" t="s">
        <v>4048</v>
      </c>
      <c r="F1158" t="s">
        <v>53</v>
      </c>
      <c r="L1158" t="s">
        <v>37</v>
      </c>
    </row>
    <row r="1159" spans="1:12" x14ac:dyDescent="0.3">
      <c r="A1159" t="s">
        <v>4049</v>
      </c>
      <c r="B1159">
        <v>1629</v>
      </c>
      <c r="C1159" t="s">
        <v>4050</v>
      </c>
      <c r="E1159" t="s">
        <v>4051</v>
      </c>
      <c r="F1159" t="s">
        <v>53</v>
      </c>
      <c r="L1159" t="s">
        <v>21</v>
      </c>
    </row>
    <row r="1160" spans="1:12" x14ac:dyDescent="0.3">
      <c r="A1160" t="s">
        <v>4052</v>
      </c>
      <c r="B1160">
        <v>561</v>
      </c>
      <c r="C1160" t="s">
        <v>4053</v>
      </c>
      <c r="E1160" t="s">
        <v>4054</v>
      </c>
      <c r="F1160" t="s">
        <v>41</v>
      </c>
      <c r="G1160" s="18">
        <v>45761.916666666664</v>
      </c>
      <c r="L1160" t="s">
        <v>16</v>
      </c>
    </row>
    <row r="1161" spans="1:12" x14ac:dyDescent="0.3">
      <c r="A1161" t="s">
        <v>4055</v>
      </c>
      <c r="B1161">
        <v>1066</v>
      </c>
      <c r="C1161" t="s">
        <v>4056</v>
      </c>
      <c r="E1161" t="s">
        <v>4057</v>
      </c>
      <c r="F1161" t="s">
        <v>15</v>
      </c>
      <c r="K1161" s="18">
        <v>45693.958333333336</v>
      </c>
      <c r="L1161" t="s">
        <v>16</v>
      </c>
    </row>
    <row r="1162" spans="1:12" x14ac:dyDescent="0.3">
      <c r="A1162" t="s">
        <v>4058</v>
      </c>
      <c r="B1162">
        <v>248</v>
      </c>
      <c r="C1162" t="s">
        <v>4059</v>
      </c>
      <c r="D1162" t="s">
        <v>4060</v>
      </c>
      <c r="E1162" t="s">
        <v>4061</v>
      </c>
      <c r="F1162" t="s">
        <v>36</v>
      </c>
      <c r="G1162" s="18">
        <v>45873.916666666664</v>
      </c>
      <c r="L1162" t="s">
        <v>315</v>
      </c>
    </row>
    <row r="1163" spans="1:12" x14ac:dyDescent="0.3">
      <c r="A1163" t="s">
        <v>4062</v>
      </c>
      <c r="B1163">
        <v>2101</v>
      </c>
      <c r="C1163" t="s">
        <v>4063</v>
      </c>
      <c r="D1163" t="s">
        <v>4064</v>
      </c>
      <c r="E1163" t="s">
        <v>4065</v>
      </c>
    </row>
    <row r="1164" spans="1:12" x14ac:dyDescent="0.3">
      <c r="A1164" t="s">
        <v>4066</v>
      </c>
      <c r="B1164">
        <v>1687</v>
      </c>
      <c r="C1164" t="s">
        <v>4067</v>
      </c>
      <c r="D1164" t="s">
        <v>4068</v>
      </c>
      <c r="E1164" t="s">
        <v>4069</v>
      </c>
      <c r="L1164" t="s">
        <v>225</v>
      </c>
    </row>
    <row r="1165" spans="1:12" x14ac:dyDescent="0.3">
      <c r="A1165" t="s">
        <v>4070</v>
      </c>
      <c r="B1165">
        <v>1143</v>
      </c>
      <c r="C1165" t="s">
        <v>4071</v>
      </c>
      <c r="E1165" t="s">
        <v>4072</v>
      </c>
      <c r="F1165" t="s">
        <v>275</v>
      </c>
      <c r="G1165" s="18">
        <v>45377.958333333336</v>
      </c>
      <c r="K1165" s="18">
        <v>45760.916666666664</v>
      </c>
      <c r="L1165" t="s">
        <v>16</v>
      </c>
    </row>
    <row r="1166" spans="1:12" x14ac:dyDescent="0.3">
      <c r="A1166" t="s">
        <v>4073</v>
      </c>
      <c r="B1166">
        <v>1799</v>
      </c>
      <c r="C1166" t="s">
        <v>4074</v>
      </c>
      <c r="D1166" t="s">
        <v>4075</v>
      </c>
      <c r="E1166" t="s">
        <v>4076</v>
      </c>
      <c r="L1166" t="s">
        <v>315</v>
      </c>
    </row>
    <row r="1167" spans="1:12" x14ac:dyDescent="0.3">
      <c r="A1167" t="s">
        <v>4077</v>
      </c>
      <c r="B1167">
        <v>441</v>
      </c>
      <c r="C1167" t="s">
        <v>4078</v>
      </c>
      <c r="E1167" t="s">
        <v>4079</v>
      </c>
      <c r="F1167" t="s">
        <v>41</v>
      </c>
      <c r="G1167" s="18">
        <v>45763.916666666664</v>
      </c>
      <c r="L1167" t="s">
        <v>21</v>
      </c>
    </row>
    <row r="1168" spans="1:12" x14ac:dyDescent="0.3">
      <c r="A1168" t="s">
        <v>4080</v>
      </c>
      <c r="B1168">
        <v>2030</v>
      </c>
      <c r="C1168" t="s">
        <v>4081</v>
      </c>
      <c r="D1168" t="s">
        <v>4082</v>
      </c>
      <c r="E1168" t="s">
        <v>4083</v>
      </c>
    </row>
    <row r="1169" spans="1:12" x14ac:dyDescent="0.3">
      <c r="A1169" t="s">
        <v>4084</v>
      </c>
      <c r="B1169">
        <v>1825</v>
      </c>
      <c r="C1169" t="s">
        <v>4085</v>
      </c>
      <c r="D1169" t="s">
        <v>4086</v>
      </c>
      <c r="E1169" t="s">
        <v>4087</v>
      </c>
    </row>
    <row r="1170" spans="1:12" x14ac:dyDescent="0.3">
      <c r="A1170" t="s">
        <v>4088</v>
      </c>
      <c r="B1170">
        <v>2036</v>
      </c>
      <c r="C1170" t="s">
        <v>4089</v>
      </c>
      <c r="D1170" t="s">
        <v>4090</v>
      </c>
      <c r="E1170" t="s">
        <v>4091</v>
      </c>
    </row>
    <row r="1171" spans="1:12" x14ac:dyDescent="0.3">
      <c r="A1171" t="s">
        <v>4092</v>
      </c>
      <c r="B1171">
        <v>399</v>
      </c>
      <c r="C1171" t="s">
        <v>4093</v>
      </c>
      <c r="D1171" t="s">
        <v>4094</v>
      </c>
      <c r="E1171" t="s">
        <v>4095</v>
      </c>
      <c r="F1171" t="s">
        <v>41</v>
      </c>
      <c r="G1171" s="18">
        <v>45768.916666666664</v>
      </c>
      <c r="L1171" t="s">
        <v>21</v>
      </c>
    </row>
    <row r="1172" spans="1:12" x14ac:dyDescent="0.3">
      <c r="A1172" t="s">
        <v>4096</v>
      </c>
      <c r="B1172">
        <v>78</v>
      </c>
      <c r="C1172" t="s">
        <v>4097</v>
      </c>
      <c r="E1172" t="s">
        <v>4098</v>
      </c>
      <c r="F1172" t="s">
        <v>53</v>
      </c>
      <c r="L1172" t="s">
        <v>16</v>
      </c>
    </row>
    <row r="1173" spans="1:12" x14ac:dyDescent="0.3">
      <c r="A1173" t="s">
        <v>4099</v>
      </c>
      <c r="B1173">
        <v>978</v>
      </c>
      <c r="C1173" t="s">
        <v>4100</v>
      </c>
      <c r="E1173" t="s">
        <v>4101</v>
      </c>
      <c r="F1173" t="s">
        <v>15</v>
      </c>
      <c r="G1173" s="18">
        <v>45433.916666666664</v>
      </c>
      <c r="K1173" s="18">
        <v>45729.958333333336</v>
      </c>
      <c r="L1173" t="s">
        <v>16</v>
      </c>
    </row>
    <row r="1174" spans="1:12" x14ac:dyDescent="0.3">
      <c r="A1174" t="s">
        <v>4102</v>
      </c>
      <c r="B1174">
        <v>1343</v>
      </c>
      <c r="C1174" t="s">
        <v>4103</v>
      </c>
      <c r="E1174" t="s">
        <v>4104</v>
      </c>
      <c r="F1174" t="s">
        <v>15</v>
      </c>
      <c r="G1174" s="18">
        <v>45275.958333333336</v>
      </c>
      <c r="H1174" s="18">
        <v>45498.916666666664</v>
      </c>
      <c r="K1174" s="18">
        <v>45498.916666666664</v>
      </c>
      <c r="L1174" t="s">
        <v>16</v>
      </c>
    </row>
    <row r="1175" spans="1:12" x14ac:dyDescent="0.3">
      <c r="A1175" t="s">
        <v>4105</v>
      </c>
      <c r="B1175">
        <v>1688</v>
      </c>
      <c r="C1175" t="s">
        <v>4106</v>
      </c>
      <c r="D1175" t="s">
        <v>4107</v>
      </c>
      <c r="E1175" t="s">
        <v>4108</v>
      </c>
      <c r="L1175" t="s">
        <v>315</v>
      </c>
    </row>
    <row r="1176" spans="1:12" x14ac:dyDescent="0.3">
      <c r="A1176" t="s">
        <v>4109</v>
      </c>
      <c r="B1176">
        <v>1540</v>
      </c>
      <c r="C1176" t="s">
        <v>4110</v>
      </c>
      <c r="E1176" t="s">
        <v>4111</v>
      </c>
      <c r="F1176" t="s">
        <v>53</v>
      </c>
      <c r="K1176" s="18">
        <v>45714.958333333336</v>
      </c>
      <c r="L1176" t="s">
        <v>37</v>
      </c>
    </row>
    <row r="1177" spans="1:12" x14ac:dyDescent="0.3">
      <c r="A1177" t="s">
        <v>4112</v>
      </c>
      <c r="B1177">
        <v>1630</v>
      </c>
      <c r="C1177" t="s">
        <v>4113</v>
      </c>
      <c r="E1177" t="s">
        <v>4114</v>
      </c>
      <c r="F1177" t="s">
        <v>71</v>
      </c>
      <c r="L1177" t="s">
        <v>21</v>
      </c>
    </row>
    <row r="1178" spans="1:12" x14ac:dyDescent="0.3">
      <c r="A1178" t="s">
        <v>4115</v>
      </c>
      <c r="B1178">
        <v>1912</v>
      </c>
      <c r="C1178" t="s">
        <v>4116</v>
      </c>
      <c r="D1178" t="s">
        <v>4117</v>
      </c>
      <c r="E1178" t="s">
        <v>4118</v>
      </c>
    </row>
    <row r="1179" spans="1:12" x14ac:dyDescent="0.3">
      <c r="A1179" t="s">
        <v>4119</v>
      </c>
      <c r="B1179">
        <v>1222</v>
      </c>
      <c r="C1179" t="s">
        <v>4120</v>
      </c>
      <c r="D1179" t="s">
        <v>4121</v>
      </c>
      <c r="E1179" t="s">
        <v>4122</v>
      </c>
      <c r="F1179" t="s">
        <v>15</v>
      </c>
      <c r="G1179" s="18">
        <v>45531.916666666664</v>
      </c>
      <c r="K1179" s="18">
        <v>45680.958333333336</v>
      </c>
      <c r="L1179" t="s">
        <v>16</v>
      </c>
    </row>
    <row r="1180" spans="1:12" x14ac:dyDescent="0.3">
      <c r="A1180" t="s">
        <v>4123</v>
      </c>
      <c r="B1180">
        <v>1947</v>
      </c>
      <c r="C1180" t="s">
        <v>4124</v>
      </c>
      <c r="E1180" t="s">
        <v>4125</v>
      </c>
    </row>
    <row r="1181" spans="1:12" x14ac:dyDescent="0.3">
      <c r="A1181" t="s">
        <v>4126</v>
      </c>
      <c r="B1181">
        <v>1795</v>
      </c>
      <c r="C1181" t="s">
        <v>4127</v>
      </c>
      <c r="D1181" t="s">
        <v>4128</v>
      </c>
      <c r="E1181" t="s">
        <v>4129</v>
      </c>
      <c r="F1181" t="s">
        <v>53</v>
      </c>
      <c r="L1181" t="s">
        <v>315</v>
      </c>
    </row>
    <row r="1182" spans="1:12" x14ac:dyDescent="0.3">
      <c r="A1182" t="s">
        <v>4130</v>
      </c>
      <c r="B1182">
        <v>1291</v>
      </c>
      <c r="C1182" t="s">
        <v>4131</v>
      </c>
      <c r="E1182" t="s">
        <v>4132</v>
      </c>
      <c r="F1182" t="s">
        <v>15</v>
      </c>
      <c r="K1182" s="18">
        <v>45496.916666666664</v>
      </c>
      <c r="L1182" t="s">
        <v>16</v>
      </c>
    </row>
    <row r="1183" spans="1:12" x14ac:dyDescent="0.3">
      <c r="A1183" t="s">
        <v>4133</v>
      </c>
      <c r="B1183">
        <v>1952</v>
      </c>
      <c r="C1183" t="s">
        <v>4134</v>
      </c>
      <c r="D1183" t="s">
        <v>4135</v>
      </c>
      <c r="E1183" t="s">
        <v>4136</v>
      </c>
    </row>
    <row r="1184" spans="1:12" x14ac:dyDescent="0.3">
      <c r="A1184" t="s">
        <v>4137</v>
      </c>
      <c r="B1184">
        <v>1732</v>
      </c>
      <c r="C1184" t="s">
        <v>4138</v>
      </c>
      <c r="D1184" t="s">
        <v>4139</v>
      </c>
      <c r="E1184" t="s">
        <v>4140</v>
      </c>
      <c r="L1184" t="s">
        <v>315</v>
      </c>
    </row>
    <row r="1185" spans="1:12" x14ac:dyDescent="0.3">
      <c r="A1185" t="s">
        <v>4141</v>
      </c>
      <c r="B1185">
        <v>489</v>
      </c>
      <c r="C1185" t="s">
        <v>4142</v>
      </c>
      <c r="D1185" t="s">
        <v>4143</v>
      </c>
      <c r="E1185" t="s">
        <v>4144</v>
      </c>
      <c r="F1185" t="s">
        <v>57</v>
      </c>
      <c r="L1185" t="s">
        <v>21</v>
      </c>
    </row>
    <row r="1186" spans="1:12" x14ac:dyDescent="0.3">
      <c r="A1186" t="s">
        <v>4145</v>
      </c>
      <c r="B1186">
        <v>324</v>
      </c>
      <c r="C1186" t="s">
        <v>4146</v>
      </c>
      <c r="D1186" t="s">
        <v>4147</v>
      </c>
      <c r="E1186" t="s">
        <v>4148</v>
      </c>
      <c r="F1186" t="s">
        <v>41</v>
      </c>
      <c r="G1186" s="18">
        <v>45763.916666666664</v>
      </c>
      <c r="L1186" t="s">
        <v>21</v>
      </c>
    </row>
    <row r="1187" spans="1:12" x14ac:dyDescent="0.3">
      <c r="A1187" t="s">
        <v>4149</v>
      </c>
      <c r="B1187">
        <v>1858</v>
      </c>
      <c r="C1187" t="s">
        <v>4150</v>
      </c>
      <c r="D1187" t="s">
        <v>4151</v>
      </c>
      <c r="E1187" t="s">
        <v>4152</v>
      </c>
    </row>
    <row r="1188" spans="1:12" x14ac:dyDescent="0.3">
      <c r="A1188" t="s">
        <v>4153</v>
      </c>
      <c r="B1188">
        <v>540</v>
      </c>
      <c r="C1188" t="s">
        <v>4154</v>
      </c>
      <c r="D1188" t="s">
        <v>4155</v>
      </c>
      <c r="E1188" t="s">
        <v>4156</v>
      </c>
      <c r="F1188" t="s">
        <v>41</v>
      </c>
      <c r="G1188" s="18">
        <v>45761.916666666664</v>
      </c>
      <c r="L1188" t="s">
        <v>16</v>
      </c>
    </row>
    <row r="1189" spans="1:12" x14ac:dyDescent="0.3">
      <c r="A1189" t="s">
        <v>4157</v>
      </c>
      <c r="B1189">
        <v>1097</v>
      </c>
      <c r="C1189" t="s">
        <v>4158</v>
      </c>
      <c r="E1189" t="s">
        <v>4159</v>
      </c>
      <c r="F1189" t="s">
        <v>170</v>
      </c>
      <c r="G1189" s="18">
        <v>45501.916666666664</v>
      </c>
      <c r="L1189" t="s">
        <v>21</v>
      </c>
    </row>
    <row r="1190" spans="1:12" x14ac:dyDescent="0.3">
      <c r="A1190" t="s">
        <v>4160</v>
      </c>
      <c r="B1190">
        <v>1820</v>
      </c>
      <c r="C1190" t="s">
        <v>4161</v>
      </c>
      <c r="D1190" t="s">
        <v>4162</v>
      </c>
      <c r="E1190" t="s">
        <v>4163</v>
      </c>
    </row>
    <row r="1191" spans="1:12" x14ac:dyDescent="0.3">
      <c r="A1191" t="s">
        <v>4164</v>
      </c>
      <c r="B1191">
        <v>244</v>
      </c>
      <c r="C1191" t="s">
        <v>4165</v>
      </c>
      <c r="D1191" t="s">
        <v>4166</v>
      </c>
      <c r="E1191" t="s">
        <v>4167</v>
      </c>
      <c r="F1191" t="s">
        <v>53</v>
      </c>
      <c r="L1191" t="s">
        <v>16</v>
      </c>
    </row>
    <row r="1192" spans="1:12" x14ac:dyDescent="0.3">
      <c r="A1192" t="s">
        <v>4168</v>
      </c>
      <c r="B1192">
        <v>1284</v>
      </c>
      <c r="C1192" t="s">
        <v>4169</v>
      </c>
      <c r="D1192" t="s">
        <v>4170</v>
      </c>
      <c r="E1192" t="s">
        <v>4171</v>
      </c>
      <c r="L1192" t="s">
        <v>16</v>
      </c>
    </row>
    <row r="1193" spans="1:12" x14ac:dyDescent="0.3">
      <c r="A1193" t="s">
        <v>4172</v>
      </c>
      <c r="B1193">
        <v>293</v>
      </c>
      <c r="C1193" t="s">
        <v>4173</v>
      </c>
      <c r="E1193" t="s">
        <v>4174</v>
      </c>
      <c r="F1193" t="s">
        <v>53</v>
      </c>
      <c r="L1193" t="s">
        <v>21</v>
      </c>
    </row>
    <row r="1194" spans="1:12" x14ac:dyDescent="0.3">
      <c r="A1194" t="s">
        <v>4175</v>
      </c>
      <c r="B1194">
        <v>1023</v>
      </c>
      <c r="C1194" t="s">
        <v>4176</v>
      </c>
      <c r="E1194" t="s">
        <v>4177</v>
      </c>
      <c r="F1194" t="s">
        <v>71</v>
      </c>
      <c r="L1194" t="s">
        <v>16</v>
      </c>
    </row>
    <row r="1195" spans="1:12" x14ac:dyDescent="0.3">
      <c r="A1195" t="s">
        <v>4178</v>
      </c>
      <c r="B1195">
        <v>474</v>
      </c>
      <c r="C1195" t="s">
        <v>4179</v>
      </c>
      <c r="D1195" t="s">
        <v>4180</v>
      </c>
      <c r="E1195" t="s">
        <v>4181</v>
      </c>
      <c r="F1195" t="s">
        <v>53</v>
      </c>
      <c r="L1195" t="s">
        <v>16</v>
      </c>
    </row>
    <row r="1196" spans="1:12" x14ac:dyDescent="0.3">
      <c r="A1196" t="s">
        <v>4182</v>
      </c>
      <c r="B1196">
        <v>1541</v>
      </c>
      <c r="C1196" t="s">
        <v>4183</v>
      </c>
      <c r="D1196" t="s">
        <v>4184</v>
      </c>
      <c r="E1196" t="s">
        <v>4185</v>
      </c>
      <c r="F1196" t="s">
        <v>53</v>
      </c>
      <c r="L1196" t="s">
        <v>88</v>
      </c>
    </row>
    <row r="1197" spans="1:12" x14ac:dyDescent="0.3">
      <c r="A1197" t="s">
        <v>4186</v>
      </c>
      <c r="B1197">
        <v>443</v>
      </c>
      <c r="C1197" t="s">
        <v>4187</v>
      </c>
      <c r="E1197" t="s">
        <v>4188</v>
      </c>
      <c r="F1197" t="s">
        <v>41</v>
      </c>
      <c r="G1197" s="18">
        <v>45686.958333333336</v>
      </c>
      <c r="L1197" t="s">
        <v>21</v>
      </c>
    </row>
    <row r="1198" spans="1:12" x14ac:dyDescent="0.3">
      <c r="A1198" t="s">
        <v>4189</v>
      </c>
      <c r="B1198">
        <v>1843</v>
      </c>
      <c r="C1198" t="s">
        <v>4190</v>
      </c>
      <c r="D1198" t="s">
        <v>4191</v>
      </c>
      <c r="E1198" t="s">
        <v>4192</v>
      </c>
    </row>
    <row r="1199" spans="1:12" x14ac:dyDescent="0.3">
      <c r="A1199" t="s">
        <v>4193</v>
      </c>
      <c r="B1199">
        <v>426</v>
      </c>
      <c r="C1199" t="s">
        <v>4194</v>
      </c>
      <c r="D1199" t="s">
        <v>4195</v>
      </c>
      <c r="E1199" t="s">
        <v>4196</v>
      </c>
      <c r="F1199" t="s">
        <v>57</v>
      </c>
      <c r="L1199" t="s">
        <v>21</v>
      </c>
    </row>
    <row r="1200" spans="1:12" x14ac:dyDescent="0.3">
      <c r="A1200" t="s">
        <v>4197</v>
      </c>
      <c r="B1200">
        <v>304</v>
      </c>
      <c r="C1200" t="s">
        <v>4198</v>
      </c>
      <c r="D1200" t="s">
        <v>4199</v>
      </c>
      <c r="E1200" t="s">
        <v>4200</v>
      </c>
      <c r="F1200" t="s">
        <v>41</v>
      </c>
      <c r="G1200" s="18">
        <v>45874.916666666664</v>
      </c>
      <c r="L1200" t="s">
        <v>315</v>
      </c>
    </row>
    <row r="1201" spans="1:12" x14ac:dyDescent="0.3">
      <c r="A1201" t="s">
        <v>4201</v>
      </c>
      <c r="B1201">
        <v>162</v>
      </c>
      <c r="C1201" t="s">
        <v>4202</v>
      </c>
      <c r="E1201" t="s">
        <v>4203</v>
      </c>
      <c r="F1201" t="s">
        <v>36</v>
      </c>
      <c r="G1201" s="18">
        <v>45706.958333333336</v>
      </c>
      <c r="L1201" t="s">
        <v>16</v>
      </c>
    </row>
    <row r="1202" spans="1:12" x14ac:dyDescent="0.3">
      <c r="A1202" t="s">
        <v>4204</v>
      </c>
      <c r="B1202">
        <v>2084</v>
      </c>
      <c r="C1202" t="s">
        <v>4205</v>
      </c>
      <c r="D1202" t="s">
        <v>4206</v>
      </c>
      <c r="E1202" t="s">
        <v>4207</v>
      </c>
      <c r="F1202" t="s">
        <v>53</v>
      </c>
    </row>
    <row r="1203" spans="1:12" x14ac:dyDescent="0.3">
      <c r="A1203" t="s">
        <v>4208</v>
      </c>
      <c r="B1203">
        <v>1848</v>
      </c>
      <c r="C1203" t="s">
        <v>4209</v>
      </c>
      <c r="D1203" t="s">
        <v>4210</v>
      </c>
      <c r="E1203" t="s">
        <v>4211</v>
      </c>
      <c r="F1203" t="s">
        <v>41</v>
      </c>
      <c r="L1203" t="s">
        <v>230</v>
      </c>
    </row>
    <row r="1204" spans="1:12" x14ac:dyDescent="0.3">
      <c r="A1204" t="s">
        <v>4212</v>
      </c>
      <c r="B1204">
        <v>2042</v>
      </c>
      <c r="C1204" t="s">
        <v>4213</v>
      </c>
      <c r="D1204" t="s">
        <v>4214</v>
      </c>
      <c r="E1204" t="s">
        <v>4215</v>
      </c>
    </row>
    <row r="1205" spans="1:12" x14ac:dyDescent="0.3">
      <c r="A1205" t="s">
        <v>4216</v>
      </c>
      <c r="B1205">
        <v>1542</v>
      </c>
      <c r="C1205" t="s">
        <v>4217</v>
      </c>
      <c r="E1205" t="s">
        <v>4218</v>
      </c>
      <c r="L1205" t="s">
        <v>37</v>
      </c>
    </row>
    <row r="1206" spans="1:12" x14ac:dyDescent="0.3">
      <c r="A1206" t="s">
        <v>4219</v>
      </c>
      <c r="B1206">
        <v>787</v>
      </c>
      <c r="C1206" t="s">
        <v>4220</v>
      </c>
      <c r="E1206" t="s">
        <v>4221</v>
      </c>
      <c r="F1206" t="s">
        <v>15</v>
      </c>
      <c r="G1206" s="18">
        <v>45480.916666666664</v>
      </c>
      <c r="K1206" s="18">
        <v>45609.958333333336</v>
      </c>
      <c r="L1206" t="s">
        <v>16</v>
      </c>
    </row>
    <row r="1207" spans="1:12" x14ac:dyDescent="0.3">
      <c r="A1207" t="s">
        <v>4222</v>
      </c>
      <c r="B1207">
        <v>267</v>
      </c>
      <c r="C1207" t="s">
        <v>4223</v>
      </c>
      <c r="E1207" t="s">
        <v>4224</v>
      </c>
      <c r="F1207" t="s">
        <v>41</v>
      </c>
      <c r="G1207" s="18">
        <v>45761.916666666664</v>
      </c>
      <c r="L1207" t="s">
        <v>16</v>
      </c>
    </row>
    <row r="1208" spans="1:12" x14ac:dyDescent="0.3">
      <c r="A1208" t="s">
        <v>4225</v>
      </c>
      <c r="B1208">
        <v>1935</v>
      </c>
      <c r="C1208" t="s">
        <v>4226</v>
      </c>
      <c r="D1208" t="s">
        <v>4227</v>
      </c>
      <c r="E1208" t="s">
        <v>4228</v>
      </c>
    </row>
    <row r="1209" spans="1:12" x14ac:dyDescent="0.3">
      <c r="A1209" t="s">
        <v>4229</v>
      </c>
      <c r="B1209">
        <v>484</v>
      </c>
      <c r="C1209" t="s">
        <v>4230</v>
      </c>
      <c r="D1209" t="s">
        <v>4231</v>
      </c>
      <c r="E1209" t="s">
        <v>4232</v>
      </c>
      <c r="F1209" t="s">
        <v>53</v>
      </c>
      <c r="L1209" t="s">
        <v>315</v>
      </c>
    </row>
    <row r="1210" spans="1:12" x14ac:dyDescent="0.3">
      <c r="A1210" t="s">
        <v>4233</v>
      </c>
      <c r="B1210">
        <v>395</v>
      </c>
      <c r="C1210" t="s">
        <v>4234</v>
      </c>
      <c r="D1210" t="s">
        <v>4235</v>
      </c>
      <c r="E1210" t="s">
        <v>4236</v>
      </c>
      <c r="F1210" t="s">
        <v>41</v>
      </c>
      <c r="G1210" s="18">
        <v>45763.916666666664</v>
      </c>
      <c r="L1210" t="s">
        <v>21</v>
      </c>
    </row>
    <row r="1211" spans="1:12" x14ac:dyDescent="0.3">
      <c r="A1211" t="s">
        <v>4237</v>
      </c>
      <c r="B1211">
        <v>2118</v>
      </c>
      <c r="C1211" t="s">
        <v>4238</v>
      </c>
      <c r="D1211" t="s">
        <v>4239</v>
      </c>
      <c r="E1211" t="s">
        <v>4240</v>
      </c>
    </row>
    <row r="1212" spans="1:12" x14ac:dyDescent="0.3">
      <c r="A1212" t="s">
        <v>4241</v>
      </c>
      <c r="B1212">
        <v>93</v>
      </c>
      <c r="C1212" t="s">
        <v>4242</v>
      </c>
      <c r="D1212" t="s">
        <v>4243</v>
      </c>
      <c r="E1212" t="s">
        <v>4244</v>
      </c>
      <c r="F1212" t="s">
        <v>41</v>
      </c>
      <c r="G1212" s="18">
        <v>45427.916666666664</v>
      </c>
      <c r="L1212" t="s">
        <v>16</v>
      </c>
    </row>
    <row r="1213" spans="1:12" x14ac:dyDescent="0.3">
      <c r="A1213" t="s">
        <v>4245</v>
      </c>
      <c r="B1213">
        <v>31</v>
      </c>
      <c r="C1213" t="s">
        <v>4246</v>
      </c>
      <c r="E1213" t="s">
        <v>4247</v>
      </c>
      <c r="F1213" t="s">
        <v>41</v>
      </c>
      <c r="G1213" s="18">
        <v>45761.916666666664</v>
      </c>
      <c r="K1213" s="18">
        <v>45820.916666666664</v>
      </c>
      <c r="L1213" t="s">
        <v>16</v>
      </c>
    </row>
    <row r="1214" spans="1:12" x14ac:dyDescent="0.3">
      <c r="A1214" t="s">
        <v>4248</v>
      </c>
      <c r="B1214">
        <v>889</v>
      </c>
      <c r="C1214" t="s">
        <v>4249</v>
      </c>
      <c r="E1214" t="s">
        <v>4250</v>
      </c>
      <c r="F1214" t="s">
        <v>170</v>
      </c>
      <c r="K1214" s="18">
        <v>45715.958333333336</v>
      </c>
      <c r="L1214" t="s">
        <v>21</v>
      </c>
    </row>
    <row r="1215" spans="1:12" x14ac:dyDescent="0.3">
      <c r="A1215" t="s">
        <v>4251</v>
      </c>
      <c r="B1215">
        <v>1189</v>
      </c>
      <c r="C1215" t="s">
        <v>4252</v>
      </c>
      <c r="E1215" t="s">
        <v>4253</v>
      </c>
      <c r="F1215" t="s">
        <v>170</v>
      </c>
      <c r="K1215" s="18">
        <v>45762.916666666664</v>
      </c>
      <c r="L1215" t="s">
        <v>21</v>
      </c>
    </row>
    <row r="1216" spans="1:12" x14ac:dyDescent="0.3">
      <c r="A1216" t="s">
        <v>4254</v>
      </c>
      <c r="B1216">
        <v>627</v>
      </c>
      <c r="C1216" t="s">
        <v>4255</v>
      </c>
      <c r="E1216" t="s">
        <v>4256</v>
      </c>
      <c r="F1216" t="s">
        <v>53</v>
      </c>
      <c r="L1216" t="s">
        <v>16</v>
      </c>
    </row>
    <row r="1217" spans="1:12" x14ac:dyDescent="0.3">
      <c r="A1217" t="s">
        <v>4257</v>
      </c>
      <c r="B1217">
        <v>698</v>
      </c>
      <c r="C1217" t="s">
        <v>4258</v>
      </c>
      <c r="F1217" t="s">
        <v>71</v>
      </c>
      <c r="L1217" t="s">
        <v>16</v>
      </c>
    </row>
    <row r="1218" spans="1:12" x14ac:dyDescent="0.3">
      <c r="A1218" t="s">
        <v>4259</v>
      </c>
      <c r="B1218">
        <v>1240</v>
      </c>
      <c r="C1218" t="s">
        <v>4260</v>
      </c>
      <c r="D1218" t="s">
        <v>4261</v>
      </c>
      <c r="E1218" t="s">
        <v>4262</v>
      </c>
      <c r="F1218" t="s">
        <v>53</v>
      </c>
      <c r="L1218" t="s">
        <v>315</v>
      </c>
    </row>
    <row r="1219" spans="1:12" x14ac:dyDescent="0.3">
      <c r="A1219" t="s">
        <v>4263</v>
      </c>
      <c r="B1219">
        <v>323</v>
      </c>
      <c r="C1219" t="s">
        <v>4264</v>
      </c>
      <c r="D1219" t="s">
        <v>4265</v>
      </c>
      <c r="E1219" t="s">
        <v>4266</v>
      </c>
      <c r="F1219" t="s">
        <v>41</v>
      </c>
      <c r="G1219" s="18">
        <v>45515.916666666664</v>
      </c>
      <c r="L1219" t="s">
        <v>21</v>
      </c>
    </row>
    <row r="1220" spans="1:12" x14ac:dyDescent="0.3">
      <c r="A1220" t="s">
        <v>4267</v>
      </c>
      <c r="B1220">
        <v>2072</v>
      </c>
      <c r="C1220" t="s">
        <v>4268</v>
      </c>
      <c r="D1220" t="s">
        <v>4269</v>
      </c>
      <c r="E1220" t="s">
        <v>4270</v>
      </c>
    </row>
    <row r="1221" spans="1:12" x14ac:dyDescent="0.3">
      <c r="A1221" t="s">
        <v>4271</v>
      </c>
      <c r="B1221">
        <v>1091</v>
      </c>
      <c r="C1221" t="s">
        <v>4272</v>
      </c>
      <c r="E1221" t="s">
        <v>4273</v>
      </c>
      <c r="F1221" t="s">
        <v>15</v>
      </c>
      <c r="H1221" s="18">
        <v>45510.916666666664</v>
      </c>
      <c r="K1221" s="18">
        <v>45510.916666666664</v>
      </c>
      <c r="L1221" t="s">
        <v>21</v>
      </c>
    </row>
    <row r="1222" spans="1:12" x14ac:dyDescent="0.3">
      <c r="A1222" t="s">
        <v>4274</v>
      </c>
      <c r="B1222">
        <v>2106</v>
      </c>
      <c r="C1222" t="s">
        <v>4275</v>
      </c>
      <c r="E1222" t="s">
        <v>4276</v>
      </c>
    </row>
    <row r="1223" spans="1:12" x14ac:dyDescent="0.3">
      <c r="A1223" t="s">
        <v>4277</v>
      </c>
      <c r="B1223">
        <v>50</v>
      </c>
      <c r="C1223" t="s">
        <v>4278</v>
      </c>
      <c r="D1223" t="s">
        <v>2366</v>
      </c>
      <c r="E1223" t="s">
        <v>4279</v>
      </c>
      <c r="F1223" t="s">
        <v>41</v>
      </c>
      <c r="G1223" s="18">
        <v>45709.958333333336</v>
      </c>
      <c r="L1223" t="s">
        <v>21</v>
      </c>
    </row>
    <row r="1224" spans="1:12" x14ac:dyDescent="0.3">
      <c r="A1224" t="s">
        <v>4280</v>
      </c>
      <c r="B1224">
        <v>1199</v>
      </c>
      <c r="C1224" t="s">
        <v>4281</v>
      </c>
      <c r="E1224" t="s">
        <v>4282</v>
      </c>
      <c r="F1224" t="s">
        <v>170</v>
      </c>
      <c r="K1224" s="18">
        <v>45771.916666666664</v>
      </c>
      <c r="L1224" t="s">
        <v>16</v>
      </c>
    </row>
    <row r="1225" spans="1:12" x14ac:dyDescent="0.3">
      <c r="A1225" t="s">
        <v>4283</v>
      </c>
      <c r="B1225">
        <v>1543</v>
      </c>
      <c r="C1225" t="s">
        <v>4284</v>
      </c>
      <c r="D1225" t="s">
        <v>4285</v>
      </c>
      <c r="E1225" t="s">
        <v>4286</v>
      </c>
      <c r="F1225" t="s">
        <v>53</v>
      </c>
      <c r="L1225" t="s">
        <v>37</v>
      </c>
    </row>
    <row r="1226" spans="1:12" x14ac:dyDescent="0.3">
      <c r="A1226" t="s">
        <v>4287</v>
      </c>
      <c r="B1226">
        <v>105</v>
      </c>
      <c r="C1226" t="s">
        <v>4288</v>
      </c>
      <c r="D1226" t="s">
        <v>4289</v>
      </c>
      <c r="E1226" t="s">
        <v>4290</v>
      </c>
      <c r="F1226" t="s">
        <v>41</v>
      </c>
      <c r="G1226" s="18">
        <v>45750.916666666664</v>
      </c>
      <c r="L1226" t="s">
        <v>21</v>
      </c>
    </row>
    <row r="1227" spans="1:12" x14ac:dyDescent="0.3">
      <c r="A1227" t="s">
        <v>4291</v>
      </c>
      <c r="B1227">
        <v>263</v>
      </c>
      <c r="C1227" t="s">
        <v>4292</v>
      </c>
      <c r="D1227" t="s">
        <v>4293</v>
      </c>
      <c r="E1227" t="s">
        <v>4294</v>
      </c>
      <c r="F1227" t="s">
        <v>36</v>
      </c>
      <c r="G1227" s="18">
        <v>45761.916666666664</v>
      </c>
      <c r="L1227" t="s">
        <v>16</v>
      </c>
    </row>
    <row r="1228" spans="1:12" x14ac:dyDescent="0.3">
      <c r="A1228" t="s">
        <v>4295</v>
      </c>
      <c r="B1228">
        <v>2065</v>
      </c>
      <c r="C1228" t="s">
        <v>4296</v>
      </c>
      <c r="D1228" t="s">
        <v>4297</v>
      </c>
      <c r="E1228" t="s">
        <v>4298</v>
      </c>
    </row>
    <row r="1229" spans="1:12" x14ac:dyDescent="0.3">
      <c r="A1229" t="s">
        <v>4299</v>
      </c>
      <c r="B1229">
        <v>1544</v>
      </c>
      <c r="C1229" t="s">
        <v>4300</v>
      </c>
      <c r="D1229" t="s">
        <v>4301</v>
      </c>
      <c r="E1229" t="s">
        <v>4302</v>
      </c>
      <c r="F1229" t="s">
        <v>53</v>
      </c>
      <c r="L1229" t="s">
        <v>88</v>
      </c>
    </row>
    <row r="1230" spans="1:12" x14ac:dyDescent="0.3">
      <c r="A1230" t="s">
        <v>4303</v>
      </c>
      <c r="B1230">
        <v>1340</v>
      </c>
      <c r="C1230" t="s">
        <v>4304</v>
      </c>
      <c r="D1230" t="s">
        <v>4305</v>
      </c>
      <c r="E1230" t="s">
        <v>4306</v>
      </c>
      <c r="F1230" t="s">
        <v>53</v>
      </c>
      <c r="K1230" s="18">
        <v>45763.916666666664</v>
      </c>
      <c r="L1230" t="s">
        <v>21</v>
      </c>
    </row>
    <row r="1231" spans="1:12" x14ac:dyDescent="0.3">
      <c r="A1231" t="s">
        <v>4307</v>
      </c>
      <c r="B1231">
        <v>1755</v>
      </c>
      <c r="C1231" t="s">
        <v>4308</v>
      </c>
      <c r="D1231" t="s">
        <v>4309</v>
      </c>
      <c r="E1231" t="s">
        <v>4310</v>
      </c>
      <c r="F1231" t="s">
        <v>53</v>
      </c>
    </row>
    <row r="1232" spans="1:12" x14ac:dyDescent="0.3">
      <c r="A1232" t="s">
        <v>4311</v>
      </c>
      <c r="B1232">
        <v>1693</v>
      </c>
      <c r="C1232" t="s">
        <v>4312</v>
      </c>
      <c r="D1232" t="s">
        <v>4313</v>
      </c>
      <c r="E1232" t="s">
        <v>4314</v>
      </c>
      <c r="L1232" t="s">
        <v>225</v>
      </c>
    </row>
    <row r="1233" spans="1:12" x14ac:dyDescent="0.3">
      <c r="A1233" t="s">
        <v>4315</v>
      </c>
      <c r="B1233">
        <v>1633</v>
      </c>
      <c r="C1233" t="s">
        <v>4316</v>
      </c>
      <c r="E1233" t="s">
        <v>4317</v>
      </c>
      <c r="F1233" t="s">
        <v>53</v>
      </c>
      <c r="L1233" t="s">
        <v>37</v>
      </c>
    </row>
    <row r="1234" spans="1:12" x14ac:dyDescent="0.3">
      <c r="A1234" t="s">
        <v>4318</v>
      </c>
      <c r="B1234">
        <v>1696</v>
      </c>
      <c r="C1234" t="s">
        <v>4319</v>
      </c>
      <c r="D1234" t="s">
        <v>4320</v>
      </c>
      <c r="E1234" t="s">
        <v>4321</v>
      </c>
    </row>
    <row r="1235" spans="1:12" x14ac:dyDescent="0.3">
      <c r="A1235" t="s">
        <v>4322</v>
      </c>
      <c r="B1235">
        <v>261</v>
      </c>
      <c r="C1235" t="s">
        <v>4323</v>
      </c>
      <c r="E1235" t="s">
        <v>4324</v>
      </c>
      <c r="F1235" t="s">
        <v>41</v>
      </c>
      <c r="G1235" s="18">
        <v>45770.916666666664</v>
      </c>
      <c r="L1235" t="s">
        <v>16</v>
      </c>
    </row>
    <row r="1236" spans="1:12" x14ac:dyDescent="0.3">
      <c r="A1236" t="s">
        <v>4325</v>
      </c>
      <c r="B1236">
        <v>1870</v>
      </c>
      <c r="C1236" t="s">
        <v>4326</v>
      </c>
      <c r="D1236" t="s">
        <v>4327</v>
      </c>
      <c r="E1236" t="s">
        <v>4328</v>
      </c>
    </row>
    <row r="1237" spans="1:12" x14ac:dyDescent="0.3">
      <c r="A1237" t="s">
        <v>4329</v>
      </c>
      <c r="B1237">
        <v>165</v>
      </c>
      <c r="C1237" t="s">
        <v>4330</v>
      </c>
      <c r="E1237" t="s">
        <v>4331</v>
      </c>
      <c r="F1237" t="s">
        <v>41</v>
      </c>
      <c r="G1237" s="18">
        <v>45771.916666666664</v>
      </c>
      <c r="L1237" t="s">
        <v>16</v>
      </c>
    </row>
    <row r="1238" spans="1:12" x14ac:dyDescent="0.3">
      <c r="A1238" t="s">
        <v>4332</v>
      </c>
      <c r="B1238">
        <v>1988</v>
      </c>
      <c r="C1238" t="s">
        <v>4333</v>
      </c>
      <c r="D1238" t="s">
        <v>4334</v>
      </c>
      <c r="E1238" t="s">
        <v>4335</v>
      </c>
    </row>
    <row r="1239" spans="1:12" x14ac:dyDescent="0.3">
      <c r="A1239" t="s">
        <v>4336</v>
      </c>
      <c r="B1239">
        <v>1794</v>
      </c>
      <c r="C1239" t="s">
        <v>4337</v>
      </c>
      <c r="D1239" t="s">
        <v>4338</v>
      </c>
      <c r="E1239" t="s">
        <v>4339</v>
      </c>
      <c r="F1239" t="s">
        <v>53</v>
      </c>
      <c r="L1239" t="s">
        <v>315</v>
      </c>
    </row>
    <row r="1240" spans="1:12" x14ac:dyDescent="0.3">
      <c r="A1240" t="s">
        <v>4340</v>
      </c>
      <c r="B1240">
        <v>236</v>
      </c>
      <c r="C1240" t="s">
        <v>4341</v>
      </c>
      <c r="D1240" t="s">
        <v>4342</v>
      </c>
      <c r="E1240" t="s">
        <v>4343</v>
      </c>
      <c r="F1240" t="s">
        <v>53</v>
      </c>
      <c r="L1240" t="s">
        <v>16</v>
      </c>
    </row>
    <row r="1241" spans="1:12" x14ac:dyDescent="0.3">
      <c r="A1241" t="s">
        <v>4344</v>
      </c>
      <c r="B1241">
        <v>37</v>
      </c>
      <c r="C1241" t="s">
        <v>4345</v>
      </c>
      <c r="D1241" t="s">
        <v>4346</v>
      </c>
      <c r="E1241" t="s">
        <v>4347</v>
      </c>
      <c r="F1241" t="s">
        <v>53</v>
      </c>
      <c r="L1241" t="s">
        <v>21</v>
      </c>
    </row>
    <row r="1242" spans="1:12" x14ac:dyDescent="0.3">
      <c r="A1242" t="s">
        <v>4348</v>
      </c>
      <c r="B1242">
        <v>1930</v>
      </c>
      <c r="C1242" t="s">
        <v>4349</v>
      </c>
      <c r="D1242" t="s">
        <v>4350</v>
      </c>
      <c r="E1242" t="s">
        <v>4351</v>
      </c>
    </row>
    <row r="1243" spans="1:12" x14ac:dyDescent="0.3">
      <c r="A1243" t="s">
        <v>4352</v>
      </c>
      <c r="B1243">
        <v>409</v>
      </c>
      <c r="C1243" t="s">
        <v>4353</v>
      </c>
      <c r="E1243" t="s">
        <v>4354</v>
      </c>
      <c r="F1243" t="s">
        <v>53</v>
      </c>
      <c r="L1243" t="s">
        <v>519</v>
      </c>
    </row>
    <row r="1244" spans="1:12" x14ac:dyDescent="0.3">
      <c r="A1244" t="s">
        <v>4355</v>
      </c>
      <c r="B1244">
        <v>679</v>
      </c>
      <c r="C1244" t="s">
        <v>4356</v>
      </c>
      <c r="D1244" t="s">
        <v>4357</v>
      </c>
      <c r="E1244" t="s">
        <v>4358</v>
      </c>
      <c r="F1244" t="s">
        <v>15</v>
      </c>
      <c r="G1244" s="18">
        <v>45709.958333333336</v>
      </c>
      <c r="K1244" s="18">
        <v>45791.916666666664</v>
      </c>
      <c r="L1244" t="s">
        <v>21</v>
      </c>
    </row>
    <row r="1245" spans="1:12" x14ac:dyDescent="0.3">
      <c r="A1245" t="s">
        <v>4359</v>
      </c>
      <c r="B1245">
        <v>1429</v>
      </c>
      <c r="C1245" t="s">
        <v>4360</v>
      </c>
      <c r="D1245" t="s">
        <v>4361</v>
      </c>
      <c r="E1245" t="s">
        <v>4362</v>
      </c>
      <c r="F1245" t="s">
        <v>53</v>
      </c>
      <c r="I1245" s="18">
        <v>45803.916666666664</v>
      </c>
      <c r="J1245" s="18">
        <v>45834.916666666664</v>
      </c>
      <c r="L1245" t="s">
        <v>16</v>
      </c>
    </row>
    <row r="1246" spans="1:12" x14ac:dyDescent="0.3">
      <c r="A1246" t="s">
        <v>4363</v>
      </c>
      <c r="B1246">
        <v>55</v>
      </c>
      <c r="C1246" t="s">
        <v>4364</v>
      </c>
      <c r="D1246" t="s">
        <v>4365</v>
      </c>
      <c r="E1246" t="s">
        <v>4366</v>
      </c>
      <c r="F1246" t="s">
        <v>41</v>
      </c>
      <c r="G1246" s="18">
        <v>45763.916666666664</v>
      </c>
      <c r="L1246" t="s">
        <v>21</v>
      </c>
    </row>
    <row r="1247" spans="1:12" x14ac:dyDescent="0.3">
      <c r="A1247" t="s">
        <v>4367</v>
      </c>
      <c r="B1247">
        <v>1545</v>
      </c>
      <c r="C1247" t="s">
        <v>4368</v>
      </c>
      <c r="D1247" t="s">
        <v>4369</v>
      </c>
      <c r="E1247" t="s">
        <v>4370</v>
      </c>
      <c r="F1247" t="s">
        <v>53</v>
      </c>
      <c r="L1247" t="s">
        <v>88</v>
      </c>
    </row>
    <row r="1248" spans="1:12" x14ac:dyDescent="0.3">
      <c r="A1248" t="s">
        <v>4371</v>
      </c>
      <c r="B1248">
        <v>867</v>
      </c>
      <c r="C1248" t="s">
        <v>4372</v>
      </c>
      <c r="E1248" t="s">
        <v>4373</v>
      </c>
      <c r="F1248" t="s">
        <v>15</v>
      </c>
      <c r="L1248" t="s">
        <v>16</v>
      </c>
    </row>
    <row r="1249" spans="1:12" x14ac:dyDescent="0.3">
      <c r="A1249" t="s">
        <v>4374</v>
      </c>
      <c r="B1249">
        <v>1344</v>
      </c>
      <c r="C1249" t="s">
        <v>4375</v>
      </c>
      <c r="E1249" t="s">
        <v>4376</v>
      </c>
      <c r="F1249" t="s">
        <v>170</v>
      </c>
      <c r="G1249" s="18">
        <v>45322.958333333336</v>
      </c>
      <c r="K1249" s="18">
        <v>45517.916666666664</v>
      </c>
      <c r="L1249" t="s">
        <v>16</v>
      </c>
    </row>
    <row r="1250" spans="1:12" x14ac:dyDescent="0.3">
      <c r="A1250" t="s">
        <v>4377</v>
      </c>
      <c r="B1250">
        <v>1071</v>
      </c>
      <c r="C1250" t="s">
        <v>4378</v>
      </c>
      <c r="E1250" t="s">
        <v>4379</v>
      </c>
      <c r="F1250" t="s">
        <v>170</v>
      </c>
      <c r="K1250" s="18">
        <v>45791.916666666664</v>
      </c>
      <c r="L1250" t="s">
        <v>16</v>
      </c>
    </row>
    <row r="1251" spans="1:12" x14ac:dyDescent="0.3">
      <c r="A1251" t="s">
        <v>4380</v>
      </c>
      <c r="B1251">
        <v>957</v>
      </c>
      <c r="C1251" t="s">
        <v>4381</v>
      </c>
      <c r="E1251" t="s">
        <v>4382</v>
      </c>
      <c r="F1251" t="s">
        <v>15</v>
      </c>
      <c r="K1251" s="18">
        <v>45501.916666666664</v>
      </c>
      <c r="L1251" t="s">
        <v>21</v>
      </c>
    </row>
    <row r="1252" spans="1:12" x14ac:dyDescent="0.3">
      <c r="A1252" t="s">
        <v>4383</v>
      </c>
      <c r="B1252">
        <v>799</v>
      </c>
      <c r="C1252" t="s">
        <v>4384</v>
      </c>
      <c r="E1252" t="s">
        <v>4385</v>
      </c>
      <c r="F1252" t="s">
        <v>53</v>
      </c>
      <c r="L1252" t="s">
        <v>16</v>
      </c>
    </row>
    <row r="1253" spans="1:12" x14ac:dyDescent="0.3">
      <c r="A1253" t="s">
        <v>4386</v>
      </c>
      <c r="B1253">
        <v>1845</v>
      </c>
      <c r="C1253" t="s">
        <v>4387</v>
      </c>
      <c r="D1253" t="s">
        <v>4388</v>
      </c>
      <c r="E1253" t="s">
        <v>4389</v>
      </c>
    </row>
    <row r="1254" spans="1:12" x14ac:dyDescent="0.3">
      <c r="A1254" t="s">
        <v>4390</v>
      </c>
      <c r="B1254">
        <v>604</v>
      </c>
      <c r="C1254" t="s">
        <v>4391</v>
      </c>
      <c r="D1254" t="s">
        <v>4392</v>
      </c>
      <c r="E1254" t="s">
        <v>4393</v>
      </c>
      <c r="F1254" t="s">
        <v>41</v>
      </c>
      <c r="G1254" s="18">
        <v>44886.958333333336</v>
      </c>
      <c r="L1254" t="s">
        <v>16</v>
      </c>
    </row>
    <row r="1255" spans="1:12" x14ac:dyDescent="0.3">
      <c r="A1255" t="s">
        <v>4394</v>
      </c>
      <c r="B1255">
        <v>568</v>
      </c>
      <c r="C1255" t="s">
        <v>4395</v>
      </c>
      <c r="E1255" t="s">
        <v>4396</v>
      </c>
      <c r="F1255" t="s">
        <v>53</v>
      </c>
      <c r="L1255" t="s">
        <v>16</v>
      </c>
    </row>
    <row r="1256" spans="1:12" x14ac:dyDescent="0.3">
      <c r="A1256" t="s">
        <v>4397</v>
      </c>
      <c r="B1256">
        <v>1894</v>
      </c>
      <c r="C1256" t="s">
        <v>4398</v>
      </c>
      <c r="D1256" t="s">
        <v>4399</v>
      </c>
      <c r="E1256" t="s">
        <v>4400</v>
      </c>
    </row>
    <row r="1257" spans="1:12" x14ac:dyDescent="0.3">
      <c r="A1257" t="s">
        <v>4401</v>
      </c>
      <c r="B1257">
        <v>770</v>
      </c>
      <c r="C1257" t="s">
        <v>4402</v>
      </c>
      <c r="E1257" t="s">
        <v>4403</v>
      </c>
      <c r="F1257" t="s">
        <v>170</v>
      </c>
      <c r="G1257" s="18">
        <v>45439.916666666664</v>
      </c>
      <c r="K1257" s="18">
        <v>45645.958333333336</v>
      </c>
      <c r="L1257" t="s">
        <v>16</v>
      </c>
    </row>
    <row r="1258" spans="1:12" x14ac:dyDescent="0.3">
      <c r="A1258" t="s">
        <v>4404</v>
      </c>
      <c r="B1258">
        <v>314</v>
      </c>
      <c r="C1258" t="s">
        <v>4405</v>
      </c>
      <c r="E1258" t="s">
        <v>4406</v>
      </c>
      <c r="F1258" t="s">
        <v>41</v>
      </c>
      <c r="G1258" s="18">
        <v>45763.916666666664</v>
      </c>
      <c r="L1258" t="s">
        <v>21</v>
      </c>
    </row>
    <row r="1259" spans="1:12" x14ac:dyDescent="0.3">
      <c r="A1259" t="s">
        <v>4407</v>
      </c>
      <c r="B1259">
        <v>1726</v>
      </c>
      <c r="C1259" t="s">
        <v>4408</v>
      </c>
      <c r="D1259" t="s">
        <v>4409</v>
      </c>
      <c r="E1259" t="s">
        <v>4410</v>
      </c>
    </row>
    <row r="1260" spans="1:12" x14ac:dyDescent="0.3">
      <c r="A1260" t="s">
        <v>4411</v>
      </c>
      <c r="B1260">
        <v>1377</v>
      </c>
      <c r="C1260" t="s">
        <v>4412</v>
      </c>
      <c r="E1260" t="s">
        <v>4413</v>
      </c>
      <c r="F1260" t="s">
        <v>170</v>
      </c>
      <c r="K1260" s="18">
        <v>45708.958333333336</v>
      </c>
      <c r="L1260" t="s">
        <v>16</v>
      </c>
    </row>
    <row r="1261" spans="1:12" x14ac:dyDescent="0.3">
      <c r="A1261" t="s">
        <v>4414</v>
      </c>
      <c r="B1261">
        <v>102</v>
      </c>
      <c r="C1261" t="s">
        <v>4415</v>
      </c>
      <c r="D1261" t="s">
        <v>4416</v>
      </c>
      <c r="E1261" t="s">
        <v>4417</v>
      </c>
      <c r="F1261" t="s">
        <v>53</v>
      </c>
      <c r="L1261" t="s">
        <v>21</v>
      </c>
    </row>
    <row r="1262" spans="1:12" x14ac:dyDescent="0.3">
      <c r="A1262" t="s">
        <v>4418</v>
      </c>
      <c r="B1262">
        <v>962</v>
      </c>
      <c r="C1262" t="s">
        <v>4419</v>
      </c>
      <c r="E1262" t="s">
        <v>4420</v>
      </c>
      <c r="F1262" t="s">
        <v>49</v>
      </c>
      <c r="L1262" t="s">
        <v>16</v>
      </c>
    </row>
    <row r="1263" spans="1:12" x14ac:dyDescent="0.3">
      <c r="A1263" t="s">
        <v>4421</v>
      </c>
      <c r="B1263">
        <v>333</v>
      </c>
      <c r="C1263" t="s">
        <v>4422</v>
      </c>
      <c r="D1263" t="s">
        <v>4423</v>
      </c>
      <c r="E1263" t="s">
        <v>4424</v>
      </c>
      <c r="F1263" t="s">
        <v>41</v>
      </c>
      <c r="G1263" s="18">
        <v>45763.916666666664</v>
      </c>
      <c r="L1263" t="s">
        <v>21</v>
      </c>
    </row>
    <row r="1264" spans="1:12" x14ac:dyDescent="0.3">
      <c r="A1264" t="s">
        <v>4425</v>
      </c>
      <c r="B1264">
        <v>2000</v>
      </c>
      <c r="C1264" t="s">
        <v>4426</v>
      </c>
      <c r="D1264" t="s">
        <v>4427</v>
      </c>
      <c r="E1264" t="s">
        <v>4428</v>
      </c>
    </row>
    <row r="1265" spans="1:12" x14ac:dyDescent="0.3">
      <c r="A1265" t="s">
        <v>4429</v>
      </c>
      <c r="B1265">
        <v>1885</v>
      </c>
      <c r="C1265" t="s">
        <v>4430</v>
      </c>
      <c r="D1265" t="s">
        <v>4431</v>
      </c>
      <c r="E1265" t="s">
        <v>4432</v>
      </c>
    </row>
    <row r="1266" spans="1:12" x14ac:dyDescent="0.3">
      <c r="A1266" t="s">
        <v>4433</v>
      </c>
      <c r="B1266">
        <v>1430</v>
      </c>
      <c r="C1266" t="s">
        <v>4434</v>
      </c>
      <c r="E1266" t="s">
        <v>4435</v>
      </c>
      <c r="F1266" t="s">
        <v>53</v>
      </c>
      <c r="I1266" s="18">
        <v>45809.916666666664</v>
      </c>
      <c r="J1266" s="18">
        <v>45883.916666666664</v>
      </c>
      <c r="L1266" t="s">
        <v>21</v>
      </c>
    </row>
    <row r="1267" spans="1:12" x14ac:dyDescent="0.3">
      <c r="A1267" t="s">
        <v>4436</v>
      </c>
      <c r="B1267">
        <v>306</v>
      </c>
      <c r="C1267" t="s">
        <v>4437</v>
      </c>
      <c r="D1267" t="s">
        <v>4438</v>
      </c>
      <c r="E1267" t="s">
        <v>4439</v>
      </c>
      <c r="F1267" t="s">
        <v>57</v>
      </c>
      <c r="L1267" t="s">
        <v>21</v>
      </c>
    </row>
    <row r="1268" spans="1:12" x14ac:dyDescent="0.3">
      <c r="A1268" t="s">
        <v>4440</v>
      </c>
      <c r="B1268">
        <v>174</v>
      </c>
      <c r="C1268" t="s">
        <v>4441</v>
      </c>
      <c r="D1268" t="s">
        <v>4442</v>
      </c>
      <c r="E1268" t="s">
        <v>4443</v>
      </c>
      <c r="F1268" t="s">
        <v>41</v>
      </c>
      <c r="G1268" s="18">
        <v>45616.958333333336</v>
      </c>
      <c r="L1268" t="s">
        <v>37</v>
      </c>
    </row>
    <row r="1269" spans="1:12" x14ac:dyDescent="0.3">
      <c r="A1269" t="s">
        <v>4444</v>
      </c>
      <c r="B1269">
        <v>716</v>
      </c>
      <c r="C1269" t="s">
        <v>4445</v>
      </c>
      <c r="E1269" t="s">
        <v>4446</v>
      </c>
      <c r="F1269" t="s">
        <v>71</v>
      </c>
      <c r="L1269" t="s">
        <v>16</v>
      </c>
    </row>
    <row r="1270" spans="1:12" x14ac:dyDescent="0.3">
      <c r="A1270" t="s">
        <v>4447</v>
      </c>
      <c r="B1270">
        <v>369</v>
      </c>
      <c r="C1270" t="s">
        <v>4448</v>
      </c>
      <c r="D1270" t="s">
        <v>4449</v>
      </c>
      <c r="E1270" t="s">
        <v>4450</v>
      </c>
      <c r="F1270" t="s">
        <v>41</v>
      </c>
      <c r="G1270" s="18">
        <v>45761.916666666664</v>
      </c>
      <c r="L1270" t="s">
        <v>16</v>
      </c>
    </row>
    <row r="1271" spans="1:12" x14ac:dyDescent="0.3">
      <c r="A1271" t="s">
        <v>4451</v>
      </c>
      <c r="B1271">
        <v>941</v>
      </c>
      <c r="C1271" t="s">
        <v>4452</v>
      </c>
      <c r="E1271" t="s">
        <v>4453</v>
      </c>
      <c r="F1271" t="s">
        <v>15</v>
      </c>
      <c r="G1271" s="18">
        <v>45322.958333333336</v>
      </c>
      <c r="K1271" s="18">
        <v>45729.958333333336</v>
      </c>
      <c r="L1271" t="s">
        <v>21</v>
      </c>
    </row>
    <row r="1272" spans="1:12" x14ac:dyDescent="0.3">
      <c r="A1272" t="s">
        <v>4454</v>
      </c>
      <c r="B1272">
        <v>440</v>
      </c>
      <c r="C1272" t="s">
        <v>4455</v>
      </c>
      <c r="E1272" t="s">
        <v>4456</v>
      </c>
      <c r="F1272" t="s">
        <v>41</v>
      </c>
      <c r="G1272" s="18">
        <v>45761.916666666664</v>
      </c>
      <c r="L1272" t="s">
        <v>21</v>
      </c>
    </row>
    <row r="1273" spans="1:12" x14ac:dyDescent="0.3">
      <c r="A1273" t="s">
        <v>4457</v>
      </c>
      <c r="B1273">
        <v>1276</v>
      </c>
      <c r="C1273" t="s">
        <v>4458</v>
      </c>
      <c r="E1273" t="s">
        <v>4459</v>
      </c>
      <c r="F1273" t="s">
        <v>15</v>
      </c>
      <c r="G1273" s="18">
        <v>45468.916666666664</v>
      </c>
      <c r="H1273" s="18">
        <v>45539.916666666664</v>
      </c>
      <c r="K1273" s="18">
        <v>45539.916666666664</v>
      </c>
      <c r="L1273" t="s">
        <v>16</v>
      </c>
    </row>
    <row r="1274" spans="1:12" x14ac:dyDescent="0.3">
      <c r="A1274" t="s">
        <v>4460</v>
      </c>
      <c r="B1274">
        <v>2077</v>
      </c>
      <c r="C1274" t="s">
        <v>4461</v>
      </c>
      <c r="D1274" t="s">
        <v>4462</v>
      </c>
      <c r="E1274" t="s">
        <v>4463</v>
      </c>
    </row>
    <row r="1275" spans="1:12" x14ac:dyDescent="0.3">
      <c r="A1275" t="s">
        <v>4464</v>
      </c>
      <c r="B1275">
        <v>417</v>
      </c>
      <c r="C1275" t="s">
        <v>4465</v>
      </c>
      <c r="E1275" t="s">
        <v>4466</v>
      </c>
      <c r="F1275" t="s">
        <v>36</v>
      </c>
      <c r="G1275" s="18">
        <v>45768.916666666664</v>
      </c>
      <c r="L1275" t="s">
        <v>16</v>
      </c>
    </row>
    <row r="1276" spans="1:12" x14ac:dyDescent="0.3">
      <c r="A1276" t="s">
        <v>4467</v>
      </c>
      <c r="B1276">
        <v>2004</v>
      </c>
      <c r="C1276" t="s">
        <v>4468</v>
      </c>
      <c r="D1276" t="s">
        <v>4469</v>
      </c>
      <c r="E1276" t="s">
        <v>4470</v>
      </c>
    </row>
    <row r="1277" spans="1:12" x14ac:dyDescent="0.3">
      <c r="A1277" t="s">
        <v>4471</v>
      </c>
      <c r="B1277">
        <v>1092</v>
      </c>
      <c r="C1277" t="s">
        <v>4472</v>
      </c>
      <c r="E1277" t="s">
        <v>4473</v>
      </c>
      <c r="F1277" t="s">
        <v>15</v>
      </c>
      <c r="G1277" s="18">
        <v>45761.916666666664</v>
      </c>
      <c r="H1277" s="18">
        <v>45770.916666666664</v>
      </c>
      <c r="L1277" t="s">
        <v>21</v>
      </c>
    </row>
    <row r="1278" spans="1:12" x14ac:dyDescent="0.3">
      <c r="A1278" t="s">
        <v>4474</v>
      </c>
      <c r="B1278">
        <v>410</v>
      </c>
      <c r="C1278" t="s">
        <v>4475</v>
      </c>
      <c r="E1278" t="s">
        <v>4476</v>
      </c>
      <c r="F1278" t="s">
        <v>57</v>
      </c>
      <c r="L1278" t="s">
        <v>37</v>
      </c>
    </row>
    <row r="1279" spans="1:12" x14ac:dyDescent="0.3">
      <c r="A1279" t="s">
        <v>4477</v>
      </c>
      <c r="B1279">
        <v>1025</v>
      </c>
      <c r="C1279" t="s">
        <v>4478</v>
      </c>
      <c r="E1279" t="s">
        <v>4479</v>
      </c>
      <c r="F1279" t="s">
        <v>15</v>
      </c>
      <c r="L1279" t="s">
        <v>16</v>
      </c>
    </row>
    <row r="1280" spans="1:12" x14ac:dyDescent="0.3">
      <c r="A1280" t="s">
        <v>4480</v>
      </c>
      <c r="B1280">
        <v>639</v>
      </c>
      <c r="C1280" t="s">
        <v>4481</v>
      </c>
      <c r="D1280" t="s">
        <v>4482</v>
      </c>
      <c r="E1280" t="s">
        <v>4483</v>
      </c>
      <c r="F1280" t="s">
        <v>53</v>
      </c>
      <c r="L1280" t="s">
        <v>16</v>
      </c>
    </row>
    <row r="1281" spans="1:12" x14ac:dyDescent="0.3">
      <c r="A1281" t="s">
        <v>4484</v>
      </c>
      <c r="B1281">
        <v>912</v>
      </c>
      <c r="C1281" t="s">
        <v>4485</v>
      </c>
      <c r="E1281" t="s">
        <v>4486</v>
      </c>
      <c r="F1281" t="s">
        <v>15</v>
      </c>
      <c r="L1281" t="s">
        <v>16</v>
      </c>
    </row>
    <row r="1282" spans="1:12" x14ac:dyDescent="0.3">
      <c r="A1282" t="s">
        <v>4487</v>
      </c>
      <c r="B1282">
        <v>43</v>
      </c>
      <c r="C1282" t="s">
        <v>4488</v>
      </c>
      <c r="D1282" t="s">
        <v>4489</v>
      </c>
      <c r="E1282" t="s">
        <v>4490</v>
      </c>
      <c r="F1282" t="s">
        <v>41</v>
      </c>
      <c r="G1282" s="18">
        <v>45785.916666666664</v>
      </c>
      <c r="L1282" t="s">
        <v>21</v>
      </c>
    </row>
    <row r="1283" spans="1:12" x14ac:dyDescent="0.3">
      <c r="A1283" t="s">
        <v>4491</v>
      </c>
      <c r="B1283">
        <v>1546</v>
      </c>
      <c r="C1283" t="s">
        <v>4492</v>
      </c>
      <c r="E1283" t="s">
        <v>4493</v>
      </c>
      <c r="F1283" t="s">
        <v>53</v>
      </c>
      <c r="L1283" t="s">
        <v>37</v>
      </c>
    </row>
    <row r="1284" spans="1:12" x14ac:dyDescent="0.3">
      <c r="A1284" t="s">
        <v>4494</v>
      </c>
      <c r="B1284">
        <v>1547</v>
      </c>
      <c r="C1284" t="s">
        <v>4495</v>
      </c>
      <c r="D1284" t="s">
        <v>4496</v>
      </c>
      <c r="E1284" t="s">
        <v>4497</v>
      </c>
      <c r="F1284" t="s">
        <v>53</v>
      </c>
      <c r="L1284" t="s">
        <v>88</v>
      </c>
    </row>
    <row r="1285" spans="1:12" x14ac:dyDescent="0.3">
      <c r="A1285" t="s">
        <v>4498</v>
      </c>
      <c r="B1285">
        <v>1592</v>
      </c>
      <c r="C1285" t="s">
        <v>4499</v>
      </c>
      <c r="D1285" t="s">
        <v>2366</v>
      </c>
      <c r="E1285" t="s">
        <v>4500</v>
      </c>
      <c r="F1285" t="s">
        <v>41</v>
      </c>
      <c r="G1285" s="18">
        <v>45827.916666666664</v>
      </c>
      <c r="L1285" t="s">
        <v>88</v>
      </c>
    </row>
    <row r="1286" spans="1:12" x14ac:dyDescent="0.3">
      <c r="A1286" t="s">
        <v>4501</v>
      </c>
      <c r="B1286">
        <v>2039</v>
      </c>
      <c r="C1286" t="s">
        <v>4502</v>
      </c>
      <c r="D1286" t="s">
        <v>4503</v>
      </c>
      <c r="E1286" t="s">
        <v>4504</v>
      </c>
    </row>
    <row r="1287" spans="1:12" x14ac:dyDescent="0.3">
      <c r="A1287" t="s">
        <v>4505</v>
      </c>
      <c r="B1287">
        <v>375</v>
      </c>
      <c r="C1287" t="s">
        <v>4506</v>
      </c>
      <c r="D1287" t="s">
        <v>4507</v>
      </c>
      <c r="E1287" t="s">
        <v>4508</v>
      </c>
      <c r="F1287" t="s">
        <v>41</v>
      </c>
      <c r="G1287" s="18">
        <v>45761.916666666664</v>
      </c>
      <c r="L1287" t="s">
        <v>16</v>
      </c>
    </row>
    <row r="1288" spans="1:12" x14ac:dyDescent="0.3">
      <c r="A1288" t="s">
        <v>4509</v>
      </c>
      <c r="B1288">
        <v>1827</v>
      </c>
      <c r="C1288" t="s">
        <v>4510</v>
      </c>
      <c r="D1288" t="s">
        <v>4511</v>
      </c>
      <c r="E1288" t="s">
        <v>4512</v>
      </c>
    </row>
    <row r="1289" spans="1:12" x14ac:dyDescent="0.3">
      <c r="A1289" t="s">
        <v>4513</v>
      </c>
      <c r="B1289">
        <v>1067</v>
      </c>
      <c r="C1289" t="s">
        <v>4514</v>
      </c>
      <c r="E1289" t="s">
        <v>4515</v>
      </c>
      <c r="F1289" t="s">
        <v>15</v>
      </c>
      <c r="K1289" s="18">
        <v>45693.958333333336</v>
      </c>
      <c r="L1289" t="s">
        <v>16</v>
      </c>
    </row>
    <row r="1290" spans="1:12" x14ac:dyDescent="0.3">
      <c r="A1290" t="s">
        <v>4516</v>
      </c>
      <c r="B1290">
        <v>1068</v>
      </c>
      <c r="C1290" t="s">
        <v>4517</v>
      </c>
      <c r="E1290" t="s">
        <v>4518</v>
      </c>
      <c r="F1290" t="s">
        <v>15</v>
      </c>
      <c r="K1290" s="18">
        <v>45777.916666666664</v>
      </c>
      <c r="L1290" t="s">
        <v>16</v>
      </c>
    </row>
    <row r="1291" spans="1:12" x14ac:dyDescent="0.3">
      <c r="A1291" t="s">
        <v>4519</v>
      </c>
      <c r="B1291">
        <v>1233</v>
      </c>
      <c r="C1291" t="s">
        <v>4520</v>
      </c>
      <c r="E1291" t="s">
        <v>4521</v>
      </c>
      <c r="F1291" t="s">
        <v>170</v>
      </c>
      <c r="K1291" s="18">
        <v>45648.958333333336</v>
      </c>
      <c r="L1291" t="s">
        <v>21</v>
      </c>
    </row>
    <row r="1292" spans="1:12" x14ac:dyDescent="0.3">
      <c r="A1292" t="s">
        <v>4522</v>
      </c>
      <c r="B1292">
        <v>963</v>
      </c>
      <c r="C1292" t="s">
        <v>4523</v>
      </c>
      <c r="F1292" t="s">
        <v>71</v>
      </c>
      <c r="L1292" t="s">
        <v>16</v>
      </c>
    </row>
    <row r="1293" spans="1:12" x14ac:dyDescent="0.3">
      <c r="A1293" t="s">
        <v>4524</v>
      </c>
      <c r="B1293">
        <v>1012</v>
      </c>
      <c r="C1293" t="s">
        <v>4525</v>
      </c>
      <c r="E1293" t="s">
        <v>4526</v>
      </c>
      <c r="F1293" t="s">
        <v>71</v>
      </c>
      <c r="L1293" t="s">
        <v>16</v>
      </c>
    </row>
    <row r="1294" spans="1:12" x14ac:dyDescent="0.3">
      <c r="A1294" t="s">
        <v>4527</v>
      </c>
      <c r="B1294">
        <v>927</v>
      </c>
      <c r="C1294" t="s">
        <v>4528</v>
      </c>
      <c r="E1294" t="s">
        <v>4529</v>
      </c>
      <c r="F1294" t="s">
        <v>49</v>
      </c>
      <c r="L1294" t="s">
        <v>21</v>
      </c>
    </row>
    <row r="1295" spans="1:12" x14ac:dyDescent="0.3">
      <c r="A1295" t="s">
        <v>4530</v>
      </c>
      <c r="B1295">
        <v>1548</v>
      </c>
      <c r="C1295" t="s">
        <v>4531</v>
      </c>
      <c r="D1295" t="s">
        <v>4532</v>
      </c>
      <c r="E1295" t="s">
        <v>4533</v>
      </c>
      <c r="F1295" t="s">
        <v>53</v>
      </c>
      <c r="K1295" s="18">
        <v>45714.958333333336</v>
      </c>
      <c r="L1295" t="s">
        <v>37</v>
      </c>
    </row>
    <row r="1296" spans="1:12" x14ac:dyDescent="0.3">
      <c r="A1296" t="s">
        <v>4534</v>
      </c>
      <c r="B1296">
        <v>2130</v>
      </c>
      <c r="C1296" t="s">
        <v>4535</v>
      </c>
      <c r="E1296" t="s">
        <v>4536</v>
      </c>
    </row>
    <row r="1297" spans="1:12" x14ac:dyDescent="0.3">
      <c r="A1297" t="s">
        <v>4537</v>
      </c>
      <c r="B1297">
        <v>1121</v>
      </c>
      <c r="C1297" t="s">
        <v>4538</v>
      </c>
      <c r="E1297" t="s">
        <v>4539</v>
      </c>
      <c r="F1297" t="s">
        <v>71</v>
      </c>
      <c r="L1297" t="s">
        <v>16</v>
      </c>
    </row>
    <row r="1298" spans="1:12" x14ac:dyDescent="0.3">
      <c r="A1298" t="s">
        <v>4540</v>
      </c>
      <c r="B1298">
        <v>1169</v>
      </c>
      <c r="C1298" t="s">
        <v>4541</v>
      </c>
      <c r="E1298" t="s">
        <v>4542</v>
      </c>
      <c r="F1298" t="s">
        <v>15</v>
      </c>
      <c r="K1298" s="18">
        <v>45620.958333333336</v>
      </c>
      <c r="L1298" t="s">
        <v>16</v>
      </c>
    </row>
    <row r="1299" spans="1:12" x14ac:dyDescent="0.3">
      <c r="A1299" t="s">
        <v>4543</v>
      </c>
      <c r="B1299">
        <v>1320</v>
      </c>
      <c r="C1299" t="s">
        <v>4544</v>
      </c>
      <c r="E1299" t="s">
        <v>4545</v>
      </c>
      <c r="F1299" t="s">
        <v>15</v>
      </c>
      <c r="G1299" s="18">
        <v>45700.958333333336</v>
      </c>
      <c r="K1299" s="18">
        <v>45722.958333333336</v>
      </c>
      <c r="L1299" t="s">
        <v>16</v>
      </c>
    </row>
    <row r="1300" spans="1:12" x14ac:dyDescent="0.3">
      <c r="A1300" t="s">
        <v>4546</v>
      </c>
      <c r="B1300">
        <v>478</v>
      </c>
      <c r="C1300" t="s">
        <v>4547</v>
      </c>
      <c r="E1300" t="s">
        <v>4548</v>
      </c>
      <c r="F1300" t="s">
        <v>57</v>
      </c>
      <c r="L1300" t="s">
        <v>21</v>
      </c>
    </row>
    <row r="1301" spans="1:12" x14ac:dyDescent="0.3">
      <c r="A1301" t="s">
        <v>4549</v>
      </c>
      <c r="B1301">
        <v>1049</v>
      </c>
      <c r="C1301" t="s">
        <v>4550</v>
      </c>
      <c r="E1301" t="s">
        <v>4551</v>
      </c>
      <c r="F1301" t="s">
        <v>15</v>
      </c>
      <c r="G1301" s="18">
        <v>45761.916666666664</v>
      </c>
      <c r="K1301" s="18">
        <v>45799.916666666664</v>
      </c>
      <c r="L1301" t="s">
        <v>21</v>
      </c>
    </row>
    <row r="1302" spans="1:12" x14ac:dyDescent="0.3">
      <c r="A1302" t="s">
        <v>4552</v>
      </c>
      <c r="B1302">
        <v>693</v>
      </c>
      <c r="C1302" t="s">
        <v>4553</v>
      </c>
      <c r="E1302" t="s">
        <v>4554</v>
      </c>
      <c r="F1302" t="s">
        <v>71</v>
      </c>
      <c r="L1302" t="s">
        <v>16</v>
      </c>
    </row>
    <row r="1303" spans="1:12" x14ac:dyDescent="0.3">
      <c r="A1303" t="s">
        <v>4555</v>
      </c>
      <c r="B1303">
        <v>425</v>
      </c>
      <c r="C1303" t="s">
        <v>4556</v>
      </c>
      <c r="D1303" t="s">
        <v>4557</v>
      </c>
      <c r="E1303" t="s">
        <v>4558</v>
      </c>
      <c r="F1303" t="s">
        <v>57</v>
      </c>
      <c r="L1303" t="s">
        <v>21</v>
      </c>
    </row>
    <row r="1304" spans="1:12" x14ac:dyDescent="0.3">
      <c r="A1304" t="s">
        <v>4559</v>
      </c>
      <c r="B1304">
        <v>25</v>
      </c>
      <c r="C1304" t="s">
        <v>4560</v>
      </c>
      <c r="E1304" t="s">
        <v>4561</v>
      </c>
      <c r="F1304" t="s">
        <v>41</v>
      </c>
      <c r="G1304" s="18">
        <v>45776.916666666664</v>
      </c>
      <c r="K1304" s="18">
        <v>45809.916666666664</v>
      </c>
      <c r="L1304" t="s">
        <v>16</v>
      </c>
    </row>
    <row r="1305" spans="1:12" x14ac:dyDescent="0.3">
      <c r="A1305" t="s">
        <v>4562</v>
      </c>
      <c r="B1305">
        <v>772</v>
      </c>
      <c r="C1305" t="s">
        <v>4563</v>
      </c>
      <c r="E1305" t="s">
        <v>4564</v>
      </c>
      <c r="F1305" t="s">
        <v>15</v>
      </c>
      <c r="G1305" s="18">
        <v>45464.916666666664</v>
      </c>
      <c r="H1305" s="18">
        <v>45534.916666666664</v>
      </c>
      <c r="K1305" s="18">
        <v>45534.916666666664</v>
      </c>
      <c r="L1305" t="s">
        <v>16</v>
      </c>
    </row>
    <row r="1306" spans="1:12" x14ac:dyDescent="0.3">
      <c r="A1306" t="s">
        <v>4565</v>
      </c>
      <c r="B1306">
        <v>584</v>
      </c>
      <c r="C1306" t="s">
        <v>4566</v>
      </c>
      <c r="D1306" t="s">
        <v>4567</v>
      </c>
      <c r="E1306" t="s">
        <v>4568</v>
      </c>
      <c r="F1306" t="s">
        <v>41</v>
      </c>
      <c r="G1306" s="18">
        <v>45800.916666666664</v>
      </c>
      <c r="L1306" t="s">
        <v>21</v>
      </c>
    </row>
    <row r="1307" spans="1:12" x14ac:dyDescent="0.3">
      <c r="A1307" t="s">
        <v>4569</v>
      </c>
      <c r="B1307">
        <v>1983</v>
      </c>
      <c r="C1307" t="s">
        <v>4570</v>
      </c>
      <c r="D1307" t="s">
        <v>4571</v>
      </c>
      <c r="E1307" t="s">
        <v>4572</v>
      </c>
    </row>
    <row r="1308" spans="1:12" x14ac:dyDescent="0.3">
      <c r="A1308" t="s">
        <v>4573</v>
      </c>
      <c r="B1308">
        <v>988</v>
      </c>
      <c r="C1308" t="s">
        <v>4574</v>
      </c>
      <c r="D1308" t="s">
        <v>4575</v>
      </c>
      <c r="E1308" t="s">
        <v>4576</v>
      </c>
      <c r="F1308" t="s">
        <v>15</v>
      </c>
      <c r="G1308" s="18">
        <v>45515.916666666664</v>
      </c>
      <c r="H1308" s="18">
        <v>45550.916666666664</v>
      </c>
      <c r="K1308" s="18">
        <v>45550.916666666664</v>
      </c>
      <c r="L1308" t="s">
        <v>16</v>
      </c>
    </row>
    <row r="1309" spans="1:12" x14ac:dyDescent="0.3">
      <c r="A1309" t="s">
        <v>4577</v>
      </c>
      <c r="B1309">
        <v>1963</v>
      </c>
      <c r="C1309" t="s">
        <v>4578</v>
      </c>
      <c r="D1309" t="s">
        <v>4579</v>
      </c>
      <c r="E1309" t="s">
        <v>4580</v>
      </c>
    </row>
    <row r="1310" spans="1:12" x14ac:dyDescent="0.3">
      <c r="A1310" t="s">
        <v>4581</v>
      </c>
      <c r="B1310">
        <v>641</v>
      </c>
      <c r="C1310" t="s">
        <v>4582</v>
      </c>
      <c r="D1310" t="s">
        <v>4583</v>
      </c>
      <c r="E1310" t="s">
        <v>4584</v>
      </c>
      <c r="F1310" t="s">
        <v>53</v>
      </c>
      <c r="L1310" t="s">
        <v>16</v>
      </c>
    </row>
    <row r="1311" spans="1:12" x14ac:dyDescent="0.3">
      <c r="A1311" t="s">
        <v>4585</v>
      </c>
      <c r="B1311">
        <v>832</v>
      </c>
      <c r="C1311" t="s">
        <v>4586</v>
      </c>
      <c r="E1311" t="s">
        <v>4587</v>
      </c>
      <c r="F1311" t="s">
        <v>15</v>
      </c>
      <c r="K1311" s="18">
        <v>45595.958333333336</v>
      </c>
      <c r="L1311" t="s">
        <v>16</v>
      </c>
    </row>
    <row r="1312" spans="1:12" x14ac:dyDescent="0.3">
      <c r="A1312" t="s">
        <v>4588</v>
      </c>
      <c r="B1312">
        <v>2132</v>
      </c>
      <c r="C1312" t="s">
        <v>4589</v>
      </c>
      <c r="D1312" t="s">
        <v>4590</v>
      </c>
      <c r="E1312" t="s">
        <v>4591</v>
      </c>
    </row>
    <row r="1313" spans="1:12" x14ac:dyDescent="0.3">
      <c r="A1313" t="s">
        <v>4592</v>
      </c>
      <c r="B1313">
        <v>1175</v>
      </c>
      <c r="C1313" t="s">
        <v>4593</v>
      </c>
      <c r="E1313" t="s">
        <v>4594</v>
      </c>
      <c r="F1313" t="s">
        <v>15</v>
      </c>
      <c r="G1313" s="18">
        <v>45761.916666666664</v>
      </c>
      <c r="H1313" s="18">
        <v>45778.916666666664</v>
      </c>
      <c r="K1313" s="18">
        <v>45778.916666666664</v>
      </c>
      <c r="L1313" t="s">
        <v>21</v>
      </c>
    </row>
    <row r="1314" spans="1:12" x14ac:dyDescent="0.3">
      <c r="A1314" t="s">
        <v>4595</v>
      </c>
      <c r="B1314">
        <v>413</v>
      </c>
      <c r="C1314" t="s">
        <v>4596</v>
      </c>
      <c r="E1314" t="s">
        <v>4597</v>
      </c>
      <c r="F1314" t="s">
        <v>41</v>
      </c>
      <c r="G1314" s="18">
        <v>45615.958333333336</v>
      </c>
      <c r="L1314" t="s">
        <v>16</v>
      </c>
    </row>
    <row r="1315" spans="1:12" x14ac:dyDescent="0.3">
      <c r="A1315" t="s">
        <v>4598</v>
      </c>
      <c r="B1315">
        <v>1347</v>
      </c>
      <c r="C1315" t="s">
        <v>4599</v>
      </c>
      <c r="E1315" t="s">
        <v>4600</v>
      </c>
      <c r="F1315" t="s">
        <v>15</v>
      </c>
      <c r="K1315" s="18">
        <v>45638.958333333336</v>
      </c>
      <c r="L1315" t="s">
        <v>16</v>
      </c>
    </row>
    <row r="1316" spans="1:12" x14ac:dyDescent="0.3">
      <c r="A1316" t="s">
        <v>4601</v>
      </c>
      <c r="B1316">
        <v>668</v>
      </c>
      <c r="C1316" t="s">
        <v>4602</v>
      </c>
      <c r="E1316" t="s">
        <v>4603</v>
      </c>
      <c r="F1316" t="s">
        <v>170</v>
      </c>
      <c r="L1316" t="s">
        <v>16</v>
      </c>
    </row>
    <row r="1317" spans="1:12" x14ac:dyDescent="0.3">
      <c r="A1317" t="s">
        <v>4604</v>
      </c>
      <c r="B1317">
        <v>951</v>
      </c>
      <c r="C1317" t="s">
        <v>4605</v>
      </c>
      <c r="E1317" t="s">
        <v>4606</v>
      </c>
      <c r="F1317" t="s">
        <v>15</v>
      </c>
      <c r="G1317" s="18">
        <v>45706.958333333336</v>
      </c>
      <c r="K1317" s="18">
        <v>45733.958333333336</v>
      </c>
      <c r="L1317" t="s">
        <v>16</v>
      </c>
    </row>
    <row r="1318" spans="1:12" x14ac:dyDescent="0.3">
      <c r="A1318" t="s">
        <v>4607</v>
      </c>
      <c r="B1318">
        <v>892</v>
      </c>
      <c r="C1318" t="s">
        <v>4608</v>
      </c>
      <c r="D1318" t="s">
        <v>4609</v>
      </c>
      <c r="E1318" t="s">
        <v>4610</v>
      </c>
      <c r="F1318" t="s">
        <v>15</v>
      </c>
      <c r="K1318" s="18">
        <v>45785.916666666664</v>
      </c>
      <c r="L1318" t="s">
        <v>21</v>
      </c>
    </row>
    <row r="1319" spans="1:12" x14ac:dyDescent="0.3">
      <c r="A1319" t="s">
        <v>4611</v>
      </c>
      <c r="B1319">
        <v>968</v>
      </c>
      <c r="C1319" t="s">
        <v>4612</v>
      </c>
      <c r="E1319" t="s">
        <v>4613</v>
      </c>
      <c r="F1319" t="s">
        <v>15</v>
      </c>
      <c r="L1319" t="s">
        <v>16</v>
      </c>
    </row>
    <row r="1320" spans="1:12" x14ac:dyDescent="0.3">
      <c r="A1320" t="s">
        <v>4614</v>
      </c>
      <c r="B1320">
        <v>281</v>
      </c>
      <c r="C1320" t="s">
        <v>4615</v>
      </c>
      <c r="E1320" t="s">
        <v>4616</v>
      </c>
      <c r="F1320" t="s">
        <v>36</v>
      </c>
      <c r="G1320" s="18">
        <v>45761.916666666664</v>
      </c>
      <c r="L1320" t="s">
        <v>21</v>
      </c>
    </row>
    <row r="1321" spans="1:12" x14ac:dyDescent="0.3">
      <c r="A1321" t="s">
        <v>4617</v>
      </c>
      <c r="B1321">
        <v>1814</v>
      </c>
      <c r="C1321" t="s">
        <v>4618</v>
      </c>
      <c r="D1321" t="s">
        <v>4619</v>
      </c>
      <c r="E1321" t="s">
        <v>4620</v>
      </c>
    </row>
    <row r="1322" spans="1:12" x14ac:dyDescent="0.3">
      <c r="A1322" t="s">
        <v>4621</v>
      </c>
      <c r="B1322">
        <v>1422</v>
      </c>
      <c r="C1322" t="s">
        <v>4622</v>
      </c>
      <c r="E1322" t="s">
        <v>4623</v>
      </c>
      <c r="F1322" t="s">
        <v>53</v>
      </c>
      <c r="I1322" s="18">
        <v>45811.916666666664</v>
      </c>
      <c r="J1322" s="18">
        <v>45841.916666666664</v>
      </c>
      <c r="L1322" t="s">
        <v>21</v>
      </c>
    </row>
    <row r="1323" spans="1:12" x14ac:dyDescent="0.3">
      <c r="A1323" t="s">
        <v>4624</v>
      </c>
      <c r="B1323">
        <v>259</v>
      </c>
      <c r="C1323" t="s">
        <v>4625</v>
      </c>
      <c r="D1323" t="s">
        <v>4626</v>
      </c>
      <c r="E1323" t="s">
        <v>4627</v>
      </c>
      <c r="F1323" t="s">
        <v>57</v>
      </c>
      <c r="L1323" t="s">
        <v>21</v>
      </c>
    </row>
    <row r="1324" spans="1:12" x14ac:dyDescent="0.3">
      <c r="A1324" t="s">
        <v>4628</v>
      </c>
      <c r="B1324">
        <v>1423</v>
      </c>
      <c r="C1324" t="s">
        <v>4629</v>
      </c>
      <c r="E1324" t="s">
        <v>4630</v>
      </c>
      <c r="F1324" t="s">
        <v>53</v>
      </c>
      <c r="I1324" s="18">
        <v>45811.916666666664</v>
      </c>
      <c r="J1324" s="18">
        <v>45842.916666666664</v>
      </c>
      <c r="L1324" t="s">
        <v>21</v>
      </c>
    </row>
    <row r="1325" spans="1:12" x14ac:dyDescent="0.3">
      <c r="A1325" t="s">
        <v>4631</v>
      </c>
      <c r="B1325">
        <v>51</v>
      </c>
      <c r="C1325" t="s">
        <v>4632</v>
      </c>
      <c r="D1325" t="s">
        <v>4633</v>
      </c>
      <c r="E1325" t="s">
        <v>4634</v>
      </c>
      <c r="F1325" t="s">
        <v>41</v>
      </c>
      <c r="G1325" s="18">
        <v>45728.958333333336</v>
      </c>
      <c r="L1325" t="s">
        <v>21</v>
      </c>
    </row>
    <row r="1326" spans="1:12" x14ac:dyDescent="0.3">
      <c r="A1326" t="s">
        <v>4635</v>
      </c>
      <c r="B1326">
        <v>1813</v>
      </c>
      <c r="C1326" t="s">
        <v>4636</v>
      </c>
      <c r="D1326" t="s">
        <v>4637</v>
      </c>
      <c r="E1326" t="s">
        <v>4638</v>
      </c>
    </row>
    <row r="1327" spans="1:12" x14ac:dyDescent="0.3">
      <c r="A1327" t="s">
        <v>4639</v>
      </c>
      <c r="B1327">
        <v>1362</v>
      </c>
      <c r="C1327" t="s">
        <v>4640</v>
      </c>
      <c r="E1327" t="s">
        <v>4641</v>
      </c>
      <c r="F1327" t="s">
        <v>15</v>
      </c>
      <c r="G1327" s="18">
        <v>45373.958333333336</v>
      </c>
      <c r="H1327" s="18">
        <v>45388.916666666664</v>
      </c>
      <c r="K1327" s="18">
        <v>45456.916666666664</v>
      </c>
      <c r="L1327" t="s">
        <v>16</v>
      </c>
    </row>
    <row r="1328" spans="1:12" x14ac:dyDescent="0.3">
      <c r="A1328" t="s">
        <v>4642</v>
      </c>
      <c r="B1328">
        <v>1242</v>
      </c>
      <c r="C1328" t="s">
        <v>4643</v>
      </c>
      <c r="E1328" t="s">
        <v>4644</v>
      </c>
      <c r="F1328" t="s">
        <v>15</v>
      </c>
      <c r="G1328" s="18">
        <v>45496.916666666664</v>
      </c>
      <c r="K1328" s="18">
        <v>45624.958333333336</v>
      </c>
      <c r="L1328" t="s">
        <v>21</v>
      </c>
    </row>
    <row r="1329" spans="1:12" x14ac:dyDescent="0.3">
      <c r="A1329" t="s">
        <v>4645</v>
      </c>
      <c r="B1329">
        <v>488</v>
      </c>
      <c r="C1329" t="s">
        <v>4646</v>
      </c>
      <c r="D1329" t="s">
        <v>4647</v>
      </c>
      <c r="E1329" t="s">
        <v>4648</v>
      </c>
      <c r="F1329" t="s">
        <v>41</v>
      </c>
      <c r="G1329" s="18">
        <v>45868.916666666664</v>
      </c>
      <c r="L1329" t="s">
        <v>88</v>
      </c>
    </row>
    <row r="1330" spans="1:12" x14ac:dyDescent="0.3">
      <c r="A1330" t="s">
        <v>4649</v>
      </c>
      <c r="B1330">
        <v>1959</v>
      </c>
      <c r="C1330" t="s">
        <v>4650</v>
      </c>
      <c r="D1330" t="s">
        <v>4651</v>
      </c>
      <c r="E1330" t="s">
        <v>4652</v>
      </c>
    </row>
    <row r="1331" spans="1:12" x14ac:dyDescent="0.3">
      <c r="A1331" t="s">
        <v>4653</v>
      </c>
      <c r="B1331">
        <v>887</v>
      </c>
      <c r="C1331" t="s">
        <v>4654</v>
      </c>
      <c r="E1331" t="s">
        <v>4655</v>
      </c>
      <c r="F1331" t="s">
        <v>15</v>
      </c>
      <c r="K1331" s="18">
        <v>45509.916666666664</v>
      </c>
      <c r="L1331" t="s">
        <v>21</v>
      </c>
    </row>
    <row r="1332" spans="1:12" x14ac:dyDescent="0.3">
      <c r="A1332" t="s">
        <v>4656</v>
      </c>
      <c r="B1332">
        <v>1314</v>
      </c>
      <c r="C1332" t="s">
        <v>4657</v>
      </c>
      <c r="E1332" t="s">
        <v>4658</v>
      </c>
      <c r="F1332" t="s">
        <v>15</v>
      </c>
      <c r="G1332" s="18">
        <v>45774.916666666664</v>
      </c>
      <c r="K1332" s="18">
        <v>45774.916666666664</v>
      </c>
      <c r="L1332" t="s">
        <v>16</v>
      </c>
    </row>
    <row r="1333" spans="1:12" x14ac:dyDescent="0.3">
      <c r="A1333" t="s">
        <v>4659</v>
      </c>
      <c r="B1333">
        <v>1041</v>
      </c>
      <c r="C1333" t="s">
        <v>4660</v>
      </c>
      <c r="E1333" t="s">
        <v>4661</v>
      </c>
      <c r="F1333" t="s">
        <v>15</v>
      </c>
      <c r="G1333" s="18">
        <v>45380.958333333336</v>
      </c>
      <c r="H1333" s="18">
        <v>45396.916666666664</v>
      </c>
      <c r="L1333" t="s">
        <v>16</v>
      </c>
    </row>
    <row r="1334" spans="1:12" x14ac:dyDescent="0.3">
      <c r="A1334" t="s">
        <v>4662</v>
      </c>
      <c r="B1334">
        <v>541</v>
      </c>
      <c r="C1334" t="s">
        <v>4663</v>
      </c>
      <c r="D1334" t="s">
        <v>4664</v>
      </c>
      <c r="E1334" t="s">
        <v>4665</v>
      </c>
      <c r="F1334" t="s">
        <v>36</v>
      </c>
      <c r="G1334" s="18">
        <v>45363.958333333336</v>
      </c>
      <c r="L1334" t="s">
        <v>16</v>
      </c>
    </row>
    <row r="1335" spans="1:12" x14ac:dyDescent="0.3">
      <c r="A1335" t="s">
        <v>4666</v>
      </c>
      <c r="B1335">
        <v>1258</v>
      </c>
      <c r="C1335" t="s">
        <v>4667</v>
      </c>
      <c r="E1335" t="s">
        <v>4668</v>
      </c>
      <c r="F1335" t="s">
        <v>71</v>
      </c>
      <c r="L1335" t="s">
        <v>21</v>
      </c>
    </row>
    <row r="1336" spans="1:12" x14ac:dyDescent="0.3">
      <c r="A1336" t="s">
        <v>4669</v>
      </c>
      <c r="B1336">
        <v>1057</v>
      </c>
      <c r="C1336" t="s">
        <v>4670</v>
      </c>
      <c r="E1336" t="s">
        <v>4671</v>
      </c>
      <c r="F1336" t="s">
        <v>15</v>
      </c>
      <c r="G1336" s="18">
        <v>45401.916666666664</v>
      </c>
      <c r="H1336" s="18">
        <v>45432.916666666664</v>
      </c>
      <c r="L1336" t="s">
        <v>16</v>
      </c>
    </row>
    <row r="1337" spans="1:12" x14ac:dyDescent="0.3">
      <c r="A1337" t="s">
        <v>4672</v>
      </c>
      <c r="B1337">
        <v>964</v>
      </c>
      <c r="C1337" t="s">
        <v>4673</v>
      </c>
      <c r="E1337" t="s">
        <v>4674</v>
      </c>
      <c r="F1337" t="s">
        <v>71</v>
      </c>
      <c r="L1337" t="s">
        <v>16</v>
      </c>
    </row>
    <row r="1338" spans="1:12" x14ac:dyDescent="0.3">
      <c r="A1338" t="s">
        <v>4675</v>
      </c>
      <c r="B1338">
        <v>1550</v>
      </c>
      <c r="C1338" t="s">
        <v>4676</v>
      </c>
      <c r="E1338" t="s">
        <v>4677</v>
      </c>
      <c r="F1338" t="s">
        <v>53</v>
      </c>
      <c r="L1338" t="s">
        <v>37</v>
      </c>
    </row>
    <row r="1339" spans="1:12" x14ac:dyDescent="0.3">
      <c r="A1339" t="s">
        <v>4678</v>
      </c>
      <c r="B1339">
        <v>1804</v>
      </c>
      <c r="C1339" t="s">
        <v>4679</v>
      </c>
      <c r="D1339" t="s">
        <v>4680</v>
      </c>
      <c r="E1339" t="s">
        <v>4681</v>
      </c>
      <c r="F1339" t="s">
        <v>53</v>
      </c>
      <c r="L1339" t="s">
        <v>230</v>
      </c>
    </row>
    <row r="1340" spans="1:12" x14ac:dyDescent="0.3">
      <c r="A1340" t="s">
        <v>4682</v>
      </c>
      <c r="B1340">
        <v>27</v>
      </c>
      <c r="C1340" t="s">
        <v>4683</v>
      </c>
      <c r="D1340" t="s">
        <v>4684</v>
      </c>
      <c r="E1340" t="s">
        <v>4685</v>
      </c>
      <c r="F1340" t="s">
        <v>53</v>
      </c>
      <c r="K1340" s="18">
        <v>45813.916666666664</v>
      </c>
      <c r="L1340" t="s">
        <v>16</v>
      </c>
    </row>
    <row r="1341" spans="1:12" x14ac:dyDescent="0.3">
      <c r="A1341" t="s">
        <v>4686</v>
      </c>
      <c r="B1341">
        <v>564</v>
      </c>
      <c r="C1341" t="s">
        <v>4687</v>
      </c>
      <c r="E1341" t="s">
        <v>4688</v>
      </c>
      <c r="F1341" t="s">
        <v>53</v>
      </c>
      <c r="L1341" t="s">
        <v>16</v>
      </c>
    </row>
    <row r="1342" spans="1:12" x14ac:dyDescent="0.3">
      <c r="A1342" t="s">
        <v>4689</v>
      </c>
      <c r="B1342">
        <v>1681</v>
      </c>
      <c r="C1342" t="s">
        <v>4690</v>
      </c>
      <c r="D1342" t="s">
        <v>4691</v>
      </c>
      <c r="E1342" t="s">
        <v>4692</v>
      </c>
    </row>
    <row r="1343" spans="1:12" x14ac:dyDescent="0.3">
      <c r="A1343" t="s">
        <v>4693</v>
      </c>
      <c r="B1343">
        <v>1866</v>
      </c>
      <c r="C1343" t="s">
        <v>4694</v>
      </c>
      <c r="D1343" t="s">
        <v>4695</v>
      </c>
      <c r="E1343" t="s">
        <v>4696</v>
      </c>
    </row>
    <row r="1344" spans="1:12" x14ac:dyDescent="0.3">
      <c r="A1344" t="s">
        <v>4697</v>
      </c>
      <c r="B1344">
        <v>913</v>
      </c>
      <c r="C1344" t="s">
        <v>4698</v>
      </c>
      <c r="E1344" t="s">
        <v>4699</v>
      </c>
      <c r="F1344" t="s">
        <v>15</v>
      </c>
      <c r="K1344" s="18">
        <v>45512.916666666664</v>
      </c>
      <c r="L1344" t="s">
        <v>16</v>
      </c>
    </row>
    <row r="1345" spans="1:12" x14ac:dyDescent="0.3">
      <c r="A1345" t="s">
        <v>4700</v>
      </c>
      <c r="B1345">
        <v>344</v>
      </c>
      <c r="C1345" t="s">
        <v>4701</v>
      </c>
      <c r="D1345" t="s">
        <v>4702</v>
      </c>
      <c r="E1345" t="s">
        <v>4703</v>
      </c>
      <c r="F1345" t="s">
        <v>53</v>
      </c>
      <c r="G1345" s="18">
        <v>45761.916666666664</v>
      </c>
      <c r="L1345" t="s">
        <v>88</v>
      </c>
    </row>
    <row r="1346" spans="1:12" x14ac:dyDescent="0.3">
      <c r="A1346" t="s">
        <v>4704</v>
      </c>
      <c r="B1346">
        <v>1266</v>
      </c>
      <c r="C1346" t="s">
        <v>4705</v>
      </c>
      <c r="E1346" t="s">
        <v>4706</v>
      </c>
      <c r="F1346" t="s">
        <v>170</v>
      </c>
      <c r="K1346" s="18">
        <v>45762.916666666664</v>
      </c>
      <c r="L1346" t="s">
        <v>21</v>
      </c>
    </row>
    <row r="1347" spans="1:12" x14ac:dyDescent="0.3">
      <c r="A1347" t="s">
        <v>4707</v>
      </c>
      <c r="B1347">
        <v>1931</v>
      </c>
      <c r="C1347" t="s">
        <v>4708</v>
      </c>
      <c r="D1347" t="s">
        <v>4709</v>
      </c>
      <c r="E1347" t="s">
        <v>4710</v>
      </c>
    </row>
    <row r="1348" spans="1:12" x14ac:dyDescent="0.3">
      <c r="A1348" t="s">
        <v>4711</v>
      </c>
      <c r="B1348">
        <v>131</v>
      </c>
      <c r="C1348" t="s">
        <v>4712</v>
      </c>
      <c r="D1348" t="s">
        <v>4713</v>
      </c>
      <c r="E1348" t="s">
        <v>4714</v>
      </c>
      <c r="F1348" t="s">
        <v>41</v>
      </c>
      <c r="G1348" s="18">
        <v>45914.916666666664</v>
      </c>
      <c r="L1348" t="s">
        <v>148</v>
      </c>
    </row>
    <row r="1349" spans="1:12" x14ac:dyDescent="0.3">
      <c r="A1349" t="s">
        <v>4715</v>
      </c>
      <c r="B1349">
        <v>1203</v>
      </c>
      <c r="C1349" t="s">
        <v>4716</v>
      </c>
      <c r="E1349" t="s">
        <v>4717</v>
      </c>
      <c r="F1349" t="s">
        <v>49</v>
      </c>
      <c r="L1349" t="s">
        <v>21</v>
      </c>
    </row>
    <row r="1350" spans="1:12" x14ac:dyDescent="0.3">
      <c r="A1350" t="s">
        <v>4718</v>
      </c>
      <c r="B1350">
        <v>66</v>
      </c>
      <c r="C1350" t="s">
        <v>4719</v>
      </c>
      <c r="D1350" t="s">
        <v>4720</v>
      </c>
      <c r="E1350" t="s">
        <v>4721</v>
      </c>
      <c r="F1350" t="s">
        <v>57</v>
      </c>
      <c r="L1350" t="s">
        <v>21</v>
      </c>
    </row>
    <row r="1351" spans="1:12" x14ac:dyDescent="0.3">
      <c r="A1351" t="s">
        <v>4722</v>
      </c>
      <c r="B1351">
        <v>2092</v>
      </c>
      <c r="C1351" t="s">
        <v>4719</v>
      </c>
      <c r="D1351" t="s">
        <v>4720</v>
      </c>
      <c r="E1351" t="s">
        <v>4723</v>
      </c>
    </row>
    <row r="1352" spans="1:12" x14ac:dyDescent="0.3">
      <c r="A1352" t="s">
        <v>4724</v>
      </c>
      <c r="B1352">
        <v>167</v>
      </c>
      <c r="C1352" t="s">
        <v>4725</v>
      </c>
      <c r="E1352" t="s">
        <v>4726</v>
      </c>
      <c r="F1352" t="s">
        <v>53</v>
      </c>
      <c r="L1352" t="s">
        <v>16</v>
      </c>
    </row>
    <row r="1353" spans="1:12" x14ac:dyDescent="0.3">
      <c r="A1353" t="s">
        <v>4727</v>
      </c>
      <c r="B1353">
        <v>1551</v>
      </c>
      <c r="C1353" t="s">
        <v>4728</v>
      </c>
      <c r="E1353" t="s">
        <v>4729</v>
      </c>
      <c r="F1353" t="s">
        <v>53</v>
      </c>
      <c r="L1353" t="s">
        <v>37</v>
      </c>
    </row>
    <row r="1354" spans="1:12" x14ac:dyDescent="0.3">
      <c r="A1354" t="s">
        <v>4730</v>
      </c>
      <c r="B1354">
        <v>228</v>
      </c>
      <c r="C1354" t="s">
        <v>4731</v>
      </c>
      <c r="E1354" t="s">
        <v>4732</v>
      </c>
      <c r="F1354" t="s">
        <v>53</v>
      </c>
      <c r="L1354" t="s">
        <v>21</v>
      </c>
    </row>
    <row r="1355" spans="1:12" x14ac:dyDescent="0.3">
      <c r="A1355" t="s">
        <v>4733</v>
      </c>
      <c r="B1355">
        <v>765</v>
      </c>
      <c r="C1355" t="s">
        <v>4734</v>
      </c>
      <c r="E1355" t="s">
        <v>4735</v>
      </c>
      <c r="F1355" t="s">
        <v>15</v>
      </c>
      <c r="G1355" s="18">
        <v>45564.916666666664</v>
      </c>
      <c r="K1355" s="18">
        <v>45719.958333333336</v>
      </c>
      <c r="L1355" t="s">
        <v>16</v>
      </c>
    </row>
    <row r="1356" spans="1:12" x14ac:dyDescent="0.3">
      <c r="A1356" t="s">
        <v>4736</v>
      </c>
      <c r="B1356">
        <v>2044</v>
      </c>
      <c r="C1356" t="s">
        <v>4737</v>
      </c>
      <c r="D1356" t="s">
        <v>4738</v>
      </c>
      <c r="E1356" t="s">
        <v>4739</v>
      </c>
    </row>
    <row r="1357" spans="1:12" x14ac:dyDescent="0.3">
      <c r="A1357" t="s">
        <v>4740</v>
      </c>
      <c r="B1357">
        <v>1942</v>
      </c>
      <c r="C1357" t="s">
        <v>4741</v>
      </c>
      <c r="D1357" t="s">
        <v>4742</v>
      </c>
      <c r="E1357" t="s">
        <v>4743</v>
      </c>
    </row>
    <row r="1358" spans="1:12" x14ac:dyDescent="0.3">
      <c r="A1358" t="s">
        <v>4744</v>
      </c>
      <c r="B1358">
        <v>556</v>
      </c>
      <c r="C1358" t="s">
        <v>4745</v>
      </c>
      <c r="E1358" t="s">
        <v>4746</v>
      </c>
      <c r="F1358" t="s">
        <v>53</v>
      </c>
      <c r="L1358" t="s">
        <v>37</v>
      </c>
    </row>
    <row r="1359" spans="1:12" x14ac:dyDescent="0.3">
      <c r="A1359" t="s">
        <v>4747</v>
      </c>
      <c r="B1359">
        <v>708</v>
      </c>
      <c r="C1359" t="s">
        <v>4748</v>
      </c>
      <c r="E1359" t="s">
        <v>4749</v>
      </c>
      <c r="F1359" t="s">
        <v>15</v>
      </c>
      <c r="G1359" s="18">
        <v>45344.958333333336</v>
      </c>
      <c r="H1359" s="18">
        <v>45407.916666666664</v>
      </c>
      <c r="L1359" t="s">
        <v>16</v>
      </c>
    </row>
    <row r="1360" spans="1:12" x14ac:dyDescent="0.3">
      <c r="A1360" t="s">
        <v>4750</v>
      </c>
      <c r="B1360">
        <v>1785</v>
      </c>
      <c r="C1360" t="s">
        <v>4751</v>
      </c>
      <c r="D1360" t="s">
        <v>4752</v>
      </c>
      <c r="E1360" t="s">
        <v>4753</v>
      </c>
      <c r="F1360" t="s">
        <v>53</v>
      </c>
      <c r="L1360" t="s">
        <v>315</v>
      </c>
    </row>
    <row r="1361" spans="1:12" x14ac:dyDescent="0.3">
      <c r="A1361" t="s">
        <v>4754</v>
      </c>
      <c r="B1361">
        <v>2127</v>
      </c>
      <c r="C1361" t="s">
        <v>4755</v>
      </c>
      <c r="D1361" t="s">
        <v>4756</v>
      </c>
      <c r="E1361" t="s">
        <v>4757</v>
      </c>
    </row>
    <row r="1362" spans="1:12" x14ac:dyDescent="0.3">
      <c r="A1362" t="s">
        <v>4758</v>
      </c>
      <c r="B1362">
        <v>833</v>
      </c>
      <c r="C1362" t="s">
        <v>4759</v>
      </c>
      <c r="E1362" t="s">
        <v>4760</v>
      </c>
      <c r="F1362" t="s">
        <v>71</v>
      </c>
      <c r="L1362" t="s">
        <v>16</v>
      </c>
    </row>
    <row r="1363" spans="1:12" x14ac:dyDescent="0.3">
      <c r="A1363" t="s">
        <v>4761</v>
      </c>
      <c r="B1363">
        <v>1953</v>
      </c>
      <c r="C1363" t="s">
        <v>4762</v>
      </c>
      <c r="D1363" t="s">
        <v>4763</v>
      </c>
      <c r="E1363" t="s">
        <v>4764</v>
      </c>
    </row>
    <row r="1364" spans="1:12" x14ac:dyDescent="0.3">
      <c r="A1364" t="s">
        <v>4765</v>
      </c>
      <c r="B1364">
        <v>514</v>
      </c>
      <c r="C1364" t="s">
        <v>4766</v>
      </c>
      <c r="E1364" t="s">
        <v>4767</v>
      </c>
      <c r="F1364" t="s">
        <v>36</v>
      </c>
      <c r="G1364" s="18">
        <v>45705.958333333336</v>
      </c>
      <c r="L1364" t="s">
        <v>37</v>
      </c>
    </row>
    <row r="1365" spans="1:12" x14ac:dyDescent="0.3">
      <c r="A1365" t="s">
        <v>4768</v>
      </c>
      <c r="B1365">
        <v>1893</v>
      </c>
      <c r="C1365" t="s">
        <v>4769</v>
      </c>
      <c r="D1365" t="s">
        <v>4770</v>
      </c>
      <c r="E1365" t="s">
        <v>4771</v>
      </c>
    </row>
    <row r="1366" spans="1:12" x14ac:dyDescent="0.3">
      <c r="A1366" t="s">
        <v>4772</v>
      </c>
      <c r="B1366">
        <v>1369</v>
      </c>
      <c r="C1366" t="s">
        <v>4773</v>
      </c>
      <c r="E1366" t="s">
        <v>4774</v>
      </c>
      <c r="F1366" t="s">
        <v>170</v>
      </c>
      <c r="G1366" s="18">
        <v>45447.916666666664</v>
      </c>
      <c r="K1366" s="18">
        <v>45705.958333333336</v>
      </c>
      <c r="L1366" t="s">
        <v>16</v>
      </c>
    </row>
    <row r="1367" spans="1:12" x14ac:dyDescent="0.3">
      <c r="A1367" t="s">
        <v>4775</v>
      </c>
      <c r="B1367">
        <v>879</v>
      </c>
      <c r="C1367" t="s">
        <v>4776</v>
      </c>
      <c r="E1367" t="s">
        <v>4777</v>
      </c>
      <c r="F1367" t="s">
        <v>49</v>
      </c>
      <c r="L1367" t="s">
        <v>16</v>
      </c>
    </row>
    <row r="1368" spans="1:12" x14ac:dyDescent="0.3">
      <c r="A1368" t="s">
        <v>4778</v>
      </c>
      <c r="B1368">
        <v>1552</v>
      </c>
      <c r="C1368" t="s">
        <v>4779</v>
      </c>
      <c r="E1368" t="s">
        <v>4780</v>
      </c>
      <c r="F1368" t="s">
        <v>53</v>
      </c>
      <c r="K1368" s="18">
        <v>45700.958333333336</v>
      </c>
      <c r="L1368" t="s">
        <v>37</v>
      </c>
    </row>
    <row r="1369" spans="1:12" x14ac:dyDescent="0.3">
      <c r="A1369" t="s">
        <v>4781</v>
      </c>
      <c r="B1369">
        <v>2032</v>
      </c>
      <c r="C1369" t="s">
        <v>4782</v>
      </c>
      <c r="D1369" t="s">
        <v>4783</v>
      </c>
      <c r="E1369" t="s">
        <v>4784</v>
      </c>
    </row>
    <row r="1370" spans="1:12" x14ac:dyDescent="0.3">
      <c r="A1370" t="s">
        <v>4785</v>
      </c>
      <c r="B1370">
        <v>1089</v>
      </c>
      <c r="C1370" t="s">
        <v>4786</v>
      </c>
      <c r="D1370" t="s">
        <v>4787</v>
      </c>
      <c r="E1370" t="s">
        <v>4788</v>
      </c>
      <c r="F1370" t="s">
        <v>53</v>
      </c>
      <c r="L1370" t="s">
        <v>21</v>
      </c>
    </row>
    <row r="1371" spans="1:12" x14ac:dyDescent="0.3">
      <c r="A1371" t="s">
        <v>4789</v>
      </c>
      <c r="B1371">
        <v>1873</v>
      </c>
      <c r="C1371" t="s">
        <v>4790</v>
      </c>
      <c r="D1371" t="s">
        <v>4791</v>
      </c>
      <c r="E1371" t="s">
        <v>4792</v>
      </c>
    </row>
    <row r="1372" spans="1:12" x14ac:dyDescent="0.3">
      <c r="A1372" t="s">
        <v>4793</v>
      </c>
      <c r="B1372">
        <v>1106</v>
      </c>
      <c r="C1372" t="s">
        <v>4794</v>
      </c>
      <c r="E1372" t="s">
        <v>4795</v>
      </c>
      <c r="F1372" t="s">
        <v>49</v>
      </c>
      <c r="L1372" t="s">
        <v>21</v>
      </c>
    </row>
    <row r="1373" spans="1:12" x14ac:dyDescent="0.3">
      <c r="A1373" t="s">
        <v>4796</v>
      </c>
      <c r="B1373">
        <v>95</v>
      </c>
      <c r="C1373" t="s">
        <v>4797</v>
      </c>
      <c r="D1373" t="s">
        <v>4798</v>
      </c>
      <c r="E1373" t="s">
        <v>4799</v>
      </c>
      <c r="F1373" t="s">
        <v>41</v>
      </c>
      <c r="G1373" s="18">
        <v>45443.916666666664</v>
      </c>
      <c r="L1373" t="s">
        <v>16</v>
      </c>
    </row>
    <row r="1374" spans="1:12" x14ac:dyDescent="0.3">
      <c r="A1374" t="s">
        <v>4800</v>
      </c>
      <c r="B1374">
        <v>655</v>
      </c>
      <c r="C1374" t="s">
        <v>4801</v>
      </c>
      <c r="E1374" t="s">
        <v>4802</v>
      </c>
      <c r="F1374" t="s">
        <v>15</v>
      </c>
      <c r="L1374" t="s">
        <v>21</v>
      </c>
    </row>
    <row r="1375" spans="1:12" x14ac:dyDescent="0.3">
      <c r="A1375" t="s">
        <v>4803</v>
      </c>
      <c r="B1375">
        <v>1048</v>
      </c>
      <c r="C1375" t="s">
        <v>4804</v>
      </c>
      <c r="E1375" t="s">
        <v>4805</v>
      </c>
      <c r="F1375" t="s">
        <v>71</v>
      </c>
      <c r="L1375" t="s">
        <v>21</v>
      </c>
    </row>
    <row r="1376" spans="1:12" x14ac:dyDescent="0.3">
      <c r="A1376" t="s">
        <v>4806</v>
      </c>
      <c r="B1376">
        <v>2099</v>
      </c>
      <c r="C1376" t="s">
        <v>4807</v>
      </c>
      <c r="D1376" t="s">
        <v>4808</v>
      </c>
      <c r="E1376" t="s">
        <v>4809</v>
      </c>
    </row>
    <row r="1377" spans="1:12" x14ac:dyDescent="0.3">
      <c r="A1377" t="s">
        <v>4810</v>
      </c>
      <c r="B1377">
        <v>1336</v>
      </c>
      <c r="C1377" t="s">
        <v>4811</v>
      </c>
      <c r="E1377" t="s">
        <v>4812</v>
      </c>
      <c r="F1377" t="s">
        <v>15</v>
      </c>
      <c r="G1377" s="18">
        <v>45705.958333333336</v>
      </c>
      <c r="L1377" t="s">
        <v>16</v>
      </c>
    </row>
    <row r="1378" spans="1:12" x14ac:dyDescent="0.3">
      <c r="A1378" t="s">
        <v>4813</v>
      </c>
      <c r="B1378">
        <v>319</v>
      </c>
      <c r="C1378" t="s">
        <v>4814</v>
      </c>
      <c r="D1378" t="s">
        <v>4815</v>
      </c>
      <c r="E1378" t="s">
        <v>4816</v>
      </c>
      <c r="F1378" t="s">
        <v>41</v>
      </c>
      <c r="G1378" s="18">
        <v>45761.916666666664</v>
      </c>
      <c r="L1378" t="s">
        <v>21</v>
      </c>
    </row>
    <row r="1379" spans="1:12" x14ac:dyDescent="0.3">
      <c r="A1379" t="s">
        <v>4817</v>
      </c>
      <c r="B1379">
        <v>289</v>
      </c>
      <c r="C1379" t="s">
        <v>4818</v>
      </c>
      <c r="E1379" t="s">
        <v>4819</v>
      </c>
      <c r="F1379" t="s">
        <v>41</v>
      </c>
      <c r="G1379" s="18">
        <v>45761.916666666664</v>
      </c>
      <c r="L1379" t="s">
        <v>21</v>
      </c>
    </row>
    <row r="1380" spans="1:12" x14ac:dyDescent="0.3">
      <c r="A1380" t="s">
        <v>4820</v>
      </c>
      <c r="B1380">
        <v>1767</v>
      </c>
      <c r="C1380" t="s">
        <v>4821</v>
      </c>
      <c r="D1380" t="s">
        <v>4822</v>
      </c>
      <c r="E1380" t="s">
        <v>4823</v>
      </c>
      <c r="F1380" t="s">
        <v>53</v>
      </c>
      <c r="L1380" t="s">
        <v>88</v>
      </c>
    </row>
    <row r="1381" spans="1:12" x14ac:dyDescent="0.3">
      <c r="A1381" t="s">
        <v>4824</v>
      </c>
      <c r="B1381">
        <v>1207</v>
      </c>
      <c r="C1381" t="s">
        <v>4825</v>
      </c>
      <c r="E1381" t="s">
        <v>4826</v>
      </c>
      <c r="F1381" t="s">
        <v>170</v>
      </c>
      <c r="L1381" t="s">
        <v>21</v>
      </c>
    </row>
    <row r="1382" spans="1:12" x14ac:dyDescent="0.3">
      <c r="A1382" t="s">
        <v>4827</v>
      </c>
      <c r="B1382">
        <v>2116</v>
      </c>
      <c r="C1382" t="s">
        <v>4828</v>
      </c>
      <c r="D1382" t="s">
        <v>4829</v>
      </c>
      <c r="E1382" t="s">
        <v>4830</v>
      </c>
    </row>
    <row r="1383" spans="1:12" x14ac:dyDescent="0.3">
      <c r="A1383" t="s">
        <v>4831</v>
      </c>
      <c r="B1383">
        <v>1987</v>
      </c>
      <c r="C1383" t="s">
        <v>4832</v>
      </c>
      <c r="E1383" t="s">
        <v>4833</v>
      </c>
    </row>
    <row r="1384" spans="1:12" x14ac:dyDescent="0.3">
      <c r="A1384" t="s">
        <v>4834</v>
      </c>
      <c r="B1384">
        <v>1737</v>
      </c>
      <c r="C1384" t="s">
        <v>4835</v>
      </c>
      <c r="D1384" t="s">
        <v>4836</v>
      </c>
      <c r="E1384" t="s">
        <v>4837</v>
      </c>
      <c r="F1384" t="s">
        <v>53</v>
      </c>
    </row>
    <row r="1385" spans="1:12" x14ac:dyDescent="0.3">
      <c r="A1385" t="s">
        <v>4838</v>
      </c>
      <c r="B1385">
        <v>118</v>
      </c>
      <c r="C1385" t="s">
        <v>4839</v>
      </c>
      <c r="E1385" t="s">
        <v>4840</v>
      </c>
      <c r="F1385" t="s">
        <v>41</v>
      </c>
      <c r="G1385" s="18">
        <v>45761.916666666664</v>
      </c>
      <c r="L1385" t="s">
        <v>16</v>
      </c>
    </row>
    <row r="1386" spans="1:12" x14ac:dyDescent="0.3">
      <c r="A1386" t="s">
        <v>4841</v>
      </c>
      <c r="B1386">
        <v>2112</v>
      </c>
      <c r="C1386" t="s">
        <v>4842</v>
      </c>
      <c r="D1386" t="s">
        <v>4843</v>
      </c>
      <c r="E1386" t="s">
        <v>4844</v>
      </c>
    </row>
    <row r="1387" spans="1:12" x14ac:dyDescent="0.3">
      <c r="A1387" t="s">
        <v>4845</v>
      </c>
      <c r="B1387">
        <v>542</v>
      </c>
      <c r="C1387" t="s">
        <v>4846</v>
      </c>
      <c r="D1387" t="s">
        <v>4847</v>
      </c>
      <c r="E1387" t="s">
        <v>4848</v>
      </c>
      <c r="F1387" t="s">
        <v>41</v>
      </c>
      <c r="G1387" s="18">
        <v>45761.916666666664</v>
      </c>
      <c r="L1387" t="s">
        <v>16</v>
      </c>
    </row>
    <row r="1388" spans="1:12" x14ac:dyDescent="0.3">
      <c r="A1388" t="s">
        <v>4849</v>
      </c>
      <c r="B1388">
        <v>1705</v>
      </c>
      <c r="C1388" t="s">
        <v>4850</v>
      </c>
      <c r="D1388" t="s">
        <v>4851</v>
      </c>
      <c r="E1388" t="s">
        <v>4852</v>
      </c>
      <c r="F1388" t="s">
        <v>53</v>
      </c>
      <c r="L1388" t="s">
        <v>230</v>
      </c>
    </row>
    <row r="1389" spans="1:12" x14ac:dyDescent="0.3">
      <c r="A1389" t="s">
        <v>4853</v>
      </c>
      <c r="B1389">
        <v>498</v>
      </c>
      <c r="C1389" t="s">
        <v>4854</v>
      </c>
      <c r="D1389" t="s">
        <v>4855</v>
      </c>
      <c r="E1389" t="s">
        <v>4856</v>
      </c>
      <c r="F1389" t="s">
        <v>53</v>
      </c>
      <c r="L1389" t="s">
        <v>16</v>
      </c>
    </row>
    <row r="1390" spans="1:12" x14ac:dyDescent="0.3">
      <c r="A1390" t="s">
        <v>4857</v>
      </c>
      <c r="B1390">
        <v>852</v>
      </c>
      <c r="C1390" t="s">
        <v>4858</v>
      </c>
      <c r="E1390" t="s">
        <v>4859</v>
      </c>
      <c r="F1390" t="s">
        <v>15</v>
      </c>
      <c r="G1390" s="18">
        <v>45604.958333333336</v>
      </c>
      <c r="K1390" s="18">
        <v>45617.958333333336</v>
      </c>
      <c r="L1390" t="s">
        <v>16</v>
      </c>
    </row>
    <row r="1391" spans="1:12" x14ac:dyDescent="0.3">
      <c r="A1391" t="s">
        <v>4860</v>
      </c>
      <c r="B1391">
        <v>1170</v>
      </c>
      <c r="C1391" t="s">
        <v>4861</v>
      </c>
      <c r="E1391" t="s">
        <v>4862</v>
      </c>
      <c r="F1391" t="s">
        <v>15</v>
      </c>
      <c r="K1391" s="18">
        <v>45799.916666666664</v>
      </c>
      <c r="L1391" t="s">
        <v>16</v>
      </c>
    </row>
    <row r="1392" spans="1:12" x14ac:dyDescent="0.3">
      <c r="A1392" t="s">
        <v>4863</v>
      </c>
      <c r="B1392">
        <v>46</v>
      </c>
      <c r="C1392" t="s">
        <v>4864</v>
      </c>
      <c r="D1392" t="s">
        <v>4865</v>
      </c>
      <c r="E1392" t="s">
        <v>4866</v>
      </c>
      <c r="F1392" t="s">
        <v>41</v>
      </c>
      <c r="G1392" s="18">
        <v>45761.916666666664</v>
      </c>
      <c r="L1392" t="s">
        <v>315</v>
      </c>
    </row>
    <row r="1393" spans="1:12" x14ac:dyDescent="0.3">
      <c r="A1393" t="s">
        <v>4867</v>
      </c>
      <c r="B1393">
        <v>837</v>
      </c>
      <c r="C1393" t="s">
        <v>4868</v>
      </c>
      <c r="E1393" t="s">
        <v>4869</v>
      </c>
      <c r="F1393" t="s">
        <v>170</v>
      </c>
      <c r="K1393" s="18">
        <v>45632.958333333336</v>
      </c>
      <c r="L1393" t="s">
        <v>16</v>
      </c>
    </row>
    <row r="1394" spans="1:12" x14ac:dyDescent="0.3">
      <c r="A1394" t="s">
        <v>4870</v>
      </c>
      <c r="B1394">
        <v>1191</v>
      </c>
      <c r="C1394" t="s">
        <v>4871</v>
      </c>
      <c r="D1394" t="s">
        <v>4872</v>
      </c>
      <c r="E1394" t="s">
        <v>4873</v>
      </c>
      <c r="F1394" t="s">
        <v>15</v>
      </c>
      <c r="G1394" s="18">
        <v>45784.916666666664</v>
      </c>
      <c r="K1394" s="18">
        <v>45792.916666666664</v>
      </c>
      <c r="L1394" t="s">
        <v>16</v>
      </c>
    </row>
    <row r="1395" spans="1:12" x14ac:dyDescent="0.3">
      <c r="A1395" t="s">
        <v>4874</v>
      </c>
      <c r="B1395">
        <v>99</v>
      </c>
      <c r="C1395" t="s">
        <v>4875</v>
      </c>
      <c r="D1395" t="s">
        <v>4876</v>
      </c>
      <c r="E1395" t="s">
        <v>4877</v>
      </c>
      <c r="F1395" t="s">
        <v>53</v>
      </c>
      <c r="L1395" t="s">
        <v>16</v>
      </c>
    </row>
    <row r="1396" spans="1:12" x14ac:dyDescent="0.3">
      <c r="A1396" t="s">
        <v>4878</v>
      </c>
      <c r="B1396">
        <v>1846</v>
      </c>
      <c r="C1396" t="s">
        <v>4879</v>
      </c>
      <c r="D1396" t="s">
        <v>4880</v>
      </c>
      <c r="E1396" t="s">
        <v>4881</v>
      </c>
    </row>
    <row r="1397" spans="1:12" x14ac:dyDescent="0.3">
      <c r="A1397" t="s">
        <v>4882</v>
      </c>
      <c r="B1397">
        <v>2011</v>
      </c>
      <c r="C1397" t="s">
        <v>4883</v>
      </c>
      <c r="E1397" t="s">
        <v>4884</v>
      </c>
    </row>
    <row r="1398" spans="1:12" x14ac:dyDescent="0.3">
      <c r="A1398" t="s">
        <v>4885</v>
      </c>
      <c r="B1398">
        <v>374</v>
      </c>
      <c r="C1398" t="s">
        <v>4886</v>
      </c>
      <c r="D1398" t="s">
        <v>4887</v>
      </c>
      <c r="E1398" t="s">
        <v>4888</v>
      </c>
      <c r="F1398" t="s">
        <v>41</v>
      </c>
      <c r="G1398" s="18">
        <v>45761.916666666664</v>
      </c>
      <c r="L1398" t="s">
        <v>16</v>
      </c>
    </row>
    <row r="1399" spans="1:12" x14ac:dyDescent="0.3">
      <c r="A1399" t="s">
        <v>4889</v>
      </c>
      <c r="B1399">
        <v>857</v>
      </c>
      <c r="C1399" t="s">
        <v>4890</v>
      </c>
      <c r="E1399" t="s">
        <v>4891</v>
      </c>
      <c r="F1399" t="s">
        <v>15</v>
      </c>
      <c r="L1399" t="s">
        <v>16</v>
      </c>
    </row>
    <row r="1400" spans="1:12" x14ac:dyDescent="0.3">
      <c r="A1400" t="s">
        <v>4892</v>
      </c>
      <c r="B1400">
        <v>992</v>
      </c>
      <c r="C1400" t="s">
        <v>4893</v>
      </c>
      <c r="E1400" t="s">
        <v>4894</v>
      </c>
      <c r="F1400" t="s">
        <v>170</v>
      </c>
      <c r="L1400" t="s">
        <v>21</v>
      </c>
    </row>
    <row r="1401" spans="1:12" x14ac:dyDescent="0.3">
      <c r="A1401" t="s">
        <v>4895</v>
      </c>
      <c r="B1401">
        <v>1881</v>
      </c>
      <c r="C1401" t="s">
        <v>4896</v>
      </c>
      <c r="D1401" t="s">
        <v>4897</v>
      </c>
      <c r="E1401" t="s">
        <v>4898</v>
      </c>
    </row>
    <row r="1402" spans="1:12" x14ac:dyDescent="0.3">
      <c r="A1402" t="s">
        <v>4899</v>
      </c>
      <c r="B1402">
        <v>1391</v>
      </c>
      <c r="C1402" t="s">
        <v>4900</v>
      </c>
      <c r="E1402" t="s">
        <v>4901</v>
      </c>
      <c r="F1402" t="s">
        <v>15</v>
      </c>
      <c r="G1402" s="18">
        <v>45292.958333333336</v>
      </c>
      <c r="H1402" s="18">
        <v>45293.958333333336</v>
      </c>
      <c r="L1402" t="s">
        <v>16</v>
      </c>
    </row>
    <row r="1403" spans="1:12" x14ac:dyDescent="0.3">
      <c r="A1403" t="s">
        <v>4902</v>
      </c>
      <c r="B1403">
        <v>2014</v>
      </c>
      <c r="C1403" t="s">
        <v>4903</v>
      </c>
      <c r="D1403" t="s">
        <v>4904</v>
      </c>
      <c r="E1403" t="s">
        <v>4905</v>
      </c>
    </row>
    <row r="1404" spans="1:12" x14ac:dyDescent="0.3">
      <c r="A1404" t="s">
        <v>4906</v>
      </c>
      <c r="B1404">
        <v>1229</v>
      </c>
      <c r="C1404" t="s">
        <v>4907</v>
      </c>
      <c r="D1404" t="s">
        <v>4908</v>
      </c>
      <c r="E1404" t="s">
        <v>4909</v>
      </c>
      <c r="F1404" t="s">
        <v>53</v>
      </c>
      <c r="K1404" s="18">
        <v>45575.916666666664</v>
      </c>
      <c r="L1404" t="s">
        <v>88</v>
      </c>
    </row>
    <row r="1405" spans="1:12" x14ac:dyDescent="0.3">
      <c r="A1405" t="s">
        <v>4910</v>
      </c>
      <c r="B1405">
        <v>829</v>
      </c>
      <c r="C1405" t="s">
        <v>4911</v>
      </c>
      <c r="E1405" t="s">
        <v>4912</v>
      </c>
      <c r="F1405" t="s">
        <v>15</v>
      </c>
      <c r="G1405" s="18">
        <v>45480.916666666664</v>
      </c>
      <c r="H1405" s="18">
        <v>45527.916666666664</v>
      </c>
      <c r="K1405" s="18">
        <v>45527.916666666664</v>
      </c>
      <c r="L1405" t="s">
        <v>16</v>
      </c>
    </row>
    <row r="1406" spans="1:12" x14ac:dyDescent="0.3">
      <c r="A1406" t="s">
        <v>4913</v>
      </c>
      <c r="B1406">
        <v>1081</v>
      </c>
      <c r="C1406" t="s">
        <v>4914</v>
      </c>
      <c r="D1406" t="s">
        <v>4915</v>
      </c>
      <c r="E1406" t="s">
        <v>4916</v>
      </c>
      <c r="F1406" t="s">
        <v>53</v>
      </c>
      <c r="L1406" t="s">
        <v>315</v>
      </c>
    </row>
    <row r="1407" spans="1:12" x14ac:dyDescent="0.3">
      <c r="A1407" t="s">
        <v>4917</v>
      </c>
      <c r="B1407">
        <v>1553</v>
      </c>
      <c r="C1407" t="s">
        <v>4918</v>
      </c>
      <c r="E1407" t="s">
        <v>4919</v>
      </c>
      <c r="F1407" t="s">
        <v>53</v>
      </c>
      <c r="L1407" t="s">
        <v>37</v>
      </c>
    </row>
    <row r="1408" spans="1:12" x14ac:dyDescent="0.3">
      <c r="A1408" t="s">
        <v>4920</v>
      </c>
      <c r="B1408">
        <v>1142</v>
      </c>
      <c r="C1408" t="s">
        <v>4921</v>
      </c>
      <c r="E1408" t="s">
        <v>4922</v>
      </c>
      <c r="F1408" t="s">
        <v>15</v>
      </c>
      <c r="G1408" s="18">
        <v>45441.916666666664</v>
      </c>
      <c r="H1408" s="18">
        <v>45561.916666666664</v>
      </c>
      <c r="K1408" s="18">
        <v>45561.916666666664</v>
      </c>
      <c r="L1408" t="s">
        <v>16</v>
      </c>
    </row>
    <row r="1409" spans="1:12" x14ac:dyDescent="0.3">
      <c r="A1409" t="s">
        <v>4923</v>
      </c>
      <c r="B1409">
        <v>838</v>
      </c>
      <c r="C1409" t="s">
        <v>4924</v>
      </c>
      <c r="D1409" t="s">
        <v>4925</v>
      </c>
      <c r="E1409" t="s">
        <v>4926</v>
      </c>
      <c r="F1409" t="s">
        <v>53</v>
      </c>
      <c r="G1409" s="18">
        <v>45480.916666666664</v>
      </c>
      <c r="K1409" s="18">
        <v>45552.916666666664</v>
      </c>
      <c r="L1409" t="s">
        <v>16</v>
      </c>
    </row>
    <row r="1410" spans="1:12" x14ac:dyDescent="0.3">
      <c r="A1410" t="s">
        <v>4927</v>
      </c>
      <c r="B1410">
        <v>1141</v>
      </c>
      <c r="C1410" t="s">
        <v>4928</v>
      </c>
      <c r="E1410" t="s">
        <v>4929</v>
      </c>
      <c r="F1410" t="s">
        <v>15</v>
      </c>
      <c r="G1410" s="18">
        <v>45454.916666666664</v>
      </c>
      <c r="H1410" s="18">
        <v>45561.916666666664</v>
      </c>
      <c r="K1410" s="18">
        <v>45561.916666666664</v>
      </c>
      <c r="L1410" t="s">
        <v>16</v>
      </c>
    </row>
    <row r="1411" spans="1:12" x14ac:dyDescent="0.3">
      <c r="A1411" t="s">
        <v>4930</v>
      </c>
      <c r="B1411">
        <v>1269</v>
      </c>
      <c r="C1411" t="s">
        <v>4931</v>
      </c>
      <c r="D1411" t="s">
        <v>4932</v>
      </c>
      <c r="E1411" t="s">
        <v>4933</v>
      </c>
      <c r="F1411" t="s">
        <v>53</v>
      </c>
      <c r="L1411" t="s">
        <v>16</v>
      </c>
    </row>
    <row r="1412" spans="1:12" x14ac:dyDescent="0.3">
      <c r="A1412" t="s">
        <v>4934</v>
      </c>
      <c r="B1412">
        <v>774</v>
      </c>
      <c r="C1412" t="s">
        <v>4935</v>
      </c>
      <c r="E1412" t="s">
        <v>4936</v>
      </c>
      <c r="F1412" t="s">
        <v>15</v>
      </c>
      <c r="K1412" s="18">
        <v>45607.958333333336</v>
      </c>
      <c r="L1412" t="s">
        <v>16</v>
      </c>
    </row>
    <row r="1413" spans="1:12" x14ac:dyDescent="0.3">
      <c r="A1413" t="s">
        <v>4937</v>
      </c>
      <c r="B1413">
        <v>1919</v>
      </c>
      <c r="C1413" t="s">
        <v>4938</v>
      </c>
      <c r="D1413" t="s">
        <v>4939</v>
      </c>
      <c r="E1413" t="s">
        <v>4940</v>
      </c>
    </row>
    <row r="1414" spans="1:12" x14ac:dyDescent="0.3">
      <c r="A1414" t="s">
        <v>4941</v>
      </c>
      <c r="B1414">
        <v>1247</v>
      </c>
      <c r="C1414" t="s">
        <v>4942</v>
      </c>
      <c r="E1414" t="s">
        <v>4943</v>
      </c>
      <c r="F1414" t="s">
        <v>71</v>
      </c>
      <c r="L1414" t="s">
        <v>21</v>
      </c>
    </row>
    <row r="1415" spans="1:12" x14ac:dyDescent="0.3">
      <c r="A1415" t="s">
        <v>4944</v>
      </c>
      <c r="B1415">
        <v>684</v>
      </c>
      <c r="C1415" t="s">
        <v>4945</v>
      </c>
      <c r="D1415" t="s">
        <v>4946</v>
      </c>
      <c r="E1415" t="s">
        <v>4947</v>
      </c>
      <c r="F1415" t="s">
        <v>15</v>
      </c>
      <c r="G1415" s="18">
        <v>45721.958333333336</v>
      </c>
      <c r="K1415" s="18">
        <v>45791.916666666664</v>
      </c>
      <c r="L1415" t="s">
        <v>21</v>
      </c>
    </row>
    <row r="1416" spans="1:12" x14ac:dyDescent="0.3">
      <c r="A1416" t="s">
        <v>4948</v>
      </c>
      <c r="B1416">
        <v>549</v>
      </c>
      <c r="C1416" t="s">
        <v>4949</v>
      </c>
      <c r="D1416" t="s">
        <v>4950</v>
      </c>
      <c r="E1416" t="s">
        <v>4951</v>
      </c>
      <c r="F1416" t="s">
        <v>41</v>
      </c>
      <c r="G1416" s="18">
        <v>45761.916666666664</v>
      </c>
      <c r="L1416" t="s">
        <v>16</v>
      </c>
    </row>
    <row r="1417" spans="1:12" x14ac:dyDescent="0.3">
      <c r="A1417" t="s">
        <v>4952</v>
      </c>
      <c r="B1417">
        <v>1385</v>
      </c>
      <c r="C1417" t="s">
        <v>4953</v>
      </c>
      <c r="E1417" t="s">
        <v>4954</v>
      </c>
      <c r="F1417" t="s">
        <v>170</v>
      </c>
      <c r="K1417" s="18">
        <v>45600.958333333336</v>
      </c>
      <c r="L1417" t="s">
        <v>21</v>
      </c>
    </row>
    <row r="1418" spans="1:12" x14ac:dyDescent="0.3">
      <c r="A1418" t="s">
        <v>4955</v>
      </c>
      <c r="B1418">
        <v>258</v>
      </c>
      <c r="C1418" t="s">
        <v>4956</v>
      </c>
      <c r="D1418" t="s">
        <v>4957</v>
      </c>
      <c r="E1418" t="s">
        <v>4958</v>
      </c>
      <c r="F1418" t="s">
        <v>57</v>
      </c>
      <c r="L1418" t="s">
        <v>21</v>
      </c>
    </row>
    <row r="1419" spans="1:12" x14ac:dyDescent="0.3">
      <c r="A1419" t="s">
        <v>4959</v>
      </c>
      <c r="B1419">
        <v>1122</v>
      </c>
      <c r="C1419" t="s">
        <v>4960</v>
      </c>
      <c r="E1419" t="s">
        <v>4961</v>
      </c>
      <c r="F1419" t="s">
        <v>71</v>
      </c>
      <c r="L1419" t="s">
        <v>16</v>
      </c>
    </row>
    <row r="1420" spans="1:12" x14ac:dyDescent="0.3">
      <c r="A1420" t="s">
        <v>4962</v>
      </c>
      <c r="B1420">
        <v>1862</v>
      </c>
      <c r="C1420" t="s">
        <v>4963</v>
      </c>
      <c r="D1420" t="s">
        <v>4964</v>
      </c>
      <c r="E1420" t="s">
        <v>4965</v>
      </c>
      <c r="L1420" t="s">
        <v>315</v>
      </c>
    </row>
    <row r="1421" spans="1:12" x14ac:dyDescent="0.3">
      <c r="A1421" t="s">
        <v>4966</v>
      </c>
      <c r="B1421">
        <v>793</v>
      </c>
      <c r="C1421" t="s">
        <v>4967</v>
      </c>
      <c r="E1421" t="s">
        <v>4968</v>
      </c>
      <c r="F1421" t="s">
        <v>49</v>
      </c>
      <c r="G1421" s="18">
        <v>45516.916666666664</v>
      </c>
      <c r="K1421" s="18">
        <v>45655.958333333336</v>
      </c>
      <c r="L1421" t="s">
        <v>16</v>
      </c>
    </row>
    <row r="1422" spans="1:12" x14ac:dyDescent="0.3">
      <c r="A1422" t="s">
        <v>4969</v>
      </c>
      <c r="B1422">
        <v>1042</v>
      </c>
      <c r="C1422" t="s">
        <v>4970</v>
      </c>
      <c r="E1422" t="s">
        <v>4971</v>
      </c>
      <c r="F1422" t="s">
        <v>15</v>
      </c>
      <c r="G1422" s="18">
        <v>45380.958333333336</v>
      </c>
      <c r="H1422" s="18">
        <v>45396.916666666664</v>
      </c>
      <c r="L1422" t="s">
        <v>16</v>
      </c>
    </row>
    <row r="1423" spans="1:12" x14ac:dyDescent="0.3">
      <c r="A1423" t="s">
        <v>4972</v>
      </c>
      <c r="B1423">
        <v>1359</v>
      </c>
      <c r="C1423" t="s">
        <v>4973</v>
      </c>
      <c r="D1423" t="s">
        <v>4974</v>
      </c>
      <c r="E1423" t="s">
        <v>4975</v>
      </c>
      <c r="F1423" t="s">
        <v>15</v>
      </c>
      <c r="G1423" s="18">
        <v>45712.958333333336</v>
      </c>
      <c r="K1423" s="18">
        <v>45729.958333333336</v>
      </c>
      <c r="L1423" t="s">
        <v>16</v>
      </c>
    </row>
    <row r="1424" spans="1:12" x14ac:dyDescent="0.3">
      <c r="A1424" t="s">
        <v>4976</v>
      </c>
      <c r="B1424">
        <v>805</v>
      </c>
      <c r="C1424" t="s">
        <v>4977</v>
      </c>
      <c r="E1424" t="s">
        <v>4978</v>
      </c>
      <c r="F1424" t="s">
        <v>15</v>
      </c>
      <c r="L1424" t="s">
        <v>16</v>
      </c>
    </row>
    <row r="1425" spans="1:12" x14ac:dyDescent="0.3">
      <c r="A1425" t="s">
        <v>4979</v>
      </c>
      <c r="B1425">
        <v>1326</v>
      </c>
      <c r="C1425" t="s">
        <v>4980</v>
      </c>
      <c r="E1425" t="s">
        <v>4981</v>
      </c>
      <c r="F1425" t="s">
        <v>49</v>
      </c>
      <c r="G1425" s="18">
        <v>45705.958333333336</v>
      </c>
      <c r="L1425" t="s">
        <v>16</v>
      </c>
    </row>
    <row r="1426" spans="1:12" x14ac:dyDescent="0.3">
      <c r="A1426" t="s">
        <v>4982</v>
      </c>
      <c r="B1426">
        <v>1745</v>
      </c>
      <c r="C1426" t="s">
        <v>4983</v>
      </c>
      <c r="D1426" t="s">
        <v>4984</v>
      </c>
      <c r="E1426" t="s">
        <v>4985</v>
      </c>
    </row>
    <row r="1427" spans="1:12" x14ac:dyDescent="0.3">
      <c r="A1427" t="s">
        <v>4986</v>
      </c>
      <c r="B1427">
        <v>1123</v>
      </c>
      <c r="C1427" t="s">
        <v>4987</v>
      </c>
      <c r="E1427" t="s">
        <v>4988</v>
      </c>
      <c r="F1427" t="s">
        <v>71</v>
      </c>
    </row>
    <row r="1428" spans="1:12" x14ac:dyDescent="0.3">
      <c r="A1428" t="s">
        <v>4989</v>
      </c>
      <c r="B1428">
        <v>1013</v>
      </c>
      <c r="C1428" t="s">
        <v>4990</v>
      </c>
      <c r="E1428" t="s">
        <v>4991</v>
      </c>
      <c r="F1428" t="s">
        <v>71</v>
      </c>
    </row>
    <row r="1429" spans="1:12" x14ac:dyDescent="0.3">
      <c r="A1429" t="s">
        <v>4992</v>
      </c>
      <c r="B1429">
        <v>965</v>
      </c>
      <c r="C1429" t="s">
        <v>4993</v>
      </c>
      <c r="F1429" t="s">
        <v>71</v>
      </c>
    </row>
    <row r="1430" spans="1:12" x14ac:dyDescent="0.3">
      <c r="A1430" t="s">
        <v>4994</v>
      </c>
      <c r="B1430">
        <v>1554</v>
      </c>
      <c r="C1430" t="s">
        <v>4995</v>
      </c>
      <c r="E1430" t="s">
        <v>4996</v>
      </c>
      <c r="F1430" t="s">
        <v>41</v>
      </c>
      <c r="G1430" s="18">
        <v>45774.916666666664</v>
      </c>
      <c r="K1430" s="18">
        <v>45789.916666666664</v>
      </c>
      <c r="L1430" t="s">
        <v>37</v>
      </c>
    </row>
    <row r="1431" spans="1:12" x14ac:dyDescent="0.3">
      <c r="A1431" t="s">
        <v>4997</v>
      </c>
      <c r="B1431">
        <v>1438</v>
      </c>
      <c r="C1431" t="s">
        <v>4998</v>
      </c>
      <c r="D1431" t="s">
        <v>4999</v>
      </c>
      <c r="E1431" t="s">
        <v>5000</v>
      </c>
      <c r="F1431" t="s">
        <v>53</v>
      </c>
      <c r="L1431" t="s">
        <v>230</v>
      </c>
    </row>
    <row r="1432" spans="1:12" x14ac:dyDescent="0.3">
      <c r="A1432" t="s">
        <v>5001</v>
      </c>
      <c r="B1432">
        <v>819</v>
      </c>
      <c r="C1432" t="s">
        <v>5002</v>
      </c>
      <c r="F1432" t="s">
        <v>71</v>
      </c>
    </row>
    <row r="1433" spans="1:12" x14ac:dyDescent="0.3">
      <c r="A1433" t="s">
        <v>5003</v>
      </c>
      <c r="B1433">
        <v>1928</v>
      </c>
      <c r="C1433" t="s">
        <v>5004</v>
      </c>
      <c r="D1433" t="s">
        <v>5005</v>
      </c>
      <c r="E1433" t="s">
        <v>5006</v>
      </c>
    </row>
    <row r="1434" spans="1:12" x14ac:dyDescent="0.3">
      <c r="A1434" t="s">
        <v>5007</v>
      </c>
      <c r="B1434">
        <v>841</v>
      </c>
      <c r="C1434" t="s">
        <v>5008</v>
      </c>
      <c r="E1434" t="s">
        <v>5009</v>
      </c>
      <c r="F1434" t="s">
        <v>3767</v>
      </c>
      <c r="G1434" s="18">
        <v>45508.916666666664</v>
      </c>
      <c r="K1434" s="18">
        <v>45632.958333333336</v>
      </c>
      <c r="L1434" t="s">
        <v>16</v>
      </c>
    </row>
    <row r="1435" spans="1:12" x14ac:dyDescent="0.3">
      <c r="A1435" t="s">
        <v>5010</v>
      </c>
      <c r="B1435">
        <v>1899</v>
      </c>
      <c r="C1435" t="s">
        <v>5011</v>
      </c>
      <c r="D1435" t="s">
        <v>5012</v>
      </c>
      <c r="E1435" t="s">
        <v>5013</v>
      </c>
    </row>
    <row r="1436" spans="1:12" x14ac:dyDescent="0.3">
      <c r="A1436" t="s">
        <v>5014</v>
      </c>
      <c r="B1436">
        <v>1243</v>
      </c>
      <c r="C1436" t="s">
        <v>5015</v>
      </c>
      <c r="E1436" t="s">
        <v>5016</v>
      </c>
      <c r="F1436" t="s">
        <v>15</v>
      </c>
      <c r="G1436" s="18">
        <v>45525.916666666664</v>
      </c>
      <c r="H1436" s="18">
        <v>45572.916666666664</v>
      </c>
      <c r="K1436" s="18">
        <v>45572.916666666664</v>
      </c>
      <c r="L1436" t="s">
        <v>21</v>
      </c>
    </row>
    <row r="1437" spans="1:12" x14ac:dyDescent="0.3">
      <c r="A1437" t="s">
        <v>5017</v>
      </c>
      <c r="B1437">
        <v>287</v>
      </c>
      <c r="C1437" t="s">
        <v>5018</v>
      </c>
      <c r="E1437" t="s">
        <v>5019</v>
      </c>
      <c r="F1437" t="s">
        <v>41</v>
      </c>
      <c r="G1437" s="18">
        <v>45761.916666666664</v>
      </c>
      <c r="L1437" t="s">
        <v>21</v>
      </c>
    </row>
    <row r="1438" spans="1:12" x14ac:dyDescent="0.3">
      <c r="A1438" t="s">
        <v>5020</v>
      </c>
      <c r="B1438">
        <v>1797</v>
      </c>
      <c r="C1438" t="s">
        <v>5021</v>
      </c>
      <c r="D1438" t="s">
        <v>5022</v>
      </c>
      <c r="E1438" t="s">
        <v>5023</v>
      </c>
      <c r="L1438" t="s">
        <v>315</v>
      </c>
    </row>
    <row r="1439" spans="1:12" x14ac:dyDescent="0.3">
      <c r="A1439" t="s">
        <v>5024</v>
      </c>
      <c r="B1439">
        <v>1555</v>
      </c>
      <c r="C1439" t="s">
        <v>5025</v>
      </c>
      <c r="E1439" t="s">
        <v>5026</v>
      </c>
      <c r="F1439" t="s">
        <v>53</v>
      </c>
      <c r="L1439" t="s">
        <v>37</v>
      </c>
    </row>
    <row r="1440" spans="1:12" x14ac:dyDescent="0.3">
      <c r="A1440" t="s">
        <v>5027</v>
      </c>
      <c r="B1440">
        <v>727</v>
      </c>
      <c r="C1440" t="s">
        <v>5028</v>
      </c>
      <c r="E1440" t="s">
        <v>5029</v>
      </c>
      <c r="F1440" t="s">
        <v>15</v>
      </c>
      <c r="G1440" s="18">
        <v>45097.916666666664</v>
      </c>
      <c r="H1440" s="18">
        <v>45443.916666666664</v>
      </c>
      <c r="L1440" t="s">
        <v>16</v>
      </c>
    </row>
    <row r="1441" spans="1:12" x14ac:dyDescent="0.3">
      <c r="A1441" t="s">
        <v>5030</v>
      </c>
      <c r="B1441">
        <v>1910</v>
      </c>
      <c r="C1441" t="s">
        <v>5031</v>
      </c>
      <c r="D1441" t="s">
        <v>5032</v>
      </c>
      <c r="E1441" t="s">
        <v>5033</v>
      </c>
    </row>
    <row r="1442" spans="1:12" x14ac:dyDescent="0.3">
      <c r="A1442" t="s">
        <v>5034</v>
      </c>
      <c r="B1442">
        <v>1116</v>
      </c>
      <c r="C1442" t="s">
        <v>5035</v>
      </c>
      <c r="E1442" t="s">
        <v>5036</v>
      </c>
      <c r="F1442" t="s">
        <v>71</v>
      </c>
      <c r="L1442" t="s">
        <v>16</v>
      </c>
    </row>
    <row r="1443" spans="1:12" x14ac:dyDescent="0.3">
      <c r="A1443" t="s">
        <v>5037</v>
      </c>
      <c r="B1443">
        <v>704</v>
      </c>
      <c r="C1443" t="s">
        <v>5038</v>
      </c>
      <c r="E1443" t="s">
        <v>5039</v>
      </c>
      <c r="F1443" t="s">
        <v>15</v>
      </c>
      <c r="G1443" s="18">
        <v>45658.958333333336</v>
      </c>
      <c r="H1443" s="18">
        <v>45747.916666666664</v>
      </c>
      <c r="K1443" s="18">
        <v>45743.958333333336</v>
      </c>
      <c r="L1443" t="s">
        <v>21</v>
      </c>
    </row>
    <row r="1444" spans="1:12" x14ac:dyDescent="0.3">
      <c r="A1444" t="s">
        <v>5040</v>
      </c>
      <c r="B1444">
        <v>2117</v>
      </c>
      <c r="C1444" t="s">
        <v>5041</v>
      </c>
      <c r="D1444" t="s">
        <v>5042</v>
      </c>
      <c r="E1444" t="s">
        <v>5043</v>
      </c>
    </row>
    <row r="1445" spans="1:12" x14ac:dyDescent="0.3">
      <c r="A1445" t="s">
        <v>5044</v>
      </c>
      <c r="B1445">
        <v>1339</v>
      </c>
      <c r="C1445" t="s">
        <v>5045</v>
      </c>
      <c r="E1445" t="s">
        <v>5046</v>
      </c>
      <c r="F1445" t="s">
        <v>5047</v>
      </c>
      <c r="G1445" s="18">
        <v>45711.958333333336</v>
      </c>
      <c r="L1445" t="s">
        <v>16</v>
      </c>
    </row>
    <row r="1446" spans="1:12" x14ac:dyDescent="0.3">
      <c r="A1446" t="s">
        <v>5048</v>
      </c>
      <c r="B1446">
        <v>1043</v>
      </c>
      <c r="C1446" t="s">
        <v>5049</v>
      </c>
      <c r="E1446" t="s">
        <v>5050</v>
      </c>
      <c r="F1446" t="s">
        <v>15</v>
      </c>
      <c r="G1446" s="18">
        <v>45380.958333333336</v>
      </c>
      <c r="H1446" s="18">
        <v>45396.916666666664</v>
      </c>
      <c r="L1446" t="s">
        <v>16</v>
      </c>
    </row>
    <row r="1447" spans="1:12" x14ac:dyDescent="0.3">
      <c r="A1447" t="s">
        <v>5051</v>
      </c>
      <c r="B1447">
        <v>1267</v>
      </c>
      <c r="C1447" t="s">
        <v>5052</v>
      </c>
      <c r="E1447" t="s">
        <v>5053</v>
      </c>
      <c r="F1447" t="s">
        <v>41</v>
      </c>
      <c r="G1447" s="18">
        <v>45768.916666666664</v>
      </c>
      <c r="K1447" s="18">
        <v>45763.916666666664</v>
      </c>
      <c r="L1447" t="s">
        <v>21</v>
      </c>
    </row>
    <row r="1448" spans="1:12" x14ac:dyDescent="0.3">
      <c r="A1448" t="s">
        <v>5054</v>
      </c>
      <c r="B1448">
        <v>757</v>
      </c>
      <c r="C1448" t="s">
        <v>5055</v>
      </c>
      <c r="E1448" t="s">
        <v>5056</v>
      </c>
      <c r="F1448" t="s">
        <v>15</v>
      </c>
      <c r="G1448" s="18">
        <v>45028.916666666664</v>
      </c>
      <c r="K1448" s="18">
        <v>45482.916666666664</v>
      </c>
      <c r="L1448" t="s">
        <v>16</v>
      </c>
    </row>
    <row r="1449" spans="1:12" x14ac:dyDescent="0.3">
      <c r="A1449" t="s">
        <v>5057</v>
      </c>
      <c r="B1449">
        <v>1014</v>
      </c>
      <c r="C1449" t="s">
        <v>5058</v>
      </c>
      <c r="E1449" t="s">
        <v>5059</v>
      </c>
      <c r="F1449" t="s">
        <v>71</v>
      </c>
    </row>
    <row r="1450" spans="1:12" x14ac:dyDescent="0.3">
      <c r="A1450" t="s">
        <v>5060</v>
      </c>
      <c r="B1450">
        <v>1044</v>
      </c>
      <c r="C1450" t="s">
        <v>5061</v>
      </c>
      <c r="E1450" t="s">
        <v>5062</v>
      </c>
      <c r="F1450" t="s">
        <v>15</v>
      </c>
      <c r="G1450" s="18">
        <v>45380.958333333336</v>
      </c>
      <c r="H1450" s="18">
        <v>45398.916666666664</v>
      </c>
      <c r="L1450" t="s">
        <v>16</v>
      </c>
    </row>
    <row r="1451" spans="1:12" x14ac:dyDescent="0.3">
      <c r="A1451" t="s">
        <v>5063</v>
      </c>
      <c r="B1451">
        <v>2085</v>
      </c>
      <c r="C1451" t="s">
        <v>5064</v>
      </c>
      <c r="D1451" t="s">
        <v>5065</v>
      </c>
      <c r="E1451" t="s">
        <v>5066</v>
      </c>
      <c r="F1451" t="s">
        <v>41</v>
      </c>
      <c r="G1451" s="18">
        <v>45761.916666666664</v>
      </c>
    </row>
    <row r="1452" spans="1:12" x14ac:dyDescent="0.3">
      <c r="A1452" t="s">
        <v>5067</v>
      </c>
      <c r="B1452">
        <v>373</v>
      </c>
      <c r="C1452" t="s">
        <v>5068</v>
      </c>
      <c r="D1452" t="s">
        <v>5069</v>
      </c>
      <c r="E1452" t="s">
        <v>5070</v>
      </c>
      <c r="F1452" t="s">
        <v>41</v>
      </c>
      <c r="G1452" s="18">
        <v>45806.916666666664</v>
      </c>
      <c r="L1452" t="s">
        <v>315</v>
      </c>
    </row>
    <row r="1453" spans="1:12" x14ac:dyDescent="0.3">
      <c r="A1453" t="s">
        <v>5071</v>
      </c>
      <c r="B1453">
        <v>569</v>
      </c>
      <c r="C1453" t="s">
        <v>5072</v>
      </c>
      <c r="E1453" t="s">
        <v>5073</v>
      </c>
      <c r="F1453" t="s">
        <v>53</v>
      </c>
      <c r="L1453" t="s">
        <v>16</v>
      </c>
    </row>
    <row r="1454" spans="1:12" x14ac:dyDescent="0.3">
      <c r="A1454" t="s">
        <v>5074</v>
      </c>
      <c r="B1454">
        <v>1793</v>
      </c>
      <c r="C1454" t="s">
        <v>5075</v>
      </c>
      <c r="D1454" t="s">
        <v>5076</v>
      </c>
      <c r="E1454" t="s">
        <v>5077</v>
      </c>
      <c r="F1454" t="s">
        <v>53</v>
      </c>
      <c r="L1454" t="s">
        <v>315</v>
      </c>
    </row>
    <row r="1455" spans="1:12" x14ac:dyDescent="0.3">
      <c r="A1455" t="s">
        <v>5078</v>
      </c>
      <c r="B1455">
        <v>950</v>
      </c>
      <c r="C1455" t="s">
        <v>5079</v>
      </c>
      <c r="E1455" t="s">
        <v>5080</v>
      </c>
      <c r="F1455" t="s">
        <v>71</v>
      </c>
    </row>
    <row r="1456" spans="1:12" x14ac:dyDescent="0.3">
      <c r="A1456" t="s">
        <v>5081</v>
      </c>
      <c r="B1456">
        <v>1556</v>
      </c>
      <c r="C1456" t="s">
        <v>5082</v>
      </c>
      <c r="D1456" t="s">
        <v>5083</v>
      </c>
      <c r="E1456" t="s">
        <v>5084</v>
      </c>
      <c r="F1456" t="s">
        <v>53</v>
      </c>
      <c r="L1456" t="s">
        <v>37</v>
      </c>
    </row>
    <row r="1457" spans="1:12" x14ac:dyDescent="0.3">
      <c r="A1457" t="s">
        <v>5085</v>
      </c>
      <c r="B1457">
        <v>217</v>
      </c>
      <c r="C1457" t="s">
        <v>5086</v>
      </c>
      <c r="D1457" t="s">
        <v>5087</v>
      </c>
      <c r="E1457" t="s">
        <v>5088</v>
      </c>
      <c r="F1457" t="s">
        <v>41</v>
      </c>
      <c r="G1457" s="18">
        <v>45781.916666666664</v>
      </c>
      <c r="L1457" t="s">
        <v>225</v>
      </c>
    </row>
    <row r="1458" spans="1:12" x14ac:dyDescent="0.3">
      <c r="A1458" t="s">
        <v>5089</v>
      </c>
      <c r="B1458">
        <v>1265</v>
      </c>
      <c r="C1458" t="s">
        <v>5090</v>
      </c>
      <c r="E1458" t="s">
        <v>5091</v>
      </c>
      <c r="F1458" t="s">
        <v>71</v>
      </c>
      <c r="G1458" s="18">
        <v>45452.916666666664</v>
      </c>
      <c r="L1458" t="s">
        <v>16</v>
      </c>
    </row>
    <row r="1459" spans="1:12" x14ac:dyDescent="0.3">
      <c r="A1459" t="s">
        <v>5092</v>
      </c>
      <c r="B1459">
        <v>121</v>
      </c>
      <c r="C1459" t="s">
        <v>5093</v>
      </c>
      <c r="E1459" t="s">
        <v>5094</v>
      </c>
      <c r="F1459" t="s">
        <v>41</v>
      </c>
      <c r="G1459" s="18">
        <v>45743.958333333336</v>
      </c>
      <c r="L1459" t="s">
        <v>16</v>
      </c>
    </row>
    <row r="1460" spans="1:12" x14ac:dyDescent="0.3">
      <c r="A1460" t="s">
        <v>5095</v>
      </c>
      <c r="B1460">
        <v>667</v>
      </c>
      <c r="C1460" t="s">
        <v>5096</v>
      </c>
      <c r="E1460" t="s">
        <v>5097</v>
      </c>
      <c r="F1460" t="s">
        <v>170</v>
      </c>
      <c r="L1460" t="s">
        <v>16</v>
      </c>
    </row>
    <row r="1461" spans="1:12" x14ac:dyDescent="0.3">
      <c r="A1461" t="s">
        <v>5098</v>
      </c>
      <c r="B1461">
        <v>2035</v>
      </c>
      <c r="C1461" t="s">
        <v>5099</v>
      </c>
      <c r="D1461" t="s">
        <v>5100</v>
      </c>
      <c r="E1461" t="s">
        <v>5101</v>
      </c>
    </row>
    <row r="1462" spans="1:12" x14ac:dyDescent="0.3">
      <c r="A1462" t="s">
        <v>5102</v>
      </c>
      <c r="B1462">
        <v>505</v>
      </c>
      <c r="C1462" t="s">
        <v>5103</v>
      </c>
      <c r="D1462" t="s">
        <v>5104</v>
      </c>
      <c r="E1462" t="s">
        <v>5105</v>
      </c>
      <c r="F1462" t="s">
        <v>41</v>
      </c>
      <c r="G1462" s="18">
        <v>45464.916666666664</v>
      </c>
      <c r="L1462" t="s">
        <v>519</v>
      </c>
    </row>
    <row r="1463" spans="1:12" x14ac:dyDescent="0.3">
      <c r="A1463" t="s">
        <v>5106</v>
      </c>
      <c r="B1463">
        <v>1440</v>
      </c>
      <c r="C1463" t="s">
        <v>5107</v>
      </c>
      <c r="D1463" t="s">
        <v>5108</v>
      </c>
      <c r="E1463" t="s">
        <v>5109</v>
      </c>
      <c r="F1463" t="s">
        <v>53</v>
      </c>
      <c r="L1463" t="s">
        <v>21</v>
      </c>
    </row>
    <row r="1464" spans="1:12" x14ac:dyDescent="0.3">
      <c r="A1464" t="s">
        <v>5110</v>
      </c>
      <c r="B1464">
        <v>1917</v>
      </c>
      <c r="C1464" t="s">
        <v>5111</v>
      </c>
      <c r="D1464" t="s">
        <v>5112</v>
      </c>
      <c r="E1464" t="s">
        <v>5113</v>
      </c>
      <c r="L1464" t="s">
        <v>5114</v>
      </c>
    </row>
    <row r="1465" spans="1:12" x14ac:dyDescent="0.3">
      <c r="A1465" t="s">
        <v>5115</v>
      </c>
      <c r="B1465">
        <v>1836</v>
      </c>
      <c r="C1465" t="s">
        <v>5116</v>
      </c>
      <c r="D1465" t="s">
        <v>5117</v>
      </c>
      <c r="E1465" t="s">
        <v>5118</v>
      </c>
    </row>
    <row r="1466" spans="1:12" x14ac:dyDescent="0.3">
      <c r="A1466" t="s">
        <v>5119</v>
      </c>
      <c r="B1466">
        <v>906</v>
      </c>
      <c r="C1466" t="s">
        <v>5120</v>
      </c>
      <c r="E1466" t="s">
        <v>5121</v>
      </c>
      <c r="F1466" t="s">
        <v>15</v>
      </c>
      <c r="K1466" s="18">
        <v>45528.916666666664</v>
      </c>
      <c r="L1466" t="s">
        <v>16</v>
      </c>
    </row>
    <row r="1467" spans="1:12" x14ac:dyDescent="0.3">
      <c r="A1467" t="s">
        <v>5122</v>
      </c>
      <c r="B1467">
        <v>467</v>
      </c>
      <c r="C1467" t="s">
        <v>5123</v>
      </c>
      <c r="D1467" t="s">
        <v>5124</v>
      </c>
      <c r="E1467" t="s">
        <v>5125</v>
      </c>
      <c r="F1467" t="s">
        <v>53</v>
      </c>
      <c r="L1467" t="s">
        <v>315</v>
      </c>
    </row>
    <row r="1468" spans="1:12" x14ac:dyDescent="0.3">
      <c r="A1468" t="s">
        <v>5126</v>
      </c>
      <c r="B1468">
        <v>2016</v>
      </c>
      <c r="C1468" t="s">
        <v>5127</v>
      </c>
      <c r="D1468" t="s">
        <v>5128</v>
      </c>
      <c r="E1468" t="s">
        <v>5129</v>
      </c>
    </row>
    <row r="1469" spans="1:12" x14ac:dyDescent="0.3">
      <c r="A1469" t="s">
        <v>5130</v>
      </c>
      <c r="B1469">
        <v>471</v>
      </c>
      <c r="C1469" t="s">
        <v>5131</v>
      </c>
      <c r="D1469" t="s">
        <v>5132</v>
      </c>
      <c r="E1469" t="s">
        <v>5133</v>
      </c>
      <c r="F1469" t="s">
        <v>53</v>
      </c>
      <c r="G1469" s="18">
        <v>45800.916666666664</v>
      </c>
      <c r="L1469" t="s">
        <v>88</v>
      </c>
    </row>
    <row r="1470" spans="1:12" x14ac:dyDescent="0.3">
      <c r="A1470" t="s">
        <v>5134</v>
      </c>
      <c r="B1470">
        <v>1102</v>
      </c>
      <c r="C1470" t="s">
        <v>5135</v>
      </c>
      <c r="F1470" t="s">
        <v>71</v>
      </c>
    </row>
    <row r="1471" spans="1:12" x14ac:dyDescent="0.3">
      <c r="A1471" t="s">
        <v>5136</v>
      </c>
      <c r="B1471">
        <v>1327</v>
      </c>
      <c r="C1471" t="s">
        <v>5137</v>
      </c>
      <c r="E1471" t="s">
        <v>5138</v>
      </c>
      <c r="F1471" t="s">
        <v>49</v>
      </c>
      <c r="G1471" s="18">
        <v>45705.958333333336</v>
      </c>
      <c r="L1471" t="s">
        <v>16</v>
      </c>
    </row>
    <row r="1472" spans="1:12" x14ac:dyDescent="0.3">
      <c r="A1472" t="s">
        <v>5139</v>
      </c>
      <c r="B1472">
        <v>1557</v>
      </c>
      <c r="C1472" t="s">
        <v>5140</v>
      </c>
      <c r="E1472" t="s">
        <v>5141</v>
      </c>
      <c r="F1472" t="s">
        <v>53</v>
      </c>
      <c r="L1472" t="s">
        <v>37</v>
      </c>
    </row>
    <row r="1473" spans="1:12" x14ac:dyDescent="0.3">
      <c r="A1473" t="s">
        <v>5142</v>
      </c>
      <c r="B1473">
        <v>1558</v>
      </c>
      <c r="C1473" t="s">
        <v>5143</v>
      </c>
      <c r="E1473" t="s">
        <v>5144</v>
      </c>
      <c r="F1473" t="s">
        <v>53</v>
      </c>
      <c r="L1473" t="s">
        <v>37</v>
      </c>
    </row>
    <row r="1474" spans="1:12" x14ac:dyDescent="0.3">
      <c r="A1474" t="s">
        <v>5145</v>
      </c>
      <c r="B1474">
        <v>1692</v>
      </c>
      <c r="C1474" t="s">
        <v>5146</v>
      </c>
      <c r="D1474" t="s">
        <v>5147</v>
      </c>
      <c r="E1474" t="s">
        <v>5148</v>
      </c>
    </row>
    <row r="1475" spans="1:12" x14ac:dyDescent="0.3">
      <c r="A1475" t="s">
        <v>5149</v>
      </c>
      <c r="B1475">
        <v>1363</v>
      </c>
      <c r="C1475" t="s">
        <v>5150</v>
      </c>
      <c r="E1475" t="s">
        <v>5151</v>
      </c>
      <c r="F1475" t="s">
        <v>15</v>
      </c>
      <c r="G1475" s="18">
        <v>45373.958333333336</v>
      </c>
      <c r="H1475" s="18">
        <v>45418.916666666664</v>
      </c>
      <c r="L1475" t="s">
        <v>16</v>
      </c>
    </row>
    <row r="1476" spans="1:12" x14ac:dyDescent="0.3">
      <c r="A1476" t="s">
        <v>5152</v>
      </c>
      <c r="B1476">
        <v>366</v>
      </c>
      <c r="C1476" t="s">
        <v>5153</v>
      </c>
      <c r="D1476" t="s">
        <v>5154</v>
      </c>
      <c r="E1476" t="s">
        <v>5155</v>
      </c>
      <c r="F1476" t="s">
        <v>53</v>
      </c>
      <c r="L1476" t="s">
        <v>16</v>
      </c>
    </row>
    <row r="1477" spans="1:12" x14ac:dyDescent="0.3">
      <c r="A1477" t="s">
        <v>5156</v>
      </c>
      <c r="B1477">
        <v>1941</v>
      </c>
      <c r="C1477" t="s">
        <v>5157</v>
      </c>
      <c r="D1477" t="s">
        <v>5158</v>
      </c>
      <c r="E1477" t="s">
        <v>5159</v>
      </c>
    </row>
    <row r="1478" spans="1:12" x14ac:dyDescent="0.3">
      <c r="A1478" t="s">
        <v>5160</v>
      </c>
      <c r="B1478">
        <v>1163</v>
      </c>
      <c r="C1478" t="s">
        <v>5161</v>
      </c>
      <c r="F1478" t="s">
        <v>71</v>
      </c>
    </row>
    <row r="1479" spans="1:12" x14ac:dyDescent="0.3">
      <c r="A1479" t="s">
        <v>5162</v>
      </c>
      <c r="B1479">
        <v>521</v>
      </c>
      <c r="C1479" t="s">
        <v>5163</v>
      </c>
      <c r="E1479" t="s">
        <v>5164</v>
      </c>
      <c r="F1479" t="s">
        <v>41</v>
      </c>
      <c r="G1479" s="18">
        <v>45585.916666666664</v>
      </c>
      <c r="L1479" t="s">
        <v>37</v>
      </c>
    </row>
    <row r="1480" spans="1:12" x14ac:dyDescent="0.3">
      <c r="A1480" t="s">
        <v>5165</v>
      </c>
      <c r="B1480">
        <v>246</v>
      </c>
      <c r="C1480" t="s">
        <v>5166</v>
      </c>
      <c r="D1480" t="s">
        <v>5167</v>
      </c>
      <c r="E1480" t="s">
        <v>5168</v>
      </c>
      <c r="F1480" t="s">
        <v>41</v>
      </c>
      <c r="G1480" s="18">
        <v>45743.958333333336</v>
      </c>
      <c r="L1480" t="s">
        <v>315</v>
      </c>
    </row>
    <row r="1481" spans="1:12" x14ac:dyDescent="0.3">
      <c r="A1481" t="s">
        <v>5169</v>
      </c>
      <c r="B1481">
        <v>607</v>
      </c>
      <c r="C1481" t="s">
        <v>5170</v>
      </c>
      <c r="D1481" t="s">
        <v>5171</v>
      </c>
      <c r="E1481" t="s">
        <v>5172</v>
      </c>
      <c r="F1481" t="s">
        <v>41</v>
      </c>
      <c r="G1481" s="18">
        <v>45776.916666666664</v>
      </c>
      <c r="L1481" t="s">
        <v>16</v>
      </c>
    </row>
    <row r="1482" spans="1:12" x14ac:dyDescent="0.3">
      <c r="A1482" t="s">
        <v>5173</v>
      </c>
      <c r="B1482">
        <v>586</v>
      </c>
      <c r="C1482" t="s">
        <v>5174</v>
      </c>
      <c r="E1482" t="s">
        <v>5175</v>
      </c>
      <c r="F1482" t="s">
        <v>36</v>
      </c>
      <c r="G1482" s="18">
        <v>45776.916666666664</v>
      </c>
      <c r="L1482" t="s">
        <v>16</v>
      </c>
    </row>
    <row r="1483" spans="1:12" x14ac:dyDescent="0.3">
      <c r="A1483" t="s">
        <v>5176</v>
      </c>
      <c r="B1483">
        <v>1727</v>
      </c>
      <c r="C1483" t="s">
        <v>5177</v>
      </c>
      <c r="D1483" t="s">
        <v>5178</v>
      </c>
      <c r="E1483" t="s">
        <v>5179</v>
      </c>
      <c r="L1483" t="s">
        <v>315</v>
      </c>
    </row>
    <row r="1484" spans="1:12" x14ac:dyDescent="0.3">
      <c r="A1484" t="s">
        <v>5180</v>
      </c>
      <c r="B1484">
        <v>1338</v>
      </c>
      <c r="C1484" t="s">
        <v>5181</v>
      </c>
      <c r="E1484" t="s">
        <v>5182</v>
      </c>
      <c r="F1484" t="s">
        <v>5047</v>
      </c>
      <c r="G1484" s="18">
        <v>45705.958333333336</v>
      </c>
      <c r="L1484" t="s">
        <v>16</v>
      </c>
    </row>
    <row r="1485" spans="1:12" x14ac:dyDescent="0.3">
      <c r="A1485" t="s">
        <v>5183</v>
      </c>
      <c r="B1485">
        <v>1328</v>
      </c>
      <c r="C1485" t="s">
        <v>5184</v>
      </c>
      <c r="E1485" t="s">
        <v>5185</v>
      </c>
      <c r="F1485" t="s">
        <v>49</v>
      </c>
      <c r="G1485" s="18">
        <v>45705.958333333336</v>
      </c>
      <c r="L1485" t="s">
        <v>16</v>
      </c>
    </row>
    <row r="1486" spans="1:12" x14ac:dyDescent="0.3">
      <c r="A1486" t="s">
        <v>5186</v>
      </c>
      <c r="B1486">
        <v>1638</v>
      </c>
      <c r="C1486" t="s">
        <v>5187</v>
      </c>
      <c r="E1486" t="s">
        <v>5188</v>
      </c>
      <c r="F1486" t="s">
        <v>53</v>
      </c>
      <c r="G1486" s="18">
        <v>45833.916666666664</v>
      </c>
      <c r="L1486" t="s">
        <v>37</v>
      </c>
    </row>
    <row r="1487" spans="1:12" x14ac:dyDescent="0.3">
      <c r="A1487" t="s">
        <v>5189</v>
      </c>
      <c r="B1487">
        <v>1361</v>
      </c>
      <c r="C1487" t="s">
        <v>5190</v>
      </c>
      <c r="E1487" t="s">
        <v>5191</v>
      </c>
      <c r="L1487" t="s">
        <v>16</v>
      </c>
    </row>
    <row r="1488" spans="1:12" x14ac:dyDescent="0.3">
      <c r="A1488" t="s">
        <v>5192</v>
      </c>
      <c r="B1488">
        <v>1100</v>
      </c>
      <c r="C1488" t="s">
        <v>5193</v>
      </c>
      <c r="E1488" t="s">
        <v>5194</v>
      </c>
      <c r="F1488" t="s">
        <v>15</v>
      </c>
      <c r="G1488" s="18">
        <v>45373.958333333336</v>
      </c>
      <c r="H1488" s="18">
        <v>45416.916666666664</v>
      </c>
      <c r="L1488" t="s">
        <v>21</v>
      </c>
    </row>
    <row r="1489" spans="1:12" x14ac:dyDescent="0.3">
      <c r="A1489" t="s">
        <v>5195</v>
      </c>
      <c r="B1489">
        <v>644</v>
      </c>
      <c r="C1489" t="s">
        <v>5196</v>
      </c>
      <c r="E1489" t="s">
        <v>5197</v>
      </c>
      <c r="F1489" t="s">
        <v>53</v>
      </c>
      <c r="L1489" t="s">
        <v>21</v>
      </c>
    </row>
    <row r="1490" spans="1:12" x14ac:dyDescent="0.3">
      <c r="A1490" t="s">
        <v>5198</v>
      </c>
      <c r="B1490">
        <v>945</v>
      </c>
      <c r="C1490" t="s">
        <v>5199</v>
      </c>
      <c r="E1490" t="s">
        <v>5200</v>
      </c>
      <c r="F1490" t="s">
        <v>15</v>
      </c>
      <c r="G1490" s="18">
        <v>45613.958333333336</v>
      </c>
      <c r="H1490" s="18">
        <v>45669.958333333336</v>
      </c>
      <c r="K1490" s="18">
        <v>45669.958333333336</v>
      </c>
      <c r="L1490" t="s">
        <v>16</v>
      </c>
    </row>
    <row r="1491" spans="1:12" x14ac:dyDescent="0.3">
      <c r="A1491" t="s">
        <v>5201</v>
      </c>
      <c r="B1491">
        <v>996</v>
      </c>
      <c r="C1491" t="s">
        <v>5202</v>
      </c>
      <c r="E1491" t="s">
        <v>5203</v>
      </c>
      <c r="F1491" t="s">
        <v>15</v>
      </c>
      <c r="G1491" s="18">
        <v>45380.958333333336</v>
      </c>
      <c r="H1491" s="18">
        <v>45398.916666666664</v>
      </c>
      <c r="L1491" t="s">
        <v>16</v>
      </c>
    </row>
    <row r="1492" spans="1:12" x14ac:dyDescent="0.3">
      <c r="A1492" t="s">
        <v>5204</v>
      </c>
      <c r="B1492">
        <v>575</v>
      </c>
      <c r="C1492" t="s">
        <v>5205</v>
      </c>
      <c r="E1492" t="s">
        <v>5206</v>
      </c>
      <c r="F1492" t="s">
        <v>41</v>
      </c>
      <c r="G1492" s="18">
        <v>45761.916666666664</v>
      </c>
      <c r="L1492" t="s">
        <v>16</v>
      </c>
    </row>
    <row r="1493" spans="1:12" x14ac:dyDescent="0.3">
      <c r="A1493" t="s">
        <v>5207</v>
      </c>
      <c r="B1493">
        <v>207</v>
      </c>
      <c r="C1493" t="s">
        <v>5208</v>
      </c>
      <c r="D1493" t="s">
        <v>5209</v>
      </c>
      <c r="E1493" t="s">
        <v>5210</v>
      </c>
      <c r="F1493" t="s">
        <v>41</v>
      </c>
      <c r="G1493" s="18">
        <v>45761.916666666664</v>
      </c>
      <c r="L1493" t="s">
        <v>21</v>
      </c>
    </row>
    <row r="1494" spans="1:12" x14ac:dyDescent="0.3">
      <c r="A1494" t="s">
        <v>5211</v>
      </c>
      <c r="B1494">
        <v>1734</v>
      </c>
      <c r="C1494" t="s">
        <v>5212</v>
      </c>
      <c r="D1494" t="s">
        <v>5213</v>
      </c>
      <c r="E1494" t="s">
        <v>5214</v>
      </c>
      <c r="L1494" t="s">
        <v>315</v>
      </c>
    </row>
    <row r="1495" spans="1:12" x14ac:dyDescent="0.3">
      <c r="A1495" t="s">
        <v>5215</v>
      </c>
      <c r="B1495">
        <v>1871</v>
      </c>
      <c r="C1495" t="s">
        <v>5216</v>
      </c>
      <c r="D1495" t="s">
        <v>5217</v>
      </c>
      <c r="E1495" t="s">
        <v>5218</v>
      </c>
    </row>
    <row r="1496" spans="1:12" x14ac:dyDescent="0.3">
      <c r="A1496" t="s">
        <v>5219</v>
      </c>
      <c r="B1496">
        <v>147</v>
      </c>
      <c r="C1496" t="s">
        <v>5220</v>
      </c>
      <c r="D1496" t="s">
        <v>5221</v>
      </c>
      <c r="E1496" t="s">
        <v>5222</v>
      </c>
      <c r="F1496" t="s">
        <v>36</v>
      </c>
      <c r="G1496" s="18">
        <v>46026.958333333336</v>
      </c>
      <c r="L1496" t="s">
        <v>1842</v>
      </c>
    </row>
    <row r="1497" spans="1:12" x14ac:dyDescent="0.3">
      <c r="A1497" t="s">
        <v>5223</v>
      </c>
      <c r="B1497">
        <v>2108</v>
      </c>
      <c r="C1497" t="s">
        <v>5224</v>
      </c>
      <c r="D1497" t="s">
        <v>5225</v>
      </c>
      <c r="E1497" t="s">
        <v>5226</v>
      </c>
    </row>
    <row r="1498" spans="1:12" x14ac:dyDescent="0.3">
      <c r="A1498" t="s">
        <v>5227</v>
      </c>
      <c r="B1498">
        <v>839</v>
      </c>
      <c r="C1498" t="s">
        <v>5228</v>
      </c>
      <c r="E1498" t="s">
        <v>5229</v>
      </c>
      <c r="F1498" t="s">
        <v>15</v>
      </c>
      <c r="G1498" s="18">
        <v>45487.916666666664</v>
      </c>
      <c r="K1498" s="18">
        <v>45637.958333333336</v>
      </c>
      <c r="L1498" t="s">
        <v>16</v>
      </c>
    </row>
    <row r="1499" spans="1:12" x14ac:dyDescent="0.3">
      <c r="A1499" t="s">
        <v>5230</v>
      </c>
      <c r="B1499">
        <v>1559</v>
      </c>
      <c r="C1499" t="s">
        <v>5231</v>
      </c>
      <c r="E1499" t="s">
        <v>5232</v>
      </c>
      <c r="F1499" t="s">
        <v>41</v>
      </c>
      <c r="G1499" s="18">
        <v>45769.916666666664</v>
      </c>
      <c r="L1499" t="s">
        <v>37</v>
      </c>
    </row>
    <row r="1500" spans="1:12" x14ac:dyDescent="0.3">
      <c r="A1500" t="s">
        <v>5233</v>
      </c>
      <c r="B1500">
        <v>1262</v>
      </c>
      <c r="C1500" t="s">
        <v>5234</v>
      </c>
      <c r="E1500" t="s">
        <v>5235</v>
      </c>
      <c r="F1500" t="s">
        <v>71</v>
      </c>
      <c r="L1500" t="s">
        <v>21</v>
      </c>
    </row>
    <row r="1501" spans="1:12" x14ac:dyDescent="0.3">
      <c r="A1501" t="s">
        <v>5236</v>
      </c>
      <c r="B1501">
        <v>3</v>
      </c>
      <c r="C1501" t="s">
        <v>5237</v>
      </c>
      <c r="D1501" t="s">
        <v>5238</v>
      </c>
      <c r="E1501" t="s">
        <v>5239</v>
      </c>
      <c r="F1501" t="s">
        <v>742</v>
      </c>
      <c r="K1501" s="18">
        <v>45801.916666666664</v>
      </c>
      <c r="L1501" t="s">
        <v>21</v>
      </c>
    </row>
    <row r="1502" spans="1:12" x14ac:dyDescent="0.3">
      <c r="A1502" t="s">
        <v>5240</v>
      </c>
      <c r="B1502">
        <v>2005</v>
      </c>
      <c r="C1502" t="s">
        <v>5241</v>
      </c>
      <c r="E1502" t="s">
        <v>5242</v>
      </c>
    </row>
    <row r="1503" spans="1:12" x14ac:dyDescent="0.3">
      <c r="A1503" t="s">
        <v>5243</v>
      </c>
      <c r="B1503">
        <v>1994</v>
      </c>
      <c r="C1503" t="s">
        <v>5244</v>
      </c>
      <c r="D1503" t="s">
        <v>5245</v>
      </c>
      <c r="E1503" t="s">
        <v>5246</v>
      </c>
    </row>
    <row r="1504" spans="1:12" x14ac:dyDescent="0.3">
      <c r="A1504" t="s">
        <v>5247</v>
      </c>
      <c r="B1504">
        <v>1639</v>
      </c>
      <c r="C1504" t="s">
        <v>5248</v>
      </c>
      <c r="D1504" t="s">
        <v>5249</v>
      </c>
      <c r="E1504" t="s">
        <v>5250</v>
      </c>
      <c r="F1504" t="s">
        <v>53</v>
      </c>
      <c r="L1504" t="s">
        <v>225</v>
      </c>
    </row>
    <row r="1505" spans="1:12" x14ac:dyDescent="0.3">
      <c r="A1505" t="s">
        <v>5251</v>
      </c>
      <c r="B1505">
        <v>979</v>
      </c>
      <c r="C1505" t="s">
        <v>5252</v>
      </c>
      <c r="E1505" t="s">
        <v>5253</v>
      </c>
      <c r="F1505" t="s">
        <v>15</v>
      </c>
      <c r="G1505" s="18">
        <v>45320.958333333336</v>
      </c>
      <c r="H1505" s="18">
        <v>45396.916666666664</v>
      </c>
      <c r="L1505" t="s">
        <v>16</v>
      </c>
    </row>
    <row r="1506" spans="1:12" x14ac:dyDescent="0.3">
      <c r="A1506" t="s">
        <v>5254</v>
      </c>
      <c r="B1506">
        <v>1261</v>
      </c>
      <c r="C1506" t="s">
        <v>5255</v>
      </c>
      <c r="E1506" t="s">
        <v>5256</v>
      </c>
      <c r="F1506" t="s">
        <v>71</v>
      </c>
      <c r="L1506" t="s">
        <v>21</v>
      </c>
    </row>
    <row r="1507" spans="1:12" x14ac:dyDescent="0.3">
      <c r="A1507" t="s">
        <v>5257</v>
      </c>
      <c r="B1507">
        <v>883</v>
      </c>
      <c r="C1507" t="s">
        <v>5258</v>
      </c>
      <c r="E1507" t="s">
        <v>5259</v>
      </c>
      <c r="F1507" t="s">
        <v>170</v>
      </c>
      <c r="K1507" s="18">
        <v>45773.916666666664</v>
      </c>
      <c r="L1507" t="s">
        <v>16</v>
      </c>
    </row>
    <row r="1508" spans="1:12" x14ac:dyDescent="0.3">
      <c r="A1508" t="s">
        <v>5260</v>
      </c>
      <c r="B1508">
        <v>1230</v>
      </c>
      <c r="C1508" t="s">
        <v>5261</v>
      </c>
      <c r="D1508" t="s">
        <v>5262</v>
      </c>
      <c r="E1508" t="s">
        <v>5263</v>
      </c>
      <c r="F1508" t="s">
        <v>53</v>
      </c>
      <c r="K1508" s="18">
        <v>45575.916666666664</v>
      </c>
      <c r="L1508" t="s">
        <v>88</v>
      </c>
    </row>
    <row r="1509" spans="1:12" x14ac:dyDescent="0.3">
      <c r="A1509" t="s">
        <v>5264</v>
      </c>
      <c r="B1509">
        <v>2102</v>
      </c>
      <c r="C1509" t="s">
        <v>5265</v>
      </c>
      <c r="E1509" t="s">
        <v>5266</v>
      </c>
    </row>
    <row r="1510" spans="1:12" x14ac:dyDescent="0.3">
      <c r="A1510" t="s">
        <v>5267</v>
      </c>
      <c r="B1510">
        <v>640</v>
      </c>
      <c r="C1510" t="s">
        <v>5268</v>
      </c>
      <c r="E1510" t="s">
        <v>5269</v>
      </c>
      <c r="F1510" t="s">
        <v>53</v>
      </c>
      <c r="L1510" t="s">
        <v>16</v>
      </c>
    </row>
    <row r="1511" spans="1:12" x14ac:dyDescent="0.3">
      <c r="A1511" t="s">
        <v>5270</v>
      </c>
      <c r="B1511">
        <v>464</v>
      </c>
      <c r="C1511" t="s">
        <v>5271</v>
      </c>
      <c r="D1511" t="s">
        <v>5272</v>
      </c>
      <c r="E1511" t="s">
        <v>5273</v>
      </c>
      <c r="F1511" t="s">
        <v>53</v>
      </c>
      <c r="L1511" t="s">
        <v>16</v>
      </c>
    </row>
    <row r="1512" spans="1:12" x14ac:dyDescent="0.3">
      <c r="A1512" t="s">
        <v>5274</v>
      </c>
      <c r="B1512">
        <v>780</v>
      </c>
      <c r="C1512" t="s">
        <v>5275</v>
      </c>
      <c r="D1512" t="s">
        <v>5276</v>
      </c>
      <c r="E1512" t="s">
        <v>5277</v>
      </c>
      <c r="F1512" t="s">
        <v>15</v>
      </c>
      <c r="K1512" s="18">
        <v>45624.958333333336</v>
      </c>
      <c r="L1512" t="s">
        <v>16</v>
      </c>
    </row>
    <row r="1513" spans="1:12" x14ac:dyDescent="0.3">
      <c r="A1513" t="s">
        <v>5278</v>
      </c>
      <c r="B1513">
        <v>1849</v>
      </c>
      <c r="C1513" t="s">
        <v>5279</v>
      </c>
      <c r="D1513" t="s">
        <v>5280</v>
      </c>
      <c r="E1513" t="s">
        <v>5281</v>
      </c>
    </row>
    <row r="1514" spans="1:12" x14ac:dyDescent="0.3">
      <c r="A1514" t="s">
        <v>5282</v>
      </c>
      <c r="B1514">
        <v>282</v>
      </c>
      <c r="C1514" t="s">
        <v>5283</v>
      </c>
      <c r="D1514" t="s">
        <v>5284</v>
      </c>
      <c r="E1514" t="s">
        <v>5285</v>
      </c>
      <c r="F1514" t="s">
        <v>41</v>
      </c>
      <c r="G1514" s="18">
        <v>45761.916666666664</v>
      </c>
      <c r="L1514" t="s">
        <v>21</v>
      </c>
    </row>
    <row r="1515" spans="1:12" x14ac:dyDescent="0.3">
      <c r="A1515" t="s">
        <v>5286</v>
      </c>
      <c r="B1515">
        <v>485</v>
      </c>
      <c r="C1515" t="s">
        <v>5287</v>
      </c>
      <c r="E1515" t="s">
        <v>5288</v>
      </c>
      <c r="F1515" t="s">
        <v>57</v>
      </c>
      <c r="L1515" t="s">
        <v>21</v>
      </c>
    </row>
    <row r="1516" spans="1:12" x14ac:dyDescent="0.3">
      <c r="A1516" t="s">
        <v>5289</v>
      </c>
      <c r="B1516">
        <v>1560</v>
      </c>
      <c r="C1516" t="s">
        <v>5290</v>
      </c>
      <c r="E1516" t="s">
        <v>5291</v>
      </c>
      <c r="F1516" t="s">
        <v>53</v>
      </c>
      <c r="L1516" t="s">
        <v>37</v>
      </c>
    </row>
    <row r="1517" spans="1:12" x14ac:dyDescent="0.3">
      <c r="A1517" t="s">
        <v>5292</v>
      </c>
      <c r="B1517">
        <v>218</v>
      </c>
      <c r="C1517" t="s">
        <v>5293</v>
      </c>
      <c r="D1517" t="s">
        <v>5294</v>
      </c>
      <c r="E1517" t="s">
        <v>5295</v>
      </c>
      <c r="F1517" t="s">
        <v>53</v>
      </c>
      <c r="L1517" t="s">
        <v>21</v>
      </c>
    </row>
    <row r="1518" spans="1:12" x14ac:dyDescent="0.3">
      <c r="A1518" t="s">
        <v>5296</v>
      </c>
      <c r="B1518">
        <v>1393</v>
      </c>
      <c r="C1518" t="s">
        <v>5297</v>
      </c>
      <c r="L1518" t="s">
        <v>16</v>
      </c>
    </row>
    <row r="1519" spans="1:12" x14ac:dyDescent="0.3">
      <c r="A1519" t="s">
        <v>5298</v>
      </c>
      <c r="B1519">
        <v>480</v>
      </c>
      <c r="C1519" t="s">
        <v>5299</v>
      </c>
      <c r="E1519" t="s">
        <v>5300</v>
      </c>
      <c r="F1519" t="s">
        <v>742</v>
      </c>
      <c r="L1519" t="s">
        <v>21</v>
      </c>
    </row>
    <row r="1520" spans="1:12" x14ac:dyDescent="0.3">
      <c r="A1520" t="s">
        <v>5301</v>
      </c>
      <c r="B1520">
        <v>1561</v>
      </c>
      <c r="C1520" t="s">
        <v>5302</v>
      </c>
      <c r="D1520" t="s">
        <v>5303</v>
      </c>
      <c r="E1520" t="s">
        <v>5304</v>
      </c>
      <c r="F1520" t="s">
        <v>53</v>
      </c>
      <c r="L1520" t="s">
        <v>88</v>
      </c>
    </row>
    <row r="1521" spans="1:12" x14ac:dyDescent="0.3">
      <c r="A1521" t="s">
        <v>5305</v>
      </c>
      <c r="B1521">
        <v>479</v>
      </c>
      <c r="C1521" t="s">
        <v>5306</v>
      </c>
      <c r="D1521" t="s">
        <v>5307</v>
      </c>
      <c r="E1521" t="s">
        <v>5308</v>
      </c>
      <c r="F1521" t="s">
        <v>57</v>
      </c>
      <c r="L1521" t="s">
        <v>21</v>
      </c>
    </row>
    <row r="1522" spans="1:12" x14ac:dyDescent="0.3">
      <c r="A1522" t="s">
        <v>5309</v>
      </c>
      <c r="B1522">
        <v>566</v>
      </c>
      <c r="C1522" t="s">
        <v>5310</v>
      </c>
      <c r="E1522" t="s">
        <v>5311</v>
      </c>
      <c r="F1522" t="s">
        <v>53</v>
      </c>
      <c r="L1522" t="s">
        <v>16</v>
      </c>
    </row>
    <row r="1523" spans="1:12" x14ac:dyDescent="0.3">
      <c r="A1523" t="s">
        <v>5312</v>
      </c>
      <c r="B1523">
        <v>792</v>
      </c>
      <c r="C1523" t="s">
        <v>5313</v>
      </c>
      <c r="E1523" t="s">
        <v>5314</v>
      </c>
      <c r="F1523" t="s">
        <v>170</v>
      </c>
      <c r="K1523" s="18">
        <v>45748.916666666664</v>
      </c>
      <c r="L1523" t="s">
        <v>16</v>
      </c>
    </row>
    <row r="1524" spans="1:12" x14ac:dyDescent="0.3">
      <c r="A1524" t="s">
        <v>5315</v>
      </c>
      <c r="B1524">
        <v>734</v>
      </c>
      <c r="C1524" t="s">
        <v>5316</v>
      </c>
      <c r="E1524" t="s">
        <v>5317</v>
      </c>
      <c r="F1524" t="s">
        <v>275</v>
      </c>
      <c r="G1524" s="18">
        <v>45331.958333333336</v>
      </c>
      <c r="K1524" s="18">
        <v>45687.958333333336</v>
      </c>
      <c r="L1524" t="s">
        <v>16</v>
      </c>
    </row>
    <row r="1525" spans="1:12" x14ac:dyDescent="0.3">
      <c r="A1525" t="s">
        <v>5318</v>
      </c>
      <c r="B1525">
        <v>19</v>
      </c>
      <c r="C1525" t="s">
        <v>5319</v>
      </c>
      <c r="D1525" t="s">
        <v>5320</v>
      </c>
      <c r="E1525" t="s">
        <v>5321</v>
      </c>
      <c r="F1525" t="s">
        <v>53</v>
      </c>
      <c r="G1525" s="18">
        <v>45761.916666666664</v>
      </c>
      <c r="K1525" s="18">
        <v>45806.916666666664</v>
      </c>
      <c r="L1525" t="s">
        <v>88</v>
      </c>
    </row>
    <row r="1526" spans="1:12" x14ac:dyDescent="0.3">
      <c r="A1526" t="s">
        <v>5322</v>
      </c>
      <c r="B1526">
        <v>1752</v>
      </c>
      <c r="C1526" t="s">
        <v>5323</v>
      </c>
      <c r="D1526" t="s">
        <v>5324</v>
      </c>
      <c r="E1526" t="s">
        <v>5325</v>
      </c>
    </row>
    <row r="1527" spans="1:12" x14ac:dyDescent="0.3">
      <c r="A1527" t="s">
        <v>5326</v>
      </c>
      <c r="B1527">
        <v>392</v>
      </c>
      <c r="C1527" t="s">
        <v>5327</v>
      </c>
      <c r="D1527" t="s">
        <v>5328</v>
      </c>
      <c r="E1527" t="s">
        <v>5329</v>
      </c>
      <c r="F1527" t="s">
        <v>41</v>
      </c>
      <c r="G1527" s="18">
        <v>45778.916666666664</v>
      </c>
      <c r="L1527" t="s">
        <v>21</v>
      </c>
    </row>
    <row r="1528" spans="1:12" x14ac:dyDescent="0.3">
      <c r="A1528" t="s">
        <v>5330</v>
      </c>
      <c r="B1528">
        <v>372</v>
      </c>
      <c r="C1528" t="s">
        <v>5331</v>
      </c>
      <c r="D1528" t="s">
        <v>5332</v>
      </c>
      <c r="E1528" t="s">
        <v>5333</v>
      </c>
      <c r="F1528" t="s">
        <v>36</v>
      </c>
      <c r="G1528" s="18">
        <v>45761.916666666664</v>
      </c>
      <c r="L1528" t="s">
        <v>16</v>
      </c>
    </row>
    <row r="1529" spans="1:12" x14ac:dyDescent="0.3">
      <c r="A1529" t="s">
        <v>5334</v>
      </c>
      <c r="B1529">
        <v>126</v>
      </c>
      <c r="C1529" t="s">
        <v>5335</v>
      </c>
      <c r="E1529" t="s">
        <v>5336</v>
      </c>
      <c r="F1529" t="s">
        <v>41</v>
      </c>
      <c r="G1529" s="18">
        <v>45761.916666666664</v>
      </c>
      <c r="L1529" t="s">
        <v>16</v>
      </c>
    </row>
    <row r="1530" spans="1:12" x14ac:dyDescent="0.3">
      <c r="A1530" t="s">
        <v>5337</v>
      </c>
      <c r="B1530">
        <v>204</v>
      </c>
      <c r="C1530" t="s">
        <v>5338</v>
      </c>
      <c r="D1530" t="s">
        <v>5339</v>
      </c>
      <c r="E1530" t="s">
        <v>5340</v>
      </c>
      <c r="F1530" t="s">
        <v>53</v>
      </c>
      <c r="L1530" t="s">
        <v>225</v>
      </c>
    </row>
    <row r="1531" spans="1:12" x14ac:dyDescent="0.3">
      <c r="A1531" t="s">
        <v>5341</v>
      </c>
      <c r="B1531">
        <v>686</v>
      </c>
      <c r="C1531" t="s">
        <v>5342</v>
      </c>
      <c r="E1531" t="s">
        <v>5343</v>
      </c>
      <c r="F1531" t="s">
        <v>71</v>
      </c>
      <c r="K1531" s="18">
        <v>45496.916666666664</v>
      </c>
      <c r="L1531" t="s">
        <v>21</v>
      </c>
    </row>
    <row r="1532" spans="1:12" x14ac:dyDescent="0.3">
      <c r="A1532" t="s">
        <v>5344</v>
      </c>
      <c r="B1532">
        <v>1828</v>
      </c>
      <c r="C1532" t="s">
        <v>5345</v>
      </c>
      <c r="D1532" t="s">
        <v>5346</v>
      </c>
      <c r="E1532" t="s">
        <v>5347</v>
      </c>
    </row>
    <row r="1533" spans="1:12" x14ac:dyDescent="0.3">
      <c r="A1533" t="s">
        <v>5348</v>
      </c>
      <c r="B1533">
        <v>2053</v>
      </c>
      <c r="C1533" t="s">
        <v>5349</v>
      </c>
      <c r="D1533" t="s">
        <v>5350</v>
      </c>
      <c r="E1533" t="s">
        <v>5351</v>
      </c>
    </row>
    <row r="1534" spans="1:12" x14ac:dyDescent="0.3">
      <c r="A1534" t="s">
        <v>5352</v>
      </c>
      <c r="B1534">
        <v>72</v>
      </c>
      <c r="C1534" t="s">
        <v>5353</v>
      </c>
      <c r="D1534" t="s">
        <v>5354</v>
      </c>
      <c r="E1534" t="s">
        <v>5355</v>
      </c>
      <c r="F1534" t="s">
        <v>36</v>
      </c>
      <c r="G1534" s="18">
        <v>45699.958333333336</v>
      </c>
      <c r="L1534" t="s">
        <v>16</v>
      </c>
    </row>
    <row r="1535" spans="1:12" x14ac:dyDescent="0.3">
      <c r="A1535" t="s">
        <v>5356</v>
      </c>
      <c r="B1535">
        <v>1957</v>
      </c>
      <c r="C1535" t="s">
        <v>5357</v>
      </c>
      <c r="D1535" t="s">
        <v>5358</v>
      </c>
      <c r="E1535" t="s">
        <v>5359</v>
      </c>
    </row>
    <row r="1536" spans="1:12" x14ac:dyDescent="0.3">
      <c r="A1536" t="s">
        <v>5360</v>
      </c>
      <c r="B1536">
        <v>652</v>
      </c>
      <c r="C1536" t="s">
        <v>5361</v>
      </c>
      <c r="E1536" t="s">
        <v>5362</v>
      </c>
      <c r="F1536" t="s">
        <v>15</v>
      </c>
      <c r="G1536" s="18">
        <v>45681.958333333336</v>
      </c>
      <c r="K1536" s="18">
        <v>45715.958333333336</v>
      </c>
      <c r="L1536" t="s">
        <v>21</v>
      </c>
    </row>
    <row r="1537" spans="1:12" x14ac:dyDescent="0.3">
      <c r="A1537" t="s">
        <v>5363</v>
      </c>
      <c r="B1537">
        <v>781</v>
      </c>
      <c r="C1537" t="s">
        <v>5364</v>
      </c>
      <c r="E1537" t="s">
        <v>5365</v>
      </c>
      <c r="F1537" t="s">
        <v>15</v>
      </c>
      <c r="G1537" s="18">
        <v>45426.916666666664</v>
      </c>
      <c r="L1537" t="s">
        <v>16</v>
      </c>
    </row>
    <row r="1538" spans="1:12" x14ac:dyDescent="0.3">
      <c r="A1538" t="s">
        <v>5366</v>
      </c>
      <c r="B1538">
        <v>1228</v>
      </c>
      <c r="C1538" t="s">
        <v>5367</v>
      </c>
      <c r="E1538" t="s">
        <v>5368</v>
      </c>
      <c r="F1538" t="s">
        <v>71</v>
      </c>
      <c r="K1538" s="18">
        <v>45456.916666666664</v>
      </c>
      <c r="L1538" t="s">
        <v>16</v>
      </c>
    </row>
    <row r="1539" spans="1:12" x14ac:dyDescent="0.3">
      <c r="A1539" t="s">
        <v>5369</v>
      </c>
      <c r="B1539">
        <v>1441</v>
      </c>
      <c r="C1539" t="s">
        <v>5370</v>
      </c>
      <c r="D1539" t="s">
        <v>5371</v>
      </c>
      <c r="E1539" t="s">
        <v>5372</v>
      </c>
      <c r="F1539" t="s">
        <v>53</v>
      </c>
      <c r="L1539" t="s">
        <v>21</v>
      </c>
    </row>
    <row r="1540" spans="1:12" x14ac:dyDescent="0.3">
      <c r="A1540" t="s">
        <v>5373</v>
      </c>
      <c r="B1540">
        <v>1321</v>
      </c>
      <c r="C1540" t="s">
        <v>5374</v>
      </c>
      <c r="E1540" t="s">
        <v>5375</v>
      </c>
      <c r="F1540" t="s">
        <v>15</v>
      </c>
      <c r="G1540" s="18">
        <v>45700.958333333336</v>
      </c>
      <c r="K1540" s="18">
        <v>45730.958333333336</v>
      </c>
      <c r="L1540" t="s">
        <v>16</v>
      </c>
    </row>
    <row r="1541" spans="1:12" x14ac:dyDescent="0.3">
      <c r="A1541" t="s">
        <v>5376</v>
      </c>
      <c r="B1541">
        <v>2088</v>
      </c>
      <c r="C1541" t="s">
        <v>5377</v>
      </c>
      <c r="D1541" t="s">
        <v>5378</v>
      </c>
      <c r="E1541" t="s">
        <v>5379</v>
      </c>
    </row>
    <row r="1542" spans="1:12" x14ac:dyDescent="0.3">
      <c r="A1542" t="s">
        <v>5380</v>
      </c>
      <c r="B1542">
        <v>603</v>
      </c>
      <c r="C1542" t="s">
        <v>5381</v>
      </c>
      <c r="D1542" t="s">
        <v>5382</v>
      </c>
      <c r="E1542" t="s">
        <v>5383</v>
      </c>
      <c r="F1542" t="s">
        <v>41</v>
      </c>
      <c r="G1542" s="18">
        <v>44742.916666666664</v>
      </c>
      <c r="L1542" t="s">
        <v>16</v>
      </c>
    </row>
    <row r="1543" spans="1:12" x14ac:dyDescent="0.3">
      <c r="A1543" t="s">
        <v>5384</v>
      </c>
      <c r="B1543">
        <v>423</v>
      </c>
      <c r="C1543" t="s">
        <v>5385</v>
      </c>
      <c r="D1543" t="s">
        <v>5386</v>
      </c>
      <c r="E1543" t="s">
        <v>5387</v>
      </c>
      <c r="F1543" t="s">
        <v>53</v>
      </c>
      <c r="L1543" t="s">
        <v>21</v>
      </c>
    </row>
    <row r="1544" spans="1:12" x14ac:dyDescent="0.3">
      <c r="A1544" t="s">
        <v>5388</v>
      </c>
      <c r="B1544">
        <v>729</v>
      </c>
      <c r="C1544" t="s">
        <v>5389</v>
      </c>
      <c r="E1544" t="s">
        <v>5390</v>
      </c>
      <c r="F1544" t="s">
        <v>15</v>
      </c>
      <c r="G1544" s="18">
        <v>45308.958333333336</v>
      </c>
      <c r="H1544" s="18">
        <v>45512.916666666664</v>
      </c>
      <c r="K1544" s="18">
        <v>45512.916666666664</v>
      </c>
      <c r="L1544" t="s">
        <v>16</v>
      </c>
    </row>
    <row r="1545" spans="1:12" x14ac:dyDescent="0.3">
      <c r="A1545" t="s">
        <v>5391</v>
      </c>
      <c r="B1545">
        <v>458</v>
      </c>
      <c r="C1545" t="s">
        <v>5392</v>
      </c>
      <c r="E1545" t="s">
        <v>5393</v>
      </c>
      <c r="F1545" t="s">
        <v>41</v>
      </c>
      <c r="G1545" s="18">
        <v>45795.916666666664</v>
      </c>
      <c r="L1545" t="s">
        <v>16</v>
      </c>
    </row>
    <row r="1546" spans="1:12" x14ac:dyDescent="0.3">
      <c r="A1546" t="s">
        <v>5394</v>
      </c>
      <c r="B1546">
        <v>1720</v>
      </c>
      <c r="C1546" t="s">
        <v>5395</v>
      </c>
      <c r="D1546" t="s">
        <v>5396</v>
      </c>
      <c r="E1546" t="s">
        <v>5397</v>
      </c>
      <c r="L1546" t="s">
        <v>230</v>
      </c>
    </row>
    <row r="1547" spans="1:12" x14ac:dyDescent="0.3">
      <c r="A1547" t="s">
        <v>5398</v>
      </c>
      <c r="B1547">
        <v>149</v>
      </c>
      <c r="C1547" t="s">
        <v>5399</v>
      </c>
      <c r="D1547" t="s">
        <v>5400</v>
      </c>
      <c r="E1547" t="s">
        <v>5401</v>
      </c>
      <c r="F1547" t="s">
        <v>53</v>
      </c>
      <c r="L1547" t="s">
        <v>315</v>
      </c>
    </row>
    <row r="1548" spans="1:12" x14ac:dyDescent="0.3">
      <c r="A1548" t="s">
        <v>5402</v>
      </c>
      <c r="B1548">
        <v>948</v>
      </c>
      <c r="C1548" t="s">
        <v>5403</v>
      </c>
      <c r="E1548" t="s">
        <v>5404</v>
      </c>
      <c r="L1548" t="s">
        <v>16</v>
      </c>
    </row>
    <row r="1549" spans="1:12" x14ac:dyDescent="0.3">
      <c r="A1549" t="s">
        <v>5405</v>
      </c>
      <c r="B1549">
        <v>1442</v>
      </c>
      <c r="C1549" t="s">
        <v>5406</v>
      </c>
      <c r="D1549" t="s">
        <v>5407</v>
      </c>
      <c r="E1549" t="s">
        <v>5408</v>
      </c>
      <c r="F1549" t="s">
        <v>53</v>
      </c>
      <c r="L1549" t="s">
        <v>21</v>
      </c>
    </row>
    <row r="1550" spans="1:12" x14ac:dyDescent="0.3">
      <c r="A1550" t="s">
        <v>5409</v>
      </c>
      <c r="B1550">
        <v>1780</v>
      </c>
      <c r="C1550" t="s">
        <v>5410</v>
      </c>
      <c r="D1550" t="s">
        <v>5411</v>
      </c>
      <c r="E1550" t="s">
        <v>5412</v>
      </c>
    </row>
    <row r="1551" spans="1:12" x14ac:dyDescent="0.3">
      <c r="A1551" t="s">
        <v>5413</v>
      </c>
      <c r="B1551">
        <v>1562</v>
      </c>
      <c r="C1551" t="s">
        <v>5414</v>
      </c>
      <c r="E1551" t="s">
        <v>5415</v>
      </c>
      <c r="F1551" t="s">
        <v>53</v>
      </c>
      <c r="L1551" t="s">
        <v>37</v>
      </c>
    </row>
    <row r="1552" spans="1:12" x14ac:dyDescent="0.3">
      <c r="A1552" t="s">
        <v>5416</v>
      </c>
      <c r="B1552">
        <v>515</v>
      </c>
      <c r="C1552" t="s">
        <v>5417</v>
      </c>
      <c r="E1552" t="s">
        <v>5418</v>
      </c>
      <c r="F1552" t="s">
        <v>36</v>
      </c>
      <c r="G1552" s="18">
        <v>45705.958333333336</v>
      </c>
      <c r="L1552" t="s">
        <v>37</v>
      </c>
    </row>
    <row r="1553" spans="1:12" x14ac:dyDescent="0.3">
      <c r="A1553" t="s">
        <v>5419</v>
      </c>
      <c r="B1553">
        <v>1672</v>
      </c>
      <c r="C1553" t="s">
        <v>5420</v>
      </c>
      <c r="D1553" t="s">
        <v>5421</v>
      </c>
      <c r="E1553" t="s">
        <v>5422</v>
      </c>
      <c r="F1553" t="s">
        <v>53</v>
      </c>
    </row>
    <row r="1554" spans="1:12" x14ac:dyDescent="0.3">
      <c r="A1554" t="s">
        <v>5423</v>
      </c>
      <c r="B1554">
        <v>635</v>
      </c>
      <c r="C1554" t="s">
        <v>5424</v>
      </c>
      <c r="D1554" t="s">
        <v>5425</v>
      </c>
      <c r="E1554" t="s">
        <v>5426</v>
      </c>
      <c r="F1554" t="s">
        <v>53</v>
      </c>
      <c r="L1554" t="s">
        <v>16</v>
      </c>
    </row>
    <row r="1555" spans="1:12" x14ac:dyDescent="0.3">
      <c r="A1555" t="s">
        <v>5427</v>
      </c>
      <c r="B1555">
        <v>1802</v>
      </c>
      <c r="C1555" t="s">
        <v>5428</v>
      </c>
      <c r="D1555" t="s">
        <v>5429</v>
      </c>
      <c r="E1555" t="s">
        <v>5430</v>
      </c>
      <c r="F1555" t="s">
        <v>53</v>
      </c>
      <c r="L1555" t="s">
        <v>148</v>
      </c>
    </row>
    <row r="1556" spans="1:12" x14ac:dyDescent="0.3">
      <c r="A1556" t="s">
        <v>5431</v>
      </c>
      <c r="B1556">
        <v>1227</v>
      </c>
      <c r="C1556" t="s">
        <v>5432</v>
      </c>
      <c r="E1556" t="s">
        <v>5433</v>
      </c>
      <c r="F1556" t="s">
        <v>170</v>
      </c>
      <c r="G1556" s="18">
        <v>45743.958333333336</v>
      </c>
      <c r="H1556" s="18">
        <v>45747.916666666664</v>
      </c>
      <c r="K1556" s="18">
        <v>45743.958333333336</v>
      </c>
      <c r="L1556" t="s">
        <v>16</v>
      </c>
    </row>
    <row r="1557" spans="1:12" x14ac:dyDescent="0.3">
      <c r="A1557" t="s">
        <v>5434</v>
      </c>
      <c r="B1557">
        <v>1751</v>
      </c>
      <c r="C1557" t="s">
        <v>5435</v>
      </c>
      <c r="D1557" t="s">
        <v>5436</v>
      </c>
      <c r="E1557" t="s">
        <v>5437</v>
      </c>
      <c r="F1557" t="s">
        <v>53</v>
      </c>
    </row>
    <row r="1558" spans="1:12" x14ac:dyDescent="0.3">
      <c r="A1558" t="s">
        <v>5438</v>
      </c>
      <c r="B1558">
        <v>273</v>
      </c>
      <c r="C1558" t="s">
        <v>5439</v>
      </c>
      <c r="D1558" t="s">
        <v>5440</v>
      </c>
      <c r="E1558" t="s">
        <v>5441</v>
      </c>
      <c r="F1558" t="s">
        <v>41</v>
      </c>
      <c r="G1558" s="18">
        <v>46054.958333333336</v>
      </c>
      <c r="L1558" t="s">
        <v>16</v>
      </c>
    </row>
    <row r="1559" spans="1:12" x14ac:dyDescent="0.3">
      <c r="A1559" t="s">
        <v>5442</v>
      </c>
      <c r="B1559">
        <v>526</v>
      </c>
      <c r="C1559" t="s">
        <v>5443</v>
      </c>
      <c r="D1559" t="s">
        <v>5444</v>
      </c>
      <c r="E1559" t="s">
        <v>5445</v>
      </c>
      <c r="F1559" t="s">
        <v>41</v>
      </c>
      <c r="G1559" s="18">
        <v>45762.916666666664</v>
      </c>
      <c r="L1559" t="s">
        <v>88</v>
      </c>
    </row>
    <row r="1560" spans="1:12" x14ac:dyDescent="0.3">
      <c r="A1560" t="s">
        <v>5446</v>
      </c>
      <c r="B1560">
        <v>1714</v>
      </c>
      <c r="C1560" t="s">
        <v>5447</v>
      </c>
      <c r="D1560" t="s">
        <v>5448</v>
      </c>
      <c r="E1560" t="s">
        <v>1907</v>
      </c>
      <c r="F1560" t="s">
        <v>53</v>
      </c>
      <c r="L1560" t="s">
        <v>230</v>
      </c>
    </row>
    <row r="1561" spans="1:12" x14ac:dyDescent="0.3">
      <c r="A1561" t="s">
        <v>5449</v>
      </c>
      <c r="B1561">
        <v>2009</v>
      </c>
      <c r="C1561" t="s">
        <v>5450</v>
      </c>
      <c r="D1561" t="s">
        <v>5451</v>
      </c>
      <c r="E1561" t="s">
        <v>5452</v>
      </c>
    </row>
    <row r="1562" spans="1:12" x14ac:dyDescent="0.3">
      <c r="A1562" t="s">
        <v>5453</v>
      </c>
      <c r="B1562">
        <v>595</v>
      </c>
      <c r="C1562" t="s">
        <v>5454</v>
      </c>
      <c r="D1562" t="s">
        <v>5455</v>
      </c>
      <c r="E1562" t="s">
        <v>5456</v>
      </c>
      <c r="F1562" t="s">
        <v>15</v>
      </c>
      <c r="G1562" s="18">
        <v>45761.916666666664</v>
      </c>
      <c r="K1562" s="18">
        <v>45852.916666666664</v>
      </c>
      <c r="L1562" t="s">
        <v>88</v>
      </c>
    </row>
    <row r="1563" spans="1:12" x14ac:dyDescent="0.3">
      <c r="A1563" t="s">
        <v>5457</v>
      </c>
      <c r="B1563">
        <v>1263</v>
      </c>
      <c r="C1563" t="s">
        <v>5458</v>
      </c>
      <c r="E1563" t="s">
        <v>5459</v>
      </c>
      <c r="F1563" t="s">
        <v>71</v>
      </c>
      <c r="L1563" t="s">
        <v>21</v>
      </c>
    </row>
    <row r="1564" spans="1:12" x14ac:dyDescent="0.3">
      <c r="A1564" t="s">
        <v>5460</v>
      </c>
      <c r="B1564">
        <v>914</v>
      </c>
      <c r="C1564" t="s">
        <v>5461</v>
      </c>
      <c r="E1564" t="s">
        <v>5462</v>
      </c>
      <c r="F1564" t="s">
        <v>15</v>
      </c>
      <c r="K1564" s="18">
        <v>45512.916666666664</v>
      </c>
      <c r="L1564" t="s">
        <v>16</v>
      </c>
    </row>
    <row r="1565" spans="1:12" x14ac:dyDescent="0.3">
      <c r="A1565" t="s">
        <v>5463</v>
      </c>
      <c r="B1565">
        <v>788</v>
      </c>
      <c r="C1565" t="s">
        <v>5464</v>
      </c>
      <c r="E1565" t="s">
        <v>5465</v>
      </c>
      <c r="F1565" t="s">
        <v>15</v>
      </c>
      <c r="K1565" s="18">
        <v>45684.958333333336</v>
      </c>
      <c r="L1565" t="s">
        <v>16</v>
      </c>
    </row>
    <row r="1566" spans="1:12" x14ac:dyDescent="0.3">
      <c r="A1566" t="s">
        <v>5466</v>
      </c>
      <c r="B1566">
        <v>2007</v>
      </c>
      <c r="C1566" t="s">
        <v>5467</v>
      </c>
      <c r="D1566" t="s">
        <v>5468</v>
      </c>
      <c r="E1566" t="s">
        <v>5469</v>
      </c>
    </row>
    <row r="1567" spans="1:12" x14ac:dyDescent="0.3">
      <c r="A1567" t="s">
        <v>5470</v>
      </c>
      <c r="B1567">
        <v>596</v>
      </c>
      <c r="C1567" t="s">
        <v>5471</v>
      </c>
      <c r="D1567" t="s">
        <v>5472</v>
      </c>
      <c r="E1567" t="s">
        <v>5473</v>
      </c>
      <c r="F1567" t="s">
        <v>41</v>
      </c>
      <c r="G1567" s="18">
        <v>45761.916666666664</v>
      </c>
      <c r="L1567" t="s">
        <v>21</v>
      </c>
    </row>
    <row r="1568" spans="1:12" x14ac:dyDescent="0.3">
      <c r="A1568" t="s">
        <v>5474</v>
      </c>
      <c r="B1568">
        <v>1077</v>
      </c>
      <c r="C1568" t="s">
        <v>5475</v>
      </c>
      <c r="E1568" t="s">
        <v>5476</v>
      </c>
      <c r="F1568" t="s">
        <v>15</v>
      </c>
      <c r="L1568" t="s">
        <v>16</v>
      </c>
    </row>
    <row r="1569" spans="1:12" x14ac:dyDescent="0.3">
      <c r="A1569" t="s">
        <v>5477</v>
      </c>
      <c r="B1569">
        <v>1281</v>
      </c>
      <c r="C1569" t="s">
        <v>5478</v>
      </c>
      <c r="E1569" t="s">
        <v>4171</v>
      </c>
      <c r="F1569" t="s">
        <v>15</v>
      </c>
      <c r="K1569" s="18">
        <v>45694.958333333336</v>
      </c>
      <c r="L1569" t="s">
        <v>16</v>
      </c>
    </row>
    <row r="1570" spans="1:12" x14ac:dyDescent="0.3">
      <c r="A1570" t="s">
        <v>5479</v>
      </c>
      <c r="B1570">
        <v>1563</v>
      </c>
      <c r="C1570" t="s">
        <v>5480</v>
      </c>
      <c r="D1570" t="s">
        <v>5481</v>
      </c>
      <c r="E1570" t="s">
        <v>5482</v>
      </c>
      <c r="F1570" t="s">
        <v>53</v>
      </c>
      <c r="L1570" t="s">
        <v>37</v>
      </c>
    </row>
    <row r="1571" spans="1:12" x14ac:dyDescent="0.3">
      <c r="A1571" t="s">
        <v>5483</v>
      </c>
      <c r="B1571">
        <v>349</v>
      </c>
      <c r="C1571" t="s">
        <v>5484</v>
      </c>
      <c r="D1571" t="s">
        <v>5485</v>
      </c>
      <c r="E1571" t="s">
        <v>5486</v>
      </c>
      <c r="F1571" t="s">
        <v>41</v>
      </c>
      <c r="G1571" s="18">
        <v>45761.916666666664</v>
      </c>
      <c r="L1571" t="s">
        <v>88</v>
      </c>
    </row>
    <row r="1572" spans="1:12" x14ac:dyDescent="0.3">
      <c r="A1572" t="s">
        <v>5487</v>
      </c>
      <c r="B1572">
        <v>1940</v>
      </c>
      <c r="C1572" t="s">
        <v>5488</v>
      </c>
      <c r="D1572" t="s">
        <v>5489</v>
      </c>
      <c r="E1572" t="s">
        <v>5490</v>
      </c>
    </row>
    <row r="1573" spans="1:12" x14ac:dyDescent="0.3">
      <c r="A1573" t="s">
        <v>5491</v>
      </c>
      <c r="B1573">
        <v>1564</v>
      </c>
      <c r="C1573" t="s">
        <v>5492</v>
      </c>
      <c r="D1573" t="s">
        <v>5493</v>
      </c>
      <c r="E1573" t="s">
        <v>5494</v>
      </c>
      <c r="F1573" t="s">
        <v>53</v>
      </c>
      <c r="L1573" t="s">
        <v>37</v>
      </c>
    </row>
    <row r="1574" spans="1:12" x14ac:dyDescent="0.3">
      <c r="A1574" t="s">
        <v>5495</v>
      </c>
      <c r="B1574">
        <v>551</v>
      </c>
      <c r="C1574" t="s">
        <v>5496</v>
      </c>
      <c r="D1574" t="s">
        <v>5497</v>
      </c>
      <c r="E1574" t="s">
        <v>5498</v>
      </c>
      <c r="F1574" t="s">
        <v>57</v>
      </c>
      <c r="L1574" t="s">
        <v>21</v>
      </c>
    </row>
    <row r="1575" spans="1:12" x14ac:dyDescent="0.3">
      <c r="A1575" t="s">
        <v>5499</v>
      </c>
      <c r="B1575">
        <v>88</v>
      </c>
      <c r="C1575" t="s">
        <v>5500</v>
      </c>
      <c r="D1575" t="s">
        <v>5501</v>
      </c>
      <c r="E1575" t="s">
        <v>5502</v>
      </c>
      <c r="F1575" t="s">
        <v>41</v>
      </c>
      <c r="G1575" s="18">
        <v>44752.916666666664</v>
      </c>
      <c r="L1575" t="s">
        <v>16</v>
      </c>
    </row>
    <row r="1576" spans="1:12" x14ac:dyDescent="0.3">
      <c r="A1576" t="s">
        <v>5503</v>
      </c>
      <c r="B1576">
        <v>1844</v>
      </c>
      <c r="C1576" t="s">
        <v>5504</v>
      </c>
      <c r="D1576" t="s">
        <v>5505</v>
      </c>
      <c r="E1576" t="s">
        <v>5506</v>
      </c>
    </row>
    <row r="1577" spans="1:12" x14ac:dyDescent="0.3">
      <c r="A1577" t="s">
        <v>5507</v>
      </c>
      <c r="B1577">
        <v>1140</v>
      </c>
      <c r="C1577" t="s">
        <v>5508</v>
      </c>
      <c r="E1577" t="s">
        <v>5509</v>
      </c>
      <c r="F1577" t="s">
        <v>15</v>
      </c>
      <c r="G1577" s="18">
        <v>45525.916666666664</v>
      </c>
      <c r="K1577" s="18">
        <v>45592.958333333336</v>
      </c>
      <c r="L1577" t="s">
        <v>16</v>
      </c>
    </row>
    <row r="1578" spans="1:12" x14ac:dyDescent="0.3">
      <c r="A1578" t="s">
        <v>5510</v>
      </c>
      <c r="B1578">
        <v>1098</v>
      </c>
      <c r="C1578" t="s">
        <v>5511</v>
      </c>
      <c r="E1578" t="s">
        <v>5512</v>
      </c>
      <c r="F1578" t="s">
        <v>15</v>
      </c>
      <c r="G1578" s="18">
        <v>45501.916666666664</v>
      </c>
      <c r="K1578" s="18">
        <v>45656.958333333336</v>
      </c>
      <c r="L1578" t="s">
        <v>21</v>
      </c>
    </row>
    <row r="1579" spans="1:12" x14ac:dyDescent="0.3">
      <c r="A1579" t="s">
        <v>5513</v>
      </c>
      <c r="B1579">
        <v>444</v>
      </c>
      <c r="C1579" t="s">
        <v>5514</v>
      </c>
      <c r="E1579" t="s">
        <v>5515</v>
      </c>
      <c r="F1579" t="s">
        <v>41</v>
      </c>
      <c r="G1579" s="18">
        <v>45761.916666666664</v>
      </c>
      <c r="L1579" t="s">
        <v>21</v>
      </c>
    </row>
    <row r="1580" spans="1:12" x14ac:dyDescent="0.3">
      <c r="A1580" t="s">
        <v>5516</v>
      </c>
      <c r="B1580">
        <v>1916</v>
      </c>
      <c r="C1580" t="s">
        <v>5517</v>
      </c>
      <c r="D1580" t="s">
        <v>5518</v>
      </c>
      <c r="E1580" t="s">
        <v>5519</v>
      </c>
    </row>
    <row r="1581" spans="1:12" x14ac:dyDescent="0.3">
      <c r="A1581" t="s">
        <v>5520</v>
      </c>
      <c r="B1581">
        <v>2029</v>
      </c>
      <c r="C1581" t="s">
        <v>5521</v>
      </c>
      <c r="D1581" t="s">
        <v>5522</v>
      </c>
      <c r="E1581" t="s">
        <v>5523</v>
      </c>
    </row>
    <row r="1582" spans="1:12" x14ac:dyDescent="0.3">
      <c r="A1582" t="s">
        <v>5524</v>
      </c>
      <c r="B1582">
        <v>447</v>
      </c>
      <c r="C1582" t="s">
        <v>5525</v>
      </c>
      <c r="D1582" t="s">
        <v>5526</v>
      </c>
      <c r="E1582" t="s">
        <v>5527</v>
      </c>
      <c r="F1582" t="s">
        <v>41</v>
      </c>
      <c r="G1582" s="18">
        <v>45469.916666666664</v>
      </c>
      <c r="L1582" t="s">
        <v>21</v>
      </c>
    </row>
    <row r="1583" spans="1:12" x14ac:dyDescent="0.3">
      <c r="A1583" t="s">
        <v>5528</v>
      </c>
      <c r="B1583">
        <v>400</v>
      </c>
      <c r="C1583" t="s">
        <v>5529</v>
      </c>
      <c r="D1583" t="s">
        <v>5530</v>
      </c>
      <c r="E1583" t="s">
        <v>5531</v>
      </c>
      <c r="F1583" t="s">
        <v>53</v>
      </c>
      <c r="L1583" t="s">
        <v>21</v>
      </c>
    </row>
    <row r="1584" spans="1:12" x14ac:dyDescent="0.3">
      <c r="A1584" t="s">
        <v>5532</v>
      </c>
      <c r="B1584">
        <v>1754</v>
      </c>
      <c r="C1584" t="s">
        <v>5533</v>
      </c>
      <c r="D1584" t="s">
        <v>5534</v>
      </c>
      <c r="E1584" t="s">
        <v>5535</v>
      </c>
      <c r="F1584" t="s">
        <v>53</v>
      </c>
    </row>
    <row r="1585" spans="1:12" x14ac:dyDescent="0.3">
      <c r="A1585" t="s">
        <v>5536</v>
      </c>
      <c r="B1585">
        <v>638</v>
      </c>
      <c r="C1585" t="s">
        <v>5537</v>
      </c>
      <c r="D1585" t="s">
        <v>5538</v>
      </c>
      <c r="E1585" t="s">
        <v>5539</v>
      </c>
      <c r="F1585" t="s">
        <v>53</v>
      </c>
      <c r="L1585" t="s">
        <v>16</v>
      </c>
    </row>
    <row r="1586" spans="1:12" x14ac:dyDescent="0.3">
      <c r="A1586" t="s">
        <v>5540</v>
      </c>
      <c r="B1586">
        <v>1076</v>
      </c>
      <c r="C1586" t="s">
        <v>5541</v>
      </c>
      <c r="D1586" t="s">
        <v>5542</v>
      </c>
      <c r="E1586" t="s">
        <v>5543</v>
      </c>
      <c r="F1586" t="s">
        <v>53</v>
      </c>
      <c r="K1586" s="18">
        <v>45790.916666666664</v>
      </c>
      <c r="L1586" t="s">
        <v>88</v>
      </c>
    </row>
    <row r="1587" spans="1:12" x14ac:dyDescent="0.3">
      <c r="A1587" t="s">
        <v>5544</v>
      </c>
      <c r="B1587">
        <v>915</v>
      </c>
      <c r="C1587" t="s">
        <v>5545</v>
      </c>
      <c r="L1587" t="s">
        <v>16</v>
      </c>
    </row>
    <row r="1588" spans="1:12" x14ac:dyDescent="0.3">
      <c r="A1588" t="s">
        <v>5546</v>
      </c>
      <c r="B1588">
        <v>726</v>
      </c>
      <c r="C1588" t="s">
        <v>5547</v>
      </c>
      <c r="E1588" t="s">
        <v>5548</v>
      </c>
      <c r="F1588" t="s">
        <v>15</v>
      </c>
      <c r="G1588" s="18">
        <v>44787.916666666664</v>
      </c>
      <c r="K1588" s="18">
        <v>45687.958333333336</v>
      </c>
      <c r="L1588" t="s">
        <v>16</v>
      </c>
    </row>
    <row r="1589" spans="1:12" x14ac:dyDescent="0.3">
      <c r="A1589" t="s">
        <v>5549</v>
      </c>
      <c r="B1589">
        <v>1565</v>
      </c>
      <c r="C1589" t="s">
        <v>5550</v>
      </c>
      <c r="E1589" t="s">
        <v>5551</v>
      </c>
      <c r="F1589" t="s">
        <v>53</v>
      </c>
      <c r="L1589" t="s">
        <v>37</v>
      </c>
    </row>
    <row r="1590" spans="1:12" x14ac:dyDescent="0.3">
      <c r="A1590" t="s">
        <v>5552</v>
      </c>
      <c r="B1590">
        <v>2109</v>
      </c>
      <c r="C1590" t="s">
        <v>5553</v>
      </c>
      <c r="D1590" t="s">
        <v>5554</v>
      </c>
      <c r="E1590" t="s">
        <v>5555</v>
      </c>
    </row>
    <row r="1591" spans="1:12" x14ac:dyDescent="0.3">
      <c r="A1591" t="s">
        <v>5556</v>
      </c>
      <c r="B1591">
        <v>1218</v>
      </c>
      <c r="C1591" t="s">
        <v>5557</v>
      </c>
      <c r="E1591" t="s">
        <v>5558</v>
      </c>
      <c r="F1591" t="s">
        <v>15</v>
      </c>
      <c r="G1591" s="18">
        <v>45768.916666666664</v>
      </c>
      <c r="K1591" s="18">
        <v>45785.916666666664</v>
      </c>
      <c r="L1591" t="s">
        <v>16</v>
      </c>
    </row>
    <row r="1592" spans="1:12" x14ac:dyDescent="0.3">
      <c r="A1592" t="s">
        <v>5559</v>
      </c>
      <c r="B1592">
        <v>1139</v>
      </c>
      <c r="C1592" t="s">
        <v>5560</v>
      </c>
      <c r="E1592" t="s">
        <v>5561</v>
      </c>
      <c r="F1592" t="s">
        <v>15</v>
      </c>
      <c r="G1592" s="18">
        <v>45373.958333333336</v>
      </c>
      <c r="H1592" s="18">
        <v>45578.916666666664</v>
      </c>
      <c r="K1592" s="18">
        <v>45578.916666666664</v>
      </c>
      <c r="L1592" t="s">
        <v>16</v>
      </c>
    </row>
    <row r="1593" spans="1:12" x14ac:dyDescent="0.3">
      <c r="A1593" t="s">
        <v>5562</v>
      </c>
      <c r="B1593">
        <v>800</v>
      </c>
      <c r="C1593" t="s">
        <v>5563</v>
      </c>
      <c r="E1593" t="s">
        <v>5564</v>
      </c>
      <c r="F1593" t="s">
        <v>71</v>
      </c>
      <c r="L1593" t="s">
        <v>16</v>
      </c>
    </row>
    <row r="1594" spans="1:12" x14ac:dyDescent="0.3">
      <c r="A1594" t="s">
        <v>5565</v>
      </c>
      <c r="B1594">
        <v>1753</v>
      </c>
      <c r="C1594" t="s">
        <v>5566</v>
      </c>
      <c r="D1594" t="s">
        <v>5567</v>
      </c>
      <c r="E1594" t="s">
        <v>5568</v>
      </c>
    </row>
    <row r="1595" spans="1:12" x14ac:dyDescent="0.3">
      <c r="A1595" t="s">
        <v>5569</v>
      </c>
      <c r="B1595">
        <v>476</v>
      </c>
      <c r="C1595" t="s">
        <v>5570</v>
      </c>
      <c r="D1595" t="s">
        <v>2366</v>
      </c>
      <c r="E1595" t="s">
        <v>5571</v>
      </c>
      <c r="F1595" t="s">
        <v>41</v>
      </c>
      <c r="G1595" s="18">
        <v>45800.916666666664</v>
      </c>
      <c r="L1595" t="s">
        <v>21</v>
      </c>
    </row>
    <row r="1596" spans="1:12" x14ac:dyDescent="0.3">
      <c r="A1596" t="s">
        <v>5572</v>
      </c>
      <c r="B1596">
        <v>1877</v>
      </c>
      <c r="C1596" t="s">
        <v>5573</v>
      </c>
      <c r="D1596" t="s">
        <v>5574</v>
      </c>
      <c r="E1596" t="s">
        <v>5575</v>
      </c>
    </row>
    <row r="1597" spans="1:12" x14ac:dyDescent="0.3">
      <c r="A1597" t="s">
        <v>5576</v>
      </c>
      <c r="B1597">
        <v>23</v>
      </c>
      <c r="C1597" t="s">
        <v>5577</v>
      </c>
      <c r="E1597" t="s">
        <v>5578</v>
      </c>
      <c r="F1597" t="s">
        <v>53</v>
      </c>
      <c r="K1597" s="18">
        <v>45808.916666666664</v>
      </c>
      <c r="L1597" t="s">
        <v>16</v>
      </c>
    </row>
    <row r="1598" spans="1:12" x14ac:dyDescent="0.3">
      <c r="A1598" t="s">
        <v>5579</v>
      </c>
      <c r="B1598">
        <v>367</v>
      </c>
      <c r="C1598" t="s">
        <v>5580</v>
      </c>
      <c r="D1598" t="s">
        <v>5581</v>
      </c>
      <c r="E1598" t="s">
        <v>5582</v>
      </c>
      <c r="F1598" t="s">
        <v>53</v>
      </c>
      <c r="L1598" t="s">
        <v>16</v>
      </c>
    </row>
    <row r="1599" spans="1:12" x14ac:dyDescent="0.3">
      <c r="A1599" t="s">
        <v>5583</v>
      </c>
      <c r="B1599">
        <v>1913</v>
      </c>
      <c r="C1599" t="s">
        <v>5584</v>
      </c>
      <c r="D1599" t="s">
        <v>5585</v>
      </c>
      <c r="E1599" t="s">
        <v>5586</v>
      </c>
    </row>
    <row r="1600" spans="1:12" x14ac:dyDescent="0.3">
      <c r="A1600" t="s">
        <v>5587</v>
      </c>
      <c r="B1600">
        <v>2041</v>
      </c>
      <c r="C1600" t="s">
        <v>5588</v>
      </c>
      <c r="D1600" t="s">
        <v>5585</v>
      </c>
      <c r="E1600" t="s">
        <v>5586</v>
      </c>
    </row>
    <row r="1601" spans="1:12" x14ac:dyDescent="0.3">
      <c r="A1601" t="s">
        <v>5589</v>
      </c>
      <c r="B1601">
        <v>1566</v>
      </c>
      <c r="C1601" t="s">
        <v>5590</v>
      </c>
      <c r="E1601" t="s">
        <v>5591</v>
      </c>
      <c r="F1601" t="s">
        <v>53</v>
      </c>
      <c r="G1601" s="18">
        <v>45781.916666666664</v>
      </c>
      <c r="K1601" s="18">
        <v>45840.916666666664</v>
      </c>
      <c r="L1601" t="s">
        <v>37</v>
      </c>
    </row>
    <row r="1602" spans="1:12" x14ac:dyDescent="0.3">
      <c r="A1602" t="s">
        <v>5592</v>
      </c>
      <c r="B1602">
        <v>159</v>
      </c>
      <c r="C1602" t="s">
        <v>5593</v>
      </c>
      <c r="D1602" t="s">
        <v>5594</v>
      </c>
      <c r="E1602" t="s">
        <v>5595</v>
      </c>
      <c r="F1602" t="s">
        <v>15</v>
      </c>
      <c r="K1602" s="18">
        <v>45816.916666666664</v>
      </c>
      <c r="L1602" t="s">
        <v>16</v>
      </c>
    </row>
    <row r="1603" spans="1:12" x14ac:dyDescent="0.3">
      <c r="A1603" t="s">
        <v>5596</v>
      </c>
      <c r="B1603">
        <v>1287</v>
      </c>
      <c r="C1603" t="s">
        <v>5597</v>
      </c>
      <c r="E1603" t="s">
        <v>5598</v>
      </c>
      <c r="F1603" t="s">
        <v>49</v>
      </c>
      <c r="L1603" t="s">
        <v>16</v>
      </c>
    </row>
    <row r="1604" spans="1:12" x14ac:dyDescent="0.3">
      <c r="A1604" t="s">
        <v>5599</v>
      </c>
      <c r="B1604">
        <v>522</v>
      </c>
      <c r="C1604" t="s">
        <v>5600</v>
      </c>
      <c r="E1604" t="s">
        <v>5601</v>
      </c>
      <c r="F1604" t="s">
        <v>41</v>
      </c>
      <c r="G1604" s="18">
        <v>45590.916666666664</v>
      </c>
      <c r="L1604" t="s">
        <v>37</v>
      </c>
    </row>
    <row r="1605" spans="1:12" x14ac:dyDescent="0.3">
      <c r="A1605" t="s">
        <v>5602</v>
      </c>
      <c r="B1605">
        <v>626</v>
      </c>
      <c r="C1605" t="s">
        <v>5603</v>
      </c>
      <c r="D1605" t="s">
        <v>5604</v>
      </c>
      <c r="E1605" t="s">
        <v>5605</v>
      </c>
      <c r="F1605" t="s">
        <v>53</v>
      </c>
      <c r="L1605" t="s">
        <v>315</v>
      </c>
    </row>
    <row r="1606" spans="1:12" x14ac:dyDescent="0.3">
      <c r="A1606" t="s">
        <v>5606</v>
      </c>
      <c r="B1606">
        <v>1798</v>
      </c>
      <c r="C1606" t="s">
        <v>5607</v>
      </c>
      <c r="D1606" t="s">
        <v>5608</v>
      </c>
      <c r="E1606" t="s">
        <v>5609</v>
      </c>
      <c r="F1606" t="s">
        <v>53</v>
      </c>
      <c r="L1606" t="s">
        <v>148</v>
      </c>
    </row>
    <row r="1607" spans="1:12" x14ac:dyDescent="0.3">
      <c r="A1607" t="s">
        <v>5610</v>
      </c>
      <c r="B1607">
        <v>1202</v>
      </c>
      <c r="C1607" t="s">
        <v>5611</v>
      </c>
      <c r="E1607" t="s">
        <v>5612</v>
      </c>
      <c r="F1607" t="s">
        <v>275</v>
      </c>
      <c r="G1607" s="18">
        <v>45761.916666666664</v>
      </c>
      <c r="K1607" s="18">
        <v>45791.916666666664</v>
      </c>
      <c r="L1607" t="s">
        <v>21</v>
      </c>
    </row>
    <row r="1608" spans="1:12" x14ac:dyDescent="0.3">
      <c r="A1608" t="s">
        <v>5613</v>
      </c>
      <c r="B1608">
        <v>241</v>
      </c>
      <c r="C1608" t="s">
        <v>5614</v>
      </c>
      <c r="D1608" t="s">
        <v>5615</v>
      </c>
      <c r="E1608" t="s">
        <v>5616</v>
      </c>
      <c r="F1608" t="s">
        <v>41</v>
      </c>
      <c r="G1608" s="18">
        <v>45779.916666666664</v>
      </c>
      <c r="L1608" t="s">
        <v>16</v>
      </c>
    </row>
    <row r="1609" spans="1:12" x14ac:dyDescent="0.3">
      <c r="A1609" t="s">
        <v>5617</v>
      </c>
      <c r="B1609">
        <v>371</v>
      </c>
      <c r="C1609" t="s">
        <v>5618</v>
      </c>
      <c r="D1609" t="s">
        <v>5619</v>
      </c>
      <c r="E1609" t="s">
        <v>5620</v>
      </c>
      <c r="F1609" t="s">
        <v>36</v>
      </c>
      <c r="G1609" s="18">
        <v>45761.916666666664</v>
      </c>
      <c r="L1609" t="s">
        <v>16</v>
      </c>
    </row>
    <row r="1610" spans="1:12" x14ac:dyDescent="0.3">
      <c r="A1610" t="s">
        <v>5621</v>
      </c>
      <c r="B1610">
        <v>1289</v>
      </c>
      <c r="C1610" t="s">
        <v>5622</v>
      </c>
      <c r="E1610" t="s">
        <v>5623</v>
      </c>
      <c r="F1610" t="s">
        <v>49</v>
      </c>
      <c r="L1610" t="s">
        <v>16</v>
      </c>
    </row>
    <row r="1611" spans="1:12" x14ac:dyDescent="0.3">
      <c r="A1611" t="s">
        <v>5624</v>
      </c>
      <c r="B1611">
        <v>222</v>
      </c>
      <c r="C1611" t="s">
        <v>5625</v>
      </c>
      <c r="D1611" t="s">
        <v>5626</v>
      </c>
      <c r="E1611" t="s">
        <v>5627</v>
      </c>
      <c r="F1611" t="s">
        <v>41</v>
      </c>
      <c r="G1611" s="18">
        <v>45547.916666666664</v>
      </c>
      <c r="L1611" t="s">
        <v>21</v>
      </c>
    </row>
    <row r="1612" spans="1:12" x14ac:dyDescent="0.3">
      <c r="A1612" t="s">
        <v>5628</v>
      </c>
      <c r="B1612">
        <v>345</v>
      </c>
      <c r="C1612" t="s">
        <v>5629</v>
      </c>
      <c r="D1612" t="s">
        <v>5630</v>
      </c>
      <c r="E1612" t="s">
        <v>5631</v>
      </c>
      <c r="F1612" t="s">
        <v>41</v>
      </c>
      <c r="G1612" s="18">
        <v>45761.916666666664</v>
      </c>
      <c r="L1612" t="s">
        <v>88</v>
      </c>
    </row>
    <row r="1613" spans="1:12" x14ac:dyDescent="0.3">
      <c r="A1613" t="s">
        <v>5632</v>
      </c>
      <c r="B1613">
        <v>539</v>
      </c>
      <c r="C1613" t="s">
        <v>5633</v>
      </c>
      <c r="D1613" t="s">
        <v>5634</v>
      </c>
      <c r="E1613" t="s">
        <v>5635</v>
      </c>
      <c r="F1613" t="s">
        <v>41</v>
      </c>
      <c r="G1613" s="18">
        <v>45761.916666666664</v>
      </c>
      <c r="L1613" t="s">
        <v>16</v>
      </c>
    </row>
    <row r="1614" spans="1:12" x14ac:dyDescent="0.3">
      <c r="A1614" t="s">
        <v>5636</v>
      </c>
      <c r="B1614">
        <v>326</v>
      </c>
      <c r="C1614" t="s">
        <v>5637</v>
      </c>
      <c r="D1614" t="s">
        <v>5638</v>
      </c>
      <c r="E1614" t="s">
        <v>5639</v>
      </c>
      <c r="F1614" t="s">
        <v>41</v>
      </c>
      <c r="G1614" s="18">
        <v>45761.916666666664</v>
      </c>
      <c r="L1614" t="s">
        <v>21</v>
      </c>
    </row>
    <row r="1615" spans="1:12" x14ac:dyDescent="0.3">
      <c r="A1615" t="s">
        <v>5640</v>
      </c>
      <c r="B1615">
        <v>412</v>
      </c>
      <c r="C1615" t="s">
        <v>5641</v>
      </c>
      <c r="E1615" t="s">
        <v>5642</v>
      </c>
      <c r="F1615" t="s">
        <v>41</v>
      </c>
      <c r="G1615" s="18">
        <v>45761.916666666664</v>
      </c>
      <c r="L1615" t="s">
        <v>16</v>
      </c>
    </row>
    <row r="1616" spans="1:12" x14ac:dyDescent="0.3">
      <c r="A1616" t="s">
        <v>5643</v>
      </c>
      <c r="B1616">
        <v>859</v>
      </c>
      <c r="C1616" t="s">
        <v>5644</v>
      </c>
      <c r="E1616" t="s">
        <v>5645</v>
      </c>
      <c r="F1616" t="s">
        <v>15</v>
      </c>
      <c r="G1616" s="18">
        <v>45376.958333333336</v>
      </c>
      <c r="H1616" s="18">
        <v>45457.916666666664</v>
      </c>
      <c r="L1616" t="s">
        <v>16</v>
      </c>
    </row>
    <row r="1617" spans="1:12" x14ac:dyDescent="0.3">
      <c r="A1617" t="s">
        <v>5646</v>
      </c>
      <c r="B1617">
        <v>1719</v>
      </c>
      <c r="C1617" t="s">
        <v>5647</v>
      </c>
      <c r="D1617" t="s">
        <v>5648</v>
      </c>
      <c r="E1617" t="s">
        <v>5649</v>
      </c>
    </row>
    <row r="1618" spans="1:12" x14ac:dyDescent="0.3">
      <c r="A1618" t="s">
        <v>5650</v>
      </c>
      <c r="B1618">
        <v>1567</v>
      </c>
      <c r="C1618" t="s">
        <v>5651</v>
      </c>
      <c r="E1618" t="s">
        <v>5652</v>
      </c>
      <c r="F1618" t="s">
        <v>53</v>
      </c>
      <c r="K1618" s="18">
        <v>45721.958333333336</v>
      </c>
      <c r="L1618" t="s">
        <v>37</v>
      </c>
    </row>
    <row r="1619" spans="1:12" x14ac:dyDescent="0.3">
      <c r="A1619" t="s">
        <v>5653</v>
      </c>
      <c r="B1619">
        <v>453</v>
      </c>
      <c r="C1619" t="s">
        <v>5654</v>
      </c>
      <c r="E1619" t="s">
        <v>5655</v>
      </c>
      <c r="F1619" t="s">
        <v>41</v>
      </c>
      <c r="G1619" s="18">
        <v>45685.958333333336</v>
      </c>
      <c r="L1619" t="s">
        <v>37</v>
      </c>
    </row>
    <row r="1620" spans="1:12" x14ac:dyDescent="0.3">
      <c r="A1620" t="s">
        <v>5656</v>
      </c>
      <c r="B1620">
        <v>433</v>
      </c>
      <c r="C1620" t="s">
        <v>5657</v>
      </c>
      <c r="D1620" t="s">
        <v>5658</v>
      </c>
      <c r="E1620" t="s">
        <v>5659</v>
      </c>
      <c r="F1620" t="s">
        <v>53</v>
      </c>
      <c r="L1620" t="s">
        <v>16</v>
      </c>
    </row>
    <row r="1621" spans="1:12" x14ac:dyDescent="0.3">
      <c r="A1621" t="s">
        <v>5660</v>
      </c>
      <c r="B1621">
        <v>172</v>
      </c>
      <c r="C1621" t="s">
        <v>5661</v>
      </c>
      <c r="E1621" t="s">
        <v>5662</v>
      </c>
      <c r="F1621" t="s">
        <v>41</v>
      </c>
      <c r="G1621" s="18">
        <v>45620.958333333336</v>
      </c>
      <c r="L1621" t="s">
        <v>37</v>
      </c>
    </row>
    <row r="1622" spans="1:12" x14ac:dyDescent="0.3">
      <c r="A1622" t="s">
        <v>5663</v>
      </c>
      <c r="B1622">
        <v>1444</v>
      </c>
      <c r="C1622" t="s">
        <v>5664</v>
      </c>
      <c r="D1622" t="s">
        <v>5665</v>
      </c>
      <c r="E1622" t="s">
        <v>5666</v>
      </c>
      <c r="F1622" t="s">
        <v>41</v>
      </c>
      <c r="G1622" s="18">
        <v>45821.916666666664</v>
      </c>
      <c r="L1622" t="s">
        <v>21</v>
      </c>
    </row>
    <row r="1623" spans="1:12" x14ac:dyDescent="0.3">
      <c r="A1623" t="s">
        <v>5667</v>
      </c>
      <c r="B1623">
        <v>465</v>
      </c>
      <c r="C1623" t="s">
        <v>5668</v>
      </c>
      <c r="E1623" t="s">
        <v>5669</v>
      </c>
      <c r="F1623" t="s">
        <v>53</v>
      </c>
      <c r="L1623" t="s">
        <v>16</v>
      </c>
    </row>
    <row r="1624" spans="1:12" x14ac:dyDescent="0.3">
      <c r="A1624" t="s">
        <v>5670</v>
      </c>
      <c r="B1624">
        <v>1569</v>
      </c>
      <c r="C1624" t="s">
        <v>5671</v>
      </c>
      <c r="D1624" t="s">
        <v>5672</v>
      </c>
      <c r="E1624" t="s">
        <v>5673</v>
      </c>
      <c r="F1624" t="s">
        <v>53</v>
      </c>
      <c r="L1624" t="s">
        <v>37</v>
      </c>
    </row>
    <row r="1625" spans="1:12" x14ac:dyDescent="0.3">
      <c r="A1625" t="s">
        <v>5674</v>
      </c>
      <c r="B1625">
        <v>496</v>
      </c>
      <c r="C1625" t="s">
        <v>5675</v>
      </c>
      <c r="D1625" t="s">
        <v>5676</v>
      </c>
      <c r="E1625" t="s">
        <v>5677</v>
      </c>
      <c r="F1625" t="s">
        <v>53</v>
      </c>
      <c r="L1625" t="s">
        <v>16</v>
      </c>
    </row>
    <row r="1626" spans="1:12" x14ac:dyDescent="0.3">
      <c r="A1626" t="s">
        <v>5678</v>
      </c>
      <c r="B1626">
        <v>1779</v>
      </c>
      <c r="C1626" t="s">
        <v>5679</v>
      </c>
      <c r="D1626" t="s">
        <v>5680</v>
      </c>
      <c r="E1626" t="s">
        <v>5681</v>
      </c>
      <c r="F1626" t="s">
        <v>53</v>
      </c>
      <c r="L1626" t="s">
        <v>315</v>
      </c>
    </row>
    <row r="1627" spans="1:12" x14ac:dyDescent="0.3">
      <c r="A1627" t="s">
        <v>5682</v>
      </c>
      <c r="B1627">
        <v>132</v>
      </c>
      <c r="C1627" t="s">
        <v>5683</v>
      </c>
      <c r="E1627" t="s">
        <v>5684</v>
      </c>
      <c r="F1627" t="s">
        <v>41</v>
      </c>
      <c r="G1627" s="18">
        <v>45761.916666666664</v>
      </c>
      <c r="L1627" t="s">
        <v>21</v>
      </c>
    </row>
    <row r="1628" spans="1:12" x14ac:dyDescent="0.3">
      <c r="A1628" t="s">
        <v>5685</v>
      </c>
      <c r="B1628">
        <v>220</v>
      </c>
      <c r="C1628" t="s">
        <v>5686</v>
      </c>
      <c r="D1628" t="s">
        <v>5687</v>
      </c>
      <c r="E1628" t="s">
        <v>5688</v>
      </c>
      <c r="F1628" t="s">
        <v>41</v>
      </c>
      <c r="G1628" s="18">
        <v>45781.916666666664</v>
      </c>
      <c r="L1628" t="s">
        <v>21</v>
      </c>
    </row>
    <row r="1629" spans="1:12" x14ac:dyDescent="0.3">
      <c r="A1629" t="s">
        <v>5689</v>
      </c>
      <c r="B1629">
        <v>1570</v>
      </c>
      <c r="C1629" t="s">
        <v>5690</v>
      </c>
      <c r="E1629" t="s">
        <v>5691</v>
      </c>
      <c r="F1629" t="s">
        <v>53</v>
      </c>
      <c r="L1629" t="s">
        <v>37</v>
      </c>
    </row>
    <row r="1630" spans="1:12" x14ac:dyDescent="0.3">
      <c r="A1630" t="s">
        <v>5692</v>
      </c>
      <c r="B1630">
        <v>1800</v>
      </c>
      <c r="C1630" t="s">
        <v>5693</v>
      </c>
      <c r="D1630" t="s">
        <v>5694</v>
      </c>
      <c r="E1630" t="s">
        <v>5695</v>
      </c>
      <c r="F1630" t="s">
        <v>53</v>
      </c>
      <c r="L1630" t="s">
        <v>5696</v>
      </c>
    </row>
    <row r="1631" spans="1:12" x14ac:dyDescent="0.3">
      <c r="A1631" t="s">
        <v>5697</v>
      </c>
      <c r="B1631">
        <v>2096</v>
      </c>
      <c r="C1631" t="s">
        <v>5698</v>
      </c>
      <c r="D1631" t="s">
        <v>5699</v>
      </c>
      <c r="E1631" t="s">
        <v>5700</v>
      </c>
    </row>
    <row r="1632" spans="1:12" x14ac:dyDescent="0.3">
      <c r="A1632" t="s">
        <v>5701</v>
      </c>
      <c r="B1632">
        <v>245</v>
      </c>
      <c r="C1632" t="s">
        <v>5702</v>
      </c>
      <c r="D1632" t="s">
        <v>5703</v>
      </c>
      <c r="E1632" t="s">
        <v>5704</v>
      </c>
      <c r="F1632" t="s">
        <v>41</v>
      </c>
      <c r="G1632" s="18">
        <v>45097.916666666664</v>
      </c>
      <c r="L1632" t="s">
        <v>16</v>
      </c>
    </row>
    <row r="1633" spans="1:12" x14ac:dyDescent="0.3">
      <c r="A1633" t="s">
        <v>5705</v>
      </c>
      <c r="B1633">
        <v>997</v>
      </c>
      <c r="C1633" t="s">
        <v>5706</v>
      </c>
      <c r="E1633" t="s">
        <v>5707</v>
      </c>
      <c r="F1633" t="s">
        <v>15</v>
      </c>
      <c r="G1633" s="18">
        <v>45380.958333333336</v>
      </c>
      <c r="H1633" s="18">
        <v>45398.916666666664</v>
      </c>
      <c r="L1633" t="s">
        <v>16</v>
      </c>
    </row>
    <row r="1634" spans="1:12" x14ac:dyDescent="0.3">
      <c r="A1634" t="s">
        <v>5708</v>
      </c>
      <c r="B1634">
        <v>1161</v>
      </c>
      <c r="C1634" t="s">
        <v>5709</v>
      </c>
      <c r="E1634" t="s">
        <v>5710</v>
      </c>
      <c r="F1634" t="s">
        <v>15</v>
      </c>
      <c r="K1634" s="18">
        <v>45644.958333333336</v>
      </c>
      <c r="L1634" t="s">
        <v>21</v>
      </c>
    </row>
    <row r="1635" spans="1:12" x14ac:dyDescent="0.3">
      <c r="A1635" t="s">
        <v>5711</v>
      </c>
      <c r="B1635">
        <v>535</v>
      </c>
      <c r="C1635" t="s">
        <v>5712</v>
      </c>
      <c r="E1635" t="s">
        <v>5713</v>
      </c>
      <c r="F1635" t="s">
        <v>53</v>
      </c>
      <c r="L1635" t="s">
        <v>16</v>
      </c>
    </row>
    <row r="1636" spans="1:12" x14ac:dyDescent="0.3">
      <c r="A1636" t="s">
        <v>5714</v>
      </c>
      <c r="B1636">
        <v>1179</v>
      </c>
      <c r="C1636" t="s">
        <v>5715</v>
      </c>
    </row>
    <row r="1637" spans="1:12" x14ac:dyDescent="0.3">
      <c r="A1637" t="s">
        <v>5716</v>
      </c>
      <c r="B1637">
        <v>998</v>
      </c>
      <c r="C1637" t="s">
        <v>5717</v>
      </c>
      <c r="E1637" t="s">
        <v>5718</v>
      </c>
      <c r="F1637" t="s">
        <v>15</v>
      </c>
      <c r="G1637" s="18">
        <v>45380.958333333336</v>
      </c>
      <c r="H1637" s="18">
        <v>45398.916666666664</v>
      </c>
      <c r="L1637" t="s">
        <v>16</v>
      </c>
    </row>
    <row r="1638" spans="1:12" x14ac:dyDescent="0.3">
      <c r="A1638" t="s">
        <v>5719</v>
      </c>
      <c r="B1638">
        <v>811</v>
      </c>
      <c r="C1638" t="s">
        <v>5720</v>
      </c>
      <c r="D1638" t="s">
        <v>5721</v>
      </c>
      <c r="E1638" t="s">
        <v>5722</v>
      </c>
      <c r="F1638" t="s">
        <v>41</v>
      </c>
      <c r="G1638" s="18">
        <v>45864.916666666664</v>
      </c>
      <c r="L1638" t="s">
        <v>88</v>
      </c>
    </row>
    <row r="1639" spans="1:12" x14ac:dyDescent="0.3">
      <c r="A1639" t="s">
        <v>5723</v>
      </c>
      <c r="B1639">
        <v>1016</v>
      </c>
      <c r="C1639" t="s">
        <v>5724</v>
      </c>
      <c r="E1639" t="s">
        <v>5725</v>
      </c>
      <c r="L1639" t="s">
        <v>16</v>
      </c>
    </row>
    <row r="1640" spans="1:12" x14ac:dyDescent="0.3">
      <c r="A1640" t="s">
        <v>5726</v>
      </c>
      <c r="B1640">
        <v>2059</v>
      </c>
      <c r="C1640" t="s">
        <v>5727</v>
      </c>
      <c r="D1640" t="s">
        <v>5728</v>
      </c>
      <c r="E1640" t="s">
        <v>5729</v>
      </c>
    </row>
    <row r="1641" spans="1:12" x14ac:dyDescent="0.3">
      <c r="A1641" t="s">
        <v>5730</v>
      </c>
      <c r="B1641">
        <v>1571</v>
      </c>
      <c r="C1641" t="s">
        <v>5731</v>
      </c>
      <c r="D1641" t="s">
        <v>5732</v>
      </c>
      <c r="E1641" t="s">
        <v>5733</v>
      </c>
      <c r="F1641" t="s">
        <v>53</v>
      </c>
      <c r="L1641" t="s">
        <v>315</v>
      </c>
    </row>
    <row r="1642" spans="1:12" x14ac:dyDescent="0.3">
      <c r="A1642" t="s">
        <v>5734</v>
      </c>
      <c r="B1642">
        <v>748</v>
      </c>
      <c r="C1642" t="s">
        <v>5735</v>
      </c>
      <c r="E1642" t="s">
        <v>5736</v>
      </c>
      <c r="F1642" t="s">
        <v>170</v>
      </c>
      <c r="K1642" s="18">
        <v>45739.958333333336</v>
      </c>
      <c r="L1642" t="s">
        <v>21</v>
      </c>
    </row>
    <row r="1643" spans="1:12" x14ac:dyDescent="0.3">
      <c r="A1643" t="s">
        <v>5737</v>
      </c>
      <c r="B1643">
        <v>2125</v>
      </c>
      <c r="C1643" t="s">
        <v>5738</v>
      </c>
      <c r="D1643" t="s">
        <v>5739</v>
      </c>
      <c r="E1643" t="s">
        <v>5740</v>
      </c>
    </row>
    <row r="1644" spans="1:12" x14ac:dyDescent="0.3">
      <c r="A1644" t="s">
        <v>5741</v>
      </c>
      <c r="B1644">
        <v>1572</v>
      </c>
      <c r="C1644" t="s">
        <v>5742</v>
      </c>
      <c r="E1644" t="s">
        <v>5743</v>
      </c>
      <c r="F1644" t="s">
        <v>53</v>
      </c>
      <c r="L1644" t="s">
        <v>37</v>
      </c>
    </row>
    <row r="1645" spans="1:12" x14ac:dyDescent="0.3">
      <c r="A1645" t="s">
        <v>5744</v>
      </c>
      <c r="B1645">
        <v>74</v>
      </c>
      <c r="C1645" t="s">
        <v>5745</v>
      </c>
      <c r="D1645" t="s">
        <v>5746</v>
      </c>
      <c r="E1645" t="s">
        <v>5747</v>
      </c>
      <c r="F1645" t="s">
        <v>53</v>
      </c>
      <c r="L1645" t="s">
        <v>16</v>
      </c>
    </row>
    <row r="1646" spans="1:12" x14ac:dyDescent="0.3">
      <c r="A1646" t="s">
        <v>5748</v>
      </c>
      <c r="B1646">
        <v>1424</v>
      </c>
      <c r="C1646" t="s">
        <v>5749</v>
      </c>
      <c r="E1646" t="s">
        <v>5750</v>
      </c>
      <c r="F1646" t="s">
        <v>53</v>
      </c>
      <c r="I1646" s="18">
        <v>45811.916666666664</v>
      </c>
      <c r="J1646" s="18">
        <v>45842.916666666664</v>
      </c>
      <c r="L1646" t="s">
        <v>21</v>
      </c>
    </row>
    <row r="1647" spans="1:12" x14ac:dyDescent="0.3">
      <c r="A1647" t="s">
        <v>5751</v>
      </c>
      <c r="B1647">
        <v>598</v>
      </c>
      <c r="C1647" t="s">
        <v>5752</v>
      </c>
      <c r="D1647" t="s">
        <v>5753</v>
      </c>
      <c r="E1647" t="s">
        <v>5754</v>
      </c>
      <c r="F1647" t="s">
        <v>53</v>
      </c>
      <c r="L1647" t="s">
        <v>16</v>
      </c>
    </row>
    <row r="1648" spans="1:12" x14ac:dyDescent="0.3">
      <c r="A1648" t="s">
        <v>5755</v>
      </c>
      <c r="B1648">
        <v>1445</v>
      </c>
      <c r="C1648" t="s">
        <v>5756</v>
      </c>
      <c r="D1648" t="s">
        <v>5757</v>
      </c>
      <c r="E1648" t="s">
        <v>5758</v>
      </c>
      <c r="F1648" t="s">
        <v>41</v>
      </c>
      <c r="G1648" s="18">
        <v>45821.916666666664</v>
      </c>
      <c r="L1648" t="s">
        <v>21</v>
      </c>
    </row>
    <row r="1649" spans="1:12" x14ac:dyDescent="0.3">
      <c r="A1649" t="s">
        <v>5759</v>
      </c>
      <c r="B1649">
        <v>1573</v>
      </c>
      <c r="C1649" t="s">
        <v>5760</v>
      </c>
      <c r="D1649" t="s">
        <v>5761</v>
      </c>
      <c r="E1649" t="s">
        <v>5762</v>
      </c>
      <c r="F1649" t="s">
        <v>53</v>
      </c>
      <c r="L1649" t="s">
        <v>315</v>
      </c>
    </row>
    <row r="1650" spans="1:12" x14ac:dyDescent="0.3">
      <c r="A1650" t="s">
        <v>5763</v>
      </c>
      <c r="B1650">
        <v>1075</v>
      </c>
      <c r="C1650" t="s">
        <v>5764</v>
      </c>
      <c r="E1650" t="s">
        <v>5765</v>
      </c>
      <c r="F1650" t="s">
        <v>15</v>
      </c>
      <c r="K1650" s="18">
        <v>45755.916666666664</v>
      </c>
      <c r="L1650" t="s">
        <v>16</v>
      </c>
    </row>
    <row r="1651" spans="1:12" x14ac:dyDescent="0.3">
      <c r="A1651" t="s">
        <v>5766</v>
      </c>
      <c r="B1651">
        <v>1905</v>
      </c>
      <c r="C1651" t="s">
        <v>5767</v>
      </c>
      <c r="D1651" t="s">
        <v>5768</v>
      </c>
      <c r="E1651" t="s">
        <v>5769</v>
      </c>
    </row>
    <row r="1652" spans="1:12" x14ac:dyDescent="0.3">
      <c r="A1652" t="s">
        <v>5770</v>
      </c>
      <c r="B1652">
        <v>715</v>
      </c>
      <c r="C1652" t="s">
        <v>5771</v>
      </c>
      <c r="E1652" t="s">
        <v>5772</v>
      </c>
      <c r="F1652" t="s">
        <v>71</v>
      </c>
      <c r="G1652" s="18">
        <v>45461.916666666664</v>
      </c>
      <c r="H1652" s="18">
        <v>45462.916666666664</v>
      </c>
      <c r="L1652" t="s">
        <v>16</v>
      </c>
    </row>
    <row r="1653" spans="1:12" x14ac:dyDescent="0.3">
      <c r="A1653" t="s">
        <v>5773</v>
      </c>
      <c r="B1653">
        <v>606</v>
      </c>
      <c r="C1653" t="s">
        <v>5774</v>
      </c>
      <c r="D1653" t="s">
        <v>5775</v>
      </c>
      <c r="E1653" t="s">
        <v>5776</v>
      </c>
      <c r="F1653" t="s">
        <v>41</v>
      </c>
      <c r="G1653" s="18">
        <v>45306.958333333336</v>
      </c>
      <c r="L1653" t="s">
        <v>16</v>
      </c>
    </row>
    <row r="1654" spans="1:12" x14ac:dyDescent="0.3">
      <c r="A1654" t="s">
        <v>5777</v>
      </c>
      <c r="B1654">
        <v>531</v>
      </c>
      <c r="C1654" t="s">
        <v>5778</v>
      </c>
      <c r="E1654" t="s">
        <v>5779</v>
      </c>
      <c r="F1654" t="s">
        <v>41</v>
      </c>
      <c r="G1654" s="18">
        <v>45778.916666666664</v>
      </c>
      <c r="L1654" t="s">
        <v>21</v>
      </c>
    </row>
    <row r="1655" spans="1:12" x14ac:dyDescent="0.3">
      <c r="A1655" t="s">
        <v>5780</v>
      </c>
      <c r="B1655">
        <v>1996</v>
      </c>
      <c r="C1655" t="s">
        <v>5781</v>
      </c>
      <c r="D1655" t="s">
        <v>5782</v>
      </c>
      <c r="E1655" t="s">
        <v>5783</v>
      </c>
    </row>
    <row r="1656" spans="1:12" x14ac:dyDescent="0.3">
      <c r="A1656" t="s">
        <v>5784</v>
      </c>
      <c r="B1656">
        <v>616</v>
      </c>
      <c r="C1656" t="s">
        <v>5785</v>
      </c>
      <c r="D1656" t="s">
        <v>5786</v>
      </c>
      <c r="E1656" t="s">
        <v>5787</v>
      </c>
      <c r="F1656" t="s">
        <v>53</v>
      </c>
      <c r="L1656" t="s">
        <v>88</v>
      </c>
    </row>
    <row r="1657" spans="1:12" x14ac:dyDescent="0.3">
      <c r="A1657" t="s">
        <v>5788</v>
      </c>
      <c r="B1657">
        <v>664</v>
      </c>
      <c r="C1657" t="s">
        <v>5789</v>
      </c>
      <c r="E1657" t="s">
        <v>5790</v>
      </c>
      <c r="F1657" t="s">
        <v>15</v>
      </c>
      <c r="K1657" s="18">
        <v>45666.958333333336</v>
      </c>
      <c r="L1657" t="s">
        <v>21</v>
      </c>
    </row>
    <row r="1658" spans="1:12" x14ac:dyDescent="0.3">
      <c r="A1658" t="s">
        <v>5791</v>
      </c>
      <c r="B1658">
        <v>790</v>
      </c>
      <c r="C1658" t="s">
        <v>5792</v>
      </c>
      <c r="D1658" t="s">
        <v>5793</v>
      </c>
      <c r="E1658" t="s">
        <v>5794</v>
      </c>
      <c r="F1658" t="s">
        <v>53</v>
      </c>
      <c r="K1658" s="18">
        <v>45655.958333333336</v>
      </c>
      <c r="L1658" t="s">
        <v>16</v>
      </c>
    </row>
    <row r="1659" spans="1:12" x14ac:dyDescent="0.3">
      <c r="A1659" t="s">
        <v>5795</v>
      </c>
      <c r="B1659">
        <v>1574</v>
      </c>
      <c r="C1659" t="s">
        <v>5796</v>
      </c>
      <c r="E1659" t="s">
        <v>5797</v>
      </c>
      <c r="F1659" t="s">
        <v>53</v>
      </c>
      <c r="L1659" t="s">
        <v>37</v>
      </c>
    </row>
    <row r="1660" spans="1:12" x14ac:dyDescent="0.3">
      <c r="A1660" t="s">
        <v>5798</v>
      </c>
      <c r="B1660">
        <v>1575</v>
      </c>
      <c r="C1660" t="s">
        <v>5799</v>
      </c>
      <c r="E1660" t="s">
        <v>5800</v>
      </c>
      <c r="F1660" t="s">
        <v>53</v>
      </c>
      <c r="L1660" t="s">
        <v>37</v>
      </c>
    </row>
    <row r="1661" spans="1:12" x14ac:dyDescent="0.3">
      <c r="A1661" t="s">
        <v>5801</v>
      </c>
      <c r="B1661">
        <v>486</v>
      </c>
      <c r="C1661" t="s">
        <v>5802</v>
      </c>
      <c r="E1661" t="s">
        <v>5803</v>
      </c>
      <c r="F1661" t="s">
        <v>57</v>
      </c>
      <c r="L1661" t="s">
        <v>21</v>
      </c>
    </row>
    <row r="1662" spans="1:12" x14ac:dyDescent="0.3">
      <c r="A1662" t="s">
        <v>5804</v>
      </c>
      <c r="B1662">
        <v>200</v>
      </c>
      <c r="C1662" t="s">
        <v>5805</v>
      </c>
      <c r="D1662" t="s">
        <v>5806</v>
      </c>
      <c r="E1662" t="s">
        <v>5807</v>
      </c>
      <c r="F1662" t="s">
        <v>57</v>
      </c>
      <c r="L1662" t="s">
        <v>21</v>
      </c>
    </row>
    <row r="1663" spans="1:12" x14ac:dyDescent="0.3">
      <c r="A1663" t="s">
        <v>5808</v>
      </c>
      <c r="B1663">
        <v>1645</v>
      </c>
      <c r="C1663" t="s">
        <v>5809</v>
      </c>
      <c r="E1663" t="s">
        <v>5810</v>
      </c>
      <c r="L1663" t="s">
        <v>16</v>
      </c>
    </row>
    <row r="1664" spans="1:12" x14ac:dyDescent="0.3">
      <c r="A1664" t="s">
        <v>5811</v>
      </c>
      <c r="B1664">
        <v>1103</v>
      </c>
      <c r="C1664" t="s">
        <v>5812</v>
      </c>
      <c r="E1664" t="s">
        <v>5813</v>
      </c>
    </row>
    <row r="1665" spans="1:12" x14ac:dyDescent="0.3">
      <c r="A1665" t="s">
        <v>5814</v>
      </c>
      <c r="B1665">
        <v>1180</v>
      </c>
      <c r="C1665" t="s">
        <v>5815</v>
      </c>
    </row>
    <row r="1666" spans="1:12" x14ac:dyDescent="0.3">
      <c r="A1666" t="s">
        <v>5816</v>
      </c>
      <c r="B1666">
        <v>1282</v>
      </c>
      <c r="C1666" t="s">
        <v>5817</v>
      </c>
    </row>
    <row r="1667" spans="1:12" x14ac:dyDescent="0.3">
      <c r="A1667" t="s">
        <v>5818</v>
      </c>
      <c r="B1667">
        <v>2060</v>
      </c>
      <c r="C1667" t="s">
        <v>5819</v>
      </c>
      <c r="D1667" t="s">
        <v>5820</v>
      </c>
      <c r="E1667" t="s">
        <v>5821</v>
      </c>
    </row>
    <row r="1668" spans="1:12" x14ac:dyDescent="0.3">
      <c r="A1668" t="s">
        <v>5822</v>
      </c>
      <c r="B1668">
        <v>1816</v>
      </c>
      <c r="C1668" t="s">
        <v>5823</v>
      </c>
      <c r="D1668" t="s">
        <v>5824</v>
      </c>
      <c r="E1668" t="s">
        <v>5825</v>
      </c>
    </row>
    <row r="1669" spans="1:12" x14ac:dyDescent="0.3">
      <c r="A1669" t="s">
        <v>5826</v>
      </c>
      <c r="B1669">
        <v>842</v>
      </c>
      <c r="C1669" t="s">
        <v>5827</v>
      </c>
      <c r="E1669" t="s">
        <v>5828</v>
      </c>
      <c r="F1669" t="s">
        <v>15</v>
      </c>
      <c r="G1669" s="18">
        <v>45508.916666666664</v>
      </c>
      <c r="K1669" s="18">
        <v>45632.958333333336</v>
      </c>
      <c r="L1669" t="s">
        <v>16</v>
      </c>
    </row>
    <row r="1670" spans="1:12" x14ac:dyDescent="0.3">
      <c r="A1670" t="s">
        <v>5829</v>
      </c>
      <c r="B1670">
        <v>327</v>
      </c>
      <c r="C1670" t="s">
        <v>5830</v>
      </c>
      <c r="D1670" t="s">
        <v>5831</v>
      </c>
      <c r="E1670" t="s">
        <v>5832</v>
      </c>
      <c r="F1670" t="s">
        <v>742</v>
      </c>
      <c r="L1670" t="s">
        <v>1842</v>
      </c>
    </row>
    <row r="1671" spans="1:12" x14ac:dyDescent="0.3">
      <c r="A1671" t="s">
        <v>5833</v>
      </c>
      <c r="B1671">
        <v>634</v>
      </c>
      <c r="C1671" t="s">
        <v>5834</v>
      </c>
      <c r="D1671" t="s">
        <v>5835</v>
      </c>
      <c r="E1671" t="s">
        <v>5836</v>
      </c>
      <c r="F1671" t="s">
        <v>53</v>
      </c>
      <c r="L1671" t="s">
        <v>16</v>
      </c>
    </row>
    <row r="1672" spans="1:12" x14ac:dyDescent="0.3">
      <c r="A1672" t="s">
        <v>5837</v>
      </c>
      <c r="B1672">
        <v>1729</v>
      </c>
      <c r="C1672" t="s">
        <v>5838</v>
      </c>
      <c r="D1672" t="s">
        <v>5839</v>
      </c>
      <c r="E1672" t="s">
        <v>5840</v>
      </c>
    </row>
    <row r="1673" spans="1:12" x14ac:dyDescent="0.3">
      <c r="A1673" t="s">
        <v>5841</v>
      </c>
      <c r="B1673">
        <v>290</v>
      </c>
      <c r="C1673" t="s">
        <v>5842</v>
      </c>
      <c r="E1673" t="s">
        <v>5843</v>
      </c>
      <c r="F1673" t="s">
        <v>41</v>
      </c>
      <c r="G1673" s="18">
        <v>45761.916666666664</v>
      </c>
      <c r="L1673" t="s">
        <v>21</v>
      </c>
    </row>
    <row r="1674" spans="1:12" x14ac:dyDescent="0.3">
      <c r="A1674" t="s">
        <v>5844</v>
      </c>
      <c r="B1674">
        <v>844</v>
      </c>
      <c r="C1674" t="s">
        <v>5845</v>
      </c>
      <c r="E1674" t="s">
        <v>5846</v>
      </c>
      <c r="F1674" t="s">
        <v>15</v>
      </c>
      <c r="G1674" s="18">
        <v>45508.916666666664</v>
      </c>
      <c r="K1674" s="18">
        <v>45625.958333333336</v>
      </c>
      <c r="L1674" t="s">
        <v>16</v>
      </c>
    </row>
    <row r="1675" spans="1:12" x14ac:dyDescent="0.3">
      <c r="A1675" t="s">
        <v>5847</v>
      </c>
      <c r="B1675">
        <v>1890</v>
      </c>
      <c r="C1675" t="s">
        <v>5848</v>
      </c>
      <c r="D1675" t="s">
        <v>5849</v>
      </c>
      <c r="E1675" t="s">
        <v>5850</v>
      </c>
    </row>
    <row r="1676" spans="1:12" x14ac:dyDescent="0.3">
      <c r="A1676" t="s">
        <v>5851</v>
      </c>
      <c r="B1676">
        <v>1264</v>
      </c>
      <c r="C1676" t="s">
        <v>5852</v>
      </c>
      <c r="E1676" t="s">
        <v>5853</v>
      </c>
      <c r="F1676" t="s">
        <v>71</v>
      </c>
      <c r="L1676" t="s">
        <v>21</v>
      </c>
    </row>
    <row r="1677" spans="1:12" x14ac:dyDescent="0.3">
      <c r="A1677" t="s">
        <v>5854</v>
      </c>
      <c r="B1677">
        <v>1197</v>
      </c>
      <c r="C1677" t="s">
        <v>5855</v>
      </c>
      <c r="E1677" t="s">
        <v>5856</v>
      </c>
      <c r="F1677" t="s">
        <v>15</v>
      </c>
      <c r="G1677" s="18">
        <v>45438.916666666664</v>
      </c>
      <c r="H1677" s="18">
        <v>45473.916666666664</v>
      </c>
      <c r="K1677" s="18">
        <v>45468.916666666664</v>
      </c>
      <c r="L1677" t="s">
        <v>16</v>
      </c>
    </row>
    <row r="1678" spans="1:12" x14ac:dyDescent="0.3">
      <c r="A1678" t="s">
        <v>5857</v>
      </c>
      <c r="B1678">
        <v>1425</v>
      </c>
      <c r="C1678" t="s">
        <v>5858</v>
      </c>
      <c r="D1678" t="s">
        <v>5859</v>
      </c>
      <c r="E1678" t="s">
        <v>5860</v>
      </c>
      <c r="F1678" t="s">
        <v>53</v>
      </c>
      <c r="I1678" s="18">
        <v>45810.916666666664</v>
      </c>
      <c r="J1678" s="18">
        <v>45840.916666666664</v>
      </c>
      <c r="L1678" t="s">
        <v>21</v>
      </c>
    </row>
    <row r="1679" spans="1:12" x14ac:dyDescent="0.3">
      <c r="A1679" t="s">
        <v>5861</v>
      </c>
      <c r="B1679">
        <v>1822</v>
      </c>
      <c r="C1679" t="s">
        <v>5862</v>
      </c>
      <c r="D1679" t="s">
        <v>5863</v>
      </c>
      <c r="E1679" t="s">
        <v>5864</v>
      </c>
    </row>
    <row r="1680" spans="1:12" x14ac:dyDescent="0.3">
      <c r="A1680" t="s">
        <v>5865</v>
      </c>
      <c r="B1680">
        <v>2086</v>
      </c>
      <c r="C1680" t="s">
        <v>5866</v>
      </c>
      <c r="D1680" t="s">
        <v>5867</v>
      </c>
      <c r="E1680" t="s">
        <v>5868</v>
      </c>
      <c r="F1680" t="s">
        <v>41</v>
      </c>
      <c r="G1680" s="18">
        <v>45761.916666666664</v>
      </c>
    </row>
    <row r="1681" spans="1:12" x14ac:dyDescent="0.3">
      <c r="A1681" t="s">
        <v>5869</v>
      </c>
      <c r="B1681">
        <v>1977</v>
      </c>
      <c r="C1681" t="s">
        <v>5870</v>
      </c>
      <c r="D1681" t="s">
        <v>5871</v>
      </c>
      <c r="E1681" t="s">
        <v>5872</v>
      </c>
    </row>
    <row r="1682" spans="1:12" x14ac:dyDescent="0.3">
      <c r="A1682" t="s">
        <v>5873</v>
      </c>
      <c r="B1682">
        <v>1576</v>
      </c>
      <c r="C1682" t="s">
        <v>5874</v>
      </c>
      <c r="E1682" t="s">
        <v>5875</v>
      </c>
      <c r="F1682" t="s">
        <v>53</v>
      </c>
      <c r="L1682" t="s">
        <v>37</v>
      </c>
    </row>
    <row r="1683" spans="1:12" x14ac:dyDescent="0.3">
      <c r="A1683" t="s">
        <v>5876</v>
      </c>
      <c r="B1683">
        <v>2128</v>
      </c>
      <c r="C1683" t="s">
        <v>5877</v>
      </c>
      <c r="D1683" t="s">
        <v>5878</v>
      </c>
      <c r="E1683" t="s">
        <v>5879</v>
      </c>
    </row>
    <row r="1684" spans="1:12" x14ac:dyDescent="0.3">
      <c r="A1684" t="s">
        <v>5880</v>
      </c>
      <c r="B1684">
        <v>955</v>
      </c>
      <c r="C1684" t="s">
        <v>5881</v>
      </c>
      <c r="E1684" t="s">
        <v>5882</v>
      </c>
      <c r="F1684" t="s">
        <v>170</v>
      </c>
      <c r="G1684" s="18">
        <v>45671.958333333336</v>
      </c>
      <c r="L1684" t="s">
        <v>16</v>
      </c>
    </row>
    <row r="1685" spans="1:12" x14ac:dyDescent="0.3">
      <c r="A1685" t="s">
        <v>5883</v>
      </c>
      <c r="B1685">
        <v>975</v>
      </c>
      <c r="C1685" t="s">
        <v>5884</v>
      </c>
      <c r="E1685" t="s">
        <v>5885</v>
      </c>
      <c r="F1685" t="s">
        <v>15</v>
      </c>
      <c r="G1685" s="18">
        <v>45069.916666666664</v>
      </c>
      <c r="H1685" s="18">
        <v>45474.916666666664</v>
      </c>
      <c r="K1685" s="18">
        <v>45474.916666666664</v>
      </c>
      <c r="L1685" t="s">
        <v>16</v>
      </c>
    </row>
    <row r="1686" spans="1:12" x14ac:dyDescent="0.3">
      <c r="A1686" t="s">
        <v>5886</v>
      </c>
      <c r="B1686">
        <v>1310</v>
      </c>
      <c r="C1686" t="s">
        <v>5887</v>
      </c>
      <c r="E1686" t="s">
        <v>5888</v>
      </c>
      <c r="F1686" t="s">
        <v>49</v>
      </c>
      <c r="L1686" t="s">
        <v>16</v>
      </c>
    </row>
    <row r="1687" spans="1:12" x14ac:dyDescent="0.3">
      <c r="A1687" t="s">
        <v>5889</v>
      </c>
      <c r="B1687">
        <v>370</v>
      </c>
      <c r="C1687" t="s">
        <v>5890</v>
      </c>
      <c r="D1687" t="s">
        <v>5891</v>
      </c>
      <c r="E1687" t="s">
        <v>5892</v>
      </c>
      <c r="F1687" t="s">
        <v>41</v>
      </c>
      <c r="G1687" s="18">
        <v>45761.916666666664</v>
      </c>
      <c r="L1687" t="s">
        <v>16</v>
      </c>
    </row>
    <row r="1688" spans="1:12" x14ac:dyDescent="0.3">
      <c r="A1688" t="s">
        <v>5893</v>
      </c>
      <c r="B1688">
        <v>1791</v>
      </c>
      <c r="C1688" t="s">
        <v>5894</v>
      </c>
      <c r="D1688" t="s">
        <v>5895</v>
      </c>
      <c r="E1688" t="s">
        <v>5896</v>
      </c>
      <c r="F1688" t="s">
        <v>53</v>
      </c>
      <c r="L1688" t="s">
        <v>315</v>
      </c>
    </row>
    <row r="1689" spans="1:12" x14ac:dyDescent="0.3">
      <c r="A1689" t="s">
        <v>5897</v>
      </c>
      <c r="B1689">
        <v>1789</v>
      </c>
      <c r="C1689" t="s">
        <v>5898</v>
      </c>
      <c r="D1689" t="s">
        <v>5899</v>
      </c>
      <c r="E1689" t="s">
        <v>5900</v>
      </c>
    </row>
    <row r="1690" spans="1:12" x14ac:dyDescent="0.3">
      <c r="A1690" t="s">
        <v>5901</v>
      </c>
      <c r="B1690">
        <v>1171</v>
      </c>
      <c r="C1690" t="s">
        <v>5902</v>
      </c>
      <c r="E1690" t="s">
        <v>5903</v>
      </c>
      <c r="F1690" t="s">
        <v>15</v>
      </c>
      <c r="G1690" s="18">
        <v>45426.916666666664</v>
      </c>
      <c r="K1690" s="18">
        <v>45730.958333333336</v>
      </c>
      <c r="L1690" t="s">
        <v>16</v>
      </c>
    </row>
    <row r="1691" spans="1:12" x14ac:dyDescent="0.3">
      <c r="A1691" t="s">
        <v>5904</v>
      </c>
      <c r="B1691">
        <v>834</v>
      </c>
      <c r="C1691" t="s">
        <v>5905</v>
      </c>
      <c r="E1691" t="s">
        <v>5906</v>
      </c>
      <c r="F1691" t="s">
        <v>15</v>
      </c>
      <c r="K1691" s="18">
        <v>45588.916666666664</v>
      </c>
      <c r="L1691" t="s">
        <v>16</v>
      </c>
    </row>
    <row r="1692" spans="1:12" x14ac:dyDescent="0.3">
      <c r="A1692" t="s">
        <v>5907</v>
      </c>
      <c r="B1692">
        <v>1329</v>
      </c>
      <c r="C1692" t="s">
        <v>5908</v>
      </c>
      <c r="E1692" t="s">
        <v>5909</v>
      </c>
      <c r="F1692" t="s">
        <v>49</v>
      </c>
      <c r="G1692" s="18">
        <v>45705.958333333336</v>
      </c>
      <c r="L1692" t="s">
        <v>16</v>
      </c>
    </row>
    <row r="1693" spans="1:12" x14ac:dyDescent="0.3">
      <c r="A1693" t="s">
        <v>5910</v>
      </c>
      <c r="B1693">
        <v>863</v>
      </c>
      <c r="C1693" t="s">
        <v>5911</v>
      </c>
      <c r="E1693" t="s">
        <v>5912</v>
      </c>
      <c r="L1693" t="s">
        <v>16</v>
      </c>
    </row>
    <row r="1694" spans="1:12" x14ac:dyDescent="0.3">
      <c r="A1694" t="s">
        <v>5913</v>
      </c>
      <c r="B1694">
        <v>462</v>
      </c>
      <c r="C1694" t="s">
        <v>5914</v>
      </c>
      <c r="D1694" t="s">
        <v>5915</v>
      </c>
      <c r="E1694" t="s">
        <v>5916</v>
      </c>
      <c r="F1694" t="s">
        <v>41</v>
      </c>
      <c r="G1694" s="18">
        <v>45761.916666666664</v>
      </c>
      <c r="L1694" t="s">
        <v>16</v>
      </c>
    </row>
    <row r="1695" spans="1:12" x14ac:dyDescent="0.3">
      <c r="A1695" t="s">
        <v>5917</v>
      </c>
      <c r="B1695">
        <v>1311</v>
      </c>
      <c r="C1695" t="s">
        <v>5918</v>
      </c>
      <c r="E1695" t="s">
        <v>5919</v>
      </c>
      <c r="F1695" t="s">
        <v>49</v>
      </c>
      <c r="L1695" t="s">
        <v>16</v>
      </c>
    </row>
    <row r="1696" spans="1:12" x14ac:dyDescent="0.3">
      <c r="A1696" t="s">
        <v>5920</v>
      </c>
      <c r="B1696">
        <v>1015</v>
      </c>
      <c r="C1696" t="s">
        <v>5921</v>
      </c>
      <c r="L1696" t="s">
        <v>16</v>
      </c>
    </row>
    <row r="1697" spans="1:12" x14ac:dyDescent="0.3">
      <c r="A1697" t="s">
        <v>5922</v>
      </c>
      <c r="B1697">
        <v>223</v>
      </c>
      <c r="C1697" t="s">
        <v>5923</v>
      </c>
      <c r="D1697" t="s">
        <v>5924</v>
      </c>
      <c r="E1697" t="s">
        <v>5925</v>
      </c>
      <c r="F1697" t="s">
        <v>41</v>
      </c>
      <c r="G1697" s="18">
        <v>45776.916666666664</v>
      </c>
      <c r="L1697" t="s">
        <v>21</v>
      </c>
    </row>
    <row r="1698" spans="1:12" x14ac:dyDescent="0.3">
      <c r="A1698" t="s">
        <v>5926</v>
      </c>
      <c r="B1698">
        <v>999</v>
      </c>
      <c r="C1698" t="s">
        <v>5927</v>
      </c>
      <c r="E1698" t="s">
        <v>5928</v>
      </c>
      <c r="F1698" t="s">
        <v>15</v>
      </c>
      <c r="G1698" s="18">
        <v>45380.958333333336</v>
      </c>
      <c r="H1698" s="18">
        <v>45397.916666666664</v>
      </c>
      <c r="L1698" t="s">
        <v>16</v>
      </c>
    </row>
    <row r="1699" spans="1:12" x14ac:dyDescent="0.3">
      <c r="A1699" t="s">
        <v>5929</v>
      </c>
      <c r="B1699">
        <v>48</v>
      </c>
      <c r="C1699" t="s">
        <v>5930</v>
      </c>
      <c r="D1699" t="s">
        <v>5931</v>
      </c>
      <c r="E1699" t="s">
        <v>5932</v>
      </c>
      <c r="F1699" t="s">
        <v>53</v>
      </c>
      <c r="L1699" t="s">
        <v>315</v>
      </c>
    </row>
    <row r="1700" spans="1:12" x14ac:dyDescent="0.3">
      <c r="A1700" t="s">
        <v>5933</v>
      </c>
      <c r="B1700">
        <v>620</v>
      </c>
      <c r="C1700" t="s">
        <v>5934</v>
      </c>
      <c r="D1700" t="s">
        <v>5935</v>
      </c>
      <c r="E1700" t="s">
        <v>5936</v>
      </c>
      <c r="F1700" t="s">
        <v>41</v>
      </c>
      <c r="G1700" s="18">
        <v>45867.916666666664</v>
      </c>
      <c r="L1700" t="s">
        <v>315</v>
      </c>
    </row>
    <row r="1701" spans="1:12" x14ac:dyDescent="0.3">
      <c r="A1701" t="s">
        <v>5937</v>
      </c>
      <c r="B1701">
        <v>320</v>
      </c>
      <c r="C1701" t="s">
        <v>5938</v>
      </c>
      <c r="D1701" t="s">
        <v>5939</v>
      </c>
      <c r="E1701" t="s">
        <v>5940</v>
      </c>
      <c r="F1701" t="s">
        <v>41</v>
      </c>
      <c r="G1701" s="18">
        <v>45761.916666666664</v>
      </c>
      <c r="L1701" t="s">
        <v>21</v>
      </c>
    </row>
    <row r="1702" spans="1:12" x14ac:dyDescent="0.3">
      <c r="A1702" t="s">
        <v>5941</v>
      </c>
      <c r="B1702">
        <v>1426</v>
      </c>
      <c r="C1702" t="s">
        <v>5942</v>
      </c>
      <c r="D1702" t="s">
        <v>5943</v>
      </c>
      <c r="E1702" t="s">
        <v>5944</v>
      </c>
      <c r="F1702" t="s">
        <v>53</v>
      </c>
      <c r="I1702" s="18">
        <v>45816.916666666664</v>
      </c>
      <c r="J1702" s="18">
        <v>45841.916666666664</v>
      </c>
      <c r="L1702" t="s">
        <v>21</v>
      </c>
    </row>
    <row r="1703" spans="1:12" x14ac:dyDescent="0.3">
      <c r="A1703" t="s">
        <v>5945</v>
      </c>
      <c r="B1703">
        <v>448</v>
      </c>
      <c r="C1703" t="s">
        <v>5946</v>
      </c>
      <c r="E1703" t="s">
        <v>5947</v>
      </c>
      <c r="F1703" t="s">
        <v>57</v>
      </c>
      <c r="L1703" t="s">
        <v>21</v>
      </c>
    </row>
    <row r="1704" spans="1:12" x14ac:dyDescent="0.3">
      <c r="A1704" t="s">
        <v>5948</v>
      </c>
      <c r="B1704">
        <v>1018</v>
      </c>
      <c r="C1704" t="s">
        <v>5949</v>
      </c>
      <c r="E1704" t="s">
        <v>5950</v>
      </c>
      <c r="F1704" t="s">
        <v>15</v>
      </c>
      <c r="G1704" s="18">
        <v>45313.958333333336</v>
      </c>
      <c r="H1704" s="18">
        <v>45404.916666666664</v>
      </c>
      <c r="L1704" t="s">
        <v>16</v>
      </c>
    </row>
    <row r="1705" spans="1:12" x14ac:dyDescent="0.3">
      <c r="A1705" t="s">
        <v>5951</v>
      </c>
      <c r="B1705">
        <v>98</v>
      </c>
      <c r="C1705" t="s">
        <v>5952</v>
      </c>
      <c r="D1705" t="s">
        <v>5953</v>
      </c>
      <c r="E1705" t="s">
        <v>5954</v>
      </c>
      <c r="F1705" t="s">
        <v>53</v>
      </c>
      <c r="L1705" t="s">
        <v>16</v>
      </c>
    </row>
    <row r="1706" spans="1:12" x14ac:dyDescent="0.3">
      <c r="A1706" t="s">
        <v>5955</v>
      </c>
      <c r="B1706">
        <v>2091</v>
      </c>
      <c r="C1706" t="s">
        <v>5956</v>
      </c>
      <c r="D1706" t="s">
        <v>5957</v>
      </c>
      <c r="E1706" t="s">
        <v>5958</v>
      </c>
    </row>
    <row r="1707" spans="1:12" x14ac:dyDescent="0.3">
      <c r="A1707" t="s">
        <v>5959</v>
      </c>
      <c r="B1707">
        <v>1000</v>
      </c>
      <c r="C1707" t="s">
        <v>5960</v>
      </c>
      <c r="E1707" t="s">
        <v>5961</v>
      </c>
      <c r="F1707" t="s">
        <v>15</v>
      </c>
      <c r="G1707" s="18">
        <v>45380.958333333336</v>
      </c>
      <c r="H1707" s="18">
        <v>45398.916666666664</v>
      </c>
      <c r="L1707" t="s">
        <v>16</v>
      </c>
    </row>
    <row r="1708" spans="1:12" x14ac:dyDescent="0.3">
      <c r="A1708" t="s">
        <v>5962</v>
      </c>
      <c r="B1708">
        <v>2138</v>
      </c>
      <c r="C1708" t="s">
        <v>5963</v>
      </c>
      <c r="D1708" t="s">
        <v>5964</v>
      </c>
      <c r="E1708" t="s">
        <v>5965</v>
      </c>
    </row>
    <row r="1709" spans="1:12" x14ac:dyDescent="0.3">
      <c r="A1709" t="s">
        <v>5966</v>
      </c>
      <c r="B1709">
        <v>2006</v>
      </c>
      <c r="C1709" t="s">
        <v>5967</v>
      </c>
      <c r="D1709" t="s">
        <v>5968</v>
      </c>
      <c r="E1709" t="s">
        <v>5969</v>
      </c>
    </row>
    <row r="1710" spans="1:12" x14ac:dyDescent="0.3">
      <c r="A1710" t="s">
        <v>5970</v>
      </c>
      <c r="B1710">
        <v>335</v>
      </c>
      <c r="C1710" t="s">
        <v>5971</v>
      </c>
      <c r="D1710" t="s">
        <v>5972</v>
      </c>
      <c r="E1710" t="s">
        <v>5973</v>
      </c>
      <c r="F1710" t="s">
        <v>41</v>
      </c>
      <c r="G1710" s="18">
        <v>45761.916666666664</v>
      </c>
      <c r="L1710" t="s">
        <v>230</v>
      </c>
    </row>
    <row r="1711" spans="1:12" x14ac:dyDescent="0.3">
      <c r="A1711" t="s">
        <v>5974</v>
      </c>
      <c r="B1711">
        <v>1906</v>
      </c>
      <c r="C1711" t="s">
        <v>5975</v>
      </c>
      <c r="D1711" t="s">
        <v>5976</v>
      </c>
      <c r="E1711" t="s">
        <v>5977</v>
      </c>
    </row>
    <row r="1712" spans="1:12" x14ac:dyDescent="0.3">
      <c r="A1712" t="s">
        <v>5978</v>
      </c>
      <c r="B1712">
        <v>749</v>
      </c>
      <c r="C1712" t="s">
        <v>5979</v>
      </c>
      <c r="E1712" t="s">
        <v>5980</v>
      </c>
      <c r="F1712" t="s">
        <v>170</v>
      </c>
      <c r="K1712" s="18">
        <v>45736.958333333336</v>
      </c>
      <c r="L1712" t="s">
        <v>21</v>
      </c>
    </row>
    <row r="1713" spans="1:12" x14ac:dyDescent="0.3">
      <c r="A1713" t="s">
        <v>5981</v>
      </c>
      <c r="B1713">
        <v>1159</v>
      </c>
      <c r="C1713" t="s">
        <v>5982</v>
      </c>
      <c r="E1713" t="s">
        <v>5983</v>
      </c>
      <c r="F1713" t="s">
        <v>71</v>
      </c>
      <c r="L1713" t="s">
        <v>21</v>
      </c>
    </row>
    <row r="1714" spans="1:12" x14ac:dyDescent="0.3">
      <c r="A1714" t="s">
        <v>5984</v>
      </c>
      <c r="B1714">
        <v>8</v>
      </c>
      <c r="C1714" t="s">
        <v>5985</v>
      </c>
      <c r="D1714" t="s">
        <v>5986</v>
      </c>
      <c r="E1714" t="s">
        <v>5987</v>
      </c>
      <c r="F1714" t="s">
        <v>53</v>
      </c>
      <c r="G1714" s="18">
        <v>45788.916666666664</v>
      </c>
      <c r="K1714" s="18">
        <v>45801.916666666664</v>
      </c>
      <c r="L1714" t="s">
        <v>88</v>
      </c>
    </row>
    <row r="1715" spans="1:12" x14ac:dyDescent="0.3">
      <c r="A1715" t="s">
        <v>5988</v>
      </c>
      <c r="B1715">
        <v>1717</v>
      </c>
      <c r="C1715" t="s">
        <v>5989</v>
      </c>
      <c r="D1715" t="s">
        <v>5990</v>
      </c>
      <c r="E1715" t="s">
        <v>5991</v>
      </c>
      <c r="F1715" t="s">
        <v>53</v>
      </c>
      <c r="L1715" t="s">
        <v>315</v>
      </c>
    </row>
    <row r="1716" spans="1:12" x14ac:dyDescent="0.3">
      <c r="A1716" t="s">
        <v>5992</v>
      </c>
      <c r="B1716">
        <v>160</v>
      </c>
      <c r="C1716" t="s">
        <v>5993</v>
      </c>
      <c r="E1716" t="s">
        <v>5994</v>
      </c>
      <c r="F1716" t="s">
        <v>53</v>
      </c>
      <c r="L1716" t="s">
        <v>16</v>
      </c>
    </row>
    <row r="1717" spans="1:12" x14ac:dyDescent="0.3">
      <c r="A1717" t="s">
        <v>5995</v>
      </c>
      <c r="B1717">
        <v>580</v>
      </c>
      <c r="C1717" t="s">
        <v>5996</v>
      </c>
      <c r="D1717" t="s">
        <v>5997</v>
      </c>
      <c r="E1717" t="s">
        <v>5998</v>
      </c>
      <c r="F1717" t="s">
        <v>41</v>
      </c>
      <c r="G1717" s="18">
        <v>45761.916666666664</v>
      </c>
      <c r="L1717" t="s">
        <v>16</v>
      </c>
    </row>
    <row r="1718" spans="1:12" x14ac:dyDescent="0.3">
      <c r="A1718" t="s">
        <v>5999</v>
      </c>
      <c r="B1718">
        <v>1783</v>
      </c>
      <c r="C1718" t="s">
        <v>6000</v>
      </c>
      <c r="D1718" t="s">
        <v>6001</v>
      </c>
      <c r="E1718" t="s">
        <v>6002</v>
      </c>
    </row>
    <row r="1719" spans="1:12" x14ac:dyDescent="0.3">
      <c r="A1719" t="s">
        <v>6003</v>
      </c>
      <c r="B1719">
        <v>1436</v>
      </c>
      <c r="C1719" t="s">
        <v>6004</v>
      </c>
      <c r="E1719" t="s">
        <v>6005</v>
      </c>
      <c r="F1719" t="s">
        <v>15</v>
      </c>
      <c r="L1719" t="s">
        <v>21</v>
      </c>
    </row>
    <row r="1720" spans="1:12" x14ac:dyDescent="0.3">
      <c r="A1720" t="s">
        <v>6006</v>
      </c>
      <c r="B1720">
        <v>82</v>
      </c>
      <c r="C1720" t="s">
        <v>6007</v>
      </c>
      <c r="D1720" t="s">
        <v>6008</v>
      </c>
      <c r="E1720" t="s">
        <v>6009</v>
      </c>
      <c r="F1720" t="s">
        <v>53</v>
      </c>
      <c r="L1720" t="s">
        <v>230</v>
      </c>
    </row>
    <row r="1721" spans="1:12" x14ac:dyDescent="0.3">
      <c r="A1721" t="s">
        <v>6010</v>
      </c>
      <c r="B1721">
        <v>850</v>
      </c>
      <c r="C1721" t="s">
        <v>6011</v>
      </c>
      <c r="E1721" t="s">
        <v>6012</v>
      </c>
      <c r="F1721" t="s">
        <v>15</v>
      </c>
      <c r="G1721" s="18">
        <v>45550.916666666664</v>
      </c>
      <c r="H1721" s="18">
        <v>45569.916666666664</v>
      </c>
      <c r="K1721" s="18">
        <v>45569.916666666664</v>
      </c>
      <c r="L1721" t="s">
        <v>16</v>
      </c>
    </row>
    <row r="1722" spans="1:12" x14ac:dyDescent="0.3">
      <c r="A1722" t="s">
        <v>6013</v>
      </c>
      <c r="B1722">
        <v>1968</v>
      </c>
      <c r="C1722" t="s">
        <v>6014</v>
      </c>
      <c r="D1722" t="s">
        <v>6015</v>
      </c>
      <c r="E1722" t="s">
        <v>6016</v>
      </c>
    </row>
    <row r="1723" spans="1:12" x14ac:dyDescent="0.3">
      <c r="A1723" t="s">
        <v>6017</v>
      </c>
      <c r="B1723">
        <v>242</v>
      </c>
      <c r="C1723" t="s">
        <v>6018</v>
      </c>
      <c r="D1723" t="s">
        <v>6019</v>
      </c>
      <c r="E1723" t="s">
        <v>6020</v>
      </c>
      <c r="F1723" t="s">
        <v>41</v>
      </c>
      <c r="G1723" s="18">
        <v>45761.916666666664</v>
      </c>
      <c r="L1723" t="s">
        <v>16</v>
      </c>
    </row>
    <row r="1724" spans="1:12" x14ac:dyDescent="0.3">
      <c r="A1724" t="s">
        <v>6021</v>
      </c>
      <c r="B1724">
        <v>2047</v>
      </c>
      <c r="C1724" t="s">
        <v>6022</v>
      </c>
      <c r="D1724" t="s">
        <v>6023</v>
      </c>
      <c r="E1724" t="s">
        <v>6024</v>
      </c>
    </row>
    <row r="1725" spans="1:12" x14ac:dyDescent="0.3">
      <c r="A1725" t="s">
        <v>6025</v>
      </c>
      <c r="B1725">
        <v>680</v>
      </c>
      <c r="C1725" t="s">
        <v>6026</v>
      </c>
      <c r="D1725" t="s">
        <v>6027</v>
      </c>
      <c r="E1725" t="s">
        <v>6028</v>
      </c>
      <c r="F1725" t="s">
        <v>275</v>
      </c>
      <c r="G1725" s="18">
        <v>45753.916666666664</v>
      </c>
      <c r="K1725" s="18">
        <v>45791.916666666664</v>
      </c>
      <c r="L1725" t="s">
        <v>21</v>
      </c>
    </row>
    <row r="1726" spans="1:12" x14ac:dyDescent="0.3">
      <c r="A1726" t="s">
        <v>6029</v>
      </c>
      <c r="B1726">
        <v>510</v>
      </c>
      <c r="C1726" t="s">
        <v>6030</v>
      </c>
      <c r="D1726" t="s">
        <v>6031</v>
      </c>
      <c r="E1726" t="s">
        <v>6032</v>
      </c>
      <c r="F1726" t="s">
        <v>41</v>
      </c>
      <c r="G1726" s="18">
        <v>45615.958333333336</v>
      </c>
      <c r="L1726" t="s">
        <v>37</v>
      </c>
    </row>
    <row r="1727" spans="1:12" x14ac:dyDescent="0.3">
      <c r="A1727" t="s">
        <v>6033</v>
      </c>
      <c r="B1727">
        <v>1354</v>
      </c>
      <c r="C1727" t="s">
        <v>6034</v>
      </c>
      <c r="E1727" t="s">
        <v>6035</v>
      </c>
      <c r="F1727" t="s">
        <v>275</v>
      </c>
      <c r="G1727" s="18">
        <v>45331.958333333336</v>
      </c>
      <c r="K1727" s="18">
        <v>45762.916666666664</v>
      </c>
      <c r="L1727" t="s">
        <v>16</v>
      </c>
    </row>
    <row r="1728" spans="1:12" x14ac:dyDescent="0.3">
      <c r="A1728" t="s">
        <v>6036</v>
      </c>
      <c r="B1728">
        <v>2124</v>
      </c>
      <c r="C1728" t="s">
        <v>6037</v>
      </c>
      <c r="D1728" t="s">
        <v>6038</v>
      </c>
      <c r="E1728" t="s">
        <v>6039</v>
      </c>
    </row>
    <row r="1729" spans="1:12" x14ac:dyDescent="0.3">
      <c r="A1729" t="s">
        <v>6040</v>
      </c>
      <c r="B1729">
        <v>1577</v>
      </c>
      <c r="C1729" t="s">
        <v>6041</v>
      </c>
      <c r="E1729" t="s">
        <v>6042</v>
      </c>
      <c r="F1729" t="s">
        <v>53</v>
      </c>
      <c r="K1729" s="18">
        <v>45700.958333333336</v>
      </c>
      <c r="L1729" t="s">
        <v>37</v>
      </c>
    </row>
    <row r="1730" spans="1:12" x14ac:dyDescent="0.3">
      <c r="A1730" t="s">
        <v>6043</v>
      </c>
      <c r="B1730">
        <v>848</v>
      </c>
      <c r="C1730" t="s">
        <v>6044</v>
      </c>
      <c r="E1730" t="s">
        <v>6045</v>
      </c>
      <c r="F1730" t="s">
        <v>15</v>
      </c>
      <c r="G1730" s="18">
        <v>45762.916666666664</v>
      </c>
      <c r="H1730" s="18">
        <v>45769.916666666664</v>
      </c>
      <c r="K1730" s="18">
        <v>45769.916666666664</v>
      </c>
      <c r="L1730" t="s">
        <v>16</v>
      </c>
    </row>
    <row r="1731" spans="1:12" x14ac:dyDescent="0.3">
      <c r="A1731" t="s">
        <v>6046</v>
      </c>
      <c r="B1731">
        <v>1775</v>
      </c>
      <c r="C1731" t="s">
        <v>6047</v>
      </c>
      <c r="D1731" t="s">
        <v>6048</v>
      </c>
      <c r="E1731" t="s">
        <v>6049</v>
      </c>
      <c r="L1731" t="s">
        <v>315</v>
      </c>
    </row>
    <row r="1732" spans="1:12" x14ac:dyDescent="0.3">
      <c r="A1732" t="s">
        <v>6050</v>
      </c>
      <c r="B1732">
        <v>1914</v>
      </c>
      <c r="C1732" t="s">
        <v>6051</v>
      </c>
      <c r="D1732" t="s">
        <v>6052</v>
      </c>
      <c r="E1732" t="s">
        <v>6053</v>
      </c>
    </row>
    <row r="1733" spans="1:12" x14ac:dyDescent="0.3">
      <c r="A1733" t="s">
        <v>6054</v>
      </c>
      <c r="B1733">
        <v>1809</v>
      </c>
      <c r="C1733" t="s">
        <v>6055</v>
      </c>
      <c r="D1733" t="s">
        <v>6056</v>
      </c>
      <c r="E1733" t="s">
        <v>3532</v>
      </c>
    </row>
    <row r="1734" spans="1:12" x14ac:dyDescent="0.3">
      <c r="A1734" t="s">
        <v>6057</v>
      </c>
      <c r="B1734">
        <v>511</v>
      </c>
      <c r="C1734" t="s">
        <v>6058</v>
      </c>
      <c r="D1734" t="s">
        <v>6059</v>
      </c>
      <c r="E1734" t="s">
        <v>6060</v>
      </c>
      <c r="F1734" t="s">
        <v>41</v>
      </c>
      <c r="G1734" s="18">
        <v>45615.958333333336</v>
      </c>
      <c r="L1734" t="s">
        <v>37</v>
      </c>
    </row>
    <row r="1735" spans="1:12" x14ac:dyDescent="0.3">
      <c r="A1735" t="s">
        <v>6061</v>
      </c>
      <c r="B1735">
        <v>538</v>
      </c>
      <c r="C1735" t="s">
        <v>6062</v>
      </c>
      <c r="D1735" t="s">
        <v>6063</v>
      </c>
      <c r="E1735" t="s">
        <v>6064</v>
      </c>
      <c r="F1735" t="s">
        <v>53</v>
      </c>
      <c r="L1735" t="s">
        <v>315</v>
      </c>
    </row>
    <row r="1736" spans="1:12" x14ac:dyDescent="0.3">
      <c r="A1736" t="s">
        <v>6065</v>
      </c>
      <c r="B1736">
        <v>2022</v>
      </c>
      <c r="C1736" t="s">
        <v>6066</v>
      </c>
      <c r="D1736" t="s">
        <v>6067</v>
      </c>
      <c r="E1736" t="s">
        <v>6068</v>
      </c>
    </row>
    <row r="1737" spans="1:12" x14ac:dyDescent="0.3">
      <c r="A1737" t="s">
        <v>6069</v>
      </c>
      <c r="B1737">
        <v>299</v>
      </c>
      <c r="C1737" t="s">
        <v>6070</v>
      </c>
      <c r="E1737" t="s">
        <v>6071</v>
      </c>
      <c r="F1737" t="s">
        <v>41</v>
      </c>
      <c r="G1737" s="18">
        <v>45799.916666666664</v>
      </c>
      <c r="L1737" t="s">
        <v>16</v>
      </c>
    </row>
    <row r="1738" spans="1:12" x14ac:dyDescent="0.3">
      <c r="A1738" t="s">
        <v>6072</v>
      </c>
      <c r="B1738">
        <v>869</v>
      </c>
      <c r="C1738" t="s">
        <v>6073</v>
      </c>
      <c r="E1738" t="s">
        <v>6074</v>
      </c>
      <c r="F1738" t="s">
        <v>71</v>
      </c>
      <c r="L1738" t="s">
        <v>21</v>
      </c>
    </row>
    <row r="1739" spans="1:12" x14ac:dyDescent="0.3">
      <c r="A1739" t="s">
        <v>6075</v>
      </c>
      <c r="B1739">
        <v>1678</v>
      </c>
      <c r="C1739" t="s">
        <v>6076</v>
      </c>
      <c r="D1739" t="s">
        <v>6077</v>
      </c>
      <c r="E1739" t="s">
        <v>6078</v>
      </c>
      <c r="F1739" t="s">
        <v>53</v>
      </c>
      <c r="L1739" t="s">
        <v>230</v>
      </c>
    </row>
    <row r="1740" spans="1:12" x14ac:dyDescent="0.3">
      <c r="A1740" t="s">
        <v>6079</v>
      </c>
      <c r="B1740">
        <v>563</v>
      </c>
      <c r="C1740" t="s">
        <v>6080</v>
      </c>
      <c r="E1740" t="s">
        <v>6081</v>
      </c>
      <c r="F1740" t="s">
        <v>53</v>
      </c>
      <c r="L1740" t="s">
        <v>16</v>
      </c>
    </row>
    <row r="1741" spans="1:12" x14ac:dyDescent="0.3">
      <c r="A1741" t="s">
        <v>6082</v>
      </c>
      <c r="B1741">
        <v>1823</v>
      </c>
      <c r="C1741" t="s">
        <v>6083</v>
      </c>
      <c r="D1741" t="s">
        <v>6084</v>
      </c>
      <c r="E1741" t="s">
        <v>6085</v>
      </c>
    </row>
    <row r="1742" spans="1:12" x14ac:dyDescent="0.3">
      <c r="A1742" t="s">
        <v>6086</v>
      </c>
      <c r="B1742">
        <v>5</v>
      </c>
      <c r="C1742" t="s">
        <v>6087</v>
      </c>
      <c r="D1742" t="s">
        <v>6088</v>
      </c>
      <c r="E1742" t="s">
        <v>6089</v>
      </c>
      <c r="F1742" t="s">
        <v>53</v>
      </c>
      <c r="K1742" s="18">
        <v>45801.916666666664</v>
      </c>
      <c r="L1742" t="s">
        <v>148</v>
      </c>
    </row>
    <row r="1743" spans="1:12" x14ac:dyDescent="0.3">
      <c r="A1743" t="s">
        <v>6090</v>
      </c>
      <c r="B1743">
        <v>503</v>
      </c>
      <c r="C1743" t="s">
        <v>6091</v>
      </c>
      <c r="D1743" t="s">
        <v>6092</v>
      </c>
      <c r="E1743" t="s">
        <v>6093</v>
      </c>
      <c r="F1743" t="s">
        <v>53</v>
      </c>
      <c r="L1743" t="s">
        <v>519</v>
      </c>
    </row>
    <row r="1744" spans="1:12" x14ac:dyDescent="0.3">
      <c r="A1744" t="s">
        <v>6094</v>
      </c>
      <c r="B1744">
        <v>1315</v>
      </c>
      <c r="C1744" t="s">
        <v>6095</v>
      </c>
      <c r="E1744" t="s">
        <v>6096</v>
      </c>
      <c r="F1744" t="s">
        <v>15</v>
      </c>
      <c r="G1744" s="18">
        <v>45728.958333333336</v>
      </c>
      <c r="H1744" s="18">
        <v>45763.916666666664</v>
      </c>
      <c r="K1744" s="18">
        <v>45763.916666666664</v>
      </c>
      <c r="L1744" t="s">
        <v>16</v>
      </c>
    </row>
    <row r="1745" spans="1:12" x14ac:dyDescent="0.3">
      <c r="A1745" t="s">
        <v>6097</v>
      </c>
      <c r="B1745">
        <v>1834</v>
      </c>
      <c r="C1745" t="s">
        <v>6098</v>
      </c>
      <c r="D1745" t="s">
        <v>6099</v>
      </c>
      <c r="E1745" t="s">
        <v>6100</v>
      </c>
    </row>
    <row r="1746" spans="1:12" x14ac:dyDescent="0.3">
      <c r="A1746" t="s">
        <v>6101</v>
      </c>
      <c r="B1746">
        <v>1114</v>
      </c>
      <c r="C1746" t="s">
        <v>6102</v>
      </c>
      <c r="E1746" t="s">
        <v>6103</v>
      </c>
      <c r="F1746" t="s">
        <v>170</v>
      </c>
      <c r="K1746" s="18">
        <v>45776.916666666664</v>
      </c>
      <c r="L1746" t="s">
        <v>16</v>
      </c>
    </row>
    <row r="1747" spans="1:12" x14ac:dyDescent="0.3">
      <c r="A1747" t="s">
        <v>6104</v>
      </c>
      <c r="B1747">
        <v>877</v>
      </c>
      <c r="C1747" t="s">
        <v>6105</v>
      </c>
      <c r="E1747" t="s">
        <v>6106</v>
      </c>
      <c r="F1747" t="s">
        <v>71</v>
      </c>
      <c r="L1747" t="s">
        <v>16</v>
      </c>
    </row>
    <row r="1748" spans="1:12" x14ac:dyDescent="0.3">
      <c r="A1748" t="s">
        <v>6107</v>
      </c>
      <c r="B1748">
        <v>1578</v>
      </c>
      <c r="C1748" t="s">
        <v>6108</v>
      </c>
      <c r="D1748" t="s">
        <v>6109</v>
      </c>
      <c r="E1748" t="s">
        <v>6110</v>
      </c>
      <c r="F1748" t="s">
        <v>53</v>
      </c>
      <c r="L1748" t="s">
        <v>225</v>
      </c>
    </row>
    <row r="1749" spans="1:12" x14ac:dyDescent="0.3">
      <c r="A1749" t="s">
        <v>6111</v>
      </c>
      <c r="B1749">
        <v>806</v>
      </c>
      <c r="C1749" t="s">
        <v>6112</v>
      </c>
      <c r="E1749" t="s">
        <v>6113</v>
      </c>
      <c r="F1749" t="s">
        <v>1448</v>
      </c>
      <c r="G1749" s="18">
        <v>45585.916666666664</v>
      </c>
      <c r="L1749" t="s">
        <v>16</v>
      </c>
    </row>
    <row r="1750" spans="1:12" x14ac:dyDescent="0.3">
      <c r="A1750" t="s">
        <v>6114</v>
      </c>
      <c r="B1750">
        <v>116</v>
      </c>
      <c r="C1750" t="s">
        <v>6115</v>
      </c>
      <c r="D1750" t="s">
        <v>6116</v>
      </c>
      <c r="E1750" t="s">
        <v>1883</v>
      </c>
      <c r="F1750" t="s">
        <v>53</v>
      </c>
      <c r="L1750" t="s">
        <v>230</v>
      </c>
    </row>
    <row r="1751" spans="1:12" x14ac:dyDescent="0.3">
      <c r="A1751" t="s">
        <v>6117</v>
      </c>
      <c r="B1751">
        <v>1019</v>
      </c>
      <c r="C1751" t="s">
        <v>6118</v>
      </c>
      <c r="E1751" t="s">
        <v>6119</v>
      </c>
      <c r="F1751" t="s">
        <v>15</v>
      </c>
      <c r="G1751" s="18">
        <v>45380.958333333336</v>
      </c>
      <c r="H1751" s="18">
        <v>45397.916666666664</v>
      </c>
      <c r="L1751" t="s">
        <v>16</v>
      </c>
    </row>
    <row r="1752" spans="1:12" x14ac:dyDescent="0.3">
      <c r="A1752" t="s">
        <v>6120</v>
      </c>
      <c r="B1752">
        <v>602</v>
      </c>
      <c r="C1752" t="s">
        <v>6121</v>
      </c>
      <c r="D1752" t="s">
        <v>6122</v>
      </c>
      <c r="E1752" t="s">
        <v>6123</v>
      </c>
      <c r="F1752" t="s">
        <v>53</v>
      </c>
      <c r="L1752" t="s">
        <v>16</v>
      </c>
    </row>
    <row r="1753" spans="1:12" x14ac:dyDescent="0.3">
      <c r="A1753" t="s">
        <v>6124</v>
      </c>
      <c r="B1753">
        <v>36</v>
      </c>
      <c r="C1753" t="s">
        <v>6125</v>
      </c>
      <c r="D1753" t="s">
        <v>6126</v>
      </c>
      <c r="E1753" t="s">
        <v>6127</v>
      </c>
      <c r="F1753" t="s">
        <v>53</v>
      </c>
      <c r="L1753" t="s">
        <v>315</v>
      </c>
    </row>
    <row r="1754" spans="1:12" x14ac:dyDescent="0.3">
      <c r="A1754" t="s">
        <v>6128</v>
      </c>
      <c r="B1754">
        <v>81</v>
      </c>
      <c r="C1754" t="s">
        <v>6129</v>
      </c>
      <c r="D1754" t="s">
        <v>6130</v>
      </c>
      <c r="E1754" t="s">
        <v>6131</v>
      </c>
      <c r="F1754" t="s">
        <v>53</v>
      </c>
      <c r="L1754" t="s">
        <v>230</v>
      </c>
    </row>
    <row r="1755" spans="1:12" x14ac:dyDescent="0.3">
      <c r="A1755" t="s">
        <v>6132</v>
      </c>
      <c r="B1755">
        <v>666</v>
      </c>
      <c r="C1755" t="s">
        <v>6133</v>
      </c>
      <c r="E1755" t="s">
        <v>6134</v>
      </c>
      <c r="L1755" t="s">
        <v>16</v>
      </c>
    </row>
    <row r="1756" spans="1:12" x14ac:dyDescent="0.3">
      <c r="A1756" t="s">
        <v>6135</v>
      </c>
      <c r="B1756">
        <v>80</v>
      </c>
      <c r="C1756" t="s">
        <v>6136</v>
      </c>
      <c r="D1756" t="s">
        <v>6137</v>
      </c>
      <c r="E1756" t="s">
        <v>6138</v>
      </c>
      <c r="F1756" t="s">
        <v>53</v>
      </c>
      <c r="L1756" t="s">
        <v>230</v>
      </c>
    </row>
    <row r="1757" spans="1:12" x14ac:dyDescent="0.3">
      <c r="A1757" t="s">
        <v>6139</v>
      </c>
      <c r="B1757">
        <v>2051</v>
      </c>
      <c r="C1757" t="s">
        <v>6140</v>
      </c>
      <c r="D1757" t="s">
        <v>6141</v>
      </c>
      <c r="E1757" t="s">
        <v>6142</v>
      </c>
    </row>
    <row r="1758" spans="1:12" x14ac:dyDescent="0.3">
      <c r="A1758" t="s">
        <v>6143</v>
      </c>
      <c r="B1758">
        <v>139</v>
      </c>
      <c r="C1758" t="s">
        <v>6144</v>
      </c>
      <c r="E1758" t="s">
        <v>6145</v>
      </c>
      <c r="F1758" t="s">
        <v>53</v>
      </c>
      <c r="L1758" t="s">
        <v>16</v>
      </c>
    </row>
    <row r="1759" spans="1:12" x14ac:dyDescent="0.3">
      <c r="A1759" t="s">
        <v>6146</v>
      </c>
      <c r="B1759">
        <v>1259</v>
      </c>
      <c r="C1759" t="s">
        <v>6147</v>
      </c>
      <c r="E1759" t="s">
        <v>6148</v>
      </c>
      <c r="F1759" t="s">
        <v>71</v>
      </c>
      <c r="L1759" t="s">
        <v>21</v>
      </c>
    </row>
    <row r="1760" spans="1:12" x14ac:dyDescent="0.3">
      <c r="A1760" t="s">
        <v>6149</v>
      </c>
      <c r="B1760">
        <v>1072</v>
      </c>
      <c r="C1760" t="s">
        <v>6150</v>
      </c>
      <c r="D1760" t="s">
        <v>6151</v>
      </c>
      <c r="E1760" t="s">
        <v>6152</v>
      </c>
      <c r="F1760" t="s">
        <v>15</v>
      </c>
      <c r="L1760" t="s">
        <v>16</v>
      </c>
    </row>
    <row r="1761" spans="1:12" x14ac:dyDescent="0.3">
      <c r="A1761" t="s">
        <v>6153</v>
      </c>
      <c r="B1761">
        <v>678</v>
      </c>
      <c r="C1761" t="s">
        <v>6154</v>
      </c>
      <c r="D1761" t="s">
        <v>6155</v>
      </c>
      <c r="E1761" t="s">
        <v>6156</v>
      </c>
      <c r="F1761" t="s">
        <v>15</v>
      </c>
      <c r="G1761" s="18">
        <v>45721.958333333336</v>
      </c>
      <c r="K1761" s="18">
        <v>45791.916666666664</v>
      </c>
      <c r="L1761" t="s">
        <v>21</v>
      </c>
    </row>
    <row r="1762" spans="1:12" x14ac:dyDescent="0.3">
      <c r="A1762" t="s">
        <v>6157</v>
      </c>
      <c r="B1762">
        <v>1903</v>
      </c>
      <c r="C1762" t="s">
        <v>6158</v>
      </c>
      <c r="D1762" t="s">
        <v>6159</v>
      </c>
      <c r="E1762" t="s">
        <v>6160</v>
      </c>
    </row>
    <row r="1763" spans="1:12" x14ac:dyDescent="0.3">
      <c r="A1763" t="s">
        <v>6161</v>
      </c>
      <c r="B1763">
        <v>136</v>
      </c>
      <c r="C1763" t="s">
        <v>6162</v>
      </c>
      <c r="D1763" t="s">
        <v>6163</v>
      </c>
      <c r="E1763" t="s">
        <v>6164</v>
      </c>
      <c r="F1763" t="s">
        <v>53</v>
      </c>
      <c r="L1763" t="s">
        <v>88</v>
      </c>
    </row>
    <row r="1764" spans="1:12" x14ac:dyDescent="0.3">
      <c r="A1764" t="s">
        <v>6165</v>
      </c>
      <c r="B1764">
        <v>59</v>
      </c>
      <c r="C1764" t="s">
        <v>6166</v>
      </c>
      <c r="E1764" t="s">
        <v>6167</v>
      </c>
      <c r="F1764" t="s">
        <v>53</v>
      </c>
      <c r="L1764" t="s">
        <v>16</v>
      </c>
    </row>
    <row r="1765" spans="1:12" x14ac:dyDescent="0.3">
      <c r="A1765" t="s">
        <v>6168</v>
      </c>
      <c r="B1765">
        <v>312</v>
      </c>
      <c r="C1765" t="s">
        <v>6169</v>
      </c>
      <c r="E1765" t="s">
        <v>6170</v>
      </c>
      <c r="F1765" t="s">
        <v>53</v>
      </c>
      <c r="L1765" t="s">
        <v>16</v>
      </c>
    </row>
    <row r="1766" spans="1:12" x14ac:dyDescent="0.3">
      <c r="A1766" t="s">
        <v>6171</v>
      </c>
      <c r="B1766">
        <v>1880</v>
      </c>
      <c r="C1766" t="s">
        <v>6172</v>
      </c>
      <c r="D1766" t="s">
        <v>6173</v>
      </c>
      <c r="E1766" t="s">
        <v>6174</v>
      </c>
    </row>
    <row r="1767" spans="1:12" x14ac:dyDescent="0.3">
      <c r="A1767" t="s">
        <v>6175</v>
      </c>
      <c r="B1767">
        <v>1260</v>
      </c>
      <c r="C1767" t="s">
        <v>6176</v>
      </c>
      <c r="E1767" t="s">
        <v>6177</v>
      </c>
      <c r="F1767" t="s">
        <v>71</v>
      </c>
      <c r="L1767" t="s">
        <v>21</v>
      </c>
    </row>
    <row r="1768" spans="1:12" x14ac:dyDescent="0.3">
      <c r="A1768" t="s">
        <v>6178</v>
      </c>
      <c r="B1768">
        <v>1063</v>
      </c>
      <c r="C1768" t="s">
        <v>6179</v>
      </c>
      <c r="E1768" t="s">
        <v>6180</v>
      </c>
      <c r="F1768" t="s">
        <v>15</v>
      </c>
      <c r="L1768" t="s">
        <v>16</v>
      </c>
    </row>
    <row r="1769" spans="1:12" x14ac:dyDescent="0.3">
      <c r="A1769" t="s">
        <v>6181</v>
      </c>
      <c r="B1769">
        <v>1108</v>
      </c>
      <c r="C1769" t="s">
        <v>6182</v>
      </c>
      <c r="E1769" t="s">
        <v>6183</v>
      </c>
      <c r="F1769" t="s">
        <v>49</v>
      </c>
      <c r="L1769" t="s">
        <v>21</v>
      </c>
    </row>
    <row r="1770" spans="1:12" x14ac:dyDescent="0.3">
      <c r="A1770" t="s">
        <v>6184</v>
      </c>
      <c r="B1770">
        <v>742</v>
      </c>
      <c r="C1770" t="s">
        <v>6185</v>
      </c>
      <c r="E1770" t="s">
        <v>6186</v>
      </c>
      <c r="F1770" t="s">
        <v>15</v>
      </c>
      <c r="G1770" s="18">
        <v>45450.916666666664</v>
      </c>
      <c r="L1770" t="s">
        <v>16</v>
      </c>
    </row>
    <row r="1771" spans="1:12" x14ac:dyDescent="0.3">
      <c r="A1771" t="s">
        <v>6187</v>
      </c>
      <c r="B1771">
        <v>18</v>
      </c>
      <c r="C1771" t="s">
        <v>6188</v>
      </c>
      <c r="E1771" t="s">
        <v>6189</v>
      </c>
      <c r="F1771" t="s">
        <v>41</v>
      </c>
      <c r="G1771" s="18">
        <v>45761.916666666664</v>
      </c>
      <c r="K1771" s="18">
        <v>45806.916666666664</v>
      </c>
      <c r="L1771" t="s">
        <v>16</v>
      </c>
    </row>
    <row r="1772" spans="1:12" x14ac:dyDescent="0.3">
      <c r="A1772" t="s">
        <v>6190</v>
      </c>
      <c r="B1772">
        <v>969</v>
      </c>
      <c r="C1772" t="s">
        <v>6191</v>
      </c>
      <c r="E1772" t="s">
        <v>6192</v>
      </c>
      <c r="F1772" t="s">
        <v>15</v>
      </c>
      <c r="K1772" s="18">
        <v>45491.916666666664</v>
      </c>
      <c r="L1772" t="s">
        <v>16</v>
      </c>
    </row>
    <row r="1773" spans="1:12" x14ac:dyDescent="0.3">
      <c r="A1773" t="s">
        <v>6193</v>
      </c>
      <c r="B1773">
        <v>703</v>
      </c>
      <c r="C1773" t="s">
        <v>6194</v>
      </c>
      <c r="E1773" t="s">
        <v>6195</v>
      </c>
      <c r="F1773" t="s">
        <v>1448</v>
      </c>
      <c r="G1773" s="18">
        <v>45641.958333333336</v>
      </c>
      <c r="K1773" s="18">
        <v>45785.916666666664</v>
      </c>
      <c r="L1773" t="s">
        <v>21</v>
      </c>
    </row>
    <row r="1774" spans="1:12" x14ac:dyDescent="0.3">
      <c r="A1774" t="s">
        <v>6196</v>
      </c>
      <c r="B1774">
        <v>1283</v>
      </c>
      <c r="C1774" t="s">
        <v>6197</v>
      </c>
    </row>
    <row r="1775" spans="1:12" x14ac:dyDescent="0.3">
      <c r="A1775" t="s">
        <v>6198</v>
      </c>
      <c r="B1775">
        <v>1702</v>
      </c>
      <c r="C1775" t="s">
        <v>6199</v>
      </c>
      <c r="D1775" t="s">
        <v>6200</v>
      </c>
      <c r="E1775" t="s">
        <v>6201</v>
      </c>
    </row>
    <row r="1776" spans="1:12" x14ac:dyDescent="0.3">
      <c r="A1776" t="s">
        <v>6202</v>
      </c>
      <c r="B1776">
        <v>1579</v>
      </c>
      <c r="C1776" t="s">
        <v>6203</v>
      </c>
      <c r="D1776" t="s">
        <v>6204</v>
      </c>
      <c r="E1776" t="s">
        <v>6205</v>
      </c>
      <c r="F1776" t="s">
        <v>53</v>
      </c>
      <c r="L1776" t="s">
        <v>315</v>
      </c>
    </row>
    <row r="1777" spans="1:12" x14ac:dyDescent="0.3">
      <c r="A1777" t="s">
        <v>6206</v>
      </c>
      <c r="B1777">
        <v>1986</v>
      </c>
      <c r="C1777" t="s">
        <v>6207</v>
      </c>
      <c r="D1777" t="s">
        <v>6208</v>
      </c>
      <c r="E1777" t="s">
        <v>6209</v>
      </c>
    </row>
    <row r="1778" spans="1:12" x14ac:dyDescent="0.3">
      <c r="A1778" t="s">
        <v>6210</v>
      </c>
      <c r="B1778">
        <v>1648</v>
      </c>
      <c r="C1778" t="s">
        <v>6211</v>
      </c>
      <c r="E1778" t="s">
        <v>6212</v>
      </c>
      <c r="F1778" t="s">
        <v>53</v>
      </c>
      <c r="L1778" t="s">
        <v>37</v>
      </c>
    </row>
    <row r="1779" spans="1:12" x14ac:dyDescent="0.3">
      <c r="A1779" t="s">
        <v>6213</v>
      </c>
      <c r="B1779">
        <v>1087</v>
      </c>
      <c r="C1779" t="s">
        <v>6214</v>
      </c>
      <c r="E1779" t="s">
        <v>6215</v>
      </c>
      <c r="F1779" t="s">
        <v>15</v>
      </c>
      <c r="G1779" s="18">
        <v>45606.958333333336</v>
      </c>
      <c r="K1779" s="18">
        <v>45708.958333333336</v>
      </c>
      <c r="L1779" t="s">
        <v>21</v>
      </c>
    </row>
    <row r="1780" spans="1:12" x14ac:dyDescent="0.3">
      <c r="A1780" t="s">
        <v>6216</v>
      </c>
      <c r="B1780">
        <v>2068</v>
      </c>
      <c r="C1780" t="s">
        <v>6217</v>
      </c>
      <c r="D1780" t="s">
        <v>6218</v>
      </c>
      <c r="E1780" t="s">
        <v>6219</v>
      </c>
      <c r="L1780" t="s">
        <v>1842</v>
      </c>
    </row>
    <row r="1781" spans="1:12" x14ac:dyDescent="0.3">
      <c r="A1781" t="s">
        <v>6220</v>
      </c>
      <c r="B1781">
        <v>224</v>
      </c>
      <c r="C1781" t="s">
        <v>6221</v>
      </c>
      <c r="D1781" t="s">
        <v>6222</v>
      </c>
      <c r="E1781" t="s">
        <v>6223</v>
      </c>
      <c r="F1781" t="s">
        <v>41</v>
      </c>
      <c r="G1781" s="18">
        <v>45761.916666666664</v>
      </c>
      <c r="L1781" t="s">
        <v>21</v>
      </c>
    </row>
    <row r="1782" spans="1:12" x14ac:dyDescent="0.3">
      <c r="A1782" t="s">
        <v>6224</v>
      </c>
      <c r="B1782">
        <v>1811</v>
      </c>
      <c r="C1782" t="s">
        <v>6225</v>
      </c>
      <c r="D1782" t="s">
        <v>6226</v>
      </c>
      <c r="E1782" t="s">
        <v>6227</v>
      </c>
    </row>
    <row r="1783" spans="1:12" x14ac:dyDescent="0.3">
      <c r="A1783" t="s">
        <v>6228</v>
      </c>
      <c r="B1783">
        <v>554</v>
      </c>
      <c r="C1783" t="s">
        <v>6229</v>
      </c>
      <c r="E1783" t="s">
        <v>6230</v>
      </c>
      <c r="F1783" t="s">
        <v>57</v>
      </c>
      <c r="L1783" t="s">
        <v>21</v>
      </c>
    </row>
    <row r="1784" spans="1:12" x14ac:dyDescent="0.3">
      <c r="A1784" t="s">
        <v>6231</v>
      </c>
      <c r="B1784">
        <v>1580</v>
      </c>
      <c r="C1784" t="s">
        <v>6232</v>
      </c>
      <c r="E1784" t="s">
        <v>6233</v>
      </c>
      <c r="F1784" t="s">
        <v>53</v>
      </c>
      <c r="K1784" s="18">
        <v>45720.958333333336</v>
      </c>
      <c r="L1784" t="s">
        <v>37</v>
      </c>
    </row>
    <row r="1785" spans="1:12" x14ac:dyDescent="0.3">
      <c r="A1785" t="s">
        <v>6234</v>
      </c>
      <c r="B1785">
        <v>689</v>
      </c>
      <c r="C1785" t="s">
        <v>6235</v>
      </c>
      <c r="E1785" t="s">
        <v>6236</v>
      </c>
      <c r="F1785" t="s">
        <v>15</v>
      </c>
      <c r="G1785" s="18">
        <v>45487.916666666664</v>
      </c>
      <c r="H1785" s="18">
        <v>45561.916666666664</v>
      </c>
      <c r="K1785" s="18">
        <v>45561.916666666664</v>
      </c>
      <c r="L1785" t="s">
        <v>21</v>
      </c>
    </row>
    <row r="1786" spans="1:12" x14ac:dyDescent="0.3">
      <c r="A1786" t="s">
        <v>6237</v>
      </c>
      <c r="B1786">
        <v>1224</v>
      </c>
      <c r="C1786" t="s">
        <v>6238</v>
      </c>
      <c r="E1786" t="s">
        <v>6239</v>
      </c>
      <c r="F1786" t="s">
        <v>6240</v>
      </c>
      <c r="L1786" t="s">
        <v>16</v>
      </c>
    </row>
    <row r="1787" spans="1:12" x14ac:dyDescent="0.3">
      <c r="A1787" t="s">
        <v>6241</v>
      </c>
      <c r="B1787">
        <v>1649</v>
      </c>
      <c r="C1787" t="s">
        <v>6242</v>
      </c>
      <c r="E1787" t="s">
        <v>6243</v>
      </c>
      <c r="F1787" t="s">
        <v>53</v>
      </c>
      <c r="L1787" t="s">
        <v>37</v>
      </c>
    </row>
    <row r="1788" spans="1:12" x14ac:dyDescent="0.3">
      <c r="A1788" t="s">
        <v>6244</v>
      </c>
      <c r="B1788">
        <v>916</v>
      </c>
      <c r="C1788" t="s">
        <v>6245</v>
      </c>
      <c r="E1788" t="s">
        <v>6246</v>
      </c>
      <c r="F1788" t="s">
        <v>170</v>
      </c>
      <c r="G1788" s="18">
        <v>45761.916666666664</v>
      </c>
      <c r="K1788" s="18">
        <v>45747.916666666664</v>
      </c>
      <c r="L1788" t="s">
        <v>16</v>
      </c>
    </row>
    <row r="1789" spans="1:12" x14ac:dyDescent="0.3">
      <c r="A1789" t="s">
        <v>6247</v>
      </c>
      <c r="B1789">
        <v>1001</v>
      </c>
      <c r="C1789" t="s">
        <v>6248</v>
      </c>
      <c r="E1789" t="s">
        <v>6249</v>
      </c>
      <c r="L1789" t="s">
        <v>16</v>
      </c>
    </row>
    <row r="1790" spans="1:12" x14ac:dyDescent="0.3">
      <c r="A1790" t="s">
        <v>6250</v>
      </c>
      <c r="B1790">
        <v>1112</v>
      </c>
      <c r="C1790" t="s">
        <v>6251</v>
      </c>
      <c r="E1790" t="s">
        <v>6252</v>
      </c>
      <c r="F1790" t="s">
        <v>15</v>
      </c>
      <c r="G1790" s="18">
        <v>45515.916666666664</v>
      </c>
      <c r="H1790" s="18">
        <v>45688.958333333336</v>
      </c>
      <c r="K1790" s="18">
        <v>45687.958333333336</v>
      </c>
      <c r="L1790" t="s">
        <v>21</v>
      </c>
    </row>
    <row r="1791" spans="1:12" x14ac:dyDescent="0.3">
      <c r="A1791" t="s">
        <v>6253</v>
      </c>
      <c r="B1791">
        <v>1002</v>
      </c>
      <c r="C1791" t="s">
        <v>6254</v>
      </c>
      <c r="E1791" t="s">
        <v>6255</v>
      </c>
      <c r="F1791" t="s">
        <v>15</v>
      </c>
      <c r="G1791" s="18">
        <v>45380.958333333336</v>
      </c>
      <c r="H1791" s="18">
        <v>45394.916666666664</v>
      </c>
      <c r="L1791" t="s">
        <v>16</v>
      </c>
    </row>
    <row r="1792" spans="1:12" x14ac:dyDescent="0.3">
      <c r="A1792" t="s">
        <v>6256</v>
      </c>
      <c r="B1792">
        <v>1768</v>
      </c>
      <c r="C1792" t="s">
        <v>6257</v>
      </c>
      <c r="D1792" t="s">
        <v>6258</v>
      </c>
      <c r="E1792" t="s">
        <v>6259</v>
      </c>
      <c r="F1792" t="s">
        <v>53</v>
      </c>
      <c r="L1792" t="s">
        <v>315</v>
      </c>
    </row>
    <row r="1793" spans="1:12" x14ac:dyDescent="0.3">
      <c r="A1793" t="s">
        <v>6260</v>
      </c>
      <c r="B1793">
        <v>983</v>
      </c>
      <c r="C1793" t="s">
        <v>6261</v>
      </c>
      <c r="E1793" t="s">
        <v>6262</v>
      </c>
      <c r="F1793" t="s">
        <v>15</v>
      </c>
      <c r="K1793" s="18">
        <v>45550.916666666664</v>
      </c>
      <c r="L1793" t="s">
        <v>16</v>
      </c>
    </row>
    <row r="1794" spans="1:12" x14ac:dyDescent="0.3">
      <c r="A1794" t="s">
        <v>6263</v>
      </c>
      <c r="B1794">
        <v>1286</v>
      </c>
      <c r="C1794" t="s">
        <v>6264</v>
      </c>
      <c r="E1794" t="s">
        <v>6265</v>
      </c>
      <c r="F1794" t="s">
        <v>15</v>
      </c>
      <c r="G1794" s="18">
        <v>45761.916666666664</v>
      </c>
      <c r="H1794" s="18">
        <v>45769.916666666664</v>
      </c>
      <c r="K1794" s="18">
        <v>45757.916666666664</v>
      </c>
      <c r="L1794" t="s">
        <v>16</v>
      </c>
    </row>
    <row r="1795" spans="1:12" x14ac:dyDescent="0.3">
      <c r="A1795" t="s">
        <v>6266</v>
      </c>
      <c r="B1795">
        <v>1581</v>
      </c>
      <c r="C1795" t="s">
        <v>6267</v>
      </c>
      <c r="D1795" t="s">
        <v>6268</v>
      </c>
      <c r="E1795" t="s">
        <v>6269</v>
      </c>
      <c r="F1795" t="s">
        <v>53</v>
      </c>
      <c r="L1795" t="s">
        <v>37</v>
      </c>
    </row>
    <row r="1796" spans="1:12" x14ac:dyDescent="0.3">
      <c r="A1796" t="s">
        <v>6270</v>
      </c>
      <c r="B1796">
        <v>1003</v>
      </c>
      <c r="C1796" t="s">
        <v>6271</v>
      </c>
      <c r="E1796" t="s">
        <v>6272</v>
      </c>
      <c r="F1796" t="s">
        <v>15</v>
      </c>
      <c r="G1796" s="18">
        <v>45380.958333333336</v>
      </c>
      <c r="H1796" s="18">
        <v>45397.916666666664</v>
      </c>
      <c r="L1796" t="s">
        <v>16</v>
      </c>
    </row>
    <row r="1797" spans="1:12" x14ac:dyDescent="0.3">
      <c r="A1797" t="s">
        <v>6273</v>
      </c>
      <c r="B1797">
        <v>523</v>
      </c>
      <c r="C1797" t="s">
        <v>6274</v>
      </c>
      <c r="D1797" t="s">
        <v>6275</v>
      </c>
      <c r="E1797" t="s">
        <v>6276</v>
      </c>
      <c r="F1797" t="s">
        <v>41</v>
      </c>
      <c r="L1797" t="s">
        <v>37</v>
      </c>
    </row>
    <row r="1798" spans="1:12" x14ac:dyDescent="0.3">
      <c r="A1798" t="s">
        <v>6277</v>
      </c>
      <c r="B1798">
        <v>779</v>
      </c>
      <c r="C1798" t="s">
        <v>6278</v>
      </c>
      <c r="E1798" t="s">
        <v>6279</v>
      </c>
      <c r="F1798" t="s">
        <v>15</v>
      </c>
      <c r="G1798" s="18">
        <v>45578.916666666664</v>
      </c>
      <c r="K1798" s="18">
        <v>45624.958333333336</v>
      </c>
      <c r="L1798" t="s">
        <v>16</v>
      </c>
    </row>
    <row r="1799" spans="1:12" x14ac:dyDescent="0.3">
      <c r="A1799" t="s">
        <v>6280</v>
      </c>
      <c r="B1799">
        <v>2136</v>
      </c>
      <c r="C1799" t="s">
        <v>6281</v>
      </c>
      <c r="D1799" t="s">
        <v>6282</v>
      </c>
      <c r="E1799" t="s">
        <v>6283</v>
      </c>
    </row>
    <row r="1800" spans="1:12" x14ac:dyDescent="0.3">
      <c r="A1800" t="s">
        <v>6284</v>
      </c>
      <c r="B1800">
        <v>1841</v>
      </c>
      <c r="C1800" t="s">
        <v>6285</v>
      </c>
      <c r="D1800" t="s">
        <v>6286</v>
      </c>
      <c r="E1800" t="s">
        <v>6287</v>
      </c>
    </row>
    <row r="1801" spans="1:12" x14ac:dyDescent="0.3">
      <c r="A1801" t="s">
        <v>6288</v>
      </c>
      <c r="B1801">
        <v>310</v>
      </c>
      <c r="C1801" t="s">
        <v>6289</v>
      </c>
      <c r="D1801" t="s">
        <v>6290</v>
      </c>
      <c r="E1801" t="s">
        <v>6291</v>
      </c>
      <c r="F1801" t="s">
        <v>57</v>
      </c>
      <c r="L1801" t="s">
        <v>21</v>
      </c>
    </row>
    <row r="1802" spans="1:12" x14ac:dyDescent="0.3">
      <c r="A1802" t="s">
        <v>6292</v>
      </c>
      <c r="B1802">
        <v>1582</v>
      </c>
      <c r="C1802" t="s">
        <v>6293</v>
      </c>
      <c r="E1802" t="s">
        <v>6294</v>
      </c>
      <c r="F1802" t="s">
        <v>53</v>
      </c>
      <c r="L1802" t="s">
        <v>37</v>
      </c>
    </row>
    <row r="1803" spans="1:12" x14ac:dyDescent="0.3">
      <c r="A1803" t="s">
        <v>6295</v>
      </c>
      <c r="B1803">
        <v>1443</v>
      </c>
      <c r="C1803" t="s">
        <v>6296</v>
      </c>
      <c r="D1803" t="s">
        <v>6297</v>
      </c>
      <c r="E1803" t="s">
        <v>6298</v>
      </c>
      <c r="F1803" t="s">
        <v>15</v>
      </c>
      <c r="G1803" s="18">
        <v>45809.916666666664</v>
      </c>
      <c r="K1803" s="18">
        <v>45820.916666666664</v>
      </c>
      <c r="L1803" t="s">
        <v>21</v>
      </c>
    </row>
    <row r="1804" spans="1:12" x14ac:dyDescent="0.3">
      <c r="A1804" t="s">
        <v>6299</v>
      </c>
      <c r="B1804">
        <v>1188</v>
      </c>
      <c r="C1804" t="s">
        <v>6300</v>
      </c>
      <c r="E1804" t="s">
        <v>6301</v>
      </c>
      <c r="F1804" t="s">
        <v>15</v>
      </c>
      <c r="K1804" s="18">
        <v>45639.958333333336</v>
      </c>
      <c r="L1804" t="s">
        <v>21</v>
      </c>
    </row>
    <row r="1805" spans="1:12" x14ac:dyDescent="0.3">
      <c r="A1805" t="s">
        <v>6302</v>
      </c>
      <c r="B1805">
        <v>1738</v>
      </c>
      <c r="C1805" t="s">
        <v>6303</v>
      </c>
      <c r="D1805" t="s">
        <v>6304</v>
      </c>
      <c r="E1805" t="s">
        <v>6305</v>
      </c>
      <c r="L1805" t="s">
        <v>225</v>
      </c>
    </row>
    <row r="1806" spans="1:12" x14ac:dyDescent="0.3">
      <c r="A1806" t="s">
        <v>6306</v>
      </c>
      <c r="B1806">
        <v>970</v>
      </c>
      <c r="C1806" t="s">
        <v>6307</v>
      </c>
    </row>
    <row r="1807" spans="1:12" x14ac:dyDescent="0.3">
      <c r="A1807" t="s">
        <v>6308</v>
      </c>
      <c r="B1807">
        <v>685</v>
      </c>
      <c r="C1807" t="s">
        <v>6309</v>
      </c>
      <c r="E1807" t="s">
        <v>6310</v>
      </c>
      <c r="F1807" t="s">
        <v>15</v>
      </c>
      <c r="L1807" t="s">
        <v>21</v>
      </c>
    </row>
    <row r="1808" spans="1:12" x14ac:dyDescent="0.3">
      <c r="A1808" t="s">
        <v>6311</v>
      </c>
      <c r="B1808">
        <v>315</v>
      </c>
      <c r="C1808" t="s">
        <v>6312</v>
      </c>
      <c r="D1808" t="s">
        <v>6313</v>
      </c>
      <c r="E1808" t="s">
        <v>6314</v>
      </c>
      <c r="F1808" t="s">
        <v>41</v>
      </c>
      <c r="G1808" s="18">
        <v>45761.916666666664</v>
      </c>
      <c r="L1808" t="s">
        <v>21</v>
      </c>
    </row>
    <row r="1809" spans="1:12" x14ac:dyDescent="0.3">
      <c r="A1809" t="s">
        <v>6315</v>
      </c>
      <c r="B1809">
        <v>2087</v>
      </c>
      <c r="C1809" t="s">
        <v>6316</v>
      </c>
      <c r="D1809" t="s">
        <v>6317</v>
      </c>
      <c r="E1809" t="s">
        <v>6318</v>
      </c>
      <c r="F1809" t="s">
        <v>41</v>
      </c>
      <c r="G1809" s="18">
        <v>45833.916666666664</v>
      </c>
    </row>
    <row r="1810" spans="1:12" x14ac:dyDescent="0.3">
      <c r="A1810" t="s">
        <v>6319</v>
      </c>
      <c r="B1810">
        <v>445</v>
      </c>
      <c r="C1810" t="s">
        <v>6320</v>
      </c>
      <c r="E1810" t="s">
        <v>6321</v>
      </c>
      <c r="F1810" t="s">
        <v>57</v>
      </c>
      <c r="L1810" t="s">
        <v>21</v>
      </c>
    </row>
    <row r="1811" spans="1:12" x14ac:dyDescent="0.3">
      <c r="A1811" t="s">
        <v>6322</v>
      </c>
      <c r="B1811">
        <v>650</v>
      </c>
      <c r="C1811" t="s">
        <v>6323</v>
      </c>
      <c r="E1811" t="s">
        <v>6324</v>
      </c>
      <c r="F1811" t="s">
        <v>71</v>
      </c>
      <c r="L1811" t="s">
        <v>21</v>
      </c>
    </row>
    <row r="1812" spans="1:12" x14ac:dyDescent="0.3">
      <c r="A1812" t="s">
        <v>6325</v>
      </c>
      <c r="B1812">
        <v>730</v>
      </c>
      <c r="C1812" t="s">
        <v>6326</v>
      </c>
      <c r="E1812" t="s">
        <v>6327</v>
      </c>
      <c r="F1812" t="s">
        <v>170</v>
      </c>
      <c r="G1812" s="18">
        <v>45322.958333333336</v>
      </c>
      <c r="H1812" s="18">
        <v>45512.916666666664</v>
      </c>
      <c r="K1812" s="18">
        <v>45512.916666666664</v>
      </c>
      <c r="L1812" t="s">
        <v>16</v>
      </c>
    </row>
    <row r="1813" spans="1:12" x14ac:dyDescent="0.3">
      <c r="A1813" t="s">
        <v>6328</v>
      </c>
      <c r="B1813">
        <v>422</v>
      </c>
      <c r="C1813" t="s">
        <v>6329</v>
      </c>
      <c r="D1813" t="s">
        <v>6330</v>
      </c>
      <c r="E1813" t="s">
        <v>6331</v>
      </c>
      <c r="F1813" t="s">
        <v>41</v>
      </c>
      <c r="G1813" s="18">
        <v>45690.958333333336</v>
      </c>
      <c r="L1813" t="s">
        <v>315</v>
      </c>
    </row>
    <row r="1814" spans="1:12" x14ac:dyDescent="0.3">
      <c r="A1814" t="s">
        <v>6332</v>
      </c>
      <c r="B1814">
        <v>446</v>
      </c>
      <c r="C1814" t="s">
        <v>6333</v>
      </c>
      <c r="D1814" t="s">
        <v>6334</v>
      </c>
      <c r="E1814" t="s">
        <v>6335</v>
      </c>
      <c r="F1814" t="s">
        <v>57</v>
      </c>
      <c r="L1814" t="s">
        <v>21</v>
      </c>
    </row>
    <row r="1815" spans="1:12" x14ac:dyDescent="0.3">
      <c r="A1815" t="s">
        <v>6336</v>
      </c>
      <c r="B1815">
        <v>946</v>
      </c>
      <c r="C1815" t="s">
        <v>6337</v>
      </c>
      <c r="E1815" t="s">
        <v>6338</v>
      </c>
      <c r="F1815" t="s">
        <v>15</v>
      </c>
      <c r="G1815" s="18">
        <v>45613.958333333336</v>
      </c>
      <c r="H1815" s="18">
        <v>45669.958333333336</v>
      </c>
      <c r="K1815" s="18">
        <v>45669.958333333336</v>
      </c>
      <c r="L1815" t="s">
        <v>16</v>
      </c>
    </row>
    <row r="1816" spans="1:12" x14ac:dyDescent="0.3">
      <c r="A1816" t="s">
        <v>6339</v>
      </c>
      <c r="B1816">
        <v>588</v>
      </c>
      <c r="C1816" t="s">
        <v>6340</v>
      </c>
      <c r="D1816" t="s">
        <v>6341</v>
      </c>
      <c r="E1816" t="s">
        <v>6342</v>
      </c>
      <c r="F1816" t="s">
        <v>53</v>
      </c>
      <c r="L1816" t="s">
        <v>16</v>
      </c>
    </row>
    <row r="1817" spans="1:12" x14ac:dyDescent="0.3">
      <c r="A1817" t="s">
        <v>6343</v>
      </c>
      <c r="B1817">
        <v>457</v>
      </c>
      <c r="C1817" t="s">
        <v>6344</v>
      </c>
      <c r="D1817" t="s">
        <v>6345</v>
      </c>
      <c r="E1817" t="s">
        <v>6346</v>
      </c>
      <c r="F1817" t="s">
        <v>36</v>
      </c>
      <c r="G1817" s="18">
        <v>45907.916666666664</v>
      </c>
      <c r="L1817" t="s">
        <v>148</v>
      </c>
    </row>
    <row r="1818" spans="1:12" x14ac:dyDescent="0.3">
      <c r="A1818" t="s">
        <v>6347</v>
      </c>
      <c r="B1818">
        <v>1215</v>
      </c>
      <c r="C1818" t="s">
        <v>6348</v>
      </c>
      <c r="E1818" t="s">
        <v>6349</v>
      </c>
      <c r="F1818" t="s">
        <v>15</v>
      </c>
      <c r="G1818" s="18">
        <v>45373.958333333336</v>
      </c>
      <c r="H1818" s="18">
        <v>45397.916666666664</v>
      </c>
      <c r="L1818" t="s">
        <v>16</v>
      </c>
    </row>
    <row r="1819" spans="1:12" x14ac:dyDescent="0.3">
      <c r="A1819" t="s">
        <v>6350</v>
      </c>
      <c r="B1819">
        <v>178</v>
      </c>
      <c r="C1819" t="s">
        <v>6351</v>
      </c>
      <c r="D1819" t="s">
        <v>6352</v>
      </c>
      <c r="E1819" t="s">
        <v>6353</v>
      </c>
      <c r="F1819" t="s">
        <v>57</v>
      </c>
      <c r="L1819" t="s">
        <v>37</v>
      </c>
    </row>
    <row r="1820" spans="1:12" x14ac:dyDescent="0.3">
      <c r="A1820" t="s">
        <v>6354</v>
      </c>
      <c r="B1820">
        <v>1733</v>
      </c>
      <c r="C1820" t="s">
        <v>6355</v>
      </c>
      <c r="D1820" t="s">
        <v>6356</v>
      </c>
      <c r="E1820" t="s">
        <v>6357</v>
      </c>
      <c r="L1820" t="s">
        <v>315</v>
      </c>
    </row>
    <row r="1821" spans="1:12" x14ac:dyDescent="0.3">
      <c r="A1821" t="s">
        <v>6358</v>
      </c>
      <c r="B1821">
        <v>1322</v>
      </c>
      <c r="C1821" t="s">
        <v>6359</v>
      </c>
      <c r="E1821" t="s">
        <v>6360</v>
      </c>
      <c r="F1821" t="s">
        <v>15</v>
      </c>
      <c r="G1821" s="18">
        <v>45700.958333333336</v>
      </c>
      <c r="L1821" t="s">
        <v>16</v>
      </c>
    </row>
    <row r="1822" spans="1:12" x14ac:dyDescent="0.3">
      <c r="A1822" t="s">
        <v>6361</v>
      </c>
      <c r="B1822">
        <v>643</v>
      </c>
      <c r="C1822" t="s">
        <v>6362</v>
      </c>
      <c r="E1822" t="s">
        <v>6363</v>
      </c>
      <c r="F1822" t="s">
        <v>53</v>
      </c>
      <c r="L1822" t="s">
        <v>16</v>
      </c>
    </row>
    <row r="1823" spans="1:12" x14ac:dyDescent="0.3">
      <c r="A1823" t="s">
        <v>6364</v>
      </c>
      <c r="B1823">
        <v>1376</v>
      </c>
      <c r="C1823" t="s">
        <v>6365</v>
      </c>
      <c r="E1823" t="s">
        <v>6366</v>
      </c>
      <c r="F1823" t="s">
        <v>71</v>
      </c>
      <c r="L1823" t="s">
        <v>16</v>
      </c>
    </row>
    <row r="1824" spans="1:12" x14ac:dyDescent="0.3">
      <c r="A1824" t="s">
        <v>6367</v>
      </c>
      <c r="B1824">
        <v>61</v>
      </c>
      <c r="C1824" t="s">
        <v>6368</v>
      </c>
      <c r="D1824" t="s">
        <v>6369</v>
      </c>
      <c r="E1824" t="s">
        <v>6370</v>
      </c>
      <c r="F1824" t="s">
        <v>57</v>
      </c>
      <c r="L1824" t="s">
        <v>21</v>
      </c>
    </row>
    <row r="1825" spans="1:12" x14ac:dyDescent="0.3">
      <c r="A1825" t="s">
        <v>6371</v>
      </c>
      <c r="B1825">
        <v>751</v>
      </c>
      <c r="C1825" t="s">
        <v>6372</v>
      </c>
      <c r="E1825" t="s">
        <v>6373</v>
      </c>
      <c r="F1825" t="s">
        <v>15</v>
      </c>
      <c r="K1825" s="18">
        <v>45617.958333333336</v>
      </c>
      <c r="L1825" t="s">
        <v>21</v>
      </c>
    </row>
    <row r="1826" spans="1:12" x14ac:dyDescent="0.3">
      <c r="A1826" t="s">
        <v>6374</v>
      </c>
      <c r="B1826">
        <v>583</v>
      </c>
      <c r="C1826" t="s">
        <v>6375</v>
      </c>
      <c r="D1826" t="s">
        <v>6376</v>
      </c>
      <c r="E1826" t="s">
        <v>6377</v>
      </c>
      <c r="F1826" t="s">
        <v>41</v>
      </c>
      <c r="G1826" s="18">
        <v>45306.958333333336</v>
      </c>
      <c r="L1826" t="s">
        <v>16</v>
      </c>
    </row>
    <row r="1827" spans="1:12" x14ac:dyDescent="0.3">
      <c r="A1827" t="s">
        <v>6378</v>
      </c>
      <c r="B1827">
        <v>1272</v>
      </c>
      <c r="C1827" t="s">
        <v>6379</v>
      </c>
      <c r="E1827" t="s">
        <v>6380</v>
      </c>
      <c r="F1827" t="s">
        <v>15</v>
      </c>
      <c r="K1827" s="18">
        <v>45505.916666666664</v>
      </c>
      <c r="L1827" t="s">
        <v>16</v>
      </c>
    </row>
    <row r="1828" spans="1:12" x14ac:dyDescent="0.3">
      <c r="A1828" t="s">
        <v>6381</v>
      </c>
      <c r="B1828">
        <v>1583</v>
      </c>
      <c r="C1828" t="s">
        <v>6382</v>
      </c>
      <c r="E1828" t="s">
        <v>6383</v>
      </c>
      <c r="F1828" t="s">
        <v>53</v>
      </c>
      <c r="K1828" s="18">
        <v>45714.958333333336</v>
      </c>
      <c r="L1828" t="s">
        <v>37</v>
      </c>
    </row>
    <row r="1829" spans="1:12" x14ac:dyDescent="0.3">
      <c r="A1829" t="s">
        <v>6384</v>
      </c>
      <c r="B1829">
        <v>1861</v>
      </c>
      <c r="C1829" t="s">
        <v>6382</v>
      </c>
      <c r="D1829" t="s">
        <v>6385</v>
      </c>
      <c r="E1829" t="s">
        <v>6386</v>
      </c>
    </row>
    <row r="1830" spans="1:12" x14ac:dyDescent="0.3">
      <c r="A1830" t="s">
        <v>6387</v>
      </c>
      <c r="B1830">
        <v>1584</v>
      </c>
      <c r="C1830" t="s">
        <v>6388</v>
      </c>
      <c r="E1830" t="s">
        <v>6389</v>
      </c>
      <c r="F1830" t="s">
        <v>41</v>
      </c>
      <c r="G1830" s="18">
        <v>45816.916666666664</v>
      </c>
      <c r="L1830" t="s">
        <v>37</v>
      </c>
    </row>
    <row r="1831" spans="1:12" x14ac:dyDescent="0.3">
      <c r="A1831" t="s">
        <v>6390</v>
      </c>
      <c r="B1831">
        <v>1305</v>
      </c>
      <c r="C1831" t="s">
        <v>6391</v>
      </c>
      <c r="E1831" t="s">
        <v>6392</v>
      </c>
      <c r="L1831" t="s">
        <v>16</v>
      </c>
    </row>
    <row r="1832" spans="1:12" x14ac:dyDescent="0.3">
      <c r="A1832" t="s">
        <v>6393</v>
      </c>
      <c r="B1832">
        <v>1017</v>
      </c>
      <c r="C1832" t="s">
        <v>6394</v>
      </c>
      <c r="E1832" t="s">
        <v>6395</v>
      </c>
      <c r="L1832" t="s">
        <v>16</v>
      </c>
    </row>
    <row r="1833" spans="1:12" x14ac:dyDescent="0.3">
      <c r="A1833" t="s">
        <v>6396</v>
      </c>
      <c r="B1833">
        <v>702</v>
      </c>
      <c r="C1833" t="s">
        <v>6397</v>
      </c>
      <c r="E1833" t="s">
        <v>6398</v>
      </c>
      <c r="F1833" t="s">
        <v>15</v>
      </c>
      <c r="H1833" s="18">
        <v>45645.958333333336</v>
      </c>
      <c r="K1833" s="18">
        <v>45645.958333333336</v>
      </c>
      <c r="L1833" t="s">
        <v>21</v>
      </c>
    </row>
    <row r="1834" spans="1:12" x14ac:dyDescent="0.3">
      <c r="A1834" t="s">
        <v>6399</v>
      </c>
      <c r="B1834">
        <v>1165</v>
      </c>
      <c r="C1834" t="s">
        <v>6400</v>
      </c>
      <c r="E1834" t="s">
        <v>6401</v>
      </c>
      <c r="G1834" s="18">
        <v>45219.916666666664</v>
      </c>
      <c r="H1834" s="18">
        <v>45294.958333333336</v>
      </c>
      <c r="L1834" t="s">
        <v>16</v>
      </c>
    </row>
    <row r="1835" spans="1:12" x14ac:dyDescent="0.3">
      <c r="A1835" t="s">
        <v>6402</v>
      </c>
      <c r="B1835">
        <v>739</v>
      </c>
      <c r="C1835" t="s">
        <v>6403</v>
      </c>
      <c r="E1835" t="s">
        <v>6404</v>
      </c>
      <c r="L1835" t="s">
        <v>16</v>
      </c>
    </row>
    <row r="1836" spans="1:12" x14ac:dyDescent="0.3">
      <c r="A1836" t="s">
        <v>6405</v>
      </c>
      <c r="B1836">
        <v>1285</v>
      </c>
      <c r="C1836" t="s">
        <v>6406</v>
      </c>
    </row>
    <row r="1837" spans="1:12" x14ac:dyDescent="0.3">
      <c r="A1837" t="s">
        <v>6407</v>
      </c>
      <c r="B1837">
        <v>1004</v>
      </c>
      <c r="C1837" t="s">
        <v>6408</v>
      </c>
      <c r="E1837" t="s">
        <v>6409</v>
      </c>
      <c r="F1837" t="s">
        <v>15</v>
      </c>
      <c r="G1837" s="18">
        <v>45380.958333333336</v>
      </c>
      <c r="H1837" s="18">
        <v>45402.916666666664</v>
      </c>
      <c r="L1837" t="s">
        <v>16</v>
      </c>
    </row>
    <row r="1838" spans="1:12" x14ac:dyDescent="0.3">
      <c r="A1838" t="s">
        <v>6410</v>
      </c>
      <c r="B1838">
        <v>576</v>
      </c>
      <c r="C1838" t="s">
        <v>6411</v>
      </c>
      <c r="D1838" t="s">
        <v>6412</v>
      </c>
      <c r="E1838" t="s">
        <v>6413</v>
      </c>
      <c r="F1838" t="s">
        <v>41</v>
      </c>
      <c r="G1838" s="18">
        <v>45872.916666666664</v>
      </c>
      <c r="L1838" t="s">
        <v>315</v>
      </c>
    </row>
    <row r="1839" spans="1:12" x14ac:dyDescent="0.3">
      <c r="A1839" t="s">
        <v>6414</v>
      </c>
      <c r="B1839">
        <v>971</v>
      </c>
      <c r="C1839" t="s">
        <v>6415</v>
      </c>
    </row>
    <row r="1840" spans="1:12" x14ac:dyDescent="0.3">
      <c r="A1840" t="s">
        <v>6416</v>
      </c>
      <c r="B1840">
        <v>316</v>
      </c>
      <c r="C1840" t="s">
        <v>6417</v>
      </c>
      <c r="D1840" t="s">
        <v>6418</v>
      </c>
      <c r="E1840" t="s">
        <v>6419</v>
      </c>
      <c r="F1840" t="s">
        <v>57</v>
      </c>
      <c r="L1840" t="s">
        <v>230</v>
      </c>
    </row>
    <row r="1841" spans="1:12" x14ac:dyDescent="0.3">
      <c r="A1841" t="s">
        <v>6420</v>
      </c>
      <c r="B1841">
        <v>851</v>
      </c>
      <c r="C1841" t="s">
        <v>6421</v>
      </c>
      <c r="E1841" t="s">
        <v>6422</v>
      </c>
      <c r="F1841" t="s">
        <v>15</v>
      </c>
      <c r="G1841" s="18">
        <v>45550.916666666664</v>
      </c>
      <c r="K1841" s="18">
        <v>45610.958333333336</v>
      </c>
      <c r="L1841" t="s">
        <v>16</v>
      </c>
    </row>
    <row r="1842" spans="1:12" x14ac:dyDescent="0.3">
      <c r="A1842" t="s">
        <v>6423</v>
      </c>
      <c r="B1842">
        <v>1390</v>
      </c>
      <c r="C1842" t="s">
        <v>6424</v>
      </c>
      <c r="E1842" t="s">
        <v>6425</v>
      </c>
      <c r="F1842" t="s">
        <v>15</v>
      </c>
      <c r="G1842" s="18">
        <v>45219.916666666664</v>
      </c>
      <c r="H1842" s="18">
        <v>45421.916666666664</v>
      </c>
      <c r="L1842" t="s">
        <v>16</v>
      </c>
    </row>
    <row r="1843" spans="1:12" x14ac:dyDescent="0.3">
      <c r="A1843" t="s">
        <v>6426</v>
      </c>
      <c r="B1843">
        <v>807</v>
      </c>
      <c r="C1843" t="s">
        <v>6427</v>
      </c>
      <c r="E1843" t="s">
        <v>6428</v>
      </c>
      <c r="L1843" t="s">
        <v>16</v>
      </c>
    </row>
    <row r="1844" spans="1:12" x14ac:dyDescent="0.3">
      <c r="A1844" t="s">
        <v>6429</v>
      </c>
      <c r="B1844">
        <v>1784</v>
      </c>
      <c r="C1844" t="s">
        <v>6430</v>
      </c>
      <c r="E1844" t="s">
        <v>6431</v>
      </c>
    </row>
    <row r="1845" spans="1:12" x14ac:dyDescent="0.3">
      <c r="A1845" t="s">
        <v>6432</v>
      </c>
      <c r="B1845">
        <v>1792</v>
      </c>
      <c r="C1845" t="s">
        <v>6433</v>
      </c>
      <c r="D1845" t="s">
        <v>6434</v>
      </c>
      <c r="E1845" t="s">
        <v>6435</v>
      </c>
      <c r="F1845" t="s">
        <v>53</v>
      </c>
      <c r="L1845" t="s">
        <v>315</v>
      </c>
    </row>
    <row r="1846" spans="1:12" x14ac:dyDescent="0.3">
      <c r="A1846" t="s">
        <v>6436</v>
      </c>
      <c r="B1846">
        <v>1111</v>
      </c>
      <c r="C1846" t="s">
        <v>6437</v>
      </c>
      <c r="E1846" t="s">
        <v>6438</v>
      </c>
      <c r="F1846" t="s">
        <v>15</v>
      </c>
      <c r="K1846" s="18">
        <v>45534.916666666664</v>
      </c>
      <c r="L1846" t="s">
        <v>21</v>
      </c>
    </row>
    <row r="1847" spans="1:12" x14ac:dyDescent="0.3">
      <c r="A1847" t="s">
        <v>6439</v>
      </c>
      <c r="B1847">
        <v>2089</v>
      </c>
      <c r="C1847" t="s">
        <v>6440</v>
      </c>
      <c r="E1847" t="s">
        <v>6441</v>
      </c>
    </row>
    <row r="1848" spans="1:12" x14ac:dyDescent="0.3">
      <c r="A1848" t="s">
        <v>6442</v>
      </c>
      <c r="B1848">
        <v>1045</v>
      </c>
      <c r="C1848" t="s">
        <v>6443</v>
      </c>
      <c r="D1848" t="s">
        <v>6444</v>
      </c>
      <c r="E1848" t="s">
        <v>6445</v>
      </c>
      <c r="F1848" t="s">
        <v>53</v>
      </c>
      <c r="L1848" t="s">
        <v>21</v>
      </c>
    </row>
    <row r="1849" spans="1:12" x14ac:dyDescent="0.3">
      <c r="A1849" t="s">
        <v>6446</v>
      </c>
      <c r="B1849">
        <v>1741</v>
      </c>
      <c r="C1849" t="s">
        <v>6447</v>
      </c>
      <c r="D1849" t="s">
        <v>6448</v>
      </c>
      <c r="E1849" t="s">
        <v>6449</v>
      </c>
      <c r="F1849" t="s">
        <v>53</v>
      </c>
      <c r="L1849" t="s">
        <v>315</v>
      </c>
    </row>
    <row r="1850" spans="1:12" x14ac:dyDescent="0.3">
      <c r="A1850" t="s">
        <v>6450</v>
      </c>
      <c r="B1850">
        <v>1084</v>
      </c>
      <c r="C1850" t="s">
        <v>6451</v>
      </c>
      <c r="E1850" t="s">
        <v>6452</v>
      </c>
      <c r="F1850" t="s">
        <v>15</v>
      </c>
      <c r="L1850" t="s">
        <v>21</v>
      </c>
    </row>
    <row r="1851" spans="1:12" x14ac:dyDescent="0.3">
      <c r="A1851" t="s">
        <v>6453</v>
      </c>
      <c r="B1851">
        <v>1302</v>
      </c>
      <c r="C1851" t="s">
        <v>6454</v>
      </c>
    </row>
    <row r="1852" spans="1:12" x14ac:dyDescent="0.3">
      <c r="A1852" t="s">
        <v>6455</v>
      </c>
      <c r="B1852">
        <v>47</v>
      </c>
      <c r="C1852" t="s">
        <v>6456</v>
      </c>
      <c r="D1852" t="s">
        <v>6457</v>
      </c>
      <c r="E1852" t="s">
        <v>6458</v>
      </c>
      <c r="F1852" t="s">
        <v>53</v>
      </c>
      <c r="L1852" t="s">
        <v>315</v>
      </c>
    </row>
    <row r="1853" spans="1:12" x14ac:dyDescent="0.3">
      <c r="A1853" t="s">
        <v>6459</v>
      </c>
      <c r="B1853">
        <v>475</v>
      </c>
      <c r="C1853" t="s">
        <v>6460</v>
      </c>
      <c r="D1853" t="s">
        <v>6461</v>
      </c>
      <c r="E1853" t="s">
        <v>6462</v>
      </c>
      <c r="F1853" t="s">
        <v>53</v>
      </c>
      <c r="L1853" t="s">
        <v>16</v>
      </c>
    </row>
    <row r="1854" spans="1:12" x14ac:dyDescent="0.3">
      <c r="A1854" t="s">
        <v>6463</v>
      </c>
      <c r="B1854">
        <v>368</v>
      </c>
      <c r="C1854" t="s">
        <v>6464</v>
      </c>
      <c r="D1854" t="s">
        <v>6465</v>
      </c>
      <c r="E1854" t="s">
        <v>6466</v>
      </c>
      <c r="F1854" t="s">
        <v>53</v>
      </c>
      <c r="L1854" t="s">
        <v>16</v>
      </c>
    </row>
    <row r="1855" spans="1:12" x14ac:dyDescent="0.3">
      <c r="A1855" t="s">
        <v>6467</v>
      </c>
      <c r="B1855">
        <v>393</v>
      </c>
      <c r="C1855" t="s">
        <v>6468</v>
      </c>
      <c r="D1855" t="s">
        <v>6469</v>
      </c>
      <c r="E1855" t="s">
        <v>6470</v>
      </c>
      <c r="F1855" t="s">
        <v>53</v>
      </c>
      <c r="L1855" t="s">
        <v>21</v>
      </c>
    </row>
    <row r="1856" spans="1:12" x14ac:dyDescent="0.3">
      <c r="A1856" t="s">
        <v>6471</v>
      </c>
      <c r="B1856">
        <v>1301</v>
      </c>
      <c r="C1856" t="s">
        <v>6472</v>
      </c>
      <c r="D1856" t="s">
        <v>6473</v>
      </c>
      <c r="E1856" t="s">
        <v>6474</v>
      </c>
      <c r="F1856" t="s">
        <v>15</v>
      </c>
      <c r="K1856" s="18">
        <v>45704.958333333336</v>
      </c>
      <c r="L1856" t="s">
        <v>16</v>
      </c>
    </row>
    <row r="1857" spans="1:12" x14ac:dyDescent="0.3">
      <c r="A1857" t="s">
        <v>6475</v>
      </c>
      <c r="B1857">
        <v>343</v>
      </c>
      <c r="C1857" t="s">
        <v>6476</v>
      </c>
      <c r="D1857" t="s">
        <v>6477</v>
      </c>
      <c r="E1857" t="s">
        <v>6478</v>
      </c>
      <c r="F1857" t="s">
        <v>57</v>
      </c>
      <c r="L1857" t="s">
        <v>230</v>
      </c>
    </row>
    <row r="1858" spans="1:12" x14ac:dyDescent="0.3">
      <c r="A1858" t="s">
        <v>6479</v>
      </c>
      <c r="B1858">
        <v>1920</v>
      </c>
      <c r="C1858" t="s">
        <v>6480</v>
      </c>
      <c r="D1858" t="s">
        <v>6481</v>
      </c>
      <c r="E1858" t="s">
        <v>6482</v>
      </c>
    </row>
    <row r="1859" spans="1:12" x14ac:dyDescent="0.3">
      <c r="A1859" t="s">
        <v>6483</v>
      </c>
      <c r="B1859">
        <v>653</v>
      </c>
      <c r="C1859" t="s">
        <v>6484</v>
      </c>
      <c r="E1859" t="s">
        <v>6485</v>
      </c>
      <c r="F1859" t="s">
        <v>15</v>
      </c>
      <c r="G1859" s="18">
        <v>45706.958333333336</v>
      </c>
      <c r="K1859" s="18">
        <v>45715.958333333336</v>
      </c>
      <c r="L1859" t="s">
        <v>21</v>
      </c>
    </row>
    <row r="1860" spans="1:12" x14ac:dyDescent="0.3">
      <c r="A1860" t="s">
        <v>6486</v>
      </c>
      <c r="B1860">
        <v>2097</v>
      </c>
      <c r="C1860" t="s">
        <v>6487</v>
      </c>
      <c r="D1860" t="s">
        <v>6488</v>
      </c>
      <c r="E1860" t="s">
        <v>6489</v>
      </c>
    </row>
    <row r="1861" spans="1:12" x14ac:dyDescent="0.3">
      <c r="A1861" t="s">
        <v>6490</v>
      </c>
      <c r="B1861">
        <v>1807</v>
      </c>
      <c r="C1861" t="s">
        <v>6491</v>
      </c>
      <c r="D1861" t="s">
        <v>6492</v>
      </c>
      <c r="E1861" t="s">
        <v>6493</v>
      </c>
    </row>
    <row r="1862" spans="1:12" x14ac:dyDescent="0.3">
      <c r="A1862" t="s">
        <v>6494</v>
      </c>
      <c r="B1862">
        <v>45</v>
      </c>
      <c r="C1862" t="s">
        <v>6495</v>
      </c>
      <c r="D1862" t="s">
        <v>6496</v>
      </c>
      <c r="E1862" t="s">
        <v>6497</v>
      </c>
      <c r="F1862" t="s">
        <v>53</v>
      </c>
      <c r="L1862" t="s">
        <v>21</v>
      </c>
    </row>
    <row r="1863" spans="1:12" x14ac:dyDescent="0.3">
      <c r="A1863" t="s">
        <v>6498</v>
      </c>
      <c r="B1863">
        <v>1085</v>
      </c>
      <c r="C1863" t="s">
        <v>6499</v>
      </c>
      <c r="E1863" t="s">
        <v>6500</v>
      </c>
      <c r="F1863" t="s">
        <v>15</v>
      </c>
      <c r="G1863" s="18">
        <v>45669.958333333336</v>
      </c>
      <c r="L1863" t="s">
        <v>21</v>
      </c>
    </row>
    <row r="1864" spans="1:12" x14ac:dyDescent="0.3">
      <c r="A1864" t="s">
        <v>6501</v>
      </c>
      <c r="B1864">
        <v>1766</v>
      </c>
      <c r="C1864" t="s">
        <v>6502</v>
      </c>
      <c r="D1864" t="s">
        <v>6503</v>
      </c>
      <c r="E1864" t="s">
        <v>6504</v>
      </c>
    </row>
    <row r="1865" spans="1:12" x14ac:dyDescent="0.3">
      <c r="A1865" t="s">
        <v>6505</v>
      </c>
      <c r="B1865">
        <v>262</v>
      </c>
      <c r="C1865" t="s">
        <v>6506</v>
      </c>
      <c r="D1865" t="s">
        <v>6507</v>
      </c>
      <c r="E1865" t="s">
        <v>6508</v>
      </c>
      <c r="F1865" t="s">
        <v>41</v>
      </c>
      <c r="G1865" s="18">
        <v>45800.916666666664</v>
      </c>
      <c r="L1865" t="s">
        <v>21</v>
      </c>
    </row>
    <row r="1866" spans="1:12" x14ac:dyDescent="0.3">
      <c r="A1866" t="s">
        <v>6509</v>
      </c>
      <c r="B1866">
        <v>1985</v>
      </c>
      <c r="C1866" t="s">
        <v>6510</v>
      </c>
      <c r="E1866" t="s">
        <v>6511</v>
      </c>
    </row>
    <row r="1867" spans="1:12" x14ac:dyDescent="0.3">
      <c r="A1867" t="s">
        <v>6512</v>
      </c>
      <c r="B1867">
        <v>288</v>
      </c>
      <c r="C1867" t="s">
        <v>6513</v>
      </c>
      <c r="D1867" t="s">
        <v>6514</v>
      </c>
      <c r="E1867" t="s">
        <v>6515</v>
      </c>
      <c r="F1867" t="s">
        <v>41</v>
      </c>
      <c r="G1867" s="18">
        <v>45866.916666666664</v>
      </c>
      <c r="L1867" t="s">
        <v>88</v>
      </c>
    </row>
    <row r="1868" spans="1:12" x14ac:dyDescent="0.3">
      <c r="A1868" t="s">
        <v>6516</v>
      </c>
      <c r="B1868">
        <v>1162</v>
      </c>
      <c r="C1868" t="s">
        <v>6517</v>
      </c>
      <c r="E1868" t="s">
        <v>6518</v>
      </c>
      <c r="F1868" t="s">
        <v>15</v>
      </c>
      <c r="K1868" s="18">
        <v>45603.958333333336</v>
      </c>
      <c r="L1868" t="s">
        <v>21</v>
      </c>
    </row>
    <row r="1869" spans="1:12" x14ac:dyDescent="0.3">
      <c r="A1869" t="s">
        <v>6519</v>
      </c>
      <c r="B1869">
        <v>1955</v>
      </c>
      <c r="C1869" t="s">
        <v>6520</v>
      </c>
      <c r="D1869" t="s">
        <v>6521</v>
      </c>
      <c r="E1869" t="s">
        <v>6522</v>
      </c>
    </row>
    <row r="1870" spans="1:12" x14ac:dyDescent="0.3">
      <c r="A1870" t="s">
        <v>6523</v>
      </c>
      <c r="B1870">
        <v>577</v>
      </c>
      <c r="C1870" t="s">
        <v>6524</v>
      </c>
      <c r="D1870" t="s">
        <v>6525</v>
      </c>
      <c r="E1870" t="s">
        <v>6526</v>
      </c>
      <c r="F1870" t="s">
        <v>41</v>
      </c>
      <c r="G1870" s="18">
        <v>45872.916666666664</v>
      </c>
      <c r="L1870" t="s">
        <v>16</v>
      </c>
    </row>
    <row r="1871" spans="1:12" x14ac:dyDescent="0.3">
      <c r="A1871" t="s">
        <v>6527</v>
      </c>
      <c r="B1871">
        <v>1364</v>
      </c>
      <c r="C1871" t="s">
        <v>6528</v>
      </c>
      <c r="E1871" t="s">
        <v>6529</v>
      </c>
      <c r="F1871" t="s">
        <v>15</v>
      </c>
      <c r="G1871" s="18">
        <v>45373.958333333336</v>
      </c>
      <c r="H1871" s="18">
        <v>45450.916666666664</v>
      </c>
      <c r="L1871" t="s">
        <v>16</v>
      </c>
    </row>
    <row r="1872" spans="1:12" x14ac:dyDescent="0.3">
      <c r="A1872" t="s">
        <v>6530</v>
      </c>
      <c r="B1872">
        <v>935</v>
      </c>
      <c r="C1872" t="s">
        <v>6531</v>
      </c>
      <c r="E1872" t="s">
        <v>6532</v>
      </c>
      <c r="F1872" t="s">
        <v>275</v>
      </c>
      <c r="G1872" s="18">
        <v>45669.958333333336</v>
      </c>
      <c r="K1872" s="18">
        <v>45708.958333333336</v>
      </c>
      <c r="L1872" t="s">
        <v>21</v>
      </c>
    </row>
    <row r="1873" spans="1:12" x14ac:dyDescent="0.3">
      <c r="A1873" t="s">
        <v>6533</v>
      </c>
      <c r="B1873">
        <v>612</v>
      </c>
      <c r="C1873" t="s">
        <v>6534</v>
      </c>
      <c r="D1873" t="s">
        <v>6535</v>
      </c>
      <c r="E1873" t="s">
        <v>6536</v>
      </c>
      <c r="F1873" t="s">
        <v>53</v>
      </c>
      <c r="L1873" t="s">
        <v>16</v>
      </c>
    </row>
    <row r="1874" spans="1:12" x14ac:dyDescent="0.3">
      <c r="A1874" t="s">
        <v>6537</v>
      </c>
      <c r="B1874">
        <v>582</v>
      </c>
      <c r="C1874" t="s">
        <v>6538</v>
      </c>
      <c r="D1874" t="s">
        <v>6539</v>
      </c>
      <c r="E1874" t="s">
        <v>6540</v>
      </c>
      <c r="F1874" t="s">
        <v>41</v>
      </c>
      <c r="G1874" s="18">
        <v>45427.916666666664</v>
      </c>
      <c r="L1874" t="s">
        <v>16</v>
      </c>
    </row>
    <row r="1875" spans="1:12" x14ac:dyDescent="0.3">
      <c r="A1875" t="s">
        <v>6541</v>
      </c>
      <c r="B1875">
        <v>741</v>
      </c>
      <c r="C1875" t="s">
        <v>6542</v>
      </c>
      <c r="E1875" t="s">
        <v>6543</v>
      </c>
      <c r="F1875" t="s">
        <v>15</v>
      </c>
      <c r="G1875" s="18">
        <v>45441.916666666664</v>
      </c>
      <c r="L1875" t="s">
        <v>16</v>
      </c>
    </row>
    <row r="1876" spans="1:12" x14ac:dyDescent="0.3">
      <c r="A1876" t="s">
        <v>6544</v>
      </c>
      <c r="B1876">
        <v>517</v>
      </c>
      <c r="C1876" t="s">
        <v>6545</v>
      </c>
      <c r="D1876" t="s">
        <v>6546</v>
      </c>
      <c r="E1876" t="s">
        <v>6547</v>
      </c>
      <c r="F1876" t="s">
        <v>36</v>
      </c>
      <c r="L1876" t="s">
        <v>37</v>
      </c>
    </row>
    <row r="1877" spans="1:12" x14ac:dyDescent="0.3">
      <c r="A1877" t="s">
        <v>6548</v>
      </c>
      <c r="B1877">
        <v>455</v>
      </c>
      <c r="C1877" t="s">
        <v>6549</v>
      </c>
      <c r="E1877" t="s">
        <v>6550</v>
      </c>
      <c r="F1877" t="s">
        <v>36</v>
      </c>
      <c r="G1877" s="18">
        <v>45761.916666666664</v>
      </c>
      <c r="L1877" t="s">
        <v>16</v>
      </c>
    </row>
    <row r="1878" spans="1:12" x14ac:dyDescent="0.3">
      <c r="A1878" t="s">
        <v>6551</v>
      </c>
      <c r="B1878">
        <v>986</v>
      </c>
      <c r="C1878" t="s">
        <v>6552</v>
      </c>
      <c r="E1878" t="s">
        <v>6553</v>
      </c>
      <c r="F1878" t="s">
        <v>15</v>
      </c>
      <c r="G1878" s="18">
        <v>45473.916666666664</v>
      </c>
      <c r="K1878" s="18">
        <v>45526.916666666664</v>
      </c>
      <c r="L1878" t="s">
        <v>16</v>
      </c>
    </row>
    <row r="1879" spans="1:12" x14ac:dyDescent="0.3">
      <c r="A1879" t="s">
        <v>6554</v>
      </c>
      <c r="B1879">
        <v>1183</v>
      </c>
      <c r="C1879" t="s">
        <v>6555</v>
      </c>
      <c r="E1879" t="s">
        <v>6556</v>
      </c>
      <c r="F1879" t="s">
        <v>15</v>
      </c>
      <c r="G1879" s="18">
        <v>45762.916666666664</v>
      </c>
      <c r="H1879" s="18">
        <v>45799.916666666664</v>
      </c>
      <c r="L1879" t="s">
        <v>16</v>
      </c>
    </row>
    <row r="1880" spans="1:12" x14ac:dyDescent="0.3">
      <c r="A1880" t="s">
        <v>6557</v>
      </c>
      <c r="B1880">
        <v>92</v>
      </c>
      <c r="C1880" t="s">
        <v>6558</v>
      </c>
      <c r="D1880" t="s">
        <v>6559</v>
      </c>
      <c r="E1880" t="s">
        <v>6560</v>
      </c>
      <c r="F1880" t="s">
        <v>41</v>
      </c>
      <c r="G1880" s="18">
        <v>45306.958333333336</v>
      </c>
      <c r="L1880" t="s">
        <v>16</v>
      </c>
    </row>
    <row r="1881" spans="1:12" x14ac:dyDescent="0.3">
      <c r="A1881" t="s">
        <v>6561</v>
      </c>
      <c r="B1881">
        <v>1337</v>
      </c>
      <c r="C1881" t="s">
        <v>6562</v>
      </c>
      <c r="E1881" t="s">
        <v>6563</v>
      </c>
      <c r="F1881" t="s">
        <v>15</v>
      </c>
      <c r="G1881" s="18">
        <v>45728.958333333336</v>
      </c>
      <c r="H1881" s="18">
        <v>45747.916666666664</v>
      </c>
      <c r="K1881" s="18">
        <v>45727.958333333336</v>
      </c>
      <c r="L1881" t="s">
        <v>16</v>
      </c>
    </row>
    <row r="1882" spans="1:12" x14ac:dyDescent="0.3">
      <c r="A1882" t="s">
        <v>6564</v>
      </c>
      <c r="B1882">
        <v>1863</v>
      </c>
      <c r="C1882" t="s">
        <v>6565</v>
      </c>
      <c r="D1882" t="s">
        <v>6566</v>
      </c>
      <c r="E1882" t="s">
        <v>6567</v>
      </c>
      <c r="L1882" t="s">
        <v>5114</v>
      </c>
    </row>
    <row r="1883" spans="1:12" x14ac:dyDescent="0.3">
      <c r="A1883" t="s">
        <v>6568</v>
      </c>
      <c r="B1883">
        <v>1005</v>
      </c>
      <c r="C1883" t="s">
        <v>6569</v>
      </c>
      <c r="E1883" t="s">
        <v>6570</v>
      </c>
      <c r="F1883" t="s">
        <v>15</v>
      </c>
      <c r="G1883" s="18">
        <v>45380.958333333336</v>
      </c>
      <c r="H1883" s="18">
        <v>45397.916666666664</v>
      </c>
      <c r="L1883" t="s">
        <v>16</v>
      </c>
    </row>
    <row r="1884" spans="1:12" x14ac:dyDescent="0.3">
      <c r="A1884" t="s">
        <v>6571</v>
      </c>
      <c r="B1884">
        <v>690</v>
      </c>
      <c r="C1884" t="s">
        <v>6572</v>
      </c>
      <c r="E1884" t="s">
        <v>6573</v>
      </c>
      <c r="F1884" t="s">
        <v>15</v>
      </c>
      <c r="G1884" s="18">
        <v>45487.916666666664</v>
      </c>
      <c r="H1884" s="18">
        <v>45562.916666666664</v>
      </c>
      <c r="K1884" s="18">
        <v>45562.916666666664</v>
      </c>
      <c r="L1884" t="s">
        <v>21</v>
      </c>
    </row>
    <row r="1885" spans="1:12" x14ac:dyDescent="0.3">
      <c r="A1885" t="s">
        <v>6574</v>
      </c>
      <c r="B1885">
        <v>767</v>
      </c>
      <c r="C1885" t="s">
        <v>6575</v>
      </c>
      <c r="E1885" t="s">
        <v>6576</v>
      </c>
      <c r="F1885" t="s">
        <v>170</v>
      </c>
      <c r="G1885" s="18">
        <v>45459.916666666664</v>
      </c>
      <c r="H1885" s="18">
        <v>45545.916666666664</v>
      </c>
      <c r="K1885" s="18">
        <v>45481.916666666664</v>
      </c>
      <c r="L1885" t="s">
        <v>16</v>
      </c>
    </row>
    <row r="1886" spans="1:12" x14ac:dyDescent="0.3">
      <c r="A1886" t="s">
        <v>6577</v>
      </c>
      <c r="B1886">
        <v>1711</v>
      </c>
      <c r="C1886" t="s">
        <v>6578</v>
      </c>
      <c r="D1886" t="s">
        <v>6579</v>
      </c>
      <c r="E1886" t="s">
        <v>6580</v>
      </c>
      <c r="F1886" t="s">
        <v>53</v>
      </c>
      <c r="L1886" t="s">
        <v>315</v>
      </c>
    </row>
    <row r="1887" spans="1:12" x14ac:dyDescent="0.3">
      <c r="A1887" t="s">
        <v>6581</v>
      </c>
      <c r="B1887">
        <v>972</v>
      </c>
      <c r="C1887" t="s">
        <v>6582</v>
      </c>
    </row>
    <row r="1888" spans="1:12" x14ac:dyDescent="0.3">
      <c r="A1888" t="s">
        <v>6583</v>
      </c>
      <c r="B1888">
        <v>1323</v>
      </c>
      <c r="C1888" t="s">
        <v>6584</v>
      </c>
      <c r="E1888" t="s">
        <v>6585</v>
      </c>
      <c r="F1888" t="s">
        <v>15</v>
      </c>
      <c r="G1888" s="18">
        <v>45700.958333333336</v>
      </c>
      <c r="L1888" t="s">
        <v>16</v>
      </c>
    </row>
    <row r="1889" spans="1:12" x14ac:dyDescent="0.3">
      <c r="A1889" t="s">
        <v>6586</v>
      </c>
      <c r="B1889">
        <v>1818</v>
      </c>
      <c r="C1889" t="s">
        <v>6587</v>
      </c>
      <c r="D1889" t="s">
        <v>6588</v>
      </c>
      <c r="E1889" t="s">
        <v>6589</v>
      </c>
      <c r="L1889" t="s">
        <v>315</v>
      </c>
    </row>
    <row r="1890" spans="1:12" x14ac:dyDescent="0.3">
      <c r="A1890" t="s">
        <v>6590</v>
      </c>
      <c r="B1890">
        <v>1960</v>
      </c>
      <c r="C1890" t="s">
        <v>6591</v>
      </c>
      <c r="D1890" t="s">
        <v>6592</v>
      </c>
      <c r="E1890" t="s">
        <v>6593</v>
      </c>
    </row>
    <row r="1891" spans="1:12" x14ac:dyDescent="0.3">
      <c r="A1891" t="s">
        <v>6594</v>
      </c>
      <c r="B1891">
        <v>1138</v>
      </c>
      <c r="C1891" t="s">
        <v>6595</v>
      </c>
      <c r="D1891" t="s">
        <v>6596</v>
      </c>
      <c r="E1891" t="s">
        <v>6597</v>
      </c>
      <c r="F1891" t="s">
        <v>15</v>
      </c>
      <c r="G1891" s="18">
        <v>45426.916666666664</v>
      </c>
      <c r="H1891" s="18">
        <v>45561.916666666664</v>
      </c>
      <c r="K1891" s="18">
        <v>45561.916666666664</v>
      </c>
      <c r="L1891" t="s">
        <v>16</v>
      </c>
    </row>
    <row r="1892" spans="1:12" x14ac:dyDescent="0.3">
      <c r="A1892" t="s">
        <v>6598</v>
      </c>
      <c r="B1892">
        <v>1099</v>
      </c>
      <c r="C1892" t="s">
        <v>6599</v>
      </c>
      <c r="E1892" t="s">
        <v>6600</v>
      </c>
      <c r="F1892" t="s">
        <v>49</v>
      </c>
      <c r="G1892" s="18">
        <v>45725.958333333336</v>
      </c>
      <c r="L1892" t="s">
        <v>21</v>
      </c>
    </row>
    <row r="1893" spans="1:12" x14ac:dyDescent="0.3">
      <c r="A1893" t="s">
        <v>6601</v>
      </c>
      <c r="B1893">
        <v>1384</v>
      </c>
      <c r="C1893" t="s">
        <v>6602</v>
      </c>
      <c r="D1893" t="s">
        <v>6603</v>
      </c>
      <c r="E1893" t="s">
        <v>6604</v>
      </c>
      <c r="F1893" t="s">
        <v>170</v>
      </c>
      <c r="K1893" s="18">
        <v>45719.958333333336</v>
      </c>
      <c r="L1893" t="s">
        <v>21</v>
      </c>
    </row>
    <row r="1894" spans="1:12" x14ac:dyDescent="0.3">
      <c r="A1894" t="s">
        <v>6605</v>
      </c>
      <c r="B1894">
        <v>1195</v>
      </c>
      <c r="C1894" t="s">
        <v>6606</v>
      </c>
      <c r="E1894" t="s">
        <v>6607</v>
      </c>
      <c r="F1894" t="s">
        <v>15</v>
      </c>
      <c r="G1894" s="18">
        <v>45712.958333333336</v>
      </c>
      <c r="K1894" s="18">
        <v>45750.916666666664</v>
      </c>
      <c r="L1894" t="s">
        <v>21</v>
      </c>
    </row>
    <row r="1895" spans="1:12" x14ac:dyDescent="0.3">
      <c r="A1895" t="s">
        <v>6608</v>
      </c>
      <c r="B1895">
        <v>649</v>
      </c>
      <c r="C1895" t="s">
        <v>6609</v>
      </c>
      <c r="D1895" t="s">
        <v>6610</v>
      </c>
      <c r="E1895" t="s">
        <v>6611</v>
      </c>
      <c r="F1895" t="s">
        <v>15</v>
      </c>
      <c r="K1895" s="18">
        <v>45781.916666666664</v>
      </c>
      <c r="L1895" t="s">
        <v>21</v>
      </c>
    </row>
    <row r="1896" spans="1:12" x14ac:dyDescent="0.3">
      <c r="A1896" t="s">
        <v>6612</v>
      </c>
      <c r="B1896">
        <v>760</v>
      </c>
      <c r="C1896" t="s">
        <v>6613</v>
      </c>
      <c r="E1896" t="s">
        <v>6614</v>
      </c>
      <c r="F1896" t="s">
        <v>15</v>
      </c>
      <c r="G1896" s="18">
        <v>45592.958333333336</v>
      </c>
      <c r="K1896" s="18">
        <v>45680.958333333336</v>
      </c>
      <c r="L1896" t="s">
        <v>16</v>
      </c>
    </row>
    <row r="1897" spans="1:12" x14ac:dyDescent="0.3">
      <c r="A1897" t="s">
        <v>6615</v>
      </c>
      <c r="B1897">
        <v>1090</v>
      </c>
      <c r="C1897" t="s">
        <v>6616</v>
      </c>
      <c r="E1897" t="s">
        <v>6617</v>
      </c>
      <c r="F1897" t="s">
        <v>49</v>
      </c>
      <c r="L1897" t="s">
        <v>21</v>
      </c>
    </row>
    <row r="1898" spans="1:12" x14ac:dyDescent="0.3">
      <c r="A1898" t="s">
        <v>6618</v>
      </c>
      <c r="B1898">
        <v>70</v>
      </c>
      <c r="C1898" t="s">
        <v>6619</v>
      </c>
      <c r="D1898" t="s">
        <v>6620</v>
      </c>
      <c r="E1898" t="s">
        <v>6621</v>
      </c>
      <c r="F1898" t="s">
        <v>41</v>
      </c>
      <c r="G1898" s="18">
        <v>45428.916666666664</v>
      </c>
      <c r="L1898" t="s">
        <v>16</v>
      </c>
    </row>
    <row r="1899" spans="1:12" x14ac:dyDescent="0.3">
      <c r="A1899" t="s">
        <v>6622</v>
      </c>
      <c r="B1899">
        <v>1810</v>
      </c>
      <c r="C1899" t="s">
        <v>6623</v>
      </c>
      <c r="D1899" t="s">
        <v>6624</v>
      </c>
      <c r="E1899" t="s">
        <v>6625</v>
      </c>
    </row>
    <row r="1900" spans="1:12" x14ac:dyDescent="0.3">
      <c r="A1900" t="s">
        <v>6626</v>
      </c>
      <c r="B1900">
        <v>762</v>
      </c>
      <c r="C1900" t="s">
        <v>6627</v>
      </c>
      <c r="E1900" t="s">
        <v>6628</v>
      </c>
      <c r="F1900" t="s">
        <v>71</v>
      </c>
      <c r="L1900" t="s">
        <v>16</v>
      </c>
    </row>
    <row r="1901" spans="1:12" x14ac:dyDescent="0.3">
      <c r="A1901" t="s">
        <v>6629</v>
      </c>
      <c r="B1901">
        <v>1196</v>
      </c>
      <c r="C1901" t="s">
        <v>6630</v>
      </c>
      <c r="E1901" t="s">
        <v>6631</v>
      </c>
      <c r="F1901" t="s">
        <v>170</v>
      </c>
      <c r="G1901" s="18">
        <v>45408.916666666664</v>
      </c>
      <c r="L1901" t="s">
        <v>16</v>
      </c>
    </row>
    <row r="1902" spans="1:12" x14ac:dyDescent="0.3">
      <c r="A1902" t="s">
        <v>6632</v>
      </c>
      <c r="B1902">
        <v>309</v>
      </c>
      <c r="C1902" t="s">
        <v>6633</v>
      </c>
      <c r="E1902" t="s">
        <v>6634</v>
      </c>
      <c r="F1902" t="s">
        <v>41</v>
      </c>
      <c r="G1902" s="18">
        <v>45548.916666666664</v>
      </c>
      <c r="L1902" t="s">
        <v>21</v>
      </c>
    </row>
    <row r="1903" spans="1:12" x14ac:dyDescent="0.3">
      <c r="A1903" t="s">
        <v>6635</v>
      </c>
      <c r="B1903">
        <v>91</v>
      </c>
      <c r="C1903" t="s">
        <v>6636</v>
      </c>
      <c r="D1903" t="s">
        <v>6637</v>
      </c>
      <c r="E1903" t="s">
        <v>6638</v>
      </c>
      <c r="F1903" t="s">
        <v>41</v>
      </c>
      <c r="G1903" s="18">
        <v>45160.916666666664</v>
      </c>
      <c r="L1903" t="s">
        <v>16</v>
      </c>
    </row>
    <row r="1904" spans="1:12" x14ac:dyDescent="0.3">
      <c r="A1904" t="s">
        <v>6639</v>
      </c>
      <c r="B1904">
        <v>75</v>
      </c>
      <c r="C1904" t="s">
        <v>6640</v>
      </c>
      <c r="D1904" t="s">
        <v>6641</v>
      </c>
      <c r="E1904" t="s">
        <v>6642</v>
      </c>
      <c r="F1904" t="s">
        <v>53</v>
      </c>
      <c r="L1904" t="s">
        <v>16</v>
      </c>
    </row>
    <row r="1905" spans="1:12" x14ac:dyDescent="0.3">
      <c r="A1905" t="s">
        <v>6643</v>
      </c>
      <c r="B1905">
        <v>1939</v>
      </c>
      <c r="C1905" t="s">
        <v>6644</v>
      </c>
      <c r="D1905" t="s">
        <v>6645</v>
      </c>
      <c r="E1905" t="s">
        <v>6646</v>
      </c>
    </row>
    <row r="1906" spans="1:12" x14ac:dyDescent="0.3">
      <c r="A1906" t="s">
        <v>6647</v>
      </c>
      <c r="B1906">
        <v>878</v>
      </c>
      <c r="C1906" t="s">
        <v>6648</v>
      </c>
      <c r="E1906" t="s">
        <v>6649</v>
      </c>
      <c r="F1906" t="s">
        <v>49</v>
      </c>
      <c r="L1906" t="s">
        <v>16</v>
      </c>
    </row>
    <row r="1907" spans="1:12" x14ac:dyDescent="0.3">
      <c r="A1907" t="s">
        <v>6650</v>
      </c>
      <c r="B1907">
        <v>610</v>
      </c>
      <c r="C1907" t="s">
        <v>6651</v>
      </c>
      <c r="D1907" t="s">
        <v>6652</v>
      </c>
      <c r="E1907" t="s">
        <v>6653</v>
      </c>
      <c r="F1907" t="s">
        <v>41</v>
      </c>
      <c r="G1907" s="18">
        <v>45748.916666666664</v>
      </c>
      <c r="L1907" t="s">
        <v>16</v>
      </c>
    </row>
    <row r="1908" spans="1:12" x14ac:dyDescent="0.3">
      <c r="A1908" t="s">
        <v>6654</v>
      </c>
      <c r="B1908">
        <v>1938</v>
      </c>
      <c r="C1908" t="s">
        <v>6655</v>
      </c>
      <c r="D1908" t="s">
        <v>6656</v>
      </c>
      <c r="E1908" t="s">
        <v>6657</v>
      </c>
    </row>
    <row r="1909" spans="1:12" x14ac:dyDescent="0.3">
      <c r="A1909" t="s">
        <v>6658</v>
      </c>
      <c r="B1909">
        <v>1217</v>
      </c>
      <c r="C1909" t="s">
        <v>6659</v>
      </c>
      <c r="E1909" t="s">
        <v>6660</v>
      </c>
      <c r="F1909" t="s">
        <v>15</v>
      </c>
      <c r="K1909" s="18">
        <v>45519.916666666664</v>
      </c>
      <c r="L1909" t="s">
        <v>16</v>
      </c>
    </row>
    <row r="1910" spans="1:12" x14ac:dyDescent="0.3">
      <c r="A1910" t="s">
        <v>6661</v>
      </c>
      <c r="B1910">
        <v>624</v>
      </c>
      <c r="C1910" t="s">
        <v>6662</v>
      </c>
      <c r="D1910" t="s">
        <v>6663</v>
      </c>
      <c r="E1910" t="s">
        <v>6664</v>
      </c>
      <c r="F1910" t="s">
        <v>53</v>
      </c>
      <c r="L1910" t="s">
        <v>16</v>
      </c>
    </row>
    <row r="1911" spans="1:12" x14ac:dyDescent="0.3">
      <c r="A1911" t="s">
        <v>6665</v>
      </c>
      <c r="B1911">
        <v>1847</v>
      </c>
      <c r="C1911" t="s">
        <v>6666</v>
      </c>
      <c r="D1911" t="s">
        <v>6667</v>
      </c>
      <c r="E1911" t="s">
        <v>6668</v>
      </c>
      <c r="F1911" t="s">
        <v>53</v>
      </c>
      <c r="L1911" t="s">
        <v>315</v>
      </c>
    </row>
    <row r="1912" spans="1:12" x14ac:dyDescent="0.3">
      <c r="A1912" t="s">
        <v>6669</v>
      </c>
      <c r="B1912">
        <v>7</v>
      </c>
      <c r="C1912" t="s">
        <v>6670</v>
      </c>
      <c r="D1912" t="s">
        <v>6671</v>
      </c>
      <c r="E1912" t="s">
        <v>6672</v>
      </c>
      <c r="F1912" t="s">
        <v>41</v>
      </c>
      <c r="G1912" s="18">
        <v>45914.916666666664</v>
      </c>
      <c r="K1912" s="18">
        <v>45801.916666666664</v>
      </c>
      <c r="L1912" t="s">
        <v>230</v>
      </c>
    </row>
    <row r="1913" spans="1:12" x14ac:dyDescent="0.3">
      <c r="A1913" t="s">
        <v>6673</v>
      </c>
      <c r="B1913">
        <v>928</v>
      </c>
      <c r="C1913" t="s">
        <v>6674</v>
      </c>
      <c r="E1913" t="s">
        <v>6675</v>
      </c>
      <c r="F1913" t="s">
        <v>71</v>
      </c>
      <c r="L1913" t="s">
        <v>16</v>
      </c>
    </row>
    <row r="1914" spans="1:12" x14ac:dyDescent="0.3">
      <c r="A1914" t="s">
        <v>6676</v>
      </c>
      <c r="B1914">
        <v>1949</v>
      </c>
      <c r="C1914" t="s">
        <v>6677</v>
      </c>
      <c r="D1914" t="s">
        <v>6678</v>
      </c>
      <c r="E1914" t="s">
        <v>6679</v>
      </c>
    </row>
    <row r="1915" spans="1:12" x14ac:dyDescent="0.3">
      <c r="A1915" t="s">
        <v>6680</v>
      </c>
      <c r="B1915">
        <v>701</v>
      </c>
      <c r="C1915" t="s">
        <v>6681</v>
      </c>
      <c r="E1915" t="s">
        <v>6682</v>
      </c>
      <c r="F1915" t="s">
        <v>49</v>
      </c>
      <c r="L1915" t="s">
        <v>21</v>
      </c>
    </row>
    <row r="1916" spans="1:12" x14ac:dyDescent="0.3">
      <c r="A1916" t="s">
        <v>6683</v>
      </c>
      <c r="B1916">
        <v>700</v>
      </c>
      <c r="C1916" t="s">
        <v>6684</v>
      </c>
      <c r="E1916" t="s">
        <v>6685</v>
      </c>
      <c r="F1916" t="s">
        <v>170</v>
      </c>
      <c r="K1916" s="18">
        <v>45664.958333333336</v>
      </c>
      <c r="L1916" t="s">
        <v>21</v>
      </c>
    </row>
    <row r="1917" spans="1:12" x14ac:dyDescent="0.3">
      <c r="A1917" t="s">
        <v>6686</v>
      </c>
      <c r="B1917">
        <v>1047</v>
      </c>
      <c r="C1917" t="s">
        <v>6687</v>
      </c>
      <c r="E1917" t="s">
        <v>6688</v>
      </c>
      <c r="F1917" t="s">
        <v>15</v>
      </c>
      <c r="H1917" s="18">
        <v>45545.916666666664</v>
      </c>
      <c r="K1917" s="18">
        <v>45545.916666666664</v>
      </c>
      <c r="L1917" t="s">
        <v>21</v>
      </c>
    </row>
    <row r="1918" spans="1:12" x14ac:dyDescent="0.3">
      <c r="A1918" t="s">
        <v>6689</v>
      </c>
      <c r="B1918">
        <v>234</v>
      </c>
      <c r="C1918" t="s">
        <v>6690</v>
      </c>
      <c r="D1918" t="s">
        <v>6691</v>
      </c>
      <c r="E1918" t="s">
        <v>6692</v>
      </c>
      <c r="F1918" t="s">
        <v>57</v>
      </c>
      <c r="L1918" t="s">
        <v>21</v>
      </c>
    </row>
    <row r="1919" spans="1:12" x14ac:dyDescent="0.3">
      <c r="A1919" t="s">
        <v>6693</v>
      </c>
      <c r="B1919">
        <v>520</v>
      </c>
      <c r="C1919" t="s">
        <v>6694</v>
      </c>
      <c r="E1919" t="s">
        <v>6695</v>
      </c>
      <c r="F1919" t="s">
        <v>41</v>
      </c>
      <c r="G1919" s="18">
        <v>45585.916666666664</v>
      </c>
      <c r="L1919" t="s">
        <v>37</v>
      </c>
    </row>
    <row r="1920" spans="1:12" x14ac:dyDescent="0.3">
      <c r="A1920" t="s">
        <v>6696</v>
      </c>
      <c r="B1920">
        <v>723</v>
      </c>
      <c r="C1920" t="s">
        <v>6697</v>
      </c>
      <c r="E1920" t="s">
        <v>6698</v>
      </c>
      <c r="F1920" t="s">
        <v>15</v>
      </c>
      <c r="G1920" s="18">
        <v>45245.958333333336</v>
      </c>
      <c r="L1920" t="s">
        <v>16</v>
      </c>
    </row>
    <row r="1921" spans="1:12" x14ac:dyDescent="0.3">
      <c r="A1921" t="s">
        <v>6699</v>
      </c>
      <c r="B1921">
        <v>266</v>
      </c>
      <c r="C1921" t="s">
        <v>6700</v>
      </c>
      <c r="D1921" t="s">
        <v>6701</v>
      </c>
      <c r="E1921" t="s">
        <v>6702</v>
      </c>
      <c r="F1921" t="s">
        <v>41</v>
      </c>
      <c r="G1921" s="18">
        <v>45761.916666666664</v>
      </c>
      <c r="L1921" t="s">
        <v>16</v>
      </c>
    </row>
    <row r="1922" spans="1:12" x14ac:dyDescent="0.3">
      <c r="A1922" t="s">
        <v>6703</v>
      </c>
      <c r="B1922">
        <v>2027</v>
      </c>
      <c r="C1922" t="s">
        <v>6704</v>
      </c>
      <c r="D1922" t="s">
        <v>6705</v>
      </c>
      <c r="E1922" t="s">
        <v>6706</v>
      </c>
    </row>
    <row r="1923" spans="1:12" x14ac:dyDescent="0.3">
      <c r="A1923" t="s">
        <v>6707</v>
      </c>
      <c r="B1923">
        <v>1926</v>
      </c>
      <c r="C1923" t="s">
        <v>6708</v>
      </c>
      <c r="D1923" t="s">
        <v>6709</v>
      </c>
      <c r="E1923" t="s">
        <v>6710</v>
      </c>
    </row>
    <row r="1924" spans="1:12" x14ac:dyDescent="0.3">
      <c r="A1924" t="s">
        <v>6711</v>
      </c>
      <c r="B1924">
        <v>2034</v>
      </c>
      <c r="C1924" t="s">
        <v>6712</v>
      </c>
      <c r="D1924" t="s">
        <v>6713</v>
      </c>
      <c r="E1924" t="s">
        <v>6714</v>
      </c>
    </row>
    <row r="1925" spans="1:12" x14ac:dyDescent="0.3">
      <c r="A1925" t="s">
        <v>6715</v>
      </c>
      <c r="B1925">
        <v>630</v>
      </c>
      <c r="C1925" t="s">
        <v>6716</v>
      </c>
      <c r="D1925" t="s">
        <v>6717</v>
      </c>
      <c r="E1925" t="s">
        <v>6718</v>
      </c>
      <c r="F1925" t="s">
        <v>53</v>
      </c>
      <c r="L1925" t="s">
        <v>16</v>
      </c>
    </row>
    <row r="1926" spans="1:12" x14ac:dyDescent="0.3">
      <c r="A1926" t="s">
        <v>6719</v>
      </c>
      <c r="B1926">
        <v>1585</v>
      </c>
      <c r="C1926" t="s">
        <v>6720</v>
      </c>
      <c r="E1926" t="s">
        <v>6721</v>
      </c>
      <c r="F1926" t="s">
        <v>53</v>
      </c>
      <c r="K1926" s="18">
        <v>45714.958333333336</v>
      </c>
      <c r="L1926" t="s">
        <v>37</v>
      </c>
    </row>
    <row r="1927" spans="1:12" x14ac:dyDescent="0.3">
      <c r="A1927" t="s">
        <v>6722</v>
      </c>
      <c r="B1927">
        <v>1136</v>
      </c>
      <c r="C1927" t="s">
        <v>6723</v>
      </c>
      <c r="E1927" t="s">
        <v>6724</v>
      </c>
      <c r="F1927" t="s">
        <v>15</v>
      </c>
      <c r="G1927" s="18">
        <v>45376.958333333336</v>
      </c>
      <c r="H1927" s="18">
        <v>45561.916666666664</v>
      </c>
      <c r="K1927" s="18">
        <v>45561.916666666664</v>
      </c>
      <c r="L1927" t="s">
        <v>16</v>
      </c>
    </row>
    <row r="1928" spans="1:12" x14ac:dyDescent="0.3">
      <c r="A1928" t="s">
        <v>6725</v>
      </c>
      <c r="B1928">
        <v>1831</v>
      </c>
      <c r="C1928" t="s">
        <v>6726</v>
      </c>
      <c r="D1928" t="s">
        <v>6727</v>
      </c>
      <c r="E1928" t="s">
        <v>6728</v>
      </c>
    </row>
    <row r="1929" spans="1:12" x14ac:dyDescent="0.3">
      <c r="A1929" t="s">
        <v>6729</v>
      </c>
      <c r="B1929">
        <v>1718</v>
      </c>
      <c r="C1929" t="s">
        <v>6730</v>
      </c>
      <c r="D1929" t="s">
        <v>6731</v>
      </c>
      <c r="E1929" t="s">
        <v>6732</v>
      </c>
      <c r="F1929" t="s">
        <v>53</v>
      </c>
      <c r="L1929" t="s">
        <v>315</v>
      </c>
    </row>
    <row r="1930" spans="1:12" x14ac:dyDescent="0.3">
      <c r="A1930" t="s">
        <v>6733</v>
      </c>
      <c r="B1930">
        <v>142</v>
      </c>
      <c r="C1930" t="s">
        <v>6734</v>
      </c>
      <c r="E1930" t="s">
        <v>6735</v>
      </c>
      <c r="F1930" t="s">
        <v>53</v>
      </c>
      <c r="L1930" t="s">
        <v>16</v>
      </c>
    </row>
    <row r="1931" spans="1:12" x14ac:dyDescent="0.3">
      <c r="A1931" t="s">
        <v>6736</v>
      </c>
      <c r="B1931">
        <v>2058</v>
      </c>
      <c r="C1931" t="s">
        <v>6737</v>
      </c>
      <c r="D1931" t="s">
        <v>6738</v>
      </c>
      <c r="E1931" t="s">
        <v>6739</v>
      </c>
    </row>
    <row r="1932" spans="1:12" x14ac:dyDescent="0.3">
      <c r="A1932" t="s">
        <v>6740</v>
      </c>
      <c r="B1932">
        <v>493</v>
      </c>
      <c r="C1932" t="s">
        <v>6741</v>
      </c>
      <c r="D1932" t="s">
        <v>6742</v>
      </c>
      <c r="E1932" t="s">
        <v>6743</v>
      </c>
      <c r="F1932" t="s">
        <v>53</v>
      </c>
      <c r="L1932" t="s">
        <v>16</v>
      </c>
    </row>
    <row r="1933" spans="1:12" x14ac:dyDescent="0.3">
      <c r="A1933" t="s">
        <v>6744</v>
      </c>
      <c r="B1933">
        <v>296</v>
      </c>
      <c r="C1933" t="s">
        <v>6745</v>
      </c>
      <c r="E1933" t="s">
        <v>6746</v>
      </c>
      <c r="F1933" t="s">
        <v>53</v>
      </c>
      <c r="L1933" t="s">
        <v>16</v>
      </c>
    </row>
    <row r="1934" spans="1:12" x14ac:dyDescent="0.3">
      <c r="A1934" t="s">
        <v>6747</v>
      </c>
      <c r="B1934">
        <v>2031</v>
      </c>
      <c r="C1934" t="s">
        <v>6748</v>
      </c>
      <c r="D1934" t="s">
        <v>6749</v>
      </c>
      <c r="E1934" t="s">
        <v>6750</v>
      </c>
    </row>
    <row r="1935" spans="1:12" x14ac:dyDescent="0.3">
      <c r="A1935" t="s">
        <v>6751</v>
      </c>
      <c r="B1935">
        <v>1357</v>
      </c>
      <c r="C1935" t="s">
        <v>6752</v>
      </c>
      <c r="E1935" t="s">
        <v>6753</v>
      </c>
      <c r="F1935" t="s">
        <v>71</v>
      </c>
      <c r="L1935" t="s">
        <v>21</v>
      </c>
    </row>
    <row r="1936" spans="1:12" x14ac:dyDescent="0.3">
      <c r="A1936" t="s">
        <v>6754</v>
      </c>
      <c r="B1936">
        <v>1586</v>
      </c>
      <c r="C1936" t="s">
        <v>6755</v>
      </c>
      <c r="D1936" t="s">
        <v>6756</v>
      </c>
      <c r="E1936" t="s">
        <v>6757</v>
      </c>
      <c r="F1936" t="s">
        <v>53</v>
      </c>
      <c r="L1936" t="s">
        <v>230</v>
      </c>
    </row>
    <row r="1937" spans="1:12" x14ac:dyDescent="0.3">
      <c r="A1937" t="s">
        <v>6758</v>
      </c>
      <c r="B1937">
        <v>1135</v>
      </c>
      <c r="C1937" t="s">
        <v>6759</v>
      </c>
      <c r="E1937" t="s">
        <v>6760</v>
      </c>
      <c r="F1937" t="s">
        <v>15</v>
      </c>
      <c r="G1937" s="18">
        <v>45344.958333333336</v>
      </c>
      <c r="K1937" s="18">
        <v>45721.958333333336</v>
      </c>
      <c r="L1937" t="s">
        <v>16</v>
      </c>
    </row>
    <row r="1938" spans="1:12" x14ac:dyDescent="0.3">
      <c r="A1938" t="s">
        <v>6761</v>
      </c>
      <c r="B1938">
        <v>519</v>
      </c>
      <c r="C1938" t="s">
        <v>6762</v>
      </c>
      <c r="E1938" t="s">
        <v>6763</v>
      </c>
      <c r="F1938" t="s">
        <v>57</v>
      </c>
      <c r="L1938" t="s">
        <v>37</v>
      </c>
    </row>
    <row r="1939" spans="1:12" x14ac:dyDescent="0.3">
      <c r="A1939" t="s">
        <v>6764</v>
      </c>
      <c r="B1939">
        <v>619</v>
      </c>
      <c r="C1939" t="s">
        <v>6765</v>
      </c>
      <c r="D1939" t="s">
        <v>6766</v>
      </c>
      <c r="E1939" t="s">
        <v>6767</v>
      </c>
      <c r="F1939" t="s">
        <v>53</v>
      </c>
      <c r="L1939" t="s">
        <v>315</v>
      </c>
    </row>
    <row r="1940" spans="1:12" x14ac:dyDescent="0.3">
      <c r="A1940" t="s">
        <v>6768</v>
      </c>
      <c r="B1940">
        <v>714</v>
      </c>
      <c r="C1940" t="s">
        <v>6769</v>
      </c>
      <c r="E1940" t="s">
        <v>6770</v>
      </c>
      <c r="F1940" t="s">
        <v>15</v>
      </c>
      <c r="G1940" s="18">
        <v>45421.916666666664</v>
      </c>
      <c r="K1940" s="18">
        <v>45557.916666666664</v>
      </c>
      <c r="L1940" t="s">
        <v>16</v>
      </c>
    </row>
    <row r="1941" spans="1:12" x14ac:dyDescent="0.3">
      <c r="A1941" t="s">
        <v>6771</v>
      </c>
      <c r="B1941">
        <v>317</v>
      </c>
      <c r="C1941" t="s">
        <v>6772</v>
      </c>
      <c r="D1941" t="s">
        <v>6773</v>
      </c>
      <c r="E1941" t="s">
        <v>6774</v>
      </c>
      <c r="F1941" t="s">
        <v>36</v>
      </c>
      <c r="G1941" s="18">
        <v>45694.958333333336</v>
      </c>
      <c r="L1941" t="s">
        <v>21</v>
      </c>
    </row>
    <row r="1942" spans="1:12" x14ac:dyDescent="0.3">
      <c r="A1942" t="s">
        <v>6775</v>
      </c>
      <c r="B1942">
        <v>1587</v>
      </c>
      <c r="C1942" t="s">
        <v>6776</v>
      </c>
      <c r="E1942" t="s">
        <v>6777</v>
      </c>
      <c r="F1942" t="s">
        <v>53</v>
      </c>
      <c r="L1942" t="s">
        <v>37</v>
      </c>
    </row>
    <row r="1943" spans="1:12" x14ac:dyDescent="0.3">
      <c r="A1943" t="s">
        <v>6778</v>
      </c>
      <c r="B1943">
        <v>1398</v>
      </c>
      <c r="C1943" t="s">
        <v>6779</v>
      </c>
      <c r="D1943" t="s">
        <v>6780</v>
      </c>
      <c r="E1943" t="s">
        <v>6781</v>
      </c>
      <c r="F1943" t="s">
        <v>53</v>
      </c>
    </row>
    <row r="1944" spans="1:12" x14ac:dyDescent="0.3">
      <c r="A1944" t="s">
        <v>6782</v>
      </c>
      <c r="B1944">
        <v>809</v>
      </c>
      <c r="C1944" t="s">
        <v>6783</v>
      </c>
      <c r="E1944" t="s">
        <v>6784</v>
      </c>
      <c r="L1944" t="s">
        <v>16</v>
      </c>
    </row>
    <row r="1945" spans="1:12" x14ac:dyDescent="0.3">
      <c r="A1945" t="s">
        <v>6785</v>
      </c>
      <c r="B1945">
        <v>111</v>
      </c>
      <c r="C1945" t="s">
        <v>6786</v>
      </c>
      <c r="D1945" t="s">
        <v>6787</v>
      </c>
      <c r="E1945" t="s">
        <v>6788</v>
      </c>
      <c r="F1945" t="s">
        <v>41</v>
      </c>
      <c r="G1945" s="18">
        <v>45685.958333333336</v>
      </c>
      <c r="L1945" t="s">
        <v>21</v>
      </c>
    </row>
    <row r="1946" spans="1:12" x14ac:dyDescent="0.3">
      <c r="A1946" t="s">
        <v>6789</v>
      </c>
      <c r="B1946">
        <v>810</v>
      </c>
      <c r="C1946" t="s">
        <v>6790</v>
      </c>
      <c r="E1946" t="s">
        <v>6791</v>
      </c>
      <c r="L1946" t="s">
        <v>16</v>
      </c>
    </row>
    <row r="1947" spans="1:12" x14ac:dyDescent="0.3">
      <c r="A1947" t="s">
        <v>6792</v>
      </c>
      <c r="B1947">
        <v>840</v>
      </c>
      <c r="C1947" t="s">
        <v>6793</v>
      </c>
      <c r="E1947" t="s">
        <v>6794</v>
      </c>
      <c r="F1947" t="s">
        <v>15</v>
      </c>
      <c r="G1947" s="18">
        <v>45489.916666666664</v>
      </c>
      <c r="K1947" s="18">
        <v>45621.958333333336</v>
      </c>
      <c r="L1947" t="s">
        <v>16</v>
      </c>
    </row>
    <row r="1948" spans="1:12" x14ac:dyDescent="0.3">
      <c r="A1948" t="s">
        <v>6795</v>
      </c>
      <c r="B1948">
        <v>1371</v>
      </c>
      <c r="C1948" t="s">
        <v>6796</v>
      </c>
      <c r="D1948" t="s">
        <v>6797</v>
      </c>
      <c r="E1948" t="s">
        <v>6798</v>
      </c>
      <c r="F1948" t="s">
        <v>41</v>
      </c>
      <c r="G1948" s="18">
        <v>45858.916666666664</v>
      </c>
      <c r="K1948" s="18">
        <v>45708.958333333336</v>
      </c>
      <c r="L1948" t="s">
        <v>16</v>
      </c>
    </row>
    <row r="1949" spans="1:12" x14ac:dyDescent="0.3">
      <c r="A1949" t="s">
        <v>6799</v>
      </c>
      <c r="B1949">
        <v>1653</v>
      </c>
      <c r="C1949" t="s">
        <v>6800</v>
      </c>
      <c r="D1949" t="s">
        <v>6801</v>
      </c>
      <c r="E1949" t="s">
        <v>6802</v>
      </c>
      <c r="F1949" t="s">
        <v>71</v>
      </c>
      <c r="L1949" t="s">
        <v>225</v>
      </c>
    </row>
    <row r="1950" spans="1:12" x14ac:dyDescent="0.3">
      <c r="A1950" t="s">
        <v>6803</v>
      </c>
      <c r="B1950">
        <v>1972</v>
      </c>
      <c r="C1950" t="s">
        <v>6804</v>
      </c>
      <c r="D1950" t="s">
        <v>6805</v>
      </c>
      <c r="E1950" t="s">
        <v>6806</v>
      </c>
    </row>
    <row r="1951" spans="1:12" x14ac:dyDescent="0.3">
      <c r="A1951" t="s">
        <v>6807</v>
      </c>
      <c r="B1951">
        <v>1788</v>
      </c>
      <c r="C1951" t="s">
        <v>6808</v>
      </c>
      <c r="D1951" t="s">
        <v>6809</v>
      </c>
      <c r="E1951" t="s">
        <v>6810</v>
      </c>
      <c r="F1951" t="s">
        <v>53</v>
      </c>
      <c r="L1951" t="s">
        <v>230</v>
      </c>
    </row>
    <row r="1952" spans="1:12" x14ac:dyDescent="0.3">
      <c r="A1952" t="s">
        <v>6811</v>
      </c>
      <c r="B1952">
        <v>1288</v>
      </c>
      <c r="C1952" t="s">
        <v>6812</v>
      </c>
      <c r="E1952" t="s">
        <v>6813</v>
      </c>
      <c r="F1952" t="s">
        <v>49</v>
      </c>
      <c r="L1952" t="s">
        <v>16</v>
      </c>
    </row>
    <row r="1953" spans="1:12" x14ac:dyDescent="0.3">
      <c r="A1953" t="s">
        <v>6814</v>
      </c>
      <c r="B1953">
        <v>2123</v>
      </c>
      <c r="C1953" t="s">
        <v>6815</v>
      </c>
      <c r="D1953" t="s">
        <v>6816</v>
      </c>
      <c r="E1953" t="s">
        <v>6817</v>
      </c>
    </row>
    <row r="1954" spans="1:12" x14ac:dyDescent="0.3">
      <c r="A1954" t="s">
        <v>6818</v>
      </c>
      <c r="B1954">
        <v>230</v>
      </c>
      <c r="C1954" t="s">
        <v>6819</v>
      </c>
      <c r="D1954" t="s">
        <v>6820</v>
      </c>
      <c r="E1954" t="s">
        <v>6821</v>
      </c>
      <c r="F1954" t="s">
        <v>41</v>
      </c>
      <c r="G1954" s="18">
        <v>45761.916666666664</v>
      </c>
      <c r="L1954" t="s">
        <v>21</v>
      </c>
    </row>
    <row r="1955" spans="1:12" x14ac:dyDescent="0.3">
      <c r="A1955" t="s">
        <v>6822</v>
      </c>
      <c r="B1955">
        <v>528</v>
      </c>
      <c r="C1955" t="s">
        <v>6823</v>
      </c>
      <c r="D1955" t="s">
        <v>6824</v>
      </c>
      <c r="E1955" t="s">
        <v>6825</v>
      </c>
      <c r="F1955" t="s">
        <v>41</v>
      </c>
      <c r="G1955" s="18">
        <v>45761.916666666664</v>
      </c>
      <c r="L1955" t="s">
        <v>16</v>
      </c>
    </row>
    <row r="1956" spans="1:12" x14ac:dyDescent="0.3">
      <c r="A1956" t="s">
        <v>6826</v>
      </c>
      <c r="B1956">
        <v>919</v>
      </c>
      <c r="C1956" t="s">
        <v>6827</v>
      </c>
      <c r="E1956" t="s">
        <v>6828</v>
      </c>
      <c r="F1956" t="s">
        <v>15</v>
      </c>
      <c r="G1956" s="18">
        <v>45344.958333333336</v>
      </c>
      <c r="L1956" t="s">
        <v>16</v>
      </c>
    </row>
    <row r="1957" spans="1:12" x14ac:dyDescent="0.3">
      <c r="A1957" t="s">
        <v>6829</v>
      </c>
      <c r="B1957">
        <v>636</v>
      </c>
      <c r="C1957" t="s">
        <v>6830</v>
      </c>
      <c r="E1957" t="s">
        <v>6831</v>
      </c>
      <c r="F1957" t="s">
        <v>53</v>
      </c>
      <c r="L1957" t="s">
        <v>16</v>
      </c>
    </row>
    <row r="1958" spans="1:12" x14ac:dyDescent="0.3">
      <c r="A1958" t="s">
        <v>6832</v>
      </c>
      <c r="B1958">
        <v>1739</v>
      </c>
      <c r="C1958" t="s">
        <v>6833</v>
      </c>
      <c r="D1958" t="s">
        <v>6834</v>
      </c>
      <c r="E1958" t="s">
        <v>6835</v>
      </c>
      <c r="F1958" t="s">
        <v>53</v>
      </c>
      <c r="L1958" t="s">
        <v>315</v>
      </c>
    </row>
    <row r="1959" spans="1:12" x14ac:dyDescent="0.3">
      <c r="A1959" t="s">
        <v>6836</v>
      </c>
      <c r="B1959">
        <v>469</v>
      </c>
      <c r="C1959" t="s">
        <v>6837</v>
      </c>
      <c r="E1959" t="s">
        <v>6838</v>
      </c>
      <c r="F1959" t="s">
        <v>41</v>
      </c>
      <c r="G1959" s="18">
        <v>45761.916666666664</v>
      </c>
      <c r="L1959" t="s">
        <v>16</v>
      </c>
    </row>
    <row r="1960" spans="1:12" x14ac:dyDescent="0.3">
      <c r="A1960" t="s">
        <v>6839</v>
      </c>
      <c r="B1960">
        <v>2129</v>
      </c>
      <c r="C1960" t="s">
        <v>6840</v>
      </c>
      <c r="D1960" t="s">
        <v>6841</v>
      </c>
      <c r="E1960" t="s">
        <v>6842</v>
      </c>
    </row>
    <row r="1961" spans="1:12" x14ac:dyDescent="0.3">
      <c r="A1961" t="s">
        <v>6843</v>
      </c>
      <c r="B1961">
        <v>305</v>
      </c>
      <c r="C1961" t="s">
        <v>6844</v>
      </c>
      <c r="D1961" t="s">
        <v>6845</v>
      </c>
      <c r="E1961" t="s">
        <v>6846</v>
      </c>
      <c r="F1961" t="s">
        <v>53</v>
      </c>
      <c r="L1961" t="s">
        <v>315</v>
      </c>
    </row>
    <row r="1962" spans="1:12" x14ac:dyDescent="0.3">
      <c r="A1962" t="s">
        <v>6847</v>
      </c>
      <c r="B1962">
        <v>39</v>
      </c>
      <c r="C1962" t="s">
        <v>6848</v>
      </c>
      <c r="E1962" t="s">
        <v>6849</v>
      </c>
      <c r="F1962" t="s">
        <v>53</v>
      </c>
      <c r="L1962" t="s">
        <v>21</v>
      </c>
    </row>
    <row r="1963" spans="1:12" x14ac:dyDescent="0.3">
      <c r="A1963" t="s">
        <v>6850</v>
      </c>
      <c r="B1963">
        <v>411</v>
      </c>
      <c r="C1963" t="s">
        <v>6851</v>
      </c>
      <c r="E1963" t="s">
        <v>6852</v>
      </c>
      <c r="F1963" t="s">
        <v>36</v>
      </c>
      <c r="G1963" s="18">
        <v>45761.916666666664</v>
      </c>
      <c r="L1963" t="s">
        <v>16</v>
      </c>
    </row>
    <row r="1964" spans="1:12" x14ac:dyDescent="0.3">
      <c r="A1964" t="s">
        <v>6853</v>
      </c>
      <c r="B1964">
        <v>358</v>
      </c>
      <c r="C1964" t="s">
        <v>6854</v>
      </c>
      <c r="D1964" t="s">
        <v>6855</v>
      </c>
      <c r="E1964" t="s">
        <v>6856</v>
      </c>
      <c r="F1964" t="s">
        <v>53</v>
      </c>
      <c r="L1964" t="s">
        <v>16</v>
      </c>
    </row>
    <row r="1965" spans="1:12" x14ac:dyDescent="0.3">
      <c r="A1965" t="s">
        <v>6857</v>
      </c>
      <c r="B1965">
        <v>397</v>
      </c>
      <c r="C1965" t="s">
        <v>6858</v>
      </c>
      <c r="D1965" t="s">
        <v>6859</v>
      </c>
      <c r="E1965" t="s">
        <v>6860</v>
      </c>
      <c r="F1965" t="s">
        <v>41</v>
      </c>
      <c r="G1965" s="18">
        <v>45761.916666666664</v>
      </c>
      <c r="L1965" t="s">
        <v>21</v>
      </c>
    </row>
    <row r="1966" spans="1:12" x14ac:dyDescent="0.3">
      <c r="A1966" t="s">
        <v>6861</v>
      </c>
      <c r="B1966">
        <v>1830</v>
      </c>
      <c r="C1966" t="s">
        <v>6862</v>
      </c>
      <c r="D1966" t="s">
        <v>6863</v>
      </c>
      <c r="E1966" t="s">
        <v>6864</v>
      </c>
    </row>
    <row r="1967" spans="1:12" x14ac:dyDescent="0.3">
      <c r="A1967" t="s">
        <v>6865</v>
      </c>
      <c r="B1967">
        <v>1134</v>
      </c>
      <c r="C1967" t="s">
        <v>6866</v>
      </c>
      <c r="E1967" t="s">
        <v>6867</v>
      </c>
      <c r="F1967" t="s">
        <v>15</v>
      </c>
      <c r="G1967" s="18">
        <v>45408.916666666664</v>
      </c>
      <c r="H1967" s="18">
        <v>45571.916666666664</v>
      </c>
      <c r="K1967" s="18">
        <v>45571.916666666664</v>
      </c>
      <c r="L1967" t="s">
        <v>16</v>
      </c>
    </row>
    <row r="1968" spans="1:12" x14ac:dyDescent="0.3">
      <c r="A1968" t="s">
        <v>6868</v>
      </c>
      <c r="B1968">
        <v>1864</v>
      </c>
      <c r="C1968" t="s">
        <v>6869</v>
      </c>
      <c r="E1968" t="s">
        <v>6870</v>
      </c>
    </row>
    <row r="1969" spans="1:12" x14ac:dyDescent="0.3">
      <c r="A1969" t="s">
        <v>6871</v>
      </c>
      <c r="B1969">
        <v>589</v>
      </c>
      <c r="C1969" t="s">
        <v>6872</v>
      </c>
      <c r="D1969" t="s">
        <v>6873</v>
      </c>
      <c r="E1969" t="s">
        <v>6874</v>
      </c>
      <c r="F1969" t="s">
        <v>53</v>
      </c>
      <c r="L1969" t="s">
        <v>16</v>
      </c>
    </row>
    <row r="1970" spans="1:12" x14ac:dyDescent="0.3">
      <c r="A1970" t="s">
        <v>6875</v>
      </c>
      <c r="B1970">
        <v>1886</v>
      </c>
      <c r="C1970" t="s">
        <v>6876</v>
      </c>
      <c r="D1970" t="s">
        <v>6877</v>
      </c>
      <c r="E1970" t="s">
        <v>6878</v>
      </c>
    </row>
    <row r="1971" spans="1:12" x14ac:dyDescent="0.3">
      <c r="A1971" t="s">
        <v>6879</v>
      </c>
      <c r="B1971">
        <v>2063</v>
      </c>
      <c r="C1971" t="s">
        <v>6880</v>
      </c>
      <c r="D1971" t="s">
        <v>6881</v>
      </c>
      <c r="E1971" t="s">
        <v>6882</v>
      </c>
    </row>
    <row r="1972" spans="1:12" x14ac:dyDescent="0.3">
      <c r="A1972" t="s">
        <v>6883</v>
      </c>
      <c r="B1972">
        <v>633</v>
      </c>
      <c r="C1972" t="s">
        <v>6884</v>
      </c>
      <c r="D1972" t="s">
        <v>6885</v>
      </c>
      <c r="E1972" t="s">
        <v>6886</v>
      </c>
      <c r="F1972" t="s">
        <v>53</v>
      </c>
      <c r="L1972" t="s">
        <v>16</v>
      </c>
    </row>
    <row r="1973" spans="1:12" x14ac:dyDescent="0.3">
      <c r="A1973" t="s">
        <v>6887</v>
      </c>
      <c r="B1973">
        <v>930</v>
      </c>
      <c r="C1973" t="s">
        <v>6888</v>
      </c>
      <c r="E1973" t="s">
        <v>6889</v>
      </c>
      <c r="F1973" t="s">
        <v>170</v>
      </c>
      <c r="K1973" s="18">
        <v>45642.958333333336</v>
      </c>
      <c r="L1973" t="s">
        <v>21</v>
      </c>
    </row>
    <row r="1974" spans="1:12" x14ac:dyDescent="0.3">
      <c r="A1974" t="s">
        <v>6890</v>
      </c>
      <c r="B1974">
        <v>1235</v>
      </c>
      <c r="C1974" t="s">
        <v>6891</v>
      </c>
      <c r="E1974" t="s">
        <v>6892</v>
      </c>
    </row>
    <row r="1975" spans="1:12" x14ac:dyDescent="0.3">
      <c r="A1975" t="s">
        <v>6893</v>
      </c>
      <c r="B1975">
        <v>32</v>
      </c>
      <c r="C1975" t="s">
        <v>6894</v>
      </c>
      <c r="D1975" t="s">
        <v>6895</v>
      </c>
      <c r="E1975" t="s">
        <v>6896</v>
      </c>
      <c r="F1975" t="s">
        <v>57</v>
      </c>
      <c r="L1975" t="s">
        <v>21</v>
      </c>
    </row>
    <row r="1976" spans="1:12" x14ac:dyDescent="0.3">
      <c r="A1976" t="s">
        <v>6897</v>
      </c>
      <c r="B1976">
        <v>239</v>
      </c>
      <c r="C1976" t="s">
        <v>6898</v>
      </c>
      <c r="D1976" t="s">
        <v>6899</v>
      </c>
      <c r="E1976" t="s">
        <v>6900</v>
      </c>
      <c r="F1976" t="s">
        <v>53</v>
      </c>
      <c r="L1976" t="s">
        <v>16</v>
      </c>
    </row>
    <row r="1977" spans="1:12" x14ac:dyDescent="0.3">
      <c r="A1977" t="s">
        <v>6901</v>
      </c>
      <c r="B1977">
        <v>1691</v>
      </c>
      <c r="C1977" t="s">
        <v>6902</v>
      </c>
      <c r="E1977" t="s">
        <v>6903</v>
      </c>
    </row>
    <row r="1978" spans="1:12" x14ac:dyDescent="0.3">
      <c r="A1978" t="s">
        <v>6904</v>
      </c>
      <c r="B1978">
        <v>657</v>
      </c>
      <c r="C1978" t="s">
        <v>6905</v>
      </c>
      <c r="E1978" t="s">
        <v>6906</v>
      </c>
      <c r="F1978" t="s">
        <v>71</v>
      </c>
      <c r="L1978" t="s">
        <v>21</v>
      </c>
    </row>
    <row r="1979" spans="1:12" x14ac:dyDescent="0.3">
      <c r="A1979" t="s">
        <v>6907</v>
      </c>
      <c r="B1979">
        <v>173</v>
      </c>
      <c r="C1979" t="s">
        <v>6908</v>
      </c>
      <c r="D1979" t="s">
        <v>6909</v>
      </c>
      <c r="E1979" t="s">
        <v>6910</v>
      </c>
      <c r="F1979" t="s">
        <v>41</v>
      </c>
      <c r="G1979" s="18">
        <v>45616.958333333336</v>
      </c>
      <c r="L1979" t="s">
        <v>37</v>
      </c>
    </row>
    <row r="1980" spans="1:12" x14ac:dyDescent="0.3">
      <c r="A1980" t="s">
        <v>6911</v>
      </c>
      <c r="B1980">
        <v>791</v>
      </c>
      <c r="C1980" t="s">
        <v>6912</v>
      </c>
      <c r="D1980" t="s">
        <v>6913</v>
      </c>
      <c r="E1980" t="s">
        <v>6914</v>
      </c>
      <c r="F1980" t="s">
        <v>15</v>
      </c>
      <c r="K1980" s="18">
        <v>45600.958333333336</v>
      </c>
      <c r="L1980" t="s">
        <v>16</v>
      </c>
    </row>
    <row r="1981" spans="1:12" x14ac:dyDescent="0.3">
      <c r="A1981" t="s">
        <v>6915</v>
      </c>
      <c r="B1981">
        <v>1884</v>
      </c>
      <c r="C1981" t="s">
        <v>6916</v>
      </c>
      <c r="D1981" t="s">
        <v>6917</v>
      </c>
      <c r="E1981" t="s">
        <v>6918</v>
      </c>
    </row>
    <row r="1982" spans="1:12" x14ac:dyDescent="0.3">
      <c r="A1982" t="s">
        <v>6919</v>
      </c>
      <c r="B1982">
        <v>1945</v>
      </c>
      <c r="C1982" t="s">
        <v>6920</v>
      </c>
      <c r="D1982" t="s">
        <v>6921</v>
      </c>
      <c r="E1982" t="s">
        <v>6922</v>
      </c>
    </row>
    <row r="1983" spans="1:12" x14ac:dyDescent="0.3">
      <c r="A1983" t="s">
        <v>6923</v>
      </c>
      <c r="B1983">
        <v>1378</v>
      </c>
      <c r="C1983" t="s">
        <v>6924</v>
      </c>
      <c r="E1983" t="s">
        <v>6925</v>
      </c>
      <c r="F1983" t="s">
        <v>170</v>
      </c>
      <c r="G1983" s="18">
        <v>45464.916666666664</v>
      </c>
      <c r="H1983" s="18">
        <v>45491.916666666664</v>
      </c>
      <c r="K1983" s="18">
        <v>45491.916666666664</v>
      </c>
      <c r="L1983" t="s">
        <v>16</v>
      </c>
    </row>
    <row r="1984" spans="1:12" x14ac:dyDescent="0.3">
      <c r="A1984" t="s">
        <v>6926</v>
      </c>
      <c r="B1984">
        <v>1225</v>
      </c>
      <c r="C1984" t="s">
        <v>6927</v>
      </c>
      <c r="D1984" t="s">
        <v>6928</v>
      </c>
      <c r="E1984" t="s">
        <v>6929</v>
      </c>
      <c r="F1984" t="s">
        <v>71</v>
      </c>
      <c r="L1984" t="s">
        <v>16</v>
      </c>
    </row>
    <row r="1985" spans="1:12" x14ac:dyDescent="0.3">
      <c r="A1985" t="s">
        <v>6930</v>
      </c>
      <c r="B1985">
        <v>350</v>
      </c>
      <c r="C1985" t="s">
        <v>6931</v>
      </c>
      <c r="D1985" t="s">
        <v>6932</v>
      </c>
      <c r="E1985" t="s">
        <v>6933</v>
      </c>
      <c r="F1985" t="s">
        <v>41</v>
      </c>
      <c r="G1985" s="18">
        <v>45761.916666666664</v>
      </c>
      <c r="L1985" t="s">
        <v>21</v>
      </c>
    </row>
    <row r="1986" spans="1:12" x14ac:dyDescent="0.3">
      <c r="A1986" t="s">
        <v>6934</v>
      </c>
      <c r="B1986">
        <v>269</v>
      </c>
      <c r="C1986" t="s">
        <v>6935</v>
      </c>
      <c r="D1986" t="s">
        <v>6936</v>
      </c>
      <c r="E1986" t="s">
        <v>6937</v>
      </c>
      <c r="F1986" t="s">
        <v>41</v>
      </c>
      <c r="G1986" s="18">
        <v>45604.958333333336</v>
      </c>
      <c r="L1986" t="s">
        <v>16</v>
      </c>
    </row>
    <row r="1987" spans="1:12" x14ac:dyDescent="0.3">
      <c r="A1987" t="s">
        <v>6938</v>
      </c>
      <c r="B1987">
        <v>758</v>
      </c>
      <c r="C1987" t="s">
        <v>6939</v>
      </c>
      <c r="E1987" t="s">
        <v>6940</v>
      </c>
      <c r="F1987" t="s">
        <v>15</v>
      </c>
      <c r="G1987" s="18">
        <v>45245.958333333336</v>
      </c>
      <c r="K1987" s="18">
        <v>45730.958333333336</v>
      </c>
      <c r="L1987" t="s">
        <v>16</v>
      </c>
    </row>
    <row r="1988" spans="1:12" x14ac:dyDescent="0.3">
      <c r="A1988" t="s">
        <v>6941</v>
      </c>
      <c r="B1988">
        <v>2064</v>
      </c>
      <c r="C1988" t="s">
        <v>6942</v>
      </c>
      <c r="D1988" t="s">
        <v>6943</v>
      </c>
      <c r="E1988" t="s">
        <v>6944</v>
      </c>
    </row>
    <row r="1989" spans="1:12" x14ac:dyDescent="0.3">
      <c r="A1989" t="s">
        <v>6945</v>
      </c>
      <c r="B1989">
        <v>822</v>
      </c>
      <c r="C1989" t="s">
        <v>6946</v>
      </c>
      <c r="E1989" t="s">
        <v>6947</v>
      </c>
      <c r="F1989" t="s">
        <v>15</v>
      </c>
      <c r="G1989" s="18">
        <v>45592.958333333336</v>
      </c>
      <c r="K1989" s="18">
        <v>45638.958333333336</v>
      </c>
      <c r="L1989" t="s">
        <v>16</v>
      </c>
    </row>
    <row r="1990" spans="1:12" x14ac:dyDescent="0.3">
      <c r="A1990" t="s">
        <v>6948</v>
      </c>
      <c r="B1990">
        <v>354</v>
      </c>
      <c r="C1990" t="s">
        <v>6949</v>
      </c>
      <c r="E1990" t="s">
        <v>6950</v>
      </c>
      <c r="F1990" t="s">
        <v>53</v>
      </c>
      <c r="L1990" t="s">
        <v>16</v>
      </c>
    </row>
    <row r="1991" spans="1:12" x14ac:dyDescent="0.3">
      <c r="A1991" t="s">
        <v>6951</v>
      </c>
      <c r="B1991">
        <v>405</v>
      </c>
      <c r="C1991" t="s">
        <v>6952</v>
      </c>
      <c r="D1991" t="s">
        <v>6953</v>
      </c>
      <c r="E1991" t="s">
        <v>6954</v>
      </c>
      <c r="F1991" t="s">
        <v>41</v>
      </c>
      <c r="G1991" s="18">
        <v>45986.958333333336</v>
      </c>
      <c r="L1991" t="s">
        <v>21</v>
      </c>
    </row>
    <row r="1992" spans="1:12" x14ac:dyDescent="0.3">
      <c r="A1992" t="s">
        <v>6955</v>
      </c>
      <c r="B1992">
        <v>1060</v>
      </c>
      <c r="C1992" t="s">
        <v>6956</v>
      </c>
      <c r="E1992" t="s">
        <v>6957</v>
      </c>
      <c r="F1992" t="s">
        <v>15</v>
      </c>
      <c r="K1992" s="18">
        <v>45498.916666666664</v>
      </c>
      <c r="L1992" t="s">
        <v>16</v>
      </c>
    </row>
    <row r="1993" spans="1:12" x14ac:dyDescent="0.3">
      <c r="A1993" t="s">
        <v>6958</v>
      </c>
      <c r="B1993">
        <v>1279</v>
      </c>
      <c r="C1993" t="s">
        <v>6959</v>
      </c>
      <c r="E1993" t="s">
        <v>6960</v>
      </c>
      <c r="F1993" t="s">
        <v>49</v>
      </c>
      <c r="L1993" t="s">
        <v>16</v>
      </c>
    </row>
    <row r="1994" spans="1:12" x14ac:dyDescent="0.3">
      <c r="A1994" t="s">
        <v>6961</v>
      </c>
      <c r="B1994">
        <v>1055</v>
      </c>
      <c r="C1994" t="s">
        <v>6962</v>
      </c>
      <c r="D1994" t="s">
        <v>6963</v>
      </c>
      <c r="E1994" t="s">
        <v>6964</v>
      </c>
      <c r="F1994" t="s">
        <v>53</v>
      </c>
      <c r="G1994" s="18">
        <v>45454.916666666664</v>
      </c>
      <c r="H1994" s="18">
        <v>45498.916666666664</v>
      </c>
      <c r="K1994" s="18">
        <v>45498.916666666664</v>
      </c>
      <c r="L1994" t="s">
        <v>16</v>
      </c>
    </row>
    <row r="1995" spans="1:12" x14ac:dyDescent="0.3">
      <c r="A1995" t="s">
        <v>6965</v>
      </c>
      <c r="B1995">
        <v>192</v>
      </c>
      <c r="C1995" t="s">
        <v>6966</v>
      </c>
      <c r="D1995" t="s">
        <v>6967</v>
      </c>
      <c r="E1995" t="s">
        <v>6968</v>
      </c>
      <c r="F1995" t="s">
        <v>53</v>
      </c>
      <c r="L1995" t="s">
        <v>16</v>
      </c>
    </row>
    <row r="1996" spans="1:12" x14ac:dyDescent="0.3">
      <c r="A1996" t="s">
        <v>6969</v>
      </c>
      <c r="B1996">
        <v>1588</v>
      </c>
      <c r="C1996" t="s">
        <v>6970</v>
      </c>
      <c r="E1996" t="s">
        <v>6971</v>
      </c>
      <c r="F1996" t="s">
        <v>53</v>
      </c>
      <c r="K1996" s="18">
        <v>45725.958333333336</v>
      </c>
      <c r="L1996" t="s">
        <v>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F5EEC-514C-447D-9C8D-0F538AD15CAC}">
  <dimension ref="A1:BA63"/>
  <sheetViews>
    <sheetView topLeftCell="F1" zoomScaleNormal="100" zoomScaleSheetLayoutView="70" workbookViewId="0">
      <selection activeCell="O1" sqref="O1:U2"/>
    </sheetView>
  </sheetViews>
  <sheetFormatPr defaultColWidth="11.5546875" defaultRowHeight="15" x14ac:dyDescent="0.35"/>
  <cols>
    <col min="1" max="1" width="4.88671875" customWidth="1"/>
    <col min="2" max="2" width="11.44140625" style="181" bestFit="1" customWidth="1"/>
    <col min="3" max="3" width="14.109375" style="181" customWidth="1"/>
    <col min="4" max="4" width="3" style="182" customWidth="1"/>
    <col min="5" max="5" width="15.33203125" style="182" bestFit="1" customWidth="1"/>
    <col min="6" max="6" width="20.6640625" style="182" bestFit="1" customWidth="1"/>
    <col min="7" max="7" width="8" style="191" customWidth="1"/>
    <col min="8" max="8" width="6.5546875" style="192" customWidth="1"/>
    <col min="9" max="9" width="18.109375" style="193" bestFit="1" customWidth="1"/>
    <col min="10" max="10" width="19.109375" style="194" bestFit="1" customWidth="1"/>
    <col min="11" max="11" width="3" style="194" customWidth="1"/>
    <col min="12" max="12" width="15.44140625" style="194" bestFit="1" customWidth="1"/>
    <col min="13" max="13" width="21.109375" style="194" bestFit="1" customWidth="1"/>
    <col min="14" max="15" width="6.88671875" style="182" customWidth="1"/>
    <col min="16" max="16" width="16.6640625" style="194" bestFit="1" customWidth="1"/>
    <col min="17" max="17" width="27.6640625" style="194" bestFit="1" customWidth="1"/>
    <col min="18" max="18" width="3" style="194" customWidth="1"/>
    <col min="19" max="19" width="16.6640625" style="194" bestFit="1" customWidth="1"/>
    <col min="20" max="20" width="19.33203125" style="194" bestFit="1" customWidth="1"/>
    <col min="21" max="21" width="20" style="194" bestFit="1" customWidth="1"/>
    <col min="22" max="22" width="14.109375" style="183" customWidth="1"/>
    <col min="23" max="30" width="13.33203125" style="182" customWidth="1"/>
    <col min="31" max="34" width="15.33203125" customWidth="1"/>
    <col min="35" max="35" width="13.109375" bestFit="1" customWidth="1"/>
    <col min="37" max="37" width="9" bestFit="1" customWidth="1"/>
    <col min="38" max="81" width="13.109375" bestFit="1" customWidth="1"/>
    <col min="83" max="83" width="5.88671875" bestFit="1" customWidth="1"/>
    <col min="84" max="84" width="12.5546875" bestFit="1" customWidth="1"/>
  </cols>
  <sheetData>
    <row r="1" spans="1:53" ht="27.75" customHeight="1" x14ac:dyDescent="0.35">
      <c r="A1" s="195"/>
      <c r="B1" s="195"/>
      <c r="C1" s="195"/>
      <c r="D1" s="195"/>
      <c r="E1" s="195"/>
      <c r="F1" s="195"/>
      <c r="G1" s="195"/>
      <c r="H1" s="195"/>
      <c r="I1" s="195"/>
      <c r="J1" s="195"/>
      <c r="K1" s="195"/>
      <c r="L1" s="195"/>
      <c r="M1" s="195"/>
      <c r="N1" s="195"/>
      <c r="O1" s="195"/>
      <c r="P1" s="195"/>
      <c r="Q1" s="195"/>
      <c r="R1" s="195"/>
      <c r="S1" s="195"/>
      <c r="T1" s="195"/>
      <c r="U1" s="195"/>
      <c r="V1" s="233"/>
      <c r="W1" s="3"/>
      <c r="X1" s="3"/>
      <c r="Y1" s="3"/>
      <c r="Z1" s="3"/>
      <c r="AA1" s="3"/>
      <c r="AB1" s="3"/>
      <c r="AC1" s="3"/>
      <c r="AD1" s="3"/>
    </row>
    <row r="2" spans="1:53" ht="43.5" customHeight="1" x14ac:dyDescent="0.3">
      <c r="A2" s="4"/>
      <c r="B2" s="152"/>
      <c r="C2" s="152"/>
      <c r="D2" s="9"/>
      <c r="E2" s="9"/>
      <c r="F2" s="9"/>
      <c r="G2" s="176"/>
      <c r="H2" s="77"/>
      <c r="I2" s="85"/>
      <c r="J2" s="86"/>
      <c r="K2" s="86"/>
      <c r="L2" s="86"/>
      <c r="M2" s="86"/>
      <c r="N2" s="78"/>
      <c r="O2" s="89"/>
      <c r="P2" s="89"/>
      <c r="Q2" s="89"/>
      <c r="R2" s="89"/>
      <c r="S2" s="89"/>
      <c r="T2" s="89"/>
      <c r="U2" s="89"/>
      <c r="V2" s="234"/>
      <c r="W2" s="9"/>
      <c r="X2" s="9"/>
      <c r="Y2" s="9"/>
      <c r="Z2" s="9"/>
      <c r="AA2" s="9"/>
      <c r="AB2" s="9"/>
      <c r="AC2" s="9"/>
      <c r="AD2" s="9"/>
      <c r="AE2" s="4"/>
      <c r="AF2" s="6"/>
      <c r="AG2" s="6"/>
      <c r="AH2" s="6"/>
      <c r="AI2" s="5"/>
      <c r="AJ2" s="5"/>
      <c r="AK2" s="5"/>
      <c r="AL2" s="5"/>
      <c r="AM2" s="5"/>
      <c r="AN2" s="5"/>
      <c r="AO2" s="5"/>
      <c r="AP2" s="5"/>
      <c r="AQ2" s="5"/>
      <c r="AR2" s="12"/>
      <c r="AS2" s="11"/>
      <c r="AT2" s="11"/>
      <c r="AU2" s="11"/>
      <c r="AV2" s="11"/>
      <c r="AW2" s="11"/>
      <c r="AX2" s="11"/>
      <c r="AY2" s="11"/>
      <c r="AZ2" s="11"/>
      <c r="BA2" s="13"/>
    </row>
    <row r="3" spans="1:53" ht="10.5" customHeight="1" x14ac:dyDescent="0.35">
      <c r="A3" s="71"/>
      <c r="B3" s="153"/>
      <c r="C3" s="153"/>
      <c r="D3" s="72"/>
      <c r="E3" s="72"/>
      <c r="F3" s="72"/>
      <c r="G3" s="177"/>
      <c r="H3" s="74"/>
      <c r="I3" s="87"/>
      <c r="J3" s="88"/>
      <c r="K3" s="88"/>
      <c r="L3" s="88"/>
      <c r="M3" s="88"/>
      <c r="N3" s="72"/>
      <c r="O3" s="72"/>
      <c r="P3" s="88"/>
      <c r="Q3" s="88"/>
      <c r="R3" s="88"/>
      <c r="S3" s="81"/>
      <c r="T3" s="81"/>
      <c r="U3" s="81"/>
      <c r="V3" s="235"/>
      <c r="W3" s="72"/>
      <c r="X3" s="72"/>
      <c r="Y3" s="72"/>
      <c r="Z3" s="72"/>
      <c r="AA3" s="72"/>
      <c r="AB3" s="72"/>
      <c r="AC3" s="72"/>
      <c r="AD3" s="72"/>
      <c r="AE3" s="72"/>
      <c r="AF3" s="68"/>
      <c r="AG3" s="68"/>
      <c r="AH3" s="68"/>
      <c r="AI3" s="69"/>
      <c r="AJ3" s="69"/>
      <c r="AK3" s="69"/>
      <c r="AL3" s="69"/>
      <c r="AM3" s="69"/>
      <c r="AN3" s="69"/>
      <c r="AO3" s="69"/>
      <c r="AP3" s="69"/>
      <c r="AQ3" s="69"/>
      <c r="AR3" s="70"/>
      <c r="AS3" s="11"/>
      <c r="AT3" s="11"/>
      <c r="AU3" s="11"/>
      <c r="AV3" s="11"/>
      <c r="AW3" s="11"/>
      <c r="AX3" s="11"/>
      <c r="AY3" s="11"/>
      <c r="AZ3" s="11"/>
      <c r="BA3" s="13"/>
    </row>
    <row r="4" spans="1:53" ht="16.5" customHeight="1" x14ac:dyDescent="0.35">
      <c r="A4" s="71"/>
      <c r="B4" s="236"/>
      <c r="C4" s="236"/>
      <c r="D4" s="72"/>
      <c r="E4" s="75"/>
      <c r="F4" s="75"/>
      <c r="G4" s="177"/>
      <c r="H4" s="237"/>
      <c r="I4" s="87"/>
      <c r="J4" s="88"/>
      <c r="K4" s="88"/>
      <c r="L4" s="88"/>
      <c r="M4" s="88"/>
      <c r="N4" s="74"/>
      <c r="O4" s="238"/>
      <c r="P4" s="81"/>
      <c r="Q4" s="81"/>
      <c r="R4" s="81"/>
      <c r="S4" s="81"/>
      <c r="T4" s="81"/>
      <c r="U4" s="81"/>
      <c r="V4" s="239"/>
      <c r="W4" s="8"/>
      <c r="X4" s="8"/>
      <c r="Y4" s="8"/>
      <c r="Z4" s="8"/>
      <c r="AA4" s="8"/>
      <c r="AB4" s="8"/>
      <c r="AC4" s="8"/>
      <c r="AD4" s="8"/>
      <c r="AE4" s="14"/>
    </row>
    <row r="5" spans="1:53" ht="16.5" customHeight="1" x14ac:dyDescent="0.35">
      <c r="A5" s="71"/>
      <c r="B5" s="71"/>
      <c r="C5" s="71"/>
      <c r="D5" s="71"/>
      <c r="E5" s="71"/>
      <c r="F5" s="71"/>
      <c r="G5" s="71"/>
      <c r="H5" s="240"/>
      <c r="I5" s="71"/>
      <c r="J5" s="71"/>
      <c r="K5" s="71"/>
      <c r="L5" s="71"/>
      <c r="M5" s="71"/>
      <c r="N5" s="71"/>
      <c r="O5" s="241"/>
      <c r="P5" s="71"/>
      <c r="Q5" s="71"/>
      <c r="R5" s="71"/>
      <c r="S5" s="71"/>
      <c r="T5" s="71"/>
      <c r="U5" s="81"/>
      <c r="V5" s="239"/>
      <c r="W5" s="8"/>
      <c r="X5" s="8"/>
      <c r="Y5" s="8"/>
      <c r="Z5" s="8"/>
      <c r="AA5" s="8"/>
      <c r="AB5" s="8"/>
      <c r="AC5" s="8"/>
      <c r="AD5" s="8"/>
      <c r="AE5" s="14"/>
    </row>
    <row r="6" spans="1:53" s="189" customFormat="1" x14ac:dyDescent="0.3">
      <c r="A6" s="172"/>
      <c r="B6" s="172"/>
      <c r="C6" s="172"/>
      <c r="D6" s="172"/>
      <c r="E6" s="172"/>
      <c r="F6" s="172"/>
      <c r="G6" s="172"/>
      <c r="H6" s="240"/>
      <c r="I6" s="172"/>
      <c r="J6" s="172"/>
      <c r="K6" s="172"/>
      <c r="L6" s="172"/>
      <c r="M6" s="172"/>
      <c r="N6" s="172"/>
      <c r="O6" s="242"/>
      <c r="P6" s="172"/>
      <c r="Q6" s="172"/>
      <c r="R6" s="172"/>
      <c r="S6" s="172"/>
      <c r="T6" s="172"/>
      <c r="U6" s="14"/>
      <c r="V6" s="243"/>
      <c r="W6" s="197" t="s">
        <v>6972</v>
      </c>
      <c r="X6" s="186" t="s">
        <v>6973</v>
      </c>
      <c r="Y6" s="186" t="s">
        <v>6974</v>
      </c>
      <c r="Z6" s="186" t="s">
        <v>6975</v>
      </c>
      <c r="AA6" s="186" t="s">
        <v>6976</v>
      </c>
      <c r="AB6" s="186" t="s">
        <v>6977</v>
      </c>
      <c r="AC6" s="197" t="s">
        <v>6978</v>
      </c>
      <c r="AD6" s="197" t="s">
        <v>6979</v>
      </c>
      <c r="AE6" s="172"/>
      <c r="AF6" s="174"/>
      <c r="AG6" s="174"/>
      <c r="AH6" s="174"/>
      <c r="AI6" s="174"/>
      <c r="AJ6" s="174"/>
      <c r="AK6" s="174"/>
      <c r="AL6" s="174"/>
      <c r="AM6" s="174"/>
      <c r="AN6" s="174"/>
      <c r="AO6" s="174"/>
      <c r="AP6" s="174"/>
      <c r="AQ6" s="174"/>
      <c r="AR6" s="174"/>
      <c r="AS6" s="174"/>
      <c r="AT6" s="174"/>
      <c r="AU6" s="174"/>
      <c r="AV6" s="174"/>
      <c r="AW6" s="174"/>
      <c r="AX6" s="174"/>
      <c r="AY6" s="174"/>
      <c r="AZ6" s="174"/>
      <c r="BA6" s="174"/>
    </row>
    <row r="7" spans="1:53" x14ac:dyDescent="0.3">
      <c r="A7" s="14"/>
      <c r="B7" s="14"/>
      <c r="C7" s="14"/>
      <c r="D7" s="14"/>
      <c r="E7" s="14"/>
      <c r="F7" s="14"/>
      <c r="G7" s="14"/>
      <c r="H7" s="240"/>
      <c r="I7" s="14"/>
      <c r="J7" s="14"/>
      <c r="K7" s="14"/>
      <c r="L7" s="14"/>
      <c r="M7" s="14"/>
      <c r="N7" s="14"/>
      <c r="O7" s="196"/>
      <c r="P7" s="14"/>
      <c r="Q7" s="14"/>
      <c r="R7" s="14"/>
      <c r="S7" s="14"/>
      <c r="T7" s="14"/>
      <c r="U7" s="14"/>
      <c r="V7" s="243" t="s">
        <v>6980</v>
      </c>
      <c r="W7" s="187"/>
      <c r="X7" s="188"/>
      <c r="Y7" s="188"/>
      <c r="Z7" s="188"/>
      <c r="AA7" s="188">
        <v>18720.63</v>
      </c>
      <c r="AB7" s="188">
        <v>43132.985983333332</v>
      </c>
      <c r="AC7" s="187">
        <v>47111.644</v>
      </c>
      <c r="AD7" s="188">
        <v>130651.03218650784</v>
      </c>
      <c r="AE7" s="14"/>
    </row>
    <row r="8" spans="1:53" ht="30" x14ac:dyDescent="0.3">
      <c r="A8" s="14"/>
      <c r="B8" s="14"/>
      <c r="C8" s="14"/>
      <c r="D8" s="14"/>
      <c r="E8" s="14"/>
      <c r="F8" s="14"/>
      <c r="G8" s="14"/>
      <c r="H8" s="240"/>
      <c r="I8" s="14"/>
      <c r="J8" s="14"/>
      <c r="K8" s="14"/>
      <c r="L8" s="14"/>
      <c r="M8" s="14"/>
      <c r="N8" s="14"/>
      <c r="O8" s="196"/>
      <c r="P8" s="14"/>
      <c r="Q8" s="14"/>
      <c r="R8" s="14"/>
      <c r="S8" s="14"/>
      <c r="T8" s="14"/>
      <c r="U8" s="14"/>
      <c r="V8" s="243" t="s">
        <v>6981</v>
      </c>
      <c r="W8" s="187"/>
      <c r="X8" s="188"/>
      <c r="Y8" s="188"/>
      <c r="Z8" s="188"/>
      <c r="AA8" s="188">
        <v>877075.91</v>
      </c>
      <c r="AB8" s="188">
        <v>836098.04463174578</v>
      </c>
      <c r="AC8" s="187">
        <v>614968.95399999991</v>
      </c>
      <c r="AD8" s="188">
        <v>458754.58473809576</v>
      </c>
      <c r="AE8" s="14"/>
    </row>
    <row r="9" spans="1:53" x14ac:dyDescent="0.3">
      <c r="A9" s="14"/>
      <c r="B9" s="14"/>
      <c r="C9" s="14"/>
      <c r="D9" s="14"/>
      <c r="E9" s="14"/>
      <c r="F9" s="14"/>
      <c r="G9" s="14"/>
      <c r="H9" s="240"/>
      <c r="I9" s="14"/>
      <c r="J9" s="14"/>
      <c r="K9" s="14"/>
      <c r="L9" s="14"/>
      <c r="M9" s="14"/>
      <c r="N9" s="14"/>
      <c r="O9" s="196"/>
      <c r="P9" s="14"/>
      <c r="Q9" s="14"/>
      <c r="R9" s="14"/>
      <c r="S9" s="14"/>
      <c r="T9" s="14"/>
      <c r="U9" s="14"/>
      <c r="V9" s="243" t="s">
        <v>6982</v>
      </c>
      <c r="W9" s="187"/>
      <c r="X9" s="188"/>
      <c r="Y9" s="188"/>
      <c r="Z9" s="188"/>
      <c r="AA9" s="188">
        <v>673295.74468650727</v>
      </c>
      <c r="AB9" s="188">
        <v>554018.71952380997</v>
      </c>
      <c r="AC9" s="187">
        <v>532254.24800000025</v>
      </c>
      <c r="AD9" s="188">
        <v>404359.83515873051</v>
      </c>
      <c r="AE9" s="14"/>
    </row>
    <row r="10" spans="1:53" x14ac:dyDescent="0.35">
      <c r="A10" s="14"/>
      <c r="B10" s="168"/>
      <c r="C10" s="169"/>
      <c r="D10" s="165"/>
      <c r="E10" s="14"/>
      <c r="F10" s="14"/>
      <c r="G10" s="178"/>
      <c r="H10" s="240"/>
      <c r="I10" s="166"/>
      <c r="J10" s="163"/>
      <c r="K10" s="163"/>
      <c r="L10" s="165"/>
      <c r="M10" s="165"/>
      <c r="N10" s="167"/>
      <c r="O10" s="244"/>
      <c r="P10" s="14"/>
      <c r="Q10" s="14"/>
      <c r="R10" s="14"/>
      <c r="S10" s="14"/>
      <c r="T10" s="14"/>
      <c r="U10" s="14"/>
      <c r="V10" s="239"/>
      <c r="W10" s="8"/>
      <c r="X10" s="8"/>
      <c r="Y10" s="8"/>
      <c r="Z10" s="8"/>
      <c r="AA10" s="8"/>
      <c r="AB10" s="8"/>
      <c r="AC10" s="8"/>
      <c r="AD10" s="8"/>
      <c r="AE10" s="14"/>
    </row>
    <row r="11" spans="1:53" x14ac:dyDescent="0.35">
      <c r="A11" s="14"/>
      <c r="B11" s="168"/>
      <c r="C11" s="169"/>
      <c r="D11" s="165"/>
      <c r="E11" s="14"/>
      <c r="F11" s="14"/>
      <c r="G11" s="178"/>
      <c r="H11" s="240"/>
      <c r="I11" s="166"/>
      <c r="J11" s="163"/>
      <c r="K11" s="163"/>
      <c r="L11" s="165"/>
      <c r="M11" s="165"/>
      <c r="N11" s="167"/>
      <c r="O11" s="244"/>
      <c r="P11" s="14"/>
      <c r="Q11" s="14"/>
      <c r="R11" s="14"/>
      <c r="S11" s="14"/>
      <c r="T11" s="14"/>
      <c r="U11" s="14"/>
      <c r="V11" s="239"/>
      <c r="W11" s="8"/>
      <c r="X11" s="8"/>
      <c r="Y11" s="8"/>
      <c r="Z11" s="8"/>
      <c r="AA11" s="8"/>
      <c r="AB11" s="8"/>
      <c r="AC11" s="8"/>
      <c r="AD11" s="8"/>
      <c r="AE11" s="14"/>
    </row>
    <row r="12" spans="1:53" x14ac:dyDescent="0.35">
      <c r="A12" s="14"/>
      <c r="B12" s="168"/>
      <c r="C12" s="169"/>
      <c r="D12" s="165"/>
      <c r="E12" s="14"/>
      <c r="F12" s="14"/>
      <c r="G12" s="178"/>
      <c r="H12" s="240"/>
      <c r="I12" s="166"/>
      <c r="J12" s="163"/>
      <c r="K12" s="163"/>
      <c r="L12" s="165"/>
      <c r="M12" s="165"/>
      <c r="N12" s="167"/>
      <c r="O12" s="244"/>
      <c r="P12" s="14"/>
      <c r="Q12" s="14"/>
      <c r="R12" s="14"/>
      <c r="S12" s="14"/>
      <c r="T12" s="14"/>
      <c r="U12" s="14"/>
      <c r="V12" s="239"/>
      <c r="W12" s="8"/>
      <c r="X12" s="8"/>
      <c r="Y12" s="8"/>
      <c r="Z12" s="8"/>
      <c r="AA12" s="8"/>
      <c r="AB12" s="8"/>
      <c r="AC12" s="8"/>
      <c r="AD12" s="8"/>
      <c r="AE12" s="14"/>
    </row>
    <row r="13" spans="1:53" x14ac:dyDescent="0.35">
      <c r="A13" s="14"/>
      <c r="B13" s="168"/>
      <c r="C13" s="169"/>
      <c r="D13" s="165"/>
      <c r="E13" s="14"/>
      <c r="F13" s="14"/>
      <c r="G13" s="178"/>
      <c r="H13" s="240"/>
      <c r="I13" s="166"/>
      <c r="J13" s="163"/>
      <c r="K13" s="163"/>
      <c r="L13" s="165"/>
      <c r="M13" s="165"/>
      <c r="N13" s="167"/>
      <c r="O13" s="244"/>
      <c r="P13" s="14"/>
      <c r="Q13" s="14"/>
      <c r="R13" s="14"/>
      <c r="S13" s="14"/>
      <c r="T13" s="14"/>
      <c r="U13" s="14"/>
      <c r="V13" s="239"/>
      <c r="W13" s="8"/>
      <c r="X13" s="8"/>
      <c r="Y13" s="8"/>
      <c r="Z13" s="8"/>
      <c r="AA13" s="8"/>
      <c r="AB13" s="8"/>
      <c r="AC13" s="8"/>
      <c r="AD13" s="8"/>
      <c r="AE13" s="14"/>
    </row>
    <row r="14" spans="1:53" x14ac:dyDescent="0.35">
      <c r="A14" s="14"/>
      <c r="B14" s="168"/>
      <c r="C14" s="169"/>
      <c r="D14" s="165"/>
      <c r="E14" s="14"/>
      <c r="F14" s="14"/>
      <c r="G14" s="178"/>
      <c r="H14" s="240"/>
      <c r="I14" s="166"/>
      <c r="J14" s="163"/>
      <c r="K14" s="163"/>
      <c r="L14" s="165"/>
      <c r="M14" s="165"/>
      <c r="N14" s="167"/>
      <c r="O14" s="244"/>
      <c r="P14" s="14"/>
      <c r="Q14" s="14"/>
      <c r="R14" s="14"/>
      <c r="S14" s="14"/>
      <c r="T14" s="14"/>
      <c r="U14" s="14"/>
      <c r="V14" s="239"/>
      <c r="W14" s="8"/>
      <c r="X14" s="8"/>
      <c r="Y14" s="8"/>
      <c r="Z14" s="8"/>
      <c r="AA14" s="8"/>
      <c r="AB14" s="8"/>
      <c r="AC14" s="8"/>
      <c r="AD14" s="8"/>
      <c r="AE14" s="14"/>
    </row>
    <row r="15" spans="1:53" s="190" customFormat="1" x14ac:dyDescent="0.35">
      <c r="A15" s="90"/>
      <c r="B15" s="168"/>
      <c r="C15" s="169"/>
      <c r="D15" s="165"/>
      <c r="E15" s="14"/>
      <c r="F15" s="14"/>
      <c r="G15" s="178"/>
      <c r="H15" s="240"/>
      <c r="I15" s="166"/>
      <c r="J15" s="163"/>
      <c r="K15" s="163"/>
      <c r="L15" s="165"/>
      <c r="M15" s="165"/>
      <c r="N15" s="167"/>
      <c r="O15" s="244"/>
      <c r="P15" s="14"/>
      <c r="Q15" s="14"/>
      <c r="R15" s="14"/>
      <c r="S15" s="14"/>
      <c r="T15" s="14"/>
      <c r="U15" s="14"/>
      <c r="V15" s="239"/>
      <c r="W15" s="160"/>
      <c r="X15" s="160"/>
      <c r="Y15" s="160"/>
      <c r="Z15" s="160"/>
      <c r="AA15" s="160"/>
      <c r="AB15" s="160"/>
      <c r="AC15" s="160"/>
      <c r="AD15" s="160"/>
      <c r="AE15" s="90"/>
      <c r="AF15" s="91"/>
      <c r="AG15" s="91"/>
      <c r="AH15" s="91"/>
      <c r="AI15" s="91"/>
      <c r="AJ15" s="91"/>
      <c r="AK15" s="91"/>
      <c r="AL15" s="91"/>
      <c r="AM15" s="91"/>
      <c r="AN15" s="91"/>
      <c r="AO15" s="91"/>
      <c r="AP15" s="91"/>
      <c r="AQ15" s="91"/>
      <c r="AR15" s="91"/>
      <c r="AS15" s="91"/>
      <c r="AT15" s="91"/>
      <c r="AU15" s="91"/>
      <c r="AV15" s="91"/>
      <c r="AW15" s="91"/>
      <c r="AX15" s="91"/>
      <c r="AY15" s="91"/>
      <c r="AZ15" s="91"/>
      <c r="BA15" s="91"/>
    </row>
    <row r="16" spans="1:53" x14ac:dyDescent="0.35">
      <c r="A16" s="14"/>
      <c r="B16" s="168"/>
      <c r="C16" s="169"/>
      <c r="D16" s="165"/>
      <c r="E16" s="14"/>
      <c r="F16" s="14"/>
      <c r="G16" s="178"/>
      <c r="H16" s="240"/>
      <c r="I16" s="166"/>
      <c r="J16" s="163"/>
      <c r="K16" s="163"/>
      <c r="L16" s="165"/>
      <c r="M16" s="165"/>
      <c r="N16" s="167"/>
      <c r="O16" s="244"/>
      <c r="P16" s="14"/>
      <c r="Q16" s="14"/>
      <c r="R16" s="14"/>
      <c r="S16" s="14"/>
      <c r="T16" s="14"/>
      <c r="U16" s="14"/>
      <c r="V16" s="239"/>
      <c r="W16" s="8"/>
      <c r="X16" s="8"/>
      <c r="Y16" s="8"/>
      <c r="Z16" s="8"/>
      <c r="AA16" s="8"/>
      <c r="AB16" s="8"/>
      <c r="AC16" s="8"/>
      <c r="AD16" s="8"/>
      <c r="AE16" s="14"/>
    </row>
    <row r="17" spans="1:31" x14ac:dyDescent="0.35">
      <c r="A17" s="14"/>
      <c r="B17" s="168"/>
      <c r="C17" s="169"/>
      <c r="D17" s="165"/>
      <c r="E17" s="14"/>
      <c r="F17" s="14"/>
      <c r="G17" s="178"/>
      <c r="H17" s="240"/>
      <c r="I17" s="166"/>
      <c r="J17" s="163"/>
      <c r="K17" s="163"/>
      <c r="L17" s="165"/>
      <c r="M17" s="165"/>
      <c r="N17" s="167"/>
      <c r="O17" s="244"/>
      <c r="P17" s="14"/>
      <c r="Q17" s="14"/>
      <c r="R17" s="14"/>
      <c r="S17" s="14"/>
      <c r="T17" s="14"/>
      <c r="U17" s="14"/>
      <c r="V17" s="239"/>
      <c r="W17" s="8"/>
      <c r="X17" s="8"/>
      <c r="Y17" s="8"/>
      <c r="Z17" s="8"/>
      <c r="AA17" s="8"/>
      <c r="AB17" s="8"/>
      <c r="AC17" s="8"/>
      <c r="AD17" s="8"/>
      <c r="AE17" s="14"/>
    </row>
    <row r="18" spans="1:31" x14ac:dyDescent="0.35">
      <c r="A18" s="14"/>
      <c r="B18" s="168"/>
      <c r="C18" s="169"/>
      <c r="D18" s="165"/>
      <c r="E18" s="14"/>
      <c r="F18" s="14"/>
      <c r="G18" s="178"/>
      <c r="H18" s="240"/>
      <c r="I18" s="166"/>
      <c r="J18" s="163"/>
      <c r="K18" s="163"/>
      <c r="L18" s="165"/>
      <c r="M18" s="165"/>
      <c r="N18" s="167"/>
      <c r="O18" s="244"/>
      <c r="P18" s="14"/>
      <c r="Q18" s="14"/>
      <c r="R18" s="14"/>
      <c r="S18" s="14"/>
      <c r="T18" s="14"/>
      <c r="U18" s="14"/>
      <c r="V18" s="239"/>
      <c r="W18" s="8"/>
      <c r="X18" s="8"/>
      <c r="Y18" s="8"/>
      <c r="Z18" s="8"/>
      <c r="AA18" s="8"/>
      <c r="AB18" s="8"/>
      <c r="AC18" s="8"/>
      <c r="AD18" s="8"/>
      <c r="AE18" s="14"/>
    </row>
    <row r="19" spans="1:31" x14ac:dyDescent="0.35">
      <c r="A19" s="14"/>
      <c r="B19" s="168"/>
      <c r="C19" s="169"/>
      <c r="D19" s="165"/>
      <c r="E19" s="14"/>
      <c r="F19" s="14"/>
      <c r="G19" s="178"/>
      <c r="H19" s="240"/>
      <c r="I19" s="166"/>
      <c r="J19" s="163"/>
      <c r="K19" s="163"/>
      <c r="L19" s="165"/>
      <c r="M19" s="165"/>
      <c r="N19" s="167"/>
      <c r="O19" s="244"/>
      <c r="P19" s="14"/>
      <c r="Q19" s="14"/>
      <c r="R19" s="14"/>
      <c r="S19" s="14"/>
      <c r="T19" s="14"/>
      <c r="U19" s="14"/>
      <c r="V19" s="239"/>
      <c r="W19" s="8"/>
      <c r="X19" s="8"/>
      <c r="Y19" s="8"/>
      <c r="Z19" s="8"/>
      <c r="AA19" s="8"/>
      <c r="AB19" s="8"/>
      <c r="AC19" s="8"/>
      <c r="AD19" s="8"/>
      <c r="AE19" s="14"/>
    </row>
    <row r="20" spans="1:31" x14ac:dyDescent="0.35">
      <c r="A20" s="14"/>
      <c r="B20" s="168"/>
      <c r="C20" s="169"/>
      <c r="D20" s="165"/>
      <c r="E20" s="14"/>
      <c r="F20" s="14"/>
      <c r="G20" s="178"/>
      <c r="H20" s="240"/>
      <c r="I20" s="166"/>
      <c r="J20" s="163"/>
      <c r="K20" s="163"/>
      <c r="L20" s="165"/>
      <c r="M20" s="165"/>
      <c r="N20" s="167"/>
      <c r="O20" s="244"/>
      <c r="P20" s="14"/>
      <c r="Q20" s="14"/>
      <c r="R20" s="14"/>
      <c r="S20" s="14"/>
      <c r="T20" s="14"/>
      <c r="U20" s="14"/>
      <c r="V20" s="239"/>
      <c r="W20" s="8"/>
      <c r="X20" s="8"/>
      <c r="Y20" s="8"/>
      <c r="Z20" s="8"/>
      <c r="AA20" s="8"/>
      <c r="AB20" s="8"/>
      <c r="AC20" s="8"/>
      <c r="AD20" s="8"/>
      <c r="AE20" s="14"/>
    </row>
    <row r="21" spans="1:31" s="52" customFormat="1" x14ac:dyDescent="0.35">
      <c r="A21" s="73"/>
      <c r="B21" s="168"/>
      <c r="C21" s="169"/>
      <c r="D21" s="165"/>
      <c r="E21" s="14"/>
      <c r="F21" s="14"/>
      <c r="G21" s="178"/>
      <c r="H21" s="240"/>
      <c r="I21" s="166"/>
      <c r="J21" s="163"/>
      <c r="K21" s="163"/>
      <c r="L21" s="165"/>
      <c r="M21" s="165"/>
      <c r="N21" s="167"/>
      <c r="O21" s="244"/>
      <c r="P21" s="14"/>
      <c r="Q21" s="14"/>
      <c r="R21" s="14"/>
      <c r="S21" s="14"/>
      <c r="T21" s="14"/>
      <c r="U21" s="14"/>
      <c r="V21" s="239"/>
      <c r="W21" s="160"/>
      <c r="X21" s="160"/>
      <c r="Y21" s="160"/>
      <c r="Z21" s="160"/>
      <c r="AA21" s="160"/>
      <c r="AB21" s="160"/>
      <c r="AC21" s="160"/>
      <c r="AD21" s="160"/>
      <c r="AE21" s="73"/>
    </row>
    <row r="22" spans="1:31" s="67" customFormat="1" x14ac:dyDescent="0.35">
      <c r="A22" s="76"/>
      <c r="B22" s="168"/>
      <c r="C22" s="169"/>
      <c r="D22" s="165"/>
      <c r="E22" s="14"/>
      <c r="F22" s="14"/>
      <c r="G22" s="178"/>
      <c r="H22" s="240"/>
      <c r="I22" s="166"/>
      <c r="J22" s="163"/>
      <c r="K22" s="163"/>
      <c r="L22" s="165"/>
      <c r="M22" s="165"/>
      <c r="N22" s="167"/>
      <c r="O22" s="244"/>
      <c r="P22" s="14"/>
      <c r="Q22" s="14"/>
      <c r="R22" s="14"/>
      <c r="S22" s="14"/>
      <c r="T22" s="14"/>
      <c r="U22" s="14"/>
      <c r="V22" s="245"/>
      <c r="W22" s="158"/>
      <c r="X22" s="158"/>
      <c r="Y22" s="158"/>
      <c r="Z22" s="158"/>
      <c r="AA22" s="158"/>
      <c r="AB22" s="158"/>
      <c r="AC22" s="158"/>
      <c r="AD22" s="158"/>
      <c r="AE22" s="76"/>
    </row>
    <row r="23" spans="1:31" s="164" customFormat="1" x14ac:dyDescent="0.3">
      <c r="A23" s="161"/>
      <c r="B23" s="168"/>
      <c r="C23" s="169"/>
      <c r="D23" s="165"/>
      <c r="E23" s="14"/>
      <c r="F23" s="14"/>
      <c r="G23" s="178"/>
      <c r="H23" s="240"/>
      <c r="I23" s="166"/>
      <c r="J23" s="163"/>
      <c r="K23" s="163"/>
      <c r="L23" s="165"/>
      <c r="M23" s="165"/>
      <c r="N23" s="167"/>
      <c r="O23" s="244"/>
      <c r="P23" s="14"/>
      <c r="Q23" s="14"/>
      <c r="R23" s="14"/>
      <c r="S23" s="14"/>
      <c r="T23" s="14"/>
      <c r="U23" s="14"/>
      <c r="V23" s="246"/>
      <c r="W23" s="165"/>
      <c r="X23" s="165"/>
      <c r="Y23" s="165"/>
      <c r="Z23" s="165"/>
      <c r="AA23" s="165"/>
      <c r="AB23" s="165"/>
      <c r="AC23" s="165"/>
      <c r="AD23" s="165"/>
      <c r="AE23" s="161"/>
    </row>
    <row r="24" spans="1:31" s="164" customFormat="1" x14ac:dyDescent="0.3">
      <c r="A24" s="161"/>
      <c r="B24" s="168"/>
      <c r="C24" s="169"/>
      <c r="D24" s="165"/>
      <c r="E24" s="14"/>
      <c r="F24" s="14"/>
      <c r="G24" s="178"/>
      <c r="H24" s="240"/>
      <c r="I24" s="166"/>
      <c r="J24" s="163"/>
      <c r="K24" s="163"/>
      <c r="L24" s="165"/>
      <c r="M24" s="165"/>
      <c r="N24" s="167"/>
      <c r="O24" s="244"/>
      <c r="P24" s="14"/>
      <c r="Q24" s="14"/>
      <c r="R24" s="14"/>
      <c r="S24" s="14"/>
      <c r="T24" s="14"/>
      <c r="U24" s="14"/>
      <c r="V24" s="246"/>
      <c r="W24" s="165"/>
      <c r="X24" s="165"/>
      <c r="Y24" s="165"/>
      <c r="Z24" s="165"/>
      <c r="AA24" s="165"/>
      <c r="AB24" s="165"/>
      <c r="AC24" s="165"/>
      <c r="AD24" s="165"/>
      <c r="AE24" s="161"/>
    </row>
    <row r="25" spans="1:31" s="164" customFormat="1" x14ac:dyDescent="0.3">
      <c r="A25" s="161"/>
      <c r="B25" s="168"/>
      <c r="C25" s="169"/>
      <c r="D25" s="165"/>
      <c r="E25" s="14"/>
      <c r="F25" s="14"/>
      <c r="G25" s="178"/>
      <c r="H25" s="240"/>
      <c r="I25" s="166"/>
      <c r="J25" s="163"/>
      <c r="K25" s="163"/>
      <c r="L25" s="165"/>
      <c r="M25" s="165"/>
      <c r="N25" s="167"/>
      <c r="O25" s="244"/>
      <c r="P25" s="14"/>
      <c r="Q25" s="14"/>
      <c r="R25" s="14"/>
      <c r="S25" s="14"/>
      <c r="T25" s="14"/>
      <c r="U25" s="14"/>
      <c r="V25" s="246"/>
      <c r="W25" s="165"/>
      <c r="X25" s="165"/>
      <c r="Y25" s="165"/>
      <c r="Z25" s="165"/>
      <c r="AA25" s="165"/>
      <c r="AB25" s="165"/>
      <c r="AC25" s="165"/>
      <c r="AD25" s="165"/>
      <c r="AE25" s="161"/>
    </row>
    <row r="26" spans="1:31" s="164" customFormat="1" x14ac:dyDescent="0.3">
      <c r="A26" s="161"/>
      <c r="B26" s="168"/>
      <c r="C26" s="169"/>
      <c r="D26" s="165"/>
      <c r="E26" s="14"/>
      <c r="F26" s="14"/>
      <c r="G26" s="178"/>
      <c r="H26" s="240"/>
      <c r="I26" s="166"/>
      <c r="J26" s="163"/>
      <c r="K26" s="163"/>
      <c r="L26" s="165"/>
      <c r="M26" s="165"/>
      <c r="N26" s="167"/>
      <c r="O26" s="244"/>
      <c r="P26" s="14"/>
      <c r="Q26" s="14"/>
      <c r="R26" s="14"/>
      <c r="S26" s="14"/>
      <c r="T26" s="14"/>
      <c r="U26" s="14"/>
      <c r="V26" s="246"/>
      <c r="W26" s="165"/>
      <c r="X26" s="165"/>
      <c r="Y26" s="165"/>
      <c r="Z26" s="165"/>
      <c r="AA26" s="165"/>
      <c r="AB26" s="165"/>
      <c r="AC26" s="165"/>
      <c r="AD26" s="165"/>
      <c r="AE26" s="161"/>
    </row>
    <row r="27" spans="1:31" s="164" customFormat="1" x14ac:dyDescent="0.3">
      <c r="A27" s="161"/>
      <c r="B27" s="168"/>
      <c r="C27" s="169"/>
      <c r="D27" s="165"/>
      <c r="E27" s="14"/>
      <c r="F27" s="14"/>
      <c r="G27" s="178"/>
      <c r="H27" s="240"/>
      <c r="I27" s="166"/>
      <c r="J27" s="163"/>
      <c r="K27" s="163"/>
      <c r="L27" s="165"/>
      <c r="M27" s="165"/>
      <c r="N27" s="167"/>
      <c r="O27" s="244"/>
      <c r="P27" s="14"/>
      <c r="Q27" s="14"/>
      <c r="R27" s="14"/>
      <c r="S27" s="14"/>
      <c r="T27" s="14"/>
      <c r="U27" s="14"/>
      <c r="V27" s="246"/>
      <c r="W27" s="165"/>
      <c r="X27" s="165"/>
      <c r="Y27" s="165"/>
      <c r="Z27" s="165"/>
      <c r="AA27" s="165"/>
      <c r="AB27" s="165"/>
      <c r="AC27" s="165"/>
      <c r="AD27" s="165"/>
      <c r="AE27" s="161"/>
    </row>
    <row r="28" spans="1:31" s="164" customFormat="1" x14ac:dyDescent="0.3">
      <c r="A28" s="161"/>
      <c r="B28" s="168"/>
      <c r="C28" s="169"/>
      <c r="D28" s="165"/>
      <c r="E28" s="14"/>
      <c r="F28" s="14"/>
      <c r="G28" s="178"/>
      <c r="H28" s="240"/>
      <c r="I28" s="166"/>
      <c r="J28" s="163"/>
      <c r="K28" s="163"/>
      <c r="L28" s="165"/>
      <c r="M28" s="165"/>
      <c r="N28" s="167"/>
      <c r="O28" s="244"/>
      <c r="P28" s="14"/>
      <c r="Q28" s="14"/>
      <c r="R28" s="14"/>
      <c r="S28" s="14"/>
      <c r="T28" s="14"/>
      <c r="U28" s="14"/>
      <c r="V28" s="246"/>
      <c r="W28" s="165"/>
      <c r="X28" s="165"/>
      <c r="Y28" s="165"/>
      <c r="Z28" s="165"/>
      <c r="AA28" s="165"/>
      <c r="AB28" s="165"/>
      <c r="AC28" s="165"/>
      <c r="AD28" s="165"/>
      <c r="AE28" s="161"/>
    </row>
    <row r="29" spans="1:31" s="164" customFormat="1" x14ac:dyDescent="0.3">
      <c r="A29" s="161"/>
      <c r="B29" s="168"/>
      <c r="C29" s="169"/>
      <c r="D29" s="165"/>
      <c r="E29" s="14"/>
      <c r="F29" s="14"/>
      <c r="G29" s="178"/>
      <c r="H29" s="240"/>
      <c r="I29" s="166"/>
      <c r="J29" s="163"/>
      <c r="K29" s="163"/>
      <c r="L29" s="165"/>
      <c r="M29" s="165"/>
      <c r="N29" s="167"/>
      <c r="O29" s="244"/>
      <c r="P29" s="14"/>
      <c r="Q29" s="14"/>
      <c r="R29" s="14"/>
      <c r="S29" s="14"/>
      <c r="T29" s="14"/>
      <c r="U29" s="14"/>
      <c r="V29" s="246"/>
      <c r="W29" s="165"/>
      <c r="X29" s="165"/>
      <c r="Y29" s="165"/>
      <c r="Z29" s="165"/>
      <c r="AA29" s="165"/>
      <c r="AB29" s="165"/>
      <c r="AC29" s="165"/>
      <c r="AD29" s="165"/>
      <c r="AE29" s="161"/>
    </row>
    <row r="30" spans="1:31" s="164" customFormat="1" x14ac:dyDescent="0.3">
      <c r="A30" s="161"/>
      <c r="B30" s="168"/>
      <c r="C30" s="169"/>
      <c r="D30" s="165"/>
      <c r="E30" s="14"/>
      <c r="F30" s="14"/>
      <c r="G30" s="178"/>
      <c r="H30" s="240"/>
      <c r="I30" s="166"/>
      <c r="J30" s="163"/>
      <c r="K30" s="163"/>
      <c r="L30" s="165"/>
      <c r="M30" s="165"/>
      <c r="N30" s="167"/>
      <c r="O30" s="244"/>
      <c r="P30" s="14"/>
      <c r="Q30" s="14"/>
      <c r="R30" s="14"/>
      <c r="S30" s="14"/>
      <c r="T30" s="14"/>
      <c r="U30" s="14"/>
      <c r="V30" s="246"/>
      <c r="W30" s="165"/>
      <c r="X30" s="165"/>
      <c r="Y30" s="165"/>
      <c r="Z30" s="165"/>
      <c r="AA30" s="165"/>
      <c r="AB30" s="165"/>
      <c r="AC30" s="165"/>
      <c r="AD30" s="165"/>
      <c r="AE30" s="161"/>
    </row>
    <row r="31" spans="1:31" s="164" customFormat="1" x14ac:dyDescent="0.3">
      <c r="A31" s="161"/>
      <c r="B31" s="168"/>
      <c r="C31" s="169"/>
      <c r="D31" s="165"/>
      <c r="E31" s="14"/>
      <c r="F31" s="14"/>
      <c r="G31" s="178"/>
      <c r="H31" s="240"/>
      <c r="I31" s="166"/>
      <c r="J31" s="163"/>
      <c r="K31" s="163"/>
      <c r="L31" s="165"/>
      <c r="M31" s="165"/>
      <c r="N31" s="167"/>
      <c r="O31" s="244"/>
      <c r="P31" s="14"/>
      <c r="Q31" s="14"/>
      <c r="R31" s="14"/>
      <c r="S31" s="14"/>
      <c r="T31" s="14"/>
      <c r="U31" s="14"/>
      <c r="V31" s="246"/>
      <c r="W31" s="165"/>
      <c r="X31" s="165"/>
      <c r="Y31" s="165"/>
      <c r="Z31" s="165"/>
      <c r="AA31" s="165"/>
      <c r="AB31" s="165"/>
      <c r="AC31" s="165"/>
      <c r="AD31" s="165"/>
      <c r="AE31" s="161"/>
    </row>
    <row r="32" spans="1:31" s="164" customFormat="1" x14ac:dyDescent="0.3">
      <c r="A32" s="161"/>
      <c r="B32" s="168"/>
      <c r="C32" s="168"/>
      <c r="D32" s="165"/>
      <c r="E32" s="14"/>
      <c r="F32" s="14"/>
      <c r="G32" s="178"/>
      <c r="H32" s="244"/>
      <c r="I32" s="165"/>
      <c r="J32" s="165"/>
      <c r="K32" s="163"/>
      <c r="L32" s="165"/>
      <c r="M32" s="165"/>
      <c r="N32" s="162"/>
      <c r="O32" s="244"/>
      <c r="P32" s="14"/>
      <c r="Q32" s="14"/>
      <c r="R32" s="14"/>
      <c r="S32" s="14"/>
      <c r="T32" s="14"/>
      <c r="U32" s="14"/>
      <c r="V32" s="246"/>
      <c r="W32" s="165"/>
      <c r="X32" s="165"/>
      <c r="Y32" s="165"/>
      <c r="Z32" s="165"/>
      <c r="AA32" s="165"/>
      <c r="AB32" s="165"/>
      <c r="AC32" s="165"/>
      <c r="AD32" s="165"/>
      <c r="AE32" s="161"/>
    </row>
    <row r="33" spans="1:31" s="164" customFormat="1" x14ac:dyDescent="0.3">
      <c r="A33" s="161"/>
      <c r="B33" s="168"/>
      <c r="C33" s="168"/>
      <c r="D33" s="165"/>
      <c r="E33" s="14"/>
      <c r="F33" s="14"/>
      <c r="G33" s="178"/>
      <c r="H33" s="244"/>
      <c r="I33" s="165"/>
      <c r="J33" s="165"/>
      <c r="K33" s="163"/>
      <c r="L33" s="165"/>
      <c r="M33" s="165"/>
      <c r="N33" s="162"/>
      <c r="O33" s="244"/>
      <c r="P33" s="163"/>
      <c r="Q33" s="14"/>
      <c r="R33" s="14"/>
      <c r="S33" s="14"/>
      <c r="T33" s="14"/>
      <c r="U33" s="14"/>
      <c r="V33" s="246"/>
      <c r="W33" s="165"/>
      <c r="X33" s="165"/>
      <c r="Y33" s="165"/>
      <c r="Z33" s="165"/>
      <c r="AA33" s="165"/>
      <c r="AB33" s="165"/>
      <c r="AC33" s="165"/>
      <c r="AD33" s="165"/>
      <c r="AE33" s="161"/>
    </row>
    <row r="34" spans="1:31" x14ac:dyDescent="0.35">
      <c r="A34" s="14"/>
      <c r="B34" s="184"/>
      <c r="C34" s="184"/>
      <c r="D34" s="8"/>
      <c r="E34" s="8"/>
      <c r="F34" s="8"/>
      <c r="G34" s="185"/>
      <c r="H34" s="247"/>
      <c r="I34" s="80"/>
      <c r="J34" s="81"/>
      <c r="K34" s="81"/>
      <c r="L34" s="81"/>
      <c r="M34" s="81"/>
      <c r="N34" s="8"/>
      <c r="O34" s="248"/>
      <c r="P34" s="81"/>
      <c r="Q34" s="14"/>
      <c r="R34" s="14"/>
      <c r="S34" s="14"/>
      <c r="T34" s="14"/>
      <c r="U34" s="14"/>
      <c r="V34" s="239"/>
      <c r="W34" s="8"/>
      <c r="X34" s="8"/>
      <c r="Y34" s="8"/>
      <c r="Z34" s="8"/>
      <c r="AA34" s="8"/>
      <c r="AB34" s="8"/>
      <c r="AC34" s="8"/>
      <c r="AD34" s="8"/>
      <c r="AE34" s="14"/>
    </row>
    <row r="35" spans="1:31" x14ac:dyDescent="0.35">
      <c r="A35" s="14"/>
      <c r="B35" s="184"/>
      <c r="C35" s="184"/>
      <c r="D35" s="8"/>
      <c r="E35" s="8"/>
      <c r="F35" s="8"/>
      <c r="G35" s="185"/>
      <c r="H35" s="159"/>
      <c r="I35" s="80"/>
      <c r="J35" s="81"/>
      <c r="K35" s="81"/>
      <c r="L35" s="81"/>
      <c r="M35" s="81"/>
      <c r="N35" s="8"/>
      <c r="O35" s="8"/>
      <c r="P35" s="81"/>
      <c r="Q35" s="14"/>
      <c r="R35" s="14"/>
      <c r="S35" s="14"/>
      <c r="T35" s="14"/>
      <c r="U35" s="14"/>
      <c r="V35" s="239"/>
      <c r="W35" s="8"/>
      <c r="X35" s="8"/>
      <c r="Y35" s="8"/>
      <c r="Z35" s="8"/>
      <c r="AA35" s="8"/>
      <c r="AB35" s="8"/>
      <c r="AC35" s="8"/>
      <c r="AD35" s="8"/>
      <c r="AE35" s="14"/>
    </row>
    <row r="36" spans="1:31" x14ac:dyDescent="0.35">
      <c r="A36" s="14"/>
      <c r="B36" s="184"/>
      <c r="C36" s="184"/>
      <c r="D36" s="8"/>
      <c r="E36" s="8"/>
      <c r="F36" s="8"/>
      <c r="G36" s="185"/>
      <c r="H36" s="8"/>
      <c r="I36" s="8"/>
      <c r="J36" s="8"/>
      <c r="K36" s="8"/>
      <c r="L36" s="81"/>
      <c r="M36" s="81"/>
      <c r="N36" s="8"/>
      <c r="O36" s="8"/>
      <c r="P36" s="81"/>
      <c r="Q36" s="14"/>
      <c r="R36" s="14"/>
      <c r="S36" s="14"/>
      <c r="T36" s="14"/>
      <c r="U36" s="14"/>
      <c r="V36" s="239"/>
      <c r="W36" s="8"/>
      <c r="X36" s="8"/>
      <c r="Y36" s="8"/>
      <c r="Z36" s="8"/>
      <c r="AA36" s="8"/>
      <c r="AB36" s="8"/>
      <c r="AC36" s="8"/>
      <c r="AD36" s="8"/>
      <c r="AE36" s="14"/>
    </row>
    <row r="37" spans="1:31" x14ac:dyDescent="0.35">
      <c r="B37" s="151"/>
      <c r="C37" s="151"/>
      <c r="D37" s="3"/>
      <c r="E37" s="3"/>
      <c r="F37" s="3"/>
      <c r="G37" s="179"/>
      <c r="H37" s="3"/>
      <c r="I37" s="3"/>
      <c r="J37" s="3"/>
      <c r="K37" s="3"/>
      <c r="L37" s="83"/>
      <c r="M37" s="83"/>
      <c r="N37" s="3"/>
      <c r="O37" s="3"/>
      <c r="P37" s="83"/>
      <c r="Q37"/>
      <c r="R37"/>
      <c r="S37"/>
      <c r="T37"/>
      <c r="U37"/>
      <c r="V37" s="233"/>
      <c r="W37" s="3"/>
      <c r="X37" s="3"/>
      <c r="Y37" s="3"/>
      <c r="Z37" s="3"/>
      <c r="AA37" s="3"/>
      <c r="AB37" s="3"/>
      <c r="AC37" s="3"/>
      <c r="AD37" s="3"/>
    </row>
    <row r="38" spans="1:31" x14ac:dyDescent="0.35">
      <c r="B38" s="151"/>
      <c r="C38" s="151"/>
      <c r="D38" s="3"/>
      <c r="E38" s="3"/>
      <c r="F38" s="3"/>
      <c r="G38" s="179"/>
      <c r="H38" s="3"/>
      <c r="I38" s="83"/>
      <c r="J38" s="83"/>
      <c r="K38" s="83"/>
      <c r="L38" s="83"/>
      <c r="M38" s="83"/>
      <c r="N38" s="3"/>
      <c r="O38" s="3"/>
      <c r="P38" s="83"/>
      <c r="Q38"/>
      <c r="R38"/>
      <c r="S38"/>
      <c r="T38"/>
      <c r="U38"/>
      <c r="V38" s="233"/>
      <c r="W38" s="3"/>
      <c r="X38" s="3"/>
      <c r="Y38" s="3"/>
      <c r="Z38" s="3"/>
      <c r="AA38" s="3"/>
      <c r="AB38" s="3"/>
      <c r="AC38" s="3"/>
      <c r="AD38" s="3"/>
    </row>
    <row r="39" spans="1:31" x14ac:dyDescent="0.35">
      <c r="B39" s="151"/>
      <c r="C39" s="151"/>
      <c r="D39" s="3"/>
      <c r="E39" s="3"/>
      <c r="F39" s="3"/>
      <c r="G39" s="179"/>
      <c r="H39" s="3"/>
      <c r="I39" s="83"/>
      <c r="J39" s="83"/>
      <c r="K39" s="83"/>
      <c r="L39" s="3"/>
      <c r="M39" s="83"/>
      <c r="N39" s="3"/>
      <c r="O39" s="3"/>
      <c r="P39" s="83"/>
      <c r="Q39"/>
      <c r="R39"/>
      <c r="S39"/>
      <c r="T39"/>
      <c r="U39"/>
      <c r="V39" s="233"/>
      <c r="W39" s="3"/>
      <c r="X39" s="3"/>
      <c r="Y39" s="3"/>
      <c r="Z39" s="3"/>
      <c r="AA39" s="3"/>
      <c r="AB39" s="3"/>
      <c r="AC39" s="3"/>
      <c r="AD39" s="3"/>
    </row>
    <row r="40" spans="1:31" ht="24.75" customHeight="1" x14ac:dyDescent="0.35">
      <c r="B40" s="151"/>
      <c r="C40" s="151"/>
      <c r="D40" s="3"/>
      <c r="E40" s="3"/>
      <c r="F40" s="3"/>
      <c r="G40" s="179"/>
      <c r="H40" s="157"/>
      <c r="I40" s="3"/>
      <c r="J40" s="83"/>
      <c r="K40" s="83"/>
      <c r="L40" s="3"/>
      <c r="M40" s="83"/>
      <c r="N40" s="3"/>
      <c r="O40" s="3"/>
      <c r="P40" s="83"/>
      <c r="Q40"/>
      <c r="R40"/>
      <c r="S40"/>
      <c r="T40"/>
      <c r="U40"/>
      <c r="V40" s="233"/>
      <c r="W40" s="3"/>
      <c r="X40" s="3"/>
      <c r="Y40" s="3"/>
      <c r="Z40" s="3"/>
      <c r="AA40" s="3"/>
      <c r="AB40" s="3"/>
      <c r="AC40" s="3"/>
      <c r="AD40" s="3"/>
    </row>
    <row r="41" spans="1:31" ht="14.25" customHeight="1" x14ac:dyDescent="0.35">
      <c r="B41" s="151"/>
      <c r="C41" s="151"/>
      <c r="D41" s="3"/>
      <c r="E41" s="3"/>
      <c r="F41" s="3"/>
      <c r="G41" s="179"/>
      <c r="H41" s="157"/>
      <c r="I41" s="3"/>
      <c r="J41" s="3"/>
      <c r="K41" s="83"/>
      <c r="L41" s="3"/>
      <c r="M41" s="83"/>
      <c r="N41" s="3"/>
      <c r="O41" s="3"/>
      <c r="P41" s="3"/>
      <c r="Q41"/>
      <c r="R41"/>
      <c r="S41"/>
      <c r="T41"/>
      <c r="U41"/>
      <c r="V41" s="233"/>
      <c r="W41" s="3"/>
      <c r="X41" s="3"/>
      <c r="Y41" s="3"/>
      <c r="Z41" s="3"/>
      <c r="AA41" s="3"/>
      <c r="AB41" s="3"/>
      <c r="AC41" s="3"/>
      <c r="AD41" s="3"/>
    </row>
    <row r="42" spans="1:31" ht="14.25" customHeight="1" x14ac:dyDescent="0.35">
      <c r="B42" s="151"/>
      <c r="C42" s="151"/>
      <c r="D42" s="3"/>
      <c r="E42" s="3"/>
      <c r="F42" s="3"/>
      <c r="G42" s="179"/>
      <c r="H42" s="157"/>
      <c r="I42" s="3"/>
      <c r="J42" s="3"/>
      <c r="K42" s="83"/>
      <c r="L42" s="3"/>
      <c r="M42" s="83"/>
      <c r="N42" s="3"/>
      <c r="O42" s="3"/>
      <c r="P42" s="3"/>
      <c r="Q42" s="3"/>
      <c r="R42" s="3"/>
      <c r="S42"/>
      <c r="T42"/>
      <c r="U42"/>
      <c r="V42" s="233"/>
      <c r="W42" s="3"/>
      <c r="X42" s="3"/>
      <c r="Y42" s="3"/>
      <c r="Z42" s="3"/>
      <c r="AA42" s="3"/>
      <c r="AB42" s="3"/>
      <c r="AC42" s="3"/>
      <c r="AD42" s="3"/>
    </row>
    <row r="43" spans="1:31" ht="14.25" customHeight="1" x14ac:dyDescent="0.35">
      <c r="B43" s="151"/>
      <c r="C43" s="151"/>
      <c r="D43" s="3"/>
      <c r="E43" s="3"/>
      <c r="F43" s="3"/>
      <c r="G43" s="179"/>
      <c r="H43" s="157"/>
      <c r="I43" s="84"/>
      <c r="J43" s="3"/>
      <c r="K43" s="83"/>
      <c r="L43" s="83"/>
      <c r="M43" s="3"/>
      <c r="N43" s="3"/>
      <c r="O43" s="3"/>
      <c r="P43" s="3"/>
      <c r="Q43" s="3"/>
      <c r="R43" s="3"/>
      <c r="S43" s="83"/>
      <c r="T43" s="83"/>
      <c r="U43" s="83"/>
      <c r="V43" s="233"/>
      <c r="W43" s="3"/>
      <c r="X43" s="3"/>
      <c r="Y43" s="3"/>
      <c r="Z43" s="3"/>
      <c r="AA43" s="3"/>
      <c r="AB43" s="3"/>
      <c r="AC43" s="3"/>
      <c r="AD43" s="3"/>
    </row>
    <row r="44" spans="1:31" ht="17.25" customHeight="1" x14ac:dyDescent="0.35">
      <c r="B44" s="151"/>
      <c r="C44" s="151"/>
      <c r="D44" s="3"/>
      <c r="E44" s="3"/>
      <c r="F44" s="3"/>
      <c r="G44" s="179"/>
      <c r="H44" s="157"/>
      <c r="I44" s="84"/>
      <c r="J44" s="83"/>
      <c r="K44" s="3"/>
      <c r="L44" s="3"/>
      <c r="M44" s="3"/>
      <c r="N44" s="3"/>
      <c r="O44" s="3"/>
      <c r="P44" s="3"/>
      <c r="Q44" s="3"/>
      <c r="R44" s="3"/>
      <c r="S44" s="3"/>
      <c r="T44" s="83"/>
      <c r="U44" s="83"/>
      <c r="V44" s="233"/>
      <c r="W44" s="3"/>
      <c r="X44" s="3"/>
      <c r="Y44" s="3"/>
      <c r="Z44" s="3"/>
      <c r="AA44" s="3"/>
      <c r="AB44" s="3"/>
      <c r="AC44" s="3"/>
      <c r="AD44" s="3"/>
    </row>
    <row r="45" spans="1:31" ht="17.25" customHeight="1" x14ac:dyDescent="0.35">
      <c r="B45" s="151"/>
      <c r="C45" s="3"/>
      <c r="D45" s="3"/>
      <c r="E45" s="3"/>
      <c r="F45" s="3"/>
      <c r="G45" s="179"/>
      <c r="H45" s="157"/>
      <c r="I45" s="84"/>
      <c r="J45" s="83"/>
      <c r="K45" s="3"/>
      <c r="L45" s="3"/>
      <c r="M45" s="3"/>
      <c r="N45" s="3"/>
      <c r="O45" s="3"/>
      <c r="P45" s="3"/>
      <c r="Q45" s="3"/>
      <c r="R45" s="3"/>
      <c r="S45" s="3"/>
      <c r="T45" s="83"/>
      <c r="U45" s="83"/>
      <c r="V45" s="233"/>
      <c r="W45" s="3"/>
      <c r="X45" s="3"/>
      <c r="Y45" s="3"/>
      <c r="Z45" s="3"/>
      <c r="AA45" s="3"/>
      <c r="AB45" s="3"/>
      <c r="AC45" s="3"/>
      <c r="AD45" s="3"/>
    </row>
    <row r="46" spans="1:31" ht="17.25" customHeight="1" x14ac:dyDescent="0.35">
      <c r="B46" s="151"/>
      <c r="C46" s="3"/>
      <c r="D46" s="3"/>
      <c r="E46" s="3"/>
      <c r="F46" s="3"/>
      <c r="G46" s="179"/>
      <c r="H46" s="157"/>
      <c r="I46" s="84"/>
      <c r="J46" s="83"/>
      <c r="K46" s="3"/>
      <c r="L46" s="3"/>
      <c r="M46" s="3"/>
      <c r="N46" s="3"/>
      <c r="O46" s="3"/>
      <c r="P46" s="3"/>
      <c r="Q46" s="3"/>
      <c r="R46" s="3"/>
      <c r="S46" s="3"/>
      <c r="T46" s="83"/>
      <c r="U46" s="83"/>
      <c r="V46" s="233"/>
      <c r="W46" s="3"/>
      <c r="X46" s="3"/>
      <c r="Y46" s="3"/>
      <c r="Z46" s="3"/>
      <c r="AA46" s="3"/>
      <c r="AB46" s="3"/>
      <c r="AC46" s="3"/>
      <c r="AD46" s="3"/>
    </row>
    <row r="47" spans="1:31" ht="17.25" customHeight="1" x14ac:dyDescent="0.35">
      <c r="B47" s="151"/>
      <c r="C47" s="3"/>
      <c r="D47" s="3"/>
      <c r="E47" s="3"/>
      <c r="F47" s="3"/>
      <c r="G47" s="179"/>
      <c r="H47" s="3"/>
      <c r="I47" s="3"/>
      <c r="J47" s="3"/>
      <c r="K47" s="3"/>
      <c r="L47" s="3"/>
      <c r="M47" s="3"/>
      <c r="N47" s="3"/>
      <c r="O47" s="3"/>
      <c r="P47" s="3"/>
      <c r="Q47" s="83"/>
      <c r="R47" s="83"/>
      <c r="S47" s="3"/>
      <c r="T47" s="83"/>
      <c r="U47" s="83"/>
      <c r="V47" s="233"/>
      <c r="W47" s="3"/>
      <c r="X47" s="3"/>
      <c r="Y47" s="3"/>
      <c r="Z47" s="3"/>
      <c r="AA47" s="3"/>
      <c r="AB47" s="3"/>
      <c r="AC47" s="3"/>
      <c r="AD47" s="3"/>
    </row>
    <row r="48" spans="1:31" ht="17.25" customHeight="1" x14ac:dyDescent="0.35">
      <c r="B48" s="151"/>
      <c r="C48" s="3"/>
      <c r="D48" s="3"/>
      <c r="E48" s="3"/>
      <c r="F48" s="3"/>
      <c r="G48" s="179"/>
      <c r="H48" s="3"/>
      <c r="I48" s="3"/>
      <c r="J48" s="3"/>
      <c r="K48" s="3"/>
      <c r="L48" s="3"/>
      <c r="M48" s="3"/>
      <c r="N48" s="3"/>
      <c r="O48" s="3"/>
      <c r="P48" s="3"/>
      <c r="Q48" s="3"/>
      <c r="R48" s="3"/>
      <c r="S48" s="3"/>
      <c r="T48" s="83"/>
      <c r="U48" s="83"/>
      <c r="V48" s="233"/>
      <c r="W48" s="3"/>
      <c r="X48" s="3"/>
      <c r="Y48" s="3"/>
      <c r="Z48" s="3"/>
      <c r="AA48" s="3"/>
      <c r="AB48" s="3"/>
      <c r="AC48" s="3"/>
      <c r="AD48" s="3"/>
    </row>
    <row r="49" spans="3:19" ht="17.25" customHeight="1" x14ac:dyDescent="0.35">
      <c r="C49" s="3"/>
      <c r="D49" s="3"/>
      <c r="E49" s="3"/>
      <c r="F49" s="3"/>
      <c r="G49" s="179"/>
      <c r="H49" s="3"/>
      <c r="I49" s="3"/>
      <c r="J49" s="3"/>
      <c r="K49" s="3"/>
      <c r="L49" s="3"/>
      <c r="M49" s="3"/>
      <c r="N49" s="3"/>
      <c r="O49" s="3"/>
      <c r="P49" s="3"/>
      <c r="Q49" s="3"/>
      <c r="R49" s="3"/>
      <c r="S49" s="3"/>
    </row>
    <row r="50" spans="3:19" ht="17.25" customHeight="1" x14ac:dyDescent="0.35">
      <c r="C50" s="3"/>
      <c r="D50" s="3"/>
      <c r="E50" s="3"/>
      <c r="F50" s="3"/>
      <c r="G50" s="179"/>
      <c r="H50" s="3"/>
      <c r="I50" s="3"/>
      <c r="J50" s="3"/>
      <c r="K50" s="3"/>
      <c r="L50" s="3"/>
      <c r="M50" s="3"/>
      <c r="N50" s="3"/>
      <c r="O50" s="3"/>
      <c r="P50" s="3"/>
      <c r="Q50" s="3"/>
      <c r="R50" s="3"/>
      <c r="S50" s="3"/>
    </row>
    <row r="51" spans="3:19" ht="17.25" customHeight="1" x14ac:dyDescent="0.35">
      <c r="C51" s="3"/>
      <c r="D51" s="3"/>
      <c r="E51" s="3"/>
      <c r="F51" s="3"/>
      <c r="G51" s="179"/>
      <c r="H51" s="3"/>
      <c r="I51" s="3"/>
      <c r="J51" s="3"/>
      <c r="K51" s="3"/>
      <c r="L51" s="3"/>
      <c r="M51" s="3"/>
      <c r="N51" s="3"/>
      <c r="O51" s="3"/>
      <c r="P51" s="3"/>
      <c r="Q51" s="3"/>
      <c r="R51" s="3"/>
      <c r="S51" s="3"/>
    </row>
    <row r="52" spans="3:19" ht="17.25" customHeight="1" x14ac:dyDescent="0.35">
      <c r="C52" s="3"/>
      <c r="D52" s="3"/>
      <c r="E52" s="3"/>
      <c r="F52" s="3"/>
      <c r="G52" s="179"/>
      <c r="H52" s="3"/>
      <c r="I52" s="3"/>
      <c r="J52" s="3"/>
      <c r="K52" s="3"/>
      <c r="L52" s="3"/>
      <c r="M52" s="3"/>
      <c r="N52" s="3"/>
      <c r="O52" s="3"/>
      <c r="P52" s="3"/>
      <c r="Q52" s="3"/>
      <c r="R52" s="3"/>
      <c r="S52" s="3"/>
    </row>
    <row r="53" spans="3:19" ht="17.25" customHeight="1" x14ac:dyDescent="0.35">
      <c r="C53" s="3"/>
      <c r="D53" s="3"/>
      <c r="E53" s="3"/>
      <c r="F53" s="3"/>
      <c r="G53" s="179"/>
      <c r="H53" s="3"/>
      <c r="I53" s="3"/>
      <c r="J53" s="3"/>
      <c r="K53" s="3"/>
      <c r="L53" s="3"/>
      <c r="M53" s="3"/>
      <c r="N53" s="3"/>
      <c r="O53" s="3"/>
      <c r="P53" s="3"/>
      <c r="Q53" s="3"/>
      <c r="R53" s="3"/>
      <c r="S53" s="3"/>
    </row>
    <row r="54" spans="3:19" ht="17.25" customHeight="1" x14ac:dyDescent="0.35">
      <c r="C54" s="3"/>
      <c r="D54" s="3"/>
      <c r="E54" s="3"/>
      <c r="F54" s="3"/>
      <c r="G54" s="179"/>
      <c r="H54" s="3"/>
      <c r="I54" s="3"/>
      <c r="J54" s="3"/>
      <c r="K54" s="3"/>
      <c r="L54" s="3"/>
      <c r="M54" s="3"/>
      <c r="N54" s="3"/>
      <c r="O54" s="3"/>
      <c r="P54" s="3"/>
      <c r="Q54" s="3"/>
      <c r="R54" s="3"/>
      <c r="S54" s="3"/>
    </row>
    <row r="55" spans="3:19" ht="17.25" customHeight="1" x14ac:dyDescent="0.35">
      <c r="C55" s="3"/>
      <c r="D55" s="3"/>
      <c r="E55" s="3"/>
      <c r="F55" s="3"/>
      <c r="G55" s="179"/>
      <c r="H55" s="3"/>
      <c r="I55" s="3"/>
      <c r="J55" s="3"/>
      <c r="K55" s="3"/>
      <c r="L55" s="3"/>
      <c r="M55" s="3"/>
      <c r="N55" s="3"/>
      <c r="O55" s="3"/>
      <c r="P55" s="83"/>
      <c r="Q55" s="3"/>
      <c r="R55" s="3"/>
      <c r="S55" s="3"/>
    </row>
    <row r="56" spans="3:19" ht="17.25" customHeight="1" x14ac:dyDescent="0.35">
      <c r="C56" s="3"/>
      <c r="D56" s="3"/>
      <c r="E56" s="3"/>
      <c r="F56" s="3"/>
      <c r="G56" s="179"/>
      <c r="H56" s="3"/>
      <c r="I56" s="3"/>
      <c r="J56" s="3"/>
      <c r="K56" s="3"/>
      <c r="L56" s="3"/>
      <c r="M56" s="3"/>
      <c r="N56" s="3"/>
      <c r="O56" s="3"/>
      <c r="P56" s="83"/>
      <c r="Q56" s="3"/>
      <c r="R56" s="3"/>
      <c r="S56" s="3"/>
    </row>
    <row r="57" spans="3:19" ht="17.25" customHeight="1" x14ac:dyDescent="0.35">
      <c r="C57" s="3"/>
      <c r="D57" s="3"/>
      <c r="E57" s="3"/>
      <c r="F57" s="3"/>
      <c r="G57" s="179"/>
      <c r="H57" s="3"/>
      <c r="I57" s="3"/>
      <c r="J57" s="3"/>
      <c r="K57" s="3"/>
      <c r="L57" s="3"/>
      <c r="M57" s="3"/>
      <c r="N57" s="3"/>
      <c r="O57" s="3"/>
      <c r="P57" s="83"/>
      <c r="Q57" s="3"/>
      <c r="R57" s="3"/>
      <c r="S57" s="3"/>
    </row>
    <row r="58" spans="3:19" x14ac:dyDescent="0.35">
      <c r="C58" s="3"/>
      <c r="D58" s="3"/>
      <c r="E58" s="3"/>
      <c r="F58" s="3"/>
      <c r="G58" s="179"/>
      <c r="H58" s="3"/>
      <c r="I58" s="3"/>
      <c r="J58" s="3"/>
      <c r="K58" s="3"/>
      <c r="L58" s="3"/>
      <c r="M58" s="3"/>
      <c r="N58" s="3"/>
      <c r="O58" s="3"/>
      <c r="P58" s="83"/>
      <c r="Q58" s="3"/>
      <c r="R58" s="3"/>
      <c r="S58" s="3"/>
    </row>
    <row r="59" spans="3:19" x14ac:dyDescent="0.35">
      <c r="C59" s="3"/>
      <c r="D59" s="3"/>
      <c r="E59" s="3"/>
      <c r="F59" s="3"/>
      <c r="G59" s="179"/>
      <c r="H59" s="3"/>
      <c r="I59" s="3"/>
      <c r="J59" s="3"/>
      <c r="K59" s="3"/>
      <c r="L59" s="3"/>
      <c r="M59" s="3"/>
      <c r="N59" s="3"/>
      <c r="O59" s="3"/>
      <c r="P59" s="83"/>
      <c r="Q59" s="3"/>
      <c r="R59" s="3"/>
      <c r="S59" s="3"/>
    </row>
    <row r="60" spans="3:19" x14ac:dyDescent="0.35">
      <c r="C60" s="3"/>
      <c r="D60" s="3"/>
      <c r="E60" s="3"/>
      <c r="F60" s="3"/>
      <c r="G60" s="179"/>
      <c r="H60" s="3"/>
      <c r="I60" s="3"/>
      <c r="J60" s="3"/>
      <c r="K60" s="3"/>
      <c r="L60" s="3"/>
      <c r="M60" s="3"/>
      <c r="N60" s="3"/>
      <c r="O60" s="3"/>
      <c r="P60" s="83"/>
      <c r="Q60" s="3"/>
      <c r="R60" s="3"/>
      <c r="S60" s="3"/>
    </row>
    <row r="61" spans="3:19" x14ac:dyDescent="0.35">
      <c r="C61" s="3"/>
      <c r="D61" s="3"/>
      <c r="E61" s="3"/>
      <c r="F61" s="3"/>
      <c r="G61" s="179"/>
      <c r="H61" s="157"/>
      <c r="I61" s="3"/>
      <c r="J61" s="3"/>
      <c r="K61" s="3"/>
      <c r="L61" s="83"/>
      <c r="M61" s="3"/>
      <c r="N61" s="3"/>
      <c r="O61" s="3"/>
      <c r="P61" s="83"/>
      <c r="Q61" s="3"/>
      <c r="R61" s="3"/>
      <c r="S61" s="3"/>
    </row>
    <row r="62" spans="3:19" x14ac:dyDescent="0.35">
      <c r="C62" s="3"/>
      <c r="D62" s="3"/>
      <c r="E62" s="3"/>
      <c r="F62" s="3"/>
      <c r="G62" s="179"/>
      <c r="H62" s="157"/>
      <c r="I62" s="84"/>
      <c r="J62" s="83"/>
      <c r="K62" s="83"/>
      <c r="L62" s="83"/>
      <c r="M62" s="3"/>
      <c r="N62" s="3"/>
      <c r="O62" s="3"/>
      <c r="P62" s="83"/>
      <c r="Q62" s="83"/>
      <c r="R62" s="83"/>
      <c r="S62" s="83"/>
    </row>
    <row r="63" spans="3:19" x14ac:dyDescent="0.35">
      <c r="C63" s="3"/>
      <c r="D63" s="3"/>
      <c r="E63" s="3"/>
      <c r="F63" s="3"/>
      <c r="G63" s="179"/>
      <c r="H63" s="157"/>
      <c r="I63" s="84"/>
      <c r="J63" s="83"/>
      <c r="K63" s="83"/>
      <c r="L63" s="83"/>
      <c r="M63" s="83"/>
      <c r="N63" s="3"/>
      <c r="O63" s="3"/>
      <c r="P63" s="83"/>
      <c r="Q63" s="83"/>
      <c r="R63" s="83"/>
      <c r="S63" s="83"/>
    </row>
  </sheetData>
  <printOptions horizontalCentered="1"/>
  <pageMargins left="0.11811023622047245" right="0.11811023622047245" top="0.31496062992125984" bottom="0.31496062992125984" header="0.31496062992125984" footer="0.31496062992125984"/>
  <pageSetup paperSize="9" scale="55" fitToWidth="0" fitToHeight="0" orientation="landscape" r:id="rId1"/>
  <colBreaks count="1" manualBreakCount="1">
    <brk id="20" max="1048575" man="1"/>
  </col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7433-39E9-42B4-A88A-BBFE26654170}">
  <sheetPr>
    <tabColor theme="0"/>
    <pageSetUpPr fitToPage="1"/>
  </sheetPr>
  <dimension ref="B1:P178"/>
  <sheetViews>
    <sheetView zoomScaleNormal="100" workbookViewId="0">
      <selection activeCell="B2" sqref="B2"/>
    </sheetView>
  </sheetViews>
  <sheetFormatPr defaultColWidth="11.5546875" defaultRowHeight="15" x14ac:dyDescent="0.35"/>
  <cols>
    <col min="2" max="2" width="11.44140625" style="2"/>
    <col min="3" max="3" width="15" style="3" customWidth="1"/>
    <col min="4" max="4" width="43.33203125" style="211" customWidth="1"/>
    <col min="5" max="5" width="15.33203125" style="211" customWidth="1"/>
    <col min="6" max="6" width="14" style="2" customWidth="1"/>
    <col min="7" max="7" width="14.5546875" style="2" customWidth="1"/>
    <col min="8" max="9" width="14" style="2" customWidth="1"/>
    <col min="10" max="10" width="7.33203125" style="2" customWidth="1"/>
    <col min="11" max="11" width="11.44140625" style="337" customWidth="1"/>
    <col min="12" max="13" width="10.5546875" style="211" customWidth="1"/>
    <col min="14" max="14" width="18" customWidth="1"/>
    <col min="15" max="15" width="17.88671875" customWidth="1"/>
  </cols>
  <sheetData>
    <row r="1" spans="2:16" ht="60" customHeight="1" x14ac:dyDescent="0.3">
      <c r="B1" s="216"/>
      <c r="C1" s="216"/>
      <c r="D1" s="439" t="s">
        <v>6983</v>
      </c>
      <c r="E1" s="439"/>
      <c r="F1" s="439"/>
      <c r="G1" s="439"/>
      <c r="H1" s="439"/>
      <c r="I1" s="439"/>
      <c r="J1" s="439"/>
      <c r="K1" s="439"/>
      <c r="L1" s="439"/>
      <c r="M1" s="439"/>
      <c r="N1" s="439"/>
    </row>
    <row r="2" spans="2:16" s="215" customFormat="1" ht="21.75" customHeight="1" x14ac:dyDescent="0.25">
      <c r="B2" s="212" t="s">
        <v>6984</v>
      </c>
      <c r="C2" s="212" t="s">
        <v>6985</v>
      </c>
      <c r="D2" s="212" t="s">
        <v>6986</v>
      </c>
      <c r="E2" s="213" t="s">
        <v>6987</v>
      </c>
      <c r="F2" s="213" t="s">
        <v>6988</v>
      </c>
      <c r="G2" s="372" t="s">
        <v>6989</v>
      </c>
      <c r="H2" s="212" t="s">
        <v>6990</v>
      </c>
      <c r="I2" s="212" t="s">
        <v>6991</v>
      </c>
      <c r="J2" s="372" t="s">
        <v>6992</v>
      </c>
      <c r="K2" s="212" t="s">
        <v>6993</v>
      </c>
      <c r="L2" s="336" t="s">
        <v>6994</v>
      </c>
      <c r="M2" s="336" t="s">
        <v>6995</v>
      </c>
      <c r="N2" s="214" t="s">
        <v>6996</v>
      </c>
      <c r="O2" s="214" t="s">
        <v>6997</v>
      </c>
      <c r="P2" s="215" t="s">
        <v>6998</v>
      </c>
    </row>
    <row r="3" spans="2:16" ht="18" hidden="1" customHeight="1" x14ac:dyDescent="0.35">
      <c r="B3" s="160" t="s">
        <v>6999</v>
      </c>
      <c r="C3" s="1" t="str">
        <f>IF(D3="", "", INDEX(Colaboradores!A:A, MATCH(D3,Colaboradores!C:C, 0)))</f>
        <v>E0194</v>
      </c>
      <c r="D3" s="338" t="s">
        <v>73</v>
      </c>
      <c r="E3" s="249">
        <v>45761</v>
      </c>
      <c r="F3" s="249">
        <v>46053</v>
      </c>
      <c r="G3" s="160">
        <f>IFERROR(VLOOKUP(Tabla10[[#This Row],[COD]],'TotalHorasAjustadas (2)'!D:L,8,FALSE),"")</f>
        <v>144</v>
      </c>
      <c r="H3" s="339">
        <f>IFERROR(VLOOKUP(Tabla10[[#This Row],[COD]],Tabla15[],4,FALSE),"")</f>
        <v>13</v>
      </c>
      <c r="I3" s="339">
        <f>IFERROR(VLOOKUP(Tabla10[[#This Row],[COD]],Alojamentos!B:P,11,FALSE),"")</f>
        <v>300</v>
      </c>
      <c r="J3" s="160">
        <f>IF(ISBLANK(Tabla10[[#This Row],[INICIO VINCULO]]), 0, MAX(0, MIN(IF(ISBLANK(Tabla10[[#This Row],[FIM VINCULO]]), DATE(2026,1,31), Tabla10[[#This Row],[FIM VINCULO]]), DATE(2026,1,31)) - MAX(Tabla10[[#This Row],[INICIO VINCULO]], DATE(2026,1,1)) + 1))</f>
        <v>31</v>
      </c>
      <c r="K3" s="339">
        <f>7.05806*Tabla10[[#This Row],[DIAS DE ALTA]]</f>
        <v>218.79986</v>
      </c>
      <c r="L3" s="339" t="str">
        <f>IFERROR(VLOOKUP(Tabla10[[#This Row],[COD]],Carro!B:D,3,FALSE),"")</f>
        <v/>
      </c>
      <c r="M3" s="339" t="str">
        <f>IFERROR(VLOOKUP(Tabla10[[#This Row],[COD]],'Outros descontos'!B:P,15,FALSE),"")</f>
        <v/>
      </c>
      <c r="N3" s="7">
        <f>(Tabla10[[#This Row],[HORAS TRABALHADAS]]*Tabla10[[#This Row],[TARIFA]]) - SUM(Tabla10[[#This Row],[ALOJAMENTO]], Tabla10[[#This Row],[IMPOSTO]], Tabla10[[#This Row],[CARRO]])</f>
        <v>1353.2001399999999</v>
      </c>
      <c r="O3" s="7"/>
      <c r="P3" s="339"/>
    </row>
    <row r="4" spans="2:16" ht="18" hidden="1" customHeight="1" x14ac:dyDescent="0.35">
      <c r="B4" s="160" t="s">
        <v>7000</v>
      </c>
      <c r="C4" s="1" t="str">
        <f>IF(D4="", "", INDEX(Colaboradores!A:A, MATCH(D4,Colaboradores!C:C, 0)))</f>
        <v>E0272</v>
      </c>
      <c r="D4" s="239" t="s">
        <v>90</v>
      </c>
      <c r="E4" s="249">
        <v>45945</v>
      </c>
      <c r="F4" s="249"/>
      <c r="G4" s="160">
        <f>IFERROR(VLOOKUP(Tabla10[[#This Row],[COD]],'TotalHorasAjustadas (2)'!D:L,8,FALSE),"")</f>
        <v>179</v>
      </c>
      <c r="H4" s="339">
        <f>IFERROR(VLOOKUP(Tabla10[[#This Row],[COD]],Tabla15[],4,FALSE),"")</f>
        <v>17</v>
      </c>
      <c r="I4" s="339">
        <f>IFERROR(VLOOKUP(Tabla10[[#This Row],[COD]],Alojamentos!B:P,11,FALSE),"")</f>
        <v>300</v>
      </c>
      <c r="J4" s="160">
        <f>IF(ISBLANK(Tabla10[[#This Row],[INICIO VINCULO]]), 0, MAX(0, MIN(IF(ISBLANK(Tabla10[[#This Row],[FIM VINCULO]]), DATE(2026,1,31), Tabla10[[#This Row],[FIM VINCULO]]), DATE(2026,1,31)) - MAX(Tabla10[[#This Row],[INICIO VINCULO]], DATE(2026,1,1)) + 1))</f>
        <v>31</v>
      </c>
      <c r="K4" s="339">
        <f>7.05806*Tabla10[[#This Row],[DIAS DE ALTA]]</f>
        <v>218.79986</v>
      </c>
      <c r="L4" s="339" t="str">
        <f>IFERROR(VLOOKUP(Tabla10[[#This Row],[COD]],Carro!B:D,3,FALSE),"")</f>
        <v/>
      </c>
      <c r="M4" s="339" t="str">
        <f>IFERROR(VLOOKUP(Tabla10[[#This Row],[COD]],'Outros descontos'!B:P,15,FALSE),"")</f>
        <v/>
      </c>
      <c r="N4" s="7">
        <f>(Tabla10[[#This Row],[HORAS TRABALHADAS]]*Tabla10[[#This Row],[TARIFA]]) - SUM(Tabla10[[#This Row],[ALOJAMENTO]], Tabla10[[#This Row],[IMPOSTO]], Tabla10[[#This Row],[CARRO]])</f>
        <v>2524.2001399999999</v>
      </c>
      <c r="O4" s="7"/>
      <c r="P4" s="339"/>
    </row>
    <row r="5" spans="2:16" ht="18" hidden="1" customHeight="1" x14ac:dyDescent="0.35">
      <c r="B5" s="160" t="s">
        <v>7001</v>
      </c>
      <c r="C5" s="1" t="str">
        <f>IF(D5="", "", INDEX(Colaboradores!A:A, MATCH(D5,Colaboradores!C:C, 0)))</f>
        <v>E0388</v>
      </c>
      <c r="D5" s="338" t="s">
        <v>172</v>
      </c>
      <c r="E5" s="249">
        <v>45762</v>
      </c>
      <c r="F5" s="249">
        <v>46052</v>
      </c>
      <c r="G5" s="160">
        <f>IFERROR(VLOOKUP(Tabla10[[#This Row],[COD]],'TotalHorasAjustadas (2)'!D:L,8,FALSE),"")</f>
        <v>181</v>
      </c>
      <c r="H5" s="339">
        <f>IFERROR(VLOOKUP(Tabla10[[#This Row],[COD]],Tabla15[],4,FALSE),"")</f>
        <v>15</v>
      </c>
      <c r="I5" s="339" t="str">
        <f>IFERROR(VLOOKUP(Tabla10[[#This Row],[COD]],Alojamentos!B:P,11,FALSE),"")</f>
        <v/>
      </c>
      <c r="J5" s="160">
        <f>IF(ISBLANK(Tabla10[[#This Row],[INICIO VINCULO]]), 0, MAX(0, MIN(IF(ISBLANK(Tabla10[[#This Row],[FIM VINCULO]]), DATE(2026,1,31), Tabla10[[#This Row],[FIM VINCULO]]), DATE(2026,1,31)) - MAX(Tabla10[[#This Row],[INICIO VINCULO]], DATE(2026,1,1)) + 1))</f>
        <v>30</v>
      </c>
      <c r="K5" s="339">
        <f>7.05806*Tabla10[[#This Row],[DIAS DE ALTA]]</f>
        <v>211.74180000000001</v>
      </c>
      <c r="L5" s="339" t="str">
        <f>IFERROR(VLOOKUP(Tabla10[[#This Row],[COD]],Carro!B:D,3,FALSE),"")</f>
        <v/>
      </c>
      <c r="M5" s="339" t="str">
        <f>IFERROR(VLOOKUP(Tabla10[[#This Row],[COD]],'Outros descontos'!B:P,15,FALSE),"")</f>
        <v/>
      </c>
      <c r="N5" s="7">
        <f>(Tabla10[[#This Row],[HORAS TRABALHADAS]]*Tabla10[[#This Row],[TARIFA]]) - SUM(Tabla10[[#This Row],[ALOJAMENTO]], Tabla10[[#This Row],[IMPOSTO]], Tabla10[[#This Row],[CARRO]])</f>
        <v>2503.2582000000002</v>
      </c>
      <c r="O5" s="7"/>
      <c r="P5" s="339"/>
    </row>
    <row r="6" spans="2:16" ht="18" hidden="1" customHeight="1" x14ac:dyDescent="0.35">
      <c r="B6" s="160" t="s">
        <v>7002</v>
      </c>
      <c r="C6" s="1" t="str">
        <f>IF(D6="", "", INDEX(Colaboradores!A:A, MATCH(D6,Colaboradores!C:C, 0)))</f>
        <v>E2098</v>
      </c>
      <c r="D6" s="338" t="s">
        <v>211</v>
      </c>
      <c r="E6" s="249">
        <v>46051</v>
      </c>
      <c r="F6" s="249"/>
      <c r="G6" s="160">
        <f>IFERROR(VLOOKUP(Tabla10[[#This Row],[COD]],'TotalHorasAjustadas (2)'!D:L,8,FALSE),"")</f>
        <v>23</v>
      </c>
      <c r="H6" s="339">
        <v>15</v>
      </c>
      <c r="I6" s="339" t="str">
        <f>IFERROR(VLOOKUP(Tabla10[[#This Row],[COD]],Alojamentos!B:P,11,FALSE),"")</f>
        <v/>
      </c>
      <c r="J6" s="160">
        <f>IF(ISBLANK(Tabla10[[#This Row],[INICIO VINCULO]]), 0, MAX(0, MIN(IF(ISBLANK(Tabla10[[#This Row],[FIM VINCULO]]), DATE(2026,1,31), Tabla10[[#This Row],[FIM VINCULO]]), DATE(2026,1,31)) - MAX(Tabla10[[#This Row],[INICIO VINCULO]], DATE(2026,1,1)) + 1))</f>
        <v>3</v>
      </c>
      <c r="K6" s="339">
        <f>7.05806*Tabla10[[#This Row],[DIAS DE ALTA]]</f>
        <v>21.17418</v>
      </c>
      <c r="L6" s="339">
        <f>IFERROR(VLOOKUP(Tabla10[[#This Row],[COD]],Carro!B:D,3,FALSE),"")</f>
        <v>10</v>
      </c>
      <c r="M6" s="339" t="str">
        <f>IFERROR(VLOOKUP(Tabla10[[#This Row],[COD]],'Outros descontos'!B:P,15,FALSE),"")</f>
        <v/>
      </c>
      <c r="N6" s="7">
        <f>(Tabla10[[#This Row],[HORAS TRABALHADAS]]*Tabla10[[#This Row],[TARIFA]]) - SUM(Tabla10[[#This Row],[ALOJAMENTO]], Tabla10[[#This Row],[IMPOSTO]], Tabla10[[#This Row],[CARRO]])</f>
        <v>313.82582000000002</v>
      </c>
      <c r="O6" s="7"/>
      <c r="P6" s="339"/>
    </row>
    <row r="7" spans="2:16" ht="18" hidden="1" customHeight="1" x14ac:dyDescent="0.35">
      <c r="B7" s="160" t="s">
        <v>7000</v>
      </c>
      <c r="C7" s="1" t="str">
        <f>IF(D7="", "", INDEX(Colaboradores!A:A, MATCH(D7,Colaboradores!C:C, 0)))</f>
        <v>E0386</v>
      </c>
      <c r="D7" s="239" t="s">
        <v>218</v>
      </c>
      <c r="E7" s="249">
        <v>45939</v>
      </c>
      <c r="F7" s="249"/>
      <c r="G7" s="160">
        <f>IFERROR(VLOOKUP(Tabla10[[#This Row],[COD]],'TotalHorasAjustadas (2)'!D:L,8,FALSE),"")</f>
        <v>188.5</v>
      </c>
      <c r="H7" s="339">
        <f>IFERROR(VLOOKUP(Tabla10[[#This Row],[COD]],Tabla15[],4,FALSE),"")</f>
        <v>12</v>
      </c>
      <c r="I7" s="339" t="str">
        <f>IFERROR(VLOOKUP(Tabla10[[#This Row],[COD]],Alojamentos!B:P,11,FALSE),"")</f>
        <v/>
      </c>
      <c r="J7" s="160">
        <f>IF(ISBLANK(Tabla10[[#This Row],[INICIO VINCULO]]), 0, MAX(0, MIN(IF(ISBLANK(Tabla10[[#This Row],[FIM VINCULO]]), DATE(2026,1,31), Tabla10[[#This Row],[FIM VINCULO]]), DATE(2026,1,31)) - MAX(Tabla10[[#This Row],[INICIO VINCULO]], DATE(2026,1,1)) + 1))</f>
        <v>31</v>
      </c>
      <c r="K7" s="339">
        <f>7.05806*Tabla10[[#This Row],[DIAS DE ALTA]]</f>
        <v>218.79986</v>
      </c>
      <c r="L7" s="339" t="str">
        <f>IFERROR(VLOOKUP(Tabla10[[#This Row],[COD]],Carro!B:D,3,FALSE),"")</f>
        <v/>
      </c>
      <c r="M7" s="339" t="str">
        <f>IFERROR(VLOOKUP(Tabla10[[#This Row],[COD]],'Outros descontos'!B:P,15,FALSE),"")</f>
        <v/>
      </c>
      <c r="N7" s="7">
        <f>(Tabla10[[#This Row],[HORAS TRABALHADAS]]*Tabla10[[#This Row],[TARIFA]]) - SUM(Tabla10[[#This Row],[ALOJAMENTO]], Tabla10[[#This Row],[IMPOSTO]], Tabla10[[#This Row],[CARRO]])</f>
        <v>2043.2001399999999</v>
      </c>
      <c r="O7" s="7"/>
      <c r="P7" s="339"/>
    </row>
    <row r="8" spans="2:16" ht="18" hidden="1" customHeight="1" x14ac:dyDescent="0.35">
      <c r="B8" s="160" t="s">
        <v>7002</v>
      </c>
      <c r="C8" s="1" t="str">
        <f>IF(D8="", "", INDEX(Colaboradores!A:A, MATCH(D8,Colaboradores!C:C, 0)))</f>
        <v>E0254</v>
      </c>
      <c r="D8" s="338" t="s">
        <v>269</v>
      </c>
      <c r="E8" s="249">
        <v>46030</v>
      </c>
      <c r="F8" s="249"/>
      <c r="G8" s="160">
        <f>IFERROR(VLOOKUP(Tabla10[[#This Row],[COD]],'TotalHorasAjustadas (2)'!D:L,8,FALSE),"")</f>
        <v>171</v>
      </c>
      <c r="H8" s="339">
        <v>15</v>
      </c>
      <c r="I8" s="339">
        <f>IFERROR(VLOOKUP(Tabla10[[#This Row],[COD]],Alojamentos!B:P,11,FALSE),"")</f>
        <v>240</v>
      </c>
      <c r="J8" s="160">
        <f>IF(ISBLANK(Tabla10[[#This Row],[INICIO VINCULO]]), 0, MAX(0, MIN(IF(ISBLANK(Tabla10[[#This Row],[FIM VINCULO]]), DATE(2026,1,31), Tabla10[[#This Row],[FIM VINCULO]]), DATE(2026,1,31)) - MAX(Tabla10[[#This Row],[INICIO VINCULO]], DATE(2026,1,1)) + 1))</f>
        <v>24</v>
      </c>
      <c r="K8" s="339">
        <f>7.05806*Tabla10[[#This Row],[DIAS DE ALTA]]</f>
        <v>169.39344</v>
      </c>
      <c r="L8" s="339" t="str">
        <f>IFERROR(VLOOKUP(Tabla10[[#This Row],[COD]],Carro!B:D,3,FALSE),"")</f>
        <v/>
      </c>
      <c r="M8" s="339" t="str">
        <f>IFERROR(VLOOKUP(Tabla10[[#This Row],[COD]],'Outros descontos'!B:P,15,FALSE),"")</f>
        <v/>
      </c>
      <c r="N8" s="7">
        <f>(Tabla10[[#This Row],[HORAS TRABALHADAS]]*Tabla10[[#This Row],[TARIFA]]) - SUM(Tabla10[[#This Row],[ALOJAMENTO]], Tabla10[[#This Row],[IMPOSTO]], Tabla10[[#This Row],[CARRO]])</f>
        <v>2155.6065600000002</v>
      </c>
      <c r="O8" s="7"/>
      <c r="P8" s="339"/>
    </row>
    <row r="9" spans="2:16" ht="18" hidden="1" customHeight="1" x14ac:dyDescent="0.35">
      <c r="B9" s="160" t="s">
        <v>7001</v>
      </c>
      <c r="C9" s="1" t="str">
        <f>IF(D9="", "", INDEX(Colaboradores!A:A, MATCH(D9,Colaboradores!C:C, 0)))</f>
        <v>E0166</v>
      </c>
      <c r="D9" s="338" t="s">
        <v>305</v>
      </c>
      <c r="E9" s="249">
        <v>45762</v>
      </c>
      <c r="F9" s="249">
        <v>46053</v>
      </c>
      <c r="G9" s="160">
        <f>IFERROR(VLOOKUP(Tabla10[[#This Row],[COD]],'TotalHorasAjustadas (2)'!D:L,8,FALSE),"")</f>
        <v>144</v>
      </c>
      <c r="H9" s="339">
        <f>IFERROR(VLOOKUP(Tabla10[[#This Row],[COD]],Tabla15[],4,FALSE),"")</f>
        <v>17</v>
      </c>
      <c r="I9" s="339" t="str">
        <f>IFERROR(VLOOKUP(Tabla10[[#This Row],[COD]],Alojamentos!B:P,11,FALSE),"")</f>
        <v/>
      </c>
      <c r="J9" s="160">
        <f>IF(ISBLANK(Tabla10[[#This Row],[INICIO VINCULO]]), 0, MAX(0, MIN(IF(ISBLANK(Tabla10[[#This Row],[FIM VINCULO]]), DATE(2026,1,31), Tabla10[[#This Row],[FIM VINCULO]]), DATE(2026,1,31)) - MAX(Tabla10[[#This Row],[INICIO VINCULO]], DATE(2026,1,1)) + 1))</f>
        <v>31</v>
      </c>
      <c r="K9" s="339">
        <f>7.05806*Tabla10[[#This Row],[DIAS DE ALTA]]</f>
        <v>218.79986</v>
      </c>
      <c r="L9" s="339" t="str">
        <f>IFERROR(VLOOKUP(Tabla10[[#This Row],[COD]],Carro!B:D,3,FALSE),"")</f>
        <v/>
      </c>
      <c r="M9" s="339" t="str">
        <f>IFERROR(VLOOKUP(Tabla10[[#This Row],[COD]],'Outros descontos'!B:P,15,FALSE),"")</f>
        <v/>
      </c>
      <c r="N9" s="7">
        <f>(Tabla10[[#This Row],[HORAS TRABALHADAS]]*Tabla10[[#This Row],[TARIFA]]) - SUM(Tabla10[[#This Row],[ALOJAMENTO]], Tabla10[[#This Row],[IMPOSTO]], Tabla10[[#This Row],[CARRO]])</f>
        <v>2229.2001399999999</v>
      </c>
      <c r="O9" s="7"/>
      <c r="P9" s="339"/>
    </row>
    <row r="10" spans="2:16" ht="18" hidden="1" customHeight="1" x14ac:dyDescent="0.35">
      <c r="B10" s="160" t="s">
        <v>6999</v>
      </c>
      <c r="C10" s="1" t="str">
        <f>IF(D10="", "", INDEX(Colaboradores!A:A, MATCH(D10,Colaboradores!C:C, 0)))</f>
        <v>E2079</v>
      </c>
      <c r="D10" s="338" t="s">
        <v>317</v>
      </c>
      <c r="E10" s="249">
        <v>45827</v>
      </c>
      <c r="F10" s="249">
        <v>46052</v>
      </c>
      <c r="G10" s="160">
        <f>IFERROR(VLOOKUP(Tabla10[[#This Row],[COD]],'TotalHorasAjustadas (2)'!D:L,8,FALSE),"")</f>
        <v>144</v>
      </c>
      <c r="H10" s="339">
        <v>15</v>
      </c>
      <c r="I10" s="339">
        <f>IFERROR(VLOOKUP(Tabla10[[#This Row],[COD]],Alojamentos!B:P,11,FALSE),"")</f>
        <v>300</v>
      </c>
      <c r="J10" s="160">
        <f>IF(ISBLANK(Tabla10[[#This Row],[INICIO VINCULO]]), 0, MAX(0, MIN(IF(ISBLANK(Tabla10[[#This Row],[FIM VINCULO]]), DATE(2026,1,31), Tabla10[[#This Row],[FIM VINCULO]]), DATE(2026,1,31)) - MAX(Tabla10[[#This Row],[INICIO VINCULO]], DATE(2026,1,1)) + 1))</f>
        <v>30</v>
      </c>
      <c r="K10" s="339">
        <f>7.05806*Tabla10[[#This Row],[DIAS DE ALTA]]</f>
        <v>211.74180000000001</v>
      </c>
      <c r="L10" s="339" t="str">
        <f>IFERROR(VLOOKUP(Tabla10[[#This Row],[COD]],Carro!B:D,3,FALSE),"")</f>
        <v/>
      </c>
      <c r="M10" s="339" t="str">
        <f>IFERROR(VLOOKUP(Tabla10[[#This Row],[COD]],'Outros descontos'!B:P,15,FALSE),"")</f>
        <v/>
      </c>
      <c r="N10" s="7">
        <f>(Tabla10[[#This Row],[HORAS TRABALHADAS]]*Tabla10[[#This Row],[TARIFA]]) - SUM(Tabla10[[#This Row],[ALOJAMENTO]], Tabla10[[#This Row],[IMPOSTO]], Tabla10[[#This Row],[CARRO]])</f>
        <v>1648.2582</v>
      </c>
      <c r="O10" s="7"/>
      <c r="P10" s="339"/>
    </row>
    <row r="11" spans="2:16" ht="18" hidden="1" customHeight="1" x14ac:dyDescent="0.35">
      <c r="B11" s="160" t="s">
        <v>7000</v>
      </c>
      <c r="C11" s="347"/>
      <c r="D11" s="239" t="s">
        <v>7003</v>
      </c>
      <c r="E11" s="249">
        <v>45819</v>
      </c>
      <c r="F11" s="249"/>
      <c r="G11" s="160">
        <v>160</v>
      </c>
      <c r="H11" s="339">
        <v>0</v>
      </c>
      <c r="I11" s="339" t="str">
        <f>IFERROR(VLOOKUP(Tabla10[[#This Row],[COD]],Alojamentos!B:P,11,FALSE),"")</f>
        <v/>
      </c>
      <c r="J11" s="160">
        <f>IF(ISBLANK(Tabla10[[#This Row],[INICIO VINCULO]]), 0, MAX(0, MIN(IF(ISBLANK(Tabla10[[#This Row],[FIM VINCULO]]), DATE(2026,1,31), Tabla10[[#This Row],[FIM VINCULO]]), DATE(2026,1,31)) - MAX(Tabla10[[#This Row],[INICIO VINCULO]], DATE(2026,1,1)) + 1))</f>
        <v>31</v>
      </c>
      <c r="K11" s="339">
        <v>0</v>
      </c>
      <c r="L11" s="339" t="str">
        <f>IFERROR(VLOOKUP(Tabla10[[#This Row],[COD]],Carro!B:D,3,FALSE),"")</f>
        <v/>
      </c>
      <c r="M11" s="339" t="str">
        <f>IFERROR(VLOOKUP(Tabla10[[#This Row],[COD]],'Outros descontos'!B:P,15,FALSE),"")</f>
        <v/>
      </c>
      <c r="N11" s="7">
        <v>1528.13</v>
      </c>
      <c r="O11" s="7"/>
      <c r="P11" s="339"/>
    </row>
    <row r="12" spans="2:16" ht="18" hidden="1" customHeight="1" x14ac:dyDescent="0.35">
      <c r="B12" s="160" t="s">
        <v>7000</v>
      </c>
      <c r="C12" s="1" t="str">
        <f>IF(D12="", "", INDEX(Colaboradores!A:A, MATCH(D12,Colaboradores!C:C, 0)))</f>
        <v>E0500</v>
      </c>
      <c r="D12" s="239" t="s">
        <v>372</v>
      </c>
      <c r="E12" s="249">
        <v>45896</v>
      </c>
      <c r="F12" s="249"/>
      <c r="G12" s="160">
        <v>208.5</v>
      </c>
      <c r="H12" s="339">
        <f>IFERROR(VLOOKUP(Tabla10[[#This Row],[COD]],Tabla15[],4,FALSE),"")</f>
        <v>15</v>
      </c>
      <c r="I12" s="339" t="str">
        <f>IFERROR(VLOOKUP(Tabla10[[#This Row],[COD]],Alojamentos!B:P,11,FALSE),"")</f>
        <v/>
      </c>
      <c r="J12" s="160">
        <f>IF(ISBLANK(Tabla10[[#This Row],[INICIO VINCULO]]), 0, MAX(0, MIN(IF(ISBLANK(Tabla10[[#This Row],[FIM VINCULO]]), DATE(2026,1,31), Tabla10[[#This Row],[FIM VINCULO]]), DATE(2026,1,31)) - MAX(Tabla10[[#This Row],[INICIO VINCULO]], DATE(2026,1,1)) + 1))</f>
        <v>31</v>
      </c>
      <c r="K12" s="339">
        <f>7.05806*Tabla10[[#This Row],[DIAS DE ALTA]]</f>
        <v>218.79986</v>
      </c>
      <c r="L12" s="339">
        <f>IFERROR(VLOOKUP(Tabla10[[#This Row],[COD]],Carro!B:D,3,FALSE),"")</f>
        <v>140</v>
      </c>
      <c r="M12" s="339" t="str">
        <f>IFERROR(VLOOKUP(Tabla10[[#This Row],[COD]],'Outros descontos'!B:P,15,FALSE),"")</f>
        <v/>
      </c>
      <c r="N12" s="7">
        <f>(Tabla10[[#This Row],[HORAS TRABALHADAS]]*Tabla10[[#This Row],[TARIFA]]) - SUM(Tabla10[[#This Row],[ALOJAMENTO]], Tabla10[[#This Row],[IMPOSTO]], Tabla10[[#This Row],[CARRO]])</f>
        <v>2768.7001399999999</v>
      </c>
      <c r="O12" s="7"/>
      <c r="P12" s="339"/>
    </row>
    <row r="13" spans="2:16" ht="18" hidden="1" customHeight="1" x14ac:dyDescent="0.35">
      <c r="B13" s="160" t="s">
        <v>6999</v>
      </c>
      <c r="C13" s="1" t="str">
        <f>IF(D13="", "", INDEX(Colaboradores!A:A, MATCH(D13,Colaboradores!C:C, 0)))</f>
        <v>E0359</v>
      </c>
      <c r="D13" s="338" t="s">
        <v>393</v>
      </c>
      <c r="E13" s="249">
        <v>45852</v>
      </c>
      <c r="F13" s="249">
        <v>46052</v>
      </c>
      <c r="G13" s="160">
        <f>IFERROR(VLOOKUP(Tabla10[[#This Row],[COD]],'TotalHorasAjustadas (2)'!D:L,8,FALSE),"")</f>
        <v>133</v>
      </c>
      <c r="H13" s="339">
        <f>IFERROR(VLOOKUP(Tabla10[[#This Row],[COD]],Tabla15[],4,FALSE),"")</f>
        <v>15</v>
      </c>
      <c r="I13" s="339">
        <f>IFERROR(VLOOKUP(Tabla10[[#This Row],[COD]],Alojamentos!B:P,11,FALSE),"")</f>
        <v>300</v>
      </c>
      <c r="J13" s="160">
        <f>IF(ISBLANK(Tabla10[[#This Row],[INICIO VINCULO]]), 0, MAX(0, MIN(IF(ISBLANK(Tabla10[[#This Row],[FIM VINCULO]]), DATE(2026,1,31), Tabla10[[#This Row],[FIM VINCULO]]), DATE(2026,1,31)) - MAX(Tabla10[[#This Row],[INICIO VINCULO]], DATE(2026,1,1)) + 1))</f>
        <v>30</v>
      </c>
      <c r="K13" s="339">
        <f>7.05806*Tabla10[[#This Row],[DIAS DE ALTA]]</f>
        <v>211.74180000000001</v>
      </c>
      <c r="L13" s="339" t="str">
        <f>IFERROR(VLOOKUP(Tabla10[[#This Row],[COD]],Carro!B:D,3,FALSE),"")</f>
        <v/>
      </c>
      <c r="M13" s="339" t="str">
        <f>IFERROR(VLOOKUP(Tabla10[[#This Row],[COD]],'Outros descontos'!B:P,15,FALSE),"")</f>
        <v/>
      </c>
      <c r="N13" s="7">
        <f>(Tabla10[[#This Row],[HORAS TRABALHADAS]]*Tabla10[[#This Row],[TARIFA]]) - SUM(Tabla10[[#This Row],[ALOJAMENTO]], Tabla10[[#This Row],[IMPOSTO]], Tabla10[[#This Row],[CARRO]])</f>
        <v>1483.2582</v>
      </c>
      <c r="O13" s="7"/>
      <c r="P13" s="339"/>
    </row>
    <row r="14" spans="2:16" ht="18" hidden="1" customHeight="1" x14ac:dyDescent="0.35">
      <c r="B14" s="160" t="s">
        <v>7000</v>
      </c>
      <c r="C14" s="1" t="str">
        <f>IF(D14="", "", INDEX(Colaboradores!A:A, MATCH(D14,Colaboradores!C:C, 0)))</f>
        <v>E0617</v>
      </c>
      <c r="D14" s="239" t="s">
        <v>404</v>
      </c>
      <c r="E14" s="249">
        <v>45945</v>
      </c>
      <c r="F14" s="249"/>
      <c r="G14" s="160">
        <f>IFERROR(VLOOKUP(Tabla10[[#This Row],[COD]],'TotalHorasAjustadas (2)'!D:L,8,FALSE),"")</f>
        <v>268</v>
      </c>
      <c r="H14" s="339">
        <f>IFERROR(VLOOKUP(Tabla10[[#This Row],[COD]],Tabla15[],4,FALSE),"")</f>
        <v>15</v>
      </c>
      <c r="I14" s="339" t="str">
        <f>IFERROR(VLOOKUP(Tabla10[[#This Row],[COD]],Alojamentos!B:P,11,FALSE),"")</f>
        <v/>
      </c>
      <c r="J14" s="160">
        <f>IF(ISBLANK(Tabla10[[#This Row],[INICIO VINCULO]]), 0, MAX(0, MIN(IF(ISBLANK(Tabla10[[#This Row],[FIM VINCULO]]), DATE(2026,1,31), Tabla10[[#This Row],[FIM VINCULO]]), DATE(2026,1,31)) - MAX(Tabla10[[#This Row],[INICIO VINCULO]], DATE(2026,1,1)) + 1))</f>
        <v>31</v>
      </c>
      <c r="K14" s="339">
        <f>7.05806*Tabla10[[#This Row],[DIAS DE ALTA]]</f>
        <v>218.79986</v>
      </c>
      <c r="L14" s="339">
        <f>IFERROR(VLOOKUP(Tabla10[[#This Row],[COD]],Carro!B:D,3,FALSE),"")</f>
        <v>66.666666666666657</v>
      </c>
      <c r="M14" s="339">
        <f>IFERROR(VLOOKUP(Tabla10[[#This Row],[COD]],'Outros descontos'!B:P,15,FALSE),"")</f>
        <v>148.97</v>
      </c>
      <c r="N14" s="7">
        <f>(Tabla10[[#This Row],[HORAS TRABALHADAS]]*Tabla10[[#This Row],[TARIFA]]) - SUM(Tabla10[[#This Row],[ALOJAMENTO]], Tabla10[[#This Row],[IMPOSTO]], Tabla10[[#This Row],[CARRO]],Tabla10[[#This Row],[OUTROS DEScontos]])</f>
        <v>3585.5634733333336</v>
      </c>
      <c r="O14" s="7"/>
      <c r="P14" s="339"/>
    </row>
    <row r="15" spans="2:16" ht="18" hidden="1" customHeight="1" x14ac:dyDescent="0.35">
      <c r="B15" s="160" t="s">
        <v>6999</v>
      </c>
      <c r="C15" s="1" t="str">
        <f>IF(D15="", "", INDEX(Colaboradores!A:A, MATCH(D15,Colaboradores!C:C, 0)))</f>
        <v>E0195</v>
      </c>
      <c r="D15" s="338" t="s">
        <v>582</v>
      </c>
      <c r="E15" s="249">
        <v>45761</v>
      </c>
      <c r="F15" s="249">
        <v>46053</v>
      </c>
      <c r="G15" s="160">
        <f>IFERROR(VLOOKUP(Tabla10[[#This Row],[COD]],'TotalHorasAjustadas (2)'!D:L,8,FALSE),"")</f>
        <v>144</v>
      </c>
      <c r="H15" s="339">
        <f>IFERROR(VLOOKUP(Tabla10[[#This Row],[COD]],Tabla15[],4,FALSE),"")</f>
        <v>13</v>
      </c>
      <c r="I15" s="339">
        <f>IFERROR(VLOOKUP(Tabla10[[#This Row],[COD]],Alojamentos!B:P,11,FALSE),"")</f>
        <v>300</v>
      </c>
      <c r="J15" s="160">
        <f>IF(ISBLANK(Tabla10[[#This Row],[INICIO VINCULO]]), 0, MAX(0, MIN(IF(ISBLANK(Tabla10[[#This Row],[FIM VINCULO]]), DATE(2026,1,31), Tabla10[[#This Row],[FIM VINCULO]]), DATE(2026,1,31)) - MAX(Tabla10[[#This Row],[INICIO VINCULO]], DATE(2026,1,1)) + 1))</f>
        <v>31</v>
      </c>
      <c r="K15" s="339">
        <f>7.05806*Tabla10[[#This Row],[DIAS DE ALTA]]</f>
        <v>218.79986</v>
      </c>
      <c r="L15" s="339" t="str">
        <f>IFERROR(VLOOKUP(Tabla10[[#This Row],[COD]],Carro!B:D,3,FALSE),"")</f>
        <v/>
      </c>
      <c r="M15" s="339" t="str">
        <f>IFERROR(VLOOKUP(Tabla10[[#This Row],[COD]],'Outros descontos'!B:P,15,FALSE),"")</f>
        <v/>
      </c>
      <c r="N15" s="7">
        <f>(Tabla10[[#This Row],[HORAS TRABALHADAS]]*Tabla10[[#This Row],[TARIFA]]) - SUM(Tabla10[[#This Row],[ALOJAMENTO]], Tabla10[[#This Row],[IMPOSTO]], Tabla10[[#This Row],[CARRO]])</f>
        <v>1353.2001399999999</v>
      </c>
      <c r="O15" s="7"/>
      <c r="P15" s="339"/>
    </row>
    <row r="16" spans="2:16" ht="18" hidden="1" customHeight="1" x14ac:dyDescent="0.35">
      <c r="B16" s="160" t="s">
        <v>7000</v>
      </c>
      <c r="C16" s="1" t="str">
        <f>IF(D16="", "", INDEX(Colaboradores!A:A, MATCH(D16,Colaboradores!C:C, 0)))</f>
        <v>E1668</v>
      </c>
      <c r="D16" s="239" t="s">
        <v>643</v>
      </c>
      <c r="E16" s="249">
        <v>45945</v>
      </c>
      <c r="F16" s="249"/>
      <c r="G16" s="348">
        <v>165</v>
      </c>
      <c r="H16" s="339">
        <f>IFERROR(VLOOKUP(Tabla10[[#This Row],[COD]],Tabla15[],4,FALSE),"")</f>
        <v>15</v>
      </c>
      <c r="I16" s="339" t="str">
        <f>IFERROR(VLOOKUP(Tabla10[[#This Row],[COD]],Alojamentos!B:P,11,FALSE),"")</f>
        <v/>
      </c>
      <c r="J16" s="160">
        <f>IF(ISBLANK(Tabla10[[#This Row],[INICIO VINCULO]]), 0, MAX(0, MIN(IF(ISBLANK(Tabla10[[#This Row],[FIM VINCULO]]), DATE(2026,1,31), Tabla10[[#This Row],[FIM VINCULO]]), DATE(2026,1,31)) - MAX(Tabla10[[#This Row],[INICIO VINCULO]], DATE(2026,1,1)) + 1))</f>
        <v>31</v>
      </c>
      <c r="K16" s="339">
        <f>7.05806*Tabla10[[#This Row],[DIAS DE ALTA]]</f>
        <v>218.79986</v>
      </c>
      <c r="L16" s="339" t="str">
        <f>IFERROR(VLOOKUP(Tabla10[[#This Row],[COD]],Carro!B:D,3,FALSE),"")</f>
        <v/>
      </c>
      <c r="M16" s="339" t="str">
        <f>IFERROR(VLOOKUP(Tabla10[[#This Row],[COD]],'Outros descontos'!B:P,15,FALSE),"")</f>
        <v/>
      </c>
      <c r="N16" s="7">
        <f>(Tabla10[[#This Row],[HORAS TRABALHADAS]]*Tabla10[[#This Row],[TARIFA]]) - SUM(Tabla10[[#This Row],[ALOJAMENTO]], Tabla10[[#This Row],[IMPOSTO]], Tabla10[[#This Row],[CARRO]])</f>
        <v>2256.2001399999999</v>
      </c>
      <c r="O16" s="7"/>
      <c r="P16" s="339"/>
    </row>
    <row r="17" spans="2:16" ht="18" hidden="1" customHeight="1" x14ac:dyDescent="0.35">
      <c r="B17" s="160" t="s">
        <v>6999</v>
      </c>
      <c r="C17" s="1" t="str">
        <f>IF(D17="", "", INDEX(Colaboradores!A:A, MATCH(D17,Colaboradores!C:C, 0)))</f>
        <v>E0558</v>
      </c>
      <c r="D17" s="338" t="s">
        <v>658</v>
      </c>
      <c r="E17" s="249">
        <v>45761</v>
      </c>
      <c r="F17" s="249"/>
      <c r="G17" s="160">
        <f>IFERROR(VLOOKUP(Tabla10[[#This Row],[COD]],'TotalHorasAjustadas (2)'!D:L,8,FALSE),"")</f>
        <v>194</v>
      </c>
      <c r="H17" s="339">
        <f>IFERROR(VLOOKUP(Tabla10[[#This Row],[COD]],Tabla15[],4,FALSE),"")</f>
        <v>15</v>
      </c>
      <c r="I17" s="339" t="str">
        <f>IFERROR(VLOOKUP(Tabla10[[#This Row],[COD]],Alojamentos!B:P,11,FALSE),"")</f>
        <v/>
      </c>
      <c r="J17" s="160">
        <f>IF(ISBLANK(Tabla10[[#This Row],[INICIO VINCULO]]), 0, MAX(0, MIN(IF(ISBLANK(Tabla10[[#This Row],[FIM VINCULO]]), DATE(2026,1,31), Tabla10[[#This Row],[FIM VINCULO]]), DATE(2026,1,31)) - MAX(Tabla10[[#This Row],[INICIO VINCULO]], DATE(2026,1,1)) + 1))</f>
        <v>31</v>
      </c>
      <c r="K17" s="339">
        <f>7.05806*Tabla10[[#This Row],[DIAS DE ALTA]]</f>
        <v>218.79986</v>
      </c>
      <c r="L17" s="339" t="str">
        <f>IFERROR(VLOOKUP(Tabla10[[#This Row],[COD]],Carro!B:D,3,FALSE),"")</f>
        <v/>
      </c>
      <c r="M17" s="339" t="str">
        <f>IFERROR(VLOOKUP(Tabla10[[#This Row],[COD]],'Outros descontos'!B:P,15,FALSE),"")</f>
        <v/>
      </c>
      <c r="N17" s="7">
        <f>(Tabla10[[#This Row],[HORAS TRABALHADAS]]*Tabla10[[#This Row],[TARIFA]]) - SUM(Tabla10[[#This Row],[ALOJAMENTO]], Tabla10[[#This Row],[IMPOSTO]], Tabla10[[#This Row],[CARRO]])</f>
        <v>2691.2001399999999</v>
      </c>
      <c r="O17" s="7"/>
      <c r="P17" s="339"/>
    </row>
    <row r="18" spans="2:16" ht="18" hidden="1" customHeight="1" x14ac:dyDescent="0.35">
      <c r="B18" s="160" t="s">
        <v>7002</v>
      </c>
      <c r="C18" s="1" t="str">
        <f>IF(D18="", "", INDEX(Colaboradores!A:A, MATCH(D18,Colaboradores!C:C, 0)))</f>
        <v>E0622</v>
      </c>
      <c r="D18" s="338" t="s">
        <v>661</v>
      </c>
      <c r="E18" s="249">
        <v>45942</v>
      </c>
      <c r="F18" s="249"/>
      <c r="G18" s="160">
        <f>IFERROR(VLOOKUP(Tabla10[[#This Row],[COD]],'TotalHorasAjustadas (2)'!D:L,8,FALSE),"")</f>
        <v>210</v>
      </c>
      <c r="H18" s="339">
        <f>IFERROR(VLOOKUP(Tabla10[[#This Row],[COD]],Tabla15[],4,FALSE),"")</f>
        <v>15</v>
      </c>
      <c r="I18" s="339" t="str">
        <f>IFERROR(VLOOKUP(Tabla10[[#This Row],[COD]],Alojamentos!B:P,11,FALSE),"")</f>
        <v/>
      </c>
      <c r="J18" s="160">
        <f>IF(ISBLANK(Tabla10[[#This Row],[INICIO VINCULO]]), 0, MAX(0, MIN(IF(ISBLANK(Tabla10[[#This Row],[FIM VINCULO]]), DATE(2026,1,31), Tabla10[[#This Row],[FIM VINCULO]]), DATE(2026,1,31)) - MAX(Tabla10[[#This Row],[INICIO VINCULO]], DATE(2026,1,1)) + 1))</f>
        <v>31</v>
      </c>
      <c r="K18" s="339">
        <f>7.05806*Tabla10[[#This Row],[DIAS DE ALTA]]</f>
        <v>218.79986</v>
      </c>
      <c r="L18" s="339">
        <f>IFERROR(VLOOKUP(Tabla10[[#This Row],[COD]],Carro!B:D,3,FALSE),"")</f>
        <v>102.66</v>
      </c>
      <c r="M18" s="339">
        <f>IFERROR(VLOOKUP(Tabla10[[#This Row],[COD]],'Outros descontos'!B:P,15,FALSE),"")</f>
        <v>53.16</v>
      </c>
      <c r="N18" s="7">
        <f>(Tabla10[[#This Row],[HORAS TRABALHADAS]]*Tabla10[[#This Row],[TARIFA]]) - SUM(Tabla10[[#This Row],[ALOJAMENTO]], Tabla10[[#This Row],[IMPOSTO]], Tabla10[[#This Row],[CARRO]],Tabla10[[#This Row],[OUTROS DEScontos]])</f>
        <v>2775.3801400000002</v>
      </c>
      <c r="O18" s="7"/>
      <c r="P18" s="339"/>
    </row>
    <row r="19" spans="2:16" ht="18" hidden="1" customHeight="1" x14ac:dyDescent="0.35">
      <c r="B19" s="160" t="s">
        <v>7000</v>
      </c>
      <c r="C19" s="347"/>
      <c r="D19" s="239" t="s">
        <v>7004</v>
      </c>
      <c r="E19" s="249">
        <v>45819</v>
      </c>
      <c r="F19" s="249"/>
      <c r="G19" s="348">
        <v>160</v>
      </c>
      <c r="H19" s="339">
        <v>0</v>
      </c>
      <c r="I19" s="339" t="str">
        <f>IFERROR(VLOOKUP(Tabla10[[#This Row],[COD]],Alojamentos!B:P,11,FALSE),"")</f>
        <v/>
      </c>
      <c r="J19" s="160">
        <f>IF(ISBLANK(Tabla10[[#This Row],[INICIO VINCULO]]), 0, MAX(0, MIN(IF(ISBLANK(Tabla10[[#This Row],[FIM VINCULO]]), DATE(2026,1,31), Tabla10[[#This Row],[FIM VINCULO]]), DATE(2026,1,31)) - MAX(Tabla10[[#This Row],[INICIO VINCULO]], DATE(2026,1,1)) + 1))</f>
        <v>31</v>
      </c>
      <c r="K19" s="339">
        <v>0</v>
      </c>
      <c r="L19" s="339" t="str">
        <f>IFERROR(VLOOKUP(Tabla10[[#This Row],[COD]],Carro!B:D,3,FALSE),"")</f>
        <v/>
      </c>
      <c r="M19" s="339" t="str">
        <f>IFERROR(VLOOKUP(Tabla10[[#This Row],[COD]],'Outros descontos'!B:P,15,FALSE),"")</f>
        <v/>
      </c>
      <c r="N19" s="7">
        <v>2337.5</v>
      </c>
      <c r="O19" s="7"/>
      <c r="P19" s="339"/>
    </row>
    <row r="20" spans="2:16" ht="18" hidden="1" customHeight="1" x14ac:dyDescent="0.35">
      <c r="B20" s="160" t="s">
        <v>7001</v>
      </c>
      <c r="C20" s="1" t="str">
        <f>IF(D20="", "", INDEX(Colaboradores!A:A, MATCH(D20,Colaboradores!C:C, 0)))</f>
        <v>E0277</v>
      </c>
      <c r="D20" s="338" t="s">
        <v>697</v>
      </c>
      <c r="E20" s="249">
        <v>45762</v>
      </c>
      <c r="F20" s="249">
        <v>46053</v>
      </c>
      <c r="G20" s="160">
        <f>IFERROR(VLOOKUP(Tabla10[[#This Row],[COD]],'TotalHorasAjustadas (2)'!D:L,8,FALSE),"")</f>
        <v>201</v>
      </c>
      <c r="H20" s="339">
        <f>IFERROR(VLOOKUP(Tabla10[[#This Row],[COD]],Tabla15[],4,FALSE),"")</f>
        <v>15</v>
      </c>
      <c r="I20" s="339" t="str">
        <f>IFERROR(VLOOKUP(Tabla10[[#This Row],[COD]],Alojamentos!B:P,11,FALSE),"")</f>
        <v/>
      </c>
      <c r="J20" s="160">
        <f>IF(ISBLANK(Tabla10[[#This Row],[INICIO VINCULO]]), 0, MAX(0, MIN(IF(ISBLANK(Tabla10[[#This Row],[FIM VINCULO]]), DATE(2026,1,31), Tabla10[[#This Row],[FIM VINCULO]]), DATE(2026,1,31)) - MAX(Tabla10[[#This Row],[INICIO VINCULO]], DATE(2026,1,1)) + 1))</f>
        <v>31</v>
      </c>
      <c r="K20" s="339">
        <f>7.05806*Tabla10[[#This Row],[DIAS DE ALTA]]</f>
        <v>218.79986</v>
      </c>
      <c r="L20" s="339">
        <f>IFERROR(VLOOKUP(Tabla10[[#This Row],[COD]],Carro!B:D,3,FALSE),"")</f>
        <v>145</v>
      </c>
      <c r="M20" s="339" t="str">
        <f>IFERROR(VLOOKUP(Tabla10[[#This Row],[COD]],'Outros descontos'!B:P,15,FALSE),"")</f>
        <v/>
      </c>
      <c r="N20" s="7">
        <f>(Tabla10[[#This Row],[HORAS TRABALHADAS]]*Tabla10[[#This Row],[TARIFA]]) - SUM(Tabla10[[#This Row],[ALOJAMENTO]], Tabla10[[#This Row],[IMPOSTO]], Tabla10[[#This Row],[CARRO]])</f>
        <v>2651.2001399999999</v>
      </c>
      <c r="O20" s="7"/>
      <c r="P20" s="339"/>
    </row>
    <row r="21" spans="2:16" ht="18" hidden="1" customHeight="1" x14ac:dyDescent="0.35">
      <c r="B21" s="160" t="s">
        <v>6999</v>
      </c>
      <c r="C21" s="1" t="str">
        <f>IF(D21="", "", INDEX(Colaboradores!A:A, MATCH(D21,Colaboradores!C:C, 0)))</f>
        <v>E0396</v>
      </c>
      <c r="D21" s="338" t="s">
        <v>774</v>
      </c>
      <c r="E21" s="249">
        <v>45880</v>
      </c>
      <c r="F21" s="249">
        <v>46052</v>
      </c>
      <c r="G21" s="160">
        <f>IFERROR(VLOOKUP(Tabla10[[#This Row],[COD]],'TotalHorasAjustadas (2)'!D:L,8,FALSE),"")</f>
        <v>143</v>
      </c>
      <c r="H21" s="339">
        <f>IFERROR(VLOOKUP(Tabla10[[#This Row],[COD]],Tabla15[],4,FALSE),"")</f>
        <v>15</v>
      </c>
      <c r="I21" s="339">
        <f>IFERROR(VLOOKUP(Tabla10[[#This Row],[COD]],Alojamentos!B:P,11,FALSE),"")</f>
        <v>300</v>
      </c>
      <c r="J21" s="160">
        <f>IF(ISBLANK(Tabla10[[#This Row],[INICIO VINCULO]]), 0, MAX(0, MIN(IF(ISBLANK(Tabla10[[#This Row],[FIM VINCULO]]), DATE(2026,1,31), Tabla10[[#This Row],[FIM VINCULO]]), DATE(2026,1,31)) - MAX(Tabla10[[#This Row],[INICIO VINCULO]], DATE(2026,1,1)) + 1))</f>
        <v>30</v>
      </c>
      <c r="K21" s="339">
        <f>7.05806*Tabla10[[#This Row],[DIAS DE ALTA]]</f>
        <v>211.74180000000001</v>
      </c>
      <c r="L21" s="339" t="str">
        <f>IFERROR(VLOOKUP(Tabla10[[#This Row],[COD]],Carro!B:D,3,FALSE),"")</f>
        <v/>
      </c>
      <c r="M21" s="339" t="str">
        <f>IFERROR(VLOOKUP(Tabla10[[#This Row],[COD]],'Outros descontos'!B:P,15,FALSE),"")</f>
        <v/>
      </c>
      <c r="N21" s="7">
        <f>(Tabla10[[#This Row],[HORAS TRABALHADAS]]*Tabla10[[#This Row],[TARIFA]]) - SUM(Tabla10[[#This Row],[ALOJAMENTO]], Tabla10[[#This Row],[IMPOSTO]], Tabla10[[#This Row],[CARRO]])</f>
        <v>1633.2582</v>
      </c>
      <c r="O21" s="7"/>
      <c r="P21" s="339"/>
    </row>
    <row r="22" spans="2:16" ht="18" hidden="1" customHeight="1" x14ac:dyDescent="0.35">
      <c r="B22" s="160" t="s">
        <v>7002</v>
      </c>
      <c r="C22" s="1" t="str">
        <f>IF(D22="", "", INDEX(Colaboradores!A:A, MATCH(D22,Colaboradores!C:C, 0)))</f>
        <v>E1976</v>
      </c>
      <c r="D22" s="338" t="s">
        <v>827</v>
      </c>
      <c r="E22" s="249">
        <v>46048</v>
      </c>
      <c r="F22" s="249"/>
      <c r="G22" s="160">
        <f>IFERROR(VLOOKUP(Tabla10[[#This Row],[COD]],'TotalHorasAjustadas (2)'!D:L,8,FALSE),"")</f>
        <v>62</v>
      </c>
      <c r="H22" s="339">
        <v>15</v>
      </c>
      <c r="I22" s="339" t="str">
        <f>IFERROR(VLOOKUP(Tabla10[[#This Row],[COD]],Alojamentos!B:P,11,FALSE),"")</f>
        <v/>
      </c>
      <c r="J22" s="160">
        <f>IF(ISBLANK(Tabla10[[#This Row],[INICIO VINCULO]]), 0, MAX(0, MIN(IF(ISBLANK(Tabla10[[#This Row],[FIM VINCULO]]), DATE(2026,1,31), Tabla10[[#This Row],[FIM VINCULO]]), DATE(2026,1,31)) - MAX(Tabla10[[#This Row],[INICIO VINCULO]], DATE(2026,1,1)) + 1))</f>
        <v>6</v>
      </c>
      <c r="K22" s="339">
        <f>7.05806*Tabla10[[#This Row],[DIAS DE ALTA]]</f>
        <v>42.34836</v>
      </c>
      <c r="L22" s="339">
        <f>IFERROR(VLOOKUP(Tabla10[[#This Row],[COD]],Carro!B:D,3,FALSE),"")</f>
        <v>45</v>
      </c>
      <c r="M22" s="339" t="str">
        <f>IFERROR(VLOOKUP(Tabla10[[#This Row],[COD]],'Outros descontos'!B:P,15,FALSE),"")</f>
        <v/>
      </c>
      <c r="N22" s="7">
        <f>(Tabla10[[#This Row],[HORAS TRABALHADAS]]*Tabla10[[#This Row],[TARIFA]]) - SUM(Tabla10[[#This Row],[ALOJAMENTO]], Tabla10[[#This Row],[IMPOSTO]], Tabla10[[#This Row],[CARRO]])</f>
        <v>842.65164000000004</v>
      </c>
      <c r="O22" s="7"/>
      <c r="P22" s="339"/>
    </row>
    <row r="23" spans="2:16" ht="18" hidden="1" customHeight="1" x14ac:dyDescent="0.35">
      <c r="B23" s="160" t="s">
        <v>7002</v>
      </c>
      <c r="C23" s="348"/>
      <c r="D23" s="338" t="s">
        <v>7005</v>
      </c>
      <c r="E23" s="249">
        <v>45895</v>
      </c>
      <c r="F23" s="249"/>
      <c r="G23" s="348">
        <v>160</v>
      </c>
      <c r="H23" s="339">
        <v>0</v>
      </c>
      <c r="I23" s="339" t="str">
        <f>IFERROR(VLOOKUP(Tabla10[[#This Row],[COD]],Alojamentos!B:P,11,FALSE),"")</f>
        <v/>
      </c>
      <c r="J23" s="160">
        <f>IF(ISBLANK(Tabla10[[#This Row],[INICIO VINCULO]]), 0, MAX(0, MIN(IF(ISBLANK(Tabla10[[#This Row],[FIM VINCULO]]), DATE(2026,1,31), Tabla10[[#This Row],[FIM VINCULO]]), DATE(2026,1,31)) - MAX(Tabla10[[#This Row],[INICIO VINCULO]], DATE(2026,1,1)) + 1))</f>
        <v>31</v>
      </c>
      <c r="K23" s="339">
        <v>0</v>
      </c>
      <c r="L23" s="339" t="str">
        <f>IFERROR(VLOOKUP(Tabla10[[#This Row],[COD]],Carro!B:D,3,FALSE),"")</f>
        <v/>
      </c>
      <c r="M23" s="339" t="str">
        <f>IFERROR(VLOOKUP(Tabla10[[#This Row],[COD]],'Outros descontos'!B:P,15,FALSE),"")</f>
        <v/>
      </c>
      <c r="N23" s="7">
        <v>1420</v>
      </c>
      <c r="O23" s="7"/>
      <c r="P23" s="339"/>
    </row>
    <row r="24" spans="2:16" ht="18" hidden="1" customHeight="1" x14ac:dyDescent="0.35">
      <c r="B24" s="160" t="s">
        <v>7002</v>
      </c>
      <c r="C24" s="160" t="str">
        <f>IF(D24="", "", INDEX(Colaboradores!A:A, MATCH(D24,Colaboradores!C:C, 0)))</f>
        <v>E0144</v>
      </c>
      <c r="D24" s="338" t="s">
        <v>837</v>
      </c>
      <c r="E24" s="249">
        <v>45943</v>
      </c>
      <c r="F24" s="249"/>
      <c r="G24" s="160">
        <f>IFERROR(VLOOKUP(Tabla10[[#This Row],[COD]],'TotalHorasAjustadas (2)'!D:L,8,FALSE),"")</f>
        <v>204.5</v>
      </c>
      <c r="H24" s="339">
        <f>IFERROR(VLOOKUP(Tabla10[[#This Row],[COD]],Tabla15[],4,FALSE),"")</f>
        <v>15</v>
      </c>
      <c r="I24" s="339">
        <f>IFERROR(VLOOKUP(Tabla10[[#This Row],[COD]],Alojamentos!B:P,11,FALSE),"")</f>
        <v>300</v>
      </c>
      <c r="J24" s="160">
        <f>IF(ISBLANK(Tabla10[[#This Row],[INICIO VINCULO]]), 0, MAX(0, MIN(IF(ISBLANK(Tabla10[[#This Row],[FIM VINCULO]]), DATE(2026,1,31), Tabla10[[#This Row],[FIM VINCULO]]), DATE(2026,1,31)) - MAX(Tabla10[[#This Row],[INICIO VINCULO]], DATE(2026,1,1)) + 1))</f>
        <v>31</v>
      </c>
      <c r="K24" s="339">
        <f>7.05806*Tabla10[[#This Row],[DIAS DE ALTA]]</f>
        <v>218.79986</v>
      </c>
      <c r="L24" s="339" t="str">
        <f>IFERROR(VLOOKUP(Tabla10[[#This Row],[COD]],Carro!B:D,3,FALSE),"")</f>
        <v/>
      </c>
      <c r="M24" s="339" t="str">
        <f>IFERROR(VLOOKUP(Tabla10[[#This Row],[COD]],'Outros descontos'!B:P,15,FALSE),"")</f>
        <v/>
      </c>
      <c r="N24" s="7">
        <f>(Tabla10[[#This Row],[HORAS TRABALHADAS]]*Tabla10[[#This Row],[TARIFA]]) - SUM(Tabla10[[#This Row],[ALOJAMENTO]], Tabla10[[#This Row],[IMPOSTO]], Tabla10[[#This Row],[CARRO]])</f>
        <v>2548.7001399999999</v>
      </c>
      <c r="O24" s="7"/>
      <c r="P24" s="339"/>
    </row>
    <row r="25" spans="2:16" ht="18" hidden="1" customHeight="1" x14ac:dyDescent="0.35">
      <c r="B25" s="160" t="s">
        <v>6999</v>
      </c>
      <c r="C25" s="1" t="str">
        <f>IF(D25="", "", INDEX(Colaboradores!A:A, MATCH(D25,Colaboradores!C:C, 0)))</f>
        <v>E0553</v>
      </c>
      <c r="D25" s="338" t="s">
        <v>883</v>
      </c>
      <c r="E25" s="249">
        <v>45779</v>
      </c>
      <c r="F25" s="249">
        <v>46052</v>
      </c>
      <c r="G25" s="160">
        <f>IFERROR(VLOOKUP(Tabla10[[#This Row],[COD]],'TotalHorasAjustadas (2)'!D:L,8,FALSE),"")</f>
        <v>170</v>
      </c>
      <c r="H25" s="339">
        <f>IFERROR(VLOOKUP(Tabla10[[#This Row],[COD]],Tabla15[],4,FALSE),"")</f>
        <v>15</v>
      </c>
      <c r="I25" s="339" t="str">
        <f>IFERROR(VLOOKUP(Tabla10[[#This Row],[COD]],Alojamentos!B:P,11,FALSE),"")</f>
        <v/>
      </c>
      <c r="J25" s="160">
        <f>IF(ISBLANK(Tabla10[[#This Row],[INICIO VINCULO]]), 0, MAX(0, MIN(IF(ISBLANK(Tabla10[[#This Row],[FIM VINCULO]]), DATE(2026,1,31), Tabla10[[#This Row],[FIM VINCULO]]), DATE(2026,1,31)) - MAX(Tabla10[[#This Row],[INICIO VINCULO]], DATE(2026,1,1)) + 1))</f>
        <v>30</v>
      </c>
      <c r="K25" s="339">
        <f>7.05806*Tabla10[[#This Row],[DIAS DE ALTA]]</f>
        <v>211.74180000000001</v>
      </c>
      <c r="L25" s="339">
        <f>IFERROR(VLOOKUP(Tabla10[[#This Row],[COD]],Carro!B:D,3,FALSE),"")</f>
        <v>120</v>
      </c>
      <c r="M25" s="339" t="str">
        <f>IFERROR(VLOOKUP(Tabla10[[#This Row],[COD]],'Outros descontos'!B:P,15,FALSE),"")</f>
        <v/>
      </c>
      <c r="N25" s="7">
        <f>(Tabla10[[#This Row],[HORAS TRABALHADAS]]*Tabla10[[#This Row],[TARIFA]]) - SUM(Tabla10[[#This Row],[ALOJAMENTO]], Tabla10[[#This Row],[IMPOSTO]], Tabla10[[#This Row],[CARRO]])</f>
        <v>2218.2582000000002</v>
      </c>
      <c r="O25" s="7"/>
      <c r="P25" s="339"/>
    </row>
    <row r="26" spans="2:16" ht="18" hidden="1" customHeight="1" x14ac:dyDescent="0.35">
      <c r="B26" s="160" t="s">
        <v>7000</v>
      </c>
      <c r="C26" s="1" t="str">
        <f>IF(D26="", "", INDEX(Colaboradores!A:A, MATCH(D26,Colaboradores!C:C, 0)))</f>
        <v>E0801</v>
      </c>
      <c r="D26" s="239" t="s">
        <v>914</v>
      </c>
      <c r="E26" s="249">
        <v>45945</v>
      </c>
      <c r="F26" s="249"/>
      <c r="G26" s="160">
        <f>IFERROR(VLOOKUP(Tabla10[[#This Row],[COD]],'TotalHorasAjustadas (2)'!D:L,8,FALSE),"")</f>
        <v>268</v>
      </c>
      <c r="H26" s="339">
        <f>IFERROR(VLOOKUP(Tabla10[[#This Row],[COD]],Tabla15[],4,FALSE),"")</f>
        <v>15</v>
      </c>
      <c r="I26" s="339" t="str">
        <f>IFERROR(VLOOKUP(Tabla10[[#This Row],[COD]],Alojamentos!B:P,11,FALSE),"")</f>
        <v/>
      </c>
      <c r="J26" s="160">
        <f>IF(ISBLANK(Tabla10[[#This Row],[INICIO VINCULO]]), 0, MAX(0, MIN(IF(ISBLANK(Tabla10[[#This Row],[FIM VINCULO]]), DATE(2026,1,31), Tabla10[[#This Row],[FIM VINCULO]]), DATE(2026,1,31)) - MAX(Tabla10[[#This Row],[INICIO VINCULO]], DATE(2026,1,1)) + 1))</f>
        <v>31</v>
      </c>
      <c r="K26" s="339">
        <f>7.05806*Tabla10[[#This Row],[DIAS DE ALTA]]</f>
        <v>218.79986</v>
      </c>
      <c r="L26" s="339">
        <f>IFERROR(VLOOKUP(Tabla10[[#This Row],[COD]],Carro!B:D,3,FALSE),"")</f>
        <v>66.666666666666657</v>
      </c>
      <c r="M26" s="339">
        <f>IFERROR(VLOOKUP(Tabla10[[#This Row],[COD]],'Outros descontos'!B:P,15,FALSE),"")</f>
        <v>148.97</v>
      </c>
      <c r="N26" s="7">
        <f>(Tabla10[[#This Row],[HORAS TRABALHADAS]]*Tabla10[[#This Row],[TARIFA]]) - SUM(Tabla10[[#This Row],[ALOJAMENTO]], Tabla10[[#This Row],[IMPOSTO]], Tabla10[[#This Row],[CARRO]],Tabla10[[#This Row],[OUTROS DEScontos]])</f>
        <v>3585.5634733333336</v>
      </c>
      <c r="O26" s="7"/>
      <c r="P26" s="339"/>
    </row>
    <row r="27" spans="2:16" ht="18" hidden="1" customHeight="1" x14ac:dyDescent="0.35">
      <c r="B27" s="160" t="s">
        <v>7000</v>
      </c>
      <c r="C27" s="1" t="str">
        <f>IF(D27="", "", INDEX(Colaboradores!A:A, MATCH(D27,Colaboradores!C:C, 0)))</f>
        <v>E1129</v>
      </c>
      <c r="D27" s="239" t="s">
        <v>1019</v>
      </c>
      <c r="E27" s="249">
        <v>45931</v>
      </c>
      <c r="F27" s="249"/>
      <c r="G27" s="160">
        <f>IFERROR(VLOOKUP(Tabla10[[#This Row],[COD]],'TotalHorasAjustadas (2)'!D:L,8,FALSE),"")</f>
        <v>160</v>
      </c>
      <c r="H27" s="339">
        <f>IFERROR(VLOOKUP(Tabla10[[#This Row],[COD]],Tabla15[],4,FALSE),"")</f>
        <v>16</v>
      </c>
      <c r="I27" s="339" t="str">
        <f>IFERROR(VLOOKUP(Tabla10[[#This Row],[COD]],Alojamentos!B:P,11,FALSE),"")</f>
        <v/>
      </c>
      <c r="J27" s="160">
        <f>IF(ISBLANK(Tabla10[[#This Row],[INICIO VINCULO]]), 0, MAX(0, MIN(IF(ISBLANK(Tabla10[[#This Row],[FIM VINCULO]]), DATE(2026,1,31), Tabla10[[#This Row],[FIM VINCULO]]), DATE(2026,1,31)) - MAX(Tabla10[[#This Row],[INICIO VINCULO]], DATE(2026,1,1)) + 1))</f>
        <v>31</v>
      </c>
      <c r="K27" s="339">
        <f>7.05806*Tabla10[[#This Row],[DIAS DE ALTA]]</f>
        <v>218.79986</v>
      </c>
      <c r="L27" s="339" t="str">
        <f>IFERROR(VLOOKUP(Tabla10[[#This Row],[COD]],Carro!B:D,3,FALSE),"")</f>
        <v/>
      </c>
      <c r="M27" s="339" t="str">
        <f>IFERROR(VLOOKUP(Tabla10[[#This Row],[COD]],'Outros descontos'!B:P,15,FALSE),"")</f>
        <v/>
      </c>
      <c r="N27" s="7">
        <f>(Tabla10[[#This Row],[HORAS TRABALHADAS]]*Tabla10[[#This Row],[TARIFA]]) - SUM(Tabla10[[#This Row],[ALOJAMENTO]], Tabla10[[#This Row],[IMPOSTO]], Tabla10[[#This Row],[CARRO]])</f>
        <v>2341.2001399999999</v>
      </c>
      <c r="O27" s="7"/>
      <c r="P27" s="339"/>
    </row>
    <row r="28" spans="2:16" ht="18" hidden="1" customHeight="1" x14ac:dyDescent="0.35">
      <c r="B28" s="160" t="s">
        <v>7002</v>
      </c>
      <c r="C28" s="160" t="str">
        <f>IF(D28="", "", INDEX(Colaboradores!A:A, MATCH(D28,Colaboradores!C:C, 0)))</f>
        <v>E1918</v>
      </c>
      <c r="D28" s="338" t="s">
        <v>1068</v>
      </c>
      <c r="E28" s="249">
        <v>46041</v>
      </c>
      <c r="F28" s="249"/>
      <c r="G28" s="160">
        <f>IFERROR(VLOOKUP(Tabla10[[#This Row],[COD]],'TotalHorasAjustadas (2)'!D:L,8,FALSE),"")</f>
        <v>103</v>
      </c>
      <c r="H28" s="339">
        <v>15</v>
      </c>
      <c r="I28" s="339" t="str">
        <f>IFERROR(VLOOKUP(Tabla10[[#This Row],[COD]],Alojamentos!B:P,11,FALSE),"")</f>
        <v/>
      </c>
      <c r="J28" s="160">
        <f>IF(ISBLANK(Tabla10[[#This Row],[INICIO VINCULO]]), 0, MAX(0, MIN(IF(ISBLANK(Tabla10[[#This Row],[FIM VINCULO]]), DATE(2026,1,31), Tabla10[[#This Row],[FIM VINCULO]]), DATE(2026,1,31)) - MAX(Tabla10[[#This Row],[INICIO VINCULO]], DATE(2026,1,1)) + 1))</f>
        <v>13</v>
      </c>
      <c r="K28" s="339">
        <f>7.05806*Tabla10[[#This Row],[DIAS DE ALTA]]</f>
        <v>91.754779999999997</v>
      </c>
      <c r="L28" s="339" t="str">
        <f>IFERROR(VLOOKUP(Tabla10[[#This Row],[COD]],Carro!B:D,3,FALSE),"")</f>
        <v/>
      </c>
      <c r="M28" s="339" t="str">
        <f>IFERROR(VLOOKUP(Tabla10[[#This Row],[COD]],'Outros descontos'!B:P,15,FALSE),"")</f>
        <v/>
      </c>
      <c r="N28" s="7">
        <f>(Tabla10[[#This Row],[HORAS TRABALHADAS]]*Tabla10[[#This Row],[TARIFA]]) - SUM(Tabla10[[#This Row],[ALOJAMENTO]], Tabla10[[#This Row],[IMPOSTO]], Tabla10[[#This Row],[CARRO]])</f>
        <v>1453.24522</v>
      </c>
      <c r="O28" s="7"/>
      <c r="P28" s="339"/>
    </row>
    <row r="29" spans="2:16" ht="18" hidden="1" customHeight="1" x14ac:dyDescent="0.35">
      <c r="B29" s="160" t="s">
        <v>7001</v>
      </c>
      <c r="C29" s="1" t="str">
        <f>IF(D29="", "", INDEX(Colaboradores!A:A, MATCH(D29,Colaboradores!C:C, 0)))</f>
        <v>E1895</v>
      </c>
      <c r="D29" s="338" t="s">
        <v>1119</v>
      </c>
      <c r="E29" s="249">
        <v>45762</v>
      </c>
      <c r="F29" s="249">
        <v>46052</v>
      </c>
      <c r="G29" s="160">
        <f>IFERROR(VLOOKUP(Tabla10[[#This Row],[COD]],'TotalHorasAjustadas (2)'!D:L,8,FALSE),"")</f>
        <v>142</v>
      </c>
      <c r="H29" s="339">
        <f>IFERROR(VLOOKUP(Tabla10[[#This Row],[COD]],Tabla15[],4,FALSE),"")</f>
        <v>15</v>
      </c>
      <c r="I29" s="339" t="str">
        <f>IFERROR(VLOOKUP(Tabla10[[#This Row],[COD]],Alojamentos!B:P,11,FALSE),"")</f>
        <v/>
      </c>
      <c r="J29" s="160">
        <f>IF(ISBLANK(Tabla10[[#This Row],[INICIO VINCULO]]), 0, MAX(0, MIN(IF(ISBLANK(Tabla10[[#This Row],[FIM VINCULO]]), DATE(2026,1,31), Tabla10[[#This Row],[FIM VINCULO]]), DATE(2026,1,31)) - MAX(Tabla10[[#This Row],[INICIO VINCULO]], DATE(2026,1,1)) + 1))</f>
        <v>30</v>
      </c>
      <c r="K29" s="339">
        <f>7.05806*Tabla10[[#This Row],[DIAS DE ALTA]]</f>
        <v>211.74180000000001</v>
      </c>
      <c r="L29" s="339">
        <f>IFERROR(VLOOKUP(Tabla10[[#This Row],[COD]],Carro!B:D,3,FALSE),"")</f>
        <v>66.666666666666671</v>
      </c>
      <c r="M29" s="339" t="str">
        <f>IFERROR(VLOOKUP(Tabla10[[#This Row],[COD]],'Outros descontos'!B:P,15,FALSE),"")</f>
        <v/>
      </c>
      <c r="N29" s="7">
        <f>(Tabla10[[#This Row],[HORAS TRABALHADAS]]*Tabla10[[#This Row],[TARIFA]]) - SUM(Tabla10[[#This Row],[ALOJAMENTO]], Tabla10[[#This Row],[IMPOSTO]], Tabla10[[#This Row],[CARRO]])</f>
        <v>1851.5915333333332</v>
      </c>
      <c r="O29" s="7"/>
      <c r="P29" s="339"/>
    </row>
    <row r="30" spans="2:16" ht="18" hidden="1" customHeight="1" x14ac:dyDescent="0.35">
      <c r="B30" s="160" t="s">
        <v>7001</v>
      </c>
      <c r="C30" s="1" t="str">
        <f>IF(D30="", "", INDEX(Colaboradores!A:A, MATCH(D30,Colaboradores!C:C, 0)))</f>
        <v>E0534</v>
      </c>
      <c r="D30" s="338" t="s">
        <v>1178</v>
      </c>
      <c r="E30" s="249">
        <v>45762</v>
      </c>
      <c r="F30" s="249">
        <v>46027</v>
      </c>
      <c r="G30" s="348">
        <v>0</v>
      </c>
      <c r="H30" s="339">
        <f>IFERROR(VLOOKUP(Tabla10[[#This Row],[COD]],Tabla15[],4,FALSE),"")</f>
        <v>15</v>
      </c>
      <c r="I30" s="339" t="str">
        <f>IFERROR(VLOOKUP(Tabla10[[#This Row],[COD]],Alojamentos!B:P,11,FALSE),"")</f>
        <v/>
      </c>
      <c r="J30" s="160">
        <f>IF(ISBLANK(Tabla10[[#This Row],[INICIO VINCULO]]), 0, MAX(0, MIN(IF(ISBLANK(Tabla10[[#This Row],[FIM VINCULO]]), DATE(2026,1,31), Tabla10[[#This Row],[FIM VINCULO]]), DATE(2026,1,31)) - MAX(Tabla10[[#This Row],[INICIO VINCULO]], DATE(2026,1,1)) + 1))</f>
        <v>5</v>
      </c>
      <c r="K30" s="339">
        <f>7.05806*Tabla10[[#This Row],[DIAS DE ALTA]]</f>
        <v>35.290300000000002</v>
      </c>
      <c r="L30" s="339" t="str">
        <f>IFERROR(VLOOKUP(Tabla10[[#This Row],[COD]],Carro!B:D,3,FALSE),"")</f>
        <v/>
      </c>
      <c r="M30" s="339" t="str">
        <f>IFERROR(VLOOKUP(Tabla10[[#This Row],[COD]],'Outros descontos'!B:P,15,FALSE),"")</f>
        <v/>
      </c>
      <c r="N30" s="7">
        <v>0</v>
      </c>
      <c r="O30" s="7"/>
      <c r="P30" s="339"/>
    </row>
    <row r="31" spans="2:16" ht="18" hidden="1" customHeight="1" x14ac:dyDescent="0.35">
      <c r="B31" s="160" t="s">
        <v>7000</v>
      </c>
      <c r="C31" s="1" t="str">
        <f>IF(D31="", "", INDEX(Colaboradores!A:A, MATCH(D31,Colaboradores!C:C, 0)))</f>
        <v>E1663</v>
      </c>
      <c r="D31" s="239" t="s">
        <v>1203</v>
      </c>
      <c r="E31" s="249">
        <v>45945</v>
      </c>
      <c r="F31" s="249"/>
      <c r="G31" s="160">
        <f>IFERROR(VLOOKUP(Tabla10[[#This Row],[COD]],'TotalHorasAjustadas (2)'!D:L,8,FALSE),"")</f>
        <v>102</v>
      </c>
      <c r="H31" s="339">
        <f>IFERROR(VLOOKUP(Tabla10[[#This Row],[COD]],Tabla15[],4,FALSE),"")</f>
        <v>15</v>
      </c>
      <c r="I31" s="339" t="str">
        <f>IFERROR(VLOOKUP(Tabla10[[#This Row],[COD]],Alojamentos!B:P,11,FALSE),"")</f>
        <v/>
      </c>
      <c r="J31" s="160">
        <f>IF(ISBLANK(Tabla10[[#This Row],[INICIO VINCULO]]), 0, MAX(0, MIN(IF(ISBLANK(Tabla10[[#This Row],[FIM VINCULO]]), DATE(2026,1,31), Tabla10[[#This Row],[FIM VINCULO]]), DATE(2026,1,31)) - MAX(Tabla10[[#This Row],[INICIO VINCULO]], DATE(2026,1,1)) + 1))</f>
        <v>31</v>
      </c>
      <c r="K31" s="339">
        <f>7.05806*Tabla10[[#This Row],[DIAS DE ALTA]]</f>
        <v>218.79986</v>
      </c>
      <c r="L31" s="339" t="str">
        <f>IFERROR(VLOOKUP(Tabla10[[#This Row],[COD]],Carro!B:D,3,FALSE),"")</f>
        <v/>
      </c>
      <c r="M31" s="339" t="str">
        <f>IFERROR(VLOOKUP(Tabla10[[#This Row],[COD]],'Outros descontos'!B:P,15,FALSE),"")</f>
        <v/>
      </c>
      <c r="N31" s="7">
        <f>(Tabla10[[#This Row],[HORAS TRABALHADAS]]*Tabla10[[#This Row],[TARIFA]]) - SUM(Tabla10[[#This Row],[ALOJAMENTO]], Tabla10[[#This Row],[IMPOSTO]], Tabla10[[#This Row],[CARRO]])</f>
        <v>1311.2001399999999</v>
      </c>
      <c r="O31" s="7"/>
      <c r="P31" s="339"/>
    </row>
    <row r="32" spans="2:16" ht="18" hidden="1" customHeight="1" x14ac:dyDescent="0.35">
      <c r="B32" s="160" t="s">
        <v>7000</v>
      </c>
      <c r="C32" s="1" t="str">
        <f>IF(D32="", "", INDEX(Colaboradores!A:A, MATCH(D32,Colaboradores!C:C, 0)))</f>
        <v>E0578</v>
      </c>
      <c r="D32" s="239" t="s">
        <v>1390</v>
      </c>
      <c r="E32" s="249">
        <v>45873</v>
      </c>
      <c r="F32" s="249"/>
      <c r="G32" s="160">
        <f>IFERROR(VLOOKUP(Tabla10[[#This Row],[COD]],'TotalHorasAjustadas (2)'!D:L,8,FALSE),"")</f>
        <v>76</v>
      </c>
      <c r="H32" s="339">
        <f>IFERROR(VLOOKUP(Tabla10[[#This Row],[COD]],Tabla15[],4,FALSE),"")</f>
        <v>17</v>
      </c>
      <c r="I32" s="339" t="str">
        <f>IFERROR(VLOOKUP(Tabla10[[#This Row],[COD]],Alojamentos!B:P,11,FALSE),"")</f>
        <v/>
      </c>
      <c r="J32" s="160">
        <f>IF(ISBLANK(Tabla10[[#This Row],[INICIO VINCULO]]), 0, MAX(0, MIN(IF(ISBLANK(Tabla10[[#This Row],[FIM VINCULO]]), DATE(2026,1,31), Tabla10[[#This Row],[FIM VINCULO]]), DATE(2026,1,31)) - MAX(Tabla10[[#This Row],[INICIO VINCULO]], DATE(2026,1,1)) + 1))</f>
        <v>31</v>
      </c>
      <c r="K32" s="339">
        <f>7.05806*Tabla10[[#This Row],[DIAS DE ALTA]]</f>
        <v>218.79986</v>
      </c>
      <c r="L32" s="339" t="str">
        <f>IFERROR(VLOOKUP(Tabla10[[#This Row],[COD]],Carro!B:D,3,FALSE),"")</f>
        <v/>
      </c>
      <c r="M32" s="339" t="str">
        <f>IFERROR(VLOOKUP(Tabla10[[#This Row],[COD]],'Outros descontos'!B:P,15,FALSE),"")</f>
        <v/>
      </c>
      <c r="N32" s="7">
        <f>(Tabla10[[#This Row],[HORAS TRABALHADAS]]*Tabla10[[#This Row],[TARIFA]]) - SUM(Tabla10[[#This Row],[ALOJAMENTO]], Tabla10[[#This Row],[IMPOSTO]], Tabla10[[#This Row],[CARRO]])</f>
        <v>1073.2001399999999</v>
      </c>
      <c r="O32" s="7"/>
      <c r="P32" s="339"/>
    </row>
    <row r="33" spans="2:16" ht="18" hidden="1" customHeight="1" x14ac:dyDescent="0.35">
      <c r="B33" s="160" t="s">
        <v>7000</v>
      </c>
      <c r="C33" s="1" t="str">
        <f>IF(D33="", "", INDEX(Colaboradores!A:A, MATCH(D33,Colaboradores!C:C, 0)))</f>
        <v>E1826</v>
      </c>
      <c r="D33" s="239" t="s">
        <v>1408</v>
      </c>
      <c r="E33" s="249">
        <v>46052</v>
      </c>
      <c r="F33" s="249"/>
      <c r="G33" s="160">
        <f>IFERROR(VLOOKUP(Tabla10[[#This Row],[COD]],'TotalHorasAjustadas (2)'!D:L,8,FALSE),"")</f>
        <v>172.5</v>
      </c>
      <c r="H33" s="339">
        <f>IFERROR(VLOOKUP(Tabla10[[#This Row],[COD]],Tabla15[],4,FALSE),"")</f>
        <v>15</v>
      </c>
      <c r="I33" s="339" t="str">
        <f>IFERROR(VLOOKUP(Tabla10[[#This Row],[COD]],Alojamentos!B:P,11,FALSE),"")</f>
        <v/>
      </c>
      <c r="J33" s="160">
        <f>IF(ISBLANK(Tabla10[[#This Row],[INICIO VINCULO]]), 0, MAX(0, MIN(IF(ISBLANK(Tabla10[[#This Row],[FIM VINCULO]]), DATE(2026,1,31), Tabla10[[#This Row],[FIM VINCULO]]), DATE(2026,1,31)) - MAX(Tabla10[[#This Row],[INICIO VINCULO]], DATE(2026,1,1)) + 1))</f>
        <v>2</v>
      </c>
      <c r="K33" s="339">
        <f>7.05806*Tabla10[[#This Row],[DIAS DE ALTA]]</f>
        <v>14.11612</v>
      </c>
      <c r="L33" s="339" t="str">
        <f>IFERROR(VLOOKUP(Tabla10[[#This Row],[COD]],Carro!B:D,3,FALSE),"")</f>
        <v/>
      </c>
      <c r="M33" s="339" t="str">
        <f>IFERROR(VLOOKUP(Tabla10[[#This Row],[COD]],'Outros descontos'!B:P,15,FALSE),"")</f>
        <v/>
      </c>
      <c r="N33" s="7">
        <v>580.88</v>
      </c>
      <c r="O33" s="7">
        <v>2000</v>
      </c>
      <c r="P33" s="339"/>
    </row>
    <row r="34" spans="2:16" ht="18" hidden="1" customHeight="1" x14ac:dyDescent="0.35">
      <c r="B34" s="160" t="s">
        <v>7000</v>
      </c>
      <c r="C34" s="1" t="str">
        <f>IF(D34="", "", INDEX(Colaboradores!A:A, MATCH(D34,Colaboradores!C:C, 0)))</f>
        <v>E1970</v>
      </c>
      <c r="D34" s="239" t="s">
        <v>1450</v>
      </c>
      <c r="E34" s="249">
        <v>46041</v>
      </c>
      <c r="F34" s="249"/>
      <c r="G34" s="160">
        <v>48</v>
      </c>
      <c r="H34" s="339">
        <f>IFERROR(VLOOKUP(Tabla10[[#This Row],[COD]],Tabla15[],4,FALSE),"")</f>
        <v>15</v>
      </c>
      <c r="I34" s="339" t="str">
        <f>IFERROR(VLOOKUP(Tabla10[[#This Row],[COD]],Alojamentos!B:P,11,FALSE),"")</f>
        <v/>
      </c>
      <c r="J34" s="160">
        <f>IF(ISBLANK(Tabla10[[#This Row],[INICIO VINCULO]]), 0, MAX(0, MIN(IF(ISBLANK(Tabla10[[#This Row],[FIM VINCULO]]), DATE(2026,1,31), Tabla10[[#This Row],[FIM VINCULO]]), DATE(2026,1,31)) - MAX(Tabla10[[#This Row],[INICIO VINCULO]], DATE(2026,1,1)) + 1))</f>
        <v>13</v>
      </c>
      <c r="K34" s="339">
        <f>7.05806*Tabla10[[#This Row],[DIAS DE ALTA]]</f>
        <v>91.754779999999997</v>
      </c>
      <c r="L34" s="339">
        <f>IFERROR(VLOOKUP(Tabla10[[#This Row],[COD]],Carro!B:D,3,FALSE),"")</f>
        <v>40</v>
      </c>
      <c r="M34" s="339">
        <f>IFERROR(VLOOKUP(Tabla10[[#This Row],[COD]],'Outros descontos'!B:P,15,FALSE),"")</f>
        <v>112.93</v>
      </c>
      <c r="N34" s="7">
        <f>(Tabla10[[#This Row],[HORAS TRABALHADAS]]*Tabla10[[#This Row],[TARIFA]]) - SUM(Tabla10[[#This Row],[ALOJAMENTO]], Tabla10[[#This Row],[IMPOSTO]], Tabla10[[#This Row],[CARRO]])</f>
        <v>588.24522000000002</v>
      </c>
      <c r="O34" s="7"/>
      <c r="P34" s="339"/>
    </row>
    <row r="35" spans="2:16" ht="18" hidden="1" customHeight="1" x14ac:dyDescent="0.35">
      <c r="B35" s="160" t="s">
        <v>7002</v>
      </c>
      <c r="C35" s="160" t="str">
        <f>IF(D35="", "", INDEX(Colaboradores!A:A, MATCH(D35,Colaboradores!C:C, 0)))</f>
        <v>E1970</v>
      </c>
      <c r="D35" s="338" t="s">
        <v>1450</v>
      </c>
      <c r="E35" s="249">
        <v>45951</v>
      </c>
      <c r="F35" s="249">
        <v>46034</v>
      </c>
      <c r="G35" s="160">
        <v>48</v>
      </c>
      <c r="H35" s="339">
        <f>IFERROR(VLOOKUP(Tabla10[[#This Row],[COD]],Tabla15[],4,FALSE),"")</f>
        <v>15</v>
      </c>
      <c r="I35" s="339" t="str">
        <f>IFERROR(VLOOKUP(Tabla10[[#This Row],[COD]],Alojamentos!B:P,11,FALSE),"")</f>
        <v/>
      </c>
      <c r="J35" s="160">
        <f>IF(ISBLANK(Tabla10[[#This Row],[INICIO VINCULO]]), 0, MAX(0, MIN(IF(ISBLANK(Tabla10[[#This Row],[FIM VINCULO]]), DATE(2026,1,31), Tabla10[[#This Row],[FIM VINCULO]]), DATE(2026,1,31)) - MAX(Tabla10[[#This Row],[INICIO VINCULO]], DATE(2026,1,1)) + 1))</f>
        <v>12</v>
      </c>
      <c r="K35" s="339">
        <f>7.05806*Tabla10[[#This Row],[DIAS DE ALTA]]</f>
        <v>84.696719999999999</v>
      </c>
      <c r="L35" s="339"/>
      <c r="M35" s="339">
        <f>IFERROR(VLOOKUP(Tabla10[[#This Row],[COD]],'Outros descontos'!B:P,15,FALSE),"")</f>
        <v>112.93</v>
      </c>
      <c r="N35" s="7">
        <f>(Tabla10[[#This Row],[HORAS TRABALHADAS]]*Tabla10[[#This Row],[TARIFA]]) - SUM(Tabla10[[#This Row],[ALOJAMENTO]], Tabla10[[#This Row],[IMPOSTO]], Tabla10[[#This Row],[CARRO]])</f>
        <v>635.30327999999997</v>
      </c>
      <c r="O35" s="7"/>
      <c r="P35" s="339"/>
    </row>
    <row r="36" spans="2:16" ht="18" hidden="1" customHeight="1" x14ac:dyDescent="0.35">
      <c r="B36" s="160" t="s">
        <v>7002</v>
      </c>
      <c r="C36" s="160" t="str">
        <f>IF(D36="", "", INDEX(Colaboradores!A:A, MATCH(D36,Colaboradores!C:C, 0)))</f>
        <v>E2090</v>
      </c>
      <c r="D36" s="338" t="s">
        <v>1457</v>
      </c>
      <c r="E36" s="249">
        <v>46041</v>
      </c>
      <c r="F36" s="249"/>
      <c r="G36" s="160">
        <f>IFERROR(VLOOKUP(Tabla10[[#This Row],[COD]],'TotalHorasAjustadas (2)'!D:L,8,FALSE),"")</f>
        <v>74</v>
      </c>
      <c r="H36" s="339">
        <v>15</v>
      </c>
      <c r="I36" s="339" t="str">
        <f>IFERROR(VLOOKUP(Tabla10[[#This Row],[COD]],Alojamentos!B:P,11,FALSE),"")</f>
        <v/>
      </c>
      <c r="J36" s="160">
        <f>IF(ISBLANK(Tabla10[[#This Row],[INICIO VINCULO]]), 0, MAX(0, MIN(IF(ISBLANK(Tabla10[[#This Row],[FIM VINCULO]]), DATE(2026,1,31), Tabla10[[#This Row],[FIM VINCULO]]), DATE(2026,1,31)) - MAX(Tabla10[[#This Row],[INICIO VINCULO]], DATE(2026,1,1)) + 1))</f>
        <v>13</v>
      </c>
      <c r="K36" s="339">
        <f>7.05806*Tabla10[[#This Row],[DIAS DE ALTA]]</f>
        <v>91.754779999999997</v>
      </c>
      <c r="L36" s="339" t="str">
        <f>IFERROR(VLOOKUP(Tabla10[[#This Row],[COD]],Carro!B:D,3,FALSE),"")</f>
        <v/>
      </c>
      <c r="M36" s="339" t="str">
        <f>IFERROR(VLOOKUP(Tabla10[[#This Row],[COD]],'Outros descontos'!B:P,15,FALSE),"")</f>
        <v/>
      </c>
      <c r="N36" s="7">
        <f>(Tabla10[[#This Row],[HORAS TRABALHADAS]]*Tabla10[[#This Row],[TARIFA]]) - SUM(Tabla10[[#This Row],[ALOJAMENTO]], Tabla10[[#This Row],[IMPOSTO]], Tabla10[[#This Row],[CARRO]])</f>
        <v>1018.24522</v>
      </c>
      <c r="O36" s="7"/>
      <c r="P36" s="339"/>
    </row>
    <row r="37" spans="2:16" ht="18" hidden="1" customHeight="1" x14ac:dyDescent="0.35">
      <c r="B37" s="160" t="s">
        <v>7001</v>
      </c>
      <c r="C37" s="1" t="str">
        <f>IF(D37="", "", INDEX(Colaboradores!A:A, MATCH(D37,Colaboradores!C:C, 0)))</f>
        <v>E0600</v>
      </c>
      <c r="D37" s="338" t="s">
        <v>1489</v>
      </c>
      <c r="E37" s="249">
        <v>45364</v>
      </c>
      <c r="F37" s="249">
        <v>46052</v>
      </c>
      <c r="G37" s="160">
        <f>IFERROR(VLOOKUP(Tabla10[[#This Row],[COD]],'TotalHorasAjustadas (2)'!D:L,8,FALSE),"")</f>
        <v>225</v>
      </c>
      <c r="H37" s="339">
        <f>IFERROR(VLOOKUP(Tabla10[[#This Row],[COD]],Tabla15[],4,FALSE),"")</f>
        <v>16</v>
      </c>
      <c r="I37" s="339" t="str">
        <f>IFERROR(VLOOKUP(Tabla10[[#This Row],[COD]],Alojamentos!B:P,11,FALSE),"")</f>
        <v/>
      </c>
      <c r="J37" s="160">
        <f>IF(ISBLANK(Tabla10[[#This Row],[INICIO VINCULO]]), 0, MAX(0, MIN(IF(ISBLANK(Tabla10[[#This Row],[FIM VINCULO]]), DATE(2026,1,31), Tabla10[[#This Row],[FIM VINCULO]]), DATE(2026,1,31)) - MAX(Tabla10[[#This Row],[INICIO VINCULO]], DATE(2026,1,1)) + 1))</f>
        <v>30</v>
      </c>
      <c r="K37" s="339">
        <f>7.05806*Tabla10[[#This Row],[DIAS DE ALTA]]</f>
        <v>211.74180000000001</v>
      </c>
      <c r="L37" s="339" t="str">
        <f>IFERROR(VLOOKUP(Tabla10[[#This Row],[COD]],Carro!B:D,3,FALSE),"")</f>
        <v/>
      </c>
      <c r="M37" s="339" t="str">
        <f>IFERROR(VLOOKUP(Tabla10[[#This Row],[COD]],'Outros descontos'!B:P,15,FALSE),"")</f>
        <v/>
      </c>
      <c r="N37" s="7">
        <f>(Tabla10[[#This Row],[HORAS TRABALHADAS]]*Tabla10[[#This Row],[TARIFA]]) - SUM(Tabla10[[#This Row],[ALOJAMENTO]], Tabla10[[#This Row],[IMPOSTO]], Tabla10[[#This Row],[CARRO]])</f>
        <v>3388.2582000000002</v>
      </c>
      <c r="O37" s="7"/>
      <c r="P37" s="339"/>
    </row>
    <row r="38" spans="2:16" ht="18" hidden="1" customHeight="1" x14ac:dyDescent="0.35">
      <c r="B38" s="160" t="s">
        <v>7001</v>
      </c>
      <c r="C38" s="1" t="str">
        <f>IF(D38="", "", INDEX(Colaboradores!A:A, MATCH(D38,Colaboradores!C:C, 0)))</f>
        <v>E0161</v>
      </c>
      <c r="D38" s="338" t="s">
        <v>1507</v>
      </c>
      <c r="E38" s="249">
        <v>45762</v>
      </c>
      <c r="F38" s="249">
        <v>46053</v>
      </c>
      <c r="G38" s="160">
        <f>IFERROR(VLOOKUP(Tabla10[[#This Row],[COD]],'TotalHorasAjustadas (2)'!D:L,8,FALSE),"")</f>
        <v>199</v>
      </c>
      <c r="H38" s="339">
        <f>IFERROR(VLOOKUP(Tabla10[[#This Row],[COD]],Tabla15[],4,FALSE),"")</f>
        <v>18</v>
      </c>
      <c r="I38" s="339" t="str">
        <f>IFERROR(VLOOKUP(Tabla10[[#This Row],[COD]],Alojamentos!B:P,11,FALSE),"")</f>
        <v/>
      </c>
      <c r="J38" s="160">
        <f>IF(ISBLANK(Tabla10[[#This Row],[INICIO VINCULO]]), 0, MAX(0, MIN(IF(ISBLANK(Tabla10[[#This Row],[FIM VINCULO]]), DATE(2026,1,31), Tabla10[[#This Row],[FIM VINCULO]]), DATE(2026,1,31)) - MAX(Tabla10[[#This Row],[INICIO VINCULO]], DATE(2026,1,1)) + 1))</f>
        <v>31</v>
      </c>
      <c r="K38" s="339">
        <f>7.05806*Tabla10[[#This Row],[DIAS DE ALTA]]</f>
        <v>218.79986</v>
      </c>
      <c r="L38" s="339" t="str">
        <f>IFERROR(VLOOKUP(Tabla10[[#This Row],[COD]],Carro!B:D,3,FALSE),"")</f>
        <v/>
      </c>
      <c r="M38" s="339" t="str">
        <f>IFERROR(VLOOKUP(Tabla10[[#This Row],[COD]],'Outros descontos'!B:P,15,FALSE),"")</f>
        <v/>
      </c>
      <c r="N38" s="7">
        <f>(Tabla10[[#This Row],[HORAS TRABALHADAS]]*Tabla10[[#This Row],[TARIFA]]) - SUM(Tabla10[[#This Row],[ALOJAMENTO]], Tabla10[[#This Row],[IMPOSTO]], Tabla10[[#This Row],[CARRO]])</f>
        <v>3363.2001399999999</v>
      </c>
      <c r="O38" s="7"/>
      <c r="P38" s="339"/>
    </row>
    <row r="39" spans="2:16" ht="18" hidden="1" customHeight="1" x14ac:dyDescent="0.35">
      <c r="B39" s="160" t="s">
        <v>6999</v>
      </c>
      <c r="C39" s="1" t="str">
        <f>IF(D39="", "", INDEX(Colaboradores!A:A, MATCH(D39,Colaboradores!C:C, 0)))</f>
        <v>E0615</v>
      </c>
      <c r="D39" s="338" t="s">
        <v>1517</v>
      </c>
      <c r="E39" s="249">
        <v>45803</v>
      </c>
      <c r="F39" s="249">
        <v>46052</v>
      </c>
      <c r="G39" s="160">
        <f>IFERROR(VLOOKUP(Tabla10[[#This Row],[COD]],'TotalHorasAjustadas (2)'!D:L,8,FALSE),"")</f>
        <v>227</v>
      </c>
      <c r="H39" s="339">
        <f>IFERROR(VLOOKUP(Tabla10[[#This Row],[COD]],Tabla15[],4,FALSE),"")</f>
        <v>15</v>
      </c>
      <c r="I39" s="339" t="str">
        <f>IFERROR(VLOOKUP(Tabla10[[#This Row],[COD]],Alojamentos!B:P,11,FALSE),"")</f>
        <v/>
      </c>
      <c r="J39" s="160">
        <f>IF(ISBLANK(Tabla10[[#This Row],[INICIO VINCULO]]), 0, MAX(0, MIN(IF(ISBLANK(Tabla10[[#This Row],[FIM VINCULO]]), DATE(2026,1,31), Tabla10[[#This Row],[FIM VINCULO]]), DATE(2026,1,31)) - MAX(Tabla10[[#This Row],[INICIO VINCULO]], DATE(2026,1,1)) + 1))</f>
        <v>30</v>
      </c>
      <c r="K39" s="339">
        <f>7.05806*Tabla10[[#This Row],[DIAS DE ALTA]]</f>
        <v>211.74180000000001</v>
      </c>
      <c r="L39" s="339">
        <f>IFERROR(VLOOKUP(Tabla10[[#This Row],[COD]],Carro!B:D,3,FALSE),"")</f>
        <v>74.666666666666657</v>
      </c>
      <c r="M39" s="339" t="str">
        <f>IFERROR(VLOOKUP(Tabla10[[#This Row],[COD]],'Outros descontos'!B:P,15,FALSE),"")</f>
        <v/>
      </c>
      <c r="N39" s="7">
        <f>(Tabla10[[#This Row],[HORAS TRABALHADAS]]*Tabla10[[#This Row],[TARIFA]]) - SUM(Tabla10[[#This Row],[ALOJAMENTO]], Tabla10[[#This Row],[IMPOSTO]], Tabla10[[#This Row],[CARRO]])</f>
        <v>3118.5915333333332</v>
      </c>
      <c r="O39" s="7"/>
      <c r="P39" s="339"/>
    </row>
    <row r="40" spans="2:16" ht="18" hidden="1" customHeight="1" x14ac:dyDescent="0.35">
      <c r="B40" s="160" t="s">
        <v>7002</v>
      </c>
      <c r="C40" s="160" t="str">
        <f>IF(D40="", "", INDEX(Colaboradores!A:A, MATCH(D40,Colaboradores!C:C, 0)))</f>
        <v>E0637</v>
      </c>
      <c r="D40" s="338" t="s">
        <v>1561</v>
      </c>
      <c r="E40" s="249">
        <v>46041</v>
      </c>
      <c r="F40" s="249"/>
      <c r="G40" s="160">
        <f>IFERROR(VLOOKUP(Tabla10[[#This Row],[COD]],'TotalHorasAjustadas (2)'!D:L,8,FALSE),"")</f>
        <v>102.5</v>
      </c>
      <c r="H40" s="339">
        <v>15</v>
      </c>
      <c r="I40" s="339" t="str">
        <f>IFERROR(VLOOKUP(Tabla10[[#This Row],[COD]],Alojamentos!B:P,11,FALSE),"")</f>
        <v/>
      </c>
      <c r="J40" s="160">
        <f>IF(ISBLANK(Tabla10[[#This Row],[INICIO VINCULO]]), 0, MAX(0, MIN(IF(ISBLANK(Tabla10[[#This Row],[FIM VINCULO]]), DATE(2026,1,31), Tabla10[[#This Row],[FIM VINCULO]]), DATE(2026,1,31)) - MAX(Tabla10[[#This Row],[INICIO VINCULO]], DATE(2026,1,1)) + 1))</f>
        <v>13</v>
      </c>
      <c r="K40" s="339">
        <f>7.05806*Tabla10[[#This Row],[DIAS DE ALTA]]</f>
        <v>91.754779999999997</v>
      </c>
      <c r="L40" s="339" t="str">
        <f>IFERROR(VLOOKUP(Tabla10[[#This Row],[COD]],Carro!B:D,3,FALSE),"")</f>
        <v/>
      </c>
      <c r="M40" s="339" t="str">
        <f>IFERROR(VLOOKUP(Tabla10[[#This Row],[COD]],'Outros descontos'!B:P,15,FALSE),"")</f>
        <v/>
      </c>
      <c r="N40" s="7">
        <f>(Tabla10[[#This Row],[HORAS TRABALHADAS]]*Tabla10[[#This Row],[TARIFA]]) - SUM(Tabla10[[#This Row],[ALOJAMENTO]], Tabla10[[#This Row],[IMPOSTO]], Tabla10[[#This Row],[CARRO]])</f>
        <v>1445.74522</v>
      </c>
      <c r="O40" s="7"/>
      <c r="P40" s="339"/>
    </row>
    <row r="41" spans="2:16" ht="18" hidden="1" customHeight="1" x14ac:dyDescent="0.35">
      <c r="B41" s="160" t="s">
        <v>7000</v>
      </c>
      <c r="C41" s="1" t="str">
        <f>IF(D41="", "", INDEX(Colaboradores!A:A, MATCH(D41,Colaboradores!C:C, 0)))</f>
        <v>E0363</v>
      </c>
      <c r="D41" s="239" t="s">
        <v>1569</v>
      </c>
      <c r="E41" s="249">
        <v>45938</v>
      </c>
      <c r="F41" s="249"/>
      <c r="G41" s="160">
        <f>IFERROR(VLOOKUP(Tabla10[[#This Row],[COD]],'TotalHorasAjustadas (2)'!D:L,8,FALSE),"")</f>
        <v>175</v>
      </c>
      <c r="H41" s="339">
        <f>IFERROR(VLOOKUP(Tabla10[[#This Row],[COD]],Tabla15[],4,FALSE),"")</f>
        <v>15</v>
      </c>
      <c r="I41" s="339" t="str">
        <f>IFERROR(VLOOKUP(Tabla10[[#This Row],[COD]],Alojamentos!B:P,11,FALSE),"")</f>
        <v/>
      </c>
      <c r="J41" s="160">
        <f>IF(ISBLANK(Tabla10[[#This Row],[INICIO VINCULO]]), 0, MAX(0, MIN(IF(ISBLANK(Tabla10[[#This Row],[FIM VINCULO]]), DATE(2026,1,31), Tabla10[[#This Row],[FIM VINCULO]]), DATE(2026,1,31)) - MAX(Tabla10[[#This Row],[INICIO VINCULO]], DATE(2026,1,1)) + 1))</f>
        <v>31</v>
      </c>
      <c r="K41" s="339">
        <f>7.05806*Tabla10[[#This Row],[DIAS DE ALTA]]</f>
        <v>218.79986</v>
      </c>
      <c r="L41" s="339" t="str">
        <f>IFERROR(VLOOKUP(Tabla10[[#This Row],[COD]],Carro!B:D,3,FALSE),"")</f>
        <v/>
      </c>
      <c r="M41" s="339">
        <f>IFERROR(VLOOKUP(Tabla10[[#This Row],[COD]],'Outros descontos'!B:P,15,FALSE),"")</f>
        <v>50</v>
      </c>
      <c r="N41" s="7">
        <f>(Tabla10[[#This Row],[HORAS TRABALHADAS]]*Tabla10[[#This Row],[TARIFA]]) - SUM(Tabla10[[#This Row],[ALOJAMENTO]], Tabla10[[#This Row],[IMPOSTO]], Tabla10[[#This Row],[CARRO]],Tabla10[[#This Row],[OUTROS DEScontos]])</f>
        <v>2356.2001399999999</v>
      </c>
      <c r="O41" s="7"/>
      <c r="P41" s="339"/>
    </row>
    <row r="42" spans="2:16" ht="15" hidden="1" customHeight="1" x14ac:dyDescent="0.35">
      <c r="B42" s="160" t="s">
        <v>7002</v>
      </c>
      <c r="C42" s="160" t="str">
        <f>IF(D42="", "", INDEX(Colaboradores!A:A, MATCH(D42,Colaboradores!C:C, 0)))</f>
        <v>E0257</v>
      </c>
      <c r="D42" s="338" t="s">
        <v>1609</v>
      </c>
      <c r="E42" s="249">
        <v>46010</v>
      </c>
      <c r="F42" s="249"/>
      <c r="G42" s="160">
        <f>IFERROR(VLOOKUP(Tabla10[[#This Row],[COD]],'TotalHorasAjustadas (2)'!D:L,8,FALSE),"")</f>
        <v>215.5</v>
      </c>
      <c r="H42" s="339">
        <f>IFERROR(VLOOKUP(Tabla10[[#This Row],[COD]],Tabla15[],4,FALSE),"")</f>
        <v>15</v>
      </c>
      <c r="I42" s="339" t="str">
        <f>IFERROR(VLOOKUP(Tabla10[[#This Row],[COD]],Alojamentos!B:P,11,FALSE),"")</f>
        <v/>
      </c>
      <c r="J42" s="160">
        <f>IF(ISBLANK(Tabla10[[#This Row],[INICIO VINCULO]]), 0, MAX(0, MIN(IF(ISBLANK(Tabla10[[#This Row],[FIM VINCULO]]), DATE(2026,1,31), Tabla10[[#This Row],[FIM VINCULO]]), DATE(2026,1,31)) - MAX(Tabla10[[#This Row],[INICIO VINCULO]], DATE(2026,1,1)) + 1))</f>
        <v>31</v>
      </c>
      <c r="K42" s="339">
        <f>7.05806*Tabla10[[#This Row],[DIAS DE ALTA]]</f>
        <v>218.79986</v>
      </c>
      <c r="L42" s="339" t="str">
        <f>IFERROR(VLOOKUP(Tabla10[[#This Row],[COD]],Carro!B:D,3,FALSE),"")</f>
        <v/>
      </c>
      <c r="M42" s="339" t="str">
        <f>IFERROR(VLOOKUP(Tabla10[[#This Row],[COD]],'Outros descontos'!B:P,15,FALSE),"")</f>
        <v/>
      </c>
      <c r="N42" s="7">
        <f>(Tabla10[[#This Row],[HORAS TRABALHADAS]]*Tabla10[[#This Row],[TARIFA]]) - SUM(Tabla10[[#This Row],[ALOJAMENTO]], Tabla10[[#This Row],[IMPOSTO]], Tabla10[[#This Row],[CARRO]])</f>
        <v>3013.7001399999999</v>
      </c>
      <c r="O42" s="7"/>
      <c r="P42" s="339"/>
    </row>
    <row r="43" spans="2:16" ht="15" hidden="1" customHeight="1" x14ac:dyDescent="0.35">
      <c r="B43" s="160" t="s">
        <v>7000</v>
      </c>
      <c r="C43" s="1" t="str">
        <f>IF(D43="", "", INDEX(Colaboradores!A:A, MATCH(D43,Colaboradores!C:C, 0)))</f>
        <v>E0507</v>
      </c>
      <c r="D43" s="239" t="s">
        <v>1634</v>
      </c>
      <c r="E43" s="249">
        <v>45919</v>
      </c>
      <c r="F43" s="249"/>
      <c r="G43" s="160">
        <f>IFERROR(VLOOKUP(Tabla10[[#This Row],[COD]],'TotalHorasAjustadas (2)'!D:L,8,FALSE),"")</f>
        <v>250</v>
      </c>
      <c r="H43" s="339">
        <f>IFERROR(VLOOKUP(Tabla10[[#This Row],[COD]],Tabla15[],4,FALSE),"")</f>
        <v>15</v>
      </c>
      <c r="I43" s="339" t="str">
        <f>IFERROR(VLOOKUP(Tabla10[[#This Row],[COD]],Alojamentos!B:P,11,FALSE),"")</f>
        <v/>
      </c>
      <c r="J43" s="160">
        <f>IF(ISBLANK(Tabla10[[#This Row],[INICIO VINCULO]]), 0, MAX(0, MIN(IF(ISBLANK(Tabla10[[#This Row],[FIM VINCULO]]), DATE(2026,1,31), Tabla10[[#This Row],[FIM VINCULO]]), DATE(2026,1,31)) - MAX(Tabla10[[#This Row],[INICIO VINCULO]], DATE(2026,1,1)) + 1))</f>
        <v>31</v>
      </c>
      <c r="K43" s="339">
        <f>7.05806*Tabla10[[#This Row],[DIAS DE ALTA]]</f>
        <v>218.79986</v>
      </c>
      <c r="L43" s="339">
        <f>IFERROR(VLOOKUP(Tabla10[[#This Row],[COD]],Carro!B:D,3,FALSE),"")</f>
        <v>67</v>
      </c>
      <c r="M43" s="339" t="str">
        <f>IFERROR(VLOOKUP(Tabla10[[#This Row],[COD]],'Outros descontos'!B:P,15,FALSE),"")</f>
        <v/>
      </c>
      <c r="N43" s="7">
        <f>(Tabla10[[#This Row],[HORAS TRABALHADAS]]*Tabla10[[#This Row],[TARIFA]]) - SUM(Tabla10[[#This Row],[ALOJAMENTO]], Tabla10[[#This Row],[IMPOSTO]], Tabla10[[#This Row],[CARRO]])</f>
        <v>3464.2001399999999</v>
      </c>
      <c r="O43" s="7"/>
      <c r="P43" s="339"/>
    </row>
    <row r="44" spans="2:16" ht="15" hidden="1" customHeight="1" x14ac:dyDescent="0.35">
      <c r="B44" s="160" t="s">
        <v>7000</v>
      </c>
      <c r="C44" s="1" t="str">
        <f>IF(D44="", "", INDEX(Colaboradores!A:A, MATCH(D44,Colaboradores!C:C, 0)))</f>
        <v>E0232</v>
      </c>
      <c r="D44" s="239" t="s">
        <v>1656</v>
      </c>
      <c r="E44" s="249">
        <v>46035</v>
      </c>
      <c r="F44" s="249"/>
      <c r="G44" s="160">
        <f>IFERROR(VLOOKUP(Tabla10[[#This Row],[COD]],'TotalHorasAjustadas (2)'!D:L,8,FALSE),"")</f>
        <v>159.5</v>
      </c>
      <c r="H44" s="339">
        <v>14</v>
      </c>
      <c r="I44" s="339" t="str">
        <f>IFERROR(VLOOKUP(Tabla10[[#This Row],[COD]],Alojamentos!B:P,11,FALSE),"")</f>
        <v/>
      </c>
      <c r="J44" s="160">
        <f>IF(ISBLANK(Tabla10[[#This Row],[INICIO VINCULO]]), 0, MAX(0, MIN(IF(ISBLANK(Tabla10[[#This Row],[FIM VINCULO]]), DATE(2026,1,31), Tabla10[[#This Row],[FIM VINCULO]]), DATE(2026,1,31)) - MAX(Tabla10[[#This Row],[INICIO VINCULO]], DATE(2026,1,1)) + 1))</f>
        <v>19</v>
      </c>
      <c r="K44" s="339">
        <f>7.05806*Tabla10[[#This Row],[DIAS DE ALTA]]</f>
        <v>134.10314</v>
      </c>
      <c r="L44" s="339">
        <f>IFERROR(VLOOKUP(Tabla10[[#This Row],[COD]],Carro!B:D,3,FALSE),"")</f>
        <v>13.333333333333334</v>
      </c>
      <c r="M44" s="339" t="str">
        <f>IFERROR(VLOOKUP(Tabla10[[#This Row],[COD]],'Outros descontos'!B:P,15,FALSE),"")</f>
        <v/>
      </c>
      <c r="N44" s="7">
        <f>(Tabla10[[#This Row],[HORAS TRABALHADAS]]*Tabla10[[#This Row],[TARIFA]]) - SUM(Tabla10[[#This Row],[ALOJAMENTO]], Tabla10[[#This Row],[IMPOSTO]], Tabla10[[#This Row],[CARRO]])</f>
        <v>2085.5635266666668</v>
      </c>
      <c r="O44" s="7"/>
      <c r="P44" s="339"/>
    </row>
    <row r="45" spans="2:16" ht="15" hidden="1" customHeight="1" x14ac:dyDescent="0.35">
      <c r="B45" s="160" t="s">
        <v>7000</v>
      </c>
      <c r="C45" s="1" t="str">
        <f>IF(D45="", "", INDEX(Colaboradores!A:A, MATCH(D45,Colaboradores!C:C, 0)))</f>
        <v>E0364</v>
      </c>
      <c r="D45" s="239" t="s">
        <v>1679</v>
      </c>
      <c r="E45" s="249">
        <v>45938</v>
      </c>
      <c r="F45" s="249"/>
      <c r="G45" s="160">
        <f>IFERROR(VLOOKUP(Tabla10[[#This Row],[COD]],'TotalHorasAjustadas (2)'!D:L,8,FALSE),"")</f>
        <v>170</v>
      </c>
      <c r="H45" s="339">
        <f>IFERROR(VLOOKUP(Tabla10[[#This Row],[COD]],Tabla15[],4,FALSE),"")</f>
        <v>15</v>
      </c>
      <c r="I45" s="339" t="str">
        <f>IFERROR(VLOOKUP(Tabla10[[#This Row],[COD]],Alojamentos!B:P,11,FALSE),"")</f>
        <v/>
      </c>
      <c r="J45" s="160">
        <f>IF(ISBLANK(Tabla10[[#This Row],[INICIO VINCULO]]), 0, MAX(0, MIN(IF(ISBLANK(Tabla10[[#This Row],[FIM VINCULO]]), DATE(2026,1,31), Tabla10[[#This Row],[FIM VINCULO]]), DATE(2026,1,31)) - MAX(Tabla10[[#This Row],[INICIO VINCULO]], DATE(2026,1,1)) + 1))</f>
        <v>31</v>
      </c>
      <c r="K45" s="339">
        <f>7.05806*Tabla10[[#This Row],[DIAS DE ALTA]]</f>
        <v>218.79986</v>
      </c>
      <c r="L45" s="339" t="str">
        <f>IFERROR(VLOOKUP(Tabla10[[#This Row],[COD]],Carro!B:D,3,FALSE),"")</f>
        <v/>
      </c>
      <c r="M45" s="339" t="str">
        <f>IFERROR(VLOOKUP(Tabla10[[#This Row],[COD]],'Outros descontos'!B:P,15,FALSE),"")</f>
        <v/>
      </c>
      <c r="N45" s="7">
        <f>(Tabla10[[#This Row],[HORAS TRABALHADAS]]*Tabla10[[#This Row],[TARIFA]]) - SUM(Tabla10[[#This Row],[ALOJAMENTO]], Tabla10[[#This Row],[IMPOSTO]], Tabla10[[#This Row],[CARRO]])</f>
        <v>2331.2001399999999</v>
      </c>
      <c r="O45" s="7"/>
      <c r="P45" s="339"/>
    </row>
    <row r="46" spans="2:16" ht="15" hidden="1" customHeight="1" x14ac:dyDescent="0.35">
      <c r="B46" s="160" t="s">
        <v>6999</v>
      </c>
      <c r="C46" s="1" t="str">
        <f>IF(D46="", "", INDEX(Colaboradores!A:A, MATCH(D46,Colaboradores!C:C, 0)))</f>
        <v>E0180</v>
      </c>
      <c r="D46" s="338" t="s">
        <v>1683</v>
      </c>
      <c r="E46" s="249">
        <v>45796</v>
      </c>
      <c r="F46" s="249">
        <v>46052</v>
      </c>
      <c r="G46" s="160">
        <f>IFERROR(VLOOKUP(Tabla10[[#This Row],[COD]],'TotalHorasAjustadas (2)'!D:L,8,FALSE),"")</f>
        <v>253</v>
      </c>
      <c r="H46" s="339">
        <f>IFERROR(VLOOKUP(Tabla10[[#This Row],[COD]],Tabla15[],4,FALSE),"")</f>
        <v>15</v>
      </c>
      <c r="I46" s="339" t="str">
        <f>IFERROR(VLOOKUP(Tabla10[[#This Row],[COD]],Alojamentos!B:P,11,FALSE),"")</f>
        <v/>
      </c>
      <c r="J46" s="160">
        <f>IF(ISBLANK(Tabla10[[#This Row],[INICIO VINCULO]]), 0, MAX(0, MIN(IF(ISBLANK(Tabla10[[#This Row],[FIM VINCULO]]), DATE(2026,1,31), Tabla10[[#This Row],[FIM VINCULO]]), DATE(2026,1,31)) - MAX(Tabla10[[#This Row],[INICIO VINCULO]], DATE(2026,1,1)) + 1))</f>
        <v>30</v>
      </c>
      <c r="K46" s="339">
        <f>7.05806*Tabla10[[#This Row],[DIAS DE ALTA]]</f>
        <v>211.74180000000001</v>
      </c>
      <c r="L46" s="339">
        <f>IFERROR(VLOOKUP(Tabla10[[#This Row],[COD]],Carro!B:D,3,FALSE),"")</f>
        <v>104.44444444444446</v>
      </c>
      <c r="M46" s="339" t="str">
        <f>IFERROR(VLOOKUP(Tabla10[[#This Row],[COD]],'Outros descontos'!B:P,15,FALSE),"")</f>
        <v/>
      </c>
      <c r="N46" s="7">
        <f>(Tabla10[[#This Row],[HORAS TRABALHADAS]]*Tabla10[[#This Row],[TARIFA]]) - SUM(Tabla10[[#This Row],[ALOJAMENTO]], Tabla10[[#This Row],[IMPOSTO]], Tabla10[[#This Row],[CARRO]])</f>
        <v>3478.8137555555554</v>
      </c>
      <c r="O46" s="7"/>
      <c r="P46" s="339"/>
    </row>
    <row r="47" spans="2:16" ht="15" hidden="1" customHeight="1" x14ac:dyDescent="0.35">
      <c r="B47" s="160" t="s">
        <v>7000</v>
      </c>
      <c r="C47" s="1" t="str">
        <f>IF(D47="", "", INDEX(Colaboradores!A:A, MATCH(D47,Colaboradores!C:C, 0)))</f>
        <v>E1712</v>
      </c>
      <c r="D47" s="239" t="s">
        <v>1721</v>
      </c>
      <c r="E47" s="249">
        <v>46037</v>
      </c>
      <c r="F47" s="249"/>
      <c r="G47" s="160">
        <f>IFERROR(VLOOKUP(Tabla10[[#This Row],[COD]],'TotalHorasAjustadas (2)'!D:L,8,FALSE),"")</f>
        <v>173</v>
      </c>
      <c r="H47" s="339">
        <f>IFERROR(VLOOKUP(Tabla10[[#This Row],[COD]],Tabla15[],4,FALSE),"")</f>
        <v>15</v>
      </c>
      <c r="I47" s="339" t="str">
        <f>IFERROR(VLOOKUP(Tabla10[[#This Row],[COD]],Alojamentos!B:P,11,FALSE),"")</f>
        <v/>
      </c>
      <c r="J47" s="160">
        <f>IF(ISBLANK(Tabla10[[#This Row],[INICIO VINCULO]]), 0, MAX(0, MIN(IF(ISBLANK(Tabla10[[#This Row],[FIM VINCULO]]), DATE(2026,1,31), Tabla10[[#This Row],[FIM VINCULO]]), DATE(2026,1,31)) - MAX(Tabla10[[#This Row],[INICIO VINCULO]], DATE(2026,1,1)) + 1))</f>
        <v>17</v>
      </c>
      <c r="K47" s="339">
        <f>7.05806*Tabla10[[#This Row],[DIAS DE ALTA]]</f>
        <v>119.98702</v>
      </c>
      <c r="L47" s="339" t="str">
        <f>IFERROR(VLOOKUP(Tabla10[[#This Row],[COD]],Carro!B:D,3,FALSE),"")</f>
        <v/>
      </c>
      <c r="M47" s="339" t="str">
        <f>IFERROR(VLOOKUP(Tabla10[[#This Row],[COD]],'Outros descontos'!B:P,15,FALSE),"")</f>
        <v/>
      </c>
      <c r="N47" s="7">
        <f>(Tabla10[[#This Row],[HORAS TRABALHADAS]]*Tabla10[[#This Row],[TARIFA]]) - SUM(Tabla10[[#This Row],[ALOJAMENTO]], Tabla10[[#This Row],[IMPOSTO]], Tabla10[[#This Row],[CARRO]])</f>
        <v>2475.01298</v>
      </c>
      <c r="O47" s="7"/>
      <c r="P47" s="339"/>
    </row>
    <row r="48" spans="2:16" ht="15" hidden="1" customHeight="1" x14ac:dyDescent="0.35">
      <c r="B48" s="160" t="s">
        <v>6999</v>
      </c>
      <c r="C48" s="1" t="str">
        <f>IF(D48="", "", INDEX(Colaboradores!A:A, MATCH(D48,Colaboradores!C:C, 0)))</f>
        <v>E0233</v>
      </c>
      <c r="D48" s="338" t="s">
        <v>1750</v>
      </c>
      <c r="E48" s="249">
        <v>45769</v>
      </c>
      <c r="F48" s="249">
        <v>46052</v>
      </c>
      <c r="G48" s="160">
        <f>IFERROR(VLOOKUP(Tabla10[[#This Row],[COD]],'TotalHorasAjustadas (2)'!D:L,8,FALSE),"")</f>
        <v>143</v>
      </c>
      <c r="H48" s="339">
        <f>IFERROR(VLOOKUP(Tabla10[[#This Row],[COD]],Tabla15[],4,FALSE),"")</f>
        <v>14</v>
      </c>
      <c r="I48" s="339" t="str">
        <f>IFERROR(VLOOKUP(Tabla10[[#This Row],[COD]],Alojamentos!B:P,11,FALSE),"")</f>
        <v/>
      </c>
      <c r="J48" s="160">
        <f>IF(ISBLANK(Tabla10[[#This Row],[INICIO VINCULO]]), 0, MAX(0, MIN(IF(ISBLANK(Tabla10[[#This Row],[FIM VINCULO]]), DATE(2026,1,31), Tabla10[[#This Row],[FIM VINCULO]]), DATE(2026,1,31)) - MAX(Tabla10[[#This Row],[INICIO VINCULO]], DATE(2026,1,1)) + 1))</f>
        <v>30</v>
      </c>
      <c r="K48" s="339">
        <f>7.05806*Tabla10[[#This Row],[DIAS DE ALTA]]</f>
        <v>211.74180000000001</v>
      </c>
      <c r="L48" s="339" t="str">
        <f>IFERROR(VLOOKUP(Tabla10[[#This Row],[COD]],Carro!B:D,3,FALSE),"")</f>
        <v/>
      </c>
      <c r="M48" s="339" t="str">
        <f>IFERROR(VLOOKUP(Tabla10[[#This Row],[COD]],'Outros descontos'!B:P,15,FALSE),"")</f>
        <v/>
      </c>
      <c r="N48" s="7">
        <f>(Tabla10[[#This Row],[HORAS TRABALHADAS]]*Tabla10[[#This Row],[TARIFA]]) - SUM(Tabla10[[#This Row],[ALOJAMENTO]], Tabla10[[#This Row],[IMPOSTO]], Tabla10[[#This Row],[CARRO]])</f>
        <v>1790.2582</v>
      </c>
      <c r="O48" s="7"/>
      <c r="P48" s="339"/>
    </row>
    <row r="49" spans="2:16" ht="15" hidden="1" customHeight="1" x14ac:dyDescent="0.35">
      <c r="B49" s="160" t="s">
        <v>7002</v>
      </c>
      <c r="C49" s="160" t="str">
        <f>IF(D49="", "", INDEX(Colaboradores!A:A, MATCH(D49,Colaboradores!C:C, 0)))</f>
        <v>E0873</v>
      </c>
      <c r="D49" s="338" t="s">
        <v>1780</v>
      </c>
      <c r="E49" s="249">
        <v>46051</v>
      </c>
      <c r="F49" s="249"/>
      <c r="G49" s="160">
        <f>IFERROR(VLOOKUP(Tabla10[[#This Row],[COD]],'TotalHorasAjustadas (2)'!D:L,8,FALSE),"")</f>
        <v>132</v>
      </c>
      <c r="H49" s="339">
        <f>IFERROR(VLOOKUP(Tabla10[[#This Row],[COD]],Tabla15[],4,FALSE),"")</f>
        <v>15</v>
      </c>
      <c r="I49" s="339" t="str">
        <f>IFERROR(VLOOKUP(Tabla10[[#This Row],[COD]],Alojamentos!B:P,11,FALSE),"")</f>
        <v/>
      </c>
      <c r="J49" s="160">
        <f>IF(ISBLANK(Tabla10[[#This Row],[INICIO VINCULO]]), 0, MAX(0, MIN(IF(ISBLANK(Tabla10[[#This Row],[FIM VINCULO]]), DATE(2026,1,31), Tabla10[[#This Row],[FIM VINCULO]]), DATE(2026,1,31)) - MAX(Tabla10[[#This Row],[INICIO VINCULO]], DATE(2026,1,1)) + 1))</f>
        <v>3</v>
      </c>
      <c r="K49" s="339">
        <f>7.05806*Tabla10[[#This Row],[DIAS DE ALTA]]</f>
        <v>21.17418</v>
      </c>
      <c r="L49" s="339">
        <f>IFERROR(VLOOKUP(Tabla10[[#This Row],[COD]],Carro!B:D,3,FALSE),"")</f>
        <v>128.88888888888889</v>
      </c>
      <c r="M49" s="339" t="str">
        <f>IFERROR(VLOOKUP(Tabla10[[#This Row],[COD]],'Outros descontos'!B:P,15,FALSE),"")</f>
        <v/>
      </c>
      <c r="N49" s="7">
        <f>(Tabla10[[#This Row],[HORAS TRABALHADAS]]*Tabla10[[#This Row],[TARIFA]]) - SUM(Tabla10[[#This Row],[ALOJAMENTO]], Tabla10[[#This Row],[IMPOSTO]], Tabla10[[#This Row],[CARRO]])</f>
        <v>1829.9369311111111</v>
      </c>
      <c r="O49" s="7"/>
      <c r="P49" s="339"/>
    </row>
    <row r="50" spans="2:16" ht="15" hidden="1" customHeight="1" x14ac:dyDescent="0.35">
      <c r="B50" s="160" t="s">
        <v>7002</v>
      </c>
      <c r="C50" s="160" t="str">
        <f>IF(D50="", "", INDEX(Colaboradores!A:A, MATCH(D50,Colaboradores!C:C, 0)))</f>
        <v>E0537</v>
      </c>
      <c r="D50" s="338" t="s">
        <v>1802</v>
      </c>
      <c r="E50" s="249">
        <v>46036</v>
      </c>
      <c r="F50" s="249">
        <v>46041</v>
      </c>
      <c r="G50" s="348">
        <v>0</v>
      </c>
      <c r="H50" s="339">
        <f>IFERROR(VLOOKUP(Tabla10[[#This Row],[COD]],Tabla15[],4,FALSE),"")</f>
        <v>15</v>
      </c>
      <c r="I50" s="339" t="str">
        <f>IFERROR(VLOOKUP(Tabla10[[#This Row],[COD]],Alojamentos!B:P,11,FALSE),"")</f>
        <v/>
      </c>
      <c r="J50" s="160">
        <f>IF(ISBLANK(Tabla10[[#This Row],[INICIO VINCULO]]), 0, MAX(0, MIN(IF(ISBLANK(Tabla10[[#This Row],[FIM VINCULO]]), DATE(2026,1,31), Tabla10[[#This Row],[FIM VINCULO]]), DATE(2026,1,31)) - MAX(Tabla10[[#This Row],[INICIO VINCULO]], DATE(2026,1,1)) + 1))</f>
        <v>6</v>
      </c>
      <c r="K50" s="339">
        <f>7.05806*Tabla10[[#This Row],[DIAS DE ALTA]]</f>
        <v>42.34836</v>
      </c>
      <c r="L50" s="339" t="str">
        <f>IFERROR(VLOOKUP(Tabla10[[#This Row],[COD]],Carro!B:D,3,FALSE),"")</f>
        <v/>
      </c>
      <c r="M50" s="339" t="str">
        <f>IFERROR(VLOOKUP(Tabla10[[#This Row],[COD]],'Outros descontos'!B:P,15,FALSE),"")</f>
        <v/>
      </c>
      <c r="N50" s="7">
        <v>0</v>
      </c>
      <c r="O50" s="7"/>
      <c r="P50" s="339"/>
    </row>
    <row r="51" spans="2:16" ht="15" hidden="1" customHeight="1" x14ac:dyDescent="0.35">
      <c r="B51" s="160" t="s">
        <v>7000</v>
      </c>
      <c r="C51" s="347"/>
      <c r="D51" s="239" t="s">
        <v>7006</v>
      </c>
      <c r="E51" s="249">
        <v>45734</v>
      </c>
      <c r="F51" s="249"/>
      <c r="G51" s="348">
        <v>160</v>
      </c>
      <c r="H51" s="339">
        <v>0</v>
      </c>
      <c r="I51" s="339" t="str">
        <f>IFERROR(VLOOKUP(Tabla10[[#This Row],[COD]],Alojamentos!B:P,11,FALSE),"")</f>
        <v/>
      </c>
      <c r="J51" s="160">
        <f>IF(ISBLANK(Tabla10[[#This Row],[INICIO VINCULO]]), 0, MAX(0, MIN(IF(ISBLANK(Tabla10[[#This Row],[FIM VINCULO]]), DATE(2026,1,31), Tabla10[[#This Row],[FIM VINCULO]]), DATE(2026,1,31)) - MAX(Tabla10[[#This Row],[INICIO VINCULO]], DATE(2026,1,1)) + 1))</f>
        <v>31</v>
      </c>
      <c r="K51" s="339">
        <v>0</v>
      </c>
      <c r="L51" s="339" t="str">
        <f>IFERROR(VLOOKUP(Tabla10[[#This Row],[COD]],Carro!B:D,3,FALSE),"")</f>
        <v/>
      </c>
      <c r="M51" s="339" t="str">
        <f>IFERROR(VLOOKUP(Tabla10[[#This Row],[COD]],'Outros descontos'!B:P,15,FALSE),"")</f>
        <v/>
      </c>
      <c r="N51" s="7">
        <v>2000</v>
      </c>
      <c r="O51" s="7"/>
      <c r="P51" s="339"/>
    </row>
    <row r="52" spans="2:16" ht="15" hidden="1" customHeight="1" x14ac:dyDescent="0.35">
      <c r="B52" s="160" t="s">
        <v>6999</v>
      </c>
      <c r="C52" s="1" t="str">
        <f>IF(D52="", "", INDEX(Colaboradores!A:A, MATCH(D52,Colaboradores!C:C, 0)))</f>
        <v>E0424</v>
      </c>
      <c r="D52" s="338" t="s">
        <v>1839</v>
      </c>
      <c r="E52" s="249">
        <v>45769</v>
      </c>
      <c r="F52" s="249">
        <v>46027</v>
      </c>
      <c r="G52" s="160">
        <v>20.059999999999999</v>
      </c>
      <c r="H52" s="339">
        <f>IFERROR(VLOOKUP(Tabla10[[#This Row],[COD]],Tabla15[],4,FALSE),"")</f>
        <v>15</v>
      </c>
      <c r="I52" s="339" t="str">
        <f>IFERROR(VLOOKUP(Tabla10[[#This Row],[COD]],Alojamentos!B:P,11,FALSE),"")</f>
        <v/>
      </c>
      <c r="J52" s="160">
        <f>IF(ISBLANK(Tabla10[[#This Row],[INICIO VINCULO]]), 0, MAX(0, MIN(IF(ISBLANK(Tabla10[[#This Row],[FIM VINCULO]]), DATE(2026,1,31), Tabla10[[#This Row],[FIM VINCULO]]), DATE(2026,1,31)) - MAX(Tabla10[[#This Row],[INICIO VINCULO]], DATE(2026,1,1)) + 1))</f>
        <v>5</v>
      </c>
      <c r="K52" s="339">
        <f>7.05806*Tabla10[[#This Row],[DIAS DE ALTA]]</f>
        <v>35.290300000000002</v>
      </c>
      <c r="L52" s="339" t="str">
        <f>IFERROR(VLOOKUP(Tabla10[[#This Row],[COD]],Carro!B:D,3,FALSE),"")</f>
        <v/>
      </c>
      <c r="M52" s="339" t="str">
        <f>IFERROR(VLOOKUP(Tabla10[[#This Row],[COD]],'Outros descontos'!B:P,15,FALSE),"")</f>
        <v/>
      </c>
      <c r="N52" s="7">
        <f>(Tabla10[[#This Row],[HORAS TRABALHADAS]]*Tabla10[[#This Row],[TARIFA]]) - SUM(Tabla10[[#This Row],[ALOJAMENTO]], Tabla10[[#This Row],[IMPOSTO]], Tabla10[[#This Row],[CARRO]])</f>
        <v>265.60969999999998</v>
      </c>
      <c r="O52" s="7"/>
      <c r="P52" s="339"/>
    </row>
    <row r="53" spans="2:16" ht="15" hidden="1" customHeight="1" x14ac:dyDescent="0.35">
      <c r="B53" s="160" t="s">
        <v>7002</v>
      </c>
      <c r="C53" s="160" t="str">
        <f>IF(D53="", "", INDEX(Colaboradores!A:A, MATCH(D53,Colaboradores!C:C, 0)))</f>
        <v>E0424</v>
      </c>
      <c r="D53" s="338" t="s">
        <v>1839</v>
      </c>
      <c r="E53" s="249">
        <v>46028</v>
      </c>
      <c r="F53" s="249"/>
      <c r="G53" s="160">
        <v>170</v>
      </c>
      <c r="H53" s="339">
        <f>IFERROR(VLOOKUP(Tabla10[[#This Row],[COD]],Tabla15[],4,FALSE),"")</f>
        <v>15</v>
      </c>
      <c r="I53" s="339" t="str">
        <f>IFERROR(VLOOKUP(Tabla10[[#This Row],[COD]],Alojamentos!B:P,11,FALSE),"")</f>
        <v/>
      </c>
      <c r="J53" s="160">
        <f>IF(ISBLANK(Tabla10[[#This Row],[INICIO VINCULO]]), 0, MAX(0, MIN(IF(ISBLANK(Tabla10[[#This Row],[FIM VINCULO]]), DATE(2026,1,31), Tabla10[[#This Row],[FIM VINCULO]]), DATE(2026,1,31)) - MAX(Tabla10[[#This Row],[INICIO VINCULO]], DATE(2026,1,1)) + 1))</f>
        <v>26</v>
      </c>
      <c r="K53" s="339">
        <f>7.05806*Tabla10[[#This Row],[DIAS DE ALTA]]</f>
        <v>183.50955999999999</v>
      </c>
      <c r="L53" s="339" t="str">
        <f>IFERROR(VLOOKUP(Tabla10[[#This Row],[COD]],Carro!B:D,3,FALSE),"")</f>
        <v/>
      </c>
      <c r="M53" s="339" t="str">
        <f>IFERROR(VLOOKUP(Tabla10[[#This Row],[COD]],'Outros descontos'!B:P,15,FALSE),"")</f>
        <v/>
      </c>
      <c r="N53" s="7">
        <f>(Tabla10[[#This Row],[HORAS TRABALHADAS]]*Tabla10[[#This Row],[TARIFA]]) - SUM(Tabla10[[#This Row],[ALOJAMENTO]], Tabla10[[#This Row],[IMPOSTO]], Tabla10[[#This Row],[CARRO]])</f>
        <v>2366.49044</v>
      </c>
      <c r="O53" s="7"/>
      <c r="P53" s="339"/>
    </row>
    <row r="54" spans="2:16" ht="15" hidden="1" customHeight="1" x14ac:dyDescent="0.35">
      <c r="B54" s="160" t="s">
        <v>7002</v>
      </c>
      <c r="C54" s="160" t="str">
        <f>IF(D54="", "", INDEX(Colaboradores!A:A, MATCH(D54,Colaboradores!C:C, 0)))</f>
        <v>E1117</v>
      </c>
      <c r="D54" s="338" t="s">
        <v>1888</v>
      </c>
      <c r="E54" s="249">
        <v>45979</v>
      </c>
      <c r="F54" s="249"/>
      <c r="G54" s="160">
        <f>IFERROR(VLOOKUP(Tabla10[[#This Row],[COD]],'TotalHorasAjustadas (2)'!D:L,8,FALSE),"")</f>
        <v>151.5</v>
      </c>
      <c r="H54" s="339">
        <f>IFERROR(VLOOKUP(Tabla10[[#This Row],[COD]],Tabla15[],4,FALSE),"")</f>
        <v>15</v>
      </c>
      <c r="I54" s="339" t="str">
        <f>IFERROR(VLOOKUP(Tabla10[[#This Row],[COD]],Alojamentos!B:P,11,FALSE),"")</f>
        <v/>
      </c>
      <c r="J54" s="160">
        <f>IF(ISBLANK(Tabla10[[#This Row],[INICIO VINCULO]]), 0, MAX(0, MIN(IF(ISBLANK(Tabla10[[#This Row],[FIM VINCULO]]), DATE(2026,1,31), Tabla10[[#This Row],[FIM VINCULO]]), DATE(2026,1,31)) - MAX(Tabla10[[#This Row],[INICIO VINCULO]], DATE(2026,1,1)) + 1))</f>
        <v>31</v>
      </c>
      <c r="K54" s="339">
        <f>7.05806*Tabla10[[#This Row],[DIAS DE ALTA]]</f>
        <v>218.79986</v>
      </c>
      <c r="L54" s="339" t="str">
        <f>IFERROR(VLOOKUP(Tabla10[[#This Row],[COD]],Carro!B:D,3,FALSE),"")</f>
        <v/>
      </c>
      <c r="M54" s="339">
        <f>IFERROR(VLOOKUP(Tabla10[[#This Row],[COD]],'Outros descontos'!B:P,15,FALSE),"")</f>
        <v>21.74</v>
      </c>
      <c r="N54" s="7">
        <f>(Tabla10[[#This Row],[HORAS TRABALHADAS]]*Tabla10[[#This Row],[TARIFA]]) - SUM(Tabla10[[#This Row],[ALOJAMENTO]], Tabla10[[#This Row],[IMPOSTO]], Tabla10[[#This Row],[CARRO]])</f>
        <v>2053.7001399999999</v>
      </c>
      <c r="O54" s="7"/>
      <c r="P54" s="339"/>
    </row>
    <row r="55" spans="2:16" ht="15" hidden="1" customHeight="1" x14ac:dyDescent="0.35">
      <c r="B55" s="160" t="s">
        <v>7000</v>
      </c>
      <c r="C55" s="1" t="str">
        <f>IF(D55="", "", INDEX(Colaboradores!A:A, MATCH(D55,Colaboradores!C:C, 0)))</f>
        <v>E1713</v>
      </c>
      <c r="D55" s="239" t="s">
        <v>1905</v>
      </c>
      <c r="E55" s="249">
        <v>45945</v>
      </c>
      <c r="F55" s="249">
        <v>46052</v>
      </c>
      <c r="G55" s="160">
        <f>IFERROR(VLOOKUP(Tabla10[[#This Row],[COD]],'TotalHorasAjustadas (2)'!D:L,8,FALSE),"")</f>
        <v>162</v>
      </c>
      <c r="H55" s="339">
        <f>IFERROR(VLOOKUP(Tabla10[[#This Row],[COD]],Tabla15[],4,FALSE),"")</f>
        <v>15</v>
      </c>
      <c r="I55" s="339">
        <f>IFERROR(VLOOKUP(Tabla10[[#This Row],[COD]],Alojamentos!B:P,11,FALSE),"")</f>
        <v>300</v>
      </c>
      <c r="J55" s="160">
        <f>IF(ISBLANK(Tabla10[[#This Row],[INICIO VINCULO]]), 0, MAX(0, MIN(IF(ISBLANK(Tabla10[[#This Row],[FIM VINCULO]]), DATE(2026,1,31), Tabla10[[#This Row],[FIM VINCULO]]), DATE(2026,1,31)) - MAX(Tabla10[[#This Row],[INICIO VINCULO]], DATE(2026,1,1)) + 1))</f>
        <v>30</v>
      </c>
      <c r="K55" s="339">
        <f>7.05806*Tabla10[[#This Row],[DIAS DE ALTA]]</f>
        <v>211.74180000000001</v>
      </c>
      <c r="L55" s="339" t="str">
        <f>IFERROR(VLOOKUP(Tabla10[[#This Row],[COD]],Carro!B:D,3,FALSE),"")</f>
        <v/>
      </c>
      <c r="M55" s="339" t="str">
        <f>IFERROR(VLOOKUP(Tabla10[[#This Row],[COD]],'Outros descontos'!B:P,15,FALSE),"")</f>
        <v/>
      </c>
      <c r="N55" s="7">
        <f>(Tabla10[[#This Row],[HORAS TRABALHADAS]]*Tabla10[[#This Row],[TARIFA]]) - SUM(Tabla10[[#This Row],[ALOJAMENTO]], Tabla10[[#This Row],[IMPOSTO]], Tabla10[[#This Row],[CARRO]])</f>
        <v>1918.2582</v>
      </c>
      <c r="O55" s="7"/>
      <c r="P55" s="339"/>
    </row>
    <row r="56" spans="2:16" ht="15" hidden="1" customHeight="1" x14ac:dyDescent="0.35">
      <c r="B56" s="160" t="s">
        <v>7000</v>
      </c>
      <c r="C56" s="347"/>
      <c r="D56" s="239" t="s">
        <v>7007</v>
      </c>
      <c r="E56" s="249">
        <v>45819</v>
      </c>
      <c r="F56" s="249"/>
      <c r="G56" s="348">
        <v>160</v>
      </c>
      <c r="H56" s="339">
        <v>0</v>
      </c>
      <c r="I56" s="339" t="str">
        <f>IFERROR(VLOOKUP(Tabla10[[#This Row],[COD]],Alojamentos!B:P,11,FALSE),"")</f>
        <v/>
      </c>
      <c r="J56" s="160">
        <f>IF(ISBLANK(Tabla10[[#This Row],[INICIO VINCULO]]), 0, MAX(0, MIN(IF(ISBLANK(Tabla10[[#This Row],[FIM VINCULO]]), DATE(2026,1,31), Tabla10[[#This Row],[FIM VINCULO]]), DATE(2026,1,31)) - MAX(Tabla10[[#This Row],[INICIO VINCULO]], DATE(2026,1,1)) + 1))</f>
        <v>31</v>
      </c>
      <c r="K56" s="339">
        <v>0</v>
      </c>
      <c r="L56" s="339" t="str">
        <f>IFERROR(VLOOKUP(Tabla10[[#This Row],[COD]],Carro!B:D,3,FALSE),"")</f>
        <v/>
      </c>
      <c r="M56" s="339" t="str">
        <f>IFERROR(VLOOKUP(Tabla10[[#This Row],[COD]],'Outros descontos'!B:P,15,FALSE),"")</f>
        <v/>
      </c>
      <c r="N56" s="7">
        <v>1325</v>
      </c>
      <c r="O56" s="7"/>
      <c r="P56" s="339"/>
    </row>
    <row r="57" spans="2:16" ht="15" hidden="1" customHeight="1" x14ac:dyDescent="0.35">
      <c r="B57" s="160" t="s">
        <v>7001</v>
      </c>
      <c r="C57" s="1" t="str">
        <f>IF(D57="", "", INDEX(Colaboradores!A:A, MATCH(D57,Colaboradores!C:C, 0)))</f>
        <v>E0125</v>
      </c>
      <c r="D57" s="338" t="s">
        <v>1939</v>
      </c>
      <c r="E57" s="249">
        <v>45761</v>
      </c>
      <c r="F57" s="249">
        <v>46052</v>
      </c>
      <c r="G57" s="160">
        <f>IFERROR(VLOOKUP(Tabla10[[#This Row],[COD]],'TotalHorasAjustadas (2)'!D:L,8,FALSE),"")</f>
        <v>142</v>
      </c>
      <c r="H57" s="339">
        <f>IFERROR(VLOOKUP(Tabla10[[#This Row],[COD]],Tabla15[],4,FALSE),"")</f>
        <v>15</v>
      </c>
      <c r="I57" s="339" t="str">
        <f>IFERROR(VLOOKUP(Tabla10[[#This Row],[COD]],Alojamentos!B:P,11,FALSE),"")</f>
        <v/>
      </c>
      <c r="J57" s="160">
        <f>IF(ISBLANK(Tabla10[[#This Row],[INICIO VINCULO]]), 0, MAX(0, MIN(IF(ISBLANK(Tabla10[[#This Row],[FIM VINCULO]]), DATE(2026,1,31), Tabla10[[#This Row],[FIM VINCULO]]), DATE(2026,1,31)) - MAX(Tabla10[[#This Row],[INICIO VINCULO]], DATE(2026,1,1)) + 1))</f>
        <v>30</v>
      </c>
      <c r="K57" s="339">
        <f>7.05806*Tabla10[[#This Row],[DIAS DE ALTA]]</f>
        <v>211.74180000000001</v>
      </c>
      <c r="L57" s="339">
        <f>IFERROR(VLOOKUP(Tabla10[[#This Row],[COD]],Carro!B:D,3,FALSE),"")</f>
        <v>66.666666666666671</v>
      </c>
      <c r="M57" s="339" t="str">
        <f>IFERROR(VLOOKUP(Tabla10[[#This Row],[COD]],'Outros descontos'!B:P,15,FALSE),"")</f>
        <v/>
      </c>
      <c r="N57" s="7">
        <f>(Tabla10[[#This Row],[HORAS TRABALHADAS]]*Tabla10[[#This Row],[TARIFA]]) - SUM(Tabla10[[#This Row],[ALOJAMENTO]], Tabla10[[#This Row],[IMPOSTO]], Tabla10[[#This Row],[CARRO]])</f>
        <v>1851.5915333333332</v>
      </c>
      <c r="O57" s="7"/>
      <c r="P57" s="339"/>
    </row>
    <row r="58" spans="2:16" ht="15" hidden="1" customHeight="1" x14ac:dyDescent="0.35">
      <c r="B58" s="160" t="s">
        <v>7000</v>
      </c>
      <c r="C58" s="1" t="str">
        <f>IF(D58="", "", INDEX(Colaboradores!A:A, MATCH(D58,Colaboradores!C:C, 0)))</f>
        <v>E0389</v>
      </c>
      <c r="D58" s="239" t="s">
        <v>1974</v>
      </c>
      <c r="E58" s="249">
        <v>45939</v>
      </c>
      <c r="F58" s="249"/>
      <c r="G58" s="160">
        <f>IFERROR(VLOOKUP(Tabla10[[#This Row],[COD]],'TotalHorasAjustadas (2)'!D:L,8,FALSE),"")</f>
        <v>176</v>
      </c>
      <c r="H58" s="339">
        <f>IFERROR(VLOOKUP(Tabla10[[#This Row],[COD]],Tabla15[],4,FALSE),"")</f>
        <v>15</v>
      </c>
      <c r="I58" s="339">
        <f>IFERROR(VLOOKUP(Tabla10[[#This Row],[COD]],Alojamentos!B:P,11,FALSE),"")</f>
        <v>300</v>
      </c>
      <c r="J58" s="160">
        <f>IF(ISBLANK(Tabla10[[#This Row],[INICIO VINCULO]]), 0, MAX(0, MIN(IF(ISBLANK(Tabla10[[#This Row],[FIM VINCULO]]), DATE(2026,1,31), Tabla10[[#This Row],[FIM VINCULO]]), DATE(2026,1,31)) - MAX(Tabla10[[#This Row],[INICIO VINCULO]], DATE(2026,1,1)) + 1))</f>
        <v>31</v>
      </c>
      <c r="K58" s="339">
        <f>7.05806*Tabla10[[#This Row],[DIAS DE ALTA]]</f>
        <v>218.79986</v>
      </c>
      <c r="L58" s="339" t="str">
        <f>IFERROR(VLOOKUP(Tabla10[[#This Row],[COD]],Carro!B:D,3,FALSE),"")</f>
        <v/>
      </c>
      <c r="M58" s="339" t="str">
        <f>IFERROR(VLOOKUP(Tabla10[[#This Row],[COD]],'Outros descontos'!B:P,15,FALSE),"")</f>
        <v/>
      </c>
      <c r="N58" s="7">
        <f>(Tabla10[[#This Row],[HORAS TRABALHADAS]]*Tabla10[[#This Row],[TARIFA]]) - SUM(Tabla10[[#This Row],[ALOJAMENTO]], Tabla10[[#This Row],[IMPOSTO]], Tabla10[[#This Row],[CARRO]])</f>
        <v>2121.2001399999999</v>
      </c>
      <c r="O58" s="7"/>
      <c r="P58" s="339"/>
    </row>
    <row r="59" spans="2:16" ht="15" hidden="1" customHeight="1" x14ac:dyDescent="0.35">
      <c r="B59" s="160" t="s">
        <v>7002</v>
      </c>
      <c r="C59" s="160" t="str">
        <f>IF(D59="", "", INDEX(Colaboradores!A:A, MATCH(D59,Colaboradores!C:C, 0)))</f>
        <v>E0429</v>
      </c>
      <c r="D59" s="338" t="s">
        <v>2007</v>
      </c>
      <c r="E59" s="249">
        <v>46013</v>
      </c>
      <c r="F59" s="249"/>
      <c r="G59" s="160">
        <f>IFERROR(VLOOKUP(Tabla10[[#This Row],[COD]],'TotalHorasAjustadas (2)'!D:L,8,FALSE),"")</f>
        <v>176.55999999999995</v>
      </c>
      <c r="H59" s="339">
        <f>IFERROR(VLOOKUP(Tabla10[[#This Row],[COD]],Tabla15[],4,FALSE),"")</f>
        <v>15</v>
      </c>
      <c r="I59" s="339" t="str">
        <f>IFERROR(VLOOKUP(Tabla10[[#This Row],[COD]],Alojamentos!B:P,11,FALSE),"")</f>
        <v/>
      </c>
      <c r="J59" s="160">
        <f>IF(ISBLANK(Tabla10[[#This Row],[INICIO VINCULO]]), 0, MAX(0, MIN(IF(ISBLANK(Tabla10[[#This Row],[FIM VINCULO]]), DATE(2026,1,31), Tabla10[[#This Row],[FIM VINCULO]]), DATE(2026,1,31)) - MAX(Tabla10[[#This Row],[INICIO VINCULO]], DATE(2026,1,1)) + 1))</f>
        <v>31</v>
      </c>
      <c r="K59" s="339">
        <f>7.05806*Tabla10[[#This Row],[DIAS DE ALTA]]</f>
        <v>218.79986</v>
      </c>
      <c r="L59" s="339" t="str">
        <f>IFERROR(VLOOKUP(Tabla10[[#This Row],[COD]],Carro!B:D,3,FALSE),"")</f>
        <v/>
      </c>
      <c r="M59" s="339" t="str">
        <f>IFERROR(VLOOKUP(Tabla10[[#This Row],[COD]],'Outros descontos'!B:P,15,FALSE),"")</f>
        <v/>
      </c>
      <c r="N59" s="7">
        <f>(Tabla10[[#This Row],[HORAS TRABALHADAS]]*Tabla10[[#This Row],[TARIFA]]) - SUM(Tabla10[[#This Row],[ALOJAMENTO]], Tabla10[[#This Row],[IMPOSTO]], Tabla10[[#This Row],[CARRO]])</f>
        <v>2429.6001399999991</v>
      </c>
      <c r="O59" s="7"/>
      <c r="P59" s="339"/>
    </row>
    <row r="60" spans="2:16" ht="15" hidden="1" customHeight="1" x14ac:dyDescent="0.35">
      <c r="B60" s="160" t="s">
        <v>7000</v>
      </c>
      <c r="C60" s="347"/>
      <c r="D60" s="239" t="s">
        <v>7008</v>
      </c>
      <c r="E60" s="249">
        <v>45819</v>
      </c>
      <c r="F60" s="249"/>
      <c r="G60" s="348">
        <v>160</v>
      </c>
      <c r="H60" s="339">
        <v>0</v>
      </c>
      <c r="I60" s="339" t="str">
        <f>IFERROR(VLOOKUP(Tabla10[[#This Row],[COD]],Alojamentos!B:P,11,FALSE),"")</f>
        <v/>
      </c>
      <c r="J60" s="160">
        <f>IF(ISBLANK(Tabla10[[#This Row],[INICIO VINCULO]]), 0, MAX(0, MIN(IF(ISBLANK(Tabla10[[#This Row],[FIM VINCULO]]), DATE(2026,1,31), Tabla10[[#This Row],[FIM VINCULO]]), DATE(2026,1,31)) - MAX(Tabla10[[#This Row],[INICIO VINCULO]], DATE(2026,1,1)) + 1))</f>
        <v>31</v>
      </c>
      <c r="K60" s="339">
        <v>0</v>
      </c>
      <c r="L60" s="339" t="str">
        <f>IFERROR(VLOOKUP(Tabla10[[#This Row],[COD]],Carro!B:D,3,FALSE),"")</f>
        <v/>
      </c>
      <c r="M60" s="339" t="str">
        <f>IFERROR(VLOOKUP(Tabla10[[#This Row],[COD]],'Outros descontos'!B:P,15,FALSE),"")</f>
        <v/>
      </c>
      <c r="N60" s="7">
        <v>2481.89</v>
      </c>
      <c r="O60" s="7"/>
      <c r="P60" s="339"/>
    </row>
    <row r="61" spans="2:16" ht="15" hidden="1" customHeight="1" x14ac:dyDescent="0.35">
      <c r="B61" s="160" t="s">
        <v>7001</v>
      </c>
      <c r="C61" s="1" t="str">
        <f>IF(D61="", "", INDEX(Colaboradores!A:A, MATCH(D61,Colaboradores!C:C, 0)))</f>
        <v>E2082</v>
      </c>
      <c r="D61" s="338" t="s">
        <v>2123</v>
      </c>
      <c r="E61" s="249">
        <v>45761</v>
      </c>
      <c r="F61" s="249">
        <v>46052</v>
      </c>
      <c r="G61" s="160">
        <f>IFERROR(VLOOKUP(Tabla10[[#This Row],[COD]],'TotalHorasAjustadas (2)'!D:L,8,FALSE),"")</f>
        <v>135</v>
      </c>
      <c r="H61" s="339">
        <v>15</v>
      </c>
      <c r="I61" s="339" t="str">
        <f>IFERROR(VLOOKUP(Tabla10[[#This Row],[COD]],Alojamentos!B:P,11,FALSE),"")</f>
        <v/>
      </c>
      <c r="J61" s="160">
        <f>IF(ISBLANK(Tabla10[[#This Row],[INICIO VINCULO]]), 0, MAX(0, MIN(IF(ISBLANK(Tabla10[[#This Row],[FIM VINCULO]]), DATE(2026,1,31), Tabla10[[#This Row],[FIM VINCULO]]), DATE(2026,1,31)) - MAX(Tabla10[[#This Row],[INICIO VINCULO]], DATE(2026,1,1)) + 1))</f>
        <v>30</v>
      </c>
      <c r="K61" s="339">
        <f>7.05806*Tabla10[[#This Row],[DIAS DE ALTA]]</f>
        <v>211.74180000000001</v>
      </c>
      <c r="L61" s="339" t="str">
        <f>IFERROR(VLOOKUP(Tabla10[[#This Row],[COD]],Carro!B:D,3,FALSE),"")</f>
        <v/>
      </c>
      <c r="M61" s="339" t="str">
        <f>IFERROR(VLOOKUP(Tabla10[[#This Row],[COD]],'Outros descontos'!B:P,15,FALSE),"")</f>
        <v/>
      </c>
      <c r="N61" s="7">
        <f>(Tabla10[[#This Row],[HORAS TRABALHADAS]]*Tabla10[[#This Row],[TARIFA]]) - SUM(Tabla10[[#This Row],[ALOJAMENTO]], Tabla10[[#This Row],[IMPOSTO]], Tabla10[[#This Row],[CARRO]])</f>
        <v>1813.2582</v>
      </c>
      <c r="O61" s="7"/>
      <c r="P61" s="339"/>
    </row>
    <row r="62" spans="2:16" ht="15" hidden="1" customHeight="1" x14ac:dyDescent="0.35">
      <c r="B62" s="160" t="s">
        <v>6999</v>
      </c>
      <c r="C62" s="1" t="str">
        <f>IF(D62="", "", INDEX(Colaboradores!A:A, MATCH(D62,Colaboradores!C:C, 0)))</f>
        <v>E0229</v>
      </c>
      <c r="D62" s="338" t="s">
        <v>2176</v>
      </c>
      <c r="E62" s="249">
        <v>45761</v>
      </c>
      <c r="F62" s="249">
        <v>46052</v>
      </c>
      <c r="G62" s="160">
        <f>IFERROR(VLOOKUP(Tabla10[[#This Row],[COD]],'TotalHorasAjustadas (2)'!D:L,8,FALSE),"")</f>
        <v>144</v>
      </c>
      <c r="H62" s="339">
        <f>IFERROR(VLOOKUP(Tabla10[[#This Row],[COD]],Tabla15[],4,FALSE),"")</f>
        <v>14</v>
      </c>
      <c r="I62" s="339" t="str">
        <f>IFERROR(VLOOKUP(Tabla10[[#This Row],[COD]],Alojamentos!B:P,11,FALSE),"")</f>
        <v/>
      </c>
      <c r="J62" s="160">
        <f>IF(ISBLANK(Tabla10[[#This Row],[INICIO VINCULO]]), 0, MAX(0, MIN(IF(ISBLANK(Tabla10[[#This Row],[FIM VINCULO]]), DATE(2026,1,31), Tabla10[[#This Row],[FIM VINCULO]]), DATE(2026,1,31)) - MAX(Tabla10[[#This Row],[INICIO VINCULO]], DATE(2026,1,1)) + 1))</f>
        <v>30</v>
      </c>
      <c r="K62" s="339">
        <f>7.05806*Tabla10[[#This Row],[DIAS DE ALTA]]</f>
        <v>211.74180000000001</v>
      </c>
      <c r="L62" s="339" t="str">
        <f>IFERROR(VLOOKUP(Tabla10[[#This Row],[COD]],Carro!B:D,3,FALSE),"")</f>
        <v/>
      </c>
      <c r="M62" s="339" t="str">
        <f>IFERROR(VLOOKUP(Tabla10[[#This Row],[COD]],'Outros descontos'!B:P,15,FALSE),"")</f>
        <v/>
      </c>
      <c r="N62" s="7">
        <f>(Tabla10[[#This Row],[HORAS TRABALHADAS]]*Tabla10[[#This Row],[TARIFA]]) - SUM(Tabla10[[#This Row],[ALOJAMENTO]], Tabla10[[#This Row],[IMPOSTO]], Tabla10[[#This Row],[CARRO]])</f>
        <v>1804.2582</v>
      </c>
      <c r="O62" s="7"/>
      <c r="P62" s="339"/>
    </row>
    <row r="63" spans="2:16" ht="15" hidden="1" customHeight="1" x14ac:dyDescent="0.35">
      <c r="B63" s="160" t="s">
        <v>7000</v>
      </c>
      <c r="C63" s="1" t="str">
        <f>IF(D63="", "", INDEX(Colaboradores!A:A, MATCH(D63,Colaboradores!C:C, 0)))</f>
        <v>E0414</v>
      </c>
      <c r="D63" s="239" t="s">
        <v>2254</v>
      </c>
      <c r="E63" s="249">
        <v>45828</v>
      </c>
      <c r="F63" s="249">
        <v>46036</v>
      </c>
      <c r="G63" s="160">
        <f>IFERROR(VLOOKUP(Tabla10[[#This Row],[COD]],'TotalHorasAjustadas (2)'!D:L,8,FALSE),"")</f>
        <v>80</v>
      </c>
      <c r="H63" s="339">
        <f>IFERROR(VLOOKUP(Tabla10[[#This Row],[COD]],Tabla15[],4,FALSE),"")</f>
        <v>16</v>
      </c>
      <c r="I63" s="339" t="str">
        <f>IFERROR(VLOOKUP(Tabla10[[#This Row],[COD]],Alojamentos!B:P,11,FALSE),"")</f>
        <v/>
      </c>
      <c r="J63" s="160">
        <f>IF(ISBLANK(Tabla10[[#This Row],[INICIO VINCULO]]), 0, MAX(0, MIN(IF(ISBLANK(Tabla10[[#This Row],[FIM VINCULO]]), DATE(2026,1,31), Tabla10[[#This Row],[FIM VINCULO]]), DATE(2026,1,31)) - MAX(Tabla10[[#This Row],[INICIO VINCULO]], DATE(2026,1,1)) + 1))</f>
        <v>14</v>
      </c>
      <c r="K63" s="339">
        <f>7.05806*Tabla10[[#This Row],[DIAS DE ALTA]]</f>
        <v>98.812840000000008</v>
      </c>
      <c r="L63" s="339" t="str">
        <f>IFERROR(VLOOKUP(Tabla10[[#This Row],[COD]],Carro!B:D,3,FALSE),"")</f>
        <v/>
      </c>
      <c r="M63" s="339" t="str">
        <f>IFERROR(VLOOKUP(Tabla10[[#This Row],[COD]],'Outros descontos'!B:P,15,FALSE),"")</f>
        <v/>
      </c>
      <c r="N63" s="7">
        <f>(Tabla10[[#This Row],[HORAS TRABALHADAS]]*Tabla10[[#This Row],[TARIFA]]) - SUM(Tabla10[[#This Row],[ALOJAMENTO]], Tabla10[[#This Row],[IMPOSTO]], Tabla10[[#This Row],[CARRO]])</f>
        <v>1181.1871599999999</v>
      </c>
      <c r="O63" s="7"/>
      <c r="P63" s="339"/>
    </row>
    <row r="64" spans="2:16" ht="15" hidden="1" customHeight="1" x14ac:dyDescent="0.35">
      <c r="B64" s="160" t="s">
        <v>7002</v>
      </c>
      <c r="C64" s="160" t="str">
        <f>IF(D64="", "", INDEX(Colaboradores!A:A, MATCH(D64,Colaboradores!C:C, 0)))</f>
        <v>E0414</v>
      </c>
      <c r="D64" s="338" t="s">
        <v>2254</v>
      </c>
      <c r="E64" s="249">
        <v>46042</v>
      </c>
      <c r="F64" s="249"/>
      <c r="G64" s="160">
        <f>IFERROR(VLOOKUP(Tabla10[[#This Row],[COD]],'TotalHorasAjustadas (2)'!D:L,8,FALSE),"")</f>
        <v>80</v>
      </c>
      <c r="H64" s="339">
        <f>IFERROR(VLOOKUP(Tabla10[[#This Row],[COD]],Tabla15[],4,FALSE),"")</f>
        <v>16</v>
      </c>
      <c r="I64" s="339" t="str">
        <f>IFERROR(VLOOKUP(Tabla10[[#This Row],[COD]],Alojamentos!B:P,11,FALSE),"")</f>
        <v/>
      </c>
      <c r="J64" s="160">
        <f>IF(ISBLANK(Tabla10[[#This Row],[INICIO VINCULO]]), 0, MAX(0, MIN(IF(ISBLANK(Tabla10[[#This Row],[FIM VINCULO]]), DATE(2026,1,31), Tabla10[[#This Row],[FIM VINCULO]]), DATE(2026,1,31)) - MAX(Tabla10[[#This Row],[INICIO VINCULO]], DATE(2026,1,1)) + 1))</f>
        <v>12</v>
      </c>
      <c r="K64" s="339">
        <f>7.05806*Tabla10[[#This Row],[DIAS DE ALTA]]</f>
        <v>84.696719999999999</v>
      </c>
      <c r="L64" s="339" t="str">
        <f>IFERROR(VLOOKUP(Tabla10[[#This Row],[COD]],Carro!B:D,3,FALSE),"")</f>
        <v/>
      </c>
      <c r="M64" s="339" t="str">
        <f>IFERROR(VLOOKUP(Tabla10[[#This Row],[COD]],'Outros descontos'!B:P,15,FALSE),"")</f>
        <v/>
      </c>
      <c r="N64" s="7">
        <f>(Tabla10[[#This Row],[HORAS TRABALHADAS]]*Tabla10[[#This Row],[TARIFA]]) - SUM(Tabla10[[#This Row],[ALOJAMENTO]], Tabla10[[#This Row],[IMPOSTO]], Tabla10[[#This Row],[CARRO]])</f>
        <v>1195.3032800000001</v>
      </c>
      <c r="O64" s="7"/>
      <c r="P64" s="339"/>
    </row>
    <row r="65" spans="2:16" ht="15" hidden="1" customHeight="1" x14ac:dyDescent="0.35">
      <c r="B65" s="160" t="s">
        <v>6999</v>
      </c>
      <c r="C65" s="1" t="str">
        <f>IF(D65="", "", INDEX(Colaboradores!A:A, MATCH(D65,Colaboradores!C:C, 0)))</f>
        <v>E0394</v>
      </c>
      <c r="D65" s="338" t="s">
        <v>2278</v>
      </c>
      <c r="E65" s="249">
        <v>45761</v>
      </c>
      <c r="F65" s="249">
        <v>46052</v>
      </c>
      <c r="G65" s="160">
        <f>IFERROR(VLOOKUP(Tabla10[[#This Row],[COD]],'TotalHorasAjustadas (2)'!D:L,8,FALSE),"")</f>
        <v>143</v>
      </c>
      <c r="H65" s="339">
        <f>IFERROR(VLOOKUP(Tabla10[[#This Row],[COD]],Tabla15[],4,FALSE),"")</f>
        <v>15</v>
      </c>
      <c r="I65" s="339">
        <f>IFERROR(VLOOKUP(Tabla10[[#This Row],[COD]],Alojamentos!B:P,11,FALSE),"")</f>
        <v>300</v>
      </c>
      <c r="J65" s="160">
        <f>IF(ISBLANK(Tabla10[[#This Row],[INICIO VINCULO]]), 0, MAX(0, MIN(IF(ISBLANK(Tabla10[[#This Row],[FIM VINCULO]]), DATE(2026,1,31), Tabla10[[#This Row],[FIM VINCULO]]), DATE(2026,1,31)) - MAX(Tabla10[[#This Row],[INICIO VINCULO]], DATE(2026,1,1)) + 1))</f>
        <v>30</v>
      </c>
      <c r="K65" s="339">
        <f>7.05806*Tabla10[[#This Row],[DIAS DE ALTA]]</f>
        <v>211.74180000000001</v>
      </c>
      <c r="L65" s="339" t="str">
        <f>IFERROR(VLOOKUP(Tabla10[[#This Row],[COD]],Carro!B:D,3,FALSE),"")</f>
        <v/>
      </c>
      <c r="M65" s="339" t="str">
        <f>IFERROR(VLOOKUP(Tabla10[[#This Row],[COD]],'Outros descontos'!B:P,15,FALSE),"")</f>
        <v/>
      </c>
      <c r="N65" s="7">
        <f>(Tabla10[[#This Row],[HORAS TRABALHADAS]]*Tabla10[[#This Row],[TARIFA]]) - SUM(Tabla10[[#This Row],[ALOJAMENTO]], Tabla10[[#This Row],[IMPOSTO]], Tabla10[[#This Row],[CARRO]])</f>
        <v>1633.2582</v>
      </c>
      <c r="O65" s="7"/>
      <c r="P65" s="339"/>
    </row>
    <row r="66" spans="2:16" ht="15" hidden="1" customHeight="1" x14ac:dyDescent="0.35">
      <c r="B66" s="160" t="s">
        <v>6999</v>
      </c>
      <c r="C66" s="1" t="str">
        <f>IF(D66="", "", INDEX(Colaboradores!A:A, MATCH(D66,Colaboradores!C:C, 0)))</f>
        <v>E0104</v>
      </c>
      <c r="D66" s="338" t="s">
        <v>2358</v>
      </c>
      <c r="E66" s="249">
        <v>45751</v>
      </c>
      <c r="F66" s="249"/>
      <c r="G66" s="160">
        <f>IFERROR(VLOOKUP(Tabla10[[#This Row],[COD]],'TotalHorasAjustadas (2)'!D:L,8,FALSE),"")</f>
        <v>173</v>
      </c>
      <c r="H66" s="339">
        <f>IFERROR(VLOOKUP(Tabla10[[#This Row],[COD]],Tabla15[],4,FALSE),"")</f>
        <v>15</v>
      </c>
      <c r="I66" s="339" t="str">
        <f>IFERROR(VLOOKUP(Tabla10[[#This Row],[COD]],Alojamentos!B:P,11,FALSE),"")</f>
        <v/>
      </c>
      <c r="J66" s="160">
        <f>IF(ISBLANK(Tabla10[[#This Row],[INICIO VINCULO]]), 0, MAX(0, MIN(IF(ISBLANK(Tabla10[[#This Row],[FIM VINCULO]]), DATE(2026,1,31), Tabla10[[#This Row],[FIM VINCULO]]), DATE(2026,1,31)) - MAX(Tabla10[[#This Row],[INICIO VINCULO]], DATE(2026,1,1)) + 1))</f>
        <v>31</v>
      </c>
      <c r="K66" s="339">
        <f>7.05806*Tabla10[[#This Row],[DIAS DE ALTA]]</f>
        <v>218.79986</v>
      </c>
      <c r="L66" s="339" t="str">
        <f>IFERROR(VLOOKUP(Tabla10[[#This Row],[COD]],Carro!B:D,3,FALSE),"")</f>
        <v/>
      </c>
      <c r="M66" s="339" t="str">
        <f>IFERROR(VLOOKUP(Tabla10[[#This Row],[COD]],'Outros descontos'!B:P,15,FALSE),"")</f>
        <v/>
      </c>
      <c r="N66" s="7">
        <f>(Tabla10[[#This Row],[HORAS TRABALHADAS]]*Tabla10[[#This Row],[TARIFA]]) - SUM(Tabla10[[#This Row],[ALOJAMENTO]], Tabla10[[#This Row],[IMPOSTO]], Tabla10[[#This Row],[CARRO]])</f>
        <v>2376.2001399999999</v>
      </c>
      <c r="O66" s="7"/>
      <c r="P66" s="339"/>
    </row>
    <row r="67" spans="2:16" ht="15" hidden="1" customHeight="1" x14ac:dyDescent="0.35">
      <c r="B67" s="160" t="s">
        <v>7002</v>
      </c>
      <c r="C67" s="160" t="str">
        <f>IF(D67="", "", INDEX(Colaboradores!A:A, MATCH(D67,Colaboradores!C:C, 0)))</f>
        <v>E0094</v>
      </c>
      <c r="D67" s="338" t="s">
        <v>2393</v>
      </c>
      <c r="E67" s="249">
        <v>45931</v>
      </c>
      <c r="F67" s="249"/>
      <c r="G67" s="160">
        <f>IFERROR(VLOOKUP(Tabla10[[#This Row],[COD]],'TotalHorasAjustadas (2)'!D:L,8,FALSE),"")</f>
        <v>185</v>
      </c>
      <c r="H67" s="339">
        <f>IFERROR(VLOOKUP(Tabla10[[#This Row],[COD]],Tabla15[],4,FALSE),"")</f>
        <v>15</v>
      </c>
      <c r="I67" s="339">
        <f>IFERROR(VLOOKUP(Tabla10[[#This Row],[COD]],Alojamentos!B:P,11,FALSE),"")</f>
        <v>300</v>
      </c>
      <c r="J67" s="160">
        <f>IF(ISBLANK(Tabla10[[#This Row],[INICIO VINCULO]]), 0, MAX(0, MIN(IF(ISBLANK(Tabla10[[#This Row],[FIM VINCULO]]), DATE(2026,1,31), Tabla10[[#This Row],[FIM VINCULO]]), DATE(2026,1,31)) - MAX(Tabla10[[#This Row],[INICIO VINCULO]], DATE(2026,1,1)) + 1))</f>
        <v>31</v>
      </c>
      <c r="K67" s="339">
        <f>7.05806*Tabla10[[#This Row],[DIAS DE ALTA]]</f>
        <v>218.79986</v>
      </c>
      <c r="L67" s="339" t="str">
        <f>IFERROR(VLOOKUP(Tabla10[[#This Row],[COD]],Carro!B:D,3,FALSE),"")</f>
        <v/>
      </c>
      <c r="M67" s="339" t="str">
        <f>IFERROR(VLOOKUP(Tabla10[[#This Row],[COD]],'Outros descontos'!B:P,15,FALSE),"")</f>
        <v/>
      </c>
      <c r="N67" s="7">
        <f>(Tabla10[[#This Row],[HORAS TRABALHADAS]]*Tabla10[[#This Row],[TARIFA]]) - SUM(Tabla10[[#This Row],[ALOJAMENTO]], Tabla10[[#This Row],[IMPOSTO]], Tabla10[[#This Row],[CARRO]])</f>
        <v>2256.2001399999999</v>
      </c>
      <c r="O67" s="7"/>
      <c r="P67" s="339"/>
    </row>
    <row r="68" spans="2:16" ht="15" hidden="1" customHeight="1" x14ac:dyDescent="0.35">
      <c r="B68" s="160" t="s">
        <v>7002</v>
      </c>
      <c r="C68" s="160" t="str">
        <f>IF(D68="", "", INDEX(Colaboradores!A:A, MATCH(D68,Colaboradores!C:C, 0)))</f>
        <v>E1216</v>
      </c>
      <c r="D68" s="338" t="s">
        <v>2404</v>
      </c>
      <c r="E68" s="249">
        <v>46052</v>
      </c>
      <c r="F68" s="249"/>
      <c r="G68" s="160">
        <f>IFERROR(VLOOKUP(Tabla10[[#This Row],[COD]],'TotalHorasAjustadas (2)'!D:L,8,FALSE),"")</f>
        <v>13</v>
      </c>
      <c r="H68" s="339">
        <v>15</v>
      </c>
      <c r="I68" s="339" t="str">
        <f>IFERROR(VLOOKUP(Tabla10[[#This Row],[COD]],Alojamentos!B:P,11,FALSE),"")</f>
        <v/>
      </c>
      <c r="J68" s="160">
        <f>IF(ISBLANK(Tabla10[[#This Row],[INICIO VINCULO]]), 0, MAX(0, MIN(IF(ISBLANK(Tabla10[[#This Row],[FIM VINCULO]]), DATE(2026,1,31), Tabla10[[#This Row],[FIM VINCULO]]), DATE(2026,1,31)) - MAX(Tabla10[[#This Row],[INICIO VINCULO]], DATE(2026,1,1)) + 1))</f>
        <v>2</v>
      </c>
      <c r="K68" s="339">
        <f>7.05806*Tabla10[[#This Row],[DIAS DE ALTA]]</f>
        <v>14.11612</v>
      </c>
      <c r="L68" s="339" t="str">
        <f>IFERROR(VLOOKUP(Tabla10[[#This Row],[COD]],Carro!B:D,3,FALSE),"")</f>
        <v/>
      </c>
      <c r="M68" s="339" t="str">
        <f>IFERROR(VLOOKUP(Tabla10[[#This Row],[COD]],'Outros descontos'!B:P,15,FALSE),"")</f>
        <v/>
      </c>
      <c r="N68" s="7">
        <f>(Tabla10[[#This Row],[HORAS TRABALHADAS]]*Tabla10[[#This Row],[TARIFA]]) - SUM(Tabla10[[#This Row],[ALOJAMENTO]], Tabla10[[#This Row],[IMPOSTO]], Tabla10[[#This Row],[CARRO]])</f>
        <v>180.88388</v>
      </c>
      <c r="O68" s="7"/>
      <c r="P68" s="339"/>
    </row>
    <row r="69" spans="2:16" ht="15" hidden="1" customHeight="1" x14ac:dyDescent="0.35">
      <c r="B69" s="160" t="s">
        <v>7000</v>
      </c>
      <c r="C69" s="1" t="str">
        <f>IF(D69="", "", INDEX(Colaboradores!A:A, MATCH(D69,Colaboradores!C:C, 0)))</f>
        <v>E0387</v>
      </c>
      <c r="D69" s="338" t="s">
        <v>2451</v>
      </c>
      <c r="E69" s="249">
        <v>45939</v>
      </c>
      <c r="F69" s="249"/>
      <c r="G69" s="160">
        <f>IFERROR(VLOOKUP(Tabla10[[#This Row],[COD]],'TotalHorasAjustadas (2)'!D:L,8,FALSE),"")</f>
        <v>170</v>
      </c>
      <c r="H69" s="339">
        <f>IFERROR(VLOOKUP(Tabla10[[#This Row],[COD]],Tabla15[],4,FALSE),"")</f>
        <v>15</v>
      </c>
      <c r="I69" s="339">
        <f>IFERROR(VLOOKUP(Tabla10[[#This Row],[COD]],Alojamentos!B:P,11,FALSE),"")</f>
        <v>300</v>
      </c>
      <c r="J69" s="160">
        <f>IF(ISBLANK(Tabla10[[#This Row],[INICIO VINCULO]]), 0, MAX(0, MIN(IF(ISBLANK(Tabla10[[#This Row],[FIM VINCULO]]), DATE(2026,1,31), Tabla10[[#This Row],[FIM VINCULO]]), DATE(2026,1,31)) - MAX(Tabla10[[#This Row],[INICIO VINCULO]], DATE(2026,1,1)) + 1))</f>
        <v>31</v>
      </c>
      <c r="K69" s="339">
        <f>7.05806*Tabla10[[#This Row],[DIAS DE ALTA]]</f>
        <v>218.79986</v>
      </c>
      <c r="L69" s="339" t="str">
        <f>IFERROR(VLOOKUP(Tabla10[[#This Row],[COD]],Carro!B:D,3,FALSE),"")</f>
        <v/>
      </c>
      <c r="M69" s="339" t="str">
        <f>IFERROR(VLOOKUP(Tabla10[[#This Row],[COD]],'Outros descontos'!B:P,15,FALSE),"")</f>
        <v/>
      </c>
      <c r="N69" s="7">
        <f>(Tabla10[[#This Row],[HORAS TRABALHADAS]]*Tabla10[[#This Row],[TARIFA]]) - SUM(Tabla10[[#This Row],[ALOJAMENTO]], Tabla10[[#This Row],[IMPOSTO]], Tabla10[[#This Row],[CARRO]])</f>
        <v>2031.2001399999999</v>
      </c>
      <c r="O69" s="7"/>
      <c r="P69" s="339"/>
    </row>
    <row r="70" spans="2:16" ht="15" hidden="1" customHeight="1" x14ac:dyDescent="0.35">
      <c r="B70" s="160" t="s">
        <v>7002</v>
      </c>
      <c r="C70" s="160" t="str">
        <f>IF(D70="", "", INDEX(Colaboradores!A:A, MATCH(D70,Colaboradores!C:C, 0)))</f>
        <v>E0089</v>
      </c>
      <c r="D70" s="338" t="s">
        <v>2480</v>
      </c>
      <c r="E70" s="249">
        <v>45931</v>
      </c>
      <c r="F70" s="249"/>
      <c r="G70" s="160">
        <f>IFERROR(VLOOKUP(Tabla10[[#This Row],[COD]],'TotalHorasAjustadas (2)'!D:L,8,FALSE),"")</f>
        <v>163</v>
      </c>
      <c r="H70" s="339">
        <f>IFERROR(VLOOKUP(Tabla10[[#This Row],[COD]],Tabla15[],4,FALSE),"")</f>
        <v>18</v>
      </c>
      <c r="I70" s="339">
        <f>IFERROR(VLOOKUP(Tabla10[[#This Row],[COD]],Alojamentos!B:P,11,FALSE),"")</f>
        <v>300</v>
      </c>
      <c r="J70" s="160">
        <f>IF(ISBLANK(Tabla10[[#This Row],[INICIO VINCULO]]), 0, MAX(0, MIN(IF(ISBLANK(Tabla10[[#This Row],[FIM VINCULO]]), DATE(2026,1,31), Tabla10[[#This Row],[FIM VINCULO]]), DATE(2026,1,31)) - MAX(Tabla10[[#This Row],[INICIO VINCULO]], DATE(2026,1,1)) + 1))</f>
        <v>31</v>
      </c>
      <c r="K70" s="339">
        <f>7.05806*Tabla10[[#This Row],[DIAS DE ALTA]]</f>
        <v>218.79986</v>
      </c>
      <c r="L70" s="339" t="str">
        <f>IFERROR(VLOOKUP(Tabla10[[#This Row],[COD]],Carro!B:D,3,FALSE),"")</f>
        <v/>
      </c>
      <c r="M70" s="339" t="str">
        <f>IFERROR(VLOOKUP(Tabla10[[#This Row],[COD]],'Outros descontos'!B:P,15,FALSE),"")</f>
        <v/>
      </c>
      <c r="N70" s="7">
        <f>(Tabla10[[#This Row],[HORAS TRABALHADAS]]*Tabla10[[#This Row],[TARIFA]]) - SUM(Tabla10[[#This Row],[ALOJAMENTO]], Tabla10[[#This Row],[IMPOSTO]], Tabla10[[#This Row],[CARRO]])</f>
        <v>2415.2001399999999</v>
      </c>
      <c r="O70" s="7"/>
      <c r="P70" s="339"/>
    </row>
    <row r="71" spans="2:16" ht="15" hidden="1" customHeight="1" x14ac:dyDescent="0.35">
      <c r="B71" s="160" t="s">
        <v>7002</v>
      </c>
      <c r="C71" s="160" t="str">
        <f>IF(D71="", "", INDEX(Colaboradores!A:A, MATCH(D71,Colaboradores!C:C, 0)))</f>
        <v>E1504</v>
      </c>
      <c r="D71" s="338" t="s">
        <v>2542</v>
      </c>
      <c r="E71" s="249">
        <v>46041</v>
      </c>
      <c r="F71" s="249"/>
      <c r="G71" s="160">
        <f>IFERROR(VLOOKUP(Tabla10[[#This Row],[COD]],'TotalHorasAjustadas (2)'!D:L,8,FALSE),"")</f>
        <v>111</v>
      </c>
      <c r="H71" s="339">
        <v>15</v>
      </c>
      <c r="I71" s="339">
        <f>IFERROR(VLOOKUP(Tabla10[[#This Row],[COD]],Alojamentos!B:P,11,FALSE),"")</f>
        <v>30</v>
      </c>
      <c r="J71" s="160">
        <f>IF(ISBLANK(Tabla10[[#This Row],[INICIO VINCULO]]), 0, MAX(0, MIN(IF(ISBLANK(Tabla10[[#This Row],[FIM VINCULO]]), DATE(2026,1,31), Tabla10[[#This Row],[FIM VINCULO]]), DATE(2026,1,31)) - MAX(Tabla10[[#This Row],[INICIO VINCULO]], DATE(2026,1,1)) + 1))</f>
        <v>13</v>
      </c>
      <c r="K71" s="339">
        <f>7.05806*Tabla10[[#This Row],[DIAS DE ALTA]]</f>
        <v>91.754779999999997</v>
      </c>
      <c r="L71" s="339" t="str">
        <f>IFERROR(VLOOKUP(Tabla10[[#This Row],[COD]],Carro!B:D,3,FALSE),"")</f>
        <v/>
      </c>
      <c r="M71" s="339" t="str">
        <f>IFERROR(VLOOKUP(Tabla10[[#This Row],[COD]],'Outros descontos'!B:P,15,FALSE),"")</f>
        <v/>
      </c>
      <c r="N71" s="7">
        <f>(Tabla10[[#This Row],[HORAS TRABALHADAS]]*Tabla10[[#This Row],[TARIFA]]) - SUM(Tabla10[[#This Row],[ALOJAMENTO]], Tabla10[[#This Row],[IMPOSTO]], Tabla10[[#This Row],[CARRO]])</f>
        <v>1543.24522</v>
      </c>
      <c r="O71" s="7"/>
      <c r="P71" s="339"/>
    </row>
    <row r="72" spans="2:16" ht="15" hidden="1" customHeight="1" x14ac:dyDescent="0.35">
      <c r="B72" s="160" t="s">
        <v>7002</v>
      </c>
      <c r="C72" s="160" t="str">
        <f>IF(D72="", "", INDEX(Colaboradores!A:A, MATCH(D72,Colaboradores!C:C, 0)))</f>
        <v>E0557</v>
      </c>
      <c r="D72" s="338" t="s">
        <v>2578</v>
      </c>
      <c r="E72" s="249">
        <v>45932</v>
      </c>
      <c r="F72" s="249"/>
      <c r="G72" s="160">
        <f>IFERROR(VLOOKUP(Tabla10[[#This Row],[COD]],'TotalHorasAjustadas (2)'!D:L,8,FALSE),"")</f>
        <v>218</v>
      </c>
      <c r="H72" s="339">
        <f>IFERROR(VLOOKUP(Tabla10[[#This Row],[COD]],Tabla15[],4,FALSE),"")</f>
        <v>16</v>
      </c>
      <c r="I72" s="339">
        <f>IFERROR(VLOOKUP(Tabla10[[#This Row],[COD]],Alojamentos!B:P,11,FALSE),"")</f>
        <v>300</v>
      </c>
      <c r="J72" s="160">
        <f>IF(ISBLANK(Tabla10[[#This Row],[INICIO VINCULO]]), 0, MAX(0, MIN(IF(ISBLANK(Tabla10[[#This Row],[FIM VINCULO]]), DATE(2026,1,31), Tabla10[[#This Row],[FIM VINCULO]]), DATE(2026,1,31)) - MAX(Tabla10[[#This Row],[INICIO VINCULO]], DATE(2026,1,1)) + 1))</f>
        <v>31</v>
      </c>
      <c r="K72" s="339">
        <f>7.05806*Tabla10[[#This Row],[DIAS DE ALTA]]</f>
        <v>218.79986</v>
      </c>
      <c r="L72" s="339" t="str">
        <f>IFERROR(VLOOKUP(Tabla10[[#This Row],[COD]],Carro!B:D,3,FALSE),"")</f>
        <v/>
      </c>
      <c r="M72" s="339" t="str">
        <f>IFERROR(VLOOKUP(Tabla10[[#This Row],[COD]],'Outros descontos'!B:P,15,FALSE),"")</f>
        <v/>
      </c>
      <c r="N72" s="7">
        <f>(Tabla10[[#This Row],[HORAS TRABALHADAS]]*Tabla10[[#This Row],[TARIFA]]) - SUM(Tabla10[[#This Row],[ALOJAMENTO]], Tabla10[[#This Row],[IMPOSTO]], Tabla10[[#This Row],[CARRO]])</f>
        <v>2969.2001399999999</v>
      </c>
      <c r="O72" s="7"/>
      <c r="P72" s="339"/>
    </row>
    <row r="73" spans="2:16" ht="15" hidden="1" customHeight="1" x14ac:dyDescent="0.35">
      <c r="B73" s="160" t="s">
        <v>7002</v>
      </c>
      <c r="C73" s="160" t="str">
        <f>IF(D73="", "", INDEX(Colaboradores!A:A, MATCH(D73,Colaboradores!C:C, 0)))</f>
        <v>E1074</v>
      </c>
      <c r="D73" s="338" t="s">
        <v>2586</v>
      </c>
      <c r="E73" s="249">
        <v>46048</v>
      </c>
      <c r="F73" s="249"/>
      <c r="G73" s="160">
        <f>IFERROR(VLOOKUP(Tabla10[[#This Row],[COD]],'TotalHorasAjustadas (2)'!D:L,8,FALSE),"")</f>
        <v>39.5</v>
      </c>
      <c r="H73" s="339">
        <f>IFERROR(VLOOKUP(Tabla10[[#This Row],[COD]],Tabla15[],4,FALSE),"")</f>
        <v>16</v>
      </c>
      <c r="I73" s="339" t="str">
        <f>IFERROR(VLOOKUP(Tabla10[[#This Row],[COD]],Alojamentos!B:P,11,FALSE),"")</f>
        <v/>
      </c>
      <c r="J73" s="160">
        <f>IF(ISBLANK(Tabla10[[#This Row],[INICIO VINCULO]]), 0, MAX(0, MIN(IF(ISBLANK(Tabla10[[#This Row],[FIM VINCULO]]), DATE(2026,1,31), Tabla10[[#This Row],[FIM VINCULO]]), DATE(2026,1,31)) - MAX(Tabla10[[#This Row],[INICIO VINCULO]], DATE(2026,1,1)) + 1))</f>
        <v>6</v>
      </c>
      <c r="K73" s="339">
        <f>7.05806*Tabla10[[#This Row],[DIAS DE ALTA]]</f>
        <v>42.34836</v>
      </c>
      <c r="L73" s="339">
        <f>IFERROR(VLOOKUP(Tabla10[[#This Row],[COD]],Carro!B:D,3,FALSE),"")</f>
        <v>15</v>
      </c>
      <c r="M73" s="339" t="str">
        <f>IFERROR(VLOOKUP(Tabla10[[#This Row],[COD]],'Outros descontos'!B:P,15,FALSE),"")</f>
        <v/>
      </c>
      <c r="N73" s="7">
        <f>(Tabla10[[#This Row],[HORAS TRABALHADAS]]*Tabla10[[#This Row],[TARIFA]]) - SUM(Tabla10[[#This Row],[ALOJAMENTO]], Tabla10[[#This Row],[IMPOSTO]], Tabla10[[#This Row],[CARRO]])</f>
        <v>574.65164000000004</v>
      </c>
      <c r="O73" s="7"/>
      <c r="P73" s="339"/>
    </row>
    <row r="74" spans="2:16" ht="15" hidden="1" customHeight="1" x14ac:dyDescent="0.35">
      <c r="B74" s="160" t="s">
        <v>7002</v>
      </c>
      <c r="C74" s="160" t="str">
        <f>IF(D74="", "", INDEX(Colaboradores!A:A, MATCH(D74,Colaboradores!C:C, 0)))</f>
        <v>E0274</v>
      </c>
      <c r="D74" s="338" t="s">
        <v>2597</v>
      </c>
      <c r="E74" s="249">
        <v>46051</v>
      </c>
      <c r="F74" s="249"/>
      <c r="G74" s="160">
        <f>IFERROR(VLOOKUP(Tabla10[[#This Row],[COD]],'TotalHorasAjustadas (2)'!D:L,8,FALSE),"")</f>
        <v>19.5</v>
      </c>
      <c r="H74" s="339">
        <v>15</v>
      </c>
      <c r="I74" s="339" t="str">
        <f>IFERROR(VLOOKUP(Tabla10[[#This Row],[COD]],Alojamentos!B:P,11,FALSE),"")</f>
        <v/>
      </c>
      <c r="J74" s="160">
        <f>IF(ISBLANK(Tabla10[[#This Row],[INICIO VINCULO]]), 0, MAX(0, MIN(IF(ISBLANK(Tabla10[[#This Row],[FIM VINCULO]]), DATE(2026,1,31), Tabla10[[#This Row],[FIM VINCULO]]), DATE(2026,1,31)) - MAX(Tabla10[[#This Row],[INICIO VINCULO]], DATE(2026,1,1)) + 1))</f>
        <v>3</v>
      </c>
      <c r="K74" s="339">
        <f>7.05806*Tabla10[[#This Row],[DIAS DE ALTA]]</f>
        <v>21.17418</v>
      </c>
      <c r="L74" s="339" t="str">
        <f>IFERROR(VLOOKUP(Tabla10[[#This Row],[COD]],Carro!B:D,3,FALSE),"")</f>
        <v/>
      </c>
      <c r="M74" s="339" t="str">
        <f>IFERROR(VLOOKUP(Tabla10[[#This Row],[COD]],'Outros descontos'!B:P,15,FALSE),"")</f>
        <v/>
      </c>
      <c r="N74" s="7">
        <f>(Tabla10[[#This Row],[HORAS TRABALHADAS]]*Tabla10[[#This Row],[TARIFA]]) - SUM(Tabla10[[#This Row],[ALOJAMENTO]], Tabla10[[#This Row],[IMPOSTO]], Tabla10[[#This Row],[CARRO]])</f>
        <v>271.32582000000002</v>
      </c>
      <c r="O74" s="7"/>
      <c r="P74" s="339"/>
    </row>
    <row r="75" spans="2:16" ht="15" hidden="1" customHeight="1" x14ac:dyDescent="0.35">
      <c r="B75" s="160" t="s">
        <v>6999</v>
      </c>
      <c r="C75" s="1" t="str">
        <f>IF(D75="", "", INDEX(Colaboradores!A:A, MATCH(D75,Colaboradores!C:C, 0)))</f>
        <v>E2083</v>
      </c>
      <c r="D75" s="338" t="s">
        <v>2626</v>
      </c>
      <c r="E75" s="249">
        <v>45751</v>
      </c>
      <c r="F75" s="249"/>
      <c r="G75" s="160">
        <v>183.5</v>
      </c>
      <c r="H75" s="371">
        <v>15</v>
      </c>
      <c r="I75" s="339">
        <f>IFERROR(VLOOKUP(Tabla10[[#This Row],[COD]],Alojamentos!B:P,11,FALSE),"")</f>
        <v>300</v>
      </c>
      <c r="J75" s="160">
        <f>IF(ISBLANK(Tabla10[[#This Row],[INICIO VINCULO]]), 0, MAX(0, MIN(IF(ISBLANK(Tabla10[[#This Row],[FIM VINCULO]]), DATE(2026,1,31), Tabla10[[#This Row],[FIM VINCULO]]), DATE(2026,1,31)) - MAX(Tabla10[[#This Row],[INICIO VINCULO]], DATE(2026,1,1)) + 1))</f>
        <v>31</v>
      </c>
      <c r="K75" s="339">
        <f>7.05806*Tabla10[[#This Row],[DIAS DE ALTA]]</f>
        <v>218.79986</v>
      </c>
      <c r="L75" s="339" t="str">
        <f>IFERROR(VLOOKUP(Tabla10[[#This Row],[COD]],Carro!B:D,3,FALSE),"")</f>
        <v/>
      </c>
      <c r="M75" s="339" t="str">
        <f>IFERROR(VLOOKUP(Tabla10[[#This Row],[COD]],'Outros descontos'!B:P,15,FALSE),"")</f>
        <v/>
      </c>
      <c r="N75" s="7">
        <f>(Tabla10[[#This Row],[HORAS TRABALHADAS]]*Tabla10[[#This Row],[TARIFA]]) - SUM(Tabla10[[#This Row],[ALOJAMENTO]], Tabla10[[#This Row],[IMPOSTO]], Tabla10[[#This Row],[CARRO]])</f>
        <v>2233.7001399999999</v>
      </c>
      <c r="O75" s="7"/>
      <c r="P75" s="339"/>
    </row>
    <row r="76" spans="2:16" ht="15" hidden="1" customHeight="1" x14ac:dyDescent="0.35">
      <c r="B76" s="160" t="s">
        <v>7001</v>
      </c>
      <c r="C76" s="1" t="str">
        <f>IF(D76="", "", INDEX(Colaboradores!A:A, MATCH(D76,Colaboradores!C:C, 0)))</f>
        <v>E0404</v>
      </c>
      <c r="D76" s="338" t="s">
        <v>2646</v>
      </c>
      <c r="E76" s="249">
        <v>45761</v>
      </c>
      <c r="F76" s="249">
        <v>46023</v>
      </c>
      <c r="G76" s="348">
        <v>0</v>
      </c>
      <c r="H76" s="339">
        <v>0</v>
      </c>
      <c r="I76" s="339">
        <f>IFERROR(VLOOKUP(Tabla10[[#This Row],[COD]],Alojamentos!B:P,11,FALSE),"")</f>
        <v>300</v>
      </c>
      <c r="J76" s="160">
        <f>IF(ISBLANK(Tabla10[[#This Row],[INICIO VINCULO]]), 0, MAX(0, MIN(IF(ISBLANK(Tabla10[[#This Row],[FIM VINCULO]]), DATE(2026,1,31), Tabla10[[#This Row],[FIM VINCULO]]), DATE(2026,1,31)) - MAX(Tabla10[[#This Row],[INICIO VINCULO]], DATE(2026,1,1)) + 1))</f>
        <v>1</v>
      </c>
      <c r="K76" s="339">
        <f>7.05806*Tabla10[[#This Row],[DIAS DE ALTA]]</f>
        <v>7.0580600000000002</v>
      </c>
      <c r="L76" s="339" t="str">
        <f>IFERROR(VLOOKUP(Tabla10[[#This Row],[COD]],Carro!B:D,3,FALSE),"")</f>
        <v/>
      </c>
      <c r="M76" s="339" t="str">
        <f>IFERROR(VLOOKUP(Tabla10[[#This Row],[COD]],'Outros descontos'!B:P,15,FALSE),"")</f>
        <v/>
      </c>
      <c r="N76" s="7">
        <v>0</v>
      </c>
      <c r="O76" s="7"/>
      <c r="P76" s="339"/>
    </row>
    <row r="77" spans="2:16" ht="15" hidden="1" customHeight="1" x14ac:dyDescent="0.35">
      <c r="B77" s="160" t="s">
        <v>7002</v>
      </c>
      <c r="C77" s="160" t="str">
        <f>IF(D77="", "", INDEX(Colaboradores!A:A, MATCH(D77,Colaboradores!C:C, 0)))</f>
        <v>E1306</v>
      </c>
      <c r="D77" s="338" t="s">
        <v>2671</v>
      </c>
      <c r="E77" s="249">
        <v>46052</v>
      </c>
      <c r="F77" s="249"/>
      <c r="G77" s="348">
        <v>0</v>
      </c>
      <c r="H77" s="339">
        <v>15</v>
      </c>
      <c r="I77" s="339">
        <f>IFERROR(VLOOKUP(Tabla10[[#This Row],[COD]],Alojamentos!B:P,11,FALSE),"")</f>
        <v>20</v>
      </c>
      <c r="J77" s="160">
        <f>IF(ISBLANK(Tabla10[[#This Row],[INICIO VINCULO]]), 0, MAX(0, MIN(IF(ISBLANK(Tabla10[[#This Row],[FIM VINCULO]]), DATE(2026,1,31), Tabla10[[#This Row],[FIM VINCULO]]), DATE(2026,1,31)) - MAX(Tabla10[[#This Row],[INICIO VINCULO]], DATE(2026,1,1)) + 1))</f>
        <v>2</v>
      </c>
      <c r="K77" s="339">
        <f>7.05806*Tabla10[[#This Row],[DIAS DE ALTA]]</f>
        <v>14.11612</v>
      </c>
      <c r="L77" s="339" t="str">
        <f>IFERROR(VLOOKUP(Tabla10[[#This Row],[COD]],Carro!B:D,3,FALSE),"")</f>
        <v/>
      </c>
      <c r="M77" s="339" t="str">
        <f>IFERROR(VLOOKUP(Tabla10[[#This Row],[COD]],'Outros descontos'!B:P,15,FALSE),"")</f>
        <v/>
      </c>
      <c r="N77" s="7">
        <v>0</v>
      </c>
      <c r="O77" s="7"/>
      <c r="P77" s="339"/>
    </row>
    <row r="78" spans="2:16" ht="15" hidden="1" customHeight="1" x14ac:dyDescent="0.35">
      <c r="B78" s="160" t="s">
        <v>7000</v>
      </c>
      <c r="C78" s="1" t="str">
        <f>IF(D78="", "", INDEX(Colaboradores!A:A, MATCH(D78,Colaboradores!C:C, 0)))</f>
        <v>E0501</v>
      </c>
      <c r="D78" s="338" t="s">
        <v>2734</v>
      </c>
      <c r="E78" s="249">
        <v>45896</v>
      </c>
      <c r="F78" s="249"/>
      <c r="G78" s="160">
        <v>132.5</v>
      </c>
      <c r="H78" s="339">
        <f>IFERROR(VLOOKUP(Tabla10[[#This Row],[COD]],Tabla15[],4,FALSE),"")</f>
        <v>15</v>
      </c>
      <c r="I78" s="339" t="str">
        <f>IFERROR(VLOOKUP(Tabla10[[#This Row],[COD]],Alojamentos!B:P,11,FALSE),"")</f>
        <v/>
      </c>
      <c r="J78" s="160">
        <f>IF(ISBLANK(Tabla10[[#This Row],[INICIO VINCULO]]), 0, MAX(0, MIN(IF(ISBLANK(Tabla10[[#This Row],[FIM VINCULO]]), DATE(2026,1,31), Tabla10[[#This Row],[FIM VINCULO]]), DATE(2026,1,31)) - MAX(Tabla10[[#This Row],[INICIO VINCULO]], DATE(2026,1,1)) + 1))</f>
        <v>31</v>
      </c>
      <c r="K78" s="339">
        <f>7.05806*Tabla10[[#This Row],[DIAS DE ALTA]]</f>
        <v>218.79986</v>
      </c>
      <c r="L78" s="339" t="str">
        <f>IFERROR(VLOOKUP(Tabla10[[#This Row],[COD]],Carro!B:D,3,FALSE),"")</f>
        <v/>
      </c>
      <c r="M78" s="339" t="str">
        <f>IFERROR(VLOOKUP(Tabla10[[#This Row],[COD]],'Outros descontos'!B:P,15,FALSE),"")</f>
        <v/>
      </c>
      <c r="N78" s="7">
        <f>(Tabla10[[#This Row],[HORAS TRABALHADAS]]*Tabla10[[#This Row],[TARIFA]]) - SUM(Tabla10[[#This Row],[ALOJAMENTO]], Tabla10[[#This Row],[IMPOSTO]], Tabla10[[#This Row],[CARRO]])</f>
        <v>1768.7001399999999</v>
      </c>
      <c r="O78" s="7"/>
      <c r="P78" s="339"/>
    </row>
    <row r="79" spans="2:16" ht="15" hidden="1" customHeight="1" x14ac:dyDescent="0.35">
      <c r="B79" s="160" t="s">
        <v>7002</v>
      </c>
      <c r="C79" s="160" t="str">
        <f>IF(D79="", "", INDEX(Colaboradores!A:A, MATCH(D79,Colaboradores!C:C, 0)))</f>
        <v>E1958</v>
      </c>
      <c r="D79" s="338" t="s">
        <v>2742</v>
      </c>
      <c r="E79" s="249">
        <v>45985</v>
      </c>
      <c r="F79" s="249"/>
      <c r="G79" s="160">
        <f>IFERROR(VLOOKUP(Tabla10[[#This Row],[COD]],'TotalHorasAjustadas (2)'!D:L,8,FALSE),"")</f>
        <v>152</v>
      </c>
      <c r="H79" s="339">
        <f>IFERROR(VLOOKUP(Tabla10[[#This Row],[COD]],Tabla15[],4,FALSE),"")</f>
        <v>15</v>
      </c>
      <c r="I79" s="339" t="str">
        <f>IFERROR(VLOOKUP(Tabla10[[#This Row],[COD]],Alojamentos!B:P,11,FALSE),"")</f>
        <v/>
      </c>
      <c r="J79" s="160">
        <f>IF(ISBLANK(Tabla10[[#This Row],[INICIO VINCULO]]), 0, MAX(0, MIN(IF(ISBLANK(Tabla10[[#This Row],[FIM VINCULO]]), DATE(2026,1,31), Tabla10[[#This Row],[FIM VINCULO]]), DATE(2026,1,31)) - MAX(Tabla10[[#This Row],[INICIO VINCULO]], DATE(2026,1,1)) + 1))</f>
        <v>31</v>
      </c>
      <c r="K79" s="339">
        <f>7.05806*Tabla10[[#This Row],[DIAS DE ALTA]]</f>
        <v>218.79986</v>
      </c>
      <c r="L79" s="339">
        <f>IFERROR(VLOOKUP(Tabla10[[#This Row],[COD]],Carro!B:D,3,FALSE),"")</f>
        <v>140</v>
      </c>
      <c r="M79" s="339">
        <f>IFERROR(VLOOKUP(Tabla10[[#This Row],[COD]],'Outros descontos'!B:P,15,FALSE),"")</f>
        <v>53.16</v>
      </c>
      <c r="N79" s="7">
        <f>(Tabla10[[#This Row],[HORAS TRABALHADAS]]*Tabla10[[#This Row],[TARIFA]]) - SUM(Tabla10[[#This Row],[ALOJAMENTO]], Tabla10[[#This Row],[IMPOSTO]], Tabla10[[#This Row],[CARRO]],Tabla10[[#This Row],[OUTROS DEScontos]])</f>
        <v>1868.0401400000001</v>
      </c>
      <c r="O79" s="7"/>
      <c r="P79" s="339"/>
    </row>
    <row r="80" spans="2:16" ht="15" hidden="1" customHeight="1" x14ac:dyDescent="0.35">
      <c r="B80" s="160" t="s">
        <v>6999</v>
      </c>
      <c r="C80" s="1" t="str">
        <f>IF(D80="", "", INDEX(Colaboradores!A:A, MATCH(D80,Colaboradores!C:C, 0)))</f>
        <v>E0112</v>
      </c>
      <c r="D80" s="338" t="s">
        <v>2918</v>
      </c>
      <c r="E80" s="249">
        <v>45751</v>
      </c>
      <c r="F80" s="249"/>
      <c r="G80" s="160">
        <f>IFERROR(VLOOKUP(Tabla10[[#This Row],[COD]],'TotalHorasAjustadas (2)'!D:L,8,FALSE),"")</f>
        <v>167</v>
      </c>
      <c r="H80" s="339">
        <f>IFERROR(VLOOKUP(Tabla10[[#This Row],[COD]],Tabla15[],4,FALSE),"")</f>
        <v>15</v>
      </c>
      <c r="I80" s="339" t="str">
        <f>IFERROR(VLOOKUP(Tabla10[[#This Row],[COD]],Alojamentos!B:P,11,FALSE),"")</f>
        <v/>
      </c>
      <c r="J80" s="160">
        <f>IF(ISBLANK(Tabla10[[#This Row],[INICIO VINCULO]]), 0, MAX(0, MIN(IF(ISBLANK(Tabla10[[#This Row],[FIM VINCULO]]), DATE(2026,1,31), Tabla10[[#This Row],[FIM VINCULO]]), DATE(2026,1,31)) - MAX(Tabla10[[#This Row],[INICIO VINCULO]], DATE(2026,1,1)) + 1))</f>
        <v>31</v>
      </c>
      <c r="K80" s="339">
        <f>7.05806*Tabla10[[#This Row],[DIAS DE ALTA]]</f>
        <v>218.79986</v>
      </c>
      <c r="L80" s="339">
        <f>IFERROR(VLOOKUP(Tabla10[[#This Row],[COD]],Carro!B:D,3,FALSE),"")</f>
        <v>89.523809523809518</v>
      </c>
      <c r="M80" s="339" t="str">
        <f>IFERROR(VLOOKUP(Tabla10[[#This Row],[COD]],'Outros descontos'!B:P,15,FALSE),"")</f>
        <v/>
      </c>
      <c r="N80" s="7">
        <f>(Tabla10[[#This Row],[HORAS TRABALHADAS]]*Tabla10[[#This Row],[TARIFA]]) - SUM(Tabla10[[#This Row],[ALOJAMENTO]], Tabla10[[#This Row],[IMPOSTO]], Tabla10[[#This Row],[CARRO]])</f>
        <v>2196.6763304761907</v>
      </c>
      <c r="O80" s="7"/>
      <c r="P80" s="339"/>
    </row>
    <row r="81" spans="2:16" ht="15" hidden="1" customHeight="1" x14ac:dyDescent="0.35">
      <c r="B81" s="160" t="s">
        <v>7000</v>
      </c>
      <c r="C81" s="1" t="str">
        <f>IF(D81="", "", INDEX(Colaboradores!A:A, MATCH(D81,Colaboradores!C:C, 0)))</f>
        <v>E0419</v>
      </c>
      <c r="D81" s="338" t="s">
        <v>2946</v>
      </c>
      <c r="E81" s="249">
        <v>45828</v>
      </c>
      <c r="F81" s="249"/>
      <c r="G81" s="160">
        <f>IFERROR(VLOOKUP(Tabla10[[#This Row],[COD]],'TotalHorasAjustadas (2)'!D:L,8,FALSE),"")</f>
        <v>203</v>
      </c>
      <c r="H81" s="339">
        <f>IFERROR(VLOOKUP(Tabla10[[#This Row],[COD]],Tabla15[],4,FALSE),"")</f>
        <v>16</v>
      </c>
      <c r="I81" s="339" t="str">
        <f>IFERROR(VLOOKUP(Tabla10[[#This Row],[COD]],Alojamentos!B:P,11,FALSE),"")</f>
        <v/>
      </c>
      <c r="J81" s="160">
        <f>IF(ISBLANK(Tabla10[[#This Row],[INICIO VINCULO]]), 0, MAX(0, MIN(IF(ISBLANK(Tabla10[[#This Row],[FIM VINCULO]]), DATE(2026,1,31), Tabla10[[#This Row],[FIM VINCULO]]), DATE(2026,1,31)) - MAX(Tabla10[[#This Row],[INICIO VINCULO]], DATE(2026,1,1)) + 1))</f>
        <v>31</v>
      </c>
      <c r="K81" s="339">
        <f>7.05806*Tabla10[[#This Row],[DIAS DE ALTA]]</f>
        <v>218.79986</v>
      </c>
      <c r="L81" s="339" t="str">
        <f>IFERROR(VLOOKUP(Tabla10[[#This Row],[COD]],Carro!B:D,3,FALSE),"")</f>
        <v/>
      </c>
      <c r="M81" s="339" t="str">
        <f>IFERROR(VLOOKUP(Tabla10[[#This Row],[COD]],'Outros descontos'!B:P,15,FALSE),"")</f>
        <v/>
      </c>
      <c r="N81" s="7">
        <f>(Tabla10[[#This Row],[HORAS TRABALHADAS]]*Tabla10[[#This Row],[TARIFA]]) - SUM(Tabla10[[#This Row],[ALOJAMENTO]], Tabla10[[#This Row],[IMPOSTO]], Tabla10[[#This Row],[CARRO]])</f>
        <v>3029.2001399999999</v>
      </c>
      <c r="O81" s="7"/>
      <c r="P81" s="339"/>
    </row>
    <row r="82" spans="2:16" ht="15" hidden="1" customHeight="1" x14ac:dyDescent="0.35">
      <c r="B82" s="160" t="s">
        <v>7000</v>
      </c>
      <c r="C82" s="1" t="str">
        <f>IF(D82="", "", INDEX(Colaboradores!A:A, MATCH(D82,Colaboradores!C:C, 0)))</f>
        <v>E0384</v>
      </c>
      <c r="D82" s="338" t="s">
        <v>3023</v>
      </c>
      <c r="E82" s="249">
        <v>45939</v>
      </c>
      <c r="F82" s="249"/>
      <c r="G82" s="160">
        <f>IFERROR(VLOOKUP(Tabla10[[#This Row],[COD]],'TotalHorasAjustadas (2)'!D:L,8,FALSE),"")</f>
        <v>176</v>
      </c>
      <c r="H82" s="339">
        <f>IFERROR(VLOOKUP(Tabla10[[#This Row],[COD]],Tabla15[],4,FALSE),"")</f>
        <v>15</v>
      </c>
      <c r="I82" s="339">
        <f>IFERROR(VLOOKUP(Tabla10[[#This Row],[COD]],Alojamentos!B:P,11,FALSE),"")</f>
        <v>300</v>
      </c>
      <c r="J82" s="160">
        <f>IF(ISBLANK(Tabla10[[#This Row],[INICIO VINCULO]]), 0, MAX(0, MIN(IF(ISBLANK(Tabla10[[#This Row],[FIM VINCULO]]), DATE(2026,1,31), Tabla10[[#This Row],[FIM VINCULO]]), DATE(2026,1,31)) - MAX(Tabla10[[#This Row],[INICIO VINCULO]], DATE(2026,1,1)) + 1))</f>
        <v>31</v>
      </c>
      <c r="K82" s="339">
        <f>7.05806*Tabla10[[#This Row],[DIAS DE ALTA]]</f>
        <v>218.79986</v>
      </c>
      <c r="L82" s="339" t="str">
        <f>IFERROR(VLOOKUP(Tabla10[[#This Row],[COD]],Carro!B:D,3,FALSE),"")</f>
        <v/>
      </c>
      <c r="M82" s="339" t="str">
        <f>IFERROR(VLOOKUP(Tabla10[[#This Row],[COD]],'Outros descontos'!B:P,15,FALSE),"")</f>
        <v/>
      </c>
      <c r="N82" s="7">
        <f>(Tabla10[[#This Row],[HORAS TRABALHADAS]]*Tabla10[[#This Row],[TARIFA]]) - SUM(Tabla10[[#This Row],[ALOJAMENTO]], Tabla10[[#This Row],[IMPOSTO]], Tabla10[[#This Row],[CARRO]])</f>
        <v>2121.2001399999999</v>
      </c>
      <c r="O82" s="7"/>
      <c r="P82" s="339"/>
    </row>
    <row r="83" spans="2:16" ht="15" hidden="1" customHeight="1" x14ac:dyDescent="0.35">
      <c r="B83" s="160" t="s">
        <v>7002</v>
      </c>
      <c r="C83" s="160" t="str">
        <f>IF(D83="", "", INDEX(Colaboradores!A:A, MATCH(D83,Colaboradores!C:C, 0)))</f>
        <v>E0097</v>
      </c>
      <c r="D83" s="338" t="s">
        <v>3138</v>
      </c>
      <c r="E83" s="249">
        <v>45931</v>
      </c>
      <c r="F83" s="249"/>
      <c r="G83" s="160">
        <f>IFERROR(VLOOKUP(Tabla10[[#This Row],[COD]],'TotalHorasAjustadas (2)'!D:L,8,FALSE),"")</f>
        <v>183</v>
      </c>
      <c r="H83" s="339">
        <f>IFERROR(VLOOKUP(Tabla10[[#This Row],[COD]],Tabla15[],4,FALSE),"")</f>
        <v>15</v>
      </c>
      <c r="I83" s="339">
        <f>IFERROR(VLOOKUP(Tabla10[[#This Row],[COD]],Alojamentos!B:P,11,FALSE),"")</f>
        <v>300</v>
      </c>
      <c r="J83" s="160">
        <f>IF(ISBLANK(Tabla10[[#This Row],[INICIO VINCULO]]), 0, MAX(0, MIN(IF(ISBLANK(Tabla10[[#This Row],[FIM VINCULO]]), DATE(2026,1,31), Tabla10[[#This Row],[FIM VINCULO]]), DATE(2026,1,31)) - MAX(Tabla10[[#This Row],[INICIO VINCULO]], DATE(2026,1,1)) + 1))</f>
        <v>31</v>
      </c>
      <c r="K83" s="339">
        <f>7.05806*Tabla10[[#This Row],[DIAS DE ALTA]]</f>
        <v>218.79986</v>
      </c>
      <c r="L83" s="339" t="str">
        <f>IFERROR(VLOOKUP(Tabla10[[#This Row],[COD]],Carro!B:D,3,FALSE),"")</f>
        <v/>
      </c>
      <c r="M83" s="339" t="str">
        <f>IFERROR(VLOOKUP(Tabla10[[#This Row],[COD]],'Outros descontos'!B:P,15,FALSE),"")</f>
        <v/>
      </c>
      <c r="N83" s="7">
        <f>(Tabla10[[#This Row],[HORAS TRABALHADAS]]*Tabla10[[#This Row],[TARIFA]]) - SUM(Tabla10[[#This Row],[ALOJAMENTO]], Tabla10[[#This Row],[IMPOSTO]], Tabla10[[#This Row],[CARRO]])</f>
        <v>2226.2001399999999</v>
      </c>
      <c r="O83" s="7"/>
      <c r="P83" s="339"/>
    </row>
    <row r="84" spans="2:16" ht="15" hidden="1" customHeight="1" x14ac:dyDescent="0.35">
      <c r="B84" s="160" t="s">
        <v>6999</v>
      </c>
      <c r="C84" s="1" t="str">
        <f>IF(D84="", "", INDEX(Colaboradores!A:A, MATCH(D84,Colaboradores!C:C, 0)))</f>
        <v>E0398</v>
      </c>
      <c r="D84" s="338" t="s">
        <v>3165</v>
      </c>
      <c r="E84" s="249">
        <v>45764</v>
      </c>
      <c r="F84" s="249">
        <v>46052</v>
      </c>
      <c r="G84" s="160">
        <f>IFERROR(VLOOKUP(Tabla10[[#This Row],[COD]],'TotalHorasAjustadas (2)'!D:L,8,FALSE),"")</f>
        <v>143</v>
      </c>
      <c r="H84" s="339">
        <f>IFERROR(VLOOKUP(Tabla10[[#This Row],[COD]],Tabla15[],4,FALSE),"")</f>
        <v>14</v>
      </c>
      <c r="I84" s="339">
        <f>IFERROR(VLOOKUP(Tabla10[[#This Row],[COD]],Alojamentos!B:P,11,FALSE),"")</f>
        <v>300</v>
      </c>
      <c r="J84" s="160">
        <f>IF(ISBLANK(Tabla10[[#This Row],[INICIO VINCULO]]), 0, MAX(0, MIN(IF(ISBLANK(Tabla10[[#This Row],[FIM VINCULO]]), DATE(2026,1,31), Tabla10[[#This Row],[FIM VINCULO]]), DATE(2026,1,31)) - MAX(Tabla10[[#This Row],[INICIO VINCULO]], DATE(2026,1,1)) + 1))</f>
        <v>30</v>
      </c>
      <c r="K84" s="339">
        <f>7.05806*Tabla10[[#This Row],[DIAS DE ALTA]]</f>
        <v>211.74180000000001</v>
      </c>
      <c r="L84" s="339" t="str">
        <f>IFERROR(VLOOKUP(Tabla10[[#This Row],[COD]],Carro!B:D,3,FALSE),"")</f>
        <v/>
      </c>
      <c r="M84" s="339" t="str">
        <f>IFERROR(VLOOKUP(Tabla10[[#This Row],[COD]],'Outros descontos'!B:P,15,FALSE),"")</f>
        <v/>
      </c>
      <c r="N84" s="7">
        <f>(Tabla10[[#This Row],[HORAS TRABALHADAS]]*Tabla10[[#This Row],[TARIFA]]) - SUM(Tabla10[[#This Row],[ALOJAMENTO]], Tabla10[[#This Row],[IMPOSTO]], Tabla10[[#This Row],[CARRO]])</f>
        <v>1490.2582</v>
      </c>
      <c r="O84" s="7"/>
      <c r="P84" s="339"/>
    </row>
    <row r="85" spans="2:16" ht="15" hidden="1" customHeight="1" x14ac:dyDescent="0.35">
      <c r="B85" s="160" t="s">
        <v>6999</v>
      </c>
      <c r="C85" s="1" t="str">
        <f>IF(D85="", "", INDEX(Colaboradores!A:A, MATCH(D85,Colaboradores!C:C, 0)))</f>
        <v>E0182</v>
      </c>
      <c r="D85" s="338" t="s">
        <v>3169</v>
      </c>
      <c r="E85" s="249">
        <v>45820</v>
      </c>
      <c r="F85" s="249">
        <v>46052</v>
      </c>
      <c r="G85" s="160">
        <f>IFERROR(VLOOKUP(Tabla10[[#This Row],[COD]],'TotalHorasAjustadas (2)'!D:L,8,FALSE),"")</f>
        <v>282</v>
      </c>
      <c r="H85" s="339">
        <f>IFERROR(VLOOKUP(Tabla10[[#This Row],[COD]],Tabla15[],4,FALSE),"")</f>
        <v>15</v>
      </c>
      <c r="I85" s="339" t="str">
        <f>IFERROR(VLOOKUP(Tabla10[[#This Row],[COD]],Alojamentos!B:P,11,FALSE),"")</f>
        <v/>
      </c>
      <c r="J85" s="160">
        <f>IF(ISBLANK(Tabla10[[#This Row],[INICIO VINCULO]]), 0, MAX(0, MIN(IF(ISBLANK(Tabla10[[#This Row],[FIM VINCULO]]), DATE(2026,1,31), Tabla10[[#This Row],[FIM VINCULO]]), DATE(2026,1,31)) - MAX(Tabla10[[#This Row],[INICIO VINCULO]], DATE(2026,1,1)) + 1))</f>
        <v>30</v>
      </c>
      <c r="K85" s="339">
        <f>7.05806*Tabla10[[#This Row],[DIAS DE ALTA]]</f>
        <v>211.74180000000001</v>
      </c>
      <c r="L85" s="339">
        <f>IFERROR(VLOOKUP(Tabla10[[#This Row],[COD]],Carro!B:D,3,FALSE),"")</f>
        <v>104.44444444444446</v>
      </c>
      <c r="M85" s="339">
        <f>IFERROR(VLOOKUP(Tabla10[[#This Row],[COD]],'Outros descontos'!B:P,15,FALSE),"")</f>
        <v>100</v>
      </c>
      <c r="N85" s="7">
        <f>(Tabla10[[#This Row],[HORAS TRABALHADAS]]*Tabla10[[#This Row],[TARIFA]]) - SUM(Tabla10[[#This Row],[ALOJAMENTO]], Tabla10[[#This Row],[IMPOSTO]], Tabla10[[#This Row],[CARRO]],Tabla10[[#This Row],[OUTROS DEScontos]])</f>
        <v>3813.8137555555554</v>
      </c>
      <c r="O85" s="7"/>
      <c r="P85" s="339"/>
    </row>
    <row r="86" spans="2:16" ht="15" hidden="1" customHeight="1" x14ac:dyDescent="0.35">
      <c r="B86" s="160" t="s">
        <v>7002</v>
      </c>
      <c r="C86" s="160" t="str">
        <f>IF(D86="", "", INDEX(Colaboradores!A:A, MATCH(D86,Colaboradores!C:C, 0)))</f>
        <v>E1662</v>
      </c>
      <c r="D86" s="338" t="s">
        <v>3180</v>
      </c>
      <c r="E86" s="249">
        <v>46028</v>
      </c>
      <c r="F86" s="249">
        <v>46036</v>
      </c>
      <c r="G86" s="160">
        <v>0</v>
      </c>
      <c r="H86" s="339">
        <v>15</v>
      </c>
      <c r="I86" s="339" t="str">
        <f>IFERROR(VLOOKUP(Tabla10[[#This Row],[COD]],Alojamentos!B:P,11,FALSE),"")</f>
        <v/>
      </c>
      <c r="J86" s="160">
        <f>IF(ISBLANK(Tabla10[[#This Row],[INICIO VINCULO]]), 0, MAX(0, MIN(IF(ISBLANK(Tabla10[[#This Row],[FIM VINCULO]]), DATE(2026,1,31), Tabla10[[#This Row],[FIM VINCULO]]), DATE(2026,1,31)) - MAX(Tabla10[[#This Row],[INICIO VINCULO]], DATE(2026,1,1)) + 1))</f>
        <v>9</v>
      </c>
      <c r="K86" s="339">
        <f>7.05806*Tabla10[[#This Row],[DIAS DE ALTA]]</f>
        <v>63.522539999999999</v>
      </c>
      <c r="L86" s="339" t="str">
        <f>IFERROR(VLOOKUP(Tabla10[[#This Row],[COD]],Carro!B:D,3,FALSE),"")</f>
        <v/>
      </c>
      <c r="M86" s="339" t="str">
        <f>IFERROR(VLOOKUP(Tabla10[[#This Row],[COD]],'Outros descontos'!B:P,15,FALSE),"")</f>
        <v/>
      </c>
      <c r="N86" s="7">
        <v>0</v>
      </c>
      <c r="O86" s="7"/>
      <c r="P86" s="339"/>
    </row>
    <row r="87" spans="2:16" ht="15" hidden="1" customHeight="1" x14ac:dyDescent="0.35">
      <c r="B87" s="160" t="s">
        <v>7001</v>
      </c>
      <c r="C87" s="1" t="str">
        <f>IF(D87="", "", INDEX(Colaboradores!A:A, MATCH(D87,Colaboradores!C:C, 0)))</f>
        <v>E0148</v>
      </c>
      <c r="D87" s="338" t="s">
        <v>3312</v>
      </c>
      <c r="E87" s="249">
        <v>45761</v>
      </c>
      <c r="F87" s="249">
        <v>46023</v>
      </c>
      <c r="G87" s="160">
        <v>0</v>
      </c>
      <c r="H87" s="339">
        <v>0</v>
      </c>
      <c r="I87" s="339" t="str">
        <f>IFERROR(VLOOKUP(Tabla10[[#This Row],[COD]],Alojamentos!B:P,11,FALSE),"")</f>
        <v/>
      </c>
      <c r="J87" s="160">
        <f>IF(ISBLANK(Tabla10[[#This Row],[INICIO VINCULO]]), 0, MAX(0, MIN(IF(ISBLANK(Tabla10[[#This Row],[FIM VINCULO]]), DATE(2026,1,31), Tabla10[[#This Row],[FIM VINCULO]]), DATE(2026,1,31)) - MAX(Tabla10[[#This Row],[INICIO VINCULO]], DATE(2026,1,1)) + 1))</f>
        <v>1</v>
      </c>
      <c r="K87" s="339">
        <f>7.05806*Tabla10[[#This Row],[DIAS DE ALTA]]</f>
        <v>7.0580600000000002</v>
      </c>
      <c r="L87" s="339" t="str">
        <f>IFERROR(VLOOKUP(Tabla10[[#This Row],[COD]],Carro!B:D,3,FALSE),"")</f>
        <v/>
      </c>
      <c r="M87" s="339" t="str">
        <f>IFERROR(VLOOKUP(Tabla10[[#This Row],[COD]],'Outros descontos'!B:P,15,FALSE),"")</f>
        <v/>
      </c>
      <c r="N87" s="7">
        <v>0</v>
      </c>
      <c r="O87" s="7"/>
      <c r="P87" s="339"/>
    </row>
    <row r="88" spans="2:16" ht="15" hidden="1" customHeight="1" x14ac:dyDescent="0.35">
      <c r="B88" s="160" t="s">
        <v>7000</v>
      </c>
      <c r="C88" s="1" t="str">
        <f>IF(D88="", "", INDEX(Colaboradores!A:A, MATCH(D88,Colaboradores!C:C, 0)))</f>
        <v>E0029</v>
      </c>
      <c r="D88" s="338" t="s">
        <v>3327</v>
      </c>
      <c r="E88" s="249">
        <v>45957</v>
      </c>
      <c r="F88" s="249"/>
      <c r="G88" s="160">
        <f>IFERROR(VLOOKUP(Tabla10[[#This Row],[COD]],'TotalHorasAjustadas (2)'!D:L,8,FALSE),"")</f>
        <v>158</v>
      </c>
      <c r="H88" s="339">
        <f>IFERROR(VLOOKUP(Tabla10[[#This Row],[COD]],Tabla15[],4,FALSE),"")</f>
        <v>15</v>
      </c>
      <c r="I88" s="339" t="str">
        <f>IFERROR(VLOOKUP(Tabla10[[#This Row],[COD]],Alojamentos!B:P,11,FALSE),"")</f>
        <v/>
      </c>
      <c r="J88" s="160">
        <f>IF(ISBLANK(Tabla10[[#This Row],[INICIO VINCULO]]), 0, MAX(0, MIN(IF(ISBLANK(Tabla10[[#This Row],[FIM VINCULO]]), DATE(2026,1,31), Tabla10[[#This Row],[FIM VINCULO]]), DATE(2026,1,31)) - MAX(Tabla10[[#This Row],[INICIO VINCULO]], DATE(2026,1,1)) + 1))</f>
        <v>31</v>
      </c>
      <c r="K88" s="339">
        <f>7.05806*Tabla10[[#This Row],[DIAS DE ALTA]]</f>
        <v>218.79986</v>
      </c>
      <c r="L88" s="339" t="str">
        <f>IFERROR(VLOOKUP(Tabla10[[#This Row],[COD]],Carro!B:D,3,FALSE),"")</f>
        <v/>
      </c>
      <c r="M88" s="339" t="str">
        <f>IFERROR(VLOOKUP(Tabla10[[#This Row],[COD]],'Outros descontos'!B:P,15,FALSE),"")</f>
        <v/>
      </c>
      <c r="N88" s="7">
        <f>(Tabla10[[#This Row],[HORAS TRABALHADAS]]*Tabla10[[#This Row],[TARIFA]]) - SUM(Tabla10[[#This Row],[ALOJAMENTO]], Tabla10[[#This Row],[IMPOSTO]], Tabla10[[#This Row],[CARRO]])</f>
        <v>2151.2001399999999</v>
      </c>
      <c r="O88" s="7"/>
      <c r="P88" s="339"/>
    </row>
    <row r="89" spans="2:16" ht="15" hidden="1" customHeight="1" x14ac:dyDescent="0.35">
      <c r="B89" s="160" t="s">
        <v>6999</v>
      </c>
      <c r="C89" s="1" t="str">
        <f>IF(D89="", "", INDEX(Colaboradores!A:A, MATCH(D89,Colaboradores!C:C, 0)))</f>
        <v>E0196</v>
      </c>
      <c r="D89" s="338" t="s">
        <v>3335</v>
      </c>
      <c r="E89" s="249">
        <v>45764</v>
      </c>
      <c r="F89" s="249">
        <v>46053</v>
      </c>
      <c r="G89" s="160">
        <f>IFERROR(VLOOKUP(Tabla10[[#This Row],[COD]],'TotalHorasAjustadas (2)'!D:L,8,FALSE),"")</f>
        <v>160</v>
      </c>
      <c r="H89" s="339">
        <f>IFERROR(VLOOKUP(Tabla10[[#This Row],[COD]],Tabla15[],4,FALSE),"")</f>
        <v>13</v>
      </c>
      <c r="I89" s="339">
        <f>IFERROR(VLOOKUP(Tabla10[[#This Row],[COD]],Alojamentos!B:P,11,FALSE),"")</f>
        <v>300</v>
      </c>
      <c r="J89" s="160">
        <f>IF(ISBLANK(Tabla10[[#This Row],[INICIO VINCULO]]), 0, MAX(0, MIN(IF(ISBLANK(Tabla10[[#This Row],[FIM VINCULO]]), DATE(2026,1,31), Tabla10[[#This Row],[FIM VINCULO]]), DATE(2026,1,31)) - MAX(Tabla10[[#This Row],[INICIO VINCULO]], DATE(2026,1,1)) + 1))</f>
        <v>31</v>
      </c>
      <c r="K89" s="339">
        <f>7.05806*Tabla10[[#This Row],[DIAS DE ALTA]]</f>
        <v>218.79986</v>
      </c>
      <c r="L89" s="339" t="str">
        <f>IFERROR(VLOOKUP(Tabla10[[#This Row],[COD]],Carro!B:D,3,FALSE),"")</f>
        <v/>
      </c>
      <c r="M89" s="339" t="str">
        <f>IFERROR(VLOOKUP(Tabla10[[#This Row],[COD]],'Outros descontos'!B:P,15,FALSE),"")</f>
        <v/>
      </c>
      <c r="N89" s="7">
        <f>(Tabla10[[#This Row],[HORAS TRABALHADAS]]*Tabla10[[#This Row],[TARIFA]]) - SUM(Tabla10[[#This Row],[ALOJAMENTO]], Tabla10[[#This Row],[IMPOSTO]], Tabla10[[#This Row],[CARRO]])</f>
        <v>1561.2001399999999</v>
      </c>
      <c r="O89" s="7"/>
      <c r="P89" s="339"/>
    </row>
    <row r="90" spans="2:16" ht="15" hidden="1" customHeight="1" x14ac:dyDescent="0.35">
      <c r="B90" s="160" t="s">
        <v>7000</v>
      </c>
      <c r="C90" s="1" t="str">
        <f>IF(D90="", "", INDEX(Colaboradores!A:A, MATCH(D90,Colaboradores!C:C, 0)))</f>
        <v>E0381</v>
      </c>
      <c r="D90" s="338" t="s">
        <v>3482</v>
      </c>
      <c r="E90" s="249">
        <v>45922</v>
      </c>
      <c r="F90" s="249"/>
      <c r="G90" s="160">
        <f>IFERROR(VLOOKUP(Tabla10[[#This Row],[COD]],'TotalHorasAjustadas (2)'!D:L,8,FALSE),"")</f>
        <v>83</v>
      </c>
      <c r="H90" s="339">
        <f>IFERROR(VLOOKUP(Tabla10[[#This Row],[COD]],Tabla15[],4,FALSE),"")</f>
        <v>15</v>
      </c>
      <c r="I90" s="339" t="str">
        <f>IFERROR(VLOOKUP(Tabla10[[#This Row],[COD]],Alojamentos!B:P,11,FALSE),"")</f>
        <v/>
      </c>
      <c r="J90" s="160">
        <f>IF(ISBLANK(Tabla10[[#This Row],[INICIO VINCULO]]), 0, MAX(0, MIN(IF(ISBLANK(Tabla10[[#This Row],[FIM VINCULO]]), DATE(2026,1,31), Tabla10[[#This Row],[FIM VINCULO]]), DATE(2026,1,31)) - MAX(Tabla10[[#This Row],[INICIO VINCULO]], DATE(2026,1,1)) + 1))</f>
        <v>31</v>
      </c>
      <c r="K90" s="339">
        <f>7.05806*Tabla10[[#This Row],[DIAS DE ALTA]]</f>
        <v>218.79986</v>
      </c>
      <c r="L90" s="339">
        <f>IFERROR(VLOOKUP(Tabla10[[#This Row],[COD]],Carro!B:D,3,FALSE),"")</f>
        <v>50</v>
      </c>
      <c r="M90" s="339" t="str">
        <f>IFERROR(VLOOKUP(Tabla10[[#This Row],[COD]],'Outros descontos'!B:P,15,FALSE),"")</f>
        <v/>
      </c>
      <c r="N90" s="7">
        <f>(Tabla10[[#This Row],[HORAS TRABALHADAS]]*Tabla10[[#This Row],[TARIFA]]) - SUM(Tabla10[[#This Row],[ALOJAMENTO]], Tabla10[[#This Row],[IMPOSTO]], Tabla10[[#This Row],[CARRO]])</f>
        <v>976.20014000000003</v>
      </c>
      <c r="O90" s="7"/>
      <c r="P90" s="339"/>
    </row>
    <row r="91" spans="2:16" ht="15" hidden="1" customHeight="1" x14ac:dyDescent="0.35">
      <c r="B91" s="160" t="s">
        <v>7002</v>
      </c>
      <c r="C91" s="160" t="str">
        <f>IF(D91="", "", INDEX(Colaboradores!A:A, MATCH(D91,Colaboradores!C:C, 0)))</f>
        <v>E0547</v>
      </c>
      <c r="D91" s="338" t="s">
        <v>3605</v>
      </c>
      <c r="E91" s="249">
        <v>46028</v>
      </c>
      <c r="F91" s="249">
        <v>46041</v>
      </c>
      <c r="G91" s="348">
        <v>0</v>
      </c>
      <c r="H91" s="339">
        <f>IFERROR(VLOOKUP(Tabla10[[#This Row],[COD]],Tabla15[],4,FALSE),"")</f>
        <v>15</v>
      </c>
      <c r="I91" s="339" t="str">
        <f>IFERROR(VLOOKUP(Tabla10[[#This Row],[COD]],Alojamentos!B:P,11,FALSE),"")</f>
        <v/>
      </c>
      <c r="J91" s="160">
        <f>IF(ISBLANK(Tabla10[[#This Row],[INICIO VINCULO]]), 0, MAX(0, MIN(IF(ISBLANK(Tabla10[[#This Row],[FIM VINCULO]]), DATE(2026,1,31), Tabla10[[#This Row],[FIM VINCULO]]), DATE(2026,1,31)) - MAX(Tabla10[[#This Row],[INICIO VINCULO]], DATE(2026,1,1)) + 1))</f>
        <v>14</v>
      </c>
      <c r="K91" s="339">
        <f>7.05806*Tabla10[[#This Row],[DIAS DE ALTA]]</f>
        <v>98.812840000000008</v>
      </c>
      <c r="L91" s="339" t="str">
        <f>IFERROR(VLOOKUP(Tabla10[[#This Row],[COD]],Carro!B:D,3,FALSE),"")</f>
        <v/>
      </c>
      <c r="M91" s="339" t="str">
        <f>IFERROR(VLOOKUP(Tabla10[[#This Row],[COD]],'Outros descontos'!B:P,15,FALSE),"")</f>
        <v/>
      </c>
      <c r="N91" s="7">
        <v>0</v>
      </c>
      <c r="O91" s="7"/>
      <c r="P91" s="339"/>
    </row>
    <row r="92" spans="2:16" ht="15" hidden="1" customHeight="1" x14ac:dyDescent="0.35">
      <c r="B92" s="160" t="s">
        <v>7001</v>
      </c>
      <c r="C92" s="1" t="str">
        <f>IF(D92="", "", INDEX(Colaboradores!A:A, MATCH(D92,Colaboradores!C:C, 0)))</f>
        <v>E0268</v>
      </c>
      <c r="D92" s="338" t="s">
        <v>3612</v>
      </c>
      <c r="E92" s="249">
        <v>45695</v>
      </c>
      <c r="F92" s="249">
        <v>46052</v>
      </c>
      <c r="G92" s="160">
        <f>IFERROR(VLOOKUP(Tabla10[[#This Row],[COD]],'TotalHorasAjustadas (2)'!D:L,8,FALSE),"")</f>
        <v>135</v>
      </c>
      <c r="H92" s="339">
        <f>IFERROR(VLOOKUP(Tabla10[[#This Row],[COD]],Tabla15[],4,FALSE),"")</f>
        <v>15</v>
      </c>
      <c r="I92" s="339">
        <f>IFERROR(VLOOKUP(Tabla10[[#This Row],[COD]],Alojamentos!B:P,11,FALSE),"")</f>
        <v>300</v>
      </c>
      <c r="J92" s="160">
        <f>IF(ISBLANK(Tabla10[[#This Row],[INICIO VINCULO]]), 0, MAX(0, MIN(IF(ISBLANK(Tabla10[[#This Row],[FIM VINCULO]]), DATE(2026,1,31), Tabla10[[#This Row],[FIM VINCULO]]), DATE(2026,1,31)) - MAX(Tabla10[[#This Row],[INICIO VINCULO]], DATE(2026,1,1)) + 1))</f>
        <v>30</v>
      </c>
      <c r="K92" s="339">
        <f>7.05806*Tabla10[[#This Row],[DIAS DE ALTA]]</f>
        <v>211.74180000000001</v>
      </c>
      <c r="L92" s="339" t="str">
        <f>IFERROR(VLOOKUP(Tabla10[[#This Row],[COD]],Carro!B:D,3,FALSE),"")</f>
        <v/>
      </c>
      <c r="M92" s="339" t="str">
        <f>IFERROR(VLOOKUP(Tabla10[[#This Row],[COD]],'Outros descontos'!B:P,15,FALSE),"")</f>
        <v/>
      </c>
      <c r="N92" s="7">
        <f>(Tabla10[[#This Row],[HORAS TRABALHADAS]]*Tabla10[[#This Row],[TARIFA]]) - SUM(Tabla10[[#This Row],[ALOJAMENTO]], Tabla10[[#This Row],[IMPOSTO]], Tabla10[[#This Row],[CARRO]])</f>
        <v>1513.2582</v>
      </c>
      <c r="O92" s="7"/>
      <c r="P92" s="339"/>
    </row>
    <row r="93" spans="2:16" ht="15" hidden="1" customHeight="1" x14ac:dyDescent="0.35">
      <c r="B93" s="160" t="s">
        <v>7002</v>
      </c>
      <c r="C93" s="160" t="str">
        <f>IF(D93="", "", INDEX(Colaboradores!A:A, MATCH(D93,Colaboradores!C:C, 0)))</f>
        <v>E0069</v>
      </c>
      <c r="D93" s="338" t="s">
        <v>3640</v>
      </c>
      <c r="E93" s="249">
        <v>45926</v>
      </c>
      <c r="F93" s="249"/>
      <c r="G93" s="160">
        <v>160</v>
      </c>
      <c r="H93" s="339">
        <f>IFERROR(VLOOKUP(Tabla10[[#This Row],[COD]],Tabla15[],4,FALSE),"")</f>
        <v>17.5</v>
      </c>
      <c r="I93" s="339" t="str">
        <f>IFERROR(VLOOKUP(Tabla10[[#This Row],[COD]],Alojamentos!B:P,11,FALSE),"")</f>
        <v/>
      </c>
      <c r="J93" s="160">
        <f>IF(ISBLANK(Tabla10[[#This Row],[INICIO VINCULO]]), 0, MAX(0, MIN(IF(ISBLANK(Tabla10[[#This Row],[FIM VINCULO]]), DATE(2026,1,31), Tabla10[[#This Row],[FIM VINCULO]]), DATE(2026,1,31)) - MAX(Tabla10[[#This Row],[INICIO VINCULO]], DATE(2026,1,1)) + 1))</f>
        <v>31</v>
      </c>
      <c r="K93" s="339">
        <f>7.05806*Tabla10[[#This Row],[DIAS DE ALTA]]</f>
        <v>218.79986</v>
      </c>
      <c r="L93" s="339" t="str">
        <f>IFERROR(VLOOKUP(Tabla10[[#This Row],[COD]],Carro!B:D,3,FALSE),"")</f>
        <v/>
      </c>
      <c r="M93" s="339" t="str">
        <f>IFERROR(VLOOKUP(Tabla10[[#This Row],[COD]],'Outros descontos'!B:P,15,FALSE),"")</f>
        <v/>
      </c>
      <c r="N93" s="7">
        <f>(Tabla10[[#This Row],[HORAS TRABALHADAS]]*Tabla10[[#This Row],[TARIFA]]) - SUM(Tabla10[[#This Row],[ALOJAMENTO]], Tabla10[[#This Row],[IMPOSTO]], Tabla10[[#This Row],[CARRO]])</f>
        <v>2581.2001399999999</v>
      </c>
      <c r="O93" s="7"/>
      <c r="P93" s="339"/>
    </row>
    <row r="94" spans="2:16" ht="15" hidden="1" customHeight="1" x14ac:dyDescent="0.35">
      <c r="B94" s="160" t="s">
        <v>7000</v>
      </c>
      <c r="C94" s="1" t="str">
        <f>IF(D94="", "", INDEX(Colaboradores!A:A, MATCH(D94,Colaboradores!C:C, 0)))</f>
        <v>E0552</v>
      </c>
      <c r="D94" s="338" t="s">
        <v>3644</v>
      </c>
      <c r="E94" s="249">
        <v>45945</v>
      </c>
      <c r="F94" s="249"/>
      <c r="G94" s="160">
        <f>IFERROR(VLOOKUP(Tabla10[[#This Row],[COD]],'TotalHorasAjustadas (2)'!D:L,8,FALSE),"")</f>
        <v>268</v>
      </c>
      <c r="H94" s="339">
        <f>IFERROR(VLOOKUP(Tabla10[[#This Row],[COD]],Tabla15[],4,FALSE),"")</f>
        <v>15</v>
      </c>
      <c r="I94" s="339" t="str">
        <f>IFERROR(VLOOKUP(Tabla10[[#This Row],[COD]],Alojamentos!B:P,11,FALSE),"")</f>
        <v/>
      </c>
      <c r="J94" s="160">
        <f>IF(ISBLANK(Tabla10[[#This Row],[INICIO VINCULO]]), 0, MAX(0, MIN(IF(ISBLANK(Tabla10[[#This Row],[FIM VINCULO]]), DATE(2026,1,31), Tabla10[[#This Row],[FIM VINCULO]]), DATE(2026,1,31)) - MAX(Tabla10[[#This Row],[INICIO VINCULO]], DATE(2026,1,1)) + 1))</f>
        <v>31</v>
      </c>
      <c r="K94" s="339">
        <f>7.05806*Tabla10[[#This Row],[DIAS DE ALTA]]</f>
        <v>218.79986</v>
      </c>
      <c r="L94" s="339">
        <f>IFERROR(VLOOKUP(Tabla10[[#This Row],[COD]],Carro!B:D,3,FALSE),"")</f>
        <v>66.666666666666657</v>
      </c>
      <c r="M94" s="339">
        <f>IFERROR(VLOOKUP(Tabla10[[#This Row],[COD]],'Outros descontos'!B:P,15,FALSE),"")</f>
        <v>148.97</v>
      </c>
      <c r="N94" s="7">
        <f>(Tabla10[[#This Row],[HORAS TRABALHADAS]]*Tabla10[[#This Row],[TARIFA]]) - SUM(Tabla10[[#This Row],[ALOJAMENTO]], Tabla10[[#This Row],[IMPOSTO]], Tabla10[[#This Row],[CARRO]],Tabla10[[#This Row],[OUTROS DEScontos]])</f>
        <v>3585.5634733333336</v>
      </c>
      <c r="O94" s="7"/>
      <c r="P94" s="339"/>
    </row>
    <row r="95" spans="2:16" ht="15" hidden="1" customHeight="1" x14ac:dyDescent="0.35">
      <c r="B95" s="160" t="s">
        <v>7001</v>
      </c>
      <c r="C95" s="1" t="str">
        <f>IF(D95="", "", INDEX(Colaboradores!A:A, MATCH(D95,Colaboradores!C:C, 0)))</f>
        <v>E0591</v>
      </c>
      <c r="D95" s="338" t="s">
        <v>3659</v>
      </c>
      <c r="E95" s="249">
        <v>45777</v>
      </c>
      <c r="F95" s="249">
        <v>46052</v>
      </c>
      <c r="G95" s="160">
        <f>IFERROR(VLOOKUP(Tabla10[[#This Row],[COD]],'TotalHorasAjustadas (2)'!D:L,8,FALSE),"")</f>
        <v>179</v>
      </c>
      <c r="H95" s="339">
        <f>IFERROR(VLOOKUP(Tabla10[[#This Row],[COD]],Tabla15[],4,FALSE),"")</f>
        <v>15</v>
      </c>
      <c r="I95" s="339" t="str">
        <f>IFERROR(VLOOKUP(Tabla10[[#This Row],[COD]],Alojamentos!B:P,11,FALSE),"")</f>
        <v/>
      </c>
      <c r="J95" s="160">
        <f>IF(ISBLANK(Tabla10[[#This Row],[INICIO VINCULO]]), 0, MAX(0, MIN(IF(ISBLANK(Tabla10[[#This Row],[FIM VINCULO]]), DATE(2026,1,31), Tabla10[[#This Row],[FIM VINCULO]]), DATE(2026,1,31)) - MAX(Tabla10[[#This Row],[INICIO VINCULO]], DATE(2026,1,1)) + 1))</f>
        <v>30</v>
      </c>
      <c r="K95" s="339">
        <f>7.05806*Tabla10[[#This Row],[DIAS DE ALTA]]</f>
        <v>211.74180000000001</v>
      </c>
      <c r="L95" s="339" t="str">
        <f>IFERROR(VLOOKUP(Tabla10[[#This Row],[COD]],Carro!B:D,3,FALSE),"")</f>
        <v/>
      </c>
      <c r="M95" s="339" t="str">
        <f>IFERROR(VLOOKUP(Tabla10[[#This Row],[COD]],'Outros descontos'!B:P,15,FALSE),"")</f>
        <v/>
      </c>
      <c r="N95" s="7">
        <f>(Tabla10[[#This Row],[HORAS TRABALHADAS]]*Tabla10[[#This Row],[TARIFA]]) - SUM(Tabla10[[#This Row],[ALOJAMENTO]], Tabla10[[#This Row],[IMPOSTO]], Tabla10[[#This Row],[CARRO]])</f>
        <v>2473.2582000000002</v>
      </c>
      <c r="O95" s="7"/>
      <c r="P95" s="339"/>
    </row>
    <row r="96" spans="2:16" ht="15" hidden="1" customHeight="1" x14ac:dyDescent="0.35">
      <c r="B96" s="160" t="s">
        <v>7001</v>
      </c>
      <c r="C96" s="347"/>
      <c r="D96" s="338" t="s">
        <v>7009</v>
      </c>
      <c r="E96" s="249">
        <v>45734</v>
      </c>
      <c r="F96" s="249"/>
      <c r="G96" s="160">
        <v>160</v>
      </c>
      <c r="H96" s="339">
        <v>0</v>
      </c>
      <c r="I96" s="339" t="str">
        <f>IFERROR(VLOOKUP(Tabla10[[#This Row],[COD]],Alojamentos!B:P,11,FALSE),"")</f>
        <v/>
      </c>
      <c r="J96" s="160">
        <f>IF(ISBLANK(Tabla10[[#This Row],[INICIO VINCULO]]), 0, MAX(0, MIN(IF(ISBLANK(Tabla10[[#This Row],[FIM VINCULO]]), DATE(2026,1,31), Tabla10[[#This Row],[FIM VINCULO]]), DATE(2026,1,31)) - MAX(Tabla10[[#This Row],[INICIO VINCULO]], DATE(2026,1,1)) + 1))</f>
        <v>31</v>
      </c>
      <c r="K96" s="339">
        <v>0</v>
      </c>
      <c r="L96" s="339" t="str">
        <f>IFERROR(VLOOKUP(Tabla10[[#This Row],[COD]],Carro!B:D,3,FALSE),"")</f>
        <v/>
      </c>
      <c r="M96" s="339" t="str">
        <f>IFERROR(VLOOKUP(Tabla10[[#This Row],[COD]],'Outros descontos'!B:P,15,FALSE),"")</f>
        <v/>
      </c>
      <c r="N96" s="7">
        <v>1423.58</v>
      </c>
      <c r="O96" s="7"/>
      <c r="P96" s="339"/>
    </row>
    <row r="97" spans="2:16" ht="15" hidden="1" customHeight="1" x14ac:dyDescent="0.35">
      <c r="B97" s="160" t="s">
        <v>7000</v>
      </c>
      <c r="C97" s="1" t="str">
        <f>IF(D97="", "", INDEX(Colaboradores!A:A, MATCH(D97,Colaboradores!C:C, 0)))</f>
        <v>E0585</v>
      </c>
      <c r="D97" s="338" t="s">
        <v>3666</v>
      </c>
      <c r="E97" s="249">
        <v>46010</v>
      </c>
      <c r="F97" s="249"/>
      <c r="G97" s="160">
        <f>IFERROR(VLOOKUP(Tabla10[[#This Row],[COD]],'TotalHorasAjustadas (2)'!D:L,8,FALSE),"")</f>
        <v>156</v>
      </c>
      <c r="H97" s="339">
        <f>IFERROR(VLOOKUP(Tabla10[[#This Row],[COD]],Tabla15[],4,FALSE),"")</f>
        <v>15</v>
      </c>
      <c r="I97" s="339" t="str">
        <f>IFERROR(VLOOKUP(Tabla10[[#This Row],[COD]],Alojamentos!B:P,11,FALSE),"")</f>
        <v/>
      </c>
      <c r="J97" s="160">
        <f>IF(ISBLANK(Tabla10[[#This Row],[INICIO VINCULO]]), 0, MAX(0, MIN(IF(ISBLANK(Tabla10[[#This Row],[FIM VINCULO]]), DATE(2026,1,31), Tabla10[[#This Row],[FIM VINCULO]]), DATE(2026,1,31)) - MAX(Tabla10[[#This Row],[INICIO VINCULO]], DATE(2026,1,1)) + 1))</f>
        <v>31</v>
      </c>
      <c r="K97" s="339">
        <f>7.05806*Tabla10[[#This Row],[DIAS DE ALTA]]</f>
        <v>218.79986</v>
      </c>
      <c r="L97" s="339" t="str">
        <f>IFERROR(VLOOKUP(Tabla10[[#This Row],[COD]],Carro!B:D,3,FALSE),"")</f>
        <v/>
      </c>
      <c r="M97" s="339" t="str">
        <f>IFERROR(VLOOKUP(Tabla10[[#This Row],[COD]],'Outros descontos'!B:P,15,FALSE),"")</f>
        <v/>
      </c>
      <c r="N97" s="7">
        <f>(Tabla10[[#This Row],[HORAS TRABALHADAS]]*Tabla10[[#This Row],[TARIFA]]) - SUM(Tabla10[[#This Row],[ALOJAMENTO]], Tabla10[[#This Row],[IMPOSTO]], Tabla10[[#This Row],[CARRO]])</f>
        <v>2121.2001399999999</v>
      </c>
      <c r="O97" s="7"/>
      <c r="P97" s="339"/>
    </row>
    <row r="98" spans="2:16" ht="15" hidden="1" customHeight="1" x14ac:dyDescent="0.35">
      <c r="B98" s="160" t="s">
        <v>7001</v>
      </c>
      <c r="C98" s="1" t="str">
        <f>IF(D98="", "", INDEX(Colaboradores!A:A, MATCH(D98,Colaboradores!C:C, 0)))</f>
        <v>E0164</v>
      </c>
      <c r="D98" s="338" t="s">
        <v>3726</v>
      </c>
      <c r="E98" s="249">
        <v>45779</v>
      </c>
      <c r="F98" s="249">
        <v>46053</v>
      </c>
      <c r="G98" s="160">
        <f>IFERROR(VLOOKUP(Tabla10[[#This Row],[COD]],'TotalHorasAjustadas (2)'!D:L,8,FALSE),"")</f>
        <v>199</v>
      </c>
      <c r="H98" s="339">
        <f>IFERROR(VLOOKUP(Tabla10[[#This Row],[COD]],Tabla15[],4,FALSE),"")</f>
        <v>16</v>
      </c>
      <c r="I98" s="339" t="str">
        <f>IFERROR(VLOOKUP(Tabla10[[#This Row],[COD]],Alojamentos!B:P,11,FALSE),"")</f>
        <v/>
      </c>
      <c r="J98" s="160">
        <f>IF(ISBLANK(Tabla10[[#This Row],[INICIO VINCULO]]), 0, MAX(0, MIN(IF(ISBLANK(Tabla10[[#This Row],[FIM VINCULO]]), DATE(2026,1,31), Tabla10[[#This Row],[FIM VINCULO]]), DATE(2026,1,31)) - MAX(Tabla10[[#This Row],[INICIO VINCULO]], DATE(2026,1,1)) + 1))</f>
        <v>31</v>
      </c>
      <c r="K98" s="339">
        <f>7.05806*Tabla10[[#This Row],[DIAS DE ALTA]]</f>
        <v>218.79986</v>
      </c>
      <c r="L98" s="339" t="str">
        <f>IFERROR(VLOOKUP(Tabla10[[#This Row],[COD]],Carro!B:D,3,FALSE),"")</f>
        <v/>
      </c>
      <c r="M98" s="339" t="str">
        <f>IFERROR(VLOOKUP(Tabla10[[#This Row],[COD]],'Outros descontos'!B:P,15,FALSE),"")</f>
        <v/>
      </c>
      <c r="N98" s="7">
        <f>(Tabla10[[#This Row],[HORAS TRABALHADAS]]*Tabla10[[#This Row],[TARIFA]]) - SUM(Tabla10[[#This Row],[ALOJAMENTO]], Tabla10[[#This Row],[IMPOSTO]], Tabla10[[#This Row],[CARRO]])</f>
        <v>2965.2001399999999</v>
      </c>
      <c r="O98" s="7"/>
      <c r="P98" s="339"/>
    </row>
    <row r="99" spans="2:16" ht="15" hidden="1" customHeight="1" x14ac:dyDescent="0.35">
      <c r="B99" s="160" t="s">
        <v>7000</v>
      </c>
      <c r="C99" s="1" t="str">
        <f>IF(D99="", "", INDEX(Colaboradores!A:A, MATCH(D99,Colaboradores!C:C, 0)))</f>
        <v>E0377</v>
      </c>
      <c r="D99" s="338" t="s">
        <v>3923</v>
      </c>
      <c r="E99" s="249">
        <v>45939</v>
      </c>
      <c r="F99" s="249"/>
      <c r="G99" s="160">
        <f>IFERROR(VLOOKUP(Tabla10[[#This Row],[COD]],'TotalHorasAjustadas (2)'!D:L,8,FALSE),"")</f>
        <v>168</v>
      </c>
      <c r="H99" s="339">
        <f>IFERROR(VLOOKUP(Tabla10[[#This Row],[COD]],Tabla15[],4,FALSE),"")</f>
        <v>15</v>
      </c>
      <c r="I99" s="339">
        <f>IFERROR(VLOOKUP(Tabla10[[#This Row],[COD]],Alojamentos!B:P,11,FALSE),"")</f>
        <v>300</v>
      </c>
      <c r="J99" s="160">
        <f>IF(ISBLANK(Tabla10[[#This Row],[INICIO VINCULO]]), 0, MAX(0, MIN(IF(ISBLANK(Tabla10[[#This Row],[FIM VINCULO]]), DATE(2026,1,31), Tabla10[[#This Row],[FIM VINCULO]]), DATE(2026,1,31)) - MAX(Tabla10[[#This Row],[INICIO VINCULO]], DATE(2026,1,1)) + 1))</f>
        <v>31</v>
      </c>
      <c r="K99" s="339">
        <f>7.05806*Tabla10[[#This Row],[DIAS DE ALTA]]</f>
        <v>218.79986</v>
      </c>
      <c r="L99" s="339" t="str">
        <f>IFERROR(VLOOKUP(Tabla10[[#This Row],[COD]],Carro!B:D,3,FALSE),"")</f>
        <v/>
      </c>
      <c r="M99" s="339" t="str">
        <f>IFERROR(VLOOKUP(Tabla10[[#This Row],[COD]],'Outros descontos'!B:P,15,FALSE),"")</f>
        <v/>
      </c>
      <c r="N99" s="7">
        <f>(Tabla10[[#This Row],[HORAS TRABALHADAS]]*Tabla10[[#This Row],[TARIFA]]) - SUM(Tabla10[[#This Row],[ALOJAMENTO]], Tabla10[[#This Row],[IMPOSTO]], Tabla10[[#This Row],[CARRO]])</f>
        <v>2001.2001399999999</v>
      </c>
      <c r="O99" s="7"/>
      <c r="P99" s="339"/>
    </row>
    <row r="100" spans="2:16" ht="15" hidden="1" customHeight="1" x14ac:dyDescent="0.35">
      <c r="B100" s="160" t="s">
        <v>7000</v>
      </c>
      <c r="C100" s="1" t="str">
        <f>IF(D100="", "", INDEX(Colaboradores!A:A, MATCH(D100,Colaboradores!C:C, 0)))</f>
        <v>E0291</v>
      </c>
      <c r="D100" s="338" t="s">
        <v>3955</v>
      </c>
      <c r="E100" s="249">
        <v>45945</v>
      </c>
      <c r="F100" s="249"/>
      <c r="G100" s="160">
        <f>IFERROR(VLOOKUP(Tabla10[[#This Row],[COD]],'TotalHorasAjustadas (2)'!D:L,8,FALSE),"")</f>
        <v>241</v>
      </c>
      <c r="H100" s="339">
        <f>IFERROR(VLOOKUP(Tabla10[[#This Row],[COD]],Tabla15[],4,FALSE),"")</f>
        <v>15</v>
      </c>
      <c r="I100" s="339">
        <f>IFERROR(VLOOKUP(Tabla10[[#This Row],[COD]],Alojamentos!B:P,11,FALSE),"")</f>
        <v>300</v>
      </c>
      <c r="J100" s="160">
        <f>IF(ISBLANK(Tabla10[[#This Row],[INICIO VINCULO]]), 0, MAX(0, MIN(IF(ISBLANK(Tabla10[[#This Row],[FIM VINCULO]]), DATE(2026,1,31), Tabla10[[#This Row],[FIM VINCULO]]), DATE(2026,1,31)) - MAX(Tabla10[[#This Row],[INICIO VINCULO]], DATE(2026,1,1)) + 1))</f>
        <v>31</v>
      </c>
      <c r="K100" s="339">
        <f>7.05806*Tabla10[[#This Row],[DIAS DE ALTA]]</f>
        <v>218.79986</v>
      </c>
      <c r="L100" s="339" t="str">
        <f>IFERROR(VLOOKUP(Tabla10[[#This Row],[COD]],Carro!B:D,3,FALSE),"")</f>
        <v/>
      </c>
      <c r="M100" s="339">
        <f>IFERROR(VLOOKUP(Tabla10[[#This Row],[COD]],'Outros descontos'!B:P,15,FALSE),"")</f>
        <v>21.74</v>
      </c>
      <c r="N100" s="7">
        <f>(Tabla10[[#This Row],[HORAS TRABALHADAS]]*Tabla10[[#This Row],[TARIFA]]) - SUM(Tabla10[[#This Row],[ALOJAMENTO]], Tabla10[[#This Row],[IMPOSTO]], Tabla10[[#This Row],[CARRO]])</f>
        <v>3096.2001399999999</v>
      </c>
      <c r="O100" s="7"/>
      <c r="P100" s="339"/>
    </row>
    <row r="101" spans="2:16" ht="15.75" hidden="1" customHeight="1" x14ac:dyDescent="0.35">
      <c r="B101" s="160" t="s">
        <v>7001</v>
      </c>
      <c r="C101" s="1" t="str">
        <f>IF(D101="", "", INDEX(Colaboradores!A:A, MATCH(D101,Colaboradores!C:C, 0)))</f>
        <v>E0163</v>
      </c>
      <c r="D101" s="338" t="s">
        <v>3959</v>
      </c>
      <c r="E101" s="249">
        <v>45763</v>
      </c>
      <c r="F101" s="249">
        <v>46053</v>
      </c>
      <c r="G101" s="160">
        <f>IFERROR(VLOOKUP(Tabla10[[#This Row],[COD]],'TotalHorasAjustadas (2)'!D:L,8,FALSE),"")</f>
        <v>162</v>
      </c>
      <c r="H101" s="339">
        <f>IFERROR(VLOOKUP(Tabla10[[#This Row],[COD]],Tabla15[],4,FALSE),"")</f>
        <v>16</v>
      </c>
      <c r="I101" s="339" t="str">
        <f>IFERROR(VLOOKUP(Tabla10[[#This Row],[COD]],Alojamentos!B:P,11,FALSE),"")</f>
        <v/>
      </c>
      <c r="J101" s="160">
        <f>IF(ISBLANK(Tabla10[[#This Row],[INICIO VINCULO]]), 0, MAX(0, MIN(IF(ISBLANK(Tabla10[[#This Row],[FIM VINCULO]]), DATE(2026,1,31), Tabla10[[#This Row],[FIM VINCULO]]), DATE(2026,1,31)) - MAX(Tabla10[[#This Row],[INICIO VINCULO]], DATE(2026,1,1)) + 1))</f>
        <v>31</v>
      </c>
      <c r="K101" s="339">
        <f>7.05806*Tabla10[[#This Row],[DIAS DE ALTA]]</f>
        <v>218.79986</v>
      </c>
      <c r="L101" s="339" t="str">
        <f>IFERROR(VLOOKUP(Tabla10[[#This Row],[COD]],Carro!B:D,3,FALSE),"")</f>
        <v/>
      </c>
      <c r="M101" s="339" t="str">
        <f>IFERROR(VLOOKUP(Tabla10[[#This Row],[COD]],'Outros descontos'!B:P,15,FALSE),"")</f>
        <v/>
      </c>
      <c r="N101" s="7">
        <f>(Tabla10[[#This Row],[HORAS TRABALHADAS]]*Tabla10[[#This Row],[TARIFA]]) - SUM(Tabla10[[#This Row],[ALOJAMENTO]], Tabla10[[#This Row],[IMPOSTO]], Tabla10[[#This Row],[CARRO]])</f>
        <v>2373.2001399999999</v>
      </c>
      <c r="O101" s="7"/>
      <c r="P101" s="339"/>
    </row>
    <row r="102" spans="2:16" ht="15" hidden="1" customHeight="1" x14ac:dyDescent="0.35">
      <c r="B102" s="160" t="s">
        <v>6999</v>
      </c>
      <c r="C102" s="1" t="str">
        <f>IF(D102="", "", INDEX(Colaboradores!A:A, MATCH(D102,Colaboradores!C:C, 0)))</f>
        <v>E0181</v>
      </c>
      <c r="D102" s="338" t="s">
        <v>3975</v>
      </c>
      <c r="E102" s="249">
        <v>45820</v>
      </c>
      <c r="F102" s="249">
        <v>46052</v>
      </c>
      <c r="G102" s="160">
        <f>IFERROR(VLOOKUP(Tabla10[[#This Row],[COD]],'TotalHorasAjustadas (2)'!D:L,8,FALSE),"")</f>
        <v>275</v>
      </c>
      <c r="H102" s="339">
        <f>IFERROR(VLOOKUP(Tabla10[[#This Row],[COD]],Tabla15[],4,FALSE),"")</f>
        <v>15</v>
      </c>
      <c r="I102" s="339" t="str">
        <f>IFERROR(VLOOKUP(Tabla10[[#This Row],[COD]],Alojamentos!B:P,11,FALSE),"")</f>
        <v/>
      </c>
      <c r="J102" s="160">
        <f>IF(ISBLANK(Tabla10[[#This Row],[INICIO VINCULO]]), 0, MAX(0, MIN(IF(ISBLANK(Tabla10[[#This Row],[FIM VINCULO]]), DATE(2026,1,31), Tabla10[[#This Row],[FIM VINCULO]]), DATE(2026,1,31)) - MAX(Tabla10[[#This Row],[INICIO VINCULO]], DATE(2026,1,1)) + 1))</f>
        <v>30</v>
      </c>
      <c r="K102" s="339">
        <f>7.05806*Tabla10[[#This Row],[DIAS DE ALTA]]</f>
        <v>211.74180000000001</v>
      </c>
      <c r="L102" s="339">
        <f>IFERROR(VLOOKUP(Tabla10[[#This Row],[COD]],Carro!B:D,3,FALSE),"")</f>
        <v>104.44444444444446</v>
      </c>
      <c r="M102" s="339" t="str">
        <f>IFERROR(VLOOKUP(Tabla10[[#This Row],[COD]],'Outros descontos'!B:P,15,FALSE),"")</f>
        <v/>
      </c>
      <c r="N102" s="7">
        <f>(Tabla10[[#This Row],[HORAS TRABALHADAS]]*Tabla10[[#This Row],[TARIFA]]) - SUM(Tabla10[[#This Row],[ALOJAMENTO]], Tabla10[[#This Row],[IMPOSTO]], Tabla10[[#This Row],[CARRO]],Tabla10[[#This Row],[OUTROS DEScontos]])</f>
        <v>3808.8137555555554</v>
      </c>
      <c r="O102" s="7"/>
      <c r="P102" s="339"/>
    </row>
    <row r="103" spans="2:16" ht="15" hidden="1" customHeight="1" x14ac:dyDescent="0.35">
      <c r="B103" s="160" t="s">
        <v>7001</v>
      </c>
      <c r="C103" s="1" t="str">
        <f>IF(D103="", "", INDEX(Colaboradores!A:A, MATCH(D103,Colaboradores!C:C, 0)))</f>
        <v>E0260</v>
      </c>
      <c r="D103" s="338" t="s">
        <v>3996</v>
      </c>
      <c r="E103" s="249">
        <v>45762</v>
      </c>
      <c r="F103" s="249">
        <v>46052</v>
      </c>
      <c r="G103" s="160">
        <f>IFERROR(VLOOKUP(Tabla10[[#This Row],[COD]],'TotalHorasAjustadas (2)'!D:L,8,FALSE),"")</f>
        <v>117</v>
      </c>
      <c r="H103" s="339">
        <f>IFERROR(VLOOKUP(Tabla10[[#This Row],[COD]],Tabla15[],4,FALSE),"")</f>
        <v>15</v>
      </c>
      <c r="I103" s="339" t="str">
        <f>IFERROR(VLOOKUP(Tabla10[[#This Row],[COD]],Alojamentos!B:P,11,FALSE),"")</f>
        <v/>
      </c>
      <c r="J103" s="160">
        <f>IF(ISBLANK(Tabla10[[#This Row],[INICIO VINCULO]]), 0, MAX(0, MIN(IF(ISBLANK(Tabla10[[#This Row],[FIM VINCULO]]), DATE(2026,1,31), Tabla10[[#This Row],[FIM VINCULO]]), DATE(2026,1,31)) - MAX(Tabla10[[#This Row],[INICIO VINCULO]], DATE(2026,1,1)) + 1))</f>
        <v>30</v>
      </c>
      <c r="K103" s="339">
        <f>7.05806*Tabla10[[#This Row],[DIAS DE ALTA]]</f>
        <v>211.74180000000001</v>
      </c>
      <c r="L103" s="339" t="str">
        <f>IFERROR(VLOOKUP(Tabla10[[#This Row],[COD]],Carro!B:D,3,FALSE),"")</f>
        <v/>
      </c>
      <c r="M103" s="339" t="str">
        <f>IFERROR(VLOOKUP(Tabla10[[#This Row],[COD]],'Outros descontos'!B:P,15,FALSE),"")</f>
        <v/>
      </c>
      <c r="N103" s="7">
        <f>(Tabla10[[#This Row],[HORAS TRABALHADAS]]*Tabla10[[#This Row],[TARIFA]]) - SUM(Tabla10[[#This Row],[ALOJAMENTO]], Tabla10[[#This Row],[IMPOSTO]], Tabla10[[#This Row],[CARRO]])</f>
        <v>1543.2582</v>
      </c>
      <c r="O103" s="7"/>
      <c r="P103" s="339"/>
    </row>
    <row r="104" spans="2:16" ht="15" hidden="1" customHeight="1" x14ac:dyDescent="0.35">
      <c r="B104" s="160" t="s">
        <v>7002</v>
      </c>
      <c r="C104" s="160" t="str">
        <f>IF(D104="", "", INDEX(Colaboradores!A:A, MATCH(D104,Colaboradores!C:C, 0)))</f>
        <v>E0090</v>
      </c>
      <c r="D104" s="338" t="s">
        <v>4033</v>
      </c>
      <c r="E104" s="249">
        <v>45931</v>
      </c>
      <c r="F104" s="249"/>
      <c r="G104" s="160">
        <f>IFERROR(VLOOKUP(Tabla10[[#This Row],[COD]],'TotalHorasAjustadas (2)'!D:L,8,FALSE),"")</f>
        <v>169</v>
      </c>
      <c r="H104" s="339">
        <f>IFERROR(VLOOKUP(Tabla10[[#This Row],[COD]],Tabla15[],4,FALSE),"")</f>
        <v>17</v>
      </c>
      <c r="I104" s="339">
        <f>IFERROR(VLOOKUP(Tabla10[[#This Row],[COD]],Alojamentos!B:P,11,FALSE),"")</f>
        <v>300</v>
      </c>
      <c r="J104" s="160">
        <f>IF(ISBLANK(Tabla10[[#This Row],[INICIO VINCULO]]), 0, MAX(0, MIN(IF(ISBLANK(Tabla10[[#This Row],[FIM VINCULO]]), DATE(2026,1,31), Tabla10[[#This Row],[FIM VINCULO]]), DATE(2026,1,31)) - MAX(Tabla10[[#This Row],[INICIO VINCULO]], DATE(2026,1,1)) + 1))</f>
        <v>31</v>
      </c>
      <c r="K104" s="339">
        <f>7.05806*Tabla10[[#This Row],[DIAS DE ALTA]]</f>
        <v>218.79986</v>
      </c>
      <c r="L104" s="339" t="str">
        <f>IFERROR(VLOOKUP(Tabla10[[#This Row],[COD]],Carro!B:D,3,FALSE),"")</f>
        <v/>
      </c>
      <c r="M104" s="339" t="str">
        <f>IFERROR(VLOOKUP(Tabla10[[#This Row],[COD]],'Outros descontos'!B:P,15,FALSE),"")</f>
        <v/>
      </c>
      <c r="N104" s="7">
        <f>(Tabla10[[#This Row],[HORAS TRABALHADAS]]*Tabla10[[#This Row],[TARIFA]]) - SUM(Tabla10[[#This Row],[ALOJAMENTO]], Tabla10[[#This Row],[IMPOSTO]], Tabla10[[#This Row],[CARRO]])</f>
        <v>2354.2001399999999</v>
      </c>
      <c r="O104" s="7"/>
      <c r="P104" s="339"/>
    </row>
    <row r="105" spans="2:16" ht="15" hidden="1" customHeight="1" x14ac:dyDescent="0.35">
      <c r="B105" s="160" t="s">
        <v>7002</v>
      </c>
      <c r="C105" s="160" t="str">
        <f>IF(D105="", "", INDEX(Colaboradores!A:A, MATCH(D105,Colaboradores!C:C, 0)))</f>
        <v>E1222</v>
      </c>
      <c r="D105" s="338" t="s">
        <v>4120</v>
      </c>
      <c r="E105" s="249">
        <v>46034</v>
      </c>
      <c r="F105" s="249">
        <v>46036</v>
      </c>
      <c r="G105" s="160">
        <f>IFERROR(VLOOKUP(Tabla10[[#This Row],[COD]],'TotalHorasAjustadas (2)'!D:L,8,FALSE),"")</f>
        <v>34</v>
      </c>
      <c r="H105" s="339">
        <v>15</v>
      </c>
      <c r="I105" s="339" t="str">
        <f>IFERROR(VLOOKUP(Tabla10[[#This Row],[COD]],Alojamentos!B:P,11,FALSE),"")</f>
        <v/>
      </c>
      <c r="J105" s="160">
        <f>IF(ISBLANK(Tabla10[[#This Row],[INICIO VINCULO]]), 0, MAX(0, MIN(IF(ISBLANK(Tabla10[[#This Row],[FIM VINCULO]]), DATE(2026,1,31), Tabla10[[#This Row],[FIM VINCULO]]), DATE(2026,1,31)) - MAX(Tabla10[[#This Row],[INICIO VINCULO]], DATE(2026,1,1)) + 1))</f>
        <v>3</v>
      </c>
      <c r="K105" s="339">
        <f>7.05806*Tabla10[[#This Row],[DIAS DE ALTA]]</f>
        <v>21.17418</v>
      </c>
      <c r="L105" s="339" t="str">
        <f>IFERROR(VLOOKUP(Tabla10[[#This Row],[COD]],Carro!B:D,3,FALSE),"")</f>
        <v/>
      </c>
      <c r="M105" s="339" t="str">
        <f>IFERROR(VLOOKUP(Tabla10[[#This Row],[COD]],'Outros descontos'!B:P,15,FALSE),"")</f>
        <v/>
      </c>
      <c r="N105" s="7">
        <f>(Tabla10[[#This Row],[HORAS TRABALHADAS]]*Tabla10[[#This Row],[TARIFA]]) - SUM(Tabla10[[#This Row],[ALOJAMENTO]], Tabla10[[#This Row],[IMPOSTO]], Tabla10[[#This Row],[CARRO]])</f>
        <v>488.82582000000002</v>
      </c>
      <c r="O105" s="7"/>
      <c r="P105" s="339"/>
    </row>
    <row r="106" spans="2:16" ht="15" hidden="1" customHeight="1" x14ac:dyDescent="0.35">
      <c r="B106" s="160" t="s">
        <v>7002</v>
      </c>
      <c r="C106" s="160" t="str">
        <f>IF(D106="", "", INDEX(Colaboradores!A:A, MATCH(D106,Colaboradores!C:C, 0)))</f>
        <v>E0304</v>
      </c>
      <c r="D106" s="338" t="s">
        <v>4198</v>
      </c>
      <c r="E106" s="249">
        <v>46034</v>
      </c>
      <c r="F106" s="249">
        <v>46050</v>
      </c>
      <c r="G106" s="160">
        <f>IFERROR(VLOOKUP(Tabla10[[#This Row],[COD]],'TotalHorasAjustadas (2)'!D:L,8,FALSE),"")</f>
        <v>118</v>
      </c>
      <c r="H106" s="339">
        <v>15</v>
      </c>
      <c r="I106" s="339" t="str">
        <f>IFERROR(VLOOKUP(Tabla10[[#This Row],[COD]],Alojamentos!B:P,11,FALSE),"")</f>
        <v/>
      </c>
      <c r="J106" s="160">
        <f>IF(ISBLANK(Tabla10[[#This Row],[INICIO VINCULO]]), 0, MAX(0, MIN(IF(ISBLANK(Tabla10[[#This Row],[FIM VINCULO]]), DATE(2026,1,31), Tabla10[[#This Row],[FIM VINCULO]]), DATE(2026,1,31)) - MAX(Tabla10[[#This Row],[INICIO VINCULO]], DATE(2026,1,1)) + 1))</f>
        <v>17</v>
      </c>
      <c r="K106" s="339">
        <f>7.05806*Tabla10[[#This Row],[DIAS DE ALTA]]</f>
        <v>119.98702</v>
      </c>
      <c r="L106" s="339" t="str">
        <f>IFERROR(VLOOKUP(Tabla10[[#This Row],[COD]],Carro!B:D,3,FALSE),"")</f>
        <v/>
      </c>
      <c r="M106" s="339" t="str">
        <f>IFERROR(VLOOKUP(Tabla10[[#This Row],[COD]],'Outros descontos'!B:P,15,FALSE),"")</f>
        <v/>
      </c>
      <c r="N106" s="7">
        <f>(Tabla10[[#This Row],[HORAS TRABALHADAS]]*Tabla10[[#This Row],[TARIFA]]) - SUM(Tabla10[[#This Row],[ALOJAMENTO]], Tabla10[[#This Row],[IMPOSTO]], Tabla10[[#This Row],[CARRO]])</f>
        <v>1650.01298</v>
      </c>
      <c r="O106" s="7"/>
      <c r="P106" s="339"/>
    </row>
    <row r="107" spans="2:16" ht="15" hidden="1" customHeight="1" x14ac:dyDescent="0.35">
      <c r="B107" s="160" t="s">
        <v>6999</v>
      </c>
      <c r="C107" s="1" t="str">
        <f>IF(D107="", "", INDEX(Colaboradores!A:A, MATCH(D107,Colaboradores!C:C, 0)))</f>
        <v>E0395</v>
      </c>
      <c r="D107" s="338" t="s">
        <v>4234</v>
      </c>
      <c r="E107" s="249">
        <v>45764</v>
      </c>
      <c r="F107" s="249">
        <v>46052</v>
      </c>
      <c r="G107" s="160">
        <f>IFERROR(VLOOKUP(Tabla10[[#This Row],[COD]],'TotalHorasAjustadas (2)'!D:L,8,FALSE),"")</f>
        <v>143</v>
      </c>
      <c r="H107" s="339">
        <f>IFERROR(VLOOKUP(Tabla10[[#This Row],[COD]],Tabla15[],4,FALSE),"")</f>
        <v>15</v>
      </c>
      <c r="I107" s="339">
        <f>IFERROR(VLOOKUP(Tabla10[[#This Row],[COD]],Alojamentos!B:P,11,FALSE),"")</f>
        <v>300</v>
      </c>
      <c r="J107" s="160">
        <f>IF(ISBLANK(Tabla10[[#This Row],[INICIO VINCULO]]), 0, MAX(0, MIN(IF(ISBLANK(Tabla10[[#This Row],[FIM VINCULO]]), DATE(2026,1,31), Tabla10[[#This Row],[FIM VINCULO]]), DATE(2026,1,31)) - MAX(Tabla10[[#This Row],[INICIO VINCULO]], DATE(2026,1,1)) + 1))</f>
        <v>30</v>
      </c>
      <c r="K107" s="339">
        <f>7.05806*Tabla10[[#This Row],[DIAS DE ALTA]]</f>
        <v>211.74180000000001</v>
      </c>
      <c r="L107" s="339" t="str">
        <f>IFERROR(VLOOKUP(Tabla10[[#This Row],[COD]],Carro!B:D,3,FALSE),"")</f>
        <v/>
      </c>
      <c r="M107" s="339" t="str">
        <f>IFERROR(VLOOKUP(Tabla10[[#This Row],[COD]],'Outros descontos'!B:P,15,FALSE),"")</f>
        <v/>
      </c>
      <c r="N107" s="7">
        <f>(Tabla10[[#This Row],[HORAS TRABALHADAS]]*Tabla10[[#This Row],[TARIFA]]) - SUM(Tabla10[[#This Row],[ALOJAMENTO]], Tabla10[[#This Row],[IMPOSTO]], Tabla10[[#This Row],[CARRO]])</f>
        <v>1633.2582</v>
      </c>
      <c r="O107" s="7"/>
      <c r="P107" s="339"/>
    </row>
    <row r="108" spans="2:16" ht="15" hidden="1" customHeight="1" x14ac:dyDescent="0.35">
      <c r="B108" s="160" t="s">
        <v>7002</v>
      </c>
      <c r="C108" s="160" t="str">
        <f>IF(D108="", "", INDEX(Colaboradores!A:A, MATCH(D108,Colaboradores!C:C, 0)))</f>
        <v>E0093</v>
      </c>
      <c r="D108" s="338" t="s">
        <v>4242</v>
      </c>
      <c r="E108" s="249">
        <v>45931</v>
      </c>
      <c r="F108" s="249"/>
      <c r="G108" s="160">
        <f>IFERROR(VLOOKUP(Tabla10[[#This Row],[COD]],'TotalHorasAjustadas (2)'!D:L,8,FALSE),"")</f>
        <v>203</v>
      </c>
      <c r="H108" s="339">
        <f>IFERROR(VLOOKUP(Tabla10[[#This Row],[COD]],Tabla15[],4,FALSE),"")</f>
        <v>17</v>
      </c>
      <c r="I108" s="339">
        <f>IFERROR(VLOOKUP(Tabla10[[#This Row],[COD]],Alojamentos!B:P,11,FALSE),"")</f>
        <v>300</v>
      </c>
      <c r="J108" s="160">
        <f>IF(ISBLANK(Tabla10[[#This Row],[INICIO VINCULO]]), 0, MAX(0, MIN(IF(ISBLANK(Tabla10[[#This Row],[FIM VINCULO]]), DATE(2026,1,31), Tabla10[[#This Row],[FIM VINCULO]]), DATE(2026,1,31)) - MAX(Tabla10[[#This Row],[INICIO VINCULO]], DATE(2026,1,1)) + 1))</f>
        <v>31</v>
      </c>
      <c r="K108" s="339">
        <f>7.05806*Tabla10[[#This Row],[DIAS DE ALTA]]</f>
        <v>218.79986</v>
      </c>
      <c r="L108" s="339" t="str">
        <f>IFERROR(VLOOKUP(Tabla10[[#This Row],[COD]],Carro!B:D,3,FALSE),"")</f>
        <v/>
      </c>
      <c r="M108" s="339" t="str">
        <f>IFERROR(VLOOKUP(Tabla10[[#This Row],[COD]],'Outros descontos'!B:P,15,FALSE),"")</f>
        <v/>
      </c>
      <c r="N108" s="7">
        <f>(Tabla10[[#This Row],[HORAS TRABALHADAS]]*Tabla10[[#This Row],[TARIFA]]) - SUM(Tabla10[[#This Row],[ALOJAMENTO]], Tabla10[[#This Row],[IMPOSTO]], Tabla10[[#This Row],[CARRO]])</f>
        <v>2932.2001399999999</v>
      </c>
      <c r="O108" s="7"/>
      <c r="P108" s="339"/>
    </row>
    <row r="109" spans="2:16" ht="15" hidden="1" customHeight="1" x14ac:dyDescent="0.35">
      <c r="B109" s="160" t="s">
        <v>7002</v>
      </c>
      <c r="C109" s="160" t="str">
        <f>IF(D109="", "", INDEX(Colaboradores!A:A, MATCH(D109,Colaboradores!C:C, 0)))</f>
        <v>E1240</v>
      </c>
      <c r="D109" s="338" t="s">
        <v>4260</v>
      </c>
      <c r="E109" s="249">
        <v>46051</v>
      </c>
      <c r="F109" s="249"/>
      <c r="G109" s="160">
        <v>5</v>
      </c>
      <c r="H109" s="339">
        <v>15</v>
      </c>
      <c r="I109" s="339" t="str">
        <f>IFERROR(VLOOKUP(Tabla10[[#This Row],[COD]],Alojamentos!B:P,11,FALSE),"")</f>
        <v/>
      </c>
      <c r="J109" s="160">
        <f>IF(ISBLANK(Tabla10[[#This Row],[INICIO VINCULO]]), 0, MAX(0, MIN(IF(ISBLANK(Tabla10[[#This Row],[FIM VINCULO]]), DATE(2026,1,31), Tabla10[[#This Row],[FIM VINCULO]]), DATE(2026,1,31)) - MAX(Tabla10[[#This Row],[INICIO VINCULO]], DATE(2026,1,1)) + 1))</f>
        <v>3</v>
      </c>
      <c r="K109" s="339">
        <f>7.05806*Tabla10[[#This Row],[DIAS DE ALTA]]</f>
        <v>21.17418</v>
      </c>
      <c r="L109" s="339">
        <f>IFERROR(VLOOKUP(Tabla10[[#This Row],[COD]],Carro!B:D,3,FALSE),"")</f>
        <v>10</v>
      </c>
      <c r="M109" s="339" t="str">
        <f>IFERROR(VLOOKUP(Tabla10[[#This Row],[COD]],'Outros descontos'!B:P,15,FALSE),"")</f>
        <v/>
      </c>
      <c r="N109" s="7">
        <f>(Tabla10[[#This Row],[HORAS TRABALHADAS]]*Tabla10[[#This Row],[TARIFA]]) - SUM(Tabla10[[#This Row],[ALOJAMENTO]], Tabla10[[#This Row],[IMPOSTO]], Tabla10[[#This Row],[CARRO]])</f>
        <v>43.82582</v>
      </c>
      <c r="O109" s="7"/>
      <c r="P109" s="339"/>
    </row>
    <row r="110" spans="2:16" ht="15" hidden="1" customHeight="1" x14ac:dyDescent="0.35">
      <c r="B110" s="160" t="s">
        <v>7001</v>
      </c>
      <c r="C110" s="1" t="str">
        <f>IF(D110="", "", INDEX(Colaboradores!A:A, MATCH(D110,Colaboradores!C:C, 0)))</f>
        <v>E1240</v>
      </c>
      <c r="D110" s="338" t="s">
        <v>4260</v>
      </c>
      <c r="E110" s="249">
        <v>46045</v>
      </c>
      <c r="F110" s="249">
        <v>46053</v>
      </c>
      <c r="G110" s="160">
        <v>18</v>
      </c>
      <c r="H110" s="339">
        <f>IFERROR(VLOOKUP(Tabla10[[#This Row],[COD]],Tabla15[],4,FALSE),"")</f>
        <v>15</v>
      </c>
      <c r="I110" s="339" t="str">
        <f>IFERROR(VLOOKUP(Tabla10[[#This Row],[COD]],Alojamentos!B:P,11,FALSE),"")</f>
        <v/>
      </c>
      <c r="J110" s="160">
        <f>IF(ISBLANK(Tabla10[[#This Row],[INICIO VINCULO]]), 0, MAX(0, MIN(IF(ISBLANK(Tabla10[[#This Row],[FIM VINCULO]]), DATE(2026,1,31), Tabla10[[#This Row],[FIM VINCULO]]), DATE(2026,1,31)) - MAX(Tabla10[[#This Row],[INICIO VINCULO]], DATE(2026,1,1)) + 1))</f>
        <v>9</v>
      </c>
      <c r="K110" s="339">
        <f>7.05806*Tabla10[[#This Row],[DIAS DE ALTA]]</f>
        <v>63.522539999999999</v>
      </c>
      <c r="L110" s="339"/>
      <c r="M110" s="339" t="str">
        <f>IFERROR(VLOOKUP(Tabla10[[#This Row],[COD]],'Outros descontos'!B:P,15,FALSE),"")</f>
        <v/>
      </c>
      <c r="N110" s="7">
        <f>(Tabla10[[#This Row],[HORAS TRABALHADAS]]*Tabla10[[#This Row],[TARIFA]]) - SUM(Tabla10[[#This Row],[ALOJAMENTO]], Tabla10[[#This Row],[IMPOSTO]], Tabla10[[#This Row],[CARRO]])</f>
        <v>206.47746000000001</v>
      </c>
      <c r="O110" s="7"/>
      <c r="P110" s="339"/>
    </row>
    <row r="111" spans="2:16" ht="15" hidden="1" customHeight="1" x14ac:dyDescent="0.35">
      <c r="B111" s="160" t="s">
        <v>6999</v>
      </c>
      <c r="C111" s="1" t="str">
        <f>IF(D111="", "", INDEX(Colaboradores!A:A, MATCH(D111,Colaboradores!C:C, 0)))</f>
        <v>E0105</v>
      </c>
      <c r="D111" s="338" t="s">
        <v>4288</v>
      </c>
      <c r="E111" s="249">
        <v>45751</v>
      </c>
      <c r="F111" s="249"/>
      <c r="G111" s="160">
        <f>IFERROR(VLOOKUP(Tabla10[[#This Row],[COD]],'TotalHorasAjustadas (2)'!D:L,8,FALSE),"")</f>
        <v>167</v>
      </c>
      <c r="H111" s="339">
        <f>IFERROR(VLOOKUP(Tabla10[[#This Row],[COD]],Tabla15[],4,FALSE),"")</f>
        <v>15</v>
      </c>
      <c r="I111" s="339" t="str">
        <f>IFERROR(VLOOKUP(Tabla10[[#This Row],[COD]],Alojamentos!B:P,11,FALSE),"")</f>
        <v/>
      </c>
      <c r="J111" s="160">
        <f>IF(ISBLANK(Tabla10[[#This Row],[INICIO VINCULO]]), 0, MAX(0, MIN(IF(ISBLANK(Tabla10[[#This Row],[FIM VINCULO]]), DATE(2026,1,31), Tabla10[[#This Row],[FIM VINCULO]]), DATE(2026,1,31)) - MAX(Tabla10[[#This Row],[INICIO VINCULO]], DATE(2026,1,1)) + 1))</f>
        <v>31</v>
      </c>
      <c r="K111" s="339">
        <f>7.05806*Tabla10[[#This Row],[DIAS DE ALTA]]</f>
        <v>218.79986</v>
      </c>
      <c r="L111" s="339">
        <f>IFERROR(VLOOKUP(Tabla10[[#This Row],[COD]],Carro!B:D,3,FALSE),"")</f>
        <v>89.523809523809518</v>
      </c>
      <c r="M111" s="339" t="str">
        <f>IFERROR(VLOOKUP(Tabla10[[#This Row],[COD]],'Outros descontos'!B:P,15,FALSE),"")</f>
        <v/>
      </c>
      <c r="N111" s="7">
        <f>(Tabla10[[#This Row],[HORAS TRABALHADAS]]*Tabla10[[#This Row],[TARIFA]]) - SUM(Tabla10[[#This Row],[ALOJAMENTO]], Tabla10[[#This Row],[IMPOSTO]], Tabla10[[#This Row],[CARRO]])</f>
        <v>2196.6763304761907</v>
      </c>
      <c r="O111" s="7"/>
      <c r="P111" s="339"/>
    </row>
    <row r="112" spans="2:16" ht="15" hidden="1" customHeight="1" x14ac:dyDescent="0.35">
      <c r="B112" s="160" t="s">
        <v>7001</v>
      </c>
      <c r="C112" s="1" t="str">
        <f>IF(D112="", "", INDEX(Colaboradores!A:A, MATCH(D112,Colaboradores!C:C, 0)))</f>
        <v>E0263</v>
      </c>
      <c r="D112" s="338" t="s">
        <v>4292</v>
      </c>
      <c r="E112" s="249">
        <v>45762</v>
      </c>
      <c r="F112" s="249">
        <v>46052</v>
      </c>
      <c r="G112" s="160">
        <f>IFERROR(VLOOKUP(Tabla10[[#This Row],[COD]],'TotalHorasAjustadas (2)'!D:L,8,FALSE),"")</f>
        <v>72</v>
      </c>
      <c r="H112" s="339">
        <f>IFERROR(VLOOKUP(Tabla10[[#This Row],[COD]],Tabla15[],4,FALSE),"")</f>
        <v>15</v>
      </c>
      <c r="I112" s="339" t="str">
        <f>IFERROR(VLOOKUP(Tabla10[[#This Row],[COD]],Alojamentos!B:P,11,FALSE),"")</f>
        <v/>
      </c>
      <c r="J112" s="160">
        <f>IF(ISBLANK(Tabla10[[#This Row],[INICIO VINCULO]]), 0, MAX(0, MIN(IF(ISBLANK(Tabla10[[#This Row],[FIM VINCULO]]), DATE(2026,1,31), Tabla10[[#This Row],[FIM VINCULO]]), DATE(2026,1,31)) - MAX(Tabla10[[#This Row],[INICIO VINCULO]], DATE(2026,1,1)) + 1))</f>
        <v>30</v>
      </c>
      <c r="K112" s="339">
        <f>7.05806*Tabla10[[#This Row],[DIAS DE ALTA]]</f>
        <v>211.74180000000001</v>
      </c>
      <c r="L112" s="339" t="str">
        <f>IFERROR(VLOOKUP(Tabla10[[#This Row],[COD]],Carro!B:D,3,FALSE),"")</f>
        <v/>
      </c>
      <c r="M112" s="339" t="str">
        <f>IFERROR(VLOOKUP(Tabla10[[#This Row],[COD]],'Outros descontos'!B:P,15,FALSE),"")</f>
        <v/>
      </c>
      <c r="N112" s="7">
        <f>(Tabla10[[#This Row],[HORAS TRABALHADAS]]*Tabla10[[#This Row],[TARIFA]]) - SUM(Tabla10[[#This Row],[ALOJAMENTO]], Tabla10[[#This Row],[IMPOSTO]], Tabla10[[#This Row],[CARRO]])</f>
        <v>868.25819999999999</v>
      </c>
      <c r="O112" s="7"/>
      <c r="P112" s="339"/>
    </row>
    <row r="113" spans="2:16" ht="15" hidden="1" customHeight="1" x14ac:dyDescent="0.35">
      <c r="B113" s="160" t="s">
        <v>7000</v>
      </c>
      <c r="C113" s="347"/>
      <c r="D113" s="338" t="s">
        <v>7010</v>
      </c>
      <c r="E113" s="249">
        <v>45819</v>
      </c>
      <c r="F113" s="249"/>
      <c r="G113" s="348">
        <v>160</v>
      </c>
      <c r="H113" s="339">
        <v>0</v>
      </c>
      <c r="I113" s="339" t="str">
        <f>IFERROR(VLOOKUP(Tabla10[[#This Row],[COD]],Alojamentos!B:P,11,FALSE),"")</f>
        <v/>
      </c>
      <c r="J113" s="160">
        <f>IF(ISBLANK(Tabla10[[#This Row],[INICIO VINCULO]]), 0, MAX(0, MIN(IF(ISBLANK(Tabla10[[#This Row],[FIM VINCULO]]), DATE(2026,1,31), Tabla10[[#This Row],[FIM VINCULO]]), DATE(2026,1,31)) - MAX(Tabla10[[#This Row],[INICIO VINCULO]], DATE(2026,1,1)) + 1))</f>
        <v>31</v>
      </c>
      <c r="K113" s="339">
        <v>0</v>
      </c>
      <c r="L113" s="339" t="str">
        <f>IFERROR(VLOOKUP(Tabla10[[#This Row],[COD]],Carro!B:D,3,FALSE),"")</f>
        <v/>
      </c>
      <c r="M113" s="339" t="str">
        <f>IFERROR(VLOOKUP(Tabla10[[#This Row],[COD]],'Outros descontos'!B:P,15,FALSE),"")</f>
        <v/>
      </c>
      <c r="N113" s="7">
        <v>1250</v>
      </c>
      <c r="O113" s="7"/>
      <c r="P113" s="339"/>
    </row>
    <row r="114" spans="2:16" ht="15" hidden="1" customHeight="1" x14ac:dyDescent="0.35">
      <c r="B114" s="160" t="s">
        <v>7002</v>
      </c>
      <c r="C114" s="160" t="str">
        <f>IF(D114="", "", INDEX(Colaboradores!A:A, MATCH(D114,Colaboradores!C:C, 0)))</f>
        <v>E0425</v>
      </c>
      <c r="D114" s="338" t="s">
        <v>4556</v>
      </c>
      <c r="E114" s="249">
        <v>46013</v>
      </c>
      <c r="F114" s="249"/>
      <c r="G114" s="160">
        <f>IFERROR(VLOOKUP(Tabla10[[#This Row],[COD]],'TotalHorasAjustadas (2)'!D:L,8,FALSE),"")</f>
        <v>178.72999999999993</v>
      </c>
      <c r="H114" s="339">
        <f>IFERROR(VLOOKUP(Tabla10[[#This Row],[COD]],Tabla15[],4,FALSE),"")</f>
        <v>15</v>
      </c>
      <c r="I114" s="339" t="str">
        <f>IFERROR(VLOOKUP(Tabla10[[#This Row],[COD]],Alojamentos!B:P,11,FALSE),"")</f>
        <v/>
      </c>
      <c r="J114" s="160">
        <f>IF(ISBLANK(Tabla10[[#This Row],[INICIO VINCULO]]), 0, MAX(0, MIN(IF(ISBLANK(Tabla10[[#This Row],[FIM VINCULO]]), DATE(2026,1,31), Tabla10[[#This Row],[FIM VINCULO]]), DATE(2026,1,31)) - MAX(Tabla10[[#This Row],[INICIO VINCULO]], DATE(2026,1,1)) + 1))</f>
        <v>31</v>
      </c>
      <c r="K114" s="339">
        <f>7.05806*Tabla10[[#This Row],[DIAS DE ALTA]]</f>
        <v>218.79986</v>
      </c>
      <c r="L114" s="339" t="str">
        <f>IFERROR(VLOOKUP(Tabla10[[#This Row],[COD]],Carro!B:D,3,FALSE),"")</f>
        <v/>
      </c>
      <c r="M114" s="339" t="str">
        <f>IFERROR(VLOOKUP(Tabla10[[#This Row],[COD]],'Outros descontos'!B:P,15,FALSE),"")</f>
        <v/>
      </c>
      <c r="N114" s="7">
        <f>(Tabla10[[#This Row],[HORAS TRABALHADAS]]*Tabla10[[#This Row],[TARIFA]]) - SUM(Tabla10[[#This Row],[ALOJAMENTO]], Tabla10[[#This Row],[IMPOSTO]], Tabla10[[#This Row],[CARRO]])</f>
        <v>2462.1501399999988</v>
      </c>
      <c r="O114" s="7"/>
      <c r="P114" s="339"/>
    </row>
    <row r="115" spans="2:16" ht="15" hidden="1" customHeight="1" x14ac:dyDescent="0.35">
      <c r="B115" s="160" t="s">
        <v>7000</v>
      </c>
      <c r="C115" s="1" t="str">
        <f>IF(D115="", "", INDEX(Colaboradores!A:A, MATCH(D115,Colaboradores!C:C, 0)))</f>
        <v>E0584</v>
      </c>
      <c r="D115" s="338" t="s">
        <v>4566</v>
      </c>
      <c r="E115" s="249">
        <v>46010</v>
      </c>
      <c r="F115" s="249"/>
      <c r="G115" s="160">
        <f>IFERROR(VLOOKUP(Tabla10[[#This Row],[COD]],'TotalHorasAjustadas (2)'!D:L,8,FALSE),"")</f>
        <v>156</v>
      </c>
      <c r="H115" s="339">
        <f>IFERROR(VLOOKUP(Tabla10[[#This Row],[COD]],Tabla15[],4,FALSE),"")</f>
        <v>15</v>
      </c>
      <c r="I115" s="339" t="str">
        <f>IFERROR(VLOOKUP(Tabla10[[#This Row],[COD]],Alojamentos!B:P,11,FALSE),"")</f>
        <v/>
      </c>
      <c r="J115" s="160">
        <f>IF(ISBLANK(Tabla10[[#This Row],[INICIO VINCULO]]), 0, MAX(0, MIN(IF(ISBLANK(Tabla10[[#This Row],[FIM VINCULO]]), DATE(2026,1,31), Tabla10[[#This Row],[FIM VINCULO]]), DATE(2026,1,31)) - MAX(Tabla10[[#This Row],[INICIO VINCULO]], DATE(2026,1,1)) + 1))</f>
        <v>31</v>
      </c>
      <c r="K115" s="339">
        <f>7.05806*Tabla10[[#This Row],[DIAS DE ALTA]]</f>
        <v>218.79986</v>
      </c>
      <c r="L115" s="339" t="str">
        <f>IFERROR(VLOOKUP(Tabla10[[#This Row],[COD]],Carro!B:D,3,FALSE),"")</f>
        <v/>
      </c>
      <c r="M115" s="339" t="str">
        <f>IFERROR(VLOOKUP(Tabla10[[#This Row],[COD]],'Outros descontos'!B:P,15,FALSE),"")</f>
        <v/>
      </c>
      <c r="N115" s="7">
        <f>(Tabla10[[#This Row],[HORAS TRABALHADAS]]*Tabla10[[#This Row],[TARIFA]]) - SUM(Tabla10[[#This Row],[ALOJAMENTO]], Tabla10[[#This Row],[IMPOSTO]], Tabla10[[#This Row],[CARRO]])</f>
        <v>2121.2001399999999</v>
      </c>
      <c r="O115" s="7"/>
      <c r="P115" s="339"/>
    </row>
    <row r="116" spans="2:16" ht="15" hidden="1" customHeight="1" x14ac:dyDescent="0.35">
      <c r="B116" s="160" t="s">
        <v>6999</v>
      </c>
      <c r="C116" s="1" t="str">
        <f>IF(D116="", "", INDEX(Colaboradores!A:A, MATCH(D116,Colaboradores!C:C, 0)))</f>
        <v>E0641</v>
      </c>
      <c r="D116" s="338" t="s">
        <v>4582</v>
      </c>
      <c r="E116" s="249">
        <v>45814</v>
      </c>
      <c r="F116" s="249">
        <v>46027</v>
      </c>
      <c r="G116" s="348">
        <v>0</v>
      </c>
      <c r="H116" s="339">
        <f>IFERROR(VLOOKUP(Tabla10[[#This Row],[COD]],Tabla15[],4,FALSE),"")</f>
        <v>15</v>
      </c>
      <c r="I116" s="339" t="str">
        <f>IFERROR(VLOOKUP(Tabla10[[#This Row],[COD]],Alojamentos!B:P,11,FALSE),"")</f>
        <v/>
      </c>
      <c r="J116" s="160">
        <f>IF(ISBLANK(Tabla10[[#This Row],[INICIO VINCULO]]), 0, MAX(0, MIN(IF(ISBLANK(Tabla10[[#This Row],[FIM VINCULO]]), DATE(2026,1,31), Tabla10[[#This Row],[FIM VINCULO]]), DATE(2026,1,31)) - MAX(Tabla10[[#This Row],[INICIO VINCULO]], DATE(2026,1,1)) + 1))</f>
        <v>5</v>
      </c>
      <c r="K116" s="339">
        <f>7.05806*Tabla10[[#This Row],[DIAS DE ALTA]]</f>
        <v>35.290300000000002</v>
      </c>
      <c r="L116" s="339" t="str">
        <f>IFERROR(VLOOKUP(Tabla10[[#This Row],[COD]],Carro!B:D,3,FALSE),"")</f>
        <v/>
      </c>
      <c r="M116" s="339" t="str">
        <f>IFERROR(VLOOKUP(Tabla10[[#This Row],[COD]],'Outros descontos'!B:P,15,FALSE),"")</f>
        <v/>
      </c>
      <c r="N116" s="7">
        <v>0</v>
      </c>
      <c r="O116" s="7"/>
      <c r="P116" s="339"/>
    </row>
    <row r="117" spans="2:16" ht="15" hidden="1" customHeight="1" x14ac:dyDescent="0.35">
      <c r="B117" s="160" t="s">
        <v>7002</v>
      </c>
      <c r="C117" s="160" t="str">
        <f>IF(D117="", "", INDEX(Colaboradores!A:A, MATCH(D117,Colaboradores!C:C, 0)))</f>
        <v>E0892</v>
      </c>
      <c r="D117" s="338" t="s">
        <v>4608</v>
      </c>
      <c r="E117" s="249">
        <v>46052</v>
      </c>
      <c r="F117" s="249"/>
      <c r="G117" s="160">
        <f>IFERROR(VLOOKUP(Tabla10[[#This Row],[COD]],'TotalHorasAjustadas (2)'!D:L,8,FALSE),"")</f>
        <v>13</v>
      </c>
      <c r="H117" s="339">
        <v>15</v>
      </c>
      <c r="I117" s="339" t="str">
        <f>IFERROR(VLOOKUP(Tabla10[[#This Row],[COD]],Alojamentos!B:P,11,FALSE),"")</f>
        <v/>
      </c>
      <c r="J117" s="160">
        <f>IF(ISBLANK(Tabla10[[#This Row],[INICIO VINCULO]]), 0, MAX(0, MIN(IF(ISBLANK(Tabla10[[#This Row],[FIM VINCULO]]), DATE(2026,1,31), Tabla10[[#This Row],[FIM VINCULO]]), DATE(2026,1,31)) - MAX(Tabla10[[#This Row],[INICIO VINCULO]], DATE(2026,1,1)) + 1))</f>
        <v>2</v>
      </c>
      <c r="K117" s="339">
        <f>7.05806*Tabla10[[#This Row],[DIAS DE ALTA]]</f>
        <v>14.11612</v>
      </c>
      <c r="L117" s="339" t="str">
        <f>IFERROR(VLOOKUP(Tabla10[[#This Row],[COD]],Carro!B:D,3,FALSE),"")</f>
        <v/>
      </c>
      <c r="M117" s="339" t="str">
        <f>IFERROR(VLOOKUP(Tabla10[[#This Row],[COD]],'Outros descontos'!B:P,15,FALSE),"")</f>
        <v/>
      </c>
      <c r="N117" s="7">
        <f>(Tabla10[[#This Row],[HORAS TRABALHADAS]]*Tabla10[[#This Row],[TARIFA]]) - SUM(Tabla10[[#This Row],[ALOJAMENTO]], Tabla10[[#This Row],[IMPOSTO]], Tabla10[[#This Row],[CARRO]])</f>
        <v>180.88388</v>
      </c>
      <c r="O117" s="7"/>
      <c r="P117" s="339"/>
    </row>
    <row r="118" spans="2:16" ht="15" hidden="1" customHeight="1" x14ac:dyDescent="0.35">
      <c r="B118" s="160" t="s">
        <v>7000</v>
      </c>
      <c r="C118" s="347"/>
      <c r="D118" s="338" t="s">
        <v>7011</v>
      </c>
      <c r="E118" s="249">
        <v>45819</v>
      </c>
      <c r="F118" s="249"/>
      <c r="G118" s="348">
        <v>160</v>
      </c>
      <c r="H118" s="339">
        <v>0</v>
      </c>
      <c r="I118" s="339" t="str">
        <f>IFERROR(VLOOKUP(Tabla10[[#This Row],[COD]],Alojamentos!B:P,11,FALSE),"")</f>
        <v/>
      </c>
      <c r="J118" s="160">
        <f>IF(ISBLANK(Tabla10[[#This Row],[INICIO VINCULO]]), 0, MAX(0, MIN(IF(ISBLANK(Tabla10[[#This Row],[FIM VINCULO]]), DATE(2026,1,31), Tabla10[[#This Row],[FIM VINCULO]]), DATE(2026,1,31)) - MAX(Tabla10[[#This Row],[INICIO VINCULO]], DATE(2026,1,1)) + 1))</f>
        <v>31</v>
      </c>
      <c r="K118" s="339">
        <v>0</v>
      </c>
      <c r="L118" s="339" t="str">
        <f>IFERROR(VLOOKUP(Tabla10[[#This Row],[COD]],Carro!B:D,3,FALSE),"")</f>
        <v/>
      </c>
      <c r="M118" s="339" t="str">
        <f>IFERROR(VLOOKUP(Tabla10[[#This Row],[COD]],'Outros descontos'!B:P,15,FALSE),"")</f>
        <v/>
      </c>
      <c r="N118" s="7">
        <v>2500</v>
      </c>
      <c r="O118" s="7"/>
      <c r="P118" s="339"/>
    </row>
    <row r="119" spans="2:16" ht="15" hidden="1" customHeight="1" x14ac:dyDescent="0.35">
      <c r="B119" s="160" t="s">
        <v>7000</v>
      </c>
      <c r="C119" s="1" t="str">
        <f>IF(D119="", "", INDEX(Colaboradores!A:A, MATCH(D119,Colaboradores!C:C, 0)))</f>
        <v>E0344</v>
      </c>
      <c r="D119" s="338" t="s">
        <v>4701</v>
      </c>
      <c r="E119" s="249">
        <v>45945</v>
      </c>
      <c r="F119" s="249"/>
      <c r="G119" s="160">
        <f>IFERROR(VLOOKUP(Tabla10[[#This Row],[COD]],'TotalHorasAjustadas (2)'!D:L,8,FALSE),"")</f>
        <v>164.5</v>
      </c>
      <c r="H119" s="339">
        <f>IFERROR(VLOOKUP(Tabla10[[#This Row],[COD]],Tabla15[],4,FALSE),"")</f>
        <v>15</v>
      </c>
      <c r="I119" s="339" t="str">
        <f>IFERROR(VLOOKUP(Tabla10[[#This Row],[COD]],Alojamentos!B:P,11,FALSE),"")</f>
        <v/>
      </c>
      <c r="J119" s="160">
        <f>IF(ISBLANK(Tabla10[[#This Row],[INICIO VINCULO]]), 0, MAX(0, MIN(IF(ISBLANK(Tabla10[[#This Row],[FIM VINCULO]]), DATE(2026,1,31), Tabla10[[#This Row],[FIM VINCULO]]), DATE(2026,1,31)) - MAX(Tabla10[[#This Row],[INICIO VINCULO]], DATE(2026,1,1)) + 1))</f>
        <v>31</v>
      </c>
      <c r="K119" s="339">
        <f>7.05806*Tabla10[[#This Row],[DIAS DE ALTA]]</f>
        <v>218.79986</v>
      </c>
      <c r="L119" s="339" t="str">
        <f>IFERROR(VLOOKUP(Tabla10[[#This Row],[COD]],Carro!B:D,3,FALSE),"")</f>
        <v/>
      </c>
      <c r="M119" s="339" t="str">
        <f>IFERROR(VLOOKUP(Tabla10[[#This Row],[COD]],'Outros descontos'!B:P,15,FALSE),"")</f>
        <v/>
      </c>
      <c r="N119" s="7">
        <f>(Tabla10[[#This Row],[HORAS TRABALHADAS]]*Tabla10[[#This Row],[TARIFA]]) - SUM(Tabla10[[#This Row],[ALOJAMENTO]], Tabla10[[#This Row],[IMPOSTO]], Tabla10[[#This Row],[CARRO]])</f>
        <v>2248.7001399999999</v>
      </c>
      <c r="O119" s="7"/>
      <c r="P119" s="339"/>
    </row>
    <row r="120" spans="2:16" ht="15" hidden="1" customHeight="1" x14ac:dyDescent="0.35">
      <c r="B120" s="160" t="s">
        <v>7002</v>
      </c>
      <c r="C120" s="160" t="str">
        <f>IF(D120="", "", INDEX(Colaboradores!A:A, MATCH(D120,Colaboradores!C:C, 0)))</f>
        <v>E0095</v>
      </c>
      <c r="D120" s="338" t="s">
        <v>4797</v>
      </c>
      <c r="E120" s="249">
        <v>45931</v>
      </c>
      <c r="F120" s="249"/>
      <c r="G120" s="160">
        <f>IFERROR(VLOOKUP(Tabla10[[#This Row],[COD]],'TotalHorasAjustadas (2)'!D:L,8,FALSE),"")</f>
        <v>174</v>
      </c>
      <c r="H120" s="339">
        <f>IFERROR(VLOOKUP(Tabla10[[#This Row],[COD]],Tabla15[],4,FALSE),"")</f>
        <v>15</v>
      </c>
      <c r="I120" s="339">
        <f>IFERROR(VLOOKUP(Tabla10[[#This Row],[COD]],Alojamentos!B:P,11,FALSE),"")</f>
        <v>300</v>
      </c>
      <c r="J120" s="160">
        <f>IF(ISBLANK(Tabla10[[#This Row],[INICIO VINCULO]]), 0, MAX(0, MIN(IF(ISBLANK(Tabla10[[#This Row],[FIM VINCULO]]), DATE(2026,1,31), Tabla10[[#This Row],[FIM VINCULO]]), DATE(2026,1,31)) - MAX(Tabla10[[#This Row],[INICIO VINCULO]], DATE(2026,1,1)) + 1))</f>
        <v>31</v>
      </c>
      <c r="K120" s="339">
        <f>7.05806*Tabla10[[#This Row],[DIAS DE ALTA]]</f>
        <v>218.79986</v>
      </c>
      <c r="L120" s="339" t="str">
        <f>IFERROR(VLOOKUP(Tabla10[[#This Row],[COD]],Carro!B:D,3,FALSE),"")</f>
        <v/>
      </c>
      <c r="M120" s="339" t="str">
        <f>IFERROR(VLOOKUP(Tabla10[[#This Row],[COD]],'Outros descontos'!B:P,15,FALSE),"")</f>
        <v/>
      </c>
      <c r="N120" s="7">
        <f>(Tabla10[[#This Row],[HORAS TRABALHADAS]]*Tabla10[[#This Row],[TARIFA]]) - SUM(Tabla10[[#This Row],[ALOJAMENTO]], Tabla10[[#This Row],[IMPOSTO]], Tabla10[[#This Row],[CARRO]])</f>
        <v>2091.2001399999999</v>
      </c>
      <c r="O120" s="7"/>
      <c r="P120" s="339"/>
    </row>
    <row r="121" spans="2:16" ht="15" hidden="1" customHeight="1" x14ac:dyDescent="0.35">
      <c r="B121" s="160" t="s">
        <v>7002</v>
      </c>
      <c r="C121" s="160" t="str">
        <f>IF(D121="", "", INDEX(Colaboradores!A:A, MATCH(D121,Colaboradores!C:C, 0)))</f>
        <v>E0542</v>
      </c>
      <c r="D121" s="338" t="s">
        <v>4846</v>
      </c>
      <c r="E121" s="249">
        <v>46036</v>
      </c>
      <c r="F121" s="249">
        <v>46041</v>
      </c>
      <c r="G121" s="348">
        <v>0</v>
      </c>
      <c r="H121" s="339">
        <f>IFERROR(VLOOKUP(Tabla10[[#This Row],[COD]],Tabla15[],4,FALSE),"")</f>
        <v>15</v>
      </c>
      <c r="I121" s="339" t="str">
        <f>IFERROR(VLOOKUP(Tabla10[[#This Row],[COD]],Alojamentos!B:P,11,FALSE),"")</f>
        <v/>
      </c>
      <c r="J121" s="160">
        <f>IF(ISBLANK(Tabla10[[#This Row],[INICIO VINCULO]]), 0, MAX(0, MIN(IF(ISBLANK(Tabla10[[#This Row],[FIM VINCULO]]), DATE(2026,1,31), Tabla10[[#This Row],[FIM VINCULO]]), DATE(2026,1,31)) - MAX(Tabla10[[#This Row],[INICIO VINCULO]], DATE(2026,1,1)) + 1))</f>
        <v>6</v>
      </c>
      <c r="K121" s="339">
        <f>7.05806*Tabla10[[#This Row],[DIAS DE ALTA]]</f>
        <v>42.34836</v>
      </c>
      <c r="L121" s="339" t="str">
        <f>IFERROR(VLOOKUP(Tabla10[[#This Row],[COD]],Carro!B:D,3,FALSE),"")</f>
        <v/>
      </c>
      <c r="M121" s="339" t="str">
        <f>IFERROR(VLOOKUP(Tabla10[[#This Row],[COD]],'Outros descontos'!B:P,15,FALSE),"")</f>
        <v/>
      </c>
      <c r="N121" s="7">
        <v>0</v>
      </c>
      <c r="O121" s="7"/>
      <c r="P121" s="339"/>
    </row>
    <row r="122" spans="2:16" ht="15" hidden="1" customHeight="1" x14ac:dyDescent="0.35">
      <c r="B122" s="160" t="s">
        <v>7002</v>
      </c>
      <c r="C122" s="160" t="str">
        <f>IF(D122="", "", INDEX(Colaboradores!A:A, MATCH(D122,Colaboradores!C:C, 0)))</f>
        <v>E1881</v>
      </c>
      <c r="D122" s="338" t="s">
        <v>4896</v>
      </c>
      <c r="E122" s="249">
        <v>46042</v>
      </c>
      <c r="F122" s="249">
        <v>46045</v>
      </c>
      <c r="G122" s="160">
        <f>IFERROR(VLOOKUP(Tabla10[[#This Row],[COD]],'TotalHorasAjustadas (2)'!D:L,8,FALSE),"")</f>
        <v>36</v>
      </c>
      <c r="H122" s="339">
        <v>15</v>
      </c>
      <c r="I122" s="339" t="str">
        <f>IFERROR(VLOOKUP(Tabla10[[#This Row],[COD]],Alojamentos!B:P,11,FALSE),"")</f>
        <v/>
      </c>
      <c r="J122" s="160">
        <v>6</v>
      </c>
      <c r="K122" s="339">
        <f>7.05806*Tabla10[[#This Row],[DIAS DE ALTA]]</f>
        <v>42.34836</v>
      </c>
      <c r="L122" s="339">
        <f>IFERROR(VLOOKUP(Tabla10[[#This Row],[COD]],Carro!B:D,3,FALSE),"")</f>
        <v>30</v>
      </c>
      <c r="M122" s="339" t="str">
        <f>IFERROR(VLOOKUP(Tabla10[[#This Row],[COD]],'Outros descontos'!B:P,15,FALSE),"")</f>
        <v/>
      </c>
      <c r="N122" s="7">
        <f>(Tabla10[[#This Row],[HORAS TRABALHADAS]]*Tabla10[[#This Row],[TARIFA]]) - SUM(Tabla10[[#This Row],[ALOJAMENTO]], Tabla10[[#This Row],[IMPOSTO]], Tabla10[[#This Row],[CARRO]])</f>
        <v>467.65163999999999</v>
      </c>
      <c r="O122" s="7"/>
      <c r="P122" s="339"/>
    </row>
    <row r="123" spans="2:16" ht="15" hidden="1" customHeight="1" x14ac:dyDescent="0.35">
      <c r="B123" s="160" t="s">
        <v>7002</v>
      </c>
      <c r="C123" s="160" t="str">
        <f>IF(D123="", "", INDEX(Colaboradores!A:A, MATCH(D123,Colaboradores!C:C, 0)))</f>
        <v>E0549</v>
      </c>
      <c r="D123" s="338" t="s">
        <v>4949</v>
      </c>
      <c r="E123" s="249">
        <v>46036</v>
      </c>
      <c r="F123" s="249">
        <v>46041</v>
      </c>
      <c r="G123" s="348">
        <v>0</v>
      </c>
      <c r="H123" s="339">
        <f>IFERROR(VLOOKUP(Tabla10[[#This Row],[COD]],Tabla15[],4,FALSE),"")</f>
        <v>15</v>
      </c>
      <c r="I123" s="339" t="str">
        <f>IFERROR(VLOOKUP(Tabla10[[#This Row],[COD]],Alojamentos!B:P,11,FALSE),"")</f>
        <v/>
      </c>
      <c r="J123" s="160">
        <f>IF(ISBLANK(Tabla10[[#This Row],[INICIO VINCULO]]), 0, MAX(0, MIN(IF(ISBLANK(Tabla10[[#This Row],[FIM VINCULO]]), DATE(2026,1,31), Tabla10[[#This Row],[FIM VINCULO]]), DATE(2026,1,31)) - MAX(Tabla10[[#This Row],[INICIO VINCULO]], DATE(2026,1,1)) + 1))</f>
        <v>6</v>
      </c>
      <c r="K123" s="339">
        <f>7.05806*Tabla10[[#This Row],[DIAS DE ALTA]]</f>
        <v>42.34836</v>
      </c>
      <c r="L123" s="339" t="str">
        <f>IFERROR(VLOOKUP(Tabla10[[#This Row],[COD]],Carro!B:D,3,FALSE),"")</f>
        <v/>
      </c>
      <c r="M123" s="339" t="str">
        <f>IFERROR(VLOOKUP(Tabla10[[#This Row],[COD]],'Outros descontos'!B:P,15,FALSE),"")</f>
        <v/>
      </c>
      <c r="N123" s="7">
        <v>0</v>
      </c>
      <c r="O123" s="7"/>
      <c r="P123" s="339"/>
    </row>
    <row r="124" spans="2:16" ht="15" hidden="1" customHeight="1" x14ac:dyDescent="0.35">
      <c r="B124" s="160" t="s">
        <v>7002</v>
      </c>
      <c r="C124" s="160" t="str">
        <f>IF(D124="", "", INDEX(Colaboradores!A:A, MATCH(D124,Colaboradores!C:C, 0)))</f>
        <v>E0258</v>
      </c>
      <c r="D124" s="338" t="s">
        <v>4956</v>
      </c>
      <c r="E124" s="249">
        <v>46010</v>
      </c>
      <c r="F124" s="249"/>
      <c r="G124" s="160">
        <f>IFERROR(VLOOKUP(Tabla10[[#This Row],[COD]],'TotalHorasAjustadas (2)'!D:L,8,FALSE),"")</f>
        <v>182</v>
      </c>
      <c r="H124" s="339">
        <f>IFERROR(VLOOKUP(Tabla10[[#This Row],[COD]],Tabla15[],4,FALSE),"")</f>
        <v>15</v>
      </c>
      <c r="I124" s="339" t="str">
        <f>IFERROR(VLOOKUP(Tabla10[[#This Row],[COD]],Alojamentos!B:P,11,FALSE),"")</f>
        <v/>
      </c>
      <c r="J124" s="160">
        <f>IF(ISBLANK(Tabla10[[#This Row],[INICIO VINCULO]]), 0, MAX(0, MIN(IF(ISBLANK(Tabla10[[#This Row],[FIM VINCULO]]), DATE(2026,1,31), Tabla10[[#This Row],[FIM VINCULO]]), DATE(2026,1,31)) - MAX(Tabla10[[#This Row],[INICIO VINCULO]], DATE(2026,1,1)) + 1))</f>
        <v>31</v>
      </c>
      <c r="K124" s="339">
        <f>7.05806*Tabla10[[#This Row],[DIAS DE ALTA]]</f>
        <v>218.79986</v>
      </c>
      <c r="L124" s="339" t="str">
        <f>IFERROR(VLOOKUP(Tabla10[[#This Row],[COD]],Carro!B:D,3,FALSE),"")</f>
        <v/>
      </c>
      <c r="M124" s="339" t="str">
        <f>IFERROR(VLOOKUP(Tabla10[[#This Row],[COD]],'Outros descontos'!B:P,15,FALSE),"")</f>
        <v/>
      </c>
      <c r="N124" s="7">
        <f>(Tabla10[[#This Row],[HORAS TRABALHADAS]]*Tabla10[[#This Row],[TARIFA]]) - SUM(Tabla10[[#This Row],[ALOJAMENTO]], Tabla10[[#This Row],[IMPOSTO]], Tabla10[[#This Row],[CARRO]])</f>
        <v>2511.2001399999999</v>
      </c>
      <c r="O124" s="7"/>
      <c r="P124" s="339"/>
    </row>
    <row r="125" spans="2:16" ht="15" hidden="1" customHeight="1" x14ac:dyDescent="0.35">
      <c r="B125" s="160" t="s">
        <v>7001</v>
      </c>
      <c r="C125" s="1" t="str">
        <f>IF(D125="", "", INDEX(Colaboradores!A:A, MATCH(D125,Colaboradores!C:C, 0)))</f>
        <v>E1359</v>
      </c>
      <c r="D125" s="338" t="s">
        <v>4973</v>
      </c>
      <c r="E125" s="249">
        <v>45897</v>
      </c>
      <c r="F125" s="249">
        <v>46035</v>
      </c>
      <c r="G125" s="160">
        <f>IFERROR(VLOOKUP(Tabla10[[#This Row],[COD]],'TotalHorasAjustadas (2)'!D:L,8,FALSE),"")</f>
        <v>42</v>
      </c>
      <c r="H125" s="339">
        <f>IFERROR(VLOOKUP(Tabla10[[#This Row],[COD]],Tabla15[],4,FALSE),"")</f>
        <v>15</v>
      </c>
      <c r="I125" s="339">
        <f>IFERROR(VLOOKUP(Tabla10[[#This Row],[COD]],Alojamentos!B:P,11,FALSE),"")</f>
        <v>130</v>
      </c>
      <c r="J125" s="160">
        <f>IF(ISBLANK(Tabla10[[#This Row],[INICIO VINCULO]]), 0, MAX(0, MIN(IF(ISBLANK(Tabla10[[#This Row],[FIM VINCULO]]), DATE(2026,1,31), Tabla10[[#This Row],[FIM VINCULO]]), DATE(2026,1,31)) - MAX(Tabla10[[#This Row],[INICIO VINCULO]], DATE(2026,1,1)) + 1))</f>
        <v>13</v>
      </c>
      <c r="K125" s="339">
        <f>7.05806*Tabla10[[#This Row],[DIAS DE ALTA]]</f>
        <v>91.754779999999997</v>
      </c>
      <c r="L125" s="339" t="str">
        <f>IFERROR(VLOOKUP(Tabla10[[#This Row],[COD]],Carro!B:D,3,FALSE),"")</f>
        <v/>
      </c>
      <c r="M125" s="339" t="str">
        <f>IFERROR(VLOOKUP(Tabla10[[#This Row],[COD]],'Outros descontos'!B:P,15,FALSE),"")</f>
        <v/>
      </c>
      <c r="N125" s="7">
        <f>(Tabla10[[#This Row],[HORAS TRABALHADAS]]*Tabla10[[#This Row],[TARIFA]]) - SUM(Tabla10[[#This Row],[ALOJAMENTO]], Tabla10[[#This Row],[IMPOSTO]], Tabla10[[#This Row],[CARRO]])</f>
        <v>408.24522000000002</v>
      </c>
      <c r="O125" s="7"/>
      <c r="P125" s="339"/>
    </row>
    <row r="126" spans="2:16" ht="15" hidden="1" customHeight="1" x14ac:dyDescent="0.35">
      <c r="B126" s="160" t="s">
        <v>7000</v>
      </c>
      <c r="C126" s="1" t="str">
        <f>IF(D126="", "", INDEX(Colaboradores!A:A, MATCH(D126,Colaboradores!C:C, 0)))</f>
        <v>E1797</v>
      </c>
      <c r="D126" s="338" t="s">
        <v>5021</v>
      </c>
      <c r="E126" s="249">
        <v>45902</v>
      </c>
      <c r="F126" s="249"/>
      <c r="G126" s="160">
        <f>IFERROR(VLOOKUP(Tabla10[[#This Row],[COD]],'TotalHorasAjustadas (2)'!D:L,8,FALSE),"")</f>
        <v>150</v>
      </c>
      <c r="H126" s="339">
        <f>IFERROR(VLOOKUP(Tabla10[[#This Row],[COD]],Tabla15[],4,FALSE),"")</f>
        <v>15</v>
      </c>
      <c r="I126" s="339">
        <f>IFERROR(VLOOKUP(Tabla10[[#This Row],[COD]],Alojamentos!B:P,11,FALSE),"")</f>
        <v>300</v>
      </c>
      <c r="J126" s="160">
        <f>IF(ISBLANK(Tabla10[[#This Row],[INICIO VINCULO]]), 0, MAX(0, MIN(IF(ISBLANK(Tabla10[[#This Row],[FIM VINCULO]]), DATE(2026,1,31), Tabla10[[#This Row],[FIM VINCULO]]), DATE(2026,1,31)) - MAX(Tabla10[[#This Row],[INICIO VINCULO]], DATE(2026,1,1)) + 1))</f>
        <v>31</v>
      </c>
      <c r="K126" s="339">
        <f>7.05806*Tabla10[[#This Row],[DIAS DE ALTA]]</f>
        <v>218.79986</v>
      </c>
      <c r="L126" s="339" t="str">
        <f>IFERROR(VLOOKUP(Tabla10[[#This Row],[COD]],Carro!B:D,3,FALSE),"")</f>
        <v/>
      </c>
      <c r="M126" s="339" t="str">
        <f>IFERROR(VLOOKUP(Tabla10[[#This Row],[COD]],'Outros descontos'!B:P,15,FALSE),"")</f>
        <v/>
      </c>
      <c r="N126" s="7">
        <f>(Tabla10[[#This Row],[HORAS TRABALHADAS]]*Tabla10[[#This Row],[TARIFA]]) - SUM(Tabla10[[#This Row],[ALOJAMENTO]], Tabla10[[#This Row],[IMPOSTO]], Tabla10[[#This Row],[CARRO]])</f>
        <v>1731.2001399999999</v>
      </c>
      <c r="O126" s="7"/>
      <c r="P126" s="339"/>
    </row>
    <row r="127" spans="2:16" ht="15" hidden="1" customHeight="1" x14ac:dyDescent="0.35">
      <c r="B127" s="160" t="s">
        <v>7000</v>
      </c>
      <c r="C127" s="347"/>
      <c r="D127" s="338" t="s">
        <v>7012</v>
      </c>
      <c r="E127" s="249">
        <v>45819</v>
      </c>
      <c r="F127" s="249"/>
      <c r="G127" s="348">
        <v>160</v>
      </c>
      <c r="H127" s="339">
        <v>0</v>
      </c>
      <c r="I127" s="339" t="str">
        <f>IFERROR(VLOOKUP(Tabla10[[#This Row],[COD]],Alojamentos!B:P,11,FALSE),"")</f>
        <v/>
      </c>
      <c r="J127" s="160">
        <f>IF(ISBLANK(Tabla10[[#This Row],[INICIO VINCULO]]), 0, MAX(0, MIN(IF(ISBLANK(Tabla10[[#This Row],[FIM VINCULO]]), DATE(2026,1,31), Tabla10[[#This Row],[FIM VINCULO]]), DATE(2026,1,31)) - MAX(Tabla10[[#This Row],[INICIO VINCULO]], DATE(2026,1,1)) + 1))</f>
        <v>31</v>
      </c>
      <c r="K127" s="339">
        <v>0</v>
      </c>
      <c r="L127" s="339" t="str">
        <f>IFERROR(VLOOKUP(Tabla10[[#This Row],[COD]],Carro!B:D,3,FALSE),"")</f>
        <v/>
      </c>
      <c r="M127" s="339" t="str">
        <f>IFERROR(VLOOKUP(Tabla10[[#This Row],[COD]],'Outros descontos'!B:P,15,FALSE),"")</f>
        <v/>
      </c>
      <c r="N127" s="7">
        <v>2500</v>
      </c>
      <c r="O127" s="7"/>
      <c r="P127" s="339"/>
    </row>
    <row r="128" spans="2:16" ht="15" hidden="1" customHeight="1" x14ac:dyDescent="0.35">
      <c r="B128" s="160" t="s">
        <v>7001</v>
      </c>
      <c r="C128" s="1" t="str">
        <f>IF(D128="", "", INDEX(Colaboradores!A:A, MATCH(D128,Colaboradores!C:C, 0)))</f>
        <v>E2085</v>
      </c>
      <c r="D128" s="338" t="s">
        <v>5064</v>
      </c>
      <c r="E128" s="249">
        <v>45762</v>
      </c>
      <c r="F128" s="249">
        <v>46052</v>
      </c>
      <c r="G128" s="160">
        <f>IFERROR(VLOOKUP(Tabla10[[#This Row],[COD]],'TotalHorasAjustadas (2)'!D:L,8,FALSE),"")</f>
        <v>153</v>
      </c>
      <c r="H128" s="339">
        <v>17</v>
      </c>
      <c r="I128" s="339">
        <f>IFERROR(VLOOKUP(Tabla10[[#This Row],[COD]],Alojamentos!B:P,11,FALSE),"")</f>
        <v>300</v>
      </c>
      <c r="J128" s="160">
        <f>IF(ISBLANK(Tabla10[[#This Row],[INICIO VINCULO]]), 0, MAX(0, MIN(IF(ISBLANK(Tabla10[[#This Row],[FIM VINCULO]]), DATE(2026,1,31), Tabla10[[#This Row],[FIM VINCULO]]), DATE(2026,1,31)) - MAX(Tabla10[[#This Row],[INICIO VINCULO]], DATE(2026,1,1)) + 1))</f>
        <v>30</v>
      </c>
      <c r="K128" s="339">
        <f>7.05806*Tabla10[[#This Row],[DIAS DE ALTA]]</f>
        <v>211.74180000000001</v>
      </c>
      <c r="L128" s="339" t="str">
        <f>IFERROR(VLOOKUP(Tabla10[[#This Row],[COD]],Carro!B:D,3,FALSE),"")</f>
        <v/>
      </c>
      <c r="M128" s="339" t="str">
        <f>IFERROR(VLOOKUP(Tabla10[[#This Row],[COD]],'Outros descontos'!B:P,15,FALSE),"")</f>
        <v/>
      </c>
      <c r="N128" s="7">
        <f>(Tabla10[[#This Row],[HORAS TRABALHADAS]]*Tabla10[[#This Row],[TARIFA]]) - SUM(Tabla10[[#This Row],[ALOJAMENTO]], Tabla10[[#This Row],[IMPOSTO]], Tabla10[[#This Row],[CARRO]])</f>
        <v>2089.2582000000002</v>
      </c>
      <c r="O128" s="7"/>
      <c r="P128" s="339"/>
    </row>
    <row r="129" spans="2:16" ht="15" hidden="1" customHeight="1" x14ac:dyDescent="0.35">
      <c r="B129" s="160" t="s">
        <v>7000</v>
      </c>
      <c r="C129" s="1" t="str">
        <f>IF(D129="", "", INDEX(Colaboradores!A:A, MATCH(D129,Colaboradores!C:C, 0)))</f>
        <v>E0373</v>
      </c>
      <c r="D129" s="338" t="s">
        <v>5068</v>
      </c>
      <c r="E129" s="249">
        <v>45952</v>
      </c>
      <c r="F129" s="249"/>
      <c r="G129" s="160">
        <v>131</v>
      </c>
      <c r="H129" s="339">
        <f>IFERROR(VLOOKUP(Tabla10[[#This Row],[COD]],Tabla15[],4,FALSE),"")</f>
        <v>15</v>
      </c>
      <c r="I129" s="339" t="str">
        <f>IFERROR(VLOOKUP(Tabla10[[#This Row],[COD]],Alojamentos!B:P,11,FALSE),"")</f>
        <v/>
      </c>
      <c r="J129" s="160">
        <f>IF(ISBLANK(Tabla10[[#This Row],[INICIO VINCULO]]), 0, MAX(0, MIN(IF(ISBLANK(Tabla10[[#This Row],[FIM VINCULO]]), DATE(2026,1,31), Tabla10[[#This Row],[FIM VINCULO]]), DATE(2026,1,31)) - MAX(Tabla10[[#This Row],[INICIO VINCULO]], DATE(2026,1,1)) + 1))</f>
        <v>31</v>
      </c>
      <c r="K129" s="339">
        <f>7.05806*Tabla10[[#This Row],[DIAS DE ALTA]]</f>
        <v>218.79986</v>
      </c>
      <c r="L129" s="339" t="str">
        <f>IFERROR(VLOOKUP(Tabla10[[#This Row],[COD]],Carro!B:D,3,FALSE),"")</f>
        <v/>
      </c>
      <c r="M129" s="339" t="str">
        <f>IFERROR(VLOOKUP(Tabla10[[#This Row],[COD]],'Outros descontos'!B:P,15,FALSE),"")</f>
        <v/>
      </c>
      <c r="N129" s="7">
        <f>(Tabla10[[#This Row],[HORAS TRABALHADAS]]*Tabla10[[#This Row],[TARIFA]]) - SUM(Tabla10[[#This Row],[ALOJAMENTO]], Tabla10[[#This Row],[IMPOSTO]], Tabla10[[#This Row],[CARRO]])</f>
        <v>1746.2001399999999</v>
      </c>
      <c r="O129" s="7"/>
      <c r="P129" s="339"/>
    </row>
    <row r="130" spans="2:16" ht="15" hidden="1" customHeight="1" x14ac:dyDescent="0.35">
      <c r="B130" s="160" t="s">
        <v>7000</v>
      </c>
      <c r="C130" s="347"/>
      <c r="D130" s="338" t="s">
        <v>7013</v>
      </c>
      <c r="E130" s="249">
        <v>45819</v>
      </c>
      <c r="F130" s="249"/>
      <c r="G130" s="348">
        <v>160</v>
      </c>
      <c r="H130" s="339">
        <v>0</v>
      </c>
      <c r="I130" s="339" t="str">
        <f>IFERROR(VLOOKUP(Tabla10[[#This Row],[COD]],Alojamentos!B:P,11,FALSE),"")</f>
        <v/>
      </c>
      <c r="J130" s="160">
        <f>IF(ISBLANK(Tabla10[[#This Row],[INICIO VINCULO]]), 0, MAX(0, MIN(IF(ISBLANK(Tabla10[[#This Row],[FIM VINCULO]]), DATE(2026,1,31), Tabla10[[#This Row],[FIM VINCULO]]), DATE(2026,1,31)) - MAX(Tabla10[[#This Row],[INICIO VINCULO]], DATE(2026,1,1)) + 1))</f>
        <v>31</v>
      </c>
      <c r="K130" s="339">
        <v>0</v>
      </c>
      <c r="L130" s="339" t="str">
        <f>IFERROR(VLOOKUP(Tabla10[[#This Row],[COD]],Carro!B:D,3,FALSE),"")</f>
        <v/>
      </c>
      <c r="M130" s="339" t="str">
        <f>IFERROR(VLOOKUP(Tabla10[[#This Row],[COD]],'Outros descontos'!B:P,15,FALSE),"")</f>
        <v/>
      </c>
      <c r="N130" s="7">
        <v>1300</v>
      </c>
      <c r="O130" s="7"/>
      <c r="P130" s="339"/>
    </row>
    <row r="131" spans="2:16" ht="15" hidden="1" customHeight="1" x14ac:dyDescent="0.35">
      <c r="B131" s="160" t="s">
        <v>7000</v>
      </c>
      <c r="C131" s="347"/>
      <c r="D131" s="338" t="s">
        <v>7014</v>
      </c>
      <c r="E131" s="249">
        <v>45819</v>
      </c>
      <c r="F131" s="249"/>
      <c r="G131" s="348">
        <v>160</v>
      </c>
      <c r="H131" s="339">
        <v>0</v>
      </c>
      <c r="I131" s="339" t="str">
        <f>IFERROR(VLOOKUP(Tabla10[[#This Row],[COD]],Alojamentos!B:P,11,FALSE),"")</f>
        <v/>
      </c>
      <c r="J131" s="160">
        <f>IF(ISBLANK(Tabla10[[#This Row],[INICIO VINCULO]]), 0, MAX(0, MIN(IF(ISBLANK(Tabla10[[#This Row],[FIM VINCULO]]), DATE(2026,1,31), Tabla10[[#This Row],[FIM VINCULO]]), DATE(2026,1,31)) - MAX(Tabla10[[#This Row],[INICIO VINCULO]], DATE(2026,1,1)) + 1))</f>
        <v>31</v>
      </c>
      <c r="K131" s="339">
        <v>0</v>
      </c>
      <c r="L131" s="339" t="str">
        <f>IFERROR(VLOOKUP(Tabla10[[#This Row],[COD]],Carro!B:D,3,FALSE),"")</f>
        <v/>
      </c>
      <c r="M131" s="339" t="str">
        <f>IFERROR(VLOOKUP(Tabla10[[#This Row],[COD]],'Outros descontos'!B:P,15,FALSE),"")</f>
        <v/>
      </c>
      <c r="N131" s="7">
        <v>2930.44</v>
      </c>
      <c r="O131" s="7"/>
      <c r="P131" s="339"/>
    </row>
    <row r="132" spans="2:16" ht="15" hidden="1" customHeight="1" x14ac:dyDescent="0.35">
      <c r="B132" s="160" t="s">
        <v>7002</v>
      </c>
      <c r="C132" s="160" t="str">
        <f>IF(D132="", "", INDEX(Colaboradores!A:A, MATCH(D132,Colaboradores!C:C, 0)))</f>
        <v>E0505</v>
      </c>
      <c r="D132" s="338" t="s">
        <v>5103</v>
      </c>
      <c r="E132" s="249">
        <v>46041</v>
      </c>
      <c r="F132" s="249"/>
      <c r="G132" s="160">
        <f>IFERROR(VLOOKUP(Tabla10[[#This Row],[COD]],'TotalHorasAjustadas (2)'!D:L,8,FALSE),"")</f>
        <v>73</v>
      </c>
      <c r="H132" s="339">
        <v>15</v>
      </c>
      <c r="I132" s="339" t="str">
        <f>IFERROR(VLOOKUP(Tabla10[[#This Row],[COD]],Alojamentos!B:P,11,FALSE),"")</f>
        <v/>
      </c>
      <c r="J132" s="160">
        <f>IF(ISBLANK(Tabla10[[#This Row],[INICIO VINCULO]]), 0, MAX(0, MIN(IF(ISBLANK(Tabla10[[#This Row],[FIM VINCULO]]), DATE(2026,1,31), Tabla10[[#This Row],[FIM VINCULO]]), DATE(2026,1,31)) - MAX(Tabla10[[#This Row],[INICIO VINCULO]], DATE(2026,1,1)) + 1))</f>
        <v>13</v>
      </c>
      <c r="K132" s="339">
        <f>7.05806*Tabla10[[#This Row],[DIAS DE ALTA]]</f>
        <v>91.754779999999997</v>
      </c>
      <c r="L132" s="339">
        <f>IFERROR(VLOOKUP(Tabla10[[#This Row],[COD]],Carro!B:D,3,FALSE),"")</f>
        <v>55</v>
      </c>
      <c r="M132" s="339" t="str">
        <f>IFERROR(VLOOKUP(Tabla10[[#This Row],[COD]],'Outros descontos'!B:P,15,FALSE),"")</f>
        <v/>
      </c>
      <c r="N132" s="7">
        <f>(Tabla10[[#This Row],[HORAS TRABALHADAS]]*Tabla10[[#This Row],[TARIFA]]) - SUM(Tabla10[[#This Row],[ALOJAMENTO]], Tabla10[[#This Row],[IMPOSTO]], Tabla10[[#This Row],[CARRO]])</f>
        <v>948.24522000000002</v>
      </c>
      <c r="O132" s="7"/>
      <c r="P132" s="339"/>
    </row>
    <row r="133" spans="2:16" ht="15" hidden="1" customHeight="1" x14ac:dyDescent="0.35">
      <c r="B133" s="160" t="s">
        <v>7000</v>
      </c>
      <c r="C133" s="1" t="str">
        <f>IF(D133="", "", INDEX(Colaboradores!A:A, MATCH(D133,Colaboradores!C:C, 0)))</f>
        <v>E0246</v>
      </c>
      <c r="D133" s="338" t="s">
        <v>5166</v>
      </c>
      <c r="E133" s="249">
        <v>45887</v>
      </c>
      <c r="F133" s="249"/>
      <c r="G133" s="160">
        <f>IFERROR(VLOOKUP(Tabla10[[#This Row],[COD]],'TotalHorasAjustadas (2)'!D:L,8,FALSE),"")</f>
        <v>94.5</v>
      </c>
      <c r="H133" s="339">
        <f>IFERROR(VLOOKUP(Tabla10[[#This Row],[COD]],Tabla15[],4,FALSE),"")</f>
        <v>16</v>
      </c>
      <c r="I133" s="339">
        <f>IFERROR(VLOOKUP(Tabla10[[#This Row],[COD]],Alojamentos!B:P,11,FALSE),"")</f>
        <v>300</v>
      </c>
      <c r="J133" s="160">
        <f>IF(ISBLANK(Tabla10[[#This Row],[INICIO VINCULO]]), 0, MAX(0, MIN(IF(ISBLANK(Tabla10[[#This Row],[FIM VINCULO]]), DATE(2026,1,31), Tabla10[[#This Row],[FIM VINCULO]]), DATE(2026,1,31)) - MAX(Tabla10[[#This Row],[INICIO VINCULO]], DATE(2026,1,1)) + 1))</f>
        <v>31</v>
      </c>
      <c r="K133" s="339">
        <f>7.05806*Tabla10[[#This Row],[DIAS DE ALTA]]</f>
        <v>218.79986</v>
      </c>
      <c r="L133" s="339" t="str">
        <f>IFERROR(VLOOKUP(Tabla10[[#This Row],[COD]],Carro!B:D,3,FALSE),"")</f>
        <v/>
      </c>
      <c r="M133" s="339" t="str">
        <f>IFERROR(VLOOKUP(Tabla10[[#This Row],[COD]],'Outros descontos'!B:P,15,FALSE),"")</f>
        <v/>
      </c>
      <c r="N133" s="7">
        <f>(Tabla10[[#This Row],[HORAS TRABALHADAS]]*Tabla10[[#This Row],[TARIFA]]) - SUM(Tabla10[[#This Row],[ALOJAMENTO]], Tabla10[[#This Row],[IMPOSTO]], Tabla10[[#This Row],[CARRO]])</f>
        <v>993.20014000000003</v>
      </c>
      <c r="O133" s="7"/>
      <c r="P133" s="339"/>
    </row>
    <row r="134" spans="2:16" ht="15" hidden="1" customHeight="1" x14ac:dyDescent="0.35">
      <c r="B134" s="160" t="s">
        <v>7002</v>
      </c>
      <c r="C134" s="160" t="str">
        <f>IF(D134="", "", INDEX(Colaboradores!A:A, MATCH(D134,Colaboradores!C:C, 0)))</f>
        <v>E1734</v>
      </c>
      <c r="D134" s="338" t="s">
        <v>5212</v>
      </c>
      <c r="E134" s="249">
        <v>46048</v>
      </c>
      <c r="F134" s="249"/>
      <c r="G134" s="160">
        <f>IFERROR(VLOOKUP(Tabla10[[#This Row],[COD]],'TotalHorasAjustadas (2)'!D:L,8,FALSE),"")</f>
        <v>30</v>
      </c>
      <c r="H134" s="339">
        <v>12</v>
      </c>
      <c r="I134" s="339" t="str">
        <f>IFERROR(VLOOKUP(Tabla10[[#This Row],[COD]],Alojamentos!B:P,11,FALSE),"")</f>
        <v/>
      </c>
      <c r="J134" s="160">
        <f>IF(ISBLANK(Tabla10[[#This Row],[INICIO VINCULO]]), 0, MAX(0, MIN(IF(ISBLANK(Tabla10[[#This Row],[FIM VINCULO]]), DATE(2026,1,31), Tabla10[[#This Row],[FIM VINCULO]]), DATE(2026,1,31)) - MAX(Tabla10[[#This Row],[INICIO VINCULO]], DATE(2026,1,1)) + 1))</f>
        <v>6</v>
      </c>
      <c r="K134" s="339">
        <f>7.05806*Tabla10[[#This Row],[DIAS DE ALTA]]</f>
        <v>42.34836</v>
      </c>
      <c r="L134" s="339" t="str">
        <f>IFERROR(VLOOKUP(Tabla10[[#This Row],[COD]],Carro!B:D,3,FALSE),"")</f>
        <v/>
      </c>
      <c r="M134" s="339" t="str">
        <f>IFERROR(VLOOKUP(Tabla10[[#This Row],[COD]],'Outros descontos'!B:P,15,FALSE),"")</f>
        <v/>
      </c>
      <c r="N134" s="7">
        <f>(Tabla10[[#This Row],[HORAS TRABALHADAS]]*Tabla10[[#This Row],[TARIFA]]) - SUM(Tabla10[[#This Row],[ALOJAMENTO]], Tabla10[[#This Row],[IMPOSTO]], Tabla10[[#This Row],[CARRO]])</f>
        <v>317.65163999999999</v>
      </c>
      <c r="O134" s="7"/>
      <c r="P134" s="339"/>
    </row>
    <row r="135" spans="2:16" ht="15" hidden="1" customHeight="1" x14ac:dyDescent="0.35">
      <c r="B135" s="160" t="s">
        <v>6999</v>
      </c>
      <c r="C135" s="1" t="str">
        <f>IF(D135="", "", INDEX(Colaboradores!A:A, MATCH(D135,Colaboradores!C:C, 0)))</f>
        <v>E0147</v>
      </c>
      <c r="D135" s="338" t="s">
        <v>5220</v>
      </c>
      <c r="E135" s="249">
        <v>45943</v>
      </c>
      <c r="F135" s="249">
        <v>46027</v>
      </c>
      <c r="G135" s="160">
        <v>40</v>
      </c>
      <c r="H135" s="339">
        <f>IFERROR(VLOOKUP(Tabla10[[#This Row],[COD]],Tabla15[],4,FALSE),"")</f>
        <v>15</v>
      </c>
      <c r="I135" s="339" t="str">
        <f>IFERROR(VLOOKUP(Tabla10[[#This Row],[COD]],Alojamentos!B:P,11,FALSE),"")</f>
        <v/>
      </c>
      <c r="J135" s="160">
        <f>IF(ISBLANK(Tabla10[[#This Row],[INICIO VINCULO]]), 0, MAX(0, MIN(IF(ISBLANK(Tabla10[[#This Row],[FIM VINCULO]]), DATE(2026,1,31), Tabla10[[#This Row],[FIM VINCULO]]), DATE(2026,1,31)) - MAX(Tabla10[[#This Row],[INICIO VINCULO]], DATE(2026,1,1)) + 1))</f>
        <v>5</v>
      </c>
      <c r="K135" s="339">
        <f>7.05806*Tabla10[[#This Row],[DIAS DE ALTA]]</f>
        <v>35.290300000000002</v>
      </c>
      <c r="L135" s="339" t="str">
        <f>IFERROR(VLOOKUP(Tabla10[[#This Row],[COD]],Carro!B:D,3,FALSE),"")</f>
        <v/>
      </c>
      <c r="M135" s="339" t="str">
        <f>IFERROR(VLOOKUP(Tabla10[[#This Row],[COD]],'Outros descontos'!B:P,15,FALSE),"")</f>
        <v/>
      </c>
      <c r="N135" s="7">
        <f>(Tabla10[[#This Row],[HORAS TRABALHADAS]]*Tabla10[[#This Row],[TARIFA]]) - SUM(Tabla10[[#This Row],[ALOJAMENTO]], Tabla10[[#This Row],[IMPOSTO]], Tabla10[[#This Row],[CARRO]])</f>
        <v>564.7097</v>
      </c>
      <c r="O135" s="7"/>
      <c r="P135" s="339"/>
    </row>
    <row r="136" spans="2:16" ht="15" hidden="1" customHeight="1" x14ac:dyDescent="0.35">
      <c r="B136" s="160" t="s">
        <v>7002</v>
      </c>
      <c r="C136" s="160" t="str">
        <f>IF(D136="", "", INDEX(Colaboradores!A:A, MATCH(D136,Colaboradores!C:C, 0)))</f>
        <v>E0147</v>
      </c>
      <c r="D136" s="338" t="s">
        <v>5220</v>
      </c>
      <c r="E136" s="249">
        <v>46028</v>
      </c>
      <c r="F136" s="249"/>
      <c r="G136" s="160">
        <f>IFERROR(VLOOKUP(Tabla10[[#This Row],[COD]],'TotalHorasAjustadas (2)'!D:L,8,FALSE),"")</f>
        <v>180.72999999999993</v>
      </c>
      <c r="H136" s="339">
        <f>IFERROR(VLOOKUP(Tabla10[[#This Row],[COD]],Tabla15[],4,FALSE),"")</f>
        <v>15</v>
      </c>
      <c r="I136" s="339" t="str">
        <f>IFERROR(VLOOKUP(Tabla10[[#This Row],[COD]],Alojamentos!B:P,11,FALSE),"")</f>
        <v/>
      </c>
      <c r="J136" s="160">
        <f>IF(ISBLANK(Tabla10[[#This Row],[INICIO VINCULO]]), 0, MAX(0, MIN(IF(ISBLANK(Tabla10[[#This Row],[FIM VINCULO]]), DATE(2026,1,31), Tabla10[[#This Row],[FIM VINCULO]]), DATE(2026,1,31)) - MAX(Tabla10[[#This Row],[INICIO VINCULO]], DATE(2026,1,1)) + 1))</f>
        <v>26</v>
      </c>
      <c r="K136" s="339">
        <f>7.05806*Tabla10[[#This Row],[DIAS DE ALTA]]</f>
        <v>183.50955999999999</v>
      </c>
      <c r="L136" s="339" t="str">
        <f>IFERROR(VLOOKUP(Tabla10[[#This Row],[COD]],Carro!B:D,3,FALSE),"")</f>
        <v/>
      </c>
      <c r="M136" s="339" t="str">
        <f>IFERROR(VLOOKUP(Tabla10[[#This Row],[COD]],'Outros descontos'!B:P,15,FALSE),"")</f>
        <v/>
      </c>
      <c r="N136" s="7">
        <f>(Tabla10[[#This Row],[HORAS TRABALHADAS]]*Tabla10[[#This Row],[TARIFA]]) - SUM(Tabla10[[#This Row],[ALOJAMENTO]], Tabla10[[#This Row],[IMPOSTO]], Tabla10[[#This Row],[CARRO]])</f>
        <v>2527.4404399999989</v>
      </c>
      <c r="O136" s="7"/>
      <c r="P136" s="339"/>
    </row>
    <row r="137" spans="2:16" ht="15" hidden="1" customHeight="1" x14ac:dyDescent="0.35">
      <c r="B137" s="160" t="s">
        <v>6999</v>
      </c>
      <c r="C137" s="1" t="str">
        <f>IF(D137="", "", INDEX(Colaboradores!A:A, MATCH(D137,Colaboradores!C:C, 0)))</f>
        <v>E0780</v>
      </c>
      <c r="D137" s="338" t="s">
        <v>5275</v>
      </c>
      <c r="E137" s="249">
        <v>45855</v>
      </c>
      <c r="F137" s="249">
        <v>46045</v>
      </c>
      <c r="G137" s="348">
        <v>0</v>
      </c>
      <c r="H137" s="339">
        <f>IFERROR(VLOOKUP(Tabla10[[#This Row],[COD]],Tabla15[],4,FALSE),"")</f>
        <v>15</v>
      </c>
      <c r="I137" s="339" t="str">
        <f>IFERROR(VLOOKUP(Tabla10[[#This Row],[COD]],Alojamentos!B:P,11,FALSE),"")</f>
        <v/>
      </c>
      <c r="J137" s="160">
        <f>IF(ISBLANK(Tabla10[[#This Row],[INICIO VINCULO]]), 0, MAX(0, MIN(IF(ISBLANK(Tabla10[[#This Row],[FIM VINCULO]]), DATE(2026,1,31), Tabla10[[#This Row],[FIM VINCULO]]), DATE(2026,1,31)) - MAX(Tabla10[[#This Row],[INICIO VINCULO]], DATE(2026,1,1)) + 1))</f>
        <v>23</v>
      </c>
      <c r="K137" s="339">
        <f>7.05806*Tabla10[[#This Row],[DIAS DE ALTA]]</f>
        <v>162.33538000000001</v>
      </c>
      <c r="L137" s="339" t="str">
        <f>IFERROR(VLOOKUP(Tabla10[[#This Row],[COD]],Carro!B:D,3,FALSE),"")</f>
        <v/>
      </c>
      <c r="M137" s="339" t="str">
        <f>IFERROR(VLOOKUP(Tabla10[[#This Row],[COD]],'Outros descontos'!B:P,15,FALSE),"")</f>
        <v/>
      </c>
      <c r="N137" s="7">
        <v>0</v>
      </c>
      <c r="O137" s="7"/>
      <c r="P137" s="339"/>
    </row>
    <row r="138" spans="2:16" ht="15" hidden="1" customHeight="1" x14ac:dyDescent="0.35">
      <c r="B138" s="160" t="s">
        <v>6999</v>
      </c>
      <c r="C138" s="1" t="str">
        <f>IF(D138="", "", INDEX(Colaboradores!A:A, MATCH(D138,Colaboradores!C:C, 0)))</f>
        <v>E0392</v>
      </c>
      <c r="D138" s="338" t="s">
        <v>5327</v>
      </c>
      <c r="E138" s="249">
        <v>45779</v>
      </c>
      <c r="F138" s="249">
        <v>46052</v>
      </c>
      <c r="G138" s="160">
        <f>IFERROR(VLOOKUP(Tabla10[[#This Row],[COD]],'TotalHorasAjustadas (2)'!D:L,8,FALSE),"")</f>
        <v>143</v>
      </c>
      <c r="H138" s="339">
        <f>IFERROR(VLOOKUP(Tabla10[[#This Row],[COD]],Tabla15[],4,FALSE),"")</f>
        <v>15</v>
      </c>
      <c r="I138" s="339">
        <f>IFERROR(VLOOKUP(Tabla10[[#This Row],[COD]],Alojamentos!B:P,11,FALSE),"")</f>
        <v>300</v>
      </c>
      <c r="J138" s="160">
        <f>IF(ISBLANK(Tabla10[[#This Row],[INICIO VINCULO]]), 0, MAX(0, MIN(IF(ISBLANK(Tabla10[[#This Row],[FIM VINCULO]]), DATE(2026,1,31), Tabla10[[#This Row],[FIM VINCULO]]), DATE(2026,1,31)) - MAX(Tabla10[[#This Row],[INICIO VINCULO]], DATE(2026,1,1)) + 1))</f>
        <v>30</v>
      </c>
      <c r="K138" s="339">
        <f>7.05806*Tabla10[[#This Row],[DIAS DE ALTA]]</f>
        <v>211.74180000000001</v>
      </c>
      <c r="L138" s="339" t="str">
        <f>IFERROR(VLOOKUP(Tabla10[[#This Row],[COD]],Carro!B:D,3,FALSE),"")</f>
        <v/>
      </c>
      <c r="M138" s="339" t="str">
        <f>IFERROR(VLOOKUP(Tabla10[[#This Row],[COD]],'Outros descontos'!B:P,15,FALSE),"")</f>
        <v/>
      </c>
      <c r="N138" s="7">
        <f>(Tabla10[[#This Row],[HORAS TRABALHADAS]]*Tabla10[[#This Row],[TARIFA]]) - SUM(Tabla10[[#This Row],[ALOJAMENTO]], Tabla10[[#This Row],[IMPOSTO]], Tabla10[[#This Row],[CARRO]])</f>
        <v>1633.2582</v>
      </c>
      <c r="O138" s="7"/>
      <c r="P138" s="339"/>
    </row>
    <row r="139" spans="2:16" ht="15" hidden="1" customHeight="1" x14ac:dyDescent="0.35">
      <c r="B139" s="160" t="s">
        <v>7002</v>
      </c>
      <c r="C139" s="160" t="str">
        <f>IF(D139="", "", INDEX(Colaboradores!A:A, MATCH(D139,Colaboradores!C:C, 0)))</f>
        <v>E0072</v>
      </c>
      <c r="D139" s="338" t="s">
        <v>5353</v>
      </c>
      <c r="E139" s="249">
        <v>45926</v>
      </c>
      <c r="F139" s="249"/>
      <c r="G139" s="160">
        <f>IFERROR(VLOOKUP(Tabla10[[#This Row],[COD]],'TotalHorasAjustadas (2)'!D:L,8,FALSE),"")</f>
        <v>188</v>
      </c>
      <c r="H139" s="339">
        <f>IFERROR(VLOOKUP(Tabla10[[#This Row],[COD]],Tabla15[],4,FALSE),"")</f>
        <v>18</v>
      </c>
      <c r="I139" s="339" t="str">
        <f>IFERROR(VLOOKUP(Tabla10[[#This Row],[COD]],Alojamentos!B:P,11,FALSE),"")</f>
        <v/>
      </c>
      <c r="J139" s="160">
        <f>IF(ISBLANK(Tabla10[[#This Row],[INICIO VINCULO]]), 0, MAX(0, MIN(IF(ISBLANK(Tabla10[[#This Row],[FIM VINCULO]]), DATE(2026,1,31), Tabla10[[#This Row],[FIM VINCULO]]), DATE(2026,1,31)) - MAX(Tabla10[[#This Row],[INICIO VINCULO]], DATE(2026,1,1)) + 1))</f>
        <v>31</v>
      </c>
      <c r="K139" s="339">
        <f>7.05806*Tabla10[[#This Row],[DIAS DE ALTA]]</f>
        <v>218.79986</v>
      </c>
      <c r="L139" s="339" t="str">
        <f>IFERROR(VLOOKUP(Tabla10[[#This Row],[COD]],Carro!B:D,3,FALSE),"")</f>
        <v/>
      </c>
      <c r="M139" s="339" t="str">
        <f>IFERROR(VLOOKUP(Tabla10[[#This Row],[COD]],'Outros descontos'!B:P,15,FALSE),"")</f>
        <v/>
      </c>
      <c r="N139" s="7">
        <f>(Tabla10[[#This Row],[HORAS TRABALHADAS]]*Tabla10[[#This Row],[TARIFA]]) - SUM(Tabla10[[#This Row],[ALOJAMENTO]], Tabla10[[#This Row],[IMPOSTO]], Tabla10[[#This Row],[CARRO]])</f>
        <v>3165.2001399999999</v>
      </c>
      <c r="O139" s="7"/>
      <c r="P139" s="339"/>
    </row>
    <row r="140" spans="2:16" ht="15" hidden="1" customHeight="1" x14ac:dyDescent="0.35">
      <c r="B140" s="160" t="s">
        <v>7002</v>
      </c>
      <c r="C140" s="160" t="str">
        <f>IF(D140="", "", INDEX(Colaboradores!A:A, MATCH(D140,Colaboradores!C:C, 0)))</f>
        <v>E2088</v>
      </c>
      <c r="D140" s="338" t="s">
        <v>5377</v>
      </c>
      <c r="E140" s="249">
        <v>46042</v>
      </c>
      <c r="F140" s="249">
        <v>46045</v>
      </c>
      <c r="G140" s="160">
        <f>IFERROR(VLOOKUP(Tabla10[[#This Row],[COD]],'TotalHorasAjustadas (2)'!D:L,8,FALSE),"")</f>
        <v>36</v>
      </c>
      <c r="H140" s="339">
        <v>15</v>
      </c>
      <c r="I140" s="339" t="str">
        <f>IFERROR(VLOOKUP(Tabla10[[#This Row],[COD]],Alojamentos!B:P,11,FALSE),"")</f>
        <v/>
      </c>
      <c r="J140" s="160">
        <f>IF(ISBLANK(Tabla10[[#This Row],[INICIO VINCULO]]), 0, MAX(0, MIN(IF(ISBLANK(Tabla10[[#This Row],[FIM VINCULO]]), DATE(2026,1,31), Tabla10[[#This Row],[FIM VINCULO]]), DATE(2026,1,31)) - MAX(Tabla10[[#This Row],[INICIO VINCULO]], DATE(2026,1,1)) + 1))</f>
        <v>4</v>
      </c>
      <c r="K140" s="339">
        <f>7.05806*Tabla10[[#This Row],[DIAS DE ALTA]]</f>
        <v>28.232240000000001</v>
      </c>
      <c r="L140" s="339">
        <f>IFERROR(VLOOKUP(Tabla10[[#This Row],[COD]],Carro!B:D,3,FALSE),"")</f>
        <v>20</v>
      </c>
      <c r="M140" s="339" t="str">
        <f>IFERROR(VLOOKUP(Tabla10[[#This Row],[COD]],'Outros descontos'!B:P,15,FALSE),"")</f>
        <v/>
      </c>
      <c r="N140" s="7">
        <f>(Tabla10[[#This Row],[HORAS TRABALHADAS]]*Tabla10[[#This Row],[TARIFA]]) - SUM(Tabla10[[#This Row],[ALOJAMENTO]], Tabla10[[#This Row],[IMPOSTO]], Tabla10[[#This Row],[CARRO]])</f>
        <v>491.76776000000001</v>
      </c>
      <c r="O140" s="7"/>
      <c r="P140" s="339"/>
    </row>
    <row r="141" spans="2:16" ht="15" hidden="1" customHeight="1" x14ac:dyDescent="0.35">
      <c r="B141" s="160" t="s">
        <v>7002</v>
      </c>
      <c r="C141" s="160" t="str">
        <f>IF(D141="", "", INDEX(Colaboradores!A:A, MATCH(D141,Colaboradores!C:C, 0)))</f>
        <v>E0423</v>
      </c>
      <c r="D141" s="338" t="s">
        <v>5385</v>
      </c>
      <c r="E141" s="249">
        <v>46028</v>
      </c>
      <c r="F141" s="249"/>
      <c r="G141" s="160">
        <v>140.72999999999999</v>
      </c>
      <c r="H141" s="339">
        <f>IFERROR(VLOOKUP(Tabla10[[#This Row],[COD]],Tabla15[],4,FALSE),"")</f>
        <v>15</v>
      </c>
      <c r="I141" s="339" t="str">
        <f>IFERROR(VLOOKUP(Tabla10[[#This Row],[COD]],Alojamentos!B:P,11,FALSE),"")</f>
        <v/>
      </c>
      <c r="J141" s="160">
        <f>IF(ISBLANK(Tabla10[[#This Row],[INICIO VINCULO]]), 0, MAX(0, MIN(IF(ISBLANK(Tabla10[[#This Row],[FIM VINCULO]]), DATE(2026,1,31), Tabla10[[#This Row],[FIM VINCULO]]), DATE(2026,1,31)) - MAX(Tabla10[[#This Row],[INICIO VINCULO]], DATE(2026,1,1)) + 1))</f>
        <v>26</v>
      </c>
      <c r="K141" s="339">
        <f>7.05806*Tabla10[[#This Row],[DIAS DE ALTA]]</f>
        <v>183.50955999999999</v>
      </c>
      <c r="L141" s="339" t="str">
        <f>IFERROR(VLOOKUP(Tabla10[[#This Row],[COD]],Carro!B:D,3,FALSE),"")</f>
        <v/>
      </c>
      <c r="M141" s="339" t="str">
        <f>IFERROR(VLOOKUP(Tabla10[[#This Row],[COD]],'Outros descontos'!B:P,15,FALSE),"")</f>
        <v/>
      </c>
      <c r="N141" s="7">
        <f>(Tabla10[[#This Row],[HORAS TRABALHADAS]]*Tabla10[[#This Row],[TARIFA]]) - SUM(Tabla10[[#This Row],[ALOJAMENTO]], Tabla10[[#This Row],[IMPOSTO]], Tabla10[[#This Row],[CARRO]])</f>
        <v>1927.4404399999999</v>
      </c>
      <c r="O141" s="7"/>
      <c r="P141" s="339"/>
    </row>
    <row r="142" spans="2:16" ht="15" hidden="1" customHeight="1" x14ac:dyDescent="0.35">
      <c r="B142" s="160" t="s">
        <v>6999</v>
      </c>
      <c r="C142" s="1" t="str">
        <f>IF(D142="", "", INDEX(Colaboradores!A:A, MATCH(D142,Colaboradores!C:C, 0)))</f>
        <v>E0423</v>
      </c>
      <c r="D142" s="338" t="s">
        <v>5385</v>
      </c>
      <c r="E142" s="249">
        <v>45807</v>
      </c>
      <c r="F142" s="249">
        <v>46027</v>
      </c>
      <c r="G142" s="160">
        <f>IFERROR(VLOOKUP(Tabla10[[#This Row],[COD]],'TotalHorasAjustadas (2)'!D:L,8,FALSE),"")</f>
        <v>190.05999999999995</v>
      </c>
      <c r="H142" s="339">
        <f>IFERROR(VLOOKUP(Tabla10[[#This Row],[COD]],Tabla15[],4,FALSE),"")</f>
        <v>15</v>
      </c>
      <c r="I142" s="339" t="str">
        <f>IFERROR(VLOOKUP(Tabla10[[#This Row],[COD]],Alojamentos!B:P,11,FALSE),"")</f>
        <v/>
      </c>
      <c r="J142" s="160">
        <f>IF(ISBLANK(Tabla10[[#This Row],[INICIO VINCULO]]), 0, MAX(0, MIN(IF(ISBLANK(Tabla10[[#This Row],[FIM VINCULO]]), DATE(2026,1,31), Tabla10[[#This Row],[FIM VINCULO]]), DATE(2026,1,31)) - MAX(Tabla10[[#This Row],[INICIO VINCULO]], DATE(2026,1,1)) + 1))</f>
        <v>5</v>
      </c>
      <c r="K142" s="339">
        <f>7.05806*Tabla10[[#This Row],[DIAS DE ALTA]]</f>
        <v>35.290300000000002</v>
      </c>
      <c r="L142" s="339" t="str">
        <f>IFERROR(VLOOKUP(Tabla10[[#This Row],[COD]],Carro!B:D,3,FALSE),"")</f>
        <v/>
      </c>
      <c r="M142" s="339" t="str">
        <f>IFERROR(VLOOKUP(Tabla10[[#This Row],[COD]],'Outros descontos'!B:P,15,FALSE),"")</f>
        <v/>
      </c>
      <c r="N142" s="7">
        <f>(Tabla10[[#This Row],[HORAS TRABALHADAS]]*Tabla10[[#This Row],[TARIFA]]) - SUM(Tabla10[[#This Row],[ALOJAMENTO]], Tabla10[[#This Row],[IMPOSTO]], Tabla10[[#This Row],[CARRO]])</f>
        <v>2815.6096999999991</v>
      </c>
      <c r="O142" s="7"/>
      <c r="P142" s="339"/>
    </row>
    <row r="143" spans="2:16" ht="15" hidden="1" customHeight="1" x14ac:dyDescent="0.35">
      <c r="B143" s="160" t="s">
        <v>7001</v>
      </c>
      <c r="C143" s="1" t="str">
        <f>IF(D143="", "", INDEX(Colaboradores!A:A, MATCH(D143,Colaboradores!C:C, 0)))</f>
        <v>E0273</v>
      </c>
      <c r="D143" s="338" t="s">
        <v>5439</v>
      </c>
      <c r="E143" s="249">
        <v>45762</v>
      </c>
      <c r="F143" s="249">
        <v>46052</v>
      </c>
      <c r="G143" s="160">
        <f>IFERROR(VLOOKUP(Tabla10[[#This Row],[COD]],'TotalHorasAjustadas (2)'!D:L,8,FALSE),"")</f>
        <v>108</v>
      </c>
      <c r="H143" s="339">
        <f>IFERROR(VLOOKUP(Tabla10[[#This Row],[COD]],Tabla15[],4,FALSE),"")</f>
        <v>15</v>
      </c>
      <c r="I143" s="339">
        <f>IFERROR(VLOOKUP(Tabla10[[#This Row],[COD]],Alojamentos!B:P,11,FALSE),"")</f>
        <v>300</v>
      </c>
      <c r="J143" s="160">
        <f>IF(ISBLANK(Tabla10[[#This Row],[INICIO VINCULO]]), 0, MAX(0, MIN(IF(ISBLANK(Tabla10[[#This Row],[FIM VINCULO]]), DATE(2026,1,31), Tabla10[[#This Row],[FIM VINCULO]]), DATE(2026,1,31)) - MAX(Tabla10[[#This Row],[INICIO VINCULO]], DATE(2026,1,1)) + 1))</f>
        <v>30</v>
      </c>
      <c r="K143" s="339">
        <f>7.05806*Tabla10[[#This Row],[DIAS DE ALTA]]</f>
        <v>211.74180000000001</v>
      </c>
      <c r="L143" s="339" t="str">
        <f>IFERROR(VLOOKUP(Tabla10[[#This Row],[COD]],Carro!B:D,3,FALSE),"")</f>
        <v/>
      </c>
      <c r="M143" s="339" t="str">
        <f>IFERROR(VLOOKUP(Tabla10[[#This Row],[COD]],'Outros descontos'!B:P,15,FALSE),"")</f>
        <v/>
      </c>
      <c r="N143" s="7">
        <f>(Tabla10[[#This Row],[HORAS TRABALHADAS]]*Tabla10[[#This Row],[TARIFA]]) - SUM(Tabla10[[#This Row],[ALOJAMENTO]], Tabla10[[#This Row],[IMPOSTO]], Tabla10[[#This Row],[CARRO]])</f>
        <v>1108.2582</v>
      </c>
      <c r="O143" s="7"/>
      <c r="P143" s="339"/>
    </row>
    <row r="144" spans="2:16" ht="15" hidden="1" customHeight="1" x14ac:dyDescent="0.35">
      <c r="B144" s="160" t="s">
        <v>6999</v>
      </c>
      <c r="C144" s="1" t="str">
        <f>IF(D144="", "", INDEX(Colaboradores!A:A, MATCH(D144,Colaboradores!C:C, 0)))</f>
        <v>E0349</v>
      </c>
      <c r="D144" s="338" t="s">
        <v>5484</v>
      </c>
      <c r="E144" s="249">
        <v>45862</v>
      </c>
      <c r="F144" s="249"/>
      <c r="G144" s="160">
        <f>IFERROR(VLOOKUP(Tabla10[[#This Row],[COD]],'TotalHorasAjustadas (2)'!D:L,8,FALSE),"")</f>
        <v>80</v>
      </c>
      <c r="H144" s="339">
        <f>IFERROR(VLOOKUP(Tabla10[[#This Row],[COD]],Tabla15[],4,FALSE),"")</f>
        <v>15</v>
      </c>
      <c r="I144" s="339" t="str">
        <f>IFERROR(VLOOKUP(Tabla10[[#This Row],[COD]],Alojamentos!B:P,11,FALSE),"")</f>
        <v/>
      </c>
      <c r="J144" s="160">
        <f>IF(ISBLANK(Tabla10[[#This Row],[INICIO VINCULO]]), 0, MAX(0, MIN(IF(ISBLANK(Tabla10[[#This Row],[FIM VINCULO]]), DATE(2026,1,31), Tabla10[[#This Row],[FIM VINCULO]]), DATE(2026,1,31)) - MAX(Tabla10[[#This Row],[INICIO VINCULO]], DATE(2026,1,1)) + 1))</f>
        <v>31</v>
      </c>
      <c r="K144" s="339">
        <f>7.05806*Tabla10[[#This Row],[DIAS DE ALTA]]</f>
        <v>218.79986</v>
      </c>
      <c r="L144" s="339">
        <f>IFERROR(VLOOKUP(Tabla10[[#This Row],[COD]],Carro!B:D,3,FALSE),"")</f>
        <v>50</v>
      </c>
      <c r="M144" s="339" t="str">
        <f>IFERROR(VLOOKUP(Tabla10[[#This Row],[COD]],'Outros descontos'!B:P,15,FALSE),"")</f>
        <v/>
      </c>
      <c r="N144" s="7">
        <f>(Tabla10[[#This Row],[HORAS TRABALHADAS]]*Tabla10[[#This Row],[TARIFA]]) - SUM(Tabla10[[#This Row],[ALOJAMENTO]], Tabla10[[#This Row],[IMPOSTO]], Tabla10[[#This Row],[CARRO]])</f>
        <v>931.20014000000003</v>
      </c>
      <c r="O144" s="7"/>
      <c r="P144" s="339"/>
    </row>
    <row r="145" spans="2:16" ht="15" hidden="1" customHeight="1" x14ac:dyDescent="0.35">
      <c r="B145" s="160" t="s">
        <v>7002</v>
      </c>
      <c r="C145" s="160" t="str">
        <f>IF(D145="", "", INDEX(Colaboradores!A:A, MATCH(D145,Colaboradores!C:C, 0)))</f>
        <v>E0088</v>
      </c>
      <c r="D145" s="338" t="s">
        <v>5500</v>
      </c>
      <c r="E145" s="249">
        <v>45931</v>
      </c>
      <c r="F145" s="249"/>
      <c r="G145" s="160">
        <f>IFERROR(VLOOKUP(Tabla10[[#This Row],[COD]],'TotalHorasAjustadas (2)'!D:L,8,FALSE),"")</f>
        <v>219</v>
      </c>
      <c r="H145" s="339">
        <f>IFERROR(VLOOKUP(Tabla10[[#This Row],[COD]],Tabla15[],4,FALSE),"")</f>
        <v>18</v>
      </c>
      <c r="I145" s="339" t="str">
        <f>IFERROR(VLOOKUP(Tabla10[[#This Row],[COD]],Alojamentos!B:P,11,FALSE),"")</f>
        <v/>
      </c>
      <c r="J145" s="160">
        <f>IF(ISBLANK(Tabla10[[#This Row],[INICIO VINCULO]]), 0, MAX(0, MIN(IF(ISBLANK(Tabla10[[#This Row],[FIM VINCULO]]), DATE(2026,1,31), Tabla10[[#This Row],[FIM VINCULO]]), DATE(2026,1,31)) - MAX(Tabla10[[#This Row],[INICIO VINCULO]], DATE(2026,1,1)) + 1))</f>
        <v>31</v>
      </c>
      <c r="K145" s="339">
        <f>7.05806*Tabla10[[#This Row],[DIAS DE ALTA]]</f>
        <v>218.79986</v>
      </c>
      <c r="L145" s="339" t="str">
        <f>IFERROR(VLOOKUP(Tabla10[[#This Row],[COD]],Carro!B:D,3,FALSE),"")</f>
        <v/>
      </c>
      <c r="M145" s="339" t="str">
        <f>IFERROR(VLOOKUP(Tabla10[[#This Row],[COD]],'Outros descontos'!B:P,15,FALSE),"")</f>
        <v/>
      </c>
      <c r="N145" s="7">
        <f>(Tabla10[[#This Row],[HORAS TRABALHADAS]]*Tabla10[[#This Row],[TARIFA]]) - SUM(Tabla10[[#This Row],[ALOJAMENTO]], Tabla10[[#This Row],[IMPOSTO]], Tabla10[[#This Row],[CARRO]])</f>
        <v>3723.2001399999999</v>
      </c>
      <c r="O145" s="7"/>
      <c r="P145" s="339"/>
    </row>
    <row r="146" spans="2:16" ht="15" hidden="1" customHeight="1" x14ac:dyDescent="0.35">
      <c r="B146" s="160" t="s">
        <v>6999</v>
      </c>
      <c r="C146" s="1" t="str">
        <f>IF(D146="", "", INDEX(Colaboradores!A:A, MATCH(D146,Colaboradores!C:C, 0)))</f>
        <v>E0447</v>
      </c>
      <c r="D146" s="338" t="s">
        <v>5525</v>
      </c>
      <c r="E146" s="249">
        <v>45470</v>
      </c>
      <c r="F146" s="249">
        <v>46052</v>
      </c>
      <c r="G146" s="160">
        <f>IFERROR(VLOOKUP(Tabla10[[#This Row],[COD]],'TotalHorasAjustadas (2)'!D:L,8,FALSE),"")</f>
        <v>161</v>
      </c>
      <c r="H146" s="339">
        <f>IFERROR(VLOOKUP(Tabla10[[#This Row],[COD]],Tabla15[],4,FALSE),"")</f>
        <v>17</v>
      </c>
      <c r="I146" s="339">
        <f>IFERROR(VLOOKUP(Tabla10[[#This Row],[COD]],Alojamentos!B:P,11,FALSE),"")</f>
        <v>300</v>
      </c>
      <c r="J146" s="160">
        <f>IF(ISBLANK(Tabla10[[#This Row],[INICIO VINCULO]]), 0, MAX(0, MIN(IF(ISBLANK(Tabla10[[#This Row],[FIM VINCULO]]), DATE(2026,1,31), Tabla10[[#This Row],[FIM VINCULO]]), DATE(2026,1,31)) - MAX(Tabla10[[#This Row],[INICIO VINCULO]], DATE(2026,1,1)) + 1))</f>
        <v>30</v>
      </c>
      <c r="K146" s="339">
        <f>7.05806*Tabla10[[#This Row],[DIAS DE ALTA]]</f>
        <v>211.74180000000001</v>
      </c>
      <c r="L146" s="339">
        <f>IFERROR(VLOOKUP(Tabla10[[#This Row],[COD]],Carro!B:D,3,FALSE),"")</f>
        <v>140</v>
      </c>
      <c r="M146" s="339" t="str">
        <f>IFERROR(VLOOKUP(Tabla10[[#This Row],[COD]],'Outros descontos'!B:P,15,FALSE),"")</f>
        <v/>
      </c>
      <c r="N146" s="7">
        <f>(Tabla10[[#This Row],[HORAS TRABALHADAS]]*Tabla10[[#This Row],[TARIFA]]) - SUM(Tabla10[[#This Row],[ALOJAMENTO]], Tabla10[[#This Row],[IMPOSTO]], Tabla10[[#This Row],[CARRO]])</f>
        <v>2085.2582000000002</v>
      </c>
      <c r="O146" s="7"/>
      <c r="P146" s="339"/>
    </row>
    <row r="147" spans="2:16" ht="15" hidden="1" customHeight="1" x14ac:dyDescent="0.35">
      <c r="B147" s="160" t="s">
        <v>6999</v>
      </c>
      <c r="C147" s="1" t="str">
        <f>IF(D147="", "", INDEX(Colaboradores!A:A, MATCH(D147,Colaboradores!C:C, 0)))</f>
        <v>E0400</v>
      </c>
      <c r="D147" s="338" t="s">
        <v>5529</v>
      </c>
      <c r="E147" s="249">
        <v>45807</v>
      </c>
      <c r="F147" s="249">
        <v>46052</v>
      </c>
      <c r="G147" s="160">
        <f>IFERROR(VLOOKUP(Tabla10[[#This Row],[COD]],'TotalHorasAjustadas (2)'!D:L,8,FALSE),"")</f>
        <v>143</v>
      </c>
      <c r="H147" s="339">
        <f>IFERROR(VLOOKUP(Tabla10[[#This Row],[COD]],Tabla15[],4,FALSE),"")</f>
        <v>15</v>
      </c>
      <c r="I147" s="339">
        <f>IFERROR(VLOOKUP(Tabla10[[#This Row],[COD]],Alojamentos!B:P,11,FALSE),"")</f>
        <v>300</v>
      </c>
      <c r="J147" s="160">
        <f>IF(ISBLANK(Tabla10[[#This Row],[INICIO VINCULO]]), 0, MAX(0, MIN(IF(ISBLANK(Tabla10[[#This Row],[FIM VINCULO]]), DATE(2026,1,31), Tabla10[[#This Row],[FIM VINCULO]]), DATE(2026,1,31)) - MAX(Tabla10[[#This Row],[INICIO VINCULO]], DATE(2026,1,1)) + 1))</f>
        <v>30</v>
      </c>
      <c r="K147" s="339">
        <f>7.05806*Tabla10[[#This Row],[DIAS DE ALTA]]</f>
        <v>211.74180000000001</v>
      </c>
      <c r="L147" s="339" t="str">
        <f>IFERROR(VLOOKUP(Tabla10[[#This Row],[COD]],Carro!B:D,3,FALSE),"")</f>
        <v/>
      </c>
      <c r="M147" s="339" t="str">
        <f>IFERROR(VLOOKUP(Tabla10[[#This Row],[COD]],'Outros descontos'!B:P,15,FALSE),"")</f>
        <v/>
      </c>
      <c r="N147" s="7">
        <f>(Tabla10[[#This Row],[HORAS TRABALHADAS]]*Tabla10[[#This Row],[TARIFA]]) - SUM(Tabla10[[#This Row],[ALOJAMENTO]], Tabla10[[#This Row],[IMPOSTO]], Tabla10[[#This Row],[CARRO]])</f>
        <v>1633.2582</v>
      </c>
      <c r="O147" s="7"/>
      <c r="P147" s="339"/>
    </row>
    <row r="148" spans="2:16" ht="15" hidden="1" customHeight="1" x14ac:dyDescent="0.35">
      <c r="B148" s="160" t="s">
        <v>7000</v>
      </c>
      <c r="C148" s="1" t="str">
        <f>IF(D148="", "", INDEX(Colaboradores!A:A, MATCH(D148,Colaboradores!C:C, 0)))</f>
        <v>E0371</v>
      </c>
      <c r="D148" s="338" t="s">
        <v>5618</v>
      </c>
      <c r="E148" s="249">
        <v>45939</v>
      </c>
      <c r="F148" s="249"/>
      <c r="G148" s="160">
        <f>IFERROR(VLOOKUP(Tabla10[[#This Row],[COD]],'TotalHorasAjustadas (2)'!D:L,8,FALSE),"")</f>
        <v>187.5</v>
      </c>
      <c r="H148" s="339">
        <f>IFERROR(VLOOKUP(Tabla10[[#This Row],[COD]],Tabla15[],4,FALSE),"")</f>
        <v>15</v>
      </c>
      <c r="I148" s="339">
        <f>IFERROR(VLOOKUP(Tabla10[[#This Row],[COD]],Alojamentos!B:P,11,FALSE),"")</f>
        <v>300</v>
      </c>
      <c r="J148" s="160">
        <f>IF(ISBLANK(Tabla10[[#This Row],[INICIO VINCULO]]), 0, MAX(0, MIN(IF(ISBLANK(Tabla10[[#This Row],[FIM VINCULO]]), DATE(2026,1,31), Tabla10[[#This Row],[FIM VINCULO]]), DATE(2026,1,31)) - MAX(Tabla10[[#This Row],[INICIO VINCULO]], DATE(2026,1,1)) + 1))</f>
        <v>31</v>
      </c>
      <c r="K148" s="339">
        <f>7.05806*Tabla10[[#This Row],[DIAS DE ALTA]]</f>
        <v>218.79986</v>
      </c>
      <c r="L148" s="339" t="str">
        <f>IFERROR(VLOOKUP(Tabla10[[#This Row],[COD]],Carro!B:D,3,FALSE),"")</f>
        <v/>
      </c>
      <c r="M148" s="339" t="str">
        <f>IFERROR(VLOOKUP(Tabla10[[#This Row],[COD]],'Outros descontos'!B:P,15,FALSE),"")</f>
        <v/>
      </c>
      <c r="N148" s="7">
        <f>(Tabla10[[#This Row],[HORAS TRABALHADAS]]*Tabla10[[#This Row],[TARIFA]]) - SUM(Tabla10[[#This Row],[ALOJAMENTO]], Tabla10[[#This Row],[IMPOSTO]], Tabla10[[#This Row],[CARRO]])</f>
        <v>2293.7001399999999</v>
      </c>
      <c r="O148" s="7"/>
      <c r="P148" s="339"/>
    </row>
    <row r="149" spans="2:16" ht="15" hidden="1" customHeight="1" x14ac:dyDescent="0.35">
      <c r="B149" s="160" t="s">
        <v>7000</v>
      </c>
      <c r="C149" s="1" t="str">
        <f>IF(D149="", "", INDEX(Colaboradores!A:A, MATCH(D149,Colaboradores!C:C, 0)))</f>
        <v>E0539</v>
      </c>
      <c r="D149" s="338" t="s">
        <v>5633</v>
      </c>
      <c r="E149" s="249">
        <v>45931</v>
      </c>
      <c r="F149" s="249"/>
      <c r="G149" s="160">
        <f>IFERROR(VLOOKUP(Tabla10[[#This Row],[COD]],'TotalHorasAjustadas (2)'!D:L,8,FALSE),"")</f>
        <v>170</v>
      </c>
      <c r="H149" s="339">
        <f>IFERROR(VLOOKUP(Tabla10[[#This Row],[COD]],Tabla15[],4,FALSE),"")</f>
        <v>15</v>
      </c>
      <c r="I149" s="339" t="str">
        <f>IFERROR(VLOOKUP(Tabla10[[#This Row],[COD]],Alojamentos!B:P,11,FALSE),"")</f>
        <v/>
      </c>
      <c r="J149" s="160">
        <f>IF(ISBLANK(Tabla10[[#This Row],[INICIO VINCULO]]), 0, MAX(0, MIN(IF(ISBLANK(Tabla10[[#This Row],[FIM VINCULO]]), DATE(2026,1,31), Tabla10[[#This Row],[FIM VINCULO]]), DATE(2026,1,31)) - MAX(Tabla10[[#This Row],[INICIO VINCULO]], DATE(2026,1,1)) + 1))</f>
        <v>31</v>
      </c>
      <c r="K149" s="339">
        <f>7.05806*Tabla10[[#This Row],[DIAS DE ALTA]]</f>
        <v>218.79986</v>
      </c>
      <c r="L149" s="339" t="str">
        <f>IFERROR(VLOOKUP(Tabla10[[#This Row],[COD]],Carro!B:D,3,FALSE),"")</f>
        <v/>
      </c>
      <c r="M149" s="339" t="str">
        <f>IFERROR(VLOOKUP(Tabla10[[#This Row],[COD]],'Outros descontos'!B:P,15,FALSE),"")</f>
        <v/>
      </c>
      <c r="N149" s="7">
        <f>(Tabla10[[#This Row],[HORAS TRABALHADAS]]*Tabla10[[#This Row],[TARIFA]]) - SUM(Tabla10[[#This Row],[ALOJAMENTO]], Tabla10[[#This Row],[IMPOSTO]], Tabla10[[#This Row],[CARRO]])</f>
        <v>2331.2001399999999</v>
      </c>
      <c r="O149" s="7"/>
      <c r="P149" s="339"/>
    </row>
    <row r="150" spans="2:16" ht="15" hidden="1" customHeight="1" x14ac:dyDescent="0.35">
      <c r="B150" s="160" t="s">
        <v>7002</v>
      </c>
      <c r="C150" s="160" t="str">
        <f>IF(D150="", "", INDEX(Colaboradores!A:A, MATCH(D150,Colaboradores!C:C, 0)))</f>
        <v>E0074</v>
      </c>
      <c r="D150" s="338" t="s">
        <v>5745</v>
      </c>
      <c r="E150" s="249">
        <v>46036</v>
      </c>
      <c r="F150" s="249">
        <v>46054</v>
      </c>
      <c r="G150" s="160">
        <v>65</v>
      </c>
      <c r="H150" s="339">
        <f>IFERROR(VLOOKUP(Tabla10[[#This Row],[COD]],Tabla15[],4,FALSE),"")</f>
        <v>15</v>
      </c>
      <c r="I150" s="339" t="str">
        <f>IFERROR(VLOOKUP(Tabla10[[#This Row],[COD]],Alojamentos!B:P,11,FALSE),"")</f>
        <v/>
      </c>
      <c r="J150" s="160">
        <f>IF(ISBLANK(Tabla10[[#This Row],[INICIO VINCULO]]), 0, MAX(0, MIN(IF(ISBLANK(Tabla10[[#This Row],[FIM VINCULO]]), DATE(2026,1,31), Tabla10[[#This Row],[FIM VINCULO]]), DATE(2026,1,31)) - MAX(Tabla10[[#This Row],[INICIO VINCULO]], DATE(2026,1,1)) + 1))</f>
        <v>18</v>
      </c>
      <c r="K150" s="339">
        <f>7.05806*Tabla10[[#This Row],[DIAS DE ALTA]]</f>
        <v>127.04508</v>
      </c>
      <c r="L150" s="339" t="str">
        <f>IFERROR(VLOOKUP(Tabla10[[#This Row],[COD]],Carro!B:D,3,FALSE),"")</f>
        <v/>
      </c>
      <c r="M150" s="339" t="str">
        <f>IFERROR(VLOOKUP(Tabla10[[#This Row],[COD]],'Outros descontos'!B:P,15,FALSE),"")</f>
        <v/>
      </c>
      <c r="N150" s="7">
        <f>(Tabla10[[#This Row],[HORAS TRABALHADAS]]*Tabla10[[#This Row],[TARIFA]]) - SUM(Tabla10[[#This Row],[ALOJAMENTO]], Tabla10[[#This Row],[IMPOSTO]], Tabla10[[#This Row],[CARRO]])</f>
        <v>847.95492000000002</v>
      </c>
      <c r="O150" s="7"/>
      <c r="P150" s="339"/>
    </row>
    <row r="151" spans="2:16" ht="15" hidden="1" customHeight="1" x14ac:dyDescent="0.35">
      <c r="B151" s="160" t="s">
        <v>7001</v>
      </c>
      <c r="C151" s="1" t="str">
        <f>IF(D151="", "", INDEX(Colaboradores!A:A, MATCH(D151,Colaboradores!C:C, 0)))</f>
        <v>E0074</v>
      </c>
      <c r="D151" s="338" t="s">
        <v>5745</v>
      </c>
      <c r="E151" s="249">
        <v>45870</v>
      </c>
      <c r="F151" s="249">
        <v>46034</v>
      </c>
      <c r="G151" s="160">
        <v>65</v>
      </c>
      <c r="H151" s="339">
        <f>IFERROR(VLOOKUP(Tabla10[[#This Row],[COD]],Tabla15[],4,FALSE),"")</f>
        <v>15</v>
      </c>
      <c r="I151" s="339" t="str">
        <f>IFERROR(VLOOKUP(Tabla10[[#This Row],[COD]],Alojamentos!B:P,11,FALSE),"")</f>
        <v/>
      </c>
      <c r="J151" s="160">
        <f>IF(ISBLANK(Tabla10[[#This Row],[INICIO VINCULO]]), 0, MAX(0, MIN(IF(ISBLANK(Tabla10[[#This Row],[FIM VINCULO]]), DATE(2026,1,31), Tabla10[[#This Row],[FIM VINCULO]]), DATE(2026,1,31)) - MAX(Tabla10[[#This Row],[INICIO VINCULO]], DATE(2026,1,1)) + 1))</f>
        <v>12</v>
      </c>
      <c r="K151" s="339">
        <f>7.05806*Tabla10[[#This Row],[DIAS DE ALTA]]</f>
        <v>84.696719999999999</v>
      </c>
      <c r="L151" s="339" t="str">
        <f>IFERROR(VLOOKUP(Tabla10[[#This Row],[COD]],Carro!B:D,3,FALSE),"")</f>
        <v/>
      </c>
      <c r="M151" s="339" t="str">
        <f>IFERROR(VLOOKUP(Tabla10[[#This Row],[COD]],'Outros descontos'!B:P,15,FALSE),"")</f>
        <v/>
      </c>
      <c r="N151" s="7">
        <f>(Tabla10[[#This Row],[HORAS TRABALHADAS]]*Tabla10[[#This Row],[TARIFA]]) - SUM(Tabla10[[#This Row],[ALOJAMENTO]], Tabla10[[#This Row],[IMPOSTO]], Tabla10[[#This Row],[CARRO]])</f>
        <v>890.30327999999997</v>
      </c>
      <c r="O151" s="7"/>
      <c r="P151" s="339"/>
    </row>
    <row r="152" spans="2:16" ht="15" hidden="1" customHeight="1" x14ac:dyDescent="0.35">
      <c r="B152" s="160" t="s">
        <v>7000</v>
      </c>
      <c r="C152" s="1" t="str">
        <f>IF(D152="", "", INDEX(Colaboradores!A:A, MATCH(D152,Colaboradores!C:C, 0)))</f>
        <v>E2060</v>
      </c>
      <c r="D152" s="338" t="s">
        <v>5819</v>
      </c>
      <c r="E152" s="249">
        <v>45980</v>
      </c>
      <c r="F152" s="249"/>
      <c r="G152" s="160">
        <f>IFERROR(VLOOKUP(Tabla10[[#This Row],[COD]],'TotalHorasAjustadas (2)'!D:L,8,FALSE),"")</f>
        <v>223</v>
      </c>
      <c r="H152" s="339">
        <f>IFERROR(VLOOKUP(Tabla10[[#This Row],[COD]],Tabla15[],4,FALSE),"")</f>
        <v>15</v>
      </c>
      <c r="I152" s="339" t="str">
        <f>IFERROR(VLOOKUP(Tabla10[[#This Row],[COD]],Alojamentos!B:P,11,FALSE),"")</f>
        <v/>
      </c>
      <c r="J152" s="160">
        <f>IF(ISBLANK(Tabla10[[#This Row],[INICIO VINCULO]]), 0, MAX(0, MIN(IF(ISBLANK(Tabla10[[#This Row],[FIM VINCULO]]), DATE(2026,1,31), Tabla10[[#This Row],[FIM VINCULO]]), DATE(2026,1,31)) - MAX(Tabla10[[#This Row],[INICIO VINCULO]], DATE(2026,1,1)) + 1))</f>
        <v>31</v>
      </c>
      <c r="K152" s="339">
        <f>7.05806*Tabla10[[#This Row],[DIAS DE ALTA]]</f>
        <v>218.79986</v>
      </c>
      <c r="L152" s="339">
        <f>IFERROR(VLOOKUP(Tabla10[[#This Row],[COD]],Carro!B:D,3,FALSE),"")</f>
        <v>126.66666666666667</v>
      </c>
      <c r="M152" s="339" t="str">
        <f>IFERROR(VLOOKUP(Tabla10[[#This Row],[COD]],'Outros descontos'!B:P,15,FALSE),"")</f>
        <v/>
      </c>
      <c r="N152" s="7">
        <f>(Tabla10[[#This Row],[HORAS TRABALHADAS]]*Tabla10[[#This Row],[TARIFA]]) - SUM(Tabla10[[#This Row],[ALOJAMENTO]], Tabla10[[#This Row],[IMPOSTO]], Tabla10[[#This Row],[CARRO]])</f>
        <v>2999.5334733333334</v>
      </c>
      <c r="O152" s="7"/>
      <c r="P152" s="339"/>
    </row>
    <row r="153" spans="2:16" ht="15" hidden="1" customHeight="1" x14ac:dyDescent="0.35">
      <c r="B153" s="160" t="s">
        <v>7002</v>
      </c>
      <c r="C153" s="160" t="str">
        <f>IF(D153="", "", INDEX(Colaboradores!A:A, MATCH(D153,Colaboradores!C:C, 0)))</f>
        <v>E0327</v>
      </c>
      <c r="D153" s="338" t="s">
        <v>5830</v>
      </c>
      <c r="E153" s="249">
        <v>46010</v>
      </c>
      <c r="F153" s="249">
        <v>46045</v>
      </c>
      <c r="G153" s="160">
        <f>IFERROR(VLOOKUP(Tabla10[[#This Row],[COD]],'TotalHorasAjustadas (2)'!D:L,8,FALSE),"")</f>
        <v>127</v>
      </c>
      <c r="H153" s="339">
        <f>IFERROR(VLOOKUP(Tabla10[[#This Row],[COD]],Tabla15[],4,FALSE),"")</f>
        <v>15</v>
      </c>
      <c r="I153" s="339" t="str">
        <f>IFERROR(VLOOKUP(Tabla10[[#This Row],[COD]],Alojamentos!B:P,11,FALSE),"")</f>
        <v/>
      </c>
      <c r="J153" s="160">
        <f>IF(ISBLANK(Tabla10[[#This Row],[INICIO VINCULO]]), 0, MAX(0, MIN(IF(ISBLANK(Tabla10[[#This Row],[FIM VINCULO]]), DATE(2026,1,31), Tabla10[[#This Row],[FIM VINCULO]]), DATE(2026,1,31)) - MAX(Tabla10[[#This Row],[INICIO VINCULO]], DATE(2026,1,1)) + 1))</f>
        <v>23</v>
      </c>
      <c r="K153" s="339">
        <f>7.05806*Tabla10[[#This Row],[DIAS DE ALTA]]</f>
        <v>162.33538000000001</v>
      </c>
      <c r="L153" s="339">
        <f>IFERROR(VLOOKUP(Tabla10[[#This Row],[COD]],Carro!B:D,3,FALSE),"")</f>
        <v>85</v>
      </c>
      <c r="M153" s="339" t="str">
        <f>IFERROR(VLOOKUP(Tabla10[[#This Row],[COD]],'Outros descontos'!B:P,15,FALSE),"")</f>
        <v/>
      </c>
      <c r="N153" s="7">
        <f>(Tabla10[[#This Row],[HORAS TRABALHADAS]]*Tabla10[[#This Row],[TARIFA]]) - SUM(Tabla10[[#This Row],[ALOJAMENTO]], Tabla10[[#This Row],[IMPOSTO]], Tabla10[[#This Row],[CARRO]])</f>
        <v>1657.66462</v>
      </c>
      <c r="O153" s="7"/>
      <c r="P153" s="339"/>
    </row>
    <row r="154" spans="2:16" ht="15.75" hidden="1" customHeight="1" x14ac:dyDescent="0.35">
      <c r="B154" s="160" t="s">
        <v>7001</v>
      </c>
      <c r="C154" s="1" t="str">
        <f>IF(D154="", "", INDEX(Colaboradores!A:A, MATCH(D154,Colaboradores!C:C, 0)))</f>
        <v>E0264</v>
      </c>
      <c r="D154" s="338" t="s">
        <v>5866</v>
      </c>
      <c r="E154" s="249">
        <v>45762</v>
      </c>
      <c r="F154" s="249">
        <v>46052</v>
      </c>
      <c r="G154" s="160">
        <f>IFERROR(VLOOKUP(Tabla10[[#This Row],[COD]],'TotalHorasAjustadas (2)'!D:L,8,FALSE),"")</f>
        <v>117</v>
      </c>
      <c r="H154" s="339">
        <f>IFERROR(VLOOKUP(Tabla10[[#This Row],[COD]],Tabla15[],4,FALSE),"")</f>
        <v>14</v>
      </c>
      <c r="I154" s="339">
        <f>IFERROR(VLOOKUP(Tabla10[[#This Row],[COD]],Alojamentos!B:P,11,FALSE),"")</f>
        <v>300</v>
      </c>
      <c r="J154" s="160">
        <f>IF(ISBLANK(Tabla10[[#This Row],[INICIO VINCULO]]), 0, MAX(0, MIN(IF(ISBLANK(Tabla10[[#This Row],[FIM VINCULO]]), DATE(2026,1,31), Tabla10[[#This Row],[FIM VINCULO]]), DATE(2026,1,31)) - MAX(Tabla10[[#This Row],[INICIO VINCULO]], DATE(2026,1,1)) + 1))</f>
        <v>30</v>
      </c>
      <c r="K154" s="339">
        <f>7.05806*Tabla10[[#This Row],[DIAS DE ALTA]]</f>
        <v>211.74180000000001</v>
      </c>
      <c r="L154" s="339" t="str">
        <f>IFERROR(VLOOKUP(Tabla10[[#This Row],[COD]],Carro!B:D,3,FALSE),"")</f>
        <v/>
      </c>
      <c r="M154" s="339" t="str">
        <f>IFERROR(VLOOKUP(Tabla10[[#This Row],[COD]],'Outros descontos'!B:P,15,FALSE),"")</f>
        <v/>
      </c>
      <c r="N154" s="7">
        <f>(Tabla10[[#This Row],[HORAS TRABALHADAS]]*Tabla10[[#This Row],[TARIFA]]) - SUM(Tabla10[[#This Row],[ALOJAMENTO]], Tabla10[[#This Row],[IMPOSTO]], Tabla10[[#This Row],[CARRO]])</f>
        <v>1126.2582</v>
      </c>
      <c r="O154" s="7"/>
      <c r="P154" s="339"/>
    </row>
    <row r="155" spans="2:16" ht="15" hidden="1" customHeight="1" x14ac:dyDescent="0.35">
      <c r="B155" s="160" t="s">
        <v>7000</v>
      </c>
      <c r="C155" s="347"/>
      <c r="D155" s="338" t="s">
        <v>7015</v>
      </c>
      <c r="E155" s="249">
        <v>45819</v>
      </c>
      <c r="F155" s="249"/>
      <c r="G155" s="160">
        <v>160</v>
      </c>
      <c r="H155" s="339">
        <v>0</v>
      </c>
      <c r="I155" s="339" t="str">
        <f>IFERROR(VLOOKUP(Tabla10[[#This Row],[COD]],Alojamentos!B:P,11,FALSE),"")</f>
        <v/>
      </c>
      <c r="J155" s="160">
        <f>IF(ISBLANK(Tabla10[[#This Row],[INICIO VINCULO]]), 0, MAX(0, MIN(IF(ISBLANK(Tabla10[[#This Row],[FIM VINCULO]]), DATE(2026,1,31), Tabla10[[#This Row],[FIM VINCULO]]), DATE(2026,1,31)) - MAX(Tabla10[[#This Row],[INICIO VINCULO]], DATE(2026,1,1)) + 1))</f>
        <v>31</v>
      </c>
      <c r="K155" s="339">
        <v>0</v>
      </c>
      <c r="L155" s="339" t="str">
        <f>IFERROR(VLOOKUP(Tabla10[[#This Row],[COD]],Carro!B:D,3,FALSE),"")</f>
        <v/>
      </c>
      <c r="M155" s="339" t="str">
        <f>IFERROR(VLOOKUP(Tabla10[[#This Row],[COD]],'Outros descontos'!B:P,15,FALSE),"")</f>
        <v/>
      </c>
      <c r="N155" s="7">
        <v>1072.78</v>
      </c>
      <c r="O155" s="7"/>
      <c r="P155" s="339"/>
    </row>
    <row r="156" spans="2:16" ht="15" hidden="1" customHeight="1" x14ac:dyDescent="0.35">
      <c r="B156" s="160" t="s">
        <v>7000</v>
      </c>
      <c r="C156" s="1" t="str">
        <f>IF(D156="", "", INDEX(Colaboradores!A:A, MATCH(D156,Colaboradores!C:C, 0)))</f>
        <v>E0620</v>
      </c>
      <c r="D156" s="338" t="s">
        <v>5934</v>
      </c>
      <c r="E156" s="249">
        <v>45952</v>
      </c>
      <c r="F156" s="249">
        <v>46029</v>
      </c>
      <c r="G156" s="160">
        <f>IFERROR(VLOOKUP(Tabla10[[#This Row],[COD]],'TotalHorasAjustadas (2)'!D:L,8,FALSE),"")</f>
        <v>67</v>
      </c>
      <c r="H156" s="339">
        <f>IFERROR(VLOOKUP(Tabla10[[#This Row],[COD]],Tabla15[],4,FALSE),"")</f>
        <v>16</v>
      </c>
      <c r="I156" s="339" t="str">
        <f>IFERROR(VLOOKUP(Tabla10[[#This Row],[COD]],Alojamentos!B:P,11,FALSE),"")</f>
        <v/>
      </c>
      <c r="J156" s="160">
        <f>IF(ISBLANK(Tabla10[[#This Row],[INICIO VINCULO]]), 0, MAX(0, MIN(IF(ISBLANK(Tabla10[[#This Row],[FIM VINCULO]]), DATE(2026,1,31), Tabla10[[#This Row],[FIM VINCULO]]), DATE(2026,1,31)) - MAX(Tabla10[[#This Row],[INICIO VINCULO]], DATE(2026,1,1)) + 1))</f>
        <v>7</v>
      </c>
      <c r="K156" s="339">
        <f>7.05806*Tabla10[[#This Row],[DIAS DE ALTA]]</f>
        <v>49.406420000000004</v>
      </c>
      <c r="L156" s="339" t="str">
        <f>IFERROR(VLOOKUP(Tabla10[[#This Row],[COD]],Carro!B:D,3,FALSE),"")</f>
        <v/>
      </c>
      <c r="M156" s="339" t="str">
        <f>IFERROR(VLOOKUP(Tabla10[[#This Row],[COD]],'Outros descontos'!B:P,15,FALSE),"")</f>
        <v/>
      </c>
      <c r="N156" s="7">
        <f>(Tabla10[[#This Row],[HORAS TRABALHADAS]]*Tabla10[[#This Row],[TARIFA]]) - SUM(Tabla10[[#This Row],[ALOJAMENTO]], Tabla10[[#This Row],[IMPOSTO]], Tabla10[[#This Row],[CARRO]])</f>
        <v>1022.59358</v>
      </c>
      <c r="O156" s="7"/>
      <c r="P156" s="339"/>
    </row>
    <row r="157" spans="2:16" ht="15" hidden="1" customHeight="1" x14ac:dyDescent="0.35">
      <c r="B157" s="160" t="s">
        <v>7002</v>
      </c>
      <c r="C157" s="160" t="str">
        <f>IF(D157="", "", INDEX(Colaboradores!A:A, MATCH(D157,Colaboradores!C:C, 0)))</f>
        <v>E2091</v>
      </c>
      <c r="D157" s="338" t="s">
        <v>5956</v>
      </c>
      <c r="E157" s="249">
        <v>46048</v>
      </c>
      <c r="F157" s="249"/>
      <c r="G157" s="160">
        <f>IFERROR(VLOOKUP(Tabla10[[#This Row],[COD]],'TotalHorasAjustadas (2)'!D:L,8,FALSE),"")</f>
        <v>54</v>
      </c>
      <c r="H157" s="339">
        <v>15</v>
      </c>
      <c r="I157" s="339" t="str">
        <f>IFERROR(VLOOKUP(Tabla10[[#This Row],[COD]],Alojamentos!B:P,11,FALSE),"")</f>
        <v/>
      </c>
      <c r="J157" s="160">
        <f>IF(ISBLANK(Tabla10[[#This Row],[INICIO VINCULO]]), 0, MAX(0, MIN(IF(ISBLANK(Tabla10[[#This Row],[FIM VINCULO]]), DATE(2026,1,31), Tabla10[[#This Row],[FIM VINCULO]]), DATE(2026,1,31)) - MAX(Tabla10[[#This Row],[INICIO VINCULO]], DATE(2026,1,1)) + 1))</f>
        <v>6</v>
      </c>
      <c r="K157" s="339">
        <f>7.05806*Tabla10[[#This Row],[DIAS DE ALTA]]</f>
        <v>42.34836</v>
      </c>
      <c r="L157" s="339" t="str">
        <f>IFERROR(VLOOKUP(Tabla10[[#This Row],[COD]],Carro!B:D,3,FALSE),"")</f>
        <v/>
      </c>
      <c r="M157" s="339" t="str">
        <f>IFERROR(VLOOKUP(Tabla10[[#This Row],[COD]],'Outros descontos'!B:P,15,FALSE),"")</f>
        <v/>
      </c>
      <c r="N157" s="7">
        <f>(Tabla10[[#This Row],[HORAS TRABALHADAS]]*Tabla10[[#This Row],[TARIFA]]) - SUM(Tabla10[[#This Row],[ALOJAMENTO]], Tabla10[[#This Row],[IMPOSTO]], Tabla10[[#This Row],[CARRO]])</f>
        <v>767.65164000000004</v>
      </c>
      <c r="O157" s="7"/>
      <c r="P157" s="339"/>
    </row>
    <row r="158" spans="2:16" ht="15" hidden="1" customHeight="1" x14ac:dyDescent="0.35">
      <c r="B158" s="160" t="s">
        <v>7000</v>
      </c>
      <c r="C158" s="1" t="str">
        <f>IF(D158="", "", INDEX(Colaboradores!A:A, MATCH(D158,Colaboradores!C:C, 0)))</f>
        <v>E0510</v>
      </c>
      <c r="D158" s="338" t="s">
        <v>6030</v>
      </c>
      <c r="E158" s="249">
        <v>46049</v>
      </c>
      <c r="F158" s="249"/>
      <c r="G158" s="160">
        <f>IFERROR(VLOOKUP(Tabla10[[#This Row],[COD]],'TotalHorasAjustadas (2)'!D:L,8,FALSE),"")</f>
        <v>50</v>
      </c>
      <c r="H158" s="339">
        <f>IFERROR(VLOOKUP(Tabla10[[#This Row],[COD]],Tabla15[],4,FALSE),"")</f>
        <v>16</v>
      </c>
      <c r="I158" s="339" t="str">
        <f>IFERROR(VLOOKUP(Tabla10[[#This Row],[COD]],Alojamentos!B:P,11,FALSE),"")</f>
        <v/>
      </c>
      <c r="J158" s="160">
        <f>IF(ISBLANK(Tabla10[[#This Row],[INICIO VINCULO]]), 0, MAX(0, MIN(IF(ISBLANK(Tabla10[[#This Row],[FIM VINCULO]]), DATE(2026,1,31), Tabla10[[#This Row],[FIM VINCULO]]), DATE(2026,1,31)) - MAX(Tabla10[[#This Row],[INICIO VINCULO]], DATE(2026,1,1)) + 1))</f>
        <v>5</v>
      </c>
      <c r="K158" s="339">
        <f>7.05806*Tabla10[[#This Row],[DIAS DE ALTA]]</f>
        <v>35.290300000000002</v>
      </c>
      <c r="L158" s="339" t="str">
        <f>IFERROR(VLOOKUP(Tabla10[[#This Row],[COD]],Carro!B:D,3,FALSE),"")</f>
        <v/>
      </c>
      <c r="M158" s="339" t="str">
        <f>IFERROR(VLOOKUP(Tabla10[[#This Row],[COD]],'Outros descontos'!B:P,15,FALSE),"")</f>
        <v/>
      </c>
      <c r="N158" s="7">
        <f>(Tabla10[[#This Row],[HORAS TRABALHADAS]]*Tabla10[[#This Row],[TARIFA]]) - SUM(Tabla10[[#This Row],[ALOJAMENTO]], Tabla10[[#This Row],[IMPOSTO]], Tabla10[[#This Row],[CARRO]])</f>
        <v>764.7097</v>
      </c>
      <c r="O158" s="7"/>
      <c r="P158" s="339"/>
    </row>
    <row r="159" spans="2:16" ht="15" hidden="1" customHeight="1" x14ac:dyDescent="0.35">
      <c r="B159" s="160" t="s">
        <v>6999</v>
      </c>
      <c r="C159" s="1" t="str">
        <f>IF(D159="", "", INDEX(Colaboradores!A:A, MATCH(D159,Colaboradores!C:C, 0)))</f>
        <v>E0315</v>
      </c>
      <c r="D159" s="338" t="s">
        <v>6312</v>
      </c>
      <c r="E159" s="249">
        <v>45762</v>
      </c>
      <c r="F159" s="249">
        <v>46052</v>
      </c>
      <c r="G159" s="160">
        <f>IFERROR(VLOOKUP(Tabla10[[#This Row],[COD]],'TotalHorasAjustadas (2)'!D:L,8,FALSE),"")</f>
        <v>148</v>
      </c>
      <c r="H159" s="339">
        <f>IFERROR(VLOOKUP(Tabla10[[#This Row],[COD]],Tabla15[],4,FALSE),"")</f>
        <v>15</v>
      </c>
      <c r="I159" s="339" t="str">
        <f>IFERROR(VLOOKUP(Tabla10[[#This Row],[COD]],Alojamentos!B:P,11,FALSE),"")</f>
        <v/>
      </c>
      <c r="J159" s="160">
        <f>IF(ISBLANK(Tabla10[[#This Row],[INICIO VINCULO]]), 0, MAX(0, MIN(IF(ISBLANK(Tabla10[[#This Row],[FIM VINCULO]]), DATE(2026,1,31), Tabla10[[#This Row],[FIM VINCULO]]), DATE(2026,1,31)) - MAX(Tabla10[[#This Row],[INICIO VINCULO]], DATE(2026,1,1)) + 1))</f>
        <v>30</v>
      </c>
      <c r="K159" s="339">
        <f>7.05806*Tabla10[[#This Row],[DIAS DE ALTA]]</f>
        <v>211.74180000000001</v>
      </c>
      <c r="L159" s="339" t="str">
        <f>IFERROR(VLOOKUP(Tabla10[[#This Row],[COD]],Carro!B:D,3,FALSE),"")</f>
        <v/>
      </c>
      <c r="M159" s="339" t="str">
        <f>IFERROR(VLOOKUP(Tabla10[[#This Row],[COD]],'Outros descontos'!B:P,15,FALSE),"")</f>
        <v/>
      </c>
      <c r="N159" s="7">
        <f>(Tabla10[[#This Row],[HORAS TRABALHADAS]]*Tabla10[[#This Row],[TARIFA]]) - SUM(Tabla10[[#This Row],[ALOJAMENTO]], Tabla10[[#This Row],[IMPOSTO]], Tabla10[[#This Row],[CARRO]])</f>
        <v>2008.2582</v>
      </c>
      <c r="O159" s="7"/>
      <c r="P159" s="339"/>
    </row>
    <row r="160" spans="2:16" ht="15" hidden="1" customHeight="1" x14ac:dyDescent="0.35">
      <c r="B160" s="160" t="s">
        <v>6999</v>
      </c>
      <c r="C160" s="1" t="str">
        <f>IF(D160="", "", INDEX(Colaboradores!A:A, MATCH(D160,Colaboradores!C:C, 0)))</f>
        <v>E0445</v>
      </c>
      <c r="D160" s="338" t="s">
        <v>6320</v>
      </c>
      <c r="E160" s="249">
        <v>45857</v>
      </c>
      <c r="F160" s="249">
        <v>46052</v>
      </c>
      <c r="G160" s="160">
        <f>IFERROR(VLOOKUP(Tabla10[[#This Row],[COD]],'TotalHorasAjustadas (2)'!D:L,8,FALSE),"")</f>
        <v>154.5</v>
      </c>
      <c r="H160" s="339">
        <f>IFERROR(VLOOKUP(Tabla10[[#This Row],[COD]],Tabla15[],4,FALSE),"")</f>
        <v>15</v>
      </c>
      <c r="I160" s="339" t="str">
        <f>IFERROR(VLOOKUP(Tabla10[[#This Row],[COD]],Alojamentos!B:P,11,FALSE),"")</f>
        <v/>
      </c>
      <c r="J160" s="160">
        <f>IF(ISBLANK(Tabla10[[#This Row],[INICIO VINCULO]]), 0, MAX(0, MIN(IF(ISBLANK(Tabla10[[#This Row],[FIM VINCULO]]), DATE(2026,1,31), Tabla10[[#This Row],[FIM VINCULO]]), DATE(2026,1,31)) - MAX(Tabla10[[#This Row],[INICIO VINCULO]], DATE(2026,1,1)) + 1))</f>
        <v>30</v>
      </c>
      <c r="K160" s="339">
        <f>7.05806*Tabla10[[#This Row],[DIAS DE ALTA]]</f>
        <v>211.74180000000001</v>
      </c>
      <c r="L160" s="339" t="str">
        <f>IFERROR(VLOOKUP(Tabla10[[#This Row],[COD]],Carro!B:D,3,FALSE),"")</f>
        <v/>
      </c>
      <c r="M160" s="339" t="str">
        <f>IFERROR(VLOOKUP(Tabla10[[#This Row],[COD]],'Outros descontos'!B:P,15,FALSE),"")</f>
        <v/>
      </c>
      <c r="N160" s="7">
        <f>(Tabla10[[#This Row],[HORAS TRABALHADAS]]*Tabla10[[#This Row],[TARIFA]]) - SUM(Tabla10[[#This Row],[ALOJAMENTO]], Tabla10[[#This Row],[IMPOSTO]], Tabla10[[#This Row],[CARRO]])</f>
        <v>2105.7582000000002</v>
      </c>
      <c r="O160" s="7"/>
      <c r="P160" s="339"/>
    </row>
    <row r="161" spans="2:16" ht="15" hidden="1" customHeight="1" x14ac:dyDescent="0.35">
      <c r="B161" s="160" t="s">
        <v>7000</v>
      </c>
      <c r="C161" s="1" t="str">
        <f>IF(D161="", "", INDEX(Colaboradores!A:A, MATCH(D161,Colaboradores!C:C, 0)))</f>
        <v>E0422</v>
      </c>
      <c r="D161" s="338" t="s">
        <v>6329</v>
      </c>
      <c r="E161" s="249">
        <v>45873</v>
      </c>
      <c r="F161" s="249"/>
      <c r="G161" s="160">
        <f>IFERROR(VLOOKUP(Tabla10[[#This Row],[COD]],'TotalHorasAjustadas (2)'!D:L,8,FALSE),"")</f>
        <v>141</v>
      </c>
      <c r="H161" s="339">
        <f>IFERROR(VLOOKUP(Tabla10[[#This Row],[COD]],Tabla15[],4,FALSE),"")</f>
        <v>15</v>
      </c>
      <c r="I161" s="339" t="str">
        <f>IFERROR(VLOOKUP(Tabla10[[#This Row],[COD]],Alojamentos!B:P,11,FALSE),"")</f>
        <v/>
      </c>
      <c r="J161" s="160">
        <f>IF(ISBLANK(Tabla10[[#This Row],[INICIO VINCULO]]), 0, MAX(0, MIN(IF(ISBLANK(Tabla10[[#This Row],[FIM VINCULO]]), DATE(2026,1,31), Tabla10[[#This Row],[FIM VINCULO]]), DATE(2026,1,31)) - MAX(Tabla10[[#This Row],[INICIO VINCULO]], DATE(2026,1,1)) + 1))</f>
        <v>31</v>
      </c>
      <c r="K161" s="339">
        <f>7.05806*Tabla10[[#This Row],[DIAS DE ALTA]]</f>
        <v>218.79986</v>
      </c>
      <c r="L161" s="339" t="str">
        <f>IFERROR(VLOOKUP(Tabla10[[#This Row],[COD]],Carro!B:D,3,FALSE),"")</f>
        <v/>
      </c>
      <c r="M161" s="339">
        <f>IFERROR(VLOOKUP(Tabla10[[#This Row],[COD]],'Outros descontos'!B:P,15,FALSE),"")</f>
        <v>148.97</v>
      </c>
      <c r="N161" s="7">
        <f>(Tabla10[[#This Row],[HORAS TRABALHADAS]]*Tabla10[[#This Row],[TARIFA]]) - SUM(Tabla10[[#This Row],[ALOJAMENTO]], Tabla10[[#This Row],[IMPOSTO]], Tabla10[[#This Row],[CARRO]],Tabla10[[#This Row],[OUTROS DEScontos]])</f>
        <v>1747.2301400000001</v>
      </c>
      <c r="O161" s="7"/>
      <c r="P161" s="339"/>
    </row>
    <row r="162" spans="2:16" ht="15" hidden="1" customHeight="1" x14ac:dyDescent="0.35">
      <c r="B162" s="160" t="s">
        <v>7000</v>
      </c>
      <c r="C162" s="1" t="str">
        <f>IF(D162="", "", INDEX(Colaboradores!A:A, MATCH(D162,Colaboradores!C:C, 0)))</f>
        <v>E0583</v>
      </c>
      <c r="D162" s="338" t="s">
        <v>6375</v>
      </c>
      <c r="E162" s="249">
        <v>46010</v>
      </c>
      <c r="F162" s="249"/>
      <c r="G162" s="160">
        <f>IFERROR(VLOOKUP(Tabla10[[#This Row],[COD]],'TotalHorasAjustadas (2)'!D:L,8,FALSE),"")</f>
        <v>152</v>
      </c>
      <c r="H162" s="339">
        <f>IFERROR(VLOOKUP(Tabla10[[#This Row],[COD]],Tabla15[],4,FALSE),"")</f>
        <v>16</v>
      </c>
      <c r="I162" s="339">
        <f>IFERROR(VLOOKUP(Tabla10[[#This Row],[COD]],Alojamentos!B:P,11,FALSE),"")</f>
        <v>300</v>
      </c>
      <c r="J162" s="160">
        <f>IF(ISBLANK(Tabla10[[#This Row],[INICIO VINCULO]]), 0, MAX(0, MIN(IF(ISBLANK(Tabla10[[#This Row],[FIM VINCULO]]), DATE(2026,1,31), Tabla10[[#This Row],[FIM VINCULO]]), DATE(2026,1,31)) - MAX(Tabla10[[#This Row],[INICIO VINCULO]], DATE(2026,1,1)) + 1))</f>
        <v>31</v>
      </c>
      <c r="K162" s="339">
        <f>7.05806*Tabla10[[#This Row],[DIAS DE ALTA]]</f>
        <v>218.79986</v>
      </c>
      <c r="L162" s="339" t="str">
        <f>IFERROR(VLOOKUP(Tabla10[[#This Row],[COD]],Carro!B:D,3,FALSE),"")</f>
        <v/>
      </c>
      <c r="M162" s="339" t="str">
        <f>IFERROR(VLOOKUP(Tabla10[[#This Row],[COD]],'Outros descontos'!B:P,15,FALSE),"")</f>
        <v/>
      </c>
      <c r="N162" s="7">
        <f>(Tabla10[[#This Row],[HORAS TRABALHADAS]]*Tabla10[[#This Row],[TARIFA]]) - SUM(Tabla10[[#This Row],[ALOJAMENTO]], Tabla10[[#This Row],[IMPOSTO]], Tabla10[[#This Row],[CARRO]])</f>
        <v>1913.2001399999999</v>
      </c>
      <c r="O162" s="7"/>
      <c r="P162" s="339"/>
    </row>
    <row r="163" spans="2:16" ht="15" hidden="1" customHeight="1" x14ac:dyDescent="0.35">
      <c r="B163" s="160" t="s">
        <v>7000</v>
      </c>
      <c r="C163" s="347"/>
      <c r="D163" s="338" t="s">
        <v>7016</v>
      </c>
      <c r="E163" s="249">
        <v>45819</v>
      </c>
      <c r="F163" s="249"/>
      <c r="G163" s="160">
        <v>160</v>
      </c>
      <c r="H163" s="339">
        <v>0</v>
      </c>
      <c r="I163" s="339" t="str">
        <f>IFERROR(VLOOKUP(Tabla10[[#This Row],[COD]],Alojamentos!B:P,11,FALSE),"")</f>
        <v/>
      </c>
      <c r="J163" s="160">
        <f>IF(ISBLANK(Tabla10[[#This Row],[INICIO VINCULO]]), 0, MAX(0, MIN(IF(ISBLANK(Tabla10[[#This Row],[FIM VINCULO]]), DATE(2026,1,31), Tabla10[[#This Row],[FIM VINCULO]]), DATE(2026,1,31)) - MAX(Tabla10[[#This Row],[INICIO VINCULO]], DATE(2026,1,1)) + 1))</f>
        <v>31</v>
      </c>
      <c r="K163" s="339">
        <v>0</v>
      </c>
      <c r="L163" s="339" t="str">
        <f>IFERROR(VLOOKUP(Tabla10[[#This Row],[COD]],Carro!B:D,3,FALSE),"")</f>
        <v/>
      </c>
      <c r="M163" s="339" t="str">
        <f>IFERROR(VLOOKUP(Tabla10[[#This Row],[COD]],'Outros descontos'!B:P,15,FALSE),"")</f>
        <v/>
      </c>
      <c r="N163" s="7">
        <v>881.25</v>
      </c>
      <c r="O163" s="7"/>
      <c r="P163" s="339"/>
    </row>
    <row r="164" spans="2:16" ht="15" hidden="1" customHeight="1" x14ac:dyDescent="0.35">
      <c r="B164" s="160" t="s">
        <v>7000</v>
      </c>
      <c r="C164" s="1" t="str">
        <f>IF(D164="", "", INDEX(Colaboradores!A:A, MATCH(D164,Colaboradores!C:C, 0)))</f>
        <v>E0576</v>
      </c>
      <c r="D164" s="338" t="s">
        <v>6411</v>
      </c>
      <c r="E164" s="249">
        <v>45873</v>
      </c>
      <c r="F164" s="249"/>
      <c r="G164" s="160">
        <f>IFERROR(VLOOKUP(Tabla10[[#This Row],[COD]],'TotalHorasAjustadas (2)'!D:L,8,FALSE),"")</f>
        <v>149.75</v>
      </c>
      <c r="H164" s="339">
        <f>IFERROR(VLOOKUP(Tabla10[[#This Row],[COD]],Tabla15[],4,FALSE),"")</f>
        <v>15</v>
      </c>
      <c r="I164" s="339" t="str">
        <f>IFERROR(VLOOKUP(Tabla10[[#This Row],[COD]],Alojamentos!B:P,11,FALSE),"")</f>
        <v/>
      </c>
      <c r="J164" s="160">
        <f>IF(ISBLANK(Tabla10[[#This Row],[INICIO VINCULO]]), 0, MAX(0, MIN(IF(ISBLANK(Tabla10[[#This Row],[FIM VINCULO]]), DATE(2026,1,31), Tabla10[[#This Row],[FIM VINCULO]]), DATE(2026,1,31)) - MAX(Tabla10[[#This Row],[INICIO VINCULO]], DATE(2026,1,1)) + 1))</f>
        <v>31</v>
      </c>
      <c r="K164" s="339">
        <f>7.05806*Tabla10[[#This Row],[DIAS DE ALTA]]</f>
        <v>218.79986</v>
      </c>
      <c r="L164" s="339" t="str">
        <f>IFERROR(VLOOKUP(Tabla10[[#This Row],[COD]],Carro!B:D,3,FALSE),"")</f>
        <v/>
      </c>
      <c r="M164" s="339" t="str">
        <f>IFERROR(VLOOKUP(Tabla10[[#This Row],[COD]],'Outros descontos'!B:P,15,FALSE),"")</f>
        <v/>
      </c>
      <c r="N164" s="7">
        <f>(Tabla10[[#This Row],[HORAS TRABALHADAS]]*Tabla10[[#This Row],[TARIFA]]) - SUM(Tabla10[[#This Row],[ALOJAMENTO]], Tabla10[[#This Row],[IMPOSTO]], Tabla10[[#This Row],[CARRO]])</f>
        <v>2027.4501399999999</v>
      </c>
      <c r="O164" s="7"/>
      <c r="P164" s="339"/>
    </row>
    <row r="165" spans="2:16" ht="15" hidden="1" customHeight="1" x14ac:dyDescent="0.35">
      <c r="B165" s="160" t="s">
        <v>6999</v>
      </c>
      <c r="C165" s="347"/>
      <c r="D165" s="338" t="s">
        <v>7017</v>
      </c>
      <c r="E165" s="249">
        <v>44596</v>
      </c>
      <c r="F165" s="249"/>
      <c r="G165" s="160">
        <v>160</v>
      </c>
      <c r="H165" s="339">
        <v>0</v>
      </c>
      <c r="I165" s="339" t="str">
        <f>IFERROR(VLOOKUP(Tabla10[[#This Row],[COD]],Alojamentos!B:P,11,FALSE),"")</f>
        <v/>
      </c>
      <c r="J165" s="160">
        <f>IF(ISBLANK(Tabla10[[#This Row],[INICIO VINCULO]]), 0, MAX(0, MIN(IF(ISBLANK(Tabla10[[#This Row],[FIM VINCULO]]), DATE(2026,1,31), Tabla10[[#This Row],[FIM VINCULO]]), DATE(2026,1,31)) - MAX(Tabla10[[#This Row],[INICIO VINCULO]], DATE(2026,1,1)) + 1))</f>
        <v>31</v>
      </c>
      <c r="K165" s="339">
        <v>0</v>
      </c>
      <c r="L165" s="339" t="str">
        <f>IFERROR(VLOOKUP(Tabla10[[#This Row],[COD]],Carro!B:D,3,FALSE),"")</f>
        <v/>
      </c>
      <c r="M165" s="339" t="str">
        <f>IFERROR(VLOOKUP(Tabla10[[#This Row],[COD]],'Outros descontos'!B:P,15,FALSE),"")</f>
        <v/>
      </c>
      <c r="N165" s="7">
        <v>0</v>
      </c>
      <c r="O165" s="7"/>
      <c r="P165" s="339"/>
    </row>
    <row r="166" spans="2:16" ht="15" hidden="1" customHeight="1" x14ac:dyDescent="0.35">
      <c r="B166" s="160" t="s">
        <v>7000</v>
      </c>
      <c r="C166" s="1" t="str">
        <f>IF(D166="", "", INDEX(Colaboradores!A:A, MATCH(D166,Colaboradores!C:C, 0)))</f>
        <v>E0577</v>
      </c>
      <c r="D166" s="338" t="s">
        <v>6524</v>
      </c>
      <c r="E166" s="249">
        <v>45873</v>
      </c>
      <c r="F166" s="249"/>
      <c r="G166" s="160">
        <f>IFERROR(VLOOKUP(Tabla10[[#This Row],[COD]],'TotalHorasAjustadas (2)'!D:L,8,FALSE),"")</f>
        <v>148.5</v>
      </c>
      <c r="H166" s="339">
        <f>IFERROR(VLOOKUP(Tabla10[[#This Row],[COD]],Tabla15[],4,FALSE),"")</f>
        <v>17</v>
      </c>
      <c r="I166" s="339">
        <f>IFERROR(VLOOKUP(Tabla10[[#This Row],[COD]],Alojamentos!B:P,11,FALSE),"")</f>
        <v>300</v>
      </c>
      <c r="J166" s="160">
        <f>IF(ISBLANK(Tabla10[[#This Row],[INICIO VINCULO]]), 0, MAX(0, MIN(IF(ISBLANK(Tabla10[[#This Row],[FIM VINCULO]]), DATE(2026,1,31), Tabla10[[#This Row],[FIM VINCULO]]), DATE(2026,1,31)) - MAX(Tabla10[[#This Row],[INICIO VINCULO]], DATE(2026,1,1)) + 1))</f>
        <v>31</v>
      </c>
      <c r="K166" s="339">
        <f>7.05806*Tabla10[[#This Row],[DIAS DE ALTA]]</f>
        <v>218.79986</v>
      </c>
      <c r="L166" s="339" t="str">
        <f>IFERROR(VLOOKUP(Tabla10[[#This Row],[COD]],Carro!B:D,3,FALSE),"")</f>
        <v/>
      </c>
      <c r="M166" s="339" t="str">
        <f>IFERROR(VLOOKUP(Tabla10[[#This Row],[COD]],'Outros descontos'!B:P,15,FALSE),"")</f>
        <v/>
      </c>
      <c r="N166" s="7">
        <f>(Tabla10[[#This Row],[HORAS TRABALHADAS]]*Tabla10[[#This Row],[TARIFA]]) - SUM(Tabla10[[#This Row],[ALOJAMENTO]], Tabla10[[#This Row],[IMPOSTO]], Tabla10[[#This Row],[CARRO]])</f>
        <v>2005.7001399999999</v>
      </c>
      <c r="O166" s="7"/>
      <c r="P166" s="339"/>
    </row>
    <row r="167" spans="2:16" ht="15" hidden="1" customHeight="1" x14ac:dyDescent="0.35">
      <c r="B167" s="160" t="s">
        <v>7000</v>
      </c>
      <c r="C167" s="1" t="str">
        <f>IF(D167="", "", INDEX(Colaboradores!A:A, MATCH(D167,Colaboradores!C:C, 0)))</f>
        <v>E0582</v>
      </c>
      <c r="D167" s="338" t="s">
        <v>6538</v>
      </c>
      <c r="E167" s="249">
        <v>46010</v>
      </c>
      <c r="F167" s="249"/>
      <c r="G167" s="160">
        <f>IFERROR(VLOOKUP(Tabla10[[#This Row],[COD]],'TotalHorasAjustadas (2)'!D:L,8,FALSE),"")</f>
        <v>174</v>
      </c>
      <c r="H167" s="339">
        <f>IFERROR(VLOOKUP(Tabla10[[#This Row],[COD]],Tabla15[],4,FALSE),"")</f>
        <v>15</v>
      </c>
      <c r="I167" s="339">
        <f>IFERROR(VLOOKUP(Tabla10[[#This Row],[COD]],Alojamentos!B:P,11,FALSE),"")</f>
        <v>300</v>
      </c>
      <c r="J167" s="160">
        <f>IF(ISBLANK(Tabla10[[#This Row],[INICIO VINCULO]]), 0, MAX(0, MIN(IF(ISBLANK(Tabla10[[#This Row],[FIM VINCULO]]), DATE(2026,1,31), Tabla10[[#This Row],[FIM VINCULO]]), DATE(2026,1,31)) - MAX(Tabla10[[#This Row],[INICIO VINCULO]], DATE(2026,1,1)) + 1))</f>
        <v>31</v>
      </c>
      <c r="K167" s="339">
        <f>7.05806*Tabla10[[#This Row],[DIAS DE ALTA]]</f>
        <v>218.79986</v>
      </c>
      <c r="L167" s="339" t="str">
        <f>IFERROR(VLOOKUP(Tabla10[[#This Row],[COD]],Carro!B:D,3,FALSE),"")</f>
        <v/>
      </c>
      <c r="M167" s="339" t="str">
        <f>IFERROR(VLOOKUP(Tabla10[[#This Row],[COD]],'Outros descontos'!B:P,15,FALSE),"")</f>
        <v/>
      </c>
      <c r="N167" s="7">
        <f>(Tabla10[[#This Row],[HORAS TRABALHADAS]]*Tabla10[[#This Row],[TARIFA]]) - SUM(Tabla10[[#This Row],[ALOJAMENTO]], Tabla10[[#This Row],[IMPOSTO]], Tabla10[[#This Row],[CARRO]])</f>
        <v>2091.2001399999999</v>
      </c>
      <c r="O167" s="7"/>
      <c r="P167" s="339"/>
    </row>
    <row r="168" spans="2:16" ht="15" hidden="1" customHeight="1" x14ac:dyDescent="0.35">
      <c r="B168" s="160" t="s">
        <v>7002</v>
      </c>
      <c r="C168" s="160" t="str">
        <f>IF(D168="", "", INDEX(Colaboradores!A:A, MATCH(D168,Colaboradores!C:C, 0)))</f>
        <v>E0092</v>
      </c>
      <c r="D168" s="338" t="s">
        <v>6558</v>
      </c>
      <c r="E168" s="249">
        <v>45931</v>
      </c>
      <c r="F168" s="249"/>
      <c r="G168" s="160">
        <f>IFERROR(VLOOKUP(Tabla10[[#This Row],[COD]],'TotalHorasAjustadas (2)'!D:L,8,FALSE),"")</f>
        <v>215</v>
      </c>
      <c r="H168" s="339">
        <f>IFERROR(VLOOKUP(Tabla10[[#This Row],[COD]],Tabla15[],4,FALSE),"")</f>
        <v>16</v>
      </c>
      <c r="I168" s="339">
        <f>IFERROR(VLOOKUP(Tabla10[[#This Row],[COD]],Alojamentos!B:P,11,FALSE),"")</f>
        <v>300</v>
      </c>
      <c r="J168" s="160">
        <f>IF(ISBLANK(Tabla10[[#This Row],[INICIO VINCULO]]), 0, MAX(0, MIN(IF(ISBLANK(Tabla10[[#This Row],[FIM VINCULO]]), DATE(2026,1,31), Tabla10[[#This Row],[FIM VINCULO]]), DATE(2026,1,31)) - MAX(Tabla10[[#This Row],[INICIO VINCULO]], DATE(2026,1,1)) + 1))</f>
        <v>31</v>
      </c>
      <c r="K168" s="339">
        <f>7.05806*Tabla10[[#This Row],[DIAS DE ALTA]]</f>
        <v>218.79986</v>
      </c>
      <c r="L168" s="339" t="str">
        <f>IFERROR(VLOOKUP(Tabla10[[#This Row],[COD]],Carro!B:D,3,FALSE),"")</f>
        <v/>
      </c>
      <c r="M168" s="339" t="str">
        <f>IFERROR(VLOOKUP(Tabla10[[#This Row],[COD]],'Outros descontos'!B:P,15,FALSE),"")</f>
        <v/>
      </c>
      <c r="N168" s="7">
        <f>(Tabla10[[#This Row],[HORAS TRABALHADAS]]*Tabla10[[#This Row],[TARIFA]]) - SUM(Tabla10[[#This Row],[ALOJAMENTO]], Tabla10[[#This Row],[IMPOSTO]], Tabla10[[#This Row],[CARRO]])</f>
        <v>2921.2001399999999</v>
      </c>
      <c r="O168" s="7"/>
      <c r="P168" s="339"/>
    </row>
    <row r="169" spans="2:16" ht="15" hidden="1" customHeight="1" x14ac:dyDescent="0.35">
      <c r="B169" s="160" t="s">
        <v>7002</v>
      </c>
      <c r="C169" s="160" t="str">
        <f>IF(D169="", "", INDEX(Colaboradores!A:A, MATCH(D169,Colaboradores!C:C, 0)))</f>
        <v>E0091</v>
      </c>
      <c r="D169" s="338" t="s">
        <v>6636</v>
      </c>
      <c r="E169" s="249">
        <v>45931</v>
      </c>
      <c r="F169" s="249"/>
      <c r="G169" s="160">
        <f>IFERROR(VLOOKUP(Tabla10[[#This Row],[COD]],'TotalHorasAjustadas (2)'!D:L,8,FALSE),"")</f>
        <v>227</v>
      </c>
      <c r="H169" s="339">
        <f>IFERROR(VLOOKUP(Tabla10[[#This Row],[COD]],Tabla15[],4,FALSE),"")</f>
        <v>17</v>
      </c>
      <c r="I169" s="339">
        <f>IFERROR(VLOOKUP(Tabla10[[#This Row],[COD]],Alojamentos!B:P,11,FALSE),"")</f>
        <v>300</v>
      </c>
      <c r="J169" s="160">
        <f>IF(ISBLANK(Tabla10[[#This Row],[INICIO VINCULO]]), 0, MAX(0, MIN(IF(ISBLANK(Tabla10[[#This Row],[FIM VINCULO]]), DATE(2026,1,31), Tabla10[[#This Row],[FIM VINCULO]]), DATE(2026,1,31)) - MAX(Tabla10[[#This Row],[INICIO VINCULO]], DATE(2026,1,1)) + 1))</f>
        <v>31</v>
      </c>
      <c r="K169" s="339">
        <f>7.05806*Tabla10[[#This Row],[DIAS DE ALTA]]</f>
        <v>218.79986</v>
      </c>
      <c r="L169" s="339" t="str">
        <f>IFERROR(VLOOKUP(Tabla10[[#This Row],[COD]],Carro!B:D,3,FALSE),"")</f>
        <v/>
      </c>
      <c r="M169" s="339" t="str">
        <f>IFERROR(VLOOKUP(Tabla10[[#This Row],[COD]],'Outros descontos'!B:P,15,FALSE),"")</f>
        <v/>
      </c>
      <c r="N169" s="7">
        <f>(Tabla10[[#This Row],[HORAS TRABALHADAS]]*Tabla10[[#This Row],[TARIFA]]) - SUM(Tabla10[[#This Row],[ALOJAMENTO]], Tabla10[[#This Row],[IMPOSTO]], Tabla10[[#This Row],[CARRO]])</f>
        <v>3340.2001399999999</v>
      </c>
      <c r="O169" s="7"/>
      <c r="P169" s="339"/>
    </row>
    <row r="170" spans="2:16" ht="15" hidden="1" customHeight="1" x14ac:dyDescent="0.35">
      <c r="B170" s="160" t="s">
        <v>7002</v>
      </c>
      <c r="C170" s="160" t="str">
        <f>IF(D170="", "", INDEX(Colaboradores!A:A, MATCH(D170,Colaboradores!C:C, 0)))</f>
        <v>E1939</v>
      </c>
      <c r="D170" s="338" t="s">
        <v>6644</v>
      </c>
      <c r="E170" s="249">
        <v>46041</v>
      </c>
      <c r="F170" s="249">
        <v>46041</v>
      </c>
      <c r="G170" s="348">
        <v>0</v>
      </c>
      <c r="H170" s="339">
        <v>15</v>
      </c>
      <c r="I170" s="339" t="str">
        <f>IFERROR(VLOOKUP(Tabla10[[#This Row],[COD]],Alojamentos!B:P,11,FALSE),"")</f>
        <v/>
      </c>
      <c r="J170" s="160">
        <f>IF(ISBLANK(Tabla10[[#This Row],[INICIO VINCULO]]), 0, MAX(0, MIN(IF(ISBLANK(Tabla10[[#This Row],[FIM VINCULO]]), DATE(2026,1,31), Tabla10[[#This Row],[FIM VINCULO]]), DATE(2026,1,31)) - MAX(Tabla10[[#This Row],[INICIO VINCULO]], DATE(2026,1,1)) + 1))</f>
        <v>1</v>
      </c>
      <c r="K170" s="339">
        <f>7.05806*Tabla10[[#This Row],[DIAS DE ALTA]]</f>
        <v>7.0580600000000002</v>
      </c>
      <c r="L170" s="339" t="str">
        <f>IFERROR(VLOOKUP(Tabla10[[#This Row],[COD]],Carro!B:D,3,FALSE),"")</f>
        <v/>
      </c>
      <c r="M170" s="339" t="str">
        <f>IFERROR(VLOOKUP(Tabla10[[#This Row],[COD]],'Outros descontos'!B:P,15,FALSE),"")</f>
        <v/>
      </c>
      <c r="N170" s="7">
        <v>0</v>
      </c>
      <c r="O170" s="7"/>
      <c r="P170" s="339"/>
    </row>
    <row r="171" spans="2:16" ht="15" customHeight="1" x14ac:dyDescent="0.35">
      <c r="B171" s="160" t="s">
        <v>7001</v>
      </c>
      <c r="C171" s="1" t="str">
        <f>IF(D171="", "", INDEX(Colaboradores!A:A, MATCH(D171,Colaboradores!C:C, 0)))</f>
        <v>E0266</v>
      </c>
      <c r="D171" s="338" t="s">
        <v>6700</v>
      </c>
      <c r="E171" s="249">
        <v>45762</v>
      </c>
      <c r="F171" s="249">
        <v>46052</v>
      </c>
      <c r="G171" s="160">
        <f>IFERROR(VLOOKUP(Tabla10[[#This Row],[COD]],'TotalHorasAjustadas (2)'!D:L,8,FALSE),"")</f>
        <v>5</v>
      </c>
      <c r="H171" s="339">
        <f>IFERROR(VLOOKUP(Tabla10[[#This Row],[COD]],Tabla15[],4,FALSE),"")</f>
        <v>17</v>
      </c>
      <c r="I171" s="339">
        <f>IFERROR(VLOOKUP(Tabla10[[#This Row],[COD]],Alojamentos!B:P,11,FALSE),"")</f>
        <v>300</v>
      </c>
      <c r="J171" s="160">
        <f>IF(ISBLANK(Tabla10[[#This Row],[INICIO VINCULO]]), 0, MAX(0, MIN(IF(ISBLANK(Tabla10[[#This Row],[FIM VINCULO]]), DATE(2026,1,31), Tabla10[[#This Row],[FIM VINCULO]]), DATE(2026,1,31)) - MAX(Tabla10[[#This Row],[INICIO VINCULO]], DATE(2026,1,1)) + 1))</f>
        <v>30</v>
      </c>
      <c r="K171" s="339">
        <f>7.05806*Tabla10[[#This Row],[DIAS DE ALTA]]</f>
        <v>211.74180000000001</v>
      </c>
      <c r="L171" s="339" t="str">
        <f>IFERROR(VLOOKUP(Tabla10[[#This Row],[COD]],Carro!B:D,3,FALSE),"")</f>
        <v/>
      </c>
      <c r="M171" s="339" t="str">
        <f>IFERROR(VLOOKUP(Tabla10[[#This Row],[COD]],'Outros descontos'!B:P,15,FALSE),"")</f>
        <v/>
      </c>
      <c r="N171" s="7">
        <f>(Tabla10[[#This Row],[HORAS TRABALHADAS]]*Tabla10[[#This Row],[TARIFA]]) - SUM(Tabla10[[#This Row],[ALOJAMENTO]], Tabla10[[#This Row],[IMPOSTO]], Tabla10[[#This Row],[CARRO]])</f>
        <v>-426.74180000000001</v>
      </c>
      <c r="O171" s="7"/>
      <c r="P171" s="339"/>
    </row>
    <row r="172" spans="2:16" ht="15" hidden="1" customHeight="1" x14ac:dyDescent="0.35">
      <c r="B172" s="160" t="s">
        <v>7000</v>
      </c>
      <c r="C172" s="1" t="str">
        <f>IF(D172="", "", INDEX(Colaboradores!A:A, MATCH(D172,Colaboradores!C:C, 0)))</f>
        <v>E2034</v>
      </c>
      <c r="D172" s="338" t="s">
        <v>6712</v>
      </c>
      <c r="E172" s="249">
        <v>45965</v>
      </c>
      <c r="F172" s="249"/>
      <c r="G172" s="160">
        <f>IFERROR(VLOOKUP(Tabla10[[#This Row],[COD]],'TotalHorasAjustadas (2)'!D:L,8,FALSE),"")</f>
        <v>300</v>
      </c>
      <c r="H172" s="339">
        <f>IFERROR(VLOOKUP(Tabla10[[#This Row],[COD]],Tabla15[],4,FALSE),"")</f>
        <v>15</v>
      </c>
      <c r="I172" s="339" t="str">
        <f>IFERROR(VLOOKUP(Tabla10[[#This Row],[COD]],Alojamentos!B:P,11,FALSE),"")</f>
        <v/>
      </c>
      <c r="J172" s="160">
        <f>IF(ISBLANK(Tabla10[[#This Row],[INICIO VINCULO]]), 0, MAX(0, MIN(IF(ISBLANK(Tabla10[[#This Row],[FIM VINCULO]]), DATE(2026,1,31), Tabla10[[#This Row],[FIM VINCULO]]), DATE(2026,1,31)) - MAX(Tabla10[[#This Row],[INICIO VINCULO]], DATE(2026,1,1)) + 1))</f>
        <v>31</v>
      </c>
      <c r="K172" s="339">
        <f>7.05806*Tabla10[[#This Row],[DIAS DE ALTA]]</f>
        <v>218.79986</v>
      </c>
      <c r="L172" s="339">
        <f>IFERROR(VLOOKUP(Tabla10[[#This Row],[COD]],Carro!B:D,3,FALSE),"")</f>
        <v>66.666666666666671</v>
      </c>
      <c r="M172" s="339" t="str">
        <f>IFERROR(VLOOKUP(Tabla10[[#This Row],[COD]],'Outros descontos'!B:P,15,FALSE),"")</f>
        <v/>
      </c>
      <c r="N172" s="7">
        <f>(Tabla10[[#This Row],[HORAS TRABALHADAS]]*Tabla10[[#This Row],[TARIFA]]) - SUM(Tabla10[[#This Row],[ALOJAMENTO]], Tabla10[[#This Row],[IMPOSTO]], Tabla10[[#This Row],[CARRO]],Tabla10[[#This Row],[OUTROS DEScontos]])</f>
        <v>4214.5334733333329</v>
      </c>
      <c r="O172" s="7"/>
      <c r="P172" s="339"/>
    </row>
    <row r="173" spans="2:16" ht="15" hidden="1" customHeight="1" x14ac:dyDescent="0.35">
      <c r="B173" s="160" t="s">
        <v>7000</v>
      </c>
      <c r="C173" s="1" t="str">
        <f>IF(D173="", "", INDEX(Colaboradores!A:A, MATCH(D173,Colaboradores!C:C, 0)))</f>
        <v>E0630</v>
      </c>
      <c r="D173" s="338" t="s">
        <v>6716</v>
      </c>
      <c r="E173" s="249">
        <v>46041</v>
      </c>
      <c r="F173" s="249"/>
      <c r="G173" s="160">
        <f>IFERROR(VLOOKUP(Tabla10[[#This Row],[COD]],'TotalHorasAjustadas (2)'!D:L,8,FALSE),"")</f>
        <v>96</v>
      </c>
      <c r="H173" s="339">
        <v>15</v>
      </c>
      <c r="I173" s="339" t="str">
        <f>IFERROR(VLOOKUP(Tabla10[[#This Row],[COD]],Alojamentos!B:P,11,FALSE),"")</f>
        <v/>
      </c>
      <c r="J173" s="160">
        <f>IF(ISBLANK(Tabla10[[#This Row],[INICIO VINCULO]]), 0, MAX(0, MIN(IF(ISBLANK(Tabla10[[#This Row],[FIM VINCULO]]), DATE(2026,1,31), Tabla10[[#This Row],[FIM VINCULO]]), DATE(2026,1,31)) - MAX(Tabla10[[#This Row],[INICIO VINCULO]], DATE(2026,1,1)) + 1))</f>
        <v>13</v>
      </c>
      <c r="K173" s="339">
        <f>7.05806*Tabla10[[#This Row],[DIAS DE ALTA]]</f>
        <v>91.754779999999997</v>
      </c>
      <c r="L173" s="339">
        <f>IFERROR(VLOOKUP(Tabla10[[#This Row],[COD]],Carro!B:D,3,FALSE),"")</f>
        <v>40</v>
      </c>
      <c r="M173" s="339">
        <f>IFERROR(VLOOKUP(Tabla10[[#This Row],[COD]],'Outros descontos'!B:P,15,FALSE),"")</f>
        <v>112.93</v>
      </c>
      <c r="N173" s="7">
        <f>(Tabla10[[#This Row],[HORAS TRABALHADAS]]*Tabla10[[#This Row],[TARIFA]]) - SUM(Tabla10[[#This Row],[ALOJAMENTO]], Tabla10[[#This Row],[IMPOSTO]], Tabla10[[#This Row],[CARRO]])</f>
        <v>1308.24522</v>
      </c>
      <c r="O173" s="7"/>
      <c r="P173" s="339"/>
    </row>
    <row r="174" spans="2:16" ht="15" hidden="1" customHeight="1" x14ac:dyDescent="0.35">
      <c r="B174" s="160" t="s">
        <v>6999</v>
      </c>
      <c r="C174" s="1" t="str">
        <f>IF(D174="", "", INDEX(Colaboradores!A:A, MATCH(D174,Colaboradores!C:C, 0)))</f>
        <v>E0111</v>
      </c>
      <c r="D174" s="338" t="s">
        <v>6786</v>
      </c>
      <c r="E174" s="249">
        <v>45686</v>
      </c>
      <c r="F174" s="249"/>
      <c r="G174" s="160">
        <f>IFERROR(VLOOKUP(Tabla10[[#This Row],[COD]],'TotalHorasAjustadas (2)'!D:L,8,FALSE),"")</f>
        <v>137</v>
      </c>
      <c r="H174" s="339">
        <f>IFERROR(VLOOKUP(Tabla10[[#This Row],[COD]],Tabla15[],4,FALSE),"")</f>
        <v>15</v>
      </c>
      <c r="I174" s="339" t="str">
        <f>IFERROR(VLOOKUP(Tabla10[[#This Row],[COD]],Alojamentos!B:P,11,FALSE),"")</f>
        <v/>
      </c>
      <c r="J174" s="160">
        <f>IF(ISBLANK(Tabla10[[#This Row],[INICIO VINCULO]]), 0, MAX(0, MIN(IF(ISBLANK(Tabla10[[#This Row],[FIM VINCULO]]), DATE(2026,1,31), Tabla10[[#This Row],[FIM VINCULO]]), DATE(2026,1,31)) - MAX(Tabla10[[#This Row],[INICIO VINCULO]], DATE(2026,1,1)) + 1))</f>
        <v>31</v>
      </c>
      <c r="K174" s="339">
        <f>7.05806*Tabla10[[#This Row],[DIAS DE ALTA]]</f>
        <v>218.79986</v>
      </c>
      <c r="L174" s="339">
        <f>IFERROR(VLOOKUP(Tabla10[[#This Row],[COD]],Carro!B:D,3,FALSE),"")</f>
        <v>89.523809523809518</v>
      </c>
      <c r="M174" s="339" t="str">
        <f>IFERROR(VLOOKUP(Tabla10[[#This Row],[COD]],'Outros descontos'!B:P,15,FALSE),"")</f>
        <v/>
      </c>
      <c r="N174" s="7">
        <f>(Tabla10[[#This Row],[HORAS TRABALHADAS]]*Tabla10[[#This Row],[TARIFA]]) - SUM(Tabla10[[#This Row],[ALOJAMENTO]], Tabla10[[#This Row],[IMPOSTO]], Tabla10[[#This Row],[CARRO]])</f>
        <v>1746.6763304761905</v>
      </c>
      <c r="O174" s="7"/>
      <c r="P174" s="339"/>
    </row>
    <row r="175" spans="2:16" ht="15" hidden="1" customHeight="1" x14ac:dyDescent="0.35">
      <c r="B175" s="160" t="s">
        <v>7000</v>
      </c>
      <c r="C175" s="347"/>
      <c r="D175" s="338" t="s">
        <v>7018</v>
      </c>
      <c r="E175" s="249">
        <v>45819</v>
      </c>
      <c r="F175" s="249"/>
      <c r="G175" s="348">
        <v>160</v>
      </c>
      <c r="H175" s="339">
        <v>0</v>
      </c>
      <c r="I175" s="339" t="str">
        <f>IFERROR(VLOOKUP(Tabla10[[#This Row],[COD]],Alojamentos!B:P,11,FALSE),"")</f>
        <v/>
      </c>
      <c r="J175" s="160">
        <f>IF(ISBLANK(Tabla10[[#This Row],[INICIO VINCULO]]), 0, MAX(0, MIN(IF(ISBLANK(Tabla10[[#This Row],[FIM VINCULO]]), DATE(2026,1,31), Tabla10[[#This Row],[FIM VINCULO]]), DATE(2026,1,31)) - MAX(Tabla10[[#This Row],[INICIO VINCULO]], DATE(2026,1,1)) + 1))</f>
        <v>31</v>
      </c>
      <c r="K175" s="339">
        <v>0</v>
      </c>
      <c r="L175" s="339" t="str">
        <f>IFERROR(VLOOKUP(Tabla10[[#This Row],[COD]],Carro!B:D,3,FALSE),"")</f>
        <v/>
      </c>
      <c r="M175" s="339" t="str">
        <f>IFERROR(VLOOKUP(Tabla10[[#This Row],[COD]],'Outros descontos'!B:P,15,FALSE),"")</f>
        <v/>
      </c>
      <c r="N175" s="7">
        <v>1250</v>
      </c>
      <c r="O175" s="7"/>
      <c r="P175" s="339"/>
    </row>
    <row r="176" spans="2:16" ht="15" hidden="1" customHeight="1" x14ac:dyDescent="0.35">
      <c r="B176" s="160" t="s">
        <v>6999</v>
      </c>
      <c r="C176" s="1" t="str">
        <f>IF(D176="", "", INDEX(Colaboradores!A:A, MATCH(D176,Colaboradores!C:C, 0)))</f>
        <v>E0230</v>
      </c>
      <c r="D176" s="338" t="s">
        <v>6819</v>
      </c>
      <c r="E176" s="249">
        <v>45762</v>
      </c>
      <c r="F176" s="249">
        <v>46052</v>
      </c>
      <c r="G176" s="160">
        <f>IFERROR(VLOOKUP(Tabla10[[#This Row],[COD]],'TotalHorasAjustadas (2)'!D:L,8,FALSE),"")</f>
        <v>144</v>
      </c>
      <c r="H176" s="339">
        <f>IFERROR(VLOOKUP(Tabla10[[#This Row],[COD]],Tabla15[],4,FALSE),"")</f>
        <v>14</v>
      </c>
      <c r="I176" s="339" t="str">
        <f>IFERROR(VLOOKUP(Tabla10[[#This Row],[COD]],Alojamentos!B:P,11,FALSE),"")</f>
        <v/>
      </c>
      <c r="J176" s="160">
        <f>IF(ISBLANK(Tabla10[[#This Row],[INICIO VINCULO]]), 0, MAX(0, MIN(IF(ISBLANK(Tabla10[[#This Row],[FIM VINCULO]]), DATE(2026,1,31), Tabla10[[#This Row],[FIM VINCULO]]), DATE(2026,1,31)) - MAX(Tabla10[[#This Row],[INICIO VINCULO]], DATE(2026,1,1)) + 1))</f>
        <v>30</v>
      </c>
      <c r="K176" s="339">
        <f>7.05806*Tabla10[[#This Row],[DIAS DE ALTA]]</f>
        <v>211.74180000000001</v>
      </c>
      <c r="L176" s="339" t="str">
        <f>IFERROR(VLOOKUP(Tabla10[[#This Row],[COD]],Carro!B:D,3,FALSE),"")</f>
        <v/>
      </c>
      <c r="M176" s="339" t="str">
        <f>IFERROR(VLOOKUP(Tabla10[[#This Row],[COD]],'Outros descontos'!B:P,15,FALSE),"")</f>
        <v/>
      </c>
      <c r="N176" s="7">
        <f>(Tabla10[[#This Row],[HORAS TRABALHADAS]]*Tabla10[[#This Row],[TARIFA]]) - SUM(Tabla10[[#This Row],[ALOJAMENTO]], Tabla10[[#This Row],[IMPOSTO]], Tabla10[[#This Row],[CARRO]])</f>
        <v>1804.2582</v>
      </c>
      <c r="O176" s="7"/>
      <c r="P176" s="339"/>
    </row>
    <row r="177" spans="2:16" ht="15" hidden="1" customHeight="1" x14ac:dyDescent="0.35">
      <c r="B177" s="160" t="s">
        <v>7000</v>
      </c>
      <c r="C177" s="1" t="str">
        <f>IF(D177="", "", INDEX(Colaboradores!A:A, MATCH(D177,Colaboradores!C:C, 0)))</f>
        <v>E0269</v>
      </c>
      <c r="D177" s="338" t="s">
        <v>6935</v>
      </c>
      <c r="E177" s="249">
        <v>45945</v>
      </c>
      <c r="F177" s="249"/>
      <c r="G177" s="160">
        <f>IFERROR(VLOOKUP(Tabla10[[#This Row],[COD]],'TotalHorasAjustadas (2)'!D:L,8,FALSE),"")</f>
        <v>145</v>
      </c>
      <c r="H177" s="339">
        <f>IFERROR(VLOOKUP(Tabla10[[#This Row],[COD]],Tabla15[],4,FALSE),"")</f>
        <v>17</v>
      </c>
      <c r="I177" s="339">
        <f>IFERROR(VLOOKUP(Tabla10[[#This Row],[COD]],Alojamentos!B:P,11,FALSE),"")</f>
        <v>300</v>
      </c>
      <c r="J177" s="160">
        <f>IF(ISBLANK(Tabla10[[#This Row],[INICIO VINCULO]]), 0, MAX(0, MIN(IF(ISBLANK(Tabla10[[#This Row],[FIM VINCULO]]), DATE(2026,1,31), Tabla10[[#This Row],[FIM VINCULO]]), DATE(2026,1,31)) - MAX(Tabla10[[#This Row],[INICIO VINCULO]], DATE(2026,1,1)) + 1))</f>
        <v>31</v>
      </c>
      <c r="K177" s="339">
        <f>7.05806*Tabla10[[#This Row],[DIAS DE ALTA]]</f>
        <v>218.79986</v>
      </c>
      <c r="L177" s="339" t="str">
        <f>IFERROR(VLOOKUP(Tabla10[[#This Row],[COD]],Carro!B:D,3,FALSE),"")</f>
        <v/>
      </c>
      <c r="M177" s="339" t="str">
        <f>IFERROR(VLOOKUP(Tabla10[[#This Row],[COD]],'Outros descontos'!B:P,15,FALSE),"")</f>
        <v/>
      </c>
      <c r="N177" s="7">
        <f>(Tabla10[[#This Row],[HORAS TRABALHADAS]]*Tabla10[[#This Row],[TARIFA]]) - SUM(Tabla10[[#This Row],[ALOJAMENTO]], Tabla10[[#This Row],[IMPOSTO]], Tabla10[[#This Row],[CARRO]])</f>
        <v>1946.2001399999999</v>
      </c>
      <c r="O177" s="7"/>
      <c r="P177" s="339"/>
    </row>
    <row r="178" spans="2:16" ht="15" hidden="1" customHeight="1" x14ac:dyDescent="0.35">
      <c r="B178" s="160" t="s">
        <v>7002</v>
      </c>
      <c r="C178" s="160" t="str">
        <f>IF(D178="", "", INDEX(Colaboradores!A:A, MATCH(D178,Colaboradores!C:C, 0)))</f>
        <v>E0405</v>
      </c>
      <c r="D178" s="338" t="s">
        <v>6952</v>
      </c>
      <c r="E178" s="249">
        <v>45987</v>
      </c>
      <c r="F178" s="249"/>
      <c r="G178" s="160">
        <f>IFERROR(VLOOKUP(Tabla10[[#This Row],[COD]],'TotalHorasAjustadas (2)'!D:L,8,FALSE),"")</f>
        <v>157</v>
      </c>
      <c r="H178" s="339">
        <f>IFERROR(VLOOKUP(Tabla10[[#This Row],[COD]],Tabla15[],4,FALSE),"")</f>
        <v>15</v>
      </c>
      <c r="I178" s="339" t="str">
        <f>IFERROR(VLOOKUP(Tabla10[[#This Row],[COD]],Alojamentos!B:P,11,FALSE),"")</f>
        <v/>
      </c>
      <c r="J178" s="160">
        <f>IF(ISBLANK(Tabla10[[#This Row],[INICIO VINCULO]]), 0, MAX(0, MIN(IF(ISBLANK(Tabla10[[#This Row],[FIM VINCULO]]), DATE(2026,1,31), Tabla10[[#This Row],[FIM VINCULO]]), DATE(2026,1,31)) - MAX(Tabla10[[#This Row],[INICIO VINCULO]], DATE(2026,1,1)) + 1))</f>
        <v>31</v>
      </c>
      <c r="K178" s="339">
        <f>7.05806*Tabla10[[#This Row],[DIAS DE ALTA]]</f>
        <v>218.79986</v>
      </c>
      <c r="L178" s="339">
        <f>IFERROR(VLOOKUP(Tabla10[[#This Row],[COD]],Carro!B:D,3,FALSE),"")</f>
        <v>106.66666666666667</v>
      </c>
      <c r="M178" s="339" t="str">
        <f>IFERROR(VLOOKUP(Tabla10[[#This Row],[COD]],'Outros descontos'!B:P,15,FALSE),"")</f>
        <v/>
      </c>
      <c r="N178" s="7">
        <f>(Tabla10[[#This Row],[HORAS TRABALHADAS]]*Tabla10[[#This Row],[TARIFA]]) - SUM(Tabla10[[#This Row],[ALOJAMENTO]], Tabla10[[#This Row],[IMPOSTO]], Tabla10[[#This Row],[CARRO]])</f>
        <v>2029.5334733333334</v>
      </c>
      <c r="O178" s="7"/>
      <c r="P178" s="339"/>
    </row>
  </sheetData>
  <mergeCells count="1">
    <mergeCell ref="D1:N1"/>
  </mergeCells>
  <phoneticPr fontId="11" type="noConversion"/>
  <conditionalFormatting sqref="D3:D178">
    <cfRule type="duplicateValues" dxfId="287" priority="22586"/>
  </conditionalFormatting>
  <printOptions horizontalCentered="1"/>
  <pageMargins left="0.25" right="0.25" top="0.75" bottom="0.75" header="0.3" footer="0.3"/>
  <pageSetup paperSize="9" scale="70" orientation="portrait" horizontalDpi="1200" verticalDpi="1200" r:id="rId1"/>
  <rowBreaks count="1" manualBreakCount="1">
    <brk id="36" min="3" max="13" man="1"/>
  </rowBreaks>
  <ignoredErrors>
    <ignoredError sqref="G178 N177:N178" calculatedColumn="1"/>
  </ignoredErrors>
  <drawing r:id="rId2"/>
  <legacyDrawing r:id="rId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C672B477-5E6D-4E7E-9E8C-AE171E08CADD}">
          <x14:formula1>
            <xm:f>Colaboradores!$C$2:$C$1996</xm:f>
          </x14:formula1>
          <xm:sqref>D3:D1048576</xm:sqref>
        </x14:dataValidation>
      </x14:dataValidations>
    </ext>
    <ext xmlns:x15="http://schemas.microsoft.com/office/spreadsheetml/2010/11/main" uri="{3A4CF648-6AED-40f4-86FF-DC5316D8AED3}">
      <x14:slicerList xmlns:x14="http://schemas.microsoft.com/office/spreadsheetml/2009/9/main">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CF119-0207-41E8-A5E9-5982D221A34C}">
  <dimension ref="A1:L379"/>
  <sheetViews>
    <sheetView workbookViewId="0">
      <selection activeCell="A68" sqref="A68"/>
    </sheetView>
  </sheetViews>
  <sheetFormatPr defaultColWidth="11.44140625" defaultRowHeight="14.4" x14ac:dyDescent="0.3"/>
  <cols>
    <col min="1" max="1" width="53.44140625" bestFit="1" customWidth="1"/>
    <col min="2" max="2" width="11.109375" bestFit="1" customWidth="1"/>
    <col min="3" max="3" width="56.33203125" bestFit="1" customWidth="1"/>
    <col min="4" max="4" width="13.33203125" bestFit="1" customWidth="1"/>
    <col min="5" max="5" width="43.5546875" bestFit="1" customWidth="1"/>
    <col min="6" max="6" width="13.5546875" bestFit="1" customWidth="1"/>
    <col min="7" max="7" width="13.88671875" bestFit="1" customWidth="1"/>
    <col min="8" max="8" width="16.109375" bestFit="1" customWidth="1"/>
    <col min="9" max="9" width="19.6640625" bestFit="1" customWidth="1"/>
    <col min="10" max="10" width="16.109375" bestFit="1" customWidth="1"/>
    <col min="11" max="11" width="22.6640625" bestFit="1" customWidth="1"/>
    <col min="12" max="12" width="12.109375" bestFit="1" customWidth="1"/>
  </cols>
  <sheetData>
    <row r="1" spans="1:12" x14ac:dyDescent="0.3">
      <c r="A1" t="s">
        <v>7019</v>
      </c>
      <c r="B1" t="s">
        <v>7020</v>
      </c>
      <c r="C1" t="s">
        <v>7021</v>
      </c>
      <c r="D1" t="s">
        <v>7022</v>
      </c>
      <c r="E1" t="s">
        <v>7023</v>
      </c>
      <c r="F1" t="s">
        <v>7024</v>
      </c>
      <c r="G1" t="s">
        <v>7025</v>
      </c>
      <c r="H1" t="s">
        <v>7026</v>
      </c>
      <c r="I1" t="s">
        <v>7027</v>
      </c>
      <c r="J1" t="s">
        <v>7028</v>
      </c>
      <c r="K1" t="s">
        <v>7029</v>
      </c>
      <c r="L1" t="s">
        <v>7030</v>
      </c>
    </row>
    <row r="2" spans="1:12" hidden="1" x14ac:dyDescent="0.3">
      <c r="A2" t="s">
        <v>7031</v>
      </c>
      <c r="B2" t="s">
        <v>7032</v>
      </c>
      <c r="C2" t="s">
        <v>7033</v>
      </c>
      <c r="D2" t="s">
        <v>3036</v>
      </c>
      <c r="E2" t="s">
        <v>7034</v>
      </c>
      <c r="F2" s="17">
        <v>46023</v>
      </c>
      <c r="G2">
        <v>216</v>
      </c>
      <c r="H2">
        <v>31</v>
      </c>
      <c r="I2">
        <v>0</v>
      </c>
      <c r="J2">
        <v>0</v>
      </c>
      <c r="K2">
        <v>216</v>
      </c>
      <c r="L2">
        <v>0</v>
      </c>
    </row>
    <row r="3" spans="1:12" hidden="1" x14ac:dyDescent="0.3">
      <c r="A3" t="s">
        <v>7031</v>
      </c>
      <c r="B3" t="s">
        <v>7032</v>
      </c>
      <c r="C3" t="s">
        <v>7035</v>
      </c>
      <c r="D3" t="s">
        <v>6948</v>
      </c>
      <c r="E3" t="s">
        <v>7036</v>
      </c>
      <c r="F3" s="17">
        <v>46023</v>
      </c>
      <c r="G3">
        <v>252</v>
      </c>
      <c r="H3">
        <v>31</v>
      </c>
      <c r="I3">
        <v>0</v>
      </c>
      <c r="J3">
        <v>0</v>
      </c>
      <c r="K3">
        <v>252</v>
      </c>
      <c r="L3">
        <v>0</v>
      </c>
    </row>
    <row r="4" spans="1:12" hidden="1" x14ac:dyDescent="0.3">
      <c r="A4" t="s">
        <v>7037</v>
      </c>
      <c r="B4" t="s">
        <v>7032</v>
      </c>
      <c r="C4" t="s">
        <v>7038</v>
      </c>
      <c r="D4" t="s">
        <v>5692</v>
      </c>
      <c r="E4" t="s">
        <v>5693</v>
      </c>
      <c r="F4" s="17">
        <v>46023</v>
      </c>
      <c r="G4">
        <v>208</v>
      </c>
      <c r="H4">
        <v>31</v>
      </c>
      <c r="I4">
        <v>0</v>
      </c>
      <c r="J4">
        <v>0</v>
      </c>
      <c r="K4">
        <v>208</v>
      </c>
      <c r="L4">
        <v>0</v>
      </c>
    </row>
    <row r="5" spans="1:12" hidden="1" x14ac:dyDescent="0.3">
      <c r="A5" t="s">
        <v>7037</v>
      </c>
      <c r="B5" t="s">
        <v>7032</v>
      </c>
      <c r="C5" t="s">
        <v>7035</v>
      </c>
      <c r="D5" t="s">
        <v>6459</v>
      </c>
      <c r="E5" t="s">
        <v>7039</v>
      </c>
      <c r="F5" s="17">
        <v>46023</v>
      </c>
      <c r="G5">
        <v>203</v>
      </c>
      <c r="H5">
        <v>31</v>
      </c>
      <c r="I5">
        <v>0</v>
      </c>
      <c r="J5">
        <v>0</v>
      </c>
      <c r="K5">
        <v>203</v>
      </c>
      <c r="L5">
        <v>0</v>
      </c>
    </row>
    <row r="6" spans="1:12" hidden="1" x14ac:dyDescent="0.3">
      <c r="A6" t="s">
        <v>7037</v>
      </c>
      <c r="B6" t="s">
        <v>7032</v>
      </c>
      <c r="C6" t="s">
        <v>7035</v>
      </c>
      <c r="D6" t="s">
        <v>4178</v>
      </c>
      <c r="E6" t="s">
        <v>7040</v>
      </c>
      <c r="F6" s="17">
        <v>46023</v>
      </c>
      <c r="G6">
        <v>173</v>
      </c>
      <c r="H6">
        <v>31</v>
      </c>
      <c r="I6">
        <v>0</v>
      </c>
      <c r="J6">
        <v>0</v>
      </c>
      <c r="K6">
        <v>173</v>
      </c>
      <c r="L6">
        <v>0</v>
      </c>
    </row>
    <row r="7" spans="1:12" hidden="1" x14ac:dyDescent="0.3">
      <c r="A7" t="s">
        <v>7041</v>
      </c>
      <c r="B7" t="s">
        <v>7032</v>
      </c>
      <c r="C7" t="s">
        <v>7035</v>
      </c>
      <c r="D7" t="s">
        <v>4972</v>
      </c>
      <c r="E7" t="s">
        <v>4973</v>
      </c>
      <c r="F7" s="17">
        <v>46023</v>
      </c>
      <c r="G7">
        <v>48</v>
      </c>
      <c r="H7">
        <v>31</v>
      </c>
      <c r="I7">
        <v>8</v>
      </c>
      <c r="J7">
        <v>2</v>
      </c>
      <c r="K7">
        <v>42</v>
      </c>
      <c r="L7">
        <v>-6</v>
      </c>
    </row>
    <row r="8" spans="1:12" hidden="1" x14ac:dyDescent="0.3">
      <c r="A8" t="s">
        <v>7042</v>
      </c>
      <c r="B8" t="s">
        <v>7032</v>
      </c>
      <c r="C8" t="s">
        <v>7035</v>
      </c>
      <c r="D8" t="s">
        <v>1217</v>
      </c>
      <c r="E8" t="s">
        <v>1218</v>
      </c>
      <c r="F8" s="17">
        <v>46023</v>
      </c>
      <c r="G8">
        <v>191.25</v>
      </c>
      <c r="H8">
        <v>31</v>
      </c>
      <c r="I8">
        <v>0</v>
      </c>
      <c r="J8">
        <v>0</v>
      </c>
      <c r="K8">
        <v>191.25</v>
      </c>
      <c r="L8">
        <v>0</v>
      </c>
    </row>
    <row r="9" spans="1:12" hidden="1" x14ac:dyDescent="0.3">
      <c r="A9" t="s">
        <v>7042</v>
      </c>
      <c r="B9" t="s">
        <v>7032</v>
      </c>
      <c r="C9" t="s">
        <v>7035</v>
      </c>
      <c r="D9" t="s">
        <v>3658</v>
      </c>
      <c r="E9" t="s">
        <v>3659</v>
      </c>
      <c r="F9" s="17">
        <v>46023</v>
      </c>
      <c r="G9">
        <v>179</v>
      </c>
      <c r="H9">
        <v>31</v>
      </c>
      <c r="I9">
        <v>0</v>
      </c>
      <c r="J9">
        <v>0</v>
      </c>
      <c r="K9">
        <v>179</v>
      </c>
      <c r="L9">
        <v>0</v>
      </c>
    </row>
    <row r="10" spans="1:12" hidden="1" x14ac:dyDescent="0.3">
      <c r="A10" t="s">
        <v>7043</v>
      </c>
      <c r="B10" t="s">
        <v>7032</v>
      </c>
      <c r="C10" t="s">
        <v>7035</v>
      </c>
      <c r="D10" t="s">
        <v>7044</v>
      </c>
      <c r="E10" t="s">
        <v>7045</v>
      </c>
      <c r="F10" s="17">
        <v>46023</v>
      </c>
      <c r="G10">
        <v>142</v>
      </c>
      <c r="H10">
        <v>31</v>
      </c>
      <c r="I10">
        <v>0</v>
      </c>
      <c r="J10">
        <v>0</v>
      </c>
      <c r="K10">
        <v>142</v>
      </c>
      <c r="L10">
        <v>0</v>
      </c>
    </row>
    <row r="11" spans="1:12" hidden="1" x14ac:dyDescent="0.3">
      <c r="A11" t="s">
        <v>7043</v>
      </c>
      <c r="B11" t="s">
        <v>7032</v>
      </c>
      <c r="C11" t="s">
        <v>7035</v>
      </c>
      <c r="D11" t="s">
        <v>1779</v>
      </c>
      <c r="E11" t="s">
        <v>7046</v>
      </c>
      <c r="F11" s="17">
        <v>46023</v>
      </c>
      <c r="G11">
        <v>132</v>
      </c>
      <c r="H11">
        <v>31</v>
      </c>
      <c r="I11">
        <v>0</v>
      </c>
      <c r="J11">
        <v>0</v>
      </c>
      <c r="K11">
        <v>132</v>
      </c>
      <c r="L11">
        <v>0</v>
      </c>
    </row>
    <row r="12" spans="1:12" hidden="1" x14ac:dyDescent="0.3">
      <c r="A12" t="s">
        <v>7043</v>
      </c>
      <c r="B12" t="s">
        <v>7032</v>
      </c>
      <c r="C12" t="s">
        <v>7035</v>
      </c>
      <c r="D12" t="s">
        <v>1984</v>
      </c>
      <c r="E12" t="s">
        <v>7047</v>
      </c>
      <c r="F12" s="17">
        <v>46023</v>
      </c>
      <c r="G12">
        <v>136</v>
      </c>
      <c r="H12">
        <v>31</v>
      </c>
      <c r="I12">
        <v>0</v>
      </c>
      <c r="J12">
        <v>0</v>
      </c>
      <c r="K12">
        <v>136</v>
      </c>
      <c r="L12">
        <v>0</v>
      </c>
    </row>
    <row r="13" spans="1:12" hidden="1" x14ac:dyDescent="0.3">
      <c r="A13" t="s">
        <v>7048</v>
      </c>
      <c r="B13" t="s">
        <v>7032</v>
      </c>
      <c r="C13" t="s">
        <v>7035</v>
      </c>
      <c r="D13" t="s">
        <v>1118</v>
      </c>
      <c r="E13" t="s">
        <v>7049</v>
      </c>
      <c r="F13" s="17">
        <v>46023</v>
      </c>
      <c r="G13">
        <v>142</v>
      </c>
      <c r="H13">
        <v>31</v>
      </c>
      <c r="I13">
        <v>0</v>
      </c>
      <c r="J13">
        <v>0</v>
      </c>
      <c r="K13">
        <v>142</v>
      </c>
      <c r="L13">
        <v>0</v>
      </c>
    </row>
    <row r="14" spans="1:12" hidden="1" x14ac:dyDescent="0.3">
      <c r="A14" t="s">
        <v>7048</v>
      </c>
      <c r="B14" t="s">
        <v>7032</v>
      </c>
      <c r="C14" t="s">
        <v>7035</v>
      </c>
      <c r="D14" t="s">
        <v>1938</v>
      </c>
      <c r="E14" t="s">
        <v>7050</v>
      </c>
      <c r="F14" s="17">
        <v>46023</v>
      </c>
      <c r="G14">
        <v>142</v>
      </c>
      <c r="H14">
        <v>31</v>
      </c>
      <c r="I14">
        <v>0</v>
      </c>
      <c r="J14">
        <v>0</v>
      </c>
      <c r="K14">
        <v>142</v>
      </c>
      <c r="L14">
        <v>0</v>
      </c>
    </row>
    <row r="15" spans="1:12" hidden="1" x14ac:dyDescent="0.3">
      <c r="A15" t="s">
        <v>7048</v>
      </c>
      <c r="B15" t="s">
        <v>7032</v>
      </c>
      <c r="D15" t="s">
        <v>3370</v>
      </c>
      <c r="E15" t="s">
        <v>3371</v>
      </c>
      <c r="F15" s="17">
        <v>46023</v>
      </c>
      <c r="G15">
        <v>142</v>
      </c>
      <c r="H15">
        <v>31</v>
      </c>
      <c r="I15">
        <v>0</v>
      </c>
      <c r="J15">
        <v>0</v>
      </c>
      <c r="K15">
        <v>142</v>
      </c>
      <c r="L15">
        <v>0</v>
      </c>
    </row>
    <row r="16" spans="1:12" hidden="1" x14ac:dyDescent="0.3">
      <c r="A16" t="s">
        <v>7048</v>
      </c>
      <c r="B16" t="s">
        <v>7032</v>
      </c>
      <c r="C16" t="s">
        <v>7051</v>
      </c>
      <c r="D16" t="s">
        <v>6586</v>
      </c>
      <c r="E16" t="s">
        <v>6587</v>
      </c>
      <c r="F16" s="17">
        <v>46023</v>
      </c>
      <c r="G16">
        <v>133</v>
      </c>
      <c r="H16">
        <v>31</v>
      </c>
      <c r="I16">
        <v>0</v>
      </c>
      <c r="J16">
        <v>0</v>
      </c>
      <c r="K16">
        <v>133</v>
      </c>
      <c r="L16">
        <v>0</v>
      </c>
    </row>
    <row r="17" spans="1:12" hidden="1" x14ac:dyDescent="0.3">
      <c r="A17" t="s">
        <v>7052</v>
      </c>
      <c r="B17" t="s">
        <v>7032</v>
      </c>
      <c r="C17" t="s">
        <v>7035</v>
      </c>
      <c r="D17" t="s">
        <v>3262</v>
      </c>
      <c r="E17" t="s">
        <v>7053</v>
      </c>
      <c r="F17" s="17">
        <v>46023</v>
      </c>
      <c r="G17">
        <v>354</v>
      </c>
      <c r="H17">
        <v>62</v>
      </c>
      <c r="I17">
        <v>0</v>
      </c>
      <c r="J17">
        <v>0</v>
      </c>
      <c r="K17">
        <v>354</v>
      </c>
      <c r="L17">
        <v>0</v>
      </c>
    </row>
    <row r="18" spans="1:12" hidden="1" x14ac:dyDescent="0.3">
      <c r="A18" t="s">
        <v>7054</v>
      </c>
      <c r="B18" t="s">
        <v>7032</v>
      </c>
      <c r="C18" t="s">
        <v>7055</v>
      </c>
      <c r="D18" t="s">
        <v>304</v>
      </c>
      <c r="E18" t="s">
        <v>7056</v>
      </c>
      <c r="F18" s="17">
        <v>46023</v>
      </c>
      <c r="G18">
        <v>144</v>
      </c>
      <c r="H18">
        <v>31</v>
      </c>
      <c r="I18">
        <v>0</v>
      </c>
      <c r="J18">
        <v>0</v>
      </c>
      <c r="K18">
        <v>144</v>
      </c>
      <c r="L18">
        <v>0</v>
      </c>
    </row>
    <row r="19" spans="1:12" hidden="1" x14ac:dyDescent="0.3">
      <c r="A19" t="s">
        <v>7054</v>
      </c>
      <c r="B19" t="s">
        <v>7032</v>
      </c>
      <c r="C19" t="s">
        <v>7055</v>
      </c>
      <c r="D19" t="s">
        <v>743</v>
      </c>
      <c r="E19" t="s">
        <v>7057</v>
      </c>
      <c r="F19" s="17">
        <v>46023</v>
      </c>
      <c r="G19">
        <v>225</v>
      </c>
      <c r="H19">
        <v>31</v>
      </c>
      <c r="I19">
        <v>0</v>
      </c>
      <c r="J19">
        <v>0</v>
      </c>
      <c r="K19">
        <v>225</v>
      </c>
      <c r="L19">
        <v>0</v>
      </c>
    </row>
    <row r="20" spans="1:12" hidden="1" x14ac:dyDescent="0.3">
      <c r="A20" t="s">
        <v>7054</v>
      </c>
      <c r="B20" t="s">
        <v>7032</v>
      </c>
      <c r="C20" t="s">
        <v>7058</v>
      </c>
      <c r="D20" t="s">
        <v>703</v>
      </c>
      <c r="E20" t="s">
        <v>704</v>
      </c>
      <c r="F20" s="17">
        <v>46023</v>
      </c>
      <c r="G20">
        <v>161</v>
      </c>
      <c r="H20">
        <v>31</v>
      </c>
      <c r="I20">
        <v>0</v>
      </c>
      <c r="J20">
        <v>0</v>
      </c>
      <c r="K20">
        <v>161</v>
      </c>
      <c r="L20">
        <v>0</v>
      </c>
    </row>
    <row r="21" spans="1:12" hidden="1" x14ac:dyDescent="0.3">
      <c r="A21" t="s">
        <v>7054</v>
      </c>
      <c r="B21" t="s">
        <v>7032</v>
      </c>
      <c r="C21" t="s">
        <v>7035</v>
      </c>
      <c r="D21" t="s">
        <v>1506</v>
      </c>
      <c r="E21" t="s">
        <v>7059</v>
      </c>
      <c r="F21" s="17">
        <v>46023</v>
      </c>
      <c r="G21">
        <v>215</v>
      </c>
      <c r="H21">
        <v>31</v>
      </c>
      <c r="I21">
        <v>16</v>
      </c>
      <c r="J21">
        <v>0</v>
      </c>
      <c r="K21">
        <v>199</v>
      </c>
      <c r="L21">
        <v>-16</v>
      </c>
    </row>
    <row r="22" spans="1:12" hidden="1" x14ac:dyDescent="0.3">
      <c r="A22" t="s">
        <v>7054</v>
      </c>
      <c r="B22" t="s">
        <v>7032</v>
      </c>
      <c r="C22" t="s">
        <v>7035</v>
      </c>
      <c r="D22" t="s">
        <v>2454</v>
      </c>
      <c r="E22" t="s">
        <v>7060</v>
      </c>
      <c r="F22" s="17">
        <v>46023</v>
      </c>
      <c r="G22">
        <v>215</v>
      </c>
      <c r="H22">
        <v>31</v>
      </c>
      <c r="I22">
        <v>0</v>
      </c>
      <c r="J22">
        <v>10</v>
      </c>
      <c r="K22">
        <v>225</v>
      </c>
      <c r="L22">
        <v>10</v>
      </c>
    </row>
    <row r="23" spans="1:12" hidden="1" x14ac:dyDescent="0.3">
      <c r="A23" t="s">
        <v>7054</v>
      </c>
      <c r="B23" t="s">
        <v>7032</v>
      </c>
      <c r="C23" t="s">
        <v>7058</v>
      </c>
      <c r="D23" t="s">
        <v>2723</v>
      </c>
      <c r="E23" t="s">
        <v>7061</v>
      </c>
      <c r="F23" s="17">
        <v>46023</v>
      </c>
      <c r="G23">
        <v>146</v>
      </c>
      <c r="H23">
        <v>31</v>
      </c>
      <c r="I23">
        <v>0</v>
      </c>
      <c r="J23">
        <v>0</v>
      </c>
      <c r="K23">
        <v>146</v>
      </c>
      <c r="L23">
        <v>0</v>
      </c>
    </row>
    <row r="24" spans="1:12" hidden="1" x14ac:dyDescent="0.3">
      <c r="A24" t="s">
        <v>7054</v>
      </c>
      <c r="B24" t="s">
        <v>7032</v>
      </c>
      <c r="C24" t="s">
        <v>7035</v>
      </c>
      <c r="D24" t="s">
        <v>3509</v>
      </c>
      <c r="E24" t="s">
        <v>3510</v>
      </c>
      <c r="F24" s="17">
        <v>46023</v>
      </c>
      <c r="G24">
        <v>199</v>
      </c>
      <c r="H24">
        <v>31</v>
      </c>
      <c r="I24">
        <v>0</v>
      </c>
      <c r="J24">
        <v>0</v>
      </c>
      <c r="K24">
        <v>199</v>
      </c>
      <c r="L24">
        <v>0</v>
      </c>
    </row>
    <row r="25" spans="1:12" hidden="1" x14ac:dyDescent="0.3">
      <c r="A25" t="s">
        <v>7054</v>
      </c>
      <c r="B25" t="s">
        <v>7032</v>
      </c>
      <c r="C25" t="s">
        <v>7055</v>
      </c>
      <c r="D25" t="s">
        <v>3687</v>
      </c>
      <c r="E25" t="s">
        <v>7062</v>
      </c>
      <c r="F25" s="17">
        <v>46023</v>
      </c>
      <c r="G25">
        <v>199</v>
      </c>
      <c r="H25">
        <v>31</v>
      </c>
      <c r="I25">
        <v>10</v>
      </c>
      <c r="J25">
        <v>7</v>
      </c>
      <c r="K25">
        <v>196</v>
      </c>
      <c r="L25">
        <v>-3</v>
      </c>
    </row>
    <row r="26" spans="1:12" hidden="1" x14ac:dyDescent="0.3">
      <c r="A26" t="s">
        <v>7054</v>
      </c>
      <c r="B26" t="s">
        <v>7032</v>
      </c>
      <c r="C26" t="s">
        <v>7035</v>
      </c>
      <c r="D26" t="s">
        <v>3725</v>
      </c>
      <c r="E26" t="s">
        <v>3726</v>
      </c>
      <c r="F26" s="17">
        <v>46023</v>
      </c>
      <c r="G26">
        <v>199</v>
      </c>
      <c r="H26">
        <v>31</v>
      </c>
      <c r="I26">
        <v>0</v>
      </c>
      <c r="J26">
        <v>0</v>
      </c>
      <c r="K26">
        <v>199</v>
      </c>
      <c r="L26">
        <v>0</v>
      </c>
    </row>
    <row r="27" spans="1:12" hidden="1" x14ac:dyDescent="0.3">
      <c r="A27" t="s">
        <v>7054</v>
      </c>
      <c r="B27" t="s">
        <v>7032</v>
      </c>
      <c r="C27" t="s">
        <v>7055</v>
      </c>
      <c r="D27" t="s">
        <v>3958</v>
      </c>
      <c r="E27" t="s">
        <v>7063</v>
      </c>
      <c r="F27" s="17">
        <v>46023</v>
      </c>
      <c r="G27">
        <v>162</v>
      </c>
      <c r="H27">
        <v>31</v>
      </c>
      <c r="I27">
        <v>0</v>
      </c>
      <c r="J27">
        <v>0</v>
      </c>
      <c r="K27">
        <v>162</v>
      </c>
      <c r="L27">
        <v>0</v>
      </c>
    </row>
    <row r="28" spans="1:12" hidden="1" x14ac:dyDescent="0.3">
      <c r="A28" t="s">
        <v>7054</v>
      </c>
      <c r="B28" t="s">
        <v>7032</v>
      </c>
      <c r="C28" t="s">
        <v>7058</v>
      </c>
      <c r="D28" t="s">
        <v>5434</v>
      </c>
      <c r="E28" t="s">
        <v>5435</v>
      </c>
      <c r="F28" s="17">
        <v>46023</v>
      </c>
      <c r="G28">
        <v>147</v>
      </c>
      <c r="H28">
        <v>31</v>
      </c>
      <c r="I28">
        <v>0</v>
      </c>
      <c r="J28">
        <v>0</v>
      </c>
      <c r="K28">
        <v>147</v>
      </c>
      <c r="L28">
        <v>0</v>
      </c>
    </row>
    <row r="29" spans="1:12" hidden="1" x14ac:dyDescent="0.3">
      <c r="A29" t="s">
        <v>7054</v>
      </c>
      <c r="B29" t="s">
        <v>7032</v>
      </c>
      <c r="D29" t="s">
        <v>5941</v>
      </c>
      <c r="E29" t="s">
        <v>7064</v>
      </c>
      <c r="F29" s="17">
        <v>46023</v>
      </c>
      <c r="G29">
        <v>199</v>
      </c>
      <c r="H29">
        <v>31</v>
      </c>
      <c r="I29">
        <v>0</v>
      </c>
      <c r="J29">
        <v>0</v>
      </c>
      <c r="K29">
        <v>199</v>
      </c>
      <c r="L29">
        <v>0</v>
      </c>
    </row>
    <row r="30" spans="1:12" hidden="1" x14ac:dyDescent="0.3">
      <c r="A30" t="s">
        <v>7054</v>
      </c>
      <c r="B30" t="s">
        <v>7032</v>
      </c>
      <c r="C30" t="s">
        <v>7055</v>
      </c>
      <c r="D30" t="s">
        <v>6114</v>
      </c>
      <c r="E30" t="s">
        <v>6115</v>
      </c>
      <c r="F30" s="17">
        <v>46023</v>
      </c>
      <c r="G30">
        <v>180</v>
      </c>
      <c r="H30">
        <v>31</v>
      </c>
      <c r="I30">
        <v>0</v>
      </c>
      <c r="J30">
        <v>0</v>
      </c>
      <c r="K30">
        <v>180</v>
      </c>
      <c r="L30">
        <v>0</v>
      </c>
    </row>
    <row r="31" spans="1:12" hidden="1" x14ac:dyDescent="0.3">
      <c r="A31" t="s">
        <v>7054</v>
      </c>
      <c r="B31" t="s">
        <v>7032</v>
      </c>
      <c r="C31" t="s">
        <v>7055</v>
      </c>
      <c r="D31" t="s">
        <v>6124</v>
      </c>
      <c r="E31" t="s">
        <v>7065</v>
      </c>
      <c r="F31" s="17">
        <v>46023</v>
      </c>
      <c r="G31">
        <v>199</v>
      </c>
      <c r="H31">
        <v>31</v>
      </c>
      <c r="I31">
        <v>0</v>
      </c>
      <c r="J31">
        <v>0</v>
      </c>
      <c r="K31">
        <v>199</v>
      </c>
      <c r="L31">
        <v>0</v>
      </c>
    </row>
    <row r="32" spans="1:12" hidden="1" x14ac:dyDescent="0.3">
      <c r="A32" t="s">
        <v>7054</v>
      </c>
      <c r="B32" t="s">
        <v>7032</v>
      </c>
      <c r="C32" t="s">
        <v>7066</v>
      </c>
      <c r="D32" t="s">
        <v>1488</v>
      </c>
      <c r="E32" t="s">
        <v>7067</v>
      </c>
      <c r="F32" s="17">
        <v>46023</v>
      </c>
      <c r="G32">
        <v>225</v>
      </c>
      <c r="H32">
        <v>31</v>
      </c>
      <c r="I32">
        <v>0</v>
      </c>
      <c r="J32">
        <v>0</v>
      </c>
      <c r="K32">
        <v>225</v>
      </c>
      <c r="L32">
        <v>0</v>
      </c>
    </row>
    <row r="33" spans="1:12" hidden="1" x14ac:dyDescent="0.3">
      <c r="A33" t="s">
        <v>7054</v>
      </c>
      <c r="B33" t="s">
        <v>7032</v>
      </c>
      <c r="C33" t="s">
        <v>7035</v>
      </c>
      <c r="D33" t="s">
        <v>6744</v>
      </c>
      <c r="E33" t="s">
        <v>7068</v>
      </c>
      <c r="F33" s="17">
        <v>46023</v>
      </c>
      <c r="G33">
        <v>188</v>
      </c>
      <c r="H33">
        <v>31</v>
      </c>
      <c r="I33">
        <v>0</v>
      </c>
      <c r="J33">
        <v>0</v>
      </c>
      <c r="K33">
        <v>188</v>
      </c>
      <c r="L33">
        <v>0</v>
      </c>
    </row>
    <row r="34" spans="1:12" hidden="1" x14ac:dyDescent="0.3">
      <c r="A34" t="s">
        <v>7054</v>
      </c>
      <c r="B34" t="s">
        <v>7032</v>
      </c>
      <c r="C34" t="s">
        <v>7055</v>
      </c>
      <c r="D34" t="s">
        <v>6807</v>
      </c>
      <c r="E34" t="s">
        <v>6808</v>
      </c>
      <c r="F34" s="17">
        <v>46023</v>
      </c>
      <c r="G34">
        <v>235</v>
      </c>
      <c r="H34">
        <v>31</v>
      </c>
      <c r="I34">
        <v>10</v>
      </c>
      <c r="J34">
        <v>0</v>
      </c>
      <c r="K34">
        <v>225</v>
      </c>
      <c r="L34">
        <v>-10</v>
      </c>
    </row>
    <row r="35" spans="1:12" hidden="1" x14ac:dyDescent="0.3">
      <c r="A35" t="s">
        <v>7054</v>
      </c>
      <c r="B35" t="s">
        <v>7032</v>
      </c>
      <c r="C35" t="s">
        <v>7055</v>
      </c>
      <c r="D35" t="s">
        <v>6893</v>
      </c>
      <c r="E35" t="s">
        <v>7069</v>
      </c>
      <c r="F35" s="17">
        <v>46023</v>
      </c>
      <c r="G35">
        <v>144</v>
      </c>
      <c r="H35">
        <v>31</v>
      </c>
      <c r="I35">
        <v>0</v>
      </c>
      <c r="J35">
        <v>0</v>
      </c>
      <c r="K35">
        <v>144</v>
      </c>
      <c r="L35">
        <v>0</v>
      </c>
    </row>
    <row r="36" spans="1:12" hidden="1" x14ac:dyDescent="0.3">
      <c r="A36" t="s">
        <v>7070</v>
      </c>
      <c r="B36" t="s">
        <v>7032</v>
      </c>
      <c r="C36" t="s">
        <v>7035</v>
      </c>
      <c r="D36" t="s">
        <v>1516</v>
      </c>
      <c r="E36" t="s">
        <v>7071</v>
      </c>
      <c r="F36" s="17">
        <v>46023</v>
      </c>
      <c r="G36">
        <v>227</v>
      </c>
      <c r="H36">
        <v>31</v>
      </c>
      <c r="I36">
        <v>0</v>
      </c>
      <c r="J36">
        <v>0</v>
      </c>
      <c r="K36">
        <v>227</v>
      </c>
      <c r="L36">
        <v>0</v>
      </c>
    </row>
    <row r="37" spans="1:12" hidden="1" x14ac:dyDescent="0.3">
      <c r="A37" t="s">
        <v>7070</v>
      </c>
      <c r="B37" t="s">
        <v>7032</v>
      </c>
      <c r="C37" t="s">
        <v>7035</v>
      </c>
      <c r="D37" t="s">
        <v>2273</v>
      </c>
      <c r="E37" t="s">
        <v>2274</v>
      </c>
      <c r="F37" s="17">
        <v>46023</v>
      </c>
      <c r="G37">
        <v>248</v>
      </c>
      <c r="H37">
        <v>31</v>
      </c>
      <c r="I37">
        <v>0</v>
      </c>
      <c r="J37">
        <v>0</v>
      </c>
      <c r="K37">
        <v>248</v>
      </c>
      <c r="L37">
        <v>0</v>
      </c>
    </row>
    <row r="38" spans="1:12" hidden="1" x14ac:dyDescent="0.3">
      <c r="A38" t="s">
        <v>7070</v>
      </c>
      <c r="B38" t="s">
        <v>7032</v>
      </c>
      <c r="C38" t="s">
        <v>7035</v>
      </c>
      <c r="D38" t="s">
        <v>2621</v>
      </c>
      <c r="E38" t="s">
        <v>2622</v>
      </c>
      <c r="F38" s="17">
        <v>46023</v>
      </c>
      <c r="G38">
        <v>252</v>
      </c>
      <c r="H38">
        <v>31</v>
      </c>
      <c r="I38">
        <v>0</v>
      </c>
      <c r="J38">
        <v>0</v>
      </c>
      <c r="K38">
        <v>252</v>
      </c>
      <c r="L38">
        <v>0</v>
      </c>
    </row>
    <row r="39" spans="1:12" hidden="1" x14ac:dyDescent="0.3">
      <c r="A39" t="s">
        <v>7070</v>
      </c>
      <c r="B39" t="s">
        <v>7032</v>
      </c>
      <c r="C39" t="s">
        <v>7035</v>
      </c>
      <c r="D39" t="s">
        <v>2866</v>
      </c>
      <c r="E39" t="s">
        <v>2867</v>
      </c>
      <c r="F39" s="17">
        <v>46023</v>
      </c>
      <c r="G39">
        <v>276</v>
      </c>
      <c r="H39">
        <v>31</v>
      </c>
      <c r="I39">
        <v>0</v>
      </c>
      <c r="J39">
        <v>0</v>
      </c>
      <c r="K39">
        <v>276</v>
      </c>
      <c r="L39">
        <v>0</v>
      </c>
    </row>
    <row r="40" spans="1:12" hidden="1" x14ac:dyDescent="0.3">
      <c r="A40" t="s">
        <v>7070</v>
      </c>
      <c r="B40" t="s">
        <v>7032</v>
      </c>
      <c r="D40" t="s">
        <v>3419</v>
      </c>
      <c r="E40" t="s">
        <v>3420</v>
      </c>
      <c r="F40" s="17">
        <v>46023</v>
      </c>
      <c r="G40">
        <v>307</v>
      </c>
      <c r="H40">
        <v>31</v>
      </c>
      <c r="I40">
        <v>0</v>
      </c>
      <c r="J40">
        <v>0</v>
      </c>
      <c r="K40">
        <v>307</v>
      </c>
      <c r="L40">
        <v>0</v>
      </c>
    </row>
    <row r="41" spans="1:12" hidden="1" x14ac:dyDescent="0.3">
      <c r="A41" t="s">
        <v>7072</v>
      </c>
      <c r="B41" t="s">
        <v>7032</v>
      </c>
      <c r="C41" t="s">
        <v>7035</v>
      </c>
      <c r="D41" t="s">
        <v>696</v>
      </c>
      <c r="E41" t="s">
        <v>697</v>
      </c>
      <c r="F41" s="17">
        <v>46023</v>
      </c>
      <c r="G41">
        <v>201</v>
      </c>
      <c r="H41">
        <v>31</v>
      </c>
      <c r="I41">
        <v>0</v>
      </c>
      <c r="J41">
        <v>0</v>
      </c>
      <c r="K41">
        <v>201</v>
      </c>
      <c r="L41">
        <v>0</v>
      </c>
    </row>
    <row r="42" spans="1:12" hidden="1" x14ac:dyDescent="0.3">
      <c r="A42" t="s">
        <v>7073</v>
      </c>
      <c r="B42" t="s">
        <v>7074</v>
      </c>
      <c r="C42" t="s">
        <v>7035</v>
      </c>
      <c r="D42" t="s">
        <v>76</v>
      </c>
      <c r="E42" t="s">
        <v>77</v>
      </c>
      <c r="F42" s="17">
        <v>46023</v>
      </c>
      <c r="G42">
        <v>157</v>
      </c>
      <c r="H42">
        <v>31</v>
      </c>
      <c r="I42">
        <v>0</v>
      </c>
      <c r="J42">
        <v>0</v>
      </c>
      <c r="K42">
        <v>157</v>
      </c>
      <c r="L42">
        <v>0</v>
      </c>
    </row>
    <row r="43" spans="1:12" hidden="1" x14ac:dyDescent="0.3">
      <c r="A43" t="s">
        <v>7073</v>
      </c>
      <c r="B43" t="s">
        <v>7074</v>
      </c>
      <c r="C43" t="s">
        <v>7075</v>
      </c>
      <c r="D43" t="s">
        <v>4635</v>
      </c>
      <c r="E43" t="s">
        <v>7076</v>
      </c>
      <c r="F43" s="17">
        <v>46023</v>
      </c>
      <c r="G43">
        <v>164</v>
      </c>
      <c r="H43">
        <v>31</v>
      </c>
      <c r="I43">
        <v>0</v>
      </c>
      <c r="J43">
        <v>0</v>
      </c>
      <c r="K43">
        <v>164</v>
      </c>
      <c r="L43">
        <v>0</v>
      </c>
    </row>
    <row r="44" spans="1:12" hidden="1" x14ac:dyDescent="0.3">
      <c r="A44" t="s">
        <v>7073</v>
      </c>
      <c r="B44" t="s">
        <v>7074</v>
      </c>
      <c r="C44" t="s">
        <v>7035</v>
      </c>
      <c r="D44" t="s">
        <v>6951</v>
      </c>
      <c r="E44" t="s">
        <v>6952</v>
      </c>
      <c r="F44" s="17">
        <v>46023</v>
      </c>
      <c r="G44">
        <v>157</v>
      </c>
      <c r="H44">
        <v>31</v>
      </c>
      <c r="I44">
        <v>0</v>
      </c>
      <c r="J44">
        <v>0</v>
      </c>
      <c r="K44">
        <v>157</v>
      </c>
      <c r="L44">
        <v>0</v>
      </c>
    </row>
    <row r="45" spans="1:12" hidden="1" x14ac:dyDescent="0.3">
      <c r="A45" t="s">
        <v>7077</v>
      </c>
      <c r="B45" t="s">
        <v>7074</v>
      </c>
      <c r="C45" t="s">
        <v>7055</v>
      </c>
      <c r="D45" t="s">
        <v>1071</v>
      </c>
      <c r="E45" t="s">
        <v>1072</v>
      </c>
      <c r="F45" s="17">
        <v>46023</v>
      </c>
      <c r="G45">
        <v>188.39999999999992</v>
      </c>
      <c r="H45">
        <v>31</v>
      </c>
      <c r="I45">
        <v>0</v>
      </c>
      <c r="J45">
        <v>0</v>
      </c>
      <c r="K45">
        <v>188.39999999999992</v>
      </c>
      <c r="L45">
        <v>0</v>
      </c>
    </row>
    <row r="46" spans="1:12" hidden="1" x14ac:dyDescent="0.3">
      <c r="A46" t="s">
        <v>7077</v>
      </c>
      <c r="B46" t="s">
        <v>7074</v>
      </c>
      <c r="C46" t="s">
        <v>7035</v>
      </c>
      <c r="D46" t="s">
        <v>1838</v>
      </c>
      <c r="E46" t="s">
        <v>1839</v>
      </c>
      <c r="F46" s="17">
        <v>46023</v>
      </c>
      <c r="G46">
        <v>190.05999999999995</v>
      </c>
      <c r="H46">
        <v>31</v>
      </c>
      <c r="I46">
        <v>0</v>
      </c>
      <c r="J46">
        <v>0</v>
      </c>
      <c r="K46">
        <v>190.05999999999995</v>
      </c>
      <c r="L46">
        <v>0</v>
      </c>
    </row>
    <row r="47" spans="1:12" hidden="1" x14ac:dyDescent="0.3">
      <c r="A47" t="s">
        <v>7077</v>
      </c>
      <c r="B47" t="s">
        <v>7074</v>
      </c>
      <c r="C47" t="s">
        <v>7033</v>
      </c>
      <c r="D47" t="s">
        <v>1992</v>
      </c>
      <c r="E47" t="s">
        <v>1993</v>
      </c>
      <c r="F47" s="17">
        <v>46023</v>
      </c>
      <c r="G47">
        <v>184.72999999999993</v>
      </c>
      <c r="H47">
        <v>31</v>
      </c>
      <c r="I47">
        <v>0</v>
      </c>
      <c r="J47">
        <v>0</v>
      </c>
      <c r="K47">
        <v>184.72999999999993</v>
      </c>
      <c r="L47">
        <v>0</v>
      </c>
    </row>
    <row r="48" spans="1:12" hidden="1" x14ac:dyDescent="0.3">
      <c r="A48" t="s">
        <v>7077</v>
      </c>
      <c r="B48" t="s">
        <v>7074</v>
      </c>
      <c r="C48" t="s">
        <v>7035</v>
      </c>
      <c r="D48" t="s">
        <v>2006</v>
      </c>
      <c r="E48" t="s">
        <v>7078</v>
      </c>
      <c r="F48" s="17">
        <v>46023</v>
      </c>
      <c r="G48">
        <v>176.55999999999995</v>
      </c>
      <c r="H48">
        <v>31</v>
      </c>
      <c r="I48">
        <v>0</v>
      </c>
      <c r="J48">
        <v>0</v>
      </c>
      <c r="K48">
        <v>176.55999999999995</v>
      </c>
      <c r="L48">
        <v>0</v>
      </c>
    </row>
    <row r="49" spans="1:12" hidden="1" x14ac:dyDescent="0.3">
      <c r="A49" t="s">
        <v>7077</v>
      </c>
      <c r="B49" t="s">
        <v>7074</v>
      </c>
      <c r="C49" t="s">
        <v>7035</v>
      </c>
      <c r="D49" t="s">
        <v>2727</v>
      </c>
      <c r="E49" t="s">
        <v>7079</v>
      </c>
      <c r="F49" s="17">
        <v>46023</v>
      </c>
      <c r="G49">
        <v>188.39999999999992</v>
      </c>
      <c r="H49">
        <v>31</v>
      </c>
      <c r="I49">
        <v>0</v>
      </c>
      <c r="J49">
        <v>0</v>
      </c>
      <c r="K49">
        <v>188.39999999999992</v>
      </c>
      <c r="L49">
        <v>0</v>
      </c>
    </row>
    <row r="50" spans="1:12" hidden="1" x14ac:dyDescent="0.3">
      <c r="A50" t="s">
        <v>7077</v>
      </c>
      <c r="B50" t="s">
        <v>7074</v>
      </c>
      <c r="C50" t="s">
        <v>7035</v>
      </c>
      <c r="D50" t="s">
        <v>4193</v>
      </c>
      <c r="E50" t="s">
        <v>7080</v>
      </c>
      <c r="F50" s="17">
        <v>46023</v>
      </c>
      <c r="G50">
        <v>178</v>
      </c>
      <c r="H50">
        <v>31</v>
      </c>
      <c r="I50">
        <v>0</v>
      </c>
      <c r="J50">
        <v>0</v>
      </c>
      <c r="K50">
        <v>178</v>
      </c>
      <c r="L50">
        <v>0</v>
      </c>
    </row>
    <row r="51" spans="1:12" hidden="1" x14ac:dyDescent="0.3">
      <c r="A51" t="s">
        <v>7077</v>
      </c>
      <c r="B51" t="s">
        <v>7074</v>
      </c>
      <c r="C51" t="s">
        <v>7035</v>
      </c>
      <c r="D51" t="s">
        <v>4555</v>
      </c>
      <c r="E51" t="s">
        <v>4556</v>
      </c>
      <c r="F51" s="17">
        <v>46023</v>
      </c>
      <c r="G51">
        <v>178.72999999999993</v>
      </c>
      <c r="H51">
        <v>31</v>
      </c>
      <c r="I51">
        <v>0</v>
      </c>
      <c r="J51">
        <v>0</v>
      </c>
      <c r="K51">
        <v>178.72999999999993</v>
      </c>
      <c r="L51">
        <v>0</v>
      </c>
    </row>
    <row r="52" spans="1:12" hidden="1" x14ac:dyDescent="0.3">
      <c r="A52" t="s">
        <v>7077</v>
      </c>
      <c r="B52" t="s">
        <v>7074</v>
      </c>
      <c r="C52" t="s">
        <v>7035</v>
      </c>
      <c r="D52" t="s">
        <v>5219</v>
      </c>
      <c r="E52" t="s">
        <v>5220</v>
      </c>
      <c r="F52" s="17">
        <v>46023</v>
      </c>
      <c r="G52">
        <v>180.72999999999993</v>
      </c>
      <c r="H52">
        <v>31</v>
      </c>
      <c r="I52">
        <v>0</v>
      </c>
      <c r="J52">
        <v>0</v>
      </c>
      <c r="K52">
        <v>180.72999999999993</v>
      </c>
      <c r="L52">
        <v>0</v>
      </c>
    </row>
    <row r="53" spans="1:12" hidden="1" x14ac:dyDescent="0.3">
      <c r="A53" t="s">
        <v>7077</v>
      </c>
      <c r="B53" t="s">
        <v>7074</v>
      </c>
      <c r="C53" t="s">
        <v>7035</v>
      </c>
      <c r="D53" t="s">
        <v>5384</v>
      </c>
      <c r="E53" t="s">
        <v>7081</v>
      </c>
      <c r="F53" s="17">
        <v>46023</v>
      </c>
      <c r="G53">
        <v>190.05999999999995</v>
      </c>
      <c r="H53">
        <v>31</v>
      </c>
      <c r="I53">
        <v>0</v>
      </c>
      <c r="J53">
        <v>0</v>
      </c>
      <c r="K53">
        <v>190.05999999999995</v>
      </c>
      <c r="L53">
        <v>0</v>
      </c>
    </row>
    <row r="54" spans="1:12" hidden="1" x14ac:dyDescent="0.3">
      <c r="A54" t="s">
        <v>7082</v>
      </c>
      <c r="B54" t="s">
        <v>7074</v>
      </c>
      <c r="C54" t="s">
        <v>7035</v>
      </c>
      <c r="D54" t="s">
        <v>537</v>
      </c>
      <c r="E54" t="s">
        <v>7083</v>
      </c>
      <c r="F54" s="17">
        <v>46023</v>
      </c>
      <c r="G54">
        <v>143.6</v>
      </c>
      <c r="H54">
        <v>31</v>
      </c>
      <c r="I54">
        <v>6</v>
      </c>
      <c r="J54">
        <v>6</v>
      </c>
      <c r="K54">
        <v>143.5</v>
      </c>
      <c r="L54">
        <v>0</v>
      </c>
    </row>
    <row r="55" spans="1:12" hidden="1" x14ac:dyDescent="0.3">
      <c r="A55" t="s">
        <v>7082</v>
      </c>
      <c r="B55" t="s">
        <v>7074</v>
      </c>
      <c r="C55" t="s">
        <v>7035</v>
      </c>
      <c r="D55" t="s">
        <v>2963</v>
      </c>
      <c r="E55" t="s">
        <v>2964</v>
      </c>
      <c r="F55" s="17">
        <v>46023</v>
      </c>
      <c r="G55">
        <v>143</v>
      </c>
      <c r="H55">
        <v>31</v>
      </c>
      <c r="I55">
        <v>0</v>
      </c>
      <c r="J55">
        <v>0</v>
      </c>
      <c r="K55">
        <v>143</v>
      </c>
      <c r="L55">
        <v>0</v>
      </c>
    </row>
    <row r="56" spans="1:12" hidden="1" x14ac:dyDescent="0.3">
      <c r="A56" t="s">
        <v>7082</v>
      </c>
      <c r="B56" t="s">
        <v>7074</v>
      </c>
      <c r="C56" t="s">
        <v>7035</v>
      </c>
      <c r="D56" t="s">
        <v>3124</v>
      </c>
      <c r="E56" t="s">
        <v>7084</v>
      </c>
      <c r="F56" s="17">
        <v>46023</v>
      </c>
      <c r="G56">
        <v>143.6</v>
      </c>
      <c r="H56">
        <v>31</v>
      </c>
      <c r="I56">
        <v>6</v>
      </c>
      <c r="J56">
        <v>6</v>
      </c>
      <c r="K56">
        <v>143.5</v>
      </c>
      <c r="L56">
        <v>0</v>
      </c>
    </row>
    <row r="57" spans="1:12" hidden="1" x14ac:dyDescent="0.3">
      <c r="A57" t="s">
        <v>7082</v>
      </c>
      <c r="B57" t="s">
        <v>7074</v>
      </c>
      <c r="C57" t="s">
        <v>7035</v>
      </c>
      <c r="D57" t="s">
        <v>3240</v>
      </c>
      <c r="E57" t="s">
        <v>7085</v>
      </c>
      <c r="F57" s="17">
        <v>46023</v>
      </c>
      <c r="G57">
        <v>143.1</v>
      </c>
      <c r="H57">
        <v>31</v>
      </c>
      <c r="I57">
        <v>6</v>
      </c>
      <c r="J57">
        <v>7</v>
      </c>
      <c r="K57">
        <v>143.5</v>
      </c>
      <c r="L57">
        <v>0</v>
      </c>
    </row>
    <row r="58" spans="1:12" hidden="1" x14ac:dyDescent="0.3">
      <c r="A58" t="s">
        <v>7082</v>
      </c>
      <c r="B58" t="s">
        <v>7074</v>
      </c>
      <c r="C58" t="s">
        <v>7035</v>
      </c>
      <c r="D58" t="s">
        <v>4718</v>
      </c>
      <c r="E58" t="s">
        <v>7086</v>
      </c>
      <c r="F58" s="17">
        <v>46023</v>
      </c>
      <c r="G58">
        <v>48</v>
      </c>
      <c r="H58">
        <v>31</v>
      </c>
      <c r="I58">
        <v>8</v>
      </c>
      <c r="J58">
        <v>8</v>
      </c>
      <c r="K58">
        <v>48.25</v>
      </c>
      <c r="L58">
        <v>0</v>
      </c>
    </row>
    <row r="59" spans="1:12" hidden="1" x14ac:dyDescent="0.3">
      <c r="A59" t="s">
        <v>7082</v>
      </c>
      <c r="B59" t="s">
        <v>7074</v>
      </c>
      <c r="C59" t="s">
        <v>7035</v>
      </c>
      <c r="D59" t="s">
        <v>6367</v>
      </c>
      <c r="E59" t="s">
        <v>7087</v>
      </c>
      <c r="F59" s="17">
        <v>46023</v>
      </c>
      <c r="G59">
        <v>143.1</v>
      </c>
      <c r="H59">
        <v>31</v>
      </c>
      <c r="I59">
        <v>6</v>
      </c>
      <c r="J59">
        <v>7</v>
      </c>
      <c r="K59">
        <v>143.75</v>
      </c>
      <c r="L59">
        <v>1</v>
      </c>
    </row>
    <row r="60" spans="1:12" hidden="1" x14ac:dyDescent="0.3">
      <c r="A60" t="s">
        <v>7088</v>
      </c>
      <c r="B60" t="s">
        <v>7074</v>
      </c>
      <c r="C60" t="s">
        <v>7035</v>
      </c>
      <c r="D60" t="s">
        <v>5929</v>
      </c>
      <c r="E60" t="s">
        <v>7089</v>
      </c>
      <c r="F60" s="17">
        <v>46023</v>
      </c>
      <c r="G60">
        <v>34</v>
      </c>
      <c r="H60">
        <v>31</v>
      </c>
      <c r="I60">
        <v>0</v>
      </c>
      <c r="J60">
        <v>0</v>
      </c>
      <c r="K60">
        <v>34</v>
      </c>
      <c r="L60">
        <v>0</v>
      </c>
    </row>
    <row r="61" spans="1:12" hidden="1" x14ac:dyDescent="0.3">
      <c r="A61" t="s">
        <v>7088</v>
      </c>
      <c r="B61" t="s">
        <v>7074</v>
      </c>
      <c r="C61" t="s">
        <v>7035</v>
      </c>
      <c r="D61" t="s">
        <v>6897</v>
      </c>
      <c r="E61" t="s">
        <v>7090</v>
      </c>
      <c r="F61" s="17">
        <v>46023</v>
      </c>
      <c r="G61">
        <v>50</v>
      </c>
      <c r="H61">
        <v>31</v>
      </c>
      <c r="I61">
        <v>0</v>
      </c>
      <c r="J61">
        <v>0</v>
      </c>
      <c r="K61">
        <v>50</v>
      </c>
      <c r="L61">
        <v>0</v>
      </c>
    </row>
    <row r="62" spans="1:12" hidden="1" x14ac:dyDescent="0.3">
      <c r="A62" t="s">
        <v>7091</v>
      </c>
      <c r="B62" t="s">
        <v>7074</v>
      </c>
      <c r="C62" t="s">
        <v>7035</v>
      </c>
      <c r="D62" t="s">
        <v>2427</v>
      </c>
      <c r="E62" t="s">
        <v>7092</v>
      </c>
      <c r="F62" s="17">
        <v>46023</v>
      </c>
      <c r="G62">
        <v>213.5</v>
      </c>
      <c r="H62">
        <v>31</v>
      </c>
      <c r="I62">
        <v>0</v>
      </c>
      <c r="J62">
        <v>0</v>
      </c>
      <c r="K62">
        <v>213.5</v>
      </c>
      <c r="L62">
        <v>0</v>
      </c>
    </row>
    <row r="63" spans="1:12" hidden="1" x14ac:dyDescent="0.3">
      <c r="A63" t="s">
        <v>7091</v>
      </c>
      <c r="B63" t="s">
        <v>7074</v>
      </c>
      <c r="C63" t="s">
        <v>7035</v>
      </c>
      <c r="D63" t="s">
        <v>5352</v>
      </c>
      <c r="E63" t="s">
        <v>5353</v>
      </c>
      <c r="F63" s="17">
        <v>46023</v>
      </c>
      <c r="G63">
        <v>188</v>
      </c>
      <c r="H63">
        <v>31</v>
      </c>
      <c r="I63">
        <v>0</v>
      </c>
      <c r="J63">
        <v>0</v>
      </c>
      <c r="K63">
        <v>188</v>
      </c>
      <c r="L63">
        <v>0</v>
      </c>
    </row>
    <row r="64" spans="1:12" hidden="1" x14ac:dyDescent="0.3">
      <c r="A64" t="s">
        <v>7093</v>
      </c>
      <c r="B64" t="s">
        <v>7074</v>
      </c>
      <c r="C64" t="s">
        <v>7035</v>
      </c>
      <c r="D64" t="s">
        <v>5744</v>
      </c>
      <c r="E64" t="s">
        <v>5745</v>
      </c>
      <c r="F64" s="17">
        <v>46023</v>
      </c>
      <c r="G64">
        <v>130</v>
      </c>
      <c r="H64">
        <v>31</v>
      </c>
      <c r="I64">
        <v>0</v>
      </c>
      <c r="J64">
        <v>0</v>
      </c>
      <c r="K64">
        <v>130</v>
      </c>
      <c r="L64">
        <v>0</v>
      </c>
    </row>
    <row r="65" spans="1:12" hidden="1" x14ac:dyDescent="0.3">
      <c r="A65" t="s">
        <v>7093</v>
      </c>
      <c r="B65" t="s">
        <v>7074</v>
      </c>
      <c r="C65" t="s">
        <v>7033</v>
      </c>
      <c r="D65" t="s">
        <v>6475</v>
      </c>
      <c r="E65" t="s">
        <v>6476</v>
      </c>
      <c r="F65" s="17">
        <v>46023</v>
      </c>
      <c r="G65">
        <v>240</v>
      </c>
      <c r="H65">
        <v>31</v>
      </c>
      <c r="I65">
        <v>100</v>
      </c>
      <c r="J65">
        <v>0</v>
      </c>
      <c r="K65">
        <v>140</v>
      </c>
      <c r="L65">
        <v>-100</v>
      </c>
    </row>
    <row r="66" spans="1:12" hidden="1" x14ac:dyDescent="0.3">
      <c r="A66" t="s">
        <v>7093</v>
      </c>
      <c r="B66" t="s">
        <v>7074</v>
      </c>
      <c r="C66" t="s">
        <v>7035</v>
      </c>
      <c r="D66" t="s">
        <v>6639</v>
      </c>
      <c r="E66" t="s">
        <v>7094</v>
      </c>
      <c r="F66" s="17">
        <v>46023</v>
      </c>
      <c r="G66">
        <v>130</v>
      </c>
      <c r="H66">
        <v>31</v>
      </c>
      <c r="I66">
        <v>0</v>
      </c>
      <c r="J66">
        <v>0</v>
      </c>
      <c r="K66">
        <v>130</v>
      </c>
      <c r="L66">
        <v>0</v>
      </c>
    </row>
    <row r="67" spans="1:12" hidden="1" x14ac:dyDescent="0.3">
      <c r="A67" t="s">
        <v>7095</v>
      </c>
      <c r="B67" t="s">
        <v>7074</v>
      </c>
      <c r="C67" t="s">
        <v>7096</v>
      </c>
      <c r="D67" t="s">
        <v>2577</v>
      </c>
      <c r="E67" t="s">
        <v>2578</v>
      </c>
      <c r="F67" s="17">
        <v>46023</v>
      </c>
      <c r="G67">
        <v>218</v>
      </c>
      <c r="H67">
        <v>31</v>
      </c>
      <c r="I67">
        <v>0</v>
      </c>
      <c r="J67">
        <v>0</v>
      </c>
      <c r="K67">
        <v>218</v>
      </c>
      <c r="L67">
        <v>0</v>
      </c>
    </row>
    <row r="68" spans="1:12" x14ac:dyDescent="0.3">
      <c r="A68" t="s">
        <v>7097</v>
      </c>
      <c r="B68" t="s">
        <v>7074</v>
      </c>
      <c r="C68" t="s">
        <v>7035</v>
      </c>
      <c r="D68" t="s">
        <v>1241</v>
      </c>
      <c r="E68" t="s">
        <v>7098</v>
      </c>
      <c r="F68" s="17">
        <v>46023</v>
      </c>
      <c r="G68">
        <v>51</v>
      </c>
      <c r="H68">
        <v>31</v>
      </c>
      <c r="I68">
        <v>0</v>
      </c>
      <c r="J68">
        <v>0</v>
      </c>
      <c r="K68">
        <v>51</v>
      </c>
      <c r="L68">
        <v>0</v>
      </c>
    </row>
    <row r="69" spans="1:12" x14ac:dyDescent="0.3">
      <c r="A69" t="s">
        <v>7097</v>
      </c>
      <c r="B69" t="s">
        <v>7074</v>
      </c>
      <c r="C69" t="s">
        <v>7099</v>
      </c>
      <c r="D69" t="s">
        <v>4348</v>
      </c>
      <c r="E69" t="s">
        <v>7100</v>
      </c>
      <c r="F69" s="17">
        <v>46023</v>
      </c>
      <c r="G69">
        <v>138</v>
      </c>
      <c r="H69">
        <v>31</v>
      </c>
      <c r="I69">
        <v>0</v>
      </c>
      <c r="J69">
        <v>0</v>
      </c>
      <c r="K69">
        <v>138</v>
      </c>
      <c r="L69">
        <v>0</v>
      </c>
    </row>
    <row r="70" spans="1:12" hidden="1" x14ac:dyDescent="0.3">
      <c r="A70" t="s">
        <v>7101</v>
      </c>
      <c r="B70" t="s">
        <v>7074</v>
      </c>
      <c r="C70" t="s">
        <v>7035</v>
      </c>
      <c r="D70" t="s">
        <v>1608</v>
      </c>
      <c r="E70" t="s">
        <v>7102</v>
      </c>
      <c r="F70" s="17">
        <v>46023</v>
      </c>
      <c r="G70">
        <v>215.5</v>
      </c>
      <c r="H70">
        <v>31</v>
      </c>
      <c r="I70">
        <v>0</v>
      </c>
      <c r="J70">
        <v>0</v>
      </c>
      <c r="K70">
        <v>215.5</v>
      </c>
      <c r="L70">
        <v>0</v>
      </c>
    </row>
    <row r="71" spans="1:12" hidden="1" x14ac:dyDescent="0.3">
      <c r="A71" t="s">
        <v>7101</v>
      </c>
      <c r="B71" t="s">
        <v>7074</v>
      </c>
      <c r="C71" t="s">
        <v>7103</v>
      </c>
      <c r="D71" t="s">
        <v>3804</v>
      </c>
      <c r="E71" t="s">
        <v>7104</v>
      </c>
      <c r="F71" s="17">
        <v>46023</v>
      </c>
      <c r="G71">
        <v>179.5</v>
      </c>
      <c r="H71">
        <v>31</v>
      </c>
      <c r="I71">
        <v>88</v>
      </c>
      <c r="J71">
        <v>76</v>
      </c>
      <c r="K71">
        <v>168</v>
      </c>
      <c r="L71">
        <v>-12</v>
      </c>
    </row>
    <row r="72" spans="1:12" hidden="1" x14ac:dyDescent="0.3">
      <c r="A72" t="s">
        <v>7101</v>
      </c>
      <c r="B72" t="s">
        <v>7074</v>
      </c>
      <c r="C72" t="s">
        <v>7035</v>
      </c>
      <c r="D72" t="s">
        <v>4955</v>
      </c>
      <c r="E72" t="s">
        <v>4956</v>
      </c>
      <c r="F72" s="17">
        <v>46023</v>
      </c>
      <c r="G72">
        <v>192</v>
      </c>
      <c r="H72">
        <v>31</v>
      </c>
      <c r="I72">
        <v>48</v>
      </c>
      <c r="J72">
        <v>38</v>
      </c>
      <c r="K72">
        <v>182</v>
      </c>
      <c r="L72">
        <v>-10</v>
      </c>
    </row>
    <row r="73" spans="1:12" hidden="1" x14ac:dyDescent="0.3">
      <c r="A73" t="s">
        <v>7101</v>
      </c>
      <c r="B73" t="s">
        <v>7074</v>
      </c>
      <c r="C73" t="s">
        <v>7103</v>
      </c>
      <c r="D73" t="s">
        <v>5081</v>
      </c>
      <c r="E73" t="s">
        <v>5082</v>
      </c>
      <c r="F73" s="17">
        <v>46023</v>
      </c>
      <c r="G73">
        <v>191.5</v>
      </c>
      <c r="H73">
        <v>31</v>
      </c>
      <c r="I73">
        <v>0</v>
      </c>
      <c r="J73">
        <v>0</v>
      </c>
      <c r="K73">
        <v>191.5</v>
      </c>
      <c r="L73">
        <v>0</v>
      </c>
    </row>
    <row r="74" spans="1:12" hidden="1" x14ac:dyDescent="0.3">
      <c r="A74" t="s">
        <v>7101</v>
      </c>
      <c r="B74" t="s">
        <v>7074</v>
      </c>
      <c r="C74" t="s">
        <v>7103</v>
      </c>
      <c r="D74" t="s">
        <v>6202</v>
      </c>
      <c r="E74" t="s">
        <v>7105</v>
      </c>
      <c r="F74" s="17">
        <v>46023</v>
      </c>
      <c r="G74">
        <v>184</v>
      </c>
      <c r="H74">
        <v>31</v>
      </c>
      <c r="I74">
        <v>40</v>
      </c>
      <c r="J74">
        <v>38</v>
      </c>
      <c r="K74">
        <v>182</v>
      </c>
      <c r="L74">
        <v>-2</v>
      </c>
    </row>
    <row r="75" spans="1:12" hidden="1" x14ac:dyDescent="0.3">
      <c r="A75" t="s">
        <v>7106</v>
      </c>
      <c r="B75" t="s">
        <v>7074</v>
      </c>
      <c r="C75" t="s">
        <v>7035</v>
      </c>
      <c r="D75" t="s">
        <v>2555</v>
      </c>
      <c r="E75" t="s">
        <v>2556</v>
      </c>
      <c r="F75" s="17">
        <v>46023</v>
      </c>
      <c r="G75">
        <v>144</v>
      </c>
      <c r="H75">
        <v>31</v>
      </c>
      <c r="I75">
        <v>0</v>
      </c>
      <c r="J75">
        <v>0</v>
      </c>
      <c r="K75">
        <v>144</v>
      </c>
      <c r="L75">
        <v>0</v>
      </c>
    </row>
    <row r="76" spans="1:12" hidden="1" x14ac:dyDescent="0.3">
      <c r="A76" t="s">
        <v>7106</v>
      </c>
      <c r="B76" t="s">
        <v>7074</v>
      </c>
      <c r="C76" t="s">
        <v>7035</v>
      </c>
      <c r="D76" t="s">
        <v>2637</v>
      </c>
      <c r="E76" t="s">
        <v>2638</v>
      </c>
      <c r="F76" s="17">
        <v>46023</v>
      </c>
      <c r="G76">
        <v>167</v>
      </c>
      <c r="H76">
        <v>31</v>
      </c>
      <c r="I76">
        <v>0</v>
      </c>
      <c r="J76">
        <v>0</v>
      </c>
      <c r="K76">
        <v>167</v>
      </c>
      <c r="L76">
        <v>0</v>
      </c>
    </row>
    <row r="77" spans="1:12" hidden="1" x14ac:dyDescent="0.3">
      <c r="A77" t="s">
        <v>7106</v>
      </c>
      <c r="B77" t="s">
        <v>7074</v>
      </c>
      <c r="C77" t="s">
        <v>7035</v>
      </c>
      <c r="D77" t="s">
        <v>3287</v>
      </c>
      <c r="E77" t="s">
        <v>3288</v>
      </c>
      <c r="F77" s="17">
        <v>46023</v>
      </c>
      <c r="G77">
        <v>167</v>
      </c>
      <c r="H77">
        <v>31</v>
      </c>
      <c r="I77">
        <v>0</v>
      </c>
      <c r="J77">
        <v>0</v>
      </c>
      <c r="K77">
        <v>167</v>
      </c>
      <c r="L77">
        <v>0</v>
      </c>
    </row>
    <row r="78" spans="1:12" hidden="1" x14ac:dyDescent="0.3">
      <c r="A78" t="s">
        <v>7106</v>
      </c>
      <c r="B78" t="s">
        <v>7074</v>
      </c>
      <c r="C78" t="s">
        <v>7035</v>
      </c>
      <c r="D78" t="s">
        <v>5829</v>
      </c>
      <c r="E78" t="s">
        <v>7107</v>
      </c>
      <c r="F78" s="17">
        <v>46023</v>
      </c>
      <c r="G78">
        <v>127</v>
      </c>
      <c r="H78">
        <v>31</v>
      </c>
      <c r="I78">
        <v>0</v>
      </c>
      <c r="J78">
        <v>0</v>
      </c>
      <c r="K78">
        <v>127</v>
      </c>
      <c r="L78">
        <v>0</v>
      </c>
    </row>
    <row r="79" spans="1:12" hidden="1" x14ac:dyDescent="0.3">
      <c r="A79" t="s">
        <v>7108</v>
      </c>
      <c r="B79" t="s">
        <v>7074</v>
      </c>
      <c r="C79" t="s">
        <v>7035</v>
      </c>
      <c r="D79" t="s">
        <v>544</v>
      </c>
      <c r="E79" t="s">
        <v>7045</v>
      </c>
      <c r="F79" s="17">
        <v>46023</v>
      </c>
      <c r="G79">
        <v>36</v>
      </c>
      <c r="H79">
        <v>31</v>
      </c>
      <c r="I79">
        <v>0</v>
      </c>
      <c r="J79">
        <v>0</v>
      </c>
      <c r="K79">
        <v>36</v>
      </c>
      <c r="L79">
        <v>0</v>
      </c>
    </row>
    <row r="80" spans="1:12" hidden="1" x14ac:dyDescent="0.3">
      <c r="A80" t="s">
        <v>7108</v>
      </c>
      <c r="B80" t="s">
        <v>7074</v>
      </c>
      <c r="C80" t="s">
        <v>7035</v>
      </c>
      <c r="D80" t="s">
        <v>1779</v>
      </c>
      <c r="E80" t="s">
        <v>1780</v>
      </c>
      <c r="F80" s="17">
        <v>46023</v>
      </c>
      <c r="G80">
        <v>38</v>
      </c>
      <c r="H80">
        <v>31</v>
      </c>
      <c r="I80">
        <v>0</v>
      </c>
      <c r="J80">
        <v>0</v>
      </c>
      <c r="K80">
        <v>38</v>
      </c>
      <c r="L80">
        <v>0</v>
      </c>
    </row>
    <row r="81" spans="1:12" hidden="1" x14ac:dyDescent="0.3">
      <c r="A81" t="s">
        <v>7108</v>
      </c>
      <c r="B81" t="s">
        <v>7074</v>
      </c>
      <c r="C81" t="s">
        <v>7035</v>
      </c>
      <c r="D81" t="s">
        <v>1984</v>
      </c>
      <c r="E81" t="s">
        <v>7047</v>
      </c>
      <c r="F81" s="17">
        <v>46023</v>
      </c>
      <c r="G81">
        <v>50</v>
      </c>
      <c r="H81">
        <v>31</v>
      </c>
      <c r="I81">
        <v>0</v>
      </c>
      <c r="J81">
        <v>0</v>
      </c>
      <c r="K81">
        <v>50</v>
      </c>
      <c r="L81">
        <v>0</v>
      </c>
    </row>
    <row r="82" spans="1:12" hidden="1" x14ac:dyDescent="0.3">
      <c r="A82" t="s">
        <v>7109</v>
      </c>
      <c r="B82" t="s">
        <v>7074</v>
      </c>
      <c r="C82" t="s">
        <v>7110</v>
      </c>
      <c r="D82" t="s">
        <v>268</v>
      </c>
      <c r="E82" t="s">
        <v>269</v>
      </c>
      <c r="F82" s="17">
        <v>46023</v>
      </c>
      <c r="G82">
        <v>171</v>
      </c>
      <c r="H82">
        <v>31</v>
      </c>
      <c r="I82">
        <v>0</v>
      </c>
      <c r="J82">
        <v>0</v>
      </c>
      <c r="K82">
        <v>171</v>
      </c>
      <c r="L82">
        <v>0</v>
      </c>
    </row>
    <row r="83" spans="1:12" hidden="1" x14ac:dyDescent="0.3">
      <c r="A83" t="s">
        <v>7109</v>
      </c>
      <c r="B83" t="s">
        <v>7074</v>
      </c>
      <c r="C83" t="s">
        <v>7111</v>
      </c>
      <c r="D83" t="s">
        <v>1173</v>
      </c>
      <c r="E83" t="s">
        <v>1174</v>
      </c>
      <c r="F83" s="17">
        <v>46023</v>
      </c>
      <c r="G83">
        <v>148</v>
      </c>
      <c r="H83">
        <v>31</v>
      </c>
      <c r="I83">
        <v>0</v>
      </c>
      <c r="J83">
        <v>0</v>
      </c>
      <c r="K83">
        <v>148</v>
      </c>
      <c r="L83">
        <v>0</v>
      </c>
    </row>
    <row r="84" spans="1:12" hidden="1" x14ac:dyDescent="0.3">
      <c r="A84" t="s">
        <v>7109</v>
      </c>
      <c r="B84" t="s">
        <v>7074</v>
      </c>
      <c r="C84" t="s">
        <v>7035</v>
      </c>
      <c r="D84" t="s">
        <v>4874</v>
      </c>
      <c r="E84" t="s">
        <v>7112</v>
      </c>
      <c r="F84" s="17">
        <v>46023</v>
      </c>
      <c r="G84">
        <v>165.5</v>
      </c>
      <c r="H84">
        <v>31</v>
      </c>
      <c r="I84">
        <v>0</v>
      </c>
      <c r="J84">
        <v>0</v>
      </c>
      <c r="K84">
        <v>165.5</v>
      </c>
      <c r="L84">
        <v>0</v>
      </c>
    </row>
    <row r="85" spans="1:12" hidden="1" x14ac:dyDescent="0.3">
      <c r="A85" t="s">
        <v>7109</v>
      </c>
      <c r="B85" t="s">
        <v>7074</v>
      </c>
      <c r="C85" t="s">
        <v>7113</v>
      </c>
      <c r="D85" t="s">
        <v>2126</v>
      </c>
      <c r="E85" t="s">
        <v>2127</v>
      </c>
      <c r="F85" s="17">
        <v>46023</v>
      </c>
      <c r="G85">
        <v>77</v>
      </c>
      <c r="H85">
        <v>31</v>
      </c>
      <c r="I85">
        <v>0</v>
      </c>
      <c r="J85">
        <v>0</v>
      </c>
      <c r="K85">
        <v>77</v>
      </c>
      <c r="L85">
        <v>0</v>
      </c>
    </row>
    <row r="86" spans="1:12" hidden="1" x14ac:dyDescent="0.3">
      <c r="A86" t="s">
        <v>7109</v>
      </c>
      <c r="B86" t="s">
        <v>7074</v>
      </c>
      <c r="C86" t="s">
        <v>7035</v>
      </c>
      <c r="D86" t="s">
        <v>2253</v>
      </c>
      <c r="E86" t="s">
        <v>7114</v>
      </c>
      <c r="F86" s="17">
        <v>46023</v>
      </c>
      <c r="G86">
        <v>80</v>
      </c>
      <c r="H86">
        <v>31</v>
      </c>
      <c r="I86">
        <v>0</v>
      </c>
      <c r="J86">
        <v>0</v>
      </c>
      <c r="K86">
        <v>80</v>
      </c>
      <c r="L86">
        <v>0</v>
      </c>
    </row>
    <row r="87" spans="1:12" hidden="1" x14ac:dyDescent="0.3">
      <c r="A87" t="s">
        <v>7109</v>
      </c>
      <c r="B87" t="s">
        <v>7074</v>
      </c>
      <c r="C87" t="s">
        <v>7111</v>
      </c>
      <c r="D87" t="s">
        <v>2312</v>
      </c>
      <c r="E87" t="s">
        <v>2313</v>
      </c>
      <c r="F87" s="17">
        <v>46023</v>
      </c>
      <c r="G87">
        <v>175</v>
      </c>
      <c r="H87">
        <v>31</v>
      </c>
      <c r="I87">
        <v>0</v>
      </c>
      <c r="J87">
        <v>0</v>
      </c>
      <c r="K87">
        <v>175</v>
      </c>
      <c r="L87">
        <v>0</v>
      </c>
    </row>
    <row r="88" spans="1:12" hidden="1" x14ac:dyDescent="0.3">
      <c r="A88" t="s">
        <v>7109</v>
      </c>
      <c r="B88" t="s">
        <v>7074</v>
      </c>
      <c r="C88" t="s">
        <v>7035</v>
      </c>
      <c r="D88" t="s">
        <v>2350</v>
      </c>
      <c r="E88" t="s">
        <v>2351</v>
      </c>
      <c r="F88" s="17">
        <v>46023</v>
      </c>
      <c r="G88">
        <v>160</v>
      </c>
      <c r="H88">
        <v>31</v>
      </c>
      <c r="I88">
        <v>0</v>
      </c>
      <c r="J88">
        <v>0</v>
      </c>
      <c r="K88">
        <v>160</v>
      </c>
      <c r="L88">
        <v>0</v>
      </c>
    </row>
    <row r="89" spans="1:12" hidden="1" x14ac:dyDescent="0.3">
      <c r="A89" t="s">
        <v>7109</v>
      </c>
      <c r="B89" t="s">
        <v>7074</v>
      </c>
      <c r="C89" t="s">
        <v>7035</v>
      </c>
      <c r="D89" t="s">
        <v>2375</v>
      </c>
      <c r="E89" t="s">
        <v>7115</v>
      </c>
      <c r="F89" s="17">
        <v>46023</v>
      </c>
      <c r="G89">
        <v>169</v>
      </c>
      <c r="H89">
        <v>31</v>
      </c>
      <c r="I89">
        <v>0</v>
      </c>
      <c r="J89">
        <v>0</v>
      </c>
      <c r="K89">
        <v>169</v>
      </c>
      <c r="L89">
        <v>0</v>
      </c>
    </row>
    <row r="90" spans="1:12" hidden="1" x14ac:dyDescent="0.3">
      <c r="A90" t="s">
        <v>7109</v>
      </c>
      <c r="B90" t="s">
        <v>7074</v>
      </c>
      <c r="C90" t="s">
        <v>7035</v>
      </c>
      <c r="D90" t="s">
        <v>2392</v>
      </c>
      <c r="E90" t="s">
        <v>7116</v>
      </c>
      <c r="F90" s="17">
        <v>46023</v>
      </c>
      <c r="G90">
        <v>185</v>
      </c>
      <c r="H90">
        <v>31</v>
      </c>
      <c r="I90">
        <v>0</v>
      </c>
      <c r="J90">
        <v>0</v>
      </c>
      <c r="K90">
        <v>185</v>
      </c>
      <c r="L90">
        <v>0</v>
      </c>
    </row>
    <row r="91" spans="1:12" hidden="1" x14ac:dyDescent="0.3">
      <c r="A91" t="s">
        <v>7109</v>
      </c>
      <c r="B91" t="s">
        <v>7074</v>
      </c>
      <c r="C91" t="s">
        <v>7035</v>
      </c>
      <c r="D91" t="s">
        <v>2479</v>
      </c>
      <c r="E91" t="s">
        <v>7117</v>
      </c>
      <c r="F91" s="17">
        <v>46023</v>
      </c>
      <c r="G91">
        <v>163</v>
      </c>
      <c r="H91">
        <v>31</v>
      </c>
      <c r="I91">
        <v>0</v>
      </c>
      <c r="J91">
        <v>0</v>
      </c>
      <c r="K91">
        <v>163</v>
      </c>
      <c r="L91">
        <v>0</v>
      </c>
    </row>
    <row r="92" spans="1:12" hidden="1" x14ac:dyDescent="0.3">
      <c r="A92" t="s">
        <v>7109</v>
      </c>
      <c r="B92" t="s">
        <v>7074</v>
      </c>
      <c r="C92" t="s">
        <v>7035</v>
      </c>
      <c r="D92" t="s">
        <v>4032</v>
      </c>
      <c r="E92" t="s">
        <v>7118</v>
      </c>
      <c r="F92" s="17">
        <v>46023</v>
      </c>
      <c r="G92">
        <v>169</v>
      </c>
      <c r="H92">
        <v>31</v>
      </c>
      <c r="I92">
        <v>0</v>
      </c>
      <c r="J92">
        <v>0</v>
      </c>
      <c r="K92">
        <v>169</v>
      </c>
      <c r="L92">
        <v>0</v>
      </c>
    </row>
    <row r="93" spans="1:12" hidden="1" x14ac:dyDescent="0.3">
      <c r="A93" t="s">
        <v>7109</v>
      </c>
      <c r="B93" t="s">
        <v>7074</v>
      </c>
      <c r="C93" t="s">
        <v>7035</v>
      </c>
      <c r="D93" t="s">
        <v>3137</v>
      </c>
      <c r="E93" t="s">
        <v>3138</v>
      </c>
      <c r="F93" s="17">
        <v>46023</v>
      </c>
      <c r="G93">
        <v>183</v>
      </c>
      <c r="H93">
        <v>31</v>
      </c>
      <c r="I93">
        <v>0</v>
      </c>
      <c r="J93">
        <v>0</v>
      </c>
      <c r="K93">
        <v>183</v>
      </c>
      <c r="L93">
        <v>0</v>
      </c>
    </row>
    <row r="94" spans="1:12" hidden="1" x14ac:dyDescent="0.3">
      <c r="A94" t="s">
        <v>7109</v>
      </c>
      <c r="B94" t="s">
        <v>7074</v>
      </c>
      <c r="C94" t="s">
        <v>7111</v>
      </c>
      <c r="D94" t="s">
        <v>4022</v>
      </c>
      <c r="E94" t="s">
        <v>7119</v>
      </c>
      <c r="F94" s="17">
        <v>46023</v>
      </c>
      <c r="G94">
        <v>169</v>
      </c>
      <c r="H94">
        <v>31</v>
      </c>
      <c r="I94">
        <v>0</v>
      </c>
      <c r="J94">
        <v>0</v>
      </c>
      <c r="K94">
        <v>169</v>
      </c>
      <c r="L94">
        <v>0</v>
      </c>
    </row>
    <row r="95" spans="1:12" hidden="1" x14ac:dyDescent="0.3">
      <c r="A95" t="s">
        <v>7109</v>
      </c>
      <c r="B95" t="s">
        <v>7074</v>
      </c>
      <c r="C95" t="s">
        <v>7035</v>
      </c>
      <c r="D95" t="s">
        <v>4119</v>
      </c>
      <c r="E95" t="s">
        <v>4120</v>
      </c>
      <c r="F95" s="17">
        <v>46023</v>
      </c>
      <c r="G95">
        <v>34</v>
      </c>
      <c r="H95">
        <v>31</v>
      </c>
      <c r="I95">
        <v>0</v>
      </c>
      <c r="J95">
        <v>0</v>
      </c>
      <c r="K95">
        <v>34</v>
      </c>
      <c r="L95">
        <v>0</v>
      </c>
    </row>
    <row r="96" spans="1:12" hidden="1" x14ac:dyDescent="0.3">
      <c r="A96" t="s">
        <v>7109</v>
      </c>
      <c r="B96" t="s">
        <v>7074</v>
      </c>
      <c r="C96" t="s">
        <v>7096</v>
      </c>
      <c r="D96" t="s">
        <v>4168</v>
      </c>
      <c r="E96" t="s">
        <v>4169</v>
      </c>
      <c r="F96" s="17">
        <v>46023</v>
      </c>
      <c r="G96">
        <v>173</v>
      </c>
      <c r="H96">
        <v>31</v>
      </c>
      <c r="I96">
        <v>0</v>
      </c>
      <c r="J96">
        <v>0</v>
      </c>
      <c r="K96">
        <v>173</v>
      </c>
      <c r="L96">
        <v>0</v>
      </c>
    </row>
    <row r="97" spans="1:12" hidden="1" x14ac:dyDescent="0.3">
      <c r="A97" t="s">
        <v>7109</v>
      </c>
      <c r="B97" t="s">
        <v>7074</v>
      </c>
      <c r="C97" t="s">
        <v>7035</v>
      </c>
      <c r="D97" t="s">
        <v>4197</v>
      </c>
      <c r="E97" t="s">
        <v>7120</v>
      </c>
      <c r="F97" s="17">
        <v>46023</v>
      </c>
      <c r="G97">
        <v>118</v>
      </c>
      <c r="H97">
        <v>31</v>
      </c>
      <c r="I97">
        <v>0</v>
      </c>
      <c r="J97">
        <v>0</v>
      </c>
      <c r="K97">
        <v>118</v>
      </c>
      <c r="L97">
        <v>0</v>
      </c>
    </row>
    <row r="98" spans="1:12" hidden="1" x14ac:dyDescent="0.3">
      <c r="A98" t="s">
        <v>7109</v>
      </c>
      <c r="B98" t="s">
        <v>7074</v>
      </c>
      <c r="C98" t="s">
        <v>7035</v>
      </c>
      <c r="D98" t="s">
        <v>4241</v>
      </c>
      <c r="E98" t="s">
        <v>4242</v>
      </c>
      <c r="F98" s="17">
        <v>46023</v>
      </c>
      <c r="G98">
        <v>203</v>
      </c>
      <c r="H98">
        <v>31</v>
      </c>
      <c r="I98">
        <v>0</v>
      </c>
      <c r="J98">
        <v>0</v>
      </c>
      <c r="K98">
        <v>203</v>
      </c>
      <c r="L98">
        <v>0</v>
      </c>
    </row>
    <row r="99" spans="1:12" hidden="1" x14ac:dyDescent="0.3">
      <c r="A99" t="s">
        <v>7109</v>
      </c>
      <c r="B99" t="s">
        <v>7074</v>
      </c>
      <c r="C99" t="s">
        <v>7035</v>
      </c>
      <c r="D99" t="s">
        <v>4796</v>
      </c>
      <c r="E99" t="s">
        <v>7121</v>
      </c>
      <c r="F99" s="17">
        <v>46023</v>
      </c>
      <c r="G99">
        <v>174</v>
      </c>
      <c r="H99">
        <v>31</v>
      </c>
      <c r="I99">
        <v>0</v>
      </c>
      <c r="J99">
        <v>0</v>
      </c>
      <c r="K99">
        <v>174</v>
      </c>
      <c r="L99">
        <v>0</v>
      </c>
    </row>
    <row r="100" spans="1:12" hidden="1" x14ac:dyDescent="0.3">
      <c r="A100" t="s">
        <v>7109</v>
      </c>
      <c r="B100" t="s">
        <v>7074</v>
      </c>
      <c r="C100" t="s">
        <v>7035</v>
      </c>
      <c r="D100" t="s">
        <v>5499</v>
      </c>
      <c r="E100" t="s">
        <v>7122</v>
      </c>
      <c r="F100" s="17">
        <v>46023</v>
      </c>
      <c r="G100">
        <v>219</v>
      </c>
      <c r="H100">
        <v>31</v>
      </c>
      <c r="I100">
        <v>0</v>
      </c>
      <c r="J100">
        <v>0</v>
      </c>
      <c r="K100">
        <v>219</v>
      </c>
      <c r="L100">
        <v>0</v>
      </c>
    </row>
    <row r="101" spans="1:12" hidden="1" x14ac:dyDescent="0.3">
      <c r="A101" t="s">
        <v>7109</v>
      </c>
      <c r="B101" t="s">
        <v>7074</v>
      </c>
      <c r="C101" t="s">
        <v>7113</v>
      </c>
      <c r="D101" t="s">
        <v>5697</v>
      </c>
      <c r="E101" t="s">
        <v>5698</v>
      </c>
      <c r="F101" s="17">
        <v>46023</v>
      </c>
      <c r="G101">
        <v>25</v>
      </c>
      <c r="H101">
        <v>31</v>
      </c>
      <c r="I101">
        <v>0</v>
      </c>
      <c r="J101">
        <v>0</v>
      </c>
      <c r="K101">
        <v>25</v>
      </c>
      <c r="L101">
        <v>0</v>
      </c>
    </row>
    <row r="102" spans="1:12" hidden="1" x14ac:dyDescent="0.3">
      <c r="A102" t="s">
        <v>7109</v>
      </c>
      <c r="B102" t="s">
        <v>7074</v>
      </c>
      <c r="C102" t="s">
        <v>7096</v>
      </c>
      <c r="D102" t="s">
        <v>5726</v>
      </c>
      <c r="E102" t="s">
        <v>7123</v>
      </c>
      <c r="F102" s="17">
        <v>46023</v>
      </c>
      <c r="G102">
        <v>226</v>
      </c>
      <c r="H102">
        <v>31</v>
      </c>
      <c r="I102">
        <v>0</v>
      </c>
      <c r="J102">
        <v>0</v>
      </c>
      <c r="K102">
        <v>226</v>
      </c>
      <c r="L102">
        <v>0</v>
      </c>
    </row>
    <row r="103" spans="1:12" hidden="1" x14ac:dyDescent="0.3">
      <c r="A103" t="s">
        <v>7109</v>
      </c>
      <c r="B103" t="s">
        <v>7074</v>
      </c>
      <c r="C103" t="s">
        <v>7035</v>
      </c>
      <c r="D103" t="s">
        <v>5951</v>
      </c>
      <c r="E103" t="s">
        <v>7124</v>
      </c>
      <c r="F103" s="17">
        <v>46023</v>
      </c>
      <c r="G103">
        <v>169</v>
      </c>
      <c r="H103">
        <v>31</v>
      </c>
      <c r="I103">
        <v>0</v>
      </c>
      <c r="J103">
        <v>0</v>
      </c>
      <c r="K103">
        <v>169</v>
      </c>
      <c r="L103">
        <v>0</v>
      </c>
    </row>
    <row r="104" spans="1:12" hidden="1" x14ac:dyDescent="0.3">
      <c r="A104" t="s">
        <v>7109</v>
      </c>
      <c r="B104" t="s">
        <v>7074</v>
      </c>
      <c r="C104" t="s">
        <v>7035</v>
      </c>
      <c r="D104" t="s">
        <v>6557</v>
      </c>
      <c r="E104" t="s">
        <v>6558</v>
      </c>
      <c r="F104" s="17">
        <v>46023</v>
      </c>
      <c r="G104">
        <v>215</v>
      </c>
      <c r="H104">
        <v>31</v>
      </c>
      <c r="I104">
        <v>0</v>
      </c>
      <c r="J104">
        <v>0</v>
      </c>
      <c r="K104">
        <v>215</v>
      </c>
      <c r="L104">
        <v>0</v>
      </c>
    </row>
    <row r="105" spans="1:12" hidden="1" x14ac:dyDescent="0.3">
      <c r="A105" t="s">
        <v>7109</v>
      </c>
      <c r="B105" t="s">
        <v>7074</v>
      </c>
      <c r="C105" t="s">
        <v>7035</v>
      </c>
      <c r="D105" t="s">
        <v>6635</v>
      </c>
      <c r="E105" t="s">
        <v>7125</v>
      </c>
      <c r="F105" s="17">
        <v>46023</v>
      </c>
      <c r="G105">
        <v>227</v>
      </c>
      <c r="H105">
        <v>31</v>
      </c>
      <c r="I105">
        <v>0</v>
      </c>
      <c r="J105">
        <v>0</v>
      </c>
      <c r="K105">
        <v>227</v>
      </c>
      <c r="L105">
        <v>0</v>
      </c>
    </row>
    <row r="106" spans="1:12" hidden="1" x14ac:dyDescent="0.3">
      <c r="A106" t="s">
        <v>7109</v>
      </c>
      <c r="B106" t="s">
        <v>7074</v>
      </c>
      <c r="C106" t="s">
        <v>7096</v>
      </c>
      <c r="D106" t="s">
        <v>6754</v>
      </c>
      <c r="E106" t="s">
        <v>7126</v>
      </c>
      <c r="F106" s="17">
        <v>46023</v>
      </c>
      <c r="G106">
        <v>190</v>
      </c>
      <c r="H106">
        <v>31</v>
      </c>
      <c r="I106">
        <v>0</v>
      </c>
      <c r="J106">
        <v>0</v>
      </c>
      <c r="K106">
        <v>190</v>
      </c>
      <c r="L106">
        <v>0</v>
      </c>
    </row>
    <row r="107" spans="1:12" hidden="1" x14ac:dyDescent="0.3">
      <c r="A107" t="s">
        <v>7127</v>
      </c>
      <c r="B107" t="s">
        <v>7074</v>
      </c>
      <c r="C107" t="s">
        <v>7051</v>
      </c>
      <c r="D107" t="s">
        <v>5780</v>
      </c>
      <c r="E107" t="s">
        <v>5781</v>
      </c>
      <c r="F107" s="17">
        <v>46023</v>
      </c>
      <c r="G107">
        <v>40</v>
      </c>
      <c r="H107">
        <v>31</v>
      </c>
      <c r="I107">
        <v>0</v>
      </c>
      <c r="J107">
        <v>0</v>
      </c>
      <c r="K107">
        <v>40</v>
      </c>
      <c r="L107">
        <v>0</v>
      </c>
    </row>
    <row r="108" spans="1:12" hidden="1" x14ac:dyDescent="0.3">
      <c r="A108" t="s">
        <v>7128</v>
      </c>
      <c r="B108" t="s">
        <v>7074</v>
      </c>
      <c r="C108" t="s">
        <v>7096</v>
      </c>
      <c r="D108" t="s">
        <v>692</v>
      </c>
      <c r="E108" t="s">
        <v>693</v>
      </c>
      <c r="F108" s="17">
        <v>46023</v>
      </c>
      <c r="G108">
        <v>108</v>
      </c>
      <c r="H108">
        <v>31</v>
      </c>
      <c r="I108">
        <v>0</v>
      </c>
      <c r="J108">
        <v>0</v>
      </c>
      <c r="K108">
        <v>108</v>
      </c>
      <c r="L108">
        <v>0</v>
      </c>
    </row>
    <row r="109" spans="1:12" hidden="1" x14ac:dyDescent="0.3">
      <c r="A109" t="s">
        <v>7128</v>
      </c>
      <c r="B109" t="s">
        <v>7074</v>
      </c>
      <c r="C109" t="s">
        <v>7096</v>
      </c>
      <c r="D109" t="s">
        <v>2260</v>
      </c>
      <c r="E109" t="s">
        <v>2261</v>
      </c>
      <c r="F109" s="17">
        <v>46023</v>
      </c>
      <c r="G109">
        <v>117</v>
      </c>
      <c r="H109">
        <v>31</v>
      </c>
      <c r="I109">
        <v>0</v>
      </c>
      <c r="J109">
        <v>0</v>
      </c>
      <c r="K109">
        <v>117</v>
      </c>
      <c r="L109">
        <v>0</v>
      </c>
    </row>
    <row r="110" spans="1:12" hidden="1" x14ac:dyDescent="0.3">
      <c r="A110" t="s">
        <v>7128</v>
      </c>
      <c r="B110" t="s">
        <v>7074</v>
      </c>
      <c r="C110" t="s">
        <v>7096</v>
      </c>
      <c r="D110" t="s">
        <v>5243</v>
      </c>
      <c r="E110" t="s">
        <v>7129</v>
      </c>
      <c r="F110" s="17">
        <v>46023</v>
      </c>
      <c r="G110">
        <v>107</v>
      </c>
      <c r="H110">
        <v>31</v>
      </c>
      <c r="I110">
        <v>0</v>
      </c>
      <c r="J110">
        <v>0</v>
      </c>
      <c r="K110">
        <v>107</v>
      </c>
      <c r="L110">
        <v>0</v>
      </c>
    </row>
    <row r="111" spans="1:12" hidden="1" x14ac:dyDescent="0.3">
      <c r="A111" t="s">
        <v>7128</v>
      </c>
      <c r="B111" t="s">
        <v>7074</v>
      </c>
      <c r="C111" t="s">
        <v>7096</v>
      </c>
      <c r="D111" t="s">
        <v>5565</v>
      </c>
      <c r="E111" t="s">
        <v>5566</v>
      </c>
      <c r="F111" s="17">
        <v>46023</v>
      </c>
      <c r="G111">
        <v>108</v>
      </c>
      <c r="H111">
        <v>31</v>
      </c>
      <c r="I111">
        <v>0</v>
      </c>
      <c r="J111">
        <v>0</v>
      </c>
      <c r="K111">
        <v>108</v>
      </c>
      <c r="L111">
        <v>0</v>
      </c>
    </row>
    <row r="112" spans="1:12" hidden="1" x14ac:dyDescent="0.3">
      <c r="A112" t="s">
        <v>7128</v>
      </c>
      <c r="B112" t="s">
        <v>7074</v>
      </c>
      <c r="C112" t="s">
        <v>7035</v>
      </c>
      <c r="D112" t="s">
        <v>6006</v>
      </c>
      <c r="E112" t="s">
        <v>6007</v>
      </c>
      <c r="F112" s="17">
        <v>46023</v>
      </c>
      <c r="G112">
        <v>116</v>
      </c>
      <c r="H112">
        <v>31</v>
      </c>
      <c r="I112">
        <v>0</v>
      </c>
      <c r="J112">
        <v>0</v>
      </c>
      <c r="K112">
        <v>116</v>
      </c>
      <c r="L112">
        <v>0</v>
      </c>
    </row>
    <row r="113" spans="1:12" hidden="1" x14ac:dyDescent="0.3">
      <c r="A113" t="s">
        <v>7130</v>
      </c>
      <c r="B113" t="s">
        <v>7074</v>
      </c>
      <c r="C113" t="s">
        <v>7131</v>
      </c>
      <c r="D113" t="s">
        <v>4649</v>
      </c>
      <c r="E113" t="s">
        <v>4650</v>
      </c>
      <c r="F113" s="17">
        <v>46023</v>
      </c>
      <c r="G113">
        <v>30</v>
      </c>
      <c r="H113">
        <v>31</v>
      </c>
      <c r="I113">
        <v>0</v>
      </c>
      <c r="J113">
        <v>0</v>
      </c>
      <c r="K113">
        <v>30</v>
      </c>
      <c r="L113">
        <v>0</v>
      </c>
    </row>
    <row r="114" spans="1:12" hidden="1" x14ac:dyDescent="0.3">
      <c r="A114" t="s">
        <v>7130</v>
      </c>
      <c r="B114" t="s">
        <v>7074</v>
      </c>
      <c r="C114" t="s">
        <v>7132</v>
      </c>
      <c r="D114" t="s">
        <v>5211</v>
      </c>
      <c r="E114" t="s">
        <v>5212</v>
      </c>
      <c r="F114" s="17">
        <v>46023</v>
      </c>
      <c r="G114">
        <v>30</v>
      </c>
      <c r="H114">
        <v>31</v>
      </c>
      <c r="I114">
        <v>0</v>
      </c>
      <c r="J114">
        <v>0</v>
      </c>
      <c r="K114">
        <v>30</v>
      </c>
      <c r="L114">
        <v>0</v>
      </c>
    </row>
    <row r="115" spans="1:12" hidden="1" x14ac:dyDescent="0.3">
      <c r="A115" t="s">
        <v>7133</v>
      </c>
      <c r="B115" t="s">
        <v>7074</v>
      </c>
      <c r="C115" t="s">
        <v>7096</v>
      </c>
      <c r="D115" t="s">
        <v>4895</v>
      </c>
      <c r="E115" t="s">
        <v>4896</v>
      </c>
      <c r="F115" s="17">
        <v>46023</v>
      </c>
      <c r="G115">
        <v>36</v>
      </c>
      <c r="H115">
        <v>31</v>
      </c>
      <c r="I115">
        <v>0</v>
      </c>
      <c r="J115">
        <v>0</v>
      </c>
      <c r="K115">
        <v>36</v>
      </c>
      <c r="L115">
        <v>0</v>
      </c>
    </row>
    <row r="116" spans="1:12" hidden="1" x14ac:dyDescent="0.3">
      <c r="A116" t="s">
        <v>7133</v>
      </c>
      <c r="B116" t="s">
        <v>7074</v>
      </c>
      <c r="C116" t="s">
        <v>7134</v>
      </c>
      <c r="D116" t="s">
        <v>5376</v>
      </c>
      <c r="E116" t="s">
        <v>7135</v>
      </c>
      <c r="F116" s="17">
        <v>46023</v>
      </c>
      <c r="G116">
        <v>36</v>
      </c>
      <c r="H116">
        <v>31</v>
      </c>
      <c r="I116">
        <v>0</v>
      </c>
      <c r="J116">
        <v>0</v>
      </c>
      <c r="K116">
        <v>36</v>
      </c>
      <c r="L116">
        <v>0</v>
      </c>
    </row>
    <row r="117" spans="1:12" hidden="1" x14ac:dyDescent="0.3">
      <c r="A117" t="s">
        <v>7136</v>
      </c>
      <c r="B117" t="s">
        <v>7074</v>
      </c>
      <c r="C117" t="s">
        <v>7137</v>
      </c>
      <c r="D117" t="s">
        <v>434</v>
      </c>
      <c r="E117" t="s">
        <v>7138</v>
      </c>
      <c r="F117" s="17">
        <v>46023</v>
      </c>
      <c r="G117">
        <v>102</v>
      </c>
      <c r="H117">
        <v>31</v>
      </c>
      <c r="I117">
        <v>10</v>
      </c>
      <c r="J117">
        <v>9</v>
      </c>
      <c r="K117">
        <v>101</v>
      </c>
      <c r="L117">
        <v>-1</v>
      </c>
    </row>
    <row r="118" spans="1:12" hidden="1" x14ac:dyDescent="0.3">
      <c r="A118" t="s">
        <v>7136</v>
      </c>
      <c r="B118" t="s">
        <v>7074</v>
      </c>
      <c r="C118" t="s">
        <v>7137</v>
      </c>
      <c r="D118" t="s">
        <v>2541</v>
      </c>
      <c r="E118" t="s">
        <v>7139</v>
      </c>
      <c r="F118" s="17">
        <v>46023</v>
      </c>
      <c r="G118">
        <v>111</v>
      </c>
      <c r="H118">
        <v>31</v>
      </c>
      <c r="I118">
        <v>0</v>
      </c>
      <c r="J118">
        <v>0</v>
      </c>
      <c r="K118">
        <v>111</v>
      </c>
      <c r="L118">
        <v>0</v>
      </c>
    </row>
    <row r="119" spans="1:12" hidden="1" x14ac:dyDescent="0.3">
      <c r="A119" t="s">
        <v>7136</v>
      </c>
      <c r="B119" t="s">
        <v>7074</v>
      </c>
      <c r="C119" t="s">
        <v>7033</v>
      </c>
      <c r="D119" t="s">
        <v>2978</v>
      </c>
      <c r="E119" t="s">
        <v>7140</v>
      </c>
      <c r="F119" s="17">
        <v>46023</v>
      </c>
      <c r="G119">
        <v>112</v>
      </c>
      <c r="H119">
        <v>31</v>
      </c>
      <c r="I119">
        <v>0</v>
      </c>
      <c r="J119">
        <v>0</v>
      </c>
      <c r="K119">
        <v>112</v>
      </c>
      <c r="L119">
        <v>0</v>
      </c>
    </row>
    <row r="120" spans="1:12" hidden="1" x14ac:dyDescent="0.3">
      <c r="A120" t="s">
        <v>7141</v>
      </c>
      <c r="B120" t="s">
        <v>7074</v>
      </c>
      <c r="C120" t="s">
        <v>7096</v>
      </c>
      <c r="D120" t="s">
        <v>5955</v>
      </c>
      <c r="E120" t="s">
        <v>7142</v>
      </c>
      <c r="F120" s="17">
        <v>46023</v>
      </c>
      <c r="G120">
        <v>54</v>
      </c>
      <c r="H120">
        <v>31</v>
      </c>
      <c r="I120">
        <v>0</v>
      </c>
      <c r="J120">
        <v>0</v>
      </c>
      <c r="K120">
        <v>54</v>
      </c>
      <c r="L120">
        <v>0</v>
      </c>
    </row>
    <row r="121" spans="1:12" hidden="1" x14ac:dyDescent="0.3">
      <c r="A121" t="s">
        <v>7143</v>
      </c>
      <c r="B121" t="s">
        <v>7074</v>
      </c>
      <c r="C121" t="s">
        <v>7144</v>
      </c>
      <c r="D121" t="s">
        <v>909</v>
      </c>
      <c r="E121" t="s">
        <v>7145</v>
      </c>
      <c r="F121" s="17">
        <v>46023</v>
      </c>
      <c r="G121">
        <v>229</v>
      </c>
      <c r="H121">
        <v>31</v>
      </c>
      <c r="I121">
        <v>0</v>
      </c>
      <c r="J121">
        <v>0</v>
      </c>
      <c r="K121">
        <v>229</v>
      </c>
      <c r="L121">
        <v>0</v>
      </c>
    </row>
    <row r="122" spans="1:12" hidden="1" x14ac:dyDescent="0.3">
      <c r="A122" t="s">
        <v>7143</v>
      </c>
      <c r="B122" t="s">
        <v>7074</v>
      </c>
      <c r="C122" t="s">
        <v>7144</v>
      </c>
      <c r="D122" t="s">
        <v>2055</v>
      </c>
      <c r="E122" t="s">
        <v>2056</v>
      </c>
      <c r="F122" s="17">
        <v>46023</v>
      </c>
      <c r="G122">
        <v>207</v>
      </c>
      <c r="H122">
        <v>31</v>
      </c>
      <c r="I122">
        <v>0</v>
      </c>
      <c r="J122">
        <v>0</v>
      </c>
      <c r="K122">
        <v>207</v>
      </c>
      <c r="L122">
        <v>0</v>
      </c>
    </row>
    <row r="123" spans="1:12" hidden="1" x14ac:dyDescent="0.3">
      <c r="A123" t="s">
        <v>7143</v>
      </c>
      <c r="B123" t="s">
        <v>7074</v>
      </c>
      <c r="C123" t="s">
        <v>7144</v>
      </c>
      <c r="D123" t="s">
        <v>5348</v>
      </c>
      <c r="E123" t="s">
        <v>5349</v>
      </c>
      <c r="F123" s="17">
        <v>46023</v>
      </c>
      <c r="G123">
        <v>207</v>
      </c>
      <c r="H123">
        <v>31</v>
      </c>
      <c r="I123">
        <v>0</v>
      </c>
      <c r="J123">
        <v>0</v>
      </c>
      <c r="K123">
        <v>207</v>
      </c>
      <c r="L123">
        <v>0</v>
      </c>
    </row>
    <row r="124" spans="1:12" hidden="1" x14ac:dyDescent="0.3">
      <c r="A124" t="s">
        <v>7146</v>
      </c>
      <c r="B124" t="s">
        <v>7074</v>
      </c>
      <c r="C124" t="s">
        <v>7147</v>
      </c>
      <c r="D124" t="s">
        <v>1067</v>
      </c>
      <c r="E124" t="s">
        <v>7148</v>
      </c>
      <c r="F124" s="17">
        <v>46023</v>
      </c>
      <c r="G124">
        <v>103</v>
      </c>
      <c r="H124">
        <v>31</v>
      </c>
      <c r="I124">
        <v>0</v>
      </c>
      <c r="J124">
        <v>0</v>
      </c>
      <c r="K124">
        <v>103</v>
      </c>
      <c r="L124">
        <v>0</v>
      </c>
    </row>
    <row r="125" spans="1:12" hidden="1" x14ac:dyDescent="0.3">
      <c r="A125" t="s">
        <v>7146</v>
      </c>
      <c r="B125" t="s">
        <v>7074</v>
      </c>
      <c r="C125" t="s">
        <v>7035</v>
      </c>
      <c r="D125" t="s">
        <v>1560</v>
      </c>
      <c r="E125" t="s">
        <v>7149</v>
      </c>
      <c r="F125" s="17">
        <v>46023</v>
      </c>
      <c r="G125">
        <v>102.5</v>
      </c>
      <c r="H125">
        <v>31</v>
      </c>
      <c r="I125">
        <v>0</v>
      </c>
      <c r="J125">
        <v>0</v>
      </c>
      <c r="K125">
        <v>102.5</v>
      </c>
      <c r="L125">
        <v>0</v>
      </c>
    </row>
    <row r="126" spans="1:12" hidden="1" x14ac:dyDescent="0.3">
      <c r="A126" t="s">
        <v>7150</v>
      </c>
      <c r="B126" t="s">
        <v>7074</v>
      </c>
      <c r="C126" t="s">
        <v>7096</v>
      </c>
      <c r="D126" t="s">
        <v>241</v>
      </c>
      <c r="E126" t="s">
        <v>7151</v>
      </c>
      <c r="F126" s="17">
        <v>46023</v>
      </c>
      <c r="G126">
        <v>192</v>
      </c>
      <c r="H126">
        <v>31</v>
      </c>
      <c r="I126">
        <v>0</v>
      </c>
      <c r="J126">
        <v>0</v>
      </c>
      <c r="K126">
        <v>192</v>
      </c>
      <c r="L126">
        <v>0</v>
      </c>
    </row>
    <row r="127" spans="1:12" hidden="1" x14ac:dyDescent="0.3">
      <c r="A127" t="s">
        <v>7150</v>
      </c>
      <c r="B127" t="s">
        <v>7074</v>
      </c>
      <c r="C127" t="s">
        <v>7096</v>
      </c>
      <c r="D127" t="s">
        <v>1421</v>
      </c>
      <c r="E127" t="s">
        <v>1422</v>
      </c>
      <c r="F127" s="17">
        <v>46023</v>
      </c>
      <c r="G127">
        <v>192</v>
      </c>
      <c r="H127">
        <v>31</v>
      </c>
      <c r="I127">
        <v>0</v>
      </c>
      <c r="J127">
        <v>0</v>
      </c>
      <c r="K127">
        <v>192</v>
      </c>
      <c r="L127">
        <v>0</v>
      </c>
    </row>
    <row r="128" spans="1:12" hidden="1" x14ac:dyDescent="0.3">
      <c r="A128" t="s">
        <v>7150</v>
      </c>
      <c r="B128" t="s">
        <v>7074</v>
      </c>
      <c r="C128" t="s">
        <v>7035</v>
      </c>
      <c r="D128" t="s">
        <v>6339</v>
      </c>
      <c r="E128" t="s">
        <v>7152</v>
      </c>
      <c r="F128" s="17">
        <v>46023</v>
      </c>
      <c r="G128">
        <v>192</v>
      </c>
      <c r="H128">
        <v>31</v>
      </c>
      <c r="I128">
        <v>0</v>
      </c>
      <c r="J128">
        <v>0</v>
      </c>
      <c r="K128">
        <v>192</v>
      </c>
      <c r="L128">
        <v>0</v>
      </c>
    </row>
    <row r="129" spans="1:12" hidden="1" x14ac:dyDescent="0.3">
      <c r="A129" t="s">
        <v>7052</v>
      </c>
      <c r="B129" t="s">
        <v>7074</v>
      </c>
      <c r="C129" t="s">
        <v>7035</v>
      </c>
      <c r="D129" t="s">
        <v>504</v>
      </c>
      <c r="E129" t="s">
        <v>7153</v>
      </c>
      <c r="F129" s="17">
        <v>46023</v>
      </c>
      <c r="G129">
        <v>189</v>
      </c>
      <c r="H129">
        <v>31</v>
      </c>
      <c r="I129">
        <v>0</v>
      </c>
      <c r="J129">
        <v>6</v>
      </c>
      <c r="K129">
        <v>195</v>
      </c>
      <c r="L129">
        <v>6</v>
      </c>
    </row>
    <row r="130" spans="1:12" hidden="1" x14ac:dyDescent="0.3">
      <c r="A130" t="s">
        <v>7052</v>
      </c>
      <c r="B130" t="s">
        <v>7074</v>
      </c>
      <c r="C130" t="s">
        <v>7035</v>
      </c>
      <c r="D130" t="s">
        <v>660</v>
      </c>
      <c r="E130" t="s">
        <v>661</v>
      </c>
      <c r="F130" s="17">
        <v>46023</v>
      </c>
      <c r="G130">
        <v>222</v>
      </c>
      <c r="H130">
        <v>31</v>
      </c>
      <c r="I130">
        <v>24</v>
      </c>
      <c r="J130">
        <v>12</v>
      </c>
      <c r="K130">
        <v>210</v>
      </c>
      <c r="L130">
        <v>-12</v>
      </c>
    </row>
    <row r="131" spans="1:12" hidden="1" x14ac:dyDescent="0.3">
      <c r="A131" t="s">
        <v>7052</v>
      </c>
      <c r="B131" t="s">
        <v>7074</v>
      </c>
      <c r="C131" t="s">
        <v>7096</v>
      </c>
      <c r="D131" t="s">
        <v>333</v>
      </c>
      <c r="E131" t="s">
        <v>334</v>
      </c>
      <c r="F131" s="17">
        <v>46023</v>
      </c>
      <c r="G131">
        <v>51</v>
      </c>
      <c r="H131">
        <v>31</v>
      </c>
      <c r="I131">
        <v>0</v>
      </c>
      <c r="J131">
        <v>0</v>
      </c>
      <c r="K131">
        <v>51</v>
      </c>
      <c r="L131">
        <v>0</v>
      </c>
    </row>
    <row r="132" spans="1:12" hidden="1" x14ac:dyDescent="0.3">
      <c r="A132" t="s">
        <v>7052</v>
      </c>
      <c r="B132" t="s">
        <v>7074</v>
      </c>
      <c r="C132" t="s">
        <v>7154</v>
      </c>
      <c r="D132" t="s">
        <v>347</v>
      </c>
      <c r="E132" t="s">
        <v>348</v>
      </c>
      <c r="F132" s="17">
        <v>46023</v>
      </c>
      <c r="G132">
        <v>222</v>
      </c>
      <c r="H132">
        <v>31</v>
      </c>
      <c r="I132">
        <v>0</v>
      </c>
      <c r="J132">
        <v>0</v>
      </c>
      <c r="K132">
        <v>222</v>
      </c>
      <c r="L132">
        <v>0</v>
      </c>
    </row>
    <row r="133" spans="1:12" hidden="1" x14ac:dyDescent="0.3">
      <c r="A133" t="s">
        <v>7052</v>
      </c>
      <c r="B133" t="s">
        <v>7074</v>
      </c>
      <c r="C133" t="s">
        <v>7035</v>
      </c>
      <c r="D133" t="s">
        <v>836</v>
      </c>
      <c r="E133" t="s">
        <v>7155</v>
      </c>
      <c r="F133" s="17">
        <v>46023</v>
      </c>
      <c r="G133">
        <v>204.5</v>
      </c>
      <c r="H133">
        <v>31</v>
      </c>
      <c r="I133">
        <v>0</v>
      </c>
      <c r="J133">
        <v>0</v>
      </c>
      <c r="K133">
        <v>204.5</v>
      </c>
      <c r="L133">
        <v>0</v>
      </c>
    </row>
    <row r="134" spans="1:12" hidden="1" x14ac:dyDescent="0.3">
      <c r="A134" t="s">
        <v>7052</v>
      </c>
      <c r="B134" t="s">
        <v>7074</v>
      </c>
      <c r="C134" t="s">
        <v>7131</v>
      </c>
      <c r="D134" t="s">
        <v>2492</v>
      </c>
      <c r="E134" t="s">
        <v>2493</v>
      </c>
      <c r="F134" s="17">
        <v>46023</v>
      </c>
      <c r="G134">
        <v>190</v>
      </c>
      <c r="H134">
        <v>31</v>
      </c>
      <c r="I134">
        <v>6</v>
      </c>
      <c r="J134">
        <v>5</v>
      </c>
      <c r="K134">
        <v>189</v>
      </c>
      <c r="L134">
        <v>-1</v>
      </c>
    </row>
    <row r="135" spans="1:12" hidden="1" x14ac:dyDescent="0.3">
      <c r="A135" t="s">
        <v>7052</v>
      </c>
      <c r="B135" t="s">
        <v>7074</v>
      </c>
      <c r="C135" t="s">
        <v>7131</v>
      </c>
      <c r="D135" t="s">
        <v>2741</v>
      </c>
      <c r="E135" t="s">
        <v>7156</v>
      </c>
      <c r="F135" s="17">
        <v>46023</v>
      </c>
      <c r="G135">
        <v>172</v>
      </c>
      <c r="H135">
        <v>31</v>
      </c>
      <c r="I135">
        <v>28</v>
      </c>
      <c r="J135">
        <v>8</v>
      </c>
      <c r="K135">
        <v>152</v>
      </c>
      <c r="L135">
        <v>-20</v>
      </c>
    </row>
    <row r="136" spans="1:12" hidden="1" x14ac:dyDescent="0.3">
      <c r="A136" t="s">
        <v>7052</v>
      </c>
      <c r="B136" t="s">
        <v>7074</v>
      </c>
      <c r="C136" t="s">
        <v>7035</v>
      </c>
      <c r="D136" t="s">
        <v>2831</v>
      </c>
      <c r="E136" t="s">
        <v>2832</v>
      </c>
      <c r="F136" s="17">
        <v>46023</v>
      </c>
      <c r="G136">
        <v>120</v>
      </c>
      <c r="H136">
        <v>31</v>
      </c>
      <c r="I136">
        <v>0</v>
      </c>
      <c r="J136">
        <v>0</v>
      </c>
      <c r="K136">
        <v>120</v>
      </c>
      <c r="L136">
        <v>0</v>
      </c>
    </row>
    <row r="137" spans="1:12" hidden="1" x14ac:dyDescent="0.3">
      <c r="A137" t="s">
        <v>7052</v>
      </c>
      <c r="B137" t="s">
        <v>7074</v>
      </c>
      <c r="C137" t="s">
        <v>7033</v>
      </c>
      <c r="D137" t="s">
        <v>3272</v>
      </c>
      <c r="E137" t="s">
        <v>3273</v>
      </c>
      <c r="F137" s="17">
        <v>46023</v>
      </c>
      <c r="G137">
        <v>152</v>
      </c>
      <c r="H137">
        <v>31</v>
      </c>
      <c r="I137">
        <v>0</v>
      </c>
      <c r="J137">
        <v>0</v>
      </c>
      <c r="K137">
        <v>152</v>
      </c>
      <c r="L137">
        <v>0</v>
      </c>
    </row>
    <row r="138" spans="1:12" hidden="1" x14ac:dyDescent="0.3">
      <c r="A138" t="s">
        <v>7052</v>
      </c>
      <c r="B138" t="s">
        <v>7074</v>
      </c>
      <c r="C138" t="s">
        <v>7154</v>
      </c>
      <c r="D138" t="s">
        <v>3718</v>
      </c>
      <c r="E138" t="s">
        <v>3719</v>
      </c>
      <c r="F138" s="17">
        <v>46023</v>
      </c>
      <c r="G138">
        <v>204</v>
      </c>
      <c r="H138">
        <v>31</v>
      </c>
      <c r="I138">
        <v>0</v>
      </c>
      <c r="J138">
        <v>0</v>
      </c>
      <c r="K138">
        <v>204</v>
      </c>
      <c r="L138">
        <v>0</v>
      </c>
    </row>
    <row r="139" spans="1:12" hidden="1" x14ac:dyDescent="0.3">
      <c r="A139" t="s">
        <v>7157</v>
      </c>
      <c r="B139" t="s">
        <v>7074</v>
      </c>
      <c r="C139" t="s">
        <v>7158</v>
      </c>
      <c r="D139" t="s">
        <v>826</v>
      </c>
      <c r="E139" t="s">
        <v>7159</v>
      </c>
      <c r="F139" s="17">
        <v>46023</v>
      </c>
      <c r="G139">
        <v>63</v>
      </c>
      <c r="H139">
        <v>31</v>
      </c>
      <c r="I139">
        <v>10</v>
      </c>
      <c r="J139">
        <v>9</v>
      </c>
      <c r="K139">
        <v>62</v>
      </c>
      <c r="L139">
        <v>-1</v>
      </c>
    </row>
    <row r="140" spans="1:12" hidden="1" x14ac:dyDescent="0.3">
      <c r="A140" t="s">
        <v>7157</v>
      </c>
      <c r="B140" t="s">
        <v>7074</v>
      </c>
      <c r="C140" t="s">
        <v>7160</v>
      </c>
      <c r="D140" t="s">
        <v>5503</v>
      </c>
      <c r="E140" t="s">
        <v>7161</v>
      </c>
      <c r="F140" s="17">
        <v>46023</v>
      </c>
      <c r="G140">
        <v>83.5</v>
      </c>
      <c r="H140">
        <v>31</v>
      </c>
      <c r="I140">
        <v>6</v>
      </c>
      <c r="J140">
        <v>6</v>
      </c>
      <c r="K140">
        <v>82.5</v>
      </c>
      <c r="L140">
        <v>-1</v>
      </c>
    </row>
    <row r="141" spans="1:12" hidden="1" x14ac:dyDescent="0.3">
      <c r="A141" t="s">
        <v>7157</v>
      </c>
      <c r="B141" t="s">
        <v>7074</v>
      </c>
      <c r="C141" t="s">
        <v>7162</v>
      </c>
      <c r="D141" t="s">
        <v>1456</v>
      </c>
      <c r="E141" t="s">
        <v>7163</v>
      </c>
      <c r="F141" s="17">
        <v>46023</v>
      </c>
      <c r="G141">
        <v>74</v>
      </c>
      <c r="H141">
        <v>31</v>
      </c>
      <c r="I141">
        <v>0</v>
      </c>
      <c r="J141">
        <v>0</v>
      </c>
      <c r="K141">
        <v>74</v>
      </c>
      <c r="L141">
        <v>0</v>
      </c>
    </row>
    <row r="142" spans="1:12" hidden="1" x14ac:dyDescent="0.3">
      <c r="A142" t="s">
        <v>7157</v>
      </c>
      <c r="B142" t="s">
        <v>7074</v>
      </c>
      <c r="C142" t="s">
        <v>7162</v>
      </c>
      <c r="D142" t="s">
        <v>1887</v>
      </c>
      <c r="E142" t="s">
        <v>1888</v>
      </c>
      <c r="F142" s="17">
        <v>46023</v>
      </c>
      <c r="G142">
        <v>151</v>
      </c>
      <c r="H142">
        <v>31</v>
      </c>
      <c r="I142">
        <v>9</v>
      </c>
      <c r="J142">
        <v>10</v>
      </c>
      <c r="K142">
        <v>151.5</v>
      </c>
      <c r="L142">
        <v>0</v>
      </c>
    </row>
    <row r="143" spans="1:12" hidden="1" x14ac:dyDescent="0.3">
      <c r="A143" t="s">
        <v>7157</v>
      </c>
      <c r="B143" t="s">
        <v>7074</v>
      </c>
      <c r="C143" t="s">
        <v>7099</v>
      </c>
      <c r="D143" t="s">
        <v>3098</v>
      </c>
      <c r="E143" t="s">
        <v>3099</v>
      </c>
      <c r="F143" s="17">
        <v>46023</v>
      </c>
      <c r="G143">
        <v>74</v>
      </c>
      <c r="H143">
        <v>31</v>
      </c>
      <c r="I143">
        <v>0</v>
      </c>
      <c r="J143">
        <v>0</v>
      </c>
      <c r="K143">
        <v>74</v>
      </c>
      <c r="L143">
        <v>0</v>
      </c>
    </row>
    <row r="144" spans="1:12" hidden="1" x14ac:dyDescent="0.3">
      <c r="A144" t="s">
        <v>7157</v>
      </c>
      <c r="B144" t="s">
        <v>7074</v>
      </c>
      <c r="C144" t="s">
        <v>7164</v>
      </c>
      <c r="D144" t="s">
        <v>5102</v>
      </c>
      <c r="E144" t="s">
        <v>5103</v>
      </c>
      <c r="F144" s="17">
        <v>46023</v>
      </c>
      <c r="G144">
        <v>82.5</v>
      </c>
      <c r="H144">
        <v>31</v>
      </c>
      <c r="I144">
        <v>10</v>
      </c>
      <c r="J144">
        <v>0</v>
      </c>
      <c r="K144">
        <v>73</v>
      </c>
      <c r="L144">
        <v>-10</v>
      </c>
    </row>
    <row r="145" spans="1:12" hidden="1" x14ac:dyDescent="0.3">
      <c r="A145" t="s">
        <v>7165</v>
      </c>
      <c r="B145" t="s">
        <v>7074</v>
      </c>
      <c r="C145" t="s">
        <v>7035</v>
      </c>
      <c r="D145" t="s">
        <v>2967</v>
      </c>
      <c r="E145" t="s">
        <v>7166</v>
      </c>
      <c r="F145" s="17">
        <v>46023</v>
      </c>
      <c r="G145">
        <v>139</v>
      </c>
      <c r="H145">
        <v>31</v>
      </c>
      <c r="I145">
        <v>0</v>
      </c>
      <c r="J145">
        <v>0</v>
      </c>
      <c r="K145">
        <v>139</v>
      </c>
      <c r="L145">
        <v>0</v>
      </c>
    </row>
    <row r="146" spans="1:12" hidden="1" x14ac:dyDescent="0.3">
      <c r="A146" t="s">
        <v>7167</v>
      </c>
      <c r="B146" t="s">
        <v>7074</v>
      </c>
      <c r="C146" t="s">
        <v>7066</v>
      </c>
      <c r="D146" t="s">
        <v>6075</v>
      </c>
      <c r="E146" t="s">
        <v>7168</v>
      </c>
      <c r="F146" s="17">
        <v>46023</v>
      </c>
      <c r="G146">
        <v>64</v>
      </c>
      <c r="H146">
        <v>31</v>
      </c>
      <c r="I146">
        <v>0</v>
      </c>
      <c r="J146">
        <v>0</v>
      </c>
      <c r="K146">
        <v>64</v>
      </c>
      <c r="L146">
        <v>0</v>
      </c>
    </row>
    <row r="147" spans="1:12" hidden="1" x14ac:dyDescent="0.3">
      <c r="A147" t="s">
        <v>7169</v>
      </c>
      <c r="B147" t="s">
        <v>7074</v>
      </c>
      <c r="C147" t="s">
        <v>7035</v>
      </c>
      <c r="D147" t="s">
        <v>2403</v>
      </c>
      <c r="E147" t="s">
        <v>7170</v>
      </c>
      <c r="F147" s="17">
        <v>46023</v>
      </c>
      <c r="G147">
        <v>13</v>
      </c>
      <c r="H147">
        <v>31</v>
      </c>
      <c r="I147">
        <v>0</v>
      </c>
      <c r="J147">
        <v>0</v>
      </c>
      <c r="K147">
        <v>13</v>
      </c>
      <c r="L147">
        <v>0</v>
      </c>
    </row>
    <row r="148" spans="1:12" hidden="1" x14ac:dyDescent="0.3">
      <c r="A148" t="s">
        <v>7169</v>
      </c>
      <c r="B148" t="s">
        <v>7074</v>
      </c>
      <c r="C148" t="s">
        <v>7035</v>
      </c>
      <c r="D148" t="s">
        <v>4607</v>
      </c>
      <c r="E148" t="s">
        <v>7171</v>
      </c>
      <c r="F148" s="17">
        <v>46023</v>
      </c>
      <c r="G148">
        <v>13</v>
      </c>
      <c r="H148">
        <v>31</v>
      </c>
      <c r="I148">
        <v>0</v>
      </c>
      <c r="J148">
        <v>0</v>
      </c>
      <c r="K148">
        <v>13</v>
      </c>
      <c r="L148">
        <v>0</v>
      </c>
    </row>
    <row r="149" spans="1:12" hidden="1" x14ac:dyDescent="0.3">
      <c r="A149" t="s">
        <v>7172</v>
      </c>
      <c r="B149" t="s">
        <v>7074</v>
      </c>
      <c r="C149" t="s">
        <v>7096</v>
      </c>
      <c r="D149" t="s">
        <v>6875</v>
      </c>
      <c r="E149" t="s">
        <v>6876</v>
      </c>
      <c r="F149" s="17">
        <v>46023</v>
      </c>
      <c r="G149">
        <v>160</v>
      </c>
      <c r="H149">
        <v>31</v>
      </c>
      <c r="I149">
        <v>0</v>
      </c>
      <c r="J149">
        <v>0</v>
      </c>
      <c r="K149">
        <v>160</v>
      </c>
      <c r="L149">
        <v>0</v>
      </c>
    </row>
    <row r="150" spans="1:12" hidden="1" x14ac:dyDescent="0.3">
      <c r="A150" t="s">
        <v>7173</v>
      </c>
      <c r="B150" t="s">
        <v>7074</v>
      </c>
      <c r="C150" t="s">
        <v>7096</v>
      </c>
      <c r="D150" t="s">
        <v>886</v>
      </c>
      <c r="E150" t="s">
        <v>887</v>
      </c>
      <c r="F150" s="17">
        <v>46023</v>
      </c>
      <c r="G150">
        <v>41.5</v>
      </c>
      <c r="H150">
        <v>31</v>
      </c>
      <c r="I150">
        <v>0</v>
      </c>
      <c r="J150">
        <v>0</v>
      </c>
      <c r="K150">
        <v>41.5</v>
      </c>
      <c r="L150">
        <v>0</v>
      </c>
    </row>
    <row r="151" spans="1:12" hidden="1" x14ac:dyDescent="0.3">
      <c r="A151" t="s">
        <v>7174</v>
      </c>
      <c r="B151" t="s">
        <v>7074</v>
      </c>
      <c r="C151" t="s">
        <v>7035</v>
      </c>
      <c r="D151" t="s">
        <v>2585</v>
      </c>
      <c r="E151" t="s">
        <v>7175</v>
      </c>
      <c r="F151" s="17">
        <v>46023</v>
      </c>
      <c r="G151">
        <v>39.5</v>
      </c>
      <c r="H151">
        <v>11</v>
      </c>
      <c r="I151">
        <v>0</v>
      </c>
      <c r="J151">
        <v>0</v>
      </c>
      <c r="K151">
        <v>39.5</v>
      </c>
      <c r="L151">
        <v>0</v>
      </c>
    </row>
    <row r="152" spans="1:12" hidden="1" x14ac:dyDescent="0.3">
      <c r="A152" t="s">
        <v>7174</v>
      </c>
      <c r="B152" t="s">
        <v>7074</v>
      </c>
      <c r="C152" t="s">
        <v>7158</v>
      </c>
      <c r="D152" t="s">
        <v>2956</v>
      </c>
      <c r="E152" t="s">
        <v>7176</v>
      </c>
      <c r="F152" s="17">
        <v>46023</v>
      </c>
      <c r="G152">
        <v>39.5</v>
      </c>
      <c r="H152">
        <v>31</v>
      </c>
      <c r="I152">
        <v>0</v>
      </c>
      <c r="J152">
        <v>0</v>
      </c>
      <c r="K152">
        <v>39.5</v>
      </c>
      <c r="L152">
        <v>0</v>
      </c>
    </row>
    <row r="153" spans="1:12" hidden="1" x14ac:dyDescent="0.3">
      <c r="A153" t="s">
        <v>7177</v>
      </c>
      <c r="B153" t="s">
        <v>7074</v>
      </c>
      <c r="C153" t="s">
        <v>7096</v>
      </c>
      <c r="D153" t="s">
        <v>210</v>
      </c>
      <c r="E153" t="s">
        <v>211</v>
      </c>
      <c r="F153" s="17">
        <v>46023</v>
      </c>
      <c r="G153">
        <v>23</v>
      </c>
      <c r="H153">
        <v>31</v>
      </c>
      <c r="I153">
        <v>0</v>
      </c>
      <c r="J153">
        <v>0</v>
      </c>
      <c r="K153">
        <v>23</v>
      </c>
      <c r="L153">
        <v>0</v>
      </c>
    </row>
    <row r="154" spans="1:12" hidden="1" x14ac:dyDescent="0.3">
      <c r="A154" t="s">
        <v>7177</v>
      </c>
      <c r="B154" t="s">
        <v>7074</v>
      </c>
      <c r="C154" t="s">
        <v>7178</v>
      </c>
      <c r="D154" t="s">
        <v>2685</v>
      </c>
      <c r="E154" t="s">
        <v>7179</v>
      </c>
      <c r="F154" s="17">
        <v>46023</v>
      </c>
      <c r="G154">
        <v>23</v>
      </c>
      <c r="H154">
        <v>31</v>
      </c>
      <c r="I154">
        <v>0</v>
      </c>
      <c r="J154">
        <v>0</v>
      </c>
      <c r="K154">
        <v>23</v>
      </c>
      <c r="L154">
        <v>0</v>
      </c>
    </row>
    <row r="155" spans="1:12" hidden="1" x14ac:dyDescent="0.3">
      <c r="A155" t="s">
        <v>7177</v>
      </c>
      <c r="B155" t="s">
        <v>7074</v>
      </c>
      <c r="C155" t="s">
        <v>7035</v>
      </c>
      <c r="D155" t="s">
        <v>4259</v>
      </c>
      <c r="E155" t="s">
        <v>4260</v>
      </c>
      <c r="F155" s="17">
        <v>46023</v>
      </c>
      <c r="G155">
        <v>23</v>
      </c>
      <c r="H155">
        <v>31</v>
      </c>
      <c r="I155">
        <v>0</v>
      </c>
      <c r="J155">
        <v>0</v>
      </c>
      <c r="K155">
        <v>23</v>
      </c>
      <c r="L155">
        <v>0</v>
      </c>
    </row>
    <row r="156" spans="1:12" hidden="1" x14ac:dyDescent="0.3">
      <c r="A156" t="s">
        <v>7177</v>
      </c>
      <c r="B156" t="s">
        <v>7074</v>
      </c>
      <c r="C156" t="s">
        <v>7096</v>
      </c>
      <c r="D156" t="s">
        <v>4895</v>
      </c>
      <c r="E156" t="s">
        <v>4896</v>
      </c>
      <c r="F156" s="17">
        <v>46023</v>
      </c>
      <c r="G156">
        <v>23</v>
      </c>
      <c r="H156">
        <v>31</v>
      </c>
      <c r="I156">
        <v>0</v>
      </c>
      <c r="J156">
        <v>0</v>
      </c>
      <c r="K156">
        <v>23</v>
      </c>
      <c r="L156">
        <v>0</v>
      </c>
    </row>
    <row r="157" spans="1:12" hidden="1" x14ac:dyDescent="0.3">
      <c r="A157" t="s">
        <v>7180</v>
      </c>
      <c r="B157" t="s">
        <v>7074</v>
      </c>
      <c r="C157" t="s">
        <v>7035</v>
      </c>
      <c r="D157" t="s">
        <v>2596</v>
      </c>
      <c r="E157" t="s">
        <v>2597</v>
      </c>
      <c r="F157" s="17">
        <v>46023</v>
      </c>
      <c r="G157">
        <v>19.5</v>
      </c>
      <c r="H157">
        <v>31</v>
      </c>
      <c r="I157">
        <v>0</v>
      </c>
      <c r="J157">
        <v>0</v>
      </c>
      <c r="K157">
        <v>19.5</v>
      </c>
      <c r="L157">
        <v>0</v>
      </c>
    </row>
    <row r="158" spans="1:12" hidden="1" x14ac:dyDescent="0.3">
      <c r="A158" t="s">
        <v>7180</v>
      </c>
      <c r="B158" t="s">
        <v>7074</v>
      </c>
      <c r="D158" t="s">
        <v>6090</v>
      </c>
      <c r="E158" t="s">
        <v>7181</v>
      </c>
      <c r="F158" s="17">
        <v>46023</v>
      </c>
      <c r="G158">
        <v>19.5</v>
      </c>
      <c r="H158">
        <v>31</v>
      </c>
      <c r="I158">
        <v>0</v>
      </c>
      <c r="J158">
        <v>0</v>
      </c>
      <c r="K158">
        <v>19.5</v>
      </c>
      <c r="L158">
        <v>0</v>
      </c>
    </row>
    <row r="159" spans="1:12" hidden="1" x14ac:dyDescent="0.3">
      <c r="A159" t="s">
        <v>7182</v>
      </c>
      <c r="B159" t="s">
        <v>7074</v>
      </c>
      <c r="C159" t="s">
        <v>7035</v>
      </c>
      <c r="D159" t="s">
        <v>593</v>
      </c>
      <c r="E159" t="s">
        <v>7183</v>
      </c>
      <c r="F159" s="17">
        <v>46023</v>
      </c>
      <c r="G159">
        <v>196.55</v>
      </c>
      <c r="H159">
        <v>31</v>
      </c>
      <c r="I159">
        <v>0</v>
      </c>
      <c r="J159">
        <v>0</v>
      </c>
      <c r="K159">
        <v>196.55</v>
      </c>
      <c r="L159">
        <v>0</v>
      </c>
    </row>
    <row r="160" spans="1:12" hidden="1" x14ac:dyDescent="0.3">
      <c r="A160" t="s">
        <v>7182</v>
      </c>
      <c r="B160" t="s">
        <v>7074</v>
      </c>
      <c r="C160" t="s">
        <v>7035</v>
      </c>
      <c r="D160" t="s">
        <v>2530</v>
      </c>
      <c r="E160" t="s">
        <v>7184</v>
      </c>
      <c r="F160" s="17">
        <v>46023</v>
      </c>
      <c r="G160">
        <v>188.5</v>
      </c>
      <c r="H160">
        <v>31</v>
      </c>
      <c r="I160">
        <v>0</v>
      </c>
      <c r="J160">
        <v>0</v>
      </c>
      <c r="K160">
        <v>188.5</v>
      </c>
      <c r="L160">
        <v>0</v>
      </c>
    </row>
    <row r="161" spans="1:12" hidden="1" x14ac:dyDescent="0.3">
      <c r="A161" t="s">
        <v>7185</v>
      </c>
      <c r="B161" t="s">
        <v>7186</v>
      </c>
      <c r="C161" t="s">
        <v>7035</v>
      </c>
      <c r="D161" t="s">
        <v>3164</v>
      </c>
      <c r="E161" t="s">
        <v>7187</v>
      </c>
      <c r="F161" s="17">
        <v>46023</v>
      </c>
      <c r="G161">
        <v>143</v>
      </c>
      <c r="H161">
        <v>31</v>
      </c>
      <c r="I161">
        <v>0</v>
      </c>
      <c r="J161">
        <v>0</v>
      </c>
      <c r="K161">
        <v>143</v>
      </c>
      <c r="L161">
        <v>0</v>
      </c>
    </row>
    <row r="162" spans="1:12" hidden="1" x14ac:dyDescent="0.3">
      <c r="A162" t="s">
        <v>7185</v>
      </c>
      <c r="B162" t="s">
        <v>7186</v>
      </c>
      <c r="C162" t="s">
        <v>7035</v>
      </c>
      <c r="D162" t="s">
        <v>773</v>
      </c>
      <c r="E162" t="s">
        <v>7188</v>
      </c>
      <c r="F162" s="17">
        <v>46023</v>
      </c>
      <c r="G162">
        <v>143</v>
      </c>
      <c r="H162">
        <v>31</v>
      </c>
      <c r="I162">
        <v>0</v>
      </c>
      <c r="J162">
        <v>0</v>
      </c>
      <c r="K162">
        <v>143</v>
      </c>
      <c r="L162">
        <v>0</v>
      </c>
    </row>
    <row r="163" spans="1:12" hidden="1" x14ac:dyDescent="0.3">
      <c r="A163" t="s">
        <v>7185</v>
      </c>
      <c r="B163" t="s">
        <v>7186</v>
      </c>
      <c r="C163" t="s">
        <v>7035</v>
      </c>
      <c r="D163" t="s">
        <v>2277</v>
      </c>
      <c r="E163" t="s">
        <v>7189</v>
      </c>
      <c r="F163" s="17">
        <v>46023</v>
      </c>
      <c r="G163">
        <v>143</v>
      </c>
      <c r="H163">
        <v>31</v>
      </c>
      <c r="I163">
        <v>0</v>
      </c>
      <c r="J163">
        <v>0</v>
      </c>
      <c r="K163">
        <v>143</v>
      </c>
      <c r="L163">
        <v>0</v>
      </c>
    </row>
    <row r="164" spans="1:12" hidden="1" x14ac:dyDescent="0.3">
      <c r="A164" t="s">
        <v>7185</v>
      </c>
      <c r="B164" t="s">
        <v>7186</v>
      </c>
      <c r="C164" t="s">
        <v>7035</v>
      </c>
      <c r="D164" t="s">
        <v>3086</v>
      </c>
      <c r="E164" t="s">
        <v>7190</v>
      </c>
      <c r="F164" s="17">
        <v>46023</v>
      </c>
      <c r="G164">
        <v>136</v>
      </c>
      <c r="H164">
        <v>31</v>
      </c>
      <c r="I164">
        <v>0</v>
      </c>
      <c r="J164">
        <v>0</v>
      </c>
      <c r="K164">
        <v>136</v>
      </c>
      <c r="L164">
        <v>0</v>
      </c>
    </row>
    <row r="165" spans="1:12" hidden="1" x14ac:dyDescent="0.3">
      <c r="A165" t="s">
        <v>7185</v>
      </c>
      <c r="B165" t="s">
        <v>7186</v>
      </c>
      <c r="C165" t="s">
        <v>7035</v>
      </c>
      <c r="D165" t="s">
        <v>4233</v>
      </c>
      <c r="E165" t="s">
        <v>7191</v>
      </c>
      <c r="F165" s="17">
        <v>46023</v>
      </c>
      <c r="G165">
        <v>143</v>
      </c>
      <c r="H165">
        <v>31</v>
      </c>
      <c r="I165">
        <v>0</v>
      </c>
      <c r="J165">
        <v>0</v>
      </c>
      <c r="K165">
        <v>143</v>
      </c>
      <c r="L165">
        <v>0</v>
      </c>
    </row>
    <row r="166" spans="1:12" hidden="1" x14ac:dyDescent="0.3">
      <c r="A166" t="s">
        <v>7185</v>
      </c>
      <c r="B166" t="s">
        <v>7186</v>
      </c>
      <c r="C166" t="s">
        <v>7035</v>
      </c>
      <c r="D166" t="s">
        <v>5326</v>
      </c>
      <c r="E166" t="s">
        <v>7192</v>
      </c>
      <c r="F166" s="17">
        <v>46023</v>
      </c>
      <c r="G166">
        <v>143</v>
      </c>
      <c r="H166">
        <v>31</v>
      </c>
      <c r="I166">
        <v>0</v>
      </c>
      <c r="J166">
        <v>0</v>
      </c>
      <c r="K166">
        <v>143</v>
      </c>
      <c r="L166">
        <v>0</v>
      </c>
    </row>
    <row r="167" spans="1:12" hidden="1" x14ac:dyDescent="0.3">
      <c r="A167" t="s">
        <v>7185</v>
      </c>
      <c r="B167" t="s">
        <v>7186</v>
      </c>
      <c r="C167" t="s">
        <v>7035</v>
      </c>
      <c r="D167" t="s">
        <v>5528</v>
      </c>
      <c r="E167" t="s">
        <v>5529</v>
      </c>
      <c r="F167" s="17">
        <v>46023</v>
      </c>
      <c r="G167">
        <v>143</v>
      </c>
      <c r="H167">
        <v>31</v>
      </c>
      <c r="I167">
        <v>0</v>
      </c>
      <c r="J167">
        <v>0</v>
      </c>
      <c r="K167">
        <v>143</v>
      </c>
      <c r="L167">
        <v>0</v>
      </c>
    </row>
    <row r="168" spans="1:12" hidden="1" x14ac:dyDescent="0.3">
      <c r="A168" t="s">
        <v>7185</v>
      </c>
      <c r="B168" t="s">
        <v>7186</v>
      </c>
      <c r="C168" t="s">
        <v>7035</v>
      </c>
      <c r="D168" t="s">
        <v>6467</v>
      </c>
      <c r="E168" t="s">
        <v>6468</v>
      </c>
      <c r="F168" s="17">
        <v>46023</v>
      </c>
      <c r="G168">
        <v>135</v>
      </c>
      <c r="H168">
        <v>31</v>
      </c>
      <c r="I168">
        <v>0</v>
      </c>
      <c r="J168">
        <v>0</v>
      </c>
      <c r="K168">
        <v>135</v>
      </c>
      <c r="L168">
        <v>0</v>
      </c>
    </row>
    <row r="169" spans="1:12" hidden="1" x14ac:dyDescent="0.3">
      <c r="A169" t="s">
        <v>7193</v>
      </c>
      <c r="B169" t="s">
        <v>7186</v>
      </c>
      <c r="D169" t="s">
        <v>2999</v>
      </c>
      <c r="E169" t="s">
        <v>7194</v>
      </c>
      <c r="F169" s="17">
        <v>46023</v>
      </c>
      <c r="G169">
        <v>148</v>
      </c>
      <c r="H169">
        <v>31</v>
      </c>
      <c r="I169">
        <v>0</v>
      </c>
      <c r="J169">
        <v>0</v>
      </c>
      <c r="K169">
        <v>148</v>
      </c>
      <c r="L169">
        <v>0</v>
      </c>
    </row>
    <row r="170" spans="1:12" hidden="1" x14ac:dyDescent="0.3">
      <c r="A170" t="s">
        <v>7193</v>
      </c>
      <c r="B170" t="s">
        <v>7186</v>
      </c>
      <c r="C170" t="s">
        <v>7144</v>
      </c>
      <c r="D170" t="s">
        <v>4494</v>
      </c>
      <c r="E170" t="s">
        <v>4495</v>
      </c>
      <c r="F170" s="17">
        <v>46023</v>
      </c>
      <c r="G170">
        <v>170</v>
      </c>
      <c r="H170">
        <v>31</v>
      </c>
      <c r="I170">
        <v>0</v>
      </c>
      <c r="J170">
        <v>0</v>
      </c>
      <c r="K170">
        <v>170</v>
      </c>
      <c r="L170">
        <v>0</v>
      </c>
    </row>
    <row r="171" spans="1:12" hidden="1" x14ac:dyDescent="0.3">
      <c r="A171" t="s">
        <v>7193</v>
      </c>
      <c r="B171" t="s">
        <v>7186</v>
      </c>
      <c r="C171" t="s">
        <v>7035</v>
      </c>
      <c r="D171" t="s">
        <v>5524</v>
      </c>
      <c r="E171" t="s">
        <v>7195</v>
      </c>
      <c r="F171" s="17">
        <v>46023</v>
      </c>
      <c r="G171">
        <v>161</v>
      </c>
      <c r="H171">
        <v>31</v>
      </c>
      <c r="I171">
        <v>0</v>
      </c>
      <c r="J171">
        <v>0</v>
      </c>
      <c r="K171">
        <v>161</v>
      </c>
      <c r="L171">
        <v>0</v>
      </c>
    </row>
    <row r="172" spans="1:12" hidden="1" x14ac:dyDescent="0.3">
      <c r="A172" t="s">
        <v>7193</v>
      </c>
      <c r="B172" t="s">
        <v>7186</v>
      </c>
      <c r="C172" t="s">
        <v>7035</v>
      </c>
      <c r="D172" t="s">
        <v>6319</v>
      </c>
      <c r="E172" t="s">
        <v>7196</v>
      </c>
      <c r="F172" s="17">
        <v>46023</v>
      </c>
      <c r="G172">
        <v>154.5</v>
      </c>
      <c r="H172">
        <v>31</v>
      </c>
      <c r="I172">
        <v>0</v>
      </c>
      <c r="J172">
        <v>0</v>
      </c>
      <c r="K172">
        <v>154.5</v>
      </c>
      <c r="L172">
        <v>0</v>
      </c>
    </row>
    <row r="173" spans="1:12" hidden="1" x14ac:dyDescent="0.3">
      <c r="A173" t="s">
        <v>7193</v>
      </c>
      <c r="B173" t="s">
        <v>7186</v>
      </c>
      <c r="C173" t="s">
        <v>7035</v>
      </c>
      <c r="D173" t="s">
        <v>6332</v>
      </c>
      <c r="E173" t="s">
        <v>7197</v>
      </c>
      <c r="F173" s="17">
        <v>46023</v>
      </c>
      <c r="G173">
        <v>161</v>
      </c>
      <c r="H173">
        <v>31</v>
      </c>
      <c r="I173">
        <v>0</v>
      </c>
      <c r="J173">
        <v>0</v>
      </c>
      <c r="K173">
        <v>161</v>
      </c>
      <c r="L173">
        <v>0</v>
      </c>
    </row>
    <row r="174" spans="1:12" hidden="1" x14ac:dyDescent="0.3">
      <c r="A174" t="s">
        <v>7198</v>
      </c>
      <c r="B174" t="s">
        <v>7186</v>
      </c>
      <c r="C174" t="s">
        <v>7035</v>
      </c>
      <c r="D174" t="s">
        <v>901</v>
      </c>
      <c r="E174" t="s">
        <v>902</v>
      </c>
      <c r="F174" s="17">
        <v>46023</v>
      </c>
      <c r="G174">
        <v>151.5</v>
      </c>
      <c r="H174">
        <v>31</v>
      </c>
      <c r="I174">
        <v>0</v>
      </c>
      <c r="J174">
        <v>0</v>
      </c>
      <c r="K174">
        <v>151.5</v>
      </c>
      <c r="L174">
        <v>0</v>
      </c>
    </row>
    <row r="175" spans="1:12" hidden="1" x14ac:dyDescent="0.3">
      <c r="A175" t="s">
        <v>7198</v>
      </c>
      <c r="B175" t="s">
        <v>7186</v>
      </c>
      <c r="C175" t="s">
        <v>7035</v>
      </c>
      <c r="D175" t="s">
        <v>3587</v>
      </c>
      <c r="E175" t="s">
        <v>7199</v>
      </c>
      <c r="F175" s="17">
        <v>46023</v>
      </c>
      <c r="G175">
        <v>114</v>
      </c>
      <c r="H175">
        <v>31</v>
      </c>
      <c r="I175">
        <v>0</v>
      </c>
      <c r="J175">
        <v>0</v>
      </c>
      <c r="K175">
        <v>114</v>
      </c>
      <c r="L175">
        <v>0</v>
      </c>
    </row>
    <row r="176" spans="1:12" hidden="1" x14ac:dyDescent="0.3">
      <c r="A176" t="s">
        <v>7200</v>
      </c>
      <c r="B176" t="s">
        <v>7186</v>
      </c>
      <c r="C176" t="s">
        <v>7035</v>
      </c>
      <c r="D176" t="s">
        <v>882</v>
      </c>
      <c r="E176" t="s">
        <v>7201</v>
      </c>
      <c r="F176" s="17">
        <v>46023</v>
      </c>
      <c r="G176">
        <v>170</v>
      </c>
      <c r="H176">
        <v>31</v>
      </c>
      <c r="I176">
        <v>0</v>
      </c>
      <c r="J176">
        <v>0</v>
      </c>
      <c r="K176">
        <v>170</v>
      </c>
      <c r="L176">
        <v>0</v>
      </c>
    </row>
    <row r="177" spans="1:12" hidden="1" x14ac:dyDescent="0.3">
      <c r="A177" t="s">
        <v>7202</v>
      </c>
      <c r="B177" t="s">
        <v>7186</v>
      </c>
      <c r="C177" t="s">
        <v>7035</v>
      </c>
      <c r="D177" t="s">
        <v>657</v>
      </c>
      <c r="E177" t="s">
        <v>7203</v>
      </c>
      <c r="F177" s="17">
        <v>46023</v>
      </c>
      <c r="G177">
        <v>194</v>
      </c>
      <c r="H177">
        <v>31</v>
      </c>
      <c r="I177">
        <v>0</v>
      </c>
      <c r="J177">
        <v>0</v>
      </c>
      <c r="K177">
        <v>194</v>
      </c>
      <c r="L177">
        <v>0</v>
      </c>
    </row>
    <row r="178" spans="1:12" hidden="1" x14ac:dyDescent="0.3">
      <c r="A178" t="s">
        <v>7204</v>
      </c>
      <c r="B178" t="s">
        <v>7186</v>
      </c>
      <c r="C178" t="s">
        <v>7035</v>
      </c>
      <c r="D178" t="s">
        <v>182</v>
      </c>
      <c r="E178" t="s">
        <v>7205</v>
      </c>
      <c r="F178" s="17">
        <v>46023</v>
      </c>
      <c r="G178">
        <v>150</v>
      </c>
      <c r="H178">
        <v>31</v>
      </c>
      <c r="I178">
        <v>0</v>
      </c>
      <c r="J178">
        <v>0</v>
      </c>
      <c r="K178">
        <v>150</v>
      </c>
      <c r="L178">
        <v>0</v>
      </c>
    </row>
    <row r="179" spans="1:12" hidden="1" x14ac:dyDescent="0.3">
      <c r="A179" t="s">
        <v>7206</v>
      </c>
      <c r="B179" t="s">
        <v>7186</v>
      </c>
      <c r="D179" t="s">
        <v>777</v>
      </c>
      <c r="E179" t="s">
        <v>7207</v>
      </c>
      <c r="F179" s="17">
        <v>46023</v>
      </c>
      <c r="G179">
        <v>132.28</v>
      </c>
      <c r="H179">
        <v>31</v>
      </c>
      <c r="I179">
        <v>0</v>
      </c>
      <c r="J179">
        <v>0</v>
      </c>
      <c r="K179">
        <v>132.28</v>
      </c>
      <c r="L179">
        <v>0</v>
      </c>
    </row>
    <row r="180" spans="1:12" hidden="1" x14ac:dyDescent="0.3">
      <c r="A180" t="s">
        <v>7206</v>
      </c>
      <c r="B180" t="s">
        <v>7186</v>
      </c>
      <c r="D180" t="s">
        <v>4628</v>
      </c>
      <c r="E180" t="s">
        <v>7208</v>
      </c>
      <c r="F180" s="17">
        <v>46023</v>
      </c>
      <c r="G180">
        <v>124.44999999999999</v>
      </c>
      <c r="H180">
        <v>31</v>
      </c>
      <c r="I180">
        <v>0</v>
      </c>
      <c r="J180">
        <v>0</v>
      </c>
      <c r="K180">
        <v>124.44999999999999</v>
      </c>
      <c r="L180">
        <v>0</v>
      </c>
    </row>
    <row r="181" spans="1:12" hidden="1" x14ac:dyDescent="0.3">
      <c r="A181" t="s">
        <v>7206</v>
      </c>
      <c r="B181" t="s">
        <v>7186</v>
      </c>
      <c r="D181" t="s">
        <v>5748</v>
      </c>
      <c r="E181" t="s">
        <v>7209</v>
      </c>
      <c r="F181" s="17">
        <v>46023</v>
      </c>
      <c r="G181">
        <v>121.61999999999999</v>
      </c>
      <c r="H181">
        <v>31</v>
      </c>
      <c r="I181">
        <v>0</v>
      </c>
      <c r="J181">
        <v>0</v>
      </c>
      <c r="K181">
        <v>121.61999999999999</v>
      </c>
      <c r="L181">
        <v>0</v>
      </c>
    </row>
    <row r="182" spans="1:12" hidden="1" x14ac:dyDescent="0.3">
      <c r="A182" t="s">
        <v>7206</v>
      </c>
      <c r="B182" t="s">
        <v>7186</v>
      </c>
      <c r="D182" t="s">
        <v>6003</v>
      </c>
      <c r="E182" t="s">
        <v>6004</v>
      </c>
      <c r="F182" s="17">
        <v>46023</v>
      </c>
      <c r="G182">
        <v>127.20999999999998</v>
      </c>
      <c r="H182">
        <v>31</v>
      </c>
      <c r="I182">
        <v>0</v>
      </c>
      <c r="J182">
        <v>0</v>
      </c>
      <c r="K182">
        <v>127.20999999999998</v>
      </c>
      <c r="L182">
        <v>0</v>
      </c>
    </row>
    <row r="183" spans="1:12" hidden="1" x14ac:dyDescent="0.3">
      <c r="A183" t="s">
        <v>7210</v>
      </c>
      <c r="B183" t="s">
        <v>7186</v>
      </c>
      <c r="D183" t="s">
        <v>5596</v>
      </c>
      <c r="E183" t="s">
        <v>7211</v>
      </c>
      <c r="F183" s="17">
        <v>46023</v>
      </c>
      <c r="G183">
        <v>238</v>
      </c>
      <c r="H183">
        <v>31</v>
      </c>
      <c r="I183">
        <v>0</v>
      </c>
      <c r="J183">
        <v>0</v>
      </c>
      <c r="K183">
        <v>238</v>
      </c>
      <c r="L183">
        <v>0</v>
      </c>
    </row>
    <row r="184" spans="1:12" hidden="1" x14ac:dyDescent="0.3">
      <c r="A184" t="s">
        <v>7210</v>
      </c>
      <c r="B184" t="s">
        <v>7186</v>
      </c>
      <c r="C184" t="s">
        <v>7035</v>
      </c>
      <c r="D184" t="s">
        <v>6494</v>
      </c>
      <c r="E184" t="s">
        <v>7212</v>
      </c>
      <c r="F184" s="17">
        <v>46023</v>
      </c>
      <c r="G184">
        <v>238</v>
      </c>
      <c r="H184">
        <v>31</v>
      </c>
      <c r="I184">
        <v>0</v>
      </c>
      <c r="J184">
        <v>0</v>
      </c>
      <c r="K184">
        <v>238</v>
      </c>
      <c r="L184">
        <v>0</v>
      </c>
    </row>
    <row r="185" spans="1:12" hidden="1" x14ac:dyDescent="0.3">
      <c r="A185" t="s">
        <v>7213</v>
      </c>
      <c r="B185" t="s">
        <v>7186</v>
      </c>
      <c r="D185" t="s">
        <v>1552</v>
      </c>
      <c r="E185" t="s">
        <v>7214</v>
      </c>
      <c r="F185" s="17">
        <v>46023</v>
      </c>
      <c r="G185">
        <v>173</v>
      </c>
      <c r="H185">
        <v>31</v>
      </c>
      <c r="I185">
        <v>10</v>
      </c>
      <c r="J185">
        <v>10</v>
      </c>
      <c r="K185">
        <v>172.5</v>
      </c>
      <c r="L185">
        <v>0</v>
      </c>
    </row>
    <row r="186" spans="1:12" hidden="1" x14ac:dyDescent="0.3">
      <c r="A186" t="s">
        <v>7213</v>
      </c>
      <c r="B186" t="s">
        <v>7186</v>
      </c>
      <c r="C186" t="s">
        <v>7035</v>
      </c>
      <c r="D186" t="s">
        <v>1590</v>
      </c>
      <c r="E186" t="s">
        <v>7215</v>
      </c>
      <c r="F186" s="17">
        <v>46023</v>
      </c>
      <c r="G186">
        <v>173</v>
      </c>
      <c r="H186">
        <v>31</v>
      </c>
      <c r="I186">
        <v>0</v>
      </c>
      <c r="J186">
        <v>0</v>
      </c>
      <c r="K186">
        <v>173</v>
      </c>
      <c r="L186">
        <v>0</v>
      </c>
    </row>
    <row r="187" spans="1:12" hidden="1" x14ac:dyDescent="0.3">
      <c r="A187" t="s">
        <v>7213</v>
      </c>
      <c r="B187" t="s">
        <v>7186</v>
      </c>
      <c r="C187" t="s">
        <v>7075</v>
      </c>
      <c r="D187" t="s">
        <v>2357</v>
      </c>
      <c r="E187" t="s">
        <v>7216</v>
      </c>
      <c r="F187" s="17">
        <v>46023</v>
      </c>
      <c r="G187">
        <v>173</v>
      </c>
      <c r="H187">
        <v>31</v>
      </c>
      <c r="I187">
        <v>0</v>
      </c>
      <c r="J187">
        <v>0</v>
      </c>
      <c r="K187">
        <v>173</v>
      </c>
      <c r="L187">
        <v>0</v>
      </c>
    </row>
    <row r="188" spans="1:12" hidden="1" x14ac:dyDescent="0.3">
      <c r="A188" t="s">
        <v>7213</v>
      </c>
      <c r="B188" t="s">
        <v>7186</v>
      </c>
      <c r="D188" t="s">
        <v>7217</v>
      </c>
      <c r="E188" t="s">
        <v>7218</v>
      </c>
      <c r="F188" s="17">
        <v>46023</v>
      </c>
      <c r="G188">
        <v>183.5</v>
      </c>
      <c r="H188">
        <v>31</v>
      </c>
      <c r="I188">
        <v>0</v>
      </c>
      <c r="J188">
        <v>0</v>
      </c>
      <c r="K188">
        <v>183.5</v>
      </c>
      <c r="L188">
        <v>0</v>
      </c>
    </row>
    <row r="189" spans="1:12" hidden="1" x14ac:dyDescent="0.3">
      <c r="A189" t="s">
        <v>7213</v>
      </c>
      <c r="B189" t="s">
        <v>7186</v>
      </c>
      <c r="C189" t="s">
        <v>7035</v>
      </c>
      <c r="D189" t="s">
        <v>2917</v>
      </c>
      <c r="E189" t="s">
        <v>7219</v>
      </c>
      <c r="F189" s="17">
        <v>46023</v>
      </c>
      <c r="G189">
        <v>158</v>
      </c>
      <c r="H189">
        <v>31</v>
      </c>
      <c r="I189">
        <v>6</v>
      </c>
      <c r="J189">
        <v>15</v>
      </c>
      <c r="K189">
        <v>167</v>
      </c>
      <c r="L189">
        <v>9</v>
      </c>
    </row>
    <row r="190" spans="1:12" hidden="1" x14ac:dyDescent="0.3">
      <c r="A190" t="s">
        <v>7213</v>
      </c>
      <c r="B190" t="s">
        <v>7186</v>
      </c>
      <c r="C190" t="s">
        <v>7035</v>
      </c>
      <c r="D190" t="s">
        <v>3583</v>
      </c>
      <c r="E190" t="s">
        <v>7220</v>
      </c>
      <c r="F190" s="17">
        <v>46023</v>
      </c>
      <c r="G190">
        <v>167</v>
      </c>
      <c r="H190">
        <v>31</v>
      </c>
      <c r="I190">
        <v>10</v>
      </c>
      <c r="J190">
        <v>7</v>
      </c>
      <c r="K190">
        <v>164</v>
      </c>
      <c r="L190">
        <v>-3</v>
      </c>
    </row>
    <row r="191" spans="1:12" hidden="1" x14ac:dyDescent="0.3">
      <c r="A191" t="s">
        <v>7213</v>
      </c>
      <c r="B191" t="s">
        <v>7186</v>
      </c>
      <c r="C191" t="s">
        <v>7110</v>
      </c>
      <c r="D191" t="s">
        <v>4283</v>
      </c>
      <c r="E191" t="s">
        <v>7221</v>
      </c>
      <c r="F191" s="17">
        <v>46023</v>
      </c>
      <c r="G191">
        <v>170</v>
      </c>
      <c r="H191">
        <v>31</v>
      </c>
      <c r="I191">
        <v>0</v>
      </c>
      <c r="J191">
        <v>0</v>
      </c>
      <c r="K191">
        <v>170</v>
      </c>
      <c r="L191">
        <v>0</v>
      </c>
    </row>
    <row r="192" spans="1:12" hidden="1" x14ac:dyDescent="0.3">
      <c r="A192" t="s">
        <v>7213</v>
      </c>
      <c r="B192" t="s">
        <v>7186</v>
      </c>
      <c r="C192" t="s">
        <v>7035</v>
      </c>
      <c r="D192" t="s">
        <v>4287</v>
      </c>
      <c r="E192" t="s">
        <v>7222</v>
      </c>
      <c r="F192" s="17">
        <v>46023</v>
      </c>
      <c r="G192">
        <v>167</v>
      </c>
      <c r="H192">
        <v>31</v>
      </c>
      <c r="I192">
        <v>0</v>
      </c>
      <c r="J192">
        <v>0</v>
      </c>
      <c r="K192">
        <v>167</v>
      </c>
      <c r="L192">
        <v>0</v>
      </c>
    </row>
    <row r="193" spans="1:12" hidden="1" x14ac:dyDescent="0.3">
      <c r="A193" t="s">
        <v>7213</v>
      </c>
      <c r="B193" t="s">
        <v>7186</v>
      </c>
      <c r="C193" t="s">
        <v>7035</v>
      </c>
      <c r="D193" t="s">
        <v>6785</v>
      </c>
      <c r="E193" t="s">
        <v>6786</v>
      </c>
      <c r="F193" s="17">
        <v>46023</v>
      </c>
      <c r="G193">
        <v>137</v>
      </c>
      <c r="H193">
        <v>31</v>
      </c>
      <c r="I193">
        <v>0</v>
      </c>
      <c r="J193">
        <v>0</v>
      </c>
      <c r="K193">
        <v>137</v>
      </c>
      <c r="L193">
        <v>0</v>
      </c>
    </row>
    <row r="194" spans="1:12" hidden="1" x14ac:dyDescent="0.3">
      <c r="A194" t="s">
        <v>7223</v>
      </c>
      <c r="B194" t="s">
        <v>7186</v>
      </c>
      <c r="C194" t="s">
        <v>7035</v>
      </c>
      <c r="D194" t="s">
        <v>1682</v>
      </c>
      <c r="E194" t="s">
        <v>7224</v>
      </c>
      <c r="F194" s="17">
        <v>46023</v>
      </c>
      <c r="G194">
        <v>253</v>
      </c>
      <c r="H194">
        <v>31</v>
      </c>
      <c r="I194">
        <v>0</v>
      </c>
      <c r="J194">
        <v>0</v>
      </c>
      <c r="K194">
        <v>253</v>
      </c>
      <c r="L194">
        <v>0</v>
      </c>
    </row>
    <row r="195" spans="1:12" hidden="1" x14ac:dyDescent="0.3">
      <c r="A195" t="s">
        <v>7223</v>
      </c>
      <c r="B195" t="s">
        <v>7186</v>
      </c>
      <c r="C195" t="s">
        <v>7035</v>
      </c>
      <c r="D195" t="s">
        <v>3168</v>
      </c>
      <c r="E195" t="s">
        <v>3169</v>
      </c>
      <c r="F195" s="17">
        <v>46023</v>
      </c>
      <c r="G195">
        <v>282</v>
      </c>
      <c r="H195">
        <v>31</v>
      </c>
      <c r="I195">
        <v>0</v>
      </c>
      <c r="J195">
        <v>0</v>
      </c>
      <c r="K195">
        <v>282</v>
      </c>
      <c r="L195">
        <v>0</v>
      </c>
    </row>
    <row r="196" spans="1:12" hidden="1" x14ac:dyDescent="0.3">
      <c r="A196" t="s">
        <v>7223</v>
      </c>
      <c r="B196" t="s">
        <v>7186</v>
      </c>
      <c r="C196" t="s">
        <v>7035</v>
      </c>
      <c r="D196" t="s">
        <v>3974</v>
      </c>
      <c r="E196" t="s">
        <v>3975</v>
      </c>
      <c r="F196" s="17">
        <v>46023</v>
      </c>
      <c r="G196">
        <v>275</v>
      </c>
      <c r="H196">
        <v>31</v>
      </c>
      <c r="I196">
        <v>0</v>
      </c>
      <c r="J196">
        <v>0</v>
      </c>
      <c r="K196">
        <v>275</v>
      </c>
      <c r="L196">
        <v>0</v>
      </c>
    </row>
    <row r="197" spans="1:12" hidden="1" x14ac:dyDescent="0.3">
      <c r="A197" t="s">
        <v>7225</v>
      </c>
      <c r="B197" t="s">
        <v>7186</v>
      </c>
      <c r="C197" t="s">
        <v>7035</v>
      </c>
      <c r="D197" t="s">
        <v>72</v>
      </c>
      <c r="E197" t="s">
        <v>7226</v>
      </c>
      <c r="F197" s="17">
        <v>46023</v>
      </c>
      <c r="G197">
        <v>144</v>
      </c>
      <c r="H197">
        <v>31</v>
      </c>
      <c r="I197">
        <v>0</v>
      </c>
      <c r="J197">
        <v>0</v>
      </c>
      <c r="K197">
        <v>144</v>
      </c>
      <c r="L197">
        <v>0</v>
      </c>
    </row>
    <row r="198" spans="1:12" hidden="1" x14ac:dyDescent="0.3">
      <c r="A198" t="s">
        <v>7225</v>
      </c>
      <c r="B198" t="s">
        <v>7186</v>
      </c>
      <c r="C198" t="s">
        <v>7035</v>
      </c>
      <c r="D198" t="s">
        <v>581</v>
      </c>
      <c r="E198" t="s">
        <v>7227</v>
      </c>
      <c r="F198" s="17">
        <v>46023</v>
      </c>
      <c r="G198">
        <v>144</v>
      </c>
      <c r="H198">
        <v>31</v>
      </c>
      <c r="I198">
        <v>0</v>
      </c>
      <c r="J198">
        <v>0</v>
      </c>
      <c r="K198">
        <v>144</v>
      </c>
      <c r="L198">
        <v>0</v>
      </c>
    </row>
    <row r="199" spans="1:12" hidden="1" x14ac:dyDescent="0.3">
      <c r="A199" t="s">
        <v>7225</v>
      </c>
      <c r="B199" t="s">
        <v>7186</v>
      </c>
      <c r="C199" t="s">
        <v>7035</v>
      </c>
      <c r="D199" t="s">
        <v>3334</v>
      </c>
      <c r="E199" t="s">
        <v>7228</v>
      </c>
      <c r="F199" s="17">
        <v>46023</v>
      </c>
      <c r="G199">
        <v>160</v>
      </c>
      <c r="H199">
        <v>31</v>
      </c>
      <c r="I199">
        <v>0</v>
      </c>
      <c r="J199">
        <v>0</v>
      </c>
      <c r="K199">
        <v>160</v>
      </c>
      <c r="L199">
        <v>0</v>
      </c>
    </row>
    <row r="200" spans="1:12" hidden="1" x14ac:dyDescent="0.3">
      <c r="A200" t="s">
        <v>7229</v>
      </c>
      <c r="B200" t="s">
        <v>7186</v>
      </c>
      <c r="C200" t="s">
        <v>7035</v>
      </c>
      <c r="D200" t="s">
        <v>1749</v>
      </c>
      <c r="E200" t="s">
        <v>7230</v>
      </c>
      <c r="F200" s="17">
        <v>46023</v>
      </c>
      <c r="G200">
        <v>143</v>
      </c>
      <c r="H200">
        <v>31</v>
      </c>
      <c r="I200">
        <v>0</v>
      </c>
      <c r="J200">
        <v>0</v>
      </c>
      <c r="K200">
        <v>143</v>
      </c>
      <c r="L200">
        <v>0</v>
      </c>
    </row>
    <row r="201" spans="1:12" hidden="1" x14ac:dyDescent="0.3">
      <c r="A201" t="s">
        <v>7229</v>
      </c>
      <c r="B201" t="s">
        <v>7186</v>
      </c>
      <c r="C201" t="s">
        <v>7035</v>
      </c>
      <c r="D201" t="s">
        <v>1988</v>
      </c>
      <c r="E201" t="s">
        <v>7231</v>
      </c>
      <c r="F201" s="17">
        <v>46023</v>
      </c>
      <c r="G201">
        <v>144</v>
      </c>
      <c r="H201">
        <v>31</v>
      </c>
      <c r="I201">
        <v>0</v>
      </c>
      <c r="J201">
        <v>0</v>
      </c>
      <c r="K201">
        <v>144</v>
      </c>
      <c r="L201">
        <v>0</v>
      </c>
    </row>
    <row r="202" spans="1:12" hidden="1" x14ac:dyDescent="0.3">
      <c r="A202" t="s">
        <v>7229</v>
      </c>
      <c r="B202" t="s">
        <v>7186</v>
      </c>
      <c r="C202" t="s">
        <v>7035</v>
      </c>
      <c r="D202" t="s">
        <v>2175</v>
      </c>
      <c r="E202" t="s">
        <v>7232</v>
      </c>
      <c r="F202" s="17">
        <v>46023</v>
      </c>
      <c r="G202">
        <v>144</v>
      </c>
      <c r="H202">
        <v>31</v>
      </c>
      <c r="I202">
        <v>0</v>
      </c>
      <c r="J202">
        <v>0</v>
      </c>
      <c r="K202">
        <v>144</v>
      </c>
      <c r="L202">
        <v>0</v>
      </c>
    </row>
    <row r="203" spans="1:12" hidden="1" x14ac:dyDescent="0.3">
      <c r="A203" t="s">
        <v>7229</v>
      </c>
      <c r="B203" t="s">
        <v>7186</v>
      </c>
      <c r="D203" t="s">
        <v>5106</v>
      </c>
      <c r="E203" t="s">
        <v>7233</v>
      </c>
      <c r="F203" s="17">
        <v>46023</v>
      </c>
      <c r="G203">
        <v>135</v>
      </c>
      <c r="H203">
        <v>31</v>
      </c>
      <c r="I203">
        <v>0</v>
      </c>
      <c r="J203">
        <v>0</v>
      </c>
      <c r="K203">
        <v>135</v>
      </c>
      <c r="L203">
        <v>0</v>
      </c>
    </row>
    <row r="204" spans="1:12" hidden="1" x14ac:dyDescent="0.3">
      <c r="A204" t="s">
        <v>7229</v>
      </c>
      <c r="B204" t="s">
        <v>7186</v>
      </c>
      <c r="D204" t="s">
        <v>5405</v>
      </c>
      <c r="E204" t="s">
        <v>7234</v>
      </c>
      <c r="F204" s="17">
        <v>46023</v>
      </c>
      <c r="G204">
        <v>144</v>
      </c>
      <c r="H204">
        <v>31</v>
      </c>
      <c r="I204">
        <v>0</v>
      </c>
      <c r="J204">
        <v>0</v>
      </c>
      <c r="K204">
        <v>144</v>
      </c>
      <c r="L204">
        <v>0</v>
      </c>
    </row>
    <row r="205" spans="1:12" hidden="1" x14ac:dyDescent="0.3">
      <c r="A205" t="s">
        <v>7229</v>
      </c>
      <c r="B205" t="s">
        <v>7186</v>
      </c>
      <c r="C205" t="s">
        <v>7035</v>
      </c>
      <c r="D205" t="s">
        <v>6689</v>
      </c>
      <c r="E205" t="s">
        <v>7235</v>
      </c>
      <c r="F205" s="17">
        <v>46023</v>
      </c>
      <c r="G205">
        <v>143</v>
      </c>
      <c r="H205">
        <v>31</v>
      </c>
      <c r="I205">
        <v>0</v>
      </c>
      <c r="J205">
        <v>0</v>
      </c>
      <c r="K205">
        <v>143</v>
      </c>
      <c r="L205">
        <v>0</v>
      </c>
    </row>
    <row r="206" spans="1:12" hidden="1" x14ac:dyDescent="0.3">
      <c r="A206" t="s">
        <v>7229</v>
      </c>
      <c r="B206" t="s">
        <v>7186</v>
      </c>
      <c r="C206" t="s">
        <v>7035</v>
      </c>
      <c r="D206" t="s">
        <v>6818</v>
      </c>
      <c r="E206" t="s">
        <v>7236</v>
      </c>
      <c r="F206" s="17">
        <v>46023</v>
      </c>
      <c r="G206">
        <v>144</v>
      </c>
      <c r="H206">
        <v>31</v>
      </c>
      <c r="I206">
        <v>0</v>
      </c>
      <c r="J206">
        <v>0</v>
      </c>
      <c r="K206">
        <v>144</v>
      </c>
      <c r="L206">
        <v>0</v>
      </c>
    </row>
    <row r="207" spans="1:12" hidden="1" x14ac:dyDescent="0.3">
      <c r="A207" t="s">
        <v>7237</v>
      </c>
      <c r="B207" t="s">
        <v>7186</v>
      </c>
      <c r="C207" t="s">
        <v>7035</v>
      </c>
      <c r="D207" t="s">
        <v>2600</v>
      </c>
      <c r="E207" t="s">
        <v>7238</v>
      </c>
      <c r="F207" s="17">
        <v>46023</v>
      </c>
      <c r="G207">
        <v>147.5</v>
      </c>
      <c r="H207">
        <v>31</v>
      </c>
      <c r="I207">
        <v>0</v>
      </c>
      <c r="J207">
        <v>0</v>
      </c>
      <c r="K207">
        <v>147.5</v>
      </c>
      <c r="L207">
        <v>0</v>
      </c>
    </row>
    <row r="208" spans="1:12" hidden="1" x14ac:dyDescent="0.3">
      <c r="A208" t="s">
        <v>7237</v>
      </c>
      <c r="B208" t="s">
        <v>7186</v>
      </c>
      <c r="C208" t="s">
        <v>7035</v>
      </c>
      <c r="D208" t="s">
        <v>5483</v>
      </c>
      <c r="E208" t="s">
        <v>7239</v>
      </c>
      <c r="F208" s="17">
        <v>46023</v>
      </c>
      <c r="G208">
        <v>80</v>
      </c>
      <c r="H208">
        <v>31</v>
      </c>
      <c r="I208">
        <v>0</v>
      </c>
      <c r="J208">
        <v>0</v>
      </c>
      <c r="K208">
        <v>80</v>
      </c>
      <c r="L208">
        <v>0</v>
      </c>
    </row>
    <row r="209" spans="1:12" hidden="1" x14ac:dyDescent="0.3">
      <c r="A209" t="s">
        <v>7240</v>
      </c>
      <c r="B209" t="s">
        <v>7186</v>
      </c>
      <c r="C209" t="s">
        <v>7035</v>
      </c>
      <c r="D209" t="s">
        <v>6311</v>
      </c>
      <c r="E209" t="s">
        <v>7241</v>
      </c>
      <c r="F209" s="17">
        <v>46023</v>
      </c>
      <c r="G209">
        <v>143.69999999999999</v>
      </c>
      <c r="H209">
        <v>31</v>
      </c>
      <c r="I209">
        <v>97</v>
      </c>
      <c r="J209">
        <v>102</v>
      </c>
      <c r="K209">
        <v>148</v>
      </c>
      <c r="L209">
        <v>4</v>
      </c>
    </row>
    <row r="210" spans="1:12" hidden="1" x14ac:dyDescent="0.3">
      <c r="A210" t="s">
        <v>7242</v>
      </c>
      <c r="B210" t="s">
        <v>7186</v>
      </c>
      <c r="C210" t="s">
        <v>7035</v>
      </c>
      <c r="D210" t="s">
        <v>2666</v>
      </c>
      <c r="E210" t="s">
        <v>7243</v>
      </c>
      <c r="F210" s="17">
        <v>46023</v>
      </c>
      <c r="G210">
        <v>145</v>
      </c>
      <c r="H210">
        <v>31</v>
      </c>
      <c r="I210">
        <v>0</v>
      </c>
      <c r="J210">
        <v>0</v>
      </c>
      <c r="K210">
        <v>145</v>
      </c>
      <c r="L210">
        <v>0</v>
      </c>
    </row>
    <row r="211" spans="1:12" hidden="1" x14ac:dyDescent="0.3">
      <c r="A211" t="s">
        <v>7244</v>
      </c>
      <c r="B211" t="s">
        <v>519</v>
      </c>
      <c r="C211" t="s">
        <v>7035</v>
      </c>
      <c r="D211" t="s">
        <v>217</v>
      </c>
      <c r="E211" t="s">
        <v>7245</v>
      </c>
      <c r="F211" s="17">
        <v>46023</v>
      </c>
      <c r="G211">
        <v>182.5</v>
      </c>
      <c r="H211">
        <v>31</v>
      </c>
      <c r="I211">
        <v>0</v>
      </c>
      <c r="J211">
        <v>6</v>
      </c>
      <c r="K211">
        <v>188.5</v>
      </c>
      <c r="L211">
        <v>6</v>
      </c>
    </row>
    <row r="212" spans="1:12" hidden="1" x14ac:dyDescent="0.3">
      <c r="A212" t="s">
        <v>7244</v>
      </c>
      <c r="B212" t="s">
        <v>519</v>
      </c>
      <c r="C212" t="s">
        <v>7035</v>
      </c>
      <c r="D212" t="s">
        <v>392</v>
      </c>
      <c r="E212" t="s">
        <v>7246</v>
      </c>
      <c r="F212" s="17">
        <v>46023</v>
      </c>
      <c r="G212">
        <v>126</v>
      </c>
      <c r="H212">
        <v>31</v>
      </c>
      <c r="I212">
        <v>26</v>
      </c>
      <c r="J212">
        <v>33</v>
      </c>
      <c r="K212">
        <v>133</v>
      </c>
      <c r="L212">
        <v>7</v>
      </c>
    </row>
    <row r="213" spans="1:12" hidden="1" x14ac:dyDescent="0.3">
      <c r="A213" t="s">
        <v>7244</v>
      </c>
      <c r="B213" t="s">
        <v>519</v>
      </c>
      <c r="C213" t="s">
        <v>7035</v>
      </c>
      <c r="D213" t="s">
        <v>171</v>
      </c>
      <c r="E213" t="s">
        <v>7247</v>
      </c>
      <c r="F213" s="17">
        <v>46023</v>
      </c>
      <c r="G213">
        <v>181</v>
      </c>
      <c r="H213">
        <v>31</v>
      </c>
      <c r="I213">
        <v>0</v>
      </c>
      <c r="J213">
        <v>0</v>
      </c>
      <c r="K213">
        <v>181</v>
      </c>
      <c r="L213">
        <v>0</v>
      </c>
    </row>
    <row r="214" spans="1:12" hidden="1" x14ac:dyDescent="0.3">
      <c r="A214" t="s">
        <v>7244</v>
      </c>
      <c r="B214" t="s">
        <v>519</v>
      </c>
      <c r="C214" t="s">
        <v>7134</v>
      </c>
      <c r="D214" t="s">
        <v>603</v>
      </c>
      <c r="E214" t="s">
        <v>7248</v>
      </c>
      <c r="F214" s="17">
        <v>46023</v>
      </c>
      <c r="G214">
        <v>142.5</v>
      </c>
      <c r="H214">
        <v>31</v>
      </c>
      <c r="I214">
        <v>18</v>
      </c>
      <c r="J214">
        <v>8</v>
      </c>
      <c r="K214">
        <v>132.5</v>
      </c>
      <c r="L214">
        <v>-10</v>
      </c>
    </row>
    <row r="215" spans="1:12" hidden="1" x14ac:dyDescent="0.3">
      <c r="A215" t="s">
        <v>7244</v>
      </c>
      <c r="B215" t="s">
        <v>519</v>
      </c>
      <c r="C215" t="s">
        <v>7147</v>
      </c>
      <c r="D215" t="s">
        <v>638</v>
      </c>
      <c r="E215" t="s">
        <v>639</v>
      </c>
      <c r="F215" s="17">
        <v>46023</v>
      </c>
      <c r="G215">
        <v>171</v>
      </c>
      <c r="H215">
        <v>31</v>
      </c>
      <c r="I215">
        <v>133</v>
      </c>
      <c r="J215">
        <v>119</v>
      </c>
      <c r="K215">
        <v>157</v>
      </c>
      <c r="L215">
        <v>-14</v>
      </c>
    </row>
    <row r="216" spans="1:12" hidden="1" x14ac:dyDescent="0.3">
      <c r="A216" t="s">
        <v>7244</v>
      </c>
      <c r="B216" t="s">
        <v>519</v>
      </c>
      <c r="C216" t="s">
        <v>7066</v>
      </c>
      <c r="D216" t="s">
        <v>1291</v>
      </c>
      <c r="E216" t="s">
        <v>1292</v>
      </c>
      <c r="F216" s="17">
        <v>46023</v>
      </c>
      <c r="G216">
        <v>143</v>
      </c>
      <c r="H216">
        <v>31</v>
      </c>
      <c r="I216">
        <v>18</v>
      </c>
      <c r="J216">
        <v>18</v>
      </c>
      <c r="K216">
        <v>142</v>
      </c>
      <c r="L216">
        <v>-1</v>
      </c>
    </row>
    <row r="217" spans="1:12" hidden="1" x14ac:dyDescent="0.3">
      <c r="A217" t="s">
        <v>7244</v>
      </c>
      <c r="B217" t="s">
        <v>519</v>
      </c>
      <c r="C217" t="s">
        <v>7154</v>
      </c>
      <c r="D217" t="s">
        <v>1407</v>
      </c>
      <c r="E217" t="s">
        <v>7249</v>
      </c>
      <c r="F217" s="17">
        <v>46023</v>
      </c>
      <c r="G217">
        <v>173</v>
      </c>
      <c r="H217">
        <v>31</v>
      </c>
      <c r="I217">
        <v>10</v>
      </c>
      <c r="J217">
        <v>10</v>
      </c>
      <c r="K217">
        <v>172.5</v>
      </c>
      <c r="L217">
        <v>0</v>
      </c>
    </row>
    <row r="218" spans="1:12" hidden="1" x14ac:dyDescent="0.3">
      <c r="A218" t="s">
        <v>7244</v>
      </c>
      <c r="B218" t="s">
        <v>519</v>
      </c>
      <c r="C218" t="s">
        <v>7154</v>
      </c>
      <c r="D218" t="s">
        <v>646</v>
      </c>
      <c r="E218" t="s">
        <v>7250</v>
      </c>
      <c r="F218" s="17">
        <v>46023</v>
      </c>
      <c r="G218">
        <v>83</v>
      </c>
      <c r="H218">
        <v>31</v>
      </c>
      <c r="I218">
        <v>0</v>
      </c>
      <c r="J218">
        <v>0</v>
      </c>
      <c r="K218">
        <v>83</v>
      </c>
      <c r="L218">
        <v>0</v>
      </c>
    </row>
    <row r="219" spans="1:12" hidden="1" x14ac:dyDescent="0.3">
      <c r="A219" t="s">
        <v>7244</v>
      </c>
      <c r="B219" t="s">
        <v>519</v>
      </c>
      <c r="C219" t="s">
        <v>7147</v>
      </c>
      <c r="D219" t="s">
        <v>760</v>
      </c>
      <c r="E219" t="s">
        <v>7251</v>
      </c>
      <c r="F219" s="17">
        <v>46023</v>
      </c>
      <c r="G219">
        <v>167</v>
      </c>
      <c r="H219">
        <v>31</v>
      </c>
      <c r="I219">
        <v>0</v>
      </c>
      <c r="J219">
        <v>0</v>
      </c>
      <c r="K219">
        <v>167</v>
      </c>
      <c r="L219">
        <v>0</v>
      </c>
    </row>
    <row r="220" spans="1:12" hidden="1" x14ac:dyDescent="0.3">
      <c r="A220" t="s">
        <v>7244</v>
      </c>
      <c r="B220" t="s">
        <v>519</v>
      </c>
      <c r="C220" t="s">
        <v>7035</v>
      </c>
      <c r="D220" t="s">
        <v>1417</v>
      </c>
      <c r="E220" t="s">
        <v>1418</v>
      </c>
      <c r="F220" s="17">
        <v>46023</v>
      </c>
      <c r="G220">
        <v>83</v>
      </c>
      <c r="H220">
        <v>31</v>
      </c>
      <c r="I220">
        <v>0</v>
      </c>
      <c r="J220">
        <v>0</v>
      </c>
      <c r="K220">
        <v>83</v>
      </c>
      <c r="L220">
        <v>0</v>
      </c>
    </row>
    <row r="221" spans="1:12" hidden="1" x14ac:dyDescent="0.3">
      <c r="A221" t="s">
        <v>7244</v>
      </c>
      <c r="B221" t="s">
        <v>519</v>
      </c>
      <c r="C221" t="s">
        <v>7099</v>
      </c>
      <c r="D221" t="s">
        <v>1523</v>
      </c>
      <c r="E221" t="s">
        <v>1524</v>
      </c>
      <c r="F221" s="17">
        <v>46023</v>
      </c>
      <c r="G221">
        <v>157</v>
      </c>
      <c r="H221">
        <v>31</v>
      </c>
      <c r="I221">
        <v>0</v>
      </c>
      <c r="J221">
        <v>0</v>
      </c>
      <c r="K221">
        <v>157</v>
      </c>
      <c r="L221">
        <v>0</v>
      </c>
    </row>
    <row r="222" spans="1:12" hidden="1" x14ac:dyDescent="0.3">
      <c r="A222" t="s">
        <v>7244</v>
      </c>
      <c r="B222" t="s">
        <v>519</v>
      </c>
      <c r="C222" t="s">
        <v>7154</v>
      </c>
      <c r="D222" t="s">
        <v>1612</v>
      </c>
      <c r="E222" t="s">
        <v>1613</v>
      </c>
      <c r="F222" s="17">
        <v>46023</v>
      </c>
      <c r="G222">
        <v>83</v>
      </c>
      <c r="H222">
        <v>31</v>
      </c>
      <c r="I222">
        <v>0</v>
      </c>
      <c r="J222">
        <v>0</v>
      </c>
      <c r="K222">
        <v>83</v>
      </c>
      <c r="L222">
        <v>0</v>
      </c>
    </row>
    <row r="223" spans="1:12" hidden="1" x14ac:dyDescent="0.3">
      <c r="A223" t="s">
        <v>7244</v>
      </c>
      <c r="B223" t="s">
        <v>519</v>
      </c>
      <c r="C223" t="s">
        <v>7035</v>
      </c>
      <c r="D223" t="s">
        <v>1678</v>
      </c>
      <c r="E223" t="s">
        <v>7252</v>
      </c>
      <c r="F223" s="17">
        <v>46023</v>
      </c>
      <c r="G223">
        <v>170.5</v>
      </c>
      <c r="H223">
        <v>31</v>
      </c>
      <c r="I223">
        <v>10</v>
      </c>
      <c r="J223">
        <v>10</v>
      </c>
      <c r="K223">
        <v>170</v>
      </c>
      <c r="L223">
        <v>0</v>
      </c>
    </row>
    <row r="224" spans="1:12" hidden="1" x14ac:dyDescent="0.3">
      <c r="A224" t="s">
        <v>7244</v>
      </c>
      <c r="B224" t="s">
        <v>519</v>
      </c>
      <c r="C224" t="s">
        <v>7035</v>
      </c>
      <c r="D224" t="s">
        <v>1973</v>
      </c>
      <c r="E224" t="s">
        <v>1974</v>
      </c>
      <c r="F224" s="17">
        <v>46023</v>
      </c>
      <c r="G224">
        <v>169</v>
      </c>
      <c r="H224">
        <v>31</v>
      </c>
      <c r="I224">
        <v>8</v>
      </c>
      <c r="J224">
        <v>16</v>
      </c>
      <c r="K224">
        <v>176</v>
      </c>
      <c r="L224">
        <v>7</v>
      </c>
    </row>
    <row r="225" spans="1:12" hidden="1" x14ac:dyDescent="0.3">
      <c r="A225" t="s">
        <v>7244</v>
      </c>
      <c r="B225" t="s">
        <v>519</v>
      </c>
      <c r="C225" t="s">
        <v>7035</v>
      </c>
      <c r="D225" t="s">
        <v>1568</v>
      </c>
      <c r="E225" t="s">
        <v>7253</v>
      </c>
      <c r="F225" s="17">
        <v>46023</v>
      </c>
      <c r="G225">
        <v>175</v>
      </c>
      <c r="H225">
        <v>31</v>
      </c>
      <c r="I225">
        <v>0</v>
      </c>
      <c r="J225">
        <v>0</v>
      </c>
      <c r="K225">
        <v>175</v>
      </c>
      <c r="L225">
        <v>0</v>
      </c>
    </row>
    <row r="226" spans="1:12" hidden="1" x14ac:dyDescent="0.3">
      <c r="A226" t="s">
        <v>7244</v>
      </c>
      <c r="B226" t="s">
        <v>519</v>
      </c>
      <c r="C226" t="s">
        <v>7035</v>
      </c>
      <c r="D226" t="s">
        <v>2450</v>
      </c>
      <c r="E226" t="s">
        <v>7254</v>
      </c>
      <c r="F226" s="17">
        <v>46023</v>
      </c>
      <c r="G226">
        <v>170.5</v>
      </c>
      <c r="H226">
        <v>31</v>
      </c>
      <c r="I226">
        <v>8</v>
      </c>
      <c r="J226">
        <v>8</v>
      </c>
      <c r="K226">
        <v>170</v>
      </c>
      <c r="L226">
        <v>0</v>
      </c>
    </row>
    <row r="227" spans="1:12" hidden="1" x14ac:dyDescent="0.3">
      <c r="A227" t="s">
        <v>7244</v>
      </c>
      <c r="B227" t="s">
        <v>519</v>
      </c>
      <c r="C227" t="s">
        <v>7178</v>
      </c>
      <c r="D227" t="s">
        <v>2475</v>
      </c>
      <c r="E227" t="s">
        <v>7255</v>
      </c>
      <c r="F227" s="17">
        <v>46023</v>
      </c>
      <c r="G227">
        <v>144.5</v>
      </c>
      <c r="H227">
        <v>31</v>
      </c>
      <c r="I227">
        <v>0</v>
      </c>
      <c r="J227">
        <v>0</v>
      </c>
      <c r="K227">
        <v>144.5</v>
      </c>
      <c r="L227">
        <v>0</v>
      </c>
    </row>
    <row r="228" spans="1:12" hidden="1" x14ac:dyDescent="0.3">
      <c r="A228" t="s">
        <v>7244</v>
      </c>
      <c r="B228" t="s">
        <v>519</v>
      </c>
      <c r="C228" t="s">
        <v>7035</v>
      </c>
      <c r="D228" t="s">
        <v>2835</v>
      </c>
      <c r="E228" t="s">
        <v>7256</v>
      </c>
      <c r="F228" s="17">
        <v>46023</v>
      </c>
      <c r="G228">
        <v>145</v>
      </c>
      <c r="H228">
        <v>31</v>
      </c>
      <c r="I228">
        <v>9</v>
      </c>
      <c r="J228">
        <v>6</v>
      </c>
      <c r="K228">
        <v>142</v>
      </c>
      <c r="L228">
        <v>-3</v>
      </c>
    </row>
    <row r="229" spans="1:12" hidden="1" x14ac:dyDescent="0.3">
      <c r="A229" t="s">
        <v>7244</v>
      </c>
      <c r="B229" t="s">
        <v>519</v>
      </c>
      <c r="C229" t="s">
        <v>7035</v>
      </c>
      <c r="D229" t="s">
        <v>3022</v>
      </c>
      <c r="E229" t="s">
        <v>7257</v>
      </c>
      <c r="F229" s="17">
        <v>46023</v>
      </c>
      <c r="G229">
        <v>175</v>
      </c>
      <c r="H229">
        <v>31</v>
      </c>
      <c r="I229">
        <v>16</v>
      </c>
      <c r="J229">
        <v>16</v>
      </c>
      <c r="K229">
        <v>176</v>
      </c>
      <c r="L229">
        <v>1</v>
      </c>
    </row>
    <row r="230" spans="1:12" hidden="1" x14ac:dyDescent="0.3">
      <c r="A230" t="s">
        <v>7244</v>
      </c>
      <c r="B230" t="s">
        <v>519</v>
      </c>
      <c r="C230" t="s">
        <v>7154</v>
      </c>
      <c r="D230" t="s">
        <v>3141</v>
      </c>
      <c r="E230" t="s">
        <v>7258</v>
      </c>
      <c r="F230" s="17">
        <v>46023</v>
      </c>
      <c r="G230">
        <v>107.5</v>
      </c>
      <c r="H230">
        <v>31</v>
      </c>
      <c r="I230">
        <v>12</v>
      </c>
      <c r="J230">
        <v>12</v>
      </c>
      <c r="K230">
        <v>108.5</v>
      </c>
      <c r="L230">
        <v>1</v>
      </c>
    </row>
    <row r="231" spans="1:12" hidden="1" x14ac:dyDescent="0.3">
      <c r="A231" t="s">
        <v>7244</v>
      </c>
      <c r="B231" t="s">
        <v>519</v>
      </c>
      <c r="C231" t="s">
        <v>7147</v>
      </c>
      <c r="D231" t="s">
        <v>3151</v>
      </c>
      <c r="E231" t="s">
        <v>3152</v>
      </c>
      <c r="F231" s="17">
        <v>46023</v>
      </c>
      <c r="G231">
        <v>180.5</v>
      </c>
      <c r="H231">
        <v>31</v>
      </c>
      <c r="I231">
        <v>0</v>
      </c>
      <c r="J231">
        <v>0</v>
      </c>
      <c r="K231">
        <v>180.5</v>
      </c>
      <c r="L231">
        <v>0</v>
      </c>
    </row>
    <row r="232" spans="1:12" hidden="1" x14ac:dyDescent="0.3">
      <c r="A232" t="s">
        <v>7244</v>
      </c>
      <c r="B232" t="s">
        <v>519</v>
      </c>
      <c r="C232" t="s">
        <v>7035</v>
      </c>
      <c r="D232" t="s">
        <v>3481</v>
      </c>
      <c r="E232" t="s">
        <v>7259</v>
      </c>
      <c r="F232" s="17">
        <v>46023</v>
      </c>
      <c r="G232">
        <v>83</v>
      </c>
      <c r="H232">
        <v>31</v>
      </c>
      <c r="I232">
        <v>0</v>
      </c>
      <c r="J232">
        <v>0</v>
      </c>
      <c r="K232">
        <v>83</v>
      </c>
      <c r="L232">
        <v>0</v>
      </c>
    </row>
    <row r="233" spans="1:12" hidden="1" x14ac:dyDescent="0.3">
      <c r="A233" t="s">
        <v>7244</v>
      </c>
      <c r="B233" t="s">
        <v>519</v>
      </c>
      <c r="C233" t="s">
        <v>7035</v>
      </c>
      <c r="D233" t="s">
        <v>3922</v>
      </c>
      <c r="E233" t="s">
        <v>7260</v>
      </c>
      <c r="F233" s="17">
        <v>46023</v>
      </c>
      <c r="G233">
        <v>168</v>
      </c>
      <c r="H233">
        <v>31</v>
      </c>
      <c r="I233">
        <v>0</v>
      </c>
      <c r="J233">
        <v>0</v>
      </c>
      <c r="K233">
        <v>168</v>
      </c>
      <c r="L233">
        <v>0</v>
      </c>
    </row>
    <row r="234" spans="1:12" hidden="1" x14ac:dyDescent="0.3">
      <c r="A234" t="s">
        <v>7244</v>
      </c>
      <c r="B234" t="s">
        <v>519</v>
      </c>
      <c r="C234" t="s">
        <v>7154</v>
      </c>
      <c r="D234" t="s">
        <v>4509</v>
      </c>
      <c r="E234" t="s">
        <v>7261</v>
      </c>
      <c r="F234" s="17">
        <v>46023</v>
      </c>
      <c r="G234">
        <v>159.5</v>
      </c>
      <c r="H234">
        <v>31</v>
      </c>
      <c r="I234">
        <v>0</v>
      </c>
      <c r="J234">
        <v>0</v>
      </c>
      <c r="K234">
        <v>159.5</v>
      </c>
      <c r="L234">
        <v>0</v>
      </c>
    </row>
    <row r="235" spans="1:12" hidden="1" x14ac:dyDescent="0.3">
      <c r="A235" t="s">
        <v>7244</v>
      </c>
      <c r="B235" t="s">
        <v>519</v>
      </c>
      <c r="C235" t="s">
        <v>7035</v>
      </c>
      <c r="D235" t="s">
        <v>5152</v>
      </c>
      <c r="E235" t="s">
        <v>7262</v>
      </c>
      <c r="F235" s="17">
        <v>46023</v>
      </c>
      <c r="G235">
        <v>171.5</v>
      </c>
      <c r="H235">
        <v>31</v>
      </c>
      <c r="I235">
        <v>24</v>
      </c>
      <c r="J235">
        <v>24</v>
      </c>
      <c r="K235">
        <v>172</v>
      </c>
      <c r="L235">
        <v>0</v>
      </c>
    </row>
    <row r="236" spans="1:12" hidden="1" x14ac:dyDescent="0.3">
      <c r="A236" t="s">
        <v>7244</v>
      </c>
      <c r="B236" t="s">
        <v>519</v>
      </c>
      <c r="C236" t="s">
        <v>7147</v>
      </c>
      <c r="D236" t="s">
        <v>804</v>
      </c>
      <c r="E236" t="s">
        <v>7263</v>
      </c>
      <c r="F236" s="17">
        <v>46023</v>
      </c>
      <c r="G236">
        <v>141.5</v>
      </c>
      <c r="H236">
        <v>31</v>
      </c>
      <c r="I236">
        <v>16</v>
      </c>
      <c r="J236">
        <v>15</v>
      </c>
      <c r="K236">
        <v>140.5</v>
      </c>
      <c r="L236">
        <v>-1</v>
      </c>
    </row>
    <row r="237" spans="1:12" hidden="1" x14ac:dyDescent="0.3">
      <c r="A237" t="s">
        <v>7244</v>
      </c>
      <c r="B237" t="s">
        <v>519</v>
      </c>
      <c r="C237" t="s">
        <v>7035</v>
      </c>
      <c r="D237" t="s">
        <v>5579</v>
      </c>
      <c r="E237" t="s">
        <v>5580</v>
      </c>
      <c r="F237" s="17">
        <v>46023</v>
      </c>
      <c r="G237">
        <v>181.5</v>
      </c>
      <c r="H237">
        <v>31</v>
      </c>
      <c r="I237">
        <v>31</v>
      </c>
      <c r="J237">
        <v>24</v>
      </c>
      <c r="K237">
        <v>175</v>
      </c>
      <c r="L237">
        <v>-6</v>
      </c>
    </row>
    <row r="238" spans="1:12" hidden="1" x14ac:dyDescent="0.3">
      <c r="A238" t="s">
        <v>7244</v>
      </c>
      <c r="B238" t="s">
        <v>519</v>
      </c>
      <c r="C238" t="s">
        <v>7154</v>
      </c>
      <c r="D238" t="s">
        <v>5632</v>
      </c>
      <c r="E238" t="s">
        <v>7264</v>
      </c>
      <c r="F238" s="17">
        <v>46023</v>
      </c>
      <c r="G238">
        <v>170.5</v>
      </c>
      <c r="H238">
        <v>31</v>
      </c>
      <c r="I238">
        <v>10</v>
      </c>
      <c r="J238">
        <v>10</v>
      </c>
      <c r="K238">
        <v>170</v>
      </c>
      <c r="L238">
        <v>0</v>
      </c>
    </row>
    <row r="239" spans="1:12" hidden="1" x14ac:dyDescent="0.3">
      <c r="A239" t="s">
        <v>7244</v>
      </c>
      <c r="B239" t="s">
        <v>519</v>
      </c>
      <c r="C239" t="s">
        <v>7035</v>
      </c>
      <c r="D239" t="s">
        <v>5617</v>
      </c>
      <c r="E239" t="s">
        <v>5618</v>
      </c>
      <c r="F239" s="17">
        <v>46023</v>
      </c>
      <c r="G239">
        <v>187.5</v>
      </c>
      <c r="H239">
        <v>31</v>
      </c>
      <c r="I239">
        <v>0</v>
      </c>
      <c r="J239">
        <v>0</v>
      </c>
      <c r="K239">
        <v>187.5</v>
      </c>
      <c r="L239">
        <v>0</v>
      </c>
    </row>
    <row r="240" spans="1:12" hidden="1" x14ac:dyDescent="0.3">
      <c r="A240" t="s">
        <v>7244</v>
      </c>
      <c r="B240" t="s">
        <v>519</v>
      </c>
      <c r="C240" t="s">
        <v>7144</v>
      </c>
      <c r="D240" t="s">
        <v>5646</v>
      </c>
      <c r="E240" t="s">
        <v>5647</v>
      </c>
      <c r="F240" s="17">
        <v>46023</v>
      </c>
      <c r="G240">
        <v>165.5</v>
      </c>
      <c r="H240">
        <v>31</v>
      </c>
      <c r="I240">
        <v>0</v>
      </c>
      <c r="J240">
        <v>0</v>
      </c>
      <c r="K240">
        <v>165.5</v>
      </c>
      <c r="L240">
        <v>0</v>
      </c>
    </row>
    <row r="241" spans="1:12" hidden="1" x14ac:dyDescent="0.3">
      <c r="A241" t="s">
        <v>7244</v>
      </c>
      <c r="B241" t="s">
        <v>519</v>
      </c>
      <c r="C241" t="s">
        <v>7035</v>
      </c>
      <c r="D241" t="s">
        <v>6463</v>
      </c>
      <c r="E241" t="s">
        <v>7265</v>
      </c>
      <c r="F241" s="17">
        <v>46023</v>
      </c>
      <c r="G241">
        <v>194.5</v>
      </c>
      <c r="H241">
        <v>31</v>
      </c>
      <c r="I241">
        <v>8</v>
      </c>
      <c r="J241">
        <v>8</v>
      </c>
      <c r="K241">
        <v>194</v>
      </c>
      <c r="L241">
        <v>0</v>
      </c>
    </row>
    <row r="242" spans="1:12" hidden="1" x14ac:dyDescent="0.3">
      <c r="A242" t="s">
        <v>7244</v>
      </c>
      <c r="B242" t="s">
        <v>519</v>
      </c>
      <c r="C242" t="s">
        <v>7066</v>
      </c>
      <c r="D242" t="s">
        <v>6065</v>
      </c>
      <c r="E242" t="s">
        <v>7266</v>
      </c>
      <c r="F242" s="17">
        <v>46023</v>
      </c>
      <c r="G242">
        <v>107.5</v>
      </c>
      <c r="H242">
        <v>31</v>
      </c>
      <c r="I242">
        <v>12</v>
      </c>
      <c r="J242">
        <v>12</v>
      </c>
      <c r="K242">
        <v>108.5</v>
      </c>
      <c r="L242">
        <v>1</v>
      </c>
    </row>
    <row r="243" spans="1:12" hidden="1" x14ac:dyDescent="0.3">
      <c r="A243" t="s">
        <v>7244</v>
      </c>
      <c r="B243" t="s">
        <v>519</v>
      </c>
      <c r="C243" t="s">
        <v>7035</v>
      </c>
      <c r="D243" t="s">
        <v>6853</v>
      </c>
      <c r="E243" t="s">
        <v>6854</v>
      </c>
      <c r="F243" s="17">
        <v>46023</v>
      </c>
      <c r="G243">
        <v>127</v>
      </c>
      <c r="H243">
        <v>31</v>
      </c>
      <c r="I243">
        <v>18</v>
      </c>
      <c r="J243">
        <v>24</v>
      </c>
      <c r="K243">
        <v>133</v>
      </c>
      <c r="L243">
        <v>6</v>
      </c>
    </row>
    <row r="244" spans="1:12" hidden="1" x14ac:dyDescent="0.3">
      <c r="A244" t="s">
        <v>7267</v>
      </c>
      <c r="B244" t="s">
        <v>519</v>
      </c>
      <c r="C244" t="s">
        <v>7035</v>
      </c>
      <c r="D244" t="s">
        <v>516</v>
      </c>
      <c r="E244" t="s">
        <v>517</v>
      </c>
      <c r="F244" s="17">
        <v>46023</v>
      </c>
      <c r="G244">
        <v>155.5</v>
      </c>
      <c r="H244">
        <v>31</v>
      </c>
      <c r="I244">
        <v>0</v>
      </c>
      <c r="J244">
        <v>0</v>
      </c>
      <c r="K244">
        <v>155.5</v>
      </c>
      <c r="L244">
        <v>0</v>
      </c>
    </row>
    <row r="245" spans="1:12" hidden="1" x14ac:dyDescent="0.3">
      <c r="A245" t="s">
        <v>7268</v>
      </c>
      <c r="B245" t="s">
        <v>519</v>
      </c>
      <c r="C245" t="s">
        <v>7035</v>
      </c>
      <c r="D245" t="s">
        <v>4352</v>
      </c>
      <c r="E245" t="s">
        <v>7269</v>
      </c>
      <c r="F245" s="17">
        <v>46023</v>
      </c>
      <c r="G245">
        <v>117</v>
      </c>
      <c r="H245">
        <v>31</v>
      </c>
      <c r="I245">
        <v>0</v>
      </c>
      <c r="J245">
        <v>0</v>
      </c>
      <c r="K245">
        <v>117</v>
      </c>
      <c r="L245">
        <v>0</v>
      </c>
    </row>
    <row r="246" spans="1:12" hidden="1" x14ac:dyDescent="0.3">
      <c r="A246" t="s">
        <v>7270</v>
      </c>
      <c r="B246" t="s">
        <v>519</v>
      </c>
      <c r="C246" t="s">
        <v>7035</v>
      </c>
      <c r="D246" t="s">
        <v>2253</v>
      </c>
      <c r="E246" t="s">
        <v>7114</v>
      </c>
      <c r="F246" s="17">
        <v>46023</v>
      </c>
      <c r="G246">
        <v>80</v>
      </c>
      <c r="H246">
        <v>31</v>
      </c>
      <c r="I246">
        <v>0</v>
      </c>
      <c r="J246">
        <v>0</v>
      </c>
      <c r="K246">
        <v>80</v>
      </c>
      <c r="L246">
        <v>0</v>
      </c>
    </row>
    <row r="247" spans="1:12" hidden="1" x14ac:dyDescent="0.3">
      <c r="A247" t="s">
        <v>7270</v>
      </c>
      <c r="B247" t="s">
        <v>519</v>
      </c>
      <c r="C247" t="s">
        <v>7035</v>
      </c>
      <c r="D247" t="s">
        <v>2945</v>
      </c>
      <c r="E247" t="s">
        <v>7271</v>
      </c>
      <c r="F247" s="17">
        <v>46023</v>
      </c>
      <c r="G247">
        <v>203</v>
      </c>
      <c r="H247">
        <v>31</v>
      </c>
      <c r="I247">
        <v>0</v>
      </c>
      <c r="J247">
        <v>0</v>
      </c>
      <c r="K247">
        <v>203</v>
      </c>
      <c r="L247">
        <v>0</v>
      </c>
    </row>
    <row r="248" spans="1:12" hidden="1" x14ac:dyDescent="0.3">
      <c r="A248" t="s">
        <v>7270</v>
      </c>
      <c r="B248" t="s">
        <v>519</v>
      </c>
      <c r="C248" t="s">
        <v>7033</v>
      </c>
      <c r="D248" t="s">
        <v>4073</v>
      </c>
      <c r="E248" t="s">
        <v>7272</v>
      </c>
      <c r="F248" s="17">
        <v>46023</v>
      </c>
      <c r="G248">
        <v>197.5</v>
      </c>
      <c r="H248">
        <v>31</v>
      </c>
      <c r="I248">
        <v>0</v>
      </c>
      <c r="J248">
        <v>0</v>
      </c>
      <c r="K248">
        <v>197.5</v>
      </c>
      <c r="L248">
        <v>0</v>
      </c>
    </row>
    <row r="249" spans="1:12" hidden="1" x14ac:dyDescent="0.3">
      <c r="A249" t="s">
        <v>7270</v>
      </c>
      <c r="B249" t="s">
        <v>519</v>
      </c>
      <c r="C249" t="s">
        <v>7055</v>
      </c>
      <c r="D249" t="s">
        <v>4750</v>
      </c>
      <c r="E249" t="s">
        <v>7273</v>
      </c>
      <c r="F249" s="17">
        <v>46023</v>
      </c>
      <c r="G249">
        <v>171</v>
      </c>
      <c r="H249">
        <v>31</v>
      </c>
      <c r="I249">
        <v>0</v>
      </c>
      <c r="J249">
        <v>0</v>
      </c>
      <c r="K249">
        <v>171</v>
      </c>
      <c r="L249">
        <v>0</v>
      </c>
    </row>
    <row r="250" spans="1:12" hidden="1" x14ac:dyDescent="0.3">
      <c r="A250" t="s">
        <v>7270</v>
      </c>
      <c r="B250" t="s">
        <v>519</v>
      </c>
      <c r="C250" t="s">
        <v>7033</v>
      </c>
      <c r="D250" t="s">
        <v>5446</v>
      </c>
      <c r="E250" t="s">
        <v>5447</v>
      </c>
      <c r="F250" s="17">
        <v>46023</v>
      </c>
      <c r="G250">
        <v>203</v>
      </c>
      <c r="H250">
        <v>31</v>
      </c>
      <c r="I250">
        <v>0</v>
      </c>
      <c r="J250">
        <v>0</v>
      </c>
      <c r="K250">
        <v>203</v>
      </c>
      <c r="L250">
        <v>0</v>
      </c>
    </row>
    <row r="251" spans="1:12" hidden="1" x14ac:dyDescent="0.3">
      <c r="A251" t="s">
        <v>7270</v>
      </c>
      <c r="B251" t="s">
        <v>519</v>
      </c>
      <c r="C251" t="s">
        <v>7035</v>
      </c>
      <c r="D251" t="s">
        <v>5929</v>
      </c>
      <c r="E251" t="s">
        <v>7274</v>
      </c>
      <c r="F251" s="17">
        <v>46023</v>
      </c>
      <c r="G251">
        <v>80</v>
      </c>
      <c r="H251">
        <v>31</v>
      </c>
      <c r="I251">
        <v>0</v>
      </c>
      <c r="J251">
        <v>0</v>
      </c>
      <c r="K251">
        <v>80</v>
      </c>
      <c r="L251">
        <v>0</v>
      </c>
    </row>
    <row r="252" spans="1:12" hidden="1" x14ac:dyDescent="0.3">
      <c r="A252" t="s">
        <v>7270</v>
      </c>
      <c r="B252" t="s">
        <v>519</v>
      </c>
      <c r="C252" t="s">
        <v>7055</v>
      </c>
      <c r="D252" t="s">
        <v>6707</v>
      </c>
      <c r="E252" t="s">
        <v>6708</v>
      </c>
      <c r="F252" s="17">
        <v>46023</v>
      </c>
      <c r="G252">
        <v>206</v>
      </c>
      <c r="H252">
        <v>31</v>
      </c>
      <c r="I252">
        <v>0</v>
      </c>
      <c r="J252">
        <v>0</v>
      </c>
      <c r="K252">
        <v>206</v>
      </c>
      <c r="L252">
        <v>0</v>
      </c>
    </row>
    <row r="253" spans="1:12" hidden="1" x14ac:dyDescent="0.3">
      <c r="A253" t="s">
        <v>7275</v>
      </c>
      <c r="B253" t="s">
        <v>519</v>
      </c>
      <c r="C253" t="s">
        <v>7276</v>
      </c>
      <c r="D253" t="s">
        <v>1670</v>
      </c>
      <c r="E253" t="s">
        <v>7277</v>
      </c>
      <c r="F253" s="17">
        <v>46023</v>
      </c>
      <c r="G253">
        <v>135</v>
      </c>
      <c r="H253">
        <v>31</v>
      </c>
      <c r="I253">
        <v>0</v>
      </c>
      <c r="J253">
        <v>0</v>
      </c>
      <c r="K253">
        <v>135</v>
      </c>
      <c r="L253">
        <v>0</v>
      </c>
    </row>
    <row r="254" spans="1:12" hidden="1" x14ac:dyDescent="0.3">
      <c r="A254" t="s">
        <v>7275</v>
      </c>
      <c r="B254" t="s">
        <v>519</v>
      </c>
      <c r="C254" t="s">
        <v>7035</v>
      </c>
      <c r="D254" t="s">
        <v>6328</v>
      </c>
      <c r="E254" t="s">
        <v>7278</v>
      </c>
      <c r="F254" s="17">
        <v>46023</v>
      </c>
      <c r="G254">
        <v>141</v>
      </c>
      <c r="H254">
        <v>31</v>
      </c>
      <c r="I254">
        <v>0</v>
      </c>
      <c r="J254">
        <v>0</v>
      </c>
      <c r="K254">
        <v>141</v>
      </c>
      <c r="L254">
        <v>0</v>
      </c>
    </row>
    <row r="255" spans="1:12" hidden="1" x14ac:dyDescent="0.3">
      <c r="A255" t="s">
        <v>7279</v>
      </c>
      <c r="B255" t="s">
        <v>519</v>
      </c>
      <c r="C255" t="s">
        <v>7096</v>
      </c>
      <c r="D255" t="s">
        <v>1169</v>
      </c>
      <c r="E255" t="s">
        <v>1170</v>
      </c>
      <c r="F255" s="17">
        <v>46023</v>
      </c>
      <c r="G255">
        <v>180</v>
      </c>
      <c r="H255">
        <v>31</v>
      </c>
      <c r="I255">
        <v>0</v>
      </c>
      <c r="J255">
        <v>0</v>
      </c>
      <c r="K255">
        <v>180</v>
      </c>
      <c r="L255">
        <v>0</v>
      </c>
    </row>
    <row r="256" spans="1:12" hidden="1" x14ac:dyDescent="0.3">
      <c r="A256" t="s">
        <v>7280</v>
      </c>
      <c r="B256" t="s">
        <v>519</v>
      </c>
      <c r="C256" t="s">
        <v>7035</v>
      </c>
      <c r="D256" t="s">
        <v>1389</v>
      </c>
      <c r="E256" t="s">
        <v>1390</v>
      </c>
      <c r="F256" s="17">
        <v>46023</v>
      </c>
      <c r="G256">
        <v>76</v>
      </c>
      <c r="H256">
        <v>31</v>
      </c>
      <c r="I256">
        <v>0</v>
      </c>
      <c r="J256">
        <v>0</v>
      </c>
      <c r="K256">
        <v>76</v>
      </c>
      <c r="L256">
        <v>0</v>
      </c>
    </row>
    <row r="257" spans="1:12" hidden="1" x14ac:dyDescent="0.3">
      <c r="A257" t="s">
        <v>7280</v>
      </c>
      <c r="B257" t="s">
        <v>519</v>
      </c>
      <c r="C257" t="s">
        <v>7035</v>
      </c>
      <c r="D257" t="s">
        <v>6410</v>
      </c>
      <c r="E257" t="s">
        <v>7281</v>
      </c>
      <c r="F257" s="17">
        <v>46023</v>
      </c>
      <c r="G257">
        <v>149.75</v>
      </c>
      <c r="H257">
        <v>31</v>
      </c>
      <c r="I257">
        <v>0</v>
      </c>
      <c r="J257">
        <v>0</v>
      </c>
      <c r="K257">
        <v>149.75</v>
      </c>
      <c r="L257">
        <v>0</v>
      </c>
    </row>
    <row r="258" spans="1:12" hidden="1" x14ac:dyDescent="0.3">
      <c r="A258" t="s">
        <v>7280</v>
      </c>
      <c r="B258" t="s">
        <v>519</v>
      </c>
      <c r="D258" t="s">
        <v>6523</v>
      </c>
      <c r="E258" t="s">
        <v>6524</v>
      </c>
      <c r="F258" s="17">
        <v>46023</v>
      </c>
      <c r="G258">
        <v>148.5</v>
      </c>
      <c r="H258">
        <v>31</v>
      </c>
      <c r="I258">
        <v>0</v>
      </c>
      <c r="J258">
        <v>0</v>
      </c>
      <c r="K258">
        <v>148.5</v>
      </c>
      <c r="L258">
        <v>0</v>
      </c>
    </row>
    <row r="259" spans="1:12" hidden="1" x14ac:dyDescent="0.3">
      <c r="A259" t="s">
        <v>7282</v>
      </c>
      <c r="B259" t="s">
        <v>519</v>
      </c>
      <c r="C259" t="s">
        <v>7035</v>
      </c>
      <c r="D259" t="s">
        <v>3665</v>
      </c>
      <c r="E259" t="s">
        <v>3666</v>
      </c>
      <c r="F259" s="17">
        <v>46023</v>
      </c>
      <c r="G259">
        <v>156</v>
      </c>
      <c r="H259">
        <v>31</v>
      </c>
      <c r="I259">
        <v>0</v>
      </c>
      <c r="J259">
        <v>0</v>
      </c>
      <c r="K259">
        <v>156</v>
      </c>
      <c r="L259">
        <v>0</v>
      </c>
    </row>
    <row r="260" spans="1:12" hidden="1" x14ac:dyDescent="0.3">
      <c r="A260" t="s">
        <v>7282</v>
      </c>
      <c r="B260" t="s">
        <v>519</v>
      </c>
      <c r="C260" t="s">
        <v>7033</v>
      </c>
      <c r="D260" t="s">
        <v>3918</v>
      </c>
      <c r="E260" t="s">
        <v>7283</v>
      </c>
      <c r="F260" s="17">
        <v>46023</v>
      </c>
      <c r="G260">
        <v>170</v>
      </c>
      <c r="H260">
        <v>31</v>
      </c>
      <c r="I260">
        <v>0</v>
      </c>
      <c r="J260">
        <v>0</v>
      </c>
      <c r="K260">
        <v>170</v>
      </c>
      <c r="L260">
        <v>0</v>
      </c>
    </row>
    <row r="261" spans="1:12" hidden="1" x14ac:dyDescent="0.3">
      <c r="A261" t="s">
        <v>7282</v>
      </c>
      <c r="B261" t="s">
        <v>519</v>
      </c>
      <c r="C261" t="s">
        <v>7035</v>
      </c>
      <c r="D261" t="s">
        <v>4565</v>
      </c>
      <c r="E261" t="s">
        <v>7284</v>
      </c>
      <c r="F261" s="17">
        <v>46023</v>
      </c>
      <c r="G261">
        <v>156</v>
      </c>
      <c r="H261">
        <v>31</v>
      </c>
      <c r="I261">
        <v>0</v>
      </c>
      <c r="J261">
        <v>0</v>
      </c>
      <c r="K261">
        <v>156</v>
      </c>
      <c r="L261">
        <v>0</v>
      </c>
    </row>
    <row r="262" spans="1:12" hidden="1" x14ac:dyDescent="0.3">
      <c r="A262" t="s">
        <v>7282</v>
      </c>
      <c r="B262" t="s">
        <v>519</v>
      </c>
      <c r="C262" t="s">
        <v>7055</v>
      </c>
      <c r="D262" t="s">
        <v>6374</v>
      </c>
      <c r="E262" t="s">
        <v>6375</v>
      </c>
      <c r="F262" s="17">
        <v>46023</v>
      </c>
      <c r="G262">
        <v>152</v>
      </c>
      <c r="H262">
        <v>31</v>
      </c>
      <c r="I262">
        <v>0</v>
      </c>
      <c r="J262">
        <v>0</v>
      </c>
      <c r="K262">
        <v>152</v>
      </c>
      <c r="L262">
        <v>0</v>
      </c>
    </row>
    <row r="263" spans="1:12" hidden="1" x14ac:dyDescent="0.3">
      <c r="A263" t="s">
        <v>7282</v>
      </c>
      <c r="B263" t="s">
        <v>519</v>
      </c>
      <c r="C263" t="s">
        <v>7035</v>
      </c>
      <c r="D263" t="s">
        <v>6537</v>
      </c>
      <c r="E263" t="s">
        <v>6538</v>
      </c>
      <c r="F263" s="17">
        <v>46023</v>
      </c>
      <c r="G263">
        <v>174</v>
      </c>
      <c r="H263">
        <v>31</v>
      </c>
      <c r="I263">
        <v>0</v>
      </c>
      <c r="J263">
        <v>0</v>
      </c>
      <c r="K263">
        <v>174</v>
      </c>
      <c r="L263">
        <v>0</v>
      </c>
    </row>
    <row r="264" spans="1:12" hidden="1" x14ac:dyDescent="0.3">
      <c r="A264" t="s">
        <v>7285</v>
      </c>
      <c r="B264" t="s">
        <v>519</v>
      </c>
      <c r="C264" t="s">
        <v>7033</v>
      </c>
      <c r="D264" t="s">
        <v>3116</v>
      </c>
      <c r="E264" t="s">
        <v>3117</v>
      </c>
      <c r="F264" s="17">
        <v>46023</v>
      </c>
      <c r="G264">
        <v>273</v>
      </c>
      <c r="H264">
        <v>31</v>
      </c>
      <c r="I264">
        <v>0</v>
      </c>
      <c r="J264">
        <v>0</v>
      </c>
      <c r="K264">
        <v>273</v>
      </c>
      <c r="L264">
        <v>0</v>
      </c>
    </row>
    <row r="265" spans="1:12" hidden="1" x14ac:dyDescent="0.3">
      <c r="A265" t="s">
        <v>7285</v>
      </c>
      <c r="B265" t="s">
        <v>519</v>
      </c>
      <c r="C265" t="s">
        <v>7035</v>
      </c>
      <c r="D265" t="s">
        <v>5540</v>
      </c>
      <c r="E265" t="s">
        <v>5541</v>
      </c>
      <c r="F265" s="17">
        <v>46023</v>
      </c>
      <c r="G265">
        <v>273</v>
      </c>
      <c r="H265">
        <v>31</v>
      </c>
      <c r="I265">
        <v>0</v>
      </c>
      <c r="J265">
        <v>0</v>
      </c>
      <c r="K265">
        <v>273</v>
      </c>
      <c r="L265">
        <v>0</v>
      </c>
    </row>
    <row r="266" spans="1:12" hidden="1" x14ac:dyDescent="0.3">
      <c r="A266" t="s">
        <v>7285</v>
      </c>
      <c r="B266" t="s">
        <v>519</v>
      </c>
      <c r="C266" t="s">
        <v>7055</v>
      </c>
      <c r="D266" t="s">
        <v>6564</v>
      </c>
      <c r="E266" t="s">
        <v>6565</v>
      </c>
      <c r="F266" s="17">
        <v>46023</v>
      </c>
      <c r="G266">
        <v>273</v>
      </c>
      <c r="H266">
        <v>31</v>
      </c>
      <c r="I266">
        <v>0</v>
      </c>
      <c r="J266">
        <v>0</v>
      </c>
      <c r="K266">
        <v>273</v>
      </c>
      <c r="L266">
        <v>0</v>
      </c>
    </row>
    <row r="267" spans="1:12" hidden="1" x14ac:dyDescent="0.3">
      <c r="A267" t="s">
        <v>7286</v>
      </c>
      <c r="B267" t="s">
        <v>519</v>
      </c>
      <c r="C267" t="s">
        <v>7103</v>
      </c>
      <c r="D267" t="s">
        <v>585</v>
      </c>
      <c r="E267" t="s">
        <v>7287</v>
      </c>
      <c r="F267" s="17">
        <v>46023</v>
      </c>
      <c r="G267">
        <v>206</v>
      </c>
      <c r="H267">
        <v>31</v>
      </c>
      <c r="I267">
        <v>0</v>
      </c>
      <c r="J267">
        <v>0</v>
      </c>
      <c r="K267">
        <v>206</v>
      </c>
      <c r="L267">
        <v>0</v>
      </c>
    </row>
    <row r="268" spans="1:12" hidden="1" x14ac:dyDescent="0.3">
      <c r="A268" t="s">
        <v>7286</v>
      </c>
      <c r="B268" t="s">
        <v>519</v>
      </c>
      <c r="C268" t="s">
        <v>7103</v>
      </c>
      <c r="D268" t="s">
        <v>811</v>
      </c>
      <c r="E268" t="s">
        <v>7288</v>
      </c>
      <c r="F268" s="17">
        <v>46023</v>
      </c>
      <c r="G268">
        <v>196</v>
      </c>
      <c r="H268">
        <v>31</v>
      </c>
      <c r="I268">
        <v>0</v>
      </c>
      <c r="J268">
        <v>0</v>
      </c>
      <c r="K268">
        <v>196</v>
      </c>
      <c r="L268">
        <v>0</v>
      </c>
    </row>
    <row r="269" spans="1:12" hidden="1" x14ac:dyDescent="0.3">
      <c r="A269" t="s">
        <v>7286</v>
      </c>
      <c r="B269" t="s">
        <v>519</v>
      </c>
      <c r="C269" t="s">
        <v>7103</v>
      </c>
      <c r="D269" t="s">
        <v>1464</v>
      </c>
      <c r="E269" t="s">
        <v>1465</v>
      </c>
      <c r="F269" s="17">
        <v>46023</v>
      </c>
      <c r="G269">
        <v>189</v>
      </c>
      <c r="H269">
        <v>31</v>
      </c>
      <c r="I269">
        <v>0</v>
      </c>
      <c r="J269">
        <v>0</v>
      </c>
      <c r="K269">
        <v>189</v>
      </c>
      <c r="L269">
        <v>0</v>
      </c>
    </row>
    <row r="270" spans="1:12" hidden="1" x14ac:dyDescent="0.3">
      <c r="A270" t="s">
        <v>7286</v>
      </c>
      <c r="B270" t="s">
        <v>519</v>
      </c>
      <c r="C270" t="s">
        <v>7035</v>
      </c>
      <c r="D270" t="s">
        <v>1655</v>
      </c>
      <c r="E270" t="s">
        <v>7289</v>
      </c>
      <c r="F270" s="17">
        <v>46023</v>
      </c>
      <c r="G270">
        <v>159.5</v>
      </c>
      <c r="H270">
        <v>31</v>
      </c>
      <c r="I270">
        <v>0</v>
      </c>
      <c r="J270">
        <v>0</v>
      </c>
      <c r="K270">
        <v>159.5</v>
      </c>
      <c r="L270">
        <v>0</v>
      </c>
    </row>
    <row r="271" spans="1:12" hidden="1" x14ac:dyDescent="0.3">
      <c r="A271" t="s">
        <v>7286</v>
      </c>
      <c r="B271" t="s">
        <v>519</v>
      </c>
      <c r="C271" t="s">
        <v>7290</v>
      </c>
      <c r="D271" t="s">
        <v>2870</v>
      </c>
      <c r="E271" t="s">
        <v>2871</v>
      </c>
      <c r="F271" s="17">
        <v>46023</v>
      </c>
      <c r="G271">
        <v>174</v>
      </c>
      <c r="H271">
        <v>31</v>
      </c>
      <c r="I271">
        <v>0</v>
      </c>
      <c r="J271">
        <v>0</v>
      </c>
      <c r="K271">
        <v>174</v>
      </c>
      <c r="L271">
        <v>0</v>
      </c>
    </row>
    <row r="272" spans="1:12" hidden="1" x14ac:dyDescent="0.3">
      <c r="A272" t="s">
        <v>7286</v>
      </c>
      <c r="B272" t="s">
        <v>519</v>
      </c>
      <c r="C272" t="s">
        <v>7103</v>
      </c>
      <c r="D272" t="s">
        <v>4189</v>
      </c>
      <c r="E272" t="s">
        <v>4190</v>
      </c>
      <c r="F272" s="17">
        <v>46023</v>
      </c>
      <c r="G272">
        <v>206</v>
      </c>
      <c r="H272">
        <v>31</v>
      </c>
      <c r="I272">
        <v>0</v>
      </c>
      <c r="J272">
        <v>0</v>
      </c>
      <c r="K272">
        <v>206</v>
      </c>
      <c r="L272">
        <v>0</v>
      </c>
    </row>
    <row r="273" spans="1:12" hidden="1" x14ac:dyDescent="0.3">
      <c r="A273" t="s">
        <v>7286</v>
      </c>
      <c r="B273" t="s">
        <v>519</v>
      </c>
      <c r="C273" t="s">
        <v>7290</v>
      </c>
      <c r="D273" t="s">
        <v>4781</v>
      </c>
      <c r="E273" t="s">
        <v>4782</v>
      </c>
      <c r="F273" s="17">
        <v>46023</v>
      </c>
      <c r="G273">
        <v>167</v>
      </c>
      <c r="H273">
        <v>31</v>
      </c>
      <c r="I273">
        <v>0</v>
      </c>
      <c r="J273">
        <v>0</v>
      </c>
      <c r="K273">
        <v>167</v>
      </c>
      <c r="L273">
        <v>0</v>
      </c>
    </row>
    <row r="274" spans="1:12" hidden="1" x14ac:dyDescent="0.3">
      <c r="A274" t="s">
        <v>7286</v>
      </c>
      <c r="B274" t="s">
        <v>519</v>
      </c>
      <c r="C274" t="s">
        <v>7103</v>
      </c>
      <c r="D274" t="s">
        <v>4878</v>
      </c>
      <c r="E274" t="s">
        <v>4879</v>
      </c>
      <c r="F274" s="17">
        <v>46023</v>
      </c>
      <c r="G274">
        <v>173</v>
      </c>
      <c r="H274">
        <v>31</v>
      </c>
      <c r="I274">
        <v>0</v>
      </c>
      <c r="J274">
        <v>0</v>
      </c>
      <c r="K274">
        <v>173</v>
      </c>
      <c r="L274">
        <v>0</v>
      </c>
    </row>
    <row r="275" spans="1:12" hidden="1" x14ac:dyDescent="0.3">
      <c r="A275" t="s">
        <v>7286</v>
      </c>
      <c r="B275" t="s">
        <v>519</v>
      </c>
      <c r="C275" t="s">
        <v>7103</v>
      </c>
      <c r="D275" t="s">
        <v>5278</v>
      </c>
      <c r="E275" t="s">
        <v>7291</v>
      </c>
      <c r="F275" s="17">
        <v>46023</v>
      </c>
      <c r="G275">
        <v>199.5</v>
      </c>
      <c r="H275">
        <v>31</v>
      </c>
      <c r="I275">
        <v>0</v>
      </c>
      <c r="J275">
        <v>0</v>
      </c>
      <c r="K275">
        <v>199.5</v>
      </c>
      <c r="L275">
        <v>0</v>
      </c>
    </row>
    <row r="276" spans="1:12" hidden="1" x14ac:dyDescent="0.3">
      <c r="A276" t="s">
        <v>7286</v>
      </c>
      <c r="B276" t="s">
        <v>519</v>
      </c>
      <c r="C276" t="s">
        <v>7110</v>
      </c>
      <c r="D276" t="s">
        <v>6747</v>
      </c>
      <c r="E276" t="s">
        <v>6748</v>
      </c>
      <c r="F276" s="17">
        <v>46023</v>
      </c>
      <c r="G276">
        <v>175</v>
      </c>
      <c r="H276">
        <v>31</v>
      </c>
      <c r="I276">
        <v>0</v>
      </c>
      <c r="J276">
        <v>0</v>
      </c>
      <c r="K276">
        <v>175</v>
      </c>
      <c r="L276">
        <v>0</v>
      </c>
    </row>
    <row r="277" spans="1:12" hidden="1" x14ac:dyDescent="0.3">
      <c r="A277" t="s">
        <v>7048</v>
      </c>
      <c r="B277" t="s">
        <v>519</v>
      </c>
      <c r="C277" t="s">
        <v>7099</v>
      </c>
      <c r="D277" t="s">
        <v>6711</v>
      </c>
      <c r="E277" t="s">
        <v>6712</v>
      </c>
      <c r="F277" s="17">
        <v>46023</v>
      </c>
      <c r="G277">
        <v>300</v>
      </c>
      <c r="H277">
        <v>62</v>
      </c>
      <c r="I277">
        <v>0</v>
      </c>
      <c r="J277">
        <v>0</v>
      </c>
      <c r="K277">
        <v>300</v>
      </c>
      <c r="L277">
        <v>0</v>
      </c>
    </row>
    <row r="278" spans="1:12" hidden="1" x14ac:dyDescent="0.3">
      <c r="A278" t="s">
        <v>7292</v>
      </c>
      <c r="B278" t="s">
        <v>519</v>
      </c>
      <c r="C278" t="s">
        <v>7099</v>
      </c>
      <c r="D278" t="s">
        <v>5487</v>
      </c>
      <c r="E278" t="s">
        <v>5488</v>
      </c>
      <c r="F278" s="17">
        <v>46023</v>
      </c>
      <c r="G278">
        <v>28</v>
      </c>
      <c r="H278">
        <v>31</v>
      </c>
      <c r="I278">
        <v>0</v>
      </c>
      <c r="J278">
        <v>0</v>
      </c>
      <c r="K278">
        <v>28</v>
      </c>
      <c r="L278">
        <v>0</v>
      </c>
    </row>
    <row r="279" spans="1:12" hidden="1" x14ac:dyDescent="0.3">
      <c r="A279" t="s">
        <v>7293</v>
      </c>
      <c r="B279" t="s">
        <v>519</v>
      </c>
      <c r="C279" t="s">
        <v>7099</v>
      </c>
      <c r="D279" t="s">
        <v>5487</v>
      </c>
      <c r="E279" t="s">
        <v>5488</v>
      </c>
      <c r="F279" s="17">
        <v>46023</v>
      </c>
      <c r="G279">
        <v>28</v>
      </c>
      <c r="H279">
        <v>31</v>
      </c>
      <c r="I279">
        <v>0</v>
      </c>
      <c r="J279">
        <v>0</v>
      </c>
      <c r="K279">
        <v>28</v>
      </c>
      <c r="L279">
        <v>0</v>
      </c>
    </row>
    <row r="280" spans="1:12" hidden="1" x14ac:dyDescent="0.3">
      <c r="A280" t="s">
        <v>7294</v>
      </c>
      <c r="B280" t="s">
        <v>519</v>
      </c>
      <c r="C280" t="s">
        <v>7035</v>
      </c>
      <c r="D280" t="s">
        <v>371</v>
      </c>
      <c r="E280" t="s">
        <v>7295</v>
      </c>
      <c r="F280" s="17">
        <v>46023</v>
      </c>
      <c r="G280">
        <v>207.5</v>
      </c>
      <c r="H280">
        <v>31</v>
      </c>
      <c r="I280">
        <v>0</v>
      </c>
      <c r="J280">
        <v>0</v>
      </c>
      <c r="K280">
        <v>207.5</v>
      </c>
      <c r="L280">
        <v>0</v>
      </c>
    </row>
    <row r="281" spans="1:12" hidden="1" x14ac:dyDescent="0.3">
      <c r="A281" t="s">
        <v>7294</v>
      </c>
      <c r="B281" t="s">
        <v>519</v>
      </c>
      <c r="C281" t="s">
        <v>7178</v>
      </c>
      <c r="D281" t="s">
        <v>890</v>
      </c>
      <c r="E281" t="s">
        <v>891</v>
      </c>
      <c r="F281" s="17">
        <v>46023</v>
      </c>
      <c r="G281">
        <v>143</v>
      </c>
      <c r="H281">
        <v>31</v>
      </c>
      <c r="I281">
        <v>0</v>
      </c>
      <c r="J281">
        <v>0</v>
      </c>
      <c r="K281">
        <v>143</v>
      </c>
      <c r="L281">
        <v>0</v>
      </c>
    </row>
    <row r="282" spans="1:12" hidden="1" x14ac:dyDescent="0.3">
      <c r="A282" t="s">
        <v>7294</v>
      </c>
      <c r="B282" t="s">
        <v>519</v>
      </c>
      <c r="C282" t="s">
        <v>7110</v>
      </c>
      <c r="D282" t="s">
        <v>1805</v>
      </c>
      <c r="E282" t="s">
        <v>7296</v>
      </c>
      <c r="F282" s="17">
        <v>46023</v>
      </c>
      <c r="G282">
        <v>159</v>
      </c>
      <c r="H282">
        <v>31</v>
      </c>
      <c r="I282">
        <v>0</v>
      </c>
      <c r="J282">
        <v>0</v>
      </c>
      <c r="K282">
        <v>159</v>
      </c>
      <c r="L282">
        <v>0</v>
      </c>
    </row>
    <row r="283" spans="1:12" hidden="1" x14ac:dyDescent="0.3">
      <c r="A283" t="s">
        <v>7294</v>
      </c>
      <c r="B283" t="s">
        <v>519</v>
      </c>
      <c r="C283" t="s">
        <v>7035</v>
      </c>
      <c r="D283" t="s">
        <v>2733</v>
      </c>
      <c r="E283" t="s">
        <v>7297</v>
      </c>
      <c r="F283" s="17">
        <v>46023</v>
      </c>
      <c r="G283">
        <v>109.5</v>
      </c>
      <c r="H283">
        <v>31</v>
      </c>
      <c r="I283">
        <v>0</v>
      </c>
      <c r="J283">
        <v>0</v>
      </c>
      <c r="K283">
        <v>109.5</v>
      </c>
      <c r="L283">
        <v>0</v>
      </c>
    </row>
    <row r="284" spans="1:12" hidden="1" x14ac:dyDescent="0.3">
      <c r="A284" t="s">
        <v>7294</v>
      </c>
      <c r="B284" t="s">
        <v>519</v>
      </c>
      <c r="C284" t="s">
        <v>7035</v>
      </c>
      <c r="D284" t="s">
        <v>2941</v>
      </c>
      <c r="E284" t="s">
        <v>7298</v>
      </c>
      <c r="F284" s="17">
        <v>46023</v>
      </c>
      <c r="G284">
        <v>62</v>
      </c>
      <c r="H284">
        <v>31</v>
      </c>
      <c r="I284">
        <v>0</v>
      </c>
      <c r="J284">
        <v>0</v>
      </c>
      <c r="K284">
        <v>62</v>
      </c>
      <c r="L284">
        <v>0</v>
      </c>
    </row>
    <row r="285" spans="1:12" hidden="1" x14ac:dyDescent="0.3">
      <c r="A285" t="s">
        <v>7294</v>
      </c>
      <c r="B285" t="s">
        <v>519</v>
      </c>
      <c r="C285" t="s">
        <v>7178</v>
      </c>
      <c r="D285" t="s">
        <v>3120</v>
      </c>
      <c r="E285" t="s">
        <v>7299</v>
      </c>
      <c r="F285" s="17">
        <v>46023</v>
      </c>
      <c r="G285">
        <v>224</v>
      </c>
      <c r="H285">
        <v>31</v>
      </c>
      <c r="I285">
        <v>0</v>
      </c>
      <c r="J285">
        <v>0</v>
      </c>
      <c r="K285">
        <v>224</v>
      </c>
      <c r="L285">
        <v>0</v>
      </c>
    </row>
    <row r="286" spans="1:12" hidden="1" x14ac:dyDescent="0.3">
      <c r="A286" t="s">
        <v>7294</v>
      </c>
      <c r="B286" t="s">
        <v>519</v>
      </c>
      <c r="C286" t="s">
        <v>7147</v>
      </c>
      <c r="D286" t="s">
        <v>3548</v>
      </c>
      <c r="E286" t="s">
        <v>7300</v>
      </c>
      <c r="F286" s="17">
        <v>46023</v>
      </c>
      <c r="G286">
        <v>207.5</v>
      </c>
      <c r="H286">
        <v>31</v>
      </c>
      <c r="I286">
        <v>0</v>
      </c>
      <c r="J286">
        <v>0</v>
      </c>
      <c r="K286">
        <v>207.5</v>
      </c>
      <c r="L286">
        <v>0</v>
      </c>
    </row>
    <row r="287" spans="1:12" hidden="1" x14ac:dyDescent="0.3">
      <c r="A287" t="s">
        <v>7294</v>
      </c>
      <c r="B287" t="s">
        <v>519</v>
      </c>
      <c r="C287" t="s">
        <v>7035</v>
      </c>
      <c r="D287" t="s">
        <v>6764</v>
      </c>
      <c r="E287" t="s">
        <v>6765</v>
      </c>
      <c r="F287" s="17">
        <v>46023</v>
      </c>
      <c r="G287">
        <v>8</v>
      </c>
      <c r="H287">
        <v>31</v>
      </c>
      <c r="I287">
        <v>0</v>
      </c>
      <c r="J287">
        <v>0</v>
      </c>
      <c r="K287">
        <v>8</v>
      </c>
      <c r="L287">
        <v>0</v>
      </c>
    </row>
    <row r="288" spans="1:12" hidden="1" x14ac:dyDescent="0.3">
      <c r="A288" t="s">
        <v>7301</v>
      </c>
      <c r="B288" t="s">
        <v>519</v>
      </c>
      <c r="C288" t="s">
        <v>7035</v>
      </c>
      <c r="D288" t="s">
        <v>480</v>
      </c>
      <c r="E288" t="s">
        <v>481</v>
      </c>
      <c r="F288" s="17">
        <v>46023</v>
      </c>
      <c r="G288">
        <v>178</v>
      </c>
      <c r="H288">
        <v>31</v>
      </c>
      <c r="I288">
        <v>0</v>
      </c>
      <c r="J288">
        <v>0</v>
      </c>
      <c r="K288">
        <v>178</v>
      </c>
      <c r="L288">
        <v>0</v>
      </c>
    </row>
    <row r="289" spans="1:12" hidden="1" x14ac:dyDescent="0.3">
      <c r="A289" t="s">
        <v>7302</v>
      </c>
      <c r="B289" t="s">
        <v>519</v>
      </c>
      <c r="C289" t="s">
        <v>7096</v>
      </c>
      <c r="D289" t="s">
        <v>3832</v>
      </c>
      <c r="E289" t="s">
        <v>7303</v>
      </c>
      <c r="F289" s="17">
        <v>46023</v>
      </c>
      <c r="G289">
        <v>144</v>
      </c>
      <c r="H289">
        <v>31</v>
      </c>
      <c r="I289">
        <v>0</v>
      </c>
      <c r="J289">
        <v>0</v>
      </c>
      <c r="K289">
        <v>144</v>
      </c>
      <c r="L289">
        <v>0</v>
      </c>
    </row>
    <row r="290" spans="1:12" hidden="1" x14ac:dyDescent="0.3">
      <c r="A290" t="s">
        <v>7304</v>
      </c>
      <c r="B290" t="s">
        <v>519</v>
      </c>
      <c r="C290" t="s">
        <v>7033</v>
      </c>
      <c r="D290" t="s">
        <v>520</v>
      </c>
      <c r="E290" t="s">
        <v>521</v>
      </c>
      <c r="F290" s="17">
        <v>46023</v>
      </c>
      <c r="G290">
        <v>207.5</v>
      </c>
      <c r="H290">
        <v>31</v>
      </c>
      <c r="I290">
        <v>0</v>
      </c>
      <c r="J290">
        <v>0</v>
      </c>
      <c r="K290">
        <v>207.5</v>
      </c>
      <c r="L290">
        <v>0</v>
      </c>
    </row>
    <row r="291" spans="1:12" hidden="1" x14ac:dyDescent="0.3">
      <c r="A291" t="s">
        <v>7304</v>
      </c>
      <c r="B291" t="s">
        <v>519</v>
      </c>
      <c r="C291" t="s">
        <v>7035</v>
      </c>
      <c r="D291" t="s">
        <v>721</v>
      </c>
      <c r="E291" t="s">
        <v>7305</v>
      </c>
      <c r="F291" s="17">
        <v>46023</v>
      </c>
      <c r="G291">
        <v>25</v>
      </c>
      <c r="H291">
        <v>31</v>
      </c>
      <c r="I291">
        <v>0</v>
      </c>
      <c r="J291">
        <v>0</v>
      </c>
      <c r="K291">
        <v>25</v>
      </c>
      <c r="L291">
        <v>0</v>
      </c>
    </row>
    <row r="292" spans="1:12" hidden="1" x14ac:dyDescent="0.3">
      <c r="A292" t="s">
        <v>7304</v>
      </c>
      <c r="B292" t="s">
        <v>519</v>
      </c>
      <c r="C292" t="s">
        <v>7033</v>
      </c>
      <c r="D292" t="s">
        <v>2221</v>
      </c>
      <c r="E292" t="s">
        <v>7306</v>
      </c>
      <c r="F292" s="17">
        <v>46023</v>
      </c>
      <c r="G292">
        <v>212</v>
      </c>
      <c r="H292">
        <v>31</v>
      </c>
      <c r="I292">
        <v>0</v>
      </c>
      <c r="J292">
        <v>0</v>
      </c>
      <c r="K292">
        <v>212</v>
      </c>
      <c r="L292">
        <v>0</v>
      </c>
    </row>
    <row r="293" spans="1:12" hidden="1" x14ac:dyDescent="0.3">
      <c r="A293" t="s">
        <v>7304</v>
      </c>
      <c r="B293" t="s">
        <v>519</v>
      </c>
      <c r="C293" t="s">
        <v>7035</v>
      </c>
      <c r="D293" t="s">
        <v>2325</v>
      </c>
      <c r="E293" t="s">
        <v>7307</v>
      </c>
      <c r="F293" s="17">
        <v>46023</v>
      </c>
      <c r="G293">
        <v>180</v>
      </c>
      <c r="H293">
        <v>31</v>
      </c>
      <c r="I293">
        <v>0</v>
      </c>
      <c r="J293">
        <v>0</v>
      </c>
      <c r="K293">
        <v>180</v>
      </c>
      <c r="L293">
        <v>0</v>
      </c>
    </row>
    <row r="294" spans="1:12" hidden="1" x14ac:dyDescent="0.3">
      <c r="A294" t="s">
        <v>7304</v>
      </c>
      <c r="B294" t="s">
        <v>519</v>
      </c>
      <c r="C294" t="s">
        <v>7033</v>
      </c>
      <c r="D294" t="s">
        <v>2737</v>
      </c>
      <c r="E294" t="s">
        <v>7308</v>
      </c>
      <c r="F294" s="17">
        <v>46023</v>
      </c>
      <c r="G294">
        <v>214</v>
      </c>
      <c r="H294">
        <v>31</v>
      </c>
      <c r="I294">
        <v>0</v>
      </c>
      <c r="J294">
        <v>0</v>
      </c>
      <c r="K294">
        <v>214</v>
      </c>
      <c r="L294">
        <v>0</v>
      </c>
    </row>
    <row r="295" spans="1:12" hidden="1" x14ac:dyDescent="0.3">
      <c r="A295" t="s">
        <v>7304</v>
      </c>
      <c r="B295" t="s">
        <v>519</v>
      </c>
      <c r="C295" t="s">
        <v>7055</v>
      </c>
      <c r="D295" t="s">
        <v>3205</v>
      </c>
      <c r="E295" t="s">
        <v>7309</v>
      </c>
      <c r="F295" s="17">
        <v>46023</v>
      </c>
      <c r="G295">
        <v>205.5</v>
      </c>
      <c r="H295">
        <v>31</v>
      </c>
      <c r="I295">
        <v>0</v>
      </c>
      <c r="J295">
        <v>0</v>
      </c>
      <c r="K295">
        <v>205.5</v>
      </c>
      <c r="L295">
        <v>0</v>
      </c>
    </row>
    <row r="296" spans="1:12" hidden="1" x14ac:dyDescent="0.3">
      <c r="A296" t="s">
        <v>7304</v>
      </c>
      <c r="B296" t="s">
        <v>519</v>
      </c>
      <c r="C296" t="s">
        <v>7033</v>
      </c>
      <c r="D296" t="s">
        <v>5897</v>
      </c>
      <c r="E296" t="s">
        <v>7310</v>
      </c>
      <c r="F296" s="17">
        <v>46023</v>
      </c>
      <c r="G296">
        <v>214.5</v>
      </c>
      <c r="H296">
        <v>31</v>
      </c>
      <c r="I296">
        <v>0</v>
      </c>
      <c r="J296">
        <v>0</v>
      </c>
      <c r="K296">
        <v>214.5</v>
      </c>
      <c r="L296">
        <v>0</v>
      </c>
    </row>
    <row r="297" spans="1:12" hidden="1" x14ac:dyDescent="0.3">
      <c r="A297" t="s">
        <v>7304</v>
      </c>
      <c r="B297" t="s">
        <v>519</v>
      </c>
      <c r="C297" t="s">
        <v>7055</v>
      </c>
      <c r="D297" t="s">
        <v>5893</v>
      </c>
      <c r="E297" t="s">
        <v>7311</v>
      </c>
      <c r="F297" s="17">
        <v>46023</v>
      </c>
      <c r="G297">
        <v>214</v>
      </c>
      <c r="H297">
        <v>31</v>
      </c>
      <c r="I297">
        <v>0</v>
      </c>
      <c r="J297">
        <v>0</v>
      </c>
      <c r="K297">
        <v>214</v>
      </c>
      <c r="L297">
        <v>0</v>
      </c>
    </row>
    <row r="298" spans="1:12" hidden="1" x14ac:dyDescent="0.3">
      <c r="A298" t="s">
        <v>7304</v>
      </c>
      <c r="B298" t="s">
        <v>519</v>
      </c>
      <c r="C298" t="s">
        <v>7055</v>
      </c>
      <c r="D298" t="s">
        <v>6432</v>
      </c>
      <c r="E298" t="s">
        <v>6433</v>
      </c>
      <c r="F298" s="17">
        <v>46023</v>
      </c>
      <c r="G298">
        <v>214.5</v>
      </c>
      <c r="H298">
        <v>31</v>
      </c>
      <c r="I298">
        <v>0</v>
      </c>
      <c r="J298">
        <v>0</v>
      </c>
      <c r="K298">
        <v>214.5</v>
      </c>
      <c r="L298">
        <v>0</v>
      </c>
    </row>
    <row r="299" spans="1:12" hidden="1" x14ac:dyDescent="0.3">
      <c r="A299" t="s">
        <v>7304</v>
      </c>
      <c r="B299" t="s">
        <v>519</v>
      </c>
      <c r="C299" t="s">
        <v>7055</v>
      </c>
      <c r="D299" t="s">
        <v>6676</v>
      </c>
      <c r="E299" t="s">
        <v>6677</v>
      </c>
      <c r="F299" s="17">
        <v>46023</v>
      </c>
      <c r="G299">
        <v>205</v>
      </c>
      <c r="H299">
        <v>31</v>
      </c>
      <c r="I299">
        <v>0</v>
      </c>
      <c r="J299">
        <v>0</v>
      </c>
      <c r="K299">
        <v>205</v>
      </c>
      <c r="L299">
        <v>0</v>
      </c>
    </row>
    <row r="300" spans="1:12" hidden="1" x14ac:dyDescent="0.3">
      <c r="A300" t="s">
        <v>7312</v>
      </c>
      <c r="B300" t="s">
        <v>519</v>
      </c>
      <c r="C300" t="s">
        <v>7096</v>
      </c>
      <c r="D300" t="s">
        <v>294</v>
      </c>
      <c r="E300" t="s">
        <v>7313</v>
      </c>
      <c r="F300" s="17">
        <v>46023</v>
      </c>
      <c r="G300">
        <v>27</v>
      </c>
      <c r="H300">
        <v>31</v>
      </c>
      <c r="I300">
        <v>27</v>
      </c>
      <c r="J300">
        <v>18</v>
      </c>
      <c r="K300">
        <v>18</v>
      </c>
      <c r="L300">
        <v>-9</v>
      </c>
    </row>
    <row r="301" spans="1:12" hidden="1" x14ac:dyDescent="0.3">
      <c r="A301" t="s">
        <v>7312</v>
      </c>
      <c r="B301" t="s">
        <v>519</v>
      </c>
      <c r="C301" t="s">
        <v>7035</v>
      </c>
      <c r="D301" t="s">
        <v>89</v>
      </c>
      <c r="E301" t="s">
        <v>7314</v>
      </c>
      <c r="F301" s="17">
        <v>46023</v>
      </c>
      <c r="G301">
        <v>179</v>
      </c>
      <c r="H301">
        <v>31</v>
      </c>
      <c r="I301">
        <v>0</v>
      </c>
      <c r="J301">
        <v>0</v>
      </c>
      <c r="K301">
        <v>179</v>
      </c>
      <c r="L301">
        <v>0</v>
      </c>
    </row>
    <row r="302" spans="1:12" hidden="1" x14ac:dyDescent="0.3">
      <c r="A302" t="s">
        <v>7312</v>
      </c>
      <c r="B302" t="s">
        <v>519</v>
      </c>
      <c r="C302" t="s">
        <v>7096</v>
      </c>
      <c r="D302" t="s">
        <v>407</v>
      </c>
      <c r="E302" t="s">
        <v>7315</v>
      </c>
      <c r="F302" s="17">
        <v>46023</v>
      </c>
      <c r="G302">
        <v>153</v>
      </c>
      <c r="H302">
        <v>31</v>
      </c>
      <c r="I302">
        <v>153</v>
      </c>
      <c r="J302">
        <v>0</v>
      </c>
      <c r="K302">
        <v>0</v>
      </c>
      <c r="L302">
        <v>-153</v>
      </c>
    </row>
    <row r="303" spans="1:12" hidden="1" x14ac:dyDescent="0.3">
      <c r="A303" t="s">
        <v>7312</v>
      </c>
      <c r="B303" t="s">
        <v>519</v>
      </c>
      <c r="C303" t="s">
        <v>7147</v>
      </c>
      <c r="D303" t="s">
        <v>3226</v>
      </c>
      <c r="E303" t="s">
        <v>7316</v>
      </c>
      <c r="F303" s="17">
        <v>46023</v>
      </c>
      <c r="G303">
        <v>165</v>
      </c>
      <c r="H303">
        <v>31</v>
      </c>
      <c r="I303">
        <v>0</v>
      </c>
      <c r="J303">
        <v>9</v>
      </c>
      <c r="K303">
        <v>174</v>
      </c>
      <c r="L303">
        <v>9</v>
      </c>
    </row>
    <row r="304" spans="1:12" hidden="1" x14ac:dyDescent="0.3">
      <c r="A304" t="s">
        <v>7312</v>
      </c>
      <c r="B304" t="s">
        <v>519</v>
      </c>
      <c r="C304" t="s">
        <v>7144</v>
      </c>
      <c r="D304" t="s">
        <v>1202</v>
      </c>
      <c r="E304" t="s">
        <v>7317</v>
      </c>
      <c r="F304" s="17">
        <v>46023</v>
      </c>
      <c r="G304">
        <v>102</v>
      </c>
      <c r="H304">
        <v>31</v>
      </c>
      <c r="I304">
        <v>0</v>
      </c>
      <c r="J304">
        <v>0</v>
      </c>
      <c r="K304">
        <v>102</v>
      </c>
      <c r="L304">
        <v>0</v>
      </c>
    </row>
    <row r="305" spans="1:12" hidden="1" x14ac:dyDescent="0.3">
      <c r="A305" t="s">
        <v>7312</v>
      </c>
      <c r="B305" t="s">
        <v>519</v>
      </c>
      <c r="D305" t="s">
        <v>1720</v>
      </c>
      <c r="E305" t="s">
        <v>7318</v>
      </c>
      <c r="F305" s="17">
        <v>46023</v>
      </c>
      <c r="G305">
        <v>173</v>
      </c>
      <c r="H305">
        <v>31</v>
      </c>
      <c r="I305">
        <v>0</v>
      </c>
      <c r="J305">
        <v>0</v>
      </c>
      <c r="K305">
        <v>173</v>
      </c>
      <c r="L305">
        <v>0</v>
      </c>
    </row>
    <row r="306" spans="1:12" hidden="1" x14ac:dyDescent="0.3">
      <c r="A306" t="s">
        <v>7312</v>
      </c>
      <c r="B306" t="s">
        <v>519</v>
      </c>
      <c r="C306" t="s">
        <v>7033</v>
      </c>
      <c r="D306" t="s">
        <v>2283</v>
      </c>
      <c r="E306" t="s">
        <v>2284</v>
      </c>
      <c r="F306" s="17">
        <v>46023</v>
      </c>
      <c r="G306">
        <v>117</v>
      </c>
      <c r="H306">
        <v>31</v>
      </c>
      <c r="I306">
        <v>234</v>
      </c>
      <c r="J306">
        <v>117</v>
      </c>
      <c r="K306">
        <v>0</v>
      </c>
      <c r="L306">
        <v>-117</v>
      </c>
    </row>
    <row r="307" spans="1:12" hidden="1" x14ac:dyDescent="0.3">
      <c r="A307" t="s">
        <v>7312</v>
      </c>
      <c r="B307" t="s">
        <v>519</v>
      </c>
      <c r="C307" t="s">
        <v>7178</v>
      </c>
      <c r="D307" t="s">
        <v>2509</v>
      </c>
      <c r="E307" t="s">
        <v>7319</v>
      </c>
      <c r="F307" s="17">
        <v>46023</v>
      </c>
      <c r="G307">
        <v>182.5</v>
      </c>
      <c r="H307">
        <v>31</v>
      </c>
      <c r="I307">
        <v>0</v>
      </c>
      <c r="J307">
        <v>0</v>
      </c>
      <c r="K307">
        <v>182.5</v>
      </c>
      <c r="L307">
        <v>0</v>
      </c>
    </row>
    <row r="308" spans="1:12" hidden="1" x14ac:dyDescent="0.3">
      <c r="A308" t="s">
        <v>7312</v>
      </c>
      <c r="B308" t="s">
        <v>519</v>
      </c>
      <c r="C308" t="s">
        <v>7178</v>
      </c>
      <c r="D308" t="s">
        <v>1904</v>
      </c>
      <c r="E308" t="s">
        <v>7320</v>
      </c>
      <c r="F308" s="17">
        <v>46023</v>
      </c>
      <c r="G308">
        <v>155</v>
      </c>
      <c r="H308">
        <v>31</v>
      </c>
      <c r="I308">
        <v>2</v>
      </c>
      <c r="J308">
        <v>9</v>
      </c>
      <c r="K308">
        <v>162</v>
      </c>
      <c r="L308">
        <v>7</v>
      </c>
    </row>
    <row r="309" spans="1:12" hidden="1" x14ac:dyDescent="0.3">
      <c r="A309" t="s">
        <v>7312</v>
      </c>
      <c r="B309" t="s">
        <v>519</v>
      </c>
      <c r="D309" t="s">
        <v>3326</v>
      </c>
      <c r="E309" t="s">
        <v>7321</v>
      </c>
      <c r="F309" s="17">
        <v>46023</v>
      </c>
      <c r="G309">
        <v>158</v>
      </c>
      <c r="H309">
        <v>31</v>
      </c>
      <c r="I309">
        <v>0</v>
      </c>
      <c r="J309">
        <v>0</v>
      </c>
      <c r="K309">
        <v>158</v>
      </c>
      <c r="L309">
        <v>0</v>
      </c>
    </row>
    <row r="310" spans="1:12" hidden="1" x14ac:dyDescent="0.3">
      <c r="A310" t="s">
        <v>7312</v>
      </c>
      <c r="B310" t="s">
        <v>519</v>
      </c>
      <c r="C310" t="s">
        <v>7111</v>
      </c>
      <c r="D310" t="s">
        <v>3344</v>
      </c>
      <c r="E310" t="s">
        <v>7322</v>
      </c>
      <c r="F310" s="17">
        <v>46023</v>
      </c>
      <c r="G310">
        <v>27</v>
      </c>
      <c r="H310">
        <v>31</v>
      </c>
      <c r="I310">
        <v>54</v>
      </c>
      <c r="J310">
        <v>27</v>
      </c>
      <c r="K310">
        <v>0</v>
      </c>
      <c r="L310">
        <v>-27</v>
      </c>
    </row>
    <row r="311" spans="1:12" hidden="1" x14ac:dyDescent="0.3">
      <c r="A311" t="s">
        <v>7312</v>
      </c>
      <c r="B311" t="s">
        <v>519</v>
      </c>
      <c r="C311" t="s">
        <v>7035</v>
      </c>
      <c r="D311" t="s">
        <v>3710</v>
      </c>
      <c r="E311" t="s">
        <v>7323</v>
      </c>
      <c r="F311" s="17">
        <v>46023</v>
      </c>
      <c r="G311">
        <v>27</v>
      </c>
      <c r="H311">
        <v>31</v>
      </c>
      <c r="I311">
        <v>54</v>
      </c>
      <c r="J311">
        <v>27</v>
      </c>
      <c r="K311">
        <v>0</v>
      </c>
      <c r="L311">
        <v>-27</v>
      </c>
    </row>
    <row r="312" spans="1:12" hidden="1" x14ac:dyDescent="0.3">
      <c r="A312" t="s">
        <v>7312</v>
      </c>
      <c r="B312" t="s">
        <v>519</v>
      </c>
      <c r="C312" t="s">
        <v>7178</v>
      </c>
      <c r="D312" t="s">
        <v>4700</v>
      </c>
      <c r="E312" t="s">
        <v>7324</v>
      </c>
      <c r="F312" s="17">
        <v>46023</v>
      </c>
      <c r="G312">
        <v>173.5</v>
      </c>
      <c r="H312">
        <v>31</v>
      </c>
      <c r="I312">
        <v>9</v>
      </c>
      <c r="J312">
        <v>0</v>
      </c>
      <c r="K312">
        <v>164.5</v>
      </c>
      <c r="L312">
        <v>-9</v>
      </c>
    </row>
    <row r="313" spans="1:12" hidden="1" x14ac:dyDescent="0.3">
      <c r="A313" t="s">
        <v>7312</v>
      </c>
      <c r="B313" t="s">
        <v>519</v>
      </c>
      <c r="C313" t="s">
        <v>7164</v>
      </c>
      <c r="D313" t="s">
        <v>5020</v>
      </c>
      <c r="E313" t="s">
        <v>7325</v>
      </c>
      <c r="F313" s="17">
        <v>46023</v>
      </c>
      <c r="G313">
        <v>150</v>
      </c>
      <c r="H313">
        <v>31</v>
      </c>
      <c r="I313">
        <v>0</v>
      </c>
      <c r="J313">
        <v>0</v>
      </c>
      <c r="K313">
        <v>150</v>
      </c>
      <c r="L313">
        <v>0</v>
      </c>
    </row>
    <row r="314" spans="1:12" hidden="1" x14ac:dyDescent="0.3">
      <c r="A314" t="s">
        <v>7312</v>
      </c>
      <c r="B314" t="s">
        <v>519</v>
      </c>
      <c r="C314" t="s">
        <v>7035</v>
      </c>
      <c r="D314" t="s">
        <v>5602</v>
      </c>
      <c r="E314" t="s">
        <v>5603</v>
      </c>
      <c r="F314" s="17">
        <v>46023</v>
      </c>
      <c r="G314">
        <v>168</v>
      </c>
      <c r="H314">
        <v>31</v>
      </c>
      <c r="I314">
        <v>0</v>
      </c>
      <c r="J314">
        <v>9</v>
      </c>
      <c r="K314">
        <v>177</v>
      </c>
      <c r="L314">
        <v>9</v>
      </c>
    </row>
    <row r="315" spans="1:12" hidden="1" x14ac:dyDescent="0.3">
      <c r="A315" t="s">
        <v>7312</v>
      </c>
      <c r="B315" t="s">
        <v>519</v>
      </c>
      <c r="C315" t="s">
        <v>7326</v>
      </c>
      <c r="D315" t="s">
        <v>6699</v>
      </c>
      <c r="E315" t="s">
        <v>7327</v>
      </c>
      <c r="F315" s="17">
        <v>46023</v>
      </c>
      <c r="G315">
        <v>53</v>
      </c>
      <c r="H315">
        <v>31</v>
      </c>
      <c r="I315">
        <v>48</v>
      </c>
      <c r="J315">
        <v>0</v>
      </c>
      <c r="K315">
        <v>5</v>
      </c>
      <c r="L315">
        <v>-48</v>
      </c>
    </row>
    <row r="316" spans="1:12" hidden="1" x14ac:dyDescent="0.3">
      <c r="A316" t="s">
        <v>7312</v>
      </c>
      <c r="B316" t="s">
        <v>519</v>
      </c>
      <c r="C316" t="s">
        <v>7035</v>
      </c>
      <c r="D316" t="s">
        <v>6934</v>
      </c>
      <c r="E316" t="s">
        <v>6935</v>
      </c>
      <c r="F316" s="17">
        <v>46023</v>
      </c>
      <c r="G316">
        <v>145</v>
      </c>
      <c r="H316">
        <v>31</v>
      </c>
      <c r="I316">
        <v>0</v>
      </c>
      <c r="J316">
        <v>0</v>
      </c>
      <c r="K316">
        <v>145</v>
      </c>
      <c r="L316">
        <v>0</v>
      </c>
    </row>
    <row r="317" spans="1:12" hidden="1" x14ac:dyDescent="0.3">
      <c r="A317" t="s">
        <v>7328</v>
      </c>
      <c r="B317" t="s">
        <v>519</v>
      </c>
      <c r="C317" t="s">
        <v>7035</v>
      </c>
      <c r="D317" t="s">
        <v>1018</v>
      </c>
      <c r="E317" t="s">
        <v>1019</v>
      </c>
      <c r="F317" s="17">
        <v>46023</v>
      </c>
      <c r="G317">
        <v>160</v>
      </c>
      <c r="H317">
        <v>31</v>
      </c>
      <c r="I317">
        <v>0</v>
      </c>
      <c r="J317">
        <v>0</v>
      </c>
      <c r="K317">
        <v>160</v>
      </c>
      <c r="L317">
        <v>0</v>
      </c>
    </row>
    <row r="318" spans="1:12" hidden="1" x14ac:dyDescent="0.3">
      <c r="A318" t="s">
        <v>7329</v>
      </c>
      <c r="B318" t="s">
        <v>519</v>
      </c>
      <c r="C318" t="s">
        <v>7035</v>
      </c>
      <c r="D318" t="s">
        <v>3330</v>
      </c>
      <c r="E318" t="s">
        <v>3331</v>
      </c>
      <c r="F318" s="17">
        <v>46023</v>
      </c>
      <c r="G318">
        <v>104</v>
      </c>
      <c r="H318">
        <v>31</v>
      </c>
      <c r="I318">
        <v>0</v>
      </c>
      <c r="J318">
        <v>0</v>
      </c>
      <c r="K318">
        <v>104</v>
      </c>
      <c r="L318">
        <v>0</v>
      </c>
    </row>
    <row r="319" spans="1:12" hidden="1" x14ac:dyDescent="0.3">
      <c r="A319" t="s">
        <v>7330</v>
      </c>
      <c r="B319" t="s">
        <v>519</v>
      </c>
      <c r="C319" t="s">
        <v>7033</v>
      </c>
      <c r="D319" t="s">
        <v>4126</v>
      </c>
      <c r="E319" t="s">
        <v>7331</v>
      </c>
      <c r="F319" s="17">
        <v>46023</v>
      </c>
      <c r="G319">
        <v>198</v>
      </c>
      <c r="H319">
        <v>31</v>
      </c>
      <c r="I319">
        <v>0</v>
      </c>
      <c r="J319">
        <v>0</v>
      </c>
      <c r="K319">
        <v>198</v>
      </c>
      <c r="L319">
        <v>0</v>
      </c>
    </row>
    <row r="320" spans="1:12" hidden="1" x14ac:dyDescent="0.3">
      <c r="A320" t="s">
        <v>7330</v>
      </c>
      <c r="B320" t="s">
        <v>519</v>
      </c>
      <c r="C320" t="s">
        <v>7035</v>
      </c>
      <c r="D320" t="s">
        <v>6442</v>
      </c>
      <c r="E320" t="s">
        <v>6443</v>
      </c>
      <c r="F320" s="17">
        <v>46023</v>
      </c>
      <c r="G320">
        <v>198</v>
      </c>
      <c r="H320">
        <v>31</v>
      </c>
      <c r="I320">
        <v>0</v>
      </c>
      <c r="J320">
        <v>0</v>
      </c>
      <c r="K320">
        <v>198</v>
      </c>
      <c r="L320">
        <v>0</v>
      </c>
    </row>
    <row r="321" spans="1:12" hidden="1" x14ac:dyDescent="0.3">
      <c r="A321" t="s">
        <v>7332</v>
      </c>
      <c r="B321" t="s">
        <v>519</v>
      </c>
      <c r="C321" t="s">
        <v>7033</v>
      </c>
      <c r="D321" t="s">
        <v>1766</v>
      </c>
      <c r="E321" t="s">
        <v>7333</v>
      </c>
      <c r="F321" s="17">
        <v>46023</v>
      </c>
      <c r="G321">
        <v>67</v>
      </c>
      <c r="H321">
        <v>31</v>
      </c>
      <c r="I321">
        <v>0</v>
      </c>
      <c r="J321">
        <v>0</v>
      </c>
      <c r="K321">
        <v>67</v>
      </c>
      <c r="L321">
        <v>0</v>
      </c>
    </row>
    <row r="322" spans="1:12" hidden="1" x14ac:dyDescent="0.3">
      <c r="A322" t="s">
        <v>7332</v>
      </c>
      <c r="B322" t="s">
        <v>519</v>
      </c>
      <c r="C322" t="s">
        <v>7035</v>
      </c>
      <c r="D322" t="s">
        <v>3775</v>
      </c>
      <c r="E322" t="s">
        <v>7334</v>
      </c>
      <c r="F322" s="17">
        <v>46023</v>
      </c>
      <c r="G322">
        <v>67</v>
      </c>
      <c r="H322">
        <v>31</v>
      </c>
      <c r="I322">
        <v>0</v>
      </c>
      <c r="J322">
        <v>0</v>
      </c>
      <c r="K322">
        <v>67</v>
      </c>
      <c r="L322">
        <v>0</v>
      </c>
    </row>
    <row r="323" spans="1:12" hidden="1" x14ac:dyDescent="0.3">
      <c r="A323" t="s">
        <v>7332</v>
      </c>
      <c r="B323" t="s">
        <v>519</v>
      </c>
      <c r="C323" t="s">
        <v>7055</v>
      </c>
      <c r="D323" t="s">
        <v>5532</v>
      </c>
      <c r="E323" t="s">
        <v>7335</v>
      </c>
      <c r="F323" s="17">
        <v>46023</v>
      </c>
      <c r="G323">
        <v>67</v>
      </c>
      <c r="H323">
        <v>31</v>
      </c>
      <c r="I323">
        <v>0</v>
      </c>
      <c r="J323">
        <v>0</v>
      </c>
      <c r="K323">
        <v>67</v>
      </c>
      <c r="L323">
        <v>0</v>
      </c>
    </row>
    <row r="324" spans="1:12" hidden="1" x14ac:dyDescent="0.3">
      <c r="A324" t="s">
        <v>7332</v>
      </c>
      <c r="B324" t="s">
        <v>519</v>
      </c>
      <c r="D324" t="s">
        <v>5933</v>
      </c>
      <c r="E324" t="s">
        <v>5934</v>
      </c>
      <c r="F324" s="17">
        <v>46023</v>
      </c>
      <c r="G324">
        <v>67</v>
      </c>
      <c r="H324">
        <v>31</v>
      </c>
      <c r="I324">
        <v>0</v>
      </c>
      <c r="J324">
        <v>0</v>
      </c>
      <c r="K324">
        <v>67</v>
      </c>
      <c r="L324">
        <v>0</v>
      </c>
    </row>
    <row r="325" spans="1:12" hidden="1" x14ac:dyDescent="0.3">
      <c r="A325" t="s">
        <v>7336</v>
      </c>
      <c r="B325" t="s">
        <v>519</v>
      </c>
      <c r="C325" t="s">
        <v>7103</v>
      </c>
      <c r="D325" t="s">
        <v>2199</v>
      </c>
      <c r="E325" t="s">
        <v>2200</v>
      </c>
      <c r="F325" s="17">
        <v>46023</v>
      </c>
      <c r="G325">
        <v>239.5</v>
      </c>
      <c r="H325">
        <v>31</v>
      </c>
      <c r="I325">
        <v>0</v>
      </c>
      <c r="J325">
        <v>0</v>
      </c>
      <c r="K325">
        <v>239.5</v>
      </c>
      <c r="L325">
        <v>0</v>
      </c>
    </row>
    <row r="326" spans="1:12" hidden="1" x14ac:dyDescent="0.3">
      <c r="A326" t="s">
        <v>7336</v>
      </c>
      <c r="B326" t="s">
        <v>519</v>
      </c>
      <c r="D326" t="s">
        <v>3255</v>
      </c>
      <c r="E326" t="s">
        <v>3256</v>
      </c>
      <c r="F326" s="17">
        <v>46023</v>
      </c>
      <c r="G326">
        <v>219</v>
      </c>
      <c r="H326">
        <v>31</v>
      </c>
      <c r="I326">
        <v>0</v>
      </c>
      <c r="J326">
        <v>0</v>
      </c>
      <c r="K326">
        <v>219</v>
      </c>
      <c r="L326">
        <v>0</v>
      </c>
    </row>
    <row r="327" spans="1:12" hidden="1" x14ac:dyDescent="0.3">
      <c r="A327" t="s">
        <v>7336</v>
      </c>
      <c r="B327" t="s">
        <v>519</v>
      </c>
      <c r="C327" t="s">
        <v>7035</v>
      </c>
      <c r="D327" t="s">
        <v>3954</v>
      </c>
      <c r="E327" t="s">
        <v>7337</v>
      </c>
      <c r="F327" s="17">
        <v>46023</v>
      </c>
      <c r="G327">
        <v>241</v>
      </c>
      <c r="H327">
        <v>31</v>
      </c>
      <c r="I327">
        <v>0</v>
      </c>
      <c r="J327">
        <v>0</v>
      </c>
      <c r="K327">
        <v>241</v>
      </c>
      <c r="L327">
        <v>0</v>
      </c>
    </row>
    <row r="328" spans="1:12" hidden="1" x14ac:dyDescent="0.3">
      <c r="A328" t="s">
        <v>7336</v>
      </c>
      <c r="B328" t="s">
        <v>519</v>
      </c>
      <c r="C328" t="s">
        <v>7164</v>
      </c>
      <c r="D328" t="s">
        <v>3999</v>
      </c>
      <c r="E328" t="s">
        <v>4000</v>
      </c>
      <c r="F328" s="17">
        <v>46023</v>
      </c>
      <c r="G328">
        <v>218</v>
      </c>
      <c r="H328">
        <v>31</v>
      </c>
      <c r="I328">
        <v>0</v>
      </c>
      <c r="J328">
        <v>0</v>
      </c>
      <c r="K328">
        <v>218</v>
      </c>
      <c r="L328">
        <v>0</v>
      </c>
    </row>
    <row r="329" spans="1:12" hidden="1" x14ac:dyDescent="0.3">
      <c r="A329" t="s">
        <v>7336</v>
      </c>
      <c r="B329" t="s">
        <v>519</v>
      </c>
      <c r="C329" t="s">
        <v>7103</v>
      </c>
      <c r="D329" t="s">
        <v>6284</v>
      </c>
      <c r="E329" t="s">
        <v>6285</v>
      </c>
      <c r="F329" s="17">
        <v>46023</v>
      </c>
      <c r="G329">
        <v>244</v>
      </c>
      <c r="H329">
        <v>31</v>
      </c>
      <c r="I329">
        <v>0</v>
      </c>
      <c r="J329">
        <v>0</v>
      </c>
      <c r="K329">
        <v>244</v>
      </c>
      <c r="L329">
        <v>0</v>
      </c>
    </row>
    <row r="330" spans="1:12" hidden="1" x14ac:dyDescent="0.3">
      <c r="A330" t="s">
        <v>7338</v>
      </c>
      <c r="B330" t="s">
        <v>519</v>
      </c>
      <c r="C330" t="s">
        <v>7035</v>
      </c>
      <c r="D330" t="s">
        <v>5305</v>
      </c>
      <c r="E330" t="s">
        <v>5306</v>
      </c>
      <c r="F330" s="17">
        <v>46023</v>
      </c>
      <c r="G330">
        <v>136</v>
      </c>
      <c r="H330">
        <v>31</v>
      </c>
      <c r="I330">
        <v>0</v>
      </c>
      <c r="J330">
        <v>0</v>
      </c>
      <c r="K330">
        <v>136</v>
      </c>
      <c r="L330">
        <v>0</v>
      </c>
    </row>
    <row r="331" spans="1:12" hidden="1" x14ac:dyDescent="0.3">
      <c r="A331" t="s">
        <v>7339</v>
      </c>
      <c r="B331" t="s">
        <v>519</v>
      </c>
      <c r="C331" t="s">
        <v>7290</v>
      </c>
      <c r="D331" t="s">
        <v>1449</v>
      </c>
      <c r="E331" t="s">
        <v>7340</v>
      </c>
      <c r="F331" s="17">
        <v>46023</v>
      </c>
      <c r="G331">
        <v>96</v>
      </c>
      <c r="H331">
        <v>31</v>
      </c>
      <c r="I331">
        <v>0</v>
      </c>
      <c r="J331">
        <v>0</v>
      </c>
      <c r="K331">
        <v>96</v>
      </c>
      <c r="L331">
        <v>0</v>
      </c>
    </row>
    <row r="332" spans="1:12" hidden="1" x14ac:dyDescent="0.3">
      <c r="A332" t="s">
        <v>7339</v>
      </c>
      <c r="B332" t="s">
        <v>519</v>
      </c>
      <c r="C332" t="s">
        <v>7035</v>
      </c>
      <c r="D332" t="s">
        <v>1633</v>
      </c>
      <c r="E332" t="s">
        <v>7341</v>
      </c>
      <c r="F332" s="17">
        <v>46023</v>
      </c>
      <c r="G332">
        <v>250</v>
      </c>
      <c r="H332">
        <v>31</v>
      </c>
      <c r="I332">
        <v>0</v>
      </c>
      <c r="J332">
        <v>0</v>
      </c>
      <c r="K332">
        <v>250</v>
      </c>
      <c r="L332">
        <v>0</v>
      </c>
    </row>
    <row r="333" spans="1:12" hidden="1" x14ac:dyDescent="0.3">
      <c r="A333" t="s">
        <v>7339</v>
      </c>
      <c r="B333" t="s">
        <v>519</v>
      </c>
      <c r="C333" t="s">
        <v>7342</v>
      </c>
      <c r="D333" t="s">
        <v>1663</v>
      </c>
      <c r="E333" t="s">
        <v>7343</v>
      </c>
      <c r="F333" s="17">
        <v>46023</v>
      </c>
      <c r="G333">
        <v>171</v>
      </c>
      <c r="H333">
        <v>31</v>
      </c>
      <c r="I333">
        <v>0</v>
      </c>
      <c r="J333">
        <v>0</v>
      </c>
      <c r="K333">
        <v>171</v>
      </c>
      <c r="L333">
        <v>0</v>
      </c>
    </row>
    <row r="334" spans="1:12" hidden="1" x14ac:dyDescent="0.3">
      <c r="A334" t="s">
        <v>7339</v>
      </c>
      <c r="B334" t="s">
        <v>519</v>
      </c>
      <c r="C334" t="s">
        <v>7290</v>
      </c>
      <c r="D334" t="s">
        <v>2013</v>
      </c>
      <c r="E334" t="s">
        <v>2014</v>
      </c>
      <c r="F334" s="17">
        <v>46023</v>
      </c>
      <c r="G334">
        <v>172</v>
      </c>
      <c r="H334">
        <v>31</v>
      </c>
      <c r="I334">
        <v>0</v>
      </c>
      <c r="J334">
        <v>0</v>
      </c>
      <c r="K334">
        <v>172</v>
      </c>
      <c r="L334">
        <v>0</v>
      </c>
    </row>
    <row r="335" spans="1:12" hidden="1" x14ac:dyDescent="0.3">
      <c r="A335" t="s">
        <v>7339</v>
      </c>
      <c r="B335" t="s">
        <v>519</v>
      </c>
      <c r="C335" t="s">
        <v>7344</v>
      </c>
      <c r="D335" t="s">
        <v>2471</v>
      </c>
      <c r="E335" t="s">
        <v>2472</v>
      </c>
      <c r="F335" s="17">
        <v>46023</v>
      </c>
      <c r="G335">
        <v>108</v>
      </c>
      <c r="H335">
        <v>31</v>
      </c>
      <c r="I335">
        <v>0</v>
      </c>
      <c r="J335">
        <v>0</v>
      </c>
      <c r="K335">
        <v>108</v>
      </c>
      <c r="L335">
        <v>0</v>
      </c>
    </row>
    <row r="336" spans="1:12" hidden="1" x14ac:dyDescent="0.3">
      <c r="A336" t="s">
        <v>7339</v>
      </c>
      <c r="B336" t="s">
        <v>519</v>
      </c>
      <c r="C336" t="s">
        <v>7131</v>
      </c>
      <c r="D336" t="s">
        <v>4693</v>
      </c>
      <c r="E336" t="s">
        <v>7345</v>
      </c>
      <c r="F336" s="17">
        <v>46023</v>
      </c>
      <c r="G336">
        <v>198</v>
      </c>
      <c r="H336">
        <v>31</v>
      </c>
      <c r="I336">
        <v>0</v>
      </c>
      <c r="J336">
        <v>0</v>
      </c>
      <c r="K336">
        <v>198</v>
      </c>
      <c r="L336">
        <v>0</v>
      </c>
    </row>
    <row r="337" spans="1:12" hidden="1" x14ac:dyDescent="0.3">
      <c r="A337" t="s">
        <v>7339</v>
      </c>
      <c r="B337" t="s">
        <v>519</v>
      </c>
      <c r="C337" t="s">
        <v>7178</v>
      </c>
      <c r="D337" t="s">
        <v>4740</v>
      </c>
      <c r="E337" t="s">
        <v>7346</v>
      </c>
      <c r="F337" s="17">
        <v>46023</v>
      </c>
      <c r="G337">
        <v>304</v>
      </c>
      <c r="H337">
        <v>31</v>
      </c>
      <c r="I337">
        <v>0</v>
      </c>
      <c r="J337">
        <v>0</v>
      </c>
      <c r="K337">
        <v>304</v>
      </c>
      <c r="L337">
        <v>0</v>
      </c>
    </row>
    <row r="338" spans="1:12" hidden="1" x14ac:dyDescent="0.3">
      <c r="A338" t="s">
        <v>7339</v>
      </c>
      <c r="B338" t="s">
        <v>519</v>
      </c>
      <c r="C338" t="s">
        <v>7290</v>
      </c>
      <c r="D338" t="s">
        <v>4820</v>
      </c>
      <c r="E338" t="s">
        <v>4821</v>
      </c>
      <c r="F338" s="17">
        <v>46023</v>
      </c>
      <c r="G338">
        <v>172</v>
      </c>
      <c r="H338">
        <v>31</v>
      </c>
      <c r="I338">
        <v>0</v>
      </c>
      <c r="J338">
        <v>0</v>
      </c>
      <c r="K338">
        <v>172</v>
      </c>
      <c r="L338">
        <v>0</v>
      </c>
    </row>
    <row r="339" spans="1:12" hidden="1" x14ac:dyDescent="0.3">
      <c r="A339" t="s">
        <v>7339</v>
      </c>
      <c r="B339" t="s">
        <v>519</v>
      </c>
      <c r="C339" t="s">
        <v>7055</v>
      </c>
      <c r="D339" t="s">
        <v>5126</v>
      </c>
      <c r="E339" t="s">
        <v>7347</v>
      </c>
      <c r="F339" s="17">
        <v>46023</v>
      </c>
      <c r="G339">
        <v>171</v>
      </c>
      <c r="H339">
        <v>31</v>
      </c>
      <c r="I339">
        <v>0</v>
      </c>
      <c r="J339">
        <v>0</v>
      </c>
      <c r="K339">
        <v>171</v>
      </c>
      <c r="L339">
        <v>0</v>
      </c>
    </row>
    <row r="340" spans="1:12" hidden="1" x14ac:dyDescent="0.3">
      <c r="A340" t="s">
        <v>7339</v>
      </c>
      <c r="B340" t="s">
        <v>519</v>
      </c>
      <c r="C340" t="s">
        <v>7055</v>
      </c>
      <c r="D340" t="s">
        <v>5466</v>
      </c>
      <c r="E340" t="s">
        <v>7348</v>
      </c>
      <c r="F340" s="17">
        <v>46023</v>
      </c>
      <c r="G340">
        <v>172</v>
      </c>
      <c r="H340">
        <v>31</v>
      </c>
      <c r="I340">
        <v>0</v>
      </c>
      <c r="J340">
        <v>0</v>
      </c>
      <c r="K340">
        <v>172</v>
      </c>
      <c r="L340">
        <v>0</v>
      </c>
    </row>
    <row r="341" spans="1:12" hidden="1" x14ac:dyDescent="0.3">
      <c r="A341" t="s">
        <v>7339</v>
      </c>
      <c r="B341" t="s">
        <v>519</v>
      </c>
      <c r="C341" t="s">
        <v>7290</v>
      </c>
      <c r="D341" t="s">
        <v>5766</v>
      </c>
      <c r="E341" t="s">
        <v>5767</v>
      </c>
      <c r="F341" s="17">
        <v>46023</v>
      </c>
      <c r="G341">
        <v>33</v>
      </c>
      <c r="H341">
        <v>31</v>
      </c>
      <c r="I341">
        <v>0</v>
      </c>
      <c r="J341">
        <v>0</v>
      </c>
      <c r="K341">
        <v>33</v>
      </c>
      <c r="L341">
        <v>0</v>
      </c>
    </row>
    <row r="342" spans="1:12" hidden="1" x14ac:dyDescent="0.3">
      <c r="A342" t="s">
        <v>7339</v>
      </c>
      <c r="B342" t="s">
        <v>519</v>
      </c>
      <c r="C342" t="s">
        <v>7164</v>
      </c>
      <c r="D342" t="s">
        <v>5818</v>
      </c>
      <c r="E342" t="s">
        <v>7349</v>
      </c>
      <c r="F342" s="17">
        <v>46023</v>
      </c>
      <c r="G342">
        <v>223</v>
      </c>
      <c r="H342">
        <v>31</v>
      </c>
      <c r="I342">
        <v>0</v>
      </c>
      <c r="J342">
        <v>0</v>
      </c>
      <c r="K342">
        <v>223</v>
      </c>
      <c r="L342">
        <v>0</v>
      </c>
    </row>
    <row r="343" spans="1:12" hidden="1" x14ac:dyDescent="0.3">
      <c r="A343" t="s">
        <v>7339</v>
      </c>
      <c r="B343" t="s">
        <v>519</v>
      </c>
      <c r="C343" t="s">
        <v>7035</v>
      </c>
      <c r="D343" t="s">
        <v>6128</v>
      </c>
      <c r="E343" t="s">
        <v>6129</v>
      </c>
      <c r="F343" s="17">
        <v>46023</v>
      </c>
      <c r="G343">
        <v>304</v>
      </c>
      <c r="H343">
        <v>31</v>
      </c>
      <c r="I343">
        <v>0</v>
      </c>
      <c r="J343">
        <v>0</v>
      </c>
      <c r="K343">
        <v>304</v>
      </c>
      <c r="L343">
        <v>0</v>
      </c>
    </row>
    <row r="344" spans="1:12" hidden="1" x14ac:dyDescent="0.3">
      <c r="A344" t="s">
        <v>7339</v>
      </c>
      <c r="B344" t="s">
        <v>519</v>
      </c>
      <c r="C344" t="s">
        <v>7035</v>
      </c>
      <c r="D344" t="s">
        <v>6135</v>
      </c>
      <c r="E344" t="s">
        <v>6136</v>
      </c>
      <c r="F344" s="17">
        <v>46023</v>
      </c>
      <c r="G344">
        <v>304</v>
      </c>
      <c r="H344">
        <v>31</v>
      </c>
      <c r="I344">
        <v>0</v>
      </c>
      <c r="J344">
        <v>0</v>
      </c>
      <c r="K344">
        <v>304</v>
      </c>
      <c r="L344">
        <v>0</v>
      </c>
    </row>
    <row r="345" spans="1:12" hidden="1" x14ac:dyDescent="0.3">
      <c r="A345" t="s">
        <v>7339</v>
      </c>
      <c r="B345" t="s">
        <v>519</v>
      </c>
      <c r="C345" t="s">
        <v>7035</v>
      </c>
      <c r="D345" t="s">
        <v>6715</v>
      </c>
      <c r="E345" t="s">
        <v>6716</v>
      </c>
      <c r="F345" s="17">
        <v>46023</v>
      </c>
      <c r="G345">
        <v>96</v>
      </c>
      <c r="H345">
        <v>31</v>
      </c>
      <c r="I345">
        <v>0</v>
      </c>
      <c r="J345">
        <v>0</v>
      </c>
      <c r="K345">
        <v>96</v>
      </c>
      <c r="L345">
        <v>0</v>
      </c>
    </row>
    <row r="346" spans="1:12" hidden="1" x14ac:dyDescent="0.3">
      <c r="A346" t="s">
        <v>7350</v>
      </c>
      <c r="B346" t="s">
        <v>519</v>
      </c>
      <c r="D346" t="s">
        <v>5678</v>
      </c>
      <c r="E346" t="s">
        <v>7351</v>
      </c>
      <c r="F346" s="17">
        <v>46023</v>
      </c>
      <c r="G346">
        <v>257</v>
      </c>
      <c r="H346">
        <v>31</v>
      </c>
      <c r="I346">
        <v>0</v>
      </c>
      <c r="J346">
        <v>0</v>
      </c>
      <c r="K346">
        <v>257</v>
      </c>
      <c r="L346">
        <v>0</v>
      </c>
    </row>
    <row r="347" spans="1:12" hidden="1" x14ac:dyDescent="0.3">
      <c r="A347" t="s">
        <v>7350</v>
      </c>
      <c r="B347" t="s">
        <v>519</v>
      </c>
      <c r="C347" t="s">
        <v>7096</v>
      </c>
      <c r="D347" t="s">
        <v>367</v>
      </c>
      <c r="E347" t="s">
        <v>7352</v>
      </c>
      <c r="F347" s="17">
        <v>46023</v>
      </c>
      <c r="G347">
        <v>257</v>
      </c>
      <c r="H347">
        <v>31</v>
      </c>
      <c r="I347">
        <v>0</v>
      </c>
      <c r="J347">
        <v>0</v>
      </c>
      <c r="K347">
        <v>257</v>
      </c>
      <c r="L347">
        <v>0</v>
      </c>
    </row>
    <row r="348" spans="1:12" hidden="1" x14ac:dyDescent="0.3">
      <c r="A348" t="s">
        <v>7350</v>
      </c>
      <c r="B348" t="s">
        <v>519</v>
      </c>
      <c r="C348" t="s">
        <v>7096</v>
      </c>
      <c r="D348" t="s">
        <v>2603</v>
      </c>
      <c r="E348" t="s">
        <v>7353</v>
      </c>
      <c r="F348" s="17">
        <v>46023</v>
      </c>
      <c r="G348">
        <v>257</v>
      </c>
      <c r="H348">
        <v>31</v>
      </c>
      <c r="I348">
        <v>0</v>
      </c>
      <c r="J348">
        <v>0</v>
      </c>
      <c r="K348">
        <v>257</v>
      </c>
      <c r="L348">
        <v>0</v>
      </c>
    </row>
    <row r="349" spans="1:12" hidden="1" x14ac:dyDescent="0.3">
      <c r="A349" t="s">
        <v>7350</v>
      </c>
      <c r="B349" t="s">
        <v>519</v>
      </c>
      <c r="C349" t="s">
        <v>7035</v>
      </c>
      <c r="D349" t="s">
        <v>4718</v>
      </c>
      <c r="E349" t="s">
        <v>7354</v>
      </c>
      <c r="F349" s="17">
        <v>46023</v>
      </c>
      <c r="G349">
        <v>50</v>
      </c>
      <c r="H349">
        <v>31</v>
      </c>
      <c r="I349">
        <v>8</v>
      </c>
      <c r="J349">
        <v>8</v>
      </c>
      <c r="K349">
        <v>50.25</v>
      </c>
      <c r="L349">
        <v>0</v>
      </c>
    </row>
    <row r="350" spans="1:12" hidden="1" x14ac:dyDescent="0.3">
      <c r="A350" t="s">
        <v>7350</v>
      </c>
      <c r="B350" t="s">
        <v>519</v>
      </c>
      <c r="C350" t="s">
        <v>7099</v>
      </c>
      <c r="D350" t="s">
        <v>5487</v>
      </c>
      <c r="E350" t="s">
        <v>7355</v>
      </c>
      <c r="F350" s="17">
        <v>46023</v>
      </c>
      <c r="G350">
        <v>147</v>
      </c>
      <c r="H350">
        <v>31</v>
      </c>
      <c r="I350">
        <v>0</v>
      </c>
      <c r="J350">
        <v>0</v>
      </c>
      <c r="K350">
        <v>147</v>
      </c>
      <c r="L350">
        <v>0</v>
      </c>
    </row>
    <row r="351" spans="1:12" hidden="1" x14ac:dyDescent="0.3">
      <c r="A351" t="s">
        <v>7350</v>
      </c>
      <c r="B351" t="s">
        <v>519</v>
      </c>
      <c r="C351" t="s">
        <v>7035</v>
      </c>
      <c r="D351" t="s">
        <v>6029</v>
      </c>
      <c r="E351" t="s">
        <v>7356</v>
      </c>
      <c r="F351" s="17">
        <v>46023</v>
      </c>
      <c r="G351">
        <v>50</v>
      </c>
      <c r="H351">
        <v>31</v>
      </c>
      <c r="I351">
        <v>0</v>
      </c>
      <c r="J351">
        <v>0</v>
      </c>
      <c r="K351">
        <v>50</v>
      </c>
      <c r="L351">
        <v>0</v>
      </c>
    </row>
    <row r="352" spans="1:12" hidden="1" x14ac:dyDescent="0.3">
      <c r="A352" t="s">
        <v>7350</v>
      </c>
      <c r="B352" t="s">
        <v>519</v>
      </c>
      <c r="D352" t="s">
        <v>6090</v>
      </c>
      <c r="E352" t="s">
        <v>7181</v>
      </c>
      <c r="F352" s="17">
        <v>46023</v>
      </c>
      <c r="G352">
        <v>147</v>
      </c>
      <c r="H352">
        <v>31</v>
      </c>
      <c r="I352">
        <v>0</v>
      </c>
      <c r="J352">
        <v>0</v>
      </c>
      <c r="K352">
        <v>147</v>
      </c>
      <c r="L352">
        <v>0</v>
      </c>
    </row>
    <row r="353" spans="1:12" hidden="1" x14ac:dyDescent="0.3">
      <c r="A353" t="s">
        <v>7357</v>
      </c>
      <c r="B353" t="s">
        <v>519</v>
      </c>
      <c r="C353" t="s">
        <v>7035</v>
      </c>
      <c r="D353" t="s">
        <v>403</v>
      </c>
      <c r="E353" t="s">
        <v>404</v>
      </c>
      <c r="F353" s="17">
        <v>46023</v>
      </c>
      <c r="G353">
        <v>268</v>
      </c>
      <c r="H353">
        <v>31</v>
      </c>
      <c r="I353">
        <v>0</v>
      </c>
      <c r="J353">
        <v>0</v>
      </c>
      <c r="K353">
        <v>268</v>
      </c>
      <c r="L353">
        <v>0</v>
      </c>
    </row>
    <row r="354" spans="1:12" hidden="1" x14ac:dyDescent="0.3">
      <c r="A354" t="s">
        <v>7357</v>
      </c>
      <c r="B354" t="s">
        <v>519</v>
      </c>
      <c r="C354" t="s">
        <v>7035</v>
      </c>
      <c r="D354" t="s">
        <v>913</v>
      </c>
      <c r="E354" t="s">
        <v>7358</v>
      </c>
      <c r="F354" s="17">
        <v>46023</v>
      </c>
      <c r="G354">
        <v>268</v>
      </c>
      <c r="H354">
        <v>31</v>
      </c>
      <c r="I354">
        <v>0</v>
      </c>
      <c r="J354">
        <v>0</v>
      </c>
      <c r="K354">
        <v>268</v>
      </c>
      <c r="L354">
        <v>0</v>
      </c>
    </row>
    <row r="355" spans="1:12" hidden="1" x14ac:dyDescent="0.3">
      <c r="A355" t="s">
        <v>7357</v>
      </c>
      <c r="B355" t="s">
        <v>519</v>
      </c>
      <c r="C355" t="s">
        <v>7103</v>
      </c>
      <c r="D355" t="s">
        <v>1063</v>
      </c>
      <c r="E355" t="s">
        <v>1064</v>
      </c>
      <c r="F355" s="17">
        <v>46023</v>
      </c>
      <c r="G355">
        <v>255</v>
      </c>
      <c r="H355">
        <v>31</v>
      </c>
      <c r="I355">
        <v>0</v>
      </c>
      <c r="J355">
        <v>0</v>
      </c>
      <c r="K355">
        <v>255</v>
      </c>
      <c r="L355">
        <v>0</v>
      </c>
    </row>
    <row r="356" spans="1:12" hidden="1" x14ac:dyDescent="0.3">
      <c r="A356" t="s">
        <v>7357</v>
      </c>
      <c r="B356" t="s">
        <v>519</v>
      </c>
      <c r="C356" t="s">
        <v>7035</v>
      </c>
      <c r="D356" t="s">
        <v>3643</v>
      </c>
      <c r="E356" t="s">
        <v>7359</v>
      </c>
      <c r="F356" s="17">
        <v>46023</v>
      </c>
      <c r="G356">
        <v>268</v>
      </c>
      <c r="H356">
        <v>31</v>
      </c>
      <c r="I356">
        <v>0</v>
      </c>
      <c r="J356">
        <v>0</v>
      </c>
      <c r="K356">
        <v>268</v>
      </c>
      <c r="L356">
        <v>0</v>
      </c>
    </row>
    <row r="357" spans="1:12" hidden="1" x14ac:dyDescent="0.3">
      <c r="A357" t="s">
        <v>7357</v>
      </c>
      <c r="B357" t="s">
        <v>519</v>
      </c>
      <c r="C357" t="s">
        <v>7035</v>
      </c>
      <c r="D357" t="s">
        <v>4913</v>
      </c>
      <c r="E357" t="s">
        <v>7360</v>
      </c>
      <c r="F357" s="17">
        <v>46023</v>
      </c>
      <c r="G357">
        <v>268</v>
      </c>
      <c r="H357">
        <v>31</v>
      </c>
      <c r="I357">
        <v>0</v>
      </c>
      <c r="J357">
        <v>0</v>
      </c>
      <c r="K357">
        <v>268</v>
      </c>
      <c r="L357">
        <v>0</v>
      </c>
    </row>
    <row r="358" spans="1:12" hidden="1" x14ac:dyDescent="0.3">
      <c r="A358" t="s">
        <v>7361</v>
      </c>
      <c r="B358" t="s">
        <v>519</v>
      </c>
      <c r="C358" t="s">
        <v>7035</v>
      </c>
      <c r="D358" t="s">
        <v>5165</v>
      </c>
      <c r="E358" t="s">
        <v>7362</v>
      </c>
      <c r="F358" s="17">
        <v>46023</v>
      </c>
      <c r="G358">
        <v>94.5</v>
      </c>
      <c r="H358">
        <v>31</v>
      </c>
      <c r="I358">
        <v>0</v>
      </c>
      <c r="J358">
        <v>0</v>
      </c>
      <c r="K358">
        <v>94.5</v>
      </c>
      <c r="L358">
        <v>0</v>
      </c>
    </row>
    <row r="359" spans="1:12" hidden="1" x14ac:dyDescent="0.3">
      <c r="A359" t="s">
        <v>7363</v>
      </c>
      <c r="B359" t="s">
        <v>519</v>
      </c>
      <c r="C359" t="s">
        <v>7096</v>
      </c>
      <c r="D359" t="s">
        <v>294</v>
      </c>
      <c r="E359" t="s">
        <v>7313</v>
      </c>
      <c r="F359" s="17">
        <v>46023</v>
      </c>
      <c r="G359">
        <v>27</v>
      </c>
      <c r="H359">
        <v>31</v>
      </c>
      <c r="I359">
        <v>27</v>
      </c>
      <c r="J359">
        <v>18</v>
      </c>
      <c r="K359">
        <v>18</v>
      </c>
      <c r="L359">
        <v>-9</v>
      </c>
    </row>
    <row r="360" spans="1:12" hidden="1" x14ac:dyDescent="0.3">
      <c r="A360" t="s">
        <v>7363</v>
      </c>
      <c r="B360" t="s">
        <v>519</v>
      </c>
      <c r="C360" t="s">
        <v>7035</v>
      </c>
      <c r="D360" t="s">
        <v>311</v>
      </c>
      <c r="E360" t="s">
        <v>312</v>
      </c>
      <c r="F360" s="17">
        <v>46023</v>
      </c>
      <c r="G360">
        <v>204</v>
      </c>
      <c r="H360">
        <v>31</v>
      </c>
      <c r="I360">
        <v>16</v>
      </c>
      <c r="J360">
        <v>14</v>
      </c>
      <c r="K360">
        <v>202</v>
      </c>
      <c r="L360">
        <v>-2</v>
      </c>
    </row>
    <row r="361" spans="1:12" hidden="1" x14ac:dyDescent="0.3">
      <c r="A361" t="s">
        <v>7363</v>
      </c>
      <c r="B361" t="s">
        <v>519</v>
      </c>
      <c r="C361" t="s">
        <v>7096</v>
      </c>
      <c r="D361" t="s">
        <v>407</v>
      </c>
      <c r="E361" t="s">
        <v>408</v>
      </c>
      <c r="F361" s="17">
        <v>46023</v>
      </c>
      <c r="G361">
        <v>153</v>
      </c>
      <c r="H361">
        <v>31</v>
      </c>
      <c r="I361">
        <v>153</v>
      </c>
      <c r="J361">
        <v>0</v>
      </c>
      <c r="K361">
        <v>0</v>
      </c>
      <c r="L361">
        <v>-153</v>
      </c>
    </row>
    <row r="362" spans="1:12" hidden="1" x14ac:dyDescent="0.3">
      <c r="A362" t="s">
        <v>7363</v>
      </c>
      <c r="B362" t="s">
        <v>519</v>
      </c>
      <c r="C362" t="s">
        <v>7178</v>
      </c>
      <c r="D362" t="s">
        <v>316</v>
      </c>
      <c r="E362" t="s">
        <v>317</v>
      </c>
      <c r="F362" s="17">
        <v>46023</v>
      </c>
      <c r="G362">
        <v>144</v>
      </c>
      <c r="H362">
        <v>31</v>
      </c>
      <c r="I362">
        <v>0</v>
      </c>
      <c r="J362">
        <v>0</v>
      </c>
      <c r="K362">
        <v>144</v>
      </c>
      <c r="L362">
        <v>0</v>
      </c>
    </row>
    <row r="363" spans="1:12" hidden="1" x14ac:dyDescent="0.3">
      <c r="A363" t="s">
        <v>7363</v>
      </c>
      <c r="B363" t="s">
        <v>519</v>
      </c>
      <c r="C363" t="s">
        <v>7178</v>
      </c>
      <c r="D363" t="s">
        <v>5822</v>
      </c>
      <c r="E363" t="s">
        <v>7364</v>
      </c>
      <c r="F363" s="17">
        <v>46023</v>
      </c>
      <c r="G363">
        <v>203.5</v>
      </c>
      <c r="H363">
        <v>31</v>
      </c>
      <c r="I363">
        <v>0</v>
      </c>
      <c r="J363">
        <v>0</v>
      </c>
      <c r="K363">
        <v>203.5</v>
      </c>
      <c r="L363">
        <v>0</v>
      </c>
    </row>
    <row r="364" spans="1:12" hidden="1" x14ac:dyDescent="0.3">
      <c r="A364" t="s">
        <v>7363</v>
      </c>
      <c r="B364" t="s">
        <v>519</v>
      </c>
      <c r="C364" t="s">
        <v>7035</v>
      </c>
      <c r="D364" t="s">
        <v>1651</v>
      </c>
      <c r="E364" t="s">
        <v>1652</v>
      </c>
      <c r="F364" s="17">
        <v>46023</v>
      </c>
      <c r="G364">
        <v>219</v>
      </c>
      <c r="H364">
        <v>31</v>
      </c>
      <c r="I364">
        <v>116</v>
      </c>
      <c r="J364">
        <v>121</v>
      </c>
      <c r="K364">
        <v>224</v>
      </c>
      <c r="L364">
        <v>5</v>
      </c>
    </row>
    <row r="365" spans="1:12" hidden="1" x14ac:dyDescent="0.3">
      <c r="A365" t="s">
        <v>7363</v>
      </c>
      <c r="B365" t="s">
        <v>519</v>
      </c>
      <c r="C365" t="s">
        <v>7178</v>
      </c>
      <c r="D365" t="s">
        <v>2122</v>
      </c>
      <c r="E365" t="s">
        <v>7365</v>
      </c>
      <c r="F365" s="17">
        <v>46023</v>
      </c>
      <c r="G365">
        <v>146</v>
      </c>
      <c r="H365">
        <v>31</v>
      </c>
      <c r="I365">
        <v>101</v>
      </c>
      <c r="J365">
        <v>90</v>
      </c>
      <c r="K365">
        <v>135</v>
      </c>
      <c r="L365">
        <v>-11</v>
      </c>
    </row>
    <row r="366" spans="1:12" hidden="1" x14ac:dyDescent="0.3">
      <c r="A366" t="s">
        <v>7363</v>
      </c>
      <c r="B366" t="s">
        <v>519</v>
      </c>
      <c r="C366" t="s">
        <v>7033</v>
      </c>
      <c r="D366" t="s">
        <v>2283</v>
      </c>
      <c r="E366" t="s">
        <v>2284</v>
      </c>
      <c r="F366" s="17">
        <v>46023</v>
      </c>
      <c r="G366">
        <v>117</v>
      </c>
      <c r="H366">
        <v>31</v>
      </c>
      <c r="I366">
        <v>234</v>
      </c>
      <c r="J366">
        <v>117</v>
      </c>
      <c r="K366">
        <v>0</v>
      </c>
      <c r="L366">
        <v>-117</v>
      </c>
    </row>
    <row r="367" spans="1:12" hidden="1" x14ac:dyDescent="0.3">
      <c r="A367" t="s">
        <v>7363</v>
      </c>
      <c r="B367" t="s">
        <v>519</v>
      </c>
      <c r="C367" t="s">
        <v>7178</v>
      </c>
      <c r="D367" t="s">
        <v>3079</v>
      </c>
      <c r="E367" t="s">
        <v>7366</v>
      </c>
      <c r="F367" s="17">
        <v>46023</v>
      </c>
      <c r="G367">
        <v>215</v>
      </c>
      <c r="H367">
        <v>31</v>
      </c>
      <c r="I367">
        <v>0</v>
      </c>
      <c r="J367">
        <v>0</v>
      </c>
      <c r="K367">
        <v>215</v>
      </c>
      <c r="L367">
        <v>0</v>
      </c>
    </row>
    <row r="368" spans="1:12" hidden="1" x14ac:dyDescent="0.3">
      <c r="A368" t="s">
        <v>7363</v>
      </c>
      <c r="B368" t="s">
        <v>519</v>
      </c>
      <c r="C368" t="s">
        <v>7111</v>
      </c>
      <c r="D368" t="s">
        <v>3344</v>
      </c>
      <c r="E368" t="s">
        <v>7322</v>
      </c>
      <c r="F368" s="17">
        <v>46023</v>
      </c>
      <c r="G368">
        <v>27</v>
      </c>
      <c r="H368">
        <v>31</v>
      </c>
      <c r="I368">
        <v>54</v>
      </c>
      <c r="J368">
        <v>27</v>
      </c>
      <c r="K368">
        <v>0</v>
      </c>
      <c r="L368">
        <v>-27</v>
      </c>
    </row>
    <row r="369" spans="1:12" hidden="1" x14ac:dyDescent="0.3">
      <c r="A369" t="s">
        <v>7363</v>
      </c>
      <c r="B369" t="s">
        <v>519</v>
      </c>
      <c r="C369" t="s">
        <v>7178</v>
      </c>
      <c r="D369" t="s">
        <v>3611</v>
      </c>
      <c r="E369" t="s">
        <v>7367</v>
      </c>
      <c r="F369" s="17">
        <v>46023</v>
      </c>
      <c r="G369">
        <v>135</v>
      </c>
      <c r="H369">
        <v>31</v>
      </c>
      <c r="I369">
        <v>0</v>
      </c>
      <c r="J369">
        <v>0</v>
      </c>
      <c r="K369">
        <v>135</v>
      </c>
      <c r="L369">
        <v>0</v>
      </c>
    </row>
    <row r="370" spans="1:12" hidden="1" x14ac:dyDescent="0.3">
      <c r="A370" t="s">
        <v>7363</v>
      </c>
      <c r="B370" t="s">
        <v>519</v>
      </c>
      <c r="C370" t="s">
        <v>7035</v>
      </c>
      <c r="D370" t="s">
        <v>3710</v>
      </c>
      <c r="E370" t="s">
        <v>7323</v>
      </c>
      <c r="F370" s="17">
        <v>46023</v>
      </c>
      <c r="G370">
        <v>27</v>
      </c>
      <c r="H370">
        <v>31</v>
      </c>
      <c r="I370">
        <v>54</v>
      </c>
      <c r="J370">
        <v>27</v>
      </c>
      <c r="K370">
        <v>0</v>
      </c>
      <c r="L370">
        <v>-27</v>
      </c>
    </row>
    <row r="371" spans="1:12" hidden="1" x14ac:dyDescent="0.3">
      <c r="A371" t="s">
        <v>7363</v>
      </c>
      <c r="B371" t="s">
        <v>519</v>
      </c>
      <c r="C371" t="s">
        <v>7035</v>
      </c>
      <c r="D371" t="s">
        <v>3995</v>
      </c>
      <c r="E371" t="s">
        <v>3996</v>
      </c>
      <c r="F371" s="17">
        <v>46023</v>
      </c>
      <c r="G371">
        <v>117</v>
      </c>
      <c r="H371">
        <v>31</v>
      </c>
      <c r="I371">
        <v>0</v>
      </c>
      <c r="J371">
        <v>0</v>
      </c>
      <c r="K371">
        <v>117</v>
      </c>
      <c r="L371">
        <v>0</v>
      </c>
    </row>
    <row r="372" spans="1:12" hidden="1" x14ac:dyDescent="0.3">
      <c r="A372" t="s">
        <v>7363</v>
      </c>
      <c r="B372" t="s">
        <v>519</v>
      </c>
      <c r="C372" t="s">
        <v>7178</v>
      </c>
      <c r="D372" t="s">
        <v>4291</v>
      </c>
      <c r="E372" t="s">
        <v>7368</v>
      </c>
      <c r="F372" s="17">
        <v>46023</v>
      </c>
      <c r="G372">
        <v>72</v>
      </c>
      <c r="H372">
        <v>31</v>
      </c>
      <c r="I372">
        <v>0</v>
      </c>
      <c r="J372">
        <v>0</v>
      </c>
      <c r="K372">
        <v>72</v>
      </c>
      <c r="L372">
        <v>0</v>
      </c>
    </row>
    <row r="373" spans="1:12" hidden="1" x14ac:dyDescent="0.3">
      <c r="A373" t="s">
        <v>7363</v>
      </c>
      <c r="B373" t="s">
        <v>519</v>
      </c>
      <c r="C373" t="s">
        <v>7178</v>
      </c>
      <c r="D373" t="s">
        <v>5063</v>
      </c>
      <c r="E373" t="s">
        <v>5064</v>
      </c>
      <c r="F373" s="17">
        <v>46023</v>
      </c>
      <c r="G373">
        <v>153</v>
      </c>
      <c r="H373">
        <v>31</v>
      </c>
      <c r="I373">
        <v>0</v>
      </c>
      <c r="J373">
        <v>0</v>
      </c>
      <c r="K373">
        <v>153</v>
      </c>
      <c r="L373">
        <v>0</v>
      </c>
    </row>
    <row r="374" spans="1:12" hidden="1" x14ac:dyDescent="0.3">
      <c r="A374" t="s">
        <v>7363</v>
      </c>
      <c r="B374" t="s">
        <v>519</v>
      </c>
      <c r="C374" t="s">
        <v>7035</v>
      </c>
      <c r="D374" t="s">
        <v>5438</v>
      </c>
      <c r="E374" t="s">
        <v>7369</v>
      </c>
      <c r="F374" s="17">
        <v>46023</v>
      </c>
      <c r="G374">
        <v>108</v>
      </c>
      <c r="H374">
        <v>31</v>
      </c>
      <c r="I374">
        <v>0</v>
      </c>
      <c r="J374">
        <v>0</v>
      </c>
      <c r="K374">
        <v>108</v>
      </c>
      <c r="L374">
        <v>0</v>
      </c>
    </row>
    <row r="375" spans="1:12" hidden="1" x14ac:dyDescent="0.3">
      <c r="A375" t="s">
        <v>7363</v>
      </c>
      <c r="B375" t="s">
        <v>519</v>
      </c>
      <c r="C375" t="s">
        <v>7147</v>
      </c>
      <c r="D375" t="s">
        <v>5837</v>
      </c>
      <c r="E375" t="s">
        <v>5838</v>
      </c>
      <c r="F375" s="17">
        <v>46023</v>
      </c>
      <c r="G375">
        <v>197</v>
      </c>
      <c r="H375">
        <v>31</v>
      </c>
      <c r="I375">
        <v>15</v>
      </c>
      <c r="J375">
        <v>5</v>
      </c>
      <c r="K375">
        <v>187</v>
      </c>
      <c r="L375">
        <v>-10</v>
      </c>
    </row>
    <row r="376" spans="1:12" hidden="1" x14ac:dyDescent="0.3">
      <c r="A376" t="s">
        <v>7363</v>
      </c>
      <c r="B376" t="s">
        <v>519</v>
      </c>
      <c r="C376" t="s">
        <v>7178</v>
      </c>
      <c r="D376" t="s">
        <v>5865</v>
      </c>
      <c r="E376" t="s">
        <v>5866</v>
      </c>
      <c r="F376" s="17">
        <v>46023</v>
      </c>
      <c r="G376">
        <v>117</v>
      </c>
      <c r="H376">
        <v>31</v>
      </c>
      <c r="I376">
        <v>0</v>
      </c>
      <c r="J376">
        <v>0</v>
      </c>
      <c r="K376">
        <v>117</v>
      </c>
      <c r="L376">
        <v>0</v>
      </c>
    </row>
    <row r="377" spans="1:12" hidden="1" x14ac:dyDescent="0.3">
      <c r="A377" t="s">
        <v>7363</v>
      </c>
      <c r="B377" t="s">
        <v>519</v>
      </c>
      <c r="C377" t="s">
        <v>7035</v>
      </c>
      <c r="D377" t="s">
        <v>6471</v>
      </c>
      <c r="E377" t="s">
        <v>7370</v>
      </c>
      <c r="F377" s="17">
        <v>46023</v>
      </c>
      <c r="G377">
        <v>144</v>
      </c>
      <c r="H377">
        <v>31</v>
      </c>
      <c r="I377">
        <v>0</v>
      </c>
      <c r="J377">
        <v>0</v>
      </c>
      <c r="K377">
        <v>144</v>
      </c>
      <c r="L377">
        <v>0</v>
      </c>
    </row>
    <row r="378" spans="1:12" hidden="1" x14ac:dyDescent="0.3">
      <c r="A378" t="s">
        <v>7363</v>
      </c>
      <c r="B378" t="s">
        <v>519</v>
      </c>
      <c r="C378" t="s">
        <v>7055</v>
      </c>
      <c r="D378" t="s">
        <v>6577</v>
      </c>
      <c r="E378" t="s">
        <v>7371</v>
      </c>
      <c r="F378" s="17">
        <v>46023</v>
      </c>
      <c r="G378">
        <v>162</v>
      </c>
      <c r="H378">
        <v>31</v>
      </c>
      <c r="I378">
        <v>72</v>
      </c>
      <c r="J378">
        <v>62</v>
      </c>
      <c r="K378">
        <v>152</v>
      </c>
      <c r="L378">
        <v>-10</v>
      </c>
    </row>
    <row r="379" spans="1:12" hidden="1" x14ac:dyDescent="0.3">
      <c r="A379" t="s">
        <v>7363</v>
      </c>
      <c r="B379" t="s">
        <v>519</v>
      </c>
      <c r="C379" t="s">
        <v>7326</v>
      </c>
      <c r="D379" t="s">
        <v>6699</v>
      </c>
      <c r="E379" t="s">
        <v>7327</v>
      </c>
      <c r="F379" s="17">
        <v>46023</v>
      </c>
      <c r="G379">
        <v>138</v>
      </c>
      <c r="H379">
        <v>31</v>
      </c>
      <c r="I379">
        <v>48</v>
      </c>
      <c r="J379">
        <v>0</v>
      </c>
      <c r="K379">
        <v>90</v>
      </c>
      <c r="L379">
        <v>-48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ED950-53B6-4014-B330-8F29FC9743DD}">
  <sheetPr>
    <tabColor rgb="FF92D050"/>
  </sheetPr>
  <dimension ref="D2:G526"/>
  <sheetViews>
    <sheetView topLeftCell="B1" workbookViewId="0">
      <selection activeCell="F387" sqref="F387"/>
    </sheetView>
  </sheetViews>
  <sheetFormatPr defaultColWidth="11.5546875" defaultRowHeight="14.4" x14ac:dyDescent="0.3"/>
  <cols>
    <col min="4" max="4" width="11.33203125" customWidth="1"/>
    <col min="5" max="5" width="41.6640625" customWidth="1"/>
    <col min="6" max="6" width="30" customWidth="1"/>
    <col min="7" max="7" width="16.33203125" style="11" customWidth="1"/>
  </cols>
  <sheetData>
    <row r="2" spans="4:7" x14ac:dyDescent="0.3">
      <c r="D2" t="s">
        <v>7372</v>
      </c>
      <c r="E2" t="s">
        <v>7373</v>
      </c>
      <c r="F2" t="s">
        <v>7374</v>
      </c>
      <c r="G2" s="11" t="s">
        <v>7375</v>
      </c>
    </row>
    <row r="3" spans="4:7" hidden="1" x14ac:dyDescent="0.3">
      <c r="D3" t="s">
        <v>1766</v>
      </c>
      <c r="E3" t="s">
        <v>1767</v>
      </c>
      <c r="F3" t="s">
        <v>7376</v>
      </c>
      <c r="G3" s="11">
        <v>16</v>
      </c>
    </row>
    <row r="4" spans="4:7" hidden="1" x14ac:dyDescent="0.3">
      <c r="D4" t="s">
        <v>3775</v>
      </c>
      <c r="E4" t="s">
        <v>3776</v>
      </c>
      <c r="F4" t="s">
        <v>7376</v>
      </c>
      <c r="G4" s="11">
        <v>16</v>
      </c>
    </row>
    <row r="5" spans="4:7" hidden="1" x14ac:dyDescent="0.3">
      <c r="D5" t="s">
        <v>5532</v>
      </c>
      <c r="E5" t="s">
        <v>5533</v>
      </c>
      <c r="F5" t="s">
        <v>7376</v>
      </c>
      <c r="G5" s="11">
        <v>16</v>
      </c>
    </row>
    <row r="6" spans="4:7" hidden="1" x14ac:dyDescent="0.3">
      <c r="D6" t="s">
        <v>5933</v>
      </c>
      <c r="E6" t="s">
        <v>5934</v>
      </c>
      <c r="F6" t="s">
        <v>7376</v>
      </c>
      <c r="G6" s="11">
        <v>16</v>
      </c>
    </row>
    <row r="7" spans="4:7" hidden="1" x14ac:dyDescent="0.3">
      <c r="D7" t="s">
        <v>2666</v>
      </c>
      <c r="E7" t="s">
        <v>2667</v>
      </c>
      <c r="F7" t="s">
        <v>7377</v>
      </c>
      <c r="G7" s="11">
        <v>15</v>
      </c>
    </row>
    <row r="8" spans="4:7" hidden="1" x14ac:dyDescent="0.3">
      <c r="D8" t="s">
        <v>537</v>
      </c>
      <c r="E8" t="s">
        <v>538</v>
      </c>
      <c r="F8" t="s">
        <v>7378</v>
      </c>
      <c r="G8" s="11">
        <v>15</v>
      </c>
    </row>
    <row r="9" spans="4:7" hidden="1" x14ac:dyDescent="0.3">
      <c r="D9" t="s">
        <v>967</v>
      </c>
      <c r="E9" t="s">
        <v>968</v>
      </c>
      <c r="F9" t="s">
        <v>7378</v>
      </c>
      <c r="G9" s="11">
        <v>15</v>
      </c>
    </row>
    <row r="10" spans="4:7" hidden="1" x14ac:dyDescent="0.3">
      <c r="D10" t="s">
        <v>2963</v>
      </c>
      <c r="E10" t="s">
        <v>2964</v>
      </c>
      <c r="F10" t="s">
        <v>7378</v>
      </c>
      <c r="G10" s="11">
        <v>15</v>
      </c>
    </row>
    <row r="11" spans="4:7" hidden="1" x14ac:dyDescent="0.3">
      <c r="D11" t="s">
        <v>3124</v>
      </c>
      <c r="E11" t="s">
        <v>3125</v>
      </c>
      <c r="F11" t="s">
        <v>7378</v>
      </c>
      <c r="G11" s="11">
        <v>15</v>
      </c>
    </row>
    <row r="12" spans="4:7" hidden="1" x14ac:dyDescent="0.3">
      <c r="D12" t="s">
        <v>3240</v>
      </c>
      <c r="E12" t="s">
        <v>3241</v>
      </c>
      <c r="F12" t="s">
        <v>7378</v>
      </c>
      <c r="G12" s="11">
        <v>15</v>
      </c>
    </row>
    <row r="13" spans="4:7" hidden="1" x14ac:dyDescent="0.3">
      <c r="D13" t="s">
        <v>4718</v>
      </c>
      <c r="E13" t="s">
        <v>4719</v>
      </c>
      <c r="F13" t="s">
        <v>7378</v>
      </c>
      <c r="G13" s="11">
        <v>15</v>
      </c>
    </row>
    <row r="14" spans="4:7" hidden="1" x14ac:dyDescent="0.3">
      <c r="D14" t="s">
        <v>6367</v>
      </c>
      <c r="E14" t="s">
        <v>6368</v>
      </c>
      <c r="F14" t="s">
        <v>7378</v>
      </c>
      <c r="G14" s="11">
        <v>15</v>
      </c>
    </row>
    <row r="15" spans="4:7" hidden="1" x14ac:dyDescent="0.3">
      <c r="D15" t="s">
        <v>537</v>
      </c>
      <c r="E15" t="s">
        <v>538</v>
      </c>
      <c r="F15" t="s">
        <v>7379</v>
      </c>
      <c r="G15" s="11">
        <v>15</v>
      </c>
    </row>
    <row r="16" spans="4:7" hidden="1" x14ac:dyDescent="0.3">
      <c r="D16" t="s">
        <v>967</v>
      </c>
      <c r="E16" t="s">
        <v>968</v>
      </c>
      <c r="F16" t="s">
        <v>7379</v>
      </c>
      <c r="G16" s="11">
        <v>15</v>
      </c>
    </row>
    <row r="17" spans="4:7" hidden="1" x14ac:dyDescent="0.3">
      <c r="D17" t="s">
        <v>2963</v>
      </c>
      <c r="E17" t="s">
        <v>2964</v>
      </c>
      <c r="F17" t="s">
        <v>7379</v>
      </c>
      <c r="G17" s="11">
        <v>15</v>
      </c>
    </row>
    <row r="18" spans="4:7" hidden="1" x14ac:dyDescent="0.3">
      <c r="D18" t="s">
        <v>3124</v>
      </c>
      <c r="E18" t="s">
        <v>3125</v>
      </c>
      <c r="F18" t="s">
        <v>7379</v>
      </c>
      <c r="G18" s="11">
        <v>15</v>
      </c>
    </row>
    <row r="19" spans="4:7" hidden="1" x14ac:dyDescent="0.3">
      <c r="D19" t="s">
        <v>3240</v>
      </c>
      <c r="E19" t="s">
        <v>3241</v>
      </c>
      <c r="F19" t="s">
        <v>7379</v>
      </c>
      <c r="G19" s="11">
        <v>15</v>
      </c>
    </row>
    <row r="20" spans="4:7" hidden="1" x14ac:dyDescent="0.3">
      <c r="D20" t="s">
        <v>4718</v>
      </c>
      <c r="E20" t="s">
        <v>4719</v>
      </c>
      <c r="F20" t="s">
        <v>7379</v>
      </c>
      <c r="G20" s="11">
        <v>15</v>
      </c>
    </row>
    <row r="21" spans="4:7" hidden="1" x14ac:dyDescent="0.3">
      <c r="D21" t="s">
        <v>6367</v>
      </c>
      <c r="E21" t="s">
        <v>6368</v>
      </c>
      <c r="F21" t="s">
        <v>7379</v>
      </c>
      <c r="G21" s="11">
        <v>15</v>
      </c>
    </row>
    <row r="22" spans="4:7" hidden="1" x14ac:dyDescent="0.3">
      <c r="D22" t="s">
        <v>2427</v>
      </c>
      <c r="E22" t="s">
        <v>2428</v>
      </c>
      <c r="F22" t="s">
        <v>7380</v>
      </c>
      <c r="G22" s="11">
        <v>15</v>
      </c>
    </row>
    <row r="23" spans="4:7" hidden="1" x14ac:dyDescent="0.3">
      <c r="D23" t="s">
        <v>3639</v>
      </c>
      <c r="E23" t="s">
        <v>3640</v>
      </c>
      <c r="F23" t="s">
        <v>7380</v>
      </c>
      <c r="G23" s="11">
        <v>17.5</v>
      </c>
    </row>
    <row r="24" spans="4:7" hidden="1" x14ac:dyDescent="0.3">
      <c r="D24" t="s">
        <v>5352</v>
      </c>
      <c r="E24" t="s">
        <v>5353</v>
      </c>
      <c r="F24" t="s">
        <v>7380</v>
      </c>
      <c r="G24" s="11">
        <v>18</v>
      </c>
    </row>
    <row r="25" spans="4:7" hidden="1" x14ac:dyDescent="0.3">
      <c r="D25" t="s">
        <v>5744</v>
      </c>
      <c r="E25" t="s">
        <v>5745</v>
      </c>
      <c r="F25" t="s">
        <v>7381</v>
      </c>
      <c r="G25" s="11">
        <v>15</v>
      </c>
    </row>
    <row r="26" spans="4:7" hidden="1" x14ac:dyDescent="0.3">
      <c r="D26" t="s">
        <v>6475</v>
      </c>
      <c r="E26" t="s">
        <v>6476</v>
      </c>
      <c r="F26" t="s">
        <v>7381</v>
      </c>
      <c r="G26" s="11">
        <v>15</v>
      </c>
    </row>
    <row r="27" spans="4:7" hidden="1" x14ac:dyDescent="0.3">
      <c r="D27" t="s">
        <v>6639</v>
      </c>
      <c r="E27" t="s">
        <v>6640</v>
      </c>
      <c r="F27" t="s">
        <v>7381</v>
      </c>
      <c r="G27" s="11">
        <v>15</v>
      </c>
    </row>
    <row r="28" spans="4:7" hidden="1" x14ac:dyDescent="0.3">
      <c r="D28" t="s">
        <v>1256</v>
      </c>
      <c r="E28" t="s">
        <v>1257</v>
      </c>
      <c r="F28" t="s">
        <v>7382</v>
      </c>
      <c r="G28" s="11">
        <v>14</v>
      </c>
    </row>
    <row r="29" spans="4:7" hidden="1" x14ac:dyDescent="0.3">
      <c r="D29" t="s">
        <v>3804</v>
      </c>
      <c r="E29" t="s">
        <v>3805</v>
      </c>
      <c r="F29" t="s">
        <v>7382</v>
      </c>
      <c r="G29" s="11">
        <v>14</v>
      </c>
    </row>
    <row r="30" spans="4:7" hidden="1" x14ac:dyDescent="0.3">
      <c r="D30" t="s">
        <v>4955</v>
      </c>
      <c r="E30" t="s">
        <v>4956</v>
      </c>
      <c r="F30" t="s">
        <v>7382</v>
      </c>
      <c r="G30" s="11">
        <v>15</v>
      </c>
    </row>
    <row r="31" spans="4:7" hidden="1" x14ac:dyDescent="0.3">
      <c r="D31" t="s">
        <v>5759</v>
      </c>
      <c r="E31" t="s">
        <v>5760</v>
      </c>
      <c r="F31" t="s">
        <v>7382</v>
      </c>
      <c r="G31" s="11">
        <v>14</v>
      </c>
    </row>
    <row r="32" spans="4:7" hidden="1" x14ac:dyDescent="0.3">
      <c r="D32" t="s">
        <v>6202</v>
      </c>
      <c r="E32" t="s">
        <v>6203</v>
      </c>
      <c r="F32" t="s">
        <v>7382</v>
      </c>
      <c r="G32" s="11">
        <v>14</v>
      </c>
    </row>
    <row r="33" spans="4:7" hidden="1" x14ac:dyDescent="0.3">
      <c r="D33" t="s">
        <v>414</v>
      </c>
      <c r="E33" t="s">
        <v>415</v>
      </c>
      <c r="F33" t="s">
        <v>7383</v>
      </c>
      <c r="G33" s="11">
        <v>15</v>
      </c>
    </row>
    <row r="34" spans="4:7" x14ac:dyDescent="0.3">
      <c r="D34" t="s">
        <v>1241</v>
      </c>
      <c r="E34" t="s">
        <v>1242</v>
      </c>
      <c r="F34" t="s">
        <v>7383</v>
      </c>
      <c r="G34" s="11">
        <v>15</v>
      </c>
    </row>
    <row r="35" spans="4:7" hidden="1" x14ac:dyDescent="0.3">
      <c r="D35" t="s">
        <v>4084</v>
      </c>
      <c r="E35" t="s">
        <v>4085</v>
      </c>
      <c r="F35" t="s">
        <v>7383</v>
      </c>
      <c r="G35" s="11">
        <v>15</v>
      </c>
    </row>
    <row r="36" spans="4:7" hidden="1" x14ac:dyDescent="0.3">
      <c r="D36" t="s">
        <v>4348</v>
      </c>
      <c r="E36" t="s">
        <v>4349</v>
      </c>
      <c r="F36" t="s">
        <v>7383</v>
      </c>
      <c r="G36" s="11">
        <v>15</v>
      </c>
    </row>
    <row r="37" spans="4:7" hidden="1" x14ac:dyDescent="0.3">
      <c r="D37" t="s">
        <v>2555</v>
      </c>
      <c r="E37" t="s">
        <v>2556</v>
      </c>
      <c r="F37" t="s">
        <v>7384</v>
      </c>
      <c r="G37" s="11">
        <v>15</v>
      </c>
    </row>
    <row r="38" spans="4:7" hidden="1" x14ac:dyDescent="0.3">
      <c r="D38" t="s">
        <v>2637</v>
      </c>
      <c r="E38" t="s">
        <v>2638</v>
      </c>
      <c r="F38" t="s">
        <v>7384</v>
      </c>
      <c r="G38" s="11">
        <v>15</v>
      </c>
    </row>
    <row r="39" spans="4:7" hidden="1" x14ac:dyDescent="0.3">
      <c r="D39" t="s">
        <v>3287</v>
      </c>
      <c r="E39" t="s">
        <v>3288</v>
      </c>
      <c r="F39" t="s">
        <v>7384</v>
      </c>
      <c r="G39" s="11">
        <v>15</v>
      </c>
    </row>
    <row r="40" spans="4:7" hidden="1" x14ac:dyDescent="0.3">
      <c r="D40" t="s">
        <v>5829</v>
      </c>
      <c r="E40" t="s">
        <v>5830</v>
      </c>
      <c r="F40" t="s">
        <v>7384</v>
      </c>
      <c r="G40" s="11">
        <v>15</v>
      </c>
    </row>
    <row r="41" spans="4:7" hidden="1" x14ac:dyDescent="0.3">
      <c r="D41" t="s">
        <v>363</v>
      </c>
      <c r="E41" t="s">
        <v>364</v>
      </c>
      <c r="F41" t="s">
        <v>7385</v>
      </c>
      <c r="G41" s="11">
        <v>15</v>
      </c>
    </row>
    <row r="42" spans="4:7" hidden="1" x14ac:dyDescent="0.3">
      <c r="D42" t="s">
        <v>2126</v>
      </c>
      <c r="E42" t="s">
        <v>2127</v>
      </c>
      <c r="F42" t="s">
        <v>7385</v>
      </c>
      <c r="G42" s="11">
        <v>15</v>
      </c>
    </row>
    <row r="43" spans="4:7" hidden="1" x14ac:dyDescent="0.3">
      <c r="D43" t="s">
        <v>2156</v>
      </c>
      <c r="E43" t="s">
        <v>2157</v>
      </c>
      <c r="F43" t="s">
        <v>7385</v>
      </c>
      <c r="G43" s="11">
        <v>15</v>
      </c>
    </row>
    <row r="44" spans="4:7" hidden="1" x14ac:dyDescent="0.3">
      <c r="D44" t="s">
        <v>2312</v>
      </c>
      <c r="E44" t="s">
        <v>2313</v>
      </c>
      <c r="F44" t="s">
        <v>7385</v>
      </c>
      <c r="G44" s="11">
        <v>15</v>
      </c>
    </row>
    <row r="45" spans="4:7" hidden="1" x14ac:dyDescent="0.3">
      <c r="D45" t="s">
        <v>2350</v>
      </c>
      <c r="E45" t="s">
        <v>2351</v>
      </c>
      <c r="F45" t="s">
        <v>7385</v>
      </c>
      <c r="G45" s="11">
        <v>15</v>
      </c>
    </row>
    <row r="46" spans="4:7" hidden="1" x14ac:dyDescent="0.3">
      <c r="D46" t="s">
        <v>2375</v>
      </c>
      <c r="E46" t="s">
        <v>2376</v>
      </c>
      <c r="F46" t="s">
        <v>7385</v>
      </c>
      <c r="G46" s="11">
        <v>15</v>
      </c>
    </row>
    <row r="47" spans="4:7" hidden="1" x14ac:dyDescent="0.3">
      <c r="D47" t="s">
        <v>2392</v>
      </c>
      <c r="E47" t="s">
        <v>2393</v>
      </c>
      <c r="F47" t="s">
        <v>7385</v>
      </c>
      <c r="G47" s="11">
        <v>15</v>
      </c>
    </row>
    <row r="48" spans="4:7" hidden="1" x14ac:dyDescent="0.3">
      <c r="D48" t="s">
        <v>2479</v>
      </c>
      <c r="E48" t="s">
        <v>2480</v>
      </c>
      <c r="F48" t="s">
        <v>7385</v>
      </c>
      <c r="G48" s="11">
        <v>18</v>
      </c>
    </row>
    <row r="49" spans="4:7" hidden="1" x14ac:dyDescent="0.3">
      <c r="D49" t="s">
        <v>2526</v>
      </c>
      <c r="E49" t="s">
        <v>2527</v>
      </c>
      <c r="F49" t="s">
        <v>7385</v>
      </c>
      <c r="G49" s="11">
        <v>17</v>
      </c>
    </row>
    <row r="50" spans="4:7" hidden="1" x14ac:dyDescent="0.3">
      <c r="D50" t="s">
        <v>3137</v>
      </c>
      <c r="E50" t="s">
        <v>3138</v>
      </c>
      <c r="F50" t="s">
        <v>7385</v>
      </c>
      <c r="G50" s="11">
        <v>15</v>
      </c>
    </row>
    <row r="51" spans="4:7" hidden="1" x14ac:dyDescent="0.3">
      <c r="D51" t="s">
        <v>3836</v>
      </c>
      <c r="E51" t="s">
        <v>3837</v>
      </c>
      <c r="F51" t="s">
        <v>7385</v>
      </c>
      <c r="G51" s="11">
        <v>15</v>
      </c>
    </row>
    <row r="52" spans="4:7" hidden="1" x14ac:dyDescent="0.3">
      <c r="D52" t="s">
        <v>4022</v>
      </c>
      <c r="E52" t="s">
        <v>4023</v>
      </c>
      <c r="F52" t="s">
        <v>7385</v>
      </c>
      <c r="G52" s="11">
        <v>15</v>
      </c>
    </row>
    <row r="53" spans="4:7" hidden="1" x14ac:dyDescent="0.3">
      <c r="D53" t="s">
        <v>4032</v>
      </c>
      <c r="E53" t="s">
        <v>4033</v>
      </c>
      <c r="F53" t="s">
        <v>7385</v>
      </c>
      <c r="G53" s="11">
        <v>17</v>
      </c>
    </row>
    <row r="54" spans="4:7" hidden="1" x14ac:dyDescent="0.3">
      <c r="D54" t="s">
        <v>4168</v>
      </c>
      <c r="E54" t="s">
        <v>4169</v>
      </c>
      <c r="F54" t="s">
        <v>7385</v>
      </c>
      <c r="G54" s="11">
        <v>16</v>
      </c>
    </row>
    <row r="55" spans="4:7" hidden="1" x14ac:dyDescent="0.3">
      <c r="D55" t="s">
        <v>4241</v>
      </c>
      <c r="E55" t="s">
        <v>4242</v>
      </c>
      <c r="F55" t="s">
        <v>7385</v>
      </c>
      <c r="G55" s="11">
        <v>17</v>
      </c>
    </row>
    <row r="56" spans="4:7" hidden="1" x14ac:dyDescent="0.3">
      <c r="D56" t="s">
        <v>4796</v>
      </c>
      <c r="E56" t="s">
        <v>4797</v>
      </c>
      <c r="F56" t="s">
        <v>7385</v>
      </c>
      <c r="G56" s="11">
        <v>15</v>
      </c>
    </row>
    <row r="57" spans="4:7" hidden="1" x14ac:dyDescent="0.3">
      <c r="D57" t="s">
        <v>4874</v>
      </c>
      <c r="E57" t="s">
        <v>4875</v>
      </c>
      <c r="F57" t="s">
        <v>7385</v>
      </c>
      <c r="G57" s="11">
        <v>15</v>
      </c>
    </row>
    <row r="58" spans="4:7" hidden="1" x14ac:dyDescent="0.3">
      <c r="D58" t="s">
        <v>5499</v>
      </c>
      <c r="E58" t="s">
        <v>5500</v>
      </c>
      <c r="F58" t="s">
        <v>7385</v>
      </c>
      <c r="G58" s="11">
        <v>18</v>
      </c>
    </row>
    <row r="59" spans="4:7" hidden="1" x14ac:dyDescent="0.3">
      <c r="D59" t="s">
        <v>5726</v>
      </c>
      <c r="E59" t="s">
        <v>5727</v>
      </c>
      <c r="F59" t="s">
        <v>7385</v>
      </c>
      <c r="G59" s="11">
        <v>15</v>
      </c>
    </row>
    <row r="60" spans="4:7" hidden="1" x14ac:dyDescent="0.3">
      <c r="D60" t="s">
        <v>5951</v>
      </c>
      <c r="E60" t="s">
        <v>5952</v>
      </c>
      <c r="F60" t="s">
        <v>7385</v>
      </c>
      <c r="G60" s="11">
        <v>15</v>
      </c>
    </row>
    <row r="61" spans="4:7" hidden="1" x14ac:dyDescent="0.3">
      <c r="D61" t="s">
        <v>6557</v>
      </c>
      <c r="E61" t="s">
        <v>6558</v>
      </c>
      <c r="F61" t="s">
        <v>7385</v>
      </c>
      <c r="G61" s="11">
        <v>16</v>
      </c>
    </row>
    <row r="62" spans="4:7" hidden="1" x14ac:dyDescent="0.3">
      <c r="D62" t="s">
        <v>6635</v>
      </c>
      <c r="E62" t="s">
        <v>6636</v>
      </c>
      <c r="F62" t="s">
        <v>7385</v>
      </c>
      <c r="G62" s="11">
        <v>17</v>
      </c>
    </row>
    <row r="63" spans="4:7" hidden="1" x14ac:dyDescent="0.3">
      <c r="D63" t="s">
        <v>6754</v>
      </c>
      <c r="E63" t="s">
        <v>6755</v>
      </c>
      <c r="F63" t="s">
        <v>7385</v>
      </c>
      <c r="G63" s="11">
        <v>15</v>
      </c>
    </row>
    <row r="64" spans="4:7" hidden="1" x14ac:dyDescent="0.3">
      <c r="D64" t="s">
        <v>6941</v>
      </c>
      <c r="E64" t="s">
        <v>6942</v>
      </c>
      <c r="F64" t="s">
        <v>7385</v>
      </c>
      <c r="G64" s="11">
        <v>15</v>
      </c>
    </row>
    <row r="65" spans="4:7" hidden="1" x14ac:dyDescent="0.3">
      <c r="D65" t="s">
        <v>585</v>
      </c>
      <c r="E65" t="s">
        <v>586</v>
      </c>
      <c r="F65" t="s">
        <v>7386</v>
      </c>
      <c r="G65" s="11">
        <v>14</v>
      </c>
    </row>
    <row r="66" spans="4:7" hidden="1" x14ac:dyDescent="0.3">
      <c r="D66" t="s">
        <v>811</v>
      </c>
      <c r="E66" t="s">
        <v>812</v>
      </c>
      <c r="F66" t="s">
        <v>7386</v>
      </c>
      <c r="G66" s="11">
        <v>14</v>
      </c>
    </row>
    <row r="67" spans="4:7" hidden="1" x14ac:dyDescent="0.3">
      <c r="D67" t="s">
        <v>1464</v>
      </c>
      <c r="E67" t="s">
        <v>1465</v>
      </c>
      <c r="F67" t="s">
        <v>7386</v>
      </c>
      <c r="G67" s="11">
        <v>14</v>
      </c>
    </row>
    <row r="68" spans="4:7" hidden="1" x14ac:dyDescent="0.3">
      <c r="D68" t="s">
        <v>2870</v>
      </c>
      <c r="E68" t="s">
        <v>2871</v>
      </c>
      <c r="F68" t="s">
        <v>7386</v>
      </c>
      <c r="G68" s="11">
        <v>15</v>
      </c>
    </row>
    <row r="69" spans="4:7" hidden="1" x14ac:dyDescent="0.3">
      <c r="D69" t="s">
        <v>4189</v>
      </c>
      <c r="E69" t="s">
        <v>4190</v>
      </c>
      <c r="F69" t="s">
        <v>7386</v>
      </c>
      <c r="G69" s="11">
        <v>14</v>
      </c>
    </row>
    <row r="70" spans="4:7" hidden="1" x14ac:dyDescent="0.3">
      <c r="D70" t="s">
        <v>4781</v>
      </c>
      <c r="E70" t="s">
        <v>4782</v>
      </c>
      <c r="F70" t="s">
        <v>7386</v>
      </c>
      <c r="G70" s="11">
        <v>15</v>
      </c>
    </row>
    <row r="71" spans="4:7" hidden="1" x14ac:dyDescent="0.3">
      <c r="D71" t="s">
        <v>4878</v>
      </c>
      <c r="E71" t="s">
        <v>4879</v>
      </c>
      <c r="F71" t="s">
        <v>7386</v>
      </c>
      <c r="G71" s="11">
        <v>14</v>
      </c>
    </row>
    <row r="72" spans="4:7" hidden="1" x14ac:dyDescent="0.3">
      <c r="D72" t="s">
        <v>4962</v>
      </c>
      <c r="E72" t="s">
        <v>4963</v>
      </c>
      <c r="F72" t="s">
        <v>7386</v>
      </c>
      <c r="G72" s="11">
        <v>14</v>
      </c>
    </row>
    <row r="73" spans="4:7" hidden="1" x14ac:dyDescent="0.3">
      <c r="D73" t="s">
        <v>5278</v>
      </c>
      <c r="E73" t="s">
        <v>5279</v>
      </c>
      <c r="F73" t="s">
        <v>7386</v>
      </c>
      <c r="G73" s="11">
        <v>14</v>
      </c>
    </row>
    <row r="74" spans="4:7" hidden="1" x14ac:dyDescent="0.3">
      <c r="D74" t="s">
        <v>6747</v>
      </c>
      <c r="E74" t="s">
        <v>6748</v>
      </c>
      <c r="F74" t="s">
        <v>7386</v>
      </c>
      <c r="G74" s="11">
        <v>15</v>
      </c>
    </row>
    <row r="75" spans="4:7" hidden="1" x14ac:dyDescent="0.3">
      <c r="D75" t="s">
        <v>5596</v>
      </c>
      <c r="E75" t="s">
        <v>5597</v>
      </c>
      <c r="F75" t="s">
        <v>7387</v>
      </c>
      <c r="G75" s="11">
        <v>15</v>
      </c>
    </row>
    <row r="76" spans="4:7" hidden="1" x14ac:dyDescent="0.3">
      <c r="D76" t="s">
        <v>6494</v>
      </c>
      <c r="E76" t="s">
        <v>6495</v>
      </c>
      <c r="F76" t="s">
        <v>7387</v>
      </c>
      <c r="G76" s="11">
        <v>15</v>
      </c>
    </row>
    <row r="77" spans="4:7" hidden="1" x14ac:dyDescent="0.3">
      <c r="D77" t="s">
        <v>1552</v>
      </c>
      <c r="E77" t="s">
        <v>1553</v>
      </c>
      <c r="F77" t="s">
        <v>7388</v>
      </c>
      <c r="G77" s="11">
        <v>13</v>
      </c>
    </row>
    <row r="78" spans="4:7" hidden="1" x14ac:dyDescent="0.3">
      <c r="D78" t="s">
        <v>1590</v>
      </c>
      <c r="E78" t="s">
        <v>1591</v>
      </c>
      <c r="F78" t="s">
        <v>7388</v>
      </c>
      <c r="G78" s="11">
        <v>12</v>
      </c>
    </row>
    <row r="79" spans="4:7" hidden="1" x14ac:dyDescent="0.3">
      <c r="D79" t="s">
        <v>2357</v>
      </c>
      <c r="E79" t="s">
        <v>2358</v>
      </c>
      <c r="F79" t="s">
        <v>7388</v>
      </c>
      <c r="G79" s="11">
        <v>15</v>
      </c>
    </row>
    <row r="80" spans="4:7" hidden="1" x14ac:dyDescent="0.3">
      <c r="D80" t="s">
        <v>7217</v>
      </c>
      <c r="E80" t="s">
        <v>2626</v>
      </c>
      <c r="F80" t="s">
        <v>7388</v>
      </c>
      <c r="G80" s="11">
        <v>15</v>
      </c>
    </row>
    <row r="81" spans="4:7" hidden="1" x14ac:dyDescent="0.3">
      <c r="D81" t="s">
        <v>2917</v>
      </c>
      <c r="E81" t="s">
        <v>2918</v>
      </c>
      <c r="F81" t="s">
        <v>7388</v>
      </c>
      <c r="G81" s="11">
        <v>15</v>
      </c>
    </row>
    <row r="82" spans="4:7" hidden="1" x14ac:dyDescent="0.3">
      <c r="D82" t="s">
        <v>3583</v>
      </c>
      <c r="E82" t="s">
        <v>3584</v>
      </c>
      <c r="F82" t="s">
        <v>7388</v>
      </c>
      <c r="G82" s="11">
        <v>13</v>
      </c>
    </row>
    <row r="83" spans="4:7" hidden="1" x14ac:dyDescent="0.3">
      <c r="D83" t="s">
        <v>4283</v>
      </c>
      <c r="E83" t="s">
        <v>4284</v>
      </c>
      <c r="F83" t="s">
        <v>7388</v>
      </c>
      <c r="G83" s="11">
        <v>15</v>
      </c>
    </row>
    <row r="84" spans="4:7" hidden="1" x14ac:dyDescent="0.3">
      <c r="D84" t="s">
        <v>4287</v>
      </c>
      <c r="E84" t="s">
        <v>4288</v>
      </c>
      <c r="F84" t="s">
        <v>7388</v>
      </c>
      <c r="G84" s="11">
        <v>15</v>
      </c>
    </row>
    <row r="85" spans="4:7" hidden="1" x14ac:dyDescent="0.3">
      <c r="D85" t="s">
        <v>4414</v>
      </c>
      <c r="E85" t="s">
        <v>4415</v>
      </c>
      <c r="F85" t="s">
        <v>7388</v>
      </c>
      <c r="G85" s="11">
        <v>15</v>
      </c>
    </row>
    <row r="86" spans="4:7" hidden="1" x14ac:dyDescent="0.3">
      <c r="D86" t="s">
        <v>6785</v>
      </c>
      <c r="E86" t="s">
        <v>6786</v>
      </c>
      <c r="F86" t="s">
        <v>7388</v>
      </c>
      <c r="G86" s="11">
        <v>15</v>
      </c>
    </row>
    <row r="87" spans="4:7" hidden="1" x14ac:dyDescent="0.3">
      <c r="D87" t="s">
        <v>1118</v>
      </c>
      <c r="E87" t="s">
        <v>1119</v>
      </c>
      <c r="F87" t="s">
        <v>7389</v>
      </c>
      <c r="G87" s="11">
        <v>15</v>
      </c>
    </row>
    <row r="88" spans="4:7" hidden="1" x14ac:dyDescent="0.3">
      <c r="D88" t="s">
        <v>1938</v>
      </c>
      <c r="E88" t="s">
        <v>1939</v>
      </c>
      <c r="F88" t="s">
        <v>7389</v>
      </c>
      <c r="G88" s="11">
        <v>15</v>
      </c>
    </row>
    <row r="89" spans="4:7" hidden="1" x14ac:dyDescent="0.3">
      <c r="D89" t="s">
        <v>3370</v>
      </c>
      <c r="E89" t="s">
        <v>3371</v>
      </c>
      <c r="F89" t="s">
        <v>7389</v>
      </c>
      <c r="G89" s="11">
        <v>15</v>
      </c>
    </row>
    <row r="90" spans="4:7" hidden="1" x14ac:dyDescent="0.3">
      <c r="D90" t="s">
        <v>6586</v>
      </c>
      <c r="E90" t="s">
        <v>6587</v>
      </c>
      <c r="F90" t="s">
        <v>7389</v>
      </c>
      <c r="G90" s="11">
        <v>15</v>
      </c>
    </row>
    <row r="91" spans="4:7" hidden="1" x14ac:dyDescent="0.3">
      <c r="D91" t="s">
        <v>6711</v>
      </c>
      <c r="E91" t="s">
        <v>6712</v>
      </c>
      <c r="F91" t="s">
        <v>7389</v>
      </c>
      <c r="G91" s="11">
        <v>15</v>
      </c>
    </row>
    <row r="92" spans="4:7" hidden="1" x14ac:dyDescent="0.3">
      <c r="D92" t="s">
        <v>3262</v>
      </c>
      <c r="E92" t="s">
        <v>3263</v>
      </c>
      <c r="F92" t="s">
        <v>7390</v>
      </c>
      <c r="G92" s="11">
        <v>15</v>
      </c>
    </row>
    <row r="93" spans="4:7" hidden="1" x14ac:dyDescent="0.3">
      <c r="D93" t="s">
        <v>333</v>
      </c>
      <c r="E93" t="s">
        <v>334</v>
      </c>
      <c r="F93" t="s">
        <v>7390</v>
      </c>
      <c r="G93" s="11">
        <v>15</v>
      </c>
    </row>
    <row r="94" spans="4:7" hidden="1" x14ac:dyDescent="0.3">
      <c r="D94" t="s">
        <v>347</v>
      </c>
      <c r="E94" t="s">
        <v>348</v>
      </c>
      <c r="F94" t="s">
        <v>7390</v>
      </c>
      <c r="G94" s="11">
        <v>15</v>
      </c>
    </row>
    <row r="95" spans="4:7" hidden="1" x14ac:dyDescent="0.3">
      <c r="D95" t="s">
        <v>504</v>
      </c>
      <c r="E95" t="s">
        <v>505</v>
      </c>
      <c r="F95" t="s">
        <v>7390</v>
      </c>
      <c r="G95" s="11">
        <v>15</v>
      </c>
    </row>
    <row r="96" spans="4:7" hidden="1" x14ac:dyDescent="0.3">
      <c r="D96" t="s">
        <v>660</v>
      </c>
      <c r="E96" t="s">
        <v>661</v>
      </c>
      <c r="F96" t="s">
        <v>7390</v>
      </c>
      <c r="G96" s="11">
        <v>15</v>
      </c>
    </row>
    <row r="97" spans="4:7" hidden="1" x14ac:dyDescent="0.3">
      <c r="D97" t="s">
        <v>836</v>
      </c>
      <c r="E97" t="s">
        <v>837</v>
      </c>
      <c r="F97" t="s">
        <v>7390</v>
      </c>
      <c r="G97" s="11">
        <v>15</v>
      </c>
    </row>
    <row r="98" spans="4:7" hidden="1" x14ac:dyDescent="0.3">
      <c r="D98" t="s">
        <v>2492</v>
      </c>
      <c r="E98" t="s">
        <v>2493</v>
      </c>
      <c r="F98" t="s">
        <v>7390</v>
      </c>
      <c r="G98" s="11">
        <v>15</v>
      </c>
    </row>
    <row r="99" spans="4:7" hidden="1" x14ac:dyDescent="0.3">
      <c r="D99" t="s">
        <v>2741</v>
      </c>
      <c r="E99" t="s">
        <v>2742</v>
      </c>
      <c r="F99" t="s">
        <v>7390</v>
      </c>
      <c r="G99" s="11">
        <v>15</v>
      </c>
    </row>
    <row r="100" spans="4:7" hidden="1" x14ac:dyDescent="0.3">
      <c r="D100" t="s">
        <v>2831</v>
      </c>
      <c r="E100" t="s">
        <v>2832</v>
      </c>
      <c r="F100" t="s">
        <v>7390</v>
      </c>
      <c r="G100" s="11">
        <v>15</v>
      </c>
    </row>
    <row r="101" spans="4:7" hidden="1" x14ac:dyDescent="0.3">
      <c r="D101" t="s">
        <v>3272</v>
      </c>
      <c r="E101" t="s">
        <v>3273</v>
      </c>
      <c r="F101" t="s">
        <v>7390</v>
      </c>
      <c r="G101" s="11">
        <v>15</v>
      </c>
    </row>
    <row r="102" spans="4:7" hidden="1" x14ac:dyDescent="0.3">
      <c r="D102" t="s">
        <v>3718</v>
      </c>
      <c r="E102" t="s">
        <v>3719</v>
      </c>
      <c r="F102" t="s">
        <v>7390</v>
      </c>
      <c r="G102" s="11">
        <v>15</v>
      </c>
    </row>
    <row r="103" spans="4:7" hidden="1" x14ac:dyDescent="0.3">
      <c r="D103" t="s">
        <v>304</v>
      </c>
      <c r="E103" t="s">
        <v>305</v>
      </c>
      <c r="F103" t="s">
        <v>7391</v>
      </c>
      <c r="G103" s="11">
        <v>17</v>
      </c>
    </row>
    <row r="104" spans="4:7" hidden="1" x14ac:dyDescent="0.3">
      <c r="D104" t="s">
        <v>703</v>
      </c>
      <c r="E104" t="s">
        <v>704</v>
      </c>
      <c r="F104" t="s">
        <v>7391</v>
      </c>
      <c r="G104" s="11">
        <v>13</v>
      </c>
    </row>
    <row r="105" spans="4:7" hidden="1" x14ac:dyDescent="0.3">
      <c r="D105" t="s">
        <v>743</v>
      </c>
      <c r="E105" t="s">
        <v>744</v>
      </c>
      <c r="F105" t="s">
        <v>7391</v>
      </c>
      <c r="G105" s="11">
        <v>16</v>
      </c>
    </row>
    <row r="106" spans="4:7" hidden="1" x14ac:dyDescent="0.3">
      <c r="D106" t="s">
        <v>1488</v>
      </c>
      <c r="E106" t="s">
        <v>1489</v>
      </c>
      <c r="F106" t="s">
        <v>7391</v>
      </c>
      <c r="G106" s="11">
        <v>16</v>
      </c>
    </row>
    <row r="107" spans="4:7" hidden="1" x14ac:dyDescent="0.3">
      <c r="D107" t="s">
        <v>1506</v>
      </c>
      <c r="E107" t="s">
        <v>1507</v>
      </c>
      <c r="F107" t="s">
        <v>7391</v>
      </c>
      <c r="G107" s="11">
        <v>18</v>
      </c>
    </row>
    <row r="108" spans="4:7" hidden="1" x14ac:dyDescent="0.3">
      <c r="D108" t="s">
        <v>2454</v>
      </c>
      <c r="E108" t="s">
        <v>2455</v>
      </c>
      <c r="F108" t="s">
        <v>7391</v>
      </c>
      <c r="G108" s="11">
        <v>16</v>
      </c>
    </row>
    <row r="109" spans="4:7" hidden="1" x14ac:dyDescent="0.3">
      <c r="D109" t="s">
        <v>2569</v>
      </c>
      <c r="E109" t="s">
        <v>2570</v>
      </c>
      <c r="F109" t="s">
        <v>7391</v>
      </c>
      <c r="G109" s="11">
        <v>15</v>
      </c>
    </row>
    <row r="110" spans="4:7" hidden="1" x14ac:dyDescent="0.3">
      <c r="D110" t="s">
        <v>2723</v>
      </c>
      <c r="E110" t="s">
        <v>2724</v>
      </c>
      <c r="F110" t="s">
        <v>7391</v>
      </c>
      <c r="G110" s="11">
        <v>14</v>
      </c>
    </row>
    <row r="111" spans="4:7" hidden="1" x14ac:dyDescent="0.3">
      <c r="D111" t="s">
        <v>2891</v>
      </c>
      <c r="E111" t="s">
        <v>2892</v>
      </c>
      <c r="F111" t="s">
        <v>7391</v>
      </c>
      <c r="G111" s="11">
        <v>16</v>
      </c>
    </row>
    <row r="112" spans="4:7" hidden="1" x14ac:dyDescent="0.3">
      <c r="D112" t="s">
        <v>3098</v>
      </c>
      <c r="E112" t="s">
        <v>3099</v>
      </c>
      <c r="F112" t="s">
        <v>7391</v>
      </c>
      <c r="G112" s="11">
        <v>15</v>
      </c>
    </row>
    <row r="113" spans="4:7" hidden="1" x14ac:dyDescent="0.3">
      <c r="D113" t="s">
        <v>3391</v>
      </c>
      <c r="E113" t="s">
        <v>3392</v>
      </c>
      <c r="F113" t="s">
        <v>7391</v>
      </c>
      <c r="G113" s="11">
        <v>16</v>
      </c>
    </row>
    <row r="114" spans="4:7" hidden="1" x14ac:dyDescent="0.3">
      <c r="D114" t="s">
        <v>3509</v>
      </c>
      <c r="E114" t="s">
        <v>3510</v>
      </c>
      <c r="F114" t="s">
        <v>7391</v>
      </c>
      <c r="G114" s="11">
        <v>16</v>
      </c>
    </row>
    <row r="115" spans="4:7" hidden="1" x14ac:dyDescent="0.3">
      <c r="D115" t="s">
        <v>3687</v>
      </c>
      <c r="E115" t="s">
        <v>3688</v>
      </c>
      <c r="F115" t="s">
        <v>7391</v>
      </c>
      <c r="G115" s="11">
        <v>16</v>
      </c>
    </row>
    <row r="116" spans="4:7" hidden="1" x14ac:dyDescent="0.3">
      <c r="D116" t="s">
        <v>3725</v>
      </c>
      <c r="E116" t="s">
        <v>3726</v>
      </c>
      <c r="F116" t="s">
        <v>7391</v>
      </c>
      <c r="G116" s="11">
        <v>16</v>
      </c>
    </row>
    <row r="117" spans="4:7" hidden="1" x14ac:dyDescent="0.3">
      <c r="D117" t="s">
        <v>3853</v>
      </c>
      <c r="E117" t="s">
        <v>3854</v>
      </c>
      <c r="F117" t="s">
        <v>7391</v>
      </c>
      <c r="G117" s="11">
        <v>13</v>
      </c>
    </row>
    <row r="118" spans="4:7" hidden="1" x14ac:dyDescent="0.3">
      <c r="D118" t="s">
        <v>3958</v>
      </c>
      <c r="E118" t="s">
        <v>3959</v>
      </c>
      <c r="F118" t="s">
        <v>7391</v>
      </c>
      <c r="G118" s="11">
        <v>16</v>
      </c>
    </row>
    <row r="119" spans="4:7" hidden="1" x14ac:dyDescent="0.3">
      <c r="D119" t="s">
        <v>4160</v>
      </c>
      <c r="E119" t="s">
        <v>4161</v>
      </c>
      <c r="F119" t="s">
        <v>7391</v>
      </c>
      <c r="G119" s="11">
        <v>13</v>
      </c>
    </row>
    <row r="120" spans="4:7" hidden="1" x14ac:dyDescent="0.3">
      <c r="D120" t="s">
        <v>4902</v>
      </c>
      <c r="E120" t="s">
        <v>4903</v>
      </c>
      <c r="F120" t="s">
        <v>7391</v>
      </c>
      <c r="G120" s="11">
        <v>16</v>
      </c>
    </row>
    <row r="121" spans="4:7" hidden="1" x14ac:dyDescent="0.3">
      <c r="D121" t="s">
        <v>5110</v>
      </c>
      <c r="E121" t="s">
        <v>5111</v>
      </c>
      <c r="F121" t="s">
        <v>7391</v>
      </c>
      <c r="G121" s="11">
        <v>13</v>
      </c>
    </row>
    <row r="122" spans="4:7" hidden="1" x14ac:dyDescent="0.3">
      <c r="D122" t="s">
        <v>5434</v>
      </c>
      <c r="E122" t="s">
        <v>5435</v>
      </c>
      <c r="F122" t="s">
        <v>7391</v>
      </c>
      <c r="G122" s="11">
        <v>13</v>
      </c>
    </row>
    <row r="123" spans="4:7" hidden="1" x14ac:dyDescent="0.3">
      <c r="D123" t="s">
        <v>5536</v>
      </c>
      <c r="E123" t="s">
        <v>5537</v>
      </c>
      <c r="F123" t="s">
        <v>7391</v>
      </c>
      <c r="G123" s="11">
        <v>15</v>
      </c>
    </row>
    <row r="124" spans="4:7" hidden="1" x14ac:dyDescent="0.3">
      <c r="D124" t="s">
        <v>5941</v>
      </c>
      <c r="E124" t="s">
        <v>5942</v>
      </c>
      <c r="F124" t="s">
        <v>7391</v>
      </c>
      <c r="G124" s="11">
        <v>13</v>
      </c>
    </row>
    <row r="125" spans="4:7" hidden="1" x14ac:dyDescent="0.3">
      <c r="D125" t="s">
        <v>6021</v>
      </c>
      <c r="E125" t="s">
        <v>6022</v>
      </c>
      <c r="F125" t="s">
        <v>7391</v>
      </c>
      <c r="G125" s="11">
        <v>13</v>
      </c>
    </row>
    <row r="126" spans="4:7" hidden="1" x14ac:dyDescent="0.3">
      <c r="D126" t="s">
        <v>6029</v>
      </c>
      <c r="E126" t="s">
        <v>6030</v>
      </c>
      <c r="F126" t="s">
        <v>7391</v>
      </c>
      <c r="G126" s="11">
        <v>16</v>
      </c>
    </row>
    <row r="127" spans="4:7" hidden="1" x14ac:dyDescent="0.3">
      <c r="D127" t="s">
        <v>6075</v>
      </c>
      <c r="E127" t="s">
        <v>6076</v>
      </c>
      <c r="F127" t="s">
        <v>7391</v>
      </c>
      <c r="G127" s="11">
        <v>16</v>
      </c>
    </row>
    <row r="128" spans="4:7" hidden="1" x14ac:dyDescent="0.3">
      <c r="D128" t="s">
        <v>6114</v>
      </c>
      <c r="E128" t="s">
        <v>6115</v>
      </c>
      <c r="F128" t="s">
        <v>7391</v>
      </c>
      <c r="G128" s="11">
        <v>16</v>
      </c>
    </row>
    <row r="129" spans="4:7" hidden="1" x14ac:dyDescent="0.3">
      <c r="D129" t="s">
        <v>6124</v>
      </c>
      <c r="E129" t="s">
        <v>6125</v>
      </c>
      <c r="F129" t="s">
        <v>7391</v>
      </c>
      <c r="G129" s="11">
        <v>16</v>
      </c>
    </row>
    <row r="130" spans="4:7" hidden="1" x14ac:dyDescent="0.3">
      <c r="D130" t="s">
        <v>6139</v>
      </c>
      <c r="E130" t="s">
        <v>6140</v>
      </c>
      <c r="F130" t="s">
        <v>7391</v>
      </c>
      <c r="G130" s="11">
        <v>13</v>
      </c>
    </row>
    <row r="131" spans="4:7" hidden="1" x14ac:dyDescent="0.3">
      <c r="D131" t="s">
        <v>6416</v>
      </c>
      <c r="E131" t="s">
        <v>6417</v>
      </c>
      <c r="F131" t="s">
        <v>7391</v>
      </c>
      <c r="G131" s="11">
        <v>16</v>
      </c>
    </row>
    <row r="132" spans="4:7" hidden="1" x14ac:dyDescent="0.3">
      <c r="D132" t="s">
        <v>6665</v>
      </c>
      <c r="E132" t="s">
        <v>6666</v>
      </c>
      <c r="F132" t="s">
        <v>7391</v>
      </c>
      <c r="G132" s="11">
        <v>13</v>
      </c>
    </row>
    <row r="133" spans="4:7" hidden="1" x14ac:dyDescent="0.3">
      <c r="D133" t="s">
        <v>6744</v>
      </c>
      <c r="E133" t="s">
        <v>6745</v>
      </c>
      <c r="F133" t="s">
        <v>7391</v>
      </c>
      <c r="G133" s="11">
        <v>16</v>
      </c>
    </row>
    <row r="134" spans="4:7" hidden="1" x14ac:dyDescent="0.3">
      <c r="D134" t="s">
        <v>6807</v>
      </c>
      <c r="E134" t="s">
        <v>6808</v>
      </c>
      <c r="F134" t="s">
        <v>7391</v>
      </c>
      <c r="G134" s="11">
        <v>16</v>
      </c>
    </row>
    <row r="135" spans="4:7" hidden="1" x14ac:dyDescent="0.3">
      <c r="D135" t="s">
        <v>6893</v>
      </c>
      <c r="E135" t="s">
        <v>6894</v>
      </c>
      <c r="F135" t="s">
        <v>7391</v>
      </c>
      <c r="G135" s="11">
        <v>16</v>
      </c>
    </row>
    <row r="136" spans="4:7" hidden="1" x14ac:dyDescent="0.3">
      <c r="D136" t="s">
        <v>544</v>
      </c>
      <c r="E136" t="s">
        <v>545</v>
      </c>
      <c r="F136" t="s">
        <v>7392</v>
      </c>
      <c r="G136" s="11">
        <v>15</v>
      </c>
    </row>
    <row r="137" spans="4:7" hidden="1" x14ac:dyDescent="0.3">
      <c r="D137" t="s">
        <v>1779</v>
      </c>
      <c r="E137" t="s">
        <v>1780</v>
      </c>
      <c r="F137" t="s">
        <v>7392</v>
      </c>
      <c r="G137" s="11">
        <v>15</v>
      </c>
    </row>
    <row r="138" spans="4:7" hidden="1" x14ac:dyDescent="0.3">
      <c r="D138" t="s">
        <v>1984</v>
      </c>
      <c r="E138" t="s">
        <v>1985</v>
      </c>
      <c r="F138" t="s">
        <v>7392</v>
      </c>
      <c r="G138" s="11">
        <v>15</v>
      </c>
    </row>
    <row r="139" spans="4:7" hidden="1" x14ac:dyDescent="0.3">
      <c r="D139" t="s">
        <v>226</v>
      </c>
      <c r="E139" t="s">
        <v>227</v>
      </c>
      <c r="F139" t="s">
        <v>7393</v>
      </c>
      <c r="G139" s="11">
        <v>15</v>
      </c>
    </row>
    <row r="140" spans="4:7" hidden="1" x14ac:dyDescent="0.3">
      <c r="D140" t="s">
        <v>2414</v>
      </c>
      <c r="E140" t="s">
        <v>2415</v>
      </c>
      <c r="F140" t="s">
        <v>7393</v>
      </c>
      <c r="G140" s="11">
        <v>15</v>
      </c>
    </row>
    <row r="141" spans="4:7" hidden="1" x14ac:dyDescent="0.3">
      <c r="D141" t="s">
        <v>2757</v>
      </c>
      <c r="E141" t="s">
        <v>2758</v>
      </c>
      <c r="F141" t="s">
        <v>7393</v>
      </c>
      <c r="G141" s="11">
        <v>15</v>
      </c>
    </row>
    <row r="142" spans="4:7" hidden="1" x14ac:dyDescent="0.3">
      <c r="D142" t="s">
        <v>3026</v>
      </c>
      <c r="E142" t="s">
        <v>3027</v>
      </c>
      <c r="F142" t="s">
        <v>7393</v>
      </c>
      <c r="G142" s="11">
        <v>15</v>
      </c>
    </row>
    <row r="143" spans="4:7" hidden="1" x14ac:dyDescent="0.3">
      <c r="D143" t="s">
        <v>4229</v>
      </c>
      <c r="E143" t="s">
        <v>4230</v>
      </c>
      <c r="F143" t="s">
        <v>7393</v>
      </c>
      <c r="G143" s="11">
        <v>15</v>
      </c>
    </row>
    <row r="144" spans="4:7" hidden="1" x14ac:dyDescent="0.3">
      <c r="D144" t="s">
        <v>4982</v>
      </c>
      <c r="E144" t="s">
        <v>4983</v>
      </c>
      <c r="F144" t="s">
        <v>7393</v>
      </c>
      <c r="G144" s="11">
        <v>15</v>
      </c>
    </row>
    <row r="145" spans="4:7" hidden="1" x14ac:dyDescent="0.3">
      <c r="D145" t="s">
        <v>5419</v>
      </c>
      <c r="E145" t="s">
        <v>5420</v>
      </c>
      <c r="F145" t="s">
        <v>7393</v>
      </c>
      <c r="G145" s="11">
        <v>15</v>
      </c>
    </row>
    <row r="146" spans="4:7" hidden="1" x14ac:dyDescent="0.3">
      <c r="D146" t="s">
        <v>1887</v>
      </c>
      <c r="E146" t="s">
        <v>1888</v>
      </c>
      <c r="F146" t="s">
        <v>7394</v>
      </c>
      <c r="G146" s="11">
        <v>15</v>
      </c>
    </row>
    <row r="147" spans="4:7" hidden="1" x14ac:dyDescent="0.3">
      <c r="D147" t="s">
        <v>5503</v>
      </c>
      <c r="E147" t="s">
        <v>5504</v>
      </c>
      <c r="F147" t="s">
        <v>7394</v>
      </c>
      <c r="G147" s="11">
        <v>15</v>
      </c>
    </row>
    <row r="148" spans="4:7" hidden="1" x14ac:dyDescent="0.3">
      <c r="D148" t="s">
        <v>1682</v>
      </c>
      <c r="E148" t="s">
        <v>1683</v>
      </c>
      <c r="F148" t="s">
        <v>7395</v>
      </c>
      <c r="G148" s="11">
        <v>15</v>
      </c>
    </row>
    <row r="149" spans="4:7" hidden="1" x14ac:dyDescent="0.3">
      <c r="D149" t="s">
        <v>3168</v>
      </c>
      <c r="E149" t="s">
        <v>3169</v>
      </c>
      <c r="F149" t="s">
        <v>7395</v>
      </c>
      <c r="G149" s="11">
        <v>15</v>
      </c>
    </row>
    <row r="150" spans="4:7" hidden="1" x14ac:dyDescent="0.3">
      <c r="D150" t="s">
        <v>3974</v>
      </c>
      <c r="E150" t="s">
        <v>3975</v>
      </c>
      <c r="F150" t="s">
        <v>7395</v>
      </c>
      <c r="G150" s="11">
        <v>15</v>
      </c>
    </row>
    <row r="151" spans="4:7" hidden="1" x14ac:dyDescent="0.3">
      <c r="D151" t="s">
        <v>1633</v>
      </c>
      <c r="E151" t="s">
        <v>1634</v>
      </c>
      <c r="F151" t="s">
        <v>7395</v>
      </c>
      <c r="G151" s="11">
        <v>15</v>
      </c>
    </row>
    <row r="152" spans="4:7" hidden="1" x14ac:dyDescent="0.3">
      <c r="D152" t="s">
        <v>1663</v>
      </c>
      <c r="E152" t="s">
        <v>1664</v>
      </c>
      <c r="F152" t="s">
        <v>7395</v>
      </c>
      <c r="G152" s="11">
        <v>15</v>
      </c>
    </row>
    <row r="153" spans="4:7" hidden="1" x14ac:dyDescent="0.3">
      <c r="D153" t="s">
        <v>1843</v>
      </c>
      <c r="E153" t="s">
        <v>1844</v>
      </c>
      <c r="F153" t="s">
        <v>7395</v>
      </c>
      <c r="G153" s="11">
        <v>15</v>
      </c>
    </row>
    <row r="154" spans="4:7" hidden="1" x14ac:dyDescent="0.3">
      <c r="D154" t="s">
        <v>2013</v>
      </c>
      <c r="E154" t="s">
        <v>2014</v>
      </c>
      <c r="F154" t="s">
        <v>7395</v>
      </c>
      <c r="G154" s="11">
        <v>15</v>
      </c>
    </row>
    <row r="155" spans="4:7" hidden="1" x14ac:dyDescent="0.3">
      <c r="D155" t="s">
        <v>2471</v>
      </c>
      <c r="E155" t="s">
        <v>2472</v>
      </c>
      <c r="F155" t="s">
        <v>7395</v>
      </c>
      <c r="G155" s="11">
        <v>15</v>
      </c>
    </row>
    <row r="156" spans="4:7" hidden="1" x14ac:dyDescent="0.3">
      <c r="D156" t="s">
        <v>2677</v>
      </c>
      <c r="E156" t="s">
        <v>2678</v>
      </c>
      <c r="F156" t="s">
        <v>7395</v>
      </c>
      <c r="G156" s="11">
        <v>15</v>
      </c>
    </row>
    <row r="157" spans="4:7" hidden="1" x14ac:dyDescent="0.3">
      <c r="D157" t="s">
        <v>2685</v>
      </c>
      <c r="E157" t="s">
        <v>2686</v>
      </c>
      <c r="F157" t="s">
        <v>7395</v>
      </c>
      <c r="G157" s="11">
        <v>15</v>
      </c>
    </row>
    <row r="158" spans="4:7" hidden="1" x14ac:dyDescent="0.3">
      <c r="D158" t="s">
        <v>3213</v>
      </c>
      <c r="E158" t="s">
        <v>3214</v>
      </c>
      <c r="F158" t="s">
        <v>7395</v>
      </c>
      <c r="G158" s="11">
        <v>15</v>
      </c>
    </row>
    <row r="159" spans="4:7" hidden="1" x14ac:dyDescent="0.3">
      <c r="D159" t="s">
        <v>4693</v>
      </c>
      <c r="E159" t="s">
        <v>4694</v>
      </c>
      <c r="F159" t="s">
        <v>7395</v>
      </c>
      <c r="G159" s="11">
        <v>15</v>
      </c>
    </row>
    <row r="160" spans="4:7" hidden="1" x14ac:dyDescent="0.3">
      <c r="D160" t="s">
        <v>4740</v>
      </c>
      <c r="E160" t="s">
        <v>4741</v>
      </c>
      <c r="F160" t="s">
        <v>7395</v>
      </c>
      <c r="G160" s="11">
        <v>15</v>
      </c>
    </row>
    <row r="161" spans="4:7" hidden="1" x14ac:dyDescent="0.3">
      <c r="D161" t="s">
        <v>4820</v>
      </c>
      <c r="E161" t="s">
        <v>4821</v>
      </c>
      <c r="F161" t="s">
        <v>7395</v>
      </c>
      <c r="G161" s="11">
        <v>15</v>
      </c>
    </row>
    <row r="162" spans="4:7" hidden="1" x14ac:dyDescent="0.3">
      <c r="D162" t="s">
        <v>5126</v>
      </c>
      <c r="E162" t="s">
        <v>5127</v>
      </c>
      <c r="F162" t="s">
        <v>7395</v>
      </c>
      <c r="G162" s="11">
        <v>15</v>
      </c>
    </row>
    <row r="163" spans="4:7" hidden="1" x14ac:dyDescent="0.3">
      <c r="D163" t="s">
        <v>5449</v>
      </c>
      <c r="E163" t="s">
        <v>5450</v>
      </c>
      <c r="F163" t="s">
        <v>7395</v>
      </c>
      <c r="G163" s="11">
        <v>15</v>
      </c>
    </row>
    <row r="164" spans="4:7" hidden="1" x14ac:dyDescent="0.3">
      <c r="D164" t="s">
        <v>5466</v>
      </c>
      <c r="E164" t="s">
        <v>5467</v>
      </c>
      <c r="F164" t="s">
        <v>7395</v>
      </c>
      <c r="G164" s="11">
        <v>15</v>
      </c>
    </row>
    <row r="165" spans="4:7" hidden="1" x14ac:dyDescent="0.3">
      <c r="D165" t="s">
        <v>5766</v>
      </c>
      <c r="E165" t="s">
        <v>5767</v>
      </c>
      <c r="F165" t="s">
        <v>7395</v>
      </c>
      <c r="G165" s="11">
        <v>15</v>
      </c>
    </row>
    <row r="166" spans="4:7" hidden="1" x14ac:dyDescent="0.3">
      <c r="D166" t="s">
        <v>5818</v>
      </c>
      <c r="E166" t="s">
        <v>5819</v>
      </c>
      <c r="F166" t="s">
        <v>7395</v>
      </c>
      <c r="G166" s="11">
        <v>15</v>
      </c>
    </row>
    <row r="167" spans="4:7" hidden="1" x14ac:dyDescent="0.3">
      <c r="D167" t="s">
        <v>6128</v>
      </c>
      <c r="E167" t="s">
        <v>6129</v>
      </c>
      <c r="F167" t="s">
        <v>7395</v>
      </c>
      <c r="G167" s="11">
        <v>15</v>
      </c>
    </row>
    <row r="168" spans="4:7" hidden="1" x14ac:dyDescent="0.3">
      <c r="D168" t="s">
        <v>6135</v>
      </c>
      <c r="E168" t="s">
        <v>6136</v>
      </c>
      <c r="F168" t="s">
        <v>7395</v>
      </c>
      <c r="G168" s="11">
        <v>15</v>
      </c>
    </row>
    <row r="169" spans="4:7" hidden="1" x14ac:dyDescent="0.3">
      <c r="D169" t="s">
        <v>1759</v>
      </c>
      <c r="E169" t="s">
        <v>1760</v>
      </c>
      <c r="F169" t="s">
        <v>7396</v>
      </c>
      <c r="G169" s="11">
        <v>15</v>
      </c>
    </row>
    <row r="170" spans="4:7" hidden="1" x14ac:dyDescent="0.3">
      <c r="D170" t="s">
        <v>2339</v>
      </c>
      <c r="E170" t="s">
        <v>2340</v>
      </c>
      <c r="F170" t="s">
        <v>7396</v>
      </c>
      <c r="G170" s="11">
        <v>15</v>
      </c>
    </row>
    <row r="171" spans="4:7" hidden="1" x14ac:dyDescent="0.3">
      <c r="D171" t="s">
        <v>4480</v>
      </c>
      <c r="E171" t="s">
        <v>4481</v>
      </c>
      <c r="F171" t="s">
        <v>7396</v>
      </c>
      <c r="G171" s="11">
        <v>15</v>
      </c>
    </row>
    <row r="172" spans="4:7" hidden="1" x14ac:dyDescent="0.3">
      <c r="D172" t="s">
        <v>4581</v>
      </c>
      <c r="E172" t="s">
        <v>4582</v>
      </c>
      <c r="F172" t="s">
        <v>7396</v>
      </c>
      <c r="G172" s="11">
        <v>15</v>
      </c>
    </row>
    <row r="173" spans="4:7" hidden="1" x14ac:dyDescent="0.3">
      <c r="D173" t="s">
        <v>1057</v>
      </c>
      <c r="E173" t="s">
        <v>1058</v>
      </c>
      <c r="F173" t="s">
        <v>7396</v>
      </c>
      <c r="G173" s="11">
        <v>15</v>
      </c>
    </row>
    <row r="174" spans="4:7" hidden="1" x14ac:dyDescent="0.3">
      <c r="D174" t="s">
        <v>2199</v>
      </c>
      <c r="E174" t="s">
        <v>2200</v>
      </c>
      <c r="F174" t="s">
        <v>7397</v>
      </c>
      <c r="G174" s="11">
        <v>14</v>
      </c>
    </row>
    <row r="175" spans="4:7" hidden="1" x14ac:dyDescent="0.3">
      <c r="D175" t="s">
        <v>3255</v>
      </c>
      <c r="E175" t="s">
        <v>3256</v>
      </c>
      <c r="F175" t="s">
        <v>7397</v>
      </c>
      <c r="G175" s="11">
        <v>14</v>
      </c>
    </row>
    <row r="176" spans="4:7" hidden="1" x14ac:dyDescent="0.3">
      <c r="D176" t="s">
        <v>3954</v>
      </c>
      <c r="E176" t="s">
        <v>3955</v>
      </c>
      <c r="F176" t="s">
        <v>7397</v>
      </c>
      <c r="G176" s="11">
        <v>15</v>
      </c>
    </row>
    <row r="177" spans="4:7" hidden="1" x14ac:dyDescent="0.3">
      <c r="D177" t="s">
        <v>3999</v>
      </c>
      <c r="E177" t="s">
        <v>4000</v>
      </c>
      <c r="F177" t="s">
        <v>7397</v>
      </c>
      <c r="G177" s="11">
        <v>15</v>
      </c>
    </row>
    <row r="178" spans="4:7" hidden="1" x14ac:dyDescent="0.3">
      <c r="D178" t="s">
        <v>6284</v>
      </c>
      <c r="E178" t="s">
        <v>6285</v>
      </c>
      <c r="F178" t="s">
        <v>7397</v>
      </c>
      <c r="G178" s="11">
        <v>14</v>
      </c>
    </row>
    <row r="179" spans="4:7" hidden="1" x14ac:dyDescent="0.3">
      <c r="D179" t="s">
        <v>6803</v>
      </c>
      <c r="E179" t="s">
        <v>6804</v>
      </c>
      <c r="F179" t="s">
        <v>7397</v>
      </c>
      <c r="G179" s="11">
        <v>15</v>
      </c>
    </row>
    <row r="180" spans="4:7" hidden="1" x14ac:dyDescent="0.3">
      <c r="D180" t="s">
        <v>72</v>
      </c>
      <c r="E180" t="s">
        <v>73</v>
      </c>
      <c r="F180" t="s">
        <v>7398</v>
      </c>
      <c r="G180" s="11">
        <v>13</v>
      </c>
    </row>
    <row r="181" spans="4:7" hidden="1" x14ac:dyDescent="0.3">
      <c r="D181" t="s">
        <v>581</v>
      </c>
      <c r="E181" t="s">
        <v>582</v>
      </c>
      <c r="F181" t="s">
        <v>7398</v>
      </c>
      <c r="G181" s="11">
        <v>13</v>
      </c>
    </row>
    <row r="182" spans="4:7" hidden="1" x14ac:dyDescent="0.3">
      <c r="D182" t="s">
        <v>3334</v>
      </c>
      <c r="E182" t="s">
        <v>3335</v>
      </c>
      <c r="F182" t="s">
        <v>7398</v>
      </c>
      <c r="G182" s="11">
        <v>13</v>
      </c>
    </row>
    <row r="183" spans="4:7" hidden="1" x14ac:dyDescent="0.3">
      <c r="D183" t="s">
        <v>1749</v>
      </c>
      <c r="E183" t="s">
        <v>1750</v>
      </c>
      <c r="F183" t="s">
        <v>7399</v>
      </c>
      <c r="G183" s="11">
        <v>14</v>
      </c>
    </row>
    <row r="184" spans="4:7" hidden="1" x14ac:dyDescent="0.3">
      <c r="D184" t="s">
        <v>1988</v>
      </c>
      <c r="E184" t="s">
        <v>1989</v>
      </c>
      <c r="F184" t="s">
        <v>7399</v>
      </c>
      <c r="G184" s="11">
        <v>14</v>
      </c>
    </row>
    <row r="185" spans="4:7" hidden="1" x14ac:dyDescent="0.3">
      <c r="D185" t="s">
        <v>2175</v>
      </c>
      <c r="E185" t="s">
        <v>2176</v>
      </c>
      <c r="F185" t="s">
        <v>7399</v>
      </c>
      <c r="G185" s="11">
        <v>14</v>
      </c>
    </row>
    <row r="186" spans="4:7" hidden="1" x14ac:dyDescent="0.3">
      <c r="D186" t="s">
        <v>5106</v>
      </c>
      <c r="E186" t="s">
        <v>5107</v>
      </c>
      <c r="F186" t="s">
        <v>7399</v>
      </c>
      <c r="G186" s="11">
        <v>14</v>
      </c>
    </row>
    <row r="187" spans="4:7" hidden="1" x14ac:dyDescent="0.3">
      <c r="D187" t="s">
        <v>5405</v>
      </c>
      <c r="E187" t="s">
        <v>5406</v>
      </c>
      <c r="F187" t="s">
        <v>7399</v>
      </c>
      <c r="G187" s="11">
        <v>14</v>
      </c>
    </row>
    <row r="188" spans="4:7" hidden="1" x14ac:dyDescent="0.3">
      <c r="D188" t="s">
        <v>6689</v>
      </c>
      <c r="E188" t="s">
        <v>6690</v>
      </c>
      <c r="F188" t="s">
        <v>7399</v>
      </c>
      <c r="G188" s="11">
        <v>14</v>
      </c>
    </row>
    <row r="189" spans="4:7" hidden="1" x14ac:dyDescent="0.3">
      <c r="D189" t="s">
        <v>6818</v>
      </c>
      <c r="E189" t="s">
        <v>6819</v>
      </c>
      <c r="F189" t="s">
        <v>7399</v>
      </c>
      <c r="G189" s="11">
        <v>14</v>
      </c>
    </row>
    <row r="190" spans="4:7" hidden="1" x14ac:dyDescent="0.3">
      <c r="D190" t="s">
        <v>2273</v>
      </c>
      <c r="E190" t="s">
        <v>2274</v>
      </c>
      <c r="F190" t="s">
        <v>7400</v>
      </c>
      <c r="G190" s="11">
        <v>15</v>
      </c>
    </row>
    <row r="191" spans="4:7" hidden="1" x14ac:dyDescent="0.3">
      <c r="D191" t="s">
        <v>2621</v>
      </c>
      <c r="E191" t="s">
        <v>2622</v>
      </c>
      <c r="F191" t="s">
        <v>7400</v>
      </c>
      <c r="G191" s="11">
        <v>15</v>
      </c>
    </row>
    <row r="192" spans="4:7" hidden="1" x14ac:dyDescent="0.3">
      <c r="D192" t="s">
        <v>2866</v>
      </c>
      <c r="E192" t="s">
        <v>2867</v>
      </c>
      <c r="F192" t="s">
        <v>7400</v>
      </c>
      <c r="G192" s="11">
        <v>15</v>
      </c>
    </row>
    <row r="193" spans="4:7" hidden="1" x14ac:dyDescent="0.3">
      <c r="D193" t="s">
        <v>3419</v>
      </c>
      <c r="E193" t="s">
        <v>3420</v>
      </c>
      <c r="F193" t="s">
        <v>7400</v>
      </c>
      <c r="G193" s="11">
        <v>15</v>
      </c>
    </row>
    <row r="194" spans="4:7" hidden="1" x14ac:dyDescent="0.3">
      <c r="D194" t="s">
        <v>4340</v>
      </c>
      <c r="E194" t="s">
        <v>4341</v>
      </c>
      <c r="F194" t="s">
        <v>7400</v>
      </c>
      <c r="G194" s="11">
        <v>15</v>
      </c>
    </row>
    <row r="195" spans="4:7" hidden="1" x14ac:dyDescent="0.3">
      <c r="D195" t="s">
        <v>6897</v>
      </c>
      <c r="E195" t="s">
        <v>6898</v>
      </c>
      <c r="F195" t="s">
        <v>7400</v>
      </c>
      <c r="G195" s="11">
        <v>15</v>
      </c>
    </row>
    <row r="196" spans="4:7" hidden="1" x14ac:dyDescent="0.3">
      <c r="D196" t="s">
        <v>1516</v>
      </c>
      <c r="E196" t="s">
        <v>1517</v>
      </c>
      <c r="F196" t="s">
        <v>7400</v>
      </c>
      <c r="G196" s="11">
        <v>15</v>
      </c>
    </row>
    <row r="197" spans="4:7" hidden="1" x14ac:dyDescent="0.3">
      <c r="D197" t="s">
        <v>403</v>
      </c>
      <c r="E197" t="s">
        <v>404</v>
      </c>
      <c r="F197" t="s">
        <v>7400</v>
      </c>
      <c r="G197" s="11">
        <v>15</v>
      </c>
    </row>
    <row r="198" spans="4:7" hidden="1" x14ac:dyDescent="0.3">
      <c r="D198" t="s">
        <v>913</v>
      </c>
      <c r="E198" t="s">
        <v>914</v>
      </c>
      <c r="F198" t="s">
        <v>7400</v>
      </c>
      <c r="G198" s="11">
        <v>15</v>
      </c>
    </row>
    <row r="199" spans="4:7" hidden="1" x14ac:dyDescent="0.3">
      <c r="D199" t="s">
        <v>1063</v>
      </c>
      <c r="E199" t="s">
        <v>1064</v>
      </c>
      <c r="F199" t="s">
        <v>7400</v>
      </c>
      <c r="G199" s="11">
        <v>14</v>
      </c>
    </row>
    <row r="200" spans="4:7" hidden="1" x14ac:dyDescent="0.3">
      <c r="D200" t="s">
        <v>3643</v>
      </c>
      <c r="E200" t="s">
        <v>3644</v>
      </c>
      <c r="F200" t="s">
        <v>7400</v>
      </c>
      <c r="G200" s="11">
        <v>15</v>
      </c>
    </row>
    <row r="201" spans="4:7" hidden="1" x14ac:dyDescent="0.3">
      <c r="D201" t="s">
        <v>4913</v>
      </c>
      <c r="E201" t="s">
        <v>4914</v>
      </c>
      <c r="F201" t="s">
        <v>7400</v>
      </c>
      <c r="G201" s="11">
        <v>15</v>
      </c>
    </row>
    <row r="202" spans="4:7" hidden="1" x14ac:dyDescent="0.3">
      <c r="D202" t="s">
        <v>5165</v>
      </c>
      <c r="E202" t="s">
        <v>5166</v>
      </c>
      <c r="F202" t="s">
        <v>7401</v>
      </c>
      <c r="G202" s="11">
        <v>16</v>
      </c>
    </row>
    <row r="203" spans="4:7" hidden="1" x14ac:dyDescent="0.3">
      <c r="D203" t="s">
        <v>593</v>
      </c>
      <c r="E203" t="s">
        <v>594</v>
      </c>
      <c r="F203" t="s">
        <v>7402</v>
      </c>
      <c r="G203" s="11">
        <v>15</v>
      </c>
    </row>
    <row r="204" spans="4:7" hidden="1" x14ac:dyDescent="0.3">
      <c r="D204" t="s">
        <v>2530</v>
      </c>
      <c r="E204" t="s">
        <v>2531</v>
      </c>
      <c r="F204" t="s">
        <v>7402</v>
      </c>
      <c r="G204" s="11">
        <v>15</v>
      </c>
    </row>
    <row r="205" spans="4:7" hidden="1" x14ac:dyDescent="0.3">
      <c r="D205" t="s">
        <v>7403</v>
      </c>
      <c r="E205" t="s">
        <v>2123</v>
      </c>
      <c r="F205" t="s">
        <v>7404</v>
      </c>
      <c r="G205" s="11">
        <v>15</v>
      </c>
    </row>
    <row r="206" spans="4:7" hidden="1" x14ac:dyDescent="0.3">
      <c r="D206" t="s">
        <v>3611</v>
      </c>
      <c r="E206" t="s">
        <v>3612</v>
      </c>
      <c r="F206" t="s">
        <v>7404</v>
      </c>
      <c r="G206" s="11">
        <v>15</v>
      </c>
    </row>
    <row r="207" spans="4:7" hidden="1" x14ac:dyDescent="0.3">
      <c r="D207" t="s">
        <v>3995</v>
      </c>
      <c r="E207" t="s">
        <v>3996</v>
      </c>
      <c r="F207" t="s">
        <v>7404</v>
      </c>
      <c r="G207" s="11">
        <v>15</v>
      </c>
    </row>
    <row r="208" spans="4:7" hidden="1" x14ac:dyDescent="0.3">
      <c r="D208" t="s">
        <v>4291</v>
      </c>
      <c r="E208" t="s">
        <v>4292</v>
      </c>
      <c r="F208" t="s">
        <v>7404</v>
      </c>
      <c r="G208" s="11">
        <v>15</v>
      </c>
    </row>
    <row r="209" spans="4:7" hidden="1" x14ac:dyDescent="0.3">
      <c r="D209" t="s">
        <v>7405</v>
      </c>
      <c r="E209" t="s">
        <v>5064</v>
      </c>
      <c r="F209" t="s">
        <v>7404</v>
      </c>
      <c r="G209" s="11">
        <v>17</v>
      </c>
    </row>
    <row r="210" spans="4:7" hidden="1" x14ac:dyDescent="0.3">
      <c r="D210" t="s">
        <v>5438</v>
      </c>
      <c r="E210" t="s">
        <v>5439</v>
      </c>
      <c r="F210" t="s">
        <v>7404</v>
      </c>
      <c r="G210" s="11">
        <v>15</v>
      </c>
    </row>
    <row r="211" spans="4:7" hidden="1" x14ac:dyDescent="0.3">
      <c r="D211" t="s">
        <v>5865</v>
      </c>
      <c r="E211" t="s">
        <v>5866</v>
      </c>
      <c r="F211" t="s">
        <v>7404</v>
      </c>
      <c r="G211" s="11">
        <v>14</v>
      </c>
    </row>
    <row r="212" spans="4:7" hidden="1" x14ac:dyDescent="0.3">
      <c r="D212" t="s">
        <v>6699</v>
      </c>
      <c r="E212" t="s">
        <v>6700</v>
      </c>
      <c r="F212" t="s">
        <v>7404</v>
      </c>
      <c r="G212" s="11">
        <v>17</v>
      </c>
    </row>
    <row r="213" spans="4:7" hidden="1" x14ac:dyDescent="0.3">
      <c r="D213" t="s">
        <v>316</v>
      </c>
      <c r="E213" t="s">
        <v>317</v>
      </c>
      <c r="F213" t="s">
        <v>7404</v>
      </c>
      <c r="G213" s="11">
        <v>15</v>
      </c>
    </row>
    <row r="214" spans="4:7" hidden="1" x14ac:dyDescent="0.3">
      <c r="D214" t="s">
        <v>89</v>
      </c>
      <c r="E214" t="s">
        <v>90</v>
      </c>
      <c r="F214" t="s">
        <v>7404</v>
      </c>
      <c r="G214" s="11">
        <v>17</v>
      </c>
    </row>
    <row r="215" spans="4:7" hidden="1" x14ac:dyDescent="0.3">
      <c r="D215" t="s">
        <v>294</v>
      </c>
      <c r="E215" t="s">
        <v>295</v>
      </c>
      <c r="F215" t="s">
        <v>7404</v>
      </c>
      <c r="G215" s="11">
        <v>15</v>
      </c>
    </row>
    <row r="216" spans="4:7" hidden="1" x14ac:dyDescent="0.3">
      <c r="D216" t="s">
        <v>311</v>
      </c>
      <c r="E216" t="s">
        <v>312</v>
      </c>
      <c r="F216" t="s">
        <v>7404</v>
      </c>
      <c r="G216" s="11">
        <v>15</v>
      </c>
    </row>
    <row r="217" spans="4:7" hidden="1" x14ac:dyDescent="0.3">
      <c r="D217" t="s">
        <v>407</v>
      </c>
      <c r="E217" t="s">
        <v>408</v>
      </c>
      <c r="F217" t="s">
        <v>7404</v>
      </c>
      <c r="G217" s="11">
        <v>15</v>
      </c>
    </row>
    <row r="218" spans="4:7" hidden="1" x14ac:dyDescent="0.3">
      <c r="D218" t="s">
        <v>642</v>
      </c>
      <c r="E218" t="s">
        <v>643</v>
      </c>
      <c r="F218" t="s">
        <v>7404</v>
      </c>
      <c r="G218" s="11">
        <v>15</v>
      </c>
    </row>
    <row r="219" spans="4:7" hidden="1" x14ac:dyDescent="0.3">
      <c r="D219" t="s">
        <v>1202</v>
      </c>
      <c r="E219" t="s">
        <v>1203</v>
      </c>
      <c r="F219" t="s">
        <v>7404</v>
      </c>
      <c r="G219" s="11">
        <v>15</v>
      </c>
    </row>
    <row r="220" spans="4:7" hidden="1" x14ac:dyDescent="0.3">
      <c r="D220" t="s">
        <v>1651</v>
      </c>
      <c r="E220" t="s">
        <v>1652</v>
      </c>
      <c r="F220" t="s">
        <v>7404</v>
      </c>
      <c r="G220" s="11">
        <v>15</v>
      </c>
    </row>
    <row r="221" spans="4:7" hidden="1" x14ac:dyDescent="0.3">
      <c r="D221" t="s">
        <v>1720</v>
      </c>
      <c r="E221" t="s">
        <v>1721</v>
      </c>
      <c r="F221" t="s">
        <v>7404</v>
      </c>
      <c r="G221" s="11">
        <v>15</v>
      </c>
    </row>
    <row r="222" spans="4:7" hidden="1" x14ac:dyDescent="0.3">
      <c r="D222" t="s">
        <v>1904</v>
      </c>
      <c r="E222" t="s">
        <v>1905</v>
      </c>
      <c r="F222" t="s">
        <v>7404</v>
      </c>
      <c r="G222" s="11">
        <v>15</v>
      </c>
    </row>
    <row r="223" spans="4:7" hidden="1" x14ac:dyDescent="0.3">
      <c r="D223" t="s">
        <v>2283</v>
      </c>
      <c r="E223" t="s">
        <v>2284</v>
      </c>
      <c r="F223" t="s">
        <v>7404</v>
      </c>
      <c r="G223" s="11">
        <v>15</v>
      </c>
    </row>
    <row r="224" spans="4:7" hidden="1" x14ac:dyDescent="0.3">
      <c r="D224" t="s">
        <v>2509</v>
      </c>
      <c r="E224" t="s">
        <v>2510</v>
      </c>
      <c r="F224" t="s">
        <v>7404</v>
      </c>
      <c r="G224" s="11">
        <v>15</v>
      </c>
    </row>
    <row r="225" spans="4:7" hidden="1" x14ac:dyDescent="0.3">
      <c r="D225" t="s">
        <v>2681</v>
      </c>
      <c r="E225" t="s">
        <v>2682</v>
      </c>
      <c r="F225" t="s">
        <v>7404</v>
      </c>
      <c r="G225" s="11">
        <v>15</v>
      </c>
    </row>
    <row r="226" spans="4:7" hidden="1" x14ac:dyDescent="0.3">
      <c r="D226" t="s">
        <v>3079</v>
      </c>
      <c r="E226" t="s">
        <v>3080</v>
      </c>
      <c r="F226" t="s">
        <v>7404</v>
      </c>
      <c r="G226" s="11">
        <v>15</v>
      </c>
    </row>
    <row r="227" spans="4:7" hidden="1" x14ac:dyDescent="0.3">
      <c r="D227" t="s">
        <v>3326</v>
      </c>
      <c r="E227" t="s">
        <v>3327</v>
      </c>
      <c r="F227" t="s">
        <v>7404</v>
      </c>
      <c r="G227" s="11">
        <v>15</v>
      </c>
    </row>
    <row r="228" spans="4:7" hidden="1" x14ac:dyDescent="0.3">
      <c r="D228" t="s">
        <v>3344</v>
      </c>
      <c r="E228" t="s">
        <v>3345</v>
      </c>
      <c r="F228" t="s">
        <v>7404</v>
      </c>
      <c r="G228" s="11">
        <v>15</v>
      </c>
    </row>
    <row r="229" spans="4:7" hidden="1" x14ac:dyDescent="0.3">
      <c r="D229" t="s">
        <v>3710</v>
      </c>
      <c r="E229" t="s">
        <v>3711</v>
      </c>
      <c r="F229" t="s">
        <v>7404</v>
      </c>
      <c r="G229" s="11">
        <v>15</v>
      </c>
    </row>
    <row r="230" spans="4:7" hidden="1" x14ac:dyDescent="0.3">
      <c r="D230" t="s">
        <v>4700</v>
      </c>
      <c r="E230" t="s">
        <v>4701</v>
      </c>
      <c r="F230" t="s">
        <v>7404</v>
      </c>
      <c r="G230" s="11">
        <v>15</v>
      </c>
    </row>
    <row r="231" spans="4:7" hidden="1" x14ac:dyDescent="0.3">
      <c r="D231" t="s">
        <v>5020</v>
      </c>
      <c r="E231" t="s">
        <v>5021</v>
      </c>
      <c r="F231" t="s">
        <v>7404</v>
      </c>
      <c r="G231" s="11">
        <v>15</v>
      </c>
    </row>
    <row r="232" spans="4:7" hidden="1" x14ac:dyDescent="0.3">
      <c r="D232" t="s">
        <v>5602</v>
      </c>
      <c r="E232" t="s">
        <v>5603</v>
      </c>
      <c r="F232" t="s">
        <v>7404</v>
      </c>
      <c r="G232" s="11">
        <v>15</v>
      </c>
    </row>
    <row r="233" spans="4:7" hidden="1" x14ac:dyDescent="0.3">
      <c r="D233" t="s">
        <v>5822</v>
      </c>
      <c r="E233" t="s">
        <v>5823</v>
      </c>
      <c r="F233" t="s">
        <v>7404</v>
      </c>
      <c r="G233" s="11">
        <v>15</v>
      </c>
    </row>
    <row r="234" spans="4:7" hidden="1" x14ac:dyDescent="0.3">
      <c r="D234" t="s">
        <v>5837</v>
      </c>
      <c r="E234" t="s">
        <v>5838</v>
      </c>
      <c r="F234" t="s">
        <v>7404</v>
      </c>
      <c r="G234" s="11">
        <v>15</v>
      </c>
    </row>
    <row r="235" spans="4:7" hidden="1" x14ac:dyDescent="0.3">
      <c r="D235" t="s">
        <v>6471</v>
      </c>
      <c r="E235" t="s">
        <v>6472</v>
      </c>
      <c r="F235" t="s">
        <v>7404</v>
      </c>
      <c r="G235" s="11">
        <v>15</v>
      </c>
    </row>
    <row r="236" spans="4:7" hidden="1" x14ac:dyDescent="0.3">
      <c r="D236" t="s">
        <v>6577</v>
      </c>
      <c r="E236" t="s">
        <v>6578</v>
      </c>
      <c r="F236" t="s">
        <v>7404</v>
      </c>
      <c r="G236" s="11">
        <v>15</v>
      </c>
    </row>
    <row r="237" spans="4:7" hidden="1" x14ac:dyDescent="0.3">
      <c r="D237" t="s">
        <v>6934</v>
      </c>
      <c r="E237" t="s">
        <v>6935</v>
      </c>
      <c r="F237" t="s">
        <v>7404</v>
      </c>
      <c r="G237" s="11">
        <v>17</v>
      </c>
    </row>
    <row r="238" spans="4:7" hidden="1" x14ac:dyDescent="0.3">
      <c r="D238" t="s">
        <v>909</v>
      </c>
      <c r="E238" t="s">
        <v>910</v>
      </c>
      <c r="F238" t="s">
        <v>7406</v>
      </c>
      <c r="G238" s="11">
        <v>15</v>
      </c>
    </row>
    <row r="239" spans="4:7" hidden="1" x14ac:dyDescent="0.3">
      <c r="D239" t="s">
        <v>2055</v>
      </c>
      <c r="E239" t="s">
        <v>2056</v>
      </c>
      <c r="F239" t="s">
        <v>7406</v>
      </c>
      <c r="G239" s="11">
        <v>15</v>
      </c>
    </row>
    <row r="240" spans="4:7" hidden="1" x14ac:dyDescent="0.3">
      <c r="D240" t="s">
        <v>5348</v>
      </c>
      <c r="E240" t="s">
        <v>5349</v>
      </c>
      <c r="F240" t="s">
        <v>7406</v>
      </c>
      <c r="G240" s="11">
        <v>15</v>
      </c>
    </row>
    <row r="241" spans="4:7" hidden="1" x14ac:dyDescent="0.3">
      <c r="D241" t="s">
        <v>1608</v>
      </c>
      <c r="E241" t="s">
        <v>1609</v>
      </c>
      <c r="F241" t="s">
        <v>7407</v>
      </c>
      <c r="G241" s="11">
        <v>15</v>
      </c>
    </row>
    <row r="242" spans="4:7" hidden="1" x14ac:dyDescent="0.3">
      <c r="D242" t="s">
        <v>480</v>
      </c>
      <c r="E242" t="s">
        <v>481</v>
      </c>
      <c r="F242" t="s">
        <v>7408</v>
      </c>
      <c r="G242" s="11">
        <v>15</v>
      </c>
    </row>
    <row r="243" spans="4:7" hidden="1" x14ac:dyDescent="0.3">
      <c r="D243" t="s">
        <v>696</v>
      </c>
      <c r="E243" t="s">
        <v>697</v>
      </c>
      <c r="F243" t="s">
        <v>7409</v>
      </c>
      <c r="G243" s="11">
        <v>15</v>
      </c>
    </row>
    <row r="244" spans="4:7" hidden="1" x14ac:dyDescent="0.3">
      <c r="D244" t="s">
        <v>2884</v>
      </c>
      <c r="E244" t="s">
        <v>2885</v>
      </c>
      <c r="F244" t="s">
        <v>7409</v>
      </c>
      <c r="G244" s="11">
        <v>15</v>
      </c>
    </row>
    <row r="245" spans="4:7" hidden="1" x14ac:dyDescent="0.3">
      <c r="D245" t="s">
        <v>367</v>
      </c>
      <c r="E245" t="s">
        <v>368</v>
      </c>
      <c r="F245" t="s">
        <v>7410</v>
      </c>
      <c r="G245" s="11">
        <v>15</v>
      </c>
    </row>
    <row r="246" spans="4:7" hidden="1" x14ac:dyDescent="0.3">
      <c r="D246" t="s">
        <v>2603</v>
      </c>
      <c r="E246" t="s">
        <v>2604</v>
      </c>
      <c r="F246" t="s">
        <v>7410</v>
      </c>
      <c r="G246" s="11">
        <v>15</v>
      </c>
    </row>
    <row r="247" spans="4:7" hidden="1" x14ac:dyDescent="0.3">
      <c r="D247" t="s">
        <v>5487</v>
      </c>
      <c r="E247" t="s">
        <v>5488</v>
      </c>
      <c r="F247" t="s">
        <v>7410</v>
      </c>
      <c r="G247" s="11">
        <v>15</v>
      </c>
    </row>
    <row r="248" spans="4:7" hidden="1" x14ac:dyDescent="0.3">
      <c r="D248" t="s">
        <v>5678</v>
      </c>
      <c r="E248" t="s">
        <v>5679</v>
      </c>
      <c r="F248" t="s">
        <v>7410</v>
      </c>
      <c r="G248" s="11">
        <v>15</v>
      </c>
    </row>
    <row r="249" spans="4:7" hidden="1" x14ac:dyDescent="0.3">
      <c r="D249" t="s">
        <v>6090</v>
      </c>
      <c r="E249" t="s">
        <v>6091</v>
      </c>
      <c r="F249" t="s">
        <v>7410</v>
      </c>
      <c r="G249" s="11">
        <v>15</v>
      </c>
    </row>
    <row r="250" spans="4:7" hidden="1" x14ac:dyDescent="0.3">
      <c r="D250" t="s">
        <v>2600</v>
      </c>
      <c r="E250" t="s">
        <v>2601</v>
      </c>
      <c r="F250" t="s">
        <v>7411</v>
      </c>
      <c r="G250" s="11">
        <v>15</v>
      </c>
    </row>
    <row r="251" spans="4:7" hidden="1" x14ac:dyDescent="0.3">
      <c r="D251" t="s">
        <v>5274</v>
      </c>
      <c r="E251" t="s">
        <v>5275</v>
      </c>
      <c r="F251" t="s">
        <v>7411</v>
      </c>
      <c r="G251" s="11">
        <v>15</v>
      </c>
    </row>
    <row r="252" spans="4:7" hidden="1" x14ac:dyDescent="0.3">
      <c r="D252" t="s">
        <v>5483</v>
      </c>
      <c r="E252" t="s">
        <v>5484</v>
      </c>
      <c r="F252" t="s">
        <v>7411</v>
      </c>
      <c r="G252" s="11">
        <v>15</v>
      </c>
    </row>
    <row r="253" spans="4:7" hidden="1" x14ac:dyDescent="0.3">
      <c r="D253" t="s">
        <v>3357</v>
      </c>
      <c r="E253" t="s">
        <v>3358</v>
      </c>
      <c r="F253" t="s">
        <v>7412</v>
      </c>
      <c r="G253" s="11">
        <v>15</v>
      </c>
    </row>
    <row r="254" spans="4:7" hidden="1" x14ac:dyDescent="0.3">
      <c r="D254" t="s">
        <v>3116</v>
      </c>
      <c r="E254" t="s">
        <v>3117</v>
      </c>
      <c r="F254" t="s">
        <v>7412</v>
      </c>
      <c r="G254" s="11">
        <v>15</v>
      </c>
    </row>
    <row r="255" spans="4:7" hidden="1" x14ac:dyDescent="0.3">
      <c r="D255" t="s">
        <v>5540</v>
      </c>
      <c r="E255" t="s">
        <v>5541</v>
      </c>
      <c r="F255" t="s">
        <v>7412</v>
      </c>
      <c r="G255" s="11">
        <v>15</v>
      </c>
    </row>
    <row r="256" spans="4:7" hidden="1" x14ac:dyDescent="0.3">
      <c r="D256" t="s">
        <v>6564</v>
      </c>
      <c r="E256" t="s">
        <v>6565</v>
      </c>
      <c r="F256" t="s">
        <v>7412</v>
      </c>
      <c r="G256" s="11">
        <v>15</v>
      </c>
    </row>
    <row r="257" spans="4:7" hidden="1" x14ac:dyDescent="0.3">
      <c r="D257" t="s">
        <v>3036</v>
      </c>
      <c r="E257" t="s">
        <v>3037</v>
      </c>
      <c r="F257" t="s">
        <v>7413</v>
      </c>
      <c r="G257" s="11">
        <v>15</v>
      </c>
    </row>
    <row r="258" spans="4:7" hidden="1" x14ac:dyDescent="0.3">
      <c r="D258" t="s">
        <v>6948</v>
      </c>
      <c r="E258" t="s">
        <v>6949</v>
      </c>
      <c r="F258" t="s">
        <v>7413</v>
      </c>
      <c r="G258" s="11">
        <v>15</v>
      </c>
    </row>
    <row r="259" spans="4:7" hidden="1" x14ac:dyDescent="0.3">
      <c r="D259" t="s">
        <v>3330</v>
      </c>
      <c r="E259" t="s">
        <v>3331</v>
      </c>
      <c r="F259" t="s">
        <v>7414</v>
      </c>
      <c r="G259" s="11">
        <v>15</v>
      </c>
    </row>
    <row r="260" spans="4:7" hidden="1" x14ac:dyDescent="0.3">
      <c r="D260" t="s">
        <v>4126</v>
      </c>
      <c r="E260" t="s">
        <v>4127</v>
      </c>
      <c r="F260" t="s">
        <v>7415</v>
      </c>
      <c r="G260" s="11">
        <v>15</v>
      </c>
    </row>
    <row r="261" spans="4:7" hidden="1" x14ac:dyDescent="0.3">
      <c r="D261" t="s">
        <v>6442</v>
      </c>
      <c r="E261" t="s">
        <v>6443</v>
      </c>
      <c r="F261" t="s">
        <v>7415</v>
      </c>
      <c r="G261" s="11">
        <v>15</v>
      </c>
    </row>
    <row r="262" spans="4:7" hidden="1" x14ac:dyDescent="0.3">
      <c r="D262" t="s">
        <v>1162</v>
      </c>
      <c r="E262" t="s">
        <v>1163</v>
      </c>
      <c r="F262" t="s">
        <v>7416</v>
      </c>
      <c r="G262" s="11">
        <v>13</v>
      </c>
    </row>
    <row r="263" spans="4:7" hidden="1" x14ac:dyDescent="0.3">
      <c r="D263" t="s">
        <v>2716</v>
      </c>
      <c r="E263" t="s">
        <v>2717</v>
      </c>
      <c r="F263" t="s">
        <v>7416</v>
      </c>
      <c r="G263" s="11">
        <v>13</v>
      </c>
    </row>
    <row r="264" spans="4:7" hidden="1" x14ac:dyDescent="0.3">
      <c r="D264" t="s">
        <v>3502</v>
      </c>
      <c r="E264" t="s">
        <v>3503</v>
      </c>
      <c r="F264" t="s">
        <v>7416</v>
      </c>
      <c r="G264" s="11">
        <v>13</v>
      </c>
    </row>
    <row r="265" spans="4:7" hidden="1" x14ac:dyDescent="0.3">
      <c r="D265" t="s">
        <v>3800</v>
      </c>
      <c r="E265" t="s">
        <v>3801</v>
      </c>
      <c r="F265" t="s">
        <v>7416</v>
      </c>
      <c r="G265" s="11">
        <v>13</v>
      </c>
    </row>
    <row r="266" spans="4:7" hidden="1" x14ac:dyDescent="0.3">
      <c r="D266" t="s">
        <v>4367</v>
      </c>
      <c r="E266" t="s">
        <v>4368</v>
      </c>
      <c r="F266" t="s">
        <v>7416</v>
      </c>
      <c r="G266" s="11">
        <v>13</v>
      </c>
    </row>
    <row r="267" spans="4:7" hidden="1" x14ac:dyDescent="0.3">
      <c r="D267" t="s">
        <v>2225</v>
      </c>
      <c r="E267" t="s">
        <v>2226</v>
      </c>
      <c r="F267" t="s">
        <v>7417</v>
      </c>
      <c r="G267" s="11">
        <v>15</v>
      </c>
    </row>
    <row r="268" spans="4:7" hidden="1" x14ac:dyDescent="0.3">
      <c r="D268" t="s">
        <v>6875</v>
      </c>
      <c r="E268" t="s">
        <v>6876</v>
      </c>
      <c r="F268" t="s">
        <v>7417</v>
      </c>
      <c r="G268" s="11">
        <v>15</v>
      </c>
    </row>
    <row r="269" spans="4:7" hidden="1" x14ac:dyDescent="0.3">
      <c r="D269" t="s">
        <v>777</v>
      </c>
      <c r="E269" t="s">
        <v>778</v>
      </c>
      <c r="F269" t="s">
        <v>7418</v>
      </c>
      <c r="G269" s="11">
        <v>15</v>
      </c>
    </row>
    <row r="270" spans="4:7" hidden="1" x14ac:dyDescent="0.3">
      <c r="D270" t="s">
        <v>4628</v>
      </c>
      <c r="E270" t="s">
        <v>4629</v>
      </c>
      <c r="F270" t="s">
        <v>7418</v>
      </c>
      <c r="G270" s="11">
        <v>15</v>
      </c>
    </row>
    <row r="271" spans="4:7" hidden="1" x14ac:dyDescent="0.3">
      <c r="D271" t="s">
        <v>5748</v>
      </c>
      <c r="E271" t="s">
        <v>5749</v>
      </c>
      <c r="F271" t="s">
        <v>7418</v>
      </c>
      <c r="G271" s="11">
        <v>15</v>
      </c>
    </row>
    <row r="272" spans="4:7" hidden="1" x14ac:dyDescent="0.3">
      <c r="D272" t="s">
        <v>6003</v>
      </c>
      <c r="E272" t="s">
        <v>6004</v>
      </c>
      <c r="F272" t="s">
        <v>7418</v>
      </c>
      <c r="G272" s="11">
        <v>15</v>
      </c>
    </row>
    <row r="273" spans="4:7" hidden="1" x14ac:dyDescent="0.3">
      <c r="D273" t="s">
        <v>3404</v>
      </c>
      <c r="E273" t="s">
        <v>3405</v>
      </c>
      <c r="F273" t="s">
        <v>7419</v>
      </c>
      <c r="G273" s="11">
        <v>15</v>
      </c>
    </row>
    <row r="274" spans="4:7" hidden="1" x14ac:dyDescent="0.3">
      <c r="D274" t="s">
        <v>5305</v>
      </c>
      <c r="E274" t="s">
        <v>5306</v>
      </c>
      <c r="F274" t="s">
        <v>7419</v>
      </c>
      <c r="G274" s="11">
        <v>15</v>
      </c>
    </row>
    <row r="275" spans="4:7" hidden="1" x14ac:dyDescent="0.3">
      <c r="D275" t="s">
        <v>6311</v>
      </c>
      <c r="E275" t="s">
        <v>6312</v>
      </c>
      <c r="F275" t="s">
        <v>7420</v>
      </c>
      <c r="G275" s="11">
        <v>15</v>
      </c>
    </row>
    <row r="276" spans="4:7" hidden="1" x14ac:dyDescent="0.3">
      <c r="D276" t="s">
        <v>520</v>
      </c>
      <c r="E276" t="s">
        <v>521</v>
      </c>
      <c r="F276" t="s">
        <v>7421</v>
      </c>
      <c r="G276" s="11">
        <v>15</v>
      </c>
    </row>
    <row r="277" spans="4:7" hidden="1" x14ac:dyDescent="0.3">
      <c r="D277" t="s">
        <v>721</v>
      </c>
      <c r="E277" t="s">
        <v>722</v>
      </c>
      <c r="F277" t="s">
        <v>7421</v>
      </c>
      <c r="G277" s="11">
        <v>15</v>
      </c>
    </row>
    <row r="278" spans="4:7" hidden="1" x14ac:dyDescent="0.3">
      <c r="D278" t="s">
        <v>2221</v>
      </c>
      <c r="E278" t="s">
        <v>2222</v>
      </c>
      <c r="F278" t="s">
        <v>7421</v>
      </c>
      <c r="G278" s="11">
        <v>15</v>
      </c>
    </row>
    <row r="279" spans="4:7" hidden="1" x14ac:dyDescent="0.3">
      <c r="D279" t="s">
        <v>2325</v>
      </c>
      <c r="E279" t="s">
        <v>2326</v>
      </c>
      <c r="F279" t="s">
        <v>7421</v>
      </c>
      <c r="G279" s="11">
        <v>15</v>
      </c>
    </row>
    <row r="280" spans="4:7" hidden="1" x14ac:dyDescent="0.3">
      <c r="D280" t="s">
        <v>2737</v>
      </c>
      <c r="E280" t="s">
        <v>2738</v>
      </c>
      <c r="F280" t="s">
        <v>7421</v>
      </c>
      <c r="G280" s="11">
        <v>15</v>
      </c>
    </row>
    <row r="281" spans="4:7" hidden="1" x14ac:dyDescent="0.3">
      <c r="D281" t="s">
        <v>3205</v>
      </c>
      <c r="E281" t="s">
        <v>3206</v>
      </c>
      <c r="F281" t="s">
        <v>7421</v>
      </c>
      <c r="G281" s="11">
        <v>15</v>
      </c>
    </row>
    <row r="282" spans="4:7" hidden="1" x14ac:dyDescent="0.3">
      <c r="D282" t="s">
        <v>5893</v>
      </c>
      <c r="E282" t="s">
        <v>5894</v>
      </c>
      <c r="F282" t="s">
        <v>7421</v>
      </c>
      <c r="G282" s="11">
        <v>15</v>
      </c>
    </row>
    <row r="283" spans="4:7" hidden="1" x14ac:dyDescent="0.3">
      <c r="D283" t="s">
        <v>5897</v>
      </c>
      <c r="E283" t="s">
        <v>5898</v>
      </c>
      <c r="F283" t="s">
        <v>7421</v>
      </c>
      <c r="G283" s="11">
        <v>15</v>
      </c>
    </row>
    <row r="284" spans="4:7" hidden="1" x14ac:dyDescent="0.3">
      <c r="D284" t="s">
        <v>6432</v>
      </c>
      <c r="E284" t="s">
        <v>6433</v>
      </c>
      <c r="F284" t="s">
        <v>7421</v>
      </c>
      <c r="G284" s="11">
        <v>15</v>
      </c>
    </row>
    <row r="285" spans="4:7" hidden="1" x14ac:dyDescent="0.3">
      <c r="D285" t="s">
        <v>6676</v>
      </c>
      <c r="E285" t="s">
        <v>6677</v>
      </c>
      <c r="F285" t="s">
        <v>7421</v>
      </c>
      <c r="G285" s="11">
        <v>15</v>
      </c>
    </row>
    <row r="286" spans="4:7" hidden="1" x14ac:dyDescent="0.3">
      <c r="D286" t="s">
        <v>773</v>
      </c>
      <c r="E286" t="s">
        <v>774</v>
      </c>
      <c r="F286" t="s">
        <v>7422</v>
      </c>
      <c r="G286" s="11">
        <v>15</v>
      </c>
    </row>
    <row r="287" spans="4:7" hidden="1" x14ac:dyDescent="0.3">
      <c r="D287" t="s">
        <v>2277</v>
      </c>
      <c r="E287" t="s">
        <v>2278</v>
      </c>
      <c r="F287" t="s">
        <v>7422</v>
      </c>
      <c r="G287" s="11">
        <v>15</v>
      </c>
    </row>
    <row r="288" spans="4:7" hidden="1" x14ac:dyDescent="0.3">
      <c r="D288" t="s">
        <v>3086</v>
      </c>
      <c r="E288" t="s">
        <v>3087</v>
      </c>
      <c r="F288" t="s">
        <v>7422</v>
      </c>
      <c r="G288" s="11">
        <v>15</v>
      </c>
    </row>
    <row r="289" spans="4:7" hidden="1" x14ac:dyDescent="0.3">
      <c r="D289" t="s">
        <v>3164</v>
      </c>
      <c r="E289" t="s">
        <v>3165</v>
      </c>
      <c r="F289" t="s">
        <v>7422</v>
      </c>
      <c r="G289" s="11">
        <v>14</v>
      </c>
    </row>
    <row r="290" spans="4:7" hidden="1" x14ac:dyDescent="0.3">
      <c r="D290" t="s">
        <v>4233</v>
      </c>
      <c r="E290" t="s">
        <v>4234</v>
      </c>
      <c r="F290" t="s">
        <v>7422</v>
      </c>
      <c r="G290" s="11">
        <v>15</v>
      </c>
    </row>
    <row r="291" spans="4:7" hidden="1" x14ac:dyDescent="0.3">
      <c r="D291" t="s">
        <v>5326</v>
      </c>
      <c r="E291" t="s">
        <v>5327</v>
      </c>
      <c r="F291" t="s">
        <v>7422</v>
      </c>
      <c r="G291" s="11">
        <v>15</v>
      </c>
    </row>
    <row r="292" spans="4:7" hidden="1" x14ac:dyDescent="0.3">
      <c r="D292" t="s">
        <v>5528</v>
      </c>
      <c r="E292" t="s">
        <v>5529</v>
      </c>
      <c r="F292" t="s">
        <v>7422</v>
      </c>
      <c r="G292" s="11">
        <v>15</v>
      </c>
    </row>
    <row r="293" spans="4:7" hidden="1" x14ac:dyDescent="0.3">
      <c r="D293" t="s">
        <v>6467</v>
      </c>
      <c r="E293" t="s">
        <v>6468</v>
      </c>
      <c r="F293" t="s">
        <v>7422</v>
      </c>
      <c r="G293" s="11">
        <v>15</v>
      </c>
    </row>
    <row r="294" spans="4:7" hidden="1" x14ac:dyDescent="0.3">
      <c r="D294" t="s">
        <v>171</v>
      </c>
      <c r="E294" t="s">
        <v>172</v>
      </c>
      <c r="F294" t="s">
        <v>7423</v>
      </c>
      <c r="G294" s="11">
        <v>15</v>
      </c>
    </row>
    <row r="295" spans="4:7" hidden="1" x14ac:dyDescent="0.3">
      <c r="D295" t="s">
        <v>392</v>
      </c>
      <c r="E295" t="s">
        <v>393</v>
      </c>
      <c r="F295" t="s">
        <v>7423</v>
      </c>
      <c r="G295" s="11">
        <v>15</v>
      </c>
    </row>
    <row r="296" spans="4:7" hidden="1" x14ac:dyDescent="0.3">
      <c r="D296" t="s">
        <v>196</v>
      </c>
      <c r="E296" t="s">
        <v>197</v>
      </c>
      <c r="F296" t="s">
        <v>7423</v>
      </c>
      <c r="G296" s="11">
        <v>15</v>
      </c>
    </row>
    <row r="297" spans="4:7" hidden="1" x14ac:dyDescent="0.3">
      <c r="D297" t="s">
        <v>217</v>
      </c>
      <c r="E297" t="s">
        <v>218</v>
      </c>
      <c r="F297" t="s">
        <v>7423</v>
      </c>
      <c r="G297" s="11">
        <v>12</v>
      </c>
    </row>
    <row r="298" spans="4:7" hidden="1" x14ac:dyDescent="0.3">
      <c r="D298" t="s">
        <v>329</v>
      </c>
      <c r="E298" t="s">
        <v>330</v>
      </c>
      <c r="F298" t="s">
        <v>7423</v>
      </c>
      <c r="G298" s="11">
        <v>15</v>
      </c>
    </row>
    <row r="299" spans="4:7" hidden="1" x14ac:dyDescent="0.3">
      <c r="D299" t="s">
        <v>603</v>
      </c>
      <c r="E299" t="s">
        <v>604</v>
      </c>
      <c r="F299" t="s">
        <v>7423</v>
      </c>
      <c r="G299" s="11">
        <v>15</v>
      </c>
    </row>
    <row r="300" spans="4:7" hidden="1" x14ac:dyDescent="0.3">
      <c r="D300" t="s">
        <v>638</v>
      </c>
      <c r="E300" t="s">
        <v>639</v>
      </c>
      <c r="F300" t="s">
        <v>7423</v>
      </c>
      <c r="G300" s="11">
        <v>15</v>
      </c>
    </row>
    <row r="301" spans="4:7" hidden="1" x14ac:dyDescent="0.3">
      <c r="D301" t="s">
        <v>646</v>
      </c>
      <c r="E301" t="s">
        <v>647</v>
      </c>
      <c r="F301" t="s">
        <v>7423</v>
      </c>
      <c r="G301" s="11">
        <v>15</v>
      </c>
    </row>
    <row r="302" spans="4:7" hidden="1" x14ac:dyDescent="0.3">
      <c r="D302" t="s">
        <v>760</v>
      </c>
      <c r="E302" t="s">
        <v>761</v>
      </c>
      <c r="F302" t="s">
        <v>7423</v>
      </c>
      <c r="G302" s="11">
        <v>15</v>
      </c>
    </row>
    <row r="303" spans="4:7" hidden="1" x14ac:dyDescent="0.3">
      <c r="D303" t="s">
        <v>804</v>
      </c>
      <c r="E303" t="s">
        <v>805</v>
      </c>
      <c r="F303" t="s">
        <v>7423</v>
      </c>
      <c r="G303" s="11">
        <v>15</v>
      </c>
    </row>
    <row r="304" spans="4:7" hidden="1" x14ac:dyDescent="0.3">
      <c r="D304" t="s">
        <v>1291</v>
      </c>
      <c r="E304" t="s">
        <v>1292</v>
      </c>
      <c r="F304" t="s">
        <v>7423</v>
      </c>
      <c r="G304" s="11">
        <v>15</v>
      </c>
    </row>
    <row r="305" spans="4:7" hidden="1" x14ac:dyDescent="0.3">
      <c r="D305" t="s">
        <v>1407</v>
      </c>
      <c r="E305" t="s">
        <v>1408</v>
      </c>
      <c r="F305" t="s">
        <v>7423</v>
      </c>
      <c r="G305" s="11">
        <v>15</v>
      </c>
    </row>
    <row r="306" spans="4:7" hidden="1" x14ac:dyDescent="0.3">
      <c r="D306" t="s">
        <v>1417</v>
      </c>
      <c r="E306" t="s">
        <v>1418</v>
      </c>
      <c r="F306" t="s">
        <v>7423</v>
      </c>
      <c r="G306" s="11">
        <v>15</v>
      </c>
    </row>
    <row r="307" spans="4:7" hidden="1" x14ac:dyDescent="0.3">
      <c r="D307" t="s">
        <v>1523</v>
      </c>
      <c r="E307" t="s">
        <v>1524</v>
      </c>
      <c r="F307" t="s">
        <v>7423</v>
      </c>
      <c r="G307" s="11">
        <v>15</v>
      </c>
    </row>
    <row r="308" spans="4:7" hidden="1" x14ac:dyDescent="0.3">
      <c r="D308" t="s">
        <v>1568</v>
      </c>
      <c r="E308" t="s">
        <v>1569</v>
      </c>
      <c r="F308" t="s">
        <v>7423</v>
      </c>
      <c r="G308" s="11">
        <v>15</v>
      </c>
    </row>
    <row r="309" spans="4:7" hidden="1" x14ac:dyDescent="0.3">
      <c r="D309" t="s">
        <v>1612</v>
      </c>
      <c r="E309" t="s">
        <v>1613</v>
      </c>
      <c r="F309" t="s">
        <v>7423</v>
      </c>
      <c r="G309" s="11">
        <v>15</v>
      </c>
    </row>
    <row r="310" spans="4:7" hidden="1" x14ac:dyDescent="0.3">
      <c r="D310" t="s">
        <v>1678</v>
      </c>
      <c r="E310" t="s">
        <v>1679</v>
      </c>
      <c r="F310" t="s">
        <v>7423</v>
      </c>
      <c r="G310" s="11">
        <v>15</v>
      </c>
    </row>
    <row r="311" spans="4:7" hidden="1" x14ac:dyDescent="0.3">
      <c r="D311" t="s">
        <v>1973</v>
      </c>
      <c r="E311" t="s">
        <v>1974</v>
      </c>
      <c r="F311" t="s">
        <v>7423</v>
      </c>
      <c r="G311" s="11">
        <v>15</v>
      </c>
    </row>
    <row r="312" spans="4:7" hidden="1" x14ac:dyDescent="0.3">
      <c r="D312" t="s">
        <v>2450</v>
      </c>
      <c r="E312" t="s">
        <v>2451</v>
      </c>
      <c r="F312" t="s">
        <v>7423</v>
      </c>
      <c r="G312" s="11">
        <v>15</v>
      </c>
    </row>
    <row r="313" spans="4:7" hidden="1" x14ac:dyDescent="0.3">
      <c r="D313" t="s">
        <v>2475</v>
      </c>
      <c r="E313" t="s">
        <v>2476</v>
      </c>
      <c r="F313" t="s">
        <v>7423</v>
      </c>
      <c r="G313" s="11">
        <v>15</v>
      </c>
    </row>
    <row r="314" spans="4:7" hidden="1" x14ac:dyDescent="0.3">
      <c r="D314" t="s">
        <v>2835</v>
      </c>
      <c r="E314" t="s">
        <v>2836</v>
      </c>
      <c r="F314" t="s">
        <v>7423</v>
      </c>
      <c r="G314" s="11">
        <v>15</v>
      </c>
    </row>
    <row r="315" spans="4:7" hidden="1" x14ac:dyDescent="0.3">
      <c r="D315" t="s">
        <v>3022</v>
      </c>
      <c r="E315" t="s">
        <v>3023</v>
      </c>
      <c r="F315" t="s">
        <v>7423</v>
      </c>
      <c r="G315" s="11">
        <v>15</v>
      </c>
    </row>
    <row r="316" spans="4:7" hidden="1" x14ac:dyDescent="0.3">
      <c r="D316" t="s">
        <v>3141</v>
      </c>
      <c r="E316" t="s">
        <v>3142</v>
      </c>
      <c r="F316" t="s">
        <v>7423</v>
      </c>
      <c r="G316" s="11">
        <v>15</v>
      </c>
    </row>
    <row r="317" spans="4:7" hidden="1" x14ac:dyDescent="0.3">
      <c r="D317" t="s">
        <v>3151</v>
      </c>
      <c r="E317" t="s">
        <v>3152</v>
      </c>
      <c r="F317" t="s">
        <v>7423</v>
      </c>
      <c r="G317" s="11">
        <v>15</v>
      </c>
    </row>
    <row r="318" spans="4:7" hidden="1" x14ac:dyDescent="0.3">
      <c r="D318" t="s">
        <v>3481</v>
      </c>
      <c r="E318" t="s">
        <v>3482</v>
      </c>
      <c r="F318" t="s">
        <v>7423</v>
      </c>
      <c r="G318" s="11">
        <v>15</v>
      </c>
    </row>
    <row r="319" spans="4:7" hidden="1" x14ac:dyDescent="0.3">
      <c r="D319" t="s">
        <v>3922</v>
      </c>
      <c r="E319" t="s">
        <v>3923</v>
      </c>
      <c r="F319" t="s">
        <v>7423</v>
      </c>
      <c r="G319" s="11">
        <v>15</v>
      </c>
    </row>
    <row r="320" spans="4:7" hidden="1" x14ac:dyDescent="0.3">
      <c r="D320" t="s">
        <v>4259</v>
      </c>
      <c r="E320" t="s">
        <v>4260</v>
      </c>
      <c r="F320" t="s">
        <v>7423</v>
      </c>
      <c r="G320" s="11">
        <v>15</v>
      </c>
    </row>
    <row r="321" spans="4:7" hidden="1" x14ac:dyDescent="0.3">
      <c r="D321" t="s">
        <v>4425</v>
      </c>
      <c r="E321" t="s">
        <v>4426</v>
      </c>
      <c r="F321" t="s">
        <v>7423</v>
      </c>
      <c r="G321" s="11">
        <v>15</v>
      </c>
    </row>
    <row r="322" spans="4:7" hidden="1" x14ac:dyDescent="0.3">
      <c r="D322" t="s">
        <v>4505</v>
      </c>
      <c r="E322" t="s">
        <v>4506</v>
      </c>
      <c r="F322" t="s">
        <v>7423</v>
      </c>
      <c r="G322" s="11">
        <v>15</v>
      </c>
    </row>
    <row r="323" spans="4:7" hidden="1" x14ac:dyDescent="0.3">
      <c r="D323" t="s">
        <v>4509</v>
      </c>
      <c r="E323" t="s">
        <v>4510</v>
      </c>
      <c r="F323" t="s">
        <v>7423</v>
      </c>
      <c r="G323" s="11">
        <v>15</v>
      </c>
    </row>
    <row r="324" spans="4:7" hidden="1" x14ac:dyDescent="0.3">
      <c r="D324" t="s">
        <v>5152</v>
      </c>
      <c r="E324" t="s">
        <v>5153</v>
      </c>
      <c r="F324" t="s">
        <v>7423</v>
      </c>
      <c r="G324" s="11">
        <v>13</v>
      </c>
    </row>
    <row r="325" spans="4:7" hidden="1" x14ac:dyDescent="0.3">
      <c r="D325" t="s">
        <v>5427</v>
      </c>
      <c r="E325" t="s">
        <v>5428</v>
      </c>
      <c r="F325" t="s">
        <v>7423</v>
      </c>
      <c r="G325" s="11">
        <v>15</v>
      </c>
    </row>
    <row r="326" spans="4:7" hidden="1" x14ac:dyDescent="0.3">
      <c r="D326" t="s">
        <v>5579</v>
      </c>
      <c r="E326" t="s">
        <v>5580</v>
      </c>
      <c r="F326" t="s">
        <v>7423</v>
      </c>
      <c r="G326" s="11">
        <v>15</v>
      </c>
    </row>
    <row r="327" spans="4:7" hidden="1" x14ac:dyDescent="0.3">
      <c r="D327" t="s">
        <v>5617</v>
      </c>
      <c r="E327" t="s">
        <v>5618</v>
      </c>
      <c r="F327" t="s">
        <v>7423</v>
      </c>
      <c r="G327" s="11">
        <v>15</v>
      </c>
    </row>
    <row r="328" spans="4:7" hidden="1" x14ac:dyDescent="0.3">
      <c r="D328" t="s">
        <v>5632</v>
      </c>
      <c r="E328" t="s">
        <v>5633</v>
      </c>
      <c r="F328" t="s">
        <v>7423</v>
      </c>
      <c r="G328" s="11">
        <v>15</v>
      </c>
    </row>
    <row r="329" spans="4:7" hidden="1" x14ac:dyDescent="0.3">
      <c r="D329" t="s">
        <v>5646</v>
      </c>
      <c r="E329" t="s">
        <v>5647</v>
      </c>
      <c r="F329" t="s">
        <v>7423</v>
      </c>
      <c r="G329" s="11">
        <v>15</v>
      </c>
    </row>
    <row r="330" spans="4:7" hidden="1" x14ac:dyDescent="0.3">
      <c r="D330" t="s">
        <v>6061</v>
      </c>
      <c r="E330" t="s">
        <v>6062</v>
      </c>
      <c r="F330" t="s">
        <v>7423</v>
      </c>
      <c r="G330" s="11">
        <v>15</v>
      </c>
    </row>
    <row r="331" spans="4:7" hidden="1" x14ac:dyDescent="0.3">
      <c r="D331" t="s">
        <v>6065</v>
      </c>
      <c r="E331" t="s">
        <v>6066</v>
      </c>
      <c r="F331" t="s">
        <v>7423</v>
      </c>
      <c r="G331" s="11">
        <v>15</v>
      </c>
    </row>
    <row r="332" spans="4:7" hidden="1" x14ac:dyDescent="0.3">
      <c r="D332" t="s">
        <v>6463</v>
      </c>
      <c r="E332" t="s">
        <v>6464</v>
      </c>
      <c r="F332" t="s">
        <v>7423</v>
      </c>
      <c r="G332" s="11">
        <v>15</v>
      </c>
    </row>
    <row r="333" spans="4:7" hidden="1" x14ac:dyDescent="0.3">
      <c r="D333" t="s">
        <v>6853</v>
      </c>
      <c r="E333" t="s">
        <v>6854</v>
      </c>
      <c r="F333" t="s">
        <v>7423</v>
      </c>
      <c r="G333" s="11">
        <v>15</v>
      </c>
    </row>
    <row r="334" spans="4:7" hidden="1" x14ac:dyDescent="0.3">
      <c r="D334" t="s">
        <v>516</v>
      </c>
      <c r="E334" t="s">
        <v>517</v>
      </c>
      <c r="F334" t="s">
        <v>7424</v>
      </c>
      <c r="G334" s="11">
        <v>16</v>
      </c>
    </row>
    <row r="335" spans="4:7" hidden="1" x14ac:dyDescent="0.3">
      <c r="D335" t="s">
        <v>819</v>
      </c>
      <c r="E335" t="s">
        <v>820</v>
      </c>
      <c r="F335" t="s">
        <v>7424</v>
      </c>
      <c r="G335" s="11">
        <v>16</v>
      </c>
    </row>
    <row r="336" spans="4:7" hidden="1" x14ac:dyDescent="0.3">
      <c r="D336" t="s">
        <v>1018</v>
      </c>
      <c r="E336" t="s">
        <v>1019</v>
      </c>
      <c r="F336" t="s">
        <v>7425</v>
      </c>
      <c r="G336" s="11">
        <v>16</v>
      </c>
    </row>
    <row r="337" spans="4:7" hidden="1" x14ac:dyDescent="0.3">
      <c r="D337" t="s">
        <v>3832</v>
      </c>
      <c r="E337" t="s">
        <v>3833</v>
      </c>
      <c r="F337" t="s">
        <v>7426</v>
      </c>
      <c r="G337" s="11">
        <v>15</v>
      </c>
    </row>
    <row r="338" spans="4:7" hidden="1" x14ac:dyDescent="0.3">
      <c r="D338" t="s">
        <v>76</v>
      </c>
      <c r="E338" t="s">
        <v>77</v>
      </c>
      <c r="F338" t="s">
        <v>7427</v>
      </c>
      <c r="G338" s="11">
        <v>15</v>
      </c>
    </row>
    <row r="339" spans="4:7" hidden="1" x14ac:dyDescent="0.3">
      <c r="D339" t="s">
        <v>4635</v>
      </c>
      <c r="E339" t="s">
        <v>4636</v>
      </c>
      <c r="F339" t="s">
        <v>7427</v>
      </c>
      <c r="G339" s="11">
        <v>15</v>
      </c>
    </row>
    <row r="340" spans="4:7" hidden="1" x14ac:dyDescent="0.3">
      <c r="D340" t="s">
        <v>6951</v>
      </c>
      <c r="E340" t="s">
        <v>6952</v>
      </c>
      <c r="F340" t="s">
        <v>7427</v>
      </c>
      <c r="G340" s="11">
        <v>15</v>
      </c>
    </row>
    <row r="341" spans="4:7" hidden="1" x14ac:dyDescent="0.3">
      <c r="D341" t="s">
        <v>4352</v>
      </c>
      <c r="E341" t="s">
        <v>4353</v>
      </c>
      <c r="F341" t="s">
        <v>7428</v>
      </c>
      <c r="G341" s="11">
        <v>13</v>
      </c>
    </row>
    <row r="342" spans="4:7" hidden="1" x14ac:dyDescent="0.3">
      <c r="D342" t="s">
        <v>1694</v>
      </c>
      <c r="E342" t="s">
        <v>1695</v>
      </c>
      <c r="F342" t="s">
        <v>7429</v>
      </c>
      <c r="G342" s="11">
        <v>16</v>
      </c>
    </row>
    <row r="343" spans="4:7" hidden="1" x14ac:dyDescent="0.3">
      <c r="D343" t="s">
        <v>2253</v>
      </c>
      <c r="E343" t="s">
        <v>2254</v>
      </c>
      <c r="F343" t="s">
        <v>7429</v>
      </c>
      <c r="G343" s="11">
        <v>16</v>
      </c>
    </row>
    <row r="344" spans="4:7" hidden="1" x14ac:dyDescent="0.3">
      <c r="D344" t="s">
        <v>2585</v>
      </c>
      <c r="E344" t="s">
        <v>2586</v>
      </c>
      <c r="F344" t="s">
        <v>7429</v>
      </c>
      <c r="G344" s="11">
        <v>16</v>
      </c>
    </row>
    <row r="345" spans="4:7" hidden="1" x14ac:dyDescent="0.3">
      <c r="D345" t="s">
        <v>2945</v>
      </c>
      <c r="E345" t="s">
        <v>2946</v>
      </c>
      <c r="F345" t="s">
        <v>7429</v>
      </c>
      <c r="G345" s="11">
        <v>16</v>
      </c>
    </row>
    <row r="346" spans="4:7" hidden="1" x14ac:dyDescent="0.3">
      <c r="D346" t="s">
        <v>4073</v>
      </c>
      <c r="E346" t="s">
        <v>4074</v>
      </c>
      <c r="F346" t="s">
        <v>7429</v>
      </c>
      <c r="G346" s="11">
        <v>15</v>
      </c>
    </row>
    <row r="347" spans="4:7" hidden="1" x14ac:dyDescent="0.3">
      <c r="D347" t="s">
        <v>4750</v>
      </c>
      <c r="E347" t="s">
        <v>4751</v>
      </c>
      <c r="F347" t="s">
        <v>7429</v>
      </c>
      <c r="G347" s="11">
        <v>15</v>
      </c>
    </row>
    <row r="348" spans="4:7" hidden="1" x14ac:dyDescent="0.3">
      <c r="D348" t="s">
        <v>5446</v>
      </c>
      <c r="E348" t="s">
        <v>5447</v>
      </c>
      <c r="F348" t="s">
        <v>7429</v>
      </c>
      <c r="G348" s="11">
        <v>16</v>
      </c>
    </row>
    <row r="349" spans="4:7" hidden="1" x14ac:dyDescent="0.3">
      <c r="D349" t="s">
        <v>5929</v>
      </c>
      <c r="E349" t="s">
        <v>5930</v>
      </c>
      <c r="F349" t="s">
        <v>7429</v>
      </c>
      <c r="G349" s="11">
        <v>16</v>
      </c>
    </row>
    <row r="350" spans="4:7" hidden="1" x14ac:dyDescent="0.3">
      <c r="D350" t="s">
        <v>6707</v>
      </c>
      <c r="E350" t="s">
        <v>6708</v>
      </c>
      <c r="F350" t="s">
        <v>7429</v>
      </c>
      <c r="G350" s="11">
        <v>15</v>
      </c>
    </row>
    <row r="351" spans="4:7" hidden="1" x14ac:dyDescent="0.3">
      <c r="D351" t="s">
        <v>1670</v>
      </c>
      <c r="E351" t="s">
        <v>1671</v>
      </c>
      <c r="F351" t="s">
        <v>7430</v>
      </c>
      <c r="G351" s="11">
        <v>15</v>
      </c>
    </row>
    <row r="352" spans="4:7" hidden="1" x14ac:dyDescent="0.3">
      <c r="D352" t="s">
        <v>6328</v>
      </c>
      <c r="E352" t="s">
        <v>6329</v>
      </c>
      <c r="F352" t="s">
        <v>7430</v>
      </c>
      <c r="G352" s="11">
        <v>15</v>
      </c>
    </row>
    <row r="353" spans="4:7" hidden="1" x14ac:dyDescent="0.3">
      <c r="D353" t="s">
        <v>1071</v>
      </c>
      <c r="E353" t="s">
        <v>1072</v>
      </c>
      <c r="F353" t="s">
        <v>7431</v>
      </c>
      <c r="G353" s="11">
        <v>15</v>
      </c>
    </row>
    <row r="354" spans="4:7" hidden="1" x14ac:dyDescent="0.3">
      <c r="D354" t="s">
        <v>1838</v>
      </c>
      <c r="E354" t="s">
        <v>1839</v>
      </c>
      <c r="F354" t="s">
        <v>7431</v>
      </c>
      <c r="G354" s="11">
        <v>15</v>
      </c>
    </row>
    <row r="355" spans="4:7" hidden="1" x14ac:dyDescent="0.3">
      <c r="D355" t="s">
        <v>1992</v>
      </c>
      <c r="E355" t="s">
        <v>1993</v>
      </c>
      <c r="F355" t="s">
        <v>7431</v>
      </c>
      <c r="G355" s="11">
        <v>15</v>
      </c>
    </row>
    <row r="356" spans="4:7" hidden="1" x14ac:dyDescent="0.3">
      <c r="D356" t="s">
        <v>2006</v>
      </c>
      <c r="E356" t="s">
        <v>2007</v>
      </c>
      <c r="F356" t="s">
        <v>7431</v>
      </c>
      <c r="G356" s="11">
        <v>15</v>
      </c>
    </row>
    <row r="357" spans="4:7" hidden="1" x14ac:dyDescent="0.3">
      <c r="D357" t="s">
        <v>2727</v>
      </c>
      <c r="E357" t="s">
        <v>2728</v>
      </c>
      <c r="F357" t="s">
        <v>7431</v>
      </c>
      <c r="G357" s="11">
        <v>15</v>
      </c>
    </row>
    <row r="358" spans="4:7" hidden="1" x14ac:dyDescent="0.3">
      <c r="D358" t="s">
        <v>4193</v>
      </c>
      <c r="E358" t="s">
        <v>4194</v>
      </c>
      <c r="F358" t="s">
        <v>7431</v>
      </c>
      <c r="G358" s="11">
        <v>15</v>
      </c>
    </row>
    <row r="359" spans="4:7" hidden="1" x14ac:dyDescent="0.3">
      <c r="D359" t="s">
        <v>4555</v>
      </c>
      <c r="E359" t="s">
        <v>4556</v>
      </c>
      <c r="F359" t="s">
        <v>7431</v>
      </c>
      <c r="G359" s="11">
        <v>15</v>
      </c>
    </row>
    <row r="360" spans="4:7" hidden="1" x14ac:dyDescent="0.3">
      <c r="D360" t="s">
        <v>5219</v>
      </c>
      <c r="E360" t="s">
        <v>5220</v>
      </c>
      <c r="F360" t="s">
        <v>7431</v>
      </c>
      <c r="G360" s="11">
        <v>15</v>
      </c>
    </row>
    <row r="361" spans="4:7" hidden="1" x14ac:dyDescent="0.3">
      <c r="D361" t="s">
        <v>5384</v>
      </c>
      <c r="E361" t="s">
        <v>5385</v>
      </c>
      <c r="F361" t="s">
        <v>7431</v>
      </c>
      <c r="G361" s="11">
        <v>15</v>
      </c>
    </row>
    <row r="362" spans="4:7" hidden="1" x14ac:dyDescent="0.3">
      <c r="D362" t="s">
        <v>2999</v>
      </c>
      <c r="E362" t="s">
        <v>3000</v>
      </c>
      <c r="F362" t="s">
        <v>7432</v>
      </c>
      <c r="G362" s="11">
        <v>15</v>
      </c>
    </row>
    <row r="363" spans="4:7" hidden="1" x14ac:dyDescent="0.3">
      <c r="D363" t="s">
        <v>4494</v>
      </c>
      <c r="E363" t="s">
        <v>4495</v>
      </c>
      <c r="F363" t="s">
        <v>7432</v>
      </c>
      <c r="G363" s="11">
        <v>15</v>
      </c>
    </row>
    <row r="364" spans="4:7" hidden="1" x14ac:dyDescent="0.3">
      <c r="D364" t="s">
        <v>5524</v>
      </c>
      <c r="E364" t="s">
        <v>5525</v>
      </c>
      <c r="F364" t="s">
        <v>7432</v>
      </c>
      <c r="G364" s="11">
        <v>17</v>
      </c>
    </row>
    <row r="365" spans="4:7" hidden="1" x14ac:dyDescent="0.3">
      <c r="D365" t="s">
        <v>6319</v>
      </c>
      <c r="E365" t="s">
        <v>6320</v>
      </c>
      <c r="F365" t="s">
        <v>7432</v>
      </c>
      <c r="G365" s="11">
        <v>15</v>
      </c>
    </row>
    <row r="366" spans="4:7" hidden="1" x14ac:dyDescent="0.3">
      <c r="D366" t="s">
        <v>6332</v>
      </c>
      <c r="E366" t="s">
        <v>6333</v>
      </c>
      <c r="F366" t="s">
        <v>7432</v>
      </c>
      <c r="G366" s="11">
        <v>15</v>
      </c>
    </row>
    <row r="367" spans="4:7" hidden="1" x14ac:dyDescent="0.3">
      <c r="D367" t="s">
        <v>4178</v>
      </c>
      <c r="E367" t="s">
        <v>4179</v>
      </c>
      <c r="F367" t="s">
        <v>7433</v>
      </c>
      <c r="G367" s="11">
        <v>15</v>
      </c>
    </row>
    <row r="368" spans="4:7" hidden="1" x14ac:dyDescent="0.3">
      <c r="D368" t="s">
        <v>5692</v>
      </c>
      <c r="E368" t="s">
        <v>5693</v>
      </c>
      <c r="F368" t="s">
        <v>7433</v>
      </c>
      <c r="G368" s="11">
        <v>15</v>
      </c>
    </row>
    <row r="369" spans="4:7" hidden="1" x14ac:dyDescent="0.3">
      <c r="D369" t="s">
        <v>6459</v>
      </c>
      <c r="E369" t="s">
        <v>6460</v>
      </c>
      <c r="F369" t="s">
        <v>7433</v>
      </c>
      <c r="G369" s="11">
        <v>15</v>
      </c>
    </row>
    <row r="370" spans="4:7" hidden="1" x14ac:dyDescent="0.3">
      <c r="D370" t="s">
        <v>1284</v>
      </c>
      <c r="E370" t="s">
        <v>1285</v>
      </c>
      <c r="F370" t="s">
        <v>7434</v>
      </c>
      <c r="G370" s="11">
        <v>15</v>
      </c>
    </row>
    <row r="371" spans="4:7" hidden="1" x14ac:dyDescent="0.3">
      <c r="D371" t="s">
        <v>2089</v>
      </c>
      <c r="E371" t="s">
        <v>2090</v>
      </c>
      <c r="F371" t="s">
        <v>7434</v>
      </c>
      <c r="G371" s="11">
        <v>15</v>
      </c>
    </row>
    <row r="372" spans="4:7" hidden="1" x14ac:dyDescent="0.3">
      <c r="D372" t="s">
        <v>5286</v>
      </c>
      <c r="E372" t="s">
        <v>5287</v>
      </c>
      <c r="F372" t="s">
        <v>7434</v>
      </c>
      <c r="G372" s="11">
        <v>15</v>
      </c>
    </row>
    <row r="373" spans="4:7" hidden="1" x14ac:dyDescent="0.3">
      <c r="D373" t="s">
        <v>5298</v>
      </c>
      <c r="E373" t="s">
        <v>5299</v>
      </c>
      <c r="F373" t="s">
        <v>7434</v>
      </c>
      <c r="G373" s="11">
        <v>15</v>
      </c>
    </row>
    <row r="374" spans="4:7" hidden="1" x14ac:dyDescent="0.3">
      <c r="D374" t="s">
        <v>1449</v>
      </c>
      <c r="E374" t="s">
        <v>1450</v>
      </c>
      <c r="F374" t="s">
        <v>7435</v>
      </c>
      <c r="G374" s="11">
        <v>15</v>
      </c>
    </row>
    <row r="375" spans="4:7" hidden="1" x14ac:dyDescent="0.3">
      <c r="D375" t="s">
        <v>3788</v>
      </c>
      <c r="E375" t="s">
        <v>3789</v>
      </c>
      <c r="F375" t="s">
        <v>7435</v>
      </c>
      <c r="G375" s="11">
        <v>15</v>
      </c>
    </row>
    <row r="376" spans="4:7" hidden="1" x14ac:dyDescent="0.3">
      <c r="D376" t="s">
        <v>4649</v>
      </c>
      <c r="E376" t="s">
        <v>4650</v>
      </c>
      <c r="F376" t="s">
        <v>7435</v>
      </c>
      <c r="G376" s="11">
        <v>15</v>
      </c>
    </row>
    <row r="377" spans="4:7" hidden="1" x14ac:dyDescent="0.3">
      <c r="D377" t="s">
        <v>4761</v>
      </c>
      <c r="E377" t="s">
        <v>4762</v>
      </c>
      <c r="F377" t="s">
        <v>7435</v>
      </c>
      <c r="G377" s="11">
        <v>15</v>
      </c>
    </row>
    <row r="378" spans="4:7" hidden="1" x14ac:dyDescent="0.3">
      <c r="D378" t="s">
        <v>248</v>
      </c>
      <c r="E378" t="s">
        <v>249</v>
      </c>
      <c r="F378" t="s">
        <v>7436</v>
      </c>
      <c r="G378" s="11">
        <v>15</v>
      </c>
    </row>
    <row r="379" spans="4:7" hidden="1" x14ac:dyDescent="0.3">
      <c r="D379" t="s">
        <v>371</v>
      </c>
      <c r="E379" t="s">
        <v>372</v>
      </c>
      <c r="F379" t="s">
        <v>7436</v>
      </c>
      <c r="G379" s="11">
        <v>15</v>
      </c>
    </row>
    <row r="380" spans="4:7" hidden="1" x14ac:dyDescent="0.3">
      <c r="D380" t="s">
        <v>890</v>
      </c>
      <c r="E380" t="s">
        <v>891</v>
      </c>
      <c r="F380" t="s">
        <v>7436</v>
      </c>
      <c r="G380" s="11">
        <v>15</v>
      </c>
    </row>
    <row r="381" spans="4:7" hidden="1" x14ac:dyDescent="0.3">
      <c r="D381" t="s">
        <v>1805</v>
      </c>
      <c r="E381" t="s">
        <v>1806</v>
      </c>
      <c r="F381" t="s">
        <v>7436</v>
      </c>
      <c r="G381" s="11">
        <v>15</v>
      </c>
    </row>
    <row r="382" spans="4:7" hidden="1" x14ac:dyDescent="0.3">
      <c r="D382" t="s">
        <v>2733</v>
      </c>
      <c r="E382" t="s">
        <v>2734</v>
      </c>
      <c r="F382" t="s">
        <v>7436</v>
      </c>
      <c r="G382" s="11">
        <v>15</v>
      </c>
    </row>
    <row r="383" spans="4:7" hidden="1" x14ac:dyDescent="0.3">
      <c r="D383" t="s">
        <v>2941</v>
      </c>
      <c r="E383" t="s">
        <v>2942</v>
      </c>
      <c r="F383" t="s">
        <v>7436</v>
      </c>
      <c r="G383" s="11">
        <v>15</v>
      </c>
    </row>
    <row r="384" spans="4:7" hidden="1" x14ac:dyDescent="0.3">
      <c r="D384" t="s">
        <v>3120</v>
      </c>
      <c r="E384" t="s">
        <v>3121</v>
      </c>
      <c r="F384" t="s">
        <v>7436</v>
      </c>
      <c r="G384" s="11">
        <v>15</v>
      </c>
    </row>
    <row r="385" spans="4:7" hidden="1" x14ac:dyDescent="0.3">
      <c r="D385" t="s">
        <v>3548</v>
      </c>
      <c r="E385" t="s">
        <v>3549</v>
      </c>
      <c r="F385" t="s">
        <v>7436</v>
      </c>
      <c r="G385" s="11">
        <v>15</v>
      </c>
    </row>
    <row r="386" spans="4:7" hidden="1" x14ac:dyDescent="0.3">
      <c r="D386" t="s">
        <v>5067</v>
      </c>
      <c r="E386" t="s">
        <v>5068</v>
      </c>
      <c r="F386" t="s">
        <v>7436</v>
      </c>
      <c r="G386" s="11">
        <v>15</v>
      </c>
    </row>
    <row r="387" spans="4:7" hidden="1" x14ac:dyDescent="0.3">
      <c r="D387" t="s">
        <v>5122</v>
      </c>
      <c r="E387" t="s">
        <v>5123</v>
      </c>
      <c r="F387" t="s">
        <v>7436</v>
      </c>
      <c r="G387" s="11">
        <v>15</v>
      </c>
    </row>
    <row r="388" spans="4:7" hidden="1" x14ac:dyDescent="0.3">
      <c r="D388" t="s">
        <v>5270</v>
      </c>
      <c r="E388" t="s">
        <v>5271</v>
      </c>
      <c r="F388" t="s">
        <v>7436</v>
      </c>
      <c r="G388" s="11">
        <v>15</v>
      </c>
    </row>
    <row r="389" spans="4:7" hidden="1" x14ac:dyDescent="0.3">
      <c r="D389" t="s">
        <v>6764</v>
      </c>
      <c r="E389" t="s">
        <v>6765</v>
      </c>
      <c r="F389" t="s">
        <v>7436</v>
      </c>
      <c r="G389" s="11">
        <v>15</v>
      </c>
    </row>
    <row r="390" spans="4:7" hidden="1" x14ac:dyDescent="0.3">
      <c r="D390" t="s">
        <v>901</v>
      </c>
      <c r="E390" t="s">
        <v>902</v>
      </c>
      <c r="F390" t="s">
        <v>7437</v>
      </c>
      <c r="G390" s="11">
        <v>15</v>
      </c>
    </row>
    <row r="391" spans="4:7" hidden="1" x14ac:dyDescent="0.3">
      <c r="D391" t="s">
        <v>3587</v>
      </c>
      <c r="E391" t="s">
        <v>3588</v>
      </c>
      <c r="F391" t="s">
        <v>7437</v>
      </c>
      <c r="G391" s="11">
        <v>15</v>
      </c>
    </row>
    <row r="392" spans="4:7" hidden="1" x14ac:dyDescent="0.3">
      <c r="D392" t="s">
        <v>1177</v>
      </c>
      <c r="E392" t="s">
        <v>1178</v>
      </c>
      <c r="F392" t="s">
        <v>7438</v>
      </c>
      <c r="G392" s="11">
        <v>15</v>
      </c>
    </row>
    <row r="393" spans="4:7" hidden="1" x14ac:dyDescent="0.3">
      <c r="D393" t="s">
        <v>1368</v>
      </c>
      <c r="E393" t="s">
        <v>1369</v>
      </c>
      <c r="F393" t="s">
        <v>7439</v>
      </c>
      <c r="G393" s="11">
        <v>15</v>
      </c>
    </row>
    <row r="394" spans="4:7" hidden="1" x14ac:dyDescent="0.3">
      <c r="D394" t="s">
        <v>1403</v>
      </c>
      <c r="E394" t="s">
        <v>1404</v>
      </c>
      <c r="F394" t="s">
        <v>7439</v>
      </c>
      <c r="G394" s="11">
        <v>15</v>
      </c>
    </row>
    <row r="395" spans="4:7" hidden="1" x14ac:dyDescent="0.3">
      <c r="D395" t="s">
        <v>1474</v>
      </c>
      <c r="E395" t="s">
        <v>1475</v>
      </c>
      <c r="F395" t="s">
        <v>7439</v>
      </c>
      <c r="G395" s="11">
        <v>15</v>
      </c>
    </row>
    <row r="396" spans="4:7" hidden="1" x14ac:dyDescent="0.3">
      <c r="D396" t="s">
        <v>1520</v>
      </c>
      <c r="E396" t="s">
        <v>1521</v>
      </c>
      <c r="F396" t="s">
        <v>7439</v>
      </c>
      <c r="G396" s="11">
        <v>15</v>
      </c>
    </row>
    <row r="397" spans="4:7" hidden="1" x14ac:dyDescent="0.3">
      <c r="D397" t="s">
        <v>1801</v>
      </c>
      <c r="E397" t="s">
        <v>1802</v>
      </c>
      <c r="F397" t="s">
        <v>7439</v>
      </c>
      <c r="G397" s="11">
        <v>15</v>
      </c>
    </row>
    <row r="398" spans="4:7" hidden="1" x14ac:dyDescent="0.3">
      <c r="D398" t="s">
        <v>3604</v>
      </c>
      <c r="E398" t="s">
        <v>3605</v>
      </c>
      <c r="F398" t="s">
        <v>7439</v>
      </c>
      <c r="G398" s="11">
        <v>15</v>
      </c>
    </row>
    <row r="399" spans="4:7" hidden="1" x14ac:dyDescent="0.3">
      <c r="D399" t="s">
        <v>3654</v>
      </c>
      <c r="E399" t="s">
        <v>3655</v>
      </c>
      <c r="F399" t="s">
        <v>7439</v>
      </c>
      <c r="G399" s="11">
        <v>15</v>
      </c>
    </row>
    <row r="400" spans="4:7" hidden="1" x14ac:dyDescent="0.3">
      <c r="D400" t="s">
        <v>4153</v>
      </c>
      <c r="E400" t="s">
        <v>4154</v>
      </c>
      <c r="F400" t="s">
        <v>7439</v>
      </c>
      <c r="G400" s="11">
        <v>16</v>
      </c>
    </row>
    <row r="401" spans="4:7" hidden="1" x14ac:dyDescent="0.3">
      <c r="D401" t="s">
        <v>4662</v>
      </c>
      <c r="E401" t="s">
        <v>4663</v>
      </c>
      <c r="F401" t="s">
        <v>7439</v>
      </c>
      <c r="G401" s="11">
        <v>16</v>
      </c>
    </row>
    <row r="402" spans="4:7" hidden="1" x14ac:dyDescent="0.3">
      <c r="D402" t="s">
        <v>4845</v>
      </c>
      <c r="E402" t="s">
        <v>4846</v>
      </c>
      <c r="F402" t="s">
        <v>7439</v>
      </c>
      <c r="G402" s="11">
        <v>15</v>
      </c>
    </row>
    <row r="403" spans="4:7" hidden="1" x14ac:dyDescent="0.3">
      <c r="D403" t="s">
        <v>4948</v>
      </c>
      <c r="E403" t="s">
        <v>4949</v>
      </c>
      <c r="F403" t="s">
        <v>7439</v>
      </c>
      <c r="G403" s="11">
        <v>15</v>
      </c>
    </row>
    <row r="404" spans="4:7" hidden="1" x14ac:dyDescent="0.3">
      <c r="D404" t="s">
        <v>6669</v>
      </c>
      <c r="E404" t="s">
        <v>6670</v>
      </c>
      <c r="F404" t="s">
        <v>7439</v>
      </c>
      <c r="G404" s="11">
        <v>15</v>
      </c>
    </row>
    <row r="405" spans="4:7" hidden="1" x14ac:dyDescent="0.3">
      <c r="D405" t="s">
        <v>4498</v>
      </c>
      <c r="E405" t="s">
        <v>4499</v>
      </c>
      <c r="F405" t="s">
        <v>7439</v>
      </c>
      <c r="G405" s="11">
        <v>15</v>
      </c>
    </row>
    <row r="406" spans="4:7" hidden="1" x14ac:dyDescent="0.3">
      <c r="D406" t="s">
        <v>6836</v>
      </c>
      <c r="E406" t="s">
        <v>6837</v>
      </c>
      <c r="F406" t="s">
        <v>7439</v>
      </c>
      <c r="G406" s="11">
        <v>15</v>
      </c>
    </row>
    <row r="407" spans="4:7" hidden="1" x14ac:dyDescent="0.3">
      <c r="D407" t="s">
        <v>882</v>
      </c>
      <c r="E407" t="s">
        <v>883</v>
      </c>
      <c r="F407" t="s">
        <v>7440</v>
      </c>
      <c r="G407" s="11">
        <v>15</v>
      </c>
    </row>
    <row r="408" spans="4:7" hidden="1" x14ac:dyDescent="0.3">
      <c r="D408" t="s">
        <v>1169</v>
      </c>
      <c r="E408" t="s">
        <v>1170</v>
      </c>
      <c r="F408" t="s">
        <v>7440</v>
      </c>
      <c r="G408" s="11">
        <v>15</v>
      </c>
    </row>
    <row r="409" spans="4:7" hidden="1" x14ac:dyDescent="0.3">
      <c r="D409" t="s">
        <v>2577</v>
      </c>
      <c r="E409" t="s">
        <v>2578</v>
      </c>
      <c r="F409" t="s">
        <v>7441</v>
      </c>
      <c r="G409" s="11">
        <v>16</v>
      </c>
    </row>
    <row r="410" spans="4:7" hidden="1" x14ac:dyDescent="0.3">
      <c r="D410" t="s">
        <v>4972</v>
      </c>
      <c r="E410" t="s">
        <v>4973</v>
      </c>
      <c r="F410" t="s">
        <v>7442</v>
      </c>
      <c r="G410" s="11">
        <v>15</v>
      </c>
    </row>
    <row r="411" spans="4:7" hidden="1" x14ac:dyDescent="0.3">
      <c r="D411" t="s">
        <v>657</v>
      </c>
      <c r="E411" t="s">
        <v>658</v>
      </c>
      <c r="F411" t="s">
        <v>7443</v>
      </c>
      <c r="G411" s="11">
        <v>15</v>
      </c>
    </row>
    <row r="412" spans="4:7" hidden="1" x14ac:dyDescent="0.3">
      <c r="D412" t="s">
        <v>1389</v>
      </c>
      <c r="E412" t="s">
        <v>1390</v>
      </c>
      <c r="F412" t="s">
        <v>7444</v>
      </c>
      <c r="G412" s="11">
        <v>17</v>
      </c>
    </row>
    <row r="413" spans="4:7" hidden="1" x14ac:dyDescent="0.3">
      <c r="D413" t="s">
        <v>6410</v>
      </c>
      <c r="E413" t="s">
        <v>6411</v>
      </c>
      <c r="F413" t="s">
        <v>7444</v>
      </c>
      <c r="G413" s="11">
        <v>15</v>
      </c>
    </row>
    <row r="414" spans="4:7" hidden="1" x14ac:dyDescent="0.3">
      <c r="D414" t="s">
        <v>6523</v>
      </c>
      <c r="E414" t="s">
        <v>6524</v>
      </c>
      <c r="F414" t="s">
        <v>7444</v>
      </c>
      <c r="G414" s="11">
        <v>17</v>
      </c>
    </row>
    <row r="415" spans="4:7" hidden="1" x14ac:dyDescent="0.3">
      <c r="D415" t="s">
        <v>6374</v>
      </c>
      <c r="E415" t="s">
        <v>6375</v>
      </c>
      <c r="F415" t="s">
        <v>7445</v>
      </c>
      <c r="G415" s="11">
        <v>16</v>
      </c>
    </row>
    <row r="416" spans="4:7" hidden="1" x14ac:dyDescent="0.3">
      <c r="D416" t="s">
        <v>6537</v>
      </c>
      <c r="E416" t="s">
        <v>6538</v>
      </c>
      <c r="F416" t="s">
        <v>7445</v>
      </c>
      <c r="G416" s="11">
        <v>15</v>
      </c>
    </row>
    <row r="417" spans="4:7" hidden="1" x14ac:dyDescent="0.3">
      <c r="D417" t="s">
        <v>3665</v>
      </c>
      <c r="E417" t="s">
        <v>3666</v>
      </c>
      <c r="F417" t="s">
        <v>7445</v>
      </c>
      <c r="G417" s="11">
        <v>15</v>
      </c>
    </row>
    <row r="418" spans="4:7" hidden="1" x14ac:dyDescent="0.3">
      <c r="D418" t="s">
        <v>4565</v>
      </c>
      <c r="E418" t="s">
        <v>4566</v>
      </c>
      <c r="F418" t="s">
        <v>7445</v>
      </c>
      <c r="G418" s="11">
        <v>15</v>
      </c>
    </row>
    <row r="419" spans="4:7" hidden="1" x14ac:dyDescent="0.3">
      <c r="D419" t="s">
        <v>3918</v>
      </c>
      <c r="E419" t="s">
        <v>3919</v>
      </c>
      <c r="F419" t="s">
        <v>7445</v>
      </c>
      <c r="G419" s="11">
        <v>15</v>
      </c>
    </row>
    <row r="420" spans="4:7" hidden="1" x14ac:dyDescent="0.3">
      <c r="D420" t="s">
        <v>3658</v>
      </c>
      <c r="E420" t="s">
        <v>3659</v>
      </c>
      <c r="F420" t="s">
        <v>7446</v>
      </c>
      <c r="G420" s="11">
        <v>15</v>
      </c>
    </row>
    <row r="421" spans="4:7" hidden="1" x14ac:dyDescent="0.3">
      <c r="D421" t="s">
        <v>1217</v>
      </c>
      <c r="E421" t="s">
        <v>1218</v>
      </c>
      <c r="F421" t="s">
        <v>7446</v>
      </c>
      <c r="G421" s="11">
        <v>15</v>
      </c>
    </row>
    <row r="422" spans="4:7" hidden="1" x14ac:dyDescent="0.3">
      <c r="D422" t="s">
        <v>182</v>
      </c>
      <c r="E422" t="s">
        <v>183</v>
      </c>
      <c r="F422" t="s">
        <v>7447</v>
      </c>
      <c r="G422" s="11">
        <v>15</v>
      </c>
    </row>
    <row r="423" spans="4:7" hidden="1" x14ac:dyDescent="0.3"/>
    <row r="424" spans="4:7" hidden="1" x14ac:dyDescent="0.3"/>
    <row r="425" spans="4:7" hidden="1" x14ac:dyDescent="0.3"/>
    <row r="426" spans="4:7" hidden="1" x14ac:dyDescent="0.3"/>
    <row r="427" spans="4:7" hidden="1" x14ac:dyDescent="0.3"/>
    <row r="428" spans="4:7" hidden="1" x14ac:dyDescent="0.3"/>
    <row r="429" spans="4:7" hidden="1" x14ac:dyDescent="0.3"/>
    <row r="430" spans="4:7" hidden="1" x14ac:dyDescent="0.3"/>
    <row r="431" spans="4:7" hidden="1" x14ac:dyDescent="0.3"/>
    <row r="432" spans="4:7" hidden="1" x14ac:dyDescent="0.3"/>
    <row r="433" hidden="1" x14ac:dyDescent="0.3"/>
    <row r="434" hidden="1" x14ac:dyDescent="0.3"/>
    <row r="435" hidden="1" x14ac:dyDescent="0.3"/>
    <row r="436" hidden="1" x14ac:dyDescent="0.3"/>
    <row r="437" hidden="1" x14ac:dyDescent="0.3"/>
    <row r="438" hidden="1" x14ac:dyDescent="0.3"/>
    <row r="439" hidden="1" x14ac:dyDescent="0.3"/>
    <row r="440" hidden="1" x14ac:dyDescent="0.3"/>
    <row r="441" hidden="1" x14ac:dyDescent="0.3"/>
    <row r="442" hidden="1" x14ac:dyDescent="0.3"/>
    <row r="443" hidden="1" x14ac:dyDescent="0.3"/>
    <row r="444" hidden="1" x14ac:dyDescent="0.3"/>
    <row r="445" hidden="1" x14ac:dyDescent="0.3"/>
    <row r="446" hidden="1" x14ac:dyDescent="0.3"/>
    <row r="447" hidden="1" x14ac:dyDescent="0.3"/>
    <row r="448" hidden="1" x14ac:dyDescent="0.3"/>
    <row r="449" hidden="1" x14ac:dyDescent="0.3"/>
    <row r="450" hidden="1" x14ac:dyDescent="0.3"/>
    <row r="451" hidden="1" x14ac:dyDescent="0.3"/>
    <row r="452" hidden="1" x14ac:dyDescent="0.3"/>
    <row r="453" hidden="1" x14ac:dyDescent="0.3"/>
    <row r="454" hidden="1" x14ac:dyDescent="0.3"/>
    <row r="455" hidden="1" x14ac:dyDescent="0.3"/>
    <row r="456" hidden="1" x14ac:dyDescent="0.3"/>
    <row r="457" hidden="1" x14ac:dyDescent="0.3"/>
    <row r="458" hidden="1" x14ac:dyDescent="0.3"/>
    <row r="459" hidden="1" x14ac:dyDescent="0.3"/>
    <row r="460" hidden="1" x14ac:dyDescent="0.3"/>
    <row r="461" hidden="1" x14ac:dyDescent="0.3"/>
    <row r="462" hidden="1" x14ac:dyDescent="0.3"/>
    <row r="463" hidden="1" x14ac:dyDescent="0.3"/>
    <row r="464" hidden="1" x14ac:dyDescent="0.3"/>
    <row r="465" hidden="1" x14ac:dyDescent="0.3"/>
    <row r="466" hidden="1" x14ac:dyDescent="0.3"/>
    <row r="467" hidden="1" x14ac:dyDescent="0.3"/>
    <row r="468" hidden="1" x14ac:dyDescent="0.3"/>
    <row r="469" hidden="1" x14ac:dyDescent="0.3"/>
    <row r="470" hidden="1" x14ac:dyDescent="0.3"/>
    <row r="471" hidden="1" x14ac:dyDescent="0.3"/>
    <row r="472" hidden="1" x14ac:dyDescent="0.3"/>
    <row r="473" hidden="1" x14ac:dyDescent="0.3"/>
    <row r="474" hidden="1" x14ac:dyDescent="0.3"/>
    <row r="475" hidden="1" x14ac:dyDescent="0.3"/>
    <row r="476" hidden="1" x14ac:dyDescent="0.3"/>
    <row r="477" hidden="1" x14ac:dyDescent="0.3"/>
    <row r="478" hidden="1" x14ac:dyDescent="0.3"/>
    <row r="479" hidden="1" x14ac:dyDescent="0.3"/>
    <row r="480" hidden="1" x14ac:dyDescent="0.3"/>
    <row r="481" hidden="1" x14ac:dyDescent="0.3"/>
    <row r="482" hidden="1" x14ac:dyDescent="0.3"/>
    <row r="483" hidden="1" x14ac:dyDescent="0.3"/>
    <row r="484" hidden="1" x14ac:dyDescent="0.3"/>
    <row r="485" hidden="1" x14ac:dyDescent="0.3"/>
    <row r="486" hidden="1" x14ac:dyDescent="0.3"/>
    <row r="487" hidden="1" x14ac:dyDescent="0.3"/>
    <row r="488" hidden="1" x14ac:dyDescent="0.3"/>
    <row r="489" hidden="1" x14ac:dyDescent="0.3"/>
    <row r="490" hidden="1" x14ac:dyDescent="0.3"/>
    <row r="491" hidden="1" x14ac:dyDescent="0.3"/>
    <row r="492" hidden="1" x14ac:dyDescent="0.3"/>
    <row r="493" hidden="1" x14ac:dyDescent="0.3"/>
    <row r="494" hidden="1" x14ac:dyDescent="0.3"/>
    <row r="495" hidden="1" x14ac:dyDescent="0.3"/>
    <row r="496" hidden="1" x14ac:dyDescent="0.3"/>
    <row r="497" hidden="1" x14ac:dyDescent="0.3"/>
    <row r="498" hidden="1" x14ac:dyDescent="0.3"/>
    <row r="499" hidden="1" x14ac:dyDescent="0.3"/>
    <row r="500" hidden="1" x14ac:dyDescent="0.3"/>
    <row r="501" hidden="1" x14ac:dyDescent="0.3"/>
    <row r="502" hidden="1" x14ac:dyDescent="0.3"/>
    <row r="503" hidden="1" x14ac:dyDescent="0.3"/>
    <row r="504" hidden="1" x14ac:dyDescent="0.3"/>
    <row r="505" hidden="1" x14ac:dyDescent="0.3"/>
    <row r="506" hidden="1" x14ac:dyDescent="0.3"/>
    <row r="507" hidden="1" x14ac:dyDescent="0.3"/>
    <row r="508" hidden="1" x14ac:dyDescent="0.3"/>
    <row r="509" hidden="1" x14ac:dyDescent="0.3"/>
    <row r="510" hidden="1" x14ac:dyDescent="0.3"/>
    <row r="511" hidden="1" x14ac:dyDescent="0.3"/>
    <row r="512" hidden="1" x14ac:dyDescent="0.3"/>
    <row r="513" hidden="1" x14ac:dyDescent="0.3"/>
    <row r="514" hidden="1" x14ac:dyDescent="0.3"/>
    <row r="515" hidden="1" x14ac:dyDescent="0.3"/>
    <row r="516" hidden="1" x14ac:dyDescent="0.3"/>
    <row r="517" hidden="1" x14ac:dyDescent="0.3"/>
    <row r="518" hidden="1" x14ac:dyDescent="0.3"/>
    <row r="519" hidden="1" x14ac:dyDescent="0.3"/>
    <row r="520" hidden="1" x14ac:dyDescent="0.3"/>
    <row r="521" hidden="1" x14ac:dyDescent="0.3"/>
    <row r="522" hidden="1" x14ac:dyDescent="0.3"/>
    <row r="523" hidden="1" x14ac:dyDescent="0.3"/>
    <row r="524" hidden="1" x14ac:dyDescent="0.3"/>
    <row r="525" hidden="1" x14ac:dyDescent="0.3"/>
    <row r="526" hidden="1" x14ac:dyDescent="0.3"/>
  </sheetData>
  <phoneticPr fontId="11" type="noConversion"/>
  <conditionalFormatting sqref="E3:E526">
    <cfRule type="duplicateValues" dxfId="286" priority="18612"/>
  </conditionalFormatting>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2239A-78C6-4937-BB88-E222CB3629BD}">
  <dimension ref="A1:AB129"/>
  <sheetViews>
    <sheetView topLeftCell="A32" zoomScaleNormal="100" zoomScaleSheetLayoutView="70" workbookViewId="0">
      <selection activeCell="E49" sqref="E49"/>
    </sheetView>
  </sheetViews>
  <sheetFormatPr defaultColWidth="11.5546875" defaultRowHeight="15" x14ac:dyDescent="0.35"/>
  <cols>
    <col min="1" max="1" width="2.6640625" style="274" customWidth="1"/>
    <col min="2" max="2" width="17.88671875" style="151" bestFit="1" customWidth="1"/>
    <col min="3" max="3" width="20.5546875" style="151" bestFit="1" customWidth="1"/>
    <col min="4" max="4" width="3.88671875" style="3" customWidth="1"/>
    <col min="5" max="5" width="14.5546875" style="3" customWidth="1"/>
    <col min="6" max="6" width="13.109375" style="3" customWidth="1"/>
    <col min="7" max="7" width="2.44140625" style="275" customWidth="1"/>
    <col min="8" max="8" width="1.5546875" style="275" bestFit="1" customWidth="1"/>
    <col min="9" max="9" width="17.5546875" style="157" bestFit="1" customWidth="1"/>
    <col min="10" max="10" width="30" style="84" bestFit="1" customWidth="1"/>
    <col min="11" max="11" width="4.6640625" style="83" customWidth="1"/>
    <col min="12" max="12" width="17.88671875" style="83" bestFit="1" customWidth="1"/>
    <col min="13" max="13" width="24.44140625" style="83" customWidth="1"/>
    <col min="14" max="14" width="2.44140625" style="83" customWidth="1"/>
    <col min="15" max="15" width="2.44140625" style="3" customWidth="1"/>
    <col min="16" max="16" width="22.33203125" style="83" bestFit="1" customWidth="1"/>
    <col min="17" max="17" width="11.88671875" style="83" customWidth="1"/>
    <col min="18" max="18" width="3" style="83" customWidth="1"/>
    <col min="19" max="19" width="13.109375" style="83" customWidth="1"/>
    <col min="20" max="20" width="20.6640625" style="83" bestFit="1" customWidth="1"/>
    <col min="21" max="22" width="2.88671875" style="3" customWidth="1"/>
    <col min="23" max="23" width="15.5546875" bestFit="1" customWidth="1"/>
    <col min="24" max="24" width="13.44140625" customWidth="1"/>
    <col min="25" max="25" width="3.109375" customWidth="1"/>
    <col min="26" max="26" width="12.6640625" customWidth="1"/>
    <col min="27" max="27" width="14.33203125" customWidth="1"/>
    <col min="28" max="28" width="4.44140625" customWidth="1"/>
    <col min="29" max="52" width="13.109375" bestFit="1" customWidth="1"/>
    <col min="54" max="54" width="5.88671875" bestFit="1" customWidth="1"/>
    <col min="55" max="55" width="12.5546875" bestFit="1" customWidth="1"/>
  </cols>
  <sheetData>
    <row r="1" spans="1:28" ht="15.75" customHeight="1" x14ac:dyDescent="0.35">
      <c r="A1" s="264"/>
      <c r="B1" s="264"/>
      <c r="C1" s="264"/>
      <c r="D1" s="264"/>
      <c r="E1" s="264"/>
      <c r="F1" s="264"/>
      <c r="G1" s="264"/>
      <c r="H1" s="264"/>
      <c r="I1" s="264"/>
      <c r="J1" s="264"/>
      <c r="K1" s="264"/>
      <c r="L1" s="264"/>
      <c r="M1" s="264"/>
      <c r="N1" s="264"/>
      <c r="O1" s="264"/>
      <c r="P1" s="8"/>
      <c r="Q1" s="8"/>
      <c r="R1" s="8"/>
      <c r="S1" s="8"/>
      <c r="T1" s="8"/>
      <c r="U1" s="8"/>
      <c r="V1" s="8"/>
      <c r="W1" s="14"/>
      <c r="X1" s="14"/>
      <c r="Y1" s="14"/>
      <c r="Z1" s="14"/>
      <c r="AA1" s="14"/>
      <c r="AB1" s="14"/>
    </row>
    <row r="2" spans="1:28" ht="43.5" customHeight="1" x14ac:dyDescent="0.3">
      <c r="A2" s="78"/>
      <c r="B2" s="259"/>
      <c r="C2" s="259"/>
      <c r="D2" s="78"/>
      <c r="E2" s="78"/>
      <c r="F2" s="78"/>
      <c r="G2" s="265"/>
      <c r="H2" s="266"/>
      <c r="I2" s="9"/>
      <c r="J2" s="152"/>
      <c r="K2" s="152"/>
      <c r="L2" s="9"/>
      <c r="M2" s="9"/>
      <c r="N2" s="9"/>
      <c r="O2" s="291"/>
      <c r="P2" s="292"/>
      <c r="Q2" s="293"/>
      <c r="R2" s="293"/>
      <c r="S2" s="292"/>
      <c r="T2" s="292"/>
      <c r="U2" s="292"/>
      <c r="V2" s="288"/>
      <c r="W2" s="289"/>
      <c r="X2" s="288"/>
      <c r="Y2" s="290"/>
      <c r="Z2" s="290"/>
      <c r="AA2" s="288"/>
      <c r="AB2" s="288"/>
    </row>
    <row r="3" spans="1:28" ht="10.5" customHeight="1" x14ac:dyDescent="0.35">
      <c r="A3" s="72"/>
      <c r="B3" s="153"/>
      <c r="C3" s="153"/>
      <c r="D3" s="72"/>
      <c r="E3" s="72"/>
      <c r="F3" s="72"/>
      <c r="G3" s="267"/>
      <c r="H3" s="276"/>
      <c r="I3" s="74"/>
      <c r="J3" s="80"/>
      <c r="K3" s="81"/>
      <c r="L3" s="81"/>
      <c r="M3" s="81"/>
      <c r="N3" s="81"/>
      <c r="O3" s="281"/>
      <c r="P3" s="81"/>
      <c r="Q3" s="81"/>
      <c r="R3" s="81"/>
      <c r="S3" s="81"/>
      <c r="T3" s="81"/>
      <c r="U3" s="250"/>
      <c r="V3" s="287"/>
      <c r="W3" s="263"/>
      <c r="X3" s="263"/>
      <c r="Y3" s="198"/>
      <c r="Z3" s="14"/>
      <c r="AA3" s="14"/>
      <c r="AB3" s="14"/>
    </row>
    <row r="4" spans="1:28" ht="16.5" customHeight="1" x14ac:dyDescent="0.35">
      <c r="A4" s="72"/>
      <c r="B4" s="236"/>
      <c r="C4" s="236"/>
      <c r="D4" s="72"/>
      <c r="E4" s="75"/>
      <c r="F4" s="75"/>
      <c r="G4" s="267"/>
      <c r="H4" s="276"/>
      <c r="I4" s="159"/>
      <c r="J4" s="261"/>
      <c r="K4" s="81"/>
      <c r="L4" s="81"/>
      <c r="M4" s="81"/>
      <c r="N4" s="81"/>
      <c r="O4" s="281"/>
      <c r="P4" s="81"/>
      <c r="Q4" s="81"/>
      <c r="R4" s="81"/>
      <c r="S4" s="81"/>
      <c r="T4" s="81"/>
      <c r="U4" s="8"/>
      <c r="V4" s="281"/>
      <c r="W4" s="14"/>
      <c r="X4" s="14"/>
      <c r="Y4" s="14"/>
      <c r="Z4" s="14"/>
      <c r="AA4" s="14"/>
      <c r="AB4" s="14"/>
    </row>
    <row r="5" spans="1:28" s="256" customFormat="1" ht="15" customHeight="1" x14ac:dyDescent="0.35">
      <c r="A5" s="153"/>
      <c r="B5" s="440" t="s">
        <v>7448</v>
      </c>
      <c r="C5" s="440"/>
      <c r="D5" s="236"/>
      <c r="E5" s="440" t="s">
        <v>7449</v>
      </c>
      <c r="F5" s="440"/>
      <c r="G5" s="268"/>
      <c r="H5" s="277"/>
      <c r="I5" s="440"/>
      <c r="J5" s="440"/>
      <c r="K5" s="156"/>
      <c r="L5" s="440" t="s">
        <v>7449</v>
      </c>
      <c r="M5" s="440"/>
      <c r="N5" s="8"/>
      <c r="O5" s="282"/>
      <c r="P5" s="440" t="s">
        <v>7448</v>
      </c>
      <c r="Q5" s="440"/>
      <c r="R5" s="156"/>
      <c r="S5" s="440" t="s">
        <v>7449</v>
      </c>
      <c r="T5" s="440"/>
      <c r="U5" s="184"/>
      <c r="V5" s="282"/>
      <c r="W5" s="440" t="s">
        <v>7448</v>
      </c>
      <c r="X5" s="440"/>
      <c r="Y5" s="257"/>
      <c r="Z5" s="440" t="s">
        <v>7449</v>
      </c>
      <c r="AA5" s="440"/>
      <c r="AB5" s="257"/>
    </row>
    <row r="6" spans="1:28" s="174" customFormat="1" x14ac:dyDescent="0.35">
      <c r="A6" s="173"/>
      <c r="B6" s="433" t="s">
        <v>7450</v>
      </c>
      <c r="C6" s="157" t="s">
        <v>7451</v>
      </c>
      <c r="D6" s="8"/>
      <c r="E6" s="434" t="s">
        <v>7450</v>
      </c>
      <c r="F6" s="435" t="s">
        <v>7452</v>
      </c>
      <c r="G6" s="267"/>
      <c r="H6" s="276"/>
      <c r="I6" s="8" t="s">
        <v>7450</v>
      </c>
      <c r="J6" t="s">
        <v>7451</v>
      </c>
      <c r="K6" s="262"/>
      <c r="L6" s="239" t="s">
        <v>7450</v>
      </c>
      <c r="M6" s="159" t="s">
        <v>7452</v>
      </c>
      <c r="N6" s="8"/>
      <c r="O6" s="283"/>
      <c r="P6" s="281" t="s">
        <v>7453</v>
      </c>
      <c r="Q6" s="159" t="s">
        <v>7451</v>
      </c>
      <c r="R6" s="8"/>
      <c r="S6" s="8" t="s">
        <v>7453</v>
      </c>
      <c r="T6" s="159" t="s">
        <v>7452</v>
      </c>
      <c r="U6" s="8"/>
      <c r="V6" s="281"/>
      <c r="W6" s="14" t="s">
        <v>7450</v>
      </c>
      <c r="X6" s="260" t="s">
        <v>7451</v>
      </c>
      <c r="Y6" s="14"/>
      <c r="Z6" s="14" t="s">
        <v>7450</v>
      </c>
      <c r="AA6" s="260" t="s">
        <v>7452</v>
      </c>
      <c r="AB6" s="172"/>
    </row>
    <row r="7" spans="1:28" x14ac:dyDescent="0.35">
      <c r="A7" s="264"/>
      <c r="B7" s="233" t="s">
        <v>7454</v>
      </c>
      <c r="C7" s="62">
        <v>26061.386666666665</v>
      </c>
      <c r="D7" s="8"/>
      <c r="E7" s="239" t="s">
        <v>7454</v>
      </c>
      <c r="F7" s="255">
        <v>25221.386666666665</v>
      </c>
      <c r="G7" s="82"/>
      <c r="H7" s="278"/>
      <c r="I7" s="122" t="s">
        <v>7454</v>
      </c>
      <c r="J7" s="330">
        <v>59508.19523809525</v>
      </c>
      <c r="K7" s="8"/>
      <c r="L7" s="239" t="s">
        <v>7454</v>
      </c>
      <c r="M7" s="255">
        <v>59508.19523809525</v>
      </c>
      <c r="N7" s="8"/>
      <c r="O7" s="281"/>
      <c r="P7" s="432" t="s">
        <v>7454</v>
      </c>
      <c r="Q7" s="255">
        <v>95502.527333333361</v>
      </c>
      <c r="R7" s="8"/>
      <c r="S7" s="239" t="s">
        <v>7454</v>
      </c>
      <c r="T7" s="255">
        <v>94330.027333333361</v>
      </c>
      <c r="U7" s="8"/>
      <c r="V7" s="281"/>
      <c r="W7" s="254" t="s">
        <v>7454</v>
      </c>
      <c r="X7" s="198">
        <v>87270.985333333345</v>
      </c>
      <c r="Y7" s="14"/>
      <c r="Z7" s="254" t="s">
        <v>7454</v>
      </c>
      <c r="AA7" s="198">
        <v>86369.485333333345</v>
      </c>
      <c r="AB7" s="14"/>
    </row>
    <row r="8" spans="1:28" x14ac:dyDescent="0.35">
      <c r="A8" s="264"/>
      <c r="B8" s="233" t="s">
        <v>7455</v>
      </c>
      <c r="C8" s="62">
        <v>90076.542222222182</v>
      </c>
      <c r="D8" s="8"/>
      <c r="E8" s="239" t="s">
        <v>7455</v>
      </c>
      <c r="F8" s="255">
        <v>89836.542222222182</v>
      </c>
      <c r="G8" s="82"/>
      <c r="H8" s="278"/>
      <c r="I8" s="122" t="s">
        <v>7455</v>
      </c>
      <c r="J8" s="330">
        <v>54285.071428571413</v>
      </c>
      <c r="K8" s="8"/>
      <c r="L8" s="239" t="s">
        <v>7455</v>
      </c>
      <c r="M8" s="255">
        <v>54285.071428571413</v>
      </c>
      <c r="N8" s="8"/>
      <c r="O8" s="281"/>
      <c r="P8" s="432" t="s">
        <v>7455</v>
      </c>
      <c r="Q8" s="255">
        <v>282185.52333333372</v>
      </c>
      <c r="R8" s="8"/>
      <c r="S8" s="239" t="s">
        <v>7455</v>
      </c>
      <c r="T8" s="255">
        <v>298030.77333333367</v>
      </c>
      <c r="U8" s="8"/>
      <c r="V8" s="281"/>
      <c r="W8" s="254" t="s">
        <v>7455</v>
      </c>
      <c r="X8" s="198">
        <v>146093.76777777777</v>
      </c>
      <c r="Y8" s="14"/>
      <c r="Z8" s="254" t="s">
        <v>7455</v>
      </c>
      <c r="AA8" s="198">
        <v>143426.76777777777</v>
      </c>
      <c r="AB8" s="14"/>
    </row>
    <row r="9" spans="1:28" x14ac:dyDescent="0.35">
      <c r="A9" s="264"/>
      <c r="B9" s="233" t="s">
        <v>7449</v>
      </c>
      <c r="C9" s="62">
        <v>116137.92888888885</v>
      </c>
      <c r="D9" s="8"/>
      <c r="E9" s="239" t="s">
        <v>7449</v>
      </c>
      <c r="F9" s="255">
        <v>115057.92888888885</v>
      </c>
      <c r="G9" s="82"/>
      <c r="H9" s="278"/>
      <c r="I9" s="122" t="s">
        <v>7449</v>
      </c>
      <c r="J9" s="13">
        <v>113793.26666666666</v>
      </c>
      <c r="K9" s="8"/>
      <c r="L9" s="239" t="s">
        <v>7449</v>
      </c>
      <c r="M9" s="255">
        <v>113793.26666666666</v>
      </c>
      <c r="N9" s="8"/>
      <c r="O9" s="281"/>
      <c r="P9" s="432" t="s">
        <v>7456</v>
      </c>
      <c r="Q9" s="255">
        <v>377688.05066666706</v>
      </c>
      <c r="R9" s="8"/>
      <c r="S9" s="239" t="s">
        <v>7456</v>
      </c>
      <c r="T9" s="255">
        <v>392360.80066666706</v>
      </c>
      <c r="U9" s="8"/>
      <c r="V9" s="281"/>
      <c r="W9" s="254" t="s">
        <v>7449</v>
      </c>
      <c r="X9" s="198">
        <v>233364.75311111112</v>
      </c>
      <c r="Y9" s="14"/>
      <c r="Z9" s="254" t="s">
        <v>7449</v>
      </c>
      <c r="AA9" s="198">
        <v>229796.25311111112</v>
      </c>
      <c r="AB9" s="14"/>
    </row>
    <row r="10" spans="1:28" x14ac:dyDescent="0.35">
      <c r="A10" s="264"/>
      <c r="B10" s="239"/>
      <c r="C10" s="255"/>
      <c r="D10" s="8"/>
      <c r="E10" s="239"/>
      <c r="F10" s="255"/>
      <c r="G10" s="82"/>
      <c r="H10" s="278"/>
      <c r="K10" s="8"/>
      <c r="L10"/>
      <c r="M10"/>
      <c r="N10" s="8"/>
      <c r="O10" s="281"/>
      <c r="P10" s="239"/>
      <c r="Q10" s="255"/>
      <c r="R10" s="8"/>
      <c r="S10" s="239"/>
      <c r="T10" s="255"/>
      <c r="U10" s="8"/>
      <c r="V10" s="281"/>
      <c r="W10" s="254"/>
      <c r="X10" s="198"/>
      <c r="Y10" s="14"/>
      <c r="Z10" s="254"/>
      <c r="AA10" s="198"/>
      <c r="AB10" s="14"/>
    </row>
    <row r="11" spans="1:28" x14ac:dyDescent="0.35">
      <c r="A11" s="264"/>
      <c r="B11" s="239"/>
      <c r="C11" s="255"/>
      <c r="D11" s="8"/>
      <c r="E11" s="8"/>
      <c r="F11" s="8"/>
      <c r="G11" s="82"/>
      <c r="H11" s="278"/>
      <c r="I11" s="239"/>
      <c r="J11" s="255"/>
      <c r="K11" s="8"/>
      <c r="L11" s="81"/>
      <c r="M11" s="81"/>
      <c r="N11" s="8"/>
      <c r="O11" s="281"/>
      <c r="P11" s="239"/>
      <c r="Q11" s="255"/>
      <c r="R11" s="8"/>
      <c r="S11" s="81"/>
      <c r="T11" s="81"/>
      <c r="U11" s="8"/>
      <c r="V11" s="281"/>
      <c r="W11" s="254"/>
      <c r="X11" s="198"/>
      <c r="Y11" s="14"/>
      <c r="Z11" s="14"/>
      <c r="AA11" s="14"/>
      <c r="AB11" s="14"/>
    </row>
    <row r="12" spans="1:28" ht="16.5" customHeight="1" x14ac:dyDescent="0.35">
      <c r="A12" s="264"/>
      <c r="B12" s="436"/>
      <c r="C12" s="436"/>
      <c r="D12" s="79"/>
      <c r="E12" s="8"/>
      <c r="F12" s="8"/>
      <c r="G12" s="82"/>
      <c r="H12" s="278"/>
      <c r="I12" s="441"/>
      <c r="J12" s="441"/>
      <c r="K12" s="8"/>
      <c r="L12" s="81"/>
      <c r="M12" s="81"/>
      <c r="N12" s="8"/>
      <c r="O12" s="281"/>
      <c r="P12" t="s">
        <v>7457</v>
      </c>
      <c r="Q12" s="436"/>
      <c r="R12" s="8"/>
      <c r="S12" s="81"/>
      <c r="T12" s="81"/>
      <c r="U12" s="8"/>
      <c r="V12" s="281"/>
      <c r="W12" s="14"/>
      <c r="X12" s="14"/>
      <c r="Y12" s="14"/>
      <c r="Z12" s="14"/>
      <c r="AA12" s="14"/>
      <c r="AB12" s="14"/>
    </row>
    <row r="13" spans="1:28" s="316" customFormat="1" ht="16.5" customHeight="1" x14ac:dyDescent="0.35">
      <c r="A13" s="315"/>
      <c r="B13" t="s">
        <v>7457</v>
      </c>
      <c r="C13" s="14"/>
      <c r="D13" s="317"/>
      <c r="E13" s="319" t="s">
        <v>7458</v>
      </c>
      <c r="F13" s="317">
        <v>213335.37</v>
      </c>
      <c r="G13" s="319"/>
      <c r="H13" s="320"/>
      <c r="I13" t="s">
        <v>7457</v>
      </c>
      <c r="J13" s="14"/>
      <c r="K13" s="319"/>
      <c r="L13" s="319" t="s">
        <v>7458</v>
      </c>
      <c r="M13" s="317">
        <v>254049.84</v>
      </c>
      <c r="N13" s="318"/>
      <c r="O13" s="321"/>
      <c r="P13">
        <v>163</v>
      </c>
      <c r="Q13" s="14"/>
      <c r="R13" s="318"/>
      <c r="S13" s="319" t="s">
        <v>7458</v>
      </c>
      <c r="T13" s="317">
        <v>852000</v>
      </c>
      <c r="U13" s="318"/>
      <c r="V13" s="321"/>
      <c r="W13" s="14"/>
      <c r="X13" s="14"/>
      <c r="Y13" s="322"/>
      <c r="Z13" s="120" t="s">
        <v>7458</v>
      </c>
      <c r="AA13" s="79">
        <v>375000</v>
      </c>
      <c r="AB13" s="322"/>
    </row>
    <row r="14" spans="1:28" ht="16.5" customHeight="1" x14ac:dyDescent="0.35">
      <c r="A14" s="264"/>
      <c r="B14">
        <v>43</v>
      </c>
      <c r="C14" s="14"/>
      <c r="D14" s="79"/>
      <c r="E14" s="120" t="s">
        <v>7459</v>
      </c>
      <c r="F14" s="79">
        <f>F13-GETPIVOTDATA("Liquido total",$E$6)</f>
        <v>98277.44111111114</v>
      </c>
      <c r="G14" s="82"/>
      <c r="H14" s="278"/>
      <c r="I14">
        <v>50</v>
      </c>
      <c r="J14" s="14"/>
      <c r="K14" s="81"/>
      <c r="L14" s="120" t="s">
        <v>7459</v>
      </c>
      <c r="M14" s="79">
        <f>M13-GETPIVOTDATA("Liquido total",$L$6)</f>
        <v>140256.57333333333</v>
      </c>
      <c r="N14" s="8"/>
      <c r="O14" s="281"/>
      <c r="P14" s="14"/>
      <c r="Q14" s="14"/>
      <c r="R14" s="8"/>
      <c r="S14" s="120" t="s">
        <v>7459</v>
      </c>
      <c r="T14" s="79">
        <f>T13-GETPIVOTDATA("Liquido total",$S$6)</f>
        <v>459639.19933333294</v>
      </c>
      <c r="U14" s="8"/>
      <c r="V14" s="281"/>
      <c r="W14" s="14"/>
      <c r="X14" s="14"/>
      <c r="Y14" s="14"/>
      <c r="Z14" s="120" t="s">
        <v>7459</v>
      </c>
      <c r="AA14" s="79">
        <f>AA13-GETPIVOTDATA("Liquido total",$Z$6)</f>
        <v>145203.74688888888</v>
      </c>
      <c r="AB14" s="14"/>
    </row>
    <row r="15" spans="1:28" ht="16.5" customHeight="1" x14ac:dyDescent="0.35">
      <c r="A15" s="264"/>
      <c r="B15" s="14"/>
      <c r="C15" s="14"/>
      <c r="D15" s="79"/>
      <c r="E15" s="8"/>
      <c r="F15" s="8"/>
      <c r="G15" s="82"/>
      <c r="H15" s="278"/>
      <c r="I15" s="14"/>
      <c r="J15" s="14"/>
      <c r="K15" s="81"/>
      <c r="L15" s="8"/>
      <c r="M15" s="8"/>
      <c r="N15" s="8"/>
      <c r="O15" s="281"/>
      <c r="P15" s="14"/>
      <c r="Q15" s="14"/>
      <c r="R15" s="8"/>
      <c r="S15" s="8"/>
      <c r="T15" s="8"/>
      <c r="U15" s="8"/>
      <c r="V15" s="281"/>
      <c r="W15" s="14"/>
      <c r="X15" s="14"/>
      <c r="Y15" s="14"/>
      <c r="Z15" s="14"/>
      <c r="AA15" s="14"/>
      <c r="AB15" s="14"/>
    </row>
    <row r="16" spans="1:28" ht="16.5" customHeight="1" x14ac:dyDescent="0.35">
      <c r="A16" s="264"/>
      <c r="B16" s="14"/>
      <c r="C16" s="14"/>
      <c r="D16" s="79"/>
      <c r="E16" s="8"/>
      <c r="F16" s="8"/>
      <c r="G16" s="82"/>
      <c r="H16" s="278"/>
      <c r="I16" s="14"/>
      <c r="J16" s="14"/>
      <c r="K16" s="81"/>
      <c r="L16" s="8"/>
      <c r="M16" s="8"/>
      <c r="N16" s="8"/>
      <c r="O16" s="281"/>
      <c r="P16" s="14"/>
      <c r="Q16" s="14"/>
      <c r="R16" s="8"/>
      <c r="S16" s="8"/>
      <c r="T16" s="8"/>
      <c r="U16" s="8"/>
      <c r="V16" s="281"/>
      <c r="W16" s="14"/>
      <c r="X16" s="14"/>
      <c r="Y16" s="14"/>
      <c r="Z16" s="14"/>
      <c r="AA16" s="14"/>
      <c r="AB16" s="14"/>
    </row>
    <row r="17" spans="1:28" ht="16.5" customHeight="1" x14ac:dyDescent="0.35">
      <c r="A17" s="264"/>
      <c r="B17" s="154"/>
      <c r="C17" s="155"/>
      <c r="D17" s="79"/>
      <c r="E17" s="8"/>
      <c r="F17" s="8"/>
      <c r="G17" s="82"/>
      <c r="H17" s="278"/>
      <c r="I17" s="159"/>
      <c r="J17" s="80"/>
      <c r="K17" s="81"/>
      <c r="L17" s="8"/>
      <c r="M17" s="8"/>
      <c r="N17" s="8"/>
      <c r="O17" s="281"/>
      <c r="P17" s="8"/>
      <c r="Q17" s="8"/>
      <c r="R17" s="8"/>
      <c r="S17" s="8"/>
      <c r="T17" s="8"/>
      <c r="U17" s="8"/>
      <c r="V17" s="281"/>
      <c r="W17" s="14"/>
      <c r="X17" s="14"/>
      <c r="Y17" s="14"/>
      <c r="Z17" s="14"/>
      <c r="AA17" s="14"/>
      <c r="AB17" s="14"/>
    </row>
    <row r="18" spans="1:28" ht="15.75" customHeight="1" x14ac:dyDescent="0.35">
      <c r="A18" s="264"/>
      <c r="B18" s="154"/>
      <c r="C18" s="155"/>
      <c r="D18" s="79"/>
      <c r="E18" s="81"/>
      <c r="F18" s="81"/>
      <c r="G18" s="82"/>
      <c r="H18" s="278"/>
      <c r="I18" s="159"/>
      <c r="J18" s="80"/>
      <c r="K18" s="81"/>
      <c r="L18" s="8"/>
      <c r="M18" s="8"/>
      <c r="N18" s="8"/>
      <c r="O18" s="281"/>
      <c r="P18" s="8"/>
      <c r="Q18" s="8"/>
      <c r="R18" s="8"/>
      <c r="S18" s="8"/>
      <c r="T18" s="8"/>
      <c r="U18" s="8"/>
      <c r="V18" s="281"/>
      <c r="W18" s="8"/>
      <c r="X18" s="8"/>
      <c r="Y18" s="8"/>
      <c r="Z18" s="8"/>
      <c r="AA18" s="8"/>
      <c r="AB18" s="14"/>
    </row>
    <row r="19" spans="1:28" x14ac:dyDescent="0.35">
      <c r="A19" s="264"/>
      <c r="B19" s="440" t="s">
        <v>7460</v>
      </c>
      <c r="C19" s="440"/>
      <c r="D19" s="79"/>
      <c r="E19" s="79"/>
      <c r="F19" s="79"/>
      <c r="G19" s="82"/>
      <c r="H19" s="278"/>
      <c r="I19" s="440" t="s">
        <v>7460</v>
      </c>
      <c r="J19" s="440"/>
      <c r="K19" s="81"/>
      <c r="L19" s="8"/>
      <c r="M19" s="8"/>
      <c r="N19" s="8"/>
      <c r="O19" s="281"/>
      <c r="P19" s="440" t="s">
        <v>7460</v>
      </c>
      <c r="Q19" s="440"/>
      <c r="R19" s="8"/>
      <c r="S19" s="8"/>
      <c r="T19" s="8"/>
      <c r="U19" s="8"/>
      <c r="V19" s="281"/>
      <c r="W19" s="440" t="s">
        <v>7460</v>
      </c>
      <c r="X19" s="440"/>
      <c r="Y19" s="8"/>
      <c r="Z19" s="8"/>
      <c r="AA19" s="8"/>
      <c r="AB19" s="14"/>
    </row>
    <row r="20" spans="1:28" s="91" customFormat="1" x14ac:dyDescent="0.35">
      <c r="A20" s="160"/>
      <c r="B20" s="433" t="s">
        <v>7450</v>
      </c>
      <c r="C20" s="157" t="s">
        <v>7461</v>
      </c>
      <c r="D20" s="82"/>
      <c r="E20" s="82"/>
      <c r="F20" s="82"/>
      <c r="G20" s="82"/>
      <c r="H20" s="278"/>
      <c r="I20" s="8" t="s">
        <v>7450</v>
      </c>
      <c r="J20" s="159" t="s">
        <v>7461</v>
      </c>
      <c r="K20" s="8"/>
      <c r="L20" s="8"/>
      <c r="M20" s="8"/>
      <c r="N20" s="8"/>
      <c r="O20" s="284"/>
      <c r="P20" s="8" t="s">
        <v>7453</v>
      </c>
      <c r="Q20" s="159" t="s">
        <v>7461</v>
      </c>
      <c r="R20" s="14"/>
      <c r="S20" s="8"/>
      <c r="T20" s="8"/>
      <c r="U20" s="8"/>
      <c r="V20" s="281"/>
      <c r="W20" s="8" t="s">
        <v>7450</v>
      </c>
      <c r="X20" s="159" t="s">
        <v>7461</v>
      </c>
      <c r="Y20" s="8"/>
      <c r="Z20" s="8"/>
      <c r="AA20" s="8"/>
      <c r="AB20" s="90"/>
    </row>
    <row r="21" spans="1:28" x14ac:dyDescent="0.35">
      <c r="A21" s="264"/>
      <c r="B21" s="233" t="s">
        <v>7454</v>
      </c>
      <c r="C21" s="2">
        <v>11</v>
      </c>
      <c r="D21" s="81"/>
      <c r="E21" s="81"/>
      <c r="F21" s="81"/>
      <c r="G21" s="82"/>
      <c r="H21" s="278"/>
      <c r="I21" s="239" t="s">
        <v>7454</v>
      </c>
      <c r="J21" s="160">
        <v>26</v>
      </c>
      <c r="K21" s="8"/>
      <c r="L21" s="8"/>
      <c r="M21" s="8"/>
      <c r="N21" s="8"/>
      <c r="O21" s="281"/>
      <c r="P21" s="239" t="s">
        <v>7454</v>
      </c>
      <c r="Q21" s="160">
        <v>42</v>
      </c>
      <c r="R21" s="14"/>
      <c r="S21" s="8"/>
      <c r="T21" s="8"/>
      <c r="U21" s="8"/>
      <c r="V21" s="281"/>
      <c r="W21" s="239" t="s">
        <v>7454</v>
      </c>
      <c r="X21" s="160">
        <v>46</v>
      </c>
      <c r="Y21" s="8"/>
      <c r="Z21" s="8"/>
      <c r="AA21" s="8"/>
      <c r="AB21" s="14"/>
    </row>
    <row r="22" spans="1:28" x14ac:dyDescent="0.35">
      <c r="A22" s="264"/>
      <c r="B22" s="233" t="s">
        <v>7455</v>
      </c>
      <c r="C22" s="2">
        <v>32</v>
      </c>
      <c r="D22" s="81"/>
      <c r="E22" s="81"/>
      <c r="F22" s="81"/>
      <c r="G22" s="82"/>
      <c r="H22" s="278"/>
      <c r="I22" s="239" t="s">
        <v>7455</v>
      </c>
      <c r="J22" s="160">
        <v>24</v>
      </c>
      <c r="K22" s="8"/>
      <c r="L22" s="8"/>
      <c r="M22" s="8"/>
      <c r="N22" s="8"/>
      <c r="O22" s="281"/>
      <c r="P22" s="239" t="s">
        <v>7455</v>
      </c>
      <c r="Q22" s="160">
        <v>121</v>
      </c>
      <c r="R22" s="14"/>
      <c r="S22" s="8"/>
      <c r="T22" s="8"/>
      <c r="U22" s="8"/>
      <c r="V22" s="281"/>
      <c r="W22" s="239" t="s">
        <v>7455</v>
      </c>
      <c r="X22" s="160">
        <v>73</v>
      </c>
      <c r="Y22" s="8"/>
      <c r="Z22" s="8"/>
      <c r="AA22" s="8"/>
      <c r="AB22" s="14"/>
    </row>
    <row r="23" spans="1:28" x14ac:dyDescent="0.35">
      <c r="A23" s="264"/>
      <c r="B23" s="233" t="s">
        <v>7449</v>
      </c>
      <c r="C23" s="2">
        <v>43</v>
      </c>
      <c r="D23" s="81"/>
      <c r="E23" s="81"/>
      <c r="F23" s="81"/>
      <c r="G23" s="82"/>
      <c r="H23" s="278"/>
      <c r="I23" s="239" t="s">
        <v>7449</v>
      </c>
      <c r="J23" s="160">
        <v>50</v>
      </c>
      <c r="K23" s="8"/>
      <c r="L23" s="8"/>
      <c r="M23" s="8"/>
      <c r="N23" s="8"/>
      <c r="O23" s="281"/>
      <c r="P23" s="239" t="s">
        <v>7456</v>
      </c>
      <c r="Q23" s="160">
        <v>163</v>
      </c>
      <c r="R23" s="14"/>
      <c r="S23" s="8"/>
      <c r="T23" s="8"/>
      <c r="U23" s="8"/>
      <c r="V23" s="281"/>
      <c r="W23" s="239" t="s">
        <v>7449</v>
      </c>
      <c r="X23" s="160">
        <v>119</v>
      </c>
      <c r="Y23" s="8"/>
      <c r="Z23" s="8"/>
      <c r="AA23" s="8"/>
      <c r="AB23" s="14"/>
    </row>
    <row r="24" spans="1:28" x14ac:dyDescent="0.35">
      <c r="A24" s="264"/>
      <c r="B24" s="184"/>
      <c r="C24" s="184"/>
      <c r="D24" s="81"/>
      <c r="E24" s="81"/>
      <c r="F24" s="81"/>
      <c r="G24" s="82"/>
      <c r="H24" s="278"/>
      <c r="I24" s="14"/>
      <c r="J24" s="14"/>
      <c r="K24" s="8"/>
      <c r="L24" s="8"/>
      <c r="M24" s="8"/>
      <c r="N24" s="8"/>
      <c r="O24" s="281"/>
      <c r="P24" s="8"/>
      <c r="Q24" s="8"/>
      <c r="R24" s="14"/>
      <c r="S24" s="8"/>
      <c r="T24" s="8"/>
      <c r="U24" s="8"/>
      <c r="V24" s="281"/>
      <c r="W24" s="8"/>
      <c r="X24" s="8"/>
      <c r="Y24" s="8"/>
      <c r="Z24" s="8"/>
      <c r="AA24" s="8"/>
      <c r="AB24" s="14"/>
    </row>
    <row r="25" spans="1:28" s="52" customFormat="1" ht="45.75" customHeight="1" x14ac:dyDescent="0.35">
      <c r="A25" s="269"/>
      <c r="B25" s="258"/>
      <c r="C25" s="258"/>
      <c r="D25" s="82"/>
      <c r="E25" s="81"/>
      <c r="F25" s="82"/>
      <c r="G25" s="82"/>
      <c r="H25" s="278"/>
      <c r="I25" s="14"/>
      <c r="J25" s="14"/>
      <c r="K25" s="14"/>
      <c r="L25" s="8"/>
      <c r="M25" s="8"/>
      <c r="N25" s="8"/>
      <c r="O25" s="284"/>
      <c r="P25" s="14"/>
      <c r="Q25" s="14"/>
      <c r="R25" s="14"/>
      <c r="S25" s="8"/>
      <c r="T25" s="8"/>
      <c r="U25" s="8"/>
      <c r="V25" s="281"/>
      <c r="W25" s="8"/>
      <c r="X25" s="8"/>
      <c r="Y25" s="8"/>
      <c r="Z25" s="8"/>
      <c r="AA25" s="8"/>
      <c r="AB25" s="73"/>
    </row>
    <row r="26" spans="1:28" s="67" customFormat="1" x14ac:dyDescent="0.35">
      <c r="A26" s="270"/>
      <c r="B26" s="121" t="s">
        <v>7462</v>
      </c>
      <c r="C26"/>
      <c r="D26" s="8"/>
      <c r="E26" s="121" t="s">
        <v>7462</v>
      </c>
      <c r="F26"/>
      <c r="G26" s="271"/>
      <c r="H26" s="279"/>
      <c r="I26" s="8" t="s">
        <v>7462</v>
      </c>
      <c r="J26" s="8"/>
      <c r="K26" s="14"/>
      <c r="L26" s="8"/>
      <c r="M26" s="8"/>
      <c r="N26" s="8"/>
      <c r="O26" s="285"/>
      <c r="Q26"/>
      <c r="R26"/>
      <c r="S26" s="8"/>
      <c r="T26" s="8"/>
      <c r="U26" s="8"/>
      <c r="V26" s="281"/>
      <c r="W26" s="76"/>
      <c r="X26" s="76"/>
      <c r="Y26" s="14"/>
      <c r="Z26" s="8"/>
      <c r="AA26" s="8"/>
      <c r="AB26" s="76"/>
    </row>
    <row r="27" spans="1:28" s="164" customFormat="1" x14ac:dyDescent="0.35">
      <c r="A27" s="272"/>
      <c r="B27" s="122" t="s">
        <v>7463</v>
      </c>
      <c r="C27">
        <v>910</v>
      </c>
      <c r="D27" s="165" t="s">
        <v>7464</v>
      </c>
      <c r="E27" s="122" t="s">
        <v>7465</v>
      </c>
      <c r="F27" s="13">
        <v>2117.4</v>
      </c>
      <c r="G27" s="273"/>
      <c r="H27" s="280" t="s">
        <v>7464</v>
      </c>
      <c r="I27" s="159" t="s">
        <v>7463</v>
      </c>
      <c r="J27" s="255">
        <v>4800</v>
      </c>
      <c r="K27" s="14"/>
      <c r="L27" s="8"/>
      <c r="M27" s="8"/>
      <c r="N27" s="8"/>
      <c r="O27" s="286"/>
      <c r="Q27"/>
      <c r="R27"/>
      <c r="S27" s="8"/>
      <c r="T27" s="8"/>
      <c r="U27" s="8"/>
      <c r="V27" s="281"/>
      <c r="W27" s="161"/>
      <c r="X27" s="161"/>
      <c r="Y27" s="14"/>
      <c r="Z27" s="8"/>
      <c r="AA27" s="8"/>
      <c r="AB27" s="161"/>
    </row>
    <row r="28" spans="1:28" s="164" customFormat="1" x14ac:dyDescent="0.35">
      <c r="A28" s="272"/>
      <c r="B28" s="122" t="s">
        <v>7466</v>
      </c>
      <c r="C28"/>
      <c r="D28" s="165" t="s">
        <v>7464</v>
      </c>
      <c r="E28" s="122" t="s">
        <v>7467</v>
      </c>
      <c r="F28" s="13">
        <v>200</v>
      </c>
      <c r="G28" s="273"/>
      <c r="H28" s="280" t="s">
        <v>7464</v>
      </c>
      <c r="I28" s="159" t="s">
        <v>7466</v>
      </c>
      <c r="J28" s="255"/>
      <c r="K28" s="14"/>
      <c r="L28" s="8"/>
      <c r="M28" s="8"/>
      <c r="N28" s="8"/>
      <c r="O28" s="286"/>
      <c r="P28"/>
      <c r="Q28"/>
      <c r="R28"/>
      <c r="S28" s="8"/>
      <c r="T28" s="8"/>
      <c r="U28" s="8"/>
      <c r="V28" s="281"/>
      <c r="W28" s="161"/>
      <c r="X28" s="161"/>
      <c r="Y28" s="14"/>
      <c r="Z28" s="8"/>
      <c r="AA28" s="8"/>
      <c r="AB28" s="161"/>
    </row>
    <row r="29" spans="1:28" s="164" customFormat="1" x14ac:dyDescent="0.3">
      <c r="A29" s="272"/>
      <c r="B29" s="168"/>
      <c r="C29" s="169"/>
      <c r="D29" s="165" t="s">
        <v>7464</v>
      </c>
      <c r="E29" s="122" t="s">
        <v>7468</v>
      </c>
      <c r="F29">
        <v>1340.1111111111111</v>
      </c>
      <c r="G29" s="273"/>
      <c r="H29" s="280"/>
      <c r="I29" s="14"/>
      <c r="J29" s="14"/>
      <c r="K29" s="14"/>
      <c r="L29" s="165"/>
      <c r="M29" s="165"/>
      <c r="N29" s="165"/>
      <c r="O29" s="286"/>
      <c r="P29"/>
      <c r="Q29"/>
      <c r="R29"/>
      <c r="S29" s="165"/>
      <c r="T29" s="165"/>
      <c r="U29" s="165"/>
      <c r="V29" s="286"/>
      <c r="W29" s="161"/>
      <c r="X29" s="161"/>
      <c r="Y29" s="14"/>
      <c r="Z29" s="165"/>
      <c r="AA29" s="165"/>
      <c r="AB29" s="161"/>
    </row>
    <row r="30" spans="1:28" s="164" customFormat="1" x14ac:dyDescent="0.3">
      <c r="A30" s="272"/>
      <c r="B30" s="168"/>
      <c r="C30" s="169"/>
      <c r="D30" s="165" t="s">
        <v>7464</v>
      </c>
      <c r="E30" s="122" t="s">
        <v>7469</v>
      </c>
      <c r="F30"/>
      <c r="G30" s="273"/>
      <c r="H30" s="280"/>
      <c r="I30" s="14"/>
      <c r="J30" s="14"/>
      <c r="K30" s="14"/>
      <c r="L30" s="165"/>
      <c r="M30" s="165"/>
      <c r="N30" s="165"/>
      <c r="O30" s="286"/>
      <c r="P30"/>
      <c r="Q30"/>
      <c r="R30"/>
      <c r="S30" s="165"/>
      <c r="T30" s="165"/>
      <c r="U30" s="165"/>
      <c r="V30" s="286"/>
      <c r="W30" s="14"/>
      <c r="X30" s="14"/>
      <c r="Y30" s="14"/>
      <c r="Z30" s="165"/>
      <c r="AA30" s="165"/>
      <c r="AB30" s="161"/>
    </row>
    <row r="31" spans="1:28" s="164" customFormat="1" x14ac:dyDescent="0.3">
      <c r="A31" s="272"/>
      <c r="B31" s="168"/>
      <c r="C31" s="169"/>
      <c r="D31" s="165" t="s">
        <v>7464</v>
      </c>
      <c r="E31" s="122" t="s">
        <v>7470</v>
      </c>
      <c r="F31">
        <v>175.44000000000011</v>
      </c>
      <c r="G31" s="273"/>
      <c r="H31" s="280"/>
      <c r="I31" s="14"/>
      <c r="J31" s="14"/>
      <c r="K31" s="14"/>
      <c r="L31" s="165"/>
      <c r="M31" s="165"/>
      <c r="N31" s="165"/>
      <c r="O31" s="286"/>
      <c r="P31"/>
      <c r="Q31"/>
      <c r="R31"/>
      <c r="S31" s="165"/>
      <c r="T31" s="165"/>
      <c r="U31" s="165"/>
      <c r="V31" s="286"/>
      <c r="W31" s="14"/>
      <c r="X31" s="14"/>
      <c r="Y31" s="14"/>
      <c r="Z31" s="165"/>
      <c r="AA31" s="165"/>
      <c r="AB31" s="161"/>
    </row>
    <row r="32" spans="1:28" s="164" customFormat="1" x14ac:dyDescent="0.35">
      <c r="A32" s="272"/>
      <c r="B32" s="168"/>
      <c r="C32" s="169"/>
      <c r="D32" s="165"/>
      <c r="E32" s="8"/>
      <c r="F32" s="8"/>
      <c r="G32" s="273"/>
      <c r="H32" s="280"/>
      <c r="I32" s="14"/>
      <c r="J32" s="14"/>
      <c r="K32" s="14"/>
      <c r="L32" s="163"/>
      <c r="M32" s="165"/>
      <c r="N32" s="165"/>
      <c r="O32" s="286"/>
      <c r="P32"/>
      <c r="Q32"/>
      <c r="R32"/>
      <c r="S32" s="8"/>
      <c r="T32" s="165"/>
      <c r="U32" s="165"/>
      <c r="V32" s="286"/>
      <c r="W32" s="14"/>
      <c r="X32" s="14"/>
      <c r="Y32" s="14"/>
      <c r="Z32" s="165"/>
      <c r="AA32" s="165"/>
      <c r="AB32" s="161"/>
    </row>
    <row r="33" spans="2:28" x14ac:dyDescent="0.35">
      <c r="I33"/>
      <c r="J33"/>
      <c r="K33"/>
      <c r="P33"/>
      <c r="Q33"/>
      <c r="R33"/>
      <c r="W33" s="14"/>
      <c r="X33" s="14"/>
      <c r="Y33" s="14"/>
      <c r="Z33" s="14"/>
      <c r="AA33" s="14"/>
      <c r="AB33" s="14"/>
    </row>
    <row r="34" spans="2:28" x14ac:dyDescent="0.35">
      <c r="B34" s="121" t="s">
        <v>7450</v>
      </c>
      <c r="C34" t="s">
        <v>7452</v>
      </c>
      <c r="D34"/>
      <c r="I34" s="121" t="s">
        <v>7450</v>
      </c>
      <c r="J34" t="s">
        <v>7452</v>
      </c>
      <c r="K34"/>
      <c r="P34"/>
      <c r="Q34"/>
      <c r="R34"/>
      <c r="W34" s="14"/>
      <c r="X34" s="14"/>
      <c r="Y34" s="14"/>
      <c r="Z34" s="14"/>
      <c r="AA34" s="14"/>
      <c r="AB34" s="14"/>
    </row>
    <row r="35" spans="2:28" x14ac:dyDescent="0.35">
      <c r="B35" s="122" t="s">
        <v>7471</v>
      </c>
      <c r="C35" s="330">
        <v>115057.92888888885</v>
      </c>
      <c r="D35"/>
      <c r="I35" s="122" t="s">
        <v>7471</v>
      </c>
      <c r="J35" s="330">
        <v>111564.08666666667</v>
      </c>
      <c r="K35"/>
      <c r="L35"/>
      <c r="P35"/>
      <c r="Q35"/>
      <c r="R35"/>
    </row>
    <row r="36" spans="2:28" x14ac:dyDescent="0.35">
      <c r="B36" s="122" t="s">
        <v>7449</v>
      </c>
      <c r="C36" s="330">
        <v>115057.92888888885</v>
      </c>
      <c r="D36"/>
      <c r="I36" s="122" t="s">
        <v>7472</v>
      </c>
      <c r="J36" s="330">
        <v>2229.1800000000003</v>
      </c>
      <c r="K36"/>
      <c r="M36"/>
      <c r="N36"/>
      <c r="P36"/>
      <c r="Q36"/>
      <c r="R36"/>
    </row>
    <row r="37" spans="2:28" x14ac:dyDescent="0.35">
      <c r="B37"/>
      <c r="C37"/>
      <c r="D37"/>
      <c r="I37" s="122" t="s">
        <v>7449</v>
      </c>
      <c r="J37" s="330">
        <v>113793.26666666666</v>
      </c>
      <c r="K37"/>
      <c r="M37"/>
      <c r="N37"/>
      <c r="P37"/>
      <c r="Q37"/>
      <c r="R37"/>
    </row>
    <row r="38" spans="2:28" x14ac:dyDescent="0.35">
      <c r="B38"/>
      <c r="C38"/>
      <c r="D38"/>
      <c r="I38"/>
      <c r="J38"/>
      <c r="K38"/>
      <c r="L38"/>
      <c r="M38"/>
      <c r="N38"/>
      <c r="P38"/>
      <c r="Q38"/>
      <c r="R38"/>
    </row>
    <row r="39" spans="2:28" x14ac:dyDescent="0.35">
      <c r="C39"/>
      <c r="D39"/>
      <c r="I39"/>
      <c r="J39"/>
      <c r="K39"/>
      <c r="L39"/>
      <c r="M39"/>
      <c r="N39"/>
      <c r="P39"/>
      <c r="Q39"/>
      <c r="R39"/>
    </row>
    <row r="40" spans="2:28" x14ac:dyDescent="0.35">
      <c r="C40"/>
      <c r="D40"/>
      <c r="I40"/>
      <c r="J40"/>
      <c r="K40"/>
      <c r="L40"/>
      <c r="M40"/>
      <c r="N40"/>
      <c r="P40"/>
      <c r="Q40"/>
      <c r="R40"/>
    </row>
    <row r="41" spans="2:28" x14ac:dyDescent="0.35">
      <c r="B41"/>
      <c r="C41"/>
      <c r="D41"/>
      <c r="I41"/>
      <c r="J41"/>
      <c r="K41"/>
      <c r="N41"/>
      <c r="P41"/>
      <c r="Q41"/>
      <c r="R41"/>
    </row>
    <row r="42" spans="2:28" x14ac:dyDescent="0.35">
      <c r="B42"/>
      <c r="C42"/>
      <c r="D42"/>
      <c r="I42"/>
      <c r="J42"/>
      <c r="K42"/>
      <c r="N42"/>
      <c r="P42"/>
      <c r="Q42"/>
      <c r="R42"/>
    </row>
    <row r="43" spans="2:28" x14ac:dyDescent="0.35">
      <c r="B43"/>
      <c r="C43"/>
      <c r="D43"/>
      <c r="I43"/>
      <c r="J43"/>
      <c r="K43"/>
      <c r="N43"/>
      <c r="P43"/>
      <c r="Q43"/>
      <c r="R43"/>
    </row>
    <row r="44" spans="2:28" x14ac:dyDescent="0.35">
      <c r="B44"/>
      <c r="C44"/>
      <c r="D44"/>
      <c r="I44"/>
      <c r="J44"/>
      <c r="K44"/>
      <c r="N44"/>
      <c r="P44"/>
      <c r="Q44"/>
      <c r="R44"/>
    </row>
    <row r="45" spans="2:28" x14ac:dyDescent="0.35">
      <c r="B45"/>
      <c r="C45"/>
      <c r="D45"/>
      <c r="I45"/>
      <c r="J45"/>
      <c r="K45"/>
      <c r="L45"/>
      <c r="M45"/>
      <c r="N45"/>
      <c r="P45"/>
      <c r="Q45"/>
      <c r="R45"/>
    </row>
    <row r="46" spans="2:28" x14ac:dyDescent="0.35">
      <c r="B46"/>
      <c r="C46"/>
      <c r="D46"/>
      <c r="I46"/>
      <c r="J46"/>
      <c r="K46"/>
      <c r="L46"/>
      <c r="M46"/>
      <c r="N46"/>
      <c r="P46"/>
      <c r="Q46"/>
      <c r="R46"/>
    </row>
    <row r="47" spans="2:28" x14ac:dyDescent="0.35">
      <c r="B47"/>
      <c r="C47"/>
      <c r="D47"/>
      <c r="I47"/>
      <c r="J47"/>
      <c r="K47"/>
      <c r="L47"/>
      <c r="M47"/>
      <c r="N47"/>
      <c r="P47"/>
      <c r="Q47"/>
      <c r="R47"/>
    </row>
    <row r="48" spans="2:28" x14ac:dyDescent="0.35">
      <c r="B48"/>
      <c r="C48"/>
      <c r="D48"/>
      <c r="I48"/>
      <c r="J48"/>
      <c r="K48"/>
      <c r="L48"/>
      <c r="M48"/>
      <c r="N48"/>
      <c r="P48"/>
      <c r="Q48"/>
      <c r="R48"/>
    </row>
    <row r="49" spans="2:18" x14ac:dyDescent="0.35">
      <c r="B49"/>
      <c r="C49"/>
      <c r="D49"/>
      <c r="I49"/>
      <c r="J49"/>
      <c r="K49"/>
      <c r="L49"/>
      <c r="M49"/>
      <c r="N49"/>
      <c r="P49"/>
      <c r="Q49"/>
      <c r="R49"/>
    </row>
    <row r="50" spans="2:18" x14ac:dyDescent="0.35">
      <c r="B50"/>
      <c r="C50"/>
      <c r="D50"/>
      <c r="I50"/>
      <c r="J50"/>
      <c r="K50"/>
      <c r="L50"/>
      <c r="M50"/>
      <c r="N50"/>
      <c r="P50"/>
      <c r="Q50"/>
      <c r="R50"/>
    </row>
    <row r="51" spans="2:18" x14ac:dyDescent="0.35">
      <c r="B51"/>
      <c r="C51"/>
      <c r="D51"/>
      <c r="I51"/>
      <c r="J51"/>
      <c r="K51"/>
      <c r="L51"/>
      <c r="M51"/>
      <c r="N51"/>
      <c r="P51"/>
      <c r="Q51"/>
      <c r="R51"/>
    </row>
    <row r="52" spans="2:18" x14ac:dyDescent="0.35">
      <c r="B52"/>
      <c r="C52"/>
      <c r="D52"/>
      <c r="I52"/>
      <c r="J52"/>
      <c r="K52"/>
      <c r="L52"/>
      <c r="M52"/>
      <c r="N52"/>
      <c r="P52"/>
      <c r="Q52"/>
      <c r="R52"/>
    </row>
    <row r="53" spans="2:18" x14ac:dyDescent="0.35">
      <c r="B53"/>
      <c r="C53"/>
      <c r="D53"/>
      <c r="I53"/>
      <c r="J53"/>
      <c r="L53"/>
      <c r="M53"/>
      <c r="N53"/>
    </row>
    <row r="54" spans="2:18" x14ac:dyDescent="0.35">
      <c r="B54"/>
      <c r="C54"/>
      <c r="D54"/>
      <c r="I54"/>
      <c r="J54"/>
      <c r="L54"/>
      <c r="M54"/>
      <c r="N54"/>
    </row>
    <row r="55" spans="2:18" x14ac:dyDescent="0.35">
      <c r="B55"/>
      <c r="C55"/>
      <c r="D55"/>
      <c r="I55"/>
      <c r="J55"/>
      <c r="L55"/>
      <c r="M55"/>
      <c r="N55"/>
    </row>
    <row r="56" spans="2:18" x14ac:dyDescent="0.35">
      <c r="B56"/>
      <c r="C56"/>
      <c r="D56"/>
      <c r="I56"/>
      <c r="J56"/>
      <c r="L56"/>
      <c r="M56"/>
      <c r="N56"/>
    </row>
    <row r="57" spans="2:18" x14ac:dyDescent="0.35">
      <c r="B57"/>
      <c r="C57"/>
      <c r="I57"/>
      <c r="J57"/>
      <c r="L57"/>
      <c r="M57"/>
      <c r="N57"/>
    </row>
    <row r="58" spans="2:18" x14ac:dyDescent="0.35">
      <c r="B58"/>
      <c r="C58"/>
      <c r="I58"/>
      <c r="J58"/>
      <c r="L58"/>
      <c r="M58"/>
      <c r="N58"/>
    </row>
    <row r="59" spans="2:18" x14ac:dyDescent="0.35">
      <c r="B59"/>
      <c r="C59"/>
      <c r="I59"/>
      <c r="J59"/>
    </row>
    <row r="60" spans="2:18" x14ac:dyDescent="0.35">
      <c r="B60"/>
      <c r="C60"/>
      <c r="I60"/>
      <c r="J60"/>
    </row>
    <row r="61" spans="2:18" x14ac:dyDescent="0.35">
      <c r="B61"/>
      <c r="C61"/>
      <c r="I61"/>
      <c r="J61"/>
    </row>
    <row r="62" spans="2:18" x14ac:dyDescent="0.35">
      <c r="B62"/>
      <c r="C62"/>
      <c r="I62"/>
      <c r="J62"/>
    </row>
    <row r="63" spans="2:18" x14ac:dyDescent="0.35">
      <c r="B63"/>
      <c r="C63"/>
    </row>
    <row r="64" spans="2:18"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sheetData>
  <mergeCells count="13">
    <mergeCell ref="B5:C5"/>
    <mergeCell ref="E5:F5"/>
    <mergeCell ref="B19:C19"/>
    <mergeCell ref="I5:J5"/>
    <mergeCell ref="I19:J19"/>
    <mergeCell ref="I12:J12"/>
    <mergeCell ref="Z5:AA5"/>
    <mergeCell ref="W19:X19"/>
    <mergeCell ref="P5:Q5"/>
    <mergeCell ref="W5:X5"/>
    <mergeCell ref="L5:M5"/>
    <mergeCell ref="S5:T5"/>
    <mergeCell ref="P19:Q19"/>
  </mergeCells>
  <conditionalFormatting sqref="F14">
    <cfRule type="cellIs" dxfId="285" priority="6" operator="lessThan">
      <formula>0</formula>
    </cfRule>
  </conditionalFormatting>
  <conditionalFormatting sqref="M14">
    <cfRule type="cellIs" dxfId="284" priority="3" operator="lessThan">
      <formula>0</formula>
    </cfRule>
  </conditionalFormatting>
  <conditionalFormatting sqref="T14">
    <cfRule type="cellIs" dxfId="283" priority="2" operator="lessThan">
      <formula>0</formula>
    </cfRule>
  </conditionalFormatting>
  <conditionalFormatting sqref="AA14">
    <cfRule type="cellIs" dxfId="282" priority="1" operator="lessThan">
      <formula>0</formula>
    </cfRule>
  </conditionalFormatting>
  <printOptions horizontalCentered="1"/>
  <pageMargins left="0.11811023622047245" right="0.11811023622047245" top="0.31496062992125984" bottom="0.31496062992125984" header="0.31496062992125984" footer="0.31496062992125984"/>
  <pageSetup paperSize="9" scale="55" fitToWidth="0" fitToHeight="0" orientation="landscape" r:id="rId21"/>
  <drawing r:id="rId2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D1860-1A09-4A62-B0E8-A35C9964A607}">
  <dimension ref="B2:AN367"/>
  <sheetViews>
    <sheetView topLeftCell="C71" workbookViewId="0">
      <selection activeCell="H107" sqref="H107"/>
    </sheetView>
  </sheetViews>
  <sheetFormatPr defaultColWidth="11.44140625" defaultRowHeight="14.4" x14ac:dyDescent="0.3"/>
  <cols>
    <col min="3" max="3" width="43.6640625" bestFit="1" customWidth="1"/>
    <col min="5" max="5" width="13.6640625" bestFit="1" customWidth="1"/>
    <col min="6" max="6" width="4.5546875" customWidth="1"/>
    <col min="7" max="7" width="8.33203125" customWidth="1"/>
    <col min="8" max="8" width="43.6640625" bestFit="1" customWidth="1"/>
    <col min="11" max="11" width="5.6640625" customWidth="1"/>
    <col min="13" max="13" width="43.6640625" bestFit="1" customWidth="1"/>
    <col min="16" max="16" width="6.44140625" customWidth="1"/>
    <col min="18" max="18" width="43.6640625" bestFit="1" customWidth="1"/>
    <col min="22" max="22" width="11.109375" customWidth="1"/>
    <col min="23" max="23" width="43.6640625" bestFit="1" customWidth="1"/>
    <col min="28" max="28" width="43.6640625" bestFit="1" customWidth="1"/>
    <col min="33" max="33" width="43.6640625" bestFit="1" customWidth="1"/>
    <col min="38" max="38" width="43.6640625" bestFit="1" customWidth="1"/>
  </cols>
  <sheetData>
    <row r="2" spans="2:40" x14ac:dyDescent="0.3">
      <c r="B2" s="442" t="s">
        <v>7473</v>
      </c>
      <c r="C2" s="443"/>
      <c r="D2" s="443"/>
      <c r="E2" s="444"/>
      <c r="G2" s="442" t="s">
        <v>7474</v>
      </c>
      <c r="H2" s="443"/>
      <c r="I2" s="443"/>
      <c r="J2" s="444"/>
      <c r="L2" s="442" t="s">
        <v>7475</v>
      </c>
      <c r="M2" s="443"/>
      <c r="N2" s="443"/>
      <c r="O2" s="444"/>
      <c r="Q2" s="442" t="s">
        <v>7476</v>
      </c>
      <c r="R2" s="443"/>
      <c r="S2" s="443"/>
      <c r="T2" s="444"/>
      <c r="V2" s="442" t="s">
        <v>7477</v>
      </c>
      <c r="W2" s="443"/>
      <c r="X2" s="443"/>
      <c r="Y2" s="444"/>
      <c r="AA2" s="442" t="s">
        <v>7478</v>
      </c>
      <c r="AB2" s="443"/>
      <c r="AC2" s="443"/>
      <c r="AD2" s="444"/>
      <c r="AF2" s="442" t="s">
        <v>7479</v>
      </c>
      <c r="AG2" s="443"/>
      <c r="AH2" s="443"/>
      <c r="AI2" s="444"/>
      <c r="AK2" s="442" t="s">
        <v>7480</v>
      </c>
      <c r="AL2" s="443"/>
      <c r="AM2" s="443"/>
      <c r="AN2" s="444"/>
    </row>
    <row r="4" spans="2:40" x14ac:dyDescent="0.3">
      <c r="B4" t="s">
        <v>7481</v>
      </c>
      <c r="C4" t="s">
        <v>7482</v>
      </c>
      <c r="D4" t="s">
        <v>7483</v>
      </c>
      <c r="E4" t="s">
        <v>7484</v>
      </c>
      <c r="G4" t="s">
        <v>7481</v>
      </c>
      <c r="H4" t="s">
        <v>7482</v>
      </c>
      <c r="I4" t="s">
        <v>7483</v>
      </c>
      <c r="J4" t="s">
        <v>7484</v>
      </c>
      <c r="L4" t="s">
        <v>7481</v>
      </c>
      <c r="M4" t="s">
        <v>7482</v>
      </c>
      <c r="N4" t="s">
        <v>7483</v>
      </c>
      <c r="O4" t="s">
        <v>7484</v>
      </c>
      <c r="Q4" t="s">
        <v>7481</v>
      </c>
      <c r="R4" t="s">
        <v>7482</v>
      </c>
      <c r="S4" t="s">
        <v>7483</v>
      </c>
      <c r="T4" t="s">
        <v>7484</v>
      </c>
      <c r="V4" t="s">
        <v>7481</v>
      </c>
      <c r="W4" t="s">
        <v>7482</v>
      </c>
      <c r="X4" t="s">
        <v>7483</v>
      </c>
      <c r="Y4" t="s">
        <v>7484</v>
      </c>
      <c r="AA4" t="s">
        <v>7481</v>
      </c>
      <c r="AB4" t="s">
        <v>7482</v>
      </c>
      <c r="AC4" t="s">
        <v>7483</v>
      </c>
      <c r="AD4" t="s">
        <v>7484</v>
      </c>
      <c r="AF4" t="s">
        <v>7481</v>
      </c>
      <c r="AG4" t="s">
        <v>7482</v>
      </c>
      <c r="AH4" t="s">
        <v>7483</v>
      </c>
      <c r="AI4" t="s">
        <v>7484</v>
      </c>
      <c r="AK4" t="s">
        <v>7481</v>
      </c>
      <c r="AL4" t="s">
        <v>7482</v>
      </c>
      <c r="AM4" t="s">
        <v>7483</v>
      </c>
      <c r="AN4" t="s">
        <v>7484</v>
      </c>
    </row>
    <row r="5" spans="2:40" x14ac:dyDescent="0.3">
      <c r="B5" t="s">
        <v>6999</v>
      </c>
      <c r="C5" t="s">
        <v>73</v>
      </c>
      <c r="D5" t="s">
        <v>7485</v>
      </c>
      <c r="G5" t="s">
        <v>6999</v>
      </c>
      <c r="H5" t="s">
        <v>73</v>
      </c>
      <c r="I5">
        <v>218.798</v>
      </c>
      <c r="L5" t="s">
        <v>6999</v>
      </c>
      <c r="M5" t="s">
        <v>73</v>
      </c>
      <c r="N5" t="s">
        <v>7485</v>
      </c>
      <c r="Q5" t="s">
        <v>6999</v>
      </c>
      <c r="R5" t="s">
        <v>73</v>
      </c>
      <c r="S5" t="s">
        <v>7485</v>
      </c>
      <c r="V5" t="s">
        <v>7001</v>
      </c>
      <c r="W5" t="s">
        <v>305</v>
      </c>
      <c r="X5" t="s">
        <v>7485</v>
      </c>
      <c r="AA5" t="s">
        <v>6999</v>
      </c>
      <c r="AB5" t="s">
        <v>73</v>
      </c>
      <c r="AC5" t="s">
        <v>7485</v>
      </c>
      <c r="AF5" t="s">
        <v>6999</v>
      </c>
      <c r="AG5" t="s">
        <v>73</v>
      </c>
      <c r="AH5" t="s">
        <v>7485</v>
      </c>
      <c r="AK5" t="s">
        <v>6999</v>
      </c>
      <c r="AL5" t="s">
        <v>73</v>
      </c>
      <c r="AM5">
        <v>13</v>
      </c>
    </row>
    <row r="6" spans="2:40" x14ac:dyDescent="0.3">
      <c r="B6" t="s">
        <v>7002</v>
      </c>
      <c r="C6" t="s">
        <v>77</v>
      </c>
      <c r="D6" t="s">
        <v>7485</v>
      </c>
      <c r="G6" t="s">
        <v>7002</v>
      </c>
      <c r="H6" t="s">
        <v>77</v>
      </c>
      <c r="I6">
        <v>0</v>
      </c>
      <c r="L6" t="s">
        <v>7002</v>
      </c>
      <c r="M6" t="s">
        <v>77</v>
      </c>
      <c r="N6" t="s">
        <v>7485</v>
      </c>
      <c r="Q6" t="s">
        <v>7002</v>
      </c>
      <c r="R6" t="s">
        <v>77</v>
      </c>
      <c r="S6">
        <v>106.66666666666667</v>
      </c>
      <c r="V6" t="s">
        <v>7001</v>
      </c>
      <c r="W6" t="s">
        <v>545</v>
      </c>
      <c r="X6" t="s">
        <v>7485</v>
      </c>
      <c r="Y6" t="s">
        <v>7486</v>
      </c>
      <c r="AA6" t="s">
        <v>7002</v>
      </c>
      <c r="AB6" t="s">
        <v>77</v>
      </c>
      <c r="AC6" t="s">
        <v>7485</v>
      </c>
      <c r="AF6" t="s">
        <v>7002</v>
      </c>
      <c r="AG6" t="s">
        <v>77</v>
      </c>
      <c r="AH6" t="s">
        <v>7485</v>
      </c>
      <c r="AK6" t="s">
        <v>7002</v>
      </c>
      <c r="AL6" t="s">
        <v>77</v>
      </c>
      <c r="AM6">
        <v>15</v>
      </c>
    </row>
    <row r="7" spans="2:40" x14ac:dyDescent="0.3">
      <c r="B7" t="s">
        <v>7000</v>
      </c>
      <c r="C7" t="s">
        <v>90</v>
      </c>
      <c r="D7">
        <v>300</v>
      </c>
      <c r="G7" t="s">
        <v>7000</v>
      </c>
      <c r="H7" t="s">
        <v>90</v>
      </c>
      <c r="I7">
        <v>218.798</v>
      </c>
      <c r="L7" t="s">
        <v>7000</v>
      </c>
      <c r="M7" t="s">
        <v>90</v>
      </c>
      <c r="N7" t="s">
        <v>7485</v>
      </c>
      <c r="Q7" t="s">
        <v>7000</v>
      </c>
      <c r="R7" t="s">
        <v>90</v>
      </c>
      <c r="S7" t="s">
        <v>7485</v>
      </c>
      <c r="V7" t="s">
        <v>7001</v>
      </c>
      <c r="W7" t="s">
        <v>697</v>
      </c>
      <c r="X7" t="s">
        <v>7485</v>
      </c>
      <c r="AA7" t="s">
        <v>7000</v>
      </c>
      <c r="AB7" t="s">
        <v>90</v>
      </c>
      <c r="AC7" t="s">
        <v>7485</v>
      </c>
      <c r="AF7" t="s">
        <v>7000</v>
      </c>
      <c r="AG7" t="s">
        <v>90</v>
      </c>
      <c r="AH7" t="s">
        <v>7485</v>
      </c>
      <c r="AK7" t="s">
        <v>7000</v>
      </c>
      <c r="AL7" t="s">
        <v>90</v>
      </c>
      <c r="AM7">
        <v>17</v>
      </c>
    </row>
    <row r="8" spans="2:40" x14ac:dyDescent="0.3">
      <c r="B8" t="s">
        <v>7000</v>
      </c>
      <c r="C8" t="s">
        <v>172</v>
      </c>
      <c r="D8" t="s">
        <v>7485</v>
      </c>
      <c r="G8" t="s">
        <v>7000</v>
      </c>
      <c r="H8" t="s">
        <v>172</v>
      </c>
      <c r="I8">
        <v>0</v>
      </c>
      <c r="L8" t="s">
        <v>7000</v>
      </c>
      <c r="M8" t="s">
        <v>172</v>
      </c>
      <c r="N8" t="s">
        <v>7485</v>
      </c>
      <c r="Q8" t="s">
        <v>7000</v>
      </c>
      <c r="R8" t="s">
        <v>172</v>
      </c>
      <c r="S8" t="s">
        <v>7485</v>
      </c>
      <c r="V8" t="s">
        <v>7001</v>
      </c>
      <c r="W8" t="s">
        <v>704</v>
      </c>
      <c r="X8" t="s">
        <v>7485</v>
      </c>
      <c r="AA8" t="s">
        <v>7000</v>
      </c>
      <c r="AB8" t="s">
        <v>172</v>
      </c>
      <c r="AC8" t="s">
        <v>7485</v>
      </c>
      <c r="AF8" t="s">
        <v>7000</v>
      </c>
      <c r="AG8" t="s">
        <v>172</v>
      </c>
      <c r="AH8" t="s">
        <v>7485</v>
      </c>
      <c r="AK8" t="s">
        <v>7000</v>
      </c>
      <c r="AL8" t="s">
        <v>172</v>
      </c>
      <c r="AM8">
        <v>15</v>
      </c>
    </row>
    <row r="9" spans="2:40" x14ac:dyDescent="0.3">
      <c r="B9" t="s">
        <v>6999</v>
      </c>
      <c r="C9" t="s">
        <v>183</v>
      </c>
      <c r="D9" t="s">
        <v>7485</v>
      </c>
      <c r="G9" t="s">
        <v>6999</v>
      </c>
      <c r="H9" t="s">
        <v>183</v>
      </c>
      <c r="I9">
        <v>0</v>
      </c>
      <c r="L9" t="s">
        <v>6999</v>
      </c>
      <c r="M9" t="s">
        <v>183</v>
      </c>
      <c r="N9" t="s">
        <v>7485</v>
      </c>
      <c r="Q9" t="s">
        <v>6999</v>
      </c>
      <c r="R9" t="s">
        <v>183</v>
      </c>
      <c r="S9" t="s">
        <v>7485</v>
      </c>
      <c r="V9" t="s">
        <v>7001</v>
      </c>
      <c r="W9" t="s">
        <v>744</v>
      </c>
      <c r="X9" t="s">
        <v>7485</v>
      </c>
      <c r="AA9" t="s">
        <v>6999</v>
      </c>
      <c r="AB9" t="s">
        <v>183</v>
      </c>
      <c r="AC9" t="s">
        <v>7485</v>
      </c>
      <c r="AF9" t="s">
        <v>6999</v>
      </c>
      <c r="AG9" t="s">
        <v>183</v>
      </c>
      <c r="AH9" t="s">
        <v>7485</v>
      </c>
      <c r="AK9" t="s">
        <v>6999</v>
      </c>
      <c r="AL9" t="s">
        <v>183</v>
      </c>
      <c r="AM9">
        <v>15</v>
      </c>
    </row>
    <row r="10" spans="2:40" x14ac:dyDescent="0.3">
      <c r="B10" t="s">
        <v>7002</v>
      </c>
      <c r="C10" t="s">
        <v>211</v>
      </c>
      <c r="D10" t="s">
        <v>7485</v>
      </c>
      <c r="G10" t="s">
        <v>7002</v>
      </c>
      <c r="H10" t="s">
        <v>211</v>
      </c>
      <c r="I10">
        <v>0</v>
      </c>
      <c r="L10" t="s">
        <v>7002</v>
      </c>
      <c r="M10" t="s">
        <v>211</v>
      </c>
      <c r="N10" t="s">
        <v>7485</v>
      </c>
      <c r="Q10" t="s">
        <v>7002</v>
      </c>
      <c r="R10" t="s">
        <v>211</v>
      </c>
      <c r="S10">
        <v>10</v>
      </c>
      <c r="V10" t="s">
        <v>7001</v>
      </c>
      <c r="W10" t="s">
        <v>1119</v>
      </c>
      <c r="X10" t="s">
        <v>7485</v>
      </c>
      <c r="AA10" t="s">
        <v>7002</v>
      </c>
      <c r="AB10" t="s">
        <v>211</v>
      </c>
      <c r="AC10" t="s">
        <v>7485</v>
      </c>
      <c r="AF10" t="s">
        <v>7002</v>
      </c>
      <c r="AG10" t="s">
        <v>211</v>
      </c>
      <c r="AH10" t="s">
        <v>7485</v>
      </c>
      <c r="AK10" t="s">
        <v>7002</v>
      </c>
      <c r="AL10" t="s">
        <v>211</v>
      </c>
      <c r="AM10">
        <v>15</v>
      </c>
    </row>
    <row r="11" spans="2:40" x14ac:dyDescent="0.3">
      <c r="B11" t="s">
        <v>7000</v>
      </c>
      <c r="C11" t="s">
        <v>218</v>
      </c>
      <c r="D11" t="s">
        <v>7485</v>
      </c>
      <c r="G11" t="s">
        <v>7000</v>
      </c>
      <c r="H11" t="s">
        <v>218</v>
      </c>
      <c r="I11">
        <v>218.798</v>
      </c>
      <c r="L11" t="s">
        <v>7000</v>
      </c>
      <c r="M11" t="s">
        <v>218</v>
      </c>
      <c r="N11" t="s">
        <v>7485</v>
      </c>
      <c r="Q11" t="s">
        <v>7000</v>
      </c>
      <c r="R11" t="s">
        <v>218</v>
      </c>
      <c r="S11" t="s">
        <v>7485</v>
      </c>
      <c r="V11" t="s">
        <v>7001</v>
      </c>
      <c r="W11" t="s">
        <v>1218</v>
      </c>
      <c r="X11" t="s">
        <v>7485</v>
      </c>
      <c r="AA11" t="s">
        <v>7000</v>
      </c>
      <c r="AB11" t="s">
        <v>218</v>
      </c>
      <c r="AC11" t="s">
        <v>7485</v>
      </c>
      <c r="AF11" t="s">
        <v>7000</v>
      </c>
      <c r="AG11" t="s">
        <v>218</v>
      </c>
      <c r="AH11" t="s">
        <v>7485</v>
      </c>
      <c r="AK11" t="s">
        <v>7000</v>
      </c>
      <c r="AL11" t="s">
        <v>218</v>
      </c>
      <c r="AM11">
        <v>12</v>
      </c>
    </row>
    <row r="12" spans="2:40" x14ac:dyDescent="0.3">
      <c r="B12" t="s">
        <v>7002</v>
      </c>
      <c r="C12" t="s">
        <v>242</v>
      </c>
      <c r="D12" t="s">
        <v>7485</v>
      </c>
      <c r="G12" t="s">
        <v>7002</v>
      </c>
      <c r="H12" t="s">
        <v>242</v>
      </c>
      <c r="I12">
        <v>21.173999999999999</v>
      </c>
      <c r="L12" t="s">
        <v>7002</v>
      </c>
      <c r="M12" t="s">
        <v>242</v>
      </c>
      <c r="N12" t="s">
        <v>7485</v>
      </c>
      <c r="Q12" t="s">
        <v>7002</v>
      </c>
      <c r="R12" t="s">
        <v>242</v>
      </c>
      <c r="S12">
        <v>84.444444444444443</v>
      </c>
      <c r="V12" t="s">
        <v>7001</v>
      </c>
      <c r="W12" t="s">
        <v>1489</v>
      </c>
      <c r="X12" t="s">
        <v>7485</v>
      </c>
      <c r="AA12" t="s">
        <v>7002</v>
      </c>
      <c r="AB12" t="s">
        <v>242</v>
      </c>
      <c r="AC12" t="s">
        <v>7485</v>
      </c>
      <c r="AF12" t="s">
        <v>7002</v>
      </c>
      <c r="AG12" t="s">
        <v>242</v>
      </c>
      <c r="AH12" t="s">
        <v>7485</v>
      </c>
      <c r="AK12" t="s">
        <v>7002</v>
      </c>
      <c r="AL12" t="s">
        <v>242</v>
      </c>
      <c r="AM12">
        <v>15</v>
      </c>
    </row>
    <row r="13" spans="2:40" x14ac:dyDescent="0.3">
      <c r="B13" t="s">
        <v>7002</v>
      </c>
      <c r="C13" t="s">
        <v>269</v>
      </c>
      <c r="D13">
        <v>240</v>
      </c>
      <c r="G13" t="s">
        <v>7002</v>
      </c>
      <c r="H13" t="s">
        <v>269</v>
      </c>
      <c r="I13">
        <v>0</v>
      </c>
      <c r="L13" t="s">
        <v>7002</v>
      </c>
      <c r="M13" t="s">
        <v>269</v>
      </c>
      <c r="N13" t="s">
        <v>7485</v>
      </c>
      <c r="Q13" t="s">
        <v>7002</v>
      </c>
      <c r="R13" t="s">
        <v>269</v>
      </c>
      <c r="S13" t="s">
        <v>7485</v>
      </c>
      <c r="V13" t="s">
        <v>7001</v>
      </c>
      <c r="W13" t="s">
        <v>1507</v>
      </c>
      <c r="X13" t="s">
        <v>7485</v>
      </c>
      <c r="AA13" t="s">
        <v>7002</v>
      </c>
      <c r="AB13" t="s">
        <v>269</v>
      </c>
      <c r="AC13" t="s">
        <v>7485</v>
      </c>
      <c r="AF13" t="s">
        <v>7002</v>
      </c>
      <c r="AG13" t="s">
        <v>269</v>
      </c>
      <c r="AH13" t="s">
        <v>7485</v>
      </c>
      <c r="AK13" t="s">
        <v>7002</v>
      </c>
      <c r="AL13" t="s">
        <v>269</v>
      </c>
      <c r="AM13">
        <v>15</v>
      </c>
    </row>
    <row r="14" spans="2:40" x14ac:dyDescent="0.3">
      <c r="B14" t="s">
        <v>7000</v>
      </c>
      <c r="C14" t="s">
        <v>295</v>
      </c>
      <c r="D14" t="s">
        <v>7485</v>
      </c>
      <c r="G14" t="s">
        <v>7000</v>
      </c>
      <c r="H14" t="s">
        <v>295</v>
      </c>
      <c r="I14">
        <v>0</v>
      </c>
      <c r="L14" t="s">
        <v>7000</v>
      </c>
      <c r="M14" t="s">
        <v>295</v>
      </c>
      <c r="N14" t="s">
        <v>7485</v>
      </c>
      <c r="Q14" t="s">
        <v>7000</v>
      </c>
      <c r="R14" t="s">
        <v>295</v>
      </c>
      <c r="S14" t="s">
        <v>7485</v>
      </c>
      <c r="V14" t="s">
        <v>7001</v>
      </c>
      <c r="W14" t="s">
        <v>1517</v>
      </c>
      <c r="X14" t="s">
        <v>7485</v>
      </c>
      <c r="AA14" t="s">
        <v>7000</v>
      </c>
      <c r="AB14" t="s">
        <v>295</v>
      </c>
      <c r="AC14" t="s">
        <v>7485</v>
      </c>
      <c r="AF14" t="s">
        <v>7000</v>
      </c>
      <c r="AG14" t="s">
        <v>295</v>
      </c>
      <c r="AH14" t="s">
        <v>7485</v>
      </c>
      <c r="AK14" t="s">
        <v>7000</v>
      </c>
      <c r="AL14" t="s">
        <v>295</v>
      </c>
      <c r="AM14">
        <v>15</v>
      </c>
    </row>
    <row r="15" spans="2:40" x14ac:dyDescent="0.3">
      <c r="B15" t="s">
        <v>7001</v>
      </c>
      <c r="C15" t="s">
        <v>305</v>
      </c>
      <c r="D15" t="s">
        <v>7485</v>
      </c>
      <c r="G15" t="s">
        <v>7001</v>
      </c>
      <c r="H15" t="s">
        <v>305</v>
      </c>
      <c r="I15">
        <v>218.798</v>
      </c>
      <c r="L15" t="s">
        <v>7001</v>
      </c>
      <c r="M15" t="s">
        <v>305</v>
      </c>
      <c r="N15" t="s">
        <v>7485</v>
      </c>
      <c r="Q15" t="s">
        <v>7001</v>
      </c>
      <c r="R15" t="s">
        <v>305</v>
      </c>
      <c r="S15" t="s">
        <v>7485</v>
      </c>
      <c r="V15" t="s">
        <v>7001</v>
      </c>
      <c r="W15" t="s">
        <v>1780</v>
      </c>
      <c r="X15" t="s">
        <v>7485</v>
      </c>
      <c r="Y15" t="s">
        <v>7486</v>
      </c>
      <c r="AA15" t="s">
        <v>7001</v>
      </c>
      <c r="AB15" t="s">
        <v>305</v>
      </c>
      <c r="AC15" t="s">
        <v>7485</v>
      </c>
      <c r="AF15" t="s">
        <v>7001</v>
      </c>
      <c r="AG15" t="s">
        <v>305</v>
      </c>
      <c r="AH15" t="s">
        <v>7485</v>
      </c>
      <c r="AK15" t="s">
        <v>7001</v>
      </c>
      <c r="AL15" t="s">
        <v>305</v>
      </c>
      <c r="AM15">
        <v>17</v>
      </c>
    </row>
    <row r="16" spans="2:40" x14ac:dyDescent="0.3">
      <c r="B16" t="s">
        <v>7000</v>
      </c>
      <c r="C16" t="s">
        <v>312</v>
      </c>
      <c r="D16" t="s">
        <v>7485</v>
      </c>
      <c r="G16" t="s">
        <v>7000</v>
      </c>
      <c r="H16" t="s">
        <v>312</v>
      </c>
      <c r="I16">
        <v>0</v>
      </c>
      <c r="L16" t="s">
        <v>7000</v>
      </c>
      <c r="M16" t="s">
        <v>312</v>
      </c>
      <c r="N16">
        <v>200</v>
      </c>
      <c r="Q16" t="s">
        <v>7000</v>
      </c>
      <c r="R16" t="s">
        <v>312</v>
      </c>
      <c r="S16">
        <v>111.11111111111111</v>
      </c>
      <c r="V16" t="s">
        <v>7001</v>
      </c>
      <c r="W16" t="s">
        <v>1939</v>
      </c>
      <c r="X16" t="s">
        <v>7485</v>
      </c>
      <c r="AA16" t="s">
        <v>7000</v>
      </c>
      <c r="AB16" t="s">
        <v>312</v>
      </c>
      <c r="AC16">
        <v>40</v>
      </c>
      <c r="AF16" t="s">
        <v>7000</v>
      </c>
      <c r="AG16" t="s">
        <v>312</v>
      </c>
      <c r="AH16">
        <v>0</v>
      </c>
      <c r="AK16" t="s">
        <v>7000</v>
      </c>
      <c r="AL16" t="s">
        <v>312</v>
      </c>
      <c r="AM16">
        <v>15</v>
      </c>
    </row>
    <row r="17" spans="2:40" x14ac:dyDescent="0.3">
      <c r="B17" t="s">
        <v>7000</v>
      </c>
      <c r="C17" t="s">
        <v>317</v>
      </c>
      <c r="D17">
        <v>300</v>
      </c>
      <c r="G17" t="s">
        <v>7000</v>
      </c>
      <c r="H17" t="s">
        <v>317</v>
      </c>
      <c r="I17">
        <v>0</v>
      </c>
      <c r="L17" t="s">
        <v>7000</v>
      </c>
      <c r="M17" t="s">
        <v>317</v>
      </c>
      <c r="N17" t="s">
        <v>7485</v>
      </c>
      <c r="Q17" t="s">
        <v>7000</v>
      </c>
      <c r="R17" t="s">
        <v>317</v>
      </c>
      <c r="S17" t="s">
        <v>7485</v>
      </c>
      <c r="V17" t="s">
        <v>7001</v>
      </c>
      <c r="W17" t="s">
        <v>1985</v>
      </c>
      <c r="X17" t="s">
        <v>7485</v>
      </c>
      <c r="AA17" t="s">
        <v>7000</v>
      </c>
      <c r="AB17" t="s">
        <v>317</v>
      </c>
      <c r="AC17" t="s">
        <v>7485</v>
      </c>
      <c r="AF17" t="s">
        <v>7000</v>
      </c>
      <c r="AG17" t="s">
        <v>317</v>
      </c>
      <c r="AH17" t="s">
        <v>7485</v>
      </c>
      <c r="AK17" t="s">
        <v>7000</v>
      </c>
      <c r="AL17" t="s">
        <v>317</v>
      </c>
      <c r="AM17">
        <v>15</v>
      </c>
    </row>
    <row r="18" spans="2:40" x14ac:dyDescent="0.3">
      <c r="B18" t="s">
        <v>7002</v>
      </c>
      <c r="C18" t="s">
        <v>334</v>
      </c>
      <c r="D18" t="s">
        <v>7485</v>
      </c>
      <c r="G18" t="s">
        <v>7002</v>
      </c>
      <c r="H18" t="s">
        <v>334</v>
      </c>
      <c r="I18">
        <v>169.392</v>
      </c>
      <c r="L18" t="s">
        <v>7002</v>
      </c>
      <c r="M18" t="s">
        <v>334</v>
      </c>
      <c r="N18" t="s">
        <v>7485</v>
      </c>
      <c r="Q18" t="s">
        <v>7002</v>
      </c>
      <c r="R18" t="s">
        <v>334</v>
      </c>
      <c r="S18">
        <v>26.666666666666668</v>
      </c>
      <c r="V18" t="s">
        <v>7001</v>
      </c>
      <c r="W18" t="s">
        <v>2274</v>
      </c>
      <c r="X18" t="s">
        <v>7485</v>
      </c>
      <c r="AA18" t="s">
        <v>7002</v>
      </c>
      <c r="AB18" t="s">
        <v>334</v>
      </c>
      <c r="AC18" t="s">
        <v>7485</v>
      </c>
      <c r="AF18" t="s">
        <v>7002</v>
      </c>
      <c r="AG18" t="s">
        <v>334</v>
      </c>
      <c r="AH18" t="s">
        <v>7485</v>
      </c>
      <c r="AK18" t="s">
        <v>7002</v>
      </c>
      <c r="AL18" t="s">
        <v>334</v>
      </c>
      <c r="AM18">
        <v>15</v>
      </c>
    </row>
    <row r="19" spans="2:40" x14ac:dyDescent="0.3">
      <c r="B19" t="s">
        <v>7002</v>
      </c>
      <c r="C19" t="s">
        <v>348</v>
      </c>
      <c r="D19">
        <v>300</v>
      </c>
      <c r="G19" t="s">
        <v>7002</v>
      </c>
      <c r="H19" t="s">
        <v>348</v>
      </c>
      <c r="I19">
        <v>0</v>
      </c>
      <c r="L19" t="s">
        <v>7002</v>
      </c>
      <c r="M19" t="s">
        <v>348</v>
      </c>
      <c r="N19" t="s">
        <v>7485</v>
      </c>
      <c r="Q19" t="s">
        <v>7002</v>
      </c>
      <c r="R19" t="s">
        <v>348</v>
      </c>
      <c r="S19">
        <v>102.66</v>
      </c>
      <c r="V19" t="s">
        <v>7001</v>
      </c>
      <c r="W19" t="s">
        <v>2455</v>
      </c>
      <c r="X19" t="s">
        <v>7485</v>
      </c>
      <c r="AA19" t="s">
        <v>7002</v>
      </c>
      <c r="AB19" t="s">
        <v>348</v>
      </c>
      <c r="AC19" t="s">
        <v>7485</v>
      </c>
      <c r="AF19" t="s">
        <v>7002</v>
      </c>
      <c r="AG19" t="s">
        <v>348</v>
      </c>
      <c r="AH19" t="s">
        <v>7485</v>
      </c>
      <c r="AK19" t="s">
        <v>7002</v>
      </c>
      <c r="AL19" t="s">
        <v>348</v>
      </c>
      <c r="AM19">
        <v>15</v>
      </c>
    </row>
    <row r="20" spans="2:40" x14ac:dyDescent="0.3">
      <c r="B20" t="s">
        <v>7000</v>
      </c>
      <c r="C20" t="s">
        <v>368</v>
      </c>
      <c r="D20" t="s">
        <v>7485</v>
      </c>
      <c r="G20" t="s">
        <v>7000</v>
      </c>
      <c r="H20" t="s">
        <v>368</v>
      </c>
      <c r="I20">
        <v>0</v>
      </c>
      <c r="L20" t="s">
        <v>7000</v>
      </c>
      <c r="M20" t="s">
        <v>368</v>
      </c>
      <c r="N20" t="s">
        <v>7485</v>
      </c>
      <c r="Q20" t="s">
        <v>7000</v>
      </c>
      <c r="R20" t="s">
        <v>368</v>
      </c>
      <c r="S20" t="s">
        <v>7485</v>
      </c>
      <c r="V20" t="s">
        <v>7001</v>
      </c>
      <c r="W20" t="s">
        <v>2622</v>
      </c>
      <c r="X20" t="s">
        <v>7485</v>
      </c>
      <c r="AA20" t="s">
        <v>7000</v>
      </c>
      <c r="AB20" t="s">
        <v>368</v>
      </c>
      <c r="AC20" t="s">
        <v>7485</v>
      </c>
      <c r="AF20" t="s">
        <v>7000</v>
      </c>
      <c r="AG20" t="s">
        <v>368</v>
      </c>
      <c r="AH20" t="s">
        <v>7485</v>
      </c>
      <c r="AK20" t="s">
        <v>7000</v>
      </c>
      <c r="AL20" t="s">
        <v>368</v>
      </c>
      <c r="AM20">
        <v>15</v>
      </c>
    </row>
    <row r="21" spans="2:40" x14ac:dyDescent="0.3">
      <c r="B21" t="s">
        <v>7000</v>
      </c>
      <c r="C21" t="s">
        <v>393</v>
      </c>
      <c r="D21">
        <v>300</v>
      </c>
      <c r="G21" t="s">
        <v>7000</v>
      </c>
      <c r="H21" t="s">
        <v>393</v>
      </c>
      <c r="I21">
        <v>0</v>
      </c>
      <c r="L21" t="s">
        <v>7000</v>
      </c>
      <c r="M21" t="s">
        <v>393</v>
      </c>
      <c r="N21" t="s">
        <v>7485</v>
      </c>
      <c r="Q21" t="s">
        <v>7000</v>
      </c>
      <c r="R21" t="s">
        <v>393</v>
      </c>
      <c r="S21" t="s">
        <v>7485</v>
      </c>
      <c r="V21" t="s">
        <v>7001</v>
      </c>
      <c r="W21" t="s">
        <v>2724</v>
      </c>
      <c r="X21" t="s">
        <v>7485</v>
      </c>
      <c r="AA21" t="s">
        <v>7000</v>
      </c>
      <c r="AB21" t="s">
        <v>393</v>
      </c>
      <c r="AC21" t="s">
        <v>7485</v>
      </c>
      <c r="AF21" t="s">
        <v>7000</v>
      </c>
      <c r="AG21" t="s">
        <v>393</v>
      </c>
      <c r="AH21" t="s">
        <v>7485</v>
      </c>
      <c r="AK21" t="s">
        <v>7000</v>
      </c>
      <c r="AL21" t="s">
        <v>393</v>
      </c>
      <c r="AM21">
        <v>15</v>
      </c>
    </row>
    <row r="22" spans="2:40" x14ac:dyDescent="0.3">
      <c r="B22" t="s">
        <v>7000</v>
      </c>
      <c r="C22" t="s">
        <v>404</v>
      </c>
      <c r="D22" t="s">
        <v>7485</v>
      </c>
      <c r="G22" t="s">
        <v>7000</v>
      </c>
      <c r="H22" t="s">
        <v>404</v>
      </c>
      <c r="I22">
        <v>218.798</v>
      </c>
      <c r="L22" t="s">
        <v>7000</v>
      </c>
      <c r="M22" t="s">
        <v>404</v>
      </c>
      <c r="N22" t="s">
        <v>7485</v>
      </c>
      <c r="Q22" t="s">
        <v>7000</v>
      </c>
      <c r="R22" t="s">
        <v>404</v>
      </c>
      <c r="S22">
        <v>66.666666666666657</v>
      </c>
      <c r="V22" t="s">
        <v>7001</v>
      </c>
      <c r="W22" t="s">
        <v>2867</v>
      </c>
      <c r="X22">
        <v>148.97</v>
      </c>
      <c r="AA22" t="s">
        <v>7000</v>
      </c>
      <c r="AB22" t="s">
        <v>404</v>
      </c>
      <c r="AC22">
        <v>0</v>
      </c>
      <c r="AF22" t="s">
        <v>7000</v>
      </c>
      <c r="AG22" t="s">
        <v>404</v>
      </c>
      <c r="AH22">
        <v>0</v>
      </c>
      <c r="AK22" t="s">
        <v>7000</v>
      </c>
      <c r="AL22" t="s">
        <v>404</v>
      </c>
      <c r="AM22">
        <v>15</v>
      </c>
    </row>
    <row r="23" spans="2:40" x14ac:dyDescent="0.3">
      <c r="B23" t="s">
        <v>7000</v>
      </c>
      <c r="C23" t="s">
        <v>408</v>
      </c>
      <c r="D23">
        <v>110</v>
      </c>
      <c r="G23" t="s">
        <v>7000</v>
      </c>
      <c r="H23" t="s">
        <v>408</v>
      </c>
      <c r="I23">
        <v>0</v>
      </c>
      <c r="L23" t="s">
        <v>7000</v>
      </c>
      <c r="M23" t="s">
        <v>408</v>
      </c>
      <c r="N23" t="s">
        <v>7485</v>
      </c>
      <c r="Q23" t="s">
        <v>7000</v>
      </c>
      <c r="R23" t="s">
        <v>408</v>
      </c>
      <c r="S23" t="s">
        <v>7485</v>
      </c>
      <c r="V23" t="s">
        <v>7001</v>
      </c>
      <c r="W23" t="s">
        <v>3037</v>
      </c>
      <c r="X23" t="s">
        <v>7485</v>
      </c>
      <c r="AA23" t="s">
        <v>7000</v>
      </c>
      <c r="AB23" t="s">
        <v>408</v>
      </c>
      <c r="AC23" t="s">
        <v>7485</v>
      </c>
      <c r="AF23" t="s">
        <v>7000</v>
      </c>
      <c r="AG23" t="s">
        <v>408</v>
      </c>
      <c r="AH23" t="s">
        <v>7485</v>
      </c>
      <c r="AK23" t="s">
        <v>7000</v>
      </c>
      <c r="AL23" t="s">
        <v>408</v>
      </c>
      <c r="AM23">
        <v>15</v>
      </c>
    </row>
    <row r="24" spans="2:40" x14ac:dyDescent="0.3">
      <c r="B24" t="s">
        <v>7002</v>
      </c>
      <c r="C24" t="s">
        <v>435</v>
      </c>
      <c r="D24">
        <v>30</v>
      </c>
      <c r="G24" t="s">
        <v>7002</v>
      </c>
      <c r="H24" t="s">
        <v>435</v>
      </c>
      <c r="I24">
        <v>0</v>
      </c>
      <c r="L24" t="s">
        <v>7002</v>
      </c>
      <c r="M24" t="s">
        <v>435</v>
      </c>
      <c r="N24" t="s">
        <v>7485</v>
      </c>
      <c r="Q24" t="s">
        <v>7002</v>
      </c>
      <c r="R24" t="s">
        <v>435</v>
      </c>
      <c r="S24" t="s">
        <v>7485</v>
      </c>
      <c r="V24" t="s">
        <v>7001</v>
      </c>
      <c r="W24" t="s">
        <v>3263</v>
      </c>
      <c r="X24" t="s">
        <v>7485</v>
      </c>
      <c r="AA24" t="s">
        <v>7002</v>
      </c>
      <c r="AB24" t="s">
        <v>435</v>
      </c>
      <c r="AC24" t="s">
        <v>7485</v>
      </c>
      <c r="AF24" t="s">
        <v>7002</v>
      </c>
      <c r="AG24" t="s">
        <v>435</v>
      </c>
      <c r="AH24" t="s">
        <v>7485</v>
      </c>
      <c r="AK24" t="s">
        <v>7002</v>
      </c>
      <c r="AL24" t="s">
        <v>435</v>
      </c>
      <c r="AM24">
        <v>15</v>
      </c>
    </row>
    <row r="25" spans="2:40" x14ac:dyDescent="0.3">
      <c r="B25" t="s">
        <v>7000</v>
      </c>
      <c r="C25" t="s">
        <v>481</v>
      </c>
      <c r="D25" t="s">
        <v>7485</v>
      </c>
      <c r="G25" t="s">
        <v>7000</v>
      </c>
      <c r="H25" t="s">
        <v>481</v>
      </c>
      <c r="I25">
        <v>0</v>
      </c>
      <c r="L25" t="s">
        <v>7000</v>
      </c>
      <c r="M25" t="s">
        <v>481</v>
      </c>
      <c r="N25" t="s">
        <v>7485</v>
      </c>
      <c r="Q25" t="s">
        <v>7000</v>
      </c>
      <c r="R25" t="s">
        <v>481</v>
      </c>
      <c r="S25" t="s">
        <v>7485</v>
      </c>
      <c r="V25" t="s">
        <v>7001</v>
      </c>
      <c r="W25" t="s">
        <v>3371</v>
      </c>
      <c r="X25" t="s">
        <v>7485</v>
      </c>
      <c r="AA25" t="s">
        <v>7000</v>
      </c>
      <c r="AB25" t="s">
        <v>481</v>
      </c>
      <c r="AC25" t="s">
        <v>7485</v>
      </c>
      <c r="AF25" t="s">
        <v>7000</v>
      </c>
      <c r="AG25" t="s">
        <v>481</v>
      </c>
      <c r="AH25" t="s">
        <v>7485</v>
      </c>
      <c r="AK25" t="s">
        <v>7000</v>
      </c>
      <c r="AL25" t="s">
        <v>481</v>
      </c>
      <c r="AM25">
        <v>15</v>
      </c>
    </row>
    <row r="26" spans="2:40" x14ac:dyDescent="0.3">
      <c r="B26" t="s">
        <v>7002</v>
      </c>
      <c r="C26" t="s">
        <v>505</v>
      </c>
      <c r="D26" t="s">
        <v>7485</v>
      </c>
      <c r="G26" t="s">
        <v>7002</v>
      </c>
      <c r="H26" t="s">
        <v>505</v>
      </c>
      <c r="I26">
        <v>0</v>
      </c>
      <c r="L26" t="s">
        <v>7002</v>
      </c>
      <c r="M26" t="s">
        <v>505</v>
      </c>
      <c r="N26" t="s">
        <v>7485</v>
      </c>
      <c r="Q26" t="s">
        <v>7002</v>
      </c>
      <c r="R26" t="s">
        <v>505</v>
      </c>
      <c r="S26">
        <v>102.66</v>
      </c>
      <c r="V26" t="s">
        <v>7001</v>
      </c>
      <c r="W26" t="s">
        <v>3420</v>
      </c>
      <c r="X26" t="s">
        <v>7485</v>
      </c>
      <c r="AA26" t="s">
        <v>7002</v>
      </c>
      <c r="AB26" t="s">
        <v>505</v>
      </c>
      <c r="AC26" t="s">
        <v>7485</v>
      </c>
      <c r="AF26" t="s">
        <v>7002</v>
      </c>
      <c r="AG26" t="s">
        <v>505</v>
      </c>
      <c r="AH26" t="s">
        <v>7485</v>
      </c>
      <c r="AK26" t="s">
        <v>7002</v>
      </c>
      <c r="AL26" t="s">
        <v>505</v>
      </c>
      <c r="AM26">
        <v>15</v>
      </c>
    </row>
    <row r="27" spans="2:40" x14ac:dyDescent="0.3">
      <c r="B27" t="s">
        <v>7000</v>
      </c>
      <c r="C27" t="s">
        <v>517</v>
      </c>
      <c r="D27" t="s">
        <v>7485</v>
      </c>
      <c r="G27" t="s">
        <v>7000</v>
      </c>
      <c r="H27" t="s">
        <v>517</v>
      </c>
      <c r="I27">
        <v>0</v>
      </c>
      <c r="L27" t="s">
        <v>7000</v>
      </c>
      <c r="M27" t="s">
        <v>517</v>
      </c>
      <c r="N27" t="s">
        <v>7485</v>
      </c>
      <c r="Q27" t="s">
        <v>7000</v>
      </c>
      <c r="R27" t="s">
        <v>517</v>
      </c>
      <c r="S27" t="s">
        <v>7485</v>
      </c>
      <c r="V27" t="s">
        <v>7001</v>
      </c>
      <c r="W27" t="s">
        <v>3510</v>
      </c>
      <c r="X27" t="s">
        <v>7485</v>
      </c>
      <c r="AA27" t="s">
        <v>7000</v>
      </c>
      <c r="AB27" t="s">
        <v>517</v>
      </c>
      <c r="AC27" t="s">
        <v>7485</v>
      </c>
      <c r="AF27" t="s">
        <v>7000</v>
      </c>
      <c r="AG27" t="s">
        <v>517</v>
      </c>
      <c r="AH27" t="s">
        <v>7485</v>
      </c>
      <c r="AK27" t="s">
        <v>7000</v>
      </c>
      <c r="AL27" t="s">
        <v>517</v>
      </c>
      <c r="AM27">
        <v>16</v>
      </c>
    </row>
    <row r="28" spans="2:40" x14ac:dyDescent="0.3">
      <c r="B28" t="s">
        <v>7000</v>
      </c>
      <c r="C28" t="s">
        <v>521</v>
      </c>
      <c r="D28" t="s">
        <v>7485</v>
      </c>
      <c r="G28" t="s">
        <v>7000</v>
      </c>
      <c r="H28" t="s">
        <v>521</v>
      </c>
      <c r="I28">
        <v>0</v>
      </c>
      <c r="L28" t="s">
        <v>7000</v>
      </c>
      <c r="M28" t="s">
        <v>521</v>
      </c>
      <c r="N28" t="s">
        <v>7485</v>
      </c>
      <c r="Q28" t="s">
        <v>7000</v>
      </c>
      <c r="R28" t="s">
        <v>521</v>
      </c>
      <c r="S28" t="s">
        <v>7485</v>
      </c>
      <c r="V28" t="s">
        <v>7001</v>
      </c>
      <c r="W28" t="s">
        <v>3659</v>
      </c>
      <c r="X28" t="s">
        <v>7485</v>
      </c>
      <c r="AA28" t="s">
        <v>7000</v>
      </c>
      <c r="AB28" t="s">
        <v>521</v>
      </c>
      <c r="AC28" t="s">
        <v>7485</v>
      </c>
      <c r="AF28" t="s">
        <v>7000</v>
      </c>
      <c r="AG28" t="s">
        <v>521</v>
      </c>
      <c r="AH28" t="s">
        <v>7485</v>
      </c>
      <c r="AK28" t="s">
        <v>7000</v>
      </c>
      <c r="AL28" t="s">
        <v>521</v>
      </c>
      <c r="AM28">
        <v>15</v>
      </c>
    </row>
    <row r="29" spans="2:40" x14ac:dyDescent="0.3">
      <c r="B29" t="s">
        <v>7002</v>
      </c>
      <c r="C29" t="s">
        <v>538</v>
      </c>
      <c r="D29" t="s">
        <v>7485</v>
      </c>
      <c r="G29" t="s">
        <v>7002</v>
      </c>
      <c r="H29" t="s">
        <v>538</v>
      </c>
      <c r="I29">
        <v>0</v>
      </c>
      <c r="L29" t="s">
        <v>7002</v>
      </c>
      <c r="M29" t="s">
        <v>538</v>
      </c>
      <c r="N29" t="s">
        <v>7485</v>
      </c>
      <c r="Q29" t="s">
        <v>7002</v>
      </c>
      <c r="R29" t="s">
        <v>538</v>
      </c>
      <c r="S29">
        <v>86.666666666666657</v>
      </c>
      <c r="V29" t="s">
        <v>7001</v>
      </c>
      <c r="W29" t="s">
        <v>3688</v>
      </c>
      <c r="X29" t="s">
        <v>7485</v>
      </c>
      <c r="AA29" t="s">
        <v>7002</v>
      </c>
      <c r="AB29" t="s">
        <v>538</v>
      </c>
      <c r="AC29">
        <v>250</v>
      </c>
      <c r="AF29" t="s">
        <v>7002</v>
      </c>
      <c r="AG29" t="s">
        <v>538</v>
      </c>
      <c r="AH29">
        <v>0</v>
      </c>
      <c r="AK29" t="s">
        <v>7002</v>
      </c>
      <c r="AL29" t="s">
        <v>538</v>
      </c>
      <c r="AM29">
        <v>15</v>
      </c>
    </row>
    <row r="30" spans="2:40" x14ac:dyDescent="0.3">
      <c r="B30" t="s">
        <v>7001</v>
      </c>
      <c r="C30" t="s">
        <v>545</v>
      </c>
      <c r="D30">
        <v>300</v>
      </c>
      <c r="E30" t="s">
        <v>7487</v>
      </c>
      <c r="G30" t="s">
        <v>7001</v>
      </c>
      <c r="H30" t="s">
        <v>545</v>
      </c>
      <c r="I30">
        <v>0</v>
      </c>
      <c r="L30" t="s">
        <v>7001</v>
      </c>
      <c r="M30" t="s">
        <v>545</v>
      </c>
      <c r="N30">
        <v>200</v>
      </c>
      <c r="O30" t="s">
        <v>7486</v>
      </c>
      <c r="Q30" t="s">
        <v>7001</v>
      </c>
      <c r="R30" t="s">
        <v>545</v>
      </c>
      <c r="S30">
        <v>128.88888888888889</v>
      </c>
      <c r="V30" t="s">
        <v>7001</v>
      </c>
      <c r="W30" t="s">
        <v>3726</v>
      </c>
      <c r="X30" t="s">
        <v>7485</v>
      </c>
      <c r="AA30" t="s">
        <v>7001</v>
      </c>
      <c r="AB30" t="s">
        <v>545</v>
      </c>
      <c r="AC30" t="s">
        <v>7485</v>
      </c>
      <c r="AD30" t="s">
        <v>7486</v>
      </c>
      <c r="AF30" t="s">
        <v>7001</v>
      </c>
      <c r="AG30" t="s">
        <v>545</v>
      </c>
      <c r="AH30" t="s">
        <v>7485</v>
      </c>
      <c r="AI30" t="s">
        <v>7486</v>
      </c>
      <c r="AK30" t="s">
        <v>7001</v>
      </c>
      <c r="AL30" t="s">
        <v>545</v>
      </c>
      <c r="AM30">
        <v>15</v>
      </c>
      <c r="AN30" t="s">
        <v>7486</v>
      </c>
    </row>
    <row r="31" spans="2:40" x14ac:dyDescent="0.3">
      <c r="B31" t="s">
        <v>7002</v>
      </c>
      <c r="C31" t="s">
        <v>545</v>
      </c>
      <c r="D31">
        <v>300</v>
      </c>
      <c r="G31" t="s">
        <v>7002</v>
      </c>
      <c r="H31" t="s">
        <v>545</v>
      </c>
      <c r="I31">
        <v>0</v>
      </c>
      <c r="L31" t="s">
        <v>7002</v>
      </c>
      <c r="M31" t="s">
        <v>545</v>
      </c>
      <c r="N31">
        <v>200</v>
      </c>
      <c r="Q31" t="s">
        <v>7002</v>
      </c>
      <c r="R31" t="s">
        <v>545</v>
      </c>
      <c r="S31">
        <v>128.88888888888889</v>
      </c>
      <c r="T31" t="s">
        <v>7486</v>
      </c>
      <c r="V31" t="s">
        <v>7001</v>
      </c>
      <c r="W31" t="s">
        <v>3959</v>
      </c>
      <c r="X31" t="s">
        <v>7485</v>
      </c>
      <c r="AA31" t="s">
        <v>7002</v>
      </c>
      <c r="AB31" t="s">
        <v>545</v>
      </c>
      <c r="AC31" t="s">
        <v>7485</v>
      </c>
      <c r="AF31" t="s">
        <v>7002</v>
      </c>
      <c r="AG31" t="s">
        <v>545</v>
      </c>
      <c r="AH31" t="s">
        <v>7485</v>
      </c>
      <c r="AK31" t="s">
        <v>7002</v>
      </c>
      <c r="AL31" t="s">
        <v>545</v>
      </c>
      <c r="AM31">
        <v>15</v>
      </c>
    </row>
    <row r="32" spans="2:40" x14ac:dyDescent="0.3">
      <c r="B32" t="s">
        <v>6999</v>
      </c>
      <c r="C32" t="s">
        <v>582</v>
      </c>
      <c r="D32">
        <v>300</v>
      </c>
      <c r="G32" t="s">
        <v>6999</v>
      </c>
      <c r="H32" t="s">
        <v>582</v>
      </c>
      <c r="I32">
        <v>218.798</v>
      </c>
      <c r="L32" t="s">
        <v>6999</v>
      </c>
      <c r="M32" t="s">
        <v>582</v>
      </c>
      <c r="N32" t="s">
        <v>7485</v>
      </c>
      <c r="Q32" t="s">
        <v>6999</v>
      </c>
      <c r="R32" t="s">
        <v>582</v>
      </c>
      <c r="S32" t="s">
        <v>7485</v>
      </c>
      <c r="V32" t="s">
        <v>7001</v>
      </c>
      <c r="W32" t="s">
        <v>4179</v>
      </c>
      <c r="X32">
        <v>197.2</v>
      </c>
      <c r="AA32" t="s">
        <v>6999</v>
      </c>
      <c r="AB32" t="s">
        <v>582</v>
      </c>
      <c r="AC32" t="s">
        <v>7485</v>
      </c>
      <c r="AF32" t="s">
        <v>6999</v>
      </c>
      <c r="AG32" t="s">
        <v>582</v>
      </c>
      <c r="AH32" t="s">
        <v>7485</v>
      </c>
      <c r="AK32" t="s">
        <v>6999</v>
      </c>
      <c r="AL32" t="s">
        <v>582</v>
      </c>
      <c r="AM32">
        <v>13</v>
      </c>
    </row>
    <row r="33" spans="2:39" x14ac:dyDescent="0.3">
      <c r="B33" t="s">
        <v>7000</v>
      </c>
      <c r="C33" t="s">
        <v>586</v>
      </c>
      <c r="D33" t="s">
        <v>7485</v>
      </c>
      <c r="G33" t="s">
        <v>7000</v>
      </c>
      <c r="H33" t="s">
        <v>586</v>
      </c>
      <c r="I33">
        <v>0</v>
      </c>
      <c r="L33" t="s">
        <v>7000</v>
      </c>
      <c r="M33" t="s">
        <v>586</v>
      </c>
      <c r="N33" t="s">
        <v>7485</v>
      </c>
      <c r="Q33" t="s">
        <v>7000</v>
      </c>
      <c r="R33" t="s">
        <v>586</v>
      </c>
      <c r="S33">
        <v>81.111111111111114</v>
      </c>
      <c r="V33" t="s">
        <v>7001</v>
      </c>
      <c r="W33" t="s">
        <v>4973</v>
      </c>
      <c r="X33" t="s">
        <v>7485</v>
      </c>
      <c r="AA33" t="s">
        <v>7000</v>
      </c>
      <c r="AB33" t="s">
        <v>586</v>
      </c>
      <c r="AC33" t="s">
        <v>7485</v>
      </c>
      <c r="AF33" t="s">
        <v>7000</v>
      </c>
      <c r="AG33" t="s">
        <v>586</v>
      </c>
      <c r="AH33" t="s">
        <v>7485</v>
      </c>
      <c r="AK33" t="s">
        <v>7000</v>
      </c>
      <c r="AL33" t="s">
        <v>586</v>
      </c>
      <c r="AM33">
        <v>14</v>
      </c>
    </row>
    <row r="34" spans="2:39" x14ac:dyDescent="0.3">
      <c r="B34" t="s">
        <v>7002</v>
      </c>
      <c r="C34" t="s">
        <v>594</v>
      </c>
      <c r="D34" t="s">
        <v>7485</v>
      </c>
      <c r="G34" t="s">
        <v>7002</v>
      </c>
      <c r="H34" t="s">
        <v>594</v>
      </c>
      <c r="I34">
        <v>0</v>
      </c>
      <c r="L34" t="s">
        <v>7002</v>
      </c>
      <c r="M34" t="s">
        <v>594</v>
      </c>
      <c r="N34" t="s">
        <v>7485</v>
      </c>
      <c r="Q34" t="s">
        <v>7002</v>
      </c>
      <c r="R34" t="s">
        <v>594</v>
      </c>
      <c r="S34" t="s">
        <v>7485</v>
      </c>
      <c r="V34" t="s">
        <v>7001</v>
      </c>
      <c r="W34" t="s">
        <v>5435</v>
      </c>
      <c r="X34" t="s">
        <v>7485</v>
      </c>
      <c r="AA34" t="s">
        <v>7002</v>
      </c>
      <c r="AB34" t="s">
        <v>594</v>
      </c>
      <c r="AC34" t="s">
        <v>7485</v>
      </c>
      <c r="AF34" t="s">
        <v>7002</v>
      </c>
      <c r="AG34" t="s">
        <v>594</v>
      </c>
      <c r="AH34" t="s">
        <v>7485</v>
      </c>
      <c r="AK34" t="s">
        <v>7002</v>
      </c>
      <c r="AL34" t="s">
        <v>594</v>
      </c>
      <c r="AM34">
        <v>15</v>
      </c>
    </row>
    <row r="35" spans="2:39" x14ac:dyDescent="0.3">
      <c r="B35" t="s">
        <v>7000</v>
      </c>
      <c r="C35" t="s">
        <v>604</v>
      </c>
      <c r="D35" t="s">
        <v>7485</v>
      </c>
      <c r="G35" t="s">
        <v>7000</v>
      </c>
      <c r="H35" t="s">
        <v>604</v>
      </c>
      <c r="I35">
        <v>0</v>
      </c>
      <c r="L35" t="s">
        <v>7000</v>
      </c>
      <c r="M35" t="s">
        <v>604</v>
      </c>
      <c r="N35" t="s">
        <v>7485</v>
      </c>
      <c r="Q35" t="s">
        <v>7000</v>
      </c>
      <c r="R35" t="s">
        <v>604</v>
      </c>
      <c r="S35">
        <v>115</v>
      </c>
      <c r="V35" t="s">
        <v>7001</v>
      </c>
      <c r="W35" t="s">
        <v>5693</v>
      </c>
      <c r="X35" t="s">
        <v>7485</v>
      </c>
      <c r="AA35" t="s">
        <v>7000</v>
      </c>
      <c r="AB35" t="s">
        <v>604</v>
      </c>
      <c r="AC35">
        <v>0</v>
      </c>
      <c r="AF35" t="s">
        <v>7000</v>
      </c>
      <c r="AG35" t="s">
        <v>604</v>
      </c>
      <c r="AH35">
        <v>0</v>
      </c>
      <c r="AK35" t="s">
        <v>7000</v>
      </c>
      <c r="AL35" t="s">
        <v>604</v>
      </c>
      <c r="AM35">
        <v>15</v>
      </c>
    </row>
    <row r="36" spans="2:39" x14ac:dyDescent="0.3">
      <c r="B36" t="s">
        <v>7000</v>
      </c>
      <c r="C36" t="s">
        <v>639</v>
      </c>
      <c r="D36" t="s">
        <v>7485</v>
      </c>
      <c r="G36" t="s">
        <v>7000</v>
      </c>
      <c r="H36" t="s">
        <v>639</v>
      </c>
      <c r="I36">
        <v>0</v>
      </c>
      <c r="L36" t="s">
        <v>7000</v>
      </c>
      <c r="M36" t="s">
        <v>639</v>
      </c>
      <c r="N36" t="s">
        <v>7485</v>
      </c>
      <c r="Q36" t="s">
        <v>7000</v>
      </c>
      <c r="R36" t="s">
        <v>639</v>
      </c>
      <c r="S36" t="s">
        <v>7485</v>
      </c>
      <c r="V36" t="s">
        <v>7001</v>
      </c>
      <c r="W36" t="s">
        <v>5745</v>
      </c>
      <c r="X36" t="s">
        <v>7485</v>
      </c>
      <c r="Y36" t="s">
        <v>7486</v>
      </c>
      <c r="AA36" t="s">
        <v>7000</v>
      </c>
      <c r="AB36" t="s">
        <v>639</v>
      </c>
      <c r="AC36">
        <v>0</v>
      </c>
      <c r="AF36" t="s">
        <v>7000</v>
      </c>
      <c r="AG36" t="s">
        <v>639</v>
      </c>
      <c r="AH36">
        <v>0</v>
      </c>
      <c r="AK36" t="s">
        <v>7000</v>
      </c>
      <c r="AL36" t="s">
        <v>639</v>
      </c>
      <c r="AM36">
        <v>15</v>
      </c>
    </row>
    <row r="37" spans="2:39" x14ac:dyDescent="0.3">
      <c r="B37" t="s">
        <v>7000</v>
      </c>
      <c r="C37" t="s">
        <v>643</v>
      </c>
      <c r="D37" t="s">
        <v>7485</v>
      </c>
      <c r="G37" t="s">
        <v>7000</v>
      </c>
      <c r="H37" t="s">
        <v>643</v>
      </c>
      <c r="I37">
        <v>0</v>
      </c>
      <c r="L37" t="s">
        <v>7000</v>
      </c>
      <c r="M37" t="s">
        <v>643</v>
      </c>
      <c r="N37" t="s">
        <v>7485</v>
      </c>
      <c r="Q37" t="s">
        <v>7000</v>
      </c>
      <c r="R37" t="s">
        <v>643</v>
      </c>
      <c r="S37" t="s">
        <v>7485</v>
      </c>
      <c r="V37" t="s">
        <v>7001</v>
      </c>
      <c r="W37" t="s">
        <v>5942</v>
      </c>
      <c r="X37" t="s">
        <v>7485</v>
      </c>
      <c r="AA37" t="s">
        <v>7000</v>
      </c>
      <c r="AB37" t="s">
        <v>643</v>
      </c>
      <c r="AC37" t="s">
        <v>7485</v>
      </c>
      <c r="AF37" t="s">
        <v>7000</v>
      </c>
      <c r="AG37" t="s">
        <v>643</v>
      </c>
      <c r="AH37" t="s">
        <v>7485</v>
      </c>
      <c r="AK37" t="s">
        <v>7000</v>
      </c>
      <c r="AL37" t="s">
        <v>643</v>
      </c>
      <c r="AM37">
        <v>15</v>
      </c>
    </row>
    <row r="38" spans="2:39" x14ac:dyDescent="0.3">
      <c r="B38" t="s">
        <v>7000</v>
      </c>
      <c r="C38" t="s">
        <v>647</v>
      </c>
      <c r="D38" t="s">
        <v>7485</v>
      </c>
      <c r="G38" t="s">
        <v>7000</v>
      </c>
      <c r="H38" t="s">
        <v>647</v>
      </c>
      <c r="I38">
        <v>0</v>
      </c>
      <c r="L38" t="s">
        <v>7000</v>
      </c>
      <c r="M38" t="s">
        <v>647</v>
      </c>
      <c r="N38" t="s">
        <v>7485</v>
      </c>
      <c r="Q38" t="s">
        <v>7000</v>
      </c>
      <c r="R38" t="s">
        <v>647</v>
      </c>
      <c r="S38">
        <v>50</v>
      </c>
      <c r="V38" t="s">
        <v>7001</v>
      </c>
      <c r="W38" t="s">
        <v>6115</v>
      </c>
      <c r="X38" t="s">
        <v>7485</v>
      </c>
      <c r="AA38" t="s">
        <v>7000</v>
      </c>
      <c r="AB38" t="s">
        <v>647</v>
      </c>
      <c r="AC38" t="s">
        <v>7485</v>
      </c>
      <c r="AF38" t="s">
        <v>7000</v>
      </c>
      <c r="AG38" t="s">
        <v>647</v>
      </c>
      <c r="AH38" t="s">
        <v>7485</v>
      </c>
      <c r="AK38" t="s">
        <v>7000</v>
      </c>
      <c r="AL38" t="s">
        <v>647</v>
      </c>
      <c r="AM38">
        <v>15</v>
      </c>
    </row>
    <row r="39" spans="2:39" x14ac:dyDescent="0.3">
      <c r="B39" t="s">
        <v>6999</v>
      </c>
      <c r="C39" t="s">
        <v>658</v>
      </c>
      <c r="D39" t="s">
        <v>7485</v>
      </c>
      <c r="G39" t="s">
        <v>6999</v>
      </c>
      <c r="H39" t="s">
        <v>658</v>
      </c>
      <c r="I39">
        <v>218.798</v>
      </c>
      <c r="L39" t="s">
        <v>6999</v>
      </c>
      <c r="M39" t="s">
        <v>658</v>
      </c>
      <c r="N39" t="s">
        <v>7485</v>
      </c>
      <c r="Q39" t="s">
        <v>6999</v>
      </c>
      <c r="R39" t="s">
        <v>658</v>
      </c>
      <c r="S39" t="s">
        <v>7485</v>
      </c>
      <c r="V39" t="s">
        <v>7001</v>
      </c>
      <c r="W39" t="s">
        <v>6125</v>
      </c>
      <c r="X39" t="s">
        <v>7485</v>
      </c>
      <c r="AA39" t="s">
        <v>6999</v>
      </c>
      <c r="AB39" t="s">
        <v>658</v>
      </c>
      <c r="AC39" t="s">
        <v>7485</v>
      </c>
      <c r="AF39" t="s">
        <v>6999</v>
      </c>
      <c r="AG39" t="s">
        <v>658</v>
      </c>
      <c r="AH39" t="s">
        <v>7485</v>
      </c>
      <c r="AK39" t="s">
        <v>6999</v>
      </c>
      <c r="AL39" t="s">
        <v>658</v>
      </c>
      <c r="AM39">
        <v>15</v>
      </c>
    </row>
    <row r="40" spans="2:39" x14ac:dyDescent="0.3">
      <c r="B40" t="s">
        <v>7002</v>
      </c>
      <c r="C40" t="s">
        <v>661</v>
      </c>
      <c r="D40" t="s">
        <v>7485</v>
      </c>
      <c r="G40" t="s">
        <v>7002</v>
      </c>
      <c r="H40" t="s">
        <v>661</v>
      </c>
      <c r="I40">
        <v>0</v>
      </c>
      <c r="L40" t="s">
        <v>7002</v>
      </c>
      <c r="M40" t="s">
        <v>661</v>
      </c>
      <c r="N40" t="s">
        <v>7485</v>
      </c>
      <c r="Q40" t="s">
        <v>7002</v>
      </c>
      <c r="R40" t="s">
        <v>661</v>
      </c>
      <c r="S40">
        <v>102.66</v>
      </c>
      <c r="V40" t="s">
        <v>7001</v>
      </c>
      <c r="W40" t="s">
        <v>6460</v>
      </c>
      <c r="X40">
        <v>197.2</v>
      </c>
      <c r="AA40" t="s">
        <v>7002</v>
      </c>
      <c r="AB40" t="s">
        <v>661</v>
      </c>
      <c r="AC40">
        <v>0</v>
      </c>
      <c r="AF40" t="s">
        <v>7002</v>
      </c>
      <c r="AG40" t="s">
        <v>661</v>
      </c>
      <c r="AH40">
        <v>0</v>
      </c>
      <c r="AK40" t="s">
        <v>7002</v>
      </c>
      <c r="AL40" t="s">
        <v>661</v>
      </c>
      <c r="AM40">
        <v>15</v>
      </c>
    </row>
    <row r="41" spans="2:39" x14ac:dyDescent="0.3">
      <c r="B41" t="s">
        <v>7002</v>
      </c>
      <c r="C41" t="s">
        <v>693</v>
      </c>
      <c r="D41" t="s">
        <v>7485</v>
      </c>
      <c r="G41" t="s">
        <v>7002</v>
      </c>
      <c r="H41" t="s">
        <v>693</v>
      </c>
      <c r="I41">
        <v>218.798</v>
      </c>
      <c r="L41" t="s">
        <v>7002</v>
      </c>
      <c r="M41" t="s">
        <v>693</v>
      </c>
      <c r="N41" t="s">
        <v>7485</v>
      </c>
      <c r="Q41" t="s">
        <v>7002</v>
      </c>
      <c r="R41" t="s">
        <v>693</v>
      </c>
      <c r="S41" t="s">
        <v>7485</v>
      </c>
      <c r="V41" t="s">
        <v>7001</v>
      </c>
      <c r="W41" t="s">
        <v>6476</v>
      </c>
      <c r="X41" t="s">
        <v>7485</v>
      </c>
      <c r="AA41" t="s">
        <v>7002</v>
      </c>
      <c r="AB41" t="s">
        <v>693</v>
      </c>
      <c r="AC41">
        <v>0</v>
      </c>
      <c r="AF41" t="s">
        <v>7002</v>
      </c>
      <c r="AG41" t="s">
        <v>693</v>
      </c>
      <c r="AH41">
        <v>21.74</v>
      </c>
      <c r="AK41" t="s">
        <v>7002</v>
      </c>
      <c r="AL41" t="s">
        <v>693</v>
      </c>
      <c r="AM41">
        <v>14</v>
      </c>
    </row>
    <row r="42" spans="2:39" x14ac:dyDescent="0.3">
      <c r="B42" t="s">
        <v>7001</v>
      </c>
      <c r="C42" t="s">
        <v>697</v>
      </c>
      <c r="D42" t="s">
        <v>7485</v>
      </c>
      <c r="G42" t="s">
        <v>7001</v>
      </c>
      <c r="H42" t="s">
        <v>697</v>
      </c>
      <c r="I42">
        <v>218.798</v>
      </c>
      <c r="L42" t="s">
        <v>7001</v>
      </c>
      <c r="M42" t="s">
        <v>697</v>
      </c>
      <c r="N42" t="s">
        <v>7485</v>
      </c>
      <c r="Q42" t="s">
        <v>7001</v>
      </c>
      <c r="R42" t="s">
        <v>697</v>
      </c>
      <c r="S42">
        <v>145</v>
      </c>
      <c r="V42" t="s">
        <v>7001</v>
      </c>
      <c r="W42" t="s">
        <v>6587</v>
      </c>
      <c r="X42" t="s">
        <v>7485</v>
      </c>
      <c r="AA42" t="s">
        <v>7001</v>
      </c>
      <c r="AB42" t="s">
        <v>697</v>
      </c>
      <c r="AC42" t="s">
        <v>7485</v>
      </c>
      <c r="AF42" t="s">
        <v>7001</v>
      </c>
      <c r="AG42" t="s">
        <v>697</v>
      </c>
      <c r="AH42" t="s">
        <v>7485</v>
      </c>
      <c r="AK42" t="s">
        <v>7001</v>
      </c>
      <c r="AL42" t="s">
        <v>697</v>
      </c>
      <c r="AM42">
        <v>15</v>
      </c>
    </row>
    <row r="43" spans="2:39" x14ac:dyDescent="0.3">
      <c r="B43" t="s">
        <v>7001</v>
      </c>
      <c r="C43" t="s">
        <v>704</v>
      </c>
      <c r="D43" t="s">
        <v>7485</v>
      </c>
      <c r="G43" t="s">
        <v>7001</v>
      </c>
      <c r="H43" t="s">
        <v>704</v>
      </c>
      <c r="I43">
        <v>0</v>
      </c>
      <c r="L43" t="s">
        <v>7001</v>
      </c>
      <c r="M43" t="s">
        <v>704</v>
      </c>
      <c r="N43" t="s">
        <v>7485</v>
      </c>
      <c r="Q43" t="s">
        <v>7001</v>
      </c>
      <c r="R43" t="s">
        <v>704</v>
      </c>
      <c r="S43" t="s">
        <v>7485</v>
      </c>
      <c r="V43" t="s">
        <v>7001</v>
      </c>
      <c r="W43" t="s">
        <v>6640</v>
      </c>
      <c r="X43" t="s">
        <v>7485</v>
      </c>
      <c r="Y43" t="s">
        <v>7486</v>
      </c>
      <c r="AA43" t="s">
        <v>7001</v>
      </c>
      <c r="AB43" t="s">
        <v>704</v>
      </c>
      <c r="AC43" t="s">
        <v>7485</v>
      </c>
      <c r="AF43" t="s">
        <v>7001</v>
      </c>
      <c r="AG43" t="s">
        <v>704</v>
      </c>
      <c r="AH43" t="s">
        <v>7485</v>
      </c>
      <c r="AK43" t="s">
        <v>7001</v>
      </c>
      <c r="AL43" t="s">
        <v>704</v>
      </c>
      <c r="AM43">
        <v>13</v>
      </c>
    </row>
    <row r="44" spans="2:39" x14ac:dyDescent="0.3">
      <c r="B44" t="s">
        <v>7000</v>
      </c>
      <c r="C44" t="s">
        <v>722</v>
      </c>
      <c r="D44" t="s">
        <v>7485</v>
      </c>
      <c r="G44" t="s">
        <v>7000</v>
      </c>
      <c r="H44" t="s">
        <v>722</v>
      </c>
      <c r="I44">
        <v>0</v>
      </c>
      <c r="L44" t="s">
        <v>7000</v>
      </c>
      <c r="M44" t="s">
        <v>722</v>
      </c>
      <c r="N44" t="s">
        <v>7485</v>
      </c>
      <c r="Q44" t="s">
        <v>7000</v>
      </c>
      <c r="R44" t="s">
        <v>722</v>
      </c>
      <c r="S44" t="s">
        <v>7485</v>
      </c>
      <c r="V44" t="s">
        <v>7001</v>
      </c>
      <c r="W44" t="s">
        <v>6745</v>
      </c>
      <c r="X44" t="s">
        <v>7485</v>
      </c>
      <c r="AA44" t="s">
        <v>7000</v>
      </c>
      <c r="AB44" t="s">
        <v>722</v>
      </c>
      <c r="AC44" t="s">
        <v>7485</v>
      </c>
      <c r="AF44" t="s">
        <v>7000</v>
      </c>
      <c r="AG44" t="s">
        <v>722</v>
      </c>
      <c r="AH44" t="s">
        <v>7485</v>
      </c>
      <c r="AK44" t="s">
        <v>7000</v>
      </c>
      <c r="AL44" t="s">
        <v>722</v>
      </c>
      <c r="AM44">
        <v>15</v>
      </c>
    </row>
    <row r="45" spans="2:39" x14ac:dyDescent="0.3">
      <c r="B45" t="s">
        <v>7001</v>
      </c>
      <c r="C45" t="s">
        <v>744</v>
      </c>
      <c r="D45" t="s">
        <v>7485</v>
      </c>
      <c r="G45" t="s">
        <v>7001</v>
      </c>
      <c r="H45" t="s">
        <v>744</v>
      </c>
      <c r="I45">
        <v>0</v>
      </c>
      <c r="L45" t="s">
        <v>7001</v>
      </c>
      <c r="M45" t="s">
        <v>744</v>
      </c>
      <c r="N45" t="s">
        <v>7485</v>
      </c>
      <c r="Q45" t="s">
        <v>7001</v>
      </c>
      <c r="R45" t="s">
        <v>744</v>
      </c>
      <c r="S45" t="s">
        <v>7485</v>
      </c>
      <c r="V45" t="s">
        <v>7001</v>
      </c>
      <c r="W45" t="s">
        <v>6808</v>
      </c>
      <c r="X45" t="s">
        <v>7485</v>
      </c>
      <c r="AA45" t="s">
        <v>7001</v>
      </c>
      <c r="AB45" t="s">
        <v>744</v>
      </c>
      <c r="AC45" t="s">
        <v>7485</v>
      </c>
      <c r="AF45" t="s">
        <v>7001</v>
      </c>
      <c r="AG45" t="s">
        <v>744</v>
      </c>
      <c r="AH45" t="s">
        <v>7485</v>
      </c>
      <c r="AK45" t="s">
        <v>7001</v>
      </c>
      <c r="AL45" t="s">
        <v>744</v>
      </c>
      <c r="AM45">
        <v>16</v>
      </c>
    </row>
    <row r="46" spans="2:39" x14ac:dyDescent="0.3">
      <c r="B46" t="s">
        <v>7000</v>
      </c>
      <c r="C46" t="s">
        <v>761</v>
      </c>
      <c r="D46" t="s">
        <v>7485</v>
      </c>
      <c r="G46" t="s">
        <v>7000</v>
      </c>
      <c r="H46" t="s">
        <v>761</v>
      </c>
      <c r="I46">
        <v>0</v>
      </c>
      <c r="L46" t="s">
        <v>7000</v>
      </c>
      <c r="M46" t="s">
        <v>761</v>
      </c>
      <c r="N46" t="s">
        <v>7485</v>
      </c>
      <c r="Q46" t="s">
        <v>7000</v>
      </c>
      <c r="R46" t="s">
        <v>761</v>
      </c>
      <c r="S46" t="s">
        <v>7485</v>
      </c>
      <c r="V46" t="s">
        <v>7001</v>
      </c>
      <c r="W46" t="s">
        <v>6894</v>
      </c>
      <c r="X46" t="s">
        <v>7485</v>
      </c>
      <c r="AA46" t="s">
        <v>7000</v>
      </c>
      <c r="AB46" t="s">
        <v>761</v>
      </c>
      <c r="AC46">
        <v>0</v>
      </c>
      <c r="AF46" t="s">
        <v>7000</v>
      </c>
      <c r="AG46" t="s">
        <v>761</v>
      </c>
      <c r="AH46">
        <v>0</v>
      </c>
      <c r="AK46" t="s">
        <v>7000</v>
      </c>
      <c r="AL46" t="s">
        <v>761</v>
      </c>
      <c r="AM46">
        <v>15</v>
      </c>
    </row>
    <row r="47" spans="2:39" x14ac:dyDescent="0.3">
      <c r="B47" t="s">
        <v>6999</v>
      </c>
      <c r="C47" t="s">
        <v>774</v>
      </c>
      <c r="D47">
        <v>300</v>
      </c>
      <c r="G47" t="s">
        <v>6999</v>
      </c>
      <c r="H47" t="s">
        <v>774</v>
      </c>
      <c r="I47">
        <v>211.74</v>
      </c>
      <c r="L47" t="s">
        <v>6999</v>
      </c>
      <c r="M47" t="s">
        <v>774</v>
      </c>
      <c r="N47" t="s">
        <v>7485</v>
      </c>
      <c r="Q47" t="s">
        <v>6999</v>
      </c>
      <c r="R47" t="s">
        <v>774</v>
      </c>
      <c r="S47" t="s">
        <v>7485</v>
      </c>
      <c r="V47" t="s">
        <v>7001</v>
      </c>
      <c r="W47" t="s">
        <v>6949</v>
      </c>
      <c r="X47" t="s">
        <v>7485</v>
      </c>
      <c r="AA47" t="s">
        <v>6999</v>
      </c>
      <c r="AB47" t="s">
        <v>774</v>
      </c>
      <c r="AC47" t="s">
        <v>7485</v>
      </c>
      <c r="AF47" t="s">
        <v>6999</v>
      </c>
      <c r="AG47" t="s">
        <v>774</v>
      </c>
      <c r="AH47" t="s">
        <v>7485</v>
      </c>
      <c r="AK47" t="s">
        <v>6999</v>
      </c>
      <c r="AL47" t="s">
        <v>774</v>
      </c>
      <c r="AM47">
        <v>15</v>
      </c>
    </row>
    <row r="48" spans="2:39" x14ac:dyDescent="0.3">
      <c r="B48" t="s">
        <v>6999</v>
      </c>
      <c r="C48" t="s">
        <v>778</v>
      </c>
      <c r="D48" t="s">
        <v>7485</v>
      </c>
      <c r="G48" t="s">
        <v>6999</v>
      </c>
      <c r="H48" t="s">
        <v>778</v>
      </c>
      <c r="I48">
        <v>0</v>
      </c>
      <c r="L48" t="s">
        <v>6999</v>
      </c>
      <c r="M48" t="s">
        <v>778</v>
      </c>
      <c r="N48" t="s">
        <v>7485</v>
      </c>
      <c r="Q48" t="s">
        <v>6999</v>
      </c>
      <c r="R48" t="s">
        <v>778</v>
      </c>
      <c r="S48" t="s">
        <v>7485</v>
      </c>
      <c r="V48" t="s">
        <v>6999</v>
      </c>
      <c r="W48" t="s">
        <v>73</v>
      </c>
      <c r="X48" t="s">
        <v>7485</v>
      </c>
      <c r="AA48" t="s">
        <v>6999</v>
      </c>
      <c r="AB48" t="s">
        <v>778</v>
      </c>
      <c r="AC48" t="s">
        <v>7485</v>
      </c>
      <c r="AF48" t="s">
        <v>6999</v>
      </c>
      <c r="AG48" t="s">
        <v>778</v>
      </c>
      <c r="AH48" t="s">
        <v>7485</v>
      </c>
      <c r="AK48" t="s">
        <v>6999</v>
      </c>
      <c r="AL48" t="s">
        <v>778</v>
      </c>
      <c r="AM48">
        <v>15</v>
      </c>
    </row>
    <row r="49" spans="2:39" x14ac:dyDescent="0.3">
      <c r="B49" t="s">
        <v>7000</v>
      </c>
      <c r="C49" t="s">
        <v>805</v>
      </c>
      <c r="D49" t="s">
        <v>7485</v>
      </c>
      <c r="G49" t="s">
        <v>7000</v>
      </c>
      <c r="H49" t="s">
        <v>805</v>
      </c>
      <c r="I49">
        <v>0</v>
      </c>
      <c r="L49" t="s">
        <v>7000</v>
      </c>
      <c r="M49" t="s">
        <v>805</v>
      </c>
      <c r="N49" t="s">
        <v>7485</v>
      </c>
      <c r="Q49" t="s">
        <v>7000</v>
      </c>
      <c r="R49" t="s">
        <v>805</v>
      </c>
      <c r="S49" t="s">
        <v>7485</v>
      </c>
      <c r="V49" t="s">
        <v>6999</v>
      </c>
      <c r="W49" t="s">
        <v>183</v>
      </c>
      <c r="X49" t="s">
        <v>7485</v>
      </c>
      <c r="AA49" t="s">
        <v>7000</v>
      </c>
      <c r="AB49" t="s">
        <v>805</v>
      </c>
      <c r="AC49">
        <v>0</v>
      </c>
      <c r="AF49" t="s">
        <v>7000</v>
      </c>
      <c r="AG49" t="s">
        <v>805</v>
      </c>
      <c r="AH49">
        <v>0</v>
      </c>
      <c r="AK49" t="s">
        <v>7000</v>
      </c>
      <c r="AL49" t="s">
        <v>805</v>
      </c>
      <c r="AM49">
        <v>15</v>
      </c>
    </row>
    <row r="50" spans="2:39" x14ac:dyDescent="0.3">
      <c r="B50" t="s">
        <v>7000</v>
      </c>
      <c r="C50" t="s">
        <v>812</v>
      </c>
      <c r="D50" t="s">
        <v>7485</v>
      </c>
      <c r="G50" t="s">
        <v>7000</v>
      </c>
      <c r="H50" t="s">
        <v>812</v>
      </c>
      <c r="I50">
        <v>0</v>
      </c>
      <c r="L50" t="s">
        <v>7000</v>
      </c>
      <c r="M50" t="s">
        <v>812</v>
      </c>
      <c r="N50" t="s">
        <v>7485</v>
      </c>
      <c r="Q50" t="s">
        <v>7000</v>
      </c>
      <c r="R50" t="s">
        <v>812</v>
      </c>
      <c r="S50">
        <v>63.333333333333336</v>
      </c>
      <c r="V50" t="s">
        <v>6999</v>
      </c>
      <c r="W50" t="s">
        <v>582</v>
      </c>
      <c r="X50" t="s">
        <v>7485</v>
      </c>
      <c r="AA50" t="s">
        <v>7000</v>
      </c>
      <c r="AB50" t="s">
        <v>812</v>
      </c>
      <c r="AC50" t="s">
        <v>7485</v>
      </c>
      <c r="AF50" t="s">
        <v>7000</v>
      </c>
      <c r="AG50" t="s">
        <v>812</v>
      </c>
      <c r="AH50" t="s">
        <v>7485</v>
      </c>
      <c r="AK50" t="s">
        <v>7000</v>
      </c>
      <c r="AL50" t="s">
        <v>812</v>
      </c>
      <c r="AM50">
        <v>14</v>
      </c>
    </row>
    <row r="51" spans="2:39" x14ac:dyDescent="0.3">
      <c r="B51" t="s">
        <v>7002</v>
      </c>
      <c r="C51" t="s">
        <v>827</v>
      </c>
      <c r="D51" t="s">
        <v>7485</v>
      </c>
      <c r="G51" t="s">
        <v>7002</v>
      </c>
      <c r="H51" t="s">
        <v>827</v>
      </c>
      <c r="I51">
        <v>0</v>
      </c>
      <c r="L51" t="s">
        <v>7002</v>
      </c>
      <c r="M51" t="s">
        <v>827</v>
      </c>
      <c r="N51" t="s">
        <v>7485</v>
      </c>
      <c r="Q51" t="s">
        <v>7002</v>
      </c>
      <c r="R51" t="s">
        <v>827</v>
      </c>
      <c r="S51">
        <v>45</v>
      </c>
      <c r="V51" t="s">
        <v>6999</v>
      </c>
      <c r="W51" t="s">
        <v>658</v>
      </c>
      <c r="X51" t="s">
        <v>7485</v>
      </c>
      <c r="AA51" t="s">
        <v>7002</v>
      </c>
      <c r="AB51" t="s">
        <v>827</v>
      </c>
      <c r="AC51" t="s">
        <v>7485</v>
      </c>
      <c r="AF51" t="s">
        <v>7002</v>
      </c>
      <c r="AG51" t="s">
        <v>827</v>
      </c>
      <c r="AH51" t="s">
        <v>7485</v>
      </c>
      <c r="AK51" t="s">
        <v>7002</v>
      </c>
      <c r="AL51" t="s">
        <v>827</v>
      </c>
      <c r="AM51">
        <v>15</v>
      </c>
    </row>
    <row r="52" spans="2:39" x14ac:dyDescent="0.3">
      <c r="B52" t="s">
        <v>7002</v>
      </c>
      <c r="C52" t="s">
        <v>837</v>
      </c>
      <c r="D52">
        <v>300</v>
      </c>
      <c r="G52" t="s">
        <v>7002</v>
      </c>
      <c r="H52" t="s">
        <v>837</v>
      </c>
      <c r="I52">
        <v>42.347999999999999</v>
      </c>
      <c r="L52" t="s">
        <v>7002</v>
      </c>
      <c r="M52" t="s">
        <v>837</v>
      </c>
      <c r="N52" t="s">
        <v>7485</v>
      </c>
      <c r="Q52" t="s">
        <v>7002</v>
      </c>
      <c r="R52" t="s">
        <v>837</v>
      </c>
      <c r="S52" t="s">
        <v>7485</v>
      </c>
      <c r="V52" t="s">
        <v>6999</v>
      </c>
      <c r="W52" t="s">
        <v>774</v>
      </c>
      <c r="X52" t="s">
        <v>7485</v>
      </c>
      <c r="AA52" t="s">
        <v>7002</v>
      </c>
      <c r="AB52" t="s">
        <v>837</v>
      </c>
      <c r="AC52" t="s">
        <v>7485</v>
      </c>
      <c r="AF52" t="s">
        <v>7002</v>
      </c>
      <c r="AG52" t="s">
        <v>837</v>
      </c>
      <c r="AH52" t="s">
        <v>7485</v>
      </c>
      <c r="AK52" t="s">
        <v>7002</v>
      </c>
      <c r="AL52" t="s">
        <v>837</v>
      </c>
      <c r="AM52">
        <v>15</v>
      </c>
    </row>
    <row r="53" spans="2:39" x14ac:dyDescent="0.3">
      <c r="B53" t="s">
        <v>6999</v>
      </c>
      <c r="C53" t="s">
        <v>883</v>
      </c>
      <c r="D53">
        <v>300</v>
      </c>
      <c r="G53" t="s">
        <v>6999</v>
      </c>
      <c r="H53" t="s">
        <v>883</v>
      </c>
      <c r="I53">
        <v>211.74</v>
      </c>
      <c r="L53" t="s">
        <v>6999</v>
      </c>
      <c r="M53" t="s">
        <v>883</v>
      </c>
      <c r="N53" t="s">
        <v>7485</v>
      </c>
      <c r="Q53" t="s">
        <v>6999</v>
      </c>
      <c r="R53" t="s">
        <v>883</v>
      </c>
      <c r="S53">
        <v>120</v>
      </c>
      <c r="V53" t="s">
        <v>6999</v>
      </c>
      <c r="W53" t="s">
        <v>778</v>
      </c>
      <c r="X53" t="s">
        <v>7485</v>
      </c>
      <c r="AA53" t="s">
        <v>6999</v>
      </c>
      <c r="AB53" t="s">
        <v>883</v>
      </c>
      <c r="AC53" t="s">
        <v>7485</v>
      </c>
      <c r="AF53" t="s">
        <v>6999</v>
      </c>
      <c r="AG53" t="s">
        <v>883</v>
      </c>
      <c r="AH53" t="s">
        <v>7485</v>
      </c>
      <c r="AK53" t="s">
        <v>6999</v>
      </c>
      <c r="AL53" t="s">
        <v>883</v>
      </c>
      <c r="AM53">
        <v>15</v>
      </c>
    </row>
    <row r="54" spans="2:39" x14ac:dyDescent="0.3">
      <c r="B54" t="s">
        <v>7002</v>
      </c>
      <c r="C54" t="s">
        <v>887</v>
      </c>
      <c r="D54" t="s">
        <v>7485</v>
      </c>
      <c r="G54" t="s">
        <v>7002</v>
      </c>
      <c r="H54" t="s">
        <v>887</v>
      </c>
      <c r="I54">
        <v>218.798</v>
      </c>
      <c r="L54" t="s">
        <v>7002</v>
      </c>
      <c r="M54" t="s">
        <v>887</v>
      </c>
      <c r="N54" t="s">
        <v>7485</v>
      </c>
      <c r="Q54" t="s">
        <v>7002</v>
      </c>
      <c r="R54" t="s">
        <v>887</v>
      </c>
      <c r="S54" t="s">
        <v>7485</v>
      </c>
      <c r="V54" t="s">
        <v>6999</v>
      </c>
      <c r="W54" t="s">
        <v>883</v>
      </c>
      <c r="X54" t="s">
        <v>7485</v>
      </c>
      <c r="AA54" t="s">
        <v>7002</v>
      </c>
      <c r="AB54" t="s">
        <v>887</v>
      </c>
      <c r="AC54" t="s">
        <v>7485</v>
      </c>
      <c r="AF54" t="s">
        <v>7002</v>
      </c>
      <c r="AG54" t="s">
        <v>887</v>
      </c>
      <c r="AH54" t="s">
        <v>7485</v>
      </c>
      <c r="AK54" t="s">
        <v>7002</v>
      </c>
      <c r="AL54" t="s">
        <v>887</v>
      </c>
      <c r="AM54">
        <v>15</v>
      </c>
    </row>
    <row r="55" spans="2:39" x14ac:dyDescent="0.3">
      <c r="B55" t="s">
        <v>6999</v>
      </c>
      <c r="C55" t="s">
        <v>902</v>
      </c>
      <c r="D55" t="s">
        <v>7485</v>
      </c>
      <c r="G55" t="s">
        <v>6999</v>
      </c>
      <c r="H55" t="s">
        <v>902</v>
      </c>
      <c r="I55">
        <v>0</v>
      </c>
      <c r="L55" t="s">
        <v>6999</v>
      </c>
      <c r="M55" t="s">
        <v>902</v>
      </c>
      <c r="N55" t="s">
        <v>7485</v>
      </c>
      <c r="Q55" t="s">
        <v>6999</v>
      </c>
      <c r="R55" t="s">
        <v>902</v>
      </c>
      <c r="S55" t="s">
        <v>7485</v>
      </c>
      <c r="V55" t="s">
        <v>6999</v>
      </c>
      <c r="W55" t="s">
        <v>902</v>
      </c>
      <c r="X55" t="s">
        <v>7485</v>
      </c>
      <c r="AA55" t="s">
        <v>6999</v>
      </c>
      <c r="AB55" t="s">
        <v>902</v>
      </c>
      <c r="AC55" t="s">
        <v>7485</v>
      </c>
      <c r="AF55" t="s">
        <v>6999</v>
      </c>
      <c r="AG55" t="s">
        <v>902</v>
      </c>
      <c r="AH55" t="s">
        <v>7485</v>
      </c>
      <c r="AK55" t="s">
        <v>6999</v>
      </c>
      <c r="AL55" t="s">
        <v>902</v>
      </c>
      <c r="AM55">
        <v>15</v>
      </c>
    </row>
    <row r="56" spans="2:39" x14ac:dyDescent="0.3">
      <c r="B56" t="s">
        <v>7002</v>
      </c>
      <c r="C56" t="s">
        <v>910</v>
      </c>
      <c r="D56" t="s">
        <v>7485</v>
      </c>
      <c r="G56" t="s">
        <v>7002</v>
      </c>
      <c r="H56" t="s">
        <v>910</v>
      </c>
      <c r="I56">
        <v>0</v>
      </c>
      <c r="L56" t="s">
        <v>7002</v>
      </c>
      <c r="M56" t="s">
        <v>910</v>
      </c>
      <c r="N56" t="s">
        <v>7485</v>
      </c>
      <c r="Q56" t="s">
        <v>7002</v>
      </c>
      <c r="R56" t="s">
        <v>910</v>
      </c>
      <c r="S56">
        <v>128.88888888888889</v>
      </c>
      <c r="V56" t="s">
        <v>6999</v>
      </c>
      <c r="W56" t="s">
        <v>1553</v>
      </c>
      <c r="X56" t="s">
        <v>7485</v>
      </c>
      <c r="AA56" t="s">
        <v>7002</v>
      </c>
      <c r="AB56" t="s">
        <v>910</v>
      </c>
      <c r="AC56" t="s">
        <v>7485</v>
      </c>
      <c r="AF56" t="s">
        <v>7002</v>
      </c>
      <c r="AG56" t="s">
        <v>910</v>
      </c>
      <c r="AH56" t="s">
        <v>7485</v>
      </c>
      <c r="AK56" t="s">
        <v>7002</v>
      </c>
      <c r="AL56" t="s">
        <v>910</v>
      </c>
      <c r="AM56">
        <v>15</v>
      </c>
    </row>
    <row r="57" spans="2:39" x14ac:dyDescent="0.3">
      <c r="B57" t="s">
        <v>7000</v>
      </c>
      <c r="C57" t="s">
        <v>914</v>
      </c>
      <c r="D57" t="s">
        <v>7485</v>
      </c>
      <c r="G57" t="s">
        <v>7000</v>
      </c>
      <c r="H57" t="s">
        <v>914</v>
      </c>
      <c r="I57">
        <v>218.798</v>
      </c>
      <c r="L57" t="s">
        <v>7000</v>
      </c>
      <c r="M57" t="s">
        <v>914</v>
      </c>
      <c r="N57" t="s">
        <v>7485</v>
      </c>
      <c r="Q57" t="s">
        <v>7000</v>
      </c>
      <c r="R57" t="s">
        <v>914</v>
      </c>
      <c r="S57">
        <v>66.666666666666657</v>
      </c>
      <c r="V57" t="s">
        <v>6999</v>
      </c>
      <c r="W57" t="s">
        <v>1591</v>
      </c>
      <c r="X57" t="s">
        <v>7485</v>
      </c>
      <c r="AA57" t="s">
        <v>7000</v>
      </c>
      <c r="AB57" t="s">
        <v>914</v>
      </c>
      <c r="AC57">
        <v>0</v>
      </c>
      <c r="AF57" t="s">
        <v>7000</v>
      </c>
      <c r="AG57" t="s">
        <v>914</v>
      </c>
      <c r="AH57">
        <v>21.74</v>
      </c>
      <c r="AK57" t="s">
        <v>7000</v>
      </c>
      <c r="AL57" t="s">
        <v>914</v>
      </c>
      <c r="AM57">
        <v>15</v>
      </c>
    </row>
    <row r="58" spans="2:39" x14ac:dyDescent="0.3">
      <c r="B58" t="s">
        <v>7000</v>
      </c>
      <c r="C58" t="s">
        <v>1019</v>
      </c>
      <c r="D58" t="s">
        <v>7485</v>
      </c>
      <c r="G58" t="s">
        <v>7000</v>
      </c>
      <c r="H58" t="s">
        <v>1019</v>
      </c>
      <c r="I58">
        <v>218.798</v>
      </c>
      <c r="L58" t="s">
        <v>7000</v>
      </c>
      <c r="M58" t="s">
        <v>1019</v>
      </c>
      <c r="N58">
        <v>200</v>
      </c>
      <c r="Q58" t="s">
        <v>7000</v>
      </c>
      <c r="R58" t="s">
        <v>1019</v>
      </c>
      <c r="S58" t="s">
        <v>7485</v>
      </c>
      <c r="V58" t="s">
        <v>6999</v>
      </c>
      <c r="W58" t="s">
        <v>1683</v>
      </c>
      <c r="X58" t="s">
        <v>7485</v>
      </c>
      <c r="AA58" t="s">
        <v>7000</v>
      </c>
      <c r="AB58" t="s">
        <v>1019</v>
      </c>
      <c r="AC58" t="s">
        <v>7485</v>
      </c>
      <c r="AF58" t="s">
        <v>7000</v>
      </c>
      <c r="AG58" t="s">
        <v>1019</v>
      </c>
      <c r="AH58" t="s">
        <v>7485</v>
      </c>
      <c r="AK58" t="s">
        <v>7000</v>
      </c>
      <c r="AL58" t="s">
        <v>1019</v>
      </c>
      <c r="AM58">
        <v>16</v>
      </c>
    </row>
    <row r="59" spans="2:39" x14ac:dyDescent="0.3">
      <c r="B59" t="s">
        <v>7000</v>
      </c>
      <c r="C59" t="s">
        <v>1064</v>
      </c>
      <c r="D59" t="s">
        <v>7485</v>
      </c>
      <c r="G59" t="s">
        <v>7000</v>
      </c>
      <c r="H59" t="s">
        <v>1064</v>
      </c>
      <c r="I59">
        <v>0</v>
      </c>
      <c r="L59" t="s">
        <v>7000</v>
      </c>
      <c r="M59" t="s">
        <v>1064</v>
      </c>
      <c r="N59" t="s">
        <v>7485</v>
      </c>
      <c r="Q59" t="s">
        <v>7000</v>
      </c>
      <c r="R59" t="s">
        <v>1064</v>
      </c>
      <c r="S59">
        <v>74.666666666666657</v>
      </c>
      <c r="V59" t="s">
        <v>6999</v>
      </c>
      <c r="W59" t="s">
        <v>1750</v>
      </c>
      <c r="X59" t="s">
        <v>7485</v>
      </c>
      <c r="AA59" t="s">
        <v>7000</v>
      </c>
      <c r="AB59" t="s">
        <v>1064</v>
      </c>
      <c r="AC59" t="s">
        <v>7485</v>
      </c>
      <c r="AF59" t="s">
        <v>7000</v>
      </c>
      <c r="AG59" t="s">
        <v>1064</v>
      </c>
      <c r="AH59" t="s">
        <v>7485</v>
      </c>
      <c r="AK59" t="s">
        <v>7000</v>
      </c>
      <c r="AL59" t="s">
        <v>1064</v>
      </c>
      <c r="AM59">
        <v>14</v>
      </c>
    </row>
    <row r="60" spans="2:39" x14ac:dyDescent="0.3">
      <c r="B60" t="s">
        <v>7002</v>
      </c>
      <c r="C60" t="s">
        <v>1068</v>
      </c>
      <c r="D60" t="s">
        <v>7485</v>
      </c>
      <c r="G60" t="s">
        <v>7002</v>
      </c>
      <c r="H60" t="s">
        <v>1068</v>
      </c>
      <c r="I60">
        <v>0</v>
      </c>
      <c r="L60" t="s">
        <v>7002</v>
      </c>
      <c r="M60" t="s">
        <v>1068</v>
      </c>
      <c r="N60" t="s">
        <v>7485</v>
      </c>
      <c r="Q60" t="s">
        <v>7002</v>
      </c>
      <c r="R60" t="s">
        <v>1068</v>
      </c>
      <c r="S60" t="s">
        <v>7485</v>
      </c>
      <c r="V60" t="s">
        <v>6999</v>
      </c>
      <c r="W60" t="s">
        <v>1989</v>
      </c>
      <c r="X60" t="s">
        <v>7485</v>
      </c>
      <c r="AA60" t="s">
        <v>7002</v>
      </c>
      <c r="AB60" t="s">
        <v>1068</v>
      </c>
      <c r="AC60" t="s">
        <v>7485</v>
      </c>
      <c r="AF60" t="s">
        <v>7002</v>
      </c>
      <c r="AG60" t="s">
        <v>1068</v>
      </c>
      <c r="AH60" t="s">
        <v>7485</v>
      </c>
      <c r="AK60" t="s">
        <v>7002</v>
      </c>
      <c r="AL60" t="s">
        <v>1068</v>
      </c>
      <c r="AM60">
        <v>15</v>
      </c>
    </row>
    <row r="61" spans="2:39" x14ac:dyDescent="0.3">
      <c r="B61" t="s">
        <v>7002</v>
      </c>
      <c r="C61" t="s">
        <v>1072</v>
      </c>
      <c r="D61" t="s">
        <v>7485</v>
      </c>
      <c r="G61" t="s">
        <v>7002</v>
      </c>
      <c r="H61" t="s">
        <v>1072</v>
      </c>
      <c r="I61">
        <v>91.753999999999991</v>
      </c>
      <c r="L61" t="s">
        <v>7002</v>
      </c>
      <c r="M61" t="s">
        <v>1072</v>
      </c>
      <c r="N61" t="s">
        <v>7485</v>
      </c>
      <c r="Q61" t="s">
        <v>7002</v>
      </c>
      <c r="R61" t="s">
        <v>1072</v>
      </c>
      <c r="S61" t="s">
        <v>7485</v>
      </c>
      <c r="V61" t="s">
        <v>6999</v>
      </c>
      <c r="W61" t="s">
        <v>2176</v>
      </c>
      <c r="X61" t="s">
        <v>7485</v>
      </c>
      <c r="AA61" t="s">
        <v>7002</v>
      </c>
      <c r="AB61" t="s">
        <v>1072</v>
      </c>
      <c r="AC61">
        <v>0</v>
      </c>
      <c r="AF61" t="s">
        <v>7002</v>
      </c>
      <c r="AG61" t="s">
        <v>1072</v>
      </c>
      <c r="AH61">
        <v>21.74</v>
      </c>
      <c r="AK61" t="s">
        <v>7002</v>
      </c>
      <c r="AL61" t="s">
        <v>1072</v>
      </c>
      <c r="AM61">
        <v>15</v>
      </c>
    </row>
    <row r="62" spans="2:39" x14ac:dyDescent="0.3">
      <c r="B62" t="s">
        <v>7001</v>
      </c>
      <c r="C62" t="s">
        <v>1119</v>
      </c>
      <c r="D62" t="s">
        <v>7485</v>
      </c>
      <c r="G62" t="s">
        <v>7001</v>
      </c>
      <c r="H62" t="s">
        <v>1119</v>
      </c>
      <c r="I62">
        <v>211.74</v>
      </c>
      <c r="L62" t="s">
        <v>7001</v>
      </c>
      <c r="M62" t="s">
        <v>1119</v>
      </c>
      <c r="N62" t="s">
        <v>7485</v>
      </c>
      <c r="Q62" t="s">
        <v>7001</v>
      </c>
      <c r="R62" t="s">
        <v>1119</v>
      </c>
      <c r="S62">
        <v>66.666666666666671</v>
      </c>
      <c r="V62" t="s">
        <v>6999</v>
      </c>
      <c r="W62" t="s">
        <v>2278</v>
      </c>
      <c r="X62" t="s">
        <v>7485</v>
      </c>
      <c r="AA62" t="s">
        <v>7001</v>
      </c>
      <c r="AB62" t="s">
        <v>1119</v>
      </c>
      <c r="AC62" t="s">
        <v>7485</v>
      </c>
      <c r="AF62" t="s">
        <v>7001</v>
      </c>
      <c r="AG62" t="s">
        <v>1119</v>
      </c>
      <c r="AH62" t="s">
        <v>7485</v>
      </c>
      <c r="AK62" t="s">
        <v>7001</v>
      </c>
      <c r="AL62" t="s">
        <v>1119</v>
      </c>
      <c r="AM62">
        <v>15</v>
      </c>
    </row>
    <row r="63" spans="2:39" x14ac:dyDescent="0.3">
      <c r="B63" t="s">
        <v>7000</v>
      </c>
      <c r="C63" t="s">
        <v>1170</v>
      </c>
      <c r="D63">
        <v>110</v>
      </c>
      <c r="G63" t="s">
        <v>7000</v>
      </c>
      <c r="H63" t="s">
        <v>1170</v>
      </c>
      <c r="I63">
        <v>0</v>
      </c>
      <c r="L63" t="s">
        <v>7000</v>
      </c>
      <c r="M63" t="s">
        <v>1170</v>
      </c>
      <c r="N63" t="s">
        <v>7485</v>
      </c>
      <c r="Q63" t="s">
        <v>7000</v>
      </c>
      <c r="R63" t="s">
        <v>1170</v>
      </c>
      <c r="S63">
        <v>120</v>
      </c>
      <c r="V63" t="s">
        <v>6999</v>
      </c>
      <c r="W63" t="s">
        <v>2358</v>
      </c>
      <c r="X63" t="s">
        <v>7485</v>
      </c>
      <c r="AA63" t="s">
        <v>7000</v>
      </c>
      <c r="AB63" t="s">
        <v>1170</v>
      </c>
      <c r="AC63">
        <v>185</v>
      </c>
      <c r="AF63" t="s">
        <v>7000</v>
      </c>
      <c r="AG63" t="s">
        <v>1170</v>
      </c>
      <c r="AH63">
        <v>0</v>
      </c>
      <c r="AK63" t="s">
        <v>7000</v>
      </c>
      <c r="AL63" t="s">
        <v>1170</v>
      </c>
      <c r="AM63">
        <v>15</v>
      </c>
    </row>
    <row r="64" spans="2:39" x14ac:dyDescent="0.3">
      <c r="B64" t="s">
        <v>7002</v>
      </c>
      <c r="C64" t="s">
        <v>1174</v>
      </c>
      <c r="D64" t="s">
        <v>7485</v>
      </c>
      <c r="G64" t="s">
        <v>7002</v>
      </c>
      <c r="H64" t="s">
        <v>1174</v>
      </c>
      <c r="I64">
        <v>0</v>
      </c>
      <c r="L64" t="s">
        <v>7002</v>
      </c>
      <c r="M64" t="s">
        <v>1174</v>
      </c>
      <c r="N64" t="s">
        <v>7485</v>
      </c>
      <c r="Q64" t="s">
        <v>7002</v>
      </c>
      <c r="R64" t="s">
        <v>1174</v>
      </c>
      <c r="S64" t="s">
        <v>7485</v>
      </c>
      <c r="V64" t="s">
        <v>6999</v>
      </c>
      <c r="W64" t="s">
        <v>2601</v>
      </c>
      <c r="X64" t="s">
        <v>7485</v>
      </c>
      <c r="AA64" t="s">
        <v>7002</v>
      </c>
      <c r="AB64" t="s">
        <v>1174</v>
      </c>
      <c r="AC64" t="s">
        <v>7485</v>
      </c>
      <c r="AF64" t="s">
        <v>7002</v>
      </c>
      <c r="AG64" t="s">
        <v>1174</v>
      </c>
      <c r="AH64" t="s">
        <v>7485</v>
      </c>
      <c r="AK64" t="s">
        <v>7002</v>
      </c>
      <c r="AL64" t="s">
        <v>1174</v>
      </c>
      <c r="AM64">
        <v>15</v>
      </c>
    </row>
    <row r="65" spans="2:39" x14ac:dyDescent="0.3">
      <c r="B65" t="s">
        <v>7000</v>
      </c>
      <c r="C65" t="s">
        <v>1203</v>
      </c>
      <c r="D65" t="s">
        <v>7485</v>
      </c>
      <c r="G65" t="s">
        <v>7000</v>
      </c>
      <c r="H65" t="s">
        <v>1203</v>
      </c>
      <c r="I65">
        <v>218.798</v>
      </c>
      <c r="L65" t="s">
        <v>7000</v>
      </c>
      <c r="M65" t="s">
        <v>1203</v>
      </c>
      <c r="N65" t="s">
        <v>7485</v>
      </c>
      <c r="Q65" t="s">
        <v>7000</v>
      </c>
      <c r="R65" t="s">
        <v>1203</v>
      </c>
      <c r="S65" t="s">
        <v>7485</v>
      </c>
      <c r="V65" t="s">
        <v>6999</v>
      </c>
      <c r="W65" t="s">
        <v>2626</v>
      </c>
      <c r="X65" t="s">
        <v>7485</v>
      </c>
      <c r="AA65" t="s">
        <v>7000</v>
      </c>
      <c r="AB65" t="s">
        <v>1203</v>
      </c>
      <c r="AC65" t="s">
        <v>7485</v>
      </c>
      <c r="AF65" t="s">
        <v>7000</v>
      </c>
      <c r="AG65" t="s">
        <v>1203</v>
      </c>
      <c r="AH65" t="s">
        <v>7485</v>
      </c>
      <c r="AK65" t="s">
        <v>7000</v>
      </c>
      <c r="AL65" t="s">
        <v>1203</v>
      </c>
      <c r="AM65">
        <v>15</v>
      </c>
    </row>
    <row r="66" spans="2:39" x14ac:dyDescent="0.3">
      <c r="B66" t="s">
        <v>7001</v>
      </c>
      <c r="C66" t="s">
        <v>1218</v>
      </c>
      <c r="D66">
        <v>300</v>
      </c>
      <c r="G66" t="s">
        <v>7001</v>
      </c>
      <c r="H66" t="s">
        <v>1218</v>
      </c>
      <c r="I66">
        <v>0</v>
      </c>
      <c r="L66" t="s">
        <v>7001</v>
      </c>
      <c r="M66" t="s">
        <v>1218</v>
      </c>
      <c r="N66" t="s">
        <v>7485</v>
      </c>
      <c r="Q66" t="s">
        <v>7001</v>
      </c>
      <c r="R66" t="s">
        <v>1218</v>
      </c>
      <c r="S66" t="s">
        <v>7485</v>
      </c>
      <c r="V66" t="s">
        <v>6999</v>
      </c>
      <c r="W66" t="s">
        <v>2667</v>
      </c>
      <c r="X66" t="s">
        <v>7485</v>
      </c>
      <c r="AA66" t="s">
        <v>7001</v>
      </c>
      <c r="AB66" t="s">
        <v>1218</v>
      </c>
      <c r="AC66" t="s">
        <v>7485</v>
      </c>
      <c r="AF66" t="s">
        <v>7001</v>
      </c>
      <c r="AG66" t="s">
        <v>1218</v>
      </c>
      <c r="AH66" t="s">
        <v>7485</v>
      </c>
      <c r="AK66" t="s">
        <v>7001</v>
      </c>
      <c r="AL66" t="s">
        <v>1218</v>
      </c>
      <c r="AM66">
        <v>15</v>
      </c>
    </row>
    <row r="67" spans="2:39" x14ac:dyDescent="0.3">
      <c r="B67" t="s">
        <v>7002</v>
      </c>
      <c r="C67" t="s">
        <v>1242</v>
      </c>
      <c r="D67" t="s">
        <v>7485</v>
      </c>
      <c r="G67" t="s">
        <v>7002</v>
      </c>
      <c r="H67" t="s">
        <v>1242</v>
      </c>
      <c r="I67">
        <v>0</v>
      </c>
      <c r="L67" t="s">
        <v>7002</v>
      </c>
      <c r="M67" t="s">
        <v>1242</v>
      </c>
      <c r="N67" t="s">
        <v>7485</v>
      </c>
      <c r="Q67" t="s">
        <v>7002</v>
      </c>
      <c r="R67" t="s">
        <v>1242</v>
      </c>
      <c r="S67" t="s">
        <v>7485</v>
      </c>
      <c r="V67" t="s">
        <v>6999</v>
      </c>
      <c r="W67" t="s">
        <v>2918</v>
      </c>
      <c r="X67" t="s">
        <v>7485</v>
      </c>
      <c r="AA67" t="s">
        <v>7002</v>
      </c>
      <c r="AB67" t="s">
        <v>1242</v>
      </c>
      <c r="AC67" t="s">
        <v>7485</v>
      </c>
      <c r="AF67" t="s">
        <v>7002</v>
      </c>
      <c r="AG67" t="s">
        <v>1242</v>
      </c>
      <c r="AH67" t="s">
        <v>7485</v>
      </c>
      <c r="AK67" t="s">
        <v>7002</v>
      </c>
      <c r="AL67" t="s">
        <v>1242</v>
      </c>
      <c r="AM67">
        <v>15</v>
      </c>
    </row>
    <row r="68" spans="2:39" x14ac:dyDescent="0.3">
      <c r="B68" t="s">
        <v>7000</v>
      </c>
      <c r="C68" t="s">
        <v>1292</v>
      </c>
      <c r="D68" t="s">
        <v>7485</v>
      </c>
      <c r="G68" t="s">
        <v>7000</v>
      </c>
      <c r="H68" t="s">
        <v>1292</v>
      </c>
      <c r="I68">
        <v>0</v>
      </c>
      <c r="L68" t="s">
        <v>7000</v>
      </c>
      <c r="M68" t="s">
        <v>1292</v>
      </c>
      <c r="N68" t="s">
        <v>7485</v>
      </c>
      <c r="Q68" t="s">
        <v>7000</v>
      </c>
      <c r="R68" t="s">
        <v>1292</v>
      </c>
      <c r="S68">
        <v>115</v>
      </c>
      <c r="V68" t="s">
        <v>6999</v>
      </c>
      <c r="W68" t="s">
        <v>3000</v>
      </c>
      <c r="X68">
        <v>0</v>
      </c>
      <c r="AA68" t="s">
        <v>7000</v>
      </c>
      <c r="AB68" t="s">
        <v>1292</v>
      </c>
      <c r="AC68">
        <v>0</v>
      </c>
      <c r="AF68" t="s">
        <v>7000</v>
      </c>
      <c r="AG68" t="s">
        <v>1292</v>
      </c>
      <c r="AH68">
        <v>0</v>
      </c>
      <c r="AK68" t="s">
        <v>7000</v>
      </c>
      <c r="AL68" t="s">
        <v>1292</v>
      </c>
      <c r="AM68">
        <v>15</v>
      </c>
    </row>
    <row r="69" spans="2:39" x14ac:dyDescent="0.3">
      <c r="B69" t="s">
        <v>7000</v>
      </c>
      <c r="C69" t="s">
        <v>1390</v>
      </c>
      <c r="D69" t="s">
        <v>7485</v>
      </c>
      <c r="G69" t="s">
        <v>7000</v>
      </c>
      <c r="H69" t="s">
        <v>1390</v>
      </c>
      <c r="I69">
        <v>218.798</v>
      </c>
      <c r="L69" t="s">
        <v>7000</v>
      </c>
      <c r="M69" t="s">
        <v>1390</v>
      </c>
      <c r="N69" t="s">
        <v>7485</v>
      </c>
      <c r="Q69" t="s">
        <v>7000</v>
      </c>
      <c r="R69" t="s">
        <v>1390</v>
      </c>
      <c r="S69" t="s">
        <v>7485</v>
      </c>
      <c r="V69" t="s">
        <v>6999</v>
      </c>
      <c r="W69" t="s">
        <v>3087</v>
      </c>
      <c r="X69" t="s">
        <v>7485</v>
      </c>
      <c r="AA69" t="s">
        <v>7000</v>
      </c>
      <c r="AB69" t="s">
        <v>1390</v>
      </c>
      <c r="AC69" t="s">
        <v>7485</v>
      </c>
      <c r="AF69" t="s">
        <v>7000</v>
      </c>
      <c r="AG69" t="s">
        <v>1390</v>
      </c>
      <c r="AH69" t="s">
        <v>7485</v>
      </c>
      <c r="AK69" t="s">
        <v>7000</v>
      </c>
      <c r="AL69" t="s">
        <v>1390</v>
      </c>
      <c r="AM69">
        <v>17</v>
      </c>
    </row>
    <row r="70" spans="2:39" x14ac:dyDescent="0.3">
      <c r="B70" t="s">
        <v>7000</v>
      </c>
      <c r="C70" t="s">
        <v>1408</v>
      </c>
      <c r="D70" t="s">
        <v>7485</v>
      </c>
      <c r="G70" t="s">
        <v>7000</v>
      </c>
      <c r="H70" t="s">
        <v>1408</v>
      </c>
      <c r="I70">
        <v>0</v>
      </c>
      <c r="L70" t="s">
        <v>7000</v>
      </c>
      <c r="M70" t="s">
        <v>1408</v>
      </c>
      <c r="N70" t="s">
        <v>7485</v>
      </c>
      <c r="Q70" t="s">
        <v>7000</v>
      </c>
      <c r="R70" t="s">
        <v>1408</v>
      </c>
      <c r="S70" t="s">
        <v>7485</v>
      </c>
      <c r="V70" t="s">
        <v>6999</v>
      </c>
      <c r="W70" t="s">
        <v>3165</v>
      </c>
      <c r="X70" t="s">
        <v>7485</v>
      </c>
      <c r="AA70" t="s">
        <v>7000</v>
      </c>
      <c r="AB70" t="s">
        <v>1408</v>
      </c>
      <c r="AC70" t="s">
        <v>7485</v>
      </c>
      <c r="AF70" t="s">
        <v>7000</v>
      </c>
      <c r="AG70" t="s">
        <v>1408</v>
      </c>
      <c r="AH70" t="s">
        <v>7485</v>
      </c>
      <c r="AK70" t="s">
        <v>7000</v>
      </c>
      <c r="AL70" t="s">
        <v>1408</v>
      </c>
      <c r="AM70">
        <v>15</v>
      </c>
    </row>
    <row r="71" spans="2:39" x14ac:dyDescent="0.3">
      <c r="B71" t="s">
        <v>7000</v>
      </c>
      <c r="C71" t="s">
        <v>1418</v>
      </c>
      <c r="D71" t="s">
        <v>7485</v>
      </c>
      <c r="G71" t="s">
        <v>7000</v>
      </c>
      <c r="H71" t="s">
        <v>1418</v>
      </c>
      <c r="I71">
        <v>0</v>
      </c>
      <c r="L71" t="s">
        <v>7000</v>
      </c>
      <c r="M71" t="s">
        <v>1418</v>
      </c>
      <c r="N71" t="s">
        <v>7485</v>
      </c>
      <c r="Q71" t="s">
        <v>7000</v>
      </c>
      <c r="R71" t="s">
        <v>1418</v>
      </c>
      <c r="S71">
        <v>50</v>
      </c>
      <c r="V71" t="s">
        <v>6999</v>
      </c>
      <c r="W71" t="s">
        <v>3169</v>
      </c>
      <c r="X71">
        <v>0</v>
      </c>
      <c r="AA71" t="s">
        <v>7000</v>
      </c>
      <c r="AB71" t="s">
        <v>1418</v>
      </c>
      <c r="AC71" t="s">
        <v>7485</v>
      </c>
      <c r="AF71" t="s">
        <v>7000</v>
      </c>
      <c r="AG71" t="s">
        <v>1418</v>
      </c>
      <c r="AH71" t="s">
        <v>7485</v>
      </c>
      <c r="AK71" t="s">
        <v>7000</v>
      </c>
      <c r="AL71" t="s">
        <v>1418</v>
      </c>
      <c r="AM71">
        <v>15</v>
      </c>
    </row>
    <row r="72" spans="2:39" x14ac:dyDescent="0.3">
      <c r="B72" t="s">
        <v>7002</v>
      </c>
      <c r="C72" t="s">
        <v>1422</v>
      </c>
      <c r="D72" t="s">
        <v>7485</v>
      </c>
      <c r="G72" t="s">
        <v>7002</v>
      </c>
      <c r="H72" t="s">
        <v>1422</v>
      </c>
      <c r="I72">
        <v>0</v>
      </c>
      <c r="L72" t="s">
        <v>7002</v>
      </c>
      <c r="M72" t="s">
        <v>1422</v>
      </c>
      <c r="N72" t="s">
        <v>7485</v>
      </c>
      <c r="Q72" t="s">
        <v>7002</v>
      </c>
      <c r="R72" t="s">
        <v>1422</v>
      </c>
      <c r="S72">
        <v>84.444444444444443</v>
      </c>
      <c r="V72" t="s">
        <v>6999</v>
      </c>
      <c r="W72" t="s">
        <v>3335</v>
      </c>
      <c r="X72" t="s">
        <v>7485</v>
      </c>
      <c r="AA72" t="s">
        <v>7002</v>
      </c>
      <c r="AB72" t="s">
        <v>1422</v>
      </c>
      <c r="AC72" t="s">
        <v>7485</v>
      </c>
      <c r="AF72" t="s">
        <v>7002</v>
      </c>
      <c r="AG72" t="s">
        <v>1422</v>
      </c>
      <c r="AH72" t="s">
        <v>7485</v>
      </c>
      <c r="AK72" t="s">
        <v>7002</v>
      </c>
      <c r="AL72" t="s">
        <v>1422</v>
      </c>
      <c r="AM72">
        <v>15</v>
      </c>
    </row>
    <row r="73" spans="2:39" x14ac:dyDescent="0.3">
      <c r="B73" t="s">
        <v>7000</v>
      </c>
      <c r="C73" t="s">
        <v>1450</v>
      </c>
      <c r="D73" t="s">
        <v>7485</v>
      </c>
      <c r="G73" t="s">
        <v>7000</v>
      </c>
      <c r="H73" t="s">
        <v>1450</v>
      </c>
      <c r="I73">
        <v>91.753999999999991</v>
      </c>
      <c r="L73" t="s">
        <v>7000</v>
      </c>
      <c r="M73" t="s">
        <v>1450</v>
      </c>
      <c r="N73" t="s">
        <v>7485</v>
      </c>
      <c r="Q73" t="s">
        <v>7000</v>
      </c>
      <c r="R73" t="s">
        <v>1450</v>
      </c>
      <c r="S73">
        <v>40</v>
      </c>
      <c r="V73" t="s">
        <v>6999</v>
      </c>
      <c r="W73" t="s">
        <v>3584</v>
      </c>
      <c r="X73" t="s">
        <v>7485</v>
      </c>
      <c r="AA73" t="s">
        <v>7000</v>
      </c>
      <c r="AB73" t="s">
        <v>1450</v>
      </c>
      <c r="AC73">
        <v>0</v>
      </c>
      <c r="AF73" t="s">
        <v>7000</v>
      </c>
      <c r="AG73" t="s">
        <v>1450</v>
      </c>
      <c r="AH73">
        <v>112.93</v>
      </c>
      <c r="AK73" t="s">
        <v>7000</v>
      </c>
      <c r="AL73" t="s">
        <v>1450</v>
      </c>
      <c r="AM73">
        <v>15</v>
      </c>
    </row>
    <row r="74" spans="2:39" x14ac:dyDescent="0.3">
      <c r="B74" t="s">
        <v>7002</v>
      </c>
      <c r="C74" t="s">
        <v>1457</v>
      </c>
      <c r="D74" t="s">
        <v>7485</v>
      </c>
      <c r="G74" t="s">
        <v>7002</v>
      </c>
      <c r="H74" t="s">
        <v>1457</v>
      </c>
      <c r="I74">
        <v>0</v>
      </c>
      <c r="L74" t="s">
        <v>7002</v>
      </c>
      <c r="M74" t="s">
        <v>1457</v>
      </c>
      <c r="N74" t="s">
        <v>7485</v>
      </c>
      <c r="Q74" t="s">
        <v>7002</v>
      </c>
      <c r="R74" t="s">
        <v>1457</v>
      </c>
      <c r="S74" t="s">
        <v>7485</v>
      </c>
      <c r="V74" t="s">
        <v>6999</v>
      </c>
      <c r="W74" t="s">
        <v>3588</v>
      </c>
      <c r="X74" t="s">
        <v>7485</v>
      </c>
      <c r="AA74" t="s">
        <v>7002</v>
      </c>
      <c r="AB74" t="s">
        <v>1457</v>
      </c>
      <c r="AC74" t="s">
        <v>7485</v>
      </c>
      <c r="AF74" t="s">
        <v>7002</v>
      </c>
      <c r="AG74" t="s">
        <v>1457</v>
      </c>
      <c r="AH74" t="s">
        <v>7485</v>
      </c>
      <c r="AK74" t="s">
        <v>7002</v>
      </c>
      <c r="AL74" t="s">
        <v>1457</v>
      </c>
      <c r="AM74">
        <v>15</v>
      </c>
    </row>
    <row r="75" spans="2:39" x14ac:dyDescent="0.3">
      <c r="B75" t="s">
        <v>7000</v>
      </c>
      <c r="C75" t="s">
        <v>1465</v>
      </c>
      <c r="D75" t="s">
        <v>7485</v>
      </c>
      <c r="G75" t="s">
        <v>7000</v>
      </c>
      <c r="H75" t="s">
        <v>1465</v>
      </c>
      <c r="I75">
        <v>0</v>
      </c>
      <c r="L75" t="s">
        <v>7000</v>
      </c>
      <c r="M75" t="s">
        <v>1465</v>
      </c>
      <c r="N75" t="s">
        <v>7485</v>
      </c>
      <c r="Q75" t="s">
        <v>7000</v>
      </c>
      <c r="R75" t="s">
        <v>1465</v>
      </c>
      <c r="S75" t="s">
        <v>7485</v>
      </c>
      <c r="V75" t="s">
        <v>6999</v>
      </c>
      <c r="W75" t="s">
        <v>3975</v>
      </c>
      <c r="X75" t="s">
        <v>7485</v>
      </c>
      <c r="AA75" t="s">
        <v>7000</v>
      </c>
      <c r="AB75" t="s">
        <v>1465</v>
      </c>
      <c r="AC75" t="s">
        <v>7485</v>
      </c>
      <c r="AF75" t="s">
        <v>7000</v>
      </c>
      <c r="AG75" t="s">
        <v>1465</v>
      </c>
      <c r="AH75" t="s">
        <v>7485</v>
      </c>
      <c r="AK75" t="s">
        <v>7000</v>
      </c>
      <c r="AL75" t="s">
        <v>1465</v>
      </c>
      <c r="AM75">
        <v>14</v>
      </c>
    </row>
    <row r="76" spans="2:39" x14ac:dyDescent="0.3">
      <c r="B76" t="s">
        <v>7001</v>
      </c>
      <c r="C76" t="s">
        <v>1489</v>
      </c>
      <c r="D76" t="s">
        <v>7485</v>
      </c>
      <c r="G76" t="s">
        <v>7001</v>
      </c>
      <c r="H76" t="s">
        <v>1489</v>
      </c>
      <c r="I76">
        <v>211.74</v>
      </c>
      <c r="L76" t="s">
        <v>7001</v>
      </c>
      <c r="M76" t="s">
        <v>1489</v>
      </c>
      <c r="N76" t="s">
        <v>7485</v>
      </c>
      <c r="Q76" t="s">
        <v>7001</v>
      </c>
      <c r="R76" t="s">
        <v>1489</v>
      </c>
      <c r="S76" t="s">
        <v>7485</v>
      </c>
      <c r="V76" t="s">
        <v>6999</v>
      </c>
      <c r="W76" t="s">
        <v>4234</v>
      </c>
      <c r="X76" t="s">
        <v>7485</v>
      </c>
      <c r="AA76" t="s">
        <v>7001</v>
      </c>
      <c r="AB76" t="s">
        <v>1489</v>
      </c>
      <c r="AC76" t="s">
        <v>7485</v>
      </c>
      <c r="AF76" t="s">
        <v>7001</v>
      </c>
      <c r="AG76" t="s">
        <v>1489</v>
      </c>
      <c r="AH76" t="s">
        <v>7485</v>
      </c>
      <c r="AK76" t="s">
        <v>7001</v>
      </c>
      <c r="AL76" t="s">
        <v>1489</v>
      </c>
      <c r="AM76">
        <v>16</v>
      </c>
    </row>
    <row r="77" spans="2:39" x14ac:dyDescent="0.3">
      <c r="B77" t="s">
        <v>7001</v>
      </c>
      <c r="C77" t="s">
        <v>1507</v>
      </c>
      <c r="D77" t="s">
        <v>7485</v>
      </c>
      <c r="G77" t="s">
        <v>7001</v>
      </c>
      <c r="H77" t="s">
        <v>1507</v>
      </c>
      <c r="I77">
        <v>218.798</v>
      </c>
      <c r="L77" t="s">
        <v>7001</v>
      </c>
      <c r="M77" t="s">
        <v>1507</v>
      </c>
      <c r="N77" t="s">
        <v>7485</v>
      </c>
      <c r="Q77" t="s">
        <v>7001</v>
      </c>
      <c r="R77" t="s">
        <v>1507</v>
      </c>
      <c r="S77" t="s">
        <v>7485</v>
      </c>
      <c r="V77" t="s">
        <v>6999</v>
      </c>
      <c r="W77" t="s">
        <v>4284</v>
      </c>
      <c r="X77" t="s">
        <v>7485</v>
      </c>
      <c r="AA77" t="s">
        <v>7001</v>
      </c>
      <c r="AB77" t="s">
        <v>1507</v>
      </c>
      <c r="AC77" t="s">
        <v>7485</v>
      </c>
      <c r="AF77" t="s">
        <v>7001</v>
      </c>
      <c r="AG77" t="s">
        <v>1507</v>
      </c>
      <c r="AH77" t="s">
        <v>7485</v>
      </c>
      <c r="AK77" t="s">
        <v>7001</v>
      </c>
      <c r="AL77" t="s">
        <v>1507</v>
      </c>
      <c r="AM77">
        <v>18</v>
      </c>
    </row>
    <row r="78" spans="2:39" x14ac:dyDescent="0.3">
      <c r="B78" t="s">
        <v>7001</v>
      </c>
      <c r="C78" t="s">
        <v>1517</v>
      </c>
      <c r="D78" t="s">
        <v>7485</v>
      </c>
      <c r="G78" t="s">
        <v>7001</v>
      </c>
      <c r="H78" t="s">
        <v>1517</v>
      </c>
      <c r="I78">
        <v>0</v>
      </c>
      <c r="L78" t="s">
        <v>7001</v>
      </c>
      <c r="M78" t="s">
        <v>1517</v>
      </c>
      <c r="N78" t="s">
        <v>7485</v>
      </c>
      <c r="Q78" t="s">
        <v>7001</v>
      </c>
      <c r="R78" t="s">
        <v>1517</v>
      </c>
      <c r="S78">
        <v>74.666666666666657</v>
      </c>
      <c r="V78" t="s">
        <v>6999</v>
      </c>
      <c r="W78" t="s">
        <v>4288</v>
      </c>
      <c r="X78" t="s">
        <v>7485</v>
      </c>
      <c r="AA78" t="s">
        <v>7001</v>
      </c>
      <c r="AB78" t="s">
        <v>1517</v>
      </c>
      <c r="AC78" t="s">
        <v>7485</v>
      </c>
      <c r="AF78" t="s">
        <v>7001</v>
      </c>
      <c r="AG78" t="s">
        <v>1517</v>
      </c>
      <c r="AH78" t="s">
        <v>7485</v>
      </c>
      <c r="AK78" t="s">
        <v>7001</v>
      </c>
      <c r="AL78" t="s">
        <v>1517</v>
      </c>
      <c r="AM78">
        <v>15</v>
      </c>
    </row>
    <row r="79" spans="2:39" x14ac:dyDescent="0.3">
      <c r="B79" t="s">
        <v>7000</v>
      </c>
      <c r="C79" t="s">
        <v>1524</v>
      </c>
      <c r="D79" t="s">
        <v>7485</v>
      </c>
      <c r="G79" t="s">
        <v>7000</v>
      </c>
      <c r="H79" t="s">
        <v>1524</v>
      </c>
      <c r="I79">
        <v>0</v>
      </c>
      <c r="L79" t="s">
        <v>7000</v>
      </c>
      <c r="M79" t="s">
        <v>1524</v>
      </c>
      <c r="N79" t="s">
        <v>7485</v>
      </c>
      <c r="Q79" t="s">
        <v>7000</v>
      </c>
      <c r="R79" t="s">
        <v>1524</v>
      </c>
      <c r="S79" t="s">
        <v>7485</v>
      </c>
      <c r="V79" t="s">
        <v>6999</v>
      </c>
      <c r="W79" t="s">
        <v>4495</v>
      </c>
      <c r="X79">
        <v>0</v>
      </c>
      <c r="AA79" t="s">
        <v>7000</v>
      </c>
      <c r="AB79" t="s">
        <v>1524</v>
      </c>
      <c r="AC79">
        <v>0</v>
      </c>
      <c r="AF79" t="s">
        <v>7000</v>
      </c>
      <c r="AG79" t="s">
        <v>1524</v>
      </c>
      <c r="AH79">
        <v>0</v>
      </c>
      <c r="AK79" t="s">
        <v>7000</v>
      </c>
      <c r="AL79" t="s">
        <v>1524</v>
      </c>
      <c r="AM79">
        <v>15</v>
      </c>
    </row>
    <row r="80" spans="2:39" x14ac:dyDescent="0.3">
      <c r="B80" t="s">
        <v>6999</v>
      </c>
      <c r="C80" t="s">
        <v>1553</v>
      </c>
      <c r="D80" t="s">
        <v>7485</v>
      </c>
      <c r="G80" t="s">
        <v>6999</v>
      </c>
      <c r="H80" t="s">
        <v>1553</v>
      </c>
      <c r="I80">
        <v>0</v>
      </c>
      <c r="L80" t="s">
        <v>6999</v>
      </c>
      <c r="M80" t="s">
        <v>1553</v>
      </c>
      <c r="N80" t="s">
        <v>7485</v>
      </c>
      <c r="Q80" t="s">
        <v>6999</v>
      </c>
      <c r="R80" t="s">
        <v>1553</v>
      </c>
      <c r="S80">
        <v>89.523809523809518</v>
      </c>
      <c r="V80" t="s">
        <v>6999</v>
      </c>
      <c r="W80" t="s">
        <v>4629</v>
      </c>
      <c r="X80" t="s">
        <v>7485</v>
      </c>
      <c r="AA80" t="s">
        <v>6999</v>
      </c>
      <c r="AB80" t="s">
        <v>1553</v>
      </c>
      <c r="AC80" t="s">
        <v>7485</v>
      </c>
      <c r="AF80" t="s">
        <v>6999</v>
      </c>
      <c r="AG80" t="s">
        <v>1553</v>
      </c>
      <c r="AH80" t="s">
        <v>7485</v>
      </c>
      <c r="AK80" t="s">
        <v>6999</v>
      </c>
      <c r="AL80" t="s">
        <v>1553</v>
      </c>
      <c r="AM80">
        <v>13</v>
      </c>
    </row>
    <row r="81" spans="2:40" x14ac:dyDescent="0.3">
      <c r="B81" t="s">
        <v>7002</v>
      </c>
      <c r="C81" t="s">
        <v>1561</v>
      </c>
      <c r="D81" t="s">
        <v>7485</v>
      </c>
      <c r="G81" t="s">
        <v>7002</v>
      </c>
      <c r="H81" t="s">
        <v>1561</v>
      </c>
      <c r="I81">
        <v>91.753999999999991</v>
      </c>
      <c r="L81" t="s">
        <v>7002</v>
      </c>
      <c r="M81" t="s">
        <v>1561</v>
      </c>
      <c r="N81" t="s">
        <v>7485</v>
      </c>
      <c r="Q81" t="s">
        <v>7002</v>
      </c>
      <c r="R81" t="s">
        <v>1561</v>
      </c>
      <c r="S81" t="s">
        <v>7485</v>
      </c>
      <c r="V81" t="s">
        <v>6999</v>
      </c>
      <c r="W81" t="s">
        <v>5107</v>
      </c>
      <c r="X81" t="s">
        <v>7485</v>
      </c>
      <c r="AA81" t="s">
        <v>7002</v>
      </c>
      <c r="AB81" t="s">
        <v>1561</v>
      </c>
      <c r="AC81" t="s">
        <v>7485</v>
      </c>
      <c r="AF81" t="s">
        <v>7002</v>
      </c>
      <c r="AG81" t="s">
        <v>1561</v>
      </c>
      <c r="AH81" t="s">
        <v>7485</v>
      </c>
      <c r="AK81" t="s">
        <v>7002</v>
      </c>
      <c r="AL81" t="s">
        <v>1561</v>
      </c>
      <c r="AM81">
        <v>15</v>
      </c>
    </row>
    <row r="82" spans="2:40" x14ac:dyDescent="0.3">
      <c r="B82" t="s">
        <v>7000</v>
      </c>
      <c r="C82" t="s">
        <v>1569</v>
      </c>
      <c r="D82" t="s">
        <v>7485</v>
      </c>
      <c r="G82" t="s">
        <v>7000</v>
      </c>
      <c r="H82" t="s">
        <v>1569</v>
      </c>
      <c r="I82">
        <v>218.798</v>
      </c>
      <c r="L82" t="s">
        <v>7000</v>
      </c>
      <c r="M82" t="s">
        <v>1569</v>
      </c>
      <c r="N82" t="s">
        <v>7485</v>
      </c>
      <c r="Q82" t="s">
        <v>7000</v>
      </c>
      <c r="R82" t="s">
        <v>1569</v>
      </c>
      <c r="S82" t="s">
        <v>7485</v>
      </c>
      <c r="V82" t="s">
        <v>6999</v>
      </c>
      <c r="W82" t="s">
        <v>5327</v>
      </c>
      <c r="X82" t="s">
        <v>7485</v>
      </c>
      <c r="AA82" t="s">
        <v>7000</v>
      </c>
      <c r="AB82" t="s">
        <v>1569</v>
      </c>
      <c r="AC82">
        <v>50</v>
      </c>
      <c r="AF82" t="s">
        <v>7000</v>
      </c>
      <c r="AG82" t="s">
        <v>1569</v>
      </c>
      <c r="AH82">
        <v>0</v>
      </c>
      <c r="AK82" t="s">
        <v>7000</v>
      </c>
      <c r="AL82" t="s">
        <v>1569</v>
      </c>
      <c r="AM82">
        <v>15</v>
      </c>
    </row>
    <row r="83" spans="2:40" x14ac:dyDescent="0.3">
      <c r="B83" t="s">
        <v>6999</v>
      </c>
      <c r="C83" t="s">
        <v>1591</v>
      </c>
      <c r="D83" t="s">
        <v>7485</v>
      </c>
      <c r="G83" t="s">
        <v>6999</v>
      </c>
      <c r="H83" t="s">
        <v>1591</v>
      </c>
      <c r="I83">
        <v>0</v>
      </c>
      <c r="L83" t="s">
        <v>6999</v>
      </c>
      <c r="M83" t="s">
        <v>1591</v>
      </c>
      <c r="N83" t="s">
        <v>7485</v>
      </c>
      <c r="Q83" t="s">
        <v>6999</v>
      </c>
      <c r="R83" t="s">
        <v>1591</v>
      </c>
      <c r="S83">
        <v>89.523809523809518</v>
      </c>
      <c r="V83" t="s">
        <v>6999</v>
      </c>
      <c r="W83" t="s">
        <v>5406</v>
      </c>
      <c r="X83" t="s">
        <v>7485</v>
      </c>
      <c r="AA83" t="s">
        <v>6999</v>
      </c>
      <c r="AB83" t="s">
        <v>1591</v>
      </c>
      <c r="AC83" t="s">
        <v>7485</v>
      </c>
      <c r="AF83" t="s">
        <v>6999</v>
      </c>
      <c r="AG83" t="s">
        <v>1591</v>
      </c>
      <c r="AH83" t="s">
        <v>7485</v>
      </c>
      <c r="AK83" t="s">
        <v>6999</v>
      </c>
      <c r="AL83" t="s">
        <v>1591</v>
      </c>
      <c r="AM83">
        <v>12</v>
      </c>
    </row>
    <row r="84" spans="2:40" x14ac:dyDescent="0.3">
      <c r="B84" t="s">
        <v>7002</v>
      </c>
      <c r="C84" t="s">
        <v>1609</v>
      </c>
      <c r="D84" t="s">
        <v>7485</v>
      </c>
      <c r="G84" t="s">
        <v>7002</v>
      </c>
      <c r="H84" t="s">
        <v>1609</v>
      </c>
      <c r="I84">
        <v>91.753999999999991</v>
      </c>
      <c r="L84" t="s">
        <v>7002</v>
      </c>
      <c r="M84" t="s">
        <v>1609</v>
      </c>
      <c r="N84" t="s">
        <v>7485</v>
      </c>
      <c r="Q84" t="s">
        <v>7002</v>
      </c>
      <c r="R84" t="s">
        <v>1609</v>
      </c>
      <c r="S84" t="s">
        <v>7485</v>
      </c>
      <c r="V84" t="s">
        <v>6999</v>
      </c>
      <c r="W84" t="s">
        <v>5484</v>
      </c>
      <c r="X84" t="s">
        <v>7485</v>
      </c>
      <c r="AA84" t="s">
        <v>7002</v>
      </c>
      <c r="AB84" t="s">
        <v>1609</v>
      </c>
      <c r="AC84" t="s">
        <v>7485</v>
      </c>
      <c r="AF84" t="s">
        <v>7002</v>
      </c>
      <c r="AG84" t="s">
        <v>1609</v>
      </c>
      <c r="AH84" t="s">
        <v>7485</v>
      </c>
      <c r="AK84" t="s">
        <v>7002</v>
      </c>
      <c r="AL84" t="s">
        <v>1609</v>
      </c>
      <c r="AM84">
        <v>15</v>
      </c>
    </row>
    <row r="85" spans="2:40" x14ac:dyDescent="0.3">
      <c r="B85" t="s">
        <v>7000</v>
      </c>
      <c r="C85" t="s">
        <v>1613</v>
      </c>
      <c r="D85" t="s">
        <v>7485</v>
      </c>
      <c r="G85" t="s">
        <v>7000</v>
      </c>
      <c r="H85" t="s">
        <v>1613</v>
      </c>
      <c r="I85">
        <v>0</v>
      </c>
      <c r="L85" t="s">
        <v>7000</v>
      </c>
      <c r="M85" t="s">
        <v>1613</v>
      </c>
      <c r="N85" t="s">
        <v>7485</v>
      </c>
      <c r="Q85" t="s">
        <v>7000</v>
      </c>
      <c r="R85" t="s">
        <v>1613</v>
      </c>
      <c r="S85">
        <v>50</v>
      </c>
      <c r="V85" t="s">
        <v>6999</v>
      </c>
      <c r="W85" t="s">
        <v>5525</v>
      </c>
      <c r="X85" t="s">
        <v>7485</v>
      </c>
      <c r="AA85" t="s">
        <v>7000</v>
      </c>
      <c r="AB85" t="s">
        <v>1613</v>
      </c>
      <c r="AC85" t="s">
        <v>7485</v>
      </c>
      <c r="AF85" t="s">
        <v>7000</v>
      </c>
      <c r="AG85" t="s">
        <v>1613</v>
      </c>
      <c r="AH85" t="s">
        <v>7485</v>
      </c>
      <c r="AK85" t="s">
        <v>7000</v>
      </c>
      <c r="AL85" t="s">
        <v>1613</v>
      </c>
      <c r="AM85">
        <v>15</v>
      </c>
    </row>
    <row r="86" spans="2:40" x14ac:dyDescent="0.3">
      <c r="B86" t="s">
        <v>7000</v>
      </c>
      <c r="C86" t="s">
        <v>1634</v>
      </c>
      <c r="D86" t="s">
        <v>7485</v>
      </c>
      <c r="G86" t="s">
        <v>7000</v>
      </c>
      <c r="H86" t="s">
        <v>1634</v>
      </c>
      <c r="I86">
        <v>218.798</v>
      </c>
      <c r="L86" t="s">
        <v>7000</v>
      </c>
      <c r="M86" t="s">
        <v>1634</v>
      </c>
      <c r="N86" t="s">
        <v>7485</v>
      </c>
      <c r="Q86" t="s">
        <v>7000</v>
      </c>
      <c r="R86" t="s">
        <v>1634</v>
      </c>
      <c r="S86">
        <v>67</v>
      </c>
      <c r="V86" t="s">
        <v>6999</v>
      </c>
      <c r="W86" t="s">
        <v>5529</v>
      </c>
      <c r="X86" t="s">
        <v>7485</v>
      </c>
      <c r="AA86" t="s">
        <v>7000</v>
      </c>
      <c r="AB86" t="s">
        <v>1634</v>
      </c>
      <c r="AC86" t="s">
        <v>7485</v>
      </c>
      <c r="AF86" t="s">
        <v>7000</v>
      </c>
      <c r="AG86" t="s">
        <v>1634</v>
      </c>
      <c r="AH86" t="s">
        <v>7485</v>
      </c>
      <c r="AK86" t="s">
        <v>7000</v>
      </c>
      <c r="AL86" t="s">
        <v>1634</v>
      </c>
      <c r="AM86">
        <v>15</v>
      </c>
    </row>
    <row r="87" spans="2:40" x14ac:dyDescent="0.3">
      <c r="B87" t="s">
        <v>7000</v>
      </c>
      <c r="C87" t="s">
        <v>1652</v>
      </c>
      <c r="D87" t="s">
        <v>7485</v>
      </c>
      <c r="G87" t="s">
        <v>7000</v>
      </c>
      <c r="H87" t="s">
        <v>1652</v>
      </c>
      <c r="I87">
        <v>0</v>
      </c>
      <c r="L87" t="s">
        <v>7000</v>
      </c>
      <c r="M87" t="s">
        <v>1652</v>
      </c>
      <c r="N87" t="s">
        <v>7485</v>
      </c>
      <c r="Q87" t="s">
        <v>7000</v>
      </c>
      <c r="R87" t="s">
        <v>1652</v>
      </c>
      <c r="S87">
        <v>121.66666666666667</v>
      </c>
      <c r="V87" t="s">
        <v>6999</v>
      </c>
      <c r="W87" t="s">
        <v>5597</v>
      </c>
      <c r="X87" t="s">
        <v>7485</v>
      </c>
      <c r="AA87" t="s">
        <v>7000</v>
      </c>
      <c r="AB87" t="s">
        <v>1652</v>
      </c>
      <c r="AC87" t="s">
        <v>7485</v>
      </c>
      <c r="AF87" t="s">
        <v>7000</v>
      </c>
      <c r="AG87" t="s">
        <v>1652</v>
      </c>
      <c r="AH87" t="s">
        <v>7485</v>
      </c>
      <c r="AK87" t="s">
        <v>7000</v>
      </c>
      <c r="AL87" t="s">
        <v>1652</v>
      </c>
      <c r="AM87">
        <v>15</v>
      </c>
    </row>
    <row r="88" spans="2:40" x14ac:dyDescent="0.3">
      <c r="B88" t="s">
        <v>7000</v>
      </c>
      <c r="C88" t="s">
        <v>1656</v>
      </c>
      <c r="D88" t="s">
        <v>7485</v>
      </c>
      <c r="G88" t="s">
        <v>7000</v>
      </c>
      <c r="H88" t="s">
        <v>1656</v>
      </c>
      <c r="I88">
        <v>134.102</v>
      </c>
      <c r="L88" t="s">
        <v>7000</v>
      </c>
      <c r="M88" t="s">
        <v>1656</v>
      </c>
      <c r="N88" t="s">
        <v>7485</v>
      </c>
      <c r="Q88" t="s">
        <v>7000</v>
      </c>
      <c r="R88" t="s">
        <v>1656</v>
      </c>
      <c r="S88">
        <v>13.333333333333334</v>
      </c>
      <c r="V88" t="s">
        <v>6999</v>
      </c>
      <c r="W88" t="s">
        <v>5749</v>
      </c>
      <c r="X88" t="s">
        <v>7485</v>
      </c>
      <c r="AA88" t="s">
        <v>7000</v>
      </c>
      <c r="AB88" t="s">
        <v>1656</v>
      </c>
      <c r="AC88" t="s">
        <v>7485</v>
      </c>
      <c r="AF88" t="s">
        <v>7000</v>
      </c>
      <c r="AG88" t="s">
        <v>1656</v>
      </c>
      <c r="AH88" t="s">
        <v>7485</v>
      </c>
      <c r="AK88" t="s">
        <v>7000</v>
      </c>
      <c r="AL88" t="s">
        <v>1656</v>
      </c>
      <c r="AM88">
        <v>14</v>
      </c>
    </row>
    <row r="89" spans="2:40" x14ac:dyDescent="0.3">
      <c r="B89" t="s">
        <v>7000</v>
      </c>
      <c r="C89" t="s">
        <v>1664</v>
      </c>
      <c r="D89" t="s">
        <v>7485</v>
      </c>
      <c r="G89" t="s">
        <v>7000</v>
      </c>
      <c r="H89" t="s">
        <v>1664</v>
      </c>
      <c r="I89">
        <v>0</v>
      </c>
      <c r="L89" t="s">
        <v>7000</v>
      </c>
      <c r="M89" t="s">
        <v>1664</v>
      </c>
      <c r="N89" t="s">
        <v>7485</v>
      </c>
      <c r="Q89" t="s">
        <v>7000</v>
      </c>
      <c r="R89" t="s">
        <v>1664</v>
      </c>
      <c r="S89">
        <v>64</v>
      </c>
      <c r="V89" t="s">
        <v>6999</v>
      </c>
      <c r="W89" t="s">
        <v>6004</v>
      </c>
      <c r="X89" t="s">
        <v>7485</v>
      </c>
      <c r="AA89" t="s">
        <v>7000</v>
      </c>
      <c r="AB89" t="s">
        <v>1664</v>
      </c>
      <c r="AC89" t="s">
        <v>7485</v>
      </c>
      <c r="AF89" t="s">
        <v>7000</v>
      </c>
      <c r="AG89" t="s">
        <v>1664</v>
      </c>
      <c r="AH89" t="s">
        <v>7485</v>
      </c>
      <c r="AK89" t="s">
        <v>7000</v>
      </c>
      <c r="AL89" t="s">
        <v>1664</v>
      </c>
      <c r="AM89">
        <v>15</v>
      </c>
    </row>
    <row r="90" spans="2:40" x14ac:dyDescent="0.3">
      <c r="B90" t="s">
        <v>7000</v>
      </c>
      <c r="C90" t="s">
        <v>1671</v>
      </c>
      <c r="D90">
        <v>140</v>
      </c>
      <c r="G90" t="s">
        <v>7000</v>
      </c>
      <c r="H90" t="s">
        <v>1671</v>
      </c>
      <c r="I90">
        <v>0</v>
      </c>
      <c r="L90" t="s">
        <v>7000</v>
      </c>
      <c r="M90" t="s">
        <v>1671</v>
      </c>
      <c r="N90" t="s">
        <v>7485</v>
      </c>
      <c r="Q90" t="s">
        <v>7000</v>
      </c>
      <c r="R90" t="s">
        <v>1671</v>
      </c>
      <c r="S90" t="s">
        <v>7485</v>
      </c>
      <c r="V90" t="s">
        <v>6999</v>
      </c>
      <c r="W90" t="s">
        <v>6312</v>
      </c>
      <c r="X90" t="s">
        <v>7485</v>
      </c>
      <c r="AA90" t="s">
        <v>7000</v>
      </c>
      <c r="AB90" t="s">
        <v>1671</v>
      </c>
      <c r="AC90" t="s">
        <v>7485</v>
      </c>
      <c r="AF90" t="s">
        <v>7000</v>
      </c>
      <c r="AG90" t="s">
        <v>1671</v>
      </c>
      <c r="AH90" t="s">
        <v>7485</v>
      </c>
      <c r="AK90" t="s">
        <v>7000</v>
      </c>
      <c r="AL90" t="s">
        <v>1671</v>
      </c>
      <c r="AM90">
        <v>15</v>
      </c>
    </row>
    <row r="91" spans="2:40" x14ac:dyDescent="0.3">
      <c r="B91" t="s">
        <v>7000</v>
      </c>
      <c r="C91" t="s">
        <v>1679</v>
      </c>
      <c r="D91" t="s">
        <v>7485</v>
      </c>
      <c r="G91" t="s">
        <v>7000</v>
      </c>
      <c r="H91" t="s">
        <v>1679</v>
      </c>
      <c r="I91">
        <v>218.798</v>
      </c>
      <c r="L91" t="s">
        <v>7000</v>
      </c>
      <c r="M91" t="s">
        <v>1679</v>
      </c>
      <c r="N91" t="s">
        <v>7485</v>
      </c>
      <c r="Q91" t="s">
        <v>7000</v>
      </c>
      <c r="R91" t="s">
        <v>1679</v>
      </c>
      <c r="S91" t="s">
        <v>7485</v>
      </c>
      <c r="V91" t="s">
        <v>6999</v>
      </c>
      <c r="W91" t="s">
        <v>6320</v>
      </c>
      <c r="X91" t="s">
        <v>7485</v>
      </c>
      <c r="AA91" t="s">
        <v>7000</v>
      </c>
      <c r="AB91" t="s">
        <v>1679</v>
      </c>
      <c r="AC91" t="s">
        <v>7485</v>
      </c>
      <c r="AF91" t="s">
        <v>7000</v>
      </c>
      <c r="AG91" t="s">
        <v>1679</v>
      </c>
      <c r="AH91" t="s">
        <v>7485</v>
      </c>
      <c r="AK91" t="s">
        <v>7000</v>
      </c>
      <c r="AL91" t="s">
        <v>1679</v>
      </c>
      <c r="AM91">
        <v>15</v>
      </c>
    </row>
    <row r="92" spans="2:40" x14ac:dyDescent="0.3">
      <c r="B92" t="s">
        <v>6999</v>
      </c>
      <c r="C92" t="s">
        <v>1683</v>
      </c>
      <c r="D92" t="s">
        <v>7485</v>
      </c>
      <c r="G92" t="s">
        <v>6999</v>
      </c>
      <c r="H92" t="s">
        <v>1683</v>
      </c>
      <c r="I92">
        <v>211.74</v>
      </c>
      <c r="L92" t="s">
        <v>6999</v>
      </c>
      <c r="M92" t="s">
        <v>1683</v>
      </c>
      <c r="N92" t="s">
        <v>7485</v>
      </c>
      <c r="Q92" t="s">
        <v>6999</v>
      </c>
      <c r="R92" t="s">
        <v>1683</v>
      </c>
      <c r="S92">
        <v>104.44444444444446</v>
      </c>
      <c r="V92" t="s">
        <v>6999</v>
      </c>
      <c r="W92" t="s">
        <v>6333</v>
      </c>
      <c r="X92" t="s">
        <v>7485</v>
      </c>
      <c r="AA92" t="s">
        <v>6999</v>
      </c>
      <c r="AB92" t="s">
        <v>1683</v>
      </c>
      <c r="AC92" t="s">
        <v>7485</v>
      </c>
      <c r="AF92" t="s">
        <v>6999</v>
      </c>
      <c r="AG92" t="s">
        <v>1683</v>
      </c>
      <c r="AH92" t="s">
        <v>7485</v>
      </c>
      <c r="AK92" t="s">
        <v>6999</v>
      </c>
      <c r="AL92" t="s">
        <v>1683</v>
      </c>
      <c r="AM92">
        <v>15</v>
      </c>
    </row>
    <row r="93" spans="2:40" x14ac:dyDescent="0.3">
      <c r="B93" t="s">
        <v>7000</v>
      </c>
      <c r="C93" t="s">
        <v>1721</v>
      </c>
      <c r="D93" t="s">
        <v>7485</v>
      </c>
      <c r="G93" t="s">
        <v>7000</v>
      </c>
      <c r="H93" t="s">
        <v>1721</v>
      </c>
      <c r="I93">
        <v>119.98599999999999</v>
      </c>
      <c r="L93" t="s">
        <v>7000</v>
      </c>
      <c r="M93" t="s">
        <v>1721</v>
      </c>
      <c r="N93" t="s">
        <v>7485</v>
      </c>
      <c r="Q93" t="s">
        <v>7000</v>
      </c>
      <c r="R93" t="s">
        <v>1721</v>
      </c>
      <c r="S93" t="s">
        <v>7485</v>
      </c>
      <c r="V93" t="s">
        <v>6999</v>
      </c>
      <c r="W93" t="s">
        <v>6468</v>
      </c>
      <c r="X93" t="s">
        <v>7485</v>
      </c>
      <c r="AA93" t="s">
        <v>7000</v>
      </c>
      <c r="AB93" t="s">
        <v>1721</v>
      </c>
      <c r="AC93" t="s">
        <v>7485</v>
      </c>
      <c r="AF93" t="s">
        <v>7000</v>
      </c>
      <c r="AG93" t="s">
        <v>1721</v>
      </c>
      <c r="AH93" t="s">
        <v>7485</v>
      </c>
      <c r="AK93" t="s">
        <v>7000</v>
      </c>
      <c r="AL93" t="s">
        <v>1721</v>
      </c>
      <c r="AM93">
        <v>15</v>
      </c>
    </row>
    <row r="94" spans="2:40" x14ac:dyDescent="0.3">
      <c r="B94" t="s">
        <v>6999</v>
      </c>
      <c r="C94" t="s">
        <v>1750</v>
      </c>
      <c r="D94" t="s">
        <v>7485</v>
      </c>
      <c r="G94" t="s">
        <v>6999</v>
      </c>
      <c r="H94" t="s">
        <v>1750</v>
      </c>
      <c r="I94">
        <v>211.74</v>
      </c>
      <c r="L94" t="s">
        <v>6999</v>
      </c>
      <c r="M94" t="s">
        <v>1750</v>
      </c>
      <c r="N94" t="s">
        <v>7485</v>
      </c>
      <c r="Q94" t="s">
        <v>6999</v>
      </c>
      <c r="R94" t="s">
        <v>1750</v>
      </c>
      <c r="S94" t="s">
        <v>7485</v>
      </c>
      <c r="V94" t="s">
        <v>6999</v>
      </c>
      <c r="W94" t="s">
        <v>6495</v>
      </c>
      <c r="X94" t="s">
        <v>7485</v>
      </c>
      <c r="AA94" t="s">
        <v>6999</v>
      </c>
      <c r="AB94" t="s">
        <v>1750</v>
      </c>
      <c r="AC94" t="s">
        <v>7485</v>
      </c>
      <c r="AF94" t="s">
        <v>6999</v>
      </c>
      <c r="AG94" t="s">
        <v>1750</v>
      </c>
      <c r="AH94" t="s">
        <v>7485</v>
      </c>
      <c r="AK94" t="s">
        <v>6999</v>
      </c>
      <c r="AL94" t="s">
        <v>1750</v>
      </c>
      <c r="AM94">
        <v>14</v>
      </c>
    </row>
    <row r="95" spans="2:40" x14ac:dyDescent="0.3">
      <c r="B95" t="s">
        <v>7000</v>
      </c>
      <c r="C95" t="s">
        <v>1767</v>
      </c>
      <c r="D95" t="s">
        <v>7485</v>
      </c>
      <c r="G95" t="s">
        <v>7000</v>
      </c>
      <c r="H95" t="s">
        <v>1767</v>
      </c>
      <c r="I95">
        <v>0</v>
      </c>
      <c r="L95" t="s">
        <v>7000</v>
      </c>
      <c r="M95" t="s">
        <v>1767</v>
      </c>
      <c r="N95" t="s">
        <v>7485</v>
      </c>
      <c r="Q95" t="s">
        <v>7000</v>
      </c>
      <c r="R95" t="s">
        <v>1767</v>
      </c>
      <c r="S95" t="s">
        <v>7485</v>
      </c>
      <c r="V95" t="s">
        <v>6999</v>
      </c>
      <c r="W95" t="s">
        <v>6690</v>
      </c>
      <c r="X95" t="s">
        <v>7485</v>
      </c>
      <c r="AA95" t="s">
        <v>7000</v>
      </c>
      <c r="AB95" t="s">
        <v>1767</v>
      </c>
      <c r="AC95" t="s">
        <v>7485</v>
      </c>
      <c r="AF95" t="s">
        <v>7000</v>
      </c>
      <c r="AG95" t="s">
        <v>1767</v>
      </c>
      <c r="AH95" t="s">
        <v>7485</v>
      </c>
      <c r="AK95" t="s">
        <v>7000</v>
      </c>
      <c r="AL95" t="s">
        <v>1767</v>
      </c>
      <c r="AM95">
        <v>16</v>
      </c>
    </row>
    <row r="96" spans="2:40" x14ac:dyDescent="0.3">
      <c r="B96" t="s">
        <v>7001</v>
      </c>
      <c r="C96" t="s">
        <v>1780</v>
      </c>
      <c r="D96" t="s">
        <v>7485</v>
      </c>
      <c r="G96" t="s">
        <v>7001</v>
      </c>
      <c r="H96" t="s">
        <v>1780</v>
      </c>
      <c r="I96">
        <v>0</v>
      </c>
      <c r="J96" t="s">
        <v>7486</v>
      </c>
      <c r="L96" t="s">
        <v>7001</v>
      </c>
      <c r="M96" t="s">
        <v>1780</v>
      </c>
      <c r="N96" t="s">
        <v>7485</v>
      </c>
      <c r="O96" t="s">
        <v>7486</v>
      </c>
      <c r="Q96" t="s">
        <v>7001</v>
      </c>
      <c r="R96" t="s">
        <v>1780</v>
      </c>
      <c r="S96">
        <v>128.88888888888889</v>
      </c>
      <c r="V96" t="s">
        <v>6999</v>
      </c>
      <c r="W96" t="s">
        <v>6786</v>
      </c>
      <c r="X96" t="s">
        <v>7485</v>
      </c>
      <c r="AA96" t="s">
        <v>7001</v>
      </c>
      <c r="AB96" t="s">
        <v>1780</v>
      </c>
      <c r="AC96" t="s">
        <v>7485</v>
      </c>
      <c r="AD96" t="s">
        <v>7486</v>
      </c>
      <c r="AF96" t="s">
        <v>7001</v>
      </c>
      <c r="AG96" t="s">
        <v>1780</v>
      </c>
      <c r="AH96" t="s">
        <v>7485</v>
      </c>
      <c r="AI96" t="s">
        <v>7486</v>
      </c>
      <c r="AK96" t="s">
        <v>7001</v>
      </c>
      <c r="AL96" t="s">
        <v>1780</v>
      </c>
      <c r="AM96">
        <v>15</v>
      </c>
      <c r="AN96" t="s">
        <v>7486</v>
      </c>
    </row>
    <row r="97" spans="2:40" x14ac:dyDescent="0.3">
      <c r="B97" t="s">
        <v>7002</v>
      </c>
      <c r="C97" t="s">
        <v>1780</v>
      </c>
      <c r="D97" t="s">
        <v>7485</v>
      </c>
      <c r="G97" t="s">
        <v>7002</v>
      </c>
      <c r="H97" t="s">
        <v>1780</v>
      </c>
      <c r="I97">
        <v>218.798</v>
      </c>
      <c r="L97" t="s">
        <v>7002</v>
      </c>
      <c r="M97" t="s">
        <v>1780</v>
      </c>
      <c r="N97" t="s">
        <v>7485</v>
      </c>
      <c r="Q97" t="s">
        <v>7002</v>
      </c>
      <c r="R97" t="s">
        <v>1780</v>
      </c>
      <c r="S97">
        <v>128.88888888888889</v>
      </c>
      <c r="V97" t="s">
        <v>6999</v>
      </c>
      <c r="W97" t="s">
        <v>6819</v>
      </c>
      <c r="X97" t="s">
        <v>7485</v>
      </c>
      <c r="AA97" t="s">
        <v>7002</v>
      </c>
      <c r="AB97" t="s">
        <v>1780</v>
      </c>
      <c r="AC97" t="s">
        <v>7485</v>
      </c>
      <c r="AF97" t="s">
        <v>7002</v>
      </c>
      <c r="AG97" t="s">
        <v>1780</v>
      </c>
      <c r="AH97" t="s">
        <v>7485</v>
      </c>
      <c r="AK97" t="s">
        <v>7002</v>
      </c>
      <c r="AL97" t="s">
        <v>1780</v>
      </c>
      <c r="AM97">
        <v>15</v>
      </c>
    </row>
    <row r="98" spans="2:40" x14ac:dyDescent="0.3">
      <c r="B98" t="s">
        <v>7002</v>
      </c>
      <c r="C98" t="s">
        <v>1839</v>
      </c>
      <c r="D98" t="s">
        <v>7485</v>
      </c>
      <c r="G98" t="s">
        <v>7002</v>
      </c>
      <c r="H98" t="s">
        <v>1839</v>
      </c>
      <c r="I98">
        <v>21.173999999999999</v>
      </c>
      <c r="L98" t="s">
        <v>7002</v>
      </c>
      <c r="M98" t="s">
        <v>1839</v>
      </c>
      <c r="N98" t="s">
        <v>7485</v>
      </c>
      <c r="Q98" t="s">
        <v>7002</v>
      </c>
      <c r="R98" t="s">
        <v>1839</v>
      </c>
      <c r="S98" t="s">
        <v>7485</v>
      </c>
      <c r="V98" t="s">
        <v>7002</v>
      </c>
      <c r="W98" t="s">
        <v>77</v>
      </c>
      <c r="X98" t="s">
        <v>7485</v>
      </c>
      <c r="AA98" t="s">
        <v>7002</v>
      </c>
      <c r="AB98" t="s">
        <v>1839</v>
      </c>
      <c r="AC98" t="s">
        <v>7485</v>
      </c>
      <c r="AF98" t="s">
        <v>7002</v>
      </c>
      <c r="AG98" t="s">
        <v>1839</v>
      </c>
      <c r="AH98" t="s">
        <v>7485</v>
      </c>
      <c r="AK98" t="s">
        <v>7002</v>
      </c>
      <c r="AL98" t="s">
        <v>1839</v>
      </c>
      <c r="AM98">
        <v>15</v>
      </c>
    </row>
    <row r="99" spans="2:40" x14ac:dyDescent="0.3">
      <c r="B99" t="s">
        <v>7002</v>
      </c>
      <c r="C99" t="s">
        <v>1888</v>
      </c>
      <c r="D99" t="s">
        <v>7485</v>
      </c>
      <c r="G99" t="s">
        <v>7002</v>
      </c>
      <c r="H99" t="s">
        <v>1888</v>
      </c>
      <c r="I99">
        <v>183.50799999999998</v>
      </c>
      <c r="L99" t="s">
        <v>7002</v>
      </c>
      <c r="M99" t="s">
        <v>1888</v>
      </c>
      <c r="N99" t="s">
        <v>7485</v>
      </c>
      <c r="Q99" t="s">
        <v>7002</v>
      </c>
      <c r="R99" t="s">
        <v>1888</v>
      </c>
      <c r="S99" t="s">
        <v>7485</v>
      </c>
      <c r="V99" t="s">
        <v>7002</v>
      </c>
      <c r="W99" t="s">
        <v>211</v>
      </c>
      <c r="X99" t="s">
        <v>7485</v>
      </c>
      <c r="AA99" t="s">
        <v>7002</v>
      </c>
      <c r="AB99" t="s">
        <v>1888</v>
      </c>
      <c r="AC99">
        <v>0</v>
      </c>
      <c r="AF99" t="s">
        <v>7002</v>
      </c>
      <c r="AG99" t="s">
        <v>1888</v>
      </c>
      <c r="AH99">
        <v>21.74</v>
      </c>
      <c r="AK99" t="s">
        <v>7002</v>
      </c>
      <c r="AL99" t="s">
        <v>1888</v>
      </c>
      <c r="AM99">
        <v>15</v>
      </c>
    </row>
    <row r="100" spans="2:40" x14ac:dyDescent="0.3">
      <c r="B100" t="s">
        <v>7000</v>
      </c>
      <c r="C100" t="s">
        <v>1905</v>
      </c>
      <c r="D100">
        <v>300</v>
      </c>
      <c r="G100" t="s">
        <v>7000</v>
      </c>
      <c r="H100" t="s">
        <v>1905</v>
      </c>
      <c r="I100">
        <v>211.74</v>
      </c>
      <c r="L100" t="s">
        <v>7000</v>
      </c>
      <c r="M100" t="s">
        <v>1905</v>
      </c>
      <c r="N100" t="s">
        <v>7485</v>
      </c>
      <c r="Q100" t="s">
        <v>7000</v>
      </c>
      <c r="R100" t="s">
        <v>1905</v>
      </c>
      <c r="S100" t="s">
        <v>7485</v>
      </c>
      <c r="V100" t="s">
        <v>7002</v>
      </c>
      <c r="W100" t="s">
        <v>242</v>
      </c>
      <c r="X100" t="s">
        <v>7485</v>
      </c>
      <c r="AA100" t="s">
        <v>7000</v>
      </c>
      <c r="AB100" t="s">
        <v>1905</v>
      </c>
      <c r="AC100" t="s">
        <v>7485</v>
      </c>
      <c r="AF100" t="s">
        <v>7000</v>
      </c>
      <c r="AG100" t="s">
        <v>1905</v>
      </c>
      <c r="AH100" t="s">
        <v>7485</v>
      </c>
      <c r="AK100" t="s">
        <v>7000</v>
      </c>
      <c r="AL100" t="s">
        <v>1905</v>
      </c>
      <c r="AM100">
        <v>15</v>
      </c>
    </row>
    <row r="101" spans="2:40" x14ac:dyDescent="0.3">
      <c r="B101" t="s">
        <v>7001</v>
      </c>
      <c r="C101" t="s">
        <v>1939</v>
      </c>
      <c r="D101" t="s">
        <v>7485</v>
      </c>
      <c r="G101" t="s">
        <v>7001</v>
      </c>
      <c r="H101" t="s">
        <v>1939</v>
      </c>
      <c r="I101">
        <v>211.74</v>
      </c>
      <c r="L101" t="s">
        <v>7001</v>
      </c>
      <c r="M101" t="s">
        <v>1939</v>
      </c>
      <c r="N101" t="s">
        <v>7485</v>
      </c>
      <c r="Q101" t="s">
        <v>7001</v>
      </c>
      <c r="R101" t="s">
        <v>1939</v>
      </c>
      <c r="S101">
        <v>66.666666666666671</v>
      </c>
      <c r="V101" t="s">
        <v>7002</v>
      </c>
      <c r="W101" t="s">
        <v>269</v>
      </c>
      <c r="X101" t="s">
        <v>7485</v>
      </c>
      <c r="AA101" t="s">
        <v>7001</v>
      </c>
      <c r="AB101" t="s">
        <v>1939</v>
      </c>
      <c r="AC101" t="s">
        <v>7485</v>
      </c>
      <c r="AF101" t="s">
        <v>7001</v>
      </c>
      <c r="AG101" t="s">
        <v>1939</v>
      </c>
      <c r="AH101" t="s">
        <v>7485</v>
      </c>
      <c r="AK101" t="s">
        <v>7001</v>
      </c>
      <c r="AL101" t="s">
        <v>1939</v>
      </c>
      <c r="AM101">
        <v>15</v>
      </c>
    </row>
    <row r="102" spans="2:40" x14ac:dyDescent="0.3">
      <c r="B102" t="s">
        <v>7000</v>
      </c>
      <c r="C102" t="s">
        <v>1974</v>
      </c>
      <c r="D102">
        <v>300</v>
      </c>
      <c r="G102" t="s">
        <v>7000</v>
      </c>
      <c r="H102" t="s">
        <v>1974</v>
      </c>
      <c r="I102">
        <v>218.798</v>
      </c>
      <c r="L102" t="s">
        <v>7000</v>
      </c>
      <c r="M102" t="s">
        <v>1974</v>
      </c>
      <c r="N102" t="s">
        <v>7485</v>
      </c>
      <c r="Q102" t="s">
        <v>7000</v>
      </c>
      <c r="R102" t="s">
        <v>1974</v>
      </c>
      <c r="S102" t="s">
        <v>7485</v>
      </c>
      <c r="V102" t="s">
        <v>7002</v>
      </c>
      <c r="W102" t="s">
        <v>334</v>
      </c>
      <c r="X102" t="s">
        <v>7485</v>
      </c>
      <c r="AA102" t="s">
        <v>7000</v>
      </c>
      <c r="AB102" t="s">
        <v>1974</v>
      </c>
      <c r="AC102" t="s">
        <v>7485</v>
      </c>
      <c r="AF102" t="s">
        <v>7000</v>
      </c>
      <c r="AG102" t="s">
        <v>1974</v>
      </c>
      <c r="AH102" t="s">
        <v>7485</v>
      </c>
      <c r="AK102" t="s">
        <v>7000</v>
      </c>
      <c r="AL102" t="s">
        <v>1974</v>
      </c>
      <c r="AM102">
        <v>15</v>
      </c>
    </row>
    <row r="103" spans="2:40" x14ac:dyDescent="0.3">
      <c r="B103" t="s">
        <v>7001</v>
      </c>
      <c r="C103" t="s">
        <v>1985</v>
      </c>
      <c r="D103" t="s">
        <v>7485</v>
      </c>
      <c r="G103" t="s">
        <v>7001</v>
      </c>
      <c r="H103" t="s">
        <v>1985</v>
      </c>
      <c r="I103">
        <v>0</v>
      </c>
      <c r="J103" t="s">
        <v>7486</v>
      </c>
      <c r="L103" t="s">
        <v>7001</v>
      </c>
      <c r="M103" t="s">
        <v>1985</v>
      </c>
      <c r="N103" t="s">
        <v>7485</v>
      </c>
      <c r="O103" t="s">
        <v>7486</v>
      </c>
      <c r="Q103" t="s">
        <v>7001</v>
      </c>
      <c r="R103" t="s">
        <v>1985</v>
      </c>
      <c r="S103">
        <v>128.88888888888889</v>
      </c>
      <c r="V103" t="s">
        <v>7002</v>
      </c>
      <c r="W103" t="s">
        <v>348</v>
      </c>
      <c r="X103" t="s">
        <v>7485</v>
      </c>
      <c r="AA103" t="s">
        <v>7001</v>
      </c>
      <c r="AB103" t="s">
        <v>1985</v>
      </c>
      <c r="AC103" t="s">
        <v>7485</v>
      </c>
      <c r="AD103" t="s">
        <v>7486</v>
      </c>
      <c r="AF103" t="s">
        <v>7001</v>
      </c>
      <c r="AG103" t="s">
        <v>1985</v>
      </c>
      <c r="AH103" t="s">
        <v>7485</v>
      </c>
      <c r="AI103" t="s">
        <v>7486</v>
      </c>
      <c r="AK103" t="s">
        <v>7001</v>
      </c>
      <c r="AL103" t="s">
        <v>1985</v>
      </c>
      <c r="AM103">
        <v>15</v>
      </c>
      <c r="AN103" t="s">
        <v>7486</v>
      </c>
    </row>
    <row r="104" spans="2:40" x14ac:dyDescent="0.3">
      <c r="B104" t="s">
        <v>7002</v>
      </c>
      <c r="C104" t="s">
        <v>1985</v>
      </c>
      <c r="D104" t="s">
        <v>7485</v>
      </c>
      <c r="G104" t="s">
        <v>7002</v>
      </c>
      <c r="H104" t="s">
        <v>1985</v>
      </c>
      <c r="I104">
        <v>218.798</v>
      </c>
      <c r="L104" t="s">
        <v>7002</v>
      </c>
      <c r="M104" t="s">
        <v>1985</v>
      </c>
      <c r="N104" t="s">
        <v>7485</v>
      </c>
      <c r="Q104" t="s">
        <v>7002</v>
      </c>
      <c r="R104" t="s">
        <v>1985</v>
      </c>
      <c r="S104">
        <v>128.88888888888889</v>
      </c>
      <c r="T104" t="s">
        <v>7486</v>
      </c>
      <c r="V104" t="s">
        <v>7002</v>
      </c>
      <c r="W104" t="s">
        <v>435</v>
      </c>
      <c r="X104" t="s">
        <v>7485</v>
      </c>
      <c r="AA104" t="s">
        <v>7002</v>
      </c>
      <c r="AB104" t="s">
        <v>1985</v>
      </c>
      <c r="AC104" t="s">
        <v>7485</v>
      </c>
      <c r="AF104" t="s">
        <v>7002</v>
      </c>
      <c r="AG104" t="s">
        <v>1985</v>
      </c>
      <c r="AH104" t="s">
        <v>7485</v>
      </c>
      <c r="AK104" t="s">
        <v>7002</v>
      </c>
      <c r="AL104" t="s">
        <v>1985</v>
      </c>
      <c r="AM104">
        <v>15</v>
      </c>
    </row>
    <row r="105" spans="2:40" x14ac:dyDescent="0.3">
      <c r="B105" t="s">
        <v>6999</v>
      </c>
      <c r="C105" t="s">
        <v>1989</v>
      </c>
      <c r="D105" t="s">
        <v>7485</v>
      </c>
      <c r="G105" t="s">
        <v>6999</v>
      </c>
      <c r="H105" t="s">
        <v>1989</v>
      </c>
      <c r="I105">
        <v>0</v>
      </c>
      <c r="L105" t="s">
        <v>6999</v>
      </c>
      <c r="M105" t="s">
        <v>1989</v>
      </c>
      <c r="N105" t="s">
        <v>7485</v>
      </c>
      <c r="Q105" t="s">
        <v>6999</v>
      </c>
      <c r="R105" t="s">
        <v>1989</v>
      </c>
      <c r="S105" t="s">
        <v>7485</v>
      </c>
      <c r="V105" t="s">
        <v>7002</v>
      </c>
      <c r="W105" t="s">
        <v>505</v>
      </c>
      <c r="X105" t="s">
        <v>7485</v>
      </c>
      <c r="AA105" t="s">
        <v>6999</v>
      </c>
      <c r="AB105" t="s">
        <v>1989</v>
      </c>
      <c r="AC105" t="s">
        <v>7485</v>
      </c>
      <c r="AF105" t="s">
        <v>6999</v>
      </c>
      <c r="AG105" t="s">
        <v>1989</v>
      </c>
      <c r="AH105" t="s">
        <v>7485</v>
      </c>
      <c r="AK105" t="s">
        <v>6999</v>
      </c>
      <c r="AL105" t="s">
        <v>1989</v>
      </c>
      <c r="AM105">
        <v>14</v>
      </c>
    </row>
    <row r="106" spans="2:40" x14ac:dyDescent="0.3">
      <c r="B106" t="s">
        <v>7002</v>
      </c>
      <c r="C106" t="s">
        <v>1993</v>
      </c>
      <c r="D106" t="s">
        <v>7485</v>
      </c>
      <c r="G106" t="s">
        <v>7002</v>
      </c>
      <c r="H106" t="s">
        <v>1993</v>
      </c>
      <c r="I106">
        <v>0</v>
      </c>
      <c r="L106" t="s">
        <v>7002</v>
      </c>
      <c r="M106" t="s">
        <v>1993</v>
      </c>
      <c r="N106" t="s">
        <v>7485</v>
      </c>
      <c r="Q106" t="s">
        <v>7002</v>
      </c>
      <c r="R106" t="s">
        <v>1993</v>
      </c>
      <c r="S106" t="s">
        <v>7485</v>
      </c>
      <c r="V106" t="s">
        <v>7002</v>
      </c>
      <c r="W106" t="s">
        <v>538</v>
      </c>
      <c r="X106">
        <v>0</v>
      </c>
      <c r="AA106" t="s">
        <v>7002</v>
      </c>
      <c r="AB106" t="s">
        <v>1993</v>
      </c>
      <c r="AC106" t="s">
        <v>7485</v>
      </c>
      <c r="AF106" t="s">
        <v>7002</v>
      </c>
      <c r="AG106" t="s">
        <v>1993</v>
      </c>
      <c r="AH106" t="s">
        <v>7485</v>
      </c>
      <c r="AK106" t="s">
        <v>7002</v>
      </c>
      <c r="AL106" t="s">
        <v>1993</v>
      </c>
      <c r="AM106">
        <v>15</v>
      </c>
    </row>
    <row r="107" spans="2:40" x14ac:dyDescent="0.3">
      <c r="B107" t="s">
        <v>7002</v>
      </c>
      <c r="C107" t="s">
        <v>2007</v>
      </c>
      <c r="D107" t="s">
        <v>7485</v>
      </c>
      <c r="G107" t="s">
        <v>7002</v>
      </c>
      <c r="H107" t="s">
        <v>2007</v>
      </c>
      <c r="I107">
        <v>0</v>
      </c>
      <c r="L107" t="s">
        <v>7002</v>
      </c>
      <c r="M107" t="s">
        <v>2007</v>
      </c>
      <c r="N107" t="s">
        <v>7485</v>
      </c>
      <c r="Q107" t="s">
        <v>7002</v>
      </c>
      <c r="R107" t="s">
        <v>2007</v>
      </c>
      <c r="S107" t="s">
        <v>7485</v>
      </c>
      <c r="V107" t="s">
        <v>7002</v>
      </c>
      <c r="W107" t="s">
        <v>545</v>
      </c>
      <c r="X107" t="s">
        <v>7485</v>
      </c>
      <c r="AA107" t="s">
        <v>7002</v>
      </c>
      <c r="AB107" t="s">
        <v>2007</v>
      </c>
      <c r="AC107" t="s">
        <v>7485</v>
      </c>
      <c r="AF107" t="s">
        <v>7002</v>
      </c>
      <c r="AG107" t="s">
        <v>2007</v>
      </c>
      <c r="AH107" t="s">
        <v>7485</v>
      </c>
      <c r="AK107" t="s">
        <v>7002</v>
      </c>
      <c r="AL107" t="s">
        <v>2007</v>
      </c>
      <c r="AM107">
        <v>15</v>
      </c>
    </row>
    <row r="108" spans="2:40" x14ac:dyDescent="0.3">
      <c r="B108" t="s">
        <v>7000</v>
      </c>
      <c r="C108" t="s">
        <v>2014</v>
      </c>
      <c r="D108" t="s">
        <v>7485</v>
      </c>
      <c r="G108" t="s">
        <v>7000</v>
      </c>
      <c r="H108" t="s">
        <v>2014</v>
      </c>
      <c r="I108">
        <v>0</v>
      </c>
      <c r="L108" t="s">
        <v>7000</v>
      </c>
      <c r="M108" t="s">
        <v>2014</v>
      </c>
      <c r="N108" t="s">
        <v>7485</v>
      </c>
      <c r="Q108" t="s">
        <v>7000</v>
      </c>
      <c r="R108" t="s">
        <v>2014</v>
      </c>
      <c r="S108">
        <v>64</v>
      </c>
      <c r="V108" t="s">
        <v>7002</v>
      </c>
      <c r="W108" t="s">
        <v>594</v>
      </c>
      <c r="X108" t="s">
        <v>7485</v>
      </c>
      <c r="AA108" t="s">
        <v>7000</v>
      </c>
      <c r="AB108" t="s">
        <v>2014</v>
      </c>
      <c r="AC108" t="s">
        <v>7485</v>
      </c>
      <c r="AF108" t="s">
        <v>7000</v>
      </c>
      <c r="AG108" t="s">
        <v>2014</v>
      </c>
      <c r="AH108" t="s">
        <v>7485</v>
      </c>
      <c r="AK108" t="s">
        <v>7000</v>
      </c>
      <c r="AL108" t="s">
        <v>2014</v>
      </c>
      <c r="AM108">
        <v>15</v>
      </c>
    </row>
    <row r="109" spans="2:40" x14ac:dyDescent="0.3">
      <c r="B109" t="s">
        <v>7002</v>
      </c>
      <c r="C109" t="s">
        <v>2056</v>
      </c>
      <c r="D109" t="s">
        <v>7485</v>
      </c>
      <c r="G109" t="s">
        <v>7002</v>
      </c>
      <c r="H109" t="s">
        <v>2056</v>
      </c>
      <c r="I109">
        <v>218.798</v>
      </c>
      <c r="L109" t="s">
        <v>7002</v>
      </c>
      <c r="M109" t="s">
        <v>2056</v>
      </c>
      <c r="N109" t="s">
        <v>7485</v>
      </c>
      <c r="Q109" t="s">
        <v>7002</v>
      </c>
      <c r="R109" t="s">
        <v>2056</v>
      </c>
      <c r="S109">
        <v>128.88888888888889</v>
      </c>
      <c r="V109" t="s">
        <v>7002</v>
      </c>
      <c r="W109" t="s">
        <v>661</v>
      </c>
      <c r="X109">
        <v>53.16</v>
      </c>
      <c r="AA109" t="s">
        <v>7002</v>
      </c>
      <c r="AB109" t="s">
        <v>2056</v>
      </c>
      <c r="AC109">
        <v>100</v>
      </c>
      <c r="AF109" t="s">
        <v>7002</v>
      </c>
      <c r="AG109" t="s">
        <v>2056</v>
      </c>
      <c r="AH109">
        <v>0</v>
      </c>
      <c r="AK109" t="s">
        <v>7002</v>
      </c>
      <c r="AL109" t="s">
        <v>2056</v>
      </c>
      <c r="AM109">
        <v>15</v>
      </c>
    </row>
    <row r="110" spans="2:40" x14ac:dyDescent="0.3">
      <c r="B110" t="s">
        <v>7000</v>
      </c>
      <c r="C110" t="s">
        <v>2123</v>
      </c>
      <c r="D110" t="s">
        <v>7485</v>
      </c>
      <c r="G110" t="s">
        <v>7000</v>
      </c>
      <c r="H110" t="s">
        <v>2123</v>
      </c>
      <c r="I110">
        <v>0</v>
      </c>
      <c r="L110" t="s">
        <v>7000</v>
      </c>
      <c r="M110" t="s">
        <v>2123</v>
      </c>
      <c r="N110" t="s">
        <v>7485</v>
      </c>
      <c r="Q110" t="s">
        <v>7000</v>
      </c>
      <c r="R110" t="s">
        <v>2123</v>
      </c>
      <c r="S110" t="s">
        <v>7485</v>
      </c>
      <c r="V110" t="s">
        <v>7002</v>
      </c>
      <c r="W110" t="s">
        <v>693</v>
      </c>
      <c r="X110">
        <v>0</v>
      </c>
      <c r="AA110" t="s">
        <v>7000</v>
      </c>
      <c r="AB110" t="s">
        <v>2123</v>
      </c>
      <c r="AC110" t="s">
        <v>7485</v>
      </c>
      <c r="AF110" t="s">
        <v>7000</v>
      </c>
      <c r="AG110" t="s">
        <v>2123</v>
      </c>
      <c r="AH110" t="s">
        <v>7485</v>
      </c>
      <c r="AK110" t="s">
        <v>7000</v>
      </c>
      <c r="AL110" t="s">
        <v>2123</v>
      </c>
      <c r="AM110">
        <v>15</v>
      </c>
    </row>
    <row r="111" spans="2:40" x14ac:dyDescent="0.3">
      <c r="B111" t="s">
        <v>7002</v>
      </c>
      <c r="C111" t="s">
        <v>2127</v>
      </c>
      <c r="D111" t="s">
        <v>7485</v>
      </c>
      <c r="G111" t="s">
        <v>7002</v>
      </c>
      <c r="H111" t="s">
        <v>2127</v>
      </c>
      <c r="I111">
        <v>0</v>
      </c>
      <c r="L111" t="s">
        <v>7002</v>
      </c>
      <c r="M111" t="s">
        <v>2127</v>
      </c>
      <c r="N111" t="s">
        <v>7485</v>
      </c>
      <c r="Q111" t="s">
        <v>7002</v>
      </c>
      <c r="R111" t="s">
        <v>2127</v>
      </c>
      <c r="S111" t="s">
        <v>7485</v>
      </c>
      <c r="V111" t="s">
        <v>7002</v>
      </c>
      <c r="W111" t="s">
        <v>827</v>
      </c>
      <c r="X111" t="s">
        <v>7485</v>
      </c>
      <c r="AA111" t="s">
        <v>7002</v>
      </c>
      <c r="AB111" t="s">
        <v>2127</v>
      </c>
      <c r="AC111" t="s">
        <v>7485</v>
      </c>
      <c r="AF111" t="s">
        <v>7002</v>
      </c>
      <c r="AG111" t="s">
        <v>2127</v>
      </c>
      <c r="AH111" t="s">
        <v>7485</v>
      </c>
      <c r="AK111" t="s">
        <v>7002</v>
      </c>
      <c r="AL111" t="s">
        <v>2127</v>
      </c>
      <c r="AM111">
        <v>15</v>
      </c>
    </row>
    <row r="112" spans="2:40" x14ac:dyDescent="0.3">
      <c r="B112" t="s">
        <v>6999</v>
      </c>
      <c r="C112" t="s">
        <v>2176</v>
      </c>
      <c r="D112">
        <v>300</v>
      </c>
      <c r="G112" t="s">
        <v>6999</v>
      </c>
      <c r="H112" t="s">
        <v>2176</v>
      </c>
      <c r="I112">
        <v>211.74</v>
      </c>
      <c r="L112" t="s">
        <v>6999</v>
      </c>
      <c r="M112" t="s">
        <v>2176</v>
      </c>
      <c r="N112" t="s">
        <v>7485</v>
      </c>
      <c r="Q112" t="s">
        <v>6999</v>
      </c>
      <c r="R112" t="s">
        <v>2176</v>
      </c>
      <c r="S112" t="s">
        <v>7485</v>
      </c>
      <c r="V112" t="s">
        <v>7002</v>
      </c>
      <c r="W112" t="s">
        <v>837</v>
      </c>
      <c r="X112" t="s">
        <v>7485</v>
      </c>
      <c r="AA112" t="s">
        <v>6999</v>
      </c>
      <c r="AB112" t="s">
        <v>2176</v>
      </c>
      <c r="AC112" t="s">
        <v>7485</v>
      </c>
      <c r="AF112" t="s">
        <v>6999</v>
      </c>
      <c r="AG112" t="s">
        <v>2176</v>
      </c>
      <c r="AH112" t="s">
        <v>7485</v>
      </c>
      <c r="AK112" t="s">
        <v>6999</v>
      </c>
      <c r="AL112" t="s">
        <v>2176</v>
      </c>
      <c r="AM112">
        <v>14</v>
      </c>
    </row>
    <row r="113" spans="2:40" x14ac:dyDescent="0.3">
      <c r="B113" t="s">
        <v>7000</v>
      </c>
      <c r="C113" t="s">
        <v>2200</v>
      </c>
      <c r="D113" t="s">
        <v>7485</v>
      </c>
      <c r="G113" t="s">
        <v>7000</v>
      </c>
      <c r="H113" t="s">
        <v>2200</v>
      </c>
      <c r="I113">
        <v>0</v>
      </c>
      <c r="L113" t="s">
        <v>7000</v>
      </c>
      <c r="M113" t="s">
        <v>2200</v>
      </c>
      <c r="N113" t="s">
        <v>7485</v>
      </c>
      <c r="Q113" t="s">
        <v>7000</v>
      </c>
      <c r="R113" t="s">
        <v>2200</v>
      </c>
      <c r="S113" t="s">
        <v>7485</v>
      </c>
      <c r="V113" t="s">
        <v>7002</v>
      </c>
      <c r="W113" t="s">
        <v>887</v>
      </c>
      <c r="X113" t="s">
        <v>7485</v>
      </c>
      <c r="AA113" t="s">
        <v>7000</v>
      </c>
      <c r="AB113" t="s">
        <v>2200</v>
      </c>
      <c r="AC113">
        <v>0</v>
      </c>
      <c r="AF113" t="s">
        <v>7000</v>
      </c>
      <c r="AG113" t="s">
        <v>2200</v>
      </c>
      <c r="AH113">
        <v>21.74</v>
      </c>
      <c r="AK113" t="s">
        <v>7000</v>
      </c>
      <c r="AL113" t="s">
        <v>2200</v>
      </c>
      <c r="AM113">
        <v>14</v>
      </c>
    </row>
    <row r="114" spans="2:40" x14ac:dyDescent="0.3">
      <c r="B114" t="s">
        <v>7000</v>
      </c>
      <c r="C114" t="s">
        <v>2222</v>
      </c>
      <c r="D114" t="s">
        <v>7485</v>
      </c>
      <c r="G114" t="s">
        <v>7000</v>
      </c>
      <c r="H114" t="s">
        <v>2222</v>
      </c>
      <c r="I114">
        <v>0</v>
      </c>
      <c r="L114" t="s">
        <v>7000</v>
      </c>
      <c r="M114" t="s">
        <v>2222</v>
      </c>
      <c r="N114" t="s">
        <v>7485</v>
      </c>
      <c r="Q114" t="s">
        <v>7000</v>
      </c>
      <c r="R114" t="s">
        <v>2222</v>
      </c>
      <c r="S114" t="s">
        <v>7485</v>
      </c>
      <c r="V114" t="s">
        <v>7002</v>
      </c>
      <c r="W114" t="s">
        <v>910</v>
      </c>
      <c r="X114" t="s">
        <v>7485</v>
      </c>
      <c r="AA114" t="s">
        <v>7000</v>
      </c>
      <c r="AB114" t="s">
        <v>2222</v>
      </c>
      <c r="AC114" t="s">
        <v>7485</v>
      </c>
      <c r="AF114" t="s">
        <v>7000</v>
      </c>
      <c r="AG114" t="s">
        <v>2222</v>
      </c>
      <c r="AH114" t="s">
        <v>7485</v>
      </c>
      <c r="AK114" t="s">
        <v>7000</v>
      </c>
      <c r="AL114" t="s">
        <v>2222</v>
      </c>
      <c r="AM114">
        <v>15</v>
      </c>
    </row>
    <row r="115" spans="2:40" x14ac:dyDescent="0.3">
      <c r="B115" t="s">
        <v>7000</v>
      </c>
      <c r="C115" t="s">
        <v>2254</v>
      </c>
      <c r="D115" t="s">
        <v>7485</v>
      </c>
      <c r="G115" t="s">
        <v>7002</v>
      </c>
      <c r="H115" t="s">
        <v>2254</v>
      </c>
      <c r="I115">
        <v>0</v>
      </c>
      <c r="J115" t="s">
        <v>7486</v>
      </c>
      <c r="L115" t="s">
        <v>7002</v>
      </c>
      <c r="M115" t="s">
        <v>2254</v>
      </c>
      <c r="N115" t="s">
        <v>7485</v>
      </c>
      <c r="O115" t="s">
        <v>7486</v>
      </c>
      <c r="Q115" t="s">
        <v>7002</v>
      </c>
      <c r="R115" t="s">
        <v>2254</v>
      </c>
      <c r="S115" t="s">
        <v>7485</v>
      </c>
      <c r="V115" t="s">
        <v>7002</v>
      </c>
      <c r="W115" t="s">
        <v>1068</v>
      </c>
      <c r="X115" t="s">
        <v>7485</v>
      </c>
      <c r="AA115" t="s">
        <v>7002</v>
      </c>
      <c r="AB115" t="s">
        <v>2254</v>
      </c>
      <c r="AC115" t="s">
        <v>7485</v>
      </c>
      <c r="AD115" t="s">
        <v>7486</v>
      </c>
      <c r="AF115" t="s">
        <v>7002</v>
      </c>
      <c r="AG115" t="s">
        <v>2254</v>
      </c>
      <c r="AH115" t="s">
        <v>7485</v>
      </c>
      <c r="AI115" t="s">
        <v>7486</v>
      </c>
      <c r="AK115" t="s">
        <v>7002</v>
      </c>
      <c r="AL115" t="s">
        <v>2254</v>
      </c>
      <c r="AM115">
        <v>16</v>
      </c>
      <c r="AN115" t="s">
        <v>7486</v>
      </c>
    </row>
    <row r="116" spans="2:40" x14ac:dyDescent="0.3">
      <c r="B116" t="s">
        <v>7002</v>
      </c>
      <c r="C116" t="s">
        <v>2254</v>
      </c>
      <c r="D116" t="s">
        <v>7485</v>
      </c>
      <c r="G116" t="s">
        <v>7000</v>
      </c>
      <c r="H116" t="s">
        <v>2254</v>
      </c>
      <c r="I116">
        <v>98.811999999999998</v>
      </c>
      <c r="L116" t="s">
        <v>7000</v>
      </c>
      <c r="M116" t="s">
        <v>2254</v>
      </c>
      <c r="N116" t="s">
        <v>7485</v>
      </c>
      <c r="Q116" t="s">
        <v>7000</v>
      </c>
      <c r="R116" t="s">
        <v>2254</v>
      </c>
      <c r="S116" t="s">
        <v>7485</v>
      </c>
      <c r="V116" t="s">
        <v>7002</v>
      </c>
      <c r="W116" t="s">
        <v>1072</v>
      </c>
      <c r="X116">
        <v>0</v>
      </c>
      <c r="AA116" t="s">
        <v>7000</v>
      </c>
      <c r="AB116" t="s">
        <v>2254</v>
      </c>
      <c r="AC116" t="s">
        <v>7485</v>
      </c>
      <c r="AF116" t="s">
        <v>7000</v>
      </c>
      <c r="AG116" t="s">
        <v>2254</v>
      </c>
      <c r="AH116" t="s">
        <v>7485</v>
      </c>
      <c r="AK116" t="s">
        <v>7000</v>
      </c>
      <c r="AL116" t="s">
        <v>2254</v>
      </c>
      <c r="AM116">
        <v>16</v>
      </c>
    </row>
    <row r="117" spans="2:40" x14ac:dyDescent="0.3">
      <c r="B117" t="s">
        <v>7002</v>
      </c>
      <c r="C117" t="s">
        <v>2261</v>
      </c>
      <c r="D117" t="s">
        <v>7485</v>
      </c>
      <c r="G117" t="s">
        <v>7002</v>
      </c>
      <c r="H117" t="s">
        <v>2261</v>
      </c>
      <c r="I117">
        <v>84.695999999999998</v>
      </c>
      <c r="L117" t="s">
        <v>7002</v>
      </c>
      <c r="M117" t="s">
        <v>2261</v>
      </c>
      <c r="N117" t="s">
        <v>7485</v>
      </c>
      <c r="Q117" t="s">
        <v>7002</v>
      </c>
      <c r="R117" t="s">
        <v>2261</v>
      </c>
      <c r="S117" t="s">
        <v>7485</v>
      </c>
      <c r="V117" t="s">
        <v>7002</v>
      </c>
      <c r="W117" t="s">
        <v>1174</v>
      </c>
      <c r="X117" t="s">
        <v>7485</v>
      </c>
      <c r="AA117" t="s">
        <v>7002</v>
      </c>
      <c r="AB117" t="s">
        <v>2261</v>
      </c>
      <c r="AC117">
        <v>0</v>
      </c>
      <c r="AF117" t="s">
        <v>7002</v>
      </c>
      <c r="AG117" t="s">
        <v>2261</v>
      </c>
      <c r="AH117">
        <v>21.74</v>
      </c>
      <c r="AK117" t="s">
        <v>7002</v>
      </c>
      <c r="AL117" t="s">
        <v>2261</v>
      </c>
      <c r="AM117">
        <v>14</v>
      </c>
    </row>
    <row r="118" spans="2:40" x14ac:dyDescent="0.3">
      <c r="B118" t="s">
        <v>7001</v>
      </c>
      <c r="C118" t="s">
        <v>2274</v>
      </c>
      <c r="D118" t="s">
        <v>7485</v>
      </c>
      <c r="G118" t="s">
        <v>7001</v>
      </c>
      <c r="H118" t="s">
        <v>2274</v>
      </c>
      <c r="I118">
        <v>0</v>
      </c>
      <c r="L118" t="s">
        <v>7001</v>
      </c>
      <c r="M118" t="s">
        <v>2274</v>
      </c>
      <c r="N118" t="s">
        <v>7485</v>
      </c>
      <c r="Q118" t="s">
        <v>7001</v>
      </c>
      <c r="R118" t="s">
        <v>2274</v>
      </c>
      <c r="S118">
        <v>74.666666666666657</v>
      </c>
      <c r="V118" t="s">
        <v>7002</v>
      </c>
      <c r="W118" t="s">
        <v>1242</v>
      </c>
      <c r="X118" t="s">
        <v>7485</v>
      </c>
      <c r="AA118" t="s">
        <v>7001</v>
      </c>
      <c r="AB118" t="s">
        <v>2274</v>
      </c>
      <c r="AC118" t="s">
        <v>7485</v>
      </c>
      <c r="AF118" t="s">
        <v>7001</v>
      </c>
      <c r="AG118" t="s">
        <v>2274</v>
      </c>
      <c r="AH118" t="s">
        <v>7485</v>
      </c>
      <c r="AK118" t="s">
        <v>7001</v>
      </c>
      <c r="AL118" t="s">
        <v>2274</v>
      </c>
      <c r="AM118">
        <v>15</v>
      </c>
    </row>
    <row r="119" spans="2:40" x14ac:dyDescent="0.3">
      <c r="B119" t="s">
        <v>6999</v>
      </c>
      <c r="C119" t="s">
        <v>2278</v>
      </c>
      <c r="D119">
        <v>300</v>
      </c>
      <c r="G119" t="s">
        <v>6999</v>
      </c>
      <c r="H119" t="s">
        <v>2278</v>
      </c>
      <c r="I119">
        <v>211.74</v>
      </c>
      <c r="L119" t="s">
        <v>6999</v>
      </c>
      <c r="M119" t="s">
        <v>2278</v>
      </c>
      <c r="N119" t="s">
        <v>7485</v>
      </c>
      <c r="Q119" t="s">
        <v>6999</v>
      </c>
      <c r="R119" t="s">
        <v>2278</v>
      </c>
      <c r="S119" t="s">
        <v>7485</v>
      </c>
      <c r="V119" t="s">
        <v>7002</v>
      </c>
      <c r="W119" t="s">
        <v>1422</v>
      </c>
      <c r="X119" t="s">
        <v>7485</v>
      </c>
      <c r="AA119" t="s">
        <v>6999</v>
      </c>
      <c r="AB119" t="s">
        <v>2278</v>
      </c>
      <c r="AC119" t="s">
        <v>7485</v>
      </c>
      <c r="AF119" t="s">
        <v>6999</v>
      </c>
      <c r="AG119" t="s">
        <v>2278</v>
      </c>
      <c r="AH119" t="s">
        <v>7485</v>
      </c>
      <c r="AK119" t="s">
        <v>6999</v>
      </c>
      <c r="AL119" t="s">
        <v>2278</v>
      </c>
      <c r="AM119">
        <v>15</v>
      </c>
    </row>
    <row r="120" spans="2:40" x14ac:dyDescent="0.3">
      <c r="B120" t="s">
        <v>7000</v>
      </c>
      <c r="C120" t="s">
        <v>2284</v>
      </c>
      <c r="D120">
        <v>300</v>
      </c>
      <c r="G120" t="s">
        <v>7000</v>
      </c>
      <c r="H120" t="s">
        <v>2284</v>
      </c>
      <c r="I120">
        <v>0</v>
      </c>
      <c r="L120" t="s">
        <v>7000</v>
      </c>
      <c r="M120" t="s">
        <v>2284</v>
      </c>
      <c r="N120" t="s">
        <v>7485</v>
      </c>
      <c r="Q120" t="s">
        <v>7000</v>
      </c>
      <c r="R120" t="s">
        <v>2284</v>
      </c>
      <c r="S120" t="s">
        <v>7485</v>
      </c>
      <c r="V120" t="s">
        <v>7002</v>
      </c>
      <c r="W120" t="s">
        <v>1457</v>
      </c>
      <c r="X120" t="s">
        <v>7485</v>
      </c>
      <c r="AA120" t="s">
        <v>7000</v>
      </c>
      <c r="AB120" t="s">
        <v>2284</v>
      </c>
      <c r="AC120" t="s">
        <v>7485</v>
      </c>
      <c r="AF120" t="s">
        <v>7000</v>
      </c>
      <c r="AG120" t="s">
        <v>2284</v>
      </c>
      <c r="AH120" t="s">
        <v>7485</v>
      </c>
      <c r="AK120" t="s">
        <v>7000</v>
      </c>
      <c r="AL120" t="s">
        <v>2284</v>
      </c>
      <c r="AM120">
        <v>15</v>
      </c>
    </row>
    <row r="121" spans="2:40" x14ac:dyDescent="0.3">
      <c r="B121" t="s">
        <v>7002</v>
      </c>
      <c r="C121" t="s">
        <v>2313</v>
      </c>
      <c r="D121" t="s">
        <v>7485</v>
      </c>
      <c r="G121" t="s">
        <v>7002</v>
      </c>
      <c r="H121" t="s">
        <v>2313</v>
      </c>
      <c r="I121">
        <v>0</v>
      </c>
      <c r="L121" t="s">
        <v>7002</v>
      </c>
      <c r="M121" t="s">
        <v>2313</v>
      </c>
      <c r="N121" t="s">
        <v>7485</v>
      </c>
      <c r="Q121" t="s">
        <v>7002</v>
      </c>
      <c r="R121" t="s">
        <v>2313</v>
      </c>
      <c r="S121" t="s">
        <v>7485</v>
      </c>
      <c r="V121" t="s">
        <v>7002</v>
      </c>
      <c r="W121" t="s">
        <v>1561</v>
      </c>
      <c r="X121" t="s">
        <v>7485</v>
      </c>
      <c r="AA121" t="s">
        <v>7002</v>
      </c>
      <c r="AB121" t="s">
        <v>2313</v>
      </c>
      <c r="AC121" t="s">
        <v>7485</v>
      </c>
      <c r="AF121" t="s">
        <v>7002</v>
      </c>
      <c r="AG121" t="s">
        <v>2313</v>
      </c>
      <c r="AH121" t="s">
        <v>7485</v>
      </c>
      <c r="AK121" t="s">
        <v>7002</v>
      </c>
      <c r="AL121" t="s">
        <v>2313</v>
      </c>
      <c r="AM121">
        <v>15</v>
      </c>
    </row>
    <row r="122" spans="2:40" x14ac:dyDescent="0.3">
      <c r="B122" t="s">
        <v>7000</v>
      </c>
      <c r="C122" t="s">
        <v>2326</v>
      </c>
      <c r="D122" t="s">
        <v>7485</v>
      </c>
      <c r="G122" t="s">
        <v>7000</v>
      </c>
      <c r="H122" t="s">
        <v>2326</v>
      </c>
      <c r="I122">
        <v>0</v>
      </c>
      <c r="L122" t="s">
        <v>7000</v>
      </c>
      <c r="M122" t="s">
        <v>2326</v>
      </c>
      <c r="N122" t="s">
        <v>7485</v>
      </c>
      <c r="Q122" t="s">
        <v>7000</v>
      </c>
      <c r="R122" t="s">
        <v>2326</v>
      </c>
      <c r="S122" t="s">
        <v>7485</v>
      </c>
      <c r="V122" t="s">
        <v>7002</v>
      </c>
      <c r="W122" t="s">
        <v>1609</v>
      </c>
      <c r="X122" t="s">
        <v>7485</v>
      </c>
      <c r="AA122" t="s">
        <v>7000</v>
      </c>
      <c r="AB122" t="s">
        <v>2326</v>
      </c>
      <c r="AC122" t="s">
        <v>7485</v>
      </c>
      <c r="AF122" t="s">
        <v>7000</v>
      </c>
      <c r="AG122" t="s">
        <v>2326</v>
      </c>
      <c r="AH122" t="s">
        <v>7485</v>
      </c>
      <c r="AK122" t="s">
        <v>7000</v>
      </c>
      <c r="AL122" t="s">
        <v>2326</v>
      </c>
      <c r="AM122">
        <v>15</v>
      </c>
    </row>
    <row r="123" spans="2:40" x14ac:dyDescent="0.3">
      <c r="B123" t="s">
        <v>7002</v>
      </c>
      <c r="C123" t="s">
        <v>2351</v>
      </c>
      <c r="D123">
        <v>300</v>
      </c>
      <c r="G123" t="s">
        <v>7002</v>
      </c>
      <c r="H123" t="s">
        <v>2351</v>
      </c>
      <c r="I123">
        <v>0</v>
      </c>
      <c r="L123" t="s">
        <v>7002</v>
      </c>
      <c r="M123" t="s">
        <v>2351</v>
      </c>
      <c r="N123" t="s">
        <v>7485</v>
      </c>
      <c r="Q123" t="s">
        <v>7002</v>
      </c>
      <c r="R123" t="s">
        <v>2351</v>
      </c>
      <c r="S123" t="s">
        <v>7485</v>
      </c>
      <c r="V123" t="s">
        <v>7002</v>
      </c>
      <c r="W123" t="s">
        <v>1780</v>
      </c>
      <c r="X123" t="s">
        <v>7485</v>
      </c>
      <c r="AA123" t="s">
        <v>7002</v>
      </c>
      <c r="AB123" t="s">
        <v>2351</v>
      </c>
      <c r="AC123" t="s">
        <v>7485</v>
      </c>
      <c r="AF123" t="s">
        <v>7002</v>
      </c>
      <c r="AG123" t="s">
        <v>2351</v>
      </c>
      <c r="AH123" t="s">
        <v>7485</v>
      </c>
      <c r="AK123" t="s">
        <v>7002</v>
      </c>
      <c r="AL123" t="s">
        <v>2351</v>
      </c>
      <c r="AM123">
        <v>15</v>
      </c>
    </row>
    <row r="124" spans="2:40" x14ac:dyDescent="0.3">
      <c r="B124" t="s">
        <v>6999</v>
      </c>
      <c r="C124" t="s">
        <v>2358</v>
      </c>
      <c r="D124">
        <v>300</v>
      </c>
      <c r="G124" t="s">
        <v>6999</v>
      </c>
      <c r="H124" t="s">
        <v>2358</v>
      </c>
      <c r="I124">
        <v>218.798</v>
      </c>
      <c r="L124" t="s">
        <v>6999</v>
      </c>
      <c r="M124" t="s">
        <v>2358</v>
      </c>
      <c r="N124" t="s">
        <v>7485</v>
      </c>
      <c r="Q124" t="s">
        <v>6999</v>
      </c>
      <c r="R124" t="s">
        <v>2358</v>
      </c>
      <c r="S124" t="s">
        <v>7485</v>
      </c>
      <c r="V124" t="s">
        <v>7002</v>
      </c>
      <c r="W124" t="s">
        <v>1839</v>
      </c>
      <c r="X124" t="s">
        <v>7485</v>
      </c>
      <c r="AA124" t="s">
        <v>6999</v>
      </c>
      <c r="AB124" t="s">
        <v>2358</v>
      </c>
      <c r="AC124" t="s">
        <v>7485</v>
      </c>
      <c r="AF124" t="s">
        <v>6999</v>
      </c>
      <c r="AG124" t="s">
        <v>2358</v>
      </c>
      <c r="AH124" t="s">
        <v>7485</v>
      </c>
      <c r="AK124" t="s">
        <v>6999</v>
      </c>
      <c r="AL124" t="s">
        <v>2358</v>
      </c>
      <c r="AM124">
        <v>15</v>
      </c>
    </row>
    <row r="125" spans="2:40" x14ac:dyDescent="0.3">
      <c r="B125" t="s">
        <v>7002</v>
      </c>
      <c r="C125" t="s">
        <v>2376</v>
      </c>
      <c r="D125" t="s">
        <v>7485</v>
      </c>
      <c r="G125" t="s">
        <v>7002</v>
      </c>
      <c r="H125" t="s">
        <v>2376</v>
      </c>
      <c r="I125">
        <v>0</v>
      </c>
      <c r="L125" t="s">
        <v>7002</v>
      </c>
      <c r="M125" t="s">
        <v>2376</v>
      </c>
      <c r="N125" t="s">
        <v>7485</v>
      </c>
      <c r="Q125" t="s">
        <v>7002</v>
      </c>
      <c r="R125" t="s">
        <v>2376</v>
      </c>
      <c r="S125" t="s">
        <v>7485</v>
      </c>
      <c r="V125" t="s">
        <v>7002</v>
      </c>
      <c r="W125" t="s">
        <v>1888</v>
      </c>
      <c r="X125">
        <v>0</v>
      </c>
      <c r="AA125" t="s">
        <v>7002</v>
      </c>
      <c r="AB125" t="s">
        <v>2376</v>
      </c>
      <c r="AC125">
        <v>0</v>
      </c>
      <c r="AF125" t="s">
        <v>7002</v>
      </c>
      <c r="AG125" t="s">
        <v>2376</v>
      </c>
      <c r="AH125">
        <v>21.74</v>
      </c>
      <c r="AK125" t="s">
        <v>7002</v>
      </c>
      <c r="AL125" t="s">
        <v>2376</v>
      </c>
      <c r="AM125">
        <v>15</v>
      </c>
    </row>
    <row r="126" spans="2:40" x14ac:dyDescent="0.3">
      <c r="B126" t="s">
        <v>7002</v>
      </c>
      <c r="C126" t="s">
        <v>2393</v>
      </c>
      <c r="D126">
        <v>300</v>
      </c>
      <c r="G126" t="s">
        <v>7002</v>
      </c>
      <c r="H126" t="s">
        <v>2393</v>
      </c>
      <c r="I126">
        <v>0</v>
      </c>
      <c r="L126" t="s">
        <v>7002</v>
      </c>
      <c r="M126" t="s">
        <v>2393</v>
      </c>
      <c r="N126" t="s">
        <v>7485</v>
      </c>
      <c r="Q126" t="s">
        <v>7002</v>
      </c>
      <c r="R126" t="s">
        <v>2393</v>
      </c>
      <c r="S126" t="s">
        <v>7485</v>
      </c>
      <c r="V126" t="s">
        <v>7002</v>
      </c>
      <c r="W126" t="s">
        <v>1985</v>
      </c>
      <c r="X126" t="s">
        <v>7485</v>
      </c>
      <c r="Y126" t="s">
        <v>7486</v>
      </c>
      <c r="AA126" t="s">
        <v>7002</v>
      </c>
      <c r="AB126" t="s">
        <v>2393</v>
      </c>
      <c r="AC126" t="s">
        <v>7485</v>
      </c>
      <c r="AF126" t="s">
        <v>7002</v>
      </c>
      <c r="AG126" t="s">
        <v>2393</v>
      </c>
      <c r="AH126" t="s">
        <v>7485</v>
      </c>
      <c r="AK126" t="s">
        <v>7002</v>
      </c>
      <c r="AL126" t="s">
        <v>2393</v>
      </c>
      <c r="AM126">
        <v>15</v>
      </c>
    </row>
    <row r="127" spans="2:40" x14ac:dyDescent="0.3">
      <c r="B127" t="s">
        <v>7002</v>
      </c>
      <c r="C127" t="s">
        <v>2404</v>
      </c>
      <c r="D127" t="s">
        <v>7485</v>
      </c>
      <c r="G127" t="s">
        <v>7002</v>
      </c>
      <c r="H127" t="s">
        <v>2404</v>
      </c>
      <c r="I127">
        <v>218.798</v>
      </c>
      <c r="L127" t="s">
        <v>7002</v>
      </c>
      <c r="M127" t="s">
        <v>2404</v>
      </c>
      <c r="N127" t="s">
        <v>7485</v>
      </c>
      <c r="Q127" t="s">
        <v>7002</v>
      </c>
      <c r="R127" t="s">
        <v>2404</v>
      </c>
      <c r="S127" t="s">
        <v>7485</v>
      </c>
      <c r="V127" t="s">
        <v>7002</v>
      </c>
      <c r="W127" t="s">
        <v>1993</v>
      </c>
      <c r="X127" t="s">
        <v>7485</v>
      </c>
      <c r="AA127" t="s">
        <v>7002</v>
      </c>
      <c r="AB127" t="s">
        <v>2404</v>
      </c>
      <c r="AC127" t="s">
        <v>7485</v>
      </c>
      <c r="AF127" t="s">
        <v>7002</v>
      </c>
      <c r="AG127" t="s">
        <v>2404</v>
      </c>
      <c r="AH127" t="s">
        <v>7485</v>
      </c>
      <c r="AK127" t="s">
        <v>7002</v>
      </c>
      <c r="AL127" t="s">
        <v>2404</v>
      </c>
      <c r="AM127">
        <v>15</v>
      </c>
    </row>
    <row r="128" spans="2:40" x14ac:dyDescent="0.3">
      <c r="B128" t="s">
        <v>7002</v>
      </c>
      <c r="C128" t="s">
        <v>2428</v>
      </c>
      <c r="D128" t="s">
        <v>7485</v>
      </c>
      <c r="G128" t="s">
        <v>7002</v>
      </c>
      <c r="H128" t="s">
        <v>2428</v>
      </c>
      <c r="I128">
        <v>14.116</v>
      </c>
      <c r="L128" t="s">
        <v>7002</v>
      </c>
      <c r="M128" t="s">
        <v>2428</v>
      </c>
      <c r="N128" t="s">
        <v>7485</v>
      </c>
      <c r="Q128" t="s">
        <v>7002</v>
      </c>
      <c r="R128" t="s">
        <v>2428</v>
      </c>
      <c r="S128" t="s">
        <v>7485</v>
      </c>
      <c r="V128" t="s">
        <v>7002</v>
      </c>
      <c r="W128" t="s">
        <v>2007</v>
      </c>
      <c r="X128" t="s">
        <v>7485</v>
      </c>
      <c r="AA128" t="s">
        <v>7002</v>
      </c>
      <c r="AB128" t="s">
        <v>2428</v>
      </c>
      <c r="AC128" t="s">
        <v>7485</v>
      </c>
      <c r="AF128" t="s">
        <v>7002</v>
      </c>
      <c r="AG128" t="s">
        <v>2428</v>
      </c>
      <c r="AH128" t="s">
        <v>7485</v>
      </c>
      <c r="AK128" t="s">
        <v>7002</v>
      </c>
      <c r="AL128" t="s">
        <v>2428</v>
      </c>
      <c r="AM128">
        <v>15</v>
      </c>
    </row>
    <row r="129" spans="2:39" x14ac:dyDescent="0.3">
      <c r="B129" t="s">
        <v>7000</v>
      </c>
      <c r="C129" t="s">
        <v>2451</v>
      </c>
      <c r="D129">
        <v>300</v>
      </c>
      <c r="G129" t="s">
        <v>7000</v>
      </c>
      <c r="H129" t="s">
        <v>2451</v>
      </c>
      <c r="I129">
        <v>218.798</v>
      </c>
      <c r="L129" t="s">
        <v>7000</v>
      </c>
      <c r="M129" t="s">
        <v>2451</v>
      </c>
      <c r="N129" t="s">
        <v>7485</v>
      </c>
      <c r="Q129" t="s">
        <v>7000</v>
      </c>
      <c r="R129" t="s">
        <v>2451</v>
      </c>
      <c r="S129" t="s">
        <v>7485</v>
      </c>
      <c r="V129" t="s">
        <v>7002</v>
      </c>
      <c r="W129" t="s">
        <v>2056</v>
      </c>
      <c r="X129">
        <v>0</v>
      </c>
      <c r="AA129" t="s">
        <v>7000</v>
      </c>
      <c r="AB129" t="s">
        <v>2451</v>
      </c>
      <c r="AC129" t="s">
        <v>7485</v>
      </c>
      <c r="AF129" t="s">
        <v>7000</v>
      </c>
      <c r="AG129" t="s">
        <v>2451</v>
      </c>
      <c r="AH129" t="s">
        <v>7485</v>
      </c>
      <c r="AK129" t="s">
        <v>7000</v>
      </c>
      <c r="AL129" t="s">
        <v>2451</v>
      </c>
      <c r="AM129">
        <v>15</v>
      </c>
    </row>
    <row r="130" spans="2:39" x14ac:dyDescent="0.3">
      <c r="B130" t="s">
        <v>7001</v>
      </c>
      <c r="C130" t="s">
        <v>2455</v>
      </c>
      <c r="D130" t="s">
        <v>7485</v>
      </c>
      <c r="G130" t="s">
        <v>7001</v>
      </c>
      <c r="H130" t="s">
        <v>2455</v>
      </c>
      <c r="I130">
        <v>0</v>
      </c>
      <c r="L130" t="s">
        <v>7001</v>
      </c>
      <c r="M130" t="s">
        <v>2455</v>
      </c>
      <c r="N130" t="s">
        <v>7485</v>
      </c>
      <c r="Q130" t="s">
        <v>7001</v>
      </c>
      <c r="R130" t="s">
        <v>2455</v>
      </c>
      <c r="S130" t="s">
        <v>7485</v>
      </c>
      <c r="V130" t="s">
        <v>7002</v>
      </c>
      <c r="W130" t="s">
        <v>2127</v>
      </c>
      <c r="X130" t="s">
        <v>7485</v>
      </c>
      <c r="AA130" t="s">
        <v>7001</v>
      </c>
      <c r="AB130" t="s">
        <v>2455</v>
      </c>
      <c r="AC130" t="s">
        <v>7485</v>
      </c>
      <c r="AF130" t="s">
        <v>7001</v>
      </c>
      <c r="AG130" t="s">
        <v>2455</v>
      </c>
      <c r="AH130" t="s">
        <v>7485</v>
      </c>
      <c r="AK130" t="s">
        <v>7001</v>
      </c>
      <c r="AL130" t="s">
        <v>2455</v>
      </c>
      <c r="AM130">
        <v>16</v>
      </c>
    </row>
    <row r="131" spans="2:39" x14ac:dyDescent="0.3">
      <c r="B131" t="s">
        <v>7000</v>
      </c>
      <c r="C131" t="s">
        <v>2472</v>
      </c>
      <c r="D131" t="s">
        <v>7485</v>
      </c>
      <c r="G131" t="s">
        <v>7000</v>
      </c>
      <c r="H131" t="s">
        <v>2472</v>
      </c>
      <c r="I131">
        <v>0</v>
      </c>
      <c r="L131" t="s">
        <v>7000</v>
      </c>
      <c r="M131" t="s">
        <v>2472</v>
      </c>
      <c r="N131" t="s">
        <v>7485</v>
      </c>
      <c r="Q131" t="s">
        <v>7000</v>
      </c>
      <c r="R131" t="s">
        <v>2472</v>
      </c>
      <c r="S131">
        <v>40</v>
      </c>
      <c r="V131" t="s">
        <v>7002</v>
      </c>
      <c r="W131" t="s">
        <v>2254</v>
      </c>
      <c r="X131" t="s">
        <v>7485</v>
      </c>
      <c r="AA131" t="s">
        <v>7000</v>
      </c>
      <c r="AB131" t="s">
        <v>2472</v>
      </c>
      <c r="AC131" t="s">
        <v>7485</v>
      </c>
      <c r="AF131" t="s">
        <v>7000</v>
      </c>
      <c r="AG131" t="s">
        <v>2472</v>
      </c>
      <c r="AH131" t="s">
        <v>7485</v>
      </c>
      <c r="AK131" t="s">
        <v>7000</v>
      </c>
      <c r="AL131" t="s">
        <v>2472</v>
      </c>
      <c r="AM131">
        <v>15</v>
      </c>
    </row>
    <row r="132" spans="2:39" x14ac:dyDescent="0.3">
      <c r="B132" t="s">
        <v>7000</v>
      </c>
      <c r="C132" t="s">
        <v>2476</v>
      </c>
      <c r="D132" t="s">
        <v>7485</v>
      </c>
      <c r="G132" t="s">
        <v>7000</v>
      </c>
      <c r="H132" t="s">
        <v>2476</v>
      </c>
      <c r="I132">
        <v>0</v>
      </c>
      <c r="L132" t="s">
        <v>7000</v>
      </c>
      <c r="M132" t="s">
        <v>2476</v>
      </c>
      <c r="N132" t="s">
        <v>7485</v>
      </c>
      <c r="Q132" t="s">
        <v>7000</v>
      </c>
      <c r="R132" t="s">
        <v>2476</v>
      </c>
      <c r="S132" t="s">
        <v>7485</v>
      </c>
      <c r="V132" t="s">
        <v>7002</v>
      </c>
      <c r="W132" t="s">
        <v>2261</v>
      </c>
      <c r="X132">
        <v>0</v>
      </c>
      <c r="AA132" t="s">
        <v>7000</v>
      </c>
      <c r="AB132" t="s">
        <v>2476</v>
      </c>
      <c r="AC132">
        <v>0</v>
      </c>
      <c r="AF132" t="s">
        <v>7000</v>
      </c>
      <c r="AG132" t="s">
        <v>2476</v>
      </c>
      <c r="AH132">
        <v>0</v>
      </c>
      <c r="AK132" t="s">
        <v>7000</v>
      </c>
      <c r="AL132" t="s">
        <v>2476</v>
      </c>
      <c r="AM132">
        <v>15</v>
      </c>
    </row>
    <row r="133" spans="2:39" x14ac:dyDescent="0.3">
      <c r="B133" t="s">
        <v>7002</v>
      </c>
      <c r="C133" t="s">
        <v>2480</v>
      </c>
      <c r="D133">
        <v>300</v>
      </c>
      <c r="G133" t="s">
        <v>7002</v>
      </c>
      <c r="H133" t="s">
        <v>2480</v>
      </c>
      <c r="I133">
        <v>0</v>
      </c>
      <c r="L133" t="s">
        <v>7002</v>
      </c>
      <c r="M133" t="s">
        <v>2480</v>
      </c>
      <c r="N133" t="s">
        <v>7485</v>
      </c>
      <c r="Q133" t="s">
        <v>7002</v>
      </c>
      <c r="R133" t="s">
        <v>2480</v>
      </c>
      <c r="S133" t="s">
        <v>7485</v>
      </c>
      <c r="V133" t="s">
        <v>7002</v>
      </c>
      <c r="W133" t="s">
        <v>2313</v>
      </c>
      <c r="X133" t="s">
        <v>7485</v>
      </c>
      <c r="AA133" t="s">
        <v>7002</v>
      </c>
      <c r="AB133" t="s">
        <v>2480</v>
      </c>
      <c r="AC133" t="s">
        <v>7485</v>
      </c>
      <c r="AF133" t="s">
        <v>7002</v>
      </c>
      <c r="AG133" t="s">
        <v>2480</v>
      </c>
      <c r="AH133" t="s">
        <v>7485</v>
      </c>
      <c r="AK133" t="s">
        <v>7002</v>
      </c>
      <c r="AL133" t="s">
        <v>2480</v>
      </c>
      <c r="AM133">
        <v>18</v>
      </c>
    </row>
    <row r="134" spans="2:39" x14ac:dyDescent="0.3">
      <c r="B134" t="s">
        <v>7002</v>
      </c>
      <c r="C134" t="s">
        <v>2493</v>
      </c>
      <c r="D134">
        <v>300</v>
      </c>
      <c r="G134" t="s">
        <v>7002</v>
      </c>
      <c r="H134" t="s">
        <v>2493</v>
      </c>
      <c r="I134">
        <v>218.798</v>
      </c>
      <c r="L134" t="s">
        <v>7002</v>
      </c>
      <c r="M134" t="s">
        <v>2493</v>
      </c>
      <c r="N134" t="s">
        <v>7485</v>
      </c>
      <c r="Q134" t="s">
        <v>7002</v>
      </c>
      <c r="R134" t="s">
        <v>2493</v>
      </c>
      <c r="S134" t="s">
        <v>7485</v>
      </c>
      <c r="V134" t="s">
        <v>7002</v>
      </c>
      <c r="W134" t="s">
        <v>2351</v>
      </c>
      <c r="X134" t="s">
        <v>7485</v>
      </c>
      <c r="AA134" t="s">
        <v>7002</v>
      </c>
      <c r="AB134" t="s">
        <v>2493</v>
      </c>
      <c r="AC134" t="s">
        <v>7485</v>
      </c>
      <c r="AF134" t="s">
        <v>7002</v>
      </c>
      <c r="AG134" t="s">
        <v>2493</v>
      </c>
      <c r="AH134" t="s">
        <v>7485</v>
      </c>
      <c r="AK134" t="s">
        <v>7002</v>
      </c>
      <c r="AL134" t="s">
        <v>2493</v>
      </c>
      <c r="AM134">
        <v>15</v>
      </c>
    </row>
    <row r="135" spans="2:39" x14ac:dyDescent="0.3">
      <c r="B135" t="s">
        <v>7000</v>
      </c>
      <c r="C135" t="s">
        <v>2510</v>
      </c>
      <c r="D135" t="s">
        <v>7485</v>
      </c>
      <c r="G135" t="s">
        <v>7000</v>
      </c>
      <c r="H135" t="s">
        <v>2510</v>
      </c>
      <c r="I135">
        <v>0</v>
      </c>
      <c r="L135" t="s">
        <v>7000</v>
      </c>
      <c r="M135" t="s">
        <v>2510</v>
      </c>
      <c r="N135" t="s">
        <v>7485</v>
      </c>
      <c r="Q135" t="s">
        <v>7000</v>
      </c>
      <c r="R135" t="s">
        <v>2510</v>
      </c>
      <c r="S135" t="s">
        <v>7485</v>
      </c>
      <c r="V135" t="s">
        <v>7002</v>
      </c>
      <c r="W135" t="s">
        <v>2376</v>
      </c>
      <c r="X135">
        <v>0</v>
      </c>
      <c r="AA135" t="s">
        <v>7000</v>
      </c>
      <c r="AB135" t="s">
        <v>2510</v>
      </c>
      <c r="AC135" t="s">
        <v>7485</v>
      </c>
      <c r="AF135" t="s">
        <v>7000</v>
      </c>
      <c r="AG135" t="s">
        <v>2510</v>
      </c>
      <c r="AH135" t="s">
        <v>7485</v>
      </c>
      <c r="AK135" t="s">
        <v>7000</v>
      </c>
      <c r="AL135" t="s">
        <v>2510</v>
      </c>
      <c r="AM135">
        <v>15</v>
      </c>
    </row>
    <row r="136" spans="2:39" x14ac:dyDescent="0.3">
      <c r="B136" t="s">
        <v>7002</v>
      </c>
      <c r="C136" t="s">
        <v>2531</v>
      </c>
      <c r="D136" t="s">
        <v>7485</v>
      </c>
      <c r="G136" t="s">
        <v>7002</v>
      </c>
      <c r="H136" t="s">
        <v>2531</v>
      </c>
      <c r="I136">
        <v>0</v>
      </c>
      <c r="L136" t="s">
        <v>7002</v>
      </c>
      <c r="M136" t="s">
        <v>2531</v>
      </c>
      <c r="N136" t="s">
        <v>7485</v>
      </c>
      <c r="Q136" t="s">
        <v>7002</v>
      </c>
      <c r="R136" t="s">
        <v>2531</v>
      </c>
      <c r="S136" t="s">
        <v>7485</v>
      </c>
      <c r="V136" t="s">
        <v>7002</v>
      </c>
      <c r="W136" t="s">
        <v>2393</v>
      </c>
      <c r="X136" t="s">
        <v>7485</v>
      </c>
      <c r="AA136" t="s">
        <v>7002</v>
      </c>
      <c r="AB136" t="s">
        <v>2531</v>
      </c>
      <c r="AC136" t="s">
        <v>7485</v>
      </c>
      <c r="AF136" t="s">
        <v>7002</v>
      </c>
      <c r="AG136" t="s">
        <v>2531</v>
      </c>
      <c r="AH136" t="s">
        <v>7485</v>
      </c>
      <c r="AK136" t="s">
        <v>7002</v>
      </c>
      <c r="AL136" t="s">
        <v>2531</v>
      </c>
      <c r="AM136">
        <v>15</v>
      </c>
    </row>
    <row r="137" spans="2:39" x14ac:dyDescent="0.3">
      <c r="B137" t="s">
        <v>7002</v>
      </c>
      <c r="C137" t="s">
        <v>2542</v>
      </c>
      <c r="D137">
        <v>30</v>
      </c>
      <c r="G137" t="s">
        <v>7002</v>
      </c>
      <c r="H137" t="s">
        <v>2542</v>
      </c>
      <c r="I137">
        <v>0</v>
      </c>
      <c r="L137" t="s">
        <v>7002</v>
      </c>
      <c r="M137" t="s">
        <v>2542</v>
      </c>
      <c r="N137" t="s">
        <v>7485</v>
      </c>
      <c r="Q137" t="s">
        <v>7002</v>
      </c>
      <c r="R137" t="s">
        <v>2542</v>
      </c>
      <c r="S137" t="s">
        <v>7485</v>
      </c>
      <c r="V137" t="s">
        <v>7002</v>
      </c>
      <c r="W137" t="s">
        <v>2404</v>
      </c>
      <c r="X137" t="s">
        <v>7485</v>
      </c>
      <c r="AA137" t="s">
        <v>7002</v>
      </c>
      <c r="AB137" t="s">
        <v>2542</v>
      </c>
      <c r="AC137" t="s">
        <v>7485</v>
      </c>
      <c r="AF137" t="s">
        <v>7002</v>
      </c>
      <c r="AG137" t="s">
        <v>2542</v>
      </c>
      <c r="AH137" t="s">
        <v>7485</v>
      </c>
      <c r="AK137" t="s">
        <v>7002</v>
      </c>
      <c r="AL137" t="s">
        <v>2542</v>
      </c>
      <c r="AM137">
        <v>15</v>
      </c>
    </row>
    <row r="138" spans="2:39" x14ac:dyDescent="0.3">
      <c r="B138" t="s">
        <v>7002</v>
      </c>
      <c r="C138" t="s">
        <v>2556</v>
      </c>
      <c r="D138" t="s">
        <v>7485</v>
      </c>
      <c r="G138" t="s">
        <v>7002</v>
      </c>
      <c r="H138" t="s">
        <v>2556</v>
      </c>
      <c r="I138">
        <v>91.753999999999991</v>
      </c>
      <c r="L138" t="s">
        <v>7002</v>
      </c>
      <c r="M138" t="s">
        <v>2556</v>
      </c>
      <c r="N138" t="s">
        <v>7485</v>
      </c>
      <c r="Q138" t="s">
        <v>7002</v>
      </c>
      <c r="R138" t="s">
        <v>2556</v>
      </c>
      <c r="S138" t="s">
        <v>7485</v>
      </c>
      <c r="V138" t="s">
        <v>7002</v>
      </c>
      <c r="W138" t="s">
        <v>2428</v>
      </c>
      <c r="X138" t="s">
        <v>7485</v>
      </c>
      <c r="AA138" t="s">
        <v>7002</v>
      </c>
      <c r="AB138" t="s">
        <v>2556</v>
      </c>
      <c r="AC138">
        <v>0</v>
      </c>
      <c r="AF138" t="s">
        <v>7002</v>
      </c>
      <c r="AG138" t="s">
        <v>2556</v>
      </c>
      <c r="AH138">
        <v>0</v>
      </c>
      <c r="AK138" t="s">
        <v>7002</v>
      </c>
      <c r="AL138" t="s">
        <v>2556</v>
      </c>
      <c r="AM138">
        <v>15</v>
      </c>
    </row>
    <row r="139" spans="2:39" x14ac:dyDescent="0.3">
      <c r="B139" t="s">
        <v>7002</v>
      </c>
      <c r="C139" t="s">
        <v>2578</v>
      </c>
      <c r="D139">
        <v>300</v>
      </c>
      <c r="G139" t="s">
        <v>7002</v>
      </c>
      <c r="H139" t="s">
        <v>2578</v>
      </c>
      <c r="I139">
        <v>0</v>
      </c>
      <c r="L139" t="s">
        <v>7002</v>
      </c>
      <c r="M139" t="s">
        <v>2578</v>
      </c>
      <c r="N139" t="s">
        <v>7485</v>
      </c>
      <c r="Q139" t="s">
        <v>7002</v>
      </c>
      <c r="R139" t="s">
        <v>2578</v>
      </c>
      <c r="S139" t="s">
        <v>7485</v>
      </c>
      <c r="V139" t="s">
        <v>7002</v>
      </c>
      <c r="W139" t="s">
        <v>2480</v>
      </c>
      <c r="X139" t="s">
        <v>7485</v>
      </c>
      <c r="AA139" t="s">
        <v>7002</v>
      </c>
      <c r="AB139" t="s">
        <v>2578</v>
      </c>
      <c r="AC139" t="s">
        <v>7485</v>
      </c>
      <c r="AF139" t="s">
        <v>7002</v>
      </c>
      <c r="AG139" t="s">
        <v>2578</v>
      </c>
      <c r="AH139" t="s">
        <v>7485</v>
      </c>
      <c r="AK139" t="s">
        <v>7002</v>
      </c>
      <c r="AL139" t="s">
        <v>2578</v>
      </c>
      <c r="AM139">
        <v>16</v>
      </c>
    </row>
    <row r="140" spans="2:39" x14ac:dyDescent="0.3">
      <c r="B140" t="s">
        <v>7002</v>
      </c>
      <c r="C140" t="s">
        <v>2586</v>
      </c>
      <c r="D140" t="s">
        <v>7485</v>
      </c>
      <c r="G140" t="s">
        <v>7002</v>
      </c>
      <c r="H140" t="s">
        <v>2586</v>
      </c>
      <c r="I140">
        <v>218.798</v>
      </c>
      <c r="L140" t="s">
        <v>7002</v>
      </c>
      <c r="M140" t="s">
        <v>2586</v>
      </c>
      <c r="N140" t="s">
        <v>7485</v>
      </c>
      <c r="Q140" t="s">
        <v>7002</v>
      </c>
      <c r="R140" t="s">
        <v>2586</v>
      </c>
      <c r="S140">
        <v>15</v>
      </c>
      <c r="V140" t="s">
        <v>7002</v>
      </c>
      <c r="W140" t="s">
        <v>2493</v>
      </c>
      <c r="X140" t="s">
        <v>7485</v>
      </c>
      <c r="AA140" t="s">
        <v>7002</v>
      </c>
      <c r="AB140" t="s">
        <v>2586</v>
      </c>
      <c r="AC140" t="s">
        <v>7485</v>
      </c>
      <c r="AF140" t="s">
        <v>7002</v>
      </c>
      <c r="AG140" t="s">
        <v>2586</v>
      </c>
      <c r="AH140" t="s">
        <v>7485</v>
      </c>
      <c r="AK140" t="s">
        <v>7002</v>
      </c>
      <c r="AL140" t="s">
        <v>2586</v>
      </c>
      <c r="AM140">
        <v>16</v>
      </c>
    </row>
    <row r="141" spans="2:39" x14ac:dyDescent="0.3">
      <c r="B141" t="s">
        <v>7002</v>
      </c>
      <c r="C141" t="s">
        <v>2597</v>
      </c>
      <c r="D141" t="s">
        <v>7485</v>
      </c>
      <c r="G141" t="s">
        <v>7002</v>
      </c>
      <c r="H141" t="s">
        <v>2597</v>
      </c>
      <c r="I141">
        <v>42.347999999999999</v>
      </c>
      <c r="L141" t="s">
        <v>7002</v>
      </c>
      <c r="M141" t="s">
        <v>2597</v>
      </c>
      <c r="N141" t="s">
        <v>7485</v>
      </c>
      <c r="Q141" t="s">
        <v>7002</v>
      </c>
      <c r="R141" t="s">
        <v>2597</v>
      </c>
      <c r="S141" t="s">
        <v>7485</v>
      </c>
      <c r="V141" t="s">
        <v>7002</v>
      </c>
      <c r="W141" t="s">
        <v>2531</v>
      </c>
      <c r="X141" t="s">
        <v>7485</v>
      </c>
      <c r="AA141" t="s">
        <v>7002</v>
      </c>
      <c r="AB141" t="s">
        <v>2597</v>
      </c>
      <c r="AC141" t="s">
        <v>7485</v>
      </c>
      <c r="AF141" t="s">
        <v>7002</v>
      </c>
      <c r="AG141" t="s">
        <v>2597</v>
      </c>
      <c r="AH141" t="s">
        <v>7485</v>
      </c>
      <c r="AK141" t="s">
        <v>7002</v>
      </c>
      <c r="AL141" t="s">
        <v>2597</v>
      </c>
      <c r="AM141">
        <v>15</v>
      </c>
    </row>
    <row r="142" spans="2:39" x14ac:dyDescent="0.3">
      <c r="B142" t="s">
        <v>6999</v>
      </c>
      <c r="C142" t="s">
        <v>2601</v>
      </c>
      <c r="D142" t="s">
        <v>7485</v>
      </c>
      <c r="G142" t="s">
        <v>6999</v>
      </c>
      <c r="H142" t="s">
        <v>2601</v>
      </c>
      <c r="I142">
        <v>0</v>
      </c>
      <c r="L142" t="s">
        <v>6999</v>
      </c>
      <c r="M142" t="s">
        <v>2601</v>
      </c>
      <c r="N142" t="s">
        <v>7485</v>
      </c>
      <c r="Q142" t="s">
        <v>6999</v>
      </c>
      <c r="R142" t="s">
        <v>2601</v>
      </c>
      <c r="S142" t="s">
        <v>7485</v>
      </c>
      <c r="V142" t="s">
        <v>7002</v>
      </c>
      <c r="W142" t="s">
        <v>2542</v>
      </c>
      <c r="X142" t="s">
        <v>7485</v>
      </c>
      <c r="AA142" t="s">
        <v>6999</v>
      </c>
      <c r="AB142" t="s">
        <v>2601</v>
      </c>
      <c r="AC142" t="s">
        <v>7485</v>
      </c>
      <c r="AF142" t="s">
        <v>6999</v>
      </c>
      <c r="AG142" t="s">
        <v>2601</v>
      </c>
      <c r="AH142" t="s">
        <v>7485</v>
      </c>
      <c r="AK142" t="s">
        <v>6999</v>
      </c>
      <c r="AL142" t="s">
        <v>2601</v>
      </c>
      <c r="AM142">
        <v>15</v>
      </c>
    </row>
    <row r="143" spans="2:39" x14ac:dyDescent="0.3">
      <c r="B143" t="s">
        <v>7000</v>
      </c>
      <c r="C143" t="s">
        <v>2604</v>
      </c>
      <c r="D143" t="s">
        <v>7485</v>
      </c>
      <c r="G143" t="s">
        <v>7000</v>
      </c>
      <c r="H143" t="s">
        <v>2604</v>
      </c>
      <c r="I143">
        <v>0</v>
      </c>
      <c r="L143" t="s">
        <v>7000</v>
      </c>
      <c r="M143" t="s">
        <v>2604</v>
      </c>
      <c r="N143" t="s">
        <v>7485</v>
      </c>
      <c r="Q143" t="s">
        <v>7000</v>
      </c>
      <c r="R143" t="s">
        <v>2604</v>
      </c>
      <c r="S143" t="s">
        <v>7485</v>
      </c>
      <c r="V143" t="s">
        <v>7002</v>
      </c>
      <c r="W143" t="s">
        <v>2556</v>
      </c>
      <c r="X143">
        <v>36.25</v>
      </c>
      <c r="AA143" t="s">
        <v>7000</v>
      </c>
      <c r="AB143" t="s">
        <v>2604</v>
      </c>
      <c r="AC143" t="s">
        <v>7485</v>
      </c>
      <c r="AF143" t="s">
        <v>7000</v>
      </c>
      <c r="AG143" t="s">
        <v>2604</v>
      </c>
      <c r="AH143" t="s">
        <v>7485</v>
      </c>
      <c r="AK143" t="s">
        <v>7000</v>
      </c>
      <c r="AL143" t="s">
        <v>2604</v>
      </c>
      <c r="AM143">
        <v>15</v>
      </c>
    </row>
    <row r="144" spans="2:39" x14ac:dyDescent="0.3">
      <c r="B144" t="s">
        <v>7001</v>
      </c>
      <c r="C144" t="s">
        <v>2622</v>
      </c>
      <c r="D144" t="s">
        <v>7485</v>
      </c>
      <c r="G144" t="s">
        <v>7001</v>
      </c>
      <c r="H144" t="s">
        <v>2622</v>
      </c>
      <c r="I144">
        <v>0</v>
      </c>
      <c r="L144" t="s">
        <v>7001</v>
      </c>
      <c r="M144" t="s">
        <v>2622</v>
      </c>
      <c r="N144" t="s">
        <v>7485</v>
      </c>
      <c r="Q144" t="s">
        <v>7001</v>
      </c>
      <c r="R144" t="s">
        <v>2622</v>
      </c>
      <c r="S144">
        <v>74.666666666666657</v>
      </c>
      <c r="V144" t="s">
        <v>7002</v>
      </c>
      <c r="W144" t="s">
        <v>2578</v>
      </c>
      <c r="X144" t="s">
        <v>7485</v>
      </c>
      <c r="AA144" t="s">
        <v>7001</v>
      </c>
      <c r="AB144" t="s">
        <v>2622</v>
      </c>
      <c r="AC144" t="s">
        <v>7485</v>
      </c>
      <c r="AF144" t="s">
        <v>7001</v>
      </c>
      <c r="AG144" t="s">
        <v>2622</v>
      </c>
      <c r="AH144" t="s">
        <v>7485</v>
      </c>
      <c r="AK144" t="s">
        <v>7001</v>
      </c>
      <c r="AL144" t="s">
        <v>2622</v>
      </c>
      <c r="AM144">
        <v>15</v>
      </c>
    </row>
    <row r="145" spans="2:39" x14ac:dyDescent="0.3">
      <c r="B145" t="s">
        <v>6999</v>
      </c>
      <c r="C145" t="s">
        <v>2626</v>
      </c>
      <c r="D145" t="s">
        <v>7485</v>
      </c>
      <c r="G145" t="s">
        <v>6999</v>
      </c>
      <c r="H145" t="s">
        <v>2626</v>
      </c>
      <c r="I145">
        <v>218.798</v>
      </c>
      <c r="L145" t="s">
        <v>6999</v>
      </c>
      <c r="M145" t="s">
        <v>2626</v>
      </c>
      <c r="N145" t="s">
        <v>7485</v>
      </c>
      <c r="Q145" t="s">
        <v>6999</v>
      </c>
      <c r="R145" t="s">
        <v>2626</v>
      </c>
      <c r="S145" t="s">
        <v>7485</v>
      </c>
      <c r="V145" t="s">
        <v>7002</v>
      </c>
      <c r="W145" t="s">
        <v>2586</v>
      </c>
      <c r="X145" t="s">
        <v>7485</v>
      </c>
      <c r="AA145" t="s">
        <v>6999</v>
      </c>
      <c r="AB145" t="s">
        <v>2626</v>
      </c>
      <c r="AC145" t="s">
        <v>7485</v>
      </c>
      <c r="AF145" t="s">
        <v>6999</v>
      </c>
      <c r="AG145" t="s">
        <v>2626</v>
      </c>
      <c r="AH145" t="s">
        <v>7485</v>
      </c>
      <c r="AK145" t="s">
        <v>6999</v>
      </c>
      <c r="AL145" t="s">
        <v>2626</v>
      </c>
      <c r="AM145">
        <v>15</v>
      </c>
    </row>
    <row r="146" spans="2:39" x14ac:dyDescent="0.3">
      <c r="B146" t="s">
        <v>7002</v>
      </c>
      <c r="C146" t="s">
        <v>2638</v>
      </c>
      <c r="D146" t="s">
        <v>7485</v>
      </c>
      <c r="G146" t="s">
        <v>7002</v>
      </c>
      <c r="H146" t="s">
        <v>2638</v>
      </c>
      <c r="I146">
        <v>21.173999999999999</v>
      </c>
      <c r="L146" t="s">
        <v>7002</v>
      </c>
      <c r="M146" t="s">
        <v>2638</v>
      </c>
      <c r="N146" t="s">
        <v>7485</v>
      </c>
      <c r="Q146" t="s">
        <v>7002</v>
      </c>
      <c r="R146" t="s">
        <v>2638</v>
      </c>
      <c r="S146">
        <v>120</v>
      </c>
      <c r="V146" t="s">
        <v>7002</v>
      </c>
      <c r="W146" t="s">
        <v>2597</v>
      </c>
      <c r="X146" t="s">
        <v>7485</v>
      </c>
      <c r="AA146" t="s">
        <v>7002</v>
      </c>
      <c r="AB146" t="s">
        <v>2638</v>
      </c>
      <c r="AC146" t="s">
        <v>7485</v>
      </c>
      <c r="AF146" t="s">
        <v>7002</v>
      </c>
      <c r="AG146" t="s">
        <v>2638</v>
      </c>
      <c r="AH146" t="s">
        <v>7485</v>
      </c>
      <c r="AK146" t="s">
        <v>7002</v>
      </c>
      <c r="AL146" t="s">
        <v>2638</v>
      </c>
      <c r="AM146">
        <v>15</v>
      </c>
    </row>
    <row r="147" spans="2:39" x14ac:dyDescent="0.3">
      <c r="B147" t="s">
        <v>6999</v>
      </c>
      <c r="C147" t="s">
        <v>2667</v>
      </c>
      <c r="D147" t="s">
        <v>7485</v>
      </c>
      <c r="G147" t="s">
        <v>6999</v>
      </c>
      <c r="H147" t="s">
        <v>2667</v>
      </c>
      <c r="I147">
        <v>0</v>
      </c>
      <c r="L147" t="s">
        <v>6999</v>
      </c>
      <c r="M147" t="s">
        <v>2667</v>
      </c>
      <c r="N147" t="s">
        <v>7485</v>
      </c>
      <c r="Q147" t="s">
        <v>6999</v>
      </c>
      <c r="R147" t="s">
        <v>2667</v>
      </c>
      <c r="S147" t="s">
        <v>7485</v>
      </c>
      <c r="V147" t="s">
        <v>7002</v>
      </c>
      <c r="W147" t="s">
        <v>2638</v>
      </c>
      <c r="X147" t="s">
        <v>7485</v>
      </c>
      <c r="AA147" t="s">
        <v>6999</v>
      </c>
      <c r="AB147" t="s">
        <v>2667</v>
      </c>
      <c r="AC147" t="s">
        <v>7485</v>
      </c>
      <c r="AF147" t="s">
        <v>6999</v>
      </c>
      <c r="AG147" t="s">
        <v>2667</v>
      </c>
      <c r="AH147" t="s">
        <v>7485</v>
      </c>
      <c r="AK147" t="s">
        <v>6999</v>
      </c>
      <c r="AL147" t="s">
        <v>2667</v>
      </c>
      <c r="AM147">
        <v>15</v>
      </c>
    </row>
    <row r="148" spans="2:39" x14ac:dyDescent="0.3">
      <c r="B148" t="s">
        <v>7002</v>
      </c>
      <c r="C148" t="s">
        <v>2686</v>
      </c>
      <c r="D148" t="s">
        <v>7485</v>
      </c>
      <c r="G148" t="s">
        <v>7002</v>
      </c>
      <c r="H148" t="s">
        <v>2686</v>
      </c>
      <c r="I148">
        <v>0</v>
      </c>
      <c r="L148" t="s">
        <v>7002</v>
      </c>
      <c r="M148" t="s">
        <v>2686</v>
      </c>
      <c r="N148" t="s">
        <v>7485</v>
      </c>
      <c r="Q148" t="s">
        <v>7002</v>
      </c>
      <c r="R148" t="s">
        <v>2686</v>
      </c>
      <c r="S148">
        <v>10</v>
      </c>
      <c r="V148" t="s">
        <v>7002</v>
      </c>
      <c r="W148" t="s">
        <v>2686</v>
      </c>
      <c r="X148" t="s">
        <v>7485</v>
      </c>
      <c r="AA148" t="s">
        <v>7002</v>
      </c>
      <c r="AB148" t="s">
        <v>2686</v>
      </c>
      <c r="AC148" t="s">
        <v>7485</v>
      </c>
      <c r="AF148" t="s">
        <v>7002</v>
      </c>
      <c r="AG148" t="s">
        <v>2686</v>
      </c>
      <c r="AH148" t="s">
        <v>7485</v>
      </c>
      <c r="AK148" t="s">
        <v>7002</v>
      </c>
      <c r="AL148" t="s">
        <v>2686</v>
      </c>
      <c r="AM148">
        <v>15</v>
      </c>
    </row>
    <row r="149" spans="2:39" x14ac:dyDescent="0.3">
      <c r="B149" t="s">
        <v>7001</v>
      </c>
      <c r="C149" t="s">
        <v>2724</v>
      </c>
      <c r="D149" t="s">
        <v>7485</v>
      </c>
      <c r="G149" t="s">
        <v>7001</v>
      </c>
      <c r="H149" t="s">
        <v>2724</v>
      </c>
      <c r="I149">
        <v>0</v>
      </c>
      <c r="L149" t="s">
        <v>7001</v>
      </c>
      <c r="M149" t="s">
        <v>2724</v>
      </c>
      <c r="N149" t="s">
        <v>7485</v>
      </c>
      <c r="Q149" t="s">
        <v>7001</v>
      </c>
      <c r="R149" t="s">
        <v>2724</v>
      </c>
      <c r="S149" t="s">
        <v>7485</v>
      </c>
      <c r="V149" t="s">
        <v>7002</v>
      </c>
      <c r="W149" t="s">
        <v>2728</v>
      </c>
      <c r="X149" t="s">
        <v>7485</v>
      </c>
      <c r="AA149" t="s">
        <v>7001</v>
      </c>
      <c r="AB149" t="s">
        <v>2724</v>
      </c>
      <c r="AC149" t="s">
        <v>7485</v>
      </c>
      <c r="AF149" t="s">
        <v>7001</v>
      </c>
      <c r="AG149" t="s">
        <v>2724</v>
      </c>
      <c r="AH149" t="s">
        <v>7485</v>
      </c>
      <c r="AK149" t="s">
        <v>7001</v>
      </c>
      <c r="AL149" t="s">
        <v>2724</v>
      </c>
      <c r="AM149">
        <v>14</v>
      </c>
    </row>
    <row r="150" spans="2:39" x14ac:dyDescent="0.3">
      <c r="B150" t="s">
        <v>7002</v>
      </c>
      <c r="C150" t="s">
        <v>2728</v>
      </c>
      <c r="D150" t="s">
        <v>7485</v>
      </c>
      <c r="G150" t="s">
        <v>7002</v>
      </c>
      <c r="H150" t="s">
        <v>2728</v>
      </c>
      <c r="I150">
        <v>0</v>
      </c>
      <c r="L150" t="s">
        <v>7002</v>
      </c>
      <c r="M150" t="s">
        <v>2728</v>
      </c>
      <c r="N150" t="s">
        <v>7485</v>
      </c>
      <c r="Q150" t="s">
        <v>7002</v>
      </c>
      <c r="R150" t="s">
        <v>2728</v>
      </c>
      <c r="S150" t="s">
        <v>7485</v>
      </c>
      <c r="V150" t="s">
        <v>7002</v>
      </c>
      <c r="W150" t="s">
        <v>2742</v>
      </c>
      <c r="X150">
        <v>53.16</v>
      </c>
      <c r="AA150" t="s">
        <v>7002</v>
      </c>
      <c r="AB150" t="s">
        <v>2728</v>
      </c>
      <c r="AC150" t="s">
        <v>7485</v>
      </c>
      <c r="AF150" t="s">
        <v>7002</v>
      </c>
      <c r="AG150" t="s">
        <v>2728</v>
      </c>
      <c r="AH150" t="s">
        <v>7485</v>
      </c>
      <c r="AK150" t="s">
        <v>7002</v>
      </c>
      <c r="AL150" t="s">
        <v>2728</v>
      </c>
      <c r="AM150">
        <v>15</v>
      </c>
    </row>
    <row r="151" spans="2:39" x14ac:dyDescent="0.3">
      <c r="B151" t="s">
        <v>7000</v>
      </c>
      <c r="C151" t="s">
        <v>2738</v>
      </c>
      <c r="D151" t="s">
        <v>7485</v>
      </c>
      <c r="G151" t="s">
        <v>7000</v>
      </c>
      <c r="H151" t="s">
        <v>2738</v>
      </c>
      <c r="I151">
        <v>0</v>
      </c>
      <c r="L151" t="s">
        <v>7000</v>
      </c>
      <c r="M151" t="s">
        <v>2738</v>
      </c>
      <c r="N151" t="s">
        <v>7485</v>
      </c>
      <c r="Q151" t="s">
        <v>7000</v>
      </c>
      <c r="R151" t="s">
        <v>2738</v>
      </c>
      <c r="S151" t="s">
        <v>7485</v>
      </c>
      <c r="V151" t="s">
        <v>7002</v>
      </c>
      <c r="W151" t="s">
        <v>2832</v>
      </c>
      <c r="X151" t="s">
        <v>7485</v>
      </c>
      <c r="AA151" t="s">
        <v>7000</v>
      </c>
      <c r="AB151" t="s">
        <v>2738</v>
      </c>
      <c r="AC151" t="s">
        <v>7485</v>
      </c>
      <c r="AF151" t="s">
        <v>7000</v>
      </c>
      <c r="AG151" t="s">
        <v>2738</v>
      </c>
      <c r="AH151" t="s">
        <v>7485</v>
      </c>
      <c r="AK151" t="s">
        <v>7000</v>
      </c>
      <c r="AL151" t="s">
        <v>2738</v>
      </c>
      <c r="AM151">
        <v>15</v>
      </c>
    </row>
    <row r="152" spans="2:39" x14ac:dyDescent="0.3">
      <c r="B152" t="s">
        <v>7002</v>
      </c>
      <c r="C152" t="s">
        <v>2742</v>
      </c>
      <c r="D152" t="s">
        <v>7485</v>
      </c>
      <c r="G152" t="s">
        <v>7002</v>
      </c>
      <c r="H152" t="s">
        <v>2742</v>
      </c>
      <c r="I152">
        <v>0</v>
      </c>
      <c r="L152" t="s">
        <v>7002</v>
      </c>
      <c r="M152" t="s">
        <v>2742</v>
      </c>
      <c r="N152" t="s">
        <v>7485</v>
      </c>
      <c r="Q152" t="s">
        <v>7002</v>
      </c>
      <c r="R152" t="s">
        <v>2742</v>
      </c>
      <c r="S152">
        <v>140</v>
      </c>
      <c r="V152" t="s">
        <v>7002</v>
      </c>
      <c r="W152" t="s">
        <v>2957</v>
      </c>
      <c r="X152" t="s">
        <v>7485</v>
      </c>
      <c r="AA152" t="s">
        <v>7002</v>
      </c>
      <c r="AB152" t="s">
        <v>2742</v>
      </c>
      <c r="AC152">
        <v>0</v>
      </c>
      <c r="AF152" t="s">
        <v>7002</v>
      </c>
      <c r="AG152" t="s">
        <v>2742</v>
      </c>
      <c r="AH152">
        <v>0</v>
      </c>
      <c r="AK152" t="s">
        <v>7002</v>
      </c>
      <c r="AL152" t="s">
        <v>2742</v>
      </c>
      <c r="AM152">
        <v>15</v>
      </c>
    </row>
    <row r="153" spans="2:39" x14ac:dyDescent="0.3">
      <c r="B153" t="s">
        <v>7002</v>
      </c>
      <c r="C153" t="s">
        <v>2832</v>
      </c>
      <c r="D153" t="s">
        <v>7485</v>
      </c>
      <c r="G153" t="s">
        <v>7002</v>
      </c>
      <c r="H153" t="s">
        <v>2832</v>
      </c>
      <c r="I153">
        <v>218.798</v>
      </c>
      <c r="L153" t="s">
        <v>7002</v>
      </c>
      <c r="M153" t="s">
        <v>2832</v>
      </c>
      <c r="N153" t="s">
        <v>7485</v>
      </c>
      <c r="Q153" t="s">
        <v>7002</v>
      </c>
      <c r="R153" t="s">
        <v>2832</v>
      </c>
      <c r="S153">
        <v>114.66666666666667</v>
      </c>
      <c r="V153" t="s">
        <v>7002</v>
      </c>
      <c r="W153" t="s">
        <v>2964</v>
      </c>
      <c r="X153" t="s">
        <v>7485</v>
      </c>
      <c r="AA153" t="s">
        <v>7002</v>
      </c>
      <c r="AB153" t="s">
        <v>2832</v>
      </c>
      <c r="AC153" t="s">
        <v>7485</v>
      </c>
      <c r="AF153" t="s">
        <v>7002</v>
      </c>
      <c r="AG153" t="s">
        <v>2832</v>
      </c>
      <c r="AH153" t="s">
        <v>7485</v>
      </c>
      <c r="AK153" t="s">
        <v>7002</v>
      </c>
      <c r="AL153" t="s">
        <v>2832</v>
      </c>
      <c r="AM153">
        <v>15</v>
      </c>
    </row>
    <row r="154" spans="2:39" x14ac:dyDescent="0.3">
      <c r="B154" t="s">
        <v>7000</v>
      </c>
      <c r="C154" t="s">
        <v>2836</v>
      </c>
      <c r="D154">
        <v>300</v>
      </c>
      <c r="G154" t="s">
        <v>7000</v>
      </c>
      <c r="H154" t="s">
        <v>2836</v>
      </c>
      <c r="I154">
        <v>0</v>
      </c>
      <c r="L154" t="s">
        <v>7000</v>
      </c>
      <c r="M154" t="s">
        <v>2836</v>
      </c>
      <c r="N154" t="s">
        <v>7485</v>
      </c>
      <c r="Q154" t="s">
        <v>7000</v>
      </c>
      <c r="R154" t="s">
        <v>2836</v>
      </c>
      <c r="S154" t="s">
        <v>7485</v>
      </c>
      <c r="V154" t="s">
        <v>7002</v>
      </c>
      <c r="W154" t="s">
        <v>2968</v>
      </c>
      <c r="X154" t="s">
        <v>7485</v>
      </c>
      <c r="AA154" t="s">
        <v>7000</v>
      </c>
      <c r="AB154" t="s">
        <v>2836</v>
      </c>
      <c r="AC154" t="s">
        <v>7485</v>
      </c>
      <c r="AF154" t="s">
        <v>7000</v>
      </c>
      <c r="AG154" t="s">
        <v>2836</v>
      </c>
      <c r="AH154" t="s">
        <v>7485</v>
      </c>
      <c r="AK154" t="s">
        <v>7000</v>
      </c>
      <c r="AL154" t="s">
        <v>2836</v>
      </c>
      <c r="AM154">
        <v>15</v>
      </c>
    </row>
    <row r="155" spans="2:39" x14ac:dyDescent="0.3">
      <c r="B155" t="s">
        <v>7001</v>
      </c>
      <c r="C155" t="s">
        <v>2867</v>
      </c>
      <c r="D155" t="s">
        <v>7485</v>
      </c>
      <c r="G155" t="s">
        <v>7001</v>
      </c>
      <c r="H155" t="s">
        <v>2867</v>
      </c>
      <c r="I155">
        <v>0</v>
      </c>
      <c r="L155" t="s">
        <v>7001</v>
      </c>
      <c r="M155" t="s">
        <v>2867</v>
      </c>
      <c r="N155" t="s">
        <v>7485</v>
      </c>
      <c r="Q155" t="s">
        <v>7001</v>
      </c>
      <c r="R155" t="s">
        <v>2867</v>
      </c>
      <c r="S155">
        <v>66.666666666666657</v>
      </c>
      <c r="V155" t="s">
        <v>7002</v>
      </c>
      <c r="W155" t="s">
        <v>2979</v>
      </c>
      <c r="X155" t="s">
        <v>7485</v>
      </c>
      <c r="AA155" t="s">
        <v>7001</v>
      </c>
      <c r="AB155" t="s">
        <v>2867</v>
      </c>
      <c r="AC155">
        <v>0</v>
      </c>
      <c r="AF155" t="s">
        <v>7001</v>
      </c>
      <c r="AG155" t="s">
        <v>2867</v>
      </c>
      <c r="AH155">
        <v>0</v>
      </c>
      <c r="AK155" t="s">
        <v>7001</v>
      </c>
      <c r="AL155" t="s">
        <v>2867</v>
      </c>
      <c r="AM155">
        <v>15</v>
      </c>
    </row>
    <row r="156" spans="2:39" x14ac:dyDescent="0.3">
      <c r="B156" t="s">
        <v>7000</v>
      </c>
      <c r="C156" t="s">
        <v>2871</v>
      </c>
      <c r="D156" t="s">
        <v>7485</v>
      </c>
      <c r="G156" t="s">
        <v>7000</v>
      </c>
      <c r="H156" t="s">
        <v>2871</v>
      </c>
      <c r="I156">
        <v>0</v>
      </c>
      <c r="L156" t="s">
        <v>7000</v>
      </c>
      <c r="M156" t="s">
        <v>2871</v>
      </c>
      <c r="N156" t="s">
        <v>7485</v>
      </c>
      <c r="Q156" t="s">
        <v>7000</v>
      </c>
      <c r="R156" t="s">
        <v>2871</v>
      </c>
      <c r="S156" t="s">
        <v>7485</v>
      </c>
      <c r="V156" t="s">
        <v>7002</v>
      </c>
      <c r="W156" t="s">
        <v>3099</v>
      </c>
      <c r="X156" t="s">
        <v>7485</v>
      </c>
      <c r="AA156" t="s">
        <v>7000</v>
      </c>
      <c r="AB156" t="s">
        <v>2871</v>
      </c>
      <c r="AC156" t="s">
        <v>7485</v>
      </c>
      <c r="AF156" t="s">
        <v>7000</v>
      </c>
      <c r="AG156" t="s">
        <v>2871</v>
      </c>
      <c r="AH156" t="s">
        <v>7485</v>
      </c>
      <c r="AK156" t="s">
        <v>7000</v>
      </c>
      <c r="AL156" t="s">
        <v>2871</v>
      </c>
      <c r="AM156">
        <v>15</v>
      </c>
    </row>
    <row r="157" spans="2:39" x14ac:dyDescent="0.3">
      <c r="B157" t="s">
        <v>6999</v>
      </c>
      <c r="C157" t="s">
        <v>2918</v>
      </c>
      <c r="D157" t="s">
        <v>7485</v>
      </c>
      <c r="G157" t="s">
        <v>6999</v>
      </c>
      <c r="H157" t="s">
        <v>2918</v>
      </c>
      <c r="I157">
        <v>218.798</v>
      </c>
      <c r="L157" t="s">
        <v>6999</v>
      </c>
      <c r="M157" t="s">
        <v>2918</v>
      </c>
      <c r="N157" t="s">
        <v>7485</v>
      </c>
      <c r="Q157" t="s">
        <v>6999</v>
      </c>
      <c r="R157" t="s">
        <v>2918</v>
      </c>
      <c r="S157">
        <v>89.523809523809518</v>
      </c>
      <c r="V157" t="s">
        <v>7002</v>
      </c>
      <c r="W157" t="s">
        <v>3125</v>
      </c>
      <c r="X157">
        <v>0</v>
      </c>
      <c r="AA157" t="s">
        <v>6999</v>
      </c>
      <c r="AB157" t="s">
        <v>2918</v>
      </c>
      <c r="AC157" t="s">
        <v>7485</v>
      </c>
      <c r="AF157" t="s">
        <v>6999</v>
      </c>
      <c r="AG157" t="s">
        <v>2918</v>
      </c>
      <c r="AH157" t="s">
        <v>7485</v>
      </c>
      <c r="AK157" t="s">
        <v>6999</v>
      </c>
      <c r="AL157" t="s">
        <v>2918</v>
      </c>
      <c r="AM157">
        <v>15</v>
      </c>
    </row>
    <row r="158" spans="2:39" x14ac:dyDescent="0.3">
      <c r="B158" t="s">
        <v>7000</v>
      </c>
      <c r="C158" t="s">
        <v>2946</v>
      </c>
      <c r="D158" t="s">
        <v>7485</v>
      </c>
      <c r="G158" t="s">
        <v>7000</v>
      </c>
      <c r="H158" t="s">
        <v>2946</v>
      </c>
      <c r="I158">
        <v>218.798</v>
      </c>
      <c r="L158" t="s">
        <v>7000</v>
      </c>
      <c r="M158" t="s">
        <v>2946</v>
      </c>
      <c r="N158" t="s">
        <v>7485</v>
      </c>
      <c r="Q158" t="s">
        <v>7000</v>
      </c>
      <c r="R158" t="s">
        <v>2946</v>
      </c>
      <c r="S158" t="s">
        <v>7485</v>
      </c>
      <c r="V158" t="s">
        <v>7002</v>
      </c>
      <c r="W158" t="s">
        <v>3138</v>
      </c>
      <c r="X158" t="s">
        <v>7485</v>
      </c>
      <c r="AA158" t="s">
        <v>7000</v>
      </c>
      <c r="AB158" t="s">
        <v>2946</v>
      </c>
      <c r="AC158" t="s">
        <v>7485</v>
      </c>
      <c r="AF158" t="s">
        <v>7000</v>
      </c>
      <c r="AG158" t="s">
        <v>2946</v>
      </c>
      <c r="AH158" t="s">
        <v>7485</v>
      </c>
      <c r="AK158" t="s">
        <v>7000</v>
      </c>
      <c r="AL158" t="s">
        <v>2946</v>
      </c>
      <c r="AM158">
        <v>16</v>
      </c>
    </row>
    <row r="159" spans="2:39" x14ac:dyDescent="0.3">
      <c r="B159" t="s">
        <v>7002</v>
      </c>
      <c r="C159" t="s">
        <v>2957</v>
      </c>
      <c r="D159" t="s">
        <v>7485</v>
      </c>
      <c r="G159" t="s">
        <v>7002</v>
      </c>
      <c r="H159" t="s">
        <v>2957</v>
      </c>
      <c r="I159">
        <v>0</v>
      </c>
      <c r="L159" t="s">
        <v>7002</v>
      </c>
      <c r="M159" t="s">
        <v>2957</v>
      </c>
      <c r="N159" t="s">
        <v>7485</v>
      </c>
      <c r="Q159" t="s">
        <v>7002</v>
      </c>
      <c r="R159" t="s">
        <v>2957</v>
      </c>
      <c r="S159">
        <v>15</v>
      </c>
      <c r="V159" t="s">
        <v>7002</v>
      </c>
      <c r="W159" t="s">
        <v>3241</v>
      </c>
      <c r="X159" t="s">
        <v>7485</v>
      </c>
      <c r="AA159" t="s">
        <v>7002</v>
      </c>
      <c r="AB159" t="s">
        <v>2957</v>
      </c>
      <c r="AC159" t="s">
        <v>7485</v>
      </c>
      <c r="AF159" t="s">
        <v>7002</v>
      </c>
      <c r="AG159" t="s">
        <v>2957</v>
      </c>
      <c r="AH159" t="s">
        <v>7485</v>
      </c>
      <c r="AK159" t="s">
        <v>7002</v>
      </c>
      <c r="AL159" t="s">
        <v>2957</v>
      </c>
      <c r="AM159">
        <v>15</v>
      </c>
    </row>
    <row r="160" spans="2:39" x14ac:dyDescent="0.3">
      <c r="B160" t="s">
        <v>7002</v>
      </c>
      <c r="C160" t="s">
        <v>2964</v>
      </c>
      <c r="D160">
        <v>300</v>
      </c>
      <c r="G160" t="s">
        <v>7002</v>
      </c>
      <c r="H160" t="s">
        <v>2964</v>
      </c>
      <c r="I160">
        <v>0</v>
      </c>
      <c r="L160" t="s">
        <v>7002</v>
      </c>
      <c r="M160" t="s">
        <v>2964</v>
      </c>
      <c r="N160" t="s">
        <v>7485</v>
      </c>
      <c r="Q160" t="s">
        <v>7002</v>
      </c>
      <c r="R160" t="s">
        <v>2964</v>
      </c>
      <c r="S160" t="s">
        <v>7485</v>
      </c>
      <c r="V160" t="s">
        <v>7002</v>
      </c>
      <c r="W160" t="s">
        <v>3273</v>
      </c>
      <c r="X160">
        <v>53.16</v>
      </c>
      <c r="AA160" t="s">
        <v>7002</v>
      </c>
      <c r="AB160" t="s">
        <v>2964</v>
      </c>
      <c r="AC160" t="s">
        <v>7485</v>
      </c>
      <c r="AF160" t="s">
        <v>7002</v>
      </c>
      <c r="AG160" t="s">
        <v>2964</v>
      </c>
      <c r="AH160" t="s">
        <v>7485</v>
      </c>
      <c r="AK160" t="s">
        <v>7002</v>
      </c>
      <c r="AL160" t="s">
        <v>2964</v>
      </c>
      <c r="AM160">
        <v>15</v>
      </c>
    </row>
    <row r="161" spans="2:39" x14ac:dyDescent="0.3">
      <c r="B161" t="s">
        <v>7002</v>
      </c>
      <c r="C161" t="s">
        <v>2968</v>
      </c>
      <c r="D161">
        <v>240</v>
      </c>
      <c r="G161" t="s">
        <v>7002</v>
      </c>
      <c r="H161" t="s">
        <v>2968</v>
      </c>
      <c r="I161">
        <v>0</v>
      </c>
      <c r="L161" t="s">
        <v>7002</v>
      </c>
      <c r="M161" t="s">
        <v>2968</v>
      </c>
      <c r="N161" t="s">
        <v>7485</v>
      </c>
      <c r="Q161" t="s">
        <v>7002</v>
      </c>
      <c r="R161" t="s">
        <v>2968</v>
      </c>
      <c r="S161" t="s">
        <v>7485</v>
      </c>
      <c r="V161" t="s">
        <v>7002</v>
      </c>
      <c r="W161" t="s">
        <v>3288</v>
      </c>
      <c r="X161" t="s">
        <v>7485</v>
      </c>
      <c r="AA161" t="s">
        <v>7002</v>
      </c>
      <c r="AB161" t="s">
        <v>2968</v>
      </c>
      <c r="AC161" t="s">
        <v>7485</v>
      </c>
      <c r="AF161" t="s">
        <v>7002</v>
      </c>
      <c r="AG161" t="s">
        <v>2968</v>
      </c>
      <c r="AH161" t="s">
        <v>7485</v>
      </c>
      <c r="AK161" t="s">
        <v>7002</v>
      </c>
      <c r="AL161" t="s">
        <v>2968</v>
      </c>
      <c r="AM161">
        <v>15</v>
      </c>
    </row>
    <row r="162" spans="2:39" x14ac:dyDescent="0.3">
      <c r="B162" t="s">
        <v>7002</v>
      </c>
      <c r="C162" t="s">
        <v>2979</v>
      </c>
      <c r="D162" t="s">
        <v>7485</v>
      </c>
      <c r="G162" t="s">
        <v>7002</v>
      </c>
      <c r="H162" t="s">
        <v>2979</v>
      </c>
      <c r="I162">
        <v>0</v>
      </c>
      <c r="L162" t="s">
        <v>7002</v>
      </c>
      <c r="M162" t="s">
        <v>2979</v>
      </c>
      <c r="N162" t="s">
        <v>7485</v>
      </c>
      <c r="Q162" t="s">
        <v>7002</v>
      </c>
      <c r="R162" t="s">
        <v>2979</v>
      </c>
      <c r="S162" t="s">
        <v>7485</v>
      </c>
      <c r="V162" t="s">
        <v>7002</v>
      </c>
      <c r="W162" t="s">
        <v>3719</v>
      </c>
      <c r="X162">
        <v>53.16</v>
      </c>
      <c r="AA162" t="s">
        <v>7002</v>
      </c>
      <c r="AB162" t="s">
        <v>2979</v>
      </c>
      <c r="AC162" t="s">
        <v>7485</v>
      </c>
      <c r="AF162" t="s">
        <v>7002</v>
      </c>
      <c r="AG162" t="s">
        <v>2979</v>
      </c>
      <c r="AH162" t="s">
        <v>7485</v>
      </c>
      <c r="AK162" t="s">
        <v>7002</v>
      </c>
      <c r="AL162" t="s">
        <v>2979</v>
      </c>
      <c r="AM162">
        <v>15</v>
      </c>
    </row>
    <row r="163" spans="2:39" x14ac:dyDescent="0.3">
      <c r="B163" t="s">
        <v>6999</v>
      </c>
      <c r="C163" t="s">
        <v>3000</v>
      </c>
      <c r="D163" t="s">
        <v>7485</v>
      </c>
      <c r="G163" t="s">
        <v>6999</v>
      </c>
      <c r="H163" t="s">
        <v>3000</v>
      </c>
      <c r="I163">
        <v>0</v>
      </c>
      <c r="L163" t="s">
        <v>6999</v>
      </c>
      <c r="M163" t="s">
        <v>3000</v>
      </c>
      <c r="N163" t="s">
        <v>7485</v>
      </c>
      <c r="Q163" t="s">
        <v>6999</v>
      </c>
      <c r="R163" t="s">
        <v>3000</v>
      </c>
      <c r="S163" t="s">
        <v>7485</v>
      </c>
      <c r="V163" t="s">
        <v>7002</v>
      </c>
      <c r="W163" t="s">
        <v>3805</v>
      </c>
      <c r="X163" t="s">
        <v>7485</v>
      </c>
      <c r="AA163" t="s">
        <v>6999</v>
      </c>
      <c r="AB163" t="s">
        <v>3000</v>
      </c>
      <c r="AC163">
        <v>0</v>
      </c>
      <c r="AF163" t="s">
        <v>6999</v>
      </c>
      <c r="AG163" t="s">
        <v>3000</v>
      </c>
      <c r="AH163">
        <v>21.74</v>
      </c>
      <c r="AK163" t="s">
        <v>6999</v>
      </c>
      <c r="AL163" t="s">
        <v>3000</v>
      </c>
      <c r="AM163">
        <v>15</v>
      </c>
    </row>
    <row r="164" spans="2:39" x14ac:dyDescent="0.3">
      <c r="B164" t="s">
        <v>7000</v>
      </c>
      <c r="C164" t="s">
        <v>3023</v>
      </c>
      <c r="D164">
        <v>300</v>
      </c>
      <c r="G164" t="s">
        <v>7000</v>
      </c>
      <c r="H164" t="s">
        <v>3023</v>
      </c>
      <c r="I164">
        <v>218.798</v>
      </c>
      <c r="L164" t="s">
        <v>7000</v>
      </c>
      <c r="M164" t="s">
        <v>3023</v>
      </c>
      <c r="N164" t="s">
        <v>7485</v>
      </c>
      <c r="Q164" t="s">
        <v>7000</v>
      </c>
      <c r="R164" t="s">
        <v>3023</v>
      </c>
      <c r="S164" t="s">
        <v>7485</v>
      </c>
      <c r="V164" t="s">
        <v>7002</v>
      </c>
      <c r="W164" t="s">
        <v>4023</v>
      </c>
      <c r="X164" t="s">
        <v>7485</v>
      </c>
      <c r="AA164" t="s">
        <v>7000</v>
      </c>
      <c r="AB164" t="s">
        <v>3023</v>
      </c>
      <c r="AC164" t="s">
        <v>7485</v>
      </c>
      <c r="AF164" t="s">
        <v>7000</v>
      </c>
      <c r="AG164" t="s">
        <v>3023</v>
      </c>
      <c r="AH164" t="s">
        <v>7485</v>
      </c>
      <c r="AK164" t="s">
        <v>7000</v>
      </c>
      <c r="AL164" t="s">
        <v>3023</v>
      </c>
      <c r="AM164">
        <v>15</v>
      </c>
    </row>
    <row r="165" spans="2:39" x14ac:dyDescent="0.3">
      <c r="B165" t="s">
        <v>7001</v>
      </c>
      <c r="C165" t="s">
        <v>3037</v>
      </c>
      <c r="D165" t="s">
        <v>7485</v>
      </c>
      <c r="G165" t="s">
        <v>7001</v>
      </c>
      <c r="H165" t="s">
        <v>3037</v>
      </c>
      <c r="I165">
        <v>0</v>
      </c>
      <c r="L165" t="s">
        <v>7001</v>
      </c>
      <c r="M165" t="s">
        <v>3037</v>
      </c>
      <c r="N165" t="s">
        <v>7485</v>
      </c>
      <c r="Q165" t="s">
        <v>7001</v>
      </c>
      <c r="R165" t="s">
        <v>3037</v>
      </c>
      <c r="S165">
        <v>116</v>
      </c>
      <c r="V165" t="s">
        <v>7002</v>
      </c>
      <c r="W165" t="s">
        <v>4033</v>
      </c>
      <c r="X165" t="s">
        <v>7485</v>
      </c>
      <c r="AA165" t="s">
        <v>7001</v>
      </c>
      <c r="AB165" t="s">
        <v>3037</v>
      </c>
      <c r="AC165" t="s">
        <v>7485</v>
      </c>
      <c r="AF165" t="s">
        <v>7001</v>
      </c>
      <c r="AG165" t="s">
        <v>3037</v>
      </c>
      <c r="AH165" t="s">
        <v>7485</v>
      </c>
      <c r="AK165" t="s">
        <v>7001</v>
      </c>
      <c r="AL165" t="s">
        <v>3037</v>
      </c>
      <c r="AM165">
        <v>15</v>
      </c>
    </row>
    <row r="166" spans="2:39" x14ac:dyDescent="0.3">
      <c r="B166" t="s">
        <v>7000</v>
      </c>
      <c r="C166" t="s">
        <v>3080</v>
      </c>
      <c r="D166" t="s">
        <v>7485</v>
      </c>
      <c r="G166" t="s">
        <v>7000</v>
      </c>
      <c r="H166" t="s">
        <v>3080</v>
      </c>
      <c r="I166">
        <v>0</v>
      </c>
      <c r="L166" t="s">
        <v>7000</v>
      </c>
      <c r="M166" t="s">
        <v>3080</v>
      </c>
      <c r="N166" t="s">
        <v>7485</v>
      </c>
      <c r="Q166" t="s">
        <v>7000</v>
      </c>
      <c r="R166" t="s">
        <v>3080</v>
      </c>
      <c r="S166">
        <v>121.66666666666667</v>
      </c>
      <c r="V166" t="s">
        <v>7002</v>
      </c>
      <c r="W166" t="s">
        <v>4120</v>
      </c>
      <c r="X166" t="s">
        <v>7485</v>
      </c>
      <c r="AA166" t="s">
        <v>7000</v>
      </c>
      <c r="AB166" t="s">
        <v>3080</v>
      </c>
      <c r="AC166" t="s">
        <v>7485</v>
      </c>
      <c r="AF166" t="s">
        <v>7000</v>
      </c>
      <c r="AG166" t="s">
        <v>3080</v>
      </c>
      <c r="AH166" t="s">
        <v>7485</v>
      </c>
      <c r="AK166" t="s">
        <v>7000</v>
      </c>
      <c r="AL166" t="s">
        <v>3080</v>
      </c>
      <c r="AM166">
        <v>15</v>
      </c>
    </row>
    <row r="167" spans="2:39" x14ac:dyDescent="0.3">
      <c r="B167" t="s">
        <v>6999</v>
      </c>
      <c r="C167" t="s">
        <v>3087</v>
      </c>
      <c r="D167">
        <v>300</v>
      </c>
      <c r="G167" t="s">
        <v>6999</v>
      </c>
      <c r="H167" t="s">
        <v>3087</v>
      </c>
      <c r="I167">
        <v>0</v>
      </c>
      <c r="L167" t="s">
        <v>6999</v>
      </c>
      <c r="M167" t="s">
        <v>3087</v>
      </c>
      <c r="N167" t="s">
        <v>7485</v>
      </c>
      <c r="Q167" t="s">
        <v>6999</v>
      </c>
      <c r="R167" t="s">
        <v>3087</v>
      </c>
      <c r="S167" t="s">
        <v>7485</v>
      </c>
      <c r="V167" t="s">
        <v>7002</v>
      </c>
      <c r="W167" t="s">
        <v>4169</v>
      </c>
      <c r="X167" t="s">
        <v>7485</v>
      </c>
      <c r="AA167" t="s">
        <v>6999</v>
      </c>
      <c r="AB167" t="s">
        <v>3087</v>
      </c>
      <c r="AC167" t="s">
        <v>7485</v>
      </c>
      <c r="AF167" t="s">
        <v>6999</v>
      </c>
      <c r="AG167" t="s">
        <v>3087</v>
      </c>
      <c r="AH167" t="s">
        <v>7485</v>
      </c>
      <c r="AK167" t="s">
        <v>6999</v>
      </c>
      <c r="AL167" t="s">
        <v>3087</v>
      </c>
      <c r="AM167">
        <v>15</v>
      </c>
    </row>
    <row r="168" spans="2:39" x14ac:dyDescent="0.3">
      <c r="B168" t="s">
        <v>7002</v>
      </c>
      <c r="C168" t="s">
        <v>3099</v>
      </c>
      <c r="D168" t="s">
        <v>7485</v>
      </c>
      <c r="G168" t="s">
        <v>7002</v>
      </c>
      <c r="H168" t="s">
        <v>3099</v>
      </c>
      <c r="I168">
        <v>0</v>
      </c>
      <c r="L168" t="s">
        <v>7002</v>
      </c>
      <c r="M168" t="s">
        <v>3099</v>
      </c>
      <c r="N168" t="s">
        <v>7485</v>
      </c>
      <c r="Q168" t="s">
        <v>7002</v>
      </c>
      <c r="R168" t="s">
        <v>3099</v>
      </c>
      <c r="S168" t="s">
        <v>7485</v>
      </c>
      <c r="V168" t="s">
        <v>7002</v>
      </c>
      <c r="W168" t="s">
        <v>4194</v>
      </c>
      <c r="X168" t="s">
        <v>7485</v>
      </c>
      <c r="AA168" t="s">
        <v>7002</v>
      </c>
      <c r="AB168" t="s">
        <v>3099</v>
      </c>
      <c r="AC168" t="s">
        <v>7485</v>
      </c>
      <c r="AF168" t="s">
        <v>7002</v>
      </c>
      <c r="AG168" t="s">
        <v>3099</v>
      </c>
      <c r="AH168" t="s">
        <v>7485</v>
      </c>
      <c r="AK168" t="s">
        <v>7002</v>
      </c>
      <c r="AL168" t="s">
        <v>3099</v>
      </c>
      <c r="AM168">
        <v>13</v>
      </c>
    </row>
    <row r="169" spans="2:39" x14ac:dyDescent="0.3">
      <c r="B169" t="s">
        <v>7000</v>
      </c>
      <c r="C169" t="s">
        <v>3117</v>
      </c>
      <c r="D169" t="s">
        <v>7485</v>
      </c>
      <c r="G169" t="s">
        <v>7000</v>
      </c>
      <c r="H169" t="s">
        <v>3117</v>
      </c>
      <c r="I169">
        <v>0</v>
      </c>
      <c r="L169" t="s">
        <v>7000</v>
      </c>
      <c r="M169" t="s">
        <v>3117</v>
      </c>
      <c r="N169" t="s">
        <v>7485</v>
      </c>
      <c r="Q169" t="s">
        <v>7000</v>
      </c>
      <c r="R169" t="s">
        <v>3117</v>
      </c>
      <c r="S169">
        <v>116</v>
      </c>
      <c r="V169" t="s">
        <v>7002</v>
      </c>
      <c r="W169" t="s">
        <v>4198</v>
      </c>
      <c r="X169" t="s">
        <v>7485</v>
      </c>
      <c r="AA169" t="s">
        <v>7000</v>
      </c>
      <c r="AB169" t="s">
        <v>3117</v>
      </c>
      <c r="AC169" t="s">
        <v>7485</v>
      </c>
      <c r="AF169" t="s">
        <v>7000</v>
      </c>
      <c r="AG169" t="s">
        <v>3117</v>
      </c>
      <c r="AH169" t="s">
        <v>7485</v>
      </c>
      <c r="AK169" t="s">
        <v>7000</v>
      </c>
      <c r="AL169" t="s">
        <v>3117</v>
      </c>
      <c r="AM169">
        <v>15</v>
      </c>
    </row>
    <row r="170" spans="2:39" x14ac:dyDescent="0.3">
      <c r="B170" t="s">
        <v>7002</v>
      </c>
      <c r="C170" t="s">
        <v>3125</v>
      </c>
      <c r="D170" t="s">
        <v>7485</v>
      </c>
      <c r="G170" t="s">
        <v>7002</v>
      </c>
      <c r="H170" t="s">
        <v>3125</v>
      </c>
      <c r="I170">
        <v>0</v>
      </c>
      <c r="L170" t="s">
        <v>7002</v>
      </c>
      <c r="M170" t="s">
        <v>3125</v>
      </c>
      <c r="N170" t="s">
        <v>7485</v>
      </c>
      <c r="Q170" t="s">
        <v>7002</v>
      </c>
      <c r="R170" t="s">
        <v>3125</v>
      </c>
      <c r="S170">
        <v>86.666666666666657</v>
      </c>
      <c r="V170" t="s">
        <v>7002</v>
      </c>
      <c r="W170" t="s">
        <v>4242</v>
      </c>
      <c r="X170" t="s">
        <v>7485</v>
      </c>
      <c r="AA170" t="s">
        <v>7002</v>
      </c>
      <c r="AB170" t="s">
        <v>3125</v>
      </c>
      <c r="AC170">
        <v>50</v>
      </c>
      <c r="AF170" t="s">
        <v>7002</v>
      </c>
      <c r="AG170" t="s">
        <v>3125</v>
      </c>
      <c r="AH170">
        <v>0</v>
      </c>
      <c r="AK170" t="s">
        <v>7002</v>
      </c>
      <c r="AL170" t="s">
        <v>3125</v>
      </c>
      <c r="AM170">
        <v>15</v>
      </c>
    </row>
    <row r="171" spans="2:39" x14ac:dyDescent="0.3">
      <c r="B171" t="s">
        <v>7002</v>
      </c>
      <c r="C171" t="s">
        <v>3138</v>
      </c>
      <c r="D171">
        <v>300</v>
      </c>
      <c r="G171" t="s">
        <v>7002</v>
      </c>
      <c r="H171" t="s">
        <v>3138</v>
      </c>
      <c r="I171">
        <v>0</v>
      </c>
      <c r="L171" t="s">
        <v>7002</v>
      </c>
      <c r="M171" t="s">
        <v>3138</v>
      </c>
      <c r="N171" t="s">
        <v>7485</v>
      </c>
      <c r="Q171" t="s">
        <v>7002</v>
      </c>
      <c r="R171" t="s">
        <v>3138</v>
      </c>
      <c r="S171" t="s">
        <v>7485</v>
      </c>
      <c r="V171" t="s">
        <v>7002</v>
      </c>
      <c r="W171" t="s">
        <v>4260</v>
      </c>
      <c r="X171" t="s">
        <v>7485</v>
      </c>
      <c r="AA171" t="s">
        <v>7002</v>
      </c>
      <c r="AB171" t="s">
        <v>3138</v>
      </c>
      <c r="AC171" t="s">
        <v>7485</v>
      </c>
      <c r="AF171" t="s">
        <v>7002</v>
      </c>
      <c r="AG171" t="s">
        <v>3138</v>
      </c>
      <c r="AH171" t="s">
        <v>7485</v>
      </c>
      <c r="AK171" t="s">
        <v>7002</v>
      </c>
      <c r="AL171" t="s">
        <v>3138</v>
      </c>
      <c r="AM171">
        <v>15</v>
      </c>
    </row>
    <row r="172" spans="2:39" x14ac:dyDescent="0.3">
      <c r="B172" t="s">
        <v>7000</v>
      </c>
      <c r="C172" t="s">
        <v>3142</v>
      </c>
      <c r="D172" t="s">
        <v>7485</v>
      </c>
      <c r="G172" t="s">
        <v>7000</v>
      </c>
      <c r="H172" t="s">
        <v>3142</v>
      </c>
      <c r="I172">
        <v>0</v>
      </c>
      <c r="L172" t="s">
        <v>7000</v>
      </c>
      <c r="M172" t="s">
        <v>3142</v>
      </c>
      <c r="N172" t="s">
        <v>7485</v>
      </c>
      <c r="Q172" t="s">
        <v>7000</v>
      </c>
      <c r="R172" t="s">
        <v>3142</v>
      </c>
      <c r="S172">
        <v>80</v>
      </c>
      <c r="V172" t="s">
        <v>7002</v>
      </c>
      <c r="W172" t="s">
        <v>4349</v>
      </c>
      <c r="X172">
        <v>0</v>
      </c>
      <c r="AA172" t="s">
        <v>7000</v>
      </c>
      <c r="AB172" t="s">
        <v>3142</v>
      </c>
      <c r="AC172" t="s">
        <v>7485</v>
      </c>
      <c r="AF172" t="s">
        <v>7000</v>
      </c>
      <c r="AG172" t="s">
        <v>3142</v>
      </c>
      <c r="AH172" t="s">
        <v>7485</v>
      </c>
      <c r="AK172" t="s">
        <v>7000</v>
      </c>
      <c r="AL172" t="s">
        <v>3142</v>
      </c>
      <c r="AM172">
        <v>15</v>
      </c>
    </row>
    <row r="173" spans="2:39" x14ac:dyDescent="0.3">
      <c r="B173" t="s">
        <v>7000</v>
      </c>
      <c r="C173" t="s">
        <v>3152</v>
      </c>
      <c r="D173" t="s">
        <v>7485</v>
      </c>
      <c r="G173" t="s">
        <v>7000</v>
      </c>
      <c r="H173" t="s">
        <v>3152</v>
      </c>
      <c r="I173">
        <v>0</v>
      </c>
      <c r="L173" t="s">
        <v>7000</v>
      </c>
      <c r="M173" t="s">
        <v>3152</v>
      </c>
      <c r="N173" t="s">
        <v>7485</v>
      </c>
      <c r="Q173" t="s">
        <v>7000</v>
      </c>
      <c r="R173" t="s">
        <v>3152</v>
      </c>
      <c r="S173" t="s">
        <v>7485</v>
      </c>
      <c r="V173" t="s">
        <v>7002</v>
      </c>
      <c r="W173" t="s">
        <v>4556</v>
      </c>
      <c r="X173" t="s">
        <v>7485</v>
      </c>
      <c r="AA173" t="s">
        <v>7000</v>
      </c>
      <c r="AB173" t="s">
        <v>3152</v>
      </c>
      <c r="AC173" t="s">
        <v>7485</v>
      </c>
      <c r="AF173" t="s">
        <v>7000</v>
      </c>
      <c r="AG173" t="s">
        <v>3152</v>
      </c>
      <c r="AH173" t="s">
        <v>7485</v>
      </c>
      <c r="AK173" t="s">
        <v>7000</v>
      </c>
      <c r="AL173" t="s">
        <v>3152</v>
      </c>
      <c r="AM173">
        <v>15</v>
      </c>
    </row>
    <row r="174" spans="2:39" x14ac:dyDescent="0.3">
      <c r="B174" t="s">
        <v>6999</v>
      </c>
      <c r="C174" t="s">
        <v>3165</v>
      </c>
      <c r="D174">
        <v>300</v>
      </c>
      <c r="G174" t="s">
        <v>6999</v>
      </c>
      <c r="H174" t="s">
        <v>3165</v>
      </c>
      <c r="I174">
        <v>211.74</v>
      </c>
      <c r="L174" t="s">
        <v>6999</v>
      </c>
      <c r="M174" t="s">
        <v>3165</v>
      </c>
      <c r="N174" t="s">
        <v>7485</v>
      </c>
      <c r="Q174" t="s">
        <v>6999</v>
      </c>
      <c r="R174" t="s">
        <v>3165</v>
      </c>
      <c r="S174" t="s">
        <v>7485</v>
      </c>
      <c r="V174" t="s">
        <v>7002</v>
      </c>
      <c r="W174" t="s">
        <v>4608</v>
      </c>
      <c r="X174" t="s">
        <v>7485</v>
      </c>
      <c r="AA174" t="s">
        <v>6999</v>
      </c>
      <c r="AB174" t="s">
        <v>3165</v>
      </c>
      <c r="AC174" t="s">
        <v>7485</v>
      </c>
      <c r="AF174" t="s">
        <v>6999</v>
      </c>
      <c r="AG174" t="s">
        <v>3165</v>
      </c>
      <c r="AH174" t="s">
        <v>7485</v>
      </c>
      <c r="AK174" t="s">
        <v>6999</v>
      </c>
      <c r="AL174" t="s">
        <v>3165</v>
      </c>
      <c r="AM174">
        <v>14</v>
      </c>
    </row>
    <row r="175" spans="2:39" x14ac:dyDescent="0.3">
      <c r="B175" t="s">
        <v>6999</v>
      </c>
      <c r="C175" t="s">
        <v>3169</v>
      </c>
      <c r="D175" t="s">
        <v>7485</v>
      </c>
      <c r="G175" t="s">
        <v>6999</v>
      </c>
      <c r="H175" t="s">
        <v>3169</v>
      </c>
      <c r="I175">
        <v>211.74</v>
      </c>
      <c r="L175" t="s">
        <v>6999</v>
      </c>
      <c r="M175" t="s">
        <v>3169</v>
      </c>
      <c r="N175" t="s">
        <v>7485</v>
      </c>
      <c r="Q175" t="s">
        <v>6999</v>
      </c>
      <c r="R175" t="s">
        <v>3169</v>
      </c>
      <c r="S175">
        <v>104.44444444444446</v>
      </c>
      <c r="V175" t="s">
        <v>7002</v>
      </c>
      <c r="W175" t="s">
        <v>4636</v>
      </c>
      <c r="X175" t="s">
        <v>7485</v>
      </c>
      <c r="AA175" t="s">
        <v>6999</v>
      </c>
      <c r="AB175" t="s">
        <v>3169</v>
      </c>
      <c r="AC175">
        <v>100</v>
      </c>
      <c r="AF175" t="s">
        <v>6999</v>
      </c>
      <c r="AG175" t="s">
        <v>3169</v>
      </c>
      <c r="AH175">
        <v>0</v>
      </c>
      <c r="AK175" t="s">
        <v>6999</v>
      </c>
      <c r="AL175" t="s">
        <v>3169</v>
      </c>
      <c r="AM175">
        <v>15</v>
      </c>
    </row>
    <row r="176" spans="2:39" x14ac:dyDescent="0.3">
      <c r="B176" t="s">
        <v>7000</v>
      </c>
      <c r="C176" t="s">
        <v>3206</v>
      </c>
      <c r="D176" t="s">
        <v>7485</v>
      </c>
      <c r="G176" t="s">
        <v>7000</v>
      </c>
      <c r="H176" t="s">
        <v>3206</v>
      </c>
      <c r="I176">
        <v>0</v>
      </c>
      <c r="L176" t="s">
        <v>7000</v>
      </c>
      <c r="M176" t="s">
        <v>3206</v>
      </c>
      <c r="N176" t="s">
        <v>7485</v>
      </c>
      <c r="Q176" t="s">
        <v>7000</v>
      </c>
      <c r="R176" t="s">
        <v>3206</v>
      </c>
      <c r="S176" t="s">
        <v>7485</v>
      </c>
      <c r="V176" t="s">
        <v>7002</v>
      </c>
      <c r="W176" t="s">
        <v>4650</v>
      </c>
      <c r="X176" t="s">
        <v>7485</v>
      </c>
      <c r="AA176" t="s">
        <v>7000</v>
      </c>
      <c r="AB176" t="s">
        <v>3206</v>
      </c>
      <c r="AC176" t="s">
        <v>7485</v>
      </c>
      <c r="AF176" t="s">
        <v>7000</v>
      </c>
      <c r="AG176" t="s">
        <v>3206</v>
      </c>
      <c r="AH176" t="s">
        <v>7485</v>
      </c>
      <c r="AK176" t="s">
        <v>7000</v>
      </c>
      <c r="AL176" t="s">
        <v>3206</v>
      </c>
      <c r="AM176">
        <v>15</v>
      </c>
    </row>
    <row r="177" spans="2:39" x14ac:dyDescent="0.3">
      <c r="B177" t="s">
        <v>7002</v>
      </c>
      <c r="C177" t="s">
        <v>3241</v>
      </c>
      <c r="D177" t="s">
        <v>7485</v>
      </c>
      <c r="G177" t="s">
        <v>7002</v>
      </c>
      <c r="H177" t="s">
        <v>3241</v>
      </c>
      <c r="I177">
        <v>218.798</v>
      </c>
      <c r="L177" t="s">
        <v>7002</v>
      </c>
      <c r="M177" t="s">
        <v>3241</v>
      </c>
      <c r="N177" t="s">
        <v>7485</v>
      </c>
      <c r="Q177" t="s">
        <v>7002</v>
      </c>
      <c r="R177" t="s">
        <v>3241</v>
      </c>
      <c r="S177">
        <v>86.666666666666657</v>
      </c>
      <c r="V177" t="s">
        <v>7002</v>
      </c>
      <c r="W177" t="s">
        <v>4719</v>
      </c>
      <c r="X177" t="s">
        <v>7485</v>
      </c>
      <c r="Y177" t="s">
        <v>7486</v>
      </c>
      <c r="AA177" t="s">
        <v>7002</v>
      </c>
      <c r="AB177" t="s">
        <v>3241</v>
      </c>
      <c r="AC177" t="s">
        <v>7485</v>
      </c>
      <c r="AF177" t="s">
        <v>7002</v>
      </c>
      <c r="AG177" t="s">
        <v>3241</v>
      </c>
      <c r="AH177" t="s">
        <v>7485</v>
      </c>
      <c r="AK177" t="s">
        <v>7002</v>
      </c>
      <c r="AL177" t="s">
        <v>3241</v>
      </c>
      <c r="AM177">
        <v>15</v>
      </c>
    </row>
    <row r="178" spans="2:39" x14ac:dyDescent="0.3">
      <c r="B178" t="s">
        <v>7000</v>
      </c>
      <c r="C178" t="s">
        <v>3256</v>
      </c>
      <c r="D178" t="s">
        <v>7485</v>
      </c>
      <c r="G178" t="s">
        <v>7000</v>
      </c>
      <c r="H178" t="s">
        <v>3256</v>
      </c>
      <c r="I178">
        <v>0</v>
      </c>
      <c r="L178" t="s">
        <v>7000</v>
      </c>
      <c r="M178" t="s">
        <v>3256</v>
      </c>
      <c r="N178" t="s">
        <v>7485</v>
      </c>
      <c r="Q178" t="s">
        <v>7000</v>
      </c>
      <c r="R178" t="s">
        <v>3256</v>
      </c>
      <c r="S178" t="s">
        <v>7485</v>
      </c>
      <c r="V178" t="s">
        <v>7002</v>
      </c>
      <c r="W178" t="s">
        <v>4797</v>
      </c>
      <c r="X178" t="s">
        <v>7485</v>
      </c>
      <c r="AA178" t="s">
        <v>7000</v>
      </c>
      <c r="AB178" t="s">
        <v>3256</v>
      </c>
      <c r="AC178">
        <v>0</v>
      </c>
      <c r="AF178" t="s">
        <v>7000</v>
      </c>
      <c r="AG178" t="s">
        <v>3256</v>
      </c>
      <c r="AH178">
        <v>21.74</v>
      </c>
      <c r="AK178" t="s">
        <v>7000</v>
      </c>
      <c r="AL178" t="s">
        <v>3256</v>
      </c>
      <c r="AM178">
        <v>14</v>
      </c>
    </row>
    <row r="179" spans="2:39" x14ac:dyDescent="0.3">
      <c r="B179" t="s">
        <v>7001</v>
      </c>
      <c r="C179" t="s">
        <v>3263</v>
      </c>
      <c r="D179">
        <v>300</v>
      </c>
      <c r="G179" t="s">
        <v>7001</v>
      </c>
      <c r="H179" t="s">
        <v>3263</v>
      </c>
      <c r="I179">
        <v>0</v>
      </c>
      <c r="L179" t="s">
        <v>7001</v>
      </c>
      <c r="M179" t="s">
        <v>3263</v>
      </c>
      <c r="N179" t="s">
        <v>7485</v>
      </c>
      <c r="Q179" t="s">
        <v>7001</v>
      </c>
      <c r="R179" t="s">
        <v>3263</v>
      </c>
      <c r="S179">
        <v>140</v>
      </c>
      <c r="V179" t="s">
        <v>7002</v>
      </c>
      <c r="W179" t="s">
        <v>4875</v>
      </c>
      <c r="X179" t="s">
        <v>7485</v>
      </c>
      <c r="AA179" t="s">
        <v>7001</v>
      </c>
      <c r="AB179" t="s">
        <v>3263</v>
      </c>
      <c r="AC179" t="s">
        <v>7485</v>
      </c>
      <c r="AF179" t="s">
        <v>7001</v>
      </c>
      <c r="AG179" t="s">
        <v>3263</v>
      </c>
      <c r="AH179" t="s">
        <v>7485</v>
      </c>
      <c r="AK179" t="s">
        <v>7001</v>
      </c>
      <c r="AL179" t="s">
        <v>3263</v>
      </c>
      <c r="AM179">
        <v>15</v>
      </c>
    </row>
    <row r="180" spans="2:39" x14ac:dyDescent="0.3">
      <c r="B180" t="s">
        <v>7002</v>
      </c>
      <c r="C180" t="s">
        <v>3273</v>
      </c>
      <c r="D180" t="s">
        <v>7485</v>
      </c>
      <c r="G180" t="s">
        <v>7002</v>
      </c>
      <c r="H180" t="s">
        <v>3273</v>
      </c>
      <c r="I180">
        <v>0</v>
      </c>
      <c r="L180" t="s">
        <v>7002</v>
      </c>
      <c r="M180" t="s">
        <v>3273</v>
      </c>
      <c r="N180" t="s">
        <v>7485</v>
      </c>
      <c r="Q180" t="s">
        <v>7002</v>
      </c>
      <c r="R180" t="s">
        <v>3273</v>
      </c>
      <c r="S180">
        <v>140</v>
      </c>
      <c r="V180" t="s">
        <v>7002</v>
      </c>
      <c r="W180" t="s">
        <v>4896</v>
      </c>
      <c r="X180" t="s">
        <v>7485</v>
      </c>
      <c r="AA180" t="s">
        <v>7002</v>
      </c>
      <c r="AB180" t="s">
        <v>3273</v>
      </c>
      <c r="AC180">
        <v>0</v>
      </c>
      <c r="AF180" t="s">
        <v>7002</v>
      </c>
      <c r="AG180" t="s">
        <v>3273</v>
      </c>
      <c r="AH180">
        <v>0</v>
      </c>
      <c r="AK180" t="s">
        <v>7002</v>
      </c>
      <c r="AL180" t="s">
        <v>3273</v>
      </c>
      <c r="AM180">
        <v>15</v>
      </c>
    </row>
    <row r="181" spans="2:39" x14ac:dyDescent="0.3">
      <c r="B181" t="s">
        <v>7002</v>
      </c>
      <c r="C181" t="s">
        <v>3288</v>
      </c>
      <c r="D181" t="s">
        <v>7485</v>
      </c>
      <c r="G181" t="s">
        <v>7002</v>
      </c>
      <c r="H181" t="s">
        <v>3288</v>
      </c>
      <c r="I181">
        <v>0</v>
      </c>
      <c r="L181" t="s">
        <v>7002</v>
      </c>
      <c r="M181" t="s">
        <v>3288</v>
      </c>
      <c r="N181" t="s">
        <v>7485</v>
      </c>
      <c r="Q181" t="s">
        <v>7002</v>
      </c>
      <c r="R181" t="s">
        <v>3288</v>
      </c>
      <c r="S181">
        <v>120</v>
      </c>
      <c r="V181" t="s">
        <v>7002</v>
      </c>
      <c r="W181" t="s">
        <v>4956</v>
      </c>
      <c r="X181" t="s">
        <v>7485</v>
      </c>
      <c r="AA181" t="s">
        <v>7002</v>
      </c>
      <c r="AB181" t="s">
        <v>3288</v>
      </c>
      <c r="AC181" t="s">
        <v>7485</v>
      </c>
      <c r="AF181" t="s">
        <v>7002</v>
      </c>
      <c r="AG181" t="s">
        <v>3288</v>
      </c>
      <c r="AH181" t="s">
        <v>7485</v>
      </c>
      <c r="AK181" t="s">
        <v>7002</v>
      </c>
      <c r="AL181" t="s">
        <v>3288</v>
      </c>
      <c r="AM181">
        <v>15</v>
      </c>
    </row>
    <row r="182" spans="2:39" x14ac:dyDescent="0.3">
      <c r="B182" t="s">
        <v>7000</v>
      </c>
      <c r="C182" t="s">
        <v>3327</v>
      </c>
      <c r="D182" t="s">
        <v>7485</v>
      </c>
      <c r="G182" t="s">
        <v>7000</v>
      </c>
      <c r="H182" t="s">
        <v>3327</v>
      </c>
      <c r="I182">
        <v>218.798</v>
      </c>
      <c r="L182" t="s">
        <v>7000</v>
      </c>
      <c r="M182" t="s">
        <v>3327</v>
      </c>
      <c r="N182" t="s">
        <v>7485</v>
      </c>
      <c r="Q182" t="s">
        <v>7000</v>
      </c>
      <c r="R182" t="s">
        <v>3327</v>
      </c>
      <c r="S182" t="s">
        <v>7485</v>
      </c>
      <c r="V182" t="s">
        <v>7002</v>
      </c>
      <c r="W182" t="s">
        <v>5082</v>
      </c>
      <c r="X182">
        <v>0</v>
      </c>
      <c r="AA182" t="s">
        <v>7000</v>
      </c>
      <c r="AB182" t="s">
        <v>3327</v>
      </c>
      <c r="AC182" t="s">
        <v>7485</v>
      </c>
      <c r="AF182" t="s">
        <v>7000</v>
      </c>
      <c r="AG182" t="s">
        <v>3327</v>
      </c>
      <c r="AH182" t="s">
        <v>7485</v>
      </c>
      <c r="AK182" t="s">
        <v>7000</v>
      </c>
      <c r="AL182" t="s">
        <v>3327</v>
      </c>
      <c r="AM182">
        <v>15</v>
      </c>
    </row>
    <row r="183" spans="2:39" x14ac:dyDescent="0.3">
      <c r="B183" t="s">
        <v>7000</v>
      </c>
      <c r="C183" t="s">
        <v>3331</v>
      </c>
      <c r="D183" t="s">
        <v>7485</v>
      </c>
      <c r="G183" t="s">
        <v>7000</v>
      </c>
      <c r="H183" t="s">
        <v>3331</v>
      </c>
      <c r="I183">
        <v>0</v>
      </c>
      <c r="L183" t="s">
        <v>7000</v>
      </c>
      <c r="M183" t="s">
        <v>3331</v>
      </c>
      <c r="N183" t="s">
        <v>7485</v>
      </c>
      <c r="Q183" t="s">
        <v>7000</v>
      </c>
      <c r="R183" t="s">
        <v>3331</v>
      </c>
      <c r="S183" t="s">
        <v>7485</v>
      </c>
      <c r="V183" t="s">
        <v>7002</v>
      </c>
      <c r="W183" t="s">
        <v>5103</v>
      </c>
      <c r="X183" t="s">
        <v>7485</v>
      </c>
      <c r="AA183" t="s">
        <v>7000</v>
      </c>
      <c r="AB183" t="s">
        <v>3331</v>
      </c>
      <c r="AC183">
        <v>0</v>
      </c>
      <c r="AF183" t="s">
        <v>7000</v>
      </c>
      <c r="AG183" t="s">
        <v>3331</v>
      </c>
      <c r="AH183">
        <v>21.74</v>
      </c>
      <c r="AK183" t="s">
        <v>7000</v>
      </c>
      <c r="AL183" t="s">
        <v>3331</v>
      </c>
      <c r="AM183">
        <v>15</v>
      </c>
    </row>
    <row r="184" spans="2:39" x14ac:dyDescent="0.3">
      <c r="B184" t="s">
        <v>6999</v>
      </c>
      <c r="C184" t="s">
        <v>3335</v>
      </c>
      <c r="D184">
        <v>300</v>
      </c>
      <c r="G184" t="s">
        <v>6999</v>
      </c>
      <c r="H184" t="s">
        <v>3335</v>
      </c>
      <c r="I184">
        <v>218.798</v>
      </c>
      <c r="L184" t="s">
        <v>6999</v>
      </c>
      <c r="M184" t="s">
        <v>3335</v>
      </c>
      <c r="N184" t="s">
        <v>7485</v>
      </c>
      <c r="Q184" t="s">
        <v>6999</v>
      </c>
      <c r="R184" t="s">
        <v>3335</v>
      </c>
      <c r="S184" t="s">
        <v>7485</v>
      </c>
      <c r="V184" t="s">
        <v>7002</v>
      </c>
      <c r="W184" t="s">
        <v>5212</v>
      </c>
      <c r="X184" t="s">
        <v>7485</v>
      </c>
      <c r="AA184" t="s">
        <v>6999</v>
      </c>
      <c r="AB184" t="s">
        <v>3335</v>
      </c>
      <c r="AC184" t="s">
        <v>7485</v>
      </c>
      <c r="AF184" t="s">
        <v>6999</v>
      </c>
      <c r="AG184" t="s">
        <v>3335</v>
      </c>
      <c r="AH184" t="s">
        <v>7485</v>
      </c>
      <c r="AK184" t="s">
        <v>6999</v>
      </c>
      <c r="AL184" t="s">
        <v>3335</v>
      </c>
      <c r="AM184">
        <v>13</v>
      </c>
    </row>
    <row r="185" spans="2:39" x14ac:dyDescent="0.3">
      <c r="B185" t="s">
        <v>7000</v>
      </c>
      <c r="C185" t="s">
        <v>3345</v>
      </c>
      <c r="D185" t="s">
        <v>7485</v>
      </c>
      <c r="G185" t="s">
        <v>7000</v>
      </c>
      <c r="H185" t="s">
        <v>3345</v>
      </c>
      <c r="I185">
        <v>0</v>
      </c>
      <c r="L185" t="s">
        <v>7000</v>
      </c>
      <c r="M185" t="s">
        <v>3345</v>
      </c>
      <c r="N185" t="s">
        <v>7485</v>
      </c>
      <c r="Q185" t="s">
        <v>7000</v>
      </c>
      <c r="R185" t="s">
        <v>3345</v>
      </c>
      <c r="S185" t="s">
        <v>7485</v>
      </c>
      <c r="V185" t="s">
        <v>7002</v>
      </c>
      <c r="W185" t="s">
        <v>5220</v>
      </c>
      <c r="X185" t="s">
        <v>7485</v>
      </c>
      <c r="AA185" t="s">
        <v>7000</v>
      </c>
      <c r="AB185" t="s">
        <v>3345</v>
      </c>
      <c r="AC185" t="s">
        <v>7485</v>
      </c>
      <c r="AF185" t="s">
        <v>7000</v>
      </c>
      <c r="AG185" t="s">
        <v>3345</v>
      </c>
      <c r="AH185" t="s">
        <v>7485</v>
      </c>
      <c r="AK185" t="s">
        <v>7000</v>
      </c>
      <c r="AL185" t="s">
        <v>3345</v>
      </c>
      <c r="AM185">
        <v>15</v>
      </c>
    </row>
    <row r="186" spans="2:39" x14ac:dyDescent="0.3">
      <c r="B186" t="s">
        <v>7001</v>
      </c>
      <c r="C186" t="s">
        <v>3371</v>
      </c>
      <c r="D186" t="s">
        <v>7485</v>
      </c>
      <c r="G186" t="s">
        <v>7001</v>
      </c>
      <c r="H186" t="s">
        <v>3371</v>
      </c>
      <c r="I186">
        <v>0</v>
      </c>
      <c r="L186" t="s">
        <v>7001</v>
      </c>
      <c r="M186" t="s">
        <v>3371</v>
      </c>
      <c r="N186" t="s">
        <v>7485</v>
      </c>
      <c r="Q186" t="s">
        <v>7001</v>
      </c>
      <c r="R186" t="s">
        <v>3371</v>
      </c>
      <c r="S186">
        <v>66.666666666666671</v>
      </c>
      <c r="V186" t="s">
        <v>7002</v>
      </c>
      <c r="W186" t="s">
        <v>5244</v>
      </c>
      <c r="X186">
        <v>0</v>
      </c>
      <c r="AA186" t="s">
        <v>7001</v>
      </c>
      <c r="AB186" t="s">
        <v>3371</v>
      </c>
      <c r="AC186" t="s">
        <v>7485</v>
      </c>
      <c r="AF186" t="s">
        <v>7001</v>
      </c>
      <c r="AG186" t="s">
        <v>3371</v>
      </c>
      <c r="AH186" t="s">
        <v>7485</v>
      </c>
      <c r="AK186" t="s">
        <v>7001</v>
      </c>
      <c r="AL186" t="s">
        <v>3371</v>
      </c>
      <c r="AM186">
        <v>15</v>
      </c>
    </row>
    <row r="187" spans="2:39" x14ac:dyDescent="0.3">
      <c r="B187" t="s">
        <v>7001</v>
      </c>
      <c r="C187" t="s">
        <v>3420</v>
      </c>
      <c r="D187" t="s">
        <v>7485</v>
      </c>
      <c r="G187" t="s">
        <v>7001</v>
      </c>
      <c r="H187" t="s">
        <v>3420</v>
      </c>
      <c r="I187">
        <v>0</v>
      </c>
      <c r="L187" t="s">
        <v>7001</v>
      </c>
      <c r="M187" t="s">
        <v>3420</v>
      </c>
      <c r="N187" t="s">
        <v>7485</v>
      </c>
      <c r="Q187" t="s">
        <v>7001</v>
      </c>
      <c r="R187" t="s">
        <v>3420</v>
      </c>
      <c r="S187">
        <v>74.666666666666657</v>
      </c>
      <c r="V187" t="s">
        <v>7002</v>
      </c>
      <c r="W187" t="s">
        <v>5349</v>
      </c>
      <c r="X187" t="s">
        <v>7485</v>
      </c>
      <c r="AA187" t="s">
        <v>7001</v>
      </c>
      <c r="AB187" t="s">
        <v>3420</v>
      </c>
      <c r="AC187" t="s">
        <v>7485</v>
      </c>
      <c r="AF187" t="s">
        <v>7001</v>
      </c>
      <c r="AG187" t="s">
        <v>3420</v>
      </c>
      <c r="AH187" t="s">
        <v>7485</v>
      </c>
      <c r="AK187" t="s">
        <v>7001</v>
      </c>
      <c r="AL187" t="s">
        <v>3420</v>
      </c>
      <c r="AM187">
        <v>15</v>
      </c>
    </row>
    <row r="188" spans="2:39" x14ac:dyDescent="0.3">
      <c r="B188" t="s">
        <v>7000</v>
      </c>
      <c r="C188" t="s">
        <v>3482</v>
      </c>
      <c r="D188" t="s">
        <v>7485</v>
      </c>
      <c r="G188" t="s">
        <v>7000</v>
      </c>
      <c r="H188" t="s">
        <v>3482</v>
      </c>
      <c r="I188">
        <v>218.798</v>
      </c>
      <c r="L188" t="s">
        <v>7000</v>
      </c>
      <c r="M188" t="s">
        <v>3482</v>
      </c>
      <c r="N188" t="s">
        <v>7485</v>
      </c>
      <c r="Q188" t="s">
        <v>7000</v>
      </c>
      <c r="R188" t="s">
        <v>3482</v>
      </c>
      <c r="S188">
        <v>50</v>
      </c>
      <c r="V188" t="s">
        <v>7002</v>
      </c>
      <c r="W188" t="s">
        <v>5353</v>
      </c>
      <c r="X188" t="s">
        <v>7485</v>
      </c>
      <c r="AA188" t="s">
        <v>7000</v>
      </c>
      <c r="AB188" t="s">
        <v>3482</v>
      </c>
      <c r="AC188" t="s">
        <v>7485</v>
      </c>
      <c r="AF188" t="s">
        <v>7000</v>
      </c>
      <c r="AG188" t="s">
        <v>3482</v>
      </c>
      <c r="AH188" t="s">
        <v>7485</v>
      </c>
      <c r="AK188" t="s">
        <v>7000</v>
      </c>
      <c r="AL188" t="s">
        <v>3482</v>
      </c>
      <c r="AM188">
        <v>15</v>
      </c>
    </row>
    <row r="189" spans="2:39" x14ac:dyDescent="0.3">
      <c r="B189" t="s">
        <v>7001</v>
      </c>
      <c r="C189" t="s">
        <v>3510</v>
      </c>
      <c r="D189" t="s">
        <v>7485</v>
      </c>
      <c r="G189" t="s">
        <v>7001</v>
      </c>
      <c r="H189" t="s">
        <v>3510</v>
      </c>
      <c r="I189">
        <v>0</v>
      </c>
      <c r="L189" t="s">
        <v>7001</v>
      </c>
      <c r="M189" t="s">
        <v>3510</v>
      </c>
      <c r="N189" t="s">
        <v>7485</v>
      </c>
      <c r="Q189" t="s">
        <v>7001</v>
      </c>
      <c r="R189" t="s">
        <v>3510</v>
      </c>
      <c r="S189" t="s">
        <v>7485</v>
      </c>
      <c r="V189" t="s">
        <v>7002</v>
      </c>
      <c r="W189" t="s">
        <v>5377</v>
      </c>
      <c r="X189" t="s">
        <v>7485</v>
      </c>
      <c r="AA189" t="s">
        <v>7001</v>
      </c>
      <c r="AB189" t="s">
        <v>3510</v>
      </c>
      <c r="AC189" t="s">
        <v>7485</v>
      </c>
      <c r="AF189" t="s">
        <v>7001</v>
      </c>
      <c r="AG189" t="s">
        <v>3510</v>
      </c>
      <c r="AH189" t="s">
        <v>7485</v>
      </c>
      <c r="AK189" t="s">
        <v>7001</v>
      </c>
      <c r="AL189" t="s">
        <v>3510</v>
      </c>
      <c r="AM189">
        <v>16</v>
      </c>
    </row>
    <row r="190" spans="2:39" x14ac:dyDescent="0.3">
      <c r="B190" t="s">
        <v>6999</v>
      </c>
      <c r="C190" t="s">
        <v>3584</v>
      </c>
      <c r="D190" t="s">
        <v>7485</v>
      </c>
      <c r="G190" t="s">
        <v>6999</v>
      </c>
      <c r="H190" t="s">
        <v>3584</v>
      </c>
      <c r="I190">
        <v>0</v>
      </c>
      <c r="L190" t="s">
        <v>6999</v>
      </c>
      <c r="M190" t="s">
        <v>3584</v>
      </c>
      <c r="N190" t="s">
        <v>7485</v>
      </c>
      <c r="Q190" t="s">
        <v>6999</v>
      </c>
      <c r="R190" t="s">
        <v>3584</v>
      </c>
      <c r="S190">
        <v>42.857142857142854</v>
      </c>
      <c r="V190" t="s">
        <v>7002</v>
      </c>
      <c r="W190" t="s">
        <v>5385</v>
      </c>
      <c r="X190" t="s">
        <v>7485</v>
      </c>
      <c r="AA190" t="s">
        <v>6999</v>
      </c>
      <c r="AB190" t="s">
        <v>3584</v>
      </c>
      <c r="AC190" t="s">
        <v>7485</v>
      </c>
      <c r="AF190" t="s">
        <v>6999</v>
      </c>
      <c r="AG190" t="s">
        <v>3584</v>
      </c>
      <c r="AH190" t="s">
        <v>7485</v>
      </c>
      <c r="AK190" t="s">
        <v>6999</v>
      </c>
      <c r="AL190" t="s">
        <v>3584</v>
      </c>
      <c r="AM190">
        <v>13</v>
      </c>
    </row>
    <row r="191" spans="2:39" x14ac:dyDescent="0.3">
      <c r="B191" t="s">
        <v>6999</v>
      </c>
      <c r="C191" t="s">
        <v>3588</v>
      </c>
      <c r="D191">
        <v>300</v>
      </c>
      <c r="G191" t="s">
        <v>6999</v>
      </c>
      <c r="H191" t="s">
        <v>3588</v>
      </c>
      <c r="I191">
        <v>0</v>
      </c>
      <c r="L191" t="s">
        <v>6999</v>
      </c>
      <c r="M191" t="s">
        <v>3588</v>
      </c>
      <c r="N191" t="s">
        <v>7485</v>
      </c>
      <c r="Q191" t="s">
        <v>6999</v>
      </c>
      <c r="R191" t="s">
        <v>3588</v>
      </c>
      <c r="S191" t="s">
        <v>7485</v>
      </c>
      <c r="V191" t="s">
        <v>7002</v>
      </c>
      <c r="W191" t="s">
        <v>5500</v>
      </c>
      <c r="X191" t="s">
        <v>7485</v>
      </c>
      <c r="AA191" t="s">
        <v>6999</v>
      </c>
      <c r="AB191" t="s">
        <v>3588</v>
      </c>
      <c r="AC191" t="s">
        <v>7485</v>
      </c>
      <c r="AF191" t="s">
        <v>6999</v>
      </c>
      <c r="AG191" t="s">
        <v>3588</v>
      </c>
      <c r="AH191" t="s">
        <v>7485</v>
      </c>
      <c r="AK191" t="s">
        <v>6999</v>
      </c>
      <c r="AL191" t="s">
        <v>3588</v>
      </c>
      <c r="AM191">
        <v>15</v>
      </c>
    </row>
    <row r="192" spans="2:39" x14ac:dyDescent="0.3">
      <c r="B192" t="s">
        <v>7000</v>
      </c>
      <c r="C192" t="s">
        <v>3612</v>
      </c>
      <c r="D192">
        <v>300</v>
      </c>
      <c r="G192" t="s">
        <v>7000</v>
      </c>
      <c r="H192" t="s">
        <v>3612</v>
      </c>
      <c r="I192">
        <v>0</v>
      </c>
      <c r="L192" t="s">
        <v>7000</v>
      </c>
      <c r="M192" t="s">
        <v>3612</v>
      </c>
      <c r="N192" t="s">
        <v>7485</v>
      </c>
      <c r="Q192" t="s">
        <v>7000</v>
      </c>
      <c r="R192" t="s">
        <v>3612</v>
      </c>
      <c r="S192" t="s">
        <v>7485</v>
      </c>
      <c r="V192" t="s">
        <v>7002</v>
      </c>
      <c r="W192" t="s">
        <v>5504</v>
      </c>
      <c r="X192" t="s">
        <v>7485</v>
      </c>
      <c r="AA192" t="s">
        <v>7000</v>
      </c>
      <c r="AB192" t="s">
        <v>3612</v>
      </c>
      <c r="AC192" t="s">
        <v>7485</v>
      </c>
      <c r="AF192" t="s">
        <v>7000</v>
      </c>
      <c r="AG192" t="s">
        <v>3612</v>
      </c>
      <c r="AH192" t="s">
        <v>7485</v>
      </c>
      <c r="AK192" t="s">
        <v>7000</v>
      </c>
      <c r="AL192" t="s">
        <v>3612</v>
      </c>
      <c r="AM192">
        <v>15</v>
      </c>
    </row>
    <row r="193" spans="2:39" x14ac:dyDescent="0.3">
      <c r="B193" t="s">
        <v>7000</v>
      </c>
      <c r="C193" t="s">
        <v>3644</v>
      </c>
      <c r="D193" t="s">
        <v>7485</v>
      </c>
      <c r="G193" t="s">
        <v>7000</v>
      </c>
      <c r="H193" t="s">
        <v>3644</v>
      </c>
      <c r="I193">
        <v>218.798</v>
      </c>
      <c r="L193" t="s">
        <v>7000</v>
      </c>
      <c r="M193" t="s">
        <v>3644</v>
      </c>
      <c r="N193" t="s">
        <v>7485</v>
      </c>
      <c r="Q193" t="s">
        <v>7000</v>
      </c>
      <c r="R193" t="s">
        <v>3644</v>
      </c>
      <c r="S193">
        <v>66.666666666666657</v>
      </c>
      <c r="V193" t="s">
        <v>7002</v>
      </c>
      <c r="W193" t="s">
        <v>5566</v>
      </c>
      <c r="X193">
        <v>0</v>
      </c>
      <c r="AA193" t="s">
        <v>7000</v>
      </c>
      <c r="AB193" t="s">
        <v>3644</v>
      </c>
      <c r="AC193">
        <v>0</v>
      </c>
      <c r="AF193" t="s">
        <v>7000</v>
      </c>
      <c r="AG193" t="s">
        <v>3644</v>
      </c>
      <c r="AH193">
        <v>0</v>
      </c>
      <c r="AK193" t="s">
        <v>7000</v>
      </c>
      <c r="AL193" t="s">
        <v>3644</v>
      </c>
      <c r="AM193">
        <v>15</v>
      </c>
    </row>
    <row r="194" spans="2:39" x14ac:dyDescent="0.3">
      <c r="B194" t="s">
        <v>7001</v>
      </c>
      <c r="C194" t="s">
        <v>3659</v>
      </c>
      <c r="D194" t="s">
        <v>7485</v>
      </c>
      <c r="G194" t="s">
        <v>7001</v>
      </c>
      <c r="H194" t="s">
        <v>3659</v>
      </c>
      <c r="I194">
        <v>211.74</v>
      </c>
      <c r="L194" t="s">
        <v>7001</v>
      </c>
      <c r="M194" t="s">
        <v>3659</v>
      </c>
      <c r="N194" t="s">
        <v>7485</v>
      </c>
      <c r="Q194" t="s">
        <v>7001</v>
      </c>
      <c r="R194" t="s">
        <v>3659</v>
      </c>
      <c r="S194" t="s">
        <v>7485</v>
      </c>
      <c r="V194" t="s">
        <v>7002</v>
      </c>
      <c r="W194" t="s">
        <v>5698</v>
      </c>
      <c r="X194">
        <v>0</v>
      </c>
      <c r="AA194" t="s">
        <v>7001</v>
      </c>
      <c r="AB194" t="s">
        <v>3659</v>
      </c>
      <c r="AC194" t="s">
        <v>7485</v>
      </c>
      <c r="AF194" t="s">
        <v>7001</v>
      </c>
      <c r="AG194" t="s">
        <v>3659</v>
      </c>
      <c r="AH194" t="s">
        <v>7485</v>
      </c>
      <c r="AK194" t="s">
        <v>7001</v>
      </c>
      <c r="AL194" t="s">
        <v>3659</v>
      </c>
      <c r="AM194">
        <v>15</v>
      </c>
    </row>
    <row r="195" spans="2:39" x14ac:dyDescent="0.3">
      <c r="B195" t="s">
        <v>7000</v>
      </c>
      <c r="C195" t="s">
        <v>3666</v>
      </c>
      <c r="D195" t="s">
        <v>7485</v>
      </c>
      <c r="G195" t="s">
        <v>7000</v>
      </c>
      <c r="H195" t="s">
        <v>3666</v>
      </c>
      <c r="I195">
        <v>0</v>
      </c>
      <c r="L195" t="s">
        <v>7000</v>
      </c>
      <c r="M195" t="s">
        <v>3666</v>
      </c>
      <c r="N195" t="s">
        <v>7485</v>
      </c>
      <c r="Q195" t="s">
        <v>7000</v>
      </c>
      <c r="R195" t="s">
        <v>3666</v>
      </c>
      <c r="S195" t="s">
        <v>7485</v>
      </c>
      <c r="V195" t="s">
        <v>7002</v>
      </c>
      <c r="W195" t="s">
        <v>5727</v>
      </c>
      <c r="X195" t="s">
        <v>7485</v>
      </c>
      <c r="AA195" t="s">
        <v>7000</v>
      </c>
      <c r="AB195" t="s">
        <v>3666</v>
      </c>
      <c r="AC195" t="s">
        <v>7485</v>
      </c>
      <c r="AF195" t="s">
        <v>7000</v>
      </c>
      <c r="AG195" t="s">
        <v>3666</v>
      </c>
      <c r="AH195" t="s">
        <v>7485</v>
      </c>
      <c r="AK195" t="s">
        <v>7000</v>
      </c>
      <c r="AL195" t="s">
        <v>3666</v>
      </c>
      <c r="AM195">
        <v>15</v>
      </c>
    </row>
    <row r="196" spans="2:39" x14ac:dyDescent="0.3">
      <c r="B196" t="s">
        <v>7001</v>
      </c>
      <c r="C196" t="s">
        <v>3688</v>
      </c>
      <c r="D196" t="s">
        <v>7485</v>
      </c>
      <c r="G196" t="s">
        <v>7001</v>
      </c>
      <c r="H196" t="s">
        <v>3688</v>
      </c>
      <c r="I196">
        <v>0</v>
      </c>
      <c r="L196" t="s">
        <v>7001</v>
      </c>
      <c r="M196" t="s">
        <v>3688</v>
      </c>
      <c r="N196" t="s">
        <v>7485</v>
      </c>
      <c r="Q196" t="s">
        <v>7001</v>
      </c>
      <c r="R196" t="s">
        <v>3688</v>
      </c>
      <c r="S196" t="s">
        <v>7485</v>
      </c>
      <c r="V196" t="s">
        <v>7002</v>
      </c>
      <c r="W196" t="s">
        <v>5745</v>
      </c>
      <c r="X196" t="s">
        <v>7485</v>
      </c>
      <c r="AA196" t="s">
        <v>7001</v>
      </c>
      <c r="AB196" t="s">
        <v>3688</v>
      </c>
      <c r="AC196" t="s">
        <v>7485</v>
      </c>
      <c r="AF196" t="s">
        <v>7001</v>
      </c>
      <c r="AG196" t="s">
        <v>3688</v>
      </c>
      <c r="AH196" t="s">
        <v>7485</v>
      </c>
      <c r="AK196" t="s">
        <v>7001</v>
      </c>
      <c r="AL196" t="s">
        <v>3688</v>
      </c>
      <c r="AM196">
        <v>16</v>
      </c>
    </row>
    <row r="197" spans="2:39" x14ac:dyDescent="0.3">
      <c r="B197" t="s">
        <v>7000</v>
      </c>
      <c r="C197" t="s">
        <v>3711</v>
      </c>
      <c r="D197" t="s">
        <v>7485</v>
      </c>
      <c r="G197" t="s">
        <v>7000</v>
      </c>
      <c r="H197" t="s">
        <v>3711</v>
      </c>
      <c r="I197">
        <v>0</v>
      </c>
      <c r="L197" t="s">
        <v>7000</v>
      </c>
      <c r="M197" t="s">
        <v>3711</v>
      </c>
      <c r="N197" t="s">
        <v>7485</v>
      </c>
      <c r="Q197" t="s">
        <v>7000</v>
      </c>
      <c r="R197" t="s">
        <v>3711</v>
      </c>
      <c r="S197" t="s">
        <v>7485</v>
      </c>
      <c r="V197" t="s">
        <v>7002</v>
      </c>
      <c r="W197" t="s">
        <v>5781</v>
      </c>
      <c r="X197" t="s">
        <v>7485</v>
      </c>
      <c r="AA197" t="s">
        <v>7000</v>
      </c>
      <c r="AB197" t="s">
        <v>3711</v>
      </c>
      <c r="AC197" t="s">
        <v>7485</v>
      </c>
      <c r="AF197" t="s">
        <v>7000</v>
      </c>
      <c r="AG197" t="s">
        <v>3711</v>
      </c>
      <c r="AH197" t="s">
        <v>7485</v>
      </c>
      <c r="AK197" t="s">
        <v>7000</v>
      </c>
      <c r="AL197" t="s">
        <v>3711</v>
      </c>
      <c r="AM197">
        <v>15</v>
      </c>
    </row>
    <row r="198" spans="2:39" x14ac:dyDescent="0.3">
      <c r="B198" t="s">
        <v>7002</v>
      </c>
      <c r="C198" t="s">
        <v>3719</v>
      </c>
      <c r="D198" t="s">
        <v>7485</v>
      </c>
      <c r="G198" t="s">
        <v>7002</v>
      </c>
      <c r="H198" t="s">
        <v>3719</v>
      </c>
      <c r="I198">
        <v>0</v>
      </c>
      <c r="L198" t="s">
        <v>7002</v>
      </c>
      <c r="M198" t="s">
        <v>3719</v>
      </c>
      <c r="N198" t="s">
        <v>7485</v>
      </c>
      <c r="Q198" t="s">
        <v>7002</v>
      </c>
      <c r="R198" t="s">
        <v>3719</v>
      </c>
      <c r="S198">
        <v>102.66</v>
      </c>
      <c r="V198" t="s">
        <v>7002</v>
      </c>
      <c r="W198" t="s">
        <v>5830</v>
      </c>
      <c r="X198" t="s">
        <v>7485</v>
      </c>
      <c r="AA198" t="s">
        <v>7002</v>
      </c>
      <c r="AB198" t="s">
        <v>3719</v>
      </c>
      <c r="AC198">
        <v>0</v>
      </c>
      <c r="AF198" t="s">
        <v>7002</v>
      </c>
      <c r="AG198" t="s">
        <v>3719</v>
      </c>
      <c r="AH198">
        <v>0</v>
      </c>
      <c r="AK198" t="s">
        <v>7002</v>
      </c>
      <c r="AL198" t="s">
        <v>3719</v>
      </c>
      <c r="AM198">
        <v>15</v>
      </c>
    </row>
    <row r="199" spans="2:39" x14ac:dyDescent="0.3">
      <c r="B199" t="s">
        <v>7001</v>
      </c>
      <c r="C199" t="s">
        <v>3726</v>
      </c>
      <c r="D199" t="s">
        <v>7485</v>
      </c>
      <c r="G199" t="s">
        <v>7001</v>
      </c>
      <c r="H199" t="s">
        <v>3726</v>
      </c>
      <c r="I199">
        <v>218.798</v>
      </c>
      <c r="L199" t="s">
        <v>7001</v>
      </c>
      <c r="M199" t="s">
        <v>3726</v>
      </c>
      <c r="N199" t="s">
        <v>7485</v>
      </c>
      <c r="Q199" t="s">
        <v>7001</v>
      </c>
      <c r="R199" t="s">
        <v>3726</v>
      </c>
      <c r="S199" t="s">
        <v>7485</v>
      </c>
      <c r="V199" t="s">
        <v>7002</v>
      </c>
      <c r="W199" t="s">
        <v>5930</v>
      </c>
      <c r="X199" t="s">
        <v>7485</v>
      </c>
      <c r="Y199" t="s">
        <v>7486</v>
      </c>
      <c r="AA199" t="s">
        <v>7001</v>
      </c>
      <c r="AB199" t="s">
        <v>3726</v>
      </c>
      <c r="AC199" t="s">
        <v>7485</v>
      </c>
      <c r="AF199" t="s">
        <v>7001</v>
      </c>
      <c r="AG199" t="s">
        <v>3726</v>
      </c>
      <c r="AH199" t="s">
        <v>7485</v>
      </c>
      <c r="AK199" t="s">
        <v>7001</v>
      </c>
      <c r="AL199" t="s">
        <v>3726</v>
      </c>
      <c r="AM199">
        <v>16</v>
      </c>
    </row>
    <row r="200" spans="2:39" x14ac:dyDescent="0.3">
      <c r="B200" t="s">
        <v>7000</v>
      </c>
      <c r="C200" t="s">
        <v>3776</v>
      </c>
      <c r="D200" t="s">
        <v>7485</v>
      </c>
      <c r="G200" t="s">
        <v>7000</v>
      </c>
      <c r="H200" t="s">
        <v>3776</v>
      </c>
      <c r="I200">
        <v>0</v>
      </c>
      <c r="L200" t="s">
        <v>7000</v>
      </c>
      <c r="M200" t="s">
        <v>3776</v>
      </c>
      <c r="N200" t="s">
        <v>7485</v>
      </c>
      <c r="Q200" t="s">
        <v>7000</v>
      </c>
      <c r="R200" t="s">
        <v>3776</v>
      </c>
      <c r="S200" t="s">
        <v>7485</v>
      </c>
      <c r="V200" t="s">
        <v>7002</v>
      </c>
      <c r="W200" t="s">
        <v>5952</v>
      </c>
      <c r="X200" t="s">
        <v>7485</v>
      </c>
      <c r="AA200" t="s">
        <v>7000</v>
      </c>
      <c r="AB200" t="s">
        <v>3776</v>
      </c>
      <c r="AC200" t="s">
        <v>7485</v>
      </c>
      <c r="AF200" t="s">
        <v>7000</v>
      </c>
      <c r="AG200" t="s">
        <v>3776</v>
      </c>
      <c r="AH200" t="s">
        <v>7485</v>
      </c>
      <c r="AK200" t="s">
        <v>7000</v>
      </c>
      <c r="AL200" t="s">
        <v>3776</v>
      </c>
      <c r="AM200">
        <v>16</v>
      </c>
    </row>
    <row r="201" spans="2:39" x14ac:dyDescent="0.3">
      <c r="B201" t="s">
        <v>7002</v>
      </c>
      <c r="C201" t="s">
        <v>3805</v>
      </c>
      <c r="D201" t="s">
        <v>7485</v>
      </c>
      <c r="G201" t="s">
        <v>7002</v>
      </c>
      <c r="H201" t="s">
        <v>3805</v>
      </c>
      <c r="I201">
        <v>0</v>
      </c>
      <c r="L201" t="s">
        <v>7002</v>
      </c>
      <c r="M201" t="s">
        <v>3805</v>
      </c>
      <c r="N201" t="s">
        <v>7485</v>
      </c>
      <c r="Q201" t="s">
        <v>7002</v>
      </c>
      <c r="R201" t="s">
        <v>3805</v>
      </c>
      <c r="S201" t="s">
        <v>7485</v>
      </c>
      <c r="V201" t="s">
        <v>7002</v>
      </c>
      <c r="W201" t="s">
        <v>5956</v>
      </c>
      <c r="X201" t="s">
        <v>7485</v>
      </c>
      <c r="AA201" t="s">
        <v>7002</v>
      </c>
      <c r="AB201" t="s">
        <v>3805</v>
      </c>
      <c r="AC201" t="s">
        <v>7485</v>
      </c>
      <c r="AF201" t="s">
        <v>7002</v>
      </c>
      <c r="AG201" t="s">
        <v>3805</v>
      </c>
      <c r="AH201" t="s">
        <v>7485</v>
      </c>
      <c r="AK201" t="s">
        <v>7002</v>
      </c>
      <c r="AL201" t="s">
        <v>3805</v>
      </c>
      <c r="AM201">
        <v>14</v>
      </c>
    </row>
    <row r="202" spans="2:39" x14ac:dyDescent="0.3">
      <c r="B202" t="s">
        <v>7000</v>
      </c>
      <c r="C202" t="s">
        <v>3833</v>
      </c>
      <c r="D202" t="s">
        <v>7485</v>
      </c>
      <c r="G202" t="s">
        <v>7000</v>
      </c>
      <c r="H202" t="s">
        <v>3833</v>
      </c>
      <c r="I202">
        <v>0</v>
      </c>
      <c r="L202" t="s">
        <v>7000</v>
      </c>
      <c r="M202" t="s">
        <v>3833</v>
      </c>
      <c r="N202" t="s">
        <v>7485</v>
      </c>
      <c r="Q202" t="s">
        <v>7000</v>
      </c>
      <c r="R202" t="s">
        <v>3833</v>
      </c>
      <c r="S202" t="s">
        <v>7485</v>
      </c>
      <c r="V202" t="s">
        <v>7002</v>
      </c>
      <c r="W202" t="s">
        <v>6007</v>
      </c>
      <c r="X202" t="s">
        <v>7485</v>
      </c>
      <c r="AA202" t="s">
        <v>7000</v>
      </c>
      <c r="AB202" t="s">
        <v>3833</v>
      </c>
      <c r="AC202" t="s">
        <v>7485</v>
      </c>
      <c r="AF202" t="s">
        <v>7000</v>
      </c>
      <c r="AG202" t="s">
        <v>3833</v>
      </c>
      <c r="AH202" t="s">
        <v>7485</v>
      </c>
      <c r="AK202" t="s">
        <v>7000</v>
      </c>
      <c r="AL202" t="s">
        <v>3833</v>
      </c>
      <c r="AM202">
        <v>15</v>
      </c>
    </row>
    <row r="203" spans="2:39" x14ac:dyDescent="0.3">
      <c r="B203" t="s">
        <v>7000</v>
      </c>
      <c r="C203" t="s">
        <v>3919</v>
      </c>
      <c r="D203" t="s">
        <v>7485</v>
      </c>
      <c r="G203" t="s">
        <v>7000</v>
      </c>
      <c r="H203" t="s">
        <v>3919</v>
      </c>
      <c r="I203">
        <v>0</v>
      </c>
      <c r="L203" t="s">
        <v>7000</v>
      </c>
      <c r="M203" t="s">
        <v>3919</v>
      </c>
      <c r="N203" t="s">
        <v>7485</v>
      </c>
      <c r="Q203" t="s">
        <v>7000</v>
      </c>
      <c r="R203" t="s">
        <v>3919</v>
      </c>
      <c r="S203" t="s">
        <v>7485</v>
      </c>
      <c r="V203" t="s">
        <v>7002</v>
      </c>
      <c r="W203" t="s">
        <v>6076</v>
      </c>
      <c r="X203">
        <v>0</v>
      </c>
      <c r="AA203" t="s">
        <v>7000</v>
      </c>
      <c r="AB203" t="s">
        <v>3919</v>
      </c>
      <c r="AC203" t="s">
        <v>7485</v>
      </c>
      <c r="AF203" t="s">
        <v>7000</v>
      </c>
      <c r="AG203" t="s">
        <v>3919</v>
      </c>
      <c r="AH203" t="s">
        <v>7485</v>
      </c>
      <c r="AK203" t="s">
        <v>7000</v>
      </c>
      <c r="AL203" t="s">
        <v>3919</v>
      </c>
      <c r="AM203">
        <v>15</v>
      </c>
    </row>
    <row r="204" spans="2:39" x14ac:dyDescent="0.3">
      <c r="B204" t="s">
        <v>7000</v>
      </c>
      <c r="C204" t="s">
        <v>3923</v>
      </c>
      <c r="D204">
        <v>300</v>
      </c>
      <c r="G204" t="s">
        <v>7000</v>
      </c>
      <c r="H204" t="s">
        <v>3923</v>
      </c>
      <c r="I204">
        <v>0</v>
      </c>
      <c r="L204" t="s">
        <v>7000</v>
      </c>
      <c r="M204" t="s">
        <v>3923</v>
      </c>
      <c r="N204" t="s">
        <v>7485</v>
      </c>
      <c r="Q204" t="s">
        <v>7000</v>
      </c>
      <c r="R204" t="s">
        <v>3923</v>
      </c>
      <c r="S204" t="s">
        <v>7485</v>
      </c>
      <c r="V204" t="s">
        <v>7002</v>
      </c>
      <c r="W204" t="s">
        <v>6091</v>
      </c>
      <c r="X204" t="s">
        <v>7485</v>
      </c>
      <c r="Y204" t="s">
        <v>7486</v>
      </c>
      <c r="AA204" t="s">
        <v>7000</v>
      </c>
      <c r="AB204" t="s">
        <v>3923</v>
      </c>
      <c r="AC204" t="s">
        <v>7485</v>
      </c>
      <c r="AF204" t="s">
        <v>7000</v>
      </c>
      <c r="AG204" t="s">
        <v>3923</v>
      </c>
      <c r="AH204" t="s">
        <v>7485</v>
      </c>
      <c r="AK204" t="s">
        <v>7000</v>
      </c>
      <c r="AL204" t="s">
        <v>3923</v>
      </c>
      <c r="AM204">
        <v>15</v>
      </c>
    </row>
    <row r="205" spans="2:39" x14ac:dyDescent="0.3">
      <c r="B205" t="s">
        <v>7000</v>
      </c>
      <c r="C205" t="s">
        <v>3955</v>
      </c>
      <c r="D205">
        <v>300</v>
      </c>
      <c r="G205" t="s">
        <v>7000</v>
      </c>
      <c r="H205" t="s">
        <v>3955</v>
      </c>
      <c r="I205">
        <v>218.798</v>
      </c>
      <c r="L205" t="s">
        <v>7000</v>
      </c>
      <c r="M205" t="s">
        <v>3955</v>
      </c>
      <c r="N205" t="s">
        <v>7485</v>
      </c>
      <c r="Q205" t="s">
        <v>7000</v>
      </c>
      <c r="R205" t="s">
        <v>3955</v>
      </c>
      <c r="S205" t="s">
        <v>7485</v>
      </c>
      <c r="V205" t="s">
        <v>7002</v>
      </c>
      <c r="W205" t="s">
        <v>6203</v>
      </c>
      <c r="X205" t="s">
        <v>7485</v>
      </c>
      <c r="AA205" t="s">
        <v>7000</v>
      </c>
      <c r="AB205" t="s">
        <v>3955</v>
      </c>
      <c r="AC205">
        <v>0</v>
      </c>
      <c r="AF205" t="s">
        <v>7000</v>
      </c>
      <c r="AG205" t="s">
        <v>3955</v>
      </c>
      <c r="AH205">
        <v>21.74</v>
      </c>
      <c r="AK205" t="s">
        <v>7000</v>
      </c>
      <c r="AL205" t="s">
        <v>3955</v>
      </c>
      <c r="AM205">
        <v>15</v>
      </c>
    </row>
    <row r="206" spans="2:39" x14ac:dyDescent="0.3">
      <c r="B206" t="s">
        <v>7001</v>
      </c>
      <c r="C206" t="s">
        <v>3959</v>
      </c>
      <c r="D206" t="s">
        <v>7485</v>
      </c>
      <c r="G206" t="s">
        <v>7001</v>
      </c>
      <c r="H206" t="s">
        <v>3959</v>
      </c>
      <c r="I206">
        <v>218.798</v>
      </c>
      <c r="L206" t="s">
        <v>7001</v>
      </c>
      <c r="M206" t="s">
        <v>3959</v>
      </c>
      <c r="N206" t="s">
        <v>7485</v>
      </c>
      <c r="Q206" t="s">
        <v>7001</v>
      </c>
      <c r="R206" t="s">
        <v>3959</v>
      </c>
      <c r="S206" t="s">
        <v>7485</v>
      </c>
      <c r="V206" t="s">
        <v>7002</v>
      </c>
      <c r="W206" t="s">
        <v>6340</v>
      </c>
      <c r="X206" t="s">
        <v>7485</v>
      </c>
      <c r="AA206" t="s">
        <v>7001</v>
      </c>
      <c r="AB206" t="s">
        <v>3959</v>
      </c>
      <c r="AC206" t="s">
        <v>7485</v>
      </c>
      <c r="AF206" t="s">
        <v>7001</v>
      </c>
      <c r="AG206" t="s">
        <v>3959</v>
      </c>
      <c r="AH206" t="s">
        <v>7485</v>
      </c>
      <c r="AK206" t="s">
        <v>7001</v>
      </c>
      <c r="AL206" t="s">
        <v>3959</v>
      </c>
      <c r="AM206">
        <v>16</v>
      </c>
    </row>
    <row r="207" spans="2:39" x14ac:dyDescent="0.3">
      <c r="B207" t="s">
        <v>6999</v>
      </c>
      <c r="C207" t="s">
        <v>3975</v>
      </c>
      <c r="D207" t="s">
        <v>7485</v>
      </c>
      <c r="G207" t="s">
        <v>6999</v>
      </c>
      <c r="H207" t="s">
        <v>3975</v>
      </c>
      <c r="I207">
        <v>211.74</v>
      </c>
      <c r="L207" t="s">
        <v>6999</v>
      </c>
      <c r="M207" t="s">
        <v>3975</v>
      </c>
      <c r="N207">
        <v>200</v>
      </c>
      <c r="Q207" t="s">
        <v>6999</v>
      </c>
      <c r="R207" t="s">
        <v>3975</v>
      </c>
      <c r="S207">
        <v>104.44444444444446</v>
      </c>
      <c r="V207" t="s">
        <v>7002</v>
      </c>
      <c r="W207" t="s">
        <v>6368</v>
      </c>
      <c r="X207" t="s">
        <v>7485</v>
      </c>
      <c r="AA207" t="s">
        <v>6999</v>
      </c>
      <c r="AB207" t="s">
        <v>3975</v>
      </c>
      <c r="AC207" t="s">
        <v>7485</v>
      </c>
      <c r="AF207" t="s">
        <v>6999</v>
      </c>
      <c r="AG207" t="s">
        <v>3975</v>
      </c>
      <c r="AH207" t="s">
        <v>7485</v>
      </c>
      <c r="AK207" t="s">
        <v>6999</v>
      </c>
      <c r="AL207" t="s">
        <v>3975</v>
      </c>
      <c r="AM207">
        <v>15</v>
      </c>
    </row>
    <row r="208" spans="2:39" x14ac:dyDescent="0.3">
      <c r="B208" t="s">
        <v>7000</v>
      </c>
      <c r="C208" t="s">
        <v>3996</v>
      </c>
      <c r="D208" t="s">
        <v>7485</v>
      </c>
      <c r="G208" t="s">
        <v>7000</v>
      </c>
      <c r="H208" t="s">
        <v>3996</v>
      </c>
      <c r="I208">
        <v>0</v>
      </c>
      <c r="L208" t="s">
        <v>7000</v>
      </c>
      <c r="M208" t="s">
        <v>3996</v>
      </c>
      <c r="N208" t="s">
        <v>7485</v>
      </c>
      <c r="Q208" t="s">
        <v>7000</v>
      </c>
      <c r="R208" t="s">
        <v>3996</v>
      </c>
      <c r="S208" t="s">
        <v>7485</v>
      </c>
      <c r="V208" t="s">
        <v>7002</v>
      </c>
      <c r="W208" t="s">
        <v>6558</v>
      </c>
      <c r="X208" t="s">
        <v>7485</v>
      </c>
      <c r="AA208" t="s">
        <v>7000</v>
      </c>
      <c r="AB208" t="s">
        <v>3996</v>
      </c>
      <c r="AC208" t="s">
        <v>7485</v>
      </c>
      <c r="AF208" t="s">
        <v>7000</v>
      </c>
      <c r="AG208" t="s">
        <v>3996</v>
      </c>
      <c r="AH208" t="s">
        <v>7485</v>
      </c>
      <c r="AK208" t="s">
        <v>7000</v>
      </c>
      <c r="AL208" t="s">
        <v>3996</v>
      </c>
      <c r="AM208">
        <v>15</v>
      </c>
    </row>
    <row r="209" spans="2:39" x14ac:dyDescent="0.3">
      <c r="B209" t="s">
        <v>7000</v>
      </c>
      <c r="C209" t="s">
        <v>4000</v>
      </c>
      <c r="D209" t="s">
        <v>7485</v>
      </c>
      <c r="G209" t="s">
        <v>7000</v>
      </c>
      <c r="H209" t="s">
        <v>4000</v>
      </c>
      <c r="I209">
        <v>0</v>
      </c>
      <c r="L209" t="s">
        <v>7000</v>
      </c>
      <c r="M209" t="s">
        <v>4000</v>
      </c>
      <c r="N209" t="s">
        <v>7485</v>
      </c>
      <c r="Q209" t="s">
        <v>7000</v>
      </c>
      <c r="R209" t="s">
        <v>4000</v>
      </c>
      <c r="S209" t="s">
        <v>7485</v>
      </c>
      <c r="V209" t="s">
        <v>7002</v>
      </c>
      <c r="W209" t="s">
        <v>6636</v>
      </c>
      <c r="X209" t="s">
        <v>7485</v>
      </c>
      <c r="AA209" t="s">
        <v>7000</v>
      </c>
      <c r="AB209" t="s">
        <v>4000</v>
      </c>
      <c r="AC209">
        <v>0</v>
      </c>
      <c r="AF209" t="s">
        <v>7000</v>
      </c>
      <c r="AG209" t="s">
        <v>4000</v>
      </c>
      <c r="AH209">
        <v>21.74</v>
      </c>
      <c r="AK209" t="s">
        <v>7000</v>
      </c>
      <c r="AL209" t="s">
        <v>4000</v>
      </c>
      <c r="AM209">
        <v>15</v>
      </c>
    </row>
    <row r="210" spans="2:39" x14ac:dyDescent="0.3">
      <c r="B210" t="s">
        <v>7002</v>
      </c>
      <c r="C210" t="s">
        <v>4023</v>
      </c>
      <c r="D210" t="s">
        <v>7485</v>
      </c>
      <c r="G210" t="s">
        <v>7002</v>
      </c>
      <c r="H210" t="s">
        <v>4023</v>
      </c>
      <c r="I210">
        <v>0</v>
      </c>
      <c r="L210" t="s">
        <v>7002</v>
      </c>
      <c r="M210" t="s">
        <v>4023</v>
      </c>
      <c r="N210" t="s">
        <v>7485</v>
      </c>
      <c r="Q210" t="s">
        <v>7002</v>
      </c>
      <c r="R210" t="s">
        <v>4023</v>
      </c>
      <c r="S210" t="s">
        <v>7485</v>
      </c>
      <c r="V210" t="s">
        <v>7002</v>
      </c>
      <c r="W210" t="s">
        <v>6640</v>
      </c>
      <c r="X210" t="s">
        <v>7485</v>
      </c>
      <c r="AA210" t="s">
        <v>7002</v>
      </c>
      <c r="AB210" t="s">
        <v>4023</v>
      </c>
      <c r="AC210" t="s">
        <v>7485</v>
      </c>
      <c r="AF210" t="s">
        <v>7002</v>
      </c>
      <c r="AG210" t="s">
        <v>4023</v>
      </c>
      <c r="AH210" t="s">
        <v>7485</v>
      </c>
      <c r="AK210" t="s">
        <v>7002</v>
      </c>
      <c r="AL210" t="s">
        <v>4023</v>
      </c>
      <c r="AM210">
        <v>15</v>
      </c>
    </row>
    <row r="211" spans="2:39" x14ac:dyDescent="0.3">
      <c r="B211" t="s">
        <v>7002</v>
      </c>
      <c r="C211" t="s">
        <v>4033</v>
      </c>
      <c r="D211">
        <v>300</v>
      </c>
      <c r="G211" t="s">
        <v>7002</v>
      </c>
      <c r="H211" t="s">
        <v>4033</v>
      </c>
      <c r="I211">
        <v>0</v>
      </c>
      <c r="L211" t="s">
        <v>7002</v>
      </c>
      <c r="M211" t="s">
        <v>4033</v>
      </c>
      <c r="N211" t="s">
        <v>7485</v>
      </c>
      <c r="Q211" t="s">
        <v>7002</v>
      </c>
      <c r="R211" t="s">
        <v>4033</v>
      </c>
      <c r="S211" t="s">
        <v>7485</v>
      </c>
      <c r="V211" t="s">
        <v>7002</v>
      </c>
      <c r="W211" t="s">
        <v>6755</v>
      </c>
      <c r="X211" t="s">
        <v>7485</v>
      </c>
      <c r="AA211" t="s">
        <v>7002</v>
      </c>
      <c r="AB211" t="s">
        <v>4033</v>
      </c>
      <c r="AC211" t="s">
        <v>7485</v>
      </c>
      <c r="AF211" t="s">
        <v>7002</v>
      </c>
      <c r="AG211" t="s">
        <v>4033</v>
      </c>
      <c r="AH211" t="s">
        <v>7485</v>
      </c>
      <c r="AK211" t="s">
        <v>7002</v>
      </c>
      <c r="AL211" t="s">
        <v>4033</v>
      </c>
      <c r="AM211">
        <v>17</v>
      </c>
    </row>
    <row r="212" spans="2:39" x14ac:dyDescent="0.3">
      <c r="B212" t="s">
        <v>7000</v>
      </c>
      <c r="C212" t="s">
        <v>4074</v>
      </c>
      <c r="D212" t="s">
        <v>7485</v>
      </c>
      <c r="G212" t="s">
        <v>7000</v>
      </c>
      <c r="H212" t="s">
        <v>4074</v>
      </c>
      <c r="I212">
        <v>0</v>
      </c>
      <c r="L212" t="s">
        <v>7000</v>
      </c>
      <c r="M212" t="s">
        <v>4074</v>
      </c>
      <c r="N212" t="s">
        <v>7485</v>
      </c>
      <c r="Q212" t="s">
        <v>7000</v>
      </c>
      <c r="R212" t="s">
        <v>4074</v>
      </c>
      <c r="S212" t="s">
        <v>7485</v>
      </c>
      <c r="V212" t="s">
        <v>7002</v>
      </c>
      <c r="W212" t="s">
        <v>6876</v>
      </c>
      <c r="X212" t="s">
        <v>7485</v>
      </c>
      <c r="AA212" t="s">
        <v>7000</v>
      </c>
      <c r="AB212" t="s">
        <v>4074</v>
      </c>
      <c r="AC212" t="s">
        <v>7485</v>
      </c>
      <c r="AF212" t="s">
        <v>7000</v>
      </c>
      <c r="AG212" t="s">
        <v>4074</v>
      </c>
      <c r="AH212" t="s">
        <v>7485</v>
      </c>
      <c r="AK212" t="s">
        <v>7000</v>
      </c>
      <c r="AL212" t="s">
        <v>4074</v>
      </c>
      <c r="AM212">
        <v>15</v>
      </c>
    </row>
    <row r="213" spans="2:39" x14ac:dyDescent="0.3">
      <c r="B213" t="s">
        <v>7002</v>
      </c>
      <c r="C213" t="s">
        <v>4120</v>
      </c>
      <c r="D213" t="s">
        <v>7485</v>
      </c>
      <c r="G213" t="s">
        <v>7002</v>
      </c>
      <c r="H213" t="s">
        <v>4120</v>
      </c>
      <c r="I213">
        <v>218.798</v>
      </c>
      <c r="L213" t="s">
        <v>7002</v>
      </c>
      <c r="M213" t="s">
        <v>4120</v>
      </c>
      <c r="N213" t="s">
        <v>7485</v>
      </c>
      <c r="Q213" t="s">
        <v>7002</v>
      </c>
      <c r="R213" t="s">
        <v>4120</v>
      </c>
      <c r="S213" t="s">
        <v>7485</v>
      </c>
      <c r="V213" t="s">
        <v>7002</v>
      </c>
      <c r="W213" t="s">
        <v>6898</v>
      </c>
      <c r="X213" t="s">
        <v>7485</v>
      </c>
      <c r="AA213" t="s">
        <v>7002</v>
      </c>
      <c r="AB213" t="s">
        <v>4120</v>
      </c>
      <c r="AC213" t="s">
        <v>7485</v>
      </c>
      <c r="AF213" t="s">
        <v>7002</v>
      </c>
      <c r="AG213" t="s">
        <v>4120</v>
      </c>
      <c r="AH213" t="s">
        <v>7485</v>
      </c>
      <c r="AK213" t="s">
        <v>7002</v>
      </c>
      <c r="AL213" t="s">
        <v>4120</v>
      </c>
      <c r="AM213">
        <v>15</v>
      </c>
    </row>
    <row r="214" spans="2:39" x14ac:dyDescent="0.3">
      <c r="B214" t="s">
        <v>7000</v>
      </c>
      <c r="C214" t="s">
        <v>4127</v>
      </c>
      <c r="D214" t="s">
        <v>7485</v>
      </c>
      <c r="G214" t="s">
        <v>7000</v>
      </c>
      <c r="H214" t="s">
        <v>4127</v>
      </c>
      <c r="I214">
        <v>0</v>
      </c>
      <c r="L214" t="s">
        <v>7000</v>
      </c>
      <c r="M214" t="s">
        <v>4127</v>
      </c>
      <c r="N214" t="s">
        <v>7485</v>
      </c>
      <c r="Q214" t="s">
        <v>7000</v>
      </c>
      <c r="R214" t="s">
        <v>4127</v>
      </c>
      <c r="S214" t="s">
        <v>7485</v>
      </c>
      <c r="V214" t="s">
        <v>7002</v>
      </c>
      <c r="W214" t="s">
        <v>6952</v>
      </c>
      <c r="X214" t="s">
        <v>7485</v>
      </c>
      <c r="AA214" t="s">
        <v>7000</v>
      </c>
      <c r="AB214" t="s">
        <v>4127</v>
      </c>
      <c r="AC214" t="s">
        <v>7485</v>
      </c>
      <c r="AF214" t="s">
        <v>7000</v>
      </c>
      <c r="AG214" t="s">
        <v>4127</v>
      </c>
      <c r="AH214" t="s">
        <v>7485</v>
      </c>
      <c r="AK214" t="s">
        <v>7000</v>
      </c>
      <c r="AL214" t="s">
        <v>4127</v>
      </c>
      <c r="AM214">
        <v>15</v>
      </c>
    </row>
    <row r="215" spans="2:39" x14ac:dyDescent="0.3">
      <c r="B215" t="s">
        <v>7002</v>
      </c>
      <c r="C215" t="s">
        <v>4169</v>
      </c>
      <c r="D215">
        <v>300</v>
      </c>
      <c r="G215" t="s">
        <v>7002</v>
      </c>
      <c r="H215" t="s">
        <v>4169</v>
      </c>
      <c r="I215">
        <v>21.173999999999999</v>
      </c>
      <c r="L215" t="s">
        <v>7002</v>
      </c>
      <c r="M215" t="s">
        <v>4169</v>
      </c>
      <c r="N215" t="s">
        <v>7485</v>
      </c>
      <c r="Q215" t="s">
        <v>7002</v>
      </c>
      <c r="R215" t="s">
        <v>4169</v>
      </c>
      <c r="S215" t="s">
        <v>7485</v>
      </c>
      <c r="V215" t="s">
        <v>7000</v>
      </c>
      <c r="W215" t="s">
        <v>90</v>
      </c>
      <c r="X215" t="s">
        <v>7485</v>
      </c>
      <c r="AA215" t="s">
        <v>7002</v>
      </c>
      <c r="AB215" t="s">
        <v>4169</v>
      </c>
      <c r="AC215" t="s">
        <v>7485</v>
      </c>
      <c r="AF215" t="s">
        <v>7002</v>
      </c>
      <c r="AG215" t="s">
        <v>4169</v>
      </c>
      <c r="AH215" t="s">
        <v>7485</v>
      </c>
      <c r="AK215" t="s">
        <v>7002</v>
      </c>
      <c r="AL215" t="s">
        <v>4169</v>
      </c>
      <c r="AM215">
        <v>16</v>
      </c>
    </row>
    <row r="216" spans="2:39" x14ac:dyDescent="0.3">
      <c r="B216" t="s">
        <v>7001</v>
      </c>
      <c r="C216" t="s">
        <v>4179</v>
      </c>
      <c r="D216" t="s">
        <v>7485</v>
      </c>
      <c r="G216" t="s">
        <v>7001</v>
      </c>
      <c r="H216" t="s">
        <v>4179</v>
      </c>
      <c r="I216">
        <v>0</v>
      </c>
      <c r="L216" t="s">
        <v>7001</v>
      </c>
      <c r="M216" t="s">
        <v>4179</v>
      </c>
      <c r="N216" t="s">
        <v>7485</v>
      </c>
      <c r="Q216" t="s">
        <v>7001</v>
      </c>
      <c r="R216" t="s">
        <v>4179</v>
      </c>
      <c r="S216" t="s">
        <v>7485</v>
      </c>
      <c r="V216" t="s">
        <v>7000</v>
      </c>
      <c r="W216" t="s">
        <v>172</v>
      </c>
      <c r="X216" t="s">
        <v>7485</v>
      </c>
      <c r="AA216" t="s">
        <v>7001</v>
      </c>
      <c r="AB216" t="s">
        <v>4179</v>
      </c>
      <c r="AC216">
        <v>0</v>
      </c>
      <c r="AF216" t="s">
        <v>7001</v>
      </c>
      <c r="AG216" t="s">
        <v>4179</v>
      </c>
      <c r="AH216">
        <v>0</v>
      </c>
      <c r="AK216" t="s">
        <v>7001</v>
      </c>
      <c r="AL216" t="s">
        <v>4179</v>
      </c>
      <c r="AM216">
        <v>15</v>
      </c>
    </row>
    <row r="217" spans="2:39" x14ac:dyDescent="0.3">
      <c r="B217" t="s">
        <v>7000</v>
      </c>
      <c r="C217" t="s">
        <v>4190</v>
      </c>
      <c r="D217" t="s">
        <v>7485</v>
      </c>
      <c r="G217" t="s">
        <v>7000</v>
      </c>
      <c r="H217" t="s">
        <v>4190</v>
      </c>
      <c r="I217">
        <v>0</v>
      </c>
      <c r="L217" t="s">
        <v>7000</v>
      </c>
      <c r="M217" t="s">
        <v>4190</v>
      </c>
      <c r="N217" t="s">
        <v>7485</v>
      </c>
      <c r="Q217" t="s">
        <v>7000</v>
      </c>
      <c r="R217" t="s">
        <v>4190</v>
      </c>
      <c r="S217">
        <v>81.111111111111114</v>
      </c>
      <c r="V217" t="s">
        <v>7000</v>
      </c>
      <c r="W217" t="s">
        <v>218</v>
      </c>
      <c r="X217" t="s">
        <v>7485</v>
      </c>
      <c r="AA217" t="s">
        <v>7000</v>
      </c>
      <c r="AB217" t="s">
        <v>4190</v>
      </c>
      <c r="AC217" t="s">
        <v>7485</v>
      </c>
      <c r="AF217" t="s">
        <v>7000</v>
      </c>
      <c r="AG217" t="s">
        <v>4190</v>
      </c>
      <c r="AH217" t="s">
        <v>7485</v>
      </c>
      <c r="AK217" t="s">
        <v>7000</v>
      </c>
      <c r="AL217" t="s">
        <v>4190</v>
      </c>
      <c r="AM217">
        <v>14</v>
      </c>
    </row>
    <row r="218" spans="2:39" x14ac:dyDescent="0.3">
      <c r="B218" t="s">
        <v>7002</v>
      </c>
      <c r="C218" t="s">
        <v>4194</v>
      </c>
      <c r="D218" t="s">
        <v>7485</v>
      </c>
      <c r="G218" t="s">
        <v>7002</v>
      </c>
      <c r="H218" t="s">
        <v>4194</v>
      </c>
      <c r="I218">
        <v>0</v>
      </c>
      <c r="L218" t="s">
        <v>7002</v>
      </c>
      <c r="M218" t="s">
        <v>4194</v>
      </c>
      <c r="N218" t="s">
        <v>7485</v>
      </c>
      <c r="Q218" t="s">
        <v>7002</v>
      </c>
      <c r="R218" t="s">
        <v>4194</v>
      </c>
      <c r="S218" t="s">
        <v>7485</v>
      </c>
      <c r="V218" t="s">
        <v>7000</v>
      </c>
      <c r="W218" t="s">
        <v>295</v>
      </c>
      <c r="X218" t="s">
        <v>7485</v>
      </c>
      <c r="AA218" t="s">
        <v>7002</v>
      </c>
      <c r="AB218" t="s">
        <v>4194</v>
      </c>
      <c r="AC218" t="s">
        <v>7485</v>
      </c>
      <c r="AF218" t="s">
        <v>7002</v>
      </c>
      <c r="AG218" t="s">
        <v>4194</v>
      </c>
      <c r="AH218" t="s">
        <v>7485</v>
      </c>
      <c r="AK218" t="s">
        <v>7002</v>
      </c>
      <c r="AL218" t="s">
        <v>4194</v>
      </c>
      <c r="AM218">
        <v>15</v>
      </c>
    </row>
    <row r="219" spans="2:39" x14ac:dyDescent="0.3">
      <c r="B219" t="s">
        <v>7002</v>
      </c>
      <c r="C219" t="s">
        <v>4198</v>
      </c>
      <c r="D219" t="s">
        <v>7485</v>
      </c>
      <c r="G219" t="s">
        <v>7002</v>
      </c>
      <c r="H219" t="s">
        <v>4198</v>
      </c>
      <c r="I219">
        <v>0</v>
      </c>
      <c r="L219" t="s">
        <v>7002</v>
      </c>
      <c r="M219" t="s">
        <v>4198</v>
      </c>
      <c r="N219" t="s">
        <v>7485</v>
      </c>
      <c r="Q219" t="s">
        <v>7002</v>
      </c>
      <c r="R219" t="s">
        <v>4198</v>
      </c>
      <c r="S219" t="s">
        <v>7485</v>
      </c>
      <c r="V219" t="s">
        <v>7000</v>
      </c>
      <c r="W219" t="s">
        <v>312</v>
      </c>
      <c r="X219">
        <v>0</v>
      </c>
      <c r="AA219" t="s">
        <v>7002</v>
      </c>
      <c r="AB219" t="s">
        <v>4198</v>
      </c>
      <c r="AC219" t="s">
        <v>7485</v>
      </c>
      <c r="AF219" t="s">
        <v>7002</v>
      </c>
      <c r="AG219" t="s">
        <v>4198</v>
      </c>
      <c r="AH219" t="s">
        <v>7485</v>
      </c>
      <c r="AK219" t="s">
        <v>7002</v>
      </c>
      <c r="AL219" t="s">
        <v>4198</v>
      </c>
      <c r="AM219">
        <v>15</v>
      </c>
    </row>
    <row r="220" spans="2:39" x14ac:dyDescent="0.3">
      <c r="B220" t="s">
        <v>6999</v>
      </c>
      <c r="C220" t="s">
        <v>4234</v>
      </c>
      <c r="D220">
        <v>300</v>
      </c>
      <c r="G220" t="s">
        <v>6999</v>
      </c>
      <c r="H220" t="s">
        <v>4234</v>
      </c>
      <c r="I220">
        <v>211.74</v>
      </c>
      <c r="L220" t="s">
        <v>6999</v>
      </c>
      <c r="M220" t="s">
        <v>4234</v>
      </c>
      <c r="N220" t="s">
        <v>7485</v>
      </c>
      <c r="Q220" t="s">
        <v>6999</v>
      </c>
      <c r="R220" t="s">
        <v>4234</v>
      </c>
      <c r="S220" t="s">
        <v>7485</v>
      </c>
      <c r="V220" t="s">
        <v>7000</v>
      </c>
      <c r="W220" t="s">
        <v>317</v>
      </c>
      <c r="X220" t="s">
        <v>7485</v>
      </c>
      <c r="AA220" t="s">
        <v>6999</v>
      </c>
      <c r="AB220" t="s">
        <v>4234</v>
      </c>
      <c r="AC220" t="s">
        <v>7485</v>
      </c>
      <c r="AF220" t="s">
        <v>6999</v>
      </c>
      <c r="AG220" t="s">
        <v>4234</v>
      </c>
      <c r="AH220" t="s">
        <v>7485</v>
      </c>
      <c r="AK220" t="s">
        <v>6999</v>
      </c>
      <c r="AL220" t="s">
        <v>4234</v>
      </c>
      <c r="AM220">
        <v>15</v>
      </c>
    </row>
    <row r="221" spans="2:39" x14ac:dyDescent="0.3">
      <c r="B221" t="s">
        <v>7002</v>
      </c>
      <c r="C221" t="s">
        <v>4242</v>
      </c>
      <c r="D221">
        <v>300</v>
      </c>
      <c r="G221" t="s">
        <v>7002</v>
      </c>
      <c r="H221" t="s">
        <v>4242</v>
      </c>
      <c r="I221">
        <v>119.98599999999999</v>
      </c>
      <c r="L221" t="s">
        <v>7002</v>
      </c>
      <c r="M221" t="s">
        <v>4242</v>
      </c>
      <c r="N221">
        <v>200</v>
      </c>
      <c r="Q221" t="s">
        <v>7002</v>
      </c>
      <c r="R221" t="s">
        <v>4242</v>
      </c>
      <c r="S221" t="s">
        <v>7485</v>
      </c>
      <c r="V221" t="s">
        <v>7000</v>
      </c>
      <c r="W221" t="s">
        <v>368</v>
      </c>
      <c r="X221" t="s">
        <v>7485</v>
      </c>
      <c r="AA221" t="s">
        <v>7002</v>
      </c>
      <c r="AB221" t="s">
        <v>4242</v>
      </c>
      <c r="AC221" t="s">
        <v>7485</v>
      </c>
      <c r="AF221" t="s">
        <v>7002</v>
      </c>
      <c r="AG221" t="s">
        <v>4242</v>
      </c>
      <c r="AH221" t="s">
        <v>7485</v>
      </c>
      <c r="AK221" t="s">
        <v>7002</v>
      </c>
      <c r="AL221" t="s">
        <v>4242</v>
      </c>
      <c r="AM221">
        <v>17</v>
      </c>
    </row>
    <row r="222" spans="2:39" x14ac:dyDescent="0.3">
      <c r="B222" t="s">
        <v>7002</v>
      </c>
      <c r="C222" t="s">
        <v>4260</v>
      </c>
      <c r="D222" t="s">
        <v>7485</v>
      </c>
      <c r="G222" t="s">
        <v>7002</v>
      </c>
      <c r="H222" t="s">
        <v>4260</v>
      </c>
      <c r="I222">
        <v>218.798</v>
      </c>
      <c r="L222" t="s">
        <v>7002</v>
      </c>
      <c r="M222" t="s">
        <v>4260</v>
      </c>
      <c r="N222" t="s">
        <v>7485</v>
      </c>
      <c r="Q222" t="s">
        <v>7002</v>
      </c>
      <c r="R222" t="s">
        <v>4260</v>
      </c>
      <c r="S222">
        <v>10</v>
      </c>
      <c r="V222" t="s">
        <v>7000</v>
      </c>
      <c r="W222" t="s">
        <v>393</v>
      </c>
      <c r="X222" t="s">
        <v>7485</v>
      </c>
      <c r="AA222" t="s">
        <v>7002</v>
      </c>
      <c r="AB222" t="s">
        <v>4260</v>
      </c>
      <c r="AC222" t="s">
        <v>7485</v>
      </c>
      <c r="AF222" t="s">
        <v>7002</v>
      </c>
      <c r="AG222" t="s">
        <v>4260</v>
      </c>
      <c r="AH222" t="s">
        <v>7485</v>
      </c>
      <c r="AK222" t="s">
        <v>7002</v>
      </c>
      <c r="AL222" t="s">
        <v>4260</v>
      </c>
      <c r="AM222">
        <v>15</v>
      </c>
    </row>
    <row r="223" spans="2:39" x14ac:dyDescent="0.3">
      <c r="B223" t="s">
        <v>6999</v>
      </c>
      <c r="C223" t="s">
        <v>4284</v>
      </c>
      <c r="D223" t="s">
        <v>7485</v>
      </c>
      <c r="G223" t="s">
        <v>6999</v>
      </c>
      <c r="H223" t="s">
        <v>4284</v>
      </c>
      <c r="I223">
        <v>0</v>
      </c>
      <c r="L223" t="s">
        <v>6999</v>
      </c>
      <c r="M223" t="s">
        <v>4284</v>
      </c>
      <c r="N223" t="s">
        <v>7485</v>
      </c>
      <c r="Q223" t="s">
        <v>6999</v>
      </c>
      <c r="R223" t="s">
        <v>4284</v>
      </c>
      <c r="S223">
        <v>89.523809523809518</v>
      </c>
      <c r="V223" t="s">
        <v>7000</v>
      </c>
      <c r="W223" t="s">
        <v>404</v>
      </c>
      <c r="X223">
        <v>148.97</v>
      </c>
      <c r="AA223" t="s">
        <v>6999</v>
      </c>
      <c r="AB223" t="s">
        <v>4284</v>
      </c>
      <c r="AC223" t="s">
        <v>7485</v>
      </c>
      <c r="AF223" t="s">
        <v>6999</v>
      </c>
      <c r="AG223" t="s">
        <v>4284</v>
      </c>
      <c r="AH223" t="s">
        <v>7485</v>
      </c>
      <c r="AK223" t="s">
        <v>6999</v>
      </c>
      <c r="AL223" t="s">
        <v>4284</v>
      </c>
      <c r="AM223">
        <v>15</v>
      </c>
    </row>
    <row r="224" spans="2:39" x14ac:dyDescent="0.3">
      <c r="B224" t="s">
        <v>6999</v>
      </c>
      <c r="C224" t="s">
        <v>4288</v>
      </c>
      <c r="D224" t="s">
        <v>7485</v>
      </c>
      <c r="G224" t="s">
        <v>6999</v>
      </c>
      <c r="H224" t="s">
        <v>4288</v>
      </c>
      <c r="I224">
        <v>218.798</v>
      </c>
      <c r="L224" t="s">
        <v>6999</v>
      </c>
      <c r="M224" t="s">
        <v>4288</v>
      </c>
      <c r="N224" t="s">
        <v>7485</v>
      </c>
      <c r="Q224" t="s">
        <v>6999</v>
      </c>
      <c r="R224" t="s">
        <v>4288</v>
      </c>
      <c r="S224">
        <v>89.523809523809518</v>
      </c>
      <c r="V224" t="s">
        <v>7000</v>
      </c>
      <c r="W224" t="s">
        <v>408</v>
      </c>
      <c r="X224" t="s">
        <v>7485</v>
      </c>
      <c r="AA224" t="s">
        <v>6999</v>
      </c>
      <c r="AB224" t="s">
        <v>4288</v>
      </c>
      <c r="AC224" t="s">
        <v>7485</v>
      </c>
      <c r="AF224" t="s">
        <v>6999</v>
      </c>
      <c r="AG224" t="s">
        <v>4288</v>
      </c>
      <c r="AH224" t="s">
        <v>7485</v>
      </c>
      <c r="AK224" t="s">
        <v>6999</v>
      </c>
      <c r="AL224" t="s">
        <v>4288</v>
      </c>
      <c r="AM224">
        <v>15</v>
      </c>
    </row>
    <row r="225" spans="2:40" x14ac:dyDescent="0.3">
      <c r="B225" t="s">
        <v>7000</v>
      </c>
      <c r="C225" t="s">
        <v>4292</v>
      </c>
      <c r="D225" t="s">
        <v>7485</v>
      </c>
      <c r="G225" t="s">
        <v>7000</v>
      </c>
      <c r="H225" t="s">
        <v>4292</v>
      </c>
      <c r="I225">
        <v>0</v>
      </c>
      <c r="L225" t="s">
        <v>7000</v>
      </c>
      <c r="M225" t="s">
        <v>4292</v>
      </c>
      <c r="N225" t="s">
        <v>7485</v>
      </c>
      <c r="Q225" t="s">
        <v>7000</v>
      </c>
      <c r="R225" t="s">
        <v>4292</v>
      </c>
      <c r="S225" t="s">
        <v>7485</v>
      </c>
      <c r="V225" t="s">
        <v>7000</v>
      </c>
      <c r="W225" t="s">
        <v>481</v>
      </c>
      <c r="X225" t="s">
        <v>7485</v>
      </c>
      <c r="AA225" t="s">
        <v>7000</v>
      </c>
      <c r="AB225" t="s">
        <v>4292</v>
      </c>
      <c r="AC225" t="s">
        <v>7485</v>
      </c>
      <c r="AF225" t="s">
        <v>7000</v>
      </c>
      <c r="AG225" t="s">
        <v>4292</v>
      </c>
      <c r="AH225" t="s">
        <v>7485</v>
      </c>
      <c r="AK225" t="s">
        <v>7000</v>
      </c>
      <c r="AL225" t="s">
        <v>4292</v>
      </c>
      <c r="AM225">
        <v>15</v>
      </c>
    </row>
    <row r="226" spans="2:40" x14ac:dyDescent="0.3">
      <c r="B226" t="s">
        <v>7002</v>
      </c>
      <c r="C226" t="s">
        <v>4349</v>
      </c>
      <c r="D226" t="s">
        <v>7485</v>
      </c>
      <c r="G226" t="s">
        <v>7002</v>
      </c>
      <c r="H226" t="s">
        <v>4349</v>
      </c>
      <c r="I226">
        <v>21.173999999999999</v>
      </c>
      <c r="L226" t="s">
        <v>7002</v>
      </c>
      <c r="M226" t="s">
        <v>4349</v>
      </c>
      <c r="N226" t="s">
        <v>7485</v>
      </c>
      <c r="Q226" t="s">
        <v>7002</v>
      </c>
      <c r="R226" t="s">
        <v>4349</v>
      </c>
      <c r="S226" t="s">
        <v>7485</v>
      </c>
      <c r="V226" t="s">
        <v>7000</v>
      </c>
      <c r="W226" t="s">
        <v>517</v>
      </c>
      <c r="X226" t="s">
        <v>7485</v>
      </c>
      <c r="AA226" t="s">
        <v>7002</v>
      </c>
      <c r="AB226" t="s">
        <v>4349</v>
      </c>
      <c r="AC226">
        <v>0</v>
      </c>
      <c r="AF226" t="s">
        <v>7002</v>
      </c>
      <c r="AG226" t="s">
        <v>4349</v>
      </c>
      <c r="AH226">
        <v>21.74</v>
      </c>
      <c r="AK226" t="s">
        <v>7002</v>
      </c>
      <c r="AL226" t="s">
        <v>4349</v>
      </c>
      <c r="AM226">
        <v>15</v>
      </c>
    </row>
    <row r="227" spans="2:40" x14ac:dyDescent="0.3">
      <c r="B227" t="s">
        <v>7000</v>
      </c>
      <c r="C227" t="s">
        <v>4353</v>
      </c>
      <c r="D227" t="s">
        <v>7485</v>
      </c>
      <c r="G227" t="s">
        <v>7000</v>
      </c>
      <c r="H227" t="s">
        <v>4353</v>
      </c>
      <c r="I227">
        <v>0</v>
      </c>
      <c r="L227" t="s">
        <v>7000</v>
      </c>
      <c r="M227" t="s">
        <v>4353</v>
      </c>
      <c r="N227" t="s">
        <v>7485</v>
      </c>
      <c r="Q227" t="s">
        <v>7000</v>
      </c>
      <c r="R227" t="s">
        <v>4353</v>
      </c>
      <c r="S227" t="s">
        <v>7485</v>
      </c>
      <c r="V227" t="s">
        <v>7000</v>
      </c>
      <c r="W227" t="s">
        <v>521</v>
      </c>
      <c r="X227" t="s">
        <v>7485</v>
      </c>
      <c r="AA227" t="s">
        <v>7000</v>
      </c>
      <c r="AB227" t="s">
        <v>4353</v>
      </c>
      <c r="AC227" t="s">
        <v>7485</v>
      </c>
      <c r="AF227" t="s">
        <v>7000</v>
      </c>
      <c r="AG227" t="s">
        <v>4353</v>
      </c>
      <c r="AH227" t="s">
        <v>7485</v>
      </c>
      <c r="AK227" t="s">
        <v>7000</v>
      </c>
      <c r="AL227" t="s">
        <v>4353</v>
      </c>
      <c r="AM227">
        <v>13</v>
      </c>
    </row>
    <row r="228" spans="2:40" x14ac:dyDescent="0.3">
      <c r="B228" t="s">
        <v>6999</v>
      </c>
      <c r="C228" t="s">
        <v>4495</v>
      </c>
      <c r="D228">
        <v>300</v>
      </c>
      <c r="G228" t="s">
        <v>6999</v>
      </c>
      <c r="H228" t="s">
        <v>4495</v>
      </c>
      <c r="I228">
        <v>0</v>
      </c>
      <c r="L228" t="s">
        <v>6999</v>
      </c>
      <c r="M228" t="s">
        <v>4495</v>
      </c>
      <c r="N228" t="s">
        <v>7485</v>
      </c>
      <c r="Q228" t="s">
        <v>6999</v>
      </c>
      <c r="R228" t="s">
        <v>4495</v>
      </c>
      <c r="S228">
        <v>140</v>
      </c>
      <c r="V228" t="s">
        <v>7000</v>
      </c>
      <c r="W228" t="s">
        <v>586</v>
      </c>
      <c r="X228" t="s">
        <v>7485</v>
      </c>
      <c r="AA228" t="s">
        <v>6999</v>
      </c>
      <c r="AB228" t="s">
        <v>4495</v>
      </c>
      <c r="AC228">
        <v>0</v>
      </c>
      <c r="AF228" t="s">
        <v>6999</v>
      </c>
      <c r="AG228" t="s">
        <v>4495</v>
      </c>
      <c r="AH228">
        <v>21.74</v>
      </c>
      <c r="AK228" t="s">
        <v>6999</v>
      </c>
      <c r="AL228" t="s">
        <v>4495</v>
      </c>
      <c r="AM228">
        <v>15</v>
      </c>
    </row>
    <row r="229" spans="2:40" x14ac:dyDescent="0.3">
      <c r="B229" t="s">
        <v>7000</v>
      </c>
      <c r="C229" t="s">
        <v>4510</v>
      </c>
      <c r="D229" t="s">
        <v>7485</v>
      </c>
      <c r="G229" t="s">
        <v>7000</v>
      </c>
      <c r="H229" t="s">
        <v>4510</v>
      </c>
      <c r="I229">
        <v>0</v>
      </c>
      <c r="L229" t="s">
        <v>7000</v>
      </c>
      <c r="M229" t="s">
        <v>4510</v>
      </c>
      <c r="N229" t="s">
        <v>7485</v>
      </c>
      <c r="Q229" t="s">
        <v>7000</v>
      </c>
      <c r="R229" t="s">
        <v>4510</v>
      </c>
      <c r="S229" t="s">
        <v>7485</v>
      </c>
      <c r="V229" t="s">
        <v>7000</v>
      </c>
      <c r="W229" t="s">
        <v>604</v>
      </c>
      <c r="X229">
        <v>128.65</v>
      </c>
      <c r="AA229" t="s">
        <v>7000</v>
      </c>
      <c r="AB229" t="s">
        <v>4510</v>
      </c>
      <c r="AC229">
        <v>0</v>
      </c>
      <c r="AF229" t="s">
        <v>7000</v>
      </c>
      <c r="AG229" t="s">
        <v>4510</v>
      </c>
      <c r="AH229">
        <v>0</v>
      </c>
      <c r="AK229" t="s">
        <v>7000</v>
      </c>
      <c r="AL229" t="s">
        <v>4510</v>
      </c>
      <c r="AM229">
        <v>15</v>
      </c>
    </row>
    <row r="230" spans="2:40" x14ac:dyDescent="0.3">
      <c r="B230" t="s">
        <v>7002</v>
      </c>
      <c r="C230" t="s">
        <v>4556</v>
      </c>
      <c r="D230" t="s">
        <v>7485</v>
      </c>
      <c r="G230" t="s">
        <v>7002</v>
      </c>
      <c r="H230" t="s">
        <v>4556</v>
      </c>
      <c r="I230">
        <v>0</v>
      </c>
      <c r="L230" t="s">
        <v>7002</v>
      </c>
      <c r="M230" t="s">
        <v>4556</v>
      </c>
      <c r="N230" t="s">
        <v>7485</v>
      </c>
      <c r="Q230" t="s">
        <v>7002</v>
      </c>
      <c r="R230" t="s">
        <v>4556</v>
      </c>
      <c r="S230" t="s">
        <v>7485</v>
      </c>
      <c r="V230" t="s">
        <v>7000</v>
      </c>
      <c r="W230" t="s">
        <v>639</v>
      </c>
      <c r="X230">
        <v>159.1</v>
      </c>
      <c r="AA230" t="s">
        <v>7002</v>
      </c>
      <c r="AB230" t="s">
        <v>4556</v>
      </c>
      <c r="AC230" t="s">
        <v>7485</v>
      </c>
      <c r="AF230" t="s">
        <v>7002</v>
      </c>
      <c r="AG230" t="s">
        <v>4556</v>
      </c>
      <c r="AH230" t="s">
        <v>7485</v>
      </c>
      <c r="AK230" t="s">
        <v>7002</v>
      </c>
      <c r="AL230" t="s">
        <v>4556</v>
      </c>
      <c r="AM230">
        <v>15</v>
      </c>
    </row>
    <row r="231" spans="2:40" x14ac:dyDescent="0.3">
      <c r="B231" t="s">
        <v>7000</v>
      </c>
      <c r="C231" t="s">
        <v>4566</v>
      </c>
      <c r="D231" t="s">
        <v>7485</v>
      </c>
      <c r="G231" t="s">
        <v>7000</v>
      </c>
      <c r="H231" t="s">
        <v>4566</v>
      </c>
      <c r="I231">
        <v>0</v>
      </c>
      <c r="L231" t="s">
        <v>7000</v>
      </c>
      <c r="M231" t="s">
        <v>4566</v>
      </c>
      <c r="N231" t="s">
        <v>7485</v>
      </c>
      <c r="Q231" t="s">
        <v>7000</v>
      </c>
      <c r="R231" t="s">
        <v>4566</v>
      </c>
      <c r="S231" t="s">
        <v>7485</v>
      </c>
      <c r="V231" t="s">
        <v>7000</v>
      </c>
      <c r="W231" t="s">
        <v>643</v>
      </c>
      <c r="X231" t="s">
        <v>7485</v>
      </c>
      <c r="AA231" t="s">
        <v>7000</v>
      </c>
      <c r="AB231" t="s">
        <v>4566</v>
      </c>
      <c r="AC231" t="s">
        <v>7485</v>
      </c>
      <c r="AF231" t="s">
        <v>7000</v>
      </c>
      <c r="AG231" t="s">
        <v>4566</v>
      </c>
      <c r="AH231" t="s">
        <v>7485</v>
      </c>
      <c r="AK231" t="s">
        <v>7000</v>
      </c>
      <c r="AL231" t="s">
        <v>4566</v>
      </c>
      <c r="AM231">
        <v>15</v>
      </c>
    </row>
    <row r="232" spans="2:40" x14ac:dyDescent="0.3">
      <c r="B232" t="s">
        <v>7002</v>
      </c>
      <c r="C232" t="s">
        <v>4608</v>
      </c>
      <c r="D232" t="s">
        <v>7485</v>
      </c>
      <c r="G232" t="s">
        <v>7002</v>
      </c>
      <c r="H232" t="s">
        <v>4608</v>
      </c>
      <c r="I232">
        <v>218.798</v>
      </c>
      <c r="L232" t="s">
        <v>7002</v>
      </c>
      <c r="M232" t="s">
        <v>4608</v>
      </c>
      <c r="N232" t="s">
        <v>7485</v>
      </c>
      <c r="Q232" t="s">
        <v>7002</v>
      </c>
      <c r="R232" t="s">
        <v>4608</v>
      </c>
      <c r="S232" t="s">
        <v>7485</v>
      </c>
      <c r="V232" t="s">
        <v>7000</v>
      </c>
      <c r="W232" t="s">
        <v>647</v>
      </c>
      <c r="X232" t="s">
        <v>7485</v>
      </c>
      <c r="AA232" t="s">
        <v>7002</v>
      </c>
      <c r="AB232" t="s">
        <v>4608</v>
      </c>
      <c r="AC232" t="s">
        <v>7485</v>
      </c>
      <c r="AF232" t="s">
        <v>7002</v>
      </c>
      <c r="AG232" t="s">
        <v>4608</v>
      </c>
      <c r="AH232" t="s">
        <v>7485</v>
      </c>
      <c r="AK232" t="s">
        <v>7002</v>
      </c>
      <c r="AL232" t="s">
        <v>4608</v>
      </c>
      <c r="AM232">
        <v>15</v>
      </c>
    </row>
    <row r="233" spans="2:40" x14ac:dyDescent="0.3">
      <c r="B233" t="s">
        <v>6999</v>
      </c>
      <c r="C233" t="s">
        <v>4629</v>
      </c>
      <c r="D233" t="s">
        <v>7485</v>
      </c>
      <c r="G233" t="s">
        <v>6999</v>
      </c>
      <c r="H233" t="s">
        <v>4629</v>
      </c>
      <c r="I233">
        <v>0</v>
      </c>
      <c r="L233" t="s">
        <v>6999</v>
      </c>
      <c r="M233" t="s">
        <v>4629</v>
      </c>
      <c r="N233" t="s">
        <v>7485</v>
      </c>
      <c r="Q233" t="s">
        <v>6999</v>
      </c>
      <c r="R233" t="s">
        <v>4629</v>
      </c>
      <c r="S233" t="s">
        <v>7485</v>
      </c>
      <c r="V233" t="s">
        <v>7000</v>
      </c>
      <c r="W233" t="s">
        <v>722</v>
      </c>
      <c r="X233" t="s">
        <v>7485</v>
      </c>
      <c r="AA233" t="s">
        <v>6999</v>
      </c>
      <c r="AB233" t="s">
        <v>4629</v>
      </c>
      <c r="AC233" t="s">
        <v>7485</v>
      </c>
      <c r="AF233" t="s">
        <v>6999</v>
      </c>
      <c r="AG233" t="s">
        <v>4629</v>
      </c>
      <c r="AH233" t="s">
        <v>7485</v>
      </c>
      <c r="AK233" t="s">
        <v>6999</v>
      </c>
      <c r="AL233" t="s">
        <v>4629</v>
      </c>
      <c r="AM233">
        <v>15</v>
      </c>
    </row>
    <row r="234" spans="2:40" x14ac:dyDescent="0.3">
      <c r="B234" t="s">
        <v>7002</v>
      </c>
      <c r="C234" t="s">
        <v>4636</v>
      </c>
      <c r="D234" t="s">
        <v>7485</v>
      </c>
      <c r="G234" t="s">
        <v>7002</v>
      </c>
      <c r="H234" t="s">
        <v>4636</v>
      </c>
      <c r="I234">
        <v>14.116</v>
      </c>
      <c r="L234" t="s">
        <v>7002</v>
      </c>
      <c r="M234" t="s">
        <v>4636</v>
      </c>
      <c r="N234" t="s">
        <v>7485</v>
      </c>
      <c r="Q234" t="s">
        <v>7002</v>
      </c>
      <c r="R234" t="s">
        <v>4636</v>
      </c>
      <c r="S234">
        <v>106.66666666666667</v>
      </c>
      <c r="V234" t="s">
        <v>7000</v>
      </c>
      <c r="W234" t="s">
        <v>761</v>
      </c>
      <c r="X234">
        <v>147.19999999999999</v>
      </c>
      <c r="AA234" t="s">
        <v>7002</v>
      </c>
      <c r="AB234" t="s">
        <v>4636</v>
      </c>
      <c r="AC234" t="s">
        <v>7485</v>
      </c>
      <c r="AF234" t="s">
        <v>7002</v>
      </c>
      <c r="AG234" t="s">
        <v>4636</v>
      </c>
      <c r="AH234" t="s">
        <v>7485</v>
      </c>
      <c r="AK234" t="s">
        <v>7002</v>
      </c>
      <c r="AL234" t="s">
        <v>4636</v>
      </c>
      <c r="AM234">
        <v>15</v>
      </c>
    </row>
    <row r="235" spans="2:40" x14ac:dyDescent="0.3">
      <c r="B235" t="s">
        <v>7002</v>
      </c>
      <c r="C235" t="s">
        <v>4650</v>
      </c>
      <c r="D235" t="s">
        <v>7485</v>
      </c>
      <c r="G235" t="s">
        <v>7002</v>
      </c>
      <c r="H235" t="s">
        <v>4650</v>
      </c>
      <c r="I235">
        <v>0</v>
      </c>
      <c r="L235" t="s">
        <v>7002</v>
      </c>
      <c r="M235" t="s">
        <v>4650</v>
      </c>
      <c r="N235" t="s">
        <v>7485</v>
      </c>
      <c r="Q235" t="s">
        <v>7002</v>
      </c>
      <c r="R235" t="s">
        <v>4650</v>
      </c>
      <c r="S235" t="s">
        <v>7485</v>
      </c>
      <c r="V235" t="s">
        <v>7000</v>
      </c>
      <c r="W235" t="s">
        <v>805</v>
      </c>
      <c r="X235">
        <v>147.19999999999999</v>
      </c>
      <c r="AA235" t="s">
        <v>7002</v>
      </c>
      <c r="AB235" t="s">
        <v>4650</v>
      </c>
      <c r="AC235" t="s">
        <v>7485</v>
      </c>
      <c r="AF235" t="s">
        <v>7002</v>
      </c>
      <c r="AG235" t="s">
        <v>4650</v>
      </c>
      <c r="AH235" t="s">
        <v>7485</v>
      </c>
      <c r="AK235" t="s">
        <v>7002</v>
      </c>
      <c r="AL235" t="s">
        <v>4650</v>
      </c>
      <c r="AM235">
        <v>15</v>
      </c>
    </row>
    <row r="236" spans="2:40" x14ac:dyDescent="0.3">
      <c r="B236" t="s">
        <v>7000</v>
      </c>
      <c r="C236" t="s">
        <v>4694</v>
      </c>
      <c r="D236" t="s">
        <v>7485</v>
      </c>
      <c r="G236" t="s">
        <v>7000</v>
      </c>
      <c r="H236" t="s">
        <v>4694</v>
      </c>
      <c r="I236">
        <v>0</v>
      </c>
      <c r="L236" t="s">
        <v>7000</v>
      </c>
      <c r="M236" t="s">
        <v>4694</v>
      </c>
      <c r="N236" t="s">
        <v>7485</v>
      </c>
      <c r="Q236" t="s">
        <v>7000</v>
      </c>
      <c r="R236" t="s">
        <v>4694</v>
      </c>
      <c r="S236">
        <v>97</v>
      </c>
      <c r="V236" t="s">
        <v>7000</v>
      </c>
      <c r="W236" t="s">
        <v>812</v>
      </c>
      <c r="X236" t="s">
        <v>7485</v>
      </c>
      <c r="AA236" t="s">
        <v>7000</v>
      </c>
      <c r="AB236" t="s">
        <v>4694</v>
      </c>
      <c r="AC236">
        <v>0</v>
      </c>
      <c r="AF236" t="s">
        <v>7000</v>
      </c>
      <c r="AG236" t="s">
        <v>4694</v>
      </c>
      <c r="AH236">
        <v>112.93</v>
      </c>
      <c r="AK236" t="s">
        <v>7000</v>
      </c>
      <c r="AL236" t="s">
        <v>4694</v>
      </c>
      <c r="AM236">
        <v>15</v>
      </c>
    </row>
    <row r="237" spans="2:40" x14ac:dyDescent="0.3">
      <c r="B237" t="s">
        <v>7000</v>
      </c>
      <c r="C237" t="s">
        <v>4701</v>
      </c>
      <c r="D237" t="s">
        <v>7485</v>
      </c>
      <c r="G237" t="s">
        <v>7000</v>
      </c>
      <c r="H237" t="s">
        <v>4701</v>
      </c>
      <c r="I237">
        <v>218.798</v>
      </c>
      <c r="L237" t="s">
        <v>7000</v>
      </c>
      <c r="M237" t="s">
        <v>4701</v>
      </c>
      <c r="N237" t="s">
        <v>7485</v>
      </c>
      <c r="Q237" t="s">
        <v>7000</v>
      </c>
      <c r="R237" t="s">
        <v>4701</v>
      </c>
      <c r="S237" t="s">
        <v>7485</v>
      </c>
      <c r="V237" t="s">
        <v>7000</v>
      </c>
      <c r="W237" t="s">
        <v>914</v>
      </c>
      <c r="X237">
        <v>148.97</v>
      </c>
      <c r="AA237" t="s">
        <v>7000</v>
      </c>
      <c r="AB237" t="s">
        <v>4701</v>
      </c>
      <c r="AC237" t="s">
        <v>7485</v>
      </c>
      <c r="AF237" t="s">
        <v>7000</v>
      </c>
      <c r="AG237" t="s">
        <v>4701</v>
      </c>
      <c r="AH237" t="s">
        <v>7485</v>
      </c>
      <c r="AK237" t="s">
        <v>7000</v>
      </c>
      <c r="AL237" t="s">
        <v>4701</v>
      </c>
      <c r="AM237">
        <v>15</v>
      </c>
    </row>
    <row r="238" spans="2:40" x14ac:dyDescent="0.3">
      <c r="B238" t="s">
        <v>7000</v>
      </c>
      <c r="C238" t="s">
        <v>4719</v>
      </c>
      <c r="D238" t="s">
        <v>7485</v>
      </c>
      <c r="G238" t="s">
        <v>7002</v>
      </c>
      <c r="H238" t="s">
        <v>4719</v>
      </c>
      <c r="I238">
        <v>0</v>
      </c>
      <c r="J238" t="s">
        <v>7486</v>
      </c>
      <c r="L238" t="s">
        <v>7002</v>
      </c>
      <c r="M238" t="s">
        <v>4719</v>
      </c>
      <c r="N238" t="s">
        <v>7485</v>
      </c>
      <c r="O238" t="s">
        <v>7486</v>
      </c>
      <c r="Q238" t="s">
        <v>7002</v>
      </c>
      <c r="R238" t="s">
        <v>4719</v>
      </c>
      <c r="S238">
        <v>40</v>
      </c>
      <c r="V238" t="s">
        <v>7000</v>
      </c>
      <c r="W238" t="s">
        <v>1019</v>
      </c>
      <c r="X238" t="s">
        <v>7485</v>
      </c>
      <c r="AA238" t="s">
        <v>7002</v>
      </c>
      <c r="AB238" t="s">
        <v>4719</v>
      </c>
      <c r="AC238" t="s">
        <v>7485</v>
      </c>
      <c r="AD238" t="s">
        <v>7486</v>
      </c>
      <c r="AF238" t="s">
        <v>7002</v>
      </c>
      <c r="AG238" t="s">
        <v>4719</v>
      </c>
      <c r="AH238" t="s">
        <v>7485</v>
      </c>
      <c r="AI238" t="s">
        <v>7486</v>
      </c>
      <c r="AK238" t="s">
        <v>7002</v>
      </c>
      <c r="AL238" t="s">
        <v>4719</v>
      </c>
      <c r="AM238">
        <v>15</v>
      </c>
      <c r="AN238" t="s">
        <v>7486</v>
      </c>
    </row>
    <row r="239" spans="2:40" x14ac:dyDescent="0.3">
      <c r="B239" t="s">
        <v>7002</v>
      </c>
      <c r="C239" t="s">
        <v>4719</v>
      </c>
      <c r="D239" t="s">
        <v>7485</v>
      </c>
      <c r="G239" t="s">
        <v>7000</v>
      </c>
      <c r="H239" t="s">
        <v>4719</v>
      </c>
      <c r="I239">
        <v>0</v>
      </c>
      <c r="L239" t="s">
        <v>7000</v>
      </c>
      <c r="M239" t="s">
        <v>4719</v>
      </c>
      <c r="N239" t="s">
        <v>7485</v>
      </c>
      <c r="Q239" t="s">
        <v>7000</v>
      </c>
      <c r="R239" t="s">
        <v>4719</v>
      </c>
      <c r="S239">
        <v>40</v>
      </c>
      <c r="T239" t="s">
        <v>7486</v>
      </c>
      <c r="V239" t="s">
        <v>7000</v>
      </c>
      <c r="W239" t="s">
        <v>1064</v>
      </c>
      <c r="X239" t="s">
        <v>7485</v>
      </c>
      <c r="AA239" t="s">
        <v>7000</v>
      </c>
      <c r="AB239" t="s">
        <v>4719</v>
      </c>
      <c r="AC239" t="s">
        <v>7485</v>
      </c>
      <c r="AF239" t="s">
        <v>7000</v>
      </c>
      <c r="AG239" t="s">
        <v>4719</v>
      </c>
      <c r="AH239" t="s">
        <v>7485</v>
      </c>
      <c r="AK239" t="s">
        <v>7000</v>
      </c>
      <c r="AL239" t="s">
        <v>4719</v>
      </c>
      <c r="AM239">
        <v>15</v>
      </c>
    </row>
    <row r="240" spans="2:40" x14ac:dyDescent="0.3">
      <c r="B240" t="s">
        <v>7000</v>
      </c>
      <c r="C240" t="s">
        <v>4741</v>
      </c>
      <c r="D240">
        <v>120</v>
      </c>
      <c r="G240" t="s">
        <v>7000</v>
      </c>
      <c r="H240" t="s">
        <v>4741</v>
      </c>
      <c r="I240">
        <v>0</v>
      </c>
      <c r="L240" t="s">
        <v>7000</v>
      </c>
      <c r="M240" t="s">
        <v>4741</v>
      </c>
      <c r="N240" t="s">
        <v>7485</v>
      </c>
      <c r="Q240" t="s">
        <v>7000</v>
      </c>
      <c r="R240" t="s">
        <v>4741</v>
      </c>
      <c r="S240">
        <v>100</v>
      </c>
      <c r="V240" t="s">
        <v>7000</v>
      </c>
      <c r="W240" t="s">
        <v>1170</v>
      </c>
      <c r="X240">
        <v>0</v>
      </c>
      <c r="AA240" t="s">
        <v>7000</v>
      </c>
      <c r="AB240" t="s">
        <v>4741</v>
      </c>
      <c r="AC240" t="s">
        <v>7485</v>
      </c>
      <c r="AF240" t="s">
        <v>7000</v>
      </c>
      <c r="AG240" t="s">
        <v>4741</v>
      </c>
      <c r="AH240" t="s">
        <v>7485</v>
      </c>
      <c r="AK240" t="s">
        <v>7000</v>
      </c>
      <c r="AL240" t="s">
        <v>4741</v>
      </c>
      <c r="AM240">
        <v>15</v>
      </c>
    </row>
    <row r="241" spans="2:39" x14ac:dyDescent="0.3">
      <c r="B241" t="s">
        <v>7000</v>
      </c>
      <c r="C241" t="s">
        <v>4751</v>
      </c>
      <c r="D241" t="s">
        <v>7485</v>
      </c>
      <c r="G241" t="s">
        <v>7000</v>
      </c>
      <c r="H241" t="s">
        <v>4751</v>
      </c>
      <c r="I241">
        <v>0</v>
      </c>
      <c r="L241" t="s">
        <v>7000</v>
      </c>
      <c r="M241" t="s">
        <v>4751</v>
      </c>
      <c r="N241" t="s">
        <v>7485</v>
      </c>
      <c r="Q241" t="s">
        <v>7000</v>
      </c>
      <c r="R241" t="s">
        <v>4751</v>
      </c>
      <c r="S241" t="s">
        <v>7485</v>
      </c>
      <c r="V241" t="s">
        <v>7000</v>
      </c>
      <c r="W241" t="s">
        <v>1203</v>
      </c>
      <c r="X241" t="s">
        <v>7485</v>
      </c>
      <c r="AA241" t="s">
        <v>7000</v>
      </c>
      <c r="AB241" t="s">
        <v>4751</v>
      </c>
      <c r="AC241" t="s">
        <v>7485</v>
      </c>
      <c r="AF241" t="s">
        <v>7000</v>
      </c>
      <c r="AG241" t="s">
        <v>4751</v>
      </c>
      <c r="AH241" t="s">
        <v>7485</v>
      </c>
      <c r="AK241" t="s">
        <v>7000</v>
      </c>
      <c r="AL241" t="s">
        <v>4751</v>
      </c>
      <c r="AM241">
        <v>15</v>
      </c>
    </row>
    <row r="242" spans="2:39" x14ac:dyDescent="0.3">
      <c r="B242" t="s">
        <v>7000</v>
      </c>
      <c r="C242" t="s">
        <v>4782</v>
      </c>
      <c r="D242" t="s">
        <v>7485</v>
      </c>
      <c r="G242" t="s">
        <v>7000</v>
      </c>
      <c r="H242" t="s">
        <v>4782</v>
      </c>
      <c r="I242">
        <v>0</v>
      </c>
      <c r="L242" t="s">
        <v>7000</v>
      </c>
      <c r="M242" t="s">
        <v>4782</v>
      </c>
      <c r="N242" t="s">
        <v>7485</v>
      </c>
      <c r="Q242" t="s">
        <v>7000</v>
      </c>
      <c r="R242" t="s">
        <v>4782</v>
      </c>
      <c r="S242" t="s">
        <v>7485</v>
      </c>
      <c r="V242" t="s">
        <v>7000</v>
      </c>
      <c r="W242" t="s">
        <v>1292</v>
      </c>
      <c r="X242">
        <v>128.65</v>
      </c>
      <c r="AA242" t="s">
        <v>7000</v>
      </c>
      <c r="AB242" t="s">
        <v>4782</v>
      </c>
      <c r="AC242" t="s">
        <v>7485</v>
      </c>
      <c r="AF242" t="s">
        <v>7000</v>
      </c>
      <c r="AG242" t="s">
        <v>4782</v>
      </c>
      <c r="AH242" t="s">
        <v>7485</v>
      </c>
      <c r="AK242" t="s">
        <v>7000</v>
      </c>
      <c r="AL242" t="s">
        <v>4782</v>
      </c>
      <c r="AM242">
        <v>15</v>
      </c>
    </row>
    <row r="243" spans="2:39" x14ac:dyDescent="0.3">
      <c r="B243" t="s">
        <v>7002</v>
      </c>
      <c r="C243" t="s">
        <v>4797</v>
      </c>
      <c r="D243">
        <v>300</v>
      </c>
      <c r="G243" t="s">
        <v>7002</v>
      </c>
      <c r="H243" t="s">
        <v>4797</v>
      </c>
      <c r="I243">
        <v>0</v>
      </c>
      <c r="L243" t="s">
        <v>7002</v>
      </c>
      <c r="M243" t="s">
        <v>4797</v>
      </c>
      <c r="N243" t="s">
        <v>7485</v>
      </c>
      <c r="Q243" t="s">
        <v>7002</v>
      </c>
      <c r="R243" t="s">
        <v>4797</v>
      </c>
      <c r="S243" t="s">
        <v>7485</v>
      </c>
      <c r="V243" t="s">
        <v>7000</v>
      </c>
      <c r="W243" t="s">
        <v>1390</v>
      </c>
      <c r="X243" t="s">
        <v>7485</v>
      </c>
      <c r="AA243" t="s">
        <v>7002</v>
      </c>
      <c r="AB243" t="s">
        <v>4797</v>
      </c>
      <c r="AC243" t="s">
        <v>7485</v>
      </c>
      <c r="AF243" t="s">
        <v>7002</v>
      </c>
      <c r="AG243" t="s">
        <v>4797</v>
      </c>
      <c r="AH243" t="s">
        <v>7485</v>
      </c>
      <c r="AK243" t="s">
        <v>7002</v>
      </c>
      <c r="AL243" t="s">
        <v>4797</v>
      </c>
      <c r="AM243">
        <v>15</v>
      </c>
    </row>
    <row r="244" spans="2:39" x14ac:dyDescent="0.3">
      <c r="B244" t="s">
        <v>7000</v>
      </c>
      <c r="C244" t="s">
        <v>4821</v>
      </c>
      <c r="D244" t="s">
        <v>7485</v>
      </c>
      <c r="G244" t="s">
        <v>7000</v>
      </c>
      <c r="H244" t="s">
        <v>4821</v>
      </c>
      <c r="I244">
        <v>0</v>
      </c>
      <c r="L244" t="s">
        <v>7000</v>
      </c>
      <c r="M244" t="s">
        <v>4821</v>
      </c>
      <c r="N244" t="s">
        <v>7485</v>
      </c>
      <c r="Q244" t="s">
        <v>7000</v>
      </c>
      <c r="R244" t="s">
        <v>4821</v>
      </c>
      <c r="S244">
        <v>64</v>
      </c>
      <c r="V244" t="s">
        <v>7000</v>
      </c>
      <c r="W244" t="s">
        <v>1408</v>
      </c>
      <c r="X244" t="s">
        <v>7485</v>
      </c>
      <c r="AA244" t="s">
        <v>7000</v>
      </c>
      <c r="AB244" t="s">
        <v>4821</v>
      </c>
      <c r="AC244" t="s">
        <v>7485</v>
      </c>
      <c r="AF244" t="s">
        <v>7000</v>
      </c>
      <c r="AG244" t="s">
        <v>4821</v>
      </c>
      <c r="AH244" t="s">
        <v>7485</v>
      </c>
      <c r="AK244" t="s">
        <v>7000</v>
      </c>
      <c r="AL244" t="s">
        <v>4821</v>
      </c>
      <c r="AM244">
        <v>15</v>
      </c>
    </row>
    <row r="245" spans="2:39" x14ac:dyDescent="0.3">
      <c r="B245" t="s">
        <v>7002</v>
      </c>
      <c r="C245" t="s">
        <v>4875</v>
      </c>
      <c r="D245">
        <v>300</v>
      </c>
      <c r="G245" t="s">
        <v>7002</v>
      </c>
      <c r="H245" t="s">
        <v>4875</v>
      </c>
      <c r="I245">
        <v>218.798</v>
      </c>
      <c r="L245" t="s">
        <v>7002</v>
      </c>
      <c r="M245" t="s">
        <v>4875</v>
      </c>
      <c r="N245" t="s">
        <v>7485</v>
      </c>
      <c r="Q245" t="s">
        <v>7002</v>
      </c>
      <c r="R245" t="s">
        <v>4875</v>
      </c>
      <c r="S245" t="s">
        <v>7485</v>
      </c>
      <c r="V245" t="s">
        <v>7000</v>
      </c>
      <c r="W245" t="s">
        <v>1418</v>
      </c>
      <c r="X245" t="s">
        <v>7485</v>
      </c>
      <c r="AA245" t="s">
        <v>7002</v>
      </c>
      <c r="AB245" t="s">
        <v>4875</v>
      </c>
      <c r="AC245" t="s">
        <v>7485</v>
      </c>
      <c r="AF245" t="s">
        <v>7002</v>
      </c>
      <c r="AG245" t="s">
        <v>4875</v>
      </c>
      <c r="AH245" t="s">
        <v>7485</v>
      </c>
      <c r="AK245" t="s">
        <v>7002</v>
      </c>
      <c r="AL245" t="s">
        <v>4875</v>
      </c>
      <c r="AM245">
        <v>15</v>
      </c>
    </row>
    <row r="246" spans="2:39" x14ac:dyDescent="0.3">
      <c r="B246" t="s">
        <v>7000</v>
      </c>
      <c r="C246" t="s">
        <v>4879</v>
      </c>
      <c r="D246" t="s">
        <v>7485</v>
      </c>
      <c r="G246" t="s">
        <v>7000</v>
      </c>
      <c r="H246" t="s">
        <v>4879</v>
      </c>
      <c r="I246">
        <v>0</v>
      </c>
      <c r="L246" t="s">
        <v>7000</v>
      </c>
      <c r="M246" t="s">
        <v>4879</v>
      </c>
      <c r="N246" t="s">
        <v>7485</v>
      </c>
      <c r="Q246" t="s">
        <v>7000</v>
      </c>
      <c r="R246" t="s">
        <v>4879</v>
      </c>
      <c r="S246" t="s">
        <v>7485</v>
      </c>
      <c r="V246" t="s">
        <v>7000</v>
      </c>
      <c r="W246" t="s">
        <v>1450</v>
      </c>
      <c r="X246">
        <v>0</v>
      </c>
      <c r="AA246" t="s">
        <v>7000</v>
      </c>
      <c r="AB246" t="s">
        <v>4879</v>
      </c>
      <c r="AC246" t="s">
        <v>7485</v>
      </c>
      <c r="AF246" t="s">
        <v>7000</v>
      </c>
      <c r="AG246" t="s">
        <v>4879</v>
      </c>
      <c r="AH246" t="s">
        <v>7485</v>
      </c>
      <c r="AK246" t="s">
        <v>7000</v>
      </c>
      <c r="AL246" t="s">
        <v>4879</v>
      </c>
      <c r="AM246">
        <v>14</v>
      </c>
    </row>
    <row r="247" spans="2:39" x14ac:dyDescent="0.3">
      <c r="B247" t="s">
        <v>7002</v>
      </c>
      <c r="C247" t="s">
        <v>4896</v>
      </c>
      <c r="D247" t="s">
        <v>7485</v>
      </c>
      <c r="G247" t="s">
        <v>7002</v>
      </c>
      <c r="H247" t="s">
        <v>4896</v>
      </c>
      <c r="I247">
        <v>0</v>
      </c>
      <c r="L247" t="s">
        <v>7002</v>
      </c>
      <c r="M247" t="s">
        <v>4896</v>
      </c>
      <c r="N247" t="s">
        <v>7485</v>
      </c>
      <c r="Q247" t="s">
        <v>7002</v>
      </c>
      <c r="R247" t="s">
        <v>4896</v>
      </c>
      <c r="S247">
        <v>30</v>
      </c>
      <c r="V247" t="s">
        <v>7000</v>
      </c>
      <c r="W247" t="s">
        <v>1465</v>
      </c>
      <c r="X247" t="s">
        <v>7485</v>
      </c>
      <c r="AA247" t="s">
        <v>7002</v>
      </c>
      <c r="AB247" t="s">
        <v>4896</v>
      </c>
      <c r="AC247" t="s">
        <v>7485</v>
      </c>
      <c r="AF247" t="s">
        <v>7002</v>
      </c>
      <c r="AG247" t="s">
        <v>4896</v>
      </c>
      <c r="AH247" t="s">
        <v>7485</v>
      </c>
      <c r="AK247" t="s">
        <v>7002</v>
      </c>
      <c r="AL247" t="s">
        <v>4896</v>
      </c>
      <c r="AM247">
        <v>15</v>
      </c>
    </row>
    <row r="248" spans="2:39" x14ac:dyDescent="0.3">
      <c r="B248" t="s">
        <v>7000</v>
      </c>
      <c r="C248" t="s">
        <v>4914</v>
      </c>
      <c r="D248" t="s">
        <v>7485</v>
      </c>
      <c r="G248" t="s">
        <v>7000</v>
      </c>
      <c r="H248" t="s">
        <v>4914</v>
      </c>
      <c r="I248">
        <v>0</v>
      </c>
      <c r="L248" t="s">
        <v>7000</v>
      </c>
      <c r="M248" t="s">
        <v>4914</v>
      </c>
      <c r="N248" t="s">
        <v>7485</v>
      </c>
      <c r="Q248" t="s">
        <v>7000</v>
      </c>
      <c r="R248" t="s">
        <v>4914</v>
      </c>
      <c r="S248">
        <v>66.666666666666657</v>
      </c>
      <c r="V248" t="s">
        <v>7000</v>
      </c>
      <c r="W248" t="s">
        <v>1524</v>
      </c>
      <c r="X248">
        <v>42.36</v>
      </c>
      <c r="AA248" t="s">
        <v>7000</v>
      </c>
      <c r="AB248" t="s">
        <v>4914</v>
      </c>
      <c r="AC248">
        <v>0</v>
      </c>
      <c r="AF248" t="s">
        <v>7000</v>
      </c>
      <c r="AG248" t="s">
        <v>4914</v>
      </c>
      <c r="AH248">
        <v>0</v>
      </c>
      <c r="AK248" t="s">
        <v>7000</v>
      </c>
      <c r="AL248" t="s">
        <v>4914</v>
      </c>
      <c r="AM248">
        <v>15</v>
      </c>
    </row>
    <row r="249" spans="2:39" x14ac:dyDescent="0.3">
      <c r="B249" t="s">
        <v>7002</v>
      </c>
      <c r="C249" t="s">
        <v>4956</v>
      </c>
      <c r="D249" t="s">
        <v>7485</v>
      </c>
      <c r="G249" t="s">
        <v>7002</v>
      </c>
      <c r="H249" t="s">
        <v>4956</v>
      </c>
      <c r="I249">
        <v>14.116</v>
      </c>
      <c r="L249" t="s">
        <v>7002</v>
      </c>
      <c r="M249" t="s">
        <v>4956</v>
      </c>
      <c r="N249" t="s">
        <v>7485</v>
      </c>
      <c r="Q249" t="s">
        <v>7002</v>
      </c>
      <c r="R249" t="s">
        <v>4956</v>
      </c>
      <c r="S249" t="s">
        <v>7485</v>
      </c>
      <c r="V249" t="s">
        <v>7000</v>
      </c>
      <c r="W249" t="s">
        <v>1569</v>
      </c>
      <c r="X249">
        <v>0</v>
      </c>
      <c r="AA249" t="s">
        <v>7002</v>
      </c>
      <c r="AB249" t="s">
        <v>4956</v>
      </c>
      <c r="AC249" t="s">
        <v>7485</v>
      </c>
      <c r="AF249" t="s">
        <v>7002</v>
      </c>
      <c r="AG249" t="s">
        <v>4956</v>
      </c>
      <c r="AH249" t="s">
        <v>7485</v>
      </c>
      <c r="AK249" t="s">
        <v>7002</v>
      </c>
      <c r="AL249" t="s">
        <v>4956</v>
      </c>
      <c r="AM249">
        <v>15</v>
      </c>
    </row>
    <row r="250" spans="2:39" x14ac:dyDescent="0.3">
      <c r="B250" t="s">
        <v>7001</v>
      </c>
      <c r="C250" t="s">
        <v>4973</v>
      </c>
      <c r="D250">
        <v>130</v>
      </c>
      <c r="G250" t="s">
        <v>7001</v>
      </c>
      <c r="H250" t="s">
        <v>4973</v>
      </c>
      <c r="I250">
        <v>91.753999999999991</v>
      </c>
      <c r="L250" t="s">
        <v>7001</v>
      </c>
      <c r="M250" t="s">
        <v>4973</v>
      </c>
      <c r="N250" t="s">
        <v>7485</v>
      </c>
      <c r="Q250" t="s">
        <v>7001</v>
      </c>
      <c r="R250" t="s">
        <v>4973</v>
      </c>
      <c r="S250" t="s">
        <v>7485</v>
      </c>
      <c r="V250" t="s">
        <v>7000</v>
      </c>
      <c r="W250" t="s">
        <v>1613</v>
      </c>
      <c r="X250" t="s">
        <v>7485</v>
      </c>
      <c r="AA250" t="s">
        <v>7001</v>
      </c>
      <c r="AB250" t="s">
        <v>4973</v>
      </c>
      <c r="AC250" t="s">
        <v>7485</v>
      </c>
      <c r="AF250" t="s">
        <v>7001</v>
      </c>
      <c r="AG250" t="s">
        <v>4973</v>
      </c>
      <c r="AH250" t="s">
        <v>7485</v>
      </c>
      <c r="AK250" t="s">
        <v>7001</v>
      </c>
      <c r="AL250" t="s">
        <v>4973</v>
      </c>
      <c r="AM250">
        <v>15</v>
      </c>
    </row>
    <row r="251" spans="2:39" x14ac:dyDescent="0.3">
      <c r="B251" t="s">
        <v>7000</v>
      </c>
      <c r="C251" t="s">
        <v>5021</v>
      </c>
      <c r="D251">
        <v>300</v>
      </c>
      <c r="G251" t="s">
        <v>7000</v>
      </c>
      <c r="H251" t="s">
        <v>5021</v>
      </c>
      <c r="I251">
        <v>218.798</v>
      </c>
      <c r="L251" t="s">
        <v>7000</v>
      </c>
      <c r="M251" t="s">
        <v>5021</v>
      </c>
      <c r="N251" t="s">
        <v>7485</v>
      </c>
      <c r="Q251" t="s">
        <v>7000</v>
      </c>
      <c r="R251" t="s">
        <v>5021</v>
      </c>
      <c r="S251" t="s">
        <v>7485</v>
      </c>
      <c r="V251" t="s">
        <v>7000</v>
      </c>
      <c r="W251" t="s">
        <v>1634</v>
      </c>
      <c r="X251" t="s">
        <v>7485</v>
      </c>
      <c r="AA251" t="s">
        <v>7000</v>
      </c>
      <c r="AB251" t="s">
        <v>5021</v>
      </c>
      <c r="AC251" t="s">
        <v>7485</v>
      </c>
      <c r="AF251" t="s">
        <v>7000</v>
      </c>
      <c r="AG251" t="s">
        <v>5021</v>
      </c>
      <c r="AH251" t="s">
        <v>7485</v>
      </c>
      <c r="AK251" t="s">
        <v>7000</v>
      </c>
      <c r="AL251" t="s">
        <v>5021</v>
      </c>
      <c r="AM251">
        <v>15</v>
      </c>
    </row>
    <row r="252" spans="2:39" x14ac:dyDescent="0.3">
      <c r="B252" t="s">
        <v>7000</v>
      </c>
      <c r="C252" t="s">
        <v>5064</v>
      </c>
      <c r="D252">
        <v>300</v>
      </c>
      <c r="G252" t="s">
        <v>7000</v>
      </c>
      <c r="H252" t="s">
        <v>5064</v>
      </c>
      <c r="I252">
        <v>0</v>
      </c>
      <c r="L252" t="s">
        <v>7000</v>
      </c>
      <c r="M252" t="s">
        <v>5064</v>
      </c>
      <c r="N252" t="s">
        <v>7485</v>
      </c>
      <c r="Q252" t="s">
        <v>7000</v>
      </c>
      <c r="R252" t="s">
        <v>5064</v>
      </c>
      <c r="S252" t="s">
        <v>7485</v>
      </c>
      <c r="V252" t="s">
        <v>7000</v>
      </c>
      <c r="W252" t="s">
        <v>1652</v>
      </c>
      <c r="X252" t="s">
        <v>7485</v>
      </c>
      <c r="AA252" t="s">
        <v>7000</v>
      </c>
      <c r="AB252" t="s">
        <v>5064</v>
      </c>
      <c r="AC252" t="s">
        <v>7485</v>
      </c>
      <c r="AF252" t="s">
        <v>7000</v>
      </c>
      <c r="AG252" t="s">
        <v>5064</v>
      </c>
      <c r="AH252" t="s">
        <v>7485</v>
      </c>
      <c r="AK252" t="s">
        <v>7000</v>
      </c>
      <c r="AL252" t="s">
        <v>5064</v>
      </c>
      <c r="AM252">
        <v>17</v>
      </c>
    </row>
    <row r="253" spans="2:39" x14ac:dyDescent="0.3">
      <c r="B253" t="s">
        <v>7002</v>
      </c>
      <c r="C253" t="s">
        <v>5082</v>
      </c>
      <c r="D253" t="s">
        <v>7485</v>
      </c>
      <c r="G253" t="s">
        <v>7002</v>
      </c>
      <c r="H253" t="s">
        <v>5082</v>
      </c>
      <c r="I253">
        <v>218.798</v>
      </c>
      <c r="L253" t="s">
        <v>7002</v>
      </c>
      <c r="M253" t="s">
        <v>5082</v>
      </c>
      <c r="N253" t="s">
        <v>7485</v>
      </c>
      <c r="Q253" t="s">
        <v>7002</v>
      </c>
      <c r="R253" t="s">
        <v>5082</v>
      </c>
      <c r="S253" t="s">
        <v>7485</v>
      </c>
      <c r="V253" t="s">
        <v>7000</v>
      </c>
      <c r="W253" t="s">
        <v>1656</v>
      </c>
      <c r="X253" t="s">
        <v>7485</v>
      </c>
      <c r="AA253" t="s">
        <v>7002</v>
      </c>
      <c r="AB253" t="s">
        <v>5082</v>
      </c>
      <c r="AC253">
        <v>0</v>
      </c>
      <c r="AF253" t="s">
        <v>7002</v>
      </c>
      <c r="AG253" t="s">
        <v>5082</v>
      </c>
      <c r="AH253">
        <v>21.74</v>
      </c>
      <c r="AK253" t="s">
        <v>7002</v>
      </c>
      <c r="AL253" t="s">
        <v>5082</v>
      </c>
      <c r="AM253">
        <v>15</v>
      </c>
    </row>
    <row r="254" spans="2:39" x14ac:dyDescent="0.3">
      <c r="B254" t="s">
        <v>7002</v>
      </c>
      <c r="C254" t="s">
        <v>5103</v>
      </c>
      <c r="D254" t="s">
        <v>7485</v>
      </c>
      <c r="G254" t="s">
        <v>7002</v>
      </c>
      <c r="H254" t="s">
        <v>5103</v>
      </c>
      <c r="I254">
        <v>0</v>
      </c>
      <c r="L254" t="s">
        <v>7002</v>
      </c>
      <c r="M254" t="s">
        <v>5103</v>
      </c>
      <c r="N254" t="s">
        <v>7485</v>
      </c>
      <c r="Q254" t="s">
        <v>7002</v>
      </c>
      <c r="R254" t="s">
        <v>5103</v>
      </c>
      <c r="S254">
        <v>55</v>
      </c>
      <c r="V254" t="s">
        <v>7000</v>
      </c>
      <c r="W254" t="s">
        <v>1664</v>
      </c>
      <c r="X254" t="s">
        <v>7485</v>
      </c>
      <c r="AA254" t="s">
        <v>7002</v>
      </c>
      <c r="AB254" t="s">
        <v>5103</v>
      </c>
      <c r="AC254" t="s">
        <v>7485</v>
      </c>
      <c r="AF254" t="s">
        <v>7002</v>
      </c>
      <c r="AG254" t="s">
        <v>5103</v>
      </c>
      <c r="AH254" t="s">
        <v>7485</v>
      </c>
      <c r="AK254" t="s">
        <v>7002</v>
      </c>
      <c r="AL254" t="s">
        <v>5103</v>
      </c>
      <c r="AM254">
        <v>15</v>
      </c>
    </row>
    <row r="255" spans="2:39" x14ac:dyDescent="0.3">
      <c r="B255" t="s">
        <v>6999</v>
      </c>
      <c r="C255" t="s">
        <v>5107</v>
      </c>
      <c r="D255" t="s">
        <v>7485</v>
      </c>
      <c r="G255" t="s">
        <v>6999</v>
      </c>
      <c r="H255" t="s">
        <v>5107</v>
      </c>
      <c r="I255">
        <v>0</v>
      </c>
      <c r="L255" t="s">
        <v>6999</v>
      </c>
      <c r="M255" t="s">
        <v>5107</v>
      </c>
      <c r="N255" t="s">
        <v>7485</v>
      </c>
      <c r="Q255" t="s">
        <v>6999</v>
      </c>
      <c r="R255" t="s">
        <v>5107</v>
      </c>
      <c r="S255" t="s">
        <v>7485</v>
      </c>
      <c r="V255" t="s">
        <v>7000</v>
      </c>
      <c r="W255" t="s">
        <v>1671</v>
      </c>
      <c r="X255" t="s">
        <v>7485</v>
      </c>
      <c r="AA255" t="s">
        <v>6999</v>
      </c>
      <c r="AB255" t="s">
        <v>5107</v>
      </c>
      <c r="AC255" t="s">
        <v>7485</v>
      </c>
      <c r="AF255" t="s">
        <v>6999</v>
      </c>
      <c r="AG255" t="s">
        <v>5107</v>
      </c>
      <c r="AH255" t="s">
        <v>7485</v>
      </c>
      <c r="AK255" t="s">
        <v>6999</v>
      </c>
      <c r="AL255" t="s">
        <v>5107</v>
      </c>
      <c r="AM255">
        <v>14</v>
      </c>
    </row>
    <row r="256" spans="2:39" x14ac:dyDescent="0.3">
      <c r="B256" t="s">
        <v>7000</v>
      </c>
      <c r="C256" t="s">
        <v>5127</v>
      </c>
      <c r="D256" t="s">
        <v>7485</v>
      </c>
      <c r="G256" t="s">
        <v>7000</v>
      </c>
      <c r="H256" t="s">
        <v>5127</v>
      </c>
      <c r="I256">
        <v>0</v>
      </c>
      <c r="L256" t="s">
        <v>7000</v>
      </c>
      <c r="M256" t="s">
        <v>5127</v>
      </c>
      <c r="N256" t="s">
        <v>7485</v>
      </c>
      <c r="Q256" t="s">
        <v>7000</v>
      </c>
      <c r="R256" t="s">
        <v>5127</v>
      </c>
      <c r="S256">
        <v>64</v>
      </c>
      <c r="V256" t="s">
        <v>7000</v>
      </c>
      <c r="W256" t="s">
        <v>1679</v>
      </c>
      <c r="X256" t="s">
        <v>7485</v>
      </c>
      <c r="AA256" t="s">
        <v>7000</v>
      </c>
      <c r="AB256" t="s">
        <v>5127</v>
      </c>
      <c r="AC256" t="s">
        <v>7485</v>
      </c>
      <c r="AF256" t="s">
        <v>7000</v>
      </c>
      <c r="AG256" t="s">
        <v>5127</v>
      </c>
      <c r="AH256" t="s">
        <v>7485</v>
      </c>
      <c r="AK256" t="s">
        <v>7000</v>
      </c>
      <c r="AL256" t="s">
        <v>5127</v>
      </c>
      <c r="AM256">
        <v>15</v>
      </c>
    </row>
    <row r="257" spans="2:39" x14ac:dyDescent="0.3">
      <c r="B257" t="s">
        <v>7000</v>
      </c>
      <c r="C257" t="s">
        <v>5153</v>
      </c>
      <c r="D257">
        <v>300</v>
      </c>
      <c r="G257" t="s">
        <v>7000</v>
      </c>
      <c r="H257" t="s">
        <v>5153</v>
      </c>
      <c r="I257">
        <v>0</v>
      </c>
      <c r="L257" t="s">
        <v>7000</v>
      </c>
      <c r="M257" t="s">
        <v>5153</v>
      </c>
      <c r="N257" t="s">
        <v>7485</v>
      </c>
      <c r="Q257" t="s">
        <v>7000</v>
      </c>
      <c r="R257" t="s">
        <v>5153</v>
      </c>
      <c r="S257" t="s">
        <v>7485</v>
      </c>
      <c r="V257" t="s">
        <v>7000</v>
      </c>
      <c r="W257" t="s">
        <v>1721</v>
      </c>
      <c r="X257" t="s">
        <v>7485</v>
      </c>
      <c r="AA257" t="s">
        <v>7000</v>
      </c>
      <c r="AB257" t="s">
        <v>5153</v>
      </c>
      <c r="AC257" t="s">
        <v>7485</v>
      </c>
      <c r="AF257" t="s">
        <v>7000</v>
      </c>
      <c r="AG257" t="s">
        <v>5153</v>
      </c>
      <c r="AH257" t="s">
        <v>7485</v>
      </c>
      <c r="AK257" t="s">
        <v>7000</v>
      </c>
      <c r="AL257" t="s">
        <v>5153</v>
      </c>
      <c r="AM257">
        <v>13</v>
      </c>
    </row>
    <row r="258" spans="2:39" x14ac:dyDescent="0.3">
      <c r="B258" t="s">
        <v>7000</v>
      </c>
      <c r="C258" t="s">
        <v>5166</v>
      </c>
      <c r="D258">
        <v>300</v>
      </c>
      <c r="G258" t="s">
        <v>7000</v>
      </c>
      <c r="H258" t="s">
        <v>5166</v>
      </c>
      <c r="I258">
        <v>218.798</v>
      </c>
      <c r="L258" t="s">
        <v>7000</v>
      </c>
      <c r="M258" t="s">
        <v>5166</v>
      </c>
      <c r="N258" t="s">
        <v>7485</v>
      </c>
      <c r="Q258" t="s">
        <v>7000</v>
      </c>
      <c r="R258" t="s">
        <v>5166</v>
      </c>
      <c r="S258" t="s">
        <v>7485</v>
      </c>
      <c r="V258" t="s">
        <v>7000</v>
      </c>
      <c r="W258" t="s">
        <v>1767</v>
      </c>
      <c r="X258" t="s">
        <v>7485</v>
      </c>
      <c r="AA258" t="s">
        <v>7000</v>
      </c>
      <c r="AB258" t="s">
        <v>5166</v>
      </c>
      <c r="AC258" t="s">
        <v>7485</v>
      </c>
      <c r="AF258" t="s">
        <v>7000</v>
      </c>
      <c r="AG258" t="s">
        <v>5166</v>
      </c>
      <c r="AH258" t="s">
        <v>7485</v>
      </c>
      <c r="AK258" t="s">
        <v>7000</v>
      </c>
      <c r="AL258" t="s">
        <v>5166</v>
      </c>
      <c r="AM258">
        <v>16</v>
      </c>
    </row>
    <row r="259" spans="2:39" x14ac:dyDescent="0.3">
      <c r="B259" t="s">
        <v>7002</v>
      </c>
      <c r="C259" t="s">
        <v>5212</v>
      </c>
      <c r="D259" t="s">
        <v>7485</v>
      </c>
      <c r="G259" t="s">
        <v>7002</v>
      </c>
      <c r="H259" t="s">
        <v>5212</v>
      </c>
      <c r="I259">
        <v>91.753999999999991</v>
      </c>
      <c r="L259" t="s">
        <v>7002</v>
      </c>
      <c r="M259" t="s">
        <v>5212</v>
      </c>
      <c r="N259" t="s">
        <v>7485</v>
      </c>
      <c r="Q259" t="s">
        <v>7002</v>
      </c>
      <c r="R259" t="s">
        <v>5212</v>
      </c>
      <c r="S259" t="s">
        <v>7485</v>
      </c>
      <c r="V259" t="s">
        <v>7000</v>
      </c>
      <c r="W259" t="s">
        <v>1905</v>
      </c>
      <c r="X259" t="s">
        <v>7485</v>
      </c>
      <c r="AA259" t="s">
        <v>7002</v>
      </c>
      <c r="AB259" t="s">
        <v>5212</v>
      </c>
      <c r="AC259" t="s">
        <v>7485</v>
      </c>
      <c r="AF259" t="s">
        <v>7002</v>
      </c>
      <c r="AG259" t="s">
        <v>5212</v>
      </c>
      <c r="AH259" t="s">
        <v>7485</v>
      </c>
      <c r="AK259" t="s">
        <v>7002</v>
      </c>
      <c r="AL259" t="s">
        <v>5212</v>
      </c>
      <c r="AM259">
        <v>12</v>
      </c>
    </row>
    <row r="260" spans="2:39" x14ac:dyDescent="0.3">
      <c r="B260" t="s">
        <v>7002</v>
      </c>
      <c r="C260" t="s">
        <v>5220</v>
      </c>
      <c r="D260" t="s">
        <v>7485</v>
      </c>
      <c r="G260" t="s">
        <v>7002</v>
      </c>
      <c r="H260" t="s">
        <v>5220</v>
      </c>
      <c r="I260">
        <v>42.347999999999999</v>
      </c>
      <c r="L260" t="s">
        <v>7002</v>
      </c>
      <c r="M260" t="s">
        <v>5220</v>
      </c>
      <c r="N260" t="s">
        <v>7485</v>
      </c>
      <c r="Q260" t="s">
        <v>7002</v>
      </c>
      <c r="R260" t="s">
        <v>5220</v>
      </c>
      <c r="S260" t="s">
        <v>7485</v>
      </c>
      <c r="V260" t="s">
        <v>7000</v>
      </c>
      <c r="W260" t="s">
        <v>1974</v>
      </c>
      <c r="X260" t="s">
        <v>7485</v>
      </c>
      <c r="AA260" t="s">
        <v>7002</v>
      </c>
      <c r="AB260" t="s">
        <v>5220</v>
      </c>
      <c r="AC260" t="s">
        <v>7485</v>
      </c>
      <c r="AF260" t="s">
        <v>7002</v>
      </c>
      <c r="AG260" t="s">
        <v>5220</v>
      </c>
      <c r="AH260" t="s">
        <v>7485</v>
      </c>
      <c r="AK260" t="s">
        <v>7002</v>
      </c>
      <c r="AL260" t="s">
        <v>5220</v>
      </c>
      <c r="AM260">
        <v>15</v>
      </c>
    </row>
    <row r="261" spans="2:39" x14ac:dyDescent="0.3">
      <c r="B261" t="s">
        <v>7002</v>
      </c>
      <c r="C261" t="s">
        <v>5244</v>
      </c>
      <c r="D261" t="s">
        <v>7485</v>
      </c>
      <c r="G261" t="s">
        <v>7002</v>
      </c>
      <c r="H261" t="s">
        <v>5244</v>
      </c>
      <c r="I261">
        <v>183.50799999999998</v>
      </c>
      <c r="L261" t="s">
        <v>7002</v>
      </c>
      <c r="M261" t="s">
        <v>5244</v>
      </c>
      <c r="N261" t="s">
        <v>7485</v>
      </c>
      <c r="Q261" t="s">
        <v>7002</v>
      </c>
      <c r="R261" t="s">
        <v>5244</v>
      </c>
      <c r="S261" t="s">
        <v>7485</v>
      </c>
      <c r="V261" t="s">
        <v>7000</v>
      </c>
      <c r="W261" t="s">
        <v>2014</v>
      </c>
      <c r="X261" t="s">
        <v>7485</v>
      </c>
      <c r="AA261" t="s">
        <v>7002</v>
      </c>
      <c r="AB261" t="s">
        <v>5244</v>
      </c>
      <c r="AC261">
        <v>0</v>
      </c>
      <c r="AF261" t="s">
        <v>7002</v>
      </c>
      <c r="AG261" t="s">
        <v>5244</v>
      </c>
      <c r="AH261">
        <v>21.74</v>
      </c>
      <c r="AK261" t="s">
        <v>7002</v>
      </c>
      <c r="AL261" t="s">
        <v>5244</v>
      </c>
      <c r="AM261">
        <v>14</v>
      </c>
    </row>
    <row r="262" spans="2:39" x14ac:dyDescent="0.3">
      <c r="B262" t="s">
        <v>7000</v>
      </c>
      <c r="C262" t="s">
        <v>5279</v>
      </c>
      <c r="D262" t="s">
        <v>7485</v>
      </c>
      <c r="G262" t="s">
        <v>7000</v>
      </c>
      <c r="H262" t="s">
        <v>5279</v>
      </c>
      <c r="I262">
        <v>0</v>
      </c>
      <c r="L262" t="s">
        <v>7000</v>
      </c>
      <c r="M262" t="s">
        <v>5279</v>
      </c>
      <c r="N262" t="s">
        <v>7485</v>
      </c>
      <c r="Q262" t="s">
        <v>7000</v>
      </c>
      <c r="R262" t="s">
        <v>5279</v>
      </c>
      <c r="S262">
        <v>81.111111111111114</v>
      </c>
      <c r="V262" t="s">
        <v>7000</v>
      </c>
      <c r="W262" t="s">
        <v>2123</v>
      </c>
      <c r="X262" t="s">
        <v>7485</v>
      </c>
      <c r="AA262" t="s">
        <v>7000</v>
      </c>
      <c r="AB262" t="s">
        <v>5279</v>
      </c>
      <c r="AC262" t="s">
        <v>7485</v>
      </c>
      <c r="AF262" t="s">
        <v>7000</v>
      </c>
      <c r="AG262" t="s">
        <v>5279</v>
      </c>
      <c r="AH262" t="s">
        <v>7485</v>
      </c>
      <c r="AK262" t="s">
        <v>7000</v>
      </c>
      <c r="AL262" t="s">
        <v>5279</v>
      </c>
      <c r="AM262">
        <v>14</v>
      </c>
    </row>
    <row r="263" spans="2:39" x14ac:dyDescent="0.3">
      <c r="B263" t="s">
        <v>7000</v>
      </c>
      <c r="C263" t="s">
        <v>5306</v>
      </c>
      <c r="D263" t="s">
        <v>7485</v>
      </c>
      <c r="G263" t="s">
        <v>7000</v>
      </c>
      <c r="H263" t="s">
        <v>5306</v>
      </c>
      <c r="I263">
        <v>0</v>
      </c>
      <c r="L263" t="s">
        <v>7000</v>
      </c>
      <c r="M263" t="s">
        <v>5306</v>
      </c>
      <c r="N263" t="s">
        <v>7485</v>
      </c>
      <c r="Q263" t="s">
        <v>7000</v>
      </c>
      <c r="R263" t="s">
        <v>5306</v>
      </c>
      <c r="S263" t="s">
        <v>7485</v>
      </c>
      <c r="V263" t="s">
        <v>7000</v>
      </c>
      <c r="W263" t="s">
        <v>2200</v>
      </c>
      <c r="X263">
        <v>0</v>
      </c>
      <c r="AA263" t="s">
        <v>7000</v>
      </c>
      <c r="AB263" t="s">
        <v>5306</v>
      </c>
      <c r="AC263" t="s">
        <v>7485</v>
      </c>
      <c r="AF263" t="s">
        <v>7000</v>
      </c>
      <c r="AG263" t="s">
        <v>5306</v>
      </c>
      <c r="AH263" t="s">
        <v>7485</v>
      </c>
      <c r="AK263" t="s">
        <v>7000</v>
      </c>
      <c r="AL263" t="s">
        <v>5306</v>
      </c>
      <c r="AM263">
        <v>15</v>
      </c>
    </row>
    <row r="264" spans="2:39" x14ac:dyDescent="0.3">
      <c r="B264" t="s">
        <v>6999</v>
      </c>
      <c r="C264" t="s">
        <v>5327</v>
      </c>
      <c r="G264" t="s">
        <v>6999</v>
      </c>
      <c r="H264" t="s">
        <v>5327</v>
      </c>
      <c r="I264">
        <v>211.74</v>
      </c>
      <c r="L264" t="s">
        <v>6999</v>
      </c>
      <c r="M264" t="s">
        <v>5327</v>
      </c>
      <c r="N264" t="s">
        <v>7485</v>
      </c>
      <c r="Q264" t="s">
        <v>6999</v>
      </c>
      <c r="R264" t="s">
        <v>5327</v>
      </c>
      <c r="S264" t="s">
        <v>7485</v>
      </c>
      <c r="V264" t="s">
        <v>7000</v>
      </c>
      <c r="W264" t="s">
        <v>2222</v>
      </c>
      <c r="X264" t="s">
        <v>7485</v>
      </c>
      <c r="AA264" t="s">
        <v>6999</v>
      </c>
      <c r="AB264" t="s">
        <v>5327</v>
      </c>
      <c r="AC264" t="s">
        <v>7485</v>
      </c>
      <c r="AF264" t="s">
        <v>6999</v>
      </c>
      <c r="AG264" t="s">
        <v>5327</v>
      </c>
      <c r="AH264" t="s">
        <v>7485</v>
      </c>
      <c r="AK264" t="s">
        <v>6999</v>
      </c>
      <c r="AL264" t="s">
        <v>5327</v>
      </c>
      <c r="AM264">
        <v>15</v>
      </c>
    </row>
    <row r="265" spans="2:39" x14ac:dyDescent="0.3">
      <c r="B265" t="s">
        <v>7002</v>
      </c>
      <c r="C265" t="s">
        <v>5349</v>
      </c>
      <c r="D265" t="s">
        <v>7485</v>
      </c>
      <c r="G265" t="s">
        <v>7002</v>
      </c>
      <c r="H265" t="s">
        <v>5349</v>
      </c>
      <c r="I265">
        <v>0</v>
      </c>
      <c r="L265" t="s">
        <v>7002</v>
      </c>
      <c r="M265" t="s">
        <v>5349</v>
      </c>
      <c r="N265" t="s">
        <v>7485</v>
      </c>
      <c r="Q265" t="s">
        <v>7002</v>
      </c>
      <c r="R265" t="s">
        <v>5349</v>
      </c>
      <c r="S265">
        <v>128.88888888888889</v>
      </c>
      <c r="V265" t="s">
        <v>7000</v>
      </c>
      <c r="W265" t="s">
        <v>2254</v>
      </c>
      <c r="X265" t="s">
        <v>7485</v>
      </c>
      <c r="Y265" t="s">
        <v>7486</v>
      </c>
      <c r="AA265" t="s">
        <v>7002</v>
      </c>
      <c r="AB265" t="s">
        <v>5349</v>
      </c>
      <c r="AC265" t="s">
        <v>7485</v>
      </c>
      <c r="AF265" t="s">
        <v>7002</v>
      </c>
      <c r="AG265" t="s">
        <v>5349</v>
      </c>
      <c r="AH265" t="s">
        <v>7485</v>
      </c>
      <c r="AK265" t="s">
        <v>7002</v>
      </c>
      <c r="AL265" t="s">
        <v>5349</v>
      </c>
      <c r="AM265">
        <v>15</v>
      </c>
    </row>
    <row r="266" spans="2:39" x14ac:dyDescent="0.3">
      <c r="B266" t="s">
        <v>7002</v>
      </c>
      <c r="C266" t="s">
        <v>5353</v>
      </c>
      <c r="D266" t="s">
        <v>7485</v>
      </c>
      <c r="G266" t="s">
        <v>7002</v>
      </c>
      <c r="H266" t="s">
        <v>5353</v>
      </c>
      <c r="I266">
        <v>0</v>
      </c>
      <c r="L266" t="s">
        <v>7002</v>
      </c>
      <c r="M266" t="s">
        <v>5353</v>
      </c>
      <c r="N266">
        <v>200</v>
      </c>
      <c r="Q266" t="s">
        <v>7002</v>
      </c>
      <c r="R266" t="s">
        <v>5353</v>
      </c>
      <c r="S266" t="s">
        <v>7485</v>
      </c>
      <c r="V266" t="s">
        <v>7000</v>
      </c>
      <c r="W266" t="s">
        <v>2284</v>
      </c>
      <c r="X266" t="s">
        <v>7485</v>
      </c>
      <c r="AA266" t="s">
        <v>7002</v>
      </c>
      <c r="AB266" t="s">
        <v>5353</v>
      </c>
      <c r="AC266" t="s">
        <v>7485</v>
      </c>
      <c r="AF266" t="s">
        <v>7002</v>
      </c>
      <c r="AG266" t="s">
        <v>5353</v>
      </c>
      <c r="AH266" t="s">
        <v>7485</v>
      </c>
      <c r="AK266" t="s">
        <v>7002</v>
      </c>
      <c r="AL266" t="s">
        <v>5353</v>
      </c>
      <c r="AM266">
        <v>18</v>
      </c>
    </row>
    <row r="267" spans="2:39" x14ac:dyDescent="0.3">
      <c r="B267" t="s">
        <v>7002</v>
      </c>
      <c r="C267" t="s">
        <v>5377</v>
      </c>
      <c r="D267" t="s">
        <v>7485</v>
      </c>
      <c r="G267" t="s">
        <v>7002</v>
      </c>
      <c r="H267" t="s">
        <v>5377</v>
      </c>
      <c r="I267">
        <v>218.798</v>
      </c>
      <c r="L267" t="s">
        <v>7002</v>
      </c>
      <c r="M267" t="s">
        <v>5377</v>
      </c>
      <c r="N267" t="s">
        <v>7485</v>
      </c>
      <c r="Q267" t="s">
        <v>7002</v>
      </c>
      <c r="R267" t="s">
        <v>5377</v>
      </c>
      <c r="S267">
        <v>20</v>
      </c>
      <c r="V267" t="s">
        <v>7000</v>
      </c>
      <c r="W267" t="s">
        <v>2326</v>
      </c>
      <c r="X267" t="s">
        <v>7485</v>
      </c>
      <c r="AA267" t="s">
        <v>7002</v>
      </c>
      <c r="AB267" t="s">
        <v>5377</v>
      </c>
      <c r="AC267" t="s">
        <v>7485</v>
      </c>
      <c r="AF267" t="s">
        <v>7002</v>
      </c>
      <c r="AG267" t="s">
        <v>5377</v>
      </c>
      <c r="AH267" t="s">
        <v>7485</v>
      </c>
      <c r="AK267" t="s">
        <v>7002</v>
      </c>
      <c r="AL267" t="s">
        <v>5377</v>
      </c>
      <c r="AM267">
        <v>15</v>
      </c>
    </row>
    <row r="268" spans="2:39" x14ac:dyDescent="0.3">
      <c r="B268" t="s">
        <v>7002</v>
      </c>
      <c r="C268" t="s">
        <v>5385</v>
      </c>
      <c r="D268" t="s">
        <v>7485</v>
      </c>
      <c r="G268" t="s">
        <v>7002</v>
      </c>
      <c r="H268" t="s">
        <v>5385</v>
      </c>
      <c r="I268">
        <v>28.231999999999999</v>
      </c>
      <c r="L268" t="s">
        <v>7002</v>
      </c>
      <c r="M268" t="s">
        <v>5385</v>
      </c>
      <c r="N268" t="s">
        <v>7485</v>
      </c>
      <c r="Q268" t="s">
        <v>7002</v>
      </c>
      <c r="R268" t="s">
        <v>5385</v>
      </c>
      <c r="S268" t="s">
        <v>7485</v>
      </c>
      <c r="V268" t="s">
        <v>7000</v>
      </c>
      <c r="W268" t="s">
        <v>2451</v>
      </c>
      <c r="X268" t="s">
        <v>7485</v>
      </c>
      <c r="AA268" t="s">
        <v>7002</v>
      </c>
      <c r="AB268" t="s">
        <v>5385</v>
      </c>
      <c r="AC268" t="s">
        <v>7485</v>
      </c>
      <c r="AF268" t="s">
        <v>7002</v>
      </c>
      <c r="AG268" t="s">
        <v>5385</v>
      </c>
      <c r="AH268" t="s">
        <v>7485</v>
      </c>
      <c r="AK268" t="s">
        <v>7002</v>
      </c>
      <c r="AL268" t="s">
        <v>5385</v>
      </c>
      <c r="AM268">
        <v>15</v>
      </c>
    </row>
    <row r="269" spans="2:39" x14ac:dyDescent="0.3">
      <c r="B269" t="s">
        <v>6999</v>
      </c>
      <c r="C269" t="s">
        <v>5406</v>
      </c>
      <c r="D269" t="s">
        <v>7485</v>
      </c>
      <c r="G269" t="s">
        <v>6999</v>
      </c>
      <c r="H269" t="s">
        <v>5406</v>
      </c>
      <c r="I269">
        <v>0</v>
      </c>
      <c r="L269" t="s">
        <v>6999</v>
      </c>
      <c r="M269" t="s">
        <v>5406</v>
      </c>
      <c r="N269" t="s">
        <v>7485</v>
      </c>
      <c r="Q269" t="s">
        <v>6999</v>
      </c>
      <c r="R269" t="s">
        <v>5406</v>
      </c>
      <c r="S269" t="s">
        <v>7485</v>
      </c>
      <c r="V269" t="s">
        <v>7000</v>
      </c>
      <c r="W269" t="s">
        <v>2472</v>
      </c>
      <c r="X269" t="s">
        <v>7485</v>
      </c>
      <c r="AA269" t="s">
        <v>6999</v>
      </c>
      <c r="AB269" t="s">
        <v>5406</v>
      </c>
      <c r="AC269" t="s">
        <v>7485</v>
      </c>
      <c r="AF269" t="s">
        <v>6999</v>
      </c>
      <c r="AG269" t="s">
        <v>5406</v>
      </c>
      <c r="AH269" t="s">
        <v>7485</v>
      </c>
      <c r="AK269" t="s">
        <v>6999</v>
      </c>
      <c r="AL269" t="s">
        <v>5406</v>
      </c>
      <c r="AM269">
        <v>14</v>
      </c>
    </row>
    <row r="270" spans="2:39" x14ac:dyDescent="0.3">
      <c r="B270" t="s">
        <v>7001</v>
      </c>
      <c r="C270" t="s">
        <v>5435</v>
      </c>
      <c r="D270" t="s">
        <v>7485</v>
      </c>
      <c r="G270" t="s">
        <v>7001</v>
      </c>
      <c r="H270" t="s">
        <v>5435</v>
      </c>
      <c r="I270">
        <v>0</v>
      </c>
      <c r="L270" t="s">
        <v>7001</v>
      </c>
      <c r="M270" t="s">
        <v>5435</v>
      </c>
      <c r="N270" t="s">
        <v>7485</v>
      </c>
      <c r="Q270" t="s">
        <v>7001</v>
      </c>
      <c r="R270" t="s">
        <v>5435</v>
      </c>
      <c r="S270" t="s">
        <v>7485</v>
      </c>
      <c r="V270" t="s">
        <v>7000</v>
      </c>
      <c r="W270" t="s">
        <v>2476</v>
      </c>
      <c r="X270">
        <v>63.78</v>
      </c>
      <c r="AA270" t="s">
        <v>7001</v>
      </c>
      <c r="AB270" t="s">
        <v>5435</v>
      </c>
      <c r="AC270" t="s">
        <v>7485</v>
      </c>
      <c r="AF270" t="s">
        <v>7001</v>
      </c>
      <c r="AG270" t="s">
        <v>5435</v>
      </c>
      <c r="AH270" t="s">
        <v>7485</v>
      </c>
      <c r="AK270" t="s">
        <v>7001</v>
      </c>
      <c r="AL270" t="s">
        <v>5435</v>
      </c>
      <c r="AM270">
        <v>13</v>
      </c>
    </row>
    <row r="271" spans="2:39" x14ac:dyDescent="0.3">
      <c r="B271" t="s">
        <v>7000</v>
      </c>
      <c r="C271" t="s">
        <v>5439</v>
      </c>
      <c r="D271">
        <v>300</v>
      </c>
      <c r="G271" t="s">
        <v>7000</v>
      </c>
      <c r="H271" t="s">
        <v>5439</v>
      </c>
      <c r="I271">
        <v>0</v>
      </c>
      <c r="L271" t="s">
        <v>7000</v>
      </c>
      <c r="M271" t="s">
        <v>5439</v>
      </c>
      <c r="N271" t="s">
        <v>7485</v>
      </c>
      <c r="Q271" t="s">
        <v>7000</v>
      </c>
      <c r="R271" t="s">
        <v>5439</v>
      </c>
      <c r="S271" t="s">
        <v>7485</v>
      </c>
      <c r="V271" t="s">
        <v>7000</v>
      </c>
      <c r="W271" t="s">
        <v>2510</v>
      </c>
      <c r="X271" t="s">
        <v>7485</v>
      </c>
      <c r="AA271" t="s">
        <v>7000</v>
      </c>
      <c r="AB271" t="s">
        <v>5439</v>
      </c>
      <c r="AC271" t="s">
        <v>7485</v>
      </c>
      <c r="AF271" t="s">
        <v>7000</v>
      </c>
      <c r="AG271" t="s">
        <v>5439</v>
      </c>
      <c r="AH271" t="s">
        <v>7485</v>
      </c>
      <c r="AK271" t="s">
        <v>7000</v>
      </c>
      <c r="AL271" t="s">
        <v>5439</v>
      </c>
      <c r="AM271">
        <v>15</v>
      </c>
    </row>
    <row r="272" spans="2:39" x14ac:dyDescent="0.3">
      <c r="B272" t="s">
        <v>7000</v>
      </c>
      <c r="C272" t="s">
        <v>5447</v>
      </c>
      <c r="D272" t="s">
        <v>7485</v>
      </c>
      <c r="G272" t="s">
        <v>7000</v>
      </c>
      <c r="H272" t="s">
        <v>5447</v>
      </c>
      <c r="I272">
        <v>0</v>
      </c>
      <c r="L272" t="s">
        <v>7000</v>
      </c>
      <c r="M272" t="s">
        <v>5447</v>
      </c>
      <c r="N272" t="s">
        <v>7485</v>
      </c>
      <c r="Q272" t="s">
        <v>7000</v>
      </c>
      <c r="R272" t="s">
        <v>5447</v>
      </c>
      <c r="S272" t="s">
        <v>7485</v>
      </c>
      <c r="V272" t="s">
        <v>7000</v>
      </c>
      <c r="W272" t="s">
        <v>2604</v>
      </c>
      <c r="X272" t="s">
        <v>7485</v>
      </c>
      <c r="AA272" t="s">
        <v>7000</v>
      </c>
      <c r="AB272" t="s">
        <v>5447</v>
      </c>
      <c r="AC272" t="s">
        <v>7485</v>
      </c>
      <c r="AF272" t="s">
        <v>7000</v>
      </c>
      <c r="AG272" t="s">
        <v>5447</v>
      </c>
      <c r="AH272" t="s">
        <v>7485</v>
      </c>
      <c r="AK272" t="s">
        <v>7000</v>
      </c>
      <c r="AL272" t="s">
        <v>5447</v>
      </c>
      <c r="AM272">
        <v>16</v>
      </c>
    </row>
    <row r="273" spans="2:39" x14ac:dyDescent="0.3">
      <c r="B273" t="s">
        <v>7000</v>
      </c>
      <c r="C273" t="s">
        <v>5467</v>
      </c>
      <c r="D273" t="s">
        <v>7485</v>
      </c>
      <c r="G273" t="s">
        <v>7000</v>
      </c>
      <c r="H273" t="s">
        <v>5467</v>
      </c>
      <c r="I273">
        <v>0</v>
      </c>
      <c r="L273" t="s">
        <v>7000</v>
      </c>
      <c r="M273" t="s">
        <v>5467</v>
      </c>
      <c r="N273" t="s">
        <v>7485</v>
      </c>
      <c r="Q273" t="s">
        <v>7000</v>
      </c>
      <c r="R273" t="s">
        <v>5467</v>
      </c>
      <c r="S273">
        <v>64</v>
      </c>
      <c r="V273" t="s">
        <v>7000</v>
      </c>
      <c r="W273" t="s">
        <v>2738</v>
      </c>
      <c r="X273" t="s">
        <v>7485</v>
      </c>
      <c r="AA273" t="s">
        <v>7000</v>
      </c>
      <c r="AB273" t="s">
        <v>5467</v>
      </c>
      <c r="AC273" t="s">
        <v>7485</v>
      </c>
      <c r="AF273" t="s">
        <v>7000</v>
      </c>
      <c r="AG273" t="s">
        <v>5467</v>
      </c>
      <c r="AH273" t="s">
        <v>7485</v>
      </c>
      <c r="AK273" t="s">
        <v>7000</v>
      </c>
      <c r="AL273" t="s">
        <v>5467</v>
      </c>
      <c r="AM273">
        <v>15</v>
      </c>
    </row>
    <row r="274" spans="2:39" x14ac:dyDescent="0.3">
      <c r="B274" t="s">
        <v>6999</v>
      </c>
      <c r="C274" t="s">
        <v>5484</v>
      </c>
      <c r="D274" t="s">
        <v>7485</v>
      </c>
      <c r="G274" t="s">
        <v>6999</v>
      </c>
      <c r="H274" t="s">
        <v>5484</v>
      </c>
      <c r="I274">
        <v>218.798</v>
      </c>
      <c r="L274" t="s">
        <v>6999</v>
      </c>
      <c r="M274" t="s">
        <v>5484</v>
      </c>
      <c r="N274" t="s">
        <v>7485</v>
      </c>
      <c r="Q274" t="s">
        <v>6999</v>
      </c>
      <c r="R274" t="s">
        <v>5484</v>
      </c>
      <c r="S274">
        <v>50</v>
      </c>
      <c r="V274" t="s">
        <v>7000</v>
      </c>
      <c r="W274" t="s">
        <v>2836</v>
      </c>
      <c r="X274" t="s">
        <v>7485</v>
      </c>
      <c r="AA274" t="s">
        <v>6999</v>
      </c>
      <c r="AB274" t="s">
        <v>5484</v>
      </c>
      <c r="AC274" t="s">
        <v>7485</v>
      </c>
      <c r="AF274" t="s">
        <v>6999</v>
      </c>
      <c r="AG274" t="s">
        <v>5484</v>
      </c>
      <c r="AH274" t="s">
        <v>7485</v>
      </c>
      <c r="AK274" t="s">
        <v>6999</v>
      </c>
      <c r="AL274" t="s">
        <v>5484</v>
      </c>
      <c r="AM274">
        <v>15</v>
      </c>
    </row>
    <row r="275" spans="2:39" x14ac:dyDescent="0.3">
      <c r="B275" t="s">
        <v>7000</v>
      </c>
      <c r="C275" t="s">
        <v>5488</v>
      </c>
      <c r="D275" t="s">
        <v>7485</v>
      </c>
      <c r="G275" t="s">
        <v>7000</v>
      </c>
      <c r="H275" t="s">
        <v>5488</v>
      </c>
      <c r="I275">
        <v>0</v>
      </c>
      <c r="L275" t="s">
        <v>7000</v>
      </c>
      <c r="M275" t="s">
        <v>5488</v>
      </c>
      <c r="N275" t="s">
        <v>7485</v>
      </c>
      <c r="Q275" t="s">
        <v>7000</v>
      </c>
      <c r="R275" t="s">
        <v>5488</v>
      </c>
      <c r="S275" t="s">
        <v>7485</v>
      </c>
      <c r="V275" t="s">
        <v>7000</v>
      </c>
      <c r="W275" t="s">
        <v>2871</v>
      </c>
      <c r="X275" t="s">
        <v>7485</v>
      </c>
      <c r="AA275" t="s">
        <v>7000</v>
      </c>
      <c r="AB275" t="s">
        <v>5488</v>
      </c>
      <c r="AC275" t="s">
        <v>7485</v>
      </c>
      <c r="AF275" t="s">
        <v>7000</v>
      </c>
      <c r="AG275" t="s">
        <v>5488</v>
      </c>
      <c r="AH275" t="s">
        <v>7485</v>
      </c>
      <c r="AK275" t="s">
        <v>7000</v>
      </c>
      <c r="AL275" t="s">
        <v>5488</v>
      </c>
      <c r="AM275">
        <v>15</v>
      </c>
    </row>
    <row r="276" spans="2:39" x14ac:dyDescent="0.3">
      <c r="B276" t="s">
        <v>7002</v>
      </c>
      <c r="C276" t="s">
        <v>5500</v>
      </c>
      <c r="D276" t="s">
        <v>7485</v>
      </c>
      <c r="G276" t="s">
        <v>7002</v>
      </c>
      <c r="H276" t="s">
        <v>5500</v>
      </c>
      <c r="I276">
        <v>183.50799999999998</v>
      </c>
      <c r="L276" t="s">
        <v>7002</v>
      </c>
      <c r="M276" t="s">
        <v>5500</v>
      </c>
      <c r="N276" t="s">
        <v>7485</v>
      </c>
      <c r="Q276" t="s">
        <v>7002</v>
      </c>
      <c r="R276" t="s">
        <v>5500</v>
      </c>
      <c r="S276" t="s">
        <v>7485</v>
      </c>
      <c r="V276" t="s">
        <v>7000</v>
      </c>
      <c r="W276" t="s">
        <v>2946</v>
      </c>
      <c r="X276" t="s">
        <v>7485</v>
      </c>
      <c r="AA276" t="s">
        <v>7002</v>
      </c>
      <c r="AB276" t="s">
        <v>5500</v>
      </c>
      <c r="AC276" t="s">
        <v>7485</v>
      </c>
      <c r="AF276" t="s">
        <v>7002</v>
      </c>
      <c r="AG276" t="s">
        <v>5500</v>
      </c>
      <c r="AH276" t="s">
        <v>7485</v>
      </c>
      <c r="AK276" t="s">
        <v>7002</v>
      </c>
      <c r="AL276" t="s">
        <v>5500</v>
      </c>
      <c r="AM276">
        <v>18</v>
      </c>
    </row>
    <row r="277" spans="2:39" x14ac:dyDescent="0.3">
      <c r="B277" t="s">
        <v>7002</v>
      </c>
      <c r="C277" t="s">
        <v>5504</v>
      </c>
      <c r="D277" t="s">
        <v>7485</v>
      </c>
      <c r="G277" t="s">
        <v>7002</v>
      </c>
      <c r="H277" t="s">
        <v>5504</v>
      </c>
      <c r="I277">
        <v>218.798</v>
      </c>
      <c r="L277" t="s">
        <v>7002</v>
      </c>
      <c r="M277" t="s">
        <v>5504</v>
      </c>
      <c r="N277" t="s">
        <v>7485</v>
      </c>
      <c r="Q277" t="s">
        <v>7002</v>
      </c>
      <c r="R277" t="s">
        <v>5504</v>
      </c>
      <c r="S277" t="s">
        <v>7485</v>
      </c>
      <c r="V277" t="s">
        <v>7000</v>
      </c>
      <c r="W277" t="s">
        <v>3023</v>
      </c>
      <c r="X277" t="s">
        <v>7485</v>
      </c>
      <c r="AA277" t="s">
        <v>7002</v>
      </c>
      <c r="AB277" t="s">
        <v>5504</v>
      </c>
      <c r="AC277">
        <v>0</v>
      </c>
      <c r="AF277" t="s">
        <v>7002</v>
      </c>
      <c r="AG277" t="s">
        <v>5504</v>
      </c>
      <c r="AH277">
        <v>21.74</v>
      </c>
      <c r="AK277" t="s">
        <v>7002</v>
      </c>
      <c r="AL277" t="s">
        <v>5504</v>
      </c>
      <c r="AM277">
        <v>15</v>
      </c>
    </row>
    <row r="278" spans="2:39" x14ac:dyDescent="0.3">
      <c r="B278" t="s">
        <v>6999</v>
      </c>
      <c r="C278" t="s">
        <v>5525</v>
      </c>
      <c r="D278">
        <v>300</v>
      </c>
      <c r="G278" t="s">
        <v>6999</v>
      </c>
      <c r="H278" t="s">
        <v>5525</v>
      </c>
      <c r="I278">
        <v>211.74</v>
      </c>
      <c r="L278" t="s">
        <v>6999</v>
      </c>
      <c r="M278" t="s">
        <v>5525</v>
      </c>
      <c r="N278" t="s">
        <v>7485</v>
      </c>
      <c r="Q278" t="s">
        <v>6999</v>
      </c>
      <c r="R278" t="s">
        <v>5525</v>
      </c>
      <c r="S278">
        <v>140</v>
      </c>
      <c r="V278" t="s">
        <v>7000</v>
      </c>
      <c r="W278" t="s">
        <v>3080</v>
      </c>
      <c r="X278" t="s">
        <v>7485</v>
      </c>
      <c r="AA278" t="s">
        <v>6999</v>
      </c>
      <c r="AB278" t="s">
        <v>5525</v>
      </c>
      <c r="AC278" t="s">
        <v>7485</v>
      </c>
      <c r="AF278" t="s">
        <v>6999</v>
      </c>
      <c r="AG278" t="s">
        <v>5525</v>
      </c>
      <c r="AH278" t="s">
        <v>7485</v>
      </c>
      <c r="AK278" t="s">
        <v>6999</v>
      </c>
      <c r="AL278" t="s">
        <v>5525</v>
      </c>
      <c r="AM278">
        <v>17</v>
      </c>
    </row>
    <row r="279" spans="2:39" x14ac:dyDescent="0.3">
      <c r="B279" t="s">
        <v>6999</v>
      </c>
      <c r="C279" t="s">
        <v>5529</v>
      </c>
      <c r="D279">
        <v>300</v>
      </c>
      <c r="G279" t="s">
        <v>6999</v>
      </c>
      <c r="H279" t="s">
        <v>5529</v>
      </c>
      <c r="I279">
        <v>211.74</v>
      </c>
      <c r="L279" t="s">
        <v>6999</v>
      </c>
      <c r="M279" t="s">
        <v>5529</v>
      </c>
      <c r="N279" t="s">
        <v>7485</v>
      </c>
      <c r="Q279" t="s">
        <v>6999</v>
      </c>
      <c r="R279" t="s">
        <v>5529</v>
      </c>
      <c r="S279" t="s">
        <v>7485</v>
      </c>
      <c r="V279" t="s">
        <v>7000</v>
      </c>
      <c r="W279" t="s">
        <v>3117</v>
      </c>
      <c r="X279" t="s">
        <v>7485</v>
      </c>
      <c r="AA279" t="s">
        <v>6999</v>
      </c>
      <c r="AB279" t="s">
        <v>5529</v>
      </c>
      <c r="AC279" t="s">
        <v>7485</v>
      </c>
      <c r="AF279" t="s">
        <v>6999</v>
      </c>
      <c r="AG279" t="s">
        <v>5529</v>
      </c>
      <c r="AH279" t="s">
        <v>7485</v>
      </c>
      <c r="AK279" t="s">
        <v>6999</v>
      </c>
      <c r="AL279" t="s">
        <v>5529</v>
      </c>
      <c r="AM279">
        <v>15</v>
      </c>
    </row>
    <row r="280" spans="2:39" x14ac:dyDescent="0.3">
      <c r="B280" t="s">
        <v>7000</v>
      </c>
      <c r="C280" t="s">
        <v>5533</v>
      </c>
      <c r="D280" t="s">
        <v>7485</v>
      </c>
      <c r="G280" t="s">
        <v>7000</v>
      </c>
      <c r="H280" t="s">
        <v>5533</v>
      </c>
      <c r="I280">
        <v>0</v>
      </c>
      <c r="L280" t="s">
        <v>7000</v>
      </c>
      <c r="M280" t="s">
        <v>5533</v>
      </c>
      <c r="N280" t="s">
        <v>7485</v>
      </c>
      <c r="Q280" t="s">
        <v>7000</v>
      </c>
      <c r="R280" t="s">
        <v>5533</v>
      </c>
      <c r="S280" t="s">
        <v>7485</v>
      </c>
      <c r="V280" t="s">
        <v>7000</v>
      </c>
      <c r="W280" t="s">
        <v>3142</v>
      </c>
      <c r="X280" t="s">
        <v>7485</v>
      </c>
      <c r="AA280" t="s">
        <v>7000</v>
      </c>
      <c r="AB280" t="s">
        <v>5533</v>
      </c>
      <c r="AC280" t="s">
        <v>7485</v>
      </c>
      <c r="AF280" t="s">
        <v>7000</v>
      </c>
      <c r="AG280" t="s">
        <v>5533</v>
      </c>
      <c r="AH280" t="s">
        <v>7485</v>
      </c>
      <c r="AK280" t="s">
        <v>7000</v>
      </c>
      <c r="AL280" t="s">
        <v>5533</v>
      </c>
      <c r="AM280">
        <v>16</v>
      </c>
    </row>
    <row r="281" spans="2:39" x14ac:dyDescent="0.3">
      <c r="B281" t="s">
        <v>7000</v>
      </c>
      <c r="C281" t="s">
        <v>5541</v>
      </c>
      <c r="D281" t="s">
        <v>7485</v>
      </c>
      <c r="G281" t="s">
        <v>7000</v>
      </c>
      <c r="H281" t="s">
        <v>5541</v>
      </c>
      <c r="I281">
        <v>0</v>
      </c>
      <c r="L281" t="s">
        <v>7000</v>
      </c>
      <c r="M281" t="s">
        <v>5541</v>
      </c>
      <c r="N281" t="s">
        <v>7485</v>
      </c>
      <c r="Q281" t="s">
        <v>7000</v>
      </c>
      <c r="R281" t="s">
        <v>5541</v>
      </c>
      <c r="S281">
        <v>116</v>
      </c>
      <c r="V281" t="s">
        <v>7000</v>
      </c>
      <c r="W281" t="s">
        <v>3152</v>
      </c>
      <c r="X281" t="s">
        <v>7485</v>
      </c>
      <c r="AA281" t="s">
        <v>7000</v>
      </c>
      <c r="AB281" t="s">
        <v>5541</v>
      </c>
      <c r="AC281" t="s">
        <v>7485</v>
      </c>
      <c r="AF281" t="s">
        <v>7000</v>
      </c>
      <c r="AG281" t="s">
        <v>5541</v>
      </c>
      <c r="AH281" t="s">
        <v>7485</v>
      </c>
      <c r="AK281" t="s">
        <v>7000</v>
      </c>
      <c r="AL281" t="s">
        <v>5541</v>
      </c>
      <c r="AM281">
        <v>15</v>
      </c>
    </row>
    <row r="282" spans="2:39" x14ac:dyDescent="0.3">
      <c r="B282" t="s">
        <v>7002</v>
      </c>
      <c r="C282" t="s">
        <v>5566</v>
      </c>
      <c r="D282" t="s">
        <v>7485</v>
      </c>
      <c r="G282" t="s">
        <v>7002</v>
      </c>
      <c r="H282" t="s">
        <v>5566</v>
      </c>
      <c r="I282">
        <v>0</v>
      </c>
      <c r="L282" t="s">
        <v>7002</v>
      </c>
      <c r="M282" t="s">
        <v>5566</v>
      </c>
      <c r="N282" t="s">
        <v>7485</v>
      </c>
      <c r="Q282" t="s">
        <v>7002</v>
      </c>
      <c r="R282" t="s">
        <v>5566</v>
      </c>
      <c r="S282" t="s">
        <v>7485</v>
      </c>
      <c r="V282" t="s">
        <v>7000</v>
      </c>
      <c r="W282" t="s">
        <v>3206</v>
      </c>
      <c r="X282" t="s">
        <v>7485</v>
      </c>
      <c r="AA282" t="s">
        <v>7002</v>
      </c>
      <c r="AB282" t="s">
        <v>5566</v>
      </c>
      <c r="AC282">
        <v>0</v>
      </c>
      <c r="AF282" t="s">
        <v>7002</v>
      </c>
      <c r="AG282" t="s">
        <v>5566</v>
      </c>
      <c r="AH282">
        <v>21.74</v>
      </c>
      <c r="AK282" t="s">
        <v>7002</v>
      </c>
      <c r="AL282" t="s">
        <v>5566</v>
      </c>
      <c r="AM282">
        <v>15</v>
      </c>
    </row>
    <row r="283" spans="2:39" x14ac:dyDescent="0.3">
      <c r="B283" t="s">
        <v>7000</v>
      </c>
      <c r="C283" t="s">
        <v>5580</v>
      </c>
      <c r="D283">
        <v>300</v>
      </c>
      <c r="G283" t="s">
        <v>7000</v>
      </c>
      <c r="H283" t="s">
        <v>5580</v>
      </c>
      <c r="I283">
        <v>0</v>
      </c>
      <c r="L283" t="s">
        <v>7000</v>
      </c>
      <c r="M283" t="s">
        <v>5580</v>
      </c>
      <c r="N283" t="s">
        <v>7485</v>
      </c>
      <c r="Q283" t="s">
        <v>7000</v>
      </c>
      <c r="R283" t="s">
        <v>5580</v>
      </c>
      <c r="S283" t="s">
        <v>7485</v>
      </c>
      <c r="V283" t="s">
        <v>7000</v>
      </c>
      <c r="W283" t="s">
        <v>3256</v>
      </c>
      <c r="X283">
        <v>0</v>
      </c>
      <c r="AA283" t="s">
        <v>7000</v>
      </c>
      <c r="AB283" t="s">
        <v>5580</v>
      </c>
      <c r="AC283" t="s">
        <v>7485</v>
      </c>
      <c r="AF283" t="s">
        <v>7000</v>
      </c>
      <c r="AG283" t="s">
        <v>5580</v>
      </c>
      <c r="AH283" t="s">
        <v>7485</v>
      </c>
      <c r="AK283" t="s">
        <v>7000</v>
      </c>
      <c r="AL283" t="s">
        <v>5580</v>
      </c>
      <c r="AM283">
        <v>15</v>
      </c>
    </row>
    <row r="284" spans="2:39" x14ac:dyDescent="0.3">
      <c r="B284" t="s">
        <v>6999</v>
      </c>
      <c r="C284" t="s">
        <v>5597</v>
      </c>
      <c r="D284" t="s">
        <v>7485</v>
      </c>
      <c r="G284" t="s">
        <v>6999</v>
      </c>
      <c r="H284" t="s">
        <v>5597</v>
      </c>
      <c r="I284">
        <v>0</v>
      </c>
      <c r="L284" t="s">
        <v>6999</v>
      </c>
      <c r="M284" t="s">
        <v>5597</v>
      </c>
      <c r="N284" t="s">
        <v>7485</v>
      </c>
      <c r="Q284" t="s">
        <v>6999</v>
      </c>
      <c r="R284" t="s">
        <v>5597</v>
      </c>
      <c r="S284" t="s">
        <v>7485</v>
      </c>
      <c r="V284" t="s">
        <v>7000</v>
      </c>
      <c r="W284" t="s">
        <v>3327</v>
      </c>
      <c r="X284" t="s">
        <v>7485</v>
      </c>
      <c r="AA284" t="s">
        <v>6999</v>
      </c>
      <c r="AB284" t="s">
        <v>5597</v>
      </c>
      <c r="AC284" t="s">
        <v>7485</v>
      </c>
      <c r="AF284" t="s">
        <v>6999</v>
      </c>
      <c r="AG284" t="s">
        <v>5597</v>
      </c>
      <c r="AH284" t="s">
        <v>7485</v>
      </c>
      <c r="AK284" t="s">
        <v>6999</v>
      </c>
      <c r="AL284" t="s">
        <v>5597</v>
      </c>
      <c r="AM284">
        <v>15</v>
      </c>
    </row>
    <row r="285" spans="2:39" x14ac:dyDescent="0.3">
      <c r="B285" t="s">
        <v>7000</v>
      </c>
      <c r="C285" t="s">
        <v>5603</v>
      </c>
      <c r="D285" t="s">
        <v>7485</v>
      </c>
      <c r="G285" t="s">
        <v>7000</v>
      </c>
      <c r="H285" t="s">
        <v>5603</v>
      </c>
      <c r="I285">
        <v>0</v>
      </c>
      <c r="L285" t="s">
        <v>7000</v>
      </c>
      <c r="M285" t="s">
        <v>5603</v>
      </c>
      <c r="N285" t="s">
        <v>7485</v>
      </c>
      <c r="Q285" t="s">
        <v>7000</v>
      </c>
      <c r="R285" t="s">
        <v>5603</v>
      </c>
      <c r="S285" t="s">
        <v>7485</v>
      </c>
      <c r="V285" t="s">
        <v>7000</v>
      </c>
      <c r="W285" t="s">
        <v>3331</v>
      </c>
      <c r="X285">
        <v>0</v>
      </c>
      <c r="AA285" t="s">
        <v>7000</v>
      </c>
      <c r="AB285" t="s">
        <v>5603</v>
      </c>
      <c r="AC285" t="s">
        <v>7485</v>
      </c>
      <c r="AF285" t="s">
        <v>7000</v>
      </c>
      <c r="AG285" t="s">
        <v>5603</v>
      </c>
      <c r="AH285" t="s">
        <v>7485</v>
      </c>
      <c r="AK285" t="s">
        <v>7000</v>
      </c>
      <c r="AL285" t="s">
        <v>5603</v>
      </c>
      <c r="AM285">
        <v>15</v>
      </c>
    </row>
    <row r="286" spans="2:39" x14ac:dyDescent="0.3">
      <c r="B286" t="s">
        <v>7000</v>
      </c>
      <c r="C286" t="s">
        <v>5618</v>
      </c>
      <c r="D286">
        <v>300</v>
      </c>
      <c r="G286" t="s">
        <v>7000</v>
      </c>
      <c r="H286" t="s">
        <v>5618</v>
      </c>
      <c r="I286">
        <v>218.798</v>
      </c>
      <c r="L286" t="s">
        <v>7000</v>
      </c>
      <c r="M286" t="s">
        <v>5618</v>
      </c>
      <c r="N286" t="s">
        <v>7485</v>
      </c>
      <c r="Q286" t="s">
        <v>7000</v>
      </c>
      <c r="R286" t="s">
        <v>5618</v>
      </c>
      <c r="S286" t="s">
        <v>7485</v>
      </c>
      <c r="V286" t="s">
        <v>7000</v>
      </c>
      <c r="W286" t="s">
        <v>3345</v>
      </c>
      <c r="X286" t="s">
        <v>7485</v>
      </c>
      <c r="AA286" t="s">
        <v>7000</v>
      </c>
      <c r="AB286" t="s">
        <v>5618</v>
      </c>
      <c r="AC286" t="s">
        <v>7485</v>
      </c>
      <c r="AF286" t="s">
        <v>7000</v>
      </c>
      <c r="AG286" t="s">
        <v>5618</v>
      </c>
      <c r="AH286" t="s">
        <v>7485</v>
      </c>
      <c r="AK286" t="s">
        <v>7000</v>
      </c>
      <c r="AL286" t="s">
        <v>5618</v>
      </c>
      <c r="AM286">
        <v>15</v>
      </c>
    </row>
    <row r="287" spans="2:39" x14ac:dyDescent="0.3">
      <c r="B287" t="s">
        <v>7000</v>
      </c>
      <c r="C287" t="s">
        <v>5633</v>
      </c>
      <c r="D287" t="s">
        <v>7485</v>
      </c>
      <c r="G287" t="s">
        <v>7000</v>
      </c>
      <c r="H287" t="s">
        <v>5633</v>
      </c>
      <c r="I287">
        <v>218.798</v>
      </c>
      <c r="L287" t="s">
        <v>7000</v>
      </c>
      <c r="M287" t="s">
        <v>5633</v>
      </c>
      <c r="N287">
        <v>200</v>
      </c>
      <c r="Q287" t="s">
        <v>7000</v>
      </c>
      <c r="R287" t="s">
        <v>5633</v>
      </c>
      <c r="S287" t="s">
        <v>7485</v>
      </c>
      <c r="V287" t="s">
        <v>7000</v>
      </c>
      <c r="W287" t="s">
        <v>3482</v>
      </c>
      <c r="X287" t="s">
        <v>7485</v>
      </c>
      <c r="AA287" t="s">
        <v>7000</v>
      </c>
      <c r="AB287" t="s">
        <v>5633</v>
      </c>
      <c r="AC287" t="s">
        <v>7485</v>
      </c>
      <c r="AF287" t="s">
        <v>7000</v>
      </c>
      <c r="AG287" t="s">
        <v>5633</v>
      </c>
      <c r="AH287" t="s">
        <v>7485</v>
      </c>
      <c r="AK287" t="s">
        <v>7000</v>
      </c>
      <c r="AL287" t="s">
        <v>5633</v>
      </c>
      <c r="AM287">
        <v>15</v>
      </c>
    </row>
    <row r="288" spans="2:39" x14ac:dyDescent="0.3">
      <c r="B288" t="s">
        <v>7000</v>
      </c>
      <c r="C288" t="s">
        <v>5647</v>
      </c>
      <c r="D288" t="s">
        <v>7485</v>
      </c>
      <c r="G288" t="s">
        <v>7000</v>
      </c>
      <c r="H288" t="s">
        <v>5647</v>
      </c>
      <c r="I288">
        <v>0</v>
      </c>
      <c r="L288" t="s">
        <v>7000</v>
      </c>
      <c r="M288" t="s">
        <v>5647</v>
      </c>
      <c r="N288" t="s">
        <v>7485</v>
      </c>
      <c r="Q288" t="s">
        <v>7000</v>
      </c>
      <c r="R288" t="s">
        <v>5647</v>
      </c>
      <c r="S288" t="s">
        <v>7485</v>
      </c>
      <c r="V288" t="s">
        <v>7000</v>
      </c>
      <c r="W288" t="s">
        <v>3612</v>
      </c>
      <c r="X288" t="s">
        <v>7485</v>
      </c>
      <c r="AA288" t="s">
        <v>7000</v>
      </c>
      <c r="AB288" t="s">
        <v>5647</v>
      </c>
      <c r="AC288">
        <v>0</v>
      </c>
      <c r="AF288" t="s">
        <v>7000</v>
      </c>
      <c r="AG288" t="s">
        <v>5647</v>
      </c>
      <c r="AH288">
        <v>0</v>
      </c>
      <c r="AK288" t="s">
        <v>7000</v>
      </c>
      <c r="AL288" t="s">
        <v>5647</v>
      </c>
      <c r="AM288">
        <v>15</v>
      </c>
    </row>
    <row r="289" spans="2:40" x14ac:dyDescent="0.3">
      <c r="B289" t="s">
        <v>7000</v>
      </c>
      <c r="C289" t="s">
        <v>5679</v>
      </c>
      <c r="D289" t="s">
        <v>7485</v>
      </c>
      <c r="G289" t="s">
        <v>7000</v>
      </c>
      <c r="H289" t="s">
        <v>5679</v>
      </c>
      <c r="I289">
        <v>0</v>
      </c>
      <c r="L289" t="s">
        <v>7000</v>
      </c>
      <c r="M289" t="s">
        <v>5679</v>
      </c>
      <c r="N289" t="s">
        <v>7485</v>
      </c>
      <c r="Q289" t="s">
        <v>7000</v>
      </c>
      <c r="R289" t="s">
        <v>5679</v>
      </c>
      <c r="S289" t="s">
        <v>7485</v>
      </c>
      <c r="V289" t="s">
        <v>7000</v>
      </c>
      <c r="W289" t="s">
        <v>3644</v>
      </c>
      <c r="X289">
        <v>148.97</v>
      </c>
      <c r="AA289" t="s">
        <v>7000</v>
      </c>
      <c r="AB289" t="s">
        <v>5679</v>
      </c>
      <c r="AC289" t="s">
        <v>7485</v>
      </c>
      <c r="AF289" t="s">
        <v>7000</v>
      </c>
      <c r="AG289" t="s">
        <v>5679</v>
      </c>
      <c r="AH289" t="s">
        <v>7485</v>
      </c>
      <c r="AK289" t="s">
        <v>7000</v>
      </c>
      <c r="AL289" t="s">
        <v>5679</v>
      </c>
      <c r="AM289">
        <v>15</v>
      </c>
    </row>
    <row r="290" spans="2:40" x14ac:dyDescent="0.3">
      <c r="B290" t="s">
        <v>7001</v>
      </c>
      <c r="C290" t="s">
        <v>5693</v>
      </c>
      <c r="D290">
        <v>180</v>
      </c>
      <c r="G290" t="s">
        <v>7001</v>
      </c>
      <c r="H290" t="s">
        <v>5693</v>
      </c>
      <c r="I290">
        <v>0</v>
      </c>
      <c r="L290" t="s">
        <v>7001</v>
      </c>
      <c r="M290" t="s">
        <v>5693</v>
      </c>
      <c r="N290" t="s">
        <v>7485</v>
      </c>
      <c r="Q290" t="s">
        <v>7001</v>
      </c>
      <c r="R290" t="s">
        <v>5693</v>
      </c>
      <c r="S290" t="s">
        <v>7485</v>
      </c>
      <c r="V290" t="s">
        <v>7000</v>
      </c>
      <c r="W290" t="s">
        <v>3666</v>
      </c>
      <c r="X290" t="s">
        <v>7485</v>
      </c>
      <c r="AA290" t="s">
        <v>7001</v>
      </c>
      <c r="AB290" t="s">
        <v>5693</v>
      </c>
      <c r="AC290" t="s">
        <v>7485</v>
      </c>
      <c r="AF290" t="s">
        <v>7001</v>
      </c>
      <c r="AG290" t="s">
        <v>5693</v>
      </c>
      <c r="AH290" t="s">
        <v>7485</v>
      </c>
      <c r="AK290" t="s">
        <v>7001</v>
      </c>
      <c r="AL290" t="s">
        <v>5693</v>
      </c>
      <c r="AM290">
        <v>15</v>
      </c>
    </row>
    <row r="291" spans="2:40" x14ac:dyDescent="0.3">
      <c r="B291" t="s">
        <v>7002</v>
      </c>
      <c r="C291" t="s">
        <v>5698</v>
      </c>
      <c r="D291" t="s">
        <v>7485</v>
      </c>
      <c r="G291" t="s">
        <v>7002</v>
      </c>
      <c r="H291" t="s">
        <v>5698</v>
      </c>
      <c r="I291">
        <v>0</v>
      </c>
      <c r="L291" t="s">
        <v>7002</v>
      </c>
      <c r="M291" t="s">
        <v>5698</v>
      </c>
      <c r="N291" t="s">
        <v>7485</v>
      </c>
      <c r="Q291" t="s">
        <v>7002</v>
      </c>
      <c r="R291" t="s">
        <v>5698</v>
      </c>
      <c r="S291" t="s">
        <v>7485</v>
      </c>
      <c r="V291" t="s">
        <v>7000</v>
      </c>
      <c r="W291" t="s">
        <v>3711</v>
      </c>
      <c r="X291" t="s">
        <v>7485</v>
      </c>
      <c r="AA291" t="s">
        <v>7002</v>
      </c>
      <c r="AB291" t="s">
        <v>5698</v>
      </c>
      <c r="AC291" t="s">
        <v>7485</v>
      </c>
      <c r="AF291" t="s">
        <v>7002</v>
      </c>
      <c r="AG291" t="s">
        <v>5698</v>
      </c>
      <c r="AH291" t="s">
        <v>7485</v>
      </c>
      <c r="AK291" t="s">
        <v>7002</v>
      </c>
      <c r="AL291" t="s">
        <v>5698</v>
      </c>
      <c r="AM291">
        <v>15</v>
      </c>
    </row>
    <row r="292" spans="2:40" x14ac:dyDescent="0.3">
      <c r="B292" t="s">
        <v>7002</v>
      </c>
      <c r="C292" t="s">
        <v>5727</v>
      </c>
      <c r="D292" t="s">
        <v>7485</v>
      </c>
      <c r="G292" t="s">
        <v>7002</v>
      </c>
      <c r="H292" t="s">
        <v>5727</v>
      </c>
      <c r="I292">
        <v>0</v>
      </c>
      <c r="L292" t="s">
        <v>7002</v>
      </c>
      <c r="M292" t="s">
        <v>5727</v>
      </c>
      <c r="N292" t="s">
        <v>7485</v>
      </c>
      <c r="Q292" t="s">
        <v>7002</v>
      </c>
      <c r="R292" t="s">
        <v>5727</v>
      </c>
      <c r="S292" t="s">
        <v>7485</v>
      </c>
      <c r="V292" t="s">
        <v>7000</v>
      </c>
      <c r="W292" t="s">
        <v>3776</v>
      </c>
      <c r="X292" t="s">
        <v>7485</v>
      </c>
      <c r="AA292" t="s">
        <v>7002</v>
      </c>
      <c r="AB292" t="s">
        <v>5727</v>
      </c>
      <c r="AC292" t="s">
        <v>7485</v>
      </c>
      <c r="AF292" t="s">
        <v>7002</v>
      </c>
      <c r="AG292" t="s">
        <v>5727</v>
      </c>
      <c r="AH292" t="s">
        <v>7485</v>
      </c>
      <c r="AK292" t="s">
        <v>7002</v>
      </c>
      <c r="AL292" t="s">
        <v>5727</v>
      </c>
      <c r="AM292">
        <v>15</v>
      </c>
    </row>
    <row r="293" spans="2:40" x14ac:dyDescent="0.3">
      <c r="B293" t="s">
        <v>7001</v>
      </c>
      <c r="C293" t="s">
        <v>5745</v>
      </c>
      <c r="D293" t="s">
        <v>7485</v>
      </c>
      <c r="G293" t="s">
        <v>7001</v>
      </c>
      <c r="H293" t="s">
        <v>5745</v>
      </c>
      <c r="I293">
        <v>84.695999999999998</v>
      </c>
      <c r="L293" t="s">
        <v>7001</v>
      </c>
      <c r="M293" t="s">
        <v>5745</v>
      </c>
      <c r="N293" t="s">
        <v>7485</v>
      </c>
      <c r="O293" t="s">
        <v>7486</v>
      </c>
      <c r="Q293" t="s">
        <v>7001</v>
      </c>
      <c r="R293" t="s">
        <v>5745</v>
      </c>
      <c r="S293" t="s">
        <v>7485</v>
      </c>
      <c r="V293" t="s">
        <v>7000</v>
      </c>
      <c r="W293" t="s">
        <v>3833</v>
      </c>
      <c r="X293" t="s">
        <v>7485</v>
      </c>
      <c r="AA293" t="s">
        <v>7001</v>
      </c>
      <c r="AB293" t="s">
        <v>5745</v>
      </c>
      <c r="AC293" t="s">
        <v>7485</v>
      </c>
      <c r="AD293" t="s">
        <v>7486</v>
      </c>
      <c r="AF293" t="s">
        <v>7001</v>
      </c>
      <c r="AG293" t="s">
        <v>5745</v>
      </c>
      <c r="AH293" t="s">
        <v>7485</v>
      </c>
      <c r="AI293" t="s">
        <v>7486</v>
      </c>
      <c r="AK293" t="s">
        <v>7001</v>
      </c>
      <c r="AL293" t="s">
        <v>5745</v>
      </c>
      <c r="AM293">
        <v>15</v>
      </c>
      <c r="AN293" t="s">
        <v>7486</v>
      </c>
    </row>
    <row r="294" spans="2:40" x14ac:dyDescent="0.3">
      <c r="B294" t="s">
        <v>7002</v>
      </c>
      <c r="C294" t="s">
        <v>5745</v>
      </c>
      <c r="D294" t="s">
        <v>7485</v>
      </c>
      <c r="G294" t="s">
        <v>7002</v>
      </c>
      <c r="H294" t="s">
        <v>5745</v>
      </c>
      <c r="I294">
        <v>0</v>
      </c>
      <c r="J294" t="s">
        <v>7486</v>
      </c>
      <c r="L294" t="s">
        <v>7002</v>
      </c>
      <c r="M294" t="s">
        <v>5745</v>
      </c>
      <c r="N294" t="s">
        <v>7485</v>
      </c>
      <c r="Q294" t="s">
        <v>7002</v>
      </c>
      <c r="R294" t="s">
        <v>5745</v>
      </c>
      <c r="S294" t="s">
        <v>7485</v>
      </c>
      <c r="V294" t="s">
        <v>7000</v>
      </c>
      <c r="W294" t="s">
        <v>3919</v>
      </c>
      <c r="X294" t="s">
        <v>7485</v>
      </c>
      <c r="AA294" t="s">
        <v>7002</v>
      </c>
      <c r="AB294" t="s">
        <v>5745</v>
      </c>
      <c r="AC294" t="s">
        <v>7485</v>
      </c>
      <c r="AF294" t="s">
        <v>7002</v>
      </c>
      <c r="AG294" t="s">
        <v>5745</v>
      </c>
      <c r="AH294" t="s">
        <v>7485</v>
      </c>
      <c r="AK294" t="s">
        <v>7002</v>
      </c>
      <c r="AL294" t="s">
        <v>5745</v>
      </c>
      <c r="AM294">
        <v>15</v>
      </c>
    </row>
    <row r="295" spans="2:40" x14ac:dyDescent="0.3">
      <c r="B295" t="s">
        <v>6999</v>
      </c>
      <c r="C295" t="s">
        <v>5749</v>
      </c>
      <c r="D295" t="s">
        <v>7485</v>
      </c>
      <c r="G295" t="s">
        <v>6999</v>
      </c>
      <c r="H295" t="s">
        <v>5749</v>
      </c>
      <c r="I295">
        <v>0</v>
      </c>
      <c r="L295" t="s">
        <v>6999</v>
      </c>
      <c r="M295" t="s">
        <v>5749</v>
      </c>
      <c r="N295" t="s">
        <v>7485</v>
      </c>
      <c r="Q295" t="s">
        <v>6999</v>
      </c>
      <c r="R295" t="s">
        <v>5749</v>
      </c>
      <c r="S295" t="s">
        <v>7485</v>
      </c>
      <c r="V295" t="s">
        <v>7000</v>
      </c>
      <c r="W295" t="s">
        <v>3923</v>
      </c>
      <c r="X295" t="s">
        <v>7485</v>
      </c>
      <c r="AA295" t="s">
        <v>6999</v>
      </c>
      <c r="AB295" t="s">
        <v>5749</v>
      </c>
      <c r="AC295" t="s">
        <v>7485</v>
      </c>
      <c r="AF295" t="s">
        <v>6999</v>
      </c>
      <c r="AG295" t="s">
        <v>5749</v>
      </c>
      <c r="AH295" t="s">
        <v>7485</v>
      </c>
      <c r="AK295" t="s">
        <v>6999</v>
      </c>
      <c r="AL295" t="s">
        <v>5749</v>
      </c>
      <c r="AM295">
        <v>15</v>
      </c>
    </row>
    <row r="296" spans="2:40" x14ac:dyDescent="0.3">
      <c r="B296" t="s">
        <v>7000</v>
      </c>
      <c r="C296" t="s">
        <v>5767</v>
      </c>
      <c r="D296" t="s">
        <v>7485</v>
      </c>
      <c r="G296" t="s">
        <v>7000</v>
      </c>
      <c r="H296" t="s">
        <v>5767</v>
      </c>
      <c r="I296">
        <v>0</v>
      </c>
      <c r="L296" t="s">
        <v>7000</v>
      </c>
      <c r="M296" t="s">
        <v>5767</v>
      </c>
      <c r="N296" t="s">
        <v>7485</v>
      </c>
      <c r="Q296" t="s">
        <v>7000</v>
      </c>
      <c r="R296" t="s">
        <v>5767</v>
      </c>
      <c r="S296" t="s">
        <v>7485</v>
      </c>
      <c r="V296" t="s">
        <v>7000</v>
      </c>
      <c r="W296" t="s">
        <v>3955</v>
      </c>
      <c r="X296">
        <v>0</v>
      </c>
      <c r="AA296" t="s">
        <v>7000</v>
      </c>
      <c r="AB296" t="s">
        <v>5767</v>
      </c>
      <c r="AC296" t="s">
        <v>7485</v>
      </c>
      <c r="AF296" t="s">
        <v>7000</v>
      </c>
      <c r="AG296" t="s">
        <v>5767</v>
      </c>
      <c r="AH296" t="s">
        <v>7485</v>
      </c>
      <c r="AK296" t="s">
        <v>7000</v>
      </c>
      <c r="AL296" t="s">
        <v>5767</v>
      </c>
      <c r="AM296">
        <v>15</v>
      </c>
    </row>
    <row r="297" spans="2:40" x14ac:dyDescent="0.3">
      <c r="B297" t="s">
        <v>7002</v>
      </c>
      <c r="C297" t="s">
        <v>5781</v>
      </c>
      <c r="D297" t="s">
        <v>7485</v>
      </c>
      <c r="G297" t="s">
        <v>7002</v>
      </c>
      <c r="H297" t="s">
        <v>5781</v>
      </c>
      <c r="I297">
        <v>127.044</v>
      </c>
      <c r="L297" t="s">
        <v>7002</v>
      </c>
      <c r="M297" t="s">
        <v>5781</v>
      </c>
      <c r="N297" t="s">
        <v>7485</v>
      </c>
      <c r="Q297" t="s">
        <v>7002</v>
      </c>
      <c r="R297" t="s">
        <v>5781</v>
      </c>
      <c r="S297" t="s">
        <v>7485</v>
      </c>
      <c r="V297" t="s">
        <v>7000</v>
      </c>
      <c r="W297" t="s">
        <v>3996</v>
      </c>
      <c r="X297" t="s">
        <v>7485</v>
      </c>
      <c r="AA297" t="s">
        <v>7002</v>
      </c>
      <c r="AB297" t="s">
        <v>5781</v>
      </c>
      <c r="AC297" t="s">
        <v>7485</v>
      </c>
      <c r="AF297" t="s">
        <v>7002</v>
      </c>
      <c r="AG297" t="s">
        <v>5781</v>
      </c>
      <c r="AH297" t="s">
        <v>7485</v>
      </c>
      <c r="AK297" t="s">
        <v>7002</v>
      </c>
      <c r="AL297" t="s">
        <v>5781</v>
      </c>
      <c r="AM297">
        <v>15</v>
      </c>
    </row>
    <row r="298" spans="2:40" x14ac:dyDescent="0.3">
      <c r="B298" t="s">
        <v>7000</v>
      </c>
      <c r="C298" t="s">
        <v>5819</v>
      </c>
      <c r="D298" t="s">
        <v>7485</v>
      </c>
      <c r="G298" t="s">
        <v>7000</v>
      </c>
      <c r="H298" t="s">
        <v>5819</v>
      </c>
      <c r="I298">
        <v>218.798</v>
      </c>
      <c r="L298" t="s">
        <v>7000</v>
      </c>
      <c r="M298" t="s">
        <v>5819</v>
      </c>
      <c r="N298" t="s">
        <v>7485</v>
      </c>
      <c r="Q298" t="s">
        <v>7000</v>
      </c>
      <c r="R298" t="s">
        <v>5819</v>
      </c>
      <c r="S298">
        <v>126.66666666666667</v>
      </c>
      <c r="V298" t="s">
        <v>7000</v>
      </c>
      <c r="W298" t="s">
        <v>4000</v>
      </c>
      <c r="X298">
        <v>0</v>
      </c>
      <c r="AA298" t="s">
        <v>7000</v>
      </c>
      <c r="AB298" t="s">
        <v>5819</v>
      </c>
      <c r="AC298" t="s">
        <v>7485</v>
      </c>
      <c r="AF298" t="s">
        <v>7000</v>
      </c>
      <c r="AG298" t="s">
        <v>5819</v>
      </c>
      <c r="AH298" t="s">
        <v>7485</v>
      </c>
      <c r="AK298" t="s">
        <v>7000</v>
      </c>
      <c r="AL298" t="s">
        <v>5819</v>
      </c>
      <c r="AM298">
        <v>15</v>
      </c>
    </row>
    <row r="299" spans="2:40" x14ac:dyDescent="0.3">
      <c r="B299" t="s">
        <v>7000</v>
      </c>
      <c r="C299" t="s">
        <v>5823</v>
      </c>
      <c r="D299">
        <v>300</v>
      </c>
      <c r="G299" t="s">
        <v>7000</v>
      </c>
      <c r="H299" t="s">
        <v>5823</v>
      </c>
      <c r="I299">
        <v>0</v>
      </c>
      <c r="L299" t="s">
        <v>7000</v>
      </c>
      <c r="M299" t="s">
        <v>5823</v>
      </c>
      <c r="N299" t="s">
        <v>7485</v>
      </c>
      <c r="Q299" t="s">
        <v>7000</v>
      </c>
      <c r="R299" t="s">
        <v>5823</v>
      </c>
      <c r="S299">
        <v>111.11111111111111</v>
      </c>
      <c r="V299" t="s">
        <v>7000</v>
      </c>
      <c r="W299" t="s">
        <v>4074</v>
      </c>
      <c r="X299" t="s">
        <v>7485</v>
      </c>
      <c r="AA299" t="s">
        <v>7000</v>
      </c>
      <c r="AB299" t="s">
        <v>5823</v>
      </c>
      <c r="AC299">
        <v>0</v>
      </c>
      <c r="AF299" t="s">
        <v>7000</v>
      </c>
      <c r="AG299" t="s">
        <v>5823</v>
      </c>
      <c r="AH299">
        <v>21.74</v>
      </c>
      <c r="AK299" t="s">
        <v>7000</v>
      </c>
      <c r="AL299" t="s">
        <v>5823</v>
      </c>
      <c r="AM299">
        <v>15</v>
      </c>
    </row>
    <row r="300" spans="2:40" x14ac:dyDescent="0.3">
      <c r="B300" t="s">
        <v>7002</v>
      </c>
      <c r="C300" t="s">
        <v>5830</v>
      </c>
      <c r="D300" t="s">
        <v>7485</v>
      </c>
      <c r="G300" t="s">
        <v>7002</v>
      </c>
      <c r="H300" t="s">
        <v>5830</v>
      </c>
      <c r="I300">
        <v>0</v>
      </c>
      <c r="L300" t="s">
        <v>7002</v>
      </c>
      <c r="M300" t="s">
        <v>5830</v>
      </c>
      <c r="N300" t="s">
        <v>7485</v>
      </c>
      <c r="Q300" t="s">
        <v>7002</v>
      </c>
      <c r="R300" t="s">
        <v>5830</v>
      </c>
      <c r="S300">
        <v>85</v>
      </c>
      <c r="V300" t="s">
        <v>7000</v>
      </c>
      <c r="W300" t="s">
        <v>4127</v>
      </c>
      <c r="X300" t="s">
        <v>7485</v>
      </c>
      <c r="AA300" t="s">
        <v>7002</v>
      </c>
      <c r="AB300" t="s">
        <v>5830</v>
      </c>
      <c r="AC300" t="s">
        <v>7485</v>
      </c>
      <c r="AF300" t="s">
        <v>7002</v>
      </c>
      <c r="AG300" t="s">
        <v>5830</v>
      </c>
      <c r="AH300" t="s">
        <v>7485</v>
      </c>
      <c r="AK300" t="s">
        <v>7002</v>
      </c>
      <c r="AL300" t="s">
        <v>5830</v>
      </c>
      <c r="AM300">
        <v>15</v>
      </c>
    </row>
    <row r="301" spans="2:40" x14ac:dyDescent="0.3">
      <c r="B301" t="s">
        <v>7000</v>
      </c>
      <c r="C301" t="s">
        <v>5838</v>
      </c>
      <c r="D301" t="s">
        <v>7485</v>
      </c>
      <c r="G301" t="s">
        <v>7000</v>
      </c>
      <c r="H301" t="s">
        <v>5838</v>
      </c>
      <c r="I301">
        <v>0</v>
      </c>
      <c r="L301" t="s">
        <v>7000</v>
      </c>
      <c r="M301" t="s">
        <v>5838</v>
      </c>
      <c r="N301">
        <v>200</v>
      </c>
      <c r="Q301" t="s">
        <v>7000</v>
      </c>
      <c r="R301" t="s">
        <v>5838</v>
      </c>
      <c r="S301">
        <v>111.11111111111111</v>
      </c>
      <c r="V301" t="s">
        <v>7000</v>
      </c>
      <c r="W301" t="s">
        <v>4190</v>
      </c>
      <c r="X301" t="s">
        <v>7485</v>
      </c>
      <c r="AA301" t="s">
        <v>7000</v>
      </c>
      <c r="AB301" t="s">
        <v>5838</v>
      </c>
      <c r="AC301">
        <v>140</v>
      </c>
      <c r="AF301" t="s">
        <v>7000</v>
      </c>
      <c r="AG301" t="s">
        <v>5838</v>
      </c>
      <c r="AH301">
        <v>0</v>
      </c>
      <c r="AK301" t="s">
        <v>7000</v>
      </c>
      <c r="AL301" t="s">
        <v>5838</v>
      </c>
      <c r="AM301">
        <v>15</v>
      </c>
    </row>
    <row r="302" spans="2:40" x14ac:dyDescent="0.3">
      <c r="B302" t="s">
        <v>7000</v>
      </c>
      <c r="C302" t="s">
        <v>5866</v>
      </c>
      <c r="D302">
        <v>300</v>
      </c>
      <c r="G302" t="s">
        <v>7000</v>
      </c>
      <c r="H302" t="s">
        <v>5866</v>
      </c>
      <c r="I302">
        <v>0</v>
      </c>
      <c r="L302" t="s">
        <v>7000</v>
      </c>
      <c r="M302" t="s">
        <v>5866</v>
      </c>
      <c r="N302" t="s">
        <v>7485</v>
      </c>
      <c r="Q302" t="s">
        <v>7000</v>
      </c>
      <c r="R302" t="s">
        <v>5866</v>
      </c>
      <c r="S302" t="s">
        <v>7485</v>
      </c>
      <c r="V302" t="s">
        <v>7000</v>
      </c>
      <c r="W302" t="s">
        <v>4292</v>
      </c>
      <c r="X302" t="s">
        <v>7485</v>
      </c>
      <c r="AA302" t="s">
        <v>7000</v>
      </c>
      <c r="AB302" t="s">
        <v>5866</v>
      </c>
      <c r="AC302" t="s">
        <v>7485</v>
      </c>
      <c r="AF302" t="s">
        <v>7000</v>
      </c>
      <c r="AG302" t="s">
        <v>5866</v>
      </c>
      <c r="AH302" t="s">
        <v>7485</v>
      </c>
      <c r="AK302" t="s">
        <v>7000</v>
      </c>
      <c r="AL302" t="s">
        <v>5866</v>
      </c>
      <c r="AM302">
        <v>14</v>
      </c>
    </row>
    <row r="303" spans="2:40" x14ac:dyDescent="0.3">
      <c r="B303" t="s">
        <v>7000</v>
      </c>
      <c r="C303" t="s">
        <v>5894</v>
      </c>
      <c r="D303" t="s">
        <v>7485</v>
      </c>
      <c r="G303" t="s">
        <v>7000</v>
      </c>
      <c r="H303" t="s">
        <v>5894</v>
      </c>
      <c r="I303">
        <v>0</v>
      </c>
      <c r="L303" t="s">
        <v>7000</v>
      </c>
      <c r="M303" t="s">
        <v>5894</v>
      </c>
      <c r="N303" t="s">
        <v>7485</v>
      </c>
      <c r="Q303" t="s">
        <v>7000</v>
      </c>
      <c r="R303" t="s">
        <v>5894</v>
      </c>
      <c r="S303" t="s">
        <v>7485</v>
      </c>
      <c r="V303" t="s">
        <v>7000</v>
      </c>
      <c r="W303" t="s">
        <v>4353</v>
      </c>
      <c r="X303" t="s">
        <v>7485</v>
      </c>
      <c r="AA303" t="s">
        <v>7000</v>
      </c>
      <c r="AB303" t="s">
        <v>5894</v>
      </c>
      <c r="AC303" t="s">
        <v>7485</v>
      </c>
      <c r="AF303" t="s">
        <v>7000</v>
      </c>
      <c r="AG303" t="s">
        <v>5894</v>
      </c>
      <c r="AH303" t="s">
        <v>7485</v>
      </c>
      <c r="AK303" t="s">
        <v>7000</v>
      </c>
      <c r="AL303" t="s">
        <v>5894</v>
      </c>
      <c r="AM303">
        <v>15</v>
      </c>
    </row>
    <row r="304" spans="2:40" x14ac:dyDescent="0.3">
      <c r="B304" t="s">
        <v>7000</v>
      </c>
      <c r="C304" t="s">
        <v>5898</v>
      </c>
      <c r="D304" t="s">
        <v>7485</v>
      </c>
      <c r="G304" t="s">
        <v>7000</v>
      </c>
      <c r="H304" t="s">
        <v>5898</v>
      </c>
      <c r="I304">
        <v>0</v>
      </c>
      <c r="L304" t="s">
        <v>7000</v>
      </c>
      <c r="M304" t="s">
        <v>5898</v>
      </c>
      <c r="N304" t="s">
        <v>7485</v>
      </c>
      <c r="Q304" t="s">
        <v>7000</v>
      </c>
      <c r="R304" t="s">
        <v>5898</v>
      </c>
      <c r="S304" t="s">
        <v>7485</v>
      </c>
      <c r="V304" t="s">
        <v>7000</v>
      </c>
      <c r="W304" t="s">
        <v>4510</v>
      </c>
      <c r="X304">
        <v>137.21</v>
      </c>
      <c r="AA304" t="s">
        <v>7000</v>
      </c>
      <c r="AB304" t="s">
        <v>5898</v>
      </c>
      <c r="AC304" t="s">
        <v>7485</v>
      </c>
      <c r="AF304" t="s">
        <v>7000</v>
      </c>
      <c r="AG304" t="s">
        <v>5898</v>
      </c>
      <c r="AH304" t="s">
        <v>7485</v>
      </c>
      <c r="AK304" t="s">
        <v>7000</v>
      </c>
      <c r="AL304" t="s">
        <v>5898</v>
      </c>
      <c r="AM304">
        <v>15</v>
      </c>
    </row>
    <row r="305" spans="2:40" x14ac:dyDescent="0.3">
      <c r="B305" t="s">
        <v>7000</v>
      </c>
      <c r="C305" t="s">
        <v>5930</v>
      </c>
      <c r="D305" t="s">
        <v>7485</v>
      </c>
      <c r="G305" t="s">
        <v>7002</v>
      </c>
      <c r="H305" t="s">
        <v>5930</v>
      </c>
      <c r="I305">
        <v>162.334</v>
      </c>
      <c r="L305" t="s">
        <v>7002</v>
      </c>
      <c r="M305" t="s">
        <v>5930</v>
      </c>
      <c r="N305" t="s">
        <v>7485</v>
      </c>
      <c r="O305" t="s">
        <v>7486</v>
      </c>
      <c r="Q305" t="s">
        <v>7002</v>
      </c>
      <c r="R305" t="s">
        <v>5930</v>
      </c>
      <c r="S305">
        <v>15</v>
      </c>
      <c r="V305" t="s">
        <v>7000</v>
      </c>
      <c r="W305" t="s">
        <v>4566</v>
      </c>
      <c r="X305" t="s">
        <v>7485</v>
      </c>
      <c r="AA305" t="s">
        <v>7002</v>
      </c>
      <c r="AB305" t="s">
        <v>5930</v>
      </c>
      <c r="AC305" t="s">
        <v>7485</v>
      </c>
      <c r="AD305" t="s">
        <v>7486</v>
      </c>
      <c r="AF305" t="s">
        <v>7002</v>
      </c>
      <c r="AG305" t="s">
        <v>5930</v>
      </c>
      <c r="AH305" t="s">
        <v>7485</v>
      </c>
      <c r="AI305" t="s">
        <v>7486</v>
      </c>
      <c r="AK305" t="s">
        <v>7002</v>
      </c>
      <c r="AL305" t="s">
        <v>5930</v>
      </c>
      <c r="AM305">
        <v>15</v>
      </c>
      <c r="AN305" t="s">
        <v>7486</v>
      </c>
    </row>
    <row r="306" spans="2:40" x14ac:dyDescent="0.3">
      <c r="B306" t="s">
        <v>7002</v>
      </c>
      <c r="C306" t="s">
        <v>5930</v>
      </c>
      <c r="D306" t="s">
        <v>7485</v>
      </c>
      <c r="G306" t="s">
        <v>7000</v>
      </c>
      <c r="H306" t="s">
        <v>5930</v>
      </c>
      <c r="I306">
        <v>0</v>
      </c>
      <c r="J306" t="s">
        <v>7486</v>
      </c>
      <c r="L306" t="s">
        <v>7000</v>
      </c>
      <c r="M306" t="s">
        <v>5930</v>
      </c>
      <c r="N306" t="s">
        <v>7485</v>
      </c>
      <c r="Q306" t="s">
        <v>7000</v>
      </c>
      <c r="R306" t="s">
        <v>5930</v>
      </c>
      <c r="S306">
        <v>15</v>
      </c>
      <c r="T306" t="s">
        <v>7486</v>
      </c>
      <c r="V306" t="s">
        <v>7000</v>
      </c>
      <c r="W306" t="s">
        <v>4694</v>
      </c>
      <c r="X306">
        <v>0</v>
      </c>
      <c r="AA306" t="s">
        <v>7000</v>
      </c>
      <c r="AB306" t="s">
        <v>5930</v>
      </c>
      <c r="AC306" t="s">
        <v>7485</v>
      </c>
      <c r="AF306" t="s">
        <v>7000</v>
      </c>
      <c r="AG306" t="s">
        <v>5930</v>
      </c>
      <c r="AH306" t="s">
        <v>7485</v>
      </c>
      <c r="AK306" t="s">
        <v>7000</v>
      </c>
      <c r="AL306" t="s">
        <v>5930</v>
      </c>
      <c r="AM306">
        <v>16</v>
      </c>
    </row>
    <row r="307" spans="2:40" x14ac:dyDescent="0.3">
      <c r="B307" t="s">
        <v>7000</v>
      </c>
      <c r="C307" t="s">
        <v>5934</v>
      </c>
      <c r="D307" t="s">
        <v>7485</v>
      </c>
      <c r="G307" t="s">
        <v>7000</v>
      </c>
      <c r="H307" t="s">
        <v>5934</v>
      </c>
      <c r="I307">
        <v>49.405999999999999</v>
      </c>
      <c r="L307" t="s">
        <v>7000</v>
      </c>
      <c r="M307" t="s">
        <v>5934</v>
      </c>
      <c r="N307" t="s">
        <v>7485</v>
      </c>
      <c r="Q307" t="s">
        <v>7000</v>
      </c>
      <c r="R307" t="s">
        <v>5934</v>
      </c>
      <c r="S307" t="s">
        <v>7485</v>
      </c>
      <c r="V307" t="s">
        <v>7000</v>
      </c>
      <c r="W307" t="s">
        <v>4701</v>
      </c>
      <c r="X307" t="s">
        <v>7485</v>
      </c>
      <c r="AA307" t="s">
        <v>7000</v>
      </c>
      <c r="AB307" t="s">
        <v>5934</v>
      </c>
      <c r="AC307" t="s">
        <v>7485</v>
      </c>
      <c r="AF307" t="s">
        <v>7000</v>
      </c>
      <c r="AG307" t="s">
        <v>5934</v>
      </c>
      <c r="AH307" t="s">
        <v>7485</v>
      </c>
      <c r="AK307" t="s">
        <v>7000</v>
      </c>
      <c r="AL307" t="s">
        <v>5934</v>
      </c>
      <c r="AM307">
        <v>16</v>
      </c>
    </row>
    <row r="308" spans="2:40" x14ac:dyDescent="0.3">
      <c r="B308" t="s">
        <v>7001</v>
      </c>
      <c r="C308" t="s">
        <v>5942</v>
      </c>
      <c r="D308" t="s">
        <v>7485</v>
      </c>
      <c r="G308" t="s">
        <v>7001</v>
      </c>
      <c r="H308" t="s">
        <v>5942</v>
      </c>
      <c r="I308">
        <v>0</v>
      </c>
      <c r="L308" t="s">
        <v>7001</v>
      </c>
      <c r="M308" t="s">
        <v>5942</v>
      </c>
      <c r="N308" t="s">
        <v>7485</v>
      </c>
      <c r="Q308" t="s">
        <v>7001</v>
      </c>
      <c r="R308" t="s">
        <v>5942</v>
      </c>
      <c r="S308" t="s">
        <v>7485</v>
      </c>
      <c r="V308" t="s">
        <v>7000</v>
      </c>
      <c r="W308" t="s">
        <v>4719</v>
      </c>
      <c r="X308" t="s">
        <v>7485</v>
      </c>
      <c r="AA308" t="s">
        <v>7001</v>
      </c>
      <c r="AB308" t="s">
        <v>5942</v>
      </c>
      <c r="AC308" t="s">
        <v>7485</v>
      </c>
      <c r="AF308" t="s">
        <v>7001</v>
      </c>
      <c r="AG308" t="s">
        <v>5942</v>
      </c>
      <c r="AH308" t="s">
        <v>7485</v>
      </c>
      <c r="AK308" t="s">
        <v>7001</v>
      </c>
      <c r="AL308" t="s">
        <v>5942</v>
      </c>
      <c r="AM308">
        <v>13</v>
      </c>
    </row>
    <row r="309" spans="2:40" x14ac:dyDescent="0.3">
      <c r="B309" t="s">
        <v>7002</v>
      </c>
      <c r="C309" t="s">
        <v>5952</v>
      </c>
      <c r="D309" t="s">
        <v>7485</v>
      </c>
      <c r="G309" t="s">
        <v>7002</v>
      </c>
      <c r="H309" t="s">
        <v>5952</v>
      </c>
      <c r="I309">
        <v>0</v>
      </c>
      <c r="L309" t="s">
        <v>7002</v>
      </c>
      <c r="M309" t="s">
        <v>5952</v>
      </c>
      <c r="N309" t="s">
        <v>7485</v>
      </c>
      <c r="Q309" t="s">
        <v>7002</v>
      </c>
      <c r="R309" t="s">
        <v>5952</v>
      </c>
      <c r="S309" t="s">
        <v>7485</v>
      </c>
      <c r="V309" t="s">
        <v>7000</v>
      </c>
      <c r="W309" t="s">
        <v>4741</v>
      </c>
      <c r="X309" t="s">
        <v>7485</v>
      </c>
      <c r="AA309" t="s">
        <v>7002</v>
      </c>
      <c r="AB309" t="s">
        <v>5952</v>
      </c>
      <c r="AC309" t="s">
        <v>7485</v>
      </c>
      <c r="AF309" t="s">
        <v>7002</v>
      </c>
      <c r="AG309" t="s">
        <v>5952</v>
      </c>
      <c r="AH309" t="s">
        <v>7485</v>
      </c>
      <c r="AK309" t="s">
        <v>7002</v>
      </c>
      <c r="AL309" t="s">
        <v>5952</v>
      </c>
      <c r="AM309">
        <v>15</v>
      </c>
    </row>
    <row r="310" spans="2:40" x14ac:dyDescent="0.3">
      <c r="B310" t="s">
        <v>7002</v>
      </c>
      <c r="C310" t="s">
        <v>5956</v>
      </c>
      <c r="D310" t="s">
        <v>7485</v>
      </c>
      <c r="G310" t="s">
        <v>7002</v>
      </c>
      <c r="H310" t="s">
        <v>5956</v>
      </c>
      <c r="I310">
        <v>0</v>
      </c>
      <c r="L310" t="s">
        <v>7002</v>
      </c>
      <c r="M310" t="s">
        <v>5956</v>
      </c>
      <c r="N310" t="s">
        <v>7485</v>
      </c>
      <c r="Q310" t="s">
        <v>7002</v>
      </c>
      <c r="R310" t="s">
        <v>5956</v>
      </c>
      <c r="S310" t="s">
        <v>7485</v>
      </c>
      <c r="V310" t="s">
        <v>7000</v>
      </c>
      <c r="W310" t="s">
        <v>4751</v>
      </c>
      <c r="X310" t="s">
        <v>7485</v>
      </c>
      <c r="AA310" t="s">
        <v>7002</v>
      </c>
      <c r="AB310" t="s">
        <v>5956</v>
      </c>
      <c r="AC310" t="s">
        <v>7485</v>
      </c>
      <c r="AF310" t="s">
        <v>7002</v>
      </c>
      <c r="AG310" t="s">
        <v>5956</v>
      </c>
      <c r="AH310" t="s">
        <v>7485</v>
      </c>
      <c r="AK310" t="s">
        <v>7002</v>
      </c>
      <c r="AL310" t="s">
        <v>5956</v>
      </c>
      <c r="AM310">
        <v>15</v>
      </c>
    </row>
    <row r="311" spans="2:40" x14ac:dyDescent="0.3">
      <c r="B311" t="s">
        <v>6999</v>
      </c>
      <c r="C311" t="s">
        <v>6004</v>
      </c>
      <c r="D311" t="s">
        <v>7485</v>
      </c>
      <c r="G311" t="s">
        <v>6999</v>
      </c>
      <c r="H311" t="s">
        <v>6004</v>
      </c>
      <c r="I311">
        <v>0</v>
      </c>
      <c r="L311" t="s">
        <v>6999</v>
      </c>
      <c r="M311" t="s">
        <v>6004</v>
      </c>
      <c r="N311" t="s">
        <v>7485</v>
      </c>
      <c r="Q311" t="s">
        <v>6999</v>
      </c>
      <c r="R311" t="s">
        <v>6004</v>
      </c>
      <c r="S311" t="s">
        <v>7485</v>
      </c>
      <c r="V311" t="s">
        <v>7000</v>
      </c>
      <c r="W311" t="s">
        <v>4782</v>
      </c>
      <c r="X311" t="s">
        <v>7485</v>
      </c>
      <c r="AA311" t="s">
        <v>6999</v>
      </c>
      <c r="AB311" t="s">
        <v>6004</v>
      </c>
      <c r="AC311" t="s">
        <v>7485</v>
      </c>
      <c r="AF311" t="s">
        <v>6999</v>
      </c>
      <c r="AG311" t="s">
        <v>6004</v>
      </c>
      <c r="AH311" t="s">
        <v>7485</v>
      </c>
      <c r="AK311" t="s">
        <v>6999</v>
      </c>
      <c r="AL311" t="s">
        <v>6004</v>
      </c>
      <c r="AM311">
        <v>15</v>
      </c>
    </row>
    <row r="312" spans="2:40" x14ac:dyDescent="0.3">
      <c r="B312" t="s">
        <v>7002</v>
      </c>
      <c r="C312" t="s">
        <v>6007</v>
      </c>
      <c r="D312" t="s">
        <v>7485</v>
      </c>
      <c r="G312" t="s">
        <v>7002</v>
      </c>
      <c r="H312" t="s">
        <v>6007</v>
      </c>
      <c r="I312">
        <v>42.347999999999999</v>
      </c>
      <c r="L312" t="s">
        <v>7002</v>
      </c>
      <c r="M312" t="s">
        <v>6007</v>
      </c>
      <c r="N312" t="s">
        <v>7485</v>
      </c>
      <c r="Q312" t="s">
        <v>7002</v>
      </c>
      <c r="R312" t="s">
        <v>6007</v>
      </c>
      <c r="S312" t="s">
        <v>7485</v>
      </c>
      <c r="V312" t="s">
        <v>7000</v>
      </c>
      <c r="W312" t="s">
        <v>4821</v>
      </c>
      <c r="X312" t="s">
        <v>7485</v>
      </c>
      <c r="AA312" t="s">
        <v>7002</v>
      </c>
      <c r="AB312" t="s">
        <v>6007</v>
      </c>
      <c r="AC312">
        <v>0</v>
      </c>
      <c r="AF312" t="s">
        <v>7002</v>
      </c>
      <c r="AG312" t="s">
        <v>6007</v>
      </c>
      <c r="AH312">
        <v>21.74</v>
      </c>
      <c r="AK312" t="s">
        <v>7002</v>
      </c>
      <c r="AL312" t="s">
        <v>6007</v>
      </c>
      <c r="AM312">
        <v>15</v>
      </c>
    </row>
    <row r="313" spans="2:40" x14ac:dyDescent="0.3">
      <c r="B313" t="s">
        <v>7000</v>
      </c>
      <c r="C313" t="s">
        <v>6030</v>
      </c>
      <c r="D313" t="s">
        <v>7485</v>
      </c>
      <c r="G313" t="s">
        <v>7000</v>
      </c>
      <c r="H313" t="s">
        <v>6030</v>
      </c>
      <c r="I313">
        <v>35.29</v>
      </c>
      <c r="L313" t="s">
        <v>7000</v>
      </c>
      <c r="M313" t="s">
        <v>6030</v>
      </c>
      <c r="N313" t="s">
        <v>7485</v>
      </c>
      <c r="Q313" t="s">
        <v>7000</v>
      </c>
      <c r="R313" t="s">
        <v>6030</v>
      </c>
      <c r="S313" t="s">
        <v>7485</v>
      </c>
      <c r="V313" t="s">
        <v>7000</v>
      </c>
      <c r="W313" t="s">
        <v>4879</v>
      </c>
      <c r="X313" t="s">
        <v>7485</v>
      </c>
      <c r="AA313" t="s">
        <v>7000</v>
      </c>
      <c r="AB313" t="s">
        <v>6030</v>
      </c>
      <c r="AC313" t="s">
        <v>7485</v>
      </c>
      <c r="AF313" t="s">
        <v>7000</v>
      </c>
      <c r="AG313" t="s">
        <v>6030</v>
      </c>
      <c r="AH313" t="s">
        <v>7485</v>
      </c>
      <c r="AK313" t="s">
        <v>7000</v>
      </c>
      <c r="AL313" t="s">
        <v>6030</v>
      </c>
      <c r="AM313">
        <v>16</v>
      </c>
    </row>
    <row r="314" spans="2:40" x14ac:dyDescent="0.3">
      <c r="B314" t="s">
        <v>7000</v>
      </c>
      <c r="C314" t="s">
        <v>6066</v>
      </c>
      <c r="D314" t="s">
        <v>7485</v>
      </c>
      <c r="G314" t="s">
        <v>7000</v>
      </c>
      <c r="H314" t="s">
        <v>6066</v>
      </c>
      <c r="I314">
        <v>0</v>
      </c>
      <c r="L314" t="s">
        <v>7000</v>
      </c>
      <c r="M314" t="s">
        <v>6066</v>
      </c>
      <c r="N314" t="s">
        <v>7485</v>
      </c>
      <c r="Q314" t="s">
        <v>7000</v>
      </c>
      <c r="R314" t="s">
        <v>6066</v>
      </c>
      <c r="S314">
        <v>80</v>
      </c>
      <c r="V314" t="s">
        <v>7000</v>
      </c>
      <c r="W314" t="s">
        <v>4914</v>
      </c>
      <c r="X314">
        <v>148.97</v>
      </c>
      <c r="AA314" t="s">
        <v>7000</v>
      </c>
      <c r="AB314" t="s">
        <v>6066</v>
      </c>
      <c r="AC314" t="s">
        <v>7485</v>
      </c>
      <c r="AF314" t="s">
        <v>7000</v>
      </c>
      <c r="AG314" t="s">
        <v>6066</v>
      </c>
      <c r="AH314" t="s">
        <v>7485</v>
      </c>
      <c r="AK314" t="s">
        <v>7000</v>
      </c>
      <c r="AL314" t="s">
        <v>6066</v>
      </c>
      <c r="AM314">
        <v>15</v>
      </c>
    </row>
    <row r="315" spans="2:40" x14ac:dyDescent="0.3">
      <c r="B315" t="s">
        <v>7002</v>
      </c>
      <c r="C315" t="s">
        <v>6076</v>
      </c>
      <c r="D315" t="s">
        <v>7485</v>
      </c>
      <c r="G315" t="s">
        <v>7002</v>
      </c>
      <c r="H315" t="s">
        <v>6076</v>
      </c>
      <c r="I315">
        <v>0</v>
      </c>
      <c r="L315" t="s">
        <v>7002</v>
      </c>
      <c r="M315" t="s">
        <v>6076</v>
      </c>
      <c r="N315" t="s">
        <v>7485</v>
      </c>
      <c r="Q315" t="s">
        <v>7002</v>
      </c>
      <c r="R315" t="s">
        <v>6076</v>
      </c>
      <c r="S315" t="s">
        <v>7485</v>
      </c>
      <c r="V315" t="s">
        <v>7000</v>
      </c>
      <c r="W315" t="s">
        <v>5021</v>
      </c>
      <c r="X315" t="s">
        <v>7485</v>
      </c>
      <c r="AA315" t="s">
        <v>7002</v>
      </c>
      <c r="AB315" t="s">
        <v>6076</v>
      </c>
      <c r="AC315" t="s">
        <v>7485</v>
      </c>
      <c r="AF315" t="s">
        <v>7002</v>
      </c>
      <c r="AG315" t="s">
        <v>6076</v>
      </c>
      <c r="AH315" t="s">
        <v>7485</v>
      </c>
      <c r="AK315" t="s">
        <v>7002</v>
      </c>
      <c r="AL315" t="s">
        <v>6076</v>
      </c>
      <c r="AM315">
        <v>16</v>
      </c>
    </row>
    <row r="316" spans="2:40" x14ac:dyDescent="0.3">
      <c r="B316" t="s">
        <v>7000</v>
      </c>
      <c r="C316" t="s">
        <v>6091</v>
      </c>
      <c r="D316" t="s">
        <v>7485</v>
      </c>
      <c r="G316" t="s">
        <v>7002</v>
      </c>
      <c r="H316" t="s">
        <v>6091</v>
      </c>
      <c r="I316">
        <v>0</v>
      </c>
      <c r="J316" t="s">
        <v>7486</v>
      </c>
      <c r="L316" t="s">
        <v>7002</v>
      </c>
      <c r="M316" t="s">
        <v>6091</v>
      </c>
      <c r="N316" t="s">
        <v>7485</v>
      </c>
      <c r="O316" t="s">
        <v>7486</v>
      </c>
      <c r="Q316" t="s">
        <v>7002</v>
      </c>
      <c r="R316" t="s">
        <v>6091</v>
      </c>
      <c r="S316" t="s">
        <v>7485</v>
      </c>
      <c r="T316" t="s">
        <v>7486</v>
      </c>
      <c r="V316" t="s">
        <v>7000</v>
      </c>
      <c r="W316" t="s">
        <v>5064</v>
      </c>
      <c r="X316" t="s">
        <v>7485</v>
      </c>
      <c r="AA316" t="s">
        <v>7002</v>
      </c>
      <c r="AB316" t="s">
        <v>6091</v>
      </c>
      <c r="AC316" t="s">
        <v>7485</v>
      </c>
      <c r="AD316" t="s">
        <v>7486</v>
      </c>
      <c r="AF316" t="s">
        <v>7002</v>
      </c>
      <c r="AG316" t="s">
        <v>6091</v>
      </c>
      <c r="AH316" t="s">
        <v>7485</v>
      </c>
      <c r="AI316" t="s">
        <v>7486</v>
      </c>
      <c r="AK316" t="s">
        <v>7002</v>
      </c>
      <c r="AL316" t="s">
        <v>6091</v>
      </c>
      <c r="AM316">
        <v>15</v>
      </c>
      <c r="AN316" t="s">
        <v>7486</v>
      </c>
    </row>
    <row r="317" spans="2:40" x14ac:dyDescent="0.3">
      <c r="B317" t="s">
        <v>7002</v>
      </c>
      <c r="C317" t="s">
        <v>6091</v>
      </c>
      <c r="D317" t="s">
        <v>7485</v>
      </c>
      <c r="G317" t="s">
        <v>7000</v>
      </c>
      <c r="H317" t="s">
        <v>6091</v>
      </c>
      <c r="I317">
        <v>0</v>
      </c>
      <c r="L317" t="s">
        <v>7000</v>
      </c>
      <c r="M317" t="s">
        <v>6091</v>
      </c>
      <c r="N317" t="s">
        <v>7485</v>
      </c>
      <c r="Q317" t="s">
        <v>7000</v>
      </c>
      <c r="R317" t="s">
        <v>6091</v>
      </c>
      <c r="S317" t="s">
        <v>7485</v>
      </c>
      <c r="V317" t="s">
        <v>7000</v>
      </c>
      <c r="W317" t="s">
        <v>5127</v>
      </c>
      <c r="X317" t="s">
        <v>7485</v>
      </c>
      <c r="AA317" t="s">
        <v>7000</v>
      </c>
      <c r="AB317" t="s">
        <v>6091</v>
      </c>
      <c r="AC317" t="s">
        <v>7485</v>
      </c>
      <c r="AF317" t="s">
        <v>7000</v>
      </c>
      <c r="AG317" t="s">
        <v>6091</v>
      </c>
      <c r="AH317" t="s">
        <v>7485</v>
      </c>
      <c r="AK317" t="s">
        <v>7000</v>
      </c>
      <c r="AL317" t="s">
        <v>6091</v>
      </c>
      <c r="AM317">
        <v>15</v>
      </c>
    </row>
    <row r="318" spans="2:40" x14ac:dyDescent="0.3">
      <c r="B318" t="s">
        <v>7001</v>
      </c>
      <c r="C318" t="s">
        <v>6115</v>
      </c>
      <c r="D318" t="s">
        <v>7485</v>
      </c>
      <c r="G318" t="s">
        <v>7001</v>
      </c>
      <c r="H318" t="s">
        <v>6115</v>
      </c>
      <c r="I318">
        <v>0</v>
      </c>
      <c r="L318" t="s">
        <v>7001</v>
      </c>
      <c r="M318" t="s">
        <v>6115</v>
      </c>
      <c r="N318" t="s">
        <v>7485</v>
      </c>
      <c r="Q318" t="s">
        <v>7001</v>
      </c>
      <c r="R318" t="s">
        <v>6115</v>
      </c>
      <c r="S318" t="s">
        <v>7485</v>
      </c>
      <c r="V318" t="s">
        <v>7000</v>
      </c>
      <c r="W318" t="s">
        <v>5153</v>
      </c>
      <c r="X318" t="s">
        <v>7485</v>
      </c>
      <c r="AA318" t="s">
        <v>7001</v>
      </c>
      <c r="AB318" t="s">
        <v>6115</v>
      </c>
      <c r="AC318" t="s">
        <v>7485</v>
      </c>
      <c r="AF318" t="s">
        <v>7001</v>
      </c>
      <c r="AG318" t="s">
        <v>6115</v>
      </c>
      <c r="AH318" t="s">
        <v>7485</v>
      </c>
      <c r="AK318" t="s">
        <v>7001</v>
      </c>
      <c r="AL318" t="s">
        <v>6115</v>
      </c>
      <c r="AM318">
        <v>16</v>
      </c>
    </row>
    <row r="319" spans="2:40" x14ac:dyDescent="0.3">
      <c r="B319" t="s">
        <v>7001</v>
      </c>
      <c r="C319" t="s">
        <v>6125</v>
      </c>
      <c r="D319" t="s">
        <v>7485</v>
      </c>
      <c r="G319" t="s">
        <v>7001</v>
      </c>
      <c r="H319" t="s">
        <v>6125</v>
      </c>
      <c r="I319">
        <v>0</v>
      </c>
      <c r="L319" t="s">
        <v>7001</v>
      </c>
      <c r="M319" t="s">
        <v>6125</v>
      </c>
      <c r="N319" t="s">
        <v>7485</v>
      </c>
      <c r="Q319" t="s">
        <v>7001</v>
      </c>
      <c r="R319" t="s">
        <v>6125</v>
      </c>
      <c r="S319" t="s">
        <v>7485</v>
      </c>
      <c r="V319" t="s">
        <v>7000</v>
      </c>
      <c r="W319" t="s">
        <v>5166</v>
      </c>
      <c r="X319" t="s">
        <v>7485</v>
      </c>
      <c r="AA319" t="s">
        <v>7001</v>
      </c>
      <c r="AB319" t="s">
        <v>6125</v>
      </c>
      <c r="AC319" t="s">
        <v>7485</v>
      </c>
      <c r="AF319" t="s">
        <v>7001</v>
      </c>
      <c r="AG319" t="s">
        <v>6125</v>
      </c>
      <c r="AH319" t="s">
        <v>7485</v>
      </c>
      <c r="AK319" t="s">
        <v>7001</v>
      </c>
      <c r="AL319" t="s">
        <v>6125</v>
      </c>
      <c r="AM319">
        <v>16</v>
      </c>
    </row>
    <row r="320" spans="2:40" x14ac:dyDescent="0.3">
      <c r="B320" t="s">
        <v>7000</v>
      </c>
      <c r="C320" t="s">
        <v>6129</v>
      </c>
      <c r="D320">
        <v>120</v>
      </c>
      <c r="G320" t="s">
        <v>7000</v>
      </c>
      <c r="H320" t="s">
        <v>6129</v>
      </c>
      <c r="I320">
        <v>0</v>
      </c>
      <c r="L320" t="s">
        <v>7000</v>
      </c>
      <c r="M320" t="s">
        <v>6129</v>
      </c>
      <c r="N320" t="s">
        <v>7485</v>
      </c>
      <c r="Q320" t="s">
        <v>7000</v>
      </c>
      <c r="R320" t="s">
        <v>6129</v>
      </c>
      <c r="S320">
        <v>100</v>
      </c>
      <c r="V320" t="s">
        <v>7000</v>
      </c>
      <c r="W320" t="s">
        <v>5279</v>
      </c>
      <c r="X320" t="s">
        <v>7485</v>
      </c>
      <c r="AA320" t="s">
        <v>7000</v>
      </c>
      <c r="AB320" t="s">
        <v>6129</v>
      </c>
      <c r="AC320" t="s">
        <v>7485</v>
      </c>
      <c r="AF320" t="s">
        <v>7000</v>
      </c>
      <c r="AG320" t="s">
        <v>6129</v>
      </c>
      <c r="AH320" t="s">
        <v>7485</v>
      </c>
      <c r="AK320" t="s">
        <v>7000</v>
      </c>
      <c r="AL320" t="s">
        <v>6129</v>
      </c>
      <c r="AM320">
        <v>15</v>
      </c>
    </row>
    <row r="321" spans="2:39" x14ac:dyDescent="0.3">
      <c r="B321" t="s">
        <v>7000</v>
      </c>
      <c r="C321" t="s">
        <v>6136</v>
      </c>
      <c r="D321">
        <v>120</v>
      </c>
      <c r="G321" t="s">
        <v>7000</v>
      </c>
      <c r="H321" t="s">
        <v>6136</v>
      </c>
      <c r="I321">
        <v>0</v>
      </c>
      <c r="L321" t="s">
        <v>7000</v>
      </c>
      <c r="M321" t="s">
        <v>6136</v>
      </c>
      <c r="N321" t="s">
        <v>7485</v>
      </c>
      <c r="Q321" t="s">
        <v>7000</v>
      </c>
      <c r="R321" t="s">
        <v>6136</v>
      </c>
      <c r="S321">
        <v>100</v>
      </c>
      <c r="V321" t="s">
        <v>7000</v>
      </c>
      <c r="W321" t="s">
        <v>5306</v>
      </c>
      <c r="X321" t="s">
        <v>7485</v>
      </c>
      <c r="AA321" t="s">
        <v>7000</v>
      </c>
      <c r="AB321" t="s">
        <v>6136</v>
      </c>
      <c r="AC321" t="s">
        <v>7485</v>
      </c>
      <c r="AF321" t="s">
        <v>7000</v>
      </c>
      <c r="AG321" t="s">
        <v>6136</v>
      </c>
      <c r="AH321" t="s">
        <v>7485</v>
      </c>
      <c r="AK321" t="s">
        <v>7000</v>
      </c>
      <c r="AL321" t="s">
        <v>6136</v>
      </c>
      <c r="AM321">
        <v>15</v>
      </c>
    </row>
    <row r="322" spans="2:39" x14ac:dyDescent="0.3">
      <c r="B322" t="s">
        <v>7002</v>
      </c>
      <c r="C322" t="s">
        <v>6203</v>
      </c>
      <c r="D322" t="s">
        <v>7485</v>
      </c>
      <c r="G322" t="s">
        <v>7002</v>
      </c>
      <c r="H322" t="s">
        <v>6203</v>
      </c>
      <c r="I322">
        <v>0</v>
      </c>
      <c r="L322" t="s">
        <v>7002</v>
      </c>
      <c r="M322" t="s">
        <v>6203</v>
      </c>
      <c r="N322" t="s">
        <v>7485</v>
      </c>
      <c r="Q322" t="s">
        <v>7002</v>
      </c>
      <c r="R322" t="s">
        <v>6203</v>
      </c>
      <c r="S322" t="s">
        <v>7485</v>
      </c>
      <c r="V322" t="s">
        <v>7000</v>
      </c>
      <c r="W322" t="s">
        <v>5439</v>
      </c>
      <c r="X322" t="s">
        <v>7485</v>
      </c>
      <c r="AA322" t="s">
        <v>7002</v>
      </c>
      <c r="AB322" t="s">
        <v>6203</v>
      </c>
      <c r="AC322" t="s">
        <v>7485</v>
      </c>
      <c r="AF322" t="s">
        <v>7002</v>
      </c>
      <c r="AG322" t="s">
        <v>6203</v>
      </c>
      <c r="AH322" t="s">
        <v>7485</v>
      </c>
      <c r="AK322" t="s">
        <v>7002</v>
      </c>
      <c r="AL322" t="s">
        <v>6203</v>
      </c>
      <c r="AM322">
        <v>14</v>
      </c>
    </row>
    <row r="323" spans="2:39" x14ac:dyDescent="0.3">
      <c r="B323" t="s">
        <v>7000</v>
      </c>
      <c r="C323" t="s">
        <v>6285</v>
      </c>
      <c r="D323" t="s">
        <v>7485</v>
      </c>
      <c r="G323" t="s">
        <v>7000</v>
      </c>
      <c r="H323" t="s">
        <v>6285</v>
      </c>
      <c r="I323">
        <v>0</v>
      </c>
      <c r="L323" t="s">
        <v>7000</v>
      </c>
      <c r="M323" t="s">
        <v>6285</v>
      </c>
      <c r="N323" t="s">
        <v>7485</v>
      </c>
      <c r="Q323" t="s">
        <v>7000</v>
      </c>
      <c r="R323" t="s">
        <v>6285</v>
      </c>
      <c r="S323" t="s">
        <v>7485</v>
      </c>
      <c r="V323" t="s">
        <v>7000</v>
      </c>
      <c r="W323" t="s">
        <v>5447</v>
      </c>
      <c r="X323" t="s">
        <v>7485</v>
      </c>
      <c r="AA323" t="s">
        <v>7000</v>
      </c>
      <c r="AB323" t="s">
        <v>6285</v>
      </c>
      <c r="AC323">
        <v>0</v>
      </c>
      <c r="AF323" t="s">
        <v>7000</v>
      </c>
      <c r="AG323" t="s">
        <v>6285</v>
      </c>
      <c r="AH323">
        <v>21.74</v>
      </c>
      <c r="AK323" t="s">
        <v>7000</v>
      </c>
      <c r="AL323" t="s">
        <v>6285</v>
      </c>
      <c r="AM323">
        <v>14</v>
      </c>
    </row>
    <row r="324" spans="2:39" x14ac:dyDescent="0.3">
      <c r="B324" t="s">
        <v>6999</v>
      </c>
      <c r="C324" t="s">
        <v>6312</v>
      </c>
      <c r="D324" t="s">
        <v>7485</v>
      </c>
      <c r="G324" t="s">
        <v>6999</v>
      </c>
      <c r="H324" t="s">
        <v>6312</v>
      </c>
      <c r="I324">
        <v>211.74</v>
      </c>
      <c r="L324" t="s">
        <v>6999</v>
      </c>
      <c r="M324" t="s">
        <v>6312</v>
      </c>
      <c r="N324" t="s">
        <v>7485</v>
      </c>
      <c r="Q324" t="s">
        <v>6999</v>
      </c>
      <c r="R324" t="s">
        <v>6312</v>
      </c>
      <c r="S324" t="s">
        <v>7485</v>
      </c>
      <c r="V324" t="s">
        <v>7000</v>
      </c>
      <c r="W324" t="s">
        <v>5467</v>
      </c>
      <c r="X324" t="s">
        <v>7485</v>
      </c>
      <c r="AA324" t="s">
        <v>6999</v>
      </c>
      <c r="AB324" t="s">
        <v>6312</v>
      </c>
      <c r="AC324" t="s">
        <v>7485</v>
      </c>
      <c r="AF324" t="s">
        <v>6999</v>
      </c>
      <c r="AG324" t="s">
        <v>6312</v>
      </c>
      <c r="AH324" t="s">
        <v>7485</v>
      </c>
      <c r="AK324" t="s">
        <v>6999</v>
      </c>
      <c r="AL324" t="s">
        <v>6312</v>
      </c>
      <c r="AM324">
        <v>15</v>
      </c>
    </row>
    <row r="325" spans="2:39" x14ac:dyDescent="0.3">
      <c r="B325" t="s">
        <v>6999</v>
      </c>
      <c r="C325" t="s">
        <v>6320</v>
      </c>
      <c r="D325" t="s">
        <v>7485</v>
      </c>
      <c r="G325" t="s">
        <v>6999</v>
      </c>
      <c r="H325" t="s">
        <v>6320</v>
      </c>
      <c r="I325">
        <v>211.74</v>
      </c>
      <c r="L325" t="s">
        <v>6999</v>
      </c>
      <c r="M325" t="s">
        <v>6320</v>
      </c>
      <c r="N325" t="s">
        <v>7485</v>
      </c>
      <c r="Q325" t="s">
        <v>6999</v>
      </c>
      <c r="R325" t="s">
        <v>6320</v>
      </c>
      <c r="S325" t="s">
        <v>7485</v>
      </c>
      <c r="V325" t="s">
        <v>7000</v>
      </c>
      <c r="W325" t="s">
        <v>5488</v>
      </c>
      <c r="X325" t="s">
        <v>7485</v>
      </c>
      <c r="AA325" t="s">
        <v>6999</v>
      </c>
      <c r="AB325" t="s">
        <v>6320</v>
      </c>
      <c r="AC325" t="s">
        <v>7485</v>
      </c>
      <c r="AF325" t="s">
        <v>6999</v>
      </c>
      <c r="AG325" t="s">
        <v>6320</v>
      </c>
      <c r="AH325" t="s">
        <v>7485</v>
      </c>
      <c r="AK325" t="s">
        <v>6999</v>
      </c>
      <c r="AL325" t="s">
        <v>6320</v>
      </c>
      <c r="AM325">
        <v>15</v>
      </c>
    </row>
    <row r="326" spans="2:39" x14ac:dyDescent="0.3">
      <c r="B326" t="s">
        <v>7000</v>
      </c>
      <c r="C326" t="s">
        <v>6329</v>
      </c>
      <c r="D326" t="s">
        <v>7485</v>
      </c>
      <c r="G326" t="s">
        <v>7000</v>
      </c>
      <c r="H326" t="s">
        <v>6329</v>
      </c>
      <c r="I326">
        <v>218.798</v>
      </c>
      <c r="L326" t="s">
        <v>7000</v>
      </c>
      <c r="M326" t="s">
        <v>6329</v>
      </c>
      <c r="N326" t="s">
        <v>7485</v>
      </c>
      <c r="Q326" t="s">
        <v>7000</v>
      </c>
      <c r="R326" t="s">
        <v>6329</v>
      </c>
      <c r="S326" t="s">
        <v>7485</v>
      </c>
      <c r="V326" t="s">
        <v>7000</v>
      </c>
      <c r="W326" t="s">
        <v>5533</v>
      </c>
      <c r="X326" t="s">
        <v>7485</v>
      </c>
      <c r="AA326" t="s">
        <v>7000</v>
      </c>
      <c r="AB326" t="s">
        <v>6329</v>
      </c>
      <c r="AC326">
        <v>0</v>
      </c>
      <c r="AF326" t="s">
        <v>7000</v>
      </c>
      <c r="AG326" t="s">
        <v>6329</v>
      </c>
      <c r="AH326">
        <v>0</v>
      </c>
      <c r="AK326" t="s">
        <v>7000</v>
      </c>
      <c r="AL326" t="s">
        <v>6329</v>
      </c>
      <c r="AM326">
        <v>15</v>
      </c>
    </row>
    <row r="327" spans="2:39" x14ac:dyDescent="0.3">
      <c r="B327" t="s">
        <v>6999</v>
      </c>
      <c r="C327" t="s">
        <v>6333</v>
      </c>
      <c r="D327" t="s">
        <v>7485</v>
      </c>
      <c r="G327" t="s">
        <v>6999</v>
      </c>
      <c r="H327" t="s">
        <v>6333</v>
      </c>
      <c r="I327">
        <v>0</v>
      </c>
      <c r="L327" t="s">
        <v>6999</v>
      </c>
      <c r="M327" t="s">
        <v>6333</v>
      </c>
      <c r="N327" t="s">
        <v>7485</v>
      </c>
      <c r="Q327" t="s">
        <v>6999</v>
      </c>
      <c r="R327" t="s">
        <v>6333</v>
      </c>
      <c r="S327">
        <v>140</v>
      </c>
      <c r="V327" t="s">
        <v>7000</v>
      </c>
      <c r="W327" t="s">
        <v>5541</v>
      </c>
      <c r="X327" t="s">
        <v>7485</v>
      </c>
      <c r="AA327" t="s">
        <v>6999</v>
      </c>
      <c r="AB327" t="s">
        <v>6333</v>
      </c>
      <c r="AC327" t="s">
        <v>7485</v>
      </c>
      <c r="AF327" t="s">
        <v>6999</v>
      </c>
      <c r="AG327" t="s">
        <v>6333</v>
      </c>
      <c r="AH327" t="s">
        <v>7485</v>
      </c>
      <c r="AK327" t="s">
        <v>6999</v>
      </c>
      <c r="AL327" t="s">
        <v>6333</v>
      </c>
      <c r="AM327">
        <v>15</v>
      </c>
    </row>
    <row r="328" spans="2:39" x14ac:dyDescent="0.3">
      <c r="B328" t="s">
        <v>7002</v>
      </c>
      <c r="C328" t="s">
        <v>6340</v>
      </c>
      <c r="D328" t="s">
        <v>7485</v>
      </c>
      <c r="G328" t="s">
        <v>7002</v>
      </c>
      <c r="H328" t="s">
        <v>6340</v>
      </c>
      <c r="I328">
        <v>0</v>
      </c>
      <c r="L328" t="s">
        <v>7002</v>
      </c>
      <c r="M328" t="s">
        <v>6340</v>
      </c>
      <c r="N328" t="s">
        <v>7485</v>
      </c>
      <c r="Q328" t="s">
        <v>7002</v>
      </c>
      <c r="R328" t="s">
        <v>6340</v>
      </c>
      <c r="S328">
        <v>84.444444444444443</v>
      </c>
      <c r="V328" t="s">
        <v>7000</v>
      </c>
      <c r="W328" t="s">
        <v>5580</v>
      </c>
      <c r="X328" t="s">
        <v>7485</v>
      </c>
      <c r="AA328" t="s">
        <v>7002</v>
      </c>
      <c r="AB328" t="s">
        <v>6340</v>
      </c>
      <c r="AC328" t="s">
        <v>7485</v>
      </c>
      <c r="AF328" t="s">
        <v>7002</v>
      </c>
      <c r="AG328" t="s">
        <v>6340</v>
      </c>
      <c r="AH328" t="s">
        <v>7485</v>
      </c>
      <c r="AK328" t="s">
        <v>7002</v>
      </c>
      <c r="AL328" t="s">
        <v>6340</v>
      </c>
      <c r="AM328">
        <v>15</v>
      </c>
    </row>
    <row r="329" spans="2:39" x14ac:dyDescent="0.3">
      <c r="B329" t="s">
        <v>7002</v>
      </c>
      <c r="C329" t="s">
        <v>6368</v>
      </c>
      <c r="D329" t="s">
        <v>7485</v>
      </c>
      <c r="G329" t="s">
        <v>7002</v>
      </c>
      <c r="H329" t="s">
        <v>6368</v>
      </c>
      <c r="I329">
        <v>0</v>
      </c>
      <c r="L329" t="s">
        <v>7002</v>
      </c>
      <c r="M329" t="s">
        <v>6368</v>
      </c>
      <c r="N329" t="s">
        <v>7485</v>
      </c>
      <c r="Q329" t="s">
        <v>7002</v>
      </c>
      <c r="R329" t="s">
        <v>6368</v>
      </c>
      <c r="S329">
        <v>86.666666666666657</v>
      </c>
      <c r="V329" t="s">
        <v>7000</v>
      </c>
      <c r="W329" t="s">
        <v>5603</v>
      </c>
      <c r="X329" t="s">
        <v>7485</v>
      </c>
      <c r="AA329" t="s">
        <v>7002</v>
      </c>
      <c r="AB329" t="s">
        <v>6368</v>
      </c>
      <c r="AC329" t="s">
        <v>7485</v>
      </c>
      <c r="AF329" t="s">
        <v>7002</v>
      </c>
      <c r="AG329" t="s">
        <v>6368</v>
      </c>
      <c r="AH329" t="s">
        <v>7485</v>
      </c>
      <c r="AK329" t="s">
        <v>7002</v>
      </c>
      <c r="AL329" t="s">
        <v>6368</v>
      </c>
      <c r="AM329">
        <v>15</v>
      </c>
    </row>
    <row r="330" spans="2:39" x14ac:dyDescent="0.3">
      <c r="B330" t="s">
        <v>7000</v>
      </c>
      <c r="C330" t="s">
        <v>6375</v>
      </c>
      <c r="D330">
        <v>300</v>
      </c>
      <c r="G330" t="s">
        <v>7000</v>
      </c>
      <c r="H330" t="s">
        <v>6375</v>
      </c>
      <c r="I330">
        <v>218.798</v>
      </c>
      <c r="L330" t="s">
        <v>7000</v>
      </c>
      <c r="M330" t="s">
        <v>6375</v>
      </c>
      <c r="N330" t="s">
        <v>7485</v>
      </c>
      <c r="Q330" t="s">
        <v>7000</v>
      </c>
      <c r="R330" t="s">
        <v>6375</v>
      </c>
      <c r="S330" t="s">
        <v>7485</v>
      </c>
      <c r="V330" t="s">
        <v>7000</v>
      </c>
      <c r="W330" t="s">
        <v>5618</v>
      </c>
      <c r="X330" t="s">
        <v>7485</v>
      </c>
      <c r="AA330" t="s">
        <v>7000</v>
      </c>
      <c r="AB330" t="s">
        <v>6375</v>
      </c>
      <c r="AC330" t="s">
        <v>7485</v>
      </c>
      <c r="AF330" t="s">
        <v>7000</v>
      </c>
      <c r="AG330" t="s">
        <v>6375</v>
      </c>
      <c r="AH330" t="s">
        <v>7485</v>
      </c>
      <c r="AK330" t="s">
        <v>7000</v>
      </c>
      <c r="AL330" t="s">
        <v>6375</v>
      </c>
      <c r="AM330">
        <v>16</v>
      </c>
    </row>
    <row r="331" spans="2:39" x14ac:dyDescent="0.3">
      <c r="B331" t="s">
        <v>7000</v>
      </c>
      <c r="C331" t="s">
        <v>6411</v>
      </c>
      <c r="D331" t="s">
        <v>7485</v>
      </c>
      <c r="G331" t="s">
        <v>7000</v>
      </c>
      <c r="H331" t="s">
        <v>6411</v>
      </c>
      <c r="I331">
        <v>218.798</v>
      </c>
      <c r="L331" t="s">
        <v>7000</v>
      </c>
      <c r="M331" t="s">
        <v>6411</v>
      </c>
      <c r="N331" t="s">
        <v>7485</v>
      </c>
      <c r="Q331" t="s">
        <v>7000</v>
      </c>
      <c r="R331" t="s">
        <v>6411</v>
      </c>
      <c r="S331" t="s">
        <v>7485</v>
      </c>
      <c r="V331" t="s">
        <v>7000</v>
      </c>
      <c r="W331" t="s">
        <v>5633</v>
      </c>
      <c r="X331" t="s">
        <v>7485</v>
      </c>
      <c r="AA331" t="s">
        <v>7000</v>
      </c>
      <c r="AB331" t="s">
        <v>6411</v>
      </c>
      <c r="AC331" t="s">
        <v>7485</v>
      </c>
      <c r="AF331" t="s">
        <v>7000</v>
      </c>
      <c r="AG331" t="s">
        <v>6411</v>
      </c>
      <c r="AH331" t="s">
        <v>7485</v>
      </c>
      <c r="AK331" t="s">
        <v>7000</v>
      </c>
      <c r="AL331" t="s">
        <v>6411</v>
      </c>
      <c r="AM331">
        <v>15</v>
      </c>
    </row>
    <row r="332" spans="2:39" x14ac:dyDescent="0.3">
      <c r="B332" t="s">
        <v>7000</v>
      </c>
      <c r="C332" t="s">
        <v>6433</v>
      </c>
      <c r="D332" t="s">
        <v>7485</v>
      </c>
      <c r="G332" t="s">
        <v>7000</v>
      </c>
      <c r="H332" t="s">
        <v>6433</v>
      </c>
      <c r="I332">
        <v>0</v>
      </c>
      <c r="L332" t="s">
        <v>7000</v>
      </c>
      <c r="M332" t="s">
        <v>6433</v>
      </c>
      <c r="N332" t="s">
        <v>7485</v>
      </c>
      <c r="Q332" t="s">
        <v>7000</v>
      </c>
      <c r="R332" t="s">
        <v>6433</v>
      </c>
      <c r="S332" t="s">
        <v>7485</v>
      </c>
      <c r="V332" t="s">
        <v>7000</v>
      </c>
      <c r="W332" t="s">
        <v>5647</v>
      </c>
      <c r="X332">
        <v>69.97</v>
      </c>
      <c r="AA332" t="s">
        <v>7000</v>
      </c>
      <c r="AB332" t="s">
        <v>6433</v>
      </c>
      <c r="AC332" t="s">
        <v>7485</v>
      </c>
      <c r="AF332" t="s">
        <v>7000</v>
      </c>
      <c r="AG332" t="s">
        <v>6433</v>
      </c>
      <c r="AH332" t="s">
        <v>7485</v>
      </c>
      <c r="AK332" t="s">
        <v>7000</v>
      </c>
      <c r="AL332" t="s">
        <v>6433</v>
      </c>
      <c r="AM332">
        <v>15</v>
      </c>
    </row>
    <row r="333" spans="2:39" x14ac:dyDescent="0.3">
      <c r="B333" t="s">
        <v>7000</v>
      </c>
      <c r="C333" t="s">
        <v>6443</v>
      </c>
      <c r="D333" t="s">
        <v>7485</v>
      </c>
      <c r="G333" t="s">
        <v>7000</v>
      </c>
      <c r="H333" t="s">
        <v>6443</v>
      </c>
      <c r="I333">
        <v>0</v>
      </c>
      <c r="L333" t="s">
        <v>7000</v>
      </c>
      <c r="M333" t="s">
        <v>6443</v>
      </c>
      <c r="N333">
        <v>200</v>
      </c>
      <c r="Q333" t="s">
        <v>7000</v>
      </c>
      <c r="R333" t="s">
        <v>6443</v>
      </c>
      <c r="S333" t="s">
        <v>7485</v>
      </c>
      <c r="V333" t="s">
        <v>7000</v>
      </c>
      <c r="W333" t="s">
        <v>5679</v>
      </c>
      <c r="X333" t="s">
        <v>7485</v>
      </c>
      <c r="AA333" t="s">
        <v>7000</v>
      </c>
      <c r="AB333" t="s">
        <v>6443</v>
      </c>
      <c r="AC333" t="s">
        <v>7485</v>
      </c>
      <c r="AF333" t="s">
        <v>7000</v>
      </c>
      <c r="AG333" t="s">
        <v>6443</v>
      </c>
      <c r="AH333" t="s">
        <v>7485</v>
      </c>
      <c r="AK333" t="s">
        <v>7000</v>
      </c>
      <c r="AL333" t="s">
        <v>6443</v>
      </c>
      <c r="AM333">
        <v>15</v>
      </c>
    </row>
    <row r="334" spans="2:39" x14ac:dyDescent="0.3">
      <c r="B334" t="s">
        <v>7001</v>
      </c>
      <c r="C334" t="s">
        <v>6460</v>
      </c>
      <c r="D334" t="s">
        <v>7485</v>
      </c>
      <c r="G334" t="s">
        <v>7001</v>
      </c>
      <c r="H334" t="s">
        <v>6460</v>
      </c>
      <c r="I334">
        <v>0</v>
      </c>
      <c r="L334" t="s">
        <v>7001</v>
      </c>
      <c r="M334" t="s">
        <v>6460</v>
      </c>
      <c r="N334" t="s">
        <v>7485</v>
      </c>
      <c r="Q334" t="s">
        <v>7001</v>
      </c>
      <c r="R334" t="s">
        <v>6460</v>
      </c>
      <c r="S334" t="s">
        <v>7485</v>
      </c>
      <c r="V334" t="s">
        <v>7000</v>
      </c>
      <c r="W334" t="s">
        <v>5767</v>
      </c>
      <c r="X334" t="s">
        <v>7485</v>
      </c>
      <c r="AA334" t="s">
        <v>7001</v>
      </c>
      <c r="AB334" t="s">
        <v>6460</v>
      </c>
      <c r="AC334">
        <v>0</v>
      </c>
      <c r="AF334" t="s">
        <v>7001</v>
      </c>
      <c r="AG334" t="s">
        <v>6460</v>
      </c>
      <c r="AH334">
        <v>0</v>
      </c>
      <c r="AK334" t="s">
        <v>7001</v>
      </c>
      <c r="AL334" t="s">
        <v>6460</v>
      </c>
      <c r="AM334">
        <v>15</v>
      </c>
    </row>
    <row r="335" spans="2:39" x14ac:dyDescent="0.3">
      <c r="B335" t="s">
        <v>7000</v>
      </c>
      <c r="C335" t="s">
        <v>6464</v>
      </c>
      <c r="D335" t="s">
        <v>7485</v>
      </c>
      <c r="G335" t="s">
        <v>7000</v>
      </c>
      <c r="H335" t="s">
        <v>6464</v>
      </c>
      <c r="I335">
        <v>0</v>
      </c>
      <c r="L335" t="s">
        <v>7000</v>
      </c>
      <c r="M335" t="s">
        <v>6464</v>
      </c>
      <c r="N335" t="s">
        <v>7485</v>
      </c>
      <c r="Q335" t="s">
        <v>7000</v>
      </c>
      <c r="R335" t="s">
        <v>6464</v>
      </c>
      <c r="S335" t="s">
        <v>7485</v>
      </c>
      <c r="V335" t="s">
        <v>7000</v>
      </c>
      <c r="W335" t="s">
        <v>5819</v>
      </c>
      <c r="X335" t="s">
        <v>7485</v>
      </c>
      <c r="AA335" t="s">
        <v>7000</v>
      </c>
      <c r="AB335" t="s">
        <v>6464</v>
      </c>
      <c r="AC335">
        <v>0</v>
      </c>
      <c r="AF335" t="s">
        <v>7000</v>
      </c>
      <c r="AG335" t="s">
        <v>6464</v>
      </c>
      <c r="AH335">
        <v>0</v>
      </c>
      <c r="AK335" t="s">
        <v>7000</v>
      </c>
      <c r="AL335" t="s">
        <v>6464</v>
      </c>
      <c r="AM335">
        <v>15</v>
      </c>
    </row>
    <row r="336" spans="2:39" x14ac:dyDescent="0.3">
      <c r="B336" t="s">
        <v>6999</v>
      </c>
      <c r="C336" t="s">
        <v>6468</v>
      </c>
      <c r="D336">
        <v>300</v>
      </c>
      <c r="G336" t="s">
        <v>6999</v>
      </c>
      <c r="H336" t="s">
        <v>6468</v>
      </c>
      <c r="I336">
        <v>0</v>
      </c>
      <c r="L336" t="s">
        <v>6999</v>
      </c>
      <c r="M336" t="s">
        <v>6468</v>
      </c>
      <c r="N336" t="s">
        <v>7485</v>
      </c>
      <c r="Q336" t="s">
        <v>6999</v>
      </c>
      <c r="R336" t="s">
        <v>6468</v>
      </c>
      <c r="S336" t="s">
        <v>7485</v>
      </c>
      <c r="V336" t="s">
        <v>7000</v>
      </c>
      <c r="W336" t="s">
        <v>5823</v>
      </c>
      <c r="X336">
        <v>0</v>
      </c>
      <c r="AA336" t="s">
        <v>6999</v>
      </c>
      <c r="AB336" t="s">
        <v>6468</v>
      </c>
      <c r="AC336" t="s">
        <v>7485</v>
      </c>
      <c r="AF336" t="s">
        <v>6999</v>
      </c>
      <c r="AG336" t="s">
        <v>6468</v>
      </c>
      <c r="AH336" t="s">
        <v>7485</v>
      </c>
      <c r="AK336" t="s">
        <v>6999</v>
      </c>
      <c r="AL336" t="s">
        <v>6468</v>
      </c>
      <c r="AM336">
        <v>15</v>
      </c>
    </row>
    <row r="337" spans="2:40" x14ac:dyDescent="0.3">
      <c r="B337" t="s">
        <v>7000</v>
      </c>
      <c r="C337" t="s">
        <v>6472</v>
      </c>
      <c r="D337">
        <v>300</v>
      </c>
      <c r="G337" t="s">
        <v>7000</v>
      </c>
      <c r="H337" t="s">
        <v>6472</v>
      </c>
      <c r="I337">
        <v>0</v>
      </c>
      <c r="L337" t="s">
        <v>7000</v>
      </c>
      <c r="M337" t="s">
        <v>6472</v>
      </c>
      <c r="N337" t="s">
        <v>7485</v>
      </c>
      <c r="Q337" t="s">
        <v>7000</v>
      </c>
      <c r="R337" t="s">
        <v>6472</v>
      </c>
      <c r="S337" t="s">
        <v>7485</v>
      </c>
      <c r="V337" t="s">
        <v>7000</v>
      </c>
      <c r="W337" t="s">
        <v>5838</v>
      </c>
      <c r="X337">
        <v>0</v>
      </c>
      <c r="AA337" t="s">
        <v>7000</v>
      </c>
      <c r="AB337" t="s">
        <v>6472</v>
      </c>
      <c r="AC337" t="s">
        <v>7485</v>
      </c>
      <c r="AF337" t="s">
        <v>7000</v>
      </c>
      <c r="AG337" t="s">
        <v>6472</v>
      </c>
      <c r="AH337" t="s">
        <v>7485</v>
      </c>
      <c r="AK337" t="s">
        <v>7000</v>
      </c>
      <c r="AL337" t="s">
        <v>6472</v>
      </c>
      <c r="AM337">
        <v>15</v>
      </c>
    </row>
    <row r="338" spans="2:40" x14ac:dyDescent="0.3">
      <c r="B338" t="s">
        <v>7001</v>
      </c>
      <c r="C338" t="s">
        <v>6476</v>
      </c>
      <c r="D338" t="s">
        <v>7485</v>
      </c>
      <c r="G338" t="s">
        <v>7001</v>
      </c>
      <c r="H338" t="s">
        <v>6476</v>
      </c>
      <c r="I338">
        <v>0</v>
      </c>
      <c r="L338" t="s">
        <v>7001</v>
      </c>
      <c r="M338" t="s">
        <v>6476</v>
      </c>
      <c r="N338" t="s">
        <v>7485</v>
      </c>
      <c r="Q338" t="s">
        <v>7001</v>
      </c>
      <c r="R338" t="s">
        <v>6476</v>
      </c>
      <c r="S338" t="s">
        <v>7485</v>
      </c>
      <c r="V338" t="s">
        <v>7000</v>
      </c>
      <c r="W338" t="s">
        <v>5866</v>
      </c>
      <c r="X338" t="s">
        <v>7485</v>
      </c>
      <c r="AA338" t="s">
        <v>7001</v>
      </c>
      <c r="AB338" t="s">
        <v>6476</v>
      </c>
      <c r="AC338" t="s">
        <v>7485</v>
      </c>
      <c r="AF338" t="s">
        <v>7001</v>
      </c>
      <c r="AG338" t="s">
        <v>6476</v>
      </c>
      <c r="AH338" t="s">
        <v>7485</v>
      </c>
      <c r="AK338" t="s">
        <v>7001</v>
      </c>
      <c r="AL338" t="s">
        <v>6476</v>
      </c>
      <c r="AM338">
        <v>15</v>
      </c>
    </row>
    <row r="339" spans="2:40" x14ac:dyDescent="0.3">
      <c r="B339" t="s">
        <v>6999</v>
      </c>
      <c r="C339" t="s">
        <v>6495</v>
      </c>
      <c r="D339" t="s">
        <v>7485</v>
      </c>
      <c r="G339" t="s">
        <v>6999</v>
      </c>
      <c r="H339" t="s">
        <v>6495</v>
      </c>
      <c r="I339">
        <v>0</v>
      </c>
      <c r="L339" t="s">
        <v>6999</v>
      </c>
      <c r="M339" t="s">
        <v>6495</v>
      </c>
      <c r="N339" t="s">
        <v>7485</v>
      </c>
      <c r="Q339" t="s">
        <v>6999</v>
      </c>
      <c r="R339" t="s">
        <v>6495</v>
      </c>
      <c r="S339" t="s">
        <v>7485</v>
      </c>
      <c r="V339" t="s">
        <v>7000</v>
      </c>
      <c r="W339" t="s">
        <v>5894</v>
      </c>
      <c r="X339" t="s">
        <v>7485</v>
      </c>
      <c r="AA339" t="s">
        <v>6999</v>
      </c>
      <c r="AB339" t="s">
        <v>6495</v>
      </c>
      <c r="AC339" t="s">
        <v>7485</v>
      </c>
      <c r="AF339" t="s">
        <v>6999</v>
      </c>
      <c r="AG339" t="s">
        <v>6495</v>
      </c>
      <c r="AH339" t="s">
        <v>7485</v>
      </c>
      <c r="AK339" t="s">
        <v>6999</v>
      </c>
      <c r="AL339" t="s">
        <v>6495</v>
      </c>
      <c r="AM339">
        <v>15</v>
      </c>
    </row>
    <row r="340" spans="2:40" x14ac:dyDescent="0.3">
      <c r="B340" t="s">
        <v>7000</v>
      </c>
      <c r="C340" t="s">
        <v>6524</v>
      </c>
      <c r="D340">
        <v>300</v>
      </c>
      <c r="G340" t="s">
        <v>7000</v>
      </c>
      <c r="H340" t="s">
        <v>6524</v>
      </c>
      <c r="I340">
        <v>218.798</v>
      </c>
      <c r="L340" t="s">
        <v>7000</v>
      </c>
      <c r="M340" t="s">
        <v>6524</v>
      </c>
      <c r="N340" t="s">
        <v>7485</v>
      </c>
      <c r="Q340" t="s">
        <v>7000</v>
      </c>
      <c r="R340" t="s">
        <v>6524</v>
      </c>
      <c r="S340" t="s">
        <v>7485</v>
      </c>
      <c r="V340" t="s">
        <v>7000</v>
      </c>
      <c r="W340" t="s">
        <v>5898</v>
      </c>
      <c r="X340" t="s">
        <v>7485</v>
      </c>
      <c r="AA340" t="s">
        <v>7000</v>
      </c>
      <c r="AB340" t="s">
        <v>6524</v>
      </c>
      <c r="AC340" t="s">
        <v>7485</v>
      </c>
      <c r="AF340" t="s">
        <v>7000</v>
      </c>
      <c r="AG340" t="s">
        <v>6524</v>
      </c>
      <c r="AH340" t="s">
        <v>7485</v>
      </c>
      <c r="AK340" t="s">
        <v>7000</v>
      </c>
      <c r="AL340" t="s">
        <v>6524</v>
      </c>
      <c r="AM340">
        <v>17</v>
      </c>
    </row>
    <row r="341" spans="2:40" x14ac:dyDescent="0.3">
      <c r="B341" t="s">
        <v>7000</v>
      </c>
      <c r="C341" t="s">
        <v>6538</v>
      </c>
      <c r="D341">
        <v>300</v>
      </c>
      <c r="G341" t="s">
        <v>7000</v>
      </c>
      <c r="H341" t="s">
        <v>6538</v>
      </c>
      <c r="I341">
        <v>218.798</v>
      </c>
      <c r="L341" t="s">
        <v>7000</v>
      </c>
      <c r="M341" t="s">
        <v>6538</v>
      </c>
      <c r="N341" t="s">
        <v>7485</v>
      </c>
      <c r="Q341" t="s">
        <v>7000</v>
      </c>
      <c r="R341" t="s">
        <v>6538</v>
      </c>
      <c r="S341" t="s">
        <v>7485</v>
      </c>
      <c r="V341" t="s">
        <v>7000</v>
      </c>
      <c r="W341" t="s">
        <v>5930</v>
      </c>
      <c r="X341" t="s">
        <v>7485</v>
      </c>
      <c r="AA341" t="s">
        <v>7000</v>
      </c>
      <c r="AB341" t="s">
        <v>6538</v>
      </c>
      <c r="AC341" t="s">
        <v>7485</v>
      </c>
      <c r="AF341" t="s">
        <v>7000</v>
      </c>
      <c r="AG341" t="s">
        <v>6538</v>
      </c>
      <c r="AH341" t="s">
        <v>7485</v>
      </c>
      <c r="AK341" t="s">
        <v>7000</v>
      </c>
      <c r="AL341" t="s">
        <v>6538</v>
      </c>
      <c r="AM341">
        <v>15</v>
      </c>
    </row>
    <row r="342" spans="2:40" x14ac:dyDescent="0.3">
      <c r="B342" t="s">
        <v>7002</v>
      </c>
      <c r="C342" t="s">
        <v>6558</v>
      </c>
      <c r="D342">
        <v>300</v>
      </c>
      <c r="G342" t="s">
        <v>7002</v>
      </c>
      <c r="H342" t="s">
        <v>6558</v>
      </c>
      <c r="I342">
        <v>0</v>
      </c>
      <c r="L342" t="s">
        <v>7002</v>
      </c>
      <c r="M342" t="s">
        <v>6558</v>
      </c>
      <c r="N342" t="s">
        <v>7485</v>
      </c>
      <c r="Q342" t="s">
        <v>7002</v>
      </c>
      <c r="R342" t="s">
        <v>6558</v>
      </c>
      <c r="S342" t="s">
        <v>7485</v>
      </c>
      <c r="V342" t="s">
        <v>7000</v>
      </c>
      <c r="W342" t="s">
        <v>5934</v>
      </c>
      <c r="X342" t="s">
        <v>7485</v>
      </c>
      <c r="AA342" t="s">
        <v>7002</v>
      </c>
      <c r="AB342" t="s">
        <v>6558</v>
      </c>
      <c r="AC342" t="s">
        <v>7485</v>
      </c>
      <c r="AF342" t="s">
        <v>7002</v>
      </c>
      <c r="AG342" t="s">
        <v>6558</v>
      </c>
      <c r="AH342" t="s">
        <v>7485</v>
      </c>
      <c r="AK342" t="s">
        <v>7002</v>
      </c>
      <c r="AL342" t="s">
        <v>6558</v>
      </c>
      <c r="AM342">
        <v>15</v>
      </c>
    </row>
    <row r="343" spans="2:40" x14ac:dyDescent="0.3">
      <c r="B343" t="s">
        <v>7000</v>
      </c>
      <c r="C343" t="s">
        <v>6565</v>
      </c>
      <c r="D343" t="s">
        <v>7485</v>
      </c>
      <c r="G343" t="s">
        <v>7000</v>
      </c>
      <c r="H343" t="s">
        <v>6565</v>
      </c>
      <c r="I343">
        <v>0</v>
      </c>
      <c r="L343" t="s">
        <v>7000</v>
      </c>
      <c r="M343" t="s">
        <v>6565</v>
      </c>
      <c r="N343" t="s">
        <v>7485</v>
      </c>
      <c r="Q343" t="s">
        <v>7000</v>
      </c>
      <c r="R343" t="s">
        <v>6565</v>
      </c>
      <c r="S343">
        <v>116</v>
      </c>
      <c r="V343" t="s">
        <v>7000</v>
      </c>
      <c r="W343" t="s">
        <v>6030</v>
      </c>
      <c r="X343" t="s">
        <v>7485</v>
      </c>
      <c r="AA343" t="s">
        <v>7000</v>
      </c>
      <c r="AB343" t="s">
        <v>6565</v>
      </c>
      <c r="AC343" t="s">
        <v>7485</v>
      </c>
      <c r="AF343" t="s">
        <v>7000</v>
      </c>
      <c r="AG343" t="s">
        <v>6565</v>
      </c>
      <c r="AH343" t="s">
        <v>7485</v>
      </c>
      <c r="AK343" t="s">
        <v>7000</v>
      </c>
      <c r="AL343" t="s">
        <v>6565</v>
      </c>
      <c r="AM343">
        <v>15</v>
      </c>
    </row>
    <row r="344" spans="2:40" x14ac:dyDescent="0.3">
      <c r="B344" t="s">
        <v>7000</v>
      </c>
      <c r="C344" t="s">
        <v>6578</v>
      </c>
      <c r="D344" t="s">
        <v>7485</v>
      </c>
      <c r="G344" t="s">
        <v>7000</v>
      </c>
      <c r="H344" t="s">
        <v>6578</v>
      </c>
      <c r="I344">
        <v>0</v>
      </c>
      <c r="L344" t="s">
        <v>7000</v>
      </c>
      <c r="M344" t="s">
        <v>6578</v>
      </c>
      <c r="N344" t="s">
        <v>7485</v>
      </c>
      <c r="Q344" t="s">
        <v>7000</v>
      </c>
      <c r="R344" t="s">
        <v>6578</v>
      </c>
      <c r="S344" t="s">
        <v>7485</v>
      </c>
      <c r="V344" t="s">
        <v>7000</v>
      </c>
      <c r="W344" t="s">
        <v>6066</v>
      </c>
      <c r="X344" t="s">
        <v>7485</v>
      </c>
      <c r="AA344" t="s">
        <v>7000</v>
      </c>
      <c r="AB344" t="s">
        <v>6578</v>
      </c>
      <c r="AC344" t="s">
        <v>7485</v>
      </c>
      <c r="AF344" t="s">
        <v>7000</v>
      </c>
      <c r="AG344" t="s">
        <v>6578</v>
      </c>
      <c r="AH344" t="s">
        <v>7485</v>
      </c>
      <c r="AK344" t="s">
        <v>7000</v>
      </c>
      <c r="AL344" t="s">
        <v>6578</v>
      </c>
      <c r="AM344">
        <v>15</v>
      </c>
    </row>
    <row r="345" spans="2:40" x14ac:dyDescent="0.3">
      <c r="B345" t="s">
        <v>7001</v>
      </c>
      <c r="C345" t="s">
        <v>6587</v>
      </c>
      <c r="D345" t="s">
        <v>7485</v>
      </c>
      <c r="G345" t="s">
        <v>7001</v>
      </c>
      <c r="H345" t="s">
        <v>6587</v>
      </c>
      <c r="I345">
        <v>0</v>
      </c>
      <c r="L345" t="s">
        <v>7001</v>
      </c>
      <c r="M345" t="s">
        <v>6587</v>
      </c>
      <c r="N345" t="s">
        <v>7485</v>
      </c>
      <c r="Q345" t="s">
        <v>7001</v>
      </c>
      <c r="R345" t="s">
        <v>6587</v>
      </c>
      <c r="S345" t="s">
        <v>7485</v>
      </c>
      <c r="V345" t="s">
        <v>7000</v>
      </c>
      <c r="W345" t="s">
        <v>6091</v>
      </c>
      <c r="X345" t="s">
        <v>7485</v>
      </c>
      <c r="AA345" t="s">
        <v>7001</v>
      </c>
      <c r="AB345" t="s">
        <v>6587</v>
      </c>
      <c r="AC345" t="s">
        <v>7485</v>
      </c>
      <c r="AF345" t="s">
        <v>7001</v>
      </c>
      <c r="AG345" t="s">
        <v>6587</v>
      </c>
      <c r="AH345" t="s">
        <v>7485</v>
      </c>
      <c r="AK345" t="s">
        <v>7001</v>
      </c>
      <c r="AL345" t="s">
        <v>6587</v>
      </c>
      <c r="AM345">
        <v>15</v>
      </c>
    </row>
    <row r="346" spans="2:40" x14ac:dyDescent="0.3">
      <c r="B346" t="s">
        <v>7002</v>
      </c>
      <c r="C346" t="s">
        <v>6636</v>
      </c>
      <c r="D346">
        <v>300</v>
      </c>
      <c r="G346" t="s">
        <v>7002</v>
      </c>
      <c r="H346" t="s">
        <v>6636</v>
      </c>
      <c r="I346">
        <v>218.798</v>
      </c>
      <c r="L346" t="s">
        <v>7002</v>
      </c>
      <c r="M346" t="s">
        <v>6636</v>
      </c>
      <c r="N346">
        <v>300</v>
      </c>
      <c r="Q346" t="s">
        <v>7002</v>
      </c>
      <c r="R346" t="s">
        <v>6636</v>
      </c>
      <c r="S346" t="s">
        <v>7485</v>
      </c>
      <c r="V346" t="s">
        <v>7000</v>
      </c>
      <c r="W346" t="s">
        <v>6129</v>
      </c>
      <c r="X346" t="s">
        <v>7485</v>
      </c>
      <c r="AA346" t="s">
        <v>7002</v>
      </c>
      <c r="AB346" t="s">
        <v>6636</v>
      </c>
      <c r="AC346" t="s">
        <v>7485</v>
      </c>
      <c r="AF346" t="s">
        <v>7002</v>
      </c>
      <c r="AG346" t="s">
        <v>6636</v>
      </c>
      <c r="AH346" t="s">
        <v>7485</v>
      </c>
      <c r="AK346" t="s">
        <v>7002</v>
      </c>
      <c r="AL346" t="s">
        <v>6636</v>
      </c>
      <c r="AM346">
        <v>17</v>
      </c>
    </row>
    <row r="347" spans="2:40" x14ac:dyDescent="0.3">
      <c r="B347" t="s">
        <v>7001</v>
      </c>
      <c r="C347" t="s">
        <v>6640</v>
      </c>
      <c r="D347" t="s">
        <v>7485</v>
      </c>
      <c r="G347" t="s">
        <v>7001</v>
      </c>
      <c r="H347" t="s">
        <v>6640</v>
      </c>
      <c r="I347">
        <v>0</v>
      </c>
      <c r="J347" t="s">
        <v>7486</v>
      </c>
      <c r="L347" t="s">
        <v>7001</v>
      </c>
      <c r="M347" t="s">
        <v>6640</v>
      </c>
      <c r="N347" t="s">
        <v>7485</v>
      </c>
      <c r="O347" t="s">
        <v>7486</v>
      </c>
      <c r="Q347" t="s">
        <v>7001</v>
      </c>
      <c r="R347" t="s">
        <v>6640</v>
      </c>
      <c r="S347" t="s">
        <v>7485</v>
      </c>
      <c r="T347" t="s">
        <v>7486</v>
      </c>
      <c r="V347" t="s">
        <v>7000</v>
      </c>
      <c r="W347" t="s">
        <v>6136</v>
      </c>
      <c r="X347" t="s">
        <v>7485</v>
      </c>
      <c r="AA347" t="s">
        <v>7001</v>
      </c>
      <c r="AB347" t="s">
        <v>6640</v>
      </c>
      <c r="AC347" t="s">
        <v>7485</v>
      </c>
      <c r="AD347" t="s">
        <v>7486</v>
      </c>
      <c r="AF347" t="s">
        <v>7001</v>
      </c>
      <c r="AG347" t="s">
        <v>6640</v>
      </c>
      <c r="AH347" t="s">
        <v>7485</v>
      </c>
      <c r="AI347" t="s">
        <v>7486</v>
      </c>
      <c r="AK347" t="s">
        <v>7001</v>
      </c>
      <c r="AL347" t="s">
        <v>6640</v>
      </c>
      <c r="AM347">
        <v>15</v>
      </c>
      <c r="AN347" t="s">
        <v>7486</v>
      </c>
    </row>
    <row r="348" spans="2:40" x14ac:dyDescent="0.3">
      <c r="B348" t="s">
        <v>7002</v>
      </c>
      <c r="C348" t="s">
        <v>6640</v>
      </c>
      <c r="D348" t="s">
        <v>7485</v>
      </c>
      <c r="G348" t="s">
        <v>7002</v>
      </c>
      <c r="H348" t="s">
        <v>6640</v>
      </c>
      <c r="I348">
        <v>218.798</v>
      </c>
      <c r="L348" t="s">
        <v>7002</v>
      </c>
      <c r="M348" t="s">
        <v>6640</v>
      </c>
      <c r="N348" t="s">
        <v>7485</v>
      </c>
      <c r="Q348" t="s">
        <v>7002</v>
      </c>
      <c r="R348" t="s">
        <v>6640</v>
      </c>
      <c r="S348" t="s">
        <v>7485</v>
      </c>
      <c r="V348" t="s">
        <v>7000</v>
      </c>
      <c r="W348" t="s">
        <v>6285</v>
      </c>
      <c r="X348">
        <v>0</v>
      </c>
      <c r="AA348" t="s">
        <v>7002</v>
      </c>
      <c r="AB348" t="s">
        <v>6640</v>
      </c>
      <c r="AC348" t="s">
        <v>7485</v>
      </c>
      <c r="AF348" t="s">
        <v>7002</v>
      </c>
      <c r="AG348" t="s">
        <v>6640</v>
      </c>
      <c r="AH348" t="s">
        <v>7485</v>
      </c>
      <c r="AK348" t="s">
        <v>7002</v>
      </c>
      <c r="AL348" t="s">
        <v>6640</v>
      </c>
      <c r="AM348">
        <v>15</v>
      </c>
    </row>
    <row r="349" spans="2:40" x14ac:dyDescent="0.3">
      <c r="B349" t="s">
        <v>7000</v>
      </c>
      <c r="C349" t="s">
        <v>6677</v>
      </c>
      <c r="D349" t="s">
        <v>7485</v>
      </c>
      <c r="G349" t="s">
        <v>7000</v>
      </c>
      <c r="H349" t="s">
        <v>6677</v>
      </c>
      <c r="I349">
        <v>0</v>
      </c>
      <c r="L349" t="s">
        <v>7000</v>
      </c>
      <c r="M349" t="s">
        <v>6677</v>
      </c>
      <c r="N349" t="s">
        <v>7485</v>
      </c>
      <c r="Q349" t="s">
        <v>7000</v>
      </c>
      <c r="R349" t="s">
        <v>6677</v>
      </c>
      <c r="S349" t="s">
        <v>7485</v>
      </c>
      <c r="V349" t="s">
        <v>7000</v>
      </c>
      <c r="W349" t="s">
        <v>6329</v>
      </c>
      <c r="X349">
        <v>148.97</v>
      </c>
      <c r="AA349" t="s">
        <v>7000</v>
      </c>
      <c r="AB349" t="s">
        <v>6677</v>
      </c>
      <c r="AC349" t="s">
        <v>7485</v>
      </c>
      <c r="AF349" t="s">
        <v>7000</v>
      </c>
      <c r="AG349" t="s">
        <v>6677</v>
      </c>
      <c r="AH349" t="s">
        <v>7485</v>
      </c>
      <c r="AK349" t="s">
        <v>7000</v>
      </c>
      <c r="AL349" t="s">
        <v>6677</v>
      </c>
      <c r="AM349">
        <v>15</v>
      </c>
    </row>
    <row r="350" spans="2:40" x14ac:dyDescent="0.3">
      <c r="B350" t="s">
        <v>6999</v>
      </c>
      <c r="C350" t="s">
        <v>6690</v>
      </c>
      <c r="D350" t="s">
        <v>7485</v>
      </c>
      <c r="G350" t="s">
        <v>6999</v>
      </c>
      <c r="H350" t="s">
        <v>6690</v>
      </c>
      <c r="I350">
        <v>0</v>
      </c>
      <c r="L350" t="s">
        <v>6999</v>
      </c>
      <c r="M350" t="s">
        <v>6690</v>
      </c>
      <c r="N350" t="s">
        <v>7485</v>
      </c>
      <c r="Q350" t="s">
        <v>6999</v>
      </c>
      <c r="R350" t="s">
        <v>6690</v>
      </c>
      <c r="S350" t="s">
        <v>7485</v>
      </c>
      <c r="V350" t="s">
        <v>7000</v>
      </c>
      <c r="W350" t="s">
        <v>6375</v>
      </c>
      <c r="X350" t="s">
        <v>7485</v>
      </c>
      <c r="AA350" t="s">
        <v>6999</v>
      </c>
      <c r="AB350" t="s">
        <v>6690</v>
      </c>
      <c r="AC350" t="s">
        <v>7485</v>
      </c>
      <c r="AF350" t="s">
        <v>6999</v>
      </c>
      <c r="AG350" t="s">
        <v>6690</v>
      </c>
      <c r="AH350" t="s">
        <v>7485</v>
      </c>
      <c r="AK350" t="s">
        <v>6999</v>
      </c>
      <c r="AL350" t="s">
        <v>6690</v>
      </c>
      <c r="AM350">
        <v>14</v>
      </c>
    </row>
    <row r="351" spans="2:40" x14ac:dyDescent="0.3">
      <c r="B351" t="s">
        <v>7000</v>
      </c>
      <c r="C351" t="s">
        <v>6700</v>
      </c>
      <c r="D351">
        <v>300</v>
      </c>
      <c r="G351" t="s">
        <v>7000</v>
      </c>
      <c r="H351" t="s">
        <v>6700</v>
      </c>
      <c r="I351">
        <v>0</v>
      </c>
      <c r="L351" t="s">
        <v>7000</v>
      </c>
      <c r="M351" t="s">
        <v>6700</v>
      </c>
      <c r="N351" t="s">
        <v>7485</v>
      </c>
      <c r="Q351" t="s">
        <v>7000</v>
      </c>
      <c r="R351" t="s">
        <v>6700</v>
      </c>
      <c r="S351" t="s">
        <v>7485</v>
      </c>
      <c r="V351" t="s">
        <v>7000</v>
      </c>
      <c r="W351" t="s">
        <v>6411</v>
      </c>
      <c r="X351" t="s">
        <v>7485</v>
      </c>
      <c r="AA351" t="s">
        <v>7000</v>
      </c>
      <c r="AB351" t="s">
        <v>6700</v>
      </c>
      <c r="AC351" t="s">
        <v>7485</v>
      </c>
      <c r="AF351" t="s">
        <v>7000</v>
      </c>
      <c r="AG351" t="s">
        <v>6700</v>
      </c>
      <c r="AH351" t="s">
        <v>7485</v>
      </c>
      <c r="AK351" t="s">
        <v>7000</v>
      </c>
      <c r="AL351" t="s">
        <v>6700</v>
      </c>
      <c r="AM351">
        <v>17</v>
      </c>
    </row>
    <row r="352" spans="2:40" x14ac:dyDescent="0.3">
      <c r="B352" t="s">
        <v>7000</v>
      </c>
      <c r="C352" t="s">
        <v>6708</v>
      </c>
      <c r="D352" t="s">
        <v>7485</v>
      </c>
      <c r="G352" t="s">
        <v>7000</v>
      </c>
      <c r="H352" t="s">
        <v>6708</v>
      </c>
      <c r="I352">
        <v>0</v>
      </c>
      <c r="L352" t="s">
        <v>7000</v>
      </c>
      <c r="M352" t="s">
        <v>6708</v>
      </c>
      <c r="N352" t="s">
        <v>7485</v>
      </c>
      <c r="Q352" t="s">
        <v>7000</v>
      </c>
      <c r="R352" t="s">
        <v>6708</v>
      </c>
      <c r="S352" t="s">
        <v>7485</v>
      </c>
      <c r="V352" t="s">
        <v>7000</v>
      </c>
      <c r="W352" t="s">
        <v>6433</v>
      </c>
      <c r="X352" t="s">
        <v>7485</v>
      </c>
      <c r="AA352" t="s">
        <v>7000</v>
      </c>
      <c r="AB352" t="s">
        <v>6708</v>
      </c>
      <c r="AC352">
        <v>0</v>
      </c>
      <c r="AF352" t="s">
        <v>7000</v>
      </c>
      <c r="AG352" t="s">
        <v>6708</v>
      </c>
      <c r="AH352">
        <v>21.74</v>
      </c>
      <c r="AK352" t="s">
        <v>7000</v>
      </c>
      <c r="AL352" t="s">
        <v>6708</v>
      </c>
      <c r="AM352">
        <v>15</v>
      </c>
    </row>
    <row r="353" spans="2:39" x14ac:dyDescent="0.3">
      <c r="B353" t="s">
        <v>7000</v>
      </c>
      <c r="C353" t="s">
        <v>6712</v>
      </c>
      <c r="D353" t="s">
        <v>7485</v>
      </c>
      <c r="G353" t="s">
        <v>7000</v>
      </c>
      <c r="H353" t="s">
        <v>6712</v>
      </c>
      <c r="I353">
        <v>218.798</v>
      </c>
      <c r="L353" t="s">
        <v>7000</v>
      </c>
      <c r="M353" t="s">
        <v>6712</v>
      </c>
      <c r="N353" t="s">
        <v>7485</v>
      </c>
      <c r="Q353" t="s">
        <v>7000</v>
      </c>
      <c r="R353" t="s">
        <v>6712</v>
      </c>
      <c r="S353">
        <v>66.666666666666671</v>
      </c>
      <c r="V353" t="s">
        <v>7000</v>
      </c>
      <c r="W353" t="s">
        <v>6443</v>
      </c>
      <c r="X353" t="s">
        <v>7485</v>
      </c>
      <c r="AA353" t="s">
        <v>7000</v>
      </c>
      <c r="AB353" t="s">
        <v>6712</v>
      </c>
      <c r="AC353" t="s">
        <v>7485</v>
      </c>
      <c r="AF353" t="s">
        <v>7000</v>
      </c>
      <c r="AG353" t="s">
        <v>6712</v>
      </c>
      <c r="AH353" t="s">
        <v>7485</v>
      </c>
      <c r="AK353" t="s">
        <v>7000</v>
      </c>
      <c r="AL353" t="s">
        <v>6712</v>
      </c>
      <c r="AM353">
        <v>15</v>
      </c>
    </row>
    <row r="354" spans="2:39" x14ac:dyDescent="0.3">
      <c r="B354" t="s">
        <v>7000</v>
      </c>
      <c r="C354" t="s">
        <v>6716</v>
      </c>
      <c r="D354" t="s">
        <v>7485</v>
      </c>
      <c r="G354" t="s">
        <v>7000</v>
      </c>
      <c r="H354" t="s">
        <v>6716</v>
      </c>
      <c r="I354">
        <v>91.753999999999991</v>
      </c>
      <c r="L354" t="s">
        <v>7000</v>
      </c>
      <c r="M354" t="s">
        <v>6716</v>
      </c>
      <c r="N354">
        <v>200</v>
      </c>
      <c r="Q354" t="s">
        <v>7000</v>
      </c>
      <c r="R354" t="s">
        <v>6716</v>
      </c>
      <c r="S354">
        <v>40</v>
      </c>
      <c r="V354" t="s">
        <v>7000</v>
      </c>
      <c r="W354" t="s">
        <v>6464</v>
      </c>
      <c r="X354">
        <v>6.19</v>
      </c>
      <c r="AA354" t="s">
        <v>7000</v>
      </c>
      <c r="AB354" t="s">
        <v>6716</v>
      </c>
      <c r="AC354">
        <v>0</v>
      </c>
      <c r="AF354" t="s">
        <v>7000</v>
      </c>
      <c r="AG354" t="s">
        <v>6716</v>
      </c>
      <c r="AH354">
        <v>112.93</v>
      </c>
      <c r="AK354" t="s">
        <v>7000</v>
      </c>
      <c r="AL354" t="s">
        <v>6716</v>
      </c>
      <c r="AM354">
        <v>15</v>
      </c>
    </row>
    <row r="355" spans="2:39" x14ac:dyDescent="0.3">
      <c r="B355" t="s">
        <v>7001</v>
      </c>
      <c r="C355" t="s">
        <v>6745</v>
      </c>
      <c r="D355" t="s">
        <v>7485</v>
      </c>
      <c r="G355" t="s">
        <v>7001</v>
      </c>
      <c r="H355" t="s">
        <v>6745</v>
      </c>
      <c r="I355">
        <v>0</v>
      </c>
      <c r="L355" t="s">
        <v>7001</v>
      </c>
      <c r="M355" t="s">
        <v>6745</v>
      </c>
      <c r="N355" t="s">
        <v>7485</v>
      </c>
      <c r="Q355" t="s">
        <v>7001</v>
      </c>
      <c r="R355" t="s">
        <v>6745</v>
      </c>
      <c r="S355" t="s">
        <v>7485</v>
      </c>
      <c r="V355" t="s">
        <v>7000</v>
      </c>
      <c r="W355" t="s">
        <v>6472</v>
      </c>
      <c r="X355" t="s">
        <v>7485</v>
      </c>
      <c r="AA355" t="s">
        <v>7001</v>
      </c>
      <c r="AB355" t="s">
        <v>6745</v>
      </c>
      <c r="AC355" t="s">
        <v>7485</v>
      </c>
      <c r="AF355" t="s">
        <v>7001</v>
      </c>
      <c r="AG355" t="s">
        <v>6745</v>
      </c>
      <c r="AH355" t="s">
        <v>7485</v>
      </c>
      <c r="AK355" t="s">
        <v>7001</v>
      </c>
      <c r="AL355" t="s">
        <v>6745</v>
      </c>
      <c r="AM355">
        <v>16</v>
      </c>
    </row>
    <row r="356" spans="2:39" x14ac:dyDescent="0.3">
      <c r="B356" t="s">
        <v>7000</v>
      </c>
      <c r="C356" t="s">
        <v>6748</v>
      </c>
      <c r="D356" t="s">
        <v>7485</v>
      </c>
      <c r="G356" t="s">
        <v>7000</v>
      </c>
      <c r="H356" t="s">
        <v>6748</v>
      </c>
      <c r="I356">
        <v>0</v>
      </c>
      <c r="L356" t="s">
        <v>7000</v>
      </c>
      <c r="M356" t="s">
        <v>6748</v>
      </c>
      <c r="N356" t="s">
        <v>7485</v>
      </c>
      <c r="Q356" t="s">
        <v>7000</v>
      </c>
      <c r="R356" t="s">
        <v>6748</v>
      </c>
      <c r="S356" t="s">
        <v>7485</v>
      </c>
      <c r="V356" t="s">
        <v>7000</v>
      </c>
      <c r="W356" t="s">
        <v>6524</v>
      </c>
      <c r="X356" t="s">
        <v>7485</v>
      </c>
      <c r="AA356" t="s">
        <v>7000</v>
      </c>
      <c r="AB356" t="s">
        <v>6748</v>
      </c>
      <c r="AC356" t="s">
        <v>7485</v>
      </c>
      <c r="AF356" t="s">
        <v>7000</v>
      </c>
      <c r="AG356" t="s">
        <v>6748</v>
      </c>
      <c r="AH356" t="s">
        <v>7485</v>
      </c>
      <c r="AK356" t="s">
        <v>7000</v>
      </c>
      <c r="AL356" t="s">
        <v>6748</v>
      </c>
      <c r="AM356">
        <v>15</v>
      </c>
    </row>
    <row r="357" spans="2:39" x14ac:dyDescent="0.3">
      <c r="B357" t="s">
        <v>7002</v>
      </c>
      <c r="C357" t="s">
        <v>6755</v>
      </c>
      <c r="D357" t="s">
        <v>7485</v>
      </c>
      <c r="G357" t="s">
        <v>7002</v>
      </c>
      <c r="H357" t="s">
        <v>6755</v>
      </c>
      <c r="I357">
        <v>0</v>
      </c>
      <c r="L357" t="s">
        <v>7002</v>
      </c>
      <c r="M357" t="s">
        <v>6755</v>
      </c>
      <c r="N357" t="s">
        <v>7485</v>
      </c>
      <c r="Q357" t="s">
        <v>7002</v>
      </c>
      <c r="R357" t="s">
        <v>6755</v>
      </c>
      <c r="S357" t="s">
        <v>7485</v>
      </c>
      <c r="V357" t="s">
        <v>7000</v>
      </c>
      <c r="W357" t="s">
        <v>6538</v>
      </c>
      <c r="X357" t="s">
        <v>7485</v>
      </c>
      <c r="AA357" t="s">
        <v>7002</v>
      </c>
      <c r="AB357" t="s">
        <v>6755</v>
      </c>
      <c r="AC357" t="s">
        <v>7485</v>
      </c>
      <c r="AF357" t="s">
        <v>7002</v>
      </c>
      <c r="AG357" t="s">
        <v>6755</v>
      </c>
      <c r="AH357" t="s">
        <v>7485</v>
      </c>
      <c r="AK357" t="s">
        <v>7002</v>
      </c>
      <c r="AL357" t="s">
        <v>6755</v>
      </c>
      <c r="AM357">
        <v>15</v>
      </c>
    </row>
    <row r="358" spans="2:39" x14ac:dyDescent="0.3">
      <c r="B358" t="s">
        <v>6999</v>
      </c>
      <c r="C358" t="s">
        <v>6786</v>
      </c>
      <c r="D358" t="s">
        <v>7485</v>
      </c>
      <c r="G358" t="s">
        <v>6999</v>
      </c>
      <c r="H358" t="s">
        <v>6786</v>
      </c>
      <c r="I358">
        <v>218.798</v>
      </c>
      <c r="L358" t="s">
        <v>6999</v>
      </c>
      <c r="M358" t="s">
        <v>6786</v>
      </c>
      <c r="N358" t="s">
        <v>7485</v>
      </c>
      <c r="Q358" t="s">
        <v>6999</v>
      </c>
      <c r="R358" t="s">
        <v>6786</v>
      </c>
      <c r="S358">
        <v>89.523809523809518</v>
      </c>
      <c r="V358" t="s">
        <v>7000</v>
      </c>
      <c r="W358" t="s">
        <v>6565</v>
      </c>
      <c r="X358" t="s">
        <v>7485</v>
      </c>
      <c r="AA358" t="s">
        <v>6999</v>
      </c>
      <c r="AB358" t="s">
        <v>6786</v>
      </c>
      <c r="AC358" t="s">
        <v>7485</v>
      </c>
      <c r="AF358" t="s">
        <v>6999</v>
      </c>
      <c r="AG358" t="s">
        <v>6786</v>
      </c>
      <c r="AH358" t="s">
        <v>7485</v>
      </c>
      <c r="AK358" t="s">
        <v>6999</v>
      </c>
      <c r="AL358" t="s">
        <v>6786</v>
      </c>
      <c r="AM358">
        <v>15</v>
      </c>
    </row>
    <row r="359" spans="2:39" x14ac:dyDescent="0.3">
      <c r="B359" t="s">
        <v>7001</v>
      </c>
      <c r="C359" t="s">
        <v>6808</v>
      </c>
      <c r="D359" t="s">
        <v>7485</v>
      </c>
      <c r="G359" t="s">
        <v>7001</v>
      </c>
      <c r="H359" t="s">
        <v>6808</v>
      </c>
      <c r="I359">
        <v>0</v>
      </c>
      <c r="L359" t="s">
        <v>7001</v>
      </c>
      <c r="M359" t="s">
        <v>6808</v>
      </c>
      <c r="N359" t="s">
        <v>7485</v>
      </c>
      <c r="Q359" t="s">
        <v>7001</v>
      </c>
      <c r="R359" t="s">
        <v>6808</v>
      </c>
      <c r="S359" t="s">
        <v>7485</v>
      </c>
      <c r="V359" t="s">
        <v>7000</v>
      </c>
      <c r="W359" t="s">
        <v>6578</v>
      </c>
      <c r="X359" t="s">
        <v>7485</v>
      </c>
      <c r="AA359" t="s">
        <v>7001</v>
      </c>
      <c r="AB359" t="s">
        <v>6808</v>
      </c>
      <c r="AC359" t="s">
        <v>7485</v>
      </c>
      <c r="AF359" t="s">
        <v>7001</v>
      </c>
      <c r="AG359" t="s">
        <v>6808</v>
      </c>
      <c r="AH359" t="s">
        <v>7485</v>
      </c>
      <c r="AK359" t="s">
        <v>7001</v>
      </c>
      <c r="AL359" t="s">
        <v>6808</v>
      </c>
      <c r="AM359">
        <v>16</v>
      </c>
    </row>
    <row r="360" spans="2:39" x14ac:dyDescent="0.3">
      <c r="B360" t="s">
        <v>6999</v>
      </c>
      <c r="C360" t="s">
        <v>6819</v>
      </c>
      <c r="D360" t="s">
        <v>7485</v>
      </c>
      <c r="G360" t="s">
        <v>6999</v>
      </c>
      <c r="H360" t="s">
        <v>6819</v>
      </c>
      <c r="I360">
        <v>211.74</v>
      </c>
      <c r="L360" t="s">
        <v>6999</v>
      </c>
      <c r="M360" t="s">
        <v>6819</v>
      </c>
      <c r="N360" t="s">
        <v>7485</v>
      </c>
      <c r="Q360" t="s">
        <v>6999</v>
      </c>
      <c r="R360" t="s">
        <v>6819</v>
      </c>
      <c r="S360" t="s">
        <v>7485</v>
      </c>
      <c r="V360" t="s">
        <v>7000</v>
      </c>
      <c r="W360" t="s">
        <v>6677</v>
      </c>
      <c r="X360" t="s">
        <v>7485</v>
      </c>
      <c r="AA360" t="s">
        <v>6999</v>
      </c>
      <c r="AB360" t="s">
        <v>6819</v>
      </c>
      <c r="AC360" t="s">
        <v>7485</v>
      </c>
      <c r="AF360" t="s">
        <v>6999</v>
      </c>
      <c r="AG360" t="s">
        <v>6819</v>
      </c>
      <c r="AH360" t="s">
        <v>7485</v>
      </c>
      <c r="AK360" t="s">
        <v>6999</v>
      </c>
      <c r="AL360" t="s">
        <v>6819</v>
      </c>
      <c r="AM360">
        <v>14</v>
      </c>
    </row>
    <row r="361" spans="2:39" x14ac:dyDescent="0.3">
      <c r="B361" t="s">
        <v>7000</v>
      </c>
      <c r="C361" t="s">
        <v>6854</v>
      </c>
      <c r="D361" t="s">
        <v>7485</v>
      </c>
      <c r="G361" t="s">
        <v>7000</v>
      </c>
      <c r="H361" t="s">
        <v>6854</v>
      </c>
      <c r="I361">
        <v>0</v>
      </c>
      <c r="L361" t="s">
        <v>7000</v>
      </c>
      <c r="M361" t="s">
        <v>6854</v>
      </c>
      <c r="N361" t="s">
        <v>7485</v>
      </c>
      <c r="Q361" t="s">
        <v>7000</v>
      </c>
      <c r="R361" t="s">
        <v>6854</v>
      </c>
      <c r="S361" t="s">
        <v>7485</v>
      </c>
      <c r="V361" t="s">
        <v>7000</v>
      </c>
      <c r="W361" t="s">
        <v>6700</v>
      </c>
      <c r="X361" t="s">
        <v>7485</v>
      </c>
      <c r="AA361" t="s">
        <v>7000</v>
      </c>
      <c r="AB361" t="s">
        <v>6854</v>
      </c>
      <c r="AC361" t="s">
        <v>7485</v>
      </c>
      <c r="AF361" t="s">
        <v>7000</v>
      </c>
      <c r="AG361" t="s">
        <v>6854</v>
      </c>
      <c r="AH361" t="s">
        <v>7485</v>
      </c>
      <c r="AK361" t="s">
        <v>7000</v>
      </c>
      <c r="AL361" t="s">
        <v>6854</v>
      </c>
      <c r="AM361">
        <v>15</v>
      </c>
    </row>
    <row r="362" spans="2:39" x14ac:dyDescent="0.3">
      <c r="B362" t="s">
        <v>7002</v>
      </c>
      <c r="C362" t="s">
        <v>6876</v>
      </c>
      <c r="D362" t="s">
        <v>7485</v>
      </c>
      <c r="G362" t="s">
        <v>7002</v>
      </c>
      <c r="H362" t="s">
        <v>6876</v>
      </c>
      <c r="I362">
        <v>0</v>
      </c>
      <c r="L362" t="s">
        <v>7002</v>
      </c>
      <c r="M362" t="s">
        <v>6876</v>
      </c>
      <c r="N362" t="s">
        <v>7485</v>
      </c>
      <c r="Q362" t="s">
        <v>7002</v>
      </c>
      <c r="R362" t="s">
        <v>6876</v>
      </c>
      <c r="S362" t="s">
        <v>7485</v>
      </c>
      <c r="V362" t="s">
        <v>7000</v>
      </c>
      <c r="W362" t="s">
        <v>6708</v>
      </c>
      <c r="X362">
        <v>0</v>
      </c>
      <c r="AA362" t="s">
        <v>7002</v>
      </c>
      <c r="AB362" t="s">
        <v>6876</v>
      </c>
      <c r="AC362" t="s">
        <v>7485</v>
      </c>
      <c r="AF362" t="s">
        <v>7002</v>
      </c>
      <c r="AG362" t="s">
        <v>6876</v>
      </c>
      <c r="AH362" t="s">
        <v>7485</v>
      </c>
      <c r="AK362" t="s">
        <v>7002</v>
      </c>
      <c r="AL362" t="s">
        <v>6876</v>
      </c>
      <c r="AM362">
        <v>15</v>
      </c>
    </row>
    <row r="363" spans="2:39" x14ac:dyDescent="0.3">
      <c r="B363" t="s">
        <v>7001</v>
      </c>
      <c r="C363" t="s">
        <v>6894</v>
      </c>
      <c r="D363" t="s">
        <v>7485</v>
      </c>
      <c r="G363" t="s">
        <v>7001</v>
      </c>
      <c r="H363" t="s">
        <v>6894</v>
      </c>
      <c r="I363">
        <v>0</v>
      </c>
      <c r="L363" t="s">
        <v>7001</v>
      </c>
      <c r="M363" t="s">
        <v>6894</v>
      </c>
      <c r="N363" t="s">
        <v>7485</v>
      </c>
      <c r="Q363" t="s">
        <v>7001</v>
      </c>
      <c r="R363" t="s">
        <v>6894</v>
      </c>
      <c r="S363" t="s">
        <v>7485</v>
      </c>
      <c r="V363" t="s">
        <v>7000</v>
      </c>
      <c r="W363" t="s">
        <v>6712</v>
      </c>
      <c r="X363" t="s">
        <v>7485</v>
      </c>
      <c r="AA363" t="s">
        <v>7001</v>
      </c>
      <c r="AB363" t="s">
        <v>6894</v>
      </c>
      <c r="AC363" t="s">
        <v>7485</v>
      </c>
      <c r="AF363" t="s">
        <v>7001</v>
      </c>
      <c r="AG363" t="s">
        <v>6894</v>
      </c>
      <c r="AH363" t="s">
        <v>7485</v>
      </c>
      <c r="AK363" t="s">
        <v>7001</v>
      </c>
      <c r="AL363" t="s">
        <v>6894</v>
      </c>
      <c r="AM363">
        <v>16</v>
      </c>
    </row>
    <row r="364" spans="2:39" x14ac:dyDescent="0.3">
      <c r="B364" t="s">
        <v>7002</v>
      </c>
      <c r="C364" t="s">
        <v>6898</v>
      </c>
      <c r="D364" t="s">
        <v>7485</v>
      </c>
      <c r="G364" t="s">
        <v>7002</v>
      </c>
      <c r="H364" t="s">
        <v>6898</v>
      </c>
      <c r="I364">
        <v>0</v>
      </c>
      <c r="L364" t="s">
        <v>7002</v>
      </c>
      <c r="M364" t="s">
        <v>6898</v>
      </c>
      <c r="N364" t="s">
        <v>7485</v>
      </c>
      <c r="Q364" t="s">
        <v>7002</v>
      </c>
      <c r="R364" t="s">
        <v>6898</v>
      </c>
      <c r="S364" t="s">
        <v>7485</v>
      </c>
      <c r="V364" t="s">
        <v>7000</v>
      </c>
      <c r="W364" t="s">
        <v>6716</v>
      </c>
      <c r="X364">
        <v>0</v>
      </c>
      <c r="AA364" t="s">
        <v>7002</v>
      </c>
      <c r="AB364" t="s">
        <v>6898</v>
      </c>
      <c r="AC364" t="s">
        <v>7485</v>
      </c>
      <c r="AF364" t="s">
        <v>7002</v>
      </c>
      <c r="AG364" t="s">
        <v>6898</v>
      </c>
      <c r="AH364" t="s">
        <v>7485</v>
      </c>
      <c r="AK364" t="s">
        <v>7002</v>
      </c>
      <c r="AL364" t="s">
        <v>6898</v>
      </c>
      <c r="AM364">
        <v>15</v>
      </c>
    </row>
    <row r="365" spans="2:39" x14ac:dyDescent="0.3">
      <c r="B365" t="s">
        <v>7000</v>
      </c>
      <c r="C365" t="s">
        <v>6935</v>
      </c>
      <c r="D365">
        <v>300</v>
      </c>
      <c r="G365" t="s">
        <v>7000</v>
      </c>
      <c r="H365" t="s">
        <v>6935</v>
      </c>
      <c r="I365">
        <v>218.798</v>
      </c>
      <c r="L365" t="s">
        <v>7000</v>
      </c>
      <c r="M365" t="s">
        <v>6935</v>
      </c>
      <c r="N365" t="s">
        <v>7485</v>
      </c>
      <c r="Q365" t="s">
        <v>7000</v>
      </c>
      <c r="R365" t="s">
        <v>6935</v>
      </c>
      <c r="S365" t="s">
        <v>7485</v>
      </c>
      <c r="V365" t="s">
        <v>7000</v>
      </c>
      <c r="W365" t="s">
        <v>6748</v>
      </c>
      <c r="X365" t="s">
        <v>7485</v>
      </c>
      <c r="AA365" t="s">
        <v>7000</v>
      </c>
      <c r="AB365" t="s">
        <v>6935</v>
      </c>
      <c r="AC365" t="s">
        <v>7485</v>
      </c>
      <c r="AF365" t="s">
        <v>7000</v>
      </c>
      <c r="AG365" t="s">
        <v>6935</v>
      </c>
      <c r="AH365" t="s">
        <v>7485</v>
      </c>
      <c r="AK365" t="s">
        <v>7000</v>
      </c>
      <c r="AL365" t="s">
        <v>6935</v>
      </c>
      <c r="AM365">
        <v>17</v>
      </c>
    </row>
    <row r="366" spans="2:39" x14ac:dyDescent="0.3">
      <c r="B366" t="s">
        <v>7001</v>
      </c>
      <c r="C366" t="s">
        <v>6949</v>
      </c>
      <c r="D366" t="s">
        <v>7485</v>
      </c>
      <c r="G366" t="s">
        <v>7001</v>
      </c>
      <c r="H366" t="s">
        <v>6949</v>
      </c>
      <c r="I366">
        <v>0</v>
      </c>
      <c r="L366" t="s">
        <v>7001</v>
      </c>
      <c r="M366" t="s">
        <v>6949</v>
      </c>
      <c r="N366" t="s">
        <v>7485</v>
      </c>
      <c r="Q366" t="s">
        <v>7001</v>
      </c>
      <c r="R366" t="s">
        <v>6949</v>
      </c>
      <c r="S366">
        <v>116</v>
      </c>
      <c r="V366" t="s">
        <v>7000</v>
      </c>
      <c r="W366" t="s">
        <v>6854</v>
      </c>
      <c r="X366" t="s">
        <v>7485</v>
      </c>
      <c r="AA366" t="s">
        <v>7001</v>
      </c>
      <c r="AB366" t="s">
        <v>6949</v>
      </c>
      <c r="AC366" t="s">
        <v>7485</v>
      </c>
      <c r="AF366" t="s">
        <v>7001</v>
      </c>
      <c r="AG366" t="s">
        <v>6949</v>
      </c>
      <c r="AH366" t="s">
        <v>7485</v>
      </c>
      <c r="AK366" t="s">
        <v>7001</v>
      </c>
      <c r="AL366" t="s">
        <v>6949</v>
      </c>
      <c r="AM366">
        <v>15</v>
      </c>
    </row>
    <row r="367" spans="2:39" x14ac:dyDescent="0.3">
      <c r="B367" t="s">
        <v>7002</v>
      </c>
      <c r="C367" t="s">
        <v>6952</v>
      </c>
      <c r="D367" t="s">
        <v>7485</v>
      </c>
      <c r="G367" t="s">
        <v>7002</v>
      </c>
      <c r="H367" t="s">
        <v>6952</v>
      </c>
      <c r="I367">
        <v>0</v>
      </c>
      <c r="L367" t="s">
        <v>7002</v>
      </c>
      <c r="M367" t="s">
        <v>6952</v>
      </c>
      <c r="N367" t="s">
        <v>7485</v>
      </c>
      <c r="Q367" t="s">
        <v>7002</v>
      </c>
      <c r="R367" t="s">
        <v>6952</v>
      </c>
      <c r="S367">
        <v>106.66666666666667</v>
      </c>
      <c r="V367" t="s">
        <v>7000</v>
      </c>
      <c r="W367" t="s">
        <v>6935</v>
      </c>
      <c r="X367" t="s">
        <v>7485</v>
      </c>
      <c r="AA367" t="s">
        <v>7002</v>
      </c>
      <c r="AB367" t="s">
        <v>6952</v>
      </c>
      <c r="AC367" t="s">
        <v>7485</v>
      </c>
      <c r="AF367" t="s">
        <v>7002</v>
      </c>
      <c r="AG367" t="s">
        <v>6952</v>
      </c>
      <c r="AH367" t="s">
        <v>7485</v>
      </c>
      <c r="AK367" t="s">
        <v>7002</v>
      </c>
      <c r="AL367" t="s">
        <v>6952</v>
      </c>
      <c r="AM367">
        <v>15</v>
      </c>
    </row>
  </sheetData>
  <mergeCells count="8">
    <mergeCell ref="AK2:AN2"/>
    <mergeCell ref="AA2:AD2"/>
    <mergeCell ref="AF2:AI2"/>
    <mergeCell ref="B2:E2"/>
    <mergeCell ref="G2:J2"/>
    <mergeCell ref="L2:O2"/>
    <mergeCell ref="Q2:T2"/>
    <mergeCell ref="V2:Y2"/>
  </mergeCells>
  <conditionalFormatting sqref="C1 C3:C1048576">
    <cfRule type="duplicateValues" dxfId="281" priority="8"/>
  </conditionalFormatting>
  <conditionalFormatting sqref="H4:H367">
    <cfRule type="duplicateValues" dxfId="280" priority="7"/>
  </conditionalFormatting>
  <conditionalFormatting sqref="M4:M367">
    <cfRule type="duplicateValues" dxfId="279" priority="6"/>
  </conditionalFormatting>
  <conditionalFormatting sqref="R4:R367">
    <cfRule type="duplicateValues" dxfId="278" priority="5"/>
  </conditionalFormatting>
  <conditionalFormatting sqref="W4:W367">
    <cfRule type="duplicateValues" dxfId="277" priority="4"/>
  </conditionalFormatting>
  <conditionalFormatting sqref="AB4:AB367">
    <cfRule type="duplicateValues" dxfId="276" priority="3"/>
  </conditionalFormatting>
  <conditionalFormatting sqref="AG4:AG367">
    <cfRule type="duplicateValues" dxfId="275" priority="2"/>
  </conditionalFormatting>
  <conditionalFormatting sqref="AL4:AL367">
    <cfRule type="duplicateValues" dxfId="274" priority="1"/>
  </conditionalFormatting>
  <pageMargins left="0.7" right="0.7" top="0.75" bottom="0.75" header="0.3" footer="0.3"/>
  <tableParts count="8">
    <tablePart r:id="rId1"/>
    <tablePart r:id="rId2"/>
    <tablePart r:id="rId3"/>
    <tablePart r:id="rId4"/>
    <tablePart r:id="rId5"/>
    <tablePart r:id="rId6"/>
    <tablePart r:id="rId7"/>
    <tablePart r:id="rId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E2F01-1886-4493-B73B-18090E507BCA}">
  <dimension ref="A3:C6"/>
  <sheetViews>
    <sheetView workbookViewId="0">
      <selection activeCell="A5" sqref="A5:XFD5"/>
    </sheetView>
  </sheetViews>
  <sheetFormatPr defaultColWidth="11.44140625" defaultRowHeight="14.4" x14ac:dyDescent="0.3"/>
  <cols>
    <col min="1" max="1" width="17.88671875" bestFit="1" customWidth="1"/>
    <col min="2" max="2" width="17.44140625" customWidth="1"/>
    <col min="3" max="3" width="19.33203125" bestFit="1" customWidth="1"/>
  </cols>
  <sheetData>
    <row r="3" spans="1:3" x14ac:dyDescent="0.3">
      <c r="A3" s="121" t="s">
        <v>7450</v>
      </c>
      <c r="B3" t="s">
        <v>7452</v>
      </c>
      <c r="C3" t="s">
        <v>7461</v>
      </c>
    </row>
    <row r="4" spans="1:3" x14ac:dyDescent="0.3">
      <c r="A4" s="122" t="s">
        <v>7454</v>
      </c>
      <c r="B4" s="13">
        <v>59508.19523809525</v>
      </c>
      <c r="C4">
        <v>26</v>
      </c>
    </row>
    <row r="5" spans="1:3" x14ac:dyDescent="0.3">
      <c r="A5" s="122" t="s">
        <v>7455</v>
      </c>
      <c r="B5" s="13">
        <v>54285.071428571413</v>
      </c>
      <c r="C5">
        <v>24</v>
      </c>
    </row>
    <row r="6" spans="1:3" x14ac:dyDescent="0.3">
      <c r="A6" s="122" t="s">
        <v>7449</v>
      </c>
      <c r="B6" s="13">
        <v>113793.26666666666</v>
      </c>
      <c r="C6">
        <v>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BABB9-C1C1-4B4E-A522-A516830EA430}">
  <sheetPr>
    <tabColor theme="5" tint="-0.249977111117893"/>
    <pageSetUpPr fitToPage="1"/>
  </sheetPr>
  <dimension ref="A1:AX49"/>
  <sheetViews>
    <sheetView zoomScaleNormal="100" workbookViewId="0">
      <selection activeCell="L6" sqref="L6"/>
    </sheetView>
  </sheetViews>
  <sheetFormatPr defaultColWidth="11.5546875" defaultRowHeight="18.75" customHeight="1" x14ac:dyDescent="0.3"/>
  <cols>
    <col min="1" max="1" width="3.109375" style="42" customWidth="1"/>
    <col min="2" max="2" width="10" style="29" customWidth="1"/>
    <col min="3" max="3" width="6" style="22" customWidth="1"/>
    <col min="4" max="7" width="4.88671875" style="22" customWidth="1"/>
    <col min="8" max="9" width="10.33203125" style="22" customWidth="1"/>
    <col min="10" max="10" width="7.5546875" style="22" customWidth="1"/>
    <col min="11" max="11" width="29.44140625" style="22" bestFit="1" customWidth="1"/>
    <col min="12" max="12" width="43.109375" style="19" bestFit="1" customWidth="1"/>
    <col min="13" max="13" width="3" style="19" customWidth="1"/>
    <col min="14" max="14" width="15" style="23" customWidth="1"/>
    <col min="15" max="15" width="8.33203125" style="65" customWidth="1"/>
    <col min="16" max="16" width="8.33203125" style="144" customWidth="1"/>
    <col min="17" max="17" width="9.5546875" style="21" customWidth="1"/>
    <col min="18" max="18" width="11.109375" style="22" customWidth="1"/>
    <col min="19" max="19" width="7.44140625" style="48" customWidth="1"/>
    <col min="20" max="20" width="2.5546875" style="19" customWidth="1"/>
    <col min="21" max="21" width="15" style="47" customWidth="1"/>
    <col min="22" max="22" width="9" style="30" customWidth="1"/>
    <col min="23" max="23" width="9" style="1" customWidth="1"/>
    <col min="24" max="24" width="19.6640625" style="22" customWidth="1"/>
    <col min="25" max="25" width="8.109375" style="21" customWidth="1"/>
    <col min="26" max="26" width="3" style="19" customWidth="1"/>
    <col min="27" max="28" width="10.109375" style="53" customWidth="1"/>
    <col min="29" max="29" width="3" style="19" customWidth="1"/>
    <col min="30" max="30" width="11.5546875" style="53" customWidth="1"/>
    <col min="31" max="40" width="10.109375" style="53" customWidth="1"/>
    <col min="41" max="41" width="8.109375" style="36" customWidth="1"/>
    <col min="42" max="42" width="3" style="19" customWidth="1"/>
    <col min="43" max="43" width="11.44140625" style="58" customWidth="1"/>
    <col min="44" max="44" width="13.33203125" style="58" customWidth="1"/>
    <col min="45" max="45" width="3" style="19" customWidth="1"/>
    <col min="46" max="46" width="37.5546875" style="1" customWidth="1"/>
    <col min="47" max="47" width="7.44140625" style="1" customWidth="1"/>
    <col min="48" max="48" width="15.44140625" style="48" customWidth="1"/>
    <col min="49" max="49" width="10.88671875" style="52"/>
  </cols>
  <sheetData>
    <row r="1" spans="1:50" ht="32.25" customHeight="1" x14ac:dyDescent="0.3">
      <c r="A1" s="43"/>
      <c r="B1" s="106"/>
      <c r="C1" s="107"/>
      <c r="D1" s="107"/>
      <c r="E1" s="107"/>
      <c r="F1" s="107"/>
      <c r="G1" s="107"/>
      <c r="H1" s="107"/>
      <c r="I1" s="107"/>
      <c r="J1" s="107"/>
      <c r="K1" s="107"/>
      <c r="L1" s="108"/>
      <c r="M1" s="15"/>
      <c r="N1" s="109"/>
      <c r="O1" s="110"/>
      <c r="P1" s="145"/>
      <c r="Q1" s="115"/>
      <c r="R1" s="107"/>
      <c r="S1" s="112"/>
      <c r="T1" s="15"/>
      <c r="U1" s="113"/>
      <c r="V1" s="114"/>
      <c r="W1" s="111"/>
      <c r="X1" s="107"/>
      <c r="Y1" s="115"/>
      <c r="Z1" s="15"/>
      <c r="AA1" s="116"/>
      <c r="AB1" s="116"/>
      <c r="AC1" s="15"/>
      <c r="AD1" s="445">
        <f>SUM(AR:AR)</f>
        <v>116695.92888888888</v>
      </c>
      <c r="AE1" s="445"/>
      <c r="AF1" s="445"/>
      <c r="AG1" s="116"/>
      <c r="AH1" s="116"/>
      <c r="AI1" s="116"/>
      <c r="AJ1" s="116"/>
      <c r="AK1" s="116"/>
      <c r="AL1" s="116"/>
      <c r="AM1" s="116"/>
      <c r="AN1" s="116"/>
      <c r="AO1" s="117"/>
      <c r="AP1" s="15"/>
      <c r="AQ1" s="118"/>
      <c r="AR1" s="118"/>
      <c r="AS1" s="15"/>
      <c r="AT1" s="111"/>
      <c r="AU1" s="111"/>
      <c r="AV1" s="112"/>
      <c r="AW1" s="73"/>
    </row>
    <row r="2" spans="1:50" ht="15" x14ac:dyDescent="0.3">
      <c r="A2" s="43"/>
      <c r="B2" s="106"/>
      <c r="C2" s="107"/>
      <c r="D2" s="107"/>
      <c r="E2" s="107"/>
      <c r="F2" s="107"/>
      <c r="G2" s="107"/>
      <c r="H2" s="107"/>
      <c r="I2" s="107"/>
      <c r="J2" s="107"/>
      <c r="K2" s="107"/>
      <c r="L2" s="15"/>
      <c r="M2" s="15"/>
      <c r="N2" s="113" t="s">
        <v>7488</v>
      </c>
      <c r="O2" s="113"/>
      <c r="P2" s="170"/>
      <c r="Q2" s="171"/>
      <c r="R2" s="113"/>
      <c r="S2" s="113"/>
      <c r="T2" s="15"/>
      <c r="U2" s="446" t="s">
        <v>7489</v>
      </c>
      <c r="V2" s="446"/>
      <c r="W2" s="446"/>
      <c r="X2" s="446"/>
      <c r="Y2" s="446"/>
      <c r="Z2" s="15"/>
      <c r="AA2" s="15"/>
      <c r="AB2" s="15"/>
      <c r="AC2" s="15"/>
      <c r="AD2" s="15"/>
      <c r="AE2" s="15"/>
      <c r="AF2" s="15"/>
      <c r="AG2" s="15"/>
      <c r="AH2" s="15"/>
      <c r="AI2" s="15"/>
      <c r="AJ2" s="15"/>
      <c r="AK2" s="15"/>
      <c r="AL2" s="15"/>
      <c r="AM2" s="15"/>
      <c r="AN2" s="15"/>
      <c r="AO2" s="15"/>
      <c r="AP2" s="15"/>
      <c r="AQ2" s="15"/>
      <c r="AR2" s="118"/>
      <c r="AS2" s="15"/>
      <c r="AT2" s="111"/>
      <c r="AU2" s="111"/>
      <c r="AV2" s="112"/>
      <c r="AW2" s="73"/>
    </row>
    <row r="3" spans="1:50" s="33" customFormat="1" ht="22.5" customHeight="1" x14ac:dyDescent="0.3">
      <c r="A3" s="125"/>
      <c r="B3" s="31" t="s">
        <v>7372</v>
      </c>
      <c r="C3" s="31" t="s">
        <v>7490</v>
      </c>
      <c r="D3" s="31" t="s">
        <v>7001</v>
      </c>
      <c r="E3" s="31" t="s">
        <v>6999</v>
      </c>
      <c r="F3" s="31" t="s">
        <v>7000</v>
      </c>
      <c r="G3" s="31" t="s">
        <v>7491</v>
      </c>
      <c r="H3" s="31" t="s">
        <v>7492</v>
      </c>
      <c r="I3" s="31" t="s">
        <v>7493</v>
      </c>
      <c r="J3" s="31" t="s">
        <v>7494</v>
      </c>
      <c r="K3" s="31" t="s">
        <v>7495</v>
      </c>
      <c r="L3" s="31" t="s">
        <v>7373</v>
      </c>
      <c r="M3" s="10" t="s">
        <v>7496</v>
      </c>
      <c r="N3" s="31" t="s">
        <v>7374</v>
      </c>
      <c r="O3" s="32" t="s">
        <v>7375</v>
      </c>
      <c r="P3" s="32" t="s">
        <v>7497</v>
      </c>
      <c r="Q3" s="32" t="s">
        <v>7498</v>
      </c>
      <c r="R3" s="126" t="s">
        <v>7499</v>
      </c>
      <c r="S3" s="32" t="s">
        <v>7500</v>
      </c>
      <c r="T3" s="10" t="s">
        <v>7501</v>
      </c>
      <c r="U3" s="31" t="s">
        <v>7502</v>
      </c>
      <c r="V3" s="32" t="s">
        <v>7503</v>
      </c>
      <c r="W3" s="126" t="s">
        <v>7504</v>
      </c>
      <c r="X3" s="126" t="s">
        <v>7505</v>
      </c>
      <c r="Y3" s="32" t="s">
        <v>7506</v>
      </c>
      <c r="Z3" s="10" t="s">
        <v>7507</v>
      </c>
      <c r="AA3" s="32" t="s">
        <v>7508</v>
      </c>
      <c r="AB3" s="32" t="s">
        <v>7509</v>
      </c>
      <c r="AC3" s="10" t="s">
        <v>7510</v>
      </c>
      <c r="AD3" s="32" t="s">
        <v>7511</v>
      </c>
      <c r="AE3" s="32" t="s">
        <v>7512</v>
      </c>
      <c r="AF3" s="32" t="s">
        <v>7513</v>
      </c>
      <c r="AG3" s="32" t="s">
        <v>7514</v>
      </c>
      <c r="AH3" s="32" t="s">
        <v>7515</v>
      </c>
      <c r="AI3" s="32" t="s">
        <v>7516</v>
      </c>
      <c r="AJ3" s="32" t="s">
        <v>7517</v>
      </c>
      <c r="AK3" s="32" t="s">
        <v>7518</v>
      </c>
      <c r="AL3" s="32" t="s">
        <v>7519</v>
      </c>
      <c r="AM3" s="32" t="s">
        <v>7520</v>
      </c>
      <c r="AN3" s="32" t="s">
        <v>7521</v>
      </c>
      <c r="AO3" s="32" t="s">
        <v>7522</v>
      </c>
      <c r="AP3" s="10" t="s">
        <v>7523</v>
      </c>
      <c r="AQ3" s="59" t="s">
        <v>7524</v>
      </c>
      <c r="AR3" s="59" t="s">
        <v>7525</v>
      </c>
      <c r="AS3" s="10" t="s">
        <v>7526</v>
      </c>
      <c r="AT3" s="31" t="s">
        <v>7527</v>
      </c>
      <c r="AU3" s="31" t="s">
        <v>7528</v>
      </c>
      <c r="AV3" s="31" t="s">
        <v>7529</v>
      </c>
      <c r="AW3" s="31" t="s">
        <v>7530</v>
      </c>
      <c r="AX3" s="31" t="s">
        <v>7531</v>
      </c>
    </row>
    <row r="4" spans="1:50" ht="2.25" customHeight="1" x14ac:dyDescent="0.3">
      <c r="A4" s="125"/>
      <c r="B4" s="39" t="s">
        <v>304</v>
      </c>
      <c r="C4" s="45" t="str">
        <f>IF(ISNUMBER(MATCH(Tabla57[[#This Row],[Cod trabalhador]],'Altas Industrial'!B:B, 0)), "Ativo", "Não ativo")</f>
        <v>Ativo</v>
      </c>
      <c r="D4" s="101" t="str">
        <f>IFERROR(IF(VLOOKUP(Tabla57[[#This Row],[Cod trabalhador]],'Altas Industrial'!B:E,1,0)&lt;&gt;"","KI",""),"")</f>
        <v>KI</v>
      </c>
      <c r="E4" s="101" t="str">
        <f>IFERROR(IF(VLOOKUP(Tabla57[[#This Row],[Cod trabalhador]],'Altas Rosas'!B:F,1,0)&lt;&gt;"","KR",""),"")</f>
        <v/>
      </c>
      <c r="F4" s="101" t="str">
        <f>IFERROR(IF(VLOOKUP(Tabla57[[#This Row],[Cod trabalhador]],'Altas Wiseowe'!B:E,1,0)&lt;&gt;"","WS",""),"")</f>
        <v/>
      </c>
      <c r="G4" s="101" t="str">
        <f>IFERROR(IF(VLOOKUP(Tabla57[[#This Row],[Cod trabalhador]],'Altas Luminous'!B:E,1,0)&lt;&gt;"","LM",""),"")</f>
        <v/>
      </c>
      <c r="H4" s="51">
        <f>IFERROR(VLOOKUP(Tabla57[[#This Row],[Cod trabalhador]],'Altas Industrial'!B:E,3,FALSE),"")</f>
        <v>45762</v>
      </c>
      <c r="I4" s="61">
        <f>IF(OR(Tabla57[[#This Row],[Cod trabalhador]]="",ISBLANK(Tabla57[[#This Row],[Cod trabalhador]])),"",IFERROR(IF(VLOOKUP(Tabla57[[#This Row],[Cod trabalhador]],'Altas Industrial'!B:E,4,FALSE)=0,"",VLOOKUP(Tabla57[[#This Row],[Cod trabalhador]],'Altas Industrial'!B:E,4,FALSE)),""))</f>
        <v>46053</v>
      </c>
      <c r="J4" s="44">
        <f t="shared" ref="J4:J48" si="0">IF(C4="ativo",    IF(ISBLANK(H4),"",MAX(0,MIN(IF(ISBLANK(I4),EOMONTH(DATE(2026,1,1),0),I4),EOMONTH(DATE(2026,1,1),0)) - MAX(H4,DATE(2026,1,1))))+1,
    0
)</f>
        <v>31</v>
      </c>
      <c r="K4" s="376" t="s">
        <v>7056</v>
      </c>
      <c r="L4" s="24" t="str">
        <f>IFERROR(IF(Tabla57[[#This Row],[Cod trabalhador]]="",Tabla57[[#This Row],[Cod trabalhador]], INDEX(Colaborador_ID[Nombre], MATCH(Tabla57[[#This Row],[Cod trabalhador]],Colaborador_ID[Cod_colab], 0))), "")</f>
        <v>ALVARO ENRIQUE ROJAS DE LA OSSA</v>
      </c>
      <c r="M4" s="15"/>
      <c r="N4" s="408" t="s">
        <v>7054</v>
      </c>
      <c r="O4" s="49">
        <f>IFERROR(VLOOKUP(Tabla57[[#This Row],[Cod trabalhador]],Tabla15[],4,FALSE),"")</f>
        <v>17</v>
      </c>
      <c r="P4" s="373">
        <f>IFERROR(VLOOKUP(Tabla57[[#This Row],[Cod trabalhador]],'TotalHorasAjustadas (2)'!D:L,8,FALSE),"")</f>
        <v>144</v>
      </c>
      <c r="Q4" s="202">
        <v>144</v>
      </c>
      <c r="R4" s="98" t="s">
        <v>7532</v>
      </c>
      <c r="S4" s="49"/>
      <c r="T4" s="15"/>
      <c r="U4" s="25"/>
      <c r="V4" s="49"/>
      <c r="W4" s="27"/>
      <c r="X4" s="28"/>
      <c r="Y4" s="26"/>
      <c r="Z4" s="15"/>
      <c r="AA4" s="54" t="str">
        <f>IFERROR(VLOOKUP(Tabla57[[#This Row],[Cod trabalhador]],Alojamentos!B:P,11,FALSE),"")</f>
        <v/>
      </c>
      <c r="AB4" s="55"/>
      <c r="AC4" s="15"/>
      <c r="AD4" s="343">
        <f>Tabla57[[#This Row],[Dias de alta]]*7.058</f>
        <v>218.798</v>
      </c>
      <c r="AE4" s="344" t="str">
        <f>IFERROR(VLOOKUP(Tabla57[[#This Row],[Cod trabalhador]],Adiantamentos!B:S,7,FALSE),"")</f>
        <v/>
      </c>
      <c r="AF4" s="374" t="str">
        <f>IFERROR(VLOOKUP(Tabla57[[#This Row],[Cod trabalhador]],Carro!B:D,3,FALSE),"")</f>
        <v/>
      </c>
      <c r="AG4" s="180" t="str">
        <f>IFERROR(VLOOKUP(Tabla57[[#This Row],[Cod trabalhador]],'Outros descontos'!B:M,7,FALSE),"")</f>
        <v/>
      </c>
      <c r="AH4" s="180" t="str">
        <f>IFERROR(VLOOKUP(Tabla57[[#This Row],[Cod trabalhador]],'Outros descontos'!B:M,8,FALSE),"")</f>
        <v/>
      </c>
      <c r="AI4" s="180" t="str">
        <f>IFERROR(VLOOKUP(Tabla57[[#This Row],[Cod trabalhador]],'Outros descontos'!B:M,9,FALSE),"")</f>
        <v/>
      </c>
      <c r="AJ4" s="180" t="str">
        <f>IFERROR(VLOOKUP(Tabla57[[#This Row],[Cod trabalhador]],'Outros descontos'!B:M,10,FALSE),"")</f>
        <v/>
      </c>
      <c r="AK4" s="180" t="str">
        <f>IFERROR(VLOOKUP(Tabla57[[#This Row],[Cod trabalhador]],'Outros descontos'!B:M,11,FALSE),"")</f>
        <v/>
      </c>
      <c r="AL4" s="180" t="str">
        <f>IFERROR(VLOOKUP(Tabla57[[#This Row],[Cod trabalhador]],'Outros descontos'!B:M,12,FALSE),"")</f>
        <v/>
      </c>
      <c r="AM4" s="295" t="str">
        <f>IFERROR(VLOOKUP(Tabla57[[#This Row],[Cod trabalhador]],'Outros descontos'!B:M,13,FALSE),"")</f>
        <v/>
      </c>
      <c r="AN4" s="180"/>
      <c r="AO4" s="37">
        <v>4.08</v>
      </c>
      <c r="AP4" s="15"/>
      <c r="AQ4"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2225.1220000000003</v>
      </c>
      <c r="AR4"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2225.1220000000003</v>
      </c>
      <c r="AS4" s="15"/>
      <c r="AT4" s="27" t="str">
        <f>IF(Tabla57[[#This Row],[Cod trabalhador]]="", "", INDEX(Iban!C:C, MATCH(Tabla57[[#This Row],[Cod trabalhador]],Iban!A:A, 0)))</f>
        <v>NL02 BUNQ 2185 0437 57</v>
      </c>
      <c r="AU4" s="27"/>
      <c r="AV4" s="97"/>
      <c r="AW4" s="66" t="s">
        <v>7533</v>
      </c>
      <c r="AX4" s="296" t="s">
        <v>7472</v>
      </c>
    </row>
    <row r="5" spans="1:50" ht="18.75" customHeight="1" x14ac:dyDescent="0.3">
      <c r="A5" s="125"/>
      <c r="B5" s="39" t="s">
        <v>544</v>
      </c>
      <c r="C5" s="45" t="str">
        <f>IF(ISNUMBER(MATCH(Tabla57[[#This Row],[Cod trabalhador]],'Altas Industrial'!B:B, 0)), "Ativo", "Não ativo")</f>
        <v>Não ativo</v>
      </c>
      <c r="D5" s="101" t="str">
        <f>IFERROR(IF(VLOOKUP(Tabla57[[#This Row],[Cod trabalhador]],'Altas Industrial'!B:E,1,0)&lt;&gt;"","KI",""),"")</f>
        <v/>
      </c>
      <c r="E5" s="101" t="str">
        <f>IFERROR(IF(VLOOKUP(Tabla57[[#This Row],[Cod trabalhador]],'Altas Rosas'!B:F,1,0)&lt;&gt;"","KR",""),"")</f>
        <v/>
      </c>
      <c r="F5" s="101" t="str">
        <f>IFERROR(IF(VLOOKUP(Tabla57[[#This Row],[Cod trabalhador]],'Altas Wiseowe'!B:E,1,0)&lt;&gt;"","WS",""),"")</f>
        <v/>
      </c>
      <c r="G5" s="101" t="str">
        <f>IFERROR(IF(VLOOKUP(Tabla57[[#This Row],[Cod trabalhador]],'Altas Luminous'!B:E,1,0)&lt;&gt;"","LM",""),"")</f>
        <v/>
      </c>
      <c r="H5" s="51" t="str">
        <f>IFERROR(VLOOKUP(Tabla57[[#This Row],[Cod trabalhador]],'Altas Industrial'!B:E,3,FALSE),"")</f>
        <v/>
      </c>
      <c r="I5" s="61" t="str">
        <f>IF(OR(Tabla57[[#This Row],[Cod trabalhador]]="",ISBLANK(Tabla57[[#This Row],[Cod trabalhador]])),"",IFERROR(IF(VLOOKUP(Tabla57[[#This Row],[Cod trabalhador]],'Altas Industrial'!B:E,4,FALSE)=0,"",VLOOKUP(Tabla57[[#This Row],[Cod trabalhador]],'Altas Industrial'!B:E,4,FALSE)),""))</f>
        <v/>
      </c>
      <c r="J5" s="397">
        <f t="shared" si="0"/>
        <v>0</v>
      </c>
      <c r="K5" s="376" t="s">
        <v>7045</v>
      </c>
      <c r="L5" s="24" t="str">
        <f>IFERROR(IF(Tabla57[[#This Row],[Cod trabalhador]]="",Tabla57[[#This Row],[Cod trabalhador]], INDEX(Colaborador_ID[Nombre], MATCH(Tabla57[[#This Row],[Cod trabalhador]],Colaborador_ID[Cod_colab], 0))), "")</f>
        <v>BAIRON RENE BURBANO MORALES</v>
      </c>
      <c r="M5" s="15"/>
      <c r="N5" s="408" t="s">
        <v>7043</v>
      </c>
      <c r="O5" s="49">
        <f>IFERROR(VLOOKUP(Tabla57[[#This Row],[Cod trabalhador]],Tabla15[],4,FALSE),"")</f>
        <v>15</v>
      </c>
      <c r="P5" s="373">
        <f>IFERROR(VLOOKUP(Tabla57[[#This Row],[Cod trabalhador]],'TotalHorasAjustadas (2)'!D:L,8,FALSE),"")</f>
        <v>36</v>
      </c>
      <c r="Q5" s="202">
        <v>142</v>
      </c>
      <c r="R5" s="28" t="s">
        <v>7471</v>
      </c>
      <c r="S5" s="49"/>
      <c r="T5" s="15"/>
      <c r="U5" s="25"/>
      <c r="V5" s="49"/>
      <c r="W5" s="27"/>
      <c r="X5" s="28"/>
      <c r="Y5" s="26"/>
      <c r="Z5" s="15"/>
      <c r="AA5" s="389"/>
      <c r="AB5" s="55"/>
      <c r="AC5" s="15"/>
      <c r="AD5" s="343">
        <f>Tabla57[[#This Row],[Dias de alta]]*7.058</f>
        <v>0</v>
      </c>
      <c r="AE5" s="344">
        <f>IFERROR(VLOOKUP(Tabla57[[#This Row],[Cod trabalhador]],Adiantamentos!B:S,7,FALSE),"")</f>
        <v>200</v>
      </c>
      <c r="AF5" s="391"/>
      <c r="AG5" s="180" t="str">
        <f>IFERROR(VLOOKUP(Tabla57[[#This Row],[Cod trabalhador]],'Outros descontos'!B:M,7,FALSE),"")</f>
        <v/>
      </c>
      <c r="AH5" s="180" t="str">
        <f>IFERROR(VLOOKUP(Tabla57[[#This Row],[Cod trabalhador]],'Outros descontos'!B:M,8,FALSE),"")</f>
        <v/>
      </c>
      <c r="AI5" s="180" t="str">
        <f>IFERROR(VLOOKUP(Tabla57[[#This Row],[Cod trabalhador]],'Outros descontos'!B:M,9,FALSE),"")</f>
        <v/>
      </c>
      <c r="AJ5" s="180" t="str">
        <f>IFERROR(VLOOKUP(Tabla57[[#This Row],[Cod trabalhador]],'Outros descontos'!B:M,10,FALSE),"")</f>
        <v/>
      </c>
      <c r="AK5" s="180" t="str">
        <f>IFERROR(VLOOKUP(Tabla57[[#This Row],[Cod trabalhador]],'Outros descontos'!B:M,11,FALSE),"")</f>
        <v/>
      </c>
      <c r="AL5" s="180" t="str">
        <f>IFERROR(VLOOKUP(Tabla57[[#This Row],[Cod trabalhador]],'Outros descontos'!B:M,12,FALSE),"")</f>
        <v/>
      </c>
      <c r="AM5" s="295" t="str">
        <f>IFERROR(VLOOKUP(Tabla57[[#This Row],[Cod trabalhador]],'Outros descontos'!B:M,13,FALSE),"")</f>
        <v/>
      </c>
      <c r="AN5" s="180"/>
      <c r="AO5" s="37">
        <v>4.08</v>
      </c>
      <c r="AP5" s="15"/>
      <c r="AQ5"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335.92</v>
      </c>
      <c r="AR5"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1925.92</v>
      </c>
      <c r="AS5" s="15"/>
      <c r="AT5" s="27" t="str">
        <f>IF(Tabla57[[#This Row],[Cod trabalhador]]="", "", INDEX(Iban!C:C, MATCH(Tabla57[[#This Row],[Cod trabalhador]],Iban!A:A, 0)))</f>
        <v>ES54 0182 2270 0102 0248 1802</v>
      </c>
      <c r="AU5" s="27"/>
      <c r="AV5" s="97"/>
      <c r="AW5" s="66" t="s">
        <v>7533</v>
      </c>
      <c r="AX5" s="430" t="s">
        <v>7472</v>
      </c>
    </row>
    <row r="6" spans="1:50" ht="18.75" customHeight="1" x14ac:dyDescent="0.3">
      <c r="A6" s="125"/>
      <c r="B6" s="39" t="s">
        <v>696</v>
      </c>
      <c r="C6" s="45" t="str">
        <f>IF(ISNUMBER(MATCH(Tabla57[[#This Row],[Cod trabalhador]],'Altas Industrial'!B:B, 0)), "Ativo", "Não ativo")</f>
        <v>Ativo</v>
      </c>
      <c r="D6" s="101" t="str">
        <f>IFERROR(IF(VLOOKUP(Tabla57[[#This Row],[Cod trabalhador]],'Altas Industrial'!B:E,1,0)&lt;&gt;"","KI",""),"")</f>
        <v>KI</v>
      </c>
      <c r="E6" s="101" t="str">
        <f>IFERROR(IF(VLOOKUP(Tabla57[[#This Row],[Cod trabalhador]],'Altas Rosas'!B:F,1,0)&lt;&gt;"","KR",""),"")</f>
        <v/>
      </c>
      <c r="F6" s="101" t="str">
        <f>IFERROR(IF(VLOOKUP(Tabla57[[#This Row],[Cod trabalhador]],'Altas Wiseowe'!B:E,1,0)&lt;&gt;"","WS",""),"")</f>
        <v/>
      </c>
      <c r="G6" s="101" t="str">
        <f>IFERROR(IF(VLOOKUP(Tabla57[[#This Row],[Cod trabalhador]],'Altas Luminous'!B:E,1,0)&lt;&gt;"","LM",""),"")</f>
        <v/>
      </c>
      <c r="H6" s="51">
        <f>IFERROR(VLOOKUP(Tabla57[[#This Row],[Cod trabalhador]],'Altas Industrial'!B:E,3,FALSE),"")</f>
        <v>45762</v>
      </c>
      <c r="I6" s="61">
        <f>IF(OR(Tabla57[[#This Row],[Cod trabalhador]]="",ISBLANK(Tabla57[[#This Row],[Cod trabalhador]])),"",IFERROR(IF(VLOOKUP(Tabla57[[#This Row],[Cod trabalhador]],'Altas Industrial'!B:E,4,FALSE)=0,"",VLOOKUP(Tabla57[[#This Row],[Cod trabalhador]],'Altas Industrial'!B:E,4,FALSE)),""))</f>
        <v>46053</v>
      </c>
      <c r="J6" s="44">
        <f t="shared" si="0"/>
        <v>31</v>
      </c>
      <c r="K6" s="376" t="s">
        <v>697</v>
      </c>
      <c r="L6" s="24" t="str">
        <f>IFERROR(IF(Tabla57[[#This Row],[Cod trabalhador]]="",Tabla57[[#This Row],[Cod trabalhador]], INDEX(Colaborador_ID[Nombre], MATCH(Tabla57[[#This Row],[Cod trabalhador]],Colaborador_ID[Cod_colab], 0))), "")</f>
        <v>CAMILO ANDRES VALERO PEREZ</v>
      </c>
      <c r="M6" s="15"/>
      <c r="N6" s="408" t="s">
        <v>7072</v>
      </c>
      <c r="O6" s="49">
        <f>IFERROR(VLOOKUP(Tabla57[[#This Row],[Cod trabalhador]],Tabla15[],4,FALSE),"")</f>
        <v>15</v>
      </c>
      <c r="P6" s="373">
        <f>IFERROR(VLOOKUP(Tabla57[[#This Row],[Cod trabalhador]],'TotalHorasAjustadas (2)'!D:L,8,FALSE),"")</f>
        <v>201</v>
      </c>
      <c r="Q6" s="202">
        <v>201</v>
      </c>
      <c r="R6" s="98" t="s">
        <v>7532</v>
      </c>
      <c r="S6" s="49"/>
      <c r="T6" s="15"/>
      <c r="U6" s="25"/>
      <c r="V6" s="49"/>
      <c r="W6" s="27"/>
      <c r="X6" s="28"/>
      <c r="Y6" s="26"/>
      <c r="Z6" s="15"/>
      <c r="AA6" s="54" t="str">
        <f>IFERROR(VLOOKUP(Tabla57[[#This Row],[Cod trabalhador]],Alojamentos!B:P,11,FALSE),"")</f>
        <v/>
      </c>
      <c r="AB6" s="55"/>
      <c r="AC6" s="15"/>
      <c r="AD6" s="343">
        <f>Tabla57[[#This Row],[Dias de alta]]*7.058</f>
        <v>218.798</v>
      </c>
      <c r="AE6" s="344" t="str">
        <f>IFERROR(VLOOKUP(Tabla57[[#This Row],[Cod trabalhador]],Adiantamentos!B:S,7,FALSE),"")</f>
        <v/>
      </c>
      <c r="AF6" s="374">
        <f>IFERROR(VLOOKUP(Tabla57[[#This Row],[Cod trabalhador]],Carro!B:D,3,FALSE),"")</f>
        <v>145</v>
      </c>
      <c r="AG6" s="180" t="str">
        <f>IFERROR(VLOOKUP(Tabla57[[#This Row],[Cod trabalhador]],'Outros descontos'!B:M,7,FALSE),"")</f>
        <v/>
      </c>
      <c r="AH6" s="180" t="str">
        <f>IFERROR(VLOOKUP(Tabla57[[#This Row],[Cod trabalhador]],'Outros descontos'!B:M,8,FALSE),"")</f>
        <v/>
      </c>
      <c r="AI6" s="180" t="str">
        <f>IFERROR(VLOOKUP(Tabla57[[#This Row],[Cod trabalhador]],'Outros descontos'!B:M,9,FALSE),"")</f>
        <v/>
      </c>
      <c r="AJ6" s="180" t="str">
        <f>IFERROR(VLOOKUP(Tabla57[[#This Row],[Cod trabalhador]],'Outros descontos'!B:M,10,FALSE),"")</f>
        <v/>
      </c>
      <c r="AK6" s="180" t="str">
        <f>IFERROR(VLOOKUP(Tabla57[[#This Row],[Cod trabalhador]],'Outros descontos'!B:M,11,FALSE),"")</f>
        <v/>
      </c>
      <c r="AL6" s="180" t="str">
        <f>IFERROR(VLOOKUP(Tabla57[[#This Row],[Cod trabalhador]],'Outros descontos'!B:M,12,FALSE),"")</f>
        <v/>
      </c>
      <c r="AM6" s="295" t="str">
        <f>IFERROR(VLOOKUP(Tabla57[[#This Row],[Cod trabalhador]],'Outros descontos'!B:M,13,FALSE),"")</f>
        <v/>
      </c>
      <c r="AN6" s="180"/>
      <c r="AO6" s="37">
        <v>4.08</v>
      </c>
      <c r="AP6" s="15"/>
      <c r="AQ6"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2647.1220000000003</v>
      </c>
      <c r="AR6"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2647.1220000000003</v>
      </c>
      <c r="AS6" s="15"/>
      <c r="AT6" s="27" t="str">
        <f>IF(Tabla57[[#This Row],[Cod trabalhador]]="", "", INDEX(Iban!C:C, MATCH(Tabla57[[#This Row],[Cod trabalhador]],Iban!A:A, 0)))</f>
        <v xml:space="preserve"> ES44 0182 4388 1902 0186 5368 </v>
      </c>
      <c r="AU6" s="27"/>
      <c r="AV6" s="311"/>
      <c r="AW6" s="66" t="s">
        <v>7533</v>
      </c>
      <c r="AX6" s="296" t="s">
        <v>7472</v>
      </c>
    </row>
    <row r="7" spans="1:50" ht="18.75" customHeight="1" x14ac:dyDescent="0.3">
      <c r="A7" s="125"/>
      <c r="B7" s="39" t="s">
        <v>703</v>
      </c>
      <c r="C7" s="45" t="str">
        <f>IF(ISNUMBER(MATCH(Tabla57[[#This Row],[Cod trabalhador]],'Altas Industrial'!B:B, 0)), "Ativo", "Não ativo")</f>
        <v>Não ativo</v>
      </c>
      <c r="D7" s="101" t="str">
        <f>IFERROR(IF(VLOOKUP(Tabla57[[#This Row],[Cod trabalhador]],'Altas Industrial'!B:E,1,0)&lt;&gt;"","KI",""),"")</f>
        <v/>
      </c>
      <c r="E7" s="101" t="str">
        <f>IFERROR(IF(VLOOKUP(Tabla57[[#This Row],[Cod trabalhador]],'Altas Rosas'!B:F,1,0)&lt;&gt;"","KR",""),"")</f>
        <v/>
      </c>
      <c r="F7" s="101" t="str">
        <f>IFERROR(IF(VLOOKUP(Tabla57[[#This Row],[Cod trabalhador]],'Altas Wiseowe'!B:E,1,0)&lt;&gt;"","WS",""),"")</f>
        <v/>
      </c>
      <c r="G7" s="101" t="str">
        <f>IFERROR(IF(VLOOKUP(Tabla57[[#This Row],[Cod trabalhador]],'Altas Luminous'!B:E,1,0)&lt;&gt;"","LM",""),"")</f>
        <v/>
      </c>
      <c r="H7" s="51" t="str">
        <f>IFERROR(VLOOKUP(Tabla57[[#This Row],[Cod trabalhador]],'Altas Industrial'!B:E,3,FALSE),"")</f>
        <v/>
      </c>
      <c r="I7" s="61" t="str">
        <f>IF(OR(Tabla57[[#This Row],[Cod trabalhador]]="",ISBLANK(Tabla57[[#This Row],[Cod trabalhador]])),"",IFERROR(IF(VLOOKUP(Tabla57[[#This Row],[Cod trabalhador]],'Altas Industrial'!B:E,4,FALSE)=0,"",VLOOKUP(Tabla57[[#This Row],[Cod trabalhador]],'Altas Industrial'!B:E,4,FALSE)),""))</f>
        <v/>
      </c>
      <c r="J7" s="44">
        <f t="shared" si="0"/>
        <v>0</v>
      </c>
      <c r="K7" s="376" t="s">
        <v>704</v>
      </c>
      <c r="L7" s="24" t="str">
        <f>IFERROR(IF(Tabla57[[#This Row],[Cod trabalhador]]="",Tabla57[[#This Row],[Cod trabalhador]], INDEX(Colaborador_ID[Nombre], MATCH(Tabla57[[#This Row],[Cod trabalhador]],Colaborador_ID[Cod_colab], 0))), "")</f>
        <v>CARLOS ADRIAN CAMELO CALDERON</v>
      </c>
      <c r="M7" s="15"/>
      <c r="N7" s="408" t="s">
        <v>7054</v>
      </c>
      <c r="O7" s="49">
        <f>IFERROR(VLOOKUP(Tabla57[[#This Row],[Cod trabalhador]],Tabla15[],4,FALSE),"")</f>
        <v>13</v>
      </c>
      <c r="P7" s="373">
        <f>IFERROR(VLOOKUP(Tabla57[[#This Row],[Cod trabalhador]],'TotalHorasAjustadas (2)'!D:L,8,FALSE),"")</f>
        <v>161</v>
      </c>
      <c r="Q7" s="202">
        <v>161</v>
      </c>
      <c r="R7" s="98" t="s">
        <v>7532</v>
      </c>
      <c r="S7" s="49"/>
      <c r="T7" s="15"/>
      <c r="U7" s="25"/>
      <c r="V7" s="49"/>
      <c r="W7" s="27"/>
      <c r="X7" s="28"/>
      <c r="Y7" s="26"/>
      <c r="Z7" s="15"/>
      <c r="AA7" s="54" t="str">
        <f>IFERROR(VLOOKUP(Tabla57[[#This Row],[Cod trabalhador]],Alojamentos!B:P,11,FALSE),"")</f>
        <v/>
      </c>
      <c r="AB7" s="55"/>
      <c r="AC7" s="15"/>
      <c r="AD7" s="343">
        <f>Tabla57[[#This Row],[Dias de alta]]*7.058</f>
        <v>0</v>
      </c>
      <c r="AE7" s="344" t="str">
        <f>IFERROR(VLOOKUP(Tabla57[[#This Row],[Cod trabalhador]],Adiantamentos!B:S,7,FALSE),"")</f>
        <v/>
      </c>
      <c r="AF7" s="374" t="str">
        <f>IFERROR(VLOOKUP(Tabla57[[#This Row],[Cod trabalhador]],Carro!B:D,3,FALSE),"")</f>
        <v/>
      </c>
      <c r="AG7" s="180" t="str">
        <f>IFERROR(VLOOKUP(Tabla57[[#This Row],[Cod trabalhador]],'Outros descontos'!B:M,7,FALSE),"")</f>
        <v/>
      </c>
      <c r="AH7" s="180" t="str">
        <f>IFERROR(VLOOKUP(Tabla57[[#This Row],[Cod trabalhador]],'Outros descontos'!B:M,8,FALSE),"")</f>
        <v/>
      </c>
      <c r="AI7" s="180" t="str">
        <f>IFERROR(VLOOKUP(Tabla57[[#This Row],[Cod trabalhador]],'Outros descontos'!B:M,9,FALSE),"")</f>
        <v/>
      </c>
      <c r="AJ7" s="180" t="str">
        <f>IFERROR(VLOOKUP(Tabla57[[#This Row],[Cod trabalhador]],'Outros descontos'!B:M,10,FALSE),"")</f>
        <v/>
      </c>
      <c r="AK7" s="180" t="str">
        <f>IFERROR(VLOOKUP(Tabla57[[#This Row],[Cod trabalhador]],'Outros descontos'!B:M,11,FALSE),"")</f>
        <v/>
      </c>
      <c r="AL7" s="180" t="str">
        <f>IFERROR(VLOOKUP(Tabla57[[#This Row],[Cod trabalhador]],'Outros descontos'!B:M,12,FALSE),"")</f>
        <v/>
      </c>
      <c r="AM7" s="295" t="str">
        <f>IFERROR(VLOOKUP(Tabla57[[#This Row],[Cod trabalhador]],'Outros descontos'!B:M,13,FALSE),"")</f>
        <v/>
      </c>
      <c r="AN7" s="180"/>
      <c r="AO7" s="37">
        <v>4.08</v>
      </c>
      <c r="AP7" s="15"/>
      <c r="AQ7"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2088.92</v>
      </c>
      <c r="AR7"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2088.92</v>
      </c>
      <c r="AS7" s="15"/>
      <c r="AT7" s="27" t="str">
        <f>IF(Tabla57[[#This Row],[Cod trabalhador]]="", "", INDEX(Iban!C:C, MATCH(Tabla57[[#This Row],[Cod trabalhador]],Iban!A:A, 0)))</f>
        <v>ES62 0182 1965 1702 0169 8881</v>
      </c>
      <c r="AU7" s="27"/>
      <c r="AV7" s="311"/>
      <c r="AW7" s="66" t="s">
        <v>7533</v>
      </c>
      <c r="AX7" s="296" t="s">
        <v>7472</v>
      </c>
    </row>
    <row r="8" spans="1:50" ht="18.75" customHeight="1" x14ac:dyDescent="0.3">
      <c r="A8" s="125"/>
      <c r="B8" s="39" t="s">
        <v>743</v>
      </c>
      <c r="C8" s="45" t="str">
        <f>IF(ISNUMBER(MATCH(Tabla57[[#This Row],[Cod trabalhador]],'Altas Industrial'!B:B, 0)), "Ativo", "Não ativo")</f>
        <v>Não ativo</v>
      </c>
      <c r="D8" s="101" t="str">
        <f>IFERROR(IF(VLOOKUP(Tabla57[[#This Row],[Cod trabalhador]],'Altas Industrial'!B:E,1,0)&lt;&gt;"","KI",""),"")</f>
        <v/>
      </c>
      <c r="E8" s="101" t="str">
        <f>IFERROR(IF(VLOOKUP(Tabla57[[#This Row],[Cod trabalhador]],'Altas Rosas'!B:F,1,0)&lt;&gt;"","KR",""),"")</f>
        <v/>
      </c>
      <c r="F8" s="101" t="str">
        <f>IFERROR(IF(VLOOKUP(Tabla57[[#This Row],[Cod trabalhador]],'Altas Wiseowe'!B:E,1,0)&lt;&gt;"","WS",""),"")</f>
        <v/>
      </c>
      <c r="G8" s="101" t="str">
        <f>IFERROR(IF(VLOOKUP(Tabla57[[#This Row],[Cod trabalhador]],'Altas Luminous'!B:E,1,0)&lt;&gt;"","LM",""),"")</f>
        <v/>
      </c>
      <c r="H8" s="51" t="str">
        <f>IFERROR(VLOOKUP(Tabla57[[#This Row],[Cod trabalhador]],'Altas Industrial'!B:E,3,FALSE),"")</f>
        <v/>
      </c>
      <c r="I8" s="61" t="str">
        <f>IF(OR(Tabla57[[#This Row],[Cod trabalhador]]="",ISBLANK(Tabla57[[#This Row],[Cod trabalhador]])),"",IFERROR(IF(VLOOKUP(Tabla57[[#This Row],[Cod trabalhador]],'Altas Industrial'!B:E,4,FALSE)=0,"",VLOOKUP(Tabla57[[#This Row],[Cod trabalhador]],'Altas Industrial'!B:E,4,FALSE)),""))</f>
        <v/>
      </c>
      <c r="J8" s="44">
        <f t="shared" si="0"/>
        <v>0</v>
      </c>
      <c r="K8" s="376" t="s">
        <v>7057</v>
      </c>
      <c r="L8" s="24" t="str">
        <f>IFERROR(IF(Tabla57[[#This Row],[Cod trabalhador]]="",Tabla57[[#This Row],[Cod trabalhador]], INDEX(Colaborador_ID[Nombre], MATCH(Tabla57[[#This Row],[Cod trabalhador]],Colaborador_ID[Cod_colab], 0))), "")</f>
        <v>CARLOS ALBERTO RAMOS URBANO</v>
      </c>
      <c r="M8" s="15"/>
      <c r="N8" s="408" t="s">
        <v>7054</v>
      </c>
      <c r="O8" s="49">
        <f>IFERROR(VLOOKUP(Tabla57[[#This Row],[Cod trabalhador]],Tabla15[],4,FALSE),"")</f>
        <v>16</v>
      </c>
      <c r="P8" s="373">
        <f>IFERROR(VLOOKUP(Tabla57[[#This Row],[Cod trabalhador]],'TotalHorasAjustadas (2)'!D:L,8,FALSE),"")</f>
        <v>225</v>
      </c>
      <c r="Q8" s="202">
        <v>225</v>
      </c>
      <c r="R8" s="98" t="s">
        <v>7532</v>
      </c>
      <c r="S8" s="49"/>
      <c r="T8" s="15"/>
      <c r="U8" s="25"/>
      <c r="V8" s="49"/>
      <c r="W8" s="27"/>
      <c r="X8" s="28"/>
      <c r="Y8" s="26"/>
      <c r="Z8" s="15"/>
      <c r="AA8" s="54" t="str">
        <f>IFERROR(VLOOKUP(Tabla57[[#This Row],[Cod trabalhador]],Alojamentos!B:P,11,FALSE),"")</f>
        <v/>
      </c>
      <c r="AB8" s="55"/>
      <c r="AC8" s="15"/>
      <c r="AD8" s="343">
        <f>Tabla57[[#This Row],[Dias de alta]]*7.058</f>
        <v>0</v>
      </c>
      <c r="AE8" s="344" t="str">
        <f>IFERROR(VLOOKUP(Tabla57[[#This Row],[Cod trabalhador]],Adiantamentos!B:S,7,FALSE),"")</f>
        <v/>
      </c>
      <c r="AF8" s="374" t="str">
        <f>IFERROR(VLOOKUP(Tabla57[[#This Row],[Cod trabalhador]],Carro!B:D,3,FALSE),"")</f>
        <v/>
      </c>
      <c r="AG8" s="180" t="str">
        <f>IFERROR(VLOOKUP(Tabla57[[#This Row],[Cod trabalhador]],'Outros descontos'!B:M,7,FALSE),"")</f>
        <v/>
      </c>
      <c r="AH8" s="180" t="str">
        <f>IFERROR(VLOOKUP(Tabla57[[#This Row],[Cod trabalhador]],'Outros descontos'!B:M,8,FALSE),"")</f>
        <v/>
      </c>
      <c r="AI8" s="180" t="str">
        <f>IFERROR(VLOOKUP(Tabla57[[#This Row],[Cod trabalhador]],'Outros descontos'!B:M,9,FALSE),"")</f>
        <v/>
      </c>
      <c r="AJ8" s="180" t="str">
        <f>IFERROR(VLOOKUP(Tabla57[[#This Row],[Cod trabalhador]],'Outros descontos'!B:M,10,FALSE),"")</f>
        <v/>
      </c>
      <c r="AK8" s="180" t="str">
        <f>IFERROR(VLOOKUP(Tabla57[[#This Row],[Cod trabalhador]],'Outros descontos'!B:M,11,FALSE),"")</f>
        <v/>
      </c>
      <c r="AL8" s="180" t="str">
        <f>IFERROR(VLOOKUP(Tabla57[[#This Row],[Cod trabalhador]],'Outros descontos'!B:M,12,FALSE),"")</f>
        <v/>
      </c>
      <c r="AM8" s="295" t="str">
        <f>IFERROR(VLOOKUP(Tabla57[[#This Row],[Cod trabalhador]],'Outros descontos'!B:M,13,FALSE),"")</f>
        <v/>
      </c>
      <c r="AN8" s="180"/>
      <c r="AO8" s="37">
        <v>4.08</v>
      </c>
      <c r="AP8" s="15"/>
      <c r="AQ8"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3595.92</v>
      </c>
      <c r="AR8"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3595.92</v>
      </c>
      <c r="AS8" s="15"/>
      <c r="AT8" s="27" t="str">
        <f>IF(Tabla57[[#This Row],[Cod trabalhador]]="", "", INDEX(Iban!C:C, MATCH(Tabla57[[#This Row],[Cod trabalhador]],Iban!A:A, 0)))</f>
        <v>BE96 9054 2055 3005</v>
      </c>
      <c r="AU8" s="27"/>
      <c r="AV8" s="311"/>
      <c r="AW8" s="66" t="s">
        <v>7533</v>
      </c>
      <c r="AX8" s="296" t="s">
        <v>7472</v>
      </c>
    </row>
    <row r="9" spans="1:50" ht="18.75" customHeight="1" x14ac:dyDescent="0.3">
      <c r="A9" s="125"/>
      <c r="B9" s="39" t="s">
        <v>1118</v>
      </c>
      <c r="C9" s="45" t="str">
        <f>IF(ISNUMBER(MATCH(Tabla57[[#This Row],[Cod trabalhador]],'Altas Industrial'!B:B, 0)), "Ativo", "Não ativo")</f>
        <v>Ativo</v>
      </c>
      <c r="D9" s="101" t="str">
        <f>IFERROR(IF(VLOOKUP(Tabla57[[#This Row],[Cod trabalhador]],'Altas Industrial'!B:E,1,0)&lt;&gt;"","KI",""),"")</f>
        <v>KI</v>
      </c>
      <c r="E9" s="101" t="str">
        <f>IFERROR(IF(VLOOKUP(Tabla57[[#This Row],[Cod trabalhador]],'Altas Rosas'!B:F,1,0)&lt;&gt;"","KR",""),"")</f>
        <v/>
      </c>
      <c r="F9" s="101" t="str">
        <f>IFERROR(IF(VLOOKUP(Tabla57[[#This Row],[Cod trabalhador]],'Altas Wiseowe'!B:E,1,0)&lt;&gt;"","WS",""),"")</f>
        <v/>
      </c>
      <c r="G9" s="101" t="str">
        <f>IFERROR(IF(VLOOKUP(Tabla57[[#This Row],[Cod trabalhador]],'Altas Luminous'!B:E,1,0)&lt;&gt;"","LM",""),"")</f>
        <v/>
      </c>
      <c r="H9" s="51">
        <f>IFERROR(VLOOKUP(Tabla57[[#This Row],[Cod trabalhador]],'Altas Industrial'!B:E,3,FALSE),"")</f>
        <v>45762</v>
      </c>
      <c r="I9" s="61">
        <f>IF(OR(Tabla57[[#This Row],[Cod trabalhador]]="",ISBLANK(Tabla57[[#This Row],[Cod trabalhador]])),"",IFERROR(IF(VLOOKUP(Tabla57[[#This Row],[Cod trabalhador]],'Altas Industrial'!B:E,4,FALSE)=0,"",VLOOKUP(Tabla57[[#This Row],[Cod trabalhador]],'Altas Industrial'!B:E,4,FALSE)),""))</f>
        <v>46052</v>
      </c>
      <c r="J9" s="44">
        <f t="shared" si="0"/>
        <v>30</v>
      </c>
      <c r="K9" s="376" t="s">
        <v>7049</v>
      </c>
      <c r="L9" s="24" t="str">
        <f>IFERROR(IF(Tabla57[[#This Row],[Cod trabalhador]]="",Tabla57[[#This Row],[Cod trabalhador]], INDEX(Colaborador_ID[Nombre], MATCH(Tabla57[[#This Row],[Cod trabalhador]],Colaborador_ID[Cod_colab], 0))), "")</f>
        <v>DAMIAN ZAMBRANO TULANDE</v>
      </c>
      <c r="M9" s="15"/>
      <c r="N9" s="408" t="s">
        <v>7048</v>
      </c>
      <c r="O9" s="49">
        <v>16.5</v>
      </c>
      <c r="P9" s="373">
        <f>IFERROR(VLOOKUP(Tabla57[[#This Row],[Cod trabalhador]],'TotalHorasAjustadas (2)'!D:L,8,FALSE),"")</f>
        <v>142</v>
      </c>
      <c r="Q9" s="202">
        <v>142</v>
      </c>
      <c r="R9" s="98" t="s">
        <v>7532</v>
      </c>
      <c r="S9" s="49"/>
      <c r="T9" s="15"/>
      <c r="U9" s="25"/>
      <c r="V9" s="49"/>
      <c r="W9" s="27"/>
      <c r="X9" s="28"/>
      <c r="Y9" s="26"/>
      <c r="Z9" s="15"/>
      <c r="AA9" s="54" t="str">
        <f>IFERROR(VLOOKUP(Tabla57[[#This Row],[Cod trabalhador]],Alojamentos!B:P,11,FALSE),"")</f>
        <v/>
      </c>
      <c r="AB9" s="55"/>
      <c r="AC9" s="15"/>
      <c r="AD9" s="343">
        <f>Tabla57[[#This Row],[Dias de alta]]*7.058</f>
        <v>211.74</v>
      </c>
      <c r="AE9" s="344" t="str">
        <f>IFERROR(VLOOKUP(Tabla57[[#This Row],[Cod trabalhador]],Adiantamentos!B:S,7,FALSE),"")</f>
        <v/>
      </c>
      <c r="AF9" s="374">
        <f>IFERROR(VLOOKUP(Tabla57[[#This Row],[Cod trabalhador]],Carro!B:D,3,FALSE),"")</f>
        <v>66.666666666666671</v>
      </c>
      <c r="AG9" s="180" t="str">
        <f>IFERROR(VLOOKUP(Tabla57[[#This Row],[Cod trabalhador]],'Outros descontos'!B:M,7,FALSE),"")</f>
        <v/>
      </c>
      <c r="AH9" s="180" t="str">
        <f>IFERROR(VLOOKUP(Tabla57[[#This Row],[Cod trabalhador]],'Outros descontos'!B:M,8,FALSE),"")</f>
        <v/>
      </c>
      <c r="AI9" s="180" t="str">
        <f>IFERROR(VLOOKUP(Tabla57[[#This Row],[Cod trabalhador]],'Outros descontos'!B:M,9,FALSE),"")</f>
        <v/>
      </c>
      <c r="AJ9" s="180" t="str">
        <f>IFERROR(VLOOKUP(Tabla57[[#This Row],[Cod trabalhador]],'Outros descontos'!B:M,10,FALSE),"")</f>
        <v/>
      </c>
      <c r="AK9" s="180" t="str">
        <f>IFERROR(VLOOKUP(Tabla57[[#This Row],[Cod trabalhador]],'Outros descontos'!B:M,11,FALSE),"")</f>
        <v/>
      </c>
      <c r="AL9" s="180" t="str">
        <f>IFERROR(VLOOKUP(Tabla57[[#This Row],[Cod trabalhador]],'Outros descontos'!B:M,12,FALSE),"")</f>
        <v/>
      </c>
      <c r="AM9" s="295" t="str">
        <f>IFERROR(VLOOKUP(Tabla57[[#This Row],[Cod trabalhador]],'Outros descontos'!B:M,13,FALSE),"")</f>
        <v/>
      </c>
      <c r="AN9" s="180"/>
      <c r="AO9" s="37">
        <v>4.08</v>
      </c>
      <c r="AP9" s="15"/>
      <c r="AQ9"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2060.5133333333338</v>
      </c>
      <c r="AR9"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2060.5133333333338</v>
      </c>
      <c r="AS9" s="15"/>
      <c r="AT9" s="27" t="str">
        <f>IF(Tabla57[[#This Row],[Cod trabalhador]]="", "", INDEX(Iban!C:C, MATCH(Tabla57[[#This Row],[Cod trabalhador]],Iban!A:A, 0)))</f>
        <v xml:space="preserve">ES31 0182 0361 8402 0160 6315 </v>
      </c>
      <c r="AU9" s="27"/>
      <c r="AV9" s="311"/>
      <c r="AW9" s="66" t="s">
        <v>7533</v>
      </c>
      <c r="AX9" s="296" t="s">
        <v>7472</v>
      </c>
    </row>
    <row r="10" spans="1:50" ht="18.75" customHeight="1" x14ac:dyDescent="0.3">
      <c r="A10" s="125"/>
      <c r="B10" s="39" t="s">
        <v>1217</v>
      </c>
      <c r="C10" s="45" t="str">
        <f>IF(ISNUMBER(MATCH(Tabla57[[#This Row],[Cod trabalhador]],'Altas Industrial'!B:B, 0)), "Ativo", "Não ativo")</f>
        <v>Não ativo</v>
      </c>
      <c r="D10" s="101" t="str">
        <f>IFERROR(IF(VLOOKUP(Tabla57[[#This Row],[Cod trabalhador]],'Altas Industrial'!B:E,1,0)&lt;&gt;"","KI",""),"")</f>
        <v/>
      </c>
      <c r="E10" s="101" t="str">
        <f>IFERROR(IF(VLOOKUP(Tabla57[[#This Row],[Cod trabalhador]],'Altas Rosas'!B:F,1,0)&lt;&gt;"","KR",""),"")</f>
        <v/>
      </c>
      <c r="F10" s="101" t="str">
        <f>IFERROR(IF(VLOOKUP(Tabla57[[#This Row],[Cod trabalhador]],'Altas Wiseowe'!B:E,1,0)&lt;&gt;"","WS",""),"")</f>
        <v/>
      </c>
      <c r="G10" s="101" t="str">
        <f>IFERROR(IF(VLOOKUP(Tabla57[[#This Row],[Cod trabalhador]],'Altas Luminous'!B:E,1,0)&lt;&gt;"","LM",""),"")</f>
        <v/>
      </c>
      <c r="H10" s="51" t="str">
        <f>IFERROR(VLOOKUP(Tabla57[[#This Row],[Cod trabalhador]],'Altas Industrial'!B:E,3,FALSE),"")</f>
        <v/>
      </c>
      <c r="I10" s="61" t="str">
        <f>IF(OR(Tabla57[[#This Row],[Cod trabalhador]]="",ISBLANK(Tabla57[[#This Row],[Cod trabalhador]])),"",IFERROR(IF(VLOOKUP(Tabla57[[#This Row],[Cod trabalhador]],'Altas Industrial'!B:E,4,FALSE)=0,"",VLOOKUP(Tabla57[[#This Row],[Cod trabalhador]],'Altas Industrial'!B:E,4,FALSE)),""))</f>
        <v/>
      </c>
      <c r="J10" s="44">
        <f t="shared" si="0"/>
        <v>0</v>
      </c>
      <c r="K10" s="376" t="s">
        <v>1218</v>
      </c>
      <c r="L10" s="24" t="str">
        <f>IFERROR(IF(Tabla57[[#This Row],[Cod trabalhador]]="",Tabla57[[#This Row],[Cod trabalhador]], INDEX(Colaborador_ID[Nombre], MATCH(Tabla57[[#This Row],[Cod trabalhador]],Colaborador_ID[Cod_colab], 0))), "")</f>
        <v>DARWIN JOSE VASQUEZ ORTEGA</v>
      </c>
      <c r="M10" s="15"/>
      <c r="N10" s="408" t="s">
        <v>7042</v>
      </c>
      <c r="O10" s="49">
        <f>IFERROR(VLOOKUP(Tabla57[[#This Row],[Cod trabalhador]],Tabla15[],4,FALSE),"")</f>
        <v>15</v>
      </c>
      <c r="P10" s="373">
        <f>IFERROR(VLOOKUP(Tabla57[[#This Row],[Cod trabalhador]],'TotalHorasAjustadas (2)'!D:L,8,FALSE),"")</f>
        <v>191.25</v>
      </c>
      <c r="Q10" s="202">
        <v>191.25</v>
      </c>
      <c r="R10" s="98" t="s">
        <v>7532</v>
      </c>
      <c r="S10" s="49"/>
      <c r="T10" s="15"/>
      <c r="U10" s="25"/>
      <c r="V10" s="49"/>
      <c r="W10" s="27"/>
      <c r="X10" s="28"/>
      <c r="Y10" s="26"/>
      <c r="Z10" s="15"/>
      <c r="AA10" s="54">
        <f>IFERROR(VLOOKUP(Tabla57[[#This Row],[Cod trabalhador]],Alojamentos!B:P,11,FALSE),"")</f>
        <v>300</v>
      </c>
      <c r="AB10" s="55"/>
      <c r="AC10" s="15"/>
      <c r="AD10" s="343">
        <f>Tabla57[[#This Row],[Dias de alta]]*7.058</f>
        <v>0</v>
      </c>
      <c r="AE10" s="344" t="str">
        <f>IFERROR(VLOOKUP(Tabla57[[#This Row],[Cod trabalhador]],Adiantamentos!B:S,7,FALSE),"")</f>
        <v/>
      </c>
      <c r="AF10" s="374" t="str">
        <f>IFERROR(VLOOKUP(Tabla57[[#This Row],[Cod trabalhador]],Carro!B:D,3,FALSE),"")</f>
        <v/>
      </c>
      <c r="AG10" s="180" t="str">
        <f>IFERROR(VLOOKUP(Tabla57[[#This Row],[Cod trabalhador]],'Outros descontos'!B:M,7,FALSE),"")</f>
        <v/>
      </c>
      <c r="AH10" s="180" t="str">
        <f>IFERROR(VLOOKUP(Tabla57[[#This Row],[Cod trabalhador]],'Outros descontos'!B:M,8,FALSE),"")</f>
        <v/>
      </c>
      <c r="AI10" s="180" t="str">
        <f>IFERROR(VLOOKUP(Tabla57[[#This Row],[Cod trabalhador]],'Outros descontos'!B:M,9,FALSE),"")</f>
        <v/>
      </c>
      <c r="AJ10" s="180" t="str">
        <f>IFERROR(VLOOKUP(Tabla57[[#This Row],[Cod trabalhador]],'Outros descontos'!B:M,10,FALSE),"")</f>
        <v/>
      </c>
      <c r="AK10" s="180" t="str">
        <f>IFERROR(VLOOKUP(Tabla57[[#This Row],[Cod trabalhador]],'Outros descontos'!B:M,11,FALSE),"")</f>
        <v/>
      </c>
      <c r="AL10" s="180" t="str">
        <f>IFERROR(VLOOKUP(Tabla57[[#This Row],[Cod trabalhador]],'Outros descontos'!B:M,12,FALSE),"")</f>
        <v/>
      </c>
      <c r="AM10" s="295" t="str">
        <f>IFERROR(VLOOKUP(Tabla57[[#This Row],[Cod trabalhador]],'Outros descontos'!B:M,13,FALSE),"")</f>
        <v/>
      </c>
      <c r="AN10" s="180"/>
      <c r="AO10" s="37">
        <v>4.08</v>
      </c>
      <c r="AP10" s="15"/>
      <c r="AQ10"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3164.67</v>
      </c>
      <c r="AR10"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3164.67</v>
      </c>
      <c r="AS10" s="15"/>
      <c r="AT10" s="27" t="str">
        <f>IF(Tabla57[[#This Row],[Cod trabalhador]]="", "", INDEX(Iban!C:C, MATCH(Tabla57[[#This Row],[Cod trabalhador]],Iban!A:A, 0)))</f>
        <v>ES09 6893 0001 7400 0027 7208</v>
      </c>
      <c r="AU10" s="27"/>
      <c r="AV10" s="311"/>
      <c r="AW10" s="66" t="s">
        <v>7533</v>
      </c>
      <c r="AX10" s="296" t="s">
        <v>7472</v>
      </c>
    </row>
    <row r="11" spans="1:50" ht="18.75" customHeight="1" x14ac:dyDescent="0.3">
      <c r="A11" s="125"/>
      <c r="B11" s="39" t="s">
        <v>1241</v>
      </c>
      <c r="C11" s="45" t="str">
        <f>IF(ISNUMBER(MATCH(Tabla57[[#This Row],[Cod trabalhador]],'Altas Industrial'!B:B, 0)), "Ativo", "Não ativo")</f>
        <v>Não ativo</v>
      </c>
      <c r="D11" s="101" t="str">
        <f>IFERROR(IF(VLOOKUP(Tabla57[[#This Row],[Cod trabalhador]],'Altas Industrial'!B:E,1,0)&lt;&gt;"","KI",""),"")</f>
        <v/>
      </c>
      <c r="E11" s="101" t="str">
        <f>IFERROR(IF(VLOOKUP(Tabla57[[#This Row],[Cod trabalhador]],'Altas Rosas'!B:F,1,0)&lt;&gt;"","KR",""),"")</f>
        <v/>
      </c>
      <c r="F11" s="101" t="str">
        <f>IFERROR(IF(VLOOKUP(Tabla57[[#This Row],[Cod trabalhador]],'Altas Wiseowe'!B:E,1,0)&lt;&gt;"","WS",""),"")</f>
        <v/>
      </c>
      <c r="G11" s="101" t="str">
        <f>IFERROR(IF(VLOOKUP(Tabla57[[#This Row],[Cod trabalhador]],'Altas Luminous'!B:E,1,0)&lt;&gt;"","LM",""),"")</f>
        <v/>
      </c>
      <c r="H11" s="51" t="str">
        <f>IFERROR(VLOOKUP(Tabla57[[#This Row],[Cod trabalhador]],'Altas Industrial'!B:E,3,FALSE),"")</f>
        <v/>
      </c>
      <c r="I11" s="61" t="str">
        <f>IF(OR(Tabla57[[#This Row],[Cod trabalhador]]="",ISBLANK(Tabla57[[#This Row],[Cod trabalhador]])),"",IFERROR(IF(VLOOKUP(Tabla57[[#This Row],[Cod trabalhador]],'Altas Industrial'!B:E,4,FALSE)=0,"",VLOOKUP(Tabla57[[#This Row],[Cod trabalhador]],'Altas Industrial'!B:E,4,FALSE)),""))</f>
        <v/>
      </c>
      <c r="J11" s="44">
        <f t="shared" si="0"/>
        <v>0</v>
      </c>
      <c r="K11" s="376"/>
      <c r="L11" s="24" t="str">
        <f>IFERROR(IF(Tabla57[[#This Row],[Cod trabalhador]]="",Tabla57[[#This Row],[Cod trabalhador]], INDEX(Colaborador_ID[Nombre], MATCH(Tabla57[[#This Row],[Cod trabalhador]],Colaborador_ID[Cod_colab], 0))), "")</f>
        <v>DAVID RICARDO SANCHEZ ZAPATA</v>
      </c>
      <c r="M11" s="15"/>
      <c r="N11" s="408" t="s">
        <v>7097</v>
      </c>
      <c r="O11" s="49">
        <f>IFERROR(VLOOKUP(Tabla57[[#This Row],[Cod trabalhador]],Tabla15[],4,FALSE),"")</f>
        <v>15</v>
      </c>
      <c r="P11" s="373">
        <f>IFERROR(VLOOKUP(Tabla57[[#This Row],[Cod trabalhador]],'TotalHorasAjustadas (2)'!D:L,8,FALSE),"")</f>
        <v>51</v>
      </c>
      <c r="Q11" s="202">
        <v>90</v>
      </c>
      <c r="R11" s="98"/>
      <c r="S11" s="49"/>
      <c r="T11" s="15"/>
      <c r="U11" s="25"/>
      <c r="V11" s="49"/>
      <c r="W11" s="27"/>
      <c r="X11" s="28"/>
      <c r="Y11" s="26"/>
      <c r="Z11" s="15"/>
      <c r="AA11" s="54" t="str">
        <f>IFERROR(VLOOKUP(Tabla57[[#This Row],[Cod trabalhador]],Alojamentos!B:P,11,FALSE),"")</f>
        <v/>
      </c>
      <c r="AB11" s="55"/>
      <c r="AC11" s="15"/>
      <c r="AD11" s="343">
        <f>Tabla57[[#This Row],[Dias de alta]]*7.058</f>
        <v>0</v>
      </c>
      <c r="AE11" s="344" t="str">
        <f>IFERROR(VLOOKUP(Tabla57[[#This Row],[Cod trabalhador]],Adiantamentos!B:S,7,FALSE),"")</f>
        <v/>
      </c>
      <c r="AF11" s="374" t="str">
        <f>IFERROR(VLOOKUP(Tabla57[[#This Row],[Cod trabalhador]],Carro!B:D,3,FALSE),"")</f>
        <v/>
      </c>
      <c r="AG11" s="180" t="str">
        <f>IFERROR(VLOOKUP(Tabla57[[#This Row],[Cod trabalhador]],'Outros descontos'!B:M,7,FALSE),"")</f>
        <v/>
      </c>
      <c r="AH11" s="180" t="str">
        <f>IFERROR(VLOOKUP(Tabla57[[#This Row],[Cod trabalhador]],'Outros descontos'!B:M,8,FALSE),"")</f>
        <v/>
      </c>
      <c r="AI11" s="180" t="str">
        <f>IFERROR(VLOOKUP(Tabla57[[#This Row],[Cod trabalhador]],'Outros descontos'!B:M,9,FALSE),"")</f>
        <v/>
      </c>
      <c r="AJ11" s="180" t="str">
        <f>IFERROR(VLOOKUP(Tabla57[[#This Row],[Cod trabalhador]],'Outros descontos'!B:M,10,FALSE),"")</f>
        <v/>
      </c>
      <c r="AK11" s="180" t="str">
        <f>IFERROR(VLOOKUP(Tabla57[[#This Row],[Cod trabalhador]],'Outros descontos'!B:M,11,FALSE),"")</f>
        <v/>
      </c>
      <c r="AL11" s="180" t="str">
        <f>IFERROR(VLOOKUP(Tabla57[[#This Row],[Cod trabalhador]],'Outros descontos'!B:M,12,FALSE),"")</f>
        <v/>
      </c>
      <c r="AM11" s="295" t="str">
        <f>IFERROR(VLOOKUP(Tabla57[[#This Row],[Cod trabalhador]],'Outros descontos'!B:M,13,FALSE),"")</f>
        <v/>
      </c>
      <c r="AN11" s="180"/>
      <c r="AO11" s="37"/>
      <c r="AP11" s="15"/>
      <c r="AQ11"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765</v>
      </c>
      <c r="AR11"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1350</v>
      </c>
      <c r="AS11" s="15"/>
      <c r="AT11" s="27" t="str">
        <f>IF(Tabla57[[#This Row],[Cod trabalhador]]="", "", INDEX(Iban!C:C, MATCH(Tabla57[[#This Row],[Cod trabalhador]],Iban!A:A, 0)))</f>
        <v>ES36 0182 4609 9102 0576 4108</v>
      </c>
      <c r="AU11" s="27"/>
      <c r="AV11" s="311"/>
      <c r="AW11" s="428"/>
      <c r="AX11" s="431" t="s">
        <v>7472</v>
      </c>
    </row>
    <row r="12" spans="1:50" ht="18.75" customHeight="1" x14ac:dyDescent="0.3">
      <c r="A12" s="125"/>
      <c r="B12" s="39" t="s">
        <v>1488</v>
      </c>
      <c r="C12" s="45" t="str">
        <f>IF(ISNUMBER(MATCH(Tabla57[[#This Row],[Cod trabalhador]],'Altas Industrial'!B:B, 0)), "Ativo", "Não ativo")</f>
        <v>Ativo</v>
      </c>
      <c r="D12" s="101" t="str">
        <f>IFERROR(IF(VLOOKUP(Tabla57[[#This Row],[Cod trabalhador]],'Altas Industrial'!B:E,1,0)&lt;&gt;"","KI",""),"")</f>
        <v>KI</v>
      </c>
      <c r="E12" s="101" t="str">
        <f>IFERROR(IF(VLOOKUP(Tabla57[[#This Row],[Cod trabalhador]],'Altas Rosas'!B:F,1,0)&lt;&gt;"","KR",""),"")</f>
        <v/>
      </c>
      <c r="F12" s="101" t="str">
        <f>IFERROR(IF(VLOOKUP(Tabla57[[#This Row],[Cod trabalhador]],'Altas Wiseowe'!B:E,1,0)&lt;&gt;"","WS",""),"")</f>
        <v/>
      </c>
      <c r="G12" s="101" t="str">
        <f>IFERROR(IF(VLOOKUP(Tabla57[[#This Row],[Cod trabalhador]],'Altas Luminous'!B:E,1,0)&lt;&gt;"","LM",""),"")</f>
        <v/>
      </c>
      <c r="H12" s="51">
        <f>IFERROR(VLOOKUP(Tabla57[[#This Row],[Cod trabalhador]],'Altas Industrial'!B:E,3,FALSE),"")</f>
        <v>45364</v>
      </c>
      <c r="I12" s="61">
        <f>IF(OR(Tabla57[[#This Row],[Cod trabalhador]]="",ISBLANK(Tabla57[[#This Row],[Cod trabalhador]])),"",IFERROR(IF(VLOOKUP(Tabla57[[#This Row],[Cod trabalhador]],'Altas Industrial'!B:E,4,FALSE)=0,"",VLOOKUP(Tabla57[[#This Row],[Cod trabalhador]],'Altas Industrial'!B:E,4,FALSE)),""))</f>
        <v>46052</v>
      </c>
      <c r="J12" s="44">
        <f t="shared" si="0"/>
        <v>30</v>
      </c>
      <c r="K12" s="376" t="s">
        <v>7067</v>
      </c>
      <c r="L12" s="24" t="str">
        <f>IFERROR(IF(Tabla57[[#This Row],[Cod trabalhador]]="",Tabla57[[#This Row],[Cod trabalhador]], INDEX(Colaborador_ID[Nombre], MATCH(Tabla57[[#This Row],[Cod trabalhador]],Colaborador_ID[Cod_colab], 0))), "")</f>
        <v>EDGAR STEVEN PENAGOS CESPEDES</v>
      </c>
      <c r="M12" s="15"/>
      <c r="N12" s="408" t="s">
        <v>7054</v>
      </c>
      <c r="O12" s="49">
        <f>IFERROR(VLOOKUP(Tabla57[[#This Row],[Cod trabalhador]],Tabla15[],4,FALSE),"")</f>
        <v>16</v>
      </c>
      <c r="P12" s="373">
        <f>IFERROR(VLOOKUP(Tabla57[[#This Row],[Cod trabalhador]],'TotalHorasAjustadas (2)'!D:L,8,FALSE),"")</f>
        <v>225</v>
      </c>
      <c r="Q12" s="202">
        <v>225</v>
      </c>
      <c r="R12" s="98" t="s">
        <v>7532</v>
      </c>
      <c r="S12" s="49"/>
      <c r="T12" s="15"/>
      <c r="U12" s="25"/>
      <c r="V12" s="49"/>
      <c r="W12" s="27"/>
      <c r="X12" s="28"/>
      <c r="Y12" s="26"/>
      <c r="Z12" s="15"/>
      <c r="AA12" s="54" t="str">
        <f>IFERROR(VLOOKUP(Tabla57[[#This Row],[Cod trabalhador]],Alojamentos!B:P,11,FALSE),"")</f>
        <v/>
      </c>
      <c r="AB12" s="55"/>
      <c r="AC12" s="15"/>
      <c r="AD12" s="343">
        <f>Tabla57[[#This Row],[Dias de alta]]*7.058</f>
        <v>211.74</v>
      </c>
      <c r="AE12" s="344" t="str">
        <f>IFERROR(VLOOKUP(Tabla57[[#This Row],[Cod trabalhador]],Adiantamentos!B:S,7,FALSE),"")</f>
        <v/>
      </c>
      <c r="AF12" s="374" t="str">
        <f>IFERROR(VLOOKUP(Tabla57[[#This Row],[Cod trabalhador]],Carro!B:D,3,FALSE),"")</f>
        <v/>
      </c>
      <c r="AG12" s="180" t="str">
        <f>IFERROR(VLOOKUP(Tabla57[[#This Row],[Cod trabalhador]],'Outros descontos'!B:M,7,FALSE),"")</f>
        <v/>
      </c>
      <c r="AH12" s="180" t="str">
        <f>IFERROR(VLOOKUP(Tabla57[[#This Row],[Cod trabalhador]],'Outros descontos'!B:M,8,FALSE),"")</f>
        <v/>
      </c>
      <c r="AI12" s="180" t="str">
        <f>IFERROR(VLOOKUP(Tabla57[[#This Row],[Cod trabalhador]],'Outros descontos'!B:M,9,FALSE),"")</f>
        <v/>
      </c>
      <c r="AJ12" s="180" t="str">
        <f>IFERROR(VLOOKUP(Tabla57[[#This Row],[Cod trabalhador]],'Outros descontos'!B:M,10,FALSE),"")</f>
        <v/>
      </c>
      <c r="AK12" s="180" t="str">
        <f>IFERROR(VLOOKUP(Tabla57[[#This Row],[Cod trabalhador]],'Outros descontos'!B:M,11,FALSE),"")</f>
        <v/>
      </c>
      <c r="AL12" s="180" t="str">
        <f>IFERROR(VLOOKUP(Tabla57[[#This Row],[Cod trabalhador]],'Outros descontos'!B:M,12,FALSE),"")</f>
        <v/>
      </c>
      <c r="AM12" s="295" t="str">
        <f>IFERROR(VLOOKUP(Tabla57[[#This Row],[Cod trabalhador]],'Outros descontos'!B:M,13,FALSE),"")</f>
        <v/>
      </c>
      <c r="AN12" s="180"/>
      <c r="AO12" s="37">
        <v>4.08</v>
      </c>
      <c r="AP12" s="15"/>
      <c r="AQ12"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3384.1800000000003</v>
      </c>
      <c r="AR12"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3384.1800000000003</v>
      </c>
      <c r="AS12" s="15"/>
      <c r="AT12" s="27" t="str">
        <f>IF(Tabla57[[#This Row],[Cod trabalhador]]="", "", INDEX(Iban!C:C, MATCH(Tabla57[[#This Row],[Cod trabalhador]],Iban!A:A, 0)))</f>
        <v>NL48 BUNQ 2166 1509 18</v>
      </c>
      <c r="AU12" s="27"/>
      <c r="AV12" s="311"/>
      <c r="AW12" s="66" t="s">
        <v>7533</v>
      </c>
      <c r="AX12" s="296" t="s">
        <v>7472</v>
      </c>
    </row>
    <row r="13" spans="1:50" ht="18.75" customHeight="1" x14ac:dyDescent="0.3">
      <c r="A13" s="125"/>
      <c r="B13" s="39" t="s">
        <v>1506</v>
      </c>
      <c r="C13" s="45" t="str">
        <f>IF(ISNUMBER(MATCH(Tabla57[[#This Row],[Cod trabalhador]],'Altas Industrial'!B:B, 0)), "Ativo", "Não ativo")</f>
        <v>Ativo</v>
      </c>
      <c r="D13" s="101" t="str">
        <f>IFERROR(IF(VLOOKUP(Tabla57[[#This Row],[Cod trabalhador]],'Altas Industrial'!B:E,1,0)&lt;&gt;"","KI",""),"")</f>
        <v>KI</v>
      </c>
      <c r="E13" s="101" t="str">
        <f>IFERROR(IF(VLOOKUP(Tabla57[[#This Row],[Cod trabalhador]],'Altas Rosas'!B:F,1,0)&lt;&gt;"","KR",""),"")</f>
        <v/>
      </c>
      <c r="F13" s="101" t="str">
        <f>IFERROR(IF(VLOOKUP(Tabla57[[#This Row],[Cod trabalhador]],'Altas Wiseowe'!B:E,1,0)&lt;&gt;"","WS",""),"")</f>
        <v/>
      </c>
      <c r="G13" s="101" t="str">
        <f>IFERROR(IF(VLOOKUP(Tabla57[[#This Row],[Cod trabalhador]],'Altas Luminous'!B:E,1,0)&lt;&gt;"","LM",""),"")</f>
        <v/>
      </c>
      <c r="H13" s="51">
        <f>IFERROR(VLOOKUP(Tabla57[[#This Row],[Cod trabalhador]],'Altas Industrial'!B:E,3,FALSE),"")</f>
        <v>45762</v>
      </c>
      <c r="I13" s="61">
        <f>IF(OR(Tabla57[[#This Row],[Cod trabalhador]]="",ISBLANK(Tabla57[[#This Row],[Cod trabalhador]])),"",IFERROR(IF(VLOOKUP(Tabla57[[#This Row],[Cod trabalhador]],'Altas Industrial'!B:E,4,FALSE)=0,"",VLOOKUP(Tabla57[[#This Row],[Cod trabalhador]],'Altas Industrial'!B:E,4,FALSE)),""))</f>
        <v>46053</v>
      </c>
      <c r="J13" s="44">
        <f t="shared" si="0"/>
        <v>31</v>
      </c>
      <c r="K13" s="376" t="s">
        <v>7059</v>
      </c>
      <c r="L13" s="24" t="str">
        <f>IFERROR(IF(Tabla57[[#This Row],[Cod trabalhador]]="",Tabla57[[#This Row],[Cod trabalhador]], INDEX(Colaborador_ID[Nombre], MATCH(Tabla57[[#This Row],[Cod trabalhador]],Colaborador_ID[Cod_colab], 0))), "")</f>
        <v>EDILBERTO DOMINGUEZ PEREIRA</v>
      </c>
      <c r="M13" s="15"/>
      <c r="N13" s="408" t="s">
        <v>7054</v>
      </c>
      <c r="O13" s="49">
        <f>IFERROR(VLOOKUP(Tabla57[[#This Row],[Cod trabalhador]],Tabla15[],4,FALSE),"")</f>
        <v>18</v>
      </c>
      <c r="P13" s="373">
        <f>IFERROR(VLOOKUP(Tabla57[[#This Row],[Cod trabalhador]],'TotalHorasAjustadas (2)'!D:L,8,FALSE),"")</f>
        <v>199</v>
      </c>
      <c r="Q13" s="202">
        <v>199</v>
      </c>
      <c r="R13" s="98" t="s">
        <v>7532</v>
      </c>
      <c r="S13" s="49"/>
      <c r="T13" s="15"/>
      <c r="U13" s="25" t="s">
        <v>7534</v>
      </c>
      <c r="V13" s="49">
        <v>18</v>
      </c>
      <c r="W13" s="27">
        <v>16</v>
      </c>
      <c r="X13" s="28"/>
      <c r="Y13" s="26"/>
      <c r="Z13" s="15"/>
      <c r="AA13" s="54" t="str">
        <f>IFERROR(VLOOKUP(Tabla57[[#This Row],[Cod trabalhador]],Alojamentos!B:P,11,FALSE),"")</f>
        <v/>
      </c>
      <c r="AB13" s="55"/>
      <c r="AC13" s="15"/>
      <c r="AD13" s="343">
        <f>Tabla57[[#This Row],[Dias de alta]]*7.058</f>
        <v>218.798</v>
      </c>
      <c r="AE13" s="344" t="str">
        <f>IFERROR(VLOOKUP(Tabla57[[#This Row],[Cod trabalhador]],Adiantamentos!B:S,7,FALSE),"")</f>
        <v/>
      </c>
      <c r="AF13" s="374" t="str">
        <f>IFERROR(VLOOKUP(Tabla57[[#This Row],[Cod trabalhador]],Carro!B:D,3,FALSE),"")</f>
        <v/>
      </c>
      <c r="AG13" s="180" t="str">
        <f>IFERROR(VLOOKUP(Tabla57[[#This Row],[Cod trabalhador]],'Outros descontos'!B:M,7,FALSE),"")</f>
        <v/>
      </c>
      <c r="AH13" s="180" t="str">
        <f>IFERROR(VLOOKUP(Tabla57[[#This Row],[Cod trabalhador]],'Outros descontos'!B:M,8,FALSE),"")</f>
        <v/>
      </c>
      <c r="AI13" s="180" t="str">
        <f>IFERROR(VLOOKUP(Tabla57[[#This Row],[Cod trabalhador]],'Outros descontos'!B:M,9,FALSE),"")</f>
        <v/>
      </c>
      <c r="AJ13" s="180" t="str">
        <f>IFERROR(VLOOKUP(Tabla57[[#This Row],[Cod trabalhador]],'Outros descontos'!B:M,10,FALSE),"")</f>
        <v/>
      </c>
      <c r="AK13" s="180" t="str">
        <f>IFERROR(VLOOKUP(Tabla57[[#This Row],[Cod trabalhador]],'Outros descontos'!B:M,11,FALSE),"")</f>
        <v/>
      </c>
      <c r="AL13" s="180" t="str">
        <f>IFERROR(VLOOKUP(Tabla57[[#This Row],[Cod trabalhador]],'Outros descontos'!B:M,12,FALSE),"")</f>
        <v/>
      </c>
      <c r="AM13" s="295" t="str">
        <f>IFERROR(VLOOKUP(Tabla57[[#This Row],[Cod trabalhador]],'Outros descontos'!B:M,13,FALSE),"")</f>
        <v/>
      </c>
      <c r="AN13" s="180"/>
      <c r="AO13" s="37">
        <v>4.08</v>
      </c>
      <c r="AP13" s="15"/>
      <c r="AQ13"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3647.1220000000003</v>
      </c>
      <c r="AR13"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3647.1220000000003</v>
      </c>
      <c r="AS13" s="15"/>
      <c r="AT13" s="27" t="str">
        <f>IF(Tabla57[[#This Row],[Cod trabalhador]]="", "", INDEX(Iban!C:C, MATCH(Tabla57[[#This Row],[Cod trabalhador]],Iban!A:A, 0)))</f>
        <v>NL52 BUNQ 2185 1063 92</v>
      </c>
      <c r="AU13" s="27"/>
      <c r="AV13" s="311"/>
      <c r="AW13" s="66" t="s">
        <v>7533</v>
      </c>
      <c r="AX13" s="296" t="s">
        <v>7472</v>
      </c>
    </row>
    <row r="14" spans="1:50" ht="18.75" customHeight="1" x14ac:dyDescent="0.3">
      <c r="A14" s="125"/>
      <c r="B14" s="39" t="s">
        <v>1516</v>
      </c>
      <c r="C14" s="45" t="str">
        <f>IF(ISNUMBER(MATCH(Tabla57[[#This Row],[Cod trabalhador]],'Altas Industrial'!B:B, 0)), "Ativo", "Não ativo")</f>
        <v>Não ativo</v>
      </c>
      <c r="D14" s="101" t="str">
        <f>IFERROR(IF(VLOOKUP(Tabla57[[#This Row],[Cod trabalhador]],'Altas Industrial'!B:E,1,0)&lt;&gt;"","KI",""),"")</f>
        <v/>
      </c>
      <c r="E14" s="101" t="str">
        <f>IFERROR(IF(VLOOKUP(Tabla57[[#This Row],[Cod trabalhador]],'Altas Rosas'!B:F,1,0)&lt;&gt;"","KR",""),"")</f>
        <v>KR</v>
      </c>
      <c r="F14" s="101" t="str">
        <f>IFERROR(IF(VLOOKUP(Tabla57[[#This Row],[Cod trabalhador]],'Altas Wiseowe'!B:E,1,0)&lt;&gt;"","WS",""),"")</f>
        <v/>
      </c>
      <c r="G14" s="101" t="str">
        <f>IFERROR(IF(VLOOKUP(Tabla57[[#This Row],[Cod trabalhador]],'Altas Luminous'!B:E,1,0)&lt;&gt;"","LM",""),"")</f>
        <v/>
      </c>
      <c r="H14" s="51" t="str">
        <f>IFERROR(VLOOKUP(Tabla57[[#This Row],[Cod trabalhador]],'Altas Industrial'!B:E,3,FALSE),"")</f>
        <v/>
      </c>
      <c r="I14" s="61" t="str">
        <f>IF(OR(Tabla57[[#This Row],[Cod trabalhador]]="",ISBLANK(Tabla57[[#This Row],[Cod trabalhador]])),"",IFERROR(IF(VLOOKUP(Tabla57[[#This Row],[Cod trabalhador]],'Altas Industrial'!B:E,4,FALSE)=0,"",VLOOKUP(Tabla57[[#This Row],[Cod trabalhador]],'Altas Industrial'!B:E,4,FALSE)),""))</f>
        <v/>
      </c>
      <c r="J14" s="44">
        <f t="shared" si="0"/>
        <v>0</v>
      </c>
      <c r="K14" s="376" t="s">
        <v>7071</v>
      </c>
      <c r="L14" s="24" t="str">
        <f>IFERROR(IF(Tabla57[[#This Row],[Cod trabalhador]]="",Tabla57[[#This Row],[Cod trabalhador]], INDEX(Colaborador_ID[Nombre], MATCH(Tabla57[[#This Row],[Cod trabalhador]],Colaborador_ID[Cod_colab], 0))), "")</f>
        <v>EDILSON FIERRO DAGUA</v>
      </c>
      <c r="M14" s="15"/>
      <c r="N14" s="408" t="s">
        <v>7070</v>
      </c>
      <c r="O14" s="49">
        <f>IFERROR(VLOOKUP(Tabla57[[#This Row],[Cod trabalhador]],Tabla15[],4,FALSE),"")</f>
        <v>15</v>
      </c>
      <c r="P14" s="373">
        <f>IFERROR(VLOOKUP(Tabla57[[#This Row],[Cod trabalhador]],'TotalHorasAjustadas (2)'!D:L,8,FALSE),"")</f>
        <v>227</v>
      </c>
      <c r="Q14" s="202">
        <v>227</v>
      </c>
      <c r="R14" s="98" t="s">
        <v>7471</v>
      </c>
      <c r="S14" s="49"/>
      <c r="T14" s="15"/>
      <c r="U14" s="25"/>
      <c r="V14" s="49"/>
      <c r="W14" s="27"/>
      <c r="X14" s="28"/>
      <c r="Y14" s="26"/>
      <c r="Z14" s="15"/>
      <c r="AA14" s="54" t="str">
        <f>IFERROR(VLOOKUP(Tabla57[[#This Row],[Cod trabalhador]],Alojamentos!B:P,11,FALSE),"")</f>
        <v/>
      </c>
      <c r="AB14" s="55"/>
      <c r="AC14" s="15"/>
      <c r="AD14" s="343">
        <f>Tabla57[[#This Row],[Dias de alta]]*7.058</f>
        <v>0</v>
      </c>
      <c r="AE14" s="344" t="str">
        <f>IFERROR(VLOOKUP(Tabla57[[#This Row],[Cod trabalhador]],Adiantamentos!B:S,7,FALSE),"")</f>
        <v/>
      </c>
      <c r="AF14" s="374">
        <f>IFERROR(VLOOKUP(Tabla57[[#This Row],[Cod trabalhador]],Carro!B:D,3,FALSE),"")</f>
        <v>74.666666666666657</v>
      </c>
      <c r="AG14" s="180" t="str">
        <f>IFERROR(VLOOKUP(Tabla57[[#This Row],[Cod trabalhador]],'Outros descontos'!B:M,7,FALSE),"")</f>
        <v/>
      </c>
      <c r="AH14" s="180" t="str">
        <f>IFERROR(VLOOKUP(Tabla57[[#This Row],[Cod trabalhador]],'Outros descontos'!B:M,8,FALSE),"")</f>
        <v/>
      </c>
      <c r="AI14" s="180" t="str">
        <f>IFERROR(VLOOKUP(Tabla57[[#This Row],[Cod trabalhador]],'Outros descontos'!B:M,9,FALSE),"")</f>
        <v/>
      </c>
      <c r="AJ14" s="180" t="str">
        <f>IFERROR(VLOOKUP(Tabla57[[#This Row],[Cod trabalhador]],'Outros descontos'!B:M,10,FALSE),"")</f>
        <v/>
      </c>
      <c r="AK14" s="180" t="str">
        <f>IFERROR(VLOOKUP(Tabla57[[#This Row],[Cod trabalhador]],'Outros descontos'!B:M,11,FALSE),"")</f>
        <v/>
      </c>
      <c r="AL14" s="180" t="str">
        <f>IFERROR(VLOOKUP(Tabla57[[#This Row],[Cod trabalhador]],'Outros descontos'!B:M,12,FALSE),"")</f>
        <v/>
      </c>
      <c r="AM14" s="295" t="str">
        <f>IFERROR(VLOOKUP(Tabla57[[#This Row],[Cod trabalhador]],'Outros descontos'!B:M,13,FALSE),"")</f>
        <v/>
      </c>
      <c r="AN14" s="180"/>
      <c r="AO14" s="37">
        <v>4.08</v>
      </c>
      <c r="AP14" s="15"/>
      <c r="AQ14"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3326.2533333333336</v>
      </c>
      <c r="AR14"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3326.2533333333336</v>
      </c>
      <c r="AS14" s="15"/>
      <c r="AT14" s="27" t="str">
        <f>IF(Tabla57[[#This Row],[Cod trabalhador]]="", "", INDEX(Iban!C:C, MATCH(Tabla57[[#This Row],[Cod trabalhador]],Iban!A:A, 0)))</f>
        <v>ES26 0182 5322 2102 0680 7313</v>
      </c>
      <c r="AU14" s="27"/>
      <c r="AV14" s="311"/>
      <c r="AW14" s="66" t="s">
        <v>7533</v>
      </c>
      <c r="AX14" s="296" t="s">
        <v>7472</v>
      </c>
    </row>
    <row r="15" spans="1:50" ht="18.75" customHeight="1" x14ac:dyDescent="0.3">
      <c r="A15" s="125"/>
      <c r="B15" s="39" t="s">
        <v>1779</v>
      </c>
      <c r="C15" s="45" t="str">
        <f>IF(ISNUMBER(MATCH(Tabla57[[#This Row],[Cod trabalhador]],'Altas Industrial'!B:B, 0)), "Ativo", "Não ativo")</f>
        <v>Não ativo</v>
      </c>
      <c r="D15" s="101" t="str">
        <f>IFERROR(IF(VLOOKUP(Tabla57[[#This Row],[Cod trabalhador]],'Altas Industrial'!B:E,1,0)&lt;&gt;"","KI",""),"")</f>
        <v/>
      </c>
      <c r="E15" s="101" t="str">
        <f>IFERROR(IF(VLOOKUP(Tabla57[[#This Row],[Cod trabalhador]],'Altas Rosas'!B:F,1,0)&lt;&gt;"","KR",""),"")</f>
        <v/>
      </c>
      <c r="F15" s="101" t="str">
        <f>IFERROR(IF(VLOOKUP(Tabla57[[#This Row],[Cod trabalhador]],'Altas Wiseowe'!B:E,1,0)&lt;&gt;"","WS",""),"")</f>
        <v/>
      </c>
      <c r="G15" s="101" t="str">
        <f>IFERROR(IF(VLOOKUP(Tabla57[[#This Row],[Cod trabalhador]],'Altas Luminous'!B:E,1,0)&lt;&gt;"","LM",""),"")</f>
        <v>LM</v>
      </c>
      <c r="H15" s="51" t="str">
        <f>IFERROR(VLOOKUP(Tabla57[[#This Row],[Cod trabalhador]],'Altas Industrial'!B:E,3,FALSE),"")</f>
        <v/>
      </c>
      <c r="I15" s="61" t="str">
        <f>IF(OR(Tabla57[[#This Row],[Cod trabalhador]]="",ISBLANK(Tabla57[[#This Row],[Cod trabalhador]])),"",IFERROR(IF(VLOOKUP(Tabla57[[#This Row],[Cod trabalhador]],'Altas Industrial'!B:E,4,FALSE)=0,"",VLOOKUP(Tabla57[[#This Row],[Cod trabalhador]],'Altas Industrial'!B:E,4,FALSE)),""))</f>
        <v/>
      </c>
      <c r="J15" s="44">
        <f t="shared" si="0"/>
        <v>0</v>
      </c>
      <c r="K15" s="376" t="s">
        <v>7046</v>
      </c>
      <c r="L15" s="24" t="str">
        <f>IFERROR(IF(Tabla57[[#This Row],[Cod trabalhador]]="",Tabla57[[#This Row],[Cod trabalhador]], INDEX(Colaborador_ID[Nombre], MATCH(Tabla57[[#This Row],[Cod trabalhador]],Colaborador_ID[Cod_colab], 0))), "")</f>
        <v>ELKIN ARMANDO GARZON LOPEZ</v>
      </c>
      <c r="M15" s="15"/>
      <c r="N15" s="408" t="s">
        <v>7043</v>
      </c>
      <c r="O15" s="49">
        <f>IFERROR(VLOOKUP(Tabla57[[#This Row],[Cod trabalhador]],Tabla15[],4,FALSE),"")</f>
        <v>15</v>
      </c>
      <c r="P15" s="373">
        <f>IFERROR(VLOOKUP(Tabla57[[#This Row],[Cod trabalhador]],'TotalHorasAjustadas (2)'!D:L,8,FALSE),"")</f>
        <v>132</v>
      </c>
      <c r="Q15" s="202">
        <v>132</v>
      </c>
      <c r="R15" s="98" t="s">
        <v>7471</v>
      </c>
      <c r="S15" s="49"/>
      <c r="T15" s="15"/>
      <c r="U15" s="25"/>
      <c r="V15" s="49"/>
      <c r="W15" s="27"/>
      <c r="X15" s="28"/>
      <c r="Y15" s="26"/>
      <c r="Z15" s="15"/>
      <c r="AA15" s="54" t="str">
        <f>IFERROR(VLOOKUP(Tabla57[[#This Row],[Cod trabalhador]],Alojamentos!B:P,11,FALSE),"")</f>
        <v/>
      </c>
      <c r="AB15" s="55"/>
      <c r="AC15" s="15"/>
      <c r="AD15" s="343">
        <f>Tabla57[[#This Row],[Dias de alta]]*7.058</f>
        <v>0</v>
      </c>
      <c r="AE15" s="344" t="str">
        <f>IFERROR(VLOOKUP(Tabla57[[#This Row],[Cod trabalhador]],Adiantamentos!B:S,7,FALSE),"")</f>
        <v/>
      </c>
      <c r="AF15" s="374">
        <f>IFERROR(VLOOKUP(Tabla57[[#This Row],[Cod trabalhador]],Carro!B:D,3,FALSE),"")</f>
        <v>128.88888888888889</v>
      </c>
      <c r="AG15" s="180" t="str">
        <f>IFERROR(VLOOKUP(Tabla57[[#This Row],[Cod trabalhador]],'Outros descontos'!B:M,7,FALSE),"")</f>
        <v/>
      </c>
      <c r="AH15" s="180" t="str">
        <f>IFERROR(VLOOKUP(Tabla57[[#This Row],[Cod trabalhador]],'Outros descontos'!B:M,8,FALSE),"")</f>
        <v/>
      </c>
      <c r="AI15" s="180" t="str">
        <f>IFERROR(VLOOKUP(Tabla57[[#This Row],[Cod trabalhador]],'Outros descontos'!B:M,9,FALSE),"")</f>
        <v/>
      </c>
      <c r="AJ15" s="180" t="str">
        <f>IFERROR(VLOOKUP(Tabla57[[#This Row],[Cod trabalhador]],'Outros descontos'!B:M,10,FALSE),"")</f>
        <v/>
      </c>
      <c r="AK15" s="180" t="str">
        <f>IFERROR(VLOOKUP(Tabla57[[#This Row],[Cod trabalhador]],'Outros descontos'!B:M,11,FALSE),"")</f>
        <v/>
      </c>
      <c r="AL15" s="180" t="str">
        <f>IFERROR(VLOOKUP(Tabla57[[#This Row],[Cod trabalhador]],'Outros descontos'!B:M,12,FALSE),"")</f>
        <v/>
      </c>
      <c r="AM15" s="295" t="str">
        <f>IFERROR(VLOOKUP(Tabla57[[#This Row],[Cod trabalhador]],'Outros descontos'!B:M,13,FALSE),"")</f>
        <v/>
      </c>
      <c r="AN15" s="180"/>
      <c r="AO15" s="37">
        <v>4.08</v>
      </c>
      <c r="AP15" s="15"/>
      <c r="AQ15"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1847.0311111111112</v>
      </c>
      <c r="AR15"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1847.0311111111112</v>
      </c>
      <c r="AS15" s="15"/>
      <c r="AT15" s="27" t="str">
        <f>IF(Tabla57[[#This Row],[Cod trabalhador]]="", "", INDEX(Iban!C:C, MATCH(Tabla57[[#This Row],[Cod trabalhador]],Iban!A:A, 0)))</f>
        <v>ES33 0182 8738 7102 0262 1047</v>
      </c>
      <c r="AU15" s="27"/>
      <c r="AV15" s="311"/>
      <c r="AW15" s="66" t="s">
        <v>7533</v>
      </c>
      <c r="AX15" s="296" t="s">
        <v>7472</v>
      </c>
    </row>
    <row r="16" spans="1:50" ht="18.75" customHeight="1" x14ac:dyDescent="0.3">
      <c r="A16" s="125"/>
      <c r="B16" s="39" t="s">
        <v>1938</v>
      </c>
      <c r="C16" s="45" t="str">
        <f>IF(ISNUMBER(MATCH(Tabla57[[#This Row],[Cod trabalhador]],'Altas Industrial'!B:B, 0)), "Ativo", "Não ativo")</f>
        <v>Ativo</v>
      </c>
      <c r="D16" s="101" t="str">
        <f>IFERROR(IF(VLOOKUP(Tabla57[[#This Row],[Cod trabalhador]],'Altas Industrial'!B:E,1,0)&lt;&gt;"","KI",""),"")</f>
        <v>KI</v>
      </c>
      <c r="E16" s="101" t="str">
        <f>IFERROR(IF(VLOOKUP(Tabla57[[#This Row],[Cod trabalhador]],'Altas Rosas'!B:F,1,0)&lt;&gt;"","KR",""),"")</f>
        <v/>
      </c>
      <c r="F16" s="101" t="str">
        <f>IFERROR(IF(VLOOKUP(Tabla57[[#This Row],[Cod trabalhador]],'Altas Wiseowe'!B:E,1,0)&lt;&gt;"","WS",""),"")</f>
        <v/>
      </c>
      <c r="G16" s="101" t="str">
        <f>IFERROR(IF(VLOOKUP(Tabla57[[#This Row],[Cod trabalhador]],'Altas Luminous'!B:E,1,0)&lt;&gt;"","LM",""),"")</f>
        <v/>
      </c>
      <c r="H16" s="51">
        <f>IFERROR(VLOOKUP(Tabla57[[#This Row],[Cod trabalhador]],'Altas Industrial'!B:E,3,FALSE),"")</f>
        <v>45761</v>
      </c>
      <c r="I16" s="61">
        <f>IF(OR(Tabla57[[#This Row],[Cod trabalhador]]="",ISBLANK(Tabla57[[#This Row],[Cod trabalhador]])),"",IFERROR(IF(VLOOKUP(Tabla57[[#This Row],[Cod trabalhador]],'Altas Industrial'!B:E,4,FALSE)=0,"",VLOOKUP(Tabla57[[#This Row],[Cod trabalhador]],'Altas Industrial'!B:E,4,FALSE)),""))</f>
        <v>46052</v>
      </c>
      <c r="J16" s="44">
        <f t="shared" si="0"/>
        <v>30</v>
      </c>
      <c r="K16" s="376" t="s">
        <v>7050</v>
      </c>
      <c r="L16" s="24" t="str">
        <f>IFERROR(IF(Tabla57[[#This Row],[Cod trabalhador]]="",Tabla57[[#This Row],[Cod trabalhador]], INDEX(Colaborador_ID[Nombre], MATCH(Tabla57[[#This Row],[Cod trabalhador]],Colaborador_ID[Cod_colab], 0))), "")</f>
        <v>EVELIO ANGULO ANGULO</v>
      </c>
      <c r="M16" s="15"/>
      <c r="N16" s="408" t="s">
        <v>7048</v>
      </c>
      <c r="O16" s="49">
        <v>16.5</v>
      </c>
      <c r="P16" s="373">
        <f>IFERROR(VLOOKUP(Tabla57[[#This Row],[Cod trabalhador]],'TotalHorasAjustadas (2)'!D:L,8,FALSE),"")</f>
        <v>142</v>
      </c>
      <c r="Q16" s="202">
        <v>142</v>
      </c>
      <c r="R16" s="98" t="s">
        <v>7532</v>
      </c>
      <c r="S16" s="49"/>
      <c r="T16" s="15"/>
      <c r="U16" s="25"/>
      <c r="V16" s="49"/>
      <c r="W16" s="27"/>
      <c r="X16" s="28"/>
      <c r="Y16" s="26"/>
      <c r="Z16" s="15"/>
      <c r="AA16" s="54" t="str">
        <f>IFERROR(VLOOKUP(Tabla57[[#This Row],[Cod trabalhador]],Alojamentos!B:P,11,FALSE),"")</f>
        <v/>
      </c>
      <c r="AB16" s="55"/>
      <c r="AC16" s="15"/>
      <c r="AD16" s="343">
        <f>Tabla57[[#This Row],[Dias de alta]]*7.058</f>
        <v>211.74</v>
      </c>
      <c r="AE16" s="344" t="str">
        <f>IFERROR(VLOOKUP(Tabla57[[#This Row],[Cod trabalhador]],Adiantamentos!B:S,7,FALSE),"")</f>
        <v/>
      </c>
      <c r="AF16" s="374">
        <f>IFERROR(VLOOKUP(Tabla57[[#This Row],[Cod trabalhador]],Carro!B:D,3,FALSE),"")</f>
        <v>66.666666666666671</v>
      </c>
      <c r="AG16" s="180" t="str">
        <f>IFERROR(VLOOKUP(Tabla57[[#This Row],[Cod trabalhador]],'Outros descontos'!B:M,7,FALSE),"")</f>
        <v/>
      </c>
      <c r="AH16" s="180" t="str">
        <f>IFERROR(VLOOKUP(Tabla57[[#This Row],[Cod trabalhador]],'Outros descontos'!B:M,8,FALSE),"")</f>
        <v/>
      </c>
      <c r="AI16" s="180" t="str">
        <f>IFERROR(VLOOKUP(Tabla57[[#This Row],[Cod trabalhador]],'Outros descontos'!B:M,9,FALSE),"")</f>
        <v/>
      </c>
      <c r="AJ16" s="180" t="str">
        <f>IFERROR(VLOOKUP(Tabla57[[#This Row],[Cod trabalhador]],'Outros descontos'!B:M,10,FALSE),"")</f>
        <v/>
      </c>
      <c r="AK16" s="180" t="str">
        <f>IFERROR(VLOOKUP(Tabla57[[#This Row],[Cod trabalhador]],'Outros descontos'!B:M,11,FALSE),"")</f>
        <v/>
      </c>
      <c r="AL16" s="180" t="str">
        <f>IFERROR(VLOOKUP(Tabla57[[#This Row],[Cod trabalhador]],'Outros descontos'!B:M,12,FALSE),"")</f>
        <v/>
      </c>
      <c r="AM16" s="295" t="str">
        <f>IFERROR(VLOOKUP(Tabla57[[#This Row],[Cod trabalhador]],'Outros descontos'!B:M,13,FALSE),"")</f>
        <v/>
      </c>
      <c r="AN16" s="180"/>
      <c r="AO16" s="37">
        <v>4.08</v>
      </c>
      <c r="AP16" s="15"/>
      <c r="AQ16"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2060.5133333333338</v>
      </c>
      <c r="AR16"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2060.5133333333338</v>
      </c>
      <c r="AS16" s="15"/>
      <c r="AT16" s="27" t="str">
        <f>IF(Tabla57[[#This Row],[Cod trabalhador]]="", "", INDEX(Iban!C:C, MATCH(Tabla57[[#This Row],[Cod trabalhador]],Iban!A:A, 0)))</f>
        <v>ES83 0182 0057 7502 0161 6655</v>
      </c>
      <c r="AU16" s="27"/>
      <c r="AV16" s="311"/>
      <c r="AW16" s="66" t="s">
        <v>7533</v>
      </c>
      <c r="AX16" s="296" t="s">
        <v>7472</v>
      </c>
    </row>
    <row r="17" spans="1:50" ht="18.75" customHeight="1" x14ac:dyDescent="0.3">
      <c r="A17" s="125"/>
      <c r="B17" s="39" t="s">
        <v>1984</v>
      </c>
      <c r="C17" s="45" t="str">
        <f>IF(ISNUMBER(MATCH(Tabla57[[#This Row],[Cod trabalhador]],'Altas Industrial'!B:B, 0)), "Ativo", "Não ativo")</f>
        <v>Não ativo</v>
      </c>
      <c r="D17" s="101" t="str">
        <f>IFERROR(IF(VLOOKUP(Tabla57[[#This Row],[Cod trabalhador]],'Altas Industrial'!B:E,1,0)&lt;&gt;"","KI",""),"")</f>
        <v/>
      </c>
      <c r="E17" s="101" t="str">
        <f>IFERROR(IF(VLOOKUP(Tabla57[[#This Row],[Cod trabalhador]],'Altas Rosas'!B:F,1,0)&lt;&gt;"","KR",""),"")</f>
        <v/>
      </c>
      <c r="F17" s="101" t="str">
        <f>IFERROR(IF(VLOOKUP(Tabla57[[#This Row],[Cod trabalhador]],'Altas Wiseowe'!B:E,1,0)&lt;&gt;"","WS",""),"")</f>
        <v/>
      </c>
      <c r="G17" s="101" t="str">
        <f>IFERROR(IF(VLOOKUP(Tabla57[[#This Row],[Cod trabalhador]],'Altas Luminous'!B:E,1,0)&lt;&gt;"","LM",""),"")</f>
        <v/>
      </c>
      <c r="H17" s="51" t="str">
        <f>IFERROR(VLOOKUP(Tabla57[[#This Row],[Cod trabalhador]],'Altas Industrial'!B:E,3,FALSE),"")</f>
        <v/>
      </c>
      <c r="I17" s="61" t="str">
        <f>IF(OR(Tabla57[[#This Row],[Cod trabalhador]]="",ISBLANK(Tabla57[[#This Row],[Cod trabalhador]])),"",IFERROR(IF(VLOOKUP(Tabla57[[#This Row],[Cod trabalhador]],'Altas Industrial'!B:E,4,FALSE)=0,"",VLOOKUP(Tabla57[[#This Row],[Cod trabalhador]],'Altas Industrial'!B:E,4,FALSE)),""))</f>
        <v/>
      </c>
      <c r="J17" s="44">
        <f t="shared" si="0"/>
        <v>0</v>
      </c>
      <c r="K17" s="376" t="s">
        <v>7047</v>
      </c>
      <c r="L17" s="24" t="str">
        <f>IFERROR(IF(Tabla57[[#This Row],[Cod trabalhador]]="",Tabla57[[#This Row],[Cod trabalhador]], INDEX(Colaborador_ID[Nombre], MATCH(Tabla57[[#This Row],[Cod trabalhador]],Colaborador_ID[Cod_colab], 0))), "")</f>
        <v>FABIAN LEONARDO CERON VALENCIA</v>
      </c>
      <c r="M17" s="15"/>
      <c r="N17" s="408" t="s">
        <v>7043</v>
      </c>
      <c r="O17" s="49">
        <f>IFERROR(VLOOKUP(Tabla57[[#This Row],[Cod trabalhador]],Tabla15[],4,FALSE),"")</f>
        <v>15</v>
      </c>
      <c r="P17" s="373">
        <f>IFERROR(VLOOKUP(Tabla57[[#This Row],[Cod trabalhador]],'TotalHorasAjustadas (2)'!D:L,8,FALSE),"")</f>
        <v>136</v>
      </c>
      <c r="Q17" s="202">
        <v>136</v>
      </c>
      <c r="R17" s="98" t="s">
        <v>7471</v>
      </c>
      <c r="S17" s="49"/>
      <c r="T17" s="15"/>
      <c r="U17" s="25"/>
      <c r="V17" s="49"/>
      <c r="W17" s="27"/>
      <c r="X17" s="28"/>
      <c r="Y17" s="26"/>
      <c r="Z17" s="15"/>
      <c r="AA17" s="54" t="str">
        <f>IFERROR(VLOOKUP(Tabla57[[#This Row],[Cod trabalhador]],Alojamentos!B:P,11,FALSE),"")</f>
        <v/>
      </c>
      <c r="AB17" s="55"/>
      <c r="AC17" s="15"/>
      <c r="AD17" s="343">
        <f>Tabla57[[#This Row],[Dias de alta]]*7.058</f>
        <v>0</v>
      </c>
      <c r="AE17" s="344" t="str">
        <f>IFERROR(VLOOKUP(Tabla57[[#This Row],[Cod trabalhador]],Adiantamentos!B:S,7,FALSE),"")</f>
        <v/>
      </c>
      <c r="AF17" s="374">
        <f>IFERROR(VLOOKUP(Tabla57[[#This Row],[Cod trabalhador]],Carro!B:D,3,FALSE),"")</f>
        <v>128.88888888888889</v>
      </c>
      <c r="AG17" s="180" t="str">
        <f>IFERROR(VLOOKUP(Tabla57[[#This Row],[Cod trabalhador]],'Outros descontos'!B:M,7,FALSE),"")</f>
        <v/>
      </c>
      <c r="AH17" s="180" t="str">
        <f>IFERROR(VLOOKUP(Tabla57[[#This Row],[Cod trabalhador]],'Outros descontos'!B:M,8,FALSE),"")</f>
        <v/>
      </c>
      <c r="AI17" s="180" t="str">
        <f>IFERROR(VLOOKUP(Tabla57[[#This Row],[Cod trabalhador]],'Outros descontos'!B:M,9,FALSE),"")</f>
        <v/>
      </c>
      <c r="AJ17" s="180" t="str">
        <f>IFERROR(VLOOKUP(Tabla57[[#This Row],[Cod trabalhador]],'Outros descontos'!B:M,10,FALSE),"")</f>
        <v/>
      </c>
      <c r="AK17" s="180" t="str">
        <f>IFERROR(VLOOKUP(Tabla57[[#This Row],[Cod trabalhador]],'Outros descontos'!B:M,11,FALSE),"")</f>
        <v/>
      </c>
      <c r="AL17" s="180" t="str">
        <f>IFERROR(VLOOKUP(Tabla57[[#This Row],[Cod trabalhador]],'Outros descontos'!B:M,12,FALSE),"")</f>
        <v/>
      </c>
      <c r="AM17" s="295" t="str">
        <f>IFERROR(VLOOKUP(Tabla57[[#This Row],[Cod trabalhador]],'Outros descontos'!B:M,13,FALSE),"")</f>
        <v/>
      </c>
      <c r="AN17" s="180"/>
      <c r="AO17" s="37">
        <v>4.08</v>
      </c>
      <c r="AP17" s="15"/>
      <c r="AQ17"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1907.0311111111112</v>
      </c>
      <c r="AR17"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1907.0311111111112</v>
      </c>
      <c r="AS17" s="15"/>
      <c r="AT17" s="27" t="str">
        <f>IF(Tabla57[[#This Row],[Cod trabalhador]]="", "", INDEX(Iban!C:C, MATCH(Tabla57[[#This Row],[Cod trabalhador]],Iban!A:A, 0)))</f>
        <v xml:space="preserve"> ES72 0182 1150 0202 0159 3522 </v>
      </c>
      <c r="AU17" s="27"/>
      <c r="AV17" s="311"/>
      <c r="AW17" s="66" t="s">
        <v>7533</v>
      </c>
      <c r="AX17" s="296" t="s">
        <v>7472</v>
      </c>
    </row>
    <row r="18" spans="1:50" ht="18.75" customHeight="1" x14ac:dyDescent="0.3">
      <c r="A18" s="125"/>
      <c r="B18" s="39" t="s">
        <v>2273</v>
      </c>
      <c r="C18" s="45" t="str">
        <f>IF(ISNUMBER(MATCH(Tabla57[[#This Row],[Cod trabalhador]],'Altas Industrial'!B:B, 0)), "Ativo", "Não ativo")</f>
        <v>Não ativo</v>
      </c>
      <c r="D18" s="101" t="str">
        <f>IFERROR(IF(VLOOKUP(Tabla57[[#This Row],[Cod trabalhador]],'Altas Industrial'!B:E,1,0)&lt;&gt;"","KI",""),"")</f>
        <v/>
      </c>
      <c r="E18" s="101" t="str">
        <f>IFERROR(IF(VLOOKUP(Tabla57[[#This Row],[Cod trabalhador]],'Altas Rosas'!B:F,1,0)&lt;&gt;"","KR",""),"")</f>
        <v/>
      </c>
      <c r="F18" s="101" t="str">
        <f>IFERROR(IF(VLOOKUP(Tabla57[[#This Row],[Cod trabalhador]],'Altas Wiseowe'!B:E,1,0)&lt;&gt;"","WS",""),"")</f>
        <v/>
      </c>
      <c r="G18" s="101" t="str">
        <f>IFERROR(IF(VLOOKUP(Tabla57[[#This Row],[Cod trabalhador]],'Altas Luminous'!B:E,1,0)&lt;&gt;"","LM",""),"")</f>
        <v/>
      </c>
      <c r="H18" s="51" t="str">
        <f>IFERROR(VLOOKUP(Tabla57[[#This Row],[Cod trabalhador]],'Altas Industrial'!B:E,3,FALSE),"")</f>
        <v/>
      </c>
      <c r="I18" s="61" t="str">
        <f>IF(OR(Tabla57[[#This Row],[Cod trabalhador]]="",ISBLANK(Tabla57[[#This Row],[Cod trabalhador]])),"",IFERROR(IF(VLOOKUP(Tabla57[[#This Row],[Cod trabalhador]],'Altas Industrial'!B:E,4,FALSE)=0,"",VLOOKUP(Tabla57[[#This Row],[Cod trabalhador]],'Altas Industrial'!B:E,4,FALSE)),""))</f>
        <v/>
      </c>
      <c r="J18" s="44">
        <f t="shared" si="0"/>
        <v>0</v>
      </c>
      <c r="K18" s="376" t="s">
        <v>2274</v>
      </c>
      <c r="L18" s="24" t="str">
        <f>IFERROR(IF(Tabla57[[#This Row],[Cod trabalhador]]="",Tabla57[[#This Row],[Cod trabalhador]], INDEX(Colaborador_ID[Nombre], MATCH(Tabla57[[#This Row],[Cod trabalhador]],Colaborador_ID[Cod_colab], 0))), "")</f>
        <v>FREDY JAVIER CCALLA ROJAS</v>
      </c>
      <c r="M18" s="15"/>
      <c r="N18" s="408" t="s">
        <v>7070</v>
      </c>
      <c r="O18" s="49">
        <f>IFERROR(VLOOKUP(Tabla57[[#This Row],[Cod trabalhador]],Tabla15[],4,FALSE),"")</f>
        <v>15</v>
      </c>
      <c r="P18" s="373">
        <f>IFERROR(VLOOKUP(Tabla57[[#This Row],[Cod trabalhador]],'TotalHorasAjustadas (2)'!D:L,8,FALSE),"")</f>
        <v>248</v>
      </c>
      <c r="Q18" s="202">
        <v>248</v>
      </c>
      <c r="R18" s="98" t="s">
        <v>7471</v>
      </c>
      <c r="S18" s="49"/>
      <c r="T18" s="15"/>
      <c r="U18" s="25"/>
      <c r="V18" s="49"/>
      <c r="W18" s="27"/>
      <c r="X18" s="28"/>
      <c r="Y18" s="26"/>
      <c r="Z18" s="15"/>
      <c r="AA18" s="54" t="str">
        <f>IFERROR(VLOOKUP(Tabla57[[#This Row],[Cod trabalhador]],Alojamentos!B:P,11,FALSE),"")</f>
        <v/>
      </c>
      <c r="AB18" s="55"/>
      <c r="AC18" s="15"/>
      <c r="AD18" s="343">
        <f>Tabla57[[#This Row],[Dias de alta]]*7.058</f>
        <v>0</v>
      </c>
      <c r="AE18" s="344" t="str">
        <f>IFERROR(VLOOKUP(Tabla57[[#This Row],[Cod trabalhador]],Adiantamentos!B:S,7,FALSE),"")</f>
        <v/>
      </c>
      <c r="AF18" s="374">
        <f>IFERROR(VLOOKUP(Tabla57[[#This Row],[Cod trabalhador]],Carro!B:D,3,FALSE),"")</f>
        <v>74.666666666666657</v>
      </c>
      <c r="AG18" s="180" t="str">
        <f>IFERROR(VLOOKUP(Tabla57[[#This Row],[Cod trabalhador]],'Outros descontos'!B:M,7,FALSE),"")</f>
        <v/>
      </c>
      <c r="AH18" s="180" t="str">
        <f>IFERROR(VLOOKUP(Tabla57[[#This Row],[Cod trabalhador]],'Outros descontos'!B:M,8,FALSE),"")</f>
        <v/>
      </c>
      <c r="AI18" s="180" t="str">
        <f>IFERROR(VLOOKUP(Tabla57[[#This Row],[Cod trabalhador]],'Outros descontos'!B:M,9,FALSE),"")</f>
        <v/>
      </c>
      <c r="AJ18" s="180" t="str">
        <f>IFERROR(VLOOKUP(Tabla57[[#This Row],[Cod trabalhador]],'Outros descontos'!B:M,10,FALSE),"")</f>
        <v/>
      </c>
      <c r="AK18" s="180" t="str">
        <f>IFERROR(VLOOKUP(Tabla57[[#This Row],[Cod trabalhador]],'Outros descontos'!B:M,11,FALSE),"")</f>
        <v/>
      </c>
      <c r="AL18" s="180" t="str">
        <f>IFERROR(VLOOKUP(Tabla57[[#This Row],[Cod trabalhador]],'Outros descontos'!B:M,12,FALSE),"")</f>
        <v/>
      </c>
      <c r="AM18" s="295" t="str">
        <f>IFERROR(VLOOKUP(Tabla57[[#This Row],[Cod trabalhador]],'Outros descontos'!B:M,13,FALSE),"")</f>
        <v/>
      </c>
      <c r="AN18" s="180"/>
      <c r="AO18" s="37">
        <v>4.08</v>
      </c>
      <c r="AP18" s="15"/>
      <c r="AQ18"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3641.2533333333336</v>
      </c>
      <c r="AR18"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3641.2533333333336</v>
      </c>
      <c r="AS18" s="15"/>
      <c r="AT18" s="27" t="str">
        <f>IF(Tabla57[[#This Row],[Cod trabalhador]]="", "", INDEX(Iban!C:C, MATCH(Tabla57[[#This Row],[Cod trabalhador]],Iban!A:A, 0)))</f>
        <v>ES84 0182 0187 2702 0162 9464</v>
      </c>
      <c r="AU18" s="27"/>
      <c r="AV18" s="311"/>
      <c r="AW18" s="66" t="s">
        <v>7533</v>
      </c>
      <c r="AX18" s="296" t="s">
        <v>7472</v>
      </c>
    </row>
    <row r="19" spans="1:50" ht="18.75" customHeight="1" x14ac:dyDescent="0.3">
      <c r="A19" s="125"/>
      <c r="B19" s="39" t="s">
        <v>2454</v>
      </c>
      <c r="C19" s="45" t="str">
        <f>IF(ISNUMBER(MATCH(Tabla57[[#This Row],[Cod trabalhador]],'Altas Industrial'!B:B, 0)), "Ativo", "Não ativo")</f>
        <v>Não ativo</v>
      </c>
      <c r="D19" s="101" t="str">
        <f>IFERROR(IF(VLOOKUP(Tabla57[[#This Row],[Cod trabalhador]],'Altas Industrial'!B:E,1,0)&lt;&gt;"","KI",""),"")</f>
        <v/>
      </c>
      <c r="E19" s="101" t="str">
        <f>IFERROR(IF(VLOOKUP(Tabla57[[#This Row],[Cod trabalhador]],'Altas Rosas'!B:F,1,0)&lt;&gt;"","KR",""),"")</f>
        <v/>
      </c>
      <c r="F19" s="101" t="str">
        <f>IFERROR(IF(VLOOKUP(Tabla57[[#This Row],[Cod trabalhador]],'Altas Wiseowe'!B:E,1,0)&lt;&gt;"","WS",""),"")</f>
        <v/>
      </c>
      <c r="G19" s="101" t="str">
        <f>IFERROR(IF(VLOOKUP(Tabla57[[#This Row],[Cod trabalhador]],'Altas Luminous'!B:E,1,0)&lt;&gt;"","LM",""),"")</f>
        <v/>
      </c>
      <c r="H19" s="51" t="str">
        <f>IFERROR(VLOOKUP(Tabla57[[#This Row],[Cod trabalhador]],'Altas Industrial'!B:E,3,FALSE),"")</f>
        <v/>
      </c>
      <c r="I19" s="61" t="str">
        <f>IF(OR(Tabla57[[#This Row],[Cod trabalhador]]="",ISBLANK(Tabla57[[#This Row],[Cod trabalhador]])),"",IFERROR(IF(VLOOKUP(Tabla57[[#This Row],[Cod trabalhador]],'Altas Industrial'!B:E,4,FALSE)=0,"",VLOOKUP(Tabla57[[#This Row],[Cod trabalhador]],'Altas Industrial'!B:E,4,FALSE)),""))</f>
        <v/>
      </c>
      <c r="J19" s="44">
        <f t="shared" si="0"/>
        <v>0</v>
      </c>
      <c r="K19" s="376" t="s">
        <v>7060</v>
      </c>
      <c r="L19" s="24" t="str">
        <f>IFERROR(IF(Tabla57[[#This Row],[Cod trabalhador]]="",Tabla57[[#This Row],[Cod trabalhador]], INDEX(Colaborador_ID[Nombre], MATCH(Tabla57[[#This Row],[Cod trabalhador]],Colaborador_ID[Cod_colab], 0))), "")</f>
        <v>GUILLERMO LEON POSADA LONDONO</v>
      </c>
      <c r="M19" s="15"/>
      <c r="N19" s="408" t="s">
        <v>7054</v>
      </c>
      <c r="O19" s="49">
        <f>IFERROR(VLOOKUP(Tabla57[[#This Row],[Cod trabalhador]],Tabla15[],4,FALSE),"")</f>
        <v>16</v>
      </c>
      <c r="P19" s="373">
        <f>IFERROR(VLOOKUP(Tabla57[[#This Row],[Cod trabalhador]],'TotalHorasAjustadas (2)'!D:L,8,FALSE),"")</f>
        <v>225</v>
      </c>
      <c r="Q19" s="202">
        <v>225</v>
      </c>
      <c r="R19" s="98" t="s">
        <v>7532</v>
      </c>
      <c r="S19" s="49"/>
      <c r="T19" s="15"/>
      <c r="U19" s="25"/>
      <c r="V19" s="49"/>
      <c r="W19" s="27"/>
      <c r="X19" s="28"/>
      <c r="Y19" s="26"/>
      <c r="Z19" s="15"/>
      <c r="AA19" s="54" t="str">
        <f>IFERROR(VLOOKUP(Tabla57[[#This Row],[Cod trabalhador]],Alojamentos!B:P,11,FALSE),"")</f>
        <v/>
      </c>
      <c r="AB19" s="55"/>
      <c r="AC19" s="15"/>
      <c r="AD19" s="343">
        <f>Tabla57[[#This Row],[Dias de alta]]*7.058</f>
        <v>0</v>
      </c>
      <c r="AE19" s="344" t="str">
        <f>IFERROR(VLOOKUP(Tabla57[[#This Row],[Cod trabalhador]],Adiantamentos!B:S,7,FALSE),"")</f>
        <v/>
      </c>
      <c r="AF19" s="374" t="str">
        <f>IFERROR(VLOOKUP(Tabla57[[#This Row],[Cod trabalhador]],Carro!B:D,3,FALSE),"")</f>
        <v/>
      </c>
      <c r="AG19" s="180" t="str">
        <f>IFERROR(VLOOKUP(Tabla57[[#This Row],[Cod trabalhador]],'Outros descontos'!B:M,7,FALSE),"")</f>
        <v/>
      </c>
      <c r="AH19" s="180" t="str">
        <f>IFERROR(VLOOKUP(Tabla57[[#This Row],[Cod trabalhador]],'Outros descontos'!B:M,8,FALSE),"")</f>
        <v/>
      </c>
      <c r="AI19" s="180" t="str">
        <f>IFERROR(VLOOKUP(Tabla57[[#This Row],[Cod trabalhador]],'Outros descontos'!B:M,9,FALSE),"")</f>
        <v/>
      </c>
      <c r="AJ19" s="180" t="str">
        <f>IFERROR(VLOOKUP(Tabla57[[#This Row],[Cod trabalhador]],'Outros descontos'!B:M,10,FALSE),"")</f>
        <v/>
      </c>
      <c r="AK19" s="180" t="str">
        <f>IFERROR(VLOOKUP(Tabla57[[#This Row],[Cod trabalhador]],'Outros descontos'!B:M,11,FALSE),"")</f>
        <v/>
      </c>
      <c r="AL19" s="180" t="str">
        <f>IFERROR(VLOOKUP(Tabla57[[#This Row],[Cod trabalhador]],'Outros descontos'!B:M,12,FALSE),"")</f>
        <v/>
      </c>
      <c r="AM19" s="295" t="str">
        <f>IFERROR(VLOOKUP(Tabla57[[#This Row],[Cod trabalhador]],'Outros descontos'!B:M,13,FALSE),"")</f>
        <v/>
      </c>
      <c r="AN19" s="180"/>
      <c r="AO19" s="37">
        <v>4.08</v>
      </c>
      <c r="AP19" s="15"/>
      <c r="AQ19"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3595.92</v>
      </c>
      <c r="AR19"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3595.92</v>
      </c>
      <c r="AS19" s="15"/>
      <c r="AT19" s="27" t="str">
        <f>IF(Tabla57[[#This Row],[Cod trabalhador]]="", "", INDEX(Iban!C:C, MATCH(Tabla57[[#This Row],[Cod trabalhador]],Iban!A:A, 0)))</f>
        <v>ES13 0182 0869 2702 0189 2201</v>
      </c>
      <c r="AU19" s="27"/>
      <c r="AV19" s="311"/>
      <c r="AW19" s="66" t="s">
        <v>7533</v>
      </c>
      <c r="AX19" s="296" t="s">
        <v>7472</v>
      </c>
    </row>
    <row r="20" spans="1:50" ht="18.75" customHeight="1" x14ac:dyDescent="0.3">
      <c r="A20" s="125"/>
      <c r="B20" s="39" t="s">
        <v>2621</v>
      </c>
      <c r="C20" s="45" t="str">
        <f>IF(ISNUMBER(MATCH(Tabla57[[#This Row],[Cod trabalhador]],'Altas Industrial'!B:B, 0)), "Ativo", "Não ativo")</f>
        <v>Não ativo</v>
      </c>
      <c r="D20" s="101" t="str">
        <f>IFERROR(IF(VLOOKUP(Tabla57[[#This Row],[Cod trabalhador]],'Altas Industrial'!B:E,1,0)&lt;&gt;"","KI",""),"")</f>
        <v/>
      </c>
      <c r="E20" s="101" t="str">
        <f>IFERROR(IF(VLOOKUP(Tabla57[[#This Row],[Cod trabalhador]],'Altas Rosas'!B:F,1,0)&lt;&gt;"","KR",""),"")</f>
        <v/>
      </c>
      <c r="F20" s="101" t="str">
        <f>IFERROR(IF(VLOOKUP(Tabla57[[#This Row],[Cod trabalhador]],'Altas Wiseowe'!B:E,1,0)&lt;&gt;"","WS",""),"")</f>
        <v/>
      </c>
      <c r="G20" s="101" t="str">
        <f>IFERROR(IF(VLOOKUP(Tabla57[[#This Row],[Cod trabalhador]],'Altas Luminous'!B:E,1,0)&lt;&gt;"","LM",""),"")</f>
        <v/>
      </c>
      <c r="H20" s="51" t="str">
        <f>IFERROR(VLOOKUP(Tabla57[[#This Row],[Cod trabalhador]],'Altas Industrial'!B:E,3,FALSE),"")</f>
        <v/>
      </c>
      <c r="I20" s="61" t="str">
        <f>IF(OR(Tabla57[[#This Row],[Cod trabalhador]]="",ISBLANK(Tabla57[[#This Row],[Cod trabalhador]])),"",IFERROR(IF(VLOOKUP(Tabla57[[#This Row],[Cod trabalhador]],'Altas Industrial'!B:E,4,FALSE)=0,"",VLOOKUP(Tabla57[[#This Row],[Cod trabalhador]],'Altas Industrial'!B:E,4,FALSE)),""))</f>
        <v/>
      </c>
      <c r="J20" s="44">
        <f t="shared" si="0"/>
        <v>0</v>
      </c>
      <c r="K20" s="376" t="s">
        <v>2622</v>
      </c>
      <c r="L20" s="24" t="str">
        <f>IFERROR(IF(Tabla57[[#This Row],[Cod trabalhador]]="",Tabla57[[#This Row],[Cod trabalhador]], INDEX(Colaborador_ID[Nombre], MATCH(Tabla57[[#This Row],[Cod trabalhador]],Colaborador_ID[Cod_colab], 0))), "")</f>
        <v>HECTOR LUIS PARRAGA ZAVALA</v>
      </c>
      <c r="M20" s="15"/>
      <c r="N20" s="408" t="s">
        <v>7070</v>
      </c>
      <c r="O20" s="49">
        <f>IFERROR(VLOOKUP(Tabla57[[#This Row],[Cod trabalhador]],Tabla15[],4,FALSE),"")</f>
        <v>15</v>
      </c>
      <c r="P20" s="373">
        <f>IFERROR(VLOOKUP(Tabla57[[#This Row],[Cod trabalhador]],'TotalHorasAjustadas (2)'!D:L,8,FALSE),"")</f>
        <v>252</v>
      </c>
      <c r="Q20" s="202">
        <v>252</v>
      </c>
      <c r="R20" s="98" t="s">
        <v>7471</v>
      </c>
      <c r="S20" s="49"/>
      <c r="T20" s="15"/>
      <c r="U20" s="25"/>
      <c r="V20" s="49"/>
      <c r="W20" s="27"/>
      <c r="X20" s="28"/>
      <c r="Y20" s="26"/>
      <c r="Z20" s="15"/>
      <c r="AA20" s="54" t="str">
        <f>IFERROR(VLOOKUP(Tabla57[[#This Row],[Cod trabalhador]],Alojamentos!B:P,11,FALSE),"")</f>
        <v/>
      </c>
      <c r="AB20" s="55"/>
      <c r="AC20" s="15"/>
      <c r="AD20" s="343">
        <f>Tabla57[[#This Row],[Dias de alta]]*7.058</f>
        <v>0</v>
      </c>
      <c r="AE20" s="344" t="str">
        <f>IFERROR(VLOOKUP(Tabla57[[#This Row],[Cod trabalhador]],Adiantamentos!B:S,7,FALSE),"")</f>
        <v/>
      </c>
      <c r="AF20" s="374">
        <f>IFERROR(VLOOKUP(Tabla57[[#This Row],[Cod trabalhador]],Carro!B:D,3,FALSE),"")</f>
        <v>74.666666666666657</v>
      </c>
      <c r="AG20" s="180" t="str">
        <f>IFERROR(VLOOKUP(Tabla57[[#This Row],[Cod trabalhador]],'Outros descontos'!B:M,7,FALSE),"")</f>
        <v/>
      </c>
      <c r="AH20" s="180" t="str">
        <f>IFERROR(VLOOKUP(Tabla57[[#This Row],[Cod trabalhador]],'Outros descontos'!B:M,8,FALSE),"")</f>
        <v/>
      </c>
      <c r="AI20" s="180" t="str">
        <f>IFERROR(VLOOKUP(Tabla57[[#This Row],[Cod trabalhador]],'Outros descontos'!B:M,9,FALSE),"")</f>
        <v/>
      </c>
      <c r="AJ20" s="180" t="str">
        <f>IFERROR(VLOOKUP(Tabla57[[#This Row],[Cod trabalhador]],'Outros descontos'!B:M,10,FALSE),"")</f>
        <v/>
      </c>
      <c r="AK20" s="180" t="str">
        <f>IFERROR(VLOOKUP(Tabla57[[#This Row],[Cod trabalhador]],'Outros descontos'!B:M,11,FALSE),"")</f>
        <v/>
      </c>
      <c r="AL20" s="180" t="str">
        <f>IFERROR(VLOOKUP(Tabla57[[#This Row],[Cod trabalhador]],'Outros descontos'!B:M,12,FALSE),"")</f>
        <v/>
      </c>
      <c r="AM20" s="295" t="str">
        <f>IFERROR(VLOOKUP(Tabla57[[#This Row],[Cod trabalhador]],'Outros descontos'!B:M,13,FALSE),"")</f>
        <v/>
      </c>
      <c r="AN20" s="180"/>
      <c r="AO20" s="37">
        <v>4.08</v>
      </c>
      <c r="AP20" s="15"/>
      <c r="AQ20"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3701.2533333333336</v>
      </c>
      <c r="AR20"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3701.2533333333336</v>
      </c>
      <c r="AS20" s="15"/>
      <c r="AT20" s="27" t="str">
        <f>IF(Tabla57[[#This Row],[Cod trabalhador]]="", "", INDEX(Iban!C:C, MATCH(Tabla57[[#This Row],[Cod trabalhador]],Iban!A:A, 0)))</f>
        <v>ES26 0182 1226 1902 0159 3209</v>
      </c>
      <c r="AU20" s="27"/>
      <c r="AV20" s="311"/>
      <c r="AW20" s="66" t="s">
        <v>7533</v>
      </c>
      <c r="AX20" s="296" t="s">
        <v>7472</v>
      </c>
    </row>
    <row r="21" spans="1:50" ht="18.75" customHeight="1" x14ac:dyDescent="0.3">
      <c r="A21" s="125"/>
      <c r="B21" s="39" t="s">
        <v>2723</v>
      </c>
      <c r="C21" s="45" t="str">
        <f>IF(ISNUMBER(MATCH(Tabla57[[#This Row],[Cod trabalhador]],'Altas Industrial'!B:B, 0)), "Ativo", "Não ativo")</f>
        <v>Não ativo</v>
      </c>
      <c r="D21" s="101" t="str">
        <f>IFERROR(IF(VLOOKUP(Tabla57[[#This Row],[Cod trabalhador]],'Altas Industrial'!B:E,1,0)&lt;&gt;"","KI",""),"")</f>
        <v/>
      </c>
      <c r="E21" s="101" t="str">
        <f>IFERROR(IF(VLOOKUP(Tabla57[[#This Row],[Cod trabalhador]],'Altas Rosas'!B:F,1,0)&lt;&gt;"","KR",""),"")</f>
        <v/>
      </c>
      <c r="F21" s="101" t="str">
        <f>IFERROR(IF(VLOOKUP(Tabla57[[#This Row],[Cod trabalhador]],'Altas Wiseowe'!B:E,1,0)&lt;&gt;"","WS",""),"")</f>
        <v/>
      </c>
      <c r="G21" s="101" t="str">
        <f>IFERROR(IF(VLOOKUP(Tabla57[[#This Row],[Cod trabalhador]],'Altas Luminous'!B:E,1,0)&lt;&gt;"","LM",""),"")</f>
        <v/>
      </c>
      <c r="H21" s="51" t="str">
        <f>IFERROR(VLOOKUP(Tabla57[[#This Row],[Cod trabalhador]],'Altas Industrial'!B:E,3,FALSE),"")</f>
        <v/>
      </c>
      <c r="I21" s="61" t="str">
        <f>IF(OR(Tabla57[[#This Row],[Cod trabalhador]]="",ISBLANK(Tabla57[[#This Row],[Cod trabalhador]])),"",IFERROR(IF(VLOOKUP(Tabla57[[#This Row],[Cod trabalhador]],'Altas Industrial'!B:E,4,FALSE)=0,"",VLOOKUP(Tabla57[[#This Row],[Cod trabalhador]],'Altas Industrial'!B:E,4,FALSE)),""))</f>
        <v/>
      </c>
      <c r="J21" s="44">
        <f t="shared" si="0"/>
        <v>0</v>
      </c>
      <c r="K21" s="376" t="s">
        <v>7061</v>
      </c>
      <c r="L21" s="24" t="str">
        <f>IFERROR(IF(Tabla57[[#This Row],[Cod trabalhador]]="",Tabla57[[#This Row],[Cod trabalhador]], INDEX(Colaborador_ID[Nombre], MATCH(Tabla57[[#This Row],[Cod trabalhador]],Colaborador_ID[Cod_colab], 0))), "")</f>
        <v>HERNAN BERNARDO QUINTERO JARAMILLO</v>
      </c>
      <c r="M21" s="15"/>
      <c r="N21" s="408" t="s">
        <v>7054</v>
      </c>
      <c r="O21" s="49">
        <f>IFERROR(VLOOKUP(Tabla57[[#This Row],[Cod trabalhador]],Tabla15[],4,FALSE),"")</f>
        <v>14</v>
      </c>
      <c r="P21" s="373">
        <f>IFERROR(VLOOKUP(Tabla57[[#This Row],[Cod trabalhador]],'TotalHorasAjustadas (2)'!D:L,8,FALSE),"")</f>
        <v>146</v>
      </c>
      <c r="Q21" s="202">
        <f>128+18</f>
        <v>146</v>
      </c>
      <c r="R21" s="98" t="s">
        <v>7532</v>
      </c>
      <c r="S21" s="49"/>
      <c r="T21" s="15"/>
      <c r="U21" s="25"/>
      <c r="V21" s="49"/>
      <c r="W21" s="27"/>
      <c r="X21" s="28"/>
      <c r="Y21" s="26"/>
      <c r="Z21" s="15"/>
      <c r="AA21" s="54" t="str">
        <f>IFERROR(VLOOKUP(Tabla57[[#This Row],[Cod trabalhador]],Alojamentos!B:P,11,FALSE),"")</f>
        <v/>
      </c>
      <c r="AB21" s="55"/>
      <c r="AC21" s="15"/>
      <c r="AD21" s="343">
        <f>Tabla57[[#This Row],[Dias de alta]]*7.058</f>
        <v>0</v>
      </c>
      <c r="AE21" s="344" t="str">
        <f>IFERROR(VLOOKUP(Tabla57[[#This Row],[Cod trabalhador]],Adiantamentos!B:S,7,FALSE),"")</f>
        <v/>
      </c>
      <c r="AF21" s="374" t="str">
        <f>IFERROR(VLOOKUP(Tabla57[[#This Row],[Cod trabalhador]],Carro!B:D,3,FALSE),"")</f>
        <v/>
      </c>
      <c r="AG21" s="180" t="str">
        <f>IFERROR(VLOOKUP(Tabla57[[#This Row],[Cod trabalhador]],'Outros descontos'!B:M,7,FALSE),"")</f>
        <v/>
      </c>
      <c r="AH21" s="180" t="str">
        <f>IFERROR(VLOOKUP(Tabla57[[#This Row],[Cod trabalhador]],'Outros descontos'!B:M,8,FALSE),"")</f>
        <v/>
      </c>
      <c r="AI21" s="180" t="str">
        <f>IFERROR(VLOOKUP(Tabla57[[#This Row],[Cod trabalhador]],'Outros descontos'!B:M,9,FALSE),"")</f>
        <v/>
      </c>
      <c r="AJ21" s="180" t="str">
        <f>IFERROR(VLOOKUP(Tabla57[[#This Row],[Cod trabalhador]],'Outros descontos'!B:M,10,FALSE),"")</f>
        <v/>
      </c>
      <c r="AK21" s="180" t="str">
        <f>IFERROR(VLOOKUP(Tabla57[[#This Row],[Cod trabalhador]],'Outros descontos'!B:M,11,FALSE),"")</f>
        <v/>
      </c>
      <c r="AL21" s="180" t="str">
        <f>IFERROR(VLOOKUP(Tabla57[[#This Row],[Cod trabalhador]],'Outros descontos'!B:M,12,FALSE),"")</f>
        <v/>
      </c>
      <c r="AM21" s="295" t="str">
        <f>IFERROR(VLOOKUP(Tabla57[[#This Row],[Cod trabalhador]],'Outros descontos'!B:M,13,FALSE),"")</f>
        <v/>
      </c>
      <c r="AN21" s="180"/>
      <c r="AO21" s="37">
        <v>4.08</v>
      </c>
      <c r="AP21" s="15"/>
      <c r="AQ21"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2039.92</v>
      </c>
      <c r="AR21"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2039.92</v>
      </c>
      <c r="AS21" s="15"/>
      <c r="AT21" s="27" t="str">
        <f>IF(Tabla57[[#This Row],[Cod trabalhador]]="", "", INDEX(Iban!C:C, MATCH(Tabla57[[#This Row],[Cod trabalhador]],Iban!A:A, 0)))</f>
        <v>ES71 6893 0001 7100 0034 7437</v>
      </c>
      <c r="AU21" s="27"/>
      <c r="AV21" s="311"/>
      <c r="AW21" s="66" t="s">
        <v>7533</v>
      </c>
      <c r="AX21" s="296" t="s">
        <v>7472</v>
      </c>
    </row>
    <row r="22" spans="1:50" ht="18.75" customHeight="1" x14ac:dyDescent="0.3">
      <c r="A22" s="125"/>
      <c r="B22" s="39" t="s">
        <v>2866</v>
      </c>
      <c r="C22" s="45" t="str">
        <f>IF(ISNUMBER(MATCH(Tabla57[[#This Row],[Cod trabalhador]],'Altas Industrial'!B:B, 0)), "Ativo", "Não ativo")</f>
        <v>Não ativo</v>
      </c>
      <c r="D22" s="101" t="str">
        <f>IFERROR(IF(VLOOKUP(Tabla57[[#This Row],[Cod trabalhador]],'Altas Industrial'!B:E,1,0)&lt;&gt;"","KI",""),"")</f>
        <v/>
      </c>
      <c r="E22" s="101" t="str">
        <f>IFERROR(IF(VLOOKUP(Tabla57[[#This Row],[Cod trabalhador]],'Altas Rosas'!B:F,1,0)&lt;&gt;"","KR",""),"")</f>
        <v/>
      </c>
      <c r="F22" s="101" t="str">
        <f>IFERROR(IF(VLOOKUP(Tabla57[[#This Row],[Cod trabalhador]],'Altas Wiseowe'!B:E,1,0)&lt;&gt;"","WS",""),"")</f>
        <v/>
      </c>
      <c r="G22" s="101" t="str">
        <f>IFERROR(IF(VLOOKUP(Tabla57[[#This Row],[Cod trabalhador]],'Altas Luminous'!B:E,1,0)&lt;&gt;"","LM",""),"")</f>
        <v/>
      </c>
      <c r="H22" s="51" t="str">
        <f>IFERROR(VLOOKUP(Tabla57[[#This Row],[Cod trabalhador]],'Altas Industrial'!B:E,3,FALSE),"")</f>
        <v/>
      </c>
      <c r="I22" s="61" t="str">
        <f>IF(OR(Tabla57[[#This Row],[Cod trabalhador]]="",ISBLANK(Tabla57[[#This Row],[Cod trabalhador]])),"",IFERROR(IF(VLOOKUP(Tabla57[[#This Row],[Cod trabalhador]],'Altas Industrial'!B:E,4,FALSE)=0,"",VLOOKUP(Tabla57[[#This Row],[Cod trabalhador]],'Altas Industrial'!B:E,4,FALSE)),""))</f>
        <v/>
      </c>
      <c r="J22" s="44">
        <f t="shared" si="0"/>
        <v>0</v>
      </c>
      <c r="K22" s="376" t="s">
        <v>2867</v>
      </c>
      <c r="L22" s="24" t="str">
        <f>IFERROR(IF(Tabla57[[#This Row],[Cod trabalhador]]="",Tabla57[[#This Row],[Cod trabalhador]], INDEX(Colaborador_ID[Nombre], MATCH(Tabla57[[#This Row],[Cod trabalhador]],Colaborador_ID[Cod_colab], 0))), "")</f>
        <v>ISRAEL BENAVIDES PRECIADO</v>
      </c>
      <c r="M22" s="15"/>
      <c r="N22" s="408" t="s">
        <v>7070</v>
      </c>
      <c r="O22" s="49">
        <f>IFERROR(VLOOKUP(Tabla57[[#This Row],[Cod trabalhador]],Tabla15[],4,FALSE),"")</f>
        <v>15</v>
      </c>
      <c r="P22" s="373">
        <f>IFERROR(VLOOKUP(Tabla57[[#This Row],[Cod trabalhador]],'TotalHorasAjustadas (2)'!D:L,8,FALSE),"")</f>
        <v>276</v>
      </c>
      <c r="Q22" s="202">
        <v>276</v>
      </c>
      <c r="R22" s="98" t="s">
        <v>7471</v>
      </c>
      <c r="S22" s="49"/>
      <c r="T22" s="15"/>
      <c r="U22" s="25"/>
      <c r="V22" s="49"/>
      <c r="W22" s="27"/>
      <c r="X22" s="28"/>
      <c r="Y22" s="26"/>
      <c r="Z22" s="15"/>
      <c r="AA22" s="54" t="str">
        <f>IFERROR(VLOOKUP(Tabla57[[#This Row],[Cod trabalhador]],Alojamentos!B:P,11,FALSE),"")</f>
        <v/>
      </c>
      <c r="AB22" s="55"/>
      <c r="AC22" s="15"/>
      <c r="AD22" s="343">
        <f>Tabla57[[#This Row],[Dias de alta]]*7.058</f>
        <v>0</v>
      </c>
      <c r="AE22" s="344" t="str">
        <f>IFERROR(VLOOKUP(Tabla57[[#This Row],[Cod trabalhador]],Adiantamentos!B:S,7,FALSE),"")</f>
        <v/>
      </c>
      <c r="AF22" s="374">
        <f>IFERROR(VLOOKUP(Tabla57[[#This Row],[Cod trabalhador]],Carro!B:D,3,FALSE),"")</f>
        <v>66.666666666666657</v>
      </c>
      <c r="AG22" s="180">
        <f>IFERROR(VLOOKUP(Tabla57[[#This Row],[Cod trabalhador]],'Outros descontos'!B:M,7,FALSE),"")</f>
        <v>0</v>
      </c>
      <c r="AH22" s="180">
        <f>IFERROR(VLOOKUP(Tabla57[[#This Row],[Cod trabalhador]],'Outros descontos'!B:M,8,FALSE),"")</f>
        <v>0</v>
      </c>
      <c r="AI22" s="180">
        <f>IFERROR(VLOOKUP(Tabla57[[#This Row],[Cod trabalhador]],'Outros descontos'!B:M,9,FALSE),"")</f>
        <v>0</v>
      </c>
      <c r="AJ22" s="180">
        <f>IFERROR(VLOOKUP(Tabla57[[#This Row],[Cod trabalhador]],'Outros descontos'!B:M,10,FALSE),"")</f>
        <v>148.97</v>
      </c>
      <c r="AK22" s="180">
        <f>IFERROR(VLOOKUP(Tabla57[[#This Row],[Cod trabalhador]],'Outros descontos'!B:M,11,FALSE),"")</f>
        <v>0</v>
      </c>
      <c r="AL22" s="180">
        <f>IFERROR(VLOOKUP(Tabla57[[#This Row],[Cod trabalhador]],'Outros descontos'!B:M,12,FALSE),"")</f>
        <v>0</v>
      </c>
      <c r="AM22" s="295" t="str">
        <f>IFERROR(VLOOKUP(Tabla57[[#This Row],[Cod trabalhador]],'Outros descontos'!B:M,13,FALSE),"")</f>
        <v/>
      </c>
      <c r="AN22" s="180"/>
      <c r="AO22" s="37">
        <v>4.08</v>
      </c>
      <c r="AP22" s="15"/>
      <c r="AQ22"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3920.2833333333338</v>
      </c>
      <c r="AR22"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3920.2833333333338</v>
      </c>
      <c r="AS22" s="15"/>
      <c r="AT22" s="27" t="str">
        <f>IF(Tabla57[[#This Row],[Cod trabalhador]]="", "", INDEX(Iban!C:C, MATCH(Tabla57[[#This Row],[Cod trabalhador]],Iban!A:A, 0)))</f>
        <v>ES06 0182 0079 0402 0156 0862</v>
      </c>
      <c r="AU22" s="27"/>
      <c r="AV22" s="311"/>
      <c r="AW22" s="66" t="s">
        <v>7533</v>
      </c>
      <c r="AX22" s="296" t="s">
        <v>7472</v>
      </c>
    </row>
    <row r="23" spans="1:50" ht="18.75" customHeight="1" x14ac:dyDescent="0.3">
      <c r="A23" s="125"/>
      <c r="B23" s="39" t="s">
        <v>3036</v>
      </c>
      <c r="C23" s="45" t="str">
        <f>IF(ISNUMBER(MATCH(Tabla57[[#This Row],[Cod trabalhador]],'Altas Industrial'!B:B, 0)), "Ativo", "Não ativo")</f>
        <v>Não ativo</v>
      </c>
      <c r="D23" s="101" t="str">
        <f>IFERROR(IF(VLOOKUP(Tabla57[[#This Row],[Cod trabalhador]],'Altas Industrial'!B:E,1,0)&lt;&gt;"","KI",""),"")</f>
        <v/>
      </c>
      <c r="E23" s="101" t="str">
        <f>IFERROR(IF(VLOOKUP(Tabla57[[#This Row],[Cod trabalhador]],'Altas Rosas'!B:F,1,0)&lt;&gt;"","KR",""),"")</f>
        <v/>
      </c>
      <c r="F23" s="101" t="str">
        <f>IFERROR(IF(VLOOKUP(Tabla57[[#This Row],[Cod trabalhador]],'Altas Wiseowe'!B:E,1,0)&lt;&gt;"","WS",""),"")</f>
        <v/>
      </c>
      <c r="G23" s="101" t="str">
        <f>IFERROR(IF(VLOOKUP(Tabla57[[#This Row],[Cod trabalhador]],'Altas Luminous'!B:E,1,0)&lt;&gt;"","LM",""),"")</f>
        <v/>
      </c>
      <c r="H23" s="51" t="str">
        <f>IFERROR(VLOOKUP(Tabla57[[#This Row],[Cod trabalhador]],'Altas Industrial'!B:E,3,FALSE),"")</f>
        <v/>
      </c>
      <c r="I23" s="61" t="str">
        <f>IF(OR(Tabla57[[#This Row],[Cod trabalhador]]="",ISBLANK(Tabla57[[#This Row],[Cod trabalhador]])),"",IFERROR(IF(VLOOKUP(Tabla57[[#This Row],[Cod trabalhador]],'Altas Industrial'!B:E,4,FALSE)=0,"",VLOOKUP(Tabla57[[#This Row],[Cod trabalhador]],'Altas Industrial'!B:E,4,FALSE)),""))</f>
        <v/>
      </c>
      <c r="J23" s="44">
        <f t="shared" si="0"/>
        <v>0</v>
      </c>
      <c r="K23" s="376" t="s">
        <v>7034</v>
      </c>
      <c r="L23" s="24" t="str">
        <f>IFERROR(IF(Tabla57[[#This Row],[Cod trabalhador]]="",Tabla57[[#This Row],[Cod trabalhador]], INDEX(Colaborador_ID[Nombre], MATCH(Tabla57[[#This Row],[Cod trabalhador]],Colaborador_ID[Cod_colab], 0))), "")</f>
        <v>JAN CESAR VILLEGAS MOSCOTE</v>
      </c>
      <c r="M23" s="15"/>
      <c r="N23" s="408" t="s">
        <v>7031</v>
      </c>
      <c r="O23" s="49">
        <f>IFERROR(VLOOKUP(Tabla57[[#This Row],[Cod trabalhador]],Tabla15[],4,FALSE),"")</f>
        <v>15</v>
      </c>
      <c r="P23" s="373">
        <f>IFERROR(VLOOKUP(Tabla57[[#This Row],[Cod trabalhador]],'TotalHorasAjustadas (2)'!D:L,8,FALSE),"")</f>
        <v>216</v>
      </c>
      <c r="Q23" s="202">
        <v>216</v>
      </c>
      <c r="R23" s="98" t="s">
        <v>7471</v>
      </c>
      <c r="S23" s="49"/>
      <c r="T23" s="15"/>
      <c r="U23" s="25"/>
      <c r="V23" s="49"/>
      <c r="W23" s="27"/>
      <c r="X23" s="28"/>
      <c r="Y23" s="26"/>
      <c r="Z23" s="15"/>
      <c r="AA23" s="54" t="str">
        <f>IFERROR(VLOOKUP(Tabla57[[#This Row],[Cod trabalhador]],Alojamentos!B:P,11,FALSE),"")</f>
        <v/>
      </c>
      <c r="AB23" s="55"/>
      <c r="AC23" s="15"/>
      <c r="AD23" s="343">
        <f>Tabla57[[#This Row],[Dias de alta]]*7.058</f>
        <v>0</v>
      </c>
      <c r="AE23" s="344" t="str">
        <f>IFERROR(VLOOKUP(Tabla57[[#This Row],[Cod trabalhador]],Adiantamentos!B:S,7,FALSE),"")</f>
        <v/>
      </c>
      <c r="AF23" s="374">
        <f>IFERROR(VLOOKUP(Tabla57[[#This Row],[Cod trabalhador]],Carro!B:D,3,FALSE),"")</f>
        <v>116</v>
      </c>
      <c r="AG23" s="180" t="str">
        <f>IFERROR(VLOOKUP(Tabla57[[#This Row],[Cod trabalhador]],'Outros descontos'!B:M,7,FALSE),"")</f>
        <v/>
      </c>
      <c r="AH23" s="180" t="str">
        <f>IFERROR(VLOOKUP(Tabla57[[#This Row],[Cod trabalhador]],'Outros descontos'!B:M,8,FALSE),"")</f>
        <v/>
      </c>
      <c r="AI23" s="180" t="str">
        <f>IFERROR(VLOOKUP(Tabla57[[#This Row],[Cod trabalhador]],'Outros descontos'!B:M,9,FALSE),"")</f>
        <v/>
      </c>
      <c r="AJ23" s="180" t="str">
        <f>IFERROR(VLOOKUP(Tabla57[[#This Row],[Cod trabalhador]],'Outros descontos'!B:M,10,FALSE),"")</f>
        <v/>
      </c>
      <c r="AK23" s="180" t="str">
        <f>IFERROR(VLOOKUP(Tabla57[[#This Row],[Cod trabalhador]],'Outros descontos'!B:M,11,FALSE),"")</f>
        <v/>
      </c>
      <c r="AL23" s="180" t="str">
        <f>IFERROR(VLOOKUP(Tabla57[[#This Row],[Cod trabalhador]],'Outros descontos'!B:M,12,FALSE),"")</f>
        <v/>
      </c>
      <c r="AM23" s="295" t="str">
        <f>IFERROR(VLOOKUP(Tabla57[[#This Row],[Cod trabalhador]],'Outros descontos'!B:M,13,FALSE),"")</f>
        <v/>
      </c>
      <c r="AN23" s="180"/>
      <c r="AO23" s="37">
        <v>4.08</v>
      </c>
      <c r="AP23" s="15"/>
      <c r="AQ23"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3119.92</v>
      </c>
      <c r="AR23"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3119.92</v>
      </c>
      <c r="AS23" s="15"/>
      <c r="AT23" s="27" t="str">
        <f>IF(Tabla57[[#This Row],[Cod trabalhador]]="", "", INDEX(Iban!C:C, MATCH(Tabla57[[#This Row],[Cod trabalhador]],Iban!A:A, 0)))</f>
        <v>ES17 0182 3275 5302 0165 2797</v>
      </c>
      <c r="AU23" s="27"/>
      <c r="AV23" s="311"/>
      <c r="AW23" s="66" t="s">
        <v>7533</v>
      </c>
      <c r="AX23" s="296" t="s">
        <v>7472</v>
      </c>
    </row>
    <row r="24" spans="1:50" ht="18.75" customHeight="1" x14ac:dyDescent="0.3">
      <c r="A24" s="125"/>
      <c r="B24" s="39" t="s">
        <v>3262</v>
      </c>
      <c r="C24" s="45" t="str">
        <f>IF(ISNUMBER(MATCH(Tabla57[[#This Row],[Cod trabalhador]],'Altas Industrial'!B:B, 0)), "Ativo", "Não ativo")</f>
        <v>Não ativo</v>
      </c>
      <c r="D24" s="101" t="str">
        <f>IFERROR(IF(VLOOKUP(Tabla57[[#This Row],[Cod trabalhador]],'Altas Industrial'!B:E,1,0)&lt;&gt;"","KI",""),"")</f>
        <v/>
      </c>
      <c r="E24" s="101" t="str">
        <f>IFERROR(IF(VLOOKUP(Tabla57[[#This Row],[Cod trabalhador]],'Altas Rosas'!B:F,1,0)&lt;&gt;"","KR",""),"")</f>
        <v/>
      </c>
      <c r="F24" s="101" t="str">
        <f>IFERROR(IF(VLOOKUP(Tabla57[[#This Row],[Cod trabalhador]],'Altas Wiseowe'!B:E,1,0)&lt;&gt;"","WS",""),"")</f>
        <v/>
      </c>
      <c r="G24" s="101" t="str">
        <f>IFERROR(IF(VLOOKUP(Tabla57[[#This Row],[Cod trabalhador]],'Altas Luminous'!B:E,1,0)&lt;&gt;"","LM",""),"")</f>
        <v/>
      </c>
      <c r="H24" s="51" t="str">
        <f>IFERROR(VLOOKUP(Tabla57[[#This Row],[Cod trabalhador]],'Altas Industrial'!B:E,3,FALSE),"")</f>
        <v/>
      </c>
      <c r="I24" s="61" t="str">
        <f>IF(OR(Tabla57[[#This Row],[Cod trabalhador]]="",ISBLANK(Tabla57[[#This Row],[Cod trabalhador]])),"",IFERROR(IF(VLOOKUP(Tabla57[[#This Row],[Cod trabalhador]],'Altas Industrial'!B:E,4,FALSE)=0,"",VLOOKUP(Tabla57[[#This Row],[Cod trabalhador]],'Altas Industrial'!B:E,4,FALSE)),""))</f>
        <v/>
      </c>
      <c r="J24" s="44">
        <f t="shared" si="0"/>
        <v>0</v>
      </c>
      <c r="K24" s="376" t="s">
        <v>7053</v>
      </c>
      <c r="L24" s="24" t="str">
        <f>IFERROR(IF(Tabla57[[#This Row],[Cod trabalhador]]="",Tabla57[[#This Row],[Cod trabalhador]], INDEX(Colaborador_ID[Nombre], MATCH(Tabla57[[#This Row],[Cod trabalhador]],Colaborador_ID[Cod_colab], 0))), "")</f>
        <v>JESUS DAVID CARDENAS RIVERA</v>
      </c>
      <c r="M24" s="15"/>
      <c r="N24" s="408" t="s">
        <v>7052</v>
      </c>
      <c r="O24" s="49">
        <f>IFERROR(VLOOKUP(Tabla57[[#This Row],[Cod trabalhador]],Tabla15[],4,FALSE),"")</f>
        <v>15</v>
      </c>
      <c r="P24" s="373">
        <v>177</v>
      </c>
      <c r="Q24" s="202">
        <v>177</v>
      </c>
      <c r="R24" s="98" t="s">
        <v>7471</v>
      </c>
      <c r="S24" s="49"/>
      <c r="T24" s="15"/>
      <c r="U24" s="25"/>
      <c r="V24" s="49"/>
      <c r="W24" s="27"/>
      <c r="X24" s="28"/>
      <c r="Y24" s="26"/>
      <c r="Z24" s="15"/>
      <c r="AA24" s="54">
        <f>IFERROR(VLOOKUP(Tabla57[[#This Row],[Cod trabalhador]],Alojamentos!B:P,11,FALSE),"")</f>
        <v>300</v>
      </c>
      <c r="AB24" s="55"/>
      <c r="AC24" s="15"/>
      <c r="AD24" s="343">
        <f>Tabla57[[#This Row],[Dias de alta]]*7.058</f>
        <v>0</v>
      </c>
      <c r="AE24" s="344" t="str">
        <f>IFERROR(VLOOKUP(Tabla57[[#This Row],[Cod trabalhador]],Adiantamentos!B:S,7,FALSE),"")</f>
        <v/>
      </c>
      <c r="AF24" s="374">
        <f>IFERROR(VLOOKUP(Tabla57[[#This Row],[Cod trabalhador]],Carro!B:D,3,FALSE),"")</f>
        <v>140</v>
      </c>
      <c r="AG24" s="180" t="str">
        <f>IFERROR(VLOOKUP(Tabla57[[#This Row],[Cod trabalhador]],'Outros descontos'!B:M,7,FALSE),"")</f>
        <v/>
      </c>
      <c r="AH24" s="180" t="str">
        <f>IFERROR(VLOOKUP(Tabla57[[#This Row],[Cod trabalhador]],'Outros descontos'!B:M,8,FALSE),"")</f>
        <v/>
      </c>
      <c r="AI24" s="180" t="str">
        <f>IFERROR(VLOOKUP(Tabla57[[#This Row],[Cod trabalhador]],'Outros descontos'!B:M,9,FALSE),"")</f>
        <v/>
      </c>
      <c r="AJ24" s="180" t="str">
        <f>IFERROR(VLOOKUP(Tabla57[[#This Row],[Cod trabalhador]],'Outros descontos'!B:M,10,FALSE),"")</f>
        <v/>
      </c>
      <c r="AK24" s="180" t="str">
        <f>IFERROR(VLOOKUP(Tabla57[[#This Row],[Cod trabalhador]],'Outros descontos'!B:M,11,FALSE),"")</f>
        <v/>
      </c>
      <c r="AL24" s="180" t="str">
        <f>IFERROR(VLOOKUP(Tabla57[[#This Row],[Cod trabalhador]],'Outros descontos'!B:M,12,FALSE),"")</f>
        <v/>
      </c>
      <c r="AM24" s="295" t="str">
        <f>IFERROR(VLOOKUP(Tabla57[[#This Row],[Cod trabalhador]],'Outros descontos'!B:M,13,FALSE),"")</f>
        <v/>
      </c>
      <c r="AN24" s="180"/>
      <c r="AO24" s="37">
        <v>4.08</v>
      </c>
      <c r="AP24" s="15"/>
      <c r="AQ24"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2810.92</v>
      </c>
      <c r="AR24"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2810.92</v>
      </c>
      <c r="AS24" s="15"/>
      <c r="AT24" s="27" t="str">
        <f>IF(Tabla57[[#This Row],[Cod trabalhador]]="", "", INDEX(Iban!C:C, MATCH(Tabla57[[#This Row],[Cod trabalhador]],Iban!A:A, 0)))</f>
        <v>BE29 9053 9101 2764</v>
      </c>
      <c r="AU24" s="27"/>
      <c r="AV24" s="311"/>
      <c r="AW24" s="66" t="s">
        <v>7533</v>
      </c>
      <c r="AX24" s="296" t="s">
        <v>7472</v>
      </c>
    </row>
    <row r="25" spans="1:50" ht="18.75" customHeight="1" x14ac:dyDescent="0.3">
      <c r="A25" s="125"/>
      <c r="B25" s="39" t="s">
        <v>3370</v>
      </c>
      <c r="C25" s="45" t="str">
        <f>IF(ISNUMBER(MATCH(Tabla57[[#This Row],[Cod trabalhador]],'Altas Industrial'!B:B, 0)), "Ativo", "Não ativo")</f>
        <v>Não ativo</v>
      </c>
      <c r="D25" s="101" t="str">
        <f>IFERROR(IF(VLOOKUP(Tabla57[[#This Row],[Cod trabalhador]],'Altas Industrial'!B:E,1,0)&lt;&gt;"","KI",""),"")</f>
        <v/>
      </c>
      <c r="E25" s="101" t="str">
        <f>IFERROR(IF(VLOOKUP(Tabla57[[#This Row],[Cod trabalhador]],'Altas Rosas'!B:F,1,0)&lt;&gt;"","KR",""),"")</f>
        <v/>
      </c>
      <c r="F25" s="101" t="str">
        <f>IFERROR(IF(VLOOKUP(Tabla57[[#This Row],[Cod trabalhador]],'Altas Wiseowe'!B:E,1,0)&lt;&gt;"","WS",""),"")</f>
        <v/>
      </c>
      <c r="G25" s="101" t="str">
        <f>IFERROR(IF(VLOOKUP(Tabla57[[#This Row],[Cod trabalhador]],'Altas Luminous'!B:E,1,0)&lt;&gt;"","LM",""),"")</f>
        <v/>
      </c>
      <c r="H25" s="51" t="str">
        <f>IFERROR(VLOOKUP(Tabla57[[#This Row],[Cod trabalhador]],'Altas Industrial'!B:E,3,FALSE),"")</f>
        <v/>
      </c>
      <c r="I25" s="61" t="str">
        <f>IF(OR(Tabla57[[#This Row],[Cod trabalhador]]="",ISBLANK(Tabla57[[#This Row],[Cod trabalhador]])),"",IFERROR(IF(VLOOKUP(Tabla57[[#This Row],[Cod trabalhador]],'Altas Industrial'!B:E,4,FALSE)=0,"",VLOOKUP(Tabla57[[#This Row],[Cod trabalhador]],'Altas Industrial'!B:E,4,FALSE)),""))</f>
        <v/>
      </c>
      <c r="J25" s="44">
        <f t="shared" si="0"/>
        <v>0</v>
      </c>
      <c r="K25" s="376" t="s">
        <v>3371</v>
      </c>
      <c r="L25" s="24" t="str">
        <f>IFERROR(IF(Tabla57[[#This Row],[Cod trabalhador]]="",Tabla57[[#This Row],[Cod trabalhador]], INDEX(Colaborador_ID[Nombre], MATCH(Tabla57[[#This Row],[Cod trabalhador]],Colaborador_ID[Cod_colab], 0))), "")</f>
        <v>JHON EINER INSUASTI TULANDE</v>
      </c>
      <c r="M25" s="15"/>
      <c r="N25" s="408" t="s">
        <v>7048</v>
      </c>
      <c r="O25" s="49">
        <v>16.5</v>
      </c>
      <c r="P25" s="373">
        <f>IFERROR(VLOOKUP(Tabla57[[#This Row],[Cod trabalhador]],'TotalHorasAjustadas (2)'!D:L,8,FALSE),"")</f>
        <v>142</v>
      </c>
      <c r="Q25" s="202">
        <v>142</v>
      </c>
      <c r="R25" s="98" t="s">
        <v>7532</v>
      </c>
      <c r="S25" s="49"/>
      <c r="T25" s="15"/>
      <c r="U25" s="25"/>
      <c r="V25" s="49"/>
      <c r="W25" s="27"/>
      <c r="X25" s="28"/>
      <c r="Y25" s="26"/>
      <c r="Z25" s="15"/>
      <c r="AA25" s="54" t="str">
        <f>IFERROR(VLOOKUP(Tabla57[[#This Row],[Cod trabalhador]],Alojamentos!B:P,11,FALSE),"")</f>
        <v/>
      </c>
      <c r="AB25" s="55"/>
      <c r="AC25" s="15"/>
      <c r="AD25" s="343">
        <f>Tabla57[[#This Row],[Dias de alta]]*7.058</f>
        <v>0</v>
      </c>
      <c r="AE25" s="344" t="str">
        <f>IFERROR(VLOOKUP(Tabla57[[#This Row],[Cod trabalhador]],Adiantamentos!B:S,7,FALSE),"")</f>
        <v/>
      </c>
      <c r="AF25" s="374">
        <f>IFERROR(VLOOKUP(Tabla57[[#This Row],[Cod trabalhador]],Carro!B:D,3,FALSE),"")</f>
        <v>66.666666666666671</v>
      </c>
      <c r="AG25" s="180" t="str">
        <f>IFERROR(VLOOKUP(Tabla57[[#This Row],[Cod trabalhador]],'Outros descontos'!B:M,7,FALSE),"")</f>
        <v/>
      </c>
      <c r="AH25" s="180" t="str">
        <f>IFERROR(VLOOKUP(Tabla57[[#This Row],[Cod trabalhador]],'Outros descontos'!B:M,8,FALSE),"")</f>
        <v/>
      </c>
      <c r="AI25" s="180" t="str">
        <f>IFERROR(VLOOKUP(Tabla57[[#This Row],[Cod trabalhador]],'Outros descontos'!B:M,9,FALSE),"")</f>
        <v/>
      </c>
      <c r="AJ25" s="180" t="str">
        <f>IFERROR(VLOOKUP(Tabla57[[#This Row],[Cod trabalhador]],'Outros descontos'!B:M,10,FALSE),"")</f>
        <v/>
      </c>
      <c r="AK25" s="180" t="str">
        <f>IFERROR(VLOOKUP(Tabla57[[#This Row],[Cod trabalhador]],'Outros descontos'!B:M,11,FALSE),"")</f>
        <v/>
      </c>
      <c r="AL25" s="180" t="str">
        <f>IFERROR(VLOOKUP(Tabla57[[#This Row],[Cod trabalhador]],'Outros descontos'!B:M,12,FALSE),"")</f>
        <v/>
      </c>
      <c r="AM25" s="295" t="str">
        <f>IFERROR(VLOOKUP(Tabla57[[#This Row],[Cod trabalhador]],'Outros descontos'!B:M,13,FALSE),"")</f>
        <v/>
      </c>
      <c r="AN25" s="180"/>
      <c r="AO25" s="37">
        <v>4.08</v>
      </c>
      <c r="AP25" s="15"/>
      <c r="AQ25"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2272.2533333333336</v>
      </c>
      <c r="AR25"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2272.2533333333336</v>
      </c>
      <c r="AS25" s="15"/>
      <c r="AT25" s="27" t="str">
        <f>IF(Tabla57[[#This Row],[Cod trabalhador]]="", "", INDEX(Iban!C:C, MATCH(Tabla57[[#This Row],[Cod trabalhador]],Iban!A:A, 0)))</f>
        <v>ES74 0182 0316 4302 0158 7975</v>
      </c>
      <c r="AU25" s="27"/>
      <c r="AV25" s="311"/>
      <c r="AW25" s="66" t="s">
        <v>7533</v>
      </c>
      <c r="AX25" s="296" t="s">
        <v>7472</v>
      </c>
    </row>
    <row r="26" spans="1:50" ht="18.75" customHeight="1" x14ac:dyDescent="0.3">
      <c r="A26" s="125"/>
      <c r="B26" s="39" t="s">
        <v>3419</v>
      </c>
      <c r="C26" s="45" t="str">
        <f>IF(ISNUMBER(MATCH(Tabla57[[#This Row],[Cod trabalhador]],'Altas Industrial'!B:B, 0)), "Ativo", "Não ativo")</f>
        <v>Não ativo</v>
      </c>
      <c r="D26" s="101" t="str">
        <f>IFERROR(IF(VLOOKUP(Tabla57[[#This Row],[Cod trabalhador]],'Altas Industrial'!B:E,1,0)&lt;&gt;"","KI",""),"")</f>
        <v/>
      </c>
      <c r="E26" s="101" t="str">
        <f>IFERROR(IF(VLOOKUP(Tabla57[[#This Row],[Cod trabalhador]],'Altas Rosas'!B:F,1,0)&lt;&gt;"","KR",""),"")</f>
        <v/>
      </c>
      <c r="F26" s="101" t="str">
        <f>IFERROR(IF(VLOOKUP(Tabla57[[#This Row],[Cod trabalhador]],'Altas Wiseowe'!B:E,1,0)&lt;&gt;"","WS",""),"")</f>
        <v/>
      </c>
      <c r="G26" s="101" t="str">
        <f>IFERROR(IF(VLOOKUP(Tabla57[[#This Row],[Cod trabalhador]],'Altas Luminous'!B:E,1,0)&lt;&gt;"","LM",""),"")</f>
        <v/>
      </c>
      <c r="H26" s="51" t="str">
        <f>IFERROR(VLOOKUP(Tabla57[[#This Row],[Cod trabalhador]],'Altas Industrial'!B:E,3,FALSE),"")</f>
        <v/>
      </c>
      <c r="I26" s="61" t="str">
        <f>IF(OR(Tabla57[[#This Row],[Cod trabalhador]]="",ISBLANK(Tabla57[[#This Row],[Cod trabalhador]])),"",IFERROR(IF(VLOOKUP(Tabla57[[#This Row],[Cod trabalhador]],'Altas Industrial'!B:E,4,FALSE)=0,"",VLOOKUP(Tabla57[[#This Row],[Cod trabalhador]],'Altas Industrial'!B:E,4,FALSE)),""))</f>
        <v/>
      </c>
      <c r="J26" s="44">
        <f t="shared" si="0"/>
        <v>0</v>
      </c>
      <c r="K26" s="376" t="s">
        <v>3420</v>
      </c>
      <c r="L26" s="24" t="str">
        <f>IFERROR(IF(Tabla57[[#This Row],[Cod trabalhador]]="",Tabla57[[#This Row],[Cod trabalhador]], INDEX(Colaborador_ID[Nombre], MATCH(Tabla57[[#This Row],[Cod trabalhador]],Colaborador_ID[Cod_colab], 0))), "")</f>
        <v>JHON JAIRO MUÑOZ BARBOSA</v>
      </c>
      <c r="M26" s="15"/>
      <c r="N26" s="408" t="s">
        <v>7070</v>
      </c>
      <c r="O26" s="49">
        <f>IFERROR(VLOOKUP(Tabla57[[#This Row],[Cod trabalhador]],Tabla15[],4,FALSE),"")</f>
        <v>15</v>
      </c>
      <c r="P26" s="373">
        <f>IFERROR(VLOOKUP(Tabla57[[#This Row],[Cod trabalhador]],'TotalHorasAjustadas (2)'!D:L,8,FALSE),"")</f>
        <v>307</v>
      </c>
      <c r="Q26" s="202">
        <v>307</v>
      </c>
      <c r="R26" s="98" t="s">
        <v>7471</v>
      </c>
      <c r="S26" s="49"/>
      <c r="T26" s="15"/>
      <c r="U26" s="25"/>
      <c r="V26" s="49"/>
      <c r="W26" s="27"/>
      <c r="X26" s="28"/>
      <c r="Y26" s="26"/>
      <c r="Z26" s="15"/>
      <c r="AA26" s="54" t="str">
        <f>IFERROR(VLOOKUP(Tabla57[[#This Row],[Cod trabalhador]],Alojamentos!B:P,11,FALSE),"")</f>
        <v/>
      </c>
      <c r="AB26" s="55"/>
      <c r="AC26" s="15"/>
      <c r="AD26" s="343">
        <f>Tabla57[[#This Row],[Dias de alta]]*7.058</f>
        <v>0</v>
      </c>
      <c r="AE26" s="344" t="str">
        <f>IFERROR(VLOOKUP(Tabla57[[#This Row],[Cod trabalhador]],Adiantamentos!B:S,7,FALSE),"")</f>
        <v/>
      </c>
      <c r="AF26" s="374">
        <f>IFERROR(VLOOKUP(Tabla57[[#This Row],[Cod trabalhador]],Carro!B:D,3,FALSE),"")</f>
        <v>74.666666666666657</v>
      </c>
      <c r="AG26" s="180" t="str">
        <f>IFERROR(VLOOKUP(Tabla57[[#This Row],[Cod trabalhador]],'Outros descontos'!B:M,7,FALSE),"")</f>
        <v/>
      </c>
      <c r="AH26" s="180" t="str">
        <f>IFERROR(VLOOKUP(Tabla57[[#This Row],[Cod trabalhador]],'Outros descontos'!B:M,8,FALSE),"")</f>
        <v/>
      </c>
      <c r="AI26" s="180" t="str">
        <f>IFERROR(VLOOKUP(Tabla57[[#This Row],[Cod trabalhador]],'Outros descontos'!B:M,9,FALSE),"")</f>
        <v/>
      </c>
      <c r="AJ26" s="180" t="str">
        <f>IFERROR(VLOOKUP(Tabla57[[#This Row],[Cod trabalhador]],'Outros descontos'!B:M,10,FALSE),"")</f>
        <v/>
      </c>
      <c r="AK26" s="180" t="str">
        <f>IFERROR(VLOOKUP(Tabla57[[#This Row],[Cod trabalhador]],'Outros descontos'!B:M,11,FALSE),"")</f>
        <v/>
      </c>
      <c r="AL26" s="180" t="str">
        <f>IFERROR(VLOOKUP(Tabla57[[#This Row],[Cod trabalhador]],'Outros descontos'!B:M,12,FALSE),"")</f>
        <v/>
      </c>
      <c r="AM26" s="295" t="str">
        <f>IFERROR(VLOOKUP(Tabla57[[#This Row],[Cod trabalhador]],'Outros descontos'!B:M,13,FALSE),"")</f>
        <v/>
      </c>
      <c r="AN26" s="180"/>
      <c r="AO26" s="37">
        <v>4.08</v>
      </c>
      <c r="AP26" s="15"/>
      <c r="AQ26"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4526.2533333333331</v>
      </c>
      <c r="AR26"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4526.2533333333331</v>
      </c>
      <c r="AS26" s="15"/>
      <c r="AT26" s="27" t="str">
        <f>IF(Tabla57[[#This Row],[Cod trabalhador]]="", "", INDEX(Iban!C:C, MATCH(Tabla57[[#This Row],[Cod trabalhador]],Iban!A:A, 0)))</f>
        <v>ES17 0182 0079 0902 0156 1001</v>
      </c>
      <c r="AU26" s="27"/>
      <c r="AV26" s="311"/>
      <c r="AW26" s="66" t="s">
        <v>7533</v>
      </c>
      <c r="AX26" s="296" t="s">
        <v>7472</v>
      </c>
    </row>
    <row r="27" spans="1:50" ht="18.75" customHeight="1" x14ac:dyDescent="0.3">
      <c r="A27" s="125"/>
      <c r="B27" s="39" t="s">
        <v>3509</v>
      </c>
      <c r="C27" s="45" t="str">
        <f>IF(ISNUMBER(MATCH(Tabla57[[#This Row],[Cod trabalhador]],'Altas Industrial'!B:B, 0)), "Ativo", "Não ativo")</f>
        <v>Não ativo</v>
      </c>
      <c r="D27" s="101" t="str">
        <f>IFERROR(IF(VLOOKUP(Tabla57[[#This Row],[Cod trabalhador]],'Altas Industrial'!B:E,1,0)&lt;&gt;"","KI",""),"")</f>
        <v/>
      </c>
      <c r="E27" s="101" t="str">
        <f>IFERROR(IF(VLOOKUP(Tabla57[[#This Row],[Cod trabalhador]],'Altas Rosas'!B:F,1,0)&lt;&gt;"","KR",""),"")</f>
        <v/>
      </c>
      <c r="F27" s="101" t="str">
        <f>IFERROR(IF(VLOOKUP(Tabla57[[#This Row],[Cod trabalhador]],'Altas Wiseowe'!B:E,1,0)&lt;&gt;"","WS",""),"")</f>
        <v/>
      </c>
      <c r="G27" s="101" t="str">
        <f>IFERROR(IF(VLOOKUP(Tabla57[[#This Row],[Cod trabalhador]],'Altas Luminous'!B:E,1,0)&lt;&gt;"","LM",""),"")</f>
        <v/>
      </c>
      <c r="H27" s="51" t="str">
        <f>IFERROR(VLOOKUP(Tabla57[[#This Row],[Cod trabalhador]],'Altas Industrial'!B:E,3,FALSE),"")</f>
        <v/>
      </c>
      <c r="I27" s="61" t="str">
        <f>IF(OR(Tabla57[[#This Row],[Cod trabalhador]]="",ISBLANK(Tabla57[[#This Row],[Cod trabalhador]])),"",IFERROR(IF(VLOOKUP(Tabla57[[#This Row],[Cod trabalhador]],'Altas Industrial'!B:E,4,FALSE)=0,"",VLOOKUP(Tabla57[[#This Row],[Cod trabalhador]],'Altas Industrial'!B:E,4,FALSE)),""))</f>
        <v/>
      </c>
      <c r="J27" s="44">
        <f t="shared" si="0"/>
        <v>0</v>
      </c>
      <c r="K27" s="376" t="s">
        <v>3510</v>
      </c>
      <c r="L27" s="24" t="str">
        <f>IFERROR(IF(Tabla57[[#This Row],[Cod trabalhador]]="",Tabla57[[#This Row],[Cod trabalhador]], INDEX(Colaborador_ID[Nombre], MATCH(Tabla57[[#This Row],[Cod trabalhador]],Colaborador_ID[Cod_colab], 0))), "")</f>
        <v>JIM PAUL CHUNGA LUJAN</v>
      </c>
      <c r="M27" s="15"/>
      <c r="N27" s="408" t="s">
        <v>7054</v>
      </c>
      <c r="O27" s="49">
        <f>IFERROR(VLOOKUP(Tabla57[[#This Row],[Cod trabalhador]],Tabla15[],4,FALSE),"")</f>
        <v>16</v>
      </c>
      <c r="P27" s="373">
        <f>IFERROR(VLOOKUP(Tabla57[[#This Row],[Cod trabalhador]],'TotalHorasAjustadas (2)'!D:L,8,FALSE),"")</f>
        <v>199</v>
      </c>
      <c r="Q27" s="202">
        <v>199</v>
      </c>
      <c r="R27" s="98" t="s">
        <v>7532</v>
      </c>
      <c r="S27" s="49"/>
      <c r="T27" s="15"/>
      <c r="U27" s="25"/>
      <c r="V27" s="49"/>
      <c r="W27" s="27"/>
      <c r="X27" s="28"/>
      <c r="Y27" s="26"/>
      <c r="Z27" s="15"/>
      <c r="AA27" s="54" t="str">
        <f>IFERROR(VLOOKUP(Tabla57[[#This Row],[Cod trabalhador]],Alojamentos!B:P,11,FALSE),"")</f>
        <v/>
      </c>
      <c r="AB27" s="55"/>
      <c r="AC27" s="15"/>
      <c r="AD27" s="343">
        <f>Tabla57[[#This Row],[Dias de alta]]*7.058</f>
        <v>0</v>
      </c>
      <c r="AE27" s="344" t="str">
        <f>IFERROR(VLOOKUP(Tabla57[[#This Row],[Cod trabalhador]],Adiantamentos!B:S,7,FALSE),"")</f>
        <v/>
      </c>
      <c r="AF27" s="374" t="str">
        <f>IFERROR(VLOOKUP(Tabla57[[#This Row],[Cod trabalhador]],Carro!B:D,3,FALSE),"")</f>
        <v/>
      </c>
      <c r="AG27" s="180" t="str">
        <f>IFERROR(VLOOKUP(Tabla57[[#This Row],[Cod trabalhador]],'Outros descontos'!B:M,7,FALSE),"")</f>
        <v/>
      </c>
      <c r="AH27" s="180" t="str">
        <f>IFERROR(VLOOKUP(Tabla57[[#This Row],[Cod trabalhador]],'Outros descontos'!B:M,8,FALSE),"")</f>
        <v/>
      </c>
      <c r="AI27" s="180" t="str">
        <f>IFERROR(VLOOKUP(Tabla57[[#This Row],[Cod trabalhador]],'Outros descontos'!B:M,9,FALSE),"")</f>
        <v/>
      </c>
      <c r="AJ27" s="180" t="str">
        <f>IFERROR(VLOOKUP(Tabla57[[#This Row],[Cod trabalhador]],'Outros descontos'!B:M,10,FALSE),"")</f>
        <v/>
      </c>
      <c r="AK27" s="180" t="str">
        <f>IFERROR(VLOOKUP(Tabla57[[#This Row],[Cod trabalhador]],'Outros descontos'!B:M,11,FALSE),"")</f>
        <v/>
      </c>
      <c r="AL27" s="180" t="str">
        <f>IFERROR(VLOOKUP(Tabla57[[#This Row],[Cod trabalhador]],'Outros descontos'!B:M,12,FALSE),"")</f>
        <v/>
      </c>
      <c r="AM27" s="295" t="str">
        <f>IFERROR(VLOOKUP(Tabla57[[#This Row],[Cod trabalhador]],'Outros descontos'!B:M,13,FALSE),"")</f>
        <v/>
      </c>
      <c r="AN27" s="180"/>
      <c r="AO27" s="37">
        <v>4.08</v>
      </c>
      <c r="AP27" s="15"/>
      <c r="AQ27"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3179.92</v>
      </c>
      <c r="AR27"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3179.92</v>
      </c>
      <c r="AS27" s="15"/>
      <c r="AT27" s="27" t="str">
        <f>IF(Tabla57[[#This Row],[Cod trabalhador]]="", "", INDEX(Iban!C:C, MATCH(Tabla57[[#This Row],[Cod trabalhador]],Iban!A:A, 0)))</f>
        <v>ES94 0182 8674 4202 0164 8459</v>
      </c>
      <c r="AU27" s="27"/>
      <c r="AV27" s="311"/>
      <c r="AW27" s="66" t="s">
        <v>7533</v>
      </c>
      <c r="AX27" s="296" t="s">
        <v>7472</v>
      </c>
    </row>
    <row r="28" spans="1:50" ht="18.75" customHeight="1" x14ac:dyDescent="0.3">
      <c r="A28" s="125"/>
      <c r="B28" s="39" t="s">
        <v>3658</v>
      </c>
      <c r="C28" s="45" t="str">
        <f>IF(ISNUMBER(MATCH(Tabla57[[#This Row],[Cod trabalhador]],'Altas Industrial'!B:B, 0)), "Ativo", "Não ativo")</f>
        <v>Ativo</v>
      </c>
      <c r="D28" s="101" t="str">
        <f>IFERROR(IF(VLOOKUP(Tabla57[[#This Row],[Cod trabalhador]],'Altas Industrial'!B:E,1,0)&lt;&gt;"","KI",""),"")</f>
        <v>KI</v>
      </c>
      <c r="E28" s="101" t="str">
        <f>IFERROR(IF(VLOOKUP(Tabla57[[#This Row],[Cod trabalhador]],'Altas Rosas'!B:F,1,0)&lt;&gt;"","KR",""),"")</f>
        <v/>
      </c>
      <c r="F28" s="101" t="str">
        <f>IFERROR(IF(VLOOKUP(Tabla57[[#This Row],[Cod trabalhador]],'Altas Wiseowe'!B:E,1,0)&lt;&gt;"","WS",""),"")</f>
        <v/>
      </c>
      <c r="G28" s="101" t="str">
        <f>IFERROR(IF(VLOOKUP(Tabla57[[#This Row],[Cod trabalhador]],'Altas Luminous'!B:E,1,0)&lt;&gt;"","LM",""),"")</f>
        <v/>
      </c>
      <c r="H28" s="51">
        <f>IFERROR(VLOOKUP(Tabla57[[#This Row],[Cod trabalhador]],'Altas Industrial'!B:E,3,FALSE),"")</f>
        <v>45777</v>
      </c>
      <c r="I28" s="61">
        <f>IF(OR(Tabla57[[#This Row],[Cod trabalhador]]="",ISBLANK(Tabla57[[#This Row],[Cod trabalhador]])),"",IFERROR(IF(VLOOKUP(Tabla57[[#This Row],[Cod trabalhador]],'Altas Industrial'!B:E,4,FALSE)=0,"",VLOOKUP(Tabla57[[#This Row],[Cod trabalhador]],'Altas Industrial'!B:E,4,FALSE)),""))</f>
        <v>46052</v>
      </c>
      <c r="J28" s="44">
        <f t="shared" si="0"/>
        <v>30</v>
      </c>
      <c r="K28" s="376" t="s">
        <v>3659</v>
      </c>
      <c r="L28" s="24" t="str">
        <f>IFERROR(IF(Tabla57[[#This Row],[Cod trabalhador]]="",Tabla57[[#This Row],[Cod trabalhador]], INDEX(Colaborador_ID[Nombre], MATCH(Tabla57[[#This Row],[Cod trabalhador]],Colaborador_ID[Cod_colab], 0))), "")</f>
        <v>JONATHAN BLANDON HINCAPIE</v>
      </c>
      <c r="M28" s="15"/>
      <c r="N28" s="408" t="s">
        <v>7042</v>
      </c>
      <c r="O28" s="49">
        <f>IFERROR(VLOOKUP(Tabla57[[#This Row],[Cod trabalhador]],Tabla15[],4,FALSE),"")</f>
        <v>15</v>
      </c>
      <c r="P28" s="373">
        <f>IFERROR(VLOOKUP(Tabla57[[#This Row],[Cod trabalhador]],'TotalHorasAjustadas (2)'!D:L,8,FALSE),"")</f>
        <v>179</v>
      </c>
      <c r="Q28" s="202">
        <v>179</v>
      </c>
      <c r="R28" s="98" t="s">
        <v>7532</v>
      </c>
      <c r="S28" s="49"/>
      <c r="T28" s="15"/>
      <c r="U28" s="25"/>
      <c r="V28" s="49"/>
      <c r="W28" s="27"/>
      <c r="X28" s="28"/>
      <c r="Y28" s="26"/>
      <c r="Z28" s="15"/>
      <c r="AA28" s="54" t="str">
        <f>IFERROR(VLOOKUP(Tabla57[[#This Row],[Cod trabalhador]],Alojamentos!B:P,11,FALSE),"")</f>
        <v/>
      </c>
      <c r="AB28" s="55"/>
      <c r="AC28" s="15"/>
      <c r="AD28" s="343">
        <f>Tabla57[[#This Row],[Dias de alta]]*7.058</f>
        <v>211.74</v>
      </c>
      <c r="AE28" s="344" t="str">
        <f>IFERROR(VLOOKUP(Tabla57[[#This Row],[Cod trabalhador]],Adiantamentos!B:S,7,FALSE),"")</f>
        <v/>
      </c>
      <c r="AF28" s="374" t="str">
        <f>IFERROR(VLOOKUP(Tabla57[[#This Row],[Cod trabalhador]],Carro!B:D,3,FALSE),"")</f>
        <v/>
      </c>
      <c r="AG28" s="180" t="str">
        <f>IFERROR(VLOOKUP(Tabla57[[#This Row],[Cod trabalhador]],'Outros descontos'!B:M,7,FALSE),"")</f>
        <v/>
      </c>
      <c r="AH28" s="180" t="str">
        <f>IFERROR(VLOOKUP(Tabla57[[#This Row],[Cod trabalhador]],'Outros descontos'!B:M,8,FALSE),"")</f>
        <v/>
      </c>
      <c r="AI28" s="180" t="str">
        <f>IFERROR(VLOOKUP(Tabla57[[#This Row],[Cod trabalhador]],'Outros descontos'!B:M,9,FALSE),"")</f>
        <v/>
      </c>
      <c r="AJ28" s="180" t="str">
        <f>IFERROR(VLOOKUP(Tabla57[[#This Row],[Cod trabalhador]],'Outros descontos'!B:M,10,FALSE),"")</f>
        <v/>
      </c>
      <c r="AK28" s="180" t="str">
        <f>IFERROR(VLOOKUP(Tabla57[[#This Row],[Cod trabalhador]],'Outros descontos'!B:M,11,FALSE),"")</f>
        <v/>
      </c>
      <c r="AL28" s="180" t="str">
        <f>IFERROR(VLOOKUP(Tabla57[[#This Row],[Cod trabalhador]],'Outros descontos'!B:M,12,FALSE),"")</f>
        <v/>
      </c>
      <c r="AM28" s="295" t="str">
        <f>IFERROR(VLOOKUP(Tabla57[[#This Row],[Cod trabalhador]],'Outros descontos'!B:M,13,FALSE),"")</f>
        <v/>
      </c>
      <c r="AN28" s="180"/>
      <c r="AO28" s="37">
        <v>4.08</v>
      </c>
      <c r="AP28" s="15"/>
      <c r="AQ28"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2469.1800000000003</v>
      </c>
      <c r="AR28"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2469.1800000000003</v>
      </c>
      <c r="AS28" s="15"/>
      <c r="AT28" s="27" t="str">
        <f>IF(Tabla57[[#This Row],[Cod trabalhador]]="", "", INDEX(Iban!C:C, MATCH(Tabla57[[#This Row],[Cod trabalhador]],Iban!A:A, 0)))</f>
        <v>ES04 2100 5002 4502 0017 3577</v>
      </c>
      <c r="AU28" s="27"/>
      <c r="AV28" s="311"/>
      <c r="AW28" s="66" t="s">
        <v>7533</v>
      </c>
      <c r="AX28" s="296" t="s">
        <v>7472</v>
      </c>
    </row>
    <row r="29" spans="1:50" ht="18.75" customHeight="1" x14ac:dyDescent="0.3">
      <c r="A29" s="125"/>
      <c r="B29" s="39" t="s">
        <v>3687</v>
      </c>
      <c r="C29" s="45" t="str">
        <f>IF(ISNUMBER(MATCH(Tabla57[[#This Row],[Cod trabalhador]],'Altas Industrial'!B:B, 0)), "Ativo", "Não ativo")</f>
        <v>Não ativo</v>
      </c>
      <c r="D29" s="101" t="str">
        <f>IFERROR(IF(VLOOKUP(Tabla57[[#This Row],[Cod trabalhador]],'Altas Industrial'!B:E,1,0)&lt;&gt;"","KI",""),"")</f>
        <v/>
      </c>
      <c r="E29" s="101" t="str">
        <f>IFERROR(IF(VLOOKUP(Tabla57[[#This Row],[Cod trabalhador]],'Altas Rosas'!B:F,1,0)&lt;&gt;"","KR",""),"")</f>
        <v/>
      </c>
      <c r="F29" s="101" t="str">
        <f>IFERROR(IF(VLOOKUP(Tabla57[[#This Row],[Cod trabalhador]],'Altas Wiseowe'!B:E,1,0)&lt;&gt;"","WS",""),"")</f>
        <v/>
      </c>
      <c r="G29" s="101" t="str">
        <f>IFERROR(IF(VLOOKUP(Tabla57[[#This Row],[Cod trabalhador]],'Altas Luminous'!B:E,1,0)&lt;&gt;"","LM",""),"")</f>
        <v/>
      </c>
      <c r="H29" s="51" t="str">
        <f>IFERROR(VLOOKUP(Tabla57[[#This Row],[Cod trabalhador]],'Altas Industrial'!B:E,3,FALSE),"")</f>
        <v/>
      </c>
      <c r="I29" s="61" t="str">
        <f>IF(OR(Tabla57[[#This Row],[Cod trabalhador]]="",ISBLANK(Tabla57[[#This Row],[Cod trabalhador]])),"",IFERROR(IF(VLOOKUP(Tabla57[[#This Row],[Cod trabalhador]],'Altas Industrial'!B:E,4,FALSE)=0,"",VLOOKUP(Tabla57[[#This Row],[Cod trabalhador]],'Altas Industrial'!B:E,4,FALSE)),""))</f>
        <v/>
      </c>
      <c r="J29" s="44">
        <f t="shared" si="0"/>
        <v>0</v>
      </c>
      <c r="K29" s="376" t="s">
        <v>7062</v>
      </c>
      <c r="L29" s="24" t="str">
        <f>IFERROR(IF(Tabla57[[#This Row],[Cod trabalhador]]="",Tabla57[[#This Row],[Cod trabalhador]], INDEX(Colaborador_ID[Nombre], MATCH(Tabla57[[#This Row],[Cod trabalhador]],Colaborador_ID[Cod_colab], 0))), "")</f>
        <v>JORDY ALEXANDER ALVA PAYAC</v>
      </c>
      <c r="M29" s="15"/>
      <c r="N29" s="408" t="s">
        <v>7054</v>
      </c>
      <c r="O29" s="49">
        <f>IFERROR(VLOOKUP(Tabla57[[#This Row],[Cod trabalhador]],Tabla15[],4,FALSE),"")</f>
        <v>16</v>
      </c>
      <c r="P29" s="373">
        <f>IFERROR(VLOOKUP(Tabla57[[#This Row],[Cod trabalhador]],'TotalHorasAjustadas (2)'!D:L,8,FALSE),"")</f>
        <v>196</v>
      </c>
      <c r="Q29" s="202">
        <v>196</v>
      </c>
      <c r="R29" s="98" t="s">
        <v>7532</v>
      </c>
      <c r="S29" s="49"/>
      <c r="T29" s="15"/>
      <c r="U29" s="25"/>
      <c r="V29" s="49"/>
      <c r="W29" s="27"/>
      <c r="X29" s="28"/>
      <c r="Y29" s="26"/>
      <c r="Z29" s="15"/>
      <c r="AA29" s="54" t="str">
        <f>IFERROR(VLOOKUP(Tabla57[[#This Row],[Cod trabalhador]],Alojamentos!B:P,11,FALSE),"")</f>
        <v/>
      </c>
      <c r="AB29" s="55"/>
      <c r="AC29" s="15"/>
      <c r="AD29" s="343">
        <f>Tabla57[[#This Row],[Dias de alta]]*7.058</f>
        <v>0</v>
      </c>
      <c r="AE29" s="344" t="str">
        <f>IFERROR(VLOOKUP(Tabla57[[#This Row],[Cod trabalhador]],Adiantamentos!B:S,7,FALSE),"")</f>
        <v/>
      </c>
      <c r="AF29" s="374" t="str">
        <f>IFERROR(VLOOKUP(Tabla57[[#This Row],[Cod trabalhador]],Carro!B:D,3,FALSE),"")</f>
        <v/>
      </c>
      <c r="AG29" s="180" t="str">
        <f>IFERROR(VLOOKUP(Tabla57[[#This Row],[Cod trabalhador]],'Outros descontos'!B:M,7,FALSE),"")</f>
        <v/>
      </c>
      <c r="AH29" s="180" t="str">
        <f>IFERROR(VLOOKUP(Tabla57[[#This Row],[Cod trabalhador]],'Outros descontos'!B:M,8,FALSE),"")</f>
        <v/>
      </c>
      <c r="AI29" s="180" t="str">
        <f>IFERROR(VLOOKUP(Tabla57[[#This Row],[Cod trabalhador]],'Outros descontos'!B:M,9,FALSE),"")</f>
        <v/>
      </c>
      <c r="AJ29" s="180" t="str">
        <f>IFERROR(VLOOKUP(Tabla57[[#This Row],[Cod trabalhador]],'Outros descontos'!B:M,10,FALSE),"")</f>
        <v/>
      </c>
      <c r="AK29" s="180" t="str">
        <f>IFERROR(VLOOKUP(Tabla57[[#This Row],[Cod trabalhador]],'Outros descontos'!B:M,11,FALSE),"")</f>
        <v/>
      </c>
      <c r="AL29" s="180" t="str">
        <f>IFERROR(VLOOKUP(Tabla57[[#This Row],[Cod trabalhador]],'Outros descontos'!B:M,12,FALSE),"")</f>
        <v/>
      </c>
      <c r="AM29" s="295" t="str">
        <f>IFERROR(VLOOKUP(Tabla57[[#This Row],[Cod trabalhador]],'Outros descontos'!B:M,13,FALSE),"")</f>
        <v/>
      </c>
      <c r="AN29" s="180"/>
      <c r="AO29" s="37">
        <v>4.08</v>
      </c>
      <c r="AP29" s="15"/>
      <c r="AQ29"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3131.92</v>
      </c>
      <c r="AR29"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3131.92</v>
      </c>
      <c r="AS29" s="15"/>
      <c r="AT29" s="27" t="str">
        <f>IF(Tabla57[[#This Row],[Cod trabalhador]]="", "", INDEX(Iban!C:C, MATCH(Tabla57[[#This Row],[Cod trabalhador]],Iban!A:A, 0)))</f>
        <v>FR76 1659 8000 0140 0010 3859 519</v>
      </c>
      <c r="AU29" s="27"/>
      <c r="AV29" s="311"/>
      <c r="AW29" s="66" t="s">
        <v>7533</v>
      </c>
      <c r="AX29" s="296" t="s">
        <v>7472</v>
      </c>
    </row>
    <row r="30" spans="1:50" ht="18.75" customHeight="1" x14ac:dyDescent="0.3">
      <c r="A30" s="125"/>
      <c r="B30" s="39" t="s">
        <v>3725</v>
      </c>
      <c r="C30" s="45" t="str">
        <f>IF(ISNUMBER(MATCH(Tabla57[[#This Row],[Cod trabalhador]],'Altas Industrial'!B:B, 0)), "Ativo", "Não ativo")</f>
        <v>Ativo</v>
      </c>
      <c r="D30" s="101" t="str">
        <f>IFERROR(IF(VLOOKUP(Tabla57[[#This Row],[Cod trabalhador]],'Altas Industrial'!B:E,1,0)&lt;&gt;"","KI",""),"")</f>
        <v>KI</v>
      </c>
      <c r="E30" s="101" t="str">
        <f>IFERROR(IF(VLOOKUP(Tabla57[[#This Row],[Cod trabalhador]],'Altas Rosas'!B:F,1,0)&lt;&gt;"","KR",""),"")</f>
        <v/>
      </c>
      <c r="F30" s="101" t="str">
        <f>IFERROR(IF(VLOOKUP(Tabla57[[#This Row],[Cod trabalhador]],'Altas Wiseowe'!B:E,1,0)&lt;&gt;"","WS",""),"")</f>
        <v/>
      </c>
      <c r="G30" s="101" t="str">
        <f>IFERROR(IF(VLOOKUP(Tabla57[[#This Row],[Cod trabalhador]],'Altas Luminous'!B:E,1,0)&lt;&gt;"","LM",""),"")</f>
        <v/>
      </c>
      <c r="H30" s="51">
        <f>IFERROR(VLOOKUP(Tabla57[[#This Row],[Cod trabalhador]],'Altas Industrial'!B:E,3,FALSE),"")</f>
        <v>45779</v>
      </c>
      <c r="I30" s="61">
        <f>IF(OR(Tabla57[[#This Row],[Cod trabalhador]]="",ISBLANK(Tabla57[[#This Row],[Cod trabalhador]])),"",IFERROR(IF(VLOOKUP(Tabla57[[#This Row],[Cod trabalhador]],'Altas Industrial'!B:E,4,FALSE)=0,"",VLOOKUP(Tabla57[[#This Row],[Cod trabalhador]],'Altas Industrial'!B:E,4,FALSE)),""))</f>
        <v>46053</v>
      </c>
      <c r="J30" s="44">
        <f t="shared" si="0"/>
        <v>31</v>
      </c>
      <c r="K30" s="376" t="s">
        <v>3726</v>
      </c>
      <c r="L30" s="24" t="str">
        <f>IFERROR(IF(Tabla57[[#This Row],[Cod trabalhador]]="",Tabla57[[#This Row],[Cod trabalhador]], INDEX(Colaborador_ID[Nombre], MATCH(Tabla57[[#This Row],[Cod trabalhador]],Colaborador_ID[Cod_colab], 0))), "")</f>
        <v>JORGE ARLEY ALVAREZ GONZALEZ</v>
      </c>
      <c r="M30" s="15"/>
      <c r="N30" s="408" t="s">
        <v>7054</v>
      </c>
      <c r="O30" s="49">
        <f>IFERROR(VLOOKUP(Tabla57[[#This Row],[Cod trabalhador]],Tabla15[],4,FALSE),"")</f>
        <v>16</v>
      </c>
      <c r="P30" s="373">
        <f>IFERROR(VLOOKUP(Tabla57[[#This Row],[Cod trabalhador]],'TotalHorasAjustadas (2)'!D:L,8,FALSE),"")</f>
        <v>199</v>
      </c>
      <c r="Q30" s="202">
        <v>199</v>
      </c>
      <c r="R30" s="98" t="s">
        <v>7532</v>
      </c>
      <c r="S30" s="49"/>
      <c r="T30" s="15"/>
      <c r="U30" s="25"/>
      <c r="V30" s="49"/>
      <c r="W30" s="27"/>
      <c r="X30" s="28"/>
      <c r="Y30" s="26"/>
      <c r="Z30" s="15"/>
      <c r="AA30" s="54" t="str">
        <f>IFERROR(VLOOKUP(Tabla57[[#This Row],[Cod trabalhador]],Alojamentos!B:P,11,FALSE),"")</f>
        <v/>
      </c>
      <c r="AB30" s="55"/>
      <c r="AC30" s="15"/>
      <c r="AD30" s="343">
        <f>Tabla57[[#This Row],[Dias de alta]]*7.058</f>
        <v>218.798</v>
      </c>
      <c r="AE30" s="344" t="str">
        <f>IFERROR(VLOOKUP(Tabla57[[#This Row],[Cod trabalhador]],Adiantamentos!B:S,7,FALSE),"")</f>
        <v/>
      </c>
      <c r="AF30" s="374" t="str">
        <f>IFERROR(VLOOKUP(Tabla57[[#This Row],[Cod trabalhador]],Carro!B:D,3,FALSE),"")</f>
        <v/>
      </c>
      <c r="AG30" s="180" t="str">
        <f>IFERROR(VLOOKUP(Tabla57[[#This Row],[Cod trabalhador]],'Outros descontos'!B:M,7,FALSE),"")</f>
        <v/>
      </c>
      <c r="AH30" s="180" t="str">
        <f>IFERROR(VLOOKUP(Tabla57[[#This Row],[Cod trabalhador]],'Outros descontos'!B:M,8,FALSE),"")</f>
        <v/>
      </c>
      <c r="AI30" s="180" t="str">
        <f>IFERROR(VLOOKUP(Tabla57[[#This Row],[Cod trabalhador]],'Outros descontos'!B:M,9,FALSE),"")</f>
        <v/>
      </c>
      <c r="AJ30" s="180" t="str">
        <f>IFERROR(VLOOKUP(Tabla57[[#This Row],[Cod trabalhador]],'Outros descontos'!B:M,10,FALSE),"")</f>
        <v/>
      </c>
      <c r="AK30" s="180" t="str">
        <f>IFERROR(VLOOKUP(Tabla57[[#This Row],[Cod trabalhador]],'Outros descontos'!B:M,11,FALSE),"")</f>
        <v/>
      </c>
      <c r="AL30" s="180" t="str">
        <f>IFERROR(VLOOKUP(Tabla57[[#This Row],[Cod trabalhador]],'Outros descontos'!B:M,12,FALSE),"")</f>
        <v/>
      </c>
      <c r="AM30" s="295" t="str">
        <f>IFERROR(VLOOKUP(Tabla57[[#This Row],[Cod trabalhador]],'Outros descontos'!B:M,13,FALSE),"")</f>
        <v/>
      </c>
      <c r="AN30" s="180"/>
      <c r="AO30" s="37">
        <v>4.08</v>
      </c>
      <c r="AP30" s="15"/>
      <c r="AQ30"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2961.1220000000003</v>
      </c>
      <c r="AR30"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2961.1220000000003</v>
      </c>
      <c r="AS30" s="15"/>
      <c r="AT30" s="27" t="str">
        <f>IF(Tabla57[[#This Row],[Cod trabalhador]]="", "", INDEX(Iban!C:C, MATCH(Tabla57[[#This Row],[Cod trabalhador]],Iban!A:A, 0)))</f>
        <v>ES43 0182 8318 8902 0164 0818</v>
      </c>
      <c r="AU30" s="27"/>
      <c r="AV30" s="311"/>
      <c r="AW30" s="66" t="s">
        <v>7533</v>
      </c>
      <c r="AX30" s="296" t="s">
        <v>7472</v>
      </c>
    </row>
    <row r="31" spans="1:50" ht="18.75" customHeight="1" x14ac:dyDescent="0.3">
      <c r="A31" s="125"/>
      <c r="B31" s="39" t="s">
        <v>3958</v>
      </c>
      <c r="C31" s="45" t="str">
        <f>IF(ISNUMBER(MATCH(Tabla57[[#This Row],[Cod trabalhador]],'Altas Industrial'!B:B, 0)), "Ativo", "Não ativo")</f>
        <v>Ativo</v>
      </c>
      <c r="D31" s="101" t="str">
        <f>IFERROR(IF(VLOOKUP(Tabla57[[#This Row],[Cod trabalhador]],'Altas Industrial'!B:E,1,0)&lt;&gt;"","KI",""),"")</f>
        <v>KI</v>
      </c>
      <c r="E31" s="101" t="str">
        <f>IFERROR(IF(VLOOKUP(Tabla57[[#This Row],[Cod trabalhador]],'Altas Rosas'!B:F,1,0)&lt;&gt;"","KR",""),"")</f>
        <v/>
      </c>
      <c r="F31" s="101" t="str">
        <f>IFERROR(IF(VLOOKUP(Tabla57[[#This Row],[Cod trabalhador]],'Altas Wiseowe'!B:E,1,0)&lt;&gt;"","WS",""),"")</f>
        <v/>
      </c>
      <c r="G31" s="101" t="str">
        <f>IFERROR(IF(VLOOKUP(Tabla57[[#This Row],[Cod trabalhador]],'Altas Luminous'!B:E,1,0)&lt;&gt;"","LM",""),"")</f>
        <v/>
      </c>
      <c r="H31" s="51">
        <f>IFERROR(VLOOKUP(Tabla57[[#This Row],[Cod trabalhador]],'Altas Industrial'!B:E,3,FALSE),"")</f>
        <v>45763</v>
      </c>
      <c r="I31" s="61">
        <f>IF(OR(Tabla57[[#This Row],[Cod trabalhador]]="",ISBLANK(Tabla57[[#This Row],[Cod trabalhador]])),"",IFERROR(IF(VLOOKUP(Tabla57[[#This Row],[Cod trabalhador]],'Altas Industrial'!B:E,4,FALSE)=0,"",VLOOKUP(Tabla57[[#This Row],[Cod trabalhador]],'Altas Industrial'!B:E,4,FALSE)),""))</f>
        <v>46053</v>
      </c>
      <c r="J31" s="44">
        <f t="shared" si="0"/>
        <v>31</v>
      </c>
      <c r="K31" s="376" t="s">
        <v>7063</v>
      </c>
      <c r="L31" s="24" t="str">
        <f>IFERROR(IF(Tabla57[[#This Row],[Cod trabalhador]]="",Tabla57[[#This Row],[Cod trabalhador]], INDEX(Colaborador_ID[Nombre], MATCH(Tabla57[[#This Row],[Cod trabalhador]],Colaborador_ID[Cod_colab], 0))), "")</f>
        <v>JOSE DE JESUS MENDOZA PADILLA</v>
      </c>
      <c r="M31" s="15"/>
      <c r="N31" s="408" t="s">
        <v>7054</v>
      </c>
      <c r="O31" s="49">
        <f>IFERROR(VLOOKUP(Tabla57[[#This Row],[Cod trabalhador]],Tabla15[],4,FALSE),"")</f>
        <v>16</v>
      </c>
      <c r="P31" s="373">
        <f>IFERROR(VLOOKUP(Tabla57[[#This Row],[Cod trabalhador]],'TotalHorasAjustadas (2)'!D:L,8,FALSE),"")</f>
        <v>162</v>
      </c>
      <c r="Q31" s="202">
        <v>162</v>
      </c>
      <c r="R31" s="98" t="s">
        <v>7532</v>
      </c>
      <c r="S31" s="49"/>
      <c r="T31" s="15"/>
      <c r="U31" s="25"/>
      <c r="V31" s="49"/>
      <c r="W31" s="27"/>
      <c r="X31" s="28"/>
      <c r="Y31" s="26"/>
      <c r="Z31" s="15"/>
      <c r="AA31" s="54" t="str">
        <f>IFERROR(VLOOKUP(Tabla57[[#This Row],[Cod trabalhador]],Alojamentos!B:P,11,FALSE),"")</f>
        <v/>
      </c>
      <c r="AB31" s="55"/>
      <c r="AC31" s="15"/>
      <c r="AD31" s="343">
        <f>Tabla57[[#This Row],[Dias de alta]]*7.058</f>
        <v>218.798</v>
      </c>
      <c r="AE31" s="344" t="str">
        <f>IFERROR(VLOOKUP(Tabla57[[#This Row],[Cod trabalhador]],Adiantamentos!B:S,7,FALSE),"")</f>
        <v/>
      </c>
      <c r="AF31" s="374" t="str">
        <f>IFERROR(VLOOKUP(Tabla57[[#This Row],[Cod trabalhador]],Carro!B:D,3,FALSE),"")</f>
        <v/>
      </c>
      <c r="AG31" s="180" t="str">
        <f>IFERROR(VLOOKUP(Tabla57[[#This Row],[Cod trabalhador]],'Outros descontos'!B:M,7,FALSE),"")</f>
        <v/>
      </c>
      <c r="AH31" s="180" t="str">
        <f>IFERROR(VLOOKUP(Tabla57[[#This Row],[Cod trabalhador]],'Outros descontos'!B:M,8,FALSE),"")</f>
        <v/>
      </c>
      <c r="AI31" s="180" t="str">
        <f>IFERROR(VLOOKUP(Tabla57[[#This Row],[Cod trabalhador]],'Outros descontos'!B:M,9,FALSE),"")</f>
        <v/>
      </c>
      <c r="AJ31" s="180" t="str">
        <f>IFERROR(VLOOKUP(Tabla57[[#This Row],[Cod trabalhador]],'Outros descontos'!B:M,10,FALSE),"")</f>
        <v/>
      </c>
      <c r="AK31" s="180" t="str">
        <f>IFERROR(VLOOKUP(Tabla57[[#This Row],[Cod trabalhador]],'Outros descontos'!B:M,11,FALSE),"")</f>
        <v/>
      </c>
      <c r="AL31" s="180" t="str">
        <f>IFERROR(VLOOKUP(Tabla57[[#This Row],[Cod trabalhador]],'Outros descontos'!B:M,12,FALSE),"")</f>
        <v/>
      </c>
      <c r="AM31" s="295" t="str">
        <f>IFERROR(VLOOKUP(Tabla57[[#This Row],[Cod trabalhador]],'Outros descontos'!B:M,13,FALSE),"")</f>
        <v/>
      </c>
      <c r="AN31" s="180"/>
      <c r="AO31" s="37">
        <v>4.08</v>
      </c>
      <c r="AP31" s="15"/>
      <c r="AQ31"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2369.1220000000003</v>
      </c>
      <c r="AR31"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2369.1220000000003</v>
      </c>
      <c r="AS31" s="15"/>
      <c r="AT31" s="27" t="str">
        <f>IF(Tabla57[[#This Row],[Cod trabalhador]]="", "", INDEX(Iban!C:C, MATCH(Tabla57[[#This Row],[Cod trabalhador]],Iban!A:A, 0)))</f>
        <v>ES19 2100 0109 0302 0069 0257</v>
      </c>
      <c r="AU31" s="27"/>
      <c r="AV31" s="311"/>
      <c r="AW31" s="66" t="s">
        <v>7533</v>
      </c>
      <c r="AX31" s="296" t="s">
        <v>7472</v>
      </c>
    </row>
    <row r="32" spans="1:50" ht="18.75" customHeight="1" x14ac:dyDescent="0.3">
      <c r="A32" s="125"/>
      <c r="B32" s="39" t="s">
        <v>4178</v>
      </c>
      <c r="C32" s="45" t="str">
        <f>IF(ISNUMBER(MATCH(Tabla57[[#This Row],[Cod trabalhador]],'Altas Industrial'!B:B, 0)), "Ativo", "Não ativo")</f>
        <v>Não ativo</v>
      </c>
      <c r="D32" s="101" t="str">
        <f>IFERROR(IF(VLOOKUP(Tabla57[[#This Row],[Cod trabalhador]],'Altas Industrial'!B:E,1,0)&lt;&gt;"","KI",""),"")</f>
        <v/>
      </c>
      <c r="E32" s="101" t="str">
        <f>IFERROR(IF(VLOOKUP(Tabla57[[#This Row],[Cod trabalhador]],'Altas Rosas'!B:F,1,0)&lt;&gt;"","KR",""),"")</f>
        <v/>
      </c>
      <c r="F32" s="101" t="str">
        <f>IFERROR(IF(VLOOKUP(Tabla57[[#This Row],[Cod trabalhador]],'Altas Wiseowe'!B:E,1,0)&lt;&gt;"","WS",""),"")</f>
        <v/>
      </c>
      <c r="G32" s="101" t="str">
        <f>IFERROR(IF(VLOOKUP(Tabla57[[#This Row],[Cod trabalhador]],'Altas Luminous'!B:E,1,0)&lt;&gt;"","LM",""),"")</f>
        <v/>
      </c>
      <c r="H32" s="51" t="str">
        <f>IFERROR(VLOOKUP(Tabla57[[#This Row],[Cod trabalhador]],'Altas Industrial'!B:E,3,FALSE),"")</f>
        <v/>
      </c>
      <c r="I32" s="61" t="str">
        <f>IF(OR(Tabla57[[#This Row],[Cod trabalhador]]="",ISBLANK(Tabla57[[#This Row],[Cod trabalhador]])),"",IFERROR(IF(VLOOKUP(Tabla57[[#This Row],[Cod trabalhador]],'Altas Industrial'!B:E,4,FALSE)=0,"",VLOOKUP(Tabla57[[#This Row],[Cod trabalhador]],'Altas Industrial'!B:E,4,FALSE)),""))</f>
        <v/>
      </c>
      <c r="J32" s="44">
        <f t="shared" si="0"/>
        <v>0</v>
      </c>
      <c r="K32" s="376" t="s">
        <v>7040</v>
      </c>
      <c r="L32" s="24" t="str">
        <f>IFERROR(IF(Tabla57[[#This Row],[Cod trabalhador]]="",Tabla57[[#This Row],[Cod trabalhador]], INDEX(Colaborador_ID[Nombre], MATCH(Tabla57[[#This Row],[Cod trabalhador]],Colaborador_ID[Cod_colab], 0))), "")</f>
        <v>JOSUE ENRIQUE ZEVALLOS BENITES</v>
      </c>
      <c r="M32" s="15"/>
      <c r="N32" s="408" t="s">
        <v>7037</v>
      </c>
      <c r="O32" s="49">
        <f>IFERROR(VLOOKUP(Tabla57[[#This Row],[Cod trabalhador]],Tabla15[],4,FALSE),"")</f>
        <v>15</v>
      </c>
      <c r="P32" s="373">
        <f>IFERROR(VLOOKUP(Tabla57[[#This Row],[Cod trabalhador]],'TotalHorasAjustadas (2)'!D:L,8,FALSE),"")</f>
        <v>173</v>
      </c>
      <c r="Q32" s="202">
        <v>173</v>
      </c>
      <c r="R32" s="98" t="s">
        <v>7471</v>
      </c>
      <c r="S32" s="49"/>
      <c r="T32" s="15"/>
      <c r="U32" s="25"/>
      <c r="V32" s="49"/>
      <c r="W32" s="27"/>
      <c r="X32" s="28"/>
      <c r="Y32" s="26"/>
      <c r="Z32" s="15"/>
      <c r="AA32" s="54" t="str">
        <f>IFERROR(VLOOKUP(Tabla57[[#This Row],[Cod trabalhador]],Alojamentos!B:P,11,FALSE),"")</f>
        <v/>
      </c>
      <c r="AB32" s="55"/>
      <c r="AC32" s="15"/>
      <c r="AD32" s="343">
        <f>Tabla57[[#This Row],[Dias de alta]]*7.058</f>
        <v>0</v>
      </c>
      <c r="AE32" s="344" t="str">
        <f>IFERROR(VLOOKUP(Tabla57[[#This Row],[Cod trabalhador]],Adiantamentos!B:S,7,FALSE),"")</f>
        <v/>
      </c>
      <c r="AF32" s="374" t="str">
        <f>IFERROR(VLOOKUP(Tabla57[[#This Row],[Cod trabalhador]],Carro!B:D,3,FALSE),"")</f>
        <v/>
      </c>
      <c r="AG32" s="180">
        <f>IFERROR(VLOOKUP(Tabla57[[#This Row],[Cod trabalhador]],'Outros descontos'!B:M,7,FALSE),"")</f>
        <v>0</v>
      </c>
      <c r="AH32" s="180">
        <f>IFERROR(VLOOKUP(Tabla57[[#This Row],[Cod trabalhador]],'Outros descontos'!B:M,8,FALSE),"")</f>
        <v>0</v>
      </c>
      <c r="AI32" s="180">
        <f>IFERROR(VLOOKUP(Tabla57[[#This Row],[Cod trabalhador]],'Outros descontos'!B:M,9,FALSE),"")</f>
        <v>0</v>
      </c>
      <c r="AJ32" s="180">
        <f>IFERROR(VLOOKUP(Tabla57[[#This Row],[Cod trabalhador]],'Outros descontos'!B:M,10,FALSE),"")</f>
        <v>197.2</v>
      </c>
      <c r="AK32" s="180">
        <f>IFERROR(VLOOKUP(Tabla57[[#This Row],[Cod trabalhador]],'Outros descontos'!B:M,11,FALSE),"")</f>
        <v>0</v>
      </c>
      <c r="AL32" s="180">
        <f>IFERROR(VLOOKUP(Tabla57[[#This Row],[Cod trabalhador]],'Outros descontos'!B:M,12,FALSE),"")</f>
        <v>0</v>
      </c>
      <c r="AM32" s="295" t="str">
        <f>IFERROR(VLOOKUP(Tabla57[[#This Row],[Cod trabalhador]],'Outros descontos'!B:M,13,FALSE),"")</f>
        <v/>
      </c>
      <c r="AN32" s="180"/>
      <c r="AO32" s="37">
        <v>4.08</v>
      </c>
      <c r="AP32" s="15"/>
      <c r="AQ32"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2393.7200000000003</v>
      </c>
      <c r="AR32"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2393.7200000000003</v>
      </c>
      <c r="AS32" s="15"/>
      <c r="AT32" s="27" t="str">
        <f>IF(Tabla57[[#This Row],[Cod trabalhador]]="", "", INDEX(Iban!C:C, MATCH(Tabla57[[#This Row],[Cod trabalhador]],Iban!A:A, 0)))</f>
        <v>ES07 2100 2814 4607 0100 9678</v>
      </c>
      <c r="AU32" s="27"/>
      <c r="AV32" s="311"/>
      <c r="AW32" s="66" t="s">
        <v>7533</v>
      </c>
      <c r="AX32" s="296" t="s">
        <v>7472</v>
      </c>
    </row>
    <row r="33" spans="1:50" ht="18.75" customHeight="1" x14ac:dyDescent="0.3">
      <c r="A33" s="125"/>
      <c r="B33" s="39" t="s">
        <v>4972</v>
      </c>
      <c r="C33" s="45" t="str">
        <f>IF(ISNUMBER(MATCH(Tabla57[[#This Row],[Cod trabalhador]],'Altas Industrial'!B:B, 0)), "Ativo", "Não ativo")</f>
        <v>Ativo</v>
      </c>
      <c r="D33" s="101" t="str">
        <f>IFERROR(IF(VLOOKUP(Tabla57[[#This Row],[Cod trabalhador]],'Altas Industrial'!B:E,1,0)&lt;&gt;"","KI",""),"")</f>
        <v>KI</v>
      </c>
      <c r="E33" s="101" t="str">
        <f>IFERROR(IF(VLOOKUP(Tabla57[[#This Row],[Cod trabalhador]],'Altas Rosas'!B:F,1,0)&lt;&gt;"","KR",""),"")</f>
        <v/>
      </c>
      <c r="F33" s="101" t="str">
        <f>IFERROR(IF(VLOOKUP(Tabla57[[#This Row],[Cod trabalhador]],'Altas Wiseowe'!B:E,1,0)&lt;&gt;"","WS",""),"")</f>
        <v/>
      </c>
      <c r="G33" s="101" t="str">
        <f>IFERROR(IF(VLOOKUP(Tabla57[[#This Row],[Cod trabalhador]],'Altas Luminous'!B:E,1,0)&lt;&gt;"","LM",""),"")</f>
        <v/>
      </c>
      <c r="H33" s="51">
        <f>IFERROR(VLOOKUP(Tabla57[[#This Row],[Cod trabalhador]],'Altas Industrial'!B:E,3,FALSE),"")</f>
        <v>45897</v>
      </c>
      <c r="I33" s="61">
        <f>IF(OR(Tabla57[[#This Row],[Cod trabalhador]]="",ISBLANK(Tabla57[[#This Row],[Cod trabalhador]])),"",IFERROR(IF(VLOOKUP(Tabla57[[#This Row],[Cod trabalhador]],'Altas Industrial'!B:E,4,FALSE)=0,"",VLOOKUP(Tabla57[[#This Row],[Cod trabalhador]],'Altas Industrial'!B:E,4,FALSE)),""))</f>
        <v>46035</v>
      </c>
      <c r="J33" s="44">
        <f t="shared" si="0"/>
        <v>13</v>
      </c>
      <c r="K33" s="376" t="s">
        <v>4973</v>
      </c>
      <c r="L33" s="24" t="str">
        <f>IFERROR(IF(Tabla57[[#This Row],[Cod trabalhador]]="",Tabla57[[#This Row],[Cod trabalhador]], INDEX(Colaborador_ID[Nombre], MATCH(Tabla57[[#This Row],[Cod trabalhador]],Colaborador_ID[Cod_colab], 0))), "")</f>
        <v>LUIZ GUILHERME AMARAL ALVES</v>
      </c>
      <c r="M33" s="15"/>
      <c r="N33" s="408" t="s">
        <v>7041</v>
      </c>
      <c r="O33" s="49">
        <f>IFERROR(VLOOKUP(Tabla57[[#This Row],[Cod trabalhador]],Tabla15[],4,FALSE),"")</f>
        <v>15</v>
      </c>
      <c r="P33" s="373">
        <f>IFERROR(VLOOKUP(Tabla57[[#This Row],[Cod trabalhador]],'TotalHorasAjustadas (2)'!D:L,8,FALSE),"")</f>
        <v>42</v>
      </c>
      <c r="Q33" s="202">
        <v>42</v>
      </c>
      <c r="R33" s="98" t="s">
        <v>7532</v>
      </c>
      <c r="S33" s="49"/>
      <c r="T33" s="15"/>
      <c r="U33" s="25"/>
      <c r="V33" s="49"/>
      <c r="W33" s="27"/>
      <c r="X33" s="28"/>
      <c r="Y33" s="26"/>
      <c r="Z33" s="15"/>
      <c r="AA33" s="54">
        <f>IFERROR(VLOOKUP(Tabla57[[#This Row],[Cod trabalhador]],Alojamentos!B:P,11,FALSE),"")</f>
        <v>130</v>
      </c>
      <c r="AB33" s="55"/>
      <c r="AC33" s="15"/>
      <c r="AD33" s="343">
        <f>Tabla57[[#This Row],[Dias de alta]]*7.058</f>
        <v>91.753999999999991</v>
      </c>
      <c r="AE33" s="344" t="str">
        <f>IFERROR(VLOOKUP(Tabla57[[#This Row],[Cod trabalhador]],Adiantamentos!B:S,7,FALSE),"")</f>
        <v/>
      </c>
      <c r="AF33" s="374" t="str">
        <f>IFERROR(VLOOKUP(Tabla57[[#This Row],[Cod trabalhador]],Carro!B:D,3,FALSE),"")</f>
        <v/>
      </c>
      <c r="AG33" s="180" t="str">
        <f>IFERROR(VLOOKUP(Tabla57[[#This Row],[Cod trabalhador]],'Outros descontos'!B:M,7,FALSE),"")</f>
        <v/>
      </c>
      <c r="AH33" s="180" t="str">
        <f>IFERROR(VLOOKUP(Tabla57[[#This Row],[Cod trabalhador]],'Outros descontos'!B:M,8,FALSE),"")</f>
        <v/>
      </c>
      <c r="AI33" s="180" t="str">
        <f>IFERROR(VLOOKUP(Tabla57[[#This Row],[Cod trabalhador]],'Outros descontos'!B:M,9,FALSE),"")</f>
        <v/>
      </c>
      <c r="AJ33" s="180" t="str">
        <f>IFERROR(VLOOKUP(Tabla57[[#This Row],[Cod trabalhador]],'Outros descontos'!B:M,10,FALSE),"")</f>
        <v/>
      </c>
      <c r="AK33" s="180" t="str">
        <f>IFERROR(VLOOKUP(Tabla57[[#This Row],[Cod trabalhador]],'Outros descontos'!B:M,11,FALSE),"")</f>
        <v/>
      </c>
      <c r="AL33" s="180" t="str">
        <f>IFERROR(VLOOKUP(Tabla57[[#This Row],[Cod trabalhador]],'Outros descontos'!B:M,12,FALSE),"")</f>
        <v/>
      </c>
      <c r="AM33" s="295" t="str">
        <f>IFERROR(VLOOKUP(Tabla57[[#This Row],[Cod trabalhador]],'Outros descontos'!B:M,13,FALSE),"")</f>
        <v/>
      </c>
      <c r="AN33" s="180"/>
      <c r="AO33" s="37">
        <v>4.08</v>
      </c>
      <c r="AP33" s="15"/>
      <c r="AQ33"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664.16599999999994</v>
      </c>
      <c r="AR33"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664.16599999999994</v>
      </c>
      <c r="AS33" s="15"/>
      <c r="AT33" s="27" t="str">
        <f>IF(Tabla57[[#This Row],[Cod trabalhador]]="", "", INDEX(Iban!C:C, MATCH(Tabla57[[#This Row],[Cod trabalhador]],Iban!A:A, 0)))</f>
        <v>ES36 0049 5432 5026 1759 9413</v>
      </c>
      <c r="AU33" s="27"/>
      <c r="AV33" s="311"/>
      <c r="AW33" s="66" t="s">
        <v>7533</v>
      </c>
      <c r="AX33" s="296" t="s">
        <v>7472</v>
      </c>
    </row>
    <row r="34" spans="1:50" ht="18.75" customHeight="1" x14ac:dyDescent="0.3">
      <c r="A34" s="125"/>
      <c r="B34" s="39" t="s">
        <v>5434</v>
      </c>
      <c r="C34" s="45" t="str">
        <f>IF(ISNUMBER(MATCH(Tabla57[[#This Row],[Cod trabalhador]],'Altas Industrial'!B:B, 0)), "Ativo", "Não ativo")</f>
        <v>Não ativo</v>
      </c>
      <c r="D34" s="101" t="str">
        <f>IFERROR(IF(VLOOKUP(Tabla57[[#This Row],[Cod trabalhador]],'Altas Industrial'!B:E,1,0)&lt;&gt;"","KI",""),"")</f>
        <v/>
      </c>
      <c r="E34" s="101" t="str">
        <f>IFERROR(IF(VLOOKUP(Tabla57[[#This Row],[Cod trabalhador]],'Altas Rosas'!B:F,1,0)&lt;&gt;"","KR",""),"")</f>
        <v/>
      </c>
      <c r="F34" s="101" t="str">
        <f>IFERROR(IF(VLOOKUP(Tabla57[[#This Row],[Cod trabalhador]],'Altas Wiseowe'!B:E,1,0)&lt;&gt;"","WS",""),"")</f>
        <v/>
      </c>
      <c r="G34" s="101" t="str">
        <f>IFERROR(IF(VLOOKUP(Tabla57[[#This Row],[Cod trabalhador]],'Altas Luminous'!B:E,1,0)&lt;&gt;"","LM",""),"")</f>
        <v/>
      </c>
      <c r="H34" s="51" t="str">
        <f>IFERROR(VLOOKUP(Tabla57[[#This Row],[Cod trabalhador]],'Altas Industrial'!B:E,3,FALSE),"")</f>
        <v/>
      </c>
      <c r="I34" s="61" t="str">
        <f>IF(OR(Tabla57[[#This Row],[Cod trabalhador]]="",ISBLANK(Tabla57[[#This Row],[Cod trabalhador]])),"",IFERROR(IF(VLOOKUP(Tabla57[[#This Row],[Cod trabalhador]],'Altas Industrial'!B:E,4,FALSE)=0,"",VLOOKUP(Tabla57[[#This Row],[Cod trabalhador]],'Altas Industrial'!B:E,4,FALSE)),""))</f>
        <v/>
      </c>
      <c r="J34" s="44">
        <f t="shared" si="0"/>
        <v>0</v>
      </c>
      <c r="K34" s="376" t="s">
        <v>5435</v>
      </c>
      <c r="L34" s="24" t="str">
        <f>IFERROR(IF(Tabla57[[#This Row],[Cod trabalhador]]="",Tabla57[[#This Row],[Cod trabalhador]], INDEX(Colaborador_ID[Nombre], MATCH(Tabla57[[#This Row],[Cod trabalhador]],Colaborador_ID[Cod_colab], 0))), "")</f>
        <v>NELSON JAIME PITRE CASTILLA</v>
      </c>
      <c r="M34" s="15"/>
      <c r="N34" s="408" t="s">
        <v>7054</v>
      </c>
      <c r="O34" s="49">
        <f>IFERROR(VLOOKUP(Tabla57[[#This Row],[Cod trabalhador]],Tabla15[],4,FALSE),"")</f>
        <v>13</v>
      </c>
      <c r="P34" s="373">
        <f>IFERROR(VLOOKUP(Tabla57[[#This Row],[Cod trabalhador]],'TotalHorasAjustadas (2)'!D:L,8,FALSE),"")</f>
        <v>147</v>
      </c>
      <c r="Q34" s="202">
        <f>16+131</f>
        <v>147</v>
      </c>
      <c r="R34" s="98" t="s">
        <v>7532</v>
      </c>
      <c r="S34" s="49"/>
      <c r="T34" s="15"/>
      <c r="U34" s="25"/>
      <c r="V34" s="49"/>
      <c r="W34" s="27"/>
      <c r="X34" s="28"/>
      <c r="Y34" s="26"/>
      <c r="Z34" s="15"/>
      <c r="AA34" s="54" t="str">
        <f>IFERROR(VLOOKUP(Tabla57[[#This Row],[Cod trabalhador]],Alojamentos!B:P,11,FALSE),"")</f>
        <v/>
      </c>
      <c r="AB34" s="55"/>
      <c r="AC34" s="15"/>
      <c r="AD34" s="343">
        <f>Tabla57[[#This Row],[Dias de alta]]*7.058</f>
        <v>0</v>
      </c>
      <c r="AE34" s="344" t="str">
        <f>IFERROR(VLOOKUP(Tabla57[[#This Row],[Cod trabalhador]],Adiantamentos!B:S,7,FALSE),"")</f>
        <v/>
      </c>
      <c r="AF34" s="374" t="str">
        <f>IFERROR(VLOOKUP(Tabla57[[#This Row],[Cod trabalhador]],Carro!B:D,3,FALSE),"")</f>
        <v/>
      </c>
      <c r="AG34" s="180" t="str">
        <f>IFERROR(VLOOKUP(Tabla57[[#This Row],[Cod trabalhador]],'Outros descontos'!B:M,7,FALSE),"")</f>
        <v/>
      </c>
      <c r="AH34" s="180" t="str">
        <f>IFERROR(VLOOKUP(Tabla57[[#This Row],[Cod trabalhador]],'Outros descontos'!B:M,8,FALSE),"")</f>
        <v/>
      </c>
      <c r="AI34" s="180" t="str">
        <f>IFERROR(VLOOKUP(Tabla57[[#This Row],[Cod trabalhador]],'Outros descontos'!B:M,9,FALSE),"")</f>
        <v/>
      </c>
      <c r="AJ34" s="180" t="str">
        <f>IFERROR(VLOOKUP(Tabla57[[#This Row],[Cod trabalhador]],'Outros descontos'!B:M,10,FALSE),"")</f>
        <v/>
      </c>
      <c r="AK34" s="180" t="str">
        <f>IFERROR(VLOOKUP(Tabla57[[#This Row],[Cod trabalhador]],'Outros descontos'!B:M,11,FALSE),"")</f>
        <v/>
      </c>
      <c r="AL34" s="180" t="str">
        <f>IFERROR(VLOOKUP(Tabla57[[#This Row],[Cod trabalhador]],'Outros descontos'!B:M,12,FALSE),"")</f>
        <v/>
      </c>
      <c r="AM34" s="295" t="str">
        <f>IFERROR(VLOOKUP(Tabla57[[#This Row],[Cod trabalhador]],'Outros descontos'!B:M,13,FALSE),"")</f>
        <v/>
      </c>
      <c r="AN34" s="180"/>
      <c r="AO34" s="37">
        <v>4.08</v>
      </c>
      <c r="AP34" s="15"/>
      <c r="AQ34"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1906.92</v>
      </c>
      <c r="AR34"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1906.92</v>
      </c>
      <c r="AS34" s="15"/>
      <c r="AT34" s="27" t="str">
        <f>IF(Tabla57[[#This Row],[Cod trabalhador]]="", "", INDEX(Iban!C:C, MATCH(Tabla57[[#This Row],[Cod trabalhador]],Iban!A:A, 0)))</f>
        <v>ES68 6893 0001 7800 0031 8242</v>
      </c>
      <c r="AU34" s="27"/>
      <c r="AV34" s="311"/>
      <c r="AW34" s="66" t="s">
        <v>7533</v>
      </c>
      <c r="AX34" s="296" t="s">
        <v>7472</v>
      </c>
    </row>
    <row r="35" spans="1:50" ht="18.75" customHeight="1" x14ac:dyDescent="0.3">
      <c r="A35" s="125"/>
      <c r="B35" s="39" t="s">
        <v>5692</v>
      </c>
      <c r="C35" s="45" t="str">
        <f>IF(ISNUMBER(MATCH(Tabla57[[#This Row],[Cod trabalhador]],'Altas Industrial'!B:B, 0)), "Ativo", "Não ativo")</f>
        <v>Não ativo</v>
      </c>
      <c r="D35" s="101" t="str">
        <f>IFERROR(IF(VLOOKUP(Tabla57[[#This Row],[Cod trabalhador]],'Altas Industrial'!B:E,1,0)&lt;&gt;"","KI",""),"")</f>
        <v/>
      </c>
      <c r="E35" s="101" t="str">
        <f>IFERROR(IF(VLOOKUP(Tabla57[[#This Row],[Cod trabalhador]],'Altas Rosas'!B:F,1,0)&lt;&gt;"","KR",""),"")</f>
        <v/>
      </c>
      <c r="F35" s="101" t="str">
        <f>IFERROR(IF(VLOOKUP(Tabla57[[#This Row],[Cod trabalhador]],'Altas Wiseowe'!B:E,1,0)&lt;&gt;"","WS",""),"")</f>
        <v/>
      </c>
      <c r="G35" s="101" t="str">
        <f>IFERROR(IF(VLOOKUP(Tabla57[[#This Row],[Cod trabalhador]],'Altas Luminous'!B:E,1,0)&lt;&gt;"","LM",""),"")</f>
        <v/>
      </c>
      <c r="H35" s="51" t="str">
        <f>IFERROR(VLOOKUP(Tabla57[[#This Row],[Cod trabalhador]],'Altas Industrial'!B:E,3,FALSE),"")</f>
        <v/>
      </c>
      <c r="I35" s="61" t="str">
        <f>IF(OR(Tabla57[[#This Row],[Cod trabalhador]]="",ISBLANK(Tabla57[[#This Row],[Cod trabalhador]])),"",IFERROR(IF(VLOOKUP(Tabla57[[#This Row],[Cod trabalhador]],'Altas Industrial'!B:E,4,FALSE)=0,"",VLOOKUP(Tabla57[[#This Row],[Cod trabalhador]],'Altas Industrial'!B:E,4,FALSE)),""))</f>
        <v/>
      </c>
      <c r="J35" s="44">
        <f t="shared" si="0"/>
        <v>0</v>
      </c>
      <c r="K35" s="376" t="s">
        <v>5693</v>
      </c>
      <c r="L35" s="24" t="str">
        <f>IFERROR(IF(Tabla57[[#This Row],[Cod trabalhador]]="",Tabla57[[#This Row],[Cod trabalhador]], INDEX(Colaborador_ID[Nombre], MATCH(Tabla57[[#This Row],[Cod trabalhador]],Colaborador_ID[Cod_colab], 0))), "")</f>
        <v>PABLO MANOLO ROMERO HUERTAS</v>
      </c>
      <c r="M35" s="15"/>
      <c r="N35" s="408" t="s">
        <v>7037</v>
      </c>
      <c r="O35" s="49">
        <f>IFERROR(VLOOKUP(Tabla57[[#This Row],[Cod trabalhador]],Tabla15[],4,FALSE),"")</f>
        <v>15</v>
      </c>
      <c r="P35" s="373">
        <f>IFERROR(VLOOKUP(Tabla57[[#This Row],[Cod trabalhador]],'TotalHorasAjustadas (2)'!D:L,8,FALSE),"")</f>
        <v>208</v>
      </c>
      <c r="Q35" s="202">
        <v>208</v>
      </c>
      <c r="R35" s="98" t="s">
        <v>7471</v>
      </c>
      <c r="S35" s="49"/>
      <c r="T35" s="15"/>
      <c r="U35" s="25"/>
      <c r="V35" s="49"/>
      <c r="W35" s="27"/>
      <c r="X35" s="28"/>
      <c r="Y35" s="26"/>
      <c r="Z35" s="15"/>
      <c r="AA35" s="54">
        <f>IFERROR(VLOOKUP(Tabla57[[#This Row],[Cod trabalhador]],Alojamentos!B:P,11,FALSE),"")</f>
        <v>180</v>
      </c>
      <c r="AB35" s="55"/>
      <c r="AC35" s="15"/>
      <c r="AD35" s="343">
        <f>Tabla57[[#This Row],[Dias de alta]]*7.058</f>
        <v>0</v>
      </c>
      <c r="AE35" s="344" t="str">
        <f>IFERROR(VLOOKUP(Tabla57[[#This Row],[Cod trabalhador]],Adiantamentos!B:S,7,FALSE),"")</f>
        <v/>
      </c>
      <c r="AF35" s="374" t="str">
        <f>IFERROR(VLOOKUP(Tabla57[[#This Row],[Cod trabalhador]],Carro!B:D,3,FALSE),"")</f>
        <v/>
      </c>
      <c r="AG35" s="180" t="str">
        <f>IFERROR(VLOOKUP(Tabla57[[#This Row],[Cod trabalhador]],'Outros descontos'!B:M,7,FALSE),"")</f>
        <v/>
      </c>
      <c r="AH35" s="180" t="str">
        <f>IFERROR(VLOOKUP(Tabla57[[#This Row],[Cod trabalhador]],'Outros descontos'!B:M,8,FALSE),"")</f>
        <v/>
      </c>
      <c r="AI35" s="180" t="str">
        <f>IFERROR(VLOOKUP(Tabla57[[#This Row],[Cod trabalhador]],'Outros descontos'!B:M,9,FALSE),"")</f>
        <v/>
      </c>
      <c r="AJ35" s="180" t="str">
        <f>IFERROR(VLOOKUP(Tabla57[[#This Row],[Cod trabalhador]],'Outros descontos'!B:M,10,FALSE),"")</f>
        <v/>
      </c>
      <c r="AK35" s="180" t="str">
        <f>IFERROR(VLOOKUP(Tabla57[[#This Row],[Cod trabalhador]],'Outros descontos'!B:M,11,FALSE),"")</f>
        <v/>
      </c>
      <c r="AL35" s="180" t="str">
        <f>IFERROR(VLOOKUP(Tabla57[[#This Row],[Cod trabalhador]],'Outros descontos'!B:M,12,FALSE),"")</f>
        <v/>
      </c>
      <c r="AM35" s="295" t="str">
        <f>IFERROR(VLOOKUP(Tabla57[[#This Row],[Cod trabalhador]],'Outros descontos'!B:M,13,FALSE),"")</f>
        <v/>
      </c>
      <c r="AN35" s="180"/>
      <c r="AO35" s="37">
        <v>4.08</v>
      </c>
      <c r="AP35" s="15"/>
      <c r="AQ35"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3295.92</v>
      </c>
      <c r="AR35"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3295.92</v>
      </c>
      <c r="AS35" s="15"/>
      <c r="AT35" s="27" t="str">
        <f>IF(Tabla57[[#This Row],[Cod trabalhador]]="", "", INDEX(Iban!C:C, MATCH(Tabla57[[#This Row],[Cod trabalhador]],Iban!A:A, 0)))</f>
        <v>ES80 0182 1275 1202 0217 4070</v>
      </c>
      <c r="AU35" s="27"/>
      <c r="AV35" s="311"/>
      <c r="AW35" s="66" t="s">
        <v>7533</v>
      </c>
      <c r="AX35" s="296" t="s">
        <v>7472</v>
      </c>
    </row>
    <row r="36" spans="1:50" ht="18.75" customHeight="1" x14ac:dyDescent="0.3">
      <c r="A36" s="125"/>
      <c r="B36" s="39" t="str">
        <f>IFERROR(IF(Tabla57[[#This Row],[Colaborador]]="",Tabla57[[#This Row],[Colaborador]], INDEX(Colaboradores!A:A, MATCH(Tabla57[[#This Row],[Colaborador]], Colaboradores!C:C, 0))), "")</f>
        <v>E0074</v>
      </c>
      <c r="C36" s="45" t="str">
        <f>IF(ISNUMBER(MATCH(Tabla57[[#This Row],[Cod trabalhador]],'Altas Industrial'!B:B, 0)), "Ativo", "Não ativo")</f>
        <v>Ativo</v>
      </c>
      <c r="D36" s="101" t="str">
        <f>IFERROR(IF(VLOOKUP(Tabla57[[#This Row],[Cod trabalhador]],'Altas Industrial'!B:E,1,0)&lt;&gt;"","KI",""),"")</f>
        <v>KI</v>
      </c>
      <c r="E36" s="101" t="str">
        <f>IFERROR(IF(VLOOKUP(Tabla57[[#This Row],[Cod trabalhador]],'Altas Rosas'!B:F,1,0)&lt;&gt;"","KR",""),"")</f>
        <v/>
      </c>
      <c r="F36" s="101" t="str">
        <f>IFERROR(IF(VLOOKUP(Tabla57[[#This Row],[Cod trabalhador]],'Altas Wiseowe'!B:E,1,0)&lt;&gt;"","WS",""),"")</f>
        <v/>
      </c>
      <c r="G36" s="101" t="str">
        <f>IFERROR(IF(VLOOKUP(Tabla57[[#This Row],[Cod trabalhador]],'Altas Luminous'!B:E,1,0)&lt;&gt;"","LM",""),"")</f>
        <v>LM</v>
      </c>
      <c r="H36" s="51">
        <f>IFERROR(VLOOKUP(Tabla57[[#This Row],[Cod trabalhador]],'Altas Industrial'!B:E,3,FALSE),"")</f>
        <v>45870</v>
      </c>
      <c r="I36" s="61">
        <f>IF(OR(Tabla57[[#This Row],[Cod trabalhador]]="",ISBLANK(Tabla57[[#This Row],[Cod trabalhador]])),"",IFERROR(IF(VLOOKUP(Tabla57[[#This Row],[Cod trabalhador]],'Altas Industrial'!B:E,4,FALSE)=0,"",VLOOKUP(Tabla57[[#This Row],[Cod trabalhador]],'Altas Industrial'!B:E,4,FALSE)),""))</f>
        <v>46034</v>
      </c>
      <c r="J36" s="44">
        <f t="shared" si="0"/>
        <v>12</v>
      </c>
      <c r="K36" s="376"/>
      <c r="L36" s="24" t="s">
        <v>5745</v>
      </c>
      <c r="M36" s="15"/>
      <c r="N36" s="408" t="s">
        <v>7535</v>
      </c>
      <c r="O36" s="49">
        <v>15</v>
      </c>
      <c r="P36" s="373">
        <f>IFERROR(VLOOKUP(Tabla57[[#This Row],[Cod trabalhador]],'TotalHorasAjustadas (2)'!D:L,8,FALSE),"")</f>
        <v>130</v>
      </c>
      <c r="Q36" s="202">
        <v>74</v>
      </c>
      <c r="R36" s="98" t="s">
        <v>7532</v>
      </c>
      <c r="S36" s="49"/>
      <c r="T36" s="15"/>
      <c r="U36" s="25"/>
      <c r="V36" s="49"/>
      <c r="W36" s="27"/>
      <c r="X36" s="28"/>
      <c r="Y36" s="26"/>
      <c r="Z36" s="15"/>
      <c r="AA36" s="54" t="str">
        <f>IFERROR(VLOOKUP(Tabla57[[#This Row],[Cod trabalhador]],Alojamentos!B:P,11,FALSE),"")</f>
        <v/>
      </c>
      <c r="AB36" s="55"/>
      <c r="AC36" s="15"/>
      <c r="AD36" s="343">
        <f>Tabla57[[#This Row],[Dias de alta]]*7.058</f>
        <v>84.695999999999998</v>
      </c>
      <c r="AE36" s="344" t="str">
        <f>IFERROR(VLOOKUP(Tabla57[[#This Row],[Cod trabalhador]],Adiantamentos!B:S,7,FALSE),"")</f>
        <v/>
      </c>
      <c r="AF36" s="374" t="str">
        <f>IFERROR(VLOOKUP(Tabla57[[#This Row],[Cod trabalhador]],Carro!B:D,3,FALSE),"")</f>
        <v/>
      </c>
      <c r="AG36" s="180" t="str">
        <f>IFERROR(VLOOKUP(Tabla57[[#This Row],[Cod trabalhador]],'Outros descontos'!B:M,7,FALSE),"")</f>
        <v/>
      </c>
      <c r="AH36" s="180" t="str">
        <f>IFERROR(VLOOKUP(Tabla57[[#This Row],[Cod trabalhador]],'Outros descontos'!B:M,8,FALSE),"")</f>
        <v/>
      </c>
      <c r="AI36" s="180" t="str">
        <f>IFERROR(VLOOKUP(Tabla57[[#This Row],[Cod trabalhador]],'Outros descontos'!B:M,9,FALSE),"")</f>
        <v/>
      </c>
      <c r="AJ36" s="180" t="str">
        <f>IFERROR(VLOOKUP(Tabla57[[#This Row],[Cod trabalhador]],'Outros descontos'!B:M,10,FALSE),"")</f>
        <v/>
      </c>
      <c r="AK36" s="180" t="str">
        <f>IFERROR(VLOOKUP(Tabla57[[#This Row],[Cod trabalhador]],'Outros descontos'!B:M,11,FALSE),"")</f>
        <v/>
      </c>
      <c r="AL36" s="180" t="str">
        <f>IFERROR(VLOOKUP(Tabla57[[#This Row],[Cod trabalhador]],'Outros descontos'!B:M,12,FALSE),"")</f>
        <v/>
      </c>
      <c r="AM36" s="295" t="str">
        <f>IFERROR(VLOOKUP(Tabla57[[#This Row],[Cod trabalhador]],'Outros descontos'!B:M,13,FALSE),"")</f>
        <v/>
      </c>
      <c r="AN36" s="180"/>
      <c r="AO36" s="37">
        <v>4.08</v>
      </c>
      <c r="AP36" s="15"/>
      <c r="AQ36"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1861.2240000000002</v>
      </c>
      <c r="AR36"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1021.224</v>
      </c>
      <c r="AS36" s="15"/>
      <c r="AT36" s="27" t="str">
        <f>IF(Tabla57[[#This Row],[Cod trabalhador]]="", "", INDEX(Iban!C:C, MATCH(Tabla57[[#This Row],[Cod trabalhador]],Iban!A:A, 0)))</f>
        <v>ES55 6893 0001 7300 0027 4004</v>
      </c>
      <c r="AU36" s="27"/>
      <c r="AV36" s="311"/>
      <c r="AW36" s="66" t="s">
        <v>7533</v>
      </c>
      <c r="AX36" s="296" t="s">
        <v>7472</v>
      </c>
    </row>
    <row r="37" spans="1:50" ht="18.75" customHeight="1" x14ac:dyDescent="0.3">
      <c r="A37" s="125"/>
      <c r="B37" s="39" t="s">
        <v>5941</v>
      </c>
      <c r="C37" s="45" t="str">
        <f>IF(ISNUMBER(MATCH(Tabla57[[#This Row],[Cod trabalhador]],'Altas Industrial'!B:B, 0)), "Ativo", "Não ativo")</f>
        <v>Não ativo</v>
      </c>
      <c r="D37" s="101" t="str">
        <f>IFERROR(IF(VLOOKUP(Tabla57[[#This Row],[Cod trabalhador]],'Altas Industrial'!B:E,1,0)&lt;&gt;"","KI",""),"")</f>
        <v/>
      </c>
      <c r="E37" s="101" t="str">
        <f>IFERROR(IF(VLOOKUP(Tabla57[[#This Row],[Cod trabalhador]],'Altas Rosas'!B:F,1,0)&lt;&gt;"","KR",""),"")</f>
        <v/>
      </c>
      <c r="F37" s="101" t="str">
        <f>IFERROR(IF(VLOOKUP(Tabla57[[#This Row],[Cod trabalhador]],'Altas Wiseowe'!B:E,1,0)&lt;&gt;"","WS",""),"")</f>
        <v/>
      </c>
      <c r="G37" s="101" t="str">
        <f>IFERROR(IF(VLOOKUP(Tabla57[[#This Row],[Cod trabalhador]],'Altas Luminous'!B:E,1,0)&lt;&gt;"","LM",""),"")</f>
        <v/>
      </c>
      <c r="H37" s="51" t="str">
        <f>IFERROR(VLOOKUP(Tabla57[[#This Row],[Cod trabalhador]],'Altas Industrial'!B:E,3,FALSE),"")</f>
        <v/>
      </c>
      <c r="I37" s="61" t="str">
        <f>IF(OR(Tabla57[[#This Row],[Cod trabalhador]]="",ISBLANK(Tabla57[[#This Row],[Cod trabalhador]])),"",IFERROR(IF(VLOOKUP(Tabla57[[#This Row],[Cod trabalhador]],'Altas Industrial'!B:E,4,FALSE)=0,"",VLOOKUP(Tabla57[[#This Row],[Cod trabalhador]],'Altas Industrial'!B:E,4,FALSE)),""))</f>
        <v/>
      </c>
      <c r="J37" s="44">
        <f t="shared" si="0"/>
        <v>0</v>
      </c>
      <c r="K37" s="376" t="s">
        <v>7064</v>
      </c>
      <c r="L37" s="24" t="str">
        <f>IFERROR(IF(Tabla57[[#This Row],[Cod trabalhador]]="",Tabla57[[#This Row],[Cod trabalhador]], INDEX(Colaborador_ID[Nombre], MATCH(Tabla57[[#This Row],[Cod trabalhador]],Colaborador_ID[Cod_colab], 0))), "")</f>
        <v>RENZO JUNIOR CHUNGA LUJAN</v>
      </c>
      <c r="M37" s="15"/>
      <c r="N37" s="408" t="s">
        <v>7054</v>
      </c>
      <c r="O37" s="49">
        <f>IFERROR(VLOOKUP(Tabla57[[#This Row],[Cod trabalhador]],Tabla15[],4,FALSE),"")</f>
        <v>13</v>
      </c>
      <c r="P37" s="373">
        <f>IFERROR(VLOOKUP(Tabla57[[#This Row],[Cod trabalhador]],'TotalHorasAjustadas (2)'!D:L,8,FALSE),"")</f>
        <v>199</v>
      </c>
      <c r="Q37" s="202">
        <v>199</v>
      </c>
      <c r="R37" s="98" t="s">
        <v>7532</v>
      </c>
      <c r="S37" s="49"/>
      <c r="T37" s="15"/>
      <c r="U37" s="25"/>
      <c r="V37" s="49"/>
      <c r="W37" s="27"/>
      <c r="X37" s="28"/>
      <c r="Y37" s="26"/>
      <c r="Z37" s="15"/>
      <c r="AA37" s="54" t="str">
        <f>IFERROR(VLOOKUP(Tabla57[[#This Row],[Cod trabalhador]],Alojamentos!B:P,11,FALSE),"")</f>
        <v/>
      </c>
      <c r="AB37" s="55"/>
      <c r="AC37" s="15"/>
      <c r="AD37" s="343">
        <f>Tabla57[[#This Row],[Dias de alta]]*7.058</f>
        <v>0</v>
      </c>
      <c r="AE37" s="344" t="str">
        <f>IFERROR(VLOOKUP(Tabla57[[#This Row],[Cod trabalhador]],Adiantamentos!B:S,7,FALSE),"")</f>
        <v/>
      </c>
      <c r="AF37" s="374" t="str">
        <f>IFERROR(VLOOKUP(Tabla57[[#This Row],[Cod trabalhador]],Carro!B:D,3,FALSE),"")</f>
        <v/>
      </c>
      <c r="AG37" s="180" t="str">
        <f>IFERROR(VLOOKUP(Tabla57[[#This Row],[Cod trabalhador]],'Outros descontos'!B:M,7,FALSE),"")</f>
        <v/>
      </c>
      <c r="AH37" s="180" t="str">
        <f>IFERROR(VLOOKUP(Tabla57[[#This Row],[Cod trabalhador]],'Outros descontos'!B:M,8,FALSE),"")</f>
        <v/>
      </c>
      <c r="AI37" s="180" t="str">
        <f>IFERROR(VLOOKUP(Tabla57[[#This Row],[Cod trabalhador]],'Outros descontos'!B:M,9,FALSE),"")</f>
        <v/>
      </c>
      <c r="AJ37" s="180" t="str">
        <f>IFERROR(VLOOKUP(Tabla57[[#This Row],[Cod trabalhador]],'Outros descontos'!B:M,10,FALSE),"")</f>
        <v/>
      </c>
      <c r="AK37" s="180" t="str">
        <f>IFERROR(VLOOKUP(Tabla57[[#This Row],[Cod trabalhador]],'Outros descontos'!B:M,11,FALSE),"")</f>
        <v/>
      </c>
      <c r="AL37" s="180" t="str">
        <f>IFERROR(VLOOKUP(Tabla57[[#This Row],[Cod trabalhador]],'Outros descontos'!B:M,12,FALSE),"")</f>
        <v/>
      </c>
      <c r="AM37" s="295" t="str">
        <f>IFERROR(VLOOKUP(Tabla57[[#This Row],[Cod trabalhador]],'Outros descontos'!B:M,13,FALSE),"")</f>
        <v/>
      </c>
      <c r="AN37" s="180"/>
      <c r="AO37" s="37">
        <v>4.08</v>
      </c>
      <c r="AP37" s="15"/>
      <c r="AQ37"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2582.92</v>
      </c>
      <c r="AR37"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2582.92</v>
      </c>
      <c r="AS37" s="15"/>
      <c r="AT37" s="27" t="str">
        <f>IF(Tabla57[[#This Row],[Cod trabalhador]]="", "", INDEX(Iban!C:C, MATCH(Tabla57[[#This Row],[Cod trabalhador]],Iban!A:A, 0)))</f>
        <v>BE57 9054 7750 4735</v>
      </c>
      <c r="AU37" s="27"/>
      <c r="AV37" s="311"/>
      <c r="AW37" s="66" t="s">
        <v>7533</v>
      </c>
      <c r="AX37" s="296" t="s">
        <v>7472</v>
      </c>
    </row>
    <row r="38" spans="1:50" ht="18.75" customHeight="1" x14ac:dyDescent="0.3">
      <c r="A38" s="125"/>
      <c r="B38" s="39" t="s">
        <v>6114</v>
      </c>
      <c r="C38" s="45" t="str">
        <f>IF(ISNUMBER(MATCH(Tabla57[[#This Row],[Cod trabalhador]],'Altas Industrial'!B:B, 0)), "Ativo", "Não ativo")</f>
        <v>Não ativo</v>
      </c>
      <c r="D38" s="101" t="str">
        <f>IFERROR(IF(VLOOKUP(Tabla57[[#This Row],[Cod trabalhador]],'Altas Industrial'!B:E,1,0)&lt;&gt;"","KI",""),"")</f>
        <v/>
      </c>
      <c r="E38" s="101" t="str">
        <f>IFERROR(IF(VLOOKUP(Tabla57[[#This Row],[Cod trabalhador]],'Altas Rosas'!B:F,1,0)&lt;&gt;"","KR",""),"")</f>
        <v/>
      </c>
      <c r="F38" s="101" t="str">
        <f>IFERROR(IF(VLOOKUP(Tabla57[[#This Row],[Cod trabalhador]],'Altas Wiseowe'!B:E,1,0)&lt;&gt;"","WS",""),"")</f>
        <v/>
      </c>
      <c r="G38" s="101" t="str">
        <f>IFERROR(IF(VLOOKUP(Tabla57[[#This Row],[Cod trabalhador]],'Altas Luminous'!B:E,1,0)&lt;&gt;"","LM",""),"")</f>
        <v/>
      </c>
      <c r="H38" s="51" t="str">
        <f>IFERROR(VLOOKUP(Tabla57[[#This Row],[Cod trabalhador]],'Altas Industrial'!B:E,3,FALSE),"")</f>
        <v/>
      </c>
      <c r="I38" s="61" t="str">
        <f>IF(OR(Tabla57[[#This Row],[Cod trabalhador]]="",ISBLANK(Tabla57[[#This Row],[Cod trabalhador]])),"",IFERROR(IF(VLOOKUP(Tabla57[[#This Row],[Cod trabalhador]],'Altas Industrial'!B:E,4,FALSE)=0,"",VLOOKUP(Tabla57[[#This Row],[Cod trabalhador]],'Altas Industrial'!B:E,4,FALSE)),""))</f>
        <v/>
      </c>
      <c r="J38" s="44">
        <f t="shared" si="0"/>
        <v>0</v>
      </c>
      <c r="K38" s="376" t="s">
        <v>6115</v>
      </c>
      <c r="L38" s="24" t="str">
        <f>IFERROR(IF(Tabla57[[#This Row],[Cod trabalhador]]="",Tabla57[[#This Row],[Cod trabalhador]], INDEX(Colaborador_ID[Nombre], MATCH(Tabla57[[#This Row],[Cod trabalhador]],Colaborador_ID[Cod_colab], 0))), "")</f>
        <v>ROGER HALDER CHILCA LEON</v>
      </c>
      <c r="M38" s="15"/>
      <c r="N38" s="408" t="s">
        <v>7054</v>
      </c>
      <c r="O38" s="49">
        <f>IFERROR(VLOOKUP(Tabla57[[#This Row],[Cod trabalhador]],Tabla15[],4,FALSE),"")</f>
        <v>16</v>
      </c>
      <c r="P38" s="373">
        <f>IFERROR(VLOOKUP(Tabla57[[#This Row],[Cod trabalhador]],'TotalHorasAjustadas (2)'!D:L,8,FALSE),"")</f>
        <v>180</v>
      </c>
      <c r="Q38" s="202">
        <f>36+144</f>
        <v>180</v>
      </c>
      <c r="R38" s="98" t="s">
        <v>7532</v>
      </c>
      <c r="S38" s="49"/>
      <c r="T38" s="15"/>
      <c r="U38" s="25"/>
      <c r="V38" s="49"/>
      <c r="W38" s="27"/>
      <c r="X38" s="28"/>
      <c r="Y38" s="26"/>
      <c r="Z38" s="15"/>
      <c r="AA38" s="54" t="str">
        <f>IFERROR(VLOOKUP(Tabla57[[#This Row],[Cod trabalhador]],Alojamentos!B:P,11,FALSE),"")</f>
        <v/>
      </c>
      <c r="AB38" s="55"/>
      <c r="AC38" s="15"/>
      <c r="AD38" s="343">
        <f>Tabla57[[#This Row],[Dias de alta]]*7.058</f>
        <v>0</v>
      </c>
      <c r="AE38" s="344" t="str">
        <f>IFERROR(VLOOKUP(Tabla57[[#This Row],[Cod trabalhador]],Adiantamentos!B:S,7,FALSE),"")</f>
        <v/>
      </c>
      <c r="AF38" s="374" t="str">
        <f>IFERROR(VLOOKUP(Tabla57[[#This Row],[Cod trabalhador]],Carro!B:D,3,FALSE),"")</f>
        <v/>
      </c>
      <c r="AG38" s="180" t="str">
        <f>IFERROR(VLOOKUP(Tabla57[[#This Row],[Cod trabalhador]],'Outros descontos'!B:M,7,FALSE),"")</f>
        <v/>
      </c>
      <c r="AH38" s="180" t="str">
        <f>IFERROR(VLOOKUP(Tabla57[[#This Row],[Cod trabalhador]],'Outros descontos'!B:M,8,FALSE),"")</f>
        <v/>
      </c>
      <c r="AI38" s="180" t="str">
        <f>IFERROR(VLOOKUP(Tabla57[[#This Row],[Cod trabalhador]],'Outros descontos'!B:M,9,FALSE),"")</f>
        <v/>
      </c>
      <c r="AJ38" s="180" t="str">
        <f>IFERROR(VLOOKUP(Tabla57[[#This Row],[Cod trabalhador]],'Outros descontos'!B:M,10,FALSE),"")</f>
        <v/>
      </c>
      <c r="AK38" s="180" t="str">
        <f>IFERROR(VLOOKUP(Tabla57[[#This Row],[Cod trabalhador]],'Outros descontos'!B:M,11,FALSE),"")</f>
        <v/>
      </c>
      <c r="AL38" s="180" t="str">
        <f>IFERROR(VLOOKUP(Tabla57[[#This Row],[Cod trabalhador]],'Outros descontos'!B:M,12,FALSE),"")</f>
        <v/>
      </c>
      <c r="AM38" s="295" t="str">
        <f>IFERROR(VLOOKUP(Tabla57[[#This Row],[Cod trabalhador]],'Outros descontos'!B:M,13,FALSE),"")</f>
        <v/>
      </c>
      <c r="AN38" s="180"/>
      <c r="AO38" s="37">
        <v>4.08</v>
      </c>
      <c r="AP38" s="15"/>
      <c r="AQ38"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2875.92</v>
      </c>
      <c r="AR38"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2875.92</v>
      </c>
      <c r="AS38" s="15"/>
      <c r="AT38" s="27" t="str">
        <f>IF(Tabla57[[#This Row],[Cod trabalhador]]="", "", INDEX(Iban!C:C, MATCH(Tabla57[[#This Row],[Cod trabalhador]],Iban!A:A, 0)))</f>
        <v xml:space="preserve">ES56 6893 0001 7400 0028 1018 </v>
      </c>
      <c r="AU38" s="27"/>
      <c r="AV38" s="311"/>
      <c r="AW38" s="66" t="s">
        <v>7533</v>
      </c>
      <c r="AX38" s="296" t="s">
        <v>7472</v>
      </c>
    </row>
    <row r="39" spans="1:50" ht="18.75" customHeight="1" x14ac:dyDescent="0.3">
      <c r="A39" s="125"/>
      <c r="B39" s="39" t="s">
        <v>6124</v>
      </c>
      <c r="C39" s="45" t="str">
        <f>IF(ISNUMBER(MATCH(Tabla57[[#This Row],[Cod trabalhador]],'Altas Industrial'!B:B, 0)), "Ativo", "Não ativo")</f>
        <v>Não ativo</v>
      </c>
      <c r="D39" s="101" t="str">
        <f>IFERROR(IF(VLOOKUP(Tabla57[[#This Row],[Cod trabalhador]],'Altas Industrial'!B:E,1,0)&lt;&gt;"","KI",""),"")</f>
        <v/>
      </c>
      <c r="E39" s="101" t="str">
        <f>IFERROR(IF(VLOOKUP(Tabla57[[#This Row],[Cod trabalhador]],'Altas Rosas'!B:F,1,0)&lt;&gt;"","KR",""),"")</f>
        <v/>
      </c>
      <c r="F39" s="101" t="str">
        <f>IFERROR(IF(VLOOKUP(Tabla57[[#This Row],[Cod trabalhador]],'Altas Wiseowe'!B:E,1,0)&lt;&gt;"","WS",""),"")</f>
        <v/>
      </c>
      <c r="G39" s="101" t="str">
        <f>IFERROR(IF(VLOOKUP(Tabla57[[#This Row],[Cod trabalhador]],'Altas Luminous'!B:E,1,0)&lt;&gt;"","LM",""),"")</f>
        <v/>
      </c>
      <c r="H39" s="51" t="str">
        <f>IFERROR(VLOOKUP(Tabla57[[#This Row],[Cod trabalhador]],'Altas Industrial'!B:E,3,FALSE),"")</f>
        <v/>
      </c>
      <c r="I39" s="61" t="str">
        <f>IF(OR(Tabla57[[#This Row],[Cod trabalhador]]="",ISBLANK(Tabla57[[#This Row],[Cod trabalhador]])),"",IFERROR(IF(VLOOKUP(Tabla57[[#This Row],[Cod trabalhador]],'Altas Industrial'!B:E,4,FALSE)=0,"",VLOOKUP(Tabla57[[#This Row],[Cod trabalhador]],'Altas Industrial'!B:E,4,FALSE)),""))</f>
        <v/>
      </c>
      <c r="J39" s="44">
        <f t="shared" si="0"/>
        <v>0</v>
      </c>
      <c r="K39" s="376" t="s">
        <v>7065</v>
      </c>
      <c r="L39" s="24" t="str">
        <f>IFERROR(IF(Tabla57[[#This Row],[Cod trabalhador]]="",Tabla57[[#This Row],[Cod trabalhador]], INDEX(Colaborador_ID[Nombre], MATCH(Tabla57[[#This Row],[Cod trabalhador]],Colaborador_ID[Cod_colab], 0))), "")</f>
        <v>ROLANDO CATUNTA MAMANI</v>
      </c>
      <c r="M39" s="15"/>
      <c r="N39" s="408" t="s">
        <v>7054</v>
      </c>
      <c r="O39" s="49">
        <f>IFERROR(VLOOKUP(Tabla57[[#This Row],[Cod trabalhador]],Tabla15[],4,FALSE),"")</f>
        <v>16</v>
      </c>
      <c r="P39" s="373">
        <f>IFERROR(VLOOKUP(Tabla57[[#This Row],[Cod trabalhador]],'TotalHorasAjustadas (2)'!D:L,8,FALSE),"")</f>
        <v>199</v>
      </c>
      <c r="Q39" s="202">
        <v>199</v>
      </c>
      <c r="R39" s="98" t="s">
        <v>7532</v>
      </c>
      <c r="S39" s="49"/>
      <c r="T39" s="15"/>
      <c r="U39" s="25"/>
      <c r="V39" s="49"/>
      <c r="W39" s="27"/>
      <c r="X39" s="28"/>
      <c r="Y39" s="26"/>
      <c r="Z39" s="15"/>
      <c r="AA39" s="54" t="str">
        <f>IFERROR(VLOOKUP(Tabla57[[#This Row],[Cod trabalhador]],Alojamentos!B:P,11,FALSE),"")</f>
        <v/>
      </c>
      <c r="AB39" s="55"/>
      <c r="AC39" s="15"/>
      <c r="AD39" s="343">
        <f>Tabla57[[#This Row],[Dias de alta]]*7.058</f>
        <v>0</v>
      </c>
      <c r="AE39" s="344" t="str">
        <f>IFERROR(VLOOKUP(Tabla57[[#This Row],[Cod trabalhador]],Adiantamentos!B:S,7,FALSE),"")</f>
        <v/>
      </c>
      <c r="AF39" s="374" t="str">
        <f>IFERROR(VLOOKUP(Tabla57[[#This Row],[Cod trabalhador]],Carro!B:D,3,FALSE),"")</f>
        <v/>
      </c>
      <c r="AG39" s="180" t="str">
        <f>IFERROR(VLOOKUP(Tabla57[[#This Row],[Cod trabalhador]],'Outros descontos'!B:M,7,FALSE),"")</f>
        <v/>
      </c>
      <c r="AH39" s="180" t="str">
        <f>IFERROR(VLOOKUP(Tabla57[[#This Row],[Cod trabalhador]],'Outros descontos'!B:M,8,FALSE),"")</f>
        <v/>
      </c>
      <c r="AI39" s="180" t="str">
        <f>IFERROR(VLOOKUP(Tabla57[[#This Row],[Cod trabalhador]],'Outros descontos'!B:M,9,FALSE),"")</f>
        <v/>
      </c>
      <c r="AJ39" s="180" t="str">
        <f>IFERROR(VLOOKUP(Tabla57[[#This Row],[Cod trabalhador]],'Outros descontos'!B:M,10,FALSE),"")</f>
        <v/>
      </c>
      <c r="AK39" s="180" t="str">
        <f>IFERROR(VLOOKUP(Tabla57[[#This Row],[Cod trabalhador]],'Outros descontos'!B:M,11,FALSE),"")</f>
        <v/>
      </c>
      <c r="AL39" s="180" t="str">
        <f>IFERROR(VLOOKUP(Tabla57[[#This Row],[Cod trabalhador]],'Outros descontos'!B:M,12,FALSE),"")</f>
        <v/>
      </c>
      <c r="AM39" s="295" t="str">
        <f>IFERROR(VLOOKUP(Tabla57[[#This Row],[Cod trabalhador]],'Outros descontos'!B:M,13,FALSE),"")</f>
        <v/>
      </c>
      <c r="AN39" s="180"/>
      <c r="AO39" s="37">
        <v>4.08</v>
      </c>
      <c r="AP39" s="15"/>
      <c r="AQ39"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3179.92</v>
      </c>
      <c r="AR39"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3179.92</v>
      </c>
      <c r="AS39" s="15"/>
      <c r="AT39" s="27" t="str">
        <f>IF(Tabla57[[#This Row],[Cod trabalhador]]="", "", INDEX(Iban!C:C, MATCH(Tabla57[[#This Row],[Cod trabalhador]],Iban!A:A, 0)))</f>
        <v>ES66 0182 4960 2102 0166 4099</v>
      </c>
      <c r="AU39" s="27"/>
      <c r="AV39" s="311"/>
      <c r="AW39" s="66" t="s">
        <v>7533</v>
      </c>
      <c r="AX39" s="296" t="s">
        <v>7472</v>
      </c>
    </row>
    <row r="40" spans="1:50" ht="18.75" customHeight="1" x14ac:dyDescent="0.3">
      <c r="A40" s="125"/>
      <c r="B40" s="39" t="s">
        <v>6459</v>
      </c>
      <c r="C40" s="45" t="str">
        <f>IF(ISNUMBER(MATCH(Tabla57[[#This Row],[Cod trabalhador]],'Altas Industrial'!B:B, 0)), "Ativo", "Não ativo")</f>
        <v>Não ativo</v>
      </c>
      <c r="D40" s="101" t="str">
        <f>IFERROR(IF(VLOOKUP(Tabla57[[#This Row],[Cod trabalhador]],'Altas Industrial'!B:E,1,0)&lt;&gt;"","KI",""),"")</f>
        <v/>
      </c>
      <c r="E40" s="101" t="str">
        <f>IFERROR(IF(VLOOKUP(Tabla57[[#This Row],[Cod trabalhador]],'Altas Rosas'!B:F,1,0)&lt;&gt;"","KR",""),"")</f>
        <v/>
      </c>
      <c r="F40" s="101" t="str">
        <f>IFERROR(IF(VLOOKUP(Tabla57[[#This Row],[Cod trabalhador]],'Altas Wiseowe'!B:E,1,0)&lt;&gt;"","WS",""),"")</f>
        <v/>
      </c>
      <c r="G40" s="101" t="str">
        <f>IFERROR(IF(VLOOKUP(Tabla57[[#This Row],[Cod trabalhador]],'Altas Luminous'!B:E,1,0)&lt;&gt;"","LM",""),"")</f>
        <v/>
      </c>
      <c r="H40" s="51" t="str">
        <f>IFERROR(VLOOKUP(Tabla57[[#This Row],[Cod trabalhador]],'Altas Industrial'!B:E,3,FALSE),"")</f>
        <v/>
      </c>
      <c r="I40" s="61" t="str">
        <f>IF(OR(Tabla57[[#This Row],[Cod trabalhador]]="",ISBLANK(Tabla57[[#This Row],[Cod trabalhador]])),"",IFERROR(IF(VLOOKUP(Tabla57[[#This Row],[Cod trabalhador]],'Altas Industrial'!B:E,4,FALSE)=0,"",VLOOKUP(Tabla57[[#This Row],[Cod trabalhador]],'Altas Industrial'!B:E,4,FALSE)),""))</f>
        <v/>
      </c>
      <c r="J40" s="44">
        <f t="shared" si="0"/>
        <v>0</v>
      </c>
      <c r="K40" s="376" t="s">
        <v>7039</v>
      </c>
      <c r="L40" s="24" t="str">
        <f>IFERROR(IF(Tabla57[[#This Row],[Cod trabalhador]]="",Tabla57[[#This Row],[Cod trabalhador]], INDEX(Colaborador_ID[Nombre], MATCH(Tabla57[[#This Row],[Cod trabalhador]],Colaborador_ID[Cod_colab], 0))), "")</f>
        <v>VICTOR ARTURO GALVEZ PALACIOS</v>
      </c>
      <c r="M40" s="15"/>
      <c r="N40" s="408" t="s">
        <v>7037</v>
      </c>
      <c r="O40" s="49">
        <f>IFERROR(VLOOKUP(Tabla57[[#This Row],[Cod trabalhador]],Tabla15[],4,FALSE),"")</f>
        <v>15</v>
      </c>
      <c r="P40" s="373">
        <f>IFERROR(VLOOKUP(Tabla57[[#This Row],[Cod trabalhador]],'TotalHorasAjustadas (2)'!D:L,8,FALSE),"")</f>
        <v>203</v>
      </c>
      <c r="Q40" s="202">
        <v>203</v>
      </c>
      <c r="R40" s="98" t="s">
        <v>7471</v>
      </c>
      <c r="S40" s="49"/>
      <c r="T40" s="15"/>
      <c r="U40" s="25"/>
      <c r="V40" s="49"/>
      <c r="W40" s="27"/>
      <c r="X40" s="28"/>
      <c r="Y40" s="26"/>
      <c r="Z40" s="15"/>
      <c r="AA40" s="54" t="str">
        <f>IFERROR(VLOOKUP(Tabla57[[#This Row],[Cod trabalhador]],Alojamentos!B:P,11,FALSE),"")</f>
        <v/>
      </c>
      <c r="AB40" s="55"/>
      <c r="AC40" s="15"/>
      <c r="AD40" s="343">
        <f>Tabla57[[#This Row],[Dias de alta]]*7.058</f>
        <v>0</v>
      </c>
      <c r="AE40" s="344" t="str">
        <f>IFERROR(VLOOKUP(Tabla57[[#This Row],[Cod trabalhador]],Adiantamentos!B:S,7,FALSE),"")</f>
        <v/>
      </c>
      <c r="AF40" s="374" t="str">
        <f>IFERROR(VLOOKUP(Tabla57[[#This Row],[Cod trabalhador]],Carro!B:D,3,FALSE),"")</f>
        <v/>
      </c>
      <c r="AG40" s="180">
        <f>IFERROR(VLOOKUP(Tabla57[[#This Row],[Cod trabalhador]],'Outros descontos'!B:M,7,FALSE),"")</f>
        <v>0</v>
      </c>
      <c r="AH40" s="180">
        <f>IFERROR(VLOOKUP(Tabla57[[#This Row],[Cod trabalhador]],'Outros descontos'!B:M,8,FALSE),"")</f>
        <v>0</v>
      </c>
      <c r="AI40" s="180">
        <f>IFERROR(VLOOKUP(Tabla57[[#This Row],[Cod trabalhador]],'Outros descontos'!B:M,9,FALSE),"")</f>
        <v>0</v>
      </c>
      <c r="AJ40" s="180">
        <f>IFERROR(VLOOKUP(Tabla57[[#This Row],[Cod trabalhador]],'Outros descontos'!B:M,10,FALSE),"")</f>
        <v>197.2</v>
      </c>
      <c r="AK40" s="180">
        <f>IFERROR(VLOOKUP(Tabla57[[#This Row],[Cod trabalhador]],'Outros descontos'!B:M,11,FALSE),"")</f>
        <v>0</v>
      </c>
      <c r="AL40" s="180">
        <f>IFERROR(VLOOKUP(Tabla57[[#This Row],[Cod trabalhador]],'Outros descontos'!B:M,12,FALSE),"")</f>
        <v>0</v>
      </c>
      <c r="AM40" s="295" t="str">
        <f>IFERROR(VLOOKUP(Tabla57[[#This Row],[Cod trabalhador]],'Outros descontos'!B:M,13,FALSE),"")</f>
        <v/>
      </c>
      <c r="AN40" s="180"/>
      <c r="AO40" s="37">
        <v>4.08</v>
      </c>
      <c r="AP40" s="15"/>
      <c r="AQ40"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2843.7200000000003</v>
      </c>
      <c r="AR40"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2843.7200000000003</v>
      </c>
      <c r="AS40" s="15"/>
      <c r="AT40" s="27" t="str">
        <f>IF(Tabla57[[#This Row],[Cod trabalhador]]="", "", INDEX(Iban!C:C, MATCH(Tabla57[[#This Row],[Cod trabalhador]],Iban!A:A, 0)))</f>
        <v>ES70 2100 2814 4107 0100 9565</v>
      </c>
      <c r="AU40" s="27"/>
      <c r="AV40" s="311"/>
      <c r="AW40" s="66" t="s">
        <v>7533</v>
      </c>
      <c r="AX40" s="296" t="s">
        <v>7472</v>
      </c>
    </row>
    <row r="41" spans="1:50" ht="18.75" customHeight="1" x14ac:dyDescent="0.3">
      <c r="A41" s="125"/>
      <c r="B41" s="39" t="str">
        <f>IFERROR(IF(Tabla57[[#This Row],[Colaborador]]="",Tabla57[[#This Row],[Colaborador]], INDEX(Colaboradores!A:A, MATCH(Tabla57[[#This Row],[Colaborador]], Colaboradores!C:C, 0))), "")</f>
        <v>E0343</v>
      </c>
      <c r="C41" s="45" t="str">
        <f>IF(ISNUMBER(MATCH(Tabla57[[#This Row],[Cod trabalhador]],'Altas Industrial'!B:B, 0)), "Ativo", "Não ativo")</f>
        <v>Não ativo</v>
      </c>
      <c r="D41" s="101" t="str">
        <f>IFERROR(IF(VLOOKUP(Tabla57[[#This Row],[Cod trabalhador]],'Altas Industrial'!B:E,1,0)&lt;&gt;"","KI",""),"")</f>
        <v/>
      </c>
      <c r="E41" s="101" t="str">
        <f>IFERROR(IF(VLOOKUP(Tabla57[[#This Row],[Cod trabalhador]],'Altas Rosas'!B:F,1,0)&lt;&gt;"","KR",""),"")</f>
        <v/>
      </c>
      <c r="F41" s="101" t="str">
        <f>IFERROR(IF(VLOOKUP(Tabla57[[#This Row],[Cod trabalhador]],'Altas Wiseowe'!B:E,1,0)&lt;&gt;"","WS",""),"")</f>
        <v/>
      </c>
      <c r="G41" s="101" t="str">
        <f>IFERROR(IF(VLOOKUP(Tabla57[[#This Row],[Cod trabalhador]],'Altas Luminous'!B:E,1,0)&lt;&gt;"","LM",""),"")</f>
        <v/>
      </c>
      <c r="H41" s="51" t="str">
        <f>IFERROR(VLOOKUP(Tabla57[[#This Row],[Cod trabalhador]],'Altas Industrial'!B:E,3,FALSE),"")</f>
        <v/>
      </c>
      <c r="I41" s="61" t="str">
        <f>IF(OR(Tabla57[[#This Row],[Cod trabalhador]]="",ISBLANK(Tabla57[[#This Row],[Cod trabalhador]])),"",IFERROR(IF(VLOOKUP(Tabla57[[#This Row],[Cod trabalhador]],'Altas Industrial'!B:E,4,FALSE)=0,"",VLOOKUP(Tabla57[[#This Row],[Cod trabalhador]],'Altas Industrial'!B:E,4,FALSE)),""))</f>
        <v/>
      </c>
      <c r="J41" s="44">
        <f t="shared" si="0"/>
        <v>0</v>
      </c>
      <c r="K41" s="376"/>
      <c r="L41" s="24" t="s">
        <v>6476</v>
      </c>
      <c r="M41" s="15"/>
      <c r="N41" s="408" t="s">
        <v>7535</v>
      </c>
      <c r="O41" s="49">
        <v>15</v>
      </c>
      <c r="P41" s="373">
        <f>IFERROR(VLOOKUP(Tabla57[[#This Row],[Cod trabalhador]],'TotalHorasAjustadas (2)'!D:L,8,FALSE),"")</f>
        <v>140</v>
      </c>
      <c r="Q41" s="202">
        <v>74</v>
      </c>
      <c r="R41" s="98" t="s">
        <v>7532</v>
      </c>
      <c r="S41" s="49"/>
      <c r="T41" s="15"/>
      <c r="U41" s="25"/>
      <c r="V41" s="49"/>
      <c r="W41" s="27"/>
      <c r="X41" s="28"/>
      <c r="Y41" s="26"/>
      <c r="Z41" s="15"/>
      <c r="AA41" s="54" t="str">
        <f>IFERROR(VLOOKUP(Tabla57[[#This Row],[Cod trabalhador]],Alojamentos!B:P,11,FALSE),"")</f>
        <v/>
      </c>
      <c r="AB41" s="55"/>
      <c r="AC41" s="15"/>
      <c r="AD41" s="343">
        <f>Tabla57[[#This Row],[Dias de alta]]*7.058</f>
        <v>0</v>
      </c>
      <c r="AE41" s="344" t="str">
        <f>IFERROR(VLOOKUP(Tabla57[[#This Row],[Cod trabalhador]],Adiantamentos!B:S,7,FALSE),"")</f>
        <v/>
      </c>
      <c r="AF41" s="374" t="str">
        <f>IFERROR(VLOOKUP(Tabla57[[#This Row],[Cod trabalhador]],Carro!B:D,3,FALSE),"")</f>
        <v/>
      </c>
      <c r="AG41" s="180" t="str">
        <f>IFERROR(VLOOKUP(Tabla57[[#This Row],[Cod trabalhador]],'Outros descontos'!B:M,7,FALSE),"")</f>
        <v/>
      </c>
      <c r="AH41" s="180" t="str">
        <f>IFERROR(VLOOKUP(Tabla57[[#This Row],[Cod trabalhador]],'Outros descontos'!B:M,8,FALSE),"")</f>
        <v/>
      </c>
      <c r="AI41" s="180" t="str">
        <f>IFERROR(VLOOKUP(Tabla57[[#This Row],[Cod trabalhador]],'Outros descontos'!B:M,9,FALSE),"")</f>
        <v/>
      </c>
      <c r="AJ41" s="180" t="str">
        <f>IFERROR(VLOOKUP(Tabla57[[#This Row],[Cod trabalhador]],'Outros descontos'!B:M,10,FALSE),"")</f>
        <v/>
      </c>
      <c r="AK41" s="180" t="str">
        <f>IFERROR(VLOOKUP(Tabla57[[#This Row],[Cod trabalhador]],'Outros descontos'!B:M,11,FALSE),"")</f>
        <v/>
      </c>
      <c r="AL41" s="180" t="str">
        <f>IFERROR(VLOOKUP(Tabla57[[#This Row],[Cod trabalhador]],'Outros descontos'!B:M,12,FALSE),"")</f>
        <v/>
      </c>
      <c r="AM41" s="295" t="str">
        <f>IFERROR(VLOOKUP(Tabla57[[#This Row],[Cod trabalhador]],'Outros descontos'!B:M,13,FALSE),"")</f>
        <v/>
      </c>
      <c r="AN41" s="180"/>
      <c r="AO41" s="37">
        <v>4.08</v>
      </c>
      <c r="AP41" s="15"/>
      <c r="AQ41"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2095.92</v>
      </c>
      <c r="AR41"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1105.92</v>
      </c>
      <c r="AS41" s="15"/>
      <c r="AT41" s="27" t="str">
        <f>IF(Tabla57[[#This Row],[Cod trabalhador]]="", "", INDEX(Iban!C:C, MATCH(Tabla57[[#This Row],[Cod trabalhador]],Iban!A:A, 0)))</f>
        <v>ES17 0182 3212 8502 0157 7167</v>
      </c>
      <c r="AU41" s="27"/>
      <c r="AV41" s="311"/>
      <c r="AW41" s="66" t="s">
        <v>7533</v>
      </c>
      <c r="AX41" s="296" t="s">
        <v>7472</v>
      </c>
    </row>
    <row r="42" spans="1:50" ht="18.75" customHeight="1" x14ac:dyDescent="0.3">
      <c r="A42" s="125"/>
      <c r="B42" s="39" t="s">
        <v>6586</v>
      </c>
      <c r="C42" s="45" t="str">
        <f>IF(ISNUMBER(MATCH(Tabla57[[#This Row],[Cod trabalhador]],'Altas Industrial'!B:B, 0)), "Ativo", "Não ativo")</f>
        <v>Não ativo</v>
      </c>
      <c r="D42" s="101" t="str">
        <f>IFERROR(IF(VLOOKUP(Tabla57[[#This Row],[Cod trabalhador]],'Altas Industrial'!B:E,1,0)&lt;&gt;"","KI",""),"")</f>
        <v/>
      </c>
      <c r="E42" s="101" t="str">
        <f>IFERROR(IF(VLOOKUP(Tabla57[[#This Row],[Cod trabalhador]],'Altas Rosas'!B:F,1,0)&lt;&gt;"","KR",""),"")</f>
        <v/>
      </c>
      <c r="F42" s="101" t="str">
        <f>IFERROR(IF(VLOOKUP(Tabla57[[#This Row],[Cod trabalhador]],'Altas Wiseowe'!B:E,1,0)&lt;&gt;"","WS",""),"")</f>
        <v/>
      </c>
      <c r="G42" s="101" t="str">
        <f>IFERROR(IF(VLOOKUP(Tabla57[[#This Row],[Cod trabalhador]],'Altas Luminous'!B:E,1,0)&lt;&gt;"","LM",""),"")</f>
        <v/>
      </c>
      <c r="H42" s="51" t="str">
        <f>IFERROR(VLOOKUP(Tabla57[[#This Row],[Cod trabalhador]],'Altas Industrial'!B:E,3,FALSE),"")</f>
        <v/>
      </c>
      <c r="I42" s="61" t="str">
        <f>IF(OR(Tabla57[[#This Row],[Cod trabalhador]]="",ISBLANK(Tabla57[[#This Row],[Cod trabalhador]])),"",IFERROR(IF(VLOOKUP(Tabla57[[#This Row],[Cod trabalhador]],'Altas Industrial'!B:E,4,FALSE)=0,"",VLOOKUP(Tabla57[[#This Row],[Cod trabalhador]],'Altas Industrial'!B:E,4,FALSE)),""))</f>
        <v/>
      </c>
      <c r="J42" s="44">
        <f t="shared" si="0"/>
        <v>0</v>
      </c>
      <c r="K42" s="376" t="s">
        <v>6587</v>
      </c>
      <c r="L42" s="24" t="str">
        <f>IFERROR(IF(Tabla57[[#This Row],[Cod trabalhador]]="",Tabla57[[#This Row],[Cod trabalhador]], INDEX(Colaborador_ID[Nombre], MATCH(Tabla57[[#This Row],[Cod trabalhador]],Colaborador_ID[Cod_colab], 0))), "")</f>
        <v>WILBER LOPEZ BALETA</v>
      </c>
      <c r="M42" s="15"/>
      <c r="N42" s="408" t="s">
        <v>7048</v>
      </c>
      <c r="O42" s="49">
        <v>16.5</v>
      </c>
      <c r="P42" s="373">
        <f>IFERROR(VLOOKUP(Tabla57[[#This Row],[Cod trabalhador]],'TotalHorasAjustadas (2)'!D:L,8,FALSE),"")</f>
        <v>133</v>
      </c>
      <c r="Q42" s="202">
        <v>133</v>
      </c>
      <c r="R42" s="98" t="s">
        <v>7532</v>
      </c>
      <c r="S42" s="49"/>
      <c r="T42" s="15"/>
      <c r="U42" s="25"/>
      <c r="V42" s="49"/>
      <c r="W42" s="27"/>
      <c r="X42" s="28"/>
      <c r="Y42" s="26"/>
      <c r="Z42" s="15"/>
      <c r="AA42" s="54" t="str">
        <f>IFERROR(VLOOKUP(Tabla57[[#This Row],[Cod trabalhador]],Alojamentos!B:P,11,FALSE),"")</f>
        <v/>
      </c>
      <c r="AB42" s="55"/>
      <c r="AC42" s="15"/>
      <c r="AD42" s="343">
        <f>Tabla57[[#This Row],[Dias de alta]]*7.058</f>
        <v>0</v>
      </c>
      <c r="AE42" s="344" t="str">
        <f>IFERROR(VLOOKUP(Tabla57[[#This Row],[Cod trabalhador]],Adiantamentos!B:S,7,FALSE),"")</f>
        <v/>
      </c>
      <c r="AF42" s="374" t="str">
        <f>IFERROR(VLOOKUP(Tabla57[[#This Row],[Cod trabalhador]],Carro!B:D,3,FALSE),"")</f>
        <v/>
      </c>
      <c r="AG42" s="180" t="str">
        <f>IFERROR(VLOOKUP(Tabla57[[#This Row],[Cod trabalhador]],'Outros descontos'!B:M,7,FALSE),"")</f>
        <v/>
      </c>
      <c r="AH42" s="180" t="str">
        <f>IFERROR(VLOOKUP(Tabla57[[#This Row],[Cod trabalhador]],'Outros descontos'!B:M,8,FALSE),"")</f>
        <v/>
      </c>
      <c r="AI42" s="180" t="str">
        <f>IFERROR(VLOOKUP(Tabla57[[#This Row],[Cod trabalhador]],'Outros descontos'!B:M,9,FALSE),"")</f>
        <v/>
      </c>
      <c r="AJ42" s="180" t="str">
        <f>IFERROR(VLOOKUP(Tabla57[[#This Row],[Cod trabalhador]],'Outros descontos'!B:M,10,FALSE),"")</f>
        <v/>
      </c>
      <c r="AK42" s="180" t="str">
        <f>IFERROR(VLOOKUP(Tabla57[[#This Row],[Cod trabalhador]],'Outros descontos'!B:M,11,FALSE),"")</f>
        <v/>
      </c>
      <c r="AL42" s="180" t="str">
        <f>IFERROR(VLOOKUP(Tabla57[[#This Row],[Cod trabalhador]],'Outros descontos'!B:M,12,FALSE),"")</f>
        <v/>
      </c>
      <c r="AM42" s="295" t="str">
        <f>IFERROR(VLOOKUP(Tabla57[[#This Row],[Cod trabalhador]],'Outros descontos'!B:M,13,FALSE),"")</f>
        <v/>
      </c>
      <c r="AN42" s="180"/>
      <c r="AO42" s="37">
        <v>4.08</v>
      </c>
      <c r="AP42" s="15"/>
      <c r="AQ42"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2190.42</v>
      </c>
      <c r="AR42"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2190.42</v>
      </c>
      <c r="AS42" s="15"/>
      <c r="AT42" s="27" t="str">
        <f>IF(Tabla57[[#This Row],[Cod trabalhador]]="", "", INDEX(Iban!C:C, MATCH(Tabla57[[#This Row],[Cod trabalhador]],Iban!A:A, 0)))</f>
        <v>ES65 0049 5396 3622 1614 5925</v>
      </c>
      <c r="AU42" s="27"/>
      <c r="AV42" s="311"/>
      <c r="AW42" s="66" t="s">
        <v>7533</v>
      </c>
      <c r="AX42" s="296" t="s">
        <v>7472</v>
      </c>
    </row>
    <row r="43" spans="1:50" ht="18.75" customHeight="1" x14ac:dyDescent="0.3">
      <c r="A43" s="125"/>
      <c r="B43" s="39" t="str">
        <f>IFERROR(IF(Tabla57[[#This Row],[Colaborador]]="",Tabla57[[#This Row],[Colaborador]], INDEX(Colaboradores!A:A, MATCH(Tabla57[[#This Row],[Colaborador]], Colaboradores!C:C, 0))), "")</f>
        <v>E0075</v>
      </c>
      <c r="C43" s="45" t="str">
        <f>IF(ISNUMBER(MATCH(Tabla57[[#This Row],[Cod trabalhador]],'Altas Industrial'!B:B, 0)), "Ativo", "Não ativo")</f>
        <v>Não ativo</v>
      </c>
      <c r="D43" s="101" t="str">
        <f>IFERROR(IF(VLOOKUP(Tabla57[[#This Row],[Cod trabalhador]],'Altas Industrial'!B:E,1,0)&lt;&gt;"","KI",""),"")</f>
        <v/>
      </c>
      <c r="E43" s="101" t="str">
        <f>IFERROR(IF(VLOOKUP(Tabla57[[#This Row],[Cod trabalhador]],'Altas Rosas'!B:F,1,0)&lt;&gt;"","KR",""),"")</f>
        <v/>
      </c>
      <c r="F43" s="101" t="str">
        <f>IFERROR(IF(VLOOKUP(Tabla57[[#This Row],[Cod trabalhador]],'Altas Wiseowe'!B:E,1,0)&lt;&gt;"","WS",""),"")</f>
        <v/>
      </c>
      <c r="G43" s="101" t="str">
        <f>IFERROR(IF(VLOOKUP(Tabla57[[#This Row],[Cod trabalhador]],'Altas Luminous'!B:E,1,0)&lt;&gt;"","LM",""),"")</f>
        <v/>
      </c>
      <c r="H43" s="51" t="str">
        <f>IFERROR(VLOOKUP(Tabla57[[#This Row],[Cod trabalhador]],'Altas Industrial'!B:E,3,FALSE),"")</f>
        <v/>
      </c>
      <c r="I43" s="61" t="str">
        <f>IF(OR(Tabla57[[#This Row],[Cod trabalhador]]="",ISBLANK(Tabla57[[#This Row],[Cod trabalhador]])),"",IFERROR(IF(VLOOKUP(Tabla57[[#This Row],[Cod trabalhador]],'Altas Industrial'!B:E,4,FALSE)=0,"",VLOOKUP(Tabla57[[#This Row],[Cod trabalhador]],'Altas Industrial'!B:E,4,FALSE)),""))</f>
        <v/>
      </c>
      <c r="J43" s="44">
        <f t="shared" si="0"/>
        <v>0</v>
      </c>
      <c r="K43" s="376"/>
      <c r="L43" s="24" t="s">
        <v>6640</v>
      </c>
      <c r="M43" s="15"/>
      <c r="N43" s="408" t="s">
        <v>7535</v>
      </c>
      <c r="O43" s="49">
        <v>15</v>
      </c>
      <c r="P43" s="373">
        <f>IFERROR(VLOOKUP(Tabla57[[#This Row],[Cod trabalhador]],'TotalHorasAjustadas (2)'!D:L,8,FALSE),"")</f>
        <v>130</v>
      </c>
      <c r="Q43" s="202">
        <v>74</v>
      </c>
      <c r="R43" s="98" t="s">
        <v>7532</v>
      </c>
      <c r="S43" s="49"/>
      <c r="T43" s="15"/>
      <c r="U43" s="25"/>
      <c r="V43" s="49"/>
      <c r="W43" s="27"/>
      <c r="X43" s="28"/>
      <c r="Y43" s="26"/>
      <c r="Z43" s="15"/>
      <c r="AA43" s="54" t="str">
        <f>IFERROR(VLOOKUP(Tabla57[[#This Row],[Cod trabalhador]],Alojamentos!B:P,11,FALSE),"")</f>
        <v/>
      </c>
      <c r="AB43" s="55"/>
      <c r="AC43" s="15"/>
      <c r="AD43" s="343">
        <f>Tabla57[[#This Row],[Dias de alta]]*7.058</f>
        <v>0</v>
      </c>
      <c r="AE43" s="344" t="str">
        <f>IFERROR(VLOOKUP(Tabla57[[#This Row],[Cod trabalhador]],Adiantamentos!B:S,7,FALSE),"")</f>
        <v/>
      </c>
      <c r="AF43" s="374" t="str">
        <f>IFERROR(VLOOKUP(Tabla57[[#This Row],[Cod trabalhador]],Carro!B:D,3,FALSE),"")</f>
        <v/>
      </c>
      <c r="AG43" s="180" t="str">
        <f>IFERROR(VLOOKUP(Tabla57[[#This Row],[Cod trabalhador]],'Outros descontos'!B:M,7,FALSE),"")</f>
        <v/>
      </c>
      <c r="AH43" s="180" t="str">
        <f>IFERROR(VLOOKUP(Tabla57[[#This Row],[Cod trabalhador]],'Outros descontos'!B:M,8,FALSE),"")</f>
        <v/>
      </c>
      <c r="AI43" s="180" t="str">
        <f>IFERROR(VLOOKUP(Tabla57[[#This Row],[Cod trabalhador]],'Outros descontos'!B:M,9,FALSE),"")</f>
        <v/>
      </c>
      <c r="AJ43" s="180" t="str">
        <f>IFERROR(VLOOKUP(Tabla57[[#This Row],[Cod trabalhador]],'Outros descontos'!B:M,10,FALSE),"")</f>
        <v/>
      </c>
      <c r="AK43" s="180" t="str">
        <f>IFERROR(VLOOKUP(Tabla57[[#This Row],[Cod trabalhador]],'Outros descontos'!B:M,11,FALSE),"")</f>
        <v/>
      </c>
      <c r="AL43" s="180" t="str">
        <f>IFERROR(VLOOKUP(Tabla57[[#This Row],[Cod trabalhador]],'Outros descontos'!B:M,12,FALSE),"")</f>
        <v/>
      </c>
      <c r="AM43" s="295" t="str">
        <f>IFERROR(VLOOKUP(Tabla57[[#This Row],[Cod trabalhador]],'Outros descontos'!B:M,13,FALSE),"")</f>
        <v/>
      </c>
      <c r="AN43" s="180"/>
      <c r="AO43" s="37">
        <v>4.08</v>
      </c>
      <c r="AP43" s="15"/>
      <c r="AQ43"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1945.92</v>
      </c>
      <c r="AR43"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1105.92</v>
      </c>
      <c r="AS43" s="15"/>
      <c r="AT43" s="27" t="str">
        <f>IF(Tabla57[[#This Row],[Cod trabalhador]]="", "", INDEX(Iban!C:C, MATCH(Tabla57[[#This Row],[Cod trabalhador]],Iban!A:A, 0)))</f>
        <v>ES47 6893 0001 7200 0027 5846</v>
      </c>
      <c r="AU43" s="27"/>
      <c r="AV43" s="311"/>
      <c r="AW43" s="66" t="s">
        <v>7533</v>
      </c>
      <c r="AX43" s="296" t="s">
        <v>7472</v>
      </c>
    </row>
    <row r="44" spans="1:50" ht="18.75" customHeight="1" x14ac:dyDescent="0.3">
      <c r="A44" s="125"/>
      <c r="B44" s="100" t="s">
        <v>6744</v>
      </c>
      <c r="C44" s="45" t="str">
        <f>IF(ISNUMBER(MATCH(Tabla57[[#This Row],[Cod trabalhador]],'Altas Industrial'!B:B, 0)), "Ativo", "Não ativo")</f>
        <v>Não ativo</v>
      </c>
      <c r="D44" s="101" t="str">
        <f>IFERROR(IF(VLOOKUP(Tabla57[[#This Row],[Cod trabalhador]],'Altas Industrial'!B:E,1,0)&lt;&gt;"","KI",""),"")</f>
        <v/>
      </c>
      <c r="E44" s="101" t="str">
        <f>IFERROR(IF(VLOOKUP(Tabla57[[#This Row],[Cod trabalhador]],'Altas Rosas'!B:F,1,0)&lt;&gt;"","KR",""),"")</f>
        <v/>
      </c>
      <c r="F44" s="101" t="str">
        <f>IFERROR(IF(VLOOKUP(Tabla57[[#This Row],[Cod trabalhador]],'Altas Wiseowe'!B:E,1,0)&lt;&gt;"","WS",""),"")</f>
        <v/>
      </c>
      <c r="G44" s="101" t="str">
        <f>IFERROR(IF(VLOOKUP(Tabla57[[#This Row],[Cod trabalhador]],'Altas Luminous'!B:E,1,0)&lt;&gt;"","LM",""),"")</f>
        <v/>
      </c>
      <c r="H44" s="51" t="str">
        <f>IFERROR(VLOOKUP(Tabla57[[#This Row],[Cod trabalhador]],'Altas Industrial'!B:E,3,FALSE),"")</f>
        <v/>
      </c>
      <c r="I44" s="61" t="str">
        <f>IF(OR(Tabla57[[#This Row],[Cod trabalhador]]="",ISBLANK(Tabla57[[#This Row],[Cod trabalhador]])),"",IFERROR(IF(VLOOKUP(Tabla57[[#This Row],[Cod trabalhador]],'Altas Industrial'!B:E,4,FALSE)=0,"",VLOOKUP(Tabla57[[#This Row],[Cod trabalhador]],'Altas Industrial'!B:E,4,FALSE)),""))</f>
        <v/>
      </c>
      <c r="J44" s="101">
        <f t="shared" si="0"/>
        <v>0</v>
      </c>
      <c r="K44" s="377" t="s">
        <v>7068</v>
      </c>
      <c r="L44" s="24" t="str">
        <f>IFERROR(IF(Tabla57[[#This Row],[Cod trabalhador]]="",Tabla57[[#This Row],[Cod trabalhador]], INDEX(Colaborador_ID[Nombre], MATCH(Tabla57[[#This Row],[Cod trabalhador]],Colaborador_ID[Cod_colab], 0))), "")</f>
        <v>WILMER YANAYACO PINEDO</v>
      </c>
      <c r="M44" s="15"/>
      <c r="N44" s="408" t="s">
        <v>7054</v>
      </c>
      <c r="O44" s="49">
        <f>IFERROR(VLOOKUP(Tabla57[[#This Row],[Cod trabalhador]],Tabla15[],4,FALSE),"")</f>
        <v>16</v>
      </c>
      <c r="P44" s="375">
        <f>IFERROR(VLOOKUP(Tabla57[[#This Row],[Cod trabalhador]],'TotalHorasAjustadas (2)'!D:L,8,FALSE),"")</f>
        <v>188</v>
      </c>
      <c r="Q44" s="202">
        <f>44+144</f>
        <v>188</v>
      </c>
      <c r="R44" s="98" t="s">
        <v>7532</v>
      </c>
      <c r="S44" s="103"/>
      <c r="T44" s="15"/>
      <c r="U44" s="96"/>
      <c r="V44" s="103"/>
      <c r="W44" s="97"/>
      <c r="X44" s="98"/>
      <c r="Y44" s="99"/>
      <c r="Z44" s="15"/>
      <c r="AA44" s="54" t="str">
        <f>IFERROR(VLOOKUP(Tabla57[[#This Row],[Cod trabalhador]],Alojamentos!B:P,11,FALSE),"")</f>
        <v/>
      </c>
      <c r="AB44" s="55"/>
      <c r="AC44" s="15"/>
      <c r="AD44" s="343">
        <f>Tabla57[[#This Row],[Dias de alta]]*7.058</f>
        <v>0</v>
      </c>
      <c r="AE44" s="344" t="str">
        <f>IFERROR(VLOOKUP(Tabla57[[#This Row],[Cod trabalhador]],Adiantamentos!B:S,7,FALSE),"")</f>
        <v/>
      </c>
      <c r="AF44" s="374" t="str">
        <f>IFERROR(VLOOKUP(Tabla57[[#This Row],[Cod trabalhador]],Carro!B:D,3,FALSE),"")</f>
        <v/>
      </c>
      <c r="AG44" s="180" t="str">
        <f>IFERROR(VLOOKUP(Tabla57[[#This Row],[Cod trabalhador]],'Outros descontos'!B:M,7,FALSE),"")</f>
        <v/>
      </c>
      <c r="AH44" s="180" t="str">
        <f>IFERROR(VLOOKUP(Tabla57[[#This Row],[Cod trabalhador]],'Outros descontos'!B:M,8,FALSE),"")</f>
        <v/>
      </c>
      <c r="AI44" s="180" t="str">
        <f>IFERROR(VLOOKUP(Tabla57[[#This Row],[Cod trabalhador]],'Outros descontos'!B:M,9,FALSE),"")</f>
        <v/>
      </c>
      <c r="AJ44" s="180" t="str">
        <f>IFERROR(VLOOKUP(Tabla57[[#This Row],[Cod trabalhador]],'Outros descontos'!B:M,10,FALSE),"")</f>
        <v/>
      </c>
      <c r="AK44" s="180" t="str">
        <f>IFERROR(VLOOKUP(Tabla57[[#This Row],[Cod trabalhador]],'Outros descontos'!B:M,11,FALSE),"")</f>
        <v/>
      </c>
      <c r="AL44" s="180" t="str">
        <f>IFERROR(VLOOKUP(Tabla57[[#This Row],[Cod trabalhador]],'Outros descontos'!B:M,12,FALSE),"")</f>
        <v/>
      </c>
      <c r="AM44" s="295" t="str">
        <f>IFERROR(VLOOKUP(Tabla57[[#This Row],[Cod trabalhador]],'Outros descontos'!B:M,13,FALSE),"")</f>
        <v/>
      </c>
      <c r="AN44" s="180"/>
      <c r="AO44" s="37">
        <v>4.08</v>
      </c>
      <c r="AP44" s="15"/>
      <c r="AQ44"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3003.92</v>
      </c>
      <c r="AR44"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3003.92</v>
      </c>
      <c r="AS44" s="15"/>
      <c r="AT44" s="97" t="str">
        <f>IF(Tabla57[[#This Row],[Cod trabalhador]]="", "", INDEX(Iban!C:C, MATCH(Tabla57[[#This Row],[Cod trabalhador]],Iban!A:A, 0)))</f>
        <v>ES29 0182 0670 1002 0161 0920</v>
      </c>
      <c r="AU44" s="97"/>
      <c r="AV44" s="311"/>
      <c r="AW44" s="66" t="s">
        <v>7533</v>
      </c>
      <c r="AX44" s="296" t="s">
        <v>7472</v>
      </c>
    </row>
    <row r="45" spans="1:50" ht="18.75" customHeight="1" x14ac:dyDescent="0.3">
      <c r="A45" s="125"/>
      <c r="B45" s="100" t="s">
        <v>6807</v>
      </c>
      <c r="C45" s="385" t="str">
        <f>IF(ISNUMBER(MATCH(Tabla57[[#This Row],[Cod trabalhador]],'Altas Industrial'!B:B, 0)), "Ativo", "Não ativo")</f>
        <v>Não ativo</v>
      </c>
      <c r="D45" s="384" t="str">
        <f>IFERROR(IF(VLOOKUP(Tabla57[[#This Row],[Cod trabalhador]],'Altas Industrial'!B:E,1,0)&lt;&gt;"","KI",""),"")</f>
        <v/>
      </c>
      <c r="E45" s="384" t="str">
        <f>IFERROR(IF(VLOOKUP(Tabla57[[#This Row],[Cod trabalhador]],'Altas Rosas'!B:F,1,0)&lt;&gt;"","KR",""),"")</f>
        <v/>
      </c>
      <c r="F45" s="384" t="str">
        <f>IFERROR(IF(VLOOKUP(Tabla57[[#This Row],[Cod trabalhador]],'Altas Wiseowe'!B:E,1,0)&lt;&gt;"","WS",""),"")</f>
        <v/>
      </c>
      <c r="G45" s="101" t="str">
        <f>IFERROR(IF(VLOOKUP(Tabla57[[#This Row],[Cod trabalhador]],'Altas Luminous'!B:E,1,0)&lt;&gt;"","LM",""),"")</f>
        <v/>
      </c>
      <c r="H45" s="386" t="str">
        <f>IFERROR(VLOOKUP(Tabla57[[#This Row],[Cod trabalhador]],'Altas Industrial'!B:E,3,FALSE),"")</f>
        <v/>
      </c>
      <c r="I45" s="387" t="str">
        <f>IF(OR(Tabla57[[#This Row],[Cod trabalhador]]="",ISBLANK(Tabla57[[#This Row],[Cod trabalhador]])),"",IFERROR(IF(VLOOKUP(Tabla57[[#This Row],[Cod trabalhador]],'Altas Industrial'!B:E,4,FALSE)=0,"",VLOOKUP(Tabla57[[#This Row],[Cod trabalhador]],'Altas Industrial'!B:E,4,FALSE)),""))</f>
        <v/>
      </c>
      <c r="J45" s="384">
        <f t="shared" si="0"/>
        <v>0</v>
      </c>
      <c r="K45" s="377" t="s">
        <v>6808</v>
      </c>
      <c r="L45" s="306" t="str">
        <f>IFERROR(IF(Tabla57[[#This Row],[Cod trabalhador]]="",Tabla57[[#This Row],[Cod trabalhador]], INDEX(Colaborador_ID[Nombre], MATCH(Tabla57[[#This Row],[Cod trabalhador]],Colaborador_ID[Cod_colab], 0))), "")</f>
        <v>YANNY ALBERTO HERNANDEZ LOZANO</v>
      </c>
      <c r="M45" s="15"/>
      <c r="N45" s="408" t="s">
        <v>7054</v>
      </c>
      <c r="O45" s="103">
        <f>IFERROR(VLOOKUP(Tabla57[[#This Row],[Cod trabalhador]],Tabla15[],4,FALSE),"")</f>
        <v>16</v>
      </c>
      <c r="P45" s="375">
        <f>IFERROR(VLOOKUP(Tabla57[[#This Row],[Cod trabalhador]],'TotalHorasAjustadas (2)'!D:L,8,FALSE),"")</f>
        <v>225</v>
      </c>
      <c r="Q45" s="202">
        <v>225</v>
      </c>
      <c r="R45" s="98" t="s">
        <v>7532</v>
      </c>
      <c r="S45" s="103"/>
      <c r="T45" s="15"/>
      <c r="U45" s="96"/>
      <c r="V45" s="103"/>
      <c r="W45" s="97"/>
      <c r="X45" s="98"/>
      <c r="Y45" s="99"/>
      <c r="Z45" s="15"/>
      <c r="AA45" s="54" t="str">
        <f>IFERROR(VLOOKUP(Tabla57[[#This Row],[Cod trabalhador]],Alojamentos!B:P,11,FALSE),"")</f>
        <v/>
      </c>
      <c r="AB45" s="55"/>
      <c r="AC45" s="15"/>
      <c r="AD45" s="343">
        <f>Tabla57[[#This Row],[Dias de alta]]*7.058</f>
        <v>0</v>
      </c>
      <c r="AE45" s="344" t="str">
        <f>IFERROR(VLOOKUP(Tabla57[[#This Row],[Cod trabalhador]],Adiantamentos!B:S,7,FALSE),"")</f>
        <v/>
      </c>
      <c r="AF45" s="374" t="str">
        <f>IFERROR(VLOOKUP(Tabla57[[#This Row],[Cod trabalhador]],Carro!B:D,3,FALSE),"")</f>
        <v/>
      </c>
      <c r="AG45" s="180" t="str">
        <f>IFERROR(VLOOKUP(Tabla57[[#This Row],[Cod trabalhador]],'Outros descontos'!B:M,7,FALSE),"")</f>
        <v/>
      </c>
      <c r="AH45" s="180" t="str">
        <f>IFERROR(VLOOKUP(Tabla57[[#This Row],[Cod trabalhador]],'Outros descontos'!B:M,8,FALSE),"")</f>
        <v/>
      </c>
      <c r="AI45" s="180" t="str">
        <f>IFERROR(VLOOKUP(Tabla57[[#This Row],[Cod trabalhador]],'Outros descontos'!B:M,9,FALSE),"")</f>
        <v/>
      </c>
      <c r="AJ45" s="180" t="str">
        <f>IFERROR(VLOOKUP(Tabla57[[#This Row],[Cod trabalhador]],'Outros descontos'!B:M,10,FALSE),"")</f>
        <v/>
      </c>
      <c r="AK45" s="180" t="str">
        <f>IFERROR(VLOOKUP(Tabla57[[#This Row],[Cod trabalhador]],'Outros descontos'!B:M,11,FALSE),"")</f>
        <v/>
      </c>
      <c r="AL45" s="180" t="str">
        <f>IFERROR(VLOOKUP(Tabla57[[#This Row],[Cod trabalhador]],'Outros descontos'!B:M,12,FALSE),"")</f>
        <v/>
      </c>
      <c r="AM45" s="295" t="str">
        <f>IFERROR(VLOOKUP(Tabla57[[#This Row],[Cod trabalhador]],'Outros descontos'!B:M,13,FALSE),"")</f>
        <v/>
      </c>
      <c r="AN45" s="180"/>
      <c r="AO45" s="37">
        <v>4.08</v>
      </c>
      <c r="AP45" s="15"/>
      <c r="AQ45"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3595.92</v>
      </c>
      <c r="AR45"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3595.92</v>
      </c>
      <c r="AS45" s="15"/>
      <c r="AT45" s="97" t="str">
        <f>IF(Tabla57[[#This Row],[Cod trabalhador]]="", "", INDEX(Iban!C:C, MATCH(Tabla57[[#This Row],[Cod trabalhador]],Iban!A:A, 0)))</f>
        <v>FR76 2763 3121 2905 0404 5072 673</v>
      </c>
      <c r="AU45" s="97"/>
      <c r="AV45" s="97"/>
      <c r="AW45" s="66" t="s">
        <v>7533</v>
      </c>
      <c r="AX45" s="296" t="s">
        <v>7472</v>
      </c>
    </row>
    <row r="46" spans="1:50" ht="18.75" customHeight="1" x14ac:dyDescent="0.3">
      <c r="A46" s="125"/>
      <c r="B46" s="100" t="s">
        <v>6893</v>
      </c>
      <c r="C46" s="385" t="str">
        <f>IF(ISNUMBER(MATCH(Tabla57[[#This Row],[Cod trabalhador]],'Altas Industrial'!B:B, 0)), "Ativo", "Não ativo")</f>
        <v>Não ativo</v>
      </c>
      <c r="D46" s="384" t="str">
        <f>IFERROR(IF(VLOOKUP(Tabla57[[#This Row],[Cod trabalhador]],'Altas Industrial'!B:E,1,0)&lt;&gt;"","KI",""),"")</f>
        <v/>
      </c>
      <c r="E46" s="384" t="str">
        <f>IFERROR(IF(VLOOKUP(Tabla57[[#This Row],[Cod trabalhador]],'Altas Rosas'!B:F,1,0)&lt;&gt;"","KR",""),"")</f>
        <v/>
      </c>
      <c r="F46" s="384" t="str">
        <f>IFERROR(IF(VLOOKUP(Tabla57[[#This Row],[Cod trabalhador]],'Altas Wiseowe'!B:E,1,0)&lt;&gt;"","WS",""),"")</f>
        <v/>
      </c>
      <c r="G46" s="101" t="str">
        <f>IFERROR(IF(VLOOKUP(Tabla57[[#This Row],[Cod trabalhador]],'Altas Luminous'!B:E,1,0)&lt;&gt;"","LM",""),"")</f>
        <v/>
      </c>
      <c r="H46" s="386" t="str">
        <f>IFERROR(VLOOKUP(Tabla57[[#This Row],[Cod trabalhador]],'Altas Industrial'!B:E,3,FALSE),"")</f>
        <v/>
      </c>
      <c r="I46" s="387" t="str">
        <f>IF(OR(Tabla57[[#This Row],[Cod trabalhador]]="",ISBLANK(Tabla57[[#This Row],[Cod trabalhador]])),"",IFERROR(IF(VLOOKUP(Tabla57[[#This Row],[Cod trabalhador]],'Altas Industrial'!B:E,4,FALSE)=0,"",VLOOKUP(Tabla57[[#This Row],[Cod trabalhador]],'Altas Industrial'!B:E,4,FALSE)),""))</f>
        <v/>
      </c>
      <c r="J46" s="384">
        <f t="shared" si="0"/>
        <v>0</v>
      </c>
      <c r="K46" s="377" t="s">
        <v>7069</v>
      </c>
      <c r="L46" s="306" t="str">
        <f>IFERROR(IF(Tabla57[[#This Row],[Cod trabalhador]]="",Tabla57[[#This Row],[Cod trabalhador]], INDEX(Colaborador_ID[Nombre], MATCH(Tabla57[[#This Row],[Cod trabalhador]],Colaborador_ID[Cod_colab], 0))), "")</f>
        <v>YOBER HUAMAN VELASQUE</v>
      </c>
      <c r="M46" s="15"/>
      <c r="N46" s="408" t="s">
        <v>7054</v>
      </c>
      <c r="O46" s="103">
        <f>IFERROR(VLOOKUP(Tabla57[[#This Row],[Cod trabalhador]],Tabla15[],4,FALSE),"")</f>
        <v>16</v>
      </c>
      <c r="P46" s="375">
        <f>IFERROR(VLOOKUP(Tabla57[[#This Row],[Cod trabalhador]],'TotalHorasAjustadas (2)'!D:L,8,FALSE),"")</f>
        <v>144</v>
      </c>
      <c r="Q46" s="202">
        <v>144</v>
      </c>
      <c r="R46" s="98" t="s">
        <v>7532</v>
      </c>
      <c r="S46" s="103"/>
      <c r="T46" s="15"/>
      <c r="U46" s="96"/>
      <c r="V46" s="103"/>
      <c r="W46" s="97"/>
      <c r="X46" s="98"/>
      <c r="Y46" s="99"/>
      <c r="Z46" s="15"/>
      <c r="AA46" s="54" t="str">
        <f>IFERROR(VLOOKUP(Tabla57[[#This Row],[Cod trabalhador]],Alojamentos!B:P,11,FALSE),"")</f>
        <v/>
      </c>
      <c r="AB46" s="55"/>
      <c r="AC46" s="15"/>
      <c r="AD46" s="343">
        <f>Tabla57[[#This Row],[Dias de alta]]*7.058</f>
        <v>0</v>
      </c>
      <c r="AE46" s="344" t="str">
        <f>IFERROR(VLOOKUP(Tabla57[[#This Row],[Cod trabalhador]],Adiantamentos!B:S,7,FALSE),"")</f>
        <v/>
      </c>
      <c r="AF46" s="374" t="str">
        <f>IFERROR(VLOOKUP(Tabla57[[#This Row],[Cod trabalhador]],Carro!B:D,3,FALSE),"")</f>
        <v/>
      </c>
      <c r="AG46" s="180" t="str">
        <f>IFERROR(VLOOKUP(Tabla57[[#This Row],[Cod trabalhador]],'Outros descontos'!B:M,7,FALSE),"")</f>
        <v/>
      </c>
      <c r="AH46" s="180" t="str">
        <f>IFERROR(VLOOKUP(Tabla57[[#This Row],[Cod trabalhador]],'Outros descontos'!B:M,8,FALSE),"")</f>
        <v/>
      </c>
      <c r="AI46" s="180" t="str">
        <f>IFERROR(VLOOKUP(Tabla57[[#This Row],[Cod trabalhador]],'Outros descontos'!B:M,9,FALSE),"")</f>
        <v/>
      </c>
      <c r="AJ46" s="180" t="str">
        <f>IFERROR(VLOOKUP(Tabla57[[#This Row],[Cod trabalhador]],'Outros descontos'!B:M,10,FALSE),"")</f>
        <v/>
      </c>
      <c r="AK46" s="180" t="str">
        <f>IFERROR(VLOOKUP(Tabla57[[#This Row],[Cod trabalhador]],'Outros descontos'!B:M,11,FALSE),"")</f>
        <v/>
      </c>
      <c r="AL46" s="180" t="str">
        <f>IFERROR(VLOOKUP(Tabla57[[#This Row],[Cod trabalhador]],'Outros descontos'!B:M,12,FALSE),"")</f>
        <v/>
      </c>
      <c r="AM46" s="295" t="str">
        <f>IFERROR(VLOOKUP(Tabla57[[#This Row],[Cod trabalhador]],'Outros descontos'!B:M,13,FALSE),"")</f>
        <v/>
      </c>
      <c r="AN46" s="180"/>
      <c r="AO46" s="37">
        <v>4.08</v>
      </c>
      <c r="AP46" s="15"/>
      <c r="AQ46"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2299.92</v>
      </c>
      <c r="AR46"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2299.92</v>
      </c>
      <c r="AS46" s="15"/>
      <c r="AT46" s="97" t="str">
        <f>IF(Tabla57[[#This Row],[Cod trabalhador]]="", "", INDEX(Iban!C:C, MATCH(Tabla57[[#This Row],[Cod trabalhador]],Iban!A:A, 0)))</f>
        <v>ES40 0182 0394 3602 0176 1182</v>
      </c>
      <c r="AU46" s="97"/>
      <c r="AV46" s="97"/>
      <c r="AW46" s="66" t="s">
        <v>7533</v>
      </c>
      <c r="AX46" s="296" t="s">
        <v>7472</v>
      </c>
    </row>
    <row r="47" spans="1:50" ht="18.75" customHeight="1" x14ac:dyDescent="0.3">
      <c r="A47" s="125"/>
      <c r="B47" s="100" t="s">
        <v>6948</v>
      </c>
      <c r="C47" s="385" t="str">
        <f>IF(ISNUMBER(MATCH(Tabla57[[#This Row],[Cod trabalhador]],'Altas Industrial'!B:B, 0)), "Ativo", "Não ativo")</f>
        <v>Não ativo</v>
      </c>
      <c r="D47" s="384" t="str">
        <f>IFERROR(IF(VLOOKUP(Tabla57[[#This Row],[Cod trabalhador]],'Altas Industrial'!B:E,1,0)&lt;&gt;"","KI",""),"")</f>
        <v/>
      </c>
      <c r="E47" s="384" t="str">
        <f>IFERROR(IF(VLOOKUP(Tabla57[[#This Row],[Cod trabalhador]],'Altas Rosas'!B:F,1,0)&lt;&gt;"","KR",""),"")</f>
        <v/>
      </c>
      <c r="F47" s="384" t="str">
        <f>IFERROR(IF(VLOOKUP(Tabla57[[#This Row],[Cod trabalhador]],'Altas Wiseowe'!B:E,1,0)&lt;&gt;"","WS",""),"")</f>
        <v/>
      </c>
      <c r="G47" s="101" t="str">
        <f>IFERROR(IF(VLOOKUP(Tabla57[[#This Row],[Cod trabalhador]],'Altas Luminous'!B:E,1,0)&lt;&gt;"","LM",""),"")</f>
        <v/>
      </c>
      <c r="H47" s="386" t="str">
        <f>IFERROR(VLOOKUP(Tabla57[[#This Row],[Cod trabalhador]],'Altas Industrial'!B:E,3,FALSE),"")</f>
        <v/>
      </c>
      <c r="I47" s="387" t="str">
        <f>IF(OR(Tabla57[[#This Row],[Cod trabalhador]]="",ISBLANK(Tabla57[[#This Row],[Cod trabalhador]])),"",IFERROR(IF(VLOOKUP(Tabla57[[#This Row],[Cod trabalhador]],'Altas Industrial'!B:E,4,FALSE)=0,"",VLOOKUP(Tabla57[[#This Row],[Cod trabalhador]],'Altas Industrial'!B:E,4,FALSE)),""))</f>
        <v/>
      </c>
      <c r="J47" s="384">
        <f t="shared" si="0"/>
        <v>0</v>
      </c>
      <c r="K47" s="377" t="s">
        <v>7036</v>
      </c>
      <c r="L47" s="306" t="str">
        <f>IFERROR(IF(Tabla57[[#This Row],[Cod trabalhador]]="",Tabla57[[#This Row],[Cod trabalhador]], INDEX(Colaborador_ID[Nombre], MATCH(Tabla57[[#This Row],[Cod trabalhador]],Colaborador_ID[Cod_colab], 0))), "")</f>
        <v>YUBYINER SANTIAGO CELIS</v>
      </c>
      <c r="M47" s="15"/>
      <c r="N47" s="408" t="s">
        <v>7031</v>
      </c>
      <c r="O47" s="103">
        <f>IFERROR(VLOOKUP(Tabla57[[#This Row],[Cod trabalhador]],Tabla15[],4,FALSE),"")</f>
        <v>15</v>
      </c>
      <c r="P47" s="375">
        <f>IFERROR(VLOOKUP(Tabla57[[#This Row],[Cod trabalhador]],'TotalHorasAjustadas (2)'!D:L,8,FALSE),"")</f>
        <v>252</v>
      </c>
      <c r="Q47" s="202">
        <v>252</v>
      </c>
      <c r="R47" s="98" t="s">
        <v>7471</v>
      </c>
      <c r="S47" s="103"/>
      <c r="T47" s="15"/>
      <c r="U47" s="96"/>
      <c r="V47" s="103"/>
      <c r="W47" s="97"/>
      <c r="X47" s="98"/>
      <c r="Y47" s="99"/>
      <c r="Z47" s="15"/>
      <c r="AA47" s="54" t="str">
        <f>IFERROR(VLOOKUP(Tabla57[[#This Row],[Cod trabalhador]],Alojamentos!B:P,11,FALSE),"")</f>
        <v/>
      </c>
      <c r="AB47" s="55"/>
      <c r="AC47" s="15"/>
      <c r="AD47" s="343">
        <f>Tabla57[[#This Row],[Dias de alta]]*7.058</f>
        <v>0</v>
      </c>
      <c r="AE47" s="344" t="str">
        <f>IFERROR(VLOOKUP(Tabla57[[#This Row],[Cod trabalhador]],Adiantamentos!B:S,7,FALSE),"")</f>
        <v/>
      </c>
      <c r="AF47" s="374">
        <f>IFERROR(VLOOKUP(Tabla57[[#This Row],[Cod trabalhador]],Carro!B:D,3,FALSE),"")</f>
        <v>116</v>
      </c>
      <c r="AG47" s="180" t="str">
        <f>IFERROR(VLOOKUP(Tabla57[[#This Row],[Cod trabalhador]],'Outros descontos'!B:M,7,FALSE),"")</f>
        <v/>
      </c>
      <c r="AH47" s="180" t="str">
        <f>IFERROR(VLOOKUP(Tabla57[[#This Row],[Cod trabalhador]],'Outros descontos'!B:M,8,FALSE),"")</f>
        <v/>
      </c>
      <c r="AI47" s="180" t="str">
        <f>IFERROR(VLOOKUP(Tabla57[[#This Row],[Cod trabalhador]],'Outros descontos'!B:M,9,FALSE),"")</f>
        <v/>
      </c>
      <c r="AJ47" s="180" t="str">
        <f>IFERROR(VLOOKUP(Tabla57[[#This Row],[Cod trabalhador]],'Outros descontos'!B:M,10,FALSE),"")</f>
        <v/>
      </c>
      <c r="AK47" s="180" t="str">
        <f>IFERROR(VLOOKUP(Tabla57[[#This Row],[Cod trabalhador]],'Outros descontos'!B:M,11,FALSE),"")</f>
        <v/>
      </c>
      <c r="AL47" s="180" t="str">
        <f>IFERROR(VLOOKUP(Tabla57[[#This Row],[Cod trabalhador]],'Outros descontos'!B:M,12,FALSE),"")</f>
        <v/>
      </c>
      <c r="AM47" s="295" t="str">
        <f>IFERROR(VLOOKUP(Tabla57[[#This Row],[Cod trabalhador]],'Outros descontos'!B:M,13,FALSE),"")</f>
        <v/>
      </c>
      <c r="AN47" s="180"/>
      <c r="AO47" s="37">
        <v>4.08</v>
      </c>
      <c r="AP47" s="15"/>
      <c r="AQ47"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3659.92</v>
      </c>
      <c r="AR47"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3659.92</v>
      </c>
      <c r="AS47" s="15"/>
      <c r="AT47" s="97" t="str">
        <f>IF(Tabla57[[#This Row],[Cod trabalhador]]="", "", INDEX(Iban!C:C, MATCH(Tabla57[[#This Row],[Cod trabalhador]],Iban!A:A, 0)))</f>
        <v>ES21 0182 0573 1602 0173 3087</v>
      </c>
      <c r="AU47" s="97"/>
      <c r="AV47" s="97"/>
      <c r="AW47" s="66" t="s">
        <v>7533</v>
      </c>
      <c r="AX47" s="296" t="s">
        <v>7472</v>
      </c>
    </row>
    <row r="48" spans="1:50" ht="18.75" customHeight="1" x14ac:dyDescent="0.3">
      <c r="A48" s="125"/>
      <c r="B48" s="39">
        <f>IFERROR(IF(Tabla57[[#This Row],[Colaborador]]="",Tabla57[[#This Row],[Colaborador]], INDEX(Colaboradores!A:A, MATCH(Tabla57[[#This Row],[Colaborador]], Colaboradores!C:C, 0))), "")</f>
        <v>0</v>
      </c>
      <c r="C48" s="45" t="str">
        <f>IF(ISNUMBER(MATCH(Tabla57[[#This Row],[Cod trabalhador]],'Altas Industrial'!B:B, 0)), "Ativo", "Não ativo")</f>
        <v>Não ativo</v>
      </c>
      <c r="D48" s="101" t="str">
        <f>IFERROR(IF(VLOOKUP(Tabla57[[#This Row],[Cod trabalhador]],'Altas Industrial'!B:E,1,0)&lt;&gt;"","KI",""),"")</f>
        <v/>
      </c>
      <c r="E48" s="101" t="str">
        <f>IFERROR(IF(VLOOKUP(Tabla57[[#This Row],[Cod trabalhador]],'Altas Rosas'!B:F,1,0)&lt;&gt;"","KR",""),"")</f>
        <v/>
      </c>
      <c r="F48" s="101" t="str">
        <f>IFERROR(IF(VLOOKUP(Tabla57[[#This Row],[Cod trabalhador]],'Altas Wiseowe'!B:E,1,0)&lt;&gt;"","WS",""),"")</f>
        <v/>
      </c>
      <c r="G48" s="101" t="str">
        <f>IFERROR(IF(VLOOKUP(Tabla57[[#This Row],[Cod trabalhador]],'Altas Luminous'!B:E,1,0)&lt;&gt;"","LM",""),"")</f>
        <v/>
      </c>
      <c r="H48" s="51" t="str">
        <f>IFERROR(VLOOKUP(Tabla57[[#This Row],[Cod trabalhador]],'Altas Industrial'!B:E,3,FALSE),"")</f>
        <v/>
      </c>
      <c r="I48" s="61" t="str">
        <f>IF(OR(Tabla57[[#This Row],[Cod trabalhador]]="",ISBLANK(Tabla57[[#This Row],[Cod trabalhador]])),"",IFERROR(IF(VLOOKUP(Tabla57[[#This Row],[Cod trabalhador]],'Altas Industrial'!B:E,4,FALSE)=0,"",VLOOKUP(Tabla57[[#This Row],[Cod trabalhador]],'Altas Industrial'!B:E,4,FALSE)),""))</f>
        <v/>
      </c>
      <c r="J48" s="397">
        <f t="shared" si="0"/>
        <v>0</v>
      </c>
      <c r="K48" s="376"/>
      <c r="L48" s="24"/>
      <c r="M48" s="15"/>
      <c r="N48" s="408"/>
      <c r="O48" s="49"/>
      <c r="P48" s="373" t="str">
        <f>IFERROR(VLOOKUP(Tabla57[[#This Row],[Cod trabalhador]],'TotalHorasAjustadas (2)'!D:L,8,FALSE),"")</f>
        <v/>
      </c>
      <c r="Q48" s="202"/>
      <c r="R48" s="28"/>
      <c r="S48" s="49"/>
      <c r="T48" s="15"/>
      <c r="U48" s="25"/>
      <c r="V48" s="49"/>
      <c r="W48" s="27"/>
      <c r="X48" s="28"/>
      <c r="Y48" s="26"/>
      <c r="Z48" s="15"/>
      <c r="AA48" s="54" t="str">
        <f>IFERROR(VLOOKUP(Tabla57[[#This Row],[Cod trabalhador]],Alojamentos!B:P,11,FALSE),"")</f>
        <v/>
      </c>
      <c r="AB48" s="55"/>
      <c r="AC48" s="15"/>
      <c r="AD48" s="343">
        <f>Tabla57[[#This Row],[Dias de alta]]*7.058</f>
        <v>0</v>
      </c>
      <c r="AE48" s="344" t="str">
        <f>IFERROR(VLOOKUP(Tabla57[[#This Row],[Cod trabalhador]],Adiantamentos!B:S,7,FALSE),"")</f>
        <v/>
      </c>
      <c r="AF48" s="374" t="str">
        <f>IFERROR(VLOOKUP(Tabla57[[#This Row],[Cod trabalhador]],Carro!B:D,3,FALSE),"")</f>
        <v/>
      </c>
      <c r="AG48" s="180" t="str">
        <f>IFERROR(VLOOKUP(Tabla57[[#This Row],[Cod trabalhador]],'Outros descontos'!B:M,7,FALSE),"")</f>
        <v/>
      </c>
      <c r="AH48" s="180" t="str">
        <f>IFERROR(VLOOKUP(Tabla57[[#This Row],[Cod trabalhador]],'Outros descontos'!B:M,8,FALSE),"")</f>
        <v/>
      </c>
      <c r="AI48" s="180" t="str">
        <f>IFERROR(VLOOKUP(Tabla57[[#This Row],[Cod trabalhador]],'Outros descontos'!B:M,9,FALSE),"")</f>
        <v/>
      </c>
      <c r="AJ48" s="180" t="str">
        <f>IFERROR(VLOOKUP(Tabla57[[#This Row],[Cod trabalhador]],'Outros descontos'!B:M,10,FALSE),"")</f>
        <v/>
      </c>
      <c r="AK48" s="180" t="str">
        <f>IFERROR(VLOOKUP(Tabla57[[#This Row],[Cod trabalhador]],'Outros descontos'!B:M,11,FALSE),"")</f>
        <v/>
      </c>
      <c r="AL48" s="180" t="str">
        <f>IFERROR(VLOOKUP(Tabla57[[#This Row],[Cod trabalhador]],'Outros descontos'!B:M,12,FALSE),"")</f>
        <v/>
      </c>
      <c r="AM48" s="295" t="str">
        <f>IFERROR(VLOOKUP(Tabla57[[#This Row],[Cod trabalhador]],'Outros descontos'!B:M,13,FALSE),"")</f>
        <v/>
      </c>
      <c r="AN48" s="180"/>
      <c r="AO48" s="37"/>
      <c r="AP48" s="15"/>
      <c r="AQ48" s="129">
        <f xml:space="preserve"> IFERROR(IF(ISNUMBER(Tabla57[[#This Row],[Hora por Previsão]])*ISNUMBER(Tabla57[[#This Row],[Tarifa cliente 1]]), Tabla57[[#This Row],[Hora por Previsão]]*Tabla57[[#This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0</v>
      </c>
      <c r="AR48" s="60">
        <f xml:space="preserve"> IFERROR(IF(ISNUMBER(Tabla57[[#This Row],[Horas confirmadas cliente 1]])*ISNUMBER(Tabla57[[#This Row],[Tarifa cliente 1]]),Tabla57[[#This Row],[Horas confirmadas cliente 1]]* Tabla57[[#This Row],[Tarifa cliente 1]], 0), 0)
+ IFERROR(IF(ISNUMBER(Tabla57[[#This Row],[Horas confirmadas cliente 2]])*ISNUMBER(Tabla57[[#This Row],[Tarifa cliente 2]]), Tabla57[[#This Row],[Horas confirmadas cliente 2]]*Tabla57[[#This Row],[Tarifa cliente 2]], 0), 0)
+ IFERROR(IF(ISNUMBER(Tabla57[[#This Row],[Auxilio alojamento]]), Tabla57[[#This Row],[Auxilio alojamento]], 0), 0)+ IFERROR(IF(ISNUMBER(Tabla57[[#This Row],[Outros acréscimos]]), Tabla57[[#This Row],[Outros acréscimos]], 0), 0) - IFERROR(IF(ISNUMBER(Tabla57[[#This Row],[Imposto ss]]), Tabla57[[#This Row],[Imposto ss]], 0), 0) - IFERROR(IF(ISNUMBER(Tabla57[[#This Row],[Adiantamento]]), Tabla57[[#This Row],[Adiantamento]], 0), 0) - IFERROR(IF(ISNUMBER(Tabla57[[#This Row],[Desconto Carro]]), Tabla57[[#This Row],[Desconto Carro]], 0), 0) - IFERROR(IF(ISNUMBER(Tabla57[[#This Row],[MULTA TRANSITO]]), Tabla57[[#This Row],[MULTA TRANSITO]], 0), 0) - IFERROR(IF(ISNUMBER(Tabla57[[#This Row],[COMBUSTIBLE]]), Tabla57[[#This Row],[COMBUSTIBLE]], 0), 0) - IFERROR(IF(ISNUMBER(Tabla57[[#This Row],[PEAJES]]), Tabla57[[#This Row],[PEAJES]], 0), 0) - IFERROR(IF(ISNUMBER(Tabla57[[#This Row],[SUMINISTROS]]), Tabla57[[#This Row],[SUMINISTROS]], 0), 0) - IFERROR(IF(ISNUMBER(Tabla57[[#This Row],[MULTA ALOJAMIENTO]]), Tabla57[[#This Row],[MULTA ALOJAMIENTO]], 0), 0) - IFERROR(IF(ISNUMBER(Tabla57[[#This Row],[LIMPIEZA O DAÑOS]]), Tabla57[[#This Row],[LIMPIEZA O DAÑOS]], 0), 0) - IFERROR(IF(ISNUMBER(Tabla57[[#This Row],[Outros  descontos]]), Tabla57[[#This Row],[Outros  descontos]], 0), 0) - IFERROR(IF(ISNUMBER(Tabla57[[#This Row],[Taxa bancária]]), Tabla57[[#This Row],[Taxa bancária]], 0), 0) - IFERROR(IF(ISNUMBER(Tabla57[[#This Row],[EPIS]]), Tabla57[[#This Row],[EPIS]], 0), 0)</f>
        <v>0</v>
      </c>
      <c r="AS48" s="15"/>
      <c r="AT48" s="27" t="e">
        <f>IF(Tabla57[[#This Row],[Cod trabalhador]]="", "", INDEX(Iban!C:C, MATCH(Tabla57[[#This Row],[Cod trabalhador]],Iban!A:A, 0)))</f>
        <v>#N/A</v>
      </c>
      <c r="AU48" s="27"/>
      <c r="AV48" s="97"/>
      <c r="AW48" s="428"/>
      <c r="AX48" s="429"/>
    </row>
    <row r="49" spans="1:1" ht="18.75" customHeight="1" x14ac:dyDescent="0.3">
      <c r="A49" s="125"/>
    </row>
  </sheetData>
  <mergeCells count="2">
    <mergeCell ref="AD1:AF1"/>
    <mergeCell ref="U2:Y2"/>
  </mergeCells>
  <phoneticPr fontId="11" type="noConversion"/>
  <conditionalFormatting sqref="B4:B48">
    <cfRule type="duplicateValues" dxfId="273" priority="22778"/>
  </conditionalFormatting>
  <conditionalFormatting sqref="C1:G2 C4:G1048576 C3">
    <cfRule type="containsText" dxfId="272" priority="281" operator="containsText" text="Não ativo">
      <formula>NOT(ISERROR(SEARCH("Não ativo",C1)))</formula>
    </cfRule>
  </conditionalFormatting>
  <conditionalFormatting sqref="D1:G2 D4:G1048576">
    <cfRule type="containsText" dxfId="271" priority="275" operator="containsText" text="Wiseowe">
      <formula>NOT(ISERROR(SEARCH("Wiseowe",D1)))</formula>
    </cfRule>
    <cfRule type="containsText" dxfId="270" priority="274" operator="containsText" text="Rosas">
      <formula>NOT(ISERROR(SEARCH("Rosas",D1)))</formula>
    </cfRule>
    <cfRule type="containsText" dxfId="269" priority="276" operator="containsText" text="No encontrado">
      <formula>NOT(ISERROR(SEARCH("No encontrado",D1)))</formula>
    </cfRule>
  </conditionalFormatting>
  <conditionalFormatting sqref="D3:G3">
    <cfRule type="containsText" dxfId="268" priority="269" operator="containsText" text="Não ativo">
      <formula>NOT(ISERROR(SEARCH("Não ativo",D3)))</formula>
    </cfRule>
    <cfRule type="containsText" dxfId="267" priority="268" operator="containsText" text="No encontrado">
      <formula>NOT(ISERROR(SEARCH("No encontrado",D3)))</formula>
    </cfRule>
    <cfRule type="containsText" dxfId="266" priority="266" operator="containsText" text="Industrial">
      <formula>NOT(ISERROR(SEARCH("Industrial",D3)))</formula>
    </cfRule>
    <cfRule type="containsText" dxfId="265" priority="262" operator="containsText" text="Rosas">
      <formula>NOT(ISERROR(SEARCH("Rosas",D3)))</formula>
    </cfRule>
  </conditionalFormatting>
  <conditionalFormatting sqref="P1:P1048576">
    <cfRule type="containsErrors" dxfId="264" priority="245">
      <formula>ISERROR(P1)</formula>
    </cfRule>
  </conditionalFormatting>
  <conditionalFormatting sqref="R4:R48 X4:X48 AX48">
    <cfRule type="containsText" dxfId="263" priority="298" operator="containsText" text="Faturado">
      <formula>NOT(ISERROR(SEARCH("Faturado",R4)))</formula>
    </cfRule>
    <cfRule type="containsText" dxfId="262" priority="297" operator="containsText" text="Pendente">
      <formula>NOT(ISERROR(SEARCH("Pendente",R4)))</formula>
    </cfRule>
  </conditionalFormatting>
  <conditionalFormatting sqref="R4:R48 AX48 X4:X48">
    <cfRule type="containsText" dxfId="261" priority="292" operator="containsText" text="Confirmado">
      <formula>NOT(ISERROR(SEARCH("Confirmado",R4)))</formula>
    </cfRule>
  </conditionalFormatting>
  <conditionalFormatting sqref="R4:R48">
    <cfRule type="containsText" dxfId="260" priority="259" operator="containsText" text="Confirmada">
      <formula>NOT(ISERROR(SEARCH("Confirmada",R4)))</formula>
    </cfRule>
    <cfRule type="containsText" dxfId="259" priority="258" operator="containsText" text="Pendente">
      <formula>NOT(ISERROR(SEARCH("Pendente",R4)))</formula>
    </cfRule>
  </conditionalFormatting>
  <conditionalFormatting sqref="AD4:AO1048576">
    <cfRule type="cellIs" dxfId="258" priority="296" operator="equal">
      <formula>0</formula>
    </cfRule>
  </conditionalFormatting>
  <conditionalFormatting sqref="AE3">
    <cfRule type="cellIs" dxfId="257" priority="277" operator="equal">
      <formula>0</formula>
    </cfRule>
  </conditionalFormatting>
  <conditionalFormatting sqref="AT4:AT48">
    <cfRule type="duplicateValues" dxfId="256" priority="22780" stopIfTrue="1"/>
    <cfRule type="containsText" dxfId="255" priority="22779" operator="containsText" text="Pendiente">
      <formula>NOT(ISERROR(SEARCH("Pendiente",AT4)))</formula>
    </cfRule>
  </conditionalFormatting>
  <conditionalFormatting sqref="AX4:AX14">
    <cfRule type="containsText" dxfId="254" priority="106" operator="containsText" text="Faturado">
      <formula>NOT(ISERROR(SEARCH("Faturado",AX4)))</formula>
    </cfRule>
    <cfRule type="containsText" dxfId="253" priority="105" operator="containsText" text="Pendente">
      <formula>NOT(ISERROR(SEARCH("Pendente",AX4)))</formula>
    </cfRule>
    <cfRule type="containsText" dxfId="252" priority="104" operator="containsText" text="Confirmado">
      <formula>NOT(ISERROR(SEARCH("Confirmado",AX4)))</formula>
    </cfRule>
    <cfRule type="containsText" dxfId="251" priority="103" operator="containsText" text="Confirmada">
      <formula>NOT(ISERROR(SEARCH("Confirmada",AX4)))</formula>
    </cfRule>
    <cfRule type="containsText" dxfId="250" priority="102" operator="containsText" text="Pendente">
      <formula>NOT(ISERROR(SEARCH("Pendente",AX4)))</formula>
    </cfRule>
    <cfRule type="containsText" dxfId="249" priority="108" operator="containsText" text="Faturado">
      <formula>NOT(ISERROR(SEARCH("Faturado",AX4)))</formula>
    </cfRule>
    <cfRule type="containsText" dxfId="248" priority="107" operator="containsText" text="Pendente">
      <formula>NOT(ISERROR(SEARCH("Pendente",AX4)))</formula>
    </cfRule>
  </conditionalFormatting>
  <conditionalFormatting sqref="AX4:AX17 AX19 AX21 AX23:AX25 AX27:AX47">
    <cfRule type="containsText" dxfId="247" priority="90" operator="containsText" text="Confirmado">
      <formula>NOT(ISERROR(SEARCH("Confirmado",AX4)))</formula>
    </cfRule>
    <cfRule type="containsText" dxfId="246" priority="94" operator="containsText" text="Faturado">
      <formula>NOT(ISERROR(SEARCH("Faturado",AX4)))</formula>
    </cfRule>
    <cfRule type="containsText" dxfId="245" priority="93" operator="containsText" text="Pendente">
      <formula>NOT(ISERROR(SEARCH("Pendente",AX4)))</formula>
    </cfRule>
  </conditionalFormatting>
  <conditionalFormatting sqref="AX4:AX48">
    <cfRule type="containsText" dxfId="244" priority="4" operator="containsText" text="Confirmada">
      <formula>NOT(ISERROR(SEARCH("Confirmada",AX4)))</formula>
    </cfRule>
    <cfRule type="containsText" dxfId="243" priority="3" operator="containsText" text="Pendente">
      <formula>NOT(ISERROR(SEARCH("Pendente",AX4)))</formula>
    </cfRule>
    <cfRule type="containsText" dxfId="242" priority="2" operator="containsText" text="Lista Negra">
      <formula>NOT(ISERROR(SEARCH("Lista Negra",AX4)))</formula>
    </cfRule>
    <cfRule type="containsText" dxfId="241" priority="1" operator="containsText" text="Não pagar">
      <formula>NOT(ISERROR(SEARCH("Não pagar",AX4)))</formula>
    </cfRule>
  </conditionalFormatting>
  <conditionalFormatting sqref="AX15:AX17 AX19 AX21 AX23:AX25 AX27:AX48">
    <cfRule type="containsText" dxfId="240" priority="92" operator="containsText" text="Faturado">
      <formula>NOT(ISERROR(SEARCH("Faturado",AX15)))</formula>
    </cfRule>
    <cfRule type="containsText" dxfId="239" priority="89" operator="containsText" text="Confirmada">
      <formula>NOT(ISERROR(SEARCH("Confirmada",AX15)))</formula>
    </cfRule>
    <cfRule type="containsText" dxfId="238" priority="91" operator="containsText" text="Pendente">
      <formula>NOT(ISERROR(SEARCH("Pendente",AX15)))</formula>
    </cfRule>
    <cfRule type="containsText" dxfId="237" priority="88" operator="containsText" text="Pendente">
      <formula>NOT(ISERROR(SEARCH("Pendente",AX15)))</formula>
    </cfRule>
  </conditionalFormatting>
  <conditionalFormatting sqref="AX15:AX19">
    <cfRule type="containsText" dxfId="236" priority="56" operator="containsText" text="Faturado">
      <formula>NOT(ISERROR(SEARCH("Faturado",AX15)))</formula>
    </cfRule>
    <cfRule type="containsText" dxfId="235" priority="55" operator="containsText" text="Pendente">
      <formula>NOT(ISERROR(SEARCH("Pendente",AX15)))</formula>
    </cfRule>
    <cfRule type="containsText" dxfId="234" priority="52" operator="containsText" text="Confirmado">
      <formula>NOT(ISERROR(SEARCH("Confirmado",AX15)))</formula>
    </cfRule>
  </conditionalFormatting>
  <conditionalFormatting sqref="AX18">
    <cfRule type="containsText" dxfId="233" priority="54" operator="containsText" text="Faturado">
      <formula>NOT(ISERROR(SEARCH("Faturado",AX18)))</formula>
    </cfRule>
    <cfRule type="containsText" dxfId="232" priority="47" operator="containsText" text="Confirmado">
      <formula>NOT(ISERROR(SEARCH("Confirmado",AX18)))</formula>
    </cfRule>
    <cfRule type="containsText" dxfId="231" priority="48" operator="containsText" text="Pendente">
      <formula>NOT(ISERROR(SEARCH("Pendente",AX18)))</formula>
    </cfRule>
    <cfRule type="containsText" dxfId="230" priority="49" operator="containsText" text="Faturado">
      <formula>NOT(ISERROR(SEARCH("Faturado",AX18)))</formula>
    </cfRule>
    <cfRule type="containsText" dxfId="229" priority="50" operator="containsText" text="Pendente">
      <formula>NOT(ISERROR(SEARCH("Pendente",AX18)))</formula>
    </cfRule>
    <cfRule type="containsText" dxfId="228" priority="51" operator="containsText" text="Confirmada">
      <formula>NOT(ISERROR(SEARCH("Confirmada",AX18)))</formula>
    </cfRule>
    <cfRule type="containsText" dxfId="227" priority="53" operator="containsText" text="Pendente">
      <formula>NOT(ISERROR(SEARCH("Pendente",AX18)))</formula>
    </cfRule>
  </conditionalFormatting>
  <conditionalFormatting sqref="AX20">
    <cfRule type="containsText" dxfId="226" priority="35" operator="containsText" text="Faturado">
      <formula>NOT(ISERROR(SEARCH("Faturado",AX20)))</formula>
    </cfRule>
    <cfRule type="containsText" dxfId="225" priority="34" operator="containsText" text="Pendente">
      <formula>NOT(ISERROR(SEARCH("Pendente",AX20)))</formula>
    </cfRule>
    <cfRule type="containsText" dxfId="224" priority="33" operator="containsText" text="Confirmado">
      <formula>NOT(ISERROR(SEARCH("Confirmado",AX20)))</formula>
    </cfRule>
    <cfRule type="containsText" dxfId="223" priority="40" operator="containsText" text="Faturado">
      <formula>NOT(ISERROR(SEARCH("Faturado",AX20)))</formula>
    </cfRule>
    <cfRule type="containsText" dxfId="222" priority="39" operator="containsText" text="Pendente">
      <formula>NOT(ISERROR(SEARCH("Pendente",AX20)))</formula>
    </cfRule>
    <cfRule type="containsText" dxfId="221" priority="37" operator="containsText" text="Confirmada">
      <formula>NOT(ISERROR(SEARCH("Confirmada",AX20)))</formula>
    </cfRule>
    <cfRule type="containsText" dxfId="220" priority="36" operator="containsText" text="Pendente">
      <formula>NOT(ISERROR(SEARCH("Pendente",AX20)))</formula>
    </cfRule>
  </conditionalFormatting>
  <conditionalFormatting sqref="AX20:AX21">
    <cfRule type="containsText" dxfId="219" priority="38" operator="containsText" text="Confirmado">
      <formula>NOT(ISERROR(SEARCH("Confirmado",AX20)))</formula>
    </cfRule>
    <cfRule type="containsText" dxfId="218" priority="42" operator="containsText" text="Faturado">
      <formula>NOT(ISERROR(SEARCH("Faturado",AX20)))</formula>
    </cfRule>
    <cfRule type="containsText" dxfId="217" priority="41" operator="containsText" text="Pendente">
      <formula>NOT(ISERROR(SEARCH("Pendente",AX20)))</formula>
    </cfRule>
  </conditionalFormatting>
  <conditionalFormatting sqref="AX22">
    <cfRule type="containsText" dxfId="216" priority="26" operator="containsText" text="Faturado">
      <formula>NOT(ISERROR(SEARCH("Faturado",AX22)))</formula>
    </cfRule>
    <cfRule type="containsText" dxfId="215" priority="25" operator="containsText" text="Pendente">
      <formula>NOT(ISERROR(SEARCH("Pendente",AX22)))</formula>
    </cfRule>
    <cfRule type="containsText" dxfId="214" priority="22" operator="containsText" text="Pendente">
      <formula>NOT(ISERROR(SEARCH("Pendente",AX22)))</formula>
    </cfRule>
    <cfRule type="containsText" dxfId="213" priority="21" operator="containsText" text="Faturado">
      <formula>NOT(ISERROR(SEARCH("Faturado",AX22)))</formula>
    </cfRule>
    <cfRule type="containsText" dxfId="212" priority="20" operator="containsText" text="Pendente">
      <formula>NOT(ISERROR(SEARCH("Pendente",AX22)))</formula>
    </cfRule>
    <cfRule type="containsText" dxfId="211" priority="19" operator="containsText" text="Confirmado">
      <formula>NOT(ISERROR(SEARCH("Confirmado",AX22)))</formula>
    </cfRule>
    <cfRule type="containsText" dxfId="210" priority="23" operator="containsText" text="Confirmada">
      <formula>NOT(ISERROR(SEARCH("Confirmada",AX22)))</formula>
    </cfRule>
  </conditionalFormatting>
  <conditionalFormatting sqref="AX22:AX25">
    <cfRule type="containsText" dxfId="209" priority="28" operator="containsText" text="Faturado">
      <formula>NOT(ISERROR(SEARCH("Faturado",AX22)))</formula>
    </cfRule>
    <cfRule type="containsText" dxfId="208" priority="27" operator="containsText" text="Pendente">
      <formula>NOT(ISERROR(SEARCH("Pendente",AX22)))</formula>
    </cfRule>
    <cfRule type="containsText" dxfId="207" priority="24" operator="containsText" text="Confirmado">
      <formula>NOT(ISERROR(SEARCH("Confirmado",AX22)))</formula>
    </cfRule>
  </conditionalFormatting>
  <conditionalFormatting sqref="AX26">
    <cfRule type="containsText" dxfId="206" priority="12" operator="containsText" text="Faturado">
      <formula>NOT(ISERROR(SEARCH("Faturado",AX26)))</formula>
    </cfRule>
    <cfRule type="containsText" dxfId="205" priority="11" operator="containsText" text="Pendente">
      <formula>NOT(ISERROR(SEARCH("Pendente",AX26)))</formula>
    </cfRule>
    <cfRule type="containsText" dxfId="204" priority="9" operator="containsText" text="Confirmada">
      <formula>NOT(ISERROR(SEARCH("Confirmada",AX26)))</formula>
    </cfRule>
    <cfRule type="containsText" dxfId="203" priority="8" operator="containsText" text="Pendente">
      <formula>NOT(ISERROR(SEARCH("Pendente",AX26)))</formula>
    </cfRule>
    <cfRule type="containsText" dxfId="202" priority="7" operator="containsText" text="Faturado">
      <formula>NOT(ISERROR(SEARCH("Faturado",AX26)))</formula>
    </cfRule>
    <cfRule type="containsText" dxfId="201" priority="6" operator="containsText" text="Pendente">
      <formula>NOT(ISERROR(SEARCH("Pendente",AX26)))</formula>
    </cfRule>
    <cfRule type="containsText" dxfId="200" priority="5" operator="containsText" text="Confirmado">
      <formula>NOT(ISERROR(SEARCH("Confirmado",AX26)))</formula>
    </cfRule>
  </conditionalFormatting>
  <conditionalFormatting sqref="AX26:AX47">
    <cfRule type="containsText" dxfId="199" priority="10" operator="containsText" text="Confirmado">
      <formula>NOT(ISERROR(SEARCH("Confirmado",AX26)))</formula>
    </cfRule>
    <cfRule type="containsText" dxfId="198" priority="14" operator="containsText" text="Faturado">
      <formula>NOT(ISERROR(SEARCH("Faturado",AX26)))</formula>
    </cfRule>
    <cfRule type="containsText" dxfId="197" priority="13" operator="containsText" text="Pendente">
      <formula>NOT(ISERROR(SEARCH("Pendente",AX26)))</formula>
    </cfRule>
  </conditionalFormatting>
  <dataValidations count="1">
    <dataValidation type="list" allowBlank="1" showInputMessage="1" showErrorMessage="1" sqref="AW49:AW1048576" xr:uid="{9B211611-5396-45E8-BCD8-5494025EA78D}">
      <formula1>"Pago,Pendente,Verificar,Não pagar"</formula1>
    </dataValidation>
  </dataValidations>
  <pageMargins left="0.25" right="0.25" top="0.75" bottom="0.75" header="0.3" footer="0.3"/>
  <pageSetup paperSize="9" scale="29" fitToHeight="0" orientation="landscape" r:id="rId1"/>
  <drawing r:id="rId2"/>
  <legacyDrawing r:id="rId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F42E8B0D-3785-4988-8214-345D6C50AC99}">
          <x14:formula1>
            <xm:f>Colaboradores!$C:$C</xm:f>
          </x14:formula1>
          <xm:sqref>L4:L1048576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8B2CC-0DD2-47FE-A59E-D36323C3D0EB}">
  <sheetPr>
    <tabColor rgb="FF00B0F0"/>
  </sheetPr>
  <dimension ref="A1:AY53"/>
  <sheetViews>
    <sheetView zoomScaleNormal="100" workbookViewId="0">
      <pane xSplit="12" topLeftCell="AW1" activePane="topRight" state="frozen"/>
      <selection activeCell="K56" sqref="K56:K80"/>
      <selection pane="topRight" activeCell="AW4" sqref="AW4:AX4"/>
    </sheetView>
  </sheetViews>
  <sheetFormatPr defaultColWidth="11.5546875" defaultRowHeight="18.75" customHeight="1" x14ac:dyDescent="0.3"/>
  <cols>
    <col min="1" max="1" width="3.109375" style="42" customWidth="1"/>
    <col min="2" max="2" width="9.88671875" style="29" customWidth="1"/>
    <col min="3" max="3" width="6" style="22" customWidth="1"/>
    <col min="4" max="7" width="4.109375" style="22" customWidth="1"/>
    <col min="8" max="9" width="10" style="50" customWidth="1"/>
    <col min="10" max="10" width="10" style="22" customWidth="1"/>
    <col min="11" max="11" width="30.6640625" style="378" customWidth="1"/>
    <col min="12" max="12" width="43.88671875" style="19" bestFit="1" customWidth="1"/>
    <col min="13" max="13" width="3" style="19" customWidth="1"/>
    <col min="14" max="14" width="15" style="23" customWidth="1"/>
    <col min="15" max="15" width="9" style="21" customWidth="1"/>
    <col min="16" max="16" width="9" style="207" customWidth="1"/>
    <col min="17" max="17" width="11.33203125" style="146" customWidth="1"/>
    <col min="18" max="18" width="10.6640625" style="21" customWidth="1"/>
    <col min="19" max="19" width="6.88671875" style="19" customWidth="1"/>
    <col min="20" max="20" width="3.33203125" style="47" customWidth="1"/>
    <col min="21" max="21" width="13" style="21" customWidth="1"/>
    <col min="22" max="22" width="9" style="1" customWidth="1"/>
    <col min="23" max="23" width="9" style="22" customWidth="1"/>
    <col min="24" max="24" width="9.6640625" style="21" customWidth="1"/>
    <col min="25" max="25" width="5.5546875" style="19" customWidth="1"/>
    <col min="26" max="26" width="3.109375" style="20" customWidth="1"/>
    <col min="27" max="27" width="10.109375" style="20" customWidth="1"/>
    <col min="28" max="28" width="10.109375" style="19" customWidth="1"/>
    <col min="29" max="29" width="4.5546875" style="20" customWidth="1"/>
    <col min="30" max="30" width="11.6640625" style="20" customWidth="1"/>
    <col min="31" max="31" width="10.44140625" style="20" customWidth="1"/>
    <col min="32" max="39" width="10.109375" style="20" customWidth="1"/>
    <col min="40" max="40" width="8.88671875" style="36" customWidth="1"/>
    <col min="41" max="41" width="5.33203125" style="19" customWidth="1"/>
    <col min="42" max="42" width="2.109375" style="58" customWidth="1"/>
    <col min="43" max="43" width="9" style="58" customWidth="1"/>
    <col min="44" max="44" width="12" style="199" customWidth="1"/>
    <col min="45" max="45" width="2.6640625" style="1" customWidth="1"/>
    <col min="46" max="46" width="37.44140625" style="1" customWidth="1"/>
    <col min="47" max="47" width="10.88671875" style="124"/>
    <col min="48" max="48" width="15.33203125" style="124" customWidth="1"/>
    <col min="49" max="49" width="15" style="124" customWidth="1"/>
  </cols>
  <sheetData>
    <row r="1" spans="1:51" ht="32.25" customHeight="1" x14ac:dyDescent="0.3">
      <c r="A1" s="43"/>
      <c r="B1" s="29">
        <v>1</v>
      </c>
      <c r="C1" s="22">
        <v>2</v>
      </c>
      <c r="D1" s="22">
        <v>3</v>
      </c>
      <c r="E1" s="22">
        <v>4</v>
      </c>
      <c r="F1" s="22">
        <v>5</v>
      </c>
      <c r="G1" s="22">
        <v>6</v>
      </c>
      <c r="H1" s="22">
        <v>7</v>
      </c>
      <c r="I1" s="22">
        <v>8</v>
      </c>
      <c r="J1" s="22">
        <v>9</v>
      </c>
      <c r="L1" s="19">
        <v>10</v>
      </c>
      <c r="M1" s="19">
        <v>11</v>
      </c>
      <c r="N1" s="23">
        <v>12</v>
      </c>
      <c r="O1" s="21">
        <v>13</v>
      </c>
      <c r="P1" s="1">
        <v>14</v>
      </c>
      <c r="Q1" s="1">
        <v>15</v>
      </c>
      <c r="R1" s="22">
        <v>16</v>
      </c>
      <c r="S1" s="22">
        <v>17</v>
      </c>
      <c r="T1" s="19">
        <v>18</v>
      </c>
      <c r="U1" s="23">
        <v>19</v>
      </c>
      <c r="V1" s="21">
        <v>20</v>
      </c>
      <c r="W1" s="1">
        <v>21</v>
      </c>
      <c r="X1" s="22">
        <v>22</v>
      </c>
      <c r="Y1" s="22">
        <v>23</v>
      </c>
      <c r="Z1" s="19">
        <v>24</v>
      </c>
      <c r="AA1" s="19">
        <v>25</v>
      </c>
      <c r="AB1" s="19">
        <v>26</v>
      </c>
      <c r="AC1" s="19">
        <v>27</v>
      </c>
      <c r="AD1" s="19">
        <v>28</v>
      </c>
      <c r="AE1" s="19">
        <v>29</v>
      </c>
      <c r="AF1" s="19">
        <v>30</v>
      </c>
      <c r="AG1" s="19">
        <v>31</v>
      </c>
      <c r="AH1" s="19">
        <v>32</v>
      </c>
      <c r="AI1" s="19">
        <v>33</v>
      </c>
      <c r="AJ1" s="19">
        <v>34</v>
      </c>
      <c r="AK1" s="19">
        <v>35</v>
      </c>
      <c r="AL1" s="19">
        <v>36</v>
      </c>
      <c r="AM1" s="19">
        <v>37</v>
      </c>
      <c r="AN1" s="19">
        <v>38</v>
      </c>
      <c r="AO1" s="19">
        <v>39</v>
      </c>
      <c r="AP1" s="307">
        <v>40</v>
      </c>
      <c r="AQ1" s="19">
        <v>41</v>
      </c>
      <c r="AR1" s="63">
        <v>42</v>
      </c>
      <c r="AS1" s="63"/>
      <c r="AT1" s="111"/>
      <c r="AU1" s="123"/>
      <c r="AV1" s="123"/>
      <c r="AW1" s="123"/>
      <c r="AX1" s="115"/>
      <c r="AY1" s="14"/>
    </row>
    <row r="2" spans="1:51" ht="15" x14ac:dyDescent="0.3">
      <c r="A2" s="43"/>
      <c r="B2" s="106"/>
      <c r="C2" s="107"/>
      <c r="D2" s="107"/>
      <c r="E2" s="107"/>
      <c r="F2" s="107"/>
      <c r="G2" s="107"/>
      <c r="H2" s="107"/>
      <c r="I2" s="107"/>
      <c r="J2" s="107"/>
      <c r="K2" s="379"/>
      <c r="L2" s="15"/>
      <c r="M2" s="15"/>
      <c r="N2" s="109"/>
      <c r="O2" s="110"/>
      <c r="P2" s="145"/>
      <c r="Q2" s="147"/>
      <c r="R2" s="107"/>
      <c r="S2" s="112"/>
      <c r="T2" s="15"/>
      <c r="U2" s="119" t="s">
        <v>7489</v>
      </c>
      <c r="V2" s="114"/>
      <c r="W2" s="111"/>
      <c r="X2" s="107"/>
      <c r="Y2" s="115"/>
      <c r="Z2" s="15"/>
      <c r="AA2" s="116"/>
      <c r="AB2" s="116"/>
      <c r="AC2" s="15"/>
      <c r="AD2" s="116" t="s">
        <v>7536</v>
      </c>
      <c r="AE2" s="116"/>
      <c r="AF2" s="116"/>
      <c r="AG2" s="116"/>
      <c r="AH2" s="116"/>
      <c r="AI2" s="116"/>
      <c r="AJ2" s="116"/>
      <c r="AK2" s="116"/>
      <c r="AL2" s="116"/>
      <c r="AM2" s="116"/>
      <c r="AN2" s="116"/>
      <c r="AO2" s="117"/>
      <c r="AP2" s="15"/>
      <c r="AQ2" s="118"/>
      <c r="AR2" s="118"/>
      <c r="AS2" s="15"/>
      <c r="AT2" s="111"/>
      <c r="AU2" s="123"/>
      <c r="AV2" s="123"/>
      <c r="AW2" s="123"/>
      <c r="AX2" s="115"/>
      <c r="AY2" s="14"/>
    </row>
    <row r="3" spans="1:51" s="33" customFormat="1" ht="25.5" customHeight="1" x14ac:dyDescent="0.3">
      <c r="A3" s="125" t="s">
        <v>7537</v>
      </c>
      <c r="B3" s="31" t="s">
        <v>7372</v>
      </c>
      <c r="C3" s="31" t="s">
        <v>7490</v>
      </c>
      <c r="D3" s="31" t="s">
        <v>7001</v>
      </c>
      <c r="E3" s="31" t="s">
        <v>6999</v>
      </c>
      <c r="F3" s="31" t="s">
        <v>7000</v>
      </c>
      <c r="G3" s="31" t="s">
        <v>7491</v>
      </c>
      <c r="H3" s="31" t="s">
        <v>7492</v>
      </c>
      <c r="I3" s="31" t="s">
        <v>7493</v>
      </c>
      <c r="J3" s="31" t="s">
        <v>7494</v>
      </c>
      <c r="K3" s="31" t="s">
        <v>7495</v>
      </c>
      <c r="L3" s="31" t="s">
        <v>7373</v>
      </c>
      <c r="M3" s="10" t="s">
        <v>7496</v>
      </c>
      <c r="N3" s="31" t="s">
        <v>7374</v>
      </c>
      <c r="O3" s="32" t="s">
        <v>7375</v>
      </c>
      <c r="P3" s="31" t="s">
        <v>7497</v>
      </c>
      <c r="Q3" s="32" t="s">
        <v>7498</v>
      </c>
      <c r="R3" s="126" t="s">
        <v>7538</v>
      </c>
      <c r="S3" s="31" t="s">
        <v>7500</v>
      </c>
      <c r="T3" s="10" t="s">
        <v>7501</v>
      </c>
      <c r="U3" s="31" t="s">
        <v>7502</v>
      </c>
      <c r="V3" s="32" t="s">
        <v>7503</v>
      </c>
      <c r="W3" s="31" t="s">
        <v>7504</v>
      </c>
      <c r="X3" s="31" t="s">
        <v>7505</v>
      </c>
      <c r="Y3" s="32" t="s">
        <v>7506</v>
      </c>
      <c r="Z3" s="10" t="s">
        <v>7507</v>
      </c>
      <c r="AA3" s="32" t="s">
        <v>7508</v>
      </c>
      <c r="AB3" s="32" t="s">
        <v>7509</v>
      </c>
      <c r="AC3" s="10" t="s">
        <v>7510</v>
      </c>
      <c r="AD3" s="32" t="s">
        <v>7511</v>
      </c>
      <c r="AE3" s="32" t="s">
        <v>7512</v>
      </c>
      <c r="AF3" s="32" t="s">
        <v>7513</v>
      </c>
      <c r="AG3" s="32" t="s">
        <v>7514</v>
      </c>
      <c r="AH3" s="32" t="s">
        <v>7515</v>
      </c>
      <c r="AI3" s="32" t="s">
        <v>7516</v>
      </c>
      <c r="AJ3" s="32" t="s">
        <v>7517</v>
      </c>
      <c r="AK3" s="32" t="s">
        <v>7518</v>
      </c>
      <c r="AL3" s="32" t="s">
        <v>7519</v>
      </c>
      <c r="AM3" s="32" t="s">
        <v>7520</v>
      </c>
      <c r="AN3" s="32" t="s">
        <v>7521</v>
      </c>
      <c r="AO3" s="32" t="s">
        <v>7522</v>
      </c>
      <c r="AP3" s="10" t="s">
        <v>7523</v>
      </c>
      <c r="AQ3" s="32" t="s">
        <v>7524</v>
      </c>
      <c r="AR3" s="59" t="s">
        <v>7525</v>
      </c>
      <c r="AS3" s="10" t="s">
        <v>7526</v>
      </c>
      <c r="AT3" s="31" t="s">
        <v>7527</v>
      </c>
      <c r="AU3" s="31" t="s">
        <v>7528</v>
      </c>
      <c r="AV3" s="31" t="s">
        <v>7529</v>
      </c>
      <c r="AW3" s="31" t="s">
        <v>7530</v>
      </c>
      <c r="AX3" s="31" t="s">
        <v>7531</v>
      </c>
    </row>
    <row r="4" spans="1:51" ht="17.25" customHeight="1" x14ac:dyDescent="0.3">
      <c r="A4" s="43"/>
      <c r="B4" s="141" t="s">
        <v>72</v>
      </c>
      <c r="C4" s="142" t="str">
        <f>IF(ISNUMBER(MATCH(Tabla5[[#This Row],[Cod trabalhador]],'Altas Rosas'!B:B, 0)), "Ativo", "Não ativo")</f>
        <v>Ativo</v>
      </c>
      <c r="D4" s="142" t="str">
        <f>IFERROR(IF(VLOOKUP(Tabla5[[#This Row],[Cod trabalhador]],'Altas Industrial'!B:E,1,0)&lt;&gt;"","KI",""),"")</f>
        <v/>
      </c>
      <c r="E4" s="142" t="str">
        <f>IFERROR(IF(VLOOKUP(Tabla5[[#This Row],[Cod trabalhador]],'Altas Rosas'!B:F,1,0)&lt;&gt;"","KR",""),"")</f>
        <v>KR</v>
      </c>
      <c r="F4" s="142" t="str">
        <f>IFERROR(IF(VLOOKUP(Tabla5[[#This Row],[Cod trabalhador]],'Altas Wiseowe'!B:E,1,0)&lt;&gt;"","WS",""),"")</f>
        <v/>
      </c>
      <c r="G4" s="142" t="str">
        <f>IFERROR(IF(VLOOKUP(Tabla5[[#This Row],[Cod trabalhador]],'Altas Luminous'!B:E,1,0)&lt;&gt;"","LM",""),"")</f>
        <v/>
      </c>
      <c r="H4" s="143">
        <f>IFERROR(VLOOKUP(Tabla5[[#This Row],[Cod trabalhador]],'Altas Rosas'!B:F,4,FALSE),"")</f>
        <v>45761</v>
      </c>
      <c r="I4" s="143">
        <f>IF(OR(Tabla5[[#This Row],[Cod trabalhador]]="",ISBLANK(Tabla5[[#This Row],[Cod trabalhador]])),"",IFERROR(IF(VLOOKUP(Tabla5[[#This Row],[Cod trabalhador]],'Altas Rosas'!B:F,5,FALSE)=0,"",VLOOKUP(Tabla5[[#This Row],[Cod trabalhador]],'Altas Rosas'!B:F,5,FALSE)),""))</f>
        <v>46053</v>
      </c>
      <c r="J4" s="142">
        <f t="shared" ref="J4:J35" si="0">IF(C4="ativo",    IF(ISBLANK(H4),"",MAX(0,MIN(IF(ISBLANK(I4),EOMONTH(DATE(2026,1,1),0),I4),EOMONTH(DATE(2026,1,1),0)) - MAX(H4,DATE(2026,1,1))))+1,
    0
)</f>
        <v>31</v>
      </c>
      <c r="K4" s="380" t="s">
        <v>7226</v>
      </c>
      <c r="L4" s="341" t="str">
        <f>IFERROR(IF(Tabla5[[#This Row],[Cod trabalhador]]="",Tabla5[[#This Row],[Cod trabalhador]], INDEX(Colaborador_ID[Nombre], MATCH(Tabla5[[#This Row],[Cod trabalhador]],Colaborador_ID[Cod_colab], 0))), "")</f>
        <v>ALAN FRANCISCO NAVAS DIAZ</v>
      </c>
      <c r="M4" s="15"/>
      <c r="N4" s="25" t="s">
        <v>7225</v>
      </c>
      <c r="O4" s="26">
        <f>IFERROR(VLOOKUP(Tabla5[[#This Row],[Cod trabalhador]],Tabla15[],4,FALSE),"")</f>
        <v>13</v>
      </c>
      <c r="P4" s="251">
        <f>IFERROR(VLOOKUP(Tabla5[[#This Row],[Cod trabalhador]],'TotalHorasAjustadas (2)'!D:L,8,FALSE),"")</f>
        <v>144</v>
      </c>
      <c r="Q4" s="206">
        <v>144</v>
      </c>
      <c r="R4" s="252" t="s">
        <v>7471</v>
      </c>
      <c r="S4" s="253" t="s">
        <v>7539</v>
      </c>
      <c r="T4" s="15"/>
      <c r="U4" s="25"/>
      <c r="V4" s="26"/>
      <c r="W4" s="27"/>
      <c r="X4" s="28"/>
      <c r="Y4" s="26"/>
      <c r="Z4" s="15"/>
      <c r="AA4" s="38">
        <f>IFERROR(VLOOKUP(Tabla5[[#This Row],[Cod trabalhador]],Alojamentos!B:P,11,FALSE),"")</f>
        <v>300</v>
      </c>
      <c r="AB4" s="34"/>
      <c r="AC4" s="15"/>
      <c r="AD4" s="41">
        <f>Tabla5[[#This Row],[Dias de alta]]*7.058</f>
        <v>218.798</v>
      </c>
      <c r="AE4" s="40" t="str">
        <f>IFERROR(VLOOKUP(Tabla5[[#This Row],[Cod trabalhador]],Adiantamentos!B:L,7,FALSE),"")</f>
        <v/>
      </c>
      <c r="AF4" s="40" t="str">
        <f>IFERROR(VLOOKUP(Tabla5[[#This Row],[Cod trabalhador]],Carro!B:D,3,FALSE),"")</f>
        <v/>
      </c>
      <c r="AG4" s="40" t="str">
        <f>IFERROR(VLOOKUP(Tabla5[[#This Row],[Cod trabalhador]],'Outros descontos'!B:M,7,FALSE),"")</f>
        <v/>
      </c>
      <c r="AH4" s="40" t="str">
        <f>IFERROR(VLOOKUP(Tabla5[[#This Row],[Cod trabalhador]],'Outros descontos'!B:M,8,FALSE),"")</f>
        <v/>
      </c>
      <c r="AI4" s="40" t="str">
        <f>IFERROR(VLOOKUP(Tabla5[[#This Row],[Cod trabalhador]],'Outros descontos'!B:M,9,FALSE),"")</f>
        <v/>
      </c>
      <c r="AJ4" s="40" t="str">
        <f>IFERROR(VLOOKUP(Tabla5[[#This Row],[Cod trabalhador]],'Outros descontos'!B:M,10,FALSE),"")</f>
        <v/>
      </c>
      <c r="AK4" s="40" t="str">
        <f>IFERROR(VLOOKUP(Tabla5[[#This Row],[Cod trabalhador]],'Outros descontos'!B:M,11,FALSE),"")</f>
        <v/>
      </c>
      <c r="AL4" s="40" t="str">
        <f>IFERROR(VLOOKUP(Tabla5[[#This Row],[Cod trabalhador]],'Outros descontos'!B:M,12,FALSE),"")</f>
        <v/>
      </c>
      <c r="AM4" s="40" t="str">
        <f>IFERROR(VLOOKUP(Tabla5[[#This Row],[Cod trabalhador]],'Outros descontos'!B:M,13,FALSE),"")</f>
        <v/>
      </c>
      <c r="AN4" s="41"/>
      <c r="AO4" s="37">
        <v>4.08</v>
      </c>
      <c r="AP4" s="15"/>
      <c r="AQ4"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1949.1220000000001</v>
      </c>
      <c r="AR4"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1949.1220000000001</v>
      </c>
      <c r="AS4" s="15"/>
      <c r="AT4" s="27" t="str">
        <f>IF(Tabla5[[#This Row],[Cod trabalhador]]="", "", INDEX(Iban!C:C, MATCH(Tabla5[[#This Row],[Cod trabalhador]],Iban!A:A, 0)))</f>
        <v>ES43 0182 0706 1902 0164 4996</v>
      </c>
      <c r="AU4" s="66"/>
      <c r="AV4" s="130"/>
      <c r="AW4" s="130" t="s">
        <v>7540</v>
      </c>
      <c r="AX4" s="335" t="s">
        <v>7472</v>
      </c>
    </row>
    <row r="5" spans="1:51" ht="17.25" customHeight="1" x14ac:dyDescent="0.3">
      <c r="A5" s="43"/>
      <c r="B5" s="141" t="s">
        <v>182</v>
      </c>
      <c r="C5" s="142" t="str">
        <f>IF(ISNUMBER(MATCH(Tabla5[[#This Row],[Cod trabalhador]],'Altas Rosas'!B:B, 0)), "Ativo", "Não ativo")</f>
        <v>Não ativo</v>
      </c>
      <c r="D5" s="142" t="str">
        <f>IFERROR(IF(VLOOKUP(Tabla5[[#This Row],[Cod trabalhador]],'Altas Industrial'!B:E,1,0)&lt;&gt;"","KI",""),"")</f>
        <v/>
      </c>
      <c r="E5" s="142" t="str">
        <f>IFERROR(IF(VLOOKUP(Tabla5[[#This Row],[Cod trabalhador]],'Altas Rosas'!B:F,1,0)&lt;&gt;"","KR",""),"")</f>
        <v/>
      </c>
      <c r="F5" s="142" t="str">
        <f>IFERROR(IF(VLOOKUP(Tabla5[[#This Row],[Cod trabalhador]],'Altas Wiseowe'!B:E,1,0)&lt;&gt;"","WS",""),"")</f>
        <v/>
      </c>
      <c r="G5" s="142" t="str">
        <f>IFERROR(IF(VLOOKUP(Tabla5[[#This Row],[Cod trabalhador]],'Altas Luminous'!B:E,1,0)&lt;&gt;"","LM",""),"")</f>
        <v/>
      </c>
      <c r="H5" s="143" t="str">
        <f>IFERROR(VLOOKUP(Tabla5[[#This Row],[Cod trabalhador]],'Altas Rosas'!B:F,4,FALSE),"")</f>
        <v/>
      </c>
      <c r="I5" s="143" t="str">
        <f>IF(OR(Tabla5[[#This Row],[Cod trabalhador]]="",ISBLANK(Tabla5[[#This Row],[Cod trabalhador]])),"",IFERROR(IF(VLOOKUP(Tabla5[[#This Row],[Cod trabalhador]],'Altas Rosas'!B:F,5,FALSE)=0,"",VLOOKUP(Tabla5[[#This Row],[Cod trabalhador]],'Altas Rosas'!B:F,5,FALSE)),""))</f>
        <v/>
      </c>
      <c r="J5" s="142">
        <f t="shared" si="0"/>
        <v>0</v>
      </c>
      <c r="K5" s="380" t="s">
        <v>7205</v>
      </c>
      <c r="L5" s="341" t="str">
        <f>IFERROR(IF(Tabla5[[#This Row],[Cod trabalhador]]="",Tabla5[[#This Row],[Cod trabalhador]], INDEX(Colaborador_ID[Nombre], MATCH(Tabla5[[#This Row],[Cod trabalhador]],Colaborador_ID[Cod_colab], 0))), "")</f>
        <v>ALEX MAURICIO CARDONA RAMIREZ</v>
      </c>
      <c r="M5" s="15"/>
      <c r="N5" s="25" t="s">
        <v>7204</v>
      </c>
      <c r="O5" s="26">
        <f>IFERROR(VLOOKUP(Tabla5[[#This Row],[Cod trabalhador]],Tabla15[],4,FALSE),"")</f>
        <v>15</v>
      </c>
      <c r="P5" s="251">
        <f>IFERROR(VLOOKUP(Tabla5[[#This Row],[Cod trabalhador]],'TotalHorasAjustadas (2)'!D:L,8,FALSE),"")</f>
        <v>150</v>
      </c>
      <c r="Q5" s="206">
        <v>150</v>
      </c>
      <c r="R5" s="252" t="s">
        <v>7532</v>
      </c>
      <c r="S5" s="253" t="s">
        <v>7539</v>
      </c>
      <c r="T5" s="15"/>
      <c r="U5" s="25"/>
      <c r="V5" s="26"/>
      <c r="W5" s="27"/>
      <c r="X5" s="28"/>
      <c r="Y5" s="26"/>
      <c r="Z5" s="15"/>
      <c r="AA5" s="38" t="str">
        <f>IFERROR(VLOOKUP(Tabla5[[#This Row],[Cod trabalhador]],Alojamentos!B:P,11,FALSE),"")</f>
        <v/>
      </c>
      <c r="AB5" s="34"/>
      <c r="AC5" s="15"/>
      <c r="AD5" s="41">
        <f>Tabla5[[#This Row],[Dias de alta]]*7.058</f>
        <v>0</v>
      </c>
      <c r="AE5" s="40" t="str">
        <f>IFERROR(VLOOKUP(Tabla5[[#This Row],[Cod trabalhador]],Adiantamentos!B:L,7,FALSE),"")</f>
        <v/>
      </c>
      <c r="AF5" s="40" t="str">
        <f>IFERROR(VLOOKUP(Tabla5[[#This Row],[Cod trabalhador]],Carro!B:D,3,FALSE),"")</f>
        <v/>
      </c>
      <c r="AG5" s="40" t="str">
        <f>IFERROR(VLOOKUP(Tabla5[[#This Row],[Cod trabalhador]],'Outros descontos'!B:M,7,FALSE),"")</f>
        <v/>
      </c>
      <c r="AH5" s="40" t="str">
        <f>IFERROR(VLOOKUP(Tabla5[[#This Row],[Cod trabalhador]],'Outros descontos'!B:M,8,FALSE),"")</f>
        <v/>
      </c>
      <c r="AI5" s="40" t="str">
        <f>IFERROR(VLOOKUP(Tabla5[[#This Row],[Cod trabalhador]],'Outros descontos'!B:M,9,FALSE),"")</f>
        <v/>
      </c>
      <c r="AJ5" s="40" t="str">
        <f>IFERROR(VLOOKUP(Tabla5[[#This Row],[Cod trabalhador]],'Outros descontos'!B:M,10,FALSE),"")</f>
        <v/>
      </c>
      <c r="AK5" s="40" t="str">
        <f>IFERROR(VLOOKUP(Tabla5[[#This Row],[Cod trabalhador]],'Outros descontos'!B:M,11,FALSE),"")</f>
        <v/>
      </c>
      <c r="AL5" s="40" t="str">
        <f>IFERROR(VLOOKUP(Tabla5[[#This Row],[Cod trabalhador]],'Outros descontos'!B:M,12,FALSE),"")</f>
        <v/>
      </c>
      <c r="AM5" s="40" t="str">
        <f>IFERROR(VLOOKUP(Tabla5[[#This Row],[Cod trabalhador]],'Outros descontos'!B:M,13,FALSE),"")</f>
        <v/>
      </c>
      <c r="AN5" s="41"/>
      <c r="AO5" s="37">
        <v>4.08</v>
      </c>
      <c r="AP5" s="15"/>
      <c r="AQ5"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2245.92</v>
      </c>
      <c r="AR5"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2245.92</v>
      </c>
      <c r="AS5" s="15"/>
      <c r="AT5" s="27" t="str">
        <f>IF(Tabla5[[#This Row],[Cod trabalhador]]="", "", INDEX(Iban!C:C, MATCH(Tabla5[[#This Row],[Cod trabalhador]],Iban!A:A, 0)))</f>
        <v>ES86 0182 8181 1602 0234 6058</v>
      </c>
      <c r="AU5" s="66"/>
      <c r="AV5" s="130"/>
      <c r="AW5" s="130" t="s">
        <v>7540</v>
      </c>
      <c r="AX5" s="335" t="s">
        <v>7472</v>
      </c>
    </row>
    <row r="6" spans="1:51" ht="17.25" customHeight="1" x14ac:dyDescent="0.3">
      <c r="A6" s="43"/>
      <c r="B6" s="141" t="s">
        <v>581</v>
      </c>
      <c r="C6" s="390" t="str">
        <f>IF(ISNUMBER(MATCH(Tabla5[[#This Row],[Cod trabalhador]],'Altas Rosas'!B:B, 0)), "Ativo", "Não ativo")</f>
        <v>Ativo</v>
      </c>
      <c r="D6" s="390" t="str">
        <f>IFERROR(IF(VLOOKUP(Tabla5[[#This Row],[Cod trabalhador]],'Altas Industrial'!B:E,1,0)&lt;&gt;"","KI",""),"")</f>
        <v/>
      </c>
      <c r="E6" s="142" t="str">
        <f>IFERROR(IF(VLOOKUP(Tabla5[[#This Row],[Cod trabalhador]],'Altas Rosas'!B:F,1,0)&lt;&gt;"","KR",""),"")</f>
        <v>KR</v>
      </c>
      <c r="F6" s="142" t="str">
        <f>IFERROR(IF(VLOOKUP(Tabla5[[#This Row],[Cod trabalhador]],'Altas Wiseowe'!B:E,1,0)&lt;&gt;"","WS",""),"")</f>
        <v/>
      </c>
      <c r="G6" s="390" t="str">
        <f>IFERROR(IF(VLOOKUP(Tabla5[[#This Row],[Cod trabalhador]],'Altas Luminous'!B:E,1,0)&lt;&gt;"","LM",""),"")</f>
        <v/>
      </c>
      <c r="H6" s="143">
        <f>IFERROR(VLOOKUP(Tabla5[[#This Row],[Cod trabalhador]],'Altas Rosas'!B:F,4,FALSE),"")</f>
        <v>45761</v>
      </c>
      <c r="I6" s="143">
        <f>IF(OR(Tabla5[[#This Row],[Cod trabalhador]]="",ISBLANK(Tabla5[[#This Row],[Cod trabalhador]])),"",IFERROR(IF(VLOOKUP(Tabla5[[#This Row],[Cod trabalhador]],'Altas Rosas'!B:F,5,FALSE)=0,"",VLOOKUP(Tabla5[[#This Row],[Cod trabalhador]],'Altas Rosas'!B:F,5,FALSE)),""))</f>
        <v>46053</v>
      </c>
      <c r="J6" s="142">
        <f t="shared" si="0"/>
        <v>31</v>
      </c>
      <c r="K6" s="380" t="s">
        <v>7227</v>
      </c>
      <c r="L6" s="341" t="str">
        <f>IFERROR(IF(Tabla5[[#This Row],[Cod trabalhador]]="",Tabla5[[#This Row],[Cod trabalhador]], INDEX(Colaborador_ID[Nombre], MATCH(Tabla5[[#This Row],[Cod trabalhador]],Colaborador_ID[Cod_colab], 0))), "")</f>
        <v>BLADIMIRO DIAZ MARTINEZ</v>
      </c>
      <c r="M6" s="15"/>
      <c r="N6" s="25" t="s">
        <v>7225</v>
      </c>
      <c r="O6" s="26">
        <f>IFERROR(VLOOKUP(Tabla5[[#This Row],[Cod trabalhador]],Tabla15[],4,FALSE),"")</f>
        <v>13</v>
      </c>
      <c r="P6" s="251">
        <f>IFERROR(VLOOKUP(Tabla5[[#This Row],[Cod trabalhador]],'TotalHorasAjustadas (2)'!D:L,8,FALSE),"")</f>
        <v>144</v>
      </c>
      <c r="Q6" s="206">
        <v>144</v>
      </c>
      <c r="R6" s="252" t="s">
        <v>7471</v>
      </c>
      <c r="S6" s="253" t="s">
        <v>7539</v>
      </c>
      <c r="T6" s="15"/>
      <c r="U6" s="25"/>
      <c r="V6" s="26"/>
      <c r="W6" s="27"/>
      <c r="X6" s="28"/>
      <c r="Y6" s="26"/>
      <c r="Z6" s="104"/>
      <c r="AA6" s="38">
        <f>IFERROR(VLOOKUP(Tabla5[[#This Row],[Cod trabalhador]],Alojamentos!B:P,11,FALSE),"")</f>
        <v>300</v>
      </c>
      <c r="AB6" s="34"/>
      <c r="AC6" s="104"/>
      <c r="AD6" s="41">
        <f>Tabla5[[#This Row],[Dias de alta]]*7.058</f>
        <v>218.798</v>
      </c>
      <c r="AE6" s="40" t="str">
        <f>IFERROR(VLOOKUP(Tabla5[[#This Row],[Cod trabalhador]],Adiantamentos!B:L,7,FALSE),"")</f>
        <v/>
      </c>
      <c r="AF6" s="40" t="str">
        <f>IFERROR(VLOOKUP(Tabla5[[#This Row],[Cod trabalhador]],Carro!B:D,3,FALSE),"")</f>
        <v/>
      </c>
      <c r="AG6" s="40" t="str">
        <f>IFERROR(VLOOKUP(Tabla5[[#This Row],[Cod trabalhador]],'Outros descontos'!B:M,7,FALSE),"")</f>
        <v/>
      </c>
      <c r="AH6" s="40" t="str">
        <f>IFERROR(VLOOKUP(Tabla5[[#This Row],[Cod trabalhador]],'Outros descontos'!B:M,8,FALSE),"")</f>
        <v/>
      </c>
      <c r="AI6" s="40" t="str">
        <f>IFERROR(VLOOKUP(Tabla5[[#This Row],[Cod trabalhador]],'Outros descontos'!B:M,9,FALSE),"")</f>
        <v/>
      </c>
      <c r="AJ6" s="40" t="str">
        <f>IFERROR(VLOOKUP(Tabla5[[#This Row],[Cod trabalhador]],'Outros descontos'!B:M,10,FALSE),"")</f>
        <v/>
      </c>
      <c r="AK6" s="40" t="str">
        <f>IFERROR(VLOOKUP(Tabla5[[#This Row],[Cod trabalhador]],'Outros descontos'!B:M,11,FALSE),"")</f>
        <v/>
      </c>
      <c r="AL6" s="40" t="str">
        <f>IFERROR(VLOOKUP(Tabla5[[#This Row],[Cod trabalhador]],'Outros descontos'!B:M,12,FALSE),"")</f>
        <v/>
      </c>
      <c r="AM6" s="40" t="str">
        <f>IFERROR(VLOOKUP(Tabla5[[#This Row],[Cod trabalhador]],'Outros descontos'!B:M,13,FALSE),"")</f>
        <v/>
      </c>
      <c r="AN6" s="41"/>
      <c r="AO6" s="37">
        <v>4.08</v>
      </c>
      <c r="AP6" s="105"/>
      <c r="AQ6"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1949.1220000000001</v>
      </c>
      <c r="AR6"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1949.1220000000001</v>
      </c>
      <c r="AS6" s="15"/>
      <c r="AT6" s="27" t="str">
        <f>IF(Tabla5[[#This Row],[Cod trabalhador]]="", "", INDEX(Iban!C:C, MATCH(Tabla5[[#This Row],[Cod trabalhador]],Iban!A:A, 0)))</f>
        <v>ES92 0182 0706 1502 0164 4989</v>
      </c>
      <c r="AU6" s="66"/>
      <c r="AV6" s="130"/>
      <c r="AW6" s="130" t="s">
        <v>7540</v>
      </c>
      <c r="AX6" s="335" t="s">
        <v>7472</v>
      </c>
    </row>
    <row r="7" spans="1:51" ht="17.25" customHeight="1" x14ac:dyDescent="0.3">
      <c r="A7" s="43"/>
      <c r="B7" s="141" t="s">
        <v>657</v>
      </c>
      <c r="C7" s="142" t="str">
        <f>IF(ISNUMBER(MATCH(Tabla5[[#This Row],[Cod trabalhador]],'Altas Rosas'!B:B, 0)), "Ativo", "Não ativo")</f>
        <v>Ativo</v>
      </c>
      <c r="D7" s="142" t="str">
        <f>IFERROR(IF(VLOOKUP(Tabla5[[#This Row],[Cod trabalhador]],'Altas Industrial'!B:E,1,0)&lt;&gt;"","KI",""),"")</f>
        <v/>
      </c>
      <c r="E7" s="142" t="str">
        <f>IFERROR(IF(VLOOKUP(Tabla5[[#This Row],[Cod trabalhador]],'Altas Rosas'!B:F,1,0)&lt;&gt;"","KR",""),"")</f>
        <v>KR</v>
      </c>
      <c r="F7" s="142" t="str">
        <f>IFERROR(IF(VLOOKUP(Tabla5[[#This Row],[Cod trabalhador]],'Altas Wiseowe'!B:E,1,0)&lt;&gt;"","WS",""),"")</f>
        <v/>
      </c>
      <c r="G7" s="142" t="str">
        <f>IFERROR(IF(VLOOKUP(Tabla5[[#This Row],[Cod trabalhador]],'Altas Luminous'!B:E,1,0)&lt;&gt;"","LM",""),"")</f>
        <v/>
      </c>
      <c r="H7" s="143">
        <f>IFERROR(VLOOKUP(Tabla5[[#This Row],[Cod trabalhador]],'Altas Rosas'!B:F,4,FALSE),"")</f>
        <v>45761</v>
      </c>
      <c r="I7" s="143" t="str">
        <f>IF(OR(Tabla5[[#This Row],[Cod trabalhador]]="",ISBLANK(Tabla5[[#This Row],[Cod trabalhador]])),"",IFERROR(IF(VLOOKUP(Tabla5[[#This Row],[Cod trabalhador]],'Altas Rosas'!B:F,5,FALSE)=0,"",VLOOKUP(Tabla5[[#This Row],[Cod trabalhador]],'Altas Rosas'!B:F,5,FALSE)),""))</f>
        <v/>
      </c>
      <c r="J7" s="142">
        <f t="shared" si="0"/>
        <v>31</v>
      </c>
      <c r="K7" s="380" t="s">
        <v>7203</v>
      </c>
      <c r="L7" s="341" t="str">
        <f>IFERROR(IF(Tabla5[[#This Row],[Cod trabalhador]]="",Tabla5[[#This Row],[Cod trabalhador]], INDEX(Colaborador_ID[Nombre], MATCH(Tabla5[[#This Row],[Cod trabalhador]],Colaborador_ID[Cod_colab], 0))), "")</f>
        <v>BREIDIS JOSE CARDOZO GALUE</v>
      </c>
      <c r="M7" s="15"/>
      <c r="N7" s="25" t="s">
        <v>7202</v>
      </c>
      <c r="O7" s="26">
        <f>IFERROR(VLOOKUP(Tabla5[[#This Row],[Cod trabalhador]],Tabla15[],4,FALSE),"")</f>
        <v>15</v>
      </c>
      <c r="P7" s="251">
        <f>IFERROR(VLOOKUP(Tabla5[[#This Row],[Cod trabalhador]],'TotalHorasAjustadas (2)'!D:L,8,FALSE),"")</f>
        <v>194</v>
      </c>
      <c r="Q7" s="206">
        <v>194</v>
      </c>
      <c r="R7" s="252" t="s">
        <v>7471</v>
      </c>
      <c r="S7" s="253" t="s">
        <v>7539</v>
      </c>
      <c r="T7" s="15"/>
      <c r="U7" s="25"/>
      <c r="V7" s="26"/>
      <c r="W7" s="27"/>
      <c r="X7" s="28"/>
      <c r="Y7" s="26"/>
      <c r="Z7" s="15"/>
      <c r="AA7" s="38" t="str">
        <f>IFERROR(VLOOKUP(Tabla5[[#This Row],[Cod trabalhador]],Alojamentos!B:P,11,FALSE),"")</f>
        <v/>
      </c>
      <c r="AB7" s="34"/>
      <c r="AC7" s="15"/>
      <c r="AD7" s="41">
        <f>Tabla5[[#This Row],[Dias de alta]]*7.058</f>
        <v>218.798</v>
      </c>
      <c r="AE7" s="40" t="str">
        <f>IFERROR(VLOOKUP(Tabla5[[#This Row],[Cod trabalhador]],Adiantamentos!B:L,7,FALSE),"")</f>
        <v/>
      </c>
      <c r="AF7" s="40" t="str">
        <f>IFERROR(VLOOKUP(Tabla5[[#This Row],[Cod trabalhador]],Carro!B:D,3,FALSE),"")</f>
        <v/>
      </c>
      <c r="AG7" s="40" t="str">
        <f>IFERROR(VLOOKUP(Tabla5[[#This Row],[Cod trabalhador]],'Outros descontos'!B:M,7,FALSE),"")</f>
        <v/>
      </c>
      <c r="AH7" s="40" t="str">
        <f>IFERROR(VLOOKUP(Tabla5[[#This Row],[Cod trabalhador]],'Outros descontos'!B:M,8,FALSE),"")</f>
        <v/>
      </c>
      <c r="AI7" s="40" t="str">
        <f>IFERROR(VLOOKUP(Tabla5[[#This Row],[Cod trabalhador]],'Outros descontos'!B:M,9,FALSE),"")</f>
        <v/>
      </c>
      <c r="AJ7" s="40" t="str">
        <f>IFERROR(VLOOKUP(Tabla5[[#This Row],[Cod trabalhador]],'Outros descontos'!B:M,10,FALSE),"")</f>
        <v/>
      </c>
      <c r="AK7" s="40" t="str">
        <f>IFERROR(VLOOKUP(Tabla5[[#This Row],[Cod trabalhador]],'Outros descontos'!B:M,11,FALSE),"")</f>
        <v/>
      </c>
      <c r="AL7" s="40" t="str">
        <f>IFERROR(VLOOKUP(Tabla5[[#This Row],[Cod trabalhador]],'Outros descontos'!B:M,12,FALSE),"")</f>
        <v/>
      </c>
      <c r="AM7" s="40" t="str">
        <f>IFERROR(VLOOKUP(Tabla5[[#This Row],[Cod trabalhador]],'Outros descontos'!B:M,13,FALSE),"")</f>
        <v/>
      </c>
      <c r="AN7" s="41"/>
      <c r="AO7" s="37">
        <v>4.08</v>
      </c>
      <c r="AP7" s="15"/>
      <c r="AQ7"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2687.1220000000003</v>
      </c>
      <c r="AR7"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2687.1220000000003</v>
      </c>
      <c r="AS7" s="15"/>
      <c r="AT7" s="27" t="str">
        <f>IF(Tabla5[[#This Row],[Cod trabalhador]]="", "", INDEX(Iban!C:C, MATCH(Tabla5[[#This Row],[Cod trabalhador]],Iban!A:A, 0)))</f>
        <v>ES24 0182 8680 3702 0039 8752</v>
      </c>
      <c r="AU7" s="66"/>
      <c r="AV7" s="130"/>
      <c r="AW7" s="130" t="s">
        <v>7540</v>
      </c>
      <c r="AX7" s="335" t="s">
        <v>7472</v>
      </c>
    </row>
    <row r="8" spans="1:51" ht="17.25" customHeight="1" x14ac:dyDescent="0.3">
      <c r="A8" s="43"/>
      <c r="B8" s="141" t="s">
        <v>773</v>
      </c>
      <c r="C8" s="142" t="str">
        <f>IF(ISNUMBER(MATCH(Tabla5[[#This Row],[Cod trabalhador]],'Altas Rosas'!B:B, 0)), "Ativo", "Não ativo")</f>
        <v>Ativo</v>
      </c>
      <c r="D8" s="142" t="str">
        <f>IFERROR(IF(VLOOKUP(Tabla5[[#This Row],[Cod trabalhador]],'Altas Industrial'!B:E,1,0)&lt;&gt;"","KI",""),"")</f>
        <v/>
      </c>
      <c r="E8" s="142" t="str">
        <f>IFERROR(IF(VLOOKUP(Tabla5[[#This Row],[Cod trabalhador]],'Altas Rosas'!B:F,1,0)&lt;&gt;"","KR",""),"")</f>
        <v>KR</v>
      </c>
      <c r="F8" s="142" t="str">
        <f>IFERROR(IF(VLOOKUP(Tabla5[[#This Row],[Cod trabalhador]],'Altas Wiseowe'!B:E,1,0)&lt;&gt;"","WS",""),"")</f>
        <v/>
      </c>
      <c r="G8" s="142" t="str">
        <f>IFERROR(IF(VLOOKUP(Tabla5[[#This Row],[Cod trabalhador]],'Altas Luminous'!B:E,1,0)&lt;&gt;"","LM",""),"")</f>
        <v/>
      </c>
      <c r="H8" s="143">
        <f>IFERROR(VLOOKUP(Tabla5[[#This Row],[Cod trabalhador]],'Altas Rosas'!B:F,4,FALSE),"")</f>
        <v>45880</v>
      </c>
      <c r="I8" s="143">
        <f>IF(OR(Tabla5[[#This Row],[Cod trabalhador]]="",ISBLANK(Tabla5[[#This Row],[Cod trabalhador]])),"",IFERROR(IF(VLOOKUP(Tabla5[[#This Row],[Cod trabalhador]],'Altas Rosas'!B:F,5,FALSE)=0,"",VLOOKUP(Tabla5[[#This Row],[Cod trabalhador]],'Altas Rosas'!B:F,5,FALSE)),""))</f>
        <v>46052</v>
      </c>
      <c r="J8" s="142">
        <f t="shared" si="0"/>
        <v>30</v>
      </c>
      <c r="K8" s="380" t="s">
        <v>7188</v>
      </c>
      <c r="L8" s="341" t="str">
        <f>IFERROR(IF(Tabla5[[#This Row],[Cod trabalhador]]="",Tabla5[[#This Row],[Cod trabalhador]], INDEX(Colaborador_ID[Nombre], MATCH(Tabla5[[#This Row],[Cod trabalhador]],Colaborador_ID[Cod_colab], 0))), "")</f>
        <v>CARLOS ANDRES JIMENEZ RAMIREZ</v>
      </c>
      <c r="M8" s="15"/>
      <c r="N8" s="25" t="s">
        <v>7185</v>
      </c>
      <c r="O8" s="26">
        <f>IFERROR(VLOOKUP(Tabla5[[#This Row],[Cod trabalhador]],Tabla15[],4,FALSE),"")</f>
        <v>15</v>
      </c>
      <c r="P8" s="251">
        <f>IFERROR(VLOOKUP(Tabla5[[#This Row],[Cod trabalhador]],'TotalHorasAjustadas (2)'!D:L,8,FALSE),"")</f>
        <v>143</v>
      </c>
      <c r="Q8" s="206">
        <v>143</v>
      </c>
      <c r="R8" s="252" t="s">
        <v>7471</v>
      </c>
      <c r="S8" s="253" t="s">
        <v>7539</v>
      </c>
      <c r="T8" s="15"/>
      <c r="U8" s="25"/>
      <c r="V8" s="26"/>
      <c r="W8" s="27"/>
      <c r="X8" s="28"/>
      <c r="Y8" s="26"/>
      <c r="Z8" s="104"/>
      <c r="AA8" s="38">
        <f>IFERROR(VLOOKUP(Tabla5[[#This Row],[Cod trabalhador]],Alojamentos!B:P,11,FALSE),"")</f>
        <v>300</v>
      </c>
      <c r="AB8" s="34"/>
      <c r="AC8" s="104"/>
      <c r="AD8" s="41">
        <f>Tabla5[[#This Row],[Dias de alta]]*7.058</f>
        <v>211.74</v>
      </c>
      <c r="AE8" s="40" t="str">
        <f>IFERROR(VLOOKUP(Tabla5[[#This Row],[Cod trabalhador]],Adiantamentos!B:L,7,FALSE),"")</f>
        <v/>
      </c>
      <c r="AF8" s="40" t="str">
        <f>IFERROR(VLOOKUP(Tabla5[[#This Row],[Cod trabalhador]],Carro!B:D,3,FALSE),"")</f>
        <v/>
      </c>
      <c r="AG8" s="40" t="str">
        <f>IFERROR(VLOOKUP(Tabla5[[#This Row],[Cod trabalhador]],'Outros descontos'!B:M,7,FALSE),"")</f>
        <v/>
      </c>
      <c r="AH8" s="40" t="str">
        <f>IFERROR(VLOOKUP(Tabla5[[#This Row],[Cod trabalhador]],'Outros descontos'!B:M,8,FALSE),"")</f>
        <v/>
      </c>
      <c r="AI8" s="40" t="str">
        <f>IFERROR(VLOOKUP(Tabla5[[#This Row],[Cod trabalhador]],'Outros descontos'!B:M,9,FALSE),"")</f>
        <v/>
      </c>
      <c r="AJ8" s="40" t="str">
        <f>IFERROR(VLOOKUP(Tabla5[[#This Row],[Cod trabalhador]],'Outros descontos'!B:M,10,FALSE),"")</f>
        <v/>
      </c>
      <c r="AK8" s="40" t="str">
        <f>IFERROR(VLOOKUP(Tabla5[[#This Row],[Cod trabalhador]],'Outros descontos'!B:M,11,FALSE),"")</f>
        <v/>
      </c>
      <c r="AL8" s="40" t="str">
        <f>IFERROR(VLOOKUP(Tabla5[[#This Row],[Cod trabalhador]],'Outros descontos'!B:M,12,FALSE),"")</f>
        <v/>
      </c>
      <c r="AM8" s="40" t="str">
        <f>IFERROR(VLOOKUP(Tabla5[[#This Row],[Cod trabalhador]],'Outros descontos'!B:M,13,FALSE),"")</f>
        <v/>
      </c>
      <c r="AN8" s="41"/>
      <c r="AO8" s="37">
        <v>4.08</v>
      </c>
      <c r="AP8" s="105"/>
      <c r="AQ8"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2229.1800000000003</v>
      </c>
      <c r="AR8"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2229.1800000000003</v>
      </c>
      <c r="AS8" s="15"/>
      <c r="AT8" s="27" t="str">
        <f>IF(Tabla5[[#This Row],[Cod trabalhador]]="", "", INDEX(Iban!C:C, MATCH(Tabla5[[#This Row],[Cod trabalhador]],Iban!A:A, 0)))</f>
        <v>ES45 0182 0606 8002 0178 1704</v>
      </c>
      <c r="AU8" s="66"/>
      <c r="AV8" s="130"/>
      <c r="AW8" s="130" t="s">
        <v>7540</v>
      </c>
      <c r="AX8" s="335" t="s">
        <v>7472</v>
      </c>
    </row>
    <row r="9" spans="1:51" ht="17.25" customHeight="1" x14ac:dyDescent="0.3">
      <c r="A9" s="43"/>
      <c r="B9" s="141" t="s">
        <v>777</v>
      </c>
      <c r="C9" s="390" t="str">
        <f>IF(ISNUMBER(MATCH(Tabla5[[#This Row],[Cod trabalhador]],'Altas Rosas'!B:B, 0)), "Ativo", "Não ativo")</f>
        <v>Não ativo</v>
      </c>
      <c r="D9" s="390" t="str">
        <f>IFERROR(IF(VLOOKUP(Tabla5[[#This Row],[Cod trabalhador]],'Altas Industrial'!B:E,1,0)&lt;&gt;"","KI",""),"")</f>
        <v/>
      </c>
      <c r="E9" s="142" t="str">
        <f>IFERROR(IF(VLOOKUP(Tabla5[[#This Row],[Cod trabalhador]],'Altas Rosas'!B:F,1,0)&lt;&gt;"","KR",""),"")</f>
        <v/>
      </c>
      <c r="F9" s="142" t="str">
        <f>IFERROR(IF(VLOOKUP(Tabla5[[#This Row],[Cod trabalhador]],'Altas Wiseowe'!B:E,1,0)&lt;&gt;"","WS",""),"")</f>
        <v/>
      </c>
      <c r="G9" s="390" t="str">
        <f>IFERROR(IF(VLOOKUP(Tabla5[[#This Row],[Cod trabalhador]],'Altas Luminous'!B:E,1,0)&lt;&gt;"","LM",""),"")</f>
        <v/>
      </c>
      <c r="H9" s="143" t="str">
        <f>IFERROR(VLOOKUP(Tabla5[[#This Row],[Cod trabalhador]],'Altas Rosas'!B:F,4,FALSE),"")</f>
        <v/>
      </c>
      <c r="I9" s="143" t="str">
        <f>IF(OR(Tabla5[[#This Row],[Cod trabalhador]]="",ISBLANK(Tabla5[[#This Row],[Cod trabalhador]])),"",IFERROR(IF(VLOOKUP(Tabla5[[#This Row],[Cod trabalhador]],'Altas Rosas'!B:F,5,FALSE)=0,"",VLOOKUP(Tabla5[[#This Row],[Cod trabalhador]],'Altas Rosas'!B:F,5,FALSE)),""))</f>
        <v/>
      </c>
      <c r="J9" s="142">
        <f t="shared" si="0"/>
        <v>0</v>
      </c>
      <c r="K9" s="380" t="s">
        <v>7207</v>
      </c>
      <c r="L9" s="341" t="str">
        <f>IFERROR(IF(Tabla5[[#This Row],[Cod trabalhador]]="",Tabla5[[#This Row],[Cod trabalhador]], INDEX(Colaborador_ID[Nombre], MATCH(Tabla5[[#This Row],[Cod trabalhador]],Colaborador_ID[Cod_colab], 0))), "")</f>
        <v>CARLOS ANDRES MANTILLA URREGO</v>
      </c>
      <c r="M9" s="15"/>
      <c r="N9" s="25" t="s">
        <v>7206</v>
      </c>
      <c r="O9" s="26">
        <f>IFERROR(VLOOKUP(Tabla5[[#This Row],[Cod trabalhador]],Tabla15[],4,FALSE),"")</f>
        <v>15</v>
      </c>
      <c r="P9" s="251">
        <f>IFERROR(VLOOKUP(Tabla5[[#This Row],[Cod trabalhador]],'TotalHorasAjustadas (2)'!D:L,8,FALSE),"")</f>
        <v>132.28</v>
      </c>
      <c r="Q9" s="206">
        <v>132.28</v>
      </c>
      <c r="R9" s="252" t="s">
        <v>7471</v>
      </c>
      <c r="S9" s="253" t="s">
        <v>7539</v>
      </c>
      <c r="T9" s="15"/>
      <c r="U9" s="25"/>
      <c r="V9" s="26"/>
      <c r="W9" s="27"/>
      <c r="X9" s="28"/>
      <c r="Y9" s="26"/>
      <c r="Z9" s="15"/>
      <c r="AA9" s="38" t="str">
        <f>IFERROR(VLOOKUP(Tabla5[[#This Row],[Cod trabalhador]],Alojamentos!B:P,11,FALSE),"")</f>
        <v/>
      </c>
      <c r="AB9" s="34"/>
      <c r="AC9" s="15"/>
      <c r="AD9" s="41">
        <f>Tabla5[[#This Row],[Dias de alta]]*7.058</f>
        <v>0</v>
      </c>
      <c r="AE9" s="40" t="str">
        <f>IFERROR(VLOOKUP(Tabla5[[#This Row],[Cod trabalhador]],Adiantamentos!B:L,7,FALSE),"")</f>
        <v/>
      </c>
      <c r="AF9" s="40" t="str">
        <f>IFERROR(VLOOKUP(Tabla5[[#This Row],[Cod trabalhador]],Carro!B:D,3,FALSE),"")</f>
        <v/>
      </c>
      <c r="AG9" s="40" t="str">
        <f>IFERROR(VLOOKUP(Tabla5[[#This Row],[Cod trabalhador]],'Outros descontos'!B:M,7,FALSE),"")</f>
        <v/>
      </c>
      <c r="AH9" s="40" t="str">
        <f>IFERROR(VLOOKUP(Tabla5[[#This Row],[Cod trabalhador]],'Outros descontos'!B:M,8,FALSE),"")</f>
        <v/>
      </c>
      <c r="AI9" s="40" t="str">
        <f>IFERROR(VLOOKUP(Tabla5[[#This Row],[Cod trabalhador]],'Outros descontos'!B:M,9,FALSE),"")</f>
        <v/>
      </c>
      <c r="AJ9" s="40" t="str">
        <f>IFERROR(VLOOKUP(Tabla5[[#This Row],[Cod trabalhador]],'Outros descontos'!B:M,10,FALSE),"")</f>
        <v/>
      </c>
      <c r="AK9" s="40" t="str">
        <f>IFERROR(VLOOKUP(Tabla5[[#This Row],[Cod trabalhador]],'Outros descontos'!B:M,11,FALSE),"")</f>
        <v/>
      </c>
      <c r="AL9" s="40" t="str">
        <f>IFERROR(VLOOKUP(Tabla5[[#This Row],[Cod trabalhador]],'Outros descontos'!B:M,12,FALSE),"")</f>
        <v/>
      </c>
      <c r="AM9" s="40" t="str">
        <f>IFERROR(VLOOKUP(Tabla5[[#This Row],[Cod trabalhador]],'Outros descontos'!B:M,13,FALSE),"")</f>
        <v/>
      </c>
      <c r="AN9" s="41"/>
      <c r="AO9" s="37">
        <v>4.08</v>
      </c>
      <c r="AP9" s="15"/>
      <c r="AQ9"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1980.1200000000001</v>
      </c>
      <c r="AR9"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1980.1200000000001</v>
      </c>
      <c r="AS9" s="15"/>
      <c r="AT9" s="27" t="str">
        <f>IF(Tabla5[[#This Row],[Cod trabalhador]]="", "", INDEX(Iban!C:C, MATCH(Tabla5[[#This Row],[Cod trabalhador]],Iban!A:A, 0)))</f>
        <v>ES35 0182 8151 8802 0193 7742</v>
      </c>
      <c r="AU9" s="66"/>
      <c r="AV9" s="130"/>
      <c r="AW9" s="130" t="s">
        <v>7540</v>
      </c>
      <c r="AX9" s="335" t="s">
        <v>7472</v>
      </c>
    </row>
    <row r="10" spans="1:51" ht="17.25" customHeight="1" x14ac:dyDescent="0.3">
      <c r="A10" s="43"/>
      <c r="B10" s="141" t="s">
        <v>882</v>
      </c>
      <c r="C10" s="142" t="str">
        <f>IF(ISNUMBER(MATCH(Tabla5[[#This Row],[Cod trabalhador]],'Altas Rosas'!B:B, 0)), "Ativo", "Não ativo")</f>
        <v>Ativo</v>
      </c>
      <c r="D10" s="142" t="str">
        <f>IFERROR(IF(VLOOKUP(Tabla5[[#This Row],[Cod trabalhador]],'Altas Industrial'!B:E,1,0)&lt;&gt;"","KI",""),"")</f>
        <v/>
      </c>
      <c r="E10" s="142" t="str">
        <f>IFERROR(IF(VLOOKUP(Tabla5[[#This Row],[Cod trabalhador]],'Altas Rosas'!B:F,1,0)&lt;&gt;"","KR",""),"")</f>
        <v>KR</v>
      </c>
      <c r="F10" s="142" t="str">
        <f>IFERROR(IF(VLOOKUP(Tabla5[[#This Row],[Cod trabalhador]],'Altas Wiseowe'!B:E,1,0)&lt;&gt;"","WS",""),"")</f>
        <v/>
      </c>
      <c r="G10" s="142" t="str">
        <f>IFERROR(IF(VLOOKUP(Tabla5[[#This Row],[Cod trabalhador]],'Altas Luminous'!B:E,1,0)&lt;&gt;"","LM",""),"")</f>
        <v/>
      </c>
      <c r="H10" s="143">
        <f>IFERROR(VLOOKUP(Tabla5[[#This Row],[Cod trabalhador]],'Altas Rosas'!B:F,4,FALSE),"")</f>
        <v>45779</v>
      </c>
      <c r="I10" s="143">
        <f>IF(OR(Tabla5[[#This Row],[Cod trabalhador]]="",ISBLANK(Tabla5[[#This Row],[Cod trabalhador]])),"",IFERROR(IF(VLOOKUP(Tabla5[[#This Row],[Cod trabalhador]],'Altas Rosas'!B:F,5,FALSE)=0,"",VLOOKUP(Tabla5[[#This Row],[Cod trabalhador]],'Altas Rosas'!B:F,5,FALSE)),""))</f>
        <v>46052</v>
      </c>
      <c r="J10" s="142">
        <f t="shared" si="0"/>
        <v>30</v>
      </c>
      <c r="K10" s="380" t="s">
        <v>7201</v>
      </c>
      <c r="L10" s="341" t="str">
        <f>IFERROR(IF(Tabla5[[#This Row],[Cod trabalhador]]="",Tabla5[[#This Row],[Cod trabalhador]], INDEX(Colaborador_ID[Nombre], MATCH(Tabla5[[#This Row],[Cod trabalhador]],Colaborador_ID[Cod_colab], 0))), "")</f>
        <v>CARLOS JULIO ACOSTA CAMACHO</v>
      </c>
      <c r="M10" s="15"/>
      <c r="N10" s="25" t="s">
        <v>7200</v>
      </c>
      <c r="O10" s="26">
        <f>IFERROR(VLOOKUP(Tabla5[[#This Row],[Cod trabalhador]],Tabla15[],4,FALSE),"")</f>
        <v>15</v>
      </c>
      <c r="P10" s="251">
        <f>IFERROR(VLOOKUP(Tabla5[[#This Row],[Cod trabalhador]],'TotalHorasAjustadas (2)'!D:L,8,FALSE),"")</f>
        <v>170</v>
      </c>
      <c r="Q10" s="206">
        <v>170</v>
      </c>
      <c r="R10" s="252" t="s">
        <v>7532</v>
      </c>
      <c r="S10" s="253" t="s">
        <v>7539</v>
      </c>
      <c r="T10" s="15"/>
      <c r="U10" s="25"/>
      <c r="V10" s="26"/>
      <c r="W10" s="27"/>
      <c r="X10" s="28"/>
      <c r="Y10" s="26"/>
      <c r="Z10" s="15"/>
      <c r="AA10" s="38" t="str">
        <f>IFERROR(VLOOKUP(Tabla5[[#This Row],[Cod trabalhador]],Alojamentos!B:P,11,FALSE),"")</f>
        <v/>
      </c>
      <c r="AB10" s="34"/>
      <c r="AC10" s="15"/>
      <c r="AD10" s="41">
        <f>Tabla5[[#This Row],[Dias de alta]]*7.058</f>
        <v>211.74</v>
      </c>
      <c r="AE10" s="40" t="str">
        <f>IFERROR(VLOOKUP(Tabla5[[#This Row],[Cod trabalhador]],Adiantamentos!B:L,7,FALSE),"")</f>
        <v/>
      </c>
      <c r="AF10" s="40">
        <f>IFERROR(VLOOKUP(Tabla5[[#This Row],[Cod trabalhador]],Carro!B:D,3,FALSE),"")</f>
        <v>120</v>
      </c>
      <c r="AG10" s="40" t="str">
        <f>IFERROR(VLOOKUP(Tabla5[[#This Row],[Cod trabalhador]],'Outros descontos'!B:M,7,FALSE),"")</f>
        <v/>
      </c>
      <c r="AH10" s="40" t="str">
        <f>IFERROR(VLOOKUP(Tabla5[[#This Row],[Cod trabalhador]],'Outros descontos'!B:M,8,FALSE),"")</f>
        <v/>
      </c>
      <c r="AI10" s="40" t="str">
        <f>IFERROR(VLOOKUP(Tabla5[[#This Row],[Cod trabalhador]],'Outros descontos'!B:M,9,FALSE),"")</f>
        <v/>
      </c>
      <c r="AJ10" s="40" t="str">
        <f>IFERROR(VLOOKUP(Tabla5[[#This Row],[Cod trabalhador]],'Outros descontos'!B:M,10,FALSE),"")</f>
        <v/>
      </c>
      <c r="AK10" s="40" t="str">
        <f>IFERROR(VLOOKUP(Tabla5[[#This Row],[Cod trabalhador]],'Outros descontos'!B:M,11,FALSE),"")</f>
        <v/>
      </c>
      <c r="AL10" s="40" t="str">
        <f>IFERROR(VLOOKUP(Tabla5[[#This Row],[Cod trabalhador]],'Outros descontos'!B:M,12,FALSE),"")</f>
        <v/>
      </c>
      <c r="AM10" s="40" t="str">
        <f>IFERROR(VLOOKUP(Tabla5[[#This Row],[Cod trabalhador]],'Outros descontos'!B:M,13,FALSE),"")</f>
        <v/>
      </c>
      <c r="AN10" s="41"/>
      <c r="AO10" s="37">
        <v>4.08</v>
      </c>
      <c r="AP10" s="15"/>
      <c r="AQ10"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2214.1800000000003</v>
      </c>
      <c r="AR10"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2214.1800000000003</v>
      </c>
      <c r="AS10" s="15"/>
      <c r="AT10" s="27" t="str">
        <f>IF(Tabla5[[#This Row],[Cod trabalhador]]="", "", INDEX(Iban!C:C, MATCH(Tabla5[[#This Row],[Cod trabalhador]],Iban!A:A, 0)))</f>
        <v>ES97 6893 0001 7700 0027 2470</v>
      </c>
      <c r="AU10" s="66"/>
      <c r="AV10" s="130"/>
      <c r="AW10" s="130" t="s">
        <v>7540</v>
      </c>
      <c r="AX10" s="335" t="s">
        <v>7472</v>
      </c>
    </row>
    <row r="11" spans="1:51" ht="17.25" customHeight="1" x14ac:dyDescent="0.3">
      <c r="A11" s="43"/>
      <c r="B11" s="141" t="s">
        <v>901</v>
      </c>
      <c r="C11" s="390" t="str">
        <f>IF(ISNUMBER(MATCH(Tabla5[[#This Row],[Cod trabalhador]],'Altas Rosas'!B:B, 0)), "Ativo", "Não ativo")</f>
        <v>Não ativo</v>
      </c>
      <c r="D11" s="390" t="str">
        <f>IFERROR(IF(VLOOKUP(Tabla5[[#This Row],[Cod trabalhador]],'Altas Industrial'!B:E,1,0)&lt;&gt;"","KI",""),"")</f>
        <v/>
      </c>
      <c r="E11" s="142" t="str">
        <f>IFERROR(IF(VLOOKUP(Tabla5[[#This Row],[Cod trabalhador]],'Altas Rosas'!B:F,1,0)&lt;&gt;"","KR",""),"")</f>
        <v/>
      </c>
      <c r="F11" s="142" t="str">
        <f>IFERROR(IF(VLOOKUP(Tabla5[[#This Row],[Cod trabalhador]],'Altas Wiseowe'!B:E,1,0)&lt;&gt;"","WS",""),"")</f>
        <v/>
      </c>
      <c r="G11" s="390" t="str">
        <f>IFERROR(IF(VLOOKUP(Tabla5[[#This Row],[Cod trabalhador]],'Altas Luminous'!B:E,1,0)&lt;&gt;"","LM",""),"")</f>
        <v/>
      </c>
      <c r="H11" s="143" t="str">
        <f>IFERROR(VLOOKUP(Tabla5[[#This Row],[Cod trabalhador]],'Altas Rosas'!B:F,4,FALSE),"")</f>
        <v/>
      </c>
      <c r="I11" s="143" t="str">
        <f>IF(OR(Tabla5[[#This Row],[Cod trabalhador]]="",ISBLANK(Tabla5[[#This Row],[Cod trabalhador]])),"",IFERROR(IF(VLOOKUP(Tabla5[[#This Row],[Cod trabalhador]],'Altas Rosas'!B:F,5,FALSE)=0,"",VLOOKUP(Tabla5[[#This Row],[Cod trabalhador]],'Altas Rosas'!B:F,5,FALSE)),""))</f>
        <v/>
      </c>
      <c r="J11" s="142">
        <f t="shared" si="0"/>
        <v>0</v>
      </c>
      <c r="K11" s="380" t="s">
        <v>902</v>
      </c>
      <c r="L11" s="341" t="str">
        <f>IFERROR(IF(Tabla5[[#This Row],[Cod trabalhador]]="",Tabla5[[#This Row],[Cod trabalhador]], INDEX(Colaborador_ID[Nombre], MATCH(Tabla5[[#This Row],[Cod trabalhador]],Colaborador_ID[Cod_colab], 0))), "")</f>
        <v>CARLOS MARIO JARAMILLO LOPEZ</v>
      </c>
      <c r="M11" s="15"/>
      <c r="N11" s="25" t="s">
        <v>7198</v>
      </c>
      <c r="O11" s="26">
        <f>IFERROR(VLOOKUP(Tabla5[[#This Row],[Cod trabalhador]],Tabla15[],4,FALSE),"")</f>
        <v>15</v>
      </c>
      <c r="P11" s="251">
        <f>IFERROR(VLOOKUP(Tabla5[[#This Row],[Cod trabalhador]],'TotalHorasAjustadas (2)'!D:L,8,FALSE),"")</f>
        <v>151.5</v>
      </c>
      <c r="Q11" s="206">
        <v>151.5</v>
      </c>
      <c r="R11" s="252" t="s">
        <v>7471</v>
      </c>
      <c r="S11" s="253" t="s">
        <v>7539</v>
      </c>
      <c r="T11" s="15"/>
      <c r="U11" s="25"/>
      <c r="V11" s="26"/>
      <c r="W11" s="27"/>
      <c r="X11" s="28"/>
      <c r="Y11" s="26"/>
      <c r="Z11" s="15"/>
      <c r="AA11" s="38">
        <f>IFERROR(VLOOKUP(Tabla5[[#This Row],[Cod trabalhador]],Alojamentos!B:P,11,FALSE),"")</f>
        <v>300</v>
      </c>
      <c r="AB11" s="34"/>
      <c r="AC11" s="15"/>
      <c r="AD11" s="41">
        <f>Tabla5[[#This Row],[Dias de alta]]*7.058</f>
        <v>0</v>
      </c>
      <c r="AE11" s="40" t="str">
        <f>IFERROR(VLOOKUP(Tabla5[[#This Row],[Cod trabalhador]],Adiantamentos!B:L,7,FALSE),"")</f>
        <v/>
      </c>
      <c r="AF11" s="40" t="str">
        <f>IFERROR(VLOOKUP(Tabla5[[#This Row],[Cod trabalhador]],Carro!B:D,3,FALSE),"")</f>
        <v/>
      </c>
      <c r="AG11" s="40" t="str">
        <f>IFERROR(VLOOKUP(Tabla5[[#This Row],[Cod trabalhador]],'Outros descontos'!B:M,7,FALSE),"")</f>
        <v/>
      </c>
      <c r="AH11" s="40" t="str">
        <f>IFERROR(VLOOKUP(Tabla5[[#This Row],[Cod trabalhador]],'Outros descontos'!B:M,8,FALSE),"")</f>
        <v/>
      </c>
      <c r="AI11" s="40" t="str">
        <f>IFERROR(VLOOKUP(Tabla5[[#This Row],[Cod trabalhador]],'Outros descontos'!B:M,9,FALSE),"")</f>
        <v/>
      </c>
      <c r="AJ11" s="40" t="str">
        <f>IFERROR(VLOOKUP(Tabla5[[#This Row],[Cod trabalhador]],'Outros descontos'!B:M,10,FALSE),"")</f>
        <v/>
      </c>
      <c r="AK11" s="40" t="str">
        <f>IFERROR(VLOOKUP(Tabla5[[#This Row],[Cod trabalhador]],'Outros descontos'!B:M,11,FALSE),"")</f>
        <v/>
      </c>
      <c r="AL11" s="40" t="str">
        <f>IFERROR(VLOOKUP(Tabla5[[#This Row],[Cod trabalhador]],'Outros descontos'!B:M,12,FALSE),"")</f>
        <v/>
      </c>
      <c r="AM11" s="40" t="str">
        <f>IFERROR(VLOOKUP(Tabla5[[#This Row],[Cod trabalhador]],'Outros descontos'!B:M,13,FALSE),"")</f>
        <v/>
      </c>
      <c r="AN11" s="41"/>
      <c r="AO11" s="37">
        <v>4.08</v>
      </c>
      <c r="AP11" s="15"/>
      <c r="AQ11"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2568.42</v>
      </c>
      <c r="AR11"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2568.42</v>
      </c>
      <c r="AS11" s="15"/>
      <c r="AT11" s="27" t="str">
        <f>IF(Tabla5[[#This Row],[Cod trabalhador]]="", "", INDEX(Iban!C:C, MATCH(Tabla5[[#This Row],[Cod trabalhador]],Iban!A:A, 0)))</f>
        <v>ES25 0182 0838 6502 0157 5647</v>
      </c>
      <c r="AU11" s="66"/>
      <c r="AV11" s="130"/>
      <c r="AW11" s="130" t="s">
        <v>7540</v>
      </c>
      <c r="AX11" s="335" t="s">
        <v>7472</v>
      </c>
    </row>
    <row r="12" spans="1:51" ht="17.25" customHeight="1" x14ac:dyDescent="0.3">
      <c r="A12" s="43"/>
      <c r="B12" s="141" t="s">
        <v>1552</v>
      </c>
      <c r="C12" s="142" t="str">
        <f>IF(ISNUMBER(MATCH(Tabla5[[#This Row],[Cod trabalhador]],'Altas Rosas'!B:B, 0)), "Ativo", "Não ativo")</f>
        <v>Não ativo</v>
      </c>
      <c r="D12" s="142" t="str">
        <f>IFERROR(IF(VLOOKUP(Tabla5[[#This Row],[Cod trabalhador]],'Altas Industrial'!B:E,1,0)&lt;&gt;"","KI",""),"")</f>
        <v/>
      </c>
      <c r="E12" s="142" t="str">
        <f>IFERROR(IF(VLOOKUP(Tabla5[[#This Row],[Cod trabalhador]],'Altas Rosas'!B:F,1,0)&lt;&gt;"","KR",""),"")</f>
        <v/>
      </c>
      <c r="F12" s="142" t="str">
        <f>IFERROR(IF(VLOOKUP(Tabla5[[#This Row],[Cod trabalhador]],'Altas Wiseowe'!B:E,1,0)&lt;&gt;"","WS",""),"")</f>
        <v/>
      </c>
      <c r="G12" s="142" t="str">
        <f>IFERROR(IF(VLOOKUP(Tabla5[[#This Row],[Cod trabalhador]],'Altas Luminous'!B:E,1,0)&lt;&gt;"","LM",""),"")</f>
        <v/>
      </c>
      <c r="H12" s="143" t="str">
        <f>IFERROR(VLOOKUP(Tabla5[[#This Row],[Cod trabalhador]],'Altas Rosas'!B:F,4,FALSE),"")</f>
        <v/>
      </c>
      <c r="I12" s="143" t="str">
        <f>IF(OR(Tabla5[[#This Row],[Cod trabalhador]]="",ISBLANK(Tabla5[[#This Row],[Cod trabalhador]])),"",IFERROR(IF(VLOOKUP(Tabla5[[#This Row],[Cod trabalhador]],'Altas Rosas'!B:F,5,FALSE)=0,"",VLOOKUP(Tabla5[[#This Row],[Cod trabalhador]],'Altas Rosas'!B:F,5,FALSE)),""))</f>
        <v/>
      </c>
      <c r="J12" s="142">
        <f t="shared" si="0"/>
        <v>0</v>
      </c>
      <c r="K12" s="380" t="s">
        <v>7214</v>
      </c>
      <c r="L12" s="341" t="str">
        <f>IFERROR(IF(Tabla5[[#This Row],[Cod trabalhador]]="",Tabla5[[#This Row],[Cod trabalhador]], INDEX(Colaborador_ID[Nombre], MATCH(Tabla5[[#This Row],[Cod trabalhador]],Colaborador_ID[Cod_colab], 0))), "")</f>
        <v>EDU PANDURO RUIZ</v>
      </c>
      <c r="M12" s="15"/>
      <c r="N12" s="25" t="s">
        <v>7213</v>
      </c>
      <c r="O12" s="26">
        <f>IFERROR(VLOOKUP(Tabla5[[#This Row],[Cod trabalhador]],Tabla15[],4,FALSE),"")</f>
        <v>13</v>
      </c>
      <c r="P12" s="251">
        <f>IFERROR(VLOOKUP(Tabla5[[#This Row],[Cod trabalhador]],'TotalHorasAjustadas (2)'!D:L,8,FALSE),"")</f>
        <v>172.5</v>
      </c>
      <c r="Q12" s="131">
        <v>172.5</v>
      </c>
      <c r="R12" s="252" t="s">
        <v>7532</v>
      </c>
      <c r="S12" s="253" t="s">
        <v>7539</v>
      </c>
      <c r="T12" s="15"/>
      <c r="U12" s="25"/>
      <c r="V12" s="26"/>
      <c r="W12" s="27"/>
      <c r="X12" s="28"/>
      <c r="Y12" s="26"/>
      <c r="Z12" s="104"/>
      <c r="AA12" s="38" t="str">
        <f>IFERROR(VLOOKUP(Tabla5[[#This Row],[Cod trabalhador]],Alojamentos!B:P,11,FALSE),"")</f>
        <v/>
      </c>
      <c r="AB12" s="34"/>
      <c r="AC12" s="104"/>
      <c r="AD12" s="41">
        <f>Tabla5[[#This Row],[Dias de alta]]*7.058</f>
        <v>0</v>
      </c>
      <c r="AE12" s="40" t="str">
        <f>IFERROR(VLOOKUP(Tabla5[[#This Row],[Cod trabalhador]],Adiantamentos!B:L,7,FALSE),"")</f>
        <v/>
      </c>
      <c r="AF12" s="40">
        <f>IFERROR(VLOOKUP(Tabla5[[#This Row],[Cod trabalhador]],Carro!B:D,3,FALSE),"")</f>
        <v>89.523809523809518</v>
      </c>
      <c r="AG12" s="40" t="str">
        <f>IFERROR(VLOOKUP(Tabla5[[#This Row],[Cod trabalhador]],'Outros descontos'!B:M,7,FALSE),"")</f>
        <v/>
      </c>
      <c r="AH12" s="40" t="str">
        <f>IFERROR(VLOOKUP(Tabla5[[#This Row],[Cod trabalhador]],'Outros descontos'!B:M,8,FALSE),"")</f>
        <v/>
      </c>
      <c r="AI12" s="40" t="str">
        <f>IFERROR(VLOOKUP(Tabla5[[#This Row],[Cod trabalhador]],'Outros descontos'!B:M,9,FALSE),"")</f>
        <v/>
      </c>
      <c r="AJ12" s="40" t="str">
        <f>IFERROR(VLOOKUP(Tabla5[[#This Row],[Cod trabalhador]],'Outros descontos'!B:M,10,FALSE),"")</f>
        <v/>
      </c>
      <c r="AK12" s="40" t="str">
        <f>IFERROR(VLOOKUP(Tabla5[[#This Row],[Cod trabalhador]],'Outros descontos'!B:M,11,FALSE),"")</f>
        <v/>
      </c>
      <c r="AL12" s="40" t="str">
        <f>IFERROR(VLOOKUP(Tabla5[[#This Row],[Cod trabalhador]],'Outros descontos'!B:M,12,FALSE),"")</f>
        <v/>
      </c>
      <c r="AM12" s="40" t="str">
        <f>IFERROR(VLOOKUP(Tabla5[[#This Row],[Cod trabalhador]],'Outros descontos'!B:M,13,FALSE),"")</f>
        <v/>
      </c>
      <c r="AN12" s="41"/>
      <c r="AO12" s="37">
        <v>4.08</v>
      </c>
      <c r="AP12" s="105"/>
      <c r="AQ12"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2148.8961904761904</v>
      </c>
      <c r="AR12"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2148.8961904761904</v>
      </c>
      <c r="AS12" s="15"/>
      <c r="AT12" s="27" t="str">
        <f>IF(Tabla5[[#This Row],[Cod trabalhador]]="", "", INDEX(Iban!C:C, MATCH(Tabla5[[#This Row],[Cod trabalhador]],Iban!A:A, 0)))</f>
        <v>BE90 9053 5093 8832</v>
      </c>
      <c r="AU12" s="66"/>
      <c r="AV12" s="130"/>
      <c r="AW12" s="130" t="s">
        <v>7540</v>
      </c>
      <c r="AX12" s="335" t="s">
        <v>7472</v>
      </c>
    </row>
    <row r="13" spans="1:51" ht="17.25" customHeight="1" x14ac:dyDescent="0.3">
      <c r="A13" s="43"/>
      <c r="B13" s="141" t="s">
        <v>1590</v>
      </c>
      <c r="C13" s="142" t="str">
        <f>IF(ISNUMBER(MATCH(Tabla5[[#This Row],[Cod trabalhador]],'Altas Rosas'!B:B, 0)), "Ativo", "Não ativo")</f>
        <v>Não ativo</v>
      </c>
      <c r="D13" s="142" t="str">
        <f>IFERROR(IF(VLOOKUP(Tabla5[[#This Row],[Cod trabalhador]],'Altas Industrial'!B:E,1,0)&lt;&gt;"","KI",""),"")</f>
        <v/>
      </c>
      <c r="E13" s="142" t="str">
        <f>IFERROR(IF(VLOOKUP(Tabla5[[#This Row],[Cod trabalhador]],'Altas Rosas'!B:F,1,0)&lt;&gt;"","KR",""),"")</f>
        <v/>
      </c>
      <c r="F13" s="142" t="str">
        <f>IFERROR(IF(VLOOKUP(Tabla5[[#This Row],[Cod trabalhador]],'Altas Wiseowe'!B:E,1,0)&lt;&gt;"","WS",""),"")</f>
        <v/>
      </c>
      <c r="G13" s="142" t="str">
        <f>IFERROR(IF(VLOOKUP(Tabla5[[#This Row],[Cod trabalhador]],'Altas Luminous'!B:E,1,0)&lt;&gt;"","LM",""),"")</f>
        <v/>
      </c>
      <c r="H13" s="143" t="str">
        <f>IFERROR(VLOOKUP(Tabla5[[#This Row],[Cod trabalhador]],'Altas Rosas'!B:F,4,FALSE),"")</f>
        <v/>
      </c>
      <c r="I13" s="143" t="str">
        <f>IF(OR(Tabla5[[#This Row],[Cod trabalhador]]="",ISBLANK(Tabla5[[#This Row],[Cod trabalhador]])),"",IFERROR(IF(VLOOKUP(Tabla5[[#This Row],[Cod trabalhador]],'Altas Rosas'!B:F,5,FALSE)=0,"",VLOOKUP(Tabla5[[#This Row],[Cod trabalhador]],'Altas Rosas'!B:F,5,FALSE)),""))</f>
        <v/>
      </c>
      <c r="J13" s="142">
        <f t="shared" si="0"/>
        <v>0</v>
      </c>
      <c r="K13" s="380" t="s">
        <v>7215</v>
      </c>
      <c r="L13" s="341" t="str">
        <f>IFERROR(IF(Tabla5[[#This Row],[Cod trabalhador]]="",Tabla5[[#This Row],[Cod trabalhador]], INDEX(Colaborador_ID[Nombre], MATCH(Tabla5[[#This Row],[Cod trabalhador]],Colaborador_ID[Cod_colab], 0))), "")</f>
        <v>EDUARDO JOSE RUSSO LINERO</v>
      </c>
      <c r="M13" s="15"/>
      <c r="N13" s="25" t="s">
        <v>7213</v>
      </c>
      <c r="O13" s="26">
        <f>IFERROR(VLOOKUP(Tabla5[[#This Row],[Cod trabalhador]],Tabla15[],4,FALSE),"")</f>
        <v>12</v>
      </c>
      <c r="P13" s="251">
        <f>IFERROR(VLOOKUP(Tabla5[[#This Row],[Cod trabalhador]],'TotalHorasAjustadas (2)'!D:L,8,FALSE),"")</f>
        <v>173</v>
      </c>
      <c r="Q13" s="131">
        <v>173</v>
      </c>
      <c r="R13" s="252" t="s">
        <v>7532</v>
      </c>
      <c r="S13" s="253" t="s">
        <v>7539</v>
      </c>
      <c r="T13" s="15"/>
      <c r="U13" s="25"/>
      <c r="V13" s="26"/>
      <c r="W13" s="27"/>
      <c r="X13" s="28"/>
      <c r="Y13" s="26"/>
      <c r="Z13" s="104"/>
      <c r="AA13" s="38" t="str">
        <f>IFERROR(VLOOKUP(Tabla5[[#This Row],[Cod trabalhador]],Alojamentos!B:P,11,FALSE),"")</f>
        <v/>
      </c>
      <c r="AB13" s="34"/>
      <c r="AC13" s="104"/>
      <c r="AD13" s="41">
        <f>Tabla5[[#This Row],[Dias de alta]]*7.058</f>
        <v>0</v>
      </c>
      <c r="AE13" s="40" t="str">
        <f>IFERROR(VLOOKUP(Tabla5[[#This Row],[Cod trabalhador]],Adiantamentos!B:L,7,FALSE),"")</f>
        <v/>
      </c>
      <c r="AF13" s="40">
        <f>IFERROR(VLOOKUP(Tabla5[[#This Row],[Cod trabalhador]],Carro!B:D,3,FALSE),"")</f>
        <v>89.523809523809518</v>
      </c>
      <c r="AG13" s="40" t="str">
        <f>IFERROR(VLOOKUP(Tabla5[[#This Row],[Cod trabalhador]],'Outros descontos'!B:M,7,FALSE),"")</f>
        <v/>
      </c>
      <c r="AH13" s="40" t="str">
        <f>IFERROR(VLOOKUP(Tabla5[[#This Row],[Cod trabalhador]],'Outros descontos'!B:M,8,FALSE),"")</f>
        <v/>
      </c>
      <c r="AI13" s="40" t="str">
        <f>IFERROR(VLOOKUP(Tabla5[[#This Row],[Cod trabalhador]],'Outros descontos'!B:M,9,FALSE),"")</f>
        <v/>
      </c>
      <c r="AJ13" s="40" t="str">
        <f>IFERROR(VLOOKUP(Tabla5[[#This Row],[Cod trabalhador]],'Outros descontos'!B:M,10,FALSE),"")</f>
        <v/>
      </c>
      <c r="AK13" s="40" t="str">
        <f>IFERROR(VLOOKUP(Tabla5[[#This Row],[Cod trabalhador]],'Outros descontos'!B:M,11,FALSE),"")</f>
        <v/>
      </c>
      <c r="AL13" s="40" t="str">
        <f>IFERROR(VLOOKUP(Tabla5[[#This Row],[Cod trabalhador]],'Outros descontos'!B:M,12,FALSE),"")</f>
        <v/>
      </c>
      <c r="AM13" s="40" t="str">
        <f>IFERROR(VLOOKUP(Tabla5[[#This Row],[Cod trabalhador]],'Outros descontos'!B:M,13,FALSE),"")</f>
        <v/>
      </c>
      <c r="AN13" s="41"/>
      <c r="AO13" s="37">
        <v>4.08</v>
      </c>
      <c r="AP13" s="105"/>
      <c r="AQ13"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1982.3961904761904</v>
      </c>
      <c r="AR13"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1982.3961904761904</v>
      </c>
      <c r="AS13" s="15"/>
      <c r="AT13" s="27" t="str">
        <f>IF(Tabla5[[#This Row],[Cod trabalhador]]="", "", INDEX(Iban!C:C, MATCH(Tabla5[[#This Row],[Cod trabalhador]],Iban!A:A, 0)))</f>
        <v>BE28 9052 3933 9120</v>
      </c>
      <c r="AU13" s="66"/>
      <c r="AV13" s="130"/>
      <c r="AW13" s="130" t="s">
        <v>7540</v>
      </c>
      <c r="AX13" s="335" t="s">
        <v>7472</v>
      </c>
    </row>
    <row r="14" spans="1:51" ht="17.25" customHeight="1" x14ac:dyDescent="0.3">
      <c r="A14" s="43"/>
      <c r="B14" s="141" t="s">
        <v>1682</v>
      </c>
      <c r="C14" s="142" t="str">
        <f>IF(ISNUMBER(MATCH(Tabla5[[#This Row],[Cod trabalhador]],'Altas Rosas'!B:B, 0)), "Ativo", "Não ativo")</f>
        <v>Ativo</v>
      </c>
      <c r="D14" s="142" t="str">
        <f>IFERROR(IF(VLOOKUP(Tabla5[[#This Row],[Cod trabalhador]],'Altas Industrial'!B:E,1,0)&lt;&gt;"","KI",""),"")</f>
        <v/>
      </c>
      <c r="E14" s="142" t="str">
        <f>IFERROR(IF(VLOOKUP(Tabla5[[#This Row],[Cod trabalhador]],'Altas Rosas'!B:F,1,0)&lt;&gt;"","KR",""),"")</f>
        <v>KR</v>
      </c>
      <c r="F14" s="142" t="str">
        <f>IFERROR(IF(VLOOKUP(Tabla5[[#This Row],[Cod trabalhador]],'Altas Wiseowe'!B:E,1,0)&lt;&gt;"","WS",""),"")</f>
        <v/>
      </c>
      <c r="G14" s="142" t="str">
        <f>IFERROR(IF(VLOOKUP(Tabla5[[#This Row],[Cod trabalhador]],'Altas Luminous'!B:E,1,0)&lt;&gt;"","LM",""),"")</f>
        <v/>
      </c>
      <c r="H14" s="143">
        <f>IFERROR(VLOOKUP(Tabla5[[#This Row],[Cod trabalhador]],'Altas Rosas'!B:F,4,FALSE),"")</f>
        <v>45796</v>
      </c>
      <c r="I14" s="143">
        <f>IF(OR(Tabla5[[#This Row],[Cod trabalhador]]="",ISBLANK(Tabla5[[#This Row],[Cod trabalhador]])),"",IFERROR(IF(VLOOKUP(Tabla5[[#This Row],[Cod trabalhador]],'Altas Rosas'!B:F,5,FALSE)=0,"",VLOOKUP(Tabla5[[#This Row],[Cod trabalhador]],'Altas Rosas'!B:F,5,FALSE)),""))</f>
        <v>46052</v>
      </c>
      <c r="J14" s="142">
        <f t="shared" si="0"/>
        <v>30</v>
      </c>
      <c r="K14" s="380" t="s">
        <v>7224</v>
      </c>
      <c r="L14" s="341" t="str">
        <f>IFERROR(IF(Tabla5[[#This Row],[Cod trabalhador]]="",Tabla5[[#This Row],[Cod trabalhador]], INDEX(Colaborador_ID[Nombre], MATCH(Tabla5[[#This Row],[Cod trabalhador]],Colaborador_ID[Cod_colab], 0))), "")</f>
        <v>EDWIN FERNANDO LINARES MACA</v>
      </c>
      <c r="M14" s="15"/>
      <c r="N14" s="25" t="s">
        <v>7223</v>
      </c>
      <c r="O14" s="26">
        <f>IFERROR(VLOOKUP(Tabla5[[#This Row],[Cod trabalhador]],Tabla15[],4,FALSE),"")</f>
        <v>15</v>
      </c>
      <c r="P14" s="251">
        <f>IFERROR(VLOOKUP(Tabla5[[#This Row],[Cod trabalhador]],'TotalHorasAjustadas (2)'!D:L,8,FALSE),"")</f>
        <v>253</v>
      </c>
      <c r="Q14" s="131">
        <v>253</v>
      </c>
      <c r="R14" s="252" t="s">
        <v>7532</v>
      </c>
      <c r="S14" s="253" t="s">
        <v>7539</v>
      </c>
      <c r="T14" s="15"/>
      <c r="U14" s="25"/>
      <c r="V14" s="26"/>
      <c r="W14" s="27"/>
      <c r="X14" s="28"/>
      <c r="Y14" s="26"/>
      <c r="Z14" s="15"/>
      <c r="AA14" s="38" t="str">
        <f>IFERROR(VLOOKUP(Tabla5[[#This Row],[Cod trabalhador]],Alojamentos!B:P,11,FALSE),"")</f>
        <v/>
      </c>
      <c r="AB14" s="34"/>
      <c r="AC14" s="15"/>
      <c r="AD14" s="41">
        <f>Tabla5[[#This Row],[Dias de alta]]*7.058</f>
        <v>211.74</v>
      </c>
      <c r="AE14" s="40" t="str">
        <f>IFERROR(VLOOKUP(Tabla5[[#This Row],[Cod trabalhador]],Adiantamentos!B:L,7,FALSE),"")</f>
        <v/>
      </c>
      <c r="AF14" s="40">
        <f>IFERROR(VLOOKUP(Tabla5[[#This Row],[Cod trabalhador]],Carro!B:D,3,FALSE),"")</f>
        <v>104.44444444444446</v>
      </c>
      <c r="AG14" s="40" t="str">
        <f>IFERROR(VLOOKUP(Tabla5[[#This Row],[Cod trabalhador]],'Outros descontos'!B:M,7,FALSE),"")</f>
        <v/>
      </c>
      <c r="AH14" s="40" t="str">
        <f>IFERROR(VLOOKUP(Tabla5[[#This Row],[Cod trabalhador]],'Outros descontos'!B:M,8,FALSE),"")</f>
        <v/>
      </c>
      <c r="AI14" s="40" t="str">
        <f>IFERROR(VLOOKUP(Tabla5[[#This Row],[Cod trabalhador]],'Outros descontos'!B:M,9,FALSE),"")</f>
        <v/>
      </c>
      <c r="AJ14" s="40" t="str">
        <f>IFERROR(VLOOKUP(Tabla5[[#This Row],[Cod trabalhador]],'Outros descontos'!B:M,10,FALSE),"")</f>
        <v/>
      </c>
      <c r="AK14" s="40" t="str">
        <f>IFERROR(VLOOKUP(Tabla5[[#This Row],[Cod trabalhador]],'Outros descontos'!B:M,11,FALSE),"")</f>
        <v/>
      </c>
      <c r="AL14" s="40" t="str">
        <f>IFERROR(VLOOKUP(Tabla5[[#This Row],[Cod trabalhador]],'Outros descontos'!B:M,12,FALSE),"")</f>
        <v/>
      </c>
      <c r="AM14" s="40" t="str">
        <f>IFERROR(VLOOKUP(Tabla5[[#This Row],[Cod trabalhador]],'Outros descontos'!B:M,13,FALSE),"")</f>
        <v/>
      </c>
      <c r="AN14" s="41"/>
      <c r="AO14" s="37">
        <v>4.08</v>
      </c>
      <c r="AP14" s="15"/>
      <c r="AQ14"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3474.7355555555559</v>
      </c>
      <c r="AR14"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3474.7355555555559</v>
      </c>
      <c r="AS14" s="15"/>
      <c r="AT14" s="27" t="str">
        <f>IF(Tabla5[[#This Row],[Cod trabalhador]]="", "", INDEX(Iban!C:C, MATCH(Tabla5[[#This Row],[Cod trabalhador]],Iban!A:A, 0)))</f>
        <v xml:space="preserve">BE08 9051 8010 0513 </v>
      </c>
      <c r="AU14" s="66"/>
      <c r="AV14" s="130"/>
      <c r="AW14" s="130" t="s">
        <v>7540</v>
      </c>
      <c r="AX14" s="335" t="s">
        <v>7472</v>
      </c>
    </row>
    <row r="15" spans="1:51" ht="17.25" customHeight="1" x14ac:dyDescent="0.3">
      <c r="A15" s="43"/>
      <c r="B15" s="141" t="s">
        <v>1749</v>
      </c>
      <c r="C15" s="142" t="str">
        <f>IF(ISNUMBER(MATCH(Tabla5[[#This Row],[Cod trabalhador]],'Altas Rosas'!B:B, 0)), "Ativo", "Não ativo")</f>
        <v>Ativo</v>
      </c>
      <c r="D15" s="142" t="str">
        <f>IFERROR(IF(VLOOKUP(Tabla5[[#This Row],[Cod trabalhador]],'Altas Industrial'!B:E,1,0)&lt;&gt;"","KI",""),"")</f>
        <v/>
      </c>
      <c r="E15" s="142" t="str">
        <f>IFERROR(IF(VLOOKUP(Tabla5[[#This Row],[Cod trabalhador]],'Altas Rosas'!B:F,1,0)&lt;&gt;"","KR",""),"")</f>
        <v>KR</v>
      </c>
      <c r="F15" s="142" t="str">
        <f>IFERROR(IF(VLOOKUP(Tabla5[[#This Row],[Cod trabalhador]],'Altas Wiseowe'!B:E,1,0)&lt;&gt;"","WS",""),"")</f>
        <v/>
      </c>
      <c r="G15" s="142" t="str">
        <f>IFERROR(IF(VLOOKUP(Tabla5[[#This Row],[Cod trabalhador]],'Altas Luminous'!B:E,1,0)&lt;&gt;"","LM",""),"")</f>
        <v/>
      </c>
      <c r="H15" s="143">
        <f>IFERROR(VLOOKUP(Tabla5[[#This Row],[Cod trabalhador]],'Altas Rosas'!B:F,4,FALSE),"")</f>
        <v>45769</v>
      </c>
      <c r="I15" s="143">
        <f>IF(OR(Tabla5[[#This Row],[Cod trabalhador]]="",ISBLANK(Tabla5[[#This Row],[Cod trabalhador]])),"",IFERROR(IF(VLOOKUP(Tabla5[[#This Row],[Cod trabalhador]],'Altas Rosas'!B:F,5,FALSE)=0,"",VLOOKUP(Tabla5[[#This Row],[Cod trabalhador]],'Altas Rosas'!B:F,5,FALSE)),""))</f>
        <v>46052</v>
      </c>
      <c r="J15" s="142">
        <f t="shared" si="0"/>
        <v>30</v>
      </c>
      <c r="K15" s="380" t="s">
        <v>7230</v>
      </c>
      <c r="L15" s="341" t="str">
        <f>IFERROR(IF(Tabla5[[#This Row],[Cod trabalhador]]="",Tabla5[[#This Row],[Cod trabalhador]], INDEX(Colaborador_ID[Nombre], MATCH(Tabla5[[#This Row],[Cod trabalhador]],Colaborador_ID[Cod_colab], 0))), "")</f>
        <v>EISON SALAS AHUMEDO</v>
      </c>
      <c r="M15" s="15"/>
      <c r="N15" s="25" t="s">
        <v>7229</v>
      </c>
      <c r="O15" s="26">
        <f>IFERROR(VLOOKUP(Tabla5[[#This Row],[Cod trabalhador]],Tabla15[],4,FALSE),"")</f>
        <v>14</v>
      </c>
      <c r="P15" s="251">
        <f>IFERROR(VLOOKUP(Tabla5[[#This Row],[Cod trabalhador]],'TotalHorasAjustadas (2)'!D:L,8,FALSE),"")</f>
        <v>143</v>
      </c>
      <c r="Q15" s="131">
        <v>143</v>
      </c>
      <c r="R15" s="252" t="s">
        <v>7532</v>
      </c>
      <c r="S15" s="253" t="s">
        <v>7539</v>
      </c>
      <c r="T15" s="15"/>
      <c r="U15" s="25"/>
      <c r="V15" s="26"/>
      <c r="W15" s="27"/>
      <c r="X15" s="28"/>
      <c r="Y15" s="26"/>
      <c r="Z15" s="15"/>
      <c r="AA15" s="38" t="str">
        <f>IFERROR(VLOOKUP(Tabla5[[#This Row],[Cod trabalhador]],Alojamentos!B:P,11,FALSE),"")</f>
        <v/>
      </c>
      <c r="AB15" s="34"/>
      <c r="AC15" s="15"/>
      <c r="AD15" s="41">
        <f>Tabla5[[#This Row],[Dias de alta]]*7.058</f>
        <v>211.74</v>
      </c>
      <c r="AE15" s="40" t="str">
        <f>IFERROR(VLOOKUP(Tabla5[[#This Row],[Cod trabalhador]],Adiantamentos!B:L,7,FALSE),"")</f>
        <v/>
      </c>
      <c r="AF15" s="40" t="str">
        <f>IFERROR(VLOOKUP(Tabla5[[#This Row],[Cod trabalhador]],Carro!B:D,3,FALSE),"")</f>
        <v/>
      </c>
      <c r="AG15" s="40" t="str">
        <f>IFERROR(VLOOKUP(Tabla5[[#This Row],[Cod trabalhador]],'Outros descontos'!B:M,7,FALSE),"")</f>
        <v/>
      </c>
      <c r="AH15" s="40" t="str">
        <f>IFERROR(VLOOKUP(Tabla5[[#This Row],[Cod trabalhador]],'Outros descontos'!B:M,8,FALSE),"")</f>
        <v/>
      </c>
      <c r="AI15" s="40" t="str">
        <f>IFERROR(VLOOKUP(Tabla5[[#This Row],[Cod trabalhador]],'Outros descontos'!B:M,9,FALSE),"")</f>
        <v/>
      </c>
      <c r="AJ15" s="40" t="str">
        <f>IFERROR(VLOOKUP(Tabla5[[#This Row],[Cod trabalhador]],'Outros descontos'!B:M,10,FALSE),"")</f>
        <v/>
      </c>
      <c r="AK15" s="40" t="str">
        <f>IFERROR(VLOOKUP(Tabla5[[#This Row],[Cod trabalhador]],'Outros descontos'!B:M,11,FALSE),"")</f>
        <v/>
      </c>
      <c r="AL15" s="40" t="str">
        <f>IFERROR(VLOOKUP(Tabla5[[#This Row],[Cod trabalhador]],'Outros descontos'!B:M,12,FALSE),"")</f>
        <v/>
      </c>
      <c r="AM15" s="40" t="str">
        <f>IFERROR(VLOOKUP(Tabla5[[#This Row],[Cod trabalhador]],'Outros descontos'!B:M,13,FALSE),"")</f>
        <v/>
      </c>
      <c r="AN15" s="41"/>
      <c r="AO15" s="37">
        <v>4.08</v>
      </c>
      <c r="AP15" s="15"/>
      <c r="AQ15"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1786.18</v>
      </c>
      <c r="AR15"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1786.18</v>
      </c>
      <c r="AS15" s="15"/>
      <c r="AT15" s="27" t="str">
        <f>IF(Tabla5[[#This Row],[Cod trabalhador]]="", "", INDEX(Iban!C:C, MATCH(Tabla5[[#This Row],[Cod trabalhador]],Iban!A:A, 0)))</f>
        <v>BE40 9053 0596 3063</v>
      </c>
      <c r="AU15" s="66"/>
      <c r="AV15" s="130"/>
      <c r="AW15" s="130" t="s">
        <v>7540</v>
      </c>
      <c r="AX15" s="335" t="s">
        <v>7472</v>
      </c>
    </row>
    <row r="16" spans="1:51" ht="18.75" customHeight="1" x14ac:dyDescent="0.3">
      <c r="A16" s="43"/>
      <c r="B16" s="141" t="s">
        <v>1988</v>
      </c>
      <c r="C16" s="142" t="str">
        <f>IF(ISNUMBER(MATCH(Tabla5[[#This Row],[Cod trabalhador]],'Altas Rosas'!B:B, 0)), "Ativo", "Não ativo")</f>
        <v>Não ativo</v>
      </c>
      <c r="D16" s="142" t="str">
        <f>IFERROR(IF(VLOOKUP(Tabla5[[#This Row],[Cod trabalhador]],'Altas Industrial'!B:E,1,0)&lt;&gt;"","KI",""),"")</f>
        <v/>
      </c>
      <c r="E16" s="142" t="str">
        <f>IFERROR(IF(VLOOKUP(Tabla5[[#This Row],[Cod trabalhador]],'Altas Rosas'!B:F,1,0)&lt;&gt;"","KR",""),"")</f>
        <v/>
      </c>
      <c r="F16" s="142" t="str">
        <f>IFERROR(IF(VLOOKUP(Tabla5[[#This Row],[Cod trabalhador]],'Altas Wiseowe'!B:E,1,0)&lt;&gt;"","WS",""),"")</f>
        <v/>
      </c>
      <c r="G16" s="142" t="str">
        <f>IFERROR(IF(VLOOKUP(Tabla5[[#This Row],[Cod trabalhador]],'Altas Luminous'!B:E,1,0)&lt;&gt;"","LM",""),"")</f>
        <v/>
      </c>
      <c r="H16" s="143" t="str">
        <f>IFERROR(VLOOKUP(Tabla5[[#This Row],[Cod trabalhador]],'Altas Rosas'!B:F,4,FALSE),"")</f>
        <v/>
      </c>
      <c r="I16" s="143" t="str">
        <f>IF(OR(Tabla5[[#This Row],[Cod trabalhador]]="",ISBLANK(Tabla5[[#This Row],[Cod trabalhador]])),"",IFERROR(IF(VLOOKUP(Tabla5[[#This Row],[Cod trabalhador]],'Altas Rosas'!B:F,5,FALSE)=0,"",VLOOKUP(Tabla5[[#This Row],[Cod trabalhador]],'Altas Rosas'!B:F,5,FALSE)),""))</f>
        <v/>
      </c>
      <c r="J16" s="142">
        <f t="shared" si="0"/>
        <v>0</v>
      </c>
      <c r="K16" s="380" t="s">
        <v>7231</v>
      </c>
      <c r="L16" s="341" t="str">
        <f>IFERROR(IF(Tabla5[[#This Row],[Cod trabalhador]]="",Tabla5[[#This Row],[Cod trabalhador]], INDEX(Colaborador_ID[Nombre], MATCH(Tabla5[[#This Row],[Cod trabalhador]],Colaborador_ID[Cod_colab], 0))), "")</f>
        <v>FABIAN LLERAR ROA MATEUS</v>
      </c>
      <c r="M16" s="15"/>
      <c r="N16" s="25" t="s">
        <v>7229</v>
      </c>
      <c r="O16" s="26">
        <f>IFERROR(VLOOKUP(Tabla5[[#This Row],[Cod trabalhador]],Tabla15[],4,FALSE),"")</f>
        <v>14</v>
      </c>
      <c r="P16" s="251">
        <f>IFERROR(VLOOKUP(Tabla5[[#This Row],[Cod trabalhador]],'TotalHorasAjustadas (2)'!D:L,8,FALSE),"")</f>
        <v>144</v>
      </c>
      <c r="Q16" s="131">
        <v>144</v>
      </c>
      <c r="R16" s="252" t="s">
        <v>7532</v>
      </c>
      <c r="S16" s="253" t="s">
        <v>7539</v>
      </c>
      <c r="T16" s="15"/>
      <c r="U16" s="25"/>
      <c r="V16" s="26"/>
      <c r="W16" s="27"/>
      <c r="X16" s="28"/>
      <c r="Y16" s="26"/>
      <c r="Z16" s="15"/>
      <c r="AA16" s="38" t="str">
        <f>IFERROR(VLOOKUP(Tabla5[[#This Row],[Cod trabalhador]],Alojamentos!B:P,11,FALSE),"")</f>
        <v/>
      </c>
      <c r="AB16" s="34"/>
      <c r="AC16" s="15"/>
      <c r="AD16" s="41">
        <f>Tabla5[[#This Row],[Dias de alta]]*7.058</f>
        <v>0</v>
      </c>
      <c r="AE16" s="40" t="str">
        <f>IFERROR(VLOOKUP(Tabla5[[#This Row],[Cod trabalhador]],Adiantamentos!B:L,7,FALSE),"")</f>
        <v/>
      </c>
      <c r="AF16" s="40" t="str">
        <f>IFERROR(VLOOKUP(Tabla5[[#This Row],[Cod trabalhador]],Carro!B:D,3,FALSE),"")</f>
        <v/>
      </c>
      <c r="AG16" s="40" t="str">
        <f>IFERROR(VLOOKUP(Tabla5[[#This Row],[Cod trabalhador]],'Outros descontos'!B:M,7,FALSE),"")</f>
        <v/>
      </c>
      <c r="AH16" s="40" t="str">
        <f>IFERROR(VLOOKUP(Tabla5[[#This Row],[Cod trabalhador]],'Outros descontos'!B:M,8,FALSE),"")</f>
        <v/>
      </c>
      <c r="AI16" s="40" t="str">
        <f>IFERROR(VLOOKUP(Tabla5[[#This Row],[Cod trabalhador]],'Outros descontos'!B:M,9,FALSE),"")</f>
        <v/>
      </c>
      <c r="AJ16" s="40" t="str">
        <f>IFERROR(VLOOKUP(Tabla5[[#This Row],[Cod trabalhador]],'Outros descontos'!B:M,10,FALSE),"")</f>
        <v/>
      </c>
      <c r="AK16" s="40" t="str">
        <f>IFERROR(VLOOKUP(Tabla5[[#This Row],[Cod trabalhador]],'Outros descontos'!B:M,11,FALSE),"")</f>
        <v/>
      </c>
      <c r="AL16" s="40" t="str">
        <f>IFERROR(VLOOKUP(Tabla5[[#This Row],[Cod trabalhador]],'Outros descontos'!B:M,12,FALSE),"")</f>
        <v/>
      </c>
      <c r="AM16" s="40" t="str">
        <f>IFERROR(VLOOKUP(Tabla5[[#This Row],[Cod trabalhador]],'Outros descontos'!B:M,13,FALSE),"")</f>
        <v/>
      </c>
      <c r="AN16" s="41"/>
      <c r="AO16" s="37">
        <v>4.08</v>
      </c>
      <c r="AP16" s="15"/>
      <c r="AQ16"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2011.92</v>
      </c>
      <c r="AR16"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2011.92</v>
      </c>
      <c r="AS16" s="15"/>
      <c r="AT16" s="27" t="str">
        <f>IF(Tabla5[[#This Row],[Cod trabalhador]]="", "", INDEX(Iban!C:C, MATCH(Tabla5[[#This Row],[Cod trabalhador]],Iban!A:A, 0)))</f>
        <v>ES56 1576 1212 1110 1044 6399</v>
      </c>
      <c r="AU16" s="66"/>
      <c r="AV16" s="130"/>
      <c r="AW16" s="130" t="s">
        <v>7540</v>
      </c>
      <c r="AX16" s="335" t="s">
        <v>7472</v>
      </c>
    </row>
    <row r="17" spans="1:50" ht="18.75" customHeight="1" x14ac:dyDescent="0.3">
      <c r="A17" s="43"/>
      <c r="B17" s="141" t="s">
        <v>2175</v>
      </c>
      <c r="C17" s="142" t="str">
        <f>IF(ISNUMBER(MATCH(Tabla5[[#This Row],[Cod trabalhador]],'Altas Rosas'!B:B, 0)), "Ativo", "Não ativo")</f>
        <v>Ativo</v>
      </c>
      <c r="D17" s="142" t="str">
        <f>IFERROR(IF(VLOOKUP(Tabla5[[#This Row],[Cod trabalhador]],'Altas Industrial'!B:E,1,0)&lt;&gt;"","KI",""),"")</f>
        <v/>
      </c>
      <c r="E17" s="142" t="str">
        <f>IFERROR(IF(VLOOKUP(Tabla5[[#This Row],[Cod trabalhador]],'Altas Rosas'!B:F,1,0)&lt;&gt;"","KR",""),"")</f>
        <v>KR</v>
      </c>
      <c r="F17" s="142" t="str">
        <f>IFERROR(IF(VLOOKUP(Tabla5[[#This Row],[Cod trabalhador]],'Altas Wiseowe'!B:E,1,0)&lt;&gt;"","WS",""),"")</f>
        <v/>
      </c>
      <c r="G17" s="142" t="str">
        <f>IFERROR(IF(VLOOKUP(Tabla5[[#This Row],[Cod trabalhador]],'Altas Luminous'!B:E,1,0)&lt;&gt;"","LM",""),"")</f>
        <v/>
      </c>
      <c r="H17" s="143">
        <f>IFERROR(VLOOKUP(Tabla5[[#This Row],[Cod trabalhador]],'Altas Rosas'!B:F,4,FALSE),"")</f>
        <v>45761</v>
      </c>
      <c r="I17" s="143">
        <f>IF(OR(Tabla5[[#This Row],[Cod trabalhador]]="",ISBLANK(Tabla5[[#This Row],[Cod trabalhador]])),"",IFERROR(IF(VLOOKUP(Tabla5[[#This Row],[Cod trabalhador]],'Altas Rosas'!B:F,5,FALSE)=0,"",VLOOKUP(Tabla5[[#This Row],[Cod trabalhador]],'Altas Rosas'!B:F,5,FALSE)),""))</f>
        <v>46052</v>
      </c>
      <c r="J17" s="142">
        <f t="shared" si="0"/>
        <v>30</v>
      </c>
      <c r="K17" s="380" t="s">
        <v>7232</v>
      </c>
      <c r="L17" s="341" t="str">
        <f>IFERROR(IF(Tabla5[[#This Row],[Cod trabalhador]]="",Tabla5[[#This Row],[Cod trabalhador]], INDEX(Colaborador_ID[Nombre], MATCH(Tabla5[[#This Row],[Cod trabalhador]],Colaborador_ID[Cod_colab], 0))), "")</f>
        <v>FRANCISCO JAVIER MERCADO MELENDEZ</v>
      </c>
      <c r="M17" s="15"/>
      <c r="N17" s="25" t="s">
        <v>7229</v>
      </c>
      <c r="O17" s="26">
        <f>IFERROR(VLOOKUP(Tabla5[[#This Row],[Cod trabalhador]],Tabla15[],4,FALSE),"")</f>
        <v>14</v>
      </c>
      <c r="P17" s="251">
        <f>IFERROR(VLOOKUP(Tabla5[[#This Row],[Cod trabalhador]],'TotalHorasAjustadas (2)'!D:L,8,FALSE),"")</f>
        <v>144</v>
      </c>
      <c r="Q17" s="131">
        <v>144</v>
      </c>
      <c r="R17" s="252" t="s">
        <v>7532</v>
      </c>
      <c r="S17" s="253" t="s">
        <v>7539</v>
      </c>
      <c r="T17" s="15"/>
      <c r="U17" s="25"/>
      <c r="V17" s="26"/>
      <c r="W17" s="27"/>
      <c r="X17" s="28"/>
      <c r="Y17" s="26"/>
      <c r="Z17" s="15"/>
      <c r="AA17" s="38" t="str">
        <f>IFERROR(VLOOKUP(Tabla5[[#This Row],[Cod trabalhador]],Alojamentos!B:P,11,FALSE),"")</f>
        <v/>
      </c>
      <c r="AB17" s="34"/>
      <c r="AC17" s="15"/>
      <c r="AD17" s="41">
        <f>Tabla5[[#This Row],[Dias de alta]]*7.058</f>
        <v>211.74</v>
      </c>
      <c r="AE17" s="40" t="str">
        <f>IFERROR(VLOOKUP(Tabla5[[#This Row],[Cod trabalhador]],Adiantamentos!B:L,7,FALSE),"")</f>
        <v/>
      </c>
      <c r="AF17" s="40" t="str">
        <f>IFERROR(VLOOKUP(Tabla5[[#This Row],[Cod trabalhador]],Carro!B:D,3,FALSE),"")</f>
        <v/>
      </c>
      <c r="AG17" s="40" t="str">
        <f>IFERROR(VLOOKUP(Tabla5[[#This Row],[Cod trabalhador]],'Outros descontos'!B:M,7,FALSE),"")</f>
        <v/>
      </c>
      <c r="AH17" s="40" t="str">
        <f>IFERROR(VLOOKUP(Tabla5[[#This Row],[Cod trabalhador]],'Outros descontos'!B:M,8,FALSE),"")</f>
        <v/>
      </c>
      <c r="AI17" s="40" t="str">
        <f>IFERROR(VLOOKUP(Tabla5[[#This Row],[Cod trabalhador]],'Outros descontos'!B:M,9,FALSE),"")</f>
        <v/>
      </c>
      <c r="AJ17" s="40" t="str">
        <f>IFERROR(VLOOKUP(Tabla5[[#This Row],[Cod trabalhador]],'Outros descontos'!B:M,10,FALSE),"")</f>
        <v/>
      </c>
      <c r="AK17" s="40" t="str">
        <f>IFERROR(VLOOKUP(Tabla5[[#This Row],[Cod trabalhador]],'Outros descontos'!B:M,11,FALSE),"")</f>
        <v/>
      </c>
      <c r="AL17" s="40" t="str">
        <f>IFERROR(VLOOKUP(Tabla5[[#This Row],[Cod trabalhador]],'Outros descontos'!B:M,12,FALSE),"")</f>
        <v/>
      </c>
      <c r="AM17" s="40" t="str">
        <f>IFERROR(VLOOKUP(Tabla5[[#This Row],[Cod trabalhador]],'Outros descontos'!B:M,13,FALSE),"")</f>
        <v/>
      </c>
      <c r="AN17" s="41"/>
      <c r="AO17" s="37">
        <v>4.08</v>
      </c>
      <c r="AP17" s="15"/>
      <c r="AQ17"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1800.18</v>
      </c>
      <c r="AR17"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1800.18</v>
      </c>
      <c r="AS17" s="15"/>
      <c r="AT17" s="27" t="str">
        <f>IF(Tabla5[[#This Row],[Cod trabalhador]]="", "", INDEX(Iban!C:C, MATCH(Tabla5[[#This Row],[Cod trabalhador]],Iban!A:A, 0)))</f>
        <v>BE45 9052 1257 4089</v>
      </c>
      <c r="AU17" s="66"/>
      <c r="AV17" s="130"/>
      <c r="AW17" s="130" t="s">
        <v>7540</v>
      </c>
      <c r="AX17" s="335" t="s">
        <v>7472</v>
      </c>
    </row>
    <row r="18" spans="1:50" ht="18.75" customHeight="1" x14ac:dyDescent="0.3">
      <c r="A18" s="43"/>
      <c r="B18" s="141" t="s">
        <v>2277</v>
      </c>
      <c r="C18" s="142" t="str">
        <f>IF(ISNUMBER(MATCH(Tabla5[[#This Row],[Cod trabalhador]],'Altas Rosas'!B:B, 0)), "Ativo", "Não ativo")</f>
        <v>Ativo</v>
      </c>
      <c r="D18" s="142" t="str">
        <f>IFERROR(IF(VLOOKUP(Tabla5[[#This Row],[Cod trabalhador]],'Altas Industrial'!B:E,1,0)&lt;&gt;"","KI",""),"")</f>
        <v/>
      </c>
      <c r="E18" s="142" t="str">
        <f>IFERROR(IF(VLOOKUP(Tabla5[[#This Row],[Cod trabalhador]],'Altas Rosas'!B:F,1,0)&lt;&gt;"","KR",""),"")</f>
        <v>KR</v>
      </c>
      <c r="F18" s="142" t="str">
        <f>IFERROR(IF(VLOOKUP(Tabla5[[#This Row],[Cod trabalhador]],'Altas Wiseowe'!B:E,1,0)&lt;&gt;"","WS",""),"")</f>
        <v/>
      </c>
      <c r="G18" s="142" t="str">
        <f>IFERROR(IF(VLOOKUP(Tabla5[[#This Row],[Cod trabalhador]],'Altas Luminous'!B:E,1,0)&lt;&gt;"","LM",""),"")</f>
        <v/>
      </c>
      <c r="H18" s="143">
        <f>IFERROR(VLOOKUP(Tabla5[[#This Row],[Cod trabalhador]],'Altas Rosas'!B:F,4,FALSE),"")</f>
        <v>45761</v>
      </c>
      <c r="I18" s="143">
        <f>IF(OR(Tabla5[[#This Row],[Cod trabalhador]]="",ISBLANK(Tabla5[[#This Row],[Cod trabalhador]])),"",IFERROR(IF(VLOOKUP(Tabla5[[#This Row],[Cod trabalhador]],'Altas Rosas'!B:F,5,FALSE)=0,"",VLOOKUP(Tabla5[[#This Row],[Cod trabalhador]],'Altas Rosas'!B:F,5,FALSE)),""))</f>
        <v>46052</v>
      </c>
      <c r="J18" s="142">
        <f t="shared" si="0"/>
        <v>30</v>
      </c>
      <c r="K18" s="380" t="s">
        <v>7189</v>
      </c>
      <c r="L18" s="341" t="str">
        <f>IFERROR(IF(Tabla5[[#This Row],[Cod trabalhador]]="",Tabla5[[#This Row],[Cod trabalhador]], INDEX(Colaborador_ID[Nombre], MATCH(Tabla5[[#This Row],[Cod trabalhador]],Colaborador_ID[Cod_colab], 0))), "")</f>
        <v>FREDY MANCERA URIBE</v>
      </c>
      <c r="M18" s="15"/>
      <c r="N18" s="25" t="s">
        <v>7185</v>
      </c>
      <c r="O18" s="26">
        <f>IFERROR(VLOOKUP(Tabla5[[#This Row],[Cod trabalhador]],Tabla15[],4,FALSE),"")</f>
        <v>15</v>
      </c>
      <c r="P18" s="251">
        <f>IFERROR(VLOOKUP(Tabla5[[#This Row],[Cod trabalhador]],'TotalHorasAjustadas (2)'!D:L,8,FALSE),"")</f>
        <v>143</v>
      </c>
      <c r="Q18" s="131">
        <v>143</v>
      </c>
      <c r="R18" s="252" t="s">
        <v>7471</v>
      </c>
      <c r="S18" s="253" t="s">
        <v>7539</v>
      </c>
      <c r="T18" s="15"/>
      <c r="U18" s="25"/>
      <c r="V18" s="26"/>
      <c r="W18" s="27"/>
      <c r="X18" s="28"/>
      <c r="Y18" s="26"/>
      <c r="Z18" s="15"/>
      <c r="AA18" s="38">
        <f>IFERROR(VLOOKUP(Tabla5[[#This Row],[Cod trabalhador]],Alojamentos!B:P,11,FALSE),"")</f>
        <v>300</v>
      </c>
      <c r="AB18" s="34"/>
      <c r="AC18" s="15"/>
      <c r="AD18" s="41">
        <f>Tabla5[[#This Row],[Dias de alta]]*7.058</f>
        <v>211.74</v>
      </c>
      <c r="AE18" s="40" t="str">
        <f>IFERROR(VLOOKUP(Tabla5[[#This Row],[Cod trabalhador]],Adiantamentos!B:L,7,FALSE),"")</f>
        <v/>
      </c>
      <c r="AF18" s="40" t="str">
        <f>IFERROR(VLOOKUP(Tabla5[[#This Row],[Cod trabalhador]],Carro!B:D,3,FALSE),"")</f>
        <v/>
      </c>
      <c r="AG18" s="40" t="str">
        <f>IFERROR(VLOOKUP(Tabla5[[#This Row],[Cod trabalhador]],'Outros descontos'!B:M,7,FALSE),"")</f>
        <v/>
      </c>
      <c r="AH18" s="40" t="str">
        <f>IFERROR(VLOOKUP(Tabla5[[#This Row],[Cod trabalhador]],'Outros descontos'!B:M,8,FALSE),"")</f>
        <v/>
      </c>
      <c r="AI18" s="40" t="str">
        <f>IFERROR(VLOOKUP(Tabla5[[#This Row],[Cod trabalhador]],'Outros descontos'!B:M,9,FALSE),"")</f>
        <v/>
      </c>
      <c r="AJ18" s="40" t="str">
        <f>IFERROR(VLOOKUP(Tabla5[[#This Row],[Cod trabalhador]],'Outros descontos'!B:M,10,FALSE),"")</f>
        <v/>
      </c>
      <c r="AK18" s="40" t="str">
        <f>IFERROR(VLOOKUP(Tabla5[[#This Row],[Cod trabalhador]],'Outros descontos'!B:M,11,FALSE),"")</f>
        <v/>
      </c>
      <c r="AL18" s="40" t="str">
        <f>IFERROR(VLOOKUP(Tabla5[[#This Row],[Cod trabalhador]],'Outros descontos'!B:M,12,FALSE),"")</f>
        <v/>
      </c>
      <c r="AM18" s="40" t="str">
        <f>IFERROR(VLOOKUP(Tabla5[[#This Row],[Cod trabalhador]],'Outros descontos'!B:M,13,FALSE),"")</f>
        <v/>
      </c>
      <c r="AN18" s="41"/>
      <c r="AO18" s="37">
        <v>4.08</v>
      </c>
      <c r="AP18" s="15"/>
      <c r="AQ18"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2229.1800000000003</v>
      </c>
      <c r="AR18"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2229.1800000000003</v>
      </c>
      <c r="AS18" s="15"/>
      <c r="AT18" s="27" t="str">
        <f>IF(Tabla5[[#This Row],[Cod trabalhador]]="", "", INDEX(Iban!C:C, MATCH(Tabla5[[#This Row],[Cod trabalhador]],Iban!A:A, 0)))</f>
        <v>ES95 0182 4388 1202 0186 5375</v>
      </c>
      <c r="AU18" s="66"/>
      <c r="AV18" s="130"/>
      <c r="AW18" s="130" t="s">
        <v>7540</v>
      </c>
      <c r="AX18" s="335" t="s">
        <v>7472</v>
      </c>
    </row>
    <row r="19" spans="1:50" ht="18.75" customHeight="1" x14ac:dyDescent="0.3">
      <c r="A19" s="43"/>
      <c r="B19" s="141" t="s">
        <v>2357</v>
      </c>
      <c r="C19" s="142" t="str">
        <f>IF(ISNUMBER(MATCH(Tabla5[[#This Row],[Cod trabalhador]],'Altas Rosas'!B:B, 0)), "Ativo", "Não ativo")</f>
        <v>Ativo</v>
      </c>
      <c r="D19" s="142" t="str">
        <f>IFERROR(IF(VLOOKUP(Tabla5[[#This Row],[Cod trabalhador]],'Altas Industrial'!B:E,1,0)&lt;&gt;"","KI",""),"")</f>
        <v/>
      </c>
      <c r="E19" s="142" t="str">
        <f>IFERROR(IF(VLOOKUP(Tabla5[[#This Row],[Cod trabalhador]],'Altas Rosas'!B:F,1,0)&lt;&gt;"","KR",""),"")</f>
        <v>KR</v>
      </c>
      <c r="F19" s="142" t="str">
        <f>IFERROR(IF(VLOOKUP(Tabla5[[#This Row],[Cod trabalhador]],'Altas Wiseowe'!B:E,1,0)&lt;&gt;"","WS",""),"")</f>
        <v/>
      </c>
      <c r="G19" s="142" t="str">
        <f>IFERROR(IF(VLOOKUP(Tabla5[[#This Row],[Cod trabalhador]],'Altas Luminous'!B:E,1,0)&lt;&gt;"","LM",""),"")</f>
        <v/>
      </c>
      <c r="H19" s="143">
        <f>IFERROR(VLOOKUP(Tabla5[[#This Row],[Cod trabalhador]],'Altas Rosas'!B:F,4,FALSE),"")</f>
        <v>45751</v>
      </c>
      <c r="I19" s="143" t="str">
        <f>IF(OR(Tabla5[[#This Row],[Cod trabalhador]]="",ISBLANK(Tabla5[[#This Row],[Cod trabalhador]])),"",IFERROR(IF(VLOOKUP(Tabla5[[#This Row],[Cod trabalhador]],'Altas Rosas'!B:F,5,FALSE)=0,"",VLOOKUP(Tabla5[[#This Row],[Cod trabalhador]],'Altas Rosas'!B:F,5,FALSE)),""))</f>
        <v/>
      </c>
      <c r="J19" s="142">
        <f t="shared" si="0"/>
        <v>31</v>
      </c>
      <c r="K19" s="380" t="s">
        <v>7216</v>
      </c>
      <c r="L19" s="341" t="str">
        <f>IFERROR(IF(Tabla5[[#This Row],[Cod trabalhador]]="",Tabla5[[#This Row],[Cod trabalhador]], INDEX(Colaborador_ID[Nombre], MATCH(Tabla5[[#This Row],[Cod trabalhador]],Colaborador_ID[Cod_colab], 0))), "")</f>
        <v>GILBER MORA DIAZ</v>
      </c>
      <c r="M19" s="15"/>
      <c r="N19" s="25" t="s">
        <v>7213</v>
      </c>
      <c r="O19" s="26">
        <f>IFERROR(VLOOKUP(Tabla5[[#This Row],[Cod trabalhador]],Tabla15[],4,FALSE),"")</f>
        <v>15</v>
      </c>
      <c r="P19" s="251">
        <f>IFERROR(VLOOKUP(Tabla5[[#This Row],[Cod trabalhador]],'TotalHorasAjustadas (2)'!D:L,8,FALSE),"")</f>
        <v>173</v>
      </c>
      <c r="Q19" s="131">
        <v>173</v>
      </c>
      <c r="R19" s="252" t="s">
        <v>7532</v>
      </c>
      <c r="S19" s="253" t="s">
        <v>7539</v>
      </c>
      <c r="T19" s="15"/>
      <c r="U19" s="25"/>
      <c r="V19" s="26"/>
      <c r="W19" s="27"/>
      <c r="X19" s="28"/>
      <c r="Y19" s="26"/>
      <c r="Z19" s="104"/>
      <c r="AA19" s="38" t="str">
        <f>IFERROR(VLOOKUP(Tabla5[[#This Row],[Cod trabalhador]],Alojamentos!B:P,11,FALSE),"")</f>
        <v/>
      </c>
      <c r="AB19" s="34"/>
      <c r="AC19" s="104"/>
      <c r="AD19" s="41">
        <f>Tabla5[[#This Row],[Dias de alta]]*7.058</f>
        <v>218.798</v>
      </c>
      <c r="AE19" s="40" t="str">
        <f>IFERROR(VLOOKUP(Tabla5[[#This Row],[Cod trabalhador]],Adiantamentos!B:L,7,FALSE),"")</f>
        <v/>
      </c>
      <c r="AF19" s="40" t="str">
        <f>IFERROR(VLOOKUP(Tabla5[[#This Row],[Cod trabalhador]],Carro!B:D,3,FALSE),"")</f>
        <v/>
      </c>
      <c r="AG19" s="40" t="str">
        <f>IFERROR(VLOOKUP(Tabla5[[#This Row],[Cod trabalhador]],'Outros descontos'!B:M,7,FALSE),"")</f>
        <v/>
      </c>
      <c r="AH19" s="40" t="str">
        <f>IFERROR(VLOOKUP(Tabla5[[#This Row],[Cod trabalhador]],'Outros descontos'!B:M,8,FALSE),"")</f>
        <v/>
      </c>
      <c r="AI19" s="40" t="str">
        <f>IFERROR(VLOOKUP(Tabla5[[#This Row],[Cod trabalhador]],'Outros descontos'!B:M,9,FALSE),"")</f>
        <v/>
      </c>
      <c r="AJ19" s="40" t="str">
        <f>IFERROR(VLOOKUP(Tabla5[[#This Row],[Cod trabalhador]],'Outros descontos'!B:M,10,FALSE),"")</f>
        <v/>
      </c>
      <c r="AK19" s="40" t="str">
        <f>IFERROR(VLOOKUP(Tabla5[[#This Row],[Cod trabalhador]],'Outros descontos'!B:M,11,FALSE),"")</f>
        <v/>
      </c>
      <c r="AL19" s="40" t="str">
        <f>IFERROR(VLOOKUP(Tabla5[[#This Row],[Cod trabalhador]],'Outros descontos'!B:M,12,FALSE),"")</f>
        <v/>
      </c>
      <c r="AM19" s="40" t="str">
        <f>IFERROR(VLOOKUP(Tabla5[[#This Row],[Cod trabalhador]],'Outros descontos'!B:M,13,FALSE),"")</f>
        <v/>
      </c>
      <c r="AN19" s="41"/>
      <c r="AO19" s="37">
        <v>4.08</v>
      </c>
      <c r="AP19" s="105"/>
      <c r="AQ19"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2372.1220000000003</v>
      </c>
      <c r="AR19"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2372.1220000000003</v>
      </c>
      <c r="AS19" s="15"/>
      <c r="AT19" s="27" t="str">
        <f>IF(Tabla5[[#This Row],[Cod trabalhador]]="", "", INDEX(Iban!C:C, MATCH(Tabla5[[#This Row],[Cod trabalhador]],Iban!A:A, 0)))</f>
        <v>ES58 0182 0345 1502 0184 9503</v>
      </c>
      <c r="AU19" s="66"/>
      <c r="AV19" s="130"/>
      <c r="AW19" s="130" t="s">
        <v>7540</v>
      </c>
      <c r="AX19" s="335" t="s">
        <v>7472</v>
      </c>
    </row>
    <row r="20" spans="1:50" ht="18.75" customHeight="1" x14ac:dyDescent="0.3">
      <c r="A20" s="43"/>
      <c r="B20" s="141" t="s">
        <v>2600</v>
      </c>
      <c r="C20" s="148" t="str">
        <f>IF(ISNUMBER(MATCH(Tabla5[[#This Row],[Cod trabalhador]],'Altas Rosas'!B:B, 0)), "Ativo", "Não ativo")</f>
        <v>Não ativo</v>
      </c>
      <c r="D20" s="148" t="str">
        <f>IFERROR(IF(VLOOKUP(Tabla5[[#This Row],[Cod trabalhador]],'Altas Industrial'!B:E,1,0)&lt;&gt;"","KI",""),"")</f>
        <v/>
      </c>
      <c r="E20" s="142" t="str">
        <f>IFERROR(IF(VLOOKUP(Tabla5[[#This Row],[Cod trabalhador]],'Altas Rosas'!B:F,1,0)&lt;&gt;"","KR",""),"")</f>
        <v/>
      </c>
      <c r="F20" s="142" t="str">
        <f>IFERROR(IF(VLOOKUP(Tabla5[[#This Row],[Cod trabalhador]],'Altas Wiseowe'!B:E,1,0)&lt;&gt;"","WS",""),"")</f>
        <v/>
      </c>
      <c r="G20" s="142" t="str">
        <f>IFERROR(IF(VLOOKUP(Tabla5[[#This Row],[Cod trabalhador]],'Altas Luminous'!B:E,1,0)&lt;&gt;"","LM",""),"")</f>
        <v/>
      </c>
      <c r="H20" s="143" t="str">
        <f>IFERROR(VLOOKUP(Tabla5[[#This Row],[Cod trabalhador]],'Altas Rosas'!B:F,4,FALSE),"")</f>
        <v/>
      </c>
      <c r="I20" s="143" t="str">
        <f>IF(OR(Tabla5[[#This Row],[Cod trabalhador]]="",ISBLANK(Tabla5[[#This Row],[Cod trabalhador]])),"",IFERROR(IF(VLOOKUP(Tabla5[[#This Row],[Cod trabalhador]],'Altas Rosas'!B:F,5,FALSE)=0,"",VLOOKUP(Tabla5[[#This Row],[Cod trabalhador]],'Altas Rosas'!B:F,5,FALSE)),""))</f>
        <v/>
      </c>
      <c r="J20" s="142">
        <f t="shared" si="0"/>
        <v>0</v>
      </c>
      <c r="K20" s="380" t="s">
        <v>7238</v>
      </c>
      <c r="L20" s="341" t="str">
        <f>IFERROR(IF(Tabla5[[#This Row],[Cod trabalhador]]="",Tabla5[[#This Row],[Cod trabalhador]], INDEX(Colaborador_ID[Nombre], MATCH(Tabla5[[#This Row],[Cod trabalhador]],Colaborador_ID[Cod_colab], 0))), "")</f>
        <v>HECTOR JAIME ROA CONTRERAS</v>
      </c>
      <c r="M20" s="15"/>
      <c r="N20" s="25" t="s">
        <v>7237</v>
      </c>
      <c r="O20" s="26">
        <f>IFERROR(VLOOKUP(Tabla5[[#This Row],[Cod trabalhador]],Tabla15[],4,FALSE),"")</f>
        <v>15</v>
      </c>
      <c r="P20" s="251">
        <f>IFERROR(VLOOKUP(Tabla5[[#This Row],[Cod trabalhador]],'TotalHorasAjustadas (2)'!D:L,8,FALSE),"")</f>
        <v>147.5</v>
      </c>
      <c r="Q20" s="206">
        <v>147.5</v>
      </c>
      <c r="R20" s="252" t="s">
        <v>7532</v>
      </c>
      <c r="S20" s="253" t="s">
        <v>7539</v>
      </c>
      <c r="T20" s="15"/>
      <c r="U20" s="25"/>
      <c r="V20" s="26"/>
      <c r="W20" s="27"/>
      <c r="X20" s="28"/>
      <c r="Y20" s="26"/>
      <c r="Z20" s="15"/>
      <c r="AA20" s="38" t="str">
        <f>IFERROR(VLOOKUP(Tabla5[[#This Row],[Cod trabalhador]],Alojamentos!B:P,11,FALSE),"")</f>
        <v/>
      </c>
      <c r="AB20" s="34"/>
      <c r="AC20" s="15"/>
      <c r="AD20" s="41">
        <f>Tabla5[[#This Row],[Dias de alta]]*7.058</f>
        <v>0</v>
      </c>
      <c r="AE20" s="40" t="str">
        <f>IFERROR(VLOOKUP(Tabla5[[#This Row],[Cod trabalhador]],Adiantamentos!B:L,7,FALSE),"")</f>
        <v/>
      </c>
      <c r="AF20" s="40" t="str">
        <f>IFERROR(VLOOKUP(Tabla5[[#This Row],[Cod trabalhador]],Carro!B:D,3,FALSE),"")</f>
        <v/>
      </c>
      <c r="AG20" s="40" t="str">
        <f>IFERROR(VLOOKUP(Tabla5[[#This Row],[Cod trabalhador]],'Outros descontos'!B:M,7,FALSE),"")</f>
        <v/>
      </c>
      <c r="AH20" s="40" t="str">
        <f>IFERROR(VLOOKUP(Tabla5[[#This Row],[Cod trabalhador]],'Outros descontos'!B:M,8,FALSE),"")</f>
        <v/>
      </c>
      <c r="AI20" s="40" t="str">
        <f>IFERROR(VLOOKUP(Tabla5[[#This Row],[Cod trabalhador]],'Outros descontos'!B:M,9,FALSE),"")</f>
        <v/>
      </c>
      <c r="AJ20" s="40" t="str">
        <f>IFERROR(VLOOKUP(Tabla5[[#This Row],[Cod trabalhador]],'Outros descontos'!B:M,10,FALSE),"")</f>
        <v/>
      </c>
      <c r="AK20" s="40" t="str">
        <f>IFERROR(VLOOKUP(Tabla5[[#This Row],[Cod trabalhador]],'Outros descontos'!B:M,11,FALSE),"")</f>
        <v/>
      </c>
      <c r="AL20" s="40" t="str">
        <f>IFERROR(VLOOKUP(Tabla5[[#This Row],[Cod trabalhador]],'Outros descontos'!B:M,12,FALSE),"")</f>
        <v/>
      </c>
      <c r="AM20" s="40" t="str">
        <f>IFERROR(VLOOKUP(Tabla5[[#This Row],[Cod trabalhador]],'Outros descontos'!B:M,13,FALSE),"")</f>
        <v/>
      </c>
      <c r="AN20" s="41"/>
      <c r="AO20" s="37">
        <v>4.08</v>
      </c>
      <c r="AP20" s="15"/>
      <c r="AQ20"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2208.42</v>
      </c>
      <c r="AR20"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2208.42</v>
      </c>
      <c r="AS20" s="15"/>
      <c r="AT20" s="27" t="str">
        <f>IF(Tabla5[[#This Row],[Cod trabalhador]]="", "", INDEX(Iban!C:C, MATCH(Tabla5[[#This Row],[Cod trabalhador]],Iban!A:A, 0)))</f>
        <v>ES53 0182 7611 5602 0168 0903</v>
      </c>
      <c r="AU20" s="66"/>
      <c r="AV20" s="130"/>
      <c r="AW20" s="130" t="s">
        <v>7540</v>
      </c>
      <c r="AX20" s="335" t="s">
        <v>7472</v>
      </c>
    </row>
    <row r="21" spans="1:50" ht="18.75" customHeight="1" x14ac:dyDescent="0.3">
      <c r="A21" s="43"/>
      <c r="B21" s="141" t="s">
        <v>2625</v>
      </c>
      <c r="C21" s="142" t="str">
        <f>IF(ISNUMBER(MATCH(Tabla5[[#This Row],[Cod trabalhador]],'Altas Rosas'!B:B, 0)), "Ativo", "Não ativo")</f>
        <v>Ativo</v>
      </c>
      <c r="D21" s="142" t="str">
        <f>IFERROR(IF(VLOOKUP(Tabla5[[#This Row],[Cod trabalhador]],'Altas Industrial'!B:E,1,0)&lt;&gt;"","KI",""),"")</f>
        <v/>
      </c>
      <c r="E21" s="142" t="str">
        <f>IFERROR(IF(VLOOKUP(Tabla5[[#This Row],[Cod trabalhador]],'Altas Rosas'!B:F,1,0)&lt;&gt;"","KR",""),"")</f>
        <v>KR</v>
      </c>
      <c r="F21" s="142" t="str">
        <f>IFERROR(IF(VLOOKUP(Tabla5[[#This Row],[Cod trabalhador]],'Altas Wiseowe'!B:E,1,0)&lt;&gt;"","WS",""),"")</f>
        <v/>
      </c>
      <c r="G21" s="142" t="str">
        <f>IFERROR(IF(VLOOKUP(Tabla5[[#This Row],[Cod trabalhador]],'Altas Luminous'!B:E,1,0)&lt;&gt;"","LM",""),"")</f>
        <v/>
      </c>
      <c r="H21" s="143">
        <f>IFERROR(VLOOKUP(Tabla5[[#This Row],[Cod trabalhador]],'Altas Rosas'!B:F,4,FALSE),"")</f>
        <v>45751</v>
      </c>
      <c r="I21" s="143" t="str">
        <f>IF(OR(Tabla5[[#This Row],[Cod trabalhador]]="",ISBLANK(Tabla5[[#This Row],[Cod trabalhador]])),"",IFERROR(IF(VLOOKUP(Tabla5[[#This Row],[Cod trabalhador]],'Altas Rosas'!B:F,5,FALSE)=0,"",VLOOKUP(Tabla5[[#This Row],[Cod trabalhador]],'Altas Rosas'!B:F,5,FALSE)),""))</f>
        <v/>
      </c>
      <c r="J21" s="142">
        <f t="shared" si="0"/>
        <v>31</v>
      </c>
      <c r="K21" s="380" t="s">
        <v>7218</v>
      </c>
      <c r="L21" s="341" t="str">
        <f>IFERROR(IF(Tabla5[[#This Row],[Cod trabalhador]]="",Tabla5[[#This Row],[Cod trabalhador]], INDEX(Colaborador_ID[Nombre], MATCH(Tabla5[[#This Row],[Cod trabalhador]],Colaborador_ID[Cod_colab], 0))), "")</f>
        <v>HECTOR MANUEL BUELVAS ZAMBRANO</v>
      </c>
      <c r="M21" s="15"/>
      <c r="N21" s="25" t="s">
        <v>7213</v>
      </c>
      <c r="O21" s="26">
        <v>15</v>
      </c>
      <c r="P21" s="251">
        <v>183.5</v>
      </c>
      <c r="Q21" s="131">
        <v>183.5</v>
      </c>
      <c r="R21" s="252" t="s">
        <v>7532</v>
      </c>
      <c r="S21" s="253" t="s">
        <v>7539</v>
      </c>
      <c r="T21" s="15"/>
      <c r="U21" s="25"/>
      <c r="V21" s="26"/>
      <c r="W21" s="27"/>
      <c r="X21" s="28"/>
      <c r="Y21" s="26"/>
      <c r="Z21" s="15"/>
      <c r="AA21" s="38">
        <f>IFERROR(VLOOKUP(Tabla5[[#This Row],[Cod trabalhador]],Alojamentos!B:P,11,FALSE),"")</f>
        <v>300</v>
      </c>
      <c r="AB21" s="34"/>
      <c r="AC21" s="15"/>
      <c r="AD21" s="41">
        <f>Tabla5[[#This Row],[Dias de alta]]*7.058</f>
        <v>218.798</v>
      </c>
      <c r="AE21" s="40" t="str">
        <f>IFERROR(VLOOKUP(Tabla5[[#This Row],[Cod trabalhador]],Adiantamentos!B:L,7,FALSE),"")</f>
        <v/>
      </c>
      <c r="AF21" s="40" t="str">
        <f>IFERROR(VLOOKUP(Tabla5[[#This Row],[Cod trabalhador]],Carro!B:D,3,FALSE),"")</f>
        <v/>
      </c>
      <c r="AG21" s="40" t="str">
        <f>IFERROR(VLOOKUP(Tabla5[[#This Row],[Cod trabalhador]],'Outros descontos'!B:M,7,FALSE),"")</f>
        <v/>
      </c>
      <c r="AH21" s="40" t="str">
        <f>IFERROR(VLOOKUP(Tabla5[[#This Row],[Cod trabalhador]],'Outros descontos'!B:M,8,FALSE),"")</f>
        <v/>
      </c>
      <c r="AI21" s="40" t="str">
        <f>IFERROR(VLOOKUP(Tabla5[[#This Row],[Cod trabalhador]],'Outros descontos'!B:M,9,FALSE),"")</f>
        <v/>
      </c>
      <c r="AJ21" s="40" t="str">
        <f>IFERROR(VLOOKUP(Tabla5[[#This Row],[Cod trabalhador]],'Outros descontos'!B:M,10,FALSE),"")</f>
        <v/>
      </c>
      <c r="AK21" s="40" t="str">
        <f>IFERROR(VLOOKUP(Tabla5[[#This Row],[Cod trabalhador]],'Outros descontos'!B:M,11,FALSE),"")</f>
        <v/>
      </c>
      <c r="AL21" s="40" t="str">
        <f>IFERROR(VLOOKUP(Tabla5[[#This Row],[Cod trabalhador]],'Outros descontos'!B:M,12,FALSE),"")</f>
        <v/>
      </c>
      <c r="AM21" s="40" t="str">
        <f>IFERROR(VLOOKUP(Tabla5[[#This Row],[Cod trabalhador]],'Outros descontos'!B:M,13,FALSE),"")</f>
        <v/>
      </c>
      <c r="AN21" s="41"/>
      <c r="AO21" s="37">
        <v>4.08</v>
      </c>
      <c r="AP21" s="15"/>
      <c r="AQ21"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2829.6220000000003</v>
      </c>
      <c r="AR21"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2829.6220000000003</v>
      </c>
      <c r="AS21" s="15"/>
      <c r="AT21" s="27" t="str">
        <f>IF(Tabla5[[#This Row],[Cod trabalhador]]="", "", INDEX(Iban!C:C, MATCH(Tabla5[[#This Row],[Cod trabalhador]],Iban!A:A, 0)))</f>
        <v>ES82 0049 2439 1525 1544 5505</v>
      </c>
      <c r="AU21" s="66"/>
      <c r="AV21" s="130"/>
      <c r="AW21" s="130" t="s">
        <v>7540</v>
      </c>
      <c r="AX21" s="335" t="s">
        <v>7472</v>
      </c>
    </row>
    <row r="22" spans="1:50" ht="19.2" customHeight="1" x14ac:dyDescent="0.3">
      <c r="A22" s="43"/>
      <c r="B22" s="141" t="s">
        <v>2666</v>
      </c>
      <c r="C22" s="142" t="str">
        <f>IF(ISNUMBER(MATCH(Tabla5[[#This Row],[Cod trabalhador]],'Altas Rosas'!B:B, 0)), "Ativo", "Não ativo")</f>
        <v>Não ativo</v>
      </c>
      <c r="D22" s="142" t="str">
        <f>IFERROR(IF(VLOOKUP(Tabla5[[#This Row],[Cod trabalhador]],'Altas Industrial'!B:E,1,0)&lt;&gt;"","KI",""),"")</f>
        <v/>
      </c>
      <c r="E22" s="142" t="str">
        <f>IFERROR(IF(VLOOKUP(Tabla5[[#This Row],[Cod trabalhador]],'Altas Rosas'!B:F,1,0)&lt;&gt;"","KR",""),"")</f>
        <v/>
      </c>
      <c r="F22" s="142" t="str">
        <f>IFERROR(IF(VLOOKUP(Tabla5[[#This Row],[Cod trabalhador]],'Altas Wiseowe'!B:E,1,0)&lt;&gt;"","WS",""),"")</f>
        <v/>
      </c>
      <c r="G22" s="142" t="str">
        <f>IFERROR(IF(VLOOKUP(Tabla5[[#This Row],[Cod trabalhador]],'Altas Luminous'!B:E,1,0)&lt;&gt;"","LM",""),"")</f>
        <v/>
      </c>
      <c r="H22" s="143" t="str">
        <f>IFERROR(VLOOKUP(Tabla5[[#This Row],[Cod trabalhador]],'Altas Rosas'!B:F,4,FALSE),"")</f>
        <v/>
      </c>
      <c r="I22" s="143" t="str">
        <f>IF(OR(Tabla5[[#This Row],[Cod trabalhador]]="",ISBLANK(Tabla5[[#This Row],[Cod trabalhador]])),"",IFERROR(IF(VLOOKUP(Tabla5[[#This Row],[Cod trabalhador]],'Altas Rosas'!B:F,5,FALSE)=0,"",VLOOKUP(Tabla5[[#This Row],[Cod trabalhador]],'Altas Rosas'!B:F,5,FALSE)),""))</f>
        <v/>
      </c>
      <c r="J22" s="142">
        <f t="shared" si="0"/>
        <v>0</v>
      </c>
      <c r="K22" s="380" t="s">
        <v>7243</v>
      </c>
      <c r="L22" s="341" t="str">
        <f>IFERROR(IF(Tabla5[[#This Row],[Cod trabalhador]]="",Tabla5[[#This Row],[Cod trabalhador]], INDEX(Colaborador_ID[Nombre], MATCH(Tabla5[[#This Row],[Cod trabalhador]],Colaborador_ID[Cod_colab], 0))), "")</f>
        <v>HENRRY CASTRO COLLACHAGUA</v>
      </c>
      <c r="M22" s="15"/>
      <c r="N22" s="25" t="s">
        <v>7242</v>
      </c>
      <c r="O22" s="26">
        <f>IFERROR(VLOOKUP(Tabla5[[#This Row],[Cod trabalhador]],Tabla15[],4,FALSE),"")</f>
        <v>15</v>
      </c>
      <c r="P22" s="251">
        <f>IFERROR(VLOOKUP(Tabla5[[#This Row],[Cod trabalhador]],'TotalHorasAjustadas (2)'!D:L,8,FALSE),"")</f>
        <v>145</v>
      </c>
      <c r="Q22" s="131">
        <v>145</v>
      </c>
      <c r="R22" s="252" t="s">
        <v>7471</v>
      </c>
      <c r="S22" s="253" t="s">
        <v>7539</v>
      </c>
      <c r="T22" s="15"/>
      <c r="U22" s="25"/>
      <c r="V22" s="26"/>
      <c r="W22" s="27"/>
      <c r="X22" s="28"/>
      <c r="Y22" s="26"/>
      <c r="Z22" s="15"/>
      <c r="AA22" s="38">
        <f>IFERROR(VLOOKUP(Tabla5[[#This Row],[Cod trabalhador]],Alojamentos!B:P,11,FALSE),"")</f>
        <v>300</v>
      </c>
      <c r="AB22" s="34"/>
      <c r="AC22" s="15"/>
      <c r="AD22" s="41">
        <f>Tabla5[[#This Row],[Dias de alta]]*7.058</f>
        <v>0</v>
      </c>
      <c r="AE22" s="40" t="str">
        <f>IFERROR(VLOOKUP(Tabla5[[#This Row],[Cod trabalhador]],Adiantamentos!B:L,7,FALSE),"")</f>
        <v/>
      </c>
      <c r="AF22" s="40" t="str">
        <f>IFERROR(VLOOKUP(Tabla5[[#This Row],[Cod trabalhador]],Carro!B:D,3,FALSE),"")</f>
        <v/>
      </c>
      <c r="AG22" s="40" t="str">
        <f>IFERROR(VLOOKUP(Tabla5[[#This Row],[Cod trabalhador]],'Outros descontos'!B:M,7,FALSE),"")</f>
        <v/>
      </c>
      <c r="AH22" s="40" t="str">
        <f>IFERROR(VLOOKUP(Tabla5[[#This Row],[Cod trabalhador]],'Outros descontos'!B:M,8,FALSE),"")</f>
        <v/>
      </c>
      <c r="AI22" s="40" t="str">
        <f>IFERROR(VLOOKUP(Tabla5[[#This Row],[Cod trabalhador]],'Outros descontos'!B:M,9,FALSE),"")</f>
        <v/>
      </c>
      <c r="AJ22" s="40" t="str">
        <f>IFERROR(VLOOKUP(Tabla5[[#This Row],[Cod trabalhador]],'Outros descontos'!B:M,10,FALSE),"")</f>
        <v/>
      </c>
      <c r="AK22" s="40" t="str">
        <f>IFERROR(VLOOKUP(Tabla5[[#This Row],[Cod trabalhador]],'Outros descontos'!B:M,11,FALSE),"")</f>
        <v/>
      </c>
      <c r="AL22" s="40" t="str">
        <f>IFERROR(VLOOKUP(Tabla5[[#This Row],[Cod trabalhador]],'Outros descontos'!B:M,12,FALSE),"")</f>
        <v/>
      </c>
      <c r="AM22" s="40" t="str">
        <f>IFERROR(VLOOKUP(Tabla5[[#This Row],[Cod trabalhador]],'Outros descontos'!B:M,13,FALSE),"")</f>
        <v/>
      </c>
      <c r="AN22" s="41"/>
      <c r="AO22" s="37">
        <v>4.08</v>
      </c>
      <c r="AP22" s="15"/>
      <c r="AQ22"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2470.92</v>
      </c>
      <c r="AR22"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2470.92</v>
      </c>
      <c r="AS22" s="15"/>
      <c r="AT22" s="27" t="str">
        <f>IF(Tabla5[[#This Row],[Cod trabalhador]]="", "", INDEX(Iban!C:C, MATCH(Tabla5[[#This Row],[Cod trabalhador]],Iban!A:A, 0)))</f>
        <v>ES58 6893 0001 7100 0027 8025</v>
      </c>
      <c r="AU22" s="66"/>
      <c r="AV22" s="130"/>
      <c r="AW22" s="130" t="s">
        <v>7540</v>
      </c>
      <c r="AX22" s="335" t="s">
        <v>7472</v>
      </c>
    </row>
    <row r="23" spans="1:50" ht="18.75" customHeight="1" x14ac:dyDescent="0.3">
      <c r="A23" s="43"/>
      <c r="B23" s="141" t="s">
        <v>2917</v>
      </c>
      <c r="C23" s="142" t="str">
        <f>IF(ISNUMBER(MATCH(Tabla5[[#This Row],[Cod trabalhador]],'Altas Rosas'!B:B, 0)), "Ativo", "Não ativo")</f>
        <v>Ativo</v>
      </c>
      <c r="D23" s="142" t="str">
        <f>IFERROR(IF(VLOOKUP(Tabla5[[#This Row],[Cod trabalhador]],'Altas Industrial'!B:E,1,0)&lt;&gt;"","KI",""),"")</f>
        <v/>
      </c>
      <c r="E23" s="142" t="str">
        <f>IFERROR(IF(VLOOKUP(Tabla5[[#This Row],[Cod trabalhador]],'Altas Rosas'!B:F,1,0)&lt;&gt;"","KR",""),"")</f>
        <v>KR</v>
      </c>
      <c r="F23" s="142" t="str">
        <f>IFERROR(IF(VLOOKUP(Tabla5[[#This Row],[Cod trabalhador]],'Altas Wiseowe'!B:E,1,0)&lt;&gt;"","WS",""),"")</f>
        <v/>
      </c>
      <c r="G23" s="142" t="str">
        <f>IFERROR(IF(VLOOKUP(Tabla5[[#This Row],[Cod trabalhador]],'Altas Luminous'!B:E,1,0)&lt;&gt;"","LM",""),"")</f>
        <v/>
      </c>
      <c r="H23" s="143">
        <f>IFERROR(VLOOKUP(Tabla5[[#This Row],[Cod trabalhador]],'Altas Rosas'!B:F,4,FALSE),"")</f>
        <v>45751</v>
      </c>
      <c r="I23" s="143" t="str">
        <f>IF(OR(Tabla5[[#This Row],[Cod trabalhador]]="",ISBLANK(Tabla5[[#This Row],[Cod trabalhador]])),"",IFERROR(IF(VLOOKUP(Tabla5[[#This Row],[Cod trabalhador]],'Altas Rosas'!B:F,5,FALSE)=0,"",VLOOKUP(Tabla5[[#This Row],[Cod trabalhador]],'Altas Rosas'!B:F,5,FALSE)),""))</f>
        <v/>
      </c>
      <c r="J23" s="142">
        <f t="shared" si="0"/>
        <v>31</v>
      </c>
      <c r="K23" s="380" t="s">
        <v>7219</v>
      </c>
      <c r="L23" s="341" t="str">
        <f>IFERROR(IF(Tabla5[[#This Row],[Cod trabalhador]]="",Tabla5[[#This Row],[Cod trabalhador]], INDEX(Colaborador_ID[Nombre], MATCH(Tabla5[[#This Row],[Cod trabalhador]],Colaborador_ID[Cod_colab], 0))), "")</f>
        <v>JAHIR SURLEY DELGADO AGREDO</v>
      </c>
      <c r="M23" s="15"/>
      <c r="N23" s="25" t="s">
        <v>7213</v>
      </c>
      <c r="O23" s="26">
        <f>IFERROR(VLOOKUP(Tabla5[[#This Row],[Cod trabalhador]],Tabla15[],4,FALSE),"")</f>
        <v>15</v>
      </c>
      <c r="P23" s="251">
        <f>IFERROR(VLOOKUP(Tabla5[[#This Row],[Cod trabalhador]],'TotalHorasAjustadas (2)'!D:L,8,FALSE),"")</f>
        <v>167</v>
      </c>
      <c r="Q23" s="206">
        <v>167</v>
      </c>
      <c r="R23" s="252" t="s">
        <v>7532</v>
      </c>
      <c r="S23" s="253" t="s">
        <v>7539</v>
      </c>
      <c r="T23" s="15"/>
      <c r="U23" s="25"/>
      <c r="V23" s="26"/>
      <c r="W23" s="27"/>
      <c r="X23" s="28"/>
      <c r="Y23" s="26"/>
      <c r="Z23" s="15"/>
      <c r="AA23" s="38" t="str">
        <f>IFERROR(VLOOKUP(Tabla5[[#This Row],[Cod trabalhador]],Alojamentos!B:P,11,FALSE),"")</f>
        <v/>
      </c>
      <c r="AB23" s="34"/>
      <c r="AC23" s="15"/>
      <c r="AD23" s="41">
        <f>Tabla5[[#This Row],[Dias de alta]]*7.058</f>
        <v>218.798</v>
      </c>
      <c r="AE23" s="40" t="str">
        <f>IFERROR(VLOOKUP(Tabla5[[#This Row],[Cod trabalhador]],Adiantamentos!B:L,7,FALSE),"")</f>
        <v/>
      </c>
      <c r="AF23" s="40">
        <f>IFERROR(VLOOKUP(Tabla5[[#This Row],[Cod trabalhador]],Carro!B:D,3,FALSE),"")</f>
        <v>89.523809523809518</v>
      </c>
      <c r="AG23" s="40" t="str">
        <f>IFERROR(VLOOKUP(Tabla5[[#This Row],[Cod trabalhador]],'Outros descontos'!B:M,7,FALSE),"")</f>
        <v/>
      </c>
      <c r="AH23" s="40" t="str">
        <f>IFERROR(VLOOKUP(Tabla5[[#This Row],[Cod trabalhador]],'Outros descontos'!B:M,8,FALSE),"")</f>
        <v/>
      </c>
      <c r="AI23" s="40" t="str">
        <f>IFERROR(VLOOKUP(Tabla5[[#This Row],[Cod trabalhador]],'Outros descontos'!B:M,9,FALSE),"")</f>
        <v/>
      </c>
      <c r="AJ23" s="40" t="str">
        <f>IFERROR(VLOOKUP(Tabla5[[#This Row],[Cod trabalhador]],'Outros descontos'!B:M,10,FALSE),"")</f>
        <v/>
      </c>
      <c r="AK23" s="40" t="str">
        <f>IFERROR(VLOOKUP(Tabla5[[#This Row],[Cod trabalhador]],'Outros descontos'!B:M,11,FALSE),"")</f>
        <v/>
      </c>
      <c r="AL23" s="40" t="str">
        <f>IFERROR(VLOOKUP(Tabla5[[#This Row],[Cod trabalhador]],'Outros descontos'!B:M,12,FALSE),"")</f>
        <v/>
      </c>
      <c r="AM23" s="40" t="str">
        <f>IFERROR(VLOOKUP(Tabla5[[#This Row],[Cod trabalhador]],'Outros descontos'!B:M,13,FALSE),"")</f>
        <v/>
      </c>
      <c r="AN23" s="41"/>
      <c r="AO23" s="37">
        <v>4.08</v>
      </c>
      <c r="AP23" s="15"/>
      <c r="AQ23"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2192.5981904761907</v>
      </c>
      <c r="AR23"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2192.5981904761907</v>
      </c>
      <c r="AS23" s="15"/>
      <c r="AT23" s="27" t="str">
        <f>IF(Tabla5[[#This Row],[Cod trabalhador]]="", "", INDEX(Iban!C:C, MATCH(Tabla5[[#This Row],[Cod trabalhador]],Iban!A:A, 0)))</f>
        <v>ES16 0182 7784 3002 0159 9697</v>
      </c>
      <c r="AU23" s="66"/>
      <c r="AV23" s="130"/>
      <c r="AW23" s="130" t="s">
        <v>7540</v>
      </c>
      <c r="AX23" s="335" t="s">
        <v>7472</v>
      </c>
    </row>
    <row r="24" spans="1:50" ht="18.75" customHeight="1" x14ac:dyDescent="0.3">
      <c r="A24" s="43"/>
      <c r="B24" s="141" t="s">
        <v>2999</v>
      </c>
      <c r="C24" s="148" t="str">
        <f>IF(ISNUMBER(MATCH(Tabla5[[#This Row],[Cod trabalhador]],'Altas Rosas'!B:B, 0)), "Ativo", "Não ativo")</f>
        <v>Não ativo</v>
      </c>
      <c r="D24" s="148" t="str">
        <f>IFERROR(IF(VLOOKUP(Tabla5[[#This Row],[Cod trabalhador]],'Altas Industrial'!B:E,1,0)&lt;&gt;"","KI",""),"")</f>
        <v/>
      </c>
      <c r="E24" s="142" t="str">
        <f>IFERROR(IF(VLOOKUP(Tabla5[[#This Row],[Cod trabalhador]],'Altas Rosas'!B:F,1,0)&lt;&gt;"","KR",""),"")</f>
        <v/>
      </c>
      <c r="F24" s="142" t="str">
        <f>IFERROR(IF(VLOOKUP(Tabla5[[#This Row],[Cod trabalhador]],'Altas Wiseowe'!B:E,1,0)&lt;&gt;"","WS",""),"")</f>
        <v/>
      </c>
      <c r="G24" s="142" t="str">
        <f>IFERROR(IF(VLOOKUP(Tabla5[[#This Row],[Cod trabalhador]],'Altas Luminous'!B:E,1,0)&lt;&gt;"","LM",""),"")</f>
        <v/>
      </c>
      <c r="H24" s="143" t="str">
        <f>IFERROR(VLOOKUP(Tabla5[[#This Row],[Cod trabalhador]],'Altas Rosas'!B:F,4,FALSE),"")</f>
        <v/>
      </c>
      <c r="I24" s="143" t="str">
        <f>IF(OR(Tabla5[[#This Row],[Cod trabalhador]]="",ISBLANK(Tabla5[[#This Row],[Cod trabalhador]])),"",IFERROR(IF(VLOOKUP(Tabla5[[#This Row],[Cod trabalhador]],'Altas Rosas'!B:F,5,FALSE)=0,"",VLOOKUP(Tabla5[[#This Row],[Cod trabalhador]],'Altas Rosas'!B:F,5,FALSE)),""))</f>
        <v/>
      </c>
      <c r="J24" s="142">
        <f t="shared" si="0"/>
        <v>0</v>
      </c>
      <c r="K24" s="380" t="s">
        <v>7194</v>
      </c>
      <c r="L24" s="341" t="str">
        <f>IFERROR(IF(Tabla5[[#This Row],[Cod trabalhador]]="",Tabla5[[#This Row],[Cod trabalhador]], INDEX(Colaborador_ID[Nombre], MATCH(Tabla5[[#This Row],[Cod trabalhador]],Colaborador_ID[Cod_colab], 0))), "")</f>
        <v>JAIRO ALFONSO MUNOZ VALLE</v>
      </c>
      <c r="M24" s="15"/>
      <c r="N24" s="25" t="s">
        <v>7193</v>
      </c>
      <c r="O24" s="26">
        <f>IFERROR(VLOOKUP(Tabla5[[#This Row],[Cod trabalhador]],Tabla15[],4,FALSE),"")</f>
        <v>15</v>
      </c>
      <c r="P24" s="251">
        <f>IFERROR(VLOOKUP(Tabla5[[#This Row],[Cod trabalhador]],'TotalHorasAjustadas (2)'!D:L,8,FALSE),"")</f>
        <v>148</v>
      </c>
      <c r="Q24" s="206">
        <v>148</v>
      </c>
      <c r="R24" s="252" t="s">
        <v>7471</v>
      </c>
      <c r="S24" s="253" t="s">
        <v>7539</v>
      </c>
      <c r="T24" s="15"/>
      <c r="U24" s="25"/>
      <c r="V24" s="26"/>
      <c r="W24" s="27"/>
      <c r="X24" s="28"/>
      <c r="Y24" s="26"/>
      <c r="Z24" s="15"/>
      <c r="AA24" s="38" t="str">
        <f>IFERROR(VLOOKUP(Tabla5[[#This Row],[Cod trabalhador]],Alojamentos!B:P,11,FALSE),"")</f>
        <v/>
      </c>
      <c r="AB24" s="34"/>
      <c r="AC24" s="15"/>
      <c r="AD24" s="41">
        <f>Tabla5[[#This Row],[Dias de alta]]*7.058</f>
        <v>0</v>
      </c>
      <c r="AE24" s="40" t="str">
        <f>IFERROR(VLOOKUP(Tabla5[[#This Row],[Cod trabalhador]],Adiantamentos!B:L,7,FALSE),"")</f>
        <v/>
      </c>
      <c r="AF24" s="40" t="str">
        <f>IFERROR(VLOOKUP(Tabla5[[#This Row],[Cod trabalhador]],Carro!B:D,3,FALSE),"")</f>
        <v/>
      </c>
      <c r="AG24" s="40">
        <f>IFERROR(VLOOKUP(Tabla5[[#This Row],[Cod trabalhador]],'Outros descontos'!B:M,7,FALSE),"")</f>
        <v>0</v>
      </c>
      <c r="AH24" s="40">
        <f>IFERROR(VLOOKUP(Tabla5[[#This Row],[Cod trabalhador]],'Outros descontos'!B:M,8,FALSE),"")</f>
        <v>0</v>
      </c>
      <c r="AI24" s="40">
        <f>IFERROR(VLOOKUP(Tabla5[[#This Row],[Cod trabalhador]],'Outros descontos'!B:M,9,FALSE),"")</f>
        <v>0</v>
      </c>
      <c r="AJ24" s="40">
        <f>IFERROR(VLOOKUP(Tabla5[[#This Row],[Cod trabalhador]],'Outros descontos'!B:M,10,FALSE),"")</f>
        <v>0</v>
      </c>
      <c r="AK24" s="40">
        <f>IFERROR(VLOOKUP(Tabla5[[#This Row],[Cod trabalhador]],'Outros descontos'!B:M,11,FALSE),"")</f>
        <v>0</v>
      </c>
      <c r="AL24" s="40">
        <f>IFERROR(VLOOKUP(Tabla5[[#This Row],[Cod trabalhador]],'Outros descontos'!B:M,12,FALSE),"")</f>
        <v>21.74</v>
      </c>
      <c r="AM24" s="40" t="str">
        <f>IFERROR(VLOOKUP(Tabla5[[#This Row],[Cod trabalhador]],'Outros descontos'!B:M,13,FALSE),"")</f>
        <v/>
      </c>
      <c r="AN24" s="41"/>
      <c r="AO24" s="37">
        <v>4.08</v>
      </c>
      <c r="AP24" s="15"/>
      <c r="AQ24"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2194.1800000000003</v>
      </c>
      <c r="AR24"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2194.1800000000003</v>
      </c>
      <c r="AS24" s="15"/>
      <c r="AT24" s="27" t="str">
        <f>IF(Tabla5[[#This Row],[Cod trabalhador]]="", "", INDEX(Iban!C:C, MATCH(Tabla5[[#This Row],[Cod trabalhador]],Iban!A:A, 0)))</f>
        <v>ES45 6893 0001 7900 0031 5309</v>
      </c>
      <c r="AU24" s="66"/>
      <c r="AV24" s="130"/>
      <c r="AW24" s="130" t="s">
        <v>7540</v>
      </c>
      <c r="AX24" s="335" t="s">
        <v>7472</v>
      </c>
    </row>
    <row r="25" spans="1:50" ht="18.75" customHeight="1" x14ac:dyDescent="0.3">
      <c r="A25" s="43"/>
      <c r="B25" s="141" t="s">
        <v>3086</v>
      </c>
      <c r="C25" s="148" t="str">
        <f>IF(ISNUMBER(MATCH(Tabla5[[#This Row],[Cod trabalhador]],'Altas Rosas'!B:B, 0)), "Ativo", "Não ativo")</f>
        <v>Não ativo</v>
      </c>
      <c r="D25" s="148" t="str">
        <f>IFERROR(IF(VLOOKUP(Tabla5[[#This Row],[Cod trabalhador]],'Altas Industrial'!B:E,1,0)&lt;&gt;"","KI",""),"")</f>
        <v/>
      </c>
      <c r="E25" s="142" t="str">
        <f>IFERROR(IF(VLOOKUP(Tabla5[[#This Row],[Cod trabalhador]],'Altas Rosas'!B:F,1,0)&lt;&gt;"","KR",""),"")</f>
        <v/>
      </c>
      <c r="F25" s="142" t="str">
        <f>IFERROR(IF(VLOOKUP(Tabla5[[#This Row],[Cod trabalhador]],'Altas Wiseowe'!B:E,1,0)&lt;&gt;"","WS",""),"")</f>
        <v/>
      </c>
      <c r="G25" s="142" t="str">
        <f>IFERROR(IF(VLOOKUP(Tabla5[[#This Row],[Cod trabalhador]],'Altas Luminous'!B:E,1,0)&lt;&gt;"","LM",""),"")</f>
        <v/>
      </c>
      <c r="H25" s="143" t="str">
        <f>IFERROR(VLOOKUP(Tabla5[[#This Row],[Cod trabalhador]],'Altas Rosas'!B:F,4,FALSE),"")</f>
        <v/>
      </c>
      <c r="I25" s="143" t="str">
        <f>IF(OR(Tabla5[[#This Row],[Cod trabalhador]]="",ISBLANK(Tabla5[[#This Row],[Cod trabalhador]])),"",IFERROR(IF(VLOOKUP(Tabla5[[#This Row],[Cod trabalhador]],'Altas Rosas'!B:F,5,FALSE)=0,"",VLOOKUP(Tabla5[[#This Row],[Cod trabalhador]],'Altas Rosas'!B:F,5,FALSE)),""))</f>
        <v/>
      </c>
      <c r="J25" s="142">
        <f t="shared" si="0"/>
        <v>0</v>
      </c>
      <c r="K25" s="380" t="s">
        <v>7190</v>
      </c>
      <c r="L25" s="341" t="str">
        <f>IFERROR(IF(Tabla5[[#This Row],[Cod trabalhador]]="",Tabla5[[#This Row],[Cod trabalhador]], INDEX(Colaborador_ID[Nombre], MATCH(Tabla5[[#This Row],[Cod trabalhador]],Colaborador_ID[Cod_colab], 0))), "")</f>
        <v>JAVIER FRANCISCO BALDOVINO ORTEGA</v>
      </c>
      <c r="M25" s="15"/>
      <c r="N25" s="25" t="s">
        <v>7185</v>
      </c>
      <c r="O25" s="26">
        <f>IFERROR(VLOOKUP(Tabla5[[#This Row],[Cod trabalhador]],Tabla15[],4,FALSE),"")</f>
        <v>15</v>
      </c>
      <c r="P25" s="251">
        <f>IFERROR(VLOOKUP(Tabla5[[#This Row],[Cod trabalhador]],'TotalHorasAjustadas (2)'!D:L,8,FALSE),"")</f>
        <v>136</v>
      </c>
      <c r="Q25" s="206">
        <v>136</v>
      </c>
      <c r="R25" s="252" t="s">
        <v>7471</v>
      </c>
      <c r="S25" s="253" t="s">
        <v>7539</v>
      </c>
      <c r="T25" s="15"/>
      <c r="U25" s="25"/>
      <c r="V25" s="26"/>
      <c r="W25" s="27"/>
      <c r="X25" s="28"/>
      <c r="Y25" s="26"/>
      <c r="Z25" s="15"/>
      <c r="AA25" s="38" t="str">
        <f>IFERROR(VLOOKUP(Tabla5[[#This Row],[Cod trabalhador]],Alojamentos!B:P,11,FALSE),"")</f>
        <v/>
      </c>
      <c r="AB25" s="34"/>
      <c r="AC25" s="15"/>
      <c r="AD25" s="41">
        <f>Tabla5[[#This Row],[Dias de alta]]*7.058</f>
        <v>0</v>
      </c>
      <c r="AE25" s="40" t="str">
        <f>IFERROR(VLOOKUP(Tabla5[[#This Row],[Cod trabalhador]],Adiantamentos!B:L,7,FALSE),"")</f>
        <v/>
      </c>
      <c r="AF25" s="40" t="str">
        <f>IFERROR(VLOOKUP(Tabla5[[#This Row],[Cod trabalhador]],Carro!B:D,3,FALSE),"")</f>
        <v/>
      </c>
      <c r="AG25" s="40" t="str">
        <f>IFERROR(VLOOKUP(Tabla5[[#This Row],[Cod trabalhador]],'Outros descontos'!B:M,7,FALSE),"")</f>
        <v/>
      </c>
      <c r="AH25" s="40" t="str">
        <f>IFERROR(VLOOKUP(Tabla5[[#This Row],[Cod trabalhador]],'Outros descontos'!B:M,8,FALSE),"")</f>
        <v/>
      </c>
      <c r="AI25" s="40" t="str">
        <f>IFERROR(VLOOKUP(Tabla5[[#This Row],[Cod trabalhador]],'Outros descontos'!B:M,9,FALSE),"")</f>
        <v/>
      </c>
      <c r="AJ25" s="40" t="str">
        <f>IFERROR(VLOOKUP(Tabla5[[#This Row],[Cod trabalhador]],'Outros descontos'!B:M,10,FALSE),"")</f>
        <v/>
      </c>
      <c r="AK25" s="40" t="str">
        <f>IFERROR(VLOOKUP(Tabla5[[#This Row],[Cod trabalhador]],'Outros descontos'!B:M,11,FALSE),"")</f>
        <v/>
      </c>
      <c r="AL25" s="40" t="str">
        <f>IFERROR(VLOOKUP(Tabla5[[#This Row],[Cod trabalhador]],'Outros descontos'!B:M,12,FALSE),"")</f>
        <v/>
      </c>
      <c r="AM25" s="40" t="str">
        <f>IFERROR(VLOOKUP(Tabla5[[#This Row],[Cod trabalhador]],'Outros descontos'!B:M,13,FALSE),"")</f>
        <v/>
      </c>
      <c r="AN25" s="41"/>
      <c r="AO25" s="37">
        <v>4.08</v>
      </c>
      <c r="AP25" s="15"/>
      <c r="AQ25"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2035.92</v>
      </c>
      <c r="AR25"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2035.92</v>
      </c>
      <c r="AS25" s="15"/>
      <c r="AT25" s="27" t="str">
        <f>IF(Tabla5[[#This Row],[Cod trabalhador]]="", "", INDEX(Iban!C:C, MATCH(Tabla5[[#This Row],[Cod trabalhador]],Iban!A:A, 0)))</f>
        <v>ES19 0182 0606 8202 0179 2647</v>
      </c>
      <c r="AU25" s="66"/>
      <c r="AV25" s="130"/>
      <c r="AW25" s="130" t="s">
        <v>7540</v>
      </c>
      <c r="AX25" s="335" t="s">
        <v>7472</v>
      </c>
    </row>
    <row r="26" spans="1:50" ht="18.75" customHeight="1" x14ac:dyDescent="0.3">
      <c r="A26" s="43"/>
      <c r="B26" s="141" t="s">
        <v>3164</v>
      </c>
      <c r="C26" s="142" t="str">
        <f>IF(ISNUMBER(MATCH(Tabla5[[#This Row],[Cod trabalhador]],'Altas Rosas'!B:B, 0)), "Ativo", "Não ativo")</f>
        <v>Ativo</v>
      </c>
      <c r="D26" s="142" t="str">
        <f>IFERROR(IF(VLOOKUP(Tabla5[[#This Row],[Cod trabalhador]],'Altas Industrial'!B:E,1,0)&lt;&gt;"","KI",""),"")</f>
        <v/>
      </c>
      <c r="E26" s="142" t="str">
        <f>IFERROR(IF(VLOOKUP(Tabla5[[#This Row],[Cod trabalhador]],'Altas Rosas'!B:F,1,0)&lt;&gt;"","KR",""),"")</f>
        <v>KR</v>
      </c>
      <c r="F26" s="142" t="str">
        <f>IFERROR(IF(VLOOKUP(Tabla5[[#This Row],[Cod trabalhador]],'Altas Wiseowe'!B:E,1,0)&lt;&gt;"","WS",""),"")</f>
        <v/>
      </c>
      <c r="G26" s="142" t="str">
        <f>IFERROR(IF(VLOOKUP(Tabla5[[#This Row],[Cod trabalhador]],'Altas Luminous'!B:E,1,0)&lt;&gt;"","LM",""),"")</f>
        <v/>
      </c>
      <c r="H26" s="143">
        <f>IFERROR(VLOOKUP(Tabla5[[#This Row],[Cod trabalhador]],'Altas Rosas'!B:F,4,FALSE),"")</f>
        <v>45764</v>
      </c>
      <c r="I26" s="143">
        <f>IF(OR(Tabla5[[#This Row],[Cod trabalhador]]="",ISBLANK(Tabla5[[#This Row],[Cod trabalhador]])),"",IFERROR(IF(VLOOKUP(Tabla5[[#This Row],[Cod trabalhador]],'Altas Rosas'!B:F,5,FALSE)=0,"",VLOOKUP(Tabla5[[#This Row],[Cod trabalhador]],'Altas Rosas'!B:F,5,FALSE)),""))</f>
        <v>46052</v>
      </c>
      <c r="J26" s="142">
        <f t="shared" si="0"/>
        <v>30</v>
      </c>
      <c r="K26" s="380" t="s">
        <v>7187</v>
      </c>
      <c r="L26" s="341" t="str">
        <f>IFERROR(IF(Tabla5[[#This Row],[Cod trabalhador]]="",Tabla5[[#This Row],[Cod trabalhador]], INDEX(Colaborador_ID[Nombre], MATCH(Tabla5[[#This Row],[Cod trabalhador]],Colaborador_ID[Cod_colab], 0))), "")</f>
        <v>JEFFERSON ANDRES OROZCO RODRIGUEZ</v>
      </c>
      <c r="M26" s="15"/>
      <c r="N26" s="25" t="s">
        <v>7185</v>
      </c>
      <c r="O26" s="26">
        <f>IFERROR(VLOOKUP(Tabla5[[#This Row],[Cod trabalhador]],Tabla15[],4,FALSE),"")</f>
        <v>14</v>
      </c>
      <c r="P26" s="251">
        <f>IFERROR(VLOOKUP(Tabla5[[#This Row],[Cod trabalhador]],'TotalHorasAjustadas (2)'!D:L,8,FALSE),"")</f>
        <v>143</v>
      </c>
      <c r="Q26" s="206">
        <v>143</v>
      </c>
      <c r="R26" s="252" t="s">
        <v>7471</v>
      </c>
      <c r="S26" s="253" t="s">
        <v>7539</v>
      </c>
      <c r="T26" s="15"/>
      <c r="U26" s="25"/>
      <c r="V26" s="26"/>
      <c r="W26" s="27"/>
      <c r="X26" s="28"/>
      <c r="Y26" s="26"/>
      <c r="Z26" s="15"/>
      <c r="AA26" s="38">
        <f>IFERROR(VLOOKUP(Tabla5[[#This Row],[Cod trabalhador]],Alojamentos!B:P,11,FALSE),"")</f>
        <v>300</v>
      </c>
      <c r="AB26" s="34"/>
      <c r="AC26" s="15"/>
      <c r="AD26" s="41">
        <f>Tabla5[[#This Row],[Dias de alta]]*7.058</f>
        <v>211.74</v>
      </c>
      <c r="AE26" s="40" t="str">
        <f>IFERROR(VLOOKUP(Tabla5[[#This Row],[Cod trabalhador]],Adiantamentos!B:L,7,FALSE),"")</f>
        <v/>
      </c>
      <c r="AF26" s="40" t="str">
        <f>IFERROR(VLOOKUP(Tabla5[[#This Row],[Cod trabalhador]],Carro!B:D,3,FALSE),"")</f>
        <v/>
      </c>
      <c r="AG26" s="40" t="str">
        <f>IFERROR(VLOOKUP(Tabla5[[#This Row],[Cod trabalhador]],'Outros descontos'!B:M,7,FALSE),"")</f>
        <v/>
      </c>
      <c r="AH26" s="40" t="str">
        <f>IFERROR(VLOOKUP(Tabla5[[#This Row],[Cod trabalhador]],'Outros descontos'!B:M,8,FALSE),"")</f>
        <v/>
      </c>
      <c r="AI26" s="40" t="str">
        <f>IFERROR(VLOOKUP(Tabla5[[#This Row],[Cod trabalhador]],'Outros descontos'!B:M,9,FALSE),"")</f>
        <v/>
      </c>
      <c r="AJ26" s="40" t="str">
        <f>IFERROR(VLOOKUP(Tabla5[[#This Row],[Cod trabalhador]],'Outros descontos'!B:M,10,FALSE),"")</f>
        <v/>
      </c>
      <c r="AK26" s="40" t="str">
        <f>IFERROR(VLOOKUP(Tabla5[[#This Row],[Cod trabalhador]],'Outros descontos'!B:M,11,FALSE),"")</f>
        <v/>
      </c>
      <c r="AL26" s="40" t="str">
        <f>IFERROR(VLOOKUP(Tabla5[[#This Row],[Cod trabalhador]],'Outros descontos'!B:M,12,FALSE),"")</f>
        <v/>
      </c>
      <c r="AM26" s="40" t="str">
        <f>IFERROR(VLOOKUP(Tabla5[[#This Row],[Cod trabalhador]],'Outros descontos'!B:M,13,FALSE),"")</f>
        <v/>
      </c>
      <c r="AN26" s="41"/>
      <c r="AO26" s="37">
        <v>4.08</v>
      </c>
      <c r="AP26" s="15"/>
      <c r="AQ26"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2086.1800000000003</v>
      </c>
      <c r="AR26"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2086.1800000000003</v>
      </c>
      <c r="AS26" s="15"/>
      <c r="AT26" s="27" t="str">
        <f>IF(Tabla5[[#This Row],[Cod trabalhador]]="", "", INDEX(Iban!C:C, MATCH(Tabla5[[#This Row],[Cod trabalhador]],Iban!A:A, 0)))</f>
        <v>ES31 0182 0043 1202 0168 3458</v>
      </c>
      <c r="AU26" s="66"/>
      <c r="AV26" s="130"/>
      <c r="AW26" s="130" t="s">
        <v>7540</v>
      </c>
      <c r="AX26" s="335" t="s">
        <v>7472</v>
      </c>
    </row>
    <row r="27" spans="1:50" ht="18.75" customHeight="1" x14ac:dyDescent="0.3">
      <c r="A27" s="43"/>
      <c r="B27" s="141" t="s">
        <v>3168</v>
      </c>
      <c r="C27" s="148" t="str">
        <f>IF(ISNUMBER(MATCH(Tabla5[[#This Row],[Cod trabalhador]],'Altas Rosas'!B:B, 0)), "Ativo", "Não ativo")</f>
        <v>Ativo</v>
      </c>
      <c r="D27" s="148" t="str">
        <f>IFERROR(IF(VLOOKUP(Tabla5[[#This Row],[Cod trabalhador]],'Altas Industrial'!B:E,1,0)&lt;&gt;"","KI",""),"")</f>
        <v/>
      </c>
      <c r="E27" s="142" t="str">
        <f>IFERROR(IF(VLOOKUP(Tabla5[[#This Row],[Cod trabalhador]],'Altas Rosas'!B:F,1,0)&lt;&gt;"","KR",""),"")</f>
        <v>KR</v>
      </c>
      <c r="F27" s="142" t="str">
        <f>IFERROR(IF(VLOOKUP(Tabla5[[#This Row],[Cod trabalhador]],'Altas Wiseowe'!B:E,1,0)&lt;&gt;"","WS",""),"")</f>
        <v/>
      </c>
      <c r="G27" s="142" t="str">
        <f>IFERROR(IF(VLOOKUP(Tabla5[[#This Row],[Cod trabalhador]],'Altas Luminous'!B:E,1,0)&lt;&gt;"","LM",""),"")</f>
        <v/>
      </c>
      <c r="H27" s="143">
        <f>IFERROR(VLOOKUP(Tabla5[[#This Row],[Cod trabalhador]],'Altas Rosas'!B:F,4,FALSE),"")</f>
        <v>45820</v>
      </c>
      <c r="I27" s="143">
        <f>IF(OR(Tabla5[[#This Row],[Cod trabalhador]]="",ISBLANK(Tabla5[[#This Row],[Cod trabalhador]])),"",IFERROR(IF(VLOOKUP(Tabla5[[#This Row],[Cod trabalhador]],'Altas Rosas'!B:F,5,FALSE)=0,"",VLOOKUP(Tabla5[[#This Row],[Cod trabalhador]],'Altas Rosas'!B:F,5,FALSE)),""))</f>
        <v>46052</v>
      </c>
      <c r="J27" s="142">
        <f t="shared" si="0"/>
        <v>30</v>
      </c>
      <c r="K27" s="380" t="s">
        <v>3169</v>
      </c>
      <c r="L27" s="341" t="str">
        <f>IFERROR(IF(Tabla5[[#This Row],[Cod trabalhador]]="",Tabla5[[#This Row],[Cod trabalhador]], INDEX(Colaborador_ID[Nombre], MATCH(Tabla5[[#This Row],[Cod trabalhador]],Colaborador_ID[Cod_colab], 0))), "")</f>
        <v>JEFFERSON ANDRES VALIENTE PEREZ</v>
      </c>
      <c r="M27" s="15"/>
      <c r="N27" s="25" t="s">
        <v>7223</v>
      </c>
      <c r="O27" s="26">
        <f>IFERROR(VLOOKUP(Tabla5[[#This Row],[Cod trabalhador]],Tabla15[],4,FALSE),"")</f>
        <v>15</v>
      </c>
      <c r="P27" s="251">
        <f>IFERROR(VLOOKUP(Tabla5[[#This Row],[Cod trabalhador]],'TotalHorasAjustadas (2)'!D:L,8,FALSE),"")</f>
        <v>282</v>
      </c>
      <c r="Q27" s="206">
        <v>282</v>
      </c>
      <c r="R27" s="252" t="s">
        <v>7532</v>
      </c>
      <c r="S27" s="253" t="s">
        <v>7539</v>
      </c>
      <c r="T27" s="15"/>
      <c r="U27" s="25"/>
      <c r="V27" s="26"/>
      <c r="W27" s="27"/>
      <c r="X27" s="28"/>
      <c r="Y27" s="26"/>
      <c r="Z27" s="15"/>
      <c r="AA27" s="38" t="str">
        <f>IFERROR(VLOOKUP(Tabla5[[#This Row],[Cod trabalhador]],Alojamentos!B:P,11,FALSE),"")</f>
        <v/>
      </c>
      <c r="AB27" s="34"/>
      <c r="AC27" s="15"/>
      <c r="AD27" s="41">
        <f>Tabla5[[#This Row],[Dias de alta]]*7.058</f>
        <v>211.74</v>
      </c>
      <c r="AE27" s="40" t="str">
        <f>IFERROR(VLOOKUP(Tabla5[[#This Row],[Cod trabalhador]],Adiantamentos!B:L,7,FALSE),"")</f>
        <v/>
      </c>
      <c r="AF27" s="40">
        <f>IFERROR(VLOOKUP(Tabla5[[#This Row],[Cod trabalhador]],Carro!B:D,3,FALSE),"")</f>
        <v>104.44444444444446</v>
      </c>
      <c r="AG27" s="40">
        <f>IFERROR(VLOOKUP(Tabla5[[#This Row],[Cod trabalhador]],'Outros descontos'!B:M,7,FALSE),"")</f>
        <v>100</v>
      </c>
      <c r="AH27" s="40">
        <f>IFERROR(VLOOKUP(Tabla5[[#This Row],[Cod trabalhador]],'Outros descontos'!B:M,8,FALSE),"")</f>
        <v>0</v>
      </c>
      <c r="AI27" s="40">
        <f>IFERROR(VLOOKUP(Tabla5[[#This Row],[Cod trabalhador]],'Outros descontos'!B:M,9,FALSE),"")</f>
        <v>0</v>
      </c>
      <c r="AJ27" s="40">
        <f>IFERROR(VLOOKUP(Tabla5[[#This Row],[Cod trabalhador]],'Outros descontos'!B:M,10,FALSE),"")</f>
        <v>0</v>
      </c>
      <c r="AK27" s="40">
        <f>IFERROR(VLOOKUP(Tabla5[[#This Row],[Cod trabalhador]],'Outros descontos'!B:M,11,FALSE),"")</f>
        <v>0</v>
      </c>
      <c r="AL27" s="40">
        <f>IFERROR(VLOOKUP(Tabla5[[#This Row],[Cod trabalhador]],'Outros descontos'!B:M,12,FALSE),"")</f>
        <v>0</v>
      </c>
      <c r="AM27" s="40" t="str">
        <f>IFERROR(VLOOKUP(Tabla5[[#This Row],[Cod trabalhador]],'Outros descontos'!B:M,13,FALSE),"")</f>
        <v/>
      </c>
      <c r="AN27" s="41"/>
      <c r="AO27" s="37">
        <v>4.08</v>
      </c>
      <c r="AP27" s="15"/>
      <c r="AQ27"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3809.7355555555559</v>
      </c>
      <c r="AR27"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3809.7355555555559</v>
      </c>
      <c r="AS27" s="15"/>
      <c r="AT27" s="27" t="str">
        <f>IF(Tabla5[[#This Row],[Cod trabalhador]]="", "", INDEX(Iban!C:C, MATCH(Tabla5[[#This Row],[Cod trabalhador]],Iban!A:A, 0)))</f>
        <v>BE63 9050 6069 3008</v>
      </c>
      <c r="AU27" s="66"/>
      <c r="AV27" s="130"/>
      <c r="AW27" s="130" t="s">
        <v>7540</v>
      </c>
      <c r="AX27" s="335" t="s">
        <v>7472</v>
      </c>
    </row>
    <row r="28" spans="1:50" ht="18.75" customHeight="1" x14ac:dyDescent="0.3">
      <c r="A28" s="43"/>
      <c r="B28" s="141" t="s">
        <v>3334</v>
      </c>
      <c r="C28" s="148" t="str">
        <f>IF(ISNUMBER(MATCH(Tabla5[[#This Row],[Cod trabalhador]],'Altas Rosas'!B:B, 0)), "Ativo", "Não ativo")</f>
        <v>Ativo</v>
      </c>
      <c r="D28" s="148" t="str">
        <f>IFERROR(IF(VLOOKUP(Tabla5[[#This Row],[Cod trabalhador]],'Altas Industrial'!B:E,1,0)&lt;&gt;"","KI",""),"")</f>
        <v/>
      </c>
      <c r="E28" s="142" t="str">
        <f>IFERROR(IF(VLOOKUP(Tabla5[[#This Row],[Cod trabalhador]],'Altas Rosas'!B:F,1,0)&lt;&gt;"","KR",""),"")</f>
        <v>KR</v>
      </c>
      <c r="F28" s="142" t="str">
        <f>IFERROR(IF(VLOOKUP(Tabla5[[#This Row],[Cod trabalhador]],'Altas Wiseowe'!B:E,1,0)&lt;&gt;"","WS",""),"")</f>
        <v/>
      </c>
      <c r="G28" s="142" t="str">
        <f>IFERROR(IF(VLOOKUP(Tabla5[[#This Row],[Cod trabalhador]],'Altas Luminous'!B:E,1,0)&lt;&gt;"","LM",""),"")</f>
        <v/>
      </c>
      <c r="H28" s="143">
        <f>IFERROR(VLOOKUP(Tabla5[[#This Row],[Cod trabalhador]],'Altas Rosas'!B:F,4,FALSE),"")</f>
        <v>45764</v>
      </c>
      <c r="I28" s="143">
        <f>IF(OR(Tabla5[[#This Row],[Cod trabalhador]]="",ISBLANK(Tabla5[[#This Row],[Cod trabalhador]])),"",IFERROR(IF(VLOOKUP(Tabla5[[#This Row],[Cod trabalhador]],'Altas Rosas'!B:F,5,FALSE)=0,"",VLOOKUP(Tabla5[[#This Row],[Cod trabalhador]],'Altas Rosas'!B:F,5,FALSE)),""))</f>
        <v>46053</v>
      </c>
      <c r="J28" s="142">
        <f t="shared" si="0"/>
        <v>31</v>
      </c>
      <c r="K28" s="380" t="s">
        <v>7228</v>
      </c>
      <c r="L28" s="341" t="str">
        <f>IFERROR(IF(Tabla5[[#This Row],[Cod trabalhador]]="",Tabla5[[#This Row],[Cod trabalhador]], INDEX(Colaborador_ID[Nombre], MATCH(Tabla5[[#This Row],[Cod trabalhador]],Colaborador_ID[Cod_colab], 0))), "")</f>
        <v>JHON ADAIMER MORALES MORALES</v>
      </c>
      <c r="M28" s="15"/>
      <c r="N28" s="25" t="s">
        <v>7225</v>
      </c>
      <c r="O28" s="26">
        <f>IFERROR(VLOOKUP(Tabla5[[#This Row],[Cod trabalhador]],Tabla15[],4,FALSE),"")</f>
        <v>13</v>
      </c>
      <c r="P28" s="251">
        <f>IFERROR(VLOOKUP(Tabla5[[#This Row],[Cod trabalhador]],'TotalHorasAjustadas (2)'!D:L,8,FALSE),"")</f>
        <v>160</v>
      </c>
      <c r="Q28" s="206">
        <v>160</v>
      </c>
      <c r="R28" s="252" t="s">
        <v>7471</v>
      </c>
      <c r="S28" s="253" t="s">
        <v>7539</v>
      </c>
      <c r="T28" s="15"/>
      <c r="U28" s="25"/>
      <c r="V28" s="26"/>
      <c r="W28" s="27"/>
      <c r="X28" s="28"/>
      <c r="Y28" s="26"/>
      <c r="Z28" s="104"/>
      <c r="AA28" s="38">
        <f>IFERROR(VLOOKUP(Tabla5[[#This Row],[Cod trabalhador]],Alojamentos!B:P,11,FALSE),"")</f>
        <v>300</v>
      </c>
      <c r="AB28" s="34"/>
      <c r="AC28" s="104"/>
      <c r="AD28" s="41">
        <f>Tabla5[[#This Row],[Dias de alta]]*7.058</f>
        <v>218.798</v>
      </c>
      <c r="AE28" s="40" t="str">
        <f>IFERROR(VLOOKUP(Tabla5[[#This Row],[Cod trabalhador]],Adiantamentos!B:L,7,FALSE),"")</f>
        <v/>
      </c>
      <c r="AF28" s="40" t="str">
        <f>IFERROR(VLOOKUP(Tabla5[[#This Row],[Cod trabalhador]],Carro!B:D,3,FALSE),"")</f>
        <v/>
      </c>
      <c r="AG28" s="40" t="str">
        <f>IFERROR(VLOOKUP(Tabla5[[#This Row],[Cod trabalhador]],'Outros descontos'!B:M,7,FALSE),"")</f>
        <v/>
      </c>
      <c r="AH28" s="40" t="str">
        <f>IFERROR(VLOOKUP(Tabla5[[#This Row],[Cod trabalhador]],'Outros descontos'!B:M,8,FALSE),"")</f>
        <v/>
      </c>
      <c r="AI28" s="40" t="str">
        <f>IFERROR(VLOOKUP(Tabla5[[#This Row],[Cod trabalhador]],'Outros descontos'!B:M,9,FALSE),"")</f>
        <v/>
      </c>
      <c r="AJ28" s="40" t="str">
        <f>IFERROR(VLOOKUP(Tabla5[[#This Row],[Cod trabalhador]],'Outros descontos'!B:M,10,FALSE),"")</f>
        <v/>
      </c>
      <c r="AK28" s="40" t="str">
        <f>IFERROR(VLOOKUP(Tabla5[[#This Row],[Cod trabalhador]],'Outros descontos'!B:M,11,FALSE),"")</f>
        <v/>
      </c>
      <c r="AL28" s="40" t="str">
        <f>IFERROR(VLOOKUP(Tabla5[[#This Row],[Cod trabalhador]],'Outros descontos'!B:M,12,FALSE),"")</f>
        <v/>
      </c>
      <c r="AM28" s="40" t="str">
        <f>IFERROR(VLOOKUP(Tabla5[[#This Row],[Cod trabalhador]],'Outros descontos'!B:M,13,FALSE),"")</f>
        <v/>
      </c>
      <c r="AN28" s="41"/>
      <c r="AO28" s="37">
        <v>4.08</v>
      </c>
      <c r="AP28" s="105"/>
      <c r="AQ28"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2157.1220000000003</v>
      </c>
      <c r="AR28"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2157.1220000000003</v>
      </c>
      <c r="AS28" s="15"/>
      <c r="AT28" s="27" t="str">
        <f>IF(Tabla5[[#This Row],[Cod trabalhador]]="", "", INDEX(Iban!C:C, MATCH(Tabla5[[#This Row],[Cod trabalhador]],Iban!A:A, 0)))</f>
        <v>ES54 0182 0706 1302 0164 9748</v>
      </c>
      <c r="AU28" s="66"/>
      <c r="AV28" s="130"/>
      <c r="AW28" s="130" t="s">
        <v>7540</v>
      </c>
      <c r="AX28" s="335" t="s">
        <v>7472</v>
      </c>
    </row>
    <row r="29" spans="1:50" ht="18.75" customHeight="1" x14ac:dyDescent="0.3">
      <c r="A29" s="43"/>
      <c r="B29" s="141" t="s">
        <v>3583</v>
      </c>
      <c r="C29" s="148" t="str">
        <f>IF(ISNUMBER(MATCH(Tabla5[[#This Row],[Cod trabalhador]],'Altas Rosas'!B:B, 0)), "Ativo", "Não ativo")</f>
        <v>Não ativo</v>
      </c>
      <c r="D29" s="148" t="str">
        <f>IFERROR(IF(VLOOKUP(Tabla5[[#This Row],[Cod trabalhador]],'Altas Industrial'!B:E,1,0)&lt;&gt;"","KI",""),"")</f>
        <v/>
      </c>
      <c r="E29" s="142" t="str">
        <f>IFERROR(IF(VLOOKUP(Tabla5[[#This Row],[Cod trabalhador]],'Altas Rosas'!B:F,1,0)&lt;&gt;"","KR",""),"")</f>
        <v/>
      </c>
      <c r="F29" s="142" t="str">
        <f>IFERROR(IF(VLOOKUP(Tabla5[[#This Row],[Cod trabalhador]],'Altas Wiseowe'!B:E,1,0)&lt;&gt;"","WS",""),"")</f>
        <v/>
      </c>
      <c r="G29" s="142" t="str">
        <f>IFERROR(IF(VLOOKUP(Tabla5[[#This Row],[Cod trabalhador]],'Altas Luminous'!B:E,1,0)&lt;&gt;"","LM",""),"")</f>
        <v/>
      </c>
      <c r="H29" s="143" t="str">
        <f>IFERROR(VLOOKUP(Tabla5[[#This Row],[Cod trabalhador]],'Altas Rosas'!B:F,4,FALSE),"")</f>
        <v/>
      </c>
      <c r="I29" s="143" t="str">
        <f>IF(OR(Tabla5[[#This Row],[Cod trabalhador]]="",ISBLANK(Tabla5[[#This Row],[Cod trabalhador]])),"",IFERROR(IF(VLOOKUP(Tabla5[[#This Row],[Cod trabalhador]],'Altas Rosas'!B:F,5,FALSE)=0,"",VLOOKUP(Tabla5[[#This Row],[Cod trabalhador]],'Altas Rosas'!B:F,5,FALSE)),""))</f>
        <v/>
      </c>
      <c r="J29" s="142">
        <f t="shared" si="0"/>
        <v>0</v>
      </c>
      <c r="K29" s="380" t="s">
        <v>7220</v>
      </c>
      <c r="L29" s="341" t="str">
        <f>IFERROR(IF(Tabla5[[#This Row],[Cod trabalhador]]="",Tabla5[[#This Row],[Cod trabalhador]], INDEX(Colaborador_ID[Nombre], MATCH(Tabla5[[#This Row],[Cod trabalhador]],Colaborador_ID[Cod_colab], 0))), "")</f>
        <v>JOHN FREDDY PEREZ RUIZ</v>
      </c>
      <c r="M29" s="15"/>
      <c r="N29" s="25" t="s">
        <v>7213</v>
      </c>
      <c r="O29" s="26">
        <f>IFERROR(VLOOKUP(Tabla5[[#This Row],[Cod trabalhador]],Tabla15[],4,FALSE),"")</f>
        <v>13</v>
      </c>
      <c r="P29" s="251">
        <f>IFERROR(VLOOKUP(Tabla5[[#This Row],[Cod trabalhador]],'TotalHorasAjustadas (2)'!D:L,8,FALSE),"")</f>
        <v>164</v>
      </c>
      <c r="Q29" s="206">
        <v>164</v>
      </c>
      <c r="R29" s="252" t="s">
        <v>7532</v>
      </c>
      <c r="S29" s="253" t="s">
        <v>7539</v>
      </c>
      <c r="T29" s="15"/>
      <c r="U29" s="25"/>
      <c r="V29" s="26"/>
      <c r="W29" s="27"/>
      <c r="X29" s="28"/>
      <c r="Y29" s="26"/>
      <c r="Z29" s="15"/>
      <c r="AA29" s="38" t="str">
        <f>IFERROR(VLOOKUP(Tabla5[[#This Row],[Cod trabalhador]],Alojamentos!B:P,11,FALSE),"")</f>
        <v/>
      </c>
      <c r="AB29" s="34"/>
      <c r="AC29" s="15"/>
      <c r="AD29" s="41">
        <f>Tabla5[[#This Row],[Dias de alta]]*7.058</f>
        <v>0</v>
      </c>
      <c r="AE29" s="40" t="str">
        <f>IFERROR(VLOOKUP(Tabla5[[#This Row],[Cod trabalhador]],Adiantamentos!B:L,7,FALSE),"")</f>
        <v/>
      </c>
      <c r="AF29" s="40">
        <f>IFERROR(VLOOKUP(Tabla5[[#This Row],[Cod trabalhador]],Carro!B:D,3,FALSE),"")</f>
        <v>42.857142857142854</v>
      </c>
      <c r="AG29" s="40" t="str">
        <f>IFERROR(VLOOKUP(Tabla5[[#This Row],[Cod trabalhador]],'Outros descontos'!B:M,7,FALSE),"")</f>
        <v/>
      </c>
      <c r="AH29" s="40" t="str">
        <f>IFERROR(VLOOKUP(Tabla5[[#This Row],[Cod trabalhador]],'Outros descontos'!B:M,8,FALSE),"")</f>
        <v/>
      </c>
      <c r="AI29" s="40" t="str">
        <f>IFERROR(VLOOKUP(Tabla5[[#This Row],[Cod trabalhador]],'Outros descontos'!B:M,9,FALSE),"")</f>
        <v/>
      </c>
      <c r="AJ29" s="40" t="str">
        <f>IFERROR(VLOOKUP(Tabla5[[#This Row],[Cod trabalhador]],'Outros descontos'!B:M,10,FALSE),"")</f>
        <v/>
      </c>
      <c r="AK29" s="40" t="str">
        <f>IFERROR(VLOOKUP(Tabla5[[#This Row],[Cod trabalhador]],'Outros descontos'!B:M,11,FALSE),"")</f>
        <v/>
      </c>
      <c r="AL29" s="40" t="str">
        <f>IFERROR(VLOOKUP(Tabla5[[#This Row],[Cod trabalhador]],'Outros descontos'!B:M,12,FALSE),"")</f>
        <v/>
      </c>
      <c r="AM29" s="40" t="str">
        <f>IFERROR(VLOOKUP(Tabla5[[#This Row],[Cod trabalhador]],'Outros descontos'!B:M,13,FALSE),"")</f>
        <v/>
      </c>
      <c r="AN29" s="41"/>
      <c r="AO29" s="37">
        <v>4.08</v>
      </c>
      <c r="AP29" s="15"/>
      <c r="AQ29"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2085.0628571428574</v>
      </c>
      <c r="AR29"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2085.0628571428574</v>
      </c>
      <c r="AS29" s="15"/>
      <c r="AT29" s="27" t="str">
        <f>IF(Tabla5[[#This Row],[Cod trabalhador]]="", "", INDEX(Iban!C:C, MATCH(Tabla5[[#This Row],[Cod trabalhador]],Iban!A:A, 0)))</f>
        <v>BE69 9053 4725 7478</v>
      </c>
      <c r="AU29" s="66"/>
      <c r="AV29" s="130"/>
      <c r="AW29" s="130" t="s">
        <v>7540</v>
      </c>
      <c r="AX29" s="335" t="s">
        <v>7472</v>
      </c>
    </row>
    <row r="30" spans="1:50" ht="18.75" customHeight="1" x14ac:dyDescent="0.3">
      <c r="A30" s="43"/>
      <c r="B30" s="141" t="s">
        <v>3587</v>
      </c>
      <c r="C30" s="142" t="str">
        <f>IF(ISNUMBER(MATCH(Tabla5[[#This Row],[Cod trabalhador]],'Altas Rosas'!B:B, 0)), "Ativo", "Não ativo")</f>
        <v>Não ativo</v>
      </c>
      <c r="D30" s="142" t="str">
        <f>IFERROR(IF(VLOOKUP(Tabla5[[#This Row],[Cod trabalhador]],'Altas Industrial'!B:E,1,0)&lt;&gt;"","KI",""),"")</f>
        <v/>
      </c>
      <c r="E30" s="142" t="str">
        <f>IFERROR(IF(VLOOKUP(Tabla5[[#This Row],[Cod trabalhador]],'Altas Rosas'!B:F,1,0)&lt;&gt;"","KR",""),"")</f>
        <v/>
      </c>
      <c r="F30" s="142" t="str">
        <f>IFERROR(IF(VLOOKUP(Tabla5[[#This Row],[Cod trabalhador]],'Altas Wiseowe'!B:E,1,0)&lt;&gt;"","WS",""),"")</f>
        <v/>
      </c>
      <c r="G30" s="142" t="str">
        <f>IFERROR(IF(VLOOKUP(Tabla5[[#This Row],[Cod trabalhador]],'Altas Luminous'!B:E,1,0)&lt;&gt;"","LM",""),"")</f>
        <v/>
      </c>
      <c r="H30" s="143" t="str">
        <f>IFERROR(VLOOKUP(Tabla5[[#This Row],[Cod trabalhador]],'Altas Rosas'!B:F,4,FALSE),"")</f>
        <v/>
      </c>
      <c r="I30" s="143" t="str">
        <f>IF(OR(Tabla5[[#This Row],[Cod trabalhador]]="",ISBLANK(Tabla5[[#This Row],[Cod trabalhador]])),"",IFERROR(IF(VLOOKUP(Tabla5[[#This Row],[Cod trabalhador]],'Altas Rosas'!B:F,5,FALSE)=0,"",VLOOKUP(Tabla5[[#This Row],[Cod trabalhador]],'Altas Rosas'!B:F,5,FALSE)),""))</f>
        <v/>
      </c>
      <c r="J30" s="142">
        <f t="shared" si="0"/>
        <v>0</v>
      </c>
      <c r="K30" s="380" t="s">
        <v>7199</v>
      </c>
      <c r="L30" s="341" t="str">
        <f>IFERROR(IF(Tabla5[[#This Row],[Cod trabalhador]]="",Tabla5[[#This Row],[Cod trabalhador]], INDEX(Colaborador_ID[Nombre], MATCH(Tabla5[[#This Row],[Cod trabalhador]],Colaborador_ID[Cod_colab], 0))), "")</f>
        <v>JOHN FREDY CASTRO JIMENEZ</v>
      </c>
      <c r="M30" s="15"/>
      <c r="N30" s="25" t="s">
        <v>7198</v>
      </c>
      <c r="O30" s="26">
        <f>IFERROR(VLOOKUP(Tabla5[[#This Row],[Cod trabalhador]],Tabla15[],4,FALSE),"")</f>
        <v>15</v>
      </c>
      <c r="P30" s="251">
        <f>IFERROR(VLOOKUP(Tabla5[[#This Row],[Cod trabalhador]],'TotalHorasAjustadas (2)'!D:L,8,FALSE),"")</f>
        <v>114</v>
      </c>
      <c r="Q30" s="131">
        <v>114</v>
      </c>
      <c r="R30" s="252" t="s">
        <v>7471</v>
      </c>
      <c r="S30" s="253" t="s">
        <v>7539</v>
      </c>
      <c r="T30" s="15"/>
      <c r="U30" s="25"/>
      <c r="V30" s="26"/>
      <c r="W30" s="27"/>
      <c r="X30" s="28"/>
      <c r="Y30" s="26"/>
      <c r="Z30" s="15"/>
      <c r="AA30" s="38">
        <f>IFERROR(VLOOKUP(Tabla5[[#This Row],[Cod trabalhador]],Alojamentos!B:P,11,FALSE),"")</f>
        <v>300</v>
      </c>
      <c r="AB30" s="34"/>
      <c r="AC30" s="15"/>
      <c r="AD30" s="41">
        <f>Tabla5[[#This Row],[Dias de alta]]*7.058</f>
        <v>0</v>
      </c>
      <c r="AE30" s="40" t="str">
        <f>IFERROR(VLOOKUP(Tabla5[[#This Row],[Cod trabalhador]],Adiantamentos!B:L,7,FALSE),"")</f>
        <v/>
      </c>
      <c r="AF30" s="40" t="str">
        <f>IFERROR(VLOOKUP(Tabla5[[#This Row],[Cod trabalhador]],Carro!B:D,3,FALSE),"")</f>
        <v/>
      </c>
      <c r="AG30" s="40" t="str">
        <f>IFERROR(VLOOKUP(Tabla5[[#This Row],[Cod trabalhador]],'Outros descontos'!B:M,7,FALSE),"")</f>
        <v/>
      </c>
      <c r="AH30" s="40" t="str">
        <f>IFERROR(VLOOKUP(Tabla5[[#This Row],[Cod trabalhador]],'Outros descontos'!B:M,8,FALSE),"")</f>
        <v/>
      </c>
      <c r="AI30" s="40" t="str">
        <f>IFERROR(VLOOKUP(Tabla5[[#This Row],[Cod trabalhador]],'Outros descontos'!B:M,9,FALSE),"")</f>
        <v/>
      </c>
      <c r="AJ30" s="40" t="str">
        <f>IFERROR(VLOOKUP(Tabla5[[#This Row],[Cod trabalhador]],'Outros descontos'!B:M,10,FALSE),"")</f>
        <v/>
      </c>
      <c r="AK30" s="40" t="str">
        <f>IFERROR(VLOOKUP(Tabla5[[#This Row],[Cod trabalhador]],'Outros descontos'!B:M,11,FALSE),"")</f>
        <v/>
      </c>
      <c r="AL30" s="40" t="str">
        <f>IFERROR(VLOOKUP(Tabla5[[#This Row],[Cod trabalhador]],'Outros descontos'!B:M,12,FALSE),"")</f>
        <v/>
      </c>
      <c r="AM30" s="40" t="str">
        <f>IFERROR(VLOOKUP(Tabla5[[#This Row],[Cod trabalhador]],'Outros descontos'!B:M,13,FALSE),"")</f>
        <v/>
      </c>
      <c r="AN30" s="41"/>
      <c r="AO30" s="37">
        <v>4.08</v>
      </c>
      <c r="AP30" s="15"/>
      <c r="AQ30"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2005.92</v>
      </c>
      <c r="AR30"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2005.92</v>
      </c>
      <c r="AS30" s="15"/>
      <c r="AT30" s="27" t="str">
        <f>IF(Tabla5[[#This Row],[Cod trabalhador]]="", "", INDEX(Iban!C:C, MATCH(Tabla5[[#This Row],[Cod trabalhador]],Iban!A:A, 0)))</f>
        <v>BE25 9052 7289 7682</v>
      </c>
      <c r="AU30" s="66"/>
      <c r="AV30" s="130"/>
      <c r="AW30" s="130" t="s">
        <v>7540</v>
      </c>
      <c r="AX30" s="335" t="s">
        <v>7472</v>
      </c>
    </row>
    <row r="31" spans="1:50" ht="18.75" customHeight="1" x14ac:dyDescent="0.3">
      <c r="A31" s="43"/>
      <c r="B31" s="141" t="s">
        <v>3974</v>
      </c>
      <c r="C31" s="142" t="str">
        <f>IF(ISNUMBER(MATCH(Tabla5[[#This Row],[Cod trabalhador]],'Altas Rosas'!B:B, 0)), "Ativo", "Não ativo")</f>
        <v>Ativo</v>
      </c>
      <c r="D31" s="142" t="str">
        <f>IFERROR(IF(VLOOKUP(Tabla5[[#This Row],[Cod trabalhador]],'Altas Industrial'!B:E,1,0)&lt;&gt;"","KI",""),"")</f>
        <v/>
      </c>
      <c r="E31" s="142" t="str">
        <f>IFERROR(IF(VLOOKUP(Tabla5[[#This Row],[Cod trabalhador]],'Altas Rosas'!B:F,1,0)&lt;&gt;"","KR",""),"")</f>
        <v>KR</v>
      </c>
      <c r="F31" s="142" t="str">
        <f>IFERROR(IF(VLOOKUP(Tabla5[[#This Row],[Cod trabalhador]],'Altas Wiseowe'!B:E,1,0)&lt;&gt;"","WS",""),"")</f>
        <v/>
      </c>
      <c r="G31" s="142" t="str">
        <f>IFERROR(IF(VLOOKUP(Tabla5[[#This Row],[Cod trabalhador]],'Altas Luminous'!B:E,1,0)&lt;&gt;"","LM",""),"")</f>
        <v/>
      </c>
      <c r="H31" s="143">
        <f>IFERROR(VLOOKUP(Tabla5[[#This Row],[Cod trabalhador]],'Altas Rosas'!B:F,4,FALSE),"")</f>
        <v>45820</v>
      </c>
      <c r="I31" s="143">
        <f>IF(OR(Tabla5[[#This Row],[Cod trabalhador]]="",ISBLANK(Tabla5[[#This Row],[Cod trabalhador]])),"",IFERROR(IF(VLOOKUP(Tabla5[[#This Row],[Cod trabalhador]],'Altas Rosas'!B:F,5,FALSE)=0,"",VLOOKUP(Tabla5[[#This Row],[Cod trabalhador]],'Altas Rosas'!B:F,5,FALSE)),""))</f>
        <v>46052</v>
      </c>
      <c r="J31" s="142">
        <f t="shared" si="0"/>
        <v>30</v>
      </c>
      <c r="K31" s="380" t="s">
        <v>3975</v>
      </c>
      <c r="L31" s="341" t="str">
        <f>IFERROR(IF(Tabla5[[#This Row],[Cod trabalhador]]="",Tabla5[[#This Row],[Cod trabalhador]], INDEX(Colaborador_ID[Nombre], MATCH(Tabla5[[#This Row],[Cod trabalhador]],Colaborador_ID[Cod_colab], 0))), "")</f>
        <v>JOSE ELMES PASTES DOMINGUEZ</v>
      </c>
      <c r="M31" s="15"/>
      <c r="N31" s="25" t="s">
        <v>7223</v>
      </c>
      <c r="O31" s="26">
        <f>IFERROR(VLOOKUP(Tabla5[[#This Row],[Cod trabalhador]],Tabla15[],4,FALSE),"")</f>
        <v>15</v>
      </c>
      <c r="P31" s="251">
        <f>IFERROR(VLOOKUP(Tabla5[[#This Row],[Cod trabalhador]],'TotalHorasAjustadas (2)'!D:L,8,FALSE),"")</f>
        <v>275</v>
      </c>
      <c r="Q31" s="131">
        <v>275</v>
      </c>
      <c r="R31" s="252" t="s">
        <v>7532</v>
      </c>
      <c r="S31" s="253" t="s">
        <v>7539</v>
      </c>
      <c r="T31" s="15"/>
      <c r="U31" s="25"/>
      <c r="V31" s="26"/>
      <c r="W31" s="27"/>
      <c r="X31" s="28"/>
      <c r="Y31" s="26"/>
      <c r="Z31" s="15"/>
      <c r="AA31" s="38" t="str">
        <f>IFERROR(VLOOKUP(Tabla5[[#This Row],[Cod trabalhador]],Alojamentos!B:P,11,FALSE),"")</f>
        <v/>
      </c>
      <c r="AB31" s="34"/>
      <c r="AC31" s="15"/>
      <c r="AD31" s="41">
        <f>Tabla5[[#This Row],[Dias de alta]]*7.058</f>
        <v>211.74</v>
      </c>
      <c r="AE31" s="40">
        <f>IFERROR(VLOOKUP(Tabla5[[#This Row],[Cod trabalhador]],Adiantamentos!B:L,7,FALSE),"")</f>
        <v>200</v>
      </c>
      <c r="AF31" s="40">
        <f>IFERROR(VLOOKUP(Tabla5[[#This Row],[Cod trabalhador]],Carro!B:D,3,FALSE),"")</f>
        <v>104.44444444444446</v>
      </c>
      <c r="AG31" s="40" t="str">
        <f>IFERROR(VLOOKUP(Tabla5[[#This Row],[Cod trabalhador]],'Outros descontos'!B:M,7,FALSE),"")</f>
        <v/>
      </c>
      <c r="AH31" s="40" t="str">
        <f>IFERROR(VLOOKUP(Tabla5[[#This Row],[Cod trabalhador]],'Outros descontos'!B:M,8,FALSE),"")</f>
        <v/>
      </c>
      <c r="AI31" s="40" t="str">
        <f>IFERROR(VLOOKUP(Tabla5[[#This Row],[Cod trabalhador]],'Outros descontos'!B:M,9,FALSE),"")</f>
        <v/>
      </c>
      <c r="AJ31" s="40" t="str">
        <f>IFERROR(VLOOKUP(Tabla5[[#This Row],[Cod trabalhador]],'Outros descontos'!B:M,10,FALSE),"")</f>
        <v/>
      </c>
      <c r="AK31" s="40" t="str">
        <f>IFERROR(VLOOKUP(Tabla5[[#This Row],[Cod trabalhador]],'Outros descontos'!B:M,11,FALSE),"")</f>
        <v/>
      </c>
      <c r="AL31" s="40" t="str">
        <f>IFERROR(VLOOKUP(Tabla5[[#This Row],[Cod trabalhador]],'Outros descontos'!B:M,12,FALSE),"")</f>
        <v/>
      </c>
      <c r="AM31" s="40" t="str">
        <f>IFERROR(VLOOKUP(Tabla5[[#This Row],[Cod trabalhador]],'Outros descontos'!B:M,13,FALSE),"")</f>
        <v/>
      </c>
      <c r="AN31" s="41"/>
      <c r="AO31" s="37">
        <v>4.08</v>
      </c>
      <c r="AP31" s="15"/>
      <c r="AQ31"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3604.7355555555559</v>
      </c>
      <c r="AR31"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3604.7355555555559</v>
      </c>
      <c r="AS31" s="15"/>
      <c r="AT31" s="27" t="str">
        <f>IF(Tabla5[[#This Row],[Cod trabalhador]]="", "", INDEX(Iban!C:C, MATCH(Tabla5[[#This Row],[Cod trabalhador]],Iban!A:A, 0)))</f>
        <v>ES09 0182 0374 9202 0154 6596</v>
      </c>
      <c r="AU31" s="66"/>
      <c r="AV31" s="130"/>
      <c r="AW31" s="130" t="s">
        <v>7540</v>
      </c>
      <c r="AX31" s="335" t="s">
        <v>7472</v>
      </c>
    </row>
    <row r="32" spans="1:50" ht="18.75" customHeight="1" x14ac:dyDescent="0.3">
      <c r="A32" s="43"/>
      <c r="B32" s="141" t="s">
        <v>4233</v>
      </c>
      <c r="C32" s="142" t="str">
        <f>IF(ISNUMBER(MATCH(Tabla5[[#This Row],[Cod trabalhador]],'Altas Rosas'!B:B, 0)), "Ativo", "Não ativo")</f>
        <v>Ativo</v>
      </c>
      <c r="D32" s="142" t="str">
        <f>IFERROR(IF(VLOOKUP(Tabla5[[#This Row],[Cod trabalhador]],'Altas Industrial'!B:E,1,0)&lt;&gt;"","KI",""),"")</f>
        <v/>
      </c>
      <c r="E32" s="142" t="str">
        <f>IFERROR(IF(VLOOKUP(Tabla5[[#This Row],[Cod trabalhador]],'Altas Rosas'!B:F,1,0)&lt;&gt;"","KR",""),"")</f>
        <v>KR</v>
      </c>
      <c r="F32" s="142" t="str">
        <f>IFERROR(IF(VLOOKUP(Tabla5[[#This Row],[Cod trabalhador]],'Altas Wiseowe'!B:E,1,0)&lt;&gt;"","WS",""),"")</f>
        <v/>
      </c>
      <c r="G32" s="142" t="str">
        <f>IFERROR(IF(VLOOKUP(Tabla5[[#This Row],[Cod trabalhador]],'Altas Luminous'!B:E,1,0)&lt;&gt;"","LM",""),"")</f>
        <v/>
      </c>
      <c r="H32" s="143">
        <f>IFERROR(VLOOKUP(Tabla5[[#This Row],[Cod trabalhador]],'Altas Rosas'!B:F,4,FALSE),"")</f>
        <v>45764</v>
      </c>
      <c r="I32" s="143">
        <f>IF(OR(Tabla5[[#This Row],[Cod trabalhador]]="",ISBLANK(Tabla5[[#This Row],[Cod trabalhador]])),"",IFERROR(IF(VLOOKUP(Tabla5[[#This Row],[Cod trabalhador]],'Altas Rosas'!B:F,5,FALSE)=0,"",VLOOKUP(Tabla5[[#This Row],[Cod trabalhador]],'Altas Rosas'!B:F,5,FALSE)),""))</f>
        <v>46052</v>
      </c>
      <c r="J32" s="142">
        <f t="shared" si="0"/>
        <v>30</v>
      </c>
      <c r="K32" s="380" t="s">
        <v>7191</v>
      </c>
      <c r="L32" s="341" t="str">
        <f>IFERROR(IF(Tabla5[[#This Row],[Cod trabalhador]]="",Tabla5[[#This Row],[Cod trabalhador]], INDEX(Colaborador_ID[Nombre], MATCH(Tabla5[[#This Row],[Cod trabalhador]],Colaborador_ID[Cod_colab], 0))), "")</f>
        <v>JUAN CARLOS BENAVIDES RODRIGUEZ</v>
      </c>
      <c r="M32" s="15"/>
      <c r="N32" s="25" t="s">
        <v>7185</v>
      </c>
      <c r="O32" s="26">
        <f>IFERROR(VLOOKUP(Tabla5[[#This Row],[Cod trabalhador]],Tabla15[],4,FALSE),"")</f>
        <v>15</v>
      </c>
      <c r="P32" s="251">
        <f>IFERROR(VLOOKUP(Tabla5[[#This Row],[Cod trabalhador]],'TotalHorasAjustadas (2)'!D:L,8,FALSE),"")</f>
        <v>143</v>
      </c>
      <c r="Q32" s="131">
        <v>143</v>
      </c>
      <c r="R32" s="252" t="s">
        <v>7471</v>
      </c>
      <c r="S32" s="253" t="s">
        <v>7539</v>
      </c>
      <c r="T32" s="15"/>
      <c r="U32" s="25"/>
      <c r="V32" s="26"/>
      <c r="W32" s="27"/>
      <c r="X32" s="28"/>
      <c r="Y32" s="26"/>
      <c r="Z32" s="15"/>
      <c r="AA32" s="38">
        <f>IFERROR(VLOOKUP(Tabla5[[#This Row],[Cod trabalhador]],Alojamentos!B:P,11,FALSE),"")</f>
        <v>300</v>
      </c>
      <c r="AB32" s="34"/>
      <c r="AC32" s="15"/>
      <c r="AD32" s="41">
        <f>Tabla5[[#This Row],[Dias de alta]]*7.058</f>
        <v>211.74</v>
      </c>
      <c r="AE32" s="40" t="str">
        <f>IFERROR(VLOOKUP(Tabla5[[#This Row],[Cod trabalhador]],Adiantamentos!B:L,7,FALSE),"")</f>
        <v/>
      </c>
      <c r="AF32" s="40" t="str">
        <f>IFERROR(VLOOKUP(Tabla5[[#This Row],[Cod trabalhador]],Carro!B:D,3,FALSE),"")</f>
        <v/>
      </c>
      <c r="AG32" s="40" t="str">
        <f>IFERROR(VLOOKUP(Tabla5[[#This Row],[Cod trabalhador]],'Outros descontos'!B:M,7,FALSE),"")</f>
        <v/>
      </c>
      <c r="AH32" s="40" t="str">
        <f>IFERROR(VLOOKUP(Tabla5[[#This Row],[Cod trabalhador]],'Outros descontos'!B:M,8,FALSE),"")</f>
        <v/>
      </c>
      <c r="AI32" s="40" t="str">
        <f>IFERROR(VLOOKUP(Tabla5[[#This Row],[Cod trabalhador]],'Outros descontos'!B:M,9,FALSE),"")</f>
        <v/>
      </c>
      <c r="AJ32" s="40" t="str">
        <f>IFERROR(VLOOKUP(Tabla5[[#This Row],[Cod trabalhador]],'Outros descontos'!B:M,10,FALSE),"")</f>
        <v/>
      </c>
      <c r="AK32" s="40" t="str">
        <f>IFERROR(VLOOKUP(Tabla5[[#This Row],[Cod trabalhador]],'Outros descontos'!B:M,11,FALSE),"")</f>
        <v/>
      </c>
      <c r="AL32" s="40" t="str">
        <f>IFERROR(VLOOKUP(Tabla5[[#This Row],[Cod trabalhador]],'Outros descontos'!B:M,12,FALSE),"")</f>
        <v/>
      </c>
      <c r="AM32" s="40" t="str">
        <f>IFERROR(VLOOKUP(Tabla5[[#This Row],[Cod trabalhador]],'Outros descontos'!B:M,13,FALSE),"")</f>
        <v/>
      </c>
      <c r="AN32" s="41"/>
      <c r="AO32" s="37">
        <v>4.08</v>
      </c>
      <c r="AP32" s="15"/>
      <c r="AQ32"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2229.1800000000003</v>
      </c>
      <c r="AR32"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2229.1800000000003</v>
      </c>
      <c r="AS32" s="15"/>
      <c r="AT32" s="27" t="str">
        <f>IF(Tabla5[[#This Row],[Cod trabalhador]]="", "", INDEX(Iban!C:C, MATCH(Tabla5[[#This Row],[Cod trabalhador]],Iban!A:A, 0)))</f>
        <v>ES85 0182 0606 8702 0178 6655</v>
      </c>
      <c r="AU32" s="66"/>
      <c r="AV32" s="130"/>
      <c r="AW32" s="130" t="s">
        <v>7540</v>
      </c>
      <c r="AX32" s="335" t="s">
        <v>7472</v>
      </c>
    </row>
    <row r="33" spans="1:50" ht="18.75" customHeight="1" x14ac:dyDescent="0.3">
      <c r="A33" s="43"/>
      <c r="B33" s="141" t="s">
        <v>4283</v>
      </c>
      <c r="C33" s="142" t="str">
        <f>IF(ISNUMBER(MATCH(Tabla5[[#This Row],[Cod trabalhador]],'Altas Rosas'!B:B, 0)), "Ativo", "Não ativo")</f>
        <v>Não ativo</v>
      </c>
      <c r="D33" s="142" t="str">
        <f>IFERROR(IF(VLOOKUP(Tabla5[[#This Row],[Cod trabalhador]],'Altas Industrial'!B:E,1,0)&lt;&gt;"","KI",""),"")</f>
        <v/>
      </c>
      <c r="E33" s="142" t="str">
        <f>IFERROR(IF(VLOOKUP(Tabla5[[#This Row],[Cod trabalhador]],'Altas Rosas'!B:F,1,0)&lt;&gt;"","KR",""),"")</f>
        <v/>
      </c>
      <c r="F33" s="142" t="str">
        <f>IFERROR(IF(VLOOKUP(Tabla5[[#This Row],[Cod trabalhador]],'Altas Wiseowe'!B:E,1,0)&lt;&gt;"","WS",""),"")</f>
        <v/>
      </c>
      <c r="G33" s="142" t="str">
        <f>IFERROR(IF(VLOOKUP(Tabla5[[#This Row],[Cod trabalhador]],'Altas Luminous'!B:E,1,0)&lt;&gt;"","LM",""),"")</f>
        <v/>
      </c>
      <c r="H33" s="143" t="str">
        <f>IFERROR(VLOOKUP(Tabla5[[#This Row],[Cod trabalhador]],'Altas Rosas'!B:F,4,FALSE),"")</f>
        <v/>
      </c>
      <c r="I33" s="143" t="str">
        <f>IF(OR(Tabla5[[#This Row],[Cod trabalhador]]="",ISBLANK(Tabla5[[#This Row],[Cod trabalhador]])),"",IFERROR(IF(VLOOKUP(Tabla5[[#This Row],[Cod trabalhador]],'Altas Rosas'!B:F,5,FALSE)=0,"",VLOOKUP(Tabla5[[#This Row],[Cod trabalhador]],'Altas Rosas'!B:F,5,FALSE)),""))</f>
        <v/>
      </c>
      <c r="J33" s="142">
        <f t="shared" si="0"/>
        <v>0</v>
      </c>
      <c r="K33" s="380" t="s">
        <v>7221</v>
      </c>
      <c r="L33" s="341" t="str">
        <f>IFERROR(IF(Tabla5[[#This Row],[Cod trabalhador]]="",Tabla5[[#This Row],[Cod trabalhador]], INDEX(Colaborador_ID[Nombre], MATCH(Tabla5[[#This Row],[Cod trabalhador]],Colaborador_ID[Cod_colab], 0))), "")</f>
        <v>JUAN CARLOS VILLANUEVA DE LA HOZ</v>
      </c>
      <c r="M33" s="15"/>
      <c r="N33" s="25" t="s">
        <v>7213</v>
      </c>
      <c r="O33" s="26">
        <f>IFERROR(VLOOKUP(Tabla5[[#This Row],[Cod trabalhador]],Tabla15[],4,FALSE),"")</f>
        <v>15</v>
      </c>
      <c r="P33" s="251">
        <f>IFERROR(VLOOKUP(Tabla5[[#This Row],[Cod trabalhador]],'TotalHorasAjustadas (2)'!D:L,8,FALSE),"")</f>
        <v>170</v>
      </c>
      <c r="Q33" s="131">
        <v>170</v>
      </c>
      <c r="R33" s="252" t="s">
        <v>7532</v>
      </c>
      <c r="S33" s="253" t="s">
        <v>7539</v>
      </c>
      <c r="T33" s="15"/>
      <c r="U33" s="25"/>
      <c r="V33" s="26"/>
      <c r="W33" s="27"/>
      <c r="X33" s="28"/>
      <c r="Y33" s="26"/>
      <c r="Z33" s="15"/>
      <c r="AA33" s="38" t="str">
        <f>IFERROR(VLOOKUP(Tabla5[[#This Row],[Cod trabalhador]],Alojamentos!B:P,11,FALSE),"")</f>
        <v/>
      </c>
      <c r="AB33" s="34"/>
      <c r="AC33" s="15"/>
      <c r="AD33" s="41">
        <f>Tabla5[[#This Row],[Dias de alta]]*7.058</f>
        <v>0</v>
      </c>
      <c r="AE33" s="40" t="str">
        <f>IFERROR(VLOOKUP(Tabla5[[#This Row],[Cod trabalhador]],Adiantamentos!B:L,7,FALSE),"")</f>
        <v/>
      </c>
      <c r="AF33" s="40">
        <f>IFERROR(VLOOKUP(Tabla5[[#This Row],[Cod trabalhador]],Carro!B:D,3,FALSE),"")</f>
        <v>89.523809523809518</v>
      </c>
      <c r="AG33" s="40" t="str">
        <f>IFERROR(VLOOKUP(Tabla5[[#This Row],[Cod trabalhador]],'Outros descontos'!B:M,7,FALSE),"")</f>
        <v/>
      </c>
      <c r="AH33" s="40" t="str">
        <f>IFERROR(VLOOKUP(Tabla5[[#This Row],[Cod trabalhador]],'Outros descontos'!B:M,8,FALSE),"")</f>
        <v/>
      </c>
      <c r="AI33" s="40" t="str">
        <f>IFERROR(VLOOKUP(Tabla5[[#This Row],[Cod trabalhador]],'Outros descontos'!B:M,9,FALSE),"")</f>
        <v/>
      </c>
      <c r="AJ33" s="40" t="str">
        <f>IFERROR(VLOOKUP(Tabla5[[#This Row],[Cod trabalhador]],'Outros descontos'!B:M,10,FALSE),"")</f>
        <v/>
      </c>
      <c r="AK33" s="40" t="str">
        <f>IFERROR(VLOOKUP(Tabla5[[#This Row],[Cod trabalhador]],'Outros descontos'!B:M,11,FALSE),"")</f>
        <v/>
      </c>
      <c r="AL33" s="40" t="str">
        <f>IFERROR(VLOOKUP(Tabla5[[#This Row],[Cod trabalhador]],'Outros descontos'!B:M,12,FALSE),"")</f>
        <v/>
      </c>
      <c r="AM33" s="40" t="str">
        <f>IFERROR(VLOOKUP(Tabla5[[#This Row],[Cod trabalhador]],'Outros descontos'!B:M,13,FALSE),"")</f>
        <v/>
      </c>
      <c r="AN33" s="41"/>
      <c r="AO33" s="37">
        <v>4.08</v>
      </c>
      <c r="AP33" s="15"/>
      <c r="AQ33"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2456.3961904761904</v>
      </c>
      <c r="AR33"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2456.3961904761904</v>
      </c>
      <c r="AS33" s="15"/>
      <c r="AT33" s="27" t="str">
        <f>IF(Tabla5[[#This Row],[Cod trabalhador]]="", "", INDEX(Iban!C:C, MATCH(Tabla5[[#This Row],[Cod trabalhador]],Iban!A:A, 0)))</f>
        <v>BE68 9054 3699 7434</v>
      </c>
      <c r="AU33" s="66"/>
      <c r="AV33" s="130"/>
      <c r="AW33" s="130" t="s">
        <v>7540</v>
      </c>
      <c r="AX33" s="335" t="s">
        <v>7472</v>
      </c>
    </row>
    <row r="34" spans="1:50" ht="18.75" customHeight="1" x14ac:dyDescent="0.3">
      <c r="A34" s="43"/>
      <c r="B34" s="141" t="s">
        <v>4287</v>
      </c>
      <c r="C34" s="142" t="str">
        <f>IF(ISNUMBER(MATCH(Tabla5[[#This Row],[Cod trabalhador]],'Altas Rosas'!B:B, 0)), "Ativo", "Não ativo")</f>
        <v>Ativo</v>
      </c>
      <c r="D34" s="142" t="str">
        <f>IFERROR(IF(VLOOKUP(Tabla5[[#This Row],[Cod trabalhador]],'Altas Industrial'!B:E,1,0)&lt;&gt;"","KI",""),"")</f>
        <v/>
      </c>
      <c r="E34" s="142" t="str">
        <f>IFERROR(IF(VLOOKUP(Tabla5[[#This Row],[Cod trabalhador]],'Altas Rosas'!B:F,1,0)&lt;&gt;"","KR",""),"")</f>
        <v>KR</v>
      </c>
      <c r="F34" s="142" t="str">
        <f>IFERROR(IF(VLOOKUP(Tabla5[[#This Row],[Cod trabalhador]],'Altas Wiseowe'!B:E,1,0)&lt;&gt;"","WS",""),"")</f>
        <v/>
      </c>
      <c r="G34" s="142" t="str">
        <f>IFERROR(IF(VLOOKUP(Tabla5[[#This Row],[Cod trabalhador]],'Altas Luminous'!B:E,1,0)&lt;&gt;"","LM",""),"")</f>
        <v/>
      </c>
      <c r="H34" s="143">
        <f>IFERROR(VLOOKUP(Tabla5[[#This Row],[Cod trabalhador]],'Altas Rosas'!B:F,4,FALSE),"")</f>
        <v>45751</v>
      </c>
      <c r="I34" s="143" t="str">
        <f>IF(OR(Tabla5[[#This Row],[Cod trabalhador]]="",ISBLANK(Tabla5[[#This Row],[Cod trabalhador]])),"",IFERROR(IF(VLOOKUP(Tabla5[[#This Row],[Cod trabalhador]],'Altas Rosas'!B:F,5,FALSE)=0,"",VLOOKUP(Tabla5[[#This Row],[Cod trabalhador]],'Altas Rosas'!B:F,5,FALSE)),""))</f>
        <v/>
      </c>
      <c r="J34" s="142">
        <f t="shared" si="0"/>
        <v>31</v>
      </c>
      <c r="K34" s="380" t="s">
        <v>7222</v>
      </c>
      <c r="L34" s="341" t="str">
        <f>IFERROR(IF(Tabla5[[#This Row],[Cod trabalhador]]="",Tabla5[[#This Row],[Cod trabalhador]], INDEX(Colaborador_ID[Nombre], MATCH(Tabla5[[#This Row],[Cod trabalhador]],Colaborador_ID[Cod_colab], 0))), "")</f>
        <v>JUAN CARLOS VILLANUEVA GALVIS</v>
      </c>
      <c r="M34" s="15"/>
      <c r="N34" s="25" t="s">
        <v>7213</v>
      </c>
      <c r="O34" s="26">
        <f>IFERROR(VLOOKUP(Tabla5[[#This Row],[Cod trabalhador]],Tabla15[],4,FALSE),"")</f>
        <v>15</v>
      </c>
      <c r="P34" s="251">
        <f>IFERROR(VLOOKUP(Tabla5[[#This Row],[Cod trabalhador]],'TotalHorasAjustadas (2)'!D:L,8,FALSE),"")</f>
        <v>167</v>
      </c>
      <c r="Q34" s="131">
        <v>167</v>
      </c>
      <c r="R34" s="252" t="s">
        <v>7532</v>
      </c>
      <c r="S34" s="253" t="s">
        <v>7539</v>
      </c>
      <c r="T34" s="15"/>
      <c r="U34" s="25"/>
      <c r="V34" s="26"/>
      <c r="W34" s="27"/>
      <c r="X34" s="28"/>
      <c r="Y34" s="26"/>
      <c r="Z34" s="15"/>
      <c r="AA34" s="38" t="str">
        <f>IFERROR(VLOOKUP(Tabla5[[#This Row],[Cod trabalhador]],Alojamentos!B:P,11,FALSE),"")</f>
        <v/>
      </c>
      <c r="AB34" s="34"/>
      <c r="AC34" s="15"/>
      <c r="AD34" s="41">
        <f>Tabla5[[#This Row],[Dias de alta]]*7.058</f>
        <v>218.798</v>
      </c>
      <c r="AE34" s="40" t="str">
        <f>IFERROR(VLOOKUP(Tabla5[[#This Row],[Cod trabalhador]],Adiantamentos!B:L,7,FALSE),"")</f>
        <v/>
      </c>
      <c r="AF34" s="40">
        <f>IFERROR(VLOOKUP(Tabla5[[#This Row],[Cod trabalhador]],Carro!B:D,3,FALSE),"")</f>
        <v>89.523809523809518</v>
      </c>
      <c r="AG34" s="40" t="str">
        <f>IFERROR(VLOOKUP(Tabla5[[#This Row],[Cod trabalhador]],'Outros descontos'!B:M,7,FALSE),"")</f>
        <v/>
      </c>
      <c r="AH34" s="40" t="str">
        <f>IFERROR(VLOOKUP(Tabla5[[#This Row],[Cod trabalhador]],'Outros descontos'!B:M,8,FALSE),"")</f>
        <v/>
      </c>
      <c r="AI34" s="40" t="str">
        <f>IFERROR(VLOOKUP(Tabla5[[#This Row],[Cod trabalhador]],'Outros descontos'!B:M,9,FALSE),"")</f>
        <v/>
      </c>
      <c r="AJ34" s="40" t="str">
        <f>IFERROR(VLOOKUP(Tabla5[[#This Row],[Cod trabalhador]],'Outros descontos'!B:M,10,FALSE),"")</f>
        <v/>
      </c>
      <c r="AK34" s="40" t="str">
        <f>IFERROR(VLOOKUP(Tabla5[[#This Row],[Cod trabalhador]],'Outros descontos'!B:M,11,FALSE),"")</f>
        <v/>
      </c>
      <c r="AL34" s="40" t="str">
        <f>IFERROR(VLOOKUP(Tabla5[[#This Row],[Cod trabalhador]],'Outros descontos'!B:M,12,FALSE),"")</f>
        <v/>
      </c>
      <c r="AM34" s="40" t="str">
        <f>IFERROR(VLOOKUP(Tabla5[[#This Row],[Cod trabalhador]],'Outros descontos'!B:M,13,FALSE),"")</f>
        <v/>
      </c>
      <c r="AN34" s="41"/>
      <c r="AO34" s="37">
        <v>4.08</v>
      </c>
      <c r="AP34" s="15"/>
      <c r="AQ34"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2192.5981904761907</v>
      </c>
      <c r="AR34"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2192.5981904761907</v>
      </c>
      <c r="AS34" s="15"/>
      <c r="AT34" s="27" t="str">
        <f>IF(Tabla5[[#This Row],[Cod trabalhador]]="", "", INDEX(Iban!C:C, MATCH(Tabla5[[#This Row],[Cod trabalhador]],Iban!A:A, 0)))</f>
        <v>BE65 9051 0809 6096</v>
      </c>
      <c r="AU34" s="66"/>
      <c r="AV34" s="130"/>
      <c r="AW34" s="130" t="s">
        <v>7540</v>
      </c>
      <c r="AX34" s="335" t="s">
        <v>7472</v>
      </c>
    </row>
    <row r="35" spans="1:50" ht="18.75" customHeight="1" x14ac:dyDescent="0.3">
      <c r="A35" s="43"/>
      <c r="B35" s="141" t="s">
        <v>4494</v>
      </c>
      <c r="C35" s="142" t="str">
        <f>IF(ISNUMBER(MATCH(Tabla5[[#This Row],[Cod trabalhador]],'Altas Rosas'!B:B, 0)), "Ativo", "Não ativo")</f>
        <v>Não ativo</v>
      </c>
      <c r="D35" s="142" t="str">
        <f>IFERROR(IF(VLOOKUP(Tabla5[[#This Row],[Cod trabalhador]],'Altas Industrial'!B:E,1,0)&lt;&gt;"","KI",""),"")</f>
        <v/>
      </c>
      <c r="E35" s="142" t="str">
        <f>IFERROR(IF(VLOOKUP(Tabla5[[#This Row],[Cod trabalhador]],'Altas Rosas'!B:F,1,0)&lt;&gt;"","KR",""),"")</f>
        <v/>
      </c>
      <c r="F35" s="142" t="str">
        <f>IFERROR(IF(VLOOKUP(Tabla5[[#This Row],[Cod trabalhador]],'Altas Wiseowe'!B:E,1,0)&lt;&gt;"","WS",""),"")</f>
        <v/>
      </c>
      <c r="G35" s="142" t="str">
        <f>IFERROR(IF(VLOOKUP(Tabla5[[#This Row],[Cod trabalhador]],'Altas Luminous'!B:E,1,0)&lt;&gt;"","LM",""),"")</f>
        <v/>
      </c>
      <c r="H35" s="143" t="str">
        <f>IFERROR(VLOOKUP(Tabla5[[#This Row],[Cod trabalhador]],'Altas Rosas'!B:F,4,FALSE),"")</f>
        <v/>
      </c>
      <c r="I35" s="143" t="str">
        <f>IF(OR(Tabla5[[#This Row],[Cod trabalhador]]="",ISBLANK(Tabla5[[#This Row],[Cod trabalhador]])),"",IFERROR(IF(VLOOKUP(Tabla5[[#This Row],[Cod trabalhador]],'Altas Rosas'!B:F,5,FALSE)=0,"",VLOOKUP(Tabla5[[#This Row],[Cod trabalhador]],'Altas Rosas'!B:F,5,FALSE)),""))</f>
        <v/>
      </c>
      <c r="J35" s="142">
        <f t="shared" si="0"/>
        <v>0</v>
      </c>
      <c r="K35" s="380" t="s">
        <v>4495</v>
      </c>
      <c r="L35" s="341" t="str">
        <f>IFERROR(IF(Tabla5[[#This Row],[Cod trabalhador]]="",Tabla5[[#This Row],[Cod trabalhador]], INDEX(Colaborador_ID[Nombre], MATCH(Tabla5[[#This Row],[Cod trabalhador]],Colaborador_ID[Cod_colab], 0))), "")</f>
        <v>JULIO CESAR MANJARRES</v>
      </c>
      <c r="M35" s="15"/>
      <c r="N35" s="25" t="s">
        <v>7193</v>
      </c>
      <c r="O35" s="26">
        <f>IFERROR(VLOOKUP(Tabla5[[#This Row],[Cod trabalhador]],Tabla15[],4,FALSE),"")</f>
        <v>15</v>
      </c>
      <c r="P35" s="251">
        <f>IFERROR(VLOOKUP(Tabla5[[#This Row],[Cod trabalhador]],'TotalHorasAjustadas (2)'!D:L,8,FALSE),"")</f>
        <v>170</v>
      </c>
      <c r="Q35" s="131">
        <v>170</v>
      </c>
      <c r="R35" s="252" t="s">
        <v>7471</v>
      </c>
      <c r="S35" s="253" t="s">
        <v>7539</v>
      </c>
      <c r="T35" s="15"/>
      <c r="U35" s="25"/>
      <c r="V35" s="26"/>
      <c r="W35" s="27"/>
      <c r="X35" s="28"/>
      <c r="Y35" s="26"/>
      <c r="Z35" s="15"/>
      <c r="AA35" s="38" t="str">
        <f>IFERROR(VLOOKUP(Tabla5[[#This Row],[Cod trabalhador]],Alojamentos!B:P,11,FALSE),"")</f>
        <v/>
      </c>
      <c r="AB35" s="34"/>
      <c r="AC35" s="15"/>
      <c r="AD35" s="41">
        <f>Tabla5[[#This Row],[Dias de alta]]*7.058</f>
        <v>0</v>
      </c>
      <c r="AE35" s="40" t="str">
        <f>IFERROR(VLOOKUP(Tabla5[[#This Row],[Cod trabalhador]],Adiantamentos!B:L,7,FALSE),"")</f>
        <v/>
      </c>
      <c r="AF35" s="40">
        <f>IFERROR(VLOOKUP(Tabla5[[#This Row],[Cod trabalhador]],Carro!B:D,3,FALSE),"")</f>
        <v>140</v>
      </c>
      <c r="AG35" s="40">
        <f>IFERROR(VLOOKUP(Tabla5[[#This Row],[Cod trabalhador]],'Outros descontos'!B:M,7,FALSE),"")</f>
        <v>0</v>
      </c>
      <c r="AH35" s="40">
        <f>IFERROR(VLOOKUP(Tabla5[[#This Row],[Cod trabalhador]],'Outros descontos'!B:M,8,FALSE),"")</f>
        <v>0</v>
      </c>
      <c r="AI35" s="40">
        <f>IFERROR(VLOOKUP(Tabla5[[#This Row],[Cod trabalhador]],'Outros descontos'!B:M,9,FALSE),"")</f>
        <v>0</v>
      </c>
      <c r="AJ35" s="40">
        <f>IFERROR(VLOOKUP(Tabla5[[#This Row],[Cod trabalhador]],'Outros descontos'!B:M,10,FALSE),"")</f>
        <v>0</v>
      </c>
      <c r="AK35" s="40">
        <f>IFERROR(VLOOKUP(Tabla5[[#This Row],[Cod trabalhador]],'Outros descontos'!B:M,11,FALSE),"")</f>
        <v>0</v>
      </c>
      <c r="AL35" s="40">
        <f>IFERROR(VLOOKUP(Tabla5[[#This Row],[Cod trabalhador]],'Outros descontos'!B:M,12,FALSE),"")</f>
        <v>21.74</v>
      </c>
      <c r="AM35" s="40" t="str">
        <f>IFERROR(VLOOKUP(Tabla5[[#This Row],[Cod trabalhador]],'Outros descontos'!B:M,13,FALSE),"")</f>
        <v/>
      </c>
      <c r="AN35" s="41"/>
      <c r="AO35" s="37">
        <v>4.08</v>
      </c>
      <c r="AP35" s="15"/>
      <c r="AQ35"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2384.1800000000003</v>
      </c>
      <c r="AR35"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2384.1800000000003</v>
      </c>
      <c r="AS35" s="15"/>
      <c r="AT35" s="27" t="str">
        <f>IF(Tabla5[[#This Row],[Cod trabalhador]]="", "", INDEX(Iban!C:C, MATCH(Tabla5[[#This Row],[Cod trabalhador]],Iban!A:A, 0)))</f>
        <v>BE14 9056 0085 4783</v>
      </c>
      <c r="AU35" s="66"/>
      <c r="AV35" s="130"/>
      <c r="AW35" s="130" t="s">
        <v>7540</v>
      </c>
      <c r="AX35" s="335" t="s">
        <v>7472</v>
      </c>
    </row>
    <row r="36" spans="1:50" ht="18.75" customHeight="1" x14ac:dyDescent="0.3">
      <c r="A36" s="43"/>
      <c r="B36" s="141" t="s">
        <v>4628</v>
      </c>
      <c r="C36" s="142" t="str">
        <f>IF(ISNUMBER(MATCH(Tabla5[[#This Row],[Cod trabalhador]],'Altas Rosas'!B:B, 0)), "Ativo", "Não ativo")</f>
        <v>Não ativo</v>
      </c>
      <c r="D36" s="142" t="str">
        <f>IFERROR(IF(VLOOKUP(Tabla5[[#This Row],[Cod trabalhador]],'Altas Industrial'!B:E,1,0)&lt;&gt;"","KI",""),"")</f>
        <v/>
      </c>
      <c r="E36" s="142" t="str">
        <f>IFERROR(IF(VLOOKUP(Tabla5[[#This Row],[Cod trabalhador]],'Altas Rosas'!B:F,1,0)&lt;&gt;"","KR",""),"")</f>
        <v/>
      </c>
      <c r="F36" s="142" t="str">
        <f>IFERROR(IF(VLOOKUP(Tabla5[[#This Row],[Cod trabalhador]],'Altas Wiseowe'!B:E,1,0)&lt;&gt;"","WS",""),"")</f>
        <v/>
      </c>
      <c r="G36" s="142" t="str">
        <f>IFERROR(IF(VLOOKUP(Tabla5[[#This Row],[Cod trabalhador]],'Altas Luminous'!B:E,1,0)&lt;&gt;"","LM",""),"")</f>
        <v/>
      </c>
      <c r="H36" s="143" t="str">
        <f>IFERROR(VLOOKUP(Tabla5[[#This Row],[Cod trabalhador]],'Altas Rosas'!B:F,4,FALSE),"")</f>
        <v/>
      </c>
      <c r="I36" s="143" t="str">
        <f>IF(OR(Tabla5[[#This Row],[Cod trabalhador]]="",ISBLANK(Tabla5[[#This Row],[Cod trabalhador]])),"",IFERROR(IF(VLOOKUP(Tabla5[[#This Row],[Cod trabalhador]],'Altas Rosas'!B:F,5,FALSE)=0,"",VLOOKUP(Tabla5[[#This Row],[Cod trabalhador]],'Altas Rosas'!B:F,5,FALSE)),""))</f>
        <v/>
      </c>
      <c r="J36" s="142">
        <f t="shared" ref="J36:J53" si="1">IF(C36="ativo",    IF(ISBLANK(H36),"",MAX(0,MIN(IF(ISBLANK(I36),EOMONTH(DATE(2026,1,1),0),I36),EOMONTH(DATE(2026,1,1),0)) - MAX(H36,DATE(2026,1,1))))+1,
    0
)</f>
        <v>0</v>
      </c>
      <c r="K36" s="380" t="s">
        <v>7208</v>
      </c>
      <c r="L36" s="341" t="str">
        <f>IFERROR(IF(Tabla5[[#This Row],[Cod trabalhador]]="",Tabla5[[#This Row],[Cod trabalhador]], INDEX(Colaborador_ID[Nombre], MATCH(Tabla5[[#This Row],[Cod trabalhador]],Colaborador_ID[Cod_colab], 0))), "")</f>
        <v>LENNIN JESUS CANON CARDENAS</v>
      </c>
      <c r="M36" s="15"/>
      <c r="N36" s="25" t="s">
        <v>7206</v>
      </c>
      <c r="O36" s="26">
        <f>IFERROR(VLOOKUP(Tabla5[[#This Row],[Cod trabalhador]],Tabla15[],4,FALSE),"")</f>
        <v>15</v>
      </c>
      <c r="P36" s="251">
        <f>IFERROR(VLOOKUP(Tabla5[[#This Row],[Cod trabalhador]],'TotalHorasAjustadas (2)'!D:L,8,FALSE),"")</f>
        <v>124.44999999999999</v>
      </c>
      <c r="Q36" s="131">
        <v>124.45</v>
      </c>
      <c r="R36" s="252" t="s">
        <v>7471</v>
      </c>
      <c r="S36" s="253" t="s">
        <v>7539</v>
      </c>
      <c r="T36" s="15"/>
      <c r="U36" s="25"/>
      <c r="V36" s="26"/>
      <c r="W36" s="27"/>
      <c r="X36" s="28"/>
      <c r="Y36" s="26"/>
      <c r="Z36" s="15"/>
      <c r="AA36" s="38" t="str">
        <f>IFERROR(VLOOKUP(Tabla5[[#This Row],[Cod trabalhador]],Alojamentos!B:P,11,FALSE),"")</f>
        <v/>
      </c>
      <c r="AB36" s="34"/>
      <c r="AC36" s="15"/>
      <c r="AD36" s="41">
        <f>Tabla5[[#This Row],[Dias de alta]]*7.058</f>
        <v>0</v>
      </c>
      <c r="AE36" s="40" t="str">
        <f>IFERROR(VLOOKUP(Tabla5[[#This Row],[Cod trabalhador]],Adiantamentos!B:L,7,FALSE),"")</f>
        <v/>
      </c>
      <c r="AF36" s="40" t="str">
        <f>IFERROR(VLOOKUP(Tabla5[[#This Row],[Cod trabalhador]],Carro!B:D,3,FALSE),"")</f>
        <v/>
      </c>
      <c r="AG36" s="40" t="str">
        <f>IFERROR(VLOOKUP(Tabla5[[#This Row],[Cod trabalhador]],'Outros descontos'!B:M,7,FALSE),"")</f>
        <v/>
      </c>
      <c r="AH36" s="40" t="str">
        <f>IFERROR(VLOOKUP(Tabla5[[#This Row],[Cod trabalhador]],'Outros descontos'!B:M,8,FALSE),"")</f>
        <v/>
      </c>
      <c r="AI36" s="40" t="str">
        <f>IFERROR(VLOOKUP(Tabla5[[#This Row],[Cod trabalhador]],'Outros descontos'!B:M,9,FALSE),"")</f>
        <v/>
      </c>
      <c r="AJ36" s="40" t="str">
        <f>IFERROR(VLOOKUP(Tabla5[[#This Row],[Cod trabalhador]],'Outros descontos'!B:M,10,FALSE),"")</f>
        <v/>
      </c>
      <c r="AK36" s="40" t="str">
        <f>IFERROR(VLOOKUP(Tabla5[[#This Row],[Cod trabalhador]],'Outros descontos'!B:M,11,FALSE),"")</f>
        <v/>
      </c>
      <c r="AL36" s="40" t="str">
        <f>IFERROR(VLOOKUP(Tabla5[[#This Row],[Cod trabalhador]],'Outros descontos'!B:M,12,FALSE),"")</f>
        <v/>
      </c>
      <c r="AM36" s="40" t="str">
        <f>IFERROR(VLOOKUP(Tabla5[[#This Row],[Cod trabalhador]],'Outros descontos'!B:M,13,FALSE),"")</f>
        <v/>
      </c>
      <c r="AN36" s="41"/>
      <c r="AO36" s="37">
        <v>4.08</v>
      </c>
      <c r="AP36" s="15"/>
      <c r="AQ36"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1862.6699999999998</v>
      </c>
      <c r="AR36"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1862.67</v>
      </c>
      <c r="AS36" s="15"/>
      <c r="AT36" s="27" t="str">
        <f>IF(Tabla5[[#This Row],[Cod trabalhador]]="", "", INDEX(Iban!C:C, MATCH(Tabla5[[#This Row],[Cod trabalhador]],Iban!A:A, 0)))</f>
        <v xml:space="preserve"> ES86 0182 5003 1302 0162 6382</v>
      </c>
      <c r="AU36" s="66"/>
      <c r="AV36" s="130"/>
      <c r="AW36" s="130" t="s">
        <v>7540</v>
      </c>
      <c r="AX36" s="335" t="s">
        <v>7472</v>
      </c>
    </row>
    <row r="37" spans="1:50" ht="18.75" customHeight="1" x14ac:dyDescent="0.3">
      <c r="A37" s="43"/>
      <c r="B37" s="141" t="s">
        <v>5106</v>
      </c>
      <c r="C37" s="142" t="str">
        <f>IF(ISNUMBER(MATCH(Tabla5[[#This Row],[Cod trabalhador]],'Altas Rosas'!B:B, 0)), "Ativo", "Não ativo")</f>
        <v>Não ativo</v>
      </c>
      <c r="D37" s="142" t="str">
        <f>IFERROR(IF(VLOOKUP(Tabla5[[#This Row],[Cod trabalhador]],'Altas Industrial'!B:E,1,0)&lt;&gt;"","KI",""),"")</f>
        <v/>
      </c>
      <c r="E37" s="142" t="str">
        <f>IFERROR(IF(VLOOKUP(Tabla5[[#This Row],[Cod trabalhador]],'Altas Rosas'!B:F,1,0)&lt;&gt;"","KR",""),"")</f>
        <v/>
      </c>
      <c r="F37" s="142" t="str">
        <f>IFERROR(IF(VLOOKUP(Tabla5[[#This Row],[Cod trabalhador]],'Altas Wiseowe'!B:E,1,0)&lt;&gt;"","WS",""),"")</f>
        <v/>
      </c>
      <c r="G37" s="142" t="str">
        <f>IFERROR(IF(VLOOKUP(Tabla5[[#This Row],[Cod trabalhador]],'Altas Luminous'!B:E,1,0)&lt;&gt;"","LM",""),"")</f>
        <v/>
      </c>
      <c r="H37" s="143" t="str">
        <f>IFERROR(VLOOKUP(Tabla5[[#This Row],[Cod trabalhador]],'Altas Rosas'!B:F,4,FALSE),"")</f>
        <v/>
      </c>
      <c r="I37" s="143" t="str">
        <f>IF(OR(Tabla5[[#This Row],[Cod trabalhador]]="",ISBLANK(Tabla5[[#This Row],[Cod trabalhador]])),"",IFERROR(IF(VLOOKUP(Tabla5[[#This Row],[Cod trabalhador]],'Altas Rosas'!B:F,5,FALSE)=0,"",VLOOKUP(Tabla5[[#This Row],[Cod trabalhador]],'Altas Rosas'!B:F,5,FALSE)),""))</f>
        <v/>
      </c>
      <c r="J37" s="142">
        <f t="shared" si="1"/>
        <v>0</v>
      </c>
      <c r="K37" s="380" t="s">
        <v>7233</v>
      </c>
      <c r="L37" s="341" t="str">
        <f>IFERROR(IF(Tabla5[[#This Row],[Cod trabalhador]]="",Tabla5[[#This Row],[Cod trabalhador]], INDEX(Colaborador_ID[Nombre], MATCH(Tabla5[[#This Row],[Cod trabalhador]],Colaborador_ID[Cod_colab], 0))), "")</f>
        <v>MARIO ANDRES SUAREZ ACOSTA</v>
      </c>
      <c r="M37" s="15"/>
      <c r="N37" s="25" t="s">
        <v>7229</v>
      </c>
      <c r="O37" s="26">
        <f>IFERROR(VLOOKUP(Tabla5[[#This Row],[Cod trabalhador]],Tabla15[],4,FALSE),"")</f>
        <v>14</v>
      </c>
      <c r="P37" s="251">
        <f>IFERROR(VLOOKUP(Tabla5[[#This Row],[Cod trabalhador]],'TotalHorasAjustadas (2)'!D:L,8,FALSE),"")</f>
        <v>135</v>
      </c>
      <c r="Q37" s="131">
        <v>135</v>
      </c>
      <c r="R37" s="252" t="s">
        <v>7532</v>
      </c>
      <c r="S37" s="253" t="s">
        <v>7539</v>
      </c>
      <c r="T37" s="15"/>
      <c r="U37" s="25"/>
      <c r="V37" s="26"/>
      <c r="W37" s="27"/>
      <c r="X37" s="28"/>
      <c r="Y37" s="26"/>
      <c r="Z37" s="15"/>
      <c r="AA37" s="38" t="str">
        <f>IFERROR(VLOOKUP(Tabla5[[#This Row],[Cod trabalhador]],Alojamentos!B:P,11,FALSE),"")</f>
        <v/>
      </c>
      <c r="AB37" s="34"/>
      <c r="AC37" s="15"/>
      <c r="AD37" s="41">
        <f>Tabla5[[#This Row],[Dias de alta]]*7.058</f>
        <v>0</v>
      </c>
      <c r="AE37" s="40" t="str">
        <f>IFERROR(VLOOKUP(Tabla5[[#This Row],[Cod trabalhador]],Adiantamentos!B:L,7,FALSE),"")</f>
        <v/>
      </c>
      <c r="AF37" s="40" t="str">
        <f>IFERROR(VLOOKUP(Tabla5[[#This Row],[Cod trabalhador]],Carro!B:D,3,FALSE),"")</f>
        <v/>
      </c>
      <c r="AG37" s="40" t="str">
        <f>IFERROR(VLOOKUP(Tabla5[[#This Row],[Cod trabalhador]],'Outros descontos'!B:M,7,FALSE),"")</f>
        <v/>
      </c>
      <c r="AH37" s="40" t="str">
        <f>IFERROR(VLOOKUP(Tabla5[[#This Row],[Cod trabalhador]],'Outros descontos'!B:M,8,FALSE),"")</f>
        <v/>
      </c>
      <c r="AI37" s="40" t="str">
        <f>IFERROR(VLOOKUP(Tabla5[[#This Row],[Cod trabalhador]],'Outros descontos'!B:M,9,FALSE),"")</f>
        <v/>
      </c>
      <c r="AJ37" s="40" t="str">
        <f>IFERROR(VLOOKUP(Tabla5[[#This Row],[Cod trabalhador]],'Outros descontos'!B:M,10,FALSE),"")</f>
        <v/>
      </c>
      <c r="AK37" s="40" t="str">
        <f>IFERROR(VLOOKUP(Tabla5[[#This Row],[Cod trabalhador]],'Outros descontos'!B:M,11,FALSE),"")</f>
        <v/>
      </c>
      <c r="AL37" s="40" t="str">
        <f>IFERROR(VLOOKUP(Tabla5[[#This Row],[Cod trabalhador]],'Outros descontos'!B:M,12,FALSE),"")</f>
        <v/>
      </c>
      <c r="AM37" s="40" t="str">
        <f>IFERROR(VLOOKUP(Tabla5[[#This Row],[Cod trabalhador]],'Outros descontos'!B:M,13,FALSE),"")</f>
        <v/>
      </c>
      <c r="AN37" s="41"/>
      <c r="AO37" s="37">
        <v>4.08</v>
      </c>
      <c r="AP37" s="15"/>
      <c r="AQ37"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1885.92</v>
      </c>
      <c r="AR37"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1885.92</v>
      </c>
      <c r="AS37" s="15"/>
      <c r="AT37" s="27" t="str">
        <f>IF(Tabla5[[#This Row],[Cod trabalhador]]="", "", INDEX(Iban!C:C, MATCH(Tabla5[[#This Row],[Cod trabalhador]],Iban!A:A, 0)))</f>
        <v>BE79 9056 8891 6033</v>
      </c>
      <c r="AU37" s="66"/>
      <c r="AV37" s="130"/>
      <c r="AW37" s="130" t="s">
        <v>7540</v>
      </c>
      <c r="AX37" s="335" t="s">
        <v>7472</v>
      </c>
    </row>
    <row r="38" spans="1:50" ht="18.75" customHeight="1" x14ac:dyDescent="0.3">
      <c r="A38" s="43"/>
      <c r="B38" s="141" t="s">
        <v>5326</v>
      </c>
      <c r="C38" s="142" t="str">
        <f>IF(ISNUMBER(MATCH(Tabla5[[#This Row],[Cod trabalhador]],'Altas Rosas'!B:B, 0)), "Ativo", "Não ativo")</f>
        <v>Ativo</v>
      </c>
      <c r="D38" s="142" t="str">
        <f>IFERROR(IF(VLOOKUP(Tabla5[[#This Row],[Cod trabalhador]],'Altas Industrial'!B:E,1,0)&lt;&gt;"","KI",""),"")</f>
        <v/>
      </c>
      <c r="E38" s="142" t="str">
        <f>IFERROR(IF(VLOOKUP(Tabla5[[#This Row],[Cod trabalhador]],'Altas Rosas'!B:F,1,0)&lt;&gt;"","KR",""),"")</f>
        <v>KR</v>
      </c>
      <c r="F38" s="142" t="str">
        <f>IFERROR(IF(VLOOKUP(Tabla5[[#This Row],[Cod trabalhador]],'Altas Wiseowe'!B:E,1,0)&lt;&gt;"","WS",""),"")</f>
        <v/>
      </c>
      <c r="G38" s="142" t="str">
        <f>IFERROR(IF(VLOOKUP(Tabla5[[#This Row],[Cod trabalhador]],'Altas Luminous'!B:E,1,0)&lt;&gt;"","LM",""),"")</f>
        <v/>
      </c>
      <c r="H38" s="143">
        <f>IFERROR(VLOOKUP(Tabla5[[#This Row],[Cod trabalhador]],'Altas Rosas'!B:F,4,FALSE),"")</f>
        <v>45779</v>
      </c>
      <c r="I38" s="143">
        <f>IF(OR(Tabla5[[#This Row],[Cod trabalhador]]="",ISBLANK(Tabla5[[#This Row],[Cod trabalhador]])),"",IFERROR(IF(VLOOKUP(Tabla5[[#This Row],[Cod trabalhador]],'Altas Rosas'!B:F,5,FALSE)=0,"",VLOOKUP(Tabla5[[#This Row],[Cod trabalhador]],'Altas Rosas'!B:F,5,FALSE)),""))</f>
        <v>46052</v>
      </c>
      <c r="J38" s="142">
        <f t="shared" si="1"/>
        <v>30</v>
      </c>
      <c r="K38" s="380" t="s">
        <v>7192</v>
      </c>
      <c r="L38" s="341" t="str">
        <f>IFERROR(IF(Tabla5[[#This Row],[Cod trabalhador]]="",Tabla5[[#This Row],[Cod trabalhador]], INDEX(Colaborador_ID[Nombre], MATCH(Tabla5[[#This Row],[Cod trabalhador]],Colaborador_ID[Cod_colab], 0))), "")</f>
        <v>MILTON DAVID SOSA PALLAS</v>
      </c>
      <c r="M38" s="15"/>
      <c r="N38" s="25" t="s">
        <v>7185</v>
      </c>
      <c r="O38" s="26">
        <f>IFERROR(VLOOKUP(Tabla5[[#This Row],[Cod trabalhador]],Tabla15[],4,FALSE),"")</f>
        <v>15</v>
      </c>
      <c r="P38" s="251">
        <f>IFERROR(VLOOKUP(Tabla5[[#This Row],[Cod trabalhador]],'TotalHorasAjustadas (2)'!D:L,8,FALSE),"")</f>
        <v>143</v>
      </c>
      <c r="Q38" s="131">
        <v>143</v>
      </c>
      <c r="R38" s="252" t="s">
        <v>7471</v>
      </c>
      <c r="S38" s="253" t="s">
        <v>7539</v>
      </c>
      <c r="T38" s="15"/>
      <c r="U38" s="25"/>
      <c r="V38" s="26"/>
      <c r="W38" s="27"/>
      <c r="X38" s="28"/>
      <c r="Y38" s="26"/>
      <c r="Z38" s="15"/>
      <c r="AA38" s="38">
        <f>IFERROR(VLOOKUP(Tabla5[[#This Row],[Cod trabalhador]],Alojamentos!B:P,11,FALSE),"")</f>
        <v>300</v>
      </c>
      <c r="AB38" s="34"/>
      <c r="AC38" s="15"/>
      <c r="AD38" s="41">
        <f>Tabla5[[#This Row],[Dias de alta]]*7.058</f>
        <v>211.74</v>
      </c>
      <c r="AE38" s="40" t="str">
        <f>IFERROR(VLOOKUP(Tabla5[[#This Row],[Cod trabalhador]],Adiantamentos!B:L,7,FALSE),"")</f>
        <v/>
      </c>
      <c r="AF38" s="40" t="str">
        <f>IFERROR(VLOOKUP(Tabla5[[#This Row],[Cod trabalhador]],Carro!B:D,3,FALSE),"")</f>
        <v/>
      </c>
      <c r="AG38" s="40" t="str">
        <f>IFERROR(VLOOKUP(Tabla5[[#This Row],[Cod trabalhador]],'Outros descontos'!B:M,7,FALSE),"")</f>
        <v/>
      </c>
      <c r="AH38" s="40" t="str">
        <f>IFERROR(VLOOKUP(Tabla5[[#This Row],[Cod trabalhador]],'Outros descontos'!B:M,8,FALSE),"")</f>
        <v/>
      </c>
      <c r="AI38" s="40" t="str">
        <f>IFERROR(VLOOKUP(Tabla5[[#This Row],[Cod trabalhador]],'Outros descontos'!B:M,9,FALSE),"")</f>
        <v/>
      </c>
      <c r="AJ38" s="40" t="str">
        <f>IFERROR(VLOOKUP(Tabla5[[#This Row],[Cod trabalhador]],'Outros descontos'!B:M,10,FALSE),"")</f>
        <v/>
      </c>
      <c r="AK38" s="40" t="str">
        <f>IFERROR(VLOOKUP(Tabla5[[#This Row],[Cod trabalhador]],'Outros descontos'!B:M,11,FALSE),"")</f>
        <v/>
      </c>
      <c r="AL38" s="40" t="str">
        <f>IFERROR(VLOOKUP(Tabla5[[#This Row],[Cod trabalhador]],'Outros descontos'!B:M,12,FALSE),"")</f>
        <v/>
      </c>
      <c r="AM38" s="40" t="str">
        <f>IFERROR(VLOOKUP(Tabla5[[#This Row],[Cod trabalhador]],'Outros descontos'!B:M,13,FALSE),"")</f>
        <v/>
      </c>
      <c r="AN38" s="41"/>
      <c r="AO38" s="37">
        <v>4.08</v>
      </c>
      <c r="AP38" s="15"/>
      <c r="AQ38"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2229.1800000000003</v>
      </c>
      <c r="AR38"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2229.1800000000003</v>
      </c>
      <c r="AS38" s="15"/>
      <c r="AT38" s="27" t="str">
        <f>IF(Tabla5[[#This Row],[Cod trabalhador]]="", "", INDEX(Iban!C:C, MATCH(Tabla5[[#This Row],[Cod trabalhador]],Iban!A:A, 0)))</f>
        <v>ES93 0182 0606 8402 0178 1711</v>
      </c>
      <c r="AU38" s="66"/>
      <c r="AV38" s="130"/>
      <c r="AW38" s="130" t="s">
        <v>7540</v>
      </c>
      <c r="AX38" s="335" t="s">
        <v>7472</v>
      </c>
    </row>
    <row r="39" spans="1:50" ht="18.75" customHeight="1" x14ac:dyDescent="0.3">
      <c r="A39" s="43"/>
      <c r="B39" s="141" t="s">
        <v>5405</v>
      </c>
      <c r="C39" s="142" t="str">
        <f>IF(ISNUMBER(MATCH(Tabla5[[#This Row],[Cod trabalhador]],'Altas Rosas'!B:B, 0)), "Ativo", "Não ativo")</f>
        <v>Não ativo</v>
      </c>
      <c r="D39" s="142" t="str">
        <f>IFERROR(IF(VLOOKUP(Tabla5[[#This Row],[Cod trabalhador]],'Altas Industrial'!B:E,1,0)&lt;&gt;"","KI",""),"")</f>
        <v/>
      </c>
      <c r="E39" s="142" t="str">
        <f>IFERROR(IF(VLOOKUP(Tabla5[[#This Row],[Cod trabalhador]],'Altas Rosas'!B:F,1,0)&lt;&gt;"","KR",""),"")</f>
        <v/>
      </c>
      <c r="F39" s="142" t="str">
        <f>IFERROR(IF(VLOOKUP(Tabla5[[#This Row],[Cod trabalhador]],'Altas Wiseowe'!B:E,1,0)&lt;&gt;"","WS",""),"")</f>
        <v/>
      </c>
      <c r="G39" s="142" t="str">
        <f>IFERROR(IF(VLOOKUP(Tabla5[[#This Row],[Cod trabalhador]],'Altas Luminous'!B:E,1,0)&lt;&gt;"","LM",""),"")</f>
        <v/>
      </c>
      <c r="H39" s="143" t="str">
        <f>IFERROR(VLOOKUP(Tabla5[[#This Row],[Cod trabalhador]],'Altas Rosas'!B:F,4,FALSE),"")</f>
        <v/>
      </c>
      <c r="I39" s="143" t="str">
        <f>IF(OR(Tabla5[[#This Row],[Cod trabalhador]]="",ISBLANK(Tabla5[[#This Row],[Cod trabalhador]])),"",IFERROR(IF(VLOOKUP(Tabla5[[#This Row],[Cod trabalhador]],'Altas Rosas'!B:F,5,FALSE)=0,"",VLOOKUP(Tabla5[[#This Row],[Cod trabalhador]],'Altas Rosas'!B:F,5,FALSE)),""))</f>
        <v/>
      </c>
      <c r="J39" s="142">
        <f t="shared" si="1"/>
        <v>0</v>
      </c>
      <c r="K39" s="380" t="s">
        <v>7234</v>
      </c>
      <c r="L39" s="341" t="str">
        <f>IFERROR(IF(Tabla5[[#This Row],[Cod trabalhador]]="",Tabla5[[#This Row],[Cod trabalhador]], INDEX(Colaborador_ID[Nombre], MATCH(Tabla5[[#This Row],[Cod trabalhador]],Colaborador_ID[Cod_colab], 0))), "")</f>
        <v>NEIRON ENRIQUE CARCAMO REALES</v>
      </c>
      <c r="M39" s="15"/>
      <c r="N39" s="25" t="s">
        <v>7229</v>
      </c>
      <c r="O39" s="26">
        <f>IFERROR(VLOOKUP(Tabla5[[#This Row],[Cod trabalhador]],Tabla15[],4,FALSE),"")</f>
        <v>14</v>
      </c>
      <c r="P39" s="251">
        <f>IFERROR(VLOOKUP(Tabla5[[#This Row],[Cod trabalhador]],'TotalHorasAjustadas (2)'!D:L,8,FALSE),"")</f>
        <v>144</v>
      </c>
      <c r="Q39" s="131">
        <v>144</v>
      </c>
      <c r="R39" s="252" t="s">
        <v>7532</v>
      </c>
      <c r="S39" s="253" t="s">
        <v>7539</v>
      </c>
      <c r="T39" s="15"/>
      <c r="U39" s="25"/>
      <c r="V39" s="26"/>
      <c r="W39" s="27"/>
      <c r="X39" s="28"/>
      <c r="Y39" s="26"/>
      <c r="Z39" s="15"/>
      <c r="AA39" s="38" t="str">
        <f>IFERROR(VLOOKUP(Tabla5[[#This Row],[Cod trabalhador]],Alojamentos!B:P,11,FALSE),"")</f>
        <v/>
      </c>
      <c r="AB39" s="34"/>
      <c r="AC39" s="15"/>
      <c r="AD39" s="41">
        <f>Tabla5[[#This Row],[Dias de alta]]*7.058</f>
        <v>0</v>
      </c>
      <c r="AE39" s="40" t="str">
        <f>IFERROR(VLOOKUP(Tabla5[[#This Row],[Cod trabalhador]],Adiantamentos!B:L,7,FALSE),"")</f>
        <v/>
      </c>
      <c r="AF39" s="40" t="str">
        <f>IFERROR(VLOOKUP(Tabla5[[#This Row],[Cod trabalhador]],Carro!B:D,3,FALSE),"")</f>
        <v/>
      </c>
      <c r="AG39" s="40" t="str">
        <f>IFERROR(VLOOKUP(Tabla5[[#This Row],[Cod trabalhador]],'Outros descontos'!B:M,7,FALSE),"")</f>
        <v/>
      </c>
      <c r="AH39" s="40" t="str">
        <f>IFERROR(VLOOKUP(Tabla5[[#This Row],[Cod trabalhador]],'Outros descontos'!B:M,8,FALSE),"")</f>
        <v/>
      </c>
      <c r="AI39" s="40" t="str">
        <f>IFERROR(VLOOKUP(Tabla5[[#This Row],[Cod trabalhador]],'Outros descontos'!B:M,9,FALSE),"")</f>
        <v/>
      </c>
      <c r="AJ39" s="40" t="str">
        <f>IFERROR(VLOOKUP(Tabla5[[#This Row],[Cod trabalhador]],'Outros descontos'!B:M,10,FALSE),"")</f>
        <v/>
      </c>
      <c r="AK39" s="40" t="str">
        <f>IFERROR(VLOOKUP(Tabla5[[#This Row],[Cod trabalhador]],'Outros descontos'!B:M,11,FALSE),"")</f>
        <v/>
      </c>
      <c r="AL39" s="40" t="str">
        <f>IFERROR(VLOOKUP(Tabla5[[#This Row],[Cod trabalhador]],'Outros descontos'!B:M,12,FALSE),"")</f>
        <v/>
      </c>
      <c r="AM39" s="40" t="str">
        <f>IFERROR(VLOOKUP(Tabla5[[#This Row],[Cod trabalhador]],'Outros descontos'!B:M,13,FALSE),"")</f>
        <v/>
      </c>
      <c r="AN39" s="41"/>
      <c r="AO39" s="37">
        <v>4.08</v>
      </c>
      <c r="AP39" s="15"/>
      <c r="AQ39"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2011.92</v>
      </c>
      <c r="AR39"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2011.92</v>
      </c>
      <c r="AS39" s="15"/>
      <c r="AT39" s="27" t="str">
        <f>IF(Tabla5[[#This Row],[Cod trabalhador]]="", "", INDEX(Iban!C:C, MATCH(Tabla5[[#This Row],[Cod trabalhador]],Iban!A:A, 0)))</f>
        <v xml:space="preserve">ES10 6893 0001 7400 0029 2904 </v>
      </c>
      <c r="AU39" s="66"/>
      <c r="AV39" s="130"/>
      <c r="AW39" s="130" t="s">
        <v>7540</v>
      </c>
      <c r="AX39" s="335" t="s">
        <v>7472</v>
      </c>
    </row>
    <row r="40" spans="1:50" ht="18.75" customHeight="1" x14ac:dyDescent="0.3">
      <c r="A40" s="43"/>
      <c r="B40" s="141" t="s">
        <v>5483</v>
      </c>
      <c r="C40" s="142" t="str">
        <f>IF(ISNUMBER(MATCH(Tabla5[[#This Row],[Cod trabalhador]],'Altas Rosas'!B:B, 0)), "Ativo", "Não ativo")</f>
        <v>Ativo</v>
      </c>
      <c r="D40" s="142" t="str">
        <f>IFERROR(IF(VLOOKUP(Tabla5[[#This Row],[Cod trabalhador]],'Altas Industrial'!B:E,1,0)&lt;&gt;"","KI",""),"")</f>
        <v/>
      </c>
      <c r="E40" s="142" t="str">
        <f>IFERROR(IF(VLOOKUP(Tabla5[[#This Row],[Cod trabalhador]],'Altas Rosas'!B:F,1,0)&lt;&gt;"","KR",""),"")</f>
        <v>KR</v>
      </c>
      <c r="F40" s="142" t="str">
        <f>IFERROR(IF(VLOOKUP(Tabla5[[#This Row],[Cod trabalhador]],'Altas Wiseowe'!B:E,1,0)&lt;&gt;"","WS",""),"")</f>
        <v/>
      </c>
      <c r="G40" s="142" t="str">
        <f>IFERROR(IF(VLOOKUP(Tabla5[[#This Row],[Cod trabalhador]],'Altas Luminous'!B:E,1,0)&lt;&gt;"","LM",""),"")</f>
        <v/>
      </c>
      <c r="H40" s="143">
        <f>IFERROR(VLOOKUP(Tabla5[[#This Row],[Cod trabalhador]],'Altas Rosas'!B:F,4,FALSE),"")</f>
        <v>45862</v>
      </c>
      <c r="I40" s="143" t="str">
        <f>IF(OR(Tabla5[[#This Row],[Cod trabalhador]]="",ISBLANK(Tabla5[[#This Row],[Cod trabalhador]])),"",IFERROR(IF(VLOOKUP(Tabla5[[#This Row],[Cod trabalhador]],'Altas Rosas'!B:F,5,FALSE)=0,"",VLOOKUP(Tabla5[[#This Row],[Cod trabalhador]],'Altas Rosas'!B:F,5,FALSE)),""))</f>
        <v/>
      </c>
      <c r="J40" s="142">
        <f t="shared" si="1"/>
        <v>31</v>
      </c>
      <c r="K40" s="380" t="s">
        <v>7239</v>
      </c>
      <c r="L40" s="341" t="str">
        <f>IFERROR(IF(Tabla5[[#This Row],[Cod trabalhador]]="",Tabla5[[#This Row],[Cod trabalhador]], INDEX(Colaborador_ID[Nombre], MATCH(Tabla5[[#This Row],[Cod trabalhador]],Colaborador_ID[Cod_colab], 0))), "")</f>
        <v>NICOLAS RAUL MACIAS MEJIA</v>
      </c>
      <c r="M40" s="15"/>
      <c r="N40" s="25" t="s">
        <v>7237</v>
      </c>
      <c r="O40" s="26">
        <f>IFERROR(VLOOKUP(Tabla5[[#This Row],[Cod trabalhador]],Tabla15[],4,FALSE),"")</f>
        <v>15</v>
      </c>
      <c r="P40" s="251">
        <f>IFERROR(VLOOKUP(Tabla5[[#This Row],[Cod trabalhador]],'TotalHorasAjustadas (2)'!D:L,8,FALSE),"")</f>
        <v>80</v>
      </c>
      <c r="Q40" s="131">
        <v>80</v>
      </c>
      <c r="R40" s="252" t="s">
        <v>7532</v>
      </c>
      <c r="S40" s="253" t="s">
        <v>7539</v>
      </c>
      <c r="T40" s="15"/>
      <c r="U40" s="25"/>
      <c r="V40" s="26"/>
      <c r="W40" s="27"/>
      <c r="X40" s="28"/>
      <c r="Y40" s="26"/>
      <c r="Z40" s="15"/>
      <c r="AA40" s="38" t="str">
        <f>IFERROR(VLOOKUP(Tabla5[[#This Row],[Cod trabalhador]],Alojamentos!B:P,11,FALSE),"")</f>
        <v/>
      </c>
      <c r="AB40" s="34"/>
      <c r="AC40" s="15"/>
      <c r="AD40" s="41">
        <f>Tabla5[[#This Row],[Dias de alta]]*7.058</f>
        <v>218.798</v>
      </c>
      <c r="AE40" s="40" t="str">
        <f>IFERROR(VLOOKUP(Tabla5[[#This Row],[Cod trabalhador]],Adiantamentos!B:L,7,FALSE),"")</f>
        <v/>
      </c>
      <c r="AF40" s="40">
        <f>IFERROR(VLOOKUP(Tabla5[[#This Row],[Cod trabalhador]],Carro!B:D,3,FALSE),"")</f>
        <v>50</v>
      </c>
      <c r="AG40" s="40" t="str">
        <f>IFERROR(VLOOKUP(Tabla5[[#This Row],[Cod trabalhador]],'Outros descontos'!B:M,7,FALSE),"")</f>
        <v/>
      </c>
      <c r="AH40" s="40" t="str">
        <f>IFERROR(VLOOKUP(Tabla5[[#This Row],[Cod trabalhador]],'Outros descontos'!B:M,8,FALSE),"")</f>
        <v/>
      </c>
      <c r="AI40" s="40" t="str">
        <f>IFERROR(VLOOKUP(Tabla5[[#This Row],[Cod trabalhador]],'Outros descontos'!B:M,9,FALSE),"")</f>
        <v/>
      </c>
      <c r="AJ40" s="40" t="str">
        <f>IFERROR(VLOOKUP(Tabla5[[#This Row],[Cod trabalhador]],'Outros descontos'!B:M,10,FALSE),"")</f>
        <v/>
      </c>
      <c r="AK40" s="40" t="str">
        <f>IFERROR(VLOOKUP(Tabla5[[#This Row],[Cod trabalhador]],'Outros descontos'!B:M,11,FALSE),"")</f>
        <v/>
      </c>
      <c r="AL40" s="40" t="str">
        <f>IFERROR(VLOOKUP(Tabla5[[#This Row],[Cod trabalhador]],'Outros descontos'!B:M,12,FALSE),"")</f>
        <v/>
      </c>
      <c r="AM40" s="40" t="str">
        <f>IFERROR(VLOOKUP(Tabla5[[#This Row],[Cod trabalhador]],'Outros descontos'!B:M,13,FALSE),"")</f>
        <v/>
      </c>
      <c r="AN40" s="41"/>
      <c r="AO40" s="37">
        <v>4.08</v>
      </c>
      <c r="AP40" s="15"/>
      <c r="AQ40"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927.12199999999996</v>
      </c>
      <c r="AR40"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927.12199999999996</v>
      </c>
      <c r="AS40" s="15"/>
      <c r="AT40" s="27" t="str">
        <f>IF(Tabla5[[#This Row],[Cod trabalhador]]="", "", INDEX(Iban!C:C, MATCH(Tabla5[[#This Row],[Cod trabalhador]],Iban!A:A, 0)))</f>
        <v>BE38 9051 1220 6472</v>
      </c>
      <c r="AU40" s="66"/>
      <c r="AV40" s="130"/>
      <c r="AW40" s="130" t="s">
        <v>7540</v>
      </c>
      <c r="AX40" s="335" t="s">
        <v>7472</v>
      </c>
    </row>
    <row r="41" spans="1:50" ht="18.75" customHeight="1" x14ac:dyDescent="0.3">
      <c r="A41" s="43"/>
      <c r="B41" s="141" t="s">
        <v>5524</v>
      </c>
      <c r="C41" s="142" t="str">
        <f>IF(ISNUMBER(MATCH(Tabla5[[#This Row],[Cod trabalhador]],'Altas Rosas'!B:B, 0)), "Ativo", "Não ativo")</f>
        <v>Ativo</v>
      </c>
      <c r="D41" s="142" t="str">
        <f>IFERROR(IF(VLOOKUP(Tabla5[[#This Row],[Cod trabalhador]],'Altas Industrial'!B:E,1,0)&lt;&gt;"","KI",""),"")</f>
        <v/>
      </c>
      <c r="E41" s="142" t="str">
        <f>IFERROR(IF(VLOOKUP(Tabla5[[#This Row],[Cod trabalhador]],'Altas Rosas'!B:F,1,0)&lt;&gt;"","KR",""),"")</f>
        <v>KR</v>
      </c>
      <c r="F41" s="142" t="str">
        <f>IFERROR(IF(VLOOKUP(Tabla5[[#This Row],[Cod trabalhador]],'Altas Wiseowe'!B:E,1,0)&lt;&gt;"","WS",""),"")</f>
        <v/>
      </c>
      <c r="G41" s="142" t="str">
        <f>IFERROR(IF(VLOOKUP(Tabla5[[#This Row],[Cod trabalhador]],'Altas Luminous'!B:E,1,0)&lt;&gt;"","LM",""),"")</f>
        <v/>
      </c>
      <c r="H41" s="143">
        <f>IFERROR(VLOOKUP(Tabla5[[#This Row],[Cod trabalhador]],'Altas Rosas'!B:F,4,FALSE),"")</f>
        <v>45470</v>
      </c>
      <c r="I41" s="143">
        <f>IF(OR(Tabla5[[#This Row],[Cod trabalhador]]="",ISBLANK(Tabla5[[#This Row],[Cod trabalhador]])),"",IFERROR(IF(VLOOKUP(Tabla5[[#This Row],[Cod trabalhador]],'Altas Rosas'!B:F,5,FALSE)=0,"",VLOOKUP(Tabla5[[#This Row],[Cod trabalhador]],'Altas Rosas'!B:F,5,FALSE)),""))</f>
        <v>46052</v>
      </c>
      <c r="J41" s="142">
        <f t="shared" si="1"/>
        <v>30</v>
      </c>
      <c r="K41" s="380" t="s">
        <v>7195</v>
      </c>
      <c r="L41" s="341" t="str">
        <f>IFERROR(IF(Tabla5[[#This Row],[Cod trabalhador]]="",Tabla5[[#This Row],[Cod trabalhador]], INDEX(Colaborador_ID[Nombre], MATCH(Tabla5[[#This Row],[Cod trabalhador]],Colaborador_ID[Cod_colab], 0))), "")</f>
        <v>NORBEY BALLESTEROS CRUZ</v>
      </c>
      <c r="M41" s="15"/>
      <c r="N41" s="25" t="s">
        <v>7193</v>
      </c>
      <c r="O41" s="26">
        <f>IFERROR(VLOOKUP(Tabla5[[#This Row],[Cod trabalhador]],Tabla15[],4,FALSE),"")</f>
        <v>17</v>
      </c>
      <c r="P41" s="251">
        <f>IFERROR(VLOOKUP(Tabla5[[#This Row],[Cod trabalhador]],'TotalHorasAjustadas (2)'!D:L,8,FALSE),"")</f>
        <v>161</v>
      </c>
      <c r="Q41" s="131">
        <v>161</v>
      </c>
      <c r="R41" s="252" t="s">
        <v>7471</v>
      </c>
      <c r="S41" s="253" t="s">
        <v>7539</v>
      </c>
      <c r="T41" s="15"/>
      <c r="U41" s="25"/>
      <c r="V41" s="26"/>
      <c r="W41" s="27"/>
      <c r="X41" s="28"/>
      <c r="Y41" s="26"/>
      <c r="Z41" s="15"/>
      <c r="AA41" s="38">
        <f>IFERROR(VLOOKUP(Tabla5[[#This Row],[Cod trabalhador]],Alojamentos!B:P,11,FALSE),"")</f>
        <v>300</v>
      </c>
      <c r="AB41" s="34"/>
      <c r="AC41" s="15"/>
      <c r="AD41" s="41">
        <f>Tabla5[[#This Row],[Dias de alta]]*7.058</f>
        <v>211.74</v>
      </c>
      <c r="AE41" s="40" t="str">
        <f>IFERROR(VLOOKUP(Tabla5[[#This Row],[Cod trabalhador]],Adiantamentos!B:L,7,FALSE),"")</f>
        <v/>
      </c>
      <c r="AF41" s="40">
        <f>IFERROR(VLOOKUP(Tabla5[[#This Row],[Cod trabalhador]],Carro!B:D,3,FALSE),"")</f>
        <v>140</v>
      </c>
      <c r="AG41" s="40" t="str">
        <f>IFERROR(VLOOKUP(Tabla5[[#This Row],[Cod trabalhador]],'Outros descontos'!B:M,7,FALSE),"")</f>
        <v/>
      </c>
      <c r="AH41" s="40" t="str">
        <f>IFERROR(VLOOKUP(Tabla5[[#This Row],[Cod trabalhador]],'Outros descontos'!B:M,8,FALSE),"")</f>
        <v/>
      </c>
      <c r="AI41" s="40" t="str">
        <f>IFERROR(VLOOKUP(Tabla5[[#This Row],[Cod trabalhador]],'Outros descontos'!B:M,9,FALSE),"")</f>
        <v/>
      </c>
      <c r="AJ41" s="40" t="str">
        <f>IFERROR(VLOOKUP(Tabla5[[#This Row],[Cod trabalhador]],'Outros descontos'!B:M,10,FALSE),"")</f>
        <v/>
      </c>
      <c r="AK41" s="40" t="str">
        <f>IFERROR(VLOOKUP(Tabla5[[#This Row],[Cod trabalhador]],'Outros descontos'!B:M,11,FALSE),"")</f>
        <v/>
      </c>
      <c r="AL41" s="40" t="str">
        <f>IFERROR(VLOOKUP(Tabla5[[#This Row],[Cod trabalhador]],'Outros descontos'!B:M,12,FALSE),"")</f>
        <v/>
      </c>
      <c r="AM41" s="40" t="str">
        <f>IFERROR(VLOOKUP(Tabla5[[#This Row],[Cod trabalhador]],'Outros descontos'!B:M,13,FALSE),"")</f>
        <v/>
      </c>
      <c r="AN41" s="41"/>
      <c r="AO41" s="37">
        <v>4.08</v>
      </c>
      <c r="AP41" s="15"/>
      <c r="AQ41"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2681.1800000000003</v>
      </c>
      <c r="AR41"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2681.1800000000003</v>
      </c>
      <c r="AS41" s="15"/>
      <c r="AT41" s="27" t="str">
        <f>IF(Tabla5[[#This Row],[Cod trabalhador]]="", "", INDEX(Iban!C:C, MATCH(Tabla5[[#This Row],[Cod trabalhador]],Iban!A:A, 0)))</f>
        <v>ES43 6893 0001 7700 0016 2668</v>
      </c>
      <c r="AU41" s="66"/>
      <c r="AV41" s="130"/>
      <c r="AW41" s="130" t="s">
        <v>7540</v>
      </c>
      <c r="AX41" s="335" t="s">
        <v>7472</v>
      </c>
    </row>
    <row r="42" spans="1:50" ht="18.75" customHeight="1" x14ac:dyDescent="0.3">
      <c r="A42" s="43"/>
      <c r="B42" s="141" t="s">
        <v>5528</v>
      </c>
      <c r="C42" s="142" t="str">
        <f>IF(ISNUMBER(MATCH(Tabla5[[#This Row],[Cod trabalhador]],'Altas Rosas'!B:B, 0)), "Ativo", "Não ativo")</f>
        <v>Ativo</v>
      </c>
      <c r="D42" s="142" t="str">
        <f>IFERROR(IF(VLOOKUP(Tabla5[[#This Row],[Cod trabalhador]],'Altas Industrial'!B:E,1,0)&lt;&gt;"","KI",""),"")</f>
        <v/>
      </c>
      <c r="E42" s="142" t="str">
        <f>IFERROR(IF(VLOOKUP(Tabla5[[#This Row],[Cod trabalhador]],'Altas Rosas'!B:F,1,0)&lt;&gt;"","KR",""),"")</f>
        <v>KR</v>
      </c>
      <c r="F42" s="142" t="str">
        <f>IFERROR(IF(VLOOKUP(Tabla5[[#This Row],[Cod trabalhador]],'Altas Wiseowe'!B:E,1,0)&lt;&gt;"","WS",""),"")</f>
        <v/>
      </c>
      <c r="G42" s="142" t="str">
        <f>IFERROR(IF(VLOOKUP(Tabla5[[#This Row],[Cod trabalhador]],'Altas Luminous'!B:E,1,0)&lt;&gt;"","LM",""),"")</f>
        <v/>
      </c>
      <c r="H42" s="143">
        <f>IFERROR(VLOOKUP(Tabla5[[#This Row],[Cod trabalhador]],'Altas Rosas'!B:F,4,FALSE),"")</f>
        <v>45807</v>
      </c>
      <c r="I42" s="143">
        <f>IF(OR(Tabla5[[#This Row],[Cod trabalhador]]="",ISBLANK(Tabla5[[#This Row],[Cod trabalhador]])),"",IFERROR(IF(VLOOKUP(Tabla5[[#This Row],[Cod trabalhador]],'Altas Rosas'!B:F,5,FALSE)=0,"",VLOOKUP(Tabla5[[#This Row],[Cod trabalhador]],'Altas Rosas'!B:F,5,FALSE)),""))</f>
        <v>46052</v>
      </c>
      <c r="J42" s="142">
        <f t="shared" si="1"/>
        <v>30</v>
      </c>
      <c r="K42" s="380" t="s">
        <v>5529</v>
      </c>
      <c r="L42" s="341" t="str">
        <f>IFERROR(IF(Tabla5[[#This Row],[Cod trabalhador]]="",Tabla5[[#This Row],[Cod trabalhador]], INDEX(Colaborador_ID[Nombre], MATCH(Tabla5[[#This Row],[Cod trabalhador]],Colaborador_ID[Cod_colab], 0))), "")</f>
        <v>NORBEY VARON ESQUIVEL</v>
      </c>
      <c r="M42" s="15"/>
      <c r="N42" s="25" t="s">
        <v>7185</v>
      </c>
      <c r="O42" s="26">
        <f>IFERROR(VLOOKUP(Tabla5[[#This Row],[Cod trabalhador]],Tabla15[],4,FALSE),"")</f>
        <v>15</v>
      </c>
      <c r="P42" s="251">
        <f>IFERROR(VLOOKUP(Tabla5[[#This Row],[Cod trabalhador]],'TotalHorasAjustadas (2)'!D:L,8,FALSE),"")</f>
        <v>143</v>
      </c>
      <c r="Q42" s="131">
        <v>143</v>
      </c>
      <c r="R42" s="252" t="s">
        <v>7471</v>
      </c>
      <c r="S42" s="253" t="s">
        <v>7539</v>
      </c>
      <c r="T42" s="15"/>
      <c r="U42" s="25"/>
      <c r="V42" s="26"/>
      <c r="W42" s="27"/>
      <c r="X42" s="28"/>
      <c r="Y42" s="26"/>
      <c r="Z42" s="15"/>
      <c r="AA42" s="38">
        <f>IFERROR(VLOOKUP(Tabla5[[#This Row],[Cod trabalhador]],Alojamentos!B:P,11,FALSE),"")</f>
        <v>300</v>
      </c>
      <c r="AB42" s="34"/>
      <c r="AC42" s="15"/>
      <c r="AD42" s="41">
        <f>Tabla5[[#This Row],[Dias de alta]]*7.058</f>
        <v>211.74</v>
      </c>
      <c r="AE42" s="40" t="str">
        <f>IFERROR(VLOOKUP(Tabla5[[#This Row],[Cod trabalhador]],Adiantamentos!B:L,7,FALSE),"")</f>
        <v/>
      </c>
      <c r="AF42" s="40" t="str">
        <f>IFERROR(VLOOKUP(Tabla5[[#This Row],[Cod trabalhador]],Carro!B:D,3,FALSE),"")</f>
        <v/>
      </c>
      <c r="AG42" s="40" t="str">
        <f>IFERROR(VLOOKUP(Tabla5[[#This Row],[Cod trabalhador]],'Outros descontos'!B:M,7,FALSE),"")</f>
        <v/>
      </c>
      <c r="AH42" s="40" t="str">
        <f>IFERROR(VLOOKUP(Tabla5[[#This Row],[Cod trabalhador]],'Outros descontos'!B:M,8,FALSE),"")</f>
        <v/>
      </c>
      <c r="AI42" s="40" t="str">
        <f>IFERROR(VLOOKUP(Tabla5[[#This Row],[Cod trabalhador]],'Outros descontos'!B:M,9,FALSE),"")</f>
        <v/>
      </c>
      <c r="AJ42" s="40" t="str">
        <f>IFERROR(VLOOKUP(Tabla5[[#This Row],[Cod trabalhador]],'Outros descontos'!B:M,10,FALSE),"")</f>
        <v/>
      </c>
      <c r="AK42" s="40" t="str">
        <f>IFERROR(VLOOKUP(Tabla5[[#This Row],[Cod trabalhador]],'Outros descontos'!B:M,11,FALSE),"")</f>
        <v/>
      </c>
      <c r="AL42" s="40" t="str">
        <f>IFERROR(VLOOKUP(Tabla5[[#This Row],[Cod trabalhador]],'Outros descontos'!B:M,12,FALSE),"")</f>
        <v/>
      </c>
      <c r="AM42" s="40" t="str">
        <f>IFERROR(VLOOKUP(Tabla5[[#This Row],[Cod trabalhador]],'Outros descontos'!B:M,13,FALSE),"")</f>
        <v/>
      </c>
      <c r="AN42" s="41"/>
      <c r="AO42" s="37">
        <v>4.08</v>
      </c>
      <c r="AP42" s="15"/>
      <c r="AQ42"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2229.1800000000003</v>
      </c>
      <c r="AR42"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2229.1800000000003</v>
      </c>
      <c r="AS42" s="15"/>
      <c r="AT42" s="27" t="str">
        <f>IF(Tabla5[[#This Row],[Cod trabalhador]]="", "", INDEX(Iban!C:C, MATCH(Tabla5[[#This Row],[Cod trabalhador]],Iban!A:A, 0)))</f>
        <v xml:space="preserve">ES53 0182 4924 1802 0172 4674 </v>
      </c>
      <c r="AU42" s="66"/>
      <c r="AV42" s="130"/>
      <c r="AW42" s="130" t="s">
        <v>7540</v>
      </c>
      <c r="AX42" s="335" t="s">
        <v>7472</v>
      </c>
    </row>
    <row r="43" spans="1:50" ht="18.75" customHeight="1" x14ac:dyDescent="0.3">
      <c r="A43" s="43"/>
      <c r="B43" s="141" t="s">
        <v>5596</v>
      </c>
      <c r="C43" s="148" t="str">
        <f>IF(ISNUMBER(MATCH(Tabla5[[#This Row],[Cod trabalhador]],'Altas Rosas'!B:B, 0)), "Ativo", "Não ativo")</f>
        <v>Não ativo</v>
      </c>
      <c r="D43" s="148" t="str">
        <f>IFERROR(IF(VLOOKUP(Tabla5[[#This Row],[Cod trabalhador]],'Altas Industrial'!B:E,1,0)&lt;&gt;"","KI",""),"")</f>
        <v/>
      </c>
      <c r="E43" s="142" t="str">
        <f>IFERROR(IF(VLOOKUP(Tabla5[[#This Row],[Cod trabalhador]],'Altas Rosas'!B:F,1,0)&lt;&gt;"","KR",""),"")</f>
        <v/>
      </c>
      <c r="F43" s="142" t="str">
        <f>IFERROR(IF(VLOOKUP(Tabla5[[#This Row],[Cod trabalhador]],'Altas Wiseowe'!B:E,1,0)&lt;&gt;"","WS",""),"")</f>
        <v/>
      </c>
      <c r="G43" s="142" t="str">
        <f>IFERROR(IF(VLOOKUP(Tabla5[[#This Row],[Cod trabalhador]],'Altas Luminous'!B:E,1,0)&lt;&gt;"","LM",""),"")</f>
        <v/>
      </c>
      <c r="H43" s="143" t="str">
        <f>IFERROR(VLOOKUP(Tabla5[[#This Row],[Cod trabalhador]],'Altas Rosas'!B:F,4,FALSE),"")</f>
        <v/>
      </c>
      <c r="I43" s="143" t="str">
        <f>IF(OR(Tabla5[[#This Row],[Cod trabalhador]]="",ISBLANK(Tabla5[[#This Row],[Cod trabalhador]])),"",IFERROR(IF(VLOOKUP(Tabla5[[#This Row],[Cod trabalhador]],'Altas Rosas'!B:F,5,FALSE)=0,"",VLOOKUP(Tabla5[[#This Row],[Cod trabalhador]],'Altas Rosas'!B:F,5,FALSE)),""))</f>
        <v/>
      </c>
      <c r="J43" s="142">
        <f t="shared" si="1"/>
        <v>0</v>
      </c>
      <c r="K43" s="380" t="s">
        <v>7211</v>
      </c>
      <c r="L43" s="341" t="str">
        <f>IFERROR(IF(Tabla5[[#This Row],[Cod trabalhador]]="",Tabla5[[#This Row],[Cod trabalhador]], INDEX(Colaborador_ID[Nombre], MATCH(Tabla5[[#This Row],[Cod trabalhador]],Colaborador_ID[Cod_colab], 0))), "")</f>
        <v>ORLANDO JANNCARLO ACEVEDO GUZMAN</v>
      </c>
      <c r="M43" s="15"/>
      <c r="N43" s="25" t="s">
        <v>7210</v>
      </c>
      <c r="O43" s="26">
        <f>IFERROR(VLOOKUP(Tabla5[[#This Row],[Cod trabalhador]],Tabla15[],4,FALSE),"")</f>
        <v>15</v>
      </c>
      <c r="P43" s="251">
        <f>IFERROR(VLOOKUP(Tabla5[[#This Row],[Cod trabalhador]],'TotalHorasAjustadas (2)'!D:L,8,FALSE),"")</f>
        <v>238</v>
      </c>
      <c r="Q43" s="206">
        <v>238</v>
      </c>
      <c r="R43" s="252" t="s">
        <v>7532</v>
      </c>
      <c r="S43" s="253" t="s">
        <v>7539</v>
      </c>
      <c r="T43" s="15"/>
      <c r="U43" s="25"/>
      <c r="V43" s="26"/>
      <c r="W43" s="27"/>
      <c r="X43" s="28"/>
      <c r="Y43" s="26"/>
      <c r="Z43" s="15"/>
      <c r="AA43" s="38" t="str">
        <f>IFERROR(VLOOKUP(Tabla5[[#This Row],[Cod trabalhador]],Alojamentos!B:P,11,FALSE),"")</f>
        <v/>
      </c>
      <c r="AB43" s="34"/>
      <c r="AC43" s="15"/>
      <c r="AD43" s="41">
        <f>Tabla5[[#This Row],[Dias de alta]]*7.058</f>
        <v>0</v>
      </c>
      <c r="AE43" s="40" t="str">
        <f>IFERROR(VLOOKUP(Tabla5[[#This Row],[Cod trabalhador]],Adiantamentos!B:L,7,FALSE),"")</f>
        <v/>
      </c>
      <c r="AF43" s="40" t="str">
        <f>IFERROR(VLOOKUP(Tabla5[[#This Row],[Cod trabalhador]],Carro!B:D,3,FALSE),"")</f>
        <v/>
      </c>
      <c r="AG43" s="40" t="str">
        <f>IFERROR(VLOOKUP(Tabla5[[#This Row],[Cod trabalhador]],'Outros descontos'!B:M,7,FALSE),"")</f>
        <v/>
      </c>
      <c r="AH43" s="40" t="str">
        <f>IFERROR(VLOOKUP(Tabla5[[#This Row],[Cod trabalhador]],'Outros descontos'!B:M,8,FALSE),"")</f>
        <v/>
      </c>
      <c r="AI43" s="40" t="str">
        <f>IFERROR(VLOOKUP(Tabla5[[#This Row],[Cod trabalhador]],'Outros descontos'!B:M,9,FALSE),"")</f>
        <v/>
      </c>
      <c r="AJ43" s="40" t="str">
        <f>IFERROR(VLOOKUP(Tabla5[[#This Row],[Cod trabalhador]],'Outros descontos'!B:M,10,FALSE),"")</f>
        <v/>
      </c>
      <c r="AK43" s="40" t="str">
        <f>IFERROR(VLOOKUP(Tabla5[[#This Row],[Cod trabalhador]],'Outros descontos'!B:M,11,FALSE),"")</f>
        <v/>
      </c>
      <c r="AL43" s="40" t="str">
        <f>IFERROR(VLOOKUP(Tabla5[[#This Row],[Cod trabalhador]],'Outros descontos'!B:M,12,FALSE),"")</f>
        <v/>
      </c>
      <c r="AM43" s="40" t="str">
        <f>IFERROR(VLOOKUP(Tabla5[[#This Row],[Cod trabalhador]],'Outros descontos'!B:M,13,FALSE),"")</f>
        <v/>
      </c>
      <c r="AN43" s="41"/>
      <c r="AO43" s="37">
        <v>4.08</v>
      </c>
      <c r="AP43" s="15"/>
      <c r="AQ43"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3565.92</v>
      </c>
      <c r="AR43"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3565.92</v>
      </c>
      <c r="AS43" s="15"/>
      <c r="AT43" s="27" t="str">
        <f>IF(Tabla5[[#This Row],[Cod trabalhador]]="", "", INDEX(Iban!C:C, MATCH(Tabla5[[#This Row],[Cod trabalhador]],Iban!A:A, 0)))</f>
        <v>ES17 0049 6980 2722 1007 4594</v>
      </c>
      <c r="AU43" s="66"/>
      <c r="AV43" s="130"/>
      <c r="AW43" s="130" t="s">
        <v>7540</v>
      </c>
      <c r="AX43" s="335" t="s">
        <v>7472</v>
      </c>
    </row>
    <row r="44" spans="1:50" ht="18.75" customHeight="1" x14ac:dyDescent="0.3">
      <c r="A44" s="43" t="s">
        <v>7464</v>
      </c>
      <c r="B44" s="141" t="s">
        <v>5748</v>
      </c>
      <c r="C44" s="390" t="str">
        <f>IF(ISNUMBER(MATCH(Tabla5[[#This Row],[Cod trabalhador]],'Altas Rosas'!B:B, 0)), "Ativo", "Não ativo")</f>
        <v>Não ativo</v>
      </c>
      <c r="D44" s="390" t="str">
        <f>IFERROR(IF(VLOOKUP(Tabla5[[#This Row],[Cod trabalhador]],'Altas Industrial'!B:E,1,0)&lt;&gt;"","KI",""),"")</f>
        <v/>
      </c>
      <c r="E44" s="142" t="str">
        <f>IFERROR(IF(VLOOKUP(Tabla5[[#This Row],[Cod trabalhador]],'Altas Rosas'!B:F,1,0)&lt;&gt;"","KR",""),"")</f>
        <v/>
      </c>
      <c r="F44" s="142" t="str">
        <f>IFERROR(IF(VLOOKUP(Tabla5[[#This Row],[Cod trabalhador]],'Altas Wiseowe'!B:E,1,0)&lt;&gt;"","WS",""),"")</f>
        <v/>
      </c>
      <c r="G44" s="390" t="str">
        <f>IFERROR(IF(VLOOKUP(Tabla5[[#This Row],[Cod trabalhador]],'Altas Luminous'!B:E,1,0)&lt;&gt;"","LM",""),"")</f>
        <v/>
      </c>
      <c r="H44" s="143" t="str">
        <f>IFERROR(VLOOKUP(Tabla5[[#This Row],[Cod trabalhador]],'Altas Rosas'!B:F,4,FALSE),"")</f>
        <v/>
      </c>
      <c r="I44" s="143" t="str">
        <f>IF(OR(Tabla5[[#This Row],[Cod trabalhador]]="",ISBLANK(Tabla5[[#This Row],[Cod trabalhador]])),"",IFERROR(IF(VLOOKUP(Tabla5[[#This Row],[Cod trabalhador]],'Altas Rosas'!B:F,5,FALSE)=0,"",VLOOKUP(Tabla5[[#This Row],[Cod trabalhador]],'Altas Rosas'!B:F,5,FALSE)),""))</f>
        <v/>
      </c>
      <c r="J44" s="142">
        <f t="shared" si="1"/>
        <v>0</v>
      </c>
      <c r="K44" s="380" t="s">
        <v>7209</v>
      </c>
      <c r="L44" s="341" t="str">
        <f>IFERROR(IF(Tabla5[[#This Row],[Cod trabalhador]]="",Tabla5[[#This Row],[Cod trabalhador]], INDEX(Colaborador_ID[Nombre], MATCH(Tabla5[[#This Row],[Cod trabalhador]],Colaborador_ID[Cod_colab], 0))), "")</f>
        <v>PEDRO DE JESUS DE LA HOZ SALCEDO</v>
      </c>
      <c r="M44" s="15"/>
      <c r="N44" s="25" t="s">
        <v>7206</v>
      </c>
      <c r="O44" s="26">
        <f>IFERROR(VLOOKUP(Tabla5[[#This Row],[Cod trabalhador]],Tabla15[],4,FALSE),"")</f>
        <v>15</v>
      </c>
      <c r="P44" s="251">
        <f>IFERROR(VLOOKUP(Tabla5[[#This Row],[Cod trabalhador]],'TotalHorasAjustadas (2)'!D:L,8,FALSE),"")</f>
        <v>121.61999999999999</v>
      </c>
      <c r="Q44" s="131">
        <v>121.61999999999999</v>
      </c>
      <c r="R44" s="252" t="s">
        <v>7471</v>
      </c>
      <c r="S44" s="253" t="s">
        <v>7539</v>
      </c>
      <c r="T44" s="15"/>
      <c r="U44" s="25"/>
      <c r="V44" s="26"/>
      <c r="W44" s="27"/>
      <c r="X44" s="28"/>
      <c r="Y44" s="26"/>
      <c r="Z44" s="15"/>
      <c r="AA44" s="38" t="str">
        <f>IFERROR(VLOOKUP(Tabla5[[#This Row],[Cod trabalhador]],Alojamentos!B:P,11,FALSE),"")</f>
        <v/>
      </c>
      <c r="AB44" s="34"/>
      <c r="AC44" s="15"/>
      <c r="AD44" s="41">
        <f>Tabla5[[#This Row],[Dias de alta]]*7.058</f>
        <v>0</v>
      </c>
      <c r="AE44" s="40" t="str">
        <f>IFERROR(VLOOKUP(Tabla5[[#This Row],[Cod trabalhador]],Adiantamentos!B:L,7,FALSE),"")</f>
        <v/>
      </c>
      <c r="AF44" s="40" t="str">
        <f>IFERROR(VLOOKUP(Tabla5[[#This Row],[Cod trabalhador]],Carro!B:D,3,FALSE),"")</f>
        <v/>
      </c>
      <c r="AG44" s="40" t="str">
        <f>IFERROR(VLOOKUP(Tabla5[[#This Row],[Cod trabalhador]],'Outros descontos'!B:M,7,FALSE),"")</f>
        <v/>
      </c>
      <c r="AH44" s="40" t="str">
        <f>IFERROR(VLOOKUP(Tabla5[[#This Row],[Cod trabalhador]],'Outros descontos'!B:M,8,FALSE),"")</f>
        <v/>
      </c>
      <c r="AI44" s="40" t="str">
        <f>IFERROR(VLOOKUP(Tabla5[[#This Row],[Cod trabalhador]],'Outros descontos'!B:M,9,FALSE),"")</f>
        <v/>
      </c>
      <c r="AJ44" s="40" t="str">
        <f>IFERROR(VLOOKUP(Tabla5[[#This Row],[Cod trabalhador]],'Outros descontos'!B:M,10,FALSE),"")</f>
        <v/>
      </c>
      <c r="AK44" s="40" t="str">
        <f>IFERROR(VLOOKUP(Tabla5[[#This Row],[Cod trabalhador]],'Outros descontos'!B:M,11,FALSE),"")</f>
        <v/>
      </c>
      <c r="AL44" s="40" t="str">
        <f>IFERROR(VLOOKUP(Tabla5[[#This Row],[Cod trabalhador]],'Outros descontos'!B:M,12,FALSE),"")</f>
        <v/>
      </c>
      <c r="AM44" s="40" t="str">
        <f>IFERROR(VLOOKUP(Tabla5[[#This Row],[Cod trabalhador]],'Outros descontos'!B:M,13,FALSE),"")</f>
        <v/>
      </c>
      <c r="AN44" s="41"/>
      <c r="AO44" s="37">
        <v>4.08</v>
      </c>
      <c r="AP44" s="15"/>
      <c r="AQ44"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1820.22</v>
      </c>
      <c r="AR44"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1820.22</v>
      </c>
      <c r="AS44" s="15"/>
      <c r="AT44" s="27" t="str">
        <f>IF(Tabla5[[#This Row],[Cod trabalhador]]="", "", INDEX(Iban!C:C, MATCH(Tabla5[[#This Row],[Cod trabalhador]],Iban!A:A, 0)))</f>
        <v>BE72 9054 5053 6816</v>
      </c>
      <c r="AU44" s="66"/>
      <c r="AV44" s="130"/>
      <c r="AW44" s="130" t="s">
        <v>7540</v>
      </c>
      <c r="AX44" s="335" t="s">
        <v>7472</v>
      </c>
    </row>
    <row r="45" spans="1:50" ht="18.75" customHeight="1" x14ac:dyDescent="0.3">
      <c r="A45" s="43"/>
      <c r="B45" s="141" t="s">
        <v>6003</v>
      </c>
      <c r="C45" s="142" t="str">
        <f>IF(ISNUMBER(MATCH(Tabla5[[#This Row],[Cod trabalhador]],'Altas Rosas'!B:B, 0)), "Ativo", "Não ativo")</f>
        <v>Não ativo</v>
      </c>
      <c r="D45" s="142" t="str">
        <f>IFERROR(IF(VLOOKUP(Tabla5[[#This Row],[Cod trabalhador]],'Altas Industrial'!B:E,1,0)&lt;&gt;"","KI",""),"")</f>
        <v/>
      </c>
      <c r="E45" s="142" t="str">
        <f>IFERROR(IF(VLOOKUP(Tabla5[[#This Row],[Cod trabalhador]],'Altas Rosas'!B:F,1,0)&lt;&gt;"","KR",""),"")</f>
        <v/>
      </c>
      <c r="F45" s="142" t="str">
        <f>IFERROR(IF(VLOOKUP(Tabla5[[#This Row],[Cod trabalhador]],'Altas Wiseowe'!B:E,1,0)&lt;&gt;"","WS",""),"")</f>
        <v/>
      </c>
      <c r="G45" s="142" t="str">
        <f>IFERROR(IF(VLOOKUP(Tabla5[[#This Row],[Cod trabalhador]],'Altas Luminous'!B:E,1,0)&lt;&gt;"","LM",""),"")</f>
        <v/>
      </c>
      <c r="H45" s="143" t="str">
        <f>IFERROR(VLOOKUP(Tabla5[[#This Row],[Cod trabalhador]],'Altas Rosas'!B:F,4,FALSE),"")</f>
        <v/>
      </c>
      <c r="I45" s="143" t="str">
        <f>IF(OR(Tabla5[[#This Row],[Cod trabalhador]]="",ISBLANK(Tabla5[[#This Row],[Cod trabalhador]])),"",IFERROR(IF(VLOOKUP(Tabla5[[#This Row],[Cod trabalhador]],'Altas Rosas'!B:F,5,FALSE)=0,"",VLOOKUP(Tabla5[[#This Row],[Cod trabalhador]],'Altas Rosas'!B:F,5,FALSE)),""))</f>
        <v/>
      </c>
      <c r="J45" s="142">
        <f t="shared" si="1"/>
        <v>0</v>
      </c>
      <c r="K45" s="380" t="s">
        <v>6004</v>
      </c>
      <c r="L45" s="341" t="str">
        <f>IFERROR(IF(Tabla5[[#This Row],[Cod trabalhador]]="",Tabla5[[#This Row],[Cod trabalhador]], INDEX(Colaborador_ID[Nombre], MATCH(Tabla5[[#This Row],[Cod trabalhador]],Colaborador_ID[Cod_colab], 0))), "")</f>
        <v>RIGOBERTO ROMERO REINA</v>
      </c>
      <c r="M45" s="15"/>
      <c r="N45" s="25" t="s">
        <v>7206</v>
      </c>
      <c r="O45" s="26">
        <f>IFERROR(VLOOKUP(Tabla5[[#This Row],[Cod trabalhador]],Tabla15[],4,FALSE),"")</f>
        <v>15</v>
      </c>
      <c r="P45" s="251">
        <f>IFERROR(VLOOKUP(Tabla5[[#This Row],[Cod trabalhador]],'TotalHorasAjustadas (2)'!D:L,8,FALSE),"")</f>
        <v>127.20999999999998</v>
      </c>
      <c r="Q45" s="206">
        <v>127.20999999999998</v>
      </c>
      <c r="R45" s="252" t="s">
        <v>7471</v>
      </c>
      <c r="S45" s="253" t="s">
        <v>7539</v>
      </c>
      <c r="T45" s="15"/>
      <c r="U45" s="25"/>
      <c r="V45" s="26"/>
      <c r="W45" s="27"/>
      <c r="X45" s="28"/>
      <c r="Y45" s="26"/>
      <c r="Z45" s="15"/>
      <c r="AA45" s="38" t="str">
        <f>IFERROR(VLOOKUP(Tabla5[[#This Row],[Cod trabalhador]],Alojamentos!B:P,11,FALSE),"")</f>
        <v/>
      </c>
      <c r="AB45" s="34"/>
      <c r="AC45" s="15"/>
      <c r="AD45" s="41">
        <f>Tabla5[[#This Row],[Dias de alta]]*7.058</f>
        <v>0</v>
      </c>
      <c r="AE45" s="40" t="str">
        <f>IFERROR(VLOOKUP(Tabla5[[#This Row],[Cod trabalhador]],Adiantamentos!B:L,7,FALSE),"")</f>
        <v/>
      </c>
      <c r="AF45" s="40" t="str">
        <f>IFERROR(VLOOKUP(Tabla5[[#This Row],[Cod trabalhador]],Carro!B:D,3,FALSE),"")</f>
        <v/>
      </c>
      <c r="AG45" s="40" t="str">
        <f>IFERROR(VLOOKUP(Tabla5[[#This Row],[Cod trabalhador]],'Outros descontos'!B:M,7,FALSE),"")</f>
        <v/>
      </c>
      <c r="AH45" s="40" t="str">
        <f>IFERROR(VLOOKUP(Tabla5[[#This Row],[Cod trabalhador]],'Outros descontos'!B:M,8,FALSE),"")</f>
        <v/>
      </c>
      <c r="AI45" s="40" t="str">
        <f>IFERROR(VLOOKUP(Tabla5[[#This Row],[Cod trabalhador]],'Outros descontos'!B:M,9,FALSE),"")</f>
        <v/>
      </c>
      <c r="AJ45" s="40" t="str">
        <f>IFERROR(VLOOKUP(Tabla5[[#This Row],[Cod trabalhador]],'Outros descontos'!B:M,10,FALSE),"")</f>
        <v/>
      </c>
      <c r="AK45" s="40" t="str">
        <f>IFERROR(VLOOKUP(Tabla5[[#This Row],[Cod trabalhador]],'Outros descontos'!B:M,11,FALSE),"")</f>
        <v/>
      </c>
      <c r="AL45" s="40" t="str">
        <f>IFERROR(VLOOKUP(Tabla5[[#This Row],[Cod trabalhador]],'Outros descontos'!B:M,12,FALSE),"")</f>
        <v/>
      </c>
      <c r="AM45" s="40" t="str">
        <f>IFERROR(VLOOKUP(Tabla5[[#This Row],[Cod trabalhador]],'Outros descontos'!B:M,13,FALSE),"")</f>
        <v/>
      </c>
      <c r="AN45" s="41"/>
      <c r="AO45" s="37">
        <v>4.08</v>
      </c>
      <c r="AP45" s="15"/>
      <c r="AQ45"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1904.0699999999997</v>
      </c>
      <c r="AR45"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1904.0699999999997</v>
      </c>
      <c r="AS45" s="15"/>
      <c r="AT45" s="27" t="str">
        <f>IF(Tabla5[[#This Row],[Cod trabalhador]]="", "", INDEX(Iban!C:C, MATCH(Tabla5[[#This Row],[Cod trabalhador]],Iban!A:A, 0)))</f>
        <v>ES14 0182 6194 7002 0162 3729</v>
      </c>
      <c r="AU45" s="66"/>
      <c r="AV45" s="305"/>
      <c r="AW45" s="130" t="s">
        <v>7540</v>
      </c>
      <c r="AX45" s="335" t="s">
        <v>7472</v>
      </c>
    </row>
    <row r="46" spans="1:50" ht="18.75" customHeight="1" x14ac:dyDescent="0.3">
      <c r="A46" s="43"/>
      <c r="B46" s="141" t="s">
        <v>6311</v>
      </c>
      <c r="C46" s="142" t="str">
        <f>IF(ISNUMBER(MATCH(Tabla5[[#This Row],[Cod trabalhador]],'Altas Rosas'!B:B, 0)), "Ativo", "Não ativo")</f>
        <v>Ativo</v>
      </c>
      <c r="D46" s="142" t="str">
        <f>IFERROR(IF(VLOOKUP(Tabla5[[#This Row],[Cod trabalhador]],'Altas Industrial'!B:E,1,0)&lt;&gt;"","KI",""),"")</f>
        <v/>
      </c>
      <c r="E46" s="142" t="str">
        <f>IFERROR(IF(VLOOKUP(Tabla5[[#This Row],[Cod trabalhador]],'Altas Rosas'!B:F,1,0)&lt;&gt;"","KR",""),"")</f>
        <v>KR</v>
      </c>
      <c r="F46" s="142" t="str">
        <f>IFERROR(IF(VLOOKUP(Tabla5[[#This Row],[Cod trabalhador]],'Altas Wiseowe'!B:E,1,0)&lt;&gt;"","WS",""),"")</f>
        <v/>
      </c>
      <c r="G46" s="142" t="str">
        <f>IFERROR(IF(VLOOKUP(Tabla5[[#This Row],[Cod trabalhador]],'Altas Luminous'!B:E,1,0)&lt;&gt;"","LM",""),"")</f>
        <v/>
      </c>
      <c r="H46" s="143">
        <f>IFERROR(VLOOKUP(Tabla5[[#This Row],[Cod trabalhador]],'Altas Rosas'!B:F,4,FALSE),"")</f>
        <v>45762</v>
      </c>
      <c r="I46" s="143">
        <f>IF(OR(Tabla5[[#This Row],[Cod trabalhador]]="",ISBLANK(Tabla5[[#This Row],[Cod trabalhador]])),"",IFERROR(IF(VLOOKUP(Tabla5[[#This Row],[Cod trabalhador]],'Altas Rosas'!B:F,5,FALSE)=0,"",VLOOKUP(Tabla5[[#This Row],[Cod trabalhador]],'Altas Rosas'!B:F,5,FALSE)),""))</f>
        <v>46052</v>
      </c>
      <c r="J46" s="142">
        <f t="shared" si="1"/>
        <v>30</v>
      </c>
      <c r="K46" s="380" t="s">
        <v>7241</v>
      </c>
      <c r="L46" s="341" t="str">
        <f>IFERROR(IF(Tabla5[[#This Row],[Cod trabalhador]]="",Tabla5[[#This Row],[Cod trabalhador]], INDEX(Colaborador_ID[Nombre], MATCH(Tabla5[[#This Row],[Cod trabalhador]],Colaborador_ID[Cod_colab], 0))), "")</f>
        <v>SERGIO ALONSO ANDRADE CASTRILLON</v>
      </c>
      <c r="M46" s="15"/>
      <c r="N46" s="25" t="s">
        <v>7240</v>
      </c>
      <c r="O46" s="26">
        <f>IFERROR(VLOOKUP(Tabla5[[#This Row],[Cod trabalhador]],Tabla15[],4,FALSE),"")</f>
        <v>15</v>
      </c>
      <c r="P46" s="251">
        <f>IFERROR(VLOOKUP(Tabla5[[#This Row],[Cod trabalhador]],'TotalHorasAjustadas (2)'!D:L,8,FALSE),"")</f>
        <v>148</v>
      </c>
      <c r="Q46" s="131">
        <v>148</v>
      </c>
      <c r="R46" s="252" t="s">
        <v>7532</v>
      </c>
      <c r="S46" s="253" t="s">
        <v>7539</v>
      </c>
      <c r="T46" s="15"/>
      <c r="U46" s="25"/>
      <c r="V46" s="26"/>
      <c r="W46" s="27"/>
      <c r="X46" s="28"/>
      <c r="Y46" s="26"/>
      <c r="Z46" s="15"/>
      <c r="AA46" s="38" t="str">
        <f>IFERROR(VLOOKUP(Tabla5[[#This Row],[Cod trabalhador]],Alojamentos!B:P,11,FALSE),"")</f>
        <v/>
      </c>
      <c r="AB46" s="34"/>
      <c r="AC46" s="15"/>
      <c r="AD46" s="41">
        <f>Tabla5[[#This Row],[Dias de alta]]*7.058</f>
        <v>211.74</v>
      </c>
      <c r="AE46" s="40" t="str">
        <f>IFERROR(VLOOKUP(Tabla5[[#This Row],[Cod trabalhador]],Adiantamentos!B:L,7,FALSE),"")</f>
        <v/>
      </c>
      <c r="AF46" s="40" t="str">
        <f>IFERROR(VLOOKUP(Tabla5[[#This Row],[Cod trabalhador]],Carro!B:D,3,FALSE),"")</f>
        <v/>
      </c>
      <c r="AG46" s="40" t="str">
        <f>IFERROR(VLOOKUP(Tabla5[[#This Row],[Cod trabalhador]],'Outros descontos'!B:M,7,FALSE),"")</f>
        <v/>
      </c>
      <c r="AH46" s="40" t="str">
        <f>IFERROR(VLOOKUP(Tabla5[[#This Row],[Cod trabalhador]],'Outros descontos'!B:M,8,FALSE),"")</f>
        <v/>
      </c>
      <c r="AI46" s="40" t="str">
        <f>IFERROR(VLOOKUP(Tabla5[[#This Row],[Cod trabalhador]],'Outros descontos'!B:M,9,FALSE),"")</f>
        <v/>
      </c>
      <c r="AJ46" s="40" t="str">
        <f>IFERROR(VLOOKUP(Tabla5[[#This Row],[Cod trabalhador]],'Outros descontos'!B:M,10,FALSE),"")</f>
        <v/>
      </c>
      <c r="AK46" s="40" t="str">
        <f>IFERROR(VLOOKUP(Tabla5[[#This Row],[Cod trabalhador]],'Outros descontos'!B:M,11,FALSE),"")</f>
        <v/>
      </c>
      <c r="AL46" s="40" t="str">
        <f>IFERROR(VLOOKUP(Tabla5[[#This Row],[Cod trabalhador]],'Outros descontos'!B:M,12,FALSE),"")</f>
        <v/>
      </c>
      <c r="AM46" s="40" t="str">
        <f>IFERROR(VLOOKUP(Tabla5[[#This Row],[Cod trabalhador]],'Outros descontos'!B:M,13,FALSE),"")</f>
        <v/>
      </c>
      <c r="AN46" s="41"/>
      <c r="AO46" s="37">
        <v>4.08</v>
      </c>
      <c r="AP46" s="15"/>
      <c r="AQ46"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2004.18</v>
      </c>
      <c r="AR46"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2004.18</v>
      </c>
      <c r="AS46" s="15"/>
      <c r="AT46" s="27" t="str">
        <f>IF(Tabla5[[#This Row],[Cod trabalhador]]="", "", INDEX(Iban!C:C, MATCH(Tabla5[[#This Row],[Cod trabalhador]],Iban!A:A, 0)))</f>
        <v>ES64 0182 6194 7502 0162 1129</v>
      </c>
      <c r="AU46" s="66"/>
      <c r="AV46" s="130"/>
      <c r="AW46" s="130" t="s">
        <v>7540</v>
      </c>
      <c r="AX46" s="335" t="s">
        <v>7472</v>
      </c>
    </row>
    <row r="47" spans="1:50" ht="18.75" customHeight="1" x14ac:dyDescent="0.3">
      <c r="A47" s="43"/>
      <c r="B47" s="141" t="s">
        <v>6319</v>
      </c>
      <c r="C47" s="142" t="str">
        <f>IF(ISNUMBER(MATCH(Tabla5[[#This Row],[Cod trabalhador]],'Altas Rosas'!B:B, 0)), "Ativo", "Não ativo")</f>
        <v>Ativo</v>
      </c>
      <c r="D47" s="142" t="str">
        <f>IFERROR(IF(VLOOKUP(Tabla5[[#This Row],[Cod trabalhador]],'Altas Industrial'!B:E,1,0)&lt;&gt;"","KI",""),"")</f>
        <v/>
      </c>
      <c r="E47" s="142" t="str">
        <f>IFERROR(IF(VLOOKUP(Tabla5[[#This Row],[Cod trabalhador]],'Altas Rosas'!B:F,1,0)&lt;&gt;"","KR",""),"")</f>
        <v>KR</v>
      </c>
      <c r="F47" s="142" t="str">
        <f>IFERROR(IF(VLOOKUP(Tabla5[[#This Row],[Cod trabalhador]],'Altas Wiseowe'!B:E,1,0)&lt;&gt;"","WS",""),"")</f>
        <v/>
      </c>
      <c r="G47" s="142" t="str">
        <f>IFERROR(IF(VLOOKUP(Tabla5[[#This Row],[Cod trabalhador]],'Altas Luminous'!B:E,1,0)&lt;&gt;"","LM",""),"")</f>
        <v/>
      </c>
      <c r="H47" s="143">
        <f>IFERROR(VLOOKUP(Tabla5[[#This Row],[Cod trabalhador]],'Altas Rosas'!B:F,4,FALSE),"")</f>
        <v>45857</v>
      </c>
      <c r="I47" s="143">
        <f>IF(OR(Tabla5[[#This Row],[Cod trabalhador]]="",ISBLANK(Tabla5[[#This Row],[Cod trabalhador]])),"",IFERROR(IF(VLOOKUP(Tabla5[[#This Row],[Cod trabalhador]],'Altas Rosas'!B:F,5,FALSE)=0,"",VLOOKUP(Tabla5[[#This Row],[Cod trabalhador]],'Altas Rosas'!B:F,5,FALSE)),""))</f>
        <v>46052</v>
      </c>
      <c r="J47" s="142">
        <f t="shared" si="1"/>
        <v>30</v>
      </c>
      <c r="K47" s="380" t="s">
        <v>7196</v>
      </c>
      <c r="L47" s="341" t="str">
        <f>IFERROR(IF(Tabla5[[#This Row],[Cod trabalhador]]="",Tabla5[[#This Row],[Cod trabalhador]], INDEX(Colaborador_ID[Nombre], MATCH(Tabla5[[#This Row],[Cod trabalhador]],Colaborador_ID[Cod_colab], 0))), "")</f>
        <v>SERGIO ANDRES LANDINES BARRIOS</v>
      </c>
      <c r="M47" s="15"/>
      <c r="N47" s="25" t="s">
        <v>7193</v>
      </c>
      <c r="O47" s="26">
        <f>IFERROR(VLOOKUP(Tabla5[[#This Row],[Cod trabalhador]],Tabla15[],4,FALSE),"")</f>
        <v>15</v>
      </c>
      <c r="P47" s="251">
        <f>IFERROR(VLOOKUP(Tabla5[[#This Row],[Cod trabalhador]],'TotalHorasAjustadas (2)'!D:L,8,FALSE),"")</f>
        <v>154.5</v>
      </c>
      <c r="Q47" s="131">
        <v>154.5</v>
      </c>
      <c r="R47" s="252" t="s">
        <v>7471</v>
      </c>
      <c r="S47" s="253" t="s">
        <v>7539</v>
      </c>
      <c r="T47" s="15"/>
      <c r="U47" s="25"/>
      <c r="V47" s="26"/>
      <c r="W47" s="27"/>
      <c r="X47" s="28"/>
      <c r="Y47" s="26"/>
      <c r="Z47" s="15"/>
      <c r="AA47" s="38" t="str">
        <f>IFERROR(VLOOKUP(Tabla5[[#This Row],[Cod trabalhador]],Alojamentos!B:P,11,FALSE),"")</f>
        <v/>
      </c>
      <c r="AB47" s="34"/>
      <c r="AC47" s="15"/>
      <c r="AD47" s="41">
        <f>Tabla5[[#This Row],[Dias de alta]]*7.058</f>
        <v>211.74</v>
      </c>
      <c r="AE47" s="40" t="str">
        <f>IFERROR(VLOOKUP(Tabla5[[#This Row],[Cod trabalhador]],Adiantamentos!B:L,7,FALSE),"")</f>
        <v/>
      </c>
      <c r="AF47" s="40" t="str">
        <f>IFERROR(VLOOKUP(Tabla5[[#This Row],[Cod trabalhador]],Carro!B:D,3,FALSE),"")</f>
        <v/>
      </c>
      <c r="AG47" s="40" t="str">
        <f>IFERROR(VLOOKUP(Tabla5[[#This Row],[Cod trabalhador]],'Outros descontos'!B:M,7,FALSE),"")</f>
        <v/>
      </c>
      <c r="AH47" s="40" t="str">
        <f>IFERROR(VLOOKUP(Tabla5[[#This Row],[Cod trabalhador]],'Outros descontos'!B:M,8,FALSE),"")</f>
        <v/>
      </c>
      <c r="AI47" s="40" t="str">
        <f>IFERROR(VLOOKUP(Tabla5[[#This Row],[Cod trabalhador]],'Outros descontos'!B:M,9,FALSE),"")</f>
        <v/>
      </c>
      <c r="AJ47" s="40" t="str">
        <f>IFERROR(VLOOKUP(Tabla5[[#This Row],[Cod trabalhador]],'Outros descontos'!B:M,10,FALSE),"")</f>
        <v/>
      </c>
      <c r="AK47" s="40" t="str">
        <f>IFERROR(VLOOKUP(Tabla5[[#This Row],[Cod trabalhador]],'Outros descontos'!B:M,11,FALSE),"")</f>
        <v/>
      </c>
      <c r="AL47" s="40" t="str">
        <f>IFERROR(VLOOKUP(Tabla5[[#This Row],[Cod trabalhador]],'Outros descontos'!B:M,12,FALSE),"")</f>
        <v/>
      </c>
      <c r="AM47" s="40" t="str">
        <f>IFERROR(VLOOKUP(Tabla5[[#This Row],[Cod trabalhador]],'Outros descontos'!B:M,13,FALSE),"")</f>
        <v/>
      </c>
      <c r="AN47" s="41"/>
      <c r="AO47" s="37">
        <v>4.08</v>
      </c>
      <c r="AP47" s="15"/>
      <c r="AQ47"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2101.6800000000003</v>
      </c>
      <c r="AR47"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2101.6800000000003</v>
      </c>
      <c r="AS47" s="15"/>
      <c r="AT47" s="27" t="str">
        <f>IF(Tabla5[[#This Row],[Cod trabalhador]]="", "", INDEX(Iban!C:C, MATCH(Tabla5[[#This Row],[Cod trabalhador]],Iban!A:A, 0)))</f>
        <v>ES11 0182 0974 0202 0174 9696</v>
      </c>
      <c r="AU47" s="66"/>
      <c r="AV47" s="130"/>
      <c r="AW47" s="130" t="s">
        <v>7540</v>
      </c>
      <c r="AX47" s="335" t="s">
        <v>7472</v>
      </c>
    </row>
    <row r="48" spans="1:50" ht="18.75" customHeight="1" x14ac:dyDescent="0.3">
      <c r="A48" s="43"/>
      <c r="B48" s="141" t="s">
        <v>6332</v>
      </c>
      <c r="C48" s="390" t="str">
        <f>IF(ISNUMBER(MATCH(Tabla5[[#This Row],[Cod trabalhador]],'Altas Rosas'!B:B, 0)), "Ativo", "Não ativo")</f>
        <v>Não ativo</v>
      </c>
      <c r="D48" s="390" t="str">
        <f>IFERROR(IF(VLOOKUP(Tabla5[[#This Row],[Cod trabalhador]],'Altas Industrial'!B:E,1,0)&lt;&gt;"","KI",""),"")</f>
        <v/>
      </c>
      <c r="E48" s="142" t="str">
        <f>IFERROR(IF(VLOOKUP(Tabla5[[#This Row],[Cod trabalhador]],'Altas Rosas'!B:F,1,0)&lt;&gt;"","KR",""),"")</f>
        <v/>
      </c>
      <c r="F48" s="142" t="str">
        <f>IFERROR(IF(VLOOKUP(Tabla5[[#This Row],[Cod trabalhador]],'Altas Wiseowe'!B:E,1,0)&lt;&gt;"","WS",""),"")</f>
        <v/>
      </c>
      <c r="G48" s="390" t="str">
        <f>IFERROR(IF(VLOOKUP(Tabla5[[#This Row],[Cod trabalhador]],'Altas Luminous'!B:E,1,0)&lt;&gt;"","LM",""),"")</f>
        <v/>
      </c>
      <c r="H48" s="143" t="str">
        <f>IFERROR(VLOOKUP(Tabla5[[#This Row],[Cod trabalhador]],'Altas Rosas'!B:F,4,FALSE),"")</f>
        <v/>
      </c>
      <c r="I48" s="143" t="str">
        <f>IF(OR(Tabla5[[#This Row],[Cod trabalhador]]="",ISBLANK(Tabla5[[#This Row],[Cod trabalhador]])),"",IFERROR(IF(VLOOKUP(Tabla5[[#This Row],[Cod trabalhador]],'Altas Rosas'!B:F,5,FALSE)=0,"",VLOOKUP(Tabla5[[#This Row],[Cod trabalhador]],'Altas Rosas'!B:F,5,FALSE)),""))</f>
        <v/>
      </c>
      <c r="J48" s="142">
        <f t="shared" si="1"/>
        <v>0</v>
      </c>
      <c r="K48" s="380" t="s">
        <v>7197</v>
      </c>
      <c r="L48" s="341" t="str">
        <f>IFERROR(IF(Tabla5[[#This Row],[Cod trabalhador]]="",Tabla5[[#This Row],[Cod trabalhador]], INDEX(Colaborador_ID[Nombre], MATCH(Tabla5[[#This Row],[Cod trabalhador]],Colaborador_ID[Cod_colab], 0))), "")</f>
        <v>SERGIO DAVID CORDOBA TUTA</v>
      </c>
      <c r="M48" s="15"/>
      <c r="N48" s="25" t="s">
        <v>7193</v>
      </c>
      <c r="O48" s="26">
        <f>IFERROR(VLOOKUP(Tabla5[[#This Row],[Cod trabalhador]],Tabla15[],4,FALSE),"")</f>
        <v>15</v>
      </c>
      <c r="P48" s="251">
        <f>IFERROR(VLOOKUP(Tabla5[[#This Row],[Cod trabalhador]],'TotalHorasAjustadas (2)'!D:L,8,FALSE),"")</f>
        <v>161</v>
      </c>
      <c r="Q48" s="131">
        <v>161</v>
      </c>
      <c r="R48" s="252" t="s">
        <v>7471</v>
      </c>
      <c r="S48" s="253" t="s">
        <v>7539</v>
      </c>
      <c r="T48" s="15"/>
      <c r="U48" s="25"/>
      <c r="V48" s="26"/>
      <c r="W48" s="27"/>
      <c r="X48" s="28"/>
      <c r="Y48" s="26"/>
      <c r="Z48" s="15"/>
      <c r="AA48" s="38">
        <f>IFERROR(VLOOKUP(Tabla5[[#This Row],[Cod trabalhador]],Alojamentos!B:P,11,FALSE),"")</f>
        <v>300</v>
      </c>
      <c r="AB48" s="34"/>
      <c r="AC48" s="15"/>
      <c r="AD48" s="41">
        <f>Tabla5[[#This Row],[Dias de alta]]*7.058</f>
        <v>0</v>
      </c>
      <c r="AE48" s="40" t="str">
        <f>IFERROR(VLOOKUP(Tabla5[[#This Row],[Cod trabalhador]],Adiantamentos!B:L,7,FALSE),"")</f>
        <v/>
      </c>
      <c r="AF48" s="40">
        <f>IFERROR(VLOOKUP(Tabla5[[#This Row],[Cod trabalhador]],Carro!B:D,3,FALSE),"")</f>
        <v>140</v>
      </c>
      <c r="AG48" s="40" t="str">
        <f>IFERROR(VLOOKUP(Tabla5[[#This Row],[Cod trabalhador]],'Outros descontos'!B:M,7,FALSE),"")</f>
        <v/>
      </c>
      <c r="AH48" s="40" t="str">
        <f>IFERROR(VLOOKUP(Tabla5[[#This Row],[Cod trabalhador]],'Outros descontos'!B:M,8,FALSE),"")</f>
        <v/>
      </c>
      <c r="AI48" s="40" t="str">
        <f>IFERROR(VLOOKUP(Tabla5[[#This Row],[Cod trabalhador]],'Outros descontos'!B:M,9,FALSE),"")</f>
        <v/>
      </c>
      <c r="AJ48" s="40" t="str">
        <f>IFERROR(VLOOKUP(Tabla5[[#This Row],[Cod trabalhador]],'Outros descontos'!B:M,10,FALSE),"")</f>
        <v/>
      </c>
      <c r="AK48" s="40" t="str">
        <f>IFERROR(VLOOKUP(Tabla5[[#This Row],[Cod trabalhador]],'Outros descontos'!B:M,11,FALSE),"")</f>
        <v/>
      </c>
      <c r="AL48" s="40" t="str">
        <f>IFERROR(VLOOKUP(Tabla5[[#This Row],[Cod trabalhador]],'Outros descontos'!B:M,12,FALSE),"")</f>
        <v/>
      </c>
      <c r="AM48" s="40" t="str">
        <f>IFERROR(VLOOKUP(Tabla5[[#This Row],[Cod trabalhador]],'Outros descontos'!B:M,13,FALSE),"")</f>
        <v/>
      </c>
      <c r="AN48" s="41"/>
      <c r="AO48" s="37">
        <v>4.08</v>
      </c>
      <c r="AP48" s="15"/>
      <c r="AQ48"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2570.92</v>
      </c>
      <c r="AR48"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2570.92</v>
      </c>
      <c r="AS48" s="15"/>
      <c r="AT48" s="27" t="str">
        <f>IF(Tabla5[[#This Row],[Cod trabalhador]]="", "", INDEX(Iban!C:C, MATCH(Tabla5[[#This Row],[Cod trabalhador]],Iban!A:A, 0)))</f>
        <v>ES67 6893 0001 7300 0028 5622</v>
      </c>
      <c r="AU48" s="66"/>
      <c r="AV48" s="130"/>
      <c r="AW48" s="130" t="s">
        <v>7540</v>
      </c>
      <c r="AX48" s="335" t="s">
        <v>7472</v>
      </c>
    </row>
    <row r="49" spans="1:50" ht="18.75" customHeight="1" x14ac:dyDescent="0.3">
      <c r="A49" s="43"/>
      <c r="B49" s="141" t="s">
        <v>6467</v>
      </c>
      <c r="C49" s="142" t="str">
        <f>IF(ISNUMBER(MATCH(Tabla5[[#This Row],[Cod trabalhador]],'Altas Rosas'!B:B, 0)), "Ativo", "Não ativo")</f>
        <v>Não ativo</v>
      </c>
      <c r="D49" s="142" t="str">
        <f>IFERROR(IF(VLOOKUP(Tabla5[[#This Row],[Cod trabalhador]],'Altas Industrial'!B:E,1,0)&lt;&gt;"","KI",""),"")</f>
        <v/>
      </c>
      <c r="E49" s="142" t="str">
        <f>IFERROR(IF(VLOOKUP(Tabla5[[#This Row],[Cod trabalhador]],'Altas Rosas'!B:F,1,0)&lt;&gt;"","KR",""),"")</f>
        <v/>
      </c>
      <c r="F49" s="142" t="str">
        <f>IFERROR(IF(VLOOKUP(Tabla5[[#This Row],[Cod trabalhador]],'Altas Wiseowe'!B:E,1,0)&lt;&gt;"","WS",""),"")</f>
        <v/>
      </c>
      <c r="G49" s="142" t="str">
        <f>IFERROR(IF(VLOOKUP(Tabla5[[#This Row],[Cod trabalhador]],'Altas Luminous'!B:E,1,0)&lt;&gt;"","LM",""),"")</f>
        <v/>
      </c>
      <c r="H49" s="143" t="str">
        <f>IFERROR(VLOOKUP(Tabla5[[#This Row],[Cod trabalhador]],'Altas Rosas'!B:F,4,FALSE),"")</f>
        <v/>
      </c>
      <c r="I49" s="143" t="str">
        <f>IF(OR(Tabla5[[#This Row],[Cod trabalhador]]="",ISBLANK(Tabla5[[#This Row],[Cod trabalhador]])),"",IFERROR(IF(VLOOKUP(Tabla5[[#This Row],[Cod trabalhador]],'Altas Rosas'!B:F,5,FALSE)=0,"",VLOOKUP(Tabla5[[#This Row],[Cod trabalhador]],'Altas Rosas'!B:F,5,FALSE)),""))</f>
        <v/>
      </c>
      <c r="J49" s="142">
        <f t="shared" si="1"/>
        <v>0</v>
      </c>
      <c r="K49" s="380" t="s">
        <v>6468</v>
      </c>
      <c r="L49" s="341" t="str">
        <f>IFERROR(IF(Tabla5[[#This Row],[Cod trabalhador]]="",Tabla5[[#This Row],[Cod trabalhador]], INDEX(Colaborador_ID[Nombre], MATCH(Tabla5[[#This Row],[Cod trabalhador]],Colaborador_ID[Cod_colab], 0))), "")</f>
        <v>VICTOR BLANCO BRAVO</v>
      </c>
      <c r="M49" s="15"/>
      <c r="N49" s="25" t="s">
        <v>7185</v>
      </c>
      <c r="O49" s="26">
        <f>IFERROR(VLOOKUP(Tabla5[[#This Row],[Cod trabalhador]],Tabla15[],4,FALSE),"")</f>
        <v>15</v>
      </c>
      <c r="P49" s="251">
        <f>IFERROR(VLOOKUP(Tabla5[[#This Row],[Cod trabalhador]],'TotalHorasAjustadas (2)'!D:L,8,FALSE),"")</f>
        <v>135</v>
      </c>
      <c r="Q49" s="131">
        <v>135</v>
      </c>
      <c r="R49" s="252" t="s">
        <v>7471</v>
      </c>
      <c r="S49" s="253" t="s">
        <v>7539</v>
      </c>
      <c r="T49" s="15"/>
      <c r="U49" s="25"/>
      <c r="V49" s="26"/>
      <c r="W49" s="27"/>
      <c r="X49" s="28"/>
      <c r="Y49" s="26"/>
      <c r="Z49" s="15"/>
      <c r="AA49" s="38">
        <f>IFERROR(VLOOKUP(Tabla5[[#This Row],[Cod trabalhador]],Alojamentos!B:P,11,FALSE),"")</f>
        <v>300</v>
      </c>
      <c r="AB49" s="34"/>
      <c r="AC49" s="15"/>
      <c r="AD49" s="41">
        <f>Tabla5[[#This Row],[Dias de alta]]*7.058</f>
        <v>0</v>
      </c>
      <c r="AE49" s="40" t="str">
        <f>IFERROR(VLOOKUP(Tabla5[[#This Row],[Cod trabalhador]],Adiantamentos!B:L,7,FALSE),"")</f>
        <v/>
      </c>
      <c r="AF49" s="40" t="str">
        <f>IFERROR(VLOOKUP(Tabla5[[#This Row],[Cod trabalhador]],Carro!B:D,3,FALSE),"")</f>
        <v/>
      </c>
      <c r="AG49" s="40" t="str">
        <f>IFERROR(VLOOKUP(Tabla5[[#This Row],[Cod trabalhador]],'Outros descontos'!B:M,7,FALSE),"")</f>
        <v/>
      </c>
      <c r="AH49" s="40" t="str">
        <f>IFERROR(VLOOKUP(Tabla5[[#This Row],[Cod trabalhador]],'Outros descontos'!B:M,8,FALSE),"")</f>
        <v/>
      </c>
      <c r="AI49" s="40" t="str">
        <f>IFERROR(VLOOKUP(Tabla5[[#This Row],[Cod trabalhador]],'Outros descontos'!B:M,9,FALSE),"")</f>
        <v/>
      </c>
      <c r="AJ49" s="40" t="str">
        <f>IFERROR(VLOOKUP(Tabla5[[#This Row],[Cod trabalhador]],'Outros descontos'!B:M,10,FALSE),"")</f>
        <v/>
      </c>
      <c r="AK49" s="40" t="str">
        <f>IFERROR(VLOOKUP(Tabla5[[#This Row],[Cod trabalhador]],'Outros descontos'!B:M,11,FALSE),"")</f>
        <v/>
      </c>
      <c r="AL49" s="40" t="str">
        <f>IFERROR(VLOOKUP(Tabla5[[#This Row],[Cod trabalhador]],'Outros descontos'!B:M,12,FALSE),"")</f>
        <v/>
      </c>
      <c r="AM49" s="40" t="str">
        <f>IFERROR(VLOOKUP(Tabla5[[#This Row],[Cod trabalhador]],'Outros descontos'!B:M,13,FALSE),"")</f>
        <v/>
      </c>
      <c r="AN49" s="41"/>
      <c r="AO49" s="37">
        <v>4.08</v>
      </c>
      <c r="AP49" s="15"/>
      <c r="AQ49"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2320.92</v>
      </c>
      <c r="AR49"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2320.92</v>
      </c>
      <c r="AS49" s="15"/>
      <c r="AT49" s="27" t="str">
        <f>IF(Tabla5[[#This Row],[Cod trabalhador]]="", "", INDEX(Iban!C:C, MATCH(Tabla5[[#This Row],[Cod trabalhador]],Iban!A:A, 0)))</f>
        <v xml:space="preserve">ES29 0182 0606 8802 0178 3540 </v>
      </c>
      <c r="AU49" s="66"/>
      <c r="AV49" s="130"/>
      <c r="AW49" s="130" t="s">
        <v>7540</v>
      </c>
      <c r="AX49" s="335" t="s">
        <v>7472</v>
      </c>
    </row>
    <row r="50" spans="1:50" ht="18.75" customHeight="1" x14ac:dyDescent="0.3">
      <c r="A50" s="43"/>
      <c r="B50" s="141" t="s">
        <v>6494</v>
      </c>
      <c r="C50" s="142" t="str">
        <f>IF(ISNUMBER(MATCH(Tabla5[[#This Row],[Cod trabalhador]],'Altas Rosas'!B:B, 0)), "Ativo", "Não ativo")</f>
        <v>Não ativo</v>
      </c>
      <c r="D50" s="142" t="str">
        <f>IFERROR(IF(VLOOKUP(Tabla5[[#This Row],[Cod trabalhador]],'Altas Industrial'!B:E,1,0)&lt;&gt;"","KI",""),"")</f>
        <v/>
      </c>
      <c r="E50" s="142" t="str">
        <f>IFERROR(IF(VLOOKUP(Tabla5[[#This Row],[Cod trabalhador]],'Altas Rosas'!B:F,1,0)&lt;&gt;"","KR",""),"")</f>
        <v/>
      </c>
      <c r="F50" s="142" t="str">
        <f>IFERROR(IF(VLOOKUP(Tabla5[[#This Row],[Cod trabalhador]],'Altas Wiseowe'!B:E,1,0)&lt;&gt;"","WS",""),"")</f>
        <v/>
      </c>
      <c r="G50" s="142" t="str">
        <f>IFERROR(IF(VLOOKUP(Tabla5[[#This Row],[Cod trabalhador]],'Altas Luminous'!B:E,1,0)&lt;&gt;"","LM",""),"")</f>
        <v/>
      </c>
      <c r="H50" s="143" t="str">
        <f>IFERROR(VLOOKUP(Tabla5[[#This Row],[Cod trabalhador]],'Altas Rosas'!B:F,4,FALSE),"")</f>
        <v/>
      </c>
      <c r="I50" s="143" t="str">
        <f>IF(OR(Tabla5[[#This Row],[Cod trabalhador]]="",ISBLANK(Tabla5[[#This Row],[Cod trabalhador]])),"",IFERROR(IF(VLOOKUP(Tabla5[[#This Row],[Cod trabalhador]],'Altas Rosas'!B:F,5,FALSE)=0,"",VLOOKUP(Tabla5[[#This Row],[Cod trabalhador]],'Altas Rosas'!B:F,5,FALSE)),""))</f>
        <v/>
      </c>
      <c r="J50" s="142">
        <f t="shared" si="1"/>
        <v>0</v>
      </c>
      <c r="K50" s="380" t="s">
        <v>7212</v>
      </c>
      <c r="L50" s="341" t="str">
        <f>IFERROR(IF(Tabla5[[#This Row],[Cod trabalhador]]="",Tabla5[[#This Row],[Cod trabalhador]], INDEX(Colaborador_ID[Nombre], MATCH(Tabla5[[#This Row],[Cod trabalhador]],Colaborador_ID[Cod_colab], 0))), "")</f>
        <v>VICTOR RAMON TUANAMA GARCIA</v>
      </c>
      <c r="M50" s="15"/>
      <c r="N50" s="25" t="s">
        <v>7210</v>
      </c>
      <c r="O50" s="26">
        <f>IFERROR(VLOOKUP(Tabla5[[#This Row],[Cod trabalhador]],Tabla15[],4,FALSE),"")</f>
        <v>15</v>
      </c>
      <c r="P50" s="251">
        <f>IFERROR(VLOOKUP(Tabla5[[#This Row],[Cod trabalhador]],'TotalHorasAjustadas (2)'!D:L,8,FALSE),"")</f>
        <v>238</v>
      </c>
      <c r="Q50" s="131">
        <v>238</v>
      </c>
      <c r="R50" s="252" t="s">
        <v>7532</v>
      </c>
      <c r="S50" s="253" t="s">
        <v>7539</v>
      </c>
      <c r="T50" s="15"/>
      <c r="U50" s="25"/>
      <c r="V50" s="26"/>
      <c r="W50" s="27"/>
      <c r="X50" s="28"/>
      <c r="Y50" s="26"/>
      <c r="Z50" s="104"/>
      <c r="AA50" s="38" t="str">
        <f>IFERROR(VLOOKUP(Tabla5[[#This Row],[Cod trabalhador]],Alojamentos!B:P,11,FALSE),"")</f>
        <v/>
      </c>
      <c r="AB50" s="34"/>
      <c r="AC50" s="104"/>
      <c r="AD50" s="41">
        <f>Tabla5[[#This Row],[Dias de alta]]*7.058</f>
        <v>0</v>
      </c>
      <c r="AE50" s="40" t="str">
        <f>IFERROR(VLOOKUP(Tabla5[[#This Row],[Cod trabalhador]],Adiantamentos!B:L,7,FALSE),"")</f>
        <v/>
      </c>
      <c r="AF50" s="40" t="str">
        <f>IFERROR(VLOOKUP(Tabla5[[#This Row],[Cod trabalhador]],Carro!B:D,3,FALSE),"")</f>
        <v/>
      </c>
      <c r="AG50" s="40" t="str">
        <f>IFERROR(VLOOKUP(Tabla5[[#This Row],[Cod trabalhador]],'Outros descontos'!B:M,7,FALSE),"")</f>
        <v/>
      </c>
      <c r="AH50" s="40" t="str">
        <f>IFERROR(VLOOKUP(Tabla5[[#This Row],[Cod trabalhador]],'Outros descontos'!B:M,8,FALSE),"")</f>
        <v/>
      </c>
      <c r="AI50" s="40" t="str">
        <f>IFERROR(VLOOKUP(Tabla5[[#This Row],[Cod trabalhador]],'Outros descontos'!B:M,9,FALSE),"")</f>
        <v/>
      </c>
      <c r="AJ50" s="40" t="str">
        <f>IFERROR(VLOOKUP(Tabla5[[#This Row],[Cod trabalhador]],'Outros descontos'!B:M,10,FALSE),"")</f>
        <v/>
      </c>
      <c r="AK50" s="40" t="str">
        <f>IFERROR(VLOOKUP(Tabla5[[#This Row],[Cod trabalhador]],'Outros descontos'!B:M,11,FALSE),"")</f>
        <v/>
      </c>
      <c r="AL50" s="40" t="str">
        <f>IFERROR(VLOOKUP(Tabla5[[#This Row],[Cod trabalhador]],'Outros descontos'!B:M,12,FALSE),"")</f>
        <v/>
      </c>
      <c r="AM50" s="40" t="str">
        <f>IFERROR(VLOOKUP(Tabla5[[#This Row],[Cod trabalhador]],'Outros descontos'!B:M,13,FALSE),"")</f>
        <v/>
      </c>
      <c r="AN50" s="41"/>
      <c r="AO50" s="37">
        <v>4.08</v>
      </c>
      <c r="AP50" s="105"/>
      <c r="AQ50"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3565.92</v>
      </c>
      <c r="AR50"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3565.92</v>
      </c>
      <c r="AS50" s="15"/>
      <c r="AT50" s="27" t="str">
        <f>IF(Tabla5[[#This Row],[Cod trabalhador]]="", "", INDEX(Iban!C:C, MATCH(Tabla5[[#This Row],[Cod trabalhador]],Iban!A:A, 0)))</f>
        <v>ES91 0049 1256 3521 1030 0369</v>
      </c>
      <c r="AU50" s="66"/>
      <c r="AV50" s="130"/>
      <c r="AW50" s="130" t="s">
        <v>7540</v>
      </c>
      <c r="AX50" s="335" t="s">
        <v>7472</v>
      </c>
    </row>
    <row r="51" spans="1:50" ht="18.75" customHeight="1" x14ac:dyDescent="0.3">
      <c r="A51" s="43"/>
      <c r="B51" s="141" t="s">
        <v>6689</v>
      </c>
      <c r="C51" s="390" t="str">
        <f>IF(ISNUMBER(MATCH(Tabla5[[#This Row],[Cod trabalhador]],'Altas Rosas'!B:B, 0)), "Ativo", "Não ativo")</f>
        <v>Não ativo</v>
      </c>
      <c r="D51" s="390" t="str">
        <f>IFERROR(IF(VLOOKUP(Tabla5[[#This Row],[Cod trabalhador]],'Altas Industrial'!B:E,1,0)&lt;&gt;"","KI",""),"")</f>
        <v/>
      </c>
      <c r="E51" s="142" t="str">
        <f>IFERROR(IF(VLOOKUP(Tabla5[[#This Row],[Cod trabalhador]],'Altas Rosas'!B:F,1,0)&lt;&gt;"","KR",""),"")</f>
        <v/>
      </c>
      <c r="F51" s="142" t="str">
        <f>IFERROR(IF(VLOOKUP(Tabla5[[#This Row],[Cod trabalhador]],'Altas Wiseowe'!B:E,1,0)&lt;&gt;"","WS",""),"")</f>
        <v/>
      </c>
      <c r="G51" s="390" t="str">
        <f>IFERROR(IF(VLOOKUP(Tabla5[[#This Row],[Cod trabalhador]],'Altas Luminous'!B:E,1,0)&lt;&gt;"","LM",""),"")</f>
        <v/>
      </c>
      <c r="H51" s="143" t="str">
        <f>IFERROR(VLOOKUP(Tabla5[[#This Row],[Cod trabalhador]],'Altas Rosas'!B:F,4,FALSE),"")</f>
        <v/>
      </c>
      <c r="I51" s="143" t="str">
        <f>IF(OR(Tabla5[[#This Row],[Cod trabalhador]]="",ISBLANK(Tabla5[[#This Row],[Cod trabalhador]])),"",IFERROR(IF(VLOOKUP(Tabla5[[#This Row],[Cod trabalhador]],'Altas Rosas'!B:F,5,FALSE)=0,"",VLOOKUP(Tabla5[[#This Row],[Cod trabalhador]],'Altas Rosas'!B:F,5,FALSE)),""))</f>
        <v/>
      </c>
      <c r="J51" s="142">
        <f t="shared" si="1"/>
        <v>0</v>
      </c>
      <c r="K51" s="380" t="s">
        <v>7235</v>
      </c>
      <c r="L51" s="341" t="str">
        <f>IFERROR(IF(Tabla5[[#This Row],[Cod trabalhador]]="",Tabla5[[#This Row],[Cod trabalhador]], INDEX(Colaborador_ID[Nombre], MATCH(Tabla5[[#This Row],[Cod trabalhador]],Colaborador_ID[Cod_colab], 0))), "")</f>
        <v>WILMAN DE AVILA MARRIAGA</v>
      </c>
      <c r="M51" s="15"/>
      <c r="N51" s="25" t="s">
        <v>7229</v>
      </c>
      <c r="O51" s="26">
        <f>IFERROR(VLOOKUP(Tabla5[[#This Row],[Cod trabalhador]],Tabla15[],4,FALSE),"")</f>
        <v>14</v>
      </c>
      <c r="P51" s="251">
        <f>IFERROR(VLOOKUP(Tabla5[[#This Row],[Cod trabalhador]],'TotalHorasAjustadas (2)'!D:L,8,FALSE),"")</f>
        <v>143</v>
      </c>
      <c r="Q51" s="131">
        <v>143</v>
      </c>
      <c r="R51" s="252" t="s">
        <v>7532</v>
      </c>
      <c r="S51" s="253" t="s">
        <v>7539</v>
      </c>
      <c r="T51" s="15"/>
      <c r="U51" s="25"/>
      <c r="V51" s="26"/>
      <c r="W51" s="27"/>
      <c r="X51" s="28"/>
      <c r="Y51" s="26"/>
      <c r="Z51" s="15"/>
      <c r="AA51" s="38" t="str">
        <f>IFERROR(VLOOKUP(Tabla5[[#This Row],[Cod trabalhador]],Alojamentos!B:P,11,FALSE),"")</f>
        <v/>
      </c>
      <c r="AB51" s="34"/>
      <c r="AC51" s="15"/>
      <c r="AD51" s="41">
        <f>Tabla5[[#This Row],[Dias de alta]]*7.058</f>
        <v>0</v>
      </c>
      <c r="AE51" s="40" t="str">
        <f>IFERROR(VLOOKUP(Tabla5[[#This Row],[Cod trabalhador]],Adiantamentos!B:L,7,FALSE),"")</f>
        <v/>
      </c>
      <c r="AF51" s="40" t="str">
        <f>IFERROR(VLOOKUP(Tabla5[[#This Row],[Cod trabalhador]],Carro!B:D,3,FALSE),"")</f>
        <v/>
      </c>
      <c r="AG51" s="40" t="str">
        <f>IFERROR(VLOOKUP(Tabla5[[#This Row],[Cod trabalhador]],'Outros descontos'!B:M,7,FALSE),"")</f>
        <v/>
      </c>
      <c r="AH51" s="40" t="str">
        <f>IFERROR(VLOOKUP(Tabla5[[#This Row],[Cod trabalhador]],'Outros descontos'!B:M,8,FALSE),"")</f>
        <v/>
      </c>
      <c r="AI51" s="40" t="str">
        <f>IFERROR(VLOOKUP(Tabla5[[#This Row],[Cod trabalhador]],'Outros descontos'!B:M,9,FALSE),"")</f>
        <v/>
      </c>
      <c r="AJ51" s="40" t="str">
        <f>IFERROR(VLOOKUP(Tabla5[[#This Row],[Cod trabalhador]],'Outros descontos'!B:M,10,FALSE),"")</f>
        <v/>
      </c>
      <c r="AK51" s="40" t="str">
        <f>IFERROR(VLOOKUP(Tabla5[[#This Row],[Cod trabalhador]],'Outros descontos'!B:M,11,FALSE),"")</f>
        <v/>
      </c>
      <c r="AL51" s="40" t="str">
        <f>IFERROR(VLOOKUP(Tabla5[[#This Row],[Cod trabalhador]],'Outros descontos'!B:M,12,FALSE),"")</f>
        <v/>
      </c>
      <c r="AM51" s="40" t="str">
        <f>IFERROR(VLOOKUP(Tabla5[[#This Row],[Cod trabalhador]],'Outros descontos'!B:M,13,FALSE),"")</f>
        <v/>
      </c>
      <c r="AN51" s="41"/>
      <c r="AO51" s="37">
        <v>4.08</v>
      </c>
      <c r="AP51" s="15"/>
      <c r="AQ51"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1997.92</v>
      </c>
      <c r="AR51"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1997.92</v>
      </c>
      <c r="AS51" s="15"/>
      <c r="AT51" s="27" t="str">
        <f>IF(Tabla5[[#This Row],[Cod trabalhador]]="", "", INDEX(Iban!C:C, MATCH(Tabla5[[#This Row],[Cod trabalhador]],Iban!A:A, 0)))</f>
        <v>ES27 6893 0001 7700 0027 9744</v>
      </c>
      <c r="AU51" s="66"/>
      <c r="AV51" s="130"/>
      <c r="AW51" s="130" t="s">
        <v>7540</v>
      </c>
      <c r="AX51" s="335" t="s">
        <v>7472</v>
      </c>
    </row>
    <row r="52" spans="1:50" ht="18.75" customHeight="1" x14ac:dyDescent="0.3">
      <c r="A52" s="43"/>
      <c r="B52" s="141" t="s">
        <v>6785</v>
      </c>
      <c r="C52" s="390" t="str">
        <f>IF(ISNUMBER(MATCH(Tabla5[[#This Row],[Cod trabalhador]],'Altas Rosas'!B:B, 0)), "Ativo", "Não ativo")</f>
        <v>Ativo</v>
      </c>
      <c r="D52" s="390" t="str">
        <f>IFERROR(IF(VLOOKUP(Tabla5[[#This Row],[Cod trabalhador]],'Altas Industrial'!B:E,1,0)&lt;&gt;"","KI",""),"")</f>
        <v/>
      </c>
      <c r="E52" s="142" t="str">
        <f>IFERROR(IF(VLOOKUP(Tabla5[[#This Row],[Cod trabalhador]],'Altas Rosas'!B:F,1,0)&lt;&gt;"","KR",""),"")</f>
        <v>KR</v>
      </c>
      <c r="F52" s="142" t="str">
        <f>IFERROR(IF(VLOOKUP(Tabla5[[#This Row],[Cod trabalhador]],'Altas Wiseowe'!B:E,1,0)&lt;&gt;"","WS",""),"")</f>
        <v/>
      </c>
      <c r="G52" s="390" t="str">
        <f>IFERROR(IF(VLOOKUP(Tabla5[[#This Row],[Cod trabalhador]],'Altas Luminous'!B:E,1,0)&lt;&gt;"","LM",""),"")</f>
        <v/>
      </c>
      <c r="H52" s="143">
        <f>IFERROR(VLOOKUP(Tabla5[[#This Row],[Cod trabalhador]],'Altas Rosas'!B:F,4,FALSE),"")</f>
        <v>45686</v>
      </c>
      <c r="I52" s="143" t="str">
        <f>IF(OR(Tabla5[[#This Row],[Cod trabalhador]]="",ISBLANK(Tabla5[[#This Row],[Cod trabalhador]])),"",IFERROR(IF(VLOOKUP(Tabla5[[#This Row],[Cod trabalhador]],'Altas Rosas'!B:F,5,FALSE)=0,"",VLOOKUP(Tabla5[[#This Row],[Cod trabalhador]],'Altas Rosas'!B:F,5,FALSE)),""))</f>
        <v/>
      </c>
      <c r="J52" s="142">
        <f t="shared" si="1"/>
        <v>31</v>
      </c>
      <c r="K52" s="380" t="s">
        <v>6786</v>
      </c>
      <c r="L52" s="341" t="str">
        <f>IFERROR(IF(Tabla5[[#This Row],[Cod trabalhador]]="",Tabla5[[#This Row],[Cod trabalhador]], INDEX(Colaborador_ID[Nombre], MATCH(Tabla5[[#This Row],[Cod trabalhador]],Colaborador_ID[Cod_colab], 0))), "")</f>
        <v>XEMIR SOLER ROMERO</v>
      </c>
      <c r="M52" s="15"/>
      <c r="N52" s="25" t="s">
        <v>7213</v>
      </c>
      <c r="O52" s="26">
        <f>IFERROR(VLOOKUP(Tabla5[[#This Row],[Cod trabalhador]],Tabla15[],4,FALSE),"")</f>
        <v>15</v>
      </c>
      <c r="P52" s="251">
        <f>IFERROR(VLOOKUP(Tabla5[[#This Row],[Cod trabalhador]],'TotalHorasAjustadas (2)'!D:L,8,FALSE),"")</f>
        <v>137</v>
      </c>
      <c r="Q52" s="131">
        <v>137</v>
      </c>
      <c r="R52" s="252" t="s">
        <v>7532</v>
      </c>
      <c r="S52" s="253" t="s">
        <v>7539</v>
      </c>
      <c r="T52" s="15"/>
      <c r="U52" s="25"/>
      <c r="V52" s="26"/>
      <c r="W52" s="27"/>
      <c r="X52" s="28"/>
      <c r="Y52" s="26"/>
      <c r="Z52" s="15"/>
      <c r="AA52" s="38" t="str">
        <f>IFERROR(VLOOKUP(Tabla5[[#This Row],[Cod trabalhador]],Alojamentos!B:P,11,FALSE),"")</f>
        <v/>
      </c>
      <c r="AB52" s="34"/>
      <c r="AC52" s="15"/>
      <c r="AD52" s="41">
        <f>Tabla5[[#This Row],[Dias de alta]]*7.058</f>
        <v>218.798</v>
      </c>
      <c r="AE52" s="40" t="str">
        <f>IFERROR(VLOOKUP(Tabla5[[#This Row],[Cod trabalhador]],Adiantamentos!B:L,7,FALSE),"")</f>
        <v/>
      </c>
      <c r="AF52" s="40">
        <f>IFERROR(VLOOKUP(Tabla5[[#This Row],[Cod trabalhador]],Carro!B:D,3,FALSE),"")</f>
        <v>89.523809523809518</v>
      </c>
      <c r="AG52" s="40" t="str">
        <f>IFERROR(VLOOKUP(Tabla5[[#This Row],[Cod trabalhador]],'Outros descontos'!B:M,7,FALSE),"")</f>
        <v/>
      </c>
      <c r="AH52" s="40" t="str">
        <f>IFERROR(VLOOKUP(Tabla5[[#This Row],[Cod trabalhador]],'Outros descontos'!B:M,8,FALSE),"")</f>
        <v/>
      </c>
      <c r="AI52" s="40" t="str">
        <f>IFERROR(VLOOKUP(Tabla5[[#This Row],[Cod trabalhador]],'Outros descontos'!B:M,9,FALSE),"")</f>
        <v/>
      </c>
      <c r="AJ52" s="40" t="str">
        <f>IFERROR(VLOOKUP(Tabla5[[#This Row],[Cod trabalhador]],'Outros descontos'!B:M,10,FALSE),"")</f>
        <v/>
      </c>
      <c r="AK52" s="40" t="str">
        <f>IFERROR(VLOOKUP(Tabla5[[#This Row],[Cod trabalhador]],'Outros descontos'!B:M,11,FALSE),"")</f>
        <v/>
      </c>
      <c r="AL52" s="40" t="str">
        <f>IFERROR(VLOOKUP(Tabla5[[#This Row],[Cod trabalhador]],'Outros descontos'!B:M,12,FALSE),"")</f>
        <v/>
      </c>
      <c r="AM52" s="40" t="str">
        <f>IFERROR(VLOOKUP(Tabla5[[#This Row],[Cod trabalhador]],'Outros descontos'!B:M,13,FALSE),"")</f>
        <v/>
      </c>
      <c r="AN52" s="41"/>
      <c r="AO52" s="37">
        <v>4.08</v>
      </c>
      <c r="AP52" s="15"/>
      <c r="AQ52"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1742.5981904761907</v>
      </c>
      <c r="AR52"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1742.5981904761907</v>
      </c>
      <c r="AS52" s="15"/>
      <c r="AT52" s="27" t="str">
        <f>IF(Tabla5[[#This Row],[Cod trabalhador]]="", "", INDEX(Iban!C:C, MATCH(Tabla5[[#This Row],[Cod trabalhador]],Iban!A:A, 0)))</f>
        <v>ES57 0182 0374 9102 0154 6169</v>
      </c>
      <c r="AU52" s="66"/>
      <c r="AV52" s="130"/>
      <c r="AW52" s="130" t="s">
        <v>7540</v>
      </c>
      <c r="AX52" s="335" t="s">
        <v>7472</v>
      </c>
    </row>
    <row r="53" spans="1:50" ht="18.75" customHeight="1" x14ac:dyDescent="0.3">
      <c r="A53" s="43"/>
      <c r="B53" s="141" t="s">
        <v>6818</v>
      </c>
      <c r="C53" s="142" t="str">
        <f>IF(ISNUMBER(MATCH(Tabla5[[#This Row],[Cod trabalhador]],'Altas Rosas'!B:B, 0)), "Ativo", "Não ativo")</f>
        <v>Ativo</v>
      </c>
      <c r="D53" s="142" t="str">
        <f>IFERROR(IF(VLOOKUP(Tabla5[[#This Row],[Cod trabalhador]],'Altas Industrial'!B:E,1,0)&lt;&gt;"","KI",""),"")</f>
        <v/>
      </c>
      <c r="E53" s="142" t="str">
        <f>IFERROR(IF(VLOOKUP(Tabla5[[#This Row],[Cod trabalhador]],'Altas Rosas'!B:F,1,0)&lt;&gt;"","KR",""),"")</f>
        <v>KR</v>
      </c>
      <c r="F53" s="142" t="str">
        <f>IFERROR(IF(VLOOKUP(Tabla5[[#This Row],[Cod trabalhador]],'Altas Wiseowe'!B:E,1,0)&lt;&gt;"","WS",""),"")</f>
        <v/>
      </c>
      <c r="G53" s="142" t="str">
        <f>IFERROR(IF(VLOOKUP(Tabla5[[#This Row],[Cod trabalhador]],'Altas Luminous'!B:E,1,0)&lt;&gt;"","LM",""),"")</f>
        <v/>
      </c>
      <c r="H53" s="143">
        <f>IFERROR(VLOOKUP(Tabla5[[#This Row],[Cod trabalhador]],'Altas Rosas'!B:F,4,FALSE),"")</f>
        <v>45762</v>
      </c>
      <c r="I53" s="143">
        <f>IF(OR(Tabla5[[#This Row],[Cod trabalhador]]="",ISBLANK(Tabla5[[#This Row],[Cod trabalhador]])),"",IFERROR(IF(VLOOKUP(Tabla5[[#This Row],[Cod trabalhador]],'Altas Rosas'!B:F,5,FALSE)=0,"",VLOOKUP(Tabla5[[#This Row],[Cod trabalhador]],'Altas Rosas'!B:F,5,FALSE)),""))</f>
        <v>46052</v>
      </c>
      <c r="J53" s="142">
        <f t="shared" si="1"/>
        <v>30</v>
      </c>
      <c r="K53" s="380" t="s">
        <v>7236</v>
      </c>
      <c r="L53" s="341" t="str">
        <f>IFERROR(IF(Tabla5[[#This Row],[Cod trabalhador]]="",Tabla5[[#This Row],[Cod trabalhador]], INDEX(Colaborador_ID[Nombre], MATCH(Tabla5[[#This Row],[Cod trabalhador]],Colaborador_ID[Cod_colab], 0))), "")</f>
        <v>YEFFERSON ZULUAGA BUITRAGO</v>
      </c>
      <c r="M53" s="15"/>
      <c r="N53" s="25" t="s">
        <v>7229</v>
      </c>
      <c r="O53" s="26">
        <f>IFERROR(VLOOKUP(Tabla5[[#This Row],[Cod trabalhador]],Tabla15[],4,FALSE),"")</f>
        <v>14</v>
      </c>
      <c r="P53" s="251">
        <f>IFERROR(VLOOKUP(Tabla5[[#This Row],[Cod trabalhador]],'TotalHorasAjustadas (2)'!D:L,8,FALSE),"")</f>
        <v>144</v>
      </c>
      <c r="Q53" s="131">
        <v>144</v>
      </c>
      <c r="R53" s="252" t="s">
        <v>7532</v>
      </c>
      <c r="S53" s="253" t="s">
        <v>7539</v>
      </c>
      <c r="T53" s="15"/>
      <c r="U53" s="25"/>
      <c r="V53" s="26"/>
      <c r="W53" s="27"/>
      <c r="X53" s="28"/>
      <c r="Y53" s="26"/>
      <c r="Z53" s="15"/>
      <c r="AA53" s="38" t="str">
        <f>IFERROR(VLOOKUP(Tabla5[[#This Row],[Cod trabalhador]],Alojamentos!B:P,11,FALSE),"")</f>
        <v/>
      </c>
      <c r="AB53" s="34"/>
      <c r="AC53" s="15"/>
      <c r="AD53" s="41">
        <f>Tabla5[[#This Row],[Dias de alta]]*7.058</f>
        <v>211.74</v>
      </c>
      <c r="AE53" s="40" t="str">
        <f>IFERROR(VLOOKUP(Tabla5[[#This Row],[Cod trabalhador]],Adiantamentos!B:L,7,FALSE),"")</f>
        <v/>
      </c>
      <c r="AF53" s="40" t="str">
        <f>IFERROR(VLOOKUP(Tabla5[[#This Row],[Cod trabalhador]],Carro!B:D,3,FALSE),"")</f>
        <v/>
      </c>
      <c r="AG53" s="40" t="str">
        <f>IFERROR(VLOOKUP(Tabla5[[#This Row],[Cod trabalhador]],'Outros descontos'!B:M,7,FALSE),"")</f>
        <v/>
      </c>
      <c r="AH53" s="40" t="str">
        <f>IFERROR(VLOOKUP(Tabla5[[#This Row],[Cod trabalhador]],'Outros descontos'!B:M,8,FALSE),"")</f>
        <v/>
      </c>
      <c r="AI53" s="40" t="str">
        <f>IFERROR(VLOOKUP(Tabla5[[#This Row],[Cod trabalhador]],'Outros descontos'!B:M,9,FALSE),"")</f>
        <v/>
      </c>
      <c r="AJ53" s="40" t="str">
        <f>IFERROR(VLOOKUP(Tabla5[[#This Row],[Cod trabalhador]],'Outros descontos'!B:M,10,FALSE),"")</f>
        <v/>
      </c>
      <c r="AK53" s="40" t="str">
        <f>IFERROR(VLOOKUP(Tabla5[[#This Row],[Cod trabalhador]],'Outros descontos'!B:M,11,FALSE),"")</f>
        <v/>
      </c>
      <c r="AL53" s="40" t="str">
        <f>IFERROR(VLOOKUP(Tabla5[[#This Row],[Cod trabalhador]],'Outros descontos'!B:M,12,FALSE),"")</f>
        <v/>
      </c>
      <c r="AM53" s="40" t="str">
        <f>IFERROR(VLOOKUP(Tabla5[[#This Row],[Cod trabalhador]],'Outros descontos'!B:M,13,FALSE),"")</f>
        <v/>
      </c>
      <c r="AN53" s="41"/>
      <c r="AO53" s="37">
        <v>4.08</v>
      </c>
      <c r="AP53" s="15"/>
      <c r="AQ53" s="175">
        <f xml:space="preserve"> IFERROR(IF(ISNUMBER(Tabla5[[#This Row],[Hora por Previsão]])*ISNUMBER(Tabla5[[#This Row],[Tarifa cliente 1]]),Tabla5[[#This Row],[Hora por Previsão]]* 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f>
        <v>1800.18</v>
      </c>
      <c r="AR53" s="60">
        <f xml:space="preserve"> IFERROR(IF(ISNUMBER(Tabla5[[#This Row],[Horas confirmadas cliente 1]])*ISNUMBER(Tabla5[[#This Row],[Tarifa cliente 1]]), Tabla5[[#This Row],[Horas confirmadas cliente 1]]*Tabla5[[#This Row],[Tarifa cliente 1]], 0), 0)
+ IFERROR(IF(ISNUMBER(Tabla5[[#This Row],[Horas confirmadas cliente 2]])*ISNUMBER(Tabla5[[#This Row],[Tarifa cliente 2]]), Tabla5[[#This Row],[Horas confirmadas cliente 2]]*Tabla5[[#This Row],[Tarifa cliente 2]], 0), 0)
+ IFERROR(IF(ISNUMBER(Tabla5[[#This Row],[Auxilio alojamento]]), Tabla5[[#This Row],[Auxilio alojamento]], 0), 0)+ IFERROR(IF(ISNUMBER(Tabla5[[#This Row],[Outros acréscimos]]), Tabla5[[#This Row],[Outros acréscimos]], 0), 0) - IFERROR(IF(ISNUMBER(Tabla5[[#This Row],[Imposto ss]]), Tabla5[[#This Row],[Imposto ss]], 0), 0) - IFERROR(IF(ISNUMBER(Tabla5[[#This Row],[Adiantamento]]), Tabla5[[#This Row],[Adiantamento]], 0), 0) - IFERROR(IF(ISNUMBER(Tabla5[[#This Row],[Desconto Carro]]), Tabla5[[#This Row],[Desconto Carro]], 0), 0) - IFERROR(IF(ISNUMBER(Tabla5[[#This Row],[MULTA TRANSITO]]), Tabla5[[#This Row],[MULTA TRANSITO]], 0), 0) - IFERROR(IF(ISNUMBER(Tabla5[[#This Row],[COMBUSTIBLE]]), Tabla5[[#This Row],[COMBUSTIBLE]], 0), 0) - IFERROR(IF(ISNUMBER(Tabla5[[#This Row],[PEAJES]]), Tabla5[[#This Row],[PEAJES]], 0), 0) - IFERROR(IF(ISNUMBER(Tabla5[[#This Row],[SUMINISTROS]]), Tabla5[[#This Row],[SUMINISTROS]], 0), 0) - IFERROR(IF(ISNUMBER(Tabla5[[#This Row],[MULTA ALOJAMIENTO]]), Tabla5[[#This Row],[MULTA ALOJAMIENTO]], 0), 0) - IFERROR(IF(ISNUMBER(Tabla5[[#This Row],[LIMPIEZA O DAÑOS]]), Tabla5[[#This Row],[LIMPIEZA O DAÑOS]], 0), 0) - IFERROR(IF(ISNUMBER(Tabla5[[#This Row],[Outros  descontos]]), Tabla5[[#This Row],[Outros  descontos]], 0), 0) - IFERROR(IF(ISNUMBER(Tabla5[[#This Row],[Taxa bancária]]), Tabla5[[#This Row],[Taxa bancária]], 0), 0)  - IFERROR(IF(ISNUMBER(Tabla5[[#This Row],[EPIS]]), Tabla5[[#This Row],[EPIS]], 0), 0)</f>
        <v>1800.18</v>
      </c>
      <c r="AS53" s="15"/>
      <c r="AT53" s="27" t="str">
        <f>IF(Tabla5[[#This Row],[Cod trabalhador]]="", "", INDEX(Iban!C:C, MATCH(Tabla5[[#This Row],[Cod trabalhador]],Iban!A:A, 0)))</f>
        <v>BE39 9052 8855 6819</v>
      </c>
      <c r="AU53" s="66"/>
      <c r="AV53" s="130"/>
      <c r="AW53" s="130" t="s">
        <v>7540</v>
      </c>
      <c r="AX53" s="335" t="s">
        <v>7472</v>
      </c>
    </row>
  </sheetData>
  <phoneticPr fontId="11" type="noConversion"/>
  <conditionalFormatting sqref="B1">
    <cfRule type="duplicateValues" dxfId="196" priority="81"/>
  </conditionalFormatting>
  <conditionalFormatting sqref="B4:B80">
    <cfRule type="duplicateValues" dxfId="195" priority="22661"/>
  </conditionalFormatting>
  <conditionalFormatting sqref="C2:G2 C4:G1048576 C3">
    <cfRule type="containsText" dxfId="194" priority="322" operator="containsText" text="Não ativo">
      <formula>NOT(ISERROR(SEARCH("Não ativo",C2)))</formula>
    </cfRule>
  </conditionalFormatting>
  <conditionalFormatting sqref="C1:H1">
    <cfRule type="containsText" dxfId="193" priority="80" operator="containsText" text="Não ativo">
      <formula>NOT(ISERROR(SEARCH("Não ativo",C1)))</formula>
    </cfRule>
  </conditionalFormatting>
  <conditionalFormatting sqref="D2:G2 D4:G1048576">
    <cfRule type="containsText" dxfId="192" priority="320" operator="containsText" text="Wiseowe">
      <formula>NOT(ISERROR(SEARCH("Wiseowe",D2)))</formula>
    </cfRule>
    <cfRule type="containsText" dxfId="191" priority="321" operator="containsText" text="No encontrado">
      <formula>NOT(ISERROR(SEARCH("No encontrado",D2)))</formula>
    </cfRule>
  </conditionalFormatting>
  <conditionalFormatting sqref="D2:G1048576">
    <cfRule type="containsText" dxfId="190" priority="319" operator="containsText" text="Industrial">
      <formula>NOT(ISERROR(SEARCH("Industrial",D2)))</formula>
    </cfRule>
  </conditionalFormatting>
  <conditionalFormatting sqref="D3:G3">
    <cfRule type="containsText" dxfId="189" priority="314" operator="containsText" text="Não ativo">
      <formula>NOT(ISERROR(SEARCH("Não ativo",D3)))</formula>
    </cfRule>
    <cfRule type="containsText" dxfId="188" priority="313" operator="containsText" text="No encontrado">
      <formula>NOT(ISERROR(SEARCH("No encontrado",D3)))</formula>
    </cfRule>
    <cfRule type="containsText" dxfId="187" priority="312" operator="containsText" text="Rosas">
      <formula>NOT(ISERROR(SEARCH("Rosas",D3)))</formula>
    </cfRule>
  </conditionalFormatting>
  <conditionalFormatting sqref="D1:H1">
    <cfRule type="containsText" dxfId="186" priority="77" operator="containsText" text="Industrial">
      <formula>NOT(ISERROR(SEARCH("Industrial",D1)))</formula>
    </cfRule>
    <cfRule type="containsText" dxfId="185" priority="78" operator="containsText" text="Rosas">
      <formula>NOT(ISERROR(SEARCH("Rosas",D1)))</formula>
    </cfRule>
    <cfRule type="containsText" dxfId="184" priority="79" operator="containsText" text="No encontrado">
      <formula>NOT(ISERROR(SEARCH("No encontrado",D1)))</formula>
    </cfRule>
  </conditionalFormatting>
  <conditionalFormatting sqref="R4:R53">
    <cfRule type="containsText" dxfId="183" priority="262" operator="containsText" text="Faturado">
      <formula>NOT(ISERROR(SEARCH("Faturado",R4)))</formula>
    </cfRule>
    <cfRule type="containsText" dxfId="182" priority="261" operator="containsText" text="Pendente">
      <formula>NOT(ISERROR(SEARCH("Pendente",R4)))</formula>
    </cfRule>
    <cfRule type="containsText" dxfId="181" priority="260" operator="containsText" text="Confirmada">
      <formula>NOT(ISERROR(SEARCH("Confirmada",R4)))</formula>
    </cfRule>
    <cfRule type="containsText" dxfId="180" priority="203" operator="containsText" text="Faturado">
      <formula>NOT(ISERROR(SEARCH("Faturado",R4)))</formula>
    </cfRule>
    <cfRule type="containsText" dxfId="179" priority="202" operator="containsText" text="Pendente">
      <formula>NOT(ISERROR(SEARCH("Pendente",R4)))</formula>
    </cfRule>
    <cfRule type="containsText" dxfId="178" priority="201" operator="containsText" text="Confirmado">
      <formula>NOT(ISERROR(SEARCH("Confirmado",R4)))</formula>
    </cfRule>
    <cfRule type="containsText" dxfId="177" priority="200" operator="containsText" text="Confirmada">
      <formula>NOT(ISERROR(SEARCH("Confirmada",R4)))</formula>
    </cfRule>
    <cfRule type="containsText" dxfId="176" priority="199" operator="containsText" text="Pendente">
      <formula>NOT(ISERROR(SEARCH("Pendente",R4)))</formula>
    </cfRule>
  </conditionalFormatting>
  <conditionalFormatting sqref="X4:X53">
    <cfRule type="containsText" dxfId="175" priority="168" operator="containsText" text="Faturado">
      <formula>NOT(ISERROR(SEARCH("Faturado",X4)))</formula>
    </cfRule>
    <cfRule type="containsText" dxfId="174" priority="86" operator="containsText" text="Pendente">
      <formula>NOT(ISERROR(SEARCH("Pendente",X4)))</formula>
    </cfRule>
  </conditionalFormatting>
  <conditionalFormatting sqref="AD4:AO1048576">
    <cfRule type="cellIs" dxfId="173" priority="323" operator="equal">
      <formula>0</formula>
    </cfRule>
  </conditionalFormatting>
  <conditionalFormatting sqref="AS54:AS1048576 AT4:AT53">
    <cfRule type="duplicateValues" dxfId="172" priority="22678"/>
  </conditionalFormatting>
  <conditionalFormatting sqref="AX4:AX53">
    <cfRule type="containsText" dxfId="171" priority="58" operator="containsText" text="Confirmada">
      <formula>NOT(ISERROR(SEARCH("Confirmada",AX4)))</formula>
    </cfRule>
    <cfRule type="containsText" dxfId="170" priority="5" operator="containsText" text="Pendente">
      <formula>NOT(ISERROR(SEARCH("Pendente",AX4)))</formula>
    </cfRule>
    <cfRule type="containsText" dxfId="169" priority="4" operator="containsText" text="Confirmado">
      <formula>NOT(ISERROR(SEARCH("Confirmado",AX4)))</formula>
    </cfRule>
    <cfRule type="containsText" dxfId="168" priority="3" operator="containsText" text="Confirmada">
      <formula>NOT(ISERROR(SEARCH("Confirmada",AX4)))</formula>
    </cfRule>
    <cfRule type="containsText" dxfId="167" priority="2" operator="containsText" text="Pendente">
      <formula>NOT(ISERROR(SEARCH("Pendente",AX4)))</formula>
    </cfRule>
    <cfRule type="containsText" dxfId="166" priority="162" operator="containsText" text="Faturado">
      <formula>NOT(ISERROR(SEARCH("Faturado",AX4)))</formula>
    </cfRule>
    <cfRule type="containsText" dxfId="165" priority="161" operator="containsText" text="Pendente">
      <formula>NOT(ISERROR(SEARCH("Pendente",AX4)))</formula>
    </cfRule>
    <cfRule type="containsText" dxfId="164" priority="160" operator="containsText" text="Confirmada">
      <formula>NOT(ISERROR(SEARCH("Confirmada",AX4)))</formula>
    </cfRule>
    <cfRule type="containsText" dxfId="163" priority="159" operator="containsText" text="Faturado">
      <formula>NOT(ISERROR(SEARCH("Faturado",AX4)))</formula>
    </cfRule>
    <cfRule type="containsText" dxfId="162" priority="158" operator="containsText" text="Pendente">
      <formula>NOT(ISERROR(SEARCH("Pendente",AX4)))</formula>
    </cfRule>
    <cfRule type="containsText" dxfId="161" priority="60" operator="containsText" text="Faturado">
      <formula>NOT(ISERROR(SEARCH("Faturado",AX4)))</formula>
    </cfRule>
    <cfRule type="containsText" dxfId="160" priority="1" operator="containsText" text="Lista Negra">
      <formula>NOT(ISERROR(SEARCH("Lista Negra",AX4)))</formula>
    </cfRule>
  </conditionalFormatting>
  <pageMargins left="0.7" right="0.7" top="0.75" bottom="0.75" header="0.3" footer="0.3"/>
  <pageSetup paperSize="9" scale="20" orientation="portrait" r:id="rId1"/>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61133562-0628-4EA0-9D63-8C8053466F55}">
          <x14:formula1>
            <xm:f>Colaboradores!$C:$C</xm:f>
          </x14:formula1>
          <xm:sqref>L4:L53</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C3619-B4CD-49AA-B3AA-DC7C3357EA07}">
  <sheetPr>
    <tabColor rgb="FF2AACA0"/>
  </sheetPr>
  <dimension ref="A1:AX417"/>
  <sheetViews>
    <sheetView zoomScaleNormal="100" workbookViewId="0">
      <pane xSplit="12" topLeftCell="M1" activePane="topRight" state="frozen"/>
      <selection activeCell="K56" sqref="K56:K80"/>
      <selection pane="topRight" activeCell="K181" sqref="K181"/>
    </sheetView>
  </sheetViews>
  <sheetFormatPr defaultColWidth="11.5546875" defaultRowHeight="18.75" customHeight="1" x14ac:dyDescent="0.3"/>
  <cols>
    <col min="1" max="1" width="3.109375" style="42" customWidth="1"/>
    <col min="2" max="2" width="7.109375" style="29" customWidth="1"/>
    <col min="3" max="3" width="6" style="22" customWidth="1"/>
    <col min="4" max="7" width="3.5546875" style="22" customWidth="1"/>
    <col min="8" max="9" width="9.88671875" style="22" customWidth="1"/>
    <col min="10" max="10" width="5.44140625" style="22" customWidth="1"/>
    <col min="11" max="11" width="30.5546875" style="378" customWidth="1"/>
    <col min="12" max="12" width="45.44140625" style="19" customWidth="1"/>
    <col min="13" max="13" width="3" style="19" customWidth="1"/>
    <col min="14" max="14" width="25.6640625" style="383" hidden="1" customWidth="1"/>
    <col min="15" max="15" width="8.88671875" style="21" hidden="1" customWidth="1"/>
    <col min="16" max="17" width="8.88671875" style="1" hidden="1" customWidth="1"/>
    <col min="18" max="18" width="10.5546875" style="22" hidden="1" customWidth="1"/>
    <col min="19" max="19" width="8.88671875" style="22" hidden="1" customWidth="1"/>
    <col min="20" max="20" width="2.6640625" style="19" hidden="1" customWidth="1"/>
    <col min="21" max="21" width="11.6640625" style="23" hidden="1" customWidth="1"/>
    <col min="22" max="22" width="8.88671875" style="21" hidden="1" customWidth="1"/>
    <col min="23" max="23" width="8.88671875" style="1" hidden="1" customWidth="1"/>
    <col min="24" max="25" width="8.88671875" style="22" hidden="1" customWidth="1"/>
    <col min="26" max="26" width="2.44140625" style="19" hidden="1" customWidth="1"/>
    <col min="27" max="28" width="8.88671875" style="20" hidden="1" customWidth="1"/>
    <col min="29" max="29" width="2.44140625" style="19" hidden="1" customWidth="1"/>
    <col min="30" max="37" width="8.88671875" style="20" hidden="1" customWidth="1"/>
    <col min="38" max="38" width="12.88671875" style="20" hidden="1" customWidth="1"/>
    <col min="39" max="39" width="8.6640625" style="20" hidden="1" customWidth="1"/>
    <col min="40" max="40" width="10.33203125" style="20" hidden="1" customWidth="1"/>
    <col min="41" max="41" width="8.88671875" style="36" hidden="1" customWidth="1"/>
    <col min="42" max="42" width="3" style="19" hidden="1" customWidth="1"/>
    <col min="43" max="43" width="14" style="16" hidden="1" customWidth="1"/>
    <col min="44" max="44" width="15" style="58" customWidth="1"/>
    <col min="45" max="45" width="3" style="19" customWidth="1"/>
    <col min="46" max="47" width="37.5546875" style="1" customWidth="1"/>
    <col min="48" max="48" width="15.44140625" style="200" customWidth="1"/>
    <col min="49" max="49" width="10.88671875" style="52"/>
  </cols>
  <sheetData>
    <row r="1" spans="1:50" ht="32.25" customHeight="1" x14ac:dyDescent="0.3">
      <c r="A1" s="309"/>
      <c r="B1" s="115">
        <v>1</v>
      </c>
      <c r="C1" s="107">
        <v>2</v>
      </c>
      <c r="D1" s="107">
        <v>3</v>
      </c>
      <c r="E1" s="107">
        <v>4</v>
      </c>
      <c r="F1" s="107">
        <v>5</v>
      </c>
      <c r="G1" s="107">
        <v>6</v>
      </c>
      <c r="H1" s="107">
        <v>7</v>
      </c>
      <c r="I1" s="107">
        <v>8</v>
      </c>
      <c r="J1" s="107">
        <v>9</v>
      </c>
      <c r="K1" s="379"/>
      <c r="L1" s="111">
        <v>10</v>
      </c>
      <c r="M1" s="111">
        <v>11</v>
      </c>
      <c r="N1" s="382">
        <v>12</v>
      </c>
      <c r="O1" s="115">
        <v>13</v>
      </c>
      <c r="P1" s="111">
        <v>14</v>
      </c>
      <c r="Q1" s="111">
        <v>15</v>
      </c>
      <c r="R1" s="107">
        <v>16</v>
      </c>
      <c r="S1" s="107">
        <v>17</v>
      </c>
      <c r="T1" s="111">
        <v>18</v>
      </c>
      <c r="U1" s="109">
        <v>19</v>
      </c>
      <c r="V1" s="115">
        <v>20</v>
      </c>
      <c r="W1" s="111">
        <v>21</v>
      </c>
      <c r="X1" s="107">
        <v>22</v>
      </c>
      <c r="Y1" s="107">
        <v>23</v>
      </c>
      <c r="Z1" s="111">
        <v>24</v>
      </c>
      <c r="AA1" s="111">
        <v>25</v>
      </c>
      <c r="AB1" s="111">
        <v>26</v>
      </c>
      <c r="AC1" s="111">
        <v>27</v>
      </c>
      <c r="AD1" s="111">
        <v>28</v>
      </c>
      <c r="AE1" s="111">
        <v>29</v>
      </c>
      <c r="AF1" s="111">
        <v>30</v>
      </c>
      <c r="AG1" s="111">
        <v>31</v>
      </c>
      <c r="AH1" s="111">
        <v>32</v>
      </c>
      <c r="AI1" s="111">
        <v>33</v>
      </c>
      <c r="AJ1" s="111">
        <v>34</v>
      </c>
      <c r="AK1" s="111">
        <v>35</v>
      </c>
      <c r="AL1" s="111">
        <v>36</v>
      </c>
      <c r="AM1" s="111">
        <v>37</v>
      </c>
      <c r="AN1" s="111">
        <v>38</v>
      </c>
      <c r="AO1" s="111">
        <v>39</v>
      </c>
      <c r="AP1" s="107">
        <v>40</v>
      </c>
      <c r="AQ1" s="111">
        <v>41</v>
      </c>
      <c r="AR1" s="111">
        <v>42</v>
      </c>
      <c r="AS1" s="111"/>
      <c r="AT1" s="111"/>
      <c r="AU1" s="111"/>
      <c r="AV1" s="123"/>
      <c r="AW1" s="115"/>
      <c r="AX1" s="314"/>
    </row>
    <row r="2" spans="1:50" ht="15" x14ac:dyDescent="0.3">
      <c r="A2" s="309"/>
      <c r="B2" s="115"/>
      <c r="C2" s="107"/>
      <c r="D2" s="107"/>
      <c r="E2" s="107"/>
      <c r="F2" s="107"/>
      <c r="G2" s="107"/>
      <c r="H2" s="107"/>
      <c r="I2" s="107"/>
      <c r="J2" s="107"/>
      <c r="K2" s="379"/>
      <c r="L2" s="111"/>
      <c r="M2" s="111"/>
      <c r="N2" s="382"/>
      <c r="O2" s="110"/>
      <c r="P2" s="110"/>
      <c r="Q2" s="111"/>
      <c r="R2" s="107"/>
      <c r="S2" s="112"/>
      <c r="T2" s="111"/>
      <c r="U2" s="109"/>
      <c r="V2" s="110"/>
      <c r="W2" s="110"/>
      <c r="X2" s="107"/>
      <c r="Y2" s="107"/>
      <c r="Z2" s="115"/>
      <c r="AA2" s="111"/>
      <c r="AB2" s="114"/>
      <c r="AC2" s="114"/>
      <c r="AD2" s="111"/>
      <c r="AE2" s="114"/>
      <c r="AF2" s="114"/>
      <c r="AG2" s="114"/>
      <c r="AH2" s="114"/>
      <c r="AI2" s="114"/>
      <c r="AJ2" s="114"/>
      <c r="AK2" s="114"/>
      <c r="AL2" s="114"/>
      <c r="AM2" s="114"/>
      <c r="AN2" s="114"/>
      <c r="AO2" s="114"/>
      <c r="AP2" s="313"/>
      <c r="AQ2" s="111"/>
      <c r="AR2" s="312"/>
      <c r="AS2" s="312"/>
      <c r="AT2" s="111"/>
      <c r="AU2" s="111"/>
      <c r="AV2" s="123"/>
      <c r="AW2" s="115"/>
      <c r="AX2" s="314"/>
    </row>
    <row r="3" spans="1:50" s="33" customFormat="1" ht="21.75" customHeight="1" x14ac:dyDescent="0.3">
      <c r="A3" s="125" t="s">
        <v>7537</v>
      </c>
      <c r="B3" s="126" t="s">
        <v>7372</v>
      </c>
      <c r="C3" s="31" t="s">
        <v>7490</v>
      </c>
      <c r="D3" s="31" t="s">
        <v>7001</v>
      </c>
      <c r="E3" s="31" t="s">
        <v>6999</v>
      </c>
      <c r="F3" s="31" t="s">
        <v>7000</v>
      </c>
      <c r="G3" s="31" t="s">
        <v>7002</v>
      </c>
      <c r="H3" s="31" t="s">
        <v>7492</v>
      </c>
      <c r="I3" s="31" t="s">
        <v>7493</v>
      </c>
      <c r="J3" s="31" t="s">
        <v>7494</v>
      </c>
      <c r="K3" s="31" t="s">
        <v>7495</v>
      </c>
      <c r="L3" s="31" t="s">
        <v>7373</v>
      </c>
      <c r="M3" s="10" t="s">
        <v>7496</v>
      </c>
      <c r="N3" s="31" t="s">
        <v>7374</v>
      </c>
      <c r="O3" s="32" t="s">
        <v>7375</v>
      </c>
      <c r="P3" s="31" t="s">
        <v>7497</v>
      </c>
      <c r="Q3" s="126" t="s">
        <v>7498</v>
      </c>
      <c r="R3" s="126" t="s">
        <v>7538</v>
      </c>
      <c r="S3" s="31" t="s">
        <v>7500</v>
      </c>
      <c r="T3" s="10" t="s">
        <v>7501</v>
      </c>
      <c r="U3" s="31" t="s">
        <v>7502</v>
      </c>
      <c r="V3" s="32" t="s">
        <v>7503</v>
      </c>
      <c r="W3" s="31" t="s">
        <v>7504</v>
      </c>
      <c r="X3" s="126" t="s">
        <v>7505</v>
      </c>
      <c r="Y3" s="31" t="s">
        <v>7506</v>
      </c>
      <c r="Z3" s="10" t="s">
        <v>7507</v>
      </c>
      <c r="AA3" s="32" t="s">
        <v>7508</v>
      </c>
      <c r="AB3" s="32" t="s">
        <v>7509</v>
      </c>
      <c r="AC3" s="10" t="s">
        <v>7510</v>
      </c>
      <c r="AD3" s="32" t="s">
        <v>7511</v>
      </c>
      <c r="AE3" s="32" t="s">
        <v>7512</v>
      </c>
      <c r="AF3" s="32" t="s">
        <v>7513</v>
      </c>
      <c r="AG3" s="32" t="s">
        <v>7514</v>
      </c>
      <c r="AH3" s="32" t="s">
        <v>7515</v>
      </c>
      <c r="AI3" s="32" t="s">
        <v>7516</v>
      </c>
      <c r="AJ3" s="32" t="s">
        <v>7517</v>
      </c>
      <c r="AK3" s="32" t="s">
        <v>7518</v>
      </c>
      <c r="AL3" s="32" t="s">
        <v>7519</v>
      </c>
      <c r="AM3" s="32" t="s">
        <v>7520</v>
      </c>
      <c r="AN3" s="32" t="s">
        <v>7521</v>
      </c>
      <c r="AO3" s="32" t="s">
        <v>7522</v>
      </c>
      <c r="AP3" s="10" t="s">
        <v>7523</v>
      </c>
      <c r="AQ3" s="32" t="s">
        <v>7524</v>
      </c>
      <c r="AR3" s="59" t="s">
        <v>7525</v>
      </c>
      <c r="AS3" s="10" t="s">
        <v>7526</v>
      </c>
      <c r="AT3" s="31" t="s">
        <v>7527</v>
      </c>
      <c r="AU3" s="31" t="s">
        <v>7528</v>
      </c>
      <c r="AV3" s="31" t="s">
        <v>7529</v>
      </c>
      <c r="AW3" s="31" t="s">
        <v>7530</v>
      </c>
      <c r="AX3" s="31" t="s">
        <v>7531</v>
      </c>
    </row>
    <row r="4" spans="1:50" ht="15.75" hidden="1" customHeight="1" x14ac:dyDescent="0.3">
      <c r="A4" s="43"/>
      <c r="B4" s="39" t="s">
        <v>171</v>
      </c>
      <c r="C4" s="45" t="str">
        <f>IF(ISNUMBER(MATCH(Tabla58[[#This Row],[Cod trabalhador]],'Altas Wiseowe'!B:B, 0)), "Ativo", "Não ativo")</f>
        <v>Não ativo</v>
      </c>
      <c r="D4" s="44" t="str">
        <f>IFERROR(IF(VLOOKUP(Tabla58[[#This Row],[Cod trabalhador]],'Altas Industrial'!B:E,1,0)&lt;&gt;"","KI",""),"")</f>
        <v>KI</v>
      </c>
      <c r="E4" s="44" t="str">
        <f>IFERROR(IF(VLOOKUP(Tabla58[[#This Row],[Cod trabalhador]],'Altas Rosas'!B:F,1,0)&lt;&gt;"","KR",""),"")</f>
        <v/>
      </c>
      <c r="F4" s="44" t="str">
        <f>IFERROR(IF(VLOOKUP(Tabla58[[#This Row],[Cod trabalhador]],'Altas Wiseowe'!B:E,1,0)&lt;&gt;"","WS",""),"")</f>
        <v/>
      </c>
      <c r="G4" s="101" t="str">
        <f>IFERROR(IF(VLOOKUP(Tabla58[[#This Row],[Cod trabalhador]],'Altas Luminous'!B:E,1,0)&lt;&gt;"","LM",""),"")</f>
        <v/>
      </c>
      <c r="H4" s="51" t="str">
        <f>IFERROR(VLOOKUP(Tabla58[[#This Row],[Cod trabalhador]],'Altas Wiseowe'!B:E,3,FALSE),"")</f>
        <v/>
      </c>
      <c r="I4" s="51" t="str">
        <f>IF(OR(Tabla58[[#This Row],[Cod trabalhador]]="",ISBLANK(Tabla58[[#This Row],[Cod trabalhador]])),"",IFERROR(IF(VLOOKUP(Tabla58[[#This Row],[Cod trabalhador]],'Altas Wiseowe'!B:E,4,FALSE)=0,"",VLOOKUP(Tabla58[[#This Row],[Cod trabalhador]],'Altas Wiseowe'!B:E,4,FALSE)),""))</f>
        <v/>
      </c>
      <c r="J4" s="44">
        <f t="shared" ref="J4:J35" si="0">IF(C4="ativo",    IF(ISBLANK(H4),"",MAX(0,MIN(IF(ISBLANK(I4),EOMONTH(DATE(2026,1,1),0),I4),EOMONTH(DATE(2026,1,1),0)) - MAX(H4,DATE(2026,1,1))))+1,
    0
)</f>
        <v>0</v>
      </c>
      <c r="K4" s="376" t="s">
        <v>7247</v>
      </c>
      <c r="L4" s="342" t="str">
        <f>IFERROR(IF(Tabla58[[#This Row],[Cod trabalhador]]="",Tabla58[[#This Row],[Cod trabalhador]], INDEX(Colaborador_ID[Nombre], MATCH(Tabla58[[#This Row],[Cod trabalhador]],Colaborador_ID[Cod_colab], 0))), "")</f>
        <v>ALEX DAVID GOMEZ VILLADA</v>
      </c>
      <c r="N4" s="405" t="s">
        <v>7244</v>
      </c>
      <c r="O4" s="26">
        <f>IFERROR(VLOOKUP(Tabla58[[#This Row],[Cod trabalhador]],Tabla15[],4,FALSE),"")</f>
        <v>15</v>
      </c>
      <c r="P4" s="92">
        <f>IFERROR(VLOOKUP(Tabla58[[#This Row],[Cod trabalhador]],'TotalHorasAjustadas (2)'!D:L,8,FALSE),"")</f>
        <v>181</v>
      </c>
      <c r="Q4" s="27">
        <v>181</v>
      </c>
      <c r="R4" s="28" t="s">
        <v>7471</v>
      </c>
      <c r="S4" s="28"/>
      <c r="U4" s="25"/>
      <c r="V4" s="220"/>
      <c r="W4" s="27"/>
      <c r="X4" s="28"/>
      <c r="Y4" s="28"/>
      <c r="Z4" s="149"/>
      <c r="AA4" s="392" t="str">
        <f>IFERROR(VLOOKUP(Tabla58[[#This Row],[Cod trabalhador]],Alojamentos!B:P,11,FALSE),"")</f>
        <v/>
      </c>
      <c r="AB4" s="127"/>
      <c r="AC4" s="150"/>
      <c r="AD4" s="35">
        <f>Tabla58[[#This Row],[Dias de alta]]*7.058</f>
        <v>0</v>
      </c>
      <c r="AE4" s="46" t="str">
        <f>IFERROR(VLOOKUP(Tabla58[[#This Row],[Cod trabalhador]],Adiantamentos!B:L,7,FALSE),"")</f>
        <v/>
      </c>
      <c r="AF4" s="46" t="str">
        <f>IFERROR(VLOOKUP(Tabla58[[#This Row],[Cod trabalhador]],Carro!B:D,3,FALSE),"")</f>
        <v/>
      </c>
      <c r="AG4" s="46" t="str">
        <f>IFERROR(VLOOKUP(Tabla58[[#This Row],[Cod trabalhador]],'Outros descontos'!B:O,7,FALSE),"")</f>
        <v/>
      </c>
      <c r="AH4" s="46" t="str">
        <f>IFERROR(VLOOKUP(Tabla58[[#This Row],[Cod trabalhador]],'Outros descontos'!B:M,8,FALSE),"")</f>
        <v/>
      </c>
      <c r="AI4" s="46" t="str">
        <f>IFERROR(VLOOKUP(Tabla58[[#This Row],[Cod trabalhador]],'Outros descontos'!B:M,9,FALSE),"")</f>
        <v/>
      </c>
      <c r="AJ4" s="46" t="str">
        <f>IFERROR(VLOOKUP(Tabla58[[#This Row],[Cod trabalhador]],'Outros descontos'!B:M,10,FALSE),"")</f>
        <v/>
      </c>
      <c r="AK4" s="46" t="str">
        <f>IFERROR(VLOOKUP(Tabla58[[#This Row],[Cod trabalhador]],'Outros descontos'!B:M,11,FALSE),"")</f>
        <v/>
      </c>
      <c r="AL4" s="46" t="str">
        <f>IFERROR(VLOOKUP(Tabla58[[#This Row],[Cod trabalhador]],'Outros descontos'!B:R,12,FALSE),"")</f>
        <v/>
      </c>
      <c r="AM4" s="46" t="str">
        <f>IFERROR(VLOOKUP(Tabla58[[#This Row],[Cod trabalhador]],'Outros descontos'!B:M,13,FALSE),"")</f>
        <v/>
      </c>
      <c r="AN4" s="41"/>
      <c r="AO4" s="37">
        <v>4.08</v>
      </c>
      <c r="AQ4"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2710.92</v>
      </c>
      <c r="AR4"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2710.92</v>
      </c>
      <c r="AT4" s="27" t="str">
        <f>IF(Tabla58[[#This Row],[Cod trabalhador]]="", "", INDEX(Iban!C:C, MATCH(Tabla58[[#This Row],[Cod trabalhador]],Iban!A:A, 0)))</f>
        <v>ES71 0182 1270 9602 0166 8003</v>
      </c>
      <c r="AU4" s="27"/>
      <c r="AV4" s="97"/>
      <c r="AW4" s="66" t="s">
        <v>7533</v>
      </c>
      <c r="AX4" s="296" t="s">
        <v>7472</v>
      </c>
    </row>
    <row r="5" spans="1:50" ht="16.5" hidden="1" customHeight="1" x14ac:dyDescent="0.3">
      <c r="A5" s="43"/>
      <c r="B5" s="39" t="s">
        <v>217</v>
      </c>
      <c r="C5" s="45" t="str">
        <f>IF(ISNUMBER(MATCH(Tabla58[[#This Row],[Cod trabalhador]],'Altas Wiseowe'!B:B, 0)), "Ativo", "Não ativo")</f>
        <v>Ativo</v>
      </c>
      <c r="D5" s="44" t="str">
        <f>IFERROR(IF(VLOOKUP(Tabla58[[#This Row],[Cod trabalhador]],'Altas Industrial'!B:E,1,0)&lt;&gt;"","KI",""),"")</f>
        <v/>
      </c>
      <c r="E5" s="44" t="str">
        <f>IFERROR(IF(VLOOKUP(Tabla58[[#This Row],[Cod trabalhador]],'Altas Rosas'!B:F,1,0)&lt;&gt;"","KR",""),"")</f>
        <v/>
      </c>
      <c r="F5" s="44" t="str">
        <f>IFERROR(IF(VLOOKUP(Tabla58[[#This Row],[Cod trabalhador]],'Altas Wiseowe'!B:E,1,0)&lt;&gt;"","WS",""),"")</f>
        <v>WS</v>
      </c>
      <c r="G5" s="101" t="str">
        <f>IFERROR(IF(VLOOKUP(Tabla58[[#This Row],[Cod trabalhador]],'Altas Luminous'!B:E,1,0)&lt;&gt;"","LM",""),"")</f>
        <v/>
      </c>
      <c r="H5" s="51">
        <f>IFERROR(VLOOKUP(Tabla58[[#This Row],[Cod trabalhador]],'Altas Wiseowe'!B:E,3,FALSE),"")</f>
        <v>45939</v>
      </c>
      <c r="I5" s="51" t="str">
        <f>IF(OR(Tabla58[[#This Row],[Cod trabalhador]]="",ISBLANK(Tabla58[[#This Row],[Cod trabalhador]])),"",IFERROR(IF(VLOOKUP(Tabla58[[#This Row],[Cod trabalhador]],'Altas Wiseowe'!B:E,4,FALSE)=0,"",VLOOKUP(Tabla58[[#This Row],[Cod trabalhador]],'Altas Wiseowe'!B:E,4,FALSE)),""))</f>
        <v/>
      </c>
      <c r="J5" s="44">
        <f t="shared" si="0"/>
        <v>31</v>
      </c>
      <c r="K5" s="376" t="s">
        <v>7245</v>
      </c>
      <c r="L5" s="342" t="str">
        <f>IFERROR(IF(Tabla58[[#This Row],[Cod trabalhador]]="",Tabla58[[#This Row],[Cod trabalhador]], INDEX(Colaborador_ID[Nombre], MATCH(Tabla58[[#This Row],[Cod trabalhador]],Colaborador_ID[Cod_colab], 0))), "")</f>
        <v>ALEXANDER MANUEL LOPEZ ROJAS</v>
      </c>
      <c r="N5" s="405" t="s">
        <v>7244</v>
      </c>
      <c r="O5" s="26">
        <f>IFERROR(VLOOKUP(Tabla58[[#This Row],[Cod trabalhador]],Tabla15[],4,FALSE),"")</f>
        <v>12</v>
      </c>
      <c r="P5" s="92">
        <f>IFERROR(VLOOKUP(Tabla58[[#This Row],[Cod trabalhador]],'TotalHorasAjustadas (2)'!D:L,8,FALSE),"")</f>
        <v>188.5</v>
      </c>
      <c r="Q5" s="27">
        <v>182.5</v>
      </c>
      <c r="R5" s="28" t="s">
        <v>7471</v>
      </c>
      <c r="S5" s="28"/>
      <c r="U5" s="25"/>
      <c r="V5" s="220"/>
      <c r="W5" s="27"/>
      <c r="X5" s="28"/>
      <c r="Y5" s="28"/>
      <c r="Z5" s="149"/>
      <c r="AA5" s="392" t="str">
        <f>IFERROR(VLOOKUP(Tabla58[[#This Row],[Cod trabalhador]],Alojamentos!B:P,11,FALSE),"")</f>
        <v/>
      </c>
      <c r="AB5" s="127"/>
      <c r="AC5" s="150"/>
      <c r="AD5" s="35">
        <f>Tabla58[[#This Row],[Dias de alta]]*7.058</f>
        <v>218.798</v>
      </c>
      <c r="AE5" s="46" t="str">
        <f>IFERROR(VLOOKUP(Tabla58[[#This Row],[Cod trabalhador]],Adiantamentos!B:L,7,FALSE),"")</f>
        <v/>
      </c>
      <c r="AF5" s="46" t="str">
        <f>IFERROR(VLOOKUP(Tabla58[[#This Row],[Cod trabalhador]],Carro!B:D,3,FALSE),"")</f>
        <v/>
      </c>
      <c r="AG5" s="46" t="str">
        <f>IFERROR(VLOOKUP(Tabla58[[#This Row],[Cod trabalhador]],'Outros descontos'!B:O,7,FALSE),"")</f>
        <v/>
      </c>
      <c r="AH5" s="46" t="str">
        <f>IFERROR(VLOOKUP(Tabla58[[#This Row],[Cod trabalhador]],'Outros descontos'!B:M,8,FALSE),"")</f>
        <v/>
      </c>
      <c r="AI5" s="46" t="str">
        <f>IFERROR(VLOOKUP(Tabla58[[#This Row],[Cod trabalhador]],'Outros descontos'!B:M,9,FALSE),"")</f>
        <v/>
      </c>
      <c r="AJ5" s="46" t="str">
        <f>IFERROR(VLOOKUP(Tabla58[[#This Row],[Cod trabalhador]],'Outros descontos'!B:M,10,FALSE),"")</f>
        <v/>
      </c>
      <c r="AK5" s="46" t="str">
        <f>IFERROR(VLOOKUP(Tabla58[[#This Row],[Cod trabalhador]],'Outros descontos'!B:M,11,FALSE),"")</f>
        <v/>
      </c>
      <c r="AL5" s="46" t="str">
        <f>IFERROR(VLOOKUP(Tabla58[[#This Row],[Cod trabalhador]],'Outros descontos'!B:R,12,FALSE),"")</f>
        <v/>
      </c>
      <c r="AM5" s="46" t="str">
        <f>IFERROR(VLOOKUP(Tabla58[[#This Row],[Cod trabalhador]],'Outros descontos'!B:M,13,FALSE),"")</f>
        <v/>
      </c>
      <c r="AN5" s="41"/>
      <c r="AO5" s="37">
        <v>4.08</v>
      </c>
      <c r="AP5" s="15"/>
      <c r="AQ5"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2039.1220000000001</v>
      </c>
      <c r="AR5"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1967.1220000000001</v>
      </c>
      <c r="AS5" s="15"/>
      <c r="AT5" s="27" t="str">
        <f>IF(Tabla58[[#This Row],[Cod trabalhador]]="", "", INDEX(Iban!C:C, MATCH(Tabla58[[#This Row],[Cod trabalhador]],Iban!A:A, 0)))</f>
        <v>BE28 9050 2145 7720</v>
      </c>
      <c r="AU5" s="27"/>
      <c r="AV5" s="97"/>
      <c r="AW5" s="66" t="s">
        <v>7540</v>
      </c>
      <c r="AX5" s="296" t="s">
        <v>7472</v>
      </c>
    </row>
    <row r="6" spans="1:50" ht="17.25" hidden="1" customHeight="1" x14ac:dyDescent="0.3">
      <c r="A6" s="43"/>
      <c r="B6" s="39" t="s">
        <v>392</v>
      </c>
      <c r="C6" s="45" t="str">
        <f>IF(ISNUMBER(MATCH(Tabla58[[#This Row],[Cod trabalhador]],'Altas Wiseowe'!B:B, 0)), "Ativo", "Não ativo")</f>
        <v>Não ativo</v>
      </c>
      <c r="D6" s="44" t="str">
        <f>IFERROR(IF(VLOOKUP(Tabla58[[#This Row],[Cod trabalhador]],'Altas Industrial'!B:E,1,0)&lt;&gt;"","KI",""),"")</f>
        <v/>
      </c>
      <c r="E6" s="44" t="str">
        <f>IFERROR(IF(VLOOKUP(Tabla58[[#This Row],[Cod trabalhador]],'Altas Rosas'!B:F,1,0)&lt;&gt;"","KR",""),"")</f>
        <v>KR</v>
      </c>
      <c r="F6" s="44" t="str">
        <f>IFERROR(IF(VLOOKUP(Tabla58[[#This Row],[Cod trabalhador]],'Altas Wiseowe'!B:E,1,0)&lt;&gt;"","WS",""),"")</f>
        <v/>
      </c>
      <c r="G6" s="101" t="str">
        <f>IFERROR(IF(VLOOKUP(Tabla58[[#This Row],[Cod trabalhador]],'Altas Luminous'!B:E,1,0)&lt;&gt;"","LM",""),"")</f>
        <v/>
      </c>
      <c r="H6" s="51" t="str">
        <f>IFERROR(VLOOKUP(Tabla58[[#This Row],[Cod trabalhador]],'Altas Wiseowe'!B:E,3,FALSE),"")</f>
        <v/>
      </c>
      <c r="I6" s="51" t="str">
        <f>IF(OR(Tabla58[[#This Row],[Cod trabalhador]]="",ISBLANK(Tabla58[[#This Row],[Cod trabalhador]])),"",IFERROR(IF(VLOOKUP(Tabla58[[#This Row],[Cod trabalhador]],'Altas Wiseowe'!B:E,4,FALSE)=0,"",VLOOKUP(Tabla58[[#This Row],[Cod trabalhador]],'Altas Wiseowe'!B:E,4,FALSE)),""))</f>
        <v/>
      </c>
      <c r="J6" s="44">
        <f t="shared" si="0"/>
        <v>0</v>
      </c>
      <c r="K6" s="376" t="s">
        <v>7246</v>
      </c>
      <c r="L6" s="342" t="str">
        <f>IFERROR(IF(Tabla58[[#This Row],[Cod trabalhador]]="",Tabla58[[#This Row],[Cod trabalhador]], INDEX(Colaborador_ID[Nombre], MATCH(Tabla58[[#This Row],[Cod trabalhador]],Colaborador_ID[Cod_colab], 0))), "")</f>
        <v>ANDRES FELIPE GOMEZ PUERTA</v>
      </c>
      <c r="N6" s="405" t="s">
        <v>7244</v>
      </c>
      <c r="O6" s="26">
        <f>IFERROR(VLOOKUP(Tabla58[[#This Row],[Cod trabalhador]],Tabla15[],4,FALSE),"")</f>
        <v>15</v>
      </c>
      <c r="P6" s="92">
        <f>IFERROR(VLOOKUP(Tabla58[[#This Row],[Cod trabalhador]],'TotalHorasAjustadas (2)'!D:L,8,FALSE),"")</f>
        <v>133</v>
      </c>
      <c r="Q6" s="27">
        <v>126</v>
      </c>
      <c r="R6" s="28" t="s">
        <v>7471</v>
      </c>
      <c r="S6" s="28"/>
      <c r="U6" s="25"/>
      <c r="V6" s="220"/>
      <c r="W6" s="27"/>
      <c r="X6" s="28"/>
      <c r="Y6" s="28"/>
      <c r="Z6" s="149"/>
      <c r="AA6" s="392">
        <f>IFERROR(VLOOKUP(Tabla58[[#This Row],[Cod trabalhador]],Alojamentos!B:P,11,FALSE),"")</f>
        <v>300</v>
      </c>
      <c r="AB6" s="127"/>
      <c r="AC6" s="150"/>
      <c r="AD6" s="35">
        <f>Tabla58[[#This Row],[Dias de alta]]*7.058</f>
        <v>0</v>
      </c>
      <c r="AE6" s="46" t="str">
        <f>IFERROR(VLOOKUP(Tabla58[[#This Row],[Cod trabalhador]],Adiantamentos!B:L,7,FALSE),"")</f>
        <v/>
      </c>
      <c r="AF6" s="46" t="str">
        <f>IFERROR(VLOOKUP(Tabla58[[#This Row],[Cod trabalhador]],Carro!B:D,3,FALSE),"")</f>
        <v/>
      </c>
      <c r="AG6" s="46" t="str">
        <f>IFERROR(VLOOKUP(Tabla58[[#This Row],[Cod trabalhador]],'Outros descontos'!B:O,7,FALSE),"")</f>
        <v/>
      </c>
      <c r="AH6" s="46" t="str">
        <f>IFERROR(VLOOKUP(Tabla58[[#This Row],[Cod trabalhador]],'Outros descontos'!B:M,8,FALSE),"")</f>
        <v/>
      </c>
      <c r="AI6" s="46" t="str">
        <f>IFERROR(VLOOKUP(Tabla58[[#This Row],[Cod trabalhador]],'Outros descontos'!B:M,9,FALSE),"")</f>
        <v/>
      </c>
      <c r="AJ6" s="46" t="str">
        <f>IFERROR(VLOOKUP(Tabla58[[#This Row],[Cod trabalhador]],'Outros descontos'!B:M,10,FALSE),"")</f>
        <v/>
      </c>
      <c r="AK6" s="46" t="str">
        <f>IFERROR(VLOOKUP(Tabla58[[#This Row],[Cod trabalhador]],'Outros descontos'!B:M,11,FALSE),"")</f>
        <v/>
      </c>
      <c r="AL6" s="46" t="str">
        <f>IFERROR(VLOOKUP(Tabla58[[#This Row],[Cod trabalhador]],'Outros descontos'!B:R,12,FALSE),"")</f>
        <v/>
      </c>
      <c r="AM6" s="46" t="str">
        <f>IFERROR(VLOOKUP(Tabla58[[#This Row],[Cod trabalhador]],'Outros descontos'!B:M,13,FALSE),"")</f>
        <v/>
      </c>
      <c r="AN6" s="41">
        <v>18.75</v>
      </c>
      <c r="AO6" s="37">
        <v>4.08</v>
      </c>
      <c r="AP6" s="15"/>
      <c r="AQ6"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2272.17</v>
      </c>
      <c r="AR6"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2167.17</v>
      </c>
      <c r="AS6" s="15"/>
      <c r="AT6" s="27" t="str">
        <f>IF(Tabla58[[#This Row],[Cod trabalhador]]="", "", INDEX(Iban!C:C, MATCH(Tabla58[[#This Row],[Cod trabalhador]],Iban!A:A, 0)))</f>
        <v>ES30 6893 0001 7900 0027 5712</v>
      </c>
      <c r="AU6" s="27"/>
      <c r="AV6" s="97"/>
      <c r="AW6" s="66" t="s">
        <v>7533</v>
      </c>
      <c r="AX6" s="296" t="s">
        <v>7472</v>
      </c>
    </row>
    <row r="7" spans="1:50" ht="16.5" hidden="1" customHeight="1" x14ac:dyDescent="0.3">
      <c r="A7" s="43"/>
      <c r="B7" s="39" t="s">
        <v>603</v>
      </c>
      <c r="C7" s="45" t="str">
        <f>IF(ISNUMBER(MATCH(Tabla58[[#This Row],[Cod trabalhador]],'Altas Wiseowe'!B:B, 0)), "Ativo", "Não ativo")</f>
        <v>Não ativo</v>
      </c>
      <c r="D7" s="44" t="str">
        <f>IFERROR(IF(VLOOKUP(Tabla58[[#This Row],[Cod trabalhador]],'Altas Industrial'!B:E,1,0)&lt;&gt;"","KI",""),"")</f>
        <v/>
      </c>
      <c r="E7" s="44" t="str">
        <f>IFERROR(IF(VLOOKUP(Tabla58[[#This Row],[Cod trabalhador]],'Altas Rosas'!B:F,1,0)&lt;&gt;"","KR",""),"")</f>
        <v/>
      </c>
      <c r="F7" s="44" t="str">
        <f>IFERROR(IF(VLOOKUP(Tabla58[[#This Row],[Cod trabalhador]],'Altas Wiseowe'!B:E,1,0)&lt;&gt;"","WS",""),"")</f>
        <v/>
      </c>
      <c r="G7" s="101" t="str">
        <f>IFERROR(IF(VLOOKUP(Tabla58[[#This Row],[Cod trabalhador]],'Altas Luminous'!B:E,1,0)&lt;&gt;"","LM",""),"")</f>
        <v/>
      </c>
      <c r="H7" s="51" t="str">
        <f>IFERROR(VLOOKUP(Tabla58[[#This Row],[Cod trabalhador]],'Altas Wiseowe'!B:E,3,FALSE),"")</f>
        <v/>
      </c>
      <c r="I7" s="51" t="str">
        <f>IF(OR(Tabla58[[#This Row],[Cod trabalhador]]="",ISBLANK(Tabla58[[#This Row],[Cod trabalhador]])),"",IFERROR(IF(VLOOKUP(Tabla58[[#This Row],[Cod trabalhador]],'Altas Wiseowe'!B:E,4,FALSE)=0,"",VLOOKUP(Tabla58[[#This Row],[Cod trabalhador]],'Altas Wiseowe'!B:E,4,FALSE)),""))</f>
        <v/>
      </c>
      <c r="J7" s="44">
        <f t="shared" si="0"/>
        <v>0</v>
      </c>
      <c r="K7" s="376" t="s">
        <v>7248</v>
      </c>
      <c r="L7" s="342" t="str">
        <f>IFERROR(IF(Tabla58[[#This Row],[Cod trabalhador]]="",Tabla58[[#This Row],[Cod trabalhador]], INDEX(Colaborador_ID[Nombre], MATCH(Tabla58[[#This Row],[Cod trabalhador]],Colaborador_ID[Cod_colab], 0))), "")</f>
        <v>BRANDON RAMIREZ ZAPATA</v>
      </c>
      <c r="N7" s="405" t="s">
        <v>7244</v>
      </c>
      <c r="O7" s="26">
        <f>IFERROR(VLOOKUP(Tabla58[[#This Row],[Cod trabalhador]],Tabla15[],4,FALSE),"")</f>
        <v>15</v>
      </c>
      <c r="P7" s="92">
        <f>IFERROR(VLOOKUP(Tabla58[[#This Row],[Cod trabalhador]],'TotalHorasAjustadas (2)'!D:L,8,FALSE),"")</f>
        <v>132.5</v>
      </c>
      <c r="Q7" s="27">
        <v>142.5</v>
      </c>
      <c r="R7" s="28" t="s">
        <v>7471</v>
      </c>
      <c r="S7" s="28"/>
      <c r="U7" s="25"/>
      <c r="V7" s="220"/>
      <c r="W7" s="27"/>
      <c r="X7" s="28"/>
      <c r="Y7" s="28"/>
      <c r="Z7" s="149"/>
      <c r="AA7" s="392" t="str">
        <f>IFERROR(VLOOKUP(Tabla58[[#This Row],[Cod trabalhador]],Alojamentos!B:P,11,FALSE),"")</f>
        <v/>
      </c>
      <c r="AB7" s="127"/>
      <c r="AC7" s="150"/>
      <c r="AD7" s="35">
        <f>Tabla58[[#This Row],[Dias de alta]]*7.058</f>
        <v>0</v>
      </c>
      <c r="AE7" s="46" t="str">
        <f>IFERROR(VLOOKUP(Tabla58[[#This Row],[Cod trabalhador]],Adiantamentos!B:L,7,FALSE),"")</f>
        <v/>
      </c>
      <c r="AF7" s="46">
        <f>IFERROR(VLOOKUP(Tabla58[[#This Row],[Cod trabalhador]],Carro!B:D,3,FALSE),"")</f>
        <v>115</v>
      </c>
      <c r="AG7" s="46">
        <f>IFERROR(VLOOKUP(Tabla58[[#This Row],[Cod trabalhador]],'Outros descontos'!B:O,7,FALSE),"")</f>
        <v>0</v>
      </c>
      <c r="AH7" s="46">
        <f>IFERROR(VLOOKUP(Tabla58[[#This Row],[Cod trabalhador]],'Outros descontos'!B:M,8,FALSE),"")</f>
        <v>0</v>
      </c>
      <c r="AI7" s="46">
        <f>IFERROR(VLOOKUP(Tabla58[[#This Row],[Cod trabalhador]],'Outros descontos'!B:M,9,FALSE),"")</f>
        <v>0</v>
      </c>
      <c r="AJ7" s="46">
        <f>IFERROR(VLOOKUP(Tabla58[[#This Row],[Cod trabalhador]],'Outros descontos'!B:M,10,FALSE),"")</f>
        <v>128.65</v>
      </c>
      <c r="AK7" s="46">
        <f>IFERROR(VLOOKUP(Tabla58[[#This Row],[Cod trabalhador]],'Outros descontos'!B:M,11,FALSE),"")</f>
        <v>0</v>
      </c>
      <c r="AL7" s="46">
        <f>IFERROR(VLOOKUP(Tabla58[[#This Row],[Cod trabalhador]],'Outros descontos'!B:R,12,FALSE),"")</f>
        <v>0</v>
      </c>
      <c r="AM7" s="46" t="str">
        <f>IFERROR(VLOOKUP(Tabla58[[#This Row],[Cod trabalhador]],'Outros descontos'!B:M,13,FALSE),"")</f>
        <v/>
      </c>
      <c r="AN7" s="41"/>
      <c r="AO7" s="37">
        <v>4.08</v>
      </c>
      <c r="AP7" s="15"/>
      <c r="AQ7"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1739.77</v>
      </c>
      <c r="AR7"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1889.77</v>
      </c>
      <c r="AS7" s="15"/>
      <c r="AT7" s="27" t="str">
        <f>IF(Tabla58[[#This Row],[Cod trabalhador]]="", "", INDEX(Iban!C:C, MATCH(Tabla58[[#This Row],[Cod trabalhador]],Iban!A:A, 0)))</f>
        <v>ES63 0182 8674 4702 0165 0906</v>
      </c>
      <c r="AU7" s="27"/>
      <c r="AV7" s="27"/>
      <c r="AW7" s="66" t="s">
        <v>7533</v>
      </c>
      <c r="AX7" s="296" t="s">
        <v>7472</v>
      </c>
    </row>
    <row r="8" spans="1:50" ht="16.5" hidden="1" customHeight="1" x14ac:dyDescent="0.3">
      <c r="A8" s="43"/>
      <c r="B8" s="39" t="s">
        <v>638</v>
      </c>
      <c r="C8" s="45" t="str">
        <f>IF(ISNUMBER(MATCH(Tabla58[[#This Row],[Cod trabalhador]],'Altas Wiseowe'!B:B, 0)), "Ativo", "Não ativo")</f>
        <v>Não ativo</v>
      </c>
      <c r="D8" s="44" t="str">
        <f>IFERROR(IF(VLOOKUP(Tabla58[[#This Row],[Cod trabalhador]],'Altas Industrial'!B:E,1,0)&lt;&gt;"","KI",""),"")</f>
        <v/>
      </c>
      <c r="E8" s="44" t="str">
        <f>IFERROR(IF(VLOOKUP(Tabla58[[#This Row],[Cod trabalhador]],'Altas Rosas'!B:F,1,0)&lt;&gt;"","KR",""),"")</f>
        <v/>
      </c>
      <c r="F8" s="44" t="str">
        <f>IFERROR(IF(VLOOKUP(Tabla58[[#This Row],[Cod trabalhador]],'Altas Wiseowe'!B:E,1,0)&lt;&gt;"","WS",""),"")</f>
        <v/>
      </c>
      <c r="G8" s="101" t="str">
        <f>IFERROR(IF(VLOOKUP(Tabla58[[#This Row],[Cod trabalhador]],'Altas Luminous'!B:E,1,0)&lt;&gt;"","LM",""),"")</f>
        <v/>
      </c>
      <c r="H8" s="51" t="str">
        <f>IFERROR(VLOOKUP(Tabla58[[#This Row],[Cod trabalhador]],'Altas Wiseowe'!B:E,3,FALSE),"")</f>
        <v/>
      </c>
      <c r="I8" s="51" t="str">
        <f>IF(OR(Tabla58[[#This Row],[Cod trabalhador]]="",ISBLANK(Tabla58[[#This Row],[Cod trabalhador]])),"",IFERROR(IF(VLOOKUP(Tabla58[[#This Row],[Cod trabalhador]],'Altas Wiseowe'!B:E,4,FALSE)=0,"",VLOOKUP(Tabla58[[#This Row],[Cod trabalhador]],'Altas Wiseowe'!B:E,4,FALSE)),""))</f>
        <v/>
      </c>
      <c r="J8" s="44">
        <f t="shared" si="0"/>
        <v>0</v>
      </c>
      <c r="K8" s="376" t="s">
        <v>639</v>
      </c>
      <c r="L8" s="342" t="str">
        <f>IFERROR(IF(Tabla58[[#This Row],[Cod trabalhador]]="",Tabla58[[#This Row],[Cod trabalhador]], INDEX(Colaborador_ID[Nombre], MATCH(Tabla58[[#This Row],[Cod trabalhador]],Colaborador_ID[Cod_colab], 0))), "")</f>
        <v>BRAYAN JOSE ALARCON MORALES</v>
      </c>
      <c r="N8" s="405" t="s">
        <v>7244</v>
      </c>
      <c r="O8" s="26">
        <f>IFERROR(VLOOKUP(Tabla58[[#This Row],[Cod trabalhador]],Tabla15[],4,FALSE),"")</f>
        <v>15</v>
      </c>
      <c r="P8" s="92">
        <f>IFERROR(VLOOKUP(Tabla58[[#This Row],[Cod trabalhador]],'TotalHorasAjustadas (2)'!D:L,8,FALSE),"")</f>
        <v>157</v>
      </c>
      <c r="Q8" s="27">
        <v>171</v>
      </c>
      <c r="R8" s="28" t="s">
        <v>7471</v>
      </c>
      <c r="S8" s="28"/>
      <c r="U8" s="25"/>
      <c r="V8" s="220"/>
      <c r="W8" s="27"/>
      <c r="X8" s="28"/>
      <c r="Y8" s="28"/>
      <c r="Z8" s="149"/>
      <c r="AA8" s="392" t="str">
        <f>IFERROR(VLOOKUP(Tabla58[[#This Row],[Cod trabalhador]],Alojamentos!B:P,11,FALSE),"")</f>
        <v/>
      </c>
      <c r="AB8" s="127"/>
      <c r="AC8" s="150"/>
      <c r="AD8" s="35">
        <f>Tabla58[[#This Row],[Dias de alta]]*7.058</f>
        <v>0</v>
      </c>
      <c r="AE8" s="46" t="str">
        <f>IFERROR(VLOOKUP(Tabla58[[#This Row],[Cod trabalhador]],Adiantamentos!B:L,7,FALSE),"")</f>
        <v/>
      </c>
      <c r="AF8" s="46" t="str">
        <f>IFERROR(VLOOKUP(Tabla58[[#This Row],[Cod trabalhador]],Carro!B:D,3,FALSE),"")</f>
        <v/>
      </c>
      <c r="AG8" s="46">
        <f>IFERROR(VLOOKUP(Tabla58[[#This Row],[Cod trabalhador]],'Outros descontos'!B:O,7,FALSE),"")</f>
        <v>0</v>
      </c>
      <c r="AH8" s="46">
        <f>IFERROR(VLOOKUP(Tabla58[[#This Row],[Cod trabalhador]],'Outros descontos'!B:M,8,FALSE),"")</f>
        <v>0</v>
      </c>
      <c r="AI8" s="46">
        <f>IFERROR(VLOOKUP(Tabla58[[#This Row],[Cod trabalhador]],'Outros descontos'!B:M,9,FALSE),"")</f>
        <v>0</v>
      </c>
      <c r="AJ8" s="46">
        <f>IFERROR(VLOOKUP(Tabla58[[#This Row],[Cod trabalhador]],'Outros descontos'!B:M,10,FALSE),"")</f>
        <v>159.1</v>
      </c>
      <c r="AK8" s="46">
        <f>IFERROR(VLOOKUP(Tabla58[[#This Row],[Cod trabalhador]],'Outros descontos'!B:M,11,FALSE),"")</f>
        <v>0</v>
      </c>
      <c r="AL8" s="46">
        <f>IFERROR(VLOOKUP(Tabla58[[#This Row],[Cod trabalhador]],'Outros descontos'!B:R,12,FALSE),"")</f>
        <v>0</v>
      </c>
      <c r="AM8" s="46" t="str">
        <f>IFERROR(VLOOKUP(Tabla58[[#This Row],[Cod trabalhador]],'Outros descontos'!B:M,13,FALSE),"")</f>
        <v/>
      </c>
      <c r="AN8" s="41"/>
      <c r="AO8" s="37">
        <v>4.08</v>
      </c>
      <c r="AP8" s="15"/>
      <c r="AQ8"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2191.8200000000002</v>
      </c>
      <c r="AR8"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2401.8200000000002</v>
      </c>
      <c r="AS8" s="15"/>
      <c r="AT8" s="27" t="str">
        <f>IF(Tabla58[[#This Row],[Cod trabalhador]]="", "", INDEX(Iban!C:C, MATCH(Tabla58[[#This Row],[Cod trabalhador]],Iban!A:A, 0)))</f>
        <v>BE80 9056 8570 9777</v>
      </c>
      <c r="AU8" s="27"/>
      <c r="AV8" s="27"/>
      <c r="AW8" s="66" t="s">
        <v>7533</v>
      </c>
      <c r="AX8" s="296" t="s">
        <v>7472</v>
      </c>
    </row>
    <row r="9" spans="1:50" ht="16.5" hidden="1" customHeight="1" x14ac:dyDescent="0.3">
      <c r="A9" s="43"/>
      <c r="B9" s="39" t="s">
        <v>646</v>
      </c>
      <c r="C9" s="45" t="str">
        <f>IF(ISNUMBER(MATCH(Tabla58[[#This Row],[Cod trabalhador]],'Altas Wiseowe'!B:B, 0)), "Ativo", "Não ativo")</f>
        <v>Não ativo</v>
      </c>
      <c r="D9" s="44" t="str">
        <f>IFERROR(IF(VLOOKUP(Tabla58[[#This Row],[Cod trabalhador]],'Altas Industrial'!B:E,1,0)&lt;&gt;"","KI",""),"")</f>
        <v/>
      </c>
      <c r="E9" s="44" t="str">
        <f>IFERROR(IF(VLOOKUP(Tabla58[[#This Row],[Cod trabalhador]],'Altas Rosas'!B:F,1,0)&lt;&gt;"","KR",""),"")</f>
        <v/>
      </c>
      <c r="F9" s="44" t="str">
        <f>IFERROR(IF(VLOOKUP(Tabla58[[#This Row],[Cod trabalhador]],'Altas Wiseowe'!B:E,1,0)&lt;&gt;"","WS",""),"")</f>
        <v/>
      </c>
      <c r="G9" s="101" t="str">
        <f>IFERROR(IF(VLOOKUP(Tabla58[[#This Row],[Cod trabalhador]],'Altas Luminous'!B:E,1,0)&lt;&gt;"","LM",""),"")</f>
        <v/>
      </c>
      <c r="H9" s="51" t="str">
        <f>IFERROR(VLOOKUP(Tabla58[[#This Row],[Cod trabalhador]],'Altas Wiseowe'!B:E,3,FALSE),"")</f>
        <v/>
      </c>
      <c r="I9" s="51" t="str">
        <f>IF(OR(Tabla58[[#This Row],[Cod trabalhador]]="",ISBLANK(Tabla58[[#This Row],[Cod trabalhador]])),"",IFERROR(IF(VLOOKUP(Tabla58[[#This Row],[Cod trabalhador]],'Altas Wiseowe'!B:E,4,FALSE)=0,"",VLOOKUP(Tabla58[[#This Row],[Cod trabalhador]],'Altas Wiseowe'!B:E,4,FALSE)),""))</f>
        <v/>
      </c>
      <c r="J9" s="44">
        <f t="shared" si="0"/>
        <v>0</v>
      </c>
      <c r="K9" s="376" t="s">
        <v>7250</v>
      </c>
      <c r="L9" s="342" t="str">
        <f>IFERROR(IF(Tabla58[[#This Row],[Cod trabalhador]]="",Tabla58[[#This Row],[Cod trabalhador]], INDEX(Colaborador_ID[Nombre], MATCH(Tabla58[[#This Row],[Cod trabalhador]],Colaborador_ID[Cod_colab], 0))), "")</f>
        <v>BRAYAN JULIAN GAZCON MARIN</v>
      </c>
      <c r="N9" s="405" t="s">
        <v>7244</v>
      </c>
      <c r="O9" s="26">
        <f>IFERROR(VLOOKUP(Tabla58[[#This Row],[Cod trabalhador]],Tabla15[],4,FALSE),"")</f>
        <v>15</v>
      </c>
      <c r="P9" s="92">
        <f>IFERROR(VLOOKUP(Tabla58[[#This Row],[Cod trabalhador]],'TotalHorasAjustadas (2)'!D:L,8,FALSE),"")</f>
        <v>83</v>
      </c>
      <c r="Q9" s="27">
        <v>83</v>
      </c>
      <c r="R9" s="28" t="s">
        <v>7471</v>
      </c>
      <c r="S9" s="28"/>
      <c r="U9" s="25"/>
      <c r="V9" s="220"/>
      <c r="W9" s="27"/>
      <c r="X9" s="28"/>
      <c r="Y9" s="28"/>
      <c r="Z9" s="149"/>
      <c r="AA9" s="392" t="str">
        <f>IFERROR(VLOOKUP(Tabla58[[#This Row],[Cod trabalhador]],Alojamentos!B:P,11,FALSE),"")</f>
        <v/>
      </c>
      <c r="AB9" s="127"/>
      <c r="AC9" s="150"/>
      <c r="AD9" s="35">
        <f>Tabla58[[#This Row],[Dias de alta]]*7.058</f>
        <v>0</v>
      </c>
      <c r="AE9" s="46" t="str">
        <f>IFERROR(VLOOKUP(Tabla58[[#This Row],[Cod trabalhador]],Adiantamentos!B:L,7,FALSE),"")</f>
        <v/>
      </c>
      <c r="AF9" s="46">
        <f>IFERROR(VLOOKUP(Tabla58[[#This Row],[Cod trabalhador]],Carro!B:D,3,FALSE),"")</f>
        <v>50</v>
      </c>
      <c r="AG9" s="46" t="str">
        <f>IFERROR(VLOOKUP(Tabla58[[#This Row],[Cod trabalhador]],'Outros descontos'!B:O,7,FALSE),"")</f>
        <v/>
      </c>
      <c r="AH9" s="46" t="str">
        <f>IFERROR(VLOOKUP(Tabla58[[#This Row],[Cod trabalhador]],'Outros descontos'!B:M,8,FALSE),"")</f>
        <v/>
      </c>
      <c r="AI9" s="46" t="str">
        <f>IFERROR(VLOOKUP(Tabla58[[#This Row],[Cod trabalhador]],'Outros descontos'!B:M,9,FALSE),"")</f>
        <v/>
      </c>
      <c r="AJ9" s="46" t="str">
        <f>IFERROR(VLOOKUP(Tabla58[[#This Row],[Cod trabalhador]],'Outros descontos'!B:M,10,FALSE),"")</f>
        <v/>
      </c>
      <c r="AK9" s="46" t="str">
        <f>IFERROR(VLOOKUP(Tabla58[[#This Row],[Cod trabalhador]],'Outros descontos'!B:M,11,FALSE),"")</f>
        <v/>
      </c>
      <c r="AL9" s="46" t="str">
        <f>IFERROR(VLOOKUP(Tabla58[[#This Row],[Cod trabalhador]],'Outros descontos'!B:R,12,FALSE),"")</f>
        <v/>
      </c>
      <c r="AM9" s="46" t="str">
        <f>IFERROR(VLOOKUP(Tabla58[[#This Row],[Cod trabalhador]],'Outros descontos'!B:M,13,FALSE),"")</f>
        <v/>
      </c>
      <c r="AN9" s="41"/>
      <c r="AO9" s="37">
        <v>4.08</v>
      </c>
      <c r="AP9" s="15"/>
      <c r="AQ9"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1190.92</v>
      </c>
      <c r="AR9"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1190.92</v>
      </c>
      <c r="AS9" s="15"/>
      <c r="AT9" s="27" t="str">
        <f>IF(Tabla58[[#This Row],[Cod trabalhador]]="", "", INDEX(Iban!C:C, MATCH(Tabla58[[#This Row],[Cod trabalhador]],Iban!A:A, 0)))</f>
        <v>ES67 0182 3191 8602 0175 0801</v>
      </c>
      <c r="AU9" s="27"/>
      <c r="AV9" s="27"/>
      <c r="AW9" s="66" t="s">
        <v>7533</v>
      </c>
      <c r="AX9" s="296" t="s">
        <v>7472</v>
      </c>
    </row>
    <row r="10" spans="1:50" ht="16.5" hidden="1" customHeight="1" x14ac:dyDescent="0.3">
      <c r="A10" s="43"/>
      <c r="B10" s="39" t="s">
        <v>760</v>
      </c>
      <c r="C10" s="45" t="str">
        <f>IF(ISNUMBER(MATCH(Tabla58[[#This Row],[Cod trabalhador]],'Altas Wiseowe'!B:B, 0)), "Ativo", "Não ativo")</f>
        <v>Não ativo</v>
      </c>
      <c r="D10" s="44" t="str">
        <f>IFERROR(IF(VLOOKUP(Tabla58[[#This Row],[Cod trabalhador]],'Altas Industrial'!B:E,1,0)&lt;&gt;"","KI",""),"")</f>
        <v/>
      </c>
      <c r="E10" s="44" t="str">
        <f>IFERROR(IF(VLOOKUP(Tabla58[[#This Row],[Cod trabalhador]],'Altas Rosas'!B:F,1,0)&lt;&gt;"","KR",""),"")</f>
        <v/>
      </c>
      <c r="F10" s="44" t="str">
        <f>IFERROR(IF(VLOOKUP(Tabla58[[#This Row],[Cod trabalhador]],'Altas Wiseowe'!B:E,1,0)&lt;&gt;"","WS",""),"")</f>
        <v/>
      </c>
      <c r="G10" s="101" t="str">
        <f>IFERROR(IF(VLOOKUP(Tabla58[[#This Row],[Cod trabalhador]],'Altas Luminous'!B:E,1,0)&lt;&gt;"","LM",""),"")</f>
        <v/>
      </c>
      <c r="H10" s="51" t="str">
        <f>IFERROR(VLOOKUP(Tabla58[[#This Row],[Cod trabalhador]],'Altas Wiseowe'!B:E,3,FALSE),"")</f>
        <v/>
      </c>
      <c r="I10" s="51" t="str">
        <f>IF(OR(Tabla58[[#This Row],[Cod trabalhador]]="",ISBLANK(Tabla58[[#This Row],[Cod trabalhador]])),"",IFERROR(IF(VLOOKUP(Tabla58[[#This Row],[Cod trabalhador]],'Altas Wiseowe'!B:E,4,FALSE)=0,"",VLOOKUP(Tabla58[[#This Row],[Cod trabalhador]],'Altas Wiseowe'!B:E,4,FALSE)),""))</f>
        <v/>
      </c>
      <c r="J10" s="44">
        <f t="shared" si="0"/>
        <v>0</v>
      </c>
      <c r="K10" s="376" t="s">
        <v>7251</v>
      </c>
      <c r="L10" s="342" t="str">
        <f>IFERROR(IF(Tabla58[[#This Row],[Cod trabalhador]]="",Tabla58[[#This Row],[Cod trabalhador]], INDEX(Colaborador_ID[Nombre], MATCH(Tabla58[[#This Row],[Cod trabalhador]],Colaborador_ID[Cod_colab], 0))), "")</f>
        <v>CARLOS ANDRES ARROYO BERTEL</v>
      </c>
      <c r="N10" s="405" t="s">
        <v>7244</v>
      </c>
      <c r="O10" s="26">
        <f>IFERROR(VLOOKUP(Tabla58[[#This Row],[Cod trabalhador]],Tabla15[],4,FALSE),"")</f>
        <v>15</v>
      </c>
      <c r="P10" s="92">
        <f>IFERROR(VLOOKUP(Tabla58[[#This Row],[Cod trabalhador]],'TotalHorasAjustadas (2)'!D:L,8,FALSE),"")</f>
        <v>167</v>
      </c>
      <c r="Q10" s="27">
        <v>167</v>
      </c>
      <c r="R10" s="28" t="s">
        <v>7471</v>
      </c>
      <c r="S10" s="28"/>
      <c r="U10" s="25"/>
      <c r="V10" s="220"/>
      <c r="W10" s="27"/>
      <c r="X10" s="28"/>
      <c r="Y10" s="28"/>
      <c r="Z10" s="149"/>
      <c r="AA10" s="392" t="str">
        <f>IFERROR(VLOOKUP(Tabla58[[#This Row],[Cod trabalhador]],Alojamentos!B:P,11,FALSE),"")</f>
        <v/>
      </c>
      <c r="AB10" s="127"/>
      <c r="AC10" s="150"/>
      <c r="AD10" s="35">
        <f>Tabla58[[#This Row],[Dias de alta]]*7.058</f>
        <v>0</v>
      </c>
      <c r="AE10" s="46" t="str">
        <f>IFERROR(VLOOKUP(Tabla58[[#This Row],[Cod trabalhador]],Adiantamentos!B:L,7,FALSE),"")</f>
        <v/>
      </c>
      <c r="AF10" s="46" t="str">
        <f>IFERROR(VLOOKUP(Tabla58[[#This Row],[Cod trabalhador]],Carro!B:D,3,FALSE),"")</f>
        <v/>
      </c>
      <c r="AG10" s="46">
        <f>IFERROR(VLOOKUP(Tabla58[[#This Row],[Cod trabalhador]],'Outros descontos'!B:O,7,FALSE),"")</f>
        <v>0</v>
      </c>
      <c r="AH10" s="46">
        <f>IFERROR(VLOOKUP(Tabla58[[#This Row],[Cod trabalhador]],'Outros descontos'!B:M,8,FALSE),"")</f>
        <v>0</v>
      </c>
      <c r="AI10" s="46">
        <f>IFERROR(VLOOKUP(Tabla58[[#This Row],[Cod trabalhador]],'Outros descontos'!B:M,9,FALSE),"")</f>
        <v>0</v>
      </c>
      <c r="AJ10" s="46">
        <f>IFERROR(VLOOKUP(Tabla58[[#This Row],[Cod trabalhador]],'Outros descontos'!B:M,10,FALSE),"")</f>
        <v>147.19999999999999</v>
      </c>
      <c r="AK10" s="46">
        <f>IFERROR(VLOOKUP(Tabla58[[#This Row],[Cod trabalhador]],'Outros descontos'!B:M,11,FALSE),"")</f>
        <v>0</v>
      </c>
      <c r="AL10" s="46">
        <f>IFERROR(VLOOKUP(Tabla58[[#This Row],[Cod trabalhador]],'Outros descontos'!B:R,12,FALSE),"")</f>
        <v>0</v>
      </c>
      <c r="AM10" s="46" t="str">
        <f>IFERROR(VLOOKUP(Tabla58[[#This Row],[Cod trabalhador]],'Outros descontos'!B:M,13,FALSE),"")</f>
        <v/>
      </c>
      <c r="AN10" s="41"/>
      <c r="AO10" s="37">
        <v>4.08</v>
      </c>
      <c r="AP10" s="15"/>
      <c r="AQ10"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2353.7200000000003</v>
      </c>
      <c r="AR10"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2353.7200000000003</v>
      </c>
      <c r="AS10" s="15"/>
      <c r="AT10" s="27" t="str">
        <f>IF(Tabla58[[#This Row],[Cod trabalhador]]="", "", INDEX(Iban!C:C, MATCH(Tabla58[[#This Row],[Cod trabalhador]],Iban!A:A, 0)))</f>
        <v>BE56 9057 7352 4988</v>
      </c>
      <c r="AU10" s="27"/>
      <c r="AV10" s="27"/>
      <c r="AW10" s="66" t="s">
        <v>7533</v>
      </c>
      <c r="AX10" s="296" t="s">
        <v>7472</v>
      </c>
    </row>
    <row r="11" spans="1:50" ht="16.5" hidden="1" customHeight="1" x14ac:dyDescent="0.3">
      <c r="A11" s="43"/>
      <c r="B11" s="39" t="s">
        <v>804</v>
      </c>
      <c r="C11" s="45" t="str">
        <f>IF(ISNUMBER(MATCH(Tabla58[[#This Row],[Cod trabalhador]],'Altas Wiseowe'!B:B, 0)), "Ativo", "Não ativo")</f>
        <v>Não ativo</v>
      </c>
      <c r="D11" s="44" t="str">
        <f>IFERROR(IF(VLOOKUP(Tabla58[[#This Row],[Cod trabalhador]],'Altas Industrial'!B:E,1,0)&lt;&gt;"","KI",""),"")</f>
        <v/>
      </c>
      <c r="E11" s="44" t="str">
        <f>IFERROR(IF(VLOOKUP(Tabla58[[#This Row],[Cod trabalhador]],'Altas Rosas'!B:F,1,0)&lt;&gt;"","KR",""),"")</f>
        <v/>
      </c>
      <c r="F11" s="44" t="str">
        <f>IFERROR(IF(VLOOKUP(Tabla58[[#This Row],[Cod trabalhador]],'Altas Wiseowe'!B:E,1,0)&lt;&gt;"","WS",""),"")</f>
        <v/>
      </c>
      <c r="G11" s="101" t="str">
        <f>IFERROR(IF(VLOOKUP(Tabla58[[#This Row],[Cod trabalhador]],'Altas Luminous'!B:E,1,0)&lt;&gt;"","LM",""),"")</f>
        <v/>
      </c>
      <c r="H11" s="51" t="str">
        <f>IFERROR(VLOOKUP(Tabla58[[#This Row],[Cod trabalhador]],'Altas Wiseowe'!B:E,3,FALSE),"")</f>
        <v/>
      </c>
      <c r="I11" s="51" t="str">
        <f>IF(OR(Tabla58[[#This Row],[Cod trabalhador]]="",ISBLANK(Tabla58[[#This Row],[Cod trabalhador]])),"",IFERROR(IF(VLOOKUP(Tabla58[[#This Row],[Cod trabalhador]],'Altas Wiseowe'!B:E,4,FALSE)=0,"",VLOOKUP(Tabla58[[#This Row],[Cod trabalhador]],'Altas Wiseowe'!B:E,4,FALSE)),""))</f>
        <v/>
      </c>
      <c r="J11" s="44">
        <f t="shared" si="0"/>
        <v>0</v>
      </c>
      <c r="K11" s="376" t="s">
        <v>7263</v>
      </c>
      <c r="L11" s="342" t="str">
        <f>IFERROR(IF(Tabla58[[#This Row],[Cod trabalhador]]="",Tabla58[[#This Row],[Cod trabalhador]], INDEX(Colaborador_ID[Nombre], MATCH(Tabla58[[#This Row],[Cod trabalhador]],Colaborador_ID[Cod_colab], 0))), "")</f>
        <v>CARLOS ANDRES SILVA CORREA</v>
      </c>
      <c r="N11" s="405" t="s">
        <v>7244</v>
      </c>
      <c r="O11" s="26">
        <f>IFERROR(VLOOKUP(Tabla58[[#This Row],[Cod trabalhador]],Tabla15[],4,FALSE),"")</f>
        <v>15</v>
      </c>
      <c r="P11" s="92">
        <f>IFERROR(VLOOKUP(Tabla58[[#This Row],[Cod trabalhador]],'TotalHorasAjustadas (2)'!D:L,8,FALSE),"")</f>
        <v>140.5</v>
      </c>
      <c r="Q11" s="27">
        <v>141.5</v>
      </c>
      <c r="R11" s="28" t="s">
        <v>7471</v>
      </c>
      <c r="S11" s="28"/>
      <c r="U11" s="25"/>
      <c r="V11" s="220"/>
      <c r="W11" s="27"/>
      <c r="X11" s="28"/>
      <c r="Y11" s="28"/>
      <c r="Z11" s="149"/>
      <c r="AA11" s="392" t="str">
        <f>IFERROR(VLOOKUP(Tabla58[[#This Row],[Cod trabalhador]],Alojamentos!B:P,11,FALSE),"")</f>
        <v/>
      </c>
      <c r="AB11" s="127"/>
      <c r="AC11" s="150"/>
      <c r="AD11" s="35">
        <f>Tabla58[[#This Row],[Dias de alta]]*7.058</f>
        <v>0</v>
      </c>
      <c r="AE11" s="46" t="str">
        <f>IFERROR(VLOOKUP(Tabla58[[#This Row],[Cod trabalhador]],Adiantamentos!B:L,7,FALSE),"")</f>
        <v/>
      </c>
      <c r="AF11" s="46" t="str">
        <f>IFERROR(VLOOKUP(Tabla58[[#This Row],[Cod trabalhador]],Carro!B:D,3,FALSE),"")</f>
        <v/>
      </c>
      <c r="AG11" s="46">
        <f>IFERROR(VLOOKUP(Tabla58[[#This Row],[Cod trabalhador]],'Outros descontos'!B:O,7,FALSE),"")</f>
        <v>0</v>
      </c>
      <c r="AH11" s="46">
        <f>IFERROR(VLOOKUP(Tabla58[[#This Row],[Cod trabalhador]],'Outros descontos'!B:M,8,FALSE),"")</f>
        <v>0</v>
      </c>
      <c r="AI11" s="46">
        <f>IFERROR(VLOOKUP(Tabla58[[#This Row],[Cod trabalhador]],'Outros descontos'!B:M,9,FALSE),"")</f>
        <v>0</v>
      </c>
      <c r="AJ11" s="46">
        <f>IFERROR(VLOOKUP(Tabla58[[#This Row],[Cod trabalhador]],'Outros descontos'!B:M,10,FALSE),"")</f>
        <v>147.19999999999999</v>
      </c>
      <c r="AK11" s="46">
        <f>IFERROR(VLOOKUP(Tabla58[[#This Row],[Cod trabalhador]],'Outros descontos'!B:M,11,FALSE),"")</f>
        <v>0</v>
      </c>
      <c r="AL11" s="46">
        <f>IFERROR(VLOOKUP(Tabla58[[#This Row],[Cod trabalhador]],'Outros descontos'!B:R,12,FALSE),"")</f>
        <v>0</v>
      </c>
      <c r="AM11" s="46" t="str">
        <f>IFERROR(VLOOKUP(Tabla58[[#This Row],[Cod trabalhador]],'Outros descontos'!B:M,13,FALSE),"")</f>
        <v/>
      </c>
      <c r="AN11" s="41"/>
      <c r="AO11" s="37">
        <v>4.08</v>
      </c>
      <c r="AP11" s="15"/>
      <c r="AQ11"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1956.22</v>
      </c>
      <c r="AR11"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1971.22</v>
      </c>
      <c r="AS11" s="15"/>
      <c r="AT11" s="27" t="str">
        <f>IF(Tabla58[[#This Row],[Cod trabalhador]]="", "", INDEX(Iban!C:C, MATCH(Tabla58[[#This Row],[Cod trabalhador]],Iban!A:A, 0)))</f>
        <v>ES17 0049 5774 4929 1621 2724</v>
      </c>
      <c r="AU11" s="27"/>
      <c r="AV11" s="27"/>
      <c r="AW11" s="66" t="s">
        <v>7533</v>
      </c>
      <c r="AX11" s="296" t="s">
        <v>7472</v>
      </c>
    </row>
    <row r="12" spans="1:50" ht="16.5" hidden="1" customHeight="1" x14ac:dyDescent="0.3">
      <c r="A12" s="43"/>
      <c r="B12" s="39" t="s">
        <v>1291</v>
      </c>
      <c r="C12" s="45" t="str">
        <f>IF(ISNUMBER(MATCH(Tabla58[[#This Row],[Cod trabalhador]],'Altas Wiseowe'!B:B, 0)), "Ativo", "Não ativo")</f>
        <v>Não ativo</v>
      </c>
      <c r="D12" s="44" t="str">
        <f>IFERROR(IF(VLOOKUP(Tabla58[[#This Row],[Cod trabalhador]],'Altas Industrial'!B:E,1,0)&lt;&gt;"","KI",""),"")</f>
        <v/>
      </c>
      <c r="E12" s="44" t="str">
        <f>IFERROR(IF(VLOOKUP(Tabla58[[#This Row],[Cod trabalhador]],'Altas Rosas'!B:F,1,0)&lt;&gt;"","KR",""),"")</f>
        <v/>
      </c>
      <c r="F12" s="44" t="str">
        <f>IFERROR(IF(VLOOKUP(Tabla58[[#This Row],[Cod trabalhador]],'Altas Wiseowe'!B:E,1,0)&lt;&gt;"","WS",""),"")</f>
        <v/>
      </c>
      <c r="G12" s="101" t="str">
        <f>IFERROR(IF(VLOOKUP(Tabla58[[#This Row],[Cod trabalhador]],'Altas Luminous'!B:E,1,0)&lt;&gt;"","LM",""),"")</f>
        <v/>
      </c>
      <c r="H12" s="51" t="str">
        <f>IFERROR(VLOOKUP(Tabla58[[#This Row],[Cod trabalhador]],'Altas Wiseowe'!B:E,3,FALSE),"")</f>
        <v/>
      </c>
      <c r="I12" s="51" t="str">
        <f>IF(OR(Tabla58[[#This Row],[Cod trabalhador]]="",ISBLANK(Tabla58[[#This Row],[Cod trabalhador]])),"",IFERROR(IF(VLOOKUP(Tabla58[[#This Row],[Cod trabalhador]],'Altas Wiseowe'!B:E,4,FALSE)=0,"",VLOOKUP(Tabla58[[#This Row],[Cod trabalhador]],'Altas Wiseowe'!B:E,4,FALSE)),""))</f>
        <v/>
      </c>
      <c r="J12" s="44">
        <f t="shared" si="0"/>
        <v>0</v>
      </c>
      <c r="K12" s="376" t="s">
        <v>1292</v>
      </c>
      <c r="L12" s="342" t="str">
        <f>IFERROR(IF(Tabla58[[#This Row],[Cod trabalhador]]="",Tabla58[[#This Row],[Cod trabalhador]], INDEX(Colaborador_ID[Nombre], MATCH(Tabla58[[#This Row],[Cod trabalhador]],Colaborador_ID[Cod_colab], 0))), "")</f>
        <v>DEWIN DE JESUS DE LEON BARRERA</v>
      </c>
      <c r="N12" s="405" t="s">
        <v>7244</v>
      </c>
      <c r="O12" s="26">
        <f>IFERROR(VLOOKUP(Tabla58[[#This Row],[Cod trabalhador]],Tabla15[],4,FALSE),"")</f>
        <v>15</v>
      </c>
      <c r="P12" s="92">
        <f>IFERROR(VLOOKUP(Tabla58[[#This Row],[Cod trabalhador]],'TotalHorasAjustadas (2)'!D:L,8,FALSE),"")</f>
        <v>142</v>
      </c>
      <c r="Q12" s="27">
        <v>143</v>
      </c>
      <c r="R12" s="28" t="s">
        <v>7471</v>
      </c>
      <c r="S12" s="28"/>
      <c r="U12" s="25"/>
      <c r="V12" s="220"/>
      <c r="W12" s="27"/>
      <c r="X12" s="28"/>
      <c r="Y12" s="28"/>
      <c r="Z12" s="149"/>
      <c r="AA12" s="392" t="str">
        <f>IFERROR(VLOOKUP(Tabla58[[#This Row],[Cod trabalhador]],Alojamentos!B:P,11,FALSE),"")</f>
        <v/>
      </c>
      <c r="AB12" s="127"/>
      <c r="AC12" s="150"/>
      <c r="AD12" s="35">
        <f>Tabla58[[#This Row],[Dias de alta]]*7.058</f>
        <v>0</v>
      </c>
      <c r="AE12" s="46" t="str">
        <f>IFERROR(VLOOKUP(Tabla58[[#This Row],[Cod trabalhador]],Adiantamentos!B:L,7,FALSE),"")</f>
        <v/>
      </c>
      <c r="AF12" s="46">
        <f>IFERROR(VLOOKUP(Tabla58[[#This Row],[Cod trabalhador]],Carro!B:D,3,FALSE),"")</f>
        <v>115</v>
      </c>
      <c r="AG12" s="46">
        <f>IFERROR(VLOOKUP(Tabla58[[#This Row],[Cod trabalhador]],'Outros descontos'!B:O,7,FALSE),"")</f>
        <v>0</v>
      </c>
      <c r="AH12" s="46">
        <f>IFERROR(VLOOKUP(Tabla58[[#This Row],[Cod trabalhador]],'Outros descontos'!B:M,8,FALSE),"")</f>
        <v>0</v>
      </c>
      <c r="AI12" s="46">
        <f>IFERROR(VLOOKUP(Tabla58[[#This Row],[Cod trabalhador]],'Outros descontos'!B:M,9,FALSE),"")</f>
        <v>0</v>
      </c>
      <c r="AJ12" s="46">
        <f>IFERROR(VLOOKUP(Tabla58[[#This Row],[Cod trabalhador]],'Outros descontos'!B:M,10,FALSE),"")</f>
        <v>128.65</v>
      </c>
      <c r="AK12" s="46">
        <f>IFERROR(VLOOKUP(Tabla58[[#This Row],[Cod trabalhador]],'Outros descontos'!B:M,11,FALSE),"")</f>
        <v>0</v>
      </c>
      <c r="AL12" s="46">
        <f>IFERROR(VLOOKUP(Tabla58[[#This Row],[Cod trabalhador]],'Outros descontos'!B:R,12,FALSE),"")</f>
        <v>0</v>
      </c>
      <c r="AM12" s="46" t="str">
        <f>IFERROR(VLOOKUP(Tabla58[[#This Row],[Cod trabalhador]],'Outros descontos'!B:M,13,FALSE),"")</f>
        <v/>
      </c>
      <c r="AN12" s="41"/>
      <c r="AO12" s="37">
        <v>4.08</v>
      </c>
      <c r="AP12" s="15"/>
      <c r="AQ12"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1882.27</v>
      </c>
      <c r="AR12"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1897.27</v>
      </c>
      <c r="AS12" s="15"/>
      <c r="AT12" s="27" t="str">
        <f>IF(Tabla58[[#This Row],[Cod trabalhador]]="", "", INDEX(Iban!C:C, MATCH(Tabla58[[#This Row],[Cod trabalhador]],Iban!A:A, 0)))</f>
        <v>ES76 0182 6786 0202 0155 7836</v>
      </c>
      <c r="AU12" s="27" t="s">
        <v>7541</v>
      </c>
      <c r="AV12" s="27"/>
      <c r="AW12" s="66" t="s">
        <v>7533</v>
      </c>
      <c r="AX12" s="296" t="s">
        <v>7472</v>
      </c>
    </row>
    <row r="13" spans="1:50" ht="16.5" hidden="1" customHeight="1" x14ac:dyDescent="0.3">
      <c r="A13" s="43"/>
      <c r="B13" s="39" t="s">
        <v>1407</v>
      </c>
      <c r="C13" s="45" t="str">
        <f>IF(ISNUMBER(MATCH(Tabla58[[#This Row],[Cod trabalhador]],'Altas Wiseowe'!B:B, 0)), "Ativo", "Não ativo")</f>
        <v>Não ativo</v>
      </c>
      <c r="D13" s="44" t="str">
        <f>IFERROR(IF(VLOOKUP(Tabla58[[#This Row],[Cod trabalhador]],'Altas Industrial'!B:E,1,0)&lt;&gt;"","KI",""),"")</f>
        <v/>
      </c>
      <c r="E13" s="44" t="str">
        <f>IFERROR(IF(VLOOKUP(Tabla58[[#This Row],[Cod trabalhador]],'Altas Rosas'!B:F,1,0)&lt;&gt;"","KR",""),"")</f>
        <v/>
      </c>
      <c r="F13" s="44" t="str">
        <f>IFERROR(IF(VLOOKUP(Tabla58[[#This Row],[Cod trabalhador]],'Altas Wiseowe'!B:E,1,0)&lt;&gt;"","WS",""),"")</f>
        <v/>
      </c>
      <c r="G13" s="101" t="str">
        <f>IFERROR(IF(VLOOKUP(Tabla58[[#This Row],[Cod trabalhador]],'Altas Luminous'!B:E,1,0)&lt;&gt;"","LM",""),"")</f>
        <v/>
      </c>
      <c r="H13" s="51" t="str">
        <f>IFERROR(VLOOKUP(Tabla58[[#This Row],[Cod trabalhador]],'Altas Wiseowe'!B:E,3,FALSE),"")</f>
        <v/>
      </c>
      <c r="I13" s="51" t="str">
        <f>IF(OR(Tabla58[[#This Row],[Cod trabalhador]]="",ISBLANK(Tabla58[[#This Row],[Cod trabalhador]])),"",IFERROR(IF(VLOOKUP(Tabla58[[#This Row],[Cod trabalhador]],'Altas Wiseowe'!B:E,4,FALSE)=0,"",VLOOKUP(Tabla58[[#This Row],[Cod trabalhador]],'Altas Wiseowe'!B:E,4,FALSE)),""))</f>
        <v/>
      </c>
      <c r="J13" s="44">
        <f t="shared" si="0"/>
        <v>0</v>
      </c>
      <c r="K13" s="376" t="s">
        <v>7249</v>
      </c>
      <c r="L13" s="342" t="str">
        <f>IFERROR(IF(Tabla58[[#This Row],[Cod trabalhador]]="",Tabla58[[#This Row],[Cod trabalhador]], INDEX(Colaborador_ID[Nombre], MATCH(Tabla58[[#This Row],[Cod trabalhador]],Colaborador_ID[Cod_colab], 0))), "")</f>
        <v>DOMINGO RAMON VEGA HUMANEZ</v>
      </c>
      <c r="N13" s="405" t="s">
        <v>7244</v>
      </c>
      <c r="O13" s="26">
        <f>IFERROR(VLOOKUP(Tabla58[[#This Row],[Cod trabalhador]],Tabla15[],4,FALSE),"")</f>
        <v>15</v>
      </c>
      <c r="P13" s="92">
        <f>IFERROR(VLOOKUP(Tabla58[[#This Row],[Cod trabalhador]],'TotalHorasAjustadas (2)'!D:L,8,FALSE),"")</f>
        <v>172.5</v>
      </c>
      <c r="Q13" s="27">
        <v>173</v>
      </c>
      <c r="R13" s="28" t="s">
        <v>7471</v>
      </c>
      <c r="S13" s="28"/>
      <c r="U13" s="25"/>
      <c r="V13" s="220"/>
      <c r="W13" s="27"/>
      <c r="X13" s="28"/>
      <c r="Y13" s="28"/>
      <c r="Z13" s="149"/>
      <c r="AA13" s="392" t="str">
        <f>IFERROR(VLOOKUP(Tabla58[[#This Row],[Cod trabalhador]],Alojamentos!B:P,11,FALSE),"")</f>
        <v/>
      </c>
      <c r="AB13" s="127"/>
      <c r="AC13" s="150"/>
      <c r="AD13" s="35">
        <f>Tabla58[[#This Row],[Dias de alta]]*7.058</f>
        <v>0</v>
      </c>
      <c r="AE13" s="46" t="str">
        <f>IFERROR(VLOOKUP(Tabla58[[#This Row],[Cod trabalhador]],Adiantamentos!B:L,7,FALSE),"")</f>
        <v/>
      </c>
      <c r="AF13" s="46" t="str">
        <f>IFERROR(VLOOKUP(Tabla58[[#This Row],[Cod trabalhador]],Carro!B:D,3,FALSE),"")</f>
        <v/>
      </c>
      <c r="AG13" s="46" t="str">
        <f>IFERROR(VLOOKUP(Tabla58[[#This Row],[Cod trabalhador]],'Outros descontos'!B:O,7,FALSE),"")</f>
        <v/>
      </c>
      <c r="AH13" s="46" t="str">
        <f>IFERROR(VLOOKUP(Tabla58[[#This Row],[Cod trabalhador]],'Outros descontos'!B:M,8,FALSE),"")</f>
        <v/>
      </c>
      <c r="AI13" s="46" t="str">
        <f>IFERROR(VLOOKUP(Tabla58[[#This Row],[Cod trabalhador]],'Outros descontos'!B:M,9,FALSE),"")</f>
        <v/>
      </c>
      <c r="AJ13" s="46" t="str">
        <f>IFERROR(VLOOKUP(Tabla58[[#This Row],[Cod trabalhador]],'Outros descontos'!B:M,10,FALSE),"")</f>
        <v/>
      </c>
      <c r="AK13" s="46" t="str">
        <f>IFERROR(VLOOKUP(Tabla58[[#This Row],[Cod trabalhador]],'Outros descontos'!B:M,11,FALSE),"")</f>
        <v/>
      </c>
      <c r="AL13" s="46" t="str">
        <f>IFERROR(VLOOKUP(Tabla58[[#This Row],[Cod trabalhador]],'Outros descontos'!B:R,12,FALSE),"")</f>
        <v/>
      </c>
      <c r="AM13" s="46" t="str">
        <f>IFERROR(VLOOKUP(Tabla58[[#This Row],[Cod trabalhador]],'Outros descontos'!B:M,13,FALSE),"")</f>
        <v/>
      </c>
      <c r="AN13" s="41"/>
      <c r="AO13" s="37">
        <v>4.08</v>
      </c>
      <c r="AP13" s="15"/>
      <c r="AQ13"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2583.42</v>
      </c>
      <c r="AR13"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2590.92</v>
      </c>
      <c r="AS13" s="15"/>
      <c r="AT13" s="27" t="str">
        <f>IF(Tabla58[[#This Row],[Cod trabalhador]]="", "", INDEX(Iban!C:C, MATCH(Tabla58[[#This Row],[Cod trabalhador]],Iban!A:A, 0)))</f>
        <v>BE24 9056 9017 7538</v>
      </c>
      <c r="AU13" s="27"/>
      <c r="AV13" s="27"/>
      <c r="AW13" s="66" t="s">
        <v>7533</v>
      </c>
      <c r="AX13" s="296" t="s">
        <v>7472</v>
      </c>
    </row>
    <row r="14" spans="1:50" ht="16.5" hidden="1" customHeight="1" x14ac:dyDescent="0.3">
      <c r="A14" s="43"/>
      <c r="B14" s="39" t="s">
        <v>1417</v>
      </c>
      <c r="C14" s="45" t="str">
        <f>IF(ISNUMBER(MATCH(Tabla58[[#This Row],[Cod trabalhador]],'Altas Wiseowe'!B:B, 0)), "Ativo", "Não ativo")</f>
        <v>Não ativo</v>
      </c>
      <c r="D14" s="44" t="str">
        <f>IFERROR(IF(VLOOKUP(Tabla58[[#This Row],[Cod trabalhador]],'Altas Industrial'!B:E,1,0)&lt;&gt;"","KI",""),"")</f>
        <v/>
      </c>
      <c r="E14" s="44" t="str">
        <f>IFERROR(IF(VLOOKUP(Tabla58[[#This Row],[Cod trabalhador]],'Altas Rosas'!B:F,1,0)&lt;&gt;"","KR",""),"")</f>
        <v/>
      </c>
      <c r="F14" s="44" t="str">
        <f>IFERROR(IF(VLOOKUP(Tabla58[[#This Row],[Cod trabalhador]],'Altas Wiseowe'!B:E,1,0)&lt;&gt;"","WS",""),"")</f>
        <v/>
      </c>
      <c r="G14" s="101" t="str">
        <f>IFERROR(IF(VLOOKUP(Tabla58[[#This Row],[Cod trabalhador]],'Altas Luminous'!B:E,1,0)&lt;&gt;"","LM",""),"")</f>
        <v/>
      </c>
      <c r="H14" s="51" t="str">
        <f>IFERROR(VLOOKUP(Tabla58[[#This Row],[Cod trabalhador]],'Altas Wiseowe'!B:E,3,FALSE),"")</f>
        <v/>
      </c>
      <c r="I14" s="51" t="str">
        <f>IF(OR(Tabla58[[#This Row],[Cod trabalhador]]="",ISBLANK(Tabla58[[#This Row],[Cod trabalhador]])),"",IFERROR(IF(VLOOKUP(Tabla58[[#This Row],[Cod trabalhador]],'Altas Wiseowe'!B:E,4,FALSE)=0,"",VLOOKUP(Tabla58[[#This Row],[Cod trabalhador]],'Altas Wiseowe'!B:E,4,FALSE)),""))</f>
        <v/>
      </c>
      <c r="J14" s="44">
        <f t="shared" si="0"/>
        <v>0</v>
      </c>
      <c r="K14" s="376" t="s">
        <v>1418</v>
      </c>
      <c r="L14" s="342" t="str">
        <f>IFERROR(IF(Tabla58[[#This Row],[Cod trabalhador]]="",Tabla58[[#This Row],[Cod trabalhador]], INDEX(Colaborador_ID[Nombre], MATCH(Tabla58[[#This Row],[Cod trabalhador]],Colaborador_ID[Cod_colab], 0))), "")</f>
        <v>DUAN ANTONIO AVILA NORIEGA</v>
      </c>
      <c r="N14" s="405" t="s">
        <v>7244</v>
      </c>
      <c r="O14" s="26">
        <f>IFERROR(VLOOKUP(Tabla58[[#This Row],[Cod trabalhador]],Tabla15[],4,FALSE),"")</f>
        <v>15</v>
      </c>
      <c r="P14" s="92">
        <f>IFERROR(VLOOKUP(Tabla58[[#This Row],[Cod trabalhador]],'TotalHorasAjustadas (2)'!D:L,8,FALSE),"")</f>
        <v>83</v>
      </c>
      <c r="Q14" s="27">
        <v>83</v>
      </c>
      <c r="R14" s="28" t="s">
        <v>7471</v>
      </c>
      <c r="S14" s="28"/>
      <c r="U14" s="25"/>
      <c r="V14" s="220"/>
      <c r="W14" s="27"/>
      <c r="X14" s="28"/>
      <c r="Y14" s="28"/>
      <c r="Z14" s="149"/>
      <c r="AA14" s="392" t="str">
        <f>IFERROR(VLOOKUP(Tabla58[[#This Row],[Cod trabalhador]],Alojamentos!B:P,11,FALSE),"")</f>
        <v/>
      </c>
      <c r="AB14" s="127"/>
      <c r="AC14" s="150"/>
      <c r="AD14" s="35">
        <f>Tabla58[[#This Row],[Dias de alta]]*7.058</f>
        <v>0</v>
      </c>
      <c r="AE14" s="46" t="str">
        <f>IFERROR(VLOOKUP(Tabla58[[#This Row],[Cod trabalhador]],Adiantamentos!B:L,7,FALSE),"")</f>
        <v/>
      </c>
      <c r="AF14" s="46">
        <f>IFERROR(VLOOKUP(Tabla58[[#This Row],[Cod trabalhador]],Carro!B:D,3,FALSE),"")</f>
        <v>50</v>
      </c>
      <c r="AG14" s="46" t="str">
        <f>IFERROR(VLOOKUP(Tabla58[[#This Row],[Cod trabalhador]],'Outros descontos'!B:O,7,FALSE),"")</f>
        <v/>
      </c>
      <c r="AH14" s="46" t="str">
        <f>IFERROR(VLOOKUP(Tabla58[[#This Row],[Cod trabalhador]],'Outros descontos'!B:M,8,FALSE),"")</f>
        <v/>
      </c>
      <c r="AI14" s="46" t="str">
        <f>IFERROR(VLOOKUP(Tabla58[[#This Row],[Cod trabalhador]],'Outros descontos'!B:M,9,FALSE),"")</f>
        <v/>
      </c>
      <c r="AJ14" s="46" t="str">
        <f>IFERROR(VLOOKUP(Tabla58[[#This Row],[Cod trabalhador]],'Outros descontos'!B:M,10,FALSE),"")</f>
        <v/>
      </c>
      <c r="AK14" s="46" t="str">
        <f>IFERROR(VLOOKUP(Tabla58[[#This Row],[Cod trabalhador]],'Outros descontos'!B:M,11,FALSE),"")</f>
        <v/>
      </c>
      <c r="AL14" s="46" t="str">
        <f>IFERROR(VLOOKUP(Tabla58[[#This Row],[Cod trabalhador]],'Outros descontos'!B:R,12,FALSE),"")</f>
        <v/>
      </c>
      <c r="AM14" s="46" t="str">
        <f>IFERROR(VLOOKUP(Tabla58[[#This Row],[Cod trabalhador]],'Outros descontos'!B:M,13,FALSE),"")</f>
        <v/>
      </c>
      <c r="AN14" s="41"/>
      <c r="AO14" s="37">
        <v>4.08</v>
      </c>
      <c r="AP14" s="15"/>
      <c r="AQ14"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1190.92</v>
      </c>
      <c r="AR14"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1190.92</v>
      </c>
      <c r="AS14" s="15"/>
      <c r="AT14" s="27" t="str">
        <f>IF(Tabla58[[#This Row],[Cod trabalhador]]="", "", INDEX(Iban!C:C, MATCH(Tabla58[[#This Row],[Cod trabalhador]],Iban!A:A, 0)))</f>
        <v>BE98 9052 9051 3993</v>
      </c>
      <c r="AU14" s="27"/>
      <c r="AV14" s="27"/>
      <c r="AW14" s="66" t="s">
        <v>7533</v>
      </c>
      <c r="AX14" s="296" t="s">
        <v>7472</v>
      </c>
    </row>
    <row r="15" spans="1:50" ht="16.5" hidden="1" customHeight="1" x14ac:dyDescent="0.3">
      <c r="A15" s="43"/>
      <c r="B15" s="39" t="s">
        <v>1523</v>
      </c>
      <c r="C15" s="45" t="str">
        <f>IF(ISNUMBER(MATCH(Tabla58[[#This Row],[Cod trabalhador]],'Altas Wiseowe'!B:B, 0)), "Ativo", "Não ativo")</f>
        <v>Não ativo</v>
      </c>
      <c r="D15" s="44" t="str">
        <f>IFERROR(IF(VLOOKUP(Tabla58[[#This Row],[Cod trabalhador]],'Altas Industrial'!B:E,1,0)&lt;&gt;"","KI",""),"")</f>
        <v/>
      </c>
      <c r="E15" s="44" t="str">
        <f>IFERROR(IF(VLOOKUP(Tabla58[[#This Row],[Cod trabalhador]],'Altas Rosas'!B:F,1,0)&lt;&gt;"","KR",""),"")</f>
        <v/>
      </c>
      <c r="F15" s="44" t="str">
        <f>IFERROR(IF(VLOOKUP(Tabla58[[#This Row],[Cod trabalhador]],'Altas Wiseowe'!B:E,1,0)&lt;&gt;"","WS",""),"")</f>
        <v/>
      </c>
      <c r="G15" s="101" t="str">
        <f>IFERROR(IF(VLOOKUP(Tabla58[[#This Row],[Cod trabalhador]],'Altas Luminous'!B:E,1,0)&lt;&gt;"","LM",""),"")</f>
        <v/>
      </c>
      <c r="H15" s="51" t="str">
        <f>IFERROR(VLOOKUP(Tabla58[[#This Row],[Cod trabalhador]],'Altas Wiseowe'!B:E,3,FALSE),"")</f>
        <v/>
      </c>
      <c r="I15" s="51" t="str">
        <f>IF(OR(Tabla58[[#This Row],[Cod trabalhador]]="",ISBLANK(Tabla58[[#This Row],[Cod trabalhador]])),"",IFERROR(IF(VLOOKUP(Tabla58[[#This Row],[Cod trabalhador]],'Altas Wiseowe'!B:E,4,FALSE)=0,"",VLOOKUP(Tabla58[[#This Row],[Cod trabalhador]],'Altas Wiseowe'!B:E,4,FALSE)),""))</f>
        <v/>
      </c>
      <c r="J15" s="44">
        <f t="shared" si="0"/>
        <v>0</v>
      </c>
      <c r="K15" s="376" t="s">
        <v>1524</v>
      </c>
      <c r="L15" s="342" t="str">
        <f>IFERROR(IF(Tabla58[[#This Row],[Cod trabalhador]]="",Tabla58[[#This Row],[Cod trabalhador]], INDEX(Colaborador_ID[Nombre], MATCH(Tabla58[[#This Row],[Cod trabalhador]],Colaborador_ID[Cod_colab], 0))), "")</f>
        <v>EDILSON TORRES SALCEDO</v>
      </c>
      <c r="N15" s="405" t="s">
        <v>7244</v>
      </c>
      <c r="O15" s="26">
        <f>IFERROR(VLOOKUP(Tabla58[[#This Row],[Cod trabalhador]],Tabla15[],4,FALSE),"")</f>
        <v>15</v>
      </c>
      <c r="P15" s="92">
        <f>IFERROR(VLOOKUP(Tabla58[[#This Row],[Cod trabalhador]],'TotalHorasAjustadas (2)'!D:L,8,FALSE),"")</f>
        <v>157</v>
      </c>
      <c r="Q15" s="27">
        <v>157</v>
      </c>
      <c r="R15" s="28" t="s">
        <v>7471</v>
      </c>
      <c r="S15" s="28"/>
      <c r="U15" s="25"/>
      <c r="V15" s="220"/>
      <c r="W15" s="27"/>
      <c r="X15" s="28"/>
      <c r="Y15" s="28"/>
      <c r="Z15" s="149"/>
      <c r="AA15" s="392" t="str">
        <f>IFERROR(VLOOKUP(Tabla58[[#This Row],[Cod trabalhador]],Alojamentos!B:P,11,FALSE),"")</f>
        <v/>
      </c>
      <c r="AB15" s="127"/>
      <c r="AC15" s="150"/>
      <c r="AD15" s="35">
        <f>Tabla58[[#This Row],[Dias de alta]]*7.058</f>
        <v>0</v>
      </c>
      <c r="AE15" s="46" t="str">
        <f>IFERROR(VLOOKUP(Tabla58[[#This Row],[Cod trabalhador]],Adiantamentos!B:L,7,FALSE),"")</f>
        <v/>
      </c>
      <c r="AF15" s="46" t="str">
        <f>IFERROR(VLOOKUP(Tabla58[[#This Row],[Cod trabalhador]],Carro!B:D,3,FALSE),"")</f>
        <v/>
      </c>
      <c r="AG15" s="46">
        <f>IFERROR(VLOOKUP(Tabla58[[#This Row],[Cod trabalhador]],'Outros descontos'!B:O,7,FALSE),"")</f>
        <v>0</v>
      </c>
      <c r="AH15" s="46">
        <f>IFERROR(VLOOKUP(Tabla58[[#This Row],[Cod trabalhador]],'Outros descontos'!B:M,8,FALSE),"")</f>
        <v>0</v>
      </c>
      <c r="AI15" s="46">
        <f>IFERROR(VLOOKUP(Tabla58[[#This Row],[Cod trabalhador]],'Outros descontos'!B:M,9,FALSE),"")</f>
        <v>0</v>
      </c>
      <c r="AJ15" s="46">
        <f>IFERROR(VLOOKUP(Tabla58[[#This Row],[Cod trabalhador]],'Outros descontos'!B:M,10,FALSE),"")</f>
        <v>42.36</v>
      </c>
      <c r="AK15" s="46">
        <f>IFERROR(VLOOKUP(Tabla58[[#This Row],[Cod trabalhador]],'Outros descontos'!B:M,11,FALSE),"")</f>
        <v>0</v>
      </c>
      <c r="AL15" s="46">
        <f>IFERROR(VLOOKUP(Tabla58[[#This Row],[Cod trabalhador]],'Outros descontos'!B:R,12,FALSE),"")</f>
        <v>0</v>
      </c>
      <c r="AM15" s="46" t="str">
        <f>IFERROR(VLOOKUP(Tabla58[[#This Row],[Cod trabalhador]],'Outros descontos'!B:M,13,FALSE),"")</f>
        <v/>
      </c>
      <c r="AN15" s="41"/>
      <c r="AO15" s="37">
        <v>4.08</v>
      </c>
      <c r="AP15" s="15"/>
      <c r="AQ15"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2308.56</v>
      </c>
      <c r="AR15"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2308.56</v>
      </c>
      <c r="AS15" s="15"/>
      <c r="AT15" s="27" t="str">
        <f>IF(Tabla58[[#This Row],[Cod trabalhador]]="", "", INDEX(Iban!C:C, MATCH(Tabla58[[#This Row],[Cod trabalhador]],Iban!A:A, 0)))</f>
        <v>ES89 0182 7345 4802 0171 3250</v>
      </c>
      <c r="AU15" s="27"/>
      <c r="AV15" s="27"/>
      <c r="AW15" s="66" t="s">
        <v>7533</v>
      </c>
      <c r="AX15" s="296" t="s">
        <v>7472</v>
      </c>
    </row>
    <row r="16" spans="1:50" ht="16.5" hidden="1" customHeight="1" x14ac:dyDescent="0.3">
      <c r="A16" s="43"/>
      <c r="B16" s="39" t="s">
        <v>1568</v>
      </c>
      <c r="C16" s="45" t="str">
        <f>IF(ISNUMBER(MATCH(Tabla58[[#This Row],[Cod trabalhador]],'Altas Wiseowe'!B:B, 0)), "Ativo", "Não ativo")</f>
        <v>Ativo</v>
      </c>
      <c r="D16" s="44" t="str">
        <f>IFERROR(IF(VLOOKUP(Tabla58[[#This Row],[Cod trabalhador]],'Altas Industrial'!B:E,1,0)&lt;&gt;"","KI",""),"")</f>
        <v/>
      </c>
      <c r="E16" s="44" t="str">
        <f>IFERROR(IF(VLOOKUP(Tabla58[[#This Row],[Cod trabalhador]],'Altas Rosas'!B:F,1,0)&lt;&gt;"","KR",""),"")</f>
        <v/>
      </c>
      <c r="F16" s="44" t="str">
        <f>IFERROR(IF(VLOOKUP(Tabla58[[#This Row],[Cod trabalhador]],'Altas Wiseowe'!B:E,1,0)&lt;&gt;"","WS",""),"")</f>
        <v>WS</v>
      </c>
      <c r="G16" s="101" t="str">
        <f>IFERROR(IF(VLOOKUP(Tabla58[[#This Row],[Cod trabalhador]],'Altas Luminous'!B:E,1,0)&lt;&gt;"","LM",""),"")</f>
        <v/>
      </c>
      <c r="H16" s="51">
        <f>IFERROR(VLOOKUP(Tabla58[[#This Row],[Cod trabalhador]],'Altas Wiseowe'!B:E,3,FALSE),"")</f>
        <v>45938</v>
      </c>
      <c r="I16" s="51" t="str">
        <f>IF(OR(Tabla58[[#This Row],[Cod trabalhador]]="",ISBLANK(Tabla58[[#This Row],[Cod trabalhador]])),"",IFERROR(IF(VLOOKUP(Tabla58[[#This Row],[Cod trabalhador]],'Altas Wiseowe'!B:E,4,FALSE)=0,"",VLOOKUP(Tabla58[[#This Row],[Cod trabalhador]],'Altas Wiseowe'!B:E,4,FALSE)),""))</f>
        <v/>
      </c>
      <c r="J16" s="44">
        <f t="shared" si="0"/>
        <v>31</v>
      </c>
      <c r="K16" s="376" t="s">
        <v>7253</v>
      </c>
      <c r="L16" s="342" t="str">
        <f>IFERROR(IF(Tabla58[[#This Row],[Cod trabalhador]]="",Tabla58[[#This Row],[Cod trabalhador]], INDEX(Colaborador_ID[Nombre], MATCH(Tabla58[[#This Row],[Cod trabalhador]],Colaborador_ID[Cod_colab], 0))), "")</f>
        <v>EDUARD YOVANNY LOZANO OSORIO</v>
      </c>
      <c r="N16" s="405" t="s">
        <v>7244</v>
      </c>
      <c r="O16" s="26">
        <f>IFERROR(VLOOKUP(Tabla58[[#This Row],[Cod trabalhador]],Tabla15[],4,FALSE),"")</f>
        <v>15</v>
      </c>
      <c r="P16" s="92">
        <f>IFERROR(VLOOKUP(Tabla58[[#This Row],[Cod trabalhador]],'TotalHorasAjustadas (2)'!D:L,8,FALSE),"")</f>
        <v>175</v>
      </c>
      <c r="Q16" s="27">
        <v>175</v>
      </c>
      <c r="R16" s="28" t="s">
        <v>7471</v>
      </c>
      <c r="S16" s="28"/>
      <c r="U16" s="25"/>
      <c r="V16" s="220"/>
      <c r="W16" s="27"/>
      <c r="X16" s="28"/>
      <c r="Y16" s="28"/>
      <c r="Z16" s="149"/>
      <c r="AA16" s="392" t="str">
        <f>IFERROR(VLOOKUP(Tabla58[[#This Row],[Cod trabalhador]],Alojamentos!B:P,11,FALSE),"")</f>
        <v/>
      </c>
      <c r="AB16" s="127"/>
      <c r="AC16" s="150"/>
      <c r="AD16" s="35">
        <f>Tabla58[[#This Row],[Dias de alta]]*7.058</f>
        <v>218.798</v>
      </c>
      <c r="AE16" s="46" t="str">
        <f>IFERROR(VLOOKUP(Tabla58[[#This Row],[Cod trabalhador]],Adiantamentos!B:L,7,FALSE),"")</f>
        <v/>
      </c>
      <c r="AF16" s="46" t="str">
        <f>IFERROR(VLOOKUP(Tabla58[[#This Row],[Cod trabalhador]],Carro!B:D,3,FALSE),"")</f>
        <v/>
      </c>
      <c r="AG16" s="46">
        <f>IFERROR(VLOOKUP(Tabla58[[#This Row],[Cod trabalhador]],'Outros descontos'!B:O,7,FALSE),"")</f>
        <v>50</v>
      </c>
      <c r="AH16" s="46">
        <f>IFERROR(VLOOKUP(Tabla58[[#This Row],[Cod trabalhador]],'Outros descontos'!B:M,8,FALSE),"")</f>
        <v>0</v>
      </c>
      <c r="AI16" s="46">
        <f>IFERROR(VLOOKUP(Tabla58[[#This Row],[Cod trabalhador]],'Outros descontos'!B:M,9,FALSE),"")</f>
        <v>0</v>
      </c>
      <c r="AJ16" s="46">
        <f>IFERROR(VLOOKUP(Tabla58[[#This Row],[Cod trabalhador]],'Outros descontos'!B:M,10,FALSE),"")</f>
        <v>0</v>
      </c>
      <c r="AK16" s="46">
        <f>IFERROR(VLOOKUP(Tabla58[[#This Row],[Cod trabalhador]],'Outros descontos'!B:M,11,FALSE),"")</f>
        <v>0</v>
      </c>
      <c r="AL16" s="46">
        <f>IFERROR(VLOOKUP(Tabla58[[#This Row],[Cod trabalhador]],'Outros descontos'!B:R,12,FALSE),"")</f>
        <v>0</v>
      </c>
      <c r="AM16" s="46" t="str">
        <f>IFERROR(VLOOKUP(Tabla58[[#This Row],[Cod trabalhador]],'Outros descontos'!B:M,13,FALSE),"")</f>
        <v/>
      </c>
      <c r="AN16" s="41"/>
      <c r="AO16" s="37">
        <v>4.08</v>
      </c>
      <c r="AP16" s="15"/>
      <c r="AQ16"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2352.1220000000003</v>
      </c>
      <c r="AR16"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2352.1220000000003</v>
      </c>
      <c r="AS16" s="15"/>
      <c r="AT16" s="27" t="str">
        <f>IF(Tabla58[[#This Row],[Cod trabalhador]]="", "", INDEX(Iban!C:C, MATCH(Tabla58[[#This Row],[Cod trabalhador]],Iban!A:A, 0)))</f>
        <v>BE31 9052 9879 3955</v>
      </c>
      <c r="AU16" s="27"/>
      <c r="AV16" s="27"/>
      <c r="AW16" s="66" t="s">
        <v>7540</v>
      </c>
      <c r="AX16" s="296" t="s">
        <v>7472</v>
      </c>
    </row>
    <row r="17" spans="1:50" ht="16.5" hidden="1" customHeight="1" x14ac:dyDescent="0.3">
      <c r="A17" s="43"/>
      <c r="B17" s="39" t="s">
        <v>1612</v>
      </c>
      <c r="C17" s="45" t="str">
        <f>IF(ISNUMBER(MATCH(Tabla58[[#This Row],[Cod trabalhador]],'Altas Wiseowe'!B:B, 0)), "Ativo", "Não ativo")</f>
        <v>Não ativo</v>
      </c>
      <c r="D17" s="44" t="str">
        <f>IFERROR(IF(VLOOKUP(Tabla58[[#This Row],[Cod trabalhador]],'Altas Industrial'!B:E,1,0)&lt;&gt;"","KI",""),"")</f>
        <v/>
      </c>
      <c r="E17" s="44" t="str">
        <f>IFERROR(IF(VLOOKUP(Tabla58[[#This Row],[Cod trabalhador]],'Altas Rosas'!B:F,1,0)&lt;&gt;"","KR",""),"")</f>
        <v/>
      </c>
      <c r="F17" s="44" t="str">
        <f>IFERROR(IF(VLOOKUP(Tabla58[[#This Row],[Cod trabalhador]],'Altas Wiseowe'!B:E,1,0)&lt;&gt;"","WS",""),"")</f>
        <v/>
      </c>
      <c r="G17" s="101" t="str">
        <f>IFERROR(IF(VLOOKUP(Tabla58[[#This Row],[Cod trabalhador]],'Altas Luminous'!B:E,1,0)&lt;&gt;"","LM",""),"")</f>
        <v/>
      </c>
      <c r="H17" s="51" t="str">
        <f>IFERROR(VLOOKUP(Tabla58[[#This Row],[Cod trabalhador]],'Altas Wiseowe'!B:E,3,FALSE),"")</f>
        <v/>
      </c>
      <c r="I17" s="51" t="str">
        <f>IF(OR(Tabla58[[#This Row],[Cod trabalhador]]="",ISBLANK(Tabla58[[#This Row],[Cod trabalhador]])),"",IFERROR(IF(VLOOKUP(Tabla58[[#This Row],[Cod trabalhador]],'Altas Wiseowe'!B:E,4,FALSE)=0,"",VLOOKUP(Tabla58[[#This Row],[Cod trabalhador]],'Altas Wiseowe'!B:E,4,FALSE)),""))</f>
        <v/>
      </c>
      <c r="J17" s="44">
        <f t="shared" si="0"/>
        <v>0</v>
      </c>
      <c r="K17" s="376" t="s">
        <v>1613</v>
      </c>
      <c r="L17" s="342" t="str">
        <f>IFERROR(IF(Tabla58[[#This Row],[Cod trabalhador]]="",Tabla58[[#This Row],[Cod trabalhador]], INDEX(Colaborador_ID[Nombre], MATCH(Tabla58[[#This Row],[Cod trabalhador]],Colaborador_ID[Cod_colab], 0))), "")</f>
        <v>EDWAR ARIEL VELEZ POSADA</v>
      </c>
      <c r="N17" s="405" t="s">
        <v>7244</v>
      </c>
      <c r="O17" s="26">
        <f>IFERROR(VLOOKUP(Tabla58[[#This Row],[Cod trabalhador]],Tabla15[],4,FALSE),"")</f>
        <v>15</v>
      </c>
      <c r="P17" s="92">
        <f>IFERROR(VLOOKUP(Tabla58[[#This Row],[Cod trabalhador]],'TotalHorasAjustadas (2)'!D:L,8,FALSE),"")</f>
        <v>83</v>
      </c>
      <c r="Q17" s="27">
        <v>83</v>
      </c>
      <c r="R17" s="28" t="s">
        <v>7471</v>
      </c>
      <c r="S17" s="28"/>
      <c r="U17" s="25"/>
      <c r="V17" s="220"/>
      <c r="W17" s="27"/>
      <c r="X17" s="28"/>
      <c r="Y17" s="28"/>
      <c r="Z17" s="149"/>
      <c r="AA17" s="392" t="str">
        <f>IFERROR(VLOOKUP(Tabla58[[#This Row],[Cod trabalhador]],Alojamentos!B:P,11,FALSE),"")</f>
        <v/>
      </c>
      <c r="AB17" s="127"/>
      <c r="AC17" s="150"/>
      <c r="AD17" s="35">
        <f>Tabla58[[#This Row],[Dias de alta]]*7.058</f>
        <v>0</v>
      </c>
      <c r="AE17" s="46" t="str">
        <f>IFERROR(VLOOKUP(Tabla58[[#This Row],[Cod trabalhador]],Adiantamentos!B:L,7,FALSE),"")</f>
        <v/>
      </c>
      <c r="AF17" s="46">
        <f>IFERROR(VLOOKUP(Tabla58[[#This Row],[Cod trabalhador]],Carro!B:D,3,FALSE),"")</f>
        <v>50</v>
      </c>
      <c r="AG17" s="46" t="str">
        <f>IFERROR(VLOOKUP(Tabla58[[#This Row],[Cod trabalhador]],'Outros descontos'!B:O,7,FALSE),"")</f>
        <v/>
      </c>
      <c r="AH17" s="46" t="str">
        <f>IFERROR(VLOOKUP(Tabla58[[#This Row],[Cod trabalhador]],'Outros descontos'!B:M,8,FALSE),"")</f>
        <v/>
      </c>
      <c r="AI17" s="46" t="str">
        <f>IFERROR(VLOOKUP(Tabla58[[#This Row],[Cod trabalhador]],'Outros descontos'!B:M,9,FALSE),"")</f>
        <v/>
      </c>
      <c r="AJ17" s="46" t="str">
        <f>IFERROR(VLOOKUP(Tabla58[[#This Row],[Cod trabalhador]],'Outros descontos'!B:M,10,FALSE),"")</f>
        <v/>
      </c>
      <c r="AK17" s="46" t="str">
        <f>IFERROR(VLOOKUP(Tabla58[[#This Row],[Cod trabalhador]],'Outros descontos'!B:M,11,FALSE),"")</f>
        <v/>
      </c>
      <c r="AL17" s="46" t="str">
        <f>IFERROR(VLOOKUP(Tabla58[[#This Row],[Cod trabalhador]],'Outros descontos'!B:R,12,FALSE),"")</f>
        <v/>
      </c>
      <c r="AM17" s="46" t="str">
        <f>IFERROR(VLOOKUP(Tabla58[[#This Row],[Cod trabalhador]],'Outros descontos'!B:M,13,FALSE),"")</f>
        <v/>
      </c>
      <c r="AN17" s="41"/>
      <c r="AO17" s="37">
        <v>4.08</v>
      </c>
      <c r="AP17" s="15"/>
      <c r="AQ17"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1190.92</v>
      </c>
      <c r="AR17"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1190.92</v>
      </c>
      <c r="AS17" s="15"/>
      <c r="AT17" s="27" t="str">
        <f>IF(Tabla58[[#This Row],[Cod trabalhador]]="", "", INDEX(Iban!C:C, MATCH(Tabla58[[#This Row],[Cod trabalhador]],Iban!A:A, 0)))</f>
        <v>BE58 9055 1631 8879</v>
      </c>
      <c r="AU17" s="27"/>
      <c r="AV17" s="27"/>
      <c r="AW17" s="66" t="s">
        <v>7533</v>
      </c>
      <c r="AX17" s="296" t="s">
        <v>7472</v>
      </c>
    </row>
    <row r="18" spans="1:50" ht="16.5" hidden="1" customHeight="1" x14ac:dyDescent="0.3">
      <c r="A18" s="43"/>
      <c r="B18" s="39" t="s">
        <v>1678</v>
      </c>
      <c r="C18" s="45" t="str">
        <f>IF(ISNUMBER(MATCH(Tabla58[[#This Row],[Cod trabalhador]],'Altas Wiseowe'!B:B, 0)), "Ativo", "Não ativo")</f>
        <v>Ativo</v>
      </c>
      <c r="D18" s="44" t="str">
        <f>IFERROR(IF(VLOOKUP(Tabla58[[#This Row],[Cod trabalhador]],'Altas Industrial'!B:E,1,0)&lt;&gt;"","KI",""),"")</f>
        <v/>
      </c>
      <c r="E18" s="44" t="str">
        <f>IFERROR(IF(VLOOKUP(Tabla58[[#This Row],[Cod trabalhador]],'Altas Rosas'!B:F,1,0)&lt;&gt;"","KR",""),"")</f>
        <v/>
      </c>
      <c r="F18" s="44" t="str">
        <f>IFERROR(IF(VLOOKUP(Tabla58[[#This Row],[Cod trabalhador]],'Altas Wiseowe'!B:E,1,0)&lt;&gt;"","WS",""),"")</f>
        <v>WS</v>
      </c>
      <c r="G18" s="101" t="str">
        <f>IFERROR(IF(VLOOKUP(Tabla58[[#This Row],[Cod trabalhador]],'Altas Luminous'!B:E,1,0)&lt;&gt;"","LM",""),"")</f>
        <v/>
      </c>
      <c r="H18" s="51">
        <f>IFERROR(VLOOKUP(Tabla58[[#This Row],[Cod trabalhador]],'Altas Wiseowe'!B:E,3,FALSE),"")</f>
        <v>45938</v>
      </c>
      <c r="I18" s="51" t="str">
        <f>IF(OR(Tabla58[[#This Row],[Cod trabalhador]]="",ISBLANK(Tabla58[[#This Row],[Cod trabalhador]])),"",IFERROR(IF(VLOOKUP(Tabla58[[#This Row],[Cod trabalhador]],'Altas Wiseowe'!B:E,4,FALSE)=0,"",VLOOKUP(Tabla58[[#This Row],[Cod trabalhador]],'Altas Wiseowe'!B:E,4,FALSE)),""))</f>
        <v/>
      </c>
      <c r="J18" s="44">
        <f t="shared" si="0"/>
        <v>31</v>
      </c>
      <c r="K18" s="376" t="s">
        <v>7252</v>
      </c>
      <c r="L18" s="342" t="str">
        <f>IFERROR(IF(Tabla58[[#This Row],[Cod trabalhador]]="",Tabla58[[#This Row],[Cod trabalhador]], INDEX(Colaborador_ID[Nombre], MATCH(Tabla58[[#This Row],[Cod trabalhador]],Colaborador_ID[Cod_colab], 0))), "")</f>
        <v>EDWIN DIAZ MARULANDA</v>
      </c>
      <c r="N18" s="405" t="s">
        <v>7244</v>
      </c>
      <c r="O18" s="26">
        <f>IFERROR(VLOOKUP(Tabla58[[#This Row],[Cod trabalhador]],Tabla15[],4,FALSE),"")</f>
        <v>15</v>
      </c>
      <c r="P18" s="92">
        <f>IFERROR(VLOOKUP(Tabla58[[#This Row],[Cod trabalhador]],'TotalHorasAjustadas (2)'!D:L,8,FALSE),"")</f>
        <v>170</v>
      </c>
      <c r="Q18" s="27">
        <v>170.5</v>
      </c>
      <c r="R18" s="28" t="s">
        <v>7471</v>
      </c>
      <c r="S18" s="28"/>
      <c r="U18" s="25"/>
      <c r="V18" s="220"/>
      <c r="W18" s="27"/>
      <c r="X18" s="28"/>
      <c r="Y18" s="28"/>
      <c r="Z18" s="149"/>
      <c r="AA18" s="392" t="str">
        <f>IFERROR(VLOOKUP(Tabla58[[#This Row],[Cod trabalhador]],Alojamentos!B:P,11,FALSE),"")</f>
        <v/>
      </c>
      <c r="AB18" s="127"/>
      <c r="AC18" s="150"/>
      <c r="AD18" s="35">
        <f>Tabla58[[#This Row],[Dias de alta]]*7.058</f>
        <v>218.798</v>
      </c>
      <c r="AE18" s="46" t="str">
        <f>IFERROR(VLOOKUP(Tabla58[[#This Row],[Cod trabalhador]],Adiantamentos!B:L,7,FALSE),"")</f>
        <v/>
      </c>
      <c r="AF18" s="46" t="str">
        <f>IFERROR(VLOOKUP(Tabla58[[#This Row],[Cod trabalhador]],Carro!B:D,3,FALSE),"")</f>
        <v/>
      </c>
      <c r="AG18" s="46" t="str">
        <f>IFERROR(VLOOKUP(Tabla58[[#This Row],[Cod trabalhador]],'Outros descontos'!B:O,7,FALSE),"")</f>
        <v/>
      </c>
      <c r="AH18" s="46" t="str">
        <f>IFERROR(VLOOKUP(Tabla58[[#This Row],[Cod trabalhador]],'Outros descontos'!B:M,8,FALSE),"")</f>
        <v/>
      </c>
      <c r="AI18" s="46" t="str">
        <f>IFERROR(VLOOKUP(Tabla58[[#This Row],[Cod trabalhador]],'Outros descontos'!B:M,9,FALSE),"")</f>
        <v/>
      </c>
      <c r="AJ18" s="46" t="str">
        <f>IFERROR(VLOOKUP(Tabla58[[#This Row],[Cod trabalhador]],'Outros descontos'!B:M,10,FALSE),"")</f>
        <v/>
      </c>
      <c r="AK18" s="46" t="str">
        <f>IFERROR(VLOOKUP(Tabla58[[#This Row],[Cod trabalhador]],'Outros descontos'!B:M,11,FALSE),"")</f>
        <v/>
      </c>
      <c r="AL18" s="46" t="str">
        <f>IFERROR(VLOOKUP(Tabla58[[#This Row],[Cod trabalhador]],'Outros descontos'!B:R,12,FALSE),"")</f>
        <v/>
      </c>
      <c r="AM18" s="46" t="str">
        <f>IFERROR(VLOOKUP(Tabla58[[#This Row],[Cod trabalhador]],'Outros descontos'!B:M,13,FALSE),"")</f>
        <v/>
      </c>
      <c r="AN18" s="41"/>
      <c r="AO18" s="37">
        <v>4.08</v>
      </c>
      <c r="AP18" s="15"/>
      <c r="AQ18"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2327.1220000000003</v>
      </c>
      <c r="AR18"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2334.6220000000003</v>
      </c>
      <c r="AS18" s="15"/>
      <c r="AT18" s="27" t="str">
        <f>IF(Tabla58[[#This Row],[Cod trabalhador]]="", "", INDEX(Iban!C:C, MATCH(Tabla58[[#This Row],[Cod trabalhador]],Iban!A:A, 0)))</f>
        <v xml:space="preserve">ES94 6893 0001 7800 0029 2166 </v>
      </c>
      <c r="AU18" s="27"/>
      <c r="AV18" s="27"/>
      <c r="AW18" s="66" t="s">
        <v>7540</v>
      </c>
      <c r="AX18" s="296" t="s">
        <v>7472</v>
      </c>
    </row>
    <row r="19" spans="1:50" ht="16.5" hidden="1" customHeight="1" x14ac:dyDescent="0.3">
      <c r="A19" s="43"/>
      <c r="B19" s="39" t="s">
        <v>1973</v>
      </c>
      <c r="C19" s="45" t="str">
        <f>IF(ISNUMBER(MATCH(Tabla58[[#This Row],[Cod trabalhador]],'Altas Wiseowe'!B:B, 0)), "Ativo", "Não ativo")</f>
        <v>Ativo</v>
      </c>
      <c r="D19" s="44" t="str">
        <f>IFERROR(IF(VLOOKUP(Tabla58[[#This Row],[Cod trabalhador]],'Altas Industrial'!B:E,1,0)&lt;&gt;"","KI",""),"")</f>
        <v/>
      </c>
      <c r="E19" s="44" t="str">
        <f>IFERROR(IF(VLOOKUP(Tabla58[[#This Row],[Cod trabalhador]],'Altas Rosas'!B:F,1,0)&lt;&gt;"","KR",""),"")</f>
        <v/>
      </c>
      <c r="F19" s="44" t="str">
        <f>IFERROR(IF(VLOOKUP(Tabla58[[#This Row],[Cod trabalhador]],'Altas Wiseowe'!B:E,1,0)&lt;&gt;"","WS",""),"")</f>
        <v>WS</v>
      </c>
      <c r="G19" s="101" t="str">
        <f>IFERROR(IF(VLOOKUP(Tabla58[[#This Row],[Cod trabalhador]],'Altas Luminous'!B:E,1,0)&lt;&gt;"","LM",""),"")</f>
        <v/>
      </c>
      <c r="H19" s="51">
        <f>IFERROR(VLOOKUP(Tabla58[[#This Row],[Cod trabalhador]],'Altas Wiseowe'!B:E,3,FALSE),"")</f>
        <v>45939</v>
      </c>
      <c r="I19" s="51" t="str">
        <f>IF(OR(Tabla58[[#This Row],[Cod trabalhador]]="",ISBLANK(Tabla58[[#This Row],[Cod trabalhador]])),"",IFERROR(IF(VLOOKUP(Tabla58[[#This Row],[Cod trabalhador]],'Altas Wiseowe'!B:E,4,FALSE)=0,"",VLOOKUP(Tabla58[[#This Row],[Cod trabalhador]],'Altas Wiseowe'!B:E,4,FALSE)),""))</f>
        <v/>
      </c>
      <c r="J19" s="44">
        <f t="shared" si="0"/>
        <v>31</v>
      </c>
      <c r="K19" s="376" t="s">
        <v>1974</v>
      </c>
      <c r="L19" s="342" t="str">
        <f>IFERROR(IF(Tabla58[[#This Row],[Cod trabalhador]]="",Tabla58[[#This Row],[Cod trabalhador]], INDEX(Colaborador_ID[Nombre], MATCH(Tabla58[[#This Row],[Cod trabalhador]],Colaborador_ID[Cod_colab], 0))), "")</f>
        <v>FABIAN ARTURO RUIZ GARCIA</v>
      </c>
      <c r="N19" s="405" t="s">
        <v>7244</v>
      </c>
      <c r="O19" s="26">
        <f>IFERROR(VLOOKUP(Tabla58[[#This Row],[Cod trabalhador]],Tabla15[],4,FALSE),"")</f>
        <v>15</v>
      </c>
      <c r="P19" s="92">
        <f>IFERROR(VLOOKUP(Tabla58[[#This Row],[Cod trabalhador]],'TotalHorasAjustadas (2)'!D:L,8,FALSE),"")</f>
        <v>176</v>
      </c>
      <c r="Q19" s="27">
        <v>169</v>
      </c>
      <c r="R19" s="28" t="s">
        <v>7471</v>
      </c>
      <c r="S19" s="28"/>
      <c r="U19" s="25"/>
      <c r="V19" s="220"/>
      <c r="W19" s="27"/>
      <c r="X19" s="28"/>
      <c r="Y19" s="28"/>
      <c r="Z19" s="149"/>
      <c r="AA19" s="392">
        <f>IFERROR(VLOOKUP(Tabla58[[#This Row],[Cod trabalhador]],Alojamentos!B:P,11,FALSE),"")</f>
        <v>300</v>
      </c>
      <c r="AB19" s="127"/>
      <c r="AC19" s="150"/>
      <c r="AD19" s="35">
        <f>Tabla58[[#This Row],[Dias de alta]]*7.058</f>
        <v>218.798</v>
      </c>
      <c r="AE19" s="46" t="str">
        <f>IFERROR(VLOOKUP(Tabla58[[#This Row],[Cod trabalhador]],Adiantamentos!B:L,7,FALSE),"")</f>
        <v/>
      </c>
      <c r="AF19" s="46" t="str">
        <f>IFERROR(VLOOKUP(Tabla58[[#This Row],[Cod trabalhador]],Carro!B:D,3,FALSE),"")</f>
        <v/>
      </c>
      <c r="AG19" s="46" t="str">
        <f>IFERROR(VLOOKUP(Tabla58[[#This Row],[Cod trabalhador]],'Outros descontos'!B:O,7,FALSE),"")</f>
        <v/>
      </c>
      <c r="AH19" s="46" t="str">
        <f>IFERROR(VLOOKUP(Tabla58[[#This Row],[Cod trabalhador]],'Outros descontos'!B:M,8,FALSE),"")</f>
        <v/>
      </c>
      <c r="AI19" s="46" t="str">
        <f>IFERROR(VLOOKUP(Tabla58[[#This Row],[Cod trabalhador]],'Outros descontos'!B:M,9,FALSE),"")</f>
        <v/>
      </c>
      <c r="AJ19" s="46" t="str">
        <f>IFERROR(VLOOKUP(Tabla58[[#This Row],[Cod trabalhador]],'Outros descontos'!B:M,10,FALSE),"")</f>
        <v/>
      </c>
      <c r="AK19" s="46" t="str">
        <f>IFERROR(VLOOKUP(Tabla58[[#This Row],[Cod trabalhador]],'Outros descontos'!B:M,11,FALSE),"")</f>
        <v/>
      </c>
      <c r="AL19" s="46" t="str">
        <f>IFERROR(VLOOKUP(Tabla58[[#This Row],[Cod trabalhador]],'Outros descontos'!B:R,12,FALSE),"")</f>
        <v/>
      </c>
      <c r="AM19" s="46" t="str">
        <f>IFERROR(VLOOKUP(Tabla58[[#This Row],[Cod trabalhador]],'Outros descontos'!B:M,13,FALSE),"")</f>
        <v/>
      </c>
      <c r="AN19" s="41"/>
      <c r="AO19" s="37">
        <v>4.08</v>
      </c>
      <c r="AP19" s="15"/>
      <c r="AQ19"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2717.1220000000003</v>
      </c>
      <c r="AR19"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2612.1220000000003</v>
      </c>
      <c r="AS19" s="15"/>
      <c r="AT19" s="27" t="str">
        <f>IF(Tabla58[[#This Row],[Cod trabalhador]]="", "", INDEX(Iban!C:C, MATCH(Tabla58[[#This Row],[Cod trabalhador]],Iban!A:A, 0)))</f>
        <v xml:space="preserve">ES59 0182 6786 0902 0155 5762 </v>
      </c>
      <c r="AU19" s="27"/>
      <c r="AV19" s="97"/>
      <c r="AW19" s="66" t="s">
        <v>7540</v>
      </c>
      <c r="AX19" s="296" t="s">
        <v>7472</v>
      </c>
    </row>
    <row r="20" spans="1:50" ht="16.5" hidden="1" customHeight="1" x14ac:dyDescent="0.3">
      <c r="A20" s="43"/>
      <c r="B20" s="39" t="s">
        <v>2450</v>
      </c>
      <c r="C20" s="45" t="str">
        <f>IF(ISNUMBER(MATCH(Tabla58[[#This Row],[Cod trabalhador]],'Altas Wiseowe'!B:B, 0)), "Ativo", "Não ativo")</f>
        <v>Ativo</v>
      </c>
      <c r="D20" s="44" t="str">
        <f>IFERROR(IF(VLOOKUP(Tabla58[[#This Row],[Cod trabalhador]],'Altas Industrial'!B:E,1,0)&lt;&gt;"","KI",""),"")</f>
        <v/>
      </c>
      <c r="E20" s="44" t="str">
        <f>IFERROR(IF(VLOOKUP(Tabla58[[#This Row],[Cod trabalhador]],'Altas Rosas'!B:F,1,0)&lt;&gt;"","KR",""),"")</f>
        <v/>
      </c>
      <c r="F20" s="44" t="str">
        <f>IFERROR(IF(VLOOKUP(Tabla58[[#This Row],[Cod trabalhador]],'Altas Wiseowe'!B:E,1,0)&lt;&gt;"","WS",""),"")</f>
        <v>WS</v>
      </c>
      <c r="G20" s="101" t="str">
        <f>IFERROR(IF(VLOOKUP(Tabla58[[#This Row],[Cod trabalhador]],'Altas Luminous'!B:E,1,0)&lt;&gt;"","LM",""),"")</f>
        <v/>
      </c>
      <c r="H20" s="51">
        <f>IFERROR(VLOOKUP(Tabla58[[#This Row],[Cod trabalhador]],'Altas Wiseowe'!B:E,3,FALSE),"")</f>
        <v>45939</v>
      </c>
      <c r="I20" s="51" t="str">
        <f>IF(OR(Tabla58[[#This Row],[Cod trabalhador]]="",ISBLANK(Tabla58[[#This Row],[Cod trabalhador]])),"",IFERROR(IF(VLOOKUP(Tabla58[[#This Row],[Cod trabalhador]],'Altas Wiseowe'!B:E,4,FALSE)=0,"",VLOOKUP(Tabla58[[#This Row],[Cod trabalhador]],'Altas Wiseowe'!B:E,4,FALSE)),""))</f>
        <v/>
      </c>
      <c r="J20" s="44">
        <f t="shared" si="0"/>
        <v>31</v>
      </c>
      <c r="K20" s="376" t="s">
        <v>7254</v>
      </c>
      <c r="L20" s="342" t="str">
        <f>IFERROR(IF(Tabla58[[#This Row],[Cod trabalhador]]="",Tabla58[[#This Row],[Cod trabalhador]], INDEX(Colaborador_ID[Nombre], MATCH(Tabla58[[#This Row],[Cod trabalhador]],Colaborador_ID[Cod_colab], 0))), "")</f>
        <v>GUILLERMO ARCINIEGAS MURILLO</v>
      </c>
      <c r="N20" s="405" t="s">
        <v>7244</v>
      </c>
      <c r="O20" s="26">
        <f>IFERROR(VLOOKUP(Tabla58[[#This Row],[Cod trabalhador]],Tabla15[],4,FALSE),"")</f>
        <v>15</v>
      </c>
      <c r="P20" s="92">
        <f>IFERROR(VLOOKUP(Tabla58[[#This Row],[Cod trabalhador]],'TotalHorasAjustadas (2)'!D:L,8,FALSE),"")</f>
        <v>170</v>
      </c>
      <c r="Q20" s="27">
        <v>170.5</v>
      </c>
      <c r="R20" s="28" t="s">
        <v>7471</v>
      </c>
      <c r="S20" s="28"/>
      <c r="U20" s="25"/>
      <c r="V20" s="220"/>
      <c r="W20" s="27"/>
      <c r="X20" s="28"/>
      <c r="Y20" s="28"/>
      <c r="Z20" s="149"/>
      <c r="AA20" s="392">
        <f>IFERROR(VLOOKUP(Tabla58[[#This Row],[Cod trabalhador]],Alojamentos!B:P,11,FALSE),"")</f>
        <v>300</v>
      </c>
      <c r="AB20" s="127"/>
      <c r="AC20" s="150"/>
      <c r="AD20" s="35">
        <f>Tabla58[[#This Row],[Dias de alta]]*7.058</f>
        <v>218.798</v>
      </c>
      <c r="AE20" s="46" t="str">
        <f>IFERROR(VLOOKUP(Tabla58[[#This Row],[Cod trabalhador]],Adiantamentos!B:L,7,FALSE),"")</f>
        <v/>
      </c>
      <c r="AF20" s="46" t="str">
        <f>IFERROR(VLOOKUP(Tabla58[[#This Row],[Cod trabalhador]],Carro!B:D,3,FALSE),"")</f>
        <v/>
      </c>
      <c r="AG20" s="46" t="str">
        <f>IFERROR(VLOOKUP(Tabla58[[#This Row],[Cod trabalhador]],'Outros descontos'!B:O,7,FALSE),"")</f>
        <v/>
      </c>
      <c r="AH20" s="46" t="str">
        <f>IFERROR(VLOOKUP(Tabla58[[#This Row],[Cod trabalhador]],'Outros descontos'!B:M,8,FALSE),"")</f>
        <v/>
      </c>
      <c r="AI20" s="46" t="str">
        <f>IFERROR(VLOOKUP(Tabla58[[#This Row],[Cod trabalhador]],'Outros descontos'!B:M,9,FALSE),"")</f>
        <v/>
      </c>
      <c r="AJ20" s="46" t="str">
        <f>IFERROR(VLOOKUP(Tabla58[[#This Row],[Cod trabalhador]],'Outros descontos'!B:M,10,FALSE),"")</f>
        <v/>
      </c>
      <c r="AK20" s="46" t="str">
        <f>IFERROR(VLOOKUP(Tabla58[[#This Row],[Cod trabalhador]],'Outros descontos'!B:M,11,FALSE),"")</f>
        <v/>
      </c>
      <c r="AL20" s="46" t="str">
        <f>IFERROR(VLOOKUP(Tabla58[[#This Row],[Cod trabalhador]],'Outros descontos'!B:R,12,FALSE),"")</f>
        <v/>
      </c>
      <c r="AM20" s="46" t="str">
        <f>IFERROR(VLOOKUP(Tabla58[[#This Row],[Cod trabalhador]],'Outros descontos'!B:M,13,FALSE),"")</f>
        <v/>
      </c>
      <c r="AN20" s="41"/>
      <c r="AO20" s="37">
        <v>4.08</v>
      </c>
      <c r="AP20" s="15"/>
      <c r="AQ20"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2627.1220000000003</v>
      </c>
      <c r="AR20"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2634.6220000000003</v>
      </c>
      <c r="AS20" s="15"/>
      <c r="AT20" s="27" t="str">
        <f>IF(Tabla58[[#This Row],[Cod trabalhador]]="", "", INDEX(Iban!C:C, MATCH(Tabla58[[#This Row],[Cod trabalhador]],Iban!A:A, 0)))</f>
        <v xml:space="preserve"> ES11 0182 6786 0802 0155 7645</v>
      </c>
      <c r="AU20" s="27"/>
      <c r="AV20" s="27"/>
      <c r="AW20" s="66" t="s">
        <v>7540</v>
      </c>
      <c r="AX20" s="296" t="s">
        <v>7472</v>
      </c>
    </row>
    <row r="21" spans="1:50" ht="16.5" hidden="1" customHeight="1" x14ac:dyDescent="0.3">
      <c r="A21" s="43"/>
      <c r="B21" s="39" t="s">
        <v>2475</v>
      </c>
      <c r="C21" s="45" t="str">
        <f>IF(ISNUMBER(MATCH(Tabla58[[#This Row],[Cod trabalhador]],'Altas Wiseowe'!B:B, 0)), "Ativo", "Não ativo")</f>
        <v>Não ativo</v>
      </c>
      <c r="D21" s="44" t="str">
        <f>IFERROR(IF(VLOOKUP(Tabla58[[#This Row],[Cod trabalhador]],'Altas Industrial'!B:E,1,0)&lt;&gt;"","KI",""),"")</f>
        <v/>
      </c>
      <c r="E21" s="44" t="str">
        <f>IFERROR(IF(VLOOKUP(Tabla58[[#This Row],[Cod trabalhador]],'Altas Rosas'!B:F,1,0)&lt;&gt;"","KR",""),"")</f>
        <v/>
      </c>
      <c r="F21" s="44" t="str">
        <f>IFERROR(IF(VLOOKUP(Tabla58[[#This Row],[Cod trabalhador]],'Altas Wiseowe'!B:E,1,0)&lt;&gt;"","WS",""),"")</f>
        <v/>
      </c>
      <c r="G21" s="101" t="str">
        <f>IFERROR(IF(VLOOKUP(Tabla58[[#This Row],[Cod trabalhador]],'Altas Luminous'!B:E,1,0)&lt;&gt;"","LM",""),"")</f>
        <v/>
      </c>
      <c r="H21" s="51" t="str">
        <f>IFERROR(VLOOKUP(Tabla58[[#This Row],[Cod trabalhador]],'Altas Wiseowe'!B:E,3,FALSE),"")</f>
        <v/>
      </c>
      <c r="I21" s="51" t="str">
        <f>IF(OR(Tabla58[[#This Row],[Cod trabalhador]]="",ISBLANK(Tabla58[[#This Row],[Cod trabalhador]])),"",IFERROR(IF(VLOOKUP(Tabla58[[#This Row],[Cod trabalhador]],'Altas Wiseowe'!B:E,4,FALSE)=0,"",VLOOKUP(Tabla58[[#This Row],[Cod trabalhador]],'Altas Wiseowe'!B:E,4,FALSE)),""))</f>
        <v/>
      </c>
      <c r="J21" s="44">
        <f t="shared" si="0"/>
        <v>0</v>
      </c>
      <c r="K21" s="376" t="s">
        <v>7255</v>
      </c>
      <c r="L21" s="342" t="str">
        <f>IFERROR(IF(Tabla58[[#This Row],[Cod trabalhador]]="",Tabla58[[#This Row],[Cod trabalhador]], INDEX(Colaborador_ID[Nombre], MATCH(Tabla58[[#This Row],[Cod trabalhador]],Colaborador_ID[Cod_colab], 0))), "")</f>
        <v>GUSTAVO ANDRES PORRAS MORALES</v>
      </c>
      <c r="N21" s="405" t="s">
        <v>7244</v>
      </c>
      <c r="O21" s="26">
        <f>IFERROR(VLOOKUP(Tabla58[[#This Row],[Cod trabalhador]],Tabla15[],4,FALSE),"")</f>
        <v>15</v>
      </c>
      <c r="P21" s="92">
        <f>IFERROR(VLOOKUP(Tabla58[[#This Row],[Cod trabalhador]],'TotalHorasAjustadas (2)'!D:L,8,FALSE),"")</f>
        <v>144.5</v>
      </c>
      <c r="Q21" s="27">
        <v>144.5</v>
      </c>
      <c r="R21" s="28" t="s">
        <v>7471</v>
      </c>
      <c r="S21" s="28"/>
      <c r="U21" s="25"/>
      <c r="V21" s="220"/>
      <c r="W21" s="27"/>
      <c r="X21" s="28"/>
      <c r="Y21" s="28"/>
      <c r="Z21" s="149"/>
      <c r="AA21" s="392" t="str">
        <f>IFERROR(VLOOKUP(Tabla58[[#This Row],[Cod trabalhador]],Alojamentos!B:P,11,FALSE),"")</f>
        <v/>
      </c>
      <c r="AB21" s="127"/>
      <c r="AC21" s="150"/>
      <c r="AD21" s="35">
        <f>Tabla58[[#This Row],[Dias de alta]]*7.058</f>
        <v>0</v>
      </c>
      <c r="AE21" s="46" t="str">
        <f>IFERROR(VLOOKUP(Tabla58[[#This Row],[Cod trabalhador]],Adiantamentos!B:L,7,FALSE),"")</f>
        <v/>
      </c>
      <c r="AF21" s="46" t="str">
        <f>IFERROR(VLOOKUP(Tabla58[[#This Row],[Cod trabalhador]],Carro!B:D,3,FALSE),"")</f>
        <v/>
      </c>
      <c r="AG21" s="46">
        <f>IFERROR(VLOOKUP(Tabla58[[#This Row],[Cod trabalhador]],'Outros descontos'!B:O,7,FALSE),"")</f>
        <v>0</v>
      </c>
      <c r="AH21" s="46">
        <f>IFERROR(VLOOKUP(Tabla58[[#This Row],[Cod trabalhador]],'Outros descontos'!B:M,8,FALSE),"")</f>
        <v>0</v>
      </c>
      <c r="AI21" s="46">
        <f>IFERROR(VLOOKUP(Tabla58[[#This Row],[Cod trabalhador]],'Outros descontos'!B:M,9,FALSE),"")</f>
        <v>0</v>
      </c>
      <c r="AJ21" s="46">
        <f>IFERROR(VLOOKUP(Tabla58[[#This Row],[Cod trabalhador]],'Outros descontos'!B:M,10,FALSE),"")</f>
        <v>63.78</v>
      </c>
      <c r="AK21" s="46">
        <f>IFERROR(VLOOKUP(Tabla58[[#This Row],[Cod trabalhador]],'Outros descontos'!B:M,11,FALSE),"")</f>
        <v>0</v>
      </c>
      <c r="AL21" s="46">
        <f>IFERROR(VLOOKUP(Tabla58[[#This Row],[Cod trabalhador]],'Outros descontos'!B:R,12,FALSE),"")</f>
        <v>0</v>
      </c>
      <c r="AM21" s="46" t="str">
        <f>IFERROR(VLOOKUP(Tabla58[[#This Row],[Cod trabalhador]],'Outros descontos'!B:M,13,FALSE),"")</f>
        <v/>
      </c>
      <c r="AN21" s="41"/>
      <c r="AO21" s="37">
        <v>4.08</v>
      </c>
      <c r="AP21" s="15"/>
      <c r="AQ21"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2099.64</v>
      </c>
      <c r="AR21"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2099.64</v>
      </c>
      <c r="AS21" s="15"/>
      <c r="AT21" s="27" t="str">
        <f>IF(Tabla58[[#This Row],[Cod trabalhador]]="", "", INDEX(Iban!C:C, MATCH(Tabla58[[#This Row],[Cod trabalhador]],Iban!A:A, 0)))</f>
        <v>ES41 0182 7345 4102 0171 2226</v>
      </c>
      <c r="AU21" s="27"/>
      <c r="AV21" s="27"/>
      <c r="AW21" s="66" t="s">
        <v>7533</v>
      </c>
      <c r="AX21" s="296" t="s">
        <v>7472</v>
      </c>
    </row>
    <row r="22" spans="1:50" ht="17.25" hidden="1" customHeight="1" x14ac:dyDescent="0.3">
      <c r="A22" s="43"/>
      <c r="B22" s="39" t="s">
        <v>2835</v>
      </c>
      <c r="C22" s="45" t="str">
        <f>IF(ISNUMBER(MATCH(Tabla58[[#This Row],[Cod trabalhador]],'Altas Wiseowe'!B:B, 0)), "Ativo", "Não ativo")</f>
        <v>Não ativo</v>
      </c>
      <c r="D22" s="44" t="str">
        <f>IFERROR(IF(VLOOKUP(Tabla58[[#This Row],[Cod trabalhador]],'Altas Industrial'!B:E,1,0)&lt;&gt;"","KI",""),"")</f>
        <v/>
      </c>
      <c r="E22" s="44" t="str">
        <f>IFERROR(IF(VLOOKUP(Tabla58[[#This Row],[Cod trabalhador]],'Altas Rosas'!B:F,1,0)&lt;&gt;"","KR",""),"")</f>
        <v/>
      </c>
      <c r="F22" s="44" t="str">
        <f>IFERROR(IF(VLOOKUP(Tabla58[[#This Row],[Cod trabalhador]],'Altas Wiseowe'!B:E,1,0)&lt;&gt;"","WS",""),"")</f>
        <v/>
      </c>
      <c r="G22" s="101" t="str">
        <f>IFERROR(IF(VLOOKUP(Tabla58[[#This Row],[Cod trabalhador]],'Altas Luminous'!B:E,1,0)&lt;&gt;"","LM",""),"")</f>
        <v/>
      </c>
      <c r="H22" s="51" t="str">
        <f>IFERROR(VLOOKUP(Tabla58[[#This Row],[Cod trabalhador]],'Altas Wiseowe'!B:E,3,FALSE),"")</f>
        <v/>
      </c>
      <c r="I22" s="51" t="str">
        <f>IF(OR(Tabla58[[#This Row],[Cod trabalhador]]="",ISBLANK(Tabla58[[#This Row],[Cod trabalhador]])),"",IFERROR(IF(VLOOKUP(Tabla58[[#This Row],[Cod trabalhador]],'Altas Wiseowe'!B:E,4,FALSE)=0,"",VLOOKUP(Tabla58[[#This Row],[Cod trabalhador]],'Altas Wiseowe'!B:E,4,FALSE)),""))</f>
        <v/>
      </c>
      <c r="J22" s="44">
        <f t="shared" si="0"/>
        <v>0</v>
      </c>
      <c r="K22" s="376" t="s">
        <v>7256</v>
      </c>
      <c r="L22" s="342" t="str">
        <f>IFERROR(IF(Tabla58[[#This Row],[Cod trabalhador]]="",Tabla58[[#This Row],[Cod trabalhador]], INDEX(Colaborador_ID[Nombre], MATCH(Tabla58[[#This Row],[Cod trabalhador]],Colaborador_ID[Cod_colab], 0))), "")</f>
        <v>ISAIAS MUNOZ MACHADO</v>
      </c>
      <c r="N22" s="405" t="s">
        <v>7244</v>
      </c>
      <c r="O22" s="26">
        <f>IFERROR(VLOOKUP(Tabla58[[#This Row],[Cod trabalhador]],Tabla15[],4,FALSE),"")</f>
        <v>15</v>
      </c>
      <c r="P22" s="92">
        <f>IFERROR(VLOOKUP(Tabla58[[#This Row],[Cod trabalhador]],'TotalHorasAjustadas (2)'!D:L,8,FALSE),"")</f>
        <v>142</v>
      </c>
      <c r="Q22" s="27">
        <v>145</v>
      </c>
      <c r="R22" s="28" t="s">
        <v>7471</v>
      </c>
      <c r="S22" s="28"/>
      <c r="U22" s="25"/>
      <c r="V22" s="220"/>
      <c r="W22" s="27"/>
      <c r="X22" s="28"/>
      <c r="Y22" s="28"/>
      <c r="Z22" s="149"/>
      <c r="AA22" s="392">
        <f>IFERROR(VLOOKUP(Tabla58[[#This Row],[Cod trabalhador]],Alojamentos!B:P,11,FALSE),"")</f>
        <v>300</v>
      </c>
      <c r="AB22" s="127"/>
      <c r="AC22" s="150"/>
      <c r="AD22" s="35">
        <f>Tabla58[[#This Row],[Dias de alta]]*7.058</f>
        <v>0</v>
      </c>
      <c r="AE22" s="46" t="str">
        <f>IFERROR(VLOOKUP(Tabla58[[#This Row],[Cod trabalhador]],Adiantamentos!B:L,7,FALSE),"")</f>
        <v/>
      </c>
      <c r="AF22" s="46" t="str">
        <f>IFERROR(VLOOKUP(Tabla58[[#This Row],[Cod trabalhador]],Carro!B:D,3,FALSE),"")</f>
        <v/>
      </c>
      <c r="AG22" s="46" t="str">
        <f>IFERROR(VLOOKUP(Tabla58[[#This Row],[Cod trabalhador]],'Outros descontos'!B:O,7,FALSE),"")</f>
        <v/>
      </c>
      <c r="AH22" s="46" t="str">
        <f>IFERROR(VLOOKUP(Tabla58[[#This Row],[Cod trabalhador]],'Outros descontos'!B:M,8,FALSE),"")</f>
        <v/>
      </c>
      <c r="AI22" s="46" t="str">
        <f>IFERROR(VLOOKUP(Tabla58[[#This Row],[Cod trabalhador]],'Outros descontos'!B:M,9,FALSE),"")</f>
        <v/>
      </c>
      <c r="AJ22" s="46" t="str">
        <f>IFERROR(VLOOKUP(Tabla58[[#This Row],[Cod trabalhador]],'Outros descontos'!B:M,10,FALSE),"")</f>
        <v/>
      </c>
      <c r="AK22" s="46" t="str">
        <f>IFERROR(VLOOKUP(Tabla58[[#This Row],[Cod trabalhador]],'Outros descontos'!B:M,11,FALSE),"")</f>
        <v/>
      </c>
      <c r="AL22" s="46" t="str">
        <f>IFERROR(VLOOKUP(Tabla58[[#This Row],[Cod trabalhador]],'Outros descontos'!B:R,12,FALSE),"")</f>
        <v/>
      </c>
      <c r="AM22" s="46" t="str">
        <f>IFERROR(VLOOKUP(Tabla58[[#This Row],[Cod trabalhador]],'Outros descontos'!B:M,13,FALSE),"")</f>
        <v/>
      </c>
      <c r="AN22" s="41"/>
      <c r="AO22" s="37">
        <v>4.08</v>
      </c>
      <c r="AP22" s="15"/>
      <c r="AQ22"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2425.92</v>
      </c>
      <c r="AR22"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2470.92</v>
      </c>
      <c r="AS22" s="15"/>
      <c r="AT22" s="27" t="str">
        <f>IF(Tabla58[[#This Row],[Cod trabalhador]]="", "", INDEX(Iban!C:C, MATCH(Tabla58[[#This Row],[Cod trabalhador]],Iban!A:A, 0)))</f>
        <v>ES21 6893 0001 7100 0026 4141</v>
      </c>
      <c r="AU22" s="27"/>
      <c r="AV22" s="97"/>
      <c r="AW22" s="66" t="s">
        <v>7533</v>
      </c>
      <c r="AX22" s="296" t="s">
        <v>7472</v>
      </c>
    </row>
    <row r="23" spans="1:50" ht="16.5" hidden="1" customHeight="1" x14ac:dyDescent="0.3">
      <c r="A23" s="43"/>
      <c r="B23" s="39" t="s">
        <v>3022</v>
      </c>
      <c r="C23" s="45" t="str">
        <f>IF(ISNUMBER(MATCH(Tabla58[[#This Row],[Cod trabalhador]],'Altas Wiseowe'!B:B, 0)), "Ativo", "Não ativo")</f>
        <v>Ativo</v>
      </c>
      <c r="D23" s="44" t="str">
        <f>IFERROR(IF(VLOOKUP(Tabla58[[#This Row],[Cod trabalhador]],'Altas Industrial'!B:E,1,0)&lt;&gt;"","KI",""),"")</f>
        <v/>
      </c>
      <c r="E23" s="44" t="str">
        <f>IFERROR(IF(VLOOKUP(Tabla58[[#This Row],[Cod trabalhador]],'Altas Rosas'!B:F,1,0)&lt;&gt;"","KR",""),"")</f>
        <v/>
      </c>
      <c r="F23" s="44" t="str">
        <f>IFERROR(IF(VLOOKUP(Tabla58[[#This Row],[Cod trabalhador]],'Altas Wiseowe'!B:E,1,0)&lt;&gt;"","WS",""),"")</f>
        <v>WS</v>
      </c>
      <c r="G23" s="101" t="str">
        <f>IFERROR(IF(VLOOKUP(Tabla58[[#This Row],[Cod trabalhador]],'Altas Luminous'!B:E,1,0)&lt;&gt;"","LM",""),"")</f>
        <v/>
      </c>
      <c r="H23" s="51">
        <f>IFERROR(VLOOKUP(Tabla58[[#This Row],[Cod trabalhador]],'Altas Wiseowe'!B:E,3,FALSE),"")</f>
        <v>45939</v>
      </c>
      <c r="I23" s="51" t="str">
        <f>IF(OR(Tabla58[[#This Row],[Cod trabalhador]]="",ISBLANK(Tabla58[[#This Row],[Cod trabalhador]])),"",IFERROR(IF(VLOOKUP(Tabla58[[#This Row],[Cod trabalhador]],'Altas Wiseowe'!B:E,4,FALSE)=0,"",VLOOKUP(Tabla58[[#This Row],[Cod trabalhador]],'Altas Wiseowe'!B:E,4,FALSE)),""))</f>
        <v/>
      </c>
      <c r="J23" s="44">
        <f t="shared" si="0"/>
        <v>31</v>
      </c>
      <c r="K23" s="376" t="s">
        <v>7257</v>
      </c>
      <c r="L23" s="342" t="str">
        <f>IFERROR(IF(Tabla58[[#This Row],[Cod trabalhador]]="",Tabla58[[#This Row],[Cod trabalhador]], INDEX(Colaborador_ID[Nombre], MATCH(Tabla58[[#This Row],[Cod trabalhador]],Colaborador_ID[Cod_colab], 0))), "")</f>
        <v>JAIVER JOSE POLANCO PEREZ</v>
      </c>
      <c r="N23" s="405" t="s">
        <v>7244</v>
      </c>
      <c r="O23" s="26">
        <f>IFERROR(VLOOKUP(Tabla58[[#This Row],[Cod trabalhador]],Tabla15[],4,FALSE),"")</f>
        <v>15</v>
      </c>
      <c r="P23" s="92">
        <f>IFERROR(VLOOKUP(Tabla58[[#This Row],[Cod trabalhador]],'TotalHorasAjustadas (2)'!D:L,8,FALSE),"")</f>
        <v>176</v>
      </c>
      <c r="Q23" s="27">
        <v>175</v>
      </c>
      <c r="R23" s="28" t="s">
        <v>7471</v>
      </c>
      <c r="S23" s="28"/>
      <c r="U23" s="25"/>
      <c r="V23" s="220"/>
      <c r="W23" s="27"/>
      <c r="X23" s="28"/>
      <c r="Y23" s="28"/>
      <c r="Z23" s="149"/>
      <c r="AA23" s="392">
        <f>IFERROR(VLOOKUP(Tabla58[[#This Row],[Cod trabalhador]],Alojamentos!B:P,11,FALSE),"")</f>
        <v>300</v>
      </c>
      <c r="AB23" s="127"/>
      <c r="AC23" s="150"/>
      <c r="AD23" s="35">
        <f>Tabla58[[#This Row],[Dias de alta]]*7.058</f>
        <v>218.798</v>
      </c>
      <c r="AE23" s="46" t="str">
        <f>IFERROR(VLOOKUP(Tabla58[[#This Row],[Cod trabalhador]],Adiantamentos!B:L,7,FALSE),"")</f>
        <v/>
      </c>
      <c r="AF23" s="46" t="str">
        <f>IFERROR(VLOOKUP(Tabla58[[#This Row],[Cod trabalhador]],Carro!B:D,3,FALSE),"")</f>
        <v/>
      </c>
      <c r="AG23" s="46" t="str">
        <f>IFERROR(VLOOKUP(Tabla58[[#This Row],[Cod trabalhador]],'Outros descontos'!B:O,7,FALSE),"")</f>
        <v/>
      </c>
      <c r="AH23" s="46" t="str">
        <f>IFERROR(VLOOKUP(Tabla58[[#This Row],[Cod trabalhador]],'Outros descontos'!B:M,8,FALSE),"")</f>
        <v/>
      </c>
      <c r="AI23" s="46" t="str">
        <f>IFERROR(VLOOKUP(Tabla58[[#This Row],[Cod trabalhador]],'Outros descontos'!B:M,9,FALSE),"")</f>
        <v/>
      </c>
      <c r="AJ23" s="46" t="str">
        <f>IFERROR(VLOOKUP(Tabla58[[#This Row],[Cod trabalhador]],'Outros descontos'!B:M,10,FALSE),"")</f>
        <v/>
      </c>
      <c r="AK23" s="46" t="str">
        <f>IFERROR(VLOOKUP(Tabla58[[#This Row],[Cod trabalhador]],'Outros descontos'!B:M,11,FALSE),"")</f>
        <v/>
      </c>
      <c r="AL23" s="46" t="str">
        <f>IFERROR(VLOOKUP(Tabla58[[#This Row],[Cod trabalhador]],'Outros descontos'!B:R,12,FALSE),"")</f>
        <v/>
      </c>
      <c r="AM23" s="46" t="str">
        <f>IFERROR(VLOOKUP(Tabla58[[#This Row],[Cod trabalhador]],'Outros descontos'!B:M,13,FALSE),"")</f>
        <v/>
      </c>
      <c r="AN23" s="41"/>
      <c r="AO23" s="37">
        <v>4.08</v>
      </c>
      <c r="AP23" s="15"/>
      <c r="AQ23"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2717.1220000000003</v>
      </c>
      <c r="AR23"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2702.1220000000003</v>
      </c>
      <c r="AS23" s="15"/>
      <c r="AT23" s="27" t="str">
        <f>IF(Tabla58[[#This Row],[Cod trabalhador]]="", "", INDEX(Iban!C:C, MATCH(Tabla58[[#This Row],[Cod trabalhador]],Iban!A:A, 0)))</f>
        <v xml:space="preserve">BE66 9050 1529 0843 </v>
      </c>
      <c r="AU23" s="27"/>
      <c r="AV23" s="27"/>
      <c r="AW23" s="66" t="s">
        <v>7540</v>
      </c>
      <c r="AX23" s="296" t="s">
        <v>7472</v>
      </c>
    </row>
    <row r="24" spans="1:50" ht="16.5" hidden="1" customHeight="1" x14ac:dyDescent="0.3">
      <c r="A24" s="43"/>
      <c r="B24" s="39" t="s">
        <v>3141</v>
      </c>
      <c r="C24" s="45" t="str">
        <f>IF(ISNUMBER(MATCH(Tabla58[[#This Row],[Cod trabalhador]],'Altas Wiseowe'!B:B, 0)), "Ativo", "Não ativo")</f>
        <v>Não ativo</v>
      </c>
      <c r="D24" s="44" t="str">
        <f>IFERROR(IF(VLOOKUP(Tabla58[[#This Row],[Cod trabalhador]],'Altas Industrial'!B:E,1,0)&lt;&gt;"","KI",""),"")</f>
        <v/>
      </c>
      <c r="E24" s="44" t="str">
        <f>IFERROR(IF(VLOOKUP(Tabla58[[#This Row],[Cod trabalhador]],'Altas Rosas'!B:F,1,0)&lt;&gt;"","KR",""),"")</f>
        <v/>
      </c>
      <c r="F24" s="44" t="str">
        <f>IFERROR(IF(VLOOKUP(Tabla58[[#This Row],[Cod trabalhador]],'Altas Wiseowe'!B:E,1,0)&lt;&gt;"","WS",""),"")</f>
        <v/>
      </c>
      <c r="G24" s="101" t="str">
        <f>IFERROR(IF(VLOOKUP(Tabla58[[#This Row],[Cod trabalhador]],'Altas Luminous'!B:E,1,0)&lt;&gt;"","LM",""),"")</f>
        <v/>
      </c>
      <c r="H24" s="51" t="str">
        <f>IFERROR(VLOOKUP(Tabla58[[#This Row],[Cod trabalhador]],'Altas Wiseowe'!B:E,3,FALSE),"")</f>
        <v/>
      </c>
      <c r="I24" s="51" t="str">
        <f>IF(OR(Tabla58[[#This Row],[Cod trabalhador]]="",ISBLANK(Tabla58[[#This Row],[Cod trabalhador]])),"",IFERROR(IF(VLOOKUP(Tabla58[[#This Row],[Cod trabalhador]],'Altas Wiseowe'!B:E,4,FALSE)=0,"",VLOOKUP(Tabla58[[#This Row],[Cod trabalhador]],'Altas Wiseowe'!B:E,4,FALSE)),""))</f>
        <v/>
      </c>
      <c r="J24" s="44">
        <f t="shared" si="0"/>
        <v>0</v>
      </c>
      <c r="K24" s="376" t="s">
        <v>7258</v>
      </c>
      <c r="L24" s="342" t="str">
        <f>IFERROR(IF(Tabla58[[#This Row],[Cod trabalhador]]="",Tabla58[[#This Row],[Cod trabalhador]], INDEX(Colaborador_ID[Nombre], MATCH(Tabla58[[#This Row],[Cod trabalhador]],Colaborador_ID[Cod_colab], 0))), "")</f>
        <v>JEAN CARLO SUAREZ VALENCIA</v>
      </c>
      <c r="N24" s="405" t="s">
        <v>7244</v>
      </c>
      <c r="O24" s="26">
        <f>IFERROR(VLOOKUP(Tabla58[[#This Row],[Cod trabalhador]],Tabla15[],4,FALSE),"")</f>
        <v>15</v>
      </c>
      <c r="P24" s="92">
        <f>IFERROR(VLOOKUP(Tabla58[[#This Row],[Cod trabalhador]],'TotalHorasAjustadas (2)'!D:L,8,FALSE),"")</f>
        <v>108.5</v>
      </c>
      <c r="Q24" s="27">
        <v>107.5</v>
      </c>
      <c r="R24" s="28" t="s">
        <v>7471</v>
      </c>
      <c r="S24" s="28"/>
      <c r="U24" s="25"/>
      <c r="V24" s="220"/>
      <c r="W24" s="27"/>
      <c r="X24" s="28"/>
      <c r="Y24" s="28"/>
      <c r="Z24" s="149"/>
      <c r="AA24" s="392" t="str">
        <f>IFERROR(VLOOKUP(Tabla58[[#This Row],[Cod trabalhador]],Alojamentos!B:P,11,FALSE),"")</f>
        <v/>
      </c>
      <c r="AB24" s="127"/>
      <c r="AC24" s="150"/>
      <c r="AD24" s="35">
        <f>Tabla58[[#This Row],[Dias de alta]]*7.058</f>
        <v>0</v>
      </c>
      <c r="AE24" s="46" t="str">
        <f>IFERROR(VLOOKUP(Tabla58[[#This Row],[Cod trabalhador]],Adiantamentos!B:L,7,FALSE),"")</f>
        <v/>
      </c>
      <c r="AF24" s="46">
        <f>IFERROR(VLOOKUP(Tabla58[[#This Row],[Cod trabalhador]],Carro!B:D,3,FALSE),"")</f>
        <v>80</v>
      </c>
      <c r="AG24" s="46" t="str">
        <f>IFERROR(VLOOKUP(Tabla58[[#This Row],[Cod trabalhador]],'Outros descontos'!B:O,7,FALSE),"")</f>
        <v/>
      </c>
      <c r="AH24" s="46" t="str">
        <f>IFERROR(VLOOKUP(Tabla58[[#This Row],[Cod trabalhador]],'Outros descontos'!B:M,8,FALSE),"")</f>
        <v/>
      </c>
      <c r="AI24" s="46" t="str">
        <f>IFERROR(VLOOKUP(Tabla58[[#This Row],[Cod trabalhador]],'Outros descontos'!B:M,9,FALSE),"")</f>
        <v/>
      </c>
      <c r="AJ24" s="46" t="str">
        <f>IFERROR(VLOOKUP(Tabla58[[#This Row],[Cod trabalhador]],'Outros descontos'!B:M,10,FALSE),"")</f>
        <v/>
      </c>
      <c r="AK24" s="46" t="str">
        <f>IFERROR(VLOOKUP(Tabla58[[#This Row],[Cod trabalhador]],'Outros descontos'!B:M,11,FALSE),"")</f>
        <v/>
      </c>
      <c r="AL24" s="46" t="str">
        <f>IFERROR(VLOOKUP(Tabla58[[#This Row],[Cod trabalhador]],'Outros descontos'!B:R,12,FALSE),"")</f>
        <v/>
      </c>
      <c r="AM24" s="46" t="str">
        <f>IFERROR(VLOOKUP(Tabla58[[#This Row],[Cod trabalhador]],'Outros descontos'!B:M,13,FALSE),"")</f>
        <v/>
      </c>
      <c r="AN24" s="41"/>
      <c r="AO24" s="37">
        <v>4.08</v>
      </c>
      <c r="AP24" s="15"/>
      <c r="AQ24"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1543.42</v>
      </c>
      <c r="AR24"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1528.42</v>
      </c>
      <c r="AS24" s="15"/>
      <c r="AT24" s="27" t="str">
        <f>IF(Tabla58[[#This Row],[Cod trabalhador]]="", "", INDEX(Iban!C:C, MATCH(Tabla58[[#This Row],[Cod trabalhador]],Iban!A:A, 0)))</f>
        <v>ES98 2100 4247 1622 0031 4099</v>
      </c>
      <c r="AU24" s="27"/>
      <c r="AV24" s="27"/>
      <c r="AW24" s="66" t="s">
        <v>7533</v>
      </c>
      <c r="AX24" s="296" t="s">
        <v>7472</v>
      </c>
    </row>
    <row r="25" spans="1:50" ht="16.5" hidden="1" customHeight="1" x14ac:dyDescent="0.3">
      <c r="A25" s="43"/>
      <c r="B25" s="39" t="s">
        <v>3151</v>
      </c>
      <c r="C25" s="45" t="str">
        <f>IF(ISNUMBER(MATCH(Tabla58[[#This Row],[Cod trabalhador]],'Altas Wiseowe'!B:B, 0)), "Ativo", "Não ativo")</f>
        <v>Não ativo</v>
      </c>
      <c r="D25" s="44" t="str">
        <f>IFERROR(IF(VLOOKUP(Tabla58[[#This Row],[Cod trabalhador]],'Altas Industrial'!B:E,1,0)&lt;&gt;"","KI",""),"")</f>
        <v/>
      </c>
      <c r="E25" s="44" t="str">
        <f>IFERROR(IF(VLOOKUP(Tabla58[[#This Row],[Cod trabalhador]],'Altas Rosas'!B:F,1,0)&lt;&gt;"","KR",""),"")</f>
        <v/>
      </c>
      <c r="F25" s="44" t="str">
        <f>IFERROR(IF(VLOOKUP(Tabla58[[#This Row],[Cod trabalhador]],'Altas Wiseowe'!B:E,1,0)&lt;&gt;"","WS",""),"")</f>
        <v/>
      </c>
      <c r="G25" s="101" t="str">
        <f>IFERROR(IF(VLOOKUP(Tabla58[[#This Row],[Cod trabalhador]],'Altas Luminous'!B:E,1,0)&lt;&gt;"","LM",""),"")</f>
        <v/>
      </c>
      <c r="H25" s="51" t="str">
        <f>IFERROR(VLOOKUP(Tabla58[[#This Row],[Cod trabalhador]],'Altas Wiseowe'!B:E,3,FALSE),"")</f>
        <v/>
      </c>
      <c r="I25" s="51" t="str">
        <f>IF(OR(Tabla58[[#This Row],[Cod trabalhador]]="",ISBLANK(Tabla58[[#This Row],[Cod trabalhador]])),"",IFERROR(IF(VLOOKUP(Tabla58[[#This Row],[Cod trabalhador]],'Altas Wiseowe'!B:E,4,FALSE)=0,"",VLOOKUP(Tabla58[[#This Row],[Cod trabalhador]],'Altas Wiseowe'!B:E,4,FALSE)),""))</f>
        <v/>
      </c>
      <c r="J25" s="44">
        <f t="shared" si="0"/>
        <v>0</v>
      </c>
      <c r="K25" s="376" t="s">
        <v>3152</v>
      </c>
      <c r="L25" s="342" t="str">
        <f>IFERROR(IF(Tabla58[[#This Row],[Cod trabalhador]]="",Tabla58[[#This Row],[Cod trabalhador]], INDEX(Colaborador_ID[Nombre], MATCH(Tabla58[[#This Row],[Cod trabalhador]],Colaborador_ID[Cod_colab], 0))), "")</f>
        <v>JEENVINSON ADALBERTO IGUARAN GRANADILLO</v>
      </c>
      <c r="N25" s="405" t="s">
        <v>7244</v>
      </c>
      <c r="O25" s="26">
        <f>IFERROR(VLOOKUP(Tabla58[[#This Row],[Cod trabalhador]],Tabla15[],4,FALSE),"")</f>
        <v>15</v>
      </c>
      <c r="P25" s="92">
        <f>IFERROR(VLOOKUP(Tabla58[[#This Row],[Cod trabalhador]],'TotalHorasAjustadas (2)'!D:L,8,FALSE),"")</f>
        <v>180.5</v>
      </c>
      <c r="Q25" s="27">
        <v>180.5</v>
      </c>
      <c r="R25" s="28" t="s">
        <v>7471</v>
      </c>
      <c r="S25" s="28"/>
      <c r="U25" s="25"/>
      <c r="V25" s="220"/>
      <c r="W25" s="27"/>
      <c r="X25" s="28"/>
      <c r="Y25" s="28"/>
      <c r="Z25" s="149"/>
      <c r="AA25" s="392" t="str">
        <f>IFERROR(VLOOKUP(Tabla58[[#This Row],[Cod trabalhador]],Alojamentos!B:P,11,FALSE),"")</f>
        <v/>
      </c>
      <c r="AB25" s="127"/>
      <c r="AC25" s="150"/>
      <c r="AD25" s="35">
        <f>Tabla58[[#This Row],[Dias de alta]]*7.058</f>
        <v>0</v>
      </c>
      <c r="AE25" s="46" t="str">
        <f>IFERROR(VLOOKUP(Tabla58[[#This Row],[Cod trabalhador]],Adiantamentos!B:L,7,FALSE),"")</f>
        <v/>
      </c>
      <c r="AF25" s="46" t="str">
        <f>IFERROR(VLOOKUP(Tabla58[[#This Row],[Cod trabalhador]],Carro!B:D,3,FALSE),"")</f>
        <v/>
      </c>
      <c r="AG25" s="46" t="str">
        <f>IFERROR(VLOOKUP(Tabla58[[#This Row],[Cod trabalhador]],'Outros descontos'!B:O,7,FALSE),"")</f>
        <v/>
      </c>
      <c r="AH25" s="46" t="str">
        <f>IFERROR(VLOOKUP(Tabla58[[#This Row],[Cod trabalhador]],'Outros descontos'!B:M,8,FALSE),"")</f>
        <v/>
      </c>
      <c r="AI25" s="46" t="str">
        <f>IFERROR(VLOOKUP(Tabla58[[#This Row],[Cod trabalhador]],'Outros descontos'!B:M,9,FALSE),"")</f>
        <v/>
      </c>
      <c r="AJ25" s="46" t="str">
        <f>IFERROR(VLOOKUP(Tabla58[[#This Row],[Cod trabalhador]],'Outros descontos'!B:M,10,FALSE),"")</f>
        <v/>
      </c>
      <c r="AK25" s="46" t="str">
        <f>IFERROR(VLOOKUP(Tabla58[[#This Row],[Cod trabalhador]],'Outros descontos'!B:M,11,FALSE),"")</f>
        <v/>
      </c>
      <c r="AL25" s="46" t="str">
        <f>IFERROR(VLOOKUP(Tabla58[[#This Row],[Cod trabalhador]],'Outros descontos'!B:R,12,FALSE),"")</f>
        <v/>
      </c>
      <c r="AM25" s="46" t="str">
        <f>IFERROR(VLOOKUP(Tabla58[[#This Row],[Cod trabalhador]],'Outros descontos'!B:M,13,FALSE),"")</f>
        <v/>
      </c>
      <c r="AN25" s="41"/>
      <c r="AO25" s="37">
        <v>4.08</v>
      </c>
      <c r="AP25" s="15"/>
      <c r="AQ25"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2703.42</v>
      </c>
      <c r="AR25"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2703.42</v>
      </c>
      <c r="AS25" s="15"/>
      <c r="AT25" s="27" t="str">
        <f>IF(Tabla58[[#This Row],[Cod trabalhador]]="", "", INDEX(Iban!C:C, MATCH(Tabla58[[#This Row],[Cod trabalhador]],Iban!A:A, 0)))</f>
        <v xml:space="preserve"> ES68 0182 6786 0302 0155 7737</v>
      </c>
      <c r="AU25" s="27" t="s">
        <v>7541</v>
      </c>
      <c r="AV25" s="97"/>
      <c r="AW25" s="66" t="s">
        <v>7533</v>
      </c>
      <c r="AX25" s="296" t="s">
        <v>7472</v>
      </c>
    </row>
    <row r="26" spans="1:50" ht="16.5" hidden="1" customHeight="1" x14ac:dyDescent="0.3">
      <c r="A26" s="43"/>
      <c r="B26" s="39" t="s">
        <v>3481</v>
      </c>
      <c r="C26" s="45" t="str">
        <f>IF(ISNUMBER(MATCH(Tabla58[[#This Row],[Cod trabalhador]],'Altas Wiseowe'!B:B, 0)), "Ativo", "Não ativo")</f>
        <v>Ativo</v>
      </c>
      <c r="D26" s="44" t="str">
        <f>IFERROR(IF(VLOOKUP(Tabla58[[#This Row],[Cod trabalhador]],'Altas Industrial'!B:E,1,0)&lt;&gt;"","KI",""),"")</f>
        <v/>
      </c>
      <c r="E26" s="44" t="str">
        <f>IFERROR(IF(VLOOKUP(Tabla58[[#This Row],[Cod trabalhador]],'Altas Rosas'!B:F,1,0)&lt;&gt;"","KR",""),"")</f>
        <v/>
      </c>
      <c r="F26" s="44" t="str">
        <f>IFERROR(IF(VLOOKUP(Tabla58[[#This Row],[Cod trabalhador]],'Altas Wiseowe'!B:E,1,0)&lt;&gt;"","WS",""),"")</f>
        <v>WS</v>
      </c>
      <c r="G26" s="101" t="str">
        <f>IFERROR(IF(VLOOKUP(Tabla58[[#This Row],[Cod trabalhador]],'Altas Luminous'!B:E,1,0)&lt;&gt;"","LM",""),"")</f>
        <v/>
      </c>
      <c r="H26" s="51">
        <f>IFERROR(VLOOKUP(Tabla58[[#This Row],[Cod trabalhador]],'Altas Wiseowe'!B:E,3,FALSE),"")</f>
        <v>45922</v>
      </c>
      <c r="I26" s="51" t="str">
        <f>IF(OR(Tabla58[[#This Row],[Cod trabalhador]]="",ISBLANK(Tabla58[[#This Row],[Cod trabalhador]])),"",IFERROR(IF(VLOOKUP(Tabla58[[#This Row],[Cod trabalhador]],'Altas Wiseowe'!B:E,4,FALSE)=0,"",VLOOKUP(Tabla58[[#This Row],[Cod trabalhador]],'Altas Wiseowe'!B:E,4,FALSE)),""))</f>
        <v/>
      </c>
      <c r="J26" s="44">
        <f t="shared" si="0"/>
        <v>31</v>
      </c>
      <c r="K26" s="376" t="s">
        <v>7259</v>
      </c>
      <c r="L26" s="342" t="str">
        <f>IFERROR(IF(Tabla58[[#This Row],[Cod trabalhador]]="",Tabla58[[#This Row],[Cod trabalhador]], INDEX(Colaborador_ID[Nombre], MATCH(Tabla58[[#This Row],[Cod trabalhador]],Colaborador_ID[Cod_colab], 0))), "")</f>
        <v>JHONNY ESTID QUIJANO TREJO</v>
      </c>
      <c r="N26" s="405" t="s">
        <v>7244</v>
      </c>
      <c r="O26" s="26">
        <f>IFERROR(VLOOKUP(Tabla58[[#This Row],[Cod trabalhador]],Tabla15[],4,FALSE),"")</f>
        <v>15</v>
      </c>
      <c r="P26" s="92">
        <f>IFERROR(VLOOKUP(Tabla58[[#This Row],[Cod trabalhador]],'TotalHorasAjustadas (2)'!D:L,8,FALSE),"")</f>
        <v>83</v>
      </c>
      <c r="Q26" s="27">
        <v>83</v>
      </c>
      <c r="R26" s="28" t="s">
        <v>7471</v>
      </c>
      <c r="S26" s="28"/>
      <c r="U26" s="25"/>
      <c r="V26" s="220"/>
      <c r="W26" s="27"/>
      <c r="X26" s="28"/>
      <c r="Y26" s="28"/>
      <c r="Z26" s="149"/>
      <c r="AA26" s="392" t="str">
        <f>IFERROR(VLOOKUP(Tabla58[[#This Row],[Cod trabalhador]],Alojamentos!B:P,11,FALSE),"")</f>
        <v/>
      </c>
      <c r="AB26" s="127"/>
      <c r="AC26" s="150"/>
      <c r="AD26" s="35">
        <f>Tabla58[[#This Row],[Dias de alta]]*7.058</f>
        <v>218.798</v>
      </c>
      <c r="AE26" s="46" t="str">
        <f>IFERROR(VLOOKUP(Tabla58[[#This Row],[Cod trabalhador]],Adiantamentos!B:L,7,FALSE),"")</f>
        <v/>
      </c>
      <c r="AF26" s="46">
        <f>IFERROR(VLOOKUP(Tabla58[[#This Row],[Cod trabalhador]],Carro!B:D,3,FALSE),"")</f>
        <v>50</v>
      </c>
      <c r="AG26" s="46" t="str">
        <f>IFERROR(VLOOKUP(Tabla58[[#This Row],[Cod trabalhador]],'Outros descontos'!B:O,7,FALSE),"")</f>
        <v/>
      </c>
      <c r="AH26" s="46" t="str">
        <f>IFERROR(VLOOKUP(Tabla58[[#This Row],[Cod trabalhador]],'Outros descontos'!B:M,8,FALSE),"")</f>
        <v/>
      </c>
      <c r="AI26" s="46" t="str">
        <f>IFERROR(VLOOKUP(Tabla58[[#This Row],[Cod trabalhador]],'Outros descontos'!B:M,9,FALSE),"")</f>
        <v/>
      </c>
      <c r="AJ26" s="46" t="str">
        <f>IFERROR(VLOOKUP(Tabla58[[#This Row],[Cod trabalhador]],'Outros descontos'!B:M,10,FALSE),"")</f>
        <v/>
      </c>
      <c r="AK26" s="46" t="str">
        <f>IFERROR(VLOOKUP(Tabla58[[#This Row],[Cod trabalhador]],'Outros descontos'!B:M,11,FALSE),"")</f>
        <v/>
      </c>
      <c r="AL26" s="46" t="str">
        <f>IFERROR(VLOOKUP(Tabla58[[#This Row],[Cod trabalhador]],'Outros descontos'!B:R,12,FALSE),"")</f>
        <v/>
      </c>
      <c r="AM26" s="46" t="str">
        <f>IFERROR(VLOOKUP(Tabla58[[#This Row],[Cod trabalhador]],'Outros descontos'!B:M,13,FALSE),"")</f>
        <v/>
      </c>
      <c r="AN26" s="41"/>
      <c r="AO26" s="37">
        <v>4.08</v>
      </c>
      <c r="AP26" s="15"/>
      <c r="AQ26"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972.12199999999996</v>
      </c>
      <c r="AR26"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972.12199999999996</v>
      </c>
      <c r="AS26" s="15"/>
      <c r="AT26" s="27" t="str">
        <f>IF(Tabla58[[#This Row],[Cod trabalhador]]="", "", INDEX(Iban!C:C, MATCH(Tabla58[[#This Row],[Cod trabalhador]],Iban!A:A, 0)))</f>
        <v xml:space="preserve">BE19 9051 5184 4312 </v>
      </c>
      <c r="AU26" s="27"/>
      <c r="AV26" s="97"/>
      <c r="AW26" s="66" t="s">
        <v>7540</v>
      </c>
      <c r="AX26" s="296" t="s">
        <v>7472</v>
      </c>
    </row>
    <row r="27" spans="1:50" ht="16.5" hidden="1" customHeight="1" x14ac:dyDescent="0.3">
      <c r="A27" s="43"/>
      <c r="B27" s="39" t="s">
        <v>3922</v>
      </c>
      <c r="C27" s="45" t="str">
        <f>IF(ISNUMBER(MATCH(Tabla58[[#This Row],[Cod trabalhador]],'Altas Wiseowe'!B:B, 0)), "Ativo", "Não ativo")</f>
        <v>Não ativo</v>
      </c>
      <c r="D27" s="44" t="str">
        <f>IFERROR(IF(VLOOKUP(Tabla58[[#This Row],[Cod trabalhador]],'Altas Industrial'!B:E,1,0)&lt;&gt;"","KI",""),"")</f>
        <v/>
      </c>
      <c r="E27" s="44" t="str">
        <f>IFERROR(IF(VLOOKUP(Tabla58[[#This Row],[Cod trabalhador]],'Altas Rosas'!B:F,1,0)&lt;&gt;"","KR",""),"")</f>
        <v/>
      </c>
      <c r="F27" s="44" t="str">
        <f>IFERROR(IF(VLOOKUP(Tabla58[[#This Row],[Cod trabalhador]],'Altas Wiseowe'!B:E,1,0)&lt;&gt;"","WS",""),"")</f>
        <v/>
      </c>
      <c r="G27" s="101" t="str">
        <f>IFERROR(IF(VLOOKUP(Tabla58[[#This Row],[Cod trabalhador]],'Altas Luminous'!B:E,1,0)&lt;&gt;"","LM",""),"")</f>
        <v/>
      </c>
      <c r="H27" s="51" t="str">
        <f>IFERROR(VLOOKUP(Tabla58[[#This Row],[Cod trabalhador]],'Altas Wiseowe'!B:E,3,FALSE),"")</f>
        <v/>
      </c>
      <c r="I27" s="51" t="str">
        <f>IF(OR(Tabla58[[#This Row],[Cod trabalhador]]="",ISBLANK(Tabla58[[#This Row],[Cod trabalhador]])),"",IFERROR(IF(VLOOKUP(Tabla58[[#This Row],[Cod trabalhador]],'Altas Wiseowe'!B:E,4,FALSE)=0,"",VLOOKUP(Tabla58[[#This Row],[Cod trabalhador]],'Altas Wiseowe'!B:E,4,FALSE)),""))</f>
        <v/>
      </c>
      <c r="J27" s="44">
        <f t="shared" si="0"/>
        <v>0</v>
      </c>
      <c r="K27" s="376" t="s">
        <v>7260</v>
      </c>
      <c r="L27" s="342" t="str">
        <f>IFERROR(IF(Tabla58[[#This Row],[Cod trabalhador]]="",Tabla58[[#This Row],[Cod trabalhador]], INDEX(Colaborador_ID[Nombre], MATCH(Tabla58[[#This Row],[Cod trabalhador]],Colaborador_ID[Cod_colab], 0))), "")</f>
        <v>JOSE ANTONIO MORALES HURTADO</v>
      </c>
      <c r="N27" s="405" t="s">
        <v>7244</v>
      </c>
      <c r="O27" s="26">
        <f>IFERROR(VLOOKUP(Tabla58[[#This Row],[Cod trabalhador]],Tabla15[],4,FALSE),"")</f>
        <v>15</v>
      </c>
      <c r="P27" s="92">
        <f>IFERROR(VLOOKUP(Tabla58[[#This Row],[Cod trabalhador]],'TotalHorasAjustadas (2)'!D:L,8,FALSE),"")</f>
        <v>168</v>
      </c>
      <c r="Q27" s="27">
        <v>168</v>
      </c>
      <c r="R27" s="28" t="s">
        <v>7471</v>
      </c>
      <c r="S27" s="28"/>
      <c r="U27" s="25"/>
      <c r="V27" s="220"/>
      <c r="W27" s="27"/>
      <c r="X27" s="28"/>
      <c r="Y27" s="28"/>
      <c r="Z27" s="149"/>
      <c r="AA27" s="392">
        <f>IFERROR(VLOOKUP(Tabla58[[#This Row],[Cod trabalhador]],Alojamentos!B:P,11,FALSE),"")</f>
        <v>300</v>
      </c>
      <c r="AB27" s="127"/>
      <c r="AC27" s="150"/>
      <c r="AD27" s="35">
        <f>Tabla58[[#This Row],[Dias de alta]]*7.058</f>
        <v>0</v>
      </c>
      <c r="AE27" s="46" t="str">
        <f>IFERROR(VLOOKUP(Tabla58[[#This Row],[Cod trabalhador]],Adiantamentos!B:L,7,FALSE),"")</f>
        <v/>
      </c>
      <c r="AF27" s="46" t="str">
        <f>IFERROR(VLOOKUP(Tabla58[[#This Row],[Cod trabalhador]],Carro!B:D,3,FALSE),"")</f>
        <v/>
      </c>
      <c r="AG27" s="46" t="str">
        <f>IFERROR(VLOOKUP(Tabla58[[#This Row],[Cod trabalhador]],'Outros descontos'!B:O,7,FALSE),"")</f>
        <v/>
      </c>
      <c r="AH27" s="46" t="str">
        <f>IFERROR(VLOOKUP(Tabla58[[#This Row],[Cod trabalhador]],'Outros descontos'!B:M,8,FALSE),"")</f>
        <v/>
      </c>
      <c r="AI27" s="46" t="str">
        <f>IFERROR(VLOOKUP(Tabla58[[#This Row],[Cod trabalhador]],'Outros descontos'!B:M,9,FALSE),"")</f>
        <v/>
      </c>
      <c r="AJ27" s="46" t="str">
        <f>IFERROR(VLOOKUP(Tabla58[[#This Row],[Cod trabalhador]],'Outros descontos'!B:M,10,FALSE),"")</f>
        <v/>
      </c>
      <c r="AK27" s="46" t="str">
        <f>IFERROR(VLOOKUP(Tabla58[[#This Row],[Cod trabalhador]],'Outros descontos'!B:M,11,FALSE),"")</f>
        <v/>
      </c>
      <c r="AL27" s="46" t="str">
        <f>IFERROR(VLOOKUP(Tabla58[[#This Row],[Cod trabalhador]],'Outros descontos'!B:R,12,FALSE),"")</f>
        <v/>
      </c>
      <c r="AM27" s="46" t="str">
        <f>IFERROR(VLOOKUP(Tabla58[[#This Row],[Cod trabalhador]],'Outros descontos'!B:M,13,FALSE),"")</f>
        <v/>
      </c>
      <c r="AN27" s="41"/>
      <c r="AO27" s="37">
        <v>4.08</v>
      </c>
      <c r="AP27" s="15"/>
      <c r="AQ27"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2815.92</v>
      </c>
      <c r="AR27"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2815.92</v>
      </c>
      <c r="AS27" s="15"/>
      <c r="AT27" s="27" t="str">
        <f>IF(Tabla58[[#This Row],[Cod trabalhador]]="", "", INDEX(Iban!C:C, MATCH(Tabla58[[#This Row],[Cod trabalhador]],Iban!A:A, 0)))</f>
        <v>ES52 0182 8181 1402 0234 0463</v>
      </c>
      <c r="AU27" s="27"/>
      <c r="AV27" s="97"/>
      <c r="AW27" s="66" t="s">
        <v>7533</v>
      </c>
      <c r="AX27" s="296" t="s">
        <v>7472</v>
      </c>
    </row>
    <row r="28" spans="1:50" ht="16.5" hidden="1" customHeight="1" x14ac:dyDescent="0.3">
      <c r="A28" s="43"/>
      <c r="B28" s="39" t="s">
        <v>4509</v>
      </c>
      <c r="C28" s="45" t="str">
        <f>IF(ISNUMBER(MATCH(Tabla58[[#This Row],[Cod trabalhador]],'Altas Wiseowe'!B:B, 0)), "Ativo", "Não ativo")</f>
        <v>Não ativo</v>
      </c>
      <c r="D28" s="44" t="str">
        <f>IFERROR(IF(VLOOKUP(Tabla58[[#This Row],[Cod trabalhador]],'Altas Industrial'!B:E,1,0)&lt;&gt;"","KI",""),"")</f>
        <v/>
      </c>
      <c r="E28" s="44" t="str">
        <f>IFERROR(IF(VLOOKUP(Tabla58[[#This Row],[Cod trabalhador]],'Altas Rosas'!B:F,1,0)&lt;&gt;"","KR",""),"")</f>
        <v/>
      </c>
      <c r="F28" s="44" t="str">
        <f>IFERROR(IF(VLOOKUP(Tabla58[[#This Row],[Cod trabalhador]],'Altas Wiseowe'!B:E,1,0)&lt;&gt;"","WS",""),"")</f>
        <v/>
      </c>
      <c r="G28" s="101" t="str">
        <f>IFERROR(IF(VLOOKUP(Tabla58[[#This Row],[Cod trabalhador]],'Altas Luminous'!B:E,1,0)&lt;&gt;"","LM",""),"")</f>
        <v/>
      </c>
      <c r="H28" s="51" t="str">
        <f>IFERROR(VLOOKUP(Tabla58[[#This Row],[Cod trabalhador]],'Altas Wiseowe'!B:E,3,FALSE),"")</f>
        <v/>
      </c>
      <c r="I28" s="51" t="str">
        <f>IF(OR(Tabla58[[#This Row],[Cod trabalhador]]="",ISBLANK(Tabla58[[#This Row],[Cod trabalhador]])),"",IFERROR(IF(VLOOKUP(Tabla58[[#This Row],[Cod trabalhador]],'Altas Wiseowe'!B:E,4,FALSE)=0,"",VLOOKUP(Tabla58[[#This Row],[Cod trabalhador]],'Altas Wiseowe'!B:E,4,FALSE)),""))</f>
        <v/>
      </c>
      <c r="J28" s="44">
        <f t="shared" si="0"/>
        <v>0</v>
      </c>
      <c r="K28" s="376" t="s">
        <v>7261</v>
      </c>
      <c r="L28" s="342" t="str">
        <f>IFERROR(IF(Tabla58[[#This Row],[Cod trabalhador]]="",Tabla58[[#This Row],[Cod trabalhador]], INDEX(Colaborador_ID[Nombre], MATCH(Tabla58[[#This Row],[Cod trabalhador]],Colaborador_ID[Cod_colab], 0))), "")</f>
        <v>JULIO CESAR VERA</v>
      </c>
      <c r="N28" s="405" t="s">
        <v>7244</v>
      </c>
      <c r="O28" s="26">
        <f>IFERROR(VLOOKUP(Tabla58[[#This Row],[Cod trabalhador]],Tabla15[],4,FALSE),"")</f>
        <v>15</v>
      </c>
      <c r="P28" s="92">
        <f>IFERROR(VLOOKUP(Tabla58[[#This Row],[Cod trabalhador]],'TotalHorasAjustadas (2)'!D:L,8,FALSE),"")</f>
        <v>159.5</v>
      </c>
      <c r="Q28" s="27">
        <v>159.5</v>
      </c>
      <c r="R28" s="28" t="s">
        <v>7471</v>
      </c>
      <c r="S28" s="28"/>
      <c r="U28" s="25"/>
      <c r="V28" s="220"/>
      <c r="W28" s="27"/>
      <c r="X28" s="28"/>
      <c r="Y28" s="28"/>
      <c r="Z28" s="149"/>
      <c r="AA28" s="392" t="str">
        <f>IFERROR(VLOOKUP(Tabla58[[#This Row],[Cod trabalhador]],Alojamentos!B:P,11,FALSE),"")</f>
        <v/>
      </c>
      <c r="AB28" s="127"/>
      <c r="AC28" s="150"/>
      <c r="AD28" s="35">
        <f>Tabla58[[#This Row],[Dias de alta]]*7.058</f>
        <v>0</v>
      </c>
      <c r="AE28" s="46" t="str">
        <f>IFERROR(VLOOKUP(Tabla58[[#This Row],[Cod trabalhador]],Adiantamentos!B:L,7,FALSE),"")</f>
        <v/>
      </c>
      <c r="AF28" s="46" t="str">
        <f>IFERROR(VLOOKUP(Tabla58[[#This Row],[Cod trabalhador]],Carro!B:D,3,FALSE),"")</f>
        <v/>
      </c>
      <c r="AG28" s="46">
        <f>IFERROR(VLOOKUP(Tabla58[[#This Row],[Cod trabalhador]],'Outros descontos'!B:O,7,FALSE),"")</f>
        <v>0</v>
      </c>
      <c r="AH28" s="46">
        <f>IFERROR(VLOOKUP(Tabla58[[#This Row],[Cod trabalhador]],'Outros descontos'!B:M,8,FALSE),"")</f>
        <v>0</v>
      </c>
      <c r="AI28" s="46">
        <f>IFERROR(VLOOKUP(Tabla58[[#This Row],[Cod trabalhador]],'Outros descontos'!B:M,9,FALSE),"")</f>
        <v>0</v>
      </c>
      <c r="AJ28" s="46">
        <f>IFERROR(VLOOKUP(Tabla58[[#This Row],[Cod trabalhador]],'Outros descontos'!B:M,10,FALSE),"")</f>
        <v>137.21</v>
      </c>
      <c r="AK28" s="46">
        <f>IFERROR(VLOOKUP(Tabla58[[#This Row],[Cod trabalhador]],'Outros descontos'!B:M,11,FALSE),"")</f>
        <v>0</v>
      </c>
      <c r="AL28" s="46">
        <f>IFERROR(VLOOKUP(Tabla58[[#This Row],[Cod trabalhador]],'Outros descontos'!B:R,12,FALSE),"")</f>
        <v>0</v>
      </c>
      <c r="AM28" s="46" t="str">
        <f>IFERROR(VLOOKUP(Tabla58[[#This Row],[Cod trabalhador]],'Outros descontos'!B:M,13,FALSE),"")</f>
        <v/>
      </c>
      <c r="AN28" s="41"/>
      <c r="AO28" s="37">
        <v>4.08</v>
      </c>
      <c r="AP28" s="15"/>
      <c r="AQ28"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2251.21</v>
      </c>
      <c r="AR28"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2251.21</v>
      </c>
      <c r="AS28" s="15"/>
      <c r="AT28" s="27" t="str">
        <f>IF(Tabla58[[#This Row],[Cod trabalhador]]="", "", INDEX(Iban!C:C, MATCH(Tabla58[[#This Row],[Cod trabalhador]],Iban!A:A, 0)))</f>
        <v>BE78 9056 7975 4886</v>
      </c>
      <c r="AU28" s="27"/>
      <c r="AV28" s="97"/>
      <c r="AW28" s="66" t="s">
        <v>7533</v>
      </c>
      <c r="AX28" s="296" t="s">
        <v>7472</v>
      </c>
    </row>
    <row r="29" spans="1:50" ht="16.5" hidden="1" customHeight="1" x14ac:dyDescent="0.3">
      <c r="A29" s="43"/>
      <c r="B29" s="39" t="s">
        <v>5152</v>
      </c>
      <c r="C29" s="45" t="str">
        <f>IF(ISNUMBER(MATCH(Tabla58[[#This Row],[Cod trabalhador]],'Altas Wiseowe'!B:B, 0)), "Ativo", "Não ativo")</f>
        <v>Não ativo</v>
      </c>
      <c r="D29" s="44" t="str">
        <f>IFERROR(IF(VLOOKUP(Tabla58[[#This Row],[Cod trabalhador]],'Altas Industrial'!B:E,1,0)&lt;&gt;"","KI",""),"")</f>
        <v/>
      </c>
      <c r="E29" s="44" t="str">
        <f>IFERROR(IF(VLOOKUP(Tabla58[[#This Row],[Cod trabalhador]],'Altas Rosas'!B:F,1,0)&lt;&gt;"","KR",""),"")</f>
        <v/>
      </c>
      <c r="F29" s="44" t="str">
        <f>IFERROR(IF(VLOOKUP(Tabla58[[#This Row],[Cod trabalhador]],'Altas Wiseowe'!B:E,1,0)&lt;&gt;"","WS",""),"")</f>
        <v/>
      </c>
      <c r="G29" s="101" t="str">
        <f>IFERROR(IF(VLOOKUP(Tabla58[[#This Row],[Cod trabalhador]],'Altas Luminous'!B:E,1,0)&lt;&gt;"","LM",""),"")</f>
        <v/>
      </c>
      <c r="H29" s="51" t="str">
        <f>IFERROR(VLOOKUP(Tabla58[[#This Row],[Cod trabalhador]],'Altas Wiseowe'!B:E,3,FALSE),"")</f>
        <v/>
      </c>
      <c r="I29" s="51" t="str">
        <f>IF(OR(Tabla58[[#This Row],[Cod trabalhador]]="",ISBLANK(Tabla58[[#This Row],[Cod trabalhador]])),"",IFERROR(IF(VLOOKUP(Tabla58[[#This Row],[Cod trabalhador]],'Altas Wiseowe'!B:E,4,FALSE)=0,"",VLOOKUP(Tabla58[[#This Row],[Cod trabalhador]],'Altas Wiseowe'!B:E,4,FALSE)),""))</f>
        <v/>
      </c>
      <c r="J29" s="44">
        <f t="shared" si="0"/>
        <v>0</v>
      </c>
      <c r="K29" s="376" t="s">
        <v>7262</v>
      </c>
      <c r="L29" s="342" t="str">
        <f>IFERROR(IF(Tabla58[[#This Row],[Cod trabalhador]]="",Tabla58[[#This Row],[Cod trabalhador]], INDEX(Colaborador_ID[Nombre], MATCH(Tabla58[[#This Row],[Cod trabalhador]],Colaborador_ID[Cod_colab], 0))), "")</f>
        <v>MARLON SERNA URBANO</v>
      </c>
      <c r="N29" s="405" t="s">
        <v>7244</v>
      </c>
      <c r="O29" s="26">
        <f>IFERROR(VLOOKUP(Tabla58[[#This Row],[Cod trabalhador]],Tabla15[],4,FALSE),"")</f>
        <v>13</v>
      </c>
      <c r="P29" s="92">
        <f>IFERROR(VLOOKUP(Tabla58[[#This Row],[Cod trabalhador]],'TotalHorasAjustadas (2)'!D:L,8,FALSE),"")</f>
        <v>172</v>
      </c>
      <c r="Q29" s="27">
        <v>171.5</v>
      </c>
      <c r="R29" s="28" t="s">
        <v>7471</v>
      </c>
      <c r="S29" s="28"/>
      <c r="U29" s="25"/>
      <c r="V29" s="220"/>
      <c r="W29" s="27"/>
      <c r="X29" s="28"/>
      <c r="Y29" s="28"/>
      <c r="Z29" s="149"/>
      <c r="AA29" s="392">
        <f>IFERROR(VLOOKUP(Tabla58[[#This Row],[Cod trabalhador]],Alojamentos!B:P,11,FALSE),"")</f>
        <v>300</v>
      </c>
      <c r="AB29" s="127"/>
      <c r="AC29" s="150"/>
      <c r="AD29" s="35">
        <f>Tabla58[[#This Row],[Dias de alta]]*7.058</f>
        <v>0</v>
      </c>
      <c r="AE29" s="46" t="str">
        <f>IFERROR(VLOOKUP(Tabla58[[#This Row],[Cod trabalhador]],Adiantamentos!B:L,7,FALSE),"")</f>
        <v/>
      </c>
      <c r="AF29" s="46" t="str">
        <f>IFERROR(VLOOKUP(Tabla58[[#This Row],[Cod trabalhador]],Carro!B:D,3,FALSE),"")</f>
        <v/>
      </c>
      <c r="AG29" s="46" t="str">
        <f>IFERROR(VLOOKUP(Tabla58[[#This Row],[Cod trabalhador]],'Outros descontos'!B:O,7,FALSE),"")</f>
        <v/>
      </c>
      <c r="AH29" s="46" t="str">
        <f>IFERROR(VLOOKUP(Tabla58[[#This Row],[Cod trabalhador]],'Outros descontos'!B:M,8,FALSE),"")</f>
        <v/>
      </c>
      <c r="AI29" s="46" t="str">
        <f>IFERROR(VLOOKUP(Tabla58[[#This Row],[Cod trabalhador]],'Outros descontos'!B:M,9,FALSE),"")</f>
        <v/>
      </c>
      <c r="AJ29" s="46" t="str">
        <f>IFERROR(VLOOKUP(Tabla58[[#This Row],[Cod trabalhador]],'Outros descontos'!B:M,10,FALSE),"")</f>
        <v/>
      </c>
      <c r="AK29" s="46" t="str">
        <f>IFERROR(VLOOKUP(Tabla58[[#This Row],[Cod trabalhador]],'Outros descontos'!B:M,11,FALSE),"")</f>
        <v/>
      </c>
      <c r="AL29" s="46" t="str">
        <f>IFERROR(VLOOKUP(Tabla58[[#This Row],[Cod trabalhador]],'Outros descontos'!B:R,12,FALSE),"")</f>
        <v/>
      </c>
      <c r="AM29" s="46" t="str">
        <f>IFERROR(VLOOKUP(Tabla58[[#This Row],[Cod trabalhador]],'Outros descontos'!B:M,13,FALSE),"")</f>
        <v/>
      </c>
      <c r="AN29" s="41"/>
      <c r="AO29" s="37">
        <v>4.08</v>
      </c>
      <c r="AP29" s="15"/>
      <c r="AQ29"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2531.92</v>
      </c>
      <c r="AR29"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2525.42</v>
      </c>
      <c r="AS29" s="15"/>
      <c r="AT29" s="27" t="str">
        <f>IF(Tabla58[[#This Row],[Cod trabalhador]]="", "", INDEX(Iban!C:C, MATCH(Tabla58[[#This Row],[Cod trabalhador]],Iban!A:A, 0)))</f>
        <v>BE72 9053 1405 7816</v>
      </c>
      <c r="AU29" s="346"/>
      <c r="AV29" s="27"/>
      <c r="AW29" s="66" t="s">
        <v>7533</v>
      </c>
      <c r="AX29" s="296" t="s">
        <v>7472</v>
      </c>
    </row>
    <row r="30" spans="1:50" ht="16.5" hidden="1" customHeight="1" x14ac:dyDescent="0.3">
      <c r="A30" s="43"/>
      <c r="B30" s="39" t="s">
        <v>5579</v>
      </c>
      <c r="C30" s="45" t="str">
        <f>IF(ISNUMBER(MATCH(Tabla58[[#This Row],[Cod trabalhador]],'Altas Wiseowe'!B:B, 0)), "Ativo", "Não ativo")</f>
        <v>Não ativo</v>
      </c>
      <c r="D30" s="44" t="str">
        <f>IFERROR(IF(VLOOKUP(Tabla58[[#This Row],[Cod trabalhador]],'Altas Industrial'!B:E,1,0)&lt;&gt;"","KI",""),"")</f>
        <v/>
      </c>
      <c r="E30" s="44" t="str">
        <f>IFERROR(IF(VLOOKUP(Tabla58[[#This Row],[Cod trabalhador]],'Altas Rosas'!B:F,1,0)&lt;&gt;"","KR",""),"")</f>
        <v/>
      </c>
      <c r="F30" s="44" t="str">
        <f>IFERROR(IF(VLOOKUP(Tabla58[[#This Row],[Cod trabalhador]],'Altas Wiseowe'!B:E,1,0)&lt;&gt;"","WS",""),"")</f>
        <v/>
      </c>
      <c r="G30" s="101" t="str">
        <f>IFERROR(IF(VLOOKUP(Tabla58[[#This Row],[Cod trabalhador]],'Altas Luminous'!B:E,1,0)&lt;&gt;"","LM",""),"")</f>
        <v/>
      </c>
      <c r="H30" s="51" t="str">
        <f>IFERROR(VLOOKUP(Tabla58[[#This Row],[Cod trabalhador]],'Altas Wiseowe'!B:E,3,FALSE),"")</f>
        <v/>
      </c>
      <c r="I30" s="51" t="str">
        <f>IF(OR(Tabla58[[#This Row],[Cod trabalhador]]="",ISBLANK(Tabla58[[#This Row],[Cod trabalhador]])),"",IFERROR(IF(VLOOKUP(Tabla58[[#This Row],[Cod trabalhador]],'Altas Wiseowe'!B:E,4,FALSE)=0,"",VLOOKUP(Tabla58[[#This Row],[Cod trabalhador]],'Altas Wiseowe'!B:E,4,FALSE)),""))</f>
        <v/>
      </c>
      <c r="J30" s="44">
        <f t="shared" si="0"/>
        <v>0</v>
      </c>
      <c r="K30" s="376" t="s">
        <v>5580</v>
      </c>
      <c r="L30" s="342" t="str">
        <f>IFERROR(IF(Tabla58[[#This Row],[Cod trabalhador]]="",Tabla58[[#This Row],[Cod trabalhador]], INDEX(Colaborador_ID[Nombre], MATCH(Tabla58[[#This Row],[Cod trabalhador]],Colaborador_ID[Cod_colab], 0))), "")</f>
        <v>OMAR STEVEEN SANCHEZ ROJAS</v>
      </c>
      <c r="N30" s="405" t="s">
        <v>7244</v>
      </c>
      <c r="O30" s="26">
        <f>IFERROR(VLOOKUP(Tabla58[[#This Row],[Cod trabalhador]],Tabla15[],4,FALSE),"")</f>
        <v>15</v>
      </c>
      <c r="P30" s="92">
        <f>IFERROR(VLOOKUP(Tabla58[[#This Row],[Cod trabalhador]],'TotalHorasAjustadas (2)'!D:L,8,FALSE),"")</f>
        <v>175</v>
      </c>
      <c r="Q30" s="27">
        <v>181.5</v>
      </c>
      <c r="R30" s="28" t="s">
        <v>7471</v>
      </c>
      <c r="S30" s="28"/>
      <c r="U30" s="25"/>
      <c r="V30" s="220"/>
      <c r="W30" s="27"/>
      <c r="X30" s="28"/>
      <c r="Y30" s="28"/>
      <c r="Z30" s="149"/>
      <c r="AA30" s="392">
        <f>IFERROR(VLOOKUP(Tabla58[[#This Row],[Cod trabalhador]],Alojamentos!B:P,11,FALSE),"")</f>
        <v>300</v>
      </c>
      <c r="AB30" s="127"/>
      <c r="AC30" s="150"/>
      <c r="AD30" s="35">
        <f>Tabla58[[#This Row],[Dias de alta]]*7.058</f>
        <v>0</v>
      </c>
      <c r="AE30" s="46" t="str">
        <f>IFERROR(VLOOKUP(Tabla58[[#This Row],[Cod trabalhador]],Adiantamentos!B:L,7,FALSE),"")</f>
        <v/>
      </c>
      <c r="AF30" s="46" t="str">
        <f>IFERROR(VLOOKUP(Tabla58[[#This Row],[Cod trabalhador]],Carro!B:D,3,FALSE),"")</f>
        <v/>
      </c>
      <c r="AG30" s="46" t="str">
        <f>IFERROR(VLOOKUP(Tabla58[[#This Row],[Cod trabalhador]],'Outros descontos'!B:O,7,FALSE),"")</f>
        <v/>
      </c>
      <c r="AH30" s="46" t="str">
        <f>IFERROR(VLOOKUP(Tabla58[[#This Row],[Cod trabalhador]],'Outros descontos'!B:M,8,FALSE),"")</f>
        <v/>
      </c>
      <c r="AI30" s="46" t="str">
        <f>IFERROR(VLOOKUP(Tabla58[[#This Row],[Cod trabalhador]],'Outros descontos'!B:M,9,FALSE),"")</f>
        <v/>
      </c>
      <c r="AJ30" s="46" t="str">
        <f>IFERROR(VLOOKUP(Tabla58[[#This Row],[Cod trabalhador]],'Outros descontos'!B:M,10,FALSE),"")</f>
        <v/>
      </c>
      <c r="AK30" s="46" t="str">
        <f>IFERROR(VLOOKUP(Tabla58[[#This Row],[Cod trabalhador]],'Outros descontos'!B:M,11,FALSE),"")</f>
        <v/>
      </c>
      <c r="AL30" s="46" t="str">
        <f>IFERROR(VLOOKUP(Tabla58[[#This Row],[Cod trabalhador]],'Outros descontos'!B:R,12,FALSE),"")</f>
        <v/>
      </c>
      <c r="AM30" s="46" t="str">
        <f>IFERROR(VLOOKUP(Tabla58[[#This Row],[Cod trabalhador]],'Outros descontos'!B:M,13,FALSE),"")</f>
        <v/>
      </c>
      <c r="AN30" s="41"/>
      <c r="AO30" s="37">
        <v>4.08</v>
      </c>
      <c r="AP30" s="15"/>
      <c r="AQ30"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2920.92</v>
      </c>
      <c r="AR30"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3018.42</v>
      </c>
      <c r="AS30" s="15"/>
      <c r="AT30" s="27" t="str">
        <f>IF(Tabla58[[#This Row],[Cod trabalhador]]="", "", INDEX(Iban!C:C, MATCH(Tabla58[[#This Row],[Cod trabalhador]],Iban!A:A, 0)))</f>
        <v>ES64 1563 2626 3132 6463 4041</v>
      </c>
      <c r="AU30" s="27"/>
      <c r="AV30" s="27"/>
      <c r="AW30" s="66" t="s">
        <v>7533</v>
      </c>
      <c r="AX30" s="296" t="s">
        <v>7472</v>
      </c>
    </row>
    <row r="31" spans="1:50" ht="16.5" hidden="1" customHeight="1" x14ac:dyDescent="0.3">
      <c r="A31" s="43"/>
      <c r="B31" s="39" t="s">
        <v>5617</v>
      </c>
      <c r="C31" s="45" t="str">
        <f>IF(ISNUMBER(MATCH(Tabla58[[#This Row],[Cod trabalhador]],'Altas Wiseowe'!B:B, 0)), "Ativo", "Não ativo")</f>
        <v>Ativo</v>
      </c>
      <c r="D31" s="44" t="str">
        <f>IFERROR(IF(VLOOKUP(Tabla58[[#This Row],[Cod trabalhador]],'Altas Industrial'!B:E,1,0)&lt;&gt;"","KI",""),"")</f>
        <v/>
      </c>
      <c r="E31" s="44" t="str">
        <f>IFERROR(IF(VLOOKUP(Tabla58[[#This Row],[Cod trabalhador]],'Altas Rosas'!B:F,1,0)&lt;&gt;"","KR",""),"")</f>
        <v/>
      </c>
      <c r="F31" s="44" t="str">
        <f>IFERROR(IF(VLOOKUP(Tabla58[[#This Row],[Cod trabalhador]],'Altas Wiseowe'!B:E,1,0)&lt;&gt;"","WS",""),"")</f>
        <v>WS</v>
      </c>
      <c r="G31" s="101" t="str">
        <f>IFERROR(IF(VLOOKUP(Tabla58[[#This Row],[Cod trabalhador]],'Altas Luminous'!B:E,1,0)&lt;&gt;"","LM",""),"")</f>
        <v/>
      </c>
      <c r="H31" s="51">
        <f>IFERROR(VLOOKUP(Tabla58[[#This Row],[Cod trabalhador]],'Altas Wiseowe'!B:E,3,FALSE),"")</f>
        <v>45939</v>
      </c>
      <c r="I31" s="51" t="str">
        <f>IF(OR(Tabla58[[#This Row],[Cod trabalhador]]="",ISBLANK(Tabla58[[#This Row],[Cod trabalhador]])),"",IFERROR(IF(VLOOKUP(Tabla58[[#This Row],[Cod trabalhador]],'Altas Wiseowe'!B:E,4,FALSE)=0,"",VLOOKUP(Tabla58[[#This Row],[Cod trabalhador]],'Altas Wiseowe'!B:E,4,FALSE)),""))</f>
        <v/>
      </c>
      <c r="J31" s="44">
        <f t="shared" si="0"/>
        <v>31</v>
      </c>
      <c r="K31" s="376" t="s">
        <v>5618</v>
      </c>
      <c r="L31" s="342" t="str">
        <f>IFERROR(IF(Tabla58[[#This Row],[Cod trabalhador]]="",Tabla58[[#This Row],[Cod trabalhador]], INDEX(Colaborador_ID[Nombre], MATCH(Tabla58[[#This Row],[Cod trabalhador]],Colaborador_ID[Cod_colab], 0))), "")</f>
        <v>OSCAR ASTORGA MUÑOZ</v>
      </c>
      <c r="M31" s="340"/>
      <c r="N31" s="405" t="s">
        <v>7244</v>
      </c>
      <c r="O31" s="26">
        <f>IFERROR(VLOOKUP(Tabla58[[#This Row],[Cod trabalhador]],Tabla15[],4,FALSE),"")</f>
        <v>15</v>
      </c>
      <c r="P31" s="92">
        <f>IFERROR(VLOOKUP(Tabla58[[#This Row],[Cod trabalhador]],'TotalHorasAjustadas (2)'!D:L,8,FALSE),"")</f>
        <v>187.5</v>
      </c>
      <c r="Q31" s="27">
        <v>187.5</v>
      </c>
      <c r="R31" s="28" t="s">
        <v>7471</v>
      </c>
      <c r="S31" s="28"/>
      <c r="U31" s="25"/>
      <c r="V31" s="220"/>
      <c r="W31" s="27"/>
      <c r="X31" s="28"/>
      <c r="Y31" s="28"/>
      <c r="Z31" s="149"/>
      <c r="AA31" s="392">
        <f>IFERROR(VLOOKUP(Tabla58[[#This Row],[Cod trabalhador]],Alojamentos!B:P,11,FALSE),"")</f>
        <v>300</v>
      </c>
      <c r="AB31" s="127"/>
      <c r="AC31" s="150"/>
      <c r="AD31" s="35">
        <f>Tabla58[[#This Row],[Dias de alta]]*7.058</f>
        <v>218.798</v>
      </c>
      <c r="AE31" s="46" t="str">
        <f>IFERROR(VLOOKUP(Tabla58[[#This Row],[Cod trabalhador]],Adiantamentos!B:L,7,FALSE),"")</f>
        <v/>
      </c>
      <c r="AF31" s="46" t="str">
        <f>IFERROR(VLOOKUP(Tabla58[[#This Row],[Cod trabalhador]],Carro!B:D,3,FALSE),"")</f>
        <v/>
      </c>
      <c r="AG31" s="46" t="str">
        <f>IFERROR(VLOOKUP(Tabla58[[#This Row],[Cod trabalhador]],'Outros descontos'!B:O,7,FALSE),"")</f>
        <v/>
      </c>
      <c r="AH31" s="46" t="str">
        <f>IFERROR(VLOOKUP(Tabla58[[#This Row],[Cod trabalhador]],'Outros descontos'!B:M,8,FALSE),"")</f>
        <v/>
      </c>
      <c r="AI31" s="46" t="str">
        <f>IFERROR(VLOOKUP(Tabla58[[#This Row],[Cod trabalhador]],'Outros descontos'!B:M,9,FALSE),"")</f>
        <v/>
      </c>
      <c r="AJ31" s="46" t="str">
        <f>IFERROR(VLOOKUP(Tabla58[[#This Row],[Cod trabalhador]],'Outros descontos'!B:M,10,FALSE),"")</f>
        <v/>
      </c>
      <c r="AK31" s="46" t="str">
        <f>IFERROR(VLOOKUP(Tabla58[[#This Row],[Cod trabalhador]],'Outros descontos'!B:M,11,FALSE),"")</f>
        <v/>
      </c>
      <c r="AL31" s="46" t="str">
        <f>IFERROR(VLOOKUP(Tabla58[[#This Row],[Cod trabalhador]],'Outros descontos'!B:R,12,FALSE),"")</f>
        <v/>
      </c>
      <c r="AM31" s="46" t="str">
        <f>IFERROR(VLOOKUP(Tabla58[[#This Row],[Cod trabalhador]],'Outros descontos'!B:M,13,FALSE),"")</f>
        <v/>
      </c>
      <c r="AN31" s="41"/>
      <c r="AO31" s="37">
        <v>4.08</v>
      </c>
      <c r="AP31" s="15"/>
      <c r="AQ31"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2889.6220000000003</v>
      </c>
      <c r="AR31"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2889.6220000000003</v>
      </c>
      <c r="AS31" s="15"/>
      <c r="AT31" s="27" t="str">
        <f>IF(Tabla58[[#This Row],[Cod trabalhador]]="", "", INDEX(Iban!C:C, MATCH(Tabla58[[#This Row],[Cod trabalhador]],Iban!A:A, 0)))</f>
        <v>ES54 0182 6786 0202 0155 7553</v>
      </c>
      <c r="AU31" s="27"/>
      <c r="AV31" s="97"/>
      <c r="AW31" s="66" t="s">
        <v>7540</v>
      </c>
      <c r="AX31" s="296" t="s">
        <v>7472</v>
      </c>
    </row>
    <row r="32" spans="1:50" ht="16.5" hidden="1" customHeight="1" x14ac:dyDescent="0.3">
      <c r="A32" s="43"/>
      <c r="B32" s="39" t="s">
        <v>5632</v>
      </c>
      <c r="C32" s="45" t="str">
        <f>IF(ISNUMBER(MATCH(Tabla58[[#This Row],[Cod trabalhador]],'Altas Wiseowe'!B:B, 0)), "Ativo", "Não ativo")</f>
        <v>Ativo</v>
      </c>
      <c r="D32" s="44" t="str">
        <f>IFERROR(IF(VLOOKUP(Tabla58[[#This Row],[Cod trabalhador]],'Altas Industrial'!B:E,1,0)&lt;&gt;"","KI",""),"")</f>
        <v/>
      </c>
      <c r="E32" s="44" t="str">
        <f>IFERROR(IF(VLOOKUP(Tabla58[[#This Row],[Cod trabalhador]],'Altas Rosas'!B:F,1,0)&lt;&gt;"","KR",""),"")</f>
        <v/>
      </c>
      <c r="F32" s="44" t="str">
        <f>IFERROR(IF(VLOOKUP(Tabla58[[#This Row],[Cod trabalhador]],'Altas Wiseowe'!B:E,1,0)&lt;&gt;"","WS",""),"")</f>
        <v>WS</v>
      </c>
      <c r="G32" s="101" t="str">
        <f>IFERROR(IF(VLOOKUP(Tabla58[[#This Row],[Cod trabalhador]],'Altas Luminous'!B:E,1,0)&lt;&gt;"","LM",""),"")</f>
        <v/>
      </c>
      <c r="H32" s="51">
        <f>IFERROR(VLOOKUP(Tabla58[[#This Row],[Cod trabalhador]],'Altas Wiseowe'!B:E,3,FALSE),"")</f>
        <v>45931</v>
      </c>
      <c r="I32" s="51" t="str">
        <f>IF(OR(Tabla58[[#This Row],[Cod trabalhador]]="",ISBLANK(Tabla58[[#This Row],[Cod trabalhador]])),"",IFERROR(IF(VLOOKUP(Tabla58[[#This Row],[Cod trabalhador]],'Altas Wiseowe'!B:E,4,FALSE)=0,"",VLOOKUP(Tabla58[[#This Row],[Cod trabalhador]],'Altas Wiseowe'!B:E,4,FALSE)),""))</f>
        <v/>
      </c>
      <c r="J32" s="44">
        <f t="shared" si="0"/>
        <v>31</v>
      </c>
      <c r="K32" s="376" t="s">
        <v>7264</v>
      </c>
      <c r="L32" s="342" t="str">
        <f>IFERROR(IF(Tabla58[[#This Row],[Cod trabalhador]]="",Tabla58[[#This Row],[Cod trabalhador]], INDEX(Colaborador_ID[Nombre], MATCH(Tabla58[[#This Row],[Cod trabalhador]],Colaborador_ID[Cod_colab], 0))), "")</f>
        <v>OSCAR EDUARDO ORTEGA LOPEZ</v>
      </c>
      <c r="N32" s="405" t="s">
        <v>7244</v>
      </c>
      <c r="O32" s="26">
        <f>IFERROR(VLOOKUP(Tabla58[[#This Row],[Cod trabalhador]],Tabla15[],4,FALSE),"")</f>
        <v>15</v>
      </c>
      <c r="P32" s="92">
        <f>IFERROR(VLOOKUP(Tabla58[[#This Row],[Cod trabalhador]],'TotalHorasAjustadas (2)'!D:L,8,FALSE),"")</f>
        <v>170</v>
      </c>
      <c r="Q32" s="27">
        <v>170.5</v>
      </c>
      <c r="R32" s="28" t="s">
        <v>7471</v>
      </c>
      <c r="S32" s="28"/>
      <c r="U32" s="25"/>
      <c r="V32" s="220"/>
      <c r="W32" s="27"/>
      <c r="X32" s="28"/>
      <c r="Y32" s="28"/>
      <c r="Z32" s="149"/>
      <c r="AA32" s="392" t="str">
        <f>IFERROR(VLOOKUP(Tabla58[[#This Row],[Cod trabalhador]],Alojamentos!B:P,11,FALSE),"")</f>
        <v/>
      </c>
      <c r="AB32" s="127"/>
      <c r="AC32" s="150"/>
      <c r="AD32" s="35">
        <f>Tabla58[[#This Row],[Dias de alta]]*7.058</f>
        <v>218.798</v>
      </c>
      <c r="AE32" s="46">
        <f>IFERROR(VLOOKUP(Tabla58[[#This Row],[Cod trabalhador]],Adiantamentos!B:L,7,FALSE),"")</f>
        <v>200</v>
      </c>
      <c r="AF32" s="46" t="str">
        <f>IFERROR(VLOOKUP(Tabla58[[#This Row],[Cod trabalhador]],Carro!B:D,3,FALSE),"")</f>
        <v/>
      </c>
      <c r="AG32" s="46" t="str">
        <f>IFERROR(VLOOKUP(Tabla58[[#This Row],[Cod trabalhador]],'Outros descontos'!B:O,7,FALSE),"")</f>
        <v/>
      </c>
      <c r="AH32" s="46" t="str">
        <f>IFERROR(VLOOKUP(Tabla58[[#This Row],[Cod trabalhador]],'Outros descontos'!B:M,8,FALSE),"")</f>
        <v/>
      </c>
      <c r="AI32" s="46" t="str">
        <f>IFERROR(VLOOKUP(Tabla58[[#This Row],[Cod trabalhador]],'Outros descontos'!B:M,9,FALSE),"")</f>
        <v/>
      </c>
      <c r="AJ32" s="46" t="str">
        <f>IFERROR(VLOOKUP(Tabla58[[#This Row],[Cod trabalhador]],'Outros descontos'!B:M,10,FALSE),"")</f>
        <v/>
      </c>
      <c r="AK32" s="46" t="str">
        <f>IFERROR(VLOOKUP(Tabla58[[#This Row],[Cod trabalhador]],'Outros descontos'!B:M,11,FALSE),"")</f>
        <v/>
      </c>
      <c r="AL32" s="46" t="str">
        <f>IFERROR(VLOOKUP(Tabla58[[#This Row],[Cod trabalhador]],'Outros descontos'!B:R,12,FALSE),"")</f>
        <v/>
      </c>
      <c r="AM32" s="46" t="str">
        <f>IFERROR(VLOOKUP(Tabla58[[#This Row],[Cod trabalhador]],'Outros descontos'!B:M,13,FALSE),"")</f>
        <v/>
      </c>
      <c r="AN32" s="41"/>
      <c r="AO32" s="37">
        <v>4.08</v>
      </c>
      <c r="AP32" s="15"/>
      <c r="AQ32"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2127.1220000000003</v>
      </c>
      <c r="AR32"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2134.6220000000003</v>
      </c>
      <c r="AS32" s="15"/>
      <c r="AT32" s="27" t="str">
        <f>IF(Tabla58[[#This Row],[Cod trabalhador]]="", "", INDEX(Iban!C:C, MATCH(Tabla58[[#This Row],[Cod trabalhador]],Iban!A:A, 0)))</f>
        <v>BE57 9678 3485 6835</v>
      </c>
      <c r="AU32" s="27"/>
      <c r="AV32" s="27"/>
      <c r="AW32" s="66" t="s">
        <v>7540</v>
      </c>
      <c r="AX32" s="296" t="s">
        <v>7472</v>
      </c>
    </row>
    <row r="33" spans="1:50" ht="16.5" hidden="1" customHeight="1" x14ac:dyDescent="0.3">
      <c r="A33" s="43"/>
      <c r="B33" s="39" t="s">
        <v>5646</v>
      </c>
      <c r="C33" s="45" t="str">
        <f>IF(ISNUMBER(MATCH(Tabla58[[#This Row],[Cod trabalhador]],'Altas Wiseowe'!B:B, 0)), "Ativo", "Não ativo")</f>
        <v>Não ativo</v>
      </c>
      <c r="D33" s="44" t="str">
        <f>IFERROR(IF(VLOOKUP(Tabla58[[#This Row],[Cod trabalhador]],'Altas Industrial'!B:E,1,0)&lt;&gt;"","KI",""),"")</f>
        <v/>
      </c>
      <c r="E33" s="44" t="str">
        <f>IFERROR(IF(VLOOKUP(Tabla58[[#This Row],[Cod trabalhador]],'Altas Rosas'!B:F,1,0)&lt;&gt;"","KR",""),"")</f>
        <v/>
      </c>
      <c r="F33" s="44" t="str">
        <f>IFERROR(IF(VLOOKUP(Tabla58[[#This Row],[Cod trabalhador]],'Altas Wiseowe'!B:E,1,0)&lt;&gt;"","WS",""),"")</f>
        <v/>
      </c>
      <c r="G33" s="101" t="str">
        <f>IFERROR(IF(VLOOKUP(Tabla58[[#This Row],[Cod trabalhador]],'Altas Luminous'!B:E,1,0)&lt;&gt;"","LM",""),"")</f>
        <v/>
      </c>
      <c r="H33" s="51" t="str">
        <f>IFERROR(VLOOKUP(Tabla58[[#This Row],[Cod trabalhador]],'Altas Wiseowe'!B:E,3,FALSE),"")</f>
        <v/>
      </c>
      <c r="I33" s="51" t="str">
        <f>IF(OR(Tabla58[[#This Row],[Cod trabalhador]]="",ISBLANK(Tabla58[[#This Row],[Cod trabalhador]])),"",IFERROR(IF(VLOOKUP(Tabla58[[#This Row],[Cod trabalhador]],'Altas Wiseowe'!B:E,4,FALSE)=0,"",VLOOKUP(Tabla58[[#This Row],[Cod trabalhador]],'Altas Wiseowe'!B:E,4,FALSE)),""))</f>
        <v/>
      </c>
      <c r="J33" s="44">
        <f t="shared" si="0"/>
        <v>0</v>
      </c>
      <c r="K33" s="376" t="s">
        <v>5647</v>
      </c>
      <c r="L33" s="342" t="str">
        <f>IFERROR(IF(Tabla58[[#This Row],[Cod trabalhador]]="",Tabla58[[#This Row],[Cod trabalhador]], INDEX(Colaborador_ID[Nombre], MATCH(Tabla58[[#This Row],[Cod trabalhador]],Colaborador_ID[Cod_colab], 0))), "")</f>
        <v>OSCAR GIOVANNI DIAZ MARTINEZ</v>
      </c>
      <c r="N33" s="405" t="s">
        <v>7244</v>
      </c>
      <c r="O33" s="26">
        <f>IFERROR(VLOOKUP(Tabla58[[#This Row],[Cod trabalhador]],Tabla15[],4,FALSE),"")</f>
        <v>15</v>
      </c>
      <c r="P33" s="92">
        <f>IFERROR(VLOOKUP(Tabla58[[#This Row],[Cod trabalhador]],'TotalHorasAjustadas (2)'!D:L,8,FALSE),"")</f>
        <v>165.5</v>
      </c>
      <c r="Q33" s="27">
        <v>165.5</v>
      </c>
      <c r="R33" s="28" t="s">
        <v>7471</v>
      </c>
      <c r="S33" s="28"/>
      <c r="U33" s="25"/>
      <c r="V33" s="220"/>
      <c r="W33" s="27"/>
      <c r="X33" s="28"/>
      <c r="Y33" s="28"/>
      <c r="Z33" s="149"/>
      <c r="AA33" s="392" t="str">
        <f>IFERROR(VLOOKUP(Tabla58[[#This Row],[Cod trabalhador]],Alojamentos!B:P,11,FALSE),"")</f>
        <v/>
      </c>
      <c r="AB33" s="127"/>
      <c r="AC33" s="150"/>
      <c r="AD33" s="35">
        <f>Tabla58[[#This Row],[Dias de alta]]*7.058</f>
        <v>0</v>
      </c>
      <c r="AE33" s="46" t="str">
        <f>IFERROR(VLOOKUP(Tabla58[[#This Row],[Cod trabalhador]],Adiantamentos!B:L,7,FALSE),"")</f>
        <v/>
      </c>
      <c r="AF33" s="46" t="str">
        <f>IFERROR(VLOOKUP(Tabla58[[#This Row],[Cod trabalhador]],Carro!B:D,3,FALSE),"")</f>
        <v/>
      </c>
      <c r="AG33" s="46">
        <f>IFERROR(VLOOKUP(Tabla58[[#This Row],[Cod trabalhador]],'Outros descontos'!B:O,7,FALSE),"")</f>
        <v>0</v>
      </c>
      <c r="AH33" s="46">
        <f>IFERROR(VLOOKUP(Tabla58[[#This Row],[Cod trabalhador]],'Outros descontos'!B:M,8,FALSE),"")</f>
        <v>0</v>
      </c>
      <c r="AI33" s="46">
        <f>IFERROR(VLOOKUP(Tabla58[[#This Row],[Cod trabalhador]],'Outros descontos'!B:M,9,FALSE),"")</f>
        <v>0</v>
      </c>
      <c r="AJ33" s="46">
        <f>IFERROR(VLOOKUP(Tabla58[[#This Row],[Cod trabalhador]],'Outros descontos'!B:M,10,FALSE),"")</f>
        <v>69.97</v>
      </c>
      <c r="AK33" s="46">
        <f>IFERROR(VLOOKUP(Tabla58[[#This Row],[Cod trabalhador]],'Outros descontos'!B:M,11,FALSE),"")</f>
        <v>0</v>
      </c>
      <c r="AL33" s="46">
        <f>IFERROR(VLOOKUP(Tabla58[[#This Row],[Cod trabalhador]],'Outros descontos'!B:R,12,FALSE),"")</f>
        <v>0</v>
      </c>
      <c r="AM33" s="46" t="str">
        <f>IFERROR(VLOOKUP(Tabla58[[#This Row],[Cod trabalhador]],'Outros descontos'!B:M,13,FALSE),"")</f>
        <v/>
      </c>
      <c r="AN33" s="41"/>
      <c r="AO33" s="37">
        <v>4.08</v>
      </c>
      <c r="AP33" s="15"/>
      <c r="AQ33"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2408.4500000000003</v>
      </c>
      <c r="AR33"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2408.4500000000003</v>
      </c>
      <c r="AS33" s="15"/>
      <c r="AT33" s="27" t="str">
        <f>IF(Tabla58[[#This Row],[Cod trabalhador]]="", "", INDEX(Iban!C:C, MATCH(Tabla58[[#This Row],[Cod trabalhador]],Iban!A:A, 0)))</f>
        <v>ES51 0182 6786 0602 0155 7799</v>
      </c>
      <c r="AU33" s="27"/>
      <c r="AV33" s="27"/>
      <c r="AW33" s="66" t="s">
        <v>7533</v>
      </c>
      <c r="AX33" s="296" t="s">
        <v>7472</v>
      </c>
    </row>
    <row r="34" spans="1:50" ht="16.5" hidden="1" customHeight="1" x14ac:dyDescent="0.3">
      <c r="A34" s="43"/>
      <c r="B34" s="39" t="s">
        <v>6065</v>
      </c>
      <c r="C34" s="45" t="str">
        <f>IF(ISNUMBER(MATCH(Tabla58[[#This Row],[Cod trabalhador]],'Altas Wiseowe'!B:B, 0)), "Ativo", "Não ativo")</f>
        <v>Não ativo</v>
      </c>
      <c r="D34" s="44" t="str">
        <f>IFERROR(IF(VLOOKUP(Tabla58[[#This Row],[Cod trabalhador]],'Altas Industrial'!B:E,1,0)&lt;&gt;"","KI",""),"")</f>
        <v/>
      </c>
      <c r="E34" s="44" t="str">
        <f>IFERROR(IF(VLOOKUP(Tabla58[[#This Row],[Cod trabalhador]],'Altas Rosas'!B:F,1,0)&lt;&gt;"","KR",""),"")</f>
        <v/>
      </c>
      <c r="F34" s="44" t="str">
        <f>IFERROR(IF(VLOOKUP(Tabla58[[#This Row],[Cod trabalhador]],'Altas Wiseowe'!B:E,1,0)&lt;&gt;"","WS",""),"")</f>
        <v/>
      </c>
      <c r="G34" s="101" t="str">
        <f>IFERROR(IF(VLOOKUP(Tabla58[[#This Row],[Cod trabalhador]],'Altas Luminous'!B:E,1,0)&lt;&gt;"","LM",""),"")</f>
        <v/>
      </c>
      <c r="H34" s="51" t="str">
        <f>IFERROR(VLOOKUP(Tabla58[[#This Row],[Cod trabalhador]],'Altas Wiseowe'!B:E,3,FALSE),"")</f>
        <v/>
      </c>
      <c r="I34" s="51" t="str">
        <f>IF(OR(Tabla58[[#This Row],[Cod trabalhador]]="",ISBLANK(Tabla58[[#This Row],[Cod trabalhador]])),"",IFERROR(IF(VLOOKUP(Tabla58[[#This Row],[Cod trabalhador]],'Altas Wiseowe'!B:E,4,FALSE)=0,"",VLOOKUP(Tabla58[[#This Row],[Cod trabalhador]],'Altas Wiseowe'!B:E,4,FALSE)),""))</f>
        <v/>
      </c>
      <c r="J34" s="44">
        <f t="shared" si="0"/>
        <v>0</v>
      </c>
      <c r="K34" s="376" t="s">
        <v>7266</v>
      </c>
      <c r="L34" s="342" t="str">
        <f>IFERROR(IF(Tabla58[[#This Row],[Cod trabalhador]]="",Tabla58[[#This Row],[Cod trabalhador]], INDEX(Colaborador_ID[Nombre], MATCH(Tabla58[[#This Row],[Cod trabalhador]],Colaborador_ID[Cod_colab], 0))), "")</f>
        <v>ROBINSON DABIAN TABORDA ESCAMILLA</v>
      </c>
      <c r="N34" s="405" t="s">
        <v>7244</v>
      </c>
      <c r="O34" s="26">
        <f>IFERROR(VLOOKUP(Tabla58[[#This Row],[Cod trabalhador]],Tabla15[],4,FALSE),"")</f>
        <v>15</v>
      </c>
      <c r="P34" s="92">
        <f>IFERROR(VLOOKUP(Tabla58[[#This Row],[Cod trabalhador]],'TotalHorasAjustadas (2)'!D:L,8,FALSE),"")</f>
        <v>108.5</v>
      </c>
      <c r="Q34" s="27">
        <v>107.5</v>
      </c>
      <c r="R34" s="28" t="s">
        <v>7471</v>
      </c>
      <c r="S34" s="28"/>
      <c r="U34" s="25"/>
      <c r="V34" s="220"/>
      <c r="W34" s="27"/>
      <c r="X34" s="28"/>
      <c r="Y34" s="28"/>
      <c r="Z34" s="149"/>
      <c r="AA34" s="392" t="str">
        <f>IFERROR(VLOOKUP(Tabla58[[#This Row],[Cod trabalhador]],Alojamentos!B:P,11,FALSE),"")</f>
        <v/>
      </c>
      <c r="AB34" s="127"/>
      <c r="AC34" s="150"/>
      <c r="AD34" s="35">
        <f>Tabla58[[#This Row],[Dias de alta]]*7.058</f>
        <v>0</v>
      </c>
      <c r="AE34" s="46" t="str">
        <f>IFERROR(VLOOKUP(Tabla58[[#This Row],[Cod trabalhador]],Adiantamentos!B:L,7,FALSE),"")</f>
        <v/>
      </c>
      <c r="AF34" s="46">
        <f>IFERROR(VLOOKUP(Tabla58[[#This Row],[Cod trabalhador]],Carro!B:D,3,FALSE),"")</f>
        <v>80</v>
      </c>
      <c r="AG34" s="46" t="str">
        <f>IFERROR(VLOOKUP(Tabla58[[#This Row],[Cod trabalhador]],'Outros descontos'!B:O,7,FALSE),"")</f>
        <v/>
      </c>
      <c r="AH34" s="46" t="str">
        <f>IFERROR(VLOOKUP(Tabla58[[#This Row],[Cod trabalhador]],'Outros descontos'!B:M,8,FALSE),"")</f>
        <v/>
      </c>
      <c r="AI34" s="46" t="str">
        <f>IFERROR(VLOOKUP(Tabla58[[#This Row],[Cod trabalhador]],'Outros descontos'!B:M,9,FALSE),"")</f>
        <v/>
      </c>
      <c r="AJ34" s="46" t="str">
        <f>IFERROR(VLOOKUP(Tabla58[[#This Row],[Cod trabalhador]],'Outros descontos'!B:M,10,FALSE),"")</f>
        <v/>
      </c>
      <c r="AK34" s="46" t="str">
        <f>IFERROR(VLOOKUP(Tabla58[[#This Row],[Cod trabalhador]],'Outros descontos'!B:M,11,FALSE),"")</f>
        <v/>
      </c>
      <c r="AL34" s="46" t="str">
        <f>IFERROR(VLOOKUP(Tabla58[[#This Row],[Cod trabalhador]],'Outros descontos'!B:R,12,FALSE),"")</f>
        <v/>
      </c>
      <c r="AM34" s="46" t="str">
        <f>IFERROR(VLOOKUP(Tabla58[[#This Row],[Cod trabalhador]],'Outros descontos'!B:M,13,FALSE),"")</f>
        <v/>
      </c>
      <c r="AN34" s="41"/>
      <c r="AO34" s="37">
        <v>4.08</v>
      </c>
      <c r="AP34" s="15"/>
      <c r="AQ34"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1543.42</v>
      </c>
      <c r="AR34"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1528.42</v>
      </c>
      <c r="AS34" s="15"/>
      <c r="AT34" s="27" t="str">
        <f>IF(Tabla58[[#This Row],[Cod trabalhador]]="", "", INDEX(Iban!C:C, MATCH(Tabla58[[#This Row],[Cod trabalhador]],Iban!A:A, 0)))</f>
        <v>ES57 2100 4247 1122 0031 4112</v>
      </c>
      <c r="AU34" s="27"/>
      <c r="AV34" s="27"/>
      <c r="AW34" s="66" t="s">
        <v>7533</v>
      </c>
      <c r="AX34" s="296" t="s">
        <v>7472</v>
      </c>
    </row>
    <row r="35" spans="1:50" ht="16.5" hidden="1" customHeight="1" x14ac:dyDescent="0.3">
      <c r="A35" s="43"/>
      <c r="B35" s="100" t="s">
        <v>6463</v>
      </c>
      <c r="C35" s="45" t="str">
        <f>IF(ISNUMBER(MATCH(Tabla58[[#This Row],[Cod trabalhador]],'Altas Wiseowe'!B:B, 0)), "Ativo", "Não ativo")</f>
        <v>Não ativo</v>
      </c>
      <c r="D35" s="44" t="str">
        <f>IFERROR(IF(VLOOKUP(Tabla58[[#This Row],[Cod trabalhador]],'Altas Industrial'!B:E,1,0)&lt;&gt;"","KI",""),"")</f>
        <v/>
      </c>
      <c r="E35" s="44" t="str">
        <f>IFERROR(IF(VLOOKUP(Tabla58[[#This Row],[Cod trabalhador]],'Altas Rosas'!B:F,1,0)&lt;&gt;"","KR",""),"")</f>
        <v/>
      </c>
      <c r="F35" s="44" t="str">
        <f>IFERROR(IF(VLOOKUP(Tabla58[[#This Row],[Cod trabalhador]],'Altas Wiseowe'!B:E,1,0)&lt;&gt;"","WS",""),"")</f>
        <v/>
      </c>
      <c r="G35" s="101" t="str">
        <f>IFERROR(IF(VLOOKUP(Tabla58[[#This Row],[Cod trabalhador]],'Altas Luminous'!B:E,1,0)&lt;&gt;"","LM",""),"")</f>
        <v/>
      </c>
      <c r="H35" s="51" t="str">
        <f>IFERROR(VLOOKUP(Tabla58[[#This Row],[Cod trabalhador]],'Altas Wiseowe'!B:E,3,FALSE),"")</f>
        <v/>
      </c>
      <c r="I35" s="51" t="str">
        <f>IF(OR(Tabla58[[#This Row],[Cod trabalhador]]="",ISBLANK(Tabla58[[#This Row],[Cod trabalhador]])),"",IFERROR(IF(VLOOKUP(Tabla58[[#This Row],[Cod trabalhador]],'Altas Wiseowe'!B:E,4,FALSE)=0,"",VLOOKUP(Tabla58[[#This Row],[Cod trabalhador]],'Altas Wiseowe'!B:E,4,FALSE)),""))</f>
        <v/>
      </c>
      <c r="J35" s="44">
        <f t="shared" si="0"/>
        <v>0</v>
      </c>
      <c r="K35" s="376" t="s">
        <v>7265</v>
      </c>
      <c r="L35" s="342" t="str">
        <f>IFERROR(IF(Tabla58[[#This Row],[Cod trabalhador]]="",Tabla58[[#This Row],[Cod trabalhador]], INDEX(Colaborador_ID[Nombre], MATCH(Tabla58[[#This Row],[Cod trabalhador]],Colaborador_ID[Cod_colab], 0))), "")</f>
        <v>VICTOR AUGUSTO RAMIREZ GRANDA</v>
      </c>
      <c r="N35" s="406" t="s">
        <v>7244</v>
      </c>
      <c r="O35" s="26">
        <f>IFERROR(VLOOKUP(Tabla58[[#This Row],[Cod trabalhador]],Tabla15[],4,FALSE),"")</f>
        <v>15</v>
      </c>
      <c r="P35" s="331">
        <f>IFERROR(VLOOKUP(Tabla58[[#This Row],[Cod trabalhador]],'TotalHorasAjustadas (2)'!D:L,8,FALSE),"")</f>
        <v>194</v>
      </c>
      <c r="Q35" s="97">
        <v>194.5</v>
      </c>
      <c r="R35" s="28" t="s">
        <v>7471</v>
      </c>
      <c r="S35" s="98"/>
      <c r="U35" s="25"/>
      <c r="V35" s="220"/>
      <c r="W35" s="27"/>
      <c r="X35" s="28"/>
      <c r="Y35" s="28"/>
      <c r="Z35" s="149"/>
      <c r="AA35" s="392" t="str">
        <f>IFERROR(VLOOKUP(Tabla58[[#This Row],[Cod trabalhador]],Alojamentos!B:P,11,FALSE),"")</f>
        <v/>
      </c>
      <c r="AB35" s="127"/>
      <c r="AC35" s="150"/>
      <c r="AD35" s="35">
        <f>Tabla58[[#This Row],[Dias de alta]]*7.058</f>
        <v>0</v>
      </c>
      <c r="AE35" s="46" t="str">
        <f>IFERROR(VLOOKUP(Tabla58[[#This Row],[Cod trabalhador]],Adiantamentos!B:L,7,FALSE),"")</f>
        <v/>
      </c>
      <c r="AF35" s="46" t="str">
        <f>IFERROR(VLOOKUP(Tabla58[[#This Row],[Cod trabalhador]],Carro!B:D,3,FALSE),"")</f>
        <v/>
      </c>
      <c r="AG35" s="46">
        <f>IFERROR(VLOOKUP(Tabla58[[#This Row],[Cod trabalhador]],'Outros descontos'!B:O,7,FALSE),"")</f>
        <v>0</v>
      </c>
      <c r="AH35" s="46">
        <f>IFERROR(VLOOKUP(Tabla58[[#This Row],[Cod trabalhador]],'Outros descontos'!B:M,8,FALSE),"")</f>
        <v>0</v>
      </c>
      <c r="AI35" s="46">
        <f>IFERROR(VLOOKUP(Tabla58[[#This Row],[Cod trabalhador]],'Outros descontos'!B:M,9,FALSE),"")</f>
        <v>0</v>
      </c>
      <c r="AJ35" s="46">
        <f>IFERROR(VLOOKUP(Tabla58[[#This Row],[Cod trabalhador]],'Outros descontos'!B:M,10,FALSE),"")</f>
        <v>6.19</v>
      </c>
      <c r="AK35" s="46">
        <f>IFERROR(VLOOKUP(Tabla58[[#This Row],[Cod trabalhador]],'Outros descontos'!B:M,11,FALSE),"")</f>
        <v>0</v>
      </c>
      <c r="AL35" s="46">
        <f>IFERROR(VLOOKUP(Tabla58[[#This Row],[Cod trabalhador]],'Outros descontos'!B:R,12,FALSE),"")</f>
        <v>0</v>
      </c>
      <c r="AM35" s="46" t="str">
        <f>IFERROR(VLOOKUP(Tabla58[[#This Row],[Cod trabalhador]],'Outros descontos'!B:M,13,FALSE),"")</f>
        <v/>
      </c>
      <c r="AN35" s="41"/>
      <c r="AO35" s="37">
        <v>4.08</v>
      </c>
      <c r="AP35" s="15"/>
      <c r="AQ35"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2899.73</v>
      </c>
      <c r="AR35"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2907.23</v>
      </c>
      <c r="AS35" s="15"/>
      <c r="AT35" s="27" t="str">
        <f>IF(Tabla58[[#This Row],[Cod trabalhador]]="", "", INDEX(Iban!C:C, MATCH(Tabla58[[#This Row],[Cod trabalhador]],Iban!A:A, 0)))</f>
        <v>ES05 6893 0001 7800 0026 4474</v>
      </c>
      <c r="AU35" s="97"/>
      <c r="AV35" s="97"/>
      <c r="AW35" s="66" t="s">
        <v>7533</v>
      </c>
      <c r="AX35" s="296" t="s">
        <v>7472</v>
      </c>
    </row>
    <row r="36" spans="1:50" ht="16.5" hidden="1" customHeight="1" x14ac:dyDescent="0.3">
      <c r="A36" s="43"/>
      <c r="B36" s="332" t="s">
        <v>6853</v>
      </c>
      <c r="C36" s="45" t="str">
        <f>IF(ISNUMBER(MATCH(Tabla58[[#This Row],[Cod trabalhador]],'Altas Wiseowe'!B:B, 0)), "Ativo", "Não ativo")</f>
        <v>Não ativo</v>
      </c>
      <c r="D36" s="44" t="str">
        <f>IFERROR(IF(VLOOKUP(Tabla58[[#This Row],[Cod trabalhador]],'Altas Industrial'!B:E,1,0)&lt;&gt;"","KI",""),"")</f>
        <v/>
      </c>
      <c r="E36" s="44" t="str">
        <f>IFERROR(IF(VLOOKUP(Tabla58[[#This Row],[Cod trabalhador]],'Altas Rosas'!B:F,1,0)&lt;&gt;"","KR",""),"")</f>
        <v/>
      </c>
      <c r="F36" s="44" t="str">
        <f>IFERROR(IF(VLOOKUP(Tabla58[[#This Row],[Cod trabalhador]],'Altas Wiseowe'!B:E,1,0)&lt;&gt;"","WS",""),"")</f>
        <v/>
      </c>
      <c r="G36" s="101" t="str">
        <f>IFERROR(IF(VLOOKUP(Tabla58[[#This Row],[Cod trabalhador]],'Altas Luminous'!B:E,1,0)&lt;&gt;"","LM",""),"")</f>
        <v/>
      </c>
      <c r="H36" s="51" t="str">
        <f>IFERROR(VLOOKUP(Tabla58[[#This Row],[Cod trabalhador]],'Altas Wiseowe'!B:E,3,FALSE),"")</f>
        <v/>
      </c>
      <c r="I36" s="51" t="str">
        <f>IF(OR(Tabla58[[#This Row],[Cod trabalhador]]="",ISBLANK(Tabla58[[#This Row],[Cod trabalhador]])),"",IFERROR(IF(VLOOKUP(Tabla58[[#This Row],[Cod trabalhador]],'Altas Wiseowe'!B:E,4,FALSE)=0,"",VLOOKUP(Tabla58[[#This Row],[Cod trabalhador]],'Altas Wiseowe'!B:E,4,FALSE)),""))</f>
        <v/>
      </c>
      <c r="J36" s="44">
        <f t="shared" ref="J36:J67" si="1">IF(C36="ativo",    IF(ISBLANK(H36),"",MAX(0,MIN(IF(ISBLANK(I36),EOMONTH(DATE(2026,1,1),0),I36),EOMONTH(DATE(2026,1,1),0)) - MAX(H36,DATE(2026,1,1))))+1,
    0
)</f>
        <v>0</v>
      </c>
      <c r="K36" s="376" t="s">
        <v>6854</v>
      </c>
      <c r="L36" s="342" t="str">
        <f>IFERROR(IF(Tabla58[[#This Row],[Cod trabalhador]]="",Tabla58[[#This Row],[Cod trabalhador]], INDEX(Colaborador_ID[Nombre], MATCH(Tabla58[[#This Row],[Cod trabalhador]],Colaborador_ID[Cod_colab], 0))), "")</f>
        <v>YESID DAVID GOMEZ ARZUAGA</v>
      </c>
      <c r="N36" s="407" t="s">
        <v>7244</v>
      </c>
      <c r="O36" s="26">
        <f>IFERROR(VLOOKUP(Tabla58[[#This Row],[Cod trabalhador]],Tabla15[],4,FALSE),"")</f>
        <v>15</v>
      </c>
      <c r="P36" s="333">
        <f>IFERROR(VLOOKUP(Tabla58[[#This Row],[Cod trabalhador]],'TotalHorasAjustadas (2)'!D:L,8,FALSE),"")</f>
        <v>133</v>
      </c>
      <c r="Q36" s="334">
        <v>127</v>
      </c>
      <c r="R36" s="28" t="s">
        <v>7471</v>
      </c>
      <c r="S36" s="252"/>
      <c r="U36" s="25"/>
      <c r="V36" s="220"/>
      <c r="W36" s="27"/>
      <c r="X36" s="28"/>
      <c r="Y36" s="28"/>
      <c r="Z36" s="149"/>
      <c r="AA36" s="392" t="str">
        <f>IFERROR(VLOOKUP(Tabla58[[#This Row],[Cod trabalhador]],Alojamentos!B:P,11,FALSE),"")</f>
        <v/>
      </c>
      <c r="AB36" s="127"/>
      <c r="AC36" s="150"/>
      <c r="AD36" s="35">
        <f>Tabla58[[#This Row],[Dias de alta]]*7.058</f>
        <v>0</v>
      </c>
      <c r="AE36" s="46" t="str">
        <f>IFERROR(VLOOKUP(Tabla58[[#This Row],[Cod trabalhador]],Adiantamentos!B:L,7,FALSE),"")</f>
        <v/>
      </c>
      <c r="AF36" s="46" t="str">
        <f>IFERROR(VLOOKUP(Tabla58[[#This Row],[Cod trabalhador]],Carro!B:D,3,FALSE),"")</f>
        <v/>
      </c>
      <c r="AG36" s="46" t="str">
        <f>IFERROR(VLOOKUP(Tabla58[[#This Row],[Cod trabalhador]],'Outros descontos'!B:O,7,FALSE),"")</f>
        <v/>
      </c>
      <c r="AH36" s="46" t="str">
        <f>IFERROR(VLOOKUP(Tabla58[[#This Row],[Cod trabalhador]],'Outros descontos'!B:M,8,FALSE),"")</f>
        <v/>
      </c>
      <c r="AI36" s="46" t="str">
        <f>IFERROR(VLOOKUP(Tabla58[[#This Row],[Cod trabalhador]],'Outros descontos'!B:M,9,FALSE),"")</f>
        <v/>
      </c>
      <c r="AJ36" s="46" t="str">
        <f>IFERROR(VLOOKUP(Tabla58[[#This Row],[Cod trabalhador]],'Outros descontos'!B:M,10,FALSE),"")</f>
        <v/>
      </c>
      <c r="AK36" s="46" t="str">
        <f>IFERROR(VLOOKUP(Tabla58[[#This Row],[Cod trabalhador]],'Outros descontos'!B:M,11,FALSE),"")</f>
        <v/>
      </c>
      <c r="AL36" s="46" t="str">
        <f>IFERROR(VLOOKUP(Tabla58[[#This Row],[Cod trabalhador]],'Outros descontos'!B:R,12,FALSE),"")</f>
        <v/>
      </c>
      <c r="AM36" s="46" t="str">
        <f>IFERROR(VLOOKUP(Tabla58[[#This Row],[Cod trabalhador]],'Outros descontos'!B:M,13,FALSE),"")</f>
        <v/>
      </c>
      <c r="AN36" s="41"/>
      <c r="AO36" s="37">
        <v>4.08</v>
      </c>
      <c r="AP36" s="15"/>
      <c r="AQ36"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1990.92</v>
      </c>
      <c r="AR36"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1900.92</v>
      </c>
      <c r="AS36" s="15"/>
      <c r="AT36" s="27" t="str">
        <f>IF(Tabla58[[#This Row],[Cod trabalhador]]="", "", INDEX(Iban!C:C, MATCH(Tabla58[[#This Row],[Cod trabalhador]],Iban!A:A, 0)))</f>
        <v>ES74 6893 0001 7200 0027 2159</v>
      </c>
      <c r="AU36" s="334"/>
      <c r="AV36" s="334"/>
      <c r="AW36" s="66" t="s">
        <v>7533</v>
      </c>
      <c r="AX36" s="296" t="s">
        <v>7472</v>
      </c>
    </row>
    <row r="37" spans="1:50" ht="16.5" hidden="1" customHeight="1" x14ac:dyDescent="0.3">
      <c r="A37" s="43"/>
      <c r="B37" s="39" t="s">
        <v>516</v>
      </c>
      <c r="C37" s="45" t="str">
        <f>IF(ISNUMBER(MATCH(Tabla58[[#This Row],[Cod trabalhador]],'Altas Wiseowe'!B:B, 0)), "Ativo", "Não ativo")</f>
        <v>Não ativo</v>
      </c>
      <c r="D37" s="44" t="str">
        <f>IFERROR(IF(VLOOKUP(Tabla58[[#This Row],[Cod trabalhador]],'Altas Industrial'!B:E,1,0)&lt;&gt;"","KI",""),"")</f>
        <v/>
      </c>
      <c r="E37" s="44" t="str">
        <f>IFERROR(IF(VLOOKUP(Tabla58[[#This Row],[Cod trabalhador]],'Altas Rosas'!B:F,1,0)&lt;&gt;"","KR",""),"")</f>
        <v/>
      </c>
      <c r="F37" s="44" t="str">
        <f>IFERROR(IF(VLOOKUP(Tabla58[[#This Row],[Cod trabalhador]],'Altas Wiseowe'!B:E,1,0)&lt;&gt;"","WS",""),"")</f>
        <v/>
      </c>
      <c r="G37" s="101" t="str">
        <f>IFERROR(IF(VLOOKUP(Tabla58[[#This Row],[Cod trabalhador]],'Altas Luminous'!B:E,1,0)&lt;&gt;"","LM",""),"")</f>
        <v/>
      </c>
      <c r="H37" s="51" t="str">
        <f>IFERROR(VLOOKUP(Tabla58[[#This Row],[Cod trabalhador]],'Altas Wiseowe'!B:E,3,FALSE),"")</f>
        <v/>
      </c>
      <c r="I37" s="51" t="str">
        <f>IF(OR(Tabla58[[#This Row],[Cod trabalhador]]="",ISBLANK(Tabla58[[#This Row],[Cod trabalhador]])),"",IFERROR(IF(VLOOKUP(Tabla58[[#This Row],[Cod trabalhador]],'Altas Wiseowe'!B:E,4,FALSE)=0,"",VLOOKUP(Tabla58[[#This Row],[Cod trabalhador]],'Altas Wiseowe'!B:E,4,FALSE)),""))</f>
        <v/>
      </c>
      <c r="J37" s="44">
        <f t="shared" si="1"/>
        <v>0</v>
      </c>
      <c r="K37" s="376" t="s">
        <v>517</v>
      </c>
      <c r="L37" s="342" t="str">
        <f>IFERROR(IF(Tabla58[[#This Row],[Cod trabalhador]]="",Tabla58[[#This Row],[Cod trabalhador]], INDEX(Colaborador_ID[Nombre], MATCH(Tabla58[[#This Row],[Cod trabalhador]],Colaborador_ID[Cod_colab], 0))), "")</f>
        <v>ARMANDO DENIS ENRIQUEZ BLAS</v>
      </c>
      <c r="N37" s="405" t="s">
        <v>7267</v>
      </c>
      <c r="O37" s="26">
        <f>IFERROR(VLOOKUP(Tabla58[[#This Row],[Cod trabalhador]],Tabla15[],4,FALSE),"")</f>
        <v>16</v>
      </c>
      <c r="P37" s="92">
        <f>IFERROR(VLOOKUP(Tabla58[[#This Row],[Cod trabalhador]],'TotalHorasAjustadas (2)'!D:L,8,FALSE),"")</f>
        <v>155.5</v>
      </c>
      <c r="Q37" s="27">
        <v>155.5</v>
      </c>
      <c r="R37" s="28" t="s">
        <v>7532</v>
      </c>
      <c r="S37" s="28" t="s">
        <v>7539</v>
      </c>
      <c r="U37" s="25"/>
      <c r="V37" s="220"/>
      <c r="W37" s="27"/>
      <c r="X37" s="28"/>
      <c r="Y37" s="28"/>
      <c r="Z37" s="149"/>
      <c r="AA37" s="392" t="str">
        <f>IFERROR(VLOOKUP(Tabla58[[#This Row],[Cod trabalhador]],Alojamentos!B:P,11,FALSE),"")</f>
        <v/>
      </c>
      <c r="AB37" s="127"/>
      <c r="AC37" s="150"/>
      <c r="AD37" s="35">
        <f>Tabla58[[#This Row],[Dias de alta]]*7.058</f>
        <v>0</v>
      </c>
      <c r="AE37" s="46" t="str">
        <f>IFERROR(VLOOKUP(Tabla58[[#This Row],[Cod trabalhador]],Adiantamentos!B:L,7,FALSE),"")</f>
        <v/>
      </c>
      <c r="AF37" s="46" t="str">
        <f>IFERROR(VLOOKUP(Tabla58[[#This Row],[Cod trabalhador]],Carro!B:D,3,FALSE),"")</f>
        <v/>
      </c>
      <c r="AG37" s="46" t="str">
        <f>IFERROR(VLOOKUP(Tabla58[[#This Row],[Cod trabalhador]],'Outros descontos'!B:O,7,FALSE),"")</f>
        <v/>
      </c>
      <c r="AH37" s="46" t="str">
        <f>IFERROR(VLOOKUP(Tabla58[[#This Row],[Cod trabalhador]],'Outros descontos'!B:M,8,FALSE),"")</f>
        <v/>
      </c>
      <c r="AI37" s="46" t="str">
        <f>IFERROR(VLOOKUP(Tabla58[[#This Row],[Cod trabalhador]],'Outros descontos'!B:M,9,FALSE),"")</f>
        <v/>
      </c>
      <c r="AJ37" s="46" t="str">
        <f>IFERROR(VLOOKUP(Tabla58[[#This Row],[Cod trabalhador]],'Outros descontos'!B:M,10,FALSE),"")</f>
        <v/>
      </c>
      <c r="AK37" s="46" t="str">
        <f>IFERROR(VLOOKUP(Tabla58[[#This Row],[Cod trabalhador]],'Outros descontos'!B:M,11,FALSE),"")</f>
        <v/>
      </c>
      <c r="AL37" s="46" t="str">
        <f>IFERROR(VLOOKUP(Tabla58[[#This Row],[Cod trabalhador]],'Outros descontos'!B:R,12,FALSE),"")</f>
        <v/>
      </c>
      <c r="AM37" s="46" t="str">
        <f>IFERROR(VLOOKUP(Tabla58[[#This Row],[Cod trabalhador]],'Outros descontos'!B:M,13,FALSE),"")</f>
        <v/>
      </c>
      <c r="AN37" s="41"/>
      <c r="AO37" s="37">
        <v>4.08</v>
      </c>
      <c r="AP37" s="15"/>
      <c r="AQ37"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2483.92</v>
      </c>
      <c r="AR37"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2483.92</v>
      </c>
      <c r="AS37" s="15"/>
      <c r="AT37" s="27" t="str">
        <f>IF(Tabla58[[#This Row],[Cod trabalhador]]="", "", INDEX(Iban!C:C, MATCH(Tabla58[[#This Row],[Cod trabalhador]],Iban!A:A, 0)))</f>
        <v>FR76 1659 8000 0140 0010 1905 939</v>
      </c>
      <c r="AU37" s="27"/>
      <c r="AV37" s="27"/>
      <c r="AW37" s="66" t="s">
        <v>7533</v>
      </c>
      <c r="AX37" s="296" t="s">
        <v>7472</v>
      </c>
    </row>
    <row r="38" spans="1:50" ht="16.5" hidden="1" customHeight="1" x14ac:dyDescent="0.3">
      <c r="A38" s="43"/>
      <c r="B38" s="39" t="s">
        <v>4352</v>
      </c>
      <c r="C38" s="45" t="str">
        <f>IF(ISNUMBER(MATCH(Tabla58[[#This Row],[Cod trabalhador]],'Altas Wiseowe'!B:B, 0)), "Ativo", "Não ativo")</f>
        <v>Não ativo</v>
      </c>
      <c r="D38" s="44" t="str">
        <f>IFERROR(IF(VLOOKUP(Tabla58[[#This Row],[Cod trabalhador]],'Altas Industrial'!B:E,1,0)&lt;&gt;"","KI",""),"")</f>
        <v/>
      </c>
      <c r="E38" s="44" t="str">
        <f>IFERROR(IF(VLOOKUP(Tabla58[[#This Row],[Cod trabalhador]],'Altas Rosas'!B:F,1,0)&lt;&gt;"","KR",""),"")</f>
        <v/>
      </c>
      <c r="F38" s="44" t="str">
        <f>IFERROR(IF(VLOOKUP(Tabla58[[#This Row],[Cod trabalhador]],'Altas Wiseowe'!B:E,1,0)&lt;&gt;"","WS",""),"")</f>
        <v/>
      </c>
      <c r="G38" s="101" t="str">
        <f>IFERROR(IF(VLOOKUP(Tabla58[[#This Row],[Cod trabalhador]],'Altas Luminous'!B:E,1,0)&lt;&gt;"","LM",""),"")</f>
        <v/>
      </c>
      <c r="H38" s="51" t="str">
        <f>IFERROR(VLOOKUP(Tabla58[[#This Row],[Cod trabalhador]],'Altas Wiseowe'!B:E,3,FALSE),"")</f>
        <v/>
      </c>
      <c r="I38" s="51" t="str">
        <f>IF(OR(Tabla58[[#This Row],[Cod trabalhador]]="",ISBLANK(Tabla58[[#This Row],[Cod trabalhador]])),"",IFERROR(IF(VLOOKUP(Tabla58[[#This Row],[Cod trabalhador]],'Altas Wiseowe'!B:E,4,FALSE)=0,"",VLOOKUP(Tabla58[[#This Row],[Cod trabalhador]],'Altas Wiseowe'!B:E,4,FALSE)),""))</f>
        <v/>
      </c>
      <c r="J38" s="44">
        <f t="shared" si="1"/>
        <v>0</v>
      </c>
      <c r="K38" s="376" t="s">
        <v>7269</v>
      </c>
      <c r="L38" s="342" t="str">
        <f>IFERROR(IF(Tabla58[[#This Row],[Cod trabalhador]]="",Tabla58[[#This Row],[Cod trabalhador]], INDEX(Colaborador_ID[Nombre], MATCH(Tabla58[[#This Row],[Cod trabalhador]],Colaborador_ID[Cod_colab], 0))), "")</f>
        <v>JUAN GABRIEL GOEZ MESA</v>
      </c>
      <c r="N38" s="405" t="s">
        <v>7268</v>
      </c>
      <c r="O38" s="26">
        <f>IFERROR(VLOOKUP(Tabla58[[#This Row],[Cod trabalhador]],Tabla15[],4,FALSE),"")</f>
        <v>13</v>
      </c>
      <c r="P38" s="92">
        <f>IFERROR(VLOOKUP(Tabla58[[#This Row],[Cod trabalhador]],'TotalHorasAjustadas (2)'!D:L,8,FALSE),"")</f>
        <v>117</v>
      </c>
      <c r="Q38" s="27">
        <v>117</v>
      </c>
      <c r="R38" s="28" t="s">
        <v>7532</v>
      </c>
      <c r="S38" s="28" t="s">
        <v>7539</v>
      </c>
      <c r="U38" s="25"/>
      <c r="V38" s="220"/>
      <c r="W38" s="27"/>
      <c r="X38" s="28"/>
      <c r="Y38" s="28"/>
      <c r="Z38" s="149"/>
      <c r="AA38" s="392" t="str">
        <f>IFERROR(VLOOKUP(Tabla58[[#This Row],[Cod trabalhador]],Alojamentos!B:P,11,FALSE),"")</f>
        <v/>
      </c>
      <c r="AB38" s="127"/>
      <c r="AC38" s="150"/>
      <c r="AD38" s="35">
        <f>Tabla58[[#This Row],[Dias de alta]]*7.058</f>
        <v>0</v>
      </c>
      <c r="AE38" s="46" t="str">
        <f>IFERROR(VLOOKUP(Tabla58[[#This Row],[Cod trabalhador]],Adiantamentos!B:L,7,FALSE),"")</f>
        <v/>
      </c>
      <c r="AF38" s="46" t="str">
        <f>IFERROR(VLOOKUP(Tabla58[[#This Row],[Cod trabalhador]],Carro!B:D,3,FALSE),"")</f>
        <v/>
      </c>
      <c r="AG38" s="46" t="str">
        <f>IFERROR(VLOOKUP(Tabla58[[#This Row],[Cod trabalhador]],'Outros descontos'!B:O,7,FALSE),"")</f>
        <v/>
      </c>
      <c r="AH38" s="46" t="str">
        <f>IFERROR(VLOOKUP(Tabla58[[#This Row],[Cod trabalhador]],'Outros descontos'!B:M,8,FALSE),"")</f>
        <v/>
      </c>
      <c r="AI38" s="46" t="str">
        <f>IFERROR(VLOOKUP(Tabla58[[#This Row],[Cod trabalhador]],'Outros descontos'!B:M,9,FALSE),"")</f>
        <v/>
      </c>
      <c r="AJ38" s="46" t="str">
        <f>IFERROR(VLOOKUP(Tabla58[[#This Row],[Cod trabalhador]],'Outros descontos'!B:M,10,FALSE),"")</f>
        <v/>
      </c>
      <c r="AK38" s="46" t="str">
        <f>IFERROR(VLOOKUP(Tabla58[[#This Row],[Cod trabalhador]],'Outros descontos'!B:M,11,FALSE),"")</f>
        <v/>
      </c>
      <c r="AL38" s="46" t="str">
        <f>IFERROR(VLOOKUP(Tabla58[[#This Row],[Cod trabalhador]],'Outros descontos'!B:R,12,FALSE),"")</f>
        <v/>
      </c>
      <c r="AM38" s="46" t="str">
        <f>IFERROR(VLOOKUP(Tabla58[[#This Row],[Cod trabalhador]],'Outros descontos'!B:M,13,FALSE),"")</f>
        <v/>
      </c>
      <c r="AN38" s="41"/>
      <c r="AO38" s="37">
        <v>4.08</v>
      </c>
      <c r="AP38" s="15"/>
      <c r="AQ38"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1516.92</v>
      </c>
      <c r="AR38"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1516.92</v>
      </c>
      <c r="AS38" s="15"/>
      <c r="AT38" s="27" t="str">
        <f>IF(Tabla58[[#This Row],[Cod trabalhador]]="", "", INDEX(Iban!C:C, MATCH(Tabla58[[#This Row],[Cod trabalhador]],Iban!A:A, 0)))</f>
        <v>ES17 0182 0507 9102 0454 8500</v>
      </c>
      <c r="AU38" s="27"/>
      <c r="AV38" s="27"/>
      <c r="AW38" s="66" t="s">
        <v>7533</v>
      </c>
      <c r="AX38" s="296" t="s">
        <v>7472</v>
      </c>
    </row>
    <row r="39" spans="1:50" ht="16.5" hidden="1" customHeight="1" x14ac:dyDescent="0.3">
      <c r="A39" s="43"/>
      <c r="B39" s="39" t="s">
        <v>2253</v>
      </c>
      <c r="C39" s="45" t="str">
        <f>IF(ISNUMBER(MATCH(Tabla58[[#This Row],[Cod trabalhador]],'Altas Wiseowe'!B:B, 0)), "Ativo", "Não ativo")</f>
        <v>Ativo</v>
      </c>
      <c r="D39" s="44" t="str">
        <f>IFERROR(IF(VLOOKUP(Tabla58[[#This Row],[Cod trabalhador]],'Altas Industrial'!B:E,1,0)&lt;&gt;"","KI",""),"")</f>
        <v/>
      </c>
      <c r="E39" s="44" t="str">
        <f>IFERROR(IF(VLOOKUP(Tabla58[[#This Row],[Cod trabalhador]],'Altas Rosas'!B:F,1,0)&lt;&gt;"","KR",""),"")</f>
        <v/>
      </c>
      <c r="F39" s="44" t="str">
        <f>IFERROR(IF(VLOOKUP(Tabla58[[#This Row],[Cod trabalhador]],'Altas Wiseowe'!B:E,1,0)&lt;&gt;"","WS",""),"")</f>
        <v>WS</v>
      </c>
      <c r="G39" s="101" t="str">
        <f>IFERROR(IF(VLOOKUP(Tabla58[[#This Row],[Cod trabalhador]],'Altas Luminous'!B:E,1,0)&lt;&gt;"","LM",""),"")</f>
        <v>LM</v>
      </c>
      <c r="H39" s="51">
        <f>IFERROR(VLOOKUP(Tabla58[[#This Row],[Cod trabalhador]],'Altas Wiseowe'!B:E,3,FALSE),"")</f>
        <v>45828</v>
      </c>
      <c r="I39" s="51">
        <f>IF(OR(Tabla58[[#This Row],[Cod trabalhador]]="",ISBLANK(Tabla58[[#This Row],[Cod trabalhador]])),"",IFERROR(IF(VLOOKUP(Tabla58[[#This Row],[Cod trabalhador]],'Altas Wiseowe'!B:E,4,FALSE)=0,"",VLOOKUP(Tabla58[[#This Row],[Cod trabalhador]],'Altas Wiseowe'!B:E,4,FALSE)),""))</f>
        <v>46036</v>
      </c>
      <c r="J39" s="44">
        <f t="shared" si="1"/>
        <v>14</v>
      </c>
      <c r="K39" s="376" t="s">
        <v>7114</v>
      </c>
      <c r="L39" s="342" t="str">
        <f>IFERROR(IF(Tabla58[[#This Row],[Cod trabalhador]]="",Tabla58[[#This Row],[Cod trabalhador]], INDEX(Colaborador_ID[Nombre], MATCH(Tabla58[[#This Row],[Cod trabalhador]],Colaborador_ID[Cod_colab], 0))), "")</f>
        <v>FREDIS ANTONIO MORELOS COLON</v>
      </c>
      <c r="N39" s="405" t="s">
        <v>7270</v>
      </c>
      <c r="O39" s="26">
        <f>IFERROR(VLOOKUP(Tabla58[[#This Row],[Cod trabalhador]],Tabla15[],4,FALSE),"")</f>
        <v>16</v>
      </c>
      <c r="P39" s="92">
        <f>IFERROR(VLOOKUP(Tabla58[[#This Row],[Cod trabalhador]],'TotalHorasAjustadas (2)'!D:L,8,FALSE),"")</f>
        <v>80</v>
      </c>
      <c r="Q39" s="27">
        <v>80</v>
      </c>
      <c r="R39" s="28" t="s">
        <v>7532</v>
      </c>
      <c r="S39" s="28" t="s">
        <v>7539</v>
      </c>
      <c r="U39" s="25"/>
      <c r="V39" s="220"/>
      <c r="W39" s="27"/>
      <c r="X39" s="28"/>
      <c r="Y39" s="28"/>
      <c r="Z39" s="149"/>
      <c r="AA39" s="392" t="str">
        <f>IFERROR(VLOOKUP(Tabla58[[#This Row],[Cod trabalhador]],Alojamentos!B:P,11,FALSE),"")</f>
        <v/>
      </c>
      <c r="AB39" s="127"/>
      <c r="AC39" s="150"/>
      <c r="AD39" s="35">
        <f>Tabla58[[#This Row],[Dias de alta]]*7.058</f>
        <v>98.811999999999998</v>
      </c>
      <c r="AE39" s="46" t="str">
        <f>IFERROR(VLOOKUP(Tabla58[[#This Row],[Cod trabalhador]],Adiantamentos!B:L,7,FALSE),"")</f>
        <v/>
      </c>
      <c r="AF39" s="46" t="str">
        <f>IFERROR(VLOOKUP(Tabla58[[#This Row],[Cod trabalhador]],Carro!B:D,3,FALSE),"")</f>
        <v/>
      </c>
      <c r="AG39" s="46" t="str">
        <f>IFERROR(VLOOKUP(Tabla58[[#This Row],[Cod trabalhador]],'Outros descontos'!B:O,7,FALSE),"")</f>
        <v/>
      </c>
      <c r="AH39" s="46" t="str">
        <f>IFERROR(VLOOKUP(Tabla58[[#This Row],[Cod trabalhador]],'Outros descontos'!B:M,8,FALSE),"")</f>
        <v/>
      </c>
      <c r="AI39" s="46" t="str">
        <f>IFERROR(VLOOKUP(Tabla58[[#This Row],[Cod trabalhador]],'Outros descontos'!B:M,9,FALSE),"")</f>
        <v/>
      </c>
      <c r="AJ39" s="46" t="str">
        <f>IFERROR(VLOOKUP(Tabla58[[#This Row],[Cod trabalhador]],'Outros descontos'!B:M,10,FALSE),"")</f>
        <v/>
      </c>
      <c r="AK39" s="46" t="str">
        <f>IFERROR(VLOOKUP(Tabla58[[#This Row],[Cod trabalhador]],'Outros descontos'!B:M,11,FALSE),"")</f>
        <v/>
      </c>
      <c r="AL39" s="46" t="str">
        <f>IFERROR(VLOOKUP(Tabla58[[#This Row],[Cod trabalhador]],'Outros descontos'!B:R,12,FALSE),"")</f>
        <v/>
      </c>
      <c r="AM39" s="46" t="str">
        <f>IFERROR(VLOOKUP(Tabla58[[#This Row],[Cod trabalhador]],'Outros descontos'!B:M,13,FALSE),"")</f>
        <v/>
      </c>
      <c r="AN39" s="41"/>
      <c r="AO39" s="37">
        <v>4.08</v>
      </c>
      <c r="AP39" s="15"/>
      <c r="AQ39"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1177.1080000000002</v>
      </c>
      <c r="AR39"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1177.1080000000002</v>
      </c>
      <c r="AS39" s="15"/>
      <c r="AT39" s="27" t="str">
        <f>IF(Tabla58[[#This Row],[Cod trabalhador]]="", "", INDEX(Iban!C:C, MATCH(Tabla58[[#This Row],[Cod trabalhador]],Iban!A:A, 0)))</f>
        <v>BE05 9053 5228 1775</v>
      </c>
      <c r="AU39" s="27"/>
      <c r="AV39" s="27"/>
      <c r="AW39" s="66" t="s">
        <v>7540</v>
      </c>
      <c r="AX39" s="296" t="s">
        <v>7472</v>
      </c>
    </row>
    <row r="40" spans="1:50" ht="16.5" hidden="1" customHeight="1" x14ac:dyDescent="0.3">
      <c r="A40" s="43"/>
      <c r="B40" s="39" t="s">
        <v>2945</v>
      </c>
      <c r="C40" s="45" t="str">
        <f>IF(ISNUMBER(MATCH(Tabla58[[#This Row],[Cod trabalhador]],'Altas Wiseowe'!B:B, 0)), "Ativo", "Não ativo")</f>
        <v>Ativo</v>
      </c>
      <c r="D40" s="44" t="str">
        <f>IFERROR(IF(VLOOKUP(Tabla58[[#This Row],[Cod trabalhador]],'Altas Industrial'!B:E,1,0)&lt;&gt;"","KI",""),"")</f>
        <v/>
      </c>
      <c r="E40" s="44" t="str">
        <f>IFERROR(IF(VLOOKUP(Tabla58[[#This Row],[Cod trabalhador]],'Altas Rosas'!B:F,1,0)&lt;&gt;"","KR",""),"")</f>
        <v/>
      </c>
      <c r="F40" s="44" t="str">
        <f>IFERROR(IF(VLOOKUP(Tabla58[[#This Row],[Cod trabalhador]],'Altas Wiseowe'!B:E,1,0)&lt;&gt;"","WS",""),"")</f>
        <v>WS</v>
      </c>
      <c r="G40" s="101" t="str">
        <f>IFERROR(IF(VLOOKUP(Tabla58[[#This Row],[Cod trabalhador]],'Altas Luminous'!B:E,1,0)&lt;&gt;"","LM",""),"")</f>
        <v/>
      </c>
      <c r="H40" s="51">
        <f>IFERROR(VLOOKUP(Tabla58[[#This Row],[Cod trabalhador]],'Altas Wiseowe'!B:E,3,FALSE),"")</f>
        <v>45828</v>
      </c>
      <c r="I40" s="51" t="str">
        <f>IF(OR(Tabla58[[#This Row],[Cod trabalhador]]="",ISBLANK(Tabla58[[#This Row],[Cod trabalhador]])),"",IFERROR(IF(VLOOKUP(Tabla58[[#This Row],[Cod trabalhador]],'Altas Wiseowe'!B:E,4,FALSE)=0,"",VLOOKUP(Tabla58[[#This Row],[Cod trabalhador]],'Altas Wiseowe'!B:E,4,FALSE)),""))</f>
        <v/>
      </c>
      <c r="J40" s="44">
        <f t="shared" si="1"/>
        <v>31</v>
      </c>
      <c r="K40" s="376" t="s">
        <v>7271</v>
      </c>
      <c r="L40" s="342" t="str">
        <f>IFERROR(IF(Tabla58[[#This Row],[Cod trabalhador]]="",Tabla58[[#This Row],[Cod trabalhador]], INDEX(Colaborador_ID[Nombre], MATCH(Tabla58[[#This Row],[Cod trabalhador]],Colaborador_ID[Cod_colab], 0))), "")</f>
        <v>JAIME ANTONIO PERTUZ VALDIRIS</v>
      </c>
      <c r="N40" s="405" t="s">
        <v>7270</v>
      </c>
      <c r="O40" s="26">
        <f>IFERROR(VLOOKUP(Tabla58[[#This Row],[Cod trabalhador]],Tabla15[],4,FALSE),"")</f>
        <v>16</v>
      </c>
      <c r="P40" s="92">
        <f>IFERROR(VLOOKUP(Tabla58[[#This Row],[Cod trabalhador]],'TotalHorasAjustadas (2)'!D:L,8,FALSE),"")</f>
        <v>203</v>
      </c>
      <c r="Q40" s="27">
        <v>203</v>
      </c>
      <c r="R40" s="28" t="s">
        <v>7532</v>
      </c>
      <c r="S40" s="28" t="s">
        <v>7539</v>
      </c>
      <c r="U40" s="25"/>
      <c r="V40" s="220"/>
      <c r="W40" s="27"/>
      <c r="X40" s="28"/>
      <c r="Y40" s="28"/>
      <c r="Z40" s="149"/>
      <c r="AA40" s="392" t="str">
        <f>IFERROR(VLOOKUP(Tabla58[[#This Row],[Cod trabalhador]],Alojamentos!B:P,11,FALSE),"")</f>
        <v/>
      </c>
      <c r="AB40" s="127"/>
      <c r="AC40" s="150"/>
      <c r="AD40" s="35">
        <f>Tabla58[[#This Row],[Dias de alta]]*7.058</f>
        <v>218.798</v>
      </c>
      <c r="AE40" s="46" t="str">
        <f>IFERROR(VLOOKUP(Tabla58[[#This Row],[Cod trabalhador]],Adiantamentos!B:L,7,FALSE),"")</f>
        <v/>
      </c>
      <c r="AF40" s="46" t="str">
        <f>IFERROR(VLOOKUP(Tabla58[[#This Row],[Cod trabalhador]],Carro!B:D,3,FALSE),"")</f>
        <v/>
      </c>
      <c r="AG40" s="46" t="str">
        <f>IFERROR(VLOOKUP(Tabla58[[#This Row],[Cod trabalhador]],'Outros descontos'!B:O,7,FALSE),"")</f>
        <v/>
      </c>
      <c r="AH40" s="46" t="str">
        <f>IFERROR(VLOOKUP(Tabla58[[#This Row],[Cod trabalhador]],'Outros descontos'!B:M,8,FALSE),"")</f>
        <v/>
      </c>
      <c r="AI40" s="46" t="str">
        <f>IFERROR(VLOOKUP(Tabla58[[#This Row],[Cod trabalhador]],'Outros descontos'!B:M,9,FALSE),"")</f>
        <v/>
      </c>
      <c r="AJ40" s="46" t="str">
        <f>IFERROR(VLOOKUP(Tabla58[[#This Row],[Cod trabalhador]],'Outros descontos'!B:M,10,FALSE),"")</f>
        <v/>
      </c>
      <c r="AK40" s="46" t="str">
        <f>IFERROR(VLOOKUP(Tabla58[[#This Row],[Cod trabalhador]],'Outros descontos'!B:M,11,FALSE),"")</f>
        <v/>
      </c>
      <c r="AL40" s="46" t="str">
        <f>IFERROR(VLOOKUP(Tabla58[[#This Row],[Cod trabalhador]],'Outros descontos'!B:R,12,FALSE),"")</f>
        <v/>
      </c>
      <c r="AM40" s="46" t="str">
        <f>IFERROR(VLOOKUP(Tabla58[[#This Row],[Cod trabalhador]],'Outros descontos'!B:M,13,FALSE),"")</f>
        <v/>
      </c>
      <c r="AN40" s="41"/>
      <c r="AO40" s="37">
        <v>4.08</v>
      </c>
      <c r="AP40" s="15"/>
      <c r="AQ40"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3025.1220000000003</v>
      </c>
      <c r="AR40"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3025.1220000000003</v>
      </c>
      <c r="AS40" s="15"/>
      <c r="AT40" s="27" t="str">
        <f>IF(Tabla58[[#This Row],[Cod trabalhador]]="", "", INDEX(Iban!C:C, MATCH(Tabla58[[#This Row],[Cod trabalhador]],Iban!A:A, 0)))</f>
        <v>ES15 0182 0043 1102 0167 9721</v>
      </c>
      <c r="AU40" s="27" t="s">
        <v>7541</v>
      </c>
      <c r="AV40" s="27"/>
      <c r="AW40" s="66" t="s">
        <v>7540</v>
      </c>
      <c r="AX40" s="296" t="s">
        <v>7472</v>
      </c>
    </row>
    <row r="41" spans="1:50" ht="16.5" hidden="1" customHeight="1" x14ac:dyDescent="0.3">
      <c r="A41" s="43"/>
      <c r="B41" s="39" t="s">
        <v>4073</v>
      </c>
      <c r="C41" s="45" t="str">
        <f>IF(ISNUMBER(MATCH(Tabla58[[#This Row],[Cod trabalhador]],'Altas Wiseowe'!B:B, 0)), "Ativo", "Não ativo")</f>
        <v>Não ativo</v>
      </c>
      <c r="D41" s="44" t="str">
        <f>IFERROR(IF(VLOOKUP(Tabla58[[#This Row],[Cod trabalhador]],'Altas Industrial'!B:E,1,0)&lt;&gt;"","KI",""),"")</f>
        <v/>
      </c>
      <c r="E41" s="44" t="str">
        <f>IFERROR(IF(VLOOKUP(Tabla58[[#This Row],[Cod trabalhador]],'Altas Rosas'!B:F,1,0)&lt;&gt;"","KR",""),"")</f>
        <v/>
      </c>
      <c r="F41" s="44" t="str">
        <f>IFERROR(IF(VLOOKUP(Tabla58[[#This Row],[Cod trabalhador]],'Altas Wiseowe'!B:E,1,0)&lt;&gt;"","WS",""),"")</f>
        <v/>
      </c>
      <c r="G41" s="101" t="str">
        <f>IFERROR(IF(VLOOKUP(Tabla58[[#This Row],[Cod trabalhador]],'Altas Luminous'!B:E,1,0)&lt;&gt;"","LM",""),"")</f>
        <v/>
      </c>
      <c r="H41" s="51" t="str">
        <f>IFERROR(VLOOKUP(Tabla58[[#This Row],[Cod trabalhador]],'Altas Wiseowe'!B:E,3,FALSE),"")</f>
        <v/>
      </c>
      <c r="I41" s="51" t="str">
        <f>IF(OR(Tabla58[[#This Row],[Cod trabalhador]]="",ISBLANK(Tabla58[[#This Row],[Cod trabalhador]])),"",IFERROR(IF(VLOOKUP(Tabla58[[#This Row],[Cod trabalhador]],'Altas Wiseowe'!B:E,4,FALSE)=0,"",VLOOKUP(Tabla58[[#This Row],[Cod trabalhador]],'Altas Wiseowe'!B:E,4,FALSE)),""))</f>
        <v/>
      </c>
      <c r="J41" s="44">
        <f t="shared" si="1"/>
        <v>0</v>
      </c>
      <c r="K41" s="376" t="s">
        <v>7272</v>
      </c>
      <c r="L41" s="342" t="str">
        <f>IFERROR(IF(Tabla58[[#This Row],[Cod trabalhador]]="",Tabla58[[#This Row],[Cod trabalhador]], INDEX(Colaborador_ID[Nombre], MATCH(Tabla58[[#This Row],[Cod trabalhador]],Colaborador_ID[Cod_colab], 0))), "")</f>
        <v>JOSE LEONARDO CALDERON MANZANO</v>
      </c>
      <c r="N41" s="405" t="s">
        <v>7270</v>
      </c>
      <c r="O41" s="26">
        <f>IFERROR(VLOOKUP(Tabla58[[#This Row],[Cod trabalhador]],Tabla15[],4,FALSE),"")</f>
        <v>15</v>
      </c>
      <c r="P41" s="92">
        <f>IFERROR(VLOOKUP(Tabla58[[#This Row],[Cod trabalhador]],'TotalHorasAjustadas (2)'!D:L,8,FALSE),"")</f>
        <v>197.5</v>
      </c>
      <c r="Q41" s="27">
        <v>197.5</v>
      </c>
      <c r="R41" s="28" t="s">
        <v>7532</v>
      </c>
      <c r="S41" s="28" t="s">
        <v>7539</v>
      </c>
      <c r="U41" s="25"/>
      <c r="V41" s="220"/>
      <c r="W41" s="27"/>
      <c r="X41" s="28"/>
      <c r="Y41" s="28"/>
      <c r="Z41" s="149"/>
      <c r="AA41" s="392" t="str">
        <f>IFERROR(VLOOKUP(Tabla58[[#This Row],[Cod trabalhador]],Alojamentos!B:P,11,FALSE),"")</f>
        <v/>
      </c>
      <c r="AB41" s="127"/>
      <c r="AC41" s="150"/>
      <c r="AD41" s="35">
        <f>Tabla58[[#This Row],[Dias de alta]]*7.058</f>
        <v>0</v>
      </c>
      <c r="AE41" s="46" t="str">
        <f>IFERROR(VLOOKUP(Tabla58[[#This Row],[Cod trabalhador]],Adiantamentos!B:L,7,FALSE),"")</f>
        <v/>
      </c>
      <c r="AF41" s="46" t="str">
        <f>IFERROR(VLOOKUP(Tabla58[[#This Row],[Cod trabalhador]],Carro!B:D,3,FALSE),"")</f>
        <v/>
      </c>
      <c r="AG41" s="46" t="str">
        <f>IFERROR(VLOOKUP(Tabla58[[#This Row],[Cod trabalhador]],'Outros descontos'!B:O,7,FALSE),"")</f>
        <v/>
      </c>
      <c r="AH41" s="46" t="str">
        <f>IFERROR(VLOOKUP(Tabla58[[#This Row],[Cod trabalhador]],'Outros descontos'!B:M,8,FALSE),"")</f>
        <v/>
      </c>
      <c r="AI41" s="46" t="str">
        <f>IFERROR(VLOOKUP(Tabla58[[#This Row],[Cod trabalhador]],'Outros descontos'!B:M,9,FALSE),"")</f>
        <v/>
      </c>
      <c r="AJ41" s="46" t="str">
        <f>IFERROR(VLOOKUP(Tabla58[[#This Row],[Cod trabalhador]],'Outros descontos'!B:M,10,FALSE),"")</f>
        <v/>
      </c>
      <c r="AK41" s="46" t="str">
        <f>IFERROR(VLOOKUP(Tabla58[[#This Row],[Cod trabalhador]],'Outros descontos'!B:M,11,FALSE),"")</f>
        <v/>
      </c>
      <c r="AL41" s="46" t="str">
        <f>IFERROR(VLOOKUP(Tabla58[[#This Row],[Cod trabalhador]],'Outros descontos'!B:R,12,FALSE),"")</f>
        <v/>
      </c>
      <c r="AM41" s="46" t="str">
        <f>IFERROR(VLOOKUP(Tabla58[[#This Row],[Cod trabalhador]],'Outros descontos'!B:M,13,FALSE),"")</f>
        <v/>
      </c>
      <c r="AN41" s="41"/>
      <c r="AO41" s="37">
        <v>4.08</v>
      </c>
      <c r="AP41" s="15"/>
      <c r="AQ41"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2958.42</v>
      </c>
      <c r="AR41"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2958.42</v>
      </c>
      <c r="AS41" s="15"/>
      <c r="AT41" s="27" t="str">
        <f>IF(Tabla58[[#This Row],[Cod trabalhador]]="", "", INDEX(Iban!C:C, MATCH(Tabla58[[#This Row],[Cod trabalhador]],Iban!A:A, 0)))</f>
        <v>ES11 0182 4018 1002 0170 0894</v>
      </c>
      <c r="AU41" s="27"/>
      <c r="AV41" s="27"/>
      <c r="AW41" s="66" t="s">
        <v>7533</v>
      </c>
      <c r="AX41" s="296" t="s">
        <v>7472</v>
      </c>
    </row>
    <row r="42" spans="1:50" ht="16.5" hidden="1" customHeight="1" x14ac:dyDescent="0.3">
      <c r="A42" s="43"/>
      <c r="B42" s="39" t="s">
        <v>4750</v>
      </c>
      <c r="C42" s="45" t="str">
        <f>IF(ISNUMBER(MATCH(Tabla58[[#This Row],[Cod trabalhador]],'Altas Wiseowe'!B:B, 0)), "Ativo", "Não ativo")</f>
        <v>Não ativo</v>
      </c>
      <c r="D42" s="44" t="str">
        <f>IFERROR(IF(VLOOKUP(Tabla58[[#This Row],[Cod trabalhador]],'Altas Industrial'!B:E,1,0)&lt;&gt;"","KI",""),"")</f>
        <v/>
      </c>
      <c r="E42" s="44" t="str">
        <f>IFERROR(IF(VLOOKUP(Tabla58[[#This Row],[Cod trabalhador]],'Altas Rosas'!B:F,1,0)&lt;&gt;"","KR",""),"")</f>
        <v/>
      </c>
      <c r="F42" s="44" t="str">
        <f>IFERROR(IF(VLOOKUP(Tabla58[[#This Row],[Cod trabalhador]],'Altas Wiseowe'!B:E,1,0)&lt;&gt;"","WS",""),"")</f>
        <v/>
      </c>
      <c r="G42" s="101" t="str">
        <f>IFERROR(IF(VLOOKUP(Tabla58[[#This Row],[Cod trabalhador]],'Altas Luminous'!B:E,1,0)&lt;&gt;"","LM",""),"")</f>
        <v/>
      </c>
      <c r="H42" s="51" t="str">
        <f>IFERROR(VLOOKUP(Tabla58[[#This Row],[Cod trabalhador]],'Altas Wiseowe'!B:E,3,FALSE),"")</f>
        <v/>
      </c>
      <c r="I42" s="51" t="str">
        <f>IF(OR(Tabla58[[#This Row],[Cod trabalhador]]="",ISBLANK(Tabla58[[#This Row],[Cod trabalhador]])),"",IFERROR(IF(VLOOKUP(Tabla58[[#This Row],[Cod trabalhador]],'Altas Wiseowe'!B:E,4,FALSE)=0,"",VLOOKUP(Tabla58[[#This Row],[Cod trabalhador]],'Altas Wiseowe'!B:E,4,FALSE)),""))</f>
        <v/>
      </c>
      <c r="J42" s="44">
        <f t="shared" si="1"/>
        <v>0</v>
      </c>
      <c r="K42" s="376" t="s">
        <v>7273</v>
      </c>
      <c r="L42" s="342" t="str">
        <f>IFERROR(IF(Tabla58[[#This Row],[Cod trabalhador]]="",Tabla58[[#This Row],[Cod trabalhador]], INDEX(Colaborador_ID[Nombre], MATCH(Tabla58[[#This Row],[Cod trabalhador]],Colaborador_ID[Cod_colab], 0))), "")</f>
        <v>LUIS ALFREDO APONTE ANTON</v>
      </c>
      <c r="N42" s="405" t="s">
        <v>7270</v>
      </c>
      <c r="O42" s="26">
        <f>IFERROR(VLOOKUP(Tabla58[[#This Row],[Cod trabalhador]],Tabla15[],4,FALSE),"")</f>
        <v>15</v>
      </c>
      <c r="P42" s="92">
        <f>IFERROR(VLOOKUP(Tabla58[[#This Row],[Cod trabalhador]],'TotalHorasAjustadas (2)'!D:L,8,FALSE),"")</f>
        <v>171</v>
      </c>
      <c r="Q42" s="27">
        <v>171</v>
      </c>
      <c r="R42" s="28" t="s">
        <v>7532</v>
      </c>
      <c r="S42" s="28" t="s">
        <v>7539</v>
      </c>
      <c r="U42" s="25"/>
      <c r="V42" s="220"/>
      <c r="W42" s="27"/>
      <c r="X42" s="28"/>
      <c r="Y42" s="28"/>
      <c r="Z42" s="149"/>
      <c r="AA42" s="392" t="str">
        <f>IFERROR(VLOOKUP(Tabla58[[#This Row],[Cod trabalhador]],Alojamentos!B:P,11,FALSE),"")</f>
        <v/>
      </c>
      <c r="AB42" s="127"/>
      <c r="AC42" s="150"/>
      <c r="AD42" s="35">
        <f>Tabla58[[#This Row],[Dias de alta]]*7.058</f>
        <v>0</v>
      </c>
      <c r="AE42" s="46" t="str">
        <f>IFERROR(VLOOKUP(Tabla58[[#This Row],[Cod trabalhador]],Adiantamentos!B:L,7,FALSE),"")</f>
        <v/>
      </c>
      <c r="AF42" s="46" t="str">
        <f>IFERROR(VLOOKUP(Tabla58[[#This Row],[Cod trabalhador]],Carro!B:D,3,FALSE),"")</f>
        <v/>
      </c>
      <c r="AG42" s="46" t="str">
        <f>IFERROR(VLOOKUP(Tabla58[[#This Row],[Cod trabalhador]],'Outros descontos'!B:O,7,FALSE),"")</f>
        <v/>
      </c>
      <c r="AH42" s="46" t="str">
        <f>IFERROR(VLOOKUP(Tabla58[[#This Row],[Cod trabalhador]],'Outros descontos'!B:M,8,FALSE),"")</f>
        <v/>
      </c>
      <c r="AI42" s="46" t="str">
        <f>IFERROR(VLOOKUP(Tabla58[[#This Row],[Cod trabalhador]],'Outros descontos'!B:M,9,FALSE),"")</f>
        <v/>
      </c>
      <c r="AJ42" s="46" t="str">
        <f>IFERROR(VLOOKUP(Tabla58[[#This Row],[Cod trabalhador]],'Outros descontos'!B:M,10,FALSE),"")</f>
        <v/>
      </c>
      <c r="AK42" s="46" t="str">
        <f>IFERROR(VLOOKUP(Tabla58[[#This Row],[Cod trabalhador]],'Outros descontos'!B:M,11,FALSE),"")</f>
        <v/>
      </c>
      <c r="AL42" s="46" t="str">
        <f>IFERROR(VLOOKUP(Tabla58[[#This Row],[Cod trabalhador]],'Outros descontos'!B:R,12,FALSE),"")</f>
        <v/>
      </c>
      <c r="AM42" s="46" t="str">
        <f>IFERROR(VLOOKUP(Tabla58[[#This Row],[Cod trabalhador]],'Outros descontos'!B:M,13,FALSE),"")</f>
        <v/>
      </c>
      <c r="AN42" s="41"/>
      <c r="AO42" s="37">
        <v>4.08</v>
      </c>
      <c r="AP42" s="15"/>
      <c r="AQ42"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2560.92</v>
      </c>
      <c r="AR42"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2560.92</v>
      </c>
      <c r="AS42" s="15"/>
      <c r="AT42" s="27" t="str">
        <f>IF(Tabla58[[#This Row],[Cod trabalhador]]="", "", INDEX(Iban!C:C, MATCH(Tabla58[[#This Row],[Cod trabalhador]],Iban!A:A, 0)))</f>
        <v>ES10 0182 8181 1702 0235 6592</v>
      </c>
      <c r="AU42" s="27"/>
      <c r="AV42" s="27"/>
      <c r="AW42" s="66" t="s">
        <v>7533</v>
      </c>
      <c r="AX42" s="296" t="s">
        <v>7472</v>
      </c>
    </row>
    <row r="43" spans="1:50" ht="16.5" hidden="1" customHeight="1" x14ac:dyDescent="0.3">
      <c r="A43" s="43"/>
      <c r="B43" s="39" t="s">
        <v>5446</v>
      </c>
      <c r="C43" s="45" t="str">
        <f>IF(ISNUMBER(MATCH(Tabla58[[#This Row],[Cod trabalhador]],'Altas Wiseowe'!B:B, 0)), "Ativo", "Não ativo")</f>
        <v>Não ativo</v>
      </c>
      <c r="D43" s="44" t="str">
        <f>IFERROR(IF(VLOOKUP(Tabla58[[#This Row],[Cod trabalhador]],'Altas Industrial'!B:E,1,0)&lt;&gt;"","KI",""),"")</f>
        <v/>
      </c>
      <c r="E43" s="44" t="str">
        <f>IFERROR(IF(VLOOKUP(Tabla58[[#This Row],[Cod trabalhador]],'Altas Rosas'!B:F,1,0)&lt;&gt;"","KR",""),"")</f>
        <v/>
      </c>
      <c r="F43" s="44" t="str">
        <f>IFERROR(IF(VLOOKUP(Tabla58[[#This Row],[Cod trabalhador]],'Altas Wiseowe'!B:E,1,0)&lt;&gt;"","WS",""),"")</f>
        <v/>
      </c>
      <c r="G43" s="101" t="str">
        <f>IFERROR(IF(VLOOKUP(Tabla58[[#This Row],[Cod trabalhador]],'Altas Luminous'!B:E,1,0)&lt;&gt;"","LM",""),"")</f>
        <v/>
      </c>
      <c r="H43" s="51" t="str">
        <f>IFERROR(VLOOKUP(Tabla58[[#This Row],[Cod trabalhador]],'Altas Wiseowe'!B:E,3,FALSE),"")</f>
        <v/>
      </c>
      <c r="I43" s="51" t="str">
        <f>IF(OR(Tabla58[[#This Row],[Cod trabalhador]]="",ISBLANK(Tabla58[[#This Row],[Cod trabalhador]])),"",IFERROR(IF(VLOOKUP(Tabla58[[#This Row],[Cod trabalhador]],'Altas Wiseowe'!B:E,4,FALSE)=0,"",VLOOKUP(Tabla58[[#This Row],[Cod trabalhador]],'Altas Wiseowe'!B:E,4,FALSE)),""))</f>
        <v/>
      </c>
      <c r="J43" s="44">
        <f t="shared" si="1"/>
        <v>0</v>
      </c>
      <c r="K43" s="376" t="s">
        <v>5447</v>
      </c>
      <c r="L43" s="342" t="str">
        <f>IFERROR(IF(Tabla58[[#This Row],[Cod trabalhador]]="",Tabla58[[#This Row],[Cod trabalhador]], INDEX(Colaborador_ID[Nombre], MATCH(Tabla58[[#This Row],[Cod trabalhador]],Colaborador_ID[Cod_colab], 0))), "")</f>
        <v>NELSON ROBERTO HENAO BEDOYA</v>
      </c>
      <c r="N43" s="405" t="s">
        <v>7270</v>
      </c>
      <c r="O43" s="26">
        <f>IFERROR(VLOOKUP(Tabla58[[#This Row],[Cod trabalhador]],Tabla15[],4,FALSE),"")</f>
        <v>16</v>
      </c>
      <c r="P43" s="92">
        <f>IFERROR(VLOOKUP(Tabla58[[#This Row],[Cod trabalhador]],'TotalHorasAjustadas (2)'!D:L,8,FALSE),"")</f>
        <v>203</v>
      </c>
      <c r="Q43" s="27">
        <v>203</v>
      </c>
      <c r="R43" s="28" t="s">
        <v>7532</v>
      </c>
      <c r="S43" s="28" t="s">
        <v>7539</v>
      </c>
      <c r="U43" s="25"/>
      <c r="V43" s="220"/>
      <c r="W43" s="27"/>
      <c r="X43" s="28"/>
      <c r="Y43" s="28"/>
      <c r="Z43" s="149"/>
      <c r="AA43" s="392" t="str">
        <f>IFERROR(VLOOKUP(Tabla58[[#This Row],[Cod trabalhador]],Alojamentos!B:P,11,FALSE),"")</f>
        <v/>
      </c>
      <c r="AB43" s="127"/>
      <c r="AC43" s="150"/>
      <c r="AD43" s="35">
        <f>Tabla58[[#This Row],[Dias de alta]]*7.058</f>
        <v>0</v>
      </c>
      <c r="AE43" s="46" t="str">
        <f>IFERROR(VLOOKUP(Tabla58[[#This Row],[Cod trabalhador]],Adiantamentos!B:L,7,FALSE),"")</f>
        <v/>
      </c>
      <c r="AF43" s="46" t="str">
        <f>IFERROR(VLOOKUP(Tabla58[[#This Row],[Cod trabalhador]],Carro!B:D,3,FALSE),"")</f>
        <v/>
      </c>
      <c r="AG43" s="46" t="str">
        <f>IFERROR(VLOOKUP(Tabla58[[#This Row],[Cod trabalhador]],'Outros descontos'!B:O,7,FALSE),"")</f>
        <v/>
      </c>
      <c r="AH43" s="46" t="str">
        <f>IFERROR(VLOOKUP(Tabla58[[#This Row],[Cod trabalhador]],'Outros descontos'!B:M,8,FALSE),"")</f>
        <v/>
      </c>
      <c r="AI43" s="46" t="str">
        <f>IFERROR(VLOOKUP(Tabla58[[#This Row],[Cod trabalhador]],'Outros descontos'!B:M,9,FALSE),"")</f>
        <v/>
      </c>
      <c r="AJ43" s="46" t="str">
        <f>IFERROR(VLOOKUP(Tabla58[[#This Row],[Cod trabalhador]],'Outros descontos'!B:M,10,FALSE),"")</f>
        <v/>
      </c>
      <c r="AK43" s="46" t="str">
        <f>IFERROR(VLOOKUP(Tabla58[[#This Row],[Cod trabalhador]],'Outros descontos'!B:M,11,FALSE),"")</f>
        <v/>
      </c>
      <c r="AL43" s="46" t="str">
        <f>IFERROR(VLOOKUP(Tabla58[[#This Row],[Cod trabalhador]],'Outros descontos'!B:R,12,FALSE),"")</f>
        <v/>
      </c>
      <c r="AM43" s="46" t="str">
        <f>IFERROR(VLOOKUP(Tabla58[[#This Row],[Cod trabalhador]],'Outros descontos'!B:M,13,FALSE),"")</f>
        <v/>
      </c>
      <c r="AN43" s="41"/>
      <c r="AO43" s="37">
        <v>4.08</v>
      </c>
      <c r="AP43" s="15"/>
      <c r="AQ43"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3243.92</v>
      </c>
      <c r="AR43"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3243.92</v>
      </c>
      <c r="AS43" s="15"/>
      <c r="AT43" s="27" t="str">
        <f>IF(Tabla58[[#This Row],[Cod trabalhador]]="", "", INDEX(Iban!C:C, MATCH(Tabla58[[#This Row],[Cod trabalhador]],Iban!A:A, 0)))</f>
        <v>FR76 1659 8000 0140 0011 2313 942</v>
      </c>
      <c r="AU43" s="27"/>
      <c r="AV43" s="27"/>
      <c r="AW43" s="66" t="s">
        <v>7533</v>
      </c>
      <c r="AX43" s="296" t="s">
        <v>7472</v>
      </c>
    </row>
    <row r="44" spans="1:50" ht="16.5" hidden="1" customHeight="1" x14ac:dyDescent="0.3">
      <c r="A44" s="43"/>
      <c r="B44" s="39" t="s">
        <v>5929</v>
      </c>
      <c r="C44" s="45" t="str">
        <f>IF(ISNUMBER(MATCH(Tabla58[[#This Row],[Cod trabalhador]],'Altas Wiseowe'!B:B, 0)), "Ativo", "Não ativo")</f>
        <v>Não ativo</v>
      </c>
      <c r="D44" s="44" t="str">
        <f>IFERROR(IF(VLOOKUP(Tabla58[[#This Row],[Cod trabalhador]],'Altas Industrial'!B:E,1,0)&lt;&gt;"","KI",""),"")</f>
        <v/>
      </c>
      <c r="E44" s="44" t="str">
        <f>IFERROR(IF(VLOOKUP(Tabla58[[#This Row],[Cod trabalhador]],'Altas Rosas'!B:F,1,0)&lt;&gt;"","KR",""),"")</f>
        <v/>
      </c>
      <c r="F44" s="44" t="str">
        <f>IFERROR(IF(VLOOKUP(Tabla58[[#This Row],[Cod trabalhador]],'Altas Wiseowe'!B:E,1,0)&lt;&gt;"","WS",""),"")</f>
        <v/>
      </c>
      <c r="G44" s="101" t="str">
        <f>IFERROR(IF(VLOOKUP(Tabla58[[#This Row],[Cod trabalhador]],'Altas Luminous'!B:E,1,0)&lt;&gt;"","LM",""),"")</f>
        <v/>
      </c>
      <c r="H44" s="51" t="str">
        <f>IFERROR(VLOOKUP(Tabla58[[#This Row],[Cod trabalhador]],'Altas Wiseowe'!B:E,3,FALSE),"")</f>
        <v/>
      </c>
      <c r="I44" s="51" t="str">
        <f>IF(OR(Tabla58[[#This Row],[Cod trabalhador]]="",ISBLANK(Tabla58[[#This Row],[Cod trabalhador]])),"",IFERROR(IF(VLOOKUP(Tabla58[[#This Row],[Cod trabalhador]],'Altas Wiseowe'!B:E,4,FALSE)=0,"",VLOOKUP(Tabla58[[#This Row],[Cod trabalhador]],'Altas Wiseowe'!B:E,4,FALSE)),""))</f>
        <v/>
      </c>
      <c r="J44" s="44">
        <f t="shared" si="1"/>
        <v>0</v>
      </c>
      <c r="K44" s="376" t="s">
        <v>7274</v>
      </c>
      <c r="L44" s="342" t="str">
        <f>IFERROR(IF(Tabla58[[#This Row],[Cod trabalhador]]="",Tabla58[[#This Row],[Cod trabalhador]], INDEX(Colaborador_ID[Nombre], MATCH(Tabla58[[#This Row],[Cod trabalhador]],Colaborador_ID[Cod_colab], 0))), "")</f>
        <v>REINERD SALAZAR FAJARDO</v>
      </c>
      <c r="N44" s="405" t="s">
        <v>7270</v>
      </c>
      <c r="O44" s="26">
        <f>IFERROR(VLOOKUP(Tabla58[[#This Row],[Cod trabalhador]],Tabla15[],4,FALSE),"")</f>
        <v>16</v>
      </c>
      <c r="P44" s="92">
        <f>IFERROR(VLOOKUP(Tabla58[[#This Row],[Cod trabalhador]],'TotalHorasAjustadas (2)'!D:L,8,FALSE),"")</f>
        <v>34</v>
      </c>
      <c r="Q44" s="27">
        <v>80</v>
      </c>
      <c r="R44" s="28" t="s">
        <v>7532</v>
      </c>
      <c r="S44" s="28" t="s">
        <v>7539</v>
      </c>
      <c r="U44" s="25"/>
      <c r="V44" s="220"/>
      <c r="W44" s="27"/>
      <c r="X44" s="28"/>
      <c r="Y44" s="28"/>
      <c r="Z44" s="149"/>
      <c r="AA44" s="392" t="str">
        <f>IFERROR(VLOOKUP(Tabla58[[#This Row],[Cod trabalhador]],Alojamentos!B:P,11,FALSE),"")</f>
        <v/>
      </c>
      <c r="AB44" s="127"/>
      <c r="AC44" s="150"/>
      <c r="AD44" s="35">
        <f>Tabla58[[#This Row],[Dias de alta]]*7.058</f>
        <v>0</v>
      </c>
      <c r="AE44" s="46" t="str">
        <f>IFERROR(VLOOKUP(Tabla58[[#This Row],[Cod trabalhador]],Adiantamentos!B:L,7,FALSE),"")</f>
        <v/>
      </c>
      <c r="AF44" s="46">
        <f>IFERROR(VLOOKUP(Tabla58[[#This Row],[Cod trabalhador]],Carro!B:D,3,FALSE),"")</f>
        <v>15</v>
      </c>
      <c r="AG44" s="46" t="str">
        <f>IFERROR(VLOOKUP(Tabla58[[#This Row],[Cod trabalhador]],'Outros descontos'!B:O,7,FALSE),"")</f>
        <v/>
      </c>
      <c r="AH44" s="46" t="str">
        <f>IFERROR(VLOOKUP(Tabla58[[#This Row],[Cod trabalhador]],'Outros descontos'!B:M,8,FALSE),"")</f>
        <v/>
      </c>
      <c r="AI44" s="46" t="str">
        <f>IFERROR(VLOOKUP(Tabla58[[#This Row],[Cod trabalhador]],'Outros descontos'!B:M,9,FALSE),"")</f>
        <v/>
      </c>
      <c r="AJ44" s="46" t="str">
        <f>IFERROR(VLOOKUP(Tabla58[[#This Row],[Cod trabalhador]],'Outros descontos'!B:M,10,FALSE),"")</f>
        <v/>
      </c>
      <c r="AK44" s="46" t="str">
        <f>IFERROR(VLOOKUP(Tabla58[[#This Row],[Cod trabalhador]],'Outros descontos'!B:M,11,FALSE),"")</f>
        <v/>
      </c>
      <c r="AL44" s="46" t="str">
        <f>IFERROR(VLOOKUP(Tabla58[[#This Row],[Cod trabalhador]],'Outros descontos'!B:R,12,FALSE),"")</f>
        <v/>
      </c>
      <c r="AM44" s="46" t="str">
        <f>IFERROR(VLOOKUP(Tabla58[[#This Row],[Cod trabalhador]],'Outros descontos'!B:M,13,FALSE),"")</f>
        <v/>
      </c>
      <c r="AN44" s="41"/>
      <c r="AO44" s="37">
        <v>4.08</v>
      </c>
      <c r="AP44" s="15"/>
      <c r="AQ44"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524.91999999999996</v>
      </c>
      <c r="AR44"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1260.92</v>
      </c>
      <c r="AS44" s="15"/>
      <c r="AT44" s="27" t="str">
        <f>IF(Tabla58[[#This Row],[Cod trabalhador]]="", "", INDEX(Iban!C:C, MATCH(Tabla58[[#This Row],[Cod trabalhador]],Iban!A:A, 0)))</f>
        <v>ES85 0182 7081 4402 0159 4119</v>
      </c>
      <c r="AU44" s="27"/>
      <c r="AV44" s="27"/>
      <c r="AW44" s="66" t="s">
        <v>7533</v>
      </c>
      <c r="AX44" s="296" t="s">
        <v>7472</v>
      </c>
    </row>
    <row r="45" spans="1:50" ht="16.5" hidden="1" customHeight="1" x14ac:dyDescent="0.3">
      <c r="A45" s="43"/>
      <c r="B45" s="39" t="s">
        <v>6707</v>
      </c>
      <c r="C45" s="45" t="str">
        <f>IF(ISNUMBER(MATCH(Tabla58[[#This Row],[Cod trabalhador]],'Altas Wiseowe'!B:B, 0)), "Ativo", "Não ativo")</f>
        <v>Não ativo</v>
      </c>
      <c r="D45" s="44" t="str">
        <f>IFERROR(IF(VLOOKUP(Tabla58[[#This Row],[Cod trabalhador]],'Altas Industrial'!B:E,1,0)&lt;&gt;"","KI",""),"")</f>
        <v/>
      </c>
      <c r="E45" s="44" t="str">
        <f>IFERROR(IF(VLOOKUP(Tabla58[[#This Row],[Cod trabalhador]],'Altas Rosas'!B:F,1,0)&lt;&gt;"","KR",""),"")</f>
        <v/>
      </c>
      <c r="F45" s="44" t="str">
        <f>IFERROR(IF(VLOOKUP(Tabla58[[#This Row],[Cod trabalhador]],'Altas Wiseowe'!B:E,1,0)&lt;&gt;"","WS",""),"")</f>
        <v/>
      </c>
      <c r="G45" s="101" t="str">
        <f>IFERROR(IF(VLOOKUP(Tabla58[[#This Row],[Cod trabalhador]],'Altas Luminous'!B:E,1,0)&lt;&gt;"","LM",""),"")</f>
        <v/>
      </c>
      <c r="H45" s="51" t="str">
        <f>IFERROR(VLOOKUP(Tabla58[[#This Row],[Cod trabalhador]],'Altas Wiseowe'!B:E,3,FALSE),"")</f>
        <v/>
      </c>
      <c r="I45" s="51" t="str">
        <f>IF(OR(Tabla58[[#This Row],[Cod trabalhador]]="",ISBLANK(Tabla58[[#This Row],[Cod trabalhador]])),"",IFERROR(IF(VLOOKUP(Tabla58[[#This Row],[Cod trabalhador]],'Altas Wiseowe'!B:E,4,FALSE)=0,"",VLOOKUP(Tabla58[[#This Row],[Cod trabalhador]],'Altas Wiseowe'!B:E,4,FALSE)),""))</f>
        <v/>
      </c>
      <c r="J45" s="44">
        <f t="shared" si="1"/>
        <v>0</v>
      </c>
      <c r="K45" s="376" t="s">
        <v>6708</v>
      </c>
      <c r="L45" s="342" t="str">
        <f>IFERROR(IF(Tabla58[[#This Row],[Cod trabalhador]]="",Tabla58[[#This Row],[Cod trabalhador]], INDEX(Colaborador_ID[Nombre], MATCH(Tabla58[[#This Row],[Cod trabalhador]],Colaborador_ID[Cod_colab], 0))), "")</f>
        <v>WILMER ANDRES AREVALO MARIN</v>
      </c>
      <c r="N45" s="405" t="s">
        <v>7270</v>
      </c>
      <c r="O45" s="26">
        <f>IFERROR(VLOOKUP(Tabla58[[#This Row],[Cod trabalhador]],Tabla15[],4,FALSE),"")</f>
        <v>15</v>
      </c>
      <c r="P45" s="92">
        <f>IFERROR(VLOOKUP(Tabla58[[#This Row],[Cod trabalhador]],'TotalHorasAjustadas (2)'!D:L,8,FALSE),"")</f>
        <v>206</v>
      </c>
      <c r="Q45" s="27">
        <v>206</v>
      </c>
      <c r="R45" s="28" t="s">
        <v>7532</v>
      </c>
      <c r="S45" s="28" t="s">
        <v>7539</v>
      </c>
      <c r="U45" s="25"/>
      <c r="V45" s="220"/>
      <c r="W45" s="27"/>
      <c r="X45" s="28"/>
      <c r="Y45" s="28"/>
      <c r="Z45" s="149"/>
      <c r="AA45" s="392" t="str">
        <f>IFERROR(VLOOKUP(Tabla58[[#This Row],[Cod trabalhador]],Alojamentos!B:P,11,FALSE),"")</f>
        <v/>
      </c>
      <c r="AB45" s="127"/>
      <c r="AC45" s="150"/>
      <c r="AD45" s="35">
        <f>Tabla58[[#This Row],[Dias de alta]]*7.058</f>
        <v>0</v>
      </c>
      <c r="AE45" s="46" t="str">
        <f>IFERROR(VLOOKUP(Tabla58[[#This Row],[Cod trabalhador]],Adiantamentos!B:L,7,FALSE),"")</f>
        <v/>
      </c>
      <c r="AF45" s="46" t="str">
        <f>IFERROR(VLOOKUP(Tabla58[[#This Row],[Cod trabalhador]],Carro!B:D,3,FALSE),"")</f>
        <v/>
      </c>
      <c r="AG45" s="46">
        <f>IFERROR(VLOOKUP(Tabla58[[#This Row],[Cod trabalhador]],'Outros descontos'!B:O,7,FALSE),"")</f>
        <v>0</v>
      </c>
      <c r="AH45" s="46">
        <f>IFERROR(VLOOKUP(Tabla58[[#This Row],[Cod trabalhador]],'Outros descontos'!B:M,8,FALSE),"")</f>
        <v>0</v>
      </c>
      <c r="AI45" s="46">
        <f>IFERROR(VLOOKUP(Tabla58[[#This Row],[Cod trabalhador]],'Outros descontos'!B:M,9,FALSE),"")</f>
        <v>0</v>
      </c>
      <c r="AJ45" s="46">
        <f>IFERROR(VLOOKUP(Tabla58[[#This Row],[Cod trabalhador]],'Outros descontos'!B:M,10,FALSE),"")</f>
        <v>0</v>
      </c>
      <c r="AK45" s="46">
        <f>IFERROR(VLOOKUP(Tabla58[[#This Row],[Cod trabalhador]],'Outros descontos'!B:M,11,FALSE),"")</f>
        <v>0</v>
      </c>
      <c r="AL45" s="46">
        <f>IFERROR(VLOOKUP(Tabla58[[#This Row],[Cod trabalhador]],'Outros descontos'!B:R,12,FALSE),"")</f>
        <v>21.74</v>
      </c>
      <c r="AM45" s="46" t="str">
        <f>IFERROR(VLOOKUP(Tabla58[[#This Row],[Cod trabalhador]],'Outros descontos'!B:M,13,FALSE),"")</f>
        <v/>
      </c>
      <c r="AN45" s="41"/>
      <c r="AO45" s="37">
        <v>4.08</v>
      </c>
      <c r="AP45" s="15"/>
      <c r="AQ45"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3064.1800000000003</v>
      </c>
      <c r="AR45"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3064.1800000000003</v>
      </c>
      <c r="AS45" s="15"/>
      <c r="AT45" s="27" t="str">
        <f>IF(Tabla58[[#This Row],[Cod trabalhador]]="", "", INDEX(Iban!C:C, MATCH(Tabla58[[#This Row],[Cod trabalhador]],Iban!A:A, 0)))</f>
        <v>ES84 0182 1005 3702 0172 5232</v>
      </c>
      <c r="AU45" s="27"/>
      <c r="AV45" s="27"/>
      <c r="AW45" s="66" t="s">
        <v>7533</v>
      </c>
      <c r="AX45" s="296" t="s">
        <v>7472</v>
      </c>
    </row>
    <row r="46" spans="1:50" ht="16.5" hidden="1" customHeight="1" x14ac:dyDescent="0.3">
      <c r="A46" s="43"/>
      <c r="B46" s="39" t="s">
        <v>1670</v>
      </c>
      <c r="C46" s="45" t="str">
        <f>IF(ISNUMBER(MATCH(Tabla58[[#This Row],[Cod trabalhador]],'Altas Wiseowe'!B:B, 0)), "Ativo", "Não ativo")</f>
        <v>Não ativo</v>
      </c>
      <c r="D46" s="44" t="str">
        <f>IFERROR(IF(VLOOKUP(Tabla58[[#This Row],[Cod trabalhador]],'Altas Industrial'!B:E,1,0)&lt;&gt;"","KI",""),"")</f>
        <v/>
      </c>
      <c r="E46" s="44" t="str">
        <f>IFERROR(IF(VLOOKUP(Tabla58[[#This Row],[Cod trabalhador]],'Altas Rosas'!B:F,1,0)&lt;&gt;"","KR",""),"")</f>
        <v/>
      </c>
      <c r="F46" s="44" t="str">
        <f>IFERROR(IF(VLOOKUP(Tabla58[[#This Row],[Cod trabalhador]],'Altas Wiseowe'!B:E,1,0)&lt;&gt;"","WS",""),"")</f>
        <v/>
      </c>
      <c r="G46" s="101" t="str">
        <f>IFERROR(IF(VLOOKUP(Tabla58[[#This Row],[Cod trabalhador]],'Altas Luminous'!B:E,1,0)&lt;&gt;"","LM",""),"")</f>
        <v/>
      </c>
      <c r="H46" s="51" t="str">
        <f>IFERROR(VLOOKUP(Tabla58[[#This Row],[Cod trabalhador]],'Altas Wiseowe'!B:E,3,FALSE),"")</f>
        <v/>
      </c>
      <c r="I46" s="51" t="str">
        <f>IF(OR(Tabla58[[#This Row],[Cod trabalhador]]="",ISBLANK(Tabla58[[#This Row],[Cod trabalhador]])),"",IFERROR(IF(VLOOKUP(Tabla58[[#This Row],[Cod trabalhador]],'Altas Wiseowe'!B:E,4,FALSE)=0,"",VLOOKUP(Tabla58[[#This Row],[Cod trabalhador]],'Altas Wiseowe'!B:E,4,FALSE)),""))</f>
        <v/>
      </c>
      <c r="J46" s="44">
        <f t="shared" si="1"/>
        <v>0</v>
      </c>
      <c r="K46" s="376" t="s">
        <v>7277</v>
      </c>
      <c r="L46" s="342" t="str">
        <f>IFERROR(IF(Tabla58[[#This Row],[Cod trabalhador]]="",Tabla58[[#This Row],[Cod trabalhador]], INDEX(Colaborador_ID[Nombre], MATCH(Tabla58[[#This Row],[Cod trabalhador]],Colaborador_ID[Cod_colab], 0))), "")</f>
        <v>EDWIN CASTANEDA HENAO</v>
      </c>
      <c r="N46" s="405" t="s">
        <v>7275</v>
      </c>
      <c r="O46" s="26">
        <f>IFERROR(VLOOKUP(Tabla58[[#This Row],[Cod trabalhador]],Tabla15[],4,FALSE),"")</f>
        <v>15</v>
      </c>
      <c r="P46" s="92">
        <f>IFERROR(VLOOKUP(Tabla58[[#This Row],[Cod trabalhador]],'TotalHorasAjustadas (2)'!D:L,8,FALSE),"")</f>
        <v>135</v>
      </c>
      <c r="Q46" s="27">
        <v>135</v>
      </c>
      <c r="R46" s="28" t="s">
        <v>7532</v>
      </c>
      <c r="S46" s="28" t="s">
        <v>7539</v>
      </c>
      <c r="U46" s="25"/>
      <c r="V46" s="220"/>
      <c r="W46" s="27"/>
      <c r="X46" s="28"/>
      <c r="Y46" s="28"/>
      <c r="Z46" s="149"/>
      <c r="AA46" s="392">
        <f>IFERROR(VLOOKUP(Tabla58[[#This Row],[Cod trabalhador]],Alojamentos!B:P,11,FALSE),"")</f>
        <v>140</v>
      </c>
      <c r="AB46" s="127"/>
      <c r="AC46" s="150"/>
      <c r="AD46" s="35">
        <f>Tabla58[[#This Row],[Dias de alta]]*7.058</f>
        <v>0</v>
      </c>
      <c r="AE46" s="46" t="str">
        <f>IFERROR(VLOOKUP(Tabla58[[#This Row],[Cod trabalhador]],Adiantamentos!B:L,7,FALSE),"")</f>
        <v/>
      </c>
      <c r="AF46" s="46" t="str">
        <f>IFERROR(VLOOKUP(Tabla58[[#This Row],[Cod trabalhador]],Carro!B:D,3,FALSE),"")</f>
        <v/>
      </c>
      <c r="AG46" s="46" t="str">
        <f>IFERROR(VLOOKUP(Tabla58[[#This Row],[Cod trabalhador]],'Outros descontos'!B:O,7,FALSE),"")</f>
        <v/>
      </c>
      <c r="AH46" s="46" t="str">
        <f>IFERROR(VLOOKUP(Tabla58[[#This Row],[Cod trabalhador]],'Outros descontos'!B:M,8,FALSE),"")</f>
        <v/>
      </c>
      <c r="AI46" s="46" t="str">
        <f>IFERROR(VLOOKUP(Tabla58[[#This Row],[Cod trabalhador]],'Outros descontos'!B:M,9,FALSE),"")</f>
        <v/>
      </c>
      <c r="AJ46" s="46" t="str">
        <f>IFERROR(VLOOKUP(Tabla58[[#This Row],[Cod trabalhador]],'Outros descontos'!B:M,10,FALSE),"")</f>
        <v/>
      </c>
      <c r="AK46" s="46" t="str">
        <f>IFERROR(VLOOKUP(Tabla58[[#This Row],[Cod trabalhador]],'Outros descontos'!B:M,11,FALSE),"")</f>
        <v/>
      </c>
      <c r="AL46" s="46" t="str">
        <f>IFERROR(VLOOKUP(Tabla58[[#This Row],[Cod trabalhador]],'Outros descontos'!B:R,12,FALSE),"")</f>
        <v/>
      </c>
      <c r="AM46" s="46" t="str">
        <f>IFERROR(VLOOKUP(Tabla58[[#This Row],[Cod trabalhador]],'Outros descontos'!B:M,13,FALSE),"")</f>
        <v/>
      </c>
      <c r="AN46" s="41"/>
      <c r="AO46" s="37">
        <v>4.08</v>
      </c>
      <c r="AP46" s="15"/>
      <c r="AQ46"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2160.92</v>
      </c>
      <c r="AR46"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2160.92</v>
      </c>
      <c r="AS46" s="15"/>
      <c r="AT46" s="27" t="str">
        <f>IF(Tabla58[[#This Row],[Cod trabalhador]]="", "", INDEX(Iban!C:C, MATCH(Tabla58[[#This Row],[Cod trabalhador]],Iban!A:A, 0)))</f>
        <v>ES07 0182 1215 8802 0155 3957</v>
      </c>
      <c r="AU46" s="27"/>
      <c r="AV46" s="97"/>
      <c r="AW46" s="66" t="s">
        <v>7533</v>
      </c>
      <c r="AX46" s="296" t="s">
        <v>7472</v>
      </c>
    </row>
    <row r="47" spans="1:50" ht="16.5" hidden="1" customHeight="1" x14ac:dyDescent="0.3">
      <c r="A47" s="43"/>
      <c r="B47" s="39" t="s">
        <v>6328</v>
      </c>
      <c r="C47" s="45" t="str">
        <f>IF(ISNUMBER(MATCH(Tabla58[[#This Row],[Cod trabalhador]],'Altas Wiseowe'!B:B, 0)), "Ativo", "Não ativo")</f>
        <v>Ativo</v>
      </c>
      <c r="D47" s="44" t="str">
        <f>IFERROR(IF(VLOOKUP(Tabla58[[#This Row],[Cod trabalhador]],'Altas Industrial'!B:E,1,0)&lt;&gt;"","KI",""),"")</f>
        <v/>
      </c>
      <c r="E47" s="44" t="str">
        <f>IFERROR(IF(VLOOKUP(Tabla58[[#This Row],[Cod trabalhador]],'Altas Rosas'!B:F,1,0)&lt;&gt;"","KR",""),"")</f>
        <v/>
      </c>
      <c r="F47" s="44" t="str">
        <f>IFERROR(IF(VLOOKUP(Tabla58[[#This Row],[Cod trabalhador]],'Altas Wiseowe'!B:E,1,0)&lt;&gt;"","WS",""),"")</f>
        <v>WS</v>
      </c>
      <c r="G47" s="101" t="str">
        <f>IFERROR(IF(VLOOKUP(Tabla58[[#This Row],[Cod trabalhador]],'Altas Luminous'!B:E,1,0)&lt;&gt;"","LM",""),"")</f>
        <v/>
      </c>
      <c r="H47" s="51">
        <f>IFERROR(VLOOKUP(Tabla58[[#This Row],[Cod trabalhador]],'Altas Wiseowe'!B:E,3,FALSE),"")</f>
        <v>45873</v>
      </c>
      <c r="I47" s="51" t="str">
        <f>IF(OR(Tabla58[[#This Row],[Cod trabalhador]]="",ISBLANK(Tabla58[[#This Row],[Cod trabalhador]])),"",IFERROR(IF(VLOOKUP(Tabla58[[#This Row],[Cod trabalhador]],'Altas Wiseowe'!B:E,4,FALSE)=0,"",VLOOKUP(Tabla58[[#This Row],[Cod trabalhador]],'Altas Wiseowe'!B:E,4,FALSE)),""))</f>
        <v/>
      </c>
      <c r="J47" s="44">
        <f t="shared" si="1"/>
        <v>31</v>
      </c>
      <c r="K47" s="376" t="s">
        <v>7278</v>
      </c>
      <c r="L47" s="342" t="str">
        <f>IFERROR(IF(Tabla58[[#This Row],[Cod trabalhador]]="",Tabla58[[#This Row],[Cod trabalhador]], INDEX(Colaborador_ID[Nombre], MATCH(Tabla58[[#This Row],[Cod trabalhador]],Colaborador_ID[Cod_colab], 0))), "")</f>
        <v>SERGIO DANIEL GOMEZ ARAMBURO</v>
      </c>
      <c r="N47" s="405" t="s">
        <v>7275</v>
      </c>
      <c r="O47" s="26">
        <f>IFERROR(VLOOKUP(Tabla58[[#This Row],[Cod trabalhador]],Tabla15[],4,FALSE),"")</f>
        <v>15</v>
      </c>
      <c r="P47" s="92">
        <f>IFERROR(VLOOKUP(Tabla58[[#This Row],[Cod trabalhador]],'TotalHorasAjustadas (2)'!D:L,8,FALSE),"")</f>
        <v>141</v>
      </c>
      <c r="Q47" s="27">
        <v>141</v>
      </c>
      <c r="R47" s="28" t="s">
        <v>7532</v>
      </c>
      <c r="S47" s="28" t="s">
        <v>7539</v>
      </c>
      <c r="U47" s="25"/>
      <c r="V47" s="220"/>
      <c r="W47" s="27"/>
      <c r="X47" s="28"/>
      <c r="Y47" s="28"/>
      <c r="Z47" s="149"/>
      <c r="AA47" s="392" t="str">
        <f>IFERROR(VLOOKUP(Tabla58[[#This Row],[Cod trabalhador]],Alojamentos!B:P,11,FALSE),"")</f>
        <v/>
      </c>
      <c r="AB47" s="127"/>
      <c r="AC47" s="150"/>
      <c r="AD47" s="35">
        <f>Tabla58[[#This Row],[Dias de alta]]*7.058</f>
        <v>218.798</v>
      </c>
      <c r="AE47" s="46" t="str">
        <f>IFERROR(VLOOKUP(Tabla58[[#This Row],[Cod trabalhador]],Adiantamentos!B:L,7,FALSE),"")</f>
        <v/>
      </c>
      <c r="AF47" s="46" t="str">
        <f>IFERROR(VLOOKUP(Tabla58[[#This Row],[Cod trabalhador]],Carro!B:D,3,FALSE),"")</f>
        <v/>
      </c>
      <c r="AG47" s="46">
        <f>IFERROR(VLOOKUP(Tabla58[[#This Row],[Cod trabalhador]],'Outros descontos'!B:O,7,FALSE),"")</f>
        <v>0</v>
      </c>
      <c r="AH47" s="46">
        <f>IFERROR(VLOOKUP(Tabla58[[#This Row],[Cod trabalhador]],'Outros descontos'!B:M,8,FALSE),"")</f>
        <v>0</v>
      </c>
      <c r="AI47" s="46">
        <f>IFERROR(VLOOKUP(Tabla58[[#This Row],[Cod trabalhador]],'Outros descontos'!B:M,9,FALSE),"")</f>
        <v>0</v>
      </c>
      <c r="AJ47" s="46">
        <f>IFERROR(VLOOKUP(Tabla58[[#This Row],[Cod trabalhador]],'Outros descontos'!B:M,10,FALSE),"")</f>
        <v>148.97</v>
      </c>
      <c r="AK47" s="46">
        <f>IFERROR(VLOOKUP(Tabla58[[#This Row],[Cod trabalhador]],'Outros descontos'!B:M,11,FALSE),"")</f>
        <v>0</v>
      </c>
      <c r="AL47" s="46">
        <f>IFERROR(VLOOKUP(Tabla58[[#This Row],[Cod trabalhador]],'Outros descontos'!B:R,12,FALSE),"")</f>
        <v>0</v>
      </c>
      <c r="AM47" s="46" t="str">
        <f>IFERROR(VLOOKUP(Tabla58[[#This Row],[Cod trabalhador]],'Outros descontos'!B:M,13,FALSE),"")</f>
        <v/>
      </c>
      <c r="AN47" s="41"/>
      <c r="AO47" s="37">
        <v>4.08</v>
      </c>
      <c r="AP47" s="15"/>
      <c r="AQ47"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1743.152</v>
      </c>
      <c r="AR47"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1743.152</v>
      </c>
      <c r="AS47" s="15"/>
      <c r="AT47" s="27" t="str">
        <f>IF(Tabla58[[#This Row],[Cod trabalhador]]="", "", INDEX(Iban!C:C, MATCH(Tabla58[[#This Row],[Cod trabalhador]],Iban!A:A, 0)))</f>
        <v>ES59 0182 1212 4702 0156 4783</v>
      </c>
      <c r="AU47" s="27"/>
      <c r="AV47" s="27"/>
      <c r="AW47" s="66" t="s">
        <v>7540</v>
      </c>
      <c r="AX47" s="296" t="s">
        <v>7472</v>
      </c>
    </row>
    <row r="48" spans="1:50" ht="16.5" hidden="1" customHeight="1" x14ac:dyDescent="0.3">
      <c r="A48" s="43"/>
      <c r="B48" s="39" t="s">
        <v>1169</v>
      </c>
      <c r="C48" s="45" t="str">
        <f>IF(ISNUMBER(MATCH(Tabla58[[#This Row],[Cod trabalhador]],'Altas Wiseowe'!B:B, 0)), "Ativo", "Não ativo")</f>
        <v>Não ativo</v>
      </c>
      <c r="D48" s="44" t="str">
        <f>IFERROR(IF(VLOOKUP(Tabla58[[#This Row],[Cod trabalhador]],'Altas Industrial'!B:E,1,0)&lt;&gt;"","KI",""),"")</f>
        <v/>
      </c>
      <c r="E48" s="44" t="str">
        <f>IFERROR(IF(VLOOKUP(Tabla58[[#This Row],[Cod trabalhador]],'Altas Rosas'!B:F,1,0)&lt;&gt;"","KR",""),"")</f>
        <v/>
      </c>
      <c r="F48" s="44" t="str">
        <f>IFERROR(IF(VLOOKUP(Tabla58[[#This Row],[Cod trabalhador]],'Altas Wiseowe'!B:E,1,0)&lt;&gt;"","WS",""),"")</f>
        <v/>
      </c>
      <c r="G48" s="101" t="str">
        <f>IFERROR(IF(VLOOKUP(Tabla58[[#This Row],[Cod trabalhador]],'Altas Luminous'!B:E,1,0)&lt;&gt;"","LM",""),"")</f>
        <v/>
      </c>
      <c r="H48" s="51" t="str">
        <f>IFERROR(VLOOKUP(Tabla58[[#This Row],[Cod trabalhador]],'Altas Wiseowe'!B:E,3,FALSE),"")</f>
        <v/>
      </c>
      <c r="I48" s="51" t="str">
        <f>IF(OR(Tabla58[[#This Row],[Cod trabalhador]]="",ISBLANK(Tabla58[[#This Row],[Cod trabalhador]])),"",IFERROR(IF(VLOOKUP(Tabla58[[#This Row],[Cod trabalhador]],'Altas Wiseowe'!B:E,4,FALSE)=0,"",VLOOKUP(Tabla58[[#This Row],[Cod trabalhador]],'Altas Wiseowe'!B:E,4,FALSE)),""))</f>
        <v/>
      </c>
      <c r="J48" s="44">
        <f t="shared" si="1"/>
        <v>0</v>
      </c>
      <c r="K48" s="376" t="s">
        <v>1170</v>
      </c>
      <c r="L48" s="342" t="str">
        <f>IFERROR(IF(Tabla58[[#This Row],[Cod trabalhador]]="",Tabla58[[#This Row],[Cod trabalhador]], INDEX(Colaborador_ID[Nombre], MATCH(Tabla58[[#This Row],[Cod trabalhador]],Colaborador_ID[Cod_colab], 0))), "")</f>
        <v>DANIER CALDERON SALAS</v>
      </c>
      <c r="M48" s="340"/>
      <c r="N48" s="405" t="s">
        <v>7279</v>
      </c>
      <c r="O48" s="26">
        <f>IFERROR(VLOOKUP(Tabla58[[#This Row],[Cod trabalhador]],Tabla15[],4,FALSE),"")</f>
        <v>15</v>
      </c>
      <c r="P48" s="92">
        <f>IFERROR(VLOOKUP(Tabla58[[#This Row],[Cod trabalhador]],'TotalHorasAjustadas (2)'!D:L,8,FALSE),"")</f>
        <v>180</v>
      </c>
      <c r="Q48" s="27">
        <v>180</v>
      </c>
      <c r="R48" s="28" t="s">
        <v>7532</v>
      </c>
      <c r="S48" s="28" t="s">
        <v>7539</v>
      </c>
      <c r="U48" s="25"/>
      <c r="V48" s="220"/>
      <c r="W48" s="27"/>
      <c r="X48" s="28"/>
      <c r="Y48" s="28"/>
      <c r="Z48" s="149"/>
      <c r="AA48" s="392">
        <f>IFERROR(VLOOKUP(Tabla58[[#This Row],[Cod trabalhador]],Alojamentos!B:P,11,FALSE),"")</f>
        <v>110</v>
      </c>
      <c r="AB48" s="127"/>
      <c r="AC48" s="150"/>
      <c r="AD48" s="35">
        <f>Tabla58[[#This Row],[Dias de alta]]*7.058</f>
        <v>0</v>
      </c>
      <c r="AE48" s="46" t="str">
        <f>IFERROR(VLOOKUP(Tabla58[[#This Row],[Cod trabalhador]],Adiantamentos!B:L,7,FALSE),"")</f>
        <v/>
      </c>
      <c r="AF48" s="46">
        <f>IFERROR(VLOOKUP(Tabla58[[#This Row],[Cod trabalhador]],Carro!B:D,3,FALSE),"")</f>
        <v>120</v>
      </c>
      <c r="AG48" s="46">
        <f>IFERROR(VLOOKUP(Tabla58[[#This Row],[Cod trabalhador]],'Outros descontos'!B:O,7,FALSE),"")</f>
        <v>185</v>
      </c>
      <c r="AH48" s="46">
        <f>IFERROR(VLOOKUP(Tabla58[[#This Row],[Cod trabalhador]],'Outros descontos'!B:M,8,FALSE),"")</f>
        <v>0</v>
      </c>
      <c r="AI48" s="46">
        <f>IFERROR(VLOOKUP(Tabla58[[#This Row],[Cod trabalhador]],'Outros descontos'!B:M,9,FALSE),"")</f>
        <v>0</v>
      </c>
      <c r="AJ48" s="46">
        <f>IFERROR(VLOOKUP(Tabla58[[#This Row],[Cod trabalhador]],'Outros descontos'!B:M,10,FALSE),"")</f>
        <v>0</v>
      </c>
      <c r="AK48" s="46">
        <f>IFERROR(VLOOKUP(Tabla58[[#This Row],[Cod trabalhador]],'Outros descontos'!B:M,11,FALSE),"")</f>
        <v>0</v>
      </c>
      <c r="AL48" s="46">
        <f>IFERROR(VLOOKUP(Tabla58[[#This Row],[Cod trabalhador]],'Outros descontos'!B:R,12,FALSE),"")</f>
        <v>0</v>
      </c>
      <c r="AM48" s="46" t="str">
        <f>IFERROR(VLOOKUP(Tabla58[[#This Row],[Cod trabalhador]],'Outros descontos'!B:M,13,FALSE),"")</f>
        <v/>
      </c>
      <c r="AN48" s="41"/>
      <c r="AO48" s="37">
        <v>4.08</v>
      </c>
      <c r="AP48" s="15"/>
      <c r="AQ48"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2500.92</v>
      </c>
      <c r="AR48"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2500.92</v>
      </c>
      <c r="AS48" s="15"/>
      <c r="AT48" s="27" t="str">
        <f>IF(Tabla58[[#This Row],[Cod trabalhador]]="", "", INDEX(Iban!C:C, MATCH(Tabla58[[#This Row],[Cod trabalhador]],Iban!A:A, 0)))</f>
        <v>ES22 6893 0001 7000 0032 5573</v>
      </c>
      <c r="AU48" s="27"/>
      <c r="AV48" s="97"/>
      <c r="AW48" s="66" t="s">
        <v>7533</v>
      </c>
      <c r="AX48" s="296" t="s">
        <v>7472</v>
      </c>
    </row>
    <row r="49" spans="1:50" ht="16.5" hidden="1" customHeight="1" x14ac:dyDescent="0.3">
      <c r="A49" s="43"/>
      <c r="B49" s="39" t="s">
        <v>1389</v>
      </c>
      <c r="C49" s="45" t="str">
        <f>IF(ISNUMBER(MATCH(Tabla58[[#This Row],[Cod trabalhador]],'Altas Wiseowe'!B:B, 0)), "Ativo", "Não ativo")</f>
        <v>Ativo</v>
      </c>
      <c r="D49" s="44" t="str">
        <f>IFERROR(IF(VLOOKUP(Tabla58[[#This Row],[Cod trabalhador]],'Altas Industrial'!B:E,1,0)&lt;&gt;"","KI",""),"")</f>
        <v/>
      </c>
      <c r="E49" s="44" t="str">
        <f>IFERROR(IF(VLOOKUP(Tabla58[[#This Row],[Cod trabalhador]],'Altas Rosas'!B:F,1,0)&lt;&gt;"","KR",""),"")</f>
        <v/>
      </c>
      <c r="F49" s="44" t="str">
        <f>IFERROR(IF(VLOOKUP(Tabla58[[#This Row],[Cod trabalhador]],'Altas Wiseowe'!B:E,1,0)&lt;&gt;"","WS",""),"")</f>
        <v>WS</v>
      </c>
      <c r="G49" s="101" t="str">
        <f>IFERROR(IF(VLOOKUP(Tabla58[[#This Row],[Cod trabalhador]],'Altas Luminous'!B:E,1,0)&lt;&gt;"","LM",""),"")</f>
        <v/>
      </c>
      <c r="H49" s="51">
        <f>IFERROR(VLOOKUP(Tabla58[[#This Row],[Cod trabalhador]],'Altas Wiseowe'!B:E,3,FALSE),"")</f>
        <v>45873</v>
      </c>
      <c r="I49" s="51" t="str">
        <f>IF(OR(Tabla58[[#This Row],[Cod trabalhador]]="",ISBLANK(Tabla58[[#This Row],[Cod trabalhador]])),"",IFERROR(IF(VLOOKUP(Tabla58[[#This Row],[Cod trabalhador]],'Altas Wiseowe'!B:E,4,FALSE)=0,"",VLOOKUP(Tabla58[[#This Row],[Cod trabalhador]],'Altas Wiseowe'!B:E,4,FALSE)),""))</f>
        <v/>
      </c>
      <c r="J49" s="44">
        <f t="shared" si="1"/>
        <v>31</v>
      </c>
      <c r="K49" s="376" t="s">
        <v>1390</v>
      </c>
      <c r="L49" s="342" t="str">
        <f>IFERROR(IF(Tabla58[[#This Row],[Cod trabalhador]]="",Tabla58[[#This Row],[Cod trabalhador]], INDEX(Colaborador_ID[Nombre], MATCH(Tabla58[[#This Row],[Cod trabalhador]],Colaborador_ID[Cod_colab], 0))), "")</f>
        <v>DIEGO ROBERTO SOUZA SCAVACINI</v>
      </c>
      <c r="M49" s="340"/>
      <c r="N49" s="405" t="s">
        <v>7280</v>
      </c>
      <c r="O49" s="26">
        <f>IFERROR(VLOOKUP(Tabla58[[#This Row],[Cod trabalhador]],Tabla15[],4,FALSE),"")</f>
        <v>17</v>
      </c>
      <c r="P49" s="92">
        <f>IFERROR(VLOOKUP(Tabla58[[#This Row],[Cod trabalhador]],'TotalHorasAjustadas (2)'!D:L,8,FALSE),"")</f>
        <v>76</v>
      </c>
      <c r="Q49" s="27">
        <v>76</v>
      </c>
      <c r="R49" s="28" t="s">
        <v>7532</v>
      </c>
      <c r="S49" s="28" t="s">
        <v>7539</v>
      </c>
      <c r="U49" s="25"/>
      <c r="V49" s="220"/>
      <c r="W49" s="27"/>
      <c r="X49" s="28"/>
      <c r="Y49" s="28"/>
      <c r="Z49" s="149"/>
      <c r="AA49" s="392" t="str">
        <f>IFERROR(VLOOKUP(Tabla58[[#This Row],[Cod trabalhador]],Alojamentos!B:P,11,FALSE),"")</f>
        <v/>
      </c>
      <c r="AB49" s="127"/>
      <c r="AC49" s="150"/>
      <c r="AD49" s="35">
        <f>Tabla58[[#This Row],[Dias de alta]]*7.058</f>
        <v>218.798</v>
      </c>
      <c r="AE49" s="46" t="str">
        <f>IFERROR(VLOOKUP(Tabla58[[#This Row],[Cod trabalhador]],Adiantamentos!B:L,7,FALSE),"")</f>
        <v/>
      </c>
      <c r="AF49" s="46" t="str">
        <f>IFERROR(VLOOKUP(Tabla58[[#This Row],[Cod trabalhador]],Carro!B:D,3,FALSE),"")</f>
        <v/>
      </c>
      <c r="AG49" s="46" t="str">
        <f>IFERROR(VLOOKUP(Tabla58[[#This Row],[Cod trabalhador]],'Outros descontos'!B:O,7,FALSE),"")</f>
        <v/>
      </c>
      <c r="AH49" s="46" t="str">
        <f>IFERROR(VLOOKUP(Tabla58[[#This Row],[Cod trabalhador]],'Outros descontos'!B:M,8,FALSE),"")</f>
        <v/>
      </c>
      <c r="AI49" s="46" t="str">
        <f>IFERROR(VLOOKUP(Tabla58[[#This Row],[Cod trabalhador]],'Outros descontos'!B:M,9,FALSE),"")</f>
        <v/>
      </c>
      <c r="AJ49" s="46" t="str">
        <f>IFERROR(VLOOKUP(Tabla58[[#This Row],[Cod trabalhador]],'Outros descontos'!B:M,10,FALSE),"")</f>
        <v/>
      </c>
      <c r="AK49" s="46" t="str">
        <f>IFERROR(VLOOKUP(Tabla58[[#This Row],[Cod trabalhador]],'Outros descontos'!B:M,11,FALSE),"")</f>
        <v/>
      </c>
      <c r="AL49" s="46" t="str">
        <f>IFERROR(VLOOKUP(Tabla58[[#This Row],[Cod trabalhador]],'Outros descontos'!B:R,12,FALSE),"")</f>
        <v/>
      </c>
      <c r="AM49" s="46" t="str">
        <f>IFERROR(VLOOKUP(Tabla58[[#This Row],[Cod trabalhador]],'Outros descontos'!B:M,13,FALSE),"")</f>
        <v/>
      </c>
      <c r="AN49" s="41"/>
      <c r="AO49" s="37">
        <v>4.08</v>
      </c>
      <c r="AP49" s="15"/>
      <c r="AQ49"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1069.1220000000001</v>
      </c>
      <c r="AR49"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1069.1220000000001</v>
      </c>
      <c r="AS49" s="15"/>
      <c r="AT49" s="27" t="str">
        <f>IF(Tabla58[[#This Row],[Cod trabalhador]]="", "", INDEX(Iban!C:C, MATCH(Tabla58[[#This Row],[Cod trabalhador]],Iban!A:A, 0)))</f>
        <v>ES38 0049 0199 0328 1136 8533</v>
      </c>
      <c r="AU49" s="27"/>
      <c r="AV49" s="97"/>
      <c r="AW49" s="66" t="s">
        <v>7540</v>
      </c>
      <c r="AX49" s="296" t="s">
        <v>7472</v>
      </c>
    </row>
    <row r="50" spans="1:50" ht="16.5" hidden="1" customHeight="1" x14ac:dyDescent="0.3">
      <c r="A50" s="43"/>
      <c r="B50" s="39" t="s">
        <v>6410</v>
      </c>
      <c r="C50" s="45" t="str">
        <f>IF(ISNUMBER(MATCH(Tabla58[[#This Row],[Cod trabalhador]],'Altas Wiseowe'!B:B, 0)), "Ativo", "Não ativo")</f>
        <v>Ativo</v>
      </c>
      <c r="D50" s="44" t="str">
        <f>IFERROR(IF(VLOOKUP(Tabla58[[#This Row],[Cod trabalhador]],'Altas Industrial'!B:E,1,0)&lt;&gt;"","KI",""),"")</f>
        <v/>
      </c>
      <c r="E50" s="44" t="str">
        <f>IFERROR(IF(VLOOKUP(Tabla58[[#This Row],[Cod trabalhador]],'Altas Rosas'!B:F,1,0)&lt;&gt;"","KR",""),"")</f>
        <v/>
      </c>
      <c r="F50" s="44" t="str">
        <f>IFERROR(IF(VLOOKUP(Tabla58[[#This Row],[Cod trabalhador]],'Altas Wiseowe'!B:E,1,0)&lt;&gt;"","WS",""),"")</f>
        <v>WS</v>
      </c>
      <c r="G50" s="101" t="str">
        <f>IFERROR(IF(VLOOKUP(Tabla58[[#This Row],[Cod trabalhador]],'Altas Luminous'!B:E,1,0)&lt;&gt;"","LM",""),"")</f>
        <v/>
      </c>
      <c r="H50" s="51">
        <f>IFERROR(VLOOKUP(Tabla58[[#This Row],[Cod trabalhador]],'Altas Wiseowe'!B:E,3,FALSE),"")</f>
        <v>45873</v>
      </c>
      <c r="I50" s="51" t="str">
        <f>IF(OR(Tabla58[[#This Row],[Cod trabalhador]]="",ISBLANK(Tabla58[[#This Row],[Cod trabalhador]])),"",IFERROR(IF(VLOOKUP(Tabla58[[#This Row],[Cod trabalhador]],'Altas Wiseowe'!B:E,4,FALSE)=0,"",VLOOKUP(Tabla58[[#This Row],[Cod trabalhador]],'Altas Wiseowe'!B:E,4,FALSE)),""))</f>
        <v/>
      </c>
      <c r="J50" s="44">
        <f t="shared" si="1"/>
        <v>31</v>
      </c>
      <c r="K50" s="376" t="s">
        <v>7281</v>
      </c>
      <c r="L50" s="342" t="str">
        <f>IFERROR(IF(Tabla58[[#This Row],[Cod trabalhador]]="",Tabla58[[#This Row],[Cod trabalhador]], INDEX(Colaborador_ID[Nombre], MATCH(Tabla58[[#This Row],[Cod trabalhador]],Colaborador_ID[Cod_colab], 0))), "")</f>
        <v>TIRZO GONZALEZ BOLIVAR</v>
      </c>
      <c r="M50" s="340"/>
      <c r="N50" s="405" t="s">
        <v>7280</v>
      </c>
      <c r="O50" s="26">
        <f>IFERROR(VLOOKUP(Tabla58[[#This Row],[Cod trabalhador]],Tabla15[],4,FALSE),"")</f>
        <v>15</v>
      </c>
      <c r="P50" s="92">
        <f>IFERROR(VLOOKUP(Tabla58[[#This Row],[Cod trabalhador]],'TotalHorasAjustadas (2)'!D:L,8,FALSE),"")</f>
        <v>149.75</v>
      </c>
      <c r="Q50" s="27">
        <v>149.75</v>
      </c>
      <c r="R50" s="28" t="s">
        <v>7532</v>
      </c>
      <c r="S50" s="28" t="s">
        <v>7539</v>
      </c>
      <c r="U50" s="25"/>
      <c r="V50" s="220"/>
      <c r="W50" s="27"/>
      <c r="X50" s="28"/>
      <c r="Y50" s="28"/>
      <c r="Z50" s="149"/>
      <c r="AA50" s="392" t="str">
        <f>IFERROR(VLOOKUP(Tabla58[[#This Row],[Cod trabalhador]],Alojamentos!B:P,11,FALSE),"")</f>
        <v/>
      </c>
      <c r="AB50" s="127"/>
      <c r="AC50" s="150"/>
      <c r="AD50" s="35">
        <f>Tabla58[[#This Row],[Dias de alta]]*7.058</f>
        <v>218.798</v>
      </c>
      <c r="AE50" s="46" t="str">
        <f>IFERROR(VLOOKUP(Tabla58[[#This Row],[Cod trabalhador]],Adiantamentos!B:L,7,FALSE),"")</f>
        <v/>
      </c>
      <c r="AF50" s="46" t="str">
        <f>IFERROR(VLOOKUP(Tabla58[[#This Row],[Cod trabalhador]],Carro!B:D,3,FALSE),"")</f>
        <v/>
      </c>
      <c r="AG50" s="46" t="str">
        <f>IFERROR(VLOOKUP(Tabla58[[#This Row],[Cod trabalhador]],'Outros descontos'!B:O,7,FALSE),"")</f>
        <v/>
      </c>
      <c r="AH50" s="46" t="str">
        <f>IFERROR(VLOOKUP(Tabla58[[#This Row],[Cod trabalhador]],'Outros descontos'!B:M,8,FALSE),"")</f>
        <v/>
      </c>
      <c r="AI50" s="46" t="str">
        <f>IFERROR(VLOOKUP(Tabla58[[#This Row],[Cod trabalhador]],'Outros descontos'!B:M,9,FALSE),"")</f>
        <v/>
      </c>
      <c r="AJ50" s="46" t="str">
        <f>IFERROR(VLOOKUP(Tabla58[[#This Row],[Cod trabalhador]],'Outros descontos'!B:M,10,FALSE),"")</f>
        <v/>
      </c>
      <c r="AK50" s="46" t="str">
        <f>IFERROR(VLOOKUP(Tabla58[[#This Row],[Cod trabalhador]],'Outros descontos'!B:M,11,FALSE),"")</f>
        <v/>
      </c>
      <c r="AL50" s="46" t="str">
        <f>IFERROR(VLOOKUP(Tabla58[[#This Row],[Cod trabalhador]],'Outros descontos'!B:R,12,FALSE),"")</f>
        <v/>
      </c>
      <c r="AM50" s="46" t="str">
        <f>IFERROR(VLOOKUP(Tabla58[[#This Row],[Cod trabalhador]],'Outros descontos'!B:M,13,FALSE),"")</f>
        <v/>
      </c>
      <c r="AN50" s="41"/>
      <c r="AO50" s="37">
        <v>4.08</v>
      </c>
      <c r="AP50" s="15"/>
      <c r="AQ50"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2023.3720000000001</v>
      </c>
      <c r="AR50"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2023.3720000000001</v>
      </c>
      <c r="AS50" s="15"/>
      <c r="AT50" s="27" t="str">
        <f>IF(Tabla58[[#This Row],[Cod trabalhador]]="", "", INDEX(Iban!C:C, MATCH(Tabla58[[#This Row],[Cod trabalhador]],Iban!A:A, 0)))</f>
        <v>ES35 0182 0702 3602 0165 1006</v>
      </c>
      <c r="AU50" s="27"/>
      <c r="AV50" s="97"/>
      <c r="AW50" s="66" t="s">
        <v>7540</v>
      </c>
      <c r="AX50" s="296" t="s">
        <v>7472</v>
      </c>
    </row>
    <row r="51" spans="1:50" ht="16.5" hidden="1" customHeight="1" x14ac:dyDescent="0.3">
      <c r="A51" s="43"/>
      <c r="B51" s="39" t="s">
        <v>6523</v>
      </c>
      <c r="C51" s="45" t="str">
        <f>IF(ISNUMBER(MATCH(Tabla58[[#This Row],[Cod trabalhador]],'Altas Wiseowe'!B:B, 0)), "Ativo", "Não ativo")</f>
        <v>Ativo</v>
      </c>
      <c r="D51" s="44" t="str">
        <f>IFERROR(IF(VLOOKUP(Tabla58[[#This Row],[Cod trabalhador]],'Altas Industrial'!B:E,1,0)&lt;&gt;"","KI",""),"")</f>
        <v/>
      </c>
      <c r="E51" s="44" t="str">
        <f>IFERROR(IF(VLOOKUP(Tabla58[[#This Row],[Cod trabalhador]],'Altas Rosas'!B:F,1,0)&lt;&gt;"","KR",""),"")</f>
        <v/>
      </c>
      <c r="F51" s="44" t="str">
        <f>IFERROR(IF(VLOOKUP(Tabla58[[#This Row],[Cod trabalhador]],'Altas Wiseowe'!B:E,1,0)&lt;&gt;"","WS",""),"")</f>
        <v>WS</v>
      </c>
      <c r="G51" s="101" t="str">
        <f>IFERROR(IF(VLOOKUP(Tabla58[[#This Row],[Cod trabalhador]],'Altas Luminous'!B:E,1,0)&lt;&gt;"","LM",""),"")</f>
        <v/>
      </c>
      <c r="H51" s="51">
        <f>IFERROR(VLOOKUP(Tabla58[[#This Row],[Cod trabalhador]],'Altas Wiseowe'!B:E,3,FALSE),"")</f>
        <v>45873</v>
      </c>
      <c r="I51" s="51" t="str">
        <f>IF(OR(Tabla58[[#This Row],[Cod trabalhador]]="",ISBLANK(Tabla58[[#This Row],[Cod trabalhador]])),"",IFERROR(IF(VLOOKUP(Tabla58[[#This Row],[Cod trabalhador]],'Altas Wiseowe'!B:E,4,FALSE)=0,"",VLOOKUP(Tabla58[[#This Row],[Cod trabalhador]],'Altas Wiseowe'!B:E,4,FALSE)),""))</f>
        <v/>
      </c>
      <c r="J51" s="44">
        <f t="shared" si="1"/>
        <v>31</v>
      </c>
      <c r="K51" s="376" t="s">
        <v>6524</v>
      </c>
      <c r="L51" s="342" t="str">
        <f>IFERROR(IF(Tabla58[[#This Row],[Cod trabalhador]]="",Tabla58[[#This Row],[Cod trabalhador]], INDEX(Colaborador_ID[Nombre], MATCH(Tabla58[[#This Row],[Cod trabalhador]],Colaborador_ID[Cod_colab], 0))), "")</f>
        <v>WALLACE DA SILVA GOMES</v>
      </c>
      <c r="M51" s="340"/>
      <c r="N51" s="405" t="s">
        <v>7280</v>
      </c>
      <c r="O51" s="26">
        <f>IFERROR(VLOOKUP(Tabla58[[#This Row],[Cod trabalhador]],Tabla15[],4,FALSE),"")</f>
        <v>17</v>
      </c>
      <c r="P51" s="92">
        <f>IFERROR(VLOOKUP(Tabla58[[#This Row],[Cod trabalhador]],'TotalHorasAjustadas (2)'!D:L,8,FALSE),"")</f>
        <v>148.5</v>
      </c>
      <c r="Q51" s="27">
        <v>148.5</v>
      </c>
      <c r="R51" s="28" t="s">
        <v>7532</v>
      </c>
      <c r="S51" s="28" t="s">
        <v>7539</v>
      </c>
      <c r="U51" s="25"/>
      <c r="V51" s="220"/>
      <c r="W51" s="27"/>
      <c r="X51" s="28"/>
      <c r="Y51" s="28"/>
      <c r="Z51" s="149"/>
      <c r="AA51" s="392">
        <f>IFERROR(VLOOKUP(Tabla58[[#This Row],[Cod trabalhador]],Alojamentos!B:P,11,FALSE),"")</f>
        <v>300</v>
      </c>
      <c r="AB51" s="127"/>
      <c r="AC51" s="150"/>
      <c r="AD51" s="35">
        <f>Tabla58[[#This Row],[Dias de alta]]*7.058</f>
        <v>218.798</v>
      </c>
      <c r="AE51" s="46" t="str">
        <f>IFERROR(VLOOKUP(Tabla58[[#This Row],[Cod trabalhador]],Adiantamentos!B:L,7,FALSE),"")</f>
        <v/>
      </c>
      <c r="AF51" s="46" t="str">
        <f>IFERROR(VLOOKUP(Tabla58[[#This Row],[Cod trabalhador]],Carro!B:D,3,FALSE),"")</f>
        <v/>
      </c>
      <c r="AG51" s="46" t="str">
        <f>IFERROR(VLOOKUP(Tabla58[[#This Row],[Cod trabalhador]],'Outros descontos'!B:O,7,FALSE),"")</f>
        <v/>
      </c>
      <c r="AH51" s="46" t="str">
        <f>IFERROR(VLOOKUP(Tabla58[[#This Row],[Cod trabalhador]],'Outros descontos'!B:M,8,FALSE),"")</f>
        <v/>
      </c>
      <c r="AI51" s="46" t="str">
        <f>IFERROR(VLOOKUP(Tabla58[[#This Row],[Cod trabalhador]],'Outros descontos'!B:M,9,FALSE),"")</f>
        <v/>
      </c>
      <c r="AJ51" s="46" t="str">
        <f>IFERROR(VLOOKUP(Tabla58[[#This Row],[Cod trabalhador]],'Outros descontos'!B:M,10,FALSE),"")</f>
        <v/>
      </c>
      <c r="AK51" s="46" t="str">
        <f>IFERROR(VLOOKUP(Tabla58[[#This Row],[Cod trabalhador]],'Outros descontos'!B:M,11,FALSE),"")</f>
        <v/>
      </c>
      <c r="AL51" s="46" t="str">
        <f>IFERROR(VLOOKUP(Tabla58[[#This Row],[Cod trabalhador]],'Outros descontos'!B:R,12,FALSE),"")</f>
        <v/>
      </c>
      <c r="AM51" s="46" t="str">
        <f>IFERROR(VLOOKUP(Tabla58[[#This Row],[Cod trabalhador]],'Outros descontos'!B:M,13,FALSE),"")</f>
        <v/>
      </c>
      <c r="AN51" s="41"/>
      <c r="AO51" s="37">
        <v>4.08</v>
      </c>
      <c r="AP51" s="15"/>
      <c r="AQ51"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2601.6220000000003</v>
      </c>
      <c r="AR51"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2601.6220000000003</v>
      </c>
      <c r="AS51" s="15"/>
      <c r="AT51" s="27" t="str">
        <f>IF(Tabla58[[#This Row],[Cod trabalhador]]="", "", INDEX(Iban!C:C, MATCH(Tabla58[[#This Row],[Cod trabalhador]],Iban!A:A, 0)))</f>
        <v>PT50 0007 0000 0077 6610 0342 3</v>
      </c>
      <c r="AU51" s="27"/>
      <c r="AV51" s="97"/>
      <c r="AW51" s="66" t="s">
        <v>7540</v>
      </c>
      <c r="AX51" s="296" t="s">
        <v>7472</v>
      </c>
    </row>
    <row r="52" spans="1:50" ht="16.5" hidden="1" customHeight="1" x14ac:dyDescent="0.3">
      <c r="A52" s="43"/>
      <c r="B52" s="39" t="s">
        <v>3665</v>
      </c>
      <c r="C52" s="45" t="str">
        <f>IF(ISNUMBER(MATCH(Tabla58[[#This Row],[Cod trabalhador]],'Altas Wiseowe'!B:B, 0)), "Ativo", "Não ativo")</f>
        <v>Não ativo</v>
      </c>
      <c r="D52" s="44" t="str">
        <f>IFERROR(IF(VLOOKUP(Tabla58[[#This Row],[Cod trabalhador]],'Altas Industrial'!B:E,1,0)&lt;&gt;"","KI",""),"")</f>
        <v/>
      </c>
      <c r="E52" s="44" t="str">
        <f>IFERROR(IF(VLOOKUP(Tabla58[[#This Row],[Cod trabalhador]],'Altas Rosas'!B:F,1,0)&lt;&gt;"","KR",""),"")</f>
        <v/>
      </c>
      <c r="F52" s="44" t="str">
        <f>IFERROR(IF(VLOOKUP(Tabla58[[#This Row],[Cod trabalhador]],'Altas Wiseowe'!B:E,1,0)&lt;&gt;"","WS",""),"")</f>
        <v/>
      </c>
      <c r="G52" s="101" t="str">
        <f>IFERROR(IF(VLOOKUP(Tabla58[[#This Row],[Cod trabalhador]],'Altas Luminous'!B:E,1,0)&lt;&gt;"","LM",""),"")</f>
        <v/>
      </c>
      <c r="H52" s="51" t="str">
        <f>IFERROR(VLOOKUP(Tabla58[[#This Row],[Cod trabalhador]],'Altas Wiseowe'!B:E,3,FALSE),"")</f>
        <v/>
      </c>
      <c r="I52" s="51" t="str">
        <f>IF(OR(Tabla58[[#This Row],[Cod trabalhador]]="",ISBLANK(Tabla58[[#This Row],[Cod trabalhador]])),"",IFERROR(IF(VLOOKUP(Tabla58[[#This Row],[Cod trabalhador]],'Altas Wiseowe'!B:E,4,FALSE)=0,"",VLOOKUP(Tabla58[[#This Row],[Cod trabalhador]],'Altas Wiseowe'!B:E,4,FALSE)),""))</f>
        <v/>
      </c>
      <c r="J52" s="44">
        <f t="shared" si="1"/>
        <v>0</v>
      </c>
      <c r="K52" s="376" t="s">
        <v>3666</v>
      </c>
      <c r="L52" s="342" t="str">
        <f>IFERROR(IF(Tabla58[[#This Row],[Cod trabalhador]]="",Tabla58[[#This Row],[Cod trabalhador]], INDEX(Colaborador_ID[Nombre], MATCH(Tabla58[[#This Row],[Cod trabalhador]],Colaborador_ID[Cod_colab], 0))), "")</f>
        <v>JONATHAN FELACIO FISGATIVA</v>
      </c>
      <c r="M52" s="340"/>
      <c r="N52" s="405" t="s">
        <v>7282</v>
      </c>
      <c r="O52" s="26">
        <f>IFERROR(VLOOKUP(Tabla58[[#This Row],[Cod trabalhador]],Tabla15[],4,FALSE),"")</f>
        <v>15</v>
      </c>
      <c r="P52" s="92">
        <f>IFERROR(VLOOKUP(Tabla58[[#This Row],[Cod trabalhador]],'TotalHorasAjustadas (2)'!D:L,8,FALSE),"")</f>
        <v>156</v>
      </c>
      <c r="Q52" s="27">
        <v>156</v>
      </c>
      <c r="R52" s="28" t="s">
        <v>7471</v>
      </c>
      <c r="S52" s="28" t="s">
        <v>7539</v>
      </c>
      <c r="U52" s="25"/>
      <c r="V52" s="220"/>
      <c r="W52" s="27"/>
      <c r="X52" s="28"/>
      <c r="Y52" s="28"/>
      <c r="Z52" s="149"/>
      <c r="AA52" s="392" t="str">
        <f>IFERROR(VLOOKUP(Tabla58[[#This Row],[Cod trabalhador]],Alojamentos!B:P,11,FALSE),"")</f>
        <v/>
      </c>
      <c r="AB52" s="127"/>
      <c r="AC52" s="150"/>
      <c r="AD52" s="35">
        <f>Tabla58[[#This Row],[Dias de alta]]*7.058</f>
        <v>0</v>
      </c>
      <c r="AE52" s="46" t="str">
        <f>IFERROR(VLOOKUP(Tabla58[[#This Row],[Cod trabalhador]],Adiantamentos!B:L,7,FALSE),"")</f>
        <v/>
      </c>
      <c r="AF52" s="46" t="str">
        <f>IFERROR(VLOOKUP(Tabla58[[#This Row],[Cod trabalhador]],Carro!B:D,3,FALSE),"")</f>
        <v/>
      </c>
      <c r="AG52" s="46" t="str">
        <f>IFERROR(VLOOKUP(Tabla58[[#This Row],[Cod trabalhador]],'Outros descontos'!B:O,7,FALSE),"")</f>
        <v/>
      </c>
      <c r="AH52" s="46" t="str">
        <f>IFERROR(VLOOKUP(Tabla58[[#This Row],[Cod trabalhador]],'Outros descontos'!B:M,8,FALSE),"")</f>
        <v/>
      </c>
      <c r="AI52" s="46" t="str">
        <f>IFERROR(VLOOKUP(Tabla58[[#This Row],[Cod trabalhador]],'Outros descontos'!B:M,9,FALSE),"")</f>
        <v/>
      </c>
      <c r="AJ52" s="46" t="str">
        <f>IFERROR(VLOOKUP(Tabla58[[#This Row],[Cod trabalhador]],'Outros descontos'!B:M,10,FALSE),"")</f>
        <v/>
      </c>
      <c r="AK52" s="46" t="str">
        <f>IFERROR(VLOOKUP(Tabla58[[#This Row],[Cod trabalhador]],'Outros descontos'!B:M,11,FALSE),"")</f>
        <v/>
      </c>
      <c r="AL52" s="46" t="str">
        <f>IFERROR(VLOOKUP(Tabla58[[#This Row],[Cod trabalhador]],'Outros descontos'!B:R,12,FALSE),"")</f>
        <v/>
      </c>
      <c r="AM52" s="46" t="str">
        <f>IFERROR(VLOOKUP(Tabla58[[#This Row],[Cod trabalhador]],'Outros descontos'!B:M,13,FALSE),"")</f>
        <v/>
      </c>
      <c r="AN52" s="41"/>
      <c r="AO52" s="37">
        <v>4.08</v>
      </c>
      <c r="AP52" s="15"/>
      <c r="AQ52"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2335.92</v>
      </c>
      <c r="AR52"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2335.92</v>
      </c>
      <c r="AS52" s="15"/>
      <c r="AT52" s="27" t="str">
        <f>IF(Tabla58[[#This Row],[Cod trabalhador]]="", "", INDEX(Iban!C:C, MATCH(Tabla58[[#This Row],[Cod trabalhador]],Iban!A:A, 0)))</f>
        <v xml:space="preserve"> ES50 0182 6380 9902 0160 7704</v>
      </c>
      <c r="AU52" s="27"/>
      <c r="AV52" s="97"/>
      <c r="AW52" s="66" t="s">
        <v>7542</v>
      </c>
      <c r="AX52" s="296" t="s">
        <v>7472</v>
      </c>
    </row>
    <row r="53" spans="1:50" ht="16.5" hidden="1" customHeight="1" x14ac:dyDescent="0.3">
      <c r="A53" s="43"/>
      <c r="B53" s="39" t="s">
        <v>3918</v>
      </c>
      <c r="C53" s="45" t="str">
        <f>IF(ISNUMBER(MATCH(Tabla58[[#This Row],[Cod trabalhador]],'Altas Wiseowe'!B:B, 0)), "Ativo", "Não ativo")</f>
        <v>Não ativo</v>
      </c>
      <c r="D53" s="44" t="str">
        <f>IFERROR(IF(VLOOKUP(Tabla58[[#This Row],[Cod trabalhador]],'Altas Industrial'!B:E,1,0)&lt;&gt;"","KI",""),"")</f>
        <v/>
      </c>
      <c r="E53" s="44" t="str">
        <f>IFERROR(IF(VLOOKUP(Tabla58[[#This Row],[Cod trabalhador]],'Altas Rosas'!B:F,1,0)&lt;&gt;"","KR",""),"")</f>
        <v/>
      </c>
      <c r="F53" s="44" t="str">
        <f>IFERROR(IF(VLOOKUP(Tabla58[[#This Row],[Cod trabalhador]],'Altas Wiseowe'!B:E,1,0)&lt;&gt;"","WS",""),"")</f>
        <v/>
      </c>
      <c r="G53" s="101" t="str">
        <f>IFERROR(IF(VLOOKUP(Tabla58[[#This Row],[Cod trabalhador]],'Altas Luminous'!B:E,1,0)&lt;&gt;"","LM",""),"")</f>
        <v/>
      </c>
      <c r="H53" s="51" t="str">
        <f>IFERROR(VLOOKUP(Tabla58[[#This Row],[Cod trabalhador]],'Altas Wiseowe'!B:E,3,FALSE),"")</f>
        <v/>
      </c>
      <c r="I53" s="51" t="str">
        <f>IF(OR(Tabla58[[#This Row],[Cod trabalhador]]="",ISBLANK(Tabla58[[#This Row],[Cod trabalhador]])),"",IFERROR(IF(VLOOKUP(Tabla58[[#This Row],[Cod trabalhador]],'Altas Wiseowe'!B:E,4,FALSE)=0,"",VLOOKUP(Tabla58[[#This Row],[Cod trabalhador]],'Altas Wiseowe'!B:E,4,FALSE)),""))</f>
        <v/>
      </c>
      <c r="J53" s="44">
        <f t="shared" si="1"/>
        <v>0</v>
      </c>
      <c r="K53" s="376" t="s">
        <v>7283</v>
      </c>
      <c r="L53" s="342" t="str">
        <f>IFERROR(IF(Tabla58[[#This Row],[Cod trabalhador]]="",Tabla58[[#This Row],[Cod trabalhador]], INDEX(Colaborador_ID[Nombre], MATCH(Tabla58[[#This Row],[Cod trabalhador]],Colaborador_ID[Cod_colab], 0))), "")</f>
        <v>JOSE ANTONIO GUIZAO SANDOVAL</v>
      </c>
      <c r="M53" s="340"/>
      <c r="N53" s="405" t="s">
        <v>7282</v>
      </c>
      <c r="O53" s="26">
        <f>IFERROR(VLOOKUP(Tabla58[[#This Row],[Cod trabalhador]],Tabla15[],4,FALSE),"")</f>
        <v>15</v>
      </c>
      <c r="P53" s="92">
        <f>IFERROR(VLOOKUP(Tabla58[[#This Row],[Cod trabalhador]],'TotalHorasAjustadas (2)'!D:L,8,FALSE),"")</f>
        <v>170</v>
      </c>
      <c r="Q53" s="27">
        <v>170</v>
      </c>
      <c r="R53" s="28" t="s">
        <v>7471</v>
      </c>
      <c r="S53" s="28" t="s">
        <v>7539</v>
      </c>
      <c r="U53" s="25"/>
      <c r="V53" s="220"/>
      <c r="W53" s="27"/>
      <c r="X53" s="28"/>
      <c r="Y53" s="28"/>
      <c r="Z53" s="149"/>
      <c r="AA53" s="392" t="str">
        <f>IFERROR(VLOOKUP(Tabla58[[#This Row],[Cod trabalhador]],Alojamentos!B:P,11,FALSE),"")</f>
        <v/>
      </c>
      <c r="AB53" s="127"/>
      <c r="AC53" s="150"/>
      <c r="AD53" s="35">
        <f>Tabla58[[#This Row],[Dias de alta]]*7.058</f>
        <v>0</v>
      </c>
      <c r="AE53" s="46" t="str">
        <f>IFERROR(VLOOKUP(Tabla58[[#This Row],[Cod trabalhador]],Adiantamentos!B:L,7,FALSE),"")</f>
        <v/>
      </c>
      <c r="AF53" s="46" t="str">
        <f>IFERROR(VLOOKUP(Tabla58[[#This Row],[Cod trabalhador]],Carro!B:D,3,FALSE),"")</f>
        <v/>
      </c>
      <c r="AG53" s="46" t="str">
        <f>IFERROR(VLOOKUP(Tabla58[[#This Row],[Cod trabalhador]],'Outros descontos'!B:O,7,FALSE),"")</f>
        <v/>
      </c>
      <c r="AH53" s="46" t="str">
        <f>IFERROR(VLOOKUP(Tabla58[[#This Row],[Cod trabalhador]],'Outros descontos'!B:M,8,FALSE),"")</f>
        <v/>
      </c>
      <c r="AI53" s="46" t="str">
        <f>IFERROR(VLOOKUP(Tabla58[[#This Row],[Cod trabalhador]],'Outros descontos'!B:M,9,FALSE),"")</f>
        <v/>
      </c>
      <c r="AJ53" s="46" t="str">
        <f>IFERROR(VLOOKUP(Tabla58[[#This Row],[Cod trabalhador]],'Outros descontos'!B:M,10,FALSE),"")</f>
        <v/>
      </c>
      <c r="AK53" s="46" t="str">
        <f>IFERROR(VLOOKUP(Tabla58[[#This Row],[Cod trabalhador]],'Outros descontos'!B:M,11,FALSE),"")</f>
        <v/>
      </c>
      <c r="AL53" s="46" t="str">
        <f>IFERROR(VLOOKUP(Tabla58[[#This Row],[Cod trabalhador]],'Outros descontos'!B:R,12,FALSE),"")</f>
        <v/>
      </c>
      <c r="AM53" s="46" t="str">
        <f>IFERROR(VLOOKUP(Tabla58[[#This Row],[Cod trabalhador]],'Outros descontos'!B:M,13,FALSE),"")</f>
        <v/>
      </c>
      <c r="AN53" s="41"/>
      <c r="AO53" s="37">
        <v>4.08</v>
      </c>
      <c r="AP53" s="15"/>
      <c r="AQ53"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2545.92</v>
      </c>
      <c r="AR53"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2545.92</v>
      </c>
      <c r="AS53" s="15"/>
      <c r="AT53" s="27" t="str">
        <f>IF(Tabla58[[#This Row],[Cod trabalhador]]="", "", INDEX(Iban!C:C, MATCH(Tabla58[[#This Row],[Cod trabalhador]],Iban!A:A, 0)))</f>
        <v>ES21 0182 4003 1402 0167 8085</v>
      </c>
      <c r="AU53" s="27"/>
      <c r="AV53" s="97"/>
      <c r="AW53" s="66"/>
      <c r="AX53" s="296" t="s">
        <v>7472</v>
      </c>
    </row>
    <row r="54" spans="1:50" ht="16.5" hidden="1" customHeight="1" x14ac:dyDescent="0.3">
      <c r="A54" s="43"/>
      <c r="B54" s="39" t="s">
        <v>4565</v>
      </c>
      <c r="C54" s="45" t="str">
        <f>IF(ISNUMBER(MATCH(Tabla58[[#This Row],[Cod trabalhador]],'Altas Wiseowe'!B:B, 0)), "Ativo", "Não ativo")</f>
        <v>Não ativo</v>
      </c>
      <c r="D54" s="44" t="str">
        <f>IFERROR(IF(VLOOKUP(Tabla58[[#This Row],[Cod trabalhador]],'Altas Industrial'!B:E,1,0)&lt;&gt;"","KI",""),"")</f>
        <v/>
      </c>
      <c r="E54" s="44" t="str">
        <f>IFERROR(IF(VLOOKUP(Tabla58[[#This Row],[Cod trabalhador]],'Altas Rosas'!B:F,1,0)&lt;&gt;"","KR",""),"")</f>
        <v/>
      </c>
      <c r="F54" s="44" t="str">
        <f>IFERROR(IF(VLOOKUP(Tabla58[[#This Row],[Cod trabalhador]],'Altas Wiseowe'!B:E,1,0)&lt;&gt;"","WS",""),"")</f>
        <v/>
      </c>
      <c r="G54" s="101" t="str">
        <f>IFERROR(IF(VLOOKUP(Tabla58[[#This Row],[Cod trabalhador]],'Altas Luminous'!B:E,1,0)&lt;&gt;"","LM",""),"")</f>
        <v/>
      </c>
      <c r="H54" s="51" t="str">
        <f>IFERROR(VLOOKUP(Tabla58[[#This Row],[Cod trabalhador]],'Altas Wiseowe'!B:E,3,FALSE),"")</f>
        <v/>
      </c>
      <c r="I54" s="51" t="str">
        <f>IF(OR(Tabla58[[#This Row],[Cod trabalhador]]="",ISBLANK(Tabla58[[#This Row],[Cod trabalhador]])),"",IFERROR(IF(VLOOKUP(Tabla58[[#This Row],[Cod trabalhador]],'Altas Wiseowe'!B:E,4,FALSE)=0,"",VLOOKUP(Tabla58[[#This Row],[Cod trabalhador]],'Altas Wiseowe'!B:E,4,FALSE)),""))</f>
        <v/>
      </c>
      <c r="J54" s="44">
        <f t="shared" si="1"/>
        <v>0</v>
      </c>
      <c r="K54" s="376" t="s">
        <v>7284</v>
      </c>
      <c r="L54" s="342" t="str">
        <f>IFERROR(IF(Tabla58[[#This Row],[Cod trabalhador]]="",Tabla58[[#This Row],[Cod trabalhador]], INDEX(Colaborador_ID[Nombre], MATCH(Tabla58[[#This Row],[Cod trabalhador]],Colaborador_ID[Cod_colab], 0))), "")</f>
        <v>KEVIN STEVEN RAMIREZ CARDONA</v>
      </c>
      <c r="M54" s="340"/>
      <c r="N54" s="405" t="s">
        <v>7282</v>
      </c>
      <c r="O54" s="26">
        <f>IFERROR(VLOOKUP(Tabla58[[#This Row],[Cod trabalhador]],Tabla15[],4,FALSE),"")</f>
        <v>15</v>
      </c>
      <c r="P54" s="92">
        <f>IFERROR(VLOOKUP(Tabla58[[#This Row],[Cod trabalhador]],'TotalHorasAjustadas (2)'!D:L,8,FALSE),"")</f>
        <v>156</v>
      </c>
      <c r="Q54" s="27">
        <v>156</v>
      </c>
      <c r="R54" s="28" t="s">
        <v>7471</v>
      </c>
      <c r="S54" s="28" t="s">
        <v>7539</v>
      </c>
      <c r="U54" s="25"/>
      <c r="V54" s="220"/>
      <c r="W54" s="27"/>
      <c r="X54" s="28"/>
      <c r="Y54" s="28"/>
      <c r="Z54" s="149"/>
      <c r="AA54" s="392" t="str">
        <f>IFERROR(VLOOKUP(Tabla58[[#This Row],[Cod trabalhador]],Alojamentos!B:P,11,FALSE),"")</f>
        <v/>
      </c>
      <c r="AB54" s="127"/>
      <c r="AC54" s="150"/>
      <c r="AD54" s="35">
        <f>Tabla58[[#This Row],[Dias de alta]]*7.058</f>
        <v>0</v>
      </c>
      <c r="AE54" s="46" t="str">
        <f>IFERROR(VLOOKUP(Tabla58[[#This Row],[Cod trabalhador]],Adiantamentos!B:L,7,FALSE),"")</f>
        <v/>
      </c>
      <c r="AF54" s="46" t="str">
        <f>IFERROR(VLOOKUP(Tabla58[[#This Row],[Cod trabalhador]],Carro!B:D,3,FALSE),"")</f>
        <v/>
      </c>
      <c r="AG54" s="46" t="str">
        <f>IFERROR(VLOOKUP(Tabla58[[#This Row],[Cod trabalhador]],'Outros descontos'!B:O,7,FALSE),"")</f>
        <v/>
      </c>
      <c r="AH54" s="46" t="str">
        <f>IFERROR(VLOOKUP(Tabla58[[#This Row],[Cod trabalhador]],'Outros descontos'!B:M,8,FALSE),"")</f>
        <v/>
      </c>
      <c r="AI54" s="46" t="str">
        <f>IFERROR(VLOOKUP(Tabla58[[#This Row],[Cod trabalhador]],'Outros descontos'!B:M,9,FALSE),"")</f>
        <v/>
      </c>
      <c r="AJ54" s="46" t="str">
        <f>IFERROR(VLOOKUP(Tabla58[[#This Row],[Cod trabalhador]],'Outros descontos'!B:M,10,FALSE),"")</f>
        <v/>
      </c>
      <c r="AK54" s="46" t="str">
        <f>IFERROR(VLOOKUP(Tabla58[[#This Row],[Cod trabalhador]],'Outros descontos'!B:M,11,FALSE),"")</f>
        <v/>
      </c>
      <c r="AL54" s="46" t="str">
        <f>IFERROR(VLOOKUP(Tabla58[[#This Row],[Cod trabalhador]],'Outros descontos'!B:R,12,FALSE),"")</f>
        <v/>
      </c>
      <c r="AM54" s="46" t="str">
        <f>IFERROR(VLOOKUP(Tabla58[[#This Row],[Cod trabalhador]],'Outros descontos'!B:M,13,FALSE),"")</f>
        <v/>
      </c>
      <c r="AN54" s="41"/>
      <c r="AO54" s="37">
        <v>4.08</v>
      </c>
      <c r="AP54" s="15"/>
      <c r="AQ54"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2335.92</v>
      </c>
      <c r="AR54"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2335.92</v>
      </c>
      <c r="AS54" s="15"/>
      <c r="AT54" s="27" t="str">
        <f>IF(Tabla58[[#This Row],[Cod trabalhador]]="", "", INDEX(Iban!C:C, MATCH(Tabla58[[#This Row],[Cod trabalhador]],Iban!A:A, 0)))</f>
        <v>ES67 0182 0845 1402 0220 3466</v>
      </c>
      <c r="AU54" s="27"/>
      <c r="AV54" s="97"/>
      <c r="AW54" s="66"/>
      <c r="AX54" s="296" t="s">
        <v>7472</v>
      </c>
    </row>
    <row r="55" spans="1:50" ht="16.5" hidden="1" customHeight="1" x14ac:dyDescent="0.3">
      <c r="A55" s="43"/>
      <c r="B55" s="39" t="s">
        <v>6374</v>
      </c>
      <c r="C55" s="45" t="str">
        <f>IF(ISNUMBER(MATCH(Tabla58[[#This Row],[Cod trabalhador]],'Altas Wiseowe'!B:B, 0)), "Ativo", "Não ativo")</f>
        <v>Ativo</v>
      </c>
      <c r="D55" s="44" t="str">
        <f>IFERROR(IF(VLOOKUP(Tabla58[[#This Row],[Cod trabalhador]],'Altas Industrial'!B:E,1,0)&lt;&gt;"","KI",""),"")</f>
        <v/>
      </c>
      <c r="E55" s="44" t="str">
        <f>IFERROR(IF(VLOOKUP(Tabla58[[#This Row],[Cod trabalhador]],'Altas Rosas'!B:F,1,0)&lt;&gt;"","KR",""),"")</f>
        <v/>
      </c>
      <c r="F55" s="44" t="str">
        <f>IFERROR(IF(VLOOKUP(Tabla58[[#This Row],[Cod trabalhador]],'Altas Wiseowe'!B:E,1,0)&lt;&gt;"","WS",""),"")</f>
        <v>WS</v>
      </c>
      <c r="G55" s="101" t="str">
        <f>IFERROR(IF(VLOOKUP(Tabla58[[#This Row],[Cod trabalhador]],'Altas Luminous'!B:E,1,0)&lt;&gt;"","LM",""),"")</f>
        <v/>
      </c>
      <c r="H55" s="51">
        <f>IFERROR(VLOOKUP(Tabla58[[#This Row],[Cod trabalhador]],'Altas Wiseowe'!B:E,3,FALSE),"")</f>
        <v>46010</v>
      </c>
      <c r="I55" s="51" t="str">
        <f>IF(OR(Tabla58[[#This Row],[Cod trabalhador]]="",ISBLANK(Tabla58[[#This Row],[Cod trabalhador]])),"",IFERROR(IF(VLOOKUP(Tabla58[[#This Row],[Cod trabalhador]],'Altas Wiseowe'!B:E,4,FALSE)=0,"",VLOOKUP(Tabla58[[#This Row],[Cod trabalhador]],'Altas Wiseowe'!B:E,4,FALSE)),""))</f>
        <v/>
      </c>
      <c r="J55" s="44">
        <f t="shared" si="1"/>
        <v>31</v>
      </c>
      <c r="K55" s="376" t="s">
        <v>6375</v>
      </c>
      <c r="L55" s="342" t="str">
        <f>IFERROR(IF(Tabla58[[#This Row],[Cod trabalhador]]="",Tabla58[[#This Row],[Cod trabalhador]], INDEX(Colaborador_ID[Nombre], MATCH(Tabla58[[#This Row],[Cod trabalhador]],Colaborador_ID[Cod_colab], 0))), "")</f>
        <v>STEVEN SUAREZ BETANCOURT</v>
      </c>
      <c r="N55" s="405" t="s">
        <v>7282</v>
      </c>
      <c r="O55" s="26">
        <f>IFERROR(VLOOKUP(Tabla58[[#This Row],[Cod trabalhador]],Tabla15[],4,FALSE),"")</f>
        <v>16</v>
      </c>
      <c r="P55" s="92">
        <f>IFERROR(VLOOKUP(Tabla58[[#This Row],[Cod trabalhador]],'TotalHorasAjustadas (2)'!D:L,8,FALSE),"")</f>
        <v>152</v>
      </c>
      <c r="Q55" s="27">
        <v>152</v>
      </c>
      <c r="R55" s="28" t="s">
        <v>7471</v>
      </c>
      <c r="S55" s="28" t="s">
        <v>7539</v>
      </c>
      <c r="U55" s="25"/>
      <c r="V55" s="220"/>
      <c r="W55" s="27"/>
      <c r="X55" s="28"/>
      <c r="Y55" s="28"/>
      <c r="Z55" s="149"/>
      <c r="AA55" s="392">
        <f>IFERROR(VLOOKUP(Tabla58[[#This Row],[Cod trabalhador]],Alojamentos!B:P,11,FALSE),"")</f>
        <v>300</v>
      </c>
      <c r="AB55" s="127"/>
      <c r="AC55" s="150"/>
      <c r="AD55" s="35">
        <f>Tabla58[[#This Row],[Dias de alta]]*7.058</f>
        <v>218.798</v>
      </c>
      <c r="AE55" s="46" t="str">
        <f>IFERROR(VLOOKUP(Tabla58[[#This Row],[Cod trabalhador]],Adiantamentos!B:L,7,FALSE),"")</f>
        <v/>
      </c>
      <c r="AF55" s="46" t="str">
        <f>IFERROR(VLOOKUP(Tabla58[[#This Row],[Cod trabalhador]],Carro!B:D,3,FALSE),"")</f>
        <v/>
      </c>
      <c r="AG55" s="46" t="str">
        <f>IFERROR(VLOOKUP(Tabla58[[#This Row],[Cod trabalhador]],'Outros descontos'!B:O,7,FALSE),"")</f>
        <v/>
      </c>
      <c r="AH55" s="46" t="str">
        <f>IFERROR(VLOOKUP(Tabla58[[#This Row],[Cod trabalhador]],'Outros descontos'!B:M,8,FALSE),"")</f>
        <v/>
      </c>
      <c r="AI55" s="46" t="str">
        <f>IFERROR(VLOOKUP(Tabla58[[#This Row],[Cod trabalhador]],'Outros descontos'!B:M,9,FALSE),"")</f>
        <v/>
      </c>
      <c r="AJ55" s="46" t="str">
        <f>IFERROR(VLOOKUP(Tabla58[[#This Row],[Cod trabalhador]],'Outros descontos'!B:M,10,FALSE),"")</f>
        <v/>
      </c>
      <c r="AK55" s="46" t="str">
        <f>IFERROR(VLOOKUP(Tabla58[[#This Row],[Cod trabalhador]],'Outros descontos'!B:M,11,FALSE),"")</f>
        <v/>
      </c>
      <c r="AL55" s="46" t="str">
        <f>IFERROR(VLOOKUP(Tabla58[[#This Row],[Cod trabalhador]],'Outros descontos'!B:R,12,FALSE),"")</f>
        <v/>
      </c>
      <c r="AM55" s="46" t="str">
        <f>IFERROR(VLOOKUP(Tabla58[[#This Row],[Cod trabalhador]],'Outros descontos'!B:M,13,FALSE),"")</f>
        <v/>
      </c>
      <c r="AN55" s="41"/>
      <c r="AO55" s="37">
        <v>4.08</v>
      </c>
      <c r="AP55" s="15"/>
      <c r="AQ55"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2509.1220000000003</v>
      </c>
      <c r="AR55"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2509.1220000000003</v>
      </c>
      <c r="AS55" s="15"/>
      <c r="AT55" s="27" t="str">
        <f>IF(Tabla58[[#This Row],[Cod trabalhador]]="", "", INDEX(Iban!C:C, MATCH(Tabla58[[#This Row],[Cod trabalhador]],Iban!A:A, 0)))</f>
        <v>ES73 0182 2350 1802 0160 1590</v>
      </c>
      <c r="AU55" s="27"/>
      <c r="AV55" s="97"/>
      <c r="AW55" s="66" t="s">
        <v>7543</v>
      </c>
      <c r="AX55" s="296" t="s">
        <v>7472</v>
      </c>
    </row>
    <row r="56" spans="1:50" ht="16.5" hidden="1" customHeight="1" x14ac:dyDescent="0.3">
      <c r="A56" s="43"/>
      <c r="B56" s="39" t="s">
        <v>6537</v>
      </c>
      <c r="C56" s="45" t="str">
        <f>IF(ISNUMBER(MATCH(Tabla58[[#This Row],[Cod trabalhador]],'Altas Wiseowe'!B:B, 0)), "Ativo", "Não ativo")</f>
        <v>Ativo</v>
      </c>
      <c r="D56" s="44" t="str">
        <f>IFERROR(IF(VLOOKUP(Tabla58[[#This Row],[Cod trabalhador]],'Altas Industrial'!B:E,1,0)&lt;&gt;"","KI",""),"")</f>
        <v/>
      </c>
      <c r="E56" s="44" t="str">
        <f>IFERROR(IF(VLOOKUP(Tabla58[[#This Row],[Cod trabalhador]],'Altas Rosas'!B:F,1,0)&lt;&gt;"","KR",""),"")</f>
        <v/>
      </c>
      <c r="F56" s="44" t="str">
        <f>IFERROR(IF(VLOOKUP(Tabla58[[#This Row],[Cod trabalhador]],'Altas Wiseowe'!B:E,1,0)&lt;&gt;"","WS",""),"")</f>
        <v>WS</v>
      </c>
      <c r="G56" s="101" t="str">
        <f>IFERROR(IF(VLOOKUP(Tabla58[[#This Row],[Cod trabalhador]],'Altas Luminous'!B:E,1,0)&lt;&gt;"","LM",""),"")</f>
        <v/>
      </c>
      <c r="H56" s="51">
        <f>IFERROR(VLOOKUP(Tabla58[[#This Row],[Cod trabalhador]],'Altas Wiseowe'!B:E,3,FALSE),"")</f>
        <v>46010</v>
      </c>
      <c r="I56" s="51" t="str">
        <f>IF(OR(Tabla58[[#This Row],[Cod trabalhador]]="",ISBLANK(Tabla58[[#This Row],[Cod trabalhador]])),"",IFERROR(IF(VLOOKUP(Tabla58[[#This Row],[Cod trabalhador]],'Altas Wiseowe'!B:E,4,FALSE)=0,"",VLOOKUP(Tabla58[[#This Row],[Cod trabalhador]],'Altas Wiseowe'!B:E,4,FALSE)),""))</f>
        <v/>
      </c>
      <c r="J56" s="44">
        <f t="shared" si="1"/>
        <v>31</v>
      </c>
      <c r="K56" s="376" t="s">
        <v>6538</v>
      </c>
      <c r="L56" s="342" t="str">
        <f>IFERROR(IF(Tabla58[[#This Row],[Cod trabalhador]]="",Tabla58[[#This Row],[Cod trabalhador]], INDEX(Colaborador_ID[Nombre], MATCH(Tabla58[[#This Row],[Cod trabalhador]],Colaborador_ID[Cod_colab], 0))), "")</f>
        <v>WALTER GOMEZ ROJAS</v>
      </c>
      <c r="N56" s="405" t="s">
        <v>7282</v>
      </c>
      <c r="O56" s="26">
        <f>IFERROR(VLOOKUP(Tabla58[[#This Row],[Cod trabalhador]],Tabla15[],4,FALSE),"")</f>
        <v>15</v>
      </c>
      <c r="P56" s="92">
        <f>IFERROR(VLOOKUP(Tabla58[[#This Row],[Cod trabalhador]],'TotalHorasAjustadas (2)'!D:L,8,FALSE),"")</f>
        <v>174</v>
      </c>
      <c r="Q56" s="27">
        <v>174</v>
      </c>
      <c r="R56" s="28" t="s">
        <v>7471</v>
      </c>
      <c r="S56" s="28" t="s">
        <v>7539</v>
      </c>
      <c r="U56" s="25"/>
      <c r="V56" s="220"/>
      <c r="W56" s="27"/>
      <c r="X56" s="28"/>
      <c r="Y56" s="28"/>
      <c r="Z56" s="149"/>
      <c r="AA56" s="392">
        <f>IFERROR(VLOOKUP(Tabla58[[#This Row],[Cod trabalhador]],Alojamentos!B:P,11,FALSE),"")</f>
        <v>300</v>
      </c>
      <c r="AB56" s="127"/>
      <c r="AC56" s="150"/>
      <c r="AD56" s="35">
        <f>Tabla58[[#This Row],[Dias de alta]]*7.058</f>
        <v>218.798</v>
      </c>
      <c r="AE56" s="46" t="str">
        <f>IFERROR(VLOOKUP(Tabla58[[#This Row],[Cod trabalhador]],Adiantamentos!B:L,7,FALSE),"")</f>
        <v/>
      </c>
      <c r="AF56" s="46" t="str">
        <f>IFERROR(VLOOKUP(Tabla58[[#This Row],[Cod trabalhador]],Carro!B:D,3,FALSE),"")</f>
        <v/>
      </c>
      <c r="AG56" s="46" t="str">
        <f>IFERROR(VLOOKUP(Tabla58[[#This Row],[Cod trabalhador]],'Outros descontos'!B:O,7,FALSE),"")</f>
        <v/>
      </c>
      <c r="AH56" s="46" t="str">
        <f>IFERROR(VLOOKUP(Tabla58[[#This Row],[Cod trabalhador]],'Outros descontos'!B:M,8,FALSE),"")</f>
        <v/>
      </c>
      <c r="AI56" s="46" t="str">
        <f>IFERROR(VLOOKUP(Tabla58[[#This Row],[Cod trabalhador]],'Outros descontos'!B:M,9,FALSE),"")</f>
        <v/>
      </c>
      <c r="AJ56" s="46" t="str">
        <f>IFERROR(VLOOKUP(Tabla58[[#This Row],[Cod trabalhador]],'Outros descontos'!B:M,10,FALSE),"")</f>
        <v/>
      </c>
      <c r="AK56" s="46" t="str">
        <f>IFERROR(VLOOKUP(Tabla58[[#This Row],[Cod trabalhador]],'Outros descontos'!B:M,11,FALSE),"")</f>
        <v/>
      </c>
      <c r="AL56" s="46" t="str">
        <f>IFERROR(VLOOKUP(Tabla58[[#This Row],[Cod trabalhador]],'Outros descontos'!B:R,12,FALSE),"")</f>
        <v/>
      </c>
      <c r="AM56" s="46" t="str">
        <f>IFERROR(VLOOKUP(Tabla58[[#This Row],[Cod trabalhador]],'Outros descontos'!B:M,13,FALSE),"")</f>
        <v/>
      </c>
      <c r="AN56" s="41"/>
      <c r="AO56" s="37">
        <v>4.08</v>
      </c>
      <c r="AP56" s="15"/>
      <c r="AQ56"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2687.1220000000003</v>
      </c>
      <c r="AR56"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2687.1220000000003</v>
      </c>
      <c r="AS56" s="15"/>
      <c r="AT56" s="27" t="str">
        <f>IF(Tabla58[[#This Row],[Cod trabalhador]]="", "", INDEX(Iban!C:C, MATCH(Tabla58[[#This Row],[Cod trabalhador]],Iban!A:A, 0)))</f>
        <v>ES88 0182 0786 1102 0165 8038</v>
      </c>
      <c r="AU56" s="27"/>
      <c r="AV56" s="97"/>
      <c r="AW56" s="66" t="s">
        <v>7543</v>
      </c>
      <c r="AX56" s="296" t="s">
        <v>7472</v>
      </c>
    </row>
    <row r="57" spans="1:50" ht="16.5" hidden="1" customHeight="1" x14ac:dyDescent="0.3">
      <c r="A57" s="43"/>
      <c r="B57" s="39" t="s">
        <v>3116</v>
      </c>
      <c r="C57" s="45" t="str">
        <f>IF(ISNUMBER(MATCH(Tabla58[[#This Row],[Cod trabalhador]],'Altas Wiseowe'!B:B, 0)), "Ativo", "Não ativo")</f>
        <v>Não ativo</v>
      </c>
      <c r="D57" s="44" t="str">
        <f>IFERROR(IF(VLOOKUP(Tabla58[[#This Row],[Cod trabalhador]],'Altas Industrial'!B:E,1,0)&lt;&gt;"","KI",""),"")</f>
        <v/>
      </c>
      <c r="E57" s="44" t="str">
        <f>IFERROR(IF(VLOOKUP(Tabla58[[#This Row],[Cod trabalhador]],'Altas Rosas'!B:F,1,0)&lt;&gt;"","KR",""),"")</f>
        <v/>
      </c>
      <c r="F57" s="44" t="str">
        <f>IFERROR(IF(VLOOKUP(Tabla58[[#This Row],[Cod trabalhador]],'Altas Wiseowe'!B:E,1,0)&lt;&gt;"","WS",""),"")</f>
        <v/>
      </c>
      <c r="G57" s="101" t="str">
        <f>IFERROR(IF(VLOOKUP(Tabla58[[#This Row],[Cod trabalhador]],'Altas Luminous'!B:E,1,0)&lt;&gt;"","LM",""),"")</f>
        <v/>
      </c>
      <c r="H57" s="51" t="str">
        <f>IFERROR(VLOOKUP(Tabla58[[#This Row],[Cod trabalhador]],'Altas Wiseowe'!B:E,3,FALSE),"")</f>
        <v/>
      </c>
      <c r="I57" s="51" t="str">
        <f>IF(OR(Tabla58[[#This Row],[Cod trabalhador]]="",ISBLANK(Tabla58[[#This Row],[Cod trabalhador]])),"",IFERROR(IF(VLOOKUP(Tabla58[[#This Row],[Cod trabalhador]],'Altas Wiseowe'!B:E,4,FALSE)=0,"",VLOOKUP(Tabla58[[#This Row],[Cod trabalhador]],'Altas Wiseowe'!B:E,4,FALSE)),""))</f>
        <v/>
      </c>
      <c r="J57" s="44">
        <f t="shared" si="1"/>
        <v>0</v>
      </c>
      <c r="K57" s="376" t="s">
        <v>3117</v>
      </c>
      <c r="L57" s="342" t="str">
        <f>IFERROR(IF(Tabla58[[#This Row],[Cod trabalhador]]="",Tabla58[[#This Row],[Cod trabalhador]], INDEX(Colaborador_ID[Nombre], MATCH(Tabla58[[#This Row],[Cod trabalhador]],Colaborador_ID[Cod_colab], 0))), "")</f>
        <v>JAVIER ORLANDO PINTO VIANCHA</v>
      </c>
      <c r="N57" s="405" t="s">
        <v>7285</v>
      </c>
      <c r="O57" s="26">
        <f>IFERROR(VLOOKUP(Tabla58[[#This Row],[Cod trabalhador]],Tabla15[],4,FALSE),"")</f>
        <v>15</v>
      </c>
      <c r="P57" s="92">
        <f>IFERROR(VLOOKUP(Tabla58[[#This Row],[Cod trabalhador]],'TotalHorasAjustadas (2)'!D:L,8,FALSE),"")</f>
        <v>273</v>
      </c>
      <c r="Q57" s="27">
        <v>273</v>
      </c>
      <c r="R57" s="28" t="s">
        <v>7471</v>
      </c>
      <c r="S57" s="28" t="s">
        <v>7539</v>
      </c>
      <c r="U57" s="25"/>
      <c r="V57" s="220"/>
      <c r="W57" s="27"/>
      <c r="X57" s="28"/>
      <c r="Y57" s="28"/>
      <c r="Z57" s="149"/>
      <c r="AA57" s="392" t="str">
        <f>IFERROR(VLOOKUP(Tabla58[[#This Row],[Cod trabalhador]],Alojamentos!B:P,11,FALSE),"")</f>
        <v/>
      </c>
      <c r="AB57" s="127"/>
      <c r="AC57" s="150"/>
      <c r="AD57" s="35">
        <f>Tabla58[[#This Row],[Dias de alta]]*7.058</f>
        <v>0</v>
      </c>
      <c r="AE57" s="46" t="str">
        <f>IFERROR(VLOOKUP(Tabla58[[#This Row],[Cod trabalhador]],Adiantamentos!B:L,7,FALSE),"")</f>
        <v/>
      </c>
      <c r="AF57" s="46">
        <f>IFERROR(VLOOKUP(Tabla58[[#This Row],[Cod trabalhador]],Carro!B:D,3,FALSE),"")</f>
        <v>116</v>
      </c>
      <c r="AG57" s="46" t="str">
        <f>IFERROR(VLOOKUP(Tabla58[[#This Row],[Cod trabalhador]],'Outros descontos'!B:O,7,FALSE),"")</f>
        <v/>
      </c>
      <c r="AH57" s="46" t="str">
        <f>IFERROR(VLOOKUP(Tabla58[[#This Row],[Cod trabalhador]],'Outros descontos'!B:M,8,FALSE),"")</f>
        <v/>
      </c>
      <c r="AI57" s="46" t="str">
        <f>IFERROR(VLOOKUP(Tabla58[[#This Row],[Cod trabalhador]],'Outros descontos'!B:M,9,FALSE),"")</f>
        <v/>
      </c>
      <c r="AJ57" s="46" t="str">
        <f>IFERROR(VLOOKUP(Tabla58[[#This Row],[Cod trabalhador]],'Outros descontos'!B:M,10,FALSE),"")</f>
        <v/>
      </c>
      <c r="AK57" s="46" t="str">
        <f>IFERROR(VLOOKUP(Tabla58[[#This Row],[Cod trabalhador]],'Outros descontos'!B:M,11,FALSE),"")</f>
        <v/>
      </c>
      <c r="AL57" s="46" t="str">
        <f>IFERROR(VLOOKUP(Tabla58[[#This Row],[Cod trabalhador]],'Outros descontos'!B:R,12,FALSE),"")</f>
        <v/>
      </c>
      <c r="AM57" s="46" t="str">
        <f>IFERROR(VLOOKUP(Tabla58[[#This Row],[Cod trabalhador]],'Outros descontos'!B:M,13,FALSE),"")</f>
        <v/>
      </c>
      <c r="AN57" s="41"/>
      <c r="AO57" s="37">
        <v>4.08</v>
      </c>
      <c r="AP57" s="15"/>
      <c r="AQ57"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3974.92</v>
      </c>
      <c r="AR57"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3974.92</v>
      </c>
      <c r="AS57" s="15"/>
      <c r="AT57" s="27" t="str">
        <f>IF(Tabla58[[#This Row],[Cod trabalhador]]="", "", INDEX(Iban!C:C, MATCH(Tabla58[[#This Row],[Cod trabalhador]],Iban!A:A, 0)))</f>
        <v>ES17 0182 0698 2002 0162 7094</v>
      </c>
      <c r="AU57" s="27"/>
      <c r="AV57" s="97"/>
      <c r="AW57" s="66" t="s">
        <v>7533</v>
      </c>
      <c r="AX57" s="296" t="s">
        <v>7472</v>
      </c>
    </row>
    <row r="58" spans="1:50" ht="16.95" hidden="1" customHeight="1" x14ac:dyDescent="0.3">
      <c r="A58" s="43"/>
      <c r="B58" s="39" t="s">
        <v>5540</v>
      </c>
      <c r="C58" s="45" t="str">
        <f>IF(ISNUMBER(MATCH(Tabla58[[#This Row],[Cod trabalhador]],'Altas Wiseowe'!B:B, 0)), "Ativo", "Não ativo")</f>
        <v>Não ativo</v>
      </c>
      <c r="D58" s="44" t="str">
        <f>IFERROR(IF(VLOOKUP(Tabla58[[#This Row],[Cod trabalhador]],'Altas Industrial'!B:E,1,0)&lt;&gt;"","KI",""),"")</f>
        <v/>
      </c>
      <c r="E58" s="44" t="str">
        <f>IFERROR(IF(VLOOKUP(Tabla58[[#This Row],[Cod trabalhador]],'Altas Rosas'!B:F,1,0)&lt;&gt;"","KR",""),"")</f>
        <v/>
      </c>
      <c r="F58" s="44" t="str">
        <f>IFERROR(IF(VLOOKUP(Tabla58[[#This Row],[Cod trabalhador]],'Altas Wiseowe'!B:E,1,0)&lt;&gt;"","WS",""),"")</f>
        <v/>
      </c>
      <c r="G58" s="101" t="str">
        <f>IFERROR(IF(VLOOKUP(Tabla58[[#This Row],[Cod trabalhador]],'Altas Luminous'!B:E,1,0)&lt;&gt;"","LM",""),"")</f>
        <v/>
      </c>
      <c r="H58" s="51" t="str">
        <f>IFERROR(VLOOKUP(Tabla58[[#This Row],[Cod trabalhador]],'Altas Wiseowe'!B:E,3,FALSE),"")</f>
        <v/>
      </c>
      <c r="I58" s="51" t="str">
        <f>IF(OR(Tabla58[[#This Row],[Cod trabalhador]]="",ISBLANK(Tabla58[[#This Row],[Cod trabalhador]])),"",IFERROR(IF(VLOOKUP(Tabla58[[#This Row],[Cod trabalhador]],'Altas Wiseowe'!B:E,4,FALSE)=0,"",VLOOKUP(Tabla58[[#This Row],[Cod trabalhador]],'Altas Wiseowe'!B:E,4,FALSE)),""))</f>
        <v/>
      </c>
      <c r="J58" s="44">
        <f t="shared" si="1"/>
        <v>0</v>
      </c>
      <c r="K58" s="376" t="s">
        <v>5541</v>
      </c>
      <c r="L58" s="342" t="str">
        <f>IFERROR(IF(Tabla58[[#This Row],[Cod trabalhador]]="",Tabla58[[#This Row],[Cod trabalhador]], INDEX(Colaborador_ID[Nombre], MATCH(Tabla58[[#This Row],[Cod trabalhador]],Colaborador_ID[Cod_colab], 0))), "")</f>
        <v>ODAR JOHN REYES RAMIREZ</v>
      </c>
      <c r="N58" s="405" t="s">
        <v>7285</v>
      </c>
      <c r="O58" s="26">
        <f>IFERROR(VLOOKUP(Tabla58[[#This Row],[Cod trabalhador]],Tabla15[],4,FALSE),"")</f>
        <v>15</v>
      </c>
      <c r="P58" s="92">
        <f>IFERROR(VLOOKUP(Tabla58[[#This Row],[Cod trabalhador]],'TotalHorasAjustadas (2)'!D:L,8,FALSE),"")</f>
        <v>273</v>
      </c>
      <c r="Q58" s="27">
        <v>273</v>
      </c>
      <c r="R58" s="28" t="s">
        <v>7471</v>
      </c>
      <c r="S58" s="28" t="s">
        <v>7539</v>
      </c>
      <c r="U58" s="25"/>
      <c r="V58" s="220"/>
      <c r="W58" s="27"/>
      <c r="X58" s="28"/>
      <c r="Y58" s="28"/>
      <c r="Z58" s="149"/>
      <c r="AA58" s="392" t="str">
        <f>IFERROR(VLOOKUP(Tabla58[[#This Row],[Cod trabalhador]],Alojamentos!B:P,11,FALSE),"")</f>
        <v/>
      </c>
      <c r="AB58" s="127"/>
      <c r="AC58" s="150"/>
      <c r="AD58" s="35">
        <f>Tabla58[[#This Row],[Dias de alta]]*7.058</f>
        <v>0</v>
      </c>
      <c r="AE58" s="46" t="str">
        <f>IFERROR(VLOOKUP(Tabla58[[#This Row],[Cod trabalhador]],Adiantamentos!B:L,7,FALSE),"")</f>
        <v/>
      </c>
      <c r="AF58" s="46">
        <f>IFERROR(VLOOKUP(Tabla58[[#This Row],[Cod trabalhador]],Carro!B:D,3,FALSE),"")</f>
        <v>116</v>
      </c>
      <c r="AG58" s="46" t="str">
        <f>IFERROR(VLOOKUP(Tabla58[[#This Row],[Cod trabalhador]],'Outros descontos'!B:O,7,FALSE),"")</f>
        <v/>
      </c>
      <c r="AH58" s="46" t="str">
        <f>IFERROR(VLOOKUP(Tabla58[[#This Row],[Cod trabalhador]],'Outros descontos'!B:M,8,FALSE),"")</f>
        <v/>
      </c>
      <c r="AI58" s="46" t="str">
        <f>IFERROR(VLOOKUP(Tabla58[[#This Row],[Cod trabalhador]],'Outros descontos'!B:M,9,FALSE),"")</f>
        <v/>
      </c>
      <c r="AJ58" s="46" t="str">
        <f>IFERROR(VLOOKUP(Tabla58[[#This Row],[Cod trabalhador]],'Outros descontos'!B:M,10,FALSE),"")</f>
        <v/>
      </c>
      <c r="AK58" s="46" t="str">
        <f>IFERROR(VLOOKUP(Tabla58[[#This Row],[Cod trabalhador]],'Outros descontos'!B:M,11,FALSE),"")</f>
        <v/>
      </c>
      <c r="AL58" s="46" t="str">
        <f>IFERROR(VLOOKUP(Tabla58[[#This Row],[Cod trabalhador]],'Outros descontos'!B:R,12,FALSE),"")</f>
        <v/>
      </c>
      <c r="AM58" s="46" t="str">
        <f>IFERROR(VLOOKUP(Tabla58[[#This Row],[Cod trabalhador]],'Outros descontos'!B:M,13,FALSE),"")</f>
        <v/>
      </c>
      <c r="AN58" s="41"/>
      <c r="AO58" s="37">
        <v>4.08</v>
      </c>
      <c r="AP58" s="15"/>
      <c r="AQ58"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3974.92</v>
      </c>
      <c r="AR58"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3974.92</v>
      </c>
      <c r="AS58" s="15"/>
      <c r="AT58" s="27" t="str">
        <f>IF(Tabla58[[#This Row],[Cod trabalhador]]="", "", INDEX(Iban!C:C, MATCH(Tabla58[[#This Row],[Cod trabalhador]],Iban!A:A, 0)))</f>
        <v>ES63 0182 2808 8902 0159 9059</v>
      </c>
      <c r="AU58" s="27"/>
      <c r="AV58" s="27"/>
      <c r="AW58" s="66" t="s">
        <v>7533</v>
      </c>
      <c r="AX58" s="296" t="s">
        <v>7472</v>
      </c>
    </row>
    <row r="59" spans="1:50" ht="16.95" hidden="1" customHeight="1" x14ac:dyDescent="0.3">
      <c r="A59" s="43"/>
      <c r="B59" s="39" t="s">
        <v>6564</v>
      </c>
      <c r="C59" s="45" t="str">
        <f>IF(ISNUMBER(MATCH(Tabla58[[#This Row],[Cod trabalhador]],'Altas Wiseowe'!B:B, 0)), "Ativo", "Não ativo")</f>
        <v>Não ativo</v>
      </c>
      <c r="D59" s="44" t="str">
        <f>IFERROR(IF(VLOOKUP(Tabla58[[#This Row],[Cod trabalhador]],'Altas Industrial'!B:E,1,0)&lt;&gt;"","KI",""),"")</f>
        <v/>
      </c>
      <c r="E59" s="44" t="str">
        <f>IFERROR(IF(VLOOKUP(Tabla58[[#This Row],[Cod trabalhador]],'Altas Rosas'!B:F,1,0)&lt;&gt;"","KR",""),"")</f>
        <v/>
      </c>
      <c r="F59" s="44" t="str">
        <f>IFERROR(IF(VLOOKUP(Tabla58[[#This Row],[Cod trabalhador]],'Altas Wiseowe'!B:E,1,0)&lt;&gt;"","WS",""),"")</f>
        <v/>
      </c>
      <c r="G59" s="101" t="str">
        <f>IFERROR(IF(VLOOKUP(Tabla58[[#This Row],[Cod trabalhador]],'Altas Luminous'!B:E,1,0)&lt;&gt;"","LM",""),"")</f>
        <v/>
      </c>
      <c r="H59" s="51" t="str">
        <f>IFERROR(VLOOKUP(Tabla58[[#This Row],[Cod trabalhador]],'Altas Wiseowe'!B:E,3,FALSE),"")</f>
        <v/>
      </c>
      <c r="I59" s="51" t="str">
        <f>IF(OR(Tabla58[[#This Row],[Cod trabalhador]]="",ISBLANK(Tabla58[[#This Row],[Cod trabalhador]])),"",IFERROR(IF(VLOOKUP(Tabla58[[#This Row],[Cod trabalhador]],'Altas Wiseowe'!B:E,4,FALSE)=0,"",VLOOKUP(Tabla58[[#This Row],[Cod trabalhador]],'Altas Wiseowe'!B:E,4,FALSE)),""))</f>
        <v/>
      </c>
      <c r="J59" s="44">
        <f t="shared" si="1"/>
        <v>0</v>
      </c>
      <c r="K59" s="376" t="s">
        <v>6565</v>
      </c>
      <c r="L59" s="342" t="str">
        <f>IFERROR(IF(Tabla58[[#This Row],[Cod trabalhador]]="",Tabla58[[#This Row],[Cod trabalhador]], INDEX(Colaborador_ID[Nombre], MATCH(Tabla58[[#This Row],[Cod trabalhador]],Colaborador_ID[Cod_colab], 0))), "")</f>
        <v>WEIMAR ALEXANDER RUA MESA</v>
      </c>
      <c r="N59" s="405" t="s">
        <v>7285</v>
      </c>
      <c r="O59" s="26">
        <f>IFERROR(VLOOKUP(Tabla58[[#This Row],[Cod trabalhador]],Tabla15[],4,FALSE),"")</f>
        <v>15</v>
      </c>
      <c r="P59" s="92">
        <f>IFERROR(VLOOKUP(Tabla58[[#This Row],[Cod trabalhador]],'TotalHorasAjustadas (2)'!D:L,8,FALSE),"")</f>
        <v>273</v>
      </c>
      <c r="Q59" s="27">
        <v>273</v>
      </c>
      <c r="R59" s="28" t="s">
        <v>7471</v>
      </c>
      <c r="S59" s="28" t="s">
        <v>7539</v>
      </c>
      <c r="U59" s="25"/>
      <c r="V59" s="220"/>
      <c r="W59" s="27"/>
      <c r="X59" s="28"/>
      <c r="Y59" s="28"/>
      <c r="Z59" s="149"/>
      <c r="AA59" s="392" t="str">
        <f>IFERROR(VLOOKUP(Tabla58[[#This Row],[Cod trabalhador]],Alojamentos!B:P,11,FALSE),"")</f>
        <v/>
      </c>
      <c r="AB59" s="127"/>
      <c r="AC59" s="150"/>
      <c r="AD59" s="35">
        <f>Tabla58[[#This Row],[Dias de alta]]*7.058</f>
        <v>0</v>
      </c>
      <c r="AE59" s="46" t="str">
        <f>IFERROR(VLOOKUP(Tabla58[[#This Row],[Cod trabalhador]],Adiantamentos!B:L,7,FALSE),"")</f>
        <v/>
      </c>
      <c r="AF59" s="46">
        <f>IFERROR(VLOOKUP(Tabla58[[#This Row],[Cod trabalhador]],Carro!B:D,3,FALSE),"")</f>
        <v>116</v>
      </c>
      <c r="AG59" s="46" t="str">
        <f>IFERROR(VLOOKUP(Tabla58[[#This Row],[Cod trabalhador]],'Outros descontos'!B:O,7,FALSE),"")</f>
        <v/>
      </c>
      <c r="AH59" s="46" t="str">
        <f>IFERROR(VLOOKUP(Tabla58[[#This Row],[Cod trabalhador]],'Outros descontos'!B:M,8,FALSE),"")</f>
        <v/>
      </c>
      <c r="AI59" s="46" t="str">
        <f>IFERROR(VLOOKUP(Tabla58[[#This Row],[Cod trabalhador]],'Outros descontos'!B:M,9,FALSE),"")</f>
        <v/>
      </c>
      <c r="AJ59" s="46" t="str">
        <f>IFERROR(VLOOKUP(Tabla58[[#This Row],[Cod trabalhador]],'Outros descontos'!B:M,10,FALSE),"")</f>
        <v/>
      </c>
      <c r="AK59" s="46" t="str">
        <f>IFERROR(VLOOKUP(Tabla58[[#This Row],[Cod trabalhador]],'Outros descontos'!B:M,11,FALSE),"")</f>
        <v/>
      </c>
      <c r="AL59" s="46" t="str">
        <f>IFERROR(VLOOKUP(Tabla58[[#This Row],[Cod trabalhador]],'Outros descontos'!B:R,12,FALSE),"")</f>
        <v/>
      </c>
      <c r="AM59" s="46" t="str">
        <f>IFERROR(VLOOKUP(Tabla58[[#This Row],[Cod trabalhador]],'Outros descontos'!B:M,13,FALSE),"")</f>
        <v/>
      </c>
      <c r="AN59" s="41"/>
      <c r="AO59" s="37">
        <v>4.08</v>
      </c>
      <c r="AP59" s="15"/>
      <c r="AQ59"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3974.92</v>
      </c>
      <c r="AR59"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3974.92</v>
      </c>
      <c r="AS59" s="15"/>
      <c r="AT59" s="27" t="str">
        <f>IF(Tabla58[[#This Row],[Cod trabalhador]]="", "", INDEX(Iban!C:C, MATCH(Tabla58[[#This Row],[Cod trabalhador]],Iban!A:A, 0)))</f>
        <v>ES84 0182 6139 6602 0165 4030</v>
      </c>
      <c r="AU59" s="27"/>
      <c r="AV59" s="27"/>
      <c r="AW59" s="66" t="s">
        <v>7533</v>
      </c>
      <c r="AX59" s="296" t="s">
        <v>7472</v>
      </c>
    </row>
    <row r="60" spans="1:50" ht="16.5" hidden="1" customHeight="1" x14ac:dyDescent="0.3">
      <c r="A60" s="43"/>
      <c r="B60" s="39" t="s">
        <v>585</v>
      </c>
      <c r="C60" s="45" t="str">
        <f>IF(ISNUMBER(MATCH(Tabla58[[#This Row],[Cod trabalhador]],'Altas Wiseowe'!B:B, 0)), "Ativo", "Não ativo")</f>
        <v>Não ativo</v>
      </c>
      <c r="D60" s="44" t="str">
        <f>IFERROR(IF(VLOOKUP(Tabla58[[#This Row],[Cod trabalhador]],'Altas Industrial'!B:E,1,0)&lt;&gt;"","KI",""),"")</f>
        <v/>
      </c>
      <c r="E60" s="44" t="str">
        <f>IFERROR(IF(VLOOKUP(Tabla58[[#This Row],[Cod trabalhador]],'Altas Rosas'!B:F,1,0)&lt;&gt;"","KR",""),"")</f>
        <v/>
      </c>
      <c r="F60" s="44" t="str">
        <f>IFERROR(IF(VLOOKUP(Tabla58[[#This Row],[Cod trabalhador]],'Altas Wiseowe'!B:E,1,0)&lt;&gt;"","WS",""),"")</f>
        <v/>
      </c>
      <c r="G60" s="101" t="str">
        <f>IFERROR(IF(VLOOKUP(Tabla58[[#This Row],[Cod trabalhador]],'Altas Luminous'!B:E,1,0)&lt;&gt;"","LM",""),"")</f>
        <v/>
      </c>
      <c r="H60" s="51" t="str">
        <f>IFERROR(VLOOKUP(Tabla58[[#This Row],[Cod trabalhador]],'Altas Wiseowe'!B:E,3,FALSE),"")</f>
        <v/>
      </c>
      <c r="I60" s="51" t="str">
        <f>IF(OR(Tabla58[[#This Row],[Cod trabalhador]]="",ISBLANK(Tabla58[[#This Row],[Cod trabalhador]])),"",IFERROR(IF(VLOOKUP(Tabla58[[#This Row],[Cod trabalhador]],'Altas Wiseowe'!B:E,4,FALSE)=0,"",VLOOKUP(Tabla58[[#This Row],[Cod trabalhador]],'Altas Wiseowe'!B:E,4,FALSE)),""))</f>
        <v/>
      </c>
      <c r="J60" s="44">
        <f t="shared" si="1"/>
        <v>0</v>
      </c>
      <c r="K60" s="376" t="s">
        <v>7287</v>
      </c>
      <c r="L60" s="342" t="str">
        <f>IFERROR(IF(Tabla58[[#This Row],[Cod trabalhador]]="",Tabla58[[#This Row],[Cod trabalhador]], INDEX(Colaborador_ID[Nombre], MATCH(Tabla58[[#This Row],[Cod trabalhador]],Colaborador_ID[Cod_colab], 0))), "")</f>
        <v>BLAKIS ANTONIO BARBOZA TRUJILLO</v>
      </c>
      <c r="N60" s="405" t="s">
        <v>7286</v>
      </c>
      <c r="O60" s="26">
        <f>IFERROR(VLOOKUP(Tabla58[[#This Row],[Cod trabalhador]],Tabla15[],4,FALSE),"")</f>
        <v>14</v>
      </c>
      <c r="P60" s="92">
        <f>IFERROR(VLOOKUP(Tabla58[[#This Row],[Cod trabalhador]],'TotalHorasAjustadas (2)'!D:L,8,FALSE),"")</f>
        <v>206</v>
      </c>
      <c r="Q60" s="27">
        <v>206</v>
      </c>
      <c r="R60" s="28" t="s">
        <v>7532</v>
      </c>
      <c r="S60" s="28" t="s">
        <v>7539</v>
      </c>
      <c r="U60" s="25"/>
      <c r="V60" s="220"/>
      <c r="W60" s="27"/>
      <c r="X60" s="28"/>
      <c r="Y60" s="28"/>
      <c r="Z60" s="149"/>
      <c r="AA60" s="392" t="str">
        <f>IFERROR(VLOOKUP(Tabla58[[#This Row],[Cod trabalhador]],Alojamentos!B:P,11,FALSE),"")</f>
        <v/>
      </c>
      <c r="AB60" s="127"/>
      <c r="AC60" s="150"/>
      <c r="AD60" s="35">
        <f>Tabla58[[#This Row],[Dias de alta]]*7.058</f>
        <v>0</v>
      </c>
      <c r="AE60" s="46" t="str">
        <f>IFERROR(VLOOKUP(Tabla58[[#This Row],[Cod trabalhador]],Adiantamentos!B:L,7,FALSE),"")</f>
        <v/>
      </c>
      <c r="AF60" s="46">
        <f>IFERROR(VLOOKUP(Tabla58[[#This Row],[Cod trabalhador]],Carro!B:D,3,FALSE),"")</f>
        <v>81.111111111111114</v>
      </c>
      <c r="AG60" s="46" t="str">
        <f>IFERROR(VLOOKUP(Tabla58[[#This Row],[Cod trabalhador]],'Outros descontos'!B:O,7,FALSE),"")</f>
        <v/>
      </c>
      <c r="AH60" s="46" t="str">
        <f>IFERROR(VLOOKUP(Tabla58[[#This Row],[Cod trabalhador]],'Outros descontos'!B:M,8,FALSE),"")</f>
        <v/>
      </c>
      <c r="AI60" s="46" t="str">
        <f>IFERROR(VLOOKUP(Tabla58[[#This Row],[Cod trabalhador]],'Outros descontos'!B:M,9,FALSE),"")</f>
        <v/>
      </c>
      <c r="AJ60" s="46" t="str">
        <f>IFERROR(VLOOKUP(Tabla58[[#This Row],[Cod trabalhador]],'Outros descontos'!B:M,10,FALSE),"")</f>
        <v/>
      </c>
      <c r="AK60" s="46" t="str">
        <f>IFERROR(VLOOKUP(Tabla58[[#This Row],[Cod trabalhador]],'Outros descontos'!B:M,11,FALSE),"")</f>
        <v/>
      </c>
      <c r="AL60" s="46" t="str">
        <f>IFERROR(VLOOKUP(Tabla58[[#This Row],[Cod trabalhador]],'Outros descontos'!B:R,12,FALSE),"")</f>
        <v/>
      </c>
      <c r="AM60" s="46" t="str">
        <f>IFERROR(VLOOKUP(Tabla58[[#This Row],[Cod trabalhador]],'Outros descontos'!B:M,13,FALSE),"")</f>
        <v/>
      </c>
      <c r="AN60" s="41"/>
      <c r="AO60" s="37">
        <v>4.08</v>
      </c>
      <c r="AP60" s="15"/>
      <c r="AQ60"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2798.8088888888888</v>
      </c>
      <c r="AR60"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2798.8088888888888</v>
      </c>
      <c r="AS60" s="15"/>
      <c r="AT60" s="27" t="str">
        <f>IF(Tabla58[[#This Row],[Cod trabalhador]]="", "", INDEX(Iban!C:C, MATCH(Tabla58[[#This Row],[Cod trabalhador]],Iban!A:A, 0)))</f>
        <v>ES41 0182 0702 3402 0165 3712</v>
      </c>
      <c r="AU60" s="27"/>
      <c r="AV60" s="27"/>
      <c r="AW60" s="66" t="s">
        <v>7533</v>
      </c>
      <c r="AX60" s="296" t="s">
        <v>7472</v>
      </c>
    </row>
    <row r="61" spans="1:50" ht="16.5" hidden="1" customHeight="1" x14ac:dyDescent="0.3">
      <c r="A61" s="43"/>
      <c r="B61" s="39" t="s">
        <v>811</v>
      </c>
      <c r="C61" s="45" t="str">
        <f>IF(ISNUMBER(MATCH(Tabla58[[#This Row],[Cod trabalhador]],'Altas Wiseowe'!B:B, 0)), "Ativo", "Não ativo")</f>
        <v>Não ativo</v>
      </c>
      <c r="D61" s="44" t="str">
        <f>IFERROR(IF(VLOOKUP(Tabla58[[#This Row],[Cod trabalhador]],'Altas Industrial'!B:E,1,0)&lt;&gt;"","KI",""),"")</f>
        <v/>
      </c>
      <c r="E61" s="44" t="str">
        <f>IFERROR(IF(VLOOKUP(Tabla58[[#This Row],[Cod trabalhador]],'Altas Rosas'!B:F,1,0)&lt;&gt;"","KR",""),"")</f>
        <v/>
      </c>
      <c r="F61" s="44" t="str">
        <f>IFERROR(IF(VLOOKUP(Tabla58[[#This Row],[Cod trabalhador]],'Altas Wiseowe'!B:E,1,0)&lt;&gt;"","WS",""),"")</f>
        <v/>
      </c>
      <c r="G61" s="101" t="str">
        <f>IFERROR(IF(VLOOKUP(Tabla58[[#This Row],[Cod trabalhador]],'Altas Luminous'!B:E,1,0)&lt;&gt;"","LM",""),"")</f>
        <v/>
      </c>
      <c r="H61" s="51" t="str">
        <f>IFERROR(VLOOKUP(Tabla58[[#This Row],[Cod trabalhador]],'Altas Wiseowe'!B:E,3,FALSE),"")</f>
        <v/>
      </c>
      <c r="I61" s="51" t="str">
        <f>IF(OR(Tabla58[[#This Row],[Cod trabalhador]]="",ISBLANK(Tabla58[[#This Row],[Cod trabalhador]])),"",IFERROR(IF(VLOOKUP(Tabla58[[#This Row],[Cod trabalhador]],'Altas Wiseowe'!B:E,4,FALSE)=0,"",VLOOKUP(Tabla58[[#This Row],[Cod trabalhador]],'Altas Wiseowe'!B:E,4,FALSE)),""))</f>
        <v/>
      </c>
      <c r="J61" s="44">
        <f t="shared" si="1"/>
        <v>0</v>
      </c>
      <c r="K61" s="376" t="s">
        <v>7288</v>
      </c>
      <c r="L61" s="342" t="str">
        <f>IFERROR(IF(Tabla58[[#This Row],[Cod trabalhador]]="",Tabla58[[#This Row],[Cod trabalhador]], INDEX(Colaborador_ID[Nombre], MATCH(Tabla58[[#This Row],[Cod trabalhador]],Colaborador_ID[Cod_colab], 0))), "")</f>
        <v>CARLOS ARTURO GONZALEZ GOMEZ</v>
      </c>
      <c r="N61" s="405" t="s">
        <v>7286</v>
      </c>
      <c r="O61" s="26">
        <f>IFERROR(VLOOKUP(Tabla58[[#This Row],[Cod trabalhador]],Tabla15[],4,FALSE),"")</f>
        <v>14</v>
      </c>
      <c r="P61" s="92">
        <f>IFERROR(VLOOKUP(Tabla58[[#This Row],[Cod trabalhador]],'TotalHorasAjustadas (2)'!D:L,8,FALSE),"")</f>
        <v>196</v>
      </c>
      <c r="Q61" s="27">
        <v>196</v>
      </c>
      <c r="R61" s="28" t="s">
        <v>7532</v>
      </c>
      <c r="S61" s="28" t="s">
        <v>7539</v>
      </c>
      <c r="U61" s="25"/>
      <c r="V61" s="220"/>
      <c r="W61" s="27"/>
      <c r="X61" s="28"/>
      <c r="Y61" s="28"/>
      <c r="Z61" s="149"/>
      <c r="AA61" s="392" t="str">
        <f>IFERROR(VLOOKUP(Tabla58[[#This Row],[Cod trabalhador]],Alojamentos!B:P,11,FALSE),"")</f>
        <v/>
      </c>
      <c r="AB61" s="127"/>
      <c r="AC61" s="150"/>
      <c r="AD61" s="35">
        <f>Tabla58[[#This Row],[Dias de alta]]*7.058</f>
        <v>0</v>
      </c>
      <c r="AE61" s="46" t="str">
        <f>IFERROR(VLOOKUP(Tabla58[[#This Row],[Cod trabalhador]],Adiantamentos!B:L,7,FALSE),"")</f>
        <v/>
      </c>
      <c r="AF61" s="46">
        <f>IFERROR(VLOOKUP(Tabla58[[#This Row],[Cod trabalhador]],Carro!B:D,3,FALSE),"")</f>
        <v>63.333333333333336</v>
      </c>
      <c r="AG61" s="46" t="str">
        <f>IFERROR(VLOOKUP(Tabla58[[#This Row],[Cod trabalhador]],'Outros descontos'!B:O,7,FALSE),"")</f>
        <v/>
      </c>
      <c r="AH61" s="46" t="str">
        <f>IFERROR(VLOOKUP(Tabla58[[#This Row],[Cod trabalhador]],'Outros descontos'!B:M,8,FALSE),"")</f>
        <v/>
      </c>
      <c r="AI61" s="46" t="str">
        <f>IFERROR(VLOOKUP(Tabla58[[#This Row],[Cod trabalhador]],'Outros descontos'!B:M,9,FALSE),"")</f>
        <v/>
      </c>
      <c r="AJ61" s="46" t="str">
        <f>IFERROR(VLOOKUP(Tabla58[[#This Row],[Cod trabalhador]],'Outros descontos'!B:M,10,FALSE),"")</f>
        <v/>
      </c>
      <c r="AK61" s="46" t="str">
        <f>IFERROR(VLOOKUP(Tabla58[[#This Row],[Cod trabalhador]],'Outros descontos'!B:M,11,FALSE),"")</f>
        <v/>
      </c>
      <c r="AL61" s="46" t="str">
        <f>IFERROR(VLOOKUP(Tabla58[[#This Row],[Cod trabalhador]],'Outros descontos'!B:R,12,FALSE),"")</f>
        <v/>
      </c>
      <c r="AM61" s="46" t="str">
        <f>IFERROR(VLOOKUP(Tabla58[[#This Row],[Cod trabalhador]],'Outros descontos'!B:M,13,FALSE),"")</f>
        <v/>
      </c>
      <c r="AN61" s="41"/>
      <c r="AO61" s="37">
        <v>4.08</v>
      </c>
      <c r="AP61" s="15"/>
      <c r="AQ61"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2676.5866666666666</v>
      </c>
      <c r="AR61"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2676.5866666666666</v>
      </c>
      <c r="AS61" s="15"/>
      <c r="AT61" s="27" t="str">
        <f>IF(Tabla58[[#This Row],[Cod trabalhador]]="", "", INDEX(Iban!C:C, MATCH(Tabla58[[#This Row],[Cod trabalhador]],Iban!A:A, 0)))</f>
        <v>ES90 0182 0660 4102 0167 2435</v>
      </c>
      <c r="AU61" s="27"/>
      <c r="AV61" s="97"/>
      <c r="AW61" s="66" t="s">
        <v>7533</v>
      </c>
      <c r="AX61" s="296" t="s">
        <v>7472</v>
      </c>
    </row>
    <row r="62" spans="1:50" ht="16.5" hidden="1" customHeight="1" x14ac:dyDescent="0.3">
      <c r="A62" s="43"/>
      <c r="B62" s="39" t="s">
        <v>1464</v>
      </c>
      <c r="C62" s="45" t="str">
        <f>IF(ISNUMBER(MATCH(Tabla58[[#This Row],[Cod trabalhador]],'Altas Wiseowe'!B:B, 0)), "Ativo", "Não ativo")</f>
        <v>Não ativo</v>
      </c>
      <c r="D62" s="44" t="str">
        <f>IFERROR(IF(VLOOKUP(Tabla58[[#This Row],[Cod trabalhador]],'Altas Industrial'!B:E,1,0)&lt;&gt;"","KI",""),"")</f>
        <v/>
      </c>
      <c r="E62" s="44" t="str">
        <f>IFERROR(IF(VLOOKUP(Tabla58[[#This Row],[Cod trabalhador]],'Altas Rosas'!B:F,1,0)&lt;&gt;"","KR",""),"")</f>
        <v/>
      </c>
      <c r="F62" s="44" t="str">
        <f>IFERROR(IF(VLOOKUP(Tabla58[[#This Row],[Cod trabalhador]],'Altas Wiseowe'!B:E,1,0)&lt;&gt;"","WS",""),"")</f>
        <v/>
      </c>
      <c r="G62" s="101" t="str">
        <f>IFERROR(IF(VLOOKUP(Tabla58[[#This Row],[Cod trabalhador]],'Altas Luminous'!B:E,1,0)&lt;&gt;"","LM",""),"")</f>
        <v/>
      </c>
      <c r="H62" s="51" t="str">
        <f>IFERROR(VLOOKUP(Tabla58[[#This Row],[Cod trabalhador]],'Altas Wiseowe'!B:E,3,FALSE),"")</f>
        <v/>
      </c>
      <c r="I62" s="51" t="str">
        <f>IF(OR(Tabla58[[#This Row],[Cod trabalhador]]="",ISBLANK(Tabla58[[#This Row],[Cod trabalhador]])),"",IFERROR(IF(VLOOKUP(Tabla58[[#This Row],[Cod trabalhador]],'Altas Wiseowe'!B:E,4,FALSE)=0,"",VLOOKUP(Tabla58[[#This Row],[Cod trabalhador]],'Altas Wiseowe'!B:E,4,FALSE)),""))</f>
        <v/>
      </c>
      <c r="J62" s="44">
        <f t="shared" si="1"/>
        <v>0</v>
      </c>
      <c r="K62" s="376" t="s">
        <v>1465</v>
      </c>
      <c r="L62" s="342" t="str">
        <f>IFERROR(IF(Tabla58[[#This Row],[Cod trabalhador]]="",Tabla58[[#This Row],[Cod trabalhador]], INDEX(Colaborador_ID[Nombre], MATCH(Tabla58[[#This Row],[Cod trabalhador]],Colaborador_ID[Cod_colab], 0))), "")</f>
        <v>EDGAR ENRIQUE TORRES RAMIREZ</v>
      </c>
      <c r="M62" s="340"/>
      <c r="N62" s="405" t="s">
        <v>7286</v>
      </c>
      <c r="O62" s="26">
        <f>IFERROR(VLOOKUP(Tabla58[[#This Row],[Cod trabalhador]],Tabla15[],4,FALSE),"")</f>
        <v>14</v>
      </c>
      <c r="P62" s="92">
        <f>IFERROR(VLOOKUP(Tabla58[[#This Row],[Cod trabalhador]],'TotalHorasAjustadas (2)'!D:L,8,FALSE),"")</f>
        <v>189</v>
      </c>
      <c r="Q62" s="27">
        <v>183</v>
      </c>
      <c r="R62" s="28" t="s">
        <v>7532</v>
      </c>
      <c r="S62" s="28" t="s">
        <v>7539</v>
      </c>
      <c r="U62" s="25"/>
      <c r="V62" s="220"/>
      <c r="W62" s="27"/>
      <c r="X62" s="28"/>
      <c r="Y62" s="28"/>
      <c r="Z62" s="149"/>
      <c r="AA62" s="392" t="str">
        <f>IFERROR(VLOOKUP(Tabla58[[#This Row],[Cod trabalhador]],Alojamentos!B:P,11,FALSE),"")</f>
        <v/>
      </c>
      <c r="AB62" s="127"/>
      <c r="AC62" s="150"/>
      <c r="AD62" s="35">
        <f>Tabla58[[#This Row],[Dias de alta]]*7.058</f>
        <v>0</v>
      </c>
      <c r="AE62" s="46" t="str">
        <f>IFERROR(VLOOKUP(Tabla58[[#This Row],[Cod trabalhador]],Adiantamentos!B:L,7,FALSE),"")</f>
        <v/>
      </c>
      <c r="AF62" s="46" t="str">
        <f>IFERROR(VLOOKUP(Tabla58[[#This Row],[Cod trabalhador]],Carro!B:D,3,FALSE),"")</f>
        <v/>
      </c>
      <c r="AG62" s="46" t="str">
        <f>IFERROR(VLOOKUP(Tabla58[[#This Row],[Cod trabalhador]],'Outros descontos'!B:O,7,FALSE),"")</f>
        <v/>
      </c>
      <c r="AH62" s="46" t="str">
        <f>IFERROR(VLOOKUP(Tabla58[[#This Row],[Cod trabalhador]],'Outros descontos'!B:M,8,FALSE),"")</f>
        <v/>
      </c>
      <c r="AI62" s="46" t="str">
        <f>IFERROR(VLOOKUP(Tabla58[[#This Row],[Cod trabalhador]],'Outros descontos'!B:M,9,FALSE),"")</f>
        <v/>
      </c>
      <c r="AJ62" s="46" t="str">
        <f>IFERROR(VLOOKUP(Tabla58[[#This Row],[Cod trabalhador]],'Outros descontos'!B:M,10,FALSE),"")</f>
        <v/>
      </c>
      <c r="AK62" s="46" t="str">
        <f>IFERROR(VLOOKUP(Tabla58[[#This Row],[Cod trabalhador]],'Outros descontos'!B:M,11,FALSE),"")</f>
        <v/>
      </c>
      <c r="AL62" s="46" t="str">
        <f>IFERROR(VLOOKUP(Tabla58[[#This Row],[Cod trabalhador]],'Outros descontos'!B:R,12,FALSE),"")</f>
        <v/>
      </c>
      <c r="AM62" s="46" t="str">
        <f>IFERROR(VLOOKUP(Tabla58[[#This Row],[Cod trabalhador]],'Outros descontos'!B:M,13,FALSE),"")</f>
        <v/>
      </c>
      <c r="AN62" s="41"/>
      <c r="AO62" s="37">
        <v>4.08</v>
      </c>
      <c r="AP62" s="15"/>
      <c r="AQ62"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2641.92</v>
      </c>
      <c r="AR62"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2557.92</v>
      </c>
      <c r="AS62" s="15"/>
      <c r="AT62" s="27" t="str">
        <f>IF(Tabla58[[#This Row],[Cod trabalhador]]="", "", INDEX(Iban!C:C, MATCH(Tabla58[[#This Row],[Cod trabalhador]],Iban!A:A, 0)))</f>
        <v>ES89 0049 0627 9726 1085 5510</v>
      </c>
      <c r="AU62" s="27"/>
      <c r="AV62" s="97"/>
      <c r="AW62" s="66" t="s">
        <v>7533</v>
      </c>
      <c r="AX62" s="296" t="s">
        <v>7472</v>
      </c>
    </row>
    <row r="63" spans="1:50" ht="16.5" hidden="1" customHeight="1" x14ac:dyDescent="0.3">
      <c r="A63" s="43"/>
      <c r="B63" s="39" t="s">
        <v>1655</v>
      </c>
      <c r="C63" s="45" t="str">
        <f>IF(ISNUMBER(MATCH(Tabla58[[#This Row],[Cod trabalhador]],'Altas Wiseowe'!B:B, 0)), "Ativo", "Não ativo")</f>
        <v>Ativo</v>
      </c>
      <c r="D63" s="44" t="str">
        <f>IFERROR(IF(VLOOKUP(Tabla58[[#This Row],[Cod trabalhador]],'Altas Industrial'!B:E,1,0)&lt;&gt;"","KI",""),"")</f>
        <v/>
      </c>
      <c r="E63" s="44" t="str">
        <f>IFERROR(IF(VLOOKUP(Tabla58[[#This Row],[Cod trabalhador]],'Altas Rosas'!B:F,1,0)&lt;&gt;"","KR",""),"")</f>
        <v/>
      </c>
      <c r="F63" s="44" t="str">
        <f>IFERROR(IF(VLOOKUP(Tabla58[[#This Row],[Cod trabalhador]],'Altas Wiseowe'!B:E,1,0)&lt;&gt;"","WS",""),"")</f>
        <v>WS</v>
      </c>
      <c r="G63" s="101" t="str">
        <f>IFERROR(IF(VLOOKUP(Tabla58[[#This Row],[Cod trabalhador]],'Altas Luminous'!B:E,1,0)&lt;&gt;"","LM",""),"")</f>
        <v/>
      </c>
      <c r="H63" s="51">
        <f>IFERROR(VLOOKUP(Tabla58[[#This Row],[Cod trabalhador]],'Altas Wiseowe'!B:E,3,FALSE),"")</f>
        <v>46035</v>
      </c>
      <c r="I63" s="51" t="str">
        <f>IF(OR(Tabla58[[#This Row],[Cod trabalhador]]="",ISBLANK(Tabla58[[#This Row],[Cod trabalhador]])),"",IFERROR(IF(VLOOKUP(Tabla58[[#This Row],[Cod trabalhador]],'Altas Wiseowe'!B:E,4,FALSE)=0,"",VLOOKUP(Tabla58[[#This Row],[Cod trabalhador]],'Altas Wiseowe'!B:E,4,FALSE)),""))</f>
        <v/>
      </c>
      <c r="J63" s="44">
        <f t="shared" si="1"/>
        <v>19</v>
      </c>
      <c r="K63" s="376" t="s">
        <v>7289</v>
      </c>
      <c r="L63" s="342" t="str">
        <f>IFERROR(IF(Tabla58[[#This Row],[Cod trabalhador]]="",Tabla58[[#This Row],[Cod trabalhador]], INDEX(Colaborador_ID[Nombre], MATCH(Tabla58[[#This Row],[Cod trabalhador]],Colaborador_ID[Cod_colab], 0))), "")</f>
        <v>EDWIN ALEXANDER DIAZ PITRE</v>
      </c>
      <c r="N63" s="405" t="s">
        <v>7286</v>
      </c>
      <c r="O63" s="26">
        <v>14</v>
      </c>
      <c r="P63" s="92">
        <f>IFERROR(VLOOKUP(Tabla58[[#This Row],[Cod trabalhador]],'TotalHorasAjustadas (2)'!D:L,8,FALSE),"")</f>
        <v>159.5</v>
      </c>
      <c r="Q63" s="27">
        <v>159.5</v>
      </c>
      <c r="R63" s="28" t="s">
        <v>7532</v>
      </c>
      <c r="S63" s="28" t="s">
        <v>7539</v>
      </c>
      <c r="U63" s="25"/>
      <c r="V63" s="220"/>
      <c r="W63" s="27"/>
      <c r="X63" s="28"/>
      <c r="Y63" s="28"/>
      <c r="Z63" s="149"/>
      <c r="AA63" s="392" t="str">
        <f>IFERROR(VLOOKUP(Tabla58[[#This Row],[Cod trabalhador]],Alojamentos!B:P,11,FALSE),"")</f>
        <v/>
      </c>
      <c r="AB63" s="127"/>
      <c r="AC63" s="150"/>
      <c r="AD63" s="35">
        <f>Tabla58[[#This Row],[Dias de alta]]*7.058</f>
        <v>134.102</v>
      </c>
      <c r="AE63" s="46" t="str">
        <f>IFERROR(VLOOKUP(Tabla58[[#This Row],[Cod trabalhador]],Adiantamentos!B:L,7,FALSE),"")</f>
        <v/>
      </c>
      <c r="AF63" s="46">
        <f>IFERROR(VLOOKUP(Tabla58[[#This Row],[Cod trabalhador]],Carro!B:D,3,FALSE),"")</f>
        <v>13.333333333333334</v>
      </c>
      <c r="AG63" s="46" t="str">
        <f>IFERROR(VLOOKUP(Tabla58[[#This Row],[Cod trabalhador]],'Outros descontos'!B:O,7,FALSE),"")</f>
        <v/>
      </c>
      <c r="AH63" s="46" t="str">
        <f>IFERROR(VLOOKUP(Tabla58[[#This Row],[Cod trabalhador]],'Outros descontos'!B:M,8,FALSE),"")</f>
        <v/>
      </c>
      <c r="AI63" s="46" t="str">
        <f>IFERROR(VLOOKUP(Tabla58[[#This Row],[Cod trabalhador]],'Outros descontos'!B:M,9,FALSE),"")</f>
        <v/>
      </c>
      <c r="AJ63" s="46" t="str">
        <f>IFERROR(VLOOKUP(Tabla58[[#This Row],[Cod trabalhador]],'Outros descontos'!B:M,10,FALSE),"")</f>
        <v/>
      </c>
      <c r="AK63" s="46" t="str">
        <f>IFERROR(VLOOKUP(Tabla58[[#This Row],[Cod trabalhador]],'Outros descontos'!B:M,11,FALSE),"")</f>
        <v/>
      </c>
      <c r="AL63" s="46" t="str">
        <f>IFERROR(VLOOKUP(Tabla58[[#This Row],[Cod trabalhador]],'Outros descontos'!B:R,12,FALSE),"")</f>
        <v/>
      </c>
      <c r="AM63" s="46" t="str">
        <f>IFERROR(VLOOKUP(Tabla58[[#This Row],[Cod trabalhador]],'Outros descontos'!B:M,13,FALSE),"")</f>
        <v/>
      </c>
      <c r="AN63" s="41"/>
      <c r="AO63" s="37">
        <v>4.08</v>
      </c>
      <c r="AP63" s="15"/>
      <c r="AQ63"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2081.4846666666667</v>
      </c>
      <c r="AR63"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2081.4846666666667</v>
      </c>
      <c r="AS63" s="15"/>
      <c r="AT63" s="27" t="str">
        <f>IF(Tabla58[[#This Row],[Cod trabalhador]]="", "", INDEX(Iban!C:C, MATCH(Tabla58[[#This Row],[Cod trabalhador]],Iban!A:A, 0)))</f>
        <v>ES20 0182 0606 8702 0178 3557</v>
      </c>
      <c r="AU63" s="27"/>
      <c r="AV63" s="27"/>
      <c r="AW63" s="66" t="s">
        <v>7540</v>
      </c>
      <c r="AX63" s="296" t="s">
        <v>7472</v>
      </c>
    </row>
    <row r="64" spans="1:50" ht="15" hidden="1" customHeight="1" x14ac:dyDescent="0.3">
      <c r="A64" s="43"/>
      <c r="B64" s="39" t="s">
        <v>2870</v>
      </c>
      <c r="C64" s="45" t="str">
        <f>IF(ISNUMBER(MATCH(Tabla58[[#This Row],[Cod trabalhador]],'Altas Wiseowe'!B:B, 0)), "Ativo", "Não ativo")</f>
        <v>Não ativo</v>
      </c>
      <c r="D64" s="44" t="str">
        <f>IFERROR(IF(VLOOKUP(Tabla58[[#This Row],[Cod trabalhador]],'Altas Industrial'!B:E,1,0)&lt;&gt;"","KI",""),"")</f>
        <v/>
      </c>
      <c r="E64" s="44" t="str">
        <f>IFERROR(IF(VLOOKUP(Tabla58[[#This Row],[Cod trabalhador]],'Altas Rosas'!B:F,1,0)&lt;&gt;"","KR",""),"")</f>
        <v/>
      </c>
      <c r="F64" s="44" t="str">
        <f>IFERROR(IF(VLOOKUP(Tabla58[[#This Row],[Cod trabalhador]],'Altas Wiseowe'!B:E,1,0)&lt;&gt;"","WS",""),"")</f>
        <v/>
      </c>
      <c r="G64" s="101" t="str">
        <f>IFERROR(IF(VLOOKUP(Tabla58[[#This Row],[Cod trabalhador]],'Altas Luminous'!B:E,1,0)&lt;&gt;"","LM",""),"")</f>
        <v/>
      </c>
      <c r="H64" s="51" t="str">
        <f>IFERROR(VLOOKUP(Tabla58[[#This Row],[Cod trabalhador]],'Altas Wiseowe'!B:E,3,FALSE),"")</f>
        <v/>
      </c>
      <c r="I64" s="51" t="str">
        <f>IF(OR(Tabla58[[#This Row],[Cod trabalhador]]="",ISBLANK(Tabla58[[#This Row],[Cod trabalhador]])),"",IFERROR(IF(VLOOKUP(Tabla58[[#This Row],[Cod trabalhador]],'Altas Wiseowe'!B:E,4,FALSE)=0,"",VLOOKUP(Tabla58[[#This Row],[Cod trabalhador]],'Altas Wiseowe'!B:E,4,FALSE)),""))</f>
        <v/>
      </c>
      <c r="J64" s="44">
        <f t="shared" si="1"/>
        <v>0</v>
      </c>
      <c r="K64" s="376" t="s">
        <v>2871</v>
      </c>
      <c r="L64" s="342" t="str">
        <f>IFERROR(IF(Tabla58[[#This Row],[Cod trabalhador]]="",Tabla58[[#This Row],[Cod trabalhador]], INDEX(Colaborador_ID[Nombre], MATCH(Tabla58[[#This Row],[Cod trabalhador]],Colaborador_ID[Cod_colab], 0))), "")</f>
        <v>IVAN ANDRES ORTIZ GALVAN</v>
      </c>
      <c r="N64" s="405" t="s">
        <v>7286</v>
      </c>
      <c r="O64" s="26">
        <f>IFERROR(VLOOKUP(Tabla58[[#This Row],[Cod trabalhador]],Tabla15[],4,FALSE),"")</f>
        <v>15</v>
      </c>
      <c r="P64" s="92">
        <f>IFERROR(VLOOKUP(Tabla58[[#This Row],[Cod trabalhador]],'TotalHorasAjustadas (2)'!D:L,8,FALSE),"")</f>
        <v>174</v>
      </c>
      <c r="Q64" s="27">
        <v>164</v>
      </c>
      <c r="R64" s="28" t="s">
        <v>7532</v>
      </c>
      <c r="S64" s="28" t="s">
        <v>7539</v>
      </c>
      <c r="U64" s="25"/>
      <c r="V64" s="220"/>
      <c r="W64" s="27"/>
      <c r="X64" s="28"/>
      <c r="Y64" s="28"/>
      <c r="Z64" s="149"/>
      <c r="AA64" s="392" t="str">
        <f>IFERROR(VLOOKUP(Tabla58[[#This Row],[Cod trabalhador]],Alojamentos!B:P,11,FALSE),"")</f>
        <v/>
      </c>
      <c r="AB64" s="127"/>
      <c r="AC64" s="150"/>
      <c r="AD64" s="35">
        <f>Tabla58[[#This Row],[Dias de alta]]*7.058</f>
        <v>0</v>
      </c>
      <c r="AE64" s="46" t="str">
        <f>IFERROR(VLOOKUP(Tabla58[[#This Row],[Cod trabalhador]],Adiantamentos!B:L,7,FALSE),"")</f>
        <v/>
      </c>
      <c r="AF64" s="46" t="str">
        <f>IFERROR(VLOOKUP(Tabla58[[#This Row],[Cod trabalhador]],Carro!B:D,3,FALSE),"")</f>
        <v/>
      </c>
      <c r="AG64" s="46" t="str">
        <f>IFERROR(VLOOKUP(Tabla58[[#This Row],[Cod trabalhador]],'Outros descontos'!B:O,7,FALSE),"")</f>
        <v/>
      </c>
      <c r="AH64" s="46" t="str">
        <f>IFERROR(VLOOKUP(Tabla58[[#This Row],[Cod trabalhador]],'Outros descontos'!B:M,8,FALSE),"")</f>
        <v/>
      </c>
      <c r="AI64" s="46" t="str">
        <f>IFERROR(VLOOKUP(Tabla58[[#This Row],[Cod trabalhador]],'Outros descontos'!B:M,9,FALSE),"")</f>
        <v/>
      </c>
      <c r="AJ64" s="46" t="str">
        <f>IFERROR(VLOOKUP(Tabla58[[#This Row],[Cod trabalhador]],'Outros descontos'!B:M,10,FALSE),"")</f>
        <v/>
      </c>
      <c r="AK64" s="46" t="str">
        <f>IFERROR(VLOOKUP(Tabla58[[#This Row],[Cod trabalhador]],'Outros descontos'!B:M,11,FALSE),"")</f>
        <v/>
      </c>
      <c r="AL64" s="46" t="str">
        <f>IFERROR(VLOOKUP(Tabla58[[#This Row],[Cod trabalhador]],'Outros descontos'!B:R,12,FALSE),"")</f>
        <v/>
      </c>
      <c r="AM64" s="46" t="str">
        <f>IFERROR(VLOOKUP(Tabla58[[#This Row],[Cod trabalhador]],'Outros descontos'!B:M,13,FALSE),"")</f>
        <v/>
      </c>
      <c r="AN64" s="41"/>
      <c r="AO64" s="37">
        <v>4.08</v>
      </c>
      <c r="AP64" s="15"/>
      <c r="AQ64"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2605.92</v>
      </c>
      <c r="AR64"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2455.92</v>
      </c>
      <c r="AS64" s="15"/>
      <c r="AT64" s="27" t="str">
        <f>IF(Tabla58[[#This Row],[Cod trabalhador]]="", "", INDEX(Iban!C:C, MATCH(Tabla58[[#This Row],[Cod trabalhador]],Iban!A:A, 0)))</f>
        <v>ES58 0182 2082 1902 0169 0192</v>
      </c>
      <c r="AU64" s="27"/>
      <c r="AV64" s="97"/>
      <c r="AW64" s="66" t="s">
        <v>7533</v>
      </c>
      <c r="AX64" s="296" t="s">
        <v>7472</v>
      </c>
    </row>
    <row r="65" spans="1:50" ht="16.5" hidden="1" customHeight="1" x14ac:dyDescent="0.3">
      <c r="A65" s="43"/>
      <c r="B65" s="39" t="s">
        <v>4189</v>
      </c>
      <c r="C65" s="45" t="str">
        <f>IF(ISNUMBER(MATCH(Tabla58[[#This Row],[Cod trabalhador]],'Altas Wiseowe'!B:B, 0)), "Ativo", "Não ativo")</f>
        <v>Não ativo</v>
      </c>
      <c r="D65" s="44" t="str">
        <f>IFERROR(IF(VLOOKUP(Tabla58[[#This Row],[Cod trabalhador]],'Altas Industrial'!B:E,1,0)&lt;&gt;"","KI",""),"")</f>
        <v/>
      </c>
      <c r="E65" s="44" t="str">
        <f>IFERROR(IF(VLOOKUP(Tabla58[[#This Row],[Cod trabalhador]],'Altas Rosas'!B:F,1,0)&lt;&gt;"","KR",""),"")</f>
        <v/>
      </c>
      <c r="F65" s="44" t="str">
        <f>IFERROR(IF(VLOOKUP(Tabla58[[#This Row],[Cod trabalhador]],'Altas Wiseowe'!B:E,1,0)&lt;&gt;"","WS",""),"")</f>
        <v/>
      </c>
      <c r="G65" s="101" t="str">
        <f>IFERROR(IF(VLOOKUP(Tabla58[[#This Row],[Cod trabalhador]],'Altas Luminous'!B:E,1,0)&lt;&gt;"","LM",""),"")</f>
        <v/>
      </c>
      <c r="H65" s="51" t="str">
        <f>IFERROR(VLOOKUP(Tabla58[[#This Row],[Cod trabalhador]],'Altas Wiseowe'!B:E,3,FALSE),"")</f>
        <v/>
      </c>
      <c r="I65" s="51" t="str">
        <f>IF(OR(Tabla58[[#This Row],[Cod trabalhador]]="",ISBLANK(Tabla58[[#This Row],[Cod trabalhador]])),"",IFERROR(IF(VLOOKUP(Tabla58[[#This Row],[Cod trabalhador]],'Altas Wiseowe'!B:E,4,FALSE)=0,"",VLOOKUP(Tabla58[[#This Row],[Cod trabalhador]],'Altas Wiseowe'!B:E,4,FALSE)),""))</f>
        <v/>
      </c>
      <c r="J65" s="44">
        <f t="shared" si="1"/>
        <v>0</v>
      </c>
      <c r="K65" s="376" t="s">
        <v>4190</v>
      </c>
      <c r="L65" s="342" t="str">
        <f>IFERROR(IF(Tabla58[[#This Row],[Cod trabalhador]]="",Tabla58[[#This Row],[Cod trabalhador]], INDEX(Colaborador_ID[Nombre], MATCH(Tabla58[[#This Row],[Cod trabalhador]],Colaborador_ID[Cod_colab], 0))), "")</f>
        <v>JUAN ALBEIRO MONSALVE MARIN</v>
      </c>
      <c r="N65" s="405" t="s">
        <v>7286</v>
      </c>
      <c r="O65" s="26">
        <f>IFERROR(VLOOKUP(Tabla58[[#This Row],[Cod trabalhador]],Tabla15[],4,FALSE),"")</f>
        <v>14</v>
      </c>
      <c r="P65" s="92">
        <f>IFERROR(VLOOKUP(Tabla58[[#This Row],[Cod trabalhador]],'TotalHorasAjustadas (2)'!D:L,8,FALSE),"")</f>
        <v>206</v>
      </c>
      <c r="Q65" s="27">
        <v>206</v>
      </c>
      <c r="R65" s="28" t="s">
        <v>7532</v>
      </c>
      <c r="S65" s="28" t="s">
        <v>7539</v>
      </c>
      <c r="U65" s="25"/>
      <c r="V65" s="220"/>
      <c r="W65" s="27"/>
      <c r="X65" s="28"/>
      <c r="Y65" s="28"/>
      <c r="Z65" s="149"/>
      <c r="AA65" s="392" t="str">
        <f>IFERROR(VLOOKUP(Tabla58[[#This Row],[Cod trabalhador]],Alojamentos!B:P,11,FALSE),"")</f>
        <v/>
      </c>
      <c r="AB65" s="127"/>
      <c r="AC65" s="150"/>
      <c r="AD65" s="35">
        <f>Tabla58[[#This Row],[Dias de alta]]*7.058</f>
        <v>0</v>
      </c>
      <c r="AE65" s="46" t="str">
        <f>IFERROR(VLOOKUP(Tabla58[[#This Row],[Cod trabalhador]],Adiantamentos!B:L,7,FALSE),"")</f>
        <v/>
      </c>
      <c r="AF65" s="46">
        <f>IFERROR(VLOOKUP(Tabla58[[#This Row],[Cod trabalhador]],Carro!B:D,3,FALSE),"")</f>
        <v>81.111111111111114</v>
      </c>
      <c r="AG65" s="46" t="str">
        <f>IFERROR(VLOOKUP(Tabla58[[#This Row],[Cod trabalhador]],'Outros descontos'!B:O,7,FALSE),"")</f>
        <v/>
      </c>
      <c r="AH65" s="46" t="str">
        <f>IFERROR(VLOOKUP(Tabla58[[#This Row],[Cod trabalhador]],'Outros descontos'!B:M,8,FALSE),"")</f>
        <v/>
      </c>
      <c r="AI65" s="46" t="str">
        <f>IFERROR(VLOOKUP(Tabla58[[#This Row],[Cod trabalhador]],'Outros descontos'!B:M,9,FALSE),"")</f>
        <v/>
      </c>
      <c r="AJ65" s="46" t="str">
        <f>IFERROR(VLOOKUP(Tabla58[[#This Row],[Cod trabalhador]],'Outros descontos'!B:M,10,FALSE),"")</f>
        <v/>
      </c>
      <c r="AK65" s="46" t="str">
        <f>IFERROR(VLOOKUP(Tabla58[[#This Row],[Cod trabalhador]],'Outros descontos'!B:M,11,FALSE),"")</f>
        <v/>
      </c>
      <c r="AL65" s="46" t="str">
        <f>IFERROR(VLOOKUP(Tabla58[[#This Row],[Cod trabalhador]],'Outros descontos'!B:R,12,FALSE),"")</f>
        <v/>
      </c>
      <c r="AM65" s="46" t="str">
        <f>IFERROR(VLOOKUP(Tabla58[[#This Row],[Cod trabalhador]],'Outros descontos'!B:M,13,FALSE),"")</f>
        <v/>
      </c>
      <c r="AN65" s="41"/>
      <c r="AO65" s="37">
        <v>4.08</v>
      </c>
      <c r="AP65" s="15"/>
      <c r="AQ65"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2798.8088888888888</v>
      </c>
      <c r="AR65"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2798.8088888888888</v>
      </c>
      <c r="AS65" s="15"/>
      <c r="AT65" s="27" t="str">
        <f>IF(Tabla58[[#This Row],[Cod trabalhador]]="", "", INDEX(Iban!C:C, MATCH(Tabla58[[#This Row],[Cod trabalhador]],Iban!A:A, 0)))</f>
        <v>ES63 6893 0001 7500 0032 8858</v>
      </c>
      <c r="AU65" s="27"/>
      <c r="AV65" s="97"/>
      <c r="AW65" s="66" t="s">
        <v>7533</v>
      </c>
      <c r="AX65" s="296" t="s">
        <v>7472</v>
      </c>
    </row>
    <row r="66" spans="1:50" ht="16.5" hidden="1" customHeight="1" x14ac:dyDescent="0.3">
      <c r="A66" s="43"/>
      <c r="B66" s="39" t="s">
        <v>4781</v>
      </c>
      <c r="C66" s="45" t="str">
        <f>IF(ISNUMBER(MATCH(Tabla58[[#This Row],[Cod trabalhador]],'Altas Wiseowe'!B:B, 0)), "Ativo", "Não ativo")</f>
        <v>Não ativo</v>
      </c>
      <c r="D66" s="44" t="str">
        <f>IFERROR(IF(VLOOKUP(Tabla58[[#This Row],[Cod trabalhador]],'Altas Industrial'!B:E,1,0)&lt;&gt;"","KI",""),"")</f>
        <v/>
      </c>
      <c r="E66" s="44" t="str">
        <f>IFERROR(IF(VLOOKUP(Tabla58[[#This Row],[Cod trabalhador]],'Altas Rosas'!B:F,1,0)&lt;&gt;"","KR",""),"")</f>
        <v/>
      </c>
      <c r="F66" s="44" t="str">
        <f>IFERROR(IF(VLOOKUP(Tabla58[[#This Row],[Cod trabalhador]],'Altas Wiseowe'!B:E,1,0)&lt;&gt;"","WS",""),"")</f>
        <v/>
      </c>
      <c r="G66" s="101" t="str">
        <f>IFERROR(IF(VLOOKUP(Tabla58[[#This Row],[Cod trabalhador]],'Altas Luminous'!B:E,1,0)&lt;&gt;"","LM",""),"")</f>
        <v/>
      </c>
      <c r="H66" s="51" t="str">
        <f>IFERROR(VLOOKUP(Tabla58[[#This Row],[Cod trabalhador]],'Altas Wiseowe'!B:E,3,FALSE),"")</f>
        <v/>
      </c>
      <c r="I66" s="51" t="str">
        <f>IF(OR(Tabla58[[#This Row],[Cod trabalhador]]="",ISBLANK(Tabla58[[#This Row],[Cod trabalhador]])),"",IFERROR(IF(VLOOKUP(Tabla58[[#This Row],[Cod trabalhador]],'Altas Wiseowe'!B:E,4,FALSE)=0,"",VLOOKUP(Tabla58[[#This Row],[Cod trabalhador]],'Altas Wiseowe'!B:E,4,FALSE)),""))</f>
        <v/>
      </c>
      <c r="J66" s="44">
        <f t="shared" si="1"/>
        <v>0</v>
      </c>
      <c r="K66" s="376" t="s">
        <v>4782</v>
      </c>
      <c r="L66" s="342" t="str">
        <f>IFERROR(IF(Tabla58[[#This Row],[Cod trabalhador]]="",Tabla58[[#This Row],[Cod trabalhador]], INDEX(Colaborador_ID[Nombre], MATCH(Tabla58[[#This Row],[Cod trabalhador]],Colaborador_ID[Cod_colab], 0))), "")</f>
        <v>LUIS ANTONIO SOTO VIDAL</v>
      </c>
      <c r="M66" s="340"/>
      <c r="N66" s="405" t="s">
        <v>7286</v>
      </c>
      <c r="O66" s="26">
        <f>IFERROR(VLOOKUP(Tabla58[[#This Row],[Cod trabalhador]],Tabla15[],4,FALSE),"")</f>
        <v>15</v>
      </c>
      <c r="P66" s="92">
        <f>IFERROR(VLOOKUP(Tabla58[[#This Row],[Cod trabalhador]],'TotalHorasAjustadas (2)'!D:L,8,FALSE),"")</f>
        <v>167</v>
      </c>
      <c r="Q66" s="27">
        <v>167</v>
      </c>
      <c r="R66" s="28" t="s">
        <v>7532</v>
      </c>
      <c r="S66" s="28" t="s">
        <v>7539</v>
      </c>
      <c r="U66" s="25"/>
      <c r="V66" s="220"/>
      <c r="W66" s="27"/>
      <c r="X66" s="28"/>
      <c r="Y66" s="28"/>
      <c r="Z66" s="149"/>
      <c r="AA66" s="392" t="str">
        <f>IFERROR(VLOOKUP(Tabla58[[#This Row],[Cod trabalhador]],Alojamentos!B:P,11,FALSE),"")</f>
        <v/>
      </c>
      <c r="AB66" s="127"/>
      <c r="AC66" s="150"/>
      <c r="AD66" s="35">
        <f>Tabla58[[#This Row],[Dias de alta]]*7.058</f>
        <v>0</v>
      </c>
      <c r="AE66" s="46" t="str">
        <f>IFERROR(VLOOKUP(Tabla58[[#This Row],[Cod trabalhador]],Adiantamentos!B:L,7,FALSE),"")</f>
        <v/>
      </c>
      <c r="AF66" s="46" t="str">
        <f>IFERROR(VLOOKUP(Tabla58[[#This Row],[Cod trabalhador]],Carro!B:D,3,FALSE),"")</f>
        <v/>
      </c>
      <c r="AG66" s="46" t="str">
        <f>IFERROR(VLOOKUP(Tabla58[[#This Row],[Cod trabalhador]],'Outros descontos'!B:O,7,FALSE),"")</f>
        <v/>
      </c>
      <c r="AH66" s="46" t="str">
        <f>IFERROR(VLOOKUP(Tabla58[[#This Row],[Cod trabalhador]],'Outros descontos'!B:M,8,FALSE),"")</f>
        <v/>
      </c>
      <c r="AI66" s="46" t="str">
        <f>IFERROR(VLOOKUP(Tabla58[[#This Row],[Cod trabalhador]],'Outros descontos'!B:M,9,FALSE),"")</f>
        <v/>
      </c>
      <c r="AJ66" s="46" t="str">
        <f>IFERROR(VLOOKUP(Tabla58[[#This Row],[Cod trabalhador]],'Outros descontos'!B:M,10,FALSE),"")</f>
        <v/>
      </c>
      <c r="AK66" s="46" t="str">
        <f>IFERROR(VLOOKUP(Tabla58[[#This Row],[Cod trabalhador]],'Outros descontos'!B:M,11,FALSE),"")</f>
        <v/>
      </c>
      <c r="AL66" s="46" t="str">
        <f>IFERROR(VLOOKUP(Tabla58[[#This Row],[Cod trabalhador]],'Outros descontos'!B:R,12,FALSE),"")</f>
        <v/>
      </c>
      <c r="AM66" s="46" t="str">
        <f>IFERROR(VLOOKUP(Tabla58[[#This Row],[Cod trabalhador]],'Outros descontos'!B:M,13,FALSE),"")</f>
        <v/>
      </c>
      <c r="AN66" s="41"/>
      <c r="AO66" s="37">
        <v>4.08</v>
      </c>
      <c r="AP66" s="15"/>
      <c r="AQ66"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2500.92</v>
      </c>
      <c r="AR66"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2500.92</v>
      </c>
      <c r="AS66" s="15"/>
      <c r="AT66" s="27" t="str">
        <f>IF(Tabla58[[#This Row],[Cod trabalhador]]="", "", INDEX(Iban!C:C, MATCH(Tabla58[[#This Row],[Cod trabalhador]],Iban!A:A, 0)))</f>
        <v>ES43 0182 4924 1502 0174 7408</v>
      </c>
      <c r="AU66" s="27"/>
      <c r="AV66" s="97"/>
      <c r="AW66" s="66" t="s">
        <v>7533</v>
      </c>
      <c r="AX66" s="296" t="s">
        <v>7472</v>
      </c>
    </row>
    <row r="67" spans="1:50" ht="16.2" hidden="1" customHeight="1" x14ac:dyDescent="0.3">
      <c r="A67" s="43"/>
      <c r="B67" s="39" t="s">
        <v>4878</v>
      </c>
      <c r="C67" s="45" t="str">
        <f>IF(ISNUMBER(MATCH(Tabla58[[#This Row],[Cod trabalhador]],'Altas Wiseowe'!B:B, 0)), "Ativo", "Não ativo")</f>
        <v>Não ativo</v>
      </c>
      <c r="D67" s="44" t="str">
        <f>IFERROR(IF(VLOOKUP(Tabla58[[#This Row],[Cod trabalhador]],'Altas Industrial'!B:E,1,0)&lt;&gt;"","KI",""),"")</f>
        <v/>
      </c>
      <c r="E67" s="44" t="str">
        <f>IFERROR(IF(VLOOKUP(Tabla58[[#This Row],[Cod trabalhador]],'Altas Rosas'!B:F,1,0)&lt;&gt;"","KR",""),"")</f>
        <v/>
      </c>
      <c r="F67" s="44" t="str">
        <f>IFERROR(IF(VLOOKUP(Tabla58[[#This Row],[Cod trabalhador]],'Altas Wiseowe'!B:E,1,0)&lt;&gt;"","WS",""),"")</f>
        <v/>
      </c>
      <c r="G67" s="101" t="str">
        <f>IFERROR(IF(VLOOKUP(Tabla58[[#This Row],[Cod trabalhador]],'Altas Luminous'!B:E,1,0)&lt;&gt;"","LM",""),"")</f>
        <v/>
      </c>
      <c r="H67" s="51" t="str">
        <f>IFERROR(VLOOKUP(Tabla58[[#This Row],[Cod trabalhador]],'Altas Wiseowe'!B:E,3,FALSE),"")</f>
        <v/>
      </c>
      <c r="I67" s="51" t="str">
        <f>IF(OR(Tabla58[[#This Row],[Cod trabalhador]]="",ISBLANK(Tabla58[[#This Row],[Cod trabalhador]])),"",IFERROR(IF(VLOOKUP(Tabla58[[#This Row],[Cod trabalhador]],'Altas Wiseowe'!B:E,4,FALSE)=0,"",VLOOKUP(Tabla58[[#This Row],[Cod trabalhador]],'Altas Wiseowe'!B:E,4,FALSE)),""))</f>
        <v/>
      </c>
      <c r="J67" s="44">
        <f t="shared" si="1"/>
        <v>0</v>
      </c>
      <c r="K67" s="376" t="s">
        <v>4879</v>
      </c>
      <c r="L67" s="342" t="str">
        <f>IFERROR(IF(Tabla58[[#This Row],[Cod trabalhador]]="",Tabla58[[#This Row],[Cod trabalhador]], INDEX(Colaborador_ID[Nombre], MATCH(Tabla58[[#This Row],[Cod trabalhador]],Colaborador_ID[Cod_colab], 0))), "")</f>
        <v>LUIS FERNANDO VASQUEZ ALVARADO</v>
      </c>
      <c r="N67" s="405" t="s">
        <v>7286</v>
      </c>
      <c r="O67" s="26">
        <f>IFERROR(VLOOKUP(Tabla58[[#This Row],[Cod trabalhador]],Tabla15[],4,FALSE),"")</f>
        <v>14</v>
      </c>
      <c r="P67" s="92">
        <f>IFERROR(VLOOKUP(Tabla58[[#This Row],[Cod trabalhador]],'TotalHorasAjustadas (2)'!D:L,8,FALSE),"")</f>
        <v>173</v>
      </c>
      <c r="Q67" s="27">
        <v>175</v>
      </c>
      <c r="R67" s="28" t="s">
        <v>7532</v>
      </c>
      <c r="S67" s="28" t="s">
        <v>7539</v>
      </c>
      <c r="U67" s="96"/>
      <c r="V67" s="388"/>
      <c r="W67" s="27"/>
      <c r="X67" s="28"/>
      <c r="Y67" s="28"/>
      <c r="Z67" s="149"/>
      <c r="AA67" s="392" t="str">
        <f>IFERROR(VLOOKUP(Tabla58[[#This Row],[Cod trabalhador]],Alojamentos!B:P,11,FALSE),"")</f>
        <v/>
      </c>
      <c r="AB67" s="127"/>
      <c r="AC67" s="150"/>
      <c r="AD67" s="35">
        <f>Tabla58[[#This Row],[Dias de alta]]*7.058</f>
        <v>0</v>
      </c>
      <c r="AE67" s="46" t="str">
        <f>IFERROR(VLOOKUP(Tabla58[[#This Row],[Cod trabalhador]],Adiantamentos!B:L,7,FALSE),"")</f>
        <v/>
      </c>
      <c r="AF67" s="46" t="str">
        <f>IFERROR(VLOOKUP(Tabla58[[#This Row],[Cod trabalhador]],Carro!B:D,3,FALSE),"")</f>
        <v/>
      </c>
      <c r="AG67" s="46" t="str">
        <f>IFERROR(VLOOKUP(Tabla58[[#This Row],[Cod trabalhador]],'Outros descontos'!B:O,7,FALSE),"")</f>
        <v/>
      </c>
      <c r="AH67" s="46" t="str">
        <f>IFERROR(VLOOKUP(Tabla58[[#This Row],[Cod trabalhador]],'Outros descontos'!B:M,8,FALSE),"")</f>
        <v/>
      </c>
      <c r="AI67" s="46" t="str">
        <f>IFERROR(VLOOKUP(Tabla58[[#This Row],[Cod trabalhador]],'Outros descontos'!B:M,9,FALSE),"")</f>
        <v/>
      </c>
      <c r="AJ67" s="46" t="str">
        <f>IFERROR(VLOOKUP(Tabla58[[#This Row],[Cod trabalhador]],'Outros descontos'!B:M,10,FALSE),"")</f>
        <v/>
      </c>
      <c r="AK67" s="46" t="str">
        <f>IFERROR(VLOOKUP(Tabla58[[#This Row],[Cod trabalhador]],'Outros descontos'!B:M,11,FALSE),"")</f>
        <v/>
      </c>
      <c r="AL67" s="46" t="str">
        <f>IFERROR(VLOOKUP(Tabla58[[#This Row],[Cod trabalhador]],'Outros descontos'!B:R,12,FALSE),"")</f>
        <v/>
      </c>
      <c r="AM67" s="46" t="str">
        <f>IFERROR(VLOOKUP(Tabla58[[#This Row],[Cod trabalhador]],'Outros descontos'!B:M,13,FALSE),"")</f>
        <v/>
      </c>
      <c r="AN67" s="41"/>
      <c r="AO67" s="37">
        <v>4.08</v>
      </c>
      <c r="AP67" s="15"/>
      <c r="AQ67"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2417.92</v>
      </c>
      <c r="AR67"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2445.92</v>
      </c>
      <c r="AS67" s="15"/>
      <c r="AT67" s="27" t="str">
        <f>IF(Tabla58[[#This Row],[Cod trabalhador]]="", "", INDEX(Iban!C:C, MATCH(Tabla58[[#This Row],[Cod trabalhador]],Iban!A:A, 0)))</f>
        <v>ES70 0049 2604 4929 1530 2688</v>
      </c>
      <c r="AU67" s="27" t="s">
        <v>7541</v>
      </c>
      <c r="AV67" s="27"/>
      <c r="AW67" s="66" t="s">
        <v>7533</v>
      </c>
      <c r="AX67" s="296" t="s">
        <v>7472</v>
      </c>
    </row>
    <row r="68" spans="1:50" ht="16.5" hidden="1" customHeight="1" x14ac:dyDescent="0.3">
      <c r="A68" s="43"/>
      <c r="B68" s="39" t="s">
        <v>5278</v>
      </c>
      <c r="C68" s="45" t="str">
        <f>IF(ISNUMBER(MATCH(Tabla58[[#This Row],[Cod trabalhador]],'Altas Wiseowe'!B:B, 0)), "Ativo", "Não ativo")</f>
        <v>Não ativo</v>
      </c>
      <c r="D68" s="44" t="str">
        <f>IFERROR(IF(VLOOKUP(Tabla58[[#This Row],[Cod trabalhador]],'Altas Industrial'!B:E,1,0)&lt;&gt;"","KI",""),"")</f>
        <v/>
      </c>
      <c r="E68" s="44" t="str">
        <f>IFERROR(IF(VLOOKUP(Tabla58[[#This Row],[Cod trabalhador]],'Altas Rosas'!B:F,1,0)&lt;&gt;"","KR",""),"")</f>
        <v/>
      </c>
      <c r="F68" s="44" t="str">
        <f>IFERROR(IF(VLOOKUP(Tabla58[[#This Row],[Cod trabalhador]],'Altas Wiseowe'!B:E,1,0)&lt;&gt;"","WS",""),"")</f>
        <v/>
      </c>
      <c r="G68" s="101" t="str">
        <f>IFERROR(IF(VLOOKUP(Tabla58[[#This Row],[Cod trabalhador]],'Altas Luminous'!B:E,1,0)&lt;&gt;"","LM",""),"")</f>
        <v/>
      </c>
      <c r="H68" s="51" t="str">
        <f>IFERROR(VLOOKUP(Tabla58[[#This Row],[Cod trabalhador]],'Altas Wiseowe'!B:E,3,FALSE),"")</f>
        <v/>
      </c>
      <c r="I68" s="51" t="str">
        <f>IF(OR(Tabla58[[#This Row],[Cod trabalhador]]="",ISBLANK(Tabla58[[#This Row],[Cod trabalhador]])),"",IFERROR(IF(VLOOKUP(Tabla58[[#This Row],[Cod trabalhador]],'Altas Wiseowe'!B:E,4,FALSE)=0,"",VLOOKUP(Tabla58[[#This Row],[Cod trabalhador]],'Altas Wiseowe'!B:E,4,FALSE)),""))</f>
        <v/>
      </c>
      <c r="J68" s="44">
        <f t="shared" ref="J68:J101" si="2">IF(C68="ativo",    IF(ISBLANK(H68),"",MAX(0,MIN(IF(ISBLANK(I68),EOMONTH(DATE(2026,1,1),0),I68),EOMONTH(DATE(2026,1,1),0)) - MAX(H68,DATE(2026,1,1))))+1,
    0
)</f>
        <v>0</v>
      </c>
      <c r="K68" s="376" t="s">
        <v>7291</v>
      </c>
      <c r="L68" s="342" t="str">
        <f>IFERROR(IF(Tabla58[[#This Row],[Cod trabalhador]]="",Tabla58[[#This Row],[Cod trabalhador]], INDEX(Colaborador_ID[Nombre], MATCH(Tabla58[[#This Row],[Cod trabalhador]],Colaborador_ID[Cod_colab], 0))), "")</f>
        <v>MIGUEL ANGEL GARCIA CASTRO</v>
      </c>
      <c r="N68" s="405" t="s">
        <v>7286</v>
      </c>
      <c r="O68" s="26">
        <f>IFERROR(VLOOKUP(Tabla58[[#This Row],[Cod trabalhador]],Tabla15[],4,FALSE),"")</f>
        <v>14</v>
      </c>
      <c r="P68" s="92">
        <f>IFERROR(VLOOKUP(Tabla58[[#This Row],[Cod trabalhador]],'TotalHorasAjustadas (2)'!D:L,8,FALSE),"")</f>
        <v>199.5</v>
      </c>
      <c r="Q68" s="27">
        <v>199.5</v>
      </c>
      <c r="R68" s="28" t="s">
        <v>7532</v>
      </c>
      <c r="S68" s="28" t="s">
        <v>7539</v>
      </c>
      <c r="U68" s="25"/>
      <c r="V68" s="388"/>
      <c r="W68" s="27"/>
      <c r="X68" s="28"/>
      <c r="Y68" s="28"/>
      <c r="Z68" s="149"/>
      <c r="AA68" s="392" t="str">
        <f>IFERROR(VLOOKUP(Tabla58[[#This Row],[Cod trabalhador]],Alojamentos!B:P,11,FALSE),"")</f>
        <v/>
      </c>
      <c r="AB68" s="127"/>
      <c r="AC68" s="150"/>
      <c r="AD68" s="35">
        <f>Tabla58[[#This Row],[Dias de alta]]*7.058</f>
        <v>0</v>
      </c>
      <c r="AE68" s="46" t="str">
        <f>IFERROR(VLOOKUP(Tabla58[[#This Row],[Cod trabalhador]],Adiantamentos!B:L,7,FALSE),"")</f>
        <v/>
      </c>
      <c r="AF68" s="46">
        <f>IFERROR(VLOOKUP(Tabla58[[#This Row],[Cod trabalhador]],Carro!B:D,3,FALSE),"")</f>
        <v>81.111111111111114</v>
      </c>
      <c r="AG68" s="46" t="str">
        <f>IFERROR(VLOOKUP(Tabla58[[#This Row],[Cod trabalhador]],'Outros descontos'!B:O,7,FALSE),"")</f>
        <v/>
      </c>
      <c r="AH68" s="46" t="str">
        <f>IFERROR(VLOOKUP(Tabla58[[#This Row],[Cod trabalhador]],'Outros descontos'!B:M,8,FALSE),"")</f>
        <v/>
      </c>
      <c r="AI68" s="46" t="str">
        <f>IFERROR(VLOOKUP(Tabla58[[#This Row],[Cod trabalhador]],'Outros descontos'!B:M,9,FALSE),"")</f>
        <v/>
      </c>
      <c r="AJ68" s="46" t="str">
        <f>IFERROR(VLOOKUP(Tabla58[[#This Row],[Cod trabalhador]],'Outros descontos'!B:M,10,FALSE),"")</f>
        <v/>
      </c>
      <c r="AK68" s="46" t="str">
        <f>IFERROR(VLOOKUP(Tabla58[[#This Row],[Cod trabalhador]],'Outros descontos'!B:M,11,FALSE),"")</f>
        <v/>
      </c>
      <c r="AL68" s="46" t="str">
        <f>IFERROR(VLOOKUP(Tabla58[[#This Row],[Cod trabalhador]],'Outros descontos'!B:R,12,FALSE),"")</f>
        <v/>
      </c>
      <c r="AM68" s="46" t="str">
        <f>IFERROR(VLOOKUP(Tabla58[[#This Row],[Cod trabalhador]],'Outros descontos'!B:M,13,FALSE),"")</f>
        <v/>
      </c>
      <c r="AN68" s="41"/>
      <c r="AO68" s="37">
        <v>4.08</v>
      </c>
      <c r="AP68" s="15"/>
      <c r="AQ68"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2707.8088888888888</v>
      </c>
      <c r="AR68"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2707.8088888888888</v>
      </c>
      <c r="AS68" s="15"/>
      <c r="AT68" s="27" t="str">
        <f>IF(Tabla58[[#This Row],[Cod trabalhador]]="", "", INDEX(Iban!C:C, MATCH(Tabla58[[#This Row],[Cod trabalhador]],Iban!A:A, 0)))</f>
        <v xml:space="preserve">ES87 0182 1930 5002 0164 0170 </v>
      </c>
      <c r="AU68" s="27"/>
      <c r="AV68" s="27"/>
      <c r="AW68" s="66" t="s">
        <v>7533</v>
      </c>
      <c r="AX68" s="296" t="s">
        <v>7472</v>
      </c>
    </row>
    <row r="69" spans="1:50" ht="16.5" hidden="1" customHeight="1" x14ac:dyDescent="0.3">
      <c r="A69" s="43"/>
      <c r="B69" s="39" t="s">
        <v>6747</v>
      </c>
      <c r="C69" s="45" t="str">
        <f>IF(ISNUMBER(MATCH(Tabla58[[#This Row],[Cod trabalhador]],'Altas Wiseowe'!B:B, 0)), "Ativo", "Não ativo")</f>
        <v>Não ativo</v>
      </c>
      <c r="D69" s="44" t="str">
        <f>IFERROR(IF(VLOOKUP(Tabla58[[#This Row],[Cod trabalhador]],'Altas Industrial'!B:E,1,0)&lt;&gt;"","KI",""),"")</f>
        <v/>
      </c>
      <c r="E69" s="44" t="str">
        <f>IFERROR(IF(VLOOKUP(Tabla58[[#This Row],[Cod trabalhador]],'Altas Rosas'!B:F,1,0)&lt;&gt;"","KR",""),"")</f>
        <v/>
      </c>
      <c r="F69" s="44" t="str">
        <f>IFERROR(IF(VLOOKUP(Tabla58[[#This Row],[Cod trabalhador]],'Altas Wiseowe'!B:E,1,0)&lt;&gt;"","WS",""),"")</f>
        <v/>
      </c>
      <c r="G69" s="101" t="str">
        <f>IFERROR(IF(VLOOKUP(Tabla58[[#This Row],[Cod trabalhador]],'Altas Luminous'!B:E,1,0)&lt;&gt;"","LM",""),"")</f>
        <v/>
      </c>
      <c r="H69" s="51" t="str">
        <f>IFERROR(VLOOKUP(Tabla58[[#This Row],[Cod trabalhador]],'Altas Wiseowe'!B:E,3,FALSE),"")</f>
        <v/>
      </c>
      <c r="I69" s="51" t="str">
        <f>IF(OR(Tabla58[[#This Row],[Cod trabalhador]]="",ISBLANK(Tabla58[[#This Row],[Cod trabalhador]])),"",IFERROR(IF(VLOOKUP(Tabla58[[#This Row],[Cod trabalhador]],'Altas Wiseowe'!B:E,4,FALSE)=0,"",VLOOKUP(Tabla58[[#This Row],[Cod trabalhador]],'Altas Wiseowe'!B:E,4,FALSE)),""))</f>
        <v/>
      </c>
      <c r="J69" s="44">
        <f t="shared" si="2"/>
        <v>0</v>
      </c>
      <c r="K69" s="376" t="s">
        <v>6748</v>
      </c>
      <c r="L69" s="342" t="str">
        <f>IFERROR(IF(Tabla58[[#This Row],[Cod trabalhador]]="",Tabla58[[#This Row],[Cod trabalhador]], INDEX(Colaborador_ID[Nombre], MATCH(Tabla58[[#This Row],[Cod trabalhador]],Colaborador_ID[Cod_colab], 0))), "")</f>
        <v>WILSON ALEXANDER GOMEZ</v>
      </c>
      <c r="N69" s="405" t="s">
        <v>7286</v>
      </c>
      <c r="O69" s="26">
        <f>IFERROR(VLOOKUP(Tabla58[[#This Row],[Cod trabalhador]],Tabla15[],4,FALSE),"")</f>
        <v>15</v>
      </c>
      <c r="P69" s="92">
        <f>IFERROR(VLOOKUP(Tabla58[[#This Row],[Cod trabalhador]],'TotalHorasAjustadas (2)'!D:L,8,FALSE),"")</f>
        <v>175</v>
      </c>
      <c r="Q69" s="27">
        <v>175</v>
      </c>
      <c r="R69" s="28" t="s">
        <v>7532</v>
      </c>
      <c r="S69" s="28" t="s">
        <v>7539</v>
      </c>
      <c r="U69" s="25"/>
      <c r="V69" s="220"/>
      <c r="W69" s="27"/>
      <c r="X69" s="28"/>
      <c r="Y69" s="28"/>
      <c r="Z69" s="149"/>
      <c r="AA69" s="392" t="str">
        <f>IFERROR(VLOOKUP(Tabla58[[#This Row],[Cod trabalhador]],Alojamentos!B:P,11,FALSE),"")</f>
        <v/>
      </c>
      <c r="AB69" s="127"/>
      <c r="AC69" s="150"/>
      <c r="AD69" s="35">
        <f>Tabla58[[#This Row],[Dias de alta]]*7.058</f>
        <v>0</v>
      </c>
      <c r="AE69" s="46" t="str">
        <f>IFERROR(VLOOKUP(Tabla58[[#This Row],[Cod trabalhador]],Adiantamentos!B:L,7,FALSE),"")</f>
        <v/>
      </c>
      <c r="AF69" s="46" t="str">
        <f>IFERROR(VLOOKUP(Tabla58[[#This Row],[Cod trabalhador]],Carro!B:D,3,FALSE),"")</f>
        <v/>
      </c>
      <c r="AG69" s="46" t="str">
        <f>IFERROR(VLOOKUP(Tabla58[[#This Row],[Cod trabalhador]],'Outros descontos'!B:O,7,FALSE),"")</f>
        <v/>
      </c>
      <c r="AH69" s="46" t="str">
        <f>IFERROR(VLOOKUP(Tabla58[[#This Row],[Cod trabalhador]],'Outros descontos'!B:M,8,FALSE),"")</f>
        <v/>
      </c>
      <c r="AI69" s="46" t="str">
        <f>IFERROR(VLOOKUP(Tabla58[[#This Row],[Cod trabalhador]],'Outros descontos'!B:M,9,FALSE),"")</f>
        <v/>
      </c>
      <c r="AJ69" s="46" t="str">
        <f>IFERROR(VLOOKUP(Tabla58[[#This Row],[Cod trabalhador]],'Outros descontos'!B:M,10,FALSE),"")</f>
        <v/>
      </c>
      <c r="AK69" s="46" t="str">
        <f>IFERROR(VLOOKUP(Tabla58[[#This Row],[Cod trabalhador]],'Outros descontos'!B:M,11,FALSE),"")</f>
        <v/>
      </c>
      <c r="AL69" s="46" t="str">
        <f>IFERROR(VLOOKUP(Tabla58[[#This Row],[Cod trabalhador]],'Outros descontos'!B:R,12,FALSE),"")</f>
        <v/>
      </c>
      <c r="AM69" s="46" t="str">
        <f>IFERROR(VLOOKUP(Tabla58[[#This Row],[Cod trabalhador]],'Outros descontos'!B:M,13,FALSE),"")</f>
        <v/>
      </c>
      <c r="AN69" s="41"/>
      <c r="AO69" s="37">
        <v>4.08</v>
      </c>
      <c r="AP69" s="15"/>
      <c r="AQ69"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2620.92</v>
      </c>
      <c r="AR69"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2620.92</v>
      </c>
      <c r="AS69" s="15"/>
      <c r="AT69" s="27" t="str">
        <f>IF(Tabla58[[#This Row],[Cod trabalhador]]="", "", INDEX(Iban!C:C, MATCH(Tabla58[[#This Row],[Cod trabalhador]],Iban!A:A, 0)))</f>
        <v>ES91 0182 2082 1502 0168 9891</v>
      </c>
      <c r="AU69" s="27"/>
      <c r="AV69" s="27"/>
      <c r="AW69" s="66" t="s">
        <v>7533</v>
      </c>
      <c r="AX69" s="296" t="s">
        <v>7472</v>
      </c>
    </row>
    <row r="70" spans="1:50" ht="16.5" hidden="1" customHeight="1" x14ac:dyDescent="0.3">
      <c r="A70" s="43"/>
      <c r="B70" s="39" t="s">
        <v>6711</v>
      </c>
      <c r="C70" s="45" t="str">
        <f>IF(ISNUMBER(MATCH(Tabla58[[#This Row],[Cod trabalhador]],'Altas Wiseowe'!B:B, 0)), "Ativo", "Não ativo")</f>
        <v>Ativo</v>
      </c>
      <c r="D70" s="44" t="str">
        <f>IFERROR(IF(VLOOKUP(Tabla58[[#This Row],[Cod trabalhador]],'Altas Industrial'!B:E,1,0)&lt;&gt;"","KI",""),"")</f>
        <v/>
      </c>
      <c r="E70" s="44" t="str">
        <f>IFERROR(IF(VLOOKUP(Tabla58[[#This Row],[Cod trabalhador]],'Altas Rosas'!B:F,1,0)&lt;&gt;"","KR",""),"")</f>
        <v/>
      </c>
      <c r="F70" s="44" t="str">
        <f>IFERROR(IF(VLOOKUP(Tabla58[[#This Row],[Cod trabalhador]],'Altas Wiseowe'!B:E,1,0)&lt;&gt;"","WS",""),"")</f>
        <v>WS</v>
      </c>
      <c r="G70" s="101" t="str">
        <f>IFERROR(IF(VLOOKUP(Tabla58[[#This Row],[Cod trabalhador]],'Altas Luminous'!B:E,1,0)&lt;&gt;"","LM",""),"")</f>
        <v/>
      </c>
      <c r="H70" s="51">
        <f>IFERROR(VLOOKUP(Tabla58[[#This Row],[Cod trabalhador]],'Altas Wiseowe'!B:E,3,FALSE),"")</f>
        <v>45965</v>
      </c>
      <c r="I70" s="51" t="str">
        <f>IF(OR(Tabla58[[#This Row],[Cod trabalhador]]="",ISBLANK(Tabla58[[#This Row],[Cod trabalhador]])),"",IFERROR(IF(VLOOKUP(Tabla58[[#This Row],[Cod trabalhador]],'Altas Wiseowe'!B:E,4,FALSE)=0,"",VLOOKUP(Tabla58[[#This Row],[Cod trabalhador]],'Altas Wiseowe'!B:E,4,FALSE)),""))</f>
        <v/>
      </c>
      <c r="J70" s="44">
        <f t="shared" si="2"/>
        <v>31</v>
      </c>
      <c r="K70" s="376" t="s">
        <v>6712</v>
      </c>
      <c r="L70" s="342" t="str">
        <f>IFERROR(IF(Tabla58[[#This Row],[Cod trabalhador]]="",Tabla58[[#This Row],[Cod trabalhador]], INDEX(Colaborador_ID[Nombre], MATCH(Tabla58[[#This Row],[Cod trabalhador]],Colaborador_ID[Cod_colab], 0))), "")</f>
        <v>WILMER ANTONIO BLANCO ALVAREZ</v>
      </c>
      <c r="N70" s="405" t="s">
        <v>7048</v>
      </c>
      <c r="O70" s="26">
        <v>16.5</v>
      </c>
      <c r="P70" s="92">
        <f>IFERROR(VLOOKUP(Tabla58[[#This Row],[Cod trabalhador]],'TotalHorasAjustadas (2)'!D:L,8,FALSE),"")</f>
        <v>300</v>
      </c>
      <c r="Q70" s="27">
        <v>150</v>
      </c>
      <c r="R70" s="28" t="s">
        <v>7532</v>
      </c>
      <c r="S70" s="28" t="s">
        <v>7539</v>
      </c>
      <c r="U70" s="25"/>
      <c r="V70" s="220"/>
      <c r="W70" s="27"/>
      <c r="X70" s="28"/>
      <c r="Y70" s="28"/>
      <c r="Z70" s="149"/>
      <c r="AA70" s="392" t="str">
        <f>IFERROR(VLOOKUP(Tabla58[[#This Row],[Cod trabalhador]],Alojamentos!B:P,11,FALSE),"")</f>
        <v/>
      </c>
      <c r="AB70" s="127"/>
      <c r="AC70" s="150"/>
      <c r="AD70" s="35">
        <f>Tabla58[[#This Row],[Dias de alta]]*7.058</f>
        <v>218.798</v>
      </c>
      <c r="AE70" s="46" t="str">
        <f>IFERROR(VLOOKUP(Tabla58[[#This Row],[Cod trabalhador]],Adiantamentos!B:L,7,FALSE),"")</f>
        <v/>
      </c>
      <c r="AF70" s="46">
        <f>IFERROR(VLOOKUP(Tabla58[[#This Row],[Cod trabalhador]],Carro!B:D,3,FALSE),"")</f>
        <v>66.666666666666671</v>
      </c>
      <c r="AG70" s="46" t="str">
        <f>IFERROR(VLOOKUP(Tabla58[[#This Row],[Cod trabalhador]],'Outros descontos'!B:O,7,FALSE),"")</f>
        <v/>
      </c>
      <c r="AH70" s="46" t="str">
        <f>IFERROR(VLOOKUP(Tabla58[[#This Row],[Cod trabalhador]],'Outros descontos'!B:M,8,FALSE),"")</f>
        <v/>
      </c>
      <c r="AI70" s="46" t="str">
        <f>IFERROR(VLOOKUP(Tabla58[[#This Row],[Cod trabalhador]],'Outros descontos'!B:M,9,FALSE),"")</f>
        <v/>
      </c>
      <c r="AJ70" s="46" t="str">
        <f>IFERROR(VLOOKUP(Tabla58[[#This Row],[Cod trabalhador]],'Outros descontos'!B:M,10,FALSE),"")</f>
        <v/>
      </c>
      <c r="AK70" s="46" t="str">
        <f>IFERROR(VLOOKUP(Tabla58[[#This Row],[Cod trabalhador]],'Outros descontos'!B:M,11,FALSE),"")</f>
        <v/>
      </c>
      <c r="AL70" s="46" t="str">
        <f>IFERROR(VLOOKUP(Tabla58[[#This Row],[Cod trabalhador]],'Outros descontos'!B:R,12,FALSE),"")</f>
        <v/>
      </c>
      <c r="AM70" s="46" t="str">
        <f>IFERROR(VLOOKUP(Tabla58[[#This Row],[Cod trabalhador]],'Outros descontos'!B:M,13,FALSE),"")</f>
        <v/>
      </c>
      <c r="AN70" s="41"/>
      <c r="AO70" s="37">
        <v>4.08</v>
      </c>
      <c r="AP70" s="15"/>
      <c r="AQ70"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4660.4553333333333</v>
      </c>
      <c r="AR70"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2185.4553333333338</v>
      </c>
      <c r="AS70" s="15"/>
      <c r="AT70" s="27" t="str">
        <f>IF(Tabla58[[#This Row],[Cod trabalhador]]="", "", INDEX(Iban!C:C, MATCH(Tabla58[[#This Row],[Cod trabalhador]],Iban!A:A, 0)))</f>
        <v>ES82 0182 0316 4902 0158 8701</v>
      </c>
      <c r="AU70" s="27"/>
      <c r="AV70" s="27"/>
      <c r="AW70" s="66" t="s">
        <v>7540</v>
      </c>
      <c r="AX70" s="296" t="s">
        <v>7472</v>
      </c>
    </row>
    <row r="71" spans="1:50" ht="16.5" hidden="1" customHeight="1" x14ac:dyDescent="0.3">
      <c r="A71" s="43"/>
      <c r="B71" s="39" t="s">
        <v>5487</v>
      </c>
      <c r="C71" s="45" t="str">
        <f>IF(ISNUMBER(MATCH(Tabla58[[#This Row],[Cod trabalhador]],'Altas Wiseowe'!B:B, 0)), "Ativo", "Não ativo")</f>
        <v>Não ativo</v>
      </c>
      <c r="D71" s="44" t="str">
        <f>IFERROR(IF(VLOOKUP(Tabla58[[#This Row],[Cod trabalhador]],'Altas Industrial'!B:E,1,0)&lt;&gt;"","KI",""),"")</f>
        <v/>
      </c>
      <c r="E71" s="44" t="str">
        <f>IFERROR(IF(VLOOKUP(Tabla58[[#This Row],[Cod trabalhador]],'Altas Rosas'!B:F,1,0)&lt;&gt;"","KR",""),"")</f>
        <v/>
      </c>
      <c r="F71" s="44" t="str">
        <f>IFERROR(IF(VLOOKUP(Tabla58[[#This Row],[Cod trabalhador]],'Altas Wiseowe'!B:E,1,0)&lt;&gt;"","WS",""),"")</f>
        <v/>
      </c>
      <c r="G71" s="101" t="str">
        <f>IFERROR(IF(VLOOKUP(Tabla58[[#This Row],[Cod trabalhador]],'Altas Luminous'!B:E,1,0)&lt;&gt;"","LM",""),"")</f>
        <v/>
      </c>
      <c r="H71" s="51" t="str">
        <f>IFERROR(VLOOKUP(Tabla58[[#This Row],[Cod trabalhador]],'Altas Wiseowe'!B:E,3,FALSE),"")</f>
        <v/>
      </c>
      <c r="I71" s="51" t="str">
        <f>IF(OR(Tabla58[[#This Row],[Cod trabalhador]]="",ISBLANK(Tabla58[[#This Row],[Cod trabalhador]])),"",IFERROR(IF(VLOOKUP(Tabla58[[#This Row],[Cod trabalhador]],'Altas Wiseowe'!B:E,4,FALSE)=0,"",VLOOKUP(Tabla58[[#This Row],[Cod trabalhador]],'Altas Wiseowe'!B:E,4,FALSE)),""))</f>
        <v/>
      </c>
      <c r="J71" s="44">
        <f t="shared" si="2"/>
        <v>0</v>
      </c>
      <c r="K71" s="376" t="s">
        <v>5488</v>
      </c>
      <c r="L71" s="342" t="str">
        <f>IFERROR(IF(Tabla58[[#This Row],[Cod trabalhador]]="",Tabla58[[#This Row],[Cod trabalhador]], INDEX(Colaborador_ID[Nombre], MATCH(Tabla58[[#This Row],[Cod trabalhador]],Colaborador_ID[Cod_colab], 0))), "")</f>
        <v>NICXON GARCIA FIERRO</v>
      </c>
      <c r="N71" s="405" t="s">
        <v>7292</v>
      </c>
      <c r="O71" s="26">
        <f>IFERROR(VLOOKUP(Tabla58[[#This Row],[Cod trabalhador]],Tabla15[],4,FALSE),"")</f>
        <v>15</v>
      </c>
      <c r="P71" s="92">
        <f>IFERROR(VLOOKUP(Tabla58[[#This Row],[Cod trabalhador]],'TotalHorasAjustadas (2)'!D:L,8,FALSE),"")</f>
        <v>28</v>
      </c>
      <c r="Q71" s="27">
        <v>28</v>
      </c>
      <c r="R71" s="28" t="s">
        <v>7471</v>
      </c>
      <c r="S71" s="28" t="s">
        <v>7539</v>
      </c>
      <c r="U71" s="25" t="s">
        <v>7350</v>
      </c>
      <c r="V71" s="220">
        <v>15</v>
      </c>
      <c r="W71" s="27">
        <v>147</v>
      </c>
      <c r="X71" s="28"/>
      <c r="Y71" s="28" t="s">
        <v>7544</v>
      </c>
      <c r="Z71" s="149"/>
      <c r="AA71" s="392" t="str">
        <f>IFERROR(VLOOKUP(Tabla58[[#This Row],[Cod trabalhador]],Alojamentos!B:P,11,FALSE),"")</f>
        <v/>
      </c>
      <c r="AB71" s="127"/>
      <c r="AC71" s="150"/>
      <c r="AD71" s="35">
        <f>Tabla58[[#This Row],[Dias de alta]]*7.058</f>
        <v>0</v>
      </c>
      <c r="AE71" s="46" t="str">
        <f>IFERROR(VLOOKUP(Tabla58[[#This Row],[Cod trabalhador]],Adiantamentos!B:L,7,FALSE),"")</f>
        <v/>
      </c>
      <c r="AF71" s="46" t="str">
        <f>IFERROR(VLOOKUP(Tabla58[[#This Row],[Cod trabalhador]],Carro!B:D,3,FALSE),"")</f>
        <v/>
      </c>
      <c r="AG71" s="46" t="str">
        <f>IFERROR(VLOOKUP(Tabla58[[#This Row],[Cod trabalhador]],'Outros descontos'!B:O,7,FALSE),"")</f>
        <v/>
      </c>
      <c r="AH71" s="46" t="str">
        <f>IFERROR(VLOOKUP(Tabla58[[#This Row],[Cod trabalhador]],'Outros descontos'!B:M,8,FALSE),"")</f>
        <v/>
      </c>
      <c r="AI71" s="46" t="str">
        <f>IFERROR(VLOOKUP(Tabla58[[#This Row],[Cod trabalhador]],'Outros descontos'!B:M,9,FALSE),"")</f>
        <v/>
      </c>
      <c r="AJ71" s="46" t="str">
        <f>IFERROR(VLOOKUP(Tabla58[[#This Row],[Cod trabalhador]],'Outros descontos'!B:M,10,FALSE),"")</f>
        <v/>
      </c>
      <c r="AK71" s="46" t="str">
        <f>IFERROR(VLOOKUP(Tabla58[[#This Row],[Cod trabalhador]],'Outros descontos'!B:M,11,FALSE),"")</f>
        <v/>
      </c>
      <c r="AL71" s="46" t="str">
        <f>IFERROR(VLOOKUP(Tabla58[[#This Row],[Cod trabalhador]],'Outros descontos'!B:R,12,FALSE),"")</f>
        <v/>
      </c>
      <c r="AM71" s="46" t="str">
        <f>IFERROR(VLOOKUP(Tabla58[[#This Row],[Cod trabalhador]],'Outros descontos'!B:M,13,FALSE),"")</f>
        <v/>
      </c>
      <c r="AN71" s="41"/>
      <c r="AO71" s="37">
        <v>4.08</v>
      </c>
      <c r="AP71" s="15"/>
      <c r="AQ71"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415.92</v>
      </c>
      <c r="AR71"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2620.92</v>
      </c>
      <c r="AS71" s="15"/>
      <c r="AT71" s="27" t="str">
        <f>IF(Tabla58[[#This Row],[Cod trabalhador]]="", "", INDEX(Iban!C:C, MATCH(Tabla58[[#This Row],[Cod trabalhador]],Iban!A:A, 0)))</f>
        <v>ES32 0182 8323 2202 0195 6874</v>
      </c>
      <c r="AU71" s="27"/>
      <c r="AV71" s="97"/>
      <c r="AW71" s="66" t="s">
        <v>7533</v>
      </c>
      <c r="AX71" s="296" t="s">
        <v>7472</v>
      </c>
    </row>
    <row r="72" spans="1:50" ht="16.5" hidden="1" customHeight="1" x14ac:dyDescent="0.3">
      <c r="A72" s="43"/>
      <c r="B72" s="39" t="s">
        <v>371</v>
      </c>
      <c r="C72" s="45" t="str">
        <f>IF(ISNUMBER(MATCH(Tabla58[[#This Row],[Cod trabalhador]],'Altas Wiseowe'!B:B, 0)), "Ativo", "Não ativo")</f>
        <v>Ativo</v>
      </c>
      <c r="D72" s="44" t="str">
        <f>IFERROR(IF(VLOOKUP(Tabla58[[#This Row],[Cod trabalhador]],'Altas Industrial'!B:E,1,0)&lt;&gt;"","KI",""),"")</f>
        <v/>
      </c>
      <c r="E72" s="44" t="str">
        <f>IFERROR(IF(VLOOKUP(Tabla58[[#This Row],[Cod trabalhador]],'Altas Rosas'!B:F,1,0)&lt;&gt;"","KR",""),"")</f>
        <v/>
      </c>
      <c r="F72" s="44" t="str">
        <f>IFERROR(IF(VLOOKUP(Tabla58[[#This Row],[Cod trabalhador]],'Altas Wiseowe'!B:E,1,0)&lt;&gt;"","WS",""),"")</f>
        <v>WS</v>
      </c>
      <c r="G72" s="101" t="str">
        <f>IFERROR(IF(VLOOKUP(Tabla58[[#This Row],[Cod trabalhador]],'Altas Luminous'!B:E,1,0)&lt;&gt;"","LM",""),"")</f>
        <v/>
      </c>
      <c r="H72" s="51">
        <f>IFERROR(VLOOKUP(Tabla58[[#This Row],[Cod trabalhador]],'Altas Wiseowe'!B:E,3,FALSE),"")</f>
        <v>45896</v>
      </c>
      <c r="I72" s="51" t="str">
        <f>IF(OR(Tabla58[[#This Row],[Cod trabalhador]]="",ISBLANK(Tabla58[[#This Row],[Cod trabalhador]])),"",IFERROR(IF(VLOOKUP(Tabla58[[#This Row],[Cod trabalhador]],'Altas Wiseowe'!B:E,4,FALSE)=0,"",VLOOKUP(Tabla58[[#This Row],[Cod trabalhador]],'Altas Wiseowe'!B:E,4,FALSE)),""))</f>
        <v/>
      </c>
      <c r="J72" s="44">
        <f t="shared" ref="J72:J81" si="3">IF(C72="ativo",    IF(ISBLANK(H72),"",MAX(0,MIN(IF(ISBLANK(I72),EOMONTH(DATE(2026,1,1),0),I72),EOMONTH(DATE(2026,1,1),0)) - MAX(H72,DATE(2026,1,1))))+1,
    0
)</f>
        <v>31</v>
      </c>
      <c r="K72" s="376" t="s">
        <v>7295</v>
      </c>
      <c r="L72" s="342" t="str">
        <f>IFERROR(IF(Tabla58[[#This Row],[Cod trabalhador]]="",Tabla58[[#This Row],[Cod trabalhador]], INDEX(Colaborador_ID[Nombre], MATCH(Tabla58[[#This Row],[Cod trabalhador]],Colaborador_ID[Cod_colab], 0))), "")</f>
        <v>ANDRES CAMILO ALVAREZ CUERVO</v>
      </c>
      <c r="N72" s="405" t="s">
        <v>7294</v>
      </c>
      <c r="O72" s="26">
        <f>IFERROR(VLOOKUP(Tabla58[[#This Row],[Cod trabalhador]],Tabla15[],4,FALSE),"")</f>
        <v>15</v>
      </c>
      <c r="P72" s="92">
        <f>IFERROR(VLOOKUP(Tabla58[[#This Row],[Cod trabalhador]],'TotalHorasAjustadas (2)'!D:L,8,FALSE),"")</f>
        <v>207.5</v>
      </c>
      <c r="Q72" s="27">
        <v>207.5</v>
      </c>
      <c r="R72" s="28" t="s">
        <v>7532</v>
      </c>
      <c r="S72" s="28" t="s">
        <v>7539</v>
      </c>
      <c r="U72" s="25"/>
      <c r="V72" s="220"/>
      <c r="W72" s="27"/>
      <c r="X72" s="28"/>
      <c r="Y72" s="28"/>
      <c r="Z72" s="149"/>
      <c r="AA72" s="392" t="str">
        <f>IFERROR(VLOOKUP(Tabla58[[#This Row],[Cod trabalhador]],Alojamentos!B:P,11,FALSE),"")</f>
        <v/>
      </c>
      <c r="AB72" s="127"/>
      <c r="AC72" s="150"/>
      <c r="AD72" s="35">
        <f>Tabla58[[#This Row],[Dias de alta]]*7.058</f>
        <v>218.798</v>
      </c>
      <c r="AE72" s="41" t="str">
        <f>IFERROR(VLOOKUP(Tabla58[[#This Row],[Cod trabalhador]],Adiantamentos!B:L,7,FALSE),"")</f>
        <v/>
      </c>
      <c r="AF72" s="41">
        <f>IFERROR(VLOOKUP(Tabla58[[#This Row],[Cod trabalhador]],Carro!B:D,3,FALSE),"")</f>
        <v>140</v>
      </c>
      <c r="AG72" s="41" t="str">
        <f>IFERROR(VLOOKUP(Tabla58[[#This Row],[Cod trabalhador]],'Outros descontos'!B:O,7,FALSE),"")</f>
        <v/>
      </c>
      <c r="AH72" s="41" t="str">
        <f>IFERROR(VLOOKUP(Tabla58[[#This Row],[Cod trabalhador]],'Outros descontos'!B:M,8,FALSE),"")</f>
        <v/>
      </c>
      <c r="AI72" s="41" t="str">
        <f>IFERROR(VLOOKUP(Tabla58[[#This Row],[Cod trabalhador]],'Outros descontos'!B:M,9,FALSE),"")</f>
        <v/>
      </c>
      <c r="AJ72" s="41" t="str">
        <f>IFERROR(VLOOKUP(Tabla58[[#This Row],[Cod trabalhador]],'Outros descontos'!B:M,10,FALSE),"")</f>
        <v/>
      </c>
      <c r="AK72" s="41" t="str">
        <f>IFERROR(VLOOKUP(Tabla58[[#This Row],[Cod trabalhador]],'Outros descontos'!B:M,11,FALSE),"")</f>
        <v/>
      </c>
      <c r="AL72" s="41" t="str">
        <f>IFERROR(VLOOKUP(Tabla58[[#This Row],[Cod trabalhador]],'Outros descontos'!B:R,12,FALSE),"")</f>
        <v/>
      </c>
      <c r="AM72" s="46" t="str">
        <f>IFERROR(VLOOKUP(Tabla58[[#This Row],[Cod trabalhador]],'Outros descontos'!B:M,13,FALSE),"")</f>
        <v/>
      </c>
      <c r="AN72" s="41"/>
      <c r="AO72" s="37">
        <v>4.08</v>
      </c>
      <c r="AP72" s="15"/>
      <c r="AQ72"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2749.6220000000003</v>
      </c>
      <c r="AR72"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2749.6220000000003</v>
      </c>
      <c r="AS72" s="15"/>
      <c r="AT72" s="27" t="str">
        <f>IF(Tabla58[[#This Row],[Cod trabalhador]]="", "", INDEX(Iban!C:C, MATCH(Tabla58[[#This Row],[Cod trabalhador]],Iban!A:A, 0)))</f>
        <v>BE86 9052 2247 3850</v>
      </c>
      <c r="AU72" s="27"/>
      <c r="AV72" s="27"/>
      <c r="AW72" s="66" t="s">
        <v>7543</v>
      </c>
      <c r="AX72" s="296" t="s">
        <v>7472</v>
      </c>
    </row>
    <row r="73" spans="1:50" ht="16.5" hidden="1" customHeight="1" x14ac:dyDescent="0.3">
      <c r="A73" s="43"/>
      <c r="B73" s="414" t="s">
        <v>890</v>
      </c>
      <c r="C73" s="415" t="str">
        <f>IF(ISNUMBER(MATCH(Tabla58[[#This Row],[Cod trabalhador]],'Altas Wiseowe'!B:B, 0)), "Ativo", "Não ativo")</f>
        <v>Não ativo</v>
      </c>
      <c r="D73" s="416" t="str">
        <f>IFERROR(IF(VLOOKUP(Tabla58[[#This Row],[Cod trabalhador]],'Altas Industrial'!B:E,1,0)&lt;&gt;"","KI",""),"")</f>
        <v/>
      </c>
      <c r="E73" s="416" t="str">
        <f>IFERROR(IF(VLOOKUP(Tabla58[[#This Row],[Cod trabalhador]],'Altas Rosas'!B:F,1,0)&lt;&gt;"","KR",""),"")</f>
        <v/>
      </c>
      <c r="F73" s="416" t="str">
        <f>IFERROR(IF(VLOOKUP(Tabla58[[#This Row],[Cod trabalhador]],'Altas Wiseowe'!B:E,1,0)&lt;&gt;"","WS",""),"")</f>
        <v/>
      </c>
      <c r="G73" s="417" t="str">
        <f>IFERROR(IF(VLOOKUP(Tabla58[[#This Row],[Cod trabalhador]],'Altas Luminous'!B:E,1,0)&lt;&gt;"","LM",""),"")</f>
        <v/>
      </c>
      <c r="H73" s="418" t="str">
        <f>IFERROR(VLOOKUP(Tabla58[[#This Row],[Cod trabalhador]],'Altas Wiseowe'!B:E,3,FALSE),"")</f>
        <v/>
      </c>
      <c r="I73" s="418" t="str">
        <f>IF(OR(Tabla58[[#This Row],[Cod trabalhador]]="",ISBLANK(Tabla58[[#This Row],[Cod trabalhador]])),"",IFERROR(IF(VLOOKUP(Tabla58[[#This Row],[Cod trabalhador]],'Altas Wiseowe'!B:E,4,FALSE)=0,"",VLOOKUP(Tabla58[[#This Row],[Cod trabalhador]],'Altas Wiseowe'!B:E,4,FALSE)),""))</f>
        <v/>
      </c>
      <c r="J73" s="416">
        <f t="shared" si="3"/>
        <v>0</v>
      </c>
      <c r="K73" s="419" t="s">
        <v>891</v>
      </c>
      <c r="L73" s="420" t="str">
        <f>IFERROR(IF(Tabla58[[#This Row],[Cod trabalhador]]="",Tabla58[[#This Row],[Cod trabalhador]], INDEX(Colaborador_ID[Nombre], MATCH(Tabla58[[#This Row],[Cod trabalhador]],Colaborador_ID[Cod_colab], 0))), "")</f>
        <v>CARLOS JULIO CANON SALCEDO</v>
      </c>
      <c r="M73" s="421"/>
      <c r="N73" s="422" t="s">
        <v>7294</v>
      </c>
      <c r="O73" s="423">
        <f>IFERROR(VLOOKUP(Tabla58[[#This Row],[Cod trabalhador]],Tabla15[],4,FALSE),"")</f>
        <v>15</v>
      </c>
      <c r="P73" s="424">
        <f>IFERROR(VLOOKUP(Tabla58[[#This Row],[Cod trabalhador]],'TotalHorasAjustadas (2)'!D:L,8,FALSE),"")</f>
        <v>143</v>
      </c>
      <c r="Q73" s="425">
        <v>143</v>
      </c>
      <c r="R73" s="426" t="s">
        <v>7532</v>
      </c>
      <c r="S73" s="426" t="s">
        <v>7539</v>
      </c>
      <c r="U73" s="25"/>
      <c r="V73" s="220"/>
      <c r="W73" s="27"/>
      <c r="X73" s="28"/>
      <c r="Y73" s="28"/>
      <c r="Z73" s="149"/>
      <c r="AA73" s="392" t="str">
        <f>IFERROR(VLOOKUP(Tabla58[[#This Row],[Cod trabalhador]],Alojamentos!B:P,11,FALSE),"")</f>
        <v/>
      </c>
      <c r="AB73" s="127"/>
      <c r="AC73" s="150"/>
      <c r="AD73" s="35">
        <f>Tabla58[[#This Row],[Dias de alta]]*7.058</f>
        <v>0</v>
      </c>
      <c r="AE73" s="41">
        <v>200</v>
      </c>
      <c r="AF73" s="41" t="str">
        <f>IFERROR(VLOOKUP(Tabla58[[#This Row],[Cod trabalhador]],Carro!B:D,3,FALSE),"")</f>
        <v/>
      </c>
      <c r="AG73" s="41">
        <f>IFERROR(VLOOKUP(Tabla58[[#This Row],[Cod trabalhador]],'Outros descontos'!B:O,7,FALSE),"")</f>
        <v>0</v>
      </c>
      <c r="AH73" s="41">
        <f>IFERROR(VLOOKUP(Tabla58[[#This Row],[Cod trabalhador]],'Outros descontos'!B:M,8,FALSE),"")</f>
        <v>0</v>
      </c>
      <c r="AI73" s="41">
        <f>IFERROR(VLOOKUP(Tabla58[[#This Row],[Cod trabalhador]],'Outros descontos'!B:M,9,FALSE),"")</f>
        <v>0</v>
      </c>
      <c r="AJ73" s="41">
        <f>IFERROR(VLOOKUP(Tabla58[[#This Row],[Cod trabalhador]],'Outros descontos'!B:M,10,FALSE),"")</f>
        <v>0</v>
      </c>
      <c r="AK73" s="41">
        <f>IFERROR(VLOOKUP(Tabla58[[#This Row],[Cod trabalhador]],'Outros descontos'!B:M,11,FALSE),"")</f>
        <v>0</v>
      </c>
      <c r="AL73" s="41">
        <f>IFERROR(VLOOKUP(Tabla58[[#This Row],[Cod trabalhador]],'Outros descontos'!B:R,12,FALSE),"")</f>
        <v>21.74</v>
      </c>
      <c r="AM73" s="46" t="str">
        <f>IFERROR(VLOOKUP(Tabla58[[#This Row],[Cod trabalhador]],'Outros descontos'!B:M,13,FALSE),"")</f>
        <v/>
      </c>
      <c r="AN73" s="41"/>
      <c r="AO73" s="37">
        <v>4.08</v>
      </c>
      <c r="AP73" s="15"/>
      <c r="AQ73"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1919.18</v>
      </c>
      <c r="AR73"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1919.18</v>
      </c>
      <c r="AS73" s="15"/>
      <c r="AT73" s="27" t="str">
        <f>IF(Tabla58[[#This Row],[Cod trabalhador]]="", "", INDEX(Iban!C:C, MATCH(Tabla58[[#This Row],[Cod trabalhador]],Iban!A:A, 0)))</f>
        <v>ES71 0182 1140 3702 0170 2808</v>
      </c>
      <c r="AU73" s="27"/>
      <c r="AV73" s="27"/>
      <c r="AW73" s="66"/>
      <c r="AX73" s="296" t="s">
        <v>7472</v>
      </c>
    </row>
    <row r="74" spans="1:50" ht="16.5" hidden="1" customHeight="1" x14ac:dyDescent="0.3">
      <c r="A74" s="43"/>
      <c r="B74" s="39" t="s">
        <v>1805</v>
      </c>
      <c r="C74" s="45" t="str">
        <f>IF(ISNUMBER(MATCH(Tabla58[[#This Row],[Cod trabalhador]],'Altas Wiseowe'!B:B, 0)), "Ativo", "Não ativo")</f>
        <v>Não ativo</v>
      </c>
      <c r="D74" s="44" t="str">
        <f>IFERROR(IF(VLOOKUP(Tabla58[[#This Row],[Cod trabalhador]],'Altas Industrial'!B:E,1,0)&lt;&gt;"","KI",""),"")</f>
        <v/>
      </c>
      <c r="E74" s="44" t="str">
        <f>IFERROR(IF(VLOOKUP(Tabla58[[#This Row],[Cod trabalhador]],'Altas Rosas'!B:F,1,0)&lt;&gt;"","KR",""),"")</f>
        <v/>
      </c>
      <c r="F74" s="44" t="str">
        <f>IFERROR(IF(VLOOKUP(Tabla58[[#This Row],[Cod trabalhador]],'Altas Wiseowe'!B:E,1,0)&lt;&gt;"","WS",""),"")</f>
        <v/>
      </c>
      <c r="G74" s="101" t="str">
        <f>IFERROR(IF(VLOOKUP(Tabla58[[#This Row],[Cod trabalhador]],'Altas Luminous'!B:E,1,0)&lt;&gt;"","LM",""),"")</f>
        <v/>
      </c>
      <c r="H74" s="51" t="str">
        <f>IFERROR(VLOOKUP(Tabla58[[#This Row],[Cod trabalhador]],'Altas Wiseowe'!B:E,3,FALSE),"")</f>
        <v/>
      </c>
      <c r="I74" s="51" t="str">
        <f>IF(OR(Tabla58[[#This Row],[Cod trabalhador]]="",ISBLANK(Tabla58[[#This Row],[Cod trabalhador]])),"",IFERROR(IF(VLOOKUP(Tabla58[[#This Row],[Cod trabalhador]],'Altas Wiseowe'!B:E,4,FALSE)=0,"",VLOOKUP(Tabla58[[#This Row],[Cod trabalhador]],'Altas Wiseowe'!B:E,4,FALSE)),""))</f>
        <v/>
      </c>
      <c r="J74" s="44">
        <f t="shared" si="3"/>
        <v>0</v>
      </c>
      <c r="K74" s="376" t="s">
        <v>7296</v>
      </c>
      <c r="L74" s="342" t="str">
        <f>IFERROR(IF(Tabla58[[#This Row],[Cod trabalhador]]="",Tabla58[[#This Row],[Cod trabalhador]], INDEX(Colaborador_ID[Nombre], MATCH(Tabla58[[#This Row],[Cod trabalhador]],Colaborador_ID[Cod_colab], 0))), "")</f>
        <v>ELVIN AXEL POLO MANZANO</v>
      </c>
      <c r="N74" s="405" t="s">
        <v>7294</v>
      </c>
      <c r="O74" s="26">
        <f>IFERROR(VLOOKUP(Tabla58[[#This Row],[Cod trabalhador]],Tabla15[],4,FALSE),"")</f>
        <v>15</v>
      </c>
      <c r="P74" s="92">
        <f>IFERROR(VLOOKUP(Tabla58[[#This Row],[Cod trabalhador]],'TotalHorasAjustadas (2)'!D:L,8,FALSE),"")</f>
        <v>159</v>
      </c>
      <c r="Q74" s="27">
        <v>159</v>
      </c>
      <c r="R74" s="28" t="s">
        <v>7532</v>
      </c>
      <c r="S74" s="28" t="s">
        <v>7539</v>
      </c>
      <c r="U74" s="25"/>
      <c r="V74" s="220"/>
      <c r="W74" s="27"/>
      <c r="X74" s="28"/>
      <c r="Y74" s="28"/>
      <c r="Z74" s="149"/>
      <c r="AA74" s="392" t="str">
        <f>IFERROR(VLOOKUP(Tabla58[[#This Row],[Cod trabalhador]],Alojamentos!B:P,11,FALSE),"")</f>
        <v/>
      </c>
      <c r="AB74" s="127"/>
      <c r="AC74" s="150"/>
      <c r="AD74" s="35">
        <f>Tabla58[[#This Row],[Dias de alta]]*7.058</f>
        <v>0</v>
      </c>
      <c r="AE74" s="41" t="str">
        <f>IFERROR(VLOOKUP(Tabla58[[#This Row],[Cod trabalhador]],Adiantamentos!B:L,7,FALSE),"")</f>
        <v/>
      </c>
      <c r="AF74" s="41" t="str">
        <f>IFERROR(VLOOKUP(Tabla58[[#This Row],[Cod trabalhador]],Carro!B:D,3,FALSE),"")</f>
        <v/>
      </c>
      <c r="AG74" s="41" t="str">
        <f>IFERROR(VLOOKUP(Tabla58[[#This Row],[Cod trabalhador]],'Outros descontos'!B:O,7,FALSE),"")</f>
        <v/>
      </c>
      <c r="AH74" s="41" t="str">
        <f>IFERROR(VLOOKUP(Tabla58[[#This Row],[Cod trabalhador]],'Outros descontos'!B:M,8,FALSE),"")</f>
        <v/>
      </c>
      <c r="AI74" s="41" t="str">
        <f>IFERROR(VLOOKUP(Tabla58[[#This Row],[Cod trabalhador]],'Outros descontos'!B:M,9,FALSE),"")</f>
        <v/>
      </c>
      <c r="AJ74" s="41" t="str">
        <f>IFERROR(VLOOKUP(Tabla58[[#This Row],[Cod trabalhador]],'Outros descontos'!B:M,10,FALSE),"")</f>
        <v/>
      </c>
      <c r="AK74" s="41" t="str">
        <f>IFERROR(VLOOKUP(Tabla58[[#This Row],[Cod trabalhador]],'Outros descontos'!B:M,11,FALSE),"")</f>
        <v/>
      </c>
      <c r="AL74" s="41" t="str">
        <f>IFERROR(VLOOKUP(Tabla58[[#This Row],[Cod trabalhador]],'Outros descontos'!B:R,12,FALSE),"")</f>
        <v/>
      </c>
      <c r="AM74" s="46" t="str">
        <f>IFERROR(VLOOKUP(Tabla58[[#This Row],[Cod trabalhador]],'Outros descontos'!B:M,13,FALSE),"")</f>
        <v/>
      </c>
      <c r="AN74" s="41"/>
      <c r="AO74" s="37">
        <v>4.08</v>
      </c>
      <c r="AP74" s="15"/>
      <c r="AQ74"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2380.92</v>
      </c>
      <c r="AR74"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2380.92</v>
      </c>
      <c r="AS74" s="15"/>
      <c r="AT74" s="27" t="str">
        <f>IF(Tabla58[[#This Row],[Cod trabalhador]]="", "", INDEX(Iban!C:C, MATCH(Tabla58[[#This Row],[Cod trabalhador]],Iban!A:A, 0)))</f>
        <v>BE67 9055 6012 4887</v>
      </c>
      <c r="AU74" s="27"/>
      <c r="AV74" s="27"/>
      <c r="AW74" s="66"/>
      <c r="AX74" s="296" t="s">
        <v>7472</v>
      </c>
    </row>
    <row r="75" spans="1:50" ht="16.5" hidden="1" customHeight="1" x14ac:dyDescent="0.3">
      <c r="A75" s="43"/>
      <c r="B75" s="39" t="s">
        <v>2733</v>
      </c>
      <c r="C75" s="45" t="str">
        <f>IF(ISNUMBER(MATCH(Tabla58[[#This Row],[Cod trabalhador]],'Altas Wiseowe'!B:B, 0)), "Ativo", "Não ativo")</f>
        <v>Ativo</v>
      </c>
      <c r="D75" s="44" t="str">
        <f>IFERROR(IF(VLOOKUP(Tabla58[[#This Row],[Cod trabalhador]],'Altas Industrial'!B:E,1,0)&lt;&gt;"","KI",""),"")</f>
        <v/>
      </c>
      <c r="E75" s="44" t="str">
        <f>IFERROR(IF(VLOOKUP(Tabla58[[#This Row],[Cod trabalhador]],'Altas Rosas'!B:F,1,0)&lt;&gt;"","KR",""),"")</f>
        <v/>
      </c>
      <c r="F75" s="44" t="str">
        <f>IFERROR(IF(VLOOKUP(Tabla58[[#This Row],[Cod trabalhador]],'Altas Wiseowe'!B:E,1,0)&lt;&gt;"","WS",""),"")</f>
        <v>WS</v>
      </c>
      <c r="G75" s="101" t="str">
        <f>IFERROR(IF(VLOOKUP(Tabla58[[#This Row],[Cod trabalhador]],'Altas Luminous'!B:E,1,0)&lt;&gt;"","LM",""),"")</f>
        <v/>
      </c>
      <c r="H75" s="51">
        <f>IFERROR(VLOOKUP(Tabla58[[#This Row],[Cod trabalhador]],'Altas Wiseowe'!B:E,3,FALSE),"")</f>
        <v>45896</v>
      </c>
      <c r="I75" s="51" t="str">
        <f>IF(OR(Tabla58[[#This Row],[Cod trabalhador]]="",ISBLANK(Tabla58[[#This Row],[Cod trabalhador]])),"",IFERROR(IF(VLOOKUP(Tabla58[[#This Row],[Cod trabalhador]],'Altas Wiseowe'!B:E,4,FALSE)=0,"",VLOOKUP(Tabla58[[#This Row],[Cod trabalhador]],'Altas Wiseowe'!B:E,4,FALSE)),""))</f>
        <v/>
      </c>
      <c r="J75" s="44">
        <f t="shared" si="3"/>
        <v>31</v>
      </c>
      <c r="K75" s="376" t="s">
        <v>7297</v>
      </c>
      <c r="L75" s="342" t="str">
        <f>IFERROR(IF(Tabla58[[#This Row],[Cod trabalhador]]="",Tabla58[[#This Row],[Cod trabalhador]], INDEX(Colaborador_ID[Nombre], MATCH(Tabla58[[#This Row],[Cod trabalhador]],Colaborador_ID[Cod_colab], 0))), "")</f>
        <v>HERNAN RODRIGUEZ CUY</v>
      </c>
      <c r="N75" s="405" t="s">
        <v>7294</v>
      </c>
      <c r="O75" s="26">
        <f>IFERROR(VLOOKUP(Tabla58[[#This Row],[Cod trabalhador]],Tabla15[],4,FALSE),"")</f>
        <v>15</v>
      </c>
      <c r="P75" s="92">
        <f>IFERROR(VLOOKUP(Tabla58[[#This Row],[Cod trabalhador]],'TotalHorasAjustadas (2)'!D:L,8,FALSE),"")</f>
        <v>109.5</v>
      </c>
      <c r="Q75" s="27">
        <v>109.5</v>
      </c>
      <c r="R75" s="28" t="s">
        <v>7532</v>
      </c>
      <c r="S75" s="28" t="s">
        <v>7539</v>
      </c>
      <c r="U75" s="25"/>
      <c r="V75" s="220"/>
      <c r="W75" s="27"/>
      <c r="X75" s="28"/>
      <c r="Y75" s="28"/>
      <c r="Z75" s="149"/>
      <c r="AA75" s="392" t="str">
        <f>IFERROR(VLOOKUP(Tabla58[[#This Row],[Cod trabalhador]],Alojamentos!B:P,11,FALSE),"")</f>
        <v/>
      </c>
      <c r="AB75" s="127"/>
      <c r="AC75" s="150"/>
      <c r="AD75" s="35">
        <f>Tabla58[[#This Row],[Dias de alta]]*7.058</f>
        <v>218.798</v>
      </c>
      <c r="AE75" s="41" t="str">
        <f>IFERROR(VLOOKUP(Tabla58[[#This Row],[Cod trabalhador]],Adiantamentos!B:L,7,FALSE),"")</f>
        <v/>
      </c>
      <c r="AF75" s="41" t="str">
        <f>IFERROR(VLOOKUP(Tabla58[[#This Row],[Cod trabalhador]],Carro!B:D,3,FALSE),"")</f>
        <v/>
      </c>
      <c r="AG75" s="41" t="str">
        <f>IFERROR(VLOOKUP(Tabla58[[#This Row],[Cod trabalhador]],'Outros descontos'!B:O,7,FALSE),"")</f>
        <v/>
      </c>
      <c r="AH75" s="41" t="str">
        <f>IFERROR(VLOOKUP(Tabla58[[#This Row],[Cod trabalhador]],'Outros descontos'!B:M,8,FALSE),"")</f>
        <v/>
      </c>
      <c r="AI75" s="41" t="str">
        <f>IFERROR(VLOOKUP(Tabla58[[#This Row],[Cod trabalhador]],'Outros descontos'!B:M,9,FALSE),"")</f>
        <v/>
      </c>
      <c r="AJ75" s="41" t="str">
        <f>IFERROR(VLOOKUP(Tabla58[[#This Row],[Cod trabalhador]],'Outros descontos'!B:M,10,FALSE),"")</f>
        <v/>
      </c>
      <c r="AK75" s="41" t="str">
        <f>IFERROR(VLOOKUP(Tabla58[[#This Row],[Cod trabalhador]],'Outros descontos'!B:M,11,FALSE),"")</f>
        <v/>
      </c>
      <c r="AL75" s="41" t="str">
        <f>IFERROR(VLOOKUP(Tabla58[[#This Row],[Cod trabalhador]],'Outros descontos'!B:R,12,FALSE),"")</f>
        <v/>
      </c>
      <c r="AM75" s="46" t="str">
        <f>IFERROR(VLOOKUP(Tabla58[[#This Row],[Cod trabalhador]],'Outros descontos'!B:M,13,FALSE),"")</f>
        <v/>
      </c>
      <c r="AN75" s="41"/>
      <c r="AO75" s="37">
        <v>4.08</v>
      </c>
      <c r="AP75" s="15"/>
      <c r="AQ75"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1419.6220000000001</v>
      </c>
      <c r="AR75"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1419.6220000000001</v>
      </c>
      <c r="AS75" s="15"/>
      <c r="AT75" s="27" t="str">
        <f>IF(Tabla58[[#This Row],[Cod trabalhador]]="", "", INDEX(Iban!C:C, MATCH(Tabla58[[#This Row],[Cod trabalhador]],Iban!A:A, 0)))</f>
        <v>ES34 6893 0001 7400 0025 8134</v>
      </c>
      <c r="AU75" s="27"/>
      <c r="AV75" s="27"/>
      <c r="AW75" s="66" t="s">
        <v>7543</v>
      </c>
      <c r="AX75" s="296" t="s">
        <v>7472</v>
      </c>
    </row>
    <row r="76" spans="1:50" ht="16.5" hidden="1" customHeight="1" x14ac:dyDescent="0.3">
      <c r="A76" s="43"/>
      <c r="B76" s="39" t="s">
        <v>2941</v>
      </c>
      <c r="C76" s="45" t="str">
        <f>IF(ISNUMBER(MATCH(Tabla58[[#This Row],[Cod trabalhador]],'Altas Wiseowe'!B:B, 0)), "Ativo", "Não ativo")</f>
        <v>Não ativo</v>
      </c>
      <c r="D76" s="44" t="str">
        <f>IFERROR(IF(VLOOKUP(Tabla58[[#This Row],[Cod trabalhador]],'Altas Industrial'!B:E,1,0)&lt;&gt;"","KI",""),"")</f>
        <v/>
      </c>
      <c r="E76" s="44" t="str">
        <f>IFERROR(IF(VLOOKUP(Tabla58[[#This Row],[Cod trabalhador]],'Altas Rosas'!B:F,1,0)&lt;&gt;"","KR",""),"")</f>
        <v/>
      </c>
      <c r="F76" s="44" t="str">
        <f>IFERROR(IF(VLOOKUP(Tabla58[[#This Row],[Cod trabalhador]],'Altas Wiseowe'!B:E,1,0)&lt;&gt;"","WS",""),"")</f>
        <v/>
      </c>
      <c r="G76" s="101" t="str">
        <f>IFERROR(IF(VLOOKUP(Tabla58[[#This Row],[Cod trabalhador]],'Altas Luminous'!B:E,1,0)&lt;&gt;"","LM",""),"")</f>
        <v/>
      </c>
      <c r="H76" s="51" t="str">
        <f>IFERROR(VLOOKUP(Tabla58[[#This Row],[Cod trabalhador]],'Altas Wiseowe'!B:E,3,FALSE),"")</f>
        <v/>
      </c>
      <c r="I76" s="51" t="str">
        <f>IF(OR(Tabla58[[#This Row],[Cod trabalhador]]="",ISBLANK(Tabla58[[#This Row],[Cod trabalhador]])),"",IFERROR(IF(VLOOKUP(Tabla58[[#This Row],[Cod trabalhador]],'Altas Wiseowe'!B:E,4,FALSE)=0,"",VLOOKUP(Tabla58[[#This Row],[Cod trabalhador]],'Altas Wiseowe'!B:E,4,FALSE)),""))</f>
        <v/>
      </c>
      <c r="J76" s="44">
        <f t="shared" si="3"/>
        <v>0</v>
      </c>
      <c r="K76" s="376" t="s">
        <v>7298</v>
      </c>
      <c r="L76" s="342" t="str">
        <f>IFERROR(IF(Tabla58[[#This Row],[Cod trabalhador]]="",Tabla58[[#This Row],[Cod trabalhador]], INDEX(Colaborador_ID[Nombre], MATCH(Tabla58[[#This Row],[Cod trabalhador]],Colaborador_ID[Cod_colab], 0))), "")</f>
        <v>JAIME ALEJANDRO RETIS TOLENTINO</v>
      </c>
      <c r="N76" s="405" t="s">
        <v>7294</v>
      </c>
      <c r="O76" s="26">
        <f>IFERROR(VLOOKUP(Tabla58[[#This Row],[Cod trabalhador]],Tabla15[],4,FALSE),"")</f>
        <v>15</v>
      </c>
      <c r="P76" s="92">
        <f>IFERROR(VLOOKUP(Tabla58[[#This Row],[Cod trabalhador]],'TotalHorasAjustadas (2)'!D:L,8,FALSE),"")</f>
        <v>62</v>
      </c>
      <c r="Q76" s="27">
        <v>62</v>
      </c>
      <c r="R76" s="28" t="s">
        <v>7532</v>
      </c>
      <c r="S76" s="28" t="s">
        <v>7539</v>
      </c>
      <c r="U76" s="25"/>
      <c r="V76" s="220"/>
      <c r="W76" s="27"/>
      <c r="X76" s="28"/>
      <c r="Y76" s="28"/>
      <c r="Z76" s="149"/>
      <c r="AA76" s="392">
        <f>IFERROR(VLOOKUP(Tabla58[[#This Row],[Cod trabalhador]],Alojamentos!B:P,11,FALSE),"")</f>
        <v>300</v>
      </c>
      <c r="AB76" s="127"/>
      <c r="AC76" s="150"/>
      <c r="AD76" s="35">
        <f>Tabla58[[#This Row],[Dias de alta]]*7.058</f>
        <v>0</v>
      </c>
      <c r="AE76" s="41" t="str">
        <f>IFERROR(VLOOKUP(Tabla58[[#This Row],[Cod trabalhador]],Adiantamentos!B:L,7,FALSE),"")</f>
        <v/>
      </c>
      <c r="AF76" s="41" t="str">
        <f>IFERROR(VLOOKUP(Tabla58[[#This Row],[Cod trabalhador]],Carro!B:D,3,FALSE),"")</f>
        <v/>
      </c>
      <c r="AG76" s="41" t="str">
        <f>IFERROR(VLOOKUP(Tabla58[[#This Row],[Cod trabalhador]],'Outros descontos'!B:O,7,FALSE),"")</f>
        <v/>
      </c>
      <c r="AH76" s="41" t="str">
        <f>IFERROR(VLOOKUP(Tabla58[[#This Row],[Cod trabalhador]],'Outros descontos'!B:M,8,FALSE),"")</f>
        <v/>
      </c>
      <c r="AI76" s="41" t="str">
        <f>IFERROR(VLOOKUP(Tabla58[[#This Row],[Cod trabalhador]],'Outros descontos'!B:M,9,FALSE),"")</f>
        <v/>
      </c>
      <c r="AJ76" s="41" t="str">
        <f>IFERROR(VLOOKUP(Tabla58[[#This Row],[Cod trabalhador]],'Outros descontos'!B:M,10,FALSE),"")</f>
        <v/>
      </c>
      <c r="AK76" s="41" t="str">
        <f>IFERROR(VLOOKUP(Tabla58[[#This Row],[Cod trabalhador]],'Outros descontos'!B:M,11,FALSE),"")</f>
        <v/>
      </c>
      <c r="AL76" s="41" t="str">
        <f>IFERROR(VLOOKUP(Tabla58[[#This Row],[Cod trabalhador]],'Outros descontos'!B:R,12,FALSE),"")</f>
        <v/>
      </c>
      <c r="AM76" s="46" t="str">
        <f>IFERROR(VLOOKUP(Tabla58[[#This Row],[Cod trabalhador]],'Outros descontos'!B:M,13,FALSE),"")</f>
        <v/>
      </c>
      <c r="AN76" s="41"/>
      <c r="AO76" s="37">
        <v>4.08</v>
      </c>
      <c r="AP76" s="15"/>
      <c r="AQ76"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1225.92</v>
      </c>
      <c r="AR76"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1225.92</v>
      </c>
      <c r="AS76" s="15"/>
      <c r="AT76" s="27" t="str">
        <f>IF(Tabla58[[#This Row],[Cod trabalhador]]="", "", INDEX(Iban!C:C, MATCH(Tabla58[[#This Row],[Cod trabalhador]],Iban!A:A, 0)))</f>
        <v>ES48 6893 0001 7400 0026 4769</v>
      </c>
      <c r="AU76" s="27"/>
      <c r="AV76" s="27"/>
      <c r="AW76" s="66"/>
      <c r="AX76" s="296" t="s">
        <v>7472</v>
      </c>
    </row>
    <row r="77" spans="1:50" ht="16.5" hidden="1" customHeight="1" x14ac:dyDescent="0.3">
      <c r="A77" s="43"/>
      <c r="B77" s="39" t="s">
        <v>3120</v>
      </c>
      <c r="C77" s="45" t="str">
        <f>IF(ISNUMBER(MATCH(Tabla58[[#This Row],[Cod trabalhador]],'Altas Wiseowe'!B:B, 0)), "Ativo", "Não ativo")</f>
        <v>Não ativo</v>
      </c>
      <c r="D77" s="44" t="str">
        <f>IFERROR(IF(VLOOKUP(Tabla58[[#This Row],[Cod trabalhador]],'Altas Industrial'!B:E,1,0)&lt;&gt;"","KI",""),"")</f>
        <v/>
      </c>
      <c r="E77" s="44" t="str">
        <f>IFERROR(IF(VLOOKUP(Tabla58[[#This Row],[Cod trabalhador]],'Altas Rosas'!B:F,1,0)&lt;&gt;"","KR",""),"")</f>
        <v/>
      </c>
      <c r="F77" s="44" t="str">
        <f>IFERROR(IF(VLOOKUP(Tabla58[[#This Row],[Cod trabalhador]],'Altas Wiseowe'!B:E,1,0)&lt;&gt;"","WS",""),"")</f>
        <v/>
      </c>
      <c r="G77" s="101" t="str">
        <f>IFERROR(IF(VLOOKUP(Tabla58[[#This Row],[Cod trabalhador]],'Altas Luminous'!B:E,1,0)&lt;&gt;"","LM",""),"")</f>
        <v/>
      </c>
      <c r="H77" s="51" t="str">
        <f>IFERROR(VLOOKUP(Tabla58[[#This Row],[Cod trabalhador]],'Altas Wiseowe'!B:E,3,FALSE),"")</f>
        <v/>
      </c>
      <c r="I77" s="51" t="str">
        <f>IF(OR(Tabla58[[#This Row],[Cod trabalhador]]="",ISBLANK(Tabla58[[#This Row],[Cod trabalhador]])),"",IFERROR(IF(VLOOKUP(Tabla58[[#This Row],[Cod trabalhador]],'Altas Wiseowe'!B:E,4,FALSE)=0,"",VLOOKUP(Tabla58[[#This Row],[Cod trabalhador]],'Altas Wiseowe'!B:E,4,FALSE)),""))</f>
        <v/>
      </c>
      <c r="J77" s="44">
        <f t="shared" si="3"/>
        <v>0</v>
      </c>
      <c r="K77" s="376" t="s">
        <v>7299</v>
      </c>
      <c r="L77" s="342" t="str">
        <f>IFERROR(IF(Tabla58[[#This Row],[Cod trabalhador]]="",Tabla58[[#This Row],[Cod trabalhador]], INDEX(Colaborador_ID[Nombre], MATCH(Tabla58[[#This Row],[Cod trabalhador]],Colaborador_ID[Cod_colab], 0))), "")</f>
        <v>JAVIER RODRIGUEZ CONTRERAS</v>
      </c>
      <c r="N77" s="405" t="s">
        <v>7294</v>
      </c>
      <c r="O77" s="26">
        <f>IFERROR(VLOOKUP(Tabla58[[#This Row],[Cod trabalhador]],Tabla15[],4,FALSE),"")</f>
        <v>15</v>
      </c>
      <c r="P77" s="92">
        <f>IFERROR(VLOOKUP(Tabla58[[#This Row],[Cod trabalhador]],'TotalHorasAjustadas (2)'!D:L,8,FALSE),"")</f>
        <v>224</v>
      </c>
      <c r="Q77" s="27">
        <v>224</v>
      </c>
      <c r="R77" s="28" t="s">
        <v>7532</v>
      </c>
      <c r="S77" s="28" t="s">
        <v>7539</v>
      </c>
      <c r="U77" s="25"/>
      <c r="V77" s="220"/>
      <c r="W77" s="27"/>
      <c r="X77" s="28"/>
      <c r="Y77" s="28"/>
      <c r="Z77" s="149"/>
      <c r="AA77" s="392" t="str">
        <f>IFERROR(VLOOKUP(Tabla58[[#This Row],[Cod trabalhador]],Alojamentos!B:P,11,FALSE),"")</f>
        <v/>
      </c>
      <c r="AB77" s="127"/>
      <c r="AC77" s="150"/>
      <c r="AD77" s="35">
        <f>Tabla58[[#This Row],[Dias de alta]]*7.058</f>
        <v>0</v>
      </c>
      <c r="AE77" s="41" t="str">
        <f>IFERROR(VLOOKUP(Tabla58[[#This Row],[Cod trabalhador]],Adiantamentos!B:L,7,FALSE),"")</f>
        <v/>
      </c>
      <c r="AF77" s="41">
        <f>IFERROR(VLOOKUP(Tabla58[[#This Row],[Cod trabalhador]],Carro!B:D,3,FALSE),"")</f>
        <v>140</v>
      </c>
      <c r="AG77" s="41" t="str">
        <f>IFERROR(VLOOKUP(Tabla58[[#This Row],[Cod trabalhador]],'Outros descontos'!B:O,7,FALSE),"")</f>
        <v/>
      </c>
      <c r="AH77" s="41" t="str">
        <f>IFERROR(VLOOKUP(Tabla58[[#This Row],[Cod trabalhador]],'Outros descontos'!B:M,8,FALSE),"")</f>
        <v/>
      </c>
      <c r="AI77" s="41" t="str">
        <f>IFERROR(VLOOKUP(Tabla58[[#This Row],[Cod trabalhador]],'Outros descontos'!B:M,9,FALSE),"")</f>
        <v/>
      </c>
      <c r="AJ77" s="41" t="str">
        <f>IFERROR(VLOOKUP(Tabla58[[#This Row],[Cod trabalhador]],'Outros descontos'!B:M,10,FALSE),"")</f>
        <v/>
      </c>
      <c r="AK77" s="41" t="str">
        <f>IFERROR(VLOOKUP(Tabla58[[#This Row],[Cod trabalhador]],'Outros descontos'!B:M,11,FALSE),"")</f>
        <v/>
      </c>
      <c r="AL77" s="41" t="str">
        <f>IFERROR(VLOOKUP(Tabla58[[#This Row],[Cod trabalhador]],'Outros descontos'!B:R,12,FALSE),"")</f>
        <v/>
      </c>
      <c r="AM77" s="46" t="str">
        <f>IFERROR(VLOOKUP(Tabla58[[#This Row],[Cod trabalhador]],'Outros descontos'!B:M,13,FALSE),"")</f>
        <v/>
      </c>
      <c r="AN77" s="41"/>
      <c r="AO77" s="37">
        <v>4.08</v>
      </c>
      <c r="AP77" s="15"/>
      <c r="AQ77"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3215.92</v>
      </c>
      <c r="AR77"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3215.92</v>
      </c>
      <c r="AS77" s="15"/>
      <c r="AT77" s="27" t="str">
        <f>IF(Tabla58[[#This Row],[Cod trabalhador]]="", "", INDEX(Iban!C:C, MATCH(Tabla58[[#This Row],[Cod trabalhador]],Iban!A:A, 0)))</f>
        <v>ES07 6893 0001 7400 0032 0700</v>
      </c>
      <c r="AU77" s="27"/>
      <c r="AV77" s="27"/>
      <c r="AW77" s="66"/>
      <c r="AX77" s="296" t="s">
        <v>7472</v>
      </c>
    </row>
    <row r="78" spans="1:50" ht="16.5" hidden="1" customHeight="1" x14ac:dyDescent="0.3">
      <c r="A78" s="43"/>
      <c r="B78" s="39" t="s">
        <v>3548</v>
      </c>
      <c r="C78" s="45" t="str">
        <f>IF(ISNUMBER(MATCH(Tabla58[[#This Row],[Cod trabalhador]],'Altas Wiseowe'!B:B, 0)), "Ativo", "Não ativo")</f>
        <v>Não ativo</v>
      </c>
      <c r="D78" s="44" t="str">
        <f>IFERROR(IF(VLOOKUP(Tabla58[[#This Row],[Cod trabalhador]],'Altas Industrial'!B:E,1,0)&lt;&gt;"","KI",""),"")</f>
        <v/>
      </c>
      <c r="E78" s="44" t="str">
        <f>IFERROR(IF(VLOOKUP(Tabla58[[#This Row],[Cod trabalhador]],'Altas Rosas'!B:F,1,0)&lt;&gt;"","KR",""),"")</f>
        <v/>
      </c>
      <c r="F78" s="44" t="str">
        <f>IFERROR(IF(VLOOKUP(Tabla58[[#This Row],[Cod trabalhador]],'Altas Wiseowe'!B:E,1,0)&lt;&gt;"","WS",""),"")</f>
        <v/>
      </c>
      <c r="G78" s="101" t="str">
        <f>IFERROR(IF(VLOOKUP(Tabla58[[#This Row],[Cod trabalhador]],'Altas Luminous'!B:E,1,0)&lt;&gt;"","LM",""),"")</f>
        <v/>
      </c>
      <c r="H78" s="51" t="str">
        <f>IFERROR(VLOOKUP(Tabla58[[#This Row],[Cod trabalhador]],'Altas Wiseowe'!B:E,3,FALSE),"")</f>
        <v/>
      </c>
      <c r="I78" s="51" t="str">
        <f>IF(OR(Tabla58[[#This Row],[Cod trabalhador]]="",ISBLANK(Tabla58[[#This Row],[Cod trabalhador]])),"",IFERROR(IF(VLOOKUP(Tabla58[[#This Row],[Cod trabalhador]],'Altas Wiseowe'!B:E,4,FALSE)=0,"",VLOOKUP(Tabla58[[#This Row],[Cod trabalhador]],'Altas Wiseowe'!B:E,4,FALSE)),""))</f>
        <v/>
      </c>
      <c r="J78" s="44">
        <f t="shared" si="3"/>
        <v>0</v>
      </c>
      <c r="K78" s="376" t="s">
        <v>7300</v>
      </c>
      <c r="L78" s="342" t="str">
        <f>IFERROR(IF(Tabla58[[#This Row],[Cod trabalhador]]="",Tabla58[[#This Row],[Cod trabalhador]], INDEX(Colaborador_ID[Nombre], MATCH(Tabla58[[#This Row],[Cod trabalhador]],Colaborador_ID[Cod_colab], 0))), "")</f>
        <v>JOHAN ANDRES HERRERA RUGE</v>
      </c>
      <c r="N78" s="405" t="s">
        <v>7294</v>
      </c>
      <c r="O78" s="26">
        <f>IFERROR(VLOOKUP(Tabla58[[#This Row],[Cod trabalhador]],Tabla15[],4,FALSE),"")</f>
        <v>15</v>
      </c>
      <c r="P78" s="92">
        <f>IFERROR(VLOOKUP(Tabla58[[#This Row],[Cod trabalhador]],'TotalHorasAjustadas (2)'!D:L,8,FALSE),"")</f>
        <v>207.5</v>
      </c>
      <c r="Q78" s="27">
        <v>207.5</v>
      </c>
      <c r="R78" s="28" t="s">
        <v>7532</v>
      </c>
      <c r="S78" s="28" t="s">
        <v>7539</v>
      </c>
      <c r="U78" s="25"/>
      <c r="V78" s="220"/>
      <c r="W78" s="27"/>
      <c r="X78" s="28"/>
      <c r="Y78" s="28"/>
      <c r="AA78" s="392" t="str">
        <f>IFERROR(VLOOKUP(Tabla58[[#This Row],[Cod trabalhador]],Alojamentos!B:P,11,FALSE),"")</f>
        <v/>
      </c>
      <c r="AB78" s="127"/>
      <c r="AC78" s="15"/>
      <c r="AD78" s="35">
        <f>Tabla58[[#This Row],[Dias de alta]]*7.058</f>
        <v>0</v>
      </c>
      <c r="AE78" s="41" t="str">
        <f>IFERROR(VLOOKUP(Tabla58[[#This Row],[Cod trabalhador]],Adiantamentos!B:L,7,FALSE),"")</f>
        <v/>
      </c>
      <c r="AF78" s="41" t="str">
        <f>IFERROR(VLOOKUP(Tabla58[[#This Row],[Cod trabalhador]],Carro!B:D,3,FALSE),"")</f>
        <v/>
      </c>
      <c r="AG78" s="41" t="str">
        <f>IFERROR(VLOOKUP(Tabla58[[#This Row],[Cod trabalhador]],'Outros descontos'!B:O,7,FALSE),"")</f>
        <v/>
      </c>
      <c r="AH78" s="41" t="str">
        <f>IFERROR(VLOOKUP(Tabla58[[#This Row],[Cod trabalhador]],'Outros descontos'!B:M,8,FALSE),"")</f>
        <v/>
      </c>
      <c r="AI78" s="41" t="str">
        <f>IFERROR(VLOOKUP(Tabla58[[#This Row],[Cod trabalhador]],'Outros descontos'!B:M,9,FALSE),"")</f>
        <v/>
      </c>
      <c r="AJ78" s="41" t="str">
        <f>IFERROR(VLOOKUP(Tabla58[[#This Row],[Cod trabalhador]],'Outros descontos'!B:M,10,FALSE),"")</f>
        <v/>
      </c>
      <c r="AK78" s="41" t="str">
        <f>IFERROR(VLOOKUP(Tabla58[[#This Row],[Cod trabalhador]],'Outros descontos'!B:M,11,FALSE),"")</f>
        <v/>
      </c>
      <c r="AL78" s="41" t="str">
        <f>IFERROR(VLOOKUP(Tabla58[[#This Row],[Cod trabalhador]],'Outros descontos'!B:R,12,FALSE),"")</f>
        <v/>
      </c>
      <c r="AM78" s="46" t="str">
        <f>IFERROR(VLOOKUP(Tabla58[[#This Row],[Cod trabalhador]],'Outros descontos'!B:M,13,FALSE),"")</f>
        <v/>
      </c>
      <c r="AN78" s="41"/>
      <c r="AO78" s="37">
        <v>4.08</v>
      </c>
      <c r="AP78" s="15"/>
      <c r="AQ78"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3108.42</v>
      </c>
      <c r="AR78"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3108.42</v>
      </c>
      <c r="AS78" s="15"/>
      <c r="AT78" s="27" t="str">
        <f>IF(Tabla58[[#This Row],[Cod trabalhador]]="", "", INDEX(Iban!C:C, MATCH(Tabla58[[#This Row],[Cod trabalhador]],Iban!A:A, 0)))</f>
        <v>ES24 0049 5126 5829 1624 9989</v>
      </c>
      <c r="AU78" s="27"/>
      <c r="AV78" s="27"/>
      <c r="AW78" s="66"/>
      <c r="AX78" s="296" t="s">
        <v>7472</v>
      </c>
    </row>
    <row r="79" spans="1:50" ht="16.5" hidden="1" customHeight="1" x14ac:dyDescent="0.3">
      <c r="A79" s="43"/>
      <c r="B79" s="39" t="s">
        <v>5067</v>
      </c>
      <c r="C79" s="45" t="str">
        <f>IF(ISNUMBER(MATCH(Tabla58[[#This Row],[Cod trabalhador]],'Altas Wiseowe'!B:B, 0)), "Ativo", "Não ativo")</f>
        <v>Ativo</v>
      </c>
      <c r="D79" s="44" t="str">
        <f>IFERROR(IF(VLOOKUP(Tabla58[[#This Row],[Cod trabalhador]],'Altas Industrial'!B:E,1,0)&lt;&gt;"","KI",""),"")</f>
        <v/>
      </c>
      <c r="E79" s="44" t="str">
        <f>IFERROR(IF(VLOOKUP(Tabla58[[#This Row],[Cod trabalhador]],'Altas Rosas'!B:F,1,0)&lt;&gt;"","KR",""),"")</f>
        <v/>
      </c>
      <c r="F79" s="44" t="str">
        <f>IFERROR(IF(VLOOKUP(Tabla58[[#This Row],[Cod trabalhador]],'Altas Wiseowe'!B:E,1,0)&lt;&gt;"","WS",""),"")</f>
        <v>WS</v>
      </c>
      <c r="G79" s="101" t="str">
        <f>IFERROR(IF(VLOOKUP(Tabla58[[#This Row],[Cod trabalhador]],'Altas Luminous'!B:E,1,0)&lt;&gt;"","LM",""),"")</f>
        <v/>
      </c>
      <c r="H79" s="51">
        <f>IFERROR(VLOOKUP(Tabla58[[#This Row],[Cod trabalhador]],'Altas Wiseowe'!B:E,3,FALSE),"")</f>
        <v>45952</v>
      </c>
      <c r="I79" s="51" t="str">
        <f>IF(OR(Tabla58[[#This Row],[Cod trabalhador]]="",ISBLANK(Tabla58[[#This Row],[Cod trabalhador]])),"",IFERROR(IF(VLOOKUP(Tabla58[[#This Row],[Cod trabalhador]],'Altas Wiseowe'!B:E,4,FALSE)=0,"",VLOOKUP(Tabla58[[#This Row],[Cod trabalhador]],'Altas Wiseowe'!B:E,4,FALSE)),""))</f>
        <v/>
      </c>
      <c r="J79" s="397">
        <f t="shared" si="3"/>
        <v>31</v>
      </c>
      <c r="K79" s="376"/>
      <c r="L79" s="342" t="str">
        <f>IFERROR(IF(Tabla58[[#This Row],[Cod trabalhador]]="",Tabla58[[#This Row],[Cod trabalhador]], INDEX(Colaborador_ID[Nombre], MATCH(Tabla58[[#This Row],[Cod trabalhador]],Colaborador_ID[Cod_colab], 0))), "")</f>
        <v>MARCO ANTONIO CRISTOBAL CALERO</v>
      </c>
      <c r="M79" s="340"/>
      <c r="N79" s="405" t="s">
        <v>7294</v>
      </c>
      <c r="O79" s="26">
        <f>IFERROR(VLOOKUP(Tabla58[[#This Row],[Cod trabalhador]],Tabla15[],4,FALSE),"")</f>
        <v>15</v>
      </c>
      <c r="P79" s="92" t="str">
        <f>IFERROR(VLOOKUP(Tabla58[[#This Row],[Cod trabalhador]],'TotalHorasAjustadas (2)'!D:L,8,FALSE),"")</f>
        <v/>
      </c>
      <c r="Q79" s="27">
        <v>56</v>
      </c>
      <c r="R79" s="28" t="s">
        <v>7471</v>
      </c>
      <c r="S79" s="28" t="s">
        <v>7539</v>
      </c>
      <c r="U79" s="25"/>
      <c r="V79" s="388"/>
      <c r="W79" s="27"/>
      <c r="X79" s="28"/>
      <c r="Y79" s="28"/>
      <c r="Z79" s="149"/>
      <c r="AA79" s="392" t="str">
        <f>IFERROR(VLOOKUP(Tabla58[[#This Row],[Cod trabalhador]],Alojamentos!B:P,11,FALSE),"")</f>
        <v/>
      </c>
      <c r="AB79" s="127"/>
      <c r="AC79" s="150"/>
      <c r="AD79" s="35">
        <f>Tabla58[[#This Row],[Dias de alta]]*7.058</f>
        <v>218.798</v>
      </c>
      <c r="AE79" s="41" t="str">
        <f>IFERROR(VLOOKUP(Tabla58[[#This Row],[Cod trabalhador]],Adiantamentos!B:L,7,FALSE),"")</f>
        <v/>
      </c>
      <c r="AF79" s="41" t="str">
        <f>IFERROR(VLOOKUP(Tabla58[[#This Row],[Cod trabalhador]],Carro!B:D,3,FALSE),"")</f>
        <v/>
      </c>
      <c r="AG79" s="41" t="str">
        <f>IFERROR(VLOOKUP(Tabla58[[#This Row],[Cod trabalhador]],'Outros descontos'!B:O,7,FALSE),"")</f>
        <v/>
      </c>
      <c r="AH79" s="41" t="str">
        <f>IFERROR(VLOOKUP(Tabla58[[#This Row],[Cod trabalhador]],'Outros descontos'!B:M,8,FALSE),"")</f>
        <v/>
      </c>
      <c r="AI79" s="41" t="str">
        <f>IFERROR(VLOOKUP(Tabla58[[#This Row],[Cod trabalhador]],'Outros descontos'!B:M,9,FALSE),"")</f>
        <v/>
      </c>
      <c r="AJ79" s="41" t="str">
        <f>IFERROR(VLOOKUP(Tabla58[[#This Row],[Cod trabalhador]],'Outros descontos'!B:M,10,FALSE),"")</f>
        <v/>
      </c>
      <c r="AK79" s="41" t="str">
        <f>IFERROR(VLOOKUP(Tabla58[[#This Row],[Cod trabalhador]],'Outros descontos'!B:M,11,FALSE),"")</f>
        <v/>
      </c>
      <c r="AL79" s="41" t="str">
        <f>IFERROR(VLOOKUP(Tabla58[[#This Row],[Cod trabalhador]],'Outros descontos'!B:R,12,FALSE),"")</f>
        <v/>
      </c>
      <c r="AM79" s="46" t="str">
        <f>IFERROR(VLOOKUP(Tabla58[[#This Row],[Cod trabalhador]],'Outros descontos'!B:M,13,FALSE),"")</f>
        <v/>
      </c>
      <c r="AN79" s="41"/>
      <c r="AO79" s="37">
        <v>4.08</v>
      </c>
      <c r="AP79" s="15"/>
      <c r="AQ79" s="395">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-222.87800000000001</v>
      </c>
      <c r="AR79"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617.12199999999996</v>
      </c>
      <c r="AS79" s="396"/>
      <c r="AT79" s="27" t="str">
        <f>IF(Tabla58[[#This Row],[Cod trabalhador]]="", "", INDEX(Iban!C:C, MATCH(Tabla58[[#This Row],[Cod trabalhador]],Iban!A:A, 0)))</f>
        <v>ES40 6893 0001 7900 0027 0294</v>
      </c>
      <c r="AU79" s="27"/>
      <c r="AV79" s="27"/>
      <c r="AW79" s="66"/>
      <c r="AX79" s="296" t="s">
        <v>7472</v>
      </c>
    </row>
    <row r="80" spans="1:50" ht="16.5" customHeight="1" x14ac:dyDescent="0.3">
      <c r="A80" s="43"/>
      <c r="B80" s="39" t="s">
        <v>5270</v>
      </c>
      <c r="C80" s="45" t="str">
        <f>IF(ISNUMBER(MATCH(Tabla58[[#This Row],[Cod trabalhador]],'Altas Wiseowe'!B:B, 0)), "Ativo", "Não ativo")</f>
        <v>Não ativo</v>
      </c>
      <c r="D80" s="44" t="str">
        <f>IFERROR(IF(VLOOKUP(Tabla58[[#This Row],[Cod trabalhador]],'Altas Industrial'!B:E,1,0)&lt;&gt;"","KI",""),"")</f>
        <v/>
      </c>
      <c r="E80" s="44" t="str">
        <f>IFERROR(IF(VLOOKUP(Tabla58[[#This Row],[Cod trabalhador]],'Altas Rosas'!B:F,1,0)&lt;&gt;"","KR",""),"")</f>
        <v/>
      </c>
      <c r="F80" s="44" t="str">
        <f>IFERROR(IF(VLOOKUP(Tabla58[[#This Row],[Cod trabalhador]],'Altas Wiseowe'!B:E,1,0)&lt;&gt;"","WS",""),"")</f>
        <v/>
      </c>
      <c r="G80" s="101" t="str">
        <f>IFERROR(IF(VLOOKUP(Tabla58[[#This Row],[Cod trabalhador]],'Altas Luminous'!B:E,1,0)&lt;&gt;"","LM",""),"")</f>
        <v/>
      </c>
      <c r="H80" s="51" t="str">
        <f>IFERROR(VLOOKUP(Tabla58[[#This Row],[Cod trabalhador]],'Altas Wiseowe'!B:E,3,FALSE),"")</f>
        <v/>
      </c>
      <c r="I80" s="51" t="str">
        <f>IF(OR(Tabla58[[#This Row],[Cod trabalhador]]="",ISBLANK(Tabla58[[#This Row],[Cod trabalhador]])),"",IFERROR(IF(VLOOKUP(Tabla58[[#This Row],[Cod trabalhador]],'Altas Wiseowe'!B:E,4,FALSE)=0,"",VLOOKUP(Tabla58[[#This Row],[Cod trabalhador]],'Altas Wiseowe'!B:E,4,FALSE)),""))</f>
        <v/>
      </c>
      <c r="J80" s="397">
        <f t="shared" si="3"/>
        <v>0</v>
      </c>
      <c r="K80" s="376"/>
      <c r="L80" s="342" t="str">
        <f>IFERROR(IF(Tabla58[[#This Row],[Cod trabalhador]]="",Tabla58[[#This Row],[Cod trabalhador]], INDEX(Colaborador_ID[Nombre], MATCH(Tabla58[[#This Row],[Cod trabalhador]],Colaborador_ID[Cod_colab], 0))), "")</f>
        <v>MIGUEL ANGEL ARCAYA NORIEGA</v>
      </c>
      <c r="M80" s="340"/>
      <c r="N80" s="405" t="s">
        <v>7294</v>
      </c>
      <c r="O80" s="26">
        <f>IFERROR(VLOOKUP(Tabla58[[#This Row],[Cod trabalhador]],Tabla15[],4,FALSE),"")</f>
        <v>15</v>
      </c>
      <c r="P80" s="92" t="str">
        <f>IFERROR(VLOOKUP(Tabla58[[#This Row],[Cod trabalhador]],'TotalHorasAjustadas (2)'!D:L,8,FALSE),"")</f>
        <v/>
      </c>
      <c r="Q80" s="27">
        <v>207.3</v>
      </c>
      <c r="R80" s="28" t="s">
        <v>7471</v>
      </c>
      <c r="S80" s="28" t="s">
        <v>7539</v>
      </c>
      <c r="U80" s="96"/>
      <c r="V80" s="388"/>
      <c r="W80" s="27"/>
      <c r="X80" s="28"/>
      <c r="Y80" s="28"/>
      <c r="Z80" s="149"/>
      <c r="AA80" s="392" t="str">
        <f>IFERROR(VLOOKUP(Tabla58[[#This Row],[Cod trabalhador]],Alojamentos!B:P,11,FALSE),"")</f>
        <v/>
      </c>
      <c r="AB80" s="127"/>
      <c r="AC80" s="150"/>
      <c r="AD80" s="35">
        <f>Tabla58[[#This Row],[Dias de alta]]*7.058</f>
        <v>0</v>
      </c>
      <c r="AE80" s="41" t="str">
        <f>IFERROR(VLOOKUP(Tabla58[[#This Row],[Cod trabalhador]],Adiantamentos!B:L,7,FALSE),"")</f>
        <v/>
      </c>
      <c r="AF80" s="41" t="str">
        <f>IFERROR(VLOOKUP(Tabla58[[#This Row],[Cod trabalhador]],Carro!B:D,3,FALSE),"")</f>
        <v/>
      </c>
      <c r="AG80" s="41" t="str">
        <f>IFERROR(VLOOKUP(Tabla58[[#This Row],[Cod trabalhador]],'Outros descontos'!B:O,7,FALSE),"")</f>
        <v/>
      </c>
      <c r="AH80" s="41" t="str">
        <f>IFERROR(VLOOKUP(Tabla58[[#This Row],[Cod trabalhador]],'Outros descontos'!B:M,8,FALSE),"")</f>
        <v/>
      </c>
      <c r="AI80" s="41" t="str">
        <f>IFERROR(VLOOKUP(Tabla58[[#This Row],[Cod trabalhador]],'Outros descontos'!B:M,9,FALSE),"")</f>
        <v/>
      </c>
      <c r="AJ80" s="41" t="str">
        <f>IFERROR(VLOOKUP(Tabla58[[#This Row],[Cod trabalhador]],'Outros descontos'!B:M,10,FALSE),"")</f>
        <v/>
      </c>
      <c r="AK80" s="41" t="str">
        <f>IFERROR(VLOOKUP(Tabla58[[#This Row],[Cod trabalhador]],'Outros descontos'!B:M,11,FALSE),"")</f>
        <v/>
      </c>
      <c r="AL80" s="41" t="str">
        <f>IFERROR(VLOOKUP(Tabla58[[#This Row],[Cod trabalhador]],'Outros descontos'!B:R,12,FALSE),"")</f>
        <v/>
      </c>
      <c r="AM80" s="46" t="str">
        <f>IFERROR(VLOOKUP(Tabla58[[#This Row],[Cod trabalhador]],'Outros descontos'!B:M,13,FALSE),"")</f>
        <v/>
      </c>
      <c r="AN80" s="41"/>
      <c r="AO80" s="37">
        <v>4.08</v>
      </c>
      <c r="AP80" s="15"/>
      <c r="AQ80" s="395">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-4.08</v>
      </c>
      <c r="AR80"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3105.42</v>
      </c>
      <c r="AS80" s="396"/>
      <c r="AT80" s="27" t="str">
        <f>IF(Tabla58[[#This Row],[Cod trabalhador]]="", "", INDEX(Iban!C:C, MATCH(Tabla58[[#This Row],[Cod trabalhador]],Iban!A:A, 0)))</f>
        <v>ES49 0182 0917 0902 0174 6960</v>
      </c>
      <c r="AU80" s="27"/>
      <c r="AV80" s="97"/>
      <c r="AW80" s="66"/>
      <c r="AX80" s="296" t="s">
        <v>7472</v>
      </c>
    </row>
    <row r="81" spans="1:50" ht="16.5" hidden="1" customHeight="1" x14ac:dyDescent="0.3">
      <c r="A81" s="43"/>
      <c r="B81" s="39" t="s">
        <v>6764</v>
      </c>
      <c r="C81" s="45" t="str">
        <f>IF(ISNUMBER(MATCH(Tabla58[[#This Row],[Cod trabalhador]],'Altas Wiseowe'!B:B, 0)), "Ativo", "Não ativo")</f>
        <v>Não ativo</v>
      </c>
      <c r="D81" s="44" t="str">
        <f>IFERROR(IF(VLOOKUP(Tabla58[[#This Row],[Cod trabalhador]],'Altas Industrial'!B:E,1,0)&lt;&gt;"","KI",""),"")</f>
        <v/>
      </c>
      <c r="E81" s="44" t="str">
        <f>IFERROR(IF(VLOOKUP(Tabla58[[#This Row],[Cod trabalhador]],'Altas Rosas'!B:F,1,0)&lt;&gt;"","KR",""),"")</f>
        <v/>
      </c>
      <c r="F81" s="44" t="str">
        <f>IFERROR(IF(VLOOKUP(Tabla58[[#This Row],[Cod trabalhador]],'Altas Wiseowe'!B:E,1,0)&lt;&gt;"","WS",""),"")</f>
        <v/>
      </c>
      <c r="G81" s="101" t="str">
        <f>IFERROR(IF(VLOOKUP(Tabla58[[#This Row],[Cod trabalhador]],'Altas Luminous'!B:E,1,0)&lt;&gt;"","LM",""),"")</f>
        <v/>
      </c>
      <c r="H81" s="51" t="str">
        <f>IFERROR(VLOOKUP(Tabla58[[#This Row],[Cod trabalhador]],'Altas Wiseowe'!B:E,3,FALSE),"")</f>
        <v/>
      </c>
      <c r="I81" s="51" t="str">
        <f>IF(OR(Tabla58[[#This Row],[Cod trabalhador]]="",ISBLANK(Tabla58[[#This Row],[Cod trabalhador]])),"",IFERROR(IF(VLOOKUP(Tabla58[[#This Row],[Cod trabalhador]],'Altas Wiseowe'!B:E,4,FALSE)=0,"",VLOOKUP(Tabla58[[#This Row],[Cod trabalhador]],'Altas Wiseowe'!B:E,4,FALSE)),""))</f>
        <v/>
      </c>
      <c r="J81" s="44">
        <f t="shared" si="3"/>
        <v>0</v>
      </c>
      <c r="K81" s="376" t="s">
        <v>6765</v>
      </c>
      <c r="L81" s="342" t="str">
        <f>IFERROR(IF(Tabla58[[#This Row],[Cod trabalhador]]="",Tabla58[[#This Row],[Cod trabalhador]], INDEX(Colaborador_ID[Nombre], MATCH(Tabla58[[#This Row],[Cod trabalhador]],Colaborador_ID[Cod_colab], 0))), "")</f>
        <v>WILSON FLORES ROMERO</v>
      </c>
      <c r="N81" s="405" t="s">
        <v>7294</v>
      </c>
      <c r="O81" s="26">
        <f>IFERROR(VLOOKUP(Tabla58[[#This Row],[Cod trabalhador]],Tabla15[],4,FALSE),"")</f>
        <v>15</v>
      </c>
      <c r="P81" s="92">
        <f>IFERROR(VLOOKUP(Tabla58[[#This Row],[Cod trabalhador]],'TotalHorasAjustadas (2)'!D:L,8,FALSE),"")</f>
        <v>8</v>
      </c>
      <c r="Q81" s="27">
        <v>8</v>
      </c>
      <c r="R81" s="28" t="s">
        <v>7532</v>
      </c>
      <c r="S81" s="28" t="s">
        <v>7539</v>
      </c>
      <c r="U81" s="25"/>
      <c r="V81" s="220"/>
      <c r="W81" s="27"/>
      <c r="X81" s="28"/>
      <c r="Y81" s="28"/>
      <c r="Z81" s="149"/>
      <c r="AA81" s="392" t="str">
        <f>IFERROR(VLOOKUP(Tabla58[[#This Row],[Cod trabalhador]],Alojamentos!B:P,11,FALSE),"")</f>
        <v/>
      </c>
      <c r="AB81" s="127"/>
      <c r="AC81" s="150"/>
      <c r="AD81" s="35">
        <f>Tabla58[[#This Row],[Dias de alta]]*7.058</f>
        <v>0</v>
      </c>
      <c r="AE81" s="41" t="str">
        <f>IFERROR(VLOOKUP(Tabla58[[#This Row],[Cod trabalhador]],Adiantamentos!B:L,7,FALSE),"")</f>
        <v/>
      </c>
      <c r="AF81" s="41" t="str">
        <f>IFERROR(VLOOKUP(Tabla58[[#This Row],[Cod trabalhador]],Carro!B:D,3,FALSE),"")</f>
        <v/>
      </c>
      <c r="AG81" s="41" t="str">
        <f>IFERROR(VLOOKUP(Tabla58[[#This Row],[Cod trabalhador]],'Outros descontos'!B:O,7,FALSE),"")</f>
        <v/>
      </c>
      <c r="AH81" s="41" t="str">
        <f>IFERROR(VLOOKUP(Tabla58[[#This Row],[Cod trabalhador]],'Outros descontos'!B:M,8,FALSE),"")</f>
        <v/>
      </c>
      <c r="AI81" s="41" t="str">
        <f>IFERROR(VLOOKUP(Tabla58[[#This Row],[Cod trabalhador]],'Outros descontos'!B:M,9,FALSE),"")</f>
        <v/>
      </c>
      <c r="AJ81" s="41" t="str">
        <f>IFERROR(VLOOKUP(Tabla58[[#This Row],[Cod trabalhador]],'Outros descontos'!B:M,10,FALSE),"")</f>
        <v/>
      </c>
      <c r="AK81" s="41" t="str">
        <f>IFERROR(VLOOKUP(Tabla58[[#This Row],[Cod trabalhador]],'Outros descontos'!B:M,11,FALSE),"")</f>
        <v/>
      </c>
      <c r="AL81" s="41" t="str">
        <f>IFERROR(VLOOKUP(Tabla58[[#This Row],[Cod trabalhador]],'Outros descontos'!B:R,12,FALSE),"")</f>
        <v/>
      </c>
      <c r="AM81" s="46" t="str">
        <f>IFERROR(VLOOKUP(Tabla58[[#This Row],[Cod trabalhador]],'Outros descontos'!B:M,13,FALSE),"")</f>
        <v/>
      </c>
      <c r="AN81" s="41"/>
      <c r="AO81" s="37">
        <v>4.08</v>
      </c>
      <c r="AP81" s="15"/>
      <c r="AQ81"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115.92</v>
      </c>
      <c r="AR81"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115.92</v>
      </c>
      <c r="AS81" s="15"/>
      <c r="AT81" s="27" t="str">
        <f>IF(Tabla58[[#This Row],[Cod trabalhador]]="", "", INDEX(Iban!C:C, MATCH(Tabla58[[#This Row],[Cod trabalhador]],Iban!A:A, 0)))</f>
        <v>ES36 0049 4835 1921 1639 1915</v>
      </c>
      <c r="AU81" s="27"/>
      <c r="AV81" s="27"/>
      <c r="AW81" s="66"/>
      <c r="AX81" s="296" t="s">
        <v>7472</v>
      </c>
    </row>
    <row r="82" spans="1:50" ht="16.5" hidden="1" customHeight="1" x14ac:dyDescent="0.3">
      <c r="A82" s="43"/>
      <c r="B82" s="39" t="s">
        <v>480</v>
      </c>
      <c r="C82" s="45" t="str">
        <f>IF(ISNUMBER(MATCH(Tabla58[[#This Row],[Cod trabalhador]],'Altas Wiseowe'!B:B, 0)), "Ativo", "Não ativo")</f>
        <v>Não ativo</v>
      </c>
      <c r="D82" s="44" t="str">
        <f>IFERROR(IF(VLOOKUP(Tabla58[[#This Row],[Cod trabalhador]],'Altas Industrial'!B:E,1,0)&lt;&gt;"","KI",""),"")</f>
        <v/>
      </c>
      <c r="E82" s="44" t="str">
        <f>IFERROR(IF(VLOOKUP(Tabla58[[#This Row],[Cod trabalhador]],'Altas Rosas'!B:F,1,0)&lt;&gt;"","KR",""),"")</f>
        <v/>
      </c>
      <c r="F82" s="44" t="str">
        <f>IFERROR(IF(VLOOKUP(Tabla58[[#This Row],[Cod trabalhador]],'Altas Wiseowe'!B:E,1,0)&lt;&gt;"","WS",""),"")</f>
        <v/>
      </c>
      <c r="G82" s="101" t="str">
        <f>IFERROR(IF(VLOOKUP(Tabla58[[#This Row],[Cod trabalhador]],'Altas Luminous'!B:E,1,0)&lt;&gt;"","LM",""),"")</f>
        <v/>
      </c>
      <c r="H82" s="51" t="str">
        <f>IFERROR(VLOOKUP(Tabla58[[#This Row],[Cod trabalhador]],'Altas Wiseowe'!B:E,3,FALSE),"")</f>
        <v/>
      </c>
      <c r="I82" s="51" t="str">
        <f>IF(OR(Tabla58[[#This Row],[Cod trabalhador]]="",ISBLANK(Tabla58[[#This Row],[Cod trabalhador]])),"",IFERROR(IF(VLOOKUP(Tabla58[[#This Row],[Cod trabalhador]],'Altas Wiseowe'!B:E,4,FALSE)=0,"",VLOOKUP(Tabla58[[#This Row],[Cod trabalhador]],'Altas Wiseowe'!B:E,4,FALSE)),""))</f>
        <v/>
      </c>
      <c r="J82" s="44">
        <f t="shared" si="2"/>
        <v>0</v>
      </c>
      <c r="K82" s="376" t="s">
        <v>481</v>
      </c>
      <c r="L82" s="342" t="str">
        <f>IFERROR(IF(Tabla58[[#This Row],[Cod trabalhador]]="",Tabla58[[#This Row],[Cod trabalhador]], INDEX(Colaborador_ID[Nombre], MATCH(Tabla58[[#This Row],[Cod trabalhador]],Colaborador_ID[Cod_colab], 0))), "")</f>
        <v>ANUAR JIMENEZ DELGADO</v>
      </c>
      <c r="N82" s="405" t="s">
        <v>7301</v>
      </c>
      <c r="O82" s="26">
        <f>IFERROR(VLOOKUP(Tabla58[[#This Row],[Cod trabalhador]],Tabla15[],4,FALSE),"")</f>
        <v>15</v>
      </c>
      <c r="P82" s="92">
        <f>IFERROR(VLOOKUP(Tabla58[[#This Row],[Cod trabalhador]],'TotalHorasAjustadas (2)'!D:L,8,FALSE),"")</f>
        <v>178</v>
      </c>
      <c r="Q82" s="27">
        <v>178</v>
      </c>
      <c r="R82" s="28" t="s">
        <v>7471</v>
      </c>
      <c r="S82" s="28" t="s">
        <v>7539</v>
      </c>
      <c r="U82" s="25"/>
      <c r="V82" s="220"/>
      <c r="W82" s="27"/>
      <c r="X82" s="28"/>
      <c r="Y82" s="28"/>
      <c r="Z82" s="149"/>
      <c r="AA82" s="392" t="str">
        <f>IFERROR(VLOOKUP(Tabla58[[#This Row],[Cod trabalhador]],Alojamentos!B:P,11,FALSE),"")</f>
        <v/>
      </c>
      <c r="AB82" s="127"/>
      <c r="AC82" s="150"/>
      <c r="AD82" s="35">
        <f>Tabla58[[#This Row],[Dias de alta]]*7.058</f>
        <v>0</v>
      </c>
      <c r="AE82" s="46" t="str">
        <f>IFERROR(VLOOKUP(Tabla58[[#This Row],[Cod trabalhador]],Adiantamentos!B:L,7,FALSE),"")</f>
        <v/>
      </c>
      <c r="AF82" s="46" t="str">
        <f>IFERROR(VLOOKUP(Tabla58[[#This Row],[Cod trabalhador]],Carro!B:D,3,FALSE),"")</f>
        <v/>
      </c>
      <c r="AG82" s="46" t="str">
        <f>IFERROR(VLOOKUP(Tabla58[[#This Row],[Cod trabalhador]],'Outros descontos'!B:O,7,FALSE),"")</f>
        <v/>
      </c>
      <c r="AH82" s="46" t="str">
        <f>IFERROR(VLOOKUP(Tabla58[[#This Row],[Cod trabalhador]],'Outros descontos'!B:M,8,FALSE),"")</f>
        <v/>
      </c>
      <c r="AI82" s="46" t="str">
        <f>IFERROR(VLOOKUP(Tabla58[[#This Row],[Cod trabalhador]],'Outros descontos'!B:M,9,FALSE),"")</f>
        <v/>
      </c>
      <c r="AJ82" s="46" t="str">
        <f>IFERROR(VLOOKUP(Tabla58[[#This Row],[Cod trabalhador]],'Outros descontos'!B:M,10,FALSE),"")</f>
        <v/>
      </c>
      <c r="AK82" s="46" t="str">
        <f>IFERROR(VLOOKUP(Tabla58[[#This Row],[Cod trabalhador]],'Outros descontos'!B:M,11,FALSE),"")</f>
        <v/>
      </c>
      <c r="AL82" s="46" t="str">
        <f>IFERROR(VLOOKUP(Tabla58[[#This Row],[Cod trabalhador]],'Outros descontos'!B:R,12,FALSE),"")</f>
        <v/>
      </c>
      <c r="AM82" s="46" t="str">
        <f>IFERROR(VLOOKUP(Tabla58[[#This Row],[Cod trabalhador]],'Outros descontos'!B:M,13,FALSE),"")</f>
        <v/>
      </c>
      <c r="AN82" s="41"/>
      <c r="AO82" s="37">
        <v>4.08</v>
      </c>
      <c r="AP82" s="15"/>
      <c r="AQ82"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2665.92</v>
      </c>
      <c r="AR82"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2665.92</v>
      </c>
      <c r="AS82" s="15"/>
      <c r="AT82" s="27" t="str">
        <f>IF(Tabla58[[#This Row],[Cod trabalhador]]="", "", INDEX(Iban!C:C, MATCH(Tabla58[[#This Row],[Cod trabalhador]],Iban!A:A, 0)))</f>
        <v>ES22 0182 0394 3002 0176 6941</v>
      </c>
      <c r="AU82" s="27"/>
      <c r="AV82" s="27"/>
      <c r="AW82" s="66" t="s">
        <v>7533</v>
      </c>
      <c r="AX82" s="296" t="s">
        <v>7472</v>
      </c>
    </row>
    <row r="83" spans="1:50" ht="16.5" hidden="1" customHeight="1" x14ac:dyDescent="0.3">
      <c r="A83" s="43"/>
      <c r="B83" s="39" t="s">
        <v>3832</v>
      </c>
      <c r="C83" s="45" t="str">
        <f>IF(ISNUMBER(MATCH(Tabla58[[#This Row],[Cod trabalhador]],'Altas Wiseowe'!B:B, 0)), "Ativo", "Não ativo")</f>
        <v>Não ativo</v>
      </c>
      <c r="D83" s="44" t="str">
        <f>IFERROR(IF(VLOOKUP(Tabla58[[#This Row],[Cod trabalhador]],'Altas Industrial'!B:E,1,0)&lt;&gt;"","KI",""),"")</f>
        <v/>
      </c>
      <c r="E83" s="44" t="str">
        <f>IFERROR(IF(VLOOKUP(Tabla58[[#This Row],[Cod trabalhador]],'Altas Rosas'!B:F,1,0)&lt;&gt;"","KR",""),"")</f>
        <v/>
      </c>
      <c r="F83" s="44" t="str">
        <f>IFERROR(IF(VLOOKUP(Tabla58[[#This Row],[Cod trabalhador]],'Altas Wiseowe'!B:E,1,0)&lt;&gt;"","WS",""),"")</f>
        <v/>
      </c>
      <c r="G83" s="101" t="str">
        <f>IFERROR(IF(VLOOKUP(Tabla58[[#This Row],[Cod trabalhador]],'Altas Luminous'!B:E,1,0)&lt;&gt;"","LM",""),"")</f>
        <v/>
      </c>
      <c r="H83" s="51" t="str">
        <f>IFERROR(VLOOKUP(Tabla58[[#This Row],[Cod trabalhador]],'Altas Wiseowe'!B:E,3,FALSE),"")</f>
        <v/>
      </c>
      <c r="I83" s="51" t="str">
        <f>IF(OR(Tabla58[[#This Row],[Cod trabalhador]]="",ISBLANK(Tabla58[[#This Row],[Cod trabalhador]])),"",IFERROR(IF(VLOOKUP(Tabla58[[#This Row],[Cod trabalhador]],'Altas Wiseowe'!B:E,4,FALSE)=0,"",VLOOKUP(Tabla58[[#This Row],[Cod trabalhador]],'Altas Wiseowe'!B:E,4,FALSE)),""))</f>
        <v/>
      </c>
      <c r="J83" s="44">
        <f t="shared" si="2"/>
        <v>0</v>
      </c>
      <c r="K83" s="376" t="s">
        <v>7303</v>
      </c>
      <c r="L83" s="342" t="str">
        <f>IFERROR(IF(Tabla58[[#This Row],[Cod trabalhador]]="",Tabla58[[#This Row],[Cod trabalhador]], INDEX(Colaborador_ID[Nombre], MATCH(Tabla58[[#This Row],[Cod trabalhador]],Colaborador_ID[Cod_colab], 0))), "")</f>
        <v>JORGE LUIS JIMENEZ BISCUMICHE</v>
      </c>
      <c r="N83" s="405" t="s">
        <v>7302</v>
      </c>
      <c r="O83" s="26">
        <f>IFERROR(VLOOKUP(Tabla58[[#This Row],[Cod trabalhador]],Tabla15[],4,FALSE),"")</f>
        <v>15</v>
      </c>
      <c r="P83" s="92">
        <f>IFERROR(VLOOKUP(Tabla58[[#This Row],[Cod trabalhador]],'TotalHorasAjustadas (2)'!D:L,8,FALSE),"")</f>
        <v>144</v>
      </c>
      <c r="Q83" s="27">
        <v>144</v>
      </c>
      <c r="R83" s="28" t="s">
        <v>7532</v>
      </c>
      <c r="S83" s="28" t="s">
        <v>7539</v>
      </c>
      <c r="U83" s="25"/>
      <c r="V83" s="220"/>
      <c r="W83" s="27"/>
      <c r="X83" s="28"/>
      <c r="Y83" s="28"/>
      <c r="Z83" s="149"/>
      <c r="AA83" s="392" t="str">
        <f>IFERROR(VLOOKUP(Tabla58[[#This Row],[Cod trabalhador]],Alojamentos!B:P,11,FALSE),"")</f>
        <v/>
      </c>
      <c r="AB83" s="127"/>
      <c r="AC83" s="150"/>
      <c r="AD83" s="35">
        <f>Tabla58[[#This Row],[Dias de alta]]*7.058</f>
        <v>0</v>
      </c>
      <c r="AE83" s="46" t="str">
        <f>IFERROR(VLOOKUP(Tabla58[[#This Row],[Cod trabalhador]],Adiantamentos!B:L,7,FALSE),"")</f>
        <v/>
      </c>
      <c r="AF83" s="46" t="str">
        <f>IFERROR(VLOOKUP(Tabla58[[#This Row],[Cod trabalhador]],Carro!B:D,3,FALSE),"")</f>
        <v/>
      </c>
      <c r="AG83" s="46" t="str">
        <f>IFERROR(VLOOKUP(Tabla58[[#This Row],[Cod trabalhador]],'Outros descontos'!B:O,7,FALSE),"")</f>
        <v/>
      </c>
      <c r="AH83" s="46" t="str">
        <f>IFERROR(VLOOKUP(Tabla58[[#This Row],[Cod trabalhador]],'Outros descontos'!B:M,8,FALSE),"")</f>
        <v/>
      </c>
      <c r="AI83" s="46" t="str">
        <f>IFERROR(VLOOKUP(Tabla58[[#This Row],[Cod trabalhador]],'Outros descontos'!B:M,9,FALSE),"")</f>
        <v/>
      </c>
      <c r="AJ83" s="46" t="str">
        <f>IFERROR(VLOOKUP(Tabla58[[#This Row],[Cod trabalhador]],'Outros descontos'!B:M,10,FALSE),"")</f>
        <v/>
      </c>
      <c r="AK83" s="46" t="str">
        <f>IFERROR(VLOOKUP(Tabla58[[#This Row],[Cod trabalhador]],'Outros descontos'!B:M,11,FALSE),"")</f>
        <v/>
      </c>
      <c r="AL83" s="46" t="str">
        <f>IFERROR(VLOOKUP(Tabla58[[#This Row],[Cod trabalhador]],'Outros descontos'!B:R,12,FALSE),"")</f>
        <v/>
      </c>
      <c r="AM83" s="46" t="str">
        <f>IFERROR(VLOOKUP(Tabla58[[#This Row],[Cod trabalhador]],'Outros descontos'!B:M,13,FALSE),"")</f>
        <v/>
      </c>
      <c r="AN83" s="41"/>
      <c r="AO83" s="37">
        <v>4.08</v>
      </c>
      <c r="AP83" s="15"/>
      <c r="AQ83"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2155.92</v>
      </c>
      <c r="AR83"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2155.92</v>
      </c>
      <c r="AS83" s="15"/>
      <c r="AT83" s="27" t="str">
        <f>IF(Tabla58[[#This Row],[Cod trabalhador]]="", "", INDEX(Iban!C:C, MATCH(Tabla58[[#This Row],[Cod trabalhador]],Iban!A:A, 0)))</f>
        <v>ES66 0182 3275 5602 0165 2544</v>
      </c>
      <c r="AU83" s="27"/>
      <c r="AV83" s="27"/>
      <c r="AW83" s="66" t="s">
        <v>7533</v>
      </c>
      <c r="AX83" s="296" t="s">
        <v>7472</v>
      </c>
    </row>
    <row r="84" spans="1:50" ht="16.5" hidden="1" customHeight="1" x14ac:dyDescent="0.3">
      <c r="A84" s="43"/>
      <c r="B84" s="39" t="s">
        <v>520</v>
      </c>
      <c r="C84" s="45" t="str">
        <f>IF(ISNUMBER(MATCH(Tabla58[[#This Row],[Cod trabalhador]],'Altas Wiseowe'!B:B, 0)), "Ativo", "Não ativo")</f>
        <v>Não ativo</v>
      </c>
      <c r="D84" s="44" t="str">
        <f>IFERROR(IF(VLOOKUP(Tabla58[[#This Row],[Cod trabalhador]],'Altas Industrial'!B:E,1,0)&lt;&gt;"","KI",""),"")</f>
        <v/>
      </c>
      <c r="E84" s="44" t="str">
        <f>IFERROR(IF(VLOOKUP(Tabla58[[#This Row],[Cod trabalhador]],'Altas Rosas'!B:F,1,0)&lt;&gt;"","KR",""),"")</f>
        <v/>
      </c>
      <c r="F84" s="44" t="str">
        <f>IFERROR(IF(VLOOKUP(Tabla58[[#This Row],[Cod trabalhador]],'Altas Wiseowe'!B:E,1,0)&lt;&gt;"","WS",""),"")</f>
        <v/>
      </c>
      <c r="G84" s="101" t="str">
        <f>IFERROR(IF(VLOOKUP(Tabla58[[#This Row],[Cod trabalhador]],'Altas Luminous'!B:E,1,0)&lt;&gt;"","LM",""),"")</f>
        <v/>
      </c>
      <c r="H84" s="51" t="str">
        <f>IFERROR(VLOOKUP(Tabla58[[#This Row],[Cod trabalhador]],'Altas Wiseowe'!B:E,3,FALSE),"")</f>
        <v/>
      </c>
      <c r="I84" s="51" t="str">
        <f>IF(OR(Tabla58[[#This Row],[Cod trabalhador]]="",ISBLANK(Tabla58[[#This Row],[Cod trabalhador]])),"",IFERROR(IF(VLOOKUP(Tabla58[[#This Row],[Cod trabalhador]],'Altas Wiseowe'!B:E,4,FALSE)=0,"",VLOOKUP(Tabla58[[#This Row],[Cod trabalhador]],'Altas Wiseowe'!B:E,4,FALSE)),""))</f>
        <v/>
      </c>
      <c r="J84" s="44">
        <f t="shared" si="2"/>
        <v>0</v>
      </c>
      <c r="K84" s="376" t="s">
        <v>521</v>
      </c>
      <c r="L84" s="342" t="str">
        <f>IFERROR(IF(Tabla58[[#This Row],[Cod trabalhador]]="",Tabla58[[#This Row],[Cod trabalhador]], INDEX(Colaborador_ID[Nombre], MATCH(Tabla58[[#This Row],[Cod trabalhador]],Colaborador_ID[Cod_colab], 0))), "")</f>
        <v>ARMANDO QUIROGA JOVEN</v>
      </c>
      <c r="N84" s="405" t="s">
        <v>7304</v>
      </c>
      <c r="O84" s="26">
        <f>IFERROR(VLOOKUP(Tabla58[[#This Row],[Cod trabalhador]],Tabla15[],4,FALSE),"")</f>
        <v>15</v>
      </c>
      <c r="P84" s="92">
        <f>IFERROR(VLOOKUP(Tabla58[[#This Row],[Cod trabalhador]],'TotalHorasAjustadas (2)'!D:L,8,FALSE),"")</f>
        <v>207.5</v>
      </c>
      <c r="Q84" s="27">
        <v>207.5</v>
      </c>
      <c r="R84" s="28" t="s">
        <v>7532</v>
      </c>
      <c r="S84" s="28" t="s">
        <v>7539</v>
      </c>
      <c r="U84" s="25"/>
      <c r="V84" s="220"/>
      <c r="W84" s="27"/>
      <c r="X84" s="28"/>
      <c r="Y84" s="28"/>
      <c r="Z84" s="149"/>
      <c r="AA84" s="392" t="str">
        <f>IFERROR(VLOOKUP(Tabla58[[#This Row],[Cod trabalhador]],Alojamentos!B:P,11,FALSE),"")</f>
        <v/>
      </c>
      <c r="AB84" s="127"/>
      <c r="AC84" s="150"/>
      <c r="AD84" s="35">
        <f>Tabla58[[#This Row],[Dias de alta]]*7.058</f>
        <v>0</v>
      </c>
      <c r="AE84" s="46" t="str">
        <f>IFERROR(VLOOKUP(Tabla58[[#This Row],[Cod trabalhador]],Adiantamentos!B:L,7,FALSE),"")</f>
        <v/>
      </c>
      <c r="AF84" s="46" t="str">
        <f>IFERROR(VLOOKUP(Tabla58[[#This Row],[Cod trabalhador]],Carro!B:D,3,FALSE),"")</f>
        <v/>
      </c>
      <c r="AG84" s="46" t="str">
        <f>IFERROR(VLOOKUP(Tabla58[[#This Row],[Cod trabalhador]],'Outros descontos'!B:O,7,FALSE),"")</f>
        <v/>
      </c>
      <c r="AH84" s="46" t="str">
        <f>IFERROR(VLOOKUP(Tabla58[[#This Row],[Cod trabalhador]],'Outros descontos'!B:M,8,FALSE),"")</f>
        <v/>
      </c>
      <c r="AI84" s="46" t="str">
        <f>IFERROR(VLOOKUP(Tabla58[[#This Row],[Cod trabalhador]],'Outros descontos'!B:M,9,FALSE),"")</f>
        <v/>
      </c>
      <c r="AJ84" s="46" t="str">
        <f>IFERROR(VLOOKUP(Tabla58[[#This Row],[Cod trabalhador]],'Outros descontos'!B:M,10,FALSE),"")</f>
        <v/>
      </c>
      <c r="AK84" s="46" t="str">
        <f>IFERROR(VLOOKUP(Tabla58[[#This Row],[Cod trabalhador]],'Outros descontos'!B:M,11,FALSE),"")</f>
        <v/>
      </c>
      <c r="AL84" s="46" t="str">
        <f>IFERROR(VLOOKUP(Tabla58[[#This Row],[Cod trabalhador]],'Outros descontos'!B:R,12,FALSE),"")</f>
        <v/>
      </c>
      <c r="AM84" s="46" t="str">
        <f>IFERROR(VLOOKUP(Tabla58[[#This Row],[Cod trabalhador]],'Outros descontos'!B:M,13,FALSE),"")</f>
        <v/>
      </c>
      <c r="AN84" s="41"/>
      <c r="AO84" s="37">
        <v>4.08</v>
      </c>
      <c r="AP84" s="15"/>
      <c r="AQ84"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3108.42</v>
      </c>
      <c r="AR84"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3108.42</v>
      </c>
      <c r="AS84" s="15"/>
      <c r="AT84" s="27" t="str">
        <f>IF(Tabla58[[#This Row],[Cod trabalhador]]="", "", INDEX(Iban!C:C, MATCH(Tabla58[[#This Row],[Cod trabalhador]],Iban!A:A, 0)))</f>
        <v>ES18 0182 0345 1302 0185 9245</v>
      </c>
      <c r="AU84" s="27"/>
      <c r="AV84" s="27"/>
      <c r="AW84" s="66" t="s">
        <v>7533</v>
      </c>
      <c r="AX84" s="296" t="s">
        <v>7472</v>
      </c>
    </row>
    <row r="85" spans="1:50" ht="16.5" hidden="1" customHeight="1" x14ac:dyDescent="0.3">
      <c r="A85" s="43"/>
      <c r="B85" s="39" t="s">
        <v>721</v>
      </c>
      <c r="C85" s="45" t="str">
        <f>IF(ISNUMBER(MATCH(Tabla58[[#This Row],[Cod trabalhador]],'Altas Wiseowe'!B:B, 0)), "Ativo", "Não ativo")</f>
        <v>Não ativo</v>
      </c>
      <c r="D85" s="44" t="str">
        <f>IFERROR(IF(VLOOKUP(Tabla58[[#This Row],[Cod trabalhador]],'Altas Industrial'!B:E,1,0)&lt;&gt;"","KI",""),"")</f>
        <v/>
      </c>
      <c r="E85" s="44" t="str">
        <f>IFERROR(IF(VLOOKUP(Tabla58[[#This Row],[Cod trabalhador]],'Altas Rosas'!B:F,1,0)&lt;&gt;"","KR",""),"")</f>
        <v/>
      </c>
      <c r="F85" s="44" t="str">
        <f>IFERROR(IF(VLOOKUP(Tabla58[[#This Row],[Cod trabalhador]],'Altas Wiseowe'!B:E,1,0)&lt;&gt;"","WS",""),"")</f>
        <v/>
      </c>
      <c r="G85" s="101" t="str">
        <f>IFERROR(IF(VLOOKUP(Tabla58[[#This Row],[Cod trabalhador]],'Altas Luminous'!B:E,1,0)&lt;&gt;"","LM",""),"")</f>
        <v/>
      </c>
      <c r="H85" s="51" t="str">
        <f>IFERROR(VLOOKUP(Tabla58[[#This Row],[Cod trabalhador]],'Altas Wiseowe'!B:E,3,FALSE),"")</f>
        <v/>
      </c>
      <c r="I85" s="51" t="str">
        <f>IF(OR(Tabla58[[#This Row],[Cod trabalhador]]="",ISBLANK(Tabla58[[#This Row],[Cod trabalhador]])),"",IFERROR(IF(VLOOKUP(Tabla58[[#This Row],[Cod trabalhador]],'Altas Wiseowe'!B:E,4,FALSE)=0,"",VLOOKUP(Tabla58[[#This Row],[Cod trabalhador]],'Altas Wiseowe'!B:E,4,FALSE)),""))</f>
        <v/>
      </c>
      <c r="J85" s="44">
        <f t="shared" si="2"/>
        <v>0</v>
      </c>
      <c r="K85" s="376" t="s">
        <v>7305</v>
      </c>
      <c r="L85" s="342" t="str">
        <f>IFERROR(IF(Tabla58[[#This Row],[Cod trabalhador]]="",Tabla58[[#This Row],[Cod trabalhador]], INDEX(Colaborador_ID[Nombre], MATCH(Tabla58[[#This Row],[Cod trabalhador]],Colaborador_ID[Cod_colab], 0))), "")</f>
        <v>CARLOS ALBERTO CORREA OREJUELA</v>
      </c>
      <c r="N85" s="405" t="s">
        <v>7304</v>
      </c>
      <c r="O85" s="26">
        <f>IFERROR(VLOOKUP(Tabla58[[#This Row],[Cod trabalhador]],Tabla15[],4,FALSE),"")</f>
        <v>15</v>
      </c>
      <c r="P85" s="92">
        <f>IFERROR(VLOOKUP(Tabla58[[#This Row],[Cod trabalhador]],'TotalHorasAjustadas (2)'!D:L,8,FALSE),"")</f>
        <v>25</v>
      </c>
      <c r="Q85" s="27">
        <v>25</v>
      </c>
      <c r="R85" s="28" t="s">
        <v>7532</v>
      </c>
      <c r="S85" s="28" t="s">
        <v>7539</v>
      </c>
      <c r="U85" s="25"/>
      <c r="V85" s="220"/>
      <c r="W85" s="27"/>
      <c r="X85" s="28"/>
      <c r="Y85" s="28"/>
      <c r="Z85" s="149"/>
      <c r="AA85" s="392" t="str">
        <f>IFERROR(VLOOKUP(Tabla58[[#This Row],[Cod trabalhador]],Alojamentos!B:P,11,FALSE),"")</f>
        <v/>
      </c>
      <c r="AB85" s="127"/>
      <c r="AC85" s="150"/>
      <c r="AD85" s="35">
        <f>Tabla58[[#This Row],[Dias de alta]]*7.058</f>
        <v>0</v>
      </c>
      <c r="AE85" s="46" t="str">
        <f>IFERROR(VLOOKUP(Tabla58[[#This Row],[Cod trabalhador]],Adiantamentos!B:L,7,FALSE),"")</f>
        <v/>
      </c>
      <c r="AF85" s="46" t="str">
        <f>IFERROR(VLOOKUP(Tabla58[[#This Row],[Cod trabalhador]],Carro!B:D,3,FALSE),"")</f>
        <v/>
      </c>
      <c r="AG85" s="46" t="str">
        <f>IFERROR(VLOOKUP(Tabla58[[#This Row],[Cod trabalhador]],'Outros descontos'!B:O,7,FALSE),"")</f>
        <v/>
      </c>
      <c r="AH85" s="46" t="str">
        <f>IFERROR(VLOOKUP(Tabla58[[#This Row],[Cod trabalhador]],'Outros descontos'!B:M,8,FALSE),"")</f>
        <v/>
      </c>
      <c r="AI85" s="46" t="str">
        <f>IFERROR(VLOOKUP(Tabla58[[#This Row],[Cod trabalhador]],'Outros descontos'!B:M,9,FALSE),"")</f>
        <v/>
      </c>
      <c r="AJ85" s="46" t="str">
        <f>IFERROR(VLOOKUP(Tabla58[[#This Row],[Cod trabalhador]],'Outros descontos'!B:M,10,FALSE),"")</f>
        <v/>
      </c>
      <c r="AK85" s="46" t="str">
        <f>IFERROR(VLOOKUP(Tabla58[[#This Row],[Cod trabalhador]],'Outros descontos'!B:M,11,FALSE),"")</f>
        <v/>
      </c>
      <c r="AL85" s="46" t="str">
        <f>IFERROR(VLOOKUP(Tabla58[[#This Row],[Cod trabalhador]],'Outros descontos'!B:R,12,FALSE),"")</f>
        <v/>
      </c>
      <c r="AM85" s="46" t="str">
        <f>IFERROR(VLOOKUP(Tabla58[[#This Row],[Cod trabalhador]],'Outros descontos'!B:M,13,FALSE),"")</f>
        <v/>
      </c>
      <c r="AN85" s="41"/>
      <c r="AO85" s="37">
        <v>4.08</v>
      </c>
      <c r="AP85" s="15"/>
      <c r="AQ85"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370.92</v>
      </c>
      <c r="AR85"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370.92</v>
      </c>
      <c r="AS85" s="15"/>
      <c r="AT85" s="27" t="str">
        <f>IF(Tabla58[[#This Row],[Cod trabalhador]]="", "", INDEX(Iban!C:C, MATCH(Tabla58[[#This Row],[Cod trabalhador]],Iban!A:A, 0)))</f>
        <v>FR76 1659 8000 0140 0010 4278 559</v>
      </c>
      <c r="AU85" s="27"/>
      <c r="AV85" s="27"/>
      <c r="AW85" s="66" t="s">
        <v>7533</v>
      </c>
      <c r="AX85" s="296" t="s">
        <v>7472</v>
      </c>
    </row>
    <row r="86" spans="1:50" ht="16.5" hidden="1" customHeight="1" x14ac:dyDescent="0.3">
      <c r="A86" s="43"/>
      <c r="B86" s="39" t="s">
        <v>2221</v>
      </c>
      <c r="C86" s="45" t="str">
        <f>IF(ISNUMBER(MATCH(Tabla58[[#This Row],[Cod trabalhador]],'Altas Wiseowe'!B:B, 0)), "Ativo", "Não ativo")</f>
        <v>Não ativo</v>
      </c>
      <c r="D86" s="44" t="str">
        <f>IFERROR(IF(VLOOKUP(Tabla58[[#This Row],[Cod trabalhador]],'Altas Industrial'!B:E,1,0)&lt;&gt;"","KI",""),"")</f>
        <v/>
      </c>
      <c r="E86" s="44" t="str">
        <f>IFERROR(IF(VLOOKUP(Tabla58[[#This Row],[Cod trabalhador]],'Altas Rosas'!B:F,1,0)&lt;&gt;"","KR",""),"")</f>
        <v/>
      </c>
      <c r="F86" s="44" t="str">
        <f>IFERROR(IF(VLOOKUP(Tabla58[[#This Row],[Cod trabalhador]],'Altas Wiseowe'!B:E,1,0)&lt;&gt;"","WS",""),"")</f>
        <v/>
      </c>
      <c r="G86" s="101" t="str">
        <f>IFERROR(IF(VLOOKUP(Tabla58[[#This Row],[Cod trabalhador]],'Altas Luminous'!B:E,1,0)&lt;&gt;"","LM",""),"")</f>
        <v/>
      </c>
      <c r="H86" s="51" t="str">
        <f>IFERROR(VLOOKUP(Tabla58[[#This Row],[Cod trabalhador]],'Altas Wiseowe'!B:E,3,FALSE),"")</f>
        <v/>
      </c>
      <c r="I86" s="51" t="str">
        <f>IF(OR(Tabla58[[#This Row],[Cod trabalhador]]="",ISBLANK(Tabla58[[#This Row],[Cod trabalhador]])),"",IFERROR(IF(VLOOKUP(Tabla58[[#This Row],[Cod trabalhador]],'Altas Wiseowe'!B:E,4,FALSE)=0,"",VLOOKUP(Tabla58[[#This Row],[Cod trabalhador]],'Altas Wiseowe'!B:E,4,FALSE)),""))</f>
        <v/>
      </c>
      <c r="J86" s="44">
        <f t="shared" si="2"/>
        <v>0</v>
      </c>
      <c r="K86" s="376" t="s">
        <v>7306</v>
      </c>
      <c r="L86" s="342" t="str">
        <f>IFERROR(IF(Tabla58[[#This Row],[Cod trabalhador]]="",Tabla58[[#This Row],[Cod trabalhador]], INDEX(Colaborador_ID[Nombre], MATCH(Tabla58[[#This Row],[Cod trabalhador]],Colaborador_ID[Cod_colab], 0))), "")</f>
        <v>FRANKLYN OMAR DE LA CRUZ SERNAQUE</v>
      </c>
      <c r="N86" s="405" t="s">
        <v>7304</v>
      </c>
      <c r="O86" s="26">
        <f>IFERROR(VLOOKUP(Tabla58[[#This Row],[Cod trabalhador]],Tabla15[],4,FALSE),"")</f>
        <v>15</v>
      </c>
      <c r="P86" s="92">
        <f>IFERROR(VLOOKUP(Tabla58[[#This Row],[Cod trabalhador]],'TotalHorasAjustadas (2)'!D:L,8,FALSE),"")</f>
        <v>212</v>
      </c>
      <c r="Q86" s="27">
        <v>212</v>
      </c>
      <c r="R86" s="28" t="s">
        <v>7532</v>
      </c>
      <c r="S86" s="28" t="s">
        <v>7539</v>
      </c>
      <c r="U86" s="25"/>
      <c r="V86" s="220"/>
      <c r="W86" s="27"/>
      <c r="X86" s="28"/>
      <c r="Y86" s="28"/>
      <c r="Z86" s="149"/>
      <c r="AA86" s="392" t="str">
        <f>IFERROR(VLOOKUP(Tabla58[[#This Row],[Cod trabalhador]],Alojamentos!B:P,11,FALSE),"")</f>
        <v/>
      </c>
      <c r="AB86" s="127"/>
      <c r="AC86" s="150"/>
      <c r="AD86" s="35">
        <f>Tabla58[[#This Row],[Dias de alta]]*7.058</f>
        <v>0</v>
      </c>
      <c r="AE86" s="46" t="str">
        <f>IFERROR(VLOOKUP(Tabla58[[#This Row],[Cod trabalhador]],Adiantamentos!B:L,7,FALSE),"")</f>
        <v/>
      </c>
      <c r="AF86" s="46" t="str">
        <f>IFERROR(VLOOKUP(Tabla58[[#This Row],[Cod trabalhador]],Carro!B:D,3,FALSE),"")</f>
        <v/>
      </c>
      <c r="AG86" s="46" t="str">
        <f>IFERROR(VLOOKUP(Tabla58[[#This Row],[Cod trabalhador]],'Outros descontos'!B:O,7,FALSE),"")</f>
        <v/>
      </c>
      <c r="AH86" s="46" t="str">
        <f>IFERROR(VLOOKUP(Tabla58[[#This Row],[Cod trabalhador]],'Outros descontos'!B:M,8,FALSE),"")</f>
        <v/>
      </c>
      <c r="AI86" s="46" t="str">
        <f>IFERROR(VLOOKUP(Tabla58[[#This Row],[Cod trabalhador]],'Outros descontos'!B:M,9,FALSE),"")</f>
        <v/>
      </c>
      <c r="AJ86" s="46" t="str">
        <f>IFERROR(VLOOKUP(Tabla58[[#This Row],[Cod trabalhador]],'Outros descontos'!B:M,10,FALSE),"")</f>
        <v/>
      </c>
      <c r="AK86" s="46" t="str">
        <f>IFERROR(VLOOKUP(Tabla58[[#This Row],[Cod trabalhador]],'Outros descontos'!B:M,11,FALSE),"")</f>
        <v/>
      </c>
      <c r="AL86" s="46" t="str">
        <f>IFERROR(VLOOKUP(Tabla58[[#This Row],[Cod trabalhador]],'Outros descontos'!B:R,12,FALSE),"")</f>
        <v/>
      </c>
      <c r="AM86" s="46" t="str">
        <f>IFERROR(VLOOKUP(Tabla58[[#This Row],[Cod trabalhador]],'Outros descontos'!B:M,13,FALSE),"")</f>
        <v/>
      </c>
      <c r="AN86" s="41"/>
      <c r="AO86" s="37">
        <v>4.08</v>
      </c>
      <c r="AP86" s="15"/>
      <c r="AQ86"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3175.92</v>
      </c>
      <c r="AR86"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3175.92</v>
      </c>
      <c r="AS86" s="15"/>
      <c r="AT86" s="27" t="str">
        <f>IF(Tabla58[[#This Row],[Cod trabalhador]]="", "", INDEX(Iban!C:C, MATCH(Tabla58[[#This Row],[Cod trabalhador]],Iban!A:A, 0)))</f>
        <v>BE42 9054 8308 4154</v>
      </c>
      <c r="AU86" s="27"/>
      <c r="AV86" s="27"/>
      <c r="AW86" s="66" t="s">
        <v>7533</v>
      </c>
      <c r="AX86" s="296" t="s">
        <v>7472</v>
      </c>
    </row>
    <row r="87" spans="1:50" ht="16.5" hidden="1" customHeight="1" x14ac:dyDescent="0.3">
      <c r="A87" s="43"/>
      <c r="B87" s="39" t="s">
        <v>2325</v>
      </c>
      <c r="C87" s="45" t="str">
        <f>IF(ISNUMBER(MATCH(Tabla58[[#This Row],[Cod trabalhador]],'Altas Wiseowe'!B:B, 0)), "Ativo", "Não ativo")</f>
        <v>Não ativo</v>
      </c>
      <c r="D87" s="44" t="str">
        <f>IFERROR(IF(VLOOKUP(Tabla58[[#This Row],[Cod trabalhador]],'Altas Industrial'!B:E,1,0)&lt;&gt;"","KI",""),"")</f>
        <v/>
      </c>
      <c r="E87" s="44" t="str">
        <f>IFERROR(IF(VLOOKUP(Tabla58[[#This Row],[Cod trabalhador]],'Altas Rosas'!B:F,1,0)&lt;&gt;"","KR",""),"")</f>
        <v/>
      </c>
      <c r="F87" s="44" t="str">
        <f>IFERROR(IF(VLOOKUP(Tabla58[[#This Row],[Cod trabalhador]],'Altas Wiseowe'!B:E,1,0)&lt;&gt;"","WS",""),"")</f>
        <v/>
      </c>
      <c r="G87" s="101" t="str">
        <f>IFERROR(IF(VLOOKUP(Tabla58[[#This Row],[Cod trabalhador]],'Altas Luminous'!B:E,1,0)&lt;&gt;"","LM",""),"")</f>
        <v/>
      </c>
      <c r="H87" s="51" t="str">
        <f>IFERROR(VLOOKUP(Tabla58[[#This Row],[Cod trabalhador]],'Altas Wiseowe'!B:E,3,FALSE),"")</f>
        <v/>
      </c>
      <c r="I87" s="51" t="str">
        <f>IF(OR(Tabla58[[#This Row],[Cod trabalhador]]="",ISBLANK(Tabla58[[#This Row],[Cod trabalhador]])),"",IFERROR(IF(VLOOKUP(Tabla58[[#This Row],[Cod trabalhador]],'Altas Wiseowe'!B:E,4,FALSE)=0,"",VLOOKUP(Tabla58[[#This Row],[Cod trabalhador]],'Altas Wiseowe'!B:E,4,FALSE)),""))</f>
        <v/>
      </c>
      <c r="J87" s="44">
        <f t="shared" si="2"/>
        <v>0</v>
      </c>
      <c r="K87" s="376" t="s">
        <v>7307</v>
      </c>
      <c r="L87" s="342" t="str">
        <f>IFERROR(IF(Tabla58[[#This Row],[Cod trabalhador]]="",Tabla58[[#This Row],[Cod trabalhador]], INDEX(Colaborador_ID[Nombre], MATCH(Tabla58[[#This Row],[Cod trabalhador]],Colaborador_ID[Cod_colab], 0))), "")</f>
        <v>GERMAN GASPAR GODOY</v>
      </c>
      <c r="N87" s="405" t="s">
        <v>7304</v>
      </c>
      <c r="O87" s="26">
        <f>IFERROR(VLOOKUP(Tabla58[[#This Row],[Cod trabalhador]],Tabla15[],4,FALSE),"")</f>
        <v>15</v>
      </c>
      <c r="P87" s="92">
        <f>IFERROR(VLOOKUP(Tabla58[[#This Row],[Cod trabalhador]],'TotalHorasAjustadas (2)'!D:L,8,FALSE),"")</f>
        <v>180</v>
      </c>
      <c r="Q87" s="27">
        <v>180</v>
      </c>
      <c r="R87" s="28" t="s">
        <v>7532</v>
      </c>
      <c r="S87" s="28" t="s">
        <v>7539</v>
      </c>
      <c r="U87" s="25"/>
      <c r="V87" s="220"/>
      <c r="W87" s="27"/>
      <c r="X87" s="28"/>
      <c r="Y87" s="28"/>
      <c r="AA87" s="392" t="str">
        <f>IFERROR(VLOOKUP(Tabla58[[#This Row],[Cod trabalhador]],Alojamentos!B:P,11,FALSE),"")</f>
        <v/>
      </c>
      <c r="AB87" s="127"/>
      <c r="AC87" s="15"/>
      <c r="AD87" s="35">
        <f>Tabla58[[#This Row],[Dias de alta]]*7.058</f>
        <v>0</v>
      </c>
      <c r="AE87" s="46" t="str">
        <f>IFERROR(VLOOKUP(Tabla58[[#This Row],[Cod trabalhador]],Adiantamentos!B:L,7,FALSE),"")</f>
        <v/>
      </c>
      <c r="AF87" s="46" t="str">
        <f>IFERROR(VLOOKUP(Tabla58[[#This Row],[Cod trabalhador]],Carro!B:D,3,FALSE),"")</f>
        <v/>
      </c>
      <c r="AG87" s="46" t="str">
        <f>IFERROR(VLOOKUP(Tabla58[[#This Row],[Cod trabalhador]],'Outros descontos'!B:O,7,FALSE),"")</f>
        <v/>
      </c>
      <c r="AH87" s="46" t="str">
        <f>IFERROR(VLOOKUP(Tabla58[[#This Row],[Cod trabalhador]],'Outros descontos'!B:M,8,FALSE),"")</f>
        <v/>
      </c>
      <c r="AI87" s="46" t="str">
        <f>IFERROR(VLOOKUP(Tabla58[[#This Row],[Cod trabalhador]],'Outros descontos'!B:M,9,FALSE),"")</f>
        <v/>
      </c>
      <c r="AJ87" s="46" t="str">
        <f>IFERROR(VLOOKUP(Tabla58[[#This Row],[Cod trabalhador]],'Outros descontos'!B:M,10,FALSE),"")</f>
        <v/>
      </c>
      <c r="AK87" s="46" t="str">
        <f>IFERROR(VLOOKUP(Tabla58[[#This Row],[Cod trabalhador]],'Outros descontos'!B:M,11,FALSE),"")</f>
        <v/>
      </c>
      <c r="AL87" s="46" t="str">
        <f>IFERROR(VLOOKUP(Tabla58[[#This Row],[Cod trabalhador]],'Outros descontos'!B:R,12,FALSE),"")</f>
        <v/>
      </c>
      <c r="AM87" s="46" t="str">
        <f>IFERROR(VLOOKUP(Tabla58[[#This Row],[Cod trabalhador]],'Outros descontos'!B:M,13,FALSE),"")</f>
        <v/>
      </c>
      <c r="AN87" s="41"/>
      <c r="AO87" s="37">
        <v>4.08</v>
      </c>
      <c r="AP87" s="15"/>
      <c r="AQ87"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2695.92</v>
      </c>
      <c r="AR87"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2695.92</v>
      </c>
      <c r="AS87" s="15"/>
      <c r="AT87" s="27" t="str">
        <f>IF(Tabla58[[#This Row],[Cod trabalhador]]="", "", INDEX(Iban!C:C, MATCH(Tabla58[[#This Row],[Cod trabalhador]],Iban!A:A, 0)))</f>
        <v>ES22 0182 4590 1902 0161 8596</v>
      </c>
      <c r="AU87" s="27"/>
      <c r="AV87" s="27"/>
      <c r="AW87" s="66" t="s">
        <v>7533</v>
      </c>
      <c r="AX87" s="296" t="s">
        <v>7472</v>
      </c>
    </row>
    <row r="88" spans="1:50" ht="16.5" hidden="1" customHeight="1" x14ac:dyDescent="0.3">
      <c r="A88" s="43"/>
      <c r="B88" s="39" t="s">
        <v>2737</v>
      </c>
      <c r="C88" s="45" t="str">
        <f>IF(ISNUMBER(MATCH(Tabla58[[#This Row],[Cod trabalhador]],'Altas Wiseowe'!B:B, 0)), "Ativo", "Não ativo")</f>
        <v>Não ativo</v>
      </c>
      <c r="D88" s="44" t="str">
        <f>IFERROR(IF(VLOOKUP(Tabla58[[#This Row],[Cod trabalhador]],'Altas Industrial'!B:E,1,0)&lt;&gt;"","KI",""),"")</f>
        <v/>
      </c>
      <c r="E88" s="44" t="str">
        <f>IFERROR(IF(VLOOKUP(Tabla58[[#This Row],[Cod trabalhador]],'Altas Rosas'!B:F,1,0)&lt;&gt;"","KR",""),"")</f>
        <v/>
      </c>
      <c r="F88" s="44" t="str">
        <f>IFERROR(IF(VLOOKUP(Tabla58[[#This Row],[Cod trabalhador]],'Altas Wiseowe'!B:E,1,0)&lt;&gt;"","WS",""),"")</f>
        <v/>
      </c>
      <c r="G88" s="101" t="str">
        <f>IFERROR(IF(VLOOKUP(Tabla58[[#This Row],[Cod trabalhador]],'Altas Luminous'!B:E,1,0)&lt;&gt;"","LM",""),"")</f>
        <v/>
      </c>
      <c r="H88" s="51" t="str">
        <f>IFERROR(VLOOKUP(Tabla58[[#This Row],[Cod trabalhador]],'Altas Wiseowe'!B:E,3,FALSE),"")</f>
        <v/>
      </c>
      <c r="I88" s="51" t="str">
        <f>IF(OR(Tabla58[[#This Row],[Cod trabalhador]]="",ISBLANK(Tabla58[[#This Row],[Cod trabalhador]])),"",IFERROR(IF(VLOOKUP(Tabla58[[#This Row],[Cod trabalhador]],'Altas Wiseowe'!B:E,4,FALSE)=0,"",VLOOKUP(Tabla58[[#This Row],[Cod trabalhador]],'Altas Wiseowe'!B:E,4,FALSE)),""))</f>
        <v/>
      </c>
      <c r="J88" s="44">
        <f t="shared" si="2"/>
        <v>0</v>
      </c>
      <c r="K88" s="376" t="s">
        <v>7308</v>
      </c>
      <c r="L88" s="342" t="str">
        <f>IFERROR(IF(Tabla58[[#This Row],[Cod trabalhador]]="",Tabla58[[#This Row],[Cod trabalhador]], INDEX(Colaborador_ID[Nombre], MATCH(Tabla58[[#This Row],[Cod trabalhador]],Colaborador_ID[Cod_colab], 0))), "")</f>
        <v>HERNANDO AUGUSTO GALINDO GOMEZ</v>
      </c>
      <c r="N88" s="405" t="s">
        <v>7304</v>
      </c>
      <c r="O88" s="26">
        <f>IFERROR(VLOOKUP(Tabla58[[#This Row],[Cod trabalhador]],Tabla15[],4,FALSE),"")</f>
        <v>15</v>
      </c>
      <c r="P88" s="92">
        <f>IFERROR(VLOOKUP(Tabla58[[#This Row],[Cod trabalhador]],'TotalHorasAjustadas (2)'!D:L,8,FALSE),"")</f>
        <v>214</v>
      </c>
      <c r="Q88" s="27">
        <v>214</v>
      </c>
      <c r="R88" s="28" t="s">
        <v>7532</v>
      </c>
      <c r="S88" s="28" t="s">
        <v>7539</v>
      </c>
      <c r="U88" s="25"/>
      <c r="V88" s="220"/>
      <c r="W88" s="27"/>
      <c r="X88" s="28"/>
      <c r="Y88" s="28"/>
      <c r="Z88" s="149"/>
      <c r="AA88" s="392" t="str">
        <f>IFERROR(VLOOKUP(Tabla58[[#This Row],[Cod trabalhador]],Alojamentos!B:P,11,FALSE),"")</f>
        <v/>
      </c>
      <c r="AB88" s="127"/>
      <c r="AC88" s="150"/>
      <c r="AD88" s="35">
        <f>Tabla58[[#This Row],[Dias de alta]]*7.058</f>
        <v>0</v>
      </c>
      <c r="AE88" s="46" t="str">
        <f>IFERROR(VLOOKUP(Tabla58[[#This Row],[Cod trabalhador]],Adiantamentos!B:L,7,FALSE),"")</f>
        <v/>
      </c>
      <c r="AF88" s="46" t="str">
        <f>IFERROR(VLOOKUP(Tabla58[[#This Row],[Cod trabalhador]],Carro!B:D,3,FALSE),"")</f>
        <v/>
      </c>
      <c r="AG88" s="46" t="str">
        <f>IFERROR(VLOOKUP(Tabla58[[#This Row],[Cod trabalhador]],'Outros descontos'!B:O,7,FALSE),"")</f>
        <v/>
      </c>
      <c r="AH88" s="46" t="str">
        <f>IFERROR(VLOOKUP(Tabla58[[#This Row],[Cod trabalhador]],'Outros descontos'!B:M,8,FALSE),"")</f>
        <v/>
      </c>
      <c r="AI88" s="46" t="str">
        <f>IFERROR(VLOOKUP(Tabla58[[#This Row],[Cod trabalhador]],'Outros descontos'!B:M,9,FALSE),"")</f>
        <v/>
      </c>
      <c r="AJ88" s="46" t="str">
        <f>IFERROR(VLOOKUP(Tabla58[[#This Row],[Cod trabalhador]],'Outros descontos'!B:M,10,FALSE),"")</f>
        <v/>
      </c>
      <c r="AK88" s="46" t="str">
        <f>IFERROR(VLOOKUP(Tabla58[[#This Row],[Cod trabalhador]],'Outros descontos'!B:M,11,FALSE),"")</f>
        <v/>
      </c>
      <c r="AL88" s="46" t="str">
        <f>IFERROR(VLOOKUP(Tabla58[[#This Row],[Cod trabalhador]],'Outros descontos'!B:R,12,FALSE),"")</f>
        <v/>
      </c>
      <c r="AM88" s="46" t="str">
        <f>IFERROR(VLOOKUP(Tabla58[[#This Row],[Cod trabalhador]],'Outros descontos'!B:M,13,FALSE),"")</f>
        <v/>
      </c>
      <c r="AN88" s="41"/>
      <c r="AO88" s="37">
        <v>4.08</v>
      </c>
      <c r="AP88" s="15"/>
      <c r="AQ88"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3205.92</v>
      </c>
      <c r="AR88"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3205.92</v>
      </c>
      <c r="AS88" s="15"/>
      <c r="AT88" s="27" t="str">
        <f>IF(Tabla58[[#This Row],[Cod trabalhador]]="", "", INDEX(Iban!C:C, MATCH(Tabla58[[#This Row],[Cod trabalhador]],Iban!A:A, 0)))</f>
        <v>ES77 0182 7351 3102 0160 4195</v>
      </c>
      <c r="AU88" s="27"/>
      <c r="AV88" s="27"/>
      <c r="AW88" s="66" t="s">
        <v>7533</v>
      </c>
      <c r="AX88" s="296" t="s">
        <v>7472</v>
      </c>
    </row>
    <row r="89" spans="1:50" ht="16.5" hidden="1" customHeight="1" x14ac:dyDescent="0.3">
      <c r="A89" s="43"/>
      <c r="B89" s="39" t="s">
        <v>3205</v>
      </c>
      <c r="C89" s="45" t="str">
        <f>IF(ISNUMBER(MATCH(Tabla58[[#This Row],[Cod trabalhador]],'Altas Wiseowe'!B:B, 0)), "Ativo", "Não ativo")</f>
        <v>Não ativo</v>
      </c>
      <c r="D89" s="44" t="str">
        <f>IFERROR(IF(VLOOKUP(Tabla58[[#This Row],[Cod trabalhador]],'Altas Industrial'!B:E,1,0)&lt;&gt;"","KI",""),"")</f>
        <v/>
      </c>
      <c r="E89" s="44" t="str">
        <f>IFERROR(IF(VLOOKUP(Tabla58[[#This Row],[Cod trabalhador]],'Altas Rosas'!B:F,1,0)&lt;&gt;"","KR",""),"")</f>
        <v/>
      </c>
      <c r="F89" s="44" t="str">
        <f>IFERROR(IF(VLOOKUP(Tabla58[[#This Row],[Cod trabalhador]],'Altas Wiseowe'!B:E,1,0)&lt;&gt;"","WS",""),"")</f>
        <v/>
      </c>
      <c r="G89" s="101" t="str">
        <f>IFERROR(IF(VLOOKUP(Tabla58[[#This Row],[Cod trabalhador]],'Altas Luminous'!B:E,1,0)&lt;&gt;"","LM",""),"")</f>
        <v/>
      </c>
      <c r="H89" s="51" t="str">
        <f>IFERROR(VLOOKUP(Tabla58[[#This Row],[Cod trabalhador]],'Altas Wiseowe'!B:E,3,FALSE),"")</f>
        <v/>
      </c>
      <c r="I89" s="51" t="str">
        <f>IF(OR(Tabla58[[#This Row],[Cod trabalhador]]="",ISBLANK(Tabla58[[#This Row],[Cod trabalhador]])),"",IFERROR(IF(VLOOKUP(Tabla58[[#This Row],[Cod trabalhador]],'Altas Wiseowe'!B:E,4,FALSE)=0,"",VLOOKUP(Tabla58[[#This Row],[Cod trabalhador]],'Altas Wiseowe'!B:E,4,FALSE)),""))</f>
        <v/>
      </c>
      <c r="J89" s="44">
        <f t="shared" si="2"/>
        <v>0</v>
      </c>
      <c r="K89" s="376" t="s">
        <v>7309</v>
      </c>
      <c r="L89" s="342" t="str">
        <f>IFERROR(IF(Tabla58[[#This Row],[Cod trabalhador]]="",Tabla58[[#This Row],[Cod trabalhador]], INDEX(Colaborador_ID[Nombre], MATCH(Tabla58[[#This Row],[Cod trabalhador]],Colaborador_ID[Cod_colab], 0))), "")</f>
        <v>JEISON FARID LOPEZ AGREDO</v>
      </c>
      <c r="N89" s="405" t="s">
        <v>7304</v>
      </c>
      <c r="O89" s="26">
        <f>IFERROR(VLOOKUP(Tabla58[[#This Row],[Cod trabalhador]],Tabla15[],4,FALSE),"")</f>
        <v>15</v>
      </c>
      <c r="P89" s="92">
        <f>IFERROR(VLOOKUP(Tabla58[[#This Row],[Cod trabalhador]],'TotalHorasAjustadas (2)'!D:L,8,FALSE),"")</f>
        <v>205.5</v>
      </c>
      <c r="Q89" s="27">
        <v>205.5</v>
      </c>
      <c r="R89" s="28" t="s">
        <v>7532</v>
      </c>
      <c r="S89" s="28" t="s">
        <v>7539</v>
      </c>
      <c r="U89" s="25"/>
      <c r="V89" s="220"/>
      <c r="W89" s="27"/>
      <c r="X89" s="28"/>
      <c r="Y89" s="28"/>
      <c r="Z89" s="149"/>
      <c r="AA89" s="392" t="str">
        <f>IFERROR(VLOOKUP(Tabla58[[#This Row],[Cod trabalhador]],Alojamentos!B:P,11,FALSE),"")</f>
        <v/>
      </c>
      <c r="AB89" s="127"/>
      <c r="AC89" s="150"/>
      <c r="AD89" s="35">
        <f>Tabla58[[#This Row],[Dias de alta]]*7.058</f>
        <v>0</v>
      </c>
      <c r="AE89" s="46" t="str">
        <f>IFERROR(VLOOKUP(Tabla58[[#This Row],[Cod trabalhador]],Adiantamentos!B:L,7,FALSE),"")</f>
        <v/>
      </c>
      <c r="AF89" s="46" t="str">
        <f>IFERROR(VLOOKUP(Tabla58[[#This Row],[Cod trabalhador]],Carro!B:D,3,FALSE),"")</f>
        <v/>
      </c>
      <c r="AG89" s="46" t="str">
        <f>IFERROR(VLOOKUP(Tabla58[[#This Row],[Cod trabalhador]],'Outros descontos'!B:O,7,FALSE),"")</f>
        <v/>
      </c>
      <c r="AH89" s="46" t="str">
        <f>IFERROR(VLOOKUP(Tabla58[[#This Row],[Cod trabalhador]],'Outros descontos'!B:M,8,FALSE),"")</f>
        <v/>
      </c>
      <c r="AI89" s="46" t="str">
        <f>IFERROR(VLOOKUP(Tabla58[[#This Row],[Cod trabalhador]],'Outros descontos'!B:M,9,FALSE),"")</f>
        <v/>
      </c>
      <c r="AJ89" s="46" t="str">
        <f>IFERROR(VLOOKUP(Tabla58[[#This Row],[Cod trabalhador]],'Outros descontos'!B:M,10,FALSE),"")</f>
        <v/>
      </c>
      <c r="AK89" s="46" t="str">
        <f>IFERROR(VLOOKUP(Tabla58[[#This Row],[Cod trabalhador]],'Outros descontos'!B:M,11,FALSE),"")</f>
        <v/>
      </c>
      <c r="AL89" s="46" t="str">
        <f>IFERROR(VLOOKUP(Tabla58[[#This Row],[Cod trabalhador]],'Outros descontos'!B:R,12,FALSE),"")</f>
        <v/>
      </c>
      <c r="AM89" s="46" t="str">
        <f>IFERROR(VLOOKUP(Tabla58[[#This Row],[Cod trabalhador]],'Outros descontos'!B:M,13,FALSE),"")</f>
        <v/>
      </c>
      <c r="AN89" s="41"/>
      <c r="AO89" s="37">
        <v>4.08</v>
      </c>
      <c r="AP89" s="15"/>
      <c r="AQ89"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3078.42</v>
      </c>
      <c r="AR89"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3078.42</v>
      </c>
      <c r="AS89" s="15"/>
      <c r="AT89" s="27" t="str">
        <f>IF(Tabla58[[#This Row],[Cod trabalhador]]="", "", INDEX(Iban!C:C, MATCH(Tabla58[[#This Row],[Cod trabalhador]],Iban!A:A, 0)))</f>
        <v>BE28 9056 9599 5720</v>
      </c>
      <c r="AU89" s="27"/>
      <c r="AV89" s="27"/>
      <c r="AW89" s="66" t="s">
        <v>7533</v>
      </c>
      <c r="AX89" s="296" t="s">
        <v>7472</v>
      </c>
    </row>
    <row r="90" spans="1:50" ht="16.5" hidden="1" customHeight="1" x14ac:dyDescent="0.3">
      <c r="A90" s="43"/>
      <c r="B90" s="39" t="s">
        <v>5893</v>
      </c>
      <c r="C90" s="45" t="str">
        <f>IF(ISNUMBER(MATCH(Tabla58[[#This Row],[Cod trabalhador]],'Altas Wiseowe'!B:B, 0)), "Ativo", "Não ativo")</f>
        <v>Não ativo</v>
      </c>
      <c r="D90" s="44" t="str">
        <f>IFERROR(IF(VLOOKUP(Tabla58[[#This Row],[Cod trabalhador]],'Altas Industrial'!B:E,1,0)&lt;&gt;"","KI",""),"")</f>
        <v/>
      </c>
      <c r="E90" s="44" t="str">
        <f>IFERROR(IF(VLOOKUP(Tabla58[[#This Row],[Cod trabalhador]],'Altas Rosas'!B:F,1,0)&lt;&gt;"","KR",""),"")</f>
        <v/>
      </c>
      <c r="F90" s="44" t="str">
        <f>IFERROR(IF(VLOOKUP(Tabla58[[#This Row],[Cod trabalhador]],'Altas Wiseowe'!B:E,1,0)&lt;&gt;"","WS",""),"")</f>
        <v/>
      </c>
      <c r="G90" s="101" t="str">
        <f>IFERROR(IF(VLOOKUP(Tabla58[[#This Row],[Cod trabalhador]],'Altas Luminous'!B:E,1,0)&lt;&gt;"","LM",""),"")</f>
        <v/>
      </c>
      <c r="H90" s="51" t="str">
        <f>IFERROR(VLOOKUP(Tabla58[[#This Row],[Cod trabalhador]],'Altas Wiseowe'!B:E,3,FALSE),"")</f>
        <v/>
      </c>
      <c r="I90" s="51" t="str">
        <f>IF(OR(Tabla58[[#This Row],[Cod trabalhador]]="",ISBLANK(Tabla58[[#This Row],[Cod trabalhador]])),"",IFERROR(IF(VLOOKUP(Tabla58[[#This Row],[Cod trabalhador]],'Altas Wiseowe'!B:E,4,FALSE)=0,"",VLOOKUP(Tabla58[[#This Row],[Cod trabalhador]],'Altas Wiseowe'!B:E,4,FALSE)),""))</f>
        <v/>
      </c>
      <c r="J90" s="44">
        <f t="shared" si="2"/>
        <v>0</v>
      </c>
      <c r="K90" s="376" t="s">
        <v>7311</v>
      </c>
      <c r="L90" s="342" t="str">
        <f>IFERROR(IF(Tabla58[[#This Row],[Cod trabalhador]]="",Tabla58[[#This Row],[Cod trabalhador]], INDEX(Colaborador_ID[Nombre], MATCH(Tabla58[[#This Row],[Cod trabalhador]],Colaborador_ID[Cod_colab], 0))), "")</f>
        <v>RAUL AUGUSTO MIRANDA</v>
      </c>
      <c r="N90" s="405" t="s">
        <v>7304</v>
      </c>
      <c r="O90" s="26">
        <f>IFERROR(VLOOKUP(Tabla58[[#This Row],[Cod trabalhador]],Tabla15[],4,FALSE),"")</f>
        <v>15</v>
      </c>
      <c r="P90" s="92">
        <f>IFERROR(VLOOKUP(Tabla58[[#This Row],[Cod trabalhador]],'TotalHorasAjustadas (2)'!D:L,8,FALSE),"")</f>
        <v>214</v>
      </c>
      <c r="Q90" s="27">
        <v>214</v>
      </c>
      <c r="R90" s="28" t="s">
        <v>7532</v>
      </c>
      <c r="S90" s="28" t="s">
        <v>7539</v>
      </c>
      <c r="U90" s="25"/>
      <c r="V90" s="220"/>
      <c r="W90" s="27"/>
      <c r="X90" s="28"/>
      <c r="Y90" s="28"/>
      <c r="Z90" s="149"/>
      <c r="AA90" s="392" t="str">
        <f>IFERROR(VLOOKUP(Tabla58[[#This Row],[Cod trabalhador]],Alojamentos!B:P,11,FALSE),"")</f>
        <v/>
      </c>
      <c r="AB90" s="127"/>
      <c r="AC90" s="150"/>
      <c r="AD90" s="35">
        <f>Tabla58[[#This Row],[Dias de alta]]*7.058</f>
        <v>0</v>
      </c>
      <c r="AE90" s="46" t="str">
        <f>IFERROR(VLOOKUP(Tabla58[[#This Row],[Cod trabalhador]],Adiantamentos!B:L,7,FALSE),"")</f>
        <v/>
      </c>
      <c r="AF90" s="46" t="str">
        <f>IFERROR(VLOOKUP(Tabla58[[#This Row],[Cod trabalhador]],Carro!B:D,3,FALSE),"")</f>
        <v/>
      </c>
      <c r="AG90" s="46" t="str">
        <f>IFERROR(VLOOKUP(Tabla58[[#This Row],[Cod trabalhador]],'Outros descontos'!B:O,7,FALSE),"")</f>
        <v/>
      </c>
      <c r="AH90" s="46" t="str">
        <f>IFERROR(VLOOKUP(Tabla58[[#This Row],[Cod trabalhador]],'Outros descontos'!B:M,8,FALSE),"")</f>
        <v/>
      </c>
      <c r="AI90" s="46" t="str">
        <f>IFERROR(VLOOKUP(Tabla58[[#This Row],[Cod trabalhador]],'Outros descontos'!B:M,9,FALSE),"")</f>
        <v/>
      </c>
      <c r="AJ90" s="46" t="str">
        <f>IFERROR(VLOOKUP(Tabla58[[#This Row],[Cod trabalhador]],'Outros descontos'!B:M,10,FALSE),"")</f>
        <v/>
      </c>
      <c r="AK90" s="46" t="str">
        <f>IFERROR(VLOOKUP(Tabla58[[#This Row],[Cod trabalhador]],'Outros descontos'!B:M,11,FALSE),"")</f>
        <v/>
      </c>
      <c r="AL90" s="46" t="str">
        <f>IFERROR(VLOOKUP(Tabla58[[#This Row],[Cod trabalhador]],'Outros descontos'!B:R,12,FALSE),"")</f>
        <v/>
      </c>
      <c r="AM90" s="46" t="str">
        <f>IFERROR(VLOOKUP(Tabla58[[#This Row],[Cod trabalhador]],'Outros descontos'!B:M,13,FALSE),"")</f>
        <v/>
      </c>
      <c r="AN90" s="41"/>
      <c r="AO90" s="37">
        <v>4.08</v>
      </c>
      <c r="AP90" s="15"/>
      <c r="AQ90"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3205.92</v>
      </c>
      <c r="AR90"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3205.92</v>
      </c>
      <c r="AS90" s="15"/>
      <c r="AT90" s="27" t="str">
        <f>IF(Tabla58[[#This Row],[Cod trabalhador]]="", "", INDEX(Iban!C:C, MATCH(Tabla58[[#This Row],[Cod trabalhador]],Iban!A:A, 0)))</f>
        <v>BE21 9056 7288 8603</v>
      </c>
      <c r="AU90" s="27"/>
      <c r="AV90" s="27"/>
      <c r="AW90" s="66" t="s">
        <v>7533</v>
      </c>
      <c r="AX90" s="296" t="s">
        <v>7472</v>
      </c>
    </row>
    <row r="91" spans="1:50" ht="16.5" hidden="1" customHeight="1" x14ac:dyDescent="0.3">
      <c r="A91" s="43"/>
      <c r="B91" s="39" t="s">
        <v>5897</v>
      </c>
      <c r="C91" s="45" t="str">
        <f>IF(ISNUMBER(MATCH(Tabla58[[#This Row],[Cod trabalhador]],'Altas Wiseowe'!B:B, 0)), "Ativo", "Não ativo")</f>
        <v>Não ativo</v>
      </c>
      <c r="D91" s="44" t="str">
        <f>IFERROR(IF(VLOOKUP(Tabla58[[#This Row],[Cod trabalhador]],'Altas Industrial'!B:E,1,0)&lt;&gt;"","KI",""),"")</f>
        <v/>
      </c>
      <c r="E91" s="44" t="str">
        <f>IFERROR(IF(VLOOKUP(Tabla58[[#This Row],[Cod trabalhador]],'Altas Rosas'!B:F,1,0)&lt;&gt;"","KR",""),"")</f>
        <v/>
      </c>
      <c r="F91" s="44" t="str">
        <f>IFERROR(IF(VLOOKUP(Tabla58[[#This Row],[Cod trabalhador]],'Altas Wiseowe'!B:E,1,0)&lt;&gt;"","WS",""),"")</f>
        <v/>
      </c>
      <c r="G91" s="101" t="str">
        <f>IFERROR(IF(VLOOKUP(Tabla58[[#This Row],[Cod trabalhador]],'Altas Luminous'!B:E,1,0)&lt;&gt;"","LM",""),"")</f>
        <v/>
      </c>
      <c r="H91" s="51" t="str">
        <f>IFERROR(VLOOKUP(Tabla58[[#This Row],[Cod trabalhador]],'Altas Wiseowe'!B:E,3,FALSE),"")</f>
        <v/>
      </c>
      <c r="I91" s="51" t="str">
        <f>IF(OR(Tabla58[[#This Row],[Cod trabalhador]]="",ISBLANK(Tabla58[[#This Row],[Cod trabalhador]])),"",IFERROR(IF(VLOOKUP(Tabla58[[#This Row],[Cod trabalhador]],'Altas Wiseowe'!B:E,4,FALSE)=0,"",VLOOKUP(Tabla58[[#This Row],[Cod trabalhador]],'Altas Wiseowe'!B:E,4,FALSE)),""))</f>
        <v/>
      </c>
      <c r="J91" s="44">
        <f t="shared" si="2"/>
        <v>0</v>
      </c>
      <c r="K91" s="376" t="s">
        <v>7310</v>
      </c>
      <c r="L91" s="342" t="str">
        <f>IFERROR(IF(Tabla58[[#This Row],[Cod trabalhador]]="",Tabla58[[#This Row],[Cod trabalhador]], INDEX(Colaborador_ID[Nombre], MATCH(Tabla58[[#This Row],[Cod trabalhador]],Colaborador_ID[Cod_colab], 0))), "")</f>
        <v>RAUL ERNESTO MORA MARTINEZ</v>
      </c>
      <c r="N91" s="405" t="s">
        <v>7304</v>
      </c>
      <c r="O91" s="26">
        <f>IFERROR(VLOOKUP(Tabla58[[#This Row],[Cod trabalhador]],Tabla15[],4,FALSE),"")</f>
        <v>15</v>
      </c>
      <c r="P91" s="92">
        <f>IFERROR(VLOOKUP(Tabla58[[#This Row],[Cod trabalhador]],'TotalHorasAjustadas (2)'!D:L,8,FALSE),"")</f>
        <v>214.5</v>
      </c>
      <c r="Q91" s="27">
        <v>214.5</v>
      </c>
      <c r="R91" s="28" t="s">
        <v>7532</v>
      </c>
      <c r="S91" s="28" t="s">
        <v>7539</v>
      </c>
      <c r="U91" s="25"/>
      <c r="V91" s="220"/>
      <c r="W91" s="27"/>
      <c r="X91" s="28"/>
      <c r="Y91" s="28"/>
      <c r="Z91" s="149"/>
      <c r="AA91" s="392" t="str">
        <f>IFERROR(VLOOKUP(Tabla58[[#This Row],[Cod trabalhador]],Alojamentos!B:P,11,FALSE),"")</f>
        <v/>
      </c>
      <c r="AB91" s="127"/>
      <c r="AC91" s="150"/>
      <c r="AD91" s="35">
        <f>Tabla58[[#This Row],[Dias de alta]]*7.058</f>
        <v>0</v>
      </c>
      <c r="AE91" s="46" t="str">
        <f>IFERROR(VLOOKUP(Tabla58[[#This Row],[Cod trabalhador]],Adiantamentos!B:L,7,FALSE),"")</f>
        <v/>
      </c>
      <c r="AF91" s="46" t="str">
        <f>IFERROR(VLOOKUP(Tabla58[[#This Row],[Cod trabalhador]],Carro!B:D,3,FALSE),"")</f>
        <v/>
      </c>
      <c r="AG91" s="46" t="str">
        <f>IFERROR(VLOOKUP(Tabla58[[#This Row],[Cod trabalhador]],'Outros descontos'!B:O,7,FALSE),"")</f>
        <v/>
      </c>
      <c r="AH91" s="46" t="str">
        <f>IFERROR(VLOOKUP(Tabla58[[#This Row],[Cod trabalhador]],'Outros descontos'!B:M,8,FALSE),"")</f>
        <v/>
      </c>
      <c r="AI91" s="46" t="str">
        <f>IFERROR(VLOOKUP(Tabla58[[#This Row],[Cod trabalhador]],'Outros descontos'!B:M,9,FALSE),"")</f>
        <v/>
      </c>
      <c r="AJ91" s="46" t="str">
        <f>IFERROR(VLOOKUP(Tabla58[[#This Row],[Cod trabalhador]],'Outros descontos'!B:M,10,FALSE),"")</f>
        <v/>
      </c>
      <c r="AK91" s="46" t="str">
        <f>IFERROR(VLOOKUP(Tabla58[[#This Row],[Cod trabalhador]],'Outros descontos'!B:M,11,FALSE),"")</f>
        <v/>
      </c>
      <c r="AL91" s="46" t="str">
        <f>IFERROR(VLOOKUP(Tabla58[[#This Row],[Cod trabalhador]],'Outros descontos'!B:R,12,FALSE),"")</f>
        <v/>
      </c>
      <c r="AM91" s="46" t="str">
        <f>IFERROR(VLOOKUP(Tabla58[[#This Row],[Cod trabalhador]],'Outros descontos'!B:M,13,FALSE),"")</f>
        <v/>
      </c>
      <c r="AN91" s="41"/>
      <c r="AO91" s="37">
        <v>4.08</v>
      </c>
      <c r="AP91" s="15"/>
      <c r="AQ91"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3213.42</v>
      </c>
      <c r="AR91"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3213.42</v>
      </c>
      <c r="AS91" s="15"/>
      <c r="AT91" s="27" t="str">
        <f>IF(Tabla58[[#This Row],[Cod trabalhador]]="", "", INDEX(Iban!C:C, MATCH(Tabla58[[#This Row],[Cod trabalhador]],Iban!A:A, 0)))</f>
        <v>ES66 0182 0345 1702 0185 9252</v>
      </c>
      <c r="AU91" s="27" t="s">
        <v>7541</v>
      </c>
      <c r="AV91" s="27"/>
      <c r="AW91" s="66" t="s">
        <v>7533</v>
      </c>
      <c r="AX91" s="296" t="s">
        <v>7472</v>
      </c>
    </row>
    <row r="92" spans="1:50" ht="16.5" hidden="1" customHeight="1" x14ac:dyDescent="0.3">
      <c r="A92" s="43"/>
      <c r="B92" s="39" t="s">
        <v>6432</v>
      </c>
      <c r="C92" s="45" t="str">
        <f>IF(ISNUMBER(MATCH(Tabla58[[#This Row],[Cod trabalhador]],'Altas Wiseowe'!B:B, 0)), "Ativo", "Não ativo")</f>
        <v>Não ativo</v>
      </c>
      <c r="D92" s="44" t="str">
        <f>IFERROR(IF(VLOOKUP(Tabla58[[#This Row],[Cod trabalhador]],'Altas Industrial'!B:E,1,0)&lt;&gt;"","KI",""),"")</f>
        <v/>
      </c>
      <c r="E92" s="44" t="str">
        <f>IFERROR(IF(VLOOKUP(Tabla58[[#This Row],[Cod trabalhador]],'Altas Rosas'!B:F,1,0)&lt;&gt;"","KR",""),"")</f>
        <v/>
      </c>
      <c r="F92" s="44" t="str">
        <f>IFERROR(IF(VLOOKUP(Tabla58[[#This Row],[Cod trabalhador]],'Altas Wiseowe'!B:E,1,0)&lt;&gt;"","WS",""),"")</f>
        <v/>
      </c>
      <c r="G92" s="101" t="str">
        <f>IFERROR(IF(VLOOKUP(Tabla58[[#This Row],[Cod trabalhador]],'Altas Luminous'!B:E,1,0)&lt;&gt;"","LM",""),"")</f>
        <v/>
      </c>
      <c r="H92" s="51" t="str">
        <f>IFERROR(VLOOKUP(Tabla58[[#This Row],[Cod trabalhador]],'Altas Wiseowe'!B:E,3,FALSE),"")</f>
        <v/>
      </c>
      <c r="I92" s="51" t="str">
        <f>IF(OR(Tabla58[[#This Row],[Cod trabalhador]]="",ISBLANK(Tabla58[[#This Row],[Cod trabalhador]])),"",IFERROR(IF(VLOOKUP(Tabla58[[#This Row],[Cod trabalhador]],'Altas Wiseowe'!B:E,4,FALSE)=0,"",VLOOKUP(Tabla58[[#This Row],[Cod trabalhador]],'Altas Wiseowe'!B:E,4,FALSE)),""))</f>
        <v/>
      </c>
      <c r="J92" s="44">
        <f t="shared" si="2"/>
        <v>0</v>
      </c>
      <c r="K92" s="376" t="s">
        <v>6433</v>
      </c>
      <c r="L92" s="342" t="str">
        <f>IFERROR(IF(Tabla58[[#This Row],[Cod trabalhador]]="",Tabla58[[#This Row],[Cod trabalhador]], INDEX(Colaborador_ID[Nombre], MATCH(Tabla58[[#This Row],[Cod trabalhador]],Colaborador_ID[Cod_colab], 0))), "")</f>
        <v>VICENCIO VILLAMIZAR LEON</v>
      </c>
      <c r="N92" s="405" t="s">
        <v>7304</v>
      </c>
      <c r="O92" s="26">
        <f>IFERROR(VLOOKUP(Tabla58[[#This Row],[Cod trabalhador]],Tabla15[],4,FALSE),"")</f>
        <v>15</v>
      </c>
      <c r="P92" s="92">
        <f>IFERROR(VLOOKUP(Tabla58[[#This Row],[Cod trabalhador]],'TotalHorasAjustadas (2)'!D:L,8,FALSE),"")</f>
        <v>214.5</v>
      </c>
      <c r="Q92" s="27">
        <v>214.5</v>
      </c>
      <c r="R92" s="28" t="s">
        <v>7532</v>
      </c>
      <c r="S92" s="28" t="s">
        <v>7539</v>
      </c>
      <c r="U92" s="25"/>
      <c r="V92" s="220"/>
      <c r="W92" s="27"/>
      <c r="X92" s="28"/>
      <c r="Y92" s="28"/>
      <c r="Z92" s="149"/>
      <c r="AA92" s="392" t="str">
        <f>IFERROR(VLOOKUP(Tabla58[[#This Row],[Cod trabalhador]],Alojamentos!B:P,11,FALSE),"")</f>
        <v/>
      </c>
      <c r="AB92" s="127"/>
      <c r="AC92" s="150"/>
      <c r="AD92" s="35">
        <f>Tabla58[[#This Row],[Dias de alta]]*7.058</f>
        <v>0</v>
      </c>
      <c r="AE92" s="46" t="str">
        <f>IFERROR(VLOOKUP(Tabla58[[#This Row],[Cod trabalhador]],Adiantamentos!B:L,7,FALSE),"")</f>
        <v/>
      </c>
      <c r="AF92" s="46" t="str">
        <f>IFERROR(VLOOKUP(Tabla58[[#This Row],[Cod trabalhador]],Carro!B:D,3,FALSE),"")</f>
        <v/>
      </c>
      <c r="AG92" s="46" t="str">
        <f>IFERROR(VLOOKUP(Tabla58[[#This Row],[Cod trabalhador]],'Outros descontos'!B:O,7,FALSE),"")</f>
        <v/>
      </c>
      <c r="AH92" s="46" t="str">
        <f>IFERROR(VLOOKUP(Tabla58[[#This Row],[Cod trabalhador]],'Outros descontos'!B:M,8,FALSE),"")</f>
        <v/>
      </c>
      <c r="AI92" s="46" t="str">
        <f>IFERROR(VLOOKUP(Tabla58[[#This Row],[Cod trabalhador]],'Outros descontos'!B:M,9,FALSE),"")</f>
        <v/>
      </c>
      <c r="AJ92" s="46" t="str">
        <f>IFERROR(VLOOKUP(Tabla58[[#This Row],[Cod trabalhador]],'Outros descontos'!B:M,10,FALSE),"")</f>
        <v/>
      </c>
      <c r="AK92" s="46" t="str">
        <f>IFERROR(VLOOKUP(Tabla58[[#This Row],[Cod trabalhador]],'Outros descontos'!B:M,11,FALSE),"")</f>
        <v/>
      </c>
      <c r="AL92" s="46" t="str">
        <f>IFERROR(VLOOKUP(Tabla58[[#This Row],[Cod trabalhador]],'Outros descontos'!B:R,12,FALSE),"")</f>
        <v/>
      </c>
      <c r="AM92" s="46" t="str">
        <f>IFERROR(VLOOKUP(Tabla58[[#This Row],[Cod trabalhador]],'Outros descontos'!B:M,13,FALSE),"")</f>
        <v/>
      </c>
      <c r="AN92" s="41"/>
      <c r="AO92" s="37">
        <v>4.08</v>
      </c>
      <c r="AP92" s="15"/>
      <c r="AQ92"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3213.42</v>
      </c>
      <c r="AR92"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3213.42</v>
      </c>
      <c r="AS92" s="15"/>
      <c r="AT92" s="27" t="str">
        <f>IF(Tabla58[[#This Row],[Cod trabalhador]]="", "", INDEX(Iban!C:C, MATCH(Tabla58[[#This Row],[Cod trabalhador]],Iban!A:A, 0)))</f>
        <v>ES82 0182 8320 9102 0189 4058</v>
      </c>
      <c r="AU92" s="27"/>
      <c r="AV92" s="27"/>
      <c r="AW92" s="66" t="s">
        <v>7533</v>
      </c>
      <c r="AX92" s="296" t="s">
        <v>7472</v>
      </c>
    </row>
    <row r="93" spans="1:50" ht="16.5" hidden="1" customHeight="1" x14ac:dyDescent="0.3">
      <c r="A93" s="43"/>
      <c r="B93" s="39" t="s">
        <v>6676</v>
      </c>
      <c r="C93" s="45" t="str">
        <f>IF(ISNUMBER(MATCH(Tabla58[[#This Row],[Cod trabalhador]],'Altas Wiseowe'!B:B, 0)), "Ativo", "Não ativo")</f>
        <v>Não ativo</v>
      </c>
      <c r="D93" s="44" t="str">
        <f>IFERROR(IF(VLOOKUP(Tabla58[[#This Row],[Cod trabalhador]],'Altas Industrial'!B:E,1,0)&lt;&gt;"","KI",""),"")</f>
        <v/>
      </c>
      <c r="E93" s="44" t="str">
        <f>IFERROR(IF(VLOOKUP(Tabla58[[#This Row],[Cod trabalhador]],'Altas Rosas'!B:F,1,0)&lt;&gt;"","KR",""),"")</f>
        <v/>
      </c>
      <c r="F93" s="44" t="str">
        <f>IFERROR(IF(VLOOKUP(Tabla58[[#This Row],[Cod trabalhador]],'Altas Wiseowe'!B:E,1,0)&lt;&gt;"","WS",""),"")</f>
        <v/>
      </c>
      <c r="G93" s="101" t="str">
        <f>IFERROR(IF(VLOOKUP(Tabla58[[#This Row],[Cod trabalhador]],'Altas Luminous'!B:E,1,0)&lt;&gt;"","LM",""),"")</f>
        <v/>
      </c>
      <c r="H93" s="51" t="str">
        <f>IFERROR(VLOOKUP(Tabla58[[#This Row],[Cod trabalhador]],'Altas Wiseowe'!B:E,3,FALSE),"")</f>
        <v/>
      </c>
      <c r="I93" s="51" t="str">
        <f>IF(OR(Tabla58[[#This Row],[Cod trabalhador]]="",ISBLANK(Tabla58[[#This Row],[Cod trabalhador]])),"",IFERROR(IF(VLOOKUP(Tabla58[[#This Row],[Cod trabalhador]],'Altas Wiseowe'!B:E,4,FALSE)=0,"",VLOOKUP(Tabla58[[#This Row],[Cod trabalhador]],'Altas Wiseowe'!B:E,4,FALSE)),""))</f>
        <v/>
      </c>
      <c r="J93" s="44">
        <f t="shared" si="2"/>
        <v>0</v>
      </c>
      <c r="K93" s="376" t="s">
        <v>6677</v>
      </c>
      <c r="L93" s="342" t="str">
        <f>IFERROR(IF(Tabla58[[#This Row],[Cod trabalhador]]="",Tabla58[[#This Row],[Cod trabalhador]], INDEX(Colaborador_ID[Nombre], MATCH(Tabla58[[#This Row],[Cod trabalhador]],Colaborador_ID[Cod_colab], 0))), "")</f>
        <v>WILLIAN VARGAS CACERES</v>
      </c>
      <c r="N93" s="405" t="s">
        <v>7304</v>
      </c>
      <c r="O93" s="26">
        <f>IFERROR(VLOOKUP(Tabla58[[#This Row],[Cod trabalhador]],Tabla15[],4,FALSE),"")</f>
        <v>15</v>
      </c>
      <c r="P93" s="92">
        <f>IFERROR(VLOOKUP(Tabla58[[#This Row],[Cod trabalhador]],'TotalHorasAjustadas (2)'!D:L,8,FALSE),"")</f>
        <v>205</v>
      </c>
      <c r="Q93" s="27">
        <v>205</v>
      </c>
      <c r="R93" s="28" t="s">
        <v>7532</v>
      </c>
      <c r="S93" s="28" t="s">
        <v>7539</v>
      </c>
      <c r="U93" s="25"/>
      <c r="V93" s="220"/>
      <c r="W93" s="27"/>
      <c r="X93" s="28"/>
      <c r="Y93" s="28"/>
      <c r="Z93" s="149"/>
      <c r="AA93" s="392" t="str">
        <f>IFERROR(VLOOKUP(Tabla58[[#This Row],[Cod trabalhador]],Alojamentos!B:P,11,FALSE),"")</f>
        <v/>
      </c>
      <c r="AB93" s="127"/>
      <c r="AC93" s="150"/>
      <c r="AD93" s="35">
        <f>Tabla58[[#This Row],[Dias de alta]]*7.058</f>
        <v>0</v>
      </c>
      <c r="AE93" s="46" t="str">
        <f>IFERROR(VLOOKUP(Tabla58[[#This Row],[Cod trabalhador]],Adiantamentos!B:L,7,FALSE),"")</f>
        <v/>
      </c>
      <c r="AF93" s="46" t="str">
        <f>IFERROR(VLOOKUP(Tabla58[[#This Row],[Cod trabalhador]],Carro!B:D,3,FALSE),"")</f>
        <v/>
      </c>
      <c r="AG93" s="46" t="str">
        <f>IFERROR(VLOOKUP(Tabla58[[#This Row],[Cod trabalhador]],'Outros descontos'!B:O,7,FALSE),"")</f>
        <v/>
      </c>
      <c r="AH93" s="46" t="str">
        <f>IFERROR(VLOOKUP(Tabla58[[#This Row],[Cod trabalhador]],'Outros descontos'!B:M,8,FALSE),"")</f>
        <v/>
      </c>
      <c r="AI93" s="46" t="str">
        <f>IFERROR(VLOOKUP(Tabla58[[#This Row],[Cod trabalhador]],'Outros descontos'!B:M,9,FALSE),"")</f>
        <v/>
      </c>
      <c r="AJ93" s="46" t="str">
        <f>IFERROR(VLOOKUP(Tabla58[[#This Row],[Cod trabalhador]],'Outros descontos'!B:M,10,FALSE),"")</f>
        <v/>
      </c>
      <c r="AK93" s="46" t="str">
        <f>IFERROR(VLOOKUP(Tabla58[[#This Row],[Cod trabalhador]],'Outros descontos'!B:M,11,FALSE),"")</f>
        <v/>
      </c>
      <c r="AL93" s="46" t="str">
        <f>IFERROR(VLOOKUP(Tabla58[[#This Row],[Cod trabalhador]],'Outros descontos'!B:R,12,FALSE),"")</f>
        <v/>
      </c>
      <c r="AM93" s="46" t="str">
        <f>IFERROR(VLOOKUP(Tabla58[[#This Row],[Cod trabalhador]],'Outros descontos'!B:M,13,FALSE),"")</f>
        <v/>
      </c>
      <c r="AN93" s="41"/>
      <c r="AO93" s="37">
        <v>4.08</v>
      </c>
      <c r="AP93" s="15"/>
      <c r="AQ93"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3070.92</v>
      </c>
      <c r="AR93"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3070.92</v>
      </c>
      <c r="AS93" s="15"/>
      <c r="AT93" s="27" t="str">
        <f>IF(Tabla58[[#This Row],[Cod trabalhador]]="", "", INDEX(Iban!C:C, MATCH(Tabla58[[#This Row],[Cod trabalhador]],Iban!A:A, 0)))</f>
        <v>BE19 9055 0045 2612</v>
      </c>
      <c r="AU93" s="27"/>
      <c r="AV93" s="27"/>
      <c r="AW93" s="66" t="s">
        <v>7533</v>
      </c>
      <c r="AX93" s="296" t="s">
        <v>7472</v>
      </c>
    </row>
    <row r="94" spans="1:50" ht="16.5" hidden="1" customHeight="1" x14ac:dyDescent="0.3">
      <c r="A94" s="43"/>
      <c r="B94" s="39" t="s">
        <v>89</v>
      </c>
      <c r="C94" s="45" t="str">
        <f>IF(ISNUMBER(MATCH(Tabla58[[#This Row],[Cod trabalhador]],'Altas Wiseowe'!B:B, 0)), "Ativo", "Não ativo")</f>
        <v>Ativo</v>
      </c>
      <c r="D94" s="44" t="str">
        <f>IFERROR(IF(VLOOKUP(Tabla58[[#This Row],[Cod trabalhador]],'Altas Industrial'!B:E,1,0)&lt;&gt;"","KI",""),"")</f>
        <v/>
      </c>
      <c r="E94" s="44" t="str">
        <f>IFERROR(IF(VLOOKUP(Tabla58[[#This Row],[Cod trabalhador]],'Altas Rosas'!B:F,1,0)&lt;&gt;"","KR",""),"")</f>
        <v/>
      </c>
      <c r="F94" s="44" t="str">
        <f>IFERROR(IF(VLOOKUP(Tabla58[[#This Row],[Cod trabalhador]],'Altas Wiseowe'!B:E,1,0)&lt;&gt;"","WS",""),"")</f>
        <v>WS</v>
      </c>
      <c r="G94" s="101" t="str">
        <f>IFERROR(IF(VLOOKUP(Tabla58[[#This Row],[Cod trabalhador]],'Altas Luminous'!B:E,1,0)&lt;&gt;"","LM",""),"")</f>
        <v/>
      </c>
      <c r="H94" s="51">
        <f>IFERROR(VLOOKUP(Tabla58[[#This Row],[Cod trabalhador]],'Altas Wiseowe'!B:E,3,FALSE),"")</f>
        <v>45945</v>
      </c>
      <c r="I94" s="51" t="str">
        <f>IF(OR(Tabla58[[#This Row],[Cod trabalhador]]="",ISBLANK(Tabla58[[#This Row],[Cod trabalhador]])),"",IFERROR(IF(VLOOKUP(Tabla58[[#This Row],[Cod trabalhador]],'Altas Wiseowe'!B:E,4,FALSE)=0,"",VLOOKUP(Tabla58[[#This Row],[Cod trabalhador]],'Altas Wiseowe'!B:E,4,FALSE)),""))</f>
        <v/>
      </c>
      <c r="J94" s="44">
        <f t="shared" si="2"/>
        <v>31</v>
      </c>
      <c r="K94" s="376" t="s">
        <v>7314</v>
      </c>
      <c r="L94" s="342" t="str">
        <f>IFERROR(IF(Tabla58[[#This Row],[Cod trabalhador]]="",Tabla58[[#This Row],[Cod trabalhador]], INDEX(Colaborador_ID[Nombre], MATCH(Tabla58[[#This Row],[Cod trabalhador]],Colaborador_ID[Cod_colab], 0))), "")</f>
        <v>ALBEIRO OBANDO MICOLTA</v>
      </c>
      <c r="N94" s="405" t="s">
        <v>7312</v>
      </c>
      <c r="O94" s="26">
        <f>IFERROR(VLOOKUP(Tabla58[[#This Row],[Cod trabalhador]],Tabla15[],4,FALSE),"")</f>
        <v>17</v>
      </c>
      <c r="P94" s="92">
        <f>IFERROR(VLOOKUP(Tabla58[[#This Row],[Cod trabalhador]],'TotalHorasAjustadas (2)'!D:L,8,FALSE),"")</f>
        <v>179</v>
      </c>
      <c r="Q94" s="27">
        <v>179</v>
      </c>
      <c r="R94" s="28" t="s">
        <v>7532</v>
      </c>
      <c r="S94" s="28" t="s">
        <v>7539</v>
      </c>
      <c r="U94" s="25"/>
      <c r="V94" s="220"/>
      <c r="W94" s="27"/>
      <c r="X94" s="28"/>
      <c r="Y94" s="28"/>
      <c r="Z94" s="149"/>
      <c r="AA94" s="392">
        <f>IFERROR(VLOOKUP(Tabla58[[#This Row],[Cod trabalhador]],Alojamentos!B:P,11,FALSE),"")</f>
        <v>300</v>
      </c>
      <c r="AB94" s="127"/>
      <c r="AC94" s="150"/>
      <c r="AD94" s="35">
        <f>Tabla58[[#This Row],[Dias de alta]]*7.058</f>
        <v>218.798</v>
      </c>
      <c r="AE94" s="46" t="str">
        <f>IFERROR(VLOOKUP(Tabla58[[#This Row],[Cod trabalhador]],Adiantamentos!B:L,7,FALSE),"")</f>
        <v/>
      </c>
      <c r="AF94" s="46" t="str">
        <f>IFERROR(VLOOKUP(Tabla58[[#This Row],[Cod trabalhador]],Carro!B:D,3,FALSE),"")</f>
        <v/>
      </c>
      <c r="AG94" s="46" t="str">
        <f>IFERROR(VLOOKUP(Tabla58[[#This Row],[Cod trabalhador]],'Outros descontos'!B:O,7,FALSE),"")</f>
        <v/>
      </c>
      <c r="AH94" s="46" t="str">
        <f>IFERROR(VLOOKUP(Tabla58[[#This Row],[Cod trabalhador]],'Outros descontos'!B:M,8,FALSE),"")</f>
        <v/>
      </c>
      <c r="AI94" s="46" t="str">
        <f>IFERROR(VLOOKUP(Tabla58[[#This Row],[Cod trabalhador]],'Outros descontos'!B:M,9,FALSE),"")</f>
        <v/>
      </c>
      <c r="AJ94" s="46" t="str">
        <f>IFERROR(VLOOKUP(Tabla58[[#This Row],[Cod trabalhador]],'Outros descontos'!B:M,10,FALSE),"")</f>
        <v/>
      </c>
      <c r="AK94" s="46" t="str">
        <f>IFERROR(VLOOKUP(Tabla58[[#This Row],[Cod trabalhador]],'Outros descontos'!B:M,11,FALSE),"")</f>
        <v/>
      </c>
      <c r="AL94" s="46" t="str">
        <f>IFERROR(VLOOKUP(Tabla58[[#This Row],[Cod trabalhador]],'Outros descontos'!B:R,12,FALSE),"")</f>
        <v/>
      </c>
      <c r="AM94" s="46" t="str">
        <f>IFERROR(VLOOKUP(Tabla58[[#This Row],[Cod trabalhador]],'Outros descontos'!B:M,13,FALSE),"")</f>
        <v/>
      </c>
      <c r="AN94" s="41"/>
      <c r="AO94" s="37">
        <v>4.08</v>
      </c>
      <c r="AP94" s="15"/>
      <c r="AQ94"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3120.1220000000003</v>
      </c>
      <c r="AR94"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3120.1220000000003</v>
      </c>
      <c r="AS94" s="15"/>
      <c r="AT94" s="27" t="str">
        <f>IF(Tabla58[[#This Row],[Cod trabalhador]]="", "", INDEX(Iban!C:C, MATCH(Tabla58[[#This Row],[Cod trabalhador]],Iban!A:A, 0)))</f>
        <v>ES64 0182 1216 2502 0159 8939</v>
      </c>
      <c r="AU94" s="27"/>
      <c r="AV94" s="27"/>
      <c r="AW94" s="66" t="s">
        <v>7540</v>
      </c>
      <c r="AX94" s="296" t="s">
        <v>7472</v>
      </c>
    </row>
    <row r="95" spans="1:50" ht="16.95" hidden="1" customHeight="1" x14ac:dyDescent="0.3">
      <c r="A95" s="43"/>
      <c r="B95" s="39" t="s">
        <v>294</v>
      </c>
      <c r="C95" s="45" t="str">
        <f>IF(ISNUMBER(MATCH(Tabla58[[#This Row],[Cod trabalhador]],'Altas Wiseowe'!B:B, 0)), "Ativo", "Não ativo")</f>
        <v>Não ativo</v>
      </c>
      <c r="D95" s="44" t="str">
        <f>IFERROR(IF(VLOOKUP(Tabla58[[#This Row],[Cod trabalhador]],'Altas Industrial'!B:E,1,0)&lt;&gt;"","KI",""),"")</f>
        <v/>
      </c>
      <c r="E95" s="44" t="str">
        <f>IFERROR(IF(VLOOKUP(Tabla58[[#This Row],[Cod trabalhador]],'Altas Rosas'!B:F,1,0)&lt;&gt;"","KR",""),"")</f>
        <v/>
      </c>
      <c r="F95" s="44" t="str">
        <f>IFERROR(IF(VLOOKUP(Tabla58[[#This Row],[Cod trabalhador]],'Altas Wiseowe'!B:E,1,0)&lt;&gt;"","WS",""),"")</f>
        <v/>
      </c>
      <c r="G95" s="101" t="str">
        <f>IFERROR(IF(VLOOKUP(Tabla58[[#This Row],[Cod trabalhador]],'Altas Luminous'!B:E,1,0)&lt;&gt;"","LM",""),"")</f>
        <v/>
      </c>
      <c r="H95" s="51" t="str">
        <f>IFERROR(VLOOKUP(Tabla58[[#This Row],[Cod trabalhador]],'Altas Wiseowe'!B:E,3,FALSE),"")</f>
        <v/>
      </c>
      <c r="I95" s="51" t="str">
        <f>IF(OR(Tabla58[[#This Row],[Cod trabalhador]]="",ISBLANK(Tabla58[[#This Row],[Cod trabalhador]])),"",IFERROR(IF(VLOOKUP(Tabla58[[#This Row],[Cod trabalhador]],'Altas Wiseowe'!B:E,4,FALSE)=0,"",VLOOKUP(Tabla58[[#This Row],[Cod trabalhador]],'Altas Wiseowe'!B:E,4,FALSE)),""))</f>
        <v/>
      </c>
      <c r="J95" s="44">
        <f t="shared" si="2"/>
        <v>0</v>
      </c>
      <c r="K95" s="376" t="s">
        <v>7313</v>
      </c>
      <c r="L95" s="342" t="str">
        <f>IFERROR(IF(Tabla58[[#This Row],[Cod trabalhador]]="",Tabla58[[#This Row],[Cod trabalhador]], INDEX(Colaborador_ID[Nombre], MATCH(Tabla58[[#This Row],[Cod trabalhador]],Colaborador_ID[Cod_colab], 0))), "")</f>
        <v>ALVARO ARIZA CONTRERAS</v>
      </c>
      <c r="N95" s="405" t="s">
        <v>7312</v>
      </c>
      <c r="O95" s="26">
        <f>IFERROR(VLOOKUP(Tabla58[[#This Row],[Cod trabalhador]],Tabla15[],4,FALSE),"")</f>
        <v>15</v>
      </c>
      <c r="P95" s="92">
        <f>IFERROR(VLOOKUP(Tabla58[[#This Row],[Cod trabalhador]],'TotalHorasAjustadas (2)'!D:L,8,FALSE),"")</f>
        <v>18</v>
      </c>
      <c r="Q95" s="27">
        <f>18+27</f>
        <v>45</v>
      </c>
      <c r="R95" s="28" t="s">
        <v>7532</v>
      </c>
      <c r="S95" s="28" t="s">
        <v>7539</v>
      </c>
      <c r="U95" s="25"/>
      <c r="V95" s="220"/>
      <c r="W95" s="27"/>
      <c r="X95" s="28"/>
      <c r="Y95" s="28"/>
      <c r="Z95" s="149"/>
      <c r="AA95" s="392" t="str">
        <f>IFERROR(VLOOKUP(Tabla58[[#This Row],[Cod trabalhador]],Alojamentos!B:P,11,FALSE),"")</f>
        <v/>
      </c>
      <c r="AB95" s="127"/>
      <c r="AC95" s="150"/>
      <c r="AD95" s="35">
        <f>Tabla58[[#This Row],[Dias de alta]]*7.058</f>
        <v>0</v>
      </c>
      <c r="AE95" s="46" t="str">
        <f>IFERROR(VLOOKUP(Tabla58[[#This Row],[Cod trabalhador]],Adiantamentos!B:L,7,FALSE),"")</f>
        <v/>
      </c>
      <c r="AF95" s="46" t="str">
        <f>IFERROR(VLOOKUP(Tabla58[[#This Row],[Cod trabalhador]],Carro!B:D,3,FALSE),"")</f>
        <v/>
      </c>
      <c r="AG95" s="46" t="str">
        <f>IFERROR(VLOOKUP(Tabla58[[#This Row],[Cod trabalhador]],'Outros descontos'!B:O,7,FALSE),"")</f>
        <v/>
      </c>
      <c r="AH95" s="46" t="str">
        <f>IFERROR(VLOOKUP(Tabla58[[#This Row],[Cod trabalhador]],'Outros descontos'!B:M,8,FALSE),"")</f>
        <v/>
      </c>
      <c r="AI95" s="46" t="str">
        <f>IFERROR(VLOOKUP(Tabla58[[#This Row],[Cod trabalhador]],'Outros descontos'!B:M,9,FALSE),"")</f>
        <v/>
      </c>
      <c r="AJ95" s="46" t="str">
        <f>IFERROR(VLOOKUP(Tabla58[[#This Row],[Cod trabalhador]],'Outros descontos'!B:M,10,FALSE),"")</f>
        <v/>
      </c>
      <c r="AK95" s="46" t="str">
        <f>IFERROR(VLOOKUP(Tabla58[[#This Row],[Cod trabalhador]],'Outros descontos'!B:M,11,FALSE),"")</f>
        <v/>
      </c>
      <c r="AL95" s="46" t="str">
        <f>IFERROR(VLOOKUP(Tabla58[[#This Row],[Cod trabalhador]],'Outros descontos'!B:R,12,FALSE),"")</f>
        <v/>
      </c>
      <c r="AM95" s="46" t="str">
        <f>IFERROR(VLOOKUP(Tabla58[[#This Row],[Cod trabalhador]],'Outros descontos'!B:M,13,FALSE),"")</f>
        <v/>
      </c>
      <c r="AN95" s="41"/>
      <c r="AO95" s="37">
        <v>4.08</v>
      </c>
      <c r="AQ95"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265.92</v>
      </c>
      <c r="AR95"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670.92</v>
      </c>
      <c r="AT95" s="27" t="str">
        <f>IF(Tabla58[[#This Row],[Cod trabalhador]]="", "", INDEX(Iban!C:C, MATCH(Tabla58[[#This Row],[Cod trabalhador]],Iban!A:A, 0)))</f>
        <v>ES43 6893 0001 7400 0030 8121</v>
      </c>
      <c r="AU95" s="27"/>
      <c r="AV95" s="27"/>
      <c r="AW95" s="66" t="s">
        <v>7533</v>
      </c>
      <c r="AX95" s="296" t="s">
        <v>7472</v>
      </c>
    </row>
    <row r="96" spans="1:50" ht="16.5" hidden="1" customHeight="1" x14ac:dyDescent="0.3">
      <c r="A96" s="43"/>
      <c r="B96" s="39" t="s">
        <v>311</v>
      </c>
      <c r="C96" s="45" t="str">
        <f>IF(ISNUMBER(MATCH(Tabla58[[#This Row],[Cod trabalhador]],'Altas Wiseowe'!B:B, 0)), "Ativo", "Não ativo")</f>
        <v>Não ativo</v>
      </c>
      <c r="D96" s="44" t="str">
        <f>IFERROR(IF(VLOOKUP(Tabla58[[#This Row],[Cod trabalhador]],'Altas Industrial'!B:E,1,0)&lt;&gt;"","KI",""),"")</f>
        <v/>
      </c>
      <c r="E96" s="44" t="str">
        <f>IFERROR(IF(VLOOKUP(Tabla58[[#This Row],[Cod trabalhador]],'Altas Rosas'!B:F,1,0)&lt;&gt;"","KR",""),"")</f>
        <v/>
      </c>
      <c r="F96" s="44" t="str">
        <f>IFERROR(IF(VLOOKUP(Tabla58[[#This Row],[Cod trabalhador]],'Altas Wiseowe'!B:E,1,0)&lt;&gt;"","WS",""),"")</f>
        <v/>
      </c>
      <c r="G96" s="101" t="str">
        <f>IFERROR(IF(VLOOKUP(Tabla58[[#This Row],[Cod trabalhador]],'Altas Luminous'!B:E,1,0)&lt;&gt;"","LM",""),"")</f>
        <v/>
      </c>
      <c r="H96" s="51" t="str">
        <f>IFERROR(VLOOKUP(Tabla58[[#This Row],[Cod trabalhador]],'Altas Wiseowe'!B:E,3,FALSE),"")</f>
        <v/>
      </c>
      <c r="I96" s="51" t="str">
        <f>IF(OR(Tabla58[[#This Row],[Cod trabalhador]]="",ISBLANK(Tabla58[[#This Row],[Cod trabalhador]])),"",IFERROR(IF(VLOOKUP(Tabla58[[#This Row],[Cod trabalhador]],'Altas Wiseowe'!B:E,4,FALSE)=0,"",VLOOKUP(Tabla58[[#This Row],[Cod trabalhador]],'Altas Wiseowe'!B:E,4,FALSE)),""))</f>
        <v/>
      </c>
      <c r="J96" s="44">
        <f t="shared" si="2"/>
        <v>0</v>
      </c>
      <c r="K96" s="376" t="s">
        <v>312</v>
      </c>
      <c r="L96" s="342" t="str">
        <f>IFERROR(IF(Tabla58[[#This Row],[Cod trabalhador]]="",Tabla58[[#This Row],[Cod trabalhador]], INDEX(Colaborador_ID[Nombre], MATCH(Tabla58[[#This Row],[Cod trabalhador]],Colaborador_ID[Cod_colab], 0))), "")</f>
        <v>ALVARO FIGUEROA ARANGO</v>
      </c>
      <c r="N96" s="405" t="s">
        <v>7312</v>
      </c>
      <c r="O96" s="26">
        <f>IFERROR(VLOOKUP(Tabla58[[#This Row],[Cod trabalhador]],Tabla15[],4,FALSE),"")</f>
        <v>15</v>
      </c>
      <c r="P96" s="92">
        <f>IFERROR(VLOOKUP(Tabla58[[#This Row],[Cod trabalhador]],'TotalHorasAjustadas (2)'!D:L,8,FALSE),"")</f>
        <v>202</v>
      </c>
      <c r="Q96" s="27">
        <v>202</v>
      </c>
      <c r="R96" s="28" t="s">
        <v>7532</v>
      </c>
      <c r="S96" s="28" t="s">
        <v>7539</v>
      </c>
      <c r="U96" s="25"/>
      <c r="V96" s="220"/>
      <c r="W96" s="27"/>
      <c r="X96" s="28"/>
      <c r="Y96" s="28"/>
      <c r="Z96" s="149"/>
      <c r="AA96" s="392" t="str">
        <f>IFERROR(VLOOKUP(Tabla58[[#This Row],[Cod trabalhador]],Alojamentos!B:P,11,FALSE),"")</f>
        <v/>
      </c>
      <c r="AB96" s="127"/>
      <c r="AC96" s="150"/>
      <c r="AD96" s="35">
        <f>Tabla58[[#This Row],[Dias de alta]]*7.058</f>
        <v>0</v>
      </c>
      <c r="AE96" s="46">
        <f>IFERROR(VLOOKUP(Tabla58[[#This Row],[Cod trabalhador]],Adiantamentos!B:L,7,FALSE),"")</f>
        <v>200</v>
      </c>
      <c r="AF96" s="46">
        <f>IFERROR(VLOOKUP(Tabla58[[#This Row],[Cod trabalhador]],Carro!B:D,3,FALSE),"")</f>
        <v>111.11111111111111</v>
      </c>
      <c r="AG96" s="46">
        <f>IFERROR(VLOOKUP(Tabla58[[#This Row],[Cod trabalhador]],'Outros descontos'!B:O,7,FALSE),"")</f>
        <v>40</v>
      </c>
      <c r="AH96" s="46">
        <f>IFERROR(VLOOKUP(Tabla58[[#This Row],[Cod trabalhador]],'Outros descontos'!B:M,8,FALSE),"")</f>
        <v>0</v>
      </c>
      <c r="AI96" s="46">
        <f>IFERROR(VLOOKUP(Tabla58[[#This Row],[Cod trabalhador]],'Outros descontos'!B:M,9,FALSE),"")</f>
        <v>0</v>
      </c>
      <c r="AJ96" s="46">
        <f>IFERROR(VLOOKUP(Tabla58[[#This Row],[Cod trabalhador]],'Outros descontos'!B:M,10,FALSE),"")</f>
        <v>0</v>
      </c>
      <c r="AK96" s="46">
        <f>IFERROR(VLOOKUP(Tabla58[[#This Row],[Cod trabalhador]],'Outros descontos'!B:M,11,FALSE),"")</f>
        <v>0</v>
      </c>
      <c r="AL96" s="46">
        <f>IFERROR(VLOOKUP(Tabla58[[#This Row],[Cod trabalhador]],'Outros descontos'!B:R,12,FALSE),"")</f>
        <v>0</v>
      </c>
      <c r="AM96" s="46" t="str">
        <f>IFERROR(VLOOKUP(Tabla58[[#This Row],[Cod trabalhador]],'Outros descontos'!B:M,13,FALSE),"")</f>
        <v/>
      </c>
      <c r="AN96" s="41"/>
      <c r="AO96" s="37">
        <v>4.08</v>
      </c>
      <c r="AP96" s="15"/>
      <c r="AQ96"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2674.8088888888888</v>
      </c>
      <c r="AR96"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2674.8088888888888</v>
      </c>
      <c r="AS96" s="15"/>
      <c r="AT96" s="27" t="str">
        <f>IF(Tabla58[[#This Row],[Cod trabalhador]]="", "", INDEX(Iban!C:C, MATCH(Tabla58[[#This Row],[Cod trabalhador]],Iban!A:A, 0)))</f>
        <v>ES09 0182 0702 3702 0164 8709</v>
      </c>
      <c r="AU96" s="27"/>
      <c r="AV96" s="27"/>
      <c r="AW96" s="66" t="s">
        <v>7533</v>
      </c>
      <c r="AX96" s="296" t="s">
        <v>7472</v>
      </c>
    </row>
    <row r="97" spans="1:50" ht="16.5" hidden="1" customHeight="1" x14ac:dyDescent="0.3">
      <c r="A97" s="43"/>
      <c r="B97" s="39" t="s">
        <v>316</v>
      </c>
      <c r="C97" s="45" t="str">
        <f>IF(ISNUMBER(MATCH(Tabla58[[#This Row],[Cod trabalhador]],'Altas Wiseowe'!B:B, 0)), "Ativo", "Não ativo")</f>
        <v>Não ativo</v>
      </c>
      <c r="D97" s="44" t="str">
        <f>IFERROR(IF(VLOOKUP(Tabla58[[#This Row],[Cod trabalhador]],'Altas Industrial'!B:E,1,0)&lt;&gt;"","KI",""),"")</f>
        <v/>
      </c>
      <c r="E97" s="44" t="str">
        <f>IFERROR(IF(VLOOKUP(Tabla58[[#This Row],[Cod trabalhador]],'Altas Rosas'!B:F,1,0)&lt;&gt;"","KR",""),"")</f>
        <v>KR</v>
      </c>
      <c r="F97" s="44" t="str">
        <f>IFERROR(IF(VLOOKUP(Tabla58[[#This Row],[Cod trabalhador]],'Altas Wiseowe'!B:E,1,0)&lt;&gt;"","WS",""),"")</f>
        <v/>
      </c>
      <c r="G97" s="101" t="str">
        <f>IFERROR(IF(VLOOKUP(Tabla58[[#This Row],[Cod trabalhador]],'Altas Luminous'!B:E,1,0)&lt;&gt;"","LM",""),"")</f>
        <v/>
      </c>
      <c r="H97" s="51" t="str">
        <f>IFERROR(VLOOKUP(Tabla58[[#This Row],[Cod trabalhador]],'Altas Wiseowe'!B:E,3,FALSE),"")</f>
        <v/>
      </c>
      <c r="I97" s="51" t="str">
        <f>IF(OR(Tabla58[[#This Row],[Cod trabalhador]]="",ISBLANK(Tabla58[[#This Row],[Cod trabalhador]])),"",IFERROR(IF(VLOOKUP(Tabla58[[#This Row],[Cod trabalhador]],'Altas Wiseowe'!B:E,4,FALSE)=0,"",VLOOKUP(Tabla58[[#This Row],[Cod trabalhador]],'Altas Wiseowe'!B:E,4,FALSE)),""))</f>
        <v/>
      </c>
      <c r="J97" s="44">
        <f t="shared" si="2"/>
        <v>0</v>
      </c>
      <c r="K97" s="376" t="s">
        <v>317</v>
      </c>
      <c r="L97" s="342" t="str">
        <f>IFERROR(IF(Tabla58[[#This Row],[Cod trabalhador]]="",Tabla58[[#This Row],[Cod trabalhador]], INDEX(Colaborador_ID[Nombre], MATCH(Tabla58[[#This Row],[Cod trabalhador]],Colaborador_ID[Cod_colab], 0))), "")</f>
        <v>ALVARO JAVIER NARVAEZ MUÑOZ</v>
      </c>
      <c r="N97" s="405" t="s">
        <v>7312</v>
      </c>
      <c r="O97" s="26">
        <v>15</v>
      </c>
      <c r="P97" s="92">
        <f>IFERROR(VLOOKUP(Tabla58[[#This Row],[Cod trabalhador]],'TotalHorasAjustadas (2)'!D:L,8,FALSE),"")</f>
        <v>144</v>
      </c>
      <c r="Q97" s="27">
        <v>144</v>
      </c>
      <c r="R97" s="28" t="s">
        <v>7532</v>
      </c>
      <c r="S97" s="28" t="s">
        <v>7539</v>
      </c>
      <c r="U97" s="25"/>
      <c r="V97" s="220"/>
      <c r="W97" s="27"/>
      <c r="X97" s="28"/>
      <c r="Y97" s="28"/>
      <c r="Z97" s="149"/>
      <c r="AA97" s="392">
        <f>IFERROR(VLOOKUP(Tabla58[[#This Row],[Cod trabalhador]],Alojamentos!B:P,11,FALSE),"")</f>
        <v>300</v>
      </c>
      <c r="AB97" s="127"/>
      <c r="AC97" s="150"/>
      <c r="AD97" s="35">
        <f>Tabla58[[#This Row],[Dias de alta]]*7.058</f>
        <v>0</v>
      </c>
      <c r="AE97" s="46" t="str">
        <f>IFERROR(VLOOKUP(Tabla58[[#This Row],[Cod trabalhador]],Adiantamentos!B:L,7,FALSE),"")</f>
        <v/>
      </c>
      <c r="AF97" s="46" t="str">
        <f>IFERROR(VLOOKUP(Tabla58[[#This Row],[Cod trabalhador]],Carro!B:D,3,FALSE),"")</f>
        <v/>
      </c>
      <c r="AG97" s="46" t="str">
        <f>IFERROR(VLOOKUP(Tabla58[[#This Row],[Cod trabalhador]],'Outros descontos'!B:O,7,FALSE),"")</f>
        <v/>
      </c>
      <c r="AH97" s="46" t="str">
        <f>IFERROR(VLOOKUP(Tabla58[[#This Row],[Cod trabalhador]],'Outros descontos'!B:M,8,FALSE),"")</f>
        <v/>
      </c>
      <c r="AI97" s="46" t="str">
        <f>IFERROR(VLOOKUP(Tabla58[[#This Row],[Cod trabalhador]],'Outros descontos'!B:M,9,FALSE),"")</f>
        <v/>
      </c>
      <c r="AJ97" s="46" t="str">
        <f>IFERROR(VLOOKUP(Tabla58[[#This Row],[Cod trabalhador]],'Outros descontos'!B:M,10,FALSE),"")</f>
        <v/>
      </c>
      <c r="AK97" s="46" t="str">
        <f>IFERROR(VLOOKUP(Tabla58[[#This Row],[Cod trabalhador]],'Outros descontos'!B:M,11,FALSE),"")</f>
        <v/>
      </c>
      <c r="AL97" s="46" t="str">
        <f>IFERROR(VLOOKUP(Tabla58[[#This Row],[Cod trabalhador]],'Outros descontos'!B:R,12,FALSE),"")</f>
        <v/>
      </c>
      <c r="AM97" s="46" t="str">
        <f>IFERROR(VLOOKUP(Tabla58[[#This Row],[Cod trabalhador]],'Outros descontos'!B:M,13,FALSE),"")</f>
        <v/>
      </c>
      <c r="AN97" s="41"/>
      <c r="AO97" s="37">
        <v>4.08</v>
      </c>
      <c r="AP97" s="15"/>
      <c r="AQ97"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2455.92</v>
      </c>
      <c r="AR97"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2455.92</v>
      </c>
      <c r="AS97" s="15"/>
      <c r="AT97" s="27" t="str">
        <f>IF(Tabla58[[#This Row],[Cod trabalhador]]="", "", INDEX(Iban!C:C, MATCH(Tabla58[[#This Row],[Cod trabalhador]],Iban!A:A, 0)))</f>
        <v>ES66 0182 5430 4802 0169 1559</v>
      </c>
      <c r="AU97" s="27"/>
      <c r="AV97" s="27"/>
      <c r="AW97" s="66" t="s">
        <v>7533</v>
      </c>
      <c r="AX97" s="296" t="s">
        <v>7472</v>
      </c>
    </row>
    <row r="98" spans="1:50" ht="16.5" hidden="1" customHeight="1" x14ac:dyDescent="0.3">
      <c r="A98" s="43"/>
      <c r="B98" s="39" t="s">
        <v>407</v>
      </c>
      <c r="C98" s="45" t="str">
        <f>IF(ISNUMBER(MATCH(Tabla58[[#This Row],[Cod trabalhador]],'Altas Wiseowe'!B:B, 0)), "Ativo", "Não ativo")</f>
        <v>Não ativo</v>
      </c>
      <c r="D98" s="44" t="str">
        <f>IFERROR(IF(VLOOKUP(Tabla58[[#This Row],[Cod trabalhador]],'Altas Industrial'!B:E,1,0)&lt;&gt;"","KI",""),"")</f>
        <v/>
      </c>
      <c r="E98" s="44" t="str">
        <f>IFERROR(IF(VLOOKUP(Tabla58[[#This Row],[Cod trabalhador]],'Altas Rosas'!B:F,1,0)&lt;&gt;"","KR",""),"")</f>
        <v/>
      </c>
      <c r="F98" s="44" t="str">
        <f>IFERROR(IF(VLOOKUP(Tabla58[[#This Row],[Cod trabalhador]],'Altas Wiseowe'!B:E,1,0)&lt;&gt;"","WS",""),"")</f>
        <v/>
      </c>
      <c r="G98" s="101" t="str">
        <f>IFERROR(IF(VLOOKUP(Tabla58[[#This Row],[Cod trabalhador]],'Altas Luminous'!B:E,1,0)&lt;&gt;"","LM",""),"")</f>
        <v/>
      </c>
      <c r="H98" s="51" t="str">
        <f>IFERROR(VLOOKUP(Tabla58[[#This Row],[Cod trabalhador]],'Altas Wiseowe'!B:E,3,FALSE),"")</f>
        <v/>
      </c>
      <c r="I98" s="51" t="str">
        <f>IF(OR(Tabla58[[#This Row],[Cod trabalhador]]="",ISBLANK(Tabla58[[#This Row],[Cod trabalhador]])),"",IFERROR(IF(VLOOKUP(Tabla58[[#This Row],[Cod trabalhador]],'Altas Wiseowe'!B:E,4,FALSE)=0,"",VLOOKUP(Tabla58[[#This Row],[Cod trabalhador]],'Altas Wiseowe'!B:E,4,FALSE)),""))</f>
        <v/>
      </c>
      <c r="J98" s="44">
        <f t="shared" si="2"/>
        <v>0</v>
      </c>
      <c r="K98" s="376" t="s">
        <v>7315</v>
      </c>
      <c r="L98" s="342" t="str">
        <f>IFERROR(IF(Tabla58[[#This Row],[Cod trabalhador]]="",Tabla58[[#This Row],[Cod trabalhador]], INDEX(Colaborador_ID[Nombre], MATCH(Tabla58[[#This Row],[Cod trabalhador]],Colaborador_ID[Cod_colab], 0))), "")</f>
        <v>ANDRES FELIPE PULIDO GOMEZ</v>
      </c>
      <c r="N98" s="405" t="s">
        <v>7312</v>
      </c>
      <c r="O98" s="26">
        <f>IFERROR(VLOOKUP(Tabla58[[#This Row],[Cod trabalhador]],Tabla15[],4,FALSE),"")</f>
        <v>15</v>
      </c>
      <c r="P98" s="92">
        <f>IFERROR(VLOOKUP(Tabla58[[#This Row],[Cod trabalhador]],'TotalHorasAjustadas (2)'!D:L,8,FALSE),"")</f>
        <v>0</v>
      </c>
      <c r="Q98" s="27">
        <v>153</v>
      </c>
      <c r="R98" s="28" t="s">
        <v>7532</v>
      </c>
      <c r="S98" s="28" t="s">
        <v>7539</v>
      </c>
      <c r="U98" s="25"/>
      <c r="V98" s="220"/>
      <c r="W98" s="27"/>
      <c r="X98" s="28"/>
      <c r="Y98" s="28"/>
      <c r="Z98" s="149"/>
      <c r="AA98" s="392">
        <f>IFERROR(VLOOKUP(Tabla58[[#This Row],[Cod trabalhador]],Alojamentos!B:P,11,FALSE),"")</f>
        <v>110</v>
      </c>
      <c r="AB98" s="127"/>
      <c r="AC98" s="150"/>
      <c r="AD98" s="35">
        <f>Tabla58[[#This Row],[Dias de alta]]*7.058</f>
        <v>0</v>
      </c>
      <c r="AE98" s="46" t="str">
        <f>IFERROR(VLOOKUP(Tabla58[[#This Row],[Cod trabalhador]],Adiantamentos!B:L,7,FALSE),"")</f>
        <v/>
      </c>
      <c r="AF98" s="46" t="str">
        <f>IFERROR(VLOOKUP(Tabla58[[#This Row],[Cod trabalhador]],Carro!B:D,3,FALSE),"")</f>
        <v/>
      </c>
      <c r="AG98" s="46" t="str">
        <f>IFERROR(VLOOKUP(Tabla58[[#This Row],[Cod trabalhador]],'Outros descontos'!B:O,7,FALSE),"")</f>
        <v/>
      </c>
      <c r="AH98" s="46" t="str">
        <f>IFERROR(VLOOKUP(Tabla58[[#This Row],[Cod trabalhador]],'Outros descontos'!B:M,8,FALSE),"")</f>
        <v/>
      </c>
      <c r="AI98" s="46" t="str">
        <f>IFERROR(VLOOKUP(Tabla58[[#This Row],[Cod trabalhador]],'Outros descontos'!B:M,9,FALSE),"")</f>
        <v/>
      </c>
      <c r="AJ98" s="46" t="str">
        <f>IFERROR(VLOOKUP(Tabla58[[#This Row],[Cod trabalhador]],'Outros descontos'!B:M,10,FALSE),"")</f>
        <v/>
      </c>
      <c r="AK98" s="46" t="str">
        <f>IFERROR(VLOOKUP(Tabla58[[#This Row],[Cod trabalhador]],'Outros descontos'!B:M,11,FALSE),"")</f>
        <v/>
      </c>
      <c r="AL98" s="46" t="str">
        <f>IFERROR(VLOOKUP(Tabla58[[#This Row],[Cod trabalhador]],'Outros descontos'!B:R,12,FALSE),"")</f>
        <v/>
      </c>
      <c r="AM98" s="46" t="str">
        <f>IFERROR(VLOOKUP(Tabla58[[#This Row],[Cod trabalhador]],'Outros descontos'!B:M,13,FALSE),"")</f>
        <v/>
      </c>
      <c r="AN98" s="41"/>
      <c r="AO98" s="37">
        <v>4.08</v>
      </c>
      <c r="AP98" s="15"/>
      <c r="AQ98"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105.92</v>
      </c>
      <c r="AR98"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2400.92</v>
      </c>
      <c r="AS98" s="15"/>
      <c r="AT98" s="27" t="str">
        <f>IF(Tabla58[[#This Row],[Cod trabalhador]]="", "", INDEX(Iban!C:C, MATCH(Tabla58[[#This Row],[Cod trabalhador]],Iban!A:A, 0)))</f>
        <v>ES64 0182 3961 5402 0176 6982</v>
      </c>
      <c r="AU98" s="27"/>
      <c r="AV98" s="97"/>
      <c r="AW98" s="66" t="s">
        <v>7533</v>
      </c>
      <c r="AX98" s="296" t="s">
        <v>7472</v>
      </c>
    </row>
    <row r="99" spans="1:50" ht="16.5" hidden="1" customHeight="1" x14ac:dyDescent="0.3">
      <c r="A99" s="43"/>
      <c r="B99" s="39" t="s">
        <v>642</v>
      </c>
      <c r="C99" s="45" t="str">
        <f>IF(ISNUMBER(MATCH(Tabla58[[#This Row],[Cod trabalhador]],'Altas Wiseowe'!B:B, 0)), "Ativo", "Não ativo")</f>
        <v>Não ativo</v>
      </c>
      <c r="D99" s="44" t="str">
        <f>IFERROR(IF(VLOOKUP(Tabla58[[#This Row],[Cod trabalhador]],'Altas Industrial'!B:E,1,0)&lt;&gt;"","KI",""),"")</f>
        <v/>
      </c>
      <c r="E99" s="44" t="str">
        <f>IFERROR(IF(VLOOKUP(Tabla58[[#This Row],[Cod trabalhador]],'Altas Rosas'!B:F,1,0)&lt;&gt;"","KR",""),"")</f>
        <v/>
      </c>
      <c r="F99" s="44" t="str">
        <f>IFERROR(IF(VLOOKUP(Tabla58[[#This Row],[Cod trabalhador]],'Altas Wiseowe'!B:E,1,0)&lt;&gt;"","WS",""),"")</f>
        <v/>
      </c>
      <c r="G99" s="101" t="str">
        <f>IFERROR(IF(VLOOKUP(Tabla58[[#This Row],[Cod trabalhador]],'Altas Luminous'!B:E,1,0)&lt;&gt;"","LM",""),"")</f>
        <v/>
      </c>
      <c r="H99" s="51" t="str">
        <f>IFERROR(VLOOKUP(Tabla58[[#This Row],[Cod trabalhador]],'Altas Wiseowe'!B:E,3,FALSE),"")</f>
        <v/>
      </c>
      <c r="I99" s="51" t="str">
        <f>IF(OR(Tabla58[[#This Row],[Cod trabalhador]]="",ISBLANK(Tabla58[[#This Row],[Cod trabalhador]])),"",IFERROR(IF(VLOOKUP(Tabla58[[#This Row],[Cod trabalhador]],'Altas Wiseowe'!B:E,4,FALSE)=0,"",VLOOKUP(Tabla58[[#This Row],[Cod trabalhador]],'Altas Wiseowe'!B:E,4,FALSE)),""))</f>
        <v/>
      </c>
      <c r="J99" s="44">
        <f t="shared" si="2"/>
        <v>0</v>
      </c>
      <c r="K99" s="376" t="s">
        <v>7316</v>
      </c>
      <c r="L99" s="342" t="str">
        <f>IFERROR(IF(Tabla58[[#This Row],[Cod trabalhador]]="",Tabla58[[#This Row],[Cod trabalhador]], INDEX(Colaborador_ID[Nombre], MATCH(Tabla58[[#This Row],[Cod trabalhador]],Colaborador_ID[Cod_colab], 0))), "")</f>
        <v>BRAYAN JOSE SALINAS MARTINEZ</v>
      </c>
      <c r="N99" s="405" t="s">
        <v>7312</v>
      </c>
      <c r="O99" s="26">
        <f>IFERROR(VLOOKUP(Tabla58[[#This Row],[Cod trabalhador]],Tabla15[],4,FALSE),"")</f>
        <v>15</v>
      </c>
      <c r="P99" s="92">
        <v>165</v>
      </c>
      <c r="Q99" s="27">
        <v>174</v>
      </c>
      <c r="R99" s="28" t="s">
        <v>7532</v>
      </c>
      <c r="S99" s="28" t="s">
        <v>7539</v>
      </c>
      <c r="U99" s="25"/>
      <c r="V99" s="220"/>
      <c r="W99" s="27"/>
      <c r="X99" s="28"/>
      <c r="Y99" s="28"/>
      <c r="Z99" s="149"/>
      <c r="AA99" s="392" t="str">
        <f>IFERROR(VLOOKUP(Tabla58[[#This Row],[Cod trabalhador]],Alojamentos!B:P,11,FALSE),"")</f>
        <v/>
      </c>
      <c r="AB99" s="127"/>
      <c r="AC99" s="150"/>
      <c r="AD99" s="35">
        <f>Tabla58[[#This Row],[Dias de alta]]*7.058</f>
        <v>0</v>
      </c>
      <c r="AE99" s="46" t="str">
        <f>IFERROR(VLOOKUP(Tabla58[[#This Row],[Cod trabalhador]],Adiantamentos!B:L,7,FALSE),"")</f>
        <v/>
      </c>
      <c r="AF99" s="46" t="str">
        <f>IFERROR(VLOOKUP(Tabla58[[#This Row],[Cod trabalhador]],Carro!B:D,3,FALSE),"")</f>
        <v/>
      </c>
      <c r="AG99" s="46" t="str">
        <f>IFERROR(VLOOKUP(Tabla58[[#This Row],[Cod trabalhador]],'Outros descontos'!B:O,7,FALSE),"")</f>
        <v/>
      </c>
      <c r="AH99" s="46" t="str">
        <f>IFERROR(VLOOKUP(Tabla58[[#This Row],[Cod trabalhador]],'Outros descontos'!B:M,8,FALSE),"")</f>
        <v/>
      </c>
      <c r="AI99" s="46" t="str">
        <f>IFERROR(VLOOKUP(Tabla58[[#This Row],[Cod trabalhador]],'Outros descontos'!B:M,9,FALSE),"")</f>
        <v/>
      </c>
      <c r="AJ99" s="46" t="str">
        <f>IFERROR(VLOOKUP(Tabla58[[#This Row],[Cod trabalhador]],'Outros descontos'!B:M,10,FALSE),"")</f>
        <v/>
      </c>
      <c r="AK99" s="46" t="str">
        <f>IFERROR(VLOOKUP(Tabla58[[#This Row],[Cod trabalhador]],'Outros descontos'!B:M,11,FALSE),"")</f>
        <v/>
      </c>
      <c r="AL99" s="46" t="str">
        <f>IFERROR(VLOOKUP(Tabla58[[#This Row],[Cod trabalhador]],'Outros descontos'!B:R,12,FALSE),"")</f>
        <v/>
      </c>
      <c r="AM99" s="46" t="str">
        <f>IFERROR(VLOOKUP(Tabla58[[#This Row],[Cod trabalhador]],'Outros descontos'!B:M,13,FALSE),"")</f>
        <v/>
      </c>
      <c r="AN99" s="41"/>
      <c r="AO99" s="37">
        <v>4.08</v>
      </c>
      <c r="AP99" s="15"/>
      <c r="AQ99"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2470.92</v>
      </c>
      <c r="AR99"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2605.92</v>
      </c>
      <c r="AS99" s="15"/>
      <c r="AT99" s="27" t="str">
        <f>IF(Tabla58[[#This Row],[Cod trabalhador]]="", "", INDEX(Iban!C:C, MATCH(Tabla58[[#This Row],[Cod trabalhador]],Iban!A:A, 0)))</f>
        <v>ES68 0182 6106 0402 0161 7587</v>
      </c>
      <c r="AU99" s="27"/>
      <c r="AV99" s="27"/>
      <c r="AW99" s="66" t="s">
        <v>7533</v>
      </c>
      <c r="AX99" s="296" t="s">
        <v>7472</v>
      </c>
    </row>
    <row r="100" spans="1:50" ht="16.5" hidden="1" customHeight="1" x14ac:dyDescent="0.3">
      <c r="A100" s="43"/>
      <c r="B100" s="39" t="s">
        <v>1202</v>
      </c>
      <c r="C100" s="45" t="str">
        <f>IF(ISNUMBER(MATCH(Tabla58[[#This Row],[Cod trabalhador]],'Altas Wiseowe'!B:B, 0)), "Ativo", "Não ativo")</f>
        <v>Ativo</v>
      </c>
      <c r="D100" s="44" t="str">
        <f>IFERROR(IF(VLOOKUP(Tabla58[[#This Row],[Cod trabalhador]],'Altas Industrial'!B:E,1,0)&lt;&gt;"","KI",""),"")</f>
        <v/>
      </c>
      <c r="E100" s="44" t="str">
        <f>IFERROR(IF(VLOOKUP(Tabla58[[#This Row],[Cod trabalhador]],'Altas Rosas'!B:F,1,0)&lt;&gt;"","KR",""),"")</f>
        <v/>
      </c>
      <c r="F100" s="44" t="str">
        <f>IFERROR(IF(VLOOKUP(Tabla58[[#This Row],[Cod trabalhador]],'Altas Wiseowe'!B:E,1,0)&lt;&gt;"","WS",""),"")</f>
        <v>WS</v>
      </c>
      <c r="G100" s="101" t="str">
        <f>IFERROR(IF(VLOOKUP(Tabla58[[#This Row],[Cod trabalhador]],'Altas Luminous'!B:E,1,0)&lt;&gt;"","LM",""),"")</f>
        <v/>
      </c>
      <c r="H100" s="51">
        <f>IFERROR(VLOOKUP(Tabla58[[#This Row],[Cod trabalhador]],'Altas Wiseowe'!B:E,3,FALSE),"")</f>
        <v>45945</v>
      </c>
      <c r="I100" s="51" t="str">
        <f>IF(OR(Tabla58[[#This Row],[Cod trabalhador]]="",ISBLANK(Tabla58[[#This Row],[Cod trabalhador]])),"",IFERROR(IF(VLOOKUP(Tabla58[[#This Row],[Cod trabalhador]],'Altas Wiseowe'!B:E,4,FALSE)=0,"",VLOOKUP(Tabla58[[#This Row],[Cod trabalhador]],'Altas Wiseowe'!B:E,4,FALSE)),""))</f>
        <v/>
      </c>
      <c r="J100" s="44">
        <f t="shared" si="2"/>
        <v>31</v>
      </c>
      <c r="K100" s="376" t="s">
        <v>7317</v>
      </c>
      <c r="L100" s="342" t="str">
        <f>IFERROR(IF(Tabla58[[#This Row],[Cod trabalhador]]="",Tabla58[[#This Row],[Cod trabalhador]], INDEX(Colaborador_ID[Nombre], MATCH(Tabla58[[#This Row],[Cod trabalhador]],Colaborador_ID[Cod_colab], 0))), "")</f>
        <v>DARIO CARLOS MANUEL PEREIRA</v>
      </c>
      <c r="N100" s="405" t="s">
        <v>7312</v>
      </c>
      <c r="O100" s="26">
        <f>IFERROR(VLOOKUP(Tabla58[[#This Row],[Cod trabalhador]],Tabla15[],4,FALSE),"")</f>
        <v>15</v>
      </c>
      <c r="P100" s="92">
        <f>IFERROR(VLOOKUP(Tabla58[[#This Row],[Cod trabalhador]],'TotalHorasAjustadas (2)'!D:L,8,FALSE),"")</f>
        <v>102</v>
      </c>
      <c r="Q100" s="27">
        <v>102</v>
      </c>
      <c r="R100" s="28" t="s">
        <v>7532</v>
      </c>
      <c r="S100" s="28" t="s">
        <v>7539</v>
      </c>
      <c r="U100" s="25"/>
      <c r="V100" s="220"/>
      <c r="W100" s="27"/>
      <c r="X100" s="28"/>
      <c r="Y100" s="28"/>
      <c r="Z100" s="24"/>
      <c r="AA100" s="392" t="str">
        <f>IFERROR(VLOOKUP(Tabla58[[#This Row],[Cod trabalhador]],Alojamentos!B:P,11,FALSE),"")</f>
        <v/>
      </c>
      <c r="AB100" s="127"/>
      <c r="AC100" s="15"/>
      <c r="AD100" s="35">
        <f>Tabla58[[#This Row],[Dias de alta]]*7.058</f>
        <v>218.798</v>
      </c>
      <c r="AE100" s="46" t="str">
        <f>IFERROR(VLOOKUP(Tabla58[[#This Row],[Cod trabalhador]],Adiantamentos!B:L,7,FALSE),"")</f>
        <v/>
      </c>
      <c r="AF100" s="46" t="str">
        <f>IFERROR(VLOOKUP(Tabla58[[#This Row],[Cod trabalhador]],Carro!B:D,3,FALSE),"")</f>
        <v/>
      </c>
      <c r="AG100" s="46" t="str">
        <f>IFERROR(VLOOKUP(Tabla58[[#This Row],[Cod trabalhador]],'Outros descontos'!B:O,7,FALSE),"")</f>
        <v/>
      </c>
      <c r="AH100" s="46" t="str">
        <f>IFERROR(VLOOKUP(Tabla58[[#This Row],[Cod trabalhador]],'Outros descontos'!B:M,8,FALSE),"")</f>
        <v/>
      </c>
      <c r="AI100" s="46" t="str">
        <f>IFERROR(VLOOKUP(Tabla58[[#This Row],[Cod trabalhador]],'Outros descontos'!B:M,9,FALSE),"")</f>
        <v/>
      </c>
      <c r="AJ100" s="46" t="str">
        <f>IFERROR(VLOOKUP(Tabla58[[#This Row],[Cod trabalhador]],'Outros descontos'!B:M,10,FALSE),"")</f>
        <v/>
      </c>
      <c r="AK100" s="46" t="str">
        <f>IFERROR(VLOOKUP(Tabla58[[#This Row],[Cod trabalhador]],'Outros descontos'!B:M,11,FALSE),"")</f>
        <v/>
      </c>
      <c r="AL100" s="46" t="str">
        <f>IFERROR(VLOOKUP(Tabla58[[#This Row],[Cod trabalhador]],'Outros descontos'!B:R,12,FALSE),"")</f>
        <v/>
      </c>
      <c r="AM100" s="46" t="str">
        <f>IFERROR(VLOOKUP(Tabla58[[#This Row],[Cod trabalhador]],'Outros descontos'!B:M,13,FALSE),"")</f>
        <v/>
      </c>
      <c r="AN100" s="41"/>
      <c r="AO100" s="37">
        <v>4.08</v>
      </c>
      <c r="AP100" s="15"/>
      <c r="AQ100"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1307.1220000000001</v>
      </c>
      <c r="AR100"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1307.1220000000001</v>
      </c>
      <c r="AS100" s="15"/>
      <c r="AT100" s="27" t="str">
        <f>IF(Tabla58[[#This Row],[Cod trabalhador]]="", "", INDEX(Iban!C:C, MATCH(Tabla58[[#This Row],[Cod trabalhador]],Iban!A:A, 0)))</f>
        <v>PT50 0036 0135 9910 0047 8146 2</v>
      </c>
      <c r="AU100" s="27"/>
      <c r="AV100" s="27"/>
      <c r="AW100" s="66" t="s">
        <v>7540</v>
      </c>
      <c r="AX100" s="296" t="s">
        <v>7472</v>
      </c>
    </row>
    <row r="101" spans="1:50" ht="16.5" hidden="1" customHeight="1" x14ac:dyDescent="0.3">
      <c r="A101" s="43"/>
      <c r="B101" s="39" t="s">
        <v>1651</v>
      </c>
      <c r="C101" s="45" t="str">
        <f>IF(ISNUMBER(MATCH(Tabla58[[#This Row],[Cod trabalhador]],'Altas Wiseowe'!B:B, 0)), "Ativo", "Não ativo")</f>
        <v>Não ativo</v>
      </c>
      <c r="D101" s="44" t="str">
        <f>IFERROR(IF(VLOOKUP(Tabla58[[#This Row],[Cod trabalhador]],'Altas Industrial'!B:E,1,0)&lt;&gt;"","KI",""),"")</f>
        <v/>
      </c>
      <c r="E101" s="44" t="str">
        <f>IFERROR(IF(VLOOKUP(Tabla58[[#This Row],[Cod trabalhador]],'Altas Rosas'!B:F,1,0)&lt;&gt;"","KR",""),"")</f>
        <v/>
      </c>
      <c r="F101" s="44" t="str">
        <f>IFERROR(IF(VLOOKUP(Tabla58[[#This Row],[Cod trabalhador]],'Altas Wiseowe'!B:E,1,0)&lt;&gt;"","WS",""),"")</f>
        <v/>
      </c>
      <c r="G101" s="101" t="str">
        <f>IFERROR(IF(VLOOKUP(Tabla58[[#This Row],[Cod trabalhador]],'Altas Luminous'!B:E,1,0)&lt;&gt;"","LM",""),"")</f>
        <v/>
      </c>
      <c r="H101" s="51" t="str">
        <f>IFERROR(VLOOKUP(Tabla58[[#This Row],[Cod trabalhador]],'Altas Wiseowe'!B:E,3,FALSE),"")</f>
        <v/>
      </c>
      <c r="I101" s="51" t="str">
        <f>IF(OR(Tabla58[[#This Row],[Cod trabalhador]]="",ISBLANK(Tabla58[[#This Row],[Cod trabalhador]])),"",IFERROR(IF(VLOOKUP(Tabla58[[#This Row],[Cod trabalhador]],'Altas Wiseowe'!B:E,4,FALSE)=0,"",VLOOKUP(Tabla58[[#This Row],[Cod trabalhador]],'Altas Wiseowe'!B:E,4,FALSE)),""))</f>
        <v/>
      </c>
      <c r="J101" s="44">
        <f t="shared" si="2"/>
        <v>0</v>
      </c>
      <c r="K101" s="376" t="s">
        <v>1652</v>
      </c>
      <c r="L101" s="342" t="str">
        <f>IFERROR(IF(Tabla58[[#This Row],[Cod trabalhador]]="",Tabla58[[#This Row],[Cod trabalhador]], INDEX(Colaborador_ID[Nombre], MATCH(Tabla58[[#This Row],[Cod trabalhador]],Colaborador_ID[Cod_colab], 0))), "")</f>
        <v>EDWIN ALBERTO HINESTROZA</v>
      </c>
      <c r="N101" s="405" t="s">
        <v>7312</v>
      </c>
      <c r="O101" s="26">
        <f>IFERROR(VLOOKUP(Tabla58[[#This Row],[Cod trabalhador]],Tabla15[],4,FALSE),"")</f>
        <v>15</v>
      </c>
      <c r="P101" s="92">
        <f>IFERROR(VLOOKUP(Tabla58[[#This Row],[Cod trabalhador]],'TotalHorasAjustadas (2)'!D:L,8,FALSE),"")</f>
        <v>224</v>
      </c>
      <c r="Q101" s="27">
        <v>224</v>
      </c>
      <c r="R101" s="28" t="s">
        <v>7532</v>
      </c>
      <c r="S101" s="28" t="s">
        <v>7539</v>
      </c>
      <c r="U101" s="25"/>
      <c r="V101" s="220"/>
      <c r="W101" s="27"/>
      <c r="X101" s="28"/>
      <c r="Y101" s="28"/>
      <c r="Z101" s="149"/>
      <c r="AA101" s="392" t="str">
        <f>IFERROR(VLOOKUP(Tabla58[[#This Row],[Cod trabalhador]],Alojamentos!B:P,11,FALSE),"")</f>
        <v/>
      </c>
      <c r="AB101" s="127"/>
      <c r="AC101" s="150"/>
      <c r="AD101" s="35">
        <f>Tabla58[[#This Row],[Dias de alta]]*7.058</f>
        <v>0</v>
      </c>
      <c r="AE101" s="46" t="str">
        <f>IFERROR(VLOOKUP(Tabla58[[#This Row],[Cod trabalhador]],Adiantamentos!B:L,7,FALSE),"")</f>
        <v/>
      </c>
      <c r="AF101" s="46">
        <f>IFERROR(VLOOKUP(Tabla58[[#This Row],[Cod trabalhador]],Carro!B:D,3,FALSE),"")</f>
        <v>121.66666666666667</v>
      </c>
      <c r="AG101" s="46" t="str">
        <f>IFERROR(VLOOKUP(Tabla58[[#This Row],[Cod trabalhador]],'Outros descontos'!B:O,7,FALSE),"")</f>
        <v/>
      </c>
      <c r="AH101" s="46" t="str">
        <f>IFERROR(VLOOKUP(Tabla58[[#This Row],[Cod trabalhador]],'Outros descontos'!B:M,8,FALSE),"")</f>
        <v/>
      </c>
      <c r="AI101" s="46" t="str">
        <f>IFERROR(VLOOKUP(Tabla58[[#This Row],[Cod trabalhador]],'Outros descontos'!B:M,9,FALSE),"")</f>
        <v/>
      </c>
      <c r="AJ101" s="46" t="str">
        <f>IFERROR(VLOOKUP(Tabla58[[#This Row],[Cod trabalhador]],'Outros descontos'!B:M,10,FALSE),"")</f>
        <v/>
      </c>
      <c r="AK101" s="46" t="str">
        <f>IFERROR(VLOOKUP(Tabla58[[#This Row],[Cod trabalhador]],'Outros descontos'!B:M,11,FALSE),"")</f>
        <v/>
      </c>
      <c r="AL101" s="46" t="str">
        <f>IFERROR(VLOOKUP(Tabla58[[#This Row],[Cod trabalhador]],'Outros descontos'!B:R,12,FALSE),"")</f>
        <v/>
      </c>
      <c r="AM101" s="46" t="str">
        <f>IFERROR(VLOOKUP(Tabla58[[#This Row],[Cod trabalhador]],'Outros descontos'!B:M,13,FALSE),"")</f>
        <v/>
      </c>
      <c r="AN101" s="41"/>
      <c r="AO101" s="37">
        <v>4.08</v>
      </c>
      <c r="AP101" s="15"/>
      <c r="AQ101"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3234.2533333333336</v>
      </c>
      <c r="AR101"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3234.2533333333336</v>
      </c>
      <c r="AS101" s="15"/>
      <c r="AT101" s="27" t="str">
        <f>IF(Tabla58[[#This Row],[Cod trabalhador]]="", "", INDEX(Iban!C:C, MATCH(Tabla58[[#This Row],[Cod trabalhador]],Iban!A:A, 0)))</f>
        <v>ES33 0182 0702 3902 0165 0119</v>
      </c>
      <c r="AU101" s="27"/>
      <c r="AV101" s="97"/>
      <c r="AW101" s="66" t="s">
        <v>7533</v>
      </c>
      <c r="AX101" s="296" t="s">
        <v>7472</v>
      </c>
    </row>
    <row r="102" spans="1:50" ht="16.5" hidden="1" customHeight="1" x14ac:dyDescent="0.3">
      <c r="A102" s="43"/>
      <c r="B102" s="39" t="s">
        <v>1720</v>
      </c>
      <c r="C102" s="45" t="str">
        <f>IF(ISNUMBER(MATCH(Tabla58[[#This Row],[Cod trabalhador]],'Altas Wiseowe'!B:B, 0)), "Ativo", "Não ativo")</f>
        <v>Ativo</v>
      </c>
      <c r="D102" s="44" t="str">
        <f>IFERROR(IF(VLOOKUP(Tabla58[[#This Row],[Cod trabalhador]],'Altas Industrial'!B:E,1,0)&lt;&gt;"","KI",""),"")</f>
        <v/>
      </c>
      <c r="E102" s="44" t="str">
        <f>IFERROR(IF(VLOOKUP(Tabla58[[#This Row],[Cod trabalhador]],'Altas Rosas'!B:F,1,0)&lt;&gt;"","KR",""),"")</f>
        <v/>
      </c>
      <c r="F102" s="44" t="str">
        <f>IFERROR(IF(VLOOKUP(Tabla58[[#This Row],[Cod trabalhador]],'Altas Wiseowe'!B:E,1,0)&lt;&gt;"","WS",""),"")</f>
        <v>WS</v>
      </c>
      <c r="G102" s="101" t="str">
        <f>IFERROR(IF(VLOOKUP(Tabla58[[#This Row],[Cod trabalhador]],'Altas Luminous'!B:E,1,0)&lt;&gt;"","LM",""),"")</f>
        <v/>
      </c>
      <c r="H102" s="51">
        <f>IFERROR(VLOOKUP(Tabla58[[#This Row],[Cod trabalhador]],'Altas Wiseowe'!B:E,3,FALSE),"")</f>
        <v>46037</v>
      </c>
      <c r="I102" s="51" t="str">
        <f>IF(OR(Tabla58[[#This Row],[Cod trabalhador]]="",ISBLANK(Tabla58[[#This Row],[Cod trabalhador]])),"",IFERROR(IF(VLOOKUP(Tabla58[[#This Row],[Cod trabalhador]],'Altas Wiseowe'!B:E,4,FALSE)=0,"",VLOOKUP(Tabla58[[#This Row],[Cod trabalhador]],'Altas Wiseowe'!B:E,4,FALSE)),""))</f>
        <v/>
      </c>
      <c r="J102" s="44">
        <f t="shared" ref="J102:J133" si="4">IF(C102="ativo",    IF(ISBLANK(H102),"",MAX(0,MIN(IF(ISBLANK(I102),EOMONTH(DATE(2026,1,1),0),I102),EOMONTH(DATE(2026,1,1),0)) - MAX(H102,DATE(2026,1,1))))+1,
    0
)</f>
        <v>17</v>
      </c>
      <c r="K102" s="376" t="s">
        <v>7318</v>
      </c>
      <c r="L102" s="342" t="str">
        <f>IFERROR(IF(Tabla58[[#This Row],[Cod trabalhador]]="",Tabla58[[#This Row],[Cod trabalhador]], INDEX(Colaborador_ID[Nombre], MATCH(Tabla58[[#This Row],[Cod trabalhador]],Colaborador_ID[Cod_colab], 0))), "")</f>
        <v>EDWIN RODRIGO AVILA PENA</v>
      </c>
      <c r="N102" s="405" t="s">
        <v>7312</v>
      </c>
      <c r="O102" s="26">
        <f>IFERROR(VLOOKUP(Tabla58[[#This Row],[Cod trabalhador]],Tabla15[],4,FALSE),"")</f>
        <v>15</v>
      </c>
      <c r="P102" s="92">
        <f>IFERROR(VLOOKUP(Tabla58[[#This Row],[Cod trabalhador]],'TotalHorasAjustadas (2)'!D:L,8,FALSE),"")</f>
        <v>173</v>
      </c>
      <c r="Q102" s="27">
        <v>173</v>
      </c>
      <c r="R102" s="28" t="s">
        <v>7532</v>
      </c>
      <c r="S102" s="28" t="s">
        <v>7539</v>
      </c>
      <c r="U102" s="25"/>
      <c r="V102" s="220"/>
      <c r="W102" s="27"/>
      <c r="X102" s="28"/>
      <c r="Y102" s="28"/>
      <c r="Z102" s="149"/>
      <c r="AA102" s="392" t="str">
        <f>IFERROR(VLOOKUP(Tabla58[[#This Row],[Cod trabalhador]],Alojamentos!B:P,11,FALSE),"")</f>
        <v/>
      </c>
      <c r="AB102" s="127"/>
      <c r="AC102" s="150"/>
      <c r="AD102" s="35">
        <f>Tabla58[[#This Row],[Dias de alta]]*7.058</f>
        <v>119.98599999999999</v>
      </c>
      <c r="AE102" s="46" t="str">
        <f>IFERROR(VLOOKUP(Tabla58[[#This Row],[Cod trabalhador]],Adiantamentos!B:L,7,FALSE),"")</f>
        <v/>
      </c>
      <c r="AF102" s="46" t="str">
        <f>IFERROR(VLOOKUP(Tabla58[[#This Row],[Cod trabalhador]],Carro!B:D,3,FALSE),"")</f>
        <v/>
      </c>
      <c r="AG102" s="46" t="str">
        <f>IFERROR(VLOOKUP(Tabla58[[#This Row],[Cod trabalhador]],'Outros descontos'!B:O,7,FALSE),"")</f>
        <v/>
      </c>
      <c r="AH102" s="46" t="str">
        <f>IFERROR(VLOOKUP(Tabla58[[#This Row],[Cod trabalhador]],'Outros descontos'!B:M,8,FALSE),"")</f>
        <v/>
      </c>
      <c r="AI102" s="46" t="str">
        <f>IFERROR(VLOOKUP(Tabla58[[#This Row],[Cod trabalhador]],'Outros descontos'!B:M,9,FALSE),"")</f>
        <v/>
      </c>
      <c r="AJ102" s="46" t="str">
        <f>IFERROR(VLOOKUP(Tabla58[[#This Row],[Cod trabalhador]],'Outros descontos'!B:M,10,FALSE),"")</f>
        <v/>
      </c>
      <c r="AK102" s="46" t="str">
        <f>IFERROR(VLOOKUP(Tabla58[[#This Row],[Cod trabalhador]],'Outros descontos'!B:M,11,FALSE),"")</f>
        <v/>
      </c>
      <c r="AL102" s="46" t="str">
        <f>IFERROR(VLOOKUP(Tabla58[[#This Row],[Cod trabalhador]],'Outros descontos'!B:R,12,FALSE),"")</f>
        <v/>
      </c>
      <c r="AM102" s="46" t="str">
        <f>IFERROR(VLOOKUP(Tabla58[[#This Row],[Cod trabalhador]],'Outros descontos'!B:M,13,FALSE),"")</f>
        <v/>
      </c>
      <c r="AN102" s="41"/>
      <c r="AO102" s="37">
        <v>4.08</v>
      </c>
      <c r="AP102" s="15"/>
      <c r="AQ102"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2470.9340000000002</v>
      </c>
      <c r="AR102"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2470.9340000000002</v>
      </c>
      <c r="AS102" s="15"/>
      <c r="AT102" s="27" t="str">
        <f>IF(Tabla58[[#This Row],[Cod trabalhador]]="", "", INDEX(Iban!C:C, MATCH(Tabla58[[#This Row],[Cod trabalhador]],Iban!A:A, 0)))</f>
        <v>ES35 6893 0001 7400 0031 6219</v>
      </c>
      <c r="AU102" s="27"/>
      <c r="AV102" s="97"/>
      <c r="AW102" s="66" t="s">
        <v>7540</v>
      </c>
      <c r="AX102" s="296" t="s">
        <v>7472</v>
      </c>
    </row>
    <row r="103" spans="1:50" ht="16.5" hidden="1" customHeight="1" x14ac:dyDescent="0.3">
      <c r="A103" s="43"/>
      <c r="B103" s="39" t="s">
        <v>1904</v>
      </c>
      <c r="C103" s="45" t="str">
        <f>IF(ISNUMBER(MATCH(Tabla58[[#This Row],[Cod trabalhador]],'Altas Wiseowe'!B:B, 0)), "Ativo", "Não ativo")</f>
        <v>Ativo</v>
      </c>
      <c r="D103" s="44" t="str">
        <f>IFERROR(IF(VLOOKUP(Tabla58[[#This Row],[Cod trabalhador]],'Altas Industrial'!B:E,1,0)&lt;&gt;"","KI",""),"")</f>
        <v/>
      </c>
      <c r="E103" s="44" t="str">
        <f>IFERROR(IF(VLOOKUP(Tabla58[[#This Row],[Cod trabalhador]],'Altas Rosas'!B:F,1,0)&lt;&gt;"","KR",""),"")</f>
        <v/>
      </c>
      <c r="F103" s="44" t="str">
        <f>IFERROR(IF(VLOOKUP(Tabla58[[#This Row],[Cod trabalhador]],'Altas Wiseowe'!B:E,1,0)&lt;&gt;"","WS",""),"")</f>
        <v>WS</v>
      </c>
      <c r="G103" s="101" t="str">
        <f>IFERROR(IF(VLOOKUP(Tabla58[[#This Row],[Cod trabalhador]],'Altas Luminous'!B:E,1,0)&lt;&gt;"","LM",""),"")</f>
        <v/>
      </c>
      <c r="H103" s="51">
        <f>IFERROR(VLOOKUP(Tabla58[[#This Row],[Cod trabalhador]],'Altas Wiseowe'!B:E,3,FALSE),"")</f>
        <v>45945</v>
      </c>
      <c r="I103" s="51">
        <f>IF(OR(Tabla58[[#This Row],[Cod trabalhador]]="",ISBLANK(Tabla58[[#This Row],[Cod trabalhador]])),"",IFERROR(IF(VLOOKUP(Tabla58[[#This Row],[Cod trabalhador]],'Altas Wiseowe'!B:E,4,FALSE)=0,"",VLOOKUP(Tabla58[[#This Row],[Cod trabalhador]],'Altas Wiseowe'!B:E,4,FALSE)),""))</f>
        <v>46052</v>
      </c>
      <c r="J103" s="44">
        <f t="shared" si="4"/>
        <v>30</v>
      </c>
      <c r="K103" s="376" t="s">
        <v>7320</v>
      </c>
      <c r="L103" s="342" t="str">
        <f>IFERROR(IF(Tabla58[[#This Row],[Cod trabalhador]]="",Tabla58[[#This Row],[Cod trabalhador]], INDEX(Colaborador_ID[Nombre], MATCH(Tabla58[[#This Row],[Cod trabalhador]],Colaborador_ID[Cod_colab], 0))), "")</f>
        <v>ERNESTO GERMAN HERRERA</v>
      </c>
      <c r="N103" s="405" t="s">
        <v>7312</v>
      </c>
      <c r="O103" s="26">
        <f>IFERROR(VLOOKUP(Tabla58[[#This Row],[Cod trabalhador]],Tabla15[],4,FALSE),"")</f>
        <v>15</v>
      </c>
      <c r="P103" s="92">
        <f>IFERROR(VLOOKUP(Tabla58[[#This Row],[Cod trabalhador]],'TotalHorasAjustadas (2)'!D:L,8,FALSE),"")</f>
        <v>162</v>
      </c>
      <c r="Q103" s="27">
        <v>162</v>
      </c>
      <c r="R103" s="28" t="s">
        <v>7532</v>
      </c>
      <c r="S103" s="28" t="s">
        <v>7539</v>
      </c>
      <c r="U103" s="25"/>
      <c r="V103" s="220"/>
      <c r="W103" s="27"/>
      <c r="X103" s="28"/>
      <c r="Y103" s="28"/>
      <c r="AA103" s="392">
        <f>IFERROR(VLOOKUP(Tabla58[[#This Row],[Cod trabalhador]],Alojamentos!B:P,11,FALSE),"")</f>
        <v>300</v>
      </c>
      <c r="AB103" s="127"/>
      <c r="AC103" s="15"/>
      <c r="AD103" s="35">
        <f>Tabla58[[#This Row],[Dias de alta]]*7.058</f>
        <v>211.74</v>
      </c>
      <c r="AE103" s="46" t="str">
        <f>IFERROR(VLOOKUP(Tabla58[[#This Row],[Cod trabalhador]],Adiantamentos!B:L,7,FALSE),"")</f>
        <v/>
      </c>
      <c r="AF103" s="46" t="str">
        <f>IFERROR(VLOOKUP(Tabla58[[#This Row],[Cod trabalhador]],Carro!B:D,3,FALSE),"")</f>
        <v/>
      </c>
      <c r="AG103" s="46" t="str">
        <f>IFERROR(VLOOKUP(Tabla58[[#This Row],[Cod trabalhador]],'Outros descontos'!B:O,7,FALSE),"")</f>
        <v/>
      </c>
      <c r="AH103" s="46" t="str">
        <f>IFERROR(VLOOKUP(Tabla58[[#This Row],[Cod trabalhador]],'Outros descontos'!B:M,8,FALSE),"")</f>
        <v/>
      </c>
      <c r="AI103" s="46" t="str">
        <f>IFERROR(VLOOKUP(Tabla58[[#This Row],[Cod trabalhador]],'Outros descontos'!B:M,9,FALSE),"")</f>
        <v/>
      </c>
      <c r="AJ103" s="46" t="str">
        <f>IFERROR(VLOOKUP(Tabla58[[#This Row],[Cod trabalhador]],'Outros descontos'!B:M,10,FALSE),"")</f>
        <v/>
      </c>
      <c r="AK103" s="46" t="str">
        <f>IFERROR(VLOOKUP(Tabla58[[#This Row],[Cod trabalhador]],'Outros descontos'!B:M,11,FALSE),"")</f>
        <v/>
      </c>
      <c r="AL103" s="46" t="str">
        <f>IFERROR(VLOOKUP(Tabla58[[#This Row],[Cod trabalhador]],'Outros descontos'!B:R,12,FALSE),"")</f>
        <v/>
      </c>
      <c r="AM103" s="46" t="str">
        <f>IFERROR(VLOOKUP(Tabla58[[#This Row],[Cod trabalhador]],'Outros descontos'!B:M,13,FALSE),"")</f>
        <v/>
      </c>
      <c r="AN103" s="41"/>
      <c r="AO103" s="37">
        <v>4.08</v>
      </c>
      <c r="AP103" s="15"/>
      <c r="AQ103"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2514.1800000000003</v>
      </c>
      <c r="AR103"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2514.1800000000003</v>
      </c>
      <c r="AS103" s="15"/>
      <c r="AT103" s="27" t="str">
        <f>IF(Tabla58[[#This Row],[Cod trabalhador]]="", "", INDEX(Iban!C:C, MATCH(Tabla58[[#This Row],[Cod trabalhador]],Iban!A:A, 0)))</f>
        <v>PT50 0269 0373 0020 9419 1665 1</v>
      </c>
      <c r="AU103" s="27"/>
      <c r="AV103" s="27"/>
      <c r="AW103" s="66" t="s">
        <v>7540</v>
      </c>
      <c r="AX103" s="296" t="s">
        <v>7472</v>
      </c>
    </row>
    <row r="104" spans="1:50" ht="16.5" hidden="1" customHeight="1" x14ac:dyDescent="0.3">
      <c r="A104" s="43"/>
      <c r="B104" s="39" t="s">
        <v>2122</v>
      </c>
      <c r="C104" s="45" t="str">
        <f>IF(ISNUMBER(MATCH(Tabla58[[#This Row],[Cod trabalhador]],'Altas Wiseowe'!B:B, 0)), "Ativo", "Não ativo")</f>
        <v>Não ativo</v>
      </c>
      <c r="D104" s="44" t="str">
        <f>IFERROR(IF(VLOOKUP(Tabla58[[#This Row],[Cod trabalhador]],'Altas Industrial'!B:E,1,0)&lt;&gt;"","KI",""),"")</f>
        <v>KI</v>
      </c>
      <c r="E104" s="44" t="str">
        <f>IFERROR(IF(VLOOKUP(Tabla58[[#This Row],[Cod trabalhador]],'Altas Rosas'!B:F,1,0)&lt;&gt;"","KR",""),"")</f>
        <v/>
      </c>
      <c r="F104" s="44" t="str">
        <f>IFERROR(IF(VLOOKUP(Tabla58[[#This Row],[Cod trabalhador]],'Altas Wiseowe'!B:E,1,0)&lt;&gt;"","WS",""),"")</f>
        <v/>
      </c>
      <c r="G104" s="101" t="str">
        <f>IFERROR(IF(VLOOKUP(Tabla58[[#This Row],[Cod trabalhador]],'Altas Luminous'!B:E,1,0)&lt;&gt;"","LM",""),"")</f>
        <v/>
      </c>
      <c r="H104" s="51" t="str">
        <f>IFERROR(VLOOKUP(Tabla58[[#This Row],[Cod trabalhador]],'Altas Wiseowe'!B:E,3,FALSE),"")</f>
        <v/>
      </c>
      <c r="I104" s="51" t="str">
        <f>IF(OR(Tabla58[[#This Row],[Cod trabalhador]]="",ISBLANK(Tabla58[[#This Row],[Cod trabalhador]])),"",IFERROR(IF(VLOOKUP(Tabla58[[#This Row],[Cod trabalhador]],'Altas Wiseowe'!B:E,4,FALSE)=0,"",VLOOKUP(Tabla58[[#This Row],[Cod trabalhador]],'Altas Wiseowe'!B:E,4,FALSE)),""))</f>
        <v/>
      </c>
      <c r="J104" s="44">
        <f t="shared" si="4"/>
        <v>0</v>
      </c>
      <c r="K104" s="376" t="s">
        <v>7365</v>
      </c>
      <c r="L104" s="342" t="str">
        <f>IFERROR(IF(Tabla58[[#This Row],[Cod trabalhador]]="",Tabla58[[#This Row],[Cod trabalhador]], INDEX(Colaborador_ID[Nombre], MATCH(Tabla58[[#This Row],[Cod trabalhador]],Colaborador_ID[Cod_colab], 0))), "")</f>
        <v>FERNEY ALEXANDER VARGAS SERRANO</v>
      </c>
      <c r="N104" s="405" t="s">
        <v>7312</v>
      </c>
      <c r="O104" s="26">
        <v>15</v>
      </c>
      <c r="P104" s="92">
        <f>IFERROR(VLOOKUP(Tabla58[[#This Row],[Cod trabalhador]],'TotalHorasAjustadas (2)'!D:L,8,FALSE),"")</f>
        <v>135</v>
      </c>
      <c r="Q104" s="27">
        <v>135</v>
      </c>
      <c r="R104" s="28" t="s">
        <v>7532</v>
      </c>
      <c r="S104" s="28" t="s">
        <v>7539</v>
      </c>
      <c r="U104" s="25"/>
      <c r="V104" s="220"/>
      <c r="W104" s="27"/>
      <c r="X104" s="28"/>
      <c r="Y104" s="28"/>
      <c r="Z104" s="149"/>
      <c r="AA104" s="392" t="str">
        <f>IFERROR(VLOOKUP(Tabla58[[#This Row],[Cod trabalhador]],Alojamentos!B:P,11,FALSE),"")</f>
        <v/>
      </c>
      <c r="AB104" s="127"/>
      <c r="AC104" s="150"/>
      <c r="AD104" s="35">
        <f>Tabla58[[#This Row],[Dias de alta]]*7.058</f>
        <v>0</v>
      </c>
      <c r="AE104" s="46" t="str">
        <f>IFERROR(VLOOKUP(Tabla58[[#This Row],[Cod trabalhador]],Adiantamentos!B:L,7,FALSE),"")</f>
        <v/>
      </c>
      <c r="AF104" s="46" t="str">
        <f>IFERROR(VLOOKUP(Tabla58[[#This Row],[Cod trabalhador]],Carro!B:D,3,FALSE),"")</f>
        <v/>
      </c>
      <c r="AG104" s="46" t="str">
        <f>IFERROR(VLOOKUP(Tabla58[[#This Row],[Cod trabalhador]],'Outros descontos'!B:O,7,FALSE),"")</f>
        <v/>
      </c>
      <c r="AH104" s="46" t="str">
        <f>IFERROR(VLOOKUP(Tabla58[[#This Row],[Cod trabalhador]],'Outros descontos'!B:M,8,FALSE),"")</f>
        <v/>
      </c>
      <c r="AI104" s="46" t="str">
        <f>IFERROR(VLOOKUP(Tabla58[[#This Row],[Cod trabalhador]],'Outros descontos'!B:M,9,FALSE),"")</f>
        <v/>
      </c>
      <c r="AJ104" s="46" t="str">
        <f>IFERROR(VLOOKUP(Tabla58[[#This Row],[Cod trabalhador]],'Outros descontos'!B:M,10,FALSE),"")</f>
        <v/>
      </c>
      <c r="AK104" s="46" t="str">
        <f>IFERROR(VLOOKUP(Tabla58[[#This Row],[Cod trabalhador]],'Outros descontos'!B:M,11,FALSE),"")</f>
        <v/>
      </c>
      <c r="AL104" s="46" t="str">
        <f>IFERROR(VLOOKUP(Tabla58[[#This Row],[Cod trabalhador]],'Outros descontos'!B:R,12,FALSE),"")</f>
        <v/>
      </c>
      <c r="AM104" s="46" t="str">
        <f>IFERROR(VLOOKUP(Tabla58[[#This Row],[Cod trabalhador]],'Outros descontos'!B:M,13,FALSE),"")</f>
        <v/>
      </c>
      <c r="AN104" s="41"/>
      <c r="AO104" s="37">
        <v>4.08</v>
      </c>
      <c r="AP104" s="15"/>
      <c r="AQ104"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2020.92</v>
      </c>
      <c r="AR104"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2020.92</v>
      </c>
      <c r="AS104" s="15"/>
      <c r="AT104" s="27" t="str">
        <f>IF(Tabla58[[#This Row],[Cod trabalhador]]="", "", INDEX(Iban!C:C, MATCH(Tabla58[[#This Row],[Cod trabalhador]],Iban!A:A, 0)))</f>
        <v>ES54 0182 6556 1202 0166 4399</v>
      </c>
      <c r="AU104" s="27"/>
      <c r="AV104" s="27"/>
      <c r="AW104" s="66" t="s">
        <v>7533</v>
      </c>
      <c r="AX104" s="296" t="s">
        <v>7472</v>
      </c>
    </row>
    <row r="105" spans="1:50" ht="16.5" hidden="1" customHeight="1" x14ac:dyDescent="0.3">
      <c r="A105" s="43"/>
      <c r="B105" s="39" t="s">
        <v>2283</v>
      </c>
      <c r="C105" s="45" t="str">
        <f>IF(ISNUMBER(MATCH(Tabla58[[#This Row],[Cod trabalhador]],'Altas Wiseowe'!B:B, 0)), "Ativo", "Não ativo")</f>
        <v>Não ativo</v>
      </c>
      <c r="D105" s="44" t="str">
        <f>IFERROR(IF(VLOOKUP(Tabla58[[#This Row],[Cod trabalhador]],'Altas Industrial'!B:E,1,0)&lt;&gt;"","KI",""),"")</f>
        <v/>
      </c>
      <c r="E105" s="44" t="str">
        <f>IFERROR(IF(VLOOKUP(Tabla58[[#This Row],[Cod trabalhador]],'Altas Rosas'!B:F,1,0)&lt;&gt;"","KR",""),"")</f>
        <v/>
      </c>
      <c r="F105" s="44" t="str">
        <f>IFERROR(IF(VLOOKUP(Tabla58[[#This Row],[Cod trabalhador]],'Altas Wiseowe'!B:E,1,0)&lt;&gt;"","WS",""),"")</f>
        <v/>
      </c>
      <c r="G105" s="101" t="str">
        <f>IFERROR(IF(VLOOKUP(Tabla58[[#This Row],[Cod trabalhador]],'Altas Luminous'!B:E,1,0)&lt;&gt;"","LM",""),"")</f>
        <v/>
      </c>
      <c r="H105" s="51" t="str">
        <f>IFERROR(VLOOKUP(Tabla58[[#This Row],[Cod trabalhador]],'Altas Wiseowe'!B:E,3,FALSE),"")</f>
        <v/>
      </c>
      <c r="I105" s="51" t="str">
        <f>IF(OR(Tabla58[[#This Row],[Cod trabalhador]]="",ISBLANK(Tabla58[[#This Row],[Cod trabalhador]])),"",IFERROR(IF(VLOOKUP(Tabla58[[#This Row],[Cod trabalhador]],'Altas Wiseowe'!B:E,4,FALSE)=0,"",VLOOKUP(Tabla58[[#This Row],[Cod trabalhador]],'Altas Wiseowe'!B:E,4,FALSE)),""))</f>
        <v/>
      </c>
      <c r="J105" s="44">
        <f t="shared" si="4"/>
        <v>0</v>
      </c>
      <c r="K105" s="376" t="s">
        <v>2284</v>
      </c>
      <c r="L105" s="342" t="str">
        <f>IFERROR(IF(Tabla58[[#This Row],[Cod trabalhador]]="",Tabla58[[#This Row],[Cod trabalhador]], INDEX(Colaborador_ID[Nombre], MATCH(Tabla58[[#This Row],[Cod trabalhador]],Colaborador_ID[Cod_colab], 0))), "")</f>
        <v>FREDY RICARDO AGUDELO SALAMANCA</v>
      </c>
      <c r="N105" s="405" t="s">
        <v>7312</v>
      </c>
      <c r="O105" s="26">
        <f>IFERROR(VLOOKUP(Tabla58[[#This Row],[Cod trabalhador]],Tabla15[],4,FALSE),"")</f>
        <v>15</v>
      </c>
      <c r="P105" s="92">
        <f>IFERROR(VLOOKUP(Tabla58[[#This Row],[Cod trabalhador]],'TotalHorasAjustadas (2)'!D:L,8,FALSE),"")</f>
        <v>0</v>
      </c>
      <c r="Q105" s="27">
        <v>117</v>
      </c>
      <c r="R105" s="28" t="s">
        <v>7532</v>
      </c>
      <c r="S105" s="28" t="s">
        <v>7539</v>
      </c>
      <c r="U105" s="25"/>
      <c r="V105" s="220"/>
      <c r="W105" s="27"/>
      <c r="X105" s="28"/>
      <c r="Y105" s="28"/>
      <c r="Z105" s="149"/>
      <c r="AA105" s="392">
        <f>IFERROR(VLOOKUP(Tabla58[[#This Row],[Cod trabalhador]],Alojamentos!B:P,11,FALSE),"")</f>
        <v>300</v>
      </c>
      <c r="AB105" s="127"/>
      <c r="AC105" s="150"/>
      <c r="AD105" s="35">
        <f>Tabla58[[#This Row],[Dias de alta]]*7.058</f>
        <v>0</v>
      </c>
      <c r="AE105" s="46" t="str">
        <f>IFERROR(VLOOKUP(Tabla58[[#This Row],[Cod trabalhador]],Adiantamentos!B:L,7,FALSE),"")</f>
        <v/>
      </c>
      <c r="AF105" s="46" t="str">
        <f>IFERROR(VLOOKUP(Tabla58[[#This Row],[Cod trabalhador]],Carro!B:D,3,FALSE),"")</f>
        <v/>
      </c>
      <c r="AG105" s="46" t="str">
        <f>IFERROR(VLOOKUP(Tabla58[[#This Row],[Cod trabalhador]],'Outros descontos'!B:O,7,FALSE),"")</f>
        <v/>
      </c>
      <c r="AH105" s="46" t="str">
        <f>IFERROR(VLOOKUP(Tabla58[[#This Row],[Cod trabalhador]],'Outros descontos'!B:M,8,FALSE),"")</f>
        <v/>
      </c>
      <c r="AI105" s="46" t="str">
        <f>IFERROR(VLOOKUP(Tabla58[[#This Row],[Cod trabalhador]],'Outros descontos'!B:M,9,FALSE),"")</f>
        <v/>
      </c>
      <c r="AJ105" s="46" t="str">
        <f>IFERROR(VLOOKUP(Tabla58[[#This Row],[Cod trabalhador]],'Outros descontos'!B:M,10,FALSE),"")</f>
        <v/>
      </c>
      <c r="AK105" s="46" t="str">
        <f>IFERROR(VLOOKUP(Tabla58[[#This Row],[Cod trabalhador]],'Outros descontos'!B:M,11,FALSE),"")</f>
        <v/>
      </c>
      <c r="AL105" s="46" t="str">
        <f>IFERROR(VLOOKUP(Tabla58[[#This Row],[Cod trabalhador]],'Outros descontos'!B:R,12,FALSE),"")</f>
        <v/>
      </c>
      <c r="AM105" s="46" t="str">
        <f>IFERROR(VLOOKUP(Tabla58[[#This Row],[Cod trabalhador]],'Outros descontos'!B:M,13,FALSE),"")</f>
        <v/>
      </c>
      <c r="AN105" s="41"/>
      <c r="AO105" s="37">
        <v>4.08</v>
      </c>
      <c r="AP105" s="15"/>
      <c r="AQ105"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295.92</v>
      </c>
      <c r="AR105"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2050.92</v>
      </c>
      <c r="AS105" s="15"/>
      <c r="AT105" s="27" t="str">
        <f>IF(Tabla58[[#This Row],[Cod trabalhador]]="", "", INDEX(Iban!C:C, MATCH(Tabla58[[#This Row],[Cod trabalhador]],Iban!A:A, 0)))</f>
        <v>BE56 9056 5075 2088</v>
      </c>
      <c r="AU105" s="27"/>
      <c r="AV105" s="97"/>
      <c r="AW105" s="66" t="s">
        <v>7533</v>
      </c>
      <c r="AX105" s="296" t="s">
        <v>7472</v>
      </c>
    </row>
    <row r="106" spans="1:50" ht="16.5" hidden="1" customHeight="1" x14ac:dyDescent="0.3">
      <c r="A106" s="43"/>
      <c r="B106" s="39" t="s">
        <v>2509</v>
      </c>
      <c r="C106" s="45" t="str">
        <f>IF(ISNUMBER(MATCH(Tabla58[[#This Row],[Cod trabalhador]],'Altas Wiseowe'!B:B, 0)), "Ativo", "Não ativo")</f>
        <v>Não ativo</v>
      </c>
      <c r="D106" s="44" t="str">
        <f>IFERROR(IF(VLOOKUP(Tabla58[[#This Row],[Cod trabalhador]],'Altas Industrial'!B:E,1,0)&lt;&gt;"","KI",""),"")</f>
        <v/>
      </c>
      <c r="E106" s="44" t="str">
        <f>IFERROR(IF(VLOOKUP(Tabla58[[#This Row],[Cod trabalhador]],'Altas Rosas'!B:F,1,0)&lt;&gt;"","KR",""),"")</f>
        <v/>
      </c>
      <c r="F106" s="44" t="str">
        <f>IFERROR(IF(VLOOKUP(Tabla58[[#This Row],[Cod trabalhador]],'Altas Wiseowe'!B:E,1,0)&lt;&gt;"","WS",""),"")</f>
        <v/>
      </c>
      <c r="G106" s="101" t="str">
        <f>IFERROR(IF(VLOOKUP(Tabla58[[#This Row],[Cod trabalhador]],'Altas Luminous'!B:E,1,0)&lt;&gt;"","LM",""),"")</f>
        <v/>
      </c>
      <c r="H106" s="51" t="str">
        <f>IFERROR(VLOOKUP(Tabla58[[#This Row],[Cod trabalhador]],'Altas Wiseowe'!B:E,3,FALSE),"")</f>
        <v/>
      </c>
      <c r="I106" s="51" t="str">
        <f>IF(OR(Tabla58[[#This Row],[Cod trabalhador]]="",ISBLANK(Tabla58[[#This Row],[Cod trabalhador]])),"",IFERROR(IF(VLOOKUP(Tabla58[[#This Row],[Cod trabalhador]],'Altas Wiseowe'!B:E,4,FALSE)=0,"",VLOOKUP(Tabla58[[#This Row],[Cod trabalhador]],'Altas Wiseowe'!B:E,4,FALSE)),""))</f>
        <v/>
      </c>
      <c r="J106" s="44">
        <f t="shared" si="4"/>
        <v>0</v>
      </c>
      <c r="K106" s="376" t="s">
        <v>7319</v>
      </c>
      <c r="L106" s="342" t="str">
        <f>IFERROR(IF(Tabla58[[#This Row],[Cod trabalhador]]="",Tabla58[[#This Row],[Cod trabalhador]], INDEX(Colaborador_ID[Nombre], MATCH(Tabla58[[#This Row],[Cod trabalhador]],Colaborador_ID[Cod_colab], 0))), "")</f>
        <v>HANNER STIVEN GUZMAN PENCUA</v>
      </c>
      <c r="N106" s="405" t="s">
        <v>7312</v>
      </c>
      <c r="O106" s="26">
        <f>IFERROR(VLOOKUP(Tabla58[[#This Row],[Cod trabalhador]],Tabla15[],4,FALSE),"")</f>
        <v>15</v>
      </c>
      <c r="P106" s="92">
        <f>IFERROR(VLOOKUP(Tabla58[[#This Row],[Cod trabalhador]],'TotalHorasAjustadas (2)'!D:L,8,FALSE),"")</f>
        <v>182.5</v>
      </c>
      <c r="Q106" s="27">
        <v>182.5</v>
      </c>
      <c r="R106" s="28" t="s">
        <v>7532</v>
      </c>
      <c r="S106" s="28" t="s">
        <v>7539</v>
      </c>
      <c r="U106" s="25"/>
      <c r="V106" s="220"/>
      <c r="W106" s="27"/>
      <c r="X106" s="28"/>
      <c r="Y106" s="28"/>
      <c r="AA106" s="392" t="str">
        <f>IFERROR(VLOOKUP(Tabla58[[#This Row],[Cod trabalhador]],Alojamentos!B:P,11,FALSE),"")</f>
        <v/>
      </c>
      <c r="AB106" s="127"/>
      <c r="AC106" s="15"/>
      <c r="AD106" s="35">
        <f>Tabla58[[#This Row],[Dias de alta]]*7.058</f>
        <v>0</v>
      </c>
      <c r="AE106" s="46" t="str">
        <f>IFERROR(VLOOKUP(Tabla58[[#This Row],[Cod trabalhador]],Adiantamentos!B:L,7,FALSE),"")</f>
        <v/>
      </c>
      <c r="AF106" s="46" t="str">
        <f>IFERROR(VLOOKUP(Tabla58[[#This Row],[Cod trabalhador]],Carro!B:D,3,FALSE),"")</f>
        <v/>
      </c>
      <c r="AG106" s="46" t="str">
        <f>IFERROR(VLOOKUP(Tabla58[[#This Row],[Cod trabalhador]],'Outros descontos'!B:O,7,FALSE),"")</f>
        <v/>
      </c>
      <c r="AH106" s="46" t="str">
        <f>IFERROR(VLOOKUP(Tabla58[[#This Row],[Cod trabalhador]],'Outros descontos'!B:M,8,FALSE),"")</f>
        <v/>
      </c>
      <c r="AI106" s="46" t="str">
        <f>IFERROR(VLOOKUP(Tabla58[[#This Row],[Cod trabalhador]],'Outros descontos'!B:M,9,FALSE),"")</f>
        <v/>
      </c>
      <c r="AJ106" s="46" t="str">
        <f>IFERROR(VLOOKUP(Tabla58[[#This Row],[Cod trabalhador]],'Outros descontos'!B:M,10,FALSE),"")</f>
        <v/>
      </c>
      <c r="AK106" s="46" t="str">
        <f>IFERROR(VLOOKUP(Tabla58[[#This Row],[Cod trabalhador]],'Outros descontos'!B:M,11,FALSE),"")</f>
        <v/>
      </c>
      <c r="AL106" s="46" t="str">
        <f>IFERROR(VLOOKUP(Tabla58[[#This Row],[Cod trabalhador]],'Outros descontos'!B:R,12,FALSE),"")</f>
        <v/>
      </c>
      <c r="AM106" s="46" t="str">
        <f>IFERROR(VLOOKUP(Tabla58[[#This Row],[Cod trabalhador]],'Outros descontos'!B:M,13,FALSE),"")</f>
        <v/>
      </c>
      <c r="AN106" s="41"/>
      <c r="AO106" s="37">
        <v>4.08</v>
      </c>
      <c r="AP106" s="15"/>
      <c r="AQ106"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2733.42</v>
      </c>
      <c r="AR106"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2733.42</v>
      </c>
      <c r="AS106" s="15"/>
      <c r="AT106" s="27" t="str">
        <f>IF(Tabla58[[#This Row],[Cod trabalhador]]="", "", INDEX(Iban!C:C, MATCH(Tabla58[[#This Row],[Cod trabalhador]],Iban!A:A, 0)))</f>
        <v>ES77 0182 1275 1902 0216 8446</v>
      </c>
      <c r="AU106" s="27"/>
      <c r="AV106" s="27"/>
      <c r="AW106" s="66" t="s">
        <v>7533</v>
      </c>
      <c r="AX106" s="296" t="s">
        <v>7472</v>
      </c>
    </row>
    <row r="107" spans="1:50" ht="16.5" hidden="1" customHeight="1" x14ac:dyDescent="0.3">
      <c r="A107" s="43"/>
      <c r="B107" s="39" t="s">
        <v>3079</v>
      </c>
      <c r="C107" s="45" t="str">
        <f>IF(ISNUMBER(MATCH(Tabla58[[#This Row],[Cod trabalhador]],'Altas Wiseowe'!B:B, 0)), "Ativo", "Não ativo")</f>
        <v>Não ativo</v>
      </c>
      <c r="D107" s="44" t="str">
        <f>IFERROR(IF(VLOOKUP(Tabla58[[#This Row],[Cod trabalhador]],'Altas Industrial'!B:E,1,0)&lt;&gt;"","KI",""),"")</f>
        <v/>
      </c>
      <c r="E107" s="44" t="str">
        <f>IFERROR(IF(VLOOKUP(Tabla58[[#This Row],[Cod trabalhador]],'Altas Rosas'!B:F,1,0)&lt;&gt;"","KR",""),"")</f>
        <v/>
      </c>
      <c r="F107" s="44" t="str">
        <f>IFERROR(IF(VLOOKUP(Tabla58[[#This Row],[Cod trabalhador]],'Altas Wiseowe'!B:E,1,0)&lt;&gt;"","WS",""),"")</f>
        <v/>
      </c>
      <c r="G107" s="101" t="str">
        <f>IFERROR(IF(VLOOKUP(Tabla58[[#This Row],[Cod trabalhador]],'Altas Luminous'!B:E,1,0)&lt;&gt;"","LM",""),"")</f>
        <v/>
      </c>
      <c r="H107" s="51" t="str">
        <f>IFERROR(VLOOKUP(Tabla58[[#This Row],[Cod trabalhador]],'Altas Wiseowe'!B:E,3,FALSE),"")</f>
        <v/>
      </c>
      <c r="I107" s="51" t="str">
        <f>IF(OR(Tabla58[[#This Row],[Cod trabalhador]]="",ISBLANK(Tabla58[[#This Row],[Cod trabalhador]])),"",IFERROR(IF(VLOOKUP(Tabla58[[#This Row],[Cod trabalhador]],'Altas Wiseowe'!B:E,4,FALSE)=0,"",VLOOKUP(Tabla58[[#This Row],[Cod trabalhador]],'Altas Wiseowe'!B:E,4,FALSE)),""))</f>
        <v/>
      </c>
      <c r="J107" s="44">
        <f t="shared" si="4"/>
        <v>0</v>
      </c>
      <c r="K107" s="376" t="s">
        <v>7366</v>
      </c>
      <c r="L107" s="342" t="str">
        <f>IFERROR(IF(Tabla58[[#This Row],[Cod trabalhador]]="",Tabla58[[#This Row],[Cod trabalhador]], INDEX(Colaborador_ID[Nombre], MATCH(Tabla58[[#This Row],[Cod trabalhador]],Colaborador_ID[Cod_colab], 0))), "")</f>
        <v>JAVIER DE JESUS SALAS MARTINEZ</v>
      </c>
      <c r="N107" s="405" t="s">
        <v>7312</v>
      </c>
      <c r="O107" s="26">
        <f>IFERROR(VLOOKUP(Tabla58[[#This Row],[Cod trabalhador]],Tabla15[],4,FALSE),"")</f>
        <v>15</v>
      </c>
      <c r="P107" s="92">
        <f>IFERROR(VLOOKUP(Tabla58[[#This Row],[Cod trabalhador]],'TotalHorasAjustadas (2)'!D:L,8,FALSE),"")</f>
        <v>215</v>
      </c>
      <c r="Q107" s="27">
        <v>215</v>
      </c>
      <c r="R107" s="28" t="s">
        <v>7532</v>
      </c>
      <c r="S107" s="28" t="s">
        <v>7539</v>
      </c>
      <c r="U107" s="25"/>
      <c r="V107" s="220"/>
      <c r="W107" s="27"/>
      <c r="X107" s="28"/>
      <c r="Y107" s="28"/>
      <c r="Z107" s="149"/>
      <c r="AA107" s="392" t="str">
        <f>IFERROR(VLOOKUP(Tabla58[[#This Row],[Cod trabalhador]],Alojamentos!B:P,11,FALSE),"")</f>
        <v/>
      </c>
      <c r="AB107" s="127"/>
      <c r="AC107" s="150"/>
      <c r="AD107" s="35">
        <f>Tabla58[[#This Row],[Dias de alta]]*7.058</f>
        <v>0</v>
      </c>
      <c r="AE107" s="46" t="str">
        <f>IFERROR(VLOOKUP(Tabla58[[#This Row],[Cod trabalhador]],Adiantamentos!B:L,7,FALSE),"")</f>
        <v/>
      </c>
      <c r="AF107" s="46">
        <f>IFERROR(VLOOKUP(Tabla58[[#This Row],[Cod trabalhador]],Carro!B:D,3,FALSE),"")</f>
        <v>121.66666666666667</v>
      </c>
      <c r="AG107" s="46" t="str">
        <f>IFERROR(VLOOKUP(Tabla58[[#This Row],[Cod trabalhador]],'Outros descontos'!B:O,7,FALSE),"")</f>
        <v/>
      </c>
      <c r="AH107" s="46" t="str">
        <f>IFERROR(VLOOKUP(Tabla58[[#This Row],[Cod trabalhador]],'Outros descontos'!B:M,8,FALSE),"")</f>
        <v/>
      </c>
      <c r="AI107" s="46" t="str">
        <f>IFERROR(VLOOKUP(Tabla58[[#This Row],[Cod trabalhador]],'Outros descontos'!B:M,9,FALSE),"")</f>
        <v/>
      </c>
      <c r="AJ107" s="46" t="str">
        <f>IFERROR(VLOOKUP(Tabla58[[#This Row],[Cod trabalhador]],'Outros descontos'!B:M,10,FALSE),"")</f>
        <v/>
      </c>
      <c r="AK107" s="46" t="str">
        <f>IFERROR(VLOOKUP(Tabla58[[#This Row],[Cod trabalhador]],'Outros descontos'!B:M,11,FALSE),"")</f>
        <v/>
      </c>
      <c r="AL107" s="46" t="str">
        <f>IFERROR(VLOOKUP(Tabla58[[#This Row],[Cod trabalhador]],'Outros descontos'!B:R,12,FALSE),"")</f>
        <v/>
      </c>
      <c r="AM107" s="46" t="str">
        <f>IFERROR(VLOOKUP(Tabla58[[#This Row],[Cod trabalhador]],'Outros descontos'!B:M,13,FALSE),"")</f>
        <v/>
      </c>
      <c r="AN107" s="41"/>
      <c r="AO107" s="37">
        <v>4.08</v>
      </c>
      <c r="AP107" s="15"/>
      <c r="AQ107"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3099.2533333333336</v>
      </c>
      <c r="AR107"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3099.2533333333336</v>
      </c>
      <c r="AS107" s="15"/>
      <c r="AT107" s="27" t="str">
        <f>IF(Tabla58[[#This Row],[Cod trabalhador]]="", "", INDEX(Iban!C:C, MATCH(Tabla58[[#This Row],[Cod trabalhador]],Iban!A:A, 0)))</f>
        <v>ES28 0182 1991 3802 0159 7545</v>
      </c>
      <c r="AU107" s="27"/>
      <c r="AV107" s="97"/>
      <c r="AW107" s="66" t="s">
        <v>7533</v>
      </c>
      <c r="AX107" s="296" t="s">
        <v>7472</v>
      </c>
    </row>
    <row r="108" spans="1:50" ht="16.5" hidden="1" customHeight="1" x14ac:dyDescent="0.3">
      <c r="A108" s="43"/>
      <c r="B108" s="39" t="s">
        <v>3326</v>
      </c>
      <c r="C108" s="45" t="str">
        <f>IF(ISNUMBER(MATCH(Tabla58[[#This Row],[Cod trabalhador]],'Altas Wiseowe'!B:B, 0)), "Ativo", "Não ativo")</f>
        <v>Ativo</v>
      </c>
      <c r="D108" s="44" t="str">
        <f>IFERROR(IF(VLOOKUP(Tabla58[[#This Row],[Cod trabalhador]],'Altas Industrial'!B:E,1,0)&lt;&gt;"","KI",""),"")</f>
        <v/>
      </c>
      <c r="E108" s="44" t="str">
        <f>IFERROR(IF(VLOOKUP(Tabla58[[#This Row],[Cod trabalhador]],'Altas Rosas'!B:F,1,0)&lt;&gt;"","KR",""),"")</f>
        <v/>
      </c>
      <c r="F108" s="44" t="str">
        <f>IFERROR(IF(VLOOKUP(Tabla58[[#This Row],[Cod trabalhador]],'Altas Wiseowe'!B:E,1,0)&lt;&gt;"","WS",""),"")</f>
        <v>WS</v>
      </c>
      <c r="G108" s="101" t="str">
        <f>IFERROR(IF(VLOOKUP(Tabla58[[#This Row],[Cod trabalhador]],'Altas Luminous'!B:E,1,0)&lt;&gt;"","LM",""),"")</f>
        <v/>
      </c>
      <c r="H108" s="51">
        <f>IFERROR(VLOOKUP(Tabla58[[#This Row],[Cod trabalhador]],'Altas Wiseowe'!B:E,3,FALSE),"")</f>
        <v>45957</v>
      </c>
      <c r="I108" s="51" t="str">
        <f>IF(OR(Tabla58[[#This Row],[Cod trabalhador]]="",ISBLANK(Tabla58[[#This Row],[Cod trabalhador]])),"",IFERROR(IF(VLOOKUP(Tabla58[[#This Row],[Cod trabalhador]],'Altas Wiseowe'!B:E,4,FALSE)=0,"",VLOOKUP(Tabla58[[#This Row],[Cod trabalhador]],'Altas Wiseowe'!B:E,4,FALSE)),""))</f>
        <v/>
      </c>
      <c r="J108" s="44">
        <f t="shared" si="4"/>
        <v>31</v>
      </c>
      <c r="K108" s="376" t="s">
        <v>7321</v>
      </c>
      <c r="L108" s="342" t="str">
        <f>IFERROR(IF(Tabla58[[#This Row],[Cod trabalhador]]="",Tabla58[[#This Row],[Cod trabalhador]], INDEX(Colaborador_ID[Nombre], MATCH(Tabla58[[#This Row],[Cod trabalhador]],Colaborador_ID[Cod_colab], 0))), "")</f>
        <v>JHOBERGS JESUS PARRA DE ARCO</v>
      </c>
      <c r="N108" s="405" t="s">
        <v>7312</v>
      </c>
      <c r="O108" s="26">
        <f>IFERROR(VLOOKUP(Tabla58[[#This Row],[Cod trabalhador]],Tabla15[],4,FALSE),"")</f>
        <v>15</v>
      </c>
      <c r="P108" s="92">
        <f>IFERROR(VLOOKUP(Tabla58[[#This Row],[Cod trabalhador]],'TotalHorasAjustadas (2)'!D:L,8,FALSE),"")</f>
        <v>158</v>
      </c>
      <c r="Q108" s="27">
        <v>158</v>
      </c>
      <c r="R108" s="28" t="s">
        <v>7532</v>
      </c>
      <c r="S108" s="28" t="s">
        <v>7539</v>
      </c>
      <c r="U108" s="25"/>
      <c r="V108" s="220"/>
      <c r="W108" s="27"/>
      <c r="X108" s="28"/>
      <c r="Y108" s="28"/>
      <c r="Z108" s="149"/>
      <c r="AA108" s="392" t="str">
        <f>IFERROR(VLOOKUP(Tabla58[[#This Row],[Cod trabalhador]],Alojamentos!B:P,11,FALSE),"")</f>
        <v/>
      </c>
      <c r="AB108" s="127"/>
      <c r="AC108" s="150"/>
      <c r="AD108" s="35">
        <f>Tabla58[[#This Row],[Dias de alta]]*7.058</f>
        <v>218.798</v>
      </c>
      <c r="AE108" s="46" t="str">
        <f>IFERROR(VLOOKUP(Tabla58[[#This Row],[Cod trabalhador]],Adiantamentos!B:L,7,FALSE),"")</f>
        <v/>
      </c>
      <c r="AF108" s="46" t="str">
        <f>IFERROR(VLOOKUP(Tabla58[[#This Row],[Cod trabalhador]],Carro!B:D,3,FALSE),"")</f>
        <v/>
      </c>
      <c r="AG108" s="46" t="str">
        <f>IFERROR(VLOOKUP(Tabla58[[#This Row],[Cod trabalhador]],'Outros descontos'!B:O,7,FALSE),"")</f>
        <v/>
      </c>
      <c r="AH108" s="46" t="str">
        <f>IFERROR(VLOOKUP(Tabla58[[#This Row],[Cod trabalhador]],'Outros descontos'!B:M,8,FALSE),"")</f>
        <v/>
      </c>
      <c r="AI108" s="46" t="str">
        <f>IFERROR(VLOOKUP(Tabla58[[#This Row],[Cod trabalhador]],'Outros descontos'!B:M,9,FALSE),"")</f>
        <v/>
      </c>
      <c r="AJ108" s="46" t="str">
        <f>IFERROR(VLOOKUP(Tabla58[[#This Row],[Cod trabalhador]],'Outros descontos'!B:M,10,FALSE),"")</f>
        <v/>
      </c>
      <c r="AK108" s="46" t="str">
        <f>IFERROR(VLOOKUP(Tabla58[[#This Row],[Cod trabalhador]],'Outros descontos'!B:M,11,FALSE),"")</f>
        <v/>
      </c>
      <c r="AL108" s="46" t="str">
        <f>IFERROR(VLOOKUP(Tabla58[[#This Row],[Cod trabalhador]],'Outros descontos'!B:R,12,FALSE),"")</f>
        <v/>
      </c>
      <c r="AM108" s="46" t="str">
        <f>IFERROR(VLOOKUP(Tabla58[[#This Row],[Cod trabalhador]],'Outros descontos'!B:M,13,FALSE),"")</f>
        <v/>
      </c>
      <c r="AN108" s="41"/>
      <c r="AO108" s="37">
        <v>4.08</v>
      </c>
      <c r="AP108" s="15"/>
      <c r="AQ108"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2147.1220000000003</v>
      </c>
      <c r="AR108"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2147.1220000000003</v>
      </c>
      <c r="AS108" s="15"/>
      <c r="AT108" s="27" t="str">
        <f>IF(Tabla58[[#This Row],[Cod trabalhador]]="", "", INDEX(Iban!C:C, MATCH(Tabla58[[#This Row],[Cod trabalhador]],Iban!A:A, 0)))</f>
        <v>ES32 0182 5011 1102 0224 0092</v>
      </c>
      <c r="AU108" s="27"/>
      <c r="AV108" s="27"/>
      <c r="AW108" s="66" t="s">
        <v>7540</v>
      </c>
      <c r="AX108" s="296" t="s">
        <v>7472</v>
      </c>
    </row>
    <row r="109" spans="1:50" ht="16.5" hidden="1" customHeight="1" x14ac:dyDescent="0.3">
      <c r="A109" s="43"/>
      <c r="B109" s="39" t="s">
        <v>3344</v>
      </c>
      <c r="C109" s="45" t="str">
        <f>IF(ISNUMBER(MATCH(Tabla58[[#This Row],[Cod trabalhador]],'Altas Wiseowe'!B:B, 0)), "Ativo", "Não ativo")</f>
        <v>Não ativo</v>
      </c>
      <c r="D109" s="44" t="str">
        <f>IFERROR(IF(VLOOKUP(Tabla58[[#This Row],[Cod trabalhador]],'Altas Industrial'!B:E,1,0)&lt;&gt;"","KI",""),"")</f>
        <v/>
      </c>
      <c r="E109" s="44" t="str">
        <f>IFERROR(IF(VLOOKUP(Tabla58[[#This Row],[Cod trabalhador]],'Altas Rosas'!B:F,1,0)&lt;&gt;"","KR",""),"")</f>
        <v/>
      </c>
      <c r="F109" s="44" t="str">
        <f>IFERROR(IF(VLOOKUP(Tabla58[[#This Row],[Cod trabalhador]],'Altas Wiseowe'!B:E,1,0)&lt;&gt;"","WS",""),"")</f>
        <v/>
      </c>
      <c r="G109" s="101" t="str">
        <f>IFERROR(IF(VLOOKUP(Tabla58[[#This Row],[Cod trabalhador]],'Altas Luminous'!B:E,1,0)&lt;&gt;"","LM",""),"")</f>
        <v/>
      </c>
      <c r="H109" s="51" t="str">
        <f>IFERROR(VLOOKUP(Tabla58[[#This Row],[Cod trabalhador]],'Altas Wiseowe'!B:E,3,FALSE),"")</f>
        <v/>
      </c>
      <c r="I109" s="51" t="str">
        <f>IF(OR(Tabla58[[#This Row],[Cod trabalhador]]="",ISBLANK(Tabla58[[#This Row],[Cod trabalhador]])),"",IFERROR(IF(VLOOKUP(Tabla58[[#This Row],[Cod trabalhador]],'Altas Wiseowe'!B:E,4,FALSE)=0,"",VLOOKUP(Tabla58[[#This Row],[Cod trabalhador]],'Altas Wiseowe'!B:E,4,FALSE)),""))</f>
        <v/>
      </c>
      <c r="J109" s="44">
        <f t="shared" si="4"/>
        <v>0</v>
      </c>
      <c r="K109" s="376" t="s">
        <v>7322</v>
      </c>
      <c r="L109" s="342" t="str">
        <f>IFERROR(IF(Tabla58[[#This Row],[Cod trabalhador]]="",Tabla58[[#This Row],[Cod trabalhador]], INDEX(Colaborador_ID[Nombre], MATCH(Tabla58[[#This Row],[Cod trabalhador]],Colaborador_ID[Cod_colab], 0))), "")</f>
        <v>JHON ALEXANDER ARENAS CASTRILLON</v>
      </c>
      <c r="N109" s="405" t="s">
        <v>7312</v>
      </c>
      <c r="O109" s="26">
        <f>IFERROR(VLOOKUP(Tabla58[[#This Row],[Cod trabalhador]],Tabla15[],4,FALSE),"")</f>
        <v>15</v>
      </c>
      <c r="P109" s="92">
        <f>IFERROR(VLOOKUP(Tabla58[[#This Row],[Cod trabalhador]],'TotalHorasAjustadas (2)'!D:L,8,FALSE),"")</f>
        <v>0</v>
      </c>
      <c r="Q109" s="27">
        <v>27</v>
      </c>
      <c r="R109" s="28" t="s">
        <v>7532</v>
      </c>
      <c r="S109" s="28" t="s">
        <v>7539</v>
      </c>
      <c r="U109" s="25"/>
      <c r="V109" s="220"/>
      <c r="W109" s="27"/>
      <c r="X109" s="28"/>
      <c r="Y109" s="28"/>
      <c r="Z109" s="306"/>
      <c r="AA109" s="392" t="str">
        <f>IFERROR(VLOOKUP(Tabla58[[#This Row],[Cod trabalhador]],Alojamentos!B:P,11,FALSE),"")</f>
        <v/>
      </c>
      <c r="AB109" s="127"/>
      <c r="AC109" s="15"/>
      <c r="AD109" s="35">
        <f>Tabla58[[#This Row],[Dias de alta]]*7.058</f>
        <v>0</v>
      </c>
      <c r="AE109" s="46" t="str">
        <f>IFERROR(VLOOKUP(Tabla58[[#This Row],[Cod trabalhador]],Adiantamentos!B:L,7,FALSE),"")</f>
        <v/>
      </c>
      <c r="AF109" s="46" t="str">
        <f>IFERROR(VLOOKUP(Tabla58[[#This Row],[Cod trabalhador]],Carro!B:D,3,FALSE),"")</f>
        <v/>
      </c>
      <c r="AG109" s="46" t="str">
        <f>IFERROR(VLOOKUP(Tabla58[[#This Row],[Cod trabalhador]],'Outros descontos'!B:O,7,FALSE),"")</f>
        <v/>
      </c>
      <c r="AH109" s="46" t="str">
        <f>IFERROR(VLOOKUP(Tabla58[[#This Row],[Cod trabalhador]],'Outros descontos'!B:M,8,FALSE),"")</f>
        <v/>
      </c>
      <c r="AI109" s="46" t="str">
        <f>IFERROR(VLOOKUP(Tabla58[[#This Row],[Cod trabalhador]],'Outros descontos'!B:M,9,FALSE),"")</f>
        <v/>
      </c>
      <c r="AJ109" s="46" t="str">
        <f>IFERROR(VLOOKUP(Tabla58[[#This Row],[Cod trabalhador]],'Outros descontos'!B:M,10,FALSE),"")</f>
        <v/>
      </c>
      <c r="AK109" s="46" t="str">
        <f>IFERROR(VLOOKUP(Tabla58[[#This Row],[Cod trabalhador]],'Outros descontos'!B:M,11,FALSE),"")</f>
        <v/>
      </c>
      <c r="AL109" s="46" t="str">
        <f>IFERROR(VLOOKUP(Tabla58[[#This Row],[Cod trabalhador]],'Outros descontos'!B:R,12,FALSE),"")</f>
        <v/>
      </c>
      <c r="AM109" s="46" t="str">
        <f>IFERROR(VLOOKUP(Tabla58[[#This Row],[Cod trabalhador]],'Outros descontos'!B:M,13,FALSE),"")</f>
        <v/>
      </c>
      <c r="AN109" s="41"/>
      <c r="AO109" s="37">
        <v>4.08</v>
      </c>
      <c r="AP109" s="15"/>
      <c r="AQ109"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-4.08</v>
      </c>
      <c r="AR109"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400.92</v>
      </c>
      <c r="AS109" s="15"/>
      <c r="AT109" s="27" t="str">
        <f>IF(Tabla58[[#This Row],[Cod trabalhador]]="", "", INDEX(Iban!C:C, MATCH(Tabla58[[#This Row],[Cod trabalhador]],Iban!A:A, 0)))</f>
        <v>ES43 0182 2599 7002 0363 0340</v>
      </c>
      <c r="AU109" s="27"/>
      <c r="AV109" s="27"/>
      <c r="AW109" s="66" t="s">
        <v>7533</v>
      </c>
      <c r="AX109" s="296" t="s">
        <v>7472</v>
      </c>
    </row>
    <row r="110" spans="1:50" ht="16.5" hidden="1" customHeight="1" x14ac:dyDescent="0.3">
      <c r="A110" s="43"/>
      <c r="B110" s="39" t="s">
        <v>3611</v>
      </c>
      <c r="C110" s="45" t="str">
        <f>IF(ISNUMBER(MATCH(Tabla58[[#This Row],[Cod trabalhador]],'Altas Wiseowe'!B:B, 0)), "Ativo", "Não ativo")</f>
        <v>Não ativo</v>
      </c>
      <c r="D110" s="44" t="str">
        <f>IFERROR(IF(VLOOKUP(Tabla58[[#This Row],[Cod trabalhador]],'Altas Industrial'!B:E,1,0)&lt;&gt;"","KI",""),"")</f>
        <v>KI</v>
      </c>
      <c r="E110" s="44" t="str">
        <f>IFERROR(IF(VLOOKUP(Tabla58[[#This Row],[Cod trabalhador]],'Altas Rosas'!B:F,1,0)&lt;&gt;"","KR",""),"")</f>
        <v/>
      </c>
      <c r="F110" s="44" t="str">
        <f>IFERROR(IF(VLOOKUP(Tabla58[[#This Row],[Cod trabalhador]],'Altas Wiseowe'!B:E,1,0)&lt;&gt;"","WS",""),"")</f>
        <v/>
      </c>
      <c r="G110" s="101" t="str">
        <f>IFERROR(IF(VLOOKUP(Tabla58[[#This Row],[Cod trabalhador]],'Altas Luminous'!B:E,1,0)&lt;&gt;"","LM",""),"")</f>
        <v/>
      </c>
      <c r="H110" s="51" t="str">
        <f>IFERROR(VLOOKUP(Tabla58[[#This Row],[Cod trabalhador]],'Altas Wiseowe'!B:E,3,FALSE),"")</f>
        <v/>
      </c>
      <c r="I110" s="51" t="str">
        <f>IF(OR(Tabla58[[#This Row],[Cod trabalhador]]="",ISBLANK(Tabla58[[#This Row],[Cod trabalhador]])),"",IFERROR(IF(VLOOKUP(Tabla58[[#This Row],[Cod trabalhador]],'Altas Wiseowe'!B:E,4,FALSE)=0,"",VLOOKUP(Tabla58[[#This Row],[Cod trabalhador]],'Altas Wiseowe'!B:E,4,FALSE)),""))</f>
        <v/>
      </c>
      <c r="J110" s="44">
        <f t="shared" si="4"/>
        <v>0</v>
      </c>
      <c r="K110" s="376" t="s">
        <v>7367</v>
      </c>
      <c r="L110" s="342" t="str">
        <f>IFERROR(IF(Tabla58[[#This Row],[Cod trabalhador]]="",Tabla58[[#This Row],[Cod trabalhador]], INDEX(Colaborador_ID[Nombre], MATCH(Tabla58[[#This Row],[Cod trabalhador]],Colaborador_ID[Cod_colab], 0))), "")</f>
        <v>JOHNNY JAVIER BORJA MANGA</v>
      </c>
      <c r="N110" s="405" t="s">
        <v>7312</v>
      </c>
      <c r="O110" s="26">
        <f>IFERROR(VLOOKUP(Tabla58[[#This Row],[Cod trabalhador]],Tabla15[],4,FALSE),"")</f>
        <v>15</v>
      </c>
      <c r="P110" s="92">
        <f>IFERROR(VLOOKUP(Tabla58[[#This Row],[Cod trabalhador]],'TotalHorasAjustadas (2)'!D:L,8,FALSE),"")</f>
        <v>135</v>
      </c>
      <c r="Q110" s="27">
        <v>135</v>
      </c>
      <c r="R110" s="28" t="s">
        <v>7532</v>
      </c>
      <c r="S110" s="28" t="s">
        <v>7539</v>
      </c>
      <c r="U110" s="25"/>
      <c r="V110" s="220"/>
      <c r="W110" s="27"/>
      <c r="X110" s="28"/>
      <c r="Y110" s="28"/>
      <c r="Z110" s="149"/>
      <c r="AA110" s="392">
        <f>IFERROR(VLOOKUP(Tabla58[[#This Row],[Cod trabalhador]],Alojamentos!B:P,11,FALSE),"")</f>
        <v>300</v>
      </c>
      <c r="AB110" s="127"/>
      <c r="AC110" s="150"/>
      <c r="AD110" s="35">
        <f>Tabla58[[#This Row],[Dias de alta]]*7.058</f>
        <v>0</v>
      </c>
      <c r="AE110" s="46" t="str">
        <f>IFERROR(VLOOKUP(Tabla58[[#This Row],[Cod trabalhador]],Adiantamentos!B:L,7,FALSE),"")</f>
        <v/>
      </c>
      <c r="AF110" s="46" t="str">
        <f>IFERROR(VLOOKUP(Tabla58[[#This Row],[Cod trabalhador]],Carro!B:D,3,FALSE),"")</f>
        <v/>
      </c>
      <c r="AG110" s="46" t="str">
        <f>IFERROR(VLOOKUP(Tabla58[[#This Row],[Cod trabalhador]],'Outros descontos'!B:O,7,FALSE),"")</f>
        <v/>
      </c>
      <c r="AH110" s="46" t="str">
        <f>IFERROR(VLOOKUP(Tabla58[[#This Row],[Cod trabalhador]],'Outros descontos'!B:M,8,FALSE),"")</f>
        <v/>
      </c>
      <c r="AI110" s="46" t="str">
        <f>IFERROR(VLOOKUP(Tabla58[[#This Row],[Cod trabalhador]],'Outros descontos'!B:M,9,FALSE),"")</f>
        <v/>
      </c>
      <c r="AJ110" s="46" t="str">
        <f>IFERROR(VLOOKUP(Tabla58[[#This Row],[Cod trabalhador]],'Outros descontos'!B:M,10,FALSE),"")</f>
        <v/>
      </c>
      <c r="AK110" s="46" t="str">
        <f>IFERROR(VLOOKUP(Tabla58[[#This Row],[Cod trabalhador]],'Outros descontos'!B:M,11,FALSE),"")</f>
        <v/>
      </c>
      <c r="AL110" s="46" t="str">
        <f>IFERROR(VLOOKUP(Tabla58[[#This Row],[Cod trabalhador]],'Outros descontos'!B:R,12,FALSE),"")</f>
        <v/>
      </c>
      <c r="AM110" s="46" t="str">
        <f>IFERROR(VLOOKUP(Tabla58[[#This Row],[Cod trabalhador]],'Outros descontos'!B:M,13,FALSE),"")</f>
        <v/>
      </c>
      <c r="AN110" s="41"/>
      <c r="AO110" s="37">
        <v>4.08</v>
      </c>
      <c r="AQ110"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2320.92</v>
      </c>
      <c r="AR110"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2320.92</v>
      </c>
      <c r="AT110" s="27" t="str">
        <f>IF(Tabla58[[#This Row],[Cod trabalhador]]="", "", INDEX(Iban!C:C, MATCH(Tabla58[[#This Row],[Cod trabalhador]],Iban!A:A, 0)))</f>
        <v>ES94 0182 6556 1402 0166 5521</v>
      </c>
      <c r="AU110" s="27"/>
      <c r="AV110" s="97"/>
      <c r="AW110" s="66" t="s">
        <v>7533</v>
      </c>
      <c r="AX110" s="296" t="s">
        <v>7472</v>
      </c>
    </row>
    <row r="111" spans="1:50" ht="16.5" hidden="1" customHeight="1" x14ac:dyDescent="0.3">
      <c r="A111" s="43"/>
      <c r="B111" s="39" t="s">
        <v>3710</v>
      </c>
      <c r="C111" s="45" t="str">
        <f>IF(ISNUMBER(MATCH(Tabla58[[#This Row],[Cod trabalhador]],'Altas Wiseowe'!B:B, 0)), "Ativo", "Não ativo")</f>
        <v>Não ativo</v>
      </c>
      <c r="D111" s="44" t="str">
        <f>IFERROR(IF(VLOOKUP(Tabla58[[#This Row],[Cod trabalhador]],'Altas Industrial'!B:E,1,0)&lt;&gt;"","KI",""),"")</f>
        <v/>
      </c>
      <c r="E111" s="44" t="str">
        <f>IFERROR(IF(VLOOKUP(Tabla58[[#This Row],[Cod trabalhador]],'Altas Rosas'!B:F,1,0)&lt;&gt;"","KR",""),"")</f>
        <v/>
      </c>
      <c r="F111" s="44" t="str">
        <f>IFERROR(IF(VLOOKUP(Tabla58[[#This Row],[Cod trabalhador]],'Altas Wiseowe'!B:E,1,0)&lt;&gt;"","WS",""),"")</f>
        <v/>
      </c>
      <c r="G111" s="101" t="str">
        <f>IFERROR(IF(VLOOKUP(Tabla58[[#This Row],[Cod trabalhador]],'Altas Luminous'!B:E,1,0)&lt;&gt;"","LM",""),"")</f>
        <v/>
      </c>
      <c r="H111" s="51" t="str">
        <f>IFERROR(VLOOKUP(Tabla58[[#This Row],[Cod trabalhador]],'Altas Wiseowe'!B:E,3,FALSE),"")</f>
        <v/>
      </c>
      <c r="I111" s="51" t="str">
        <f>IF(OR(Tabla58[[#This Row],[Cod trabalhador]]="",ISBLANK(Tabla58[[#This Row],[Cod trabalhador]])),"",IFERROR(IF(VLOOKUP(Tabla58[[#This Row],[Cod trabalhador]],'Altas Wiseowe'!B:E,4,FALSE)=0,"",VLOOKUP(Tabla58[[#This Row],[Cod trabalhador]],'Altas Wiseowe'!B:E,4,FALSE)),""))</f>
        <v/>
      </c>
      <c r="J111" s="44">
        <f t="shared" si="4"/>
        <v>0</v>
      </c>
      <c r="K111" s="376" t="s">
        <v>7323</v>
      </c>
      <c r="L111" s="342" t="str">
        <f>IFERROR(IF(Tabla58[[#This Row],[Cod trabalhador]]="",Tabla58[[#This Row],[Cod trabalhador]], INDEX(Colaborador_ID[Nombre], MATCH(Tabla58[[#This Row],[Cod trabalhador]],Colaborador_ID[Cod_colab], 0))), "")</f>
        <v>JORGE ANDRES MARTINEZ VEGA</v>
      </c>
      <c r="N111" s="405" t="s">
        <v>7312</v>
      </c>
      <c r="O111" s="26">
        <f>IFERROR(VLOOKUP(Tabla58[[#This Row],[Cod trabalhador]],Tabla15[],4,FALSE),"")</f>
        <v>15</v>
      </c>
      <c r="P111" s="92">
        <f>IFERROR(VLOOKUP(Tabla58[[#This Row],[Cod trabalhador]],'TotalHorasAjustadas (2)'!D:L,8,FALSE),"")</f>
        <v>0</v>
      </c>
      <c r="Q111" s="27">
        <v>27</v>
      </c>
      <c r="R111" s="28" t="s">
        <v>7532</v>
      </c>
      <c r="S111" s="28" t="s">
        <v>7539</v>
      </c>
      <c r="U111" s="25"/>
      <c r="V111" s="220"/>
      <c r="W111" s="27"/>
      <c r="X111" s="28"/>
      <c r="Y111" s="28"/>
      <c r="Z111" s="149"/>
      <c r="AA111" s="392" t="str">
        <f>IFERROR(VLOOKUP(Tabla58[[#This Row],[Cod trabalhador]],Alojamentos!B:P,11,FALSE),"")</f>
        <v/>
      </c>
      <c r="AB111" s="127"/>
      <c r="AC111" s="150"/>
      <c r="AD111" s="35">
        <f>Tabla58[[#This Row],[Dias de alta]]*7.058</f>
        <v>0</v>
      </c>
      <c r="AE111" s="46" t="str">
        <f>IFERROR(VLOOKUP(Tabla58[[#This Row],[Cod trabalhador]],Adiantamentos!B:L,7,FALSE),"")</f>
        <v/>
      </c>
      <c r="AF111" s="46" t="str">
        <f>IFERROR(VLOOKUP(Tabla58[[#This Row],[Cod trabalhador]],Carro!B:D,3,FALSE),"")</f>
        <v/>
      </c>
      <c r="AG111" s="46" t="str">
        <f>IFERROR(VLOOKUP(Tabla58[[#This Row],[Cod trabalhador]],'Outros descontos'!B:O,7,FALSE),"")</f>
        <v/>
      </c>
      <c r="AH111" s="46" t="str">
        <f>IFERROR(VLOOKUP(Tabla58[[#This Row],[Cod trabalhador]],'Outros descontos'!B:M,8,FALSE),"")</f>
        <v/>
      </c>
      <c r="AI111" s="46" t="str">
        <f>IFERROR(VLOOKUP(Tabla58[[#This Row],[Cod trabalhador]],'Outros descontos'!B:M,9,FALSE),"")</f>
        <v/>
      </c>
      <c r="AJ111" s="46" t="str">
        <f>IFERROR(VLOOKUP(Tabla58[[#This Row],[Cod trabalhador]],'Outros descontos'!B:M,10,FALSE),"")</f>
        <v/>
      </c>
      <c r="AK111" s="46" t="str">
        <f>IFERROR(VLOOKUP(Tabla58[[#This Row],[Cod trabalhador]],'Outros descontos'!B:M,11,FALSE),"")</f>
        <v/>
      </c>
      <c r="AL111" s="46" t="str">
        <f>IFERROR(VLOOKUP(Tabla58[[#This Row],[Cod trabalhador]],'Outros descontos'!B:R,12,FALSE),"")</f>
        <v/>
      </c>
      <c r="AM111" s="46" t="str">
        <f>IFERROR(VLOOKUP(Tabla58[[#This Row],[Cod trabalhador]],'Outros descontos'!B:M,13,FALSE),"")</f>
        <v/>
      </c>
      <c r="AN111" s="41"/>
      <c r="AO111" s="37">
        <v>4.08</v>
      </c>
      <c r="AP111" s="15"/>
      <c r="AQ111"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-4.08</v>
      </c>
      <c r="AR111"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400.92</v>
      </c>
      <c r="AS111" s="15"/>
      <c r="AT111" s="27" t="str">
        <f>IF(Tabla58[[#This Row],[Cod trabalhador]]="", "", INDEX(Iban!C:C, MATCH(Tabla58[[#This Row],[Cod trabalhador]],Iban!A:A, 0)))</f>
        <v>ES51 0182 0021 8802 0157 2028</v>
      </c>
      <c r="AU111" s="27" t="s">
        <v>7541</v>
      </c>
      <c r="AV111" s="27"/>
      <c r="AW111" s="66" t="s">
        <v>7533</v>
      </c>
      <c r="AX111" s="296" t="s">
        <v>7472</v>
      </c>
    </row>
    <row r="112" spans="1:50" ht="16.5" hidden="1" customHeight="1" x14ac:dyDescent="0.3">
      <c r="A112" s="43"/>
      <c r="B112" s="39" t="s">
        <v>3995</v>
      </c>
      <c r="C112" s="45" t="str">
        <f>IF(ISNUMBER(MATCH(Tabla58[[#This Row],[Cod trabalhador]],'Altas Wiseowe'!B:B, 0)), "Ativo", "Não ativo")</f>
        <v>Não ativo</v>
      </c>
      <c r="D112" s="44" t="str">
        <f>IFERROR(IF(VLOOKUP(Tabla58[[#This Row],[Cod trabalhador]],'Altas Industrial'!B:E,1,0)&lt;&gt;"","KI",""),"")</f>
        <v>KI</v>
      </c>
      <c r="E112" s="44" t="str">
        <f>IFERROR(IF(VLOOKUP(Tabla58[[#This Row],[Cod trabalhador]],'Altas Rosas'!B:F,1,0)&lt;&gt;"","KR",""),"")</f>
        <v/>
      </c>
      <c r="F112" s="44" t="str">
        <f>IFERROR(IF(VLOOKUP(Tabla58[[#This Row],[Cod trabalhador]],'Altas Wiseowe'!B:E,1,0)&lt;&gt;"","WS",""),"")</f>
        <v/>
      </c>
      <c r="G112" s="101" t="str">
        <f>IFERROR(IF(VLOOKUP(Tabla58[[#This Row],[Cod trabalhador]],'Altas Luminous'!B:E,1,0)&lt;&gt;"","LM",""),"")</f>
        <v/>
      </c>
      <c r="H112" s="51" t="str">
        <f>IFERROR(VLOOKUP(Tabla58[[#This Row],[Cod trabalhador]],'Altas Wiseowe'!B:E,3,FALSE),"")</f>
        <v/>
      </c>
      <c r="I112" s="51" t="str">
        <f>IF(OR(Tabla58[[#This Row],[Cod trabalhador]]="",ISBLANK(Tabla58[[#This Row],[Cod trabalhador]])),"",IFERROR(IF(VLOOKUP(Tabla58[[#This Row],[Cod trabalhador]],'Altas Wiseowe'!B:E,4,FALSE)=0,"",VLOOKUP(Tabla58[[#This Row],[Cod trabalhador]],'Altas Wiseowe'!B:E,4,FALSE)),""))</f>
        <v/>
      </c>
      <c r="J112" s="44">
        <f t="shared" si="4"/>
        <v>0</v>
      </c>
      <c r="K112" s="376" t="s">
        <v>3996</v>
      </c>
      <c r="L112" s="342" t="str">
        <f>IFERROR(IF(Tabla58[[#This Row],[Cod trabalhador]]="",Tabla58[[#This Row],[Cod trabalhador]], INDEX(Colaborador_ID[Nombre], MATCH(Tabla58[[#This Row],[Cod trabalhador]],Colaborador_ID[Cod_colab], 0))), "")</f>
        <v>JOSE FERNANDO VEGA BUITRAGO</v>
      </c>
      <c r="N112" s="405" t="s">
        <v>7312</v>
      </c>
      <c r="O112" s="26">
        <f>IFERROR(VLOOKUP(Tabla58[[#This Row],[Cod trabalhador]],Tabla15[],4,FALSE),"")</f>
        <v>15</v>
      </c>
      <c r="P112" s="92">
        <f>IFERROR(VLOOKUP(Tabla58[[#This Row],[Cod trabalhador]],'TotalHorasAjustadas (2)'!D:L,8,FALSE),"")</f>
        <v>117</v>
      </c>
      <c r="Q112" s="27">
        <v>117</v>
      </c>
      <c r="R112" s="28" t="s">
        <v>7532</v>
      </c>
      <c r="S112" s="28" t="s">
        <v>7539</v>
      </c>
      <c r="U112" s="25"/>
      <c r="V112" s="220"/>
      <c r="W112" s="27"/>
      <c r="X112" s="28"/>
      <c r="Y112" s="28"/>
      <c r="Z112" s="149"/>
      <c r="AA112" s="392" t="str">
        <f>IFERROR(VLOOKUP(Tabla58[[#This Row],[Cod trabalhador]],Alojamentos!B:P,11,FALSE),"")</f>
        <v/>
      </c>
      <c r="AB112" s="127"/>
      <c r="AC112" s="150"/>
      <c r="AD112" s="35">
        <f>Tabla58[[#This Row],[Dias de alta]]*7.058</f>
        <v>0</v>
      </c>
      <c r="AE112" s="46" t="str">
        <f>IFERROR(VLOOKUP(Tabla58[[#This Row],[Cod trabalhador]],Adiantamentos!B:L,7,FALSE),"")</f>
        <v/>
      </c>
      <c r="AF112" s="46" t="str">
        <f>IFERROR(VLOOKUP(Tabla58[[#This Row],[Cod trabalhador]],Carro!B:D,3,FALSE),"")</f>
        <v/>
      </c>
      <c r="AG112" s="46" t="str">
        <f>IFERROR(VLOOKUP(Tabla58[[#This Row],[Cod trabalhador]],'Outros descontos'!B:O,7,FALSE),"")</f>
        <v/>
      </c>
      <c r="AH112" s="46" t="str">
        <f>IFERROR(VLOOKUP(Tabla58[[#This Row],[Cod trabalhador]],'Outros descontos'!B:M,8,FALSE),"")</f>
        <v/>
      </c>
      <c r="AI112" s="46" t="str">
        <f>IFERROR(VLOOKUP(Tabla58[[#This Row],[Cod trabalhador]],'Outros descontos'!B:M,9,FALSE),"")</f>
        <v/>
      </c>
      <c r="AJ112" s="46" t="str">
        <f>IFERROR(VLOOKUP(Tabla58[[#This Row],[Cod trabalhador]],'Outros descontos'!B:M,10,FALSE),"")</f>
        <v/>
      </c>
      <c r="AK112" s="46" t="str">
        <f>IFERROR(VLOOKUP(Tabla58[[#This Row],[Cod trabalhador]],'Outros descontos'!B:M,11,FALSE),"")</f>
        <v/>
      </c>
      <c r="AL112" s="46" t="str">
        <f>IFERROR(VLOOKUP(Tabla58[[#This Row],[Cod trabalhador]],'Outros descontos'!B:R,12,FALSE),"")</f>
        <v/>
      </c>
      <c r="AM112" s="46" t="str">
        <f>IFERROR(VLOOKUP(Tabla58[[#This Row],[Cod trabalhador]],'Outros descontos'!B:M,13,FALSE),"")</f>
        <v/>
      </c>
      <c r="AN112" s="41"/>
      <c r="AO112" s="37">
        <v>4.08</v>
      </c>
      <c r="AP112" s="15"/>
      <c r="AQ112"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1750.92</v>
      </c>
      <c r="AR112"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1750.92</v>
      </c>
      <c r="AS112" s="15"/>
      <c r="AT112" s="27" t="str">
        <f>IF(Tabla58[[#This Row],[Cod trabalhador]]="", "", INDEX(Iban!C:C, MATCH(Tabla58[[#This Row],[Cod trabalhador]],Iban!A:A, 0)))</f>
        <v>ES13 0182 6398 2302 0169 4808</v>
      </c>
      <c r="AU112" s="27"/>
      <c r="AV112" s="27"/>
      <c r="AW112" s="66" t="s">
        <v>7533</v>
      </c>
      <c r="AX112" s="296" t="s">
        <v>7472</v>
      </c>
    </row>
    <row r="113" spans="1:50" ht="16.5" hidden="1" customHeight="1" x14ac:dyDescent="0.3">
      <c r="A113" s="43"/>
      <c r="B113" s="39" t="s">
        <v>4291</v>
      </c>
      <c r="C113" s="45" t="str">
        <f>IF(ISNUMBER(MATCH(Tabla58[[#This Row],[Cod trabalhador]],'Altas Wiseowe'!B:B, 0)), "Ativo", "Não ativo")</f>
        <v>Não ativo</v>
      </c>
      <c r="D113" s="44" t="str">
        <f>IFERROR(IF(VLOOKUP(Tabla58[[#This Row],[Cod trabalhador]],'Altas Industrial'!B:E,1,0)&lt;&gt;"","KI",""),"")</f>
        <v>KI</v>
      </c>
      <c r="E113" s="44" t="str">
        <f>IFERROR(IF(VLOOKUP(Tabla58[[#This Row],[Cod trabalhador]],'Altas Rosas'!B:F,1,0)&lt;&gt;"","KR",""),"")</f>
        <v/>
      </c>
      <c r="F113" s="44" t="str">
        <f>IFERROR(IF(VLOOKUP(Tabla58[[#This Row],[Cod trabalhador]],'Altas Wiseowe'!B:E,1,0)&lt;&gt;"","WS",""),"")</f>
        <v/>
      </c>
      <c r="G113" s="101" t="str">
        <f>IFERROR(IF(VLOOKUP(Tabla58[[#This Row],[Cod trabalhador]],'Altas Luminous'!B:E,1,0)&lt;&gt;"","LM",""),"")</f>
        <v/>
      </c>
      <c r="H113" s="51" t="str">
        <f>IFERROR(VLOOKUP(Tabla58[[#This Row],[Cod trabalhador]],'Altas Wiseowe'!B:E,3,FALSE),"")</f>
        <v/>
      </c>
      <c r="I113" s="51" t="str">
        <f>IF(OR(Tabla58[[#This Row],[Cod trabalhador]]="",ISBLANK(Tabla58[[#This Row],[Cod trabalhador]])),"",IFERROR(IF(VLOOKUP(Tabla58[[#This Row],[Cod trabalhador]],'Altas Wiseowe'!B:E,4,FALSE)=0,"",VLOOKUP(Tabla58[[#This Row],[Cod trabalhador]],'Altas Wiseowe'!B:E,4,FALSE)),""))</f>
        <v/>
      </c>
      <c r="J113" s="44">
        <f t="shared" si="4"/>
        <v>0</v>
      </c>
      <c r="K113" s="376" t="s">
        <v>7368</v>
      </c>
      <c r="L113" s="342" t="str">
        <f>IFERROR(IF(Tabla58[[#This Row],[Cod trabalhador]]="",Tabla58[[#This Row],[Cod trabalhador]], INDEX(Colaborador_ID[Nombre], MATCH(Tabla58[[#This Row],[Cod trabalhador]],Colaborador_ID[Cod_colab], 0))), "")</f>
        <v>JUAN DANIEL MORA PEÑALOZA</v>
      </c>
      <c r="N113" s="405" t="s">
        <v>7312</v>
      </c>
      <c r="O113" s="26">
        <f>IFERROR(VLOOKUP(Tabla58[[#This Row],[Cod trabalhador]],Tabla15[],4,FALSE),"")</f>
        <v>15</v>
      </c>
      <c r="P113" s="92">
        <f>IFERROR(VLOOKUP(Tabla58[[#This Row],[Cod trabalhador]],'TotalHorasAjustadas (2)'!D:L,8,FALSE),"")</f>
        <v>72</v>
      </c>
      <c r="Q113" s="27">
        <v>72</v>
      </c>
      <c r="R113" s="28" t="s">
        <v>7532</v>
      </c>
      <c r="S113" s="28" t="s">
        <v>7539</v>
      </c>
      <c r="U113" s="25"/>
      <c r="V113" s="220"/>
      <c r="W113" s="27"/>
      <c r="X113" s="28"/>
      <c r="Y113" s="28"/>
      <c r="Z113" s="149"/>
      <c r="AA113" s="392" t="str">
        <f>IFERROR(VLOOKUP(Tabla58[[#This Row],[Cod trabalhador]],Alojamentos!B:P,11,FALSE),"")</f>
        <v/>
      </c>
      <c r="AB113" s="127"/>
      <c r="AC113" s="150"/>
      <c r="AD113" s="35">
        <f>Tabla58[[#This Row],[Dias de alta]]*7.058</f>
        <v>0</v>
      </c>
      <c r="AE113" s="46" t="str">
        <f>IFERROR(VLOOKUP(Tabla58[[#This Row],[Cod trabalhador]],Adiantamentos!B:L,7,FALSE),"")</f>
        <v/>
      </c>
      <c r="AF113" s="46" t="str">
        <f>IFERROR(VLOOKUP(Tabla58[[#This Row],[Cod trabalhador]],Carro!B:D,3,FALSE),"")</f>
        <v/>
      </c>
      <c r="AG113" s="46" t="str">
        <f>IFERROR(VLOOKUP(Tabla58[[#This Row],[Cod trabalhador]],'Outros descontos'!B:O,7,FALSE),"")</f>
        <v/>
      </c>
      <c r="AH113" s="46" t="str">
        <f>IFERROR(VLOOKUP(Tabla58[[#This Row],[Cod trabalhador]],'Outros descontos'!B:M,8,FALSE),"")</f>
        <v/>
      </c>
      <c r="AI113" s="46" t="str">
        <f>IFERROR(VLOOKUP(Tabla58[[#This Row],[Cod trabalhador]],'Outros descontos'!B:M,9,FALSE),"")</f>
        <v/>
      </c>
      <c r="AJ113" s="46" t="str">
        <f>IFERROR(VLOOKUP(Tabla58[[#This Row],[Cod trabalhador]],'Outros descontos'!B:M,10,FALSE),"")</f>
        <v/>
      </c>
      <c r="AK113" s="46" t="str">
        <f>IFERROR(VLOOKUP(Tabla58[[#This Row],[Cod trabalhador]],'Outros descontos'!B:M,11,FALSE),"")</f>
        <v/>
      </c>
      <c r="AL113" s="46" t="str">
        <f>IFERROR(VLOOKUP(Tabla58[[#This Row],[Cod trabalhador]],'Outros descontos'!B:R,12,FALSE),"")</f>
        <v/>
      </c>
      <c r="AM113" s="46" t="str">
        <f>IFERROR(VLOOKUP(Tabla58[[#This Row],[Cod trabalhador]],'Outros descontos'!B:M,13,FALSE),"")</f>
        <v/>
      </c>
      <c r="AN113" s="41"/>
      <c r="AO113" s="37">
        <v>4.08</v>
      </c>
      <c r="AP113" s="15"/>
      <c r="AQ113"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1075.92</v>
      </c>
      <c r="AR113"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1075.92</v>
      </c>
      <c r="AS113" s="15"/>
      <c r="AT113" s="27" t="str">
        <f>IF(Tabla58[[#This Row],[Cod trabalhador]]="", "", INDEX(Iban!C:C, MATCH(Tabla58[[#This Row],[Cod trabalhador]],Iban!A:A, 0)))</f>
        <v>ES71 0182 4641 1102 0164 0873</v>
      </c>
      <c r="AU113" s="27"/>
      <c r="AV113" s="27"/>
      <c r="AW113" s="66" t="s">
        <v>7533</v>
      </c>
      <c r="AX113" s="296" t="s">
        <v>7472</v>
      </c>
    </row>
    <row r="114" spans="1:50" ht="16.5" hidden="1" customHeight="1" x14ac:dyDescent="0.3">
      <c r="A114" s="43"/>
      <c r="B114" s="39" t="s">
        <v>4700</v>
      </c>
      <c r="C114" s="45" t="str">
        <f>IF(ISNUMBER(MATCH(Tabla58[[#This Row],[Cod trabalhador]],'Altas Wiseowe'!B:B, 0)), "Ativo", "Não ativo")</f>
        <v>Ativo</v>
      </c>
      <c r="D114" s="44" t="str">
        <f>IFERROR(IF(VLOOKUP(Tabla58[[#This Row],[Cod trabalhador]],'Altas Industrial'!B:E,1,0)&lt;&gt;"","KI",""),"")</f>
        <v/>
      </c>
      <c r="E114" s="44" t="str">
        <f>IFERROR(IF(VLOOKUP(Tabla58[[#This Row],[Cod trabalhador]],'Altas Rosas'!B:F,1,0)&lt;&gt;"","KR",""),"")</f>
        <v/>
      </c>
      <c r="F114" s="44" t="str">
        <f>IFERROR(IF(VLOOKUP(Tabla58[[#This Row],[Cod trabalhador]],'Altas Wiseowe'!B:E,1,0)&lt;&gt;"","WS",""),"")</f>
        <v>WS</v>
      </c>
      <c r="G114" s="101" t="str">
        <f>IFERROR(IF(VLOOKUP(Tabla58[[#This Row],[Cod trabalhador]],'Altas Luminous'!B:E,1,0)&lt;&gt;"","LM",""),"")</f>
        <v/>
      </c>
      <c r="H114" s="51">
        <f>IFERROR(VLOOKUP(Tabla58[[#This Row],[Cod trabalhador]],'Altas Wiseowe'!B:E,3,FALSE),"")</f>
        <v>45945</v>
      </c>
      <c r="I114" s="51" t="str">
        <f>IF(OR(Tabla58[[#This Row],[Cod trabalhador]]="",ISBLANK(Tabla58[[#This Row],[Cod trabalhador]])),"",IFERROR(IF(VLOOKUP(Tabla58[[#This Row],[Cod trabalhador]],'Altas Wiseowe'!B:E,4,FALSE)=0,"",VLOOKUP(Tabla58[[#This Row],[Cod trabalhador]],'Altas Wiseowe'!B:E,4,FALSE)),""))</f>
        <v/>
      </c>
      <c r="J114" s="44">
        <f t="shared" si="4"/>
        <v>31</v>
      </c>
      <c r="K114" s="376" t="s">
        <v>7324</v>
      </c>
      <c r="L114" s="342" t="str">
        <f>IFERROR(IF(Tabla58[[#This Row],[Cod trabalhador]]="",Tabla58[[#This Row],[Cod trabalhador]], INDEX(Colaborador_ID[Nombre], MATCH(Tabla58[[#This Row],[Cod trabalhador]],Colaborador_ID[Cod_colab], 0))), "")</f>
        <v>LUIS ALBERTO DIAZ CLAVIJO</v>
      </c>
      <c r="N114" s="405" t="s">
        <v>7312</v>
      </c>
      <c r="O114" s="26">
        <f>IFERROR(VLOOKUP(Tabla58[[#This Row],[Cod trabalhador]],Tabla15[],4,FALSE),"")</f>
        <v>15</v>
      </c>
      <c r="P114" s="92">
        <f>IFERROR(VLOOKUP(Tabla58[[#This Row],[Cod trabalhador]],'TotalHorasAjustadas (2)'!D:L,8,FALSE),"")</f>
        <v>164.5</v>
      </c>
      <c r="Q114" s="27">
        <v>164.5</v>
      </c>
      <c r="R114" s="28" t="s">
        <v>7532</v>
      </c>
      <c r="S114" s="28" t="s">
        <v>7539</v>
      </c>
      <c r="U114" s="25"/>
      <c r="V114" s="220"/>
      <c r="W114" s="27"/>
      <c r="X114" s="28"/>
      <c r="Y114" s="28"/>
      <c r="Z114" s="149"/>
      <c r="AA114" s="392" t="str">
        <f>IFERROR(VLOOKUP(Tabla58[[#This Row],[Cod trabalhador]],Alojamentos!B:P,11,FALSE),"")</f>
        <v/>
      </c>
      <c r="AB114" s="127"/>
      <c r="AC114" s="150"/>
      <c r="AD114" s="35">
        <f>Tabla58[[#This Row],[Dias de alta]]*7.058</f>
        <v>218.798</v>
      </c>
      <c r="AE114" s="46" t="str">
        <f>IFERROR(VLOOKUP(Tabla58[[#This Row],[Cod trabalhador]],Adiantamentos!B:L,7,FALSE),"")</f>
        <v/>
      </c>
      <c r="AF114" s="46" t="str">
        <f>IFERROR(VLOOKUP(Tabla58[[#This Row],[Cod trabalhador]],Carro!B:D,3,FALSE),"")</f>
        <v/>
      </c>
      <c r="AG114" s="46" t="str">
        <f>IFERROR(VLOOKUP(Tabla58[[#This Row],[Cod trabalhador]],'Outros descontos'!B:O,7,FALSE),"")</f>
        <v/>
      </c>
      <c r="AH114" s="46" t="str">
        <f>IFERROR(VLOOKUP(Tabla58[[#This Row],[Cod trabalhador]],'Outros descontos'!B:M,8,FALSE),"")</f>
        <v/>
      </c>
      <c r="AI114" s="46" t="str">
        <f>IFERROR(VLOOKUP(Tabla58[[#This Row],[Cod trabalhador]],'Outros descontos'!B:M,9,FALSE),"")</f>
        <v/>
      </c>
      <c r="AJ114" s="46" t="str">
        <f>IFERROR(VLOOKUP(Tabla58[[#This Row],[Cod trabalhador]],'Outros descontos'!B:M,10,FALSE),"")</f>
        <v/>
      </c>
      <c r="AK114" s="46" t="str">
        <f>IFERROR(VLOOKUP(Tabla58[[#This Row],[Cod trabalhador]],'Outros descontos'!B:M,11,FALSE),"")</f>
        <v/>
      </c>
      <c r="AL114" s="46" t="str">
        <f>IFERROR(VLOOKUP(Tabla58[[#This Row],[Cod trabalhador]],'Outros descontos'!B:R,12,FALSE),"")</f>
        <v/>
      </c>
      <c r="AM114" s="46" t="str">
        <f>IFERROR(VLOOKUP(Tabla58[[#This Row],[Cod trabalhador]],'Outros descontos'!B:M,13,FALSE),"")</f>
        <v/>
      </c>
      <c r="AN114" s="41"/>
      <c r="AO114" s="37">
        <v>4.08</v>
      </c>
      <c r="AP114" s="15"/>
      <c r="AQ114"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2244.6220000000003</v>
      </c>
      <c r="AR114"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2244.6220000000003</v>
      </c>
      <c r="AS114" s="15"/>
      <c r="AT114" s="27" t="str">
        <f>IF(Tabla58[[#This Row],[Cod trabalhador]]="", "", INDEX(Iban!C:C, MATCH(Tabla58[[#This Row],[Cod trabalhador]],Iban!A:A, 0)))</f>
        <v>ES43 0182 0374 9202 0154 7148</v>
      </c>
      <c r="AU114" s="27"/>
      <c r="AV114" s="27"/>
      <c r="AW114" s="66" t="s">
        <v>7540</v>
      </c>
      <c r="AX114" s="296" t="s">
        <v>7472</v>
      </c>
    </row>
    <row r="115" spans="1:50" ht="16.5" hidden="1" customHeight="1" x14ac:dyDescent="0.3">
      <c r="A115" s="43"/>
      <c r="B115" s="39" t="s">
        <v>5020</v>
      </c>
      <c r="C115" s="45" t="str">
        <f>IF(ISNUMBER(MATCH(Tabla58[[#This Row],[Cod trabalhador]],'Altas Wiseowe'!B:B, 0)), "Ativo", "Não ativo")</f>
        <v>Ativo</v>
      </c>
      <c r="D115" s="44" t="str">
        <f>IFERROR(IF(VLOOKUP(Tabla58[[#This Row],[Cod trabalhador]],'Altas Industrial'!B:E,1,0)&lt;&gt;"","KI",""),"")</f>
        <v/>
      </c>
      <c r="E115" s="44" t="str">
        <f>IFERROR(IF(VLOOKUP(Tabla58[[#This Row],[Cod trabalhador]],'Altas Rosas'!B:F,1,0)&lt;&gt;"","KR",""),"")</f>
        <v/>
      </c>
      <c r="F115" s="44" t="str">
        <f>IFERROR(IF(VLOOKUP(Tabla58[[#This Row],[Cod trabalhador]],'Altas Wiseowe'!B:E,1,0)&lt;&gt;"","WS",""),"")</f>
        <v>WS</v>
      </c>
      <c r="G115" s="101" t="str">
        <f>IFERROR(IF(VLOOKUP(Tabla58[[#This Row],[Cod trabalhador]],'Altas Luminous'!B:E,1,0)&lt;&gt;"","LM",""),"")</f>
        <v/>
      </c>
      <c r="H115" s="51">
        <f>IFERROR(VLOOKUP(Tabla58[[#This Row],[Cod trabalhador]],'Altas Wiseowe'!B:E,3,FALSE),"")</f>
        <v>45902</v>
      </c>
      <c r="I115" s="51" t="str">
        <f>IF(OR(Tabla58[[#This Row],[Cod trabalhador]]="",ISBLANK(Tabla58[[#This Row],[Cod trabalhador]])),"",IFERROR(IF(VLOOKUP(Tabla58[[#This Row],[Cod trabalhador]],'Altas Wiseowe'!B:E,4,FALSE)=0,"",VLOOKUP(Tabla58[[#This Row],[Cod trabalhador]],'Altas Wiseowe'!B:E,4,FALSE)),""))</f>
        <v/>
      </c>
      <c r="J115" s="44">
        <f t="shared" si="4"/>
        <v>31</v>
      </c>
      <c r="K115" s="376" t="s">
        <v>7325</v>
      </c>
      <c r="L115" s="342" t="str">
        <f>IFERROR(IF(Tabla58[[#This Row],[Cod trabalhador]]="",Tabla58[[#This Row],[Cod trabalhador]], INDEX(Colaborador_ID[Nombre], MATCH(Tabla58[[#This Row],[Cod trabalhador]],Colaborador_ID[Cod_colab], 0))), "")</f>
        <v>MANUEL TCHIMBINJA GOMBACASSI</v>
      </c>
      <c r="N115" s="405" t="s">
        <v>7312</v>
      </c>
      <c r="O115" s="26">
        <f>IFERROR(VLOOKUP(Tabla58[[#This Row],[Cod trabalhador]],Tabla15[],4,FALSE),"")</f>
        <v>15</v>
      </c>
      <c r="P115" s="92">
        <f>IFERROR(VLOOKUP(Tabla58[[#This Row],[Cod trabalhador]],'TotalHorasAjustadas (2)'!D:L,8,FALSE),"")</f>
        <v>150</v>
      </c>
      <c r="Q115" s="27">
        <v>150</v>
      </c>
      <c r="R115" s="28" t="s">
        <v>7532</v>
      </c>
      <c r="S115" s="28" t="s">
        <v>7539</v>
      </c>
      <c r="U115" s="25"/>
      <c r="V115" s="220"/>
      <c r="W115" s="27"/>
      <c r="X115" s="28"/>
      <c r="Y115" s="28"/>
      <c r="Z115" s="149"/>
      <c r="AA115" s="392">
        <f>IFERROR(VLOOKUP(Tabla58[[#This Row],[Cod trabalhador]],Alojamentos!B:P,11,FALSE),"")</f>
        <v>300</v>
      </c>
      <c r="AB115" s="127"/>
      <c r="AC115" s="150"/>
      <c r="AD115" s="35">
        <f>Tabla58[[#This Row],[Dias de alta]]*7.058</f>
        <v>218.798</v>
      </c>
      <c r="AE115" s="46" t="str">
        <f>IFERROR(VLOOKUP(Tabla58[[#This Row],[Cod trabalhador]],Adiantamentos!B:L,7,FALSE),"")</f>
        <v/>
      </c>
      <c r="AF115" s="46" t="str">
        <f>IFERROR(VLOOKUP(Tabla58[[#This Row],[Cod trabalhador]],Carro!B:D,3,FALSE),"")</f>
        <v/>
      </c>
      <c r="AG115" s="46" t="str">
        <f>IFERROR(VLOOKUP(Tabla58[[#This Row],[Cod trabalhador]],'Outros descontos'!B:O,7,FALSE),"")</f>
        <v/>
      </c>
      <c r="AH115" s="46" t="str">
        <f>IFERROR(VLOOKUP(Tabla58[[#This Row],[Cod trabalhador]],'Outros descontos'!B:M,8,FALSE),"")</f>
        <v/>
      </c>
      <c r="AI115" s="46" t="str">
        <f>IFERROR(VLOOKUP(Tabla58[[#This Row],[Cod trabalhador]],'Outros descontos'!B:M,9,FALSE),"")</f>
        <v/>
      </c>
      <c r="AJ115" s="46" t="str">
        <f>IFERROR(VLOOKUP(Tabla58[[#This Row],[Cod trabalhador]],'Outros descontos'!B:M,10,FALSE),"")</f>
        <v/>
      </c>
      <c r="AK115" s="46" t="str">
        <f>IFERROR(VLOOKUP(Tabla58[[#This Row],[Cod trabalhador]],'Outros descontos'!B:M,11,FALSE),"")</f>
        <v/>
      </c>
      <c r="AL115" s="46" t="str">
        <f>IFERROR(VLOOKUP(Tabla58[[#This Row],[Cod trabalhador]],'Outros descontos'!B:R,12,FALSE),"")</f>
        <v/>
      </c>
      <c r="AM115" s="46" t="str">
        <f>IFERROR(VLOOKUP(Tabla58[[#This Row],[Cod trabalhador]],'Outros descontos'!B:M,13,FALSE),"")</f>
        <v/>
      </c>
      <c r="AN115" s="41"/>
      <c r="AO115" s="37">
        <v>4.08</v>
      </c>
      <c r="AP115" s="15"/>
      <c r="AQ115"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2327.1220000000003</v>
      </c>
      <c r="AR115"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2327.1220000000003</v>
      </c>
      <c r="AS115" s="15"/>
      <c r="AT115" s="27" t="str">
        <f>IF(Tabla58[[#This Row],[Cod trabalhador]]="", "", INDEX(Iban!C:C, MATCH(Tabla58[[#This Row],[Cod trabalhador]],Iban!A:A, 0)))</f>
        <v>PT50 0036 0135 9910 0047 616 74</v>
      </c>
      <c r="AU115" s="27"/>
      <c r="AV115" s="27"/>
      <c r="AW115" s="66" t="s">
        <v>7540</v>
      </c>
      <c r="AX115" s="296" t="s">
        <v>7472</v>
      </c>
    </row>
    <row r="116" spans="1:50" ht="16.5" hidden="1" customHeight="1" x14ac:dyDescent="0.3">
      <c r="A116" s="43"/>
      <c r="B116" s="39" t="s">
        <v>5063</v>
      </c>
      <c r="C116" s="45" t="str">
        <f>IF(ISNUMBER(MATCH(Tabla58[[#This Row],[Cod trabalhador]],'Altas Wiseowe'!B:B, 0)), "Ativo", "Não ativo")</f>
        <v>Não ativo</v>
      </c>
      <c r="D116" s="44" t="str">
        <f>IFERROR(IF(VLOOKUP(Tabla58[[#This Row],[Cod trabalhador]],'Altas Industrial'!B:E,1,0)&lt;&gt;"","KI",""),"")</f>
        <v>KI</v>
      </c>
      <c r="E116" s="44" t="str">
        <f>IFERROR(IF(VLOOKUP(Tabla58[[#This Row],[Cod trabalhador]],'Altas Rosas'!B:F,1,0)&lt;&gt;"","KR",""),"")</f>
        <v/>
      </c>
      <c r="F116" s="44" t="str">
        <f>IFERROR(IF(VLOOKUP(Tabla58[[#This Row],[Cod trabalhador]],'Altas Wiseowe'!B:E,1,0)&lt;&gt;"","WS",""),"")</f>
        <v/>
      </c>
      <c r="G116" s="101" t="str">
        <f>IFERROR(IF(VLOOKUP(Tabla58[[#This Row],[Cod trabalhador]],'Altas Luminous'!B:E,1,0)&lt;&gt;"","LM",""),"")</f>
        <v/>
      </c>
      <c r="H116" s="51" t="str">
        <f>IFERROR(VLOOKUP(Tabla58[[#This Row],[Cod trabalhador]],'Altas Wiseowe'!B:E,3,FALSE),"")</f>
        <v/>
      </c>
      <c r="I116" s="51" t="str">
        <f>IF(OR(Tabla58[[#This Row],[Cod trabalhador]]="",ISBLANK(Tabla58[[#This Row],[Cod trabalhador]])),"",IFERROR(IF(VLOOKUP(Tabla58[[#This Row],[Cod trabalhador]],'Altas Wiseowe'!B:E,4,FALSE)=0,"",VLOOKUP(Tabla58[[#This Row],[Cod trabalhador]],'Altas Wiseowe'!B:E,4,FALSE)),""))</f>
        <v/>
      </c>
      <c r="J116" s="44">
        <f t="shared" si="4"/>
        <v>0</v>
      </c>
      <c r="K116" s="376" t="s">
        <v>5064</v>
      </c>
      <c r="L116" s="342" t="str">
        <f>IFERROR(IF(Tabla58[[#This Row],[Cod trabalhador]]="",Tabla58[[#This Row],[Cod trabalhador]], INDEX(Colaborador_ID[Nombre], MATCH(Tabla58[[#This Row],[Cod trabalhador]],Colaborador_ID[Cod_colab], 0))), "")</f>
        <v>MARCO ALEXIS VILLAMIL SUAREZ</v>
      </c>
      <c r="N116" s="405" t="s">
        <v>7312</v>
      </c>
      <c r="O116" s="26">
        <v>17</v>
      </c>
      <c r="P116" s="92">
        <f>IFERROR(VLOOKUP(Tabla58[[#This Row],[Cod trabalhador]],'TotalHorasAjustadas (2)'!D:L,8,FALSE),"")</f>
        <v>153</v>
      </c>
      <c r="Q116" s="27">
        <v>153</v>
      </c>
      <c r="R116" s="28" t="s">
        <v>7532</v>
      </c>
      <c r="S116" s="28" t="s">
        <v>7539</v>
      </c>
      <c r="U116" s="25"/>
      <c r="V116" s="220"/>
      <c r="W116" s="27"/>
      <c r="X116" s="28"/>
      <c r="Y116" s="28"/>
      <c r="Z116" s="149"/>
      <c r="AA116" s="392">
        <f>IFERROR(VLOOKUP(Tabla58[[#This Row],[Cod trabalhador]],Alojamentos!B:P,11,FALSE),"")</f>
        <v>300</v>
      </c>
      <c r="AB116" s="127"/>
      <c r="AC116" s="150"/>
      <c r="AD116" s="35">
        <f>Tabla58[[#This Row],[Dias de alta]]*7.058</f>
        <v>0</v>
      </c>
      <c r="AE116" s="46" t="str">
        <f>IFERROR(VLOOKUP(Tabla58[[#This Row],[Cod trabalhador]],Adiantamentos!B:L,7,FALSE),"")</f>
        <v/>
      </c>
      <c r="AF116" s="46" t="str">
        <f>IFERROR(VLOOKUP(Tabla58[[#This Row],[Cod trabalhador]],Carro!B:D,3,FALSE),"")</f>
        <v/>
      </c>
      <c r="AG116" s="46" t="str">
        <f>IFERROR(VLOOKUP(Tabla58[[#This Row],[Cod trabalhador]],'Outros descontos'!B:O,7,FALSE),"")</f>
        <v/>
      </c>
      <c r="AH116" s="46" t="str">
        <f>IFERROR(VLOOKUP(Tabla58[[#This Row],[Cod trabalhador]],'Outros descontos'!B:M,8,FALSE),"")</f>
        <v/>
      </c>
      <c r="AI116" s="46" t="str">
        <f>IFERROR(VLOOKUP(Tabla58[[#This Row],[Cod trabalhador]],'Outros descontos'!B:M,9,FALSE),"")</f>
        <v/>
      </c>
      <c r="AJ116" s="46" t="str">
        <f>IFERROR(VLOOKUP(Tabla58[[#This Row],[Cod trabalhador]],'Outros descontos'!B:M,10,FALSE),"")</f>
        <v/>
      </c>
      <c r="AK116" s="46" t="str">
        <f>IFERROR(VLOOKUP(Tabla58[[#This Row],[Cod trabalhador]],'Outros descontos'!B:M,11,FALSE),"")</f>
        <v/>
      </c>
      <c r="AL116" s="46" t="str">
        <f>IFERROR(VLOOKUP(Tabla58[[#This Row],[Cod trabalhador]],'Outros descontos'!B:R,12,FALSE),"")</f>
        <v/>
      </c>
      <c r="AM116" s="46" t="str">
        <f>IFERROR(VLOOKUP(Tabla58[[#This Row],[Cod trabalhador]],'Outros descontos'!B:M,13,FALSE),"")</f>
        <v/>
      </c>
      <c r="AN116" s="41"/>
      <c r="AO116" s="37">
        <v>4.08</v>
      </c>
      <c r="AP116" s="15"/>
      <c r="AQ116"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2896.92</v>
      </c>
      <c r="AR116"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2896.92</v>
      </c>
      <c r="AS116" s="15"/>
      <c r="AT116" s="27" t="str">
        <f>IF(Tabla58[[#This Row],[Cod trabalhador]]="", "", INDEX(Iban!C:C, MATCH(Tabla58[[#This Row],[Cod trabalhador]],Iban!A:A, 0)))</f>
        <v>ES09 0182 0733 1202 0165 8957</v>
      </c>
      <c r="AU116" s="27" t="s">
        <v>7541</v>
      </c>
      <c r="AV116" s="27"/>
      <c r="AW116" s="66" t="s">
        <v>7533</v>
      </c>
      <c r="AX116" s="296" t="s">
        <v>7472</v>
      </c>
    </row>
    <row r="117" spans="1:50" ht="16.5" hidden="1" customHeight="1" x14ac:dyDescent="0.3">
      <c r="A117" s="43"/>
      <c r="B117" s="39" t="s">
        <v>5438</v>
      </c>
      <c r="C117" s="45" t="str">
        <f>IF(ISNUMBER(MATCH(Tabla58[[#This Row],[Cod trabalhador]],'Altas Wiseowe'!B:B, 0)), "Ativo", "Não ativo")</f>
        <v>Não ativo</v>
      </c>
      <c r="D117" s="44" t="str">
        <f>IFERROR(IF(VLOOKUP(Tabla58[[#This Row],[Cod trabalhador]],'Altas Industrial'!B:E,1,0)&lt;&gt;"","KI",""),"")</f>
        <v>KI</v>
      </c>
      <c r="E117" s="44" t="str">
        <f>IFERROR(IF(VLOOKUP(Tabla58[[#This Row],[Cod trabalhador]],'Altas Rosas'!B:F,1,0)&lt;&gt;"","KR",""),"")</f>
        <v/>
      </c>
      <c r="F117" s="44" t="str">
        <f>IFERROR(IF(VLOOKUP(Tabla58[[#This Row],[Cod trabalhador]],'Altas Wiseowe'!B:E,1,0)&lt;&gt;"","WS",""),"")</f>
        <v/>
      </c>
      <c r="G117" s="101" t="str">
        <f>IFERROR(IF(VLOOKUP(Tabla58[[#This Row],[Cod trabalhador]],'Altas Luminous'!B:E,1,0)&lt;&gt;"","LM",""),"")</f>
        <v/>
      </c>
      <c r="H117" s="51" t="str">
        <f>IFERROR(VLOOKUP(Tabla58[[#This Row],[Cod trabalhador]],'Altas Wiseowe'!B:E,3,FALSE),"")</f>
        <v/>
      </c>
      <c r="I117" s="51" t="str">
        <f>IF(OR(Tabla58[[#This Row],[Cod trabalhador]]="",ISBLANK(Tabla58[[#This Row],[Cod trabalhador]])),"",IFERROR(IF(VLOOKUP(Tabla58[[#This Row],[Cod trabalhador]],'Altas Wiseowe'!B:E,4,FALSE)=0,"",VLOOKUP(Tabla58[[#This Row],[Cod trabalhador]],'Altas Wiseowe'!B:E,4,FALSE)),""))</f>
        <v/>
      </c>
      <c r="J117" s="44">
        <f t="shared" si="4"/>
        <v>0</v>
      </c>
      <c r="K117" s="376" t="s">
        <v>7369</v>
      </c>
      <c r="L117" s="342" t="str">
        <f>IFERROR(IF(Tabla58[[#This Row],[Cod trabalhador]]="",Tabla58[[#This Row],[Cod trabalhador]], INDEX(Colaborador_ID[Nombre], MATCH(Tabla58[[#This Row],[Cod trabalhador]],Colaborador_ID[Cod_colab], 0))), "")</f>
        <v>NELSON JAVIER ACOSTA SANTISTEBAN</v>
      </c>
      <c r="N117" s="405" t="s">
        <v>7312</v>
      </c>
      <c r="O117" s="26">
        <f>IFERROR(VLOOKUP(Tabla58[[#This Row],[Cod trabalhador]],Tabla15[],4,FALSE),"")</f>
        <v>15</v>
      </c>
      <c r="P117" s="92">
        <f>IFERROR(VLOOKUP(Tabla58[[#This Row],[Cod trabalhador]],'TotalHorasAjustadas (2)'!D:L,8,FALSE),"")</f>
        <v>108</v>
      </c>
      <c r="Q117" s="27">
        <v>108</v>
      </c>
      <c r="R117" s="28" t="s">
        <v>7532</v>
      </c>
      <c r="S117" s="28" t="s">
        <v>7539</v>
      </c>
      <c r="U117" s="25"/>
      <c r="V117" s="220"/>
      <c r="W117" s="27"/>
      <c r="X117" s="28"/>
      <c r="Y117" s="28"/>
      <c r="Z117" s="149"/>
      <c r="AA117" s="392">
        <f>IFERROR(VLOOKUP(Tabla58[[#This Row],[Cod trabalhador]],Alojamentos!B:P,11,FALSE),"")</f>
        <v>300</v>
      </c>
      <c r="AB117" s="127"/>
      <c r="AC117" s="150"/>
      <c r="AD117" s="35">
        <f>Tabla58[[#This Row],[Dias de alta]]*7.058</f>
        <v>0</v>
      </c>
      <c r="AE117" s="46" t="str">
        <f>IFERROR(VLOOKUP(Tabla58[[#This Row],[Cod trabalhador]],Adiantamentos!B:L,7,FALSE),"")</f>
        <v/>
      </c>
      <c r="AF117" s="46" t="str">
        <f>IFERROR(VLOOKUP(Tabla58[[#This Row],[Cod trabalhador]],Carro!B:D,3,FALSE),"")</f>
        <v/>
      </c>
      <c r="AG117" s="46" t="str">
        <f>IFERROR(VLOOKUP(Tabla58[[#This Row],[Cod trabalhador]],'Outros descontos'!B:O,7,FALSE),"")</f>
        <v/>
      </c>
      <c r="AH117" s="46" t="str">
        <f>IFERROR(VLOOKUP(Tabla58[[#This Row],[Cod trabalhador]],'Outros descontos'!B:M,8,FALSE),"")</f>
        <v/>
      </c>
      <c r="AI117" s="46" t="str">
        <f>IFERROR(VLOOKUP(Tabla58[[#This Row],[Cod trabalhador]],'Outros descontos'!B:M,9,FALSE),"")</f>
        <v/>
      </c>
      <c r="AJ117" s="46" t="str">
        <f>IFERROR(VLOOKUP(Tabla58[[#This Row],[Cod trabalhador]],'Outros descontos'!B:M,10,FALSE),"")</f>
        <v/>
      </c>
      <c r="AK117" s="46" t="str">
        <f>IFERROR(VLOOKUP(Tabla58[[#This Row],[Cod trabalhador]],'Outros descontos'!B:M,11,FALSE),"")</f>
        <v/>
      </c>
      <c r="AL117" s="46" t="str">
        <f>IFERROR(VLOOKUP(Tabla58[[#This Row],[Cod trabalhador]],'Outros descontos'!B:R,12,FALSE),"")</f>
        <v/>
      </c>
      <c r="AM117" s="46" t="str">
        <f>IFERROR(VLOOKUP(Tabla58[[#This Row],[Cod trabalhador]],'Outros descontos'!B:M,13,FALSE),"")</f>
        <v/>
      </c>
      <c r="AN117" s="41"/>
      <c r="AO117" s="37">
        <v>4.08</v>
      </c>
      <c r="AP117" s="15"/>
      <c r="AQ117"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1915.92</v>
      </c>
      <c r="AR117"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1915.92</v>
      </c>
      <c r="AS117" s="15"/>
      <c r="AT117" s="27" t="str">
        <f>IF(Tabla58[[#This Row],[Cod trabalhador]]="", "", INDEX(Iban!C:C, MATCH(Tabla58[[#This Row],[Cod trabalhador]],Iban!A:A, 0)))</f>
        <v>ES10 6893 0001 7100 0018 1016</v>
      </c>
      <c r="AU117" s="27"/>
      <c r="AV117" s="97"/>
      <c r="AW117" s="66" t="s">
        <v>7533</v>
      </c>
      <c r="AX117" s="296" t="s">
        <v>7472</v>
      </c>
    </row>
    <row r="118" spans="1:50" ht="16.5" hidden="1" customHeight="1" x14ac:dyDescent="0.3">
      <c r="A118" s="43"/>
      <c r="B118" s="39" t="s">
        <v>5602</v>
      </c>
      <c r="C118" s="45" t="str">
        <f>IF(ISNUMBER(MATCH(Tabla58[[#This Row],[Cod trabalhador]],'Altas Wiseowe'!B:B, 0)), "Ativo", "Não ativo")</f>
        <v>Não ativo</v>
      </c>
      <c r="D118" s="44" t="str">
        <f>IFERROR(IF(VLOOKUP(Tabla58[[#This Row],[Cod trabalhador]],'Altas Industrial'!B:E,1,0)&lt;&gt;"","KI",""),"")</f>
        <v/>
      </c>
      <c r="E118" s="44" t="str">
        <f>IFERROR(IF(VLOOKUP(Tabla58[[#This Row],[Cod trabalhador]],'Altas Rosas'!B:F,1,0)&lt;&gt;"","KR",""),"")</f>
        <v/>
      </c>
      <c r="F118" s="44" t="str">
        <f>IFERROR(IF(VLOOKUP(Tabla58[[#This Row],[Cod trabalhador]],'Altas Wiseowe'!B:E,1,0)&lt;&gt;"","WS",""),"")</f>
        <v/>
      </c>
      <c r="G118" s="101" t="str">
        <f>IFERROR(IF(VLOOKUP(Tabla58[[#This Row],[Cod trabalhador]],'Altas Luminous'!B:E,1,0)&lt;&gt;"","LM",""),"")</f>
        <v/>
      </c>
      <c r="H118" s="51" t="str">
        <f>IFERROR(VLOOKUP(Tabla58[[#This Row],[Cod trabalhador]],'Altas Wiseowe'!B:E,3,FALSE),"")</f>
        <v/>
      </c>
      <c r="I118" s="51" t="str">
        <f>IF(OR(Tabla58[[#This Row],[Cod trabalhador]]="",ISBLANK(Tabla58[[#This Row],[Cod trabalhador]])),"",IFERROR(IF(VLOOKUP(Tabla58[[#This Row],[Cod trabalhador]],'Altas Wiseowe'!B:E,4,FALSE)=0,"",VLOOKUP(Tabla58[[#This Row],[Cod trabalhador]],'Altas Wiseowe'!B:E,4,FALSE)),""))</f>
        <v/>
      </c>
      <c r="J118" s="44">
        <f t="shared" si="4"/>
        <v>0</v>
      </c>
      <c r="K118" s="376" t="s">
        <v>5603</v>
      </c>
      <c r="L118" s="342" t="str">
        <f>IFERROR(IF(Tabla58[[#This Row],[Cod trabalhador]]="",Tabla58[[#This Row],[Cod trabalhador]], INDEX(Colaborador_ID[Nombre], MATCH(Tabla58[[#This Row],[Cod trabalhador]],Colaborador_ID[Cod_colab], 0))), "")</f>
        <v>ORLANDO RODRIGUEZ MADARIAGA</v>
      </c>
      <c r="N118" s="405" t="s">
        <v>7312</v>
      </c>
      <c r="O118" s="26">
        <f>IFERROR(VLOOKUP(Tabla58[[#This Row],[Cod trabalhador]],Tabla15[],4,FALSE),"")</f>
        <v>15</v>
      </c>
      <c r="P118" s="92">
        <f>IFERROR(VLOOKUP(Tabla58[[#This Row],[Cod trabalhador]],'TotalHorasAjustadas (2)'!D:L,8,FALSE),"")</f>
        <v>177</v>
      </c>
      <c r="Q118" s="27">
        <v>177</v>
      </c>
      <c r="R118" s="28" t="s">
        <v>7532</v>
      </c>
      <c r="S118" s="28" t="s">
        <v>7539</v>
      </c>
      <c r="U118" s="25"/>
      <c r="V118" s="220"/>
      <c r="W118" s="27"/>
      <c r="X118" s="28"/>
      <c r="Y118" s="28"/>
      <c r="Z118" s="149"/>
      <c r="AA118" s="392" t="str">
        <f>IFERROR(VLOOKUP(Tabla58[[#This Row],[Cod trabalhador]],Alojamentos!B:P,11,FALSE),"")</f>
        <v/>
      </c>
      <c r="AB118" s="127"/>
      <c r="AC118" s="150"/>
      <c r="AD118" s="35">
        <f>Tabla58[[#This Row],[Dias de alta]]*7.058</f>
        <v>0</v>
      </c>
      <c r="AE118" s="46" t="str">
        <f>IFERROR(VLOOKUP(Tabla58[[#This Row],[Cod trabalhador]],Adiantamentos!B:L,7,FALSE),"")</f>
        <v/>
      </c>
      <c r="AF118" s="46" t="str">
        <f>IFERROR(VLOOKUP(Tabla58[[#This Row],[Cod trabalhador]],Carro!B:D,3,FALSE),"")</f>
        <v/>
      </c>
      <c r="AG118" s="46" t="str">
        <f>IFERROR(VLOOKUP(Tabla58[[#This Row],[Cod trabalhador]],'Outros descontos'!B:O,7,FALSE),"")</f>
        <v/>
      </c>
      <c r="AH118" s="46" t="str">
        <f>IFERROR(VLOOKUP(Tabla58[[#This Row],[Cod trabalhador]],'Outros descontos'!B:M,8,FALSE),"")</f>
        <v/>
      </c>
      <c r="AI118" s="46" t="str">
        <f>IFERROR(VLOOKUP(Tabla58[[#This Row],[Cod trabalhador]],'Outros descontos'!B:M,9,FALSE),"")</f>
        <v/>
      </c>
      <c r="AJ118" s="46" t="str">
        <f>IFERROR(VLOOKUP(Tabla58[[#This Row],[Cod trabalhador]],'Outros descontos'!B:M,10,FALSE),"")</f>
        <v/>
      </c>
      <c r="AK118" s="46" t="str">
        <f>IFERROR(VLOOKUP(Tabla58[[#This Row],[Cod trabalhador]],'Outros descontos'!B:M,11,FALSE),"")</f>
        <v/>
      </c>
      <c r="AL118" s="46" t="str">
        <f>IFERROR(VLOOKUP(Tabla58[[#This Row],[Cod trabalhador]],'Outros descontos'!B:R,12,FALSE),"")</f>
        <v/>
      </c>
      <c r="AM118" s="46" t="str">
        <f>IFERROR(VLOOKUP(Tabla58[[#This Row],[Cod trabalhador]],'Outros descontos'!B:M,13,FALSE),"")</f>
        <v/>
      </c>
      <c r="AN118" s="41"/>
      <c r="AO118" s="37">
        <v>4.08</v>
      </c>
      <c r="AP118" s="15"/>
      <c r="AQ118"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2650.92</v>
      </c>
      <c r="AR118"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2650.92</v>
      </c>
      <c r="AS118" s="15"/>
      <c r="AT118" s="27" t="str">
        <f>IF(Tabla58[[#This Row],[Cod trabalhador]]="", "", INDEX(Iban!C:C, MATCH(Tabla58[[#This Row],[Cod trabalhador]],Iban!A:A, 0)))</f>
        <v>ES87 0182 1527 5002 0475 8597</v>
      </c>
      <c r="AU118" s="27"/>
      <c r="AV118" s="27"/>
      <c r="AW118" s="66" t="s">
        <v>7533</v>
      </c>
      <c r="AX118" s="296" t="s">
        <v>7472</v>
      </c>
    </row>
    <row r="119" spans="1:50" ht="16.95" hidden="1" customHeight="1" x14ac:dyDescent="0.3">
      <c r="A119" s="43"/>
      <c r="B119" s="39" t="s">
        <v>5822</v>
      </c>
      <c r="C119" s="45" t="str">
        <f>IF(ISNUMBER(MATCH(Tabla58[[#This Row],[Cod trabalhador]],'Altas Wiseowe'!B:B, 0)), "Ativo", "Não ativo")</f>
        <v>Não ativo</v>
      </c>
      <c r="D119" s="44" t="str">
        <f>IFERROR(IF(VLOOKUP(Tabla58[[#This Row],[Cod trabalhador]],'Altas Industrial'!B:E,1,0)&lt;&gt;"","KI",""),"")</f>
        <v/>
      </c>
      <c r="E119" s="44" t="str">
        <f>IFERROR(IF(VLOOKUP(Tabla58[[#This Row],[Cod trabalhador]],'Altas Rosas'!B:F,1,0)&lt;&gt;"","KR",""),"")</f>
        <v/>
      </c>
      <c r="F119" s="44" t="str">
        <f>IFERROR(IF(VLOOKUP(Tabla58[[#This Row],[Cod trabalhador]],'Altas Wiseowe'!B:E,1,0)&lt;&gt;"","WS",""),"")</f>
        <v/>
      </c>
      <c r="G119" s="101" t="str">
        <f>IFERROR(IF(VLOOKUP(Tabla58[[#This Row],[Cod trabalhador]],'Altas Luminous'!B:E,1,0)&lt;&gt;"","LM",""),"")</f>
        <v/>
      </c>
      <c r="H119" s="51" t="str">
        <f>IFERROR(VLOOKUP(Tabla58[[#This Row],[Cod trabalhador]],'Altas Wiseowe'!B:E,3,FALSE),"")</f>
        <v/>
      </c>
      <c r="I119" s="51" t="str">
        <f>IF(OR(Tabla58[[#This Row],[Cod trabalhador]]="",ISBLANK(Tabla58[[#This Row],[Cod trabalhador]])),"",IFERROR(IF(VLOOKUP(Tabla58[[#This Row],[Cod trabalhador]],'Altas Wiseowe'!B:E,4,FALSE)=0,"",VLOOKUP(Tabla58[[#This Row],[Cod trabalhador]],'Altas Wiseowe'!B:E,4,FALSE)),""))</f>
        <v/>
      </c>
      <c r="J119" s="44">
        <f t="shared" si="4"/>
        <v>0</v>
      </c>
      <c r="K119" s="376" t="s">
        <v>7364</v>
      </c>
      <c r="L119" s="342" t="str">
        <f>IFERROR(IF(Tabla58[[#This Row],[Cod trabalhador]]="",Tabla58[[#This Row],[Cod trabalhador]], INDEX(Colaborador_ID[Nombre], MATCH(Tabla58[[#This Row],[Cod trabalhador]],Colaborador_ID[Cod_colab], 0))), "")</f>
        <v>RAFAEL ALEJANDRO HERRERA URBANO</v>
      </c>
      <c r="N119" s="405" t="s">
        <v>7312</v>
      </c>
      <c r="O119" s="26">
        <f>IFERROR(VLOOKUP(Tabla58[[#This Row],[Cod trabalhador]],Tabla15[],4,FALSE),"")</f>
        <v>15</v>
      </c>
      <c r="P119" s="92">
        <f>IFERROR(VLOOKUP(Tabla58[[#This Row],[Cod trabalhador]],'TotalHorasAjustadas (2)'!D:L,8,FALSE),"")</f>
        <v>203.5</v>
      </c>
      <c r="Q119" s="27">
        <v>203.5</v>
      </c>
      <c r="R119" s="28" t="s">
        <v>7532</v>
      </c>
      <c r="S119" s="28" t="s">
        <v>7539</v>
      </c>
      <c r="U119" s="25"/>
      <c r="V119" s="220"/>
      <c r="W119" s="27"/>
      <c r="X119" s="28"/>
      <c r="Y119" s="28"/>
      <c r="Z119" s="149"/>
      <c r="AA119" s="392">
        <f>IFERROR(VLOOKUP(Tabla58[[#This Row],[Cod trabalhador]],Alojamentos!B:P,11,FALSE),"")</f>
        <v>300</v>
      </c>
      <c r="AB119" s="127"/>
      <c r="AC119" s="150"/>
      <c r="AD119" s="35">
        <f>Tabla58[[#This Row],[Dias de alta]]*7.058</f>
        <v>0</v>
      </c>
      <c r="AE119" s="46" t="str">
        <f>IFERROR(VLOOKUP(Tabla58[[#This Row],[Cod trabalhador]],Adiantamentos!B:L,7,FALSE),"")</f>
        <v/>
      </c>
      <c r="AF119" s="46">
        <f>IFERROR(VLOOKUP(Tabla58[[#This Row],[Cod trabalhador]],Carro!B:D,3,FALSE),"")</f>
        <v>111.11111111111111</v>
      </c>
      <c r="AG119" s="46">
        <f>IFERROR(VLOOKUP(Tabla58[[#This Row],[Cod trabalhador]],'Outros descontos'!B:O,7,FALSE),"")</f>
        <v>0</v>
      </c>
      <c r="AH119" s="46">
        <f>IFERROR(VLOOKUP(Tabla58[[#This Row],[Cod trabalhador]],'Outros descontos'!B:M,8,FALSE),"")</f>
        <v>0</v>
      </c>
      <c r="AI119" s="46">
        <f>IFERROR(VLOOKUP(Tabla58[[#This Row],[Cod trabalhador]],'Outros descontos'!B:M,9,FALSE),"")</f>
        <v>0</v>
      </c>
      <c r="AJ119" s="46">
        <f>IFERROR(VLOOKUP(Tabla58[[#This Row],[Cod trabalhador]],'Outros descontos'!B:M,10,FALSE),"")</f>
        <v>0</v>
      </c>
      <c r="AK119" s="46">
        <f>IFERROR(VLOOKUP(Tabla58[[#This Row],[Cod trabalhador]],'Outros descontos'!B:M,11,FALSE),"")</f>
        <v>0</v>
      </c>
      <c r="AL119" s="46">
        <f>IFERROR(VLOOKUP(Tabla58[[#This Row],[Cod trabalhador]],'Outros descontos'!B:R,12,FALSE),"")</f>
        <v>21.74</v>
      </c>
      <c r="AM119" s="46" t="str">
        <f>IFERROR(VLOOKUP(Tabla58[[#This Row],[Cod trabalhador]],'Outros descontos'!B:M,13,FALSE),"")</f>
        <v/>
      </c>
      <c r="AN119" s="41"/>
      <c r="AO119" s="37">
        <v>4.08</v>
      </c>
      <c r="AP119" s="15"/>
      <c r="AQ119"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3215.568888888889</v>
      </c>
      <c r="AR119"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3215.568888888889</v>
      </c>
      <c r="AS119" s="15"/>
      <c r="AT119" s="27" t="str">
        <f>IF(Tabla58[[#This Row],[Cod trabalhador]]="", "", INDEX(Iban!C:C, MATCH(Tabla58[[#This Row],[Cod trabalhador]],Iban!A:A, 0)))</f>
        <v>ES73 0182 4641 1602 0164 6703</v>
      </c>
      <c r="AU119" s="27"/>
      <c r="AV119" s="97"/>
      <c r="AW119" s="66" t="s">
        <v>7533</v>
      </c>
      <c r="AX119" s="296" t="s">
        <v>7472</v>
      </c>
    </row>
    <row r="120" spans="1:50" ht="16.5" hidden="1" customHeight="1" x14ac:dyDescent="0.3">
      <c r="A120" s="43"/>
      <c r="B120" s="39" t="s">
        <v>5837</v>
      </c>
      <c r="C120" s="45" t="str">
        <f>IF(ISNUMBER(MATCH(Tabla58[[#This Row],[Cod trabalhador]],'Altas Wiseowe'!B:B, 0)), "Ativo", "Não ativo")</f>
        <v>Não ativo</v>
      </c>
      <c r="D120" s="44" t="str">
        <f>IFERROR(IF(VLOOKUP(Tabla58[[#This Row],[Cod trabalhador]],'Altas Industrial'!B:E,1,0)&lt;&gt;"","KI",""),"")</f>
        <v/>
      </c>
      <c r="E120" s="44" t="str">
        <f>IFERROR(IF(VLOOKUP(Tabla58[[#This Row],[Cod trabalhador]],'Altas Rosas'!B:F,1,0)&lt;&gt;"","KR",""),"")</f>
        <v/>
      </c>
      <c r="F120" s="44" t="str">
        <f>IFERROR(IF(VLOOKUP(Tabla58[[#This Row],[Cod trabalhador]],'Altas Wiseowe'!B:E,1,0)&lt;&gt;"","WS",""),"")</f>
        <v/>
      </c>
      <c r="G120" s="101" t="str">
        <f>IFERROR(IF(VLOOKUP(Tabla58[[#This Row],[Cod trabalhador]],'Altas Luminous'!B:E,1,0)&lt;&gt;"","LM",""),"")</f>
        <v/>
      </c>
      <c r="H120" s="51" t="str">
        <f>IFERROR(VLOOKUP(Tabla58[[#This Row],[Cod trabalhador]],'Altas Wiseowe'!B:E,3,FALSE),"")</f>
        <v/>
      </c>
      <c r="I120" s="51" t="str">
        <f>IF(OR(Tabla58[[#This Row],[Cod trabalhador]]="",ISBLANK(Tabla58[[#This Row],[Cod trabalhador]])),"",IFERROR(IF(VLOOKUP(Tabla58[[#This Row],[Cod trabalhador]],'Altas Wiseowe'!B:E,4,FALSE)=0,"",VLOOKUP(Tabla58[[#This Row],[Cod trabalhador]],'Altas Wiseowe'!B:E,4,FALSE)),""))</f>
        <v/>
      </c>
      <c r="J120" s="44">
        <f t="shared" si="4"/>
        <v>0</v>
      </c>
      <c r="K120" s="376" t="s">
        <v>5838</v>
      </c>
      <c r="L120" s="342" t="str">
        <f>IFERROR(IF(Tabla58[[#This Row],[Cod trabalhador]]="",Tabla58[[#This Row],[Cod trabalhador]], INDEX(Colaborador_ID[Nombre], MATCH(Tabla58[[#This Row],[Cod trabalhador]],Colaborador_ID[Cod_colab], 0))), "")</f>
        <v>RAFAEL ELIAS VALDERRAMA VERGARA</v>
      </c>
      <c r="N120" s="405" t="s">
        <v>7312</v>
      </c>
      <c r="O120" s="26">
        <f>IFERROR(VLOOKUP(Tabla58[[#This Row],[Cod trabalhador]],Tabla15[],4,FALSE),"")</f>
        <v>15</v>
      </c>
      <c r="P120" s="92">
        <f>IFERROR(VLOOKUP(Tabla58[[#This Row],[Cod trabalhador]],'TotalHorasAjustadas (2)'!D:L,8,FALSE),"")</f>
        <v>187</v>
      </c>
      <c r="Q120" s="27">
        <v>187</v>
      </c>
      <c r="R120" s="28" t="s">
        <v>7532</v>
      </c>
      <c r="S120" s="28" t="s">
        <v>7539</v>
      </c>
      <c r="U120" s="25"/>
      <c r="V120" s="220"/>
      <c r="W120" s="27"/>
      <c r="X120" s="28"/>
      <c r="Y120" s="28"/>
      <c r="Z120" s="149"/>
      <c r="AA120" s="392" t="str">
        <f>IFERROR(VLOOKUP(Tabla58[[#This Row],[Cod trabalhador]],Alojamentos!B:P,11,FALSE),"")</f>
        <v/>
      </c>
      <c r="AB120" s="127"/>
      <c r="AC120" s="150"/>
      <c r="AD120" s="35">
        <f>Tabla58[[#This Row],[Dias de alta]]*7.058</f>
        <v>0</v>
      </c>
      <c r="AE120" s="46">
        <f>IFERROR(VLOOKUP(Tabla58[[#This Row],[Cod trabalhador]],Adiantamentos!B:L,7,FALSE),"")</f>
        <v>200</v>
      </c>
      <c r="AF120" s="46">
        <f>IFERROR(VLOOKUP(Tabla58[[#This Row],[Cod trabalhador]],Carro!B:D,3,FALSE),"")</f>
        <v>111.11111111111111</v>
      </c>
      <c r="AG120" s="46">
        <f>IFERROR(VLOOKUP(Tabla58[[#This Row],[Cod trabalhador]],'Outros descontos'!B:O,7,FALSE),"")</f>
        <v>140</v>
      </c>
      <c r="AH120" s="46">
        <f>IFERROR(VLOOKUP(Tabla58[[#This Row],[Cod trabalhador]],'Outros descontos'!B:M,8,FALSE),"")</f>
        <v>0</v>
      </c>
      <c r="AI120" s="46">
        <f>IFERROR(VLOOKUP(Tabla58[[#This Row],[Cod trabalhador]],'Outros descontos'!B:M,9,FALSE),"")</f>
        <v>0</v>
      </c>
      <c r="AJ120" s="46">
        <f>IFERROR(VLOOKUP(Tabla58[[#This Row],[Cod trabalhador]],'Outros descontos'!B:M,10,FALSE),"")</f>
        <v>0</v>
      </c>
      <c r="AK120" s="46">
        <f>IFERROR(VLOOKUP(Tabla58[[#This Row],[Cod trabalhador]],'Outros descontos'!B:M,11,FALSE),"")</f>
        <v>0</v>
      </c>
      <c r="AL120" s="46">
        <f>IFERROR(VLOOKUP(Tabla58[[#This Row],[Cod trabalhador]],'Outros descontos'!B:R,12,FALSE),"")</f>
        <v>0</v>
      </c>
      <c r="AM120" s="46" t="str">
        <f>IFERROR(VLOOKUP(Tabla58[[#This Row],[Cod trabalhador]],'Outros descontos'!B:M,13,FALSE),"")</f>
        <v/>
      </c>
      <c r="AN120" s="41"/>
      <c r="AO120" s="37">
        <v>4.08</v>
      </c>
      <c r="AP120" s="15"/>
      <c r="AQ120"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2349.8088888888888</v>
      </c>
      <c r="AR120"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2349.8088888888888</v>
      </c>
      <c r="AS120" s="15"/>
      <c r="AT120" s="27" t="str">
        <f>IF(Tabla58[[#This Row],[Cod trabalhador]]="", "", INDEX(Iban!C:C, MATCH(Tabla58[[#This Row],[Cod trabalhador]],Iban!A:A, 0)))</f>
        <v>ES04 0182 2455 6102 0165 3384</v>
      </c>
      <c r="AU120" s="27"/>
      <c r="AV120" s="27"/>
      <c r="AW120" s="66" t="s">
        <v>7533</v>
      </c>
      <c r="AX120" s="296" t="s">
        <v>7472</v>
      </c>
    </row>
    <row r="121" spans="1:50" ht="16.5" hidden="1" customHeight="1" x14ac:dyDescent="0.3">
      <c r="A121" s="43"/>
      <c r="B121" s="39" t="s">
        <v>5865</v>
      </c>
      <c r="C121" s="45" t="str">
        <f>IF(ISNUMBER(MATCH(Tabla58[[#This Row],[Cod trabalhador]],'Altas Wiseowe'!B:B, 0)), "Ativo", "Não ativo")</f>
        <v>Não ativo</v>
      </c>
      <c r="D121" s="44" t="str">
        <f>IFERROR(IF(VLOOKUP(Tabla58[[#This Row],[Cod trabalhador]],'Altas Industrial'!B:E,1,0)&lt;&gt;"","KI",""),"")</f>
        <v>KI</v>
      </c>
      <c r="E121" s="44" t="str">
        <f>IFERROR(IF(VLOOKUP(Tabla58[[#This Row],[Cod trabalhador]],'Altas Rosas'!B:F,1,0)&lt;&gt;"","KR",""),"")</f>
        <v/>
      </c>
      <c r="F121" s="44" t="str">
        <f>IFERROR(IF(VLOOKUP(Tabla58[[#This Row],[Cod trabalhador]],'Altas Wiseowe'!B:E,1,0)&lt;&gt;"","WS",""),"")</f>
        <v/>
      </c>
      <c r="G121" s="101" t="str">
        <f>IFERROR(IF(VLOOKUP(Tabla58[[#This Row],[Cod trabalhador]],'Altas Luminous'!B:E,1,0)&lt;&gt;"","LM",""),"")</f>
        <v/>
      </c>
      <c r="H121" s="51" t="str">
        <f>IFERROR(VLOOKUP(Tabla58[[#This Row],[Cod trabalhador]],'Altas Wiseowe'!B:E,3,FALSE),"")</f>
        <v/>
      </c>
      <c r="I121" s="51" t="str">
        <f>IF(OR(Tabla58[[#This Row],[Cod trabalhador]]="",ISBLANK(Tabla58[[#This Row],[Cod trabalhador]])),"",IFERROR(IF(VLOOKUP(Tabla58[[#This Row],[Cod trabalhador]],'Altas Wiseowe'!B:E,4,FALSE)=0,"",VLOOKUP(Tabla58[[#This Row],[Cod trabalhador]],'Altas Wiseowe'!B:E,4,FALSE)),""))</f>
        <v/>
      </c>
      <c r="J121" s="44">
        <f t="shared" si="4"/>
        <v>0</v>
      </c>
      <c r="K121" s="376" t="s">
        <v>5866</v>
      </c>
      <c r="L121" s="342" t="str">
        <f>IFERROR(IF(Tabla58[[#This Row],[Cod trabalhador]]="",Tabla58[[#This Row],[Cod trabalhador]], INDEX(Colaborador_ID[Nombre], MATCH(Tabla58[[#This Row],[Cod trabalhador]],Colaborador_ID[Cod_colab], 0))), "")</f>
        <v>RAMON EDUARDO JIMENEZ PEREZ</v>
      </c>
      <c r="N121" s="405" t="s">
        <v>7312</v>
      </c>
      <c r="O121" s="26">
        <f>IFERROR(VLOOKUP(Tabla58[[#This Row],[Cod trabalhador]],Tabla15[],4,FALSE),"")</f>
        <v>14</v>
      </c>
      <c r="P121" s="92">
        <f>IFERROR(VLOOKUP(Tabla58[[#This Row],[Cod trabalhador]],'TotalHorasAjustadas (2)'!D:L,8,FALSE),"")</f>
        <v>117</v>
      </c>
      <c r="Q121" s="27">
        <v>117</v>
      </c>
      <c r="R121" s="28" t="s">
        <v>7532</v>
      </c>
      <c r="S121" s="28" t="s">
        <v>7539</v>
      </c>
      <c r="U121" s="25"/>
      <c r="V121" s="220"/>
      <c r="W121" s="27"/>
      <c r="X121" s="28"/>
      <c r="Y121" s="28"/>
      <c r="Z121" s="149"/>
      <c r="AA121" s="392">
        <f>IFERROR(VLOOKUP(Tabla58[[#This Row],[Cod trabalhador]],Alojamentos!B:P,11,FALSE),"")</f>
        <v>300</v>
      </c>
      <c r="AB121" s="127"/>
      <c r="AC121" s="150"/>
      <c r="AD121" s="35">
        <f>Tabla58[[#This Row],[Dias de alta]]*7.058</f>
        <v>0</v>
      </c>
      <c r="AE121" s="46" t="str">
        <f>IFERROR(VLOOKUP(Tabla58[[#This Row],[Cod trabalhador]],Adiantamentos!B:L,7,FALSE),"")</f>
        <v/>
      </c>
      <c r="AF121" s="46" t="str">
        <f>IFERROR(VLOOKUP(Tabla58[[#This Row],[Cod trabalhador]],Carro!B:D,3,FALSE),"")</f>
        <v/>
      </c>
      <c r="AG121" s="46" t="str">
        <f>IFERROR(VLOOKUP(Tabla58[[#This Row],[Cod trabalhador]],'Outros descontos'!B:O,7,FALSE),"")</f>
        <v/>
      </c>
      <c r="AH121" s="46" t="str">
        <f>IFERROR(VLOOKUP(Tabla58[[#This Row],[Cod trabalhador]],'Outros descontos'!B:M,8,FALSE),"")</f>
        <v/>
      </c>
      <c r="AI121" s="46" t="str">
        <f>IFERROR(VLOOKUP(Tabla58[[#This Row],[Cod trabalhador]],'Outros descontos'!B:M,9,FALSE),"")</f>
        <v/>
      </c>
      <c r="AJ121" s="46" t="str">
        <f>IFERROR(VLOOKUP(Tabla58[[#This Row],[Cod trabalhador]],'Outros descontos'!B:M,10,FALSE),"")</f>
        <v/>
      </c>
      <c r="AK121" s="46" t="str">
        <f>IFERROR(VLOOKUP(Tabla58[[#This Row],[Cod trabalhador]],'Outros descontos'!B:M,11,FALSE),"")</f>
        <v/>
      </c>
      <c r="AL121" s="46" t="str">
        <f>IFERROR(VLOOKUP(Tabla58[[#This Row],[Cod trabalhador]],'Outros descontos'!B:R,12,FALSE),"")</f>
        <v/>
      </c>
      <c r="AM121" s="46" t="str">
        <f>IFERROR(VLOOKUP(Tabla58[[#This Row],[Cod trabalhador]],'Outros descontos'!B:M,13,FALSE),"")</f>
        <v/>
      </c>
      <c r="AN121" s="41"/>
      <c r="AO121" s="37">
        <v>4.08</v>
      </c>
      <c r="AP121" s="15"/>
      <c r="AQ121"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1933.92</v>
      </c>
      <c r="AR121"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1933.92</v>
      </c>
      <c r="AS121" s="15"/>
      <c r="AT121" s="27" t="str">
        <f>IF(Tabla58[[#This Row],[Cod trabalhador]]="", "", INDEX(Iban!C:C, MATCH(Tabla58[[#This Row],[Cod trabalhador]],Iban!A:A, 0)))</f>
        <v>ES27 0182 0731 0102 0160 6310</v>
      </c>
      <c r="AU121" s="27"/>
      <c r="AV121" s="97"/>
      <c r="AW121" s="66" t="s">
        <v>7533</v>
      </c>
      <c r="AX121" s="296" t="s">
        <v>7472</v>
      </c>
    </row>
    <row r="122" spans="1:50" ht="16.5" hidden="1" customHeight="1" x14ac:dyDescent="0.3">
      <c r="A122" s="43"/>
      <c r="B122" s="39" t="s">
        <v>6471</v>
      </c>
      <c r="C122" s="45" t="str">
        <f>IF(ISNUMBER(MATCH(Tabla58[[#This Row],[Cod trabalhador]],'Altas Wiseowe'!B:B, 0)), "Ativo", "Não ativo")</f>
        <v>Não ativo</v>
      </c>
      <c r="D122" s="44" t="str">
        <f>IFERROR(IF(VLOOKUP(Tabla58[[#This Row],[Cod trabalhador]],'Altas Industrial'!B:E,1,0)&lt;&gt;"","KI",""),"")</f>
        <v/>
      </c>
      <c r="E122" s="44" t="str">
        <f>IFERROR(IF(VLOOKUP(Tabla58[[#This Row],[Cod trabalhador]],'Altas Rosas'!B:F,1,0)&lt;&gt;"","KR",""),"")</f>
        <v/>
      </c>
      <c r="F122" s="44" t="str">
        <f>IFERROR(IF(VLOOKUP(Tabla58[[#This Row],[Cod trabalhador]],'Altas Wiseowe'!B:E,1,0)&lt;&gt;"","WS",""),"")</f>
        <v/>
      </c>
      <c r="G122" s="101" t="str">
        <f>IFERROR(IF(VLOOKUP(Tabla58[[#This Row],[Cod trabalhador]],'Altas Luminous'!B:E,1,0)&lt;&gt;"","LM",""),"")</f>
        <v/>
      </c>
      <c r="H122" s="51" t="str">
        <f>IFERROR(VLOOKUP(Tabla58[[#This Row],[Cod trabalhador]],'Altas Wiseowe'!B:E,3,FALSE),"")</f>
        <v/>
      </c>
      <c r="I122" s="51" t="str">
        <f>IF(OR(Tabla58[[#This Row],[Cod trabalhador]]="",ISBLANK(Tabla58[[#This Row],[Cod trabalhador]])),"",IFERROR(IF(VLOOKUP(Tabla58[[#This Row],[Cod trabalhador]],'Altas Wiseowe'!B:E,4,FALSE)=0,"",VLOOKUP(Tabla58[[#This Row],[Cod trabalhador]],'Altas Wiseowe'!B:E,4,FALSE)),""))</f>
        <v/>
      </c>
      <c r="J122" s="44">
        <f t="shared" si="4"/>
        <v>0</v>
      </c>
      <c r="K122" s="376" t="s">
        <v>7370</v>
      </c>
      <c r="L122" s="342" t="str">
        <f>IFERROR(IF(Tabla58[[#This Row],[Cod trabalhador]]="",Tabla58[[#This Row],[Cod trabalhador]], INDEX(Colaborador_ID[Nombre], MATCH(Tabla58[[#This Row],[Cod trabalhador]],Colaborador_ID[Cod_colab], 0))), "")</f>
        <v>VICTOR DANIEL ARIAS GONZALEZ</v>
      </c>
      <c r="N122" s="405" t="s">
        <v>7312</v>
      </c>
      <c r="O122" s="26">
        <f>IFERROR(VLOOKUP(Tabla58[[#This Row],[Cod trabalhador]],Tabla15[],4,FALSE),"")</f>
        <v>15</v>
      </c>
      <c r="P122" s="92">
        <f>IFERROR(VLOOKUP(Tabla58[[#This Row],[Cod trabalhador]],'TotalHorasAjustadas (2)'!D:L,8,FALSE),"")</f>
        <v>144</v>
      </c>
      <c r="Q122" s="27">
        <v>144</v>
      </c>
      <c r="R122" s="28" t="s">
        <v>7532</v>
      </c>
      <c r="S122" s="28" t="s">
        <v>7539</v>
      </c>
      <c r="U122" s="25"/>
      <c r="V122" s="220"/>
      <c r="W122" s="27"/>
      <c r="X122" s="28"/>
      <c r="Y122" s="28"/>
      <c r="Z122" s="149"/>
      <c r="AA122" s="392">
        <f>IFERROR(VLOOKUP(Tabla58[[#This Row],[Cod trabalhador]],Alojamentos!B:P,11,FALSE),"")</f>
        <v>300</v>
      </c>
      <c r="AB122" s="127"/>
      <c r="AC122" s="150"/>
      <c r="AD122" s="35">
        <f>Tabla58[[#This Row],[Dias de alta]]*7.058</f>
        <v>0</v>
      </c>
      <c r="AE122" s="46" t="str">
        <f>IFERROR(VLOOKUP(Tabla58[[#This Row],[Cod trabalhador]],Adiantamentos!B:L,7,FALSE),"")</f>
        <v/>
      </c>
      <c r="AF122" s="46" t="str">
        <f>IFERROR(VLOOKUP(Tabla58[[#This Row],[Cod trabalhador]],Carro!B:D,3,FALSE),"")</f>
        <v/>
      </c>
      <c r="AG122" s="46" t="str">
        <f>IFERROR(VLOOKUP(Tabla58[[#This Row],[Cod trabalhador]],'Outros descontos'!B:O,7,FALSE),"")</f>
        <v/>
      </c>
      <c r="AH122" s="46" t="str">
        <f>IFERROR(VLOOKUP(Tabla58[[#This Row],[Cod trabalhador]],'Outros descontos'!B:M,8,FALSE),"")</f>
        <v/>
      </c>
      <c r="AI122" s="46" t="str">
        <f>IFERROR(VLOOKUP(Tabla58[[#This Row],[Cod trabalhador]],'Outros descontos'!B:M,9,FALSE),"")</f>
        <v/>
      </c>
      <c r="AJ122" s="46" t="str">
        <f>IFERROR(VLOOKUP(Tabla58[[#This Row],[Cod trabalhador]],'Outros descontos'!B:M,10,FALSE),"")</f>
        <v/>
      </c>
      <c r="AK122" s="46" t="str">
        <f>IFERROR(VLOOKUP(Tabla58[[#This Row],[Cod trabalhador]],'Outros descontos'!B:M,11,FALSE),"")</f>
        <v/>
      </c>
      <c r="AL122" s="46" t="str">
        <f>IFERROR(VLOOKUP(Tabla58[[#This Row],[Cod trabalhador]],'Outros descontos'!B:R,12,FALSE),"")</f>
        <v/>
      </c>
      <c r="AM122" s="46" t="str">
        <f>IFERROR(VLOOKUP(Tabla58[[#This Row],[Cod trabalhador]],'Outros descontos'!B:M,13,FALSE),"")</f>
        <v/>
      </c>
      <c r="AN122" s="41"/>
      <c r="AO122" s="37">
        <v>4.08</v>
      </c>
      <c r="AP122" s="15"/>
      <c r="AQ122"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2455.92</v>
      </c>
      <c r="AR122"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2455.92</v>
      </c>
      <c r="AS122" s="15"/>
      <c r="AT122" s="27" t="str">
        <f>IF(Tabla58[[#This Row],[Cod trabalhador]]="", "", INDEX(Iban!C:C, MATCH(Tabla58[[#This Row],[Cod trabalhador]],Iban!A:A, 0)))</f>
        <v>BE83 9053 0218 4915</v>
      </c>
      <c r="AU122" s="27"/>
      <c r="AV122" s="27"/>
      <c r="AW122" s="66" t="s">
        <v>7533</v>
      </c>
      <c r="AX122" s="296" t="s">
        <v>7472</v>
      </c>
    </row>
    <row r="123" spans="1:50" ht="16.5" hidden="1" customHeight="1" x14ac:dyDescent="0.3">
      <c r="A123" s="43"/>
      <c r="B123" s="39" t="s">
        <v>6577</v>
      </c>
      <c r="C123" s="45" t="str">
        <f>IF(ISNUMBER(MATCH(Tabla58[[#This Row],[Cod trabalhador]],'Altas Wiseowe'!B:B, 0)), "Ativo", "Não ativo")</f>
        <v>Não ativo</v>
      </c>
      <c r="D123" s="44" t="str">
        <f>IFERROR(IF(VLOOKUP(Tabla58[[#This Row],[Cod trabalhador]],'Altas Industrial'!B:E,1,0)&lt;&gt;"","KI",""),"")</f>
        <v/>
      </c>
      <c r="E123" s="44" t="str">
        <f>IFERROR(IF(VLOOKUP(Tabla58[[#This Row],[Cod trabalhador]],'Altas Rosas'!B:F,1,0)&lt;&gt;"","KR",""),"")</f>
        <v/>
      </c>
      <c r="F123" s="44" t="str">
        <f>IFERROR(IF(VLOOKUP(Tabla58[[#This Row],[Cod trabalhador]],'Altas Wiseowe'!B:E,1,0)&lt;&gt;"","WS",""),"")</f>
        <v/>
      </c>
      <c r="G123" s="101" t="str">
        <f>IFERROR(IF(VLOOKUP(Tabla58[[#This Row],[Cod trabalhador]],'Altas Luminous'!B:E,1,0)&lt;&gt;"","LM",""),"")</f>
        <v/>
      </c>
      <c r="H123" s="51" t="str">
        <f>IFERROR(VLOOKUP(Tabla58[[#This Row],[Cod trabalhador]],'Altas Wiseowe'!B:E,3,FALSE),"")</f>
        <v/>
      </c>
      <c r="I123" s="51" t="str">
        <f>IF(OR(Tabla58[[#This Row],[Cod trabalhador]]="",ISBLANK(Tabla58[[#This Row],[Cod trabalhador]])),"",IFERROR(IF(VLOOKUP(Tabla58[[#This Row],[Cod trabalhador]],'Altas Wiseowe'!B:E,4,FALSE)=0,"",VLOOKUP(Tabla58[[#This Row],[Cod trabalhador]],'Altas Wiseowe'!B:E,4,FALSE)),""))</f>
        <v/>
      </c>
      <c r="J123" s="44">
        <f t="shared" si="4"/>
        <v>0</v>
      </c>
      <c r="K123" s="376" t="s">
        <v>7371</v>
      </c>
      <c r="L123" s="342" t="str">
        <f>IFERROR(IF(Tabla58[[#This Row],[Cod trabalhador]]="",Tabla58[[#This Row],[Cod trabalhador]], INDEX(Colaborador_ID[Nombre], MATCH(Tabla58[[#This Row],[Cod trabalhador]],Colaborador_ID[Cod_colab], 0))), "")</f>
        <v>WENDI ALBERTO GARCIA ARRIETA</v>
      </c>
      <c r="N123" s="405" t="s">
        <v>7312</v>
      </c>
      <c r="O123" s="26">
        <f>IFERROR(VLOOKUP(Tabla58[[#This Row],[Cod trabalhador]],Tabla15[],4,FALSE),"")</f>
        <v>15</v>
      </c>
      <c r="P123" s="92">
        <f>IFERROR(VLOOKUP(Tabla58[[#This Row],[Cod trabalhador]],'TotalHorasAjustadas (2)'!D:L,8,FALSE),"")</f>
        <v>152</v>
      </c>
      <c r="Q123" s="27">
        <v>152</v>
      </c>
      <c r="R123" s="28" t="s">
        <v>7532</v>
      </c>
      <c r="S123" s="28" t="s">
        <v>7539</v>
      </c>
      <c r="U123" s="25"/>
      <c r="V123" s="220"/>
      <c r="W123" s="27"/>
      <c r="X123" s="28"/>
      <c r="Y123" s="28"/>
      <c r="Z123" s="149"/>
      <c r="AA123" s="392" t="str">
        <f>IFERROR(VLOOKUP(Tabla58[[#This Row],[Cod trabalhador]],Alojamentos!B:P,11,FALSE),"")</f>
        <v/>
      </c>
      <c r="AB123" s="127"/>
      <c r="AC123" s="150"/>
      <c r="AD123" s="35">
        <f>Tabla58[[#This Row],[Dias de alta]]*7.058</f>
        <v>0</v>
      </c>
      <c r="AE123" s="46" t="str">
        <f>IFERROR(VLOOKUP(Tabla58[[#This Row],[Cod trabalhador]],Adiantamentos!B:L,7,FALSE),"")</f>
        <v/>
      </c>
      <c r="AF123" s="46" t="str">
        <f>IFERROR(VLOOKUP(Tabla58[[#This Row],[Cod trabalhador]],Carro!B:D,3,FALSE),"")</f>
        <v/>
      </c>
      <c r="AG123" s="46" t="str">
        <f>IFERROR(VLOOKUP(Tabla58[[#This Row],[Cod trabalhador]],'Outros descontos'!B:O,7,FALSE),"")</f>
        <v/>
      </c>
      <c r="AH123" s="46" t="str">
        <f>IFERROR(VLOOKUP(Tabla58[[#This Row],[Cod trabalhador]],'Outros descontos'!B:M,8,FALSE),"")</f>
        <v/>
      </c>
      <c r="AI123" s="46" t="str">
        <f>IFERROR(VLOOKUP(Tabla58[[#This Row],[Cod trabalhador]],'Outros descontos'!B:M,9,FALSE),"")</f>
        <v/>
      </c>
      <c r="AJ123" s="46" t="str">
        <f>IFERROR(VLOOKUP(Tabla58[[#This Row],[Cod trabalhador]],'Outros descontos'!B:M,10,FALSE),"")</f>
        <v/>
      </c>
      <c r="AK123" s="46" t="str">
        <f>IFERROR(VLOOKUP(Tabla58[[#This Row],[Cod trabalhador]],'Outros descontos'!B:M,11,FALSE),"")</f>
        <v/>
      </c>
      <c r="AL123" s="46" t="str">
        <f>IFERROR(VLOOKUP(Tabla58[[#This Row],[Cod trabalhador]],'Outros descontos'!B:R,12,FALSE),"")</f>
        <v/>
      </c>
      <c r="AM123" s="46" t="str">
        <f>IFERROR(VLOOKUP(Tabla58[[#This Row],[Cod trabalhador]],'Outros descontos'!B:M,13,FALSE),"")</f>
        <v/>
      </c>
      <c r="AN123" s="41"/>
      <c r="AO123" s="37">
        <v>4.08</v>
      </c>
      <c r="AP123" s="15"/>
      <c r="AQ123"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2275.92</v>
      </c>
      <c r="AR123"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2275.92</v>
      </c>
      <c r="AS123" s="15"/>
      <c r="AT123" s="27" t="str">
        <f>IF(Tabla58[[#This Row],[Cod trabalhador]]="", "", INDEX(Iban!C:C, MATCH(Tabla58[[#This Row],[Cod trabalhador]],Iban!A:A, 0)))</f>
        <v>BE17 9055 8689 9921</v>
      </c>
      <c r="AV123" s="97"/>
      <c r="AW123" s="66" t="s">
        <v>7533</v>
      </c>
      <c r="AX123" s="296" t="s">
        <v>7472</v>
      </c>
    </row>
    <row r="124" spans="1:50" ht="16.5" hidden="1" customHeight="1" x14ac:dyDescent="0.3">
      <c r="A124" s="43"/>
      <c r="B124" s="39" t="s">
        <v>6699</v>
      </c>
      <c r="C124" s="45" t="str">
        <f>IF(ISNUMBER(MATCH(Tabla58[[#This Row],[Cod trabalhador]],'Altas Wiseowe'!B:B, 0)), "Ativo", "Não ativo")</f>
        <v>Não ativo</v>
      </c>
      <c r="D124" s="44" t="str">
        <f>IFERROR(IF(VLOOKUP(Tabla58[[#This Row],[Cod trabalhador]],'Altas Industrial'!B:E,1,0)&lt;&gt;"","KI",""),"")</f>
        <v>KI</v>
      </c>
      <c r="E124" s="44" t="str">
        <f>IFERROR(IF(VLOOKUP(Tabla58[[#This Row],[Cod trabalhador]],'Altas Rosas'!B:F,1,0)&lt;&gt;"","KR",""),"")</f>
        <v/>
      </c>
      <c r="F124" s="44" t="str">
        <f>IFERROR(IF(VLOOKUP(Tabla58[[#This Row],[Cod trabalhador]],'Altas Wiseowe'!B:E,1,0)&lt;&gt;"","WS",""),"")</f>
        <v/>
      </c>
      <c r="G124" s="101" t="str">
        <f>IFERROR(IF(VLOOKUP(Tabla58[[#This Row],[Cod trabalhador]],'Altas Luminous'!B:E,1,0)&lt;&gt;"","LM",""),"")</f>
        <v/>
      </c>
      <c r="H124" s="51" t="str">
        <f>IFERROR(VLOOKUP(Tabla58[[#This Row],[Cod trabalhador]],'Altas Wiseowe'!B:E,3,FALSE),"")</f>
        <v/>
      </c>
      <c r="I124" s="51" t="str">
        <f>IF(OR(Tabla58[[#This Row],[Cod trabalhador]]="",ISBLANK(Tabla58[[#This Row],[Cod trabalhador]])),"",IFERROR(IF(VLOOKUP(Tabla58[[#This Row],[Cod trabalhador]],'Altas Wiseowe'!B:E,4,FALSE)=0,"",VLOOKUP(Tabla58[[#This Row],[Cod trabalhador]],'Altas Wiseowe'!B:E,4,FALSE)),""))</f>
        <v/>
      </c>
      <c r="J124" s="44">
        <f t="shared" si="4"/>
        <v>0</v>
      </c>
      <c r="K124" s="376" t="s">
        <v>7327</v>
      </c>
      <c r="L124" s="342" t="str">
        <f>IFERROR(IF(Tabla58[[#This Row],[Cod trabalhador]]="",Tabla58[[#This Row],[Cod trabalhador]], INDEX(Colaborador_ID[Nombre], MATCH(Tabla58[[#This Row],[Cod trabalhador]],Colaborador_ID[Cod_colab], 0))), "")</f>
        <v>WILMAR ESTUPIÑAN ANGULO</v>
      </c>
      <c r="N124" s="405" t="s">
        <v>7312</v>
      </c>
      <c r="O124" s="26">
        <f>IFERROR(VLOOKUP(Tabla58[[#This Row],[Cod trabalhador]],Tabla15[],4,FALSE),"")</f>
        <v>17</v>
      </c>
      <c r="P124" s="92">
        <f>IFERROR(VLOOKUP(Tabla58[[#This Row],[Cod trabalhador]],'TotalHorasAjustadas (2)'!D:L,8,FALSE),"")</f>
        <v>5</v>
      </c>
      <c r="Q124" s="27">
        <f>53+90</f>
        <v>143</v>
      </c>
      <c r="R124" s="28" t="s">
        <v>7532</v>
      </c>
      <c r="S124" s="28" t="s">
        <v>7539</v>
      </c>
      <c r="U124" s="25"/>
      <c r="V124" s="220"/>
      <c r="W124" s="27"/>
      <c r="X124" s="28"/>
      <c r="Y124" s="28"/>
      <c r="Z124" s="149"/>
      <c r="AA124" s="392">
        <f>IFERROR(VLOOKUP(Tabla58[[#This Row],[Cod trabalhador]],Alojamentos!B:P,11,FALSE),"")</f>
        <v>300</v>
      </c>
      <c r="AB124" s="127"/>
      <c r="AC124" s="150"/>
      <c r="AD124" s="35">
        <f>Tabla58[[#This Row],[Dias de alta]]*7.058</f>
        <v>0</v>
      </c>
      <c r="AE124" s="46" t="str">
        <f>IFERROR(VLOOKUP(Tabla58[[#This Row],[Cod trabalhador]],Adiantamentos!B:L,7,FALSE),"")</f>
        <v/>
      </c>
      <c r="AF124" s="46" t="str">
        <f>IFERROR(VLOOKUP(Tabla58[[#This Row],[Cod trabalhador]],Carro!B:D,3,FALSE),"")</f>
        <v/>
      </c>
      <c r="AG124" s="46" t="str">
        <f>IFERROR(VLOOKUP(Tabla58[[#This Row],[Cod trabalhador]],'Outros descontos'!B:O,7,FALSE),"")</f>
        <v/>
      </c>
      <c r="AH124" s="46" t="str">
        <f>IFERROR(VLOOKUP(Tabla58[[#This Row],[Cod trabalhador]],'Outros descontos'!B:M,8,FALSE),"")</f>
        <v/>
      </c>
      <c r="AI124" s="46" t="str">
        <f>IFERROR(VLOOKUP(Tabla58[[#This Row],[Cod trabalhador]],'Outros descontos'!B:M,9,FALSE),"")</f>
        <v/>
      </c>
      <c r="AJ124" s="46" t="str">
        <f>IFERROR(VLOOKUP(Tabla58[[#This Row],[Cod trabalhador]],'Outros descontos'!B:M,10,FALSE),"")</f>
        <v/>
      </c>
      <c r="AK124" s="46" t="str">
        <f>IFERROR(VLOOKUP(Tabla58[[#This Row],[Cod trabalhador]],'Outros descontos'!B:M,11,FALSE),"")</f>
        <v/>
      </c>
      <c r="AL124" s="46" t="str">
        <f>IFERROR(VLOOKUP(Tabla58[[#This Row],[Cod trabalhador]],'Outros descontos'!B:R,12,FALSE),"")</f>
        <v/>
      </c>
      <c r="AM124" s="46" t="str">
        <f>IFERROR(VLOOKUP(Tabla58[[#This Row],[Cod trabalhador]],'Outros descontos'!B:M,13,FALSE),"")</f>
        <v/>
      </c>
      <c r="AN124" s="41"/>
      <c r="AO124" s="37">
        <v>4.08</v>
      </c>
      <c r="AP124" s="15"/>
      <c r="AQ124"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380.92</v>
      </c>
      <c r="AR124"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2726.92</v>
      </c>
      <c r="AS124" s="15"/>
      <c r="AT124" s="27" t="str">
        <f>IF(Tabla58[[#This Row],[Cod trabalhador]]="", "", INDEX(Iban!C:C, MATCH(Tabla58[[#This Row],[Cod trabalhador]],Iban!A:A, 0)))</f>
        <v>ES66 0182 1216 2202 0159 8953</v>
      </c>
      <c r="AU124" s="27"/>
      <c r="AV124" s="27"/>
      <c r="AW124" s="66" t="s">
        <v>7540</v>
      </c>
      <c r="AX124" s="296" t="s">
        <v>7472</v>
      </c>
    </row>
    <row r="125" spans="1:50" ht="16.5" hidden="1" customHeight="1" x14ac:dyDescent="0.3">
      <c r="A125" s="43"/>
      <c r="B125" s="39" t="s">
        <v>6934</v>
      </c>
      <c r="C125" s="45" t="str">
        <f>IF(ISNUMBER(MATCH(Tabla58[[#This Row],[Cod trabalhador]],'Altas Wiseowe'!B:B, 0)), "Ativo", "Não ativo")</f>
        <v>Ativo</v>
      </c>
      <c r="D125" s="44" t="str">
        <f>IFERROR(IF(VLOOKUP(Tabla58[[#This Row],[Cod trabalhador]],'Altas Industrial'!B:E,1,0)&lt;&gt;"","KI",""),"")</f>
        <v/>
      </c>
      <c r="E125" s="44" t="str">
        <f>IFERROR(IF(VLOOKUP(Tabla58[[#This Row],[Cod trabalhador]],'Altas Rosas'!B:F,1,0)&lt;&gt;"","KR",""),"")</f>
        <v/>
      </c>
      <c r="F125" s="44" t="str">
        <f>IFERROR(IF(VLOOKUP(Tabla58[[#This Row],[Cod trabalhador]],'Altas Wiseowe'!B:E,1,0)&lt;&gt;"","WS",""),"")</f>
        <v>WS</v>
      </c>
      <c r="G125" s="101" t="str">
        <f>IFERROR(IF(VLOOKUP(Tabla58[[#This Row],[Cod trabalhador]],'Altas Luminous'!B:E,1,0)&lt;&gt;"","LM",""),"")</f>
        <v/>
      </c>
      <c r="H125" s="51">
        <f>IFERROR(VLOOKUP(Tabla58[[#This Row],[Cod trabalhador]],'Altas Wiseowe'!B:E,3,FALSE),"")</f>
        <v>45945</v>
      </c>
      <c r="I125" s="51" t="str">
        <f>IF(OR(Tabla58[[#This Row],[Cod trabalhador]]="",ISBLANK(Tabla58[[#This Row],[Cod trabalhador]])),"",IFERROR(IF(VLOOKUP(Tabla58[[#This Row],[Cod trabalhador]],'Altas Wiseowe'!B:E,4,FALSE)=0,"",VLOOKUP(Tabla58[[#This Row],[Cod trabalhador]],'Altas Wiseowe'!B:E,4,FALSE)),""))</f>
        <v/>
      </c>
      <c r="J125" s="44">
        <f t="shared" si="4"/>
        <v>31</v>
      </c>
      <c r="K125" s="376" t="s">
        <v>6935</v>
      </c>
      <c r="L125" s="342" t="str">
        <f>IFERROR(IF(Tabla58[[#This Row],[Cod trabalhador]]="",Tabla58[[#This Row],[Cod trabalhador]], INDEX(Colaborador_ID[Nombre], MATCH(Tabla58[[#This Row],[Cod trabalhador]],Colaborador_ID[Cod_colab], 0))), "")</f>
        <v>YONY ALEXANDER BERNAL ARCINIEGAS</v>
      </c>
      <c r="N125" s="405" t="s">
        <v>7312</v>
      </c>
      <c r="O125" s="26">
        <f>IFERROR(VLOOKUP(Tabla58[[#This Row],[Cod trabalhador]],Tabla15[],4,FALSE),"")</f>
        <v>17</v>
      </c>
      <c r="P125" s="92">
        <f>IFERROR(VLOOKUP(Tabla58[[#This Row],[Cod trabalhador]],'TotalHorasAjustadas (2)'!D:L,8,FALSE),"")</f>
        <v>145</v>
      </c>
      <c r="Q125" s="27">
        <v>145</v>
      </c>
      <c r="R125" s="28" t="s">
        <v>7532</v>
      </c>
      <c r="S125" s="28" t="s">
        <v>7539</v>
      </c>
      <c r="U125" s="25"/>
      <c r="V125" s="220"/>
      <c r="W125" s="27"/>
      <c r="X125" s="28"/>
      <c r="Y125" s="28"/>
      <c r="Z125" s="149"/>
      <c r="AA125" s="392">
        <f>IFERROR(VLOOKUP(Tabla58[[#This Row],[Cod trabalhador]],Alojamentos!B:P,11,FALSE),"")</f>
        <v>300</v>
      </c>
      <c r="AB125" s="127"/>
      <c r="AC125" s="150"/>
      <c r="AD125" s="35">
        <f>Tabla58[[#This Row],[Dias de alta]]*7.058</f>
        <v>218.798</v>
      </c>
      <c r="AE125" s="46" t="str">
        <f>IFERROR(VLOOKUP(Tabla58[[#This Row],[Cod trabalhador]],Adiantamentos!B:L,7,FALSE),"")</f>
        <v/>
      </c>
      <c r="AF125" s="46" t="str">
        <f>IFERROR(VLOOKUP(Tabla58[[#This Row],[Cod trabalhador]],Carro!B:D,3,FALSE),"")</f>
        <v/>
      </c>
      <c r="AG125" s="46" t="str">
        <f>IFERROR(VLOOKUP(Tabla58[[#This Row],[Cod trabalhador]],'Outros descontos'!B:O,7,FALSE),"")</f>
        <v/>
      </c>
      <c r="AH125" s="46" t="str">
        <f>IFERROR(VLOOKUP(Tabla58[[#This Row],[Cod trabalhador]],'Outros descontos'!B:M,8,FALSE),"")</f>
        <v/>
      </c>
      <c r="AI125" s="46" t="str">
        <f>IFERROR(VLOOKUP(Tabla58[[#This Row],[Cod trabalhador]],'Outros descontos'!B:M,9,FALSE),"")</f>
        <v/>
      </c>
      <c r="AJ125" s="46" t="str">
        <f>IFERROR(VLOOKUP(Tabla58[[#This Row],[Cod trabalhador]],'Outros descontos'!B:M,10,FALSE),"")</f>
        <v/>
      </c>
      <c r="AK125" s="46" t="str">
        <f>IFERROR(VLOOKUP(Tabla58[[#This Row],[Cod trabalhador]],'Outros descontos'!B:M,11,FALSE),"")</f>
        <v/>
      </c>
      <c r="AL125" s="46" t="str">
        <f>IFERROR(VLOOKUP(Tabla58[[#This Row],[Cod trabalhador]],'Outros descontos'!B:R,12,FALSE),"")</f>
        <v/>
      </c>
      <c r="AM125" s="46" t="str">
        <f>IFERROR(VLOOKUP(Tabla58[[#This Row],[Cod trabalhador]],'Outros descontos'!B:M,13,FALSE),"")</f>
        <v/>
      </c>
      <c r="AN125" s="41"/>
      <c r="AO125" s="37">
        <v>4.08</v>
      </c>
      <c r="AP125" s="15"/>
      <c r="AQ125"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2542.1220000000003</v>
      </c>
      <c r="AR125"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2542.1220000000003</v>
      </c>
      <c r="AS125" s="15"/>
      <c r="AT125" s="27" t="str">
        <f>IF(Tabla58[[#This Row],[Cod trabalhador]]="", "", INDEX(Iban!C:C, MATCH(Tabla58[[#This Row],[Cod trabalhador]],Iban!A:A, 0)))</f>
        <v>BE81 9677 7824 6524</v>
      </c>
      <c r="AU125" s="27"/>
      <c r="AV125" s="27"/>
      <c r="AW125" s="66" t="s">
        <v>7540</v>
      </c>
      <c r="AX125" s="296" t="s">
        <v>7472</v>
      </c>
    </row>
    <row r="126" spans="1:50" ht="16.5" hidden="1" customHeight="1" x14ac:dyDescent="0.3">
      <c r="A126" s="43"/>
      <c r="B126" s="39" t="s">
        <v>1018</v>
      </c>
      <c r="C126" s="45" t="str">
        <f>IF(ISNUMBER(MATCH(Tabla58[[#This Row],[Cod trabalhador]],'Altas Wiseowe'!B:B, 0)), "Ativo", "Não ativo")</f>
        <v>Ativo</v>
      </c>
      <c r="D126" s="44" t="str">
        <f>IFERROR(IF(VLOOKUP(Tabla58[[#This Row],[Cod trabalhador]],'Altas Industrial'!B:E,1,0)&lt;&gt;"","KI",""),"")</f>
        <v/>
      </c>
      <c r="E126" s="44" t="str">
        <f>IFERROR(IF(VLOOKUP(Tabla58[[#This Row],[Cod trabalhador]],'Altas Rosas'!B:F,1,0)&lt;&gt;"","KR",""),"")</f>
        <v/>
      </c>
      <c r="F126" s="44" t="str">
        <f>IFERROR(IF(VLOOKUP(Tabla58[[#This Row],[Cod trabalhador]],'Altas Wiseowe'!B:E,1,0)&lt;&gt;"","WS",""),"")</f>
        <v>WS</v>
      </c>
      <c r="G126" s="101" t="str">
        <f>IFERROR(IF(VLOOKUP(Tabla58[[#This Row],[Cod trabalhador]],'Altas Luminous'!B:E,1,0)&lt;&gt;"","LM",""),"")</f>
        <v/>
      </c>
      <c r="H126" s="51">
        <f>IFERROR(VLOOKUP(Tabla58[[#This Row],[Cod trabalhador]],'Altas Wiseowe'!B:E,3,FALSE),"")</f>
        <v>45931</v>
      </c>
      <c r="I126" s="51" t="str">
        <f>IF(OR(Tabla58[[#This Row],[Cod trabalhador]]="",ISBLANK(Tabla58[[#This Row],[Cod trabalhador]])),"",IFERROR(IF(VLOOKUP(Tabla58[[#This Row],[Cod trabalhador]],'Altas Wiseowe'!B:E,4,FALSE)=0,"",VLOOKUP(Tabla58[[#This Row],[Cod trabalhador]],'Altas Wiseowe'!B:E,4,FALSE)),""))</f>
        <v/>
      </c>
      <c r="J126" s="44">
        <f t="shared" si="4"/>
        <v>31</v>
      </c>
      <c r="K126" s="376" t="s">
        <v>1019</v>
      </c>
      <c r="L126" s="342" t="str">
        <f>IFERROR(IF(Tabla58[[#This Row],[Cod trabalhador]]="",Tabla58[[#This Row],[Cod trabalhador]], INDEX(Colaborador_ID[Nombre], MATCH(Tabla58[[#This Row],[Cod trabalhador]],Colaborador_ID[Cod_colab], 0))), "")</f>
        <v>CICERO LIMA BATISTA</v>
      </c>
      <c r="N126" s="405" t="s">
        <v>7328</v>
      </c>
      <c r="O126" s="26">
        <f>IFERROR(VLOOKUP(Tabla58[[#This Row],[Cod trabalhador]],Tabla15[],4,FALSE),"")</f>
        <v>16</v>
      </c>
      <c r="P126" s="92">
        <f>IFERROR(VLOOKUP(Tabla58[[#This Row],[Cod trabalhador]],'TotalHorasAjustadas (2)'!D:L,8,FALSE),"")</f>
        <v>160</v>
      </c>
      <c r="Q126" s="27">
        <v>160</v>
      </c>
      <c r="R126" s="28" t="s">
        <v>7532</v>
      </c>
      <c r="S126" s="28" t="s">
        <v>7539</v>
      </c>
      <c r="U126" s="25"/>
      <c r="V126" s="220"/>
      <c r="W126" s="27"/>
      <c r="X126" s="28"/>
      <c r="Y126" s="28"/>
      <c r="Z126" s="149"/>
      <c r="AA126" s="392" t="str">
        <f>IFERROR(VLOOKUP(Tabla58[[#This Row],[Cod trabalhador]],Alojamentos!B:P,11,FALSE),"")</f>
        <v/>
      </c>
      <c r="AB126" s="127"/>
      <c r="AC126" s="150"/>
      <c r="AD126" s="35">
        <f>Tabla58[[#This Row],[Dias de alta]]*7.058</f>
        <v>218.798</v>
      </c>
      <c r="AE126" s="46">
        <f>IFERROR(VLOOKUP(Tabla58[[#This Row],[Cod trabalhador]],Adiantamentos!B:L,7,FALSE),"")</f>
        <v>200</v>
      </c>
      <c r="AF126" s="46" t="str">
        <f>IFERROR(VLOOKUP(Tabla58[[#This Row],[Cod trabalhador]],Carro!B:D,3,FALSE),"")</f>
        <v/>
      </c>
      <c r="AG126" s="46" t="str">
        <f>IFERROR(VLOOKUP(Tabla58[[#This Row],[Cod trabalhador]],'Outros descontos'!B:O,7,FALSE),"")</f>
        <v/>
      </c>
      <c r="AH126" s="46" t="str">
        <f>IFERROR(VLOOKUP(Tabla58[[#This Row],[Cod trabalhador]],'Outros descontos'!B:M,8,FALSE),"")</f>
        <v/>
      </c>
      <c r="AI126" s="46" t="str">
        <f>IFERROR(VLOOKUP(Tabla58[[#This Row],[Cod trabalhador]],'Outros descontos'!B:M,9,FALSE),"")</f>
        <v/>
      </c>
      <c r="AJ126" s="46" t="str">
        <f>IFERROR(VLOOKUP(Tabla58[[#This Row],[Cod trabalhador]],'Outros descontos'!B:M,10,FALSE),"")</f>
        <v/>
      </c>
      <c r="AK126" s="46" t="str">
        <f>IFERROR(VLOOKUP(Tabla58[[#This Row],[Cod trabalhador]],'Outros descontos'!B:M,11,FALSE),"")</f>
        <v/>
      </c>
      <c r="AL126" s="46" t="str">
        <f>IFERROR(VLOOKUP(Tabla58[[#This Row],[Cod trabalhador]],'Outros descontos'!B:R,12,FALSE),"")</f>
        <v/>
      </c>
      <c r="AM126" s="46" t="str">
        <f>IFERROR(VLOOKUP(Tabla58[[#This Row],[Cod trabalhador]],'Outros descontos'!B:M,13,FALSE),"")</f>
        <v/>
      </c>
      <c r="AN126" s="41"/>
      <c r="AO126" s="37">
        <v>4.08</v>
      </c>
      <c r="AP126" s="15"/>
      <c r="AQ126"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2137.1220000000003</v>
      </c>
      <c r="AR126"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2137.1220000000003</v>
      </c>
      <c r="AS126" s="15"/>
      <c r="AT126" s="27" t="str">
        <f>IF(Tabla58[[#This Row],[Cod trabalhador]]="", "", INDEX(Iban!C:C, MATCH(Tabla58[[#This Row],[Cod trabalhador]],Iban!A:A, 0)))</f>
        <v>ES50 0049 5082 7123 1618 2021</v>
      </c>
      <c r="AU126" s="27"/>
      <c r="AV126" s="97"/>
      <c r="AW126" s="66" t="s">
        <v>7540</v>
      </c>
      <c r="AX126" s="296" t="s">
        <v>7472</v>
      </c>
    </row>
    <row r="127" spans="1:50" ht="16.5" hidden="1" customHeight="1" x14ac:dyDescent="0.3">
      <c r="B127" s="100" t="s">
        <v>3330</v>
      </c>
      <c r="C127" s="45" t="str">
        <f>IF(ISNUMBER(MATCH(Tabla58[[#This Row],[Cod trabalhador]],'Altas Wiseowe'!B:B, 0)), "Ativo", "Não ativo")</f>
        <v>Não ativo</v>
      </c>
      <c r="D127" s="44" t="str">
        <f>IFERROR(IF(VLOOKUP(Tabla58[[#This Row],[Cod trabalhador]],'Altas Industrial'!B:E,1,0)&lt;&gt;"","KI",""),"")</f>
        <v/>
      </c>
      <c r="E127" s="44" t="str">
        <f>IFERROR(IF(VLOOKUP(Tabla58[[#This Row],[Cod trabalhador]],'Altas Rosas'!B:F,1,0)&lt;&gt;"","KR",""),"")</f>
        <v/>
      </c>
      <c r="F127" s="44" t="str">
        <f>IFERROR(IF(VLOOKUP(Tabla58[[#This Row],[Cod trabalhador]],'Altas Wiseowe'!B:E,1,0)&lt;&gt;"","WS",""),"")</f>
        <v/>
      </c>
      <c r="G127" s="101" t="str">
        <f>IFERROR(IF(VLOOKUP(Tabla58[[#This Row],[Cod trabalhador]],'Altas Luminous'!B:E,1,0)&lt;&gt;"","LM",""),"")</f>
        <v/>
      </c>
      <c r="H127" s="51" t="str">
        <f>IFERROR(VLOOKUP(Tabla58[[#This Row],[Cod trabalhador]],'Altas Wiseowe'!B:E,3,FALSE),"")</f>
        <v/>
      </c>
      <c r="I127" s="51" t="str">
        <f>IF(OR(Tabla58[[#This Row],[Cod trabalhador]]="",ISBLANK(Tabla58[[#This Row],[Cod trabalhador]])),"",IFERROR(IF(VLOOKUP(Tabla58[[#This Row],[Cod trabalhador]],'Altas Wiseowe'!B:E,4,FALSE)=0,"",VLOOKUP(Tabla58[[#This Row],[Cod trabalhador]],'Altas Wiseowe'!B:E,4,FALSE)),""))</f>
        <v/>
      </c>
      <c r="J127" s="44">
        <f t="shared" si="4"/>
        <v>0</v>
      </c>
      <c r="K127" s="376" t="s">
        <v>3331</v>
      </c>
      <c r="L127" s="342" t="str">
        <f>IFERROR(IF(Tabla58[[#This Row],[Cod trabalhador]]="",Tabla58[[#This Row],[Cod trabalhador]], INDEX(Colaborador_ID[Nombre], MATCH(Tabla58[[#This Row],[Cod trabalhador]],Colaborador_ID[Cod_colab], 0))), "")</f>
        <v>JHOJAN ESNEIDER NIÑO PARRA</v>
      </c>
      <c r="N127" s="406" t="s">
        <v>7329</v>
      </c>
      <c r="O127" s="26">
        <f>IFERROR(VLOOKUP(Tabla58[[#This Row],[Cod trabalhador]],Tabla15[],4,FALSE),"")</f>
        <v>15</v>
      </c>
      <c r="P127" s="92">
        <f>IFERROR(VLOOKUP(Tabla58[[#This Row],[Cod trabalhador]],'TotalHorasAjustadas (2)'!D:L,8,FALSE),"")</f>
        <v>104</v>
      </c>
      <c r="Q127" s="27">
        <v>104</v>
      </c>
      <c r="R127" s="28" t="s">
        <v>7471</v>
      </c>
      <c r="S127" s="28" t="s">
        <v>7539</v>
      </c>
      <c r="U127" s="25"/>
      <c r="V127" s="220"/>
      <c r="W127" s="27"/>
      <c r="X127" s="28"/>
      <c r="Y127" s="28"/>
      <c r="AA127" s="392" t="str">
        <f>IFERROR(VLOOKUP(Tabla58[[#This Row],[Cod trabalhador]],Alojamentos!B:P,11,FALSE),"")</f>
        <v/>
      </c>
      <c r="AB127" s="127"/>
      <c r="AC127" s="15"/>
      <c r="AD127" s="35">
        <f>Tabla58[[#This Row],[Dias de alta]]*7.058</f>
        <v>0</v>
      </c>
      <c r="AE127" s="46" t="str">
        <f>IFERROR(VLOOKUP(Tabla58[[#This Row],[Cod trabalhador]],Adiantamentos!B:L,7,FALSE),"")</f>
        <v/>
      </c>
      <c r="AF127" s="46" t="str">
        <f>IFERROR(VLOOKUP(Tabla58[[#This Row],[Cod trabalhador]],Carro!B:D,3,FALSE),"")</f>
        <v/>
      </c>
      <c r="AG127" s="46">
        <f>IFERROR(VLOOKUP(Tabla58[[#This Row],[Cod trabalhador]],'Outros descontos'!B:O,7,FALSE),"")</f>
        <v>0</v>
      </c>
      <c r="AH127" s="46">
        <f>IFERROR(VLOOKUP(Tabla58[[#This Row],[Cod trabalhador]],'Outros descontos'!B:M,8,FALSE),"")</f>
        <v>0</v>
      </c>
      <c r="AI127" s="46">
        <f>IFERROR(VLOOKUP(Tabla58[[#This Row],[Cod trabalhador]],'Outros descontos'!B:M,9,FALSE),"")</f>
        <v>0</v>
      </c>
      <c r="AJ127" s="46">
        <f>IFERROR(VLOOKUP(Tabla58[[#This Row],[Cod trabalhador]],'Outros descontos'!B:M,10,FALSE),"")</f>
        <v>0</v>
      </c>
      <c r="AK127" s="46">
        <f>IFERROR(VLOOKUP(Tabla58[[#This Row],[Cod trabalhador]],'Outros descontos'!B:M,11,FALSE),"")</f>
        <v>0</v>
      </c>
      <c r="AL127" s="46">
        <f>IFERROR(VLOOKUP(Tabla58[[#This Row],[Cod trabalhador]],'Outros descontos'!B:R,12,FALSE),"")</f>
        <v>21.74</v>
      </c>
      <c r="AM127" s="46" t="str">
        <f>IFERROR(VLOOKUP(Tabla58[[#This Row],[Cod trabalhador]],'Outros descontos'!B:M,13,FALSE),"")</f>
        <v/>
      </c>
      <c r="AN127" s="41"/>
      <c r="AO127" s="37">
        <v>4.08</v>
      </c>
      <c r="AP127" s="15"/>
      <c r="AQ127"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1534.18</v>
      </c>
      <c r="AR127"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1534.18</v>
      </c>
      <c r="AS127" s="15"/>
      <c r="AT127" s="27" t="str">
        <f>IF(Tabla58[[#This Row],[Cod trabalhador]]="", "", INDEX(Iban!C:C, MATCH(Tabla58[[#This Row],[Cod trabalhador]],Iban!A:A, 0)))</f>
        <v>ES43 0182 4532 5402 0177 4894</v>
      </c>
      <c r="AU127" s="97"/>
      <c r="AV127" s="27"/>
      <c r="AW127" s="66" t="s">
        <v>7540</v>
      </c>
      <c r="AX127" s="296" t="s">
        <v>7472</v>
      </c>
    </row>
    <row r="128" spans="1:50" ht="16.5" hidden="1" customHeight="1" x14ac:dyDescent="0.3">
      <c r="B128" s="39" t="s">
        <v>4126</v>
      </c>
      <c r="C128" s="45" t="str">
        <f>IF(ISNUMBER(MATCH(Tabla58[[#This Row],[Cod trabalhador]],'Altas Wiseowe'!B:B, 0)), "Ativo", "Não ativo")</f>
        <v>Não ativo</v>
      </c>
      <c r="D128" s="44" t="str">
        <f>IFERROR(IF(VLOOKUP(Tabla58[[#This Row],[Cod trabalhador]],'Altas Industrial'!B:E,1,0)&lt;&gt;"","KI",""),"")</f>
        <v/>
      </c>
      <c r="E128" s="44" t="str">
        <f>IFERROR(IF(VLOOKUP(Tabla58[[#This Row],[Cod trabalhador]],'Altas Rosas'!B:F,1,0)&lt;&gt;"","KR",""),"")</f>
        <v/>
      </c>
      <c r="F128" s="44" t="str">
        <f>IFERROR(IF(VLOOKUP(Tabla58[[#This Row],[Cod trabalhador]],'Altas Wiseowe'!B:E,1,0)&lt;&gt;"","WS",""),"")</f>
        <v/>
      </c>
      <c r="G128" s="101" t="str">
        <f>IFERROR(IF(VLOOKUP(Tabla58[[#This Row],[Cod trabalhador]],'Altas Luminous'!B:E,1,0)&lt;&gt;"","LM",""),"")</f>
        <v/>
      </c>
      <c r="H128" s="51" t="str">
        <f>IFERROR(VLOOKUP(Tabla58[[#This Row],[Cod trabalhador]],'Altas Wiseowe'!B:E,3,FALSE),"")</f>
        <v/>
      </c>
      <c r="I128" s="51" t="str">
        <f>IF(OR(Tabla58[[#This Row],[Cod trabalhador]]="",ISBLANK(Tabla58[[#This Row],[Cod trabalhador]])),"",IFERROR(IF(VLOOKUP(Tabla58[[#This Row],[Cod trabalhador]],'Altas Wiseowe'!B:E,4,FALSE)=0,"",VLOOKUP(Tabla58[[#This Row],[Cod trabalhador]],'Altas Wiseowe'!B:E,4,FALSE)),""))</f>
        <v/>
      </c>
      <c r="J128" s="44">
        <f t="shared" si="4"/>
        <v>0</v>
      </c>
      <c r="K128" s="376" t="s">
        <v>7331</v>
      </c>
      <c r="L128" s="342" t="str">
        <f>IFERROR(IF(Tabla58[[#This Row],[Cod trabalhador]]="",Tabla58[[#This Row],[Cod trabalhador]], INDEX(Colaborador_ID[Nombre], MATCH(Tabla58[[#This Row],[Cod trabalhador]],Colaborador_ID[Cod_colab], 0))), "")</f>
        <v>JOSE MIGUEL ZACARIAS CHIRINOS</v>
      </c>
      <c r="N128" s="406" t="s">
        <v>7330</v>
      </c>
      <c r="O128" s="26">
        <f>IFERROR(VLOOKUP(Tabla58[[#This Row],[Cod trabalhador]],Tabla15[],4,FALSE),"")</f>
        <v>15</v>
      </c>
      <c r="P128" s="92">
        <f>IFERROR(VLOOKUP(Tabla58[[#This Row],[Cod trabalhador]],'TotalHorasAjustadas (2)'!D:L,8,FALSE),"")</f>
        <v>198</v>
      </c>
      <c r="Q128" s="27">
        <v>198</v>
      </c>
      <c r="R128" s="28" t="s">
        <v>7471</v>
      </c>
      <c r="S128" s="28" t="s">
        <v>7539</v>
      </c>
      <c r="U128" s="25"/>
      <c r="V128" s="220"/>
      <c r="W128" s="27"/>
      <c r="X128" s="28"/>
      <c r="Y128" s="28"/>
      <c r="Z128" s="149"/>
      <c r="AA128" s="392" t="str">
        <f>IFERROR(VLOOKUP(Tabla58[[#This Row],[Cod trabalhador]],Alojamentos!B:P,11,FALSE),"")</f>
        <v/>
      </c>
      <c r="AB128" s="127"/>
      <c r="AC128" s="150"/>
      <c r="AD128" s="35">
        <f>Tabla58[[#This Row],[Dias de alta]]*7.058</f>
        <v>0</v>
      </c>
      <c r="AE128" s="46" t="str">
        <f>IFERROR(VLOOKUP(Tabla58[[#This Row],[Cod trabalhador]],Adiantamentos!B:L,7,FALSE),"")</f>
        <v/>
      </c>
      <c r="AF128" s="46" t="str">
        <f>IFERROR(VLOOKUP(Tabla58[[#This Row],[Cod trabalhador]],Carro!B:D,3,FALSE),"")</f>
        <v/>
      </c>
      <c r="AG128" s="46" t="str">
        <f>IFERROR(VLOOKUP(Tabla58[[#This Row],[Cod trabalhador]],'Outros descontos'!B:O,7,FALSE),"")</f>
        <v/>
      </c>
      <c r="AH128" s="46" t="str">
        <f>IFERROR(VLOOKUP(Tabla58[[#This Row],[Cod trabalhador]],'Outros descontos'!B:M,8,FALSE),"")</f>
        <v/>
      </c>
      <c r="AI128" s="46" t="str">
        <f>IFERROR(VLOOKUP(Tabla58[[#This Row],[Cod trabalhador]],'Outros descontos'!B:M,9,FALSE),"")</f>
        <v/>
      </c>
      <c r="AJ128" s="46" t="str">
        <f>IFERROR(VLOOKUP(Tabla58[[#This Row],[Cod trabalhador]],'Outros descontos'!B:M,10,FALSE),"")</f>
        <v/>
      </c>
      <c r="AK128" s="46" t="str">
        <f>IFERROR(VLOOKUP(Tabla58[[#This Row],[Cod trabalhador]],'Outros descontos'!B:M,11,FALSE),"")</f>
        <v/>
      </c>
      <c r="AL128" s="46" t="str">
        <f>IFERROR(VLOOKUP(Tabla58[[#This Row],[Cod trabalhador]],'Outros descontos'!B:R,12,FALSE),"")</f>
        <v/>
      </c>
      <c r="AM128" s="46" t="str">
        <f>IFERROR(VLOOKUP(Tabla58[[#This Row],[Cod trabalhador]],'Outros descontos'!B:M,13,FALSE),"")</f>
        <v/>
      </c>
      <c r="AN128" s="41"/>
      <c r="AO128" s="37">
        <v>4.08</v>
      </c>
      <c r="AP128" s="15"/>
      <c r="AQ128"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2965.92</v>
      </c>
      <c r="AR128"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2965.92</v>
      </c>
      <c r="AS128" s="15"/>
      <c r="AT128" s="27" t="str">
        <f>IF(Tabla58[[#This Row],[Cod trabalhador]]="", "", INDEX(Iban!C:C, MATCH(Tabla58[[#This Row],[Cod trabalhador]],Iban!A:A, 0)))</f>
        <v>ES62 2100 0802 4707 0003 2345</v>
      </c>
      <c r="AU128" s="27"/>
      <c r="AV128" s="97"/>
      <c r="AW128" s="66" t="s">
        <v>7540</v>
      </c>
      <c r="AX128" s="296" t="s">
        <v>7472</v>
      </c>
    </row>
    <row r="129" spans="1:50" ht="16.5" hidden="1" customHeight="1" x14ac:dyDescent="0.3">
      <c r="B129" s="39" t="s">
        <v>6442</v>
      </c>
      <c r="C129" s="45" t="str">
        <f>IF(ISNUMBER(MATCH(Tabla58[[#This Row],[Cod trabalhador]],'Altas Wiseowe'!B:B, 0)), "Ativo", "Não ativo")</f>
        <v>Não ativo</v>
      </c>
      <c r="D129" s="44" t="str">
        <f>IFERROR(IF(VLOOKUP(Tabla58[[#This Row],[Cod trabalhador]],'Altas Industrial'!B:E,1,0)&lt;&gt;"","KI",""),"")</f>
        <v/>
      </c>
      <c r="E129" s="44" t="str">
        <f>IFERROR(IF(VLOOKUP(Tabla58[[#This Row],[Cod trabalhador]],'Altas Rosas'!B:F,1,0)&lt;&gt;"","KR",""),"")</f>
        <v/>
      </c>
      <c r="F129" s="44" t="str">
        <f>IFERROR(IF(VLOOKUP(Tabla58[[#This Row],[Cod trabalhador]],'Altas Wiseowe'!B:E,1,0)&lt;&gt;"","WS",""),"")</f>
        <v/>
      </c>
      <c r="G129" s="101" t="str">
        <f>IFERROR(IF(VLOOKUP(Tabla58[[#This Row],[Cod trabalhador]],'Altas Luminous'!B:E,1,0)&lt;&gt;"","LM",""),"")</f>
        <v/>
      </c>
      <c r="H129" s="51" t="str">
        <f>IFERROR(VLOOKUP(Tabla58[[#This Row],[Cod trabalhador]],'Altas Wiseowe'!B:E,3,FALSE),"")</f>
        <v/>
      </c>
      <c r="I129" s="51" t="str">
        <f>IF(OR(Tabla58[[#This Row],[Cod trabalhador]]="",ISBLANK(Tabla58[[#This Row],[Cod trabalhador]])),"",IFERROR(IF(VLOOKUP(Tabla58[[#This Row],[Cod trabalhador]],'Altas Wiseowe'!B:E,4,FALSE)=0,"",VLOOKUP(Tabla58[[#This Row],[Cod trabalhador]],'Altas Wiseowe'!B:E,4,FALSE)),""))</f>
        <v/>
      </c>
      <c r="J129" s="44">
        <f t="shared" si="4"/>
        <v>0</v>
      </c>
      <c r="K129" s="376" t="s">
        <v>6443</v>
      </c>
      <c r="L129" s="342" t="str">
        <f>IFERROR(IF(Tabla58[[#This Row],[Cod trabalhador]]="",Tabla58[[#This Row],[Cod trabalhador]], INDEX(Colaborador_ID[Nombre], MATCH(Tabla58[[#This Row],[Cod trabalhador]],Colaborador_ID[Cod_colab], 0))), "")</f>
        <v>VICTOR ALFONSO LUQUE CONDORI</v>
      </c>
      <c r="N129" s="406" t="s">
        <v>7330</v>
      </c>
      <c r="O129" s="26">
        <f>IFERROR(VLOOKUP(Tabla58[[#This Row],[Cod trabalhador]],Tabla15[],4,FALSE),"")</f>
        <v>15</v>
      </c>
      <c r="P129" s="92">
        <f>IFERROR(VLOOKUP(Tabla58[[#This Row],[Cod trabalhador]],'TotalHorasAjustadas (2)'!D:L,8,FALSE),"")</f>
        <v>198</v>
      </c>
      <c r="Q129" s="27">
        <v>198</v>
      </c>
      <c r="R129" s="28" t="s">
        <v>7471</v>
      </c>
      <c r="S129" s="28" t="s">
        <v>7539</v>
      </c>
      <c r="U129" s="25"/>
      <c r="V129" s="220"/>
      <c r="W129" s="27"/>
      <c r="X129" s="28"/>
      <c r="Y129" s="28"/>
      <c r="Z129" s="149"/>
      <c r="AA129" s="392" t="str">
        <f>IFERROR(VLOOKUP(Tabla58[[#This Row],[Cod trabalhador]],Alojamentos!B:P,11,FALSE),"")</f>
        <v/>
      </c>
      <c r="AB129" s="127"/>
      <c r="AC129" s="150"/>
      <c r="AD129" s="35">
        <f>Tabla58[[#This Row],[Dias de alta]]*7.058</f>
        <v>0</v>
      </c>
      <c r="AE129" s="46">
        <f>IFERROR(VLOOKUP(Tabla58[[#This Row],[Cod trabalhador]],Adiantamentos!B:L,7,FALSE),"")</f>
        <v>200</v>
      </c>
      <c r="AF129" s="46" t="str">
        <f>IFERROR(VLOOKUP(Tabla58[[#This Row],[Cod trabalhador]],Carro!B:D,3,FALSE),"")</f>
        <v/>
      </c>
      <c r="AG129" s="46" t="str">
        <f>IFERROR(VLOOKUP(Tabla58[[#This Row],[Cod trabalhador]],'Outros descontos'!B:O,7,FALSE),"")</f>
        <v/>
      </c>
      <c r="AH129" s="46" t="str">
        <f>IFERROR(VLOOKUP(Tabla58[[#This Row],[Cod trabalhador]],'Outros descontos'!B:M,8,FALSE),"")</f>
        <v/>
      </c>
      <c r="AI129" s="46" t="str">
        <f>IFERROR(VLOOKUP(Tabla58[[#This Row],[Cod trabalhador]],'Outros descontos'!B:M,9,FALSE),"")</f>
        <v/>
      </c>
      <c r="AJ129" s="46" t="str">
        <f>IFERROR(VLOOKUP(Tabla58[[#This Row],[Cod trabalhador]],'Outros descontos'!B:M,10,FALSE),"")</f>
        <v/>
      </c>
      <c r="AK129" s="46" t="str">
        <f>IFERROR(VLOOKUP(Tabla58[[#This Row],[Cod trabalhador]],'Outros descontos'!B:M,11,FALSE),"")</f>
        <v/>
      </c>
      <c r="AL129" s="46" t="str">
        <f>IFERROR(VLOOKUP(Tabla58[[#This Row],[Cod trabalhador]],'Outros descontos'!B:R,12,FALSE),"")</f>
        <v/>
      </c>
      <c r="AM129" s="46" t="str">
        <f>IFERROR(VLOOKUP(Tabla58[[#This Row],[Cod trabalhador]],'Outros descontos'!B:M,13,FALSE),"")</f>
        <v/>
      </c>
      <c r="AN129" s="41"/>
      <c r="AO129" s="37">
        <v>4.08</v>
      </c>
      <c r="AP129" s="15"/>
      <c r="AQ129"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2765.92</v>
      </c>
      <c r="AR129"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2765.92</v>
      </c>
      <c r="AS129" s="15"/>
      <c r="AT129" s="27" t="str">
        <f>IF(Tabla58[[#This Row],[Cod trabalhador]]="", "", INDEX(Iban!C:C, MATCH(Tabla58[[#This Row],[Cod trabalhador]],Iban!A:A, 0)))</f>
        <v>ES82 0182 1758 9102 0178 1875</v>
      </c>
      <c r="AU129" s="27"/>
      <c r="AV129" s="27"/>
      <c r="AW129" s="66" t="s">
        <v>7540</v>
      </c>
      <c r="AX129" s="296" t="s">
        <v>7472</v>
      </c>
    </row>
    <row r="130" spans="1:50" ht="16.5" hidden="1" customHeight="1" x14ac:dyDescent="0.3">
      <c r="B130" s="39" t="s">
        <v>1766</v>
      </c>
      <c r="C130" s="45" t="str">
        <f>IF(ISNUMBER(MATCH(Tabla58[[#This Row],[Cod trabalhador]],'Altas Wiseowe'!B:B, 0)), "Ativo", "Não ativo")</f>
        <v>Não ativo</v>
      </c>
      <c r="D130" s="44" t="str">
        <f>IFERROR(IF(VLOOKUP(Tabla58[[#This Row],[Cod trabalhador]],'Altas Industrial'!B:E,1,0)&lt;&gt;"","KI",""),"")</f>
        <v/>
      </c>
      <c r="E130" s="44" t="str">
        <f>IFERROR(IF(VLOOKUP(Tabla58[[#This Row],[Cod trabalhador]],'Altas Rosas'!B:F,1,0)&lt;&gt;"","KR",""),"")</f>
        <v/>
      </c>
      <c r="F130" s="44" t="str">
        <f>IFERROR(IF(VLOOKUP(Tabla58[[#This Row],[Cod trabalhador]],'Altas Wiseowe'!B:E,1,0)&lt;&gt;"","WS",""),"")</f>
        <v/>
      </c>
      <c r="G130" s="101" t="str">
        <f>IFERROR(IF(VLOOKUP(Tabla58[[#This Row],[Cod trabalhador]],'Altas Luminous'!B:E,1,0)&lt;&gt;"","LM",""),"")</f>
        <v/>
      </c>
      <c r="H130" s="51" t="str">
        <f>IFERROR(VLOOKUP(Tabla58[[#This Row],[Cod trabalhador]],'Altas Wiseowe'!B:E,3,FALSE),"")</f>
        <v/>
      </c>
      <c r="I130" s="51" t="str">
        <f>IF(OR(Tabla58[[#This Row],[Cod trabalhador]]="",ISBLANK(Tabla58[[#This Row],[Cod trabalhador]])),"",IFERROR(IF(VLOOKUP(Tabla58[[#This Row],[Cod trabalhador]],'Altas Wiseowe'!B:E,4,FALSE)=0,"",VLOOKUP(Tabla58[[#This Row],[Cod trabalhador]],'Altas Wiseowe'!B:E,4,FALSE)),""))</f>
        <v/>
      </c>
      <c r="J130" s="44">
        <f t="shared" si="4"/>
        <v>0</v>
      </c>
      <c r="K130" s="376" t="s">
        <v>7333</v>
      </c>
      <c r="L130" s="342" t="str">
        <f>IFERROR(IF(Tabla58[[#This Row],[Cod trabalhador]]="",Tabla58[[#This Row],[Cod trabalhador]], INDEX(Colaborador_ID[Nombre], MATCH(Tabla58[[#This Row],[Cod trabalhador]],Colaborador_ID[Cod_colab], 0))), "")</f>
        <v>ELICEO FUENTES PARRA</v>
      </c>
      <c r="N130" s="406" t="s">
        <v>7332</v>
      </c>
      <c r="O130" s="26">
        <f>IFERROR(VLOOKUP(Tabla58[[#This Row],[Cod trabalhador]],Tabla15[],4,FALSE),"")</f>
        <v>16</v>
      </c>
      <c r="P130" s="92">
        <f>IFERROR(VLOOKUP(Tabla58[[#This Row],[Cod trabalhador]],'TotalHorasAjustadas (2)'!D:L,8,FALSE),"")</f>
        <v>67</v>
      </c>
      <c r="Q130" s="27">
        <v>67</v>
      </c>
      <c r="R130" s="28" t="s">
        <v>7471</v>
      </c>
      <c r="S130" s="28" t="s">
        <v>7539</v>
      </c>
      <c r="U130" s="25"/>
      <c r="V130" s="220"/>
      <c r="W130" s="27"/>
      <c r="X130" s="28"/>
      <c r="Y130" s="28"/>
      <c r="Z130" s="149"/>
      <c r="AA130" s="392" t="str">
        <f>IFERROR(VLOOKUP(Tabla58[[#This Row],[Cod trabalhador]],Alojamentos!B:P,11,FALSE),"")</f>
        <v/>
      </c>
      <c r="AB130" s="127"/>
      <c r="AC130" s="150"/>
      <c r="AD130" s="35">
        <f>Tabla58[[#This Row],[Dias de alta]]*7.058</f>
        <v>0</v>
      </c>
      <c r="AE130" s="46" t="str">
        <f>IFERROR(VLOOKUP(Tabla58[[#This Row],[Cod trabalhador]],Adiantamentos!B:L,7,FALSE),"")</f>
        <v/>
      </c>
      <c r="AF130" s="46" t="str">
        <f>IFERROR(VLOOKUP(Tabla58[[#This Row],[Cod trabalhador]],Carro!B:D,3,FALSE),"")</f>
        <v/>
      </c>
      <c r="AG130" s="46" t="str">
        <f>IFERROR(VLOOKUP(Tabla58[[#This Row],[Cod trabalhador]],'Outros descontos'!B:O,7,FALSE),"")</f>
        <v/>
      </c>
      <c r="AH130" s="46" t="str">
        <f>IFERROR(VLOOKUP(Tabla58[[#This Row],[Cod trabalhador]],'Outros descontos'!B:M,8,FALSE),"")</f>
        <v/>
      </c>
      <c r="AI130" s="46" t="str">
        <f>IFERROR(VLOOKUP(Tabla58[[#This Row],[Cod trabalhador]],'Outros descontos'!B:M,9,FALSE),"")</f>
        <v/>
      </c>
      <c r="AJ130" s="46" t="str">
        <f>IFERROR(VLOOKUP(Tabla58[[#This Row],[Cod trabalhador]],'Outros descontos'!B:M,10,FALSE),"")</f>
        <v/>
      </c>
      <c r="AK130" s="46" t="str">
        <f>IFERROR(VLOOKUP(Tabla58[[#This Row],[Cod trabalhador]],'Outros descontos'!B:M,11,FALSE),"")</f>
        <v/>
      </c>
      <c r="AL130" s="46" t="str">
        <f>IFERROR(VLOOKUP(Tabla58[[#This Row],[Cod trabalhador]],'Outros descontos'!B:R,12,FALSE),"")</f>
        <v/>
      </c>
      <c r="AM130" s="46" t="str">
        <f>IFERROR(VLOOKUP(Tabla58[[#This Row],[Cod trabalhador]],'Outros descontos'!B:M,13,FALSE),"")</f>
        <v/>
      </c>
      <c r="AN130" s="41"/>
      <c r="AO130" s="37">
        <v>4.08</v>
      </c>
      <c r="AP130" s="15"/>
      <c r="AQ130"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1067.92</v>
      </c>
      <c r="AR130"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1067.92</v>
      </c>
      <c r="AS130" s="15"/>
      <c r="AT130" s="27" t="str">
        <f>IF(Tabla58[[#This Row],[Cod trabalhador]]="", "", INDEX(Iban!C:C, MATCH(Tabla58[[#This Row],[Cod trabalhador]],Iban!A:A, 0)))</f>
        <v>ES61 0182 4291 3502 0159 5879</v>
      </c>
      <c r="AU130" s="27"/>
      <c r="AV130" s="27"/>
      <c r="AW130" s="66" t="s">
        <v>7540</v>
      </c>
      <c r="AX130" s="296" t="s">
        <v>7472</v>
      </c>
    </row>
    <row r="131" spans="1:50" ht="16.5" hidden="1" customHeight="1" x14ac:dyDescent="0.3">
      <c r="B131" s="39" t="s">
        <v>3775</v>
      </c>
      <c r="C131" s="45" t="str">
        <f>IF(ISNUMBER(MATCH(Tabla58[[#This Row],[Cod trabalhador]],'Altas Wiseowe'!B:B, 0)), "Ativo", "Não ativo")</f>
        <v>Não ativo</v>
      </c>
      <c r="D131" s="44" t="str">
        <f>IFERROR(IF(VLOOKUP(Tabla58[[#This Row],[Cod trabalhador]],'Altas Industrial'!B:E,1,0)&lt;&gt;"","KI",""),"")</f>
        <v/>
      </c>
      <c r="E131" s="44" t="str">
        <f>IFERROR(IF(VLOOKUP(Tabla58[[#This Row],[Cod trabalhador]],'Altas Rosas'!B:F,1,0)&lt;&gt;"","KR",""),"")</f>
        <v/>
      </c>
      <c r="F131" s="44" t="str">
        <f>IFERROR(IF(VLOOKUP(Tabla58[[#This Row],[Cod trabalhador]],'Altas Wiseowe'!B:E,1,0)&lt;&gt;"","WS",""),"")</f>
        <v/>
      </c>
      <c r="G131" s="101" t="str">
        <f>IFERROR(IF(VLOOKUP(Tabla58[[#This Row],[Cod trabalhador]],'Altas Luminous'!B:E,1,0)&lt;&gt;"","LM",""),"")</f>
        <v/>
      </c>
      <c r="H131" s="51" t="str">
        <f>IFERROR(VLOOKUP(Tabla58[[#This Row],[Cod trabalhador]],'Altas Wiseowe'!B:E,3,FALSE),"")</f>
        <v/>
      </c>
      <c r="I131" s="51" t="str">
        <f>IF(OR(Tabla58[[#This Row],[Cod trabalhador]]="",ISBLANK(Tabla58[[#This Row],[Cod trabalhador]])),"",IFERROR(IF(VLOOKUP(Tabla58[[#This Row],[Cod trabalhador]],'Altas Wiseowe'!B:E,4,FALSE)=0,"",VLOOKUP(Tabla58[[#This Row],[Cod trabalhador]],'Altas Wiseowe'!B:E,4,FALSE)),""))</f>
        <v/>
      </c>
      <c r="J131" s="44">
        <f t="shared" si="4"/>
        <v>0</v>
      </c>
      <c r="K131" s="376" t="s">
        <v>7334</v>
      </c>
      <c r="L131" s="342" t="str">
        <f>IFERROR(IF(Tabla58[[#This Row],[Cod trabalhador]]="",Tabla58[[#This Row],[Cod trabalhador]], INDEX(Colaborador_ID[Nombre], MATCH(Tabla58[[#This Row],[Cod trabalhador]],Colaborador_ID[Cod_colab], 0))), "")</f>
        <v>JORGE ENRIQUE SANABRIA MORENO</v>
      </c>
      <c r="N131" s="406" t="s">
        <v>7332</v>
      </c>
      <c r="O131" s="26">
        <f>IFERROR(VLOOKUP(Tabla58[[#This Row],[Cod trabalhador]],Tabla15[],4,FALSE),"")</f>
        <v>16</v>
      </c>
      <c r="P131" s="92">
        <f>IFERROR(VLOOKUP(Tabla58[[#This Row],[Cod trabalhador]],'TotalHorasAjustadas (2)'!D:L,8,FALSE),"")</f>
        <v>67</v>
      </c>
      <c r="Q131" s="27">
        <v>67</v>
      </c>
      <c r="R131" s="28" t="s">
        <v>7471</v>
      </c>
      <c r="S131" s="28" t="s">
        <v>7539</v>
      </c>
      <c r="U131" s="25"/>
      <c r="V131" s="220"/>
      <c r="W131" s="27"/>
      <c r="X131" s="28"/>
      <c r="Y131" s="28"/>
      <c r="Z131" s="149"/>
      <c r="AA131" s="392" t="str">
        <f>IFERROR(VLOOKUP(Tabla58[[#This Row],[Cod trabalhador]],Alojamentos!B:P,11,FALSE),"")</f>
        <v/>
      </c>
      <c r="AB131" s="127"/>
      <c r="AC131" s="150"/>
      <c r="AD131" s="35">
        <f>Tabla58[[#This Row],[Dias de alta]]*7.058</f>
        <v>0</v>
      </c>
      <c r="AE131" s="46" t="str">
        <f>IFERROR(VLOOKUP(Tabla58[[#This Row],[Cod trabalhador]],Adiantamentos!B:L,7,FALSE),"")</f>
        <v/>
      </c>
      <c r="AF131" s="46" t="str">
        <f>IFERROR(VLOOKUP(Tabla58[[#This Row],[Cod trabalhador]],Carro!B:D,3,FALSE),"")</f>
        <v/>
      </c>
      <c r="AG131" s="46" t="str">
        <f>IFERROR(VLOOKUP(Tabla58[[#This Row],[Cod trabalhador]],'Outros descontos'!B:O,7,FALSE),"")</f>
        <v/>
      </c>
      <c r="AH131" s="46" t="str">
        <f>IFERROR(VLOOKUP(Tabla58[[#This Row],[Cod trabalhador]],'Outros descontos'!B:M,8,FALSE),"")</f>
        <v/>
      </c>
      <c r="AI131" s="46" t="str">
        <f>IFERROR(VLOOKUP(Tabla58[[#This Row],[Cod trabalhador]],'Outros descontos'!B:M,9,FALSE),"")</f>
        <v/>
      </c>
      <c r="AJ131" s="46" t="str">
        <f>IFERROR(VLOOKUP(Tabla58[[#This Row],[Cod trabalhador]],'Outros descontos'!B:M,10,FALSE),"")</f>
        <v/>
      </c>
      <c r="AK131" s="46" t="str">
        <f>IFERROR(VLOOKUP(Tabla58[[#This Row],[Cod trabalhador]],'Outros descontos'!B:M,11,FALSE),"")</f>
        <v/>
      </c>
      <c r="AL131" s="46" t="str">
        <f>IFERROR(VLOOKUP(Tabla58[[#This Row],[Cod trabalhador]],'Outros descontos'!B:R,12,FALSE),"")</f>
        <v/>
      </c>
      <c r="AM131" s="46" t="str">
        <f>IFERROR(VLOOKUP(Tabla58[[#This Row],[Cod trabalhador]],'Outros descontos'!B:M,13,FALSE),"")</f>
        <v/>
      </c>
      <c r="AN131" s="41"/>
      <c r="AO131" s="37">
        <v>4.08</v>
      </c>
      <c r="AP131" s="15"/>
      <c r="AQ131"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1067.92</v>
      </c>
      <c r="AR131"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1067.92</v>
      </c>
      <c r="AS131" s="15"/>
      <c r="AT131" s="27" t="str">
        <f>IF(Tabla58[[#This Row],[Cod trabalhador]]="", "", INDEX(Iban!C:C, MATCH(Tabla58[[#This Row],[Cod trabalhador]],Iban!A:A, 0)))</f>
        <v>ES11 0182 4032 7202 0291 7901</v>
      </c>
      <c r="AU131" s="27"/>
      <c r="AV131" s="27"/>
      <c r="AW131" s="66" t="s">
        <v>7540</v>
      </c>
      <c r="AX131" s="296" t="s">
        <v>7472</v>
      </c>
    </row>
    <row r="132" spans="1:50" ht="16.5" hidden="1" customHeight="1" x14ac:dyDescent="0.3">
      <c r="B132" s="39" t="s">
        <v>5532</v>
      </c>
      <c r="C132" s="45" t="str">
        <f>IF(ISNUMBER(MATCH(Tabla58[[#This Row],[Cod trabalhador]],'Altas Wiseowe'!B:B, 0)), "Ativo", "Não ativo")</f>
        <v>Não ativo</v>
      </c>
      <c r="D132" s="44" t="str">
        <f>IFERROR(IF(VLOOKUP(Tabla58[[#This Row],[Cod trabalhador]],'Altas Industrial'!B:E,1,0)&lt;&gt;"","KI",""),"")</f>
        <v/>
      </c>
      <c r="E132" s="44" t="str">
        <f>IFERROR(IF(VLOOKUP(Tabla58[[#This Row],[Cod trabalhador]],'Altas Rosas'!B:F,1,0)&lt;&gt;"","KR",""),"")</f>
        <v/>
      </c>
      <c r="F132" s="44" t="str">
        <f>IFERROR(IF(VLOOKUP(Tabla58[[#This Row],[Cod trabalhador]],'Altas Wiseowe'!B:E,1,0)&lt;&gt;"","WS",""),"")</f>
        <v/>
      </c>
      <c r="G132" s="101" t="str">
        <f>IFERROR(IF(VLOOKUP(Tabla58[[#This Row],[Cod trabalhador]],'Altas Luminous'!B:E,1,0)&lt;&gt;"","LM",""),"")</f>
        <v/>
      </c>
      <c r="H132" s="51" t="str">
        <f>IFERROR(VLOOKUP(Tabla58[[#This Row],[Cod trabalhador]],'Altas Wiseowe'!B:E,3,FALSE),"")</f>
        <v/>
      </c>
      <c r="I132" s="51" t="str">
        <f>IF(OR(Tabla58[[#This Row],[Cod trabalhador]]="",ISBLANK(Tabla58[[#This Row],[Cod trabalhador]])),"",IFERROR(IF(VLOOKUP(Tabla58[[#This Row],[Cod trabalhador]],'Altas Wiseowe'!B:E,4,FALSE)=0,"",VLOOKUP(Tabla58[[#This Row],[Cod trabalhador]],'Altas Wiseowe'!B:E,4,FALSE)),""))</f>
        <v/>
      </c>
      <c r="J132" s="44">
        <f t="shared" si="4"/>
        <v>0</v>
      </c>
      <c r="K132" s="376" t="s">
        <v>7335</v>
      </c>
      <c r="L132" s="342" t="str">
        <f>IFERROR(IF(Tabla58[[#This Row],[Cod trabalhador]]="",Tabla58[[#This Row],[Cod trabalhador]], INDEX(Colaborador_ID[Nombre], MATCH(Tabla58[[#This Row],[Cod trabalhador]],Colaborador_ID[Cod_colab], 0))), "")</f>
        <v>NORVEY GONZALEZ LOPEZ</v>
      </c>
      <c r="N132" s="406" t="s">
        <v>7332</v>
      </c>
      <c r="O132" s="26">
        <f>IFERROR(VLOOKUP(Tabla58[[#This Row],[Cod trabalhador]],Tabla15[],4,FALSE),"")</f>
        <v>16</v>
      </c>
      <c r="P132" s="92">
        <f>IFERROR(VLOOKUP(Tabla58[[#This Row],[Cod trabalhador]],'TotalHorasAjustadas (2)'!D:L,8,FALSE),"")</f>
        <v>67</v>
      </c>
      <c r="Q132" s="27">
        <v>67</v>
      </c>
      <c r="R132" s="28" t="s">
        <v>7471</v>
      </c>
      <c r="S132" s="28" t="s">
        <v>7539</v>
      </c>
      <c r="U132" s="25"/>
      <c r="V132" s="220"/>
      <c r="W132" s="27"/>
      <c r="X132" s="28"/>
      <c r="Y132" s="28"/>
      <c r="Z132" s="149"/>
      <c r="AA132" s="392" t="str">
        <f>IFERROR(VLOOKUP(Tabla58[[#This Row],[Cod trabalhador]],Alojamentos!B:P,11,FALSE),"")</f>
        <v/>
      </c>
      <c r="AB132" s="127"/>
      <c r="AC132" s="150"/>
      <c r="AD132" s="35">
        <f>Tabla58[[#This Row],[Dias de alta]]*7.058</f>
        <v>0</v>
      </c>
      <c r="AE132" s="46" t="str">
        <f>IFERROR(VLOOKUP(Tabla58[[#This Row],[Cod trabalhador]],Adiantamentos!B:L,7,FALSE),"")</f>
        <v/>
      </c>
      <c r="AF132" s="46" t="str">
        <f>IFERROR(VLOOKUP(Tabla58[[#This Row],[Cod trabalhador]],Carro!B:D,3,FALSE),"")</f>
        <v/>
      </c>
      <c r="AG132" s="46" t="str">
        <f>IFERROR(VLOOKUP(Tabla58[[#This Row],[Cod trabalhador]],'Outros descontos'!B:O,7,FALSE),"")</f>
        <v/>
      </c>
      <c r="AH132" s="46" t="str">
        <f>IFERROR(VLOOKUP(Tabla58[[#This Row],[Cod trabalhador]],'Outros descontos'!B:M,8,FALSE),"")</f>
        <v/>
      </c>
      <c r="AI132" s="46" t="str">
        <f>IFERROR(VLOOKUP(Tabla58[[#This Row],[Cod trabalhador]],'Outros descontos'!B:M,9,FALSE),"")</f>
        <v/>
      </c>
      <c r="AJ132" s="46" t="str">
        <f>IFERROR(VLOOKUP(Tabla58[[#This Row],[Cod trabalhador]],'Outros descontos'!B:M,10,FALSE),"")</f>
        <v/>
      </c>
      <c r="AK132" s="46" t="str">
        <f>IFERROR(VLOOKUP(Tabla58[[#This Row],[Cod trabalhador]],'Outros descontos'!B:M,11,FALSE),"")</f>
        <v/>
      </c>
      <c r="AL132" s="46" t="str">
        <f>IFERROR(VLOOKUP(Tabla58[[#This Row],[Cod trabalhador]],'Outros descontos'!B:R,12,FALSE),"")</f>
        <v/>
      </c>
      <c r="AM132" s="46" t="str">
        <f>IFERROR(VLOOKUP(Tabla58[[#This Row],[Cod trabalhador]],'Outros descontos'!B:M,13,FALSE),"")</f>
        <v/>
      </c>
      <c r="AN132" s="41"/>
      <c r="AO132" s="37">
        <v>4.08</v>
      </c>
      <c r="AP132" s="15"/>
      <c r="AQ132"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1067.92</v>
      </c>
      <c r="AR132"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1067.92</v>
      </c>
      <c r="AS132" s="15"/>
      <c r="AT132" s="27" t="str">
        <f>IF(Tabla58[[#This Row],[Cod trabalhador]]="", "", INDEX(Iban!C:C, MATCH(Tabla58[[#This Row],[Cod trabalhador]],Iban!A:A, 0)))</f>
        <v>ES82 0182 1216 2302 0160 5600</v>
      </c>
      <c r="AU132" s="27"/>
      <c r="AV132" s="97"/>
      <c r="AW132" s="66" t="s">
        <v>7540</v>
      </c>
      <c r="AX132" s="296" t="s">
        <v>7472</v>
      </c>
    </row>
    <row r="133" spans="1:50" ht="16.5" hidden="1" customHeight="1" x14ac:dyDescent="0.3">
      <c r="B133" s="39" t="s">
        <v>5933</v>
      </c>
      <c r="C133" s="45" t="str">
        <f>IF(ISNUMBER(MATCH(Tabla58[[#This Row],[Cod trabalhador]],'Altas Wiseowe'!B:B, 0)), "Ativo", "Não ativo")</f>
        <v>Ativo</v>
      </c>
      <c r="D133" s="44" t="str">
        <f>IFERROR(IF(VLOOKUP(Tabla58[[#This Row],[Cod trabalhador]],'Altas Industrial'!B:E,1,0)&lt;&gt;"","KI",""),"")</f>
        <v/>
      </c>
      <c r="E133" s="44" t="str">
        <f>IFERROR(IF(VLOOKUP(Tabla58[[#This Row],[Cod trabalhador]],'Altas Rosas'!B:F,1,0)&lt;&gt;"","KR",""),"")</f>
        <v/>
      </c>
      <c r="F133" s="44" t="str">
        <f>IFERROR(IF(VLOOKUP(Tabla58[[#This Row],[Cod trabalhador]],'Altas Wiseowe'!B:E,1,0)&lt;&gt;"","WS",""),"")</f>
        <v>WS</v>
      </c>
      <c r="G133" s="101" t="str">
        <f>IFERROR(IF(VLOOKUP(Tabla58[[#This Row],[Cod trabalhador]],'Altas Luminous'!B:E,1,0)&lt;&gt;"","LM",""),"")</f>
        <v/>
      </c>
      <c r="H133" s="51">
        <f>IFERROR(VLOOKUP(Tabla58[[#This Row],[Cod trabalhador]],'Altas Wiseowe'!B:E,3,FALSE),"")</f>
        <v>45952</v>
      </c>
      <c r="I133" s="51">
        <f>IF(OR(Tabla58[[#This Row],[Cod trabalhador]]="",ISBLANK(Tabla58[[#This Row],[Cod trabalhador]])),"",IFERROR(IF(VLOOKUP(Tabla58[[#This Row],[Cod trabalhador]],'Altas Wiseowe'!B:E,4,FALSE)=0,"",VLOOKUP(Tabla58[[#This Row],[Cod trabalhador]],'Altas Wiseowe'!B:E,4,FALSE)),""))</f>
        <v>46029</v>
      </c>
      <c r="J133" s="44">
        <f t="shared" si="4"/>
        <v>7</v>
      </c>
      <c r="K133" s="376" t="s">
        <v>5934</v>
      </c>
      <c r="L133" s="342" t="str">
        <f>IFERROR(IF(Tabla58[[#This Row],[Cod trabalhador]]="",Tabla58[[#This Row],[Cod trabalhador]], INDEX(Colaborador_ID[Nombre], MATCH(Tabla58[[#This Row],[Cod trabalhador]],Colaborador_ID[Cod_colab], 0))), "")</f>
        <v>REMY SENNDER FARIAS ACARO</v>
      </c>
      <c r="N133" s="406" t="s">
        <v>7332</v>
      </c>
      <c r="O133" s="26">
        <f>IFERROR(VLOOKUP(Tabla58[[#This Row],[Cod trabalhador]],Tabla15[],4,FALSE),"")</f>
        <v>16</v>
      </c>
      <c r="P133" s="92">
        <f>IFERROR(VLOOKUP(Tabla58[[#This Row],[Cod trabalhador]],'TotalHorasAjustadas (2)'!D:L,8,FALSE),"")</f>
        <v>67</v>
      </c>
      <c r="Q133" s="27">
        <v>67</v>
      </c>
      <c r="R133" s="28" t="s">
        <v>7471</v>
      </c>
      <c r="S133" s="28" t="s">
        <v>7539</v>
      </c>
      <c r="U133" s="25"/>
      <c r="V133" s="220"/>
      <c r="W133" s="27"/>
      <c r="X133" s="28"/>
      <c r="Y133" s="28"/>
      <c r="Z133" s="149"/>
      <c r="AA133" s="392" t="str">
        <f>IFERROR(VLOOKUP(Tabla58[[#This Row],[Cod trabalhador]],Alojamentos!B:P,11,FALSE),"")</f>
        <v/>
      </c>
      <c r="AB133" s="127"/>
      <c r="AC133" s="150"/>
      <c r="AD133" s="35">
        <f>Tabla58[[#This Row],[Dias de alta]]*7.058</f>
        <v>49.405999999999999</v>
      </c>
      <c r="AE133" s="46" t="str">
        <f>IFERROR(VLOOKUP(Tabla58[[#This Row],[Cod trabalhador]],Adiantamentos!B:L,7,FALSE),"")</f>
        <v/>
      </c>
      <c r="AF133" s="46" t="str">
        <f>IFERROR(VLOOKUP(Tabla58[[#This Row],[Cod trabalhador]],Carro!B:D,3,FALSE),"")</f>
        <v/>
      </c>
      <c r="AG133" s="46" t="str">
        <f>IFERROR(VLOOKUP(Tabla58[[#This Row],[Cod trabalhador]],'Outros descontos'!B:O,7,FALSE),"")</f>
        <v/>
      </c>
      <c r="AH133" s="46" t="str">
        <f>IFERROR(VLOOKUP(Tabla58[[#This Row],[Cod trabalhador]],'Outros descontos'!B:M,8,FALSE),"")</f>
        <v/>
      </c>
      <c r="AI133" s="46" t="str">
        <f>IFERROR(VLOOKUP(Tabla58[[#This Row],[Cod trabalhador]],'Outros descontos'!B:M,9,FALSE),"")</f>
        <v/>
      </c>
      <c r="AJ133" s="46" t="str">
        <f>IFERROR(VLOOKUP(Tabla58[[#This Row],[Cod trabalhador]],'Outros descontos'!B:M,10,FALSE),"")</f>
        <v/>
      </c>
      <c r="AK133" s="46" t="str">
        <f>IFERROR(VLOOKUP(Tabla58[[#This Row],[Cod trabalhador]],'Outros descontos'!B:M,11,FALSE),"")</f>
        <v/>
      </c>
      <c r="AL133" s="46" t="str">
        <f>IFERROR(VLOOKUP(Tabla58[[#This Row],[Cod trabalhador]],'Outros descontos'!B:R,12,FALSE),"")</f>
        <v/>
      </c>
      <c r="AM133" s="46" t="str">
        <f>IFERROR(VLOOKUP(Tabla58[[#This Row],[Cod trabalhador]],'Outros descontos'!B:M,13,FALSE),"")</f>
        <v/>
      </c>
      <c r="AN133" s="41"/>
      <c r="AO133" s="37">
        <v>4.08</v>
      </c>
      <c r="AP133" s="15"/>
      <c r="AQ133"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1018.514</v>
      </c>
      <c r="AR133"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1018.514</v>
      </c>
      <c r="AS133" s="15"/>
      <c r="AT133" s="27" t="str">
        <f>IF(Tabla58[[#This Row],[Cod trabalhador]]="", "", INDEX(Iban!C:C, MATCH(Tabla58[[#This Row],[Cod trabalhador]],Iban!A:A, 0)))</f>
        <v xml:space="preserve">ES18 6893 0001 7400 0026 9674 </v>
      </c>
      <c r="AU133" s="27"/>
      <c r="AV133" s="97"/>
      <c r="AW133" s="66" t="s">
        <v>7540</v>
      </c>
      <c r="AX133" s="296" t="s">
        <v>7472</v>
      </c>
    </row>
    <row r="134" spans="1:50" ht="16.5" hidden="1" customHeight="1" x14ac:dyDescent="0.3">
      <c r="B134" s="39" t="s">
        <v>2199</v>
      </c>
      <c r="C134" s="45" t="str">
        <f>IF(ISNUMBER(MATCH(Tabla58[[#This Row],[Cod trabalhador]],'Altas Wiseowe'!B:B, 0)), "Ativo", "Não ativo")</f>
        <v>Não ativo</v>
      </c>
      <c r="D134" s="44" t="str">
        <f>IFERROR(IF(VLOOKUP(Tabla58[[#This Row],[Cod trabalhador]],'Altas Industrial'!B:E,1,0)&lt;&gt;"","KI",""),"")</f>
        <v/>
      </c>
      <c r="E134" s="44" t="str">
        <f>IFERROR(IF(VLOOKUP(Tabla58[[#This Row],[Cod trabalhador]],'Altas Rosas'!B:F,1,0)&lt;&gt;"","KR",""),"")</f>
        <v/>
      </c>
      <c r="F134" s="44" t="str">
        <f>IFERROR(IF(VLOOKUP(Tabla58[[#This Row],[Cod trabalhador]],'Altas Wiseowe'!B:E,1,0)&lt;&gt;"","WS",""),"")</f>
        <v/>
      </c>
      <c r="G134" s="101" t="str">
        <f>IFERROR(IF(VLOOKUP(Tabla58[[#This Row],[Cod trabalhador]],'Altas Luminous'!B:E,1,0)&lt;&gt;"","LM",""),"")</f>
        <v/>
      </c>
      <c r="H134" s="51" t="str">
        <f>IFERROR(VLOOKUP(Tabla58[[#This Row],[Cod trabalhador]],'Altas Wiseowe'!B:E,3,FALSE),"")</f>
        <v/>
      </c>
      <c r="I134" s="51" t="str">
        <f>IF(OR(Tabla58[[#This Row],[Cod trabalhador]]="",ISBLANK(Tabla58[[#This Row],[Cod trabalhador]])),"",IFERROR(IF(VLOOKUP(Tabla58[[#This Row],[Cod trabalhador]],'Altas Wiseowe'!B:E,4,FALSE)=0,"",VLOOKUP(Tabla58[[#This Row],[Cod trabalhador]],'Altas Wiseowe'!B:E,4,FALSE)),""))</f>
        <v/>
      </c>
      <c r="J134" s="44">
        <f t="shared" ref="J134:J165" si="5">IF(C134="ativo",    IF(ISBLANK(H134),"",MAX(0,MIN(IF(ISBLANK(I134),EOMONTH(DATE(2026,1,1),0),I134),EOMONTH(DATE(2026,1,1),0)) - MAX(H134,DATE(2026,1,1))))+1,
    0
)</f>
        <v>0</v>
      </c>
      <c r="K134" s="376" t="s">
        <v>2200</v>
      </c>
      <c r="L134" s="342" t="str">
        <f>IFERROR(IF(Tabla58[[#This Row],[Cod trabalhador]]="",Tabla58[[#This Row],[Cod trabalhador]], INDEX(Colaborador_ID[Nombre], MATCH(Tabla58[[#This Row],[Cod trabalhador]],Colaborador_ID[Cod_colab], 0))), "")</f>
        <v>FRANK ESNEIDER PEREZ TABARES</v>
      </c>
      <c r="N134" s="406" t="s">
        <v>7336</v>
      </c>
      <c r="O134" s="26">
        <f>IFERROR(VLOOKUP(Tabla58[[#This Row],[Cod trabalhador]],Tabla15[],4,FALSE),"")</f>
        <v>14</v>
      </c>
      <c r="P134" s="92">
        <f>IFERROR(VLOOKUP(Tabla58[[#This Row],[Cod trabalhador]],'TotalHorasAjustadas (2)'!D:L,8,FALSE),"")</f>
        <v>239.5</v>
      </c>
      <c r="Q134" s="27">
        <v>239.5</v>
      </c>
      <c r="R134" s="28" t="s">
        <v>7471</v>
      </c>
      <c r="S134" s="28" t="s">
        <v>7539</v>
      </c>
      <c r="U134" s="25"/>
      <c r="V134" s="220"/>
      <c r="W134" s="27"/>
      <c r="X134" s="28"/>
      <c r="Y134" s="28"/>
      <c r="Z134" s="149"/>
      <c r="AA134" s="392" t="str">
        <f>IFERROR(VLOOKUP(Tabla58[[#This Row],[Cod trabalhador]],Alojamentos!B:P,11,FALSE),"")</f>
        <v/>
      </c>
      <c r="AB134" s="127"/>
      <c r="AC134" s="150"/>
      <c r="AD134" s="35">
        <f>Tabla58[[#This Row],[Dias de alta]]*7.058</f>
        <v>0</v>
      </c>
      <c r="AE134" s="46" t="str">
        <f>IFERROR(VLOOKUP(Tabla58[[#This Row],[Cod trabalhador]],Adiantamentos!B:L,7,FALSE),"")</f>
        <v/>
      </c>
      <c r="AF134" s="46" t="str">
        <f>IFERROR(VLOOKUP(Tabla58[[#This Row],[Cod trabalhador]],Carro!B:D,3,FALSE),"")</f>
        <v/>
      </c>
      <c r="AG134" s="46">
        <f>IFERROR(VLOOKUP(Tabla58[[#This Row],[Cod trabalhador]],'Outros descontos'!B:O,7,FALSE),"")</f>
        <v>0</v>
      </c>
      <c r="AH134" s="46">
        <f>IFERROR(VLOOKUP(Tabla58[[#This Row],[Cod trabalhador]],'Outros descontos'!B:M,8,FALSE),"")</f>
        <v>0</v>
      </c>
      <c r="AI134" s="46">
        <f>IFERROR(VLOOKUP(Tabla58[[#This Row],[Cod trabalhador]],'Outros descontos'!B:M,9,FALSE),"")</f>
        <v>0</v>
      </c>
      <c r="AJ134" s="46">
        <f>IFERROR(VLOOKUP(Tabla58[[#This Row],[Cod trabalhador]],'Outros descontos'!B:M,10,FALSE),"")</f>
        <v>0</v>
      </c>
      <c r="AK134" s="46">
        <f>IFERROR(VLOOKUP(Tabla58[[#This Row],[Cod trabalhador]],'Outros descontos'!B:M,11,FALSE),"")</f>
        <v>0</v>
      </c>
      <c r="AL134" s="46">
        <f>IFERROR(VLOOKUP(Tabla58[[#This Row],[Cod trabalhador]],'Outros descontos'!B:R,12,FALSE),"")</f>
        <v>21.74</v>
      </c>
      <c r="AM134" s="46" t="str">
        <f>IFERROR(VLOOKUP(Tabla58[[#This Row],[Cod trabalhador]],'Outros descontos'!B:M,13,FALSE),"")</f>
        <v/>
      </c>
      <c r="AN134" s="41"/>
      <c r="AO134" s="37">
        <v>4.08</v>
      </c>
      <c r="AP134" s="15"/>
      <c r="AQ134"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3327.1800000000003</v>
      </c>
      <c r="AR134"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3327.1800000000003</v>
      </c>
      <c r="AS134" s="15"/>
      <c r="AT134" s="27" t="str">
        <f>IF(Tabla58[[#This Row],[Cod trabalhador]]="", "", INDEX(Iban!C:C, MATCH(Tabla58[[#This Row],[Cod trabalhador]],Iban!A:A, 0)))</f>
        <v>ES81 6893 0001 7200 0031 0639</v>
      </c>
      <c r="AU134" s="27"/>
      <c r="AV134" s="97"/>
      <c r="AW134" s="66" t="s">
        <v>7540</v>
      </c>
      <c r="AX134" s="296" t="s">
        <v>7472</v>
      </c>
    </row>
    <row r="135" spans="1:50" ht="16.5" hidden="1" customHeight="1" x14ac:dyDescent="0.3">
      <c r="B135" s="39" t="s">
        <v>3255</v>
      </c>
      <c r="C135" s="45" t="str">
        <f>IF(ISNUMBER(MATCH(Tabla58[[#This Row],[Cod trabalhador]],'Altas Wiseowe'!B:B, 0)), "Ativo", "Não ativo")</f>
        <v>Não ativo</v>
      </c>
      <c r="D135" s="44" t="str">
        <f>IFERROR(IF(VLOOKUP(Tabla58[[#This Row],[Cod trabalhador]],'Altas Industrial'!B:E,1,0)&lt;&gt;"","KI",""),"")</f>
        <v/>
      </c>
      <c r="E135" s="44" t="str">
        <f>IFERROR(IF(VLOOKUP(Tabla58[[#This Row],[Cod trabalhador]],'Altas Rosas'!B:F,1,0)&lt;&gt;"","KR",""),"")</f>
        <v/>
      </c>
      <c r="F135" s="44" t="str">
        <f>IFERROR(IF(VLOOKUP(Tabla58[[#This Row],[Cod trabalhador]],'Altas Wiseowe'!B:E,1,0)&lt;&gt;"","WS",""),"")</f>
        <v/>
      </c>
      <c r="G135" s="101" t="str">
        <f>IFERROR(IF(VLOOKUP(Tabla58[[#This Row],[Cod trabalhador]],'Altas Luminous'!B:E,1,0)&lt;&gt;"","LM",""),"")</f>
        <v/>
      </c>
      <c r="H135" s="51" t="str">
        <f>IFERROR(VLOOKUP(Tabla58[[#This Row],[Cod trabalhador]],'Altas Wiseowe'!B:E,3,FALSE),"")</f>
        <v/>
      </c>
      <c r="I135" s="51" t="str">
        <f>IF(OR(Tabla58[[#This Row],[Cod trabalhador]]="",ISBLANK(Tabla58[[#This Row],[Cod trabalhador]])),"",IFERROR(IF(VLOOKUP(Tabla58[[#This Row],[Cod trabalhador]],'Altas Wiseowe'!B:E,4,FALSE)=0,"",VLOOKUP(Tabla58[[#This Row],[Cod trabalhador]],'Altas Wiseowe'!B:E,4,FALSE)),""))</f>
        <v/>
      </c>
      <c r="J135" s="44">
        <f t="shared" si="5"/>
        <v>0</v>
      </c>
      <c r="K135" s="376" t="s">
        <v>3256</v>
      </c>
      <c r="L135" s="342" t="str">
        <f>IFERROR(IF(Tabla58[[#This Row],[Cod trabalhador]]="",Tabla58[[#This Row],[Cod trabalhador]], INDEX(Colaborador_ID[Nombre], MATCH(Tabla58[[#This Row],[Cod trabalhador]],Colaborador_ID[Cod_colab], 0))), "")</f>
        <v>JESUS ANTONIO PAJARO ARCIRIA</v>
      </c>
      <c r="N135" s="406" t="s">
        <v>7336</v>
      </c>
      <c r="O135" s="26">
        <f>IFERROR(VLOOKUP(Tabla58[[#This Row],[Cod trabalhador]],Tabla15[],4,FALSE),"")</f>
        <v>14</v>
      </c>
      <c r="P135" s="92">
        <f>IFERROR(VLOOKUP(Tabla58[[#This Row],[Cod trabalhador]],'TotalHorasAjustadas (2)'!D:L,8,FALSE),"")</f>
        <v>219</v>
      </c>
      <c r="Q135" s="27">
        <v>219</v>
      </c>
      <c r="R135" s="28" t="s">
        <v>7471</v>
      </c>
      <c r="S135" s="28" t="s">
        <v>7539</v>
      </c>
      <c r="U135" s="25"/>
      <c r="V135" s="220"/>
      <c r="W135" s="27"/>
      <c r="X135" s="28"/>
      <c r="Y135" s="28"/>
      <c r="Z135" s="149"/>
      <c r="AA135" s="392" t="str">
        <f>IFERROR(VLOOKUP(Tabla58[[#This Row],[Cod trabalhador]],Alojamentos!B:P,11,FALSE),"")</f>
        <v/>
      </c>
      <c r="AB135" s="127"/>
      <c r="AC135" s="150"/>
      <c r="AD135" s="35">
        <f>Tabla58[[#This Row],[Dias de alta]]*7.058</f>
        <v>0</v>
      </c>
      <c r="AE135" s="46" t="str">
        <f>IFERROR(VLOOKUP(Tabla58[[#This Row],[Cod trabalhador]],Adiantamentos!B:L,7,FALSE),"")</f>
        <v/>
      </c>
      <c r="AF135" s="46" t="str">
        <f>IFERROR(VLOOKUP(Tabla58[[#This Row],[Cod trabalhador]],Carro!B:D,3,FALSE),"")</f>
        <v/>
      </c>
      <c r="AG135" s="46">
        <f>IFERROR(VLOOKUP(Tabla58[[#This Row],[Cod trabalhador]],'Outros descontos'!B:O,7,FALSE),"")</f>
        <v>0</v>
      </c>
      <c r="AH135" s="46">
        <f>IFERROR(VLOOKUP(Tabla58[[#This Row],[Cod trabalhador]],'Outros descontos'!B:M,8,FALSE),"")</f>
        <v>0</v>
      </c>
      <c r="AI135" s="46">
        <f>IFERROR(VLOOKUP(Tabla58[[#This Row],[Cod trabalhador]],'Outros descontos'!B:M,9,FALSE),"")</f>
        <v>0</v>
      </c>
      <c r="AJ135" s="46">
        <f>IFERROR(VLOOKUP(Tabla58[[#This Row],[Cod trabalhador]],'Outros descontos'!B:M,10,FALSE),"")</f>
        <v>0</v>
      </c>
      <c r="AK135" s="46">
        <f>IFERROR(VLOOKUP(Tabla58[[#This Row],[Cod trabalhador]],'Outros descontos'!B:M,11,FALSE),"")</f>
        <v>0</v>
      </c>
      <c r="AL135" s="46">
        <f>IFERROR(VLOOKUP(Tabla58[[#This Row],[Cod trabalhador]],'Outros descontos'!B:R,12,FALSE),"")</f>
        <v>21.74</v>
      </c>
      <c r="AM135" s="46" t="str">
        <f>IFERROR(VLOOKUP(Tabla58[[#This Row],[Cod trabalhador]],'Outros descontos'!B:M,13,FALSE),"")</f>
        <v/>
      </c>
      <c r="AN135" s="41"/>
      <c r="AO135" s="37">
        <v>4.08</v>
      </c>
      <c r="AP135" s="15"/>
      <c r="AQ135"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3040.1800000000003</v>
      </c>
      <c r="AR135"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3040.1800000000003</v>
      </c>
      <c r="AS135" s="15"/>
      <c r="AT135" s="27" t="str">
        <f>IF(Tabla58[[#This Row],[Cod trabalhador]]="", "", INDEX(Iban!C:C, MATCH(Tabla58[[#This Row],[Cod trabalhador]],Iban!A:A, 0)))</f>
        <v>BE78 9053 0972 8986</v>
      </c>
      <c r="AU135" s="27"/>
      <c r="AV135" s="97"/>
      <c r="AW135" s="66" t="s">
        <v>7540</v>
      </c>
      <c r="AX135" s="296" t="s">
        <v>7472</v>
      </c>
    </row>
    <row r="136" spans="1:50" ht="16.5" hidden="1" customHeight="1" x14ac:dyDescent="0.3">
      <c r="B136" s="39" t="s">
        <v>3954</v>
      </c>
      <c r="C136" s="45" t="str">
        <f>IF(ISNUMBER(MATCH(Tabla58[[#This Row],[Cod trabalhador]],'Altas Wiseowe'!B:B, 0)), "Ativo", "Não ativo")</f>
        <v>Ativo</v>
      </c>
      <c r="D136" s="44" t="str">
        <f>IFERROR(IF(VLOOKUP(Tabla58[[#This Row],[Cod trabalhador]],'Altas Industrial'!B:E,1,0)&lt;&gt;"","KI",""),"")</f>
        <v/>
      </c>
      <c r="E136" s="44" t="str">
        <f>IFERROR(IF(VLOOKUP(Tabla58[[#This Row],[Cod trabalhador]],'Altas Rosas'!B:F,1,0)&lt;&gt;"","KR",""),"")</f>
        <v/>
      </c>
      <c r="F136" s="44" t="str">
        <f>IFERROR(IF(VLOOKUP(Tabla58[[#This Row],[Cod trabalhador]],'Altas Wiseowe'!B:E,1,0)&lt;&gt;"","WS",""),"")</f>
        <v>WS</v>
      </c>
      <c r="G136" s="101" t="str">
        <f>IFERROR(IF(VLOOKUP(Tabla58[[#This Row],[Cod trabalhador]],'Altas Luminous'!B:E,1,0)&lt;&gt;"","LM",""),"")</f>
        <v/>
      </c>
      <c r="H136" s="51">
        <f>IFERROR(VLOOKUP(Tabla58[[#This Row],[Cod trabalhador]],'Altas Wiseowe'!B:E,3,FALSE),"")</f>
        <v>45945</v>
      </c>
      <c r="I136" s="51" t="str">
        <f>IF(OR(Tabla58[[#This Row],[Cod trabalhador]]="",ISBLANK(Tabla58[[#This Row],[Cod trabalhador]])),"",IFERROR(IF(VLOOKUP(Tabla58[[#This Row],[Cod trabalhador]],'Altas Wiseowe'!B:E,4,FALSE)=0,"",VLOOKUP(Tabla58[[#This Row],[Cod trabalhador]],'Altas Wiseowe'!B:E,4,FALSE)),""))</f>
        <v/>
      </c>
      <c r="J136" s="44">
        <f t="shared" si="5"/>
        <v>31</v>
      </c>
      <c r="K136" s="376" t="s">
        <v>7337</v>
      </c>
      <c r="L136" s="342" t="str">
        <f>IFERROR(IF(Tabla58[[#This Row],[Cod trabalhador]]="",Tabla58[[#This Row],[Cod trabalhador]], INDEX(Colaborador_ID[Nombre], MATCH(Tabla58[[#This Row],[Cod trabalhador]],Colaborador_ID[Cod_colab], 0))), "")</f>
        <v>JOSE DAYNER ACOSTA LENIS</v>
      </c>
      <c r="N136" s="405" t="s">
        <v>7336</v>
      </c>
      <c r="O136" s="26">
        <f>IFERROR(VLOOKUP(Tabla58[[#This Row],[Cod trabalhador]],Tabla15[],4,FALSE),"")</f>
        <v>15</v>
      </c>
      <c r="P136" s="92">
        <f>IFERROR(VLOOKUP(Tabla58[[#This Row],[Cod trabalhador]],'TotalHorasAjustadas (2)'!D:L,8,FALSE),"")</f>
        <v>241</v>
      </c>
      <c r="Q136" s="27">
        <v>241</v>
      </c>
      <c r="R136" s="28" t="s">
        <v>7471</v>
      </c>
      <c r="S136" s="28" t="s">
        <v>7539</v>
      </c>
      <c r="U136" s="25"/>
      <c r="V136" s="220"/>
      <c r="W136" s="27"/>
      <c r="X136" s="28"/>
      <c r="Y136" s="28"/>
      <c r="Z136" s="149"/>
      <c r="AA136" s="392">
        <f>IFERROR(VLOOKUP(Tabla58[[#This Row],[Cod trabalhador]],Alojamentos!B:P,11,FALSE),"")</f>
        <v>300</v>
      </c>
      <c r="AB136" s="127"/>
      <c r="AC136" s="150"/>
      <c r="AD136" s="35">
        <f>Tabla58[[#This Row],[Dias de alta]]*7.058</f>
        <v>218.798</v>
      </c>
      <c r="AE136" s="46" t="str">
        <f>IFERROR(VLOOKUP(Tabla58[[#This Row],[Cod trabalhador]],Adiantamentos!B:L,7,FALSE),"")</f>
        <v/>
      </c>
      <c r="AF136" s="46" t="str">
        <f>IFERROR(VLOOKUP(Tabla58[[#This Row],[Cod trabalhador]],Carro!B:D,3,FALSE),"")</f>
        <v/>
      </c>
      <c r="AG136" s="46">
        <f>IFERROR(VLOOKUP(Tabla58[[#This Row],[Cod trabalhador]],'Outros descontos'!B:O,7,FALSE),"")</f>
        <v>0</v>
      </c>
      <c r="AH136" s="46">
        <f>IFERROR(VLOOKUP(Tabla58[[#This Row],[Cod trabalhador]],'Outros descontos'!B:M,8,FALSE),"")</f>
        <v>0</v>
      </c>
      <c r="AI136" s="46">
        <f>IFERROR(VLOOKUP(Tabla58[[#This Row],[Cod trabalhador]],'Outros descontos'!B:M,9,FALSE),"")</f>
        <v>0</v>
      </c>
      <c r="AJ136" s="46">
        <f>IFERROR(VLOOKUP(Tabla58[[#This Row],[Cod trabalhador]],'Outros descontos'!B:M,10,FALSE),"")</f>
        <v>0</v>
      </c>
      <c r="AK136" s="46">
        <f>IFERROR(VLOOKUP(Tabla58[[#This Row],[Cod trabalhador]],'Outros descontos'!B:M,11,FALSE),"")</f>
        <v>0</v>
      </c>
      <c r="AL136" s="46">
        <f>IFERROR(VLOOKUP(Tabla58[[#This Row],[Cod trabalhador]],'Outros descontos'!B:R,12,FALSE),"")</f>
        <v>21.74</v>
      </c>
      <c r="AM136" s="46" t="str">
        <f>IFERROR(VLOOKUP(Tabla58[[#This Row],[Cod trabalhador]],'Outros descontos'!B:M,13,FALSE),"")</f>
        <v/>
      </c>
      <c r="AN136" s="41"/>
      <c r="AO136" s="37">
        <v>4.08</v>
      </c>
      <c r="AP136" s="15"/>
      <c r="AQ136"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3670.3820000000005</v>
      </c>
      <c r="AR136"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3670.3820000000005</v>
      </c>
      <c r="AS136" s="15"/>
      <c r="AT136" s="27" t="str">
        <f>IF(Tabla58[[#This Row],[Cod trabalhador]]="", "", INDEX(Iban!C:C, MATCH(Tabla58[[#This Row],[Cod trabalhador]],Iban!A:A, 0)))</f>
        <v>BE11 9051 5193 5248</v>
      </c>
      <c r="AU136" s="27"/>
      <c r="AV136" s="27"/>
      <c r="AW136" s="66" t="s">
        <v>7540</v>
      </c>
      <c r="AX136" s="296" t="s">
        <v>7472</v>
      </c>
    </row>
    <row r="137" spans="1:50" ht="16.5" hidden="1" customHeight="1" x14ac:dyDescent="0.3">
      <c r="B137" s="39" t="s">
        <v>3999</v>
      </c>
      <c r="C137" s="45" t="str">
        <f>IF(ISNUMBER(MATCH(Tabla58[[#This Row],[Cod trabalhador]],'Altas Wiseowe'!B:B, 0)), "Ativo", "Não ativo")</f>
        <v>Não ativo</v>
      </c>
      <c r="D137" s="44" t="str">
        <f>IFERROR(IF(VLOOKUP(Tabla58[[#This Row],[Cod trabalhador]],'Altas Industrial'!B:E,1,0)&lt;&gt;"","KI",""),"")</f>
        <v/>
      </c>
      <c r="E137" s="44" t="str">
        <f>IFERROR(IF(VLOOKUP(Tabla58[[#This Row],[Cod trabalhador]],'Altas Rosas'!B:F,1,0)&lt;&gt;"","KR",""),"")</f>
        <v/>
      </c>
      <c r="F137" s="44" t="str">
        <f>IFERROR(IF(VLOOKUP(Tabla58[[#This Row],[Cod trabalhador]],'Altas Wiseowe'!B:E,1,0)&lt;&gt;"","WS",""),"")</f>
        <v/>
      </c>
      <c r="G137" s="101" t="str">
        <f>IFERROR(IF(VLOOKUP(Tabla58[[#This Row],[Cod trabalhador]],'Altas Luminous'!B:E,1,0)&lt;&gt;"","LM",""),"")</f>
        <v/>
      </c>
      <c r="H137" s="51" t="str">
        <f>IFERROR(VLOOKUP(Tabla58[[#This Row],[Cod trabalhador]],'Altas Wiseowe'!B:E,3,FALSE),"")</f>
        <v/>
      </c>
      <c r="I137" s="51" t="str">
        <f>IF(OR(Tabla58[[#This Row],[Cod trabalhador]]="",ISBLANK(Tabla58[[#This Row],[Cod trabalhador]])),"",IFERROR(IF(VLOOKUP(Tabla58[[#This Row],[Cod trabalhador]],'Altas Wiseowe'!B:E,4,FALSE)=0,"",VLOOKUP(Tabla58[[#This Row],[Cod trabalhador]],'Altas Wiseowe'!B:E,4,FALSE)),""))</f>
        <v/>
      </c>
      <c r="J137" s="44">
        <f t="shared" si="5"/>
        <v>0</v>
      </c>
      <c r="K137" s="376" t="s">
        <v>4000</v>
      </c>
      <c r="L137" s="342" t="str">
        <f>IFERROR(IF(Tabla58[[#This Row],[Cod trabalhador]]="",Tabla58[[#This Row],[Cod trabalhador]], INDEX(Colaborador_ID[Nombre], MATCH(Tabla58[[#This Row],[Cod trabalhador]],Colaborador_ID[Cod_colab], 0))), "")</f>
        <v>JOSE FERNEY TORRES</v>
      </c>
      <c r="N137" s="405" t="s">
        <v>7336</v>
      </c>
      <c r="O137" s="26">
        <f>IFERROR(VLOOKUP(Tabla58[[#This Row],[Cod trabalhador]],Tabla15[],4,FALSE),"")</f>
        <v>15</v>
      </c>
      <c r="P137" s="92">
        <f>IFERROR(VLOOKUP(Tabla58[[#This Row],[Cod trabalhador]],'TotalHorasAjustadas (2)'!D:L,8,FALSE),"")</f>
        <v>218</v>
      </c>
      <c r="Q137" s="27">
        <v>218</v>
      </c>
      <c r="R137" s="28" t="s">
        <v>7471</v>
      </c>
      <c r="S137" s="28" t="s">
        <v>7539</v>
      </c>
      <c r="U137" s="25"/>
      <c r="V137" s="220"/>
      <c r="W137" s="27"/>
      <c r="X137" s="28"/>
      <c r="Y137" s="28"/>
      <c r="Z137" s="149"/>
      <c r="AA137" s="392" t="str">
        <f>IFERROR(VLOOKUP(Tabla58[[#This Row],[Cod trabalhador]],Alojamentos!B:P,11,FALSE),"")</f>
        <v/>
      </c>
      <c r="AB137" s="127"/>
      <c r="AC137" s="150"/>
      <c r="AD137" s="35">
        <f>Tabla58[[#This Row],[Dias de alta]]*7.058</f>
        <v>0</v>
      </c>
      <c r="AE137" s="46" t="str">
        <f>IFERROR(VLOOKUP(Tabla58[[#This Row],[Cod trabalhador]],Adiantamentos!B:L,7,FALSE),"")</f>
        <v/>
      </c>
      <c r="AF137" s="46" t="str">
        <f>IFERROR(VLOOKUP(Tabla58[[#This Row],[Cod trabalhador]],Carro!B:D,3,FALSE),"")</f>
        <v/>
      </c>
      <c r="AG137" s="46">
        <f>IFERROR(VLOOKUP(Tabla58[[#This Row],[Cod trabalhador]],'Outros descontos'!B:O,7,FALSE),"")</f>
        <v>0</v>
      </c>
      <c r="AH137" s="46">
        <f>IFERROR(VLOOKUP(Tabla58[[#This Row],[Cod trabalhador]],'Outros descontos'!B:M,8,FALSE),"")</f>
        <v>0</v>
      </c>
      <c r="AI137" s="46">
        <f>IFERROR(VLOOKUP(Tabla58[[#This Row],[Cod trabalhador]],'Outros descontos'!B:M,9,FALSE),"")</f>
        <v>0</v>
      </c>
      <c r="AJ137" s="46">
        <f>IFERROR(VLOOKUP(Tabla58[[#This Row],[Cod trabalhador]],'Outros descontos'!B:M,10,FALSE),"")</f>
        <v>0</v>
      </c>
      <c r="AK137" s="46">
        <f>IFERROR(VLOOKUP(Tabla58[[#This Row],[Cod trabalhador]],'Outros descontos'!B:M,11,FALSE),"")</f>
        <v>0</v>
      </c>
      <c r="AL137" s="46">
        <f>IFERROR(VLOOKUP(Tabla58[[#This Row],[Cod trabalhador]],'Outros descontos'!B:R,12,FALSE),"")</f>
        <v>21.74</v>
      </c>
      <c r="AM137" s="46" t="str">
        <f>IFERROR(VLOOKUP(Tabla58[[#This Row],[Cod trabalhador]],'Outros descontos'!B:M,13,FALSE),"")</f>
        <v/>
      </c>
      <c r="AN137" s="41"/>
      <c r="AO137" s="37">
        <v>4.08</v>
      </c>
      <c r="AP137" s="15"/>
      <c r="AQ137"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3244.1800000000003</v>
      </c>
      <c r="AR137"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3244.1800000000003</v>
      </c>
      <c r="AS137" s="15"/>
      <c r="AT137" s="27" t="str">
        <f>IF(Tabla58[[#This Row],[Cod trabalhador]]="", "", INDEX(Iban!C:C, MATCH(Tabla58[[#This Row],[Cod trabalhador]],Iban!A:A, 0)))</f>
        <v xml:space="preserve">ES46 6893 0001 7900 0029 9383 </v>
      </c>
      <c r="AU137" s="27"/>
      <c r="AV137" s="27"/>
      <c r="AW137" s="66" t="s">
        <v>7540</v>
      </c>
      <c r="AX137" s="296" t="s">
        <v>7472</v>
      </c>
    </row>
    <row r="138" spans="1:50" ht="16.5" hidden="1" customHeight="1" x14ac:dyDescent="0.3">
      <c r="B138" s="39" t="s">
        <v>6284</v>
      </c>
      <c r="C138" s="45" t="str">
        <f>IF(ISNUMBER(MATCH(Tabla58[[#This Row],[Cod trabalhador]],'Altas Wiseowe'!B:B, 0)), "Ativo", "Não ativo")</f>
        <v>Não ativo</v>
      </c>
      <c r="D138" s="44" t="str">
        <f>IFERROR(IF(VLOOKUP(Tabla58[[#This Row],[Cod trabalhador]],'Altas Industrial'!B:E,1,0)&lt;&gt;"","KI",""),"")</f>
        <v/>
      </c>
      <c r="E138" s="44" t="str">
        <f>IFERROR(IF(VLOOKUP(Tabla58[[#This Row],[Cod trabalhador]],'Altas Rosas'!B:F,1,0)&lt;&gt;"","KR",""),"")</f>
        <v/>
      </c>
      <c r="F138" s="44" t="str">
        <f>IFERROR(IF(VLOOKUP(Tabla58[[#This Row],[Cod trabalhador]],'Altas Wiseowe'!B:E,1,0)&lt;&gt;"","WS",""),"")</f>
        <v/>
      </c>
      <c r="G138" s="101" t="str">
        <f>IFERROR(IF(VLOOKUP(Tabla58[[#This Row],[Cod trabalhador]],'Altas Luminous'!B:E,1,0)&lt;&gt;"","LM",""),"")</f>
        <v/>
      </c>
      <c r="H138" s="51" t="str">
        <f>IFERROR(VLOOKUP(Tabla58[[#This Row],[Cod trabalhador]],'Altas Wiseowe'!B:E,3,FALSE),"")</f>
        <v/>
      </c>
      <c r="I138" s="51" t="str">
        <f>IF(OR(Tabla58[[#This Row],[Cod trabalhador]]="",ISBLANK(Tabla58[[#This Row],[Cod trabalhador]])),"",IFERROR(IF(VLOOKUP(Tabla58[[#This Row],[Cod trabalhador]],'Altas Wiseowe'!B:E,4,FALSE)=0,"",VLOOKUP(Tabla58[[#This Row],[Cod trabalhador]],'Altas Wiseowe'!B:E,4,FALSE)),""))</f>
        <v/>
      </c>
      <c r="J138" s="44">
        <f t="shared" si="5"/>
        <v>0</v>
      </c>
      <c r="K138" s="376" t="s">
        <v>6285</v>
      </c>
      <c r="L138" s="342" t="str">
        <f>IFERROR(IF(Tabla58[[#This Row],[Cod trabalhador]]="",Tabla58[[#This Row],[Cod trabalhador]], INDEX(Colaborador_ID[Nombre], MATCH(Tabla58[[#This Row],[Cod trabalhador]],Colaborador_ID[Cod_colab], 0))), "")</f>
        <v>SANTIAGO HIGUITA ARBOLEDA</v>
      </c>
      <c r="N138" s="405" t="s">
        <v>7336</v>
      </c>
      <c r="O138" s="26">
        <f>IFERROR(VLOOKUP(Tabla58[[#This Row],[Cod trabalhador]],Tabla15[],4,FALSE),"")</f>
        <v>14</v>
      </c>
      <c r="P138" s="92">
        <f>IFERROR(VLOOKUP(Tabla58[[#This Row],[Cod trabalhador]],'TotalHorasAjustadas (2)'!D:L,8,FALSE),"")</f>
        <v>244</v>
      </c>
      <c r="Q138" s="27">
        <v>244</v>
      </c>
      <c r="R138" s="28" t="s">
        <v>7471</v>
      </c>
      <c r="S138" s="28" t="s">
        <v>7539</v>
      </c>
      <c r="U138" s="25"/>
      <c r="V138" s="220"/>
      <c r="W138" s="27"/>
      <c r="X138" s="28"/>
      <c r="Y138" s="28"/>
      <c r="Z138" s="149"/>
      <c r="AA138" s="392" t="str">
        <f>IFERROR(VLOOKUP(Tabla58[[#This Row],[Cod trabalhador]],Alojamentos!B:P,11,FALSE),"")</f>
        <v/>
      </c>
      <c r="AB138" s="127"/>
      <c r="AC138" s="150"/>
      <c r="AD138" s="35">
        <f>Tabla58[[#This Row],[Dias de alta]]*7.058</f>
        <v>0</v>
      </c>
      <c r="AE138" s="46" t="str">
        <f>IFERROR(VLOOKUP(Tabla58[[#This Row],[Cod trabalhador]],Adiantamentos!B:L,7,FALSE),"")</f>
        <v/>
      </c>
      <c r="AF138" s="46" t="str">
        <f>IFERROR(VLOOKUP(Tabla58[[#This Row],[Cod trabalhador]],Carro!B:D,3,FALSE),"")</f>
        <v/>
      </c>
      <c r="AG138" s="46">
        <f>IFERROR(VLOOKUP(Tabla58[[#This Row],[Cod trabalhador]],'Outros descontos'!B:O,7,FALSE),"")</f>
        <v>0</v>
      </c>
      <c r="AH138" s="46">
        <f>IFERROR(VLOOKUP(Tabla58[[#This Row],[Cod trabalhador]],'Outros descontos'!B:M,8,FALSE),"")</f>
        <v>0</v>
      </c>
      <c r="AI138" s="46">
        <f>IFERROR(VLOOKUP(Tabla58[[#This Row],[Cod trabalhador]],'Outros descontos'!B:M,9,FALSE),"")</f>
        <v>0</v>
      </c>
      <c r="AJ138" s="46">
        <f>IFERROR(VLOOKUP(Tabla58[[#This Row],[Cod trabalhador]],'Outros descontos'!B:M,10,FALSE),"")</f>
        <v>0</v>
      </c>
      <c r="AK138" s="46">
        <f>IFERROR(VLOOKUP(Tabla58[[#This Row],[Cod trabalhador]],'Outros descontos'!B:M,11,FALSE),"")</f>
        <v>0</v>
      </c>
      <c r="AL138" s="46">
        <f>IFERROR(VLOOKUP(Tabla58[[#This Row],[Cod trabalhador]],'Outros descontos'!B:R,12,FALSE),"")</f>
        <v>21.74</v>
      </c>
      <c r="AM138" s="46" t="str">
        <f>IFERROR(VLOOKUP(Tabla58[[#This Row],[Cod trabalhador]],'Outros descontos'!B:M,13,FALSE),"")</f>
        <v/>
      </c>
      <c r="AN138" s="41"/>
      <c r="AO138" s="37">
        <v>4.08</v>
      </c>
      <c r="AP138" s="15"/>
      <c r="AQ138"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3390.1800000000003</v>
      </c>
      <c r="AR138"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3390.1800000000003</v>
      </c>
      <c r="AS138" s="15"/>
      <c r="AT138" s="27" t="str">
        <f>IF(Tabla58[[#This Row],[Cod trabalhador]]="", "", INDEX(Iban!C:C, MATCH(Tabla58[[#This Row],[Cod trabalhador]],Iban!A:A, 0)))</f>
        <v>ES12 6893 0001 7100 0033 3658</v>
      </c>
      <c r="AU138" s="27"/>
      <c r="AV138" s="27"/>
      <c r="AW138" s="66" t="s">
        <v>7540</v>
      </c>
      <c r="AX138" s="296" t="s">
        <v>7472</v>
      </c>
    </row>
    <row r="139" spans="1:50" ht="16.5" hidden="1" customHeight="1" x14ac:dyDescent="0.3">
      <c r="A139" s="42" t="s">
        <v>7545</v>
      </c>
      <c r="B139" s="100" t="s">
        <v>5305</v>
      </c>
      <c r="C139" s="45" t="str">
        <f>IF(ISNUMBER(MATCH(Tabla58[[#This Row],[Cod trabalhador]],'Altas Wiseowe'!B:B, 0)), "Ativo", "Não ativo")</f>
        <v>Não ativo</v>
      </c>
      <c r="D139" s="44" t="str">
        <f>IFERROR(IF(VLOOKUP(Tabla58[[#This Row],[Cod trabalhador]],'Altas Industrial'!B:E,1,0)&lt;&gt;"","KI",""),"")</f>
        <v/>
      </c>
      <c r="E139" s="44" t="str">
        <f>IFERROR(IF(VLOOKUP(Tabla58[[#This Row],[Cod trabalhador]],'Altas Rosas'!B:F,1,0)&lt;&gt;"","KR",""),"")</f>
        <v/>
      </c>
      <c r="F139" s="44" t="str">
        <f>IFERROR(IF(VLOOKUP(Tabla58[[#This Row],[Cod trabalhador]],'Altas Wiseowe'!B:E,1,0)&lt;&gt;"","WS",""),"")</f>
        <v/>
      </c>
      <c r="G139" s="101" t="str">
        <f>IFERROR(IF(VLOOKUP(Tabla58[[#This Row],[Cod trabalhador]],'Altas Luminous'!B:E,1,0)&lt;&gt;"","LM",""),"")</f>
        <v/>
      </c>
      <c r="H139" s="51" t="str">
        <f>IFERROR(VLOOKUP(Tabla58[[#This Row],[Cod trabalhador]],'Altas Wiseowe'!B:E,3,FALSE),"")</f>
        <v/>
      </c>
      <c r="I139" s="51" t="str">
        <f>IF(OR(Tabla58[[#This Row],[Cod trabalhador]]="",ISBLANK(Tabla58[[#This Row],[Cod trabalhador]])),"",IFERROR(IF(VLOOKUP(Tabla58[[#This Row],[Cod trabalhador]],'Altas Wiseowe'!B:E,4,FALSE)=0,"",VLOOKUP(Tabla58[[#This Row],[Cod trabalhador]],'Altas Wiseowe'!B:E,4,FALSE)),""))</f>
        <v/>
      </c>
      <c r="J139" s="44">
        <f t="shared" si="5"/>
        <v>0</v>
      </c>
      <c r="K139" s="376" t="s">
        <v>5306</v>
      </c>
      <c r="L139" s="342" t="str">
        <f>IFERROR(IF(Tabla58[[#This Row],[Cod trabalhador]]="",Tabla58[[#This Row],[Cod trabalhador]], INDEX(Colaborador_ID[Nombre], MATCH(Tabla58[[#This Row],[Cod trabalhador]],Colaborador_ID[Cod_colab], 0))), "")</f>
        <v>MIGUEL SUMIRE ROA</v>
      </c>
      <c r="N139" s="406" t="s">
        <v>7338</v>
      </c>
      <c r="O139" s="26">
        <f>IFERROR(VLOOKUP(Tabla58[[#This Row],[Cod trabalhador]],Tabla15[],4,FALSE),"")</f>
        <v>15</v>
      </c>
      <c r="P139" s="92">
        <f>IFERROR(VLOOKUP(Tabla58[[#This Row],[Cod trabalhador]],'TotalHorasAjustadas (2)'!D:L,8,FALSE),"")</f>
        <v>136</v>
      </c>
      <c r="Q139" s="27">
        <v>136</v>
      </c>
      <c r="R139" s="28" t="s">
        <v>7471</v>
      </c>
      <c r="S139" s="28" t="s">
        <v>7539</v>
      </c>
      <c r="U139" s="25"/>
      <c r="V139" s="220"/>
      <c r="W139" s="27"/>
      <c r="X139" s="28"/>
      <c r="Y139" s="28"/>
      <c r="Z139" s="149"/>
      <c r="AA139" s="392" t="str">
        <f>IFERROR(VLOOKUP(Tabla58[[#This Row],[Cod trabalhador]],Alojamentos!B:P,11,FALSE),"")</f>
        <v/>
      </c>
      <c r="AB139" s="127"/>
      <c r="AC139" s="150"/>
      <c r="AD139" s="35">
        <f>Tabla58[[#This Row],[Dias de alta]]*7.058</f>
        <v>0</v>
      </c>
      <c r="AE139" s="46" t="str">
        <f>IFERROR(VLOOKUP(Tabla58[[#This Row],[Cod trabalhador]],Adiantamentos!B:L,7,FALSE),"")</f>
        <v/>
      </c>
      <c r="AF139" s="46" t="str">
        <f>IFERROR(VLOOKUP(Tabla58[[#This Row],[Cod trabalhador]],Carro!B:D,3,FALSE),"")</f>
        <v/>
      </c>
      <c r="AG139" s="46" t="str">
        <f>IFERROR(VLOOKUP(Tabla58[[#This Row],[Cod trabalhador]],'Outros descontos'!B:O,7,FALSE),"")</f>
        <v/>
      </c>
      <c r="AH139" s="46" t="str">
        <f>IFERROR(VLOOKUP(Tabla58[[#This Row],[Cod trabalhador]],'Outros descontos'!B:M,8,FALSE),"")</f>
        <v/>
      </c>
      <c r="AI139" s="46" t="str">
        <f>IFERROR(VLOOKUP(Tabla58[[#This Row],[Cod trabalhador]],'Outros descontos'!B:M,9,FALSE),"")</f>
        <v/>
      </c>
      <c r="AJ139" s="46" t="str">
        <f>IFERROR(VLOOKUP(Tabla58[[#This Row],[Cod trabalhador]],'Outros descontos'!B:M,10,FALSE),"")</f>
        <v/>
      </c>
      <c r="AK139" s="46" t="str">
        <f>IFERROR(VLOOKUP(Tabla58[[#This Row],[Cod trabalhador]],'Outros descontos'!B:M,11,FALSE),"")</f>
        <v/>
      </c>
      <c r="AL139" s="46" t="str">
        <f>IFERROR(VLOOKUP(Tabla58[[#This Row],[Cod trabalhador]],'Outros descontos'!B:R,12,FALSE),"")</f>
        <v/>
      </c>
      <c r="AM139" s="46" t="str">
        <f>IFERROR(VLOOKUP(Tabla58[[#This Row],[Cod trabalhador]],'Outros descontos'!B:M,13,FALSE),"")</f>
        <v/>
      </c>
      <c r="AN139" s="41"/>
      <c r="AO139" s="37">
        <v>4.08</v>
      </c>
      <c r="AP139" s="15"/>
      <c r="AQ139"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2035.92</v>
      </c>
      <c r="AR139"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2035.92</v>
      </c>
      <c r="AS139" s="15"/>
      <c r="AT139" s="27" t="str">
        <f>IF(Tabla58[[#This Row],[Cod trabalhador]]="", "", INDEX(Iban!C:C, MATCH(Tabla58[[#This Row],[Cod trabalhador]],Iban!A:A, 0)))</f>
        <v>ES06 0182 1077 3902 0162 1476</v>
      </c>
      <c r="AU139" s="97"/>
      <c r="AV139" s="27"/>
      <c r="AW139" s="66" t="s">
        <v>7540</v>
      </c>
      <c r="AX139" s="296" t="s">
        <v>7472</v>
      </c>
    </row>
    <row r="140" spans="1:50" ht="16.2" hidden="1" customHeight="1" x14ac:dyDescent="0.3">
      <c r="B140" s="39" t="s">
        <v>1449</v>
      </c>
      <c r="C140" s="45" t="str">
        <f>IF(ISNUMBER(MATCH(Tabla58[[#This Row],[Cod trabalhador]],'Altas Wiseowe'!B:B, 0)), "Ativo", "Não ativo")</f>
        <v>Ativo</v>
      </c>
      <c r="D140" s="44" t="str">
        <f>IFERROR(IF(VLOOKUP(Tabla58[[#This Row],[Cod trabalhador]],'Altas Industrial'!B:E,1,0)&lt;&gt;"","KI",""),"")</f>
        <v/>
      </c>
      <c r="E140" s="44" t="str">
        <f>IFERROR(IF(VLOOKUP(Tabla58[[#This Row],[Cod trabalhador]],'Altas Rosas'!B:F,1,0)&lt;&gt;"","KR",""),"")</f>
        <v/>
      </c>
      <c r="F140" s="44" t="str">
        <f>IFERROR(IF(VLOOKUP(Tabla58[[#This Row],[Cod trabalhador]],'Altas Wiseowe'!B:E,1,0)&lt;&gt;"","WS",""),"")</f>
        <v>WS</v>
      </c>
      <c r="G140" s="101" t="str">
        <f>IFERROR(IF(VLOOKUP(Tabla58[[#This Row],[Cod trabalhador]],'Altas Luminous'!B:E,1,0)&lt;&gt;"","LM",""),"")</f>
        <v/>
      </c>
      <c r="H140" s="51">
        <f>IFERROR(VLOOKUP(Tabla58[[#This Row],[Cod trabalhador]],'Altas Wiseowe'!B:E,3,FALSE),"")</f>
        <v>46041</v>
      </c>
      <c r="I140" s="51" t="str">
        <f>IF(OR(Tabla58[[#This Row],[Cod trabalhador]]="",ISBLANK(Tabla58[[#This Row],[Cod trabalhador]])),"",IFERROR(IF(VLOOKUP(Tabla58[[#This Row],[Cod trabalhador]],'Altas Wiseowe'!B:E,4,FALSE)=0,"",VLOOKUP(Tabla58[[#This Row],[Cod trabalhador]],'Altas Wiseowe'!B:E,4,FALSE)),""))</f>
        <v/>
      </c>
      <c r="J140" s="44">
        <f t="shared" si="5"/>
        <v>13</v>
      </c>
      <c r="K140" s="376" t="s">
        <v>7340</v>
      </c>
      <c r="L140" s="342" t="str">
        <f>IFERROR(IF(Tabla58[[#This Row],[Cod trabalhador]]="",Tabla58[[#This Row],[Cod trabalhador]], INDEX(Colaborador_ID[Nombre], MATCH(Tabla58[[#This Row],[Cod trabalhador]],Colaborador_ID[Cod_colab], 0))), "")</f>
        <v>EDDIE DE JESUS ZARATE IGUARAN</v>
      </c>
      <c r="N140" s="405" t="s">
        <v>7339</v>
      </c>
      <c r="O140" s="26">
        <f>IFERROR(VLOOKUP(Tabla58[[#This Row],[Cod trabalhador]],Tabla15[],4,FALSE),"")</f>
        <v>15</v>
      </c>
      <c r="P140" s="92">
        <f>IFERROR(VLOOKUP(Tabla58[[#This Row],[Cod trabalhador]],'TotalHorasAjustadas (2)'!D:L,8,FALSE),"")</f>
        <v>96</v>
      </c>
      <c r="Q140" s="27">
        <v>96</v>
      </c>
      <c r="R140" s="28" t="s">
        <v>7532</v>
      </c>
      <c r="S140" s="28" t="s">
        <v>7539</v>
      </c>
      <c r="U140" s="25"/>
      <c r="V140" s="220"/>
      <c r="W140" s="27"/>
      <c r="X140" s="28"/>
      <c r="Y140" s="28"/>
      <c r="Z140" s="149"/>
      <c r="AA140" s="392" t="str">
        <f>IFERROR(VLOOKUP(Tabla58[[#This Row],[Cod trabalhador]],Alojamentos!B:P,11,FALSE),"")</f>
        <v/>
      </c>
      <c r="AB140" s="127"/>
      <c r="AC140" s="150"/>
      <c r="AD140" s="35">
        <f>Tabla58[[#This Row],[Dias de alta]]*7.058</f>
        <v>91.753999999999991</v>
      </c>
      <c r="AE140" s="46" t="str">
        <f>IFERROR(VLOOKUP(Tabla58[[#This Row],[Cod trabalhador]],Adiantamentos!B:L,7,FALSE),"")</f>
        <v/>
      </c>
      <c r="AF140" s="46">
        <f>IFERROR(VLOOKUP(Tabla58[[#This Row],[Cod trabalhador]],Carro!B:D,3,FALSE),"")</f>
        <v>40</v>
      </c>
      <c r="AG140" s="46">
        <f>IFERROR(VLOOKUP(Tabla58[[#This Row],[Cod trabalhador]],'Outros descontos'!B:O,7,FALSE),"")</f>
        <v>0</v>
      </c>
      <c r="AH140" s="46">
        <f>IFERROR(VLOOKUP(Tabla58[[#This Row],[Cod trabalhador]],'Outros descontos'!B:M,8,FALSE),"")</f>
        <v>0</v>
      </c>
      <c r="AI140" s="46">
        <f>IFERROR(VLOOKUP(Tabla58[[#This Row],[Cod trabalhador]],'Outros descontos'!B:M,9,FALSE),"")</f>
        <v>0</v>
      </c>
      <c r="AJ140" s="46">
        <f>IFERROR(VLOOKUP(Tabla58[[#This Row],[Cod trabalhador]],'Outros descontos'!B:M,10,FALSE),"")</f>
        <v>0</v>
      </c>
      <c r="AK140" s="46">
        <f>IFERROR(VLOOKUP(Tabla58[[#This Row],[Cod trabalhador]],'Outros descontos'!B:M,11,FALSE),"")</f>
        <v>0</v>
      </c>
      <c r="AL140" s="46">
        <f>IFERROR(VLOOKUP(Tabla58[[#This Row],[Cod trabalhador]],'Outros descontos'!B:R,12,FALSE),"")</f>
        <v>112.93</v>
      </c>
      <c r="AM140" s="46" t="str">
        <f>IFERROR(VLOOKUP(Tabla58[[#This Row],[Cod trabalhador]],'Outros descontos'!B:M,13,FALSE),"")</f>
        <v/>
      </c>
      <c r="AN140" s="41"/>
      <c r="AO140" s="37">
        <v>4.08</v>
      </c>
      <c r="AP140" s="15"/>
      <c r="AQ140"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1191.2360000000001</v>
      </c>
      <c r="AR140"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1191.2360000000001</v>
      </c>
      <c r="AS140" s="15"/>
      <c r="AT140" s="27" t="str">
        <f>IF(Tabla58[[#This Row],[Cod trabalhador]]="", "", INDEX(Iban!C:C, MATCH(Tabla58[[#This Row],[Cod trabalhador]],Iban!A:A, 0)))</f>
        <v>BE75 9057 2882 3651</v>
      </c>
      <c r="AU140" s="27"/>
      <c r="AV140" s="27"/>
      <c r="AW140" s="66" t="s">
        <v>7540</v>
      </c>
      <c r="AX140" s="296" t="s">
        <v>7472</v>
      </c>
    </row>
    <row r="141" spans="1:50" ht="16.5" hidden="1" customHeight="1" x14ac:dyDescent="0.3">
      <c r="B141" s="39" t="s">
        <v>1633</v>
      </c>
      <c r="C141" s="45" t="str">
        <f>IF(ISNUMBER(MATCH(Tabla58[[#This Row],[Cod trabalhador]],'Altas Wiseowe'!B:B, 0)), "Ativo", "Não ativo")</f>
        <v>Ativo</v>
      </c>
      <c r="D141" s="44" t="str">
        <f>IFERROR(IF(VLOOKUP(Tabla58[[#This Row],[Cod trabalhador]],'Altas Industrial'!B:E,1,0)&lt;&gt;"","KI",""),"")</f>
        <v/>
      </c>
      <c r="E141" s="44" t="str">
        <f>IFERROR(IF(VLOOKUP(Tabla58[[#This Row],[Cod trabalhador]],'Altas Rosas'!B:F,1,0)&lt;&gt;"","KR",""),"")</f>
        <v/>
      </c>
      <c r="F141" s="44" t="str">
        <f>IFERROR(IF(VLOOKUP(Tabla58[[#This Row],[Cod trabalhador]],'Altas Wiseowe'!B:E,1,0)&lt;&gt;"","WS",""),"")</f>
        <v>WS</v>
      </c>
      <c r="G141" s="101" t="str">
        <f>IFERROR(IF(VLOOKUP(Tabla58[[#This Row],[Cod trabalhador]],'Altas Luminous'!B:E,1,0)&lt;&gt;"","LM",""),"")</f>
        <v/>
      </c>
      <c r="H141" s="51">
        <f>IFERROR(VLOOKUP(Tabla58[[#This Row],[Cod trabalhador]],'Altas Wiseowe'!B:E,3,FALSE),"")</f>
        <v>45919</v>
      </c>
      <c r="I141" s="51" t="str">
        <f>IF(OR(Tabla58[[#This Row],[Cod trabalhador]]="",ISBLANK(Tabla58[[#This Row],[Cod trabalhador]])),"",IFERROR(IF(VLOOKUP(Tabla58[[#This Row],[Cod trabalhador]],'Altas Wiseowe'!B:E,4,FALSE)=0,"",VLOOKUP(Tabla58[[#This Row],[Cod trabalhador]],'Altas Wiseowe'!B:E,4,FALSE)),""))</f>
        <v/>
      </c>
      <c r="J141" s="44">
        <f t="shared" si="5"/>
        <v>31</v>
      </c>
      <c r="K141" s="376" t="s">
        <v>7341</v>
      </c>
      <c r="L141" s="342" t="str">
        <f>IFERROR(IF(Tabla58[[#This Row],[Cod trabalhador]]="",Tabla58[[#This Row],[Cod trabalhador]], INDEX(Colaborador_ID[Nombre], MATCH(Tabla58[[#This Row],[Cod trabalhador]],Colaborador_ID[Cod_colab], 0))), "")</f>
        <v>EDWARD IGNACIO DIAZ AVILA</v>
      </c>
      <c r="N141" s="405" t="s">
        <v>7339</v>
      </c>
      <c r="O141" s="26">
        <f>IFERROR(VLOOKUP(Tabla58[[#This Row],[Cod trabalhador]],Tabla15[],4,FALSE),"")</f>
        <v>15</v>
      </c>
      <c r="P141" s="92">
        <f>IFERROR(VLOOKUP(Tabla58[[#This Row],[Cod trabalhador]],'TotalHorasAjustadas (2)'!D:L,8,FALSE),"")</f>
        <v>250</v>
      </c>
      <c r="Q141" s="27">
        <v>250</v>
      </c>
      <c r="R141" s="28" t="s">
        <v>7532</v>
      </c>
      <c r="S141" s="28" t="s">
        <v>7539</v>
      </c>
      <c r="U141" s="25"/>
      <c r="V141" s="220"/>
      <c r="W141" s="27"/>
      <c r="X141" s="28"/>
      <c r="Y141" s="28"/>
      <c r="Z141" s="149"/>
      <c r="AA141" s="392" t="str">
        <f>IFERROR(VLOOKUP(Tabla58[[#This Row],[Cod trabalhador]],Alojamentos!B:P,11,FALSE),"")</f>
        <v/>
      </c>
      <c r="AB141" s="127"/>
      <c r="AC141" s="150"/>
      <c r="AD141" s="35">
        <f>Tabla58[[#This Row],[Dias de alta]]*7.058</f>
        <v>218.798</v>
      </c>
      <c r="AE141" s="46" t="str">
        <f>IFERROR(VLOOKUP(Tabla58[[#This Row],[Cod trabalhador]],Adiantamentos!B:L,7,FALSE),"")</f>
        <v/>
      </c>
      <c r="AF141" s="46">
        <f>IFERROR(VLOOKUP(Tabla58[[#This Row],[Cod trabalhador]],Carro!B:D,3,FALSE),"")</f>
        <v>67</v>
      </c>
      <c r="AG141" s="46" t="str">
        <f>IFERROR(VLOOKUP(Tabla58[[#This Row],[Cod trabalhador]],'Outros descontos'!B:O,7,FALSE),"")</f>
        <v/>
      </c>
      <c r="AH141" s="46" t="str">
        <f>IFERROR(VLOOKUP(Tabla58[[#This Row],[Cod trabalhador]],'Outros descontos'!B:M,8,FALSE),"")</f>
        <v/>
      </c>
      <c r="AI141" s="46" t="str">
        <f>IFERROR(VLOOKUP(Tabla58[[#This Row],[Cod trabalhador]],'Outros descontos'!B:M,9,FALSE),"")</f>
        <v/>
      </c>
      <c r="AJ141" s="46" t="str">
        <f>IFERROR(VLOOKUP(Tabla58[[#This Row],[Cod trabalhador]],'Outros descontos'!B:M,10,FALSE),"")</f>
        <v/>
      </c>
      <c r="AK141" s="46" t="str">
        <f>IFERROR(VLOOKUP(Tabla58[[#This Row],[Cod trabalhador]],'Outros descontos'!B:M,11,FALSE),"")</f>
        <v/>
      </c>
      <c r="AL141" s="46" t="str">
        <f>IFERROR(VLOOKUP(Tabla58[[#This Row],[Cod trabalhador]],'Outros descontos'!B:R,12,FALSE),"")</f>
        <v/>
      </c>
      <c r="AM141" s="46" t="str">
        <f>IFERROR(VLOOKUP(Tabla58[[#This Row],[Cod trabalhador]],'Outros descontos'!B:M,13,FALSE),"")</f>
        <v/>
      </c>
      <c r="AN141" s="41"/>
      <c r="AO141" s="37">
        <v>4.08</v>
      </c>
      <c r="AP141" s="15"/>
      <c r="AQ141"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3460.1220000000003</v>
      </c>
      <c r="AR141"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3460.1220000000003</v>
      </c>
      <c r="AS141" s="15"/>
      <c r="AT141" s="27" t="str">
        <f>IF(Tabla58[[#This Row],[Cod trabalhador]]="", "", INDEX(Iban!C:C, MATCH(Tabla58[[#This Row],[Cod trabalhador]],Iban!A:A, 0)))</f>
        <v>ES60 0182 0701 9702 0160 8623</v>
      </c>
      <c r="AU141" s="27"/>
      <c r="AV141" s="27"/>
      <c r="AW141" s="66" t="s">
        <v>7540</v>
      </c>
      <c r="AX141" s="296" t="s">
        <v>7472</v>
      </c>
    </row>
    <row r="142" spans="1:50" ht="16.5" hidden="1" customHeight="1" x14ac:dyDescent="0.3">
      <c r="B142" s="39" t="s">
        <v>1663</v>
      </c>
      <c r="C142" s="45" t="str">
        <f>IF(ISNUMBER(MATCH(Tabla58[[#This Row],[Cod trabalhador]],'Altas Wiseowe'!B:B, 0)), "Ativo", "Não ativo")</f>
        <v>Não ativo</v>
      </c>
      <c r="D142" s="44" t="str">
        <f>IFERROR(IF(VLOOKUP(Tabla58[[#This Row],[Cod trabalhador]],'Altas Industrial'!B:E,1,0)&lt;&gt;"","KI",""),"")</f>
        <v/>
      </c>
      <c r="E142" s="44" t="str">
        <f>IFERROR(IF(VLOOKUP(Tabla58[[#This Row],[Cod trabalhador]],'Altas Rosas'!B:F,1,0)&lt;&gt;"","KR",""),"")</f>
        <v/>
      </c>
      <c r="F142" s="44" t="str">
        <f>IFERROR(IF(VLOOKUP(Tabla58[[#This Row],[Cod trabalhador]],'Altas Wiseowe'!B:E,1,0)&lt;&gt;"","WS",""),"")</f>
        <v/>
      </c>
      <c r="G142" s="101" t="str">
        <f>IFERROR(IF(VLOOKUP(Tabla58[[#This Row],[Cod trabalhador]],'Altas Luminous'!B:E,1,0)&lt;&gt;"","LM",""),"")</f>
        <v/>
      </c>
      <c r="H142" s="51" t="str">
        <f>IFERROR(VLOOKUP(Tabla58[[#This Row],[Cod trabalhador]],'Altas Wiseowe'!B:E,3,FALSE),"")</f>
        <v/>
      </c>
      <c r="I142" s="51" t="str">
        <f>IF(OR(Tabla58[[#This Row],[Cod trabalhador]]="",ISBLANK(Tabla58[[#This Row],[Cod trabalhador]])),"",IFERROR(IF(VLOOKUP(Tabla58[[#This Row],[Cod trabalhador]],'Altas Wiseowe'!B:E,4,FALSE)=0,"",VLOOKUP(Tabla58[[#This Row],[Cod trabalhador]],'Altas Wiseowe'!B:E,4,FALSE)),""))</f>
        <v/>
      </c>
      <c r="J142" s="44">
        <f t="shared" si="5"/>
        <v>0</v>
      </c>
      <c r="K142" s="376" t="s">
        <v>7343</v>
      </c>
      <c r="L142" s="342" t="str">
        <f>IFERROR(IF(Tabla58[[#This Row],[Cod trabalhador]]="",Tabla58[[#This Row],[Cod trabalhador]], INDEX(Colaborador_ID[Nombre], MATCH(Tabla58[[#This Row],[Cod trabalhador]],Colaborador_ID[Cod_colab], 0))), "")</f>
        <v>EDWIN ALFONSO ORTIZ DELGADO</v>
      </c>
      <c r="N142" s="405" t="s">
        <v>7339</v>
      </c>
      <c r="O142" s="26">
        <f>IFERROR(VLOOKUP(Tabla58[[#This Row],[Cod trabalhador]],Tabla15[],4,FALSE),"")</f>
        <v>15</v>
      </c>
      <c r="P142" s="92">
        <f>IFERROR(VLOOKUP(Tabla58[[#This Row],[Cod trabalhador]],'TotalHorasAjustadas (2)'!D:L,8,FALSE),"")</f>
        <v>171</v>
      </c>
      <c r="Q142" s="27">
        <v>171</v>
      </c>
      <c r="R142" s="28" t="s">
        <v>7532</v>
      </c>
      <c r="S142" s="28" t="s">
        <v>7539</v>
      </c>
      <c r="U142" s="25"/>
      <c r="V142" s="220"/>
      <c r="W142" s="27"/>
      <c r="X142" s="28"/>
      <c r="Y142" s="28"/>
      <c r="Z142" s="149"/>
      <c r="AA142" s="392" t="str">
        <f>IFERROR(VLOOKUP(Tabla58[[#This Row],[Cod trabalhador]],Alojamentos!B:P,11,FALSE),"")</f>
        <v/>
      </c>
      <c r="AB142" s="127"/>
      <c r="AC142" s="150"/>
      <c r="AD142" s="35">
        <f>Tabla58[[#This Row],[Dias de alta]]*7.058</f>
        <v>0</v>
      </c>
      <c r="AE142" s="46" t="str">
        <f>IFERROR(VLOOKUP(Tabla58[[#This Row],[Cod trabalhador]],Adiantamentos!B:L,7,FALSE),"")</f>
        <v/>
      </c>
      <c r="AF142" s="46">
        <f>IFERROR(VLOOKUP(Tabla58[[#This Row],[Cod trabalhador]],Carro!B:D,3,FALSE),"")</f>
        <v>64</v>
      </c>
      <c r="AG142" s="46" t="str">
        <f>IFERROR(VLOOKUP(Tabla58[[#This Row],[Cod trabalhador]],'Outros descontos'!B:O,7,FALSE),"")</f>
        <v/>
      </c>
      <c r="AH142" s="46" t="str">
        <f>IFERROR(VLOOKUP(Tabla58[[#This Row],[Cod trabalhador]],'Outros descontos'!B:M,8,FALSE),"")</f>
        <v/>
      </c>
      <c r="AI142" s="46" t="str">
        <f>IFERROR(VLOOKUP(Tabla58[[#This Row],[Cod trabalhador]],'Outros descontos'!B:M,9,FALSE),"")</f>
        <v/>
      </c>
      <c r="AJ142" s="46" t="str">
        <f>IFERROR(VLOOKUP(Tabla58[[#This Row],[Cod trabalhador]],'Outros descontos'!B:M,10,FALSE),"")</f>
        <v/>
      </c>
      <c r="AK142" s="46" t="str">
        <f>IFERROR(VLOOKUP(Tabla58[[#This Row],[Cod trabalhador]],'Outros descontos'!B:M,11,FALSE),"")</f>
        <v/>
      </c>
      <c r="AL142" s="46" t="str">
        <f>IFERROR(VLOOKUP(Tabla58[[#This Row],[Cod trabalhador]],'Outros descontos'!B:R,12,FALSE),"")</f>
        <v/>
      </c>
      <c r="AM142" s="46" t="str">
        <f>IFERROR(VLOOKUP(Tabla58[[#This Row],[Cod trabalhador]],'Outros descontos'!B:M,13,FALSE),"")</f>
        <v/>
      </c>
      <c r="AN142" s="41"/>
      <c r="AO142" s="37">
        <v>4.08</v>
      </c>
      <c r="AP142" s="15"/>
      <c r="AQ142"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2496.92</v>
      </c>
      <c r="AR142"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2496.92</v>
      </c>
      <c r="AS142" s="15"/>
      <c r="AT142" s="27" t="str">
        <f>IF(Tabla58[[#This Row],[Cod trabalhador]]="", "", INDEX(Iban!C:C, MATCH(Tabla58[[#This Row],[Cod trabalhador]],Iban!A:A, 0)))</f>
        <v>ES68 0182 9730 2602 0035 9385</v>
      </c>
      <c r="AU142" s="27"/>
      <c r="AV142" s="27"/>
      <c r="AW142" s="66" t="s">
        <v>7540</v>
      </c>
      <c r="AX142" s="296" t="s">
        <v>7472</v>
      </c>
    </row>
    <row r="143" spans="1:50" ht="16.5" hidden="1" customHeight="1" x14ac:dyDescent="0.3">
      <c r="B143" s="39" t="s">
        <v>2013</v>
      </c>
      <c r="C143" s="45" t="str">
        <f>IF(ISNUMBER(MATCH(Tabla58[[#This Row],[Cod trabalhador]],'Altas Wiseowe'!B:B, 0)), "Ativo", "Não ativo")</f>
        <v>Não ativo</v>
      </c>
      <c r="D143" s="44" t="str">
        <f>IFERROR(IF(VLOOKUP(Tabla58[[#This Row],[Cod trabalhador]],'Altas Industrial'!B:E,1,0)&lt;&gt;"","KI",""),"")</f>
        <v/>
      </c>
      <c r="E143" s="44" t="str">
        <f>IFERROR(IF(VLOOKUP(Tabla58[[#This Row],[Cod trabalhador]],'Altas Rosas'!B:F,1,0)&lt;&gt;"","KR",""),"")</f>
        <v/>
      </c>
      <c r="F143" s="44" t="str">
        <f>IFERROR(IF(VLOOKUP(Tabla58[[#This Row],[Cod trabalhador]],'Altas Wiseowe'!B:E,1,0)&lt;&gt;"","WS",""),"")</f>
        <v/>
      </c>
      <c r="G143" s="101" t="str">
        <f>IFERROR(IF(VLOOKUP(Tabla58[[#This Row],[Cod trabalhador]],'Altas Luminous'!B:E,1,0)&lt;&gt;"","LM",""),"")</f>
        <v/>
      </c>
      <c r="H143" s="51" t="str">
        <f>IFERROR(VLOOKUP(Tabla58[[#This Row],[Cod trabalhador]],'Altas Wiseowe'!B:E,3,FALSE),"")</f>
        <v/>
      </c>
      <c r="I143" s="51" t="str">
        <f>IF(OR(Tabla58[[#This Row],[Cod trabalhador]]="",ISBLANK(Tabla58[[#This Row],[Cod trabalhador]])),"",IFERROR(IF(VLOOKUP(Tabla58[[#This Row],[Cod trabalhador]],'Altas Wiseowe'!B:E,4,FALSE)=0,"",VLOOKUP(Tabla58[[#This Row],[Cod trabalhador]],'Altas Wiseowe'!B:E,4,FALSE)),""))</f>
        <v/>
      </c>
      <c r="J143" s="44">
        <f t="shared" si="5"/>
        <v>0</v>
      </c>
      <c r="K143" s="376" t="s">
        <v>2014</v>
      </c>
      <c r="L143" s="342" t="str">
        <f>IFERROR(IF(Tabla58[[#This Row],[Cod trabalhador]]="",Tabla58[[#This Row],[Cod trabalhador]], INDEX(Colaborador_ID[Nombre], MATCH(Tabla58[[#This Row],[Cod trabalhador]],Colaborador_ID[Cod_colab], 0))), "")</f>
        <v>FABIO DOMINGUEZ BRAVO</v>
      </c>
      <c r="N143" s="405" t="s">
        <v>7339</v>
      </c>
      <c r="O143" s="26">
        <f>IFERROR(VLOOKUP(Tabla58[[#This Row],[Cod trabalhador]],Tabla15[],4,FALSE),"")</f>
        <v>15</v>
      </c>
      <c r="P143" s="92">
        <f>IFERROR(VLOOKUP(Tabla58[[#This Row],[Cod trabalhador]],'TotalHorasAjustadas (2)'!D:L,8,FALSE),"")</f>
        <v>172</v>
      </c>
      <c r="Q143" s="27">
        <v>172</v>
      </c>
      <c r="R143" s="28" t="s">
        <v>7532</v>
      </c>
      <c r="S143" s="28" t="s">
        <v>7539</v>
      </c>
      <c r="U143" s="25"/>
      <c r="V143" s="220"/>
      <c r="W143" s="27"/>
      <c r="X143" s="28"/>
      <c r="Y143" s="28"/>
      <c r="Z143" s="149"/>
      <c r="AA143" s="392" t="str">
        <f>IFERROR(VLOOKUP(Tabla58[[#This Row],[Cod trabalhador]],Alojamentos!B:P,11,FALSE),"")</f>
        <v/>
      </c>
      <c r="AB143" s="127"/>
      <c r="AC143" s="150"/>
      <c r="AD143" s="35">
        <f>Tabla58[[#This Row],[Dias de alta]]*7.058</f>
        <v>0</v>
      </c>
      <c r="AE143" s="46" t="str">
        <f>IFERROR(VLOOKUP(Tabla58[[#This Row],[Cod trabalhador]],Adiantamentos!B:L,7,FALSE),"")</f>
        <v/>
      </c>
      <c r="AF143" s="46">
        <f>IFERROR(VLOOKUP(Tabla58[[#This Row],[Cod trabalhador]],Carro!B:D,3,FALSE),"")</f>
        <v>64</v>
      </c>
      <c r="AG143" s="46" t="str">
        <f>IFERROR(VLOOKUP(Tabla58[[#This Row],[Cod trabalhador]],'Outros descontos'!B:O,7,FALSE),"")</f>
        <v/>
      </c>
      <c r="AH143" s="46" t="str">
        <f>IFERROR(VLOOKUP(Tabla58[[#This Row],[Cod trabalhador]],'Outros descontos'!B:M,8,FALSE),"")</f>
        <v/>
      </c>
      <c r="AI143" s="46" t="str">
        <f>IFERROR(VLOOKUP(Tabla58[[#This Row],[Cod trabalhador]],'Outros descontos'!B:M,9,FALSE),"")</f>
        <v/>
      </c>
      <c r="AJ143" s="46" t="str">
        <f>IFERROR(VLOOKUP(Tabla58[[#This Row],[Cod trabalhador]],'Outros descontos'!B:M,10,FALSE),"")</f>
        <v/>
      </c>
      <c r="AK143" s="46" t="str">
        <f>IFERROR(VLOOKUP(Tabla58[[#This Row],[Cod trabalhador]],'Outros descontos'!B:M,11,FALSE),"")</f>
        <v/>
      </c>
      <c r="AL143" s="46" t="str">
        <f>IFERROR(VLOOKUP(Tabla58[[#This Row],[Cod trabalhador]],'Outros descontos'!B:R,12,FALSE),"")</f>
        <v/>
      </c>
      <c r="AM143" s="46" t="str">
        <f>IFERROR(VLOOKUP(Tabla58[[#This Row],[Cod trabalhador]],'Outros descontos'!B:M,13,FALSE),"")</f>
        <v/>
      </c>
      <c r="AN143" s="41"/>
      <c r="AO143" s="37">
        <v>4.08</v>
      </c>
      <c r="AP143" s="15"/>
      <c r="AQ143"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2511.92</v>
      </c>
      <c r="AR143"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2511.92</v>
      </c>
      <c r="AS143" s="15"/>
      <c r="AT143" s="27" t="str">
        <f>IF(Tabla58[[#This Row],[Cod trabalhador]]="", "", INDEX(Iban!C:C, MATCH(Tabla58[[#This Row],[Cod trabalhador]],Iban!A:A, 0)))</f>
        <v>ES03 6893 0001 7100 0034 0513</v>
      </c>
      <c r="AU143" s="27"/>
      <c r="AV143" s="27"/>
      <c r="AW143" s="66" t="s">
        <v>7540</v>
      </c>
      <c r="AX143" s="296" t="s">
        <v>7472</v>
      </c>
    </row>
    <row r="144" spans="1:50" ht="16.5" hidden="1" customHeight="1" x14ac:dyDescent="0.3">
      <c r="B144" s="39" t="s">
        <v>2471</v>
      </c>
      <c r="C144" s="45" t="str">
        <f>IF(ISNUMBER(MATCH(Tabla58[[#This Row],[Cod trabalhador]],'Altas Wiseowe'!B:B, 0)), "Ativo", "Não ativo")</f>
        <v>Não ativo</v>
      </c>
      <c r="D144" s="44" t="str">
        <f>IFERROR(IF(VLOOKUP(Tabla58[[#This Row],[Cod trabalhador]],'Altas Industrial'!B:E,1,0)&lt;&gt;"","KI",""),"")</f>
        <v/>
      </c>
      <c r="E144" s="44" t="str">
        <f>IFERROR(IF(VLOOKUP(Tabla58[[#This Row],[Cod trabalhador]],'Altas Rosas'!B:F,1,0)&lt;&gt;"","KR",""),"")</f>
        <v/>
      </c>
      <c r="F144" s="44" t="str">
        <f>IFERROR(IF(VLOOKUP(Tabla58[[#This Row],[Cod trabalhador]],'Altas Wiseowe'!B:E,1,0)&lt;&gt;"","WS",""),"")</f>
        <v/>
      </c>
      <c r="G144" s="101" t="str">
        <f>IFERROR(IF(VLOOKUP(Tabla58[[#This Row],[Cod trabalhador]],'Altas Luminous'!B:E,1,0)&lt;&gt;"","LM",""),"")</f>
        <v/>
      </c>
      <c r="H144" s="51" t="str">
        <f>IFERROR(VLOOKUP(Tabla58[[#This Row],[Cod trabalhador]],'Altas Wiseowe'!B:E,3,FALSE),"")</f>
        <v/>
      </c>
      <c r="I144" s="51" t="str">
        <f>IF(OR(Tabla58[[#This Row],[Cod trabalhador]]="",ISBLANK(Tabla58[[#This Row],[Cod trabalhador]])),"",IFERROR(IF(VLOOKUP(Tabla58[[#This Row],[Cod trabalhador]],'Altas Wiseowe'!B:E,4,FALSE)=0,"",VLOOKUP(Tabla58[[#This Row],[Cod trabalhador]],'Altas Wiseowe'!B:E,4,FALSE)),""))</f>
        <v/>
      </c>
      <c r="J144" s="44">
        <f t="shared" si="5"/>
        <v>0</v>
      </c>
      <c r="K144" s="376" t="s">
        <v>2472</v>
      </c>
      <c r="L144" s="342" t="str">
        <f>IFERROR(IF(Tabla58[[#This Row],[Cod trabalhador]]="",Tabla58[[#This Row],[Cod trabalhador]], INDEX(Colaborador_ID[Nombre], MATCH(Tabla58[[#This Row],[Cod trabalhador]],Colaborador_ID[Cod_colab], 0))), "")</f>
        <v>GUSTAVO ANDRES DUQUE CASTILLO</v>
      </c>
      <c r="N144" s="405" t="s">
        <v>7339</v>
      </c>
      <c r="O144" s="26">
        <f>IFERROR(VLOOKUP(Tabla58[[#This Row],[Cod trabalhador]],Tabla15[],4,FALSE),"")</f>
        <v>15</v>
      </c>
      <c r="P144" s="92">
        <f>IFERROR(VLOOKUP(Tabla58[[#This Row],[Cod trabalhador]],'TotalHorasAjustadas (2)'!D:L,8,FALSE),"")</f>
        <v>108</v>
      </c>
      <c r="Q144" s="27">
        <v>108</v>
      </c>
      <c r="R144" s="28" t="s">
        <v>7532</v>
      </c>
      <c r="S144" s="28" t="s">
        <v>7539</v>
      </c>
      <c r="U144" s="25"/>
      <c r="V144" s="220"/>
      <c r="W144" s="27"/>
      <c r="X144" s="28"/>
      <c r="Y144" s="28"/>
      <c r="Z144" s="149"/>
      <c r="AA144" s="392" t="str">
        <f>IFERROR(VLOOKUP(Tabla58[[#This Row],[Cod trabalhador]],Alojamentos!B:P,11,FALSE),"")</f>
        <v/>
      </c>
      <c r="AB144" s="127"/>
      <c r="AC144" s="150"/>
      <c r="AD144" s="35">
        <f>Tabla58[[#This Row],[Dias de alta]]*7.058</f>
        <v>0</v>
      </c>
      <c r="AE144" s="46" t="str">
        <f>IFERROR(VLOOKUP(Tabla58[[#This Row],[Cod trabalhador]],Adiantamentos!B:L,7,FALSE),"")</f>
        <v/>
      </c>
      <c r="AF144" s="46">
        <f>IFERROR(VLOOKUP(Tabla58[[#This Row],[Cod trabalhador]],Carro!B:D,3,FALSE),"")</f>
        <v>40</v>
      </c>
      <c r="AG144" s="46" t="str">
        <f>IFERROR(VLOOKUP(Tabla58[[#This Row],[Cod trabalhador]],'Outros descontos'!B:O,7,FALSE),"")</f>
        <v/>
      </c>
      <c r="AH144" s="46" t="str">
        <f>IFERROR(VLOOKUP(Tabla58[[#This Row],[Cod trabalhador]],'Outros descontos'!B:M,8,FALSE),"")</f>
        <v/>
      </c>
      <c r="AI144" s="46" t="str">
        <f>IFERROR(VLOOKUP(Tabla58[[#This Row],[Cod trabalhador]],'Outros descontos'!B:M,9,FALSE),"")</f>
        <v/>
      </c>
      <c r="AJ144" s="46" t="str">
        <f>IFERROR(VLOOKUP(Tabla58[[#This Row],[Cod trabalhador]],'Outros descontos'!B:M,10,FALSE),"")</f>
        <v/>
      </c>
      <c r="AK144" s="46" t="str">
        <f>IFERROR(VLOOKUP(Tabla58[[#This Row],[Cod trabalhador]],'Outros descontos'!B:M,11,FALSE),"")</f>
        <v/>
      </c>
      <c r="AL144" s="46" t="str">
        <f>IFERROR(VLOOKUP(Tabla58[[#This Row],[Cod trabalhador]],'Outros descontos'!B:R,12,FALSE),"")</f>
        <v/>
      </c>
      <c r="AM144" s="46" t="str">
        <f>IFERROR(VLOOKUP(Tabla58[[#This Row],[Cod trabalhador]],'Outros descontos'!B:M,13,FALSE),"")</f>
        <v/>
      </c>
      <c r="AN144" s="41"/>
      <c r="AO144" s="37">
        <v>4.08</v>
      </c>
      <c r="AP144" s="15"/>
      <c r="AQ144"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1575.92</v>
      </c>
      <c r="AR144"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1575.92</v>
      </c>
      <c r="AS144" s="15"/>
      <c r="AT144" s="27" t="str">
        <f>IF(Tabla58[[#This Row],[Cod trabalhador]]="", "", INDEX(Iban!C:C, MATCH(Tabla58[[#This Row],[Cod trabalhador]],Iban!A:A, 0)))</f>
        <v>BE75 9057 9199 9751</v>
      </c>
      <c r="AU144" s="27"/>
      <c r="AV144" s="97"/>
      <c r="AW144" s="66" t="s">
        <v>7540</v>
      </c>
      <c r="AX144" s="296" t="s">
        <v>7472</v>
      </c>
    </row>
    <row r="145" spans="2:50" ht="16.5" hidden="1" customHeight="1" x14ac:dyDescent="0.3">
      <c r="B145" s="39" t="s">
        <v>4693</v>
      </c>
      <c r="C145" s="45" t="str">
        <f>IF(ISNUMBER(MATCH(Tabla58[[#This Row],[Cod trabalhador]],'Altas Wiseowe'!B:B, 0)), "Ativo", "Não ativo")</f>
        <v>Não ativo</v>
      </c>
      <c r="D145" s="44" t="str">
        <f>IFERROR(IF(VLOOKUP(Tabla58[[#This Row],[Cod trabalhador]],'Altas Industrial'!B:E,1,0)&lt;&gt;"","KI",""),"")</f>
        <v/>
      </c>
      <c r="E145" s="44" t="str">
        <f>IFERROR(IF(VLOOKUP(Tabla58[[#This Row],[Cod trabalhador]],'Altas Rosas'!B:F,1,0)&lt;&gt;"","KR",""),"")</f>
        <v/>
      </c>
      <c r="F145" s="44" t="str">
        <f>IFERROR(IF(VLOOKUP(Tabla58[[#This Row],[Cod trabalhador]],'Altas Wiseowe'!B:E,1,0)&lt;&gt;"","WS",""),"")</f>
        <v/>
      </c>
      <c r="G145" s="101" t="str">
        <f>IFERROR(IF(VLOOKUP(Tabla58[[#This Row],[Cod trabalhador]],'Altas Luminous'!B:E,1,0)&lt;&gt;"","LM",""),"")</f>
        <v/>
      </c>
      <c r="H145" s="51" t="str">
        <f>IFERROR(VLOOKUP(Tabla58[[#This Row],[Cod trabalhador]],'Altas Wiseowe'!B:E,3,FALSE),"")</f>
        <v/>
      </c>
      <c r="I145" s="51" t="str">
        <f>IF(OR(Tabla58[[#This Row],[Cod trabalhador]]="",ISBLANK(Tabla58[[#This Row],[Cod trabalhador]])),"",IFERROR(IF(VLOOKUP(Tabla58[[#This Row],[Cod trabalhador]],'Altas Wiseowe'!B:E,4,FALSE)=0,"",VLOOKUP(Tabla58[[#This Row],[Cod trabalhador]],'Altas Wiseowe'!B:E,4,FALSE)),""))</f>
        <v/>
      </c>
      <c r="J145" s="44">
        <f t="shared" si="5"/>
        <v>0</v>
      </c>
      <c r="K145" s="376" t="s">
        <v>7345</v>
      </c>
      <c r="L145" s="342" t="str">
        <f>IFERROR(IF(Tabla58[[#This Row],[Cod trabalhador]]="",Tabla58[[#This Row],[Cod trabalhador]], INDEX(Colaborador_ID[Nombre], MATCH(Tabla58[[#This Row],[Cod trabalhador]],Colaborador_ID[Cod_colab], 0))), "")</f>
        <v>LUIS ALBERTO CAMARGO NINO</v>
      </c>
      <c r="N145" s="405" t="s">
        <v>7339</v>
      </c>
      <c r="O145" s="26">
        <f>IFERROR(VLOOKUP(Tabla58[[#This Row],[Cod trabalhador]],Tabla15[],4,FALSE),"")</f>
        <v>15</v>
      </c>
      <c r="P145" s="92">
        <f>IFERROR(VLOOKUP(Tabla58[[#This Row],[Cod trabalhador]],'TotalHorasAjustadas (2)'!D:L,8,FALSE),"")</f>
        <v>198</v>
      </c>
      <c r="Q145" s="27">
        <v>198</v>
      </c>
      <c r="R145" s="28" t="s">
        <v>7532</v>
      </c>
      <c r="S145" s="28" t="s">
        <v>7539</v>
      </c>
      <c r="U145" s="25"/>
      <c r="V145" s="220"/>
      <c r="W145" s="27"/>
      <c r="X145" s="28"/>
      <c r="Y145" s="28"/>
      <c r="Z145" s="149"/>
      <c r="AA145" s="392" t="str">
        <f>IFERROR(VLOOKUP(Tabla58[[#This Row],[Cod trabalhador]],Alojamentos!B:P,11,FALSE),"")</f>
        <v/>
      </c>
      <c r="AB145" s="127"/>
      <c r="AC145" s="150"/>
      <c r="AD145" s="35">
        <f>Tabla58[[#This Row],[Dias de alta]]*7.058</f>
        <v>0</v>
      </c>
      <c r="AE145" s="46" t="str">
        <f>IFERROR(VLOOKUP(Tabla58[[#This Row],[Cod trabalhador]],Adiantamentos!B:L,7,FALSE),"")</f>
        <v/>
      </c>
      <c r="AF145" s="46">
        <f>IFERROR(VLOOKUP(Tabla58[[#This Row],[Cod trabalhador]],Carro!B:D,3,FALSE),"")</f>
        <v>97</v>
      </c>
      <c r="AG145" s="46">
        <f>IFERROR(VLOOKUP(Tabla58[[#This Row],[Cod trabalhador]],'Outros descontos'!B:O,7,FALSE),"")</f>
        <v>0</v>
      </c>
      <c r="AH145" s="46">
        <f>IFERROR(VLOOKUP(Tabla58[[#This Row],[Cod trabalhador]],'Outros descontos'!B:M,8,FALSE),"")</f>
        <v>0</v>
      </c>
      <c r="AI145" s="46">
        <f>IFERROR(VLOOKUP(Tabla58[[#This Row],[Cod trabalhador]],'Outros descontos'!B:M,9,FALSE),"")</f>
        <v>0</v>
      </c>
      <c r="AJ145" s="46">
        <f>IFERROR(VLOOKUP(Tabla58[[#This Row],[Cod trabalhador]],'Outros descontos'!B:M,10,FALSE),"")</f>
        <v>0</v>
      </c>
      <c r="AK145" s="46">
        <f>IFERROR(VLOOKUP(Tabla58[[#This Row],[Cod trabalhador]],'Outros descontos'!B:M,11,FALSE),"")</f>
        <v>0</v>
      </c>
      <c r="AL145" s="46">
        <f>IFERROR(VLOOKUP(Tabla58[[#This Row],[Cod trabalhador]],'Outros descontos'!B:R,12,FALSE),"")</f>
        <v>112.93</v>
      </c>
      <c r="AM145" s="46" t="str">
        <f>IFERROR(VLOOKUP(Tabla58[[#This Row],[Cod trabalhador]],'Outros descontos'!B:M,13,FALSE),"")</f>
        <v/>
      </c>
      <c r="AN145" s="41"/>
      <c r="AO145" s="37">
        <v>4.08</v>
      </c>
      <c r="AP145" s="15"/>
      <c r="AQ145"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2755.9900000000002</v>
      </c>
      <c r="AR145"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2755.9900000000002</v>
      </c>
      <c r="AS145" s="15"/>
      <c r="AT145" s="27" t="str">
        <f>IF(Tabla58[[#This Row],[Cod trabalhador]]="", "", INDEX(Iban!C:C, MATCH(Tabla58[[#This Row],[Cod trabalhador]],Iban!A:A, 0)))</f>
        <v>ES06 0182 2808 8102 0160 1350</v>
      </c>
      <c r="AU145" s="27"/>
      <c r="AV145" s="27"/>
      <c r="AW145" s="66" t="s">
        <v>7540</v>
      </c>
      <c r="AX145" s="296" t="s">
        <v>7472</v>
      </c>
    </row>
    <row r="146" spans="2:50" ht="16.5" hidden="1" customHeight="1" x14ac:dyDescent="0.3">
      <c r="B146" s="39" t="s">
        <v>4740</v>
      </c>
      <c r="C146" s="45" t="str">
        <f>IF(ISNUMBER(MATCH(Tabla58[[#This Row],[Cod trabalhador]],'Altas Wiseowe'!B:B, 0)), "Ativo", "Não ativo")</f>
        <v>Não ativo</v>
      </c>
      <c r="D146" s="44" t="str">
        <f>IFERROR(IF(VLOOKUP(Tabla58[[#This Row],[Cod trabalhador]],'Altas Industrial'!B:E,1,0)&lt;&gt;"","KI",""),"")</f>
        <v/>
      </c>
      <c r="E146" s="44" t="str">
        <f>IFERROR(IF(VLOOKUP(Tabla58[[#This Row],[Cod trabalhador]],'Altas Rosas'!B:F,1,0)&lt;&gt;"","KR",""),"")</f>
        <v/>
      </c>
      <c r="F146" s="44" t="str">
        <f>IFERROR(IF(VLOOKUP(Tabla58[[#This Row],[Cod trabalhador]],'Altas Wiseowe'!B:E,1,0)&lt;&gt;"","WS",""),"")</f>
        <v/>
      </c>
      <c r="G146" s="101" t="str">
        <f>IFERROR(IF(VLOOKUP(Tabla58[[#This Row],[Cod trabalhador]],'Altas Luminous'!B:E,1,0)&lt;&gt;"","LM",""),"")</f>
        <v/>
      </c>
      <c r="H146" s="51" t="str">
        <f>IFERROR(VLOOKUP(Tabla58[[#This Row],[Cod trabalhador]],'Altas Wiseowe'!B:E,3,FALSE),"")</f>
        <v/>
      </c>
      <c r="I146" s="51" t="str">
        <f>IF(OR(Tabla58[[#This Row],[Cod trabalhador]]="",ISBLANK(Tabla58[[#This Row],[Cod trabalhador]])),"",IFERROR(IF(VLOOKUP(Tabla58[[#This Row],[Cod trabalhador]],'Altas Wiseowe'!B:E,4,FALSE)=0,"",VLOOKUP(Tabla58[[#This Row],[Cod trabalhador]],'Altas Wiseowe'!B:E,4,FALSE)),""))</f>
        <v/>
      </c>
      <c r="J146" s="44">
        <f t="shared" si="5"/>
        <v>0</v>
      </c>
      <c r="K146" s="376" t="s">
        <v>7346</v>
      </c>
      <c r="L146" s="342" t="str">
        <f>IFERROR(IF(Tabla58[[#This Row],[Cod trabalhador]]="",Tabla58[[#This Row],[Cod trabalhador]], INDEX(Colaborador_ID[Nombre], MATCH(Tabla58[[#This Row],[Cod trabalhador]],Colaborador_ID[Cod_colab], 0))), "")</f>
        <v>LUIS ALEXANDER SEPULVEDA GUERRERO</v>
      </c>
      <c r="N146" s="405" t="s">
        <v>7339</v>
      </c>
      <c r="O146" s="26">
        <f>IFERROR(VLOOKUP(Tabla58[[#This Row],[Cod trabalhador]],Tabla15[],4,FALSE),"")</f>
        <v>15</v>
      </c>
      <c r="P146" s="92">
        <f>IFERROR(VLOOKUP(Tabla58[[#This Row],[Cod trabalhador]],'TotalHorasAjustadas (2)'!D:L,8,FALSE),"")</f>
        <v>304</v>
      </c>
      <c r="Q146" s="27">
        <v>304</v>
      </c>
      <c r="R146" s="28" t="s">
        <v>7532</v>
      </c>
      <c r="S146" s="28" t="s">
        <v>7539</v>
      </c>
      <c r="U146" s="25"/>
      <c r="V146" s="220"/>
      <c r="W146" s="27"/>
      <c r="X146" s="28"/>
      <c r="Y146" s="28"/>
      <c r="Z146" s="149"/>
      <c r="AA146" s="392">
        <f>IFERROR(VLOOKUP(Tabla58[[#This Row],[Cod trabalhador]],Alojamentos!B:P,11,FALSE),"")</f>
        <v>120</v>
      </c>
      <c r="AB146" s="127"/>
      <c r="AC146" s="150"/>
      <c r="AD146" s="35">
        <f>Tabla58[[#This Row],[Dias de alta]]*7.058</f>
        <v>0</v>
      </c>
      <c r="AE146" s="46" t="str">
        <f>IFERROR(VLOOKUP(Tabla58[[#This Row],[Cod trabalhador]],Adiantamentos!B:L,7,FALSE),"")</f>
        <v/>
      </c>
      <c r="AF146" s="46">
        <f>IFERROR(VLOOKUP(Tabla58[[#This Row],[Cod trabalhador]],Carro!B:D,3,FALSE),"")</f>
        <v>100</v>
      </c>
      <c r="AG146" s="46" t="str">
        <f>IFERROR(VLOOKUP(Tabla58[[#This Row],[Cod trabalhador]],'Outros descontos'!B:O,7,FALSE),"")</f>
        <v/>
      </c>
      <c r="AH146" s="46" t="str">
        <f>IFERROR(VLOOKUP(Tabla58[[#This Row],[Cod trabalhador]],'Outros descontos'!B:M,8,FALSE),"")</f>
        <v/>
      </c>
      <c r="AI146" s="46" t="str">
        <f>IFERROR(VLOOKUP(Tabla58[[#This Row],[Cod trabalhador]],'Outros descontos'!B:M,9,FALSE),"")</f>
        <v/>
      </c>
      <c r="AJ146" s="46" t="str">
        <f>IFERROR(VLOOKUP(Tabla58[[#This Row],[Cod trabalhador]],'Outros descontos'!B:M,10,FALSE),"")</f>
        <v/>
      </c>
      <c r="AK146" s="46" t="str">
        <f>IFERROR(VLOOKUP(Tabla58[[#This Row],[Cod trabalhador]],'Outros descontos'!B:M,11,FALSE),"")</f>
        <v/>
      </c>
      <c r="AL146" s="46" t="str">
        <f>IFERROR(VLOOKUP(Tabla58[[#This Row],[Cod trabalhador]],'Outros descontos'!B:R,12,FALSE),"")</f>
        <v/>
      </c>
      <c r="AM146" s="46" t="str">
        <f>IFERROR(VLOOKUP(Tabla58[[#This Row],[Cod trabalhador]],'Outros descontos'!B:M,13,FALSE),"")</f>
        <v/>
      </c>
      <c r="AN146" s="41"/>
      <c r="AO146" s="37">
        <v>4.08</v>
      </c>
      <c r="AP146" s="15"/>
      <c r="AQ146"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4575.92</v>
      </c>
      <c r="AR146"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4575.92</v>
      </c>
      <c r="AS146" s="15"/>
      <c r="AT146" s="27" t="str">
        <f>IF(Tabla58[[#This Row],[Cod trabalhador]]="", "", INDEX(Iban!C:C, MATCH(Tabla58[[#This Row],[Cod trabalhador]],Iban!A:A, 0)))</f>
        <v>ES46 0182 3100 8902 0179 7389</v>
      </c>
      <c r="AU146" s="27"/>
      <c r="AV146" s="97"/>
      <c r="AW146" s="66" t="s">
        <v>7540</v>
      </c>
      <c r="AX146" s="296" t="s">
        <v>7472</v>
      </c>
    </row>
    <row r="147" spans="2:50" ht="16.5" hidden="1" customHeight="1" x14ac:dyDescent="0.3">
      <c r="B147" s="39" t="s">
        <v>4820</v>
      </c>
      <c r="C147" s="45" t="str">
        <f>IF(ISNUMBER(MATCH(Tabla58[[#This Row],[Cod trabalhador]],'Altas Wiseowe'!B:B, 0)), "Ativo", "Não ativo")</f>
        <v>Não ativo</v>
      </c>
      <c r="D147" s="44" t="str">
        <f>IFERROR(IF(VLOOKUP(Tabla58[[#This Row],[Cod trabalhador]],'Altas Industrial'!B:E,1,0)&lt;&gt;"","KI",""),"")</f>
        <v/>
      </c>
      <c r="E147" s="44" t="str">
        <f>IFERROR(IF(VLOOKUP(Tabla58[[#This Row],[Cod trabalhador]],'Altas Rosas'!B:F,1,0)&lt;&gt;"","KR",""),"")</f>
        <v/>
      </c>
      <c r="F147" s="44" t="str">
        <f>IFERROR(IF(VLOOKUP(Tabla58[[#This Row],[Cod trabalhador]],'Altas Wiseowe'!B:E,1,0)&lt;&gt;"","WS",""),"")</f>
        <v/>
      </c>
      <c r="G147" s="101" t="str">
        <f>IFERROR(IF(VLOOKUP(Tabla58[[#This Row],[Cod trabalhador]],'Altas Luminous'!B:E,1,0)&lt;&gt;"","LM",""),"")</f>
        <v/>
      </c>
      <c r="H147" s="51" t="str">
        <f>IFERROR(VLOOKUP(Tabla58[[#This Row],[Cod trabalhador]],'Altas Wiseowe'!B:E,3,FALSE),"")</f>
        <v/>
      </c>
      <c r="I147" s="51" t="str">
        <f>IF(OR(Tabla58[[#This Row],[Cod trabalhador]]="",ISBLANK(Tabla58[[#This Row],[Cod trabalhador]])),"",IFERROR(IF(VLOOKUP(Tabla58[[#This Row],[Cod trabalhador]],'Altas Wiseowe'!B:E,4,FALSE)=0,"",VLOOKUP(Tabla58[[#This Row],[Cod trabalhador]],'Altas Wiseowe'!B:E,4,FALSE)),""))</f>
        <v/>
      </c>
      <c r="J147" s="44">
        <f t="shared" si="5"/>
        <v>0</v>
      </c>
      <c r="K147" s="376" t="s">
        <v>4821</v>
      </c>
      <c r="L147" s="342" t="str">
        <f>IFERROR(IF(Tabla58[[#This Row],[Cod trabalhador]]="",Tabla58[[#This Row],[Cod trabalhador]], INDEX(Colaborador_ID[Nombre], MATCH(Tabla58[[#This Row],[Cod trabalhador]],Colaborador_ID[Cod_colab], 0))), "")</f>
        <v>LUIS EFRAIN ADRIANZEN MARCELO</v>
      </c>
      <c r="N147" s="405" t="s">
        <v>7339</v>
      </c>
      <c r="O147" s="26">
        <f>IFERROR(VLOOKUP(Tabla58[[#This Row],[Cod trabalhador]],Tabla15[],4,FALSE),"")</f>
        <v>15</v>
      </c>
      <c r="P147" s="92">
        <f>IFERROR(VLOOKUP(Tabla58[[#This Row],[Cod trabalhador]],'TotalHorasAjustadas (2)'!D:L,8,FALSE),"")</f>
        <v>172</v>
      </c>
      <c r="Q147" s="27">
        <v>172</v>
      </c>
      <c r="R147" s="28" t="s">
        <v>7532</v>
      </c>
      <c r="S147" s="28" t="s">
        <v>7539</v>
      </c>
      <c r="U147" s="25"/>
      <c r="V147" s="220"/>
      <c r="W147" s="27"/>
      <c r="X147" s="28"/>
      <c r="Y147" s="28"/>
      <c r="Z147" s="149"/>
      <c r="AA147" s="392" t="str">
        <f>IFERROR(VLOOKUP(Tabla58[[#This Row],[Cod trabalhador]],Alojamentos!B:P,11,FALSE),"")</f>
        <v/>
      </c>
      <c r="AB147" s="127"/>
      <c r="AC147" s="150"/>
      <c r="AD147" s="35">
        <f>Tabla58[[#This Row],[Dias de alta]]*7.058</f>
        <v>0</v>
      </c>
      <c r="AE147" s="46" t="str">
        <f>IFERROR(VLOOKUP(Tabla58[[#This Row],[Cod trabalhador]],Adiantamentos!B:L,7,FALSE),"")</f>
        <v/>
      </c>
      <c r="AF147" s="46">
        <f>IFERROR(VLOOKUP(Tabla58[[#This Row],[Cod trabalhador]],Carro!B:D,3,FALSE),"")</f>
        <v>64</v>
      </c>
      <c r="AG147" s="46" t="str">
        <f>IFERROR(VLOOKUP(Tabla58[[#This Row],[Cod trabalhador]],'Outros descontos'!B:O,7,FALSE),"")</f>
        <v/>
      </c>
      <c r="AH147" s="46" t="str">
        <f>IFERROR(VLOOKUP(Tabla58[[#This Row],[Cod trabalhador]],'Outros descontos'!B:M,8,FALSE),"")</f>
        <v/>
      </c>
      <c r="AI147" s="46" t="str">
        <f>IFERROR(VLOOKUP(Tabla58[[#This Row],[Cod trabalhador]],'Outros descontos'!B:M,9,FALSE),"")</f>
        <v/>
      </c>
      <c r="AJ147" s="46" t="str">
        <f>IFERROR(VLOOKUP(Tabla58[[#This Row],[Cod trabalhador]],'Outros descontos'!B:M,10,FALSE),"")</f>
        <v/>
      </c>
      <c r="AK147" s="46" t="str">
        <f>IFERROR(VLOOKUP(Tabla58[[#This Row],[Cod trabalhador]],'Outros descontos'!B:M,11,FALSE),"")</f>
        <v/>
      </c>
      <c r="AL147" s="46" t="str">
        <f>IFERROR(VLOOKUP(Tabla58[[#This Row],[Cod trabalhador]],'Outros descontos'!B:R,12,FALSE),"")</f>
        <v/>
      </c>
      <c r="AM147" s="46" t="str">
        <f>IFERROR(VLOOKUP(Tabla58[[#This Row],[Cod trabalhador]],'Outros descontos'!B:M,13,FALSE),"")</f>
        <v/>
      </c>
      <c r="AN147" s="41"/>
      <c r="AO147" s="37">
        <v>4.08</v>
      </c>
      <c r="AP147" s="15"/>
      <c r="AQ147"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2511.92</v>
      </c>
      <c r="AR147"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2511.92</v>
      </c>
      <c r="AS147" s="15"/>
      <c r="AT147" s="27" t="str">
        <f>IF(Tabla58[[#This Row],[Cod trabalhador]]="", "", INDEX(Iban!C:C, MATCH(Tabla58[[#This Row],[Cod trabalhador]],Iban!A:A, 0)))</f>
        <v>ES75 0049 7405 0526 1005 2569</v>
      </c>
      <c r="AU147" s="27"/>
      <c r="AV147" s="27"/>
      <c r="AW147" s="66" t="s">
        <v>7540</v>
      </c>
      <c r="AX147" s="296" t="s">
        <v>7472</v>
      </c>
    </row>
    <row r="148" spans="2:50" ht="16.5" hidden="1" customHeight="1" x14ac:dyDescent="0.3">
      <c r="B148" s="39" t="s">
        <v>5126</v>
      </c>
      <c r="C148" s="45" t="str">
        <f>IF(ISNUMBER(MATCH(Tabla58[[#This Row],[Cod trabalhador]],'Altas Wiseowe'!B:B, 0)), "Ativo", "Não ativo")</f>
        <v>Não ativo</v>
      </c>
      <c r="D148" s="44" t="str">
        <f>IFERROR(IF(VLOOKUP(Tabla58[[#This Row],[Cod trabalhador]],'Altas Industrial'!B:E,1,0)&lt;&gt;"","KI",""),"")</f>
        <v/>
      </c>
      <c r="E148" s="44" t="str">
        <f>IFERROR(IF(VLOOKUP(Tabla58[[#This Row],[Cod trabalhador]],'Altas Rosas'!B:F,1,0)&lt;&gt;"","KR",""),"")</f>
        <v/>
      </c>
      <c r="F148" s="44" t="str">
        <f>IFERROR(IF(VLOOKUP(Tabla58[[#This Row],[Cod trabalhador]],'Altas Wiseowe'!B:E,1,0)&lt;&gt;"","WS",""),"")</f>
        <v/>
      </c>
      <c r="G148" s="101" t="str">
        <f>IFERROR(IF(VLOOKUP(Tabla58[[#This Row],[Cod trabalhador]],'Altas Luminous'!B:E,1,0)&lt;&gt;"","LM",""),"")</f>
        <v/>
      </c>
      <c r="H148" s="51" t="str">
        <f>IFERROR(VLOOKUP(Tabla58[[#This Row],[Cod trabalhador]],'Altas Wiseowe'!B:E,3,FALSE),"")</f>
        <v/>
      </c>
      <c r="I148" s="51" t="str">
        <f>IF(OR(Tabla58[[#This Row],[Cod trabalhador]]="",ISBLANK(Tabla58[[#This Row],[Cod trabalhador]])),"",IFERROR(IF(VLOOKUP(Tabla58[[#This Row],[Cod trabalhador]],'Altas Wiseowe'!B:E,4,FALSE)=0,"",VLOOKUP(Tabla58[[#This Row],[Cod trabalhador]],'Altas Wiseowe'!B:E,4,FALSE)),""))</f>
        <v/>
      </c>
      <c r="J148" s="44">
        <f t="shared" si="5"/>
        <v>0</v>
      </c>
      <c r="K148" s="376" t="s">
        <v>7347</v>
      </c>
      <c r="L148" s="342" t="str">
        <f>IFERROR(IF(Tabla58[[#This Row],[Cod trabalhador]]="",Tabla58[[#This Row],[Cod trabalhador]], INDEX(Colaborador_ID[Nombre], MATCH(Tabla58[[#This Row],[Cod trabalhador]],Colaborador_ID[Cod_colab], 0))), "")</f>
        <v>MARIO LUIS FERNANDO PEDEMONTE RUIZ</v>
      </c>
      <c r="N148" s="405" t="s">
        <v>7339</v>
      </c>
      <c r="O148" s="26">
        <f>IFERROR(VLOOKUP(Tabla58[[#This Row],[Cod trabalhador]],Tabla15[],4,FALSE),"")</f>
        <v>15</v>
      </c>
      <c r="P148" s="92">
        <f>IFERROR(VLOOKUP(Tabla58[[#This Row],[Cod trabalhador]],'TotalHorasAjustadas (2)'!D:L,8,FALSE),"")</f>
        <v>171</v>
      </c>
      <c r="Q148" s="27">
        <v>171</v>
      </c>
      <c r="R148" s="28" t="s">
        <v>7532</v>
      </c>
      <c r="S148" s="28" t="s">
        <v>7539</v>
      </c>
      <c r="U148" s="25"/>
      <c r="V148" s="220"/>
      <c r="W148" s="27"/>
      <c r="X148" s="28"/>
      <c r="Y148" s="28"/>
      <c r="Z148" s="149"/>
      <c r="AA148" s="392" t="str">
        <f>IFERROR(VLOOKUP(Tabla58[[#This Row],[Cod trabalhador]],Alojamentos!B:P,11,FALSE),"")</f>
        <v/>
      </c>
      <c r="AB148" s="127"/>
      <c r="AC148" s="150"/>
      <c r="AD148" s="35">
        <f>Tabla58[[#This Row],[Dias de alta]]*7.058</f>
        <v>0</v>
      </c>
      <c r="AE148" s="46" t="str">
        <f>IFERROR(VLOOKUP(Tabla58[[#This Row],[Cod trabalhador]],Adiantamentos!B:L,7,FALSE),"")</f>
        <v/>
      </c>
      <c r="AF148" s="46">
        <f>IFERROR(VLOOKUP(Tabla58[[#This Row],[Cod trabalhador]],Carro!B:D,3,FALSE),"")</f>
        <v>64</v>
      </c>
      <c r="AG148" s="46" t="str">
        <f>IFERROR(VLOOKUP(Tabla58[[#This Row],[Cod trabalhador]],'Outros descontos'!B:O,7,FALSE),"")</f>
        <v/>
      </c>
      <c r="AH148" s="46" t="str">
        <f>IFERROR(VLOOKUP(Tabla58[[#This Row],[Cod trabalhador]],'Outros descontos'!B:M,8,FALSE),"")</f>
        <v/>
      </c>
      <c r="AI148" s="46" t="str">
        <f>IFERROR(VLOOKUP(Tabla58[[#This Row],[Cod trabalhador]],'Outros descontos'!B:M,9,FALSE),"")</f>
        <v/>
      </c>
      <c r="AJ148" s="46" t="str">
        <f>IFERROR(VLOOKUP(Tabla58[[#This Row],[Cod trabalhador]],'Outros descontos'!B:M,10,FALSE),"")</f>
        <v/>
      </c>
      <c r="AK148" s="46" t="str">
        <f>IFERROR(VLOOKUP(Tabla58[[#This Row],[Cod trabalhador]],'Outros descontos'!B:M,11,FALSE),"")</f>
        <v/>
      </c>
      <c r="AL148" s="46" t="str">
        <f>IFERROR(VLOOKUP(Tabla58[[#This Row],[Cod trabalhador]],'Outros descontos'!B:R,12,FALSE),"")</f>
        <v/>
      </c>
      <c r="AM148" s="46" t="str">
        <f>IFERROR(VLOOKUP(Tabla58[[#This Row],[Cod trabalhador]],'Outros descontos'!B:M,13,FALSE),"")</f>
        <v/>
      </c>
      <c r="AN148" s="41"/>
      <c r="AO148" s="37">
        <v>4.08</v>
      </c>
      <c r="AP148" s="15"/>
      <c r="AQ148"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2496.92</v>
      </c>
      <c r="AR148"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2496.92</v>
      </c>
      <c r="AS148" s="15"/>
      <c r="AT148" s="27" t="str">
        <f>IF(Tabla58[[#This Row],[Cod trabalhador]]="", "", INDEX(Iban!C:C, MATCH(Tabla58[[#This Row],[Cod trabalhador]],Iban!A:A, 0)))</f>
        <v>ES88 0182 0689 1302 0161 5163</v>
      </c>
      <c r="AU148" s="27"/>
      <c r="AV148" s="27"/>
      <c r="AW148" s="66" t="s">
        <v>7540</v>
      </c>
      <c r="AX148" s="296" t="s">
        <v>7472</v>
      </c>
    </row>
    <row r="149" spans="2:50" ht="16.5" hidden="1" customHeight="1" x14ac:dyDescent="0.3">
      <c r="B149" s="39" t="s">
        <v>5466</v>
      </c>
      <c r="C149" s="45" t="str">
        <f>IF(ISNUMBER(MATCH(Tabla58[[#This Row],[Cod trabalhador]],'Altas Wiseowe'!B:B, 0)), "Ativo", "Não ativo")</f>
        <v>Não ativo</v>
      </c>
      <c r="D149" s="44" t="str">
        <f>IFERROR(IF(VLOOKUP(Tabla58[[#This Row],[Cod trabalhador]],'Altas Industrial'!B:E,1,0)&lt;&gt;"","KI",""),"")</f>
        <v/>
      </c>
      <c r="E149" s="44" t="str">
        <f>IFERROR(IF(VLOOKUP(Tabla58[[#This Row],[Cod trabalhador]],'Altas Rosas'!B:F,1,0)&lt;&gt;"","KR",""),"")</f>
        <v/>
      </c>
      <c r="F149" s="44" t="str">
        <f>IFERROR(IF(VLOOKUP(Tabla58[[#This Row],[Cod trabalhador]],'Altas Wiseowe'!B:E,1,0)&lt;&gt;"","WS",""),"")</f>
        <v/>
      </c>
      <c r="G149" s="101" t="str">
        <f>IFERROR(IF(VLOOKUP(Tabla58[[#This Row],[Cod trabalhador]],'Altas Luminous'!B:E,1,0)&lt;&gt;"","LM",""),"")</f>
        <v/>
      </c>
      <c r="H149" s="51" t="str">
        <f>IFERROR(VLOOKUP(Tabla58[[#This Row],[Cod trabalhador]],'Altas Wiseowe'!B:E,3,FALSE),"")</f>
        <v/>
      </c>
      <c r="I149" s="51" t="str">
        <f>IF(OR(Tabla58[[#This Row],[Cod trabalhador]]="",ISBLANK(Tabla58[[#This Row],[Cod trabalhador]])),"",IFERROR(IF(VLOOKUP(Tabla58[[#This Row],[Cod trabalhador]],'Altas Wiseowe'!B:E,4,FALSE)=0,"",VLOOKUP(Tabla58[[#This Row],[Cod trabalhador]],'Altas Wiseowe'!B:E,4,FALSE)),""))</f>
        <v/>
      </c>
      <c r="J149" s="44">
        <f t="shared" si="5"/>
        <v>0</v>
      </c>
      <c r="K149" s="376" t="s">
        <v>7348</v>
      </c>
      <c r="L149" s="342" t="str">
        <f>IFERROR(IF(Tabla58[[#This Row],[Cod trabalhador]]="",Tabla58[[#This Row],[Cod trabalhador]], INDEX(Colaborador_ID[Nombre], MATCH(Tabla58[[#This Row],[Cod trabalhador]],Colaborador_ID[Cod_colab], 0))), "")</f>
        <v>NESTOR ALEXANDER VIERA CANALES</v>
      </c>
      <c r="N149" s="405" t="s">
        <v>7339</v>
      </c>
      <c r="O149" s="26">
        <f>IFERROR(VLOOKUP(Tabla58[[#This Row],[Cod trabalhador]],Tabla15[],4,FALSE),"")</f>
        <v>15</v>
      </c>
      <c r="P149" s="92">
        <f>IFERROR(VLOOKUP(Tabla58[[#This Row],[Cod trabalhador]],'TotalHorasAjustadas (2)'!D:L,8,FALSE),"")</f>
        <v>172</v>
      </c>
      <c r="Q149" s="27">
        <v>172</v>
      </c>
      <c r="R149" s="28" t="s">
        <v>7532</v>
      </c>
      <c r="S149" s="28" t="s">
        <v>7539</v>
      </c>
      <c r="U149" s="25"/>
      <c r="V149" s="220"/>
      <c r="W149" s="27"/>
      <c r="X149" s="28"/>
      <c r="Y149" s="28"/>
      <c r="Z149" s="149"/>
      <c r="AA149" s="392" t="str">
        <f>IFERROR(VLOOKUP(Tabla58[[#This Row],[Cod trabalhador]],Alojamentos!B:P,11,FALSE),"")</f>
        <v/>
      </c>
      <c r="AB149" s="127"/>
      <c r="AC149" s="150"/>
      <c r="AD149" s="35">
        <f>Tabla58[[#This Row],[Dias de alta]]*7.058</f>
        <v>0</v>
      </c>
      <c r="AE149" s="46" t="str">
        <f>IFERROR(VLOOKUP(Tabla58[[#This Row],[Cod trabalhador]],Adiantamentos!B:L,7,FALSE),"")</f>
        <v/>
      </c>
      <c r="AF149" s="46">
        <f>IFERROR(VLOOKUP(Tabla58[[#This Row],[Cod trabalhador]],Carro!B:D,3,FALSE),"")</f>
        <v>64</v>
      </c>
      <c r="AG149" s="46" t="str">
        <f>IFERROR(VLOOKUP(Tabla58[[#This Row],[Cod trabalhador]],'Outros descontos'!B:O,7,FALSE),"")</f>
        <v/>
      </c>
      <c r="AH149" s="46" t="str">
        <f>IFERROR(VLOOKUP(Tabla58[[#This Row],[Cod trabalhador]],'Outros descontos'!B:M,8,FALSE),"")</f>
        <v/>
      </c>
      <c r="AI149" s="46" t="str">
        <f>IFERROR(VLOOKUP(Tabla58[[#This Row],[Cod trabalhador]],'Outros descontos'!B:M,9,FALSE),"")</f>
        <v/>
      </c>
      <c r="AJ149" s="46" t="str">
        <f>IFERROR(VLOOKUP(Tabla58[[#This Row],[Cod trabalhador]],'Outros descontos'!B:M,10,FALSE),"")</f>
        <v/>
      </c>
      <c r="AK149" s="46" t="str">
        <f>IFERROR(VLOOKUP(Tabla58[[#This Row],[Cod trabalhador]],'Outros descontos'!B:M,11,FALSE),"")</f>
        <v/>
      </c>
      <c r="AL149" s="46" t="str">
        <f>IFERROR(VLOOKUP(Tabla58[[#This Row],[Cod trabalhador]],'Outros descontos'!B:R,12,FALSE),"")</f>
        <v/>
      </c>
      <c r="AM149" s="46" t="str">
        <f>IFERROR(VLOOKUP(Tabla58[[#This Row],[Cod trabalhador]],'Outros descontos'!B:M,13,FALSE),"")</f>
        <v/>
      </c>
      <c r="AN149" s="41"/>
      <c r="AO149" s="37">
        <v>4.08</v>
      </c>
      <c r="AP149" s="15"/>
      <c r="AQ149"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2511.92</v>
      </c>
      <c r="AR149"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2511.92</v>
      </c>
      <c r="AS149" s="15"/>
      <c r="AT149" s="27" t="str">
        <f>IF(Tabla58[[#This Row],[Cod trabalhador]]="", "", INDEX(Iban!C:C, MATCH(Tabla58[[#This Row],[Cod trabalhador]],Iban!A:A, 0)))</f>
        <v>ES43 6893 0001 7800 0034 0517</v>
      </c>
      <c r="AU149" s="27"/>
      <c r="AV149" s="97"/>
      <c r="AW149" s="66" t="s">
        <v>7540</v>
      </c>
      <c r="AX149" s="296" t="s">
        <v>7472</v>
      </c>
    </row>
    <row r="150" spans="2:50" ht="16.5" hidden="1" customHeight="1" x14ac:dyDescent="0.3">
      <c r="B150" s="39" t="s">
        <v>5766</v>
      </c>
      <c r="C150" s="45" t="str">
        <f>IF(ISNUMBER(MATCH(Tabla58[[#This Row],[Cod trabalhador]],'Altas Wiseowe'!B:B, 0)), "Ativo", "Não ativo")</f>
        <v>Não ativo</v>
      </c>
      <c r="D150" s="44" t="str">
        <f>IFERROR(IF(VLOOKUP(Tabla58[[#This Row],[Cod trabalhador]],'Altas Industrial'!B:E,1,0)&lt;&gt;"","KI",""),"")</f>
        <v/>
      </c>
      <c r="E150" s="44" t="str">
        <f>IFERROR(IF(VLOOKUP(Tabla58[[#This Row],[Cod trabalhador]],'Altas Rosas'!B:F,1,0)&lt;&gt;"","KR",""),"")</f>
        <v/>
      </c>
      <c r="F150" s="44" t="str">
        <f>IFERROR(IF(VLOOKUP(Tabla58[[#This Row],[Cod trabalhador]],'Altas Wiseowe'!B:E,1,0)&lt;&gt;"","WS",""),"")</f>
        <v/>
      </c>
      <c r="G150" s="101" t="str">
        <f>IFERROR(IF(VLOOKUP(Tabla58[[#This Row],[Cod trabalhador]],'Altas Luminous'!B:E,1,0)&lt;&gt;"","LM",""),"")</f>
        <v/>
      </c>
      <c r="H150" s="51" t="str">
        <f>IFERROR(VLOOKUP(Tabla58[[#This Row],[Cod trabalhador]],'Altas Wiseowe'!B:E,3,FALSE),"")</f>
        <v/>
      </c>
      <c r="I150" s="51" t="str">
        <f>IF(OR(Tabla58[[#This Row],[Cod trabalhador]]="",ISBLANK(Tabla58[[#This Row],[Cod trabalhador]])),"",IFERROR(IF(VLOOKUP(Tabla58[[#This Row],[Cod trabalhador]],'Altas Wiseowe'!B:E,4,FALSE)=0,"",VLOOKUP(Tabla58[[#This Row],[Cod trabalhador]],'Altas Wiseowe'!B:E,4,FALSE)),""))</f>
        <v/>
      </c>
      <c r="J150" s="44">
        <f t="shared" si="5"/>
        <v>0</v>
      </c>
      <c r="K150" s="376" t="s">
        <v>5767</v>
      </c>
      <c r="L150" s="342" t="str">
        <f>IFERROR(IF(Tabla58[[#This Row],[Cod trabalhador]]="",Tabla58[[#This Row],[Cod trabalhador]], INDEX(Colaborador_ID[Nombre], MATCH(Tabla58[[#This Row],[Cod trabalhador]],Colaborador_ID[Cod_colab], 0))), "")</f>
        <v>PEDRO JOSE PAEZ</v>
      </c>
      <c r="N150" s="405" t="s">
        <v>7339</v>
      </c>
      <c r="O150" s="26">
        <f>IFERROR(VLOOKUP(Tabla58[[#This Row],[Cod trabalhador]],Tabla15[],4,FALSE),"")</f>
        <v>15</v>
      </c>
      <c r="P150" s="92">
        <f>IFERROR(VLOOKUP(Tabla58[[#This Row],[Cod trabalhador]],'TotalHorasAjustadas (2)'!D:L,8,FALSE),"")</f>
        <v>33</v>
      </c>
      <c r="Q150" s="27">
        <v>33</v>
      </c>
      <c r="R150" s="28" t="s">
        <v>7532</v>
      </c>
      <c r="S150" s="28" t="s">
        <v>7539</v>
      </c>
      <c r="U150" s="25"/>
      <c r="V150" s="220"/>
      <c r="W150" s="27"/>
      <c r="X150" s="28"/>
      <c r="Y150" s="28"/>
      <c r="Z150" s="149"/>
      <c r="AA150" s="392" t="str">
        <f>IFERROR(VLOOKUP(Tabla58[[#This Row],[Cod trabalhador]],Alojamentos!B:P,11,FALSE),"")</f>
        <v/>
      </c>
      <c r="AB150" s="127"/>
      <c r="AC150" s="150"/>
      <c r="AD150" s="35">
        <f>Tabla58[[#This Row],[Dias de alta]]*7.058</f>
        <v>0</v>
      </c>
      <c r="AE150" s="46" t="str">
        <f>IFERROR(VLOOKUP(Tabla58[[#This Row],[Cod trabalhador]],Adiantamentos!B:L,7,FALSE),"")</f>
        <v/>
      </c>
      <c r="AF150" s="46" t="str">
        <f>IFERROR(VLOOKUP(Tabla58[[#This Row],[Cod trabalhador]],Carro!B:D,3,FALSE),"")</f>
        <v/>
      </c>
      <c r="AG150" s="46" t="str">
        <f>IFERROR(VLOOKUP(Tabla58[[#This Row],[Cod trabalhador]],'Outros descontos'!B:O,7,FALSE),"")</f>
        <v/>
      </c>
      <c r="AH150" s="46" t="str">
        <f>IFERROR(VLOOKUP(Tabla58[[#This Row],[Cod trabalhador]],'Outros descontos'!B:M,8,FALSE),"")</f>
        <v/>
      </c>
      <c r="AI150" s="46" t="str">
        <f>IFERROR(VLOOKUP(Tabla58[[#This Row],[Cod trabalhador]],'Outros descontos'!B:M,9,FALSE),"")</f>
        <v/>
      </c>
      <c r="AJ150" s="46" t="str">
        <f>IFERROR(VLOOKUP(Tabla58[[#This Row],[Cod trabalhador]],'Outros descontos'!B:M,10,FALSE),"")</f>
        <v/>
      </c>
      <c r="AK150" s="46" t="str">
        <f>IFERROR(VLOOKUP(Tabla58[[#This Row],[Cod trabalhador]],'Outros descontos'!B:M,11,FALSE),"")</f>
        <v/>
      </c>
      <c r="AL150" s="46" t="str">
        <f>IFERROR(VLOOKUP(Tabla58[[#This Row],[Cod trabalhador]],'Outros descontos'!B:R,12,FALSE),"")</f>
        <v/>
      </c>
      <c r="AM150" s="46" t="str">
        <f>IFERROR(VLOOKUP(Tabla58[[#This Row],[Cod trabalhador]],'Outros descontos'!B:M,13,FALSE),"")</f>
        <v/>
      </c>
      <c r="AN150" s="41"/>
      <c r="AO150" s="37">
        <v>4.08</v>
      </c>
      <c r="AP150" s="15"/>
      <c r="AQ150"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490.92</v>
      </c>
      <c r="AR150"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490.92</v>
      </c>
      <c r="AS150" s="15"/>
      <c r="AT150" s="27" t="str">
        <f>IF(Tabla58[[#This Row],[Cod trabalhador]]="", "", INDEX(Iban!C:C, MATCH(Tabla58[[#This Row],[Cod trabalhador]],Iban!A:A, 0)))</f>
        <v>BE32 9056 9162 8902</v>
      </c>
      <c r="AU150" s="27"/>
      <c r="AV150" s="97"/>
      <c r="AW150" s="66" t="s">
        <v>7540</v>
      </c>
      <c r="AX150" s="296" t="s">
        <v>7472</v>
      </c>
    </row>
    <row r="151" spans="2:50" ht="16.5" hidden="1" customHeight="1" x14ac:dyDescent="0.3">
      <c r="B151" s="39" t="s">
        <v>5818</v>
      </c>
      <c r="C151" s="45" t="str">
        <f>IF(ISNUMBER(MATCH(Tabla58[[#This Row],[Cod trabalhador]],'Altas Wiseowe'!B:B, 0)), "Ativo", "Não ativo")</f>
        <v>Ativo</v>
      </c>
      <c r="D151" s="44" t="str">
        <f>IFERROR(IF(VLOOKUP(Tabla58[[#This Row],[Cod trabalhador]],'Altas Industrial'!B:E,1,0)&lt;&gt;"","KI",""),"")</f>
        <v/>
      </c>
      <c r="E151" s="44" t="str">
        <f>IFERROR(IF(VLOOKUP(Tabla58[[#This Row],[Cod trabalhador]],'Altas Rosas'!B:F,1,0)&lt;&gt;"","KR",""),"")</f>
        <v/>
      </c>
      <c r="F151" s="44" t="str">
        <f>IFERROR(IF(VLOOKUP(Tabla58[[#This Row],[Cod trabalhador]],'Altas Wiseowe'!B:E,1,0)&lt;&gt;"","WS",""),"")</f>
        <v>WS</v>
      </c>
      <c r="G151" s="101" t="str">
        <f>IFERROR(IF(VLOOKUP(Tabla58[[#This Row],[Cod trabalhador]],'Altas Luminous'!B:E,1,0)&lt;&gt;"","LM",""),"")</f>
        <v/>
      </c>
      <c r="H151" s="51">
        <f>IFERROR(VLOOKUP(Tabla58[[#This Row],[Cod trabalhador]],'Altas Wiseowe'!B:E,3,FALSE),"")</f>
        <v>45980</v>
      </c>
      <c r="I151" s="51" t="str">
        <f>IF(OR(Tabla58[[#This Row],[Cod trabalhador]]="",ISBLANK(Tabla58[[#This Row],[Cod trabalhador]])),"",IFERROR(IF(VLOOKUP(Tabla58[[#This Row],[Cod trabalhador]],'Altas Wiseowe'!B:E,4,FALSE)=0,"",VLOOKUP(Tabla58[[#This Row],[Cod trabalhador]],'Altas Wiseowe'!B:E,4,FALSE)),""))</f>
        <v/>
      </c>
      <c r="J151" s="44">
        <f t="shared" si="5"/>
        <v>31</v>
      </c>
      <c r="K151" s="376" t="s">
        <v>7349</v>
      </c>
      <c r="L151" s="342" t="str">
        <f>IFERROR(IF(Tabla58[[#This Row],[Cod trabalhador]]="",Tabla58[[#This Row],[Cod trabalhador]], INDEX(Colaborador_ID[Nombre], MATCH(Tabla58[[#This Row],[Cod trabalhador]],Colaborador_ID[Cod_colab], 0))), "")</f>
        <v>PROSPERO SUAREZ PASTRAN</v>
      </c>
      <c r="N151" s="405" t="s">
        <v>7339</v>
      </c>
      <c r="O151" s="26">
        <f>IFERROR(VLOOKUP(Tabla58[[#This Row],[Cod trabalhador]],Tabla15[],4,FALSE),"")</f>
        <v>15</v>
      </c>
      <c r="P151" s="92">
        <f>IFERROR(VLOOKUP(Tabla58[[#This Row],[Cod trabalhador]],'TotalHorasAjustadas (2)'!D:L,8,FALSE),"")</f>
        <v>223</v>
      </c>
      <c r="Q151" s="27">
        <v>223</v>
      </c>
      <c r="R151" s="28" t="s">
        <v>7532</v>
      </c>
      <c r="S151" s="28" t="s">
        <v>7539</v>
      </c>
      <c r="U151" s="25"/>
      <c r="V151" s="220"/>
      <c r="W151" s="27"/>
      <c r="X151" s="28"/>
      <c r="Y151" s="28"/>
      <c r="Z151" s="149"/>
      <c r="AA151" s="392" t="str">
        <f>IFERROR(VLOOKUP(Tabla58[[#This Row],[Cod trabalhador]],Alojamentos!B:P,11,FALSE),"")</f>
        <v/>
      </c>
      <c r="AB151" s="127"/>
      <c r="AC151" s="150"/>
      <c r="AD151" s="35">
        <f>Tabla58[[#This Row],[Dias de alta]]*7.058</f>
        <v>218.798</v>
      </c>
      <c r="AE151" s="46" t="str">
        <f>IFERROR(VLOOKUP(Tabla58[[#This Row],[Cod trabalhador]],Adiantamentos!B:L,7,FALSE),"")</f>
        <v/>
      </c>
      <c r="AF151" s="46">
        <f>IFERROR(VLOOKUP(Tabla58[[#This Row],[Cod trabalhador]],Carro!B:D,3,FALSE),"")</f>
        <v>126.66666666666667</v>
      </c>
      <c r="AG151" s="46" t="str">
        <f>IFERROR(VLOOKUP(Tabla58[[#This Row],[Cod trabalhador]],'Outros descontos'!B:O,7,FALSE),"")</f>
        <v/>
      </c>
      <c r="AH151" s="46" t="str">
        <f>IFERROR(VLOOKUP(Tabla58[[#This Row],[Cod trabalhador]],'Outros descontos'!B:M,8,FALSE),"")</f>
        <v/>
      </c>
      <c r="AI151" s="46" t="str">
        <f>IFERROR(VLOOKUP(Tabla58[[#This Row],[Cod trabalhador]],'Outros descontos'!B:M,9,FALSE),"")</f>
        <v/>
      </c>
      <c r="AJ151" s="46" t="str">
        <f>IFERROR(VLOOKUP(Tabla58[[#This Row],[Cod trabalhador]],'Outros descontos'!B:M,10,FALSE),"")</f>
        <v/>
      </c>
      <c r="AK151" s="46" t="str">
        <f>IFERROR(VLOOKUP(Tabla58[[#This Row],[Cod trabalhador]],'Outros descontos'!B:M,11,FALSE),"")</f>
        <v/>
      </c>
      <c r="AL151" s="46" t="str">
        <f>IFERROR(VLOOKUP(Tabla58[[#This Row],[Cod trabalhador]],'Outros descontos'!B:R,12,FALSE),"")</f>
        <v/>
      </c>
      <c r="AM151" s="46" t="str">
        <f>IFERROR(VLOOKUP(Tabla58[[#This Row],[Cod trabalhador]],'Outros descontos'!B:M,13,FALSE),"")</f>
        <v/>
      </c>
      <c r="AN151" s="41"/>
      <c r="AO151" s="37">
        <v>4.08</v>
      </c>
      <c r="AP151" s="15"/>
      <c r="AQ151"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2995.4553333333338</v>
      </c>
      <c r="AR151"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2995.4553333333338</v>
      </c>
      <c r="AS151" s="15"/>
      <c r="AT151" s="27" t="str">
        <f>IF(Tabla58[[#This Row],[Cod trabalhador]]="", "", INDEX(Iban!C:C, MATCH(Tabla58[[#This Row],[Cod trabalhador]],Iban!A:A, 0)))</f>
        <v>BE43 9057 7267 2301</v>
      </c>
      <c r="AU151" s="27"/>
      <c r="AV151" s="27"/>
      <c r="AW151" s="66" t="s">
        <v>7540</v>
      </c>
      <c r="AX151" s="296" t="s">
        <v>7472</v>
      </c>
    </row>
    <row r="152" spans="2:50" ht="16.5" hidden="1" customHeight="1" x14ac:dyDescent="0.3">
      <c r="B152" s="39" t="s">
        <v>6128</v>
      </c>
      <c r="C152" s="45" t="str">
        <f>IF(ISNUMBER(MATCH(Tabla58[[#This Row],[Cod trabalhador]],'Altas Wiseowe'!B:B, 0)), "Ativo", "Não ativo")</f>
        <v>Não ativo</v>
      </c>
      <c r="D152" s="44" t="str">
        <f>IFERROR(IF(VLOOKUP(Tabla58[[#This Row],[Cod trabalhador]],'Altas Industrial'!B:E,1,0)&lt;&gt;"","KI",""),"")</f>
        <v/>
      </c>
      <c r="E152" s="44" t="str">
        <f>IFERROR(IF(VLOOKUP(Tabla58[[#This Row],[Cod trabalhador]],'Altas Rosas'!B:F,1,0)&lt;&gt;"","KR",""),"")</f>
        <v/>
      </c>
      <c r="F152" s="44" t="str">
        <f>IFERROR(IF(VLOOKUP(Tabla58[[#This Row],[Cod trabalhador]],'Altas Wiseowe'!B:E,1,0)&lt;&gt;"","WS",""),"")</f>
        <v/>
      </c>
      <c r="G152" s="101" t="str">
        <f>IFERROR(IF(VLOOKUP(Tabla58[[#This Row],[Cod trabalhador]],'Altas Luminous'!B:E,1,0)&lt;&gt;"","LM",""),"")</f>
        <v/>
      </c>
      <c r="H152" s="51" t="str">
        <f>IFERROR(VLOOKUP(Tabla58[[#This Row],[Cod trabalhador]],'Altas Wiseowe'!B:E,3,FALSE),"")</f>
        <v/>
      </c>
      <c r="I152" s="51" t="str">
        <f>IF(OR(Tabla58[[#This Row],[Cod trabalhador]]="",ISBLANK(Tabla58[[#This Row],[Cod trabalhador]])),"",IFERROR(IF(VLOOKUP(Tabla58[[#This Row],[Cod trabalhador]],'Altas Wiseowe'!B:E,4,FALSE)=0,"",VLOOKUP(Tabla58[[#This Row],[Cod trabalhador]],'Altas Wiseowe'!B:E,4,FALSE)),""))</f>
        <v/>
      </c>
      <c r="J152" s="44">
        <f t="shared" si="5"/>
        <v>0</v>
      </c>
      <c r="K152" s="376" t="s">
        <v>6129</v>
      </c>
      <c r="L152" s="342" t="str">
        <f>IFERROR(IF(Tabla58[[#This Row],[Cod trabalhador]]="",Tabla58[[#This Row],[Cod trabalhador]], INDEX(Colaborador_ID[Nombre], MATCH(Tabla58[[#This Row],[Cod trabalhador]],Colaborador_ID[Cod_colab], 0))), "")</f>
        <v>ROLFI ESTEBAN TORRES SOTELO</v>
      </c>
      <c r="N152" s="405" t="s">
        <v>7339</v>
      </c>
      <c r="O152" s="26">
        <f>IFERROR(VLOOKUP(Tabla58[[#This Row],[Cod trabalhador]],Tabla15[],4,FALSE),"")</f>
        <v>15</v>
      </c>
      <c r="P152" s="92">
        <f>IFERROR(VLOOKUP(Tabla58[[#This Row],[Cod trabalhador]],'TotalHorasAjustadas (2)'!D:L,8,FALSE),"")</f>
        <v>304</v>
      </c>
      <c r="Q152" s="27">
        <v>304</v>
      </c>
      <c r="R152" s="28" t="s">
        <v>7532</v>
      </c>
      <c r="S152" s="28" t="s">
        <v>7539</v>
      </c>
      <c r="U152" s="25"/>
      <c r="V152" s="220"/>
      <c r="W152" s="27"/>
      <c r="X152" s="28"/>
      <c r="Y152" s="28"/>
      <c r="Z152" s="149"/>
      <c r="AA152" s="392">
        <f>IFERROR(VLOOKUP(Tabla58[[#This Row],[Cod trabalhador]],Alojamentos!B:P,11,FALSE),"")</f>
        <v>120</v>
      </c>
      <c r="AB152" s="127"/>
      <c r="AC152" s="150"/>
      <c r="AD152" s="35">
        <f>Tabla58[[#This Row],[Dias de alta]]*7.058</f>
        <v>0</v>
      </c>
      <c r="AE152" s="46" t="str">
        <f>IFERROR(VLOOKUP(Tabla58[[#This Row],[Cod trabalhador]],Adiantamentos!B:L,7,FALSE),"")</f>
        <v/>
      </c>
      <c r="AF152" s="46">
        <f>IFERROR(VLOOKUP(Tabla58[[#This Row],[Cod trabalhador]],Carro!B:D,3,FALSE),"")</f>
        <v>100</v>
      </c>
      <c r="AG152" s="46" t="str">
        <f>IFERROR(VLOOKUP(Tabla58[[#This Row],[Cod trabalhador]],'Outros descontos'!B:O,7,FALSE),"")</f>
        <v/>
      </c>
      <c r="AH152" s="46" t="str">
        <f>IFERROR(VLOOKUP(Tabla58[[#This Row],[Cod trabalhador]],'Outros descontos'!B:M,8,FALSE),"")</f>
        <v/>
      </c>
      <c r="AI152" s="46" t="str">
        <f>IFERROR(VLOOKUP(Tabla58[[#This Row],[Cod trabalhador]],'Outros descontos'!B:M,9,FALSE),"")</f>
        <v/>
      </c>
      <c r="AJ152" s="46" t="str">
        <f>IFERROR(VLOOKUP(Tabla58[[#This Row],[Cod trabalhador]],'Outros descontos'!B:M,10,FALSE),"")</f>
        <v/>
      </c>
      <c r="AK152" s="46" t="str">
        <f>IFERROR(VLOOKUP(Tabla58[[#This Row],[Cod trabalhador]],'Outros descontos'!B:M,11,FALSE),"")</f>
        <v/>
      </c>
      <c r="AL152" s="46" t="str">
        <f>IFERROR(VLOOKUP(Tabla58[[#This Row],[Cod trabalhador]],'Outros descontos'!B:R,12,FALSE),"")</f>
        <v/>
      </c>
      <c r="AM152" s="46" t="str">
        <f>IFERROR(VLOOKUP(Tabla58[[#This Row],[Cod trabalhador]],'Outros descontos'!B:M,13,FALSE),"")</f>
        <v/>
      </c>
      <c r="AN152" s="41"/>
      <c r="AO152" s="37">
        <v>4.08</v>
      </c>
      <c r="AP152" s="15"/>
      <c r="AQ152"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4575.92</v>
      </c>
      <c r="AR152"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4575.92</v>
      </c>
      <c r="AS152" s="15"/>
      <c r="AT152" s="27" t="str">
        <f>IF(Tabla58[[#This Row],[Cod trabalhador]]="", "", INDEX(Iban!C:C, MATCH(Tabla58[[#This Row],[Cod trabalhador]],Iban!A:A, 0)))</f>
        <v>ES48 0182 2808 8102 0159 9042</v>
      </c>
      <c r="AU152" s="27"/>
      <c r="AV152" s="27"/>
      <c r="AW152" s="66" t="s">
        <v>7540</v>
      </c>
      <c r="AX152" s="296" t="s">
        <v>7472</v>
      </c>
    </row>
    <row r="153" spans="2:50" ht="16.5" hidden="1" customHeight="1" x14ac:dyDescent="0.3">
      <c r="B153" s="39" t="s">
        <v>6135</v>
      </c>
      <c r="C153" s="45" t="str">
        <f>IF(ISNUMBER(MATCH(Tabla58[[#This Row],[Cod trabalhador]],'Altas Wiseowe'!B:B, 0)), "Ativo", "Não ativo")</f>
        <v>Não ativo</v>
      </c>
      <c r="D153" s="44" t="str">
        <f>IFERROR(IF(VLOOKUP(Tabla58[[#This Row],[Cod trabalhador]],'Altas Industrial'!B:E,1,0)&lt;&gt;"","KI",""),"")</f>
        <v/>
      </c>
      <c r="E153" s="44" t="str">
        <f>IFERROR(IF(VLOOKUP(Tabla58[[#This Row],[Cod trabalhador]],'Altas Rosas'!B:F,1,0)&lt;&gt;"","KR",""),"")</f>
        <v/>
      </c>
      <c r="F153" s="44" t="str">
        <f>IFERROR(IF(VLOOKUP(Tabla58[[#This Row],[Cod trabalhador]],'Altas Wiseowe'!B:E,1,0)&lt;&gt;"","WS",""),"")</f>
        <v/>
      </c>
      <c r="G153" s="101" t="str">
        <f>IFERROR(IF(VLOOKUP(Tabla58[[#This Row],[Cod trabalhador]],'Altas Luminous'!B:E,1,0)&lt;&gt;"","LM",""),"")</f>
        <v/>
      </c>
      <c r="H153" s="51" t="str">
        <f>IFERROR(VLOOKUP(Tabla58[[#This Row],[Cod trabalhador]],'Altas Wiseowe'!B:E,3,FALSE),"")</f>
        <v/>
      </c>
      <c r="I153" s="51" t="str">
        <f>IF(OR(Tabla58[[#This Row],[Cod trabalhador]]="",ISBLANK(Tabla58[[#This Row],[Cod trabalhador]])),"",IFERROR(IF(VLOOKUP(Tabla58[[#This Row],[Cod trabalhador]],'Altas Wiseowe'!B:E,4,FALSE)=0,"",VLOOKUP(Tabla58[[#This Row],[Cod trabalhador]],'Altas Wiseowe'!B:E,4,FALSE)),""))</f>
        <v/>
      </c>
      <c r="J153" s="44">
        <f t="shared" si="5"/>
        <v>0</v>
      </c>
      <c r="K153" s="376" t="s">
        <v>6136</v>
      </c>
      <c r="L153" s="342" t="str">
        <f>IFERROR(IF(Tabla58[[#This Row],[Cod trabalhador]]="",Tabla58[[#This Row],[Cod trabalhador]], INDEX(Colaborador_ID[Nombre], MATCH(Tabla58[[#This Row],[Cod trabalhador]],Colaborador_ID[Cod_colab], 0))), "")</f>
        <v>ROMEL YBAN TUFINIO ZOCON</v>
      </c>
      <c r="N153" s="405" t="s">
        <v>7339</v>
      </c>
      <c r="O153" s="26">
        <f>IFERROR(VLOOKUP(Tabla58[[#This Row],[Cod trabalhador]],Tabla15[],4,FALSE),"")</f>
        <v>15</v>
      </c>
      <c r="P153" s="92">
        <f>IFERROR(VLOOKUP(Tabla58[[#This Row],[Cod trabalhador]],'TotalHorasAjustadas (2)'!D:L,8,FALSE),"")</f>
        <v>304</v>
      </c>
      <c r="Q153" s="27">
        <v>304</v>
      </c>
      <c r="R153" s="28" t="s">
        <v>7532</v>
      </c>
      <c r="S153" s="28" t="s">
        <v>7539</v>
      </c>
      <c r="U153" s="25"/>
      <c r="V153" s="220"/>
      <c r="W153" s="27"/>
      <c r="X153" s="28"/>
      <c r="Y153" s="28"/>
      <c r="Z153" s="149"/>
      <c r="AA153" s="392">
        <f>IFERROR(VLOOKUP(Tabla58[[#This Row],[Cod trabalhador]],Alojamentos!B:P,11,FALSE),"")</f>
        <v>120</v>
      </c>
      <c r="AB153" s="127"/>
      <c r="AC153" s="150"/>
      <c r="AD153" s="35">
        <f>Tabla58[[#This Row],[Dias de alta]]*7.058</f>
        <v>0</v>
      </c>
      <c r="AE153" s="46" t="str">
        <f>IFERROR(VLOOKUP(Tabla58[[#This Row],[Cod trabalhador]],Adiantamentos!B:L,7,FALSE),"")</f>
        <v/>
      </c>
      <c r="AF153" s="46">
        <f>IFERROR(VLOOKUP(Tabla58[[#This Row],[Cod trabalhador]],Carro!B:D,3,FALSE),"")</f>
        <v>100</v>
      </c>
      <c r="AG153" s="46" t="str">
        <f>IFERROR(VLOOKUP(Tabla58[[#This Row],[Cod trabalhador]],'Outros descontos'!B:O,7,FALSE),"")</f>
        <v/>
      </c>
      <c r="AH153" s="46" t="str">
        <f>IFERROR(VLOOKUP(Tabla58[[#This Row],[Cod trabalhador]],'Outros descontos'!B:M,8,FALSE),"")</f>
        <v/>
      </c>
      <c r="AI153" s="46" t="str">
        <f>IFERROR(VLOOKUP(Tabla58[[#This Row],[Cod trabalhador]],'Outros descontos'!B:M,9,FALSE),"")</f>
        <v/>
      </c>
      <c r="AJ153" s="46" t="str">
        <f>IFERROR(VLOOKUP(Tabla58[[#This Row],[Cod trabalhador]],'Outros descontos'!B:M,10,FALSE),"")</f>
        <v/>
      </c>
      <c r="AK153" s="46" t="str">
        <f>IFERROR(VLOOKUP(Tabla58[[#This Row],[Cod trabalhador]],'Outros descontos'!B:M,11,FALSE),"")</f>
        <v/>
      </c>
      <c r="AL153" s="46" t="str">
        <f>IFERROR(VLOOKUP(Tabla58[[#This Row],[Cod trabalhador]],'Outros descontos'!B:R,12,FALSE),"")</f>
        <v/>
      </c>
      <c r="AM153" s="46" t="str">
        <f>IFERROR(VLOOKUP(Tabla58[[#This Row],[Cod trabalhador]],'Outros descontos'!B:M,13,FALSE),"")</f>
        <v/>
      </c>
      <c r="AN153" s="41"/>
      <c r="AO153" s="37">
        <v>4.08</v>
      </c>
      <c r="AP153" s="15"/>
      <c r="AQ153"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4575.92</v>
      </c>
      <c r="AR153"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4575.92</v>
      </c>
      <c r="AS153" s="15"/>
      <c r="AT153" s="27" t="str">
        <f>IF(Tabla58[[#This Row],[Cod trabalhador]]="", "", INDEX(Iban!C:C, MATCH(Tabla58[[#This Row],[Cod trabalhador]],Iban!A:A, 0)))</f>
        <v>ES89 0182 2808 8102 0159 9080</v>
      </c>
      <c r="AU153" s="27"/>
      <c r="AV153" s="27"/>
      <c r="AW153" s="66" t="s">
        <v>7540</v>
      </c>
      <c r="AX153" s="296" t="s">
        <v>7546</v>
      </c>
    </row>
    <row r="154" spans="2:50" ht="16.5" hidden="1" customHeight="1" x14ac:dyDescent="0.3">
      <c r="B154" s="39" t="s">
        <v>6715</v>
      </c>
      <c r="C154" s="45" t="str">
        <f>IF(ISNUMBER(MATCH(Tabla58[[#This Row],[Cod trabalhador]],'Altas Wiseowe'!B:B, 0)), "Ativo", "Não ativo")</f>
        <v>Ativo</v>
      </c>
      <c r="D154" s="44" t="str">
        <f>IFERROR(IF(VLOOKUP(Tabla58[[#This Row],[Cod trabalhador]],'Altas Industrial'!B:E,1,0)&lt;&gt;"","KI",""),"")</f>
        <v/>
      </c>
      <c r="E154" s="44" t="str">
        <f>IFERROR(IF(VLOOKUP(Tabla58[[#This Row],[Cod trabalhador]],'Altas Rosas'!B:F,1,0)&lt;&gt;"","KR",""),"")</f>
        <v/>
      </c>
      <c r="F154" s="44" t="str">
        <f>IFERROR(IF(VLOOKUP(Tabla58[[#This Row],[Cod trabalhador]],'Altas Wiseowe'!B:E,1,0)&lt;&gt;"","WS",""),"")</f>
        <v>WS</v>
      </c>
      <c r="G154" s="101" t="str">
        <f>IFERROR(IF(VLOOKUP(Tabla58[[#This Row],[Cod trabalhador]],'Altas Luminous'!B:E,1,0)&lt;&gt;"","LM",""),"")</f>
        <v/>
      </c>
      <c r="H154" s="51">
        <f>IFERROR(VLOOKUP(Tabla58[[#This Row],[Cod trabalhador]],'Altas Wiseowe'!B:E,3,FALSE),"")</f>
        <v>46041</v>
      </c>
      <c r="I154" s="51" t="str">
        <f>IF(OR(Tabla58[[#This Row],[Cod trabalhador]]="",ISBLANK(Tabla58[[#This Row],[Cod trabalhador]])),"",IFERROR(IF(VLOOKUP(Tabla58[[#This Row],[Cod trabalhador]],'Altas Wiseowe'!B:E,4,FALSE)=0,"",VLOOKUP(Tabla58[[#This Row],[Cod trabalhador]],'Altas Wiseowe'!B:E,4,FALSE)),""))</f>
        <v/>
      </c>
      <c r="J154" s="44">
        <f t="shared" si="5"/>
        <v>13</v>
      </c>
      <c r="K154" s="376" t="s">
        <v>6716</v>
      </c>
      <c r="L154" s="342" t="str">
        <f>IFERROR(IF(Tabla58[[#This Row],[Cod trabalhador]]="",Tabla58[[#This Row],[Cod trabalhador]], INDEX(Colaborador_ID[Nombre], MATCH(Tabla58[[#This Row],[Cod trabalhador]],Colaborador_ID[Cod_colab], 0))), "")</f>
        <v>WILMER DE JESUS ARIZA MUÑOZ</v>
      </c>
      <c r="N154" s="405" t="s">
        <v>7339</v>
      </c>
      <c r="O154" s="26">
        <v>15</v>
      </c>
      <c r="P154" s="92">
        <f>IFERROR(VLOOKUP(Tabla58[[#This Row],[Cod trabalhador]],'TotalHorasAjustadas (2)'!D:L,8,FALSE),"")</f>
        <v>96</v>
      </c>
      <c r="Q154" s="27">
        <v>96</v>
      </c>
      <c r="R154" s="28" t="s">
        <v>7532</v>
      </c>
      <c r="S154" s="28" t="s">
        <v>7539</v>
      </c>
      <c r="U154" s="25"/>
      <c r="V154" s="220"/>
      <c r="W154" s="27"/>
      <c r="X154" s="28"/>
      <c r="Y154" s="28"/>
      <c r="Z154" s="149"/>
      <c r="AA154" s="392" t="str">
        <f>IFERROR(VLOOKUP(Tabla58[[#This Row],[Cod trabalhador]],Alojamentos!B:P,11,FALSE),"")</f>
        <v/>
      </c>
      <c r="AB154" s="127"/>
      <c r="AC154" s="150"/>
      <c r="AD154" s="35">
        <f>Tabla58[[#This Row],[Dias de alta]]*7.058</f>
        <v>91.753999999999991</v>
      </c>
      <c r="AE154" s="46">
        <f>IFERROR(VLOOKUP(Tabla58[[#This Row],[Cod trabalhador]],Adiantamentos!B:L,7,FALSE),"")</f>
        <v>200</v>
      </c>
      <c r="AF154" s="46">
        <f>IFERROR(VLOOKUP(Tabla58[[#This Row],[Cod trabalhador]],Carro!B:D,3,FALSE),"")</f>
        <v>40</v>
      </c>
      <c r="AG154" s="46">
        <f>IFERROR(VLOOKUP(Tabla58[[#This Row],[Cod trabalhador]],'Outros descontos'!B:O,7,FALSE),"")</f>
        <v>0</v>
      </c>
      <c r="AH154" s="46">
        <f>IFERROR(VLOOKUP(Tabla58[[#This Row],[Cod trabalhador]],'Outros descontos'!B:M,8,FALSE),"")</f>
        <v>0</v>
      </c>
      <c r="AI154" s="46">
        <f>IFERROR(VLOOKUP(Tabla58[[#This Row],[Cod trabalhador]],'Outros descontos'!B:M,9,FALSE),"")</f>
        <v>0</v>
      </c>
      <c r="AJ154" s="46">
        <f>IFERROR(VLOOKUP(Tabla58[[#This Row],[Cod trabalhador]],'Outros descontos'!B:M,10,FALSE),"")</f>
        <v>0</v>
      </c>
      <c r="AK154" s="46">
        <f>IFERROR(VLOOKUP(Tabla58[[#This Row],[Cod trabalhador]],'Outros descontos'!B:M,11,FALSE),"")</f>
        <v>0</v>
      </c>
      <c r="AL154" s="46">
        <f>IFERROR(VLOOKUP(Tabla58[[#This Row],[Cod trabalhador]],'Outros descontos'!B:R,12,FALSE),"")</f>
        <v>112.93</v>
      </c>
      <c r="AM154" s="46" t="str">
        <f>IFERROR(VLOOKUP(Tabla58[[#This Row],[Cod trabalhador]],'Outros descontos'!B:M,13,FALSE),"")</f>
        <v/>
      </c>
      <c r="AN154" s="41"/>
      <c r="AO154" s="37">
        <v>4.08</v>
      </c>
      <c r="AP154" s="15"/>
      <c r="AQ154"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991.23599999999999</v>
      </c>
      <c r="AR154"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991.23599999999999</v>
      </c>
      <c r="AS154" s="15"/>
      <c r="AT154" s="27" t="str">
        <f>IF(Tabla58[[#This Row],[Cod trabalhador]]="", "", INDEX(Iban!C:C, MATCH(Tabla58[[#This Row],[Cod trabalhador]],Iban!A:A, 0)))</f>
        <v>PL44 1090 2835 0000 0001 6259 0741</v>
      </c>
      <c r="AU154" s="27"/>
      <c r="AV154" s="27"/>
      <c r="AW154" s="66" t="s">
        <v>7540</v>
      </c>
      <c r="AX154" s="296" t="s">
        <v>7472</v>
      </c>
    </row>
    <row r="155" spans="2:50" ht="16.5" hidden="1" customHeight="1" x14ac:dyDescent="0.3">
      <c r="B155" s="39" t="s">
        <v>367</v>
      </c>
      <c r="C155" s="45" t="str">
        <f>IF(ISNUMBER(MATCH(Tabla58[[#This Row],[Cod trabalhador]],'Altas Wiseowe'!B:B, 0)), "Ativo", "Não ativo")</f>
        <v>Não ativo</v>
      </c>
      <c r="D155" s="44" t="str">
        <f>IFERROR(IF(VLOOKUP(Tabla58[[#This Row],[Cod trabalhador]],'Altas Industrial'!B:E,1,0)&lt;&gt;"","KI",""),"")</f>
        <v/>
      </c>
      <c r="E155" s="44" t="str">
        <f>IFERROR(IF(VLOOKUP(Tabla58[[#This Row],[Cod trabalhador]],'Altas Rosas'!B:F,1,0)&lt;&gt;"","KR",""),"")</f>
        <v/>
      </c>
      <c r="F155" s="44" t="str">
        <f>IFERROR(IF(VLOOKUP(Tabla58[[#This Row],[Cod trabalhador]],'Altas Wiseowe'!B:E,1,0)&lt;&gt;"","WS",""),"")</f>
        <v/>
      </c>
      <c r="G155" s="101" t="str">
        <f>IFERROR(IF(VLOOKUP(Tabla58[[#This Row],[Cod trabalhador]],'Altas Luminous'!B:E,1,0)&lt;&gt;"","LM",""),"")</f>
        <v/>
      </c>
      <c r="H155" s="51" t="str">
        <f>IFERROR(VLOOKUP(Tabla58[[#This Row],[Cod trabalhador]],'Altas Wiseowe'!B:E,3,FALSE),"")</f>
        <v/>
      </c>
      <c r="I155" s="51" t="str">
        <f>IF(OR(Tabla58[[#This Row],[Cod trabalhador]]="",ISBLANK(Tabla58[[#This Row],[Cod trabalhador]])),"",IFERROR(IF(VLOOKUP(Tabla58[[#This Row],[Cod trabalhador]],'Altas Wiseowe'!B:E,4,FALSE)=0,"",VLOOKUP(Tabla58[[#This Row],[Cod trabalhador]],'Altas Wiseowe'!B:E,4,FALSE)),""))</f>
        <v/>
      </c>
      <c r="J155" s="44">
        <f t="shared" si="5"/>
        <v>0</v>
      </c>
      <c r="K155" s="376" t="s">
        <v>7352</v>
      </c>
      <c r="L155" s="342" t="str">
        <f>IFERROR(IF(Tabla58[[#This Row],[Cod trabalhador]]="",Tabla58[[#This Row],[Cod trabalhador]], INDEX(Colaborador_ID[Nombre], MATCH(Tabla58[[#This Row],[Cod trabalhador]],Colaborador_ID[Cod_colab], 0))), "")</f>
        <v>ANDRES ALEXANDER BEJARANO PEREZ</v>
      </c>
      <c r="N155" s="405" t="s">
        <v>7350</v>
      </c>
      <c r="O155" s="26">
        <f>IFERROR(VLOOKUP(Tabla58[[#This Row],[Cod trabalhador]],Tabla15[],4,FALSE),"")</f>
        <v>15</v>
      </c>
      <c r="P155" s="92">
        <f>IFERROR(VLOOKUP(Tabla58[[#This Row],[Cod trabalhador]],'TotalHorasAjustadas (2)'!D:L,8,FALSE),"")</f>
        <v>257</v>
      </c>
      <c r="Q155" s="27">
        <v>257</v>
      </c>
      <c r="R155" s="28" t="s">
        <v>7471</v>
      </c>
      <c r="S155" s="28" t="s">
        <v>7539</v>
      </c>
      <c r="U155" s="25"/>
      <c r="V155" s="220"/>
      <c r="W155" s="27"/>
      <c r="X155" s="28"/>
      <c r="Y155" s="28"/>
      <c r="Z155" s="149"/>
      <c r="AA155" s="392" t="str">
        <f>IFERROR(VLOOKUP(Tabla58[[#This Row],[Cod trabalhador]],Alojamentos!B:P,11,FALSE),"")</f>
        <v/>
      </c>
      <c r="AB155" s="127"/>
      <c r="AC155" s="150"/>
      <c r="AD155" s="35">
        <f>Tabla58[[#This Row],[Dias de alta]]*7.058</f>
        <v>0</v>
      </c>
      <c r="AE155" s="46" t="str">
        <f>IFERROR(VLOOKUP(Tabla58[[#This Row],[Cod trabalhador]],Adiantamentos!B:L,7,FALSE),"")</f>
        <v/>
      </c>
      <c r="AF155" s="46" t="str">
        <f>IFERROR(VLOOKUP(Tabla58[[#This Row],[Cod trabalhador]],Carro!B:D,3,FALSE),"")</f>
        <v/>
      </c>
      <c r="AG155" s="46" t="str">
        <f>IFERROR(VLOOKUP(Tabla58[[#This Row],[Cod trabalhador]],'Outros descontos'!B:O,7,FALSE),"")</f>
        <v/>
      </c>
      <c r="AH155" s="46" t="str">
        <f>IFERROR(VLOOKUP(Tabla58[[#This Row],[Cod trabalhador]],'Outros descontos'!B:M,8,FALSE),"")</f>
        <v/>
      </c>
      <c r="AI155" s="46" t="str">
        <f>IFERROR(VLOOKUP(Tabla58[[#This Row],[Cod trabalhador]],'Outros descontos'!B:M,9,FALSE),"")</f>
        <v/>
      </c>
      <c r="AJ155" s="46" t="str">
        <f>IFERROR(VLOOKUP(Tabla58[[#This Row],[Cod trabalhador]],'Outros descontos'!B:M,10,FALSE),"")</f>
        <v/>
      </c>
      <c r="AK155" s="46" t="str">
        <f>IFERROR(VLOOKUP(Tabla58[[#This Row],[Cod trabalhador]],'Outros descontos'!B:M,11,FALSE),"")</f>
        <v/>
      </c>
      <c r="AL155" s="46" t="str">
        <f>IFERROR(VLOOKUP(Tabla58[[#This Row],[Cod trabalhador]],'Outros descontos'!B:R,12,FALSE),"")</f>
        <v/>
      </c>
      <c r="AM155" s="46" t="str">
        <f>IFERROR(VLOOKUP(Tabla58[[#This Row],[Cod trabalhador]],'Outros descontos'!B:M,13,FALSE),"")</f>
        <v/>
      </c>
      <c r="AN155" s="41"/>
      <c r="AO155" s="37">
        <v>4.08</v>
      </c>
      <c r="AP155" s="15"/>
      <c r="AQ155" s="128">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3850.92</v>
      </c>
      <c r="AR155"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3850.92</v>
      </c>
      <c r="AS155" s="15"/>
      <c r="AT155" s="27" t="str">
        <f>IF(Tabla58[[#This Row],[Cod trabalhador]]="", "", INDEX(Iban!C:C, MATCH(Tabla58[[#This Row],[Cod trabalhador]],Iban!A:A, 0)))</f>
        <v>ES52 0182 1306 9802 0168 8854</v>
      </c>
      <c r="AU155" s="27"/>
      <c r="AV155" s="27"/>
      <c r="AW155" s="66" t="s">
        <v>7540</v>
      </c>
      <c r="AX155" s="296" t="s">
        <v>7472</v>
      </c>
    </row>
    <row r="156" spans="2:50" ht="16.5" hidden="1" customHeight="1" x14ac:dyDescent="0.3">
      <c r="B156" s="39" t="s">
        <v>2603</v>
      </c>
      <c r="C156" s="45" t="str">
        <f>IF(ISNUMBER(MATCH(Tabla58[[#This Row],[Cod trabalhador]],'Altas Wiseowe'!B:B, 0)), "Ativo", "Não ativo")</f>
        <v>Não ativo</v>
      </c>
      <c r="D156" s="397" t="str">
        <f>IFERROR(IF(VLOOKUP(Tabla58[[#This Row],[Cod trabalhador]],'Altas Industrial'!B:E,1,0)&lt;&gt;"","KI",""),"")</f>
        <v/>
      </c>
      <c r="E156" s="397" t="str">
        <f>IFERROR(IF(VLOOKUP(Tabla58[[#This Row],[Cod trabalhador]],'Altas Rosas'!B:F,1,0)&lt;&gt;"","KR",""),"")</f>
        <v/>
      </c>
      <c r="F156" s="44" t="str">
        <f>IFERROR(IF(VLOOKUP(Tabla58[[#This Row],[Cod trabalhador]],'Altas Wiseowe'!B:E,1,0)&lt;&gt;"","WS",""),"")</f>
        <v/>
      </c>
      <c r="G156" s="101" t="str">
        <f>IFERROR(IF(VLOOKUP(Tabla58[[#This Row],[Cod trabalhador]],'Altas Luminous'!B:E,1,0)&lt;&gt;"","LM",""),"")</f>
        <v/>
      </c>
      <c r="H156" s="51" t="str">
        <f>IFERROR(VLOOKUP(Tabla58[[#This Row],[Cod trabalhador]],'Altas Wiseowe'!B:E,3,FALSE),"")</f>
        <v/>
      </c>
      <c r="I156" s="51" t="str">
        <f>IF(OR(Tabla58[[#This Row],[Cod trabalhador]]="",ISBLANK(Tabla58[[#This Row],[Cod trabalhador]])),"",IFERROR(IF(VLOOKUP(Tabla58[[#This Row],[Cod trabalhador]],'Altas Wiseowe'!B:E,4,FALSE)=0,"",VLOOKUP(Tabla58[[#This Row],[Cod trabalhador]],'Altas Wiseowe'!B:E,4,FALSE)),""))</f>
        <v/>
      </c>
      <c r="J156" s="397">
        <f t="shared" si="5"/>
        <v>0</v>
      </c>
      <c r="K156" s="376" t="s">
        <v>7353</v>
      </c>
      <c r="L156" s="342" t="str">
        <f>IFERROR(IF(Tabla58[[#This Row],[Cod trabalhador]]="",Tabla58[[#This Row],[Cod trabalhador]], INDEX(Colaborador_ID[Nombre], MATCH(Tabla58[[#This Row],[Cod trabalhador]],Colaborador_ID[Cod_colab], 0))), "")</f>
        <v>HECTOR JAUMEN GUEVARA FORERO</v>
      </c>
      <c r="M156" s="340"/>
      <c r="N156" s="383" t="s">
        <v>7350</v>
      </c>
      <c r="O156" s="231">
        <f>IFERROR(VLOOKUP(Tabla58[[#This Row],[Cod trabalhador]],Tabla15[],4,FALSE),"")</f>
        <v>15</v>
      </c>
      <c r="P156" s="232">
        <f>IFERROR(VLOOKUP(Tabla58[[#This Row],[Cod trabalhador]],'TotalHorasAjustadas (2)'!D:L,8,FALSE),"")</f>
        <v>257</v>
      </c>
      <c r="Q156" s="27">
        <v>257</v>
      </c>
      <c r="R156" s="28" t="s">
        <v>7471</v>
      </c>
      <c r="S156" s="28" t="s">
        <v>7539</v>
      </c>
      <c r="U156" s="96"/>
      <c r="V156" s="388"/>
      <c r="X156" s="28"/>
      <c r="Y156" s="28"/>
      <c r="Z156" s="149"/>
      <c r="AA156" s="392" t="str">
        <f>IFERROR(VLOOKUP(Tabla58[[#This Row],[Cod trabalhador]],Alojamentos!B:P,11,FALSE),"")</f>
        <v/>
      </c>
      <c r="AB156" s="127"/>
      <c r="AC156" s="150"/>
      <c r="AD156" s="35">
        <f>Tabla58[[#This Row],[Dias de alta]]*7.058</f>
        <v>0</v>
      </c>
      <c r="AE156" s="393" t="str">
        <f>IFERROR(VLOOKUP(Tabla58[[#This Row],[Cod trabalhador]],Adiantamentos!B:L,7,FALSE),"")</f>
        <v/>
      </c>
      <c r="AF156" s="393" t="str">
        <f>IFERROR(VLOOKUP(Tabla58[[#This Row],[Cod trabalhador]],Carro!B:D,3,FALSE),"")</f>
        <v/>
      </c>
      <c r="AG156" s="393" t="str">
        <f>IFERROR(VLOOKUP(Tabla58[[#This Row],[Cod trabalhador]],'Outros descontos'!B:O,7,FALSE),"")</f>
        <v/>
      </c>
      <c r="AH156" s="393" t="str">
        <f>IFERROR(VLOOKUP(Tabla58[[#This Row],[Cod trabalhador]],'Outros descontos'!B:M,8,FALSE),"")</f>
        <v/>
      </c>
      <c r="AI156" s="393" t="str">
        <f>IFERROR(VLOOKUP(Tabla58[[#This Row],[Cod trabalhador]],'Outros descontos'!B:M,9,FALSE),"")</f>
        <v/>
      </c>
      <c r="AJ156" s="393" t="str">
        <f>IFERROR(VLOOKUP(Tabla58[[#This Row],[Cod trabalhador]],'Outros descontos'!B:M,10,FALSE),"")</f>
        <v/>
      </c>
      <c r="AK156" s="393" t="str">
        <f>IFERROR(VLOOKUP(Tabla58[[#This Row],[Cod trabalhador]],'Outros descontos'!B:M,11,FALSE),"")</f>
        <v/>
      </c>
      <c r="AL156" s="393" t="str">
        <f>IFERROR(VLOOKUP(Tabla58[[#This Row],[Cod trabalhador]],'Outros descontos'!B:R,12,FALSE),"")</f>
        <v/>
      </c>
      <c r="AM156" s="46" t="str">
        <f>IFERROR(VLOOKUP(Tabla58[[#This Row],[Cod trabalhador]],'Outros descontos'!B:M,13,FALSE),"")</f>
        <v/>
      </c>
      <c r="AN156" s="35"/>
      <c r="AO156" s="37">
        <v>4.08</v>
      </c>
      <c r="AP156" s="15"/>
      <c r="AQ156" s="395">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3850.92</v>
      </c>
      <c r="AR156"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3850.92</v>
      </c>
      <c r="AS156" s="396"/>
      <c r="AT156" s="27" t="str">
        <f>IF(Tabla58[[#This Row],[Cod trabalhador]]="", "", INDEX(Iban!C:C, MATCH(Tabla58[[#This Row],[Cod trabalhador]],Iban!A:A, 0)))</f>
        <v>BE51 9057 4462 6062</v>
      </c>
      <c r="AU156" s="27"/>
      <c r="AV156" s="97"/>
      <c r="AW156" s="66" t="s">
        <v>7540</v>
      </c>
      <c r="AX156" s="296" t="s">
        <v>7472</v>
      </c>
    </row>
    <row r="157" spans="2:50" ht="16.5" hidden="1" customHeight="1" x14ac:dyDescent="0.3">
      <c r="B157" s="39" t="s">
        <v>4718</v>
      </c>
      <c r="C157" s="45" t="str">
        <f>IF(ISNUMBER(MATCH(Tabla58[[#This Row],[Cod trabalhador]],'Altas Wiseowe'!B:B, 0)), "Ativo", "Não ativo")</f>
        <v>Não ativo</v>
      </c>
      <c r="D157" s="397" t="str">
        <f>IFERROR(IF(VLOOKUP(Tabla58[[#This Row],[Cod trabalhador]],'Altas Industrial'!B:E,1,0)&lt;&gt;"","KI",""),"")</f>
        <v/>
      </c>
      <c r="E157" s="397" t="str">
        <f>IFERROR(IF(VLOOKUP(Tabla58[[#This Row],[Cod trabalhador]],'Altas Rosas'!B:F,1,0)&lt;&gt;"","KR",""),"")</f>
        <v/>
      </c>
      <c r="F157" s="44" t="str">
        <f>IFERROR(IF(VLOOKUP(Tabla58[[#This Row],[Cod trabalhador]],'Altas Wiseowe'!B:E,1,0)&lt;&gt;"","WS",""),"")</f>
        <v/>
      </c>
      <c r="G157" s="398" t="str">
        <f>IFERROR(IF(VLOOKUP(Tabla58[[#This Row],[Cod trabalhador]],'Altas Luminous'!B:E,1,0)&lt;&gt;"","LM",""),"")</f>
        <v/>
      </c>
      <c r="H157" s="51" t="str">
        <f>IFERROR(VLOOKUP(Tabla58[[#This Row],[Cod trabalhador]],'Altas Wiseowe'!B:E,3,FALSE),"")</f>
        <v/>
      </c>
      <c r="I157" s="51" t="str">
        <f>IF(OR(Tabla58[[#This Row],[Cod trabalhador]]="",ISBLANK(Tabla58[[#This Row],[Cod trabalhador]])),"",IFERROR(IF(VLOOKUP(Tabla58[[#This Row],[Cod trabalhador]],'Altas Wiseowe'!B:E,4,FALSE)=0,"",VLOOKUP(Tabla58[[#This Row],[Cod trabalhador]],'Altas Wiseowe'!B:E,4,FALSE)),""))</f>
        <v/>
      </c>
      <c r="J157" s="397">
        <f t="shared" si="5"/>
        <v>0</v>
      </c>
      <c r="K157" s="376" t="s">
        <v>7354</v>
      </c>
      <c r="L157" s="342" t="str">
        <f>IFERROR(IF(Tabla58[[#This Row],[Cod trabalhador]]="",Tabla58[[#This Row],[Cod trabalhador]], INDEX(Colaborador_ID[Nombre], MATCH(Tabla58[[#This Row],[Cod trabalhador]],Colaborador_ID[Cod_colab], 0))), "")</f>
        <v>LUIS ALBERTO RAMIREZ PINEDO</v>
      </c>
      <c r="M157" s="340"/>
      <c r="N157" s="383" t="s">
        <v>7350</v>
      </c>
      <c r="O157" s="231">
        <f>IFERROR(VLOOKUP(Tabla58[[#This Row],[Cod trabalhador]],Tabla15[],4,FALSE),"")</f>
        <v>15</v>
      </c>
      <c r="P157" s="232">
        <f>IFERROR(VLOOKUP(Tabla58[[#This Row],[Cod trabalhador]],'TotalHorasAjustadas (2)'!D:L,8,FALSE),"")</f>
        <v>48.25</v>
      </c>
      <c r="Q157" s="27">
        <v>50</v>
      </c>
      <c r="R157" s="28" t="s">
        <v>7471</v>
      </c>
      <c r="S157" s="28" t="s">
        <v>7539</v>
      </c>
      <c r="U157" s="381"/>
      <c r="V157" s="388"/>
      <c r="X157" s="28"/>
      <c r="Y157" s="28"/>
      <c r="Z157" s="149"/>
      <c r="AA157" s="392" t="str">
        <f>IFERROR(VLOOKUP(Tabla58[[#This Row],[Cod trabalhador]],Alojamentos!B:P,11,FALSE),"")</f>
        <v/>
      </c>
      <c r="AB157" s="127"/>
      <c r="AC157" s="150"/>
      <c r="AD157" s="35">
        <f>Tabla58[[#This Row],[Dias de alta]]*7.058</f>
        <v>0</v>
      </c>
      <c r="AE157" s="393" t="str">
        <f>IFERROR(VLOOKUP(Tabla58[[#This Row],[Cod trabalhador]],Adiantamentos!B:L,7,FALSE),"")</f>
        <v/>
      </c>
      <c r="AF157" s="427"/>
      <c r="AG157" s="393" t="str">
        <f>IFERROR(VLOOKUP(Tabla58[[#This Row],[Cod trabalhador]],'Outros descontos'!B:O,7,FALSE),"")</f>
        <v/>
      </c>
      <c r="AH157" s="393" t="str">
        <f>IFERROR(VLOOKUP(Tabla58[[#This Row],[Cod trabalhador]],'Outros descontos'!B:M,8,FALSE),"")</f>
        <v/>
      </c>
      <c r="AI157" s="393" t="str">
        <f>IFERROR(VLOOKUP(Tabla58[[#This Row],[Cod trabalhador]],'Outros descontos'!B:M,9,FALSE),"")</f>
        <v/>
      </c>
      <c r="AJ157" s="393" t="str">
        <f>IFERROR(VLOOKUP(Tabla58[[#This Row],[Cod trabalhador]],'Outros descontos'!B:M,10,FALSE),"")</f>
        <v/>
      </c>
      <c r="AK157" s="393" t="str">
        <f>IFERROR(VLOOKUP(Tabla58[[#This Row],[Cod trabalhador]],'Outros descontos'!B:M,11,FALSE),"")</f>
        <v/>
      </c>
      <c r="AL157" s="393" t="str">
        <f>IFERROR(VLOOKUP(Tabla58[[#This Row],[Cod trabalhador]],'Outros descontos'!B:R,12,FALSE),"")</f>
        <v/>
      </c>
      <c r="AM157" s="46" t="str">
        <f>IFERROR(VLOOKUP(Tabla58[[#This Row],[Cod trabalhador]],'Outros descontos'!B:M,13,FALSE),"")</f>
        <v/>
      </c>
      <c r="AN157" s="35"/>
      <c r="AO157" s="37">
        <v>4.08</v>
      </c>
      <c r="AP157" s="15"/>
      <c r="AQ157" s="395">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719.67</v>
      </c>
      <c r="AR157"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745.92</v>
      </c>
      <c r="AS157" s="396"/>
      <c r="AT157" s="27" t="str">
        <f>IF(Tabla58[[#This Row],[Cod trabalhador]]="", "", INDEX(Iban!C:C, MATCH(Tabla58[[#This Row],[Cod trabalhador]],Iban!A:A, 0)))</f>
        <v>ES50 0182 8191 7902 0204 8724</v>
      </c>
      <c r="AU157" s="27"/>
      <c r="AV157" s="311"/>
      <c r="AW157" s="66" t="s">
        <v>7540</v>
      </c>
      <c r="AX157" s="399" t="s">
        <v>7472</v>
      </c>
    </row>
    <row r="158" spans="2:50" ht="16.5" hidden="1" customHeight="1" x14ac:dyDescent="0.3">
      <c r="B158" s="39" t="s">
        <v>5678</v>
      </c>
      <c r="C158" s="45" t="str">
        <f>IF(ISNUMBER(MATCH(Tabla58[[#This Row],[Cod trabalhador]],'Altas Wiseowe'!B:B, 0)), "Ativo", "Não ativo")</f>
        <v>Não ativo</v>
      </c>
      <c r="D158" s="397" t="str">
        <f>IFERROR(IF(VLOOKUP(Tabla58[[#This Row],[Cod trabalhador]],'Altas Industrial'!B:E,1,0)&lt;&gt;"","KI",""),"")</f>
        <v/>
      </c>
      <c r="E158" s="397" t="str">
        <f>IFERROR(IF(VLOOKUP(Tabla58[[#This Row],[Cod trabalhador]],'Altas Rosas'!B:F,1,0)&lt;&gt;"","KR",""),"")</f>
        <v/>
      </c>
      <c r="F158" s="44" t="str">
        <f>IFERROR(IF(VLOOKUP(Tabla58[[#This Row],[Cod trabalhador]],'Altas Wiseowe'!B:E,1,0)&lt;&gt;"","WS",""),"")</f>
        <v/>
      </c>
      <c r="G158" s="398" t="str">
        <f>IFERROR(IF(VLOOKUP(Tabla58[[#This Row],[Cod trabalhador]],'Altas Luminous'!B:E,1,0)&lt;&gt;"","LM",""),"")</f>
        <v/>
      </c>
      <c r="H158" s="51" t="str">
        <f>IFERROR(VLOOKUP(Tabla58[[#This Row],[Cod trabalhador]],'Altas Wiseowe'!B:E,3,FALSE),"")</f>
        <v/>
      </c>
      <c r="I158" s="51" t="str">
        <f>IF(OR(Tabla58[[#This Row],[Cod trabalhador]]="",ISBLANK(Tabla58[[#This Row],[Cod trabalhador]])),"",IFERROR(IF(VLOOKUP(Tabla58[[#This Row],[Cod trabalhador]],'Altas Wiseowe'!B:E,4,FALSE)=0,"",VLOOKUP(Tabla58[[#This Row],[Cod trabalhador]],'Altas Wiseowe'!B:E,4,FALSE)),""))</f>
        <v/>
      </c>
      <c r="J158" s="397">
        <f t="shared" si="5"/>
        <v>0</v>
      </c>
      <c r="K158" s="376" t="s">
        <v>7351</v>
      </c>
      <c r="L158" s="342" t="str">
        <f>IFERROR(IF(Tabla58[[#This Row],[Cod trabalhador]]="",Tabla58[[#This Row],[Cod trabalhador]], INDEX(Colaborador_ID[Nombre], MATCH(Tabla58[[#This Row],[Cod trabalhador]],Colaborador_ID[Cod_colab], 0))), "")</f>
        <v>PABLO ALBERTO RIANO BONILLA</v>
      </c>
      <c r="M158" s="340"/>
      <c r="N158" s="383" t="s">
        <v>7350</v>
      </c>
      <c r="O158" s="231">
        <f>IFERROR(VLOOKUP(Tabla58[[#This Row],[Cod trabalhador]],Tabla15[],4,FALSE),"")</f>
        <v>15</v>
      </c>
      <c r="P158" s="232">
        <f>IFERROR(VLOOKUP(Tabla58[[#This Row],[Cod trabalhador]],'TotalHorasAjustadas (2)'!D:L,8,FALSE),"")</f>
        <v>257</v>
      </c>
      <c r="Q158" s="27">
        <v>257</v>
      </c>
      <c r="R158" s="28" t="s">
        <v>7471</v>
      </c>
      <c r="S158" s="28" t="s">
        <v>7539</v>
      </c>
      <c r="U158" s="381"/>
      <c r="V158" s="388"/>
      <c r="X158" s="28"/>
      <c r="Y158" s="28"/>
      <c r="Z158" s="149"/>
      <c r="AA158" s="392" t="str">
        <f>IFERROR(VLOOKUP(Tabla58[[#This Row],[Cod trabalhador]],Alojamentos!B:P,11,FALSE),"")</f>
        <v/>
      </c>
      <c r="AB158" s="127"/>
      <c r="AC158" s="150"/>
      <c r="AD158" s="35">
        <f>Tabla58[[#This Row],[Dias de alta]]*7.058</f>
        <v>0</v>
      </c>
      <c r="AE158" s="393" t="str">
        <f>IFERROR(VLOOKUP(Tabla58[[#This Row],[Cod trabalhador]],Adiantamentos!B:L,7,FALSE),"")</f>
        <v/>
      </c>
      <c r="AF158" s="393" t="str">
        <f>IFERROR(VLOOKUP(Tabla58[[#This Row],[Cod trabalhador]],Carro!B:D,3,FALSE),"")</f>
        <v/>
      </c>
      <c r="AG158" s="393" t="str">
        <f>IFERROR(VLOOKUP(Tabla58[[#This Row],[Cod trabalhador]],'Outros descontos'!B:O,7,FALSE),"")</f>
        <v/>
      </c>
      <c r="AH158" s="393" t="str">
        <f>IFERROR(VLOOKUP(Tabla58[[#This Row],[Cod trabalhador]],'Outros descontos'!B:M,8,FALSE),"")</f>
        <v/>
      </c>
      <c r="AI158" s="393" t="str">
        <f>IFERROR(VLOOKUP(Tabla58[[#This Row],[Cod trabalhador]],'Outros descontos'!B:M,9,FALSE),"")</f>
        <v/>
      </c>
      <c r="AJ158" s="393" t="str">
        <f>IFERROR(VLOOKUP(Tabla58[[#This Row],[Cod trabalhador]],'Outros descontos'!B:M,10,FALSE),"")</f>
        <v/>
      </c>
      <c r="AK158" s="393" t="str">
        <f>IFERROR(VLOOKUP(Tabla58[[#This Row],[Cod trabalhador]],'Outros descontos'!B:M,11,FALSE),"")</f>
        <v/>
      </c>
      <c r="AL158" s="393" t="str">
        <f>IFERROR(VLOOKUP(Tabla58[[#This Row],[Cod trabalhador]],'Outros descontos'!B:R,12,FALSE),"")</f>
        <v/>
      </c>
      <c r="AM158" s="46" t="str">
        <f>IFERROR(VLOOKUP(Tabla58[[#This Row],[Cod trabalhador]],'Outros descontos'!B:M,13,FALSE),"")</f>
        <v/>
      </c>
      <c r="AN158" s="35"/>
      <c r="AO158" s="37">
        <v>4.08</v>
      </c>
      <c r="AP158" s="15"/>
      <c r="AQ158" s="395">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3850.92</v>
      </c>
      <c r="AR158"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3850.92</v>
      </c>
      <c r="AS158" s="396"/>
      <c r="AT158" s="27" t="str">
        <f>IF(Tabla58[[#This Row],[Cod trabalhador]]="", "", INDEX(Iban!C:C, MATCH(Tabla58[[#This Row],[Cod trabalhador]],Iban!A:A, 0)))</f>
        <v>ES97 0182 1275 1102 0217 3619</v>
      </c>
      <c r="AU158" s="27"/>
      <c r="AV158" s="311"/>
      <c r="AW158" s="66" t="s">
        <v>7540</v>
      </c>
      <c r="AX158" s="399" t="s">
        <v>7472</v>
      </c>
    </row>
    <row r="159" spans="2:50" ht="16.5" hidden="1" customHeight="1" x14ac:dyDescent="0.3">
      <c r="B159" s="39" t="s">
        <v>6029</v>
      </c>
      <c r="C159" s="45" t="str">
        <f>IF(ISNUMBER(MATCH(Tabla58[[#This Row],[Cod trabalhador]],'Altas Wiseowe'!B:B, 0)), "Ativo", "Não ativo")</f>
        <v>Ativo</v>
      </c>
      <c r="D159" s="44" t="str">
        <f>IFERROR(IF(VLOOKUP(Tabla58[[#This Row],[Cod trabalhador]],'Altas Industrial'!B:E,1,0)&lt;&gt;"","KI",""),"")</f>
        <v/>
      </c>
      <c r="E159" s="44" t="str">
        <f>IFERROR(IF(VLOOKUP(Tabla58[[#This Row],[Cod trabalhador]],'Altas Rosas'!B:F,1,0)&lt;&gt;"","KR",""),"")</f>
        <v/>
      </c>
      <c r="F159" s="44" t="str">
        <f>IFERROR(IF(VLOOKUP(Tabla58[[#This Row],[Cod trabalhador]],'Altas Wiseowe'!B:E,1,0)&lt;&gt;"","WS",""),"")</f>
        <v>WS</v>
      </c>
      <c r="G159" s="101" t="str">
        <f>IFERROR(IF(VLOOKUP(Tabla58[[#This Row],[Cod trabalhador]],'Altas Luminous'!B:E,1,0)&lt;&gt;"","LM",""),"")</f>
        <v/>
      </c>
      <c r="H159" s="51">
        <f>IFERROR(VLOOKUP(Tabla58[[#This Row],[Cod trabalhador]],'Altas Wiseowe'!B:E,3,FALSE),"")</f>
        <v>46049</v>
      </c>
      <c r="I159" s="51" t="str">
        <f>IF(OR(Tabla58[[#This Row],[Cod trabalhador]]="",ISBLANK(Tabla58[[#This Row],[Cod trabalhador]])),"",IFERROR(IF(VLOOKUP(Tabla58[[#This Row],[Cod trabalhador]],'Altas Wiseowe'!B:E,4,FALSE)=0,"",VLOOKUP(Tabla58[[#This Row],[Cod trabalhador]],'Altas Wiseowe'!B:E,4,FALSE)),""))</f>
        <v/>
      </c>
      <c r="J159" s="397">
        <f t="shared" si="5"/>
        <v>5</v>
      </c>
      <c r="K159" s="376" t="s">
        <v>7356</v>
      </c>
      <c r="L159" s="342" t="str">
        <f>IFERROR(IF(Tabla58[[#This Row],[Cod trabalhador]]="",Tabla58[[#This Row],[Cod trabalhador]], INDEX(Colaborador_ID[Nombre], MATCH(Tabla58[[#This Row],[Cod trabalhador]],Colaborador_ID[Cod_colab], 0))), "")</f>
        <v>ROBERTO CARLOS MARQUINA CABRERA</v>
      </c>
      <c r="M159" s="340"/>
      <c r="N159" s="383" t="s">
        <v>7350</v>
      </c>
      <c r="O159" s="231">
        <f>IFERROR(VLOOKUP(Tabla58[[#This Row],[Cod trabalhador]],Tabla15[],4,FALSE),"")</f>
        <v>16</v>
      </c>
      <c r="P159" s="232">
        <f>IFERROR(VLOOKUP(Tabla58[[#This Row],[Cod trabalhador]],'TotalHorasAjustadas (2)'!D:L,8,FALSE),"")</f>
        <v>50</v>
      </c>
      <c r="Q159" s="27">
        <v>50</v>
      </c>
      <c r="R159" s="28" t="s">
        <v>7471</v>
      </c>
      <c r="S159" s="28" t="s">
        <v>7539</v>
      </c>
      <c r="U159" s="96"/>
      <c r="V159" s="388"/>
      <c r="X159" s="28"/>
      <c r="Y159" s="28"/>
      <c r="Z159" s="149"/>
      <c r="AA159" s="392" t="str">
        <f>IFERROR(VLOOKUP(Tabla58[[#This Row],[Cod trabalhador]],Alojamentos!B:P,11,FALSE),"")</f>
        <v/>
      </c>
      <c r="AB159" s="127"/>
      <c r="AC159" s="150"/>
      <c r="AD159" s="35">
        <f>Tabla58[[#This Row],[Dias de alta]]*7.058</f>
        <v>35.29</v>
      </c>
      <c r="AE159" s="393" t="str">
        <f>IFERROR(VLOOKUP(Tabla58[[#This Row],[Cod trabalhador]],Adiantamentos!B:L,7,FALSE),"")</f>
        <v/>
      </c>
      <c r="AF159" s="393" t="str">
        <f>IFERROR(VLOOKUP(Tabla58[[#This Row],[Cod trabalhador]],Carro!B:D,3,FALSE),"")</f>
        <v/>
      </c>
      <c r="AG159" s="393" t="str">
        <f>IFERROR(VLOOKUP(Tabla58[[#This Row],[Cod trabalhador]],'Outros descontos'!B:O,7,FALSE),"")</f>
        <v/>
      </c>
      <c r="AH159" s="393" t="str">
        <f>IFERROR(VLOOKUP(Tabla58[[#This Row],[Cod trabalhador]],'Outros descontos'!B:M,8,FALSE),"")</f>
        <v/>
      </c>
      <c r="AI159" s="393" t="str">
        <f>IFERROR(VLOOKUP(Tabla58[[#This Row],[Cod trabalhador]],'Outros descontos'!B:M,9,FALSE),"")</f>
        <v/>
      </c>
      <c r="AJ159" s="393" t="str">
        <f>IFERROR(VLOOKUP(Tabla58[[#This Row],[Cod trabalhador]],'Outros descontos'!B:M,10,FALSE),"")</f>
        <v/>
      </c>
      <c r="AK159" s="393" t="str">
        <f>IFERROR(VLOOKUP(Tabla58[[#This Row],[Cod trabalhador]],'Outros descontos'!B:M,11,FALSE),"")</f>
        <v/>
      </c>
      <c r="AL159" s="393" t="str">
        <f>IFERROR(VLOOKUP(Tabla58[[#This Row],[Cod trabalhador]],'Outros descontos'!B:R,12,FALSE),"")</f>
        <v/>
      </c>
      <c r="AM159" s="46" t="str">
        <f>IFERROR(VLOOKUP(Tabla58[[#This Row],[Cod trabalhador]],'Outros descontos'!B:M,13,FALSE),"")</f>
        <v/>
      </c>
      <c r="AN159" s="35"/>
      <c r="AO159" s="37">
        <v>4.08</v>
      </c>
      <c r="AP159" s="15"/>
      <c r="AQ159" s="395">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760.63</v>
      </c>
      <c r="AR159"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760.63</v>
      </c>
      <c r="AS159" s="396"/>
      <c r="AT159" s="27" t="str">
        <f>IF(Tabla58[[#This Row],[Cod trabalhador]]="", "", INDEX(Iban!C:C, MATCH(Tabla58[[#This Row],[Cod trabalhador]],Iban!A:A, 0)))</f>
        <v>ES52 0182 0702 3802 0164 5267</v>
      </c>
      <c r="AU159" s="27"/>
      <c r="AV159" s="97"/>
      <c r="AW159" s="66" t="s">
        <v>7540</v>
      </c>
      <c r="AX159" s="399" t="s">
        <v>7472</v>
      </c>
    </row>
    <row r="160" spans="2:50" ht="16.5" hidden="1" customHeight="1" x14ac:dyDescent="0.3">
      <c r="B160" s="39" t="s">
        <v>6090</v>
      </c>
      <c r="C160" s="45" t="str">
        <f>IF(ISNUMBER(MATCH(Tabla58[[#This Row],[Cod trabalhador]],'Altas Wiseowe'!B:B, 0)), "Ativo", "Não ativo")</f>
        <v>Não ativo</v>
      </c>
      <c r="D160" s="44" t="str">
        <f>IFERROR(IF(VLOOKUP(Tabla58[[#This Row],[Cod trabalhador]],'Altas Industrial'!B:E,1,0)&lt;&gt;"","KI",""),"")</f>
        <v/>
      </c>
      <c r="E160" s="44" t="str">
        <f>IFERROR(IF(VLOOKUP(Tabla58[[#This Row],[Cod trabalhador]],'Altas Rosas'!B:F,1,0)&lt;&gt;"","KR",""),"")</f>
        <v/>
      </c>
      <c r="F160" s="44" t="str">
        <f>IFERROR(IF(VLOOKUP(Tabla58[[#This Row],[Cod trabalhador]],'Altas Wiseowe'!B:E,1,0)&lt;&gt;"","WS",""),"")</f>
        <v/>
      </c>
      <c r="G160" s="398" t="str">
        <f>IFERROR(IF(VLOOKUP(Tabla58[[#This Row],[Cod trabalhador]],'Altas Luminous'!B:E,1,0)&lt;&gt;"","LM",""),"")</f>
        <v/>
      </c>
      <c r="H160" s="51" t="str">
        <f>IFERROR(VLOOKUP(Tabla58[[#This Row],[Cod trabalhador]],'Altas Wiseowe'!B:E,3,FALSE),"")</f>
        <v/>
      </c>
      <c r="I160" s="51" t="str">
        <f>IF(OR(Tabla58[[#This Row],[Cod trabalhador]]="",ISBLANK(Tabla58[[#This Row],[Cod trabalhador]])),"",IFERROR(IF(VLOOKUP(Tabla58[[#This Row],[Cod trabalhador]],'Altas Wiseowe'!B:E,4,FALSE)=0,"",VLOOKUP(Tabla58[[#This Row],[Cod trabalhador]],'Altas Wiseowe'!B:E,4,FALSE)),""))</f>
        <v/>
      </c>
      <c r="J160" s="397">
        <f t="shared" si="5"/>
        <v>0</v>
      </c>
      <c r="K160" s="376" t="s">
        <v>7181</v>
      </c>
      <c r="L160" s="342" t="str">
        <f>IFERROR(IF(Tabla58[[#This Row],[Cod trabalhador]]="",Tabla58[[#This Row],[Cod trabalhador]], INDEX(Colaborador_ID[Nombre], MATCH(Tabla58[[#This Row],[Cod trabalhador]],Colaborador_ID[Cod_colab], 0))), "")</f>
        <v>RODRIGO ALEXANDRO AVILA DIEGO</v>
      </c>
      <c r="M160" s="340"/>
      <c r="N160" s="383" t="s">
        <v>7350</v>
      </c>
      <c r="O160" s="231">
        <f>IFERROR(VLOOKUP(Tabla58[[#This Row],[Cod trabalhador]],Tabla15[],4,FALSE),"")</f>
        <v>15</v>
      </c>
      <c r="P160" s="232">
        <f>IFERROR(VLOOKUP(Tabla58[[#This Row],[Cod trabalhador]],'TotalHorasAjustadas (2)'!D:L,8,FALSE),"")</f>
        <v>19.5</v>
      </c>
      <c r="Q160" s="27">
        <v>147</v>
      </c>
      <c r="R160" s="28" t="s">
        <v>7471</v>
      </c>
      <c r="S160" s="28" t="s">
        <v>7539</v>
      </c>
      <c r="U160" s="381"/>
      <c r="V160" s="388"/>
      <c r="X160" s="28"/>
      <c r="Y160" s="28"/>
      <c r="Z160" s="149"/>
      <c r="AA160" s="392" t="str">
        <f>IFERROR(VLOOKUP(Tabla58[[#This Row],[Cod trabalhador]],Alojamentos!B:P,11,FALSE),"")</f>
        <v/>
      </c>
      <c r="AB160" s="127"/>
      <c r="AC160" s="150"/>
      <c r="AD160" s="35">
        <f>Tabla58[[#This Row],[Dias de alta]]*7.058</f>
        <v>0</v>
      </c>
      <c r="AE160" s="393" t="str">
        <f>IFERROR(VLOOKUP(Tabla58[[#This Row],[Cod trabalhador]],Adiantamentos!B:L,7,FALSE),"")</f>
        <v/>
      </c>
      <c r="AF160" s="393" t="str">
        <f>IFERROR(VLOOKUP(Tabla58[[#This Row],[Cod trabalhador]],Carro!B:D,3,FALSE),"")</f>
        <v/>
      </c>
      <c r="AG160" s="393" t="str">
        <f>IFERROR(VLOOKUP(Tabla58[[#This Row],[Cod trabalhador]],'Outros descontos'!B:O,7,FALSE),"")</f>
        <v/>
      </c>
      <c r="AH160" s="393" t="str">
        <f>IFERROR(VLOOKUP(Tabla58[[#This Row],[Cod trabalhador]],'Outros descontos'!B:M,8,FALSE),"")</f>
        <v/>
      </c>
      <c r="AI160" s="393" t="str">
        <f>IFERROR(VLOOKUP(Tabla58[[#This Row],[Cod trabalhador]],'Outros descontos'!B:M,9,FALSE),"")</f>
        <v/>
      </c>
      <c r="AJ160" s="393" t="str">
        <f>IFERROR(VLOOKUP(Tabla58[[#This Row],[Cod trabalhador]],'Outros descontos'!B:M,10,FALSE),"")</f>
        <v/>
      </c>
      <c r="AK160" s="393" t="str">
        <f>IFERROR(VLOOKUP(Tabla58[[#This Row],[Cod trabalhador]],'Outros descontos'!B:M,11,FALSE),"")</f>
        <v/>
      </c>
      <c r="AL160" s="393" t="str">
        <f>IFERROR(VLOOKUP(Tabla58[[#This Row],[Cod trabalhador]],'Outros descontos'!B:R,12,FALSE),"")</f>
        <v/>
      </c>
      <c r="AM160" s="46" t="str">
        <f>IFERROR(VLOOKUP(Tabla58[[#This Row],[Cod trabalhador]],'Outros descontos'!B:M,13,FALSE),"")</f>
        <v/>
      </c>
      <c r="AN160" s="35"/>
      <c r="AO160" s="37">
        <v>4.08</v>
      </c>
      <c r="AP160" s="15"/>
      <c r="AQ160" s="395">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288.42</v>
      </c>
      <c r="AR160"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2200.92</v>
      </c>
      <c r="AS160" s="396"/>
      <c r="AT160" s="27" t="str">
        <f>IF(Tabla58[[#This Row],[Cod trabalhador]]="", "", INDEX(Iban!C:C, MATCH(Tabla58[[#This Row],[Cod trabalhador]],Iban!A:A, 0)))</f>
        <v>ES81 0182 0883 1302 0173 3726</v>
      </c>
      <c r="AU160" s="27"/>
      <c r="AV160" s="311"/>
      <c r="AW160" s="66" t="s">
        <v>7540</v>
      </c>
      <c r="AX160" s="399" t="s">
        <v>7472</v>
      </c>
    </row>
    <row r="161" spans="2:50" ht="16.5" hidden="1" customHeight="1" x14ac:dyDescent="0.3">
      <c r="B161" s="39" t="s">
        <v>403</v>
      </c>
      <c r="C161" s="45" t="str">
        <f>IF(ISNUMBER(MATCH(Tabla58[[#This Row],[Cod trabalhador]],'Altas Wiseowe'!B:B, 0)), "Ativo", "Não ativo")</f>
        <v>Ativo</v>
      </c>
      <c r="D161" s="44" t="str">
        <f>IFERROR(IF(VLOOKUP(Tabla58[[#This Row],[Cod trabalhador]],'Altas Industrial'!B:E,1,0)&lt;&gt;"","KI",""),"")</f>
        <v/>
      </c>
      <c r="E161" s="44" t="str">
        <f>IFERROR(IF(VLOOKUP(Tabla58[[#This Row],[Cod trabalhador]],'Altas Rosas'!B:F,1,0)&lt;&gt;"","KR",""),"")</f>
        <v/>
      </c>
      <c r="F161" s="44" t="str">
        <f>IFERROR(IF(VLOOKUP(Tabla58[[#This Row],[Cod trabalhador]],'Altas Wiseowe'!B:E,1,0)&lt;&gt;"","WS",""),"")</f>
        <v>WS</v>
      </c>
      <c r="G161" s="398" t="str">
        <f>IFERROR(IF(VLOOKUP(Tabla58[[#This Row],[Cod trabalhador]],'Altas Luminous'!B:E,1,0)&lt;&gt;"","LM",""),"")</f>
        <v/>
      </c>
      <c r="H161" s="51">
        <f>IFERROR(VLOOKUP(Tabla58[[#This Row],[Cod trabalhador]],'Altas Wiseowe'!B:E,3,FALSE),"")</f>
        <v>45945</v>
      </c>
      <c r="I161" s="51" t="str">
        <f>IF(OR(Tabla58[[#This Row],[Cod trabalhador]]="",ISBLANK(Tabla58[[#This Row],[Cod trabalhador]])),"",IFERROR(IF(VLOOKUP(Tabla58[[#This Row],[Cod trabalhador]],'Altas Wiseowe'!B:E,4,FALSE)=0,"",VLOOKUP(Tabla58[[#This Row],[Cod trabalhador]],'Altas Wiseowe'!B:E,4,FALSE)),""))</f>
        <v/>
      </c>
      <c r="J161" s="397">
        <f t="shared" si="5"/>
        <v>31</v>
      </c>
      <c r="K161" s="376" t="s">
        <v>404</v>
      </c>
      <c r="L161" s="342" t="str">
        <f>IFERROR(IF(Tabla58[[#This Row],[Cod trabalhador]]="",Tabla58[[#This Row],[Cod trabalhador]], INDEX(Colaborador_ID[Nombre], MATCH(Tabla58[[#This Row],[Cod trabalhador]],Colaborador_ID[Cod_colab], 0))), "")</f>
        <v>ANDRES FELIPE MARULANDA ARAQUE</v>
      </c>
      <c r="M161" s="340"/>
      <c r="N161" s="383" t="s">
        <v>7357</v>
      </c>
      <c r="O161" s="231">
        <f>IFERROR(VLOOKUP(Tabla58[[#This Row],[Cod trabalhador]],Tabla15[],4,FALSE),"")</f>
        <v>15</v>
      </c>
      <c r="P161" s="232">
        <f>IFERROR(VLOOKUP(Tabla58[[#This Row],[Cod trabalhador]],'TotalHorasAjustadas (2)'!D:L,8,FALSE),"")</f>
        <v>268</v>
      </c>
      <c r="Q161" s="27">
        <v>268</v>
      </c>
      <c r="R161" s="28" t="s">
        <v>7471</v>
      </c>
      <c r="S161" s="28" t="s">
        <v>7539</v>
      </c>
      <c r="U161" s="381"/>
      <c r="V161" s="388"/>
      <c r="X161" s="28"/>
      <c r="Y161" s="28"/>
      <c r="Z161" s="149"/>
      <c r="AA161" s="392" t="str">
        <f>IFERROR(VLOOKUP(Tabla58[[#This Row],[Cod trabalhador]],Alojamentos!B:P,11,FALSE),"")</f>
        <v/>
      </c>
      <c r="AB161" s="127"/>
      <c r="AC161" s="150"/>
      <c r="AD161" s="35">
        <f>Tabla58[[#This Row],[Dias de alta]]*7.058</f>
        <v>218.798</v>
      </c>
      <c r="AE161" s="393" t="str">
        <f>IFERROR(VLOOKUP(Tabla58[[#This Row],[Cod trabalhador]],Adiantamentos!B:L,7,FALSE),"")</f>
        <v/>
      </c>
      <c r="AF161" s="393">
        <f>IFERROR(VLOOKUP(Tabla58[[#This Row],[Cod trabalhador]],Carro!B:D,3,FALSE),"")</f>
        <v>66.666666666666657</v>
      </c>
      <c r="AG161" s="393">
        <f>IFERROR(VLOOKUP(Tabla58[[#This Row],[Cod trabalhador]],'Outros descontos'!B:O,7,FALSE),"")</f>
        <v>0</v>
      </c>
      <c r="AH161" s="393">
        <f>IFERROR(VLOOKUP(Tabla58[[#This Row],[Cod trabalhador]],'Outros descontos'!B:M,8,FALSE),"")</f>
        <v>0</v>
      </c>
      <c r="AI161" s="393">
        <f>IFERROR(VLOOKUP(Tabla58[[#This Row],[Cod trabalhador]],'Outros descontos'!B:M,9,FALSE),"")</f>
        <v>0</v>
      </c>
      <c r="AJ161" s="393">
        <f>IFERROR(VLOOKUP(Tabla58[[#This Row],[Cod trabalhador]],'Outros descontos'!B:M,10,FALSE),"")</f>
        <v>148.97</v>
      </c>
      <c r="AK161" s="393">
        <f>IFERROR(VLOOKUP(Tabla58[[#This Row],[Cod trabalhador]],'Outros descontos'!B:M,11,FALSE),"")</f>
        <v>0</v>
      </c>
      <c r="AL161" s="393">
        <f>IFERROR(VLOOKUP(Tabla58[[#This Row],[Cod trabalhador]],'Outros descontos'!B:R,12,FALSE),"")</f>
        <v>0</v>
      </c>
      <c r="AM161" s="46" t="str">
        <f>IFERROR(VLOOKUP(Tabla58[[#This Row],[Cod trabalhador]],'Outros descontos'!B:M,13,FALSE),"")</f>
        <v/>
      </c>
      <c r="AN161" s="35"/>
      <c r="AO161" s="37">
        <v>4.08</v>
      </c>
      <c r="AP161" s="15"/>
      <c r="AQ161" s="395">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3581.485333333334</v>
      </c>
      <c r="AR161"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3581.485333333334</v>
      </c>
      <c r="AS161" s="396"/>
      <c r="AT161" s="27" t="str">
        <f>IF(Tabla58[[#This Row],[Cod trabalhador]]="", "", INDEX(Iban!C:C, MATCH(Tabla58[[#This Row],[Cod trabalhador]],Iban!A:A, 0)))</f>
        <v xml:space="preserve">BE27 9051 8348 2173 </v>
      </c>
      <c r="AU161" s="27"/>
      <c r="AV161" s="311"/>
      <c r="AW161" s="66" t="s">
        <v>7543</v>
      </c>
      <c r="AX161" s="296" t="s">
        <v>7472</v>
      </c>
    </row>
    <row r="162" spans="2:50" ht="16.5" hidden="1" customHeight="1" x14ac:dyDescent="0.3">
      <c r="B162" s="39" t="s">
        <v>913</v>
      </c>
      <c r="C162" s="45" t="str">
        <f>IF(ISNUMBER(MATCH(Tabla58[[#This Row],[Cod trabalhador]],'Altas Wiseowe'!B:B, 0)), "Ativo", "Não ativo")</f>
        <v>Ativo</v>
      </c>
      <c r="D162" s="44" t="str">
        <f>IFERROR(IF(VLOOKUP(Tabla58[[#This Row],[Cod trabalhador]],'Altas Industrial'!B:E,1,0)&lt;&gt;"","KI",""),"")</f>
        <v/>
      </c>
      <c r="E162" s="44" t="str">
        <f>IFERROR(IF(VLOOKUP(Tabla58[[#This Row],[Cod trabalhador]],'Altas Rosas'!B:F,1,0)&lt;&gt;"","KR",""),"")</f>
        <v/>
      </c>
      <c r="F162" s="44" t="str">
        <f>IFERROR(IF(VLOOKUP(Tabla58[[#This Row],[Cod trabalhador]],'Altas Wiseowe'!B:E,1,0)&lt;&gt;"","WS",""),"")</f>
        <v>WS</v>
      </c>
      <c r="G162" s="398" t="str">
        <f>IFERROR(IF(VLOOKUP(Tabla58[[#This Row],[Cod trabalhador]],'Altas Luminous'!B:E,1,0)&lt;&gt;"","LM",""),"")</f>
        <v/>
      </c>
      <c r="H162" s="51">
        <f>IFERROR(VLOOKUP(Tabla58[[#This Row],[Cod trabalhador]],'Altas Wiseowe'!B:E,3,FALSE),"")</f>
        <v>45945</v>
      </c>
      <c r="I162" s="51" t="str">
        <f>IF(OR(Tabla58[[#This Row],[Cod trabalhador]]="",ISBLANK(Tabla58[[#This Row],[Cod trabalhador]])),"",IFERROR(IF(VLOOKUP(Tabla58[[#This Row],[Cod trabalhador]],'Altas Wiseowe'!B:E,4,FALSE)=0,"",VLOOKUP(Tabla58[[#This Row],[Cod trabalhador]],'Altas Wiseowe'!B:E,4,FALSE)),""))</f>
        <v/>
      </c>
      <c r="J162" s="397">
        <f t="shared" si="5"/>
        <v>31</v>
      </c>
      <c r="K162" s="376" t="s">
        <v>7358</v>
      </c>
      <c r="L162" s="342" t="str">
        <f>IFERROR(IF(Tabla58[[#This Row],[Cod trabalhador]]="",Tabla58[[#This Row],[Cod trabalhador]], INDEX(Colaborador_ID[Nombre], MATCH(Tabla58[[#This Row],[Cod trabalhador]],Colaborador_ID[Cod_colab], 0))), "")</f>
        <v>CARLOS MITCHELL SANTOS RODRIGUEZ</v>
      </c>
      <c r="M162" s="340"/>
      <c r="N162" s="383" t="s">
        <v>7357</v>
      </c>
      <c r="O162" s="231">
        <f>IFERROR(VLOOKUP(Tabla58[[#This Row],[Cod trabalhador]],Tabla15[],4,FALSE),"")</f>
        <v>15</v>
      </c>
      <c r="P162" s="232">
        <f>IFERROR(VLOOKUP(Tabla58[[#This Row],[Cod trabalhador]],'TotalHorasAjustadas (2)'!D:L,8,FALSE),"")</f>
        <v>268</v>
      </c>
      <c r="Q162" s="27">
        <v>268</v>
      </c>
      <c r="R162" s="28" t="s">
        <v>7471</v>
      </c>
      <c r="S162" s="28" t="s">
        <v>7539</v>
      </c>
      <c r="U162" s="381"/>
      <c r="V162" s="388"/>
      <c r="X162" s="28"/>
      <c r="Y162" s="28"/>
      <c r="Z162" s="149"/>
      <c r="AA162" s="392" t="str">
        <f>IFERROR(VLOOKUP(Tabla58[[#This Row],[Cod trabalhador]],Alojamentos!B:P,11,FALSE),"")</f>
        <v/>
      </c>
      <c r="AB162" s="127"/>
      <c r="AC162" s="150"/>
      <c r="AD162" s="35">
        <f>Tabla58[[#This Row],[Dias de alta]]*7.058</f>
        <v>218.798</v>
      </c>
      <c r="AE162" s="393" t="str">
        <f>IFERROR(VLOOKUP(Tabla58[[#This Row],[Cod trabalhador]],Adiantamentos!B:L,7,FALSE),"")</f>
        <v/>
      </c>
      <c r="AF162" s="393">
        <f>IFERROR(VLOOKUP(Tabla58[[#This Row],[Cod trabalhador]],Carro!B:D,3,FALSE),"")</f>
        <v>66.666666666666657</v>
      </c>
      <c r="AG162" s="393">
        <f>IFERROR(VLOOKUP(Tabla58[[#This Row],[Cod trabalhador]],'Outros descontos'!B:O,7,FALSE),"")</f>
        <v>0</v>
      </c>
      <c r="AH162" s="393">
        <f>IFERROR(VLOOKUP(Tabla58[[#This Row],[Cod trabalhador]],'Outros descontos'!B:M,8,FALSE),"")</f>
        <v>0</v>
      </c>
      <c r="AI162" s="393">
        <f>IFERROR(VLOOKUP(Tabla58[[#This Row],[Cod trabalhador]],'Outros descontos'!B:M,9,FALSE),"")</f>
        <v>0</v>
      </c>
      <c r="AJ162" s="393">
        <f>IFERROR(VLOOKUP(Tabla58[[#This Row],[Cod trabalhador]],'Outros descontos'!B:M,10,FALSE),"")</f>
        <v>148.97</v>
      </c>
      <c r="AK162" s="393">
        <f>IFERROR(VLOOKUP(Tabla58[[#This Row],[Cod trabalhador]],'Outros descontos'!B:M,11,FALSE),"")</f>
        <v>0</v>
      </c>
      <c r="AL162" s="35">
        <f>IFERROR(VLOOKUP(Tabla58[[#This Row],[Cod trabalhador]],'Outros descontos'!B:R,12,FALSE),"")</f>
        <v>21.74</v>
      </c>
      <c r="AM162" s="46" t="str">
        <f>IFERROR(VLOOKUP(Tabla58[[#This Row],[Cod trabalhador]],'Outros descontos'!B:M,13,FALSE),"")</f>
        <v/>
      </c>
      <c r="AN162" s="35"/>
      <c r="AO162" s="37">
        <v>4.08</v>
      </c>
      <c r="AP162" s="15"/>
      <c r="AQ162" s="395">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3559.7453333333342</v>
      </c>
      <c r="AR162"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3559.7453333333342</v>
      </c>
      <c r="AS162" s="396"/>
      <c r="AT162" s="27" t="str">
        <f>IF(Tabla58[[#This Row],[Cod trabalhador]]="", "", INDEX(Iban!C:C, MATCH(Tabla58[[#This Row],[Cod trabalhador]],Iban!A:A, 0)))</f>
        <v>ES16 0182 8674 4202 0164 9087</v>
      </c>
      <c r="AU162" s="27"/>
      <c r="AV162" s="311"/>
      <c r="AW162" s="66" t="s">
        <v>7543</v>
      </c>
      <c r="AX162" s="296" t="s">
        <v>7472</v>
      </c>
    </row>
    <row r="163" spans="2:50" ht="16.5" hidden="1" customHeight="1" x14ac:dyDescent="0.3">
      <c r="B163" s="39" t="s">
        <v>1063</v>
      </c>
      <c r="C163" s="45" t="str">
        <f>IF(ISNUMBER(MATCH(Tabla58[[#This Row],[Cod trabalhador]],'Altas Wiseowe'!B:B, 0)), "Ativo", "Não ativo")</f>
        <v>Não ativo</v>
      </c>
      <c r="D163" s="44" t="str">
        <f>IFERROR(IF(VLOOKUP(Tabla58[[#This Row],[Cod trabalhador]],'Altas Industrial'!B:E,1,0)&lt;&gt;"","KI",""),"")</f>
        <v/>
      </c>
      <c r="E163" s="44" t="str">
        <f>IFERROR(IF(VLOOKUP(Tabla58[[#This Row],[Cod trabalhador]],'Altas Rosas'!B:F,1,0)&lt;&gt;"","KR",""),"")</f>
        <v/>
      </c>
      <c r="F163" s="44" t="str">
        <f>IFERROR(IF(VLOOKUP(Tabla58[[#This Row],[Cod trabalhador]],'Altas Wiseowe'!B:E,1,0)&lt;&gt;"","WS",""),"")</f>
        <v/>
      </c>
      <c r="G163" s="398" t="str">
        <f>IFERROR(IF(VLOOKUP(Tabla58[[#This Row],[Cod trabalhador]],'Altas Luminous'!B:E,1,0)&lt;&gt;"","LM",""),"")</f>
        <v/>
      </c>
      <c r="H163" s="51" t="str">
        <f>IFERROR(VLOOKUP(Tabla58[[#This Row],[Cod trabalhador]],'Altas Wiseowe'!B:E,3,FALSE),"")</f>
        <v/>
      </c>
      <c r="I163" s="51" t="str">
        <f>IF(OR(Tabla58[[#This Row],[Cod trabalhador]]="",ISBLANK(Tabla58[[#This Row],[Cod trabalhador]])),"",IFERROR(IF(VLOOKUP(Tabla58[[#This Row],[Cod trabalhador]],'Altas Wiseowe'!B:E,4,FALSE)=0,"",VLOOKUP(Tabla58[[#This Row],[Cod trabalhador]],'Altas Wiseowe'!B:E,4,FALSE)),""))</f>
        <v/>
      </c>
      <c r="J163" s="397">
        <f t="shared" si="5"/>
        <v>0</v>
      </c>
      <c r="K163" s="376" t="s">
        <v>1064</v>
      </c>
      <c r="L163" s="342" t="str">
        <f>IFERROR(IF(Tabla58[[#This Row],[Cod trabalhador]]="",Tabla58[[#This Row],[Cod trabalhador]], INDEX(Colaborador_ID[Nombre], MATCH(Tabla58[[#This Row],[Cod trabalhador]],Colaborador_ID[Cod_colab], 0))), "")</f>
        <v>CRISTIAN ARIZA MARTINEZ</v>
      </c>
      <c r="M163" s="340"/>
      <c r="N163" s="383" t="s">
        <v>7357</v>
      </c>
      <c r="O163" s="231">
        <f>IFERROR(VLOOKUP(Tabla58[[#This Row],[Cod trabalhador]],Tabla15[],4,FALSE),"")</f>
        <v>14</v>
      </c>
      <c r="P163" s="232">
        <f>IFERROR(VLOOKUP(Tabla58[[#This Row],[Cod trabalhador]],'TotalHorasAjustadas (2)'!D:L,8,FALSE),"")</f>
        <v>255</v>
      </c>
      <c r="Q163" s="27">
        <v>255</v>
      </c>
      <c r="R163" s="28" t="s">
        <v>7471</v>
      </c>
      <c r="S163" s="28" t="s">
        <v>7539</v>
      </c>
      <c r="U163" s="381"/>
      <c r="V163" s="388"/>
      <c r="X163" s="28"/>
      <c r="Y163" s="28"/>
      <c r="Z163" s="149"/>
      <c r="AA163" s="392" t="str">
        <f>IFERROR(VLOOKUP(Tabla58[[#This Row],[Cod trabalhador]],Alojamentos!B:P,11,FALSE),"")</f>
        <v/>
      </c>
      <c r="AB163" s="127"/>
      <c r="AC163" s="150"/>
      <c r="AD163" s="35">
        <f>Tabla58[[#This Row],[Dias de alta]]*7.058</f>
        <v>0</v>
      </c>
      <c r="AE163" s="393" t="str">
        <f>IFERROR(VLOOKUP(Tabla58[[#This Row],[Cod trabalhador]],Adiantamentos!B:L,7,FALSE),"")</f>
        <v/>
      </c>
      <c r="AF163" s="393">
        <f>IFERROR(VLOOKUP(Tabla58[[#This Row],[Cod trabalhador]],Carro!B:D,3,FALSE),"")</f>
        <v>74.666666666666657</v>
      </c>
      <c r="AG163" s="393" t="str">
        <f>IFERROR(VLOOKUP(Tabla58[[#This Row],[Cod trabalhador]],'Outros descontos'!B:O,7,FALSE),"")</f>
        <v/>
      </c>
      <c r="AH163" s="393" t="str">
        <f>IFERROR(VLOOKUP(Tabla58[[#This Row],[Cod trabalhador]],'Outros descontos'!B:M,8,FALSE),"")</f>
        <v/>
      </c>
      <c r="AI163" s="393" t="str">
        <f>IFERROR(VLOOKUP(Tabla58[[#This Row],[Cod trabalhador]],'Outros descontos'!B:M,9,FALSE),"")</f>
        <v/>
      </c>
      <c r="AJ163" s="393" t="str">
        <f>IFERROR(VLOOKUP(Tabla58[[#This Row],[Cod trabalhador]],'Outros descontos'!B:M,10,FALSE),"")</f>
        <v/>
      </c>
      <c r="AK163" s="393" t="str">
        <f>IFERROR(VLOOKUP(Tabla58[[#This Row],[Cod trabalhador]],'Outros descontos'!B:M,11,FALSE),"")</f>
        <v/>
      </c>
      <c r="AL163" s="393" t="str">
        <f>IFERROR(VLOOKUP(Tabla58[[#This Row],[Cod trabalhador]],'Outros descontos'!B:R,12,FALSE),"")</f>
        <v/>
      </c>
      <c r="AM163" s="46" t="str">
        <f>IFERROR(VLOOKUP(Tabla58[[#This Row],[Cod trabalhador]],'Outros descontos'!B:M,13,FALSE),"")</f>
        <v/>
      </c>
      <c r="AN163" s="35"/>
      <c r="AO163" s="37">
        <v>4.08</v>
      </c>
      <c r="AP163" s="15"/>
      <c r="AQ163" s="395">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3491.2533333333336</v>
      </c>
      <c r="AR163"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3491.2533333333336</v>
      </c>
      <c r="AS163" s="396"/>
      <c r="AT163" s="27" t="str">
        <f>IF(Tabla58[[#This Row],[Cod trabalhador]]="", "", INDEX(Iban!C:C, MATCH(Tabla58[[#This Row],[Cod trabalhador]],Iban!A:A, 0)))</f>
        <v>ES26 0182 9050 1902 0169 9522</v>
      </c>
      <c r="AU163" s="27"/>
      <c r="AV163" s="311"/>
      <c r="AW163" s="66"/>
      <c r="AX163" s="296" t="s">
        <v>7472</v>
      </c>
    </row>
    <row r="164" spans="2:50" ht="16.5" hidden="1" customHeight="1" x14ac:dyDescent="0.3">
      <c r="B164" s="39" t="s">
        <v>3643</v>
      </c>
      <c r="C164" s="45" t="str">
        <f>IF(ISNUMBER(MATCH(Tabla58[[#This Row],[Cod trabalhador]],'Altas Wiseowe'!B:B, 0)), "Ativo", "Não ativo")</f>
        <v>Ativo</v>
      </c>
      <c r="D164" s="44" t="str">
        <f>IFERROR(IF(VLOOKUP(Tabla58[[#This Row],[Cod trabalhador]],'Altas Industrial'!B:E,1,0)&lt;&gt;"","KI",""),"")</f>
        <v/>
      </c>
      <c r="E164" s="44" t="str">
        <f>IFERROR(IF(VLOOKUP(Tabla58[[#This Row],[Cod trabalhador]],'Altas Rosas'!B:F,1,0)&lt;&gt;"","KR",""),"")</f>
        <v/>
      </c>
      <c r="F164" s="44" t="str">
        <f>IFERROR(IF(VLOOKUP(Tabla58[[#This Row],[Cod trabalhador]],'Altas Wiseowe'!B:E,1,0)&lt;&gt;"","WS",""),"")</f>
        <v>WS</v>
      </c>
      <c r="G164" s="398" t="str">
        <f>IFERROR(IF(VLOOKUP(Tabla58[[#This Row],[Cod trabalhador]],'Altas Luminous'!B:E,1,0)&lt;&gt;"","LM",""),"")</f>
        <v/>
      </c>
      <c r="H164" s="51">
        <f>IFERROR(VLOOKUP(Tabla58[[#This Row],[Cod trabalhador]],'Altas Wiseowe'!B:E,3,FALSE),"")</f>
        <v>45945</v>
      </c>
      <c r="I164" s="51" t="str">
        <f>IF(OR(Tabla58[[#This Row],[Cod trabalhador]]="",ISBLANK(Tabla58[[#This Row],[Cod trabalhador]])),"",IFERROR(IF(VLOOKUP(Tabla58[[#This Row],[Cod trabalhador]],'Altas Wiseowe'!B:E,4,FALSE)=0,"",VLOOKUP(Tabla58[[#This Row],[Cod trabalhador]],'Altas Wiseowe'!B:E,4,FALSE)),""))</f>
        <v/>
      </c>
      <c r="J164" s="397">
        <f t="shared" si="5"/>
        <v>31</v>
      </c>
      <c r="K164" s="376" t="s">
        <v>7359</v>
      </c>
      <c r="L164" s="342" t="str">
        <f>IFERROR(IF(Tabla58[[#This Row],[Cod trabalhador]]="",Tabla58[[#This Row],[Cod trabalhador]], INDEX(Colaborador_ID[Nombre], MATCH(Tabla58[[#This Row],[Cod trabalhador]],Colaborador_ID[Cod_colab], 0))), "")</f>
        <v>JONATHAN ALEJANDRO MARTINEZ CASTIBLANCO</v>
      </c>
      <c r="M164" s="340"/>
      <c r="N164" s="383" t="s">
        <v>7357</v>
      </c>
      <c r="O164" s="231">
        <f>IFERROR(VLOOKUP(Tabla58[[#This Row],[Cod trabalhador]],Tabla15[],4,FALSE),"")</f>
        <v>15</v>
      </c>
      <c r="P164" s="232">
        <f>IFERROR(VLOOKUP(Tabla58[[#This Row],[Cod trabalhador]],'TotalHorasAjustadas (2)'!D:L,8,FALSE),"")</f>
        <v>268</v>
      </c>
      <c r="Q164" s="27">
        <v>268</v>
      </c>
      <c r="R164" s="28" t="s">
        <v>7471</v>
      </c>
      <c r="S164" s="28" t="s">
        <v>7539</v>
      </c>
      <c r="U164" s="381"/>
      <c r="V164" s="388"/>
      <c r="X164" s="28"/>
      <c r="Y164" s="28"/>
      <c r="Z164" s="149"/>
      <c r="AA164" s="392" t="str">
        <f>IFERROR(VLOOKUP(Tabla58[[#This Row],[Cod trabalhador]],Alojamentos!B:P,11,FALSE),"")</f>
        <v/>
      </c>
      <c r="AB164" s="127"/>
      <c r="AC164" s="150"/>
      <c r="AD164" s="35">
        <f>Tabla58[[#This Row],[Dias de alta]]*7.058</f>
        <v>218.798</v>
      </c>
      <c r="AE164" s="393" t="str">
        <f>IFERROR(VLOOKUP(Tabla58[[#This Row],[Cod trabalhador]],Adiantamentos!B:L,7,FALSE),"")</f>
        <v/>
      </c>
      <c r="AF164" s="393">
        <f>IFERROR(VLOOKUP(Tabla58[[#This Row],[Cod trabalhador]],Carro!B:D,3,FALSE),"")</f>
        <v>66.666666666666657</v>
      </c>
      <c r="AG164" s="393">
        <f>IFERROR(VLOOKUP(Tabla58[[#This Row],[Cod trabalhador]],'Outros descontos'!B:O,7,FALSE),"")</f>
        <v>0</v>
      </c>
      <c r="AH164" s="393">
        <f>IFERROR(VLOOKUP(Tabla58[[#This Row],[Cod trabalhador]],'Outros descontos'!B:M,8,FALSE),"")</f>
        <v>0</v>
      </c>
      <c r="AI164" s="393">
        <f>IFERROR(VLOOKUP(Tabla58[[#This Row],[Cod trabalhador]],'Outros descontos'!B:M,9,FALSE),"")</f>
        <v>0</v>
      </c>
      <c r="AJ164" s="393">
        <f>IFERROR(VLOOKUP(Tabla58[[#This Row],[Cod trabalhador]],'Outros descontos'!B:M,10,FALSE),"")</f>
        <v>148.97</v>
      </c>
      <c r="AK164" s="393">
        <f>IFERROR(VLOOKUP(Tabla58[[#This Row],[Cod trabalhador]],'Outros descontos'!B:M,11,FALSE),"")</f>
        <v>0</v>
      </c>
      <c r="AL164" s="393">
        <f>IFERROR(VLOOKUP(Tabla58[[#This Row],[Cod trabalhador]],'Outros descontos'!B:R,12,FALSE),"")</f>
        <v>0</v>
      </c>
      <c r="AM164" s="46" t="str">
        <f>IFERROR(VLOOKUP(Tabla58[[#This Row],[Cod trabalhador]],'Outros descontos'!B:M,13,FALSE),"")</f>
        <v/>
      </c>
      <c r="AN164" s="35"/>
      <c r="AO164" s="37">
        <v>4.08</v>
      </c>
      <c r="AP164" s="15"/>
      <c r="AQ164" s="395">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3581.485333333334</v>
      </c>
      <c r="AR164"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3581.485333333334</v>
      </c>
      <c r="AS164" s="396"/>
      <c r="AT164" s="27" t="str">
        <f>IF(Tabla58[[#This Row],[Cod trabalhador]]="", "", INDEX(Iban!C:C, MATCH(Tabla58[[#This Row],[Cod trabalhador]],Iban!A:A, 0)))</f>
        <v>ES52 0182 8181 1602 0234 8610</v>
      </c>
      <c r="AU164" s="27"/>
      <c r="AV164" s="311"/>
      <c r="AW164" s="66" t="s">
        <v>7543</v>
      </c>
      <c r="AX164" s="296" t="s">
        <v>7472</v>
      </c>
    </row>
    <row r="165" spans="2:50" ht="16.5" hidden="1" customHeight="1" x14ac:dyDescent="0.3">
      <c r="B165" s="39" t="s">
        <v>4913</v>
      </c>
      <c r="C165" s="45" t="str">
        <f>IF(ISNUMBER(MATCH(Tabla58[[#This Row],[Cod trabalhador]],'Altas Wiseowe'!B:B, 0)), "Ativo", "Não ativo")</f>
        <v>Não ativo</v>
      </c>
      <c r="D165" s="44" t="str">
        <f>IFERROR(IF(VLOOKUP(Tabla58[[#This Row],[Cod trabalhador]],'Altas Industrial'!B:E,1,0)&lt;&gt;"","KI",""),"")</f>
        <v/>
      </c>
      <c r="E165" s="44" t="str">
        <f>IFERROR(IF(VLOOKUP(Tabla58[[#This Row],[Cod trabalhador]],'Altas Rosas'!B:F,1,0)&lt;&gt;"","KR",""),"")</f>
        <v/>
      </c>
      <c r="F165" s="44" t="str">
        <f>IFERROR(IF(VLOOKUP(Tabla58[[#This Row],[Cod trabalhador]],'Altas Wiseowe'!B:E,1,0)&lt;&gt;"","WS",""),"")</f>
        <v/>
      </c>
      <c r="G165" s="398" t="str">
        <f>IFERROR(IF(VLOOKUP(Tabla58[[#This Row],[Cod trabalhador]],'Altas Luminous'!B:E,1,0)&lt;&gt;"","LM",""),"")</f>
        <v/>
      </c>
      <c r="H165" s="51" t="str">
        <f>IFERROR(VLOOKUP(Tabla58[[#This Row],[Cod trabalhador]],'Altas Wiseowe'!B:E,3,FALSE),"")</f>
        <v/>
      </c>
      <c r="I165" s="51" t="str">
        <f>IF(OR(Tabla58[[#This Row],[Cod trabalhador]]="",ISBLANK(Tabla58[[#This Row],[Cod trabalhador]])),"",IFERROR(IF(VLOOKUP(Tabla58[[#This Row],[Cod trabalhador]],'Altas Wiseowe'!B:E,4,FALSE)=0,"",VLOOKUP(Tabla58[[#This Row],[Cod trabalhador]],'Altas Wiseowe'!B:E,4,FALSE)),""))</f>
        <v/>
      </c>
      <c r="J165" s="397">
        <f t="shared" si="5"/>
        <v>0</v>
      </c>
      <c r="K165" s="376" t="s">
        <v>7360</v>
      </c>
      <c r="L165" s="342" t="str">
        <f>IFERROR(IF(Tabla58[[#This Row],[Cod trabalhador]]="",Tabla58[[#This Row],[Cod trabalhador]], INDEX(Colaborador_ID[Nombre], MATCH(Tabla58[[#This Row],[Cod trabalhador]],Colaborador_ID[Cod_colab], 0))), "")</f>
        <v>LUIS JAVIER ZAMORA CANACHE</v>
      </c>
      <c r="M165" s="340"/>
      <c r="N165" s="383" t="s">
        <v>7357</v>
      </c>
      <c r="O165" s="231">
        <f>IFERROR(VLOOKUP(Tabla58[[#This Row],[Cod trabalhador]],Tabla15[],4,FALSE),"")</f>
        <v>15</v>
      </c>
      <c r="P165" s="232">
        <f>IFERROR(VLOOKUP(Tabla58[[#This Row],[Cod trabalhador]],'TotalHorasAjustadas (2)'!D:L,8,FALSE),"")</f>
        <v>268</v>
      </c>
      <c r="Q165" s="27">
        <v>268</v>
      </c>
      <c r="R165" s="28" t="s">
        <v>7471</v>
      </c>
      <c r="S165" s="28" t="s">
        <v>7539</v>
      </c>
      <c r="U165" s="381"/>
      <c r="V165" s="388"/>
      <c r="X165" s="28"/>
      <c r="Y165" s="28"/>
      <c r="Z165" s="149"/>
      <c r="AA165" s="392" t="str">
        <f>IFERROR(VLOOKUP(Tabla58[[#This Row],[Cod trabalhador]],Alojamentos!B:P,11,FALSE),"")</f>
        <v/>
      </c>
      <c r="AB165" s="127"/>
      <c r="AC165" s="150"/>
      <c r="AD165" s="35">
        <f>Tabla58[[#This Row],[Dias de alta]]*7.058</f>
        <v>0</v>
      </c>
      <c r="AE165" s="393" t="str">
        <f>IFERROR(VLOOKUP(Tabla58[[#This Row],[Cod trabalhador]],Adiantamentos!B:L,7,FALSE),"")</f>
        <v/>
      </c>
      <c r="AF165" s="393">
        <f>IFERROR(VLOOKUP(Tabla58[[#This Row],[Cod trabalhador]],Carro!B:D,3,FALSE),"")</f>
        <v>66.666666666666657</v>
      </c>
      <c r="AG165" s="393">
        <f>IFERROR(VLOOKUP(Tabla58[[#This Row],[Cod trabalhador]],'Outros descontos'!B:O,7,FALSE),"")</f>
        <v>0</v>
      </c>
      <c r="AH165" s="393">
        <f>IFERROR(VLOOKUP(Tabla58[[#This Row],[Cod trabalhador]],'Outros descontos'!B:M,8,FALSE),"")</f>
        <v>0</v>
      </c>
      <c r="AI165" s="393">
        <f>IFERROR(VLOOKUP(Tabla58[[#This Row],[Cod trabalhador]],'Outros descontos'!B:M,9,FALSE),"")</f>
        <v>0</v>
      </c>
      <c r="AJ165" s="393">
        <f>IFERROR(VLOOKUP(Tabla58[[#This Row],[Cod trabalhador]],'Outros descontos'!B:M,10,FALSE),"")</f>
        <v>148.97</v>
      </c>
      <c r="AK165" s="393">
        <f>IFERROR(VLOOKUP(Tabla58[[#This Row],[Cod trabalhador]],'Outros descontos'!B:M,11,FALSE),"")</f>
        <v>0</v>
      </c>
      <c r="AL165" s="393">
        <f>IFERROR(VLOOKUP(Tabla58[[#This Row],[Cod trabalhador]],'Outros descontos'!B:R,12,FALSE),"")</f>
        <v>0</v>
      </c>
      <c r="AM165" s="46" t="str">
        <f>IFERROR(VLOOKUP(Tabla58[[#This Row],[Cod trabalhador]],'Outros descontos'!B:M,13,FALSE),"")</f>
        <v/>
      </c>
      <c r="AN165" s="35"/>
      <c r="AO165" s="37">
        <v>4.08</v>
      </c>
      <c r="AP165" s="15"/>
      <c r="AQ165" s="395">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3800.2833333333338</v>
      </c>
      <c r="AR165" s="409">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3800.2833333333338</v>
      </c>
      <c r="AS165" s="396"/>
      <c r="AT165" s="27" t="str">
        <f>IF(Tabla58[[#This Row],[Cod trabalhador]]="", "", INDEX(Iban!C:C, MATCH(Tabla58[[#This Row],[Cod trabalhador]],Iban!A:A, 0)))</f>
        <v>ES24 0182 2771 3502 0164 5579</v>
      </c>
      <c r="AU165" s="27"/>
      <c r="AV165" s="311"/>
      <c r="AW165" s="66"/>
      <c r="AX165" s="296" t="s">
        <v>7472</v>
      </c>
    </row>
    <row r="166" spans="2:50" ht="16.5" hidden="1" customHeight="1" x14ac:dyDescent="0.3">
      <c r="B166" s="100" t="s">
        <v>5165</v>
      </c>
      <c r="C166" s="385" t="str">
        <f>IF(ISNUMBER(MATCH(Tabla58[[#This Row],[Cod trabalhador]],'Altas Wiseowe'!B:B, 0)), "Ativo", "Não ativo")</f>
        <v>Ativo</v>
      </c>
      <c r="D166" s="101" t="str">
        <f>IFERROR(IF(VLOOKUP(Tabla58[[#This Row],[Cod trabalhador]],'Altas Industrial'!B:E,1,0)&lt;&gt;"","KI",""),"")</f>
        <v/>
      </c>
      <c r="E166" s="101" t="str">
        <f>IFERROR(IF(VLOOKUP(Tabla58[[#This Row],[Cod trabalhador]],'Altas Rosas'!B:F,1,0)&lt;&gt;"","KR",""),"")</f>
        <v/>
      </c>
      <c r="F166" s="101" t="str">
        <f>IFERROR(IF(VLOOKUP(Tabla58[[#This Row],[Cod trabalhador]],'Altas Wiseowe'!B:E,1,0)&lt;&gt;"","WS",""),"")</f>
        <v>WS</v>
      </c>
      <c r="G166" s="398" t="str">
        <f>IFERROR(IF(VLOOKUP(Tabla58[[#This Row],[Cod trabalhador]],'Altas Luminous'!B:E,1,0)&lt;&gt;"","LM",""),"")</f>
        <v/>
      </c>
      <c r="H166" s="386">
        <f>IFERROR(VLOOKUP(Tabla58[[#This Row],[Cod trabalhador]],'Altas Wiseowe'!B:E,3,FALSE),"")</f>
        <v>45887</v>
      </c>
      <c r="I166" s="386" t="str">
        <f>IF(OR(Tabla58[[#This Row],[Cod trabalhador]]="",ISBLANK(Tabla58[[#This Row],[Cod trabalhador]])),"",IFERROR(IF(VLOOKUP(Tabla58[[#This Row],[Cod trabalhador]],'Altas Wiseowe'!B:E,4,FALSE)=0,"",VLOOKUP(Tabla58[[#This Row],[Cod trabalhador]],'Altas Wiseowe'!B:E,4,FALSE)),""))</f>
        <v/>
      </c>
      <c r="J166" s="384">
        <f t="shared" ref="J166" si="6">IF(C166="ativo",    IF(ISBLANK(H166),"",MAX(0,MIN(IF(ISBLANK(I166),EOMONTH(DATE(2026,1,1),0),I166),EOMONTH(DATE(2026,1,1),0)) - MAX(H166,DATE(2026,1,1))))+1,
    0
)</f>
        <v>31</v>
      </c>
      <c r="K166" s="377" t="s">
        <v>7362</v>
      </c>
      <c r="L166" s="402" t="str">
        <f>IFERROR(IF(Tabla58[[#This Row],[Cod trabalhador]]="",Tabla58[[#This Row],[Cod trabalhador]], INDEX(Colaborador_ID[Nombre], MATCH(Tabla58[[#This Row],[Cod trabalhador]],Colaborador_ID[Cod_colab], 0))), "")</f>
        <v>MARTIN CAMILO SUAREZ BARRERA</v>
      </c>
      <c r="M166" s="340"/>
      <c r="N166" s="383" t="s">
        <v>7361</v>
      </c>
      <c r="O166" s="231">
        <f>IFERROR(VLOOKUP(Tabla58[[#This Row],[Cod trabalhador]],Tabla15[],4,FALSE),"")</f>
        <v>16</v>
      </c>
      <c r="P166" s="232">
        <f>IFERROR(VLOOKUP(Tabla58[[#This Row],[Cod trabalhador]],'TotalHorasAjustadas (2)'!D:L,8,FALSE),"")</f>
        <v>94.5</v>
      </c>
      <c r="Q166" s="97">
        <v>134</v>
      </c>
      <c r="R166" s="28" t="s">
        <v>7532</v>
      </c>
      <c r="S166" s="98" t="s">
        <v>7539</v>
      </c>
      <c r="U166" s="381"/>
      <c r="V166" s="388"/>
      <c r="X166" s="98"/>
      <c r="Y166" s="98"/>
      <c r="Z166" s="149"/>
      <c r="AA166" s="437">
        <f>IFERROR(VLOOKUP(Tabla58[[#This Row],[Cod trabalhador]],Alojamentos!B:P,11,FALSE),"")</f>
        <v>300</v>
      </c>
      <c r="AB166" s="403"/>
      <c r="AC166" s="150"/>
      <c r="AD166" s="35">
        <f>Tabla58[[#This Row],[Dias de alta]]*7.058</f>
        <v>218.798</v>
      </c>
      <c r="AE166" s="393" t="str">
        <f>IFERROR(VLOOKUP(Tabla58[[#This Row],[Cod trabalhador]],Adiantamentos!B:L,7,FALSE),"")</f>
        <v/>
      </c>
      <c r="AF166" s="393" t="str">
        <f>IFERROR(VLOOKUP(Tabla58[[#This Row],[Cod trabalhador]],Carro!B:D,3,FALSE),"")</f>
        <v/>
      </c>
      <c r="AG166" s="393" t="str">
        <f>IFERROR(VLOOKUP(Tabla58[[#This Row],[Cod trabalhador]],'Outros descontos'!B:O,7,FALSE),"")</f>
        <v/>
      </c>
      <c r="AH166" s="393" t="str">
        <f>IFERROR(VLOOKUP(Tabla58[[#This Row],[Cod trabalhador]],'Outros descontos'!B:M,8,FALSE),"")</f>
        <v/>
      </c>
      <c r="AI166" s="393" t="str">
        <f>IFERROR(VLOOKUP(Tabla58[[#This Row],[Cod trabalhador]],'Outros descontos'!B:M,9,FALSE),"")</f>
        <v/>
      </c>
      <c r="AJ166" s="393" t="str">
        <f>IFERROR(VLOOKUP(Tabla58[[#This Row],[Cod trabalhador]],'Outros descontos'!B:M,10,FALSE),"")</f>
        <v/>
      </c>
      <c r="AK166" s="393" t="str">
        <f>IFERROR(VLOOKUP(Tabla58[[#This Row],[Cod trabalhador]],'Outros descontos'!B:M,11,FALSE),"")</f>
        <v/>
      </c>
      <c r="AL166" s="393" t="str">
        <f>IFERROR(VLOOKUP(Tabla58[[#This Row],[Cod trabalhador]],'Outros descontos'!B:R,12,FALSE),"")</f>
        <v/>
      </c>
      <c r="AM166" s="404" t="str">
        <f>IFERROR(VLOOKUP(Tabla58[[#This Row],[Cod trabalhador]],'Outros descontos'!B:M,13,FALSE),"")</f>
        <v/>
      </c>
      <c r="AN166" s="35"/>
      <c r="AO166" s="37">
        <v>4.08</v>
      </c>
      <c r="AQ166" s="395">
        <f xml:space="preserve"> IFERROR(IF(ISNUMBER(Tabla58[[#This Row],[Hora por Previsão]])*ISNUMBER(Tabla58[[#This Row],[Tarifa cliente 1]]), Tabla58[[#This Row],[Hora por Previsão]]*Tabla58[[#This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f>
        <v>1589.1220000000001</v>
      </c>
      <c r="AR166" s="410">
        <f xml:space="preserve"> IFERROR(IF(ISNUMBER(Tabla58[[#This Row],[Horas confirmadas cliente 1]])*ISNUMBER(Tabla58[[#This Row],[Tarifa cliente 1]]), Tabla58[[#This Row],[Horas confirmadas cliente 1]]*Tabla58[[#This Row],[Tarifa cliente 1]], 0), 0)
+ IFERROR(IF(ISNUMBER(Tabla58[[#This Row],[Horas confirmadas cliente 2]])*ISNUMBER(Tabla58[[#This Row],[Tarifa cliente 2]]),Tabla58[[#This Row],[Horas confirmadas cliente 2]]* Tabla58[[#This Row],[Tarifa cliente 2]], 0), 0)
+ IFERROR(IF(ISNUMBER(Tabla58[[#This Row],[Auxilio alojamento]]), Tabla58[[#This Row],[Auxilio alojamento]], 0), 0)+ IFERROR(IF(ISNUMBER(Tabla58[[#This Row],[Outros acréscimos]]), Tabla58[[#This Row],[Outros acréscimos]], 0), 0) - IFERROR(IF(ISNUMBER(Tabla58[[#This Row],[Imposto ss]]), Tabla58[[#This Row],[Imposto ss]], 0), 0) - IFERROR(IF(ISNUMBER(Tabla58[[#This Row],[Adiantamento]]), Tabla58[[#This Row],[Adiantamento]], 0), 0) - IFERROR(IF(ISNUMBER(Tabla58[[#This Row],[Desconto Carro]]), Tabla58[[#This Row],[Desconto Carro]], 0), 0) - IFERROR(IF(ISNUMBER(Tabla58[[#This Row],[MULTA TRANSITO]]), Tabla58[[#This Row],[MULTA TRANSITO]], 0), 0) - IFERROR(IF(ISNUMBER(Tabla58[[#This Row],[COMBUSTIBLE]]), Tabla58[[#This Row],[COMBUSTIBLE]], 0), 0) - IFERROR(IF(ISNUMBER(Tabla58[[#This Row],[PEAJES]]), Tabla58[[#This Row],[PEAJES]], 0), 0) - IFERROR(IF(ISNUMBER(Tabla58[[#This Row],[SUMINISTROS]]), Tabla58[[#This Row],[SUMINISTROS]], 0), 0) - IFERROR(IF(ISNUMBER(Tabla58[[#This Row],[MULTA ALOJAMIENTO]]), Tabla58[[#This Row],[MULTA ALOJAMIENTO]], 0), 0) - IFERROR(IF(ISNUMBER(Tabla58[[#This Row],[LIMPIEZA O DAÑOS]]), Tabla58[[#This Row],[LIMPIEZA O DAÑOS]], 0), 0) - IFERROR(IF(ISNUMBER(Tabla58[[#This Row],[Outros  descontos]]), Tabla58[[#This Row],[Outros  descontos]], 0), 0) - IFERROR(IF(ISNUMBER(Tabla58[[#This Row],[Taxa bancária]]), Tabla58[[#This Row],[Taxa bancária]], 0), 0) - IFERROR(IF(ISNUMBER(Tabla58[[#This Row],[EPIS]]), Tabla58[[#This Row],[EPIS]], 0), 0)</f>
        <v>2221.1220000000003</v>
      </c>
      <c r="AS166" s="340"/>
      <c r="AT166" s="97" t="str">
        <f>IF(Tabla58[[#This Row],[Cod trabalhador]]="", "", INDEX(Iban!C:C, MATCH(Tabla58[[#This Row],[Cod trabalhador]],Iban!A:A, 0)))</f>
        <v>PT50 0007 0000 0081 5617 9052 3</v>
      </c>
      <c r="AU166" s="97"/>
      <c r="AV166" s="311"/>
      <c r="AW166" s="130" t="s">
        <v>7540</v>
      </c>
      <c r="AX166" s="399" t="s">
        <v>7472</v>
      </c>
    </row>
    <row r="167" spans="2:50" ht="16.5" customHeight="1" x14ac:dyDescent="0.3">
      <c r="AW167" s="57"/>
    </row>
    <row r="168" spans="2:50" ht="16.5" customHeight="1" x14ac:dyDescent="0.3">
      <c r="AW168" s="57"/>
    </row>
    <row r="169" spans="2:50" ht="16.5" customHeight="1" x14ac:dyDescent="0.3">
      <c r="AW169" s="57"/>
    </row>
    <row r="170" spans="2:50" ht="16.5" customHeight="1" x14ac:dyDescent="0.3">
      <c r="AW170" s="57"/>
    </row>
    <row r="171" spans="2:50" ht="16.5" customHeight="1" x14ac:dyDescent="0.3">
      <c r="AW171" s="57"/>
    </row>
    <row r="172" spans="2:50" ht="16.5" customHeight="1" x14ac:dyDescent="0.3">
      <c r="AW172" s="57"/>
    </row>
    <row r="173" spans="2:50" ht="16.5" customHeight="1" x14ac:dyDescent="0.3">
      <c r="AW173" s="57"/>
    </row>
    <row r="174" spans="2:50" ht="16.5" customHeight="1" x14ac:dyDescent="0.3">
      <c r="AW174" s="57"/>
    </row>
    <row r="175" spans="2:50" ht="16.5" customHeight="1" x14ac:dyDescent="0.3">
      <c r="AW175" s="57"/>
    </row>
    <row r="176" spans="2:50" ht="16.5" customHeight="1" x14ac:dyDescent="0.3">
      <c r="AW176" s="57"/>
    </row>
    <row r="177" spans="49:49" ht="16.5" customHeight="1" x14ac:dyDescent="0.3">
      <c r="AW177" s="57"/>
    </row>
    <row r="178" spans="49:49" ht="16.5" customHeight="1" x14ac:dyDescent="0.3">
      <c r="AW178" s="57"/>
    </row>
    <row r="179" spans="49:49" ht="16.5" customHeight="1" x14ac:dyDescent="0.3">
      <c r="AW179" s="57"/>
    </row>
    <row r="180" spans="49:49" ht="16.5" customHeight="1" x14ac:dyDescent="0.3">
      <c r="AW180" s="57"/>
    </row>
    <row r="181" spans="49:49" ht="16.5" customHeight="1" x14ac:dyDescent="0.3">
      <c r="AW181" s="57"/>
    </row>
    <row r="182" spans="49:49" ht="16.5" customHeight="1" x14ac:dyDescent="0.3">
      <c r="AW182" s="57"/>
    </row>
    <row r="183" spans="49:49" ht="16.5" customHeight="1" x14ac:dyDescent="0.3">
      <c r="AW183" s="57"/>
    </row>
    <row r="184" spans="49:49" ht="16.5" customHeight="1" x14ac:dyDescent="0.3">
      <c r="AW184" s="57"/>
    </row>
    <row r="185" spans="49:49" ht="16.5" customHeight="1" x14ac:dyDescent="0.3">
      <c r="AW185" s="57"/>
    </row>
    <row r="186" spans="49:49" ht="16.5" customHeight="1" x14ac:dyDescent="0.3">
      <c r="AW186" s="57"/>
    </row>
    <row r="187" spans="49:49" ht="16.5" customHeight="1" x14ac:dyDescent="0.3">
      <c r="AW187" s="57"/>
    </row>
    <row r="188" spans="49:49" ht="16.5" customHeight="1" x14ac:dyDescent="0.3">
      <c r="AW188" s="57"/>
    </row>
    <row r="189" spans="49:49" ht="16.5" customHeight="1" x14ac:dyDescent="0.3">
      <c r="AW189" s="57"/>
    </row>
    <row r="190" spans="49:49" ht="16.5" customHeight="1" x14ac:dyDescent="0.3">
      <c r="AW190" s="57"/>
    </row>
    <row r="191" spans="49:49" ht="16.5" customHeight="1" x14ac:dyDescent="0.3">
      <c r="AW191" s="57"/>
    </row>
    <row r="192" spans="49:49" ht="16.5" customHeight="1" x14ac:dyDescent="0.3">
      <c r="AW192" s="57"/>
    </row>
    <row r="193" spans="49:49" ht="16.5" customHeight="1" x14ac:dyDescent="0.3">
      <c r="AW193" s="57"/>
    </row>
    <row r="194" spans="49:49" ht="16.5" customHeight="1" x14ac:dyDescent="0.3">
      <c r="AW194" s="57"/>
    </row>
    <row r="195" spans="49:49" ht="16.5" customHeight="1" x14ac:dyDescent="0.3">
      <c r="AW195" s="57"/>
    </row>
    <row r="196" spans="49:49" ht="16.5" customHeight="1" x14ac:dyDescent="0.3">
      <c r="AW196" s="57"/>
    </row>
    <row r="197" spans="49:49" ht="16.5" customHeight="1" x14ac:dyDescent="0.3">
      <c r="AW197" s="57"/>
    </row>
    <row r="198" spans="49:49" ht="16.5" customHeight="1" x14ac:dyDescent="0.3">
      <c r="AW198" s="57"/>
    </row>
    <row r="199" spans="49:49" ht="16.5" customHeight="1" x14ac:dyDescent="0.3">
      <c r="AW199" s="57"/>
    </row>
    <row r="200" spans="49:49" ht="16.5" customHeight="1" x14ac:dyDescent="0.3">
      <c r="AW200" s="57"/>
    </row>
    <row r="201" spans="49:49" ht="16.5" customHeight="1" x14ac:dyDescent="0.3">
      <c r="AW201" s="57"/>
    </row>
    <row r="202" spans="49:49" ht="16.5" customHeight="1" x14ac:dyDescent="0.3">
      <c r="AW202" s="57"/>
    </row>
    <row r="203" spans="49:49" ht="16.5" customHeight="1" x14ac:dyDescent="0.3">
      <c r="AW203" s="57"/>
    </row>
    <row r="204" spans="49:49" ht="16.5" customHeight="1" x14ac:dyDescent="0.3">
      <c r="AW204" s="57"/>
    </row>
    <row r="205" spans="49:49" ht="16.5" customHeight="1" x14ac:dyDescent="0.3">
      <c r="AW205" s="57"/>
    </row>
    <row r="206" spans="49:49" ht="16.5" customHeight="1" x14ac:dyDescent="0.3">
      <c r="AW206" s="57"/>
    </row>
    <row r="207" spans="49:49" ht="16.5" customHeight="1" x14ac:dyDescent="0.3">
      <c r="AW207" s="57"/>
    </row>
    <row r="208" spans="49:49" ht="16.5" customHeight="1" x14ac:dyDescent="0.3">
      <c r="AW208" s="57"/>
    </row>
    <row r="209" spans="49:49" ht="16.5" customHeight="1" x14ac:dyDescent="0.3">
      <c r="AW209" s="57"/>
    </row>
    <row r="210" spans="49:49" ht="16.5" customHeight="1" x14ac:dyDescent="0.3">
      <c r="AW210" s="57"/>
    </row>
    <row r="211" spans="49:49" ht="16.5" customHeight="1" x14ac:dyDescent="0.3">
      <c r="AW211" s="57"/>
    </row>
    <row r="212" spans="49:49" ht="16.5" customHeight="1" x14ac:dyDescent="0.3">
      <c r="AW212" s="57"/>
    </row>
    <row r="213" spans="49:49" ht="16.5" customHeight="1" x14ac:dyDescent="0.3">
      <c r="AW213" s="57"/>
    </row>
    <row r="214" spans="49:49" ht="16.5" customHeight="1" x14ac:dyDescent="0.3">
      <c r="AW214" s="57"/>
    </row>
    <row r="215" spans="49:49" ht="16.5" customHeight="1" x14ac:dyDescent="0.3">
      <c r="AW215" s="57"/>
    </row>
    <row r="216" spans="49:49" ht="16.5" customHeight="1" x14ac:dyDescent="0.3">
      <c r="AW216" s="57"/>
    </row>
    <row r="217" spans="49:49" ht="16.5" customHeight="1" x14ac:dyDescent="0.3">
      <c r="AW217" s="57"/>
    </row>
    <row r="218" spans="49:49" ht="16.5" customHeight="1" x14ac:dyDescent="0.3">
      <c r="AW218" s="57"/>
    </row>
    <row r="219" spans="49:49" ht="16.5" customHeight="1" x14ac:dyDescent="0.3">
      <c r="AW219" s="57"/>
    </row>
    <row r="220" spans="49:49" ht="16.5" customHeight="1" x14ac:dyDescent="0.3">
      <c r="AW220" s="57"/>
    </row>
    <row r="221" spans="49:49" ht="16.5" customHeight="1" x14ac:dyDescent="0.3">
      <c r="AW221" s="57"/>
    </row>
    <row r="222" spans="49:49" ht="16.5" customHeight="1" x14ac:dyDescent="0.3">
      <c r="AW222" s="57"/>
    </row>
    <row r="223" spans="49:49" ht="16.5" customHeight="1" x14ac:dyDescent="0.3">
      <c r="AW223" s="57"/>
    </row>
    <row r="224" spans="49:49" ht="16.5" customHeight="1" x14ac:dyDescent="0.3">
      <c r="AW224" s="57"/>
    </row>
    <row r="225" spans="49:49" ht="16.5" customHeight="1" x14ac:dyDescent="0.3">
      <c r="AW225" s="57"/>
    </row>
    <row r="226" spans="49:49" ht="16.5" customHeight="1" x14ac:dyDescent="0.3">
      <c r="AW226" s="57"/>
    </row>
    <row r="227" spans="49:49" ht="16.5" customHeight="1" x14ac:dyDescent="0.3">
      <c r="AW227" s="57"/>
    </row>
    <row r="228" spans="49:49" ht="16.5" customHeight="1" x14ac:dyDescent="0.3">
      <c r="AW228" s="57"/>
    </row>
    <row r="229" spans="49:49" ht="16.5" customHeight="1" x14ac:dyDescent="0.3">
      <c r="AW229" s="57"/>
    </row>
    <row r="230" spans="49:49" ht="16.5" customHeight="1" x14ac:dyDescent="0.3">
      <c r="AW230" s="57"/>
    </row>
    <row r="231" spans="49:49" ht="16.5" customHeight="1" x14ac:dyDescent="0.3">
      <c r="AW231" s="57"/>
    </row>
    <row r="232" spans="49:49" ht="16.5" customHeight="1" x14ac:dyDescent="0.3">
      <c r="AW232" s="57"/>
    </row>
    <row r="233" spans="49:49" ht="16.5" customHeight="1" x14ac:dyDescent="0.3">
      <c r="AW233" s="57"/>
    </row>
    <row r="234" spans="49:49" ht="16.5" customHeight="1" x14ac:dyDescent="0.3">
      <c r="AW234" s="57"/>
    </row>
    <row r="235" spans="49:49" ht="16.5" customHeight="1" x14ac:dyDescent="0.3">
      <c r="AW235" s="57"/>
    </row>
    <row r="236" spans="49:49" ht="16.5" customHeight="1" x14ac:dyDescent="0.3">
      <c r="AW236" s="57"/>
    </row>
    <row r="237" spans="49:49" ht="16.5" customHeight="1" x14ac:dyDescent="0.3">
      <c r="AW237" s="57"/>
    </row>
    <row r="238" spans="49:49" ht="16.5" customHeight="1" x14ac:dyDescent="0.3">
      <c r="AW238" s="57"/>
    </row>
    <row r="239" spans="49:49" ht="16.5" customHeight="1" x14ac:dyDescent="0.3">
      <c r="AW239" s="57"/>
    </row>
    <row r="240" spans="49:49" ht="16.5" customHeight="1" x14ac:dyDescent="0.3">
      <c r="AW240" s="57"/>
    </row>
    <row r="241" spans="49:49" ht="16.5" customHeight="1" x14ac:dyDescent="0.3">
      <c r="AW241" s="57"/>
    </row>
    <row r="242" spans="49:49" ht="16.5" customHeight="1" x14ac:dyDescent="0.3">
      <c r="AW242" s="57"/>
    </row>
    <row r="243" spans="49:49" ht="16.5" customHeight="1" x14ac:dyDescent="0.3">
      <c r="AW243" s="57"/>
    </row>
    <row r="244" spans="49:49" ht="16.5" customHeight="1" x14ac:dyDescent="0.3">
      <c r="AW244" s="57"/>
    </row>
    <row r="245" spans="49:49" ht="16.5" customHeight="1" x14ac:dyDescent="0.3">
      <c r="AW245" s="57"/>
    </row>
    <row r="246" spans="49:49" ht="16.5" customHeight="1" x14ac:dyDescent="0.3">
      <c r="AW246" s="57"/>
    </row>
    <row r="247" spans="49:49" ht="16.5" customHeight="1" x14ac:dyDescent="0.3">
      <c r="AW247" s="57"/>
    </row>
    <row r="248" spans="49:49" ht="16.5" customHeight="1" x14ac:dyDescent="0.3">
      <c r="AW248" s="57"/>
    </row>
    <row r="249" spans="49:49" ht="16.5" customHeight="1" x14ac:dyDescent="0.3">
      <c r="AW249" s="57"/>
    </row>
    <row r="250" spans="49:49" ht="16.5" customHeight="1" x14ac:dyDescent="0.3">
      <c r="AW250" s="57"/>
    </row>
    <row r="251" spans="49:49" ht="16.5" customHeight="1" x14ac:dyDescent="0.3">
      <c r="AW251" s="57"/>
    </row>
    <row r="252" spans="49:49" ht="16.5" customHeight="1" x14ac:dyDescent="0.3">
      <c r="AW252" s="57"/>
    </row>
    <row r="253" spans="49:49" ht="16.5" customHeight="1" x14ac:dyDescent="0.3">
      <c r="AW253" s="57"/>
    </row>
    <row r="254" spans="49:49" ht="16.5" customHeight="1" x14ac:dyDescent="0.3">
      <c r="AW254" s="57"/>
    </row>
    <row r="255" spans="49:49" ht="16.5" customHeight="1" x14ac:dyDescent="0.3">
      <c r="AW255" s="57"/>
    </row>
    <row r="256" spans="49:49" ht="16.5" customHeight="1" x14ac:dyDescent="0.3">
      <c r="AW256" s="57"/>
    </row>
    <row r="257" spans="49:49" ht="16.5" customHeight="1" x14ac:dyDescent="0.3">
      <c r="AW257" s="57"/>
    </row>
    <row r="258" spans="49:49" ht="16.5" customHeight="1" x14ac:dyDescent="0.3">
      <c r="AW258" s="57"/>
    </row>
    <row r="259" spans="49:49" ht="16.5" customHeight="1" x14ac:dyDescent="0.3">
      <c r="AW259" s="57"/>
    </row>
    <row r="260" spans="49:49" ht="16.5" customHeight="1" x14ac:dyDescent="0.3">
      <c r="AW260" s="57"/>
    </row>
    <row r="261" spans="49:49" ht="16.5" customHeight="1" x14ac:dyDescent="0.3">
      <c r="AW261" s="57"/>
    </row>
    <row r="262" spans="49:49" ht="16.5" customHeight="1" x14ac:dyDescent="0.3">
      <c r="AW262" s="57"/>
    </row>
    <row r="263" spans="49:49" ht="16.5" customHeight="1" x14ac:dyDescent="0.3">
      <c r="AW263" s="57"/>
    </row>
    <row r="264" spans="49:49" ht="16.5" customHeight="1" x14ac:dyDescent="0.3">
      <c r="AW264" s="57"/>
    </row>
    <row r="265" spans="49:49" ht="16.5" customHeight="1" x14ac:dyDescent="0.3">
      <c r="AW265" s="57"/>
    </row>
    <row r="266" spans="49:49" ht="16.5" customHeight="1" x14ac:dyDescent="0.3">
      <c r="AW266" s="57"/>
    </row>
    <row r="267" spans="49:49" ht="16.5" customHeight="1" x14ac:dyDescent="0.3">
      <c r="AW267" s="57"/>
    </row>
    <row r="268" spans="49:49" ht="16.5" customHeight="1" x14ac:dyDescent="0.3">
      <c r="AW268" s="57"/>
    </row>
    <row r="269" spans="49:49" ht="16.5" customHeight="1" x14ac:dyDescent="0.3">
      <c r="AW269" s="57"/>
    </row>
    <row r="270" spans="49:49" ht="16.5" customHeight="1" x14ac:dyDescent="0.3">
      <c r="AW270" s="57"/>
    </row>
    <row r="271" spans="49:49" ht="16.5" customHeight="1" x14ac:dyDescent="0.3">
      <c r="AW271" s="57"/>
    </row>
    <row r="272" spans="49:49" ht="16.5" customHeight="1" x14ac:dyDescent="0.3">
      <c r="AW272" s="57"/>
    </row>
    <row r="273" spans="49:49" ht="16.5" customHeight="1" x14ac:dyDescent="0.3">
      <c r="AW273" s="57"/>
    </row>
    <row r="274" spans="49:49" ht="16.5" customHeight="1" x14ac:dyDescent="0.3">
      <c r="AW274" s="57"/>
    </row>
    <row r="275" spans="49:49" ht="16.5" customHeight="1" x14ac:dyDescent="0.3">
      <c r="AW275" s="57"/>
    </row>
    <row r="276" spans="49:49" ht="16.5" customHeight="1" x14ac:dyDescent="0.3">
      <c r="AW276" s="57"/>
    </row>
    <row r="277" spans="49:49" ht="16.5" customHeight="1" x14ac:dyDescent="0.3">
      <c r="AW277" s="57"/>
    </row>
    <row r="278" spans="49:49" ht="16.5" customHeight="1" x14ac:dyDescent="0.3">
      <c r="AW278" s="57"/>
    </row>
    <row r="279" spans="49:49" ht="16.5" customHeight="1" x14ac:dyDescent="0.3">
      <c r="AW279" s="57"/>
    </row>
    <row r="280" spans="49:49" ht="16.5" customHeight="1" x14ac:dyDescent="0.3">
      <c r="AW280" s="57"/>
    </row>
    <row r="281" spans="49:49" ht="16.5" customHeight="1" x14ac:dyDescent="0.3">
      <c r="AW281" s="57"/>
    </row>
    <row r="282" spans="49:49" ht="16.5" customHeight="1" x14ac:dyDescent="0.3">
      <c r="AW282" s="57"/>
    </row>
    <row r="283" spans="49:49" ht="16.5" customHeight="1" x14ac:dyDescent="0.3">
      <c r="AW283" s="57"/>
    </row>
    <row r="284" spans="49:49" ht="16.5" customHeight="1" x14ac:dyDescent="0.3">
      <c r="AW284" s="57"/>
    </row>
    <row r="285" spans="49:49" ht="16.5" customHeight="1" x14ac:dyDescent="0.3">
      <c r="AW285" s="57"/>
    </row>
    <row r="286" spans="49:49" ht="16.5" customHeight="1" x14ac:dyDescent="0.3">
      <c r="AW286" s="57"/>
    </row>
    <row r="287" spans="49:49" ht="16.5" customHeight="1" x14ac:dyDescent="0.3">
      <c r="AW287" s="57"/>
    </row>
    <row r="288" spans="49:49" ht="16.5" customHeight="1" x14ac:dyDescent="0.3">
      <c r="AW288" s="57"/>
    </row>
    <row r="289" spans="49:49" ht="16.5" customHeight="1" x14ac:dyDescent="0.3">
      <c r="AW289" s="57"/>
    </row>
    <row r="290" spans="49:49" ht="16.5" customHeight="1" x14ac:dyDescent="0.3">
      <c r="AW290" s="57"/>
    </row>
    <row r="291" spans="49:49" ht="16.5" customHeight="1" x14ac:dyDescent="0.3">
      <c r="AW291" s="57"/>
    </row>
    <row r="292" spans="49:49" ht="16.5" customHeight="1" x14ac:dyDescent="0.3">
      <c r="AW292" s="57"/>
    </row>
    <row r="293" spans="49:49" ht="16.5" customHeight="1" x14ac:dyDescent="0.3">
      <c r="AW293" s="57"/>
    </row>
    <row r="294" spans="49:49" ht="16.5" customHeight="1" x14ac:dyDescent="0.3">
      <c r="AW294" s="57"/>
    </row>
    <row r="295" spans="49:49" ht="16.5" customHeight="1" x14ac:dyDescent="0.3">
      <c r="AW295" s="57"/>
    </row>
    <row r="296" spans="49:49" ht="16.5" customHeight="1" x14ac:dyDescent="0.3">
      <c r="AW296" s="57"/>
    </row>
    <row r="297" spans="49:49" ht="16.5" customHeight="1" x14ac:dyDescent="0.3">
      <c r="AW297" s="57"/>
    </row>
    <row r="298" spans="49:49" ht="16.5" customHeight="1" x14ac:dyDescent="0.3">
      <c r="AW298" s="57"/>
    </row>
    <row r="299" spans="49:49" ht="16.5" customHeight="1" x14ac:dyDescent="0.3">
      <c r="AW299" s="57"/>
    </row>
    <row r="300" spans="49:49" ht="16.5" customHeight="1" x14ac:dyDescent="0.3">
      <c r="AW300" s="57"/>
    </row>
    <row r="301" spans="49:49" ht="16.5" customHeight="1" x14ac:dyDescent="0.3">
      <c r="AW301" s="57"/>
    </row>
    <row r="302" spans="49:49" ht="16.5" customHeight="1" x14ac:dyDescent="0.3">
      <c r="AW302" s="57"/>
    </row>
    <row r="303" spans="49:49" ht="16.5" customHeight="1" x14ac:dyDescent="0.3">
      <c r="AW303" s="57"/>
    </row>
    <row r="304" spans="49:49" ht="16.5" customHeight="1" x14ac:dyDescent="0.3">
      <c r="AW304" s="57"/>
    </row>
    <row r="305" spans="49:49" ht="16.5" customHeight="1" x14ac:dyDescent="0.3">
      <c r="AW305" s="57"/>
    </row>
    <row r="306" spans="49:49" ht="16.5" customHeight="1" x14ac:dyDescent="0.3">
      <c r="AW306" s="57"/>
    </row>
    <row r="307" spans="49:49" ht="16.5" customHeight="1" x14ac:dyDescent="0.3">
      <c r="AW307" s="57"/>
    </row>
    <row r="308" spans="49:49" ht="16.5" customHeight="1" x14ac:dyDescent="0.3">
      <c r="AW308" s="57"/>
    </row>
    <row r="309" spans="49:49" ht="16.5" customHeight="1" x14ac:dyDescent="0.3">
      <c r="AW309" s="57"/>
    </row>
    <row r="310" spans="49:49" ht="16.5" customHeight="1" x14ac:dyDescent="0.3">
      <c r="AW310" s="57"/>
    </row>
    <row r="311" spans="49:49" ht="16.5" customHeight="1" x14ac:dyDescent="0.3">
      <c r="AW311" s="57"/>
    </row>
    <row r="312" spans="49:49" ht="16.5" customHeight="1" x14ac:dyDescent="0.3">
      <c r="AW312" s="57"/>
    </row>
    <row r="313" spans="49:49" ht="16.5" customHeight="1" x14ac:dyDescent="0.3">
      <c r="AW313" s="57"/>
    </row>
    <row r="314" spans="49:49" ht="16.5" customHeight="1" x14ac:dyDescent="0.3">
      <c r="AW314" s="57"/>
    </row>
    <row r="315" spans="49:49" ht="16.5" customHeight="1" x14ac:dyDescent="0.3">
      <c r="AW315" s="57"/>
    </row>
    <row r="316" spans="49:49" ht="16.5" customHeight="1" x14ac:dyDescent="0.3">
      <c r="AW316" s="57"/>
    </row>
    <row r="317" spans="49:49" ht="16.5" customHeight="1" x14ac:dyDescent="0.3">
      <c r="AW317" s="57"/>
    </row>
    <row r="318" spans="49:49" ht="16.5" customHeight="1" x14ac:dyDescent="0.3">
      <c r="AW318" s="57"/>
    </row>
    <row r="319" spans="49:49" ht="16.5" customHeight="1" x14ac:dyDescent="0.3">
      <c r="AW319" s="57"/>
    </row>
    <row r="320" spans="49:49" ht="16.5" customHeight="1" x14ac:dyDescent="0.3">
      <c r="AW320" s="57"/>
    </row>
    <row r="321" spans="49:49" ht="16.5" customHeight="1" x14ac:dyDescent="0.3">
      <c r="AW321" s="57"/>
    </row>
    <row r="322" spans="49:49" ht="16.5" customHeight="1" x14ac:dyDescent="0.3">
      <c r="AW322" s="57"/>
    </row>
    <row r="323" spans="49:49" ht="16.5" customHeight="1" x14ac:dyDescent="0.3">
      <c r="AW323" s="57"/>
    </row>
    <row r="324" spans="49:49" ht="16.5" customHeight="1" x14ac:dyDescent="0.3">
      <c r="AW324" s="57"/>
    </row>
    <row r="325" spans="49:49" ht="16.5" customHeight="1" x14ac:dyDescent="0.3">
      <c r="AW325" s="57"/>
    </row>
    <row r="326" spans="49:49" ht="16.5" customHeight="1" x14ac:dyDescent="0.3">
      <c r="AW326" s="57"/>
    </row>
    <row r="327" spans="49:49" ht="16.5" customHeight="1" x14ac:dyDescent="0.3">
      <c r="AW327" s="57"/>
    </row>
    <row r="328" spans="49:49" ht="16.5" customHeight="1" x14ac:dyDescent="0.3">
      <c r="AW328" s="57"/>
    </row>
    <row r="329" spans="49:49" ht="16.5" customHeight="1" x14ac:dyDescent="0.3">
      <c r="AW329" s="57"/>
    </row>
    <row r="330" spans="49:49" ht="16.5" customHeight="1" x14ac:dyDescent="0.3">
      <c r="AW330" s="57"/>
    </row>
    <row r="331" spans="49:49" ht="16.5" customHeight="1" x14ac:dyDescent="0.3">
      <c r="AW331" s="57"/>
    </row>
    <row r="332" spans="49:49" ht="16.5" customHeight="1" x14ac:dyDescent="0.3">
      <c r="AW332" s="57"/>
    </row>
    <row r="333" spans="49:49" ht="16.5" customHeight="1" x14ac:dyDescent="0.3">
      <c r="AW333" s="57"/>
    </row>
    <row r="334" spans="49:49" ht="16.5" customHeight="1" x14ac:dyDescent="0.3">
      <c r="AW334" s="57"/>
    </row>
    <row r="335" spans="49:49" ht="16.5" customHeight="1" x14ac:dyDescent="0.3">
      <c r="AW335" s="57"/>
    </row>
    <row r="336" spans="49:49" ht="16.5" customHeight="1" x14ac:dyDescent="0.3">
      <c r="AW336" s="57"/>
    </row>
    <row r="337" spans="49:49" ht="16.5" customHeight="1" x14ac:dyDescent="0.3">
      <c r="AW337" s="57"/>
    </row>
    <row r="338" spans="49:49" ht="16.5" customHeight="1" x14ac:dyDescent="0.3">
      <c r="AW338" s="57"/>
    </row>
    <row r="339" spans="49:49" ht="16.5" customHeight="1" x14ac:dyDescent="0.3">
      <c r="AW339" s="57"/>
    </row>
    <row r="340" spans="49:49" ht="16.5" customHeight="1" x14ac:dyDescent="0.3">
      <c r="AW340" s="57"/>
    </row>
    <row r="341" spans="49:49" ht="16.5" customHeight="1" x14ac:dyDescent="0.3">
      <c r="AW341" s="57"/>
    </row>
    <row r="342" spans="49:49" ht="16.5" customHeight="1" x14ac:dyDescent="0.3">
      <c r="AW342" s="57"/>
    </row>
    <row r="343" spans="49:49" ht="16.5" customHeight="1" x14ac:dyDescent="0.3">
      <c r="AW343" s="57"/>
    </row>
    <row r="344" spans="49:49" ht="16.5" customHeight="1" x14ac:dyDescent="0.3">
      <c r="AW344" s="57"/>
    </row>
    <row r="345" spans="49:49" ht="16.5" customHeight="1" x14ac:dyDescent="0.3">
      <c r="AW345" s="57"/>
    </row>
    <row r="346" spans="49:49" ht="16.5" customHeight="1" x14ac:dyDescent="0.3">
      <c r="AW346" s="57"/>
    </row>
    <row r="347" spans="49:49" ht="16.5" customHeight="1" x14ac:dyDescent="0.3">
      <c r="AW347" s="57"/>
    </row>
    <row r="348" spans="49:49" ht="16.5" customHeight="1" x14ac:dyDescent="0.3">
      <c r="AW348" s="57"/>
    </row>
    <row r="349" spans="49:49" ht="16.5" customHeight="1" x14ac:dyDescent="0.3">
      <c r="AW349" s="57"/>
    </row>
    <row r="350" spans="49:49" ht="16.5" customHeight="1" x14ac:dyDescent="0.3">
      <c r="AW350" s="57"/>
    </row>
    <row r="351" spans="49:49" ht="18.75" customHeight="1" x14ac:dyDescent="0.3">
      <c r="AW351" s="57"/>
    </row>
    <row r="352" spans="49:49" ht="18.75" customHeight="1" x14ac:dyDescent="0.3">
      <c r="AW352" s="57"/>
    </row>
    <row r="353" spans="49:49" ht="18.75" customHeight="1" x14ac:dyDescent="0.3">
      <c r="AW353" s="57"/>
    </row>
    <row r="354" spans="49:49" ht="18.75" customHeight="1" x14ac:dyDescent="0.3">
      <c r="AW354" s="57"/>
    </row>
    <row r="355" spans="49:49" ht="18.75" customHeight="1" x14ac:dyDescent="0.3">
      <c r="AW355" s="57"/>
    </row>
    <row r="356" spans="49:49" ht="18.75" customHeight="1" x14ac:dyDescent="0.3">
      <c r="AW356" s="57"/>
    </row>
    <row r="357" spans="49:49" ht="18.75" customHeight="1" x14ac:dyDescent="0.3">
      <c r="AW357" s="57"/>
    </row>
    <row r="358" spans="49:49" ht="18.75" customHeight="1" x14ac:dyDescent="0.3">
      <c r="AW358" s="57"/>
    </row>
    <row r="359" spans="49:49" ht="18.75" customHeight="1" x14ac:dyDescent="0.3">
      <c r="AW359" s="57"/>
    </row>
    <row r="360" spans="49:49" ht="18.75" customHeight="1" x14ac:dyDescent="0.3">
      <c r="AW360" s="57"/>
    </row>
    <row r="361" spans="49:49" ht="18.75" customHeight="1" x14ac:dyDescent="0.3">
      <c r="AW361" s="57"/>
    </row>
    <row r="362" spans="49:49" ht="18.75" customHeight="1" x14ac:dyDescent="0.3">
      <c r="AW362" s="57"/>
    </row>
    <row r="363" spans="49:49" ht="18.75" customHeight="1" x14ac:dyDescent="0.3">
      <c r="AW363" s="57"/>
    </row>
    <row r="364" spans="49:49" ht="18.75" customHeight="1" x14ac:dyDescent="0.3">
      <c r="AW364" s="57"/>
    </row>
    <row r="365" spans="49:49" ht="18.75" customHeight="1" x14ac:dyDescent="0.3">
      <c r="AW365" s="57"/>
    </row>
    <row r="366" spans="49:49" ht="18.75" customHeight="1" x14ac:dyDescent="0.3">
      <c r="AW366" s="57"/>
    </row>
    <row r="367" spans="49:49" ht="18.75" customHeight="1" x14ac:dyDescent="0.3">
      <c r="AW367" s="57"/>
    </row>
    <row r="368" spans="49:49" ht="18.75" customHeight="1" x14ac:dyDescent="0.3">
      <c r="AW368" s="57"/>
    </row>
    <row r="369" spans="49:49" ht="18.75" customHeight="1" x14ac:dyDescent="0.3">
      <c r="AW369" s="57"/>
    </row>
    <row r="370" spans="49:49" ht="18.75" customHeight="1" x14ac:dyDescent="0.3">
      <c r="AW370" s="57"/>
    </row>
    <row r="371" spans="49:49" ht="18.75" customHeight="1" x14ac:dyDescent="0.3">
      <c r="AW371" s="57"/>
    </row>
    <row r="372" spans="49:49" ht="18.75" customHeight="1" x14ac:dyDescent="0.3">
      <c r="AW372" s="57"/>
    </row>
    <row r="373" spans="49:49" ht="18.75" customHeight="1" x14ac:dyDescent="0.3">
      <c r="AW373" s="57"/>
    </row>
    <row r="374" spans="49:49" ht="18.75" customHeight="1" x14ac:dyDescent="0.3">
      <c r="AW374" s="57"/>
    </row>
    <row r="375" spans="49:49" ht="18.75" customHeight="1" x14ac:dyDescent="0.3">
      <c r="AW375" s="57"/>
    </row>
    <row r="376" spans="49:49" ht="18.75" customHeight="1" x14ac:dyDescent="0.3">
      <c r="AW376" s="57"/>
    </row>
    <row r="377" spans="49:49" ht="18.75" customHeight="1" x14ac:dyDescent="0.3">
      <c r="AW377" s="57"/>
    </row>
    <row r="378" spans="49:49" ht="18.75" customHeight="1" x14ac:dyDescent="0.3">
      <c r="AW378" s="57"/>
    </row>
    <row r="379" spans="49:49" ht="18.75" customHeight="1" x14ac:dyDescent="0.3">
      <c r="AW379" s="57"/>
    </row>
    <row r="380" spans="49:49" ht="18.75" customHeight="1" x14ac:dyDescent="0.3">
      <c r="AW380" s="57"/>
    </row>
    <row r="381" spans="49:49" ht="18.75" customHeight="1" x14ac:dyDescent="0.3">
      <c r="AW381" s="57"/>
    </row>
    <row r="382" spans="49:49" ht="18.75" customHeight="1" x14ac:dyDescent="0.3">
      <c r="AW382" s="57"/>
    </row>
    <row r="383" spans="49:49" ht="18.75" customHeight="1" x14ac:dyDescent="0.3">
      <c r="AW383" s="57"/>
    </row>
    <row r="384" spans="49:49" ht="18.75" customHeight="1" x14ac:dyDescent="0.3">
      <c r="AW384" s="57"/>
    </row>
    <row r="385" spans="49:49" ht="18.75" customHeight="1" x14ac:dyDescent="0.3">
      <c r="AW385" s="57"/>
    </row>
    <row r="386" spans="49:49" ht="18.75" customHeight="1" x14ac:dyDescent="0.3">
      <c r="AW386" s="57"/>
    </row>
    <row r="387" spans="49:49" ht="18.75" customHeight="1" x14ac:dyDescent="0.3">
      <c r="AW387" s="57"/>
    </row>
    <row r="388" spans="49:49" ht="18.75" customHeight="1" x14ac:dyDescent="0.3">
      <c r="AW388" s="57"/>
    </row>
    <row r="389" spans="49:49" ht="18.75" customHeight="1" x14ac:dyDescent="0.3">
      <c r="AW389" s="57"/>
    </row>
    <row r="390" spans="49:49" ht="18.75" customHeight="1" x14ac:dyDescent="0.3">
      <c r="AW390" s="57"/>
    </row>
    <row r="391" spans="49:49" ht="18.75" customHeight="1" x14ac:dyDescent="0.3">
      <c r="AW391" s="57"/>
    </row>
    <row r="392" spans="49:49" ht="18.75" customHeight="1" x14ac:dyDescent="0.3">
      <c r="AW392" s="57"/>
    </row>
    <row r="393" spans="49:49" ht="18.75" customHeight="1" x14ac:dyDescent="0.3">
      <c r="AW393" s="57"/>
    </row>
    <row r="394" spans="49:49" ht="18.75" customHeight="1" x14ac:dyDescent="0.3">
      <c r="AW394" s="57"/>
    </row>
    <row r="395" spans="49:49" ht="18.75" customHeight="1" x14ac:dyDescent="0.3">
      <c r="AW395" s="57"/>
    </row>
    <row r="396" spans="49:49" ht="18.75" customHeight="1" x14ac:dyDescent="0.3">
      <c r="AW396" s="57"/>
    </row>
    <row r="397" spans="49:49" ht="18.75" customHeight="1" x14ac:dyDescent="0.3">
      <c r="AW397" s="57"/>
    </row>
    <row r="398" spans="49:49" ht="18.75" customHeight="1" x14ac:dyDescent="0.3">
      <c r="AW398" s="57"/>
    </row>
    <row r="399" spans="49:49" ht="18.75" customHeight="1" x14ac:dyDescent="0.3">
      <c r="AW399" s="57"/>
    </row>
    <row r="400" spans="49:49" ht="18.75" customHeight="1" x14ac:dyDescent="0.3">
      <c r="AW400" s="57"/>
    </row>
    <row r="401" spans="49:49" ht="18.75" customHeight="1" x14ac:dyDescent="0.3">
      <c r="AW401" s="57"/>
    </row>
    <row r="402" spans="49:49" ht="18.75" customHeight="1" x14ac:dyDescent="0.3">
      <c r="AW402" s="57"/>
    </row>
    <row r="403" spans="49:49" ht="18.75" customHeight="1" x14ac:dyDescent="0.3">
      <c r="AW403" s="57"/>
    </row>
    <row r="404" spans="49:49" ht="18.75" customHeight="1" x14ac:dyDescent="0.3">
      <c r="AW404" s="57"/>
    </row>
    <row r="405" spans="49:49" ht="18.75" customHeight="1" x14ac:dyDescent="0.3">
      <c r="AW405" s="57"/>
    </row>
    <row r="406" spans="49:49" ht="18.75" customHeight="1" x14ac:dyDescent="0.3">
      <c r="AW406" s="57"/>
    </row>
    <row r="407" spans="49:49" ht="18.75" customHeight="1" x14ac:dyDescent="0.3">
      <c r="AW407" s="57"/>
    </row>
    <row r="408" spans="49:49" ht="18.75" customHeight="1" x14ac:dyDescent="0.3">
      <c r="AW408" s="57"/>
    </row>
    <row r="409" spans="49:49" ht="18.75" customHeight="1" x14ac:dyDescent="0.3">
      <c r="AW409" s="57"/>
    </row>
    <row r="410" spans="49:49" ht="18.75" customHeight="1" x14ac:dyDescent="0.3">
      <c r="AW410" s="57"/>
    </row>
    <row r="411" spans="49:49" ht="18.75" customHeight="1" x14ac:dyDescent="0.3">
      <c r="AW411" s="57"/>
    </row>
    <row r="412" spans="49:49" ht="18.75" customHeight="1" x14ac:dyDescent="0.3">
      <c r="AW412" s="57"/>
    </row>
    <row r="413" spans="49:49" ht="18.75" customHeight="1" x14ac:dyDescent="0.3">
      <c r="AW413" s="57"/>
    </row>
    <row r="414" spans="49:49" ht="18.75" customHeight="1" x14ac:dyDescent="0.3">
      <c r="AW414" s="57"/>
    </row>
    <row r="415" spans="49:49" ht="18.75" customHeight="1" x14ac:dyDescent="0.3">
      <c r="AW415" s="57"/>
    </row>
    <row r="416" spans="49:49" ht="18.75" customHeight="1" x14ac:dyDescent="0.3">
      <c r="AW416" s="57"/>
    </row>
    <row r="417" spans="49:49" ht="18.75" customHeight="1" x14ac:dyDescent="0.3">
      <c r="AW417" s="57"/>
    </row>
  </sheetData>
  <phoneticPr fontId="11" type="noConversion"/>
  <conditionalFormatting sqref="B1">
    <cfRule type="duplicateValues" dxfId="159" priority="158"/>
  </conditionalFormatting>
  <conditionalFormatting sqref="B4:B166">
    <cfRule type="duplicateValues" dxfId="158" priority="23043"/>
  </conditionalFormatting>
  <conditionalFormatting sqref="C2:G1048576">
    <cfRule type="containsText" dxfId="157" priority="531" operator="containsText" text="Não ativo">
      <formula>NOT(ISERROR(SEARCH("Não ativo",C2)))</formula>
    </cfRule>
  </conditionalFormatting>
  <conditionalFormatting sqref="C1:H1">
    <cfRule type="containsText" dxfId="156" priority="157" operator="containsText" text="Não ativo">
      <formula>NOT(ISERROR(SEARCH("Não ativo",C1)))</formula>
    </cfRule>
  </conditionalFormatting>
  <conditionalFormatting sqref="D2:G1048576">
    <cfRule type="containsText" dxfId="155" priority="524" operator="containsText" text="No encontrado">
      <formula>NOT(ISERROR(SEARCH("No encontrado",D2)))</formula>
    </cfRule>
    <cfRule type="containsText" dxfId="154" priority="523" operator="containsText" text="Rosas">
      <formula>NOT(ISERROR(SEARCH("Rosas",D2)))</formula>
    </cfRule>
    <cfRule type="containsText" dxfId="153" priority="522" operator="containsText" text="Industrial">
      <formula>NOT(ISERROR(SEARCH("Industrial",D2)))</formula>
    </cfRule>
  </conditionalFormatting>
  <conditionalFormatting sqref="D1:H1">
    <cfRule type="containsText" dxfId="152" priority="154" operator="containsText" text="Industrial">
      <formula>NOT(ISERROR(SEARCH("Industrial",D1)))</formula>
    </cfRule>
    <cfRule type="containsText" dxfId="151" priority="155" operator="containsText" text="Rosas">
      <formula>NOT(ISERROR(SEARCH("Rosas",D1)))</formula>
    </cfRule>
    <cfRule type="containsText" dxfId="150" priority="156" operator="containsText" text="No encontrado">
      <formula>NOT(ISERROR(SEARCH("No encontrado",D1)))</formula>
    </cfRule>
  </conditionalFormatting>
  <conditionalFormatting sqref="R2:R3 R159:R1048576">
    <cfRule type="containsText" dxfId="149" priority="467" operator="containsText" text="Confirmada">
      <formula>NOT(ISERROR(SEARCH("Confirmada",R2)))</formula>
    </cfRule>
  </conditionalFormatting>
  <conditionalFormatting sqref="R4:R166 X4:X166">
    <cfRule type="containsText" dxfId="148" priority="414" operator="containsText" text="Confirmada">
      <formula>NOT(ISERROR(SEARCH("Confirmada",R4)))</formula>
    </cfRule>
    <cfRule type="containsText" dxfId="147" priority="415" operator="containsText" text="Pendente">
      <formula>NOT(ISERROR(SEARCH("Pendente",R4)))</formula>
    </cfRule>
    <cfRule type="containsText" dxfId="146" priority="416" operator="containsText" text="Faturado">
      <formula>NOT(ISERROR(SEARCH("Faturado",R4)))</formula>
    </cfRule>
    <cfRule type="containsText" dxfId="145" priority="418" operator="containsText" text="Pendente">
      <formula>NOT(ISERROR(SEARCH("Pendente",R4)))</formula>
    </cfRule>
    <cfRule type="containsText" dxfId="144" priority="417" operator="containsText" text="Confirmada">
      <formula>NOT(ISERROR(SEARCH("Confirmada",R4)))</formula>
    </cfRule>
    <cfRule type="containsText" dxfId="143" priority="365" operator="containsText" text="Pendente">
      <formula>NOT(ISERROR(SEARCH("Pendente",R4)))</formula>
    </cfRule>
    <cfRule type="containsText" dxfId="142" priority="366" operator="containsText" text="Confirmada">
      <formula>NOT(ISERROR(SEARCH("Confirmada",R4)))</formula>
    </cfRule>
    <cfRule type="containsText" dxfId="141" priority="367" operator="containsText" text="Confirmado">
      <formula>NOT(ISERROR(SEARCH("Confirmado",R4)))</formula>
    </cfRule>
    <cfRule type="containsText" dxfId="140" priority="368" operator="containsText" text="Pendente">
      <formula>NOT(ISERROR(SEARCH("Pendente",R4)))</formula>
    </cfRule>
    <cfRule type="containsText" dxfId="139" priority="413" operator="containsText" text="Faturado">
      <formula>NOT(ISERROR(SEARCH("Faturado",R4)))</formula>
    </cfRule>
  </conditionalFormatting>
  <conditionalFormatting sqref="R159:R1048576 R2:R3">
    <cfRule type="containsText" dxfId="138" priority="466" operator="containsText" text="Pendente">
      <formula>NOT(ISERROR(SEARCH("Pendente",R2)))</formula>
    </cfRule>
  </conditionalFormatting>
  <conditionalFormatting sqref="R4:S166 X4:Y166">
    <cfRule type="containsText" dxfId="137" priority="419" operator="containsText" text="Faturado">
      <formula>NOT(ISERROR(SEARCH("Faturado",R4)))</formula>
    </cfRule>
  </conditionalFormatting>
  <conditionalFormatting sqref="S4:S166 X4:Y166">
    <cfRule type="containsText" dxfId="136" priority="484" operator="containsText" text="Pendente">
      <formula>NOT(ISERROR(SEARCH("Pendente",S4)))</formula>
    </cfRule>
  </conditionalFormatting>
  <conditionalFormatting sqref="Z100:Z102">
    <cfRule type="containsText" dxfId="135" priority="533" operator="containsText" text="Pendente">
      <formula>NOT(ISERROR(SEARCH("Pendente",Z100)))</formula>
    </cfRule>
    <cfRule type="containsText" dxfId="134" priority="534" operator="containsText" text="Faturado">
      <formula>NOT(ISERROR(SEARCH("Faturado",Z100)))</formula>
    </cfRule>
  </conditionalFormatting>
  <conditionalFormatting sqref="AD4:AO1048576">
    <cfRule type="cellIs" dxfId="133" priority="549" operator="equal">
      <formula>0</formula>
    </cfRule>
  </conditionalFormatting>
  <conditionalFormatting sqref="AF2">
    <cfRule type="cellIs" dxfId="132" priority="532" operator="equal">
      <formula>0</formula>
    </cfRule>
  </conditionalFormatting>
  <conditionalFormatting sqref="AW165:AW417">
    <cfRule type="containsText" dxfId="131" priority="525" operator="containsText" text="Verificar">
      <formula>NOT(ISERROR(SEARCH("Verificar",AW165)))</formula>
    </cfRule>
    <cfRule type="containsText" dxfId="130" priority="526" operator="containsText" text="Pendente">
      <formula>NOT(ISERROR(SEARCH("Pendente",AW165)))</formula>
    </cfRule>
    <cfRule type="containsText" dxfId="129" priority="527" operator="containsText" text="Pago">
      <formula>NOT(ISERROR(SEARCH("Pago",AW165)))</formula>
    </cfRule>
  </conditionalFormatting>
  <conditionalFormatting sqref="AX4:AX166">
    <cfRule type="containsText" dxfId="128" priority="1" operator="containsText" text="Não pagar">
      <formula>NOT(ISERROR(SEARCH("Não pagar",AX4)))</formula>
    </cfRule>
    <cfRule type="containsText" dxfId="127" priority="2" operator="containsText" text="Lista Negra">
      <formula>NOT(ISERROR(SEARCH("Lista Negra",AX4)))</formula>
    </cfRule>
    <cfRule type="containsText" dxfId="126" priority="425" operator="containsText" text="Pendente">
      <formula>NOT(ISERROR(SEARCH("Pendente",AX4)))</formula>
    </cfRule>
    <cfRule type="containsText" dxfId="125" priority="426" operator="containsText" text="Confirmada">
      <formula>NOT(ISERROR(SEARCH("Confirmada",AX4)))</formula>
    </cfRule>
    <cfRule type="containsText" dxfId="124" priority="427" operator="containsText" text="Confirmado">
      <formula>NOT(ISERROR(SEARCH("Confirmado",AX4)))</formula>
    </cfRule>
    <cfRule type="containsText" dxfId="123" priority="428" operator="containsText" text="Pendente">
      <formula>NOT(ISERROR(SEARCH("Pendente",AX4)))</formula>
    </cfRule>
    <cfRule type="containsText" dxfId="122" priority="429" operator="containsText" text="Faturado">
      <formula>NOT(ISERROR(SEARCH("Faturado",AX4)))</formula>
    </cfRule>
    <cfRule type="containsText" dxfId="121" priority="430" operator="containsText" text="Pendente">
      <formula>NOT(ISERROR(SEARCH("Pendente",AX4)))</formula>
    </cfRule>
    <cfRule type="containsText" dxfId="120" priority="431" operator="containsText" text="Faturado">
      <formula>NOT(ISERROR(SEARCH("Faturado",AX4)))</formula>
    </cfRule>
    <cfRule type="containsText" dxfId="119" priority="6" operator="containsText" text="Pendente">
      <formula>NOT(ISERROR(SEARCH("Pendente",AX4)))</formula>
    </cfRule>
    <cfRule type="containsText" dxfId="118" priority="5" operator="containsText" text="Confirmado">
      <formula>NOT(ISERROR(SEARCH("Confirmado",AX4)))</formula>
    </cfRule>
    <cfRule type="containsText" dxfId="117" priority="4" operator="containsText" text="Confirmada">
      <formula>NOT(ISERROR(SEARCH("Confirmada",AX4)))</formula>
    </cfRule>
    <cfRule type="containsText" dxfId="116" priority="37" operator="containsText" text="Faturado">
      <formula>NOT(ISERROR(SEARCH("Faturado",AX4)))</formula>
    </cfRule>
    <cfRule type="containsText" dxfId="115" priority="3" operator="containsText" text="Pendente">
      <formula>NOT(ISERROR(SEARCH("Pendente",AX4)))</formula>
    </cfRule>
  </conditionalFormatting>
  <conditionalFormatting sqref="AX154">
    <cfRule type="containsText" dxfId="114" priority="7" operator="containsText" text="Faturado">
      <formula>NOT(ISERROR(SEARCH("Faturado",AX154)))</formula>
    </cfRule>
    <cfRule type="containsText" dxfId="113" priority="12" operator="containsText" text="Pendente">
      <formula>NOT(ISERROR(SEARCH("Pendente",AX154)))</formula>
    </cfRule>
    <cfRule type="containsText" dxfId="112" priority="11" operator="containsText" text="Confirmada">
      <formula>NOT(ISERROR(SEARCH("Confirmada",AX154)))</formula>
    </cfRule>
    <cfRule type="containsText" dxfId="111" priority="10" operator="containsText" text="Faturado">
      <formula>NOT(ISERROR(SEARCH("Faturado",AX154)))</formula>
    </cfRule>
    <cfRule type="containsText" dxfId="110" priority="9" operator="containsText" text="Pendente">
      <formula>NOT(ISERROR(SEARCH("Pendente",AX154)))</formula>
    </cfRule>
    <cfRule type="containsText" dxfId="109" priority="8" operator="containsText" text="Confirmada">
      <formula>NOT(ISERROR(SEARCH("Confirmada",AX154)))</formula>
    </cfRule>
  </conditionalFormatting>
  <pageMargins left="0.7" right="0.7" top="0.75" bottom="0.75" header="0.3" footer="0.3"/>
  <drawing r:id="rId1"/>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DE33B9E5-F003-4558-8D0F-132789491724}">
          <x14:formula1>
            <xm:f>Colaboradores!$C:$C</xm:f>
          </x14:formula1>
          <xm:sqref>L4:L166</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E4234-A1B7-4EC0-AAF2-9DC5DE8EB83C}">
  <sheetPr>
    <tabColor rgb="FFFFCC66"/>
  </sheetPr>
  <dimension ref="A1:AX405"/>
  <sheetViews>
    <sheetView tabSelected="1" topLeftCell="A73" zoomScaleNormal="100" workbookViewId="0">
      <pane xSplit="12" topLeftCell="M1" activePane="topRight" state="frozen"/>
      <selection pane="topRight" activeCell="A83" sqref="A83:XFD83"/>
    </sheetView>
  </sheetViews>
  <sheetFormatPr defaultColWidth="11.5546875" defaultRowHeight="18.75" customHeight="1" x14ac:dyDescent="0.3"/>
  <cols>
    <col min="1" max="1" width="3.109375" style="42" customWidth="1"/>
    <col min="2" max="2" width="8.88671875" style="29" customWidth="1"/>
    <col min="3" max="3" width="7.44140625" style="22" customWidth="1"/>
    <col min="4" max="7" width="5" style="22" customWidth="1"/>
    <col min="8" max="9" width="10.5546875" style="22" customWidth="1"/>
    <col min="10" max="10" width="6" style="22" customWidth="1"/>
    <col min="11" max="11" width="33.33203125" style="22" bestFit="1" customWidth="1"/>
    <col min="12" max="12" width="39.5546875" style="19" customWidth="1"/>
    <col min="13" max="13" width="3" style="19" customWidth="1"/>
    <col min="14" max="14" width="15.33203125" style="23" customWidth="1"/>
    <col min="15" max="15" width="9" style="21" customWidth="1"/>
    <col min="16" max="16" width="8.5546875" style="1" customWidth="1"/>
    <col min="17" max="17" width="9.88671875" style="1" customWidth="1"/>
    <col min="18" max="18" width="12.5546875" style="22" customWidth="1"/>
    <col min="19" max="19" width="7.5546875" style="22" customWidth="1"/>
    <col min="20" max="20" width="3" style="19" customWidth="1"/>
    <col min="21" max="21" width="15.33203125" style="23" customWidth="1"/>
    <col min="22" max="22" width="9" style="21" customWidth="1"/>
    <col min="23" max="23" width="8.5546875" style="1" customWidth="1"/>
    <col min="24" max="24" width="9.88671875" style="22" customWidth="1"/>
    <col min="25" max="25" width="9" style="22" customWidth="1"/>
    <col min="26" max="26" width="3" style="19" customWidth="1"/>
    <col min="27" max="28" width="10.109375" style="20" customWidth="1"/>
    <col min="29" max="29" width="3" style="19" customWidth="1"/>
    <col min="30" max="30" width="10.109375" style="20" customWidth="1"/>
    <col min="31" max="31" width="15.33203125" style="20" customWidth="1"/>
    <col min="32" max="40" width="10.109375" style="20" customWidth="1"/>
    <col min="41" max="41" width="7.109375" style="36" customWidth="1"/>
    <col min="42" max="42" width="3" style="19" customWidth="1"/>
    <col min="43" max="43" width="14" style="16" customWidth="1"/>
    <col min="44" max="44" width="15" style="58" customWidth="1"/>
    <col min="45" max="45" width="3" style="19" customWidth="1"/>
    <col min="46" max="47" width="37.5546875" style="1" customWidth="1"/>
    <col min="48" max="48" width="15.44140625" style="200" customWidth="1"/>
    <col min="49" max="49" width="11.5546875" style="52" bestFit="1" customWidth="1"/>
  </cols>
  <sheetData>
    <row r="1" spans="1:50" s="310" customFormat="1" ht="14.25" customHeight="1" x14ac:dyDescent="0.3">
      <c r="A1" s="309"/>
      <c r="B1" s="115">
        <v>1</v>
      </c>
      <c r="C1" s="107">
        <v>2</v>
      </c>
      <c r="D1" s="107">
        <v>3</v>
      </c>
      <c r="E1" s="107">
        <v>4</v>
      </c>
      <c r="F1" s="107">
        <v>5</v>
      </c>
      <c r="G1" s="107">
        <v>6</v>
      </c>
      <c r="H1" s="107">
        <v>7</v>
      </c>
      <c r="I1" s="107">
        <v>8</v>
      </c>
      <c r="J1" s="107">
        <v>9</v>
      </c>
      <c r="K1" s="107"/>
      <c r="L1" s="111">
        <v>10</v>
      </c>
      <c r="M1" s="111">
        <v>11</v>
      </c>
      <c r="N1" s="109">
        <v>12</v>
      </c>
      <c r="O1" s="115">
        <v>13</v>
      </c>
      <c r="P1" s="111">
        <v>14</v>
      </c>
      <c r="Q1" s="111">
        <v>15</v>
      </c>
      <c r="R1" s="107">
        <v>16</v>
      </c>
      <c r="S1" s="107">
        <v>17</v>
      </c>
      <c r="T1" s="111">
        <v>18</v>
      </c>
      <c r="U1" s="109">
        <v>19</v>
      </c>
      <c r="V1" s="115">
        <v>20</v>
      </c>
      <c r="W1" s="111">
        <v>21</v>
      </c>
      <c r="X1" s="107">
        <v>22</v>
      </c>
      <c r="Y1" s="107">
        <v>23</v>
      </c>
      <c r="Z1" s="111">
        <v>24</v>
      </c>
      <c r="AA1" s="111">
        <v>25</v>
      </c>
      <c r="AB1" s="111">
        <v>26</v>
      </c>
      <c r="AC1" s="111">
        <v>27</v>
      </c>
      <c r="AD1" s="111">
        <v>28</v>
      </c>
      <c r="AE1" s="111">
        <v>29</v>
      </c>
      <c r="AF1" s="111">
        <v>30</v>
      </c>
      <c r="AG1" s="111">
        <v>31</v>
      </c>
      <c r="AH1" s="111">
        <v>32</v>
      </c>
      <c r="AI1" s="111">
        <v>33</v>
      </c>
      <c r="AJ1" s="111">
        <v>34</v>
      </c>
      <c r="AK1" s="111">
        <v>35</v>
      </c>
      <c r="AL1" s="111">
        <v>36</v>
      </c>
      <c r="AM1" s="111">
        <v>37</v>
      </c>
      <c r="AN1" s="111">
        <v>38</v>
      </c>
      <c r="AO1" s="107">
        <v>39</v>
      </c>
      <c r="AP1" s="111">
        <v>4</v>
      </c>
      <c r="AQ1" s="308">
        <v>41</v>
      </c>
      <c r="AR1" s="118">
        <v>42</v>
      </c>
      <c r="AS1" s="111">
        <v>43</v>
      </c>
      <c r="AT1" s="111"/>
      <c r="AU1" s="111"/>
      <c r="AV1" s="200"/>
    </row>
    <row r="2" spans="1:50" ht="32.25" customHeight="1" x14ac:dyDescent="0.3">
      <c r="A2" s="43"/>
      <c r="B2" s="106"/>
      <c r="C2" s="107"/>
      <c r="D2" s="107"/>
      <c r="E2" s="107"/>
      <c r="F2" s="107"/>
      <c r="G2" s="107"/>
      <c r="H2" s="107"/>
      <c r="I2" s="107"/>
      <c r="J2" s="107"/>
      <c r="K2" s="107"/>
      <c r="L2" s="108"/>
      <c r="M2" s="15"/>
      <c r="N2" s="109"/>
      <c r="O2" s="110"/>
      <c r="P2" s="110"/>
      <c r="Q2" s="111"/>
      <c r="R2" s="107"/>
      <c r="S2" s="112"/>
      <c r="T2" s="15"/>
      <c r="U2" s="109"/>
      <c r="V2" s="110"/>
      <c r="W2" s="110"/>
      <c r="X2" s="107"/>
      <c r="Y2" s="107"/>
      <c r="Z2" s="447">
        <f>SUM(AR:AR)</f>
        <v>232659.25311111129</v>
      </c>
      <c r="AA2" s="447"/>
      <c r="AB2" s="447"/>
      <c r="AC2" s="447"/>
      <c r="AD2" s="447"/>
      <c r="AE2" s="104"/>
      <c r="AF2" s="104"/>
      <c r="AG2" s="104"/>
      <c r="AH2" s="116"/>
      <c r="AI2" s="116"/>
      <c r="AJ2" s="116"/>
      <c r="AK2" s="116"/>
      <c r="AL2" s="116"/>
      <c r="AM2" s="116"/>
      <c r="AN2" s="116"/>
      <c r="AO2" s="116"/>
      <c r="AP2" s="117"/>
      <c r="AQ2" s="15"/>
      <c r="AR2" s="118"/>
      <c r="AS2" s="118"/>
      <c r="AT2" s="15"/>
      <c r="AU2" s="111"/>
      <c r="AV2" s="123"/>
      <c r="AW2" s="115"/>
      <c r="AX2" s="14"/>
    </row>
    <row r="3" spans="1:50" ht="15" x14ac:dyDescent="0.3">
      <c r="A3" s="43"/>
      <c r="B3" s="106"/>
      <c r="C3" s="107"/>
      <c r="D3" s="107"/>
      <c r="E3" s="107"/>
      <c r="F3" s="107"/>
      <c r="G3" s="107"/>
      <c r="H3" s="107"/>
      <c r="I3" s="107"/>
      <c r="J3" s="107"/>
      <c r="K3" s="107"/>
      <c r="L3" s="15"/>
      <c r="M3" s="15"/>
      <c r="N3" s="109"/>
      <c r="O3" s="110"/>
      <c r="P3" s="110"/>
      <c r="Q3" s="111"/>
      <c r="R3" s="107"/>
      <c r="S3" s="112"/>
      <c r="T3" s="15"/>
      <c r="U3" s="109"/>
      <c r="V3" s="110"/>
      <c r="W3" s="110"/>
      <c r="X3" s="107"/>
      <c r="Y3" s="107"/>
      <c r="Z3" s="115"/>
      <c r="AA3" s="15"/>
      <c r="AB3" s="116"/>
      <c r="AC3" s="116"/>
      <c r="AD3" s="15"/>
      <c r="AE3" s="116"/>
      <c r="AF3" s="116"/>
      <c r="AG3" s="116"/>
      <c r="AH3" s="116"/>
      <c r="AI3" s="116"/>
      <c r="AJ3" s="116"/>
      <c r="AK3" s="116"/>
      <c r="AL3" s="116"/>
      <c r="AM3" s="116"/>
      <c r="AN3" s="116"/>
      <c r="AO3" s="116"/>
      <c r="AP3" s="117"/>
      <c r="AQ3" s="15"/>
      <c r="AR3" s="118"/>
      <c r="AS3" s="118"/>
      <c r="AT3" s="15"/>
      <c r="AU3" s="111"/>
      <c r="AV3" s="123"/>
      <c r="AW3" s="115"/>
      <c r="AX3" s="14"/>
    </row>
    <row r="4" spans="1:50" s="33" customFormat="1" ht="21.75" customHeight="1" x14ac:dyDescent="0.3">
      <c r="A4" s="125" t="s">
        <v>7537</v>
      </c>
      <c r="B4" s="126" t="s">
        <v>7372</v>
      </c>
      <c r="C4" s="31" t="s">
        <v>7490</v>
      </c>
      <c r="D4" s="31" t="s">
        <v>7001</v>
      </c>
      <c r="E4" s="31" t="s">
        <v>6999</v>
      </c>
      <c r="F4" s="31" t="s">
        <v>7000</v>
      </c>
      <c r="G4" s="31" t="s">
        <v>7002</v>
      </c>
      <c r="H4" s="31" t="s">
        <v>7492</v>
      </c>
      <c r="I4" s="31" t="s">
        <v>7493</v>
      </c>
      <c r="J4" s="31" t="s">
        <v>7494</v>
      </c>
      <c r="K4" s="31" t="s">
        <v>7495</v>
      </c>
      <c r="L4" s="31" t="s">
        <v>7373</v>
      </c>
      <c r="M4" s="10" t="s">
        <v>7496</v>
      </c>
      <c r="N4" s="31" t="s">
        <v>7374</v>
      </c>
      <c r="O4" s="32" t="s">
        <v>7375</v>
      </c>
      <c r="P4" s="31" t="s">
        <v>7497</v>
      </c>
      <c r="Q4" s="126" t="s">
        <v>7498</v>
      </c>
      <c r="R4" s="126" t="s">
        <v>7538</v>
      </c>
      <c r="S4" s="31" t="s">
        <v>7500</v>
      </c>
      <c r="T4" s="10" t="s">
        <v>7501</v>
      </c>
      <c r="U4" s="31" t="s">
        <v>7502</v>
      </c>
      <c r="V4" s="32" t="s">
        <v>7503</v>
      </c>
      <c r="W4" s="31" t="s">
        <v>7504</v>
      </c>
      <c r="X4" s="126" t="s">
        <v>7505</v>
      </c>
      <c r="Y4" s="31" t="s">
        <v>7506</v>
      </c>
      <c r="Z4" s="10" t="s">
        <v>7507</v>
      </c>
      <c r="AA4" s="32" t="s">
        <v>7508</v>
      </c>
      <c r="AB4" s="32" t="s">
        <v>7509</v>
      </c>
      <c r="AC4" s="10" t="s">
        <v>7510</v>
      </c>
      <c r="AD4" s="32" t="s">
        <v>7511</v>
      </c>
      <c r="AE4" s="32" t="s">
        <v>7512</v>
      </c>
      <c r="AF4" s="32" t="s">
        <v>7513</v>
      </c>
      <c r="AG4" s="32" t="s">
        <v>7514</v>
      </c>
      <c r="AH4" s="32" t="s">
        <v>7515</v>
      </c>
      <c r="AI4" s="32" t="s">
        <v>7516</v>
      </c>
      <c r="AJ4" s="32" t="s">
        <v>7517</v>
      </c>
      <c r="AK4" s="32" t="s">
        <v>7518</v>
      </c>
      <c r="AL4" s="32" t="s">
        <v>7519</v>
      </c>
      <c r="AM4" s="32" t="s">
        <v>7520</v>
      </c>
      <c r="AN4" s="32" t="s">
        <v>7547</v>
      </c>
      <c r="AO4" s="32" t="s">
        <v>7522</v>
      </c>
      <c r="AP4" s="10" t="s">
        <v>7523</v>
      </c>
      <c r="AQ4" s="32" t="s">
        <v>7524</v>
      </c>
      <c r="AR4" s="59" t="s">
        <v>7525</v>
      </c>
      <c r="AS4" s="10" t="s">
        <v>7526</v>
      </c>
      <c r="AT4" s="31" t="s">
        <v>7527</v>
      </c>
      <c r="AU4" s="31" t="s">
        <v>7528</v>
      </c>
      <c r="AV4" s="31" t="s">
        <v>7529</v>
      </c>
      <c r="AW4" s="31" t="s">
        <v>7530</v>
      </c>
      <c r="AX4" s="31" t="s">
        <v>7531</v>
      </c>
    </row>
    <row r="5" spans="1:50" ht="21.75" customHeight="1" x14ac:dyDescent="0.3">
      <c r="A5" s="43"/>
      <c r="B5" s="39" t="s">
        <v>76</v>
      </c>
      <c r="C5" s="45" t="str">
        <f>IF(ISNUMBER(MATCH(Tabla5810[[#This Row],[Cod trabalhador]],'Altas Luminous'!B:B, 0)), "Ativo", "Não ativo")</f>
        <v>Não ativo</v>
      </c>
      <c r="D5" s="44" t="str">
        <f>IFERROR(IF(VLOOKUP(Tabla5810[[#This Row],[Cod trabalhador]],'Altas Industrial'!B:E,1,0)&lt;&gt;"","KI",""),"")</f>
        <v/>
      </c>
      <c r="E5" s="44" t="str">
        <f>IFERROR(IF(VLOOKUP(Tabla5810[[#This Row],[Cod trabalhador]],'Altas Rosas'!B:F,1,0)&lt;&gt;"","KR",""),"")</f>
        <v/>
      </c>
      <c r="F5" s="44" t="str">
        <f>IFERROR(IF(VLOOKUP(Tabla5810[[#This Row],[Cod trabalhador]],'Altas Wiseowe'!B:E,1,0)&lt;&gt;"","WS",""),"")</f>
        <v/>
      </c>
      <c r="G5" s="44" t="str">
        <f>IFERROR(IF(VLOOKUP(Tabla5810[[#This Row],[Cod trabalhador]],'Altas Luminous'!B:E,1,0)&lt;&gt;"","LM",""),"")</f>
        <v/>
      </c>
      <c r="H5" s="51" t="str">
        <f>IFERROR(VLOOKUP(Tabla5810[[#This Row],[Cod trabalhador]],'Altas Luminous'!B:E,3,FALSE),"")</f>
        <v/>
      </c>
      <c r="I5" s="51" t="str">
        <f>IF(OR(Tabla5810[[#This Row],[Cod trabalhador]]="",ISBLANK(Tabla5810[[#This Row],[Cod trabalhador]])),"",IFERROR(IF(VLOOKUP(Tabla5810[[#This Row],[Cod trabalhador]],'Altas Luminous'!B:E,4,FALSE)=0,"",VLOOKUP(Tabla5810[[#This Row],[Cod trabalhador]],'Altas Luminous'!B:E,4,FALSE)),""))</f>
        <v/>
      </c>
      <c r="J5" s="44">
        <f t="shared" ref="J5:J36" si="0">IF(C5="ativo",    IF(ISBLANK(H5),"",MAX(0,MIN(IF(ISBLANK(I5),EOMONTH(DATE(2026,1,1),0),I5),EOMONTH(DATE(2026,1,1),0)) - MAX(H5,DATE(2026,1,1))))+1,
    0
)</f>
        <v>0</v>
      </c>
      <c r="K5" s="44" t="s">
        <v>77</v>
      </c>
      <c r="L5" s="24" t="str">
        <f>IFERROR(IF(Tabla5810[[#This Row],[Cod trabalhador]]="",Tabla5810[[#This Row],[Cod trabalhador]], INDEX(Colaborador_ID[Nombre], MATCH(Tabla5810[[#This Row],[Cod trabalhador]],Colaborador_ID[Cod_colab], 0))), "")</f>
        <v>ALAN GERSON RAMIREZ ACARO</v>
      </c>
      <c r="N5" s="25" t="s">
        <v>7073</v>
      </c>
      <c r="O5" s="401">
        <f>IFERROR(VLOOKUP(Tabla5810[[#This Row],[Cod trabalhador]],Tabla15[],4,FALSE),"")</f>
        <v>15</v>
      </c>
      <c r="P5" s="232">
        <f>IFERROR(VLOOKUP(Tabla5810[[#This Row],[Cod trabalhador]],'TotalHorasAjustadas (2)'!D:L,8,FALSE),"")</f>
        <v>157</v>
      </c>
      <c r="Q5" s="27">
        <v>157</v>
      </c>
      <c r="R5" s="28" t="s">
        <v>7532</v>
      </c>
      <c r="S5" s="28" t="s">
        <v>7486</v>
      </c>
      <c r="U5" s="25"/>
      <c r="V5" s="26"/>
      <c r="W5" s="27"/>
      <c r="X5" s="102"/>
      <c r="Y5" s="28"/>
      <c r="AA5" s="392" t="str">
        <f>IFERROR(VLOOKUP(Tabla5810[[#This Row],[Cod trabalhador]],Alojamentos!B:P,11,FALSE),"")</f>
        <v/>
      </c>
      <c r="AB5" s="127"/>
      <c r="AC5" s="15"/>
      <c r="AD5" s="35">
        <f>Tabla5810[[#This Row],[Dias de alta]]*7.058</f>
        <v>0</v>
      </c>
      <c r="AE5" s="46" t="str">
        <f>IFERROR(VLOOKUP(Tabla5810[[#This Row],[Cod trabalhador]],Adiantamentos!B:L,7,FALSE),"")</f>
        <v/>
      </c>
      <c r="AF5" s="46">
        <f>IFERROR(VLOOKUP(Tabla5810[[#This Row],[Cod trabalhador]],Carro!B:D,3,FALSE),"")</f>
        <v>106.66666666666667</v>
      </c>
      <c r="AG5" s="46" t="str">
        <f>IFERROR(VLOOKUP(Tabla5810[[#This Row],[Cod trabalhador]],'Outros descontos'!B:O,7,FALSE),"")</f>
        <v/>
      </c>
      <c r="AH5" s="46" t="str">
        <f>IFERROR(VLOOKUP(Tabla5810[[#This Row],[Cod trabalhador]],'Outros descontos'!B:M,8,FALSE),"")</f>
        <v/>
      </c>
      <c r="AI5" s="46" t="str">
        <f>IFERROR(VLOOKUP(Tabla5810[[#This Row],[Cod trabalhador]],'Outros descontos'!B:M,9,FALSE),"")</f>
        <v/>
      </c>
      <c r="AJ5" s="46" t="str">
        <f>IFERROR(VLOOKUP(Tabla5810[[#This Row],[Cod trabalhador]],'Outros descontos'!B:M,10,FALSE),"")</f>
        <v/>
      </c>
      <c r="AK5" s="46" t="str">
        <f>IFERROR(VLOOKUP(Tabla5810[[#This Row],[Cod trabalhador]],'Outros descontos'!B:M,11,FALSE),"")</f>
        <v/>
      </c>
      <c r="AL5" s="46" t="str">
        <f>IFERROR(VLOOKUP(Tabla5810[[#This Row],[Cod trabalhador]],'Outros descontos'!B:M,12,FALSE),"")</f>
        <v/>
      </c>
      <c r="AM5" s="46" t="str">
        <f>IFERROR(VLOOKUP(Tabla5810[[#This Row],[Cod trabalhador]],'Outros descontos'!B:M,13,FALSE),"")</f>
        <v/>
      </c>
      <c r="AN5" s="393"/>
      <c r="AO5" s="37">
        <v>4.08</v>
      </c>
      <c r="AQ5"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2244.2533333333336</v>
      </c>
      <c r="AR5"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2244.2533333333336</v>
      </c>
      <c r="AT5" s="27" t="str">
        <f>IF(Tabla5810[[#This Row],[Cod trabalhador]]="", "", INDEX(Iban!C:C, MATCH(Tabla5810[[#This Row],[Cod trabalhador]],Iban!A:A, 0)))</f>
        <v>ES21 1576 1212 1910 1041 2202</v>
      </c>
      <c r="AU5" s="27"/>
      <c r="AV5" s="27"/>
      <c r="AW5" s="66" t="s">
        <v>7533</v>
      </c>
      <c r="AX5" s="296" t="s">
        <v>7472</v>
      </c>
    </row>
    <row r="6" spans="1:50" ht="18.75" customHeight="1" x14ac:dyDescent="0.3">
      <c r="A6" s="43" cm="1">
        <f t="array" ref="A6:A405">_xlfn.SEQUENCE(400)</f>
        <v>1</v>
      </c>
      <c r="B6" s="39" t="s">
        <v>210</v>
      </c>
      <c r="C6" s="45" t="str">
        <f>IF(ISNUMBER(MATCH(Tabla5810[[#This Row],[Cod trabalhador]],'Altas Luminous'!B:B, 0)), "Ativo", "Não ativo")</f>
        <v>Ativo</v>
      </c>
      <c r="D6" s="44" t="str">
        <f>IFERROR(IF(VLOOKUP(Tabla5810[[#This Row],[Cod trabalhador]],'Altas Industrial'!B:E,1,0)&lt;&gt;"","KI",""),"")</f>
        <v/>
      </c>
      <c r="E6" s="44" t="str">
        <f>IFERROR(IF(VLOOKUP(Tabla5810[[#This Row],[Cod trabalhador]],'Altas Rosas'!B:F,1,0)&lt;&gt;"","KR",""),"")</f>
        <v/>
      </c>
      <c r="F6" s="44" t="str">
        <f>IFERROR(IF(VLOOKUP(Tabla5810[[#This Row],[Cod trabalhador]],'Altas Wiseowe'!B:E,1,0)&lt;&gt;"","WS",""),"")</f>
        <v/>
      </c>
      <c r="G6" s="44" t="str">
        <f>IFERROR(IF(VLOOKUP(Tabla5810[[#This Row],[Cod trabalhador]],'Altas Luminous'!B:E,1,0)&lt;&gt;"","LM",""),"")</f>
        <v>LM</v>
      </c>
      <c r="H6" s="51">
        <f>IFERROR(VLOOKUP(Tabla5810[[#This Row],[Cod trabalhador]],'Altas Luminous'!B:E,3,FALSE),"")</f>
        <v>46051</v>
      </c>
      <c r="I6" s="51" t="str">
        <f>IF(OR(Tabla5810[[#This Row],[Cod trabalhador]]="",ISBLANK(Tabla5810[[#This Row],[Cod trabalhador]])),"",IFERROR(IF(VLOOKUP(Tabla5810[[#This Row],[Cod trabalhador]],'Altas Luminous'!B:E,4,FALSE)=0,"",VLOOKUP(Tabla5810[[#This Row],[Cod trabalhador]],'Altas Luminous'!B:E,4,FALSE)),""))</f>
        <v/>
      </c>
      <c r="J6" s="44">
        <f t="shared" si="0"/>
        <v>3</v>
      </c>
      <c r="K6" s="44" t="s">
        <v>211</v>
      </c>
      <c r="L6" s="24" t="str">
        <f>IFERROR(IF(Tabla5810[[#This Row],[Cod trabalhador]]="",Tabla5810[[#This Row],[Cod trabalhador]], INDEX(Colaborador_ID[Nombre], MATCH(Tabla5810[[#This Row],[Cod trabalhador]],Colaborador_ID[Cod_colab], 0))), "")</f>
        <v>ALEXANDER GUZMAN</v>
      </c>
      <c r="N6" s="25" t="s">
        <v>7177</v>
      </c>
      <c r="O6" s="401">
        <v>15</v>
      </c>
      <c r="P6" s="232">
        <f>IFERROR(VLOOKUP(Tabla5810[[#This Row],[Cod trabalhador]],'TotalHorasAjustadas (2)'!D:L,8,FALSE),"")</f>
        <v>23</v>
      </c>
      <c r="Q6" s="27">
        <v>23</v>
      </c>
      <c r="R6" s="28" t="s">
        <v>7532</v>
      </c>
      <c r="S6" s="28" t="s">
        <v>7486</v>
      </c>
      <c r="U6" s="25"/>
      <c r="V6" s="26"/>
      <c r="W6" s="27"/>
      <c r="X6" s="102"/>
      <c r="Y6" s="28"/>
      <c r="AA6" s="392" t="str">
        <f>IFERROR(VLOOKUP(Tabla5810[[#This Row],[Cod trabalhador]],Alojamentos!B:P,11,FALSE),"")</f>
        <v/>
      </c>
      <c r="AB6" s="127"/>
      <c r="AC6" s="15"/>
      <c r="AD6" s="35">
        <f>Tabla5810[[#This Row],[Dias de alta]]*7.058</f>
        <v>21.173999999999999</v>
      </c>
      <c r="AE6" s="46" t="str">
        <f>IFERROR(VLOOKUP(Tabla5810[[#This Row],[Cod trabalhador]],Adiantamentos!B:L,7,FALSE),"")</f>
        <v/>
      </c>
      <c r="AF6" s="46">
        <f>IFERROR(VLOOKUP(Tabla5810[[#This Row],[Cod trabalhador]],Carro!B:D,3,FALSE),"")</f>
        <v>10</v>
      </c>
      <c r="AG6" s="46" t="str">
        <f>IFERROR(VLOOKUP(Tabla5810[[#This Row],[Cod trabalhador]],'Outros descontos'!B:O,7,FALSE),"")</f>
        <v/>
      </c>
      <c r="AH6" s="46" t="str">
        <f>IFERROR(VLOOKUP(Tabla5810[[#This Row],[Cod trabalhador]],'Outros descontos'!B:M,8,FALSE),"")</f>
        <v/>
      </c>
      <c r="AI6" s="46" t="str">
        <f>IFERROR(VLOOKUP(Tabla5810[[#This Row],[Cod trabalhador]],'Outros descontos'!B:M,9,FALSE),"")</f>
        <v/>
      </c>
      <c r="AJ6" s="46" t="str">
        <f>IFERROR(VLOOKUP(Tabla5810[[#This Row],[Cod trabalhador]],'Outros descontos'!B:M,10,FALSE),"")</f>
        <v/>
      </c>
      <c r="AK6" s="46" t="str">
        <f>IFERROR(VLOOKUP(Tabla5810[[#This Row],[Cod trabalhador]],'Outros descontos'!B:M,11,FALSE),"")</f>
        <v/>
      </c>
      <c r="AL6" s="46" t="str">
        <f>IFERROR(VLOOKUP(Tabla5810[[#This Row],[Cod trabalhador]],'Outros descontos'!B:M,12,FALSE),"")</f>
        <v/>
      </c>
      <c r="AM6" s="46" t="str">
        <f>IFERROR(VLOOKUP(Tabla5810[[#This Row],[Cod trabalhador]],'Outros descontos'!B:M,13,FALSE),"")</f>
        <v/>
      </c>
      <c r="AN6" s="393"/>
      <c r="AO6" s="37">
        <v>4.08</v>
      </c>
      <c r="AP6" s="15"/>
      <c r="AQ6"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309.74600000000004</v>
      </c>
      <c r="AR6"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309.74600000000004</v>
      </c>
      <c r="AS6" s="15"/>
      <c r="AT6" s="27" t="str">
        <f>IF(Tabla5810[[#This Row],[Cod trabalhador]]="", "", INDEX(Iban!C:C, MATCH(Tabla5810[[#This Row],[Cod trabalhador]],Iban!A:A, 0)))</f>
        <v>ES29 6893 0001 7400 0036 7834</v>
      </c>
      <c r="AU6" s="27"/>
      <c r="AV6" s="27"/>
      <c r="AW6" s="66" t="s">
        <v>7533</v>
      </c>
      <c r="AX6" s="296" t="s">
        <v>7472</v>
      </c>
    </row>
    <row r="7" spans="1:50" ht="18.75" customHeight="1" x14ac:dyDescent="0.3">
      <c r="A7" s="43">
        <v>2</v>
      </c>
      <c r="B7" s="39" t="s">
        <v>241</v>
      </c>
      <c r="C7" s="45" t="str">
        <f>IF(ISNUMBER(MATCH(Tabla5810[[#This Row],[Cod trabalhador]],'Altas Luminous'!B:B, 0)), "Ativo", "Não ativo")</f>
        <v>Não ativo</v>
      </c>
      <c r="D7" s="44" t="str">
        <f>IFERROR(IF(VLOOKUP(Tabla5810[[#This Row],[Cod trabalhador]],'Altas Industrial'!B:E,1,0)&lt;&gt;"","KI",""),"")</f>
        <v/>
      </c>
      <c r="E7" s="44" t="str">
        <f>IFERROR(IF(VLOOKUP(Tabla5810[[#This Row],[Cod trabalhador]],'Altas Rosas'!B:F,1,0)&lt;&gt;"","KR",""),"")</f>
        <v/>
      </c>
      <c r="F7" s="44" t="str">
        <f>IFERROR(IF(VLOOKUP(Tabla5810[[#This Row],[Cod trabalhador]],'Altas Wiseowe'!B:E,1,0)&lt;&gt;"","WS",""),"")</f>
        <v/>
      </c>
      <c r="G7" s="44" t="str">
        <f>IFERROR(IF(VLOOKUP(Tabla5810[[#This Row],[Cod trabalhador]],'Altas Luminous'!B:E,1,0)&lt;&gt;"","LM",""),"")</f>
        <v/>
      </c>
      <c r="H7" s="51" t="str">
        <f>IFERROR(VLOOKUP(Tabla5810[[#This Row],[Cod trabalhador]],'Altas Luminous'!B:E,3,FALSE),"")</f>
        <v/>
      </c>
      <c r="I7" s="51" t="str">
        <f>IF(OR(Tabla5810[[#This Row],[Cod trabalhador]]="",ISBLANK(Tabla5810[[#This Row],[Cod trabalhador]])),"",IFERROR(IF(VLOOKUP(Tabla5810[[#This Row],[Cod trabalhador]],'Altas Luminous'!B:E,4,FALSE)=0,"",VLOOKUP(Tabla5810[[#This Row],[Cod trabalhador]],'Altas Luminous'!B:E,4,FALSE)),""))</f>
        <v/>
      </c>
      <c r="J7" s="44">
        <f t="shared" si="0"/>
        <v>0</v>
      </c>
      <c r="K7" s="44" t="s">
        <v>7151</v>
      </c>
      <c r="L7" s="24" t="str">
        <f>IFERROR(IF(Tabla5810[[#This Row],[Cod trabalhador]]="",Tabla5810[[#This Row],[Cod trabalhador]], INDEX(Colaborador_ID[Nombre], MATCH(Tabla5810[[#This Row],[Cod trabalhador]],Colaborador_ID[Cod_colab], 0))), "")</f>
        <v>ALEXIS ENRIQUE MORENO ARRIETA</v>
      </c>
      <c r="M7" s="340"/>
      <c r="N7" s="25" t="s">
        <v>7150</v>
      </c>
      <c r="O7" s="401">
        <v>15</v>
      </c>
      <c r="P7" s="232">
        <f>IFERROR(VLOOKUP(Tabla5810[[#This Row],[Cod trabalhador]],'TotalHorasAjustadas (2)'!D:L,8,FALSE),"")</f>
        <v>192</v>
      </c>
      <c r="Q7" s="27">
        <v>192</v>
      </c>
      <c r="R7" s="28" t="s">
        <v>7532</v>
      </c>
      <c r="S7" s="28" t="s">
        <v>7486</v>
      </c>
      <c r="U7" s="96"/>
      <c r="V7" s="231"/>
      <c r="W7" s="27"/>
      <c r="X7" s="28"/>
      <c r="Y7" s="28"/>
      <c r="Z7" s="149"/>
      <c r="AA7" s="392" t="str">
        <f>IFERROR(VLOOKUP(Tabla5810[[#This Row],[Cod trabalhador]],Alojamentos!B:P,11,FALSE),"")</f>
        <v/>
      </c>
      <c r="AB7" s="127"/>
      <c r="AC7" s="150"/>
      <c r="AD7" s="35">
        <f>Tabla5810[[#This Row],[Dias de alta]]*7.058</f>
        <v>0</v>
      </c>
      <c r="AE7" s="46" t="str">
        <f>IFERROR(VLOOKUP(Tabla5810[[#This Row],[Cod trabalhador]],Adiantamentos!B:L,7,FALSE),"")</f>
        <v/>
      </c>
      <c r="AF7" s="46">
        <f>IFERROR(VLOOKUP(Tabla5810[[#This Row],[Cod trabalhador]],Carro!B:D,3,FALSE),"")</f>
        <v>84.444444444444443</v>
      </c>
      <c r="AG7" s="46" t="str">
        <f>IFERROR(VLOOKUP(Tabla5810[[#This Row],[Cod trabalhador]],'Outros descontos'!B:O,7,FALSE),"")</f>
        <v/>
      </c>
      <c r="AH7" s="46" t="str">
        <f>IFERROR(VLOOKUP(Tabla5810[[#This Row],[Cod trabalhador]],'Outros descontos'!B:M,8,FALSE),"")</f>
        <v/>
      </c>
      <c r="AI7" s="46" t="str">
        <f>IFERROR(VLOOKUP(Tabla5810[[#This Row],[Cod trabalhador]],'Outros descontos'!B:M,9,FALSE),"")</f>
        <v/>
      </c>
      <c r="AJ7" s="46" t="str">
        <f>IFERROR(VLOOKUP(Tabla5810[[#This Row],[Cod trabalhador]],'Outros descontos'!B:M,10,FALSE),"")</f>
        <v/>
      </c>
      <c r="AK7" s="46" t="str">
        <f>IFERROR(VLOOKUP(Tabla5810[[#This Row],[Cod trabalhador]],'Outros descontos'!B:M,11,FALSE),"")</f>
        <v/>
      </c>
      <c r="AL7" s="46" t="str">
        <f>IFERROR(VLOOKUP(Tabla5810[[#This Row],[Cod trabalhador]],'Outros descontos'!B:M,12,FALSE),"")</f>
        <v/>
      </c>
      <c r="AM7" s="46" t="str">
        <f>IFERROR(VLOOKUP(Tabla5810[[#This Row],[Cod trabalhador]],'Outros descontos'!B:M,13,FALSE),"")</f>
        <v/>
      </c>
      <c r="AN7" s="393"/>
      <c r="AO7" s="37">
        <v>4.08</v>
      </c>
      <c r="AP7" s="15"/>
      <c r="AQ7"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2791.4755555555557</v>
      </c>
      <c r="AR7"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2791.4755555555557</v>
      </c>
      <c r="AS7" s="15"/>
      <c r="AT7" s="27" t="str">
        <f>IF(Tabla5810[[#This Row],[Cod trabalhador]]="", "", INDEX(Iban!C:C, MATCH(Tabla5810[[#This Row],[Cod trabalhador]],Iban!A:A, 0)))</f>
        <v>ES89 6893 0001 7800 0034 7643</v>
      </c>
      <c r="AU7" s="27"/>
      <c r="AV7" s="27"/>
      <c r="AW7" s="66" t="s">
        <v>7533</v>
      </c>
      <c r="AX7" s="296" t="s">
        <v>7472</v>
      </c>
    </row>
    <row r="8" spans="1:50" ht="18.75" customHeight="1" x14ac:dyDescent="0.3">
      <c r="A8" s="43">
        <v>3</v>
      </c>
      <c r="B8" s="39" t="s">
        <v>268</v>
      </c>
      <c r="C8" s="45" t="str">
        <f>IF(ISNUMBER(MATCH(Tabla5810[[#This Row],[Cod trabalhador]],'Altas Luminous'!B:B, 0)), "Ativo", "Não ativo")</f>
        <v>Ativo</v>
      </c>
      <c r="D8" s="44" t="str">
        <f>IFERROR(IF(VLOOKUP(Tabla5810[[#This Row],[Cod trabalhador]],'Altas Industrial'!B:E,1,0)&lt;&gt;"","KI",""),"")</f>
        <v/>
      </c>
      <c r="E8" s="44" t="str">
        <f>IFERROR(IF(VLOOKUP(Tabla5810[[#This Row],[Cod trabalhador]],'Altas Rosas'!B:F,1,0)&lt;&gt;"","KR",""),"")</f>
        <v/>
      </c>
      <c r="F8" s="44" t="str">
        <f>IFERROR(IF(VLOOKUP(Tabla5810[[#This Row],[Cod trabalhador]],'Altas Wiseowe'!B:E,1,0)&lt;&gt;"","WS",""),"")</f>
        <v/>
      </c>
      <c r="G8" s="44" t="str">
        <f>IFERROR(IF(VLOOKUP(Tabla5810[[#This Row],[Cod trabalhador]],'Altas Luminous'!B:E,1,0)&lt;&gt;"","LM",""),"")</f>
        <v>LM</v>
      </c>
      <c r="H8" s="51">
        <f>IFERROR(VLOOKUP(Tabla5810[[#This Row],[Cod trabalhador]],'Altas Luminous'!B:E,3,FALSE),"")</f>
        <v>46030</v>
      </c>
      <c r="I8" s="51" t="str">
        <f>IF(OR(Tabla5810[[#This Row],[Cod trabalhador]]="",ISBLANK(Tabla5810[[#This Row],[Cod trabalhador]])),"",IFERROR(IF(VLOOKUP(Tabla5810[[#This Row],[Cod trabalhador]],'Altas Luminous'!B:E,4,FALSE)=0,"",VLOOKUP(Tabla5810[[#This Row],[Cod trabalhador]],'Altas Luminous'!B:E,4,FALSE)),""))</f>
        <v/>
      </c>
      <c r="J8" s="44">
        <f t="shared" si="0"/>
        <v>24</v>
      </c>
      <c r="K8" s="44" t="s">
        <v>269</v>
      </c>
      <c r="L8" s="24" t="str">
        <f>IFERROR(IF(Tabla5810[[#This Row],[Cod trabalhador]]="",Tabla5810[[#This Row],[Cod trabalhador]], INDEX(Colaborador_ID[Nombre], MATCH(Tabla5810[[#This Row],[Cod trabalhador]],Colaborador_ID[Cod_colab], 0))), "")</f>
        <v>ALIRIO ORTIZ MOLINA</v>
      </c>
      <c r="M8" s="340"/>
      <c r="N8" s="25" t="s">
        <v>7109</v>
      </c>
      <c r="O8" s="401">
        <v>15</v>
      </c>
      <c r="P8" s="232">
        <f>IFERROR(VLOOKUP(Tabla5810[[#This Row],[Cod trabalhador]],'TotalHorasAjustadas (2)'!D:L,8,FALSE),"")</f>
        <v>171</v>
      </c>
      <c r="Q8" s="27">
        <v>171</v>
      </c>
      <c r="R8" s="28" t="s">
        <v>7471</v>
      </c>
      <c r="S8" s="28" t="s">
        <v>7486</v>
      </c>
      <c r="U8" s="96"/>
      <c r="V8" s="231"/>
      <c r="W8" s="27"/>
      <c r="X8" s="28"/>
      <c r="Y8" s="28"/>
      <c r="Z8" s="149"/>
      <c r="AA8" s="392">
        <f>IFERROR(VLOOKUP(Tabla5810[[#This Row],[Cod trabalhador]],Alojamentos!B:P,11,FALSE),"")</f>
        <v>240</v>
      </c>
      <c r="AB8" s="127"/>
      <c r="AC8" s="150"/>
      <c r="AD8" s="35">
        <f>Tabla5810[[#This Row],[Dias de alta]]*7.058</f>
        <v>169.392</v>
      </c>
      <c r="AE8" s="46" t="str">
        <f>IFERROR(VLOOKUP(Tabla5810[[#This Row],[Cod trabalhador]],Adiantamentos!B:L,7,FALSE),"")</f>
        <v/>
      </c>
      <c r="AF8" s="46" t="str">
        <f>IFERROR(VLOOKUP(Tabla5810[[#This Row],[Cod trabalhador]],Carro!B:D,3,FALSE),"")</f>
        <v/>
      </c>
      <c r="AG8" s="46" t="str">
        <f>IFERROR(VLOOKUP(Tabla5810[[#This Row],[Cod trabalhador]],'Outros descontos'!B:O,7,FALSE),"")</f>
        <v/>
      </c>
      <c r="AH8" s="46" t="str">
        <f>IFERROR(VLOOKUP(Tabla5810[[#This Row],[Cod trabalhador]],'Outros descontos'!B:M,8,FALSE),"")</f>
        <v/>
      </c>
      <c r="AI8" s="46" t="str">
        <f>IFERROR(VLOOKUP(Tabla5810[[#This Row],[Cod trabalhador]],'Outros descontos'!B:M,9,FALSE),"")</f>
        <v/>
      </c>
      <c r="AJ8" s="46" t="str">
        <f>IFERROR(VLOOKUP(Tabla5810[[#This Row],[Cod trabalhador]],'Outros descontos'!B:M,10,FALSE),"")</f>
        <v/>
      </c>
      <c r="AK8" s="46" t="str">
        <f>IFERROR(VLOOKUP(Tabla5810[[#This Row],[Cod trabalhador]],'Outros descontos'!B:M,11,FALSE),"")</f>
        <v/>
      </c>
      <c r="AL8" s="46" t="str">
        <f>IFERROR(VLOOKUP(Tabla5810[[#This Row],[Cod trabalhador]],'Outros descontos'!B:M,12,FALSE),"")</f>
        <v/>
      </c>
      <c r="AM8" s="46" t="str">
        <f>IFERROR(VLOOKUP(Tabla5810[[#This Row],[Cod trabalhador]],'Outros descontos'!B:M,13,FALSE),"")</f>
        <v/>
      </c>
      <c r="AN8" s="393"/>
      <c r="AO8" s="37">
        <v>4.08</v>
      </c>
      <c r="AP8" s="15"/>
      <c r="AQ8"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2631.5280000000002</v>
      </c>
      <c r="AR8"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2631.5280000000002</v>
      </c>
      <c r="AS8" s="15"/>
      <c r="AT8" s="27" t="str">
        <f>IF(Tabla5810[[#This Row],[Cod trabalhador]]="", "", INDEX(Iban!C:C, MATCH(Tabla5810[[#This Row],[Cod trabalhador]],Iban!A:A, 0)))</f>
        <v>BE67 9674 1303 8187</v>
      </c>
      <c r="AU8" s="27"/>
      <c r="AV8" s="27"/>
      <c r="AW8" s="66" t="s">
        <v>7533</v>
      </c>
      <c r="AX8" s="296" t="s">
        <v>7472</v>
      </c>
    </row>
    <row r="9" spans="1:50" ht="18.75" customHeight="1" x14ac:dyDescent="0.3">
      <c r="A9" s="43">
        <v>4</v>
      </c>
      <c r="B9" s="39" t="s">
        <v>333</v>
      </c>
      <c r="C9" s="45" t="str">
        <f>IF(ISNUMBER(MATCH(Tabla5810[[#This Row],[Cod trabalhador]],'Altas Luminous'!B:B, 0)), "Ativo", "Não ativo")</f>
        <v>Não ativo</v>
      </c>
      <c r="D9" s="44" t="str">
        <f>IFERROR(IF(VLOOKUP(Tabla5810[[#This Row],[Cod trabalhador]],'Altas Industrial'!B:E,1,0)&lt;&gt;"","KI",""),"")</f>
        <v/>
      </c>
      <c r="E9" s="44" t="str">
        <f>IFERROR(IF(VLOOKUP(Tabla5810[[#This Row],[Cod trabalhador]],'Altas Rosas'!B:F,1,0)&lt;&gt;"","KR",""),"")</f>
        <v/>
      </c>
      <c r="F9" s="44" t="str">
        <f>IFERROR(IF(VLOOKUP(Tabla5810[[#This Row],[Cod trabalhador]],'Altas Wiseowe'!B:E,1,0)&lt;&gt;"","WS",""),"")</f>
        <v/>
      </c>
      <c r="G9" s="44" t="str">
        <f>IFERROR(IF(VLOOKUP(Tabla5810[[#This Row],[Cod trabalhador]],'Altas Luminous'!B:E,1,0)&lt;&gt;"","LM",""),"")</f>
        <v/>
      </c>
      <c r="H9" s="51" t="str">
        <f>IFERROR(VLOOKUP(Tabla5810[[#This Row],[Cod trabalhador]],'Altas Luminous'!B:E,3,FALSE),"")</f>
        <v/>
      </c>
      <c r="I9" s="51" t="str">
        <f>IF(OR(Tabla5810[[#This Row],[Cod trabalhador]]="",ISBLANK(Tabla5810[[#This Row],[Cod trabalhador]])),"",IFERROR(IF(VLOOKUP(Tabla5810[[#This Row],[Cod trabalhador]],'Altas Luminous'!B:E,4,FALSE)=0,"",VLOOKUP(Tabla5810[[#This Row],[Cod trabalhador]],'Altas Luminous'!B:E,4,FALSE)),""))</f>
        <v/>
      </c>
      <c r="J9" s="44">
        <f t="shared" si="0"/>
        <v>0</v>
      </c>
      <c r="K9" s="44" t="s">
        <v>334</v>
      </c>
      <c r="L9" s="24" t="str">
        <f>IFERROR(IF(Tabla5810[[#This Row],[Cod trabalhador]]="",Tabla5810[[#This Row],[Cod trabalhador]], INDEX(Colaborador_ID[Nombre], MATCH(Tabla5810[[#This Row],[Cod trabalhador]],Colaborador_ID[Cod_colab], 0))), "")</f>
        <v>ALVARO SEGOVIA TORRES</v>
      </c>
      <c r="M9" s="340"/>
      <c r="N9" s="25" t="s">
        <v>7052</v>
      </c>
      <c r="O9" s="401">
        <f>IFERROR(VLOOKUP(Tabla5810[[#This Row],[Cod trabalhador]],Tabla15[],4,FALSE),"")</f>
        <v>15</v>
      </c>
      <c r="P9" s="232">
        <f>IFERROR(VLOOKUP(Tabla5810[[#This Row],[Cod trabalhador]],'TotalHorasAjustadas (2)'!D:L,8,FALSE),"")</f>
        <v>51</v>
      </c>
      <c r="Q9" s="27">
        <v>51</v>
      </c>
      <c r="R9" s="28" t="s">
        <v>7532</v>
      </c>
      <c r="S9" s="28" t="s">
        <v>7486</v>
      </c>
      <c r="U9" s="96"/>
      <c r="V9" s="231"/>
      <c r="W9" s="27"/>
      <c r="X9" s="28"/>
      <c r="Y9" s="28"/>
      <c r="Z9" s="149"/>
      <c r="AA9" s="392" t="str">
        <f>IFERROR(VLOOKUP(Tabla5810[[#This Row],[Cod trabalhador]],Alojamentos!B:P,11,FALSE),"")</f>
        <v/>
      </c>
      <c r="AB9" s="127"/>
      <c r="AC9" s="150"/>
      <c r="AD9" s="35">
        <f>Tabla5810[[#This Row],[Dias de alta]]*7.058</f>
        <v>0</v>
      </c>
      <c r="AE9" s="46" t="str">
        <f>IFERROR(VLOOKUP(Tabla5810[[#This Row],[Cod trabalhador]],Adiantamentos!B:L,7,FALSE),"")</f>
        <v/>
      </c>
      <c r="AF9" s="46">
        <f>IFERROR(VLOOKUP(Tabla5810[[#This Row],[Cod trabalhador]],Carro!B:D,3,FALSE),"")</f>
        <v>26.666666666666668</v>
      </c>
      <c r="AG9" s="46" t="str">
        <f>IFERROR(VLOOKUP(Tabla5810[[#This Row],[Cod trabalhador]],'Outros descontos'!B:O,7,FALSE),"")</f>
        <v/>
      </c>
      <c r="AH9" s="46" t="str">
        <f>IFERROR(VLOOKUP(Tabla5810[[#This Row],[Cod trabalhador]],'Outros descontos'!B:M,8,FALSE),"")</f>
        <v/>
      </c>
      <c r="AI9" s="46" t="str">
        <f>IFERROR(VLOOKUP(Tabla5810[[#This Row],[Cod trabalhador]],'Outros descontos'!B:M,9,FALSE),"")</f>
        <v/>
      </c>
      <c r="AJ9" s="46" t="str">
        <f>IFERROR(VLOOKUP(Tabla5810[[#This Row],[Cod trabalhador]],'Outros descontos'!B:M,10,FALSE),"")</f>
        <v/>
      </c>
      <c r="AK9" s="46" t="str">
        <f>IFERROR(VLOOKUP(Tabla5810[[#This Row],[Cod trabalhador]],'Outros descontos'!B:M,11,FALSE),"")</f>
        <v/>
      </c>
      <c r="AL9" s="46" t="str">
        <f>IFERROR(VLOOKUP(Tabla5810[[#This Row],[Cod trabalhador]],'Outros descontos'!B:M,12,FALSE),"")</f>
        <v/>
      </c>
      <c r="AM9" s="46" t="str">
        <f>IFERROR(VLOOKUP(Tabla5810[[#This Row],[Cod trabalhador]],'Outros descontos'!B:M,13,FALSE),"")</f>
        <v/>
      </c>
      <c r="AN9" s="393"/>
      <c r="AO9" s="37">
        <v>4.08</v>
      </c>
      <c r="AP9" s="15"/>
      <c r="AQ9"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734.25333333333333</v>
      </c>
      <c r="AR9"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734.25333333333333</v>
      </c>
      <c r="AS9" s="15"/>
      <c r="AT9" s="27" t="str">
        <f>IF(Tabla5810[[#This Row],[Cod trabalhador]]="", "", INDEX(Iban!C:C, MATCH(Tabla5810[[#This Row],[Cod trabalhador]],Iban!A:A, 0)))</f>
        <v>ES33 0182 2229 5402 0161 8236</v>
      </c>
      <c r="AU9" s="27"/>
      <c r="AV9" s="27"/>
      <c r="AW9" s="66" t="s">
        <v>7533</v>
      </c>
      <c r="AX9" s="296" t="s">
        <v>7472</v>
      </c>
    </row>
    <row r="10" spans="1:50" ht="18.75" customHeight="1" x14ac:dyDescent="0.3">
      <c r="A10" s="43">
        <v>5</v>
      </c>
      <c r="B10" s="39" t="s">
        <v>347</v>
      </c>
      <c r="C10" s="45" t="str">
        <f>IF(ISNUMBER(MATCH(Tabla5810[[#This Row],[Cod trabalhador]],'Altas Luminous'!B:B, 0)), "Ativo", "Não ativo")</f>
        <v>Não ativo</v>
      </c>
      <c r="D10" s="44" t="str">
        <f>IFERROR(IF(VLOOKUP(Tabla5810[[#This Row],[Cod trabalhador]],'Altas Industrial'!B:E,1,0)&lt;&gt;"","KI",""),"")</f>
        <v/>
      </c>
      <c r="E10" s="44" t="str">
        <f>IFERROR(IF(VLOOKUP(Tabla5810[[#This Row],[Cod trabalhador]],'Altas Rosas'!B:F,1,0)&lt;&gt;"","KR",""),"")</f>
        <v/>
      </c>
      <c r="F10" s="44" t="str">
        <f>IFERROR(IF(VLOOKUP(Tabla5810[[#This Row],[Cod trabalhador]],'Altas Wiseowe'!B:E,1,0)&lt;&gt;"","WS",""),"")</f>
        <v/>
      </c>
      <c r="G10" s="44" t="str">
        <f>IFERROR(IF(VLOOKUP(Tabla5810[[#This Row],[Cod trabalhador]],'Altas Luminous'!B:E,1,0)&lt;&gt;"","LM",""),"")</f>
        <v/>
      </c>
      <c r="H10" s="51" t="str">
        <f>IFERROR(VLOOKUP(Tabla5810[[#This Row],[Cod trabalhador]],'Altas Luminous'!B:E,3,FALSE),"")</f>
        <v/>
      </c>
      <c r="I10" s="51" t="str">
        <f>IF(OR(Tabla5810[[#This Row],[Cod trabalhador]]="",ISBLANK(Tabla5810[[#This Row],[Cod trabalhador]])),"",IFERROR(IF(VLOOKUP(Tabla5810[[#This Row],[Cod trabalhador]],'Altas Luminous'!B:E,4,FALSE)=0,"",VLOOKUP(Tabla5810[[#This Row],[Cod trabalhador]],'Altas Luminous'!B:E,4,FALSE)),""))</f>
        <v/>
      </c>
      <c r="J10" s="44">
        <f t="shared" si="0"/>
        <v>0</v>
      </c>
      <c r="K10" s="44" t="s">
        <v>348</v>
      </c>
      <c r="L10" s="24" t="str">
        <f>IFERROR(IF(Tabla5810[[#This Row],[Cod trabalhador]]="",Tabla5810[[#This Row],[Cod trabalhador]], INDEX(Colaborador_ID[Nombre], MATCH(Tabla5810[[#This Row],[Cod trabalhador]],Colaborador_ID[Cod_colab], 0))), "")</f>
        <v>ANDERSON CHELUVAY GONZALEZ TRUJILLO</v>
      </c>
      <c r="M10" s="340"/>
      <c r="N10" s="25" t="s">
        <v>7052</v>
      </c>
      <c r="O10" s="401">
        <f>IFERROR(VLOOKUP(Tabla5810[[#This Row],[Cod trabalhador]],Tabla15[],4,FALSE),"")</f>
        <v>15</v>
      </c>
      <c r="P10" s="232">
        <f>IFERROR(VLOOKUP(Tabla5810[[#This Row],[Cod trabalhador]],'TotalHorasAjustadas (2)'!D:L,8,FALSE),"")</f>
        <v>222</v>
      </c>
      <c r="Q10" s="27">
        <v>222</v>
      </c>
      <c r="R10" s="28" t="s">
        <v>7532</v>
      </c>
      <c r="S10" s="28" t="s">
        <v>7486</v>
      </c>
      <c r="U10" s="96"/>
      <c r="V10" s="231"/>
      <c r="W10" s="27"/>
      <c r="X10" s="28"/>
      <c r="Y10" s="28"/>
      <c r="Z10" s="149"/>
      <c r="AA10" s="392">
        <f>IFERROR(VLOOKUP(Tabla5810[[#This Row],[Cod trabalhador]],Alojamentos!B:P,11,FALSE),"")</f>
        <v>300</v>
      </c>
      <c r="AB10" s="127"/>
      <c r="AC10" s="150"/>
      <c r="AD10" s="35">
        <f>Tabla5810[[#This Row],[Dias de alta]]*7.058</f>
        <v>0</v>
      </c>
      <c r="AE10" s="46" t="str">
        <f>IFERROR(VLOOKUP(Tabla5810[[#This Row],[Cod trabalhador]],Adiantamentos!B:L,7,FALSE),"")</f>
        <v/>
      </c>
      <c r="AF10" s="46">
        <f>IFERROR(VLOOKUP(Tabla5810[[#This Row],[Cod trabalhador]],Carro!B:D,3,FALSE),"")</f>
        <v>102.66</v>
      </c>
      <c r="AG10" s="46" t="str">
        <f>IFERROR(VLOOKUP(Tabla5810[[#This Row],[Cod trabalhador]],'Outros descontos'!B:O,7,FALSE),"")</f>
        <v/>
      </c>
      <c r="AH10" s="46" t="str">
        <f>IFERROR(VLOOKUP(Tabla5810[[#This Row],[Cod trabalhador]],'Outros descontos'!B:M,8,FALSE),"")</f>
        <v/>
      </c>
      <c r="AI10" s="46" t="str">
        <f>IFERROR(VLOOKUP(Tabla5810[[#This Row],[Cod trabalhador]],'Outros descontos'!B:M,9,FALSE),"")</f>
        <v/>
      </c>
      <c r="AJ10" s="46" t="str">
        <f>IFERROR(VLOOKUP(Tabla5810[[#This Row],[Cod trabalhador]],'Outros descontos'!B:M,10,FALSE),"")</f>
        <v/>
      </c>
      <c r="AK10" s="46" t="str">
        <f>IFERROR(VLOOKUP(Tabla5810[[#This Row],[Cod trabalhador]],'Outros descontos'!B:M,11,FALSE),"")</f>
        <v/>
      </c>
      <c r="AL10" s="46" t="str">
        <f>IFERROR(VLOOKUP(Tabla5810[[#This Row],[Cod trabalhador]],'Outros descontos'!B:M,12,FALSE),"")</f>
        <v/>
      </c>
      <c r="AM10" s="46" t="str">
        <f>IFERROR(VLOOKUP(Tabla5810[[#This Row],[Cod trabalhador]],'Outros descontos'!B:M,13,FALSE),"")</f>
        <v/>
      </c>
      <c r="AN10" s="393"/>
      <c r="AO10" s="37">
        <v>4.08</v>
      </c>
      <c r="AP10" s="15"/>
      <c r="AQ10"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3523.26</v>
      </c>
      <c r="AR10"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3523.26</v>
      </c>
      <c r="AS10" s="15"/>
      <c r="AT10" s="27" t="str">
        <f>IF(Tabla5810[[#This Row],[Cod trabalhador]]="", "", INDEX(Iban!C:C, MATCH(Tabla5810[[#This Row],[Cod trabalhador]],Iban!A:A, 0)))</f>
        <v>BE72 9055 8338 8016</v>
      </c>
      <c r="AU10" s="27"/>
      <c r="AV10" s="27"/>
      <c r="AW10" s="66" t="s">
        <v>7533</v>
      </c>
      <c r="AX10" s="296" t="s">
        <v>7472</v>
      </c>
    </row>
    <row r="11" spans="1:50" ht="18.75" customHeight="1" x14ac:dyDescent="0.3">
      <c r="A11" s="43">
        <v>6</v>
      </c>
      <c r="B11" s="39" t="s">
        <v>434</v>
      </c>
      <c r="C11" s="45" t="str">
        <f>IF(ISNUMBER(MATCH(Tabla5810[[#This Row],[Cod trabalhador]],'Altas Luminous'!B:B, 0)), "Ativo", "Não ativo")</f>
        <v>Não ativo</v>
      </c>
      <c r="D11" s="44" t="str">
        <f>IFERROR(IF(VLOOKUP(Tabla5810[[#This Row],[Cod trabalhador]],'Altas Industrial'!B:E,1,0)&lt;&gt;"","KI",""),"")</f>
        <v/>
      </c>
      <c r="E11" s="44" t="str">
        <f>IFERROR(IF(VLOOKUP(Tabla5810[[#This Row],[Cod trabalhador]],'Altas Rosas'!B:F,1,0)&lt;&gt;"","KR",""),"")</f>
        <v/>
      </c>
      <c r="F11" s="44" t="str">
        <f>IFERROR(IF(VLOOKUP(Tabla5810[[#This Row],[Cod trabalhador]],'Altas Wiseowe'!B:E,1,0)&lt;&gt;"","WS",""),"")</f>
        <v/>
      </c>
      <c r="G11" s="44" t="str">
        <f>IFERROR(IF(VLOOKUP(Tabla5810[[#This Row],[Cod trabalhador]],'Altas Luminous'!B:E,1,0)&lt;&gt;"","LM",""),"")</f>
        <v/>
      </c>
      <c r="H11" s="51" t="str">
        <f>IFERROR(VLOOKUP(Tabla5810[[#This Row],[Cod trabalhador]],'Altas Luminous'!B:E,3,FALSE),"")</f>
        <v/>
      </c>
      <c r="I11" s="51" t="str">
        <f>IF(OR(Tabla5810[[#This Row],[Cod trabalhador]]="",ISBLANK(Tabla5810[[#This Row],[Cod trabalhador]])),"",IFERROR(IF(VLOOKUP(Tabla5810[[#This Row],[Cod trabalhador]],'Altas Luminous'!B:E,4,FALSE)=0,"",VLOOKUP(Tabla5810[[#This Row],[Cod trabalhador]],'Altas Luminous'!B:E,4,FALSE)),""))</f>
        <v/>
      </c>
      <c r="J11" s="44">
        <f t="shared" si="0"/>
        <v>0</v>
      </c>
      <c r="K11" s="44" t="s">
        <v>7138</v>
      </c>
      <c r="L11" s="24" t="str">
        <f>IFERROR(IF(Tabla5810[[#This Row],[Cod trabalhador]]="",Tabla5810[[#This Row],[Cod trabalhador]], INDEX(Colaborador_ID[Nombre], MATCH(Tabla5810[[#This Row],[Cod trabalhador]],Colaborador_ID[Cod_colab], 0))), "")</f>
        <v>ANGEL TEHERAN CARABALLO</v>
      </c>
      <c r="M11" s="340"/>
      <c r="N11" s="25" t="s">
        <v>7136</v>
      </c>
      <c r="O11" s="401">
        <v>15</v>
      </c>
      <c r="P11" s="232">
        <f>IFERROR(VLOOKUP(Tabla5810[[#This Row],[Cod trabalhador]],'TotalHorasAjustadas (2)'!D:L,8,FALSE),"")</f>
        <v>101</v>
      </c>
      <c r="Q11" s="27">
        <v>101</v>
      </c>
      <c r="R11" s="28" t="s">
        <v>7532</v>
      </c>
      <c r="S11" s="28" t="s">
        <v>7486</v>
      </c>
      <c r="U11" s="96"/>
      <c r="V11" s="231"/>
      <c r="W11" s="27"/>
      <c r="X11" s="28"/>
      <c r="Y11" s="28"/>
      <c r="Z11" s="149"/>
      <c r="AA11" s="392">
        <f>IFERROR(VLOOKUP(Tabla5810[[#This Row],[Cod trabalhador]],Alojamentos!B:P,11,FALSE),"")</f>
        <v>30</v>
      </c>
      <c r="AB11" s="127"/>
      <c r="AC11" s="150"/>
      <c r="AD11" s="35">
        <f>Tabla5810[[#This Row],[Dias de alta]]*7.058</f>
        <v>0</v>
      </c>
      <c r="AE11" s="46" t="str">
        <f>IFERROR(VLOOKUP(Tabla5810[[#This Row],[Cod trabalhador]],Adiantamentos!B:L,7,FALSE),"")</f>
        <v/>
      </c>
      <c r="AF11" s="46" t="str">
        <f>IFERROR(VLOOKUP(Tabla5810[[#This Row],[Cod trabalhador]],Carro!B:D,3,FALSE),"")</f>
        <v/>
      </c>
      <c r="AG11" s="46" t="str">
        <f>IFERROR(VLOOKUP(Tabla5810[[#This Row],[Cod trabalhador]],'Outros descontos'!B:O,7,FALSE),"")</f>
        <v/>
      </c>
      <c r="AH11" s="46" t="str">
        <f>IFERROR(VLOOKUP(Tabla5810[[#This Row],[Cod trabalhador]],'Outros descontos'!B:M,8,FALSE),"")</f>
        <v/>
      </c>
      <c r="AI11" s="46" t="str">
        <f>IFERROR(VLOOKUP(Tabla5810[[#This Row],[Cod trabalhador]],'Outros descontos'!B:M,9,FALSE),"")</f>
        <v/>
      </c>
      <c r="AJ11" s="46" t="str">
        <f>IFERROR(VLOOKUP(Tabla5810[[#This Row],[Cod trabalhador]],'Outros descontos'!B:M,10,FALSE),"")</f>
        <v/>
      </c>
      <c r="AK11" s="46" t="str">
        <f>IFERROR(VLOOKUP(Tabla5810[[#This Row],[Cod trabalhador]],'Outros descontos'!B:M,11,FALSE),"")</f>
        <v/>
      </c>
      <c r="AL11" s="46" t="str">
        <f>IFERROR(VLOOKUP(Tabla5810[[#This Row],[Cod trabalhador]],'Outros descontos'!B:M,12,FALSE),"")</f>
        <v/>
      </c>
      <c r="AM11" s="46" t="str">
        <f>IFERROR(VLOOKUP(Tabla5810[[#This Row],[Cod trabalhador]],'Outros descontos'!B:M,13,FALSE),"")</f>
        <v/>
      </c>
      <c r="AN11" s="393"/>
      <c r="AO11" s="37">
        <v>4.08</v>
      </c>
      <c r="AP11" s="15"/>
      <c r="AQ11"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1540.92</v>
      </c>
      <c r="AR11"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1540.92</v>
      </c>
      <c r="AS11" s="15"/>
      <c r="AT11" s="27" t="str">
        <f>IF(Tabla5810[[#This Row],[Cod trabalhador]]="", "", INDEX(Iban!C:C, MATCH(Tabla5810[[#This Row],[Cod trabalhador]],Iban!A:A, 0)))</f>
        <v>ES76 0182 2125 3202 0160 1042</v>
      </c>
      <c r="AU11" s="27"/>
      <c r="AV11" s="27"/>
      <c r="AW11" s="66" t="s">
        <v>7533</v>
      </c>
      <c r="AX11" s="296" t="s">
        <v>7472</v>
      </c>
    </row>
    <row r="12" spans="1:50" ht="18.75" customHeight="1" x14ac:dyDescent="0.3">
      <c r="A12" s="43">
        <v>7</v>
      </c>
      <c r="B12" s="39" t="s">
        <v>504</v>
      </c>
      <c r="C12" s="45" t="str">
        <f>IF(ISNUMBER(MATCH(Tabla5810[[#This Row],[Cod trabalhador]],'Altas Luminous'!B:B, 0)), "Ativo", "Não ativo")</f>
        <v>Não ativo</v>
      </c>
      <c r="D12" s="44" t="str">
        <f>IFERROR(IF(VLOOKUP(Tabla5810[[#This Row],[Cod trabalhador]],'Altas Industrial'!B:E,1,0)&lt;&gt;"","KI",""),"")</f>
        <v/>
      </c>
      <c r="E12" s="44" t="str">
        <f>IFERROR(IF(VLOOKUP(Tabla5810[[#This Row],[Cod trabalhador]],'Altas Rosas'!B:F,1,0)&lt;&gt;"","KR",""),"")</f>
        <v/>
      </c>
      <c r="F12" s="44" t="str">
        <f>IFERROR(IF(VLOOKUP(Tabla5810[[#This Row],[Cod trabalhador]],'Altas Wiseowe'!B:E,1,0)&lt;&gt;"","WS",""),"")</f>
        <v/>
      </c>
      <c r="G12" s="44" t="str">
        <f>IFERROR(IF(VLOOKUP(Tabla5810[[#This Row],[Cod trabalhador]],'Altas Luminous'!B:E,1,0)&lt;&gt;"","LM",""),"")</f>
        <v/>
      </c>
      <c r="H12" s="51" t="str">
        <f>IFERROR(VLOOKUP(Tabla5810[[#This Row],[Cod trabalhador]],'Altas Luminous'!B:E,3,FALSE),"")</f>
        <v/>
      </c>
      <c r="I12" s="51" t="str">
        <f>IF(OR(Tabla5810[[#This Row],[Cod trabalhador]]="",ISBLANK(Tabla5810[[#This Row],[Cod trabalhador]])),"",IFERROR(IF(VLOOKUP(Tabla5810[[#This Row],[Cod trabalhador]],'Altas Luminous'!B:E,4,FALSE)=0,"",VLOOKUP(Tabla5810[[#This Row],[Cod trabalhador]],'Altas Luminous'!B:E,4,FALSE)),""))</f>
        <v/>
      </c>
      <c r="J12" s="44">
        <f t="shared" si="0"/>
        <v>0</v>
      </c>
      <c r="K12" s="44" t="s">
        <v>7153</v>
      </c>
      <c r="L12" s="24" t="str">
        <f>IFERROR(IF(Tabla5810[[#This Row],[Cod trabalhador]]="",Tabla5810[[#This Row],[Cod trabalhador]], INDEX(Colaborador_ID[Nombre], MATCH(Tabla5810[[#This Row],[Cod trabalhador]],Colaborador_ID[Cod_colab], 0))), "")</f>
        <v>ARLEY DARIO PANTOJA CABRERA</v>
      </c>
      <c r="N12" s="25" t="s">
        <v>7052</v>
      </c>
      <c r="O12" s="401">
        <f>IFERROR(VLOOKUP(Tabla5810[[#This Row],[Cod trabalhador]],Tabla15[],4,FALSE),"")</f>
        <v>15</v>
      </c>
      <c r="P12" s="232">
        <f>IFERROR(VLOOKUP(Tabla5810[[#This Row],[Cod trabalhador]],'TotalHorasAjustadas (2)'!D:L,8,FALSE),"")</f>
        <v>195</v>
      </c>
      <c r="Q12" s="27">
        <v>195</v>
      </c>
      <c r="R12" s="28" t="s">
        <v>7532</v>
      </c>
      <c r="S12" s="28" t="s">
        <v>7486</v>
      </c>
      <c r="U12" s="25"/>
      <c r="V12" s="26"/>
      <c r="W12" s="27"/>
      <c r="X12" s="102"/>
      <c r="Y12" s="28"/>
      <c r="AA12" s="392" t="str">
        <f>IFERROR(VLOOKUP(Tabla5810[[#This Row],[Cod trabalhador]],Alojamentos!B:P,11,FALSE),"")</f>
        <v/>
      </c>
      <c r="AB12" s="127"/>
      <c r="AC12" s="15"/>
      <c r="AD12" s="35">
        <f>Tabla5810[[#This Row],[Dias de alta]]*7.058</f>
        <v>0</v>
      </c>
      <c r="AE12" s="46" t="str">
        <f>IFERROR(VLOOKUP(Tabla5810[[#This Row],[Cod trabalhador]],Adiantamentos!B:L,7,FALSE),"")</f>
        <v/>
      </c>
      <c r="AF12" s="46">
        <f>IFERROR(VLOOKUP(Tabla5810[[#This Row],[Cod trabalhador]],Carro!B:D,3,FALSE),"")</f>
        <v>102.66</v>
      </c>
      <c r="AG12" s="46" t="str">
        <f>IFERROR(VLOOKUP(Tabla5810[[#This Row],[Cod trabalhador]],'Outros descontos'!B:O,7,FALSE),"")</f>
        <v/>
      </c>
      <c r="AH12" s="46" t="str">
        <f>IFERROR(VLOOKUP(Tabla5810[[#This Row],[Cod trabalhador]],'Outros descontos'!B:M,8,FALSE),"")</f>
        <v/>
      </c>
      <c r="AI12" s="46" t="str">
        <f>IFERROR(VLOOKUP(Tabla5810[[#This Row],[Cod trabalhador]],'Outros descontos'!B:M,9,FALSE),"")</f>
        <v/>
      </c>
      <c r="AJ12" s="46" t="str">
        <f>IFERROR(VLOOKUP(Tabla5810[[#This Row],[Cod trabalhador]],'Outros descontos'!B:M,10,FALSE),"")</f>
        <v/>
      </c>
      <c r="AK12" s="46" t="str">
        <f>IFERROR(VLOOKUP(Tabla5810[[#This Row],[Cod trabalhador]],'Outros descontos'!B:M,11,FALSE),"")</f>
        <v/>
      </c>
      <c r="AL12" s="46" t="str">
        <f>IFERROR(VLOOKUP(Tabla5810[[#This Row],[Cod trabalhador]],'Outros descontos'!B:M,12,FALSE),"")</f>
        <v/>
      </c>
      <c r="AM12" s="46" t="str">
        <f>IFERROR(VLOOKUP(Tabla5810[[#This Row],[Cod trabalhador]],'Outros descontos'!B:M,13,FALSE),"")</f>
        <v/>
      </c>
      <c r="AN12" s="393"/>
      <c r="AO12" s="37">
        <v>4.08</v>
      </c>
      <c r="AP12" s="15"/>
      <c r="AQ12"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2818.26</v>
      </c>
      <c r="AR12"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2818.26</v>
      </c>
      <c r="AS12" s="15"/>
      <c r="AT12" s="27" t="str">
        <f>IF(Tabla5810[[#This Row],[Cod trabalhador]]="", "", INDEX(Iban!C:C, MATCH(Tabla5810[[#This Row],[Cod trabalhador]],Iban!A:A, 0)))</f>
        <v>ES91 6893 0001 7600 0026 0211</v>
      </c>
      <c r="AU12" s="27"/>
      <c r="AV12" s="27"/>
      <c r="AW12" s="66" t="s">
        <v>7533</v>
      </c>
      <c r="AX12" s="296" t="s">
        <v>7472</v>
      </c>
    </row>
    <row r="13" spans="1:50" ht="18.75" customHeight="1" x14ac:dyDescent="0.3">
      <c r="A13" s="43">
        <v>8</v>
      </c>
      <c r="B13" s="39" t="s">
        <v>537</v>
      </c>
      <c r="C13" s="45" t="str">
        <f>IF(ISNUMBER(MATCH(Tabla5810[[#This Row],[Cod trabalhador]],'Altas Luminous'!B:B, 0)), "Ativo", "Não ativo")</f>
        <v>Não ativo</v>
      </c>
      <c r="D13" s="44" t="str">
        <f>IFERROR(IF(VLOOKUP(Tabla5810[[#This Row],[Cod trabalhador]],'Altas Industrial'!B:E,1,0)&lt;&gt;"","KI",""),"")</f>
        <v/>
      </c>
      <c r="E13" s="44" t="str">
        <f>IFERROR(IF(VLOOKUP(Tabla5810[[#This Row],[Cod trabalhador]],'Altas Rosas'!B:F,1,0)&lt;&gt;"","KR",""),"")</f>
        <v/>
      </c>
      <c r="F13" s="44" t="str">
        <f>IFERROR(IF(VLOOKUP(Tabla5810[[#This Row],[Cod trabalhador]],'Altas Wiseowe'!B:E,1,0)&lt;&gt;"","WS",""),"")</f>
        <v/>
      </c>
      <c r="G13" s="44" t="str">
        <f>IFERROR(IF(VLOOKUP(Tabla5810[[#This Row],[Cod trabalhador]],'Altas Luminous'!B:E,1,0)&lt;&gt;"","LM",""),"")</f>
        <v/>
      </c>
      <c r="H13" s="51" t="str">
        <f>IFERROR(VLOOKUP(Tabla5810[[#This Row],[Cod trabalhador]],'Altas Luminous'!B:E,3,FALSE),"")</f>
        <v/>
      </c>
      <c r="I13" s="51" t="str">
        <f>IF(OR(Tabla5810[[#This Row],[Cod trabalhador]]="",ISBLANK(Tabla5810[[#This Row],[Cod trabalhador]])),"",IFERROR(IF(VLOOKUP(Tabla5810[[#This Row],[Cod trabalhador]],'Altas Luminous'!B:E,4,FALSE)=0,"",VLOOKUP(Tabla5810[[#This Row],[Cod trabalhador]],'Altas Luminous'!B:E,4,FALSE)),""))</f>
        <v/>
      </c>
      <c r="J13" s="44">
        <f t="shared" si="0"/>
        <v>0</v>
      </c>
      <c r="K13" s="44" t="s">
        <v>7083</v>
      </c>
      <c r="L13" s="24" t="str">
        <f>IFERROR(IF(Tabla5810[[#This Row],[Cod trabalhador]]="",Tabla5810[[#This Row],[Cod trabalhador]], INDEX(Colaborador_ID[Nombre], MATCH(Tabla5810[[#This Row],[Cod trabalhador]],Colaborador_ID[Cod_colab], 0))), "")</f>
        <v>AYRTON MAXIMO CUMPA SENADOR</v>
      </c>
      <c r="M13" s="340"/>
      <c r="N13" s="25" t="s">
        <v>7082</v>
      </c>
      <c r="O13" s="401">
        <f>IFERROR(VLOOKUP(Tabla5810[[#This Row],[Cod trabalhador]],Tabla15[],4,FALSE),"")</f>
        <v>15</v>
      </c>
      <c r="P13" s="232">
        <f>IFERROR(VLOOKUP(Tabla5810[[#This Row],[Cod trabalhador]],'TotalHorasAjustadas (2)'!D:L,8,FALSE),"")</f>
        <v>143.5</v>
      </c>
      <c r="Q13" s="27">
        <v>143.5</v>
      </c>
      <c r="R13" s="28" t="s">
        <v>7532</v>
      </c>
      <c r="S13" s="28" t="s">
        <v>7486</v>
      </c>
      <c r="U13" s="96"/>
      <c r="V13" s="231"/>
      <c r="W13" s="27"/>
      <c r="X13" s="28"/>
      <c r="Y13" s="28"/>
      <c r="Z13" s="149"/>
      <c r="AA13" s="392" t="str">
        <f>IFERROR(VLOOKUP(Tabla5810[[#This Row],[Cod trabalhador]],Alojamentos!B:P,11,FALSE),"")</f>
        <v/>
      </c>
      <c r="AB13" s="127"/>
      <c r="AC13" s="150"/>
      <c r="AD13" s="35">
        <f>Tabla5810[[#This Row],[Dias de alta]]*7.058</f>
        <v>0</v>
      </c>
      <c r="AE13" s="46" t="str">
        <f>IFERROR(VLOOKUP(Tabla5810[[#This Row],[Cod trabalhador]],Adiantamentos!B:L,7,FALSE),"")</f>
        <v/>
      </c>
      <c r="AF13" s="46">
        <f>IFERROR(VLOOKUP(Tabla5810[[#This Row],[Cod trabalhador]],Carro!B:D,3,FALSE),"")</f>
        <v>86.666666666666657</v>
      </c>
      <c r="AG13" s="46">
        <f>IFERROR(VLOOKUP(Tabla5810[[#This Row],[Cod trabalhador]],'Outros descontos'!B:O,7,FALSE),"")</f>
        <v>250</v>
      </c>
      <c r="AH13" s="46">
        <f>IFERROR(VLOOKUP(Tabla5810[[#This Row],[Cod trabalhador]],'Outros descontos'!B:M,8,FALSE),"")</f>
        <v>0</v>
      </c>
      <c r="AI13" s="46">
        <f>IFERROR(VLOOKUP(Tabla5810[[#This Row],[Cod trabalhador]],'Outros descontos'!B:M,9,FALSE),"")</f>
        <v>0</v>
      </c>
      <c r="AJ13" s="46">
        <f>IFERROR(VLOOKUP(Tabla5810[[#This Row],[Cod trabalhador]],'Outros descontos'!B:M,10,FALSE),"")</f>
        <v>0</v>
      </c>
      <c r="AK13" s="46">
        <f>IFERROR(VLOOKUP(Tabla5810[[#This Row],[Cod trabalhador]],'Outros descontos'!B:M,11,FALSE),"")</f>
        <v>0</v>
      </c>
      <c r="AL13" s="46">
        <f>IFERROR(VLOOKUP(Tabla5810[[#This Row],[Cod trabalhador]],'Outros descontos'!B:M,12,FALSE),"")</f>
        <v>0</v>
      </c>
      <c r="AM13" s="46" t="str">
        <f>IFERROR(VLOOKUP(Tabla5810[[#This Row],[Cod trabalhador]],'Outros descontos'!B:M,13,FALSE),"")</f>
        <v/>
      </c>
      <c r="AN13" s="393"/>
      <c r="AO13" s="37">
        <v>4.08</v>
      </c>
      <c r="AP13" s="15"/>
      <c r="AQ13"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1811.7533333333336</v>
      </c>
      <c r="AR13"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1811.7533333333336</v>
      </c>
      <c r="AS13" s="15"/>
      <c r="AT13" s="27" t="str">
        <f>IF(Tabla5810[[#This Row],[Cod trabalhador]]="", "", INDEX(Iban!C:C, MATCH(Tabla5810[[#This Row],[Cod trabalhador]],Iban!A:A, 0)))</f>
        <v>ES70 0182 8191 7102 0204 9338</v>
      </c>
      <c r="AU13" s="27"/>
      <c r="AV13" s="27"/>
      <c r="AW13" s="66" t="s">
        <v>7533</v>
      </c>
      <c r="AX13" s="296" t="s">
        <v>7472</v>
      </c>
    </row>
    <row r="14" spans="1:50" ht="18.75" customHeight="1" x14ac:dyDescent="0.3">
      <c r="A14" s="42">
        <v>9</v>
      </c>
      <c r="B14" s="39" t="s">
        <v>544</v>
      </c>
      <c r="C14" s="45" t="str">
        <f>IF(ISNUMBER(MATCH(Tabla5810[[#This Row],[Cod trabalhador]],'Altas Luminous'!B:B, 0)), "Ativo", "Não ativo")</f>
        <v>Não ativo</v>
      </c>
      <c r="D14" s="44" t="str">
        <f>IFERROR(IF(VLOOKUP(Tabla5810[[#This Row],[Cod trabalhador]],'Altas Industrial'!B:E,1,0)&lt;&gt;"","KI",""),"")</f>
        <v/>
      </c>
      <c r="E14" s="44" t="str">
        <f>IFERROR(IF(VLOOKUP(Tabla5810[[#This Row],[Cod trabalhador]],'Altas Rosas'!B:F,1,0)&lt;&gt;"","KR",""),"")</f>
        <v/>
      </c>
      <c r="F14" s="44" t="str">
        <f>IFERROR(IF(VLOOKUP(Tabla5810[[#This Row],[Cod trabalhador]],'Altas Wiseowe'!B:E,1,0)&lt;&gt;"","WS",""),"")</f>
        <v/>
      </c>
      <c r="G14" s="44" t="str">
        <f>IFERROR(IF(VLOOKUP(Tabla5810[[#This Row],[Cod trabalhador]],'Altas Luminous'!B:E,1,0)&lt;&gt;"","LM",""),"")</f>
        <v/>
      </c>
      <c r="H14" s="51" t="str">
        <f>IFERROR(VLOOKUP(Tabla5810[[#This Row],[Cod trabalhador]],'Altas Luminous'!B:E,3,FALSE),"")</f>
        <v/>
      </c>
      <c r="I14" s="51" t="str">
        <f>IF(OR(Tabla5810[[#This Row],[Cod trabalhador]]="",ISBLANK(Tabla5810[[#This Row],[Cod trabalhador]])),"",IFERROR(IF(VLOOKUP(Tabla5810[[#This Row],[Cod trabalhador]],'Altas Luminous'!B:E,4,FALSE)=0,"",VLOOKUP(Tabla5810[[#This Row],[Cod trabalhador]],'Altas Luminous'!B:E,4,FALSE)),""))</f>
        <v/>
      </c>
      <c r="J14" s="44">
        <f t="shared" si="0"/>
        <v>0</v>
      </c>
      <c r="K14" s="44" t="s">
        <v>7045</v>
      </c>
      <c r="L14" s="24" t="str">
        <f>IFERROR(IF(Tabla5810[[#This Row],[Cod trabalhador]]="",Tabla5810[[#This Row],[Cod trabalhador]], INDEX(Colaborador_ID[Nombre], MATCH(Tabla5810[[#This Row],[Cod trabalhador]],Colaborador_ID[Cod_colab], 0))), "")</f>
        <v>BAIRON RENE BURBANO MORALES</v>
      </c>
      <c r="N14" s="25" t="s">
        <v>7108</v>
      </c>
      <c r="O14" s="401">
        <f>IFERROR(VLOOKUP(Tabla5810[[#This Row],[Cod trabalhador]],Tabla15[],4,FALSE),"")</f>
        <v>15</v>
      </c>
      <c r="P14" s="232">
        <f>IFERROR(VLOOKUP(Tabla5810[[#This Row],[Cod trabalhador]],'TotalHorasAjustadas (2)'!D:L,8,FALSE),"")</f>
        <v>36</v>
      </c>
      <c r="Q14" s="27">
        <v>36</v>
      </c>
      <c r="R14" s="28" t="s">
        <v>7471</v>
      </c>
      <c r="S14" s="28" t="s">
        <v>7486</v>
      </c>
      <c r="U14" s="25"/>
      <c r="V14" s="26"/>
      <c r="W14" s="27"/>
      <c r="X14" s="102"/>
      <c r="Y14" s="28"/>
      <c r="AA14" s="392">
        <f>IFERROR(VLOOKUP(Tabla5810[[#This Row],[Cod trabalhador]],Alojamentos!B:P,11,FALSE),"")</f>
        <v>300</v>
      </c>
      <c r="AB14" s="127"/>
      <c r="AC14" s="15"/>
      <c r="AD14" s="35">
        <f>Tabla5810[[#This Row],[Dias de alta]]*7.058</f>
        <v>0</v>
      </c>
      <c r="AE14" s="438"/>
      <c r="AF14" s="46">
        <f>IFERROR(VLOOKUP(Tabla5810[[#This Row],[Cod trabalhador]],Carro!B:D,3,FALSE),"")</f>
        <v>128.88888888888889</v>
      </c>
      <c r="AG14" s="46" t="str">
        <f>IFERROR(VLOOKUP(Tabla5810[[#This Row],[Cod trabalhador]],'Outros descontos'!B:O,7,FALSE),"")</f>
        <v/>
      </c>
      <c r="AH14" s="46" t="str">
        <f>IFERROR(VLOOKUP(Tabla5810[[#This Row],[Cod trabalhador]],'Outros descontos'!B:M,8,FALSE),"")</f>
        <v/>
      </c>
      <c r="AI14" s="46" t="str">
        <f>IFERROR(VLOOKUP(Tabla5810[[#This Row],[Cod trabalhador]],'Outros descontos'!B:M,9,FALSE),"")</f>
        <v/>
      </c>
      <c r="AJ14" s="46" t="str">
        <f>IFERROR(VLOOKUP(Tabla5810[[#This Row],[Cod trabalhador]],'Outros descontos'!B:M,10,FALSE),"")</f>
        <v/>
      </c>
      <c r="AK14" s="46" t="str">
        <f>IFERROR(VLOOKUP(Tabla5810[[#This Row],[Cod trabalhador]],'Outros descontos'!B:M,11,FALSE),"")</f>
        <v/>
      </c>
      <c r="AL14" s="46" t="str">
        <f>IFERROR(VLOOKUP(Tabla5810[[#This Row],[Cod trabalhador]],'Outros descontos'!B:M,12,FALSE),"")</f>
        <v/>
      </c>
      <c r="AM14" s="46" t="str">
        <f>IFERROR(VLOOKUP(Tabla5810[[#This Row],[Cod trabalhador]],'Outros descontos'!B:M,13,FALSE),"")</f>
        <v/>
      </c>
      <c r="AN14" s="393"/>
      <c r="AO14" s="37">
        <v>4.08</v>
      </c>
      <c r="AP14" s="15"/>
      <c r="AQ14"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707.03111111111104</v>
      </c>
      <c r="AR14"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707.03111111111104</v>
      </c>
      <c r="AS14" s="15"/>
      <c r="AT14" s="27" t="str">
        <f>IF(Tabla5810[[#This Row],[Cod trabalhador]]="", "", INDEX(Iban!C:C, MATCH(Tabla5810[[#This Row],[Cod trabalhador]],Iban!A:A, 0)))</f>
        <v>ES54 0182 2270 0102 0248 1802</v>
      </c>
      <c r="AU14" s="27"/>
      <c r="AV14" s="27"/>
      <c r="AW14" s="66" t="s">
        <v>7533</v>
      </c>
      <c r="AX14" s="296" t="s">
        <v>7472</v>
      </c>
    </row>
    <row r="15" spans="1:50" ht="18" customHeight="1" x14ac:dyDescent="0.3">
      <c r="A15" s="42">
        <v>10</v>
      </c>
      <c r="B15" s="39" t="s">
        <v>593</v>
      </c>
      <c r="C15" s="45" t="str">
        <f>IF(ISNUMBER(MATCH(Tabla5810[[#This Row],[Cod trabalhador]],'Altas Luminous'!B:B, 0)), "Ativo", "Não ativo")</f>
        <v>Não ativo</v>
      </c>
      <c r="D15" s="44" t="str">
        <f>IFERROR(IF(VLOOKUP(Tabla5810[[#This Row],[Cod trabalhador]],'Altas Industrial'!B:E,1,0)&lt;&gt;"","KI",""),"")</f>
        <v/>
      </c>
      <c r="E15" s="44" t="str">
        <f>IFERROR(IF(VLOOKUP(Tabla5810[[#This Row],[Cod trabalhador]],'Altas Rosas'!B:F,1,0)&lt;&gt;"","KR",""),"")</f>
        <v/>
      </c>
      <c r="F15" s="44" t="str">
        <f>IFERROR(IF(VLOOKUP(Tabla5810[[#This Row],[Cod trabalhador]],'Altas Wiseowe'!B:E,1,0)&lt;&gt;"","WS",""),"")</f>
        <v/>
      </c>
      <c r="G15" s="44" t="str">
        <f>IFERROR(IF(VLOOKUP(Tabla5810[[#This Row],[Cod trabalhador]],'Altas Luminous'!B:E,1,0)&lt;&gt;"","LM",""),"")</f>
        <v/>
      </c>
      <c r="H15" s="51" t="str">
        <f>IFERROR(VLOOKUP(Tabla5810[[#This Row],[Cod trabalhador]],'Altas Luminous'!B:E,3,FALSE),"")</f>
        <v/>
      </c>
      <c r="I15" s="51" t="str">
        <f>IF(OR(Tabla5810[[#This Row],[Cod trabalhador]]="",ISBLANK(Tabla5810[[#This Row],[Cod trabalhador]])),"",IFERROR(IF(VLOOKUP(Tabla5810[[#This Row],[Cod trabalhador]],'Altas Luminous'!B:E,4,FALSE)=0,"",VLOOKUP(Tabla5810[[#This Row],[Cod trabalhador]],'Altas Luminous'!B:E,4,FALSE)),""))</f>
        <v/>
      </c>
      <c r="J15" s="44">
        <f t="shared" si="0"/>
        <v>0</v>
      </c>
      <c r="K15" s="44" t="s">
        <v>7183</v>
      </c>
      <c r="L15" s="24" t="str">
        <f>IFERROR(IF(Tabla5810[[#This Row],[Cod trabalhador]]="",Tabla5810[[#This Row],[Cod trabalhador]], INDEX(Colaborador_ID[Nombre], MATCH(Tabla5810[[#This Row],[Cod trabalhador]],Colaborador_ID[Cod_colab], 0))), "")</f>
        <v>BORIS ALI CHUNGA LUJAN</v>
      </c>
      <c r="N15" s="25" t="s">
        <v>7182</v>
      </c>
      <c r="O15" s="401">
        <f>IFERROR(VLOOKUP(Tabla5810[[#This Row],[Cod trabalhador]],Tabla15[],4,FALSE),"")</f>
        <v>15</v>
      </c>
      <c r="P15" s="232">
        <f>IFERROR(VLOOKUP(Tabla5810[[#This Row],[Cod trabalhador]],'TotalHorasAjustadas (2)'!D:L,8,FALSE),"")</f>
        <v>196.55</v>
      </c>
      <c r="Q15" s="27">
        <v>196.55</v>
      </c>
      <c r="R15" s="28" t="s">
        <v>7471</v>
      </c>
      <c r="S15" s="28" t="s">
        <v>7486</v>
      </c>
      <c r="U15" s="25"/>
      <c r="V15" s="26"/>
      <c r="W15" s="27"/>
      <c r="X15" s="102"/>
      <c r="Y15" s="28"/>
      <c r="Z15" s="149"/>
      <c r="AA15" s="392" t="str">
        <f>IFERROR(VLOOKUP(Tabla5810[[#This Row],[Cod trabalhador]],Alojamentos!B:P,11,FALSE),"")</f>
        <v/>
      </c>
      <c r="AB15" s="127"/>
      <c r="AC15" s="150"/>
      <c r="AD15" s="35">
        <f>Tabla5810[[#This Row],[Dias de alta]]*7.058</f>
        <v>0</v>
      </c>
      <c r="AE15" s="46" t="str">
        <f>IFERROR(VLOOKUP(Tabla5810[[#This Row],[Cod trabalhador]],Adiantamentos!B:L,7,FALSE),"")</f>
        <v/>
      </c>
      <c r="AF15" s="46" t="str">
        <f>IFERROR(VLOOKUP(Tabla5810[[#This Row],[Cod trabalhador]],Carro!B:D,3,FALSE),"")</f>
        <v/>
      </c>
      <c r="AG15" s="46" t="str">
        <f>IFERROR(VLOOKUP(Tabla5810[[#This Row],[Cod trabalhador]],'Outros descontos'!B:O,7,FALSE),"")</f>
        <v/>
      </c>
      <c r="AH15" s="46" t="str">
        <f>IFERROR(VLOOKUP(Tabla5810[[#This Row],[Cod trabalhador]],'Outros descontos'!B:M,8,FALSE),"")</f>
        <v/>
      </c>
      <c r="AI15" s="46" t="str">
        <f>IFERROR(VLOOKUP(Tabla5810[[#This Row],[Cod trabalhador]],'Outros descontos'!B:M,9,FALSE),"")</f>
        <v/>
      </c>
      <c r="AJ15" s="46" t="str">
        <f>IFERROR(VLOOKUP(Tabla5810[[#This Row],[Cod trabalhador]],'Outros descontos'!B:M,10,FALSE),"")</f>
        <v/>
      </c>
      <c r="AK15" s="46" t="str">
        <f>IFERROR(VLOOKUP(Tabla5810[[#This Row],[Cod trabalhador]],'Outros descontos'!B:M,11,FALSE),"")</f>
        <v/>
      </c>
      <c r="AL15" s="46" t="str">
        <f>IFERROR(VLOOKUP(Tabla5810[[#This Row],[Cod trabalhador]],'Outros descontos'!B:M,12,FALSE),"")</f>
        <v/>
      </c>
      <c r="AM15" s="46" t="str">
        <f>IFERROR(VLOOKUP(Tabla5810[[#This Row],[Cod trabalhador]],'Outros descontos'!B:M,13,FALSE),"")</f>
        <v/>
      </c>
      <c r="AN15" s="393"/>
      <c r="AO15" s="37">
        <v>4.08</v>
      </c>
      <c r="AP15" s="15"/>
      <c r="AQ15"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2944.17</v>
      </c>
      <c r="AR15"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2944.17</v>
      </c>
      <c r="AS15" s="15"/>
      <c r="AT15" s="27" t="str">
        <f>IF(Tabla5810[[#This Row],[Cod trabalhador]]="", "", INDEX(Iban!C:C, MATCH(Tabla5810[[#This Row],[Cod trabalhador]],Iban!A:A, 0)))</f>
        <v>BE92 9053 0079 8623</v>
      </c>
      <c r="AU15" s="27"/>
      <c r="AV15" s="27"/>
      <c r="AW15" s="66" t="s">
        <v>7533</v>
      </c>
      <c r="AX15" s="296" t="s">
        <v>7472</v>
      </c>
    </row>
    <row r="16" spans="1:50" ht="18.75" customHeight="1" x14ac:dyDescent="0.3">
      <c r="A16" s="42">
        <v>11</v>
      </c>
      <c r="B16" s="39" t="s">
        <v>660</v>
      </c>
      <c r="C16" s="45" t="str">
        <f>IF(ISNUMBER(MATCH(Tabla5810[[#This Row],[Cod trabalhador]],'Altas Luminous'!B:B, 0)), "Ativo", "Não ativo")</f>
        <v>Ativo</v>
      </c>
      <c r="D16" s="44" t="str">
        <f>IFERROR(IF(VLOOKUP(Tabla5810[[#This Row],[Cod trabalhador]],'Altas Industrial'!B:E,1,0)&lt;&gt;"","KI",""),"")</f>
        <v/>
      </c>
      <c r="E16" s="44" t="str">
        <f>IFERROR(IF(VLOOKUP(Tabla5810[[#This Row],[Cod trabalhador]],'Altas Rosas'!B:F,1,0)&lt;&gt;"","KR",""),"")</f>
        <v/>
      </c>
      <c r="F16" s="44" t="str">
        <f>IFERROR(IF(VLOOKUP(Tabla5810[[#This Row],[Cod trabalhador]],'Altas Wiseowe'!B:E,1,0)&lt;&gt;"","WS",""),"")</f>
        <v/>
      </c>
      <c r="G16" s="44" t="str">
        <f>IFERROR(IF(VLOOKUP(Tabla5810[[#This Row],[Cod trabalhador]],'Altas Luminous'!B:E,1,0)&lt;&gt;"","LM",""),"")</f>
        <v>LM</v>
      </c>
      <c r="H16" s="51">
        <f>IFERROR(VLOOKUP(Tabla5810[[#This Row],[Cod trabalhador]],'Altas Luminous'!B:E,3,FALSE),"")</f>
        <v>45942</v>
      </c>
      <c r="I16" s="51" t="str">
        <f>IF(OR(Tabla5810[[#This Row],[Cod trabalhador]]="",ISBLANK(Tabla5810[[#This Row],[Cod trabalhador]])),"",IFERROR(IF(VLOOKUP(Tabla5810[[#This Row],[Cod trabalhador]],'Altas Luminous'!B:E,4,FALSE)=0,"",VLOOKUP(Tabla5810[[#This Row],[Cod trabalhador]],'Altas Luminous'!B:E,4,FALSE)),""))</f>
        <v/>
      </c>
      <c r="J16" s="44">
        <f t="shared" si="0"/>
        <v>31</v>
      </c>
      <c r="K16" s="44" t="s">
        <v>661</v>
      </c>
      <c r="L16" s="24" t="str">
        <f>IFERROR(IF(Tabla5810[[#This Row],[Cod trabalhador]]="",Tabla5810[[#This Row],[Cod trabalhador]], INDEX(Colaborador_ID[Nombre], MATCH(Tabla5810[[#This Row],[Cod trabalhador]],Colaborador_ID[Cod_colab], 0))), "")</f>
        <v>BREINER MOLINA PELAEZ</v>
      </c>
      <c r="N16" s="25" t="s">
        <v>7052</v>
      </c>
      <c r="O16" s="401">
        <f>IFERROR(VLOOKUP(Tabla5810[[#This Row],[Cod trabalhador]],Tabla15[],4,FALSE),"")</f>
        <v>15</v>
      </c>
      <c r="P16" s="232">
        <f>IFERROR(VLOOKUP(Tabla5810[[#This Row],[Cod trabalhador]],'TotalHorasAjustadas (2)'!D:L,8,FALSE),"")</f>
        <v>210</v>
      </c>
      <c r="Q16" s="27">
        <v>210</v>
      </c>
      <c r="R16" s="28" t="s">
        <v>7532</v>
      </c>
      <c r="S16" s="28" t="s">
        <v>7486</v>
      </c>
      <c r="U16" s="25"/>
      <c r="V16" s="26"/>
      <c r="W16" s="27"/>
      <c r="X16" s="102"/>
      <c r="Y16" s="28"/>
      <c r="Z16" s="149"/>
      <c r="AA16" s="392" t="str">
        <f>IFERROR(VLOOKUP(Tabla5810[[#This Row],[Cod trabalhador]],Alojamentos!B:P,11,FALSE),"")</f>
        <v/>
      </c>
      <c r="AB16" s="127"/>
      <c r="AC16" s="150"/>
      <c r="AD16" s="35">
        <f>Tabla5810[[#This Row],[Dias de alta]]*7.058</f>
        <v>218.798</v>
      </c>
      <c r="AE16" s="46" t="str">
        <f>IFERROR(VLOOKUP(Tabla5810[[#This Row],[Cod trabalhador]],Adiantamentos!B:L,7,FALSE),"")</f>
        <v/>
      </c>
      <c r="AF16" s="46">
        <f>IFERROR(VLOOKUP(Tabla5810[[#This Row],[Cod trabalhador]],Carro!B:D,3,FALSE),"")</f>
        <v>102.66</v>
      </c>
      <c r="AG16" s="46">
        <f>IFERROR(VLOOKUP(Tabla5810[[#This Row],[Cod trabalhador]],'Outros descontos'!B:O,7,FALSE),"")</f>
        <v>0</v>
      </c>
      <c r="AH16" s="46">
        <f>IFERROR(VLOOKUP(Tabla5810[[#This Row],[Cod trabalhador]],'Outros descontos'!B:M,8,FALSE),"")</f>
        <v>0</v>
      </c>
      <c r="AI16" s="46">
        <f>IFERROR(VLOOKUP(Tabla5810[[#This Row],[Cod trabalhador]],'Outros descontos'!B:M,9,FALSE),"")</f>
        <v>0</v>
      </c>
      <c r="AJ16" s="46">
        <f>IFERROR(VLOOKUP(Tabla5810[[#This Row],[Cod trabalhador]],'Outros descontos'!B:M,10,FALSE),"")</f>
        <v>53.16</v>
      </c>
      <c r="AK16" s="46">
        <f>IFERROR(VLOOKUP(Tabla5810[[#This Row],[Cod trabalhador]],'Outros descontos'!B:M,11,FALSE),"")</f>
        <v>0</v>
      </c>
      <c r="AL16" s="46">
        <f>IFERROR(VLOOKUP(Tabla5810[[#This Row],[Cod trabalhador]],'Outros descontos'!B:M,12,FALSE),"")</f>
        <v>0</v>
      </c>
      <c r="AM16" s="46" t="str">
        <f>IFERROR(VLOOKUP(Tabla5810[[#This Row],[Cod trabalhador]],'Outros descontos'!B:M,13,FALSE),"")</f>
        <v/>
      </c>
      <c r="AN16" s="393"/>
      <c r="AO16" s="37">
        <v>4.08</v>
      </c>
      <c r="AP16" s="15"/>
      <c r="AQ16"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2771.3020000000006</v>
      </c>
      <c r="AR16"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2771.3020000000006</v>
      </c>
      <c r="AS16" s="15"/>
      <c r="AT16" s="27" t="str">
        <f>IF(Tabla5810[[#This Row],[Cod trabalhador]]="", "", INDEX(Iban!C:C, MATCH(Tabla5810[[#This Row],[Cod trabalhador]],Iban!A:A, 0)))</f>
        <v>ES66 0182 1649 2102 0167 1636</v>
      </c>
      <c r="AU16" s="27"/>
      <c r="AV16" s="27"/>
      <c r="AW16" s="66" t="s">
        <v>7533</v>
      </c>
      <c r="AX16" s="296" t="s">
        <v>7472</v>
      </c>
    </row>
    <row r="17" spans="1:50" ht="18.75" customHeight="1" x14ac:dyDescent="0.3">
      <c r="A17" s="42">
        <v>12</v>
      </c>
      <c r="B17" s="39" t="s">
        <v>692</v>
      </c>
      <c r="C17" s="45" t="str">
        <f>IF(ISNUMBER(MATCH(Tabla5810[[#This Row],[Cod trabalhador]],'Altas Luminous'!B:B, 0)), "Ativo", "Não ativo")</f>
        <v>Não ativo</v>
      </c>
      <c r="D17" s="44" t="str">
        <f>IFERROR(IF(VLOOKUP(Tabla5810[[#This Row],[Cod trabalhador]],'Altas Industrial'!B:E,1,0)&lt;&gt;"","KI",""),"")</f>
        <v/>
      </c>
      <c r="E17" s="44" t="str">
        <f>IFERROR(IF(VLOOKUP(Tabla5810[[#This Row],[Cod trabalhador]],'Altas Rosas'!B:F,1,0)&lt;&gt;"","KR",""),"")</f>
        <v/>
      </c>
      <c r="F17" s="44" t="str">
        <f>IFERROR(IF(VLOOKUP(Tabla5810[[#This Row],[Cod trabalhador]],'Altas Wiseowe'!B:E,1,0)&lt;&gt;"","WS",""),"")</f>
        <v/>
      </c>
      <c r="G17" s="44" t="str">
        <f>IFERROR(IF(VLOOKUP(Tabla5810[[#This Row],[Cod trabalhador]],'Altas Luminous'!B:E,1,0)&lt;&gt;"","LM",""),"")</f>
        <v/>
      </c>
      <c r="H17" s="51" t="str">
        <f>IFERROR(VLOOKUP(Tabla5810[[#This Row],[Cod trabalhador]],'Altas Luminous'!B:E,3,FALSE),"")</f>
        <v/>
      </c>
      <c r="I17" s="51" t="str">
        <f>IF(OR(Tabla5810[[#This Row],[Cod trabalhador]]="",ISBLANK(Tabla5810[[#This Row],[Cod trabalhador]])),"",IFERROR(IF(VLOOKUP(Tabla5810[[#This Row],[Cod trabalhador]],'Altas Luminous'!B:E,4,FALSE)=0,"",VLOOKUP(Tabla5810[[#This Row],[Cod trabalhador]],'Altas Luminous'!B:E,4,FALSE)),""))</f>
        <v/>
      </c>
      <c r="J17" s="44">
        <f t="shared" si="0"/>
        <v>0</v>
      </c>
      <c r="K17" s="44" t="s">
        <v>693</v>
      </c>
      <c r="L17" s="24" t="str">
        <f>IFERROR(IF(Tabla5810[[#This Row],[Cod trabalhador]]="",Tabla5810[[#This Row],[Cod trabalhador]], INDEX(Colaborador_ID[Nombre], MATCH(Tabla5810[[#This Row],[Cod trabalhador]],Colaborador_ID[Cod_colab], 0))), "")</f>
        <v>CAMILO ANDRES RUBIO LEON</v>
      </c>
      <c r="N17" s="25" t="s">
        <v>7128</v>
      </c>
      <c r="O17" s="401">
        <v>14</v>
      </c>
      <c r="P17" s="232">
        <f>IFERROR(VLOOKUP(Tabla5810[[#This Row],[Cod trabalhador]],'TotalHorasAjustadas (2)'!D:L,8,FALSE),"")</f>
        <v>108</v>
      </c>
      <c r="Q17" s="27">
        <v>108</v>
      </c>
      <c r="R17" s="28" t="s">
        <v>7532</v>
      </c>
      <c r="S17" s="28" t="s">
        <v>7486</v>
      </c>
      <c r="U17" s="25"/>
      <c r="V17" s="26"/>
      <c r="W17" s="27"/>
      <c r="X17" s="102"/>
      <c r="Y17" s="28"/>
      <c r="Z17" s="149"/>
      <c r="AA17" s="392" t="str">
        <f>IFERROR(VLOOKUP(Tabla5810[[#This Row],[Cod trabalhador]],Alojamentos!B:P,11,FALSE),"")</f>
        <v/>
      </c>
      <c r="AB17" s="127"/>
      <c r="AC17" s="150"/>
      <c r="AD17" s="35">
        <f>Tabla5810[[#This Row],[Dias de alta]]*7.058</f>
        <v>0</v>
      </c>
      <c r="AE17" s="46" t="str">
        <f>IFERROR(VLOOKUP(Tabla5810[[#This Row],[Cod trabalhador]],Adiantamentos!B:L,7,FALSE),"")</f>
        <v/>
      </c>
      <c r="AF17" s="46" t="str">
        <f>IFERROR(VLOOKUP(Tabla5810[[#This Row],[Cod trabalhador]],Carro!B:D,3,FALSE),"")</f>
        <v/>
      </c>
      <c r="AG17" s="46">
        <f>IFERROR(VLOOKUP(Tabla5810[[#This Row],[Cod trabalhador]],'Outros descontos'!B:O,7,FALSE),"")</f>
        <v>0</v>
      </c>
      <c r="AH17" s="46">
        <f>IFERROR(VLOOKUP(Tabla5810[[#This Row],[Cod trabalhador]],'Outros descontos'!B:M,8,FALSE),"")</f>
        <v>0</v>
      </c>
      <c r="AI17" s="46">
        <f>IFERROR(VLOOKUP(Tabla5810[[#This Row],[Cod trabalhador]],'Outros descontos'!B:M,9,FALSE),"")</f>
        <v>0</v>
      </c>
      <c r="AJ17" s="46">
        <f>IFERROR(VLOOKUP(Tabla5810[[#This Row],[Cod trabalhador]],'Outros descontos'!B:M,10,FALSE),"")</f>
        <v>0</v>
      </c>
      <c r="AK17" s="46">
        <f>IFERROR(VLOOKUP(Tabla5810[[#This Row],[Cod trabalhador]],'Outros descontos'!B:M,11,FALSE),"")</f>
        <v>0</v>
      </c>
      <c r="AL17" s="46">
        <f>IFERROR(VLOOKUP(Tabla5810[[#This Row],[Cod trabalhador]],'Outros descontos'!B:M,12,FALSE),"")</f>
        <v>21.74</v>
      </c>
      <c r="AM17" s="46" t="str">
        <f>IFERROR(VLOOKUP(Tabla5810[[#This Row],[Cod trabalhador]],'Outros descontos'!B:M,13,FALSE),"")</f>
        <v/>
      </c>
      <c r="AN17" s="393"/>
      <c r="AO17" s="37">
        <v>4.08</v>
      </c>
      <c r="AP17" s="15"/>
      <c r="AQ17"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1486.18</v>
      </c>
      <c r="AR17"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1486.18</v>
      </c>
      <c r="AS17" s="15"/>
      <c r="AT17" s="27" t="str">
        <f>IF(Tabla5810[[#This Row],[Cod trabalhador]]="", "", INDEX(Iban!C:C, MATCH(Tabla5810[[#This Row],[Cod trabalhador]],Iban!A:A, 0)))</f>
        <v>ES05 6893 0001 7900 0033 5429</v>
      </c>
      <c r="AU17" s="27"/>
      <c r="AV17" s="27"/>
      <c r="AW17" s="66" t="s">
        <v>7533</v>
      </c>
      <c r="AX17" s="296" t="s">
        <v>7472</v>
      </c>
    </row>
    <row r="18" spans="1:50" ht="18.75" customHeight="1" x14ac:dyDescent="0.3">
      <c r="A18" s="42">
        <v>13</v>
      </c>
      <c r="B18" s="39" t="s">
        <v>826</v>
      </c>
      <c r="C18" s="45" t="str">
        <f>IF(ISNUMBER(MATCH(Tabla5810[[#This Row],[Cod trabalhador]],'Altas Luminous'!B:B, 0)), "Ativo", "Não ativo")</f>
        <v>Ativo</v>
      </c>
      <c r="D18" s="44" t="str">
        <f>IFERROR(IF(VLOOKUP(Tabla5810[[#This Row],[Cod trabalhador]],'Altas Industrial'!B:E,1,0)&lt;&gt;"","KI",""),"")</f>
        <v/>
      </c>
      <c r="E18" s="44" t="str">
        <f>IFERROR(IF(VLOOKUP(Tabla5810[[#This Row],[Cod trabalhador]],'Altas Rosas'!B:F,1,0)&lt;&gt;"","KR",""),"")</f>
        <v/>
      </c>
      <c r="F18" s="44" t="str">
        <f>IFERROR(IF(VLOOKUP(Tabla5810[[#This Row],[Cod trabalhador]],'Altas Wiseowe'!B:E,1,0)&lt;&gt;"","WS",""),"")</f>
        <v/>
      </c>
      <c r="G18" s="44" t="str">
        <f>IFERROR(IF(VLOOKUP(Tabla5810[[#This Row],[Cod trabalhador]],'Altas Luminous'!B:E,1,0)&lt;&gt;"","LM",""),"")</f>
        <v>LM</v>
      </c>
      <c r="H18" s="51">
        <f>IFERROR(VLOOKUP(Tabla5810[[#This Row],[Cod trabalhador]],'Altas Luminous'!B:E,3,FALSE),"")</f>
        <v>46048</v>
      </c>
      <c r="I18" s="51" t="str">
        <f>IF(OR(Tabla5810[[#This Row],[Cod trabalhador]]="",ISBLANK(Tabla5810[[#This Row],[Cod trabalhador]])),"",IFERROR(IF(VLOOKUP(Tabla5810[[#This Row],[Cod trabalhador]],'Altas Luminous'!B:E,4,FALSE)=0,"",VLOOKUP(Tabla5810[[#This Row],[Cod trabalhador]],'Altas Luminous'!B:E,4,FALSE)),""))</f>
        <v/>
      </c>
      <c r="J18" s="44">
        <f t="shared" si="0"/>
        <v>6</v>
      </c>
      <c r="K18" s="44" t="s">
        <v>7159</v>
      </c>
      <c r="L18" s="24" t="str">
        <f>IFERROR(IF(Tabla5810[[#This Row],[Cod trabalhador]]="",Tabla5810[[#This Row],[Cod trabalhador]], INDEX(Colaborador_ID[Nombre], MATCH(Tabla5810[[#This Row],[Cod trabalhador]],Colaborador_ID[Cod_colab], 0))), "")</f>
        <v>CARLOS DANIEL RODRIGUEZ PENA</v>
      </c>
      <c r="M18" s="340"/>
      <c r="N18" s="25" t="s">
        <v>7157</v>
      </c>
      <c r="O18" s="401">
        <v>15</v>
      </c>
      <c r="P18" s="232">
        <f>IFERROR(VLOOKUP(Tabla5810[[#This Row],[Cod trabalhador]],'TotalHorasAjustadas (2)'!D:L,8,FALSE),"")</f>
        <v>62</v>
      </c>
      <c r="Q18" s="27">
        <v>62</v>
      </c>
      <c r="R18" s="28" t="s">
        <v>7532</v>
      </c>
      <c r="S18" s="28" t="s">
        <v>7486</v>
      </c>
      <c r="U18" s="96"/>
      <c r="V18" s="231"/>
      <c r="W18" s="27"/>
      <c r="X18" s="28"/>
      <c r="Y18" s="28"/>
      <c r="Z18" s="149"/>
      <c r="AA18" s="392" t="str">
        <f>IFERROR(VLOOKUP(Tabla5810[[#This Row],[Cod trabalhador]],Alojamentos!B:P,11,FALSE),"")</f>
        <v/>
      </c>
      <c r="AB18" s="127"/>
      <c r="AC18" s="150"/>
      <c r="AD18" s="35">
        <f>Tabla5810[[#This Row],[Dias de alta]]*7.058</f>
        <v>42.347999999999999</v>
      </c>
      <c r="AE18" s="46" t="str">
        <f>IFERROR(VLOOKUP(Tabla5810[[#This Row],[Cod trabalhador]],Adiantamentos!B:L,7,FALSE),"")</f>
        <v/>
      </c>
      <c r="AF18" s="46">
        <f>IFERROR(VLOOKUP(Tabla5810[[#This Row],[Cod trabalhador]],Carro!B:D,3,FALSE),"")</f>
        <v>45</v>
      </c>
      <c r="AG18" s="46" t="str">
        <f>IFERROR(VLOOKUP(Tabla5810[[#This Row],[Cod trabalhador]],'Outros descontos'!B:O,7,FALSE),"")</f>
        <v/>
      </c>
      <c r="AH18" s="46" t="str">
        <f>IFERROR(VLOOKUP(Tabla5810[[#This Row],[Cod trabalhador]],'Outros descontos'!B:M,8,FALSE),"")</f>
        <v/>
      </c>
      <c r="AI18" s="46" t="str">
        <f>IFERROR(VLOOKUP(Tabla5810[[#This Row],[Cod trabalhador]],'Outros descontos'!B:M,9,FALSE),"")</f>
        <v/>
      </c>
      <c r="AJ18" s="46" t="str">
        <f>IFERROR(VLOOKUP(Tabla5810[[#This Row],[Cod trabalhador]],'Outros descontos'!B:M,10,FALSE),"")</f>
        <v/>
      </c>
      <c r="AK18" s="46" t="str">
        <f>IFERROR(VLOOKUP(Tabla5810[[#This Row],[Cod trabalhador]],'Outros descontos'!B:M,11,FALSE),"")</f>
        <v/>
      </c>
      <c r="AL18" s="46" t="str">
        <f>IFERROR(VLOOKUP(Tabla5810[[#This Row],[Cod trabalhador]],'Outros descontos'!B:M,12,FALSE),"")</f>
        <v/>
      </c>
      <c r="AM18" s="46" t="str">
        <f>IFERROR(VLOOKUP(Tabla5810[[#This Row],[Cod trabalhador]],'Outros descontos'!B:M,13,FALSE),"")</f>
        <v/>
      </c>
      <c r="AN18" s="393"/>
      <c r="AO18" s="37">
        <v>4.08</v>
      </c>
      <c r="AP18" s="15"/>
      <c r="AQ18"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838.572</v>
      </c>
      <c r="AR18"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838.572</v>
      </c>
      <c r="AS18" s="15"/>
      <c r="AT18" s="27" t="str">
        <f>IF(Tabla5810[[#This Row],[Cod trabalhador]]="", "", INDEX(Iban!C:C, MATCH(Tabla5810[[#This Row],[Cod trabalhador]],Iban!A:A, 0)))</f>
        <v>BE68 9057 2251 6934</v>
      </c>
      <c r="AU18" s="27"/>
      <c r="AV18" s="27"/>
      <c r="AW18" s="66" t="s">
        <v>7533</v>
      </c>
      <c r="AX18" s="296" t="s">
        <v>7472</v>
      </c>
    </row>
    <row r="19" spans="1:50" ht="18.75" customHeight="1" x14ac:dyDescent="0.3">
      <c r="A19" s="42">
        <v>14</v>
      </c>
      <c r="B19" s="39" t="s">
        <v>836</v>
      </c>
      <c r="C19" s="45" t="str">
        <f>IF(ISNUMBER(MATCH(Tabla5810[[#This Row],[Cod trabalhador]],'Altas Luminous'!B:B, 0)), "Ativo", "Não ativo")</f>
        <v>Ativo</v>
      </c>
      <c r="D19" s="44" t="str">
        <f>IFERROR(IF(VLOOKUP(Tabla5810[[#This Row],[Cod trabalhador]],'Altas Industrial'!B:E,1,0)&lt;&gt;"","KI",""),"")</f>
        <v/>
      </c>
      <c r="E19" s="44" t="str">
        <f>IFERROR(IF(VLOOKUP(Tabla5810[[#This Row],[Cod trabalhador]],'Altas Rosas'!B:F,1,0)&lt;&gt;"","KR",""),"")</f>
        <v/>
      </c>
      <c r="F19" s="44" t="str">
        <f>IFERROR(IF(VLOOKUP(Tabla5810[[#This Row],[Cod trabalhador]],'Altas Wiseowe'!B:E,1,0)&lt;&gt;"","WS",""),"")</f>
        <v/>
      </c>
      <c r="G19" s="44" t="str">
        <f>IFERROR(IF(VLOOKUP(Tabla5810[[#This Row],[Cod trabalhador]],'Altas Luminous'!B:E,1,0)&lt;&gt;"","LM",""),"")</f>
        <v>LM</v>
      </c>
      <c r="H19" s="51">
        <f>IFERROR(VLOOKUP(Tabla5810[[#This Row],[Cod trabalhador]],'Altas Luminous'!B:E,3,FALSE),"")</f>
        <v>45943</v>
      </c>
      <c r="I19" s="51" t="str">
        <f>IF(OR(Tabla5810[[#This Row],[Cod trabalhador]]="",ISBLANK(Tabla5810[[#This Row],[Cod trabalhador]])),"",IFERROR(IF(VLOOKUP(Tabla5810[[#This Row],[Cod trabalhador]],'Altas Luminous'!B:E,4,FALSE)=0,"",VLOOKUP(Tabla5810[[#This Row],[Cod trabalhador]],'Altas Luminous'!B:E,4,FALSE)),""))</f>
        <v/>
      </c>
      <c r="J19" s="44">
        <f t="shared" si="0"/>
        <v>31</v>
      </c>
      <c r="K19" s="44" t="s">
        <v>7155</v>
      </c>
      <c r="L19" s="24" t="str">
        <f>IFERROR(IF(Tabla5810[[#This Row],[Cod trabalhador]]="",Tabla5810[[#This Row],[Cod trabalhador]], INDEX(Colaborador_ID[Nombre], MATCH(Tabla5810[[#This Row],[Cod trabalhador]],Colaborador_ID[Cod_colab], 0))), "")</f>
        <v>CARLOS EDUARDO CARDENAS ESPINOSA</v>
      </c>
      <c r="N19" s="25" t="s">
        <v>7052</v>
      </c>
      <c r="O19" s="401">
        <f>IFERROR(VLOOKUP(Tabla5810[[#This Row],[Cod trabalhador]],Tabla15[],4,FALSE),"")</f>
        <v>15</v>
      </c>
      <c r="P19" s="232">
        <f>IFERROR(VLOOKUP(Tabla5810[[#This Row],[Cod trabalhador]],'TotalHorasAjustadas (2)'!D:L,8,FALSE),"")</f>
        <v>204.5</v>
      </c>
      <c r="Q19" s="27">
        <v>204.5</v>
      </c>
      <c r="R19" s="28" t="s">
        <v>7532</v>
      </c>
      <c r="S19" s="28" t="s">
        <v>7486</v>
      </c>
      <c r="U19" s="25"/>
      <c r="V19" s="26"/>
      <c r="W19" s="27"/>
      <c r="X19" s="102"/>
      <c r="Y19" s="28"/>
      <c r="Z19" s="149"/>
      <c r="AA19" s="392">
        <f>IFERROR(VLOOKUP(Tabla5810[[#This Row],[Cod trabalhador]],Alojamentos!B:P,11,FALSE),"")</f>
        <v>300</v>
      </c>
      <c r="AB19" s="127"/>
      <c r="AC19" s="150"/>
      <c r="AD19" s="35">
        <f>Tabla5810[[#This Row],[Dias de alta]]*7.058</f>
        <v>218.798</v>
      </c>
      <c r="AE19" s="46" t="str">
        <f>IFERROR(VLOOKUP(Tabla5810[[#This Row],[Cod trabalhador]],Adiantamentos!B:L,7,FALSE),"")</f>
        <v/>
      </c>
      <c r="AF19" s="46" t="str">
        <f>IFERROR(VLOOKUP(Tabla5810[[#This Row],[Cod trabalhador]],Carro!B:D,3,FALSE),"")</f>
        <v/>
      </c>
      <c r="AG19" s="46" t="str">
        <f>IFERROR(VLOOKUP(Tabla5810[[#This Row],[Cod trabalhador]],'Outros descontos'!B:O,7,FALSE),"")</f>
        <v/>
      </c>
      <c r="AH19" s="46" t="str">
        <f>IFERROR(VLOOKUP(Tabla5810[[#This Row],[Cod trabalhador]],'Outros descontos'!B:M,8,FALSE),"")</f>
        <v/>
      </c>
      <c r="AI19" s="46" t="str">
        <f>IFERROR(VLOOKUP(Tabla5810[[#This Row],[Cod trabalhador]],'Outros descontos'!B:M,9,FALSE),"")</f>
        <v/>
      </c>
      <c r="AJ19" s="46" t="str">
        <f>IFERROR(VLOOKUP(Tabla5810[[#This Row],[Cod trabalhador]],'Outros descontos'!B:M,10,FALSE),"")</f>
        <v/>
      </c>
      <c r="AK19" s="46" t="str">
        <f>IFERROR(VLOOKUP(Tabla5810[[#This Row],[Cod trabalhador]],'Outros descontos'!B:M,11,FALSE),"")</f>
        <v/>
      </c>
      <c r="AL19" s="46" t="str">
        <f>IFERROR(VLOOKUP(Tabla5810[[#This Row],[Cod trabalhador]],'Outros descontos'!B:M,12,FALSE),"")</f>
        <v/>
      </c>
      <c r="AM19" s="46" t="str">
        <f>IFERROR(VLOOKUP(Tabla5810[[#This Row],[Cod trabalhador]],'Outros descontos'!B:M,13,FALSE),"")</f>
        <v/>
      </c>
      <c r="AN19" s="393"/>
      <c r="AO19" s="37">
        <v>4.08</v>
      </c>
      <c r="AP19" s="15"/>
      <c r="AQ19"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3144.6220000000003</v>
      </c>
      <c r="AR19"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3144.6220000000003</v>
      </c>
      <c r="AS19" s="15"/>
      <c r="AT19" s="27" t="str">
        <f>IF(Tabla5810[[#This Row],[Cod trabalhador]]="", "", INDEX(Iban!C:C, MATCH(Tabla5810[[#This Row],[Cod trabalhador]],Iban!A:A, 0)))</f>
        <v>BE41 9679 5785 0310</v>
      </c>
      <c r="AU19" s="27"/>
      <c r="AV19" s="27"/>
      <c r="AW19" s="66" t="s">
        <v>7533</v>
      </c>
      <c r="AX19" s="296" t="s">
        <v>7472</v>
      </c>
    </row>
    <row r="20" spans="1:50" ht="18.75" customHeight="1" x14ac:dyDescent="0.3">
      <c r="A20" s="42">
        <v>15</v>
      </c>
      <c r="B20" s="39" t="s">
        <v>886</v>
      </c>
      <c r="C20" s="45" t="str">
        <f>IF(ISNUMBER(MATCH(Tabla5810[[#This Row],[Cod trabalhador]],'Altas Luminous'!B:B, 0)), "Ativo", "Não ativo")</f>
        <v>Não ativo</v>
      </c>
      <c r="D20" s="44" t="str">
        <f>IFERROR(IF(VLOOKUP(Tabla5810[[#This Row],[Cod trabalhador]],'Altas Industrial'!B:E,1,0)&lt;&gt;"","KI",""),"")</f>
        <v/>
      </c>
      <c r="E20" s="44" t="str">
        <f>IFERROR(IF(VLOOKUP(Tabla5810[[#This Row],[Cod trabalhador]],'Altas Rosas'!B:F,1,0)&lt;&gt;"","KR",""),"")</f>
        <v/>
      </c>
      <c r="F20" s="44" t="str">
        <f>IFERROR(IF(VLOOKUP(Tabla5810[[#This Row],[Cod trabalhador]],'Altas Wiseowe'!B:E,1,0)&lt;&gt;"","WS",""),"")</f>
        <v/>
      </c>
      <c r="G20" s="44" t="str">
        <f>IFERROR(IF(VLOOKUP(Tabla5810[[#This Row],[Cod trabalhador]],'Altas Luminous'!B:E,1,0)&lt;&gt;"","LM",""),"")</f>
        <v/>
      </c>
      <c r="H20" s="51" t="str">
        <f>IFERROR(VLOOKUP(Tabla5810[[#This Row],[Cod trabalhador]],'Altas Luminous'!B:E,3,FALSE),"")</f>
        <v/>
      </c>
      <c r="I20" s="51" t="str">
        <f>IF(OR(Tabla5810[[#This Row],[Cod trabalhador]]="",ISBLANK(Tabla5810[[#This Row],[Cod trabalhador]])),"",IFERROR(IF(VLOOKUP(Tabla5810[[#This Row],[Cod trabalhador]],'Altas Luminous'!B:E,4,FALSE)=0,"",VLOOKUP(Tabla5810[[#This Row],[Cod trabalhador]],'Altas Luminous'!B:E,4,FALSE)),""))</f>
        <v/>
      </c>
      <c r="J20" s="44">
        <f t="shared" si="0"/>
        <v>0</v>
      </c>
      <c r="K20" s="44" t="s">
        <v>887</v>
      </c>
      <c r="L20" s="24" t="str">
        <f>IFERROR(IF(Tabla5810[[#This Row],[Cod trabalhador]]="",Tabla5810[[#This Row],[Cod trabalhador]], INDEX(Colaborador_ID[Nombre], MATCH(Tabla5810[[#This Row],[Cod trabalhador]],Colaborador_ID[Cod_colab], 0))), "")</f>
        <v>CARLOS JULIO CANON</v>
      </c>
      <c r="N20" s="25" t="s">
        <v>7173</v>
      </c>
      <c r="O20" s="401">
        <v>15</v>
      </c>
      <c r="P20" s="232">
        <f>IFERROR(VLOOKUP(Tabla5810[[#This Row],[Cod trabalhador]],'TotalHorasAjustadas (2)'!D:L,8,FALSE),"")</f>
        <v>41.5</v>
      </c>
      <c r="Q20" s="27">
        <v>41.5</v>
      </c>
      <c r="R20" s="28" t="s">
        <v>7471</v>
      </c>
      <c r="S20" s="28" t="s">
        <v>7486</v>
      </c>
      <c r="U20" s="25"/>
      <c r="V20" s="26"/>
      <c r="W20" s="27"/>
      <c r="X20" s="102"/>
      <c r="Y20" s="28"/>
      <c r="Z20" s="149"/>
      <c r="AA20" s="392" t="str">
        <f>IFERROR(VLOOKUP(Tabla5810[[#This Row],[Cod trabalhador]],Alojamentos!B:P,11,FALSE),"")</f>
        <v/>
      </c>
      <c r="AB20" s="127"/>
      <c r="AC20" s="150"/>
      <c r="AD20" s="35">
        <f>Tabla5810[[#This Row],[Dias de alta]]*7.058</f>
        <v>0</v>
      </c>
      <c r="AE20" s="46" t="str">
        <f>IFERROR(VLOOKUP(Tabla5810[[#This Row],[Cod trabalhador]],Adiantamentos!B:L,7,FALSE),"")</f>
        <v/>
      </c>
      <c r="AF20" s="46" t="str">
        <f>IFERROR(VLOOKUP(Tabla5810[[#This Row],[Cod trabalhador]],Carro!B:D,3,FALSE),"")</f>
        <v/>
      </c>
      <c r="AG20" s="46" t="str">
        <f>IFERROR(VLOOKUP(Tabla5810[[#This Row],[Cod trabalhador]],'Outros descontos'!B:O,7,FALSE),"")</f>
        <v/>
      </c>
      <c r="AH20" s="46" t="str">
        <f>IFERROR(VLOOKUP(Tabla5810[[#This Row],[Cod trabalhador]],'Outros descontos'!B:M,8,FALSE),"")</f>
        <v/>
      </c>
      <c r="AI20" s="46" t="str">
        <f>IFERROR(VLOOKUP(Tabla5810[[#This Row],[Cod trabalhador]],'Outros descontos'!B:M,9,FALSE),"")</f>
        <v/>
      </c>
      <c r="AJ20" s="46" t="str">
        <f>IFERROR(VLOOKUP(Tabla5810[[#This Row],[Cod trabalhador]],'Outros descontos'!B:M,10,FALSE),"")</f>
        <v/>
      </c>
      <c r="AK20" s="46" t="str">
        <f>IFERROR(VLOOKUP(Tabla5810[[#This Row],[Cod trabalhador]],'Outros descontos'!B:M,11,FALSE),"")</f>
        <v/>
      </c>
      <c r="AL20" s="46" t="str">
        <f>IFERROR(VLOOKUP(Tabla5810[[#This Row],[Cod trabalhador]],'Outros descontos'!B:M,12,FALSE),"")</f>
        <v/>
      </c>
      <c r="AM20" s="46" t="str">
        <f>IFERROR(VLOOKUP(Tabla5810[[#This Row],[Cod trabalhador]],'Outros descontos'!B:M,13,FALSE),"")</f>
        <v/>
      </c>
      <c r="AN20" s="393"/>
      <c r="AO20" s="37">
        <v>4.08</v>
      </c>
      <c r="AP20" s="15"/>
      <c r="AQ20"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618.41999999999996</v>
      </c>
      <c r="AR20"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618.41999999999996</v>
      </c>
      <c r="AS20" s="15"/>
      <c r="AT20" s="27" t="str">
        <f>IF(Tabla5810[[#This Row],[Cod trabalhador]]="", "", INDEX(Iban!C:C, MATCH(Tabla5810[[#This Row],[Cod trabalhador]],Iban!A:A, 0)))</f>
        <v>ES71 2100 0868 5902 0107 2129</v>
      </c>
      <c r="AU20" s="27"/>
      <c r="AV20" s="27"/>
      <c r="AW20" s="66" t="s">
        <v>7533</v>
      </c>
      <c r="AX20" s="296" t="s">
        <v>7472</v>
      </c>
    </row>
    <row r="21" spans="1:50" ht="18.75" customHeight="1" x14ac:dyDescent="0.3">
      <c r="A21" s="42">
        <v>16</v>
      </c>
      <c r="B21" s="39" t="s">
        <v>909</v>
      </c>
      <c r="C21" s="45" t="str">
        <f>IF(ISNUMBER(MATCH(Tabla5810[[#This Row],[Cod trabalhador]],'Altas Luminous'!B:B, 0)), "Ativo", "Não ativo")</f>
        <v>Não ativo</v>
      </c>
      <c r="D21" s="44" t="str">
        <f>IFERROR(IF(VLOOKUP(Tabla5810[[#This Row],[Cod trabalhador]],'Altas Industrial'!B:E,1,0)&lt;&gt;"","KI",""),"")</f>
        <v/>
      </c>
      <c r="E21" s="44" t="str">
        <f>IFERROR(IF(VLOOKUP(Tabla5810[[#This Row],[Cod trabalhador]],'Altas Rosas'!B:F,1,0)&lt;&gt;"","KR",""),"")</f>
        <v/>
      </c>
      <c r="F21" s="44" t="str">
        <f>IFERROR(IF(VLOOKUP(Tabla5810[[#This Row],[Cod trabalhador]],'Altas Wiseowe'!B:E,1,0)&lt;&gt;"","WS",""),"")</f>
        <v/>
      </c>
      <c r="G21" s="44" t="str">
        <f>IFERROR(IF(VLOOKUP(Tabla5810[[#This Row],[Cod trabalhador]],'Altas Luminous'!B:E,1,0)&lt;&gt;"","LM",""),"")</f>
        <v/>
      </c>
      <c r="H21" s="51" t="str">
        <f>IFERROR(VLOOKUP(Tabla5810[[#This Row],[Cod trabalhador]],'Altas Luminous'!B:E,3,FALSE),"")</f>
        <v/>
      </c>
      <c r="I21" s="51" t="str">
        <f>IF(OR(Tabla5810[[#This Row],[Cod trabalhador]]="",ISBLANK(Tabla5810[[#This Row],[Cod trabalhador]])),"",IFERROR(IF(VLOOKUP(Tabla5810[[#This Row],[Cod trabalhador]],'Altas Luminous'!B:E,4,FALSE)=0,"",VLOOKUP(Tabla5810[[#This Row],[Cod trabalhador]],'Altas Luminous'!B:E,4,FALSE)),""))</f>
        <v/>
      </c>
      <c r="J21" s="44">
        <f t="shared" si="0"/>
        <v>0</v>
      </c>
      <c r="K21" s="44" t="s">
        <v>7145</v>
      </c>
      <c r="L21" s="24" t="str">
        <f>IFERROR(IF(Tabla5810[[#This Row],[Cod trabalhador]]="",Tabla5810[[#This Row],[Cod trabalhador]], INDEX(Colaborador_ID[Nombre], MATCH(Tabla5810[[#This Row],[Cod trabalhador]],Colaborador_ID[Cod_colab], 0))), "")</f>
        <v>CARLOS MARIO ROCHA ARIZ</v>
      </c>
      <c r="N21" s="25" t="s">
        <v>7143</v>
      </c>
      <c r="O21" s="401">
        <f>IFERROR(VLOOKUP(Tabla5810[[#This Row],[Cod trabalhador]],Tabla15[],4,FALSE),"")</f>
        <v>15</v>
      </c>
      <c r="P21" s="232">
        <f>IFERROR(VLOOKUP(Tabla5810[[#This Row],[Cod trabalhador]],'TotalHorasAjustadas (2)'!D:L,8,FALSE),"")</f>
        <v>229</v>
      </c>
      <c r="Q21" s="27">
        <v>229</v>
      </c>
      <c r="R21" s="28" t="s">
        <v>7532</v>
      </c>
      <c r="S21" s="28" t="s">
        <v>7486</v>
      </c>
      <c r="U21" s="25"/>
      <c r="V21" s="26"/>
      <c r="W21" s="27"/>
      <c r="X21" s="102"/>
      <c r="Y21" s="28"/>
      <c r="Z21" s="149"/>
      <c r="AA21" s="392" t="str">
        <f>IFERROR(VLOOKUP(Tabla5810[[#This Row],[Cod trabalhador]],Alojamentos!B:P,11,FALSE),"")</f>
        <v/>
      </c>
      <c r="AB21" s="127"/>
      <c r="AC21" s="150"/>
      <c r="AD21" s="35">
        <f>Tabla5810[[#This Row],[Dias de alta]]*7.058</f>
        <v>0</v>
      </c>
      <c r="AE21" s="46" t="str">
        <f>IFERROR(VLOOKUP(Tabla5810[[#This Row],[Cod trabalhador]],Adiantamentos!B:L,7,FALSE),"")</f>
        <v/>
      </c>
      <c r="AF21" s="46">
        <f>IFERROR(VLOOKUP(Tabla5810[[#This Row],[Cod trabalhador]],Carro!B:D,3,FALSE),"")</f>
        <v>128.88888888888889</v>
      </c>
      <c r="AG21" s="46" t="str">
        <f>IFERROR(VLOOKUP(Tabla5810[[#This Row],[Cod trabalhador]],'Outros descontos'!B:O,7,FALSE),"")</f>
        <v/>
      </c>
      <c r="AH21" s="46" t="str">
        <f>IFERROR(VLOOKUP(Tabla5810[[#This Row],[Cod trabalhador]],'Outros descontos'!B:M,8,FALSE),"")</f>
        <v/>
      </c>
      <c r="AI21" s="46" t="str">
        <f>IFERROR(VLOOKUP(Tabla5810[[#This Row],[Cod trabalhador]],'Outros descontos'!B:M,9,FALSE),"")</f>
        <v/>
      </c>
      <c r="AJ21" s="46" t="str">
        <f>IFERROR(VLOOKUP(Tabla5810[[#This Row],[Cod trabalhador]],'Outros descontos'!B:M,10,FALSE),"")</f>
        <v/>
      </c>
      <c r="AK21" s="46" t="str">
        <f>IFERROR(VLOOKUP(Tabla5810[[#This Row],[Cod trabalhador]],'Outros descontos'!B:M,11,FALSE),"")</f>
        <v/>
      </c>
      <c r="AL21" s="46" t="str">
        <f>IFERROR(VLOOKUP(Tabla5810[[#This Row],[Cod trabalhador]],'Outros descontos'!B:M,12,FALSE),"")</f>
        <v/>
      </c>
      <c r="AM21" s="46" t="str">
        <f>IFERROR(VLOOKUP(Tabla5810[[#This Row],[Cod trabalhador]],'Outros descontos'!B:M,13,FALSE),"")</f>
        <v/>
      </c>
      <c r="AN21" s="393"/>
      <c r="AO21" s="37">
        <v>4.08</v>
      </c>
      <c r="AP21" s="15"/>
      <c r="AQ21"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3302.0311111111114</v>
      </c>
      <c r="AR21"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3302.0311111111114</v>
      </c>
      <c r="AS21" s="15"/>
      <c r="AT21" s="27" t="str">
        <f>IF(Tabla5810[[#This Row],[Cod trabalhador]]="", "", INDEX(Iban!C:C, MATCH(Tabla5810[[#This Row],[Cod trabalhador]],Iban!A:A, 0)))</f>
        <v>ES24 0182 4003 1702 0167 7884</v>
      </c>
      <c r="AU21" s="27"/>
      <c r="AV21" s="27"/>
      <c r="AW21" s="66" t="s">
        <v>7533</v>
      </c>
      <c r="AX21" s="296" t="s">
        <v>7472</v>
      </c>
    </row>
    <row r="22" spans="1:50" ht="18.75" customHeight="1" x14ac:dyDescent="0.3">
      <c r="A22" s="42">
        <v>17</v>
      </c>
      <c r="B22" s="39" t="s">
        <v>1067</v>
      </c>
      <c r="C22" s="45" t="str">
        <f>IF(ISNUMBER(MATCH(Tabla5810[[#This Row],[Cod trabalhador]],'Altas Luminous'!B:B, 0)), "Ativo", "Não ativo")</f>
        <v>Ativo</v>
      </c>
      <c r="D22" s="44" t="str">
        <f>IFERROR(IF(VLOOKUP(Tabla5810[[#This Row],[Cod trabalhador]],'Altas Industrial'!B:E,1,0)&lt;&gt;"","KI",""),"")</f>
        <v/>
      </c>
      <c r="E22" s="44" t="str">
        <f>IFERROR(IF(VLOOKUP(Tabla5810[[#This Row],[Cod trabalhador]],'Altas Rosas'!B:F,1,0)&lt;&gt;"","KR",""),"")</f>
        <v/>
      </c>
      <c r="F22" s="44" t="str">
        <f>IFERROR(IF(VLOOKUP(Tabla5810[[#This Row],[Cod trabalhador]],'Altas Wiseowe'!B:E,1,0)&lt;&gt;"","WS",""),"")</f>
        <v/>
      </c>
      <c r="G22" s="44" t="str">
        <f>IFERROR(IF(VLOOKUP(Tabla5810[[#This Row],[Cod trabalhador]],'Altas Luminous'!B:E,1,0)&lt;&gt;"","LM",""),"")</f>
        <v>LM</v>
      </c>
      <c r="H22" s="51">
        <f>IFERROR(VLOOKUP(Tabla5810[[#This Row],[Cod trabalhador]],'Altas Luminous'!B:E,3,FALSE),"")</f>
        <v>46041</v>
      </c>
      <c r="I22" s="51" t="str">
        <f>IF(OR(Tabla5810[[#This Row],[Cod trabalhador]]="",ISBLANK(Tabla5810[[#This Row],[Cod trabalhador]])),"",IFERROR(IF(VLOOKUP(Tabla5810[[#This Row],[Cod trabalhador]],'Altas Luminous'!B:E,4,FALSE)=0,"",VLOOKUP(Tabla5810[[#This Row],[Cod trabalhador]],'Altas Luminous'!B:E,4,FALSE)),""))</f>
        <v/>
      </c>
      <c r="J22" s="44">
        <f t="shared" si="0"/>
        <v>13</v>
      </c>
      <c r="K22" s="44" t="s">
        <v>7148</v>
      </c>
      <c r="L22" s="24" t="str">
        <f>IFERROR(IF(Tabla5810[[#This Row],[Cod trabalhador]]="",Tabla5810[[#This Row],[Cod trabalhador]], INDEX(Colaborador_ID[Nombre], MATCH(Tabla5810[[#This Row],[Cod trabalhador]],Colaborador_ID[Cod_colab], 0))), "")</f>
        <v>CRISTIAN CAMILO BORRE SILVA</v>
      </c>
      <c r="M22" s="340"/>
      <c r="N22" s="25" t="s">
        <v>7146</v>
      </c>
      <c r="O22" s="401">
        <v>15</v>
      </c>
      <c r="P22" s="232">
        <f>IFERROR(VLOOKUP(Tabla5810[[#This Row],[Cod trabalhador]],'TotalHorasAjustadas (2)'!D:L,8,FALSE),"")</f>
        <v>103</v>
      </c>
      <c r="Q22" s="27">
        <v>103</v>
      </c>
      <c r="R22" s="28" t="s">
        <v>7532</v>
      </c>
      <c r="S22" s="28" t="s">
        <v>7486</v>
      </c>
      <c r="U22" s="96"/>
      <c r="V22" s="231"/>
      <c r="W22" s="27"/>
      <c r="X22" s="28"/>
      <c r="Y22" s="28"/>
      <c r="Z22" s="149"/>
      <c r="AA22" s="392" t="str">
        <f>IFERROR(VLOOKUP(Tabla5810[[#This Row],[Cod trabalhador]],Alojamentos!B:P,11,FALSE),"")</f>
        <v/>
      </c>
      <c r="AB22" s="127"/>
      <c r="AC22" s="150"/>
      <c r="AD22" s="35">
        <f>Tabla5810[[#This Row],[Dias de alta]]*7.058</f>
        <v>91.753999999999991</v>
      </c>
      <c r="AE22" s="46" t="str">
        <f>IFERROR(VLOOKUP(Tabla5810[[#This Row],[Cod trabalhador]],Adiantamentos!B:L,7,FALSE),"")</f>
        <v/>
      </c>
      <c r="AF22" s="46" t="str">
        <f>IFERROR(VLOOKUP(Tabla5810[[#This Row],[Cod trabalhador]],Carro!B:D,3,FALSE),"")</f>
        <v/>
      </c>
      <c r="AG22" s="46" t="str">
        <f>IFERROR(VLOOKUP(Tabla5810[[#This Row],[Cod trabalhador]],'Outros descontos'!B:O,7,FALSE),"")</f>
        <v/>
      </c>
      <c r="AH22" s="46" t="str">
        <f>IFERROR(VLOOKUP(Tabla5810[[#This Row],[Cod trabalhador]],'Outros descontos'!B:M,8,FALSE),"")</f>
        <v/>
      </c>
      <c r="AI22" s="46" t="str">
        <f>IFERROR(VLOOKUP(Tabla5810[[#This Row],[Cod trabalhador]],'Outros descontos'!B:M,9,FALSE),"")</f>
        <v/>
      </c>
      <c r="AJ22" s="46" t="str">
        <f>IFERROR(VLOOKUP(Tabla5810[[#This Row],[Cod trabalhador]],'Outros descontos'!B:M,10,FALSE),"")</f>
        <v/>
      </c>
      <c r="AK22" s="46" t="str">
        <f>IFERROR(VLOOKUP(Tabla5810[[#This Row],[Cod trabalhador]],'Outros descontos'!B:M,11,FALSE),"")</f>
        <v/>
      </c>
      <c r="AL22" s="46" t="str">
        <f>IFERROR(VLOOKUP(Tabla5810[[#This Row],[Cod trabalhador]],'Outros descontos'!B:M,12,FALSE),"")</f>
        <v/>
      </c>
      <c r="AM22" s="46" t="str">
        <f>IFERROR(VLOOKUP(Tabla5810[[#This Row],[Cod trabalhador]],'Outros descontos'!B:M,13,FALSE),"")</f>
        <v/>
      </c>
      <c r="AN22" s="393"/>
      <c r="AO22" s="37">
        <v>4.08</v>
      </c>
      <c r="AP22" s="15"/>
      <c r="AQ22"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1449.1660000000002</v>
      </c>
      <c r="AR22"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1449.1660000000002</v>
      </c>
      <c r="AS22" s="15"/>
      <c r="AT22" s="27" t="str">
        <f>IF(Tabla5810[[#This Row],[Cod trabalhador]]="", "", INDEX(Iban!C:C, MATCH(Tabla5810[[#This Row],[Cod trabalhador]],Iban!A:A, 0)))</f>
        <v>ES96 2100 4247 1022 0031 7145</v>
      </c>
      <c r="AU22" s="27"/>
      <c r="AV22" s="27"/>
      <c r="AW22" s="66" t="s">
        <v>7533</v>
      </c>
      <c r="AX22" s="296" t="s">
        <v>7472</v>
      </c>
    </row>
    <row r="23" spans="1:50" ht="18.75" customHeight="1" x14ac:dyDescent="0.3">
      <c r="A23" s="42">
        <v>18</v>
      </c>
      <c r="B23" s="39" t="s">
        <v>1071</v>
      </c>
      <c r="C23" s="45" t="str">
        <f>IF(ISNUMBER(MATCH(Tabla5810[[#This Row],[Cod trabalhador]],'Altas Luminous'!B:B, 0)), "Ativo", "Não ativo")</f>
        <v>Não ativo</v>
      </c>
      <c r="D23" s="44" t="str">
        <f>IFERROR(IF(VLOOKUP(Tabla5810[[#This Row],[Cod trabalhador]],'Altas Industrial'!B:E,1,0)&lt;&gt;"","KI",""),"")</f>
        <v/>
      </c>
      <c r="E23" s="44" t="str">
        <f>IFERROR(IF(VLOOKUP(Tabla5810[[#This Row],[Cod trabalhador]],'Altas Rosas'!B:F,1,0)&lt;&gt;"","KR",""),"")</f>
        <v/>
      </c>
      <c r="F23" s="44" t="str">
        <f>IFERROR(IF(VLOOKUP(Tabla5810[[#This Row],[Cod trabalhador]],'Altas Wiseowe'!B:E,1,0)&lt;&gt;"","WS",""),"")</f>
        <v/>
      </c>
      <c r="G23" s="44" t="str">
        <f>IFERROR(IF(VLOOKUP(Tabla5810[[#This Row],[Cod trabalhador]],'Altas Luminous'!B:E,1,0)&lt;&gt;"","LM",""),"")</f>
        <v/>
      </c>
      <c r="H23" s="51" t="str">
        <f>IFERROR(VLOOKUP(Tabla5810[[#This Row],[Cod trabalhador]],'Altas Luminous'!B:E,3,FALSE),"")</f>
        <v/>
      </c>
      <c r="I23" s="51" t="str">
        <f>IF(OR(Tabla5810[[#This Row],[Cod trabalhador]]="",ISBLANK(Tabla5810[[#This Row],[Cod trabalhador]])),"",IFERROR(IF(VLOOKUP(Tabla5810[[#This Row],[Cod trabalhador]],'Altas Luminous'!B:E,4,FALSE)=0,"",VLOOKUP(Tabla5810[[#This Row],[Cod trabalhador]],'Altas Luminous'!B:E,4,FALSE)),""))</f>
        <v/>
      </c>
      <c r="J23" s="44">
        <f t="shared" si="0"/>
        <v>0</v>
      </c>
      <c r="K23" s="44" t="s">
        <v>1072</v>
      </c>
      <c r="L23" s="24" t="str">
        <f>IFERROR(IF(Tabla5810[[#This Row],[Cod trabalhador]]="",Tabla5810[[#This Row],[Cod trabalhador]], INDEX(Colaborador_ID[Nombre], MATCH(Tabla5810[[#This Row],[Cod trabalhador]],Colaborador_ID[Cod_colab], 0))), "")</f>
        <v>CRISTIAN CAMILO CABALLERO CORREDOR</v>
      </c>
      <c r="M23" s="340"/>
      <c r="N23" s="25" t="s">
        <v>7077</v>
      </c>
      <c r="O23" s="401">
        <f>IFERROR(VLOOKUP(Tabla5810[[#This Row],[Cod trabalhador]],Tabla15[],4,FALSE),"")</f>
        <v>15</v>
      </c>
      <c r="P23" s="232">
        <f>IFERROR(VLOOKUP(Tabla5810[[#This Row],[Cod trabalhador]],'TotalHorasAjustadas (2)'!D:L,8,FALSE),"")</f>
        <v>188.39999999999992</v>
      </c>
      <c r="Q23" s="27">
        <v>188.4</v>
      </c>
      <c r="R23" s="28" t="s">
        <v>7532</v>
      </c>
      <c r="S23" s="28" t="s">
        <v>7486</v>
      </c>
      <c r="U23" s="96"/>
      <c r="V23" s="231"/>
      <c r="W23" s="27"/>
      <c r="X23" s="28"/>
      <c r="Y23" s="28"/>
      <c r="Z23" s="149"/>
      <c r="AA23" s="392" t="str">
        <f>IFERROR(VLOOKUP(Tabla5810[[#This Row],[Cod trabalhador]],Alojamentos!B:P,11,FALSE),"")</f>
        <v/>
      </c>
      <c r="AB23" s="127"/>
      <c r="AC23" s="150"/>
      <c r="AD23" s="35">
        <f>Tabla5810[[#This Row],[Dias de alta]]*7.058</f>
        <v>0</v>
      </c>
      <c r="AE23" s="46" t="str">
        <f>IFERROR(VLOOKUP(Tabla5810[[#This Row],[Cod trabalhador]],Adiantamentos!B:L,7,FALSE),"")</f>
        <v/>
      </c>
      <c r="AF23" s="46" t="str">
        <f>IFERROR(VLOOKUP(Tabla5810[[#This Row],[Cod trabalhador]],Carro!B:D,3,FALSE),"")</f>
        <v/>
      </c>
      <c r="AG23" s="46">
        <f>IFERROR(VLOOKUP(Tabla5810[[#This Row],[Cod trabalhador]],'Outros descontos'!B:O,7,FALSE),"")</f>
        <v>0</v>
      </c>
      <c r="AH23" s="46">
        <f>IFERROR(VLOOKUP(Tabla5810[[#This Row],[Cod trabalhador]],'Outros descontos'!B:M,8,FALSE),"")</f>
        <v>0</v>
      </c>
      <c r="AI23" s="46">
        <f>IFERROR(VLOOKUP(Tabla5810[[#This Row],[Cod trabalhador]],'Outros descontos'!B:M,9,FALSE),"")</f>
        <v>0</v>
      </c>
      <c r="AJ23" s="46">
        <f>IFERROR(VLOOKUP(Tabla5810[[#This Row],[Cod trabalhador]],'Outros descontos'!B:M,10,FALSE),"")</f>
        <v>0</v>
      </c>
      <c r="AK23" s="46">
        <f>IFERROR(VLOOKUP(Tabla5810[[#This Row],[Cod trabalhador]],'Outros descontos'!B:M,11,FALSE),"")</f>
        <v>0</v>
      </c>
      <c r="AL23" s="46">
        <f>IFERROR(VLOOKUP(Tabla5810[[#This Row],[Cod trabalhador]],'Outros descontos'!B:M,12,FALSE),"")</f>
        <v>21.74</v>
      </c>
      <c r="AM23" s="46" t="str">
        <f>IFERROR(VLOOKUP(Tabla5810[[#This Row],[Cod trabalhador]],'Outros descontos'!B:M,13,FALSE),"")</f>
        <v/>
      </c>
      <c r="AN23" s="393"/>
      <c r="AO23" s="37">
        <v>4.08</v>
      </c>
      <c r="AP23" s="15"/>
      <c r="AQ23"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2800.1799999999989</v>
      </c>
      <c r="AR23"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2800.1800000000003</v>
      </c>
      <c r="AS23" s="15"/>
      <c r="AT23" s="27" t="str">
        <f>IF(Tabla5810[[#This Row],[Cod trabalhador]]="", "", INDEX(Iban!C:C, MATCH(Tabla5810[[#This Row],[Cod trabalhador]],Iban!A:A, 0)))</f>
        <v>BE64 9055 7587 4152</v>
      </c>
      <c r="AU23" s="27"/>
      <c r="AV23" s="27"/>
      <c r="AW23" s="66" t="s">
        <v>7533</v>
      </c>
      <c r="AX23" s="296" t="s">
        <v>7472</v>
      </c>
    </row>
    <row r="24" spans="1:50" ht="18.75" customHeight="1" x14ac:dyDescent="0.3">
      <c r="A24" s="42">
        <v>19</v>
      </c>
      <c r="B24" s="39" t="s">
        <v>1173</v>
      </c>
      <c r="C24" s="45" t="str">
        <f>IF(ISNUMBER(MATCH(Tabla5810[[#This Row],[Cod trabalhador]],'Altas Luminous'!B:B, 0)), "Ativo", "Não ativo")</f>
        <v>Não ativo</v>
      </c>
      <c r="D24" s="44" t="str">
        <f>IFERROR(IF(VLOOKUP(Tabla5810[[#This Row],[Cod trabalhador]],'Altas Industrial'!B:E,1,0)&lt;&gt;"","KI",""),"")</f>
        <v/>
      </c>
      <c r="E24" s="44" t="str">
        <f>IFERROR(IF(VLOOKUP(Tabla5810[[#This Row],[Cod trabalhador]],'Altas Rosas'!B:F,1,0)&lt;&gt;"","KR",""),"")</f>
        <v/>
      </c>
      <c r="F24" s="44" t="str">
        <f>IFERROR(IF(VLOOKUP(Tabla5810[[#This Row],[Cod trabalhador]],'Altas Wiseowe'!B:E,1,0)&lt;&gt;"","WS",""),"")</f>
        <v/>
      </c>
      <c r="G24" s="44" t="str">
        <f>IFERROR(IF(VLOOKUP(Tabla5810[[#This Row],[Cod trabalhador]],'Altas Luminous'!B:E,1,0)&lt;&gt;"","LM",""),"")</f>
        <v/>
      </c>
      <c r="H24" s="51" t="str">
        <f>IFERROR(VLOOKUP(Tabla5810[[#This Row],[Cod trabalhador]],'Altas Luminous'!B:E,3,FALSE),"")</f>
        <v/>
      </c>
      <c r="I24" s="51" t="str">
        <f>IF(OR(Tabla5810[[#This Row],[Cod trabalhador]]="",ISBLANK(Tabla5810[[#This Row],[Cod trabalhador]])),"",IFERROR(IF(VLOOKUP(Tabla5810[[#This Row],[Cod trabalhador]],'Altas Luminous'!B:E,4,FALSE)=0,"",VLOOKUP(Tabla5810[[#This Row],[Cod trabalhador]],'Altas Luminous'!B:E,4,FALSE)),""))</f>
        <v/>
      </c>
      <c r="J24" s="44">
        <f t="shared" si="0"/>
        <v>0</v>
      </c>
      <c r="K24" s="44" t="s">
        <v>1174</v>
      </c>
      <c r="L24" s="24" t="str">
        <f>IFERROR(IF(Tabla5810[[#This Row],[Cod trabalhador]]="",Tabla5810[[#This Row],[Cod trabalhador]], INDEX(Colaborador_ID[Nombre], MATCH(Tabla5810[[#This Row],[Cod trabalhador]],Colaborador_ID[Cod_colab], 0))), "")</f>
        <v>DANILO PINEDA RIVAS</v>
      </c>
      <c r="N24" s="25" t="s">
        <v>7109</v>
      </c>
      <c r="O24" s="401">
        <v>15</v>
      </c>
      <c r="P24" s="232">
        <f>IFERROR(VLOOKUP(Tabla5810[[#This Row],[Cod trabalhador]],'TotalHorasAjustadas (2)'!D:L,8,FALSE),"")</f>
        <v>148</v>
      </c>
      <c r="Q24" s="27">
        <v>148</v>
      </c>
      <c r="R24" s="28" t="s">
        <v>7471</v>
      </c>
      <c r="S24" s="28" t="s">
        <v>7486</v>
      </c>
      <c r="U24" s="25"/>
      <c r="V24" s="26"/>
      <c r="W24" s="27"/>
      <c r="X24" s="102"/>
      <c r="Y24" s="28"/>
      <c r="Z24" s="149"/>
      <c r="AA24" s="392" t="str">
        <f>IFERROR(VLOOKUP(Tabla5810[[#This Row],[Cod trabalhador]],Alojamentos!B:P,11,FALSE),"")</f>
        <v/>
      </c>
      <c r="AB24" s="127"/>
      <c r="AC24" s="150"/>
      <c r="AD24" s="35">
        <f>Tabla5810[[#This Row],[Dias de alta]]*7.058</f>
        <v>0</v>
      </c>
      <c r="AE24" s="46" t="str">
        <f>IFERROR(VLOOKUP(Tabla5810[[#This Row],[Cod trabalhador]],Adiantamentos!B:L,7,FALSE),"")</f>
        <v/>
      </c>
      <c r="AF24" s="46" t="str">
        <f>IFERROR(VLOOKUP(Tabla5810[[#This Row],[Cod trabalhador]],Carro!B:D,3,FALSE),"")</f>
        <v/>
      </c>
      <c r="AG24" s="46" t="str">
        <f>IFERROR(VLOOKUP(Tabla5810[[#This Row],[Cod trabalhador]],'Outros descontos'!B:O,7,FALSE),"")</f>
        <v/>
      </c>
      <c r="AH24" s="46" t="str">
        <f>IFERROR(VLOOKUP(Tabla5810[[#This Row],[Cod trabalhador]],'Outros descontos'!B:M,8,FALSE),"")</f>
        <v/>
      </c>
      <c r="AI24" s="46" t="str">
        <f>IFERROR(VLOOKUP(Tabla5810[[#This Row],[Cod trabalhador]],'Outros descontos'!B:M,9,FALSE),"")</f>
        <v/>
      </c>
      <c r="AJ24" s="46" t="str">
        <f>IFERROR(VLOOKUP(Tabla5810[[#This Row],[Cod trabalhador]],'Outros descontos'!B:M,10,FALSE),"")</f>
        <v/>
      </c>
      <c r="AK24" s="46" t="str">
        <f>IFERROR(VLOOKUP(Tabla5810[[#This Row],[Cod trabalhador]],'Outros descontos'!B:M,11,FALSE),"")</f>
        <v/>
      </c>
      <c r="AL24" s="46" t="str">
        <f>IFERROR(VLOOKUP(Tabla5810[[#This Row],[Cod trabalhador]],'Outros descontos'!B:M,12,FALSE),"")</f>
        <v/>
      </c>
      <c r="AM24" s="46" t="str">
        <f>IFERROR(VLOOKUP(Tabla5810[[#This Row],[Cod trabalhador]],'Outros descontos'!B:M,13,FALSE),"")</f>
        <v/>
      </c>
      <c r="AN24" s="393"/>
      <c r="AO24" s="37">
        <v>4.08</v>
      </c>
      <c r="AP24" s="15"/>
      <c r="AQ24"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2215.92</v>
      </c>
      <c r="AR24"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2215.92</v>
      </c>
      <c r="AS24" s="15"/>
      <c r="AT24" s="27" t="str">
        <f>IF(Tabla5810[[#This Row],[Cod trabalhador]]="", "", INDEX(Iban!C:C, MATCH(Tabla5810[[#This Row],[Cod trabalhador]],Iban!A:A, 0)))</f>
        <v>ES20 0182 2125 3202 0160 1080</v>
      </c>
      <c r="AU24" s="27"/>
      <c r="AV24" s="27"/>
      <c r="AW24" s="66" t="s">
        <v>7533</v>
      </c>
      <c r="AX24" s="296" t="s">
        <v>7472</v>
      </c>
    </row>
    <row r="25" spans="1:50" ht="18.75" customHeight="1" x14ac:dyDescent="0.3">
      <c r="A25" s="42">
        <v>20</v>
      </c>
      <c r="B25" s="39" t="s">
        <v>1241</v>
      </c>
      <c r="C25" s="45" t="str">
        <f>IF(ISNUMBER(MATCH(Tabla5810[[#This Row],[Cod trabalhador]],'Altas Luminous'!B:B, 0)), "Ativo", "Não ativo")</f>
        <v>Não ativo</v>
      </c>
      <c r="D25" s="44" t="str">
        <f>IFERROR(IF(VLOOKUP(Tabla5810[[#This Row],[Cod trabalhador]],'Altas Industrial'!B:E,1,0)&lt;&gt;"","KI",""),"")</f>
        <v/>
      </c>
      <c r="E25" s="44" t="str">
        <f>IFERROR(IF(VLOOKUP(Tabla5810[[#This Row],[Cod trabalhador]],'Altas Rosas'!B:F,1,0)&lt;&gt;"","KR",""),"")</f>
        <v/>
      </c>
      <c r="F25" s="44" t="str">
        <f>IFERROR(IF(VLOOKUP(Tabla5810[[#This Row],[Cod trabalhador]],'Altas Wiseowe'!B:E,1,0)&lt;&gt;"","WS",""),"")</f>
        <v/>
      </c>
      <c r="G25" s="44" t="str">
        <f>IFERROR(IF(VLOOKUP(Tabla5810[[#This Row],[Cod trabalhador]],'Altas Luminous'!B:E,1,0)&lt;&gt;"","LM",""),"")</f>
        <v/>
      </c>
      <c r="H25" s="51" t="str">
        <f>IFERROR(VLOOKUP(Tabla5810[[#This Row],[Cod trabalhador]],'Altas Luminous'!B:E,3,FALSE),"")</f>
        <v/>
      </c>
      <c r="I25" s="51" t="str">
        <f>IF(OR(Tabla5810[[#This Row],[Cod trabalhador]]="",ISBLANK(Tabla5810[[#This Row],[Cod trabalhador]])),"",IFERROR(IF(VLOOKUP(Tabla5810[[#This Row],[Cod trabalhador]],'Altas Luminous'!B:E,4,FALSE)=0,"",VLOOKUP(Tabla5810[[#This Row],[Cod trabalhador]],'Altas Luminous'!B:E,4,FALSE)),""))</f>
        <v/>
      </c>
      <c r="J25" s="44">
        <f t="shared" si="0"/>
        <v>0</v>
      </c>
      <c r="K25" s="44" t="s">
        <v>7098</v>
      </c>
      <c r="L25" s="24" t="str">
        <f>IFERROR(IF(Tabla5810[[#This Row],[Cod trabalhador]]="",Tabla5810[[#This Row],[Cod trabalhador]], INDEX(Colaborador_ID[Nombre], MATCH(Tabla5810[[#This Row],[Cod trabalhador]],Colaborador_ID[Cod_colab], 0))), "")</f>
        <v>DAVID RICARDO SANCHEZ ZAPATA</v>
      </c>
      <c r="N25" s="25" t="s">
        <v>7097</v>
      </c>
      <c r="O25" s="401">
        <f>IFERROR(VLOOKUP(Tabla5810[[#This Row],[Cod trabalhador]],Tabla15[],4,FALSE),"")</f>
        <v>15</v>
      </c>
      <c r="P25" s="232">
        <f>IFERROR(VLOOKUP(Tabla5810[[#This Row],[Cod trabalhador]],'TotalHorasAjustadas (2)'!D:L,8,FALSE),"")</f>
        <v>51</v>
      </c>
      <c r="Q25" s="27">
        <v>51</v>
      </c>
      <c r="R25" s="28" t="s">
        <v>7471</v>
      </c>
      <c r="S25" s="28" t="s">
        <v>7486</v>
      </c>
      <c r="U25" s="25"/>
      <c r="V25" s="26"/>
      <c r="W25" s="27"/>
      <c r="X25" s="102"/>
      <c r="Y25" s="28"/>
      <c r="Z25" s="149"/>
      <c r="AA25" s="392" t="str">
        <f>IFERROR(VLOOKUP(Tabla5810[[#This Row],[Cod trabalhador]],Alojamentos!B:P,11,FALSE),"")</f>
        <v/>
      </c>
      <c r="AB25" s="127"/>
      <c r="AC25" s="150"/>
      <c r="AD25" s="35">
        <f>Tabla5810[[#This Row],[Dias de alta]]*7.058</f>
        <v>0</v>
      </c>
      <c r="AE25" s="46" t="str">
        <f>IFERROR(VLOOKUP(Tabla5810[[#This Row],[Cod trabalhador]],Adiantamentos!B:L,7,FALSE),"")</f>
        <v/>
      </c>
      <c r="AF25" s="46" t="str">
        <f>IFERROR(VLOOKUP(Tabla5810[[#This Row],[Cod trabalhador]],Carro!B:D,3,FALSE),"")</f>
        <v/>
      </c>
      <c r="AG25" s="46" t="str">
        <f>IFERROR(VLOOKUP(Tabla5810[[#This Row],[Cod trabalhador]],'Outros descontos'!B:O,7,FALSE),"")</f>
        <v/>
      </c>
      <c r="AH25" s="46" t="str">
        <f>IFERROR(VLOOKUP(Tabla5810[[#This Row],[Cod trabalhador]],'Outros descontos'!B:M,8,FALSE),"")</f>
        <v/>
      </c>
      <c r="AI25" s="46" t="str">
        <f>IFERROR(VLOOKUP(Tabla5810[[#This Row],[Cod trabalhador]],'Outros descontos'!B:M,9,FALSE),"")</f>
        <v/>
      </c>
      <c r="AJ25" s="46" t="str">
        <f>IFERROR(VLOOKUP(Tabla5810[[#This Row],[Cod trabalhador]],'Outros descontos'!B:M,10,FALSE),"")</f>
        <v/>
      </c>
      <c r="AK25" s="46" t="str">
        <f>IFERROR(VLOOKUP(Tabla5810[[#This Row],[Cod trabalhador]],'Outros descontos'!B:M,11,FALSE),"")</f>
        <v/>
      </c>
      <c r="AL25" s="46" t="str">
        <f>IFERROR(VLOOKUP(Tabla5810[[#This Row],[Cod trabalhador]],'Outros descontos'!B:M,12,FALSE),"")</f>
        <v/>
      </c>
      <c r="AM25" s="46" t="str">
        <f>IFERROR(VLOOKUP(Tabla5810[[#This Row],[Cod trabalhador]],'Outros descontos'!B:M,13,FALSE),"")</f>
        <v/>
      </c>
      <c r="AN25" s="393"/>
      <c r="AO25" s="37">
        <v>4.08</v>
      </c>
      <c r="AP25" s="15"/>
      <c r="AQ25"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760.92</v>
      </c>
      <c r="AR25"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760.92</v>
      </c>
      <c r="AS25" s="15"/>
      <c r="AT25" s="27" t="str">
        <f>IF(Tabla5810[[#This Row],[Cod trabalhador]]="", "", INDEX(Iban!C:C, MATCH(Tabla5810[[#This Row],[Cod trabalhador]],Iban!A:A, 0)))</f>
        <v>ES36 0182 4609 9102 0576 4108</v>
      </c>
      <c r="AU25" s="27"/>
      <c r="AV25" s="27"/>
      <c r="AW25" s="66" t="s">
        <v>7533</v>
      </c>
      <c r="AX25" s="296" t="s">
        <v>7472</v>
      </c>
    </row>
    <row r="26" spans="1:50" ht="18.75" customHeight="1" x14ac:dyDescent="0.3">
      <c r="A26" s="42">
        <v>21</v>
      </c>
      <c r="B26" s="39" t="s">
        <v>1421</v>
      </c>
      <c r="C26" s="45" t="str">
        <f>IF(ISNUMBER(MATCH(Tabla5810[[#This Row],[Cod trabalhador]],'Altas Luminous'!B:B, 0)), "Ativo", "Não ativo")</f>
        <v>Não ativo</v>
      </c>
      <c r="D26" s="44" t="str">
        <f>IFERROR(IF(VLOOKUP(Tabla5810[[#This Row],[Cod trabalhador]],'Altas Industrial'!B:E,1,0)&lt;&gt;"","KI",""),"")</f>
        <v/>
      </c>
      <c r="E26" s="44" t="str">
        <f>IFERROR(IF(VLOOKUP(Tabla5810[[#This Row],[Cod trabalhador]],'Altas Rosas'!B:F,1,0)&lt;&gt;"","KR",""),"")</f>
        <v/>
      </c>
      <c r="F26" s="44" t="str">
        <f>IFERROR(IF(VLOOKUP(Tabla5810[[#This Row],[Cod trabalhador]],'Altas Wiseowe'!B:E,1,0)&lt;&gt;"","WS",""),"")</f>
        <v/>
      </c>
      <c r="G26" s="44" t="str">
        <f>IFERROR(IF(VLOOKUP(Tabla5810[[#This Row],[Cod trabalhador]],'Altas Luminous'!B:E,1,0)&lt;&gt;"","LM",""),"")</f>
        <v/>
      </c>
      <c r="H26" s="51" t="str">
        <f>IFERROR(VLOOKUP(Tabla5810[[#This Row],[Cod trabalhador]],'Altas Luminous'!B:E,3,FALSE),"")</f>
        <v/>
      </c>
      <c r="I26" s="51" t="str">
        <f>IF(OR(Tabla5810[[#This Row],[Cod trabalhador]]="",ISBLANK(Tabla5810[[#This Row],[Cod trabalhador]])),"",IFERROR(IF(VLOOKUP(Tabla5810[[#This Row],[Cod trabalhador]],'Altas Luminous'!B:E,4,FALSE)=0,"",VLOOKUP(Tabla5810[[#This Row],[Cod trabalhador]],'Altas Luminous'!B:E,4,FALSE)),""))</f>
        <v/>
      </c>
      <c r="J26" s="44">
        <f t="shared" si="0"/>
        <v>0</v>
      </c>
      <c r="K26" s="44" t="s">
        <v>1422</v>
      </c>
      <c r="L26" s="24" t="str">
        <f>IFERROR(IF(Tabla5810[[#This Row],[Cod trabalhador]]="",Tabla5810[[#This Row],[Cod trabalhador]], INDEX(Colaborador_ID[Nombre], MATCH(Tabla5810[[#This Row],[Cod trabalhador]],Colaborador_ID[Cod_colab], 0))), "")</f>
        <v>DUBERNEY POSCUE FAJARDO</v>
      </c>
      <c r="N26" s="25" t="s">
        <v>7150</v>
      </c>
      <c r="O26" s="401">
        <v>15</v>
      </c>
      <c r="P26" s="232">
        <f>IFERROR(VLOOKUP(Tabla5810[[#This Row],[Cod trabalhador]],'TotalHorasAjustadas (2)'!D:L,8,FALSE),"")</f>
        <v>192</v>
      </c>
      <c r="Q26" s="27">
        <v>192</v>
      </c>
      <c r="R26" s="28" t="s">
        <v>7532</v>
      </c>
      <c r="S26" s="28" t="s">
        <v>7486</v>
      </c>
      <c r="U26" s="25"/>
      <c r="V26" s="26"/>
      <c r="W26" s="27"/>
      <c r="X26" s="102"/>
      <c r="Y26" s="28"/>
      <c r="Z26" s="149"/>
      <c r="AA26" s="392" t="str">
        <f>IFERROR(VLOOKUP(Tabla5810[[#This Row],[Cod trabalhador]],Alojamentos!B:P,11,FALSE),"")</f>
        <v/>
      </c>
      <c r="AB26" s="127"/>
      <c r="AC26" s="150"/>
      <c r="AD26" s="35">
        <f>Tabla5810[[#This Row],[Dias de alta]]*7.058</f>
        <v>0</v>
      </c>
      <c r="AE26" s="46" t="str">
        <f>IFERROR(VLOOKUP(Tabla5810[[#This Row],[Cod trabalhador]],Adiantamentos!B:L,7,FALSE),"")</f>
        <v/>
      </c>
      <c r="AF26" s="46">
        <f>IFERROR(VLOOKUP(Tabla5810[[#This Row],[Cod trabalhador]],Carro!B:D,3,FALSE),"")</f>
        <v>84.444444444444443</v>
      </c>
      <c r="AG26" s="46" t="str">
        <f>IFERROR(VLOOKUP(Tabla5810[[#This Row],[Cod trabalhador]],'Outros descontos'!B:O,7,FALSE),"")</f>
        <v/>
      </c>
      <c r="AH26" s="46" t="str">
        <f>IFERROR(VLOOKUP(Tabla5810[[#This Row],[Cod trabalhador]],'Outros descontos'!B:M,8,FALSE),"")</f>
        <v/>
      </c>
      <c r="AI26" s="46" t="str">
        <f>IFERROR(VLOOKUP(Tabla5810[[#This Row],[Cod trabalhador]],'Outros descontos'!B:M,9,FALSE),"")</f>
        <v/>
      </c>
      <c r="AJ26" s="46" t="str">
        <f>IFERROR(VLOOKUP(Tabla5810[[#This Row],[Cod trabalhador]],'Outros descontos'!B:M,10,FALSE),"")</f>
        <v/>
      </c>
      <c r="AK26" s="46" t="str">
        <f>IFERROR(VLOOKUP(Tabla5810[[#This Row],[Cod trabalhador]],'Outros descontos'!B:M,11,FALSE),"")</f>
        <v/>
      </c>
      <c r="AL26" s="46" t="str">
        <f>IFERROR(VLOOKUP(Tabla5810[[#This Row],[Cod trabalhador]],'Outros descontos'!B:M,12,FALSE),"")</f>
        <v/>
      </c>
      <c r="AM26" s="46" t="str">
        <f>IFERROR(VLOOKUP(Tabla5810[[#This Row],[Cod trabalhador]],'Outros descontos'!B:M,13,FALSE),"")</f>
        <v/>
      </c>
      <c r="AN26" s="393"/>
      <c r="AO26" s="37">
        <v>4.08</v>
      </c>
      <c r="AP26" s="15"/>
      <c r="AQ26"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2791.4755555555557</v>
      </c>
      <c r="AR26"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2791.4755555555557</v>
      </c>
      <c r="AS26" s="15"/>
      <c r="AT26" s="27" t="str">
        <f>IF(Tabla5810[[#This Row],[Cod trabalhador]]="", "", INDEX(Iban!C:C, MATCH(Tabla5810[[#This Row],[Cod trabalhador]],Iban!A:A, 0)))</f>
        <v>LU76 4080 0000 4475 6306</v>
      </c>
      <c r="AU26" s="27"/>
      <c r="AV26" s="27"/>
      <c r="AW26" s="66" t="s">
        <v>7533</v>
      </c>
      <c r="AX26" s="296" t="s">
        <v>7472</v>
      </c>
    </row>
    <row r="27" spans="1:50" ht="18.75" customHeight="1" x14ac:dyDescent="0.3">
      <c r="A27" s="42">
        <v>22</v>
      </c>
      <c r="B27" s="39" t="s">
        <v>1456</v>
      </c>
      <c r="C27" s="45" t="str">
        <f>IF(ISNUMBER(MATCH(Tabla5810[[#This Row],[Cod trabalhador]],'Altas Luminous'!B:B, 0)), "Ativo", "Não ativo")</f>
        <v>Ativo</v>
      </c>
      <c r="D27" s="44" t="str">
        <f>IFERROR(IF(VLOOKUP(Tabla5810[[#This Row],[Cod trabalhador]],'Altas Industrial'!B:E,1,0)&lt;&gt;"","KI",""),"")</f>
        <v/>
      </c>
      <c r="E27" s="44" t="str">
        <f>IFERROR(IF(VLOOKUP(Tabla5810[[#This Row],[Cod trabalhador]],'Altas Rosas'!B:F,1,0)&lt;&gt;"","KR",""),"")</f>
        <v/>
      </c>
      <c r="F27" s="44" t="str">
        <f>IFERROR(IF(VLOOKUP(Tabla5810[[#This Row],[Cod trabalhador]],'Altas Wiseowe'!B:E,1,0)&lt;&gt;"","WS",""),"")</f>
        <v/>
      </c>
      <c r="G27" s="44" t="str">
        <f>IFERROR(IF(VLOOKUP(Tabla5810[[#This Row],[Cod trabalhador]],'Altas Luminous'!B:E,1,0)&lt;&gt;"","LM",""),"")</f>
        <v>LM</v>
      </c>
      <c r="H27" s="51">
        <f>IFERROR(VLOOKUP(Tabla5810[[#This Row],[Cod trabalhador]],'Altas Luminous'!B:E,3,FALSE),"")</f>
        <v>46041</v>
      </c>
      <c r="I27" s="51" t="str">
        <f>IF(OR(Tabla5810[[#This Row],[Cod trabalhador]]="",ISBLANK(Tabla5810[[#This Row],[Cod trabalhador]])),"",IFERROR(IF(VLOOKUP(Tabla5810[[#This Row],[Cod trabalhador]],'Altas Luminous'!B:E,4,FALSE)=0,"",VLOOKUP(Tabla5810[[#This Row],[Cod trabalhador]],'Altas Luminous'!B:E,4,FALSE)),""))</f>
        <v/>
      </c>
      <c r="J27" s="44">
        <f t="shared" si="0"/>
        <v>13</v>
      </c>
      <c r="K27" s="44" t="s">
        <v>7163</v>
      </c>
      <c r="L27" s="24" t="str">
        <f>IFERROR(IF(Tabla5810[[#This Row],[Cod trabalhador]]="",Tabla5810[[#This Row],[Cod trabalhador]], INDEX(Colaborador_ID[Nombre], MATCH(Tabla5810[[#This Row],[Cod trabalhador]],Colaborador_ID[Cod_colab], 0))), "")</f>
        <v>EDGAR CORRALES HOYOS</v>
      </c>
      <c r="N27" s="25" t="s">
        <v>7157</v>
      </c>
      <c r="O27" s="401">
        <v>15</v>
      </c>
      <c r="P27" s="232">
        <f>IFERROR(VLOOKUP(Tabla5810[[#This Row],[Cod trabalhador]],'TotalHorasAjustadas (2)'!D:L,8,FALSE),"")</f>
        <v>74</v>
      </c>
      <c r="Q27" s="27">
        <v>74</v>
      </c>
      <c r="R27" s="28" t="s">
        <v>7532</v>
      </c>
      <c r="S27" s="28" t="s">
        <v>7486</v>
      </c>
      <c r="U27" s="25"/>
      <c r="V27" s="26"/>
      <c r="W27" s="27"/>
      <c r="X27" s="102"/>
      <c r="Y27" s="28"/>
      <c r="Z27" s="149"/>
      <c r="AA27" s="392" t="str">
        <f>IFERROR(VLOOKUP(Tabla5810[[#This Row],[Cod trabalhador]],Alojamentos!B:P,11,FALSE),"")</f>
        <v/>
      </c>
      <c r="AB27" s="127"/>
      <c r="AC27" s="150"/>
      <c r="AD27" s="35">
        <f>Tabla5810[[#This Row],[Dias de alta]]*7.058</f>
        <v>91.753999999999991</v>
      </c>
      <c r="AE27" s="46" t="str">
        <f>IFERROR(VLOOKUP(Tabla5810[[#This Row],[Cod trabalhador]],Adiantamentos!B:L,7,FALSE),"")</f>
        <v/>
      </c>
      <c r="AF27" s="46" t="str">
        <f>IFERROR(VLOOKUP(Tabla5810[[#This Row],[Cod trabalhador]],Carro!B:D,3,FALSE),"")</f>
        <v/>
      </c>
      <c r="AG27" s="46" t="str">
        <f>IFERROR(VLOOKUP(Tabla5810[[#This Row],[Cod trabalhador]],'Outros descontos'!B:O,7,FALSE),"")</f>
        <v/>
      </c>
      <c r="AH27" s="46" t="str">
        <f>IFERROR(VLOOKUP(Tabla5810[[#This Row],[Cod trabalhador]],'Outros descontos'!B:M,8,FALSE),"")</f>
        <v/>
      </c>
      <c r="AI27" s="46" t="str">
        <f>IFERROR(VLOOKUP(Tabla5810[[#This Row],[Cod trabalhador]],'Outros descontos'!B:M,9,FALSE),"")</f>
        <v/>
      </c>
      <c r="AJ27" s="46" t="str">
        <f>IFERROR(VLOOKUP(Tabla5810[[#This Row],[Cod trabalhador]],'Outros descontos'!B:M,10,FALSE),"")</f>
        <v/>
      </c>
      <c r="AK27" s="46" t="str">
        <f>IFERROR(VLOOKUP(Tabla5810[[#This Row],[Cod trabalhador]],'Outros descontos'!B:M,11,FALSE),"")</f>
        <v/>
      </c>
      <c r="AL27" s="46" t="str">
        <f>IFERROR(VLOOKUP(Tabla5810[[#This Row],[Cod trabalhador]],'Outros descontos'!B:M,12,FALSE),"")</f>
        <v/>
      </c>
      <c r="AM27" s="46" t="str">
        <f>IFERROR(VLOOKUP(Tabla5810[[#This Row],[Cod trabalhador]],'Outros descontos'!B:M,13,FALSE),"")</f>
        <v/>
      </c>
      <c r="AN27" s="393"/>
      <c r="AO27" s="37">
        <v>4.08</v>
      </c>
      <c r="AP27" s="15"/>
      <c r="AQ27"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1014.1659999999999</v>
      </c>
      <c r="AR27"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1014.1659999999999</v>
      </c>
      <c r="AS27" s="15"/>
      <c r="AT27" s="27" t="str">
        <f>IF(Tabla5810[[#This Row],[Cod trabalhador]]="", "", INDEX(Iban!C:C, MATCH(Tabla5810[[#This Row],[Cod trabalhador]],Iban!A:A, 0)))</f>
        <v>ES87 0182 1077 3702 0162 4772</v>
      </c>
      <c r="AU27" s="27"/>
      <c r="AV27" s="27"/>
      <c r="AW27" s="66" t="s">
        <v>7533</v>
      </c>
      <c r="AX27" s="296" t="s">
        <v>7472</v>
      </c>
    </row>
    <row r="28" spans="1:50" ht="18.75" customHeight="1" x14ac:dyDescent="0.3">
      <c r="A28" s="42">
        <v>23</v>
      </c>
      <c r="B28" s="39" t="s">
        <v>1560</v>
      </c>
      <c r="C28" s="45" t="str">
        <f>IF(ISNUMBER(MATCH(Tabla5810[[#This Row],[Cod trabalhador]],'Altas Luminous'!B:B, 0)), "Ativo", "Não ativo")</f>
        <v>Ativo</v>
      </c>
      <c r="D28" s="44" t="str">
        <f>IFERROR(IF(VLOOKUP(Tabla5810[[#This Row],[Cod trabalhador]],'Altas Industrial'!B:E,1,0)&lt;&gt;"","KI",""),"")</f>
        <v/>
      </c>
      <c r="E28" s="44" t="str">
        <f>IFERROR(IF(VLOOKUP(Tabla5810[[#This Row],[Cod trabalhador]],'Altas Rosas'!B:F,1,0)&lt;&gt;"","KR",""),"")</f>
        <v/>
      </c>
      <c r="F28" s="44" t="str">
        <f>IFERROR(IF(VLOOKUP(Tabla5810[[#This Row],[Cod trabalhador]],'Altas Wiseowe'!B:E,1,0)&lt;&gt;"","WS",""),"")</f>
        <v/>
      </c>
      <c r="G28" s="44" t="str">
        <f>IFERROR(IF(VLOOKUP(Tabla5810[[#This Row],[Cod trabalhador]],'Altas Luminous'!B:E,1,0)&lt;&gt;"","LM",""),"")</f>
        <v>LM</v>
      </c>
      <c r="H28" s="51">
        <f>IFERROR(VLOOKUP(Tabla5810[[#This Row],[Cod trabalhador]],'Altas Luminous'!B:E,3,FALSE),"")</f>
        <v>46041</v>
      </c>
      <c r="I28" s="51" t="str">
        <f>IF(OR(Tabla5810[[#This Row],[Cod trabalhador]]="",ISBLANK(Tabla5810[[#This Row],[Cod trabalhador]])),"",IFERROR(IF(VLOOKUP(Tabla5810[[#This Row],[Cod trabalhador]],'Altas Luminous'!B:E,4,FALSE)=0,"",VLOOKUP(Tabla5810[[#This Row],[Cod trabalhador]],'Altas Luminous'!B:E,4,FALSE)),""))</f>
        <v/>
      </c>
      <c r="J28" s="44">
        <f t="shared" si="0"/>
        <v>13</v>
      </c>
      <c r="K28" s="44" t="s">
        <v>7149</v>
      </c>
      <c r="L28" s="24" t="str">
        <f>IFERROR(IF(Tabla5810[[#This Row],[Cod trabalhador]]="",Tabla5810[[#This Row],[Cod trabalhador]], INDEX(Colaborador_ID[Nombre], MATCH(Tabla5810[[#This Row],[Cod trabalhador]],Colaborador_ID[Cod_colab], 0))), "")</f>
        <v>EDUAR MANUEL DAVILA CERON</v>
      </c>
      <c r="M28" s="340"/>
      <c r="N28" s="25" t="s">
        <v>7146</v>
      </c>
      <c r="O28" s="231">
        <v>15</v>
      </c>
      <c r="P28" s="232">
        <f>IFERROR(VLOOKUP(Tabla5810[[#This Row],[Cod trabalhador]],'TotalHorasAjustadas (2)'!D:L,8,FALSE),"")</f>
        <v>102.5</v>
      </c>
      <c r="Q28" s="27">
        <v>102.5</v>
      </c>
      <c r="R28" s="28" t="s">
        <v>7532</v>
      </c>
      <c r="S28" s="28" t="s">
        <v>7486</v>
      </c>
      <c r="U28" s="96"/>
      <c r="V28" s="231"/>
      <c r="W28" s="27"/>
      <c r="X28" s="28"/>
      <c r="Y28" s="28"/>
      <c r="Z28" s="149"/>
      <c r="AA28" s="392" t="str">
        <f>IFERROR(VLOOKUP(Tabla5810[[#This Row],[Cod trabalhador]],Alojamentos!B:P,11,FALSE),"")</f>
        <v/>
      </c>
      <c r="AB28" s="127"/>
      <c r="AC28" s="150"/>
      <c r="AD28" s="35">
        <f>Tabla5810[[#This Row],[Dias de alta]]*7.058</f>
        <v>91.753999999999991</v>
      </c>
      <c r="AE28" s="46" t="str">
        <f>IFERROR(VLOOKUP(Tabla5810[[#This Row],[Cod trabalhador]],Adiantamentos!B:L,7,FALSE),"")</f>
        <v/>
      </c>
      <c r="AF28" s="46" t="str">
        <f>IFERROR(VLOOKUP(Tabla5810[[#This Row],[Cod trabalhador]],Carro!B:D,3,FALSE),"")</f>
        <v/>
      </c>
      <c r="AG28" s="46" t="str">
        <f>IFERROR(VLOOKUP(Tabla5810[[#This Row],[Cod trabalhador]],'Outros descontos'!B:O,7,FALSE),"")</f>
        <v/>
      </c>
      <c r="AH28" s="46" t="str">
        <f>IFERROR(VLOOKUP(Tabla5810[[#This Row],[Cod trabalhador]],'Outros descontos'!B:M,8,FALSE),"")</f>
        <v/>
      </c>
      <c r="AI28" s="46" t="str">
        <f>IFERROR(VLOOKUP(Tabla5810[[#This Row],[Cod trabalhador]],'Outros descontos'!B:M,9,FALSE),"")</f>
        <v/>
      </c>
      <c r="AJ28" s="46" t="str">
        <f>IFERROR(VLOOKUP(Tabla5810[[#This Row],[Cod trabalhador]],'Outros descontos'!B:M,10,FALSE),"")</f>
        <v/>
      </c>
      <c r="AK28" s="46" t="str">
        <f>IFERROR(VLOOKUP(Tabla5810[[#This Row],[Cod trabalhador]],'Outros descontos'!B:M,11,FALSE),"")</f>
        <v/>
      </c>
      <c r="AL28" s="46" t="str">
        <f>IFERROR(VLOOKUP(Tabla5810[[#This Row],[Cod trabalhador]],'Outros descontos'!B:M,12,FALSE),"")</f>
        <v/>
      </c>
      <c r="AM28" s="46" t="str">
        <f>IFERROR(VLOOKUP(Tabla5810[[#This Row],[Cod trabalhador]],'Outros descontos'!B:M,13,FALSE),"")</f>
        <v/>
      </c>
      <c r="AN28" s="393"/>
      <c r="AO28" s="37">
        <v>4.08</v>
      </c>
      <c r="AP28" s="15"/>
      <c r="AQ28"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1441.6660000000002</v>
      </c>
      <c r="AR28"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1441.6660000000002</v>
      </c>
      <c r="AS28" s="15"/>
      <c r="AT28" s="27" t="str">
        <f>IF(Tabla5810[[#This Row],[Cod trabalhador]]="", "", INDEX(Iban!C:C, MATCH(Tabla5810[[#This Row],[Cod trabalhador]],Iban!A:A, 0)))</f>
        <v>BE76 9054 4665 5095</v>
      </c>
      <c r="AU28" s="27"/>
      <c r="AV28" s="27"/>
      <c r="AW28" s="66" t="s">
        <v>7533</v>
      </c>
      <c r="AX28" s="296" t="s">
        <v>7472</v>
      </c>
    </row>
    <row r="29" spans="1:50" ht="18.75" customHeight="1" x14ac:dyDescent="0.3">
      <c r="A29" s="42">
        <v>24</v>
      </c>
      <c r="B29" s="39" t="s">
        <v>1608</v>
      </c>
      <c r="C29" s="45" t="str">
        <f>IF(ISNUMBER(MATCH(Tabla5810[[#This Row],[Cod trabalhador]],'Altas Luminous'!B:B, 0)), "Ativo", "Não ativo")</f>
        <v>Ativo</v>
      </c>
      <c r="D29" s="44" t="str">
        <f>IFERROR(IF(VLOOKUP(Tabla5810[[#This Row],[Cod trabalhador]],'Altas Industrial'!B:E,1,0)&lt;&gt;"","KI",""),"")</f>
        <v/>
      </c>
      <c r="E29" s="44" t="str">
        <f>IFERROR(IF(VLOOKUP(Tabla5810[[#This Row],[Cod trabalhador]],'Altas Rosas'!B:F,1,0)&lt;&gt;"","KR",""),"")</f>
        <v/>
      </c>
      <c r="F29" s="44" t="str">
        <f>IFERROR(IF(VLOOKUP(Tabla5810[[#This Row],[Cod trabalhador]],'Altas Wiseowe'!B:E,1,0)&lt;&gt;"","WS",""),"")</f>
        <v/>
      </c>
      <c r="G29" s="44" t="str">
        <f>IFERROR(IF(VLOOKUP(Tabla5810[[#This Row],[Cod trabalhador]],'Altas Luminous'!B:E,1,0)&lt;&gt;"","LM",""),"")</f>
        <v>LM</v>
      </c>
      <c r="H29" s="51">
        <f>IFERROR(VLOOKUP(Tabla5810[[#This Row],[Cod trabalhador]],'Altas Luminous'!B:E,3,FALSE),"")</f>
        <v>46010</v>
      </c>
      <c r="I29" s="51" t="str">
        <f>IF(OR(Tabla5810[[#This Row],[Cod trabalhador]]="",ISBLANK(Tabla5810[[#This Row],[Cod trabalhador]])),"",IFERROR(IF(VLOOKUP(Tabla5810[[#This Row],[Cod trabalhador]],'Altas Luminous'!B:E,4,FALSE)=0,"",VLOOKUP(Tabla5810[[#This Row],[Cod trabalhador]],'Altas Luminous'!B:E,4,FALSE)),""))</f>
        <v/>
      </c>
      <c r="J29" s="44">
        <f t="shared" si="0"/>
        <v>31</v>
      </c>
      <c r="K29" s="44" t="s">
        <v>7102</v>
      </c>
      <c r="L29" s="24" t="str">
        <f>IFERROR(IF(Tabla5810[[#This Row],[Cod trabalhador]]="",Tabla5810[[#This Row],[Cod trabalhador]], INDEX(Colaborador_ID[Nombre], MATCH(Tabla5810[[#This Row],[Cod trabalhador]],Colaborador_ID[Cod_colab], 0))), "")</f>
        <v>EDWAR ANDRES BENACHI ARCE</v>
      </c>
      <c r="N29" s="25" t="s">
        <v>7101</v>
      </c>
      <c r="O29" s="401">
        <f>IFERROR(VLOOKUP(Tabla5810[[#This Row],[Cod trabalhador]],Tabla15[],4,FALSE),"")</f>
        <v>15</v>
      </c>
      <c r="P29" s="232">
        <f>IFERROR(VLOOKUP(Tabla5810[[#This Row],[Cod trabalhador]],'TotalHorasAjustadas (2)'!D:L,8,FALSE),"")</f>
        <v>215.5</v>
      </c>
      <c r="Q29" s="27">
        <v>215.5</v>
      </c>
      <c r="R29" s="28" t="s">
        <v>7532</v>
      </c>
      <c r="S29" s="28" t="s">
        <v>7486</v>
      </c>
      <c r="U29" s="25"/>
      <c r="V29" s="26"/>
      <c r="W29" s="27"/>
      <c r="X29" s="102"/>
      <c r="Y29" s="28"/>
      <c r="Z29" s="149"/>
      <c r="AA29" s="392" t="str">
        <f>IFERROR(VLOOKUP(Tabla5810[[#This Row],[Cod trabalhador]],Alojamentos!B:P,11,FALSE),"")</f>
        <v/>
      </c>
      <c r="AB29" s="127"/>
      <c r="AC29" s="150"/>
      <c r="AD29" s="35">
        <f>Tabla5810[[#This Row],[Dias de alta]]*7.058</f>
        <v>218.798</v>
      </c>
      <c r="AE29" s="46" t="str">
        <f>IFERROR(VLOOKUP(Tabla5810[[#This Row],[Cod trabalhador]],Adiantamentos!B:L,7,FALSE),"")</f>
        <v/>
      </c>
      <c r="AF29" s="46" t="str">
        <f>IFERROR(VLOOKUP(Tabla5810[[#This Row],[Cod trabalhador]],Carro!B:D,3,FALSE),"")</f>
        <v/>
      </c>
      <c r="AG29" s="46" t="str">
        <f>IFERROR(VLOOKUP(Tabla5810[[#This Row],[Cod trabalhador]],'Outros descontos'!B:O,7,FALSE),"")</f>
        <v/>
      </c>
      <c r="AH29" s="46" t="str">
        <f>IFERROR(VLOOKUP(Tabla5810[[#This Row],[Cod trabalhador]],'Outros descontos'!B:M,8,FALSE),"")</f>
        <v/>
      </c>
      <c r="AI29" s="46" t="str">
        <f>IFERROR(VLOOKUP(Tabla5810[[#This Row],[Cod trabalhador]],'Outros descontos'!B:M,9,FALSE),"")</f>
        <v/>
      </c>
      <c r="AJ29" s="46" t="str">
        <f>IFERROR(VLOOKUP(Tabla5810[[#This Row],[Cod trabalhador]],'Outros descontos'!B:M,10,FALSE),"")</f>
        <v/>
      </c>
      <c r="AK29" s="46" t="str">
        <f>IFERROR(VLOOKUP(Tabla5810[[#This Row],[Cod trabalhador]],'Outros descontos'!B:M,11,FALSE),"")</f>
        <v/>
      </c>
      <c r="AL29" s="46" t="str">
        <f>IFERROR(VLOOKUP(Tabla5810[[#This Row],[Cod trabalhador]],'Outros descontos'!B:M,12,FALSE),"")</f>
        <v/>
      </c>
      <c r="AM29" s="46" t="str">
        <f>IFERROR(VLOOKUP(Tabla5810[[#This Row],[Cod trabalhador]],'Outros descontos'!B:M,13,FALSE),"")</f>
        <v/>
      </c>
      <c r="AN29" s="393"/>
      <c r="AO29" s="37">
        <v>4.08</v>
      </c>
      <c r="AP29" s="15"/>
      <c r="AQ29"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3009.6220000000003</v>
      </c>
      <c r="AR29"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3009.6220000000003</v>
      </c>
      <c r="AS29" s="15"/>
      <c r="AT29" s="27" t="str">
        <f>IF(Tabla5810[[#This Row],[Cod trabalhador]]="", "", INDEX(Iban!C:C, MATCH(Tabla5810[[#This Row],[Cod trabalhador]],Iban!A:A, 0)))</f>
        <v xml:space="preserve">ES07 0182 9055 4302 0166 2936  </v>
      </c>
      <c r="AU29" s="27"/>
      <c r="AV29" s="27"/>
      <c r="AW29" s="66" t="s">
        <v>7533</v>
      </c>
      <c r="AX29" s="296" t="s">
        <v>7472</v>
      </c>
    </row>
    <row r="30" spans="1:50" ht="18.75" customHeight="1" x14ac:dyDescent="0.3">
      <c r="A30" s="42">
        <v>25</v>
      </c>
      <c r="B30" s="39" t="s">
        <v>1779</v>
      </c>
      <c r="C30" s="45" t="str">
        <f>IF(ISNUMBER(MATCH(Tabla5810[[#This Row],[Cod trabalhador]],'Altas Luminous'!B:B, 0)), "Ativo", "Não ativo")</f>
        <v>Ativo</v>
      </c>
      <c r="D30" s="44" t="str">
        <f>IFERROR(IF(VLOOKUP(Tabla5810[[#This Row],[Cod trabalhador]],'Altas Industrial'!B:E,1,0)&lt;&gt;"","KI",""),"")</f>
        <v/>
      </c>
      <c r="E30" s="44" t="str">
        <f>IFERROR(IF(VLOOKUP(Tabla5810[[#This Row],[Cod trabalhador]],'Altas Rosas'!B:F,1,0)&lt;&gt;"","KR",""),"")</f>
        <v/>
      </c>
      <c r="F30" s="44" t="str">
        <f>IFERROR(IF(VLOOKUP(Tabla5810[[#This Row],[Cod trabalhador]],'Altas Wiseowe'!B:E,1,0)&lt;&gt;"","WS",""),"")</f>
        <v/>
      </c>
      <c r="G30" s="44" t="str">
        <f>IFERROR(IF(VLOOKUP(Tabla5810[[#This Row],[Cod trabalhador]],'Altas Luminous'!B:E,1,0)&lt;&gt;"","LM",""),"")</f>
        <v>LM</v>
      </c>
      <c r="H30" s="51">
        <f>IFERROR(VLOOKUP(Tabla5810[[#This Row],[Cod trabalhador]],'Altas Luminous'!B:E,3,FALSE),"")</f>
        <v>46051</v>
      </c>
      <c r="I30" s="51" t="str">
        <f>IF(OR(Tabla5810[[#This Row],[Cod trabalhador]]="",ISBLANK(Tabla5810[[#This Row],[Cod trabalhador]])),"",IFERROR(IF(VLOOKUP(Tabla5810[[#This Row],[Cod trabalhador]],'Altas Luminous'!B:E,4,FALSE)=0,"",VLOOKUP(Tabla5810[[#This Row],[Cod trabalhador]],'Altas Luminous'!B:E,4,FALSE)),""))</f>
        <v/>
      </c>
      <c r="J30" s="44">
        <f t="shared" si="0"/>
        <v>3</v>
      </c>
      <c r="K30" s="44" t="s">
        <v>1780</v>
      </c>
      <c r="L30" s="24" t="str">
        <f>IFERROR(IF(Tabla5810[[#This Row],[Cod trabalhador]]="",Tabla5810[[#This Row],[Cod trabalhador]], INDEX(Colaborador_ID[Nombre], MATCH(Tabla5810[[#This Row],[Cod trabalhador]],Colaborador_ID[Cod_colab], 0))), "")</f>
        <v>ELKIN ARMANDO GARZON LOPEZ</v>
      </c>
      <c r="N30" s="25" t="s">
        <v>7108</v>
      </c>
      <c r="O30" s="401">
        <f>IFERROR(VLOOKUP(Tabla5810[[#This Row],[Cod trabalhador]],Tabla15[],4,FALSE),"")</f>
        <v>15</v>
      </c>
      <c r="P30" s="232">
        <f>IFERROR(VLOOKUP(Tabla5810[[#This Row],[Cod trabalhador]],'TotalHorasAjustadas (2)'!D:L,8,FALSE),"")</f>
        <v>132</v>
      </c>
      <c r="Q30" s="27">
        <v>38</v>
      </c>
      <c r="R30" s="28" t="s">
        <v>7471</v>
      </c>
      <c r="S30" s="28" t="s">
        <v>7486</v>
      </c>
      <c r="U30" s="25"/>
      <c r="V30" s="26"/>
      <c r="W30" s="27"/>
      <c r="X30" s="102"/>
      <c r="Y30" s="28"/>
      <c r="Z30" s="149"/>
      <c r="AA30" s="392" t="str">
        <f>IFERROR(VLOOKUP(Tabla5810[[#This Row],[Cod trabalhador]],Alojamentos!B:P,11,FALSE),"")</f>
        <v/>
      </c>
      <c r="AB30" s="127"/>
      <c r="AC30" s="150"/>
      <c r="AD30" s="35">
        <f>Tabla5810[[#This Row],[Dias de alta]]*7.058</f>
        <v>21.173999999999999</v>
      </c>
      <c r="AE30" s="46" t="str">
        <f>IFERROR(VLOOKUP(Tabla5810[[#This Row],[Cod trabalhador]],Adiantamentos!B:L,7,FALSE),"")</f>
        <v/>
      </c>
      <c r="AF30" s="438"/>
      <c r="AG30" s="46" t="str">
        <f>IFERROR(VLOOKUP(Tabla5810[[#This Row],[Cod trabalhador]],'Outros descontos'!B:O,7,FALSE),"")</f>
        <v/>
      </c>
      <c r="AH30" s="46" t="str">
        <f>IFERROR(VLOOKUP(Tabla5810[[#This Row],[Cod trabalhador]],'Outros descontos'!B:M,8,FALSE),"")</f>
        <v/>
      </c>
      <c r="AI30" s="46" t="str">
        <f>IFERROR(VLOOKUP(Tabla5810[[#This Row],[Cod trabalhador]],'Outros descontos'!B:M,9,FALSE),"")</f>
        <v/>
      </c>
      <c r="AJ30" s="46" t="str">
        <f>IFERROR(VLOOKUP(Tabla5810[[#This Row],[Cod trabalhador]],'Outros descontos'!B:M,10,FALSE),"")</f>
        <v/>
      </c>
      <c r="AK30" s="46" t="str">
        <f>IFERROR(VLOOKUP(Tabla5810[[#This Row],[Cod trabalhador]],'Outros descontos'!B:M,11,FALSE),"")</f>
        <v/>
      </c>
      <c r="AL30" s="46" t="str">
        <f>IFERROR(VLOOKUP(Tabla5810[[#This Row],[Cod trabalhador]],'Outros descontos'!B:M,12,FALSE),"")</f>
        <v/>
      </c>
      <c r="AM30" s="46" t="str">
        <f>IFERROR(VLOOKUP(Tabla5810[[#This Row],[Cod trabalhador]],'Outros descontos'!B:M,13,FALSE),"")</f>
        <v/>
      </c>
      <c r="AN30" s="393"/>
      <c r="AO30" s="37">
        <v>4.08</v>
      </c>
      <c r="AP30" s="15"/>
      <c r="AQ30"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1954.7460000000001</v>
      </c>
      <c r="AR30"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544.74599999999998</v>
      </c>
      <c r="AS30" s="15"/>
      <c r="AT30" s="27" t="str">
        <f>IF(Tabla5810[[#This Row],[Cod trabalhador]]="", "", INDEX(Iban!C:C, MATCH(Tabla5810[[#This Row],[Cod trabalhador]],Iban!A:A, 0)))</f>
        <v>ES33 0182 8738 7102 0262 1047</v>
      </c>
      <c r="AU30" s="27"/>
      <c r="AV30" s="27"/>
      <c r="AW30" s="66" t="s">
        <v>7533</v>
      </c>
      <c r="AX30" s="296" t="s">
        <v>7472</v>
      </c>
    </row>
    <row r="31" spans="1:50" ht="16.5" customHeight="1" x14ac:dyDescent="0.3">
      <c r="A31" s="42">
        <v>26</v>
      </c>
      <c r="B31" s="39" t="s">
        <v>1838</v>
      </c>
      <c r="C31" s="45" t="str">
        <f>IF(ISNUMBER(MATCH(Tabla5810[[#This Row],[Cod trabalhador]],'Altas Luminous'!B:B, 0)), "Ativo", "Não ativo")</f>
        <v>Ativo</v>
      </c>
      <c r="D31" s="44" t="str">
        <f>IFERROR(IF(VLOOKUP(Tabla5810[[#This Row],[Cod trabalhador]],'Altas Industrial'!B:E,1,0)&lt;&gt;"","KI",""),"")</f>
        <v/>
      </c>
      <c r="E31" s="44" t="str">
        <f>IFERROR(IF(VLOOKUP(Tabla5810[[#This Row],[Cod trabalhador]],'Altas Rosas'!B:F,1,0)&lt;&gt;"","KR",""),"")</f>
        <v>KR</v>
      </c>
      <c r="F31" s="44" t="str">
        <f>IFERROR(IF(VLOOKUP(Tabla5810[[#This Row],[Cod trabalhador]],'Altas Wiseowe'!B:E,1,0)&lt;&gt;"","WS",""),"")</f>
        <v/>
      </c>
      <c r="G31" s="44" t="str">
        <f>IFERROR(IF(VLOOKUP(Tabla5810[[#This Row],[Cod trabalhador]],'Altas Luminous'!B:E,1,0)&lt;&gt;"","LM",""),"")</f>
        <v>LM</v>
      </c>
      <c r="H31" s="51">
        <f>IFERROR(VLOOKUP(Tabla5810[[#This Row],[Cod trabalhador]],'Altas Luminous'!B:E,3,FALSE),"")</f>
        <v>46028</v>
      </c>
      <c r="I31" s="51" t="str">
        <f>IF(OR(Tabla5810[[#This Row],[Cod trabalhador]]="",ISBLANK(Tabla5810[[#This Row],[Cod trabalhador]])),"",IFERROR(IF(VLOOKUP(Tabla5810[[#This Row],[Cod trabalhador]],'Altas Luminous'!B:E,4,FALSE)=0,"",VLOOKUP(Tabla5810[[#This Row],[Cod trabalhador]],'Altas Luminous'!B:E,4,FALSE)),""))</f>
        <v/>
      </c>
      <c r="J31" s="44">
        <f t="shared" si="0"/>
        <v>26</v>
      </c>
      <c r="K31" s="413" t="s">
        <v>1839</v>
      </c>
      <c r="L31" s="24" t="str">
        <f>IFERROR(IF(Tabla5810[[#This Row],[Cod trabalhador]]="",Tabla5810[[#This Row],[Cod trabalhador]], INDEX(Colaborador_ID[Nombre], MATCH(Tabla5810[[#This Row],[Cod trabalhador]],Colaborador_ID[Cod_colab], 0))), "")</f>
        <v>ENRI JAIME CALDAS BERMUDES</v>
      </c>
      <c r="N31" s="25" t="s">
        <v>7077</v>
      </c>
      <c r="O31" s="401">
        <f>IFERROR(VLOOKUP(Tabla5810[[#This Row],[Cod trabalhador]],Tabla15[],4,FALSE),"")</f>
        <v>15</v>
      </c>
      <c r="P31" s="232">
        <f>IFERROR(VLOOKUP(Tabla5810[[#This Row],[Cod trabalhador]],'TotalHorasAjustadas (2)'!D:L,8,FALSE),"")</f>
        <v>190.05999999999995</v>
      </c>
      <c r="Q31" s="27">
        <v>190.06</v>
      </c>
      <c r="R31" s="28" t="s">
        <v>7532</v>
      </c>
      <c r="S31" s="28" t="s">
        <v>7486</v>
      </c>
      <c r="U31" s="25"/>
      <c r="V31" s="26"/>
      <c r="W31" s="27"/>
      <c r="X31" s="102"/>
      <c r="Y31" s="28"/>
      <c r="Z31" s="149"/>
      <c r="AA31" s="392" t="str">
        <f>IFERROR(VLOOKUP(Tabla5810[[#This Row],[Cod trabalhador]],Alojamentos!B:P,11,FALSE),"")</f>
        <v/>
      </c>
      <c r="AB31" s="127"/>
      <c r="AC31" s="150"/>
      <c r="AD31" s="35">
        <f>Tabla5810[[#This Row],[Dias de alta]]*7.058</f>
        <v>183.50799999999998</v>
      </c>
      <c r="AE31" s="46" t="str">
        <f>IFERROR(VLOOKUP(Tabla5810[[#This Row],[Cod trabalhador]],Adiantamentos!B:L,7,FALSE),"")</f>
        <v/>
      </c>
      <c r="AF31" s="46" t="str">
        <f>IFERROR(VLOOKUP(Tabla5810[[#This Row],[Cod trabalhador]],Carro!B:D,3,FALSE),"")</f>
        <v/>
      </c>
      <c r="AG31" s="46" t="str">
        <f>IFERROR(VLOOKUP(Tabla5810[[#This Row],[Cod trabalhador]],'Outros descontos'!B:O,7,FALSE),"")</f>
        <v/>
      </c>
      <c r="AH31" s="46" t="str">
        <f>IFERROR(VLOOKUP(Tabla5810[[#This Row],[Cod trabalhador]],'Outros descontos'!B:M,8,FALSE),"")</f>
        <v/>
      </c>
      <c r="AI31" s="46" t="str">
        <f>IFERROR(VLOOKUP(Tabla5810[[#This Row],[Cod trabalhador]],'Outros descontos'!B:M,9,FALSE),"")</f>
        <v/>
      </c>
      <c r="AJ31" s="46" t="str">
        <f>IFERROR(VLOOKUP(Tabla5810[[#This Row],[Cod trabalhador]],'Outros descontos'!B:M,10,FALSE),"")</f>
        <v/>
      </c>
      <c r="AK31" s="46" t="str">
        <f>IFERROR(VLOOKUP(Tabla5810[[#This Row],[Cod trabalhador]],'Outros descontos'!B:M,11,FALSE),"")</f>
        <v/>
      </c>
      <c r="AL31" s="46" t="str">
        <f>IFERROR(VLOOKUP(Tabla5810[[#This Row],[Cod trabalhador]],'Outros descontos'!B:M,12,FALSE),"")</f>
        <v/>
      </c>
      <c r="AM31" s="46" t="str">
        <f>IFERROR(VLOOKUP(Tabla5810[[#This Row],[Cod trabalhador]],'Outros descontos'!B:M,13,FALSE),"")</f>
        <v/>
      </c>
      <c r="AN31" s="393"/>
      <c r="AO31" s="37">
        <v>4.08</v>
      </c>
      <c r="AP31" s="15"/>
      <c r="AQ31"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2663.3119999999994</v>
      </c>
      <c r="AR31"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2663.3120000000004</v>
      </c>
      <c r="AS31" s="15"/>
      <c r="AT31" s="27" t="str">
        <f>IF(Tabla5810[[#This Row],[Cod trabalhador]]="", "", INDEX(Iban!C:C, MATCH(Tabla5810[[#This Row],[Cod trabalhador]],Iban!A:A, 0)))</f>
        <v>ES57 0182 0845 1502 0220 2821</v>
      </c>
      <c r="AU31" s="27"/>
      <c r="AV31" s="27"/>
      <c r="AW31" s="66" t="s">
        <v>7533</v>
      </c>
      <c r="AX31" s="296" t="s">
        <v>7472</v>
      </c>
    </row>
    <row r="32" spans="1:50" ht="18.75" customHeight="1" x14ac:dyDescent="0.3">
      <c r="A32" s="42">
        <v>27</v>
      </c>
      <c r="B32" s="39" t="s">
        <v>1887</v>
      </c>
      <c r="C32" s="45" t="str">
        <f>IF(ISNUMBER(MATCH(Tabla5810[[#This Row],[Cod trabalhador]],'Altas Luminous'!B:B, 0)), "Ativo", "Não ativo")</f>
        <v>Ativo</v>
      </c>
      <c r="D32" s="44" t="str">
        <f>IFERROR(IF(VLOOKUP(Tabla5810[[#This Row],[Cod trabalhador]],'Altas Industrial'!B:E,1,0)&lt;&gt;"","KI",""),"")</f>
        <v/>
      </c>
      <c r="E32" s="44" t="str">
        <f>IFERROR(IF(VLOOKUP(Tabla5810[[#This Row],[Cod trabalhador]],'Altas Rosas'!B:F,1,0)&lt;&gt;"","KR",""),"")</f>
        <v/>
      </c>
      <c r="F32" s="44" t="str">
        <f>IFERROR(IF(VLOOKUP(Tabla5810[[#This Row],[Cod trabalhador]],'Altas Wiseowe'!B:E,1,0)&lt;&gt;"","WS",""),"")</f>
        <v/>
      </c>
      <c r="G32" s="44" t="str">
        <f>IFERROR(IF(VLOOKUP(Tabla5810[[#This Row],[Cod trabalhador]],'Altas Luminous'!B:E,1,0)&lt;&gt;"","LM",""),"")</f>
        <v>LM</v>
      </c>
      <c r="H32" s="51">
        <f>IFERROR(VLOOKUP(Tabla5810[[#This Row],[Cod trabalhador]],'Altas Luminous'!B:E,3,FALSE),"")</f>
        <v>45979</v>
      </c>
      <c r="I32" s="51" t="str">
        <f>IF(OR(Tabla5810[[#This Row],[Cod trabalhador]]="",ISBLANK(Tabla5810[[#This Row],[Cod trabalhador]])),"",IFERROR(IF(VLOOKUP(Tabla5810[[#This Row],[Cod trabalhador]],'Altas Luminous'!B:E,4,FALSE)=0,"",VLOOKUP(Tabla5810[[#This Row],[Cod trabalhador]],'Altas Luminous'!B:E,4,FALSE)),""))</f>
        <v/>
      </c>
      <c r="J32" s="44">
        <f t="shared" si="0"/>
        <v>31</v>
      </c>
      <c r="K32" s="44" t="s">
        <v>1888</v>
      </c>
      <c r="L32" s="24" t="str">
        <f>IFERROR(IF(Tabla5810[[#This Row],[Cod trabalhador]]="",Tabla5810[[#This Row],[Cod trabalhador]], INDEX(Colaborador_ID[Nombre], MATCH(Tabla5810[[#This Row],[Cod trabalhador]],Colaborador_ID[Cod_colab], 0))), "")</f>
        <v>ERIK RUBEN RAMIREZ SIMANCAS</v>
      </c>
      <c r="N32" s="25" t="s">
        <v>7157</v>
      </c>
      <c r="O32" s="401">
        <f>IFERROR(VLOOKUP(Tabla5810[[#This Row],[Cod trabalhador]],Tabla15[],4,FALSE),"")</f>
        <v>15</v>
      </c>
      <c r="P32" s="232">
        <f>IFERROR(VLOOKUP(Tabla5810[[#This Row],[Cod trabalhador]],'TotalHorasAjustadas (2)'!D:L,8,FALSE),"")</f>
        <v>151.5</v>
      </c>
      <c r="Q32" s="27">
        <v>151.5</v>
      </c>
      <c r="R32" s="28" t="s">
        <v>7532</v>
      </c>
      <c r="S32" s="28" t="s">
        <v>7486</v>
      </c>
      <c r="U32" s="25"/>
      <c r="V32" s="26"/>
      <c r="W32" s="27"/>
      <c r="X32" s="102"/>
      <c r="Y32" s="28"/>
      <c r="Z32" s="149"/>
      <c r="AA32" s="392" t="str">
        <f>IFERROR(VLOOKUP(Tabla5810[[#This Row],[Cod trabalhador]],Alojamentos!B:P,11,FALSE),"")</f>
        <v/>
      </c>
      <c r="AB32" s="127"/>
      <c r="AC32" s="150"/>
      <c r="AD32" s="35">
        <f>Tabla5810[[#This Row],[Dias de alta]]*7.058</f>
        <v>218.798</v>
      </c>
      <c r="AE32" s="46" t="str">
        <f>IFERROR(VLOOKUP(Tabla5810[[#This Row],[Cod trabalhador]],Adiantamentos!B:L,7,FALSE),"")</f>
        <v/>
      </c>
      <c r="AF32" s="46" t="str">
        <f>IFERROR(VLOOKUP(Tabla5810[[#This Row],[Cod trabalhador]],Carro!B:D,3,FALSE),"")</f>
        <v/>
      </c>
      <c r="AG32" s="46">
        <f>IFERROR(VLOOKUP(Tabla5810[[#This Row],[Cod trabalhador]],'Outros descontos'!B:O,7,FALSE),"")</f>
        <v>0</v>
      </c>
      <c r="AH32" s="46">
        <f>IFERROR(VLOOKUP(Tabla5810[[#This Row],[Cod trabalhador]],'Outros descontos'!B:M,8,FALSE),"")</f>
        <v>0</v>
      </c>
      <c r="AI32" s="46">
        <f>IFERROR(VLOOKUP(Tabla5810[[#This Row],[Cod trabalhador]],'Outros descontos'!B:M,9,FALSE),"")</f>
        <v>0</v>
      </c>
      <c r="AJ32" s="46">
        <f>IFERROR(VLOOKUP(Tabla5810[[#This Row],[Cod trabalhador]],'Outros descontos'!B:M,10,FALSE),"")</f>
        <v>0</v>
      </c>
      <c r="AK32" s="46">
        <f>IFERROR(VLOOKUP(Tabla5810[[#This Row],[Cod trabalhador]],'Outros descontos'!B:M,11,FALSE),"")</f>
        <v>0</v>
      </c>
      <c r="AL32" s="46">
        <f>IFERROR(VLOOKUP(Tabla5810[[#This Row],[Cod trabalhador]],'Outros descontos'!B:M,12,FALSE),"")</f>
        <v>21.74</v>
      </c>
      <c r="AM32" s="46" t="str">
        <f>IFERROR(VLOOKUP(Tabla5810[[#This Row],[Cod trabalhador]],'Outros descontos'!B:M,13,FALSE),"")</f>
        <v/>
      </c>
      <c r="AN32" s="393"/>
      <c r="AO32" s="37">
        <v>4.08</v>
      </c>
      <c r="AP32" s="15"/>
      <c r="AQ32"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2027.8820000000003</v>
      </c>
      <c r="AR32"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2027.8820000000003</v>
      </c>
      <c r="AS32" s="15"/>
      <c r="AT32" s="27" t="str">
        <f>IF(Tabla5810[[#This Row],[Cod trabalhador]]="", "", INDEX(Iban!C:C, MATCH(Tabla5810[[#This Row],[Cod trabalhador]],Iban!A:A, 0)))</f>
        <v>ES61 0182 8181 1102 0234 2582</v>
      </c>
      <c r="AU32" s="27"/>
      <c r="AV32" s="27"/>
      <c r="AW32" s="66" t="s">
        <v>7533</v>
      </c>
      <c r="AX32" s="296" t="s">
        <v>7472</v>
      </c>
    </row>
    <row r="33" spans="1:50" ht="18.75" customHeight="1" x14ac:dyDescent="0.3">
      <c r="A33" s="42">
        <v>28</v>
      </c>
      <c r="B33" s="39" t="s">
        <v>1984</v>
      </c>
      <c r="C33" s="45" t="str">
        <f>IF(ISNUMBER(MATCH(Tabla5810[[#This Row],[Cod trabalhador]],'Altas Luminous'!B:B, 0)), "Ativo", "Não ativo")</f>
        <v>Não ativo</v>
      </c>
      <c r="D33" s="44" t="str">
        <f>IFERROR(IF(VLOOKUP(Tabla5810[[#This Row],[Cod trabalhador]],'Altas Industrial'!B:E,1,0)&lt;&gt;"","KI",""),"")</f>
        <v/>
      </c>
      <c r="E33" s="44" t="str">
        <f>IFERROR(IF(VLOOKUP(Tabla5810[[#This Row],[Cod trabalhador]],'Altas Rosas'!B:F,1,0)&lt;&gt;"","KR",""),"")</f>
        <v/>
      </c>
      <c r="F33" s="44" t="str">
        <f>IFERROR(IF(VLOOKUP(Tabla5810[[#This Row],[Cod trabalhador]],'Altas Wiseowe'!B:E,1,0)&lt;&gt;"","WS",""),"")</f>
        <v/>
      </c>
      <c r="G33" s="44" t="str">
        <f>IFERROR(IF(VLOOKUP(Tabla5810[[#This Row],[Cod trabalhador]],'Altas Luminous'!B:E,1,0)&lt;&gt;"","LM",""),"")</f>
        <v/>
      </c>
      <c r="H33" s="51" t="str">
        <f>IFERROR(VLOOKUP(Tabla5810[[#This Row],[Cod trabalhador]],'Altas Luminous'!B:E,3,FALSE),"")</f>
        <v/>
      </c>
      <c r="I33" s="51" t="str">
        <f>IF(OR(Tabla5810[[#This Row],[Cod trabalhador]]="",ISBLANK(Tabla5810[[#This Row],[Cod trabalhador]])),"",IFERROR(IF(VLOOKUP(Tabla5810[[#This Row],[Cod trabalhador]],'Altas Luminous'!B:E,4,FALSE)=0,"",VLOOKUP(Tabla5810[[#This Row],[Cod trabalhador]],'Altas Luminous'!B:E,4,FALSE)),""))</f>
        <v/>
      </c>
      <c r="J33" s="44">
        <f t="shared" si="0"/>
        <v>0</v>
      </c>
      <c r="K33" s="44" t="s">
        <v>7047</v>
      </c>
      <c r="L33" s="24" t="str">
        <f>IFERROR(IF(Tabla5810[[#This Row],[Cod trabalhador]]="",Tabla5810[[#This Row],[Cod trabalhador]], INDEX(Colaborador_ID[Nombre], MATCH(Tabla5810[[#This Row],[Cod trabalhador]],Colaborador_ID[Cod_colab], 0))), "")</f>
        <v>FABIAN LEONARDO CERON VALENCIA</v>
      </c>
      <c r="M33" s="340"/>
      <c r="N33" s="25" t="s">
        <v>7108</v>
      </c>
      <c r="O33" s="401">
        <f>IFERROR(VLOOKUP(Tabla5810[[#This Row],[Cod trabalhador]],Tabla15[],4,FALSE),"")</f>
        <v>15</v>
      </c>
      <c r="P33" s="232">
        <f>IFERROR(VLOOKUP(Tabla5810[[#This Row],[Cod trabalhador]],'TotalHorasAjustadas (2)'!D:L,8,FALSE),"")</f>
        <v>136</v>
      </c>
      <c r="Q33" s="27">
        <v>50</v>
      </c>
      <c r="R33" s="28" t="s">
        <v>7471</v>
      </c>
      <c r="S33" s="28" t="s">
        <v>7486</v>
      </c>
      <c r="U33" s="96"/>
      <c r="V33" s="231"/>
      <c r="W33" s="27"/>
      <c r="X33" s="28"/>
      <c r="Y33" s="28"/>
      <c r="Z33" s="149"/>
      <c r="AA33" s="392" t="str">
        <f>IFERROR(VLOOKUP(Tabla5810[[#This Row],[Cod trabalhador]],Alojamentos!B:P,11,FALSE),"")</f>
        <v/>
      </c>
      <c r="AB33" s="127"/>
      <c r="AC33" s="150"/>
      <c r="AD33" s="35">
        <f>Tabla5810[[#This Row],[Dias de alta]]*7.058</f>
        <v>0</v>
      </c>
      <c r="AE33" s="46" t="str">
        <f>IFERROR(VLOOKUP(Tabla5810[[#This Row],[Cod trabalhador]],Adiantamentos!B:L,7,FALSE),"")</f>
        <v/>
      </c>
      <c r="AF33" s="438"/>
      <c r="AG33" s="46" t="str">
        <f>IFERROR(VLOOKUP(Tabla5810[[#This Row],[Cod trabalhador]],'Outros descontos'!B:O,7,FALSE),"")</f>
        <v/>
      </c>
      <c r="AH33" s="46" t="str">
        <f>IFERROR(VLOOKUP(Tabla5810[[#This Row],[Cod trabalhador]],'Outros descontos'!B:M,8,FALSE),"")</f>
        <v/>
      </c>
      <c r="AI33" s="46" t="str">
        <f>IFERROR(VLOOKUP(Tabla5810[[#This Row],[Cod trabalhador]],'Outros descontos'!B:M,9,FALSE),"")</f>
        <v/>
      </c>
      <c r="AJ33" s="46" t="str">
        <f>IFERROR(VLOOKUP(Tabla5810[[#This Row],[Cod trabalhador]],'Outros descontos'!B:M,10,FALSE),"")</f>
        <v/>
      </c>
      <c r="AK33" s="46" t="str">
        <f>IFERROR(VLOOKUP(Tabla5810[[#This Row],[Cod trabalhador]],'Outros descontos'!B:M,11,FALSE),"")</f>
        <v/>
      </c>
      <c r="AL33" s="46" t="str">
        <f>IFERROR(VLOOKUP(Tabla5810[[#This Row],[Cod trabalhador]],'Outros descontos'!B:M,12,FALSE),"")</f>
        <v/>
      </c>
      <c r="AM33" s="46" t="str">
        <f>IFERROR(VLOOKUP(Tabla5810[[#This Row],[Cod trabalhador]],'Outros descontos'!B:M,13,FALSE),"")</f>
        <v/>
      </c>
      <c r="AN33" s="393"/>
      <c r="AO33" s="37">
        <v>4.08</v>
      </c>
      <c r="AP33" s="15"/>
      <c r="AQ33"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2035.92</v>
      </c>
      <c r="AR33"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745.92</v>
      </c>
      <c r="AS33" s="15"/>
      <c r="AT33" s="27" t="str">
        <f>IF(Tabla5810[[#This Row],[Cod trabalhador]]="", "", INDEX(Iban!C:C, MATCH(Tabla5810[[#This Row],[Cod trabalhador]],Iban!A:A, 0)))</f>
        <v xml:space="preserve"> ES72 0182 1150 0202 0159 3522 </v>
      </c>
      <c r="AU33" s="27"/>
      <c r="AV33" s="27"/>
      <c r="AW33" s="66" t="s">
        <v>7533</v>
      </c>
      <c r="AX33" s="296" t="s">
        <v>7472</v>
      </c>
    </row>
    <row r="34" spans="1:50" ht="18.75" customHeight="1" x14ac:dyDescent="0.3">
      <c r="A34" s="42">
        <v>29</v>
      </c>
      <c r="B34" s="39" t="s">
        <v>1992</v>
      </c>
      <c r="C34" s="45" t="str">
        <f>IF(ISNUMBER(MATCH(Tabla5810[[#This Row],[Cod trabalhador]],'Altas Luminous'!B:B, 0)), "Ativo", "Não ativo")</f>
        <v>Não ativo</v>
      </c>
      <c r="D34" s="44" t="str">
        <f>IFERROR(IF(VLOOKUP(Tabla5810[[#This Row],[Cod trabalhador]],'Altas Industrial'!B:E,1,0)&lt;&gt;"","KI",""),"")</f>
        <v/>
      </c>
      <c r="E34" s="44" t="str">
        <f>IFERROR(IF(VLOOKUP(Tabla5810[[#This Row],[Cod trabalhador]],'Altas Rosas'!B:F,1,0)&lt;&gt;"","KR",""),"")</f>
        <v/>
      </c>
      <c r="F34" s="44" t="str">
        <f>IFERROR(IF(VLOOKUP(Tabla5810[[#This Row],[Cod trabalhador]],'Altas Wiseowe'!B:E,1,0)&lt;&gt;"","WS",""),"")</f>
        <v/>
      </c>
      <c r="G34" s="44" t="str">
        <f>IFERROR(IF(VLOOKUP(Tabla5810[[#This Row],[Cod trabalhador]],'Altas Luminous'!B:E,1,0)&lt;&gt;"","LM",""),"")</f>
        <v/>
      </c>
      <c r="H34" s="51" t="str">
        <f>IFERROR(VLOOKUP(Tabla5810[[#This Row],[Cod trabalhador]],'Altas Luminous'!B:E,3,FALSE),"")</f>
        <v/>
      </c>
      <c r="I34" s="51" t="str">
        <f>IF(OR(Tabla5810[[#This Row],[Cod trabalhador]]="",ISBLANK(Tabla5810[[#This Row],[Cod trabalhador]])),"",IFERROR(IF(VLOOKUP(Tabla5810[[#This Row],[Cod trabalhador]],'Altas Luminous'!B:E,4,FALSE)=0,"",VLOOKUP(Tabla5810[[#This Row],[Cod trabalhador]],'Altas Luminous'!B:E,4,FALSE)),""))</f>
        <v/>
      </c>
      <c r="J34" s="44">
        <f t="shared" si="0"/>
        <v>0</v>
      </c>
      <c r="K34" s="413" t="s">
        <v>1993</v>
      </c>
      <c r="L34" s="24" t="str">
        <f>IFERROR(IF(Tabla5810[[#This Row],[Cod trabalhador]]="",Tabla5810[[#This Row],[Cod trabalhador]], INDEX(Colaborador_ID[Nombre], MATCH(Tabla5810[[#This Row],[Cod trabalhador]],Colaborador_ID[Cod_colab], 0))), "")</f>
        <v>FABIAN ORLANDO VARGAS RIOS</v>
      </c>
      <c r="N34" s="25" t="s">
        <v>7077</v>
      </c>
      <c r="O34" s="401">
        <f>IFERROR(VLOOKUP(Tabla5810[[#This Row],[Cod trabalhador]],Tabla15[],4,FALSE),"")</f>
        <v>15</v>
      </c>
      <c r="P34" s="232">
        <f>IFERROR(VLOOKUP(Tabla5810[[#This Row],[Cod trabalhador]],'TotalHorasAjustadas (2)'!D:L,8,FALSE),"")</f>
        <v>184.72999999999993</v>
      </c>
      <c r="Q34" s="27">
        <v>184.73</v>
      </c>
      <c r="R34" s="28" t="s">
        <v>7532</v>
      </c>
      <c r="S34" s="28" t="s">
        <v>7486</v>
      </c>
      <c r="U34" s="25"/>
      <c r="V34" s="26"/>
      <c r="W34" s="27"/>
      <c r="X34" s="102"/>
      <c r="Y34" s="28"/>
      <c r="Z34" s="149"/>
      <c r="AA34" s="392" t="str">
        <f>IFERROR(VLOOKUP(Tabla5810[[#This Row],[Cod trabalhador]],Alojamentos!B:P,11,FALSE),"")</f>
        <v/>
      </c>
      <c r="AB34" s="127"/>
      <c r="AC34" s="150"/>
      <c r="AD34" s="35">
        <f>Tabla5810[[#This Row],[Dias de alta]]*7.058</f>
        <v>0</v>
      </c>
      <c r="AE34" s="46" t="str">
        <f>IFERROR(VLOOKUP(Tabla5810[[#This Row],[Cod trabalhador]],Adiantamentos!B:L,7,FALSE),"")</f>
        <v/>
      </c>
      <c r="AF34" s="46" t="str">
        <f>IFERROR(VLOOKUP(Tabla5810[[#This Row],[Cod trabalhador]],Carro!B:D,3,FALSE),"")</f>
        <v/>
      </c>
      <c r="AG34" s="46" t="str">
        <f>IFERROR(VLOOKUP(Tabla5810[[#This Row],[Cod trabalhador]],'Outros descontos'!B:O,7,FALSE),"")</f>
        <v/>
      </c>
      <c r="AH34" s="46" t="str">
        <f>IFERROR(VLOOKUP(Tabla5810[[#This Row],[Cod trabalhador]],'Outros descontos'!B:M,8,FALSE),"")</f>
        <v/>
      </c>
      <c r="AI34" s="46" t="str">
        <f>IFERROR(VLOOKUP(Tabla5810[[#This Row],[Cod trabalhador]],'Outros descontos'!B:M,9,FALSE),"")</f>
        <v/>
      </c>
      <c r="AJ34" s="46" t="str">
        <f>IFERROR(VLOOKUP(Tabla5810[[#This Row],[Cod trabalhador]],'Outros descontos'!B:M,10,FALSE),"")</f>
        <v/>
      </c>
      <c r="AK34" s="46" t="str">
        <f>IFERROR(VLOOKUP(Tabla5810[[#This Row],[Cod trabalhador]],'Outros descontos'!B:M,11,FALSE),"")</f>
        <v/>
      </c>
      <c r="AL34" s="46" t="str">
        <f>IFERROR(VLOOKUP(Tabla5810[[#This Row],[Cod trabalhador]],'Outros descontos'!B:M,12,FALSE),"")</f>
        <v/>
      </c>
      <c r="AM34" s="46" t="str">
        <f>IFERROR(VLOOKUP(Tabla5810[[#This Row],[Cod trabalhador]],'Outros descontos'!B:M,13,FALSE),"")</f>
        <v/>
      </c>
      <c r="AN34" s="393"/>
      <c r="AO34" s="37">
        <v>4.08</v>
      </c>
      <c r="AP34" s="15"/>
      <c r="AQ34"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2766.869999999999</v>
      </c>
      <c r="AR34"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2766.87</v>
      </c>
      <c r="AS34" s="15"/>
      <c r="AT34" s="27" t="str">
        <f>IF(Tabla5810[[#This Row],[Cod trabalhador]]="", "", INDEX(Iban!C:C, MATCH(Tabla5810[[#This Row],[Cod trabalhador]],Iban!A:A, 0)))</f>
        <v>BE42 9057 7680 0154</v>
      </c>
      <c r="AU34" s="27"/>
      <c r="AV34" s="27"/>
      <c r="AW34" s="66" t="s">
        <v>7533</v>
      </c>
      <c r="AX34" s="296" t="s">
        <v>7472</v>
      </c>
    </row>
    <row r="35" spans="1:50" ht="18.75" customHeight="1" x14ac:dyDescent="0.3">
      <c r="A35" s="42">
        <v>30</v>
      </c>
      <c r="B35" s="100" t="s">
        <v>2006</v>
      </c>
      <c r="C35" s="45" t="str">
        <f>IF(ISNUMBER(MATCH(Tabla5810[[#This Row],[Cod trabalhador]],'Altas Luminous'!B:B, 0)), "Ativo", "Não ativo")</f>
        <v>Ativo</v>
      </c>
      <c r="D35" s="44" t="str">
        <f>IFERROR(IF(VLOOKUP(Tabla5810[[#This Row],[Cod trabalhador]],'Altas Industrial'!B:E,1,0)&lt;&gt;"","KI",""),"")</f>
        <v/>
      </c>
      <c r="E35" s="44" t="str">
        <f>IFERROR(IF(VLOOKUP(Tabla5810[[#This Row],[Cod trabalhador]],'Altas Rosas'!B:F,1,0)&lt;&gt;"","KR",""),"")</f>
        <v/>
      </c>
      <c r="F35" s="44" t="str">
        <f>IFERROR(IF(VLOOKUP(Tabla5810[[#This Row],[Cod trabalhador]],'Altas Wiseowe'!B:E,1,0)&lt;&gt;"","WS",""),"")</f>
        <v/>
      </c>
      <c r="G35" s="44" t="str">
        <f>IFERROR(IF(VLOOKUP(Tabla5810[[#This Row],[Cod trabalhador]],'Altas Luminous'!B:E,1,0)&lt;&gt;"","LM",""),"")</f>
        <v>LM</v>
      </c>
      <c r="H35" s="51">
        <f>IFERROR(VLOOKUP(Tabla5810[[#This Row],[Cod trabalhador]],'Altas Luminous'!B:E,3,FALSE),"")</f>
        <v>46013</v>
      </c>
      <c r="I35" s="51" t="str">
        <f>IF(OR(Tabla5810[[#This Row],[Cod trabalhador]]="",ISBLANK(Tabla5810[[#This Row],[Cod trabalhador]])),"",IFERROR(IF(VLOOKUP(Tabla5810[[#This Row],[Cod trabalhador]],'Altas Luminous'!B:E,4,FALSE)=0,"",VLOOKUP(Tabla5810[[#This Row],[Cod trabalhador]],'Altas Luminous'!B:E,4,FALSE)),""))</f>
        <v/>
      </c>
      <c r="J35" s="44">
        <f t="shared" si="0"/>
        <v>31</v>
      </c>
      <c r="K35" s="44" t="s">
        <v>7078</v>
      </c>
      <c r="L35" s="24" t="str">
        <f>IFERROR(IF(Tabla5810[[#This Row],[Cod trabalhador]]="",Tabla5810[[#This Row],[Cod trabalhador]], INDEX(Colaborador_ID[Nombre], MATCH(Tabla5810[[#This Row],[Cod trabalhador]],Colaborador_ID[Cod_colab], 0))), "")</f>
        <v>FABIO ANDRES LUJAN ARANGO</v>
      </c>
      <c r="N35" s="25" t="s">
        <v>7077</v>
      </c>
      <c r="O35" s="401">
        <f>IFERROR(VLOOKUP(Tabla5810[[#This Row],[Cod trabalhador]],Tabla15[],4,FALSE),"")</f>
        <v>15</v>
      </c>
      <c r="P35" s="232">
        <f>IFERROR(VLOOKUP(Tabla5810[[#This Row],[Cod trabalhador]],'TotalHorasAjustadas (2)'!D:L,8,FALSE),"")</f>
        <v>176.55999999999995</v>
      </c>
      <c r="Q35" s="27">
        <v>176.56</v>
      </c>
      <c r="R35" s="28" t="s">
        <v>7532</v>
      </c>
      <c r="S35" s="28" t="s">
        <v>7486</v>
      </c>
      <c r="U35" s="25"/>
      <c r="V35" s="26"/>
      <c r="W35" s="27"/>
      <c r="X35" s="102"/>
      <c r="Y35" s="28"/>
      <c r="Z35" s="149"/>
      <c r="AA35" s="392" t="str">
        <f>IFERROR(VLOOKUP(Tabla5810[[#This Row],[Cod trabalhador]],Alojamentos!B:P,11,FALSE),"")</f>
        <v/>
      </c>
      <c r="AB35" s="127"/>
      <c r="AC35" s="150"/>
      <c r="AD35" s="35">
        <f>Tabla5810[[#This Row],[Dias de alta]]*7.058</f>
        <v>218.798</v>
      </c>
      <c r="AE35" s="46" t="str">
        <f>IFERROR(VLOOKUP(Tabla5810[[#This Row],[Cod trabalhador]],Adiantamentos!B:L,7,FALSE),"")</f>
        <v/>
      </c>
      <c r="AF35" s="46" t="str">
        <f>IFERROR(VLOOKUP(Tabla5810[[#This Row],[Cod trabalhador]],Carro!B:D,3,FALSE),"")</f>
        <v/>
      </c>
      <c r="AG35" s="46" t="str">
        <f>IFERROR(VLOOKUP(Tabla5810[[#This Row],[Cod trabalhador]],'Outros descontos'!B:O,7,FALSE),"")</f>
        <v/>
      </c>
      <c r="AH35" s="46" t="str">
        <f>IFERROR(VLOOKUP(Tabla5810[[#This Row],[Cod trabalhador]],'Outros descontos'!B:M,8,FALSE),"")</f>
        <v/>
      </c>
      <c r="AI35" s="46" t="str">
        <f>IFERROR(VLOOKUP(Tabla5810[[#This Row],[Cod trabalhador]],'Outros descontos'!B:M,9,FALSE),"")</f>
        <v/>
      </c>
      <c r="AJ35" s="46" t="str">
        <f>IFERROR(VLOOKUP(Tabla5810[[#This Row],[Cod trabalhador]],'Outros descontos'!B:M,10,FALSE),"")</f>
        <v/>
      </c>
      <c r="AK35" s="46" t="str">
        <f>IFERROR(VLOOKUP(Tabla5810[[#This Row],[Cod trabalhador]],'Outros descontos'!B:M,11,FALSE),"")</f>
        <v/>
      </c>
      <c r="AL35" s="46" t="str">
        <f>IFERROR(VLOOKUP(Tabla5810[[#This Row],[Cod trabalhador]],'Outros descontos'!B:M,12,FALSE),"")</f>
        <v/>
      </c>
      <c r="AM35" s="46" t="str">
        <f>IFERROR(VLOOKUP(Tabla5810[[#This Row],[Cod trabalhador]],'Outros descontos'!B:M,13,FALSE),"")</f>
        <v/>
      </c>
      <c r="AN35" s="393"/>
      <c r="AO35" s="37">
        <v>4.08</v>
      </c>
      <c r="AP35" s="15"/>
      <c r="AQ35"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2425.521999999999</v>
      </c>
      <c r="AR35"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2425.5219999999999</v>
      </c>
      <c r="AS35" s="15"/>
      <c r="AT35" s="27" t="str">
        <f>IF(Tabla5810[[#This Row],[Cod trabalhador]]="", "", INDEX(Iban!C:C, MATCH(Tabla5810[[#This Row],[Cod trabalhador]],Iban!A:A, 0)))</f>
        <v>ES79 0182 3212 8702 0157 5468</v>
      </c>
      <c r="AU35" s="97"/>
      <c r="AV35" s="27"/>
      <c r="AW35" s="66" t="s">
        <v>7533</v>
      </c>
      <c r="AX35" s="296" t="s">
        <v>7472</v>
      </c>
    </row>
    <row r="36" spans="1:50" ht="18.75" customHeight="1" x14ac:dyDescent="0.3">
      <c r="A36" s="42">
        <v>31</v>
      </c>
      <c r="B36" s="39" t="s">
        <v>2055</v>
      </c>
      <c r="C36" s="45" t="str">
        <f>IF(ISNUMBER(MATCH(Tabla5810[[#This Row],[Cod trabalhador]],'Altas Luminous'!B:B, 0)), "Ativo", "Não ativo")</f>
        <v>Não ativo</v>
      </c>
      <c r="D36" s="44" t="str">
        <f>IFERROR(IF(VLOOKUP(Tabla5810[[#This Row],[Cod trabalhador]],'Altas Industrial'!B:E,1,0)&lt;&gt;"","KI",""),"")</f>
        <v/>
      </c>
      <c r="E36" s="44" t="str">
        <f>IFERROR(IF(VLOOKUP(Tabla5810[[#This Row],[Cod trabalhador]],'Altas Rosas'!B:F,1,0)&lt;&gt;"","KR",""),"")</f>
        <v/>
      </c>
      <c r="F36" s="44" t="str">
        <f>IFERROR(IF(VLOOKUP(Tabla5810[[#This Row],[Cod trabalhador]],'Altas Wiseowe'!B:E,1,0)&lt;&gt;"","WS",""),"")</f>
        <v/>
      </c>
      <c r="G36" s="44" t="str">
        <f>IFERROR(IF(VLOOKUP(Tabla5810[[#This Row],[Cod trabalhador]],'Altas Luminous'!B:E,1,0)&lt;&gt;"","LM",""),"")</f>
        <v/>
      </c>
      <c r="H36" s="51" t="str">
        <f>IFERROR(VLOOKUP(Tabla5810[[#This Row],[Cod trabalhador]],'Altas Luminous'!B:E,3,FALSE),"")</f>
        <v/>
      </c>
      <c r="I36" s="51" t="str">
        <f>IF(OR(Tabla5810[[#This Row],[Cod trabalhador]]="",ISBLANK(Tabla5810[[#This Row],[Cod trabalhador]])),"",IFERROR(IF(VLOOKUP(Tabla5810[[#This Row],[Cod trabalhador]],'Altas Luminous'!B:E,4,FALSE)=0,"",VLOOKUP(Tabla5810[[#This Row],[Cod trabalhador]],'Altas Luminous'!B:E,4,FALSE)),""))</f>
        <v/>
      </c>
      <c r="J36" s="44">
        <f t="shared" si="0"/>
        <v>0</v>
      </c>
      <c r="K36" s="44" t="s">
        <v>2056</v>
      </c>
      <c r="L36" s="24" t="str">
        <f>IFERROR(IF(Tabla5810[[#This Row],[Cod trabalhador]]="",Tabla5810[[#This Row],[Cod trabalhador]], INDEX(Colaborador_ID[Nombre], MATCH(Tabla5810[[#This Row],[Cod trabalhador]],Colaborador_ID[Cod_colab], 0))), "")</f>
        <v>FARID JOSE ROJAS GUERRA</v>
      </c>
      <c r="N36" s="25" t="s">
        <v>7143</v>
      </c>
      <c r="O36" s="401">
        <f>IFERROR(VLOOKUP(Tabla5810[[#This Row],[Cod trabalhador]],Tabla15[],4,FALSE),"")</f>
        <v>15</v>
      </c>
      <c r="P36" s="232">
        <f>IFERROR(VLOOKUP(Tabla5810[[#This Row],[Cod trabalhador]],'TotalHorasAjustadas (2)'!D:L,8,FALSE),"")</f>
        <v>207</v>
      </c>
      <c r="Q36" s="27">
        <v>207</v>
      </c>
      <c r="R36" s="28" t="s">
        <v>7532</v>
      </c>
      <c r="S36" s="28" t="s">
        <v>7486</v>
      </c>
      <c r="U36" s="25"/>
      <c r="V36" s="26"/>
      <c r="W36" s="27"/>
      <c r="X36" s="102"/>
      <c r="Y36" s="28"/>
      <c r="Z36" s="149"/>
      <c r="AA36" s="392" t="str">
        <f>IFERROR(VLOOKUP(Tabla5810[[#This Row],[Cod trabalhador]],Alojamentos!B:P,11,FALSE),"")</f>
        <v/>
      </c>
      <c r="AB36" s="127"/>
      <c r="AC36" s="150"/>
      <c r="AD36" s="35">
        <f>Tabla5810[[#This Row],[Dias de alta]]*7.058</f>
        <v>0</v>
      </c>
      <c r="AE36" s="46" t="str">
        <f>IFERROR(VLOOKUP(Tabla5810[[#This Row],[Cod trabalhador]],Adiantamentos!B:L,7,FALSE),"")</f>
        <v/>
      </c>
      <c r="AF36" s="46">
        <f>IFERROR(VLOOKUP(Tabla5810[[#This Row],[Cod trabalhador]],Carro!B:D,3,FALSE),"")</f>
        <v>128.88888888888889</v>
      </c>
      <c r="AG36" s="46">
        <f>IFERROR(VLOOKUP(Tabla5810[[#This Row],[Cod trabalhador]],'Outros descontos'!B:O,7,FALSE),"")</f>
        <v>100</v>
      </c>
      <c r="AH36" s="46">
        <f>IFERROR(VLOOKUP(Tabla5810[[#This Row],[Cod trabalhador]],'Outros descontos'!B:M,8,FALSE),"")</f>
        <v>0</v>
      </c>
      <c r="AI36" s="46">
        <f>IFERROR(VLOOKUP(Tabla5810[[#This Row],[Cod trabalhador]],'Outros descontos'!B:M,9,FALSE),"")</f>
        <v>0</v>
      </c>
      <c r="AJ36" s="46">
        <f>IFERROR(VLOOKUP(Tabla5810[[#This Row],[Cod trabalhador]],'Outros descontos'!B:M,10,FALSE),"")</f>
        <v>0</v>
      </c>
      <c r="AK36" s="46">
        <f>IFERROR(VLOOKUP(Tabla5810[[#This Row],[Cod trabalhador]],'Outros descontos'!B:M,11,FALSE),"")</f>
        <v>0</v>
      </c>
      <c r="AL36" s="46">
        <f>IFERROR(VLOOKUP(Tabla5810[[#This Row],[Cod trabalhador]],'Outros descontos'!B:M,12,FALSE),"")</f>
        <v>0</v>
      </c>
      <c r="AM36" s="46" t="str">
        <f>IFERROR(VLOOKUP(Tabla5810[[#This Row],[Cod trabalhador]],'Outros descontos'!B:M,13,FALSE),"")</f>
        <v/>
      </c>
      <c r="AN36" s="393"/>
      <c r="AO36" s="37">
        <v>4.08</v>
      </c>
      <c r="AP36" s="15"/>
      <c r="AQ36"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2872.0311111111114</v>
      </c>
      <c r="AR36"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2872.0311111111114</v>
      </c>
      <c r="AS36" s="15"/>
      <c r="AT36" s="27" t="str">
        <f>IF(Tabla5810[[#This Row],[Cod trabalhador]]="", "", INDEX(Iban!C:C, MATCH(Tabla5810[[#This Row],[Cod trabalhador]],Iban!A:A, 0)))</f>
        <v>ES21 0182 2648 1702 0166 2656</v>
      </c>
      <c r="AU36" s="27"/>
      <c r="AV36" s="27"/>
      <c r="AW36" s="66" t="s">
        <v>7533</v>
      </c>
      <c r="AX36" s="296" t="s">
        <v>7472</v>
      </c>
    </row>
    <row r="37" spans="1:50" ht="18.75" customHeight="1" x14ac:dyDescent="0.3">
      <c r="A37" s="42">
        <v>32</v>
      </c>
      <c r="B37" s="39" t="s">
        <v>2126</v>
      </c>
      <c r="C37" s="45" t="str">
        <f>IF(ISNUMBER(MATCH(Tabla5810[[#This Row],[Cod trabalhador]],'Altas Luminous'!B:B, 0)), "Ativo", "Não ativo")</f>
        <v>Não ativo</v>
      </c>
      <c r="D37" s="44" t="str">
        <f>IFERROR(IF(VLOOKUP(Tabla5810[[#This Row],[Cod trabalhador]],'Altas Industrial'!B:E,1,0)&lt;&gt;"","KI",""),"")</f>
        <v/>
      </c>
      <c r="E37" s="44" t="str">
        <f>IFERROR(IF(VLOOKUP(Tabla5810[[#This Row],[Cod trabalhador]],'Altas Rosas'!B:F,1,0)&lt;&gt;"","KR",""),"")</f>
        <v/>
      </c>
      <c r="F37" s="44" t="str">
        <f>IFERROR(IF(VLOOKUP(Tabla5810[[#This Row],[Cod trabalhador]],'Altas Wiseowe'!B:E,1,0)&lt;&gt;"","WS",""),"")</f>
        <v/>
      </c>
      <c r="G37" s="44" t="str">
        <f>IFERROR(IF(VLOOKUP(Tabla5810[[#This Row],[Cod trabalhador]],'Altas Luminous'!B:E,1,0)&lt;&gt;"","LM",""),"")</f>
        <v/>
      </c>
      <c r="H37" s="51" t="str">
        <f>IFERROR(VLOOKUP(Tabla5810[[#This Row],[Cod trabalhador]],'Altas Luminous'!B:E,3,FALSE),"")</f>
        <v/>
      </c>
      <c r="I37" s="51" t="str">
        <f>IF(OR(Tabla5810[[#This Row],[Cod trabalhador]]="",ISBLANK(Tabla5810[[#This Row],[Cod trabalhador]])),"",IFERROR(IF(VLOOKUP(Tabla5810[[#This Row],[Cod trabalhador]],'Altas Luminous'!B:E,4,FALSE)=0,"",VLOOKUP(Tabla5810[[#This Row],[Cod trabalhador]],'Altas Luminous'!B:E,4,FALSE)),""))</f>
        <v/>
      </c>
      <c r="J37" s="44">
        <f t="shared" ref="J37:J68" si="1">IF(C37="ativo",    IF(ISBLANK(H37),"",MAX(0,MIN(IF(ISBLANK(I37),EOMONTH(DATE(2026,1,1),0),I37),EOMONTH(DATE(2026,1,1),0)) - MAX(H37,DATE(2026,1,1))))+1,
    0
)</f>
        <v>0</v>
      </c>
      <c r="K37" s="44" t="s">
        <v>2127</v>
      </c>
      <c r="L37" s="24" t="str">
        <f>IFERROR(IF(Tabla5810[[#This Row],[Cod trabalhador]]="",Tabla5810[[#This Row],[Cod trabalhador]], INDEX(Colaborador_ID[Nombre], MATCH(Tabla5810[[#This Row],[Cod trabalhador]],Colaborador_ID[Cod_colab], 0))), "")</f>
        <v>FERNEY TORRES LEDESMA</v>
      </c>
      <c r="N37" s="25" t="s">
        <v>7109</v>
      </c>
      <c r="O37" s="401">
        <f>IFERROR(VLOOKUP(Tabla5810[[#This Row],[Cod trabalhador]],Tabla15[],4,FALSE),"")</f>
        <v>15</v>
      </c>
      <c r="P37" s="232">
        <f>IFERROR(VLOOKUP(Tabla5810[[#This Row],[Cod trabalhador]],'TotalHorasAjustadas (2)'!D:L,8,FALSE),"")</f>
        <v>77</v>
      </c>
      <c r="Q37" s="27">
        <v>77</v>
      </c>
      <c r="R37" s="28" t="s">
        <v>7471</v>
      </c>
      <c r="S37" s="28" t="s">
        <v>7486</v>
      </c>
      <c r="U37" s="25"/>
      <c r="V37" s="26"/>
      <c r="W37" s="27"/>
      <c r="X37" s="102"/>
      <c r="Y37" s="28"/>
      <c r="Z37" s="149"/>
      <c r="AA37" s="392" t="str">
        <f>IFERROR(VLOOKUP(Tabla5810[[#This Row],[Cod trabalhador]],Alojamentos!B:P,11,FALSE),"")</f>
        <v/>
      </c>
      <c r="AB37" s="127"/>
      <c r="AC37" s="150"/>
      <c r="AD37" s="35">
        <f>Tabla5810[[#This Row],[Dias de alta]]*7.058</f>
        <v>0</v>
      </c>
      <c r="AE37" s="46" t="str">
        <f>IFERROR(VLOOKUP(Tabla5810[[#This Row],[Cod trabalhador]],Adiantamentos!B:L,7,FALSE),"")</f>
        <v/>
      </c>
      <c r="AF37" s="46" t="str">
        <f>IFERROR(VLOOKUP(Tabla5810[[#This Row],[Cod trabalhador]],Carro!B:D,3,FALSE),"")</f>
        <v/>
      </c>
      <c r="AG37" s="46" t="str">
        <f>IFERROR(VLOOKUP(Tabla5810[[#This Row],[Cod trabalhador]],'Outros descontos'!B:O,7,FALSE),"")</f>
        <v/>
      </c>
      <c r="AH37" s="46" t="str">
        <f>IFERROR(VLOOKUP(Tabla5810[[#This Row],[Cod trabalhador]],'Outros descontos'!B:M,8,FALSE),"")</f>
        <v/>
      </c>
      <c r="AI37" s="46" t="str">
        <f>IFERROR(VLOOKUP(Tabla5810[[#This Row],[Cod trabalhador]],'Outros descontos'!B:M,9,FALSE),"")</f>
        <v/>
      </c>
      <c r="AJ37" s="46" t="str">
        <f>IFERROR(VLOOKUP(Tabla5810[[#This Row],[Cod trabalhador]],'Outros descontos'!B:M,10,FALSE),"")</f>
        <v/>
      </c>
      <c r="AK37" s="46" t="str">
        <f>IFERROR(VLOOKUP(Tabla5810[[#This Row],[Cod trabalhador]],'Outros descontos'!B:M,11,FALSE),"")</f>
        <v/>
      </c>
      <c r="AL37" s="46" t="str">
        <f>IFERROR(VLOOKUP(Tabla5810[[#This Row],[Cod trabalhador]],'Outros descontos'!B:M,12,FALSE),"")</f>
        <v/>
      </c>
      <c r="AM37" s="46" t="str">
        <f>IFERROR(VLOOKUP(Tabla5810[[#This Row],[Cod trabalhador]],'Outros descontos'!B:M,13,FALSE),"")</f>
        <v/>
      </c>
      <c r="AN37" s="393"/>
      <c r="AO37" s="37">
        <v>4.08</v>
      </c>
      <c r="AP37" s="15"/>
      <c r="AQ37"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1150.92</v>
      </c>
      <c r="AR37"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1150.92</v>
      </c>
      <c r="AS37" s="15"/>
      <c r="AT37" s="27" t="str">
        <f>IF(Tabla5810[[#This Row],[Cod trabalhador]]="", "", INDEX(Iban!C:C, MATCH(Tabla5810[[#This Row],[Cod trabalhador]],Iban!A:A, 0)))</f>
        <v>BE53 9057 8844 0053</v>
      </c>
      <c r="AU37" s="27"/>
      <c r="AV37" s="27"/>
      <c r="AW37" s="66" t="s">
        <v>7533</v>
      </c>
      <c r="AX37" s="296" t="s">
        <v>7472</v>
      </c>
    </row>
    <row r="38" spans="1:50" ht="18.75" customHeight="1" x14ac:dyDescent="0.3">
      <c r="A38" s="42">
        <v>33</v>
      </c>
      <c r="B38" s="39" t="s">
        <v>2253</v>
      </c>
      <c r="C38" s="45" t="str">
        <f>IF(ISNUMBER(MATCH(Tabla5810[[#This Row],[Cod trabalhador]],'Altas Luminous'!B:B, 0)), "Ativo", "Não ativo")</f>
        <v>Ativo</v>
      </c>
      <c r="D38" s="44" t="str">
        <f>IFERROR(IF(VLOOKUP(Tabla5810[[#This Row],[Cod trabalhador]],'Altas Industrial'!B:E,1,0)&lt;&gt;"","KI",""),"")</f>
        <v/>
      </c>
      <c r="E38" s="44" t="str">
        <f>IFERROR(IF(VLOOKUP(Tabla5810[[#This Row],[Cod trabalhador]],'Altas Rosas'!B:F,1,0)&lt;&gt;"","KR",""),"")</f>
        <v/>
      </c>
      <c r="F38" s="44" t="str">
        <f>IFERROR(IF(VLOOKUP(Tabla5810[[#This Row],[Cod trabalhador]],'Altas Wiseowe'!B:E,1,0)&lt;&gt;"","WS",""),"")</f>
        <v>WS</v>
      </c>
      <c r="G38" s="44" t="str">
        <f>IFERROR(IF(VLOOKUP(Tabla5810[[#This Row],[Cod trabalhador]],'Altas Luminous'!B:E,1,0)&lt;&gt;"","LM",""),"")</f>
        <v>LM</v>
      </c>
      <c r="H38" s="51">
        <f>IFERROR(VLOOKUP(Tabla5810[[#This Row],[Cod trabalhador]],'Altas Luminous'!B:E,3,FALSE),"")</f>
        <v>46042</v>
      </c>
      <c r="I38" s="51" t="str">
        <f>IF(OR(Tabla5810[[#This Row],[Cod trabalhador]]="",ISBLANK(Tabla5810[[#This Row],[Cod trabalhador]])),"",IFERROR(IF(VLOOKUP(Tabla5810[[#This Row],[Cod trabalhador]],'Altas Luminous'!B:E,4,FALSE)=0,"",VLOOKUP(Tabla5810[[#This Row],[Cod trabalhador]],'Altas Luminous'!B:E,4,FALSE)),""))</f>
        <v/>
      </c>
      <c r="J38" s="44">
        <f t="shared" si="1"/>
        <v>12</v>
      </c>
      <c r="K38" s="44" t="s">
        <v>7114</v>
      </c>
      <c r="L38" s="24" t="str">
        <f>IFERROR(IF(Tabla5810[[#This Row],[Cod trabalhador]]="",Tabla5810[[#This Row],[Cod trabalhador]], INDEX(Colaborador_ID[Nombre], MATCH(Tabla5810[[#This Row],[Cod trabalhador]],Colaborador_ID[Cod_colab], 0))), "")</f>
        <v>FREDIS ANTONIO MORELOS COLON</v>
      </c>
      <c r="N38" s="25" t="s">
        <v>7109</v>
      </c>
      <c r="O38" s="401">
        <f>IFERROR(VLOOKUP(Tabla5810[[#This Row],[Cod trabalhador]],Tabla15[],4,FALSE),"")</f>
        <v>16</v>
      </c>
      <c r="P38" s="232">
        <f>IFERROR(VLOOKUP(Tabla5810[[#This Row],[Cod trabalhador]],'TotalHorasAjustadas (2)'!D:L,8,FALSE),"")</f>
        <v>80</v>
      </c>
      <c r="Q38" s="27">
        <v>80</v>
      </c>
      <c r="R38" s="28" t="s">
        <v>7471</v>
      </c>
      <c r="S38" s="28" t="s">
        <v>7486</v>
      </c>
      <c r="U38" s="25"/>
      <c r="V38" s="26"/>
      <c r="W38" s="27"/>
      <c r="X38" s="102"/>
      <c r="Y38" s="28"/>
      <c r="Z38" s="149"/>
      <c r="AA38" s="392" t="str">
        <f>IFERROR(VLOOKUP(Tabla5810[[#This Row],[Cod trabalhador]],Alojamentos!B:P,11,FALSE),"")</f>
        <v/>
      </c>
      <c r="AB38" s="127"/>
      <c r="AC38" s="150"/>
      <c r="AD38" s="35">
        <f>Tabla5810[[#This Row],[Dias de alta]]*7.058</f>
        <v>84.695999999999998</v>
      </c>
      <c r="AE38" s="46" t="str">
        <f>IFERROR(VLOOKUP(Tabla5810[[#This Row],[Cod trabalhador]],Adiantamentos!B:L,7,FALSE),"")</f>
        <v/>
      </c>
      <c r="AF38" s="46" t="str">
        <f>IFERROR(VLOOKUP(Tabla5810[[#This Row],[Cod trabalhador]],Carro!B:D,3,FALSE),"")</f>
        <v/>
      </c>
      <c r="AG38" s="46" t="str">
        <f>IFERROR(VLOOKUP(Tabla5810[[#This Row],[Cod trabalhador]],'Outros descontos'!B:O,7,FALSE),"")</f>
        <v/>
      </c>
      <c r="AH38" s="46" t="str">
        <f>IFERROR(VLOOKUP(Tabla5810[[#This Row],[Cod trabalhador]],'Outros descontos'!B:M,8,FALSE),"")</f>
        <v/>
      </c>
      <c r="AI38" s="46" t="str">
        <f>IFERROR(VLOOKUP(Tabla5810[[#This Row],[Cod trabalhador]],'Outros descontos'!B:M,9,FALSE),"")</f>
        <v/>
      </c>
      <c r="AJ38" s="46" t="str">
        <f>IFERROR(VLOOKUP(Tabla5810[[#This Row],[Cod trabalhador]],'Outros descontos'!B:M,10,FALSE),"")</f>
        <v/>
      </c>
      <c r="AK38" s="46" t="str">
        <f>IFERROR(VLOOKUP(Tabla5810[[#This Row],[Cod trabalhador]],'Outros descontos'!B:M,11,FALSE),"")</f>
        <v/>
      </c>
      <c r="AL38" s="46" t="str">
        <f>IFERROR(VLOOKUP(Tabla5810[[#This Row],[Cod trabalhador]],'Outros descontos'!B:M,12,FALSE),"")</f>
        <v/>
      </c>
      <c r="AM38" s="46" t="str">
        <f>IFERROR(VLOOKUP(Tabla5810[[#This Row],[Cod trabalhador]],'Outros descontos'!B:M,13,FALSE),"")</f>
        <v/>
      </c>
      <c r="AN38" s="393"/>
      <c r="AO38" s="37">
        <v>4.08</v>
      </c>
      <c r="AP38" s="15"/>
      <c r="AQ38"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1191.2240000000002</v>
      </c>
      <c r="AR38"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1191.2240000000002</v>
      </c>
      <c r="AS38" s="15"/>
      <c r="AT38" s="27" t="str">
        <f>IF(Tabla5810[[#This Row],[Cod trabalhador]]="", "", INDEX(Iban!C:C, MATCH(Tabla5810[[#This Row],[Cod trabalhador]],Iban!A:A, 0)))</f>
        <v>BE05 9053 5228 1775</v>
      </c>
      <c r="AU38" s="27"/>
      <c r="AV38" s="27"/>
      <c r="AW38" s="66" t="s">
        <v>7533</v>
      </c>
      <c r="AX38" s="296" t="s">
        <v>7472</v>
      </c>
    </row>
    <row r="39" spans="1:50" ht="18.75" customHeight="1" x14ac:dyDescent="0.3">
      <c r="A39" s="42">
        <v>34</v>
      </c>
      <c r="B39" s="39" t="s">
        <v>2260</v>
      </c>
      <c r="C39" s="45" t="str">
        <f>IF(ISNUMBER(MATCH(Tabla5810[[#This Row],[Cod trabalhador]],'Altas Luminous'!B:B, 0)), "Ativo", "Não ativo")</f>
        <v>Não ativo</v>
      </c>
      <c r="D39" s="44" t="str">
        <f>IFERROR(IF(VLOOKUP(Tabla5810[[#This Row],[Cod trabalhador]],'Altas Industrial'!B:E,1,0)&lt;&gt;"","KI",""),"")</f>
        <v/>
      </c>
      <c r="E39" s="44" t="str">
        <f>IFERROR(IF(VLOOKUP(Tabla5810[[#This Row],[Cod trabalhador]],'Altas Rosas'!B:F,1,0)&lt;&gt;"","KR",""),"")</f>
        <v/>
      </c>
      <c r="F39" s="44" t="str">
        <f>IFERROR(IF(VLOOKUP(Tabla5810[[#This Row],[Cod trabalhador]],'Altas Wiseowe'!B:E,1,0)&lt;&gt;"","WS",""),"")</f>
        <v/>
      </c>
      <c r="G39" s="44" t="str">
        <f>IFERROR(IF(VLOOKUP(Tabla5810[[#This Row],[Cod trabalhador]],'Altas Luminous'!B:E,1,0)&lt;&gt;"","LM",""),"")</f>
        <v/>
      </c>
      <c r="H39" s="51" t="str">
        <f>IFERROR(VLOOKUP(Tabla5810[[#This Row],[Cod trabalhador]],'Altas Luminous'!B:E,3,FALSE),"")</f>
        <v/>
      </c>
      <c r="I39" s="51" t="str">
        <f>IF(OR(Tabla5810[[#This Row],[Cod trabalhador]]="",ISBLANK(Tabla5810[[#This Row],[Cod trabalhador]])),"",IFERROR(IF(VLOOKUP(Tabla5810[[#This Row],[Cod trabalhador]],'Altas Luminous'!B:E,4,FALSE)=0,"",VLOOKUP(Tabla5810[[#This Row],[Cod trabalhador]],'Altas Luminous'!B:E,4,FALSE)),""))</f>
        <v/>
      </c>
      <c r="J39" s="44">
        <f t="shared" si="1"/>
        <v>0</v>
      </c>
      <c r="K39" s="413" t="s">
        <v>2261</v>
      </c>
      <c r="L39" s="24" t="str">
        <f>IFERROR(IF(Tabla5810[[#This Row],[Cod trabalhador]]="",Tabla5810[[#This Row],[Cod trabalhador]], INDEX(Colaborador_ID[Nombre], MATCH(Tabla5810[[#This Row],[Cod trabalhador]],Colaborador_ID[Cod_colab], 0))), "")</f>
        <v>FREDIS BOLAÑOS GARCIA</v>
      </c>
      <c r="N39" s="25" t="s">
        <v>7128</v>
      </c>
      <c r="O39" s="401">
        <v>14</v>
      </c>
      <c r="P39" s="232">
        <f>IFERROR(VLOOKUP(Tabla5810[[#This Row],[Cod trabalhador]],'TotalHorasAjustadas (2)'!D:L,8,FALSE),"")</f>
        <v>117</v>
      </c>
      <c r="Q39" s="27">
        <v>117</v>
      </c>
      <c r="R39" s="28" t="s">
        <v>7532</v>
      </c>
      <c r="S39" s="28" t="s">
        <v>7486</v>
      </c>
      <c r="U39" s="25"/>
      <c r="V39" s="26"/>
      <c r="W39" s="27"/>
      <c r="X39" s="102"/>
      <c r="Y39" s="28"/>
      <c r="Z39" s="149"/>
      <c r="AA39" s="392" t="str">
        <f>IFERROR(VLOOKUP(Tabla5810[[#This Row],[Cod trabalhador]],Alojamentos!B:P,11,FALSE),"")</f>
        <v/>
      </c>
      <c r="AB39" s="127"/>
      <c r="AC39" s="150"/>
      <c r="AD39" s="35">
        <f>Tabla5810[[#This Row],[Dias de alta]]*7.058</f>
        <v>0</v>
      </c>
      <c r="AE39" s="46" t="str">
        <f>IFERROR(VLOOKUP(Tabla5810[[#This Row],[Cod trabalhador]],Adiantamentos!B:L,7,FALSE),"")</f>
        <v/>
      </c>
      <c r="AF39" s="46" t="str">
        <f>IFERROR(VLOOKUP(Tabla5810[[#This Row],[Cod trabalhador]],Carro!B:D,3,FALSE),"")</f>
        <v/>
      </c>
      <c r="AG39" s="46">
        <f>IFERROR(VLOOKUP(Tabla5810[[#This Row],[Cod trabalhador]],'Outros descontos'!B:O,7,FALSE),"")</f>
        <v>0</v>
      </c>
      <c r="AH39" s="46">
        <f>IFERROR(VLOOKUP(Tabla5810[[#This Row],[Cod trabalhador]],'Outros descontos'!B:M,8,FALSE),"")</f>
        <v>0</v>
      </c>
      <c r="AI39" s="46">
        <f>IFERROR(VLOOKUP(Tabla5810[[#This Row],[Cod trabalhador]],'Outros descontos'!B:M,9,FALSE),"")</f>
        <v>0</v>
      </c>
      <c r="AJ39" s="46">
        <f>IFERROR(VLOOKUP(Tabla5810[[#This Row],[Cod trabalhador]],'Outros descontos'!B:M,10,FALSE),"")</f>
        <v>0</v>
      </c>
      <c r="AK39" s="46">
        <f>IFERROR(VLOOKUP(Tabla5810[[#This Row],[Cod trabalhador]],'Outros descontos'!B:M,11,FALSE),"")</f>
        <v>0</v>
      </c>
      <c r="AL39" s="46">
        <f>IFERROR(VLOOKUP(Tabla5810[[#This Row],[Cod trabalhador]],'Outros descontos'!B:M,12,FALSE),"")</f>
        <v>21.74</v>
      </c>
      <c r="AM39" s="46" t="str">
        <f>IFERROR(VLOOKUP(Tabla5810[[#This Row],[Cod trabalhador]],'Outros descontos'!B:M,13,FALSE),"")</f>
        <v/>
      </c>
      <c r="AN39" s="393"/>
      <c r="AO39" s="37">
        <v>4.08</v>
      </c>
      <c r="AP39" s="15"/>
      <c r="AQ39"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1612.18</v>
      </c>
      <c r="AR39"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1612.18</v>
      </c>
      <c r="AS39" s="15"/>
      <c r="AT39" s="27" t="str">
        <f>IF(Tabla5810[[#This Row],[Cod trabalhador]]="", "", INDEX(Iban!C:C, MATCH(Tabla5810[[#This Row],[Cod trabalhador]],Iban!A:A, 0)))</f>
        <v>ES89 0182 6936 1302 0159 9615</v>
      </c>
      <c r="AU39" s="27"/>
      <c r="AV39" s="27"/>
      <c r="AW39" s="66" t="s">
        <v>7533</v>
      </c>
      <c r="AX39" s="296" t="s">
        <v>7472</v>
      </c>
    </row>
    <row r="40" spans="1:50" ht="18.75" customHeight="1" x14ac:dyDescent="0.3">
      <c r="A40" s="42">
        <v>35</v>
      </c>
      <c r="B40" s="39" t="s">
        <v>2312</v>
      </c>
      <c r="C40" s="45" t="str">
        <f>IF(ISNUMBER(MATCH(Tabla5810[[#This Row],[Cod trabalhador]],'Altas Luminous'!B:B, 0)), "Ativo", "Não ativo")</f>
        <v>Não ativo</v>
      </c>
      <c r="D40" s="44" t="str">
        <f>IFERROR(IF(VLOOKUP(Tabla5810[[#This Row],[Cod trabalhador]],'Altas Industrial'!B:E,1,0)&lt;&gt;"","KI",""),"")</f>
        <v/>
      </c>
      <c r="E40" s="44" t="str">
        <f>IFERROR(IF(VLOOKUP(Tabla5810[[#This Row],[Cod trabalhador]],'Altas Rosas'!B:F,1,0)&lt;&gt;"","KR",""),"")</f>
        <v/>
      </c>
      <c r="F40" s="44" t="str">
        <f>IFERROR(IF(VLOOKUP(Tabla5810[[#This Row],[Cod trabalhador]],'Altas Wiseowe'!B:E,1,0)&lt;&gt;"","WS",""),"")</f>
        <v/>
      </c>
      <c r="G40" s="44" t="str">
        <f>IFERROR(IF(VLOOKUP(Tabla5810[[#This Row],[Cod trabalhador]],'Altas Luminous'!B:E,1,0)&lt;&gt;"","LM",""),"")</f>
        <v/>
      </c>
      <c r="H40" s="51" t="str">
        <f>IFERROR(VLOOKUP(Tabla5810[[#This Row],[Cod trabalhador]],'Altas Luminous'!B:E,3,FALSE),"")</f>
        <v/>
      </c>
      <c r="I40" s="51" t="str">
        <f>IF(OR(Tabla5810[[#This Row],[Cod trabalhador]]="",ISBLANK(Tabla5810[[#This Row],[Cod trabalhador]])),"",IFERROR(IF(VLOOKUP(Tabla5810[[#This Row],[Cod trabalhador]],'Altas Luminous'!B:E,4,FALSE)=0,"",VLOOKUP(Tabla5810[[#This Row],[Cod trabalhador]],'Altas Luminous'!B:E,4,FALSE)),""))</f>
        <v/>
      </c>
      <c r="J40" s="44">
        <f t="shared" si="1"/>
        <v>0</v>
      </c>
      <c r="K40" s="413" t="s">
        <v>2313</v>
      </c>
      <c r="L40" s="24" t="str">
        <f>IFERROR(IF(Tabla5810[[#This Row],[Cod trabalhador]]="",Tabla5810[[#This Row],[Cod trabalhador]], INDEX(Colaborador_ID[Nombre], MATCH(Tabla5810[[#This Row],[Cod trabalhador]],Colaborador_ID[Cod_colab], 0))), "")</f>
        <v>GERARDO LARA GONZALEZ</v>
      </c>
      <c r="N40" s="25" t="s">
        <v>7109</v>
      </c>
      <c r="O40" s="401">
        <f>IFERROR(VLOOKUP(Tabla5810[[#This Row],[Cod trabalhador]],Tabla15[],4,FALSE),"")</f>
        <v>15</v>
      </c>
      <c r="P40" s="232">
        <f>IFERROR(VLOOKUP(Tabla5810[[#This Row],[Cod trabalhador]],'TotalHorasAjustadas (2)'!D:L,8,FALSE),"")</f>
        <v>175</v>
      </c>
      <c r="Q40" s="27">
        <v>166</v>
      </c>
      <c r="R40" s="28" t="s">
        <v>7471</v>
      </c>
      <c r="S40" s="28" t="s">
        <v>7486</v>
      </c>
      <c r="U40" s="25"/>
      <c r="V40" s="26"/>
      <c r="W40" s="27"/>
      <c r="X40" s="102"/>
      <c r="Y40" s="28"/>
      <c r="Z40" s="149"/>
      <c r="AA40" s="392" t="str">
        <f>IFERROR(VLOOKUP(Tabla5810[[#This Row],[Cod trabalhador]],Alojamentos!B:P,11,FALSE),"")</f>
        <v/>
      </c>
      <c r="AB40" s="127"/>
      <c r="AC40" s="150"/>
      <c r="AD40" s="35">
        <f>Tabla5810[[#This Row],[Dias de alta]]*7.058</f>
        <v>0</v>
      </c>
      <c r="AE40" s="46" t="str">
        <f>IFERROR(VLOOKUP(Tabla5810[[#This Row],[Cod trabalhador]],Adiantamentos!B:L,7,FALSE),"")</f>
        <v/>
      </c>
      <c r="AF40" s="46" t="str">
        <f>IFERROR(VLOOKUP(Tabla5810[[#This Row],[Cod trabalhador]],Carro!B:D,3,FALSE),"")</f>
        <v/>
      </c>
      <c r="AG40" s="46" t="str">
        <f>IFERROR(VLOOKUP(Tabla5810[[#This Row],[Cod trabalhador]],'Outros descontos'!B:O,7,FALSE),"")</f>
        <v/>
      </c>
      <c r="AH40" s="46" t="str">
        <f>IFERROR(VLOOKUP(Tabla5810[[#This Row],[Cod trabalhador]],'Outros descontos'!B:M,8,FALSE),"")</f>
        <v/>
      </c>
      <c r="AI40" s="46" t="str">
        <f>IFERROR(VLOOKUP(Tabla5810[[#This Row],[Cod trabalhador]],'Outros descontos'!B:M,9,FALSE),"")</f>
        <v/>
      </c>
      <c r="AJ40" s="46" t="str">
        <f>IFERROR(VLOOKUP(Tabla5810[[#This Row],[Cod trabalhador]],'Outros descontos'!B:M,10,FALSE),"")</f>
        <v/>
      </c>
      <c r="AK40" s="46" t="str">
        <f>IFERROR(VLOOKUP(Tabla5810[[#This Row],[Cod trabalhador]],'Outros descontos'!B:M,11,FALSE),"")</f>
        <v/>
      </c>
      <c r="AL40" s="46" t="str">
        <f>IFERROR(VLOOKUP(Tabla5810[[#This Row],[Cod trabalhador]],'Outros descontos'!B:M,12,FALSE),"")</f>
        <v/>
      </c>
      <c r="AM40" s="46" t="str">
        <f>IFERROR(VLOOKUP(Tabla5810[[#This Row],[Cod trabalhador]],'Outros descontos'!B:M,13,FALSE),"")</f>
        <v/>
      </c>
      <c r="AN40" s="393"/>
      <c r="AO40" s="37">
        <v>4.08</v>
      </c>
      <c r="AP40" s="15"/>
      <c r="AQ40"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2620.92</v>
      </c>
      <c r="AR40"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2485.92</v>
      </c>
      <c r="AS40" s="15"/>
      <c r="AT40" s="27" t="str">
        <f>IF(Tabla5810[[#This Row],[Cod trabalhador]]="", "", INDEX(Iban!C:C, MATCH(Tabla5810[[#This Row],[Cod trabalhador]],Iban!A:A, 0)))</f>
        <v>ES58 0182 8323 2602 0195 7471</v>
      </c>
      <c r="AU40" s="27"/>
      <c r="AV40" s="27"/>
      <c r="AW40" s="66" t="s">
        <v>7533</v>
      </c>
      <c r="AX40" s="296" t="s">
        <v>7472</v>
      </c>
    </row>
    <row r="41" spans="1:50" ht="18.75" customHeight="1" x14ac:dyDescent="0.3">
      <c r="A41" s="42">
        <v>36</v>
      </c>
      <c r="B41" s="39" t="s">
        <v>2350</v>
      </c>
      <c r="C41" s="45" t="str">
        <f>IF(ISNUMBER(MATCH(Tabla5810[[#This Row],[Cod trabalhador]],'Altas Luminous'!B:B, 0)), "Ativo", "Não ativo")</f>
        <v>Não ativo</v>
      </c>
      <c r="D41" s="44" t="str">
        <f>IFERROR(IF(VLOOKUP(Tabla5810[[#This Row],[Cod trabalhador]],'Altas Industrial'!B:E,1,0)&lt;&gt;"","KI",""),"")</f>
        <v/>
      </c>
      <c r="E41" s="44" t="str">
        <f>IFERROR(IF(VLOOKUP(Tabla5810[[#This Row],[Cod trabalhador]],'Altas Rosas'!B:F,1,0)&lt;&gt;"","KR",""),"")</f>
        <v/>
      </c>
      <c r="F41" s="44" t="str">
        <f>IFERROR(IF(VLOOKUP(Tabla5810[[#This Row],[Cod trabalhador]],'Altas Wiseowe'!B:E,1,0)&lt;&gt;"","WS",""),"")</f>
        <v/>
      </c>
      <c r="G41" s="44" t="str">
        <f>IFERROR(IF(VLOOKUP(Tabla5810[[#This Row],[Cod trabalhador]],'Altas Luminous'!B:E,1,0)&lt;&gt;"","LM",""),"")</f>
        <v/>
      </c>
      <c r="H41" s="51" t="str">
        <f>IFERROR(VLOOKUP(Tabla5810[[#This Row],[Cod trabalhador]],'Altas Luminous'!B:E,3,FALSE),"")</f>
        <v/>
      </c>
      <c r="I41" s="51" t="str">
        <f>IF(OR(Tabla5810[[#This Row],[Cod trabalhador]]="",ISBLANK(Tabla5810[[#This Row],[Cod trabalhador]])),"",IFERROR(IF(VLOOKUP(Tabla5810[[#This Row],[Cod trabalhador]],'Altas Luminous'!B:E,4,FALSE)=0,"",VLOOKUP(Tabla5810[[#This Row],[Cod trabalhador]],'Altas Luminous'!B:E,4,FALSE)),""))</f>
        <v/>
      </c>
      <c r="J41" s="44">
        <f t="shared" si="1"/>
        <v>0</v>
      </c>
      <c r="K41" s="44" t="s">
        <v>2351</v>
      </c>
      <c r="L41" s="24" t="str">
        <f>IFERROR(IF(Tabla5810[[#This Row],[Cod trabalhador]]="",Tabla5810[[#This Row],[Cod trabalhador]], INDEX(Colaborador_ID[Nombre], MATCH(Tabla5810[[#This Row],[Cod trabalhador]],Colaborador_ID[Cod_colab], 0))), "")</f>
        <v>GIAN CARLOS SAAVEDRA LAPA</v>
      </c>
      <c r="N41" s="25" t="s">
        <v>7109</v>
      </c>
      <c r="O41" s="401">
        <f>IFERROR(VLOOKUP(Tabla5810[[#This Row],[Cod trabalhador]],Tabla15[],4,FALSE),"")</f>
        <v>15</v>
      </c>
      <c r="P41" s="232">
        <f>IFERROR(VLOOKUP(Tabla5810[[#This Row],[Cod trabalhador]],'TotalHorasAjustadas (2)'!D:L,8,FALSE),"")</f>
        <v>160</v>
      </c>
      <c r="Q41" s="27">
        <v>160</v>
      </c>
      <c r="R41" s="28" t="s">
        <v>7471</v>
      </c>
      <c r="S41" s="28" t="s">
        <v>7486</v>
      </c>
      <c r="U41" s="25"/>
      <c r="V41" s="26"/>
      <c r="W41" s="27"/>
      <c r="X41" s="102"/>
      <c r="Y41" s="28"/>
      <c r="Z41" s="149"/>
      <c r="AA41" s="392">
        <f>IFERROR(VLOOKUP(Tabla5810[[#This Row],[Cod trabalhador]],Alojamentos!B:P,11,FALSE),"")</f>
        <v>300</v>
      </c>
      <c r="AB41" s="127"/>
      <c r="AC41" s="150"/>
      <c r="AD41" s="35">
        <f>Tabla5810[[#This Row],[Dias de alta]]*7.058</f>
        <v>0</v>
      </c>
      <c r="AE41" s="46" t="str">
        <f>IFERROR(VLOOKUP(Tabla5810[[#This Row],[Cod trabalhador]],Adiantamentos!B:L,7,FALSE),"")</f>
        <v/>
      </c>
      <c r="AF41" s="46" t="str">
        <f>IFERROR(VLOOKUP(Tabla5810[[#This Row],[Cod trabalhador]],Carro!B:D,3,FALSE),"")</f>
        <v/>
      </c>
      <c r="AG41" s="46" t="str">
        <f>IFERROR(VLOOKUP(Tabla5810[[#This Row],[Cod trabalhador]],'Outros descontos'!B:O,7,FALSE),"")</f>
        <v/>
      </c>
      <c r="AH41" s="46" t="str">
        <f>IFERROR(VLOOKUP(Tabla5810[[#This Row],[Cod trabalhador]],'Outros descontos'!B:M,8,FALSE),"")</f>
        <v/>
      </c>
      <c r="AI41" s="46" t="str">
        <f>IFERROR(VLOOKUP(Tabla5810[[#This Row],[Cod trabalhador]],'Outros descontos'!B:M,9,FALSE),"")</f>
        <v/>
      </c>
      <c r="AJ41" s="46" t="str">
        <f>IFERROR(VLOOKUP(Tabla5810[[#This Row],[Cod trabalhador]],'Outros descontos'!B:M,10,FALSE),"")</f>
        <v/>
      </c>
      <c r="AK41" s="46" t="str">
        <f>IFERROR(VLOOKUP(Tabla5810[[#This Row],[Cod trabalhador]],'Outros descontos'!B:M,11,FALSE),"")</f>
        <v/>
      </c>
      <c r="AL41" s="46" t="str">
        <f>IFERROR(VLOOKUP(Tabla5810[[#This Row],[Cod trabalhador]],'Outros descontos'!B:M,12,FALSE),"")</f>
        <v/>
      </c>
      <c r="AM41" s="46" t="str">
        <f>IFERROR(VLOOKUP(Tabla5810[[#This Row],[Cod trabalhador]],'Outros descontos'!B:M,13,FALSE),"")</f>
        <v/>
      </c>
      <c r="AN41" s="393"/>
      <c r="AO41" s="37">
        <v>4.08</v>
      </c>
      <c r="AP41" s="15"/>
      <c r="AQ41"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2695.92</v>
      </c>
      <c r="AR41"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2695.92</v>
      </c>
      <c r="AS41" s="15"/>
      <c r="AT41" s="27" t="str">
        <f>IF(Tabla5810[[#This Row],[Cod trabalhador]]="", "", INDEX(Iban!C:C, MATCH(Tabla5810[[#This Row],[Cod trabalhador]],Iban!A:A, 0)))</f>
        <v>ES76 0182 5430 4002 0169 6912</v>
      </c>
      <c r="AU41" s="27"/>
      <c r="AV41" s="27"/>
      <c r="AW41" s="66" t="s">
        <v>7533</v>
      </c>
      <c r="AX41" s="296" t="s">
        <v>7472</v>
      </c>
    </row>
    <row r="42" spans="1:50" ht="18.75" customHeight="1" x14ac:dyDescent="0.3">
      <c r="A42" s="42">
        <v>37</v>
      </c>
      <c r="B42" s="39" t="s">
        <v>2375</v>
      </c>
      <c r="C42" s="45" t="str">
        <f>IF(ISNUMBER(MATCH(Tabla5810[[#This Row],[Cod trabalhador]],'Altas Luminous'!B:B, 0)), "Ativo", "Não ativo")</f>
        <v>Não ativo</v>
      </c>
      <c r="D42" s="44" t="str">
        <f>IFERROR(IF(VLOOKUP(Tabla5810[[#This Row],[Cod trabalhador]],'Altas Industrial'!B:E,1,0)&lt;&gt;"","KI",""),"")</f>
        <v/>
      </c>
      <c r="E42" s="44" t="str">
        <f>IFERROR(IF(VLOOKUP(Tabla5810[[#This Row],[Cod trabalhador]],'Altas Rosas'!B:F,1,0)&lt;&gt;"","KR",""),"")</f>
        <v/>
      </c>
      <c r="F42" s="44" t="str">
        <f>IFERROR(IF(VLOOKUP(Tabla5810[[#This Row],[Cod trabalhador]],'Altas Wiseowe'!B:E,1,0)&lt;&gt;"","WS",""),"")</f>
        <v/>
      </c>
      <c r="G42" s="44" t="str">
        <f>IFERROR(IF(VLOOKUP(Tabla5810[[#This Row],[Cod trabalhador]],'Altas Luminous'!B:E,1,0)&lt;&gt;"","LM",""),"")</f>
        <v/>
      </c>
      <c r="H42" s="51" t="str">
        <f>IFERROR(VLOOKUP(Tabla5810[[#This Row],[Cod trabalhador]],'Altas Luminous'!B:E,3,FALSE),"")</f>
        <v/>
      </c>
      <c r="I42" s="51" t="str">
        <f>IF(OR(Tabla5810[[#This Row],[Cod trabalhador]]="",ISBLANK(Tabla5810[[#This Row],[Cod trabalhador]])),"",IFERROR(IF(VLOOKUP(Tabla5810[[#This Row],[Cod trabalhador]],'Altas Luminous'!B:E,4,FALSE)=0,"",VLOOKUP(Tabla5810[[#This Row],[Cod trabalhador]],'Altas Luminous'!B:E,4,FALSE)),""))</f>
        <v/>
      </c>
      <c r="J42" s="44">
        <f t="shared" si="1"/>
        <v>0</v>
      </c>
      <c r="K42" s="413" t="s">
        <v>7115</v>
      </c>
      <c r="L42" s="24" t="str">
        <f>IFERROR(IF(Tabla5810[[#This Row],[Cod trabalhador]]="",Tabla5810[[#This Row],[Cod trabalhador]], INDEX(Colaborador_ID[Nombre], MATCH(Tabla5810[[#This Row],[Cod trabalhador]],Colaborador_ID[Cod_colab], 0))), "")</f>
        <v>GIOVANNI CHRISTIAN SALAZAR HIDALGO</v>
      </c>
      <c r="N42" s="25" t="s">
        <v>7109</v>
      </c>
      <c r="O42" s="401">
        <f>IFERROR(VLOOKUP(Tabla5810[[#This Row],[Cod trabalhador]],Tabla15[],4,FALSE),"")</f>
        <v>15</v>
      </c>
      <c r="P42" s="232">
        <f>IFERROR(VLOOKUP(Tabla5810[[#This Row],[Cod trabalhador]],'TotalHorasAjustadas (2)'!D:L,8,FALSE),"")</f>
        <v>169</v>
      </c>
      <c r="Q42" s="27">
        <v>169</v>
      </c>
      <c r="R42" s="28" t="s">
        <v>7471</v>
      </c>
      <c r="S42" s="28" t="s">
        <v>7486</v>
      </c>
      <c r="U42" s="25"/>
      <c r="V42" s="26"/>
      <c r="W42" s="27"/>
      <c r="X42" s="102"/>
      <c r="Y42" s="28"/>
      <c r="Z42" s="149"/>
      <c r="AA42" s="392" t="str">
        <f>IFERROR(VLOOKUP(Tabla5810[[#This Row],[Cod trabalhador]],Alojamentos!B:P,11,FALSE),"")</f>
        <v/>
      </c>
      <c r="AB42" s="127"/>
      <c r="AC42" s="150"/>
      <c r="AD42" s="35">
        <f>Tabla5810[[#This Row],[Dias de alta]]*7.058</f>
        <v>0</v>
      </c>
      <c r="AE42" s="46" t="str">
        <f>IFERROR(VLOOKUP(Tabla5810[[#This Row],[Cod trabalhador]],Adiantamentos!B:L,7,FALSE),"")</f>
        <v/>
      </c>
      <c r="AF42" s="46" t="str">
        <f>IFERROR(VLOOKUP(Tabla5810[[#This Row],[Cod trabalhador]],Carro!B:D,3,FALSE),"")</f>
        <v/>
      </c>
      <c r="AG42" s="46">
        <f>IFERROR(VLOOKUP(Tabla5810[[#This Row],[Cod trabalhador]],'Outros descontos'!B:O,7,FALSE),"")</f>
        <v>0</v>
      </c>
      <c r="AH42" s="46">
        <f>IFERROR(VLOOKUP(Tabla5810[[#This Row],[Cod trabalhador]],'Outros descontos'!B:M,8,FALSE),"")</f>
        <v>0</v>
      </c>
      <c r="AI42" s="46">
        <f>IFERROR(VLOOKUP(Tabla5810[[#This Row],[Cod trabalhador]],'Outros descontos'!B:M,9,FALSE),"")</f>
        <v>0</v>
      </c>
      <c r="AJ42" s="46">
        <f>IFERROR(VLOOKUP(Tabla5810[[#This Row],[Cod trabalhador]],'Outros descontos'!B:M,10,FALSE),"")</f>
        <v>0</v>
      </c>
      <c r="AK42" s="46">
        <f>IFERROR(VLOOKUP(Tabla5810[[#This Row],[Cod trabalhador]],'Outros descontos'!B:M,11,FALSE),"")</f>
        <v>0</v>
      </c>
      <c r="AL42" s="46">
        <f>IFERROR(VLOOKUP(Tabla5810[[#This Row],[Cod trabalhador]],'Outros descontos'!B:M,12,FALSE),"")</f>
        <v>21.74</v>
      </c>
      <c r="AM42" s="46" t="str">
        <f>IFERROR(VLOOKUP(Tabla5810[[#This Row],[Cod trabalhador]],'Outros descontos'!B:M,13,FALSE),"")</f>
        <v/>
      </c>
      <c r="AN42" s="393"/>
      <c r="AO42" s="37">
        <v>4.08</v>
      </c>
      <c r="AP42" s="15"/>
      <c r="AQ42"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2509.1800000000003</v>
      </c>
      <c r="AR42"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2509.1800000000003</v>
      </c>
      <c r="AS42" s="15"/>
      <c r="AT42" s="27" t="str">
        <f>IF(Tabla5810[[#This Row],[Cod trabalhador]]="", "", INDEX(Iban!C:C, MATCH(Tabla5810[[#This Row],[Cod trabalhador]],Iban!A:A, 0)))</f>
        <v>ES40 0182 1215 8102 0155 2930</v>
      </c>
      <c r="AU42" s="27"/>
      <c r="AV42" s="27"/>
      <c r="AW42" s="66" t="s">
        <v>7533</v>
      </c>
      <c r="AX42" s="296" t="s">
        <v>7472</v>
      </c>
    </row>
    <row r="43" spans="1:50" ht="18.75" customHeight="1" x14ac:dyDescent="0.3">
      <c r="A43" s="42">
        <v>38</v>
      </c>
      <c r="B43" s="39" t="s">
        <v>2392</v>
      </c>
      <c r="C43" s="45" t="str">
        <f>IF(ISNUMBER(MATCH(Tabla5810[[#This Row],[Cod trabalhador]],'Altas Luminous'!B:B, 0)), "Ativo", "Não ativo")</f>
        <v>Ativo</v>
      </c>
      <c r="D43" s="44" t="str">
        <f>IFERROR(IF(VLOOKUP(Tabla5810[[#This Row],[Cod trabalhador]],'Altas Industrial'!B:E,1,0)&lt;&gt;"","KI",""),"")</f>
        <v/>
      </c>
      <c r="E43" s="44" t="str">
        <f>IFERROR(IF(VLOOKUP(Tabla5810[[#This Row],[Cod trabalhador]],'Altas Rosas'!B:F,1,0)&lt;&gt;"","KR",""),"")</f>
        <v/>
      </c>
      <c r="F43" s="44" t="str">
        <f>IFERROR(IF(VLOOKUP(Tabla5810[[#This Row],[Cod trabalhador]],'Altas Wiseowe'!B:E,1,0)&lt;&gt;"","WS",""),"")</f>
        <v/>
      </c>
      <c r="G43" s="44" t="str">
        <f>IFERROR(IF(VLOOKUP(Tabla5810[[#This Row],[Cod trabalhador]],'Altas Luminous'!B:E,1,0)&lt;&gt;"","LM",""),"")</f>
        <v>LM</v>
      </c>
      <c r="H43" s="51">
        <f>IFERROR(VLOOKUP(Tabla5810[[#This Row],[Cod trabalhador]],'Altas Luminous'!B:E,3,FALSE),"")</f>
        <v>45931</v>
      </c>
      <c r="I43" s="51" t="str">
        <f>IF(OR(Tabla5810[[#This Row],[Cod trabalhador]]="",ISBLANK(Tabla5810[[#This Row],[Cod trabalhador]])),"",IFERROR(IF(VLOOKUP(Tabla5810[[#This Row],[Cod trabalhador]],'Altas Luminous'!B:E,4,FALSE)=0,"",VLOOKUP(Tabla5810[[#This Row],[Cod trabalhador]],'Altas Luminous'!B:E,4,FALSE)),""))</f>
        <v/>
      </c>
      <c r="J43" s="44">
        <f t="shared" si="1"/>
        <v>31</v>
      </c>
      <c r="K43" s="413" t="s">
        <v>7116</v>
      </c>
      <c r="L43" s="24" t="str">
        <f>IFERROR(IF(Tabla5810[[#This Row],[Cod trabalhador]]="",Tabla5810[[#This Row],[Cod trabalhador]], INDEX(Colaborador_ID[Nombre], MATCH(Tabla5810[[#This Row],[Cod trabalhador]],Colaborador_ID[Cod_colab], 0))), "")</f>
        <v>GONZALO ARIEL NAVARRO</v>
      </c>
      <c r="N43" s="25" t="s">
        <v>7109</v>
      </c>
      <c r="O43" s="401">
        <f>IFERROR(VLOOKUP(Tabla5810[[#This Row],[Cod trabalhador]],Tabla15[],4,FALSE),"")</f>
        <v>15</v>
      </c>
      <c r="P43" s="232">
        <f>IFERROR(VLOOKUP(Tabla5810[[#This Row],[Cod trabalhador]],'TotalHorasAjustadas (2)'!D:L,8,FALSE),"")</f>
        <v>185</v>
      </c>
      <c r="Q43" s="27">
        <v>185</v>
      </c>
      <c r="R43" s="28" t="s">
        <v>7471</v>
      </c>
      <c r="S43" s="28" t="s">
        <v>7486</v>
      </c>
      <c r="U43" s="25"/>
      <c r="V43" s="26"/>
      <c r="W43" s="27"/>
      <c r="X43" s="102"/>
      <c r="Y43" s="28"/>
      <c r="Z43" s="149"/>
      <c r="AA43" s="392">
        <f>IFERROR(VLOOKUP(Tabla5810[[#This Row],[Cod trabalhador]],Alojamentos!B:P,11,FALSE),"")</f>
        <v>300</v>
      </c>
      <c r="AB43" s="127"/>
      <c r="AC43" s="150"/>
      <c r="AD43" s="35">
        <f>Tabla5810[[#This Row],[Dias de alta]]*7.058</f>
        <v>218.798</v>
      </c>
      <c r="AE43" s="46" t="str">
        <f>IFERROR(VLOOKUP(Tabla5810[[#This Row],[Cod trabalhador]],Adiantamentos!B:L,7,FALSE),"")</f>
        <v/>
      </c>
      <c r="AF43" s="46" t="str">
        <f>IFERROR(VLOOKUP(Tabla5810[[#This Row],[Cod trabalhador]],Carro!B:D,3,FALSE),"")</f>
        <v/>
      </c>
      <c r="AG43" s="46" t="str">
        <f>IFERROR(VLOOKUP(Tabla5810[[#This Row],[Cod trabalhador]],'Outros descontos'!B:O,7,FALSE),"")</f>
        <v/>
      </c>
      <c r="AH43" s="46" t="str">
        <f>IFERROR(VLOOKUP(Tabla5810[[#This Row],[Cod trabalhador]],'Outros descontos'!B:M,8,FALSE),"")</f>
        <v/>
      </c>
      <c r="AI43" s="46" t="str">
        <f>IFERROR(VLOOKUP(Tabla5810[[#This Row],[Cod trabalhador]],'Outros descontos'!B:M,9,FALSE),"")</f>
        <v/>
      </c>
      <c r="AJ43" s="46" t="str">
        <f>IFERROR(VLOOKUP(Tabla5810[[#This Row],[Cod trabalhador]],'Outros descontos'!B:M,10,FALSE),"")</f>
        <v/>
      </c>
      <c r="AK43" s="46" t="str">
        <f>IFERROR(VLOOKUP(Tabla5810[[#This Row],[Cod trabalhador]],'Outros descontos'!B:M,11,FALSE),"")</f>
        <v/>
      </c>
      <c r="AL43" s="46" t="str">
        <f>IFERROR(VLOOKUP(Tabla5810[[#This Row],[Cod trabalhador]],'Outros descontos'!B:M,12,FALSE),"")</f>
        <v/>
      </c>
      <c r="AM43" s="46" t="str">
        <f>IFERROR(VLOOKUP(Tabla5810[[#This Row],[Cod trabalhador]],'Outros descontos'!B:M,13,FALSE),"")</f>
        <v/>
      </c>
      <c r="AN43" s="393"/>
      <c r="AO43" s="37">
        <v>4.08</v>
      </c>
      <c r="AP43" s="15"/>
      <c r="AQ43"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2852.1220000000003</v>
      </c>
      <c r="AR43"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2852.1220000000003</v>
      </c>
      <c r="AS43" s="15"/>
      <c r="AT43" s="27" t="str">
        <f>IF(Tabla5810[[#This Row],[Cod trabalhador]]="", "", INDEX(Iban!C:C, MATCH(Tabla5810[[#This Row],[Cod trabalhador]],Iban!A:A, 0)))</f>
        <v>ES10 6893 0001 7100 0020 3132</v>
      </c>
      <c r="AU43" s="27"/>
      <c r="AV43" s="27"/>
      <c r="AW43" s="66" t="s">
        <v>7533</v>
      </c>
      <c r="AX43" s="296" t="s">
        <v>7472</v>
      </c>
    </row>
    <row r="44" spans="1:50" ht="18.75" customHeight="1" x14ac:dyDescent="0.3">
      <c r="A44" s="42">
        <v>39</v>
      </c>
      <c r="B44" s="39" t="s">
        <v>2403</v>
      </c>
      <c r="C44" s="45" t="str">
        <f>IF(ISNUMBER(MATCH(Tabla5810[[#This Row],[Cod trabalhador]],'Altas Luminous'!B:B, 0)), "Ativo", "Não ativo")</f>
        <v>Ativo</v>
      </c>
      <c r="D44" s="44" t="str">
        <f>IFERROR(IF(VLOOKUP(Tabla5810[[#This Row],[Cod trabalhador]],'Altas Industrial'!B:E,1,0)&lt;&gt;"","KI",""),"")</f>
        <v/>
      </c>
      <c r="E44" s="44" t="str">
        <f>IFERROR(IF(VLOOKUP(Tabla5810[[#This Row],[Cod trabalhador]],'Altas Rosas'!B:F,1,0)&lt;&gt;"","KR",""),"")</f>
        <v/>
      </c>
      <c r="F44" s="44" t="str">
        <f>IFERROR(IF(VLOOKUP(Tabla5810[[#This Row],[Cod trabalhador]],'Altas Wiseowe'!B:E,1,0)&lt;&gt;"","WS",""),"")</f>
        <v/>
      </c>
      <c r="G44" s="44" t="str">
        <f>IFERROR(IF(VLOOKUP(Tabla5810[[#This Row],[Cod trabalhador]],'Altas Luminous'!B:E,1,0)&lt;&gt;"","LM",""),"")</f>
        <v>LM</v>
      </c>
      <c r="H44" s="51">
        <f>IFERROR(VLOOKUP(Tabla5810[[#This Row],[Cod trabalhador]],'Altas Luminous'!B:E,3,FALSE),"")</f>
        <v>46052</v>
      </c>
      <c r="I44" s="51" t="str">
        <f>IF(OR(Tabla5810[[#This Row],[Cod trabalhador]]="",ISBLANK(Tabla5810[[#This Row],[Cod trabalhador]])),"",IFERROR(IF(VLOOKUP(Tabla5810[[#This Row],[Cod trabalhador]],'Altas Luminous'!B:E,4,FALSE)=0,"",VLOOKUP(Tabla5810[[#This Row],[Cod trabalhador]],'Altas Luminous'!B:E,4,FALSE)),""))</f>
        <v/>
      </c>
      <c r="J44" s="44">
        <f t="shared" si="1"/>
        <v>2</v>
      </c>
      <c r="K44" s="413" t="s">
        <v>7170</v>
      </c>
      <c r="L44" s="24" t="str">
        <f>IFERROR(IF(Tabla5810[[#This Row],[Cod trabalhador]]="",Tabla5810[[#This Row],[Cod trabalhador]], INDEX(Colaborador_ID[Nombre], MATCH(Tabla5810[[#This Row],[Cod trabalhador]],Colaborador_ID[Cod_colab], 0))), "")</f>
        <v>GONZALO QUINTANA PIMIENTO</v>
      </c>
      <c r="N44" s="25" t="s">
        <v>7169</v>
      </c>
      <c r="O44" s="401">
        <v>15</v>
      </c>
      <c r="P44" s="232">
        <f>IFERROR(VLOOKUP(Tabla5810[[#This Row],[Cod trabalhador]],'TotalHorasAjustadas (2)'!D:L,8,FALSE),"")</f>
        <v>13</v>
      </c>
      <c r="Q44" s="27">
        <v>13</v>
      </c>
      <c r="R44" s="28" t="s">
        <v>7471</v>
      </c>
      <c r="S44" s="28" t="s">
        <v>7486</v>
      </c>
      <c r="U44" s="25"/>
      <c r="V44" s="26"/>
      <c r="W44" s="27"/>
      <c r="X44" s="102"/>
      <c r="Y44" s="28"/>
      <c r="Z44" s="149"/>
      <c r="AA44" s="392" t="str">
        <f>IFERROR(VLOOKUP(Tabla5810[[#This Row],[Cod trabalhador]],Alojamentos!B:P,11,FALSE),"")</f>
        <v/>
      </c>
      <c r="AB44" s="127"/>
      <c r="AC44" s="150"/>
      <c r="AD44" s="35">
        <f>Tabla5810[[#This Row],[Dias de alta]]*7.058</f>
        <v>14.116</v>
      </c>
      <c r="AE44" s="46" t="str">
        <f>IFERROR(VLOOKUP(Tabla5810[[#This Row],[Cod trabalhador]],Adiantamentos!B:L,7,FALSE),"")</f>
        <v/>
      </c>
      <c r="AF44" s="46" t="str">
        <f>IFERROR(VLOOKUP(Tabla5810[[#This Row],[Cod trabalhador]],Carro!B:D,3,FALSE),"")</f>
        <v/>
      </c>
      <c r="AG44" s="46" t="str">
        <f>IFERROR(VLOOKUP(Tabla5810[[#This Row],[Cod trabalhador]],'Outros descontos'!B:O,7,FALSE),"")</f>
        <v/>
      </c>
      <c r="AH44" s="46" t="str">
        <f>IFERROR(VLOOKUP(Tabla5810[[#This Row],[Cod trabalhador]],'Outros descontos'!B:M,8,FALSE),"")</f>
        <v/>
      </c>
      <c r="AI44" s="46" t="str">
        <f>IFERROR(VLOOKUP(Tabla5810[[#This Row],[Cod trabalhador]],'Outros descontos'!B:M,9,FALSE),"")</f>
        <v/>
      </c>
      <c r="AJ44" s="46" t="str">
        <f>IFERROR(VLOOKUP(Tabla5810[[#This Row],[Cod trabalhador]],'Outros descontos'!B:M,10,FALSE),"")</f>
        <v/>
      </c>
      <c r="AK44" s="46" t="str">
        <f>IFERROR(VLOOKUP(Tabla5810[[#This Row],[Cod trabalhador]],'Outros descontos'!B:M,11,FALSE),"")</f>
        <v/>
      </c>
      <c r="AL44" s="46" t="str">
        <f>IFERROR(VLOOKUP(Tabla5810[[#This Row],[Cod trabalhador]],'Outros descontos'!B:M,12,FALSE),"")</f>
        <v/>
      </c>
      <c r="AM44" s="46" t="str">
        <f>IFERROR(VLOOKUP(Tabla5810[[#This Row],[Cod trabalhador]],'Outros descontos'!B:M,13,FALSE),"")</f>
        <v/>
      </c>
      <c r="AN44" s="393"/>
      <c r="AO44" s="37">
        <v>4.08</v>
      </c>
      <c r="AP44" s="15"/>
      <c r="AQ44"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176.804</v>
      </c>
      <c r="AR44"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176.804</v>
      </c>
      <c r="AS44" s="15"/>
      <c r="AT44" s="27" t="str">
        <f>IF(Tabla5810[[#This Row],[Cod trabalhador]]="", "", INDEX(Iban!C:C, MATCH(Tabla5810[[#This Row],[Cod trabalhador]],Iban!A:A, 0)))</f>
        <v>ES47 6893 0001 7900 0031 0617</v>
      </c>
      <c r="AU44" s="27"/>
      <c r="AV44" s="27"/>
      <c r="AW44" s="66" t="s">
        <v>7533</v>
      </c>
      <c r="AX44" s="296" t="s">
        <v>7472</v>
      </c>
    </row>
    <row r="45" spans="1:50" ht="18.75" customHeight="1" x14ac:dyDescent="0.3">
      <c r="A45" s="42">
        <v>40</v>
      </c>
      <c r="B45" s="39" t="s">
        <v>2427</v>
      </c>
      <c r="C45" s="45" t="str">
        <f>IF(ISNUMBER(MATCH(Tabla5810[[#This Row],[Cod trabalhador]],'Altas Luminous'!B:B, 0)), "Ativo", "Não ativo")</f>
        <v>Não ativo</v>
      </c>
      <c r="D45" s="44" t="str">
        <f>IFERROR(IF(VLOOKUP(Tabla5810[[#This Row],[Cod trabalhador]],'Altas Industrial'!B:E,1,0)&lt;&gt;"","KI",""),"")</f>
        <v/>
      </c>
      <c r="E45" s="44" t="str">
        <f>IFERROR(IF(VLOOKUP(Tabla5810[[#This Row],[Cod trabalhador]],'Altas Rosas'!B:F,1,0)&lt;&gt;"","KR",""),"")</f>
        <v/>
      </c>
      <c r="F45" s="44" t="str">
        <f>IFERROR(IF(VLOOKUP(Tabla5810[[#This Row],[Cod trabalhador]],'Altas Wiseowe'!B:E,1,0)&lt;&gt;"","WS",""),"")</f>
        <v/>
      </c>
      <c r="G45" s="44" t="str">
        <f>IFERROR(IF(VLOOKUP(Tabla5810[[#This Row],[Cod trabalhador]],'Altas Luminous'!B:E,1,0)&lt;&gt;"","LM",""),"")</f>
        <v/>
      </c>
      <c r="H45" s="51" t="str">
        <f>IFERROR(VLOOKUP(Tabla5810[[#This Row],[Cod trabalhador]],'Altas Luminous'!B:E,3,FALSE),"")</f>
        <v/>
      </c>
      <c r="I45" s="51" t="str">
        <f>IF(OR(Tabla5810[[#This Row],[Cod trabalhador]]="",ISBLANK(Tabla5810[[#This Row],[Cod trabalhador]])),"",IFERROR(IF(VLOOKUP(Tabla5810[[#This Row],[Cod trabalhador]],'Altas Luminous'!B:E,4,FALSE)=0,"",VLOOKUP(Tabla5810[[#This Row],[Cod trabalhador]],'Altas Luminous'!B:E,4,FALSE)),""))</f>
        <v/>
      </c>
      <c r="J45" s="44">
        <f t="shared" si="1"/>
        <v>0</v>
      </c>
      <c r="K45" s="413" t="s">
        <v>7092</v>
      </c>
      <c r="L45" s="24" t="str">
        <f>IFERROR(IF(Tabla5810[[#This Row],[Cod trabalhador]]="",Tabla5810[[#This Row],[Cod trabalhador]], INDEX(Colaborador_ID[Nombre], MATCH(Tabla5810[[#This Row],[Cod trabalhador]],Colaborador_ID[Cod_colab], 0))), "")</f>
        <v>GUERMAIN ISAAC SAJAMIN PANDURO</v>
      </c>
      <c r="N45" s="25" t="s">
        <v>7091</v>
      </c>
      <c r="O45" s="401">
        <f>IFERROR(VLOOKUP(Tabla5810[[#This Row],[Cod trabalhador]],Tabla15[],4,FALSE),"")</f>
        <v>15</v>
      </c>
      <c r="P45" s="232">
        <f>IFERROR(VLOOKUP(Tabla5810[[#This Row],[Cod trabalhador]],'TotalHorasAjustadas (2)'!D:L,8,FALSE),"")</f>
        <v>213.5</v>
      </c>
      <c r="Q45" s="27">
        <v>213.5</v>
      </c>
      <c r="R45" s="28" t="s">
        <v>7532</v>
      </c>
      <c r="S45" s="28" t="s">
        <v>7486</v>
      </c>
      <c r="U45" s="25"/>
      <c r="V45" s="26"/>
      <c r="W45" s="27"/>
      <c r="X45" s="102"/>
      <c r="Y45" s="28"/>
      <c r="Z45" s="149"/>
      <c r="AA45" s="392" t="str">
        <f>IFERROR(VLOOKUP(Tabla5810[[#This Row],[Cod trabalhador]],Alojamentos!B:P,11,FALSE),"")</f>
        <v/>
      </c>
      <c r="AB45" s="127"/>
      <c r="AC45" s="150"/>
      <c r="AD45" s="35">
        <f>Tabla5810[[#This Row],[Dias de alta]]*7.058</f>
        <v>0</v>
      </c>
      <c r="AE45" s="46" t="str">
        <f>IFERROR(VLOOKUP(Tabla5810[[#This Row],[Cod trabalhador]],Adiantamentos!B:L,7,FALSE),"")</f>
        <v/>
      </c>
      <c r="AF45" s="46" t="str">
        <f>IFERROR(VLOOKUP(Tabla5810[[#This Row],[Cod trabalhador]],Carro!B:D,3,FALSE),"")</f>
        <v/>
      </c>
      <c r="AG45" s="46" t="str">
        <f>IFERROR(VLOOKUP(Tabla5810[[#This Row],[Cod trabalhador]],'Outros descontos'!B:O,7,FALSE),"")</f>
        <v/>
      </c>
      <c r="AH45" s="46" t="str">
        <f>IFERROR(VLOOKUP(Tabla5810[[#This Row],[Cod trabalhador]],'Outros descontos'!B:M,8,FALSE),"")</f>
        <v/>
      </c>
      <c r="AI45" s="46" t="str">
        <f>IFERROR(VLOOKUP(Tabla5810[[#This Row],[Cod trabalhador]],'Outros descontos'!B:M,9,FALSE),"")</f>
        <v/>
      </c>
      <c r="AJ45" s="46" t="str">
        <f>IFERROR(VLOOKUP(Tabla5810[[#This Row],[Cod trabalhador]],'Outros descontos'!B:M,10,FALSE),"")</f>
        <v/>
      </c>
      <c r="AK45" s="46" t="str">
        <f>IFERROR(VLOOKUP(Tabla5810[[#This Row],[Cod trabalhador]],'Outros descontos'!B:M,11,FALSE),"")</f>
        <v/>
      </c>
      <c r="AL45" s="46" t="str">
        <f>IFERROR(VLOOKUP(Tabla5810[[#This Row],[Cod trabalhador]],'Outros descontos'!B:M,12,FALSE),"")</f>
        <v/>
      </c>
      <c r="AM45" s="46" t="str">
        <f>IFERROR(VLOOKUP(Tabla5810[[#This Row],[Cod trabalhador]],'Outros descontos'!B:M,13,FALSE),"")</f>
        <v/>
      </c>
      <c r="AN45" s="393"/>
      <c r="AO45" s="37">
        <v>4.08</v>
      </c>
      <c r="AP45" s="15"/>
      <c r="AQ45"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3198.42</v>
      </c>
      <c r="AR45"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3198.42</v>
      </c>
      <c r="AS45" s="15"/>
      <c r="AT45" s="27" t="str">
        <f>IF(Tabla5810[[#This Row],[Cod trabalhador]]="", "", INDEX(Iban!C:C, MATCH(Tabla5810[[#This Row],[Cod trabalhador]],Iban!A:A, 0)))</f>
        <v>ES09 6893 0001 7400 0026 4695</v>
      </c>
      <c r="AU45" s="27"/>
      <c r="AV45" s="27"/>
      <c r="AW45" s="66" t="s">
        <v>7533</v>
      </c>
      <c r="AX45" s="296" t="s">
        <v>7472</v>
      </c>
    </row>
    <row r="46" spans="1:50" ht="18.75" customHeight="1" x14ac:dyDescent="0.3">
      <c r="A46" s="42">
        <v>41</v>
      </c>
      <c r="B46" s="39" t="s">
        <v>2479</v>
      </c>
      <c r="C46" s="45" t="str">
        <f>IF(ISNUMBER(MATCH(Tabla5810[[#This Row],[Cod trabalhador]],'Altas Luminous'!B:B, 0)), "Ativo", "Não ativo")</f>
        <v>Ativo</v>
      </c>
      <c r="D46" s="44" t="str">
        <f>IFERROR(IF(VLOOKUP(Tabla5810[[#This Row],[Cod trabalhador]],'Altas Industrial'!B:E,1,0)&lt;&gt;"","KI",""),"")</f>
        <v/>
      </c>
      <c r="E46" s="44" t="str">
        <f>IFERROR(IF(VLOOKUP(Tabla5810[[#This Row],[Cod trabalhador]],'Altas Rosas'!B:F,1,0)&lt;&gt;"","KR",""),"")</f>
        <v/>
      </c>
      <c r="F46" s="44" t="str">
        <f>IFERROR(IF(VLOOKUP(Tabla5810[[#This Row],[Cod trabalhador]],'Altas Wiseowe'!B:E,1,0)&lt;&gt;"","WS",""),"")</f>
        <v/>
      </c>
      <c r="G46" s="44" t="str">
        <f>IFERROR(IF(VLOOKUP(Tabla5810[[#This Row],[Cod trabalhador]],'Altas Luminous'!B:E,1,0)&lt;&gt;"","LM",""),"")</f>
        <v>LM</v>
      </c>
      <c r="H46" s="51">
        <f>IFERROR(VLOOKUP(Tabla5810[[#This Row],[Cod trabalhador]],'Altas Luminous'!B:E,3,FALSE),"")</f>
        <v>45931</v>
      </c>
      <c r="I46" s="51" t="str">
        <f>IF(OR(Tabla5810[[#This Row],[Cod trabalhador]]="",ISBLANK(Tabla5810[[#This Row],[Cod trabalhador]])),"",IFERROR(IF(VLOOKUP(Tabla5810[[#This Row],[Cod trabalhador]],'Altas Luminous'!B:E,4,FALSE)=0,"",VLOOKUP(Tabla5810[[#This Row],[Cod trabalhador]],'Altas Luminous'!B:E,4,FALSE)),""))</f>
        <v/>
      </c>
      <c r="J46" s="44">
        <f t="shared" si="1"/>
        <v>31</v>
      </c>
      <c r="K46" s="44" t="s">
        <v>7117</v>
      </c>
      <c r="L46" s="24" t="str">
        <f>IFERROR(IF(Tabla5810[[#This Row],[Cod trabalhador]]="",Tabla5810[[#This Row],[Cod trabalhador]], INDEX(Colaborador_ID[Nombre], MATCH(Tabla5810[[#This Row],[Cod trabalhador]],Colaborador_ID[Cod_colab], 0))), "")</f>
        <v>GUSTAVO DAMIAN DONOSO</v>
      </c>
      <c r="M46" s="340"/>
      <c r="N46" s="25" t="s">
        <v>7109</v>
      </c>
      <c r="O46" s="401">
        <f>IFERROR(VLOOKUP(Tabla5810[[#This Row],[Cod trabalhador]],Tabla15[],4,FALSE),"")</f>
        <v>18</v>
      </c>
      <c r="P46" s="232">
        <f>IFERROR(VLOOKUP(Tabla5810[[#This Row],[Cod trabalhador]],'TotalHorasAjustadas (2)'!D:L,8,FALSE),"")</f>
        <v>163</v>
      </c>
      <c r="Q46" s="27">
        <v>163</v>
      </c>
      <c r="R46" s="28" t="s">
        <v>7471</v>
      </c>
      <c r="S46" s="28" t="s">
        <v>7486</v>
      </c>
      <c r="U46" s="96"/>
      <c r="V46" s="231"/>
      <c r="W46" s="27"/>
      <c r="X46" s="28"/>
      <c r="Y46" s="28"/>
      <c r="Z46" s="149"/>
      <c r="AA46" s="392">
        <f>IFERROR(VLOOKUP(Tabla5810[[#This Row],[Cod trabalhador]],Alojamentos!B:P,11,FALSE),"")</f>
        <v>300</v>
      </c>
      <c r="AB46" s="127"/>
      <c r="AC46" s="150"/>
      <c r="AD46" s="35">
        <f>Tabla5810[[#This Row],[Dias de alta]]*7.058</f>
        <v>218.798</v>
      </c>
      <c r="AE46" s="46" t="str">
        <f>IFERROR(VLOOKUP(Tabla5810[[#This Row],[Cod trabalhador]],Adiantamentos!B:L,7,FALSE),"")</f>
        <v/>
      </c>
      <c r="AF46" s="46" t="str">
        <f>IFERROR(VLOOKUP(Tabla5810[[#This Row],[Cod trabalhador]],Carro!B:D,3,FALSE),"")</f>
        <v/>
      </c>
      <c r="AG46" s="46" t="str">
        <f>IFERROR(VLOOKUP(Tabla5810[[#This Row],[Cod trabalhador]],'Outros descontos'!B:O,7,FALSE),"")</f>
        <v/>
      </c>
      <c r="AH46" s="46" t="str">
        <f>IFERROR(VLOOKUP(Tabla5810[[#This Row],[Cod trabalhador]],'Outros descontos'!B:M,8,FALSE),"")</f>
        <v/>
      </c>
      <c r="AI46" s="46" t="str">
        <f>IFERROR(VLOOKUP(Tabla5810[[#This Row],[Cod trabalhador]],'Outros descontos'!B:M,9,FALSE),"")</f>
        <v/>
      </c>
      <c r="AJ46" s="46" t="str">
        <f>IFERROR(VLOOKUP(Tabla5810[[#This Row],[Cod trabalhador]],'Outros descontos'!B:M,10,FALSE),"")</f>
        <v/>
      </c>
      <c r="AK46" s="46" t="str">
        <f>IFERROR(VLOOKUP(Tabla5810[[#This Row],[Cod trabalhador]],'Outros descontos'!B:M,11,FALSE),"")</f>
        <v/>
      </c>
      <c r="AL46" s="46" t="str">
        <f>IFERROR(VLOOKUP(Tabla5810[[#This Row],[Cod trabalhador]],'Outros descontos'!B:M,12,FALSE),"")</f>
        <v/>
      </c>
      <c r="AM46" s="46" t="str">
        <f>IFERROR(VLOOKUP(Tabla5810[[#This Row],[Cod trabalhador]],'Outros descontos'!B:M,13,FALSE),"")</f>
        <v/>
      </c>
      <c r="AN46" s="393">
        <v>18</v>
      </c>
      <c r="AO46" s="37">
        <v>4.08</v>
      </c>
      <c r="AP46" s="15"/>
      <c r="AQ46"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3011.1220000000003</v>
      </c>
      <c r="AR46"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2993.1220000000003</v>
      </c>
      <c r="AS46" s="15"/>
      <c r="AT46" s="27" t="str">
        <f>IF(Tabla5810[[#This Row],[Cod trabalhador]]="", "", INDEX(Iban!C:C, MATCH(Tabla5810[[#This Row],[Cod trabalhador]],Iban!A:A, 0)))</f>
        <v>BE63 9675 2024 4308</v>
      </c>
      <c r="AU46" s="27"/>
      <c r="AV46" s="27"/>
      <c r="AW46" s="66" t="s">
        <v>7533</v>
      </c>
      <c r="AX46" s="296" t="s">
        <v>7472</v>
      </c>
    </row>
    <row r="47" spans="1:50" ht="18.75" customHeight="1" x14ac:dyDescent="0.3">
      <c r="A47" s="42">
        <v>42</v>
      </c>
      <c r="B47" s="39" t="s">
        <v>2492</v>
      </c>
      <c r="C47" s="45" t="str">
        <f>IF(ISNUMBER(MATCH(Tabla5810[[#This Row],[Cod trabalhador]],'Altas Luminous'!B:B, 0)), "Ativo", "Não ativo")</f>
        <v>Não ativo</v>
      </c>
      <c r="D47" s="44" t="str">
        <f>IFERROR(IF(VLOOKUP(Tabla5810[[#This Row],[Cod trabalhador]],'Altas Industrial'!B:E,1,0)&lt;&gt;"","KI",""),"")</f>
        <v/>
      </c>
      <c r="E47" s="44" t="str">
        <f>IFERROR(IF(VLOOKUP(Tabla5810[[#This Row],[Cod trabalhador]],'Altas Rosas'!B:F,1,0)&lt;&gt;"","KR",""),"")</f>
        <v/>
      </c>
      <c r="F47" s="44" t="str">
        <f>IFERROR(IF(VLOOKUP(Tabla5810[[#This Row],[Cod trabalhador]],'Altas Wiseowe'!B:E,1,0)&lt;&gt;"","WS",""),"")</f>
        <v/>
      </c>
      <c r="G47" s="44" t="str">
        <f>IFERROR(IF(VLOOKUP(Tabla5810[[#This Row],[Cod trabalhador]],'Altas Luminous'!B:E,1,0)&lt;&gt;"","LM",""),"")</f>
        <v/>
      </c>
      <c r="H47" s="51" t="str">
        <f>IFERROR(VLOOKUP(Tabla5810[[#This Row],[Cod trabalhador]],'Altas Luminous'!B:E,3,FALSE),"")</f>
        <v/>
      </c>
      <c r="I47" s="51" t="str">
        <f>IF(OR(Tabla5810[[#This Row],[Cod trabalhador]]="",ISBLANK(Tabla5810[[#This Row],[Cod trabalhador]])),"",IFERROR(IF(VLOOKUP(Tabla5810[[#This Row],[Cod trabalhador]],'Altas Luminous'!B:E,4,FALSE)=0,"",VLOOKUP(Tabla5810[[#This Row],[Cod trabalhador]],'Altas Luminous'!B:E,4,FALSE)),""))</f>
        <v/>
      </c>
      <c r="J47" s="44">
        <f t="shared" si="1"/>
        <v>0</v>
      </c>
      <c r="K47" s="44" t="s">
        <v>2493</v>
      </c>
      <c r="L47" s="24" t="str">
        <f>IFERROR(IF(Tabla5810[[#This Row],[Cod trabalhador]]="",Tabla5810[[#This Row],[Cod trabalhador]], INDEX(Colaborador_ID[Nombre], MATCH(Tabla5810[[#This Row],[Cod trabalhador]],Colaborador_ID[Cod_colab], 0))), "")</f>
        <v>GUSTAVO RAFAEL CARRILLO NUNEZ</v>
      </c>
      <c r="N47" s="25" t="s">
        <v>7052</v>
      </c>
      <c r="O47" s="401">
        <f>IFERROR(VLOOKUP(Tabla5810[[#This Row],[Cod trabalhador]],Tabla15[],4,FALSE),"")</f>
        <v>15</v>
      </c>
      <c r="P47" s="232">
        <f>IFERROR(VLOOKUP(Tabla5810[[#This Row],[Cod trabalhador]],'TotalHorasAjustadas (2)'!D:L,8,FALSE),"")</f>
        <v>189</v>
      </c>
      <c r="Q47" s="27">
        <v>189</v>
      </c>
      <c r="R47" s="28" t="s">
        <v>7532</v>
      </c>
      <c r="S47" s="28" t="s">
        <v>7486</v>
      </c>
      <c r="U47" s="25"/>
      <c r="V47" s="26"/>
      <c r="W47" s="27"/>
      <c r="X47" s="102"/>
      <c r="Y47" s="28"/>
      <c r="Z47" s="149"/>
      <c r="AA47" s="392">
        <f>IFERROR(VLOOKUP(Tabla5810[[#This Row],[Cod trabalhador]],Alojamentos!B:P,11,FALSE),"")</f>
        <v>300</v>
      </c>
      <c r="AB47" s="127"/>
      <c r="AC47" s="150"/>
      <c r="AD47" s="35">
        <f>Tabla5810[[#This Row],[Dias de alta]]*7.058</f>
        <v>0</v>
      </c>
      <c r="AE47" s="46" t="str">
        <f>IFERROR(VLOOKUP(Tabla5810[[#This Row],[Cod trabalhador]],Adiantamentos!B:L,7,FALSE),"")</f>
        <v/>
      </c>
      <c r="AF47" s="46" t="str">
        <f>IFERROR(VLOOKUP(Tabla5810[[#This Row],[Cod trabalhador]],Carro!B:D,3,FALSE),"")</f>
        <v/>
      </c>
      <c r="AG47" s="46" t="str">
        <f>IFERROR(VLOOKUP(Tabla5810[[#This Row],[Cod trabalhador]],'Outros descontos'!B:O,7,FALSE),"")</f>
        <v/>
      </c>
      <c r="AH47" s="46" t="str">
        <f>IFERROR(VLOOKUP(Tabla5810[[#This Row],[Cod trabalhador]],'Outros descontos'!B:M,8,FALSE),"")</f>
        <v/>
      </c>
      <c r="AI47" s="46" t="str">
        <f>IFERROR(VLOOKUP(Tabla5810[[#This Row],[Cod trabalhador]],'Outros descontos'!B:M,9,FALSE),"")</f>
        <v/>
      </c>
      <c r="AJ47" s="46" t="str">
        <f>IFERROR(VLOOKUP(Tabla5810[[#This Row],[Cod trabalhador]],'Outros descontos'!B:M,10,FALSE),"")</f>
        <v/>
      </c>
      <c r="AK47" s="46" t="str">
        <f>IFERROR(VLOOKUP(Tabla5810[[#This Row],[Cod trabalhador]],'Outros descontos'!B:M,11,FALSE),"")</f>
        <v/>
      </c>
      <c r="AL47" s="46" t="str">
        <f>IFERROR(VLOOKUP(Tabla5810[[#This Row],[Cod trabalhador]],'Outros descontos'!B:M,12,FALSE),"")</f>
        <v/>
      </c>
      <c r="AM47" s="46" t="str">
        <f>IFERROR(VLOOKUP(Tabla5810[[#This Row],[Cod trabalhador]],'Outros descontos'!B:M,13,FALSE),"")</f>
        <v/>
      </c>
      <c r="AN47" s="393"/>
      <c r="AO47" s="37">
        <v>4.08</v>
      </c>
      <c r="AP47" s="15"/>
      <c r="AQ47"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3130.92</v>
      </c>
      <c r="AR47"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3130.92</v>
      </c>
      <c r="AS47" s="15"/>
      <c r="AT47" s="27" t="str">
        <f>IF(Tabla5810[[#This Row],[Cod trabalhador]]="", "", INDEX(Iban!C:C, MATCH(Tabla5810[[#This Row],[Cod trabalhador]],Iban!A:A, 0)))</f>
        <v xml:space="preserve"> BE62 9057 0876 5061</v>
      </c>
      <c r="AU47" s="27"/>
      <c r="AV47" s="27"/>
      <c r="AW47" s="66" t="s">
        <v>7533</v>
      </c>
      <c r="AX47" s="296" t="s">
        <v>7472</v>
      </c>
    </row>
    <row r="48" spans="1:50" ht="18.75" customHeight="1" x14ac:dyDescent="0.3">
      <c r="A48" s="42">
        <v>43</v>
      </c>
      <c r="B48" s="100" t="s">
        <v>2530</v>
      </c>
      <c r="C48" s="45" t="str">
        <f>IF(ISNUMBER(MATCH(Tabla5810[[#This Row],[Cod trabalhador]],'Altas Luminous'!B:B, 0)), "Ativo", "Não ativo")</f>
        <v>Não ativo</v>
      </c>
      <c r="D48" s="44" t="str">
        <f>IFERROR(IF(VLOOKUP(Tabla5810[[#This Row],[Cod trabalhador]],'Altas Industrial'!B:E,1,0)&lt;&gt;"","KI",""),"")</f>
        <v/>
      </c>
      <c r="E48" s="44" t="str">
        <f>IFERROR(IF(VLOOKUP(Tabla5810[[#This Row],[Cod trabalhador]],'Altas Rosas'!B:F,1,0)&lt;&gt;"","KR",""),"")</f>
        <v/>
      </c>
      <c r="F48" s="44" t="str">
        <f>IFERROR(IF(VLOOKUP(Tabla5810[[#This Row],[Cod trabalhador]],'Altas Wiseowe'!B:E,1,0)&lt;&gt;"","WS",""),"")</f>
        <v/>
      </c>
      <c r="G48" s="44" t="str">
        <f>IFERROR(IF(VLOOKUP(Tabla5810[[#This Row],[Cod trabalhador]],'Altas Luminous'!B:E,1,0)&lt;&gt;"","LM",""),"")</f>
        <v/>
      </c>
      <c r="H48" s="51" t="str">
        <f>IFERROR(VLOOKUP(Tabla5810[[#This Row],[Cod trabalhador]],'Altas Luminous'!B:E,3,FALSE),"")</f>
        <v/>
      </c>
      <c r="I48" s="51" t="str">
        <f>IF(OR(Tabla5810[[#This Row],[Cod trabalhador]]="",ISBLANK(Tabla5810[[#This Row],[Cod trabalhador]])),"",IFERROR(IF(VLOOKUP(Tabla5810[[#This Row],[Cod trabalhador]],'Altas Luminous'!B:E,4,FALSE)=0,"",VLOOKUP(Tabla5810[[#This Row],[Cod trabalhador]],'Altas Luminous'!B:E,4,FALSE)),""))</f>
        <v/>
      </c>
      <c r="J48" s="44">
        <f t="shared" si="1"/>
        <v>0</v>
      </c>
      <c r="K48" s="44" t="s">
        <v>7184</v>
      </c>
      <c r="L48" s="24" t="str">
        <f>IFERROR(IF(Tabla5810[[#This Row],[Cod trabalhador]]="",Tabla5810[[#This Row],[Cod trabalhador]], INDEX(Colaborador_ID[Nombre], MATCH(Tabla5810[[#This Row],[Cod trabalhador]],Colaborador_ID[Cod_colab], 0))), "")</f>
        <v>HAROLD REFERTIN SERNAQUE CARRASCO</v>
      </c>
      <c r="N48" s="25" t="s">
        <v>7182</v>
      </c>
      <c r="O48" s="401">
        <f>IFERROR(VLOOKUP(Tabla5810[[#This Row],[Cod trabalhador]],Tabla15[],4,FALSE),"")</f>
        <v>15</v>
      </c>
      <c r="P48" s="232">
        <f>IFERROR(VLOOKUP(Tabla5810[[#This Row],[Cod trabalhador]],'TotalHorasAjustadas (2)'!D:L,8,FALSE),"")</f>
        <v>188.5</v>
      </c>
      <c r="Q48" s="27">
        <v>188.5</v>
      </c>
      <c r="R48" s="28" t="s">
        <v>7471</v>
      </c>
      <c r="S48" s="28" t="s">
        <v>7486</v>
      </c>
      <c r="U48" s="25"/>
      <c r="V48" s="26"/>
      <c r="W48" s="27"/>
      <c r="X48" s="102"/>
      <c r="Y48" s="28"/>
      <c r="Z48" s="149"/>
      <c r="AA48" s="392" t="str">
        <f>IFERROR(VLOOKUP(Tabla5810[[#This Row],[Cod trabalhador]],Alojamentos!B:P,11,FALSE),"")</f>
        <v/>
      </c>
      <c r="AB48" s="127"/>
      <c r="AC48" s="150"/>
      <c r="AD48" s="35">
        <f>Tabla5810[[#This Row],[Dias de alta]]*7.058</f>
        <v>0</v>
      </c>
      <c r="AE48" s="46" t="str">
        <f>IFERROR(VLOOKUP(Tabla5810[[#This Row],[Cod trabalhador]],Adiantamentos!B:L,7,FALSE),"")</f>
        <v/>
      </c>
      <c r="AF48" s="46" t="str">
        <f>IFERROR(VLOOKUP(Tabla5810[[#This Row],[Cod trabalhador]],Carro!B:D,3,FALSE),"")</f>
        <v/>
      </c>
      <c r="AG48" s="46" t="str">
        <f>IFERROR(VLOOKUP(Tabla5810[[#This Row],[Cod trabalhador]],'Outros descontos'!B:O,7,FALSE),"")</f>
        <v/>
      </c>
      <c r="AH48" s="46" t="str">
        <f>IFERROR(VLOOKUP(Tabla5810[[#This Row],[Cod trabalhador]],'Outros descontos'!B:M,8,FALSE),"")</f>
        <v/>
      </c>
      <c r="AI48" s="46" t="str">
        <f>IFERROR(VLOOKUP(Tabla5810[[#This Row],[Cod trabalhador]],'Outros descontos'!B:M,9,FALSE),"")</f>
        <v/>
      </c>
      <c r="AJ48" s="46" t="str">
        <f>IFERROR(VLOOKUP(Tabla5810[[#This Row],[Cod trabalhador]],'Outros descontos'!B:M,10,FALSE),"")</f>
        <v/>
      </c>
      <c r="AK48" s="46" t="str">
        <f>IFERROR(VLOOKUP(Tabla5810[[#This Row],[Cod trabalhador]],'Outros descontos'!B:M,11,FALSE),"")</f>
        <v/>
      </c>
      <c r="AL48" s="46" t="str">
        <f>IFERROR(VLOOKUP(Tabla5810[[#This Row],[Cod trabalhador]],'Outros descontos'!B:M,12,FALSE),"")</f>
        <v/>
      </c>
      <c r="AM48" s="46" t="str">
        <f>IFERROR(VLOOKUP(Tabla5810[[#This Row],[Cod trabalhador]],'Outros descontos'!B:M,13,FALSE),"")</f>
        <v/>
      </c>
      <c r="AN48" s="393"/>
      <c r="AO48" s="37">
        <v>4.08</v>
      </c>
      <c r="AP48" s="15"/>
      <c r="AQ48"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2823.42</v>
      </c>
      <c r="AR48"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2823.42</v>
      </c>
      <c r="AS48" s="15"/>
      <c r="AT48" s="27" t="str">
        <f>IF(Tabla5810[[#This Row],[Cod trabalhador]]="", "", INDEX(Iban!C:C, MATCH(Tabla5810[[#This Row],[Cod trabalhador]],Iban!A:A, 0)))</f>
        <v>ES40 6893 0001 7500 0026 4767</v>
      </c>
      <c r="AU48" s="97"/>
      <c r="AV48" s="27"/>
      <c r="AW48" s="66" t="s">
        <v>7533</v>
      </c>
      <c r="AX48" s="296" t="s">
        <v>7472</v>
      </c>
    </row>
    <row r="49" spans="1:50" ht="18.75" customHeight="1" x14ac:dyDescent="0.3">
      <c r="A49" s="42">
        <v>44</v>
      </c>
      <c r="B49" s="39" t="s">
        <v>2541</v>
      </c>
      <c r="C49" s="45" t="str">
        <f>IF(ISNUMBER(MATCH(Tabla5810[[#This Row],[Cod trabalhador]],'Altas Luminous'!B:B, 0)), "Ativo", "Não ativo")</f>
        <v>Ativo</v>
      </c>
      <c r="D49" s="44" t="str">
        <f>IFERROR(IF(VLOOKUP(Tabla5810[[#This Row],[Cod trabalhador]],'Altas Industrial'!B:E,1,0)&lt;&gt;"","KI",""),"")</f>
        <v/>
      </c>
      <c r="E49" s="44" t="str">
        <f>IFERROR(IF(VLOOKUP(Tabla5810[[#This Row],[Cod trabalhador]],'Altas Rosas'!B:F,1,0)&lt;&gt;"","KR",""),"")</f>
        <v/>
      </c>
      <c r="F49" s="44" t="str">
        <f>IFERROR(IF(VLOOKUP(Tabla5810[[#This Row],[Cod trabalhador]],'Altas Wiseowe'!B:E,1,0)&lt;&gt;"","WS",""),"")</f>
        <v/>
      </c>
      <c r="G49" s="44" t="str">
        <f>IFERROR(IF(VLOOKUP(Tabla5810[[#This Row],[Cod trabalhador]],'Altas Luminous'!B:E,1,0)&lt;&gt;"","LM",""),"")</f>
        <v>LM</v>
      </c>
      <c r="H49" s="51">
        <f>IFERROR(VLOOKUP(Tabla5810[[#This Row],[Cod trabalhador]],'Altas Luminous'!B:E,3,FALSE),"")</f>
        <v>46041</v>
      </c>
      <c r="I49" s="51" t="str">
        <f>IF(OR(Tabla5810[[#This Row],[Cod trabalhador]]="",ISBLANK(Tabla5810[[#This Row],[Cod trabalhador]])),"",IFERROR(IF(VLOOKUP(Tabla5810[[#This Row],[Cod trabalhador]],'Altas Luminous'!B:E,4,FALSE)=0,"",VLOOKUP(Tabla5810[[#This Row],[Cod trabalhador]],'Altas Luminous'!B:E,4,FALSE)),""))</f>
        <v/>
      </c>
      <c r="J49" s="44">
        <f t="shared" si="1"/>
        <v>13</v>
      </c>
      <c r="K49" s="44" t="s">
        <v>7139</v>
      </c>
      <c r="L49" s="24" t="str">
        <f>IFERROR(IF(Tabla5810[[#This Row],[Cod trabalhador]]="",Tabla5810[[#This Row],[Cod trabalhador]], INDEX(Colaborador_ID[Nombre], MATCH(Tabla5810[[#This Row],[Cod trabalhador]],Colaborador_ID[Cod_colab], 0))), "")</f>
        <v>HARRIS HUMBERTO MENDOZA ANGULO</v>
      </c>
      <c r="N49" s="25" t="s">
        <v>7136</v>
      </c>
      <c r="O49" s="401">
        <v>15</v>
      </c>
      <c r="P49" s="232">
        <f>IFERROR(VLOOKUP(Tabla5810[[#This Row],[Cod trabalhador]],'TotalHorasAjustadas (2)'!D:L,8,FALSE),"")</f>
        <v>111</v>
      </c>
      <c r="Q49" s="27">
        <v>111</v>
      </c>
      <c r="R49" s="28" t="s">
        <v>7532</v>
      </c>
      <c r="S49" s="28" t="s">
        <v>7486</v>
      </c>
      <c r="U49" s="25"/>
      <c r="V49" s="26"/>
      <c r="W49" s="27"/>
      <c r="X49" s="102"/>
      <c r="Y49" s="28"/>
      <c r="Z49" s="149"/>
      <c r="AA49" s="392">
        <f>IFERROR(VLOOKUP(Tabla5810[[#This Row],[Cod trabalhador]],Alojamentos!B:P,11,FALSE),"")</f>
        <v>30</v>
      </c>
      <c r="AB49" s="127"/>
      <c r="AC49" s="150"/>
      <c r="AD49" s="35">
        <f>Tabla5810[[#This Row],[Dias de alta]]*7.058</f>
        <v>91.753999999999991</v>
      </c>
      <c r="AE49" s="46" t="str">
        <f>IFERROR(VLOOKUP(Tabla5810[[#This Row],[Cod trabalhador]],Adiantamentos!B:L,7,FALSE),"")</f>
        <v/>
      </c>
      <c r="AF49" s="46" t="str">
        <f>IFERROR(VLOOKUP(Tabla5810[[#This Row],[Cod trabalhador]],Carro!B:D,3,FALSE),"")</f>
        <v/>
      </c>
      <c r="AG49" s="46" t="str">
        <f>IFERROR(VLOOKUP(Tabla5810[[#This Row],[Cod trabalhador]],'Outros descontos'!B:O,7,FALSE),"")</f>
        <v/>
      </c>
      <c r="AH49" s="46" t="str">
        <f>IFERROR(VLOOKUP(Tabla5810[[#This Row],[Cod trabalhador]],'Outros descontos'!B:M,8,FALSE),"")</f>
        <v/>
      </c>
      <c r="AI49" s="46" t="str">
        <f>IFERROR(VLOOKUP(Tabla5810[[#This Row],[Cod trabalhador]],'Outros descontos'!B:M,9,FALSE),"")</f>
        <v/>
      </c>
      <c r="AJ49" s="46" t="str">
        <f>IFERROR(VLOOKUP(Tabla5810[[#This Row],[Cod trabalhador]],'Outros descontos'!B:M,10,FALSE),"")</f>
        <v/>
      </c>
      <c r="AK49" s="46" t="str">
        <f>IFERROR(VLOOKUP(Tabla5810[[#This Row],[Cod trabalhador]],'Outros descontos'!B:M,11,FALSE),"")</f>
        <v/>
      </c>
      <c r="AL49" s="46" t="str">
        <f>IFERROR(VLOOKUP(Tabla5810[[#This Row],[Cod trabalhador]],'Outros descontos'!B:M,12,FALSE),"")</f>
        <v/>
      </c>
      <c r="AM49" s="46" t="str">
        <f>IFERROR(VLOOKUP(Tabla5810[[#This Row],[Cod trabalhador]],'Outros descontos'!B:M,13,FALSE),"")</f>
        <v/>
      </c>
      <c r="AN49" s="393"/>
      <c r="AO49" s="37">
        <v>4.08</v>
      </c>
      <c r="AP49" s="15"/>
      <c r="AQ49"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1599.1660000000002</v>
      </c>
      <c r="AR49"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1599.1660000000002</v>
      </c>
      <c r="AS49" s="15"/>
      <c r="AT49" s="27" t="str">
        <f>IF(Tabla5810[[#This Row],[Cod trabalhador]]="", "", INDEX(Iban!C:C, MATCH(Tabla5810[[#This Row],[Cod trabalhador]],Iban!A:A, 0)))</f>
        <v>ES35 0182 2125 3202 0160 1004</v>
      </c>
      <c r="AU49" s="27"/>
      <c r="AV49" s="27"/>
      <c r="AW49" s="66" t="s">
        <v>7533</v>
      </c>
      <c r="AX49" s="296" t="s">
        <v>7472</v>
      </c>
    </row>
    <row r="50" spans="1:50" ht="18.75" customHeight="1" x14ac:dyDescent="0.3">
      <c r="A50" s="42">
        <v>45</v>
      </c>
      <c r="B50" s="39" t="s">
        <v>2555</v>
      </c>
      <c r="C50" s="45" t="str">
        <f>IF(ISNUMBER(MATCH(Tabla5810[[#This Row],[Cod trabalhador]],'Altas Luminous'!B:B, 0)), "Ativo", "Não ativo")</f>
        <v>Não ativo</v>
      </c>
      <c r="D50" s="44" t="str">
        <f>IFERROR(IF(VLOOKUP(Tabla5810[[#This Row],[Cod trabalhador]],'Altas Industrial'!B:E,1,0)&lt;&gt;"","KI",""),"")</f>
        <v/>
      </c>
      <c r="E50" s="44" t="str">
        <f>IFERROR(IF(VLOOKUP(Tabla5810[[#This Row],[Cod trabalhador]],'Altas Rosas'!B:F,1,0)&lt;&gt;"","KR",""),"")</f>
        <v/>
      </c>
      <c r="F50" s="44" t="str">
        <f>IFERROR(IF(VLOOKUP(Tabla5810[[#This Row],[Cod trabalhador]],'Altas Wiseowe'!B:E,1,0)&lt;&gt;"","WS",""),"")</f>
        <v/>
      </c>
      <c r="G50" s="44" t="str">
        <f>IFERROR(IF(VLOOKUP(Tabla5810[[#This Row],[Cod trabalhador]],'Altas Luminous'!B:E,1,0)&lt;&gt;"","LM",""),"")</f>
        <v/>
      </c>
      <c r="H50" s="51" t="str">
        <f>IFERROR(VLOOKUP(Tabla5810[[#This Row],[Cod trabalhador]],'Altas Luminous'!B:E,3,FALSE),"")</f>
        <v/>
      </c>
      <c r="I50" s="51" t="str">
        <f>IF(OR(Tabla5810[[#This Row],[Cod trabalhador]]="",ISBLANK(Tabla5810[[#This Row],[Cod trabalhador]])),"",IFERROR(IF(VLOOKUP(Tabla5810[[#This Row],[Cod trabalhador]],'Altas Luminous'!B:E,4,FALSE)=0,"",VLOOKUP(Tabla5810[[#This Row],[Cod trabalhador]],'Altas Luminous'!B:E,4,FALSE)),""))</f>
        <v/>
      </c>
      <c r="J50" s="44">
        <f t="shared" si="1"/>
        <v>0</v>
      </c>
      <c r="K50" s="44" t="s">
        <v>2556</v>
      </c>
      <c r="L50" s="24" t="str">
        <f>IFERROR(IF(Tabla5810[[#This Row],[Cod trabalhador]]="",Tabla5810[[#This Row],[Cod trabalhador]], INDEX(Colaborador_ID[Nombre], MATCH(Tabla5810[[#This Row],[Cod trabalhador]],Colaborador_ID[Cod_colab], 0))), "")</f>
        <v>HECTOR DAVID RAMOS BUHEZO</v>
      </c>
      <c r="N50" s="25" t="s">
        <v>7106</v>
      </c>
      <c r="O50" s="401">
        <f>IFERROR(VLOOKUP(Tabla5810[[#This Row],[Cod trabalhador]],Tabla15[],4,FALSE),"")</f>
        <v>15</v>
      </c>
      <c r="P50" s="232">
        <f>IFERROR(VLOOKUP(Tabla5810[[#This Row],[Cod trabalhador]],'TotalHorasAjustadas (2)'!D:L,8,FALSE),"")</f>
        <v>144</v>
      </c>
      <c r="Q50" s="27">
        <v>144</v>
      </c>
      <c r="R50" s="28" t="s">
        <v>7532</v>
      </c>
      <c r="S50" s="28" t="s">
        <v>7486</v>
      </c>
      <c r="U50" s="25"/>
      <c r="V50" s="26"/>
      <c r="W50" s="27"/>
      <c r="X50" s="102"/>
      <c r="Y50" s="28"/>
      <c r="Z50" s="149"/>
      <c r="AA50" s="392" t="str">
        <f>IFERROR(VLOOKUP(Tabla5810[[#This Row],[Cod trabalhador]],Alojamentos!B:P,11,FALSE),"")</f>
        <v/>
      </c>
      <c r="AB50" s="127"/>
      <c r="AC50" s="150"/>
      <c r="AD50" s="35">
        <f>Tabla5810[[#This Row],[Dias de alta]]*7.058</f>
        <v>0</v>
      </c>
      <c r="AE50" s="46" t="str">
        <f>IFERROR(VLOOKUP(Tabla5810[[#This Row],[Cod trabalhador]],Adiantamentos!B:L,7,FALSE),"")</f>
        <v/>
      </c>
      <c r="AF50" s="46" t="str">
        <f>IFERROR(VLOOKUP(Tabla5810[[#This Row],[Cod trabalhador]],Carro!B:D,3,FALSE),"")</f>
        <v/>
      </c>
      <c r="AG50" s="46">
        <f>IFERROR(VLOOKUP(Tabla5810[[#This Row],[Cod trabalhador]],'Outros descontos'!B:O,7,FALSE),"")</f>
        <v>0</v>
      </c>
      <c r="AH50" s="46">
        <f>IFERROR(VLOOKUP(Tabla5810[[#This Row],[Cod trabalhador]],'Outros descontos'!B:M,8,FALSE),"")</f>
        <v>0</v>
      </c>
      <c r="AI50" s="46">
        <f>IFERROR(VLOOKUP(Tabla5810[[#This Row],[Cod trabalhador]],'Outros descontos'!B:M,9,FALSE),"")</f>
        <v>0</v>
      </c>
      <c r="AJ50" s="46">
        <f>IFERROR(VLOOKUP(Tabla5810[[#This Row],[Cod trabalhador]],'Outros descontos'!B:M,10,FALSE),"")</f>
        <v>36.25</v>
      </c>
      <c r="AK50" s="46">
        <f>IFERROR(VLOOKUP(Tabla5810[[#This Row],[Cod trabalhador]],'Outros descontos'!B:M,11,FALSE),"")</f>
        <v>0</v>
      </c>
      <c r="AL50" s="46">
        <f>IFERROR(VLOOKUP(Tabla5810[[#This Row],[Cod trabalhador]],'Outros descontos'!B:M,12,FALSE),"")</f>
        <v>0</v>
      </c>
      <c r="AM50" s="46" t="str">
        <f>IFERROR(VLOOKUP(Tabla5810[[#This Row],[Cod trabalhador]],'Outros descontos'!B:M,13,FALSE),"")</f>
        <v/>
      </c>
      <c r="AN50" s="393"/>
      <c r="AO50" s="37">
        <v>4.08</v>
      </c>
      <c r="AP50" s="15"/>
      <c r="AQ50"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2119.67</v>
      </c>
      <c r="AR50"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2119.67</v>
      </c>
      <c r="AS50" s="15"/>
      <c r="AT50" s="27" t="str">
        <f>IF(Tabla5810[[#This Row],[Cod trabalhador]]="", "", INDEX(Iban!C:C, MATCH(Tabla5810[[#This Row],[Cod trabalhador]],Iban!A:A, 0)))</f>
        <v>ES28 0049 0688 7827 1171 8775</v>
      </c>
      <c r="AU50" s="27"/>
      <c r="AV50" s="27"/>
      <c r="AW50" s="66" t="s">
        <v>7533</v>
      </c>
      <c r="AX50" s="296" t="s">
        <v>7472</v>
      </c>
    </row>
    <row r="51" spans="1:50" ht="18.75" customHeight="1" x14ac:dyDescent="0.3">
      <c r="A51" s="42">
        <v>46</v>
      </c>
      <c r="B51" s="39" t="s">
        <v>2577</v>
      </c>
      <c r="C51" s="45" t="str">
        <f>IF(ISNUMBER(MATCH(Tabla5810[[#This Row],[Cod trabalhador]],'Altas Luminous'!B:B, 0)), "Ativo", "Não ativo")</f>
        <v>Ativo</v>
      </c>
      <c r="D51" s="44" t="str">
        <f>IFERROR(IF(VLOOKUP(Tabla5810[[#This Row],[Cod trabalhador]],'Altas Industrial'!B:E,1,0)&lt;&gt;"","KI",""),"")</f>
        <v/>
      </c>
      <c r="E51" s="44" t="str">
        <f>IFERROR(IF(VLOOKUP(Tabla5810[[#This Row],[Cod trabalhador]],'Altas Rosas'!B:F,1,0)&lt;&gt;"","KR",""),"")</f>
        <v/>
      </c>
      <c r="F51" s="44" t="str">
        <f>IFERROR(IF(VLOOKUP(Tabla5810[[#This Row],[Cod trabalhador]],'Altas Wiseowe'!B:E,1,0)&lt;&gt;"","WS",""),"")</f>
        <v/>
      </c>
      <c r="G51" s="44" t="str">
        <f>IFERROR(IF(VLOOKUP(Tabla5810[[#This Row],[Cod trabalhador]],'Altas Luminous'!B:E,1,0)&lt;&gt;"","LM",""),"")</f>
        <v>LM</v>
      </c>
      <c r="H51" s="51">
        <f>IFERROR(VLOOKUP(Tabla5810[[#This Row],[Cod trabalhador]],'Altas Luminous'!B:E,3,FALSE),"")</f>
        <v>45932</v>
      </c>
      <c r="I51" s="51" t="str">
        <f>IF(OR(Tabla5810[[#This Row],[Cod trabalhador]]="",ISBLANK(Tabla5810[[#This Row],[Cod trabalhador]])),"",IFERROR(IF(VLOOKUP(Tabla5810[[#This Row],[Cod trabalhador]],'Altas Luminous'!B:E,4,FALSE)=0,"",VLOOKUP(Tabla5810[[#This Row],[Cod trabalhador]],'Altas Luminous'!B:E,4,FALSE)),""))</f>
        <v/>
      </c>
      <c r="J51" s="44">
        <f t="shared" si="1"/>
        <v>31</v>
      </c>
      <c r="K51" s="44" t="s">
        <v>2578</v>
      </c>
      <c r="L51" s="24" t="str">
        <f>IFERROR(IF(Tabla5810[[#This Row],[Cod trabalhador]]="",Tabla5810[[#This Row],[Cod trabalhador]], INDEX(Colaborador_ID[Nombre], MATCH(Tabla5810[[#This Row],[Cod trabalhador]],Colaborador_ID[Cod_colab], 0))), "")</f>
        <v>HECTOR FABIO MAHETE CEDEÑO</v>
      </c>
      <c r="N51" s="25" t="s">
        <v>7095</v>
      </c>
      <c r="O51" s="401">
        <f>IFERROR(VLOOKUP(Tabla5810[[#This Row],[Cod trabalhador]],Tabla15[],4,FALSE),"")</f>
        <v>16</v>
      </c>
      <c r="P51" s="232">
        <f>IFERROR(VLOOKUP(Tabla5810[[#This Row],[Cod trabalhador]],'TotalHorasAjustadas (2)'!D:L,8,FALSE),"")</f>
        <v>218</v>
      </c>
      <c r="Q51" s="27">
        <v>218</v>
      </c>
      <c r="R51" s="28" t="s">
        <v>7532</v>
      </c>
      <c r="S51" s="28" t="s">
        <v>7486</v>
      </c>
      <c r="U51" s="25"/>
      <c r="V51" s="26"/>
      <c r="W51" s="27"/>
      <c r="X51" s="102"/>
      <c r="Y51" s="28"/>
      <c r="Z51" s="149"/>
      <c r="AA51" s="392">
        <f>IFERROR(VLOOKUP(Tabla5810[[#This Row],[Cod trabalhador]],Alojamentos!B:P,11,FALSE),"")</f>
        <v>300</v>
      </c>
      <c r="AB51" s="127"/>
      <c r="AC51" s="150"/>
      <c r="AD51" s="35">
        <f>Tabla5810[[#This Row],[Dias de alta]]*7.058</f>
        <v>218.798</v>
      </c>
      <c r="AE51" s="46" t="str">
        <f>IFERROR(VLOOKUP(Tabla5810[[#This Row],[Cod trabalhador]],Adiantamentos!B:L,7,FALSE),"")</f>
        <v/>
      </c>
      <c r="AF51" s="46" t="str">
        <f>IFERROR(VLOOKUP(Tabla5810[[#This Row],[Cod trabalhador]],Carro!B:D,3,FALSE),"")</f>
        <v/>
      </c>
      <c r="AG51" s="46" t="str">
        <f>IFERROR(VLOOKUP(Tabla5810[[#This Row],[Cod trabalhador]],'Outros descontos'!B:O,7,FALSE),"")</f>
        <v/>
      </c>
      <c r="AH51" s="46" t="str">
        <f>IFERROR(VLOOKUP(Tabla5810[[#This Row],[Cod trabalhador]],'Outros descontos'!B:M,8,FALSE),"")</f>
        <v/>
      </c>
      <c r="AI51" s="46" t="str">
        <f>IFERROR(VLOOKUP(Tabla5810[[#This Row],[Cod trabalhador]],'Outros descontos'!B:M,9,FALSE),"")</f>
        <v/>
      </c>
      <c r="AJ51" s="46" t="str">
        <f>IFERROR(VLOOKUP(Tabla5810[[#This Row],[Cod trabalhador]],'Outros descontos'!B:M,10,FALSE),"")</f>
        <v/>
      </c>
      <c r="AK51" s="46" t="str">
        <f>IFERROR(VLOOKUP(Tabla5810[[#This Row],[Cod trabalhador]],'Outros descontos'!B:M,11,FALSE),"")</f>
        <v/>
      </c>
      <c r="AL51" s="46" t="str">
        <f>IFERROR(VLOOKUP(Tabla5810[[#This Row],[Cod trabalhador]],'Outros descontos'!B:M,12,FALSE),"")</f>
        <v/>
      </c>
      <c r="AM51" s="46" t="str">
        <f>IFERROR(VLOOKUP(Tabla5810[[#This Row],[Cod trabalhador]],'Outros descontos'!B:M,13,FALSE),"")</f>
        <v/>
      </c>
      <c r="AN51" s="393"/>
      <c r="AO51" s="37">
        <v>4.08</v>
      </c>
      <c r="AP51" s="15"/>
      <c r="AQ51"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3565.1220000000003</v>
      </c>
      <c r="AR51"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3565.1220000000003</v>
      </c>
      <c r="AS51" s="15"/>
      <c r="AT51" s="27" t="str">
        <f>IF(Tabla5810[[#This Row],[Cod trabalhador]]="", "", INDEX(Iban!C:C, MATCH(Tabla5810[[#This Row],[Cod trabalhador]],Iban!A:A, 0)))</f>
        <v>ES19 0182 0956 5602 0176 9922</v>
      </c>
      <c r="AU51" s="27"/>
      <c r="AV51" s="27"/>
      <c r="AW51" s="66" t="s">
        <v>7533</v>
      </c>
      <c r="AX51" s="296" t="s">
        <v>7472</v>
      </c>
    </row>
    <row r="52" spans="1:50" ht="18.75" customHeight="1" x14ac:dyDescent="0.3">
      <c r="A52" s="42">
        <v>47</v>
      </c>
      <c r="B52" s="39" t="s">
        <v>2585</v>
      </c>
      <c r="C52" s="45" t="str">
        <f>IF(ISNUMBER(MATCH(Tabla5810[[#This Row],[Cod trabalhador]],'Altas Luminous'!B:B, 0)), "Ativo", "Não ativo")</f>
        <v>Ativo</v>
      </c>
      <c r="D52" s="44" t="str">
        <f>IFERROR(IF(VLOOKUP(Tabla5810[[#This Row],[Cod trabalhador]],'Altas Industrial'!B:E,1,0)&lt;&gt;"","KI",""),"")</f>
        <v/>
      </c>
      <c r="E52" s="44" t="str">
        <f>IFERROR(IF(VLOOKUP(Tabla5810[[#This Row],[Cod trabalhador]],'Altas Rosas'!B:F,1,0)&lt;&gt;"","KR",""),"")</f>
        <v/>
      </c>
      <c r="F52" s="44" t="str">
        <f>IFERROR(IF(VLOOKUP(Tabla5810[[#This Row],[Cod trabalhador]],'Altas Wiseowe'!B:E,1,0)&lt;&gt;"","WS",""),"")</f>
        <v/>
      </c>
      <c r="G52" s="44" t="str">
        <f>IFERROR(IF(VLOOKUP(Tabla5810[[#This Row],[Cod trabalhador]],'Altas Luminous'!B:E,1,0)&lt;&gt;"","LM",""),"")</f>
        <v>LM</v>
      </c>
      <c r="H52" s="51">
        <f>IFERROR(VLOOKUP(Tabla5810[[#This Row],[Cod trabalhador]],'Altas Luminous'!B:E,3,FALSE),"")</f>
        <v>46048</v>
      </c>
      <c r="I52" s="51" t="str">
        <f>IF(OR(Tabla5810[[#This Row],[Cod trabalhador]]="",ISBLANK(Tabla5810[[#This Row],[Cod trabalhador]])),"",IFERROR(IF(VLOOKUP(Tabla5810[[#This Row],[Cod trabalhador]],'Altas Luminous'!B:E,4,FALSE)=0,"",VLOOKUP(Tabla5810[[#This Row],[Cod trabalhador]],'Altas Luminous'!B:E,4,FALSE)),""))</f>
        <v/>
      </c>
      <c r="J52" s="44">
        <f t="shared" si="1"/>
        <v>6</v>
      </c>
      <c r="K52" s="44" t="s">
        <v>7175</v>
      </c>
      <c r="L52" s="24" t="str">
        <f>IFERROR(IF(Tabla5810[[#This Row],[Cod trabalhador]]="",Tabla5810[[#This Row],[Cod trabalhador]], INDEX(Colaborador_ID[Nombre], MATCH(Tabla5810[[#This Row],[Cod trabalhador]],Colaborador_ID[Cod_colab], 0))), "")</f>
        <v>HECTOR FABIO VASQUEZ MAYORGA</v>
      </c>
      <c r="N52" s="25" t="s">
        <v>7174</v>
      </c>
      <c r="O52" s="401">
        <f>IFERROR(VLOOKUP(Tabla5810[[#This Row],[Cod trabalhador]],Tabla15[],4,FALSE),"")</f>
        <v>16</v>
      </c>
      <c r="P52" s="232">
        <f>IFERROR(VLOOKUP(Tabla5810[[#This Row],[Cod trabalhador]],'TotalHorasAjustadas (2)'!D:L,8,FALSE),"")</f>
        <v>39.5</v>
      </c>
      <c r="Q52" s="27">
        <v>39.5</v>
      </c>
      <c r="R52" s="28" t="s">
        <v>7471</v>
      </c>
      <c r="S52" s="28" t="s">
        <v>7486</v>
      </c>
      <c r="U52" s="25"/>
      <c r="V52" s="26"/>
      <c r="W52" s="27"/>
      <c r="X52" s="102"/>
      <c r="Y52" s="28"/>
      <c r="Z52" s="149"/>
      <c r="AA52" s="392" t="str">
        <f>IFERROR(VLOOKUP(Tabla5810[[#This Row],[Cod trabalhador]],Alojamentos!B:P,11,FALSE),"")</f>
        <v/>
      </c>
      <c r="AB52" s="127"/>
      <c r="AC52" s="150"/>
      <c r="AD52" s="35">
        <f>Tabla5810[[#This Row],[Dias de alta]]*7.058</f>
        <v>42.347999999999999</v>
      </c>
      <c r="AE52" s="46" t="str">
        <f>IFERROR(VLOOKUP(Tabla5810[[#This Row],[Cod trabalhador]],Adiantamentos!B:L,7,FALSE),"")</f>
        <v/>
      </c>
      <c r="AF52" s="46">
        <f>IFERROR(VLOOKUP(Tabla5810[[#This Row],[Cod trabalhador]],Carro!B:D,3,FALSE),"")</f>
        <v>15</v>
      </c>
      <c r="AG52" s="46" t="str">
        <f>IFERROR(VLOOKUP(Tabla5810[[#This Row],[Cod trabalhador]],'Outros descontos'!B:O,7,FALSE),"")</f>
        <v/>
      </c>
      <c r="AH52" s="46" t="str">
        <f>IFERROR(VLOOKUP(Tabla5810[[#This Row],[Cod trabalhador]],'Outros descontos'!B:M,8,FALSE),"")</f>
        <v/>
      </c>
      <c r="AI52" s="46" t="str">
        <f>IFERROR(VLOOKUP(Tabla5810[[#This Row],[Cod trabalhador]],'Outros descontos'!B:M,9,FALSE),"")</f>
        <v/>
      </c>
      <c r="AJ52" s="46" t="str">
        <f>IFERROR(VLOOKUP(Tabla5810[[#This Row],[Cod trabalhador]],'Outros descontos'!B:M,10,FALSE),"")</f>
        <v/>
      </c>
      <c r="AK52" s="46" t="str">
        <f>IFERROR(VLOOKUP(Tabla5810[[#This Row],[Cod trabalhador]],'Outros descontos'!B:M,11,FALSE),"")</f>
        <v/>
      </c>
      <c r="AL52" s="46" t="str">
        <f>IFERROR(VLOOKUP(Tabla5810[[#This Row],[Cod trabalhador]],'Outros descontos'!B:M,12,FALSE),"")</f>
        <v/>
      </c>
      <c r="AM52" s="46" t="str">
        <f>IFERROR(VLOOKUP(Tabla5810[[#This Row],[Cod trabalhador]],'Outros descontos'!B:M,13,FALSE),"")</f>
        <v/>
      </c>
      <c r="AN52" s="393"/>
      <c r="AO52" s="37">
        <v>4.08</v>
      </c>
      <c r="AP52" s="15"/>
      <c r="AQ52"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570.572</v>
      </c>
      <c r="AR52"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570.572</v>
      </c>
      <c r="AS52" s="15"/>
      <c r="AT52" s="27" t="str">
        <f>IF(Tabla5810[[#This Row],[Cod trabalhador]]="", "", INDEX(Iban!C:C, MATCH(Tabla5810[[#This Row],[Cod trabalhador]],Iban!A:A, 0)))</f>
        <v>ES79 0182 0660 4102 0167 3506</v>
      </c>
      <c r="AU52" s="27"/>
      <c r="AV52" s="27"/>
      <c r="AW52" s="66" t="s">
        <v>7533</v>
      </c>
      <c r="AX52" s="296" t="s">
        <v>7472</v>
      </c>
    </row>
    <row r="53" spans="1:50" ht="18.75" customHeight="1" x14ac:dyDescent="0.3">
      <c r="A53" s="42">
        <v>48</v>
      </c>
      <c r="B53" s="39" t="s">
        <v>2596</v>
      </c>
      <c r="C53" s="45" t="str">
        <f>IF(ISNUMBER(MATCH(Tabla5810[[#This Row],[Cod trabalhador]],'Altas Luminous'!B:B, 0)), "Ativo", "Não ativo")</f>
        <v>Ativo</v>
      </c>
      <c r="D53" s="44" t="str">
        <f>IFERROR(IF(VLOOKUP(Tabla5810[[#This Row],[Cod trabalhador]],'Altas Industrial'!B:E,1,0)&lt;&gt;"","KI",""),"")</f>
        <v/>
      </c>
      <c r="E53" s="44" t="str">
        <f>IFERROR(IF(VLOOKUP(Tabla5810[[#This Row],[Cod trabalhador]],'Altas Rosas'!B:F,1,0)&lt;&gt;"","KR",""),"")</f>
        <v/>
      </c>
      <c r="F53" s="44" t="str">
        <f>IFERROR(IF(VLOOKUP(Tabla5810[[#This Row],[Cod trabalhador]],'Altas Wiseowe'!B:E,1,0)&lt;&gt;"","WS",""),"")</f>
        <v/>
      </c>
      <c r="G53" s="44" t="str">
        <f>IFERROR(IF(VLOOKUP(Tabla5810[[#This Row],[Cod trabalhador]],'Altas Luminous'!B:E,1,0)&lt;&gt;"","LM",""),"")</f>
        <v>LM</v>
      </c>
      <c r="H53" s="51">
        <f>IFERROR(VLOOKUP(Tabla5810[[#This Row],[Cod trabalhador]],'Altas Luminous'!B:E,3,FALSE),"")</f>
        <v>46051</v>
      </c>
      <c r="I53" s="51" t="str">
        <f>IF(OR(Tabla5810[[#This Row],[Cod trabalhador]]="",ISBLANK(Tabla5810[[#This Row],[Cod trabalhador]])),"",IFERROR(IF(VLOOKUP(Tabla5810[[#This Row],[Cod trabalhador]],'Altas Luminous'!B:E,4,FALSE)=0,"",VLOOKUP(Tabla5810[[#This Row],[Cod trabalhador]],'Altas Luminous'!B:E,4,FALSE)),""))</f>
        <v/>
      </c>
      <c r="J53" s="44">
        <f t="shared" si="1"/>
        <v>3</v>
      </c>
      <c r="K53" s="44" t="s">
        <v>2597</v>
      </c>
      <c r="L53" s="24" t="str">
        <f>IFERROR(IF(Tabla5810[[#This Row],[Cod trabalhador]]="",Tabla5810[[#This Row],[Cod trabalhador]], INDEX(Colaborador_ID[Nombre], MATCH(Tabla5810[[#This Row],[Cod trabalhador]],Colaborador_ID[Cod_colab], 0))), "")</f>
        <v>HECTOR GIOVANNI MORENO SUSA</v>
      </c>
      <c r="N53" s="25" t="s">
        <v>7180</v>
      </c>
      <c r="O53" s="401">
        <v>15</v>
      </c>
      <c r="P53" s="232">
        <f>IFERROR(VLOOKUP(Tabla5810[[#This Row],[Cod trabalhador]],'TotalHorasAjustadas (2)'!D:L,8,FALSE),"")</f>
        <v>19.5</v>
      </c>
      <c r="Q53" s="27">
        <v>19.5</v>
      </c>
      <c r="R53" s="28" t="s">
        <v>7532</v>
      </c>
      <c r="S53" s="28" t="s">
        <v>7486</v>
      </c>
      <c r="U53" s="25"/>
      <c r="V53" s="26"/>
      <c r="W53" s="27"/>
      <c r="X53" s="102"/>
      <c r="Y53" s="28"/>
      <c r="Z53" s="149"/>
      <c r="AA53" s="392" t="str">
        <f>IFERROR(VLOOKUP(Tabla5810[[#This Row],[Cod trabalhador]],Alojamentos!B:P,11,FALSE),"")</f>
        <v/>
      </c>
      <c r="AB53" s="127"/>
      <c r="AC53" s="150"/>
      <c r="AD53" s="35">
        <f>Tabla5810[[#This Row],[Dias de alta]]*7.058</f>
        <v>21.173999999999999</v>
      </c>
      <c r="AE53" s="46" t="str">
        <f>IFERROR(VLOOKUP(Tabla5810[[#This Row],[Cod trabalhador]],Adiantamentos!B:L,7,FALSE),"")</f>
        <v/>
      </c>
      <c r="AF53" s="46" t="str">
        <f>IFERROR(VLOOKUP(Tabla5810[[#This Row],[Cod trabalhador]],Carro!B:D,3,FALSE),"")</f>
        <v/>
      </c>
      <c r="AG53" s="46" t="str">
        <f>IFERROR(VLOOKUP(Tabla5810[[#This Row],[Cod trabalhador]],'Outros descontos'!B:O,7,FALSE),"")</f>
        <v/>
      </c>
      <c r="AH53" s="46" t="str">
        <f>IFERROR(VLOOKUP(Tabla5810[[#This Row],[Cod trabalhador]],'Outros descontos'!B:M,8,FALSE),"")</f>
        <v/>
      </c>
      <c r="AI53" s="46" t="str">
        <f>IFERROR(VLOOKUP(Tabla5810[[#This Row],[Cod trabalhador]],'Outros descontos'!B:M,9,FALSE),"")</f>
        <v/>
      </c>
      <c r="AJ53" s="46" t="str">
        <f>IFERROR(VLOOKUP(Tabla5810[[#This Row],[Cod trabalhador]],'Outros descontos'!B:M,10,FALSE),"")</f>
        <v/>
      </c>
      <c r="AK53" s="46" t="str">
        <f>IFERROR(VLOOKUP(Tabla5810[[#This Row],[Cod trabalhador]],'Outros descontos'!B:M,11,FALSE),"")</f>
        <v/>
      </c>
      <c r="AL53" s="46" t="str">
        <f>IFERROR(VLOOKUP(Tabla5810[[#This Row],[Cod trabalhador]],'Outros descontos'!B:M,12,FALSE),"")</f>
        <v/>
      </c>
      <c r="AM53" s="46" t="str">
        <f>IFERROR(VLOOKUP(Tabla5810[[#This Row],[Cod trabalhador]],'Outros descontos'!B:M,13,FALSE),"")</f>
        <v/>
      </c>
      <c r="AN53" s="393"/>
      <c r="AO53" s="37">
        <v>4.08</v>
      </c>
      <c r="AP53" s="15"/>
      <c r="AQ53"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267.24600000000004</v>
      </c>
      <c r="AR53"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267.24600000000004</v>
      </c>
      <c r="AS53" s="15"/>
      <c r="AT53" s="27" t="str">
        <f>IF(Tabla5810[[#This Row],[Cod trabalhador]]="", "", INDEX(Iban!C:C, MATCH(Tabla5810[[#This Row],[Cod trabalhador]],Iban!A:A, 0)))</f>
        <v>ES83 0182 9348 1702 0162 9859</v>
      </c>
      <c r="AU53" s="27"/>
      <c r="AV53" s="27"/>
      <c r="AW53" s="66" t="s">
        <v>7533</v>
      </c>
      <c r="AX53" s="296" t="s">
        <v>7472</v>
      </c>
    </row>
    <row r="54" spans="1:50" ht="18.75" customHeight="1" x14ac:dyDescent="0.3">
      <c r="A54" s="42">
        <v>49</v>
      </c>
      <c r="B54" s="39" t="s">
        <v>2637</v>
      </c>
      <c r="C54" s="45" t="str">
        <f>IF(ISNUMBER(MATCH(Tabla5810[[#This Row],[Cod trabalhador]],'Altas Luminous'!B:B, 0)), "Ativo", "Não ativo")</f>
        <v>Não ativo</v>
      </c>
      <c r="D54" s="44" t="str">
        <f>IFERROR(IF(VLOOKUP(Tabla5810[[#This Row],[Cod trabalhador]],'Altas Industrial'!B:E,1,0)&lt;&gt;"","KI",""),"")</f>
        <v/>
      </c>
      <c r="E54" s="44" t="str">
        <f>IFERROR(IF(VLOOKUP(Tabla5810[[#This Row],[Cod trabalhador]],'Altas Rosas'!B:F,1,0)&lt;&gt;"","KR",""),"")</f>
        <v/>
      </c>
      <c r="F54" s="44" t="str">
        <f>IFERROR(IF(VLOOKUP(Tabla5810[[#This Row],[Cod trabalhador]],'Altas Wiseowe'!B:E,1,0)&lt;&gt;"","WS",""),"")</f>
        <v/>
      </c>
      <c r="G54" s="44" t="str">
        <f>IFERROR(IF(VLOOKUP(Tabla5810[[#This Row],[Cod trabalhador]],'Altas Luminous'!B:E,1,0)&lt;&gt;"","LM",""),"")</f>
        <v/>
      </c>
      <c r="H54" s="51" t="str">
        <f>IFERROR(VLOOKUP(Tabla5810[[#This Row],[Cod trabalhador]],'Altas Luminous'!B:E,3,FALSE),"")</f>
        <v/>
      </c>
      <c r="I54" s="51" t="str">
        <f>IF(OR(Tabla5810[[#This Row],[Cod trabalhador]]="",ISBLANK(Tabla5810[[#This Row],[Cod trabalhador]])),"",IFERROR(IF(VLOOKUP(Tabla5810[[#This Row],[Cod trabalhador]],'Altas Luminous'!B:E,4,FALSE)=0,"",VLOOKUP(Tabla5810[[#This Row],[Cod trabalhador]],'Altas Luminous'!B:E,4,FALSE)),""))</f>
        <v/>
      </c>
      <c r="J54" s="44">
        <f t="shared" si="1"/>
        <v>0</v>
      </c>
      <c r="K54" s="44" t="s">
        <v>2638</v>
      </c>
      <c r="L54" s="24" t="str">
        <f>IFERROR(IF(Tabla5810[[#This Row],[Cod trabalhador]]="",Tabla5810[[#This Row],[Cod trabalhador]], INDEX(Colaborador_ID[Nombre], MATCH(Tabla5810[[#This Row],[Cod trabalhador]],Colaborador_ID[Cod_colab], 0))), "")</f>
        <v>HECTOR SANCHEZ GUERRERO</v>
      </c>
      <c r="N54" s="25" t="s">
        <v>7106</v>
      </c>
      <c r="O54" s="401">
        <f>IFERROR(VLOOKUP(Tabla5810[[#This Row],[Cod trabalhador]],Tabla15[],4,FALSE),"")</f>
        <v>15</v>
      </c>
      <c r="P54" s="232">
        <f>IFERROR(VLOOKUP(Tabla5810[[#This Row],[Cod trabalhador]],'TotalHorasAjustadas (2)'!D:L,8,FALSE),"")</f>
        <v>167</v>
      </c>
      <c r="Q54" s="27">
        <v>167</v>
      </c>
      <c r="R54" s="28" t="s">
        <v>7532</v>
      </c>
      <c r="S54" s="28" t="s">
        <v>7486</v>
      </c>
      <c r="U54" s="25"/>
      <c r="V54" s="26"/>
      <c r="W54" s="27"/>
      <c r="X54" s="102"/>
      <c r="Y54" s="28"/>
      <c r="Z54" s="149"/>
      <c r="AA54" s="392" t="str">
        <f>IFERROR(VLOOKUP(Tabla5810[[#This Row],[Cod trabalhador]],Alojamentos!B:P,11,FALSE),"")</f>
        <v/>
      </c>
      <c r="AB54" s="127"/>
      <c r="AC54" s="150"/>
      <c r="AD54" s="35">
        <f>Tabla5810[[#This Row],[Dias de alta]]*7.058</f>
        <v>0</v>
      </c>
      <c r="AE54" s="46" t="str">
        <f>IFERROR(VLOOKUP(Tabla5810[[#This Row],[Cod trabalhador]],Adiantamentos!B:L,7,FALSE),"")</f>
        <v/>
      </c>
      <c r="AF54" s="46">
        <f>IFERROR(VLOOKUP(Tabla5810[[#This Row],[Cod trabalhador]],Carro!B:D,3,FALSE),"")</f>
        <v>120</v>
      </c>
      <c r="AG54" s="46" t="str">
        <f>IFERROR(VLOOKUP(Tabla5810[[#This Row],[Cod trabalhador]],'Outros descontos'!B:O,7,FALSE),"")</f>
        <v/>
      </c>
      <c r="AH54" s="46" t="str">
        <f>IFERROR(VLOOKUP(Tabla5810[[#This Row],[Cod trabalhador]],'Outros descontos'!B:M,8,FALSE),"")</f>
        <v/>
      </c>
      <c r="AI54" s="46" t="str">
        <f>IFERROR(VLOOKUP(Tabla5810[[#This Row],[Cod trabalhador]],'Outros descontos'!B:M,9,FALSE),"")</f>
        <v/>
      </c>
      <c r="AJ54" s="46" t="str">
        <f>IFERROR(VLOOKUP(Tabla5810[[#This Row],[Cod trabalhador]],'Outros descontos'!B:M,10,FALSE),"")</f>
        <v/>
      </c>
      <c r="AK54" s="46" t="str">
        <f>IFERROR(VLOOKUP(Tabla5810[[#This Row],[Cod trabalhador]],'Outros descontos'!B:M,11,FALSE),"")</f>
        <v/>
      </c>
      <c r="AL54" s="46" t="str">
        <f>IFERROR(VLOOKUP(Tabla5810[[#This Row],[Cod trabalhador]],'Outros descontos'!B:M,12,FALSE),"")</f>
        <v/>
      </c>
      <c r="AM54" s="46" t="str">
        <f>IFERROR(VLOOKUP(Tabla5810[[#This Row],[Cod trabalhador]],'Outros descontos'!B:M,13,FALSE),"")</f>
        <v/>
      </c>
      <c r="AN54" s="393"/>
      <c r="AO54" s="37">
        <v>4.08</v>
      </c>
      <c r="AP54" s="15"/>
      <c r="AQ54"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2380.92</v>
      </c>
      <c r="AR54"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2380.92</v>
      </c>
      <c r="AS54" s="15"/>
      <c r="AT54" s="27" t="str">
        <f>IF(Tabla5810[[#This Row],[Cod trabalhador]]="", "", INDEX(Iban!C:C, MATCH(Tabla5810[[#This Row],[Cod trabalhador]],Iban!A:A, 0)))</f>
        <v>ES64 0182 1215 8102 0155 2886</v>
      </c>
      <c r="AU54" s="27"/>
      <c r="AV54" s="27"/>
      <c r="AW54" s="66" t="s">
        <v>7533</v>
      </c>
      <c r="AX54" s="296" t="s">
        <v>7472</v>
      </c>
    </row>
    <row r="55" spans="1:50" ht="18.75" customHeight="1" x14ac:dyDescent="0.3">
      <c r="A55" s="42">
        <v>50</v>
      </c>
      <c r="B55" s="39" t="s">
        <v>2685</v>
      </c>
      <c r="C55" s="45" t="str">
        <f>IF(ISNUMBER(MATCH(Tabla5810[[#This Row],[Cod trabalhador]],'Altas Luminous'!B:B, 0)), "Ativo", "Não ativo")</f>
        <v>Não ativo</v>
      </c>
      <c r="D55" s="44" t="str">
        <f>IFERROR(IF(VLOOKUP(Tabla5810[[#This Row],[Cod trabalhador]],'Altas Industrial'!B:E,1,0)&lt;&gt;"","KI",""),"")</f>
        <v/>
      </c>
      <c r="E55" s="44" t="str">
        <f>IFERROR(IF(VLOOKUP(Tabla5810[[#This Row],[Cod trabalhador]],'Altas Rosas'!B:F,1,0)&lt;&gt;"","KR",""),"")</f>
        <v/>
      </c>
      <c r="F55" s="44" t="str">
        <f>IFERROR(IF(VLOOKUP(Tabla5810[[#This Row],[Cod trabalhador]],'Altas Wiseowe'!B:E,1,0)&lt;&gt;"","WS",""),"")</f>
        <v/>
      </c>
      <c r="G55" s="44" t="str">
        <f>IFERROR(IF(VLOOKUP(Tabla5810[[#This Row],[Cod trabalhador]],'Altas Luminous'!B:E,1,0)&lt;&gt;"","LM",""),"")</f>
        <v/>
      </c>
      <c r="H55" s="51" t="str">
        <f>IFERROR(VLOOKUP(Tabla5810[[#This Row],[Cod trabalhador]],'Altas Luminous'!B:E,3,FALSE),"")</f>
        <v/>
      </c>
      <c r="I55" s="51" t="str">
        <f>IF(OR(Tabla5810[[#This Row],[Cod trabalhador]]="",ISBLANK(Tabla5810[[#This Row],[Cod trabalhador]])),"",IFERROR(IF(VLOOKUP(Tabla5810[[#This Row],[Cod trabalhador]],'Altas Luminous'!B:E,4,FALSE)=0,"",VLOOKUP(Tabla5810[[#This Row],[Cod trabalhador]],'Altas Luminous'!B:E,4,FALSE)),""))</f>
        <v/>
      </c>
      <c r="J55" s="44">
        <f t="shared" si="1"/>
        <v>0</v>
      </c>
      <c r="K55" s="413" t="s">
        <v>7179</v>
      </c>
      <c r="L55" s="24" t="str">
        <f>IFERROR(IF(Tabla5810[[#This Row],[Cod trabalhador]]="",Tabla5810[[#This Row],[Cod trabalhador]], INDEX(Colaborador_ID[Nombre], MATCH(Tabla5810[[#This Row],[Cod trabalhador]],Colaborador_ID[Cod_colab], 0))), "")</f>
        <v>HENRY MARTINEZ CABEZAS</v>
      </c>
      <c r="N55" s="25" t="s">
        <v>7177</v>
      </c>
      <c r="O55" s="401">
        <f>IFERROR(VLOOKUP(Tabla5810[[#This Row],[Cod trabalhador]],Tabla15[],4,FALSE),"")</f>
        <v>15</v>
      </c>
      <c r="P55" s="232">
        <f>IFERROR(VLOOKUP(Tabla5810[[#This Row],[Cod trabalhador]],'TotalHorasAjustadas (2)'!D:L,8,FALSE),"")</f>
        <v>23</v>
      </c>
      <c r="Q55" s="27">
        <v>23</v>
      </c>
      <c r="R55" s="28" t="s">
        <v>7532</v>
      </c>
      <c r="S55" s="28" t="s">
        <v>7486</v>
      </c>
      <c r="U55" s="25"/>
      <c r="V55" s="26"/>
      <c r="W55" s="27"/>
      <c r="X55" s="102"/>
      <c r="Y55" s="28"/>
      <c r="Z55" s="149"/>
      <c r="AA55" s="392" t="str">
        <f>IFERROR(VLOOKUP(Tabla5810[[#This Row],[Cod trabalhador]],Alojamentos!B:P,11,FALSE),"")</f>
        <v/>
      </c>
      <c r="AB55" s="127"/>
      <c r="AC55" s="150"/>
      <c r="AD55" s="35">
        <f>Tabla5810[[#This Row],[Dias de alta]]*7.058</f>
        <v>0</v>
      </c>
      <c r="AE55" s="46" t="str">
        <f>IFERROR(VLOOKUP(Tabla5810[[#This Row],[Cod trabalhador]],Adiantamentos!B:L,7,FALSE),"")</f>
        <v/>
      </c>
      <c r="AF55" s="46">
        <f>IFERROR(VLOOKUP(Tabla5810[[#This Row],[Cod trabalhador]],Carro!B:D,3,FALSE),"")</f>
        <v>10</v>
      </c>
      <c r="AG55" s="46" t="str">
        <f>IFERROR(VLOOKUP(Tabla5810[[#This Row],[Cod trabalhador]],'Outros descontos'!B:O,7,FALSE),"")</f>
        <v/>
      </c>
      <c r="AH55" s="46" t="str">
        <f>IFERROR(VLOOKUP(Tabla5810[[#This Row],[Cod trabalhador]],'Outros descontos'!B:M,8,FALSE),"")</f>
        <v/>
      </c>
      <c r="AI55" s="46" t="str">
        <f>IFERROR(VLOOKUP(Tabla5810[[#This Row],[Cod trabalhador]],'Outros descontos'!B:M,9,FALSE),"")</f>
        <v/>
      </c>
      <c r="AJ55" s="46" t="str">
        <f>IFERROR(VLOOKUP(Tabla5810[[#This Row],[Cod trabalhador]],'Outros descontos'!B:M,10,FALSE),"")</f>
        <v/>
      </c>
      <c r="AK55" s="46" t="str">
        <f>IFERROR(VLOOKUP(Tabla5810[[#This Row],[Cod trabalhador]],'Outros descontos'!B:M,11,FALSE),"")</f>
        <v/>
      </c>
      <c r="AL55" s="46" t="str">
        <f>IFERROR(VLOOKUP(Tabla5810[[#This Row],[Cod trabalhador]],'Outros descontos'!B:M,12,FALSE),"")</f>
        <v/>
      </c>
      <c r="AM55" s="46" t="str">
        <f>IFERROR(VLOOKUP(Tabla5810[[#This Row],[Cod trabalhador]],'Outros descontos'!B:M,13,FALSE),"")</f>
        <v/>
      </c>
      <c r="AN55" s="393"/>
      <c r="AO55" s="37">
        <v>4.08</v>
      </c>
      <c r="AP55" s="15"/>
      <c r="AQ55"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330.92</v>
      </c>
      <c r="AR55"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330.92</v>
      </c>
      <c r="AS55" s="15"/>
      <c r="AT55" s="27" t="str">
        <f>IF(Tabla5810[[#This Row],[Cod trabalhador]]="", "", INDEX(Iban!C:C, MATCH(Tabla5810[[#This Row],[Cod trabalhador]],Iban!A:A, 0)))</f>
        <v>BE26 9057 3126 5829</v>
      </c>
      <c r="AU55" s="27"/>
      <c r="AV55" s="27"/>
      <c r="AW55" s="66" t="s">
        <v>7533</v>
      </c>
      <c r="AX55" s="296" t="s">
        <v>7472</v>
      </c>
    </row>
    <row r="56" spans="1:50" ht="18.75" customHeight="1" x14ac:dyDescent="0.3">
      <c r="A56" s="42">
        <v>51</v>
      </c>
      <c r="B56" s="100" t="s">
        <v>2727</v>
      </c>
      <c r="C56" s="45" t="str">
        <f>IF(ISNUMBER(MATCH(Tabla5810[[#This Row],[Cod trabalhador]],'Altas Luminous'!B:B, 0)), "Ativo", "Não ativo")</f>
        <v>Não ativo</v>
      </c>
      <c r="D56" s="44" t="str">
        <f>IFERROR(IF(VLOOKUP(Tabla5810[[#This Row],[Cod trabalhador]],'Altas Industrial'!B:E,1,0)&lt;&gt;"","KI",""),"")</f>
        <v/>
      </c>
      <c r="E56" s="44" t="str">
        <f>IFERROR(IF(VLOOKUP(Tabla5810[[#This Row],[Cod trabalhador]],'Altas Rosas'!B:F,1,0)&lt;&gt;"","KR",""),"")</f>
        <v/>
      </c>
      <c r="F56" s="44" t="str">
        <f>IFERROR(IF(VLOOKUP(Tabla5810[[#This Row],[Cod trabalhador]],'Altas Wiseowe'!B:E,1,0)&lt;&gt;"","WS",""),"")</f>
        <v/>
      </c>
      <c r="G56" s="44" t="str">
        <f>IFERROR(IF(VLOOKUP(Tabla5810[[#This Row],[Cod trabalhador]],'Altas Luminous'!B:E,1,0)&lt;&gt;"","LM",""),"")</f>
        <v/>
      </c>
      <c r="H56" s="51" t="str">
        <f>IFERROR(VLOOKUP(Tabla5810[[#This Row],[Cod trabalhador]],'Altas Luminous'!B:E,3,FALSE),"")</f>
        <v/>
      </c>
      <c r="I56" s="51" t="str">
        <f>IF(OR(Tabla5810[[#This Row],[Cod trabalhador]]="",ISBLANK(Tabla5810[[#This Row],[Cod trabalhador]])),"",IFERROR(IF(VLOOKUP(Tabla5810[[#This Row],[Cod trabalhador]],'Altas Luminous'!B:E,4,FALSE)=0,"",VLOOKUP(Tabla5810[[#This Row],[Cod trabalhador]],'Altas Luminous'!B:E,4,FALSE)),""))</f>
        <v/>
      </c>
      <c r="J56" s="44">
        <f t="shared" si="1"/>
        <v>0</v>
      </c>
      <c r="K56" s="44" t="s">
        <v>7079</v>
      </c>
      <c r="L56" s="24" t="str">
        <f>IFERROR(IF(Tabla5810[[#This Row],[Cod trabalhador]]="",Tabla5810[[#This Row],[Cod trabalhador]], INDEX(Colaborador_ID[Nombre], MATCH(Tabla5810[[#This Row],[Cod trabalhador]],Colaborador_ID[Cod_colab], 0))), "")</f>
        <v>HERNAN GERONIMO ALEJANDRO TARAZONA</v>
      </c>
      <c r="N56" s="25" t="s">
        <v>7077</v>
      </c>
      <c r="O56" s="401">
        <f>IFERROR(VLOOKUP(Tabla5810[[#This Row],[Cod trabalhador]],Tabla15[],4,FALSE),"")</f>
        <v>15</v>
      </c>
      <c r="P56" s="232">
        <f>IFERROR(VLOOKUP(Tabla5810[[#This Row],[Cod trabalhador]],'TotalHorasAjustadas (2)'!D:L,8,FALSE),"")</f>
        <v>188.39999999999992</v>
      </c>
      <c r="Q56" s="27">
        <v>188.4</v>
      </c>
      <c r="R56" s="28" t="s">
        <v>7532</v>
      </c>
      <c r="S56" s="28" t="s">
        <v>7486</v>
      </c>
      <c r="U56" s="25"/>
      <c r="V56" s="26"/>
      <c r="W56" s="27"/>
      <c r="X56" s="102"/>
      <c r="Y56" s="28"/>
      <c r="Z56" s="149"/>
      <c r="AA56" s="392" t="str">
        <f>IFERROR(VLOOKUP(Tabla5810[[#This Row],[Cod trabalhador]],Alojamentos!B:P,11,FALSE),"")</f>
        <v/>
      </c>
      <c r="AB56" s="127"/>
      <c r="AC56" s="150"/>
      <c r="AD56" s="35">
        <f>Tabla5810[[#This Row],[Dias de alta]]*7.058</f>
        <v>0</v>
      </c>
      <c r="AE56" s="46" t="str">
        <f>IFERROR(VLOOKUP(Tabla5810[[#This Row],[Cod trabalhador]],Adiantamentos!B:L,7,FALSE),"")</f>
        <v/>
      </c>
      <c r="AF56" s="46" t="str">
        <f>IFERROR(VLOOKUP(Tabla5810[[#This Row],[Cod trabalhador]],Carro!B:D,3,FALSE),"")</f>
        <v/>
      </c>
      <c r="AG56" s="46" t="str">
        <f>IFERROR(VLOOKUP(Tabla5810[[#This Row],[Cod trabalhador]],'Outros descontos'!B:O,7,FALSE),"")</f>
        <v/>
      </c>
      <c r="AH56" s="46" t="str">
        <f>IFERROR(VLOOKUP(Tabla5810[[#This Row],[Cod trabalhador]],'Outros descontos'!B:M,8,FALSE),"")</f>
        <v/>
      </c>
      <c r="AI56" s="46" t="str">
        <f>IFERROR(VLOOKUP(Tabla5810[[#This Row],[Cod trabalhador]],'Outros descontos'!B:M,9,FALSE),"")</f>
        <v/>
      </c>
      <c r="AJ56" s="46" t="str">
        <f>IFERROR(VLOOKUP(Tabla5810[[#This Row],[Cod trabalhador]],'Outros descontos'!B:M,10,FALSE),"")</f>
        <v/>
      </c>
      <c r="AK56" s="46" t="str">
        <f>IFERROR(VLOOKUP(Tabla5810[[#This Row],[Cod trabalhador]],'Outros descontos'!B:M,11,FALSE),"")</f>
        <v/>
      </c>
      <c r="AL56" s="46" t="str">
        <f>IFERROR(VLOOKUP(Tabla5810[[#This Row],[Cod trabalhador]],'Outros descontos'!B:M,12,FALSE),"")</f>
        <v/>
      </c>
      <c r="AM56" s="46" t="str">
        <f>IFERROR(VLOOKUP(Tabla5810[[#This Row],[Cod trabalhador]],'Outros descontos'!B:M,13,FALSE),"")</f>
        <v/>
      </c>
      <c r="AN56" s="393"/>
      <c r="AO56" s="37">
        <v>4.08</v>
      </c>
      <c r="AP56" s="15"/>
      <c r="AQ56"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2821.9199999999987</v>
      </c>
      <c r="AR56"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2821.92</v>
      </c>
      <c r="AS56" s="15"/>
      <c r="AT56" s="27" t="str">
        <f>IF(Tabla5810[[#This Row],[Cod trabalhador]]="", "", INDEX(Iban!C:C, MATCH(Tabla5810[[#This Row],[Cod trabalhador]],Iban!A:A, 0)))</f>
        <v>ES33 0049 3002 5521 1478 5810</v>
      </c>
      <c r="AU56" s="97"/>
      <c r="AV56" s="27"/>
      <c r="AW56" s="66" t="s">
        <v>7533</v>
      </c>
      <c r="AX56" s="296" t="s">
        <v>7472</v>
      </c>
    </row>
    <row r="57" spans="1:50" ht="18.75" customHeight="1" x14ac:dyDescent="0.3">
      <c r="A57" s="42">
        <v>52</v>
      </c>
      <c r="B57" s="39" t="s">
        <v>2741</v>
      </c>
      <c r="C57" s="45" t="str">
        <f>IF(ISNUMBER(MATCH(Tabla5810[[#This Row],[Cod trabalhador]],'Altas Luminous'!B:B, 0)), "Ativo", "Não ativo")</f>
        <v>Ativo</v>
      </c>
      <c r="D57" s="44" t="str">
        <f>IFERROR(IF(VLOOKUP(Tabla5810[[#This Row],[Cod trabalhador]],'Altas Industrial'!B:E,1,0)&lt;&gt;"","KI",""),"")</f>
        <v/>
      </c>
      <c r="E57" s="44" t="str">
        <f>IFERROR(IF(VLOOKUP(Tabla5810[[#This Row],[Cod trabalhador]],'Altas Rosas'!B:F,1,0)&lt;&gt;"","KR",""),"")</f>
        <v/>
      </c>
      <c r="F57" s="44" t="str">
        <f>IFERROR(IF(VLOOKUP(Tabla5810[[#This Row],[Cod trabalhador]],'Altas Wiseowe'!B:E,1,0)&lt;&gt;"","WS",""),"")</f>
        <v/>
      </c>
      <c r="G57" s="44" t="str">
        <f>IFERROR(IF(VLOOKUP(Tabla5810[[#This Row],[Cod trabalhador]],'Altas Luminous'!B:E,1,0)&lt;&gt;"","LM",""),"")</f>
        <v>LM</v>
      </c>
      <c r="H57" s="51">
        <f>IFERROR(VLOOKUP(Tabla5810[[#This Row],[Cod trabalhador]],'Altas Luminous'!B:E,3,FALSE),"")</f>
        <v>45985</v>
      </c>
      <c r="I57" s="51" t="str">
        <f>IF(OR(Tabla5810[[#This Row],[Cod trabalhador]]="",ISBLANK(Tabla5810[[#This Row],[Cod trabalhador]])),"",IFERROR(IF(VLOOKUP(Tabla5810[[#This Row],[Cod trabalhador]],'Altas Luminous'!B:E,4,FALSE)=0,"",VLOOKUP(Tabla5810[[#This Row],[Cod trabalhador]],'Altas Luminous'!B:E,4,FALSE)),""))</f>
        <v/>
      </c>
      <c r="J57" s="44">
        <f t="shared" si="1"/>
        <v>31</v>
      </c>
      <c r="K57" s="44" t="s">
        <v>7156</v>
      </c>
      <c r="L57" s="24" t="str">
        <f>IFERROR(IF(Tabla5810[[#This Row],[Cod trabalhador]]="",Tabla5810[[#This Row],[Cod trabalhador]], INDEX(Colaborador_ID[Nombre], MATCH(Tabla5810[[#This Row],[Cod trabalhador]],Colaborador_ID[Cod_colab], 0))), "")</f>
        <v>HERNANDO ENRIQUE MAESTRE CASTILLA</v>
      </c>
      <c r="N57" s="25" t="s">
        <v>7052</v>
      </c>
      <c r="O57" s="401">
        <f>IFERROR(VLOOKUP(Tabla5810[[#This Row],[Cod trabalhador]],Tabla15[],4,FALSE),"")</f>
        <v>15</v>
      </c>
      <c r="P57" s="232">
        <f>IFERROR(VLOOKUP(Tabla5810[[#This Row],[Cod trabalhador]],'TotalHorasAjustadas (2)'!D:L,8,FALSE),"")</f>
        <v>152</v>
      </c>
      <c r="Q57" s="27">
        <v>152</v>
      </c>
      <c r="R57" s="28" t="s">
        <v>7532</v>
      </c>
      <c r="S57" s="28" t="s">
        <v>7486</v>
      </c>
      <c r="U57" s="25"/>
      <c r="V57" s="26"/>
      <c r="W57" s="27"/>
      <c r="X57" s="102"/>
      <c r="Y57" s="28"/>
      <c r="Z57" s="149"/>
      <c r="AA57" s="392" t="str">
        <f>IFERROR(VLOOKUP(Tabla5810[[#This Row],[Cod trabalhador]],Alojamentos!B:P,11,FALSE),"")</f>
        <v/>
      </c>
      <c r="AB57" s="127"/>
      <c r="AC57" s="150"/>
      <c r="AD57" s="35">
        <f>Tabla5810[[#This Row],[Dias de alta]]*7.058</f>
        <v>218.798</v>
      </c>
      <c r="AE57" s="46" t="str">
        <f>IFERROR(VLOOKUP(Tabla5810[[#This Row],[Cod trabalhador]],Adiantamentos!B:L,7,FALSE),"")</f>
        <v/>
      </c>
      <c r="AF57" s="46">
        <f>IFERROR(VLOOKUP(Tabla5810[[#This Row],[Cod trabalhador]],Carro!B:D,3,FALSE),"")</f>
        <v>140</v>
      </c>
      <c r="AG57" s="46">
        <f>IFERROR(VLOOKUP(Tabla5810[[#This Row],[Cod trabalhador]],'Outros descontos'!B:O,7,FALSE),"")</f>
        <v>0</v>
      </c>
      <c r="AH57" s="46">
        <f>IFERROR(VLOOKUP(Tabla5810[[#This Row],[Cod trabalhador]],'Outros descontos'!B:M,8,FALSE),"")</f>
        <v>0</v>
      </c>
      <c r="AI57" s="46">
        <f>IFERROR(VLOOKUP(Tabla5810[[#This Row],[Cod trabalhador]],'Outros descontos'!B:M,9,FALSE),"")</f>
        <v>0</v>
      </c>
      <c r="AJ57" s="46">
        <f>IFERROR(VLOOKUP(Tabla5810[[#This Row],[Cod trabalhador]],'Outros descontos'!B:M,10,FALSE),"")</f>
        <v>53.16</v>
      </c>
      <c r="AK57" s="46">
        <f>IFERROR(VLOOKUP(Tabla5810[[#This Row],[Cod trabalhador]],'Outros descontos'!B:M,11,FALSE),"")</f>
        <v>0</v>
      </c>
      <c r="AL57" s="46">
        <f>IFERROR(VLOOKUP(Tabla5810[[#This Row],[Cod trabalhador]],'Outros descontos'!B:M,12,FALSE),"")</f>
        <v>0</v>
      </c>
      <c r="AM57" s="46" t="str">
        <f>IFERROR(VLOOKUP(Tabla5810[[#This Row],[Cod trabalhador]],'Outros descontos'!B:M,13,FALSE),"")</f>
        <v/>
      </c>
      <c r="AN57" s="393"/>
      <c r="AO57" s="37">
        <v>4.08</v>
      </c>
      <c r="AP57" s="15"/>
      <c r="AQ57"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1863.9620000000002</v>
      </c>
      <c r="AR57"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1863.9620000000002</v>
      </c>
      <c r="AS57" s="15"/>
      <c r="AT57" s="27" t="str">
        <f>IF(Tabla5810[[#This Row],[Cod trabalhador]]="", "", INDEX(Iban!C:C, MATCH(Tabla5810[[#This Row],[Cod trabalhador]],Iban!A:A, 0)))</f>
        <v>ES91 0182 0602 1702 0160 7235</v>
      </c>
      <c r="AU57" s="27"/>
      <c r="AV57" s="27"/>
      <c r="AW57" s="66" t="s">
        <v>7533</v>
      </c>
      <c r="AX57" s="296" t="s">
        <v>7472</v>
      </c>
    </row>
    <row r="58" spans="1:50" ht="18.75" customHeight="1" x14ac:dyDescent="0.3">
      <c r="A58" s="42">
        <v>53</v>
      </c>
      <c r="B58" s="39" t="s">
        <v>2831</v>
      </c>
      <c r="C58" s="45" t="str">
        <f>IF(ISNUMBER(MATCH(Tabla5810[[#This Row],[Cod trabalhador]],'Altas Luminous'!B:B, 0)), "Ativo", "Não ativo")</f>
        <v>Não ativo</v>
      </c>
      <c r="D58" s="44" t="str">
        <f>IFERROR(IF(VLOOKUP(Tabla5810[[#This Row],[Cod trabalhador]],'Altas Industrial'!B:E,1,0)&lt;&gt;"","KI",""),"")</f>
        <v/>
      </c>
      <c r="E58" s="44" t="str">
        <f>IFERROR(IF(VLOOKUP(Tabla5810[[#This Row],[Cod trabalhador]],'Altas Rosas'!B:F,1,0)&lt;&gt;"","KR",""),"")</f>
        <v/>
      </c>
      <c r="F58" s="44" t="str">
        <f>IFERROR(IF(VLOOKUP(Tabla5810[[#This Row],[Cod trabalhador]],'Altas Wiseowe'!B:E,1,0)&lt;&gt;"","WS",""),"")</f>
        <v/>
      </c>
      <c r="G58" s="44" t="str">
        <f>IFERROR(IF(VLOOKUP(Tabla5810[[#This Row],[Cod trabalhador]],'Altas Luminous'!B:E,1,0)&lt;&gt;"","LM",""),"")</f>
        <v/>
      </c>
      <c r="H58" s="51" t="str">
        <f>IFERROR(VLOOKUP(Tabla5810[[#This Row],[Cod trabalhador]],'Altas Luminous'!B:E,3,FALSE),"")</f>
        <v/>
      </c>
      <c r="I58" s="51" t="str">
        <f>IF(OR(Tabla5810[[#This Row],[Cod trabalhador]]="",ISBLANK(Tabla5810[[#This Row],[Cod trabalhador]])),"",IFERROR(IF(VLOOKUP(Tabla5810[[#This Row],[Cod trabalhador]],'Altas Luminous'!B:E,4,FALSE)=0,"",VLOOKUP(Tabla5810[[#This Row],[Cod trabalhador]],'Altas Luminous'!B:E,4,FALSE)),""))</f>
        <v/>
      </c>
      <c r="J58" s="44">
        <f t="shared" si="1"/>
        <v>0</v>
      </c>
      <c r="K58" s="44" t="s">
        <v>2832</v>
      </c>
      <c r="L58" s="24" t="str">
        <f>IFERROR(IF(Tabla5810[[#This Row],[Cod trabalhador]]="",Tabla5810[[#This Row],[Cod trabalhador]], INDEX(Colaborador_ID[Nombre], MATCH(Tabla5810[[#This Row],[Cod trabalhador]],Colaborador_ID[Cod_colab], 0))), "")</f>
        <v>ISAHAC EMILIO RADA BRUGES</v>
      </c>
      <c r="N58" s="25" t="s">
        <v>7052</v>
      </c>
      <c r="O58" s="401">
        <f>IFERROR(VLOOKUP(Tabla5810[[#This Row],[Cod trabalhador]],Tabla15[],4,FALSE),"")</f>
        <v>15</v>
      </c>
      <c r="P58" s="232">
        <f>IFERROR(VLOOKUP(Tabla5810[[#This Row],[Cod trabalhador]],'TotalHorasAjustadas (2)'!D:L,8,FALSE),"")</f>
        <v>120</v>
      </c>
      <c r="Q58" s="27">
        <v>120</v>
      </c>
      <c r="R58" s="28" t="s">
        <v>7532</v>
      </c>
      <c r="S58" s="28" t="s">
        <v>7486</v>
      </c>
      <c r="U58" s="25"/>
      <c r="V58" s="26"/>
      <c r="W58" s="27"/>
      <c r="X58" s="102"/>
      <c r="Y58" s="28"/>
      <c r="Z58" s="149"/>
      <c r="AA58" s="392" t="str">
        <f>IFERROR(VLOOKUP(Tabla5810[[#This Row],[Cod trabalhador]],Alojamentos!B:P,11,FALSE),"")</f>
        <v/>
      </c>
      <c r="AB58" s="127"/>
      <c r="AC58" s="150"/>
      <c r="AD58" s="35">
        <f>Tabla5810[[#This Row],[Dias de alta]]*7.058</f>
        <v>0</v>
      </c>
      <c r="AE58" s="46" t="str">
        <f>IFERROR(VLOOKUP(Tabla5810[[#This Row],[Cod trabalhador]],Adiantamentos!B:L,7,FALSE),"")</f>
        <v/>
      </c>
      <c r="AF58" s="46">
        <f>IFERROR(VLOOKUP(Tabla5810[[#This Row],[Cod trabalhador]],Carro!B:D,3,FALSE),"")</f>
        <v>114.66666666666667</v>
      </c>
      <c r="AG58" s="46" t="str">
        <f>IFERROR(VLOOKUP(Tabla5810[[#This Row],[Cod trabalhador]],'Outros descontos'!B:O,7,FALSE),"")</f>
        <v/>
      </c>
      <c r="AH58" s="46" t="str">
        <f>IFERROR(VLOOKUP(Tabla5810[[#This Row],[Cod trabalhador]],'Outros descontos'!B:M,8,FALSE),"")</f>
        <v/>
      </c>
      <c r="AI58" s="46" t="str">
        <f>IFERROR(VLOOKUP(Tabla5810[[#This Row],[Cod trabalhador]],'Outros descontos'!B:M,9,FALSE),"")</f>
        <v/>
      </c>
      <c r="AJ58" s="46" t="str">
        <f>IFERROR(VLOOKUP(Tabla5810[[#This Row],[Cod trabalhador]],'Outros descontos'!B:M,10,FALSE),"")</f>
        <v/>
      </c>
      <c r="AK58" s="46" t="str">
        <f>IFERROR(VLOOKUP(Tabla5810[[#This Row],[Cod trabalhador]],'Outros descontos'!B:M,11,FALSE),"")</f>
        <v/>
      </c>
      <c r="AL58" s="46" t="str">
        <f>IFERROR(VLOOKUP(Tabla5810[[#This Row],[Cod trabalhador]],'Outros descontos'!B:M,12,FALSE),"")</f>
        <v/>
      </c>
      <c r="AM58" s="46" t="str">
        <f>IFERROR(VLOOKUP(Tabla5810[[#This Row],[Cod trabalhador]],'Outros descontos'!B:M,13,FALSE),"")</f>
        <v/>
      </c>
      <c r="AN58" s="393"/>
      <c r="AO58" s="37">
        <v>4.08</v>
      </c>
      <c r="AP58" s="15"/>
      <c r="AQ58"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1681.2533333333333</v>
      </c>
      <c r="AR58"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1681.2533333333333</v>
      </c>
      <c r="AS58" s="15"/>
      <c r="AT58" s="27" t="str">
        <f>IF(Tabla5810[[#This Row],[Cod trabalhador]]="", "", INDEX(Iban!C:C, MATCH(Tabla5810[[#This Row],[Cod trabalhador]],Iban!A:A, 0)))</f>
        <v>ES61 0182 0021 8402 0157 2141</v>
      </c>
      <c r="AU58" s="27"/>
      <c r="AV58" s="27"/>
      <c r="AW58" s="66" t="s">
        <v>7533</v>
      </c>
      <c r="AX58" s="296" t="s">
        <v>7472</v>
      </c>
    </row>
    <row r="59" spans="1:50" ht="18.75" customHeight="1" x14ac:dyDescent="0.3">
      <c r="A59" s="42">
        <v>54</v>
      </c>
      <c r="B59" s="39" t="s">
        <v>2956</v>
      </c>
      <c r="C59" s="45" t="str">
        <f>IF(ISNUMBER(MATCH(Tabla5810[[#This Row],[Cod trabalhador]],'Altas Luminous'!B:B, 0)), "Ativo", "Não ativo")</f>
        <v>Não ativo</v>
      </c>
      <c r="D59" s="44" t="str">
        <f>IFERROR(IF(VLOOKUP(Tabla5810[[#This Row],[Cod trabalhador]],'Altas Industrial'!B:E,1,0)&lt;&gt;"","KI",""),"")</f>
        <v/>
      </c>
      <c r="E59" s="44" t="str">
        <f>IFERROR(IF(VLOOKUP(Tabla5810[[#This Row],[Cod trabalhador]],'Altas Rosas'!B:F,1,0)&lt;&gt;"","KR",""),"")</f>
        <v/>
      </c>
      <c r="F59" s="44" t="str">
        <f>IFERROR(IF(VLOOKUP(Tabla5810[[#This Row],[Cod trabalhador]],'Altas Wiseowe'!B:E,1,0)&lt;&gt;"","WS",""),"")</f>
        <v/>
      </c>
      <c r="G59" s="44" t="str">
        <f>IFERROR(IF(VLOOKUP(Tabla5810[[#This Row],[Cod trabalhador]],'Altas Luminous'!B:E,1,0)&lt;&gt;"","LM",""),"")</f>
        <v/>
      </c>
      <c r="H59" s="51" t="str">
        <f>IFERROR(VLOOKUP(Tabla5810[[#This Row],[Cod trabalhador]],'Altas Luminous'!B:E,3,FALSE),"")</f>
        <v/>
      </c>
      <c r="I59" s="51" t="str">
        <f>IF(OR(Tabla5810[[#This Row],[Cod trabalhador]]="",ISBLANK(Tabla5810[[#This Row],[Cod trabalhador]])),"",IFERROR(IF(VLOOKUP(Tabla5810[[#This Row],[Cod trabalhador]],'Altas Luminous'!B:E,4,FALSE)=0,"",VLOOKUP(Tabla5810[[#This Row],[Cod trabalhador]],'Altas Luminous'!B:E,4,FALSE)),""))</f>
        <v/>
      </c>
      <c r="J59" s="44">
        <f t="shared" si="1"/>
        <v>0</v>
      </c>
      <c r="K59" s="44" t="s">
        <v>7176</v>
      </c>
      <c r="L59" s="24" t="str">
        <f>IFERROR(IF(Tabla5810[[#This Row],[Cod trabalhador]]="",Tabla5810[[#This Row],[Cod trabalhador]], INDEX(Colaborador_ID[Nombre], MATCH(Tabla5810[[#This Row],[Cod trabalhador]],Colaborador_ID[Cod_colab], 0))), "")</f>
        <v>JAIME HERNAN ARANGO MONSALVE</v>
      </c>
      <c r="N59" s="25" t="s">
        <v>7174</v>
      </c>
      <c r="O59" s="401">
        <v>15</v>
      </c>
      <c r="P59" s="232">
        <f>IFERROR(VLOOKUP(Tabla5810[[#This Row],[Cod trabalhador]],'TotalHorasAjustadas (2)'!D:L,8,FALSE),"")</f>
        <v>39.5</v>
      </c>
      <c r="Q59" s="27">
        <v>39.5</v>
      </c>
      <c r="R59" s="28" t="s">
        <v>7471</v>
      </c>
      <c r="S59" s="28" t="s">
        <v>7486</v>
      </c>
      <c r="U59" s="25"/>
      <c r="V59" s="26"/>
      <c r="W59" s="27"/>
      <c r="X59" s="102"/>
      <c r="Y59" s="28"/>
      <c r="Z59" s="149"/>
      <c r="AA59" s="392" t="str">
        <f>IFERROR(VLOOKUP(Tabla5810[[#This Row],[Cod trabalhador]],Alojamentos!B:P,11,FALSE),"")</f>
        <v/>
      </c>
      <c r="AB59" s="127"/>
      <c r="AC59" s="150"/>
      <c r="AD59" s="35">
        <f>Tabla5810[[#This Row],[Dias de alta]]*7.058</f>
        <v>0</v>
      </c>
      <c r="AE59" s="46" t="str">
        <f>IFERROR(VLOOKUP(Tabla5810[[#This Row],[Cod trabalhador]],Adiantamentos!B:L,7,FALSE),"")</f>
        <v/>
      </c>
      <c r="AF59" s="46">
        <f>IFERROR(VLOOKUP(Tabla5810[[#This Row],[Cod trabalhador]],Carro!B:D,3,FALSE),"")</f>
        <v>15</v>
      </c>
      <c r="AG59" s="46" t="str">
        <f>IFERROR(VLOOKUP(Tabla5810[[#This Row],[Cod trabalhador]],'Outros descontos'!B:O,7,FALSE),"")</f>
        <v/>
      </c>
      <c r="AH59" s="46" t="str">
        <f>IFERROR(VLOOKUP(Tabla5810[[#This Row],[Cod trabalhador]],'Outros descontos'!B:M,8,FALSE),"")</f>
        <v/>
      </c>
      <c r="AI59" s="46" t="str">
        <f>IFERROR(VLOOKUP(Tabla5810[[#This Row],[Cod trabalhador]],'Outros descontos'!B:M,9,FALSE),"")</f>
        <v/>
      </c>
      <c r="AJ59" s="46" t="str">
        <f>IFERROR(VLOOKUP(Tabla5810[[#This Row],[Cod trabalhador]],'Outros descontos'!B:M,10,FALSE),"")</f>
        <v/>
      </c>
      <c r="AK59" s="46" t="str">
        <f>IFERROR(VLOOKUP(Tabla5810[[#This Row],[Cod trabalhador]],'Outros descontos'!B:M,11,FALSE),"")</f>
        <v/>
      </c>
      <c r="AL59" s="46" t="str">
        <f>IFERROR(VLOOKUP(Tabla5810[[#This Row],[Cod trabalhador]],'Outros descontos'!B:M,12,FALSE),"")</f>
        <v/>
      </c>
      <c r="AM59" s="46" t="str">
        <f>IFERROR(VLOOKUP(Tabla5810[[#This Row],[Cod trabalhador]],'Outros descontos'!B:M,13,FALSE),"")</f>
        <v/>
      </c>
      <c r="AN59" s="393"/>
      <c r="AO59" s="37">
        <v>4.08</v>
      </c>
      <c r="AP59" s="15"/>
      <c r="AQ59"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573.41999999999996</v>
      </c>
      <c r="AR59"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573.41999999999996</v>
      </c>
      <c r="AS59" s="15"/>
      <c r="AT59" s="27" t="str">
        <f>IF(Tabla5810[[#This Row],[Cod trabalhador]]="", "", INDEX(Iban!C:C, MATCH(Tabla5810[[#This Row],[Cod trabalhador]],Iban!A:A, 0)))</f>
        <v>ES04 0182 2234 1302 0168 0172</v>
      </c>
      <c r="AU59" s="27"/>
      <c r="AV59" s="27"/>
      <c r="AW59" s="66" t="s">
        <v>7533</v>
      </c>
      <c r="AX59" s="296" t="s">
        <v>7472</v>
      </c>
    </row>
    <row r="60" spans="1:50" ht="18.75" customHeight="1" x14ac:dyDescent="0.3">
      <c r="A60" s="42">
        <v>55</v>
      </c>
      <c r="B60" s="39" t="s">
        <v>2963</v>
      </c>
      <c r="C60" s="45" t="str">
        <f>IF(ISNUMBER(MATCH(Tabla5810[[#This Row],[Cod trabalhador]],'Altas Luminous'!B:B, 0)), "Ativo", "Não ativo")</f>
        <v>Não ativo</v>
      </c>
      <c r="D60" s="44" t="str">
        <f>IFERROR(IF(VLOOKUP(Tabla5810[[#This Row],[Cod trabalhador]],'Altas Industrial'!B:E,1,0)&lt;&gt;"","KI",""),"")</f>
        <v/>
      </c>
      <c r="E60" s="44" t="str">
        <f>IFERROR(IF(VLOOKUP(Tabla5810[[#This Row],[Cod trabalhador]],'Altas Rosas'!B:F,1,0)&lt;&gt;"","KR",""),"")</f>
        <v/>
      </c>
      <c r="F60" s="44" t="str">
        <f>IFERROR(IF(VLOOKUP(Tabla5810[[#This Row],[Cod trabalhador]],'Altas Wiseowe'!B:E,1,0)&lt;&gt;"","WS",""),"")</f>
        <v/>
      </c>
      <c r="G60" s="44" t="str">
        <f>IFERROR(IF(VLOOKUP(Tabla5810[[#This Row],[Cod trabalhador]],'Altas Luminous'!B:E,1,0)&lt;&gt;"","LM",""),"")</f>
        <v/>
      </c>
      <c r="H60" s="51" t="str">
        <f>IFERROR(VLOOKUP(Tabla5810[[#This Row],[Cod trabalhador]],'Altas Luminous'!B:E,3,FALSE),"")</f>
        <v/>
      </c>
      <c r="I60" s="51" t="str">
        <f>IF(OR(Tabla5810[[#This Row],[Cod trabalhador]]="",ISBLANK(Tabla5810[[#This Row],[Cod trabalhador]])),"",IFERROR(IF(VLOOKUP(Tabla5810[[#This Row],[Cod trabalhador]],'Altas Luminous'!B:E,4,FALSE)=0,"",VLOOKUP(Tabla5810[[#This Row],[Cod trabalhador]],'Altas Luminous'!B:E,4,FALSE)),""))</f>
        <v/>
      </c>
      <c r="J60" s="44">
        <f t="shared" si="1"/>
        <v>0</v>
      </c>
      <c r="K60" s="44" t="s">
        <v>2964</v>
      </c>
      <c r="L60" s="24" t="str">
        <f>IFERROR(IF(Tabla5810[[#This Row],[Cod trabalhador]]="",Tabla5810[[#This Row],[Cod trabalhador]], INDEX(Colaborador_ID[Nombre], MATCH(Tabla5810[[#This Row],[Cod trabalhador]],Colaborador_ID[Cod_colab], 0))), "")</f>
        <v>JAIME MANOLO ALVAREZ TORRES</v>
      </c>
      <c r="M60" s="340"/>
      <c r="N60" s="25" t="s">
        <v>7082</v>
      </c>
      <c r="O60" s="401">
        <f>IFERROR(VLOOKUP(Tabla5810[[#This Row],[Cod trabalhador]],Tabla15[],4,FALSE),"")</f>
        <v>15</v>
      </c>
      <c r="P60" s="232">
        <f>IFERROR(VLOOKUP(Tabla5810[[#This Row],[Cod trabalhador]],'TotalHorasAjustadas (2)'!D:L,8,FALSE),"")</f>
        <v>143</v>
      </c>
      <c r="Q60" s="27">
        <v>143</v>
      </c>
      <c r="R60" s="28" t="s">
        <v>7532</v>
      </c>
      <c r="S60" s="28" t="s">
        <v>7486</v>
      </c>
      <c r="U60" s="96"/>
      <c r="V60" s="231"/>
      <c r="W60" s="27"/>
      <c r="X60" s="28"/>
      <c r="Y60" s="28"/>
      <c r="Z60" s="149"/>
      <c r="AA60" s="392">
        <f>IFERROR(VLOOKUP(Tabla5810[[#This Row],[Cod trabalhador]],Alojamentos!B:P,11,FALSE),"")</f>
        <v>300</v>
      </c>
      <c r="AB60" s="127"/>
      <c r="AC60" s="150"/>
      <c r="AD60" s="35">
        <f>Tabla5810[[#This Row],[Dias de alta]]*7.058</f>
        <v>0</v>
      </c>
      <c r="AE60" s="46" t="str">
        <f>IFERROR(VLOOKUP(Tabla5810[[#This Row],[Cod trabalhador]],Adiantamentos!B:L,7,FALSE),"")</f>
        <v/>
      </c>
      <c r="AF60" s="46" t="str">
        <f>IFERROR(VLOOKUP(Tabla5810[[#This Row],[Cod trabalhador]],Carro!B:D,3,FALSE),"")</f>
        <v/>
      </c>
      <c r="AG60" s="46" t="str">
        <f>IFERROR(VLOOKUP(Tabla5810[[#This Row],[Cod trabalhador]],'Outros descontos'!B:O,7,FALSE),"")</f>
        <v/>
      </c>
      <c r="AH60" s="46" t="str">
        <f>IFERROR(VLOOKUP(Tabla5810[[#This Row],[Cod trabalhador]],'Outros descontos'!B:M,8,FALSE),"")</f>
        <v/>
      </c>
      <c r="AI60" s="46" t="str">
        <f>IFERROR(VLOOKUP(Tabla5810[[#This Row],[Cod trabalhador]],'Outros descontos'!B:M,9,FALSE),"")</f>
        <v/>
      </c>
      <c r="AJ60" s="46" t="str">
        <f>IFERROR(VLOOKUP(Tabla5810[[#This Row],[Cod trabalhador]],'Outros descontos'!B:M,10,FALSE),"")</f>
        <v/>
      </c>
      <c r="AK60" s="46" t="str">
        <f>IFERROR(VLOOKUP(Tabla5810[[#This Row],[Cod trabalhador]],'Outros descontos'!B:M,11,FALSE),"")</f>
        <v/>
      </c>
      <c r="AL60" s="46" t="str">
        <f>IFERROR(VLOOKUP(Tabla5810[[#This Row],[Cod trabalhador]],'Outros descontos'!B:M,12,FALSE),"")</f>
        <v/>
      </c>
      <c r="AM60" s="46" t="str">
        <f>IFERROR(VLOOKUP(Tabla5810[[#This Row],[Cod trabalhador]],'Outros descontos'!B:M,13,FALSE),"")</f>
        <v/>
      </c>
      <c r="AN60" s="393"/>
      <c r="AO60" s="37">
        <v>4.08</v>
      </c>
      <c r="AP60" s="15"/>
      <c r="AQ60"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2440.92</v>
      </c>
      <c r="AR60"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2440.92</v>
      </c>
      <c r="AS60" s="15"/>
      <c r="AT60" s="27" t="str">
        <f>IF(Tabla5810[[#This Row],[Cod trabalhador]]="", "", INDEX(Iban!C:C, MATCH(Tabla5810[[#This Row],[Cod trabalhador]],Iban!A:A, 0)))</f>
        <v>ES92 0182 8191 7102 0204 8748</v>
      </c>
      <c r="AU60" s="27"/>
      <c r="AV60" s="27"/>
      <c r="AW60" s="66" t="s">
        <v>7533</v>
      </c>
      <c r="AX60" s="296" t="s">
        <v>7472</v>
      </c>
    </row>
    <row r="61" spans="1:50" ht="18.75" customHeight="1" x14ac:dyDescent="0.3">
      <c r="A61" s="42">
        <v>56</v>
      </c>
      <c r="B61" s="39" t="s">
        <v>2967</v>
      </c>
      <c r="C61" s="45" t="str">
        <f>IF(ISNUMBER(MATCH(Tabla5810[[#This Row],[Cod trabalhador]],'Altas Luminous'!B:B, 0)), "Ativo", "Não ativo")</f>
        <v>Não ativo</v>
      </c>
      <c r="D61" s="44" t="str">
        <f>IFERROR(IF(VLOOKUP(Tabla5810[[#This Row],[Cod trabalhador]],'Altas Industrial'!B:E,1,0)&lt;&gt;"","KI",""),"")</f>
        <v/>
      </c>
      <c r="E61" s="44" t="str">
        <f>IFERROR(IF(VLOOKUP(Tabla5810[[#This Row],[Cod trabalhador]],'Altas Rosas'!B:F,1,0)&lt;&gt;"","KR",""),"")</f>
        <v/>
      </c>
      <c r="F61" s="44" t="str">
        <f>IFERROR(IF(VLOOKUP(Tabla5810[[#This Row],[Cod trabalhador]],'Altas Wiseowe'!B:E,1,0)&lt;&gt;"","WS",""),"")</f>
        <v/>
      </c>
      <c r="G61" s="44" t="str">
        <f>IFERROR(IF(VLOOKUP(Tabla5810[[#This Row],[Cod trabalhador]],'Altas Luminous'!B:E,1,0)&lt;&gt;"","LM",""),"")</f>
        <v/>
      </c>
      <c r="H61" s="51" t="str">
        <f>IFERROR(VLOOKUP(Tabla5810[[#This Row],[Cod trabalhador]],'Altas Luminous'!B:E,3,FALSE),"")</f>
        <v/>
      </c>
      <c r="I61" s="51" t="str">
        <f>IF(OR(Tabla5810[[#This Row],[Cod trabalhador]]="",ISBLANK(Tabla5810[[#This Row],[Cod trabalhador]])),"",IFERROR(IF(VLOOKUP(Tabla5810[[#This Row],[Cod trabalhador]],'Altas Luminous'!B:E,4,FALSE)=0,"",VLOOKUP(Tabla5810[[#This Row],[Cod trabalhador]],'Altas Luminous'!B:E,4,FALSE)),""))</f>
        <v/>
      </c>
      <c r="J61" s="44">
        <f t="shared" si="1"/>
        <v>0</v>
      </c>
      <c r="K61" s="413" t="s">
        <v>7166</v>
      </c>
      <c r="L61" s="24" t="str">
        <f>IFERROR(IF(Tabla5810[[#This Row],[Cod trabalhador]]="",Tabla5810[[#This Row],[Cod trabalhador]], INDEX(Colaborador_ID[Nombre], MATCH(Tabla5810[[#This Row],[Cod trabalhador]],Colaborador_ID[Cod_colab], 0))), "")</f>
        <v>JAIME NICOLAS GOYES</v>
      </c>
      <c r="N61" s="25" t="s">
        <v>7165</v>
      </c>
      <c r="O61" s="401">
        <v>15</v>
      </c>
      <c r="P61" s="232">
        <f>IFERROR(VLOOKUP(Tabla5810[[#This Row],[Cod trabalhador]],'TotalHorasAjustadas (2)'!D:L,8,FALSE),"")</f>
        <v>139</v>
      </c>
      <c r="Q61" s="27">
        <v>139</v>
      </c>
      <c r="R61" s="28" t="s">
        <v>7471</v>
      </c>
      <c r="S61" s="28" t="s">
        <v>7486</v>
      </c>
      <c r="U61" s="25"/>
      <c r="V61" s="26"/>
      <c r="W61" s="27"/>
      <c r="X61" s="102"/>
      <c r="Y61" s="28"/>
      <c r="Z61" s="149"/>
      <c r="AA61" s="392">
        <f>IFERROR(VLOOKUP(Tabla5810[[#This Row],[Cod trabalhador]],Alojamentos!B:P,11,FALSE),"")</f>
        <v>240</v>
      </c>
      <c r="AB61" s="127"/>
      <c r="AC61" s="150"/>
      <c r="AD61" s="35">
        <f>Tabla5810[[#This Row],[Dias de alta]]*7.058</f>
        <v>0</v>
      </c>
      <c r="AE61" s="46" t="str">
        <f>IFERROR(VLOOKUP(Tabla5810[[#This Row],[Cod trabalhador]],Adiantamentos!B:L,7,FALSE),"")</f>
        <v/>
      </c>
      <c r="AF61" s="46" t="str">
        <f>IFERROR(VLOOKUP(Tabla5810[[#This Row],[Cod trabalhador]],Carro!B:D,3,FALSE),"")</f>
        <v/>
      </c>
      <c r="AG61" s="46" t="str">
        <f>IFERROR(VLOOKUP(Tabla5810[[#This Row],[Cod trabalhador]],'Outros descontos'!B:O,7,FALSE),"")</f>
        <v/>
      </c>
      <c r="AH61" s="46" t="str">
        <f>IFERROR(VLOOKUP(Tabla5810[[#This Row],[Cod trabalhador]],'Outros descontos'!B:M,8,FALSE),"")</f>
        <v/>
      </c>
      <c r="AI61" s="46" t="str">
        <f>IFERROR(VLOOKUP(Tabla5810[[#This Row],[Cod trabalhador]],'Outros descontos'!B:M,9,FALSE),"")</f>
        <v/>
      </c>
      <c r="AJ61" s="46" t="str">
        <f>IFERROR(VLOOKUP(Tabla5810[[#This Row],[Cod trabalhador]],'Outros descontos'!B:M,10,FALSE),"")</f>
        <v/>
      </c>
      <c r="AK61" s="46" t="str">
        <f>IFERROR(VLOOKUP(Tabla5810[[#This Row],[Cod trabalhador]],'Outros descontos'!B:M,11,FALSE),"")</f>
        <v/>
      </c>
      <c r="AL61" s="46" t="str">
        <f>IFERROR(VLOOKUP(Tabla5810[[#This Row],[Cod trabalhador]],'Outros descontos'!B:M,12,FALSE),"")</f>
        <v/>
      </c>
      <c r="AM61" s="46" t="str">
        <f>IFERROR(VLOOKUP(Tabla5810[[#This Row],[Cod trabalhador]],'Outros descontos'!B:M,13,FALSE),"")</f>
        <v/>
      </c>
      <c r="AN61" s="393"/>
      <c r="AO61" s="37">
        <v>4.08</v>
      </c>
      <c r="AP61" s="15"/>
      <c r="AQ61"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2320.92</v>
      </c>
      <c r="AR61"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2320.92</v>
      </c>
      <c r="AS61" s="15"/>
      <c r="AT61" s="27" t="str">
        <f>IF(Tabla5810[[#This Row],[Cod trabalhador]]="", "", INDEX(Iban!C:C, MATCH(Tabla5810[[#This Row],[Cod trabalhador]],Iban!A:A, 0)))</f>
        <v>BE69 9054 0295 4878</v>
      </c>
      <c r="AU61" s="27"/>
      <c r="AV61" s="27"/>
      <c r="AW61" s="66" t="s">
        <v>7533</v>
      </c>
      <c r="AX61" s="296" t="s">
        <v>7472</v>
      </c>
    </row>
    <row r="62" spans="1:50" ht="18.75" customHeight="1" x14ac:dyDescent="0.3">
      <c r="A62" s="42">
        <v>57</v>
      </c>
      <c r="B62" s="39" t="s">
        <v>2978</v>
      </c>
      <c r="C62" s="45" t="str">
        <f>IF(ISNUMBER(MATCH(Tabla5810[[#This Row],[Cod trabalhador]],'Altas Luminous'!B:B, 0)), "Ativo", "Não ativo")</f>
        <v>Não ativo</v>
      </c>
      <c r="D62" s="44" t="str">
        <f>IFERROR(IF(VLOOKUP(Tabla5810[[#This Row],[Cod trabalhador]],'Altas Industrial'!B:E,1,0)&lt;&gt;"","KI",""),"")</f>
        <v/>
      </c>
      <c r="E62" s="44" t="str">
        <f>IFERROR(IF(VLOOKUP(Tabla5810[[#This Row],[Cod trabalhador]],'Altas Rosas'!B:F,1,0)&lt;&gt;"","KR",""),"")</f>
        <v/>
      </c>
      <c r="F62" s="44" t="str">
        <f>IFERROR(IF(VLOOKUP(Tabla5810[[#This Row],[Cod trabalhador]],'Altas Wiseowe'!B:E,1,0)&lt;&gt;"","WS",""),"")</f>
        <v/>
      </c>
      <c r="G62" s="44" t="str">
        <f>IFERROR(IF(VLOOKUP(Tabla5810[[#This Row],[Cod trabalhador]],'Altas Luminous'!B:E,1,0)&lt;&gt;"","LM",""),"")</f>
        <v/>
      </c>
      <c r="H62" s="51" t="str">
        <f>IFERROR(VLOOKUP(Tabla5810[[#This Row],[Cod trabalhador]],'Altas Luminous'!B:E,3,FALSE),"")</f>
        <v/>
      </c>
      <c r="I62" s="51" t="str">
        <f>IF(OR(Tabla5810[[#This Row],[Cod trabalhador]]="",ISBLANK(Tabla5810[[#This Row],[Cod trabalhador]])),"",IFERROR(IF(VLOOKUP(Tabla5810[[#This Row],[Cod trabalhador]],'Altas Luminous'!B:E,4,FALSE)=0,"",VLOOKUP(Tabla5810[[#This Row],[Cod trabalhador]],'Altas Luminous'!B:E,4,FALSE)),""))</f>
        <v/>
      </c>
      <c r="J62" s="44">
        <f t="shared" si="1"/>
        <v>0</v>
      </c>
      <c r="K62" s="44" t="s">
        <v>7140</v>
      </c>
      <c r="L62" s="24" t="str">
        <f>IFERROR(IF(Tabla5810[[#This Row],[Cod trabalhador]]="",Tabla5810[[#This Row],[Cod trabalhador]], INDEX(Colaborador_ID[Nombre], MATCH(Tabla5810[[#This Row],[Cod trabalhador]],Colaborador_ID[Cod_colab], 0))), "")</f>
        <v>JAIR PLAZA AGUILAR</v>
      </c>
      <c r="N62" s="25" t="s">
        <v>7136</v>
      </c>
      <c r="O62" s="401">
        <v>15</v>
      </c>
      <c r="P62" s="232">
        <f>IFERROR(VLOOKUP(Tabla5810[[#This Row],[Cod trabalhador]],'TotalHorasAjustadas (2)'!D:L,8,FALSE),"")</f>
        <v>112</v>
      </c>
      <c r="Q62" s="27">
        <v>112</v>
      </c>
      <c r="R62" s="28" t="s">
        <v>7532</v>
      </c>
      <c r="S62" s="28" t="s">
        <v>7486</v>
      </c>
      <c r="U62" s="25"/>
      <c r="V62" s="26"/>
      <c r="W62" s="27"/>
      <c r="X62" s="102"/>
      <c r="Y62" s="28"/>
      <c r="Z62" s="149"/>
      <c r="AA62" s="392" t="str">
        <f>IFERROR(VLOOKUP(Tabla5810[[#This Row],[Cod trabalhador]],Alojamentos!B:P,11,FALSE),"")</f>
        <v/>
      </c>
      <c r="AB62" s="127"/>
      <c r="AC62" s="150"/>
      <c r="AD62" s="35">
        <f>Tabla5810[[#This Row],[Dias de alta]]*7.058</f>
        <v>0</v>
      </c>
      <c r="AE62" s="46" t="str">
        <f>IFERROR(VLOOKUP(Tabla5810[[#This Row],[Cod trabalhador]],Adiantamentos!B:L,7,FALSE),"")</f>
        <v/>
      </c>
      <c r="AF62" s="46" t="str">
        <f>IFERROR(VLOOKUP(Tabla5810[[#This Row],[Cod trabalhador]],Carro!B:D,3,FALSE),"")</f>
        <v/>
      </c>
      <c r="AG62" s="46" t="str">
        <f>IFERROR(VLOOKUP(Tabla5810[[#This Row],[Cod trabalhador]],'Outros descontos'!B:O,7,FALSE),"")</f>
        <v/>
      </c>
      <c r="AH62" s="46" t="str">
        <f>IFERROR(VLOOKUP(Tabla5810[[#This Row],[Cod trabalhador]],'Outros descontos'!B:M,8,FALSE),"")</f>
        <v/>
      </c>
      <c r="AI62" s="46" t="str">
        <f>IFERROR(VLOOKUP(Tabla5810[[#This Row],[Cod trabalhador]],'Outros descontos'!B:M,9,FALSE),"")</f>
        <v/>
      </c>
      <c r="AJ62" s="46" t="str">
        <f>IFERROR(VLOOKUP(Tabla5810[[#This Row],[Cod trabalhador]],'Outros descontos'!B:M,10,FALSE),"")</f>
        <v/>
      </c>
      <c r="AK62" s="46" t="str">
        <f>IFERROR(VLOOKUP(Tabla5810[[#This Row],[Cod trabalhador]],'Outros descontos'!B:M,11,FALSE),"")</f>
        <v/>
      </c>
      <c r="AL62" s="46" t="str">
        <f>IFERROR(VLOOKUP(Tabla5810[[#This Row],[Cod trabalhador]],'Outros descontos'!B:M,12,FALSE),"")</f>
        <v/>
      </c>
      <c r="AM62" s="46" t="str">
        <f>IFERROR(VLOOKUP(Tabla5810[[#This Row],[Cod trabalhador]],'Outros descontos'!B:M,13,FALSE),"")</f>
        <v/>
      </c>
      <c r="AN62" s="393"/>
      <c r="AO62" s="37">
        <v>4.08</v>
      </c>
      <c r="AP62" s="15"/>
      <c r="AQ62"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1675.92</v>
      </c>
      <c r="AR62"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1675.92</v>
      </c>
      <c r="AS62" s="15"/>
      <c r="AT62" s="27" t="str">
        <f>IF(Tabla5810[[#This Row],[Cod trabalhador]]="", "", INDEX(Iban!C:C, MATCH(Tabla5810[[#This Row],[Cod trabalhador]],Iban!A:A, 0)))</f>
        <v>BE64 9055 9467 2752</v>
      </c>
      <c r="AU62" s="27"/>
      <c r="AV62" s="27"/>
      <c r="AW62" s="66" t="s">
        <v>7533</v>
      </c>
      <c r="AX62" s="296" t="s">
        <v>7472</v>
      </c>
    </row>
    <row r="63" spans="1:50" ht="18.75" customHeight="1" x14ac:dyDescent="0.3">
      <c r="A63" s="42">
        <v>58</v>
      </c>
      <c r="B63" s="39" t="s">
        <v>3098</v>
      </c>
      <c r="C63" s="45" t="str">
        <f>IF(ISNUMBER(MATCH(Tabla5810[[#This Row],[Cod trabalhador]],'Altas Luminous'!B:B, 0)), "Ativo", "Não ativo")</f>
        <v>Não ativo</v>
      </c>
      <c r="D63" s="44" t="str">
        <f>IFERROR(IF(VLOOKUP(Tabla5810[[#This Row],[Cod trabalhador]],'Altas Industrial'!B:E,1,0)&lt;&gt;"","KI",""),"")</f>
        <v/>
      </c>
      <c r="E63" s="44" t="str">
        <f>IFERROR(IF(VLOOKUP(Tabla5810[[#This Row],[Cod trabalhador]],'Altas Rosas'!B:F,1,0)&lt;&gt;"","KR",""),"")</f>
        <v/>
      </c>
      <c r="F63" s="44" t="str">
        <f>IFERROR(IF(VLOOKUP(Tabla5810[[#This Row],[Cod trabalhador]],'Altas Wiseowe'!B:E,1,0)&lt;&gt;"","WS",""),"")</f>
        <v/>
      </c>
      <c r="G63" s="44" t="str">
        <f>IFERROR(IF(VLOOKUP(Tabla5810[[#This Row],[Cod trabalhador]],'Altas Luminous'!B:E,1,0)&lt;&gt;"","LM",""),"")</f>
        <v/>
      </c>
      <c r="H63" s="51" t="str">
        <f>IFERROR(VLOOKUP(Tabla5810[[#This Row],[Cod trabalhador]],'Altas Luminous'!B:E,3,FALSE),"")</f>
        <v/>
      </c>
      <c r="I63" s="51" t="str">
        <f>IF(OR(Tabla5810[[#This Row],[Cod trabalhador]]="",ISBLANK(Tabla5810[[#This Row],[Cod trabalhador]])),"",IFERROR(IF(VLOOKUP(Tabla5810[[#This Row],[Cod trabalhador]],'Altas Luminous'!B:E,4,FALSE)=0,"",VLOOKUP(Tabla5810[[#This Row],[Cod trabalhador]],'Altas Luminous'!B:E,4,FALSE)),""))</f>
        <v/>
      </c>
      <c r="J63" s="44">
        <f t="shared" si="1"/>
        <v>0</v>
      </c>
      <c r="K63" s="413" t="s">
        <v>3099</v>
      </c>
      <c r="L63" s="24" t="str">
        <f>IFERROR(IF(Tabla5810[[#This Row],[Cod trabalhador]]="",Tabla5810[[#This Row],[Cod trabalhador]], INDEX(Colaborador_ID[Nombre], MATCH(Tabla5810[[#This Row],[Cod trabalhador]],Colaborador_ID[Cod_colab], 0))), "")</f>
        <v>JAVIER HUMBERTO PARRA CORREA</v>
      </c>
      <c r="N63" s="25" t="s">
        <v>7157</v>
      </c>
      <c r="O63" s="401">
        <f>IFERROR(VLOOKUP(Tabla5810[[#This Row],[Cod trabalhador]],Tabla15[],4,FALSE),"")</f>
        <v>15</v>
      </c>
      <c r="P63" s="232">
        <f>IFERROR(VLOOKUP(Tabla5810[[#This Row],[Cod trabalhador]],'TotalHorasAjustadas (2)'!D:L,8,FALSE),"")</f>
        <v>74</v>
      </c>
      <c r="Q63" s="27">
        <v>73</v>
      </c>
      <c r="R63" s="28" t="s">
        <v>7532</v>
      </c>
      <c r="S63" s="28" t="s">
        <v>7486</v>
      </c>
      <c r="U63" s="25"/>
      <c r="V63" s="26"/>
      <c r="W63" s="27"/>
      <c r="X63" s="102"/>
      <c r="Y63" s="28"/>
      <c r="Z63" s="149"/>
      <c r="AA63" s="392" t="str">
        <f>IFERROR(VLOOKUP(Tabla5810[[#This Row],[Cod trabalhador]],Alojamentos!B:P,11,FALSE),"")</f>
        <v/>
      </c>
      <c r="AB63" s="127"/>
      <c r="AC63" s="150"/>
      <c r="AD63" s="35">
        <f>Tabla5810[[#This Row],[Dias de alta]]*7.058</f>
        <v>0</v>
      </c>
      <c r="AE63" s="46" t="str">
        <f>IFERROR(VLOOKUP(Tabla5810[[#This Row],[Cod trabalhador]],Adiantamentos!B:L,7,FALSE),"")</f>
        <v/>
      </c>
      <c r="AF63" s="46" t="str">
        <f>IFERROR(VLOOKUP(Tabla5810[[#This Row],[Cod trabalhador]],Carro!B:D,3,FALSE),"")</f>
        <v/>
      </c>
      <c r="AG63" s="46" t="str">
        <f>IFERROR(VLOOKUP(Tabla5810[[#This Row],[Cod trabalhador]],'Outros descontos'!B:O,7,FALSE),"")</f>
        <v/>
      </c>
      <c r="AH63" s="46" t="str">
        <f>IFERROR(VLOOKUP(Tabla5810[[#This Row],[Cod trabalhador]],'Outros descontos'!B:M,8,FALSE),"")</f>
        <v/>
      </c>
      <c r="AI63" s="46" t="str">
        <f>IFERROR(VLOOKUP(Tabla5810[[#This Row],[Cod trabalhador]],'Outros descontos'!B:M,9,FALSE),"")</f>
        <v/>
      </c>
      <c r="AJ63" s="46" t="str">
        <f>IFERROR(VLOOKUP(Tabla5810[[#This Row],[Cod trabalhador]],'Outros descontos'!B:M,10,FALSE),"")</f>
        <v/>
      </c>
      <c r="AK63" s="46" t="str">
        <f>IFERROR(VLOOKUP(Tabla5810[[#This Row],[Cod trabalhador]],'Outros descontos'!B:M,11,FALSE),"")</f>
        <v/>
      </c>
      <c r="AL63" s="46" t="str">
        <f>IFERROR(VLOOKUP(Tabla5810[[#This Row],[Cod trabalhador]],'Outros descontos'!B:M,12,FALSE),"")</f>
        <v/>
      </c>
      <c r="AM63" s="46" t="str">
        <f>IFERROR(VLOOKUP(Tabla5810[[#This Row],[Cod trabalhador]],'Outros descontos'!B:M,13,FALSE),"")</f>
        <v/>
      </c>
      <c r="AN63" s="393"/>
      <c r="AO63" s="37">
        <v>4.08</v>
      </c>
      <c r="AP63" s="15"/>
      <c r="AQ63"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1105.92</v>
      </c>
      <c r="AR63"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1090.92</v>
      </c>
      <c r="AS63" s="15"/>
      <c r="AT63" s="27" t="str">
        <f>IF(Tabla5810[[#This Row],[Cod trabalhador]]="", "", INDEX(Iban!C:C, MATCH(Tabla5810[[#This Row],[Cod trabalhador]],Iban!A:A, 0)))</f>
        <v>BE77 9054 8746 7342</v>
      </c>
      <c r="AU63" s="27"/>
      <c r="AV63" s="27"/>
      <c r="AW63" s="66" t="s">
        <v>7533</v>
      </c>
      <c r="AX63" s="296" t="s">
        <v>7472</v>
      </c>
    </row>
    <row r="64" spans="1:50" ht="18.75" customHeight="1" x14ac:dyDescent="0.3">
      <c r="A64" s="42">
        <v>59</v>
      </c>
      <c r="B64" s="39" t="s">
        <v>3124</v>
      </c>
      <c r="C64" s="45" t="str">
        <f>IF(ISNUMBER(MATCH(Tabla5810[[#This Row],[Cod trabalhador]],'Altas Luminous'!B:B, 0)), "Ativo", "Não ativo")</f>
        <v>Não ativo</v>
      </c>
      <c r="D64" s="44" t="str">
        <f>IFERROR(IF(VLOOKUP(Tabla5810[[#This Row],[Cod trabalhador]],'Altas Industrial'!B:E,1,0)&lt;&gt;"","KI",""),"")</f>
        <v/>
      </c>
      <c r="E64" s="44" t="str">
        <f>IFERROR(IF(VLOOKUP(Tabla5810[[#This Row],[Cod trabalhador]],'Altas Rosas'!B:F,1,0)&lt;&gt;"","KR",""),"")</f>
        <v/>
      </c>
      <c r="F64" s="44" t="str">
        <f>IFERROR(IF(VLOOKUP(Tabla5810[[#This Row],[Cod trabalhador]],'Altas Wiseowe'!B:E,1,0)&lt;&gt;"","WS",""),"")</f>
        <v/>
      </c>
      <c r="G64" s="44" t="str">
        <f>IFERROR(IF(VLOOKUP(Tabla5810[[#This Row],[Cod trabalhador]],'Altas Luminous'!B:E,1,0)&lt;&gt;"","LM",""),"")</f>
        <v/>
      </c>
      <c r="H64" s="51" t="str">
        <f>IFERROR(VLOOKUP(Tabla5810[[#This Row],[Cod trabalhador]],'Altas Luminous'!B:E,3,FALSE),"")</f>
        <v/>
      </c>
      <c r="I64" s="51" t="str">
        <f>IF(OR(Tabla5810[[#This Row],[Cod trabalhador]]="",ISBLANK(Tabla5810[[#This Row],[Cod trabalhador]])),"",IFERROR(IF(VLOOKUP(Tabla5810[[#This Row],[Cod trabalhador]],'Altas Luminous'!B:E,4,FALSE)=0,"",VLOOKUP(Tabla5810[[#This Row],[Cod trabalhador]],'Altas Luminous'!B:E,4,FALSE)),""))</f>
        <v/>
      </c>
      <c r="J64" s="44">
        <f t="shared" si="1"/>
        <v>0</v>
      </c>
      <c r="K64" s="44" t="s">
        <v>7084</v>
      </c>
      <c r="L64" s="24" t="str">
        <f>IFERROR(IF(Tabla5810[[#This Row],[Cod trabalhador]]="",Tabla5810[[#This Row],[Cod trabalhador]], INDEX(Colaborador_ID[Nombre], MATCH(Tabla5810[[#This Row],[Cod trabalhador]],Colaborador_ID[Cod_colab], 0))), "")</f>
        <v>JAVIER SAUL PEREA CAMARGO</v>
      </c>
      <c r="N64" s="25" t="s">
        <v>7082</v>
      </c>
      <c r="O64" s="401">
        <f>IFERROR(VLOOKUP(Tabla5810[[#This Row],[Cod trabalhador]],Tabla15[],4,FALSE),"")</f>
        <v>15</v>
      </c>
      <c r="P64" s="232">
        <f>IFERROR(VLOOKUP(Tabla5810[[#This Row],[Cod trabalhador]],'TotalHorasAjustadas (2)'!D:L,8,FALSE),"")</f>
        <v>143.5</v>
      </c>
      <c r="Q64" s="27">
        <v>143.5</v>
      </c>
      <c r="R64" s="28" t="s">
        <v>7532</v>
      </c>
      <c r="S64" s="28" t="s">
        <v>7486</v>
      </c>
      <c r="U64" s="25"/>
      <c r="V64" s="26"/>
      <c r="W64" s="27"/>
      <c r="X64" s="102"/>
      <c r="Y64" s="28"/>
      <c r="Z64" s="149"/>
      <c r="AA64" s="392" t="str">
        <f>IFERROR(VLOOKUP(Tabla5810[[#This Row],[Cod trabalhador]],Alojamentos!B:P,11,FALSE),"")</f>
        <v/>
      </c>
      <c r="AB64" s="127"/>
      <c r="AC64" s="150"/>
      <c r="AD64" s="35">
        <f>Tabla5810[[#This Row],[Dias de alta]]*7.058</f>
        <v>0</v>
      </c>
      <c r="AE64" s="46" t="str">
        <f>IFERROR(VLOOKUP(Tabla5810[[#This Row],[Cod trabalhador]],Adiantamentos!B:L,7,FALSE),"")</f>
        <v/>
      </c>
      <c r="AF64" s="46">
        <f>IFERROR(VLOOKUP(Tabla5810[[#This Row],[Cod trabalhador]],Carro!B:D,3,FALSE),"")</f>
        <v>86.666666666666657</v>
      </c>
      <c r="AG64" s="46">
        <f>IFERROR(VLOOKUP(Tabla5810[[#This Row],[Cod trabalhador]],'Outros descontos'!B:O,7,FALSE),"")</f>
        <v>50</v>
      </c>
      <c r="AH64" s="46">
        <f>IFERROR(VLOOKUP(Tabla5810[[#This Row],[Cod trabalhador]],'Outros descontos'!B:M,8,FALSE),"")</f>
        <v>0</v>
      </c>
      <c r="AI64" s="46">
        <f>IFERROR(VLOOKUP(Tabla5810[[#This Row],[Cod trabalhador]],'Outros descontos'!B:M,9,FALSE),"")</f>
        <v>0</v>
      </c>
      <c r="AJ64" s="46">
        <f>IFERROR(VLOOKUP(Tabla5810[[#This Row],[Cod trabalhador]],'Outros descontos'!B:M,10,FALSE),"")</f>
        <v>0</v>
      </c>
      <c r="AK64" s="46">
        <f>IFERROR(VLOOKUP(Tabla5810[[#This Row],[Cod trabalhador]],'Outros descontos'!B:M,11,FALSE),"")</f>
        <v>0</v>
      </c>
      <c r="AL64" s="46">
        <f>IFERROR(VLOOKUP(Tabla5810[[#This Row],[Cod trabalhador]],'Outros descontos'!B:M,12,FALSE),"")</f>
        <v>0</v>
      </c>
      <c r="AM64" s="46" t="str">
        <f>IFERROR(VLOOKUP(Tabla5810[[#This Row],[Cod trabalhador]],'Outros descontos'!B:M,13,FALSE),"")</f>
        <v/>
      </c>
      <c r="AN64" s="393"/>
      <c r="AO64" s="37">
        <v>4.08</v>
      </c>
      <c r="AP64" s="15"/>
      <c r="AQ64"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2011.7533333333336</v>
      </c>
      <c r="AR64"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2011.7533333333336</v>
      </c>
      <c r="AS64" s="15"/>
      <c r="AT64" s="27" t="str">
        <f>IF(Tabla5810[[#This Row],[Cod trabalhador]]="", "", INDEX(Iban!C:C, MATCH(Tabla5810[[#This Row],[Cod trabalhador]],Iban!A:A, 0)))</f>
        <v>BE39 9054 8485 5719</v>
      </c>
      <c r="AU64" s="27"/>
      <c r="AV64" s="27"/>
      <c r="AW64" s="66" t="s">
        <v>7533</v>
      </c>
      <c r="AX64" s="296" t="s">
        <v>7472</v>
      </c>
    </row>
    <row r="65" spans="1:50" ht="18.75" customHeight="1" x14ac:dyDescent="0.3">
      <c r="A65" s="42">
        <v>60</v>
      </c>
      <c r="B65" s="39" t="s">
        <v>3137</v>
      </c>
      <c r="C65" s="45" t="str">
        <f>IF(ISNUMBER(MATCH(Tabla5810[[#This Row],[Cod trabalhador]],'Altas Luminous'!B:B, 0)), "Ativo", "Não ativo")</f>
        <v>Ativo</v>
      </c>
      <c r="D65" s="44" t="str">
        <f>IFERROR(IF(VLOOKUP(Tabla5810[[#This Row],[Cod trabalhador]],'Altas Industrial'!B:E,1,0)&lt;&gt;"","KI",""),"")</f>
        <v/>
      </c>
      <c r="E65" s="44" t="str">
        <f>IFERROR(IF(VLOOKUP(Tabla5810[[#This Row],[Cod trabalhador]],'Altas Rosas'!B:F,1,0)&lt;&gt;"","KR",""),"")</f>
        <v/>
      </c>
      <c r="F65" s="44" t="str">
        <f>IFERROR(IF(VLOOKUP(Tabla5810[[#This Row],[Cod trabalhador]],'Altas Wiseowe'!B:E,1,0)&lt;&gt;"","WS",""),"")</f>
        <v/>
      </c>
      <c r="G65" s="44" t="str">
        <f>IFERROR(IF(VLOOKUP(Tabla5810[[#This Row],[Cod trabalhador]],'Altas Luminous'!B:E,1,0)&lt;&gt;"","LM",""),"")</f>
        <v>LM</v>
      </c>
      <c r="H65" s="51">
        <f>IFERROR(VLOOKUP(Tabla5810[[#This Row],[Cod trabalhador]],'Altas Luminous'!B:E,3,FALSE),"")</f>
        <v>45931</v>
      </c>
      <c r="I65" s="51" t="str">
        <f>IF(OR(Tabla5810[[#This Row],[Cod trabalhador]]="",ISBLANK(Tabla5810[[#This Row],[Cod trabalhador]])),"",IFERROR(IF(VLOOKUP(Tabla5810[[#This Row],[Cod trabalhador]],'Altas Luminous'!B:E,4,FALSE)=0,"",VLOOKUP(Tabla5810[[#This Row],[Cod trabalhador]],'Altas Luminous'!B:E,4,FALSE)),""))</f>
        <v/>
      </c>
      <c r="J65" s="44">
        <f t="shared" si="1"/>
        <v>31</v>
      </c>
      <c r="K65" s="44" t="s">
        <v>3138</v>
      </c>
      <c r="L65" s="24" t="str">
        <f>IFERROR(IF(Tabla5810[[#This Row],[Cod trabalhador]]="",Tabla5810[[#This Row],[Cod trabalhador]], INDEX(Colaborador_ID[Nombre], MATCH(Tabla5810[[#This Row],[Cod trabalhador]],Colaborador_ID[Cod_colab], 0))), "")</f>
        <v>JEAN CARLO GARCIA GARCIA</v>
      </c>
      <c r="N65" s="25" t="s">
        <v>7109</v>
      </c>
      <c r="O65" s="401">
        <f>IFERROR(VLOOKUP(Tabla5810[[#This Row],[Cod trabalhador]],Tabla15[],4,FALSE),"")</f>
        <v>15</v>
      </c>
      <c r="P65" s="232">
        <f>IFERROR(VLOOKUP(Tabla5810[[#This Row],[Cod trabalhador]],'TotalHorasAjustadas (2)'!D:L,8,FALSE),"")</f>
        <v>183</v>
      </c>
      <c r="Q65" s="27">
        <v>182</v>
      </c>
      <c r="R65" s="28" t="s">
        <v>7471</v>
      </c>
      <c r="S65" s="28" t="s">
        <v>7486</v>
      </c>
      <c r="U65" s="25"/>
      <c r="V65" s="26"/>
      <c r="W65" s="27"/>
      <c r="X65" s="102"/>
      <c r="Y65" s="28"/>
      <c r="Z65" s="149"/>
      <c r="AA65" s="392">
        <f>IFERROR(VLOOKUP(Tabla5810[[#This Row],[Cod trabalhador]],Alojamentos!B:P,11,FALSE),"")</f>
        <v>300</v>
      </c>
      <c r="AB65" s="127"/>
      <c r="AC65" s="150"/>
      <c r="AD65" s="35">
        <f>Tabla5810[[#This Row],[Dias de alta]]*7.058</f>
        <v>218.798</v>
      </c>
      <c r="AE65" s="46" t="str">
        <f>IFERROR(VLOOKUP(Tabla5810[[#This Row],[Cod trabalhador]],Adiantamentos!B:L,7,FALSE),"")</f>
        <v/>
      </c>
      <c r="AF65" s="46" t="str">
        <f>IFERROR(VLOOKUP(Tabla5810[[#This Row],[Cod trabalhador]],Carro!B:D,3,FALSE),"")</f>
        <v/>
      </c>
      <c r="AG65" s="46" t="str">
        <f>IFERROR(VLOOKUP(Tabla5810[[#This Row],[Cod trabalhador]],'Outros descontos'!B:O,7,FALSE),"")</f>
        <v/>
      </c>
      <c r="AH65" s="46" t="str">
        <f>IFERROR(VLOOKUP(Tabla5810[[#This Row],[Cod trabalhador]],'Outros descontos'!B:M,8,FALSE),"")</f>
        <v/>
      </c>
      <c r="AI65" s="46" t="str">
        <f>IFERROR(VLOOKUP(Tabla5810[[#This Row],[Cod trabalhador]],'Outros descontos'!B:M,9,FALSE),"")</f>
        <v/>
      </c>
      <c r="AJ65" s="46" t="str">
        <f>IFERROR(VLOOKUP(Tabla5810[[#This Row],[Cod trabalhador]],'Outros descontos'!B:M,10,FALSE),"")</f>
        <v/>
      </c>
      <c r="AK65" s="46" t="str">
        <f>IFERROR(VLOOKUP(Tabla5810[[#This Row],[Cod trabalhador]],'Outros descontos'!B:M,11,FALSE),"")</f>
        <v/>
      </c>
      <c r="AL65" s="46" t="str">
        <f>IFERROR(VLOOKUP(Tabla5810[[#This Row],[Cod trabalhador]],'Outros descontos'!B:M,12,FALSE),"")</f>
        <v/>
      </c>
      <c r="AM65" s="46" t="str">
        <f>IFERROR(VLOOKUP(Tabla5810[[#This Row],[Cod trabalhador]],'Outros descontos'!B:M,13,FALSE),"")</f>
        <v/>
      </c>
      <c r="AN65" s="393">
        <v>15</v>
      </c>
      <c r="AO65" s="37">
        <v>4.08</v>
      </c>
      <c r="AP65" s="15"/>
      <c r="AQ65"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2822.1220000000003</v>
      </c>
      <c r="AR65"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2792.1220000000003</v>
      </c>
      <c r="AS65" s="15"/>
      <c r="AT65" s="27" t="str">
        <f>IF(Tabla5810[[#This Row],[Cod trabalhador]]="", "", INDEX(Iban!C:C, MATCH(Tabla5810[[#This Row],[Cod trabalhador]],Iban!A:A, 0)))</f>
        <v xml:space="preserve">ES87 6893 0001 7900 0033 0946 </v>
      </c>
      <c r="AU65" s="27"/>
      <c r="AV65" s="27"/>
      <c r="AW65" s="66" t="s">
        <v>7533</v>
      </c>
      <c r="AX65" s="296" t="s">
        <v>7472</v>
      </c>
    </row>
    <row r="66" spans="1:50" ht="18.75" customHeight="1" x14ac:dyDescent="0.3">
      <c r="A66" s="42">
        <v>61</v>
      </c>
      <c r="B66" s="39" t="s">
        <v>3240</v>
      </c>
      <c r="C66" s="45" t="str">
        <f>IF(ISNUMBER(MATCH(Tabla5810[[#This Row],[Cod trabalhador]],'Altas Luminous'!B:B, 0)), "Ativo", "Não ativo")</f>
        <v>Não ativo</v>
      </c>
      <c r="D66" s="44" t="str">
        <f>IFERROR(IF(VLOOKUP(Tabla5810[[#This Row],[Cod trabalhador]],'Altas Industrial'!B:E,1,0)&lt;&gt;"","KI",""),"")</f>
        <v/>
      </c>
      <c r="E66" s="44" t="str">
        <f>IFERROR(IF(VLOOKUP(Tabla5810[[#This Row],[Cod trabalhador]],'Altas Rosas'!B:F,1,0)&lt;&gt;"","KR",""),"")</f>
        <v/>
      </c>
      <c r="F66" s="44" t="str">
        <f>IFERROR(IF(VLOOKUP(Tabla5810[[#This Row],[Cod trabalhador]],'Altas Wiseowe'!B:E,1,0)&lt;&gt;"","WS",""),"")</f>
        <v/>
      </c>
      <c r="G66" s="44" t="str">
        <f>IFERROR(IF(VLOOKUP(Tabla5810[[#This Row],[Cod trabalhador]],'Altas Luminous'!B:E,1,0)&lt;&gt;"","LM",""),"")</f>
        <v/>
      </c>
      <c r="H66" s="51" t="str">
        <f>IFERROR(VLOOKUP(Tabla5810[[#This Row],[Cod trabalhador]],'Altas Luminous'!B:E,3,FALSE),"")</f>
        <v/>
      </c>
      <c r="I66" s="51" t="str">
        <f>IF(OR(Tabla5810[[#This Row],[Cod trabalhador]]="",ISBLANK(Tabla5810[[#This Row],[Cod trabalhador]])),"",IFERROR(IF(VLOOKUP(Tabla5810[[#This Row],[Cod trabalhador]],'Altas Luminous'!B:E,4,FALSE)=0,"",VLOOKUP(Tabla5810[[#This Row],[Cod trabalhador]],'Altas Luminous'!B:E,4,FALSE)),""))</f>
        <v/>
      </c>
      <c r="J66" s="44">
        <f t="shared" si="1"/>
        <v>0</v>
      </c>
      <c r="K66" s="44" t="s">
        <v>7085</v>
      </c>
      <c r="L66" s="24" t="str">
        <f>IFERROR(IF(Tabla5810[[#This Row],[Cod trabalhador]]="",Tabla5810[[#This Row],[Cod trabalhador]], INDEX(Colaborador_ID[Nombre], MATCH(Tabla5810[[#This Row],[Cod trabalhador]],Colaborador_ID[Cod_colab], 0))), "")</f>
        <v>JESUS ALBERTO GONZALES FERNANDEZ</v>
      </c>
      <c r="N66" s="25" t="s">
        <v>7082</v>
      </c>
      <c r="O66" s="401">
        <f>IFERROR(VLOOKUP(Tabla5810[[#This Row],[Cod trabalhador]],Tabla15[],4,FALSE),"")</f>
        <v>15</v>
      </c>
      <c r="P66" s="232">
        <f>IFERROR(VLOOKUP(Tabla5810[[#This Row],[Cod trabalhador]],'TotalHorasAjustadas (2)'!D:L,8,FALSE),"")</f>
        <v>143.5</v>
      </c>
      <c r="Q66" s="27">
        <v>143.5</v>
      </c>
      <c r="R66" s="28" t="s">
        <v>7532</v>
      </c>
      <c r="S66" s="28" t="s">
        <v>7486</v>
      </c>
      <c r="U66" s="25"/>
      <c r="V66" s="26"/>
      <c r="W66" s="27"/>
      <c r="X66" s="102"/>
      <c r="Y66" s="28"/>
      <c r="Z66" s="149"/>
      <c r="AA66" s="392" t="str">
        <f>IFERROR(VLOOKUP(Tabla5810[[#This Row],[Cod trabalhador]],Alojamentos!B:P,11,FALSE),"")</f>
        <v/>
      </c>
      <c r="AB66" s="127"/>
      <c r="AC66" s="150"/>
      <c r="AD66" s="35">
        <f>Tabla5810[[#This Row],[Dias de alta]]*7.058</f>
        <v>0</v>
      </c>
      <c r="AE66" s="46" t="str">
        <f>IFERROR(VLOOKUP(Tabla5810[[#This Row],[Cod trabalhador]],Adiantamentos!B:L,7,FALSE),"")</f>
        <v/>
      </c>
      <c r="AF66" s="46">
        <f>IFERROR(VLOOKUP(Tabla5810[[#This Row],[Cod trabalhador]],Carro!B:D,3,FALSE),"")</f>
        <v>86.666666666666657</v>
      </c>
      <c r="AG66" s="46" t="str">
        <f>IFERROR(VLOOKUP(Tabla5810[[#This Row],[Cod trabalhador]],'Outros descontos'!B:O,7,FALSE),"")</f>
        <v/>
      </c>
      <c r="AH66" s="46" t="str">
        <f>IFERROR(VLOOKUP(Tabla5810[[#This Row],[Cod trabalhador]],'Outros descontos'!B:M,8,FALSE),"")</f>
        <v/>
      </c>
      <c r="AI66" s="46" t="str">
        <f>IFERROR(VLOOKUP(Tabla5810[[#This Row],[Cod trabalhador]],'Outros descontos'!B:M,9,FALSE),"")</f>
        <v/>
      </c>
      <c r="AJ66" s="46" t="str">
        <f>IFERROR(VLOOKUP(Tabla5810[[#This Row],[Cod trabalhador]],'Outros descontos'!B:M,10,FALSE),"")</f>
        <v/>
      </c>
      <c r="AK66" s="46" t="str">
        <f>IFERROR(VLOOKUP(Tabla5810[[#This Row],[Cod trabalhador]],'Outros descontos'!B:M,11,FALSE),"")</f>
        <v/>
      </c>
      <c r="AL66" s="46" t="str">
        <f>IFERROR(VLOOKUP(Tabla5810[[#This Row],[Cod trabalhador]],'Outros descontos'!B:M,12,FALSE),"")</f>
        <v/>
      </c>
      <c r="AM66" s="46" t="str">
        <f>IFERROR(VLOOKUP(Tabla5810[[#This Row],[Cod trabalhador]],'Outros descontos'!B:M,13,FALSE),"")</f>
        <v/>
      </c>
      <c r="AN66" s="393"/>
      <c r="AO66" s="37">
        <v>4.08</v>
      </c>
      <c r="AP66" s="15"/>
      <c r="AQ66"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2061.7533333333336</v>
      </c>
      <c r="AR66"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2061.7533333333336</v>
      </c>
      <c r="AS66" s="15"/>
      <c r="AT66" s="27" t="str">
        <f>IF(Tabla5810[[#This Row],[Cod trabalhador]]="", "", INDEX(Iban!C:C, MATCH(Tabla5810[[#This Row],[Cod trabalhador]],Iban!A:A, 0)))</f>
        <v>ES04 0182 8191 7202 0204 8731</v>
      </c>
      <c r="AU66" s="27"/>
      <c r="AV66" s="27"/>
      <c r="AW66" s="66" t="s">
        <v>7533</v>
      </c>
      <c r="AX66" s="296" t="s">
        <v>7472</v>
      </c>
    </row>
    <row r="67" spans="1:50" ht="18.75" customHeight="1" x14ac:dyDescent="0.3">
      <c r="A67" s="42">
        <v>62</v>
      </c>
      <c r="B67" s="39" t="s">
        <v>3272</v>
      </c>
      <c r="C67" s="45" t="str">
        <f>IF(ISNUMBER(MATCH(Tabla5810[[#This Row],[Cod trabalhador]],'Altas Luminous'!B:B, 0)), "Ativo", "Não ativo")</f>
        <v>Não ativo</v>
      </c>
      <c r="D67" s="44" t="str">
        <f>IFERROR(IF(VLOOKUP(Tabla5810[[#This Row],[Cod trabalhador]],'Altas Industrial'!B:E,1,0)&lt;&gt;"","KI",""),"")</f>
        <v/>
      </c>
      <c r="E67" s="44" t="str">
        <f>IFERROR(IF(VLOOKUP(Tabla5810[[#This Row],[Cod trabalhador]],'Altas Rosas'!B:F,1,0)&lt;&gt;"","KR",""),"")</f>
        <v/>
      </c>
      <c r="F67" s="44" t="str">
        <f>IFERROR(IF(VLOOKUP(Tabla5810[[#This Row],[Cod trabalhador]],'Altas Wiseowe'!B:E,1,0)&lt;&gt;"","WS",""),"")</f>
        <v/>
      </c>
      <c r="G67" s="44" t="str">
        <f>IFERROR(IF(VLOOKUP(Tabla5810[[#This Row],[Cod trabalhador]],'Altas Luminous'!B:E,1,0)&lt;&gt;"","LM",""),"")</f>
        <v/>
      </c>
      <c r="H67" s="51" t="str">
        <f>IFERROR(VLOOKUP(Tabla5810[[#This Row],[Cod trabalhador]],'Altas Luminous'!B:E,3,FALSE),"")</f>
        <v/>
      </c>
      <c r="I67" s="51" t="str">
        <f>IF(OR(Tabla5810[[#This Row],[Cod trabalhador]]="",ISBLANK(Tabla5810[[#This Row],[Cod trabalhador]])),"",IFERROR(IF(VLOOKUP(Tabla5810[[#This Row],[Cod trabalhador]],'Altas Luminous'!B:E,4,FALSE)=0,"",VLOOKUP(Tabla5810[[#This Row],[Cod trabalhador]],'Altas Luminous'!B:E,4,FALSE)),""))</f>
        <v/>
      </c>
      <c r="J67" s="44">
        <f t="shared" si="1"/>
        <v>0</v>
      </c>
      <c r="K67" s="44" t="s">
        <v>3273</v>
      </c>
      <c r="L67" s="24" t="str">
        <f>IFERROR(IF(Tabla5810[[#This Row],[Cod trabalhador]]="",Tabla5810[[#This Row],[Cod trabalhador]], INDEX(Colaborador_ID[Nombre], MATCH(Tabla5810[[#This Row],[Cod trabalhador]],Colaborador_ID[Cod_colab], 0))), "")</f>
        <v>JESUS ELIECER ALVAREZ ORTIZ</v>
      </c>
      <c r="N67" s="25" t="s">
        <v>7052</v>
      </c>
      <c r="O67" s="401">
        <f>IFERROR(VLOOKUP(Tabla5810[[#This Row],[Cod trabalhador]],Tabla15[],4,FALSE),"")</f>
        <v>15</v>
      </c>
      <c r="P67" s="232">
        <f>IFERROR(VLOOKUP(Tabla5810[[#This Row],[Cod trabalhador]],'TotalHorasAjustadas (2)'!D:L,8,FALSE),"")</f>
        <v>152</v>
      </c>
      <c r="Q67" s="27">
        <v>152</v>
      </c>
      <c r="R67" s="28" t="s">
        <v>7532</v>
      </c>
      <c r="S67" s="28" t="s">
        <v>7486</v>
      </c>
      <c r="U67" s="25"/>
      <c r="V67" s="26"/>
      <c r="W67" s="27"/>
      <c r="X67" s="102"/>
      <c r="Y67" s="28"/>
      <c r="Z67" s="149"/>
      <c r="AA67" s="392" t="str">
        <f>IFERROR(VLOOKUP(Tabla5810[[#This Row],[Cod trabalhador]],Alojamentos!B:P,11,FALSE),"")</f>
        <v/>
      </c>
      <c r="AB67" s="127"/>
      <c r="AC67" s="150"/>
      <c r="AD67" s="35">
        <f>Tabla5810[[#This Row],[Dias de alta]]*7.058</f>
        <v>0</v>
      </c>
      <c r="AE67" s="46" t="str">
        <f>IFERROR(VLOOKUP(Tabla5810[[#This Row],[Cod trabalhador]],Adiantamentos!B:L,7,FALSE),"")</f>
        <v/>
      </c>
      <c r="AF67" s="46">
        <f>IFERROR(VLOOKUP(Tabla5810[[#This Row],[Cod trabalhador]],Carro!B:D,3,FALSE),"")</f>
        <v>140</v>
      </c>
      <c r="AG67" s="46">
        <f>IFERROR(VLOOKUP(Tabla5810[[#This Row],[Cod trabalhador]],'Outros descontos'!B:O,7,FALSE),"")</f>
        <v>0</v>
      </c>
      <c r="AH67" s="46">
        <f>IFERROR(VLOOKUP(Tabla5810[[#This Row],[Cod trabalhador]],'Outros descontos'!B:M,8,FALSE),"")</f>
        <v>0</v>
      </c>
      <c r="AI67" s="46">
        <f>IFERROR(VLOOKUP(Tabla5810[[#This Row],[Cod trabalhador]],'Outros descontos'!B:M,9,FALSE),"")</f>
        <v>0</v>
      </c>
      <c r="AJ67" s="46">
        <f>IFERROR(VLOOKUP(Tabla5810[[#This Row],[Cod trabalhador]],'Outros descontos'!B:M,10,FALSE),"")</f>
        <v>53.16</v>
      </c>
      <c r="AK67" s="46">
        <f>IFERROR(VLOOKUP(Tabla5810[[#This Row],[Cod trabalhador]],'Outros descontos'!B:M,11,FALSE),"")</f>
        <v>0</v>
      </c>
      <c r="AL67" s="46">
        <f>IFERROR(VLOOKUP(Tabla5810[[#This Row],[Cod trabalhador]],'Outros descontos'!B:M,12,FALSE),"")</f>
        <v>0</v>
      </c>
      <c r="AM67" s="46" t="str">
        <f>IFERROR(VLOOKUP(Tabla5810[[#This Row],[Cod trabalhador]],'Outros descontos'!B:M,13,FALSE),"")</f>
        <v/>
      </c>
      <c r="AN67" s="393"/>
      <c r="AO67" s="37">
        <v>4.08</v>
      </c>
      <c r="AP67" s="15"/>
      <c r="AQ67"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2082.7600000000002</v>
      </c>
      <c r="AR67"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2082.7600000000002</v>
      </c>
      <c r="AS67" s="15"/>
      <c r="AT67" s="27" t="str">
        <f>IF(Tabla5810[[#This Row],[Cod trabalhador]]="", "", INDEX(Iban!C:C, MATCH(Tabla5810[[#This Row],[Cod trabalhador]],Iban!A:A, 0)))</f>
        <v>ES56 0182 4960 2202 0166 4327</v>
      </c>
      <c r="AU67" s="27"/>
      <c r="AV67" s="27"/>
      <c r="AW67" s="66" t="s">
        <v>7533</v>
      </c>
      <c r="AX67" s="296" t="s">
        <v>7472</v>
      </c>
    </row>
    <row r="68" spans="1:50" ht="18.75" customHeight="1" x14ac:dyDescent="0.3">
      <c r="A68" s="42">
        <v>63</v>
      </c>
      <c r="B68" s="39" t="s">
        <v>3287</v>
      </c>
      <c r="C68" s="45" t="str">
        <f>IF(ISNUMBER(MATCH(Tabla5810[[#This Row],[Cod trabalhador]],'Altas Luminous'!B:B, 0)), "Ativo", "Não ativo")</f>
        <v>Não ativo</v>
      </c>
      <c r="D68" s="44" t="str">
        <f>IFERROR(IF(VLOOKUP(Tabla5810[[#This Row],[Cod trabalhador]],'Altas Industrial'!B:E,1,0)&lt;&gt;"","KI",""),"")</f>
        <v/>
      </c>
      <c r="E68" s="44" t="str">
        <f>IFERROR(IF(VLOOKUP(Tabla5810[[#This Row],[Cod trabalhador]],'Altas Rosas'!B:F,1,0)&lt;&gt;"","KR",""),"")</f>
        <v/>
      </c>
      <c r="F68" s="44" t="str">
        <f>IFERROR(IF(VLOOKUP(Tabla5810[[#This Row],[Cod trabalhador]],'Altas Wiseowe'!B:E,1,0)&lt;&gt;"","WS",""),"")</f>
        <v/>
      </c>
      <c r="G68" s="44" t="str">
        <f>IFERROR(IF(VLOOKUP(Tabla5810[[#This Row],[Cod trabalhador]],'Altas Luminous'!B:E,1,0)&lt;&gt;"","LM",""),"")</f>
        <v/>
      </c>
      <c r="H68" s="51" t="str">
        <f>IFERROR(VLOOKUP(Tabla5810[[#This Row],[Cod trabalhador]],'Altas Luminous'!B:E,3,FALSE),"")</f>
        <v/>
      </c>
      <c r="I68" s="51" t="str">
        <f>IF(OR(Tabla5810[[#This Row],[Cod trabalhador]]="",ISBLANK(Tabla5810[[#This Row],[Cod trabalhador]])),"",IFERROR(IF(VLOOKUP(Tabla5810[[#This Row],[Cod trabalhador]],'Altas Luminous'!B:E,4,FALSE)=0,"",VLOOKUP(Tabla5810[[#This Row],[Cod trabalhador]],'Altas Luminous'!B:E,4,FALSE)),""))</f>
        <v/>
      </c>
      <c r="J68" s="44">
        <f t="shared" si="1"/>
        <v>0</v>
      </c>
      <c r="K68" s="44" t="s">
        <v>3288</v>
      </c>
      <c r="L68" s="24" t="str">
        <f>IFERROR(IF(Tabla5810[[#This Row],[Cod trabalhador]]="",Tabla5810[[#This Row],[Cod trabalhador]], INDEX(Colaborador_ID[Nombre], MATCH(Tabla5810[[#This Row],[Cod trabalhador]],Colaborador_ID[Cod_colab], 0))), "")</f>
        <v>JESUS JAMES BALDEON ZUNIGA</v>
      </c>
      <c r="N68" s="25" t="s">
        <v>7106</v>
      </c>
      <c r="O68" s="401">
        <f>IFERROR(VLOOKUP(Tabla5810[[#This Row],[Cod trabalhador]],Tabla15[],4,FALSE),"")</f>
        <v>15</v>
      </c>
      <c r="P68" s="232">
        <f>IFERROR(VLOOKUP(Tabla5810[[#This Row],[Cod trabalhador]],'TotalHorasAjustadas (2)'!D:L,8,FALSE),"")</f>
        <v>167</v>
      </c>
      <c r="Q68" s="27">
        <v>167</v>
      </c>
      <c r="R68" s="28" t="s">
        <v>7532</v>
      </c>
      <c r="S68" s="28" t="s">
        <v>7486</v>
      </c>
      <c r="U68" s="25"/>
      <c r="V68" s="26"/>
      <c r="W68" s="27"/>
      <c r="X68" s="102"/>
      <c r="Y68" s="28"/>
      <c r="Z68" s="149"/>
      <c r="AA68" s="392" t="str">
        <f>IFERROR(VLOOKUP(Tabla5810[[#This Row],[Cod trabalhador]],Alojamentos!B:P,11,FALSE),"")</f>
        <v/>
      </c>
      <c r="AB68" s="127"/>
      <c r="AC68" s="150"/>
      <c r="AD68" s="35">
        <f>Tabla5810[[#This Row],[Dias de alta]]*7.058</f>
        <v>0</v>
      </c>
      <c r="AE68" s="46" t="str">
        <f>IFERROR(VLOOKUP(Tabla5810[[#This Row],[Cod trabalhador]],Adiantamentos!B:L,7,FALSE),"")</f>
        <v/>
      </c>
      <c r="AF68" s="46">
        <f>IFERROR(VLOOKUP(Tabla5810[[#This Row],[Cod trabalhador]],Carro!B:D,3,FALSE),"")</f>
        <v>120</v>
      </c>
      <c r="AG68" s="46" t="str">
        <f>IFERROR(VLOOKUP(Tabla5810[[#This Row],[Cod trabalhador]],'Outros descontos'!B:O,7,FALSE),"")</f>
        <v/>
      </c>
      <c r="AH68" s="46" t="str">
        <f>IFERROR(VLOOKUP(Tabla5810[[#This Row],[Cod trabalhador]],'Outros descontos'!B:M,8,FALSE),"")</f>
        <v/>
      </c>
      <c r="AI68" s="46" t="str">
        <f>IFERROR(VLOOKUP(Tabla5810[[#This Row],[Cod trabalhador]],'Outros descontos'!B:M,9,FALSE),"")</f>
        <v/>
      </c>
      <c r="AJ68" s="46" t="str">
        <f>IFERROR(VLOOKUP(Tabla5810[[#This Row],[Cod trabalhador]],'Outros descontos'!B:M,10,FALSE),"")</f>
        <v/>
      </c>
      <c r="AK68" s="46" t="str">
        <f>IFERROR(VLOOKUP(Tabla5810[[#This Row],[Cod trabalhador]],'Outros descontos'!B:M,11,FALSE),"")</f>
        <v/>
      </c>
      <c r="AL68" s="46" t="str">
        <f>IFERROR(VLOOKUP(Tabla5810[[#This Row],[Cod trabalhador]],'Outros descontos'!B:M,12,FALSE),"")</f>
        <v/>
      </c>
      <c r="AM68" s="46" t="str">
        <f>IFERROR(VLOOKUP(Tabla5810[[#This Row],[Cod trabalhador]],'Outros descontos'!B:M,13,FALSE),"")</f>
        <v/>
      </c>
      <c r="AN68" s="393"/>
      <c r="AO68" s="37">
        <v>4.08</v>
      </c>
      <c r="AP68" s="15"/>
      <c r="AQ68"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2380.92</v>
      </c>
      <c r="AR68"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2380.92</v>
      </c>
      <c r="AS68" s="15"/>
      <c r="AT68" s="27" t="str">
        <f>IF(Tabla5810[[#This Row],[Cod trabalhador]]="", "", INDEX(Iban!C:C, MATCH(Tabla5810[[#This Row],[Cod trabalhador]],Iban!A:A, 0)))</f>
        <v>ES31 0049 5413 5521 1609 5173</v>
      </c>
      <c r="AU68" s="27"/>
      <c r="AV68" s="27"/>
      <c r="AW68" s="66" t="s">
        <v>7533</v>
      </c>
      <c r="AX68" s="296" t="s">
        <v>7472</v>
      </c>
    </row>
    <row r="69" spans="1:50" ht="18.75" customHeight="1" x14ac:dyDescent="0.3">
      <c r="A69" s="42">
        <v>64</v>
      </c>
      <c r="B69" s="39" t="s">
        <v>3718</v>
      </c>
      <c r="C69" s="45" t="str">
        <f>IF(ISNUMBER(MATCH(Tabla5810[[#This Row],[Cod trabalhador]],'Altas Luminous'!B:B, 0)), "Ativo", "Não ativo")</f>
        <v>Não ativo</v>
      </c>
      <c r="D69" s="44" t="str">
        <f>IFERROR(IF(VLOOKUP(Tabla5810[[#This Row],[Cod trabalhador]],'Altas Industrial'!B:E,1,0)&lt;&gt;"","KI",""),"")</f>
        <v/>
      </c>
      <c r="E69" s="44" t="str">
        <f>IFERROR(IF(VLOOKUP(Tabla5810[[#This Row],[Cod trabalhador]],'Altas Rosas'!B:F,1,0)&lt;&gt;"","KR",""),"")</f>
        <v/>
      </c>
      <c r="F69" s="44" t="str">
        <f>IFERROR(IF(VLOOKUP(Tabla5810[[#This Row],[Cod trabalhador]],'Altas Wiseowe'!B:E,1,0)&lt;&gt;"","WS",""),"")</f>
        <v/>
      </c>
      <c r="G69" s="44" t="str">
        <f>IFERROR(IF(VLOOKUP(Tabla5810[[#This Row],[Cod trabalhador]],'Altas Luminous'!B:E,1,0)&lt;&gt;"","LM",""),"")</f>
        <v/>
      </c>
      <c r="H69" s="51" t="str">
        <f>IFERROR(VLOOKUP(Tabla5810[[#This Row],[Cod trabalhador]],'Altas Luminous'!B:E,3,FALSE),"")</f>
        <v/>
      </c>
      <c r="I69" s="51" t="str">
        <f>IF(OR(Tabla5810[[#This Row],[Cod trabalhador]]="",ISBLANK(Tabla5810[[#This Row],[Cod trabalhador]])),"",IFERROR(IF(VLOOKUP(Tabla5810[[#This Row],[Cod trabalhador]],'Altas Luminous'!B:E,4,FALSE)=0,"",VLOOKUP(Tabla5810[[#This Row],[Cod trabalhador]],'Altas Luminous'!B:E,4,FALSE)),""))</f>
        <v/>
      </c>
      <c r="J69" s="44">
        <f t="shared" ref="J69:J100" si="2">IF(C69="ativo",    IF(ISBLANK(H69),"",MAX(0,MIN(IF(ISBLANK(I69),EOMONTH(DATE(2026,1,1),0),I69),EOMONTH(DATE(2026,1,1),0)) - MAX(H69,DATE(2026,1,1))))+1,
    0
)</f>
        <v>0</v>
      </c>
      <c r="K69" s="413" t="s">
        <v>3719</v>
      </c>
      <c r="L69" s="24" t="str">
        <f>IFERROR(IF(Tabla5810[[#This Row],[Cod trabalhador]]="",Tabla5810[[#This Row],[Cod trabalhador]], INDEX(Colaborador_ID[Nombre], MATCH(Tabla5810[[#This Row],[Cod trabalhador]],Colaborador_ID[Cod_colab], 0))), "")</f>
        <v>JORGE ANTONIO RAMIREZ LUNA</v>
      </c>
      <c r="N69" s="25" t="s">
        <v>7052</v>
      </c>
      <c r="O69" s="401">
        <f>IFERROR(VLOOKUP(Tabla5810[[#This Row],[Cod trabalhador]],Tabla15[],4,FALSE),"")</f>
        <v>15</v>
      </c>
      <c r="P69" s="232">
        <f>IFERROR(VLOOKUP(Tabla5810[[#This Row],[Cod trabalhador]],'TotalHorasAjustadas (2)'!D:L,8,FALSE),"")</f>
        <v>204</v>
      </c>
      <c r="Q69" s="27">
        <v>204</v>
      </c>
      <c r="R69" s="28" t="s">
        <v>7532</v>
      </c>
      <c r="S69" s="28" t="s">
        <v>7486</v>
      </c>
      <c r="U69" s="25"/>
      <c r="V69" s="26"/>
      <c r="W69" s="27"/>
      <c r="X69" s="102"/>
      <c r="Y69" s="28"/>
      <c r="Z69" s="149"/>
      <c r="AA69" s="392" t="str">
        <f>IFERROR(VLOOKUP(Tabla5810[[#This Row],[Cod trabalhador]],Alojamentos!B:P,11,FALSE),"")</f>
        <v/>
      </c>
      <c r="AB69" s="127"/>
      <c r="AC69" s="150"/>
      <c r="AD69" s="35">
        <f>Tabla5810[[#This Row],[Dias de alta]]*7.058</f>
        <v>0</v>
      </c>
      <c r="AE69" s="46" t="str">
        <f>IFERROR(VLOOKUP(Tabla5810[[#This Row],[Cod trabalhador]],Adiantamentos!B:L,7,FALSE),"")</f>
        <v/>
      </c>
      <c r="AF69" s="46">
        <f>IFERROR(VLOOKUP(Tabla5810[[#This Row],[Cod trabalhador]],Carro!B:D,3,FALSE),"")</f>
        <v>102.66</v>
      </c>
      <c r="AG69" s="46">
        <f>IFERROR(VLOOKUP(Tabla5810[[#This Row],[Cod trabalhador]],'Outros descontos'!B:O,7,FALSE),"")</f>
        <v>0</v>
      </c>
      <c r="AH69" s="46">
        <f>IFERROR(VLOOKUP(Tabla5810[[#This Row],[Cod trabalhador]],'Outros descontos'!B:M,8,FALSE),"")</f>
        <v>0</v>
      </c>
      <c r="AI69" s="46">
        <f>IFERROR(VLOOKUP(Tabla5810[[#This Row],[Cod trabalhador]],'Outros descontos'!B:M,9,FALSE),"")</f>
        <v>0</v>
      </c>
      <c r="AJ69" s="46">
        <f>IFERROR(VLOOKUP(Tabla5810[[#This Row],[Cod trabalhador]],'Outros descontos'!B:M,10,FALSE),"")</f>
        <v>53.16</v>
      </c>
      <c r="AK69" s="46">
        <f>IFERROR(VLOOKUP(Tabla5810[[#This Row],[Cod trabalhador]],'Outros descontos'!B:M,11,FALSE),"")</f>
        <v>0</v>
      </c>
      <c r="AL69" s="46">
        <f>IFERROR(VLOOKUP(Tabla5810[[#This Row],[Cod trabalhador]],'Outros descontos'!B:M,12,FALSE),"")</f>
        <v>0</v>
      </c>
      <c r="AM69" s="46" t="str">
        <f>IFERROR(VLOOKUP(Tabla5810[[#This Row],[Cod trabalhador]],'Outros descontos'!B:M,13,FALSE),"")</f>
        <v/>
      </c>
      <c r="AN69" s="393"/>
      <c r="AO69" s="37">
        <v>4.08</v>
      </c>
      <c r="AP69" s="15"/>
      <c r="AQ69"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2900.1000000000004</v>
      </c>
      <c r="AR69"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2900.1000000000004</v>
      </c>
      <c r="AS69" s="15"/>
      <c r="AT69" s="27" t="str">
        <f>IF(Tabla5810[[#This Row],[Cod trabalhador]]="", "", INDEX(Iban!C:C, MATCH(Tabla5810[[#This Row],[Cod trabalhador]],Iban!A:A, 0)))</f>
        <v>ES70 0182 0704 2502 0156 4485</v>
      </c>
      <c r="AU69" s="27"/>
      <c r="AV69" s="27"/>
      <c r="AW69" s="66" t="s">
        <v>7533</v>
      </c>
      <c r="AX69" s="296" t="s">
        <v>7472</v>
      </c>
    </row>
    <row r="70" spans="1:50" ht="18.75" customHeight="1" x14ac:dyDescent="0.3">
      <c r="A70" s="42">
        <v>65</v>
      </c>
      <c r="B70" s="39" t="s">
        <v>3804</v>
      </c>
      <c r="C70" s="45" t="str">
        <f>IF(ISNUMBER(MATCH(Tabla5810[[#This Row],[Cod trabalhador]],'Altas Luminous'!B:B, 0)), "Ativo", "Não ativo")</f>
        <v>Não ativo</v>
      </c>
      <c r="D70" s="44" t="str">
        <f>IFERROR(IF(VLOOKUP(Tabla5810[[#This Row],[Cod trabalhador]],'Altas Industrial'!B:E,1,0)&lt;&gt;"","KI",""),"")</f>
        <v/>
      </c>
      <c r="E70" s="44" t="str">
        <f>IFERROR(IF(VLOOKUP(Tabla5810[[#This Row],[Cod trabalhador]],'Altas Rosas'!B:F,1,0)&lt;&gt;"","KR",""),"")</f>
        <v/>
      </c>
      <c r="F70" s="44" t="str">
        <f>IFERROR(IF(VLOOKUP(Tabla5810[[#This Row],[Cod trabalhador]],'Altas Wiseowe'!B:E,1,0)&lt;&gt;"","WS",""),"")</f>
        <v/>
      </c>
      <c r="G70" s="44" t="str">
        <f>IFERROR(IF(VLOOKUP(Tabla5810[[#This Row],[Cod trabalhador]],'Altas Luminous'!B:E,1,0)&lt;&gt;"","LM",""),"")</f>
        <v/>
      </c>
      <c r="H70" s="51" t="str">
        <f>IFERROR(VLOOKUP(Tabla5810[[#This Row],[Cod trabalhador]],'Altas Luminous'!B:E,3,FALSE),"")</f>
        <v/>
      </c>
      <c r="I70" s="51" t="str">
        <f>IF(OR(Tabla5810[[#This Row],[Cod trabalhador]]="",ISBLANK(Tabla5810[[#This Row],[Cod trabalhador]])),"",IFERROR(IF(VLOOKUP(Tabla5810[[#This Row],[Cod trabalhador]],'Altas Luminous'!B:E,4,FALSE)=0,"",VLOOKUP(Tabla5810[[#This Row],[Cod trabalhador]],'Altas Luminous'!B:E,4,FALSE)),""))</f>
        <v/>
      </c>
      <c r="J70" s="44">
        <f t="shared" si="2"/>
        <v>0</v>
      </c>
      <c r="K70" s="413" t="s">
        <v>7104</v>
      </c>
      <c r="L70" s="24" t="str">
        <f>IFERROR(IF(Tabla5810[[#This Row],[Cod trabalhador]]="",Tabla5810[[#This Row],[Cod trabalhador]], INDEX(Colaborador_ID[Nombre], MATCH(Tabla5810[[#This Row],[Cod trabalhador]],Colaborador_ID[Cod_colab], 0))), "")</f>
        <v>JORGE LUIS ASCUNTAR ZAMORA</v>
      </c>
      <c r="N70" s="25" t="s">
        <v>7101</v>
      </c>
      <c r="O70" s="401">
        <f>IFERROR(VLOOKUP(Tabla5810[[#This Row],[Cod trabalhador]],Tabla15[],4,FALSE),"")</f>
        <v>14</v>
      </c>
      <c r="P70" s="232">
        <f>IFERROR(VLOOKUP(Tabla5810[[#This Row],[Cod trabalhador]],'TotalHorasAjustadas (2)'!D:L,8,FALSE),"")</f>
        <v>168</v>
      </c>
      <c r="Q70" s="27">
        <v>168</v>
      </c>
      <c r="R70" s="28" t="s">
        <v>7532</v>
      </c>
      <c r="S70" s="28" t="s">
        <v>7486</v>
      </c>
      <c r="U70" s="25"/>
      <c r="V70" s="26"/>
      <c r="W70" s="27"/>
      <c r="X70" s="102"/>
      <c r="Y70" s="28"/>
      <c r="Z70" s="149"/>
      <c r="AA70" s="392" t="str">
        <f>IFERROR(VLOOKUP(Tabla5810[[#This Row],[Cod trabalhador]],Alojamentos!B:P,11,FALSE),"")</f>
        <v/>
      </c>
      <c r="AB70" s="127"/>
      <c r="AC70" s="150"/>
      <c r="AD70" s="35">
        <f>Tabla5810[[#This Row],[Dias de alta]]*7.058</f>
        <v>0</v>
      </c>
      <c r="AE70" s="46" t="str">
        <f>IFERROR(VLOOKUP(Tabla5810[[#This Row],[Cod trabalhador]],Adiantamentos!B:L,7,FALSE),"")</f>
        <v/>
      </c>
      <c r="AF70" s="46" t="str">
        <f>IFERROR(VLOOKUP(Tabla5810[[#This Row],[Cod trabalhador]],Carro!B:D,3,FALSE),"")</f>
        <v/>
      </c>
      <c r="AG70" s="46" t="str">
        <f>IFERROR(VLOOKUP(Tabla5810[[#This Row],[Cod trabalhador]],'Outros descontos'!B:O,7,FALSE),"")</f>
        <v/>
      </c>
      <c r="AH70" s="46" t="str">
        <f>IFERROR(VLOOKUP(Tabla5810[[#This Row],[Cod trabalhador]],'Outros descontos'!B:M,8,FALSE),"")</f>
        <v/>
      </c>
      <c r="AI70" s="46" t="str">
        <f>IFERROR(VLOOKUP(Tabla5810[[#This Row],[Cod trabalhador]],'Outros descontos'!B:M,9,FALSE),"")</f>
        <v/>
      </c>
      <c r="AJ70" s="46" t="str">
        <f>IFERROR(VLOOKUP(Tabla5810[[#This Row],[Cod trabalhador]],'Outros descontos'!B:M,10,FALSE),"")</f>
        <v/>
      </c>
      <c r="AK70" s="46" t="str">
        <f>IFERROR(VLOOKUP(Tabla5810[[#This Row],[Cod trabalhador]],'Outros descontos'!B:M,11,FALSE),"")</f>
        <v/>
      </c>
      <c r="AL70" s="46" t="str">
        <f>IFERROR(VLOOKUP(Tabla5810[[#This Row],[Cod trabalhador]],'Outros descontos'!B:M,12,FALSE),"")</f>
        <v/>
      </c>
      <c r="AM70" s="46" t="str">
        <f>IFERROR(VLOOKUP(Tabla5810[[#This Row],[Cod trabalhador]],'Outros descontos'!B:M,13,FALSE),"")</f>
        <v/>
      </c>
      <c r="AN70" s="393"/>
      <c r="AO70" s="37">
        <v>4.08</v>
      </c>
      <c r="AP70" s="15"/>
      <c r="AQ70"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2347.92</v>
      </c>
      <c r="AR70"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2347.92</v>
      </c>
      <c r="AS70" s="15"/>
      <c r="AT70" s="27" t="str">
        <f>IF(Tabla5810[[#This Row],[Cod trabalhador]]="", "", INDEX(Iban!C:C, MATCH(Tabla5810[[#This Row],[Cod trabalhador]],Iban!A:A, 0)))</f>
        <v>BE46 9053 3092 8136</v>
      </c>
      <c r="AU70" s="27"/>
      <c r="AV70" s="27"/>
      <c r="AW70" s="66" t="s">
        <v>7533</v>
      </c>
      <c r="AX70" s="296" t="s">
        <v>7472</v>
      </c>
    </row>
    <row r="71" spans="1:50" ht="18" customHeight="1" x14ac:dyDescent="0.3">
      <c r="A71" s="42">
        <v>66</v>
      </c>
      <c r="B71" s="39" t="s">
        <v>4022</v>
      </c>
      <c r="C71" s="45" t="str">
        <f>IF(ISNUMBER(MATCH(Tabla5810[[#This Row],[Cod trabalhador]],'Altas Luminous'!B:B, 0)), "Ativo", "Não ativo")</f>
        <v>Não ativo</v>
      </c>
      <c r="D71" s="44" t="str">
        <f>IFERROR(IF(VLOOKUP(Tabla5810[[#This Row],[Cod trabalhador]],'Altas Industrial'!B:E,1,0)&lt;&gt;"","KI",""),"")</f>
        <v/>
      </c>
      <c r="E71" s="44" t="str">
        <f>IFERROR(IF(VLOOKUP(Tabla5810[[#This Row],[Cod trabalhador]],'Altas Rosas'!B:F,1,0)&lt;&gt;"","KR",""),"")</f>
        <v/>
      </c>
      <c r="F71" s="44" t="str">
        <f>IFERROR(IF(VLOOKUP(Tabla5810[[#This Row],[Cod trabalhador]],'Altas Wiseowe'!B:E,1,0)&lt;&gt;"","WS",""),"")</f>
        <v/>
      </c>
      <c r="G71" s="44" t="str">
        <f>IFERROR(IF(VLOOKUP(Tabla5810[[#This Row],[Cod trabalhador]],'Altas Luminous'!B:E,1,0)&lt;&gt;"","LM",""),"")</f>
        <v/>
      </c>
      <c r="H71" s="51" t="str">
        <f>IFERROR(VLOOKUP(Tabla5810[[#This Row],[Cod trabalhador]],'Altas Luminous'!B:E,3,FALSE),"")</f>
        <v/>
      </c>
      <c r="I71" s="51" t="str">
        <f>IF(OR(Tabla5810[[#This Row],[Cod trabalhador]]="",ISBLANK(Tabla5810[[#This Row],[Cod trabalhador]])),"",IFERROR(IF(VLOOKUP(Tabla5810[[#This Row],[Cod trabalhador]],'Altas Luminous'!B:E,4,FALSE)=0,"",VLOOKUP(Tabla5810[[#This Row],[Cod trabalhador]],'Altas Luminous'!B:E,4,FALSE)),""))</f>
        <v/>
      </c>
      <c r="J71" s="44">
        <f t="shared" si="2"/>
        <v>0</v>
      </c>
      <c r="K71" s="44" t="s">
        <v>7119</v>
      </c>
      <c r="L71" s="24" t="str">
        <f>IFERROR(IF(Tabla5810[[#This Row],[Cod trabalhador]]="",Tabla5810[[#This Row],[Cod trabalhador]], INDEX(Colaborador_ID[Nombre], MATCH(Tabla5810[[#This Row],[Cod trabalhador]],Colaborador_ID[Cod_colab], 0))), "")</f>
        <v>JOSE GUILLERMO PENA BARRERA</v>
      </c>
      <c r="N71" s="25" t="s">
        <v>7109</v>
      </c>
      <c r="O71" s="401">
        <f>IFERROR(VLOOKUP(Tabla5810[[#This Row],[Cod trabalhador]],Tabla15[],4,FALSE),"")</f>
        <v>15</v>
      </c>
      <c r="P71" s="232">
        <f>IFERROR(VLOOKUP(Tabla5810[[#This Row],[Cod trabalhador]],'TotalHorasAjustadas (2)'!D:L,8,FALSE),"")</f>
        <v>169</v>
      </c>
      <c r="Q71" s="27">
        <v>169</v>
      </c>
      <c r="R71" s="28" t="s">
        <v>7471</v>
      </c>
      <c r="S71" s="28" t="s">
        <v>7486</v>
      </c>
      <c r="U71" s="25"/>
      <c r="V71" s="26"/>
      <c r="W71" s="27"/>
      <c r="X71" s="102"/>
      <c r="Y71" s="28"/>
      <c r="Z71" s="149"/>
      <c r="AA71" s="392" t="str">
        <f>IFERROR(VLOOKUP(Tabla5810[[#This Row],[Cod trabalhador]],Alojamentos!B:P,11,FALSE),"")</f>
        <v/>
      </c>
      <c r="AB71" s="127"/>
      <c r="AC71" s="150"/>
      <c r="AD71" s="35">
        <f>Tabla5810[[#This Row],[Dias de alta]]*7.058</f>
        <v>0</v>
      </c>
      <c r="AE71" s="46" t="str">
        <f>IFERROR(VLOOKUP(Tabla5810[[#This Row],[Cod trabalhador]],Adiantamentos!B:L,7,FALSE),"")</f>
        <v/>
      </c>
      <c r="AF71" s="46" t="str">
        <f>IFERROR(VLOOKUP(Tabla5810[[#This Row],[Cod trabalhador]],Carro!B:D,3,FALSE),"")</f>
        <v/>
      </c>
      <c r="AG71" s="46" t="str">
        <f>IFERROR(VLOOKUP(Tabla5810[[#This Row],[Cod trabalhador]],'Outros descontos'!B:O,7,FALSE),"")</f>
        <v/>
      </c>
      <c r="AH71" s="46" t="str">
        <f>IFERROR(VLOOKUP(Tabla5810[[#This Row],[Cod trabalhador]],'Outros descontos'!B:M,8,FALSE),"")</f>
        <v/>
      </c>
      <c r="AI71" s="46" t="str">
        <f>IFERROR(VLOOKUP(Tabla5810[[#This Row],[Cod trabalhador]],'Outros descontos'!B:M,9,FALSE),"")</f>
        <v/>
      </c>
      <c r="AJ71" s="46" t="str">
        <f>IFERROR(VLOOKUP(Tabla5810[[#This Row],[Cod trabalhador]],'Outros descontos'!B:M,10,FALSE),"")</f>
        <v/>
      </c>
      <c r="AK71" s="46" t="str">
        <f>IFERROR(VLOOKUP(Tabla5810[[#This Row],[Cod trabalhador]],'Outros descontos'!B:M,11,FALSE),"")</f>
        <v/>
      </c>
      <c r="AL71" s="46" t="str">
        <f>IFERROR(VLOOKUP(Tabla5810[[#This Row],[Cod trabalhador]],'Outros descontos'!B:M,12,FALSE),"")</f>
        <v/>
      </c>
      <c r="AM71" s="46" t="str">
        <f>IFERROR(VLOOKUP(Tabla5810[[#This Row],[Cod trabalhador]],'Outros descontos'!B:M,13,FALSE),"")</f>
        <v/>
      </c>
      <c r="AN71" s="393"/>
      <c r="AO71" s="37">
        <v>4.08</v>
      </c>
      <c r="AP71" s="15"/>
      <c r="AQ71"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2530.92</v>
      </c>
      <c r="AR71"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2530.92</v>
      </c>
      <c r="AS71" s="15"/>
      <c r="AT71" s="27" t="str">
        <f>IF(Tabla5810[[#This Row],[Cod trabalhador]]="", "", INDEX(Iban!C:C, MATCH(Tabla5810[[#This Row],[Cod trabalhador]],Iban!A:A, 0)))</f>
        <v>ES31 0182 5011 1202 0224 2098</v>
      </c>
      <c r="AU71" s="27"/>
      <c r="AV71" s="27"/>
      <c r="AW71" s="66" t="s">
        <v>7533</v>
      </c>
      <c r="AX71" s="296" t="s">
        <v>7472</v>
      </c>
    </row>
    <row r="72" spans="1:50" ht="18.75" customHeight="1" x14ac:dyDescent="0.3">
      <c r="A72" s="42">
        <v>67</v>
      </c>
      <c r="B72" s="39" t="s">
        <v>4032</v>
      </c>
      <c r="C72" s="45" t="str">
        <f>IF(ISNUMBER(MATCH(Tabla5810[[#This Row],[Cod trabalhador]],'Altas Luminous'!B:B, 0)), "Ativo", "Não ativo")</f>
        <v>Ativo</v>
      </c>
      <c r="D72" s="44" t="str">
        <f>IFERROR(IF(VLOOKUP(Tabla5810[[#This Row],[Cod trabalhador]],'Altas Industrial'!B:E,1,0)&lt;&gt;"","KI",""),"")</f>
        <v/>
      </c>
      <c r="E72" s="44" t="str">
        <f>IFERROR(IF(VLOOKUP(Tabla5810[[#This Row],[Cod trabalhador]],'Altas Rosas'!B:F,1,0)&lt;&gt;"","KR",""),"")</f>
        <v/>
      </c>
      <c r="F72" s="44" t="str">
        <f>IFERROR(IF(VLOOKUP(Tabla5810[[#This Row],[Cod trabalhador]],'Altas Wiseowe'!B:E,1,0)&lt;&gt;"","WS",""),"")</f>
        <v/>
      </c>
      <c r="G72" s="44" t="str">
        <f>IFERROR(IF(VLOOKUP(Tabla5810[[#This Row],[Cod trabalhador]],'Altas Luminous'!B:E,1,0)&lt;&gt;"","LM",""),"")</f>
        <v>LM</v>
      </c>
      <c r="H72" s="51">
        <f>IFERROR(VLOOKUP(Tabla5810[[#This Row],[Cod trabalhador]],'Altas Luminous'!B:E,3,FALSE),"")</f>
        <v>45931</v>
      </c>
      <c r="I72" s="51" t="str">
        <f>IF(OR(Tabla5810[[#This Row],[Cod trabalhador]]="",ISBLANK(Tabla5810[[#This Row],[Cod trabalhador]])),"",IFERROR(IF(VLOOKUP(Tabla5810[[#This Row],[Cod trabalhador]],'Altas Luminous'!B:E,4,FALSE)=0,"",VLOOKUP(Tabla5810[[#This Row],[Cod trabalhador]],'Altas Luminous'!B:E,4,FALSE)),""))</f>
        <v/>
      </c>
      <c r="J72" s="44">
        <f t="shared" si="2"/>
        <v>31</v>
      </c>
      <c r="K72" s="44" t="s">
        <v>7118</v>
      </c>
      <c r="L72" s="24" t="str">
        <f>IFERROR(IF(Tabla5810[[#This Row],[Cod trabalhador]]="",Tabla5810[[#This Row],[Cod trabalhador]], INDEX(Colaborador_ID[Nombre], MATCH(Tabla5810[[#This Row],[Cod trabalhador]],Colaborador_ID[Cod_colab], 0))), "")</f>
        <v>JOSE HERNAN RODRIGUEZ</v>
      </c>
      <c r="N72" s="25" t="s">
        <v>7109</v>
      </c>
      <c r="O72" s="401">
        <f>IFERROR(VLOOKUP(Tabla5810[[#This Row],[Cod trabalhador]],Tabla15[],4,FALSE),"")</f>
        <v>17</v>
      </c>
      <c r="P72" s="232">
        <f>IFERROR(VLOOKUP(Tabla5810[[#This Row],[Cod trabalhador]],'TotalHorasAjustadas (2)'!D:L,8,FALSE),"")</f>
        <v>169</v>
      </c>
      <c r="Q72" s="27">
        <v>169</v>
      </c>
      <c r="R72" s="28" t="s">
        <v>7471</v>
      </c>
      <c r="S72" s="28" t="s">
        <v>7486</v>
      </c>
      <c r="U72" s="25"/>
      <c r="V72" s="26"/>
      <c r="W72" s="27"/>
      <c r="X72" s="102"/>
      <c r="Y72" s="28"/>
      <c r="Z72" s="149"/>
      <c r="AA72" s="392">
        <f>IFERROR(VLOOKUP(Tabla5810[[#This Row],[Cod trabalhador]],Alojamentos!B:P,11,FALSE),"")</f>
        <v>300</v>
      </c>
      <c r="AB72" s="127"/>
      <c r="AC72" s="150"/>
      <c r="AD72" s="35">
        <f>Tabla5810[[#This Row],[Dias de alta]]*7.058</f>
        <v>218.798</v>
      </c>
      <c r="AE72" s="46" t="str">
        <f>IFERROR(VLOOKUP(Tabla5810[[#This Row],[Cod trabalhador]],Adiantamentos!B:L,7,FALSE),"")</f>
        <v/>
      </c>
      <c r="AF72" s="46" t="str">
        <f>IFERROR(VLOOKUP(Tabla5810[[#This Row],[Cod trabalhador]],Carro!B:D,3,FALSE),"")</f>
        <v/>
      </c>
      <c r="AG72" s="46" t="str">
        <f>IFERROR(VLOOKUP(Tabla5810[[#This Row],[Cod trabalhador]],'Outros descontos'!B:O,7,FALSE),"")</f>
        <v/>
      </c>
      <c r="AH72" s="46" t="str">
        <f>IFERROR(VLOOKUP(Tabla5810[[#This Row],[Cod trabalhador]],'Outros descontos'!B:M,8,FALSE),"")</f>
        <v/>
      </c>
      <c r="AI72" s="46" t="str">
        <f>IFERROR(VLOOKUP(Tabla5810[[#This Row],[Cod trabalhador]],'Outros descontos'!B:M,9,FALSE),"")</f>
        <v/>
      </c>
      <c r="AJ72" s="46" t="str">
        <f>IFERROR(VLOOKUP(Tabla5810[[#This Row],[Cod trabalhador]],'Outros descontos'!B:M,10,FALSE),"")</f>
        <v/>
      </c>
      <c r="AK72" s="46" t="str">
        <f>IFERROR(VLOOKUP(Tabla5810[[#This Row],[Cod trabalhador]],'Outros descontos'!B:M,11,FALSE),"")</f>
        <v/>
      </c>
      <c r="AL72" s="46" t="str">
        <f>IFERROR(VLOOKUP(Tabla5810[[#This Row],[Cod trabalhador]],'Outros descontos'!B:M,12,FALSE),"")</f>
        <v/>
      </c>
      <c r="AM72" s="46" t="str">
        <f>IFERROR(VLOOKUP(Tabla5810[[#This Row],[Cod trabalhador]],'Outros descontos'!B:M,13,FALSE),"")</f>
        <v/>
      </c>
      <c r="AN72" s="393"/>
      <c r="AO72" s="37">
        <v>4.08</v>
      </c>
      <c r="AP72" s="15"/>
      <c r="AQ72"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2950.1220000000003</v>
      </c>
      <c r="AR72"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2950.1220000000003</v>
      </c>
      <c r="AS72" s="15"/>
      <c r="AT72" s="27" t="str">
        <f>IF(Tabla5810[[#This Row],[Cod trabalhador]]="", "", INDEX(Iban!C:C, MATCH(Tabla5810[[#This Row],[Cod trabalhador]],Iban!A:A, 0)))</f>
        <v>ES46 0182 5011 1402 0222 8926</v>
      </c>
      <c r="AU72" s="27"/>
      <c r="AV72" s="27"/>
      <c r="AW72" s="66" t="s">
        <v>7533</v>
      </c>
      <c r="AX72" s="296" t="s">
        <v>7472</v>
      </c>
    </row>
    <row r="73" spans="1:50" ht="18.75" customHeight="1" x14ac:dyDescent="0.3">
      <c r="A73" s="42">
        <v>68</v>
      </c>
      <c r="B73" s="39" t="s">
        <v>4119</v>
      </c>
      <c r="C73" s="45" t="str">
        <f>IF(ISNUMBER(MATCH(Tabla5810[[#This Row],[Cod trabalhador]],'Altas Luminous'!B:B, 0)), "Ativo", "Não ativo")</f>
        <v>Ativo</v>
      </c>
      <c r="D73" s="44" t="str">
        <f>IFERROR(IF(VLOOKUP(Tabla5810[[#This Row],[Cod trabalhador]],'Altas Industrial'!B:E,1,0)&lt;&gt;"","KI",""),"")</f>
        <v/>
      </c>
      <c r="E73" s="44" t="str">
        <f>IFERROR(IF(VLOOKUP(Tabla5810[[#This Row],[Cod trabalhador]],'Altas Rosas'!B:F,1,0)&lt;&gt;"","KR",""),"")</f>
        <v/>
      </c>
      <c r="F73" s="44" t="str">
        <f>IFERROR(IF(VLOOKUP(Tabla5810[[#This Row],[Cod trabalhador]],'Altas Wiseowe'!B:E,1,0)&lt;&gt;"","WS",""),"")</f>
        <v/>
      </c>
      <c r="G73" s="44" t="str">
        <f>IFERROR(IF(VLOOKUP(Tabla5810[[#This Row],[Cod trabalhador]],'Altas Luminous'!B:E,1,0)&lt;&gt;"","LM",""),"")</f>
        <v>LM</v>
      </c>
      <c r="H73" s="51">
        <f>IFERROR(VLOOKUP(Tabla5810[[#This Row],[Cod trabalhador]],'Altas Luminous'!B:E,3,FALSE),"")</f>
        <v>46034</v>
      </c>
      <c r="I73" s="51">
        <f>IF(OR(Tabla5810[[#This Row],[Cod trabalhador]]="",ISBLANK(Tabla5810[[#This Row],[Cod trabalhador]])),"",IFERROR(IF(VLOOKUP(Tabla5810[[#This Row],[Cod trabalhador]],'Altas Luminous'!B:E,4,FALSE)=0,"",VLOOKUP(Tabla5810[[#This Row],[Cod trabalhador]],'Altas Luminous'!B:E,4,FALSE)),""))</f>
        <v>46036</v>
      </c>
      <c r="J73" s="44">
        <f t="shared" si="2"/>
        <v>3</v>
      </c>
      <c r="K73" s="44" t="s">
        <v>4120</v>
      </c>
      <c r="L73" s="24" t="str">
        <f>IFERROR(IF(Tabla5810[[#This Row],[Cod trabalhador]]="",Tabla5810[[#This Row],[Cod trabalhador]], INDEX(Colaborador_ID[Nombre], MATCH(Tabla5810[[#This Row],[Cod trabalhador]],Colaborador_ID[Cod_colab], 0))), "")</f>
        <v>JOSE MANUEL MENDOZA SARA</v>
      </c>
      <c r="N73" s="25" t="s">
        <v>7109</v>
      </c>
      <c r="O73" s="401">
        <v>15</v>
      </c>
      <c r="P73" s="232">
        <f>IFERROR(VLOOKUP(Tabla5810[[#This Row],[Cod trabalhador]],'TotalHorasAjustadas (2)'!D:L,8,FALSE),"")</f>
        <v>34</v>
      </c>
      <c r="Q73" s="27">
        <v>34</v>
      </c>
      <c r="R73" s="28" t="s">
        <v>7471</v>
      </c>
      <c r="S73" s="28" t="s">
        <v>7486</v>
      </c>
      <c r="U73" s="25"/>
      <c r="V73" s="26"/>
      <c r="W73" s="27"/>
      <c r="X73" s="102"/>
      <c r="Y73" s="28"/>
      <c r="Z73" s="149"/>
      <c r="AA73" s="392" t="str">
        <f>IFERROR(VLOOKUP(Tabla5810[[#This Row],[Cod trabalhador]],Alojamentos!B:P,11,FALSE),"")</f>
        <v/>
      </c>
      <c r="AB73" s="127"/>
      <c r="AC73" s="150"/>
      <c r="AD73" s="35">
        <f>Tabla5810[[#This Row],[Dias de alta]]*7.058</f>
        <v>21.173999999999999</v>
      </c>
      <c r="AE73" s="46" t="str">
        <f>IFERROR(VLOOKUP(Tabla5810[[#This Row],[Cod trabalhador]],Adiantamentos!B:L,7,FALSE),"")</f>
        <v/>
      </c>
      <c r="AF73" s="46" t="str">
        <f>IFERROR(VLOOKUP(Tabla5810[[#This Row],[Cod trabalhador]],Carro!B:D,3,FALSE),"")</f>
        <v/>
      </c>
      <c r="AG73" s="46" t="str">
        <f>IFERROR(VLOOKUP(Tabla5810[[#This Row],[Cod trabalhador]],'Outros descontos'!B:O,7,FALSE),"")</f>
        <v/>
      </c>
      <c r="AH73" s="46" t="str">
        <f>IFERROR(VLOOKUP(Tabla5810[[#This Row],[Cod trabalhador]],'Outros descontos'!B:M,8,FALSE),"")</f>
        <v/>
      </c>
      <c r="AI73" s="46" t="str">
        <f>IFERROR(VLOOKUP(Tabla5810[[#This Row],[Cod trabalhador]],'Outros descontos'!B:M,9,FALSE),"")</f>
        <v/>
      </c>
      <c r="AJ73" s="46" t="str">
        <f>IFERROR(VLOOKUP(Tabla5810[[#This Row],[Cod trabalhador]],'Outros descontos'!B:M,10,FALSE),"")</f>
        <v/>
      </c>
      <c r="AK73" s="46" t="str">
        <f>IFERROR(VLOOKUP(Tabla5810[[#This Row],[Cod trabalhador]],'Outros descontos'!B:M,11,FALSE),"")</f>
        <v/>
      </c>
      <c r="AL73" s="46" t="str">
        <f>IFERROR(VLOOKUP(Tabla5810[[#This Row],[Cod trabalhador]],'Outros descontos'!B:M,12,FALSE),"")</f>
        <v/>
      </c>
      <c r="AM73" s="46" t="str">
        <f>IFERROR(VLOOKUP(Tabla5810[[#This Row],[Cod trabalhador]],'Outros descontos'!B:M,13,FALSE),"")</f>
        <v/>
      </c>
      <c r="AN73" s="393"/>
      <c r="AO73" s="37">
        <v>4.08</v>
      </c>
      <c r="AP73" s="15"/>
      <c r="AQ73"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484.74600000000004</v>
      </c>
      <c r="AR73"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484.74600000000004</v>
      </c>
      <c r="AS73" s="15"/>
      <c r="AT73" s="27" t="str">
        <f>IF(Tabla5810[[#This Row],[Cod trabalhador]]="", "", INDEX(Iban!C:C, MATCH(Tabla5810[[#This Row],[Cod trabalhador]],Iban!A:A, 0)))</f>
        <v>BE52 9050 3305 7809</v>
      </c>
      <c r="AU73" s="27"/>
      <c r="AV73" s="27"/>
      <c r="AW73" s="66" t="s">
        <v>7533</v>
      </c>
      <c r="AX73" s="296" t="s">
        <v>7472</v>
      </c>
    </row>
    <row r="74" spans="1:50" ht="18.75" customHeight="1" x14ac:dyDescent="0.3">
      <c r="A74" s="42">
        <v>69</v>
      </c>
      <c r="B74" s="39" t="s">
        <v>4168</v>
      </c>
      <c r="C74" s="45" t="str">
        <f>IF(ISNUMBER(MATCH(Tabla5810[[#This Row],[Cod trabalhador]],'Altas Luminous'!B:B, 0)), "Ativo", "Não ativo")</f>
        <v>Não ativo</v>
      </c>
      <c r="D74" s="44" t="str">
        <f>IFERROR(IF(VLOOKUP(Tabla5810[[#This Row],[Cod trabalhador]],'Altas Industrial'!B:E,1,0)&lt;&gt;"","KI",""),"")</f>
        <v/>
      </c>
      <c r="E74" s="44" t="str">
        <f>IFERROR(IF(VLOOKUP(Tabla5810[[#This Row],[Cod trabalhador]],'Altas Rosas'!B:F,1,0)&lt;&gt;"","KR",""),"")</f>
        <v/>
      </c>
      <c r="F74" s="44" t="str">
        <f>IFERROR(IF(VLOOKUP(Tabla5810[[#This Row],[Cod trabalhador]],'Altas Wiseowe'!B:E,1,0)&lt;&gt;"","WS",""),"")</f>
        <v/>
      </c>
      <c r="G74" s="44" t="str">
        <f>IFERROR(IF(VLOOKUP(Tabla5810[[#This Row],[Cod trabalhador]],'Altas Luminous'!B:E,1,0)&lt;&gt;"","LM",""),"")</f>
        <v/>
      </c>
      <c r="H74" s="51" t="str">
        <f>IFERROR(VLOOKUP(Tabla5810[[#This Row],[Cod trabalhador]],'Altas Luminous'!B:E,3,FALSE),"")</f>
        <v/>
      </c>
      <c r="I74" s="51" t="str">
        <f>IF(OR(Tabla5810[[#This Row],[Cod trabalhador]]="",ISBLANK(Tabla5810[[#This Row],[Cod trabalhador]])),"",IFERROR(IF(VLOOKUP(Tabla5810[[#This Row],[Cod trabalhador]],'Altas Luminous'!B:E,4,FALSE)=0,"",VLOOKUP(Tabla5810[[#This Row],[Cod trabalhador]],'Altas Luminous'!B:E,4,FALSE)),""))</f>
        <v/>
      </c>
      <c r="J74" s="44">
        <f t="shared" si="2"/>
        <v>0</v>
      </c>
      <c r="K74" s="413" t="s">
        <v>4169</v>
      </c>
      <c r="L74" s="24" t="str">
        <f>IFERROR(IF(Tabla5810[[#This Row],[Cod trabalhador]]="",Tabla5810[[#This Row],[Cod trabalhador]], INDEX(Colaborador_ID[Nombre], MATCH(Tabla5810[[#This Row],[Cod trabalhador]],Colaborador_ID[Cod_colab], 0))), "")</f>
        <v>JOSEPH ESTIVENS NIETO FERNANDEZ</v>
      </c>
      <c r="N74" s="25" t="s">
        <v>7109</v>
      </c>
      <c r="O74" s="401">
        <f>IFERROR(VLOOKUP(Tabla5810[[#This Row],[Cod trabalhador]],Tabla15[],4,FALSE),"")</f>
        <v>16</v>
      </c>
      <c r="P74" s="232">
        <f>IFERROR(VLOOKUP(Tabla5810[[#This Row],[Cod trabalhador]],'TotalHorasAjustadas (2)'!D:L,8,FALSE),"")</f>
        <v>173</v>
      </c>
      <c r="Q74" s="27">
        <v>174</v>
      </c>
      <c r="R74" s="28" t="s">
        <v>7471</v>
      </c>
      <c r="S74" s="28" t="s">
        <v>7486</v>
      </c>
      <c r="U74" s="25"/>
      <c r="V74" s="26"/>
      <c r="W74" s="27"/>
      <c r="X74" s="102"/>
      <c r="Y74" s="28"/>
      <c r="Z74" s="149"/>
      <c r="AA74" s="392">
        <f>IFERROR(VLOOKUP(Tabla5810[[#This Row],[Cod trabalhador]],Alojamentos!B:P,11,FALSE),"")</f>
        <v>300</v>
      </c>
      <c r="AB74" s="127"/>
      <c r="AC74" s="150"/>
      <c r="AD74" s="35">
        <f>Tabla5810[[#This Row],[Dias de alta]]*7.058</f>
        <v>0</v>
      </c>
      <c r="AE74" s="46" t="str">
        <f>IFERROR(VLOOKUP(Tabla5810[[#This Row],[Cod trabalhador]],Adiantamentos!B:L,7,FALSE),"")</f>
        <v/>
      </c>
      <c r="AF74" s="46" t="str">
        <f>IFERROR(VLOOKUP(Tabla5810[[#This Row],[Cod trabalhador]],Carro!B:D,3,FALSE),"")</f>
        <v/>
      </c>
      <c r="AG74" s="46" t="str">
        <f>IFERROR(VLOOKUP(Tabla5810[[#This Row],[Cod trabalhador]],'Outros descontos'!B:O,7,FALSE),"")</f>
        <v/>
      </c>
      <c r="AH74" s="46" t="str">
        <f>IFERROR(VLOOKUP(Tabla5810[[#This Row],[Cod trabalhador]],'Outros descontos'!B:M,8,FALSE),"")</f>
        <v/>
      </c>
      <c r="AI74" s="46" t="str">
        <f>IFERROR(VLOOKUP(Tabla5810[[#This Row],[Cod trabalhador]],'Outros descontos'!B:M,9,FALSE),"")</f>
        <v/>
      </c>
      <c r="AJ74" s="46" t="str">
        <f>IFERROR(VLOOKUP(Tabla5810[[#This Row],[Cod trabalhador]],'Outros descontos'!B:M,10,FALSE),"")</f>
        <v/>
      </c>
      <c r="AK74" s="46" t="str">
        <f>IFERROR(VLOOKUP(Tabla5810[[#This Row],[Cod trabalhador]],'Outros descontos'!B:M,11,FALSE),"")</f>
        <v/>
      </c>
      <c r="AL74" s="46" t="str">
        <f>IFERROR(VLOOKUP(Tabla5810[[#This Row],[Cod trabalhador]],'Outros descontos'!B:M,12,FALSE),"")</f>
        <v/>
      </c>
      <c r="AM74" s="46" t="str">
        <f>IFERROR(VLOOKUP(Tabla5810[[#This Row],[Cod trabalhador]],'Outros descontos'!B:M,13,FALSE),"")</f>
        <v/>
      </c>
      <c r="AN74" s="393"/>
      <c r="AO74" s="37">
        <v>4.08</v>
      </c>
      <c r="AP74" s="15"/>
      <c r="AQ74"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3063.92</v>
      </c>
      <c r="AR74"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3079.92</v>
      </c>
      <c r="AS74" s="15"/>
      <c r="AT74" s="27" t="str">
        <f>IF(Tabla5810[[#This Row],[Cod trabalhador]]="", "", INDEX(Iban!C:C, MATCH(Tabla5810[[#This Row],[Cod trabalhador]],Iban!A:A, 0)))</f>
        <v>ES96 2100 0536 3202 0067 9389</v>
      </c>
      <c r="AU74" s="27"/>
      <c r="AV74" s="27"/>
      <c r="AW74" s="66" t="s">
        <v>7533</v>
      </c>
      <c r="AX74" s="296" t="s">
        <v>7472</v>
      </c>
    </row>
    <row r="75" spans="1:50" ht="18.75" customHeight="1" x14ac:dyDescent="0.3">
      <c r="A75" s="42">
        <v>70</v>
      </c>
      <c r="B75" s="39" t="s">
        <v>4193</v>
      </c>
      <c r="C75" s="45" t="str">
        <f>IF(ISNUMBER(MATCH(Tabla5810[[#This Row],[Cod trabalhador]],'Altas Luminous'!B:B, 0)), "Ativo", "Não ativo")</f>
        <v>Não ativo</v>
      </c>
      <c r="D75" s="44" t="str">
        <f>IFERROR(IF(VLOOKUP(Tabla5810[[#This Row],[Cod trabalhador]],'Altas Industrial'!B:E,1,0)&lt;&gt;"","KI",""),"")</f>
        <v/>
      </c>
      <c r="E75" s="44" t="str">
        <f>IFERROR(IF(VLOOKUP(Tabla5810[[#This Row],[Cod trabalhador]],'Altas Rosas'!B:F,1,0)&lt;&gt;"","KR",""),"")</f>
        <v/>
      </c>
      <c r="F75" s="44" t="str">
        <f>IFERROR(IF(VLOOKUP(Tabla5810[[#This Row],[Cod trabalhador]],'Altas Wiseowe'!B:E,1,0)&lt;&gt;"","WS",""),"")</f>
        <v/>
      </c>
      <c r="G75" s="44" t="str">
        <f>IFERROR(IF(VLOOKUP(Tabla5810[[#This Row],[Cod trabalhador]],'Altas Luminous'!B:E,1,0)&lt;&gt;"","LM",""),"")</f>
        <v/>
      </c>
      <c r="H75" s="51" t="str">
        <f>IFERROR(VLOOKUP(Tabla5810[[#This Row],[Cod trabalhador]],'Altas Luminous'!B:E,3,FALSE),"")</f>
        <v/>
      </c>
      <c r="I75" s="51" t="str">
        <f>IF(OR(Tabla5810[[#This Row],[Cod trabalhador]]="",ISBLANK(Tabla5810[[#This Row],[Cod trabalhador]])),"",IFERROR(IF(VLOOKUP(Tabla5810[[#This Row],[Cod trabalhador]],'Altas Luminous'!B:E,4,FALSE)=0,"",VLOOKUP(Tabla5810[[#This Row],[Cod trabalhador]],'Altas Luminous'!B:E,4,FALSE)),""))</f>
        <v/>
      </c>
      <c r="J75" s="44">
        <f t="shared" si="2"/>
        <v>0</v>
      </c>
      <c r="K75" s="44" t="s">
        <v>7080</v>
      </c>
      <c r="L75" s="24" t="str">
        <f>IFERROR(IF(Tabla5810[[#This Row],[Cod trabalhador]]="",Tabla5810[[#This Row],[Cod trabalhador]], INDEX(Colaborador_ID[Nombre], MATCH(Tabla5810[[#This Row],[Cod trabalhador]],Colaborador_ID[Cod_colab], 0))), "")</f>
        <v>JUAN ALBERTO RODRIGUEZ</v>
      </c>
      <c r="M75" s="340"/>
      <c r="N75" s="23" t="s">
        <v>7077</v>
      </c>
      <c r="O75" s="401">
        <f>IFERROR(VLOOKUP(Tabla5810[[#This Row],[Cod trabalhador]],Tabla15[],4,FALSE),"")</f>
        <v>15</v>
      </c>
      <c r="P75" s="232">
        <f>IFERROR(VLOOKUP(Tabla5810[[#This Row],[Cod trabalhador]],'TotalHorasAjustadas (2)'!D:L,8,FALSE),"")</f>
        <v>178</v>
      </c>
      <c r="Q75" s="27">
        <v>178</v>
      </c>
      <c r="R75" s="28" t="s">
        <v>7532</v>
      </c>
      <c r="S75" s="28" t="s">
        <v>7486</v>
      </c>
      <c r="U75" s="96"/>
      <c r="V75" s="231"/>
      <c r="X75" s="28"/>
      <c r="Y75" s="28"/>
      <c r="Z75" s="149"/>
      <c r="AA75" s="392" t="str">
        <f>IFERROR(VLOOKUP(Tabla5810[[#This Row],[Cod trabalhador]],Alojamentos!B:P,11,FALSE),"")</f>
        <v/>
      </c>
      <c r="AB75" s="127"/>
      <c r="AC75" s="150"/>
      <c r="AD75" s="35">
        <f>Tabla5810[[#This Row],[Dias de alta]]*7.058</f>
        <v>0</v>
      </c>
      <c r="AE75" s="46" t="str">
        <f>IFERROR(VLOOKUP(Tabla5810[[#This Row],[Cod trabalhador]],Adiantamentos!B:L,7,FALSE),"")</f>
        <v/>
      </c>
      <c r="AF75" s="46" t="str">
        <f>IFERROR(VLOOKUP(Tabla5810[[#This Row],[Cod trabalhador]],Carro!B:D,3,FALSE),"")</f>
        <v/>
      </c>
      <c r="AG75" s="46" t="str">
        <f>IFERROR(VLOOKUP(Tabla5810[[#This Row],[Cod trabalhador]],'Outros descontos'!B:O,7,FALSE),"")</f>
        <v/>
      </c>
      <c r="AH75" s="46" t="str">
        <f>IFERROR(VLOOKUP(Tabla5810[[#This Row],[Cod trabalhador]],'Outros descontos'!B:M,8,FALSE),"")</f>
        <v/>
      </c>
      <c r="AI75" s="46" t="str">
        <f>IFERROR(VLOOKUP(Tabla5810[[#This Row],[Cod trabalhador]],'Outros descontos'!B:M,9,FALSE),"")</f>
        <v/>
      </c>
      <c r="AJ75" s="46" t="str">
        <f>IFERROR(VLOOKUP(Tabla5810[[#This Row],[Cod trabalhador]],'Outros descontos'!B:M,10,FALSE),"")</f>
        <v/>
      </c>
      <c r="AK75" s="46" t="str">
        <f>IFERROR(VLOOKUP(Tabla5810[[#This Row],[Cod trabalhador]],'Outros descontos'!B:M,11,FALSE),"")</f>
        <v/>
      </c>
      <c r="AL75" s="46" t="str">
        <f>IFERROR(VLOOKUP(Tabla5810[[#This Row],[Cod trabalhador]],'Outros descontos'!B:M,12,FALSE),"")</f>
        <v/>
      </c>
      <c r="AM75" s="46" t="str">
        <f>IFERROR(VLOOKUP(Tabla5810[[#This Row],[Cod trabalhador]],'Outros descontos'!B:M,13,FALSE),"")</f>
        <v/>
      </c>
      <c r="AN75" s="393"/>
      <c r="AO75" s="37">
        <v>4.08</v>
      </c>
      <c r="AQ75"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2665.92</v>
      </c>
      <c r="AR75"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2665.92</v>
      </c>
      <c r="AT75" s="27" t="str">
        <f>IF(Tabla5810[[#This Row],[Cod trabalhador]]="", "", INDEX(Iban!C:C, MATCH(Tabla5810[[#This Row],[Cod trabalhador]],Iban!A:A, 0)))</f>
        <v>ES84 0182 0845 1302 0220 7574</v>
      </c>
      <c r="AU75" s="27"/>
      <c r="AV75" s="27"/>
      <c r="AW75" s="66" t="s">
        <v>7533</v>
      </c>
      <c r="AX75" s="296" t="s">
        <v>7472</v>
      </c>
    </row>
    <row r="76" spans="1:50" ht="18.75" customHeight="1" x14ac:dyDescent="0.3">
      <c r="A76" s="42">
        <v>71</v>
      </c>
      <c r="B76" s="39" t="s">
        <v>4197</v>
      </c>
      <c r="C76" s="45" t="str">
        <f>IF(ISNUMBER(MATCH(Tabla5810[[#This Row],[Cod trabalhador]],'Altas Luminous'!B:B, 0)), "Ativo", "Não ativo")</f>
        <v>Ativo</v>
      </c>
      <c r="D76" s="44" t="str">
        <f>IFERROR(IF(VLOOKUP(Tabla5810[[#This Row],[Cod trabalhador]],'Altas Industrial'!B:E,1,0)&lt;&gt;"","KI",""),"")</f>
        <v/>
      </c>
      <c r="E76" s="44" t="str">
        <f>IFERROR(IF(VLOOKUP(Tabla5810[[#This Row],[Cod trabalhador]],'Altas Rosas'!B:F,1,0)&lt;&gt;"","KR",""),"")</f>
        <v/>
      </c>
      <c r="F76" s="44" t="str">
        <f>IFERROR(IF(VLOOKUP(Tabla5810[[#This Row],[Cod trabalhador]],'Altas Wiseowe'!B:E,1,0)&lt;&gt;"","WS",""),"")</f>
        <v/>
      </c>
      <c r="G76" s="44" t="str">
        <f>IFERROR(IF(VLOOKUP(Tabla5810[[#This Row],[Cod trabalhador]],'Altas Luminous'!B:E,1,0)&lt;&gt;"","LM",""),"")</f>
        <v>LM</v>
      </c>
      <c r="H76" s="51">
        <f>IFERROR(VLOOKUP(Tabla5810[[#This Row],[Cod trabalhador]],'Altas Luminous'!B:E,3,FALSE),"")</f>
        <v>46034</v>
      </c>
      <c r="I76" s="51">
        <f>IF(OR(Tabla5810[[#This Row],[Cod trabalhador]]="",ISBLANK(Tabla5810[[#This Row],[Cod trabalhador]])),"",IFERROR(IF(VLOOKUP(Tabla5810[[#This Row],[Cod trabalhador]],'Altas Luminous'!B:E,4,FALSE)=0,"",VLOOKUP(Tabla5810[[#This Row],[Cod trabalhador]],'Altas Luminous'!B:E,4,FALSE)),""))</f>
        <v>46050</v>
      </c>
      <c r="J76" s="44">
        <f t="shared" si="2"/>
        <v>17</v>
      </c>
      <c r="K76" s="44" t="s">
        <v>7120</v>
      </c>
      <c r="L76" s="24" t="str">
        <f>IFERROR(IF(Tabla5810[[#This Row],[Cod trabalhador]]="",Tabla5810[[#This Row],[Cod trabalhador]], INDEX(Colaborador_ID[Nombre], MATCH(Tabla5810[[#This Row],[Cod trabalhador]],Colaborador_ID[Cod_colab], 0))), "")</f>
        <v>JUAN ANDRES AGUILAR MARIN</v>
      </c>
      <c r="M76" s="340"/>
      <c r="N76" s="23" t="s">
        <v>7109</v>
      </c>
      <c r="O76" s="401">
        <v>14</v>
      </c>
      <c r="P76" s="232">
        <f>IFERROR(VLOOKUP(Tabla5810[[#This Row],[Cod trabalhador]],'TotalHorasAjustadas (2)'!D:L,8,FALSE),"")</f>
        <v>118</v>
      </c>
      <c r="Q76" s="27">
        <v>118</v>
      </c>
      <c r="R76" s="28" t="s">
        <v>7471</v>
      </c>
      <c r="S76" s="28" t="s">
        <v>7486</v>
      </c>
      <c r="U76" s="96"/>
      <c r="V76" s="231"/>
      <c r="X76" s="28"/>
      <c r="Y76" s="28"/>
      <c r="Z76" s="149"/>
      <c r="AA76" s="392" t="str">
        <f>IFERROR(VLOOKUP(Tabla5810[[#This Row],[Cod trabalhador]],Alojamentos!B:P,11,FALSE),"")</f>
        <v/>
      </c>
      <c r="AB76" s="127"/>
      <c r="AC76" s="150"/>
      <c r="AD76" s="35">
        <f>Tabla5810[[#This Row],[Dias de alta]]*7.058</f>
        <v>119.98599999999999</v>
      </c>
      <c r="AE76" s="46" t="str">
        <f>IFERROR(VLOOKUP(Tabla5810[[#This Row],[Cod trabalhador]],Adiantamentos!B:L,7,FALSE),"")</f>
        <v/>
      </c>
      <c r="AF76" s="46" t="str">
        <f>IFERROR(VLOOKUP(Tabla5810[[#This Row],[Cod trabalhador]],Carro!B:D,3,FALSE),"")</f>
        <v/>
      </c>
      <c r="AG76" s="46" t="str">
        <f>IFERROR(VLOOKUP(Tabla5810[[#This Row],[Cod trabalhador]],'Outros descontos'!B:O,7,FALSE),"")</f>
        <v/>
      </c>
      <c r="AH76" s="46" t="str">
        <f>IFERROR(VLOOKUP(Tabla5810[[#This Row],[Cod trabalhador]],'Outros descontos'!B:M,8,FALSE),"")</f>
        <v/>
      </c>
      <c r="AI76" s="46" t="str">
        <f>IFERROR(VLOOKUP(Tabla5810[[#This Row],[Cod trabalhador]],'Outros descontos'!B:M,9,FALSE),"")</f>
        <v/>
      </c>
      <c r="AJ76" s="46" t="str">
        <f>IFERROR(VLOOKUP(Tabla5810[[#This Row],[Cod trabalhador]],'Outros descontos'!B:M,10,FALSE),"")</f>
        <v/>
      </c>
      <c r="AK76" s="46" t="str">
        <f>IFERROR(VLOOKUP(Tabla5810[[#This Row],[Cod trabalhador]],'Outros descontos'!B:M,11,FALSE),"")</f>
        <v/>
      </c>
      <c r="AL76" s="46" t="str">
        <f>IFERROR(VLOOKUP(Tabla5810[[#This Row],[Cod trabalhador]],'Outros descontos'!B:M,12,FALSE),"")</f>
        <v/>
      </c>
      <c r="AM76" s="46" t="str">
        <f>IFERROR(VLOOKUP(Tabla5810[[#This Row],[Cod trabalhador]],'Outros descontos'!B:M,13,FALSE),"")</f>
        <v/>
      </c>
      <c r="AN76" s="393"/>
      <c r="AO76" s="37">
        <v>4.08</v>
      </c>
      <c r="AP76" s="15"/>
      <c r="AQ76"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1527.9340000000002</v>
      </c>
      <c r="AR76"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1527.9340000000002</v>
      </c>
      <c r="AS76" s="15"/>
      <c r="AT76" s="27" t="str">
        <f>IF(Tabla5810[[#This Row],[Cod trabalhador]]="", "", INDEX(Iban!C:C, MATCH(Tabla5810[[#This Row],[Cod trabalhador]],Iban!A:A, 0)))</f>
        <v>ES77 6893 0001 7600 0028 4131</v>
      </c>
      <c r="AU76" s="27"/>
      <c r="AV76" s="27"/>
      <c r="AW76" s="66" t="s">
        <v>7533</v>
      </c>
      <c r="AX76" s="296" t="s">
        <v>7472</v>
      </c>
    </row>
    <row r="77" spans="1:50" ht="18.75" customHeight="1" x14ac:dyDescent="0.3">
      <c r="A77" s="42">
        <v>72</v>
      </c>
      <c r="B77" s="39" t="s">
        <v>4241</v>
      </c>
      <c r="C77" s="45" t="str">
        <f>IF(ISNUMBER(MATCH(Tabla5810[[#This Row],[Cod trabalhador]],'Altas Luminous'!B:B, 0)), "Ativo", "Não ativo")</f>
        <v>Ativo</v>
      </c>
      <c r="D77" s="44" t="str">
        <f>IFERROR(IF(VLOOKUP(Tabla5810[[#This Row],[Cod trabalhador]],'Altas Industrial'!B:E,1,0)&lt;&gt;"","KI",""),"")</f>
        <v/>
      </c>
      <c r="E77" s="44" t="str">
        <f>IFERROR(IF(VLOOKUP(Tabla5810[[#This Row],[Cod trabalhador]],'Altas Rosas'!B:F,1,0)&lt;&gt;"","KR",""),"")</f>
        <v/>
      </c>
      <c r="F77" s="44" t="str">
        <f>IFERROR(IF(VLOOKUP(Tabla5810[[#This Row],[Cod trabalhador]],'Altas Wiseowe'!B:E,1,0)&lt;&gt;"","WS",""),"")</f>
        <v/>
      </c>
      <c r="G77" s="44" t="str">
        <f>IFERROR(IF(VLOOKUP(Tabla5810[[#This Row],[Cod trabalhador]],'Altas Luminous'!B:E,1,0)&lt;&gt;"","LM",""),"")</f>
        <v>LM</v>
      </c>
      <c r="H77" s="51">
        <f>IFERROR(VLOOKUP(Tabla5810[[#This Row],[Cod trabalhador]],'Altas Luminous'!B:E,3,FALSE),"")</f>
        <v>45931</v>
      </c>
      <c r="I77" s="51" t="str">
        <f>IF(OR(Tabla5810[[#This Row],[Cod trabalhador]]="",ISBLANK(Tabla5810[[#This Row],[Cod trabalhador]])),"",IFERROR(IF(VLOOKUP(Tabla5810[[#This Row],[Cod trabalhador]],'Altas Luminous'!B:E,4,FALSE)=0,"",VLOOKUP(Tabla5810[[#This Row],[Cod trabalhador]],'Altas Luminous'!B:E,4,FALSE)),""))</f>
        <v/>
      </c>
      <c r="J77" s="44">
        <f t="shared" si="2"/>
        <v>31</v>
      </c>
      <c r="K77" s="44" t="s">
        <v>4242</v>
      </c>
      <c r="L77" s="24" t="str">
        <f>IFERROR(IF(Tabla5810[[#This Row],[Cod trabalhador]]="",Tabla5810[[#This Row],[Cod trabalhador]], INDEX(Colaborador_ID[Nombre], MATCH(Tabla5810[[#This Row],[Cod trabalhador]],Colaborador_ID[Cod_colab], 0))), "")</f>
        <v>JUAN CARLOS CHAPARRO QUINTERO</v>
      </c>
      <c r="M77" s="340"/>
      <c r="N77" s="23" t="s">
        <v>7109</v>
      </c>
      <c r="O77" s="401">
        <f>IFERROR(VLOOKUP(Tabla5810[[#This Row],[Cod trabalhador]],Tabla15[],4,FALSE),"")</f>
        <v>17</v>
      </c>
      <c r="P77" s="232">
        <f>IFERROR(VLOOKUP(Tabla5810[[#This Row],[Cod trabalhador]],'TotalHorasAjustadas (2)'!D:L,8,FALSE),"")</f>
        <v>203</v>
      </c>
      <c r="Q77" s="27">
        <v>201</v>
      </c>
      <c r="R77" s="28" t="s">
        <v>7471</v>
      </c>
      <c r="S77" s="28" t="s">
        <v>7486</v>
      </c>
      <c r="U77" s="381"/>
      <c r="V77" s="231"/>
      <c r="X77" s="28"/>
      <c r="Y77" s="28"/>
      <c r="Z77" s="149"/>
      <c r="AA77" s="392">
        <f>IFERROR(VLOOKUP(Tabla5810[[#This Row],[Cod trabalhador]],Alojamentos!B:P,11,FALSE),"")</f>
        <v>300</v>
      </c>
      <c r="AB77" s="127"/>
      <c r="AC77" s="150"/>
      <c r="AD77" s="35">
        <f>Tabla5810[[#This Row],[Dias de alta]]*7.058</f>
        <v>218.798</v>
      </c>
      <c r="AE77" s="46">
        <f>IFERROR(VLOOKUP(Tabla5810[[#This Row],[Cod trabalhador]],Adiantamentos!B:L,7,FALSE),"")</f>
        <v>200</v>
      </c>
      <c r="AF77" s="46" t="str">
        <f>IFERROR(VLOOKUP(Tabla5810[[#This Row],[Cod trabalhador]],Carro!B:D,3,FALSE),"")</f>
        <v/>
      </c>
      <c r="AG77" s="46" t="str">
        <f>IFERROR(VLOOKUP(Tabla5810[[#This Row],[Cod trabalhador]],'Outros descontos'!B:O,7,FALSE),"")</f>
        <v/>
      </c>
      <c r="AH77" s="46" t="str">
        <f>IFERROR(VLOOKUP(Tabla5810[[#This Row],[Cod trabalhador]],'Outros descontos'!B:M,8,FALSE),"")</f>
        <v/>
      </c>
      <c r="AI77" s="46" t="str">
        <f>IFERROR(VLOOKUP(Tabla5810[[#This Row],[Cod trabalhador]],'Outros descontos'!B:M,9,FALSE),"")</f>
        <v/>
      </c>
      <c r="AJ77" s="46" t="str">
        <f>IFERROR(VLOOKUP(Tabla5810[[#This Row],[Cod trabalhador]],'Outros descontos'!B:M,10,FALSE),"")</f>
        <v/>
      </c>
      <c r="AK77" s="46" t="str">
        <f>IFERROR(VLOOKUP(Tabla5810[[#This Row],[Cod trabalhador]],'Outros descontos'!B:M,11,FALSE),"")</f>
        <v/>
      </c>
      <c r="AL77" s="46" t="str">
        <f>IFERROR(VLOOKUP(Tabla5810[[#This Row],[Cod trabalhador]],'Outros descontos'!B:M,12,FALSE),"")</f>
        <v/>
      </c>
      <c r="AM77" s="46" t="str">
        <f>IFERROR(VLOOKUP(Tabla5810[[#This Row],[Cod trabalhador]],'Outros descontos'!B:M,13,FALSE),"")</f>
        <v/>
      </c>
      <c r="AN77" s="393">
        <v>17</v>
      </c>
      <c r="AO77" s="37">
        <v>4.08</v>
      </c>
      <c r="AP77" s="15"/>
      <c r="AQ77"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3328.1220000000003</v>
      </c>
      <c r="AR77"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3277.1220000000003</v>
      </c>
      <c r="AS77" s="15"/>
      <c r="AT77" s="27" t="str">
        <f>IF(Tabla5810[[#This Row],[Cod trabalhador]]="", "", INDEX(Iban!C:C, MATCH(Tabla5810[[#This Row],[Cod trabalhador]],Iban!A:A, 0)))</f>
        <v xml:space="preserve">ES08 0182 5011 1002 0223 3298 </v>
      </c>
      <c r="AU77" s="27"/>
      <c r="AV77" s="27"/>
      <c r="AW77" s="66" t="s">
        <v>7533</v>
      </c>
      <c r="AX77" s="296" t="s">
        <v>7472</v>
      </c>
    </row>
    <row r="78" spans="1:50" ht="18.75" customHeight="1" x14ac:dyDescent="0.3">
      <c r="A78" s="42">
        <v>73</v>
      </c>
      <c r="B78" s="39" t="s">
        <v>4259</v>
      </c>
      <c r="C78" s="45" t="str">
        <f>IF(ISNUMBER(MATCH(Tabla5810[[#This Row],[Cod trabalhador]],'Altas Luminous'!B:B, 0)), "Ativo", "Não ativo")</f>
        <v>Ativo</v>
      </c>
      <c r="D78" s="44" t="str">
        <f>IFERROR(IF(VLOOKUP(Tabla5810[[#This Row],[Cod trabalhador]],'Altas Industrial'!B:E,1,0)&lt;&gt;"","KI",""),"")</f>
        <v>KI</v>
      </c>
      <c r="E78" s="44" t="str">
        <f>IFERROR(IF(VLOOKUP(Tabla5810[[#This Row],[Cod trabalhador]],'Altas Rosas'!B:F,1,0)&lt;&gt;"","KR",""),"")</f>
        <v/>
      </c>
      <c r="F78" s="44" t="str">
        <f>IFERROR(IF(VLOOKUP(Tabla5810[[#This Row],[Cod trabalhador]],'Altas Wiseowe'!B:E,1,0)&lt;&gt;"","WS",""),"")</f>
        <v/>
      </c>
      <c r="G78" s="44" t="str">
        <f>IFERROR(IF(VLOOKUP(Tabla5810[[#This Row],[Cod trabalhador]],'Altas Luminous'!B:E,1,0)&lt;&gt;"","LM",""),"")</f>
        <v>LM</v>
      </c>
      <c r="H78" s="51">
        <f>IFERROR(VLOOKUP(Tabla5810[[#This Row],[Cod trabalhador]],'Altas Luminous'!B:E,3,FALSE),"")</f>
        <v>46051</v>
      </c>
      <c r="I78" s="51" t="str">
        <f>IF(OR(Tabla5810[[#This Row],[Cod trabalhador]]="",ISBLANK(Tabla5810[[#This Row],[Cod trabalhador]])),"",IFERROR(IF(VLOOKUP(Tabla5810[[#This Row],[Cod trabalhador]],'Altas Luminous'!B:E,4,FALSE)=0,"",VLOOKUP(Tabla5810[[#This Row],[Cod trabalhador]],'Altas Luminous'!B:E,4,FALSE)),""))</f>
        <v/>
      </c>
      <c r="J78" s="44">
        <f t="shared" si="2"/>
        <v>3</v>
      </c>
      <c r="K78" s="44" t="s">
        <v>4260</v>
      </c>
      <c r="L78" s="24" t="str">
        <f>IFERROR(IF(Tabla5810[[#This Row],[Cod trabalhador]]="",Tabla5810[[#This Row],[Cod trabalhador]], INDEX(Colaborador_ID[Nombre], MATCH(Tabla5810[[#This Row],[Cod trabalhador]],Colaborador_ID[Cod_colab], 0))), "")</f>
        <v>JUAN CARLOS NUÑEZ MORALES</v>
      </c>
      <c r="M78" s="340"/>
      <c r="N78" s="23" t="s">
        <v>7177</v>
      </c>
      <c r="O78" s="401">
        <f>IFERROR(VLOOKUP(Tabla5810[[#This Row],[Cod trabalhador]],Tabla15[],4,FALSE),"")</f>
        <v>15</v>
      </c>
      <c r="P78" s="232">
        <f>IFERROR(VLOOKUP(Tabla5810[[#This Row],[Cod trabalhador]],'TotalHorasAjustadas (2)'!D:L,8,FALSE),"")</f>
        <v>23</v>
      </c>
      <c r="Q78" s="27">
        <v>23</v>
      </c>
      <c r="R78" s="28" t="s">
        <v>7532</v>
      </c>
      <c r="S78" s="28" t="s">
        <v>7486</v>
      </c>
      <c r="U78" s="381"/>
      <c r="V78" s="231"/>
      <c r="X78" s="28"/>
      <c r="Y78" s="28"/>
      <c r="Z78" s="149"/>
      <c r="AA78" s="392" t="str">
        <f>IFERROR(VLOOKUP(Tabla5810[[#This Row],[Cod trabalhador]],Alojamentos!B:P,11,FALSE),"")</f>
        <v/>
      </c>
      <c r="AB78" s="127"/>
      <c r="AC78" s="150"/>
      <c r="AD78" s="35">
        <f>Tabla5810[[#This Row],[Dias de alta]]*7.058</f>
        <v>21.173999999999999</v>
      </c>
      <c r="AE78" s="46" t="str">
        <f>IFERROR(VLOOKUP(Tabla5810[[#This Row],[Cod trabalhador]],Adiantamentos!B:L,7,FALSE),"")</f>
        <v/>
      </c>
      <c r="AF78" s="46">
        <f>IFERROR(VLOOKUP(Tabla5810[[#This Row],[Cod trabalhador]],Carro!B:D,3,FALSE),"")</f>
        <v>10</v>
      </c>
      <c r="AG78" s="46" t="str">
        <f>IFERROR(VLOOKUP(Tabla5810[[#This Row],[Cod trabalhador]],'Outros descontos'!B:O,7,FALSE),"")</f>
        <v/>
      </c>
      <c r="AH78" s="46" t="str">
        <f>IFERROR(VLOOKUP(Tabla5810[[#This Row],[Cod trabalhador]],'Outros descontos'!B:M,8,FALSE),"")</f>
        <v/>
      </c>
      <c r="AI78" s="46" t="str">
        <f>IFERROR(VLOOKUP(Tabla5810[[#This Row],[Cod trabalhador]],'Outros descontos'!B:M,9,FALSE),"")</f>
        <v/>
      </c>
      <c r="AJ78" s="46" t="str">
        <f>IFERROR(VLOOKUP(Tabla5810[[#This Row],[Cod trabalhador]],'Outros descontos'!B:M,10,FALSE),"")</f>
        <v/>
      </c>
      <c r="AK78" s="46" t="str">
        <f>IFERROR(VLOOKUP(Tabla5810[[#This Row],[Cod trabalhador]],'Outros descontos'!B:M,11,FALSE),"")</f>
        <v/>
      </c>
      <c r="AL78" s="46" t="str">
        <f>IFERROR(VLOOKUP(Tabla5810[[#This Row],[Cod trabalhador]],'Outros descontos'!B:M,12,FALSE),"")</f>
        <v/>
      </c>
      <c r="AM78" s="46" t="str">
        <f>IFERROR(VLOOKUP(Tabla5810[[#This Row],[Cod trabalhador]],'Outros descontos'!B:M,13,FALSE),"")</f>
        <v/>
      </c>
      <c r="AN78" s="393"/>
      <c r="AO78" s="37">
        <v>4.08</v>
      </c>
      <c r="AP78" s="15"/>
      <c r="AQ78"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309.74600000000004</v>
      </c>
      <c r="AR78"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309.74600000000004</v>
      </c>
      <c r="AS78" s="15"/>
      <c r="AT78" s="27" t="str">
        <f>IF(Tabla5810[[#This Row],[Cod trabalhador]]="", "", INDEX(Iban!C:C, MATCH(Tabla5810[[#This Row],[Cod trabalhador]],Iban!A:A, 0)))</f>
        <v xml:space="preserve">ES89 0182 4242 1002 0175 6287 </v>
      </c>
      <c r="AU78" s="27"/>
      <c r="AV78" s="27"/>
      <c r="AW78" s="66" t="s">
        <v>7533</v>
      </c>
      <c r="AX78" s="296" t="s">
        <v>7472</v>
      </c>
    </row>
    <row r="79" spans="1:50" ht="18.75" customHeight="1" x14ac:dyDescent="0.3">
      <c r="A79" s="42">
        <v>74</v>
      </c>
      <c r="B79" s="39" t="s">
        <v>4348</v>
      </c>
      <c r="C79" s="45" t="str">
        <f>IF(ISNUMBER(MATCH(Tabla5810[[#This Row],[Cod trabalhador]],'Altas Luminous'!B:B, 0)), "Ativo", "Não ativo")</f>
        <v>Não ativo</v>
      </c>
      <c r="D79" s="44" t="str">
        <f>IFERROR(IF(VLOOKUP(Tabla5810[[#This Row],[Cod trabalhador]],'Altas Industrial'!B:E,1,0)&lt;&gt;"","KI",""),"")</f>
        <v/>
      </c>
      <c r="E79" s="44" t="str">
        <f>IFERROR(IF(VLOOKUP(Tabla5810[[#This Row],[Cod trabalhador]],'Altas Rosas'!B:F,1,0)&lt;&gt;"","KR",""),"")</f>
        <v/>
      </c>
      <c r="F79" s="44" t="str">
        <f>IFERROR(IF(VLOOKUP(Tabla5810[[#This Row],[Cod trabalhador]],'Altas Wiseowe'!B:E,1,0)&lt;&gt;"","WS",""),"")</f>
        <v/>
      </c>
      <c r="G79" s="44" t="str">
        <f>IFERROR(IF(VLOOKUP(Tabla5810[[#This Row],[Cod trabalhador]],'Altas Luminous'!B:E,1,0)&lt;&gt;"","LM",""),"")</f>
        <v/>
      </c>
      <c r="H79" s="51" t="str">
        <f>IFERROR(VLOOKUP(Tabla5810[[#This Row],[Cod trabalhador]],'Altas Luminous'!B:E,3,FALSE),"")</f>
        <v/>
      </c>
      <c r="I79" s="51" t="str">
        <f>IF(OR(Tabla5810[[#This Row],[Cod trabalhador]]="",ISBLANK(Tabla5810[[#This Row],[Cod trabalhador]])),"",IFERROR(IF(VLOOKUP(Tabla5810[[#This Row],[Cod trabalhador]],'Altas Luminous'!B:E,4,FALSE)=0,"",VLOOKUP(Tabla5810[[#This Row],[Cod trabalhador]],'Altas Luminous'!B:E,4,FALSE)),""))</f>
        <v/>
      </c>
      <c r="J79" s="44">
        <f t="shared" si="2"/>
        <v>0</v>
      </c>
      <c r="K79" s="44" t="s">
        <v>7100</v>
      </c>
      <c r="L79" s="24" t="str">
        <f>IFERROR(IF(Tabla5810[[#This Row],[Cod trabalhador]]="",Tabla5810[[#This Row],[Cod trabalhador]], INDEX(Colaborador_ID[Nombre], MATCH(Tabla5810[[#This Row],[Cod trabalhador]],Colaborador_ID[Cod_colab], 0))), "")</f>
        <v>JUAN FERNANDO DUQUE CARDONA</v>
      </c>
      <c r="M79" s="340"/>
      <c r="N79" s="23" t="s">
        <v>7097</v>
      </c>
      <c r="O79" s="401">
        <f>IFERROR(VLOOKUP(Tabla5810[[#This Row],[Cod trabalhador]],Tabla15[],4,FALSE),"")</f>
        <v>15</v>
      </c>
      <c r="P79" s="232">
        <f>IFERROR(VLOOKUP(Tabla5810[[#This Row],[Cod trabalhador]],'TotalHorasAjustadas (2)'!D:L,8,FALSE),"")</f>
        <v>138</v>
      </c>
      <c r="Q79" s="27">
        <v>138</v>
      </c>
      <c r="R79" s="28" t="s">
        <v>7471</v>
      </c>
      <c r="S79" s="28" t="s">
        <v>7486</v>
      </c>
      <c r="U79" s="381"/>
      <c r="V79" s="231"/>
      <c r="X79" s="28"/>
      <c r="Y79" s="28"/>
      <c r="Z79" s="149"/>
      <c r="AA79" s="392" t="str">
        <f>IFERROR(VLOOKUP(Tabla5810[[#This Row],[Cod trabalhador]],Alojamentos!B:P,11,FALSE),"")</f>
        <v/>
      </c>
      <c r="AB79" s="127"/>
      <c r="AC79" s="150"/>
      <c r="AD79" s="35">
        <f>Tabla5810[[#This Row],[Dias de alta]]*7.058</f>
        <v>0</v>
      </c>
      <c r="AE79" s="46" t="str">
        <f>IFERROR(VLOOKUP(Tabla5810[[#This Row],[Cod trabalhador]],Adiantamentos!B:L,7,FALSE),"")</f>
        <v/>
      </c>
      <c r="AF79" s="46" t="str">
        <f>IFERROR(VLOOKUP(Tabla5810[[#This Row],[Cod trabalhador]],Carro!B:D,3,FALSE),"")</f>
        <v/>
      </c>
      <c r="AG79" s="46">
        <f>IFERROR(VLOOKUP(Tabla5810[[#This Row],[Cod trabalhador]],'Outros descontos'!B:O,7,FALSE),"")</f>
        <v>0</v>
      </c>
      <c r="AH79" s="46">
        <f>IFERROR(VLOOKUP(Tabla5810[[#This Row],[Cod trabalhador]],'Outros descontos'!B:M,8,FALSE),"")</f>
        <v>0</v>
      </c>
      <c r="AI79" s="46">
        <f>IFERROR(VLOOKUP(Tabla5810[[#This Row],[Cod trabalhador]],'Outros descontos'!B:M,9,FALSE),"")</f>
        <v>0</v>
      </c>
      <c r="AJ79" s="46">
        <f>IFERROR(VLOOKUP(Tabla5810[[#This Row],[Cod trabalhador]],'Outros descontos'!B:M,10,FALSE),"")</f>
        <v>0</v>
      </c>
      <c r="AK79" s="46">
        <f>IFERROR(VLOOKUP(Tabla5810[[#This Row],[Cod trabalhador]],'Outros descontos'!B:M,11,FALSE),"")</f>
        <v>0</v>
      </c>
      <c r="AL79" s="46">
        <f>IFERROR(VLOOKUP(Tabla5810[[#This Row],[Cod trabalhador]],'Outros descontos'!B:M,12,FALSE),"")</f>
        <v>21.74</v>
      </c>
      <c r="AM79" s="46" t="str">
        <f>IFERROR(VLOOKUP(Tabla5810[[#This Row],[Cod trabalhador]],'Outros descontos'!B:M,13,FALSE),"")</f>
        <v/>
      </c>
      <c r="AN79" s="393"/>
      <c r="AO79" s="37">
        <v>4.08</v>
      </c>
      <c r="AP79" s="15"/>
      <c r="AQ79"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2044.1800000000003</v>
      </c>
      <c r="AR79"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2044.1800000000003</v>
      </c>
      <c r="AS79" s="15"/>
      <c r="AT79" s="27" t="str">
        <f>IF(Tabla5810[[#This Row],[Cod trabalhador]]="", "", INDEX(Iban!C:C, MATCH(Tabla5810[[#This Row],[Cod trabalhador]],Iban!A:A, 0)))</f>
        <v>ES08 6893 0001 7100 0033 5476</v>
      </c>
      <c r="AU79" s="27"/>
      <c r="AV79" s="27"/>
      <c r="AW79" s="66" t="s">
        <v>7533</v>
      </c>
      <c r="AX79" s="296" t="s">
        <v>7472</v>
      </c>
    </row>
    <row r="80" spans="1:50" ht="18.75" customHeight="1" x14ac:dyDescent="0.3">
      <c r="A80" s="42">
        <v>75</v>
      </c>
      <c r="B80" s="39" t="s">
        <v>4555</v>
      </c>
      <c r="C80" s="45" t="str">
        <f>IF(ISNUMBER(MATCH(Tabla5810[[#This Row],[Cod trabalhador]],'Altas Luminous'!B:B, 0)), "Ativo", "Não ativo")</f>
        <v>Ativo</v>
      </c>
      <c r="D80" s="44" t="str">
        <f>IFERROR(IF(VLOOKUP(Tabla5810[[#This Row],[Cod trabalhador]],'Altas Industrial'!B:E,1,0)&lt;&gt;"","KI",""),"")</f>
        <v/>
      </c>
      <c r="E80" s="44" t="str">
        <f>IFERROR(IF(VLOOKUP(Tabla5810[[#This Row],[Cod trabalhador]],'Altas Rosas'!B:F,1,0)&lt;&gt;"","KR",""),"")</f>
        <v/>
      </c>
      <c r="F80" s="44" t="str">
        <f>IFERROR(IF(VLOOKUP(Tabla5810[[#This Row],[Cod trabalhador]],'Altas Wiseowe'!B:E,1,0)&lt;&gt;"","WS",""),"")</f>
        <v/>
      </c>
      <c r="G80" s="44" t="str">
        <f>IFERROR(IF(VLOOKUP(Tabla5810[[#This Row],[Cod trabalhador]],'Altas Luminous'!B:E,1,0)&lt;&gt;"","LM",""),"")</f>
        <v>LM</v>
      </c>
      <c r="H80" s="51">
        <f>IFERROR(VLOOKUP(Tabla5810[[#This Row],[Cod trabalhador]],'Altas Luminous'!B:E,3,FALSE),"")</f>
        <v>46013</v>
      </c>
      <c r="I80" s="51" t="str">
        <f>IF(OR(Tabla5810[[#This Row],[Cod trabalhador]]="",ISBLANK(Tabla5810[[#This Row],[Cod trabalhador]])),"",IFERROR(IF(VLOOKUP(Tabla5810[[#This Row],[Cod trabalhador]],'Altas Luminous'!B:E,4,FALSE)=0,"",VLOOKUP(Tabla5810[[#This Row],[Cod trabalhador]],'Altas Luminous'!B:E,4,FALSE)),""))</f>
        <v/>
      </c>
      <c r="J80" s="44">
        <f t="shared" si="2"/>
        <v>31</v>
      </c>
      <c r="K80" s="44" t="s">
        <v>4556</v>
      </c>
      <c r="L80" s="24" t="str">
        <f>IFERROR(IF(Tabla5810[[#This Row],[Cod trabalhador]]="",Tabla5810[[#This Row],[Cod trabalhador]], INDEX(Colaborador_ID[Nombre], MATCH(Tabla5810[[#This Row],[Cod trabalhador]],Colaborador_ID[Cod_colab], 0))), "")</f>
        <v>KEVIN FRANKLYN LESCANO REYES</v>
      </c>
      <c r="M80" s="340"/>
      <c r="N80" s="23" t="s">
        <v>7077</v>
      </c>
      <c r="O80" s="401">
        <f>IFERROR(VLOOKUP(Tabla5810[[#This Row],[Cod trabalhador]],Tabla15[],4,FALSE),"")</f>
        <v>15</v>
      </c>
      <c r="P80" s="232">
        <f>IFERROR(VLOOKUP(Tabla5810[[#This Row],[Cod trabalhador]],'TotalHorasAjustadas (2)'!D:L,8,FALSE),"")</f>
        <v>178.72999999999993</v>
      </c>
      <c r="Q80" s="27">
        <v>178.73</v>
      </c>
      <c r="R80" s="28" t="s">
        <v>7532</v>
      </c>
      <c r="S80" s="28" t="s">
        <v>7486</v>
      </c>
      <c r="U80" s="381"/>
      <c r="V80" s="231"/>
      <c r="X80" s="28"/>
      <c r="Y80" s="28"/>
      <c r="Z80" s="149"/>
      <c r="AA80" s="392" t="str">
        <f>IFERROR(VLOOKUP(Tabla5810[[#This Row],[Cod trabalhador]],Alojamentos!B:P,11,FALSE),"")</f>
        <v/>
      </c>
      <c r="AB80" s="127"/>
      <c r="AC80" s="150"/>
      <c r="AD80" s="35">
        <f>Tabla5810[[#This Row],[Dias de alta]]*7.058</f>
        <v>218.798</v>
      </c>
      <c r="AE80" s="46" t="str">
        <f>IFERROR(VLOOKUP(Tabla5810[[#This Row],[Cod trabalhador]],Adiantamentos!B:L,7,FALSE),"")</f>
        <v/>
      </c>
      <c r="AF80" s="46" t="str">
        <f>IFERROR(VLOOKUP(Tabla5810[[#This Row],[Cod trabalhador]],Carro!B:D,3,FALSE),"")</f>
        <v/>
      </c>
      <c r="AG80" s="46" t="str">
        <f>IFERROR(VLOOKUP(Tabla5810[[#This Row],[Cod trabalhador]],'Outros descontos'!B:O,7,FALSE),"")</f>
        <v/>
      </c>
      <c r="AH80" s="46" t="str">
        <f>IFERROR(VLOOKUP(Tabla5810[[#This Row],[Cod trabalhador]],'Outros descontos'!B:M,8,FALSE),"")</f>
        <v/>
      </c>
      <c r="AI80" s="46" t="str">
        <f>IFERROR(VLOOKUP(Tabla5810[[#This Row],[Cod trabalhador]],'Outros descontos'!B:M,9,FALSE),"")</f>
        <v/>
      </c>
      <c r="AJ80" s="46" t="str">
        <f>IFERROR(VLOOKUP(Tabla5810[[#This Row],[Cod trabalhador]],'Outros descontos'!B:M,10,FALSE),"")</f>
        <v/>
      </c>
      <c r="AK80" s="46" t="str">
        <f>IFERROR(VLOOKUP(Tabla5810[[#This Row],[Cod trabalhador]],'Outros descontos'!B:M,11,FALSE),"")</f>
        <v/>
      </c>
      <c r="AL80" s="46" t="str">
        <f>IFERROR(VLOOKUP(Tabla5810[[#This Row],[Cod trabalhador]],'Outros descontos'!B:M,12,FALSE),"")</f>
        <v/>
      </c>
      <c r="AM80" s="46" t="str">
        <f>IFERROR(VLOOKUP(Tabla5810[[#This Row],[Cod trabalhador]],'Outros descontos'!B:M,13,FALSE),"")</f>
        <v/>
      </c>
      <c r="AN80" s="393"/>
      <c r="AO80" s="37">
        <v>4.08</v>
      </c>
      <c r="AQ80"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2458.0719999999992</v>
      </c>
      <c r="AR80"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2458.0720000000001</v>
      </c>
      <c r="AS80" s="15"/>
      <c r="AT80" s="27" t="str">
        <f>IF(Tabla5810[[#This Row],[Cod trabalhador]]="", "", INDEX(Iban!C:C, MATCH(Tabla5810[[#This Row],[Cod trabalhador]],Iban!A:A, 0)))</f>
        <v>ES22 0182 6734 5102 0201 0348</v>
      </c>
      <c r="AU80" s="27"/>
      <c r="AV80" s="27"/>
      <c r="AW80" s="66" t="s">
        <v>7533</v>
      </c>
      <c r="AX80" s="296" t="s">
        <v>7472</v>
      </c>
    </row>
    <row r="81" spans="1:50" ht="18.75" customHeight="1" x14ac:dyDescent="0.3">
      <c r="A81" s="42">
        <v>76</v>
      </c>
      <c r="B81" s="39" t="s">
        <v>4607</v>
      </c>
      <c r="C81" s="45" t="str">
        <f>IF(ISNUMBER(MATCH(Tabla5810[[#This Row],[Cod trabalhador]],'Altas Luminous'!B:B, 0)), "Ativo", "Não ativo")</f>
        <v>Ativo</v>
      </c>
      <c r="D81" s="44" t="str">
        <f>IFERROR(IF(VLOOKUP(Tabla5810[[#This Row],[Cod trabalhador]],'Altas Industrial'!B:E,1,0)&lt;&gt;"","KI",""),"")</f>
        <v/>
      </c>
      <c r="E81" s="44" t="str">
        <f>IFERROR(IF(VLOOKUP(Tabla5810[[#This Row],[Cod trabalhador]],'Altas Rosas'!B:F,1,0)&lt;&gt;"","KR",""),"")</f>
        <v/>
      </c>
      <c r="F81" s="44" t="str">
        <f>IFERROR(IF(VLOOKUP(Tabla5810[[#This Row],[Cod trabalhador]],'Altas Wiseowe'!B:E,1,0)&lt;&gt;"","WS",""),"")</f>
        <v/>
      </c>
      <c r="G81" s="44" t="str">
        <f>IFERROR(IF(VLOOKUP(Tabla5810[[#This Row],[Cod trabalhador]],'Altas Luminous'!B:E,1,0)&lt;&gt;"","LM",""),"")</f>
        <v>LM</v>
      </c>
      <c r="H81" s="51">
        <f>IFERROR(VLOOKUP(Tabla5810[[#This Row],[Cod trabalhador]],'Altas Luminous'!B:E,3,FALSE),"")</f>
        <v>46052</v>
      </c>
      <c r="I81" s="51" t="str">
        <f>IF(OR(Tabla5810[[#This Row],[Cod trabalhador]]="",ISBLANK(Tabla5810[[#This Row],[Cod trabalhador]])),"",IFERROR(IF(VLOOKUP(Tabla5810[[#This Row],[Cod trabalhador]],'Altas Luminous'!B:E,4,FALSE)=0,"",VLOOKUP(Tabla5810[[#This Row],[Cod trabalhador]],'Altas Luminous'!B:E,4,FALSE)),""))</f>
        <v/>
      </c>
      <c r="J81" s="44">
        <f t="shared" si="2"/>
        <v>2</v>
      </c>
      <c r="K81" s="44" t="s">
        <v>7171</v>
      </c>
      <c r="L81" s="24" t="str">
        <f>IFERROR(IF(Tabla5810[[#This Row],[Cod trabalhador]]="",Tabla5810[[#This Row],[Cod trabalhador]], INDEX(Colaborador_ID[Nombre], MATCH(Tabla5810[[#This Row],[Cod trabalhador]],Colaborador_ID[Cod_colab], 0))), "")</f>
        <v>LEANDRO VARGAS BETANCOURTH</v>
      </c>
      <c r="M81" s="340"/>
      <c r="N81" s="23" t="s">
        <v>7169</v>
      </c>
      <c r="O81" s="401">
        <v>15</v>
      </c>
      <c r="P81" s="232">
        <f>IFERROR(VLOOKUP(Tabla5810[[#This Row],[Cod trabalhador]],'TotalHorasAjustadas (2)'!D:L,8,FALSE),"")</f>
        <v>13</v>
      </c>
      <c r="Q81" s="27">
        <v>13</v>
      </c>
      <c r="R81" s="28" t="s">
        <v>7471</v>
      </c>
      <c r="S81" s="28" t="s">
        <v>7486</v>
      </c>
      <c r="U81" s="381"/>
      <c r="V81" s="231"/>
      <c r="X81" s="28"/>
      <c r="Y81" s="28"/>
      <c r="Z81" s="149"/>
      <c r="AA81" s="392" t="str">
        <f>IFERROR(VLOOKUP(Tabla5810[[#This Row],[Cod trabalhador]],Alojamentos!B:P,11,FALSE),"")</f>
        <v/>
      </c>
      <c r="AB81" s="127"/>
      <c r="AC81" s="150"/>
      <c r="AD81" s="35">
        <f>Tabla5810[[#This Row],[Dias de alta]]*7.058</f>
        <v>14.116</v>
      </c>
      <c r="AE81" s="46" t="str">
        <f>IFERROR(VLOOKUP(Tabla5810[[#This Row],[Cod trabalhador]],Adiantamentos!B:L,7,FALSE),"")</f>
        <v/>
      </c>
      <c r="AF81" s="46" t="str">
        <f>IFERROR(VLOOKUP(Tabla5810[[#This Row],[Cod trabalhador]],Carro!B:D,3,FALSE),"")</f>
        <v/>
      </c>
      <c r="AG81" s="46" t="str">
        <f>IFERROR(VLOOKUP(Tabla5810[[#This Row],[Cod trabalhador]],'Outros descontos'!B:O,7,FALSE),"")</f>
        <v/>
      </c>
      <c r="AH81" s="46" t="str">
        <f>IFERROR(VLOOKUP(Tabla5810[[#This Row],[Cod trabalhador]],'Outros descontos'!B:M,8,FALSE),"")</f>
        <v/>
      </c>
      <c r="AI81" s="46" t="str">
        <f>IFERROR(VLOOKUP(Tabla5810[[#This Row],[Cod trabalhador]],'Outros descontos'!B:M,9,FALSE),"")</f>
        <v/>
      </c>
      <c r="AJ81" s="46" t="str">
        <f>IFERROR(VLOOKUP(Tabla5810[[#This Row],[Cod trabalhador]],'Outros descontos'!B:M,10,FALSE),"")</f>
        <v/>
      </c>
      <c r="AK81" s="46" t="str">
        <f>IFERROR(VLOOKUP(Tabla5810[[#This Row],[Cod trabalhador]],'Outros descontos'!B:M,11,FALSE),"")</f>
        <v/>
      </c>
      <c r="AL81" s="46" t="str">
        <f>IFERROR(VLOOKUP(Tabla5810[[#This Row],[Cod trabalhador]],'Outros descontos'!B:M,12,FALSE),"")</f>
        <v/>
      </c>
      <c r="AM81" s="46" t="str">
        <f>IFERROR(VLOOKUP(Tabla5810[[#This Row],[Cod trabalhador]],'Outros descontos'!B:M,13,FALSE),"")</f>
        <v/>
      </c>
      <c r="AN81" s="393"/>
      <c r="AO81" s="37">
        <v>4.08</v>
      </c>
      <c r="AP81" s="15"/>
      <c r="AQ81"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176.804</v>
      </c>
      <c r="AR81"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176.804</v>
      </c>
      <c r="AS81" s="15"/>
      <c r="AT81" s="27" t="str">
        <f>IF(Tabla5810[[#This Row],[Cod trabalhador]]="", "", INDEX(Iban!C:C, MATCH(Tabla5810[[#This Row],[Cod trabalhador]],Iban!A:A, 0)))</f>
        <v xml:space="preserve">BE67 9051 6249 2787 </v>
      </c>
      <c r="AU81" s="27"/>
      <c r="AV81" s="27"/>
      <c r="AW81" s="66" t="s">
        <v>7533</v>
      </c>
      <c r="AX81" s="296" t="s">
        <v>7472</v>
      </c>
    </row>
    <row r="82" spans="1:50" ht="18.75" customHeight="1" x14ac:dyDescent="0.3">
      <c r="A82" s="42">
        <v>77</v>
      </c>
      <c r="B82" s="39" t="s">
        <v>4635</v>
      </c>
      <c r="C82" s="45" t="str">
        <f>IF(ISNUMBER(MATCH(Tabla5810[[#This Row],[Cod trabalhador]],'Altas Luminous'!B:B, 0)), "Ativo", "Não ativo")</f>
        <v>Não ativo</v>
      </c>
      <c r="D82" s="44" t="str">
        <f>IFERROR(IF(VLOOKUP(Tabla5810[[#This Row],[Cod trabalhador]],'Altas Industrial'!B:E,1,0)&lt;&gt;"","KI",""),"")</f>
        <v/>
      </c>
      <c r="E82" s="44" t="str">
        <f>IFERROR(IF(VLOOKUP(Tabla5810[[#This Row],[Cod trabalhador]],'Altas Rosas'!B:F,1,0)&lt;&gt;"","KR",""),"")</f>
        <v/>
      </c>
      <c r="F82" s="44" t="str">
        <f>IFERROR(IF(VLOOKUP(Tabla5810[[#This Row],[Cod trabalhador]],'Altas Wiseowe'!B:E,1,0)&lt;&gt;"","WS",""),"")</f>
        <v/>
      </c>
      <c r="G82" s="44" t="str">
        <f>IFERROR(IF(VLOOKUP(Tabla5810[[#This Row],[Cod trabalhador]],'Altas Luminous'!B:E,1,0)&lt;&gt;"","LM",""),"")</f>
        <v/>
      </c>
      <c r="H82" s="51" t="str">
        <f>IFERROR(VLOOKUP(Tabla5810[[#This Row],[Cod trabalhador]],'Altas Luminous'!B:E,3,FALSE),"")</f>
        <v/>
      </c>
      <c r="I82" s="51" t="str">
        <f>IF(OR(Tabla5810[[#This Row],[Cod trabalhador]]="",ISBLANK(Tabla5810[[#This Row],[Cod trabalhador]])),"",IFERROR(IF(VLOOKUP(Tabla5810[[#This Row],[Cod trabalhador]],'Altas Luminous'!B:E,4,FALSE)=0,"",VLOOKUP(Tabla5810[[#This Row],[Cod trabalhador]],'Altas Luminous'!B:E,4,FALSE)),""))</f>
        <v/>
      </c>
      <c r="J82" s="44">
        <f t="shared" si="2"/>
        <v>0</v>
      </c>
      <c r="K82" s="44" t="s">
        <v>7076</v>
      </c>
      <c r="L82" s="24" t="str">
        <f>IFERROR(IF(Tabla5810[[#This Row],[Cod trabalhador]]="",Tabla5810[[#This Row],[Cod trabalhador]], INDEX(Colaborador_ID[Nombre], MATCH(Tabla5810[[#This Row],[Cod trabalhador]],Colaborador_ID[Cod_colab], 0))), "")</f>
        <v>LEONARDO JAVIER RIOS CORREA</v>
      </c>
      <c r="M82" s="340"/>
      <c r="N82" s="23" t="s">
        <v>7073</v>
      </c>
      <c r="O82" s="401">
        <f>IFERROR(VLOOKUP(Tabla5810[[#This Row],[Cod trabalhador]],Tabla15[],4,FALSE),"")</f>
        <v>15</v>
      </c>
      <c r="P82" s="232">
        <f>IFERROR(VLOOKUP(Tabla5810[[#This Row],[Cod trabalhador]],'TotalHorasAjustadas (2)'!D:L,8,FALSE),"")</f>
        <v>164</v>
      </c>
      <c r="Q82" s="27">
        <v>164</v>
      </c>
      <c r="R82" s="28" t="s">
        <v>7532</v>
      </c>
      <c r="S82" s="28" t="s">
        <v>7486</v>
      </c>
      <c r="U82" s="381"/>
      <c r="V82" s="231"/>
      <c r="X82" s="28"/>
      <c r="Y82" s="28"/>
      <c r="Z82" s="149"/>
      <c r="AA82" s="392" t="str">
        <f>IFERROR(VLOOKUP(Tabla5810[[#This Row],[Cod trabalhador]],Alojamentos!B:P,11,FALSE),"")</f>
        <v/>
      </c>
      <c r="AB82" s="127"/>
      <c r="AC82" s="150"/>
      <c r="AD82" s="35">
        <f>Tabla5810[[#This Row],[Dias de alta]]*7.058</f>
        <v>0</v>
      </c>
      <c r="AE82" s="46" t="str">
        <f>IFERROR(VLOOKUP(Tabla5810[[#This Row],[Cod trabalhador]],Adiantamentos!B:L,7,FALSE),"")</f>
        <v/>
      </c>
      <c r="AF82" s="46">
        <f>IFERROR(VLOOKUP(Tabla5810[[#This Row],[Cod trabalhador]],Carro!B:D,3,FALSE),"")</f>
        <v>106.66666666666667</v>
      </c>
      <c r="AG82" s="46" t="str">
        <f>IFERROR(VLOOKUP(Tabla5810[[#This Row],[Cod trabalhador]],'Outros descontos'!B:O,7,FALSE),"")</f>
        <v/>
      </c>
      <c r="AH82" s="46" t="str">
        <f>IFERROR(VLOOKUP(Tabla5810[[#This Row],[Cod trabalhador]],'Outros descontos'!B:M,8,FALSE),"")</f>
        <v/>
      </c>
      <c r="AI82" s="46" t="str">
        <f>IFERROR(VLOOKUP(Tabla5810[[#This Row],[Cod trabalhador]],'Outros descontos'!B:M,9,FALSE),"")</f>
        <v/>
      </c>
      <c r="AJ82" s="46" t="str">
        <f>IFERROR(VLOOKUP(Tabla5810[[#This Row],[Cod trabalhador]],'Outros descontos'!B:M,10,FALSE),"")</f>
        <v/>
      </c>
      <c r="AK82" s="46" t="str">
        <f>IFERROR(VLOOKUP(Tabla5810[[#This Row],[Cod trabalhador]],'Outros descontos'!B:M,11,FALSE),"")</f>
        <v/>
      </c>
      <c r="AL82" s="46" t="str">
        <f>IFERROR(VLOOKUP(Tabla5810[[#This Row],[Cod trabalhador]],'Outros descontos'!B:M,12,FALSE),"")</f>
        <v/>
      </c>
      <c r="AM82" s="46" t="str">
        <f>IFERROR(VLOOKUP(Tabla5810[[#This Row],[Cod trabalhador]],'Outros descontos'!B:M,13,FALSE),"")</f>
        <v/>
      </c>
      <c r="AN82" s="393"/>
      <c r="AO82" s="37">
        <v>4.08</v>
      </c>
      <c r="AP82" s="15"/>
      <c r="AQ82"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2349.2533333333336</v>
      </c>
      <c r="AR82"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2349.2533333333336</v>
      </c>
      <c r="AS82" s="15"/>
      <c r="AT82" s="27" t="str">
        <f>IF(Tabla5810[[#This Row],[Cod trabalhador]]="", "", INDEX(Iban!C:C, MATCH(Tabla5810[[#This Row],[Cod trabalhador]],Iban!A:A, 0)))</f>
        <v>ES15 0182 4023 4102 0161 5439</v>
      </c>
      <c r="AU82" s="27"/>
      <c r="AV82" s="27"/>
      <c r="AW82" s="66" t="s">
        <v>7533</v>
      </c>
      <c r="AX82" s="296" t="s">
        <v>7472</v>
      </c>
    </row>
    <row r="83" spans="1:50" ht="18.75" customHeight="1" x14ac:dyDescent="0.3">
      <c r="A83" s="42">
        <v>78</v>
      </c>
      <c r="B83" s="39" t="s">
        <v>4649</v>
      </c>
      <c r="C83" s="45" t="str">
        <f>IF(ISNUMBER(MATCH(Tabla5810[[#This Row],[Cod trabalhador]],'Altas Luminous'!B:B, 0)), "Ativo", "Não ativo")</f>
        <v>Não ativo</v>
      </c>
      <c r="D83" s="44" t="str">
        <f>IFERROR(IF(VLOOKUP(Tabla5810[[#This Row],[Cod trabalhador]],'Altas Industrial'!B:E,1,0)&lt;&gt;"","KI",""),"")</f>
        <v/>
      </c>
      <c r="E83" s="44" t="str">
        <f>IFERROR(IF(VLOOKUP(Tabla5810[[#This Row],[Cod trabalhador]],'Altas Rosas'!B:F,1,0)&lt;&gt;"","KR",""),"")</f>
        <v/>
      </c>
      <c r="F83" s="44" t="str">
        <f>IFERROR(IF(VLOOKUP(Tabla5810[[#This Row],[Cod trabalhador]],'Altas Wiseowe'!B:E,1,0)&lt;&gt;"","WS",""),"")</f>
        <v/>
      </c>
      <c r="G83" s="44" t="str">
        <f>IFERROR(IF(VLOOKUP(Tabla5810[[#This Row],[Cod trabalhador]],'Altas Luminous'!B:E,1,0)&lt;&gt;"","LM",""),"")</f>
        <v/>
      </c>
      <c r="H83" s="51" t="str">
        <f>IFERROR(VLOOKUP(Tabla5810[[#This Row],[Cod trabalhador]],'Altas Luminous'!B:E,3,FALSE),"")</f>
        <v/>
      </c>
      <c r="I83" s="51" t="str">
        <f>IF(OR(Tabla5810[[#This Row],[Cod trabalhador]]="",ISBLANK(Tabla5810[[#This Row],[Cod trabalhador]])),"",IFERROR(IF(VLOOKUP(Tabla5810[[#This Row],[Cod trabalhador]],'Altas Luminous'!B:E,4,FALSE)=0,"",VLOOKUP(Tabla5810[[#This Row],[Cod trabalhador]],'Altas Luminous'!B:E,4,FALSE)),""))</f>
        <v/>
      </c>
      <c r="J83" s="44">
        <f t="shared" si="2"/>
        <v>0</v>
      </c>
      <c r="K83" s="44" t="s">
        <v>4650</v>
      </c>
      <c r="L83" s="24" t="str">
        <f>IFERROR(IF(Tabla5810[[#This Row],[Cod trabalhador]]="",Tabla5810[[#This Row],[Cod trabalhador]], INDEX(Colaborador_ID[Nombre], MATCH(Tabla5810[[#This Row],[Cod trabalhador]],Colaborador_ID[Cod_colab], 0))), "")</f>
        <v>LUBERMI JOSE MIRANDA PEREZ</v>
      </c>
      <c r="M83" s="340"/>
      <c r="N83" s="23" t="s">
        <v>7130</v>
      </c>
      <c r="O83" s="401">
        <f>IFERROR(VLOOKUP(Tabla5810[[#This Row],[Cod trabalhador]],Tabla15[],4,FALSE),"")</f>
        <v>15</v>
      </c>
      <c r="P83" s="232">
        <f>IFERROR(VLOOKUP(Tabla5810[[#This Row],[Cod trabalhador]],'TotalHorasAjustadas (2)'!D:L,8,FALSE),"")</f>
        <v>30</v>
      </c>
      <c r="Q83" s="27">
        <v>30</v>
      </c>
      <c r="R83" s="28" t="s">
        <v>7532</v>
      </c>
      <c r="S83" s="28" t="s">
        <v>7486</v>
      </c>
      <c r="U83" s="381"/>
      <c r="V83" s="231"/>
      <c r="X83" s="28"/>
      <c r="Y83" s="28"/>
      <c r="Z83" s="149"/>
      <c r="AA83" s="392" t="str">
        <f>IFERROR(VLOOKUP(Tabla5810[[#This Row],[Cod trabalhador]],Alojamentos!B:P,11,FALSE),"")</f>
        <v/>
      </c>
      <c r="AB83" s="127"/>
      <c r="AC83" s="150"/>
      <c r="AD83" s="35">
        <f>Tabla5810[[#This Row],[Dias de alta]]*7.058</f>
        <v>0</v>
      </c>
      <c r="AE83" s="46" t="str">
        <f>IFERROR(VLOOKUP(Tabla5810[[#This Row],[Cod trabalhador]],Adiantamentos!B:L,7,FALSE),"")</f>
        <v/>
      </c>
      <c r="AF83" s="46" t="str">
        <f>IFERROR(VLOOKUP(Tabla5810[[#This Row],[Cod trabalhador]],Carro!B:D,3,FALSE),"")</f>
        <v/>
      </c>
      <c r="AG83" s="46" t="str">
        <f>IFERROR(VLOOKUP(Tabla5810[[#This Row],[Cod trabalhador]],'Outros descontos'!B:O,7,FALSE),"")</f>
        <v/>
      </c>
      <c r="AH83" s="46" t="str">
        <f>IFERROR(VLOOKUP(Tabla5810[[#This Row],[Cod trabalhador]],'Outros descontos'!B:M,8,FALSE),"")</f>
        <v/>
      </c>
      <c r="AI83" s="46" t="str">
        <f>IFERROR(VLOOKUP(Tabla5810[[#This Row],[Cod trabalhador]],'Outros descontos'!B:M,9,FALSE),"")</f>
        <v/>
      </c>
      <c r="AJ83" s="46" t="str">
        <f>IFERROR(VLOOKUP(Tabla5810[[#This Row],[Cod trabalhador]],'Outros descontos'!B:M,10,FALSE),"")</f>
        <v/>
      </c>
      <c r="AK83" s="46" t="str">
        <f>IFERROR(VLOOKUP(Tabla5810[[#This Row],[Cod trabalhador]],'Outros descontos'!B:M,11,FALSE),"")</f>
        <v/>
      </c>
      <c r="AL83" s="46" t="str">
        <f>IFERROR(VLOOKUP(Tabla5810[[#This Row],[Cod trabalhador]],'Outros descontos'!B:M,12,FALSE),"")</f>
        <v/>
      </c>
      <c r="AM83" s="46" t="str">
        <f>IFERROR(VLOOKUP(Tabla5810[[#This Row],[Cod trabalhador]],'Outros descontos'!B:M,13,FALSE),"")</f>
        <v/>
      </c>
      <c r="AN83" s="393"/>
      <c r="AO83" s="37">
        <v>4.08</v>
      </c>
      <c r="AP83" s="15"/>
      <c r="AQ83"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445.92</v>
      </c>
      <c r="AR83"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445.92</v>
      </c>
      <c r="AS83" s="15"/>
      <c r="AT83" s="27" t="str">
        <f>IF(Tabla5810[[#This Row],[Cod trabalhador]]="", "", INDEX(Iban!C:C, MATCH(Tabla5810[[#This Row],[Cod trabalhador]],Iban!A:A, 0)))</f>
        <v>ES50 6893 0001 7600 0032 9237</v>
      </c>
      <c r="AU83" s="27"/>
      <c r="AV83" s="27"/>
      <c r="AW83" s="66" t="s">
        <v>7533</v>
      </c>
      <c r="AX83" s="296" t="s">
        <v>7472</v>
      </c>
    </row>
    <row r="84" spans="1:50" ht="18.75" customHeight="1" x14ac:dyDescent="0.3">
      <c r="A84" s="42">
        <v>79</v>
      </c>
      <c r="B84" s="39" t="s">
        <v>4718</v>
      </c>
      <c r="C84" s="45" t="str">
        <f>IF(ISNUMBER(MATCH(Tabla5810[[#This Row],[Cod trabalhador]],'Altas Luminous'!B:B, 0)), "Ativo", "Não ativo")</f>
        <v>Não ativo</v>
      </c>
      <c r="D84" s="44" t="str">
        <f>IFERROR(IF(VLOOKUP(Tabla5810[[#This Row],[Cod trabalhador]],'Altas Industrial'!B:E,1,0)&lt;&gt;"","KI",""),"")</f>
        <v/>
      </c>
      <c r="E84" s="44" t="str">
        <f>IFERROR(IF(VLOOKUP(Tabla5810[[#This Row],[Cod trabalhador]],'Altas Rosas'!B:F,1,0)&lt;&gt;"","KR",""),"")</f>
        <v/>
      </c>
      <c r="F84" s="44" t="str">
        <f>IFERROR(IF(VLOOKUP(Tabla5810[[#This Row],[Cod trabalhador]],'Altas Wiseowe'!B:E,1,0)&lt;&gt;"","WS",""),"")</f>
        <v/>
      </c>
      <c r="G84" s="44" t="str">
        <f>IFERROR(IF(VLOOKUP(Tabla5810[[#This Row],[Cod trabalhador]],'Altas Luminous'!B:E,1,0)&lt;&gt;"","LM",""),"")</f>
        <v/>
      </c>
      <c r="H84" s="51" t="str">
        <f>IFERROR(VLOOKUP(Tabla5810[[#This Row],[Cod trabalhador]],'Altas Luminous'!B:E,3,FALSE),"")</f>
        <v/>
      </c>
      <c r="I84" s="51" t="str">
        <f>IF(OR(Tabla5810[[#This Row],[Cod trabalhador]]="",ISBLANK(Tabla5810[[#This Row],[Cod trabalhador]])),"",IFERROR(IF(VLOOKUP(Tabla5810[[#This Row],[Cod trabalhador]],'Altas Luminous'!B:E,4,FALSE)=0,"",VLOOKUP(Tabla5810[[#This Row],[Cod trabalhador]],'Altas Luminous'!B:E,4,FALSE)),""))</f>
        <v/>
      </c>
      <c r="J84" s="44">
        <f t="shared" si="2"/>
        <v>0</v>
      </c>
      <c r="K84" s="44" t="s">
        <v>7086</v>
      </c>
      <c r="L84" s="24" t="str">
        <f>IFERROR(IF(Tabla5810[[#This Row],[Cod trabalhador]]="",Tabla5810[[#This Row],[Cod trabalhador]], INDEX(Colaborador_ID[Nombre], MATCH(Tabla5810[[#This Row],[Cod trabalhador]],Colaborador_ID[Cod_colab], 0))), "")</f>
        <v>LUIS ALBERTO RAMIREZ PINEDO</v>
      </c>
      <c r="M84" s="340"/>
      <c r="N84" s="23" t="s">
        <v>7082</v>
      </c>
      <c r="O84" s="401">
        <f>IFERROR(VLOOKUP(Tabla5810[[#This Row],[Cod trabalhador]],Tabla15[],4,FALSE),"")</f>
        <v>15</v>
      </c>
      <c r="P84" s="232">
        <f>IFERROR(VLOOKUP(Tabla5810[[#This Row],[Cod trabalhador]],'TotalHorasAjustadas (2)'!D:L,8,FALSE),"")</f>
        <v>48.25</v>
      </c>
      <c r="Q84" s="27">
        <v>48.25</v>
      </c>
      <c r="R84" s="28" t="s">
        <v>7532</v>
      </c>
      <c r="S84" s="28" t="s">
        <v>7486</v>
      </c>
      <c r="U84" s="381"/>
      <c r="V84" s="231"/>
      <c r="X84" s="28"/>
      <c r="Y84" s="28"/>
      <c r="Z84" s="149"/>
      <c r="AA84" s="392" t="str">
        <f>IFERROR(VLOOKUP(Tabla5810[[#This Row],[Cod trabalhador]],Alojamentos!B:P,11,FALSE),"")</f>
        <v/>
      </c>
      <c r="AB84" s="127"/>
      <c r="AC84" s="150"/>
      <c r="AD84" s="35">
        <f>Tabla5810[[#This Row],[Dias de alta]]*7.058</f>
        <v>0</v>
      </c>
      <c r="AE84" s="46" t="str">
        <f>IFERROR(VLOOKUP(Tabla5810[[#This Row],[Cod trabalhador]],Adiantamentos!B:L,7,FALSE),"")</f>
        <v/>
      </c>
      <c r="AF84" s="46">
        <f>IFERROR(VLOOKUP(Tabla5810[[#This Row],[Cod trabalhador]],Carro!B:D,3,FALSE),"")</f>
        <v>40</v>
      </c>
      <c r="AG84" s="46" t="str">
        <f>IFERROR(VLOOKUP(Tabla5810[[#This Row],[Cod trabalhador]],'Outros descontos'!B:O,7,FALSE),"")</f>
        <v/>
      </c>
      <c r="AH84" s="46" t="str">
        <f>IFERROR(VLOOKUP(Tabla5810[[#This Row],[Cod trabalhador]],'Outros descontos'!B:M,8,FALSE),"")</f>
        <v/>
      </c>
      <c r="AI84" s="46" t="str">
        <f>IFERROR(VLOOKUP(Tabla5810[[#This Row],[Cod trabalhador]],'Outros descontos'!B:M,9,FALSE),"")</f>
        <v/>
      </c>
      <c r="AJ84" s="46" t="str">
        <f>IFERROR(VLOOKUP(Tabla5810[[#This Row],[Cod trabalhador]],'Outros descontos'!B:M,10,FALSE),"")</f>
        <v/>
      </c>
      <c r="AK84" s="46" t="str">
        <f>IFERROR(VLOOKUP(Tabla5810[[#This Row],[Cod trabalhador]],'Outros descontos'!B:M,11,FALSE),"")</f>
        <v/>
      </c>
      <c r="AL84" s="46" t="str">
        <f>IFERROR(VLOOKUP(Tabla5810[[#This Row],[Cod trabalhador]],'Outros descontos'!B:M,12,FALSE),"")</f>
        <v/>
      </c>
      <c r="AM84" s="46" t="str">
        <f>IFERROR(VLOOKUP(Tabla5810[[#This Row],[Cod trabalhador]],'Outros descontos'!B:M,13,FALSE),"")</f>
        <v/>
      </c>
      <c r="AN84" s="393"/>
      <c r="AO84" s="37">
        <v>4.08</v>
      </c>
      <c r="AP84" s="15"/>
      <c r="AQ84"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679.67</v>
      </c>
      <c r="AR84"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679.67</v>
      </c>
      <c r="AS84" s="15"/>
      <c r="AT84" s="27" t="str">
        <f>IF(Tabla5810[[#This Row],[Cod trabalhador]]="", "", INDEX(Iban!C:C, MATCH(Tabla5810[[#This Row],[Cod trabalhador]],Iban!A:A, 0)))</f>
        <v>ES50 0182 8191 7902 0204 8724</v>
      </c>
      <c r="AU84" s="27"/>
      <c r="AV84" s="27"/>
      <c r="AW84" s="66" t="s">
        <v>7533</v>
      </c>
      <c r="AX84" s="296" t="s">
        <v>7472</v>
      </c>
    </row>
    <row r="85" spans="1:50" ht="18.75" customHeight="1" x14ac:dyDescent="0.3">
      <c r="A85" s="42">
        <v>80</v>
      </c>
      <c r="B85" s="39" t="s">
        <v>4796</v>
      </c>
      <c r="C85" s="45" t="str">
        <f>IF(ISNUMBER(MATCH(Tabla5810[[#This Row],[Cod trabalhador]],'Altas Luminous'!B:B, 0)), "Ativo", "Não ativo")</f>
        <v>Ativo</v>
      </c>
      <c r="D85" s="44" t="str">
        <f>IFERROR(IF(VLOOKUP(Tabla5810[[#This Row],[Cod trabalhador]],'Altas Industrial'!B:E,1,0)&lt;&gt;"","KI",""),"")</f>
        <v/>
      </c>
      <c r="E85" s="44" t="str">
        <f>IFERROR(IF(VLOOKUP(Tabla5810[[#This Row],[Cod trabalhador]],'Altas Rosas'!B:F,1,0)&lt;&gt;"","KR",""),"")</f>
        <v/>
      </c>
      <c r="F85" s="44" t="str">
        <f>IFERROR(IF(VLOOKUP(Tabla5810[[#This Row],[Cod trabalhador]],'Altas Wiseowe'!B:E,1,0)&lt;&gt;"","WS",""),"")</f>
        <v/>
      </c>
      <c r="G85" s="44" t="str">
        <f>IFERROR(IF(VLOOKUP(Tabla5810[[#This Row],[Cod trabalhador]],'Altas Luminous'!B:E,1,0)&lt;&gt;"","LM",""),"")</f>
        <v>LM</v>
      </c>
      <c r="H85" s="51">
        <f>IFERROR(VLOOKUP(Tabla5810[[#This Row],[Cod trabalhador]],'Altas Luminous'!B:E,3,FALSE),"")</f>
        <v>45931</v>
      </c>
      <c r="I85" s="51" t="str">
        <f>IF(OR(Tabla5810[[#This Row],[Cod trabalhador]]="",ISBLANK(Tabla5810[[#This Row],[Cod trabalhador]])),"",IFERROR(IF(VLOOKUP(Tabla5810[[#This Row],[Cod trabalhador]],'Altas Luminous'!B:E,4,FALSE)=0,"",VLOOKUP(Tabla5810[[#This Row],[Cod trabalhador]],'Altas Luminous'!B:E,4,FALSE)),""))</f>
        <v/>
      </c>
      <c r="J85" s="44">
        <f t="shared" si="2"/>
        <v>31</v>
      </c>
      <c r="K85" s="44" t="s">
        <v>7121</v>
      </c>
      <c r="L85" s="24" t="str">
        <f>IFERROR(IF(Tabla5810[[#This Row],[Cod trabalhador]]="",Tabla5810[[#This Row],[Cod trabalhador]], INDEX(Colaborador_ID[Nombre], MATCH(Tabla5810[[#This Row],[Cod trabalhador]],Colaborador_ID[Cod_colab], 0))), "")</f>
        <v>LUIS CARLOS PEREZ GONZALEZ</v>
      </c>
      <c r="M85" s="340"/>
      <c r="N85" s="23" t="s">
        <v>7109</v>
      </c>
      <c r="O85" s="401">
        <f>IFERROR(VLOOKUP(Tabla5810[[#This Row],[Cod trabalhador]],Tabla15[],4,FALSE),"")</f>
        <v>15</v>
      </c>
      <c r="P85" s="232">
        <f>IFERROR(VLOOKUP(Tabla5810[[#This Row],[Cod trabalhador]],'TotalHorasAjustadas (2)'!D:L,8,FALSE),"")</f>
        <v>174</v>
      </c>
      <c r="Q85" s="27">
        <v>174</v>
      </c>
      <c r="R85" s="28" t="s">
        <v>7471</v>
      </c>
      <c r="S85" s="28" t="s">
        <v>7486</v>
      </c>
      <c r="U85" s="381"/>
      <c r="V85" s="231"/>
      <c r="X85" s="28"/>
      <c r="Y85" s="28"/>
      <c r="Z85" s="149"/>
      <c r="AA85" s="392">
        <f>IFERROR(VLOOKUP(Tabla5810[[#This Row],[Cod trabalhador]],Alojamentos!B:P,11,FALSE),"")</f>
        <v>300</v>
      </c>
      <c r="AB85" s="127"/>
      <c r="AC85" s="150"/>
      <c r="AD85" s="35">
        <f>Tabla5810[[#This Row],[Dias de alta]]*7.058</f>
        <v>218.798</v>
      </c>
      <c r="AE85" s="46" t="str">
        <f>IFERROR(VLOOKUP(Tabla5810[[#This Row],[Cod trabalhador]],Adiantamentos!B:L,7,FALSE),"")</f>
        <v/>
      </c>
      <c r="AF85" s="46" t="str">
        <f>IFERROR(VLOOKUP(Tabla5810[[#This Row],[Cod trabalhador]],Carro!B:D,3,FALSE),"")</f>
        <v/>
      </c>
      <c r="AG85" s="46" t="str">
        <f>IFERROR(VLOOKUP(Tabla5810[[#This Row],[Cod trabalhador]],'Outros descontos'!B:O,7,FALSE),"")</f>
        <v/>
      </c>
      <c r="AH85" s="46" t="str">
        <f>IFERROR(VLOOKUP(Tabla5810[[#This Row],[Cod trabalhador]],'Outros descontos'!B:M,8,FALSE),"")</f>
        <v/>
      </c>
      <c r="AI85" s="46" t="str">
        <f>IFERROR(VLOOKUP(Tabla5810[[#This Row],[Cod trabalhador]],'Outros descontos'!B:M,9,FALSE),"")</f>
        <v/>
      </c>
      <c r="AJ85" s="46" t="str">
        <f>IFERROR(VLOOKUP(Tabla5810[[#This Row],[Cod trabalhador]],'Outros descontos'!B:M,10,FALSE),"")</f>
        <v/>
      </c>
      <c r="AK85" s="46" t="str">
        <f>IFERROR(VLOOKUP(Tabla5810[[#This Row],[Cod trabalhador]],'Outros descontos'!B:M,11,FALSE),"")</f>
        <v/>
      </c>
      <c r="AL85" s="46" t="str">
        <f>IFERROR(VLOOKUP(Tabla5810[[#This Row],[Cod trabalhador]],'Outros descontos'!B:M,12,FALSE),"")</f>
        <v/>
      </c>
      <c r="AM85" s="46" t="str">
        <f>IFERROR(VLOOKUP(Tabla5810[[#This Row],[Cod trabalhador]],'Outros descontos'!B:M,13,FALSE),"")</f>
        <v/>
      </c>
      <c r="AN85" s="393"/>
      <c r="AO85" s="37">
        <v>4.08</v>
      </c>
      <c r="AP85" s="15"/>
      <c r="AQ85"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2687.1220000000003</v>
      </c>
      <c r="AR85"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2687.1220000000003</v>
      </c>
      <c r="AS85" s="15"/>
      <c r="AT85" s="27" t="str">
        <f>IF(Tabla5810[[#This Row],[Cod trabalhador]]="", "", INDEX(Iban!C:C, MATCH(Tabla5810[[#This Row],[Cod trabalhador]],Iban!A:A, 0)))</f>
        <v>ES16 0182 5011 1602 0223 4024</v>
      </c>
      <c r="AU85" s="27"/>
      <c r="AV85" s="27"/>
      <c r="AW85" s="66" t="s">
        <v>7533</v>
      </c>
      <c r="AX85" s="296" t="s">
        <v>7472</v>
      </c>
    </row>
    <row r="86" spans="1:50" ht="18.75" customHeight="1" x14ac:dyDescent="0.3">
      <c r="A86" s="42">
        <v>81</v>
      </c>
      <c r="B86" s="39" t="s">
        <v>4874</v>
      </c>
      <c r="C86" s="45" t="str">
        <f>IF(ISNUMBER(MATCH(Tabla5810[[#This Row],[Cod trabalhador]],'Altas Luminous'!B:B, 0)), "Ativo", "Não ativo")</f>
        <v>Não ativo</v>
      </c>
      <c r="D86" s="44" t="str">
        <f>IFERROR(IF(VLOOKUP(Tabla5810[[#This Row],[Cod trabalhador]],'Altas Industrial'!B:E,1,0)&lt;&gt;"","KI",""),"")</f>
        <v/>
      </c>
      <c r="E86" s="44" t="str">
        <f>IFERROR(IF(VLOOKUP(Tabla5810[[#This Row],[Cod trabalhador]],'Altas Rosas'!B:F,1,0)&lt;&gt;"","KR",""),"")</f>
        <v/>
      </c>
      <c r="F86" s="44" t="str">
        <f>IFERROR(IF(VLOOKUP(Tabla5810[[#This Row],[Cod trabalhador]],'Altas Wiseowe'!B:E,1,0)&lt;&gt;"","WS",""),"")</f>
        <v/>
      </c>
      <c r="G86" s="44" t="str">
        <f>IFERROR(IF(VLOOKUP(Tabla5810[[#This Row],[Cod trabalhador]],'Altas Luminous'!B:E,1,0)&lt;&gt;"","LM",""),"")</f>
        <v/>
      </c>
      <c r="H86" s="51" t="str">
        <f>IFERROR(VLOOKUP(Tabla5810[[#This Row],[Cod trabalhador]],'Altas Luminous'!B:E,3,FALSE),"")</f>
        <v/>
      </c>
      <c r="I86" s="51" t="str">
        <f>IF(OR(Tabla5810[[#This Row],[Cod trabalhador]]="",ISBLANK(Tabla5810[[#This Row],[Cod trabalhador]])),"",IFERROR(IF(VLOOKUP(Tabla5810[[#This Row],[Cod trabalhador]],'Altas Luminous'!B:E,4,FALSE)=0,"",VLOOKUP(Tabla5810[[#This Row],[Cod trabalhador]],'Altas Luminous'!B:E,4,FALSE)),""))</f>
        <v/>
      </c>
      <c r="J86" s="44">
        <f t="shared" si="2"/>
        <v>0</v>
      </c>
      <c r="K86" s="44" t="s">
        <v>7112</v>
      </c>
      <c r="L86" s="24" t="str">
        <f>IFERROR(IF(Tabla5810[[#This Row],[Cod trabalhador]]="",Tabla5810[[#This Row],[Cod trabalhador]], INDEX(Colaborador_ID[Nombre], MATCH(Tabla5810[[#This Row],[Cod trabalhador]],Colaborador_ID[Cod_colab], 0))), "")</f>
        <v>LUIS FERNANDO TOVAR LLAMOZA</v>
      </c>
      <c r="M86" s="340"/>
      <c r="N86" s="23" t="s">
        <v>7109</v>
      </c>
      <c r="O86" s="401">
        <f>IFERROR(VLOOKUP(Tabla5810[[#This Row],[Cod trabalhador]],Tabla15[],4,FALSE),"")</f>
        <v>15</v>
      </c>
      <c r="P86" s="232">
        <f>IFERROR(VLOOKUP(Tabla5810[[#This Row],[Cod trabalhador]],'TotalHorasAjustadas (2)'!D:L,8,FALSE),"")</f>
        <v>165.5</v>
      </c>
      <c r="Q86" s="27">
        <v>165.5</v>
      </c>
      <c r="R86" s="28" t="s">
        <v>7471</v>
      </c>
      <c r="S86" s="28" t="s">
        <v>7486</v>
      </c>
      <c r="U86" s="381"/>
      <c r="V86" s="231"/>
      <c r="X86" s="28"/>
      <c r="Y86" s="28"/>
      <c r="Z86" s="149"/>
      <c r="AA86" s="392">
        <f>IFERROR(VLOOKUP(Tabla5810[[#This Row],[Cod trabalhador]],Alojamentos!B:P,11,FALSE),"")</f>
        <v>300</v>
      </c>
      <c r="AB86" s="127"/>
      <c r="AC86" s="150"/>
      <c r="AD86" s="35">
        <f>Tabla5810[[#This Row],[Dias de alta]]*7.058</f>
        <v>0</v>
      </c>
      <c r="AE86" s="46" t="str">
        <f>IFERROR(VLOOKUP(Tabla5810[[#This Row],[Cod trabalhador]],Adiantamentos!B:L,7,FALSE),"")</f>
        <v/>
      </c>
      <c r="AF86" s="46" t="str">
        <f>IFERROR(VLOOKUP(Tabla5810[[#This Row],[Cod trabalhador]],Carro!B:D,3,FALSE),"")</f>
        <v/>
      </c>
      <c r="AG86" s="46" t="str">
        <f>IFERROR(VLOOKUP(Tabla5810[[#This Row],[Cod trabalhador]],'Outros descontos'!B:O,7,FALSE),"")</f>
        <v/>
      </c>
      <c r="AH86" s="46" t="str">
        <f>IFERROR(VLOOKUP(Tabla5810[[#This Row],[Cod trabalhador]],'Outros descontos'!B:M,8,FALSE),"")</f>
        <v/>
      </c>
      <c r="AI86" s="46" t="str">
        <f>IFERROR(VLOOKUP(Tabla5810[[#This Row],[Cod trabalhador]],'Outros descontos'!B:M,9,FALSE),"")</f>
        <v/>
      </c>
      <c r="AJ86" s="46" t="str">
        <f>IFERROR(VLOOKUP(Tabla5810[[#This Row],[Cod trabalhador]],'Outros descontos'!B:M,10,FALSE),"")</f>
        <v/>
      </c>
      <c r="AK86" s="46" t="str">
        <f>IFERROR(VLOOKUP(Tabla5810[[#This Row],[Cod trabalhador]],'Outros descontos'!B:M,11,FALSE),"")</f>
        <v/>
      </c>
      <c r="AL86" s="46" t="str">
        <f>IFERROR(VLOOKUP(Tabla5810[[#This Row],[Cod trabalhador]],'Outros descontos'!B:M,12,FALSE),"")</f>
        <v/>
      </c>
      <c r="AM86" s="46" t="str">
        <f>IFERROR(VLOOKUP(Tabla5810[[#This Row],[Cod trabalhador]],'Outros descontos'!B:M,13,FALSE),"")</f>
        <v/>
      </c>
      <c r="AN86" s="393"/>
      <c r="AO86" s="37">
        <v>4.08</v>
      </c>
      <c r="AP86" s="15"/>
      <c r="AQ86"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2778.42</v>
      </c>
      <c r="AR86"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2778.42</v>
      </c>
      <c r="AS86" s="15"/>
      <c r="AT86" s="27" t="str">
        <f>IF(Tabla5810[[#This Row],[Cod trabalhador]]="", "", INDEX(Iban!C:C, MATCH(Tabla5810[[#This Row],[Cod trabalhador]],Iban!A:A, 0)))</f>
        <v>ES93 6893 0001 7000 0027 7638</v>
      </c>
      <c r="AU86" s="27"/>
      <c r="AV86" s="27"/>
      <c r="AW86" s="66" t="s">
        <v>7533</v>
      </c>
      <c r="AX86" s="296" t="s">
        <v>7472</v>
      </c>
    </row>
    <row r="87" spans="1:50" ht="18.75" customHeight="1" x14ac:dyDescent="0.3">
      <c r="A87" s="42">
        <v>82</v>
      </c>
      <c r="B87" s="39" t="s">
        <v>4895</v>
      </c>
      <c r="C87" s="45" t="str">
        <f>IF(ISNUMBER(MATCH(Tabla5810[[#This Row],[Cod trabalhador]],'Altas Luminous'!B:B, 0)), "Ativo", "Não ativo")</f>
        <v>Ativo</v>
      </c>
      <c r="D87" s="44" t="str">
        <f>IFERROR(IF(VLOOKUP(Tabla5810[[#This Row],[Cod trabalhador]],'Altas Industrial'!B:E,1,0)&lt;&gt;"","KI",""),"")</f>
        <v/>
      </c>
      <c r="E87" s="44" t="str">
        <f>IFERROR(IF(VLOOKUP(Tabla5810[[#This Row],[Cod trabalhador]],'Altas Rosas'!B:F,1,0)&lt;&gt;"","KR",""),"")</f>
        <v/>
      </c>
      <c r="F87" s="44" t="str">
        <f>IFERROR(IF(VLOOKUP(Tabla5810[[#This Row],[Cod trabalhador]],'Altas Wiseowe'!B:E,1,0)&lt;&gt;"","WS",""),"")</f>
        <v/>
      </c>
      <c r="G87" s="44" t="str">
        <f>IFERROR(IF(VLOOKUP(Tabla5810[[#This Row],[Cod trabalhador]],'Altas Luminous'!B:E,1,0)&lt;&gt;"","LM",""),"")</f>
        <v>LM</v>
      </c>
      <c r="H87" s="51">
        <f>IFERROR(VLOOKUP(Tabla5810[[#This Row],[Cod trabalhador]],'Altas Luminous'!B:E,3,FALSE),"")</f>
        <v>46052</v>
      </c>
      <c r="I87" s="51" t="str">
        <f>IF(OR(Tabla5810[[#This Row],[Cod trabalhador]]="",ISBLANK(Tabla5810[[#This Row],[Cod trabalhador]])),"",IFERROR(IF(VLOOKUP(Tabla5810[[#This Row],[Cod trabalhador]],'Altas Luminous'!B:E,4,FALSE)=0,"",VLOOKUP(Tabla5810[[#This Row],[Cod trabalhador]],'Altas Luminous'!B:E,4,FALSE)),""))</f>
        <v/>
      </c>
      <c r="J87" s="44">
        <f t="shared" si="2"/>
        <v>2</v>
      </c>
      <c r="K87" s="44" t="s">
        <v>4896</v>
      </c>
      <c r="L87" s="24" t="str">
        <f>IFERROR(IF(Tabla5810[[#This Row],[Cod trabalhador]]="",Tabla5810[[#This Row],[Cod trabalhador]], INDEX(Colaborador_ID[Nombre], MATCH(Tabla5810[[#This Row],[Cod trabalhador]],Colaborador_ID[Cod_colab], 0))), "")</f>
        <v>LUIS GUILLERMO ARTEAGA AGUDELO</v>
      </c>
      <c r="M87" s="340"/>
      <c r="N87" s="23" t="s">
        <v>7133</v>
      </c>
      <c r="O87" s="401">
        <v>15</v>
      </c>
      <c r="P87" s="232">
        <f>IFERROR(VLOOKUP(Tabla5810[[#This Row],[Cod trabalhador]],'TotalHorasAjustadas (2)'!D:L,8,FALSE),"")</f>
        <v>36</v>
      </c>
      <c r="Q87" s="27">
        <v>36</v>
      </c>
      <c r="R87" s="28" t="s">
        <v>7532</v>
      </c>
      <c r="S87" s="28" t="s">
        <v>7486</v>
      </c>
      <c r="U87" s="381" t="s">
        <v>7177</v>
      </c>
      <c r="V87" s="231">
        <v>15</v>
      </c>
      <c r="W87" s="1">
        <v>23</v>
      </c>
      <c r="X87" s="28" t="s">
        <v>7548</v>
      </c>
      <c r="Y87" s="28"/>
      <c r="Z87" s="149"/>
      <c r="AA87" s="392" t="str">
        <f>IFERROR(VLOOKUP(Tabla5810[[#This Row],[Cod trabalhador]],Alojamentos!B:P,11,FALSE),"")</f>
        <v/>
      </c>
      <c r="AB87" s="127"/>
      <c r="AC87" s="150"/>
      <c r="AD87" s="35">
        <f>Tabla5810[[#This Row],[Dias de alta]]*7.058</f>
        <v>14.116</v>
      </c>
      <c r="AE87" s="46">
        <f>IFERROR(VLOOKUP(Tabla5810[[#This Row],[Cod trabalhador]],Adiantamentos!B:L,7,FALSE),"")</f>
        <v>64</v>
      </c>
      <c r="AF87" s="46">
        <f>IFERROR(VLOOKUP(Tabla5810[[#This Row],[Cod trabalhador]],Carro!B:D,3,FALSE),"")</f>
        <v>30</v>
      </c>
      <c r="AG87" s="46" t="str">
        <f>IFERROR(VLOOKUP(Tabla5810[[#This Row],[Cod trabalhador]],'Outros descontos'!B:O,7,FALSE),"")</f>
        <v/>
      </c>
      <c r="AH87" s="46" t="str">
        <f>IFERROR(VLOOKUP(Tabla5810[[#This Row],[Cod trabalhador]],'Outros descontos'!B:M,8,FALSE),"")</f>
        <v/>
      </c>
      <c r="AI87" s="46" t="str">
        <f>IFERROR(VLOOKUP(Tabla5810[[#This Row],[Cod trabalhador]],'Outros descontos'!B:M,9,FALSE),"")</f>
        <v/>
      </c>
      <c r="AJ87" s="46" t="str">
        <f>IFERROR(VLOOKUP(Tabla5810[[#This Row],[Cod trabalhador]],'Outros descontos'!B:M,10,FALSE),"")</f>
        <v/>
      </c>
      <c r="AK87" s="46" t="str">
        <f>IFERROR(VLOOKUP(Tabla5810[[#This Row],[Cod trabalhador]],'Outros descontos'!B:M,11,FALSE),"")</f>
        <v/>
      </c>
      <c r="AL87" s="46" t="str">
        <f>IFERROR(VLOOKUP(Tabla5810[[#This Row],[Cod trabalhador]],'Outros descontos'!B:M,12,FALSE),"")</f>
        <v/>
      </c>
      <c r="AM87" s="46" t="str">
        <f>IFERROR(VLOOKUP(Tabla5810[[#This Row],[Cod trabalhador]],'Outros descontos'!B:M,13,FALSE),"")</f>
        <v/>
      </c>
      <c r="AN87" s="393"/>
      <c r="AO87" s="37">
        <v>4.08</v>
      </c>
      <c r="AP87" s="15"/>
      <c r="AQ87"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427.80400000000003</v>
      </c>
      <c r="AR87"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772.80399999999997</v>
      </c>
      <c r="AS87" s="15"/>
      <c r="AT87" s="27" t="str">
        <f>IF(Tabla5810[[#This Row],[Cod trabalhador]]="", "", INDEX(Iban!C:C, MATCH(Tabla5810[[#This Row],[Cod trabalhador]],Iban!A:A, 0)))</f>
        <v>ES51 6893 0001 7100 0033 3635</v>
      </c>
      <c r="AU87" s="27"/>
      <c r="AV87" s="27"/>
      <c r="AW87" s="66" t="s">
        <v>7533</v>
      </c>
      <c r="AX87" s="296" t="s">
        <v>7472</v>
      </c>
    </row>
    <row r="88" spans="1:50" ht="18.75" customHeight="1" x14ac:dyDescent="0.3">
      <c r="A88" s="42">
        <v>83</v>
      </c>
      <c r="B88" s="39" t="s">
        <v>4955</v>
      </c>
      <c r="C88" s="45" t="str">
        <f>IF(ISNUMBER(MATCH(Tabla5810[[#This Row],[Cod trabalhador]],'Altas Luminous'!B:B, 0)), "Ativo", "Não ativo")</f>
        <v>Ativo</v>
      </c>
      <c r="D88" s="44" t="str">
        <f>IFERROR(IF(VLOOKUP(Tabla5810[[#This Row],[Cod trabalhador]],'Altas Industrial'!B:E,1,0)&lt;&gt;"","KI",""),"")</f>
        <v/>
      </c>
      <c r="E88" s="44" t="str">
        <f>IFERROR(IF(VLOOKUP(Tabla5810[[#This Row],[Cod trabalhador]],'Altas Rosas'!B:F,1,0)&lt;&gt;"","KR",""),"")</f>
        <v/>
      </c>
      <c r="F88" s="44" t="str">
        <f>IFERROR(IF(VLOOKUP(Tabla5810[[#This Row],[Cod trabalhador]],'Altas Wiseowe'!B:E,1,0)&lt;&gt;"","WS",""),"")</f>
        <v/>
      </c>
      <c r="G88" s="44" t="str">
        <f>IFERROR(IF(VLOOKUP(Tabla5810[[#This Row],[Cod trabalhador]],'Altas Luminous'!B:E,1,0)&lt;&gt;"","LM",""),"")</f>
        <v>LM</v>
      </c>
      <c r="H88" s="51">
        <f>IFERROR(VLOOKUP(Tabla5810[[#This Row],[Cod trabalhador]],'Altas Luminous'!B:E,3,FALSE),"")</f>
        <v>46010</v>
      </c>
      <c r="I88" s="51" t="str">
        <f>IF(OR(Tabla5810[[#This Row],[Cod trabalhador]]="",ISBLANK(Tabla5810[[#This Row],[Cod trabalhador]])),"",IFERROR(IF(VLOOKUP(Tabla5810[[#This Row],[Cod trabalhador]],'Altas Luminous'!B:E,4,FALSE)=0,"",VLOOKUP(Tabla5810[[#This Row],[Cod trabalhador]],'Altas Luminous'!B:E,4,FALSE)),""))</f>
        <v/>
      </c>
      <c r="J88" s="44">
        <f t="shared" si="2"/>
        <v>31</v>
      </c>
      <c r="K88" s="44" t="s">
        <v>4956</v>
      </c>
      <c r="L88" s="24" t="str">
        <f>IFERROR(IF(Tabla5810[[#This Row],[Cod trabalhador]]="",Tabla5810[[#This Row],[Cod trabalhador]], INDEX(Colaborador_ID[Nombre], MATCH(Tabla5810[[#This Row],[Cod trabalhador]],Colaborador_ID[Cod_colab], 0))), "")</f>
        <v>LUIS MIGUEL VEGA FUENTES</v>
      </c>
      <c r="M88" s="340"/>
      <c r="N88" s="23" t="s">
        <v>7101</v>
      </c>
      <c r="O88" s="401">
        <f>IFERROR(VLOOKUP(Tabla5810[[#This Row],[Cod trabalhador]],Tabla15[],4,FALSE),"")</f>
        <v>15</v>
      </c>
      <c r="P88" s="232">
        <f>IFERROR(VLOOKUP(Tabla5810[[#This Row],[Cod trabalhador]],'TotalHorasAjustadas (2)'!D:L,8,FALSE),"")</f>
        <v>182</v>
      </c>
      <c r="Q88" s="27">
        <v>190</v>
      </c>
      <c r="R88" s="28" t="s">
        <v>7532</v>
      </c>
      <c r="S88" s="28" t="s">
        <v>7486</v>
      </c>
      <c r="U88" s="381"/>
      <c r="V88" s="231"/>
      <c r="X88" s="28"/>
      <c r="Y88" s="28"/>
      <c r="Z88" s="149"/>
      <c r="AA88" s="392" t="str">
        <f>IFERROR(VLOOKUP(Tabla5810[[#This Row],[Cod trabalhador]],Alojamentos!B:P,11,FALSE),"")</f>
        <v/>
      </c>
      <c r="AB88" s="127"/>
      <c r="AC88" s="150"/>
      <c r="AD88" s="35">
        <f>Tabla5810[[#This Row],[Dias de alta]]*7.058</f>
        <v>218.798</v>
      </c>
      <c r="AE88" s="46" t="str">
        <f>IFERROR(VLOOKUP(Tabla5810[[#This Row],[Cod trabalhador]],Adiantamentos!B:L,7,FALSE),"")</f>
        <v/>
      </c>
      <c r="AF88" s="46" t="str">
        <f>IFERROR(VLOOKUP(Tabla5810[[#This Row],[Cod trabalhador]],Carro!B:D,3,FALSE),"")</f>
        <v/>
      </c>
      <c r="AG88" s="46" t="str">
        <f>IFERROR(VLOOKUP(Tabla5810[[#This Row],[Cod trabalhador]],'Outros descontos'!B:O,7,FALSE),"")</f>
        <v/>
      </c>
      <c r="AH88" s="46" t="str">
        <f>IFERROR(VLOOKUP(Tabla5810[[#This Row],[Cod trabalhador]],'Outros descontos'!B:M,8,FALSE),"")</f>
        <v/>
      </c>
      <c r="AI88" s="46" t="str">
        <f>IFERROR(VLOOKUP(Tabla5810[[#This Row],[Cod trabalhador]],'Outros descontos'!B:M,9,FALSE),"")</f>
        <v/>
      </c>
      <c r="AJ88" s="46" t="str">
        <f>IFERROR(VLOOKUP(Tabla5810[[#This Row],[Cod trabalhador]],'Outros descontos'!B:M,10,FALSE),"")</f>
        <v/>
      </c>
      <c r="AK88" s="46" t="str">
        <f>IFERROR(VLOOKUP(Tabla5810[[#This Row],[Cod trabalhador]],'Outros descontos'!B:M,11,FALSE),"")</f>
        <v/>
      </c>
      <c r="AL88" s="46" t="str">
        <f>IFERROR(VLOOKUP(Tabla5810[[#This Row],[Cod trabalhador]],'Outros descontos'!B:M,12,FALSE),"")</f>
        <v/>
      </c>
      <c r="AM88" s="46" t="str">
        <f>IFERROR(VLOOKUP(Tabla5810[[#This Row],[Cod trabalhador]],'Outros descontos'!B:M,13,FALSE),"")</f>
        <v/>
      </c>
      <c r="AN88" s="393"/>
      <c r="AO88" s="37">
        <v>4.08</v>
      </c>
      <c r="AP88" s="15"/>
      <c r="AQ88"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2507.1220000000003</v>
      </c>
      <c r="AR88"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2627.1220000000003</v>
      </c>
      <c r="AS88" s="15"/>
      <c r="AT88" s="27" t="str">
        <f>IF(Tabla5810[[#This Row],[Cod trabalhador]]="", "", INDEX(Iban!C:C, MATCH(Tabla5810[[#This Row],[Cod trabalhador]],Iban!A:A, 0)))</f>
        <v xml:space="preserve">ES96 0182 0670 1402 0161 0197 </v>
      </c>
      <c r="AU88" s="27"/>
      <c r="AV88" s="27"/>
      <c r="AW88" s="66" t="s">
        <v>7533</v>
      </c>
      <c r="AX88" s="296" t="s">
        <v>7472</v>
      </c>
    </row>
    <row r="89" spans="1:50" ht="18.75" customHeight="1" x14ac:dyDescent="0.3">
      <c r="A89" s="42">
        <v>84</v>
      </c>
      <c r="B89" s="39" t="s">
        <v>5081</v>
      </c>
      <c r="C89" s="45" t="str">
        <f>IF(ISNUMBER(MATCH(Tabla5810[[#This Row],[Cod trabalhador]],'Altas Luminous'!B:B, 0)), "Ativo", "Não ativo")</f>
        <v>Não ativo</v>
      </c>
      <c r="D89" s="44" t="str">
        <f>IFERROR(IF(VLOOKUP(Tabla5810[[#This Row],[Cod trabalhador]],'Altas Industrial'!B:E,1,0)&lt;&gt;"","KI",""),"")</f>
        <v/>
      </c>
      <c r="E89" s="44" t="str">
        <f>IFERROR(IF(VLOOKUP(Tabla5810[[#This Row],[Cod trabalhador]],'Altas Rosas'!B:F,1,0)&lt;&gt;"","KR",""),"")</f>
        <v/>
      </c>
      <c r="F89" s="44" t="str">
        <f>IFERROR(IF(VLOOKUP(Tabla5810[[#This Row],[Cod trabalhador]],'Altas Wiseowe'!B:E,1,0)&lt;&gt;"","WS",""),"")</f>
        <v/>
      </c>
      <c r="G89" s="44" t="str">
        <f>IFERROR(IF(VLOOKUP(Tabla5810[[#This Row],[Cod trabalhador]],'Altas Luminous'!B:E,1,0)&lt;&gt;"","LM",""),"")</f>
        <v/>
      </c>
      <c r="H89" s="51" t="str">
        <f>IFERROR(VLOOKUP(Tabla5810[[#This Row],[Cod trabalhador]],'Altas Luminous'!B:E,3,FALSE),"")</f>
        <v/>
      </c>
      <c r="I89" s="51" t="str">
        <f>IF(OR(Tabla5810[[#This Row],[Cod trabalhador]]="",ISBLANK(Tabla5810[[#This Row],[Cod trabalhador]])),"",IFERROR(IF(VLOOKUP(Tabla5810[[#This Row],[Cod trabalhador]],'Altas Luminous'!B:E,4,FALSE)=0,"",VLOOKUP(Tabla5810[[#This Row],[Cod trabalhador]],'Altas Luminous'!B:E,4,FALSE)),""))</f>
        <v/>
      </c>
      <c r="J89" s="44">
        <f t="shared" si="2"/>
        <v>0</v>
      </c>
      <c r="K89" s="44" t="s">
        <v>5082</v>
      </c>
      <c r="L89" s="24" t="str">
        <f>IFERROR(IF(Tabla5810[[#This Row],[Cod trabalhador]]="",Tabla5810[[#This Row],[Cod trabalhador]], INDEX(Colaborador_ID[Nombre], MATCH(Tabla5810[[#This Row],[Cod trabalhador]],Colaborador_ID[Cod_colab], 0))), "")</f>
        <v>MARCOS RAFAEL CASANI VALDEZ</v>
      </c>
      <c r="M89" s="340"/>
      <c r="N89" s="23" t="s">
        <v>7101</v>
      </c>
      <c r="O89" s="401">
        <v>15</v>
      </c>
      <c r="P89" s="232">
        <f>IFERROR(VLOOKUP(Tabla5810[[#This Row],[Cod trabalhador]],'TotalHorasAjustadas (2)'!D:L,8,FALSE),"")</f>
        <v>191.5</v>
      </c>
      <c r="Q89" s="27">
        <v>191.5</v>
      </c>
      <c r="R89" s="28" t="s">
        <v>7532</v>
      </c>
      <c r="S89" s="28" t="s">
        <v>7486</v>
      </c>
      <c r="U89" s="381"/>
      <c r="V89" s="231"/>
      <c r="X89" s="28"/>
      <c r="Y89" s="28"/>
      <c r="Z89" s="149"/>
      <c r="AA89" s="392" t="str">
        <f>IFERROR(VLOOKUP(Tabla5810[[#This Row],[Cod trabalhador]],Alojamentos!B:P,11,FALSE),"")</f>
        <v/>
      </c>
      <c r="AB89" s="127"/>
      <c r="AC89" s="150"/>
      <c r="AD89" s="35">
        <f>Tabla5810[[#This Row],[Dias de alta]]*7.058</f>
        <v>0</v>
      </c>
      <c r="AE89" s="46" t="str">
        <f>IFERROR(VLOOKUP(Tabla5810[[#This Row],[Cod trabalhador]],Adiantamentos!B:L,7,FALSE),"")</f>
        <v/>
      </c>
      <c r="AF89" s="46" t="str">
        <f>IFERROR(VLOOKUP(Tabla5810[[#This Row],[Cod trabalhador]],Carro!B:D,3,FALSE),"")</f>
        <v/>
      </c>
      <c r="AG89" s="46">
        <f>IFERROR(VLOOKUP(Tabla5810[[#This Row],[Cod trabalhador]],'Outros descontos'!B:O,7,FALSE),"")</f>
        <v>0</v>
      </c>
      <c r="AH89" s="46">
        <f>IFERROR(VLOOKUP(Tabla5810[[#This Row],[Cod trabalhador]],'Outros descontos'!B:M,8,FALSE),"")</f>
        <v>0</v>
      </c>
      <c r="AI89" s="46">
        <f>IFERROR(VLOOKUP(Tabla5810[[#This Row],[Cod trabalhador]],'Outros descontos'!B:M,9,FALSE),"")</f>
        <v>0</v>
      </c>
      <c r="AJ89" s="46">
        <f>IFERROR(VLOOKUP(Tabla5810[[#This Row],[Cod trabalhador]],'Outros descontos'!B:M,10,FALSE),"")</f>
        <v>0</v>
      </c>
      <c r="AK89" s="46">
        <f>IFERROR(VLOOKUP(Tabla5810[[#This Row],[Cod trabalhador]],'Outros descontos'!B:M,11,FALSE),"")</f>
        <v>0</v>
      </c>
      <c r="AL89" s="46">
        <f>IFERROR(VLOOKUP(Tabla5810[[#This Row],[Cod trabalhador]],'Outros descontos'!B:M,12,FALSE),"")</f>
        <v>21.74</v>
      </c>
      <c r="AM89" s="46" t="str">
        <f>IFERROR(VLOOKUP(Tabla5810[[#This Row],[Cod trabalhador]],'Outros descontos'!B:M,13,FALSE),"")</f>
        <v/>
      </c>
      <c r="AN89" s="393"/>
      <c r="AO89" s="37">
        <v>4.08</v>
      </c>
      <c r="AP89" s="15"/>
      <c r="AQ89"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2846.6800000000003</v>
      </c>
      <c r="AR89"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2846.6800000000003</v>
      </c>
      <c r="AS89" s="15"/>
      <c r="AT89" s="27" t="str">
        <f>IF(Tabla5810[[#This Row],[Cod trabalhador]]="", "", INDEX(Iban!C:C, MATCH(Tabla5810[[#This Row],[Cod trabalhador]],Iban!A:A, 0)))</f>
        <v>ES81 0049 0128 5620 1097 1951</v>
      </c>
      <c r="AU89" s="27"/>
      <c r="AV89" s="27"/>
      <c r="AW89" s="66" t="s">
        <v>7533</v>
      </c>
      <c r="AX89" s="296" t="s">
        <v>7472</v>
      </c>
    </row>
    <row r="90" spans="1:50" ht="18.75" customHeight="1" x14ac:dyDescent="0.3">
      <c r="A90" s="42">
        <v>85</v>
      </c>
      <c r="B90" s="39" t="s">
        <v>5102</v>
      </c>
      <c r="C90" s="45" t="str">
        <f>IF(ISNUMBER(MATCH(Tabla5810[[#This Row],[Cod trabalhador]],'Altas Luminous'!B:B, 0)), "Ativo", "Não ativo")</f>
        <v>Ativo</v>
      </c>
      <c r="D90" s="44" t="str">
        <f>IFERROR(IF(VLOOKUP(Tabla5810[[#This Row],[Cod trabalhador]],'Altas Industrial'!B:E,1,0)&lt;&gt;"","KI",""),"")</f>
        <v/>
      </c>
      <c r="E90" s="44" t="str">
        <f>IFERROR(IF(VLOOKUP(Tabla5810[[#This Row],[Cod trabalhador]],'Altas Rosas'!B:F,1,0)&lt;&gt;"","KR",""),"")</f>
        <v/>
      </c>
      <c r="F90" s="44" t="str">
        <f>IFERROR(IF(VLOOKUP(Tabla5810[[#This Row],[Cod trabalhador]],'Altas Wiseowe'!B:E,1,0)&lt;&gt;"","WS",""),"")</f>
        <v/>
      </c>
      <c r="G90" s="44" t="str">
        <f>IFERROR(IF(VLOOKUP(Tabla5810[[#This Row],[Cod trabalhador]],'Altas Luminous'!B:E,1,0)&lt;&gt;"","LM",""),"")</f>
        <v>LM</v>
      </c>
      <c r="H90" s="51">
        <f>IFERROR(VLOOKUP(Tabla5810[[#This Row],[Cod trabalhador]],'Altas Luminous'!B:E,3,FALSE),"")</f>
        <v>46041</v>
      </c>
      <c r="I90" s="51" t="str">
        <f>IF(OR(Tabla5810[[#This Row],[Cod trabalhador]]="",ISBLANK(Tabla5810[[#This Row],[Cod trabalhador]])),"",IFERROR(IF(VLOOKUP(Tabla5810[[#This Row],[Cod trabalhador]],'Altas Luminous'!B:E,4,FALSE)=0,"",VLOOKUP(Tabla5810[[#This Row],[Cod trabalhador]],'Altas Luminous'!B:E,4,FALSE)),""))</f>
        <v/>
      </c>
      <c r="J90" s="44">
        <f t="shared" si="2"/>
        <v>13</v>
      </c>
      <c r="K90" s="44" t="s">
        <v>5103</v>
      </c>
      <c r="L90" s="24" t="str">
        <f>IFERROR(IF(Tabla5810[[#This Row],[Cod trabalhador]]="",Tabla5810[[#This Row],[Cod trabalhador]], INDEX(Colaborador_ID[Nombre], MATCH(Tabla5810[[#This Row],[Cod trabalhador]],Colaborador_ID[Cod_colab], 0))), "")</f>
        <v>MARIO ALEXANDER PEÑALOZA GARCIA</v>
      </c>
      <c r="M90" s="340"/>
      <c r="N90" s="23" t="s">
        <v>7157</v>
      </c>
      <c r="O90" s="401">
        <v>15</v>
      </c>
      <c r="P90" s="232">
        <f>IFERROR(VLOOKUP(Tabla5810[[#This Row],[Cod trabalhador]],'TotalHorasAjustadas (2)'!D:L,8,FALSE),"")</f>
        <v>73</v>
      </c>
      <c r="Q90" s="27">
        <v>82.5</v>
      </c>
      <c r="R90" s="28" t="s">
        <v>7532</v>
      </c>
      <c r="S90" s="28" t="s">
        <v>7486</v>
      </c>
      <c r="U90" s="381"/>
      <c r="V90" s="231"/>
      <c r="X90" s="28"/>
      <c r="Y90" s="28"/>
      <c r="Z90" s="149"/>
      <c r="AA90" s="392" t="str">
        <f>IFERROR(VLOOKUP(Tabla5810[[#This Row],[Cod trabalhador]],Alojamentos!B:P,11,FALSE),"")</f>
        <v/>
      </c>
      <c r="AB90" s="127"/>
      <c r="AC90" s="150"/>
      <c r="AD90" s="35">
        <f>Tabla5810[[#This Row],[Dias de alta]]*7.058</f>
        <v>91.753999999999991</v>
      </c>
      <c r="AE90" s="46" t="str">
        <f>IFERROR(VLOOKUP(Tabla5810[[#This Row],[Cod trabalhador]],Adiantamentos!B:L,7,FALSE),"")</f>
        <v/>
      </c>
      <c r="AF90" s="46">
        <f>IFERROR(VLOOKUP(Tabla5810[[#This Row],[Cod trabalhador]],Carro!B:D,3,FALSE),"")</f>
        <v>55</v>
      </c>
      <c r="AG90" s="46" t="str">
        <f>IFERROR(VLOOKUP(Tabla5810[[#This Row],[Cod trabalhador]],'Outros descontos'!B:O,7,FALSE),"")</f>
        <v/>
      </c>
      <c r="AH90" s="46" t="str">
        <f>IFERROR(VLOOKUP(Tabla5810[[#This Row],[Cod trabalhador]],'Outros descontos'!B:M,8,FALSE),"")</f>
        <v/>
      </c>
      <c r="AI90" s="46" t="str">
        <f>IFERROR(VLOOKUP(Tabla5810[[#This Row],[Cod trabalhador]],'Outros descontos'!B:M,9,FALSE),"")</f>
        <v/>
      </c>
      <c r="AJ90" s="46" t="str">
        <f>IFERROR(VLOOKUP(Tabla5810[[#This Row],[Cod trabalhador]],'Outros descontos'!B:M,10,FALSE),"")</f>
        <v/>
      </c>
      <c r="AK90" s="46" t="str">
        <f>IFERROR(VLOOKUP(Tabla5810[[#This Row],[Cod trabalhador]],'Outros descontos'!B:M,11,FALSE),"")</f>
        <v/>
      </c>
      <c r="AL90" s="46" t="str">
        <f>IFERROR(VLOOKUP(Tabla5810[[#This Row],[Cod trabalhador]],'Outros descontos'!B:M,12,FALSE),"")</f>
        <v/>
      </c>
      <c r="AM90" s="46" t="str">
        <f>IFERROR(VLOOKUP(Tabla5810[[#This Row],[Cod trabalhador]],'Outros descontos'!B:M,13,FALSE),"")</f>
        <v/>
      </c>
      <c r="AN90" s="393"/>
      <c r="AO90" s="37">
        <v>4.08</v>
      </c>
      <c r="AP90" s="15"/>
      <c r="AQ90"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944.16599999999994</v>
      </c>
      <c r="AR90"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1086.6660000000002</v>
      </c>
      <c r="AS90" s="15"/>
      <c r="AT90" s="27" t="str">
        <f>IF(Tabla5810[[#This Row],[Cod trabalhador]]="", "", INDEX(Iban!C:C, MATCH(Tabla5810[[#This Row],[Cod trabalhador]],Iban!A:A, 0)))</f>
        <v>ES59 0182 0894 1702 0161 6685</v>
      </c>
      <c r="AU90" s="27"/>
      <c r="AV90" s="27"/>
      <c r="AW90" s="66" t="s">
        <v>7533</v>
      </c>
      <c r="AX90" s="296" t="s">
        <v>7472</v>
      </c>
    </row>
    <row r="91" spans="1:50" ht="18.75" customHeight="1" x14ac:dyDescent="0.3">
      <c r="A91" s="42">
        <v>86</v>
      </c>
      <c r="B91" s="39" t="s">
        <v>5211</v>
      </c>
      <c r="C91" s="45" t="str">
        <f>IF(ISNUMBER(MATCH(Tabla5810[[#This Row],[Cod trabalhador]],'Altas Luminous'!B:B, 0)), "Ativo", "Não ativo")</f>
        <v>Ativo</v>
      </c>
      <c r="D91" s="44" t="str">
        <f>IFERROR(IF(VLOOKUP(Tabla5810[[#This Row],[Cod trabalhador]],'Altas Industrial'!B:E,1,0)&lt;&gt;"","KI",""),"")</f>
        <v/>
      </c>
      <c r="E91" s="44" t="str">
        <f>IFERROR(IF(VLOOKUP(Tabla5810[[#This Row],[Cod trabalhador]],'Altas Rosas'!B:F,1,0)&lt;&gt;"","KR",""),"")</f>
        <v/>
      </c>
      <c r="F91" s="44" t="str">
        <f>IFERROR(IF(VLOOKUP(Tabla5810[[#This Row],[Cod trabalhador]],'Altas Wiseowe'!B:E,1,0)&lt;&gt;"","WS",""),"")</f>
        <v/>
      </c>
      <c r="G91" s="44" t="str">
        <f>IFERROR(IF(VLOOKUP(Tabla5810[[#This Row],[Cod trabalhador]],'Altas Luminous'!B:E,1,0)&lt;&gt;"","LM",""),"")</f>
        <v>LM</v>
      </c>
      <c r="H91" s="51">
        <f>IFERROR(VLOOKUP(Tabla5810[[#This Row],[Cod trabalhador]],'Altas Luminous'!B:E,3,FALSE),"")</f>
        <v>46048</v>
      </c>
      <c r="I91" s="51" t="str">
        <f>IF(OR(Tabla5810[[#This Row],[Cod trabalhador]]="",ISBLANK(Tabla5810[[#This Row],[Cod trabalhador]])),"",IFERROR(IF(VLOOKUP(Tabla5810[[#This Row],[Cod trabalhador]],'Altas Luminous'!B:E,4,FALSE)=0,"",VLOOKUP(Tabla5810[[#This Row],[Cod trabalhador]],'Altas Luminous'!B:E,4,FALSE)),""))</f>
        <v/>
      </c>
      <c r="J91" s="44">
        <f t="shared" si="2"/>
        <v>6</v>
      </c>
      <c r="K91" s="44" t="s">
        <v>5212</v>
      </c>
      <c r="L91" s="24" t="str">
        <f>IFERROR(IF(Tabla5810[[#This Row],[Cod trabalhador]]="",Tabla5810[[#This Row],[Cod trabalhador]], INDEX(Colaborador_ID[Nombre], MATCH(Tabla5810[[#This Row],[Cod trabalhador]],Colaborador_ID[Cod_colab], 0))), "")</f>
        <v>MAURICIO ORTIZ CONTRERAS</v>
      </c>
      <c r="M91" s="340"/>
      <c r="N91" s="23" t="s">
        <v>7130</v>
      </c>
      <c r="O91" s="401">
        <v>12</v>
      </c>
      <c r="P91" s="232">
        <f>IFERROR(VLOOKUP(Tabla5810[[#This Row],[Cod trabalhador]],'TotalHorasAjustadas (2)'!D:L,8,FALSE),"")</f>
        <v>30</v>
      </c>
      <c r="Q91" s="27">
        <v>30</v>
      </c>
      <c r="R91" s="28" t="s">
        <v>7532</v>
      </c>
      <c r="S91" s="28" t="s">
        <v>7486</v>
      </c>
      <c r="U91" s="381"/>
      <c r="V91" s="231"/>
      <c r="X91" s="28"/>
      <c r="Y91" s="28"/>
      <c r="Z91" s="149"/>
      <c r="AA91" s="392" t="str">
        <f>IFERROR(VLOOKUP(Tabla5810[[#This Row],[Cod trabalhador]],Alojamentos!B:P,11,FALSE),"")</f>
        <v/>
      </c>
      <c r="AB91" s="127"/>
      <c r="AC91" s="150"/>
      <c r="AD91" s="35">
        <f>Tabla5810[[#This Row],[Dias de alta]]*7.058</f>
        <v>42.347999999999999</v>
      </c>
      <c r="AE91" s="46" t="str">
        <f>IFERROR(VLOOKUP(Tabla5810[[#This Row],[Cod trabalhador]],Adiantamentos!B:L,7,FALSE),"")</f>
        <v/>
      </c>
      <c r="AF91" s="46" t="str">
        <f>IFERROR(VLOOKUP(Tabla5810[[#This Row],[Cod trabalhador]],Carro!B:D,3,FALSE),"")</f>
        <v/>
      </c>
      <c r="AG91" s="46" t="str">
        <f>IFERROR(VLOOKUP(Tabla5810[[#This Row],[Cod trabalhador]],'Outros descontos'!B:O,7,FALSE),"")</f>
        <v/>
      </c>
      <c r="AH91" s="46" t="str">
        <f>IFERROR(VLOOKUP(Tabla5810[[#This Row],[Cod trabalhador]],'Outros descontos'!B:M,8,FALSE),"")</f>
        <v/>
      </c>
      <c r="AI91" s="46" t="str">
        <f>IFERROR(VLOOKUP(Tabla5810[[#This Row],[Cod trabalhador]],'Outros descontos'!B:M,9,FALSE),"")</f>
        <v/>
      </c>
      <c r="AJ91" s="46" t="str">
        <f>IFERROR(VLOOKUP(Tabla5810[[#This Row],[Cod trabalhador]],'Outros descontos'!B:M,10,FALSE),"")</f>
        <v/>
      </c>
      <c r="AK91" s="46" t="str">
        <f>IFERROR(VLOOKUP(Tabla5810[[#This Row],[Cod trabalhador]],'Outros descontos'!B:M,11,FALSE),"")</f>
        <v/>
      </c>
      <c r="AL91" s="46" t="str">
        <f>IFERROR(VLOOKUP(Tabla5810[[#This Row],[Cod trabalhador]],'Outros descontos'!B:M,12,FALSE),"")</f>
        <v/>
      </c>
      <c r="AM91" s="46" t="str">
        <f>IFERROR(VLOOKUP(Tabla5810[[#This Row],[Cod trabalhador]],'Outros descontos'!B:M,13,FALSE),"")</f>
        <v/>
      </c>
      <c r="AN91" s="393"/>
      <c r="AO91" s="37">
        <v>4.08</v>
      </c>
      <c r="AP91" s="15"/>
      <c r="AQ91"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313.572</v>
      </c>
      <c r="AR91"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313.572</v>
      </c>
      <c r="AS91" s="15"/>
      <c r="AT91" s="27" t="str">
        <f>IF(Tabla5810[[#This Row],[Cod trabalhador]]="", "", INDEX(Iban!C:C, MATCH(Tabla5810[[#This Row],[Cod trabalhador]],Iban!A:A, 0)))</f>
        <v>ES48 0182 7424 9502 0160 6273</v>
      </c>
      <c r="AU91" s="27"/>
      <c r="AV91" s="27"/>
      <c r="AW91" s="66" t="s">
        <v>7533</v>
      </c>
      <c r="AX91" s="296" t="s">
        <v>7472</v>
      </c>
    </row>
    <row r="92" spans="1:50" ht="18.75" customHeight="1" x14ac:dyDescent="0.3">
      <c r="A92" s="42">
        <v>87</v>
      </c>
      <c r="B92" s="39" t="s">
        <v>5219</v>
      </c>
      <c r="C92" s="45" t="str">
        <f>IF(ISNUMBER(MATCH(Tabla5810[[#This Row],[Cod trabalhador]],'Altas Luminous'!B:B, 0)), "Ativo", "Não ativo")</f>
        <v>Ativo</v>
      </c>
      <c r="D92" s="44" t="str">
        <f>IFERROR(IF(VLOOKUP(Tabla5810[[#This Row],[Cod trabalhador]],'Altas Industrial'!B:E,1,0)&lt;&gt;"","KI",""),"")</f>
        <v/>
      </c>
      <c r="E92" s="44" t="str">
        <f>IFERROR(IF(VLOOKUP(Tabla5810[[#This Row],[Cod trabalhador]],'Altas Rosas'!B:F,1,0)&lt;&gt;"","KR",""),"")</f>
        <v>KR</v>
      </c>
      <c r="F92" s="44" t="str">
        <f>IFERROR(IF(VLOOKUP(Tabla5810[[#This Row],[Cod trabalhador]],'Altas Wiseowe'!B:E,1,0)&lt;&gt;"","WS",""),"")</f>
        <v/>
      </c>
      <c r="G92" s="44" t="str">
        <f>IFERROR(IF(VLOOKUP(Tabla5810[[#This Row],[Cod trabalhador]],'Altas Luminous'!B:E,1,0)&lt;&gt;"","LM",""),"")</f>
        <v>LM</v>
      </c>
      <c r="H92" s="51">
        <f>IFERROR(VLOOKUP(Tabla5810[[#This Row],[Cod trabalhador]],'Altas Luminous'!B:E,3,FALSE),"")</f>
        <v>46028</v>
      </c>
      <c r="I92" s="51" t="str">
        <f>IF(OR(Tabla5810[[#This Row],[Cod trabalhador]]="",ISBLANK(Tabla5810[[#This Row],[Cod trabalhador]])),"",IFERROR(IF(VLOOKUP(Tabla5810[[#This Row],[Cod trabalhador]],'Altas Luminous'!B:E,4,FALSE)=0,"",VLOOKUP(Tabla5810[[#This Row],[Cod trabalhador]],'Altas Luminous'!B:E,4,FALSE)),""))</f>
        <v/>
      </c>
      <c r="J92" s="44">
        <f t="shared" si="2"/>
        <v>26</v>
      </c>
      <c r="K92" s="44" t="s">
        <v>5220</v>
      </c>
      <c r="L92" s="24" t="str">
        <f>IFERROR(IF(Tabla5810[[#This Row],[Cod trabalhador]]="",Tabla5810[[#This Row],[Cod trabalhador]], INDEX(Colaborador_ID[Nombre], MATCH(Tabla5810[[#This Row],[Cod trabalhador]],Colaborador_ID[Cod_colab], 0))), "")</f>
        <v>MAURICIO TORO RAMIREZ</v>
      </c>
      <c r="M92" s="340"/>
      <c r="N92" s="23" t="s">
        <v>7077</v>
      </c>
      <c r="O92" s="401">
        <f>IFERROR(VLOOKUP(Tabla5810[[#This Row],[Cod trabalhador]],Tabla15[],4,FALSE),"")</f>
        <v>15</v>
      </c>
      <c r="P92" s="232">
        <f>IFERROR(VLOOKUP(Tabla5810[[#This Row],[Cod trabalhador]],'TotalHorasAjustadas (2)'!D:L,8,FALSE),"")</f>
        <v>180.72999999999993</v>
      </c>
      <c r="Q92" s="27">
        <v>180.73</v>
      </c>
      <c r="R92" s="28" t="s">
        <v>7532</v>
      </c>
      <c r="S92" s="28" t="s">
        <v>7486</v>
      </c>
      <c r="U92" s="381"/>
      <c r="V92" s="231"/>
      <c r="X92" s="28"/>
      <c r="Y92" s="28"/>
      <c r="Z92" s="149"/>
      <c r="AA92" s="392" t="str">
        <f>IFERROR(VLOOKUP(Tabla5810[[#This Row],[Cod trabalhador]],Alojamentos!B:P,11,FALSE),"")</f>
        <v/>
      </c>
      <c r="AB92" s="127"/>
      <c r="AC92" s="150"/>
      <c r="AD92" s="35">
        <f>Tabla5810[[#This Row],[Dias de alta]]*7.058</f>
        <v>183.50799999999998</v>
      </c>
      <c r="AE92" s="46" t="str">
        <f>IFERROR(VLOOKUP(Tabla5810[[#This Row],[Cod trabalhador]],Adiantamentos!B:L,7,FALSE),"")</f>
        <v/>
      </c>
      <c r="AF92" s="46" t="str">
        <f>IFERROR(VLOOKUP(Tabla5810[[#This Row],[Cod trabalhador]],Carro!B:D,3,FALSE),"")</f>
        <v/>
      </c>
      <c r="AG92" s="46" t="str">
        <f>IFERROR(VLOOKUP(Tabla5810[[#This Row],[Cod trabalhador]],'Outros descontos'!B:O,7,FALSE),"")</f>
        <v/>
      </c>
      <c r="AH92" s="46" t="str">
        <f>IFERROR(VLOOKUP(Tabla5810[[#This Row],[Cod trabalhador]],'Outros descontos'!B:M,8,FALSE),"")</f>
        <v/>
      </c>
      <c r="AI92" s="46" t="str">
        <f>IFERROR(VLOOKUP(Tabla5810[[#This Row],[Cod trabalhador]],'Outros descontos'!B:M,9,FALSE),"")</f>
        <v/>
      </c>
      <c r="AJ92" s="46" t="str">
        <f>IFERROR(VLOOKUP(Tabla5810[[#This Row],[Cod trabalhador]],'Outros descontos'!B:M,10,FALSE),"")</f>
        <v/>
      </c>
      <c r="AK92" s="46" t="str">
        <f>IFERROR(VLOOKUP(Tabla5810[[#This Row],[Cod trabalhador]],'Outros descontos'!B:M,11,FALSE),"")</f>
        <v/>
      </c>
      <c r="AL92" s="46" t="str">
        <f>IFERROR(VLOOKUP(Tabla5810[[#This Row],[Cod trabalhador]],'Outros descontos'!B:M,12,FALSE),"")</f>
        <v/>
      </c>
      <c r="AM92" s="46" t="str">
        <f>IFERROR(VLOOKUP(Tabla5810[[#This Row],[Cod trabalhador]],'Outros descontos'!B:M,13,FALSE),"")</f>
        <v/>
      </c>
      <c r="AN92" s="393"/>
      <c r="AO92" s="37">
        <v>4.08</v>
      </c>
      <c r="AP92" s="15"/>
      <c r="AQ92"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2523.3619999999992</v>
      </c>
      <c r="AR92"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2523.3620000000001</v>
      </c>
      <c r="AS92" s="15"/>
      <c r="AT92" s="27" t="str">
        <f>IF(Tabla5810[[#This Row],[Cod trabalhador]]="", "", INDEX(Iban!C:C, MATCH(Tabla5810[[#This Row],[Cod trabalhador]],Iban!A:A, 0)))</f>
        <v xml:space="preserve"> BE05 9050 0921 2175</v>
      </c>
      <c r="AU92" s="27"/>
      <c r="AV92" s="27"/>
      <c r="AW92" s="66" t="s">
        <v>7533</v>
      </c>
      <c r="AX92" s="296" t="s">
        <v>7472</v>
      </c>
    </row>
    <row r="93" spans="1:50" ht="18.75" customHeight="1" x14ac:dyDescent="0.3">
      <c r="A93" s="42">
        <v>88</v>
      </c>
      <c r="B93" s="39" t="s">
        <v>5243</v>
      </c>
      <c r="C93" s="45" t="str">
        <f>IF(ISNUMBER(MATCH(Tabla5810[[#This Row],[Cod trabalhador]],'Altas Luminous'!B:B, 0)), "Ativo", "Não ativo")</f>
        <v>Não ativo</v>
      </c>
      <c r="D93" s="44" t="str">
        <f>IFERROR(IF(VLOOKUP(Tabla5810[[#This Row],[Cod trabalhador]],'Altas Industrial'!B:E,1,0)&lt;&gt;"","KI",""),"")</f>
        <v/>
      </c>
      <c r="E93" s="44" t="str">
        <f>IFERROR(IF(VLOOKUP(Tabla5810[[#This Row],[Cod trabalhador]],'Altas Rosas'!B:F,1,0)&lt;&gt;"","KR",""),"")</f>
        <v/>
      </c>
      <c r="F93" s="44" t="str">
        <f>IFERROR(IF(VLOOKUP(Tabla5810[[#This Row],[Cod trabalhador]],'Altas Wiseowe'!B:E,1,0)&lt;&gt;"","WS",""),"")</f>
        <v/>
      </c>
      <c r="G93" s="44" t="str">
        <f>IFERROR(IF(VLOOKUP(Tabla5810[[#This Row],[Cod trabalhador]],'Altas Luminous'!B:E,1,0)&lt;&gt;"","LM",""),"")</f>
        <v/>
      </c>
      <c r="H93" s="51" t="str">
        <f>IFERROR(VLOOKUP(Tabla5810[[#This Row],[Cod trabalhador]],'Altas Luminous'!B:E,3,FALSE),"")</f>
        <v/>
      </c>
      <c r="I93" s="51" t="str">
        <f>IF(OR(Tabla5810[[#This Row],[Cod trabalhador]]="",ISBLANK(Tabla5810[[#This Row],[Cod trabalhador]])),"",IFERROR(IF(VLOOKUP(Tabla5810[[#This Row],[Cod trabalhador]],'Altas Luminous'!B:E,4,FALSE)=0,"",VLOOKUP(Tabla5810[[#This Row],[Cod trabalhador]],'Altas Luminous'!B:E,4,FALSE)),""))</f>
        <v/>
      </c>
      <c r="J93" s="44">
        <f t="shared" si="2"/>
        <v>0</v>
      </c>
      <c r="K93" s="44" t="s">
        <v>7129</v>
      </c>
      <c r="L93" s="24" t="str">
        <f>IFERROR(IF(Tabla5810[[#This Row],[Cod trabalhador]]="",Tabla5810[[#This Row],[Cod trabalhador]], INDEX(Colaborador_ID[Nombre], MATCH(Tabla5810[[#This Row],[Cod trabalhador]],Colaborador_ID[Cod_colab], 0))), "")</f>
        <v>MICHAEL ANDRES AHUMADA RUBIO</v>
      </c>
      <c r="M93" s="340"/>
      <c r="N93" s="23" t="s">
        <v>7128</v>
      </c>
      <c r="O93" s="401">
        <v>14</v>
      </c>
      <c r="P93" s="232">
        <f>IFERROR(VLOOKUP(Tabla5810[[#This Row],[Cod trabalhador]],'TotalHorasAjustadas (2)'!D:L,8,FALSE),"")</f>
        <v>107</v>
      </c>
      <c r="Q93" s="27">
        <v>107</v>
      </c>
      <c r="R93" s="28" t="s">
        <v>7532</v>
      </c>
      <c r="S93" s="28" t="s">
        <v>7486</v>
      </c>
      <c r="U93" s="381"/>
      <c r="V93" s="231"/>
      <c r="X93" s="28"/>
      <c r="Y93" s="28"/>
      <c r="Z93" s="149"/>
      <c r="AA93" s="392" t="str">
        <f>IFERROR(VLOOKUP(Tabla5810[[#This Row],[Cod trabalhador]],Alojamentos!B:P,11,FALSE),"")</f>
        <v/>
      </c>
      <c r="AB93" s="127"/>
      <c r="AC93" s="150"/>
      <c r="AD93" s="35">
        <f>Tabla5810[[#This Row],[Dias de alta]]*7.058</f>
        <v>0</v>
      </c>
      <c r="AE93" s="46" t="str">
        <f>IFERROR(VLOOKUP(Tabla5810[[#This Row],[Cod trabalhador]],Adiantamentos!B:L,7,FALSE),"")</f>
        <v/>
      </c>
      <c r="AF93" s="46" t="str">
        <f>IFERROR(VLOOKUP(Tabla5810[[#This Row],[Cod trabalhador]],Carro!B:D,3,FALSE),"")</f>
        <v/>
      </c>
      <c r="AG93" s="46">
        <f>IFERROR(VLOOKUP(Tabla5810[[#This Row],[Cod trabalhador]],'Outros descontos'!B:O,7,FALSE),"")</f>
        <v>0</v>
      </c>
      <c r="AH93" s="46">
        <f>IFERROR(VLOOKUP(Tabla5810[[#This Row],[Cod trabalhador]],'Outros descontos'!B:M,8,FALSE),"")</f>
        <v>0</v>
      </c>
      <c r="AI93" s="46">
        <f>IFERROR(VLOOKUP(Tabla5810[[#This Row],[Cod trabalhador]],'Outros descontos'!B:M,9,FALSE),"")</f>
        <v>0</v>
      </c>
      <c r="AJ93" s="46">
        <f>IFERROR(VLOOKUP(Tabla5810[[#This Row],[Cod trabalhador]],'Outros descontos'!B:M,10,FALSE),"")</f>
        <v>0</v>
      </c>
      <c r="AK93" s="46">
        <f>IFERROR(VLOOKUP(Tabla5810[[#This Row],[Cod trabalhador]],'Outros descontos'!B:M,11,FALSE),"")</f>
        <v>0</v>
      </c>
      <c r="AL93" s="46">
        <f>IFERROR(VLOOKUP(Tabla5810[[#This Row],[Cod trabalhador]],'Outros descontos'!B:M,12,FALSE),"")</f>
        <v>21.74</v>
      </c>
      <c r="AM93" s="46" t="str">
        <f>IFERROR(VLOOKUP(Tabla5810[[#This Row],[Cod trabalhador]],'Outros descontos'!B:M,13,FALSE),"")</f>
        <v/>
      </c>
      <c r="AN93" s="393"/>
      <c r="AO93" s="37">
        <v>4.08</v>
      </c>
      <c r="AP93" s="15"/>
      <c r="AQ93"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1472.18</v>
      </c>
      <c r="AR93"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1472.18</v>
      </c>
      <c r="AS93" s="15"/>
      <c r="AT93" s="27" t="str">
        <f>IF(Tabla5810[[#This Row],[Cod trabalhador]]="", "", INDEX(Iban!C:C, MATCH(Tabla5810[[#This Row],[Cod trabalhador]],Iban!A:A, 0)))</f>
        <v>ES84 6893 0001 7200 0033 5417</v>
      </c>
      <c r="AU93" s="27"/>
      <c r="AV93" s="27"/>
      <c r="AW93" s="66" t="s">
        <v>7533</v>
      </c>
      <c r="AX93" s="296" t="s">
        <v>7472</v>
      </c>
    </row>
    <row r="94" spans="1:50" ht="18.75" customHeight="1" x14ac:dyDescent="0.3">
      <c r="A94" s="42">
        <v>89</v>
      </c>
      <c r="B94" s="39" t="s">
        <v>5348</v>
      </c>
      <c r="C94" s="45" t="str">
        <f>IF(ISNUMBER(MATCH(Tabla5810[[#This Row],[Cod trabalhador]],'Altas Luminous'!B:B, 0)), "Ativo", "Não ativo")</f>
        <v>Não ativo</v>
      </c>
      <c r="D94" s="44" t="str">
        <f>IFERROR(IF(VLOOKUP(Tabla5810[[#This Row],[Cod trabalhador]],'Altas Industrial'!B:E,1,0)&lt;&gt;"","KI",""),"")</f>
        <v/>
      </c>
      <c r="E94" s="44" t="str">
        <f>IFERROR(IF(VLOOKUP(Tabla5810[[#This Row],[Cod trabalhador]],'Altas Rosas'!B:F,1,0)&lt;&gt;"","KR",""),"")</f>
        <v/>
      </c>
      <c r="F94" s="44" t="str">
        <f>IFERROR(IF(VLOOKUP(Tabla5810[[#This Row],[Cod trabalhador]],'Altas Wiseowe'!B:E,1,0)&lt;&gt;"","WS",""),"")</f>
        <v/>
      </c>
      <c r="G94" s="44" t="str">
        <f>IFERROR(IF(VLOOKUP(Tabla5810[[#This Row],[Cod trabalhador]],'Altas Luminous'!B:E,1,0)&lt;&gt;"","LM",""),"")</f>
        <v/>
      </c>
      <c r="H94" s="51" t="str">
        <f>IFERROR(VLOOKUP(Tabla5810[[#This Row],[Cod trabalhador]],'Altas Luminous'!B:E,3,FALSE),"")</f>
        <v/>
      </c>
      <c r="I94" s="51" t="str">
        <f>IF(OR(Tabla5810[[#This Row],[Cod trabalhador]]="",ISBLANK(Tabla5810[[#This Row],[Cod trabalhador]])),"",IFERROR(IF(VLOOKUP(Tabla5810[[#This Row],[Cod trabalhador]],'Altas Luminous'!B:E,4,FALSE)=0,"",VLOOKUP(Tabla5810[[#This Row],[Cod trabalhador]],'Altas Luminous'!B:E,4,FALSE)),""))</f>
        <v/>
      </c>
      <c r="J94" s="44">
        <f t="shared" si="2"/>
        <v>0</v>
      </c>
      <c r="K94" s="44" t="s">
        <v>5349</v>
      </c>
      <c r="L94" s="24" t="str">
        <f>IFERROR(IF(Tabla5810[[#This Row],[Cod trabalhador]]="",Tabla5810[[#This Row],[Cod trabalhador]], INDEX(Colaborador_ID[Nombre], MATCH(Tabla5810[[#This Row],[Cod trabalhador]],Colaborador_ID[Cod_colab], 0))), "")</f>
        <v>MISAEL SUAREZ SIJONA</v>
      </c>
      <c r="M94" s="340"/>
      <c r="N94" s="23" t="s">
        <v>7143</v>
      </c>
      <c r="O94" s="401">
        <f>IFERROR(VLOOKUP(Tabla5810[[#This Row],[Cod trabalhador]],Tabla15[],4,FALSE),"")</f>
        <v>15</v>
      </c>
      <c r="P94" s="232">
        <f>IFERROR(VLOOKUP(Tabla5810[[#This Row],[Cod trabalhador]],'TotalHorasAjustadas (2)'!D:L,8,FALSE),"")</f>
        <v>207</v>
      </c>
      <c r="Q94" s="27">
        <v>207</v>
      </c>
      <c r="R94" s="28" t="s">
        <v>7532</v>
      </c>
      <c r="S94" s="28" t="s">
        <v>7486</v>
      </c>
      <c r="U94" s="381"/>
      <c r="V94" s="231"/>
      <c r="X94" s="28"/>
      <c r="Y94" s="28"/>
      <c r="Z94" s="149"/>
      <c r="AA94" s="392" t="str">
        <f>IFERROR(VLOOKUP(Tabla5810[[#This Row],[Cod trabalhador]],Alojamentos!B:P,11,FALSE),"")</f>
        <v/>
      </c>
      <c r="AB94" s="127"/>
      <c r="AC94" s="150"/>
      <c r="AD94" s="35">
        <f>Tabla5810[[#This Row],[Dias de alta]]*7.058</f>
        <v>0</v>
      </c>
      <c r="AE94" s="46" t="str">
        <f>IFERROR(VLOOKUP(Tabla5810[[#This Row],[Cod trabalhador]],Adiantamentos!B:L,7,FALSE),"")</f>
        <v/>
      </c>
      <c r="AF94" s="46">
        <f>IFERROR(VLOOKUP(Tabla5810[[#This Row],[Cod trabalhador]],Carro!B:D,3,FALSE),"")</f>
        <v>128.88888888888889</v>
      </c>
      <c r="AG94" s="46" t="str">
        <f>IFERROR(VLOOKUP(Tabla5810[[#This Row],[Cod trabalhador]],'Outros descontos'!B:O,7,FALSE),"")</f>
        <v/>
      </c>
      <c r="AH94" s="46" t="str">
        <f>IFERROR(VLOOKUP(Tabla5810[[#This Row],[Cod trabalhador]],'Outros descontos'!B:M,8,FALSE),"")</f>
        <v/>
      </c>
      <c r="AI94" s="46" t="str">
        <f>IFERROR(VLOOKUP(Tabla5810[[#This Row],[Cod trabalhador]],'Outros descontos'!B:M,9,FALSE),"")</f>
        <v/>
      </c>
      <c r="AJ94" s="46" t="str">
        <f>IFERROR(VLOOKUP(Tabla5810[[#This Row],[Cod trabalhador]],'Outros descontos'!B:M,10,FALSE),"")</f>
        <v/>
      </c>
      <c r="AK94" s="46" t="str">
        <f>IFERROR(VLOOKUP(Tabla5810[[#This Row],[Cod trabalhador]],'Outros descontos'!B:M,11,FALSE),"")</f>
        <v/>
      </c>
      <c r="AL94" s="46" t="str">
        <f>IFERROR(VLOOKUP(Tabla5810[[#This Row],[Cod trabalhador]],'Outros descontos'!B:M,12,FALSE),"")</f>
        <v/>
      </c>
      <c r="AM94" s="46" t="str">
        <f>IFERROR(VLOOKUP(Tabla5810[[#This Row],[Cod trabalhador]],'Outros descontos'!B:M,13,FALSE),"")</f>
        <v/>
      </c>
      <c r="AN94" s="393"/>
      <c r="AO94" s="37">
        <v>4.08</v>
      </c>
      <c r="AP94" s="15"/>
      <c r="AQ94"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2972.0311111111114</v>
      </c>
      <c r="AR94"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2972.0311111111114</v>
      </c>
      <c r="AS94" s="15"/>
      <c r="AT94" s="27" t="str">
        <f>IF(Tabla5810[[#This Row],[Cod trabalhador]]="", "", INDEX(Iban!C:C, MATCH(Tabla5810[[#This Row],[Cod trabalhador]],Iban!A:A, 0)))</f>
        <v>ES46 0182 7345 4402 0171 4802</v>
      </c>
      <c r="AU94" s="27"/>
      <c r="AV94" s="27"/>
      <c r="AW94" s="66" t="s">
        <v>7533</v>
      </c>
      <c r="AX94" s="296" t="s">
        <v>7472</v>
      </c>
    </row>
    <row r="95" spans="1:50" ht="18.75" customHeight="1" x14ac:dyDescent="0.3">
      <c r="A95" s="42">
        <v>90</v>
      </c>
      <c r="B95" s="39" t="s">
        <v>5352</v>
      </c>
      <c r="C95" s="45" t="str">
        <f>IF(ISNUMBER(MATCH(Tabla5810[[#This Row],[Cod trabalhador]],'Altas Luminous'!B:B, 0)), "Ativo", "Não ativo")</f>
        <v>Ativo</v>
      </c>
      <c r="D95" s="44" t="str">
        <f>IFERROR(IF(VLOOKUP(Tabla5810[[#This Row],[Cod trabalhador]],'Altas Industrial'!B:E,1,0)&lt;&gt;"","KI",""),"")</f>
        <v/>
      </c>
      <c r="E95" s="44" t="str">
        <f>IFERROR(IF(VLOOKUP(Tabla5810[[#This Row],[Cod trabalhador]],'Altas Rosas'!B:F,1,0)&lt;&gt;"","KR",""),"")</f>
        <v/>
      </c>
      <c r="F95" s="44" t="str">
        <f>IFERROR(IF(VLOOKUP(Tabla5810[[#This Row],[Cod trabalhador]],'Altas Wiseowe'!B:E,1,0)&lt;&gt;"","WS",""),"")</f>
        <v/>
      </c>
      <c r="G95" s="44" t="str">
        <f>IFERROR(IF(VLOOKUP(Tabla5810[[#This Row],[Cod trabalhador]],'Altas Luminous'!B:E,1,0)&lt;&gt;"","LM",""),"")</f>
        <v>LM</v>
      </c>
      <c r="H95" s="51">
        <f>IFERROR(VLOOKUP(Tabla5810[[#This Row],[Cod trabalhador]],'Altas Luminous'!B:E,3,FALSE),"")</f>
        <v>45926</v>
      </c>
      <c r="I95" s="51" t="str">
        <f>IF(OR(Tabla5810[[#This Row],[Cod trabalhador]]="",ISBLANK(Tabla5810[[#This Row],[Cod trabalhador]])),"",IFERROR(IF(VLOOKUP(Tabla5810[[#This Row],[Cod trabalhador]],'Altas Luminous'!B:E,4,FALSE)=0,"",VLOOKUP(Tabla5810[[#This Row],[Cod trabalhador]],'Altas Luminous'!B:E,4,FALSE)),""))</f>
        <v/>
      </c>
      <c r="J95" s="44">
        <f t="shared" si="2"/>
        <v>31</v>
      </c>
      <c r="K95" s="44" t="s">
        <v>5353</v>
      </c>
      <c r="L95" s="24" t="str">
        <f>IFERROR(IF(Tabla5810[[#This Row],[Cod trabalhador]]="",Tabla5810[[#This Row],[Cod trabalhador]], INDEX(Colaborador_ID[Nombre], MATCH(Tabla5810[[#This Row],[Cod trabalhador]],Colaborador_ID[Cod_colab], 0))), "")</f>
        <v>MOACIR DA SILVA</v>
      </c>
      <c r="M95" s="340"/>
      <c r="N95" s="23" t="s">
        <v>7091</v>
      </c>
      <c r="O95" s="401">
        <f>IFERROR(VLOOKUP(Tabla5810[[#This Row],[Cod trabalhador]],Tabla15[],4,FALSE),"")</f>
        <v>18</v>
      </c>
      <c r="P95" s="232">
        <f>IFERROR(VLOOKUP(Tabla5810[[#This Row],[Cod trabalhador]],'TotalHorasAjustadas (2)'!D:L,8,FALSE),"")</f>
        <v>188</v>
      </c>
      <c r="Q95" s="27">
        <v>188</v>
      </c>
      <c r="R95" s="28" t="s">
        <v>7532</v>
      </c>
      <c r="S95" s="28" t="s">
        <v>7486</v>
      </c>
      <c r="U95" s="381"/>
      <c r="V95" s="231"/>
      <c r="X95" s="28"/>
      <c r="Y95" s="28"/>
      <c r="Z95" s="149"/>
      <c r="AA95" s="392" t="str">
        <f>IFERROR(VLOOKUP(Tabla5810[[#This Row],[Cod trabalhador]],Alojamentos!B:P,11,FALSE),"")</f>
        <v/>
      </c>
      <c r="AB95" s="127"/>
      <c r="AC95" s="150"/>
      <c r="AD95" s="35">
        <f>Tabla5810[[#This Row],[Dias de alta]]*7.058</f>
        <v>218.798</v>
      </c>
      <c r="AE95" s="46">
        <f>IFERROR(VLOOKUP(Tabla5810[[#This Row],[Cod trabalhador]],Adiantamentos!B:L,7,FALSE),"")</f>
        <v>200</v>
      </c>
      <c r="AF95" s="46" t="str">
        <f>IFERROR(VLOOKUP(Tabla5810[[#This Row],[Cod trabalhador]],Carro!B:D,3,FALSE),"")</f>
        <v/>
      </c>
      <c r="AG95" s="46" t="str">
        <f>IFERROR(VLOOKUP(Tabla5810[[#This Row],[Cod trabalhador]],'Outros descontos'!B:O,7,FALSE),"")</f>
        <v/>
      </c>
      <c r="AH95" s="46" t="str">
        <f>IFERROR(VLOOKUP(Tabla5810[[#This Row],[Cod trabalhador]],'Outros descontos'!B:M,8,FALSE),"")</f>
        <v/>
      </c>
      <c r="AI95" s="46" t="str">
        <f>IFERROR(VLOOKUP(Tabla5810[[#This Row],[Cod trabalhador]],'Outros descontos'!B:M,9,FALSE),"")</f>
        <v/>
      </c>
      <c r="AJ95" s="46" t="str">
        <f>IFERROR(VLOOKUP(Tabla5810[[#This Row],[Cod trabalhador]],'Outros descontos'!B:M,10,FALSE),"")</f>
        <v/>
      </c>
      <c r="AK95" s="46" t="str">
        <f>IFERROR(VLOOKUP(Tabla5810[[#This Row],[Cod trabalhador]],'Outros descontos'!B:M,11,FALSE),"")</f>
        <v/>
      </c>
      <c r="AL95" s="46" t="str">
        <f>IFERROR(VLOOKUP(Tabla5810[[#This Row],[Cod trabalhador]],'Outros descontos'!B:M,12,FALSE),"")</f>
        <v/>
      </c>
      <c r="AM95" s="46" t="str">
        <f>IFERROR(VLOOKUP(Tabla5810[[#This Row],[Cod trabalhador]],'Outros descontos'!B:M,13,FALSE),"")</f>
        <v/>
      </c>
      <c r="AN95" s="393"/>
      <c r="AO95" s="37">
        <v>4.08</v>
      </c>
      <c r="AP95" s="15"/>
      <c r="AQ95"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2961.1220000000003</v>
      </c>
      <c r="AR95"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2961.1220000000003</v>
      </c>
      <c r="AS95" s="15"/>
      <c r="AT95" s="27" t="str">
        <f>IF(Tabla5810[[#This Row],[Cod trabalhador]]="", "", INDEX(Iban!C:C, MATCH(Tabla5810[[#This Row],[Cod trabalhador]],Iban!A:A, 0)))</f>
        <v>PT50 0018 0003 5495 3765 0204 8</v>
      </c>
      <c r="AU95" s="27"/>
      <c r="AV95" s="27"/>
      <c r="AW95" s="66" t="s">
        <v>7533</v>
      </c>
      <c r="AX95" s="296" t="s">
        <v>7472</v>
      </c>
    </row>
    <row r="96" spans="1:50" ht="18.75" customHeight="1" x14ac:dyDescent="0.3">
      <c r="A96" s="42">
        <v>91</v>
      </c>
      <c r="B96" s="39" t="s">
        <v>5376</v>
      </c>
      <c r="C96" s="45" t="str">
        <f>IF(ISNUMBER(MATCH(Tabla5810[[#This Row],[Cod trabalhador]],'Altas Luminous'!B:B, 0)), "Ativo", "Não ativo")</f>
        <v>Ativo</v>
      </c>
      <c r="D96" s="44" t="str">
        <f>IFERROR(IF(VLOOKUP(Tabla5810[[#This Row],[Cod trabalhador]],'Altas Industrial'!B:E,1,0)&lt;&gt;"","KI",""),"")</f>
        <v/>
      </c>
      <c r="E96" s="44" t="str">
        <f>IFERROR(IF(VLOOKUP(Tabla5810[[#This Row],[Cod trabalhador]],'Altas Rosas'!B:F,1,0)&lt;&gt;"","KR",""),"")</f>
        <v/>
      </c>
      <c r="F96" s="44" t="str">
        <f>IFERROR(IF(VLOOKUP(Tabla5810[[#This Row],[Cod trabalhador]],'Altas Wiseowe'!B:E,1,0)&lt;&gt;"","WS",""),"")</f>
        <v/>
      </c>
      <c r="G96" s="44" t="str">
        <f>IFERROR(IF(VLOOKUP(Tabla5810[[#This Row],[Cod trabalhador]],'Altas Luminous'!B:E,1,0)&lt;&gt;"","LM",""),"")</f>
        <v>LM</v>
      </c>
      <c r="H96" s="51">
        <f>IFERROR(VLOOKUP(Tabla5810[[#This Row],[Cod trabalhador]],'Altas Luminous'!B:E,3,FALSE),"")</f>
        <v>46042</v>
      </c>
      <c r="I96" s="51">
        <f>IF(OR(Tabla5810[[#This Row],[Cod trabalhador]]="",ISBLANK(Tabla5810[[#This Row],[Cod trabalhador]])),"",IFERROR(IF(VLOOKUP(Tabla5810[[#This Row],[Cod trabalhador]],'Altas Luminous'!B:E,4,FALSE)=0,"",VLOOKUP(Tabla5810[[#This Row],[Cod trabalhador]],'Altas Luminous'!B:E,4,FALSE)),""))</f>
        <v>46045</v>
      </c>
      <c r="J96" s="44">
        <f t="shared" si="2"/>
        <v>4</v>
      </c>
      <c r="K96" s="44" t="s">
        <v>7135</v>
      </c>
      <c r="L96" s="24" t="str">
        <f>IFERROR(IF(Tabla5810[[#This Row],[Cod trabalhador]]="",Tabla5810[[#This Row],[Cod trabalhador]], INDEX(Colaborador_ID[Nombre], MATCH(Tabla5810[[#This Row],[Cod trabalhador]],Colaborador_ID[Cod_colab], 0))), "")</f>
        <v>MOISES MUNOZ ZAMBRANO</v>
      </c>
      <c r="M96" s="340"/>
      <c r="N96" s="23" t="s">
        <v>7133</v>
      </c>
      <c r="O96" s="401">
        <v>15</v>
      </c>
      <c r="P96" s="232">
        <f>IFERROR(VLOOKUP(Tabla5810[[#This Row],[Cod trabalhador]],'TotalHorasAjustadas (2)'!D:L,8,FALSE),"")</f>
        <v>36</v>
      </c>
      <c r="Q96" s="27">
        <v>36</v>
      </c>
      <c r="R96" s="28" t="s">
        <v>7532</v>
      </c>
      <c r="S96" s="28" t="s">
        <v>7486</v>
      </c>
      <c r="U96" s="381"/>
      <c r="V96" s="231"/>
      <c r="X96" s="28"/>
      <c r="Y96" s="28"/>
      <c r="Z96" s="149"/>
      <c r="AA96" s="392" t="str">
        <f>IFERROR(VLOOKUP(Tabla5810[[#This Row],[Cod trabalhador]],Alojamentos!B:P,11,FALSE),"")</f>
        <v/>
      </c>
      <c r="AB96" s="127"/>
      <c r="AC96" s="150"/>
      <c r="AD96" s="35">
        <f>Tabla5810[[#This Row],[Dias de alta]]*7.058</f>
        <v>28.231999999999999</v>
      </c>
      <c r="AE96" s="46" t="str">
        <f>IFERROR(VLOOKUP(Tabla5810[[#This Row],[Cod trabalhador]],Adiantamentos!B:L,7,FALSE),"")</f>
        <v/>
      </c>
      <c r="AF96" s="46">
        <f>IFERROR(VLOOKUP(Tabla5810[[#This Row],[Cod trabalhador]],Carro!B:D,3,FALSE),"")</f>
        <v>20</v>
      </c>
      <c r="AG96" s="46" t="str">
        <f>IFERROR(VLOOKUP(Tabla5810[[#This Row],[Cod trabalhador]],'Outros descontos'!B:O,7,FALSE),"")</f>
        <v/>
      </c>
      <c r="AH96" s="46" t="str">
        <f>IFERROR(VLOOKUP(Tabla5810[[#This Row],[Cod trabalhador]],'Outros descontos'!B:M,8,FALSE),"")</f>
        <v/>
      </c>
      <c r="AI96" s="46" t="str">
        <f>IFERROR(VLOOKUP(Tabla5810[[#This Row],[Cod trabalhador]],'Outros descontos'!B:M,9,FALSE),"")</f>
        <v/>
      </c>
      <c r="AJ96" s="46" t="str">
        <f>IFERROR(VLOOKUP(Tabla5810[[#This Row],[Cod trabalhador]],'Outros descontos'!B:M,10,FALSE),"")</f>
        <v/>
      </c>
      <c r="AK96" s="46" t="str">
        <f>IFERROR(VLOOKUP(Tabla5810[[#This Row],[Cod trabalhador]],'Outros descontos'!B:M,11,FALSE),"")</f>
        <v/>
      </c>
      <c r="AL96" s="46" t="str">
        <f>IFERROR(VLOOKUP(Tabla5810[[#This Row],[Cod trabalhador]],'Outros descontos'!B:M,12,FALSE),"")</f>
        <v/>
      </c>
      <c r="AM96" s="46" t="str">
        <f>IFERROR(VLOOKUP(Tabla5810[[#This Row],[Cod trabalhador]],'Outros descontos'!B:M,13,FALSE),"")</f>
        <v/>
      </c>
      <c r="AN96" s="393"/>
      <c r="AO96" s="37">
        <v>4.08</v>
      </c>
      <c r="AP96" s="15"/>
      <c r="AQ96"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487.68800000000005</v>
      </c>
      <c r="AR96"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487.68800000000005</v>
      </c>
      <c r="AS96" s="15"/>
      <c r="AT96" s="27" t="str">
        <f>IF(Tabla5810[[#This Row],[Cod trabalhador]]="", "", INDEX(Iban!C:C, MATCH(Tabla5810[[#This Row],[Cod trabalhador]],Iban!A:A, 0)))</f>
        <v>BE66 9676 0328 9543</v>
      </c>
      <c r="AU96" s="27"/>
      <c r="AV96" s="27"/>
      <c r="AW96" s="66" t="s">
        <v>7533</v>
      </c>
      <c r="AX96" s="296" t="s">
        <v>7472</v>
      </c>
    </row>
    <row r="97" spans="1:50" ht="18.75" customHeight="1" x14ac:dyDescent="0.3">
      <c r="A97" s="42">
        <v>92</v>
      </c>
      <c r="B97" s="39" t="s">
        <v>5384</v>
      </c>
      <c r="C97" s="45" t="str">
        <f>IF(ISNUMBER(MATCH(Tabla5810[[#This Row],[Cod trabalhador]],'Altas Luminous'!B:B, 0)), "Ativo", "Não ativo")</f>
        <v>Ativo</v>
      </c>
      <c r="D97" s="44" t="str">
        <f>IFERROR(IF(VLOOKUP(Tabla5810[[#This Row],[Cod trabalhador]],'Altas Industrial'!B:E,1,0)&lt;&gt;"","KI",""),"")</f>
        <v/>
      </c>
      <c r="E97" s="44" t="str">
        <f>IFERROR(IF(VLOOKUP(Tabla5810[[#This Row],[Cod trabalhador]],'Altas Rosas'!B:F,1,0)&lt;&gt;"","KR",""),"")</f>
        <v>KR</v>
      </c>
      <c r="F97" s="44" t="str">
        <f>IFERROR(IF(VLOOKUP(Tabla5810[[#This Row],[Cod trabalhador]],'Altas Wiseowe'!B:E,1,0)&lt;&gt;"","WS",""),"")</f>
        <v/>
      </c>
      <c r="G97" s="44" t="str">
        <f>IFERROR(IF(VLOOKUP(Tabla5810[[#This Row],[Cod trabalhador]],'Altas Luminous'!B:E,1,0)&lt;&gt;"","LM",""),"")</f>
        <v>LM</v>
      </c>
      <c r="H97" s="51">
        <f>IFERROR(VLOOKUP(Tabla5810[[#This Row],[Cod trabalhador]],'Altas Luminous'!B:E,3,FALSE),"")</f>
        <v>46028</v>
      </c>
      <c r="I97" s="51" t="str">
        <f>IF(OR(Tabla5810[[#This Row],[Cod trabalhador]]="",ISBLANK(Tabla5810[[#This Row],[Cod trabalhador]])),"",IFERROR(IF(VLOOKUP(Tabla5810[[#This Row],[Cod trabalhador]],'Altas Luminous'!B:E,4,FALSE)=0,"",VLOOKUP(Tabla5810[[#This Row],[Cod trabalhador]],'Altas Luminous'!B:E,4,FALSE)),""))</f>
        <v/>
      </c>
      <c r="J97" s="44">
        <f t="shared" si="2"/>
        <v>26</v>
      </c>
      <c r="K97" s="44" t="s">
        <v>7081</v>
      </c>
      <c r="L97" s="24" t="str">
        <f>IFERROR(IF(Tabla5810[[#This Row],[Cod trabalhador]]="",Tabla5810[[#This Row],[Cod trabalhador]], INDEX(Colaborador_ID[Nombre], MATCH(Tabla5810[[#This Row],[Cod trabalhador]],Colaborador_ID[Cod_colab], 0))), "")</f>
        <v>NASSER MOHAMAD MERES LUNA</v>
      </c>
      <c r="M97" s="340"/>
      <c r="N97" s="23" t="s">
        <v>7077</v>
      </c>
      <c r="O97" s="401">
        <f>IFERROR(VLOOKUP(Tabla5810[[#This Row],[Cod trabalhador]],Tabla15[],4,FALSE),"")</f>
        <v>15</v>
      </c>
      <c r="P97" s="232">
        <f>IFERROR(VLOOKUP(Tabla5810[[#This Row],[Cod trabalhador]],'TotalHorasAjustadas (2)'!D:L,8,FALSE),"")</f>
        <v>190.05999999999995</v>
      </c>
      <c r="Q97" s="27">
        <v>190.06</v>
      </c>
      <c r="R97" s="28" t="s">
        <v>7532</v>
      </c>
      <c r="S97" s="28" t="s">
        <v>7486</v>
      </c>
      <c r="U97" s="381"/>
      <c r="V97" s="231"/>
      <c r="X97" s="28"/>
      <c r="Y97" s="28"/>
      <c r="Z97" s="149"/>
      <c r="AA97" s="392" t="str">
        <f>IFERROR(VLOOKUP(Tabla5810[[#This Row],[Cod trabalhador]],Alojamentos!B:P,11,FALSE),"")</f>
        <v/>
      </c>
      <c r="AB97" s="127"/>
      <c r="AC97" s="150"/>
      <c r="AD97" s="35">
        <f>Tabla5810[[#This Row],[Dias de alta]]*7.058</f>
        <v>183.50799999999998</v>
      </c>
      <c r="AE97" s="46" t="str">
        <f>IFERROR(VLOOKUP(Tabla5810[[#This Row],[Cod trabalhador]],Adiantamentos!B:L,7,FALSE),"")</f>
        <v/>
      </c>
      <c r="AF97" s="46" t="str">
        <f>IFERROR(VLOOKUP(Tabla5810[[#This Row],[Cod trabalhador]],Carro!B:D,3,FALSE),"")</f>
        <v/>
      </c>
      <c r="AG97" s="46" t="str">
        <f>IFERROR(VLOOKUP(Tabla5810[[#This Row],[Cod trabalhador]],'Outros descontos'!B:O,7,FALSE),"")</f>
        <v/>
      </c>
      <c r="AH97" s="46" t="str">
        <f>IFERROR(VLOOKUP(Tabla5810[[#This Row],[Cod trabalhador]],'Outros descontos'!B:M,8,FALSE),"")</f>
        <v/>
      </c>
      <c r="AI97" s="46" t="str">
        <f>IFERROR(VLOOKUP(Tabla5810[[#This Row],[Cod trabalhador]],'Outros descontos'!B:M,9,FALSE),"")</f>
        <v/>
      </c>
      <c r="AJ97" s="46" t="str">
        <f>IFERROR(VLOOKUP(Tabla5810[[#This Row],[Cod trabalhador]],'Outros descontos'!B:M,10,FALSE),"")</f>
        <v/>
      </c>
      <c r="AK97" s="46" t="str">
        <f>IFERROR(VLOOKUP(Tabla5810[[#This Row],[Cod trabalhador]],'Outros descontos'!B:M,11,FALSE),"")</f>
        <v/>
      </c>
      <c r="AL97" s="46" t="str">
        <f>IFERROR(VLOOKUP(Tabla5810[[#This Row],[Cod trabalhador]],'Outros descontos'!B:M,12,FALSE),"")</f>
        <v/>
      </c>
      <c r="AM97" s="46" t="str">
        <f>IFERROR(VLOOKUP(Tabla5810[[#This Row],[Cod trabalhador]],'Outros descontos'!B:M,13,FALSE),"")</f>
        <v/>
      </c>
      <c r="AN97" s="393"/>
      <c r="AO97" s="37">
        <v>4.08</v>
      </c>
      <c r="AP97" s="15"/>
      <c r="AQ97"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2663.3119999999994</v>
      </c>
      <c r="AR97"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2663.3120000000004</v>
      </c>
      <c r="AS97" s="15"/>
      <c r="AT97" s="27" t="str">
        <f>IF(Tabla5810[[#This Row],[Cod trabalhador]]="", "", INDEX(Iban!C:C, MATCH(Tabla5810[[#This Row],[Cod trabalhador]],Iban!A:A, 0)))</f>
        <v>ES24 2100 2473 9102 1051 2483</v>
      </c>
      <c r="AU97" s="27"/>
      <c r="AV97" s="27"/>
      <c r="AW97" s="66" t="s">
        <v>7533</v>
      </c>
      <c r="AX97" s="296" t="s">
        <v>7472</v>
      </c>
    </row>
    <row r="98" spans="1:50" ht="18.75" customHeight="1" x14ac:dyDescent="0.3">
      <c r="A98" s="42">
        <v>93</v>
      </c>
      <c r="B98" s="39" t="s">
        <v>5495</v>
      </c>
      <c r="C98" s="45" t="str">
        <f>IF(ISNUMBER(MATCH(Tabla5810[[#This Row],[Cod trabalhador]],'Altas Luminous'!B:B, 0)), "Ativo", "Não ativo")</f>
        <v>Não ativo</v>
      </c>
      <c r="D98" s="44" t="str">
        <f>IFERROR(IF(VLOOKUP(Tabla5810[[#This Row],[Cod trabalhador]],'Altas Industrial'!B:E,1,0)&lt;&gt;"","KI",""),"")</f>
        <v/>
      </c>
      <c r="E98" s="44" t="str">
        <f>IFERROR(IF(VLOOKUP(Tabla5810[[#This Row],[Cod trabalhador]],'Altas Rosas'!B:F,1,0)&lt;&gt;"","KR",""),"")</f>
        <v/>
      </c>
      <c r="F98" s="44" t="str">
        <f>IFERROR(IF(VLOOKUP(Tabla5810[[#This Row],[Cod trabalhador]],'Altas Wiseowe'!B:E,1,0)&lt;&gt;"","WS",""),"")</f>
        <v/>
      </c>
      <c r="G98" s="44" t="str">
        <f>IFERROR(IF(VLOOKUP(Tabla5810[[#This Row],[Cod trabalhador]],'Altas Luminous'!B:E,1,0)&lt;&gt;"","LM",""),"")</f>
        <v/>
      </c>
      <c r="H98" s="51" t="str">
        <f>IFERROR(VLOOKUP(Tabla5810[[#This Row],[Cod trabalhador]],'Altas Luminous'!B:E,3,FALSE),"")</f>
        <v/>
      </c>
      <c r="I98" s="51" t="str">
        <f>IF(OR(Tabla5810[[#This Row],[Cod trabalhador]]="",ISBLANK(Tabla5810[[#This Row],[Cod trabalhador]])),"",IFERROR(IF(VLOOKUP(Tabla5810[[#This Row],[Cod trabalhador]],'Altas Luminous'!B:E,4,FALSE)=0,"",VLOOKUP(Tabla5810[[#This Row],[Cod trabalhador]],'Altas Luminous'!B:E,4,FALSE)),""))</f>
        <v/>
      </c>
      <c r="J98" s="44">
        <f t="shared" si="2"/>
        <v>0</v>
      </c>
      <c r="K98" s="44"/>
      <c r="L98" s="24" t="str">
        <f>IFERROR(IF(Tabla5810[[#This Row],[Cod trabalhador]]="",Tabla5810[[#This Row],[Cod trabalhador]], INDEX(Colaborador_ID[Nombre], MATCH(Tabla5810[[#This Row],[Cod trabalhador]],Colaborador_ID[Cod_colab], 0))), "")</f>
        <v>NILSON MOSQUERA GOMEZ</v>
      </c>
      <c r="M98" s="340"/>
      <c r="N98" s="23" t="s">
        <v>7109</v>
      </c>
      <c r="O98" s="401">
        <v>15</v>
      </c>
      <c r="P98" s="232" t="str">
        <f>IFERROR(VLOOKUP(Tabla5810[[#This Row],[Cod trabalhador]],'TotalHorasAjustadas (2)'!D:L,8,FALSE),"")</f>
        <v/>
      </c>
      <c r="Q98" s="27">
        <v>42</v>
      </c>
      <c r="R98" s="28" t="s">
        <v>7471</v>
      </c>
      <c r="S98" s="28" t="s">
        <v>7486</v>
      </c>
      <c r="U98" s="381"/>
      <c r="V98" s="231"/>
      <c r="X98" s="28"/>
      <c r="Y98" s="28"/>
      <c r="Z98" s="149"/>
      <c r="AA98" s="392" t="str">
        <f>IFERROR(VLOOKUP(Tabla5810[[#This Row],[Cod trabalhador]],Alojamentos!B:P,11,FALSE),"")</f>
        <v/>
      </c>
      <c r="AB98" s="127"/>
      <c r="AC98" s="150"/>
      <c r="AD98" s="35">
        <f>Tabla5810[[#This Row],[Dias de alta]]*7.058</f>
        <v>0</v>
      </c>
      <c r="AE98" s="46" t="str">
        <f>IFERROR(VLOOKUP(Tabla5810[[#This Row],[Cod trabalhador]],Adiantamentos!B:L,7,FALSE),"")</f>
        <v/>
      </c>
      <c r="AF98" s="46" t="str">
        <f>IFERROR(VLOOKUP(Tabla5810[[#This Row],[Cod trabalhador]],Carro!B:D,3,FALSE),"")</f>
        <v/>
      </c>
      <c r="AG98" s="46" t="str">
        <f>IFERROR(VLOOKUP(Tabla5810[[#This Row],[Cod trabalhador]],'Outros descontos'!B:O,7,FALSE),"")</f>
        <v/>
      </c>
      <c r="AH98" s="46" t="str">
        <f>IFERROR(VLOOKUP(Tabla5810[[#This Row],[Cod trabalhador]],'Outros descontos'!B:M,8,FALSE),"")</f>
        <v/>
      </c>
      <c r="AI98" s="46" t="str">
        <f>IFERROR(VLOOKUP(Tabla5810[[#This Row],[Cod trabalhador]],'Outros descontos'!B:M,9,FALSE),"")</f>
        <v/>
      </c>
      <c r="AJ98" s="46" t="str">
        <f>IFERROR(VLOOKUP(Tabla5810[[#This Row],[Cod trabalhador]],'Outros descontos'!B:M,10,FALSE),"")</f>
        <v/>
      </c>
      <c r="AK98" s="46" t="str">
        <f>IFERROR(VLOOKUP(Tabla5810[[#This Row],[Cod trabalhador]],'Outros descontos'!B:M,11,FALSE),"")</f>
        <v/>
      </c>
      <c r="AL98" s="46" t="str">
        <f>IFERROR(VLOOKUP(Tabla5810[[#This Row],[Cod trabalhador]],'Outros descontos'!B:M,12,FALSE),"")</f>
        <v/>
      </c>
      <c r="AM98" s="46" t="str">
        <f>IFERROR(VLOOKUP(Tabla5810[[#This Row],[Cod trabalhador]],'Outros descontos'!B:M,13,FALSE),"")</f>
        <v/>
      </c>
      <c r="AN98" s="393"/>
      <c r="AO98" s="37">
        <v>4.08</v>
      </c>
      <c r="AP98" s="15"/>
      <c r="AQ98"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-4.08</v>
      </c>
      <c r="AR98"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625.91999999999996</v>
      </c>
      <c r="AS98" s="15"/>
      <c r="AT98" s="27" t="str">
        <f>IF(Tabla5810[[#This Row],[Cod trabalhador]]="", "", INDEX(Iban!C:C, MATCH(Tabla5810[[#This Row],[Cod trabalhador]],Iban!A:A, 0)))</f>
        <v>ES79 0182 4414 6402 0155 7623</v>
      </c>
      <c r="AU98" s="27"/>
      <c r="AV98" s="27"/>
      <c r="AW98" s="66" t="s">
        <v>7533</v>
      </c>
      <c r="AX98" s="296" t="s">
        <v>7472</v>
      </c>
    </row>
    <row r="99" spans="1:50" ht="18.75" customHeight="1" x14ac:dyDescent="0.3">
      <c r="A99" s="42">
        <v>94</v>
      </c>
      <c r="B99" s="39" t="s">
        <v>5499</v>
      </c>
      <c r="C99" s="45" t="str">
        <f>IF(ISNUMBER(MATCH(Tabla5810[[#This Row],[Cod trabalhador]],'Altas Luminous'!B:B, 0)), "Ativo", "Não ativo")</f>
        <v>Ativo</v>
      </c>
      <c r="D99" s="44" t="str">
        <f>IFERROR(IF(VLOOKUP(Tabla5810[[#This Row],[Cod trabalhador]],'Altas Industrial'!B:E,1,0)&lt;&gt;"","KI",""),"")</f>
        <v/>
      </c>
      <c r="E99" s="44" t="str">
        <f>IFERROR(IF(VLOOKUP(Tabla5810[[#This Row],[Cod trabalhador]],'Altas Rosas'!B:F,1,0)&lt;&gt;"","KR",""),"")</f>
        <v/>
      </c>
      <c r="F99" s="44" t="str">
        <f>IFERROR(IF(VLOOKUP(Tabla5810[[#This Row],[Cod trabalhador]],'Altas Wiseowe'!B:E,1,0)&lt;&gt;"","WS",""),"")</f>
        <v/>
      </c>
      <c r="G99" s="44" t="str">
        <f>IFERROR(IF(VLOOKUP(Tabla5810[[#This Row],[Cod trabalhador]],'Altas Luminous'!B:E,1,0)&lt;&gt;"","LM",""),"")</f>
        <v>LM</v>
      </c>
      <c r="H99" s="51">
        <f>IFERROR(VLOOKUP(Tabla5810[[#This Row],[Cod trabalhador]],'Altas Luminous'!B:E,3,FALSE),"")</f>
        <v>45931</v>
      </c>
      <c r="I99" s="51" t="str">
        <f>IF(OR(Tabla5810[[#This Row],[Cod trabalhador]]="",ISBLANK(Tabla5810[[#This Row],[Cod trabalhador]])),"",IFERROR(IF(VLOOKUP(Tabla5810[[#This Row],[Cod trabalhador]],'Altas Luminous'!B:E,4,FALSE)=0,"",VLOOKUP(Tabla5810[[#This Row],[Cod trabalhador]],'Altas Luminous'!B:E,4,FALSE)),""))</f>
        <v/>
      </c>
      <c r="J99" s="44">
        <f t="shared" si="2"/>
        <v>31</v>
      </c>
      <c r="K99" s="44" t="s">
        <v>7122</v>
      </c>
      <c r="L99" s="24" t="str">
        <f>IFERROR(IF(Tabla5810[[#This Row],[Cod trabalhador]]="",Tabla5810[[#This Row],[Cod trabalhador]], INDEX(Colaborador_ID[Nombre], MATCH(Tabla5810[[#This Row],[Cod trabalhador]],Colaborador_ID[Cod_colab], 0))), "")</f>
        <v>NIVALDO MENDES DA SILVA</v>
      </c>
      <c r="M99" s="340"/>
      <c r="N99" s="23" t="s">
        <v>7109</v>
      </c>
      <c r="O99" s="231">
        <f>IFERROR(VLOOKUP(Tabla5810[[#This Row],[Cod trabalhador]],Tabla15[],4,FALSE),"")</f>
        <v>18</v>
      </c>
      <c r="P99" s="232">
        <f>IFERROR(VLOOKUP(Tabla5810[[#This Row],[Cod trabalhador]],'TotalHorasAjustadas (2)'!D:L,8,FALSE),"")</f>
        <v>219</v>
      </c>
      <c r="Q99" s="27">
        <v>219</v>
      </c>
      <c r="R99" s="28" t="s">
        <v>7471</v>
      </c>
      <c r="S99" s="28" t="s">
        <v>7486</v>
      </c>
      <c r="U99" s="96"/>
      <c r="V99" s="231"/>
      <c r="X99" s="28"/>
      <c r="Y99" s="28"/>
      <c r="Z99" s="149"/>
      <c r="AA99" s="392" t="str">
        <f>IFERROR(VLOOKUP(Tabla5810[[#This Row],[Cod trabalhador]],Alojamentos!B:P,11,FALSE),"")</f>
        <v/>
      </c>
      <c r="AB99" s="127"/>
      <c r="AC99" s="150"/>
      <c r="AD99" s="35">
        <f>Tabla5810[[#This Row],[Dias de alta]]*7.058</f>
        <v>218.798</v>
      </c>
      <c r="AE99" s="46" t="str">
        <f>IFERROR(VLOOKUP(Tabla5810[[#This Row],[Cod trabalhador]],Adiantamentos!B:L,7,FALSE),"")</f>
        <v/>
      </c>
      <c r="AF99" s="46" t="str">
        <f>IFERROR(VLOOKUP(Tabla5810[[#This Row],[Cod trabalhador]],Carro!B:D,3,FALSE),"")</f>
        <v/>
      </c>
      <c r="AG99" s="46" t="str">
        <f>IFERROR(VLOOKUP(Tabla5810[[#This Row],[Cod trabalhador]],'Outros descontos'!B:O,7,FALSE),"")</f>
        <v/>
      </c>
      <c r="AH99" s="46" t="str">
        <f>IFERROR(VLOOKUP(Tabla5810[[#This Row],[Cod trabalhador]],'Outros descontos'!B:M,8,FALSE),"")</f>
        <v/>
      </c>
      <c r="AI99" s="46" t="str">
        <f>IFERROR(VLOOKUP(Tabla5810[[#This Row],[Cod trabalhador]],'Outros descontos'!B:M,9,FALSE),"")</f>
        <v/>
      </c>
      <c r="AJ99" s="46" t="str">
        <f>IFERROR(VLOOKUP(Tabla5810[[#This Row],[Cod trabalhador]],'Outros descontos'!B:M,10,FALSE),"")</f>
        <v/>
      </c>
      <c r="AK99" s="46" t="str">
        <f>IFERROR(VLOOKUP(Tabla5810[[#This Row],[Cod trabalhador]],'Outros descontos'!B:M,11,FALSE),"")</f>
        <v/>
      </c>
      <c r="AL99" s="46" t="str">
        <f>IFERROR(VLOOKUP(Tabla5810[[#This Row],[Cod trabalhador]],'Outros descontos'!B:M,12,FALSE),"")</f>
        <v/>
      </c>
      <c r="AM99" s="46" t="str">
        <f>IFERROR(VLOOKUP(Tabla5810[[#This Row],[Cod trabalhador]],'Outros descontos'!B:M,13,FALSE),"")</f>
        <v/>
      </c>
      <c r="AN99" s="393"/>
      <c r="AO99" s="37">
        <v>4.08</v>
      </c>
      <c r="AP99" s="15"/>
      <c r="AQ99"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3719.1220000000003</v>
      </c>
      <c r="AR99"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3719.1220000000003</v>
      </c>
      <c r="AS99" s="15"/>
      <c r="AT99" s="27" t="str">
        <f>IF(Tabla5810[[#This Row],[Cod trabalhador]]="", "", INDEX(Iban!C:C, MATCH(Tabla5810[[#This Row],[Cod trabalhador]],Iban!A:A, 0)))</f>
        <v>PT50 0033 0000 4579 1255 2130 5</v>
      </c>
      <c r="AU99" s="27"/>
      <c r="AV99" s="27"/>
      <c r="AW99" s="66" t="s">
        <v>7533</v>
      </c>
      <c r="AX99" s="296" t="s">
        <v>7472</v>
      </c>
    </row>
    <row r="100" spans="1:50" ht="18.75" customHeight="1" x14ac:dyDescent="0.3">
      <c r="A100" s="42">
        <v>95</v>
      </c>
      <c r="B100" s="39" t="s">
        <v>5503</v>
      </c>
      <c r="C100" s="45" t="str">
        <f>IF(ISNUMBER(MATCH(Tabla5810[[#This Row],[Cod trabalhador]],'Altas Luminous'!B:B, 0)), "Ativo", "Não ativo")</f>
        <v>Não ativo</v>
      </c>
      <c r="D100" s="44" t="str">
        <f>IFERROR(IF(VLOOKUP(Tabla5810[[#This Row],[Cod trabalhador]],'Altas Industrial'!B:E,1,0)&lt;&gt;"","KI",""),"")</f>
        <v/>
      </c>
      <c r="E100" s="44" t="str">
        <f>IFERROR(IF(VLOOKUP(Tabla5810[[#This Row],[Cod trabalhador]],'Altas Rosas'!B:F,1,0)&lt;&gt;"","KR",""),"")</f>
        <v/>
      </c>
      <c r="F100" s="44" t="str">
        <f>IFERROR(IF(VLOOKUP(Tabla5810[[#This Row],[Cod trabalhador]],'Altas Wiseowe'!B:E,1,0)&lt;&gt;"","WS",""),"")</f>
        <v/>
      </c>
      <c r="G100" s="44" t="str">
        <f>IFERROR(IF(VLOOKUP(Tabla5810[[#This Row],[Cod trabalhador]],'Altas Luminous'!B:E,1,0)&lt;&gt;"","LM",""),"")</f>
        <v/>
      </c>
      <c r="H100" s="51" t="str">
        <f>IFERROR(VLOOKUP(Tabla5810[[#This Row],[Cod trabalhador]],'Altas Luminous'!B:E,3,FALSE),"")</f>
        <v/>
      </c>
      <c r="I100" s="51" t="str">
        <f>IF(OR(Tabla5810[[#This Row],[Cod trabalhador]]="",ISBLANK(Tabla5810[[#This Row],[Cod trabalhador]])),"",IFERROR(IF(VLOOKUP(Tabla5810[[#This Row],[Cod trabalhador]],'Altas Luminous'!B:E,4,FALSE)=0,"",VLOOKUP(Tabla5810[[#This Row],[Cod trabalhador]],'Altas Luminous'!B:E,4,FALSE)),""))</f>
        <v/>
      </c>
      <c r="J100" s="44">
        <f t="shared" si="2"/>
        <v>0</v>
      </c>
      <c r="K100" s="44" t="s">
        <v>7161</v>
      </c>
      <c r="L100" s="24" t="str">
        <f>IFERROR(IF(Tabla5810[[#This Row],[Cod trabalhador]]="",Tabla5810[[#This Row],[Cod trabalhador]], INDEX(Colaborador_ID[Nombre], MATCH(Tabla5810[[#This Row],[Cod trabalhador]],Colaborador_ID[Cod_colab], 0))), "")</f>
        <v>NIXO ELIECER CHAVEZ GARCIA</v>
      </c>
      <c r="M100" s="340"/>
      <c r="N100" s="23" t="s">
        <v>7157</v>
      </c>
      <c r="O100" s="401">
        <f>IFERROR(VLOOKUP(Tabla5810[[#This Row],[Cod trabalhador]],Tabla15[],4,FALSE),"")</f>
        <v>15</v>
      </c>
      <c r="P100" s="232">
        <f>IFERROR(VLOOKUP(Tabla5810[[#This Row],[Cod trabalhador]],'TotalHorasAjustadas (2)'!D:L,8,FALSE),"")</f>
        <v>82.5</v>
      </c>
      <c r="Q100" s="27">
        <v>82.5</v>
      </c>
      <c r="R100" s="28" t="s">
        <v>7532</v>
      </c>
      <c r="S100" s="28" t="s">
        <v>7486</v>
      </c>
      <c r="U100" s="381"/>
      <c r="V100" s="231"/>
      <c r="X100" s="28"/>
      <c r="Y100" s="28"/>
      <c r="Z100" s="149"/>
      <c r="AA100" s="392" t="str">
        <f>IFERROR(VLOOKUP(Tabla5810[[#This Row],[Cod trabalhador]],Alojamentos!B:P,11,FALSE),"")</f>
        <v/>
      </c>
      <c r="AB100" s="127"/>
      <c r="AC100" s="150"/>
      <c r="AD100" s="35">
        <f>Tabla5810[[#This Row],[Dias de alta]]*7.058</f>
        <v>0</v>
      </c>
      <c r="AE100" s="46" t="str">
        <f>IFERROR(VLOOKUP(Tabla5810[[#This Row],[Cod trabalhador]],Adiantamentos!B:L,7,FALSE),"")</f>
        <v/>
      </c>
      <c r="AF100" s="46" t="str">
        <f>IFERROR(VLOOKUP(Tabla5810[[#This Row],[Cod trabalhador]],Carro!B:D,3,FALSE),"")</f>
        <v/>
      </c>
      <c r="AG100" s="46">
        <f>IFERROR(VLOOKUP(Tabla5810[[#This Row],[Cod trabalhador]],'Outros descontos'!B:O,7,FALSE),"")</f>
        <v>0</v>
      </c>
      <c r="AH100" s="46">
        <f>IFERROR(VLOOKUP(Tabla5810[[#This Row],[Cod trabalhador]],'Outros descontos'!B:M,8,FALSE),"")</f>
        <v>0</v>
      </c>
      <c r="AI100" s="46">
        <f>IFERROR(VLOOKUP(Tabla5810[[#This Row],[Cod trabalhador]],'Outros descontos'!B:M,9,FALSE),"")</f>
        <v>0</v>
      </c>
      <c r="AJ100" s="46">
        <f>IFERROR(VLOOKUP(Tabla5810[[#This Row],[Cod trabalhador]],'Outros descontos'!B:M,10,FALSE),"")</f>
        <v>0</v>
      </c>
      <c r="AK100" s="46">
        <f>IFERROR(VLOOKUP(Tabla5810[[#This Row],[Cod trabalhador]],'Outros descontos'!B:M,11,FALSE),"")</f>
        <v>0</v>
      </c>
      <c r="AL100" s="46">
        <f>IFERROR(VLOOKUP(Tabla5810[[#This Row],[Cod trabalhador]],'Outros descontos'!B:M,12,FALSE),"")</f>
        <v>21.74</v>
      </c>
      <c r="AM100" s="46" t="str">
        <f>IFERROR(VLOOKUP(Tabla5810[[#This Row],[Cod trabalhador]],'Outros descontos'!B:M,13,FALSE),"")</f>
        <v/>
      </c>
      <c r="AN100" s="393"/>
      <c r="AO100" s="37">
        <v>4.08</v>
      </c>
      <c r="AP100" s="15"/>
      <c r="AQ100"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1211.68</v>
      </c>
      <c r="AR100"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1211.68</v>
      </c>
      <c r="AS100" s="15"/>
      <c r="AT100" s="27" t="str">
        <f>IF(Tabla5810[[#This Row],[Cod trabalhador]]="", "", INDEX(Iban!C:C, MATCH(Tabla5810[[#This Row],[Cod trabalhador]],Iban!A:A, 0)))</f>
        <v>BE06 9057 2185 6122</v>
      </c>
      <c r="AU100" s="27"/>
      <c r="AV100" s="27"/>
      <c r="AW100" s="66" t="s">
        <v>7533</v>
      </c>
      <c r="AX100" s="296" t="s">
        <v>7472</v>
      </c>
    </row>
    <row r="101" spans="1:50" ht="18.75" customHeight="1" x14ac:dyDescent="0.3">
      <c r="A101" s="42">
        <v>96</v>
      </c>
      <c r="B101" s="39" t="s">
        <v>5565</v>
      </c>
      <c r="C101" s="45" t="str">
        <f>IF(ISNUMBER(MATCH(Tabla5810[[#This Row],[Cod trabalhador]],'Altas Luminous'!B:B, 0)), "Ativo", "Não ativo")</f>
        <v>Não ativo</v>
      </c>
      <c r="D101" s="44" t="str">
        <f>IFERROR(IF(VLOOKUP(Tabla5810[[#This Row],[Cod trabalhador]],'Altas Industrial'!B:E,1,0)&lt;&gt;"","KI",""),"")</f>
        <v/>
      </c>
      <c r="E101" s="44" t="str">
        <f>IFERROR(IF(VLOOKUP(Tabla5810[[#This Row],[Cod trabalhador]],'Altas Rosas'!B:F,1,0)&lt;&gt;"","KR",""),"")</f>
        <v/>
      </c>
      <c r="F101" s="44" t="str">
        <f>IFERROR(IF(VLOOKUP(Tabla5810[[#This Row],[Cod trabalhador]],'Altas Wiseowe'!B:E,1,0)&lt;&gt;"","WS",""),"")</f>
        <v/>
      </c>
      <c r="G101" s="44" t="str">
        <f>IFERROR(IF(VLOOKUP(Tabla5810[[#This Row],[Cod trabalhador]],'Altas Luminous'!B:E,1,0)&lt;&gt;"","LM",""),"")</f>
        <v/>
      </c>
      <c r="H101" s="51" t="str">
        <f>IFERROR(VLOOKUP(Tabla5810[[#This Row],[Cod trabalhador]],'Altas Luminous'!B:E,3,FALSE),"")</f>
        <v/>
      </c>
      <c r="I101" s="51" t="str">
        <f>IF(OR(Tabla5810[[#This Row],[Cod trabalhador]]="",ISBLANK(Tabla5810[[#This Row],[Cod trabalhador]])),"",IFERROR(IF(VLOOKUP(Tabla5810[[#This Row],[Cod trabalhador]],'Altas Luminous'!B:E,4,FALSE)=0,"",VLOOKUP(Tabla5810[[#This Row],[Cod trabalhador]],'Altas Luminous'!B:E,4,FALSE)),""))</f>
        <v/>
      </c>
      <c r="J101" s="44">
        <f t="shared" ref="J101:J123" si="3">IF(C101="ativo",    IF(ISBLANK(H101),"",MAX(0,MIN(IF(ISBLANK(I101),EOMONTH(DATE(2026,1,1),0),I101),EOMONTH(DATE(2026,1,1),0)) - MAX(H101,DATE(2026,1,1))))+1,
    0
)</f>
        <v>0</v>
      </c>
      <c r="K101" s="44" t="s">
        <v>5566</v>
      </c>
      <c r="L101" s="24" t="str">
        <f>IFERROR(IF(Tabla5810[[#This Row],[Cod trabalhador]]="",Tabla5810[[#This Row],[Cod trabalhador]], INDEX(Colaborador_ID[Nombre], MATCH(Tabla5810[[#This Row],[Cod trabalhador]],Colaborador_ID[Cod_colab], 0))), "")</f>
        <v>OMAR DAVID DIAZ MORALES</v>
      </c>
      <c r="M101" s="340"/>
      <c r="N101" s="23" t="s">
        <v>7128</v>
      </c>
      <c r="O101" s="401">
        <v>15</v>
      </c>
      <c r="P101" s="232">
        <f>IFERROR(VLOOKUP(Tabla5810[[#This Row],[Cod trabalhador]],'TotalHorasAjustadas (2)'!D:L,8,FALSE),"")</f>
        <v>108</v>
      </c>
      <c r="Q101" s="27">
        <v>108</v>
      </c>
      <c r="R101" s="28" t="s">
        <v>7532</v>
      </c>
      <c r="S101" s="28" t="s">
        <v>7486</v>
      </c>
      <c r="U101" s="381"/>
      <c r="V101" s="231"/>
      <c r="X101" s="28"/>
      <c r="Y101" s="28"/>
      <c r="Z101" s="149"/>
      <c r="AA101" s="392" t="str">
        <f>IFERROR(VLOOKUP(Tabla5810[[#This Row],[Cod trabalhador]],Alojamentos!B:P,11,FALSE),"")</f>
        <v/>
      </c>
      <c r="AB101" s="127"/>
      <c r="AC101" s="150"/>
      <c r="AD101" s="35">
        <f>Tabla5810[[#This Row],[Dias de alta]]*7.058</f>
        <v>0</v>
      </c>
      <c r="AE101" s="46" t="str">
        <f>IFERROR(VLOOKUP(Tabla5810[[#This Row],[Cod trabalhador]],Adiantamentos!B:L,7,FALSE),"")</f>
        <v/>
      </c>
      <c r="AF101" s="46" t="str">
        <f>IFERROR(VLOOKUP(Tabla5810[[#This Row],[Cod trabalhador]],Carro!B:D,3,FALSE),"")</f>
        <v/>
      </c>
      <c r="AG101" s="46">
        <f>IFERROR(VLOOKUP(Tabla5810[[#This Row],[Cod trabalhador]],'Outros descontos'!B:O,7,FALSE),"")</f>
        <v>0</v>
      </c>
      <c r="AH101" s="46">
        <f>IFERROR(VLOOKUP(Tabla5810[[#This Row],[Cod trabalhador]],'Outros descontos'!B:M,8,FALSE),"")</f>
        <v>0</v>
      </c>
      <c r="AI101" s="46">
        <f>IFERROR(VLOOKUP(Tabla5810[[#This Row],[Cod trabalhador]],'Outros descontos'!B:M,9,FALSE),"")</f>
        <v>0</v>
      </c>
      <c r="AJ101" s="46">
        <f>IFERROR(VLOOKUP(Tabla5810[[#This Row],[Cod trabalhador]],'Outros descontos'!B:M,10,FALSE),"")</f>
        <v>0</v>
      </c>
      <c r="AK101" s="46">
        <f>IFERROR(VLOOKUP(Tabla5810[[#This Row],[Cod trabalhador]],'Outros descontos'!B:M,11,FALSE),"")</f>
        <v>0</v>
      </c>
      <c r="AL101" s="46">
        <f>IFERROR(VLOOKUP(Tabla5810[[#This Row],[Cod trabalhador]],'Outros descontos'!B:M,12,FALSE),"")</f>
        <v>21.74</v>
      </c>
      <c r="AM101" s="46" t="str">
        <f>IFERROR(VLOOKUP(Tabla5810[[#This Row],[Cod trabalhador]],'Outros descontos'!B:M,13,FALSE),"")</f>
        <v/>
      </c>
      <c r="AN101" s="393"/>
      <c r="AO101" s="37">
        <v>4.08</v>
      </c>
      <c r="AP101" s="15"/>
      <c r="AQ101"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1594.18</v>
      </c>
      <c r="AR101"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1594.18</v>
      </c>
      <c r="AS101" s="15"/>
      <c r="AT101" s="27" t="str">
        <f>IF(Tabla5810[[#This Row],[Cod trabalhador]]="", "", INDEX(Iban!C:C, MATCH(Tabla5810[[#This Row],[Cod trabalhador]],Iban!A:A, 0)))</f>
        <v>BE80 9055 6224 8177</v>
      </c>
      <c r="AU101" s="27"/>
      <c r="AV101" s="27"/>
      <c r="AW101" s="66" t="s">
        <v>7533</v>
      </c>
      <c r="AX101" s="296" t="s">
        <v>7472</v>
      </c>
    </row>
    <row r="102" spans="1:50" ht="18.75" customHeight="1" x14ac:dyDescent="0.3">
      <c r="A102" s="42">
        <v>97</v>
      </c>
      <c r="B102" s="39" t="s">
        <v>5697</v>
      </c>
      <c r="C102" s="45" t="str">
        <f>IF(ISNUMBER(MATCH(Tabla5810[[#This Row],[Cod trabalhador]],'Altas Luminous'!B:B, 0)), "Ativo", "Não ativo")</f>
        <v>Não ativo</v>
      </c>
      <c r="D102" s="44" t="str">
        <f>IFERROR(IF(VLOOKUP(Tabla5810[[#This Row],[Cod trabalhador]],'Altas Industrial'!B:E,1,0)&lt;&gt;"","KI",""),"")</f>
        <v/>
      </c>
      <c r="E102" s="44" t="str">
        <f>IFERROR(IF(VLOOKUP(Tabla5810[[#This Row],[Cod trabalhador]],'Altas Rosas'!B:F,1,0)&lt;&gt;"","KR",""),"")</f>
        <v/>
      </c>
      <c r="F102" s="44" t="str">
        <f>IFERROR(IF(VLOOKUP(Tabla5810[[#This Row],[Cod trabalhador]],'Altas Wiseowe'!B:E,1,0)&lt;&gt;"","WS",""),"")</f>
        <v/>
      </c>
      <c r="G102" s="44" t="str">
        <f>IFERROR(IF(VLOOKUP(Tabla5810[[#This Row],[Cod trabalhador]],'Altas Luminous'!B:E,1,0)&lt;&gt;"","LM",""),"")</f>
        <v/>
      </c>
      <c r="H102" s="51" t="str">
        <f>IFERROR(VLOOKUP(Tabla5810[[#This Row],[Cod trabalhador]],'Altas Luminous'!B:E,3,FALSE),"")</f>
        <v/>
      </c>
      <c r="I102" s="51" t="str">
        <f>IF(OR(Tabla5810[[#This Row],[Cod trabalhador]]="",ISBLANK(Tabla5810[[#This Row],[Cod trabalhador]])),"",IFERROR(IF(VLOOKUP(Tabla5810[[#This Row],[Cod trabalhador]],'Altas Luminous'!B:E,4,FALSE)=0,"",VLOOKUP(Tabla5810[[#This Row],[Cod trabalhador]],'Altas Luminous'!B:E,4,FALSE)),""))</f>
        <v/>
      </c>
      <c r="J102" s="44">
        <f t="shared" si="3"/>
        <v>0</v>
      </c>
      <c r="K102" s="44" t="s">
        <v>5698</v>
      </c>
      <c r="L102" s="24" t="str">
        <f>IFERROR(IF(Tabla5810[[#This Row],[Cod trabalhador]]="",Tabla5810[[#This Row],[Cod trabalhador]], INDEX(Colaborador_ID[Nombre], MATCH(Tabla5810[[#This Row],[Cod trabalhador]],Colaborador_ID[Cod_colab], 0))), "")</f>
        <v>PASTOR JOSE FERNANDEZ CANELO</v>
      </c>
      <c r="M102" s="340"/>
      <c r="N102" s="23" t="s">
        <v>7109</v>
      </c>
      <c r="O102" s="401">
        <v>15</v>
      </c>
      <c r="P102" s="232">
        <f>IFERROR(VLOOKUP(Tabla5810[[#This Row],[Cod trabalhador]],'TotalHorasAjustadas (2)'!D:L,8,FALSE),"")</f>
        <v>25</v>
      </c>
      <c r="Q102" s="27">
        <v>25</v>
      </c>
      <c r="R102" s="28" t="s">
        <v>7471</v>
      </c>
      <c r="S102" s="28" t="s">
        <v>7486</v>
      </c>
      <c r="U102" s="381"/>
      <c r="V102" s="231"/>
      <c r="X102" s="28"/>
      <c r="Y102" s="28"/>
      <c r="Z102" s="149"/>
      <c r="AA102" s="392" t="str">
        <f>IFERROR(VLOOKUP(Tabla5810[[#This Row],[Cod trabalhador]],Alojamentos!B:P,11,FALSE),"")</f>
        <v/>
      </c>
      <c r="AB102" s="127"/>
      <c r="AC102" s="150"/>
      <c r="AD102" s="35">
        <f>Tabla5810[[#This Row],[Dias de alta]]*7.058</f>
        <v>0</v>
      </c>
      <c r="AE102" s="46" t="str">
        <f>IFERROR(VLOOKUP(Tabla5810[[#This Row],[Cod trabalhador]],Adiantamentos!B:L,7,FALSE),"")</f>
        <v/>
      </c>
      <c r="AF102" s="46" t="str">
        <f>IFERROR(VLOOKUP(Tabla5810[[#This Row],[Cod trabalhador]],Carro!B:D,3,FALSE),"")</f>
        <v/>
      </c>
      <c r="AG102" s="46" t="str">
        <f>IFERROR(VLOOKUP(Tabla5810[[#This Row],[Cod trabalhador]],'Outros descontos'!B:O,7,FALSE),"")</f>
        <v/>
      </c>
      <c r="AH102" s="46" t="str">
        <f>IFERROR(VLOOKUP(Tabla5810[[#This Row],[Cod trabalhador]],'Outros descontos'!B:M,8,FALSE),"")</f>
        <v/>
      </c>
      <c r="AI102" s="46" t="str">
        <f>IFERROR(VLOOKUP(Tabla5810[[#This Row],[Cod trabalhador]],'Outros descontos'!B:M,9,FALSE),"")</f>
        <v/>
      </c>
      <c r="AJ102" s="46" t="str">
        <f>IFERROR(VLOOKUP(Tabla5810[[#This Row],[Cod trabalhador]],'Outros descontos'!B:M,10,FALSE),"")</f>
        <v/>
      </c>
      <c r="AK102" s="46" t="str">
        <f>IFERROR(VLOOKUP(Tabla5810[[#This Row],[Cod trabalhador]],'Outros descontos'!B:M,11,FALSE),"")</f>
        <v/>
      </c>
      <c r="AL102" s="46" t="str">
        <f>IFERROR(VLOOKUP(Tabla5810[[#This Row],[Cod trabalhador]],'Outros descontos'!B:M,12,FALSE),"")</f>
        <v/>
      </c>
      <c r="AM102" s="46" t="str">
        <f>IFERROR(VLOOKUP(Tabla5810[[#This Row],[Cod trabalhador]],'Outros descontos'!B:M,13,FALSE),"")</f>
        <v/>
      </c>
      <c r="AN102" s="393"/>
      <c r="AO102" s="37">
        <v>4.08</v>
      </c>
      <c r="AP102" s="15"/>
      <c r="AQ102"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370.92</v>
      </c>
      <c r="AR102"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370.92</v>
      </c>
      <c r="AS102" s="15"/>
      <c r="AT102" s="27" t="str">
        <f>IF(Tabla5810[[#This Row],[Cod trabalhador]]="", "", INDEX(Iban!C:C, MATCH(Tabla5810[[#This Row],[Cod trabalhador]],Iban!A:A, 0)))</f>
        <v xml:space="preserve"> ES78 0182 5319 7900 0018 1172</v>
      </c>
      <c r="AU102" s="27"/>
      <c r="AV102" s="27"/>
      <c r="AW102" s="66" t="s">
        <v>7533</v>
      </c>
      <c r="AX102" s="296" t="s">
        <v>7472</v>
      </c>
    </row>
    <row r="103" spans="1:50" ht="18.75" customHeight="1" x14ac:dyDescent="0.3">
      <c r="A103" s="42">
        <v>98</v>
      </c>
      <c r="B103" s="39" t="s">
        <v>5726</v>
      </c>
      <c r="C103" s="45" t="str">
        <f>IF(ISNUMBER(MATCH(Tabla5810[[#This Row],[Cod trabalhador]],'Altas Luminous'!B:B, 0)), "Ativo", "Não ativo")</f>
        <v>Não ativo</v>
      </c>
      <c r="D103" s="44" t="str">
        <f>IFERROR(IF(VLOOKUP(Tabla5810[[#This Row],[Cod trabalhador]],'Altas Industrial'!B:E,1,0)&lt;&gt;"","KI",""),"")</f>
        <v/>
      </c>
      <c r="E103" s="44" t="str">
        <f>IFERROR(IF(VLOOKUP(Tabla5810[[#This Row],[Cod trabalhador]],'Altas Rosas'!B:F,1,0)&lt;&gt;"","KR",""),"")</f>
        <v/>
      </c>
      <c r="F103" s="44" t="str">
        <f>IFERROR(IF(VLOOKUP(Tabla5810[[#This Row],[Cod trabalhador]],'Altas Wiseowe'!B:E,1,0)&lt;&gt;"","WS",""),"")</f>
        <v/>
      </c>
      <c r="G103" s="44" t="str">
        <f>IFERROR(IF(VLOOKUP(Tabla5810[[#This Row],[Cod trabalhador]],'Altas Luminous'!B:E,1,0)&lt;&gt;"","LM",""),"")</f>
        <v/>
      </c>
      <c r="H103" s="51" t="str">
        <f>IFERROR(VLOOKUP(Tabla5810[[#This Row],[Cod trabalhador]],'Altas Luminous'!B:E,3,FALSE),"")</f>
        <v/>
      </c>
      <c r="I103" s="51" t="str">
        <f>IF(OR(Tabla5810[[#This Row],[Cod trabalhador]]="",ISBLANK(Tabla5810[[#This Row],[Cod trabalhador]])),"",IFERROR(IF(VLOOKUP(Tabla5810[[#This Row],[Cod trabalhador]],'Altas Luminous'!B:E,4,FALSE)=0,"",VLOOKUP(Tabla5810[[#This Row],[Cod trabalhador]],'Altas Luminous'!B:E,4,FALSE)),""))</f>
        <v/>
      </c>
      <c r="J103" s="44">
        <f t="shared" si="3"/>
        <v>0</v>
      </c>
      <c r="K103" s="44" t="s">
        <v>7123</v>
      </c>
      <c r="L103" s="24" t="str">
        <f>IFERROR(IF(Tabla5810[[#This Row],[Cod trabalhador]]="",Tabla5810[[#This Row],[Cod trabalhador]], INDEX(Colaborador_ID[Nombre], MATCH(Tabla5810[[#This Row],[Cod trabalhador]],Colaborador_ID[Cod_colab], 0))), "")</f>
        <v>PAVEL FERNANDO GARCIA ZAPATA</v>
      </c>
      <c r="M103" s="340"/>
      <c r="N103" s="23" t="s">
        <v>7109</v>
      </c>
      <c r="O103" s="401">
        <f>IFERROR(VLOOKUP(Tabla5810[[#This Row],[Cod trabalhador]],Tabla15[],4,FALSE),"")</f>
        <v>15</v>
      </c>
      <c r="P103" s="232">
        <f>IFERROR(VLOOKUP(Tabla5810[[#This Row],[Cod trabalhador]],'TotalHorasAjustadas (2)'!D:L,8,FALSE),"")</f>
        <v>226</v>
      </c>
      <c r="Q103" s="27">
        <v>226</v>
      </c>
      <c r="R103" s="28" t="s">
        <v>7471</v>
      </c>
      <c r="S103" s="28" t="s">
        <v>7486</v>
      </c>
      <c r="U103" s="381"/>
      <c r="V103" s="231"/>
      <c r="X103" s="28"/>
      <c r="Y103" s="28"/>
      <c r="Z103" s="149"/>
      <c r="AA103" s="392" t="str">
        <f>IFERROR(VLOOKUP(Tabla5810[[#This Row],[Cod trabalhador]],Alojamentos!B:P,11,FALSE),"")</f>
        <v/>
      </c>
      <c r="AB103" s="127"/>
      <c r="AC103" s="150"/>
      <c r="AD103" s="35">
        <f>Tabla5810[[#This Row],[Dias de alta]]*7.058</f>
        <v>0</v>
      </c>
      <c r="AE103" s="46" t="str">
        <f>IFERROR(VLOOKUP(Tabla5810[[#This Row],[Cod trabalhador]],Adiantamentos!B:L,7,FALSE),"")</f>
        <v/>
      </c>
      <c r="AF103" s="46" t="str">
        <f>IFERROR(VLOOKUP(Tabla5810[[#This Row],[Cod trabalhador]],Carro!B:D,3,FALSE),"")</f>
        <v/>
      </c>
      <c r="AG103" s="46" t="str">
        <f>IFERROR(VLOOKUP(Tabla5810[[#This Row],[Cod trabalhador]],'Outros descontos'!B:O,7,FALSE),"")</f>
        <v/>
      </c>
      <c r="AH103" s="46" t="str">
        <f>IFERROR(VLOOKUP(Tabla5810[[#This Row],[Cod trabalhador]],'Outros descontos'!B:M,8,FALSE),"")</f>
        <v/>
      </c>
      <c r="AI103" s="46" t="str">
        <f>IFERROR(VLOOKUP(Tabla5810[[#This Row],[Cod trabalhador]],'Outros descontos'!B:M,9,FALSE),"")</f>
        <v/>
      </c>
      <c r="AJ103" s="46" t="str">
        <f>IFERROR(VLOOKUP(Tabla5810[[#This Row],[Cod trabalhador]],'Outros descontos'!B:M,10,FALSE),"")</f>
        <v/>
      </c>
      <c r="AK103" s="46" t="str">
        <f>IFERROR(VLOOKUP(Tabla5810[[#This Row],[Cod trabalhador]],'Outros descontos'!B:M,11,FALSE),"")</f>
        <v/>
      </c>
      <c r="AL103" s="46" t="str">
        <f>IFERROR(VLOOKUP(Tabla5810[[#This Row],[Cod trabalhador]],'Outros descontos'!B:M,12,FALSE),"")</f>
        <v/>
      </c>
      <c r="AM103" s="46" t="str">
        <f>IFERROR(VLOOKUP(Tabla5810[[#This Row],[Cod trabalhador]],'Outros descontos'!B:M,13,FALSE),"")</f>
        <v/>
      </c>
      <c r="AN103" s="393">
        <v>15</v>
      </c>
      <c r="AO103" s="37">
        <v>4.08</v>
      </c>
      <c r="AP103" s="15"/>
      <c r="AQ103"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3385.92</v>
      </c>
      <c r="AR103"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3370.92</v>
      </c>
      <c r="AS103" s="15"/>
      <c r="AT103" s="27" t="str">
        <f>IF(Tabla5810[[#This Row],[Cod trabalhador]]="", "", INDEX(Iban!C:C, MATCH(Tabla5810[[#This Row],[Cod trabalhador]],Iban!A:A, 0)))</f>
        <v>ES31 0182 1005 3102 0172 5898</v>
      </c>
      <c r="AU103" s="27"/>
      <c r="AV103" s="27"/>
      <c r="AW103" s="66" t="s">
        <v>7533</v>
      </c>
      <c r="AX103" s="296" t="s">
        <v>7472</v>
      </c>
    </row>
    <row r="104" spans="1:50" ht="18.75" customHeight="1" x14ac:dyDescent="0.3">
      <c r="A104" s="42">
        <v>99</v>
      </c>
      <c r="B104" s="39" t="s">
        <v>5744</v>
      </c>
      <c r="C104" s="45" t="str">
        <f>IF(ISNUMBER(MATCH(Tabla5810[[#This Row],[Cod trabalhador]],'Altas Luminous'!B:B, 0)), "Ativo", "Não ativo")</f>
        <v>Ativo</v>
      </c>
      <c r="D104" s="44" t="str">
        <f>IFERROR(IF(VLOOKUP(Tabla5810[[#This Row],[Cod trabalhador]],'Altas Industrial'!B:E,1,0)&lt;&gt;"","KI",""),"")</f>
        <v>KI</v>
      </c>
      <c r="E104" s="44" t="str">
        <f>IFERROR(IF(VLOOKUP(Tabla5810[[#This Row],[Cod trabalhador]],'Altas Rosas'!B:F,1,0)&lt;&gt;"","KR",""),"")</f>
        <v/>
      </c>
      <c r="F104" s="44" t="str">
        <f>IFERROR(IF(VLOOKUP(Tabla5810[[#This Row],[Cod trabalhador]],'Altas Wiseowe'!B:E,1,0)&lt;&gt;"","WS",""),"")</f>
        <v/>
      </c>
      <c r="G104" s="44" t="str">
        <f>IFERROR(IF(VLOOKUP(Tabla5810[[#This Row],[Cod trabalhador]],'Altas Luminous'!B:E,1,0)&lt;&gt;"","LM",""),"")</f>
        <v>LM</v>
      </c>
      <c r="H104" s="51">
        <f>IFERROR(VLOOKUP(Tabla5810[[#This Row],[Cod trabalhador]],'Altas Luminous'!B:E,3,FALSE),"")</f>
        <v>46036</v>
      </c>
      <c r="I104" s="51">
        <f>IF(OR(Tabla5810[[#This Row],[Cod trabalhador]]="",ISBLANK(Tabla5810[[#This Row],[Cod trabalhador]])),"",IFERROR(IF(VLOOKUP(Tabla5810[[#This Row],[Cod trabalhador]],'Altas Luminous'!B:E,4,FALSE)=0,"",VLOOKUP(Tabla5810[[#This Row],[Cod trabalhador]],'Altas Luminous'!B:E,4,FALSE)),""))</f>
        <v>46054</v>
      </c>
      <c r="J104" s="44">
        <f t="shared" si="3"/>
        <v>18</v>
      </c>
      <c r="K104" s="44" t="s">
        <v>5745</v>
      </c>
      <c r="L104" s="24" t="str">
        <f>IFERROR(IF(Tabla5810[[#This Row],[Cod trabalhador]]="",Tabla5810[[#This Row],[Cod trabalhador]], INDEX(Colaborador_ID[Nombre], MATCH(Tabla5810[[#This Row],[Cod trabalhador]],Colaborador_ID[Cod_colab], 0))), "")</f>
        <v>PEDRO CARLOS ARMENDARIZ</v>
      </c>
      <c r="M104" s="340"/>
      <c r="N104" s="23" t="s">
        <v>7093</v>
      </c>
      <c r="O104" s="401">
        <f>IFERROR(VLOOKUP(Tabla5810[[#This Row],[Cod trabalhador]],Tabla15[],4,FALSE),"")</f>
        <v>15</v>
      </c>
      <c r="P104" s="232">
        <f>IFERROR(VLOOKUP(Tabla5810[[#This Row],[Cod trabalhador]],'TotalHorasAjustadas (2)'!D:L,8,FALSE),"")</f>
        <v>130</v>
      </c>
      <c r="Q104" s="27">
        <v>130</v>
      </c>
      <c r="R104" s="28" t="s">
        <v>7471</v>
      </c>
      <c r="S104" s="28" t="s">
        <v>7486</v>
      </c>
      <c r="U104" s="381"/>
      <c r="V104" s="231"/>
      <c r="X104" s="28"/>
      <c r="Y104" s="28"/>
      <c r="Z104" s="149"/>
      <c r="AA104" s="392" t="str">
        <f>IFERROR(VLOOKUP(Tabla5810[[#This Row],[Cod trabalhador]],Alojamentos!B:P,11,FALSE),"")</f>
        <v/>
      </c>
      <c r="AB104" s="127"/>
      <c r="AC104" s="150"/>
      <c r="AD104" s="35">
        <f>Tabla5810[[#This Row],[Dias de alta]]*7.058</f>
        <v>127.044</v>
      </c>
      <c r="AE104" s="46" t="str">
        <f>IFERROR(VLOOKUP(Tabla5810[[#This Row],[Cod trabalhador]],Adiantamentos!B:L,7,FALSE),"")</f>
        <v/>
      </c>
      <c r="AF104" s="46" t="str">
        <f>IFERROR(VLOOKUP(Tabla5810[[#This Row],[Cod trabalhador]],Carro!B:D,3,FALSE),"")</f>
        <v/>
      </c>
      <c r="AG104" s="46" t="str">
        <f>IFERROR(VLOOKUP(Tabla5810[[#This Row],[Cod trabalhador]],'Outros descontos'!B:O,7,FALSE),"")</f>
        <v/>
      </c>
      <c r="AH104" s="46" t="str">
        <f>IFERROR(VLOOKUP(Tabla5810[[#This Row],[Cod trabalhador]],'Outros descontos'!B:M,8,FALSE),"")</f>
        <v/>
      </c>
      <c r="AI104" s="46" t="str">
        <f>IFERROR(VLOOKUP(Tabla5810[[#This Row],[Cod trabalhador]],'Outros descontos'!B:M,9,FALSE),"")</f>
        <v/>
      </c>
      <c r="AJ104" s="46" t="str">
        <f>IFERROR(VLOOKUP(Tabla5810[[#This Row],[Cod trabalhador]],'Outros descontos'!B:M,10,FALSE),"")</f>
        <v/>
      </c>
      <c r="AK104" s="46" t="str">
        <f>IFERROR(VLOOKUP(Tabla5810[[#This Row],[Cod trabalhador]],'Outros descontos'!B:M,11,FALSE),"")</f>
        <v/>
      </c>
      <c r="AL104" s="46" t="str">
        <f>IFERROR(VLOOKUP(Tabla5810[[#This Row],[Cod trabalhador]],'Outros descontos'!B:M,12,FALSE),"")</f>
        <v/>
      </c>
      <c r="AM104" s="46" t="str">
        <f>IFERROR(VLOOKUP(Tabla5810[[#This Row],[Cod trabalhador]],'Outros descontos'!B:M,13,FALSE),"")</f>
        <v/>
      </c>
      <c r="AN104" s="393"/>
      <c r="AO104" s="37">
        <v>4.08</v>
      </c>
      <c r="AP104" s="15"/>
      <c r="AQ104"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1818.876</v>
      </c>
      <c r="AR104"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1818.876</v>
      </c>
      <c r="AS104" s="15"/>
      <c r="AT104" s="27" t="str">
        <f>IF(Tabla5810[[#This Row],[Cod trabalhador]]="", "", INDEX(Iban!C:C, MATCH(Tabla5810[[#This Row],[Cod trabalhador]],Iban!A:A, 0)))</f>
        <v>ES55 6893 0001 7300 0027 4004</v>
      </c>
      <c r="AU104" s="27"/>
      <c r="AV104" s="27"/>
      <c r="AW104" s="66" t="s">
        <v>7533</v>
      </c>
      <c r="AX104" s="296" t="s">
        <v>7472</v>
      </c>
    </row>
    <row r="105" spans="1:50" ht="18.75" customHeight="1" x14ac:dyDescent="0.3">
      <c r="A105" s="42">
        <v>100</v>
      </c>
      <c r="B105" s="39" t="s">
        <v>5780</v>
      </c>
      <c r="C105" s="45" t="str">
        <f>IF(ISNUMBER(MATCH(Tabla5810[[#This Row],[Cod trabalhador]],'Altas Luminous'!B:B, 0)), "Ativo", "Não ativo")</f>
        <v>Não ativo</v>
      </c>
      <c r="D105" s="44" t="str">
        <f>IFERROR(IF(VLOOKUP(Tabla5810[[#This Row],[Cod trabalhador]],'Altas Industrial'!B:E,1,0)&lt;&gt;"","KI",""),"")</f>
        <v/>
      </c>
      <c r="E105" s="44" t="str">
        <f>IFERROR(IF(VLOOKUP(Tabla5810[[#This Row],[Cod trabalhador]],'Altas Rosas'!B:F,1,0)&lt;&gt;"","KR",""),"")</f>
        <v/>
      </c>
      <c r="F105" s="44" t="str">
        <f>IFERROR(IF(VLOOKUP(Tabla5810[[#This Row],[Cod trabalhador]],'Altas Wiseowe'!B:E,1,0)&lt;&gt;"","WS",""),"")</f>
        <v/>
      </c>
      <c r="G105" s="44" t="str">
        <f>IFERROR(IF(VLOOKUP(Tabla5810[[#This Row],[Cod trabalhador]],'Altas Luminous'!B:E,1,0)&lt;&gt;"","LM",""),"")</f>
        <v/>
      </c>
      <c r="H105" s="51" t="str">
        <f>IFERROR(VLOOKUP(Tabla5810[[#This Row],[Cod trabalhador]],'Altas Luminous'!B:E,3,FALSE),"")</f>
        <v/>
      </c>
      <c r="I105" s="51" t="str">
        <f>IF(OR(Tabla5810[[#This Row],[Cod trabalhador]]="",ISBLANK(Tabla5810[[#This Row],[Cod trabalhador]])),"",IFERROR(IF(VLOOKUP(Tabla5810[[#This Row],[Cod trabalhador]],'Altas Luminous'!B:E,4,FALSE)=0,"",VLOOKUP(Tabla5810[[#This Row],[Cod trabalhador]],'Altas Luminous'!B:E,4,FALSE)),""))</f>
        <v/>
      </c>
      <c r="J105" s="44">
        <f t="shared" si="3"/>
        <v>0</v>
      </c>
      <c r="K105" s="44" t="s">
        <v>5781</v>
      </c>
      <c r="L105" s="24" t="str">
        <f>IFERROR(IF(Tabla5810[[#This Row],[Cod trabalhador]]="",Tabla5810[[#This Row],[Cod trabalhador]], INDEX(Colaborador_ID[Nombre], MATCH(Tabla5810[[#This Row],[Cod trabalhador]],Colaborador_ID[Cod_colab], 0))), "")</f>
        <v>PEDRO LUIS PADILLA VALDEZ</v>
      </c>
      <c r="M105" s="340"/>
      <c r="N105" s="23" t="s">
        <v>7127</v>
      </c>
      <c r="O105" s="401">
        <v>15</v>
      </c>
      <c r="P105" s="232">
        <f>IFERROR(VLOOKUP(Tabla5810[[#This Row],[Cod trabalhador]],'TotalHorasAjustadas (2)'!D:L,8,FALSE),"")</f>
        <v>40</v>
      </c>
      <c r="Q105" s="27">
        <v>80</v>
      </c>
      <c r="R105" s="28" t="s">
        <v>7471</v>
      </c>
      <c r="S105" s="28" t="s">
        <v>7486</v>
      </c>
      <c r="U105" s="381"/>
      <c r="V105" s="231"/>
      <c r="X105" s="28"/>
      <c r="Y105" s="28"/>
      <c r="Z105" s="149"/>
      <c r="AA105" s="392" t="str">
        <f>IFERROR(VLOOKUP(Tabla5810[[#This Row],[Cod trabalhador]],Alojamentos!B:P,11,FALSE),"")</f>
        <v/>
      </c>
      <c r="AB105" s="127"/>
      <c r="AC105" s="150"/>
      <c r="AD105" s="35">
        <f>Tabla5810[[#This Row],[Dias de alta]]*7.058</f>
        <v>0</v>
      </c>
      <c r="AE105" s="46" t="str">
        <f>IFERROR(VLOOKUP(Tabla5810[[#This Row],[Cod trabalhador]],Adiantamentos!B:L,7,FALSE),"")</f>
        <v/>
      </c>
      <c r="AF105" s="46" t="str">
        <f>IFERROR(VLOOKUP(Tabla5810[[#This Row],[Cod trabalhador]],Carro!B:D,3,FALSE),"")</f>
        <v/>
      </c>
      <c r="AG105" s="46" t="str">
        <f>IFERROR(VLOOKUP(Tabla5810[[#This Row],[Cod trabalhador]],'Outros descontos'!B:O,7,FALSE),"")</f>
        <v/>
      </c>
      <c r="AH105" s="46" t="str">
        <f>IFERROR(VLOOKUP(Tabla5810[[#This Row],[Cod trabalhador]],'Outros descontos'!B:M,8,FALSE),"")</f>
        <v/>
      </c>
      <c r="AI105" s="46" t="str">
        <f>IFERROR(VLOOKUP(Tabla5810[[#This Row],[Cod trabalhador]],'Outros descontos'!B:M,9,FALSE),"")</f>
        <v/>
      </c>
      <c r="AJ105" s="46" t="str">
        <f>IFERROR(VLOOKUP(Tabla5810[[#This Row],[Cod trabalhador]],'Outros descontos'!B:M,10,FALSE),"")</f>
        <v/>
      </c>
      <c r="AK105" s="46" t="str">
        <f>IFERROR(VLOOKUP(Tabla5810[[#This Row],[Cod trabalhador]],'Outros descontos'!B:M,11,FALSE),"")</f>
        <v/>
      </c>
      <c r="AL105" s="46" t="str">
        <f>IFERROR(VLOOKUP(Tabla5810[[#This Row],[Cod trabalhador]],'Outros descontos'!B:M,12,FALSE),"")</f>
        <v/>
      </c>
      <c r="AM105" s="46" t="str">
        <f>IFERROR(VLOOKUP(Tabla5810[[#This Row],[Cod trabalhador]],'Outros descontos'!B:M,13,FALSE),"")</f>
        <v/>
      </c>
      <c r="AN105" s="393"/>
      <c r="AO105" s="37">
        <v>4.08</v>
      </c>
      <c r="AP105" s="15"/>
      <c r="AQ105"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595.91999999999996</v>
      </c>
      <c r="AR105"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1195.92</v>
      </c>
      <c r="AS105" s="15"/>
      <c r="AT105" s="27" t="str">
        <f>IF(Tabla5810[[#This Row],[Cod trabalhador]]="", "", INDEX(Iban!C:C, MATCH(Tabla5810[[#This Row],[Cod trabalhador]],Iban!A:A, 0)))</f>
        <v xml:space="preserve">ES55 0182 2229 5702 0161 8663 </v>
      </c>
      <c r="AU105" s="27"/>
      <c r="AV105" s="27"/>
      <c r="AW105" s="66" t="s">
        <v>7533</v>
      </c>
      <c r="AX105" s="296" t="s">
        <v>7472</v>
      </c>
    </row>
    <row r="106" spans="1:50" ht="18.75" customHeight="1" x14ac:dyDescent="0.3">
      <c r="A106" s="42">
        <v>101</v>
      </c>
      <c r="B106" s="39" t="s">
        <v>5829</v>
      </c>
      <c r="C106" s="45" t="str">
        <f>IF(ISNUMBER(MATCH(Tabla5810[[#This Row],[Cod trabalhador]],'Altas Luminous'!B:B, 0)), "Ativo", "Não ativo")</f>
        <v>Ativo</v>
      </c>
      <c r="D106" s="44" t="str">
        <f>IFERROR(IF(VLOOKUP(Tabla5810[[#This Row],[Cod trabalhador]],'Altas Industrial'!B:E,1,0)&lt;&gt;"","KI",""),"")</f>
        <v/>
      </c>
      <c r="E106" s="44" t="str">
        <f>IFERROR(IF(VLOOKUP(Tabla5810[[#This Row],[Cod trabalhador]],'Altas Rosas'!B:F,1,0)&lt;&gt;"","KR",""),"")</f>
        <v/>
      </c>
      <c r="F106" s="44" t="str">
        <f>IFERROR(IF(VLOOKUP(Tabla5810[[#This Row],[Cod trabalhador]],'Altas Wiseowe'!B:E,1,0)&lt;&gt;"","WS",""),"")</f>
        <v/>
      </c>
      <c r="G106" s="44" t="str">
        <f>IFERROR(IF(VLOOKUP(Tabla5810[[#This Row],[Cod trabalhador]],'Altas Luminous'!B:E,1,0)&lt;&gt;"","LM",""),"")</f>
        <v>LM</v>
      </c>
      <c r="H106" s="51">
        <f>IFERROR(VLOOKUP(Tabla5810[[#This Row],[Cod trabalhador]],'Altas Luminous'!B:E,3,FALSE),"")</f>
        <v>46010</v>
      </c>
      <c r="I106" s="51">
        <f>IF(OR(Tabla5810[[#This Row],[Cod trabalhador]]="",ISBLANK(Tabla5810[[#This Row],[Cod trabalhador]])),"",IFERROR(IF(VLOOKUP(Tabla5810[[#This Row],[Cod trabalhador]],'Altas Luminous'!B:E,4,FALSE)=0,"",VLOOKUP(Tabla5810[[#This Row],[Cod trabalhador]],'Altas Luminous'!B:E,4,FALSE)),""))</f>
        <v>46045</v>
      </c>
      <c r="J106" s="44">
        <f t="shared" si="3"/>
        <v>23</v>
      </c>
      <c r="K106" s="44" t="s">
        <v>7107</v>
      </c>
      <c r="L106" s="24" t="str">
        <f>IFERROR(IF(Tabla5810[[#This Row],[Cod trabalhador]]="",Tabla5810[[#This Row],[Cod trabalhador]], INDEX(Colaborador_ID[Nombre], MATCH(Tabla5810[[#This Row],[Cod trabalhador]],Colaborador_ID[Cod_colab], 0))), "")</f>
        <v>RAFAEL ARTURO REYES ROMERO</v>
      </c>
      <c r="M106" s="340"/>
      <c r="N106" s="23" t="s">
        <v>7106</v>
      </c>
      <c r="O106" s="401">
        <f>IFERROR(VLOOKUP(Tabla5810[[#This Row],[Cod trabalhador]],Tabla15[],4,FALSE),"")</f>
        <v>15</v>
      </c>
      <c r="P106" s="232">
        <f>IFERROR(VLOOKUP(Tabla5810[[#This Row],[Cod trabalhador]],'TotalHorasAjustadas (2)'!D:L,8,FALSE),"")</f>
        <v>127</v>
      </c>
      <c r="Q106" s="27">
        <v>127</v>
      </c>
      <c r="R106" s="28" t="s">
        <v>7532</v>
      </c>
      <c r="S106" s="28" t="s">
        <v>7486</v>
      </c>
      <c r="U106" s="381"/>
      <c r="V106" s="231"/>
      <c r="X106" s="28"/>
      <c r="Y106" s="28"/>
      <c r="Z106" s="149"/>
      <c r="AA106" s="392" t="str">
        <f>IFERROR(VLOOKUP(Tabla5810[[#This Row],[Cod trabalhador]],Alojamentos!B:P,11,FALSE),"")</f>
        <v/>
      </c>
      <c r="AB106" s="127"/>
      <c r="AC106" s="150"/>
      <c r="AD106" s="35">
        <f>Tabla5810[[#This Row],[Dias de alta]]*7.058</f>
        <v>162.334</v>
      </c>
      <c r="AE106" s="46" t="str">
        <f>IFERROR(VLOOKUP(Tabla5810[[#This Row],[Cod trabalhador]],Adiantamentos!B:L,7,FALSE),"")</f>
        <v/>
      </c>
      <c r="AF106" s="46">
        <f>IFERROR(VLOOKUP(Tabla5810[[#This Row],[Cod trabalhador]],Carro!B:D,3,FALSE),"")</f>
        <v>85</v>
      </c>
      <c r="AG106" s="46" t="str">
        <f>IFERROR(VLOOKUP(Tabla5810[[#This Row],[Cod trabalhador]],'Outros descontos'!B:O,7,FALSE),"")</f>
        <v/>
      </c>
      <c r="AH106" s="46" t="str">
        <f>IFERROR(VLOOKUP(Tabla5810[[#This Row],[Cod trabalhador]],'Outros descontos'!B:M,8,FALSE),"")</f>
        <v/>
      </c>
      <c r="AI106" s="46" t="str">
        <f>IFERROR(VLOOKUP(Tabla5810[[#This Row],[Cod trabalhador]],'Outros descontos'!B:M,9,FALSE),"")</f>
        <v/>
      </c>
      <c r="AJ106" s="46" t="str">
        <f>IFERROR(VLOOKUP(Tabla5810[[#This Row],[Cod trabalhador]],'Outros descontos'!B:M,10,FALSE),"")</f>
        <v/>
      </c>
      <c r="AK106" s="46" t="str">
        <f>IFERROR(VLOOKUP(Tabla5810[[#This Row],[Cod trabalhador]],'Outros descontos'!B:M,11,FALSE),"")</f>
        <v/>
      </c>
      <c r="AL106" s="46" t="str">
        <f>IFERROR(VLOOKUP(Tabla5810[[#This Row],[Cod trabalhador]],'Outros descontos'!B:M,12,FALSE),"")</f>
        <v/>
      </c>
      <c r="AM106" s="46" t="str">
        <f>IFERROR(VLOOKUP(Tabla5810[[#This Row],[Cod trabalhador]],'Outros descontos'!B:M,13,FALSE),"")</f>
        <v/>
      </c>
      <c r="AN106" s="393"/>
      <c r="AO106" s="37">
        <v>4.08</v>
      </c>
      <c r="AP106" s="15"/>
      <c r="AQ106"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1653.586</v>
      </c>
      <c r="AR106"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1653.586</v>
      </c>
      <c r="AS106" s="15"/>
      <c r="AT106" s="27" t="str">
        <f>IF(Tabla5810[[#This Row],[Cod trabalhador]]="", "", INDEX(Iban!C:C, MATCH(Tabla5810[[#This Row],[Cod trabalhador]],Iban!A:A, 0)))</f>
        <v>ES52 0182 5899 3102 0170 6636</v>
      </c>
      <c r="AU106" s="27"/>
      <c r="AV106" s="27"/>
      <c r="AW106" s="66" t="s">
        <v>7533</v>
      </c>
      <c r="AX106" s="296" t="s">
        <v>7472</v>
      </c>
    </row>
    <row r="107" spans="1:50" ht="18.75" customHeight="1" x14ac:dyDescent="0.3">
      <c r="A107" s="42">
        <v>102</v>
      </c>
      <c r="B107" s="39" t="s">
        <v>5929</v>
      </c>
      <c r="C107" s="45" t="str">
        <f>IF(ISNUMBER(MATCH(Tabla5810[[#This Row],[Cod trabalhador]],'Altas Luminous'!B:B, 0)), "Ativo", "Não ativo")</f>
        <v>Não ativo</v>
      </c>
      <c r="D107" s="44" t="str">
        <f>IFERROR(IF(VLOOKUP(Tabla5810[[#This Row],[Cod trabalhador]],'Altas Industrial'!B:E,1,0)&lt;&gt;"","KI",""),"")</f>
        <v/>
      </c>
      <c r="E107" s="44" t="str">
        <f>IFERROR(IF(VLOOKUP(Tabla5810[[#This Row],[Cod trabalhador]],'Altas Rosas'!B:F,1,0)&lt;&gt;"","KR",""),"")</f>
        <v/>
      </c>
      <c r="F107" s="44" t="str">
        <f>IFERROR(IF(VLOOKUP(Tabla5810[[#This Row],[Cod trabalhador]],'Altas Wiseowe'!B:E,1,0)&lt;&gt;"","WS",""),"")</f>
        <v/>
      </c>
      <c r="G107" s="44" t="str">
        <f>IFERROR(IF(VLOOKUP(Tabla5810[[#This Row],[Cod trabalhador]],'Altas Luminous'!B:E,1,0)&lt;&gt;"","LM",""),"")</f>
        <v/>
      </c>
      <c r="H107" s="51" t="str">
        <f>IFERROR(VLOOKUP(Tabla5810[[#This Row],[Cod trabalhador]],'Altas Luminous'!B:E,3,FALSE),"")</f>
        <v/>
      </c>
      <c r="I107" s="51" t="str">
        <f>IF(OR(Tabla5810[[#This Row],[Cod trabalhador]]="",ISBLANK(Tabla5810[[#This Row],[Cod trabalhador]])),"",IFERROR(IF(VLOOKUP(Tabla5810[[#This Row],[Cod trabalhador]],'Altas Luminous'!B:E,4,FALSE)=0,"",VLOOKUP(Tabla5810[[#This Row],[Cod trabalhador]],'Altas Luminous'!B:E,4,FALSE)),""))</f>
        <v/>
      </c>
      <c r="J107" s="44">
        <f t="shared" si="3"/>
        <v>0</v>
      </c>
      <c r="K107" s="44" t="s">
        <v>7089</v>
      </c>
      <c r="L107" s="24" t="str">
        <f>IFERROR(IF(Tabla5810[[#This Row],[Cod trabalhador]]="",Tabla5810[[#This Row],[Cod trabalhador]], INDEX(Colaborador_ID[Nombre], MATCH(Tabla5810[[#This Row],[Cod trabalhador]],Colaborador_ID[Cod_colab], 0))), "")</f>
        <v>REINERD SALAZAR FAJARDO</v>
      </c>
      <c r="M107" s="340"/>
      <c r="N107" s="23" t="s">
        <v>7088</v>
      </c>
      <c r="O107" s="389">
        <v>15</v>
      </c>
      <c r="P107" s="232">
        <f>IFERROR(VLOOKUP(Tabla5810[[#This Row],[Cod trabalhador]],'TotalHorasAjustadas (2)'!D:L,8,FALSE),"")</f>
        <v>34</v>
      </c>
      <c r="Q107" s="27">
        <v>34</v>
      </c>
      <c r="R107" s="28" t="s">
        <v>7471</v>
      </c>
      <c r="S107" s="28" t="s">
        <v>7486</v>
      </c>
      <c r="U107" s="381"/>
      <c r="V107" s="231"/>
      <c r="X107" s="28"/>
      <c r="Y107" s="28"/>
      <c r="Z107" s="149"/>
      <c r="AA107" s="392" t="str">
        <f>IFERROR(VLOOKUP(Tabla5810[[#This Row],[Cod trabalhador]],Alojamentos!B:P,11,FALSE),"")</f>
        <v/>
      </c>
      <c r="AB107" s="127"/>
      <c r="AC107" s="150"/>
      <c r="AD107" s="35">
        <f>Tabla5810[[#This Row],[Dias de alta]]*7.058</f>
        <v>0</v>
      </c>
      <c r="AE107" s="46" t="str">
        <f>IFERROR(VLOOKUP(Tabla5810[[#This Row],[Cod trabalhador]],Adiantamentos!B:L,7,FALSE),"")</f>
        <v/>
      </c>
      <c r="AF107" s="438"/>
      <c r="AG107" s="46" t="str">
        <f>IFERROR(VLOOKUP(Tabla5810[[#This Row],[Cod trabalhador]],'Outros descontos'!B:O,7,FALSE),"")</f>
        <v/>
      </c>
      <c r="AH107" s="46" t="str">
        <f>IFERROR(VLOOKUP(Tabla5810[[#This Row],[Cod trabalhador]],'Outros descontos'!B:M,8,FALSE),"")</f>
        <v/>
      </c>
      <c r="AI107" s="46" t="str">
        <f>IFERROR(VLOOKUP(Tabla5810[[#This Row],[Cod trabalhador]],'Outros descontos'!B:M,9,FALSE),"")</f>
        <v/>
      </c>
      <c r="AJ107" s="46" t="str">
        <f>IFERROR(VLOOKUP(Tabla5810[[#This Row],[Cod trabalhador]],'Outros descontos'!B:M,10,FALSE),"")</f>
        <v/>
      </c>
      <c r="AK107" s="46" t="str">
        <f>IFERROR(VLOOKUP(Tabla5810[[#This Row],[Cod trabalhador]],'Outros descontos'!B:M,11,FALSE),"")</f>
        <v/>
      </c>
      <c r="AL107" s="46" t="str">
        <f>IFERROR(VLOOKUP(Tabla5810[[#This Row],[Cod trabalhador]],'Outros descontos'!B:M,12,FALSE),"")</f>
        <v/>
      </c>
      <c r="AM107" s="46" t="str">
        <f>IFERROR(VLOOKUP(Tabla5810[[#This Row],[Cod trabalhador]],'Outros descontos'!B:M,13,FALSE),"")</f>
        <v/>
      </c>
      <c r="AN107" s="393"/>
      <c r="AO107" s="37">
        <v>4.08</v>
      </c>
      <c r="AP107" s="15"/>
      <c r="AQ107"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505.92</v>
      </c>
      <c r="AR107"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505.92</v>
      </c>
      <c r="AS107" s="15"/>
      <c r="AT107" s="27" t="str">
        <f>IF(Tabla5810[[#This Row],[Cod trabalhador]]="", "", INDEX(Iban!C:C, MATCH(Tabla5810[[#This Row],[Cod trabalhador]],Iban!A:A, 0)))</f>
        <v>ES85 0182 7081 4402 0159 4119</v>
      </c>
      <c r="AU107" s="27"/>
      <c r="AV107" s="27"/>
      <c r="AW107" s="66" t="s">
        <v>7533</v>
      </c>
      <c r="AX107" s="296" t="s">
        <v>7472</v>
      </c>
    </row>
    <row r="108" spans="1:50" ht="18.75" customHeight="1" x14ac:dyDescent="0.3">
      <c r="A108" s="42">
        <v>103</v>
      </c>
      <c r="B108" s="39" t="s">
        <v>5951</v>
      </c>
      <c r="C108" s="45" t="str">
        <f>IF(ISNUMBER(MATCH(Tabla5810[[#This Row],[Cod trabalhador]],'Altas Luminous'!B:B, 0)), "Ativo", "Não ativo")</f>
        <v>Não ativo</v>
      </c>
      <c r="D108" s="44" t="str">
        <f>IFERROR(IF(VLOOKUP(Tabla5810[[#This Row],[Cod trabalhador]],'Altas Industrial'!B:E,1,0)&lt;&gt;"","KI",""),"")</f>
        <v/>
      </c>
      <c r="E108" s="44" t="str">
        <f>IFERROR(IF(VLOOKUP(Tabla5810[[#This Row],[Cod trabalhador]],'Altas Rosas'!B:F,1,0)&lt;&gt;"","KR",""),"")</f>
        <v/>
      </c>
      <c r="F108" s="44" t="str">
        <f>IFERROR(IF(VLOOKUP(Tabla5810[[#This Row],[Cod trabalhador]],'Altas Wiseowe'!B:E,1,0)&lt;&gt;"","WS",""),"")</f>
        <v/>
      </c>
      <c r="G108" s="44" t="str">
        <f>IFERROR(IF(VLOOKUP(Tabla5810[[#This Row],[Cod trabalhador]],'Altas Luminous'!B:E,1,0)&lt;&gt;"","LM",""),"")</f>
        <v/>
      </c>
      <c r="H108" s="51" t="str">
        <f>IFERROR(VLOOKUP(Tabla5810[[#This Row],[Cod trabalhador]],'Altas Luminous'!B:E,3,FALSE),"")</f>
        <v/>
      </c>
      <c r="I108" s="51" t="str">
        <f>IF(OR(Tabla5810[[#This Row],[Cod trabalhador]]="",ISBLANK(Tabla5810[[#This Row],[Cod trabalhador]])),"",IFERROR(IF(VLOOKUP(Tabla5810[[#This Row],[Cod trabalhador]],'Altas Luminous'!B:E,4,FALSE)=0,"",VLOOKUP(Tabla5810[[#This Row],[Cod trabalhador]],'Altas Luminous'!B:E,4,FALSE)),""))</f>
        <v/>
      </c>
      <c r="J108" s="44">
        <f t="shared" si="3"/>
        <v>0</v>
      </c>
      <c r="K108" s="44" t="s">
        <v>7124</v>
      </c>
      <c r="L108" s="24" t="str">
        <f>IFERROR(IF(Tabla5810[[#This Row],[Cod trabalhador]]="",Tabla5810[[#This Row],[Cod trabalhador]], INDEX(Colaborador_ID[Nombre], MATCH(Tabla5810[[#This Row],[Cod trabalhador]],Colaborador_ID[Cod_colab], 0))), "")</f>
        <v>RICARDO MILLER SANCHEZ BECERRA</v>
      </c>
      <c r="M108" s="340"/>
      <c r="N108" s="23" t="s">
        <v>7109</v>
      </c>
      <c r="O108" s="401">
        <f>IFERROR(VLOOKUP(Tabla5810[[#This Row],[Cod trabalhador]],Tabla15[],4,FALSE),"")</f>
        <v>15</v>
      </c>
      <c r="P108" s="232">
        <f>IFERROR(VLOOKUP(Tabla5810[[#This Row],[Cod trabalhador]],'TotalHorasAjustadas (2)'!D:L,8,FALSE),"")</f>
        <v>169</v>
      </c>
      <c r="Q108" s="27">
        <v>169</v>
      </c>
      <c r="R108" s="28" t="s">
        <v>7471</v>
      </c>
      <c r="S108" s="28" t="s">
        <v>7486</v>
      </c>
      <c r="U108" s="381"/>
      <c r="V108" s="231"/>
      <c r="X108" s="28"/>
      <c r="Y108" s="28"/>
      <c r="Z108" s="149"/>
      <c r="AA108" s="392" t="str">
        <f>IFERROR(VLOOKUP(Tabla5810[[#This Row],[Cod trabalhador]],Alojamentos!B:P,11,FALSE),"")</f>
        <v/>
      </c>
      <c r="AB108" s="127"/>
      <c r="AC108" s="150"/>
      <c r="AD108" s="35">
        <f>Tabla5810[[#This Row],[Dias de alta]]*7.058</f>
        <v>0</v>
      </c>
      <c r="AE108" s="46" t="str">
        <f>IFERROR(VLOOKUP(Tabla5810[[#This Row],[Cod trabalhador]],Adiantamentos!B:L,7,FALSE),"")</f>
        <v/>
      </c>
      <c r="AF108" s="46" t="str">
        <f>IFERROR(VLOOKUP(Tabla5810[[#This Row],[Cod trabalhador]],Carro!B:D,3,FALSE),"")</f>
        <v/>
      </c>
      <c r="AG108" s="46" t="str">
        <f>IFERROR(VLOOKUP(Tabla5810[[#This Row],[Cod trabalhador]],'Outros descontos'!B:O,7,FALSE),"")</f>
        <v/>
      </c>
      <c r="AH108" s="46" t="str">
        <f>IFERROR(VLOOKUP(Tabla5810[[#This Row],[Cod trabalhador]],'Outros descontos'!B:M,8,FALSE),"")</f>
        <v/>
      </c>
      <c r="AI108" s="46" t="str">
        <f>IFERROR(VLOOKUP(Tabla5810[[#This Row],[Cod trabalhador]],'Outros descontos'!B:M,9,FALSE),"")</f>
        <v/>
      </c>
      <c r="AJ108" s="46" t="str">
        <f>IFERROR(VLOOKUP(Tabla5810[[#This Row],[Cod trabalhador]],'Outros descontos'!B:M,10,FALSE),"")</f>
        <v/>
      </c>
      <c r="AK108" s="46" t="str">
        <f>IFERROR(VLOOKUP(Tabla5810[[#This Row],[Cod trabalhador]],'Outros descontos'!B:M,11,FALSE),"")</f>
        <v/>
      </c>
      <c r="AL108" s="46" t="str">
        <f>IFERROR(VLOOKUP(Tabla5810[[#This Row],[Cod trabalhador]],'Outros descontos'!B:M,12,FALSE),"")</f>
        <v/>
      </c>
      <c r="AM108" s="46" t="str">
        <f>IFERROR(VLOOKUP(Tabla5810[[#This Row],[Cod trabalhador]],'Outros descontos'!B:M,13,FALSE),"")</f>
        <v/>
      </c>
      <c r="AN108" s="393"/>
      <c r="AO108" s="37">
        <v>4.08</v>
      </c>
      <c r="AP108" s="15"/>
      <c r="AQ108"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2530.92</v>
      </c>
      <c r="AR108"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2530.92</v>
      </c>
      <c r="AS108" s="15"/>
      <c r="AT108" s="27" t="str">
        <f>IF(Tabla5810[[#This Row],[Cod trabalhador]]="", "", INDEX(Iban!C:C, MATCH(Tabla5810[[#This Row],[Cod trabalhador]],Iban!A:A, 0)))</f>
        <v>ES61 6893 0001 7400 0028 1704</v>
      </c>
      <c r="AU108" s="27"/>
      <c r="AV108" s="27"/>
      <c r="AW108" s="66" t="s">
        <v>7533</v>
      </c>
      <c r="AX108" s="296" t="s">
        <v>7472</v>
      </c>
    </row>
    <row r="109" spans="1:50" ht="18.75" customHeight="1" x14ac:dyDescent="0.3">
      <c r="A109" s="42">
        <v>104</v>
      </c>
      <c r="B109" s="39" t="s">
        <v>5955</v>
      </c>
      <c r="C109" s="45" t="str">
        <f>IF(ISNUMBER(MATCH(Tabla5810[[#This Row],[Cod trabalhador]],'Altas Luminous'!B:B, 0)), "Ativo", "Não ativo")</f>
        <v>Ativo</v>
      </c>
      <c r="D109" s="44" t="str">
        <f>IFERROR(IF(VLOOKUP(Tabla5810[[#This Row],[Cod trabalhador]],'Altas Industrial'!B:E,1,0)&lt;&gt;"","KI",""),"")</f>
        <v/>
      </c>
      <c r="E109" s="44" t="str">
        <f>IFERROR(IF(VLOOKUP(Tabla5810[[#This Row],[Cod trabalhador]],'Altas Rosas'!B:F,1,0)&lt;&gt;"","KR",""),"")</f>
        <v/>
      </c>
      <c r="F109" s="44" t="str">
        <f>IFERROR(IF(VLOOKUP(Tabla5810[[#This Row],[Cod trabalhador]],'Altas Wiseowe'!B:E,1,0)&lt;&gt;"","WS",""),"")</f>
        <v/>
      </c>
      <c r="G109" s="44" t="str">
        <f>IFERROR(IF(VLOOKUP(Tabla5810[[#This Row],[Cod trabalhador]],'Altas Luminous'!B:E,1,0)&lt;&gt;"","LM",""),"")</f>
        <v>LM</v>
      </c>
      <c r="H109" s="51">
        <f>IFERROR(VLOOKUP(Tabla5810[[#This Row],[Cod trabalhador]],'Altas Luminous'!B:E,3,FALSE),"")</f>
        <v>46048</v>
      </c>
      <c r="I109" s="51" t="str">
        <f>IF(OR(Tabla5810[[#This Row],[Cod trabalhador]]="",ISBLANK(Tabla5810[[#This Row],[Cod trabalhador]])),"",IFERROR(IF(VLOOKUP(Tabla5810[[#This Row],[Cod trabalhador]],'Altas Luminous'!B:E,4,FALSE)=0,"",VLOOKUP(Tabla5810[[#This Row],[Cod trabalhador]],'Altas Luminous'!B:E,4,FALSE)),""))</f>
        <v/>
      </c>
      <c r="J109" s="44">
        <f t="shared" si="3"/>
        <v>6</v>
      </c>
      <c r="K109" s="44" t="s">
        <v>7142</v>
      </c>
      <c r="L109" s="24" t="str">
        <f>IFERROR(IF(Tabla5810[[#This Row],[Cod trabalhador]]="",Tabla5810[[#This Row],[Cod trabalhador]], INDEX(Colaborador_ID[Nombre], MATCH(Tabla5810[[#This Row],[Cod trabalhador]],Colaborador_ID[Cod_colab], 0))), "")</f>
        <v>RICARDO RAFAEL BONILLA BLANCO</v>
      </c>
      <c r="M109" s="340"/>
      <c r="N109" s="23" t="s">
        <v>7141</v>
      </c>
      <c r="O109" s="401">
        <v>15</v>
      </c>
      <c r="P109" s="232">
        <f>IFERROR(VLOOKUP(Tabla5810[[#This Row],[Cod trabalhador]],'TotalHorasAjustadas (2)'!D:L,8,FALSE),"")</f>
        <v>54</v>
      </c>
      <c r="Q109" s="27">
        <v>54</v>
      </c>
      <c r="R109" s="28" t="s">
        <v>7471</v>
      </c>
      <c r="S109" s="28" t="s">
        <v>7486</v>
      </c>
      <c r="U109" s="381"/>
      <c r="V109" s="231"/>
      <c r="X109" s="28"/>
      <c r="Y109" s="28"/>
      <c r="Z109" s="149"/>
      <c r="AA109" s="392" t="str">
        <f>IFERROR(VLOOKUP(Tabla5810[[#This Row],[Cod trabalhador]],Alojamentos!B:P,11,FALSE),"")</f>
        <v/>
      </c>
      <c r="AB109" s="127"/>
      <c r="AC109" s="150"/>
      <c r="AD109" s="35">
        <f>Tabla5810[[#This Row],[Dias de alta]]*7.058</f>
        <v>42.347999999999999</v>
      </c>
      <c r="AE109" s="46" t="str">
        <f>IFERROR(VLOOKUP(Tabla5810[[#This Row],[Cod trabalhador]],Adiantamentos!B:L,7,FALSE),"")</f>
        <v/>
      </c>
      <c r="AF109" s="46" t="str">
        <f>IFERROR(VLOOKUP(Tabla5810[[#This Row],[Cod trabalhador]],Carro!B:D,3,FALSE),"")</f>
        <v/>
      </c>
      <c r="AG109" s="46" t="str">
        <f>IFERROR(VLOOKUP(Tabla5810[[#This Row],[Cod trabalhador]],'Outros descontos'!B:O,7,FALSE),"")</f>
        <v/>
      </c>
      <c r="AH109" s="46" t="str">
        <f>IFERROR(VLOOKUP(Tabla5810[[#This Row],[Cod trabalhador]],'Outros descontos'!B:M,8,FALSE),"")</f>
        <v/>
      </c>
      <c r="AI109" s="46" t="str">
        <f>IFERROR(VLOOKUP(Tabla5810[[#This Row],[Cod trabalhador]],'Outros descontos'!B:M,9,FALSE),"")</f>
        <v/>
      </c>
      <c r="AJ109" s="46" t="str">
        <f>IFERROR(VLOOKUP(Tabla5810[[#This Row],[Cod trabalhador]],'Outros descontos'!B:M,10,FALSE),"")</f>
        <v/>
      </c>
      <c r="AK109" s="46" t="str">
        <f>IFERROR(VLOOKUP(Tabla5810[[#This Row],[Cod trabalhador]],'Outros descontos'!B:M,11,FALSE),"")</f>
        <v/>
      </c>
      <c r="AL109" s="46" t="str">
        <f>IFERROR(VLOOKUP(Tabla5810[[#This Row],[Cod trabalhador]],'Outros descontos'!B:M,12,FALSE),"")</f>
        <v/>
      </c>
      <c r="AM109" s="46" t="str">
        <f>IFERROR(VLOOKUP(Tabla5810[[#This Row],[Cod trabalhador]],'Outros descontos'!B:M,13,FALSE),"")</f>
        <v/>
      </c>
      <c r="AN109" s="393"/>
      <c r="AO109" s="37">
        <v>4.08</v>
      </c>
      <c r="AP109" s="15"/>
      <c r="AQ109"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763.572</v>
      </c>
      <c r="AR109"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763.572</v>
      </c>
      <c r="AS109" s="15"/>
      <c r="AT109" s="27" t="str">
        <f>IF(Tabla5810[[#This Row],[Cod trabalhador]]="", "", INDEX(Iban!C:C, MATCH(Tabla5810[[#This Row],[Cod trabalhador]],Iban!A:A, 0)))</f>
        <v>ES56 6893 0001 7500 0036 0121</v>
      </c>
      <c r="AU109" s="27"/>
      <c r="AV109" s="27"/>
      <c r="AW109" s="66" t="s">
        <v>7533</v>
      </c>
      <c r="AX109" s="296" t="s">
        <v>7472</v>
      </c>
    </row>
    <row r="110" spans="1:50" ht="18.75" customHeight="1" x14ac:dyDescent="0.3">
      <c r="A110" s="42">
        <v>105</v>
      </c>
      <c r="B110" s="39" t="s">
        <v>6006</v>
      </c>
      <c r="C110" s="45" t="str">
        <f>IF(ISNUMBER(MATCH(Tabla5810[[#This Row],[Cod trabalhador]],'Altas Luminous'!B:B, 0)), "Ativo", "Não ativo")</f>
        <v>Não ativo</v>
      </c>
      <c r="D110" s="44" t="str">
        <f>IFERROR(IF(VLOOKUP(Tabla5810[[#This Row],[Cod trabalhador]],'Altas Industrial'!B:E,1,0)&lt;&gt;"","KI",""),"")</f>
        <v/>
      </c>
      <c r="E110" s="44" t="str">
        <f>IFERROR(IF(VLOOKUP(Tabla5810[[#This Row],[Cod trabalhador]],'Altas Rosas'!B:F,1,0)&lt;&gt;"","KR",""),"")</f>
        <v/>
      </c>
      <c r="F110" s="44" t="str">
        <f>IFERROR(IF(VLOOKUP(Tabla5810[[#This Row],[Cod trabalhador]],'Altas Wiseowe'!B:E,1,0)&lt;&gt;"","WS",""),"")</f>
        <v/>
      </c>
      <c r="G110" s="44" t="str">
        <f>IFERROR(IF(VLOOKUP(Tabla5810[[#This Row],[Cod trabalhador]],'Altas Luminous'!B:E,1,0)&lt;&gt;"","LM",""),"")</f>
        <v/>
      </c>
      <c r="H110" s="51" t="str">
        <f>IFERROR(VLOOKUP(Tabla5810[[#This Row],[Cod trabalhador]],'Altas Luminous'!B:E,3,FALSE),"")</f>
        <v/>
      </c>
      <c r="I110" s="51" t="str">
        <f>IF(OR(Tabla5810[[#This Row],[Cod trabalhador]]="",ISBLANK(Tabla5810[[#This Row],[Cod trabalhador]])),"",IFERROR(IF(VLOOKUP(Tabla5810[[#This Row],[Cod trabalhador]],'Altas Luminous'!B:E,4,FALSE)=0,"",VLOOKUP(Tabla5810[[#This Row],[Cod trabalhador]],'Altas Luminous'!B:E,4,FALSE)),""))</f>
        <v/>
      </c>
      <c r="J110" s="44">
        <f t="shared" si="3"/>
        <v>0</v>
      </c>
      <c r="K110" s="44" t="s">
        <v>6007</v>
      </c>
      <c r="L110" s="24" t="str">
        <f>IFERROR(IF(Tabla5810[[#This Row],[Cod trabalhador]]="",Tabla5810[[#This Row],[Cod trabalhador]], INDEX(Colaborador_ID[Nombre], MATCH(Tabla5810[[#This Row],[Cod trabalhador]],Colaborador_ID[Cod_colab], 0))), "")</f>
        <v>ROBER HENRRY CHUMBES ROJAS</v>
      </c>
      <c r="M110" s="340"/>
      <c r="N110" s="23" t="s">
        <v>7128</v>
      </c>
      <c r="O110" s="401">
        <v>15</v>
      </c>
      <c r="P110" s="232">
        <f>IFERROR(VLOOKUP(Tabla5810[[#This Row],[Cod trabalhador]],'TotalHorasAjustadas (2)'!D:L,8,FALSE),"")</f>
        <v>116</v>
      </c>
      <c r="Q110" s="27">
        <v>116</v>
      </c>
      <c r="R110" s="28" t="s">
        <v>7532</v>
      </c>
      <c r="S110" s="28" t="s">
        <v>7486</v>
      </c>
      <c r="U110" s="381"/>
      <c r="V110" s="231"/>
      <c r="X110" s="28"/>
      <c r="Y110" s="28"/>
      <c r="Z110" s="149"/>
      <c r="AA110" s="392" t="str">
        <f>IFERROR(VLOOKUP(Tabla5810[[#This Row],[Cod trabalhador]],Alojamentos!B:P,11,FALSE),"")</f>
        <v/>
      </c>
      <c r="AB110" s="127"/>
      <c r="AC110" s="150"/>
      <c r="AD110" s="35">
        <f>Tabla5810[[#This Row],[Dias de alta]]*7.058</f>
        <v>0</v>
      </c>
      <c r="AE110" s="46" t="str">
        <f>IFERROR(VLOOKUP(Tabla5810[[#This Row],[Cod trabalhador]],Adiantamentos!B:L,7,FALSE),"")</f>
        <v/>
      </c>
      <c r="AF110" s="46" t="str">
        <f>IFERROR(VLOOKUP(Tabla5810[[#This Row],[Cod trabalhador]],Carro!B:D,3,FALSE),"")</f>
        <v/>
      </c>
      <c r="AG110" s="46">
        <f>IFERROR(VLOOKUP(Tabla5810[[#This Row],[Cod trabalhador]],'Outros descontos'!B:O,7,FALSE),"")</f>
        <v>0</v>
      </c>
      <c r="AH110" s="46">
        <f>IFERROR(VLOOKUP(Tabla5810[[#This Row],[Cod trabalhador]],'Outros descontos'!B:M,8,FALSE),"")</f>
        <v>0</v>
      </c>
      <c r="AI110" s="46">
        <f>IFERROR(VLOOKUP(Tabla5810[[#This Row],[Cod trabalhador]],'Outros descontos'!B:M,9,FALSE),"")</f>
        <v>0</v>
      </c>
      <c r="AJ110" s="46">
        <f>IFERROR(VLOOKUP(Tabla5810[[#This Row],[Cod trabalhador]],'Outros descontos'!B:M,10,FALSE),"")</f>
        <v>0</v>
      </c>
      <c r="AK110" s="46">
        <f>IFERROR(VLOOKUP(Tabla5810[[#This Row],[Cod trabalhador]],'Outros descontos'!B:M,11,FALSE),"")</f>
        <v>0</v>
      </c>
      <c r="AL110" s="46">
        <f>IFERROR(VLOOKUP(Tabla5810[[#This Row],[Cod trabalhador]],'Outros descontos'!B:M,12,FALSE),"")</f>
        <v>21.74</v>
      </c>
      <c r="AM110" s="46" t="str">
        <f>IFERROR(VLOOKUP(Tabla5810[[#This Row],[Cod trabalhador]],'Outros descontos'!B:M,13,FALSE),"")</f>
        <v/>
      </c>
      <c r="AN110" s="393"/>
      <c r="AO110" s="37">
        <v>4.08</v>
      </c>
      <c r="AP110" s="15"/>
      <c r="AQ110"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1714.18</v>
      </c>
      <c r="AR110"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1714.18</v>
      </c>
      <c r="AS110" s="15"/>
      <c r="AT110" s="27" t="str">
        <f>IF(Tabla5810[[#This Row],[Cod trabalhador]]="", "", INDEX(Iban!C:C, MATCH(Tabla5810[[#This Row],[Cod trabalhador]],Iban!A:A, 0)))</f>
        <v>ES31 0182 1965 1002 0169 8812</v>
      </c>
      <c r="AU110" s="27"/>
      <c r="AV110" s="27"/>
      <c r="AW110" s="66" t="s">
        <v>7533</v>
      </c>
      <c r="AX110" s="296" t="s">
        <v>7472</v>
      </c>
    </row>
    <row r="111" spans="1:50" ht="18.75" customHeight="1" x14ac:dyDescent="0.3">
      <c r="A111" s="42">
        <v>106</v>
      </c>
      <c r="B111" s="39" t="s">
        <v>6075</v>
      </c>
      <c r="C111" s="45" t="str">
        <f>IF(ISNUMBER(MATCH(Tabla5810[[#This Row],[Cod trabalhador]],'Altas Luminous'!B:B, 0)), "Ativo", "Não ativo")</f>
        <v>Não ativo</v>
      </c>
      <c r="D111" s="44" t="str">
        <f>IFERROR(IF(VLOOKUP(Tabla5810[[#This Row],[Cod trabalhador]],'Altas Industrial'!B:E,1,0)&lt;&gt;"","KI",""),"")</f>
        <v/>
      </c>
      <c r="E111" s="44" t="str">
        <f>IFERROR(IF(VLOOKUP(Tabla5810[[#This Row],[Cod trabalhador]],'Altas Rosas'!B:F,1,0)&lt;&gt;"","KR",""),"")</f>
        <v/>
      </c>
      <c r="F111" s="44" t="str">
        <f>IFERROR(IF(VLOOKUP(Tabla5810[[#This Row],[Cod trabalhador]],'Altas Wiseowe'!B:E,1,0)&lt;&gt;"","WS",""),"")</f>
        <v/>
      </c>
      <c r="G111" s="44" t="str">
        <f>IFERROR(IF(VLOOKUP(Tabla5810[[#This Row],[Cod trabalhador]],'Altas Luminous'!B:E,1,0)&lt;&gt;"","LM",""),"")</f>
        <v/>
      </c>
      <c r="H111" s="51" t="str">
        <f>IFERROR(VLOOKUP(Tabla5810[[#This Row],[Cod trabalhador]],'Altas Luminous'!B:E,3,FALSE),"")</f>
        <v/>
      </c>
      <c r="I111" s="51" t="str">
        <f>IF(OR(Tabla5810[[#This Row],[Cod trabalhador]]="",ISBLANK(Tabla5810[[#This Row],[Cod trabalhador]])),"",IFERROR(IF(VLOOKUP(Tabla5810[[#This Row],[Cod trabalhador]],'Altas Luminous'!B:E,4,FALSE)=0,"",VLOOKUP(Tabla5810[[#This Row],[Cod trabalhador]],'Altas Luminous'!B:E,4,FALSE)),""))</f>
        <v/>
      </c>
      <c r="J111" s="44">
        <f t="shared" si="3"/>
        <v>0</v>
      </c>
      <c r="K111" s="44" t="s">
        <v>7168</v>
      </c>
      <c r="L111" s="24" t="str">
        <f>IFERROR(IF(Tabla5810[[#This Row],[Cod trabalhador]]="",Tabla5810[[#This Row],[Cod trabalhador]], INDEX(Colaborador_ID[Nombre], MATCH(Tabla5810[[#This Row],[Cod trabalhador]],Colaborador_ID[Cod_colab], 0))), "")</f>
        <v>RODNEY NEFTALI RODRIGUEZ HERRERA</v>
      </c>
      <c r="M111" s="340"/>
      <c r="N111" s="23" t="s">
        <v>7167</v>
      </c>
      <c r="O111" s="401">
        <f>IFERROR(VLOOKUP(Tabla5810[[#This Row],[Cod trabalhador]],Tabla15[],4,FALSE),"")</f>
        <v>16</v>
      </c>
      <c r="P111" s="232">
        <f>IFERROR(VLOOKUP(Tabla5810[[#This Row],[Cod trabalhador]],'TotalHorasAjustadas (2)'!D:L,8,FALSE),"")</f>
        <v>64</v>
      </c>
      <c r="Q111" s="27">
        <v>64</v>
      </c>
      <c r="R111" s="28" t="s">
        <v>7471</v>
      </c>
      <c r="S111" s="28" t="s">
        <v>7486</v>
      </c>
      <c r="U111" s="381"/>
      <c r="V111" s="231"/>
      <c r="X111" s="28"/>
      <c r="Y111" s="28"/>
      <c r="Z111" s="149"/>
      <c r="AA111" s="392" t="str">
        <f>IFERROR(VLOOKUP(Tabla5810[[#This Row],[Cod trabalhador]],Alojamentos!B:P,11,FALSE),"")</f>
        <v/>
      </c>
      <c r="AB111" s="127"/>
      <c r="AC111" s="150"/>
      <c r="AD111" s="35">
        <f>Tabla5810[[#This Row],[Dias de alta]]*7.058</f>
        <v>0</v>
      </c>
      <c r="AE111" s="46" t="str">
        <f>IFERROR(VLOOKUP(Tabla5810[[#This Row],[Cod trabalhador]],Adiantamentos!B:L,7,FALSE),"")</f>
        <v/>
      </c>
      <c r="AF111" s="46" t="str">
        <f>IFERROR(VLOOKUP(Tabla5810[[#This Row],[Cod trabalhador]],Carro!B:D,3,FALSE),"")</f>
        <v/>
      </c>
      <c r="AG111" s="46" t="str">
        <f>IFERROR(VLOOKUP(Tabla5810[[#This Row],[Cod trabalhador]],'Outros descontos'!B:O,7,FALSE),"")</f>
        <v/>
      </c>
      <c r="AH111" s="46" t="str">
        <f>IFERROR(VLOOKUP(Tabla5810[[#This Row],[Cod trabalhador]],'Outros descontos'!B:M,8,FALSE),"")</f>
        <v/>
      </c>
      <c r="AI111" s="46" t="str">
        <f>IFERROR(VLOOKUP(Tabla5810[[#This Row],[Cod trabalhador]],'Outros descontos'!B:M,9,FALSE),"")</f>
        <v/>
      </c>
      <c r="AJ111" s="46" t="str">
        <f>IFERROR(VLOOKUP(Tabla5810[[#This Row],[Cod trabalhador]],'Outros descontos'!B:M,10,FALSE),"")</f>
        <v/>
      </c>
      <c r="AK111" s="46" t="str">
        <f>IFERROR(VLOOKUP(Tabla5810[[#This Row],[Cod trabalhador]],'Outros descontos'!B:M,11,FALSE),"")</f>
        <v/>
      </c>
      <c r="AL111" s="46" t="str">
        <f>IFERROR(VLOOKUP(Tabla5810[[#This Row],[Cod trabalhador]],'Outros descontos'!B:M,12,FALSE),"")</f>
        <v/>
      </c>
      <c r="AM111" s="46" t="str">
        <f>IFERROR(VLOOKUP(Tabla5810[[#This Row],[Cod trabalhador]],'Outros descontos'!B:M,13,FALSE),"")</f>
        <v/>
      </c>
      <c r="AN111" s="393"/>
      <c r="AO111" s="37">
        <v>4.08</v>
      </c>
      <c r="AP111" s="15"/>
      <c r="AQ111"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1019.92</v>
      </c>
      <c r="AR111"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1019.92</v>
      </c>
      <c r="AS111" s="15"/>
      <c r="AT111" s="27" t="str">
        <f>IF(Tabla5810[[#This Row],[Cod trabalhador]]="", "", INDEX(Iban!C:C, MATCH(Tabla5810[[#This Row],[Cod trabalhador]],Iban!A:A, 0)))</f>
        <v>ES05 6893 0001 7300 0029 5565</v>
      </c>
      <c r="AU111" s="27"/>
      <c r="AV111" s="27"/>
      <c r="AW111" s="66" t="s">
        <v>7533</v>
      </c>
      <c r="AX111" s="296" t="s">
        <v>7472</v>
      </c>
    </row>
    <row r="112" spans="1:50" ht="18.75" customHeight="1" x14ac:dyDescent="0.3">
      <c r="A112" s="42">
        <v>107</v>
      </c>
      <c r="B112" s="39" t="s">
        <v>6090</v>
      </c>
      <c r="C112" s="45" t="str">
        <f>IF(ISNUMBER(MATCH(Tabla5810[[#This Row],[Cod trabalhador]],'Altas Luminous'!B:B, 0)), "Ativo", "Não ativo")</f>
        <v>Não ativo</v>
      </c>
      <c r="D112" s="44" t="str">
        <f>IFERROR(IF(VLOOKUP(Tabla5810[[#This Row],[Cod trabalhador]],'Altas Industrial'!B:E,1,0)&lt;&gt;"","KI",""),"")</f>
        <v/>
      </c>
      <c r="E112" s="44" t="str">
        <f>IFERROR(IF(VLOOKUP(Tabla5810[[#This Row],[Cod trabalhador]],'Altas Rosas'!B:F,1,0)&lt;&gt;"","KR",""),"")</f>
        <v/>
      </c>
      <c r="F112" s="44" t="str">
        <f>IFERROR(IF(VLOOKUP(Tabla5810[[#This Row],[Cod trabalhador]],'Altas Wiseowe'!B:E,1,0)&lt;&gt;"","WS",""),"")</f>
        <v/>
      </c>
      <c r="G112" s="44" t="str">
        <f>IFERROR(IF(VLOOKUP(Tabla5810[[#This Row],[Cod trabalhador]],'Altas Luminous'!B:E,1,0)&lt;&gt;"","LM",""),"")</f>
        <v/>
      </c>
      <c r="H112" s="51" t="str">
        <f>IFERROR(VLOOKUP(Tabla5810[[#This Row],[Cod trabalhador]],'Altas Luminous'!B:E,3,FALSE),"")</f>
        <v/>
      </c>
      <c r="I112" s="51" t="str">
        <f>IF(OR(Tabla5810[[#This Row],[Cod trabalhador]]="",ISBLANK(Tabla5810[[#This Row],[Cod trabalhador]])),"",IFERROR(IF(VLOOKUP(Tabla5810[[#This Row],[Cod trabalhador]],'Altas Luminous'!B:E,4,FALSE)=0,"",VLOOKUP(Tabla5810[[#This Row],[Cod trabalhador]],'Altas Luminous'!B:E,4,FALSE)),""))</f>
        <v/>
      </c>
      <c r="J112" s="44">
        <f t="shared" si="3"/>
        <v>0</v>
      </c>
      <c r="K112" s="44" t="s">
        <v>7181</v>
      </c>
      <c r="L112" s="24" t="str">
        <f>IFERROR(IF(Tabla5810[[#This Row],[Cod trabalhador]]="",Tabla5810[[#This Row],[Cod trabalhador]], INDEX(Colaborador_ID[Nombre], MATCH(Tabla5810[[#This Row],[Cod trabalhador]],Colaborador_ID[Cod_colab], 0))), "")</f>
        <v>RODRIGO ALEXANDRO AVILA DIEGO</v>
      </c>
      <c r="M112" s="340"/>
      <c r="N112" s="23" t="s">
        <v>7180</v>
      </c>
      <c r="O112" s="401">
        <f>IFERROR(VLOOKUP(Tabla5810[[#This Row],[Cod trabalhador]],Tabla15[],4,FALSE),"")</f>
        <v>15</v>
      </c>
      <c r="P112" s="232">
        <f>IFERROR(VLOOKUP(Tabla5810[[#This Row],[Cod trabalhador]],'TotalHorasAjustadas (2)'!D:L,8,FALSE),"")</f>
        <v>19.5</v>
      </c>
      <c r="Q112" s="27">
        <v>19.5</v>
      </c>
      <c r="R112" s="28" t="s">
        <v>7532</v>
      </c>
      <c r="S112" s="28" t="s">
        <v>7486</v>
      </c>
      <c r="U112" s="381"/>
      <c r="V112" s="231"/>
      <c r="X112" s="28"/>
      <c r="Y112" s="28"/>
      <c r="Z112" s="149"/>
      <c r="AA112" s="392" t="str">
        <f>IFERROR(VLOOKUP(Tabla5810[[#This Row],[Cod trabalhador]],Alojamentos!B:P,11,FALSE),"")</f>
        <v/>
      </c>
      <c r="AB112" s="127"/>
      <c r="AC112" s="150"/>
      <c r="AD112" s="35">
        <f>Tabla5810[[#This Row],[Dias de alta]]*7.058</f>
        <v>0</v>
      </c>
      <c r="AE112" s="46" t="str">
        <f>IFERROR(VLOOKUP(Tabla5810[[#This Row],[Cod trabalhador]],Adiantamentos!B:L,7,FALSE),"")</f>
        <v/>
      </c>
      <c r="AF112" s="46" t="str">
        <f>IFERROR(VLOOKUP(Tabla5810[[#This Row],[Cod trabalhador]],Carro!B:D,3,FALSE),"")</f>
        <v/>
      </c>
      <c r="AG112" s="46" t="str">
        <f>IFERROR(VLOOKUP(Tabla5810[[#This Row],[Cod trabalhador]],'Outros descontos'!B:O,7,FALSE),"")</f>
        <v/>
      </c>
      <c r="AH112" s="46" t="str">
        <f>IFERROR(VLOOKUP(Tabla5810[[#This Row],[Cod trabalhador]],'Outros descontos'!B:M,8,FALSE),"")</f>
        <v/>
      </c>
      <c r="AI112" s="46" t="str">
        <f>IFERROR(VLOOKUP(Tabla5810[[#This Row],[Cod trabalhador]],'Outros descontos'!B:M,9,FALSE),"")</f>
        <v/>
      </c>
      <c r="AJ112" s="46" t="str">
        <f>IFERROR(VLOOKUP(Tabla5810[[#This Row],[Cod trabalhador]],'Outros descontos'!B:M,10,FALSE),"")</f>
        <v/>
      </c>
      <c r="AK112" s="46" t="str">
        <f>IFERROR(VLOOKUP(Tabla5810[[#This Row],[Cod trabalhador]],'Outros descontos'!B:M,11,FALSE),"")</f>
        <v/>
      </c>
      <c r="AL112" s="46" t="str">
        <f>IFERROR(VLOOKUP(Tabla5810[[#This Row],[Cod trabalhador]],'Outros descontos'!B:M,12,FALSE),"")</f>
        <v/>
      </c>
      <c r="AM112" s="46" t="str">
        <f>IFERROR(VLOOKUP(Tabla5810[[#This Row],[Cod trabalhador]],'Outros descontos'!B:M,13,FALSE),"")</f>
        <v/>
      </c>
      <c r="AN112" s="393"/>
      <c r="AO112" s="37">
        <v>4.08</v>
      </c>
      <c r="AP112" s="15"/>
      <c r="AQ112"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288.42</v>
      </c>
      <c r="AR112"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288.42</v>
      </c>
      <c r="AS112" s="15"/>
      <c r="AT112" s="27" t="str">
        <f>IF(Tabla5810[[#This Row],[Cod trabalhador]]="", "", INDEX(Iban!C:C, MATCH(Tabla5810[[#This Row],[Cod trabalhador]],Iban!A:A, 0)))</f>
        <v>ES81 0182 0883 1302 0173 3726</v>
      </c>
      <c r="AU112" s="27"/>
      <c r="AV112" s="27"/>
      <c r="AW112" s="66" t="s">
        <v>7533</v>
      </c>
      <c r="AX112" s="296" t="s">
        <v>7472</v>
      </c>
    </row>
    <row r="113" spans="1:50" ht="18.75" customHeight="1" x14ac:dyDescent="0.3">
      <c r="A113" s="42">
        <v>108</v>
      </c>
      <c r="B113" s="39" t="s">
        <v>6202</v>
      </c>
      <c r="C113" s="45" t="str">
        <f>IF(ISNUMBER(MATCH(Tabla5810[[#This Row],[Cod trabalhador]],'Altas Luminous'!B:B, 0)), "Ativo", "Não ativo")</f>
        <v>Não ativo</v>
      </c>
      <c r="D113" s="44" t="str">
        <f>IFERROR(IF(VLOOKUP(Tabla5810[[#This Row],[Cod trabalhador]],'Altas Industrial'!B:E,1,0)&lt;&gt;"","KI",""),"")</f>
        <v/>
      </c>
      <c r="E113" s="44" t="str">
        <f>IFERROR(IF(VLOOKUP(Tabla5810[[#This Row],[Cod trabalhador]],'Altas Rosas'!B:F,1,0)&lt;&gt;"","KR",""),"")</f>
        <v/>
      </c>
      <c r="F113" s="44" t="str">
        <f>IFERROR(IF(VLOOKUP(Tabla5810[[#This Row],[Cod trabalhador]],'Altas Wiseowe'!B:E,1,0)&lt;&gt;"","WS",""),"")</f>
        <v/>
      </c>
      <c r="G113" s="44" t="str">
        <f>IFERROR(IF(VLOOKUP(Tabla5810[[#This Row],[Cod trabalhador]],'Altas Luminous'!B:E,1,0)&lt;&gt;"","LM",""),"")</f>
        <v/>
      </c>
      <c r="H113" s="51" t="str">
        <f>IFERROR(VLOOKUP(Tabla5810[[#This Row],[Cod trabalhador]],'Altas Luminous'!B:E,3,FALSE),"")</f>
        <v/>
      </c>
      <c r="I113" s="51" t="str">
        <f>IF(OR(Tabla5810[[#This Row],[Cod trabalhador]]="",ISBLANK(Tabla5810[[#This Row],[Cod trabalhador]])),"",IFERROR(IF(VLOOKUP(Tabla5810[[#This Row],[Cod trabalhador]],'Altas Luminous'!B:E,4,FALSE)=0,"",VLOOKUP(Tabla5810[[#This Row],[Cod trabalhador]],'Altas Luminous'!B:E,4,FALSE)),""))</f>
        <v/>
      </c>
      <c r="J113" s="44">
        <f t="shared" si="3"/>
        <v>0</v>
      </c>
      <c r="K113" s="44" t="s">
        <v>7105</v>
      </c>
      <c r="L113" s="24" t="str">
        <f>IFERROR(IF(Tabla5810[[#This Row],[Cod trabalhador]]="",Tabla5810[[#This Row],[Cod trabalhador]], INDEX(Colaborador_ID[Nombre], MATCH(Tabla5810[[#This Row],[Cod trabalhador]],Colaborador_ID[Cod_colab], 0))), "")</f>
        <v>RUBEN DARIO HURTADO MURCIA</v>
      </c>
      <c r="M113" s="340"/>
      <c r="N113" s="23" t="s">
        <v>7101</v>
      </c>
      <c r="O113" s="401">
        <f>IFERROR(VLOOKUP(Tabla5810[[#This Row],[Cod trabalhador]],Tabla15[],4,FALSE),"")</f>
        <v>14</v>
      </c>
      <c r="P113" s="232">
        <f>IFERROR(VLOOKUP(Tabla5810[[#This Row],[Cod trabalhador]],'TotalHorasAjustadas (2)'!D:L,8,FALSE),"")</f>
        <v>182</v>
      </c>
      <c r="Q113" s="27">
        <v>182</v>
      </c>
      <c r="R113" s="28" t="s">
        <v>7532</v>
      </c>
      <c r="S113" s="28" t="s">
        <v>7486</v>
      </c>
      <c r="U113" s="381"/>
      <c r="V113" s="231"/>
      <c r="X113" s="28"/>
      <c r="Y113" s="28"/>
      <c r="Z113" s="149"/>
      <c r="AA113" s="392" t="str">
        <f>IFERROR(VLOOKUP(Tabla5810[[#This Row],[Cod trabalhador]],Alojamentos!B:P,11,FALSE),"")</f>
        <v/>
      </c>
      <c r="AB113" s="127"/>
      <c r="AC113" s="150"/>
      <c r="AD113" s="35">
        <f>Tabla5810[[#This Row],[Dias de alta]]*7.058</f>
        <v>0</v>
      </c>
      <c r="AE113" s="46" t="str">
        <f>IFERROR(VLOOKUP(Tabla5810[[#This Row],[Cod trabalhador]],Adiantamentos!B:L,7,FALSE),"")</f>
        <v/>
      </c>
      <c r="AF113" s="46" t="str">
        <f>IFERROR(VLOOKUP(Tabla5810[[#This Row],[Cod trabalhador]],Carro!B:D,3,FALSE),"")</f>
        <v/>
      </c>
      <c r="AG113" s="46" t="str">
        <f>IFERROR(VLOOKUP(Tabla5810[[#This Row],[Cod trabalhador]],'Outros descontos'!B:O,7,FALSE),"")</f>
        <v/>
      </c>
      <c r="AH113" s="46" t="str">
        <f>IFERROR(VLOOKUP(Tabla5810[[#This Row],[Cod trabalhador]],'Outros descontos'!B:M,8,FALSE),"")</f>
        <v/>
      </c>
      <c r="AI113" s="46" t="str">
        <f>IFERROR(VLOOKUP(Tabla5810[[#This Row],[Cod trabalhador]],'Outros descontos'!B:M,9,FALSE),"")</f>
        <v/>
      </c>
      <c r="AJ113" s="46" t="str">
        <f>IFERROR(VLOOKUP(Tabla5810[[#This Row],[Cod trabalhador]],'Outros descontos'!B:M,10,FALSE),"")</f>
        <v/>
      </c>
      <c r="AK113" s="46" t="str">
        <f>IFERROR(VLOOKUP(Tabla5810[[#This Row],[Cod trabalhador]],'Outros descontos'!B:M,11,FALSE),"")</f>
        <v/>
      </c>
      <c r="AL113" s="46" t="str">
        <f>IFERROR(VLOOKUP(Tabla5810[[#This Row],[Cod trabalhador]],'Outros descontos'!B:M,12,FALSE),"")</f>
        <v/>
      </c>
      <c r="AM113" s="46" t="str">
        <f>IFERROR(VLOOKUP(Tabla5810[[#This Row],[Cod trabalhador]],'Outros descontos'!B:M,13,FALSE),"")</f>
        <v/>
      </c>
      <c r="AN113" s="393"/>
      <c r="AO113" s="37">
        <v>4.08</v>
      </c>
      <c r="AP113" s="15"/>
      <c r="AQ113"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2543.92</v>
      </c>
      <c r="AR113"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2543.92</v>
      </c>
      <c r="AS113" s="15"/>
      <c r="AT113" s="27" t="str">
        <f>IF(Tabla5810[[#This Row],[Cod trabalhador]]="", "", INDEX(Iban!C:C, MATCH(Tabla5810[[#This Row],[Cod trabalhador]],Iban!A:A, 0)))</f>
        <v>ES83 0182 6092 4202 0175 0112</v>
      </c>
      <c r="AU113" s="27"/>
      <c r="AV113" s="27"/>
      <c r="AW113" s="66" t="s">
        <v>7533</v>
      </c>
      <c r="AX113" s="296" t="s">
        <v>7472</v>
      </c>
    </row>
    <row r="114" spans="1:50" ht="18.75" customHeight="1" x14ac:dyDescent="0.3">
      <c r="A114" s="42">
        <v>109</v>
      </c>
      <c r="B114" s="39" t="s">
        <v>6339</v>
      </c>
      <c r="C114" s="45" t="str">
        <f>IF(ISNUMBER(MATCH(Tabla5810[[#This Row],[Cod trabalhador]],'Altas Luminous'!B:B, 0)), "Ativo", "Não ativo")</f>
        <v>Não ativo</v>
      </c>
      <c r="D114" s="44" t="str">
        <f>IFERROR(IF(VLOOKUP(Tabla5810[[#This Row],[Cod trabalhador]],'Altas Industrial'!B:E,1,0)&lt;&gt;"","KI",""),"")</f>
        <v/>
      </c>
      <c r="E114" s="44" t="str">
        <f>IFERROR(IF(VLOOKUP(Tabla5810[[#This Row],[Cod trabalhador]],'Altas Rosas'!B:F,1,0)&lt;&gt;"","KR",""),"")</f>
        <v/>
      </c>
      <c r="F114" s="44" t="str">
        <f>IFERROR(IF(VLOOKUP(Tabla5810[[#This Row],[Cod trabalhador]],'Altas Wiseowe'!B:E,1,0)&lt;&gt;"","WS",""),"")</f>
        <v/>
      </c>
      <c r="G114" s="44" t="str">
        <f>IFERROR(IF(VLOOKUP(Tabla5810[[#This Row],[Cod trabalhador]],'Altas Luminous'!B:E,1,0)&lt;&gt;"","LM",""),"")</f>
        <v/>
      </c>
      <c r="H114" s="51" t="str">
        <f>IFERROR(VLOOKUP(Tabla5810[[#This Row],[Cod trabalhador]],'Altas Luminous'!B:E,3,FALSE),"")</f>
        <v/>
      </c>
      <c r="I114" s="51" t="str">
        <f>IF(OR(Tabla5810[[#This Row],[Cod trabalhador]]="",ISBLANK(Tabla5810[[#This Row],[Cod trabalhador]])),"",IFERROR(IF(VLOOKUP(Tabla5810[[#This Row],[Cod trabalhador]],'Altas Luminous'!B:E,4,FALSE)=0,"",VLOOKUP(Tabla5810[[#This Row],[Cod trabalhador]],'Altas Luminous'!B:E,4,FALSE)),""))</f>
        <v/>
      </c>
      <c r="J114" s="44">
        <f t="shared" si="3"/>
        <v>0</v>
      </c>
      <c r="K114" s="44" t="s">
        <v>7152</v>
      </c>
      <c r="L114" s="24" t="str">
        <f>IFERROR(IF(Tabla5810[[#This Row],[Cod trabalhador]]="",Tabla5810[[#This Row],[Cod trabalhador]], INDEX(Colaborador_ID[Nombre], MATCH(Tabla5810[[#This Row],[Cod trabalhador]],Colaborador_ID[Cod_colab], 0))), "")</f>
        <v>SERGIO LUIS BELTRAN BALDOVINO</v>
      </c>
      <c r="M114" s="340"/>
      <c r="N114" s="23" t="s">
        <v>7150</v>
      </c>
      <c r="O114" s="401">
        <v>15</v>
      </c>
      <c r="P114" s="232">
        <f>IFERROR(VLOOKUP(Tabla5810[[#This Row],[Cod trabalhador]],'TotalHorasAjustadas (2)'!D:L,8,FALSE),"")</f>
        <v>192</v>
      </c>
      <c r="Q114" s="27">
        <v>192</v>
      </c>
      <c r="R114" s="28" t="s">
        <v>7532</v>
      </c>
      <c r="S114" s="28" t="s">
        <v>7486</v>
      </c>
      <c r="U114" s="381"/>
      <c r="V114" s="231"/>
      <c r="X114" s="28"/>
      <c r="Y114" s="28"/>
      <c r="Z114" s="149"/>
      <c r="AA114" s="392" t="str">
        <f>IFERROR(VLOOKUP(Tabla5810[[#This Row],[Cod trabalhador]],Alojamentos!B:P,11,FALSE),"")</f>
        <v/>
      </c>
      <c r="AB114" s="127"/>
      <c r="AC114" s="150"/>
      <c r="AD114" s="35">
        <f>Tabla5810[[#This Row],[Dias de alta]]*7.058</f>
        <v>0</v>
      </c>
      <c r="AE114" s="46" t="str">
        <f>IFERROR(VLOOKUP(Tabla5810[[#This Row],[Cod trabalhador]],Adiantamentos!B:L,7,FALSE),"")</f>
        <v/>
      </c>
      <c r="AF114" s="46">
        <f>IFERROR(VLOOKUP(Tabla5810[[#This Row],[Cod trabalhador]],Carro!B:D,3,FALSE),"")</f>
        <v>84.444444444444443</v>
      </c>
      <c r="AG114" s="46" t="str">
        <f>IFERROR(VLOOKUP(Tabla5810[[#This Row],[Cod trabalhador]],'Outros descontos'!B:O,7,FALSE),"")</f>
        <v/>
      </c>
      <c r="AH114" s="46" t="str">
        <f>IFERROR(VLOOKUP(Tabla5810[[#This Row],[Cod trabalhador]],'Outros descontos'!B:M,8,FALSE),"")</f>
        <v/>
      </c>
      <c r="AI114" s="46" t="str">
        <f>IFERROR(VLOOKUP(Tabla5810[[#This Row],[Cod trabalhador]],'Outros descontos'!B:M,9,FALSE),"")</f>
        <v/>
      </c>
      <c r="AJ114" s="46" t="str">
        <f>IFERROR(VLOOKUP(Tabla5810[[#This Row],[Cod trabalhador]],'Outros descontos'!B:M,10,FALSE),"")</f>
        <v/>
      </c>
      <c r="AK114" s="46" t="str">
        <f>IFERROR(VLOOKUP(Tabla5810[[#This Row],[Cod trabalhador]],'Outros descontos'!B:M,11,FALSE),"")</f>
        <v/>
      </c>
      <c r="AL114" s="46" t="str">
        <f>IFERROR(VLOOKUP(Tabla5810[[#This Row],[Cod trabalhador]],'Outros descontos'!B:M,12,FALSE),"")</f>
        <v/>
      </c>
      <c r="AM114" s="46" t="str">
        <f>IFERROR(VLOOKUP(Tabla5810[[#This Row],[Cod trabalhador]],'Outros descontos'!B:M,13,FALSE),"")</f>
        <v/>
      </c>
      <c r="AN114" s="393"/>
      <c r="AO114" s="37">
        <v>4.08</v>
      </c>
      <c r="AP114" s="15"/>
      <c r="AQ114"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2791.4755555555557</v>
      </c>
      <c r="AR114"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2791.4755555555557</v>
      </c>
      <c r="AS114" s="15"/>
      <c r="AT114" s="27" t="str">
        <f>IF(Tabla5810[[#This Row],[Cod trabalhador]]="", "", INDEX(Iban!C:C, MATCH(Tabla5810[[#This Row],[Cod trabalhador]],Iban!A:A, 0)))</f>
        <v>ES05 6893 0001 7400 0027 2818</v>
      </c>
      <c r="AU114" s="27"/>
      <c r="AV114" s="27"/>
      <c r="AW114" s="66" t="s">
        <v>7533</v>
      </c>
      <c r="AX114" s="296" t="s">
        <v>7472</v>
      </c>
    </row>
    <row r="115" spans="1:50" ht="18.75" customHeight="1" x14ac:dyDescent="0.3">
      <c r="A115" s="42">
        <v>110</v>
      </c>
      <c r="B115" s="39" t="s">
        <v>6367</v>
      </c>
      <c r="C115" s="45" t="str">
        <f>IF(ISNUMBER(MATCH(Tabla5810[[#This Row],[Cod trabalhador]],'Altas Luminous'!B:B, 0)), "Ativo", "Não ativo")</f>
        <v>Não ativo</v>
      </c>
      <c r="D115" s="44" t="str">
        <f>IFERROR(IF(VLOOKUP(Tabla5810[[#This Row],[Cod trabalhador]],'Altas Industrial'!B:E,1,0)&lt;&gt;"","KI",""),"")</f>
        <v/>
      </c>
      <c r="E115" s="44" t="str">
        <f>IFERROR(IF(VLOOKUP(Tabla5810[[#This Row],[Cod trabalhador]],'Altas Rosas'!B:F,1,0)&lt;&gt;"","KR",""),"")</f>
        <v/>
      </c>
      <c r="F115" s="44" t="str">
        <f>IFERROR(IF(VLOOKUP(Tabla5810[[#This Row],[Cod trabalhador]],'Altas Wiseowe'!B:E,1,0)&lt;&gt;"","WS",""),"")</f>
        <v/>
      </c>
      <c r="G115" s="44" t="str">
        <f>IFERROR(IF(VLOOKUP(Tabla5810[[#This Row],[Cod trabalhador]],'Altas Luminous'!B:E,1,0)&lt;&gt;"","LM",""),"")</f>
        <v/>
      </c>
      <c r="H115" s="51" t="str">
        <f>IFERROR(VLOOKUP(Tabla5810[[#This Row],[Cod trabalhador]],'Altas Luminous'!B:E,3,FALSE),"")</f>
        <v/>
      </c>
      <c r="I115" s="51" t="str">
        <f>IF(OR(Tabla5810[[#This Row],[Cod trabalhador]]="",ISBLANK(Tabla5810[[#This Row],[Cod trabalhador]])),"",IFERROR(IF(VLOOKUP(Tabla5810[[#This Row],[Cod trabalhador]],'Altas Luminous'!B:E,4,FALSE)=0,"",VLOOKUP(Tabla5810[[#This Row],[Cod trabalhador]],'Altas Luminous'!B:E,4,FALSE)),""))</f>
        <v/>
      </c>
      <c r="J115" s="44">
        <f t="shared" si="3"/>
        <v>0</v>
      </c>
      <c r="K115" s="44" t="s">
        <v>7087</v>
      </c>
      <c r="L115" s="24" t="str">
        <f>IFERROR(IF(Tabla5810[[#This Row],[Cod trabalhador]]="",Tabla5810[[#This Row],[Cod trabalhador]], INDEX(Colaborador_ID[Nombre], MATCH(Tabla5810[[#This Row],[Cod trabalhador]],Colaborador_ID[Cod_colab], 0))), "")</f>
        <v>SIMION LUCIANO CHILINGANO PILLACA</v>
      </c>
      <c r="M115" s="340"/>
      <c r="N115" s="23" t="s">
        <v>7082</v>
      </c>
      <c r="O115" s="401">
        <f>IFERROR(VLOOKUP(Tabla5810[[#This Row],[Cod trabalhador]],Tabla15[],4,FALSE),"")</f>
        <v>15</v>
      </c>
      <c r="P115" s="232">
        <f>IFERROR(VLOOKUP(Tabla5810[[#This Row],[Cod trabalhador]],'TotalHorasAjustadas (2)'!D:L,8,FALSE),"")</f>
        <v>143.75</v>
      </c>
      <c r="Q115" s="27">
        <v>143.75</v>
      </c>
      <c r="R115" s="28" t="s">
        <v>7532</v>
      </c>
      <c r="S115" s="28" t="s">
        <v>7486</v>
      </c>
      <c r="U115" s="381"/>
      <c r="V115" s="231"/>
      <c r="X115" s="28"/>
      <c r="Y115" s="28"/>
      <c r="Z115" s="149"/>
      <c r="AA115" s="392" t="str">
        <f>IFERROR(VLOOKUP(Tabla5810[[#This Row],[Cod trabalhador]],Alojamentos!B:P,11,FALSE),"")</f>
        <v/>
      </c>
      <c r="AB115" s="127"/>
      <c r="AC115" s="150"/>
      <c r="AD115" s="35">
        <f>Tabla5810[[#This Row],[Dias de alta]]*7.058</f>
        <v>0</v>
      </c>
      <c r="AE115" s="46" t="str">
        <f>IFERROR(VLOOKUP(Tabla5810[[#This Row],[Cod trabalhador]],Adiantamentos!B:L,7,FALSE),"")</f>
        <v/>
      </c>
      <c r="AF115" s="46">
        <f>IFERROR(VLOOKUP(Tabla5810[[#This Row],[Cod trabalhador]],Carro!B:D,3,FALSE),"")</f>
        <v>86.666666666666657</v>
      </c>
      <c r="AG115" s="46" t="str">
        <f>IFERROR(VLOOKUP(Tabla5810[[#This Row],[Cod trabalhador]],'Outros descontos'!B:O,7,FALSE),"")</f>
        <v/>
      </c>
      <c r="AH115" s="46" t="str">
        <f>IFERROR(VLOOKUP(Tabla5810[[#This Row],[Cod trabalhador]],'Outros descontos'!B:M,8,FALSE),"")</f>
        <v/>
      </c>
      <c r="AI115" s="46" t="str">
        <f>IFERROR(VLOOKUP(Tabla5810[[#This Row],[Cod trabalhador]],'Outros descontos'!B:M,9,FALSE),"")</f>
        <v/>
      </c>
      <c r="AJ115" s="46" t="str">
        <f>IFERROR(VLOOKUP(Tabla5810[[#This Row],[Cod trabalhador]],'Outros descontos'!B:M,10,FALSE),"")</f>
        <v/>
      </c>
      <c r="AK115" s="46" t="str">
        <f>IFERROR(VLOOKUP(Tabla5810[[#This Row],[Cod trabalhador]],'Outros descontos'!B:M,11,FALSE),"")</f>
        <v/>
      </c>
      <c r="AL115" s="46" t="str">
        <f>IFERROR(VLOOKUP(Tabla5810[[#This Row],[Cod trabalhador]],'Outros descontos'!B:M,12,FALSE),"")</f>
        <v/>
      </c>
      <c r="AM115" s="46" t="str">
        <f>IFERROR(VLOOKUP(Tabla5810[[#This Row],[Cod trabalhador]],'Outros descontos'!B:M,13,FALSE),"")</f>
        <v/>
      </c>
      <c r="AN115" s="393"/>
      <c r="AO115" s="37">
        <v>4.08</v>
      </c>
      <c r="AP115" s="15"/>
      <c r="AQ115"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2065.5033333333336</v>
      </c>
      <c r="AR115"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2065.5033333333336</v>
      </c>
      <c r="AS115" s="15"/>
      <c r="AT115" s="27" t="str">
        <f>IF(Tabla5810[[#This Row],[Cod trabalhador]]="", "", INDEX(Iban!C:C, MATCH(Tabla5810[[#This Row],[Cod trabalhador]],Iban!A:A, 0)))</f>
        <v>ES33 0182 8191 7702 0205 0486</v>
      </c>
      <c r="AU115" s="27"/>
      <c r="AV115" s="27"/>
      <c r="AW115" s="66" t="s">
        <v>7533</v>
      </c>
      <c r="AX115" s="296" t="s">
        <v>7472</v>
      </c>
    </row>
    <row r="116" spans="1:50" ht="18.75" customHeight="1" x14ac:dyDescent="0.3">
      <c r="A116" s="42">
        <v>111</v>
      </c>
      <c r="B116" s="39" t="s">
        <v>6475</v>
      </c>
      <c r="C116" s="45" t="str">
        <f>IF(ISNUMBER(MATCH(Tabla5810[[#This Row],[Cod trabalhador]],'Altas Luminous'!B:B, 0)), "Ativo", "Não ativo")</f>
        <v>Não ativo</v>
      </c>
      <c r="D116" s="44" t="str">
        <f>IFERROR(IF(VLOOKUP(Tabla5810[[#This Row],[Cod trabalhador]],'Altas Industrial'!B:E,1,0)&lt;&gt;"","KI",""),"")</f>
        <v/>
      </c>
      <c r="E116" s="44" t="str">
        <f>IFERROR(IF(VLOOKUP(Tabla5810[[#This Row],[Cod trabalhador]],'Altas Rosas'!B:F,1,0)&lt;&gt;"","KR",""),"")</f>
        <v/>
      </c>
      <c r="F116" s="44" t="str">
        <f>IFERROR(IF(VLOOKUP(Tabla5810[[#This Row],[Cod trabalhador]],'Altas Wiseowe'!B:E,1,0)&lt;&gt;"","WS",""),"")</f>
        <v/>
      </c>
      <c r="G116" s="44" t="str">
        <f>IFERROR(IF(VLOOKUP(Tabla5810[[#This Row],[Cod trabalhador]],'Altas Luminous'!B:E,1,0)&lt;&gt;"","LM",""),"")</f>
        <v/>
      </c>
      <c r="H116" s="51" t="str">
        <f>IFERROR(VLOOKUP(Tabla5810[[#This Row],[Cod trabalhador]],'Altas Luminous'!B:E,3,FALSE),"")</f>
        <v/>
      </c>
      <c r="I116" s="51" t="str">
        <f>IF(OR(Tabla5810[[#This Row],[Cod trabalhador]]="",ISBLANK(Tabla5810[[#This Row],[Cod trabalhador]])),"",IFERROR(IF(VLOOKUP(Tabla5810[[#This Row],[Cod trabalhador]],'Altas Luminous'!B:E,4,FALSE)=0,"",VLOOKUP(Tabla5810[[#This Row],[Cod trabalhador]],'Altas Luminous'!B:E,4,FALSE)),""))</f>
        <v/>
      </c>
      <c r="J116" s="44">
        <f t="shared" si="3"/>
        <v>0</v>
      </c>
      <c r="K116" s="44"/>
      <c r="L116" s="24" t="str">
        <f>IFERROR(IF(Tabla5810[[#This Row],[Cod trabalhador]]="",Tabla5810[[#This Row],[Cod trabalhador]], INDEX(Colaborador_ID[Nombre], MATCH(Tabla5810[[#This Row],[Cod trabalhador]],Colaborador_ID[Cod_colab], 0))), "")</f>
        <v>VICTOR EDGARDO RAMIREZ GRANDA</v>
      </c>
      <c r="M116" s="340"/>
      <c r="N116" s="23" t="s">
        <v>7093</v>
      </c>
      <c r="O116" s="401">
        <f>IFERROR(VLOOKUP(Tabla5810[[#This Row],[Cod trabalhador]],Tabla15[],4,FALSE),"")</f>
        <v>15</v>
      </c>
      <c r="P116" s="232">
        <f>IFERROR(VLOOKUP(Tabla5810[[#This Row],[Cod trabalhador]],'TotalHorasAjustadas (2)'!D:L,8,FALSE),"")</f>
        <v>140</v>
      </c>
      <c r="Q116" s="27">
        <v>140</v>
      </c>
      <c r="R116" s="28" t="s">
        <v>7471</v>
      </c>
      <c r="S116" s="28" t="s">
        <v>7486</v>
      </c>
      <c r="U116" s="381"/>
      <c r="V116" s="231"/>
      <c r="X116" s="28"/>
      <c r="Y116" s="28"/>
      <c r="Z116" s="149"/>
      <c r="AA116" s="392" t="str">
        <f>IFERROR(VLOOKUP(Tabla5810[[#This Row],[Cod trabalhador]],Alojamentos!B:P,11,FALSE),"")</f>
        <v/>
      </c>
      <c r="AB116" s="127"/>
      <c r="AC116" s="150"/>
      <c r="AD116" s="35">
        <f>Tabla5810[[#This Row],[Dias de alta]]*7.058</f>
        <v>0</v>
      </c>
      <c r="AE116" s="46" t="str">
        <f>IFERROR(VLOOKUP(Tabla5810[[#This Row],[Cod trabalhador]],Adiantamentos!B:L,7,FALSE),"")</f>
        <v/>
      </c>
      <c r="AF116" s="46" t="str">
        <f>IFERROR(VLOOKUP(Tabla5810[[#This Row],[Cod trabalhador]],Carro!B:D,3,FALSE),"")</f>
        <v/>
      </c>
      <c r="AG116" s="46" t="str">
        <f>IFERROR(VLOOKUP(Tabla5810[[#This Row],[Cod trabalhador]],'Outros descontos'!B:O,7,FALSE),"")</f>
        <v/>
      </c>
      <c r="AH116" s="46" t="str">
        <f>IFERROR(VLOOKUP(Tabla5810[[#This Row],[Cod trabalhador]],'Outros descontos'!B:M,8,FALSE),"")</f>
        <v/>
      </c>
      <c r="AI116" s="46" t="str">
        <f>IFERROR(VLOOKUP(Tabla5810[[#This Row],[Cod trabalhador]],'Outros descontos'!B:M,9,FALSE),"")</f>
        <v/>
      </c>
      <c r="AJ116" s="46" t="str">
        <f>IFERROR(VLOOKUP(Tabla5810[[#This Row],[Cod trabalhador]],'Outros descontos'!B:M,10,FALSE),"")</f>
        <v/>
      </c>
      <c r="AK116" s="46" t="str">
        <f>IFERROR(VLOOKUP(Tabla5810[[#This Row],[Cod trabalhador]],'Outros descontos'!B:M,11,FALSE),"")</f>
        <v/>
      </c>
      <c r="AL116" s="46" t="str">
        <f>IFERROR(VLOOKUP(Tabla5810[[#This Row],[Cod trabalhador]],'Outros descontos'!B:M,12,FALSE),"")</f>
        <v/>
      </c>
      <c r="AM116" s="46" t="str">
        <f>IFERROR(VLOOKUP(Tabla5810[[#This Row],[Cod trabalhador]],'Outros descontos'!B:M,13,FALSE),"")</f>
        <v/>
      </c>
      <c r="AN116" s="393"/>
      <c r="AO116" s="37"/>
      <c r="AP116" s="15"/>
      <c r="AQ116"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2100</v>
      </c>
      <c r="AR116"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2100</v>
      </c>
      <c r="AS116" s="15"/>
      <c r="AT116" s="27" t="str">
        <f>IF(Tabla5810[[#This Row],[Cod trabalhador]]="", "", INDEX(Iban!C:C, MATCH(Tabla5810[[#This Row],[Cod trabalhador]],Iban!A:A, 0)))</f>
        <v>ES17 0182 3212 8502 0157 7167</v>
      </c>
      <c r="AU116" s="27"/>
      <c r="AV116" s="27"/>
      <c r="AW116" s="66" t="s">
        <v>7533</v>
      </c>
      <c r="AX116" s="296" t="s">
        <v>7472</v>
      </c>
    </row>
    <row r="117" spans="1:50" ht="18.75" customHeight="1" x14ac:dyDescent="0.3">
      <c r="A117" s="42">
        <v>112</v>
      </c>
      <c r="B117" s="39" t="s">
        <v>6557</v>
      </c>
      <c r="C117" s="45" t="str">
        <f>IF(ISNUMBER(MATCH(Tabla5810[[#This Row],[Cod trabalhador]],'Altas Luminous'!B:B, 0)), "Ativo", "Não ativo")</f>
        <v>Ativo</v>
      </c>
      <c r="D117" s="44" t="str">
        <f>IFERROR(IF(VLOOKUP(Tabla5810[[#This Row],[Cod trabalhador]],'Altas Industrial'!B:E,1,0)&lt;&gt;"","KI",""),"")</f>
        <v/>
      </c>
      <c r="E117" s="44" t="str">
        <f>IFERROR(IF(VLOOKUP(Tabla5810[[#This Row],[Cod trabalhador]],'Altas Rosas'!B:F,1,0)&lt;&gt;"","KR",""),"")</f>
        <v/>
      </c>
      <c r="F117" s="44" t="str">
        <f>IFERROR(IF(VLOOKUP(Tabla5810[[#This Row],[Cod trabalhador]],'Altas Wiseowe'!B:E,1,0)&lt;&gt;"","WS",""),"")</f>
        <v/>
      </c>
      <c r="G117" s="44" t="str">
        <f>IFERROR(IF(VLOOKUP(Tabla5810[[#This Row],[Cod trabalhador]],'Altas Luminous'!B:E,1,0)&lt;&gt;"","LM",""),"")</f>
        <v>LM</v>
      </c>
      <c r="H117" s="51">
        <f>IFERROR(VLOOKUP(Tabla5810[[#This Row],[Cod trabalhador]],'Altas Luminous'!B:E,3,FALSE),"")</f>
        <v>45931</v>
      </c>
      <c r="I117" s="51" t="str">
        <f>IF(OR(Tabla5810[[#This Row],[Cod trabalhador]]="",ISBLANK(Tabla5810[[#This Row],[Cod trabalhador]])),"",IFERROR(IF(VLOOKUP(Tabla5810[[#This Row],[Cod trabalhador]],'Altas Luminous'!B:E,4,FALSE)=0,"",VLOOKUP(Tabla5810[[#This Row],[Cod trabalhador]],'Altas Luminous'!B:E,4,FALSE)),""))</f>
        <v/>
      </c>
      <c r="J117" s="44">
        <f t="shared" si="3"/>
        <v>31</v>
      </c>
      <c r="K117" s="44" t="s">
        <v>6558</v>
      </c>
      <c r="L117" s="24" t="str">
        <f>IFERROR(IF(Tabla5810[[#This Row],[Cod trabalhador]]="",Tabla5810[[#This Row],[Cod trabalhador]], INDEX(Colaborador_ID[Nombre], MATCH(Tabla5810[[#This Row],[Cod trabalhador]],Colaborador_ID[Cod_colab], 0))), "")</f>
        <v>WAYNER IBARBO VERGARA</v>
      </c>
      <c r="M117" s="340"/>
      <c r="N117" s="23" t="s">
        <v>7109</v>
      </c>
      <c r="O117" s="401">
        <f>IFERROR(VLOOKUP(Tabla5810[[#This Row],[Cod trabalhador]],Tabla15[],4,FALSE),"")</f>
        <v>16</v>
      </c>
      <c r="P117" s="232">
        <f>IFERROR(VLOOKUP(Tabla5810[[#This Row],[Cod trabalhador]],'TotalHorasAjustadas (2)'!D:L,8,FALSE),"")</f>
        <v>215</v>
      </c>
      <c r="Q117" s="27">
        <v>215</v>
      </c>
      <c r="R117" s="28" t="s">
        <v>7471</v>
      </c>
      <c r="S117" s="28" t="s">
        <v>7486</v>
      </c>
      <c r="U117" s="381"/>
      <c r="V117" s="231"/>
      <c r="X117" s="28"/>
      <c r="Y117" s="28"/>
      <c r="Z117" s="149"/>
      <c r="AA117" s="392">
        <f>IFERROR(VLOOKUP(Tabla5810[[#This Row],[Cod trabalhador]],Alojamentos!B:P,11,FALSE),"")</f>
        <v>300</v>
      </c>
      <c r="AB117" s="127"/>
      <c r="AC117" s="150"/>
      <c r="AD117" s="35">
        <f>Tabla5810[[#This Row],[Dias de alta]]*7.058</f>
        <v>218.798</v>
      </c>
      <c r="AE117" s="46" t="str">
        <f>IFERROR(VLOOKUP(Tabla5810[[#This Row],[Cod trabalhador]],Adiantamentos!B:L,7,FALSE),"")</f>
        <v/>
      </c>
      <c r="AF117" s="46" t="str">
        <f>IFERROR(VLOOKUP(Tabla5810[[#This Row],[Cod trabalhador]],Carro!B:D,3,FALSE),"")</f>
        <v/>
      </c>
      <c r="AG117" s="46" t="str">
        <f>IFERROR(VLOOKUP(Tabla5810[[#This Row],[Cod trabalhador]],'Outros descontos'!B:O,7,FALSE),"")</f>
        <v/>
      </c>
      <c r="AH117" s="46" t="str">
        <f>IFERROR(VLOOKUP(Tabla5810[[#This Row],[Cod trabalhador]],'Outros descontos'!B:M,8,FALSE),"")</f>
        <v/>
      </c>
      <c r="AI117" s="46" t="str">
        <f>IFERROR(VLOOKUP(Tabla5810[[#This Row],[Cod trabalhador]],'Outros descontos'!B:M,9,FALSE),"")</f>
        <v/>
      </c>
      <c r="AJ117" s="46" t="str">
        <f>IFERROR(VLOOKUP(Tabla5810[[#This Row],[Cod trabalhador]],'Outros descontos'!B:M,10,FALSE),"")</f>
        <v/>
      </c>
      <c r="AK117" s="46" t="str">
        <f>IFERROR(VLOOKUP(Tabla5810[[#This Row],[Cod trabalhador]],'Outros descontos'!B:M,11,FALSE),"")</f>
        <v/>
      </c>
      <c r="AL117" s="46" t="str">
        <f>IFERROR(VLOOKUP(Tabla5810[[#This Row],[Cod trabalhador]],'Outros descontos'!B:M,12,FALSE),"")</f>
        <v/>
      </c>
      <c r="AM117" s="46" t="str">
        <f>IFERROR(VLOOKUP(Tabla5810[[#This Row],[Cod trabalhador]],'Outros descontos'!B:M,13,FALSE),"")</f>
        <v/>
      </c>
      <c r="AN117" s="393"/>
      <c r="AO117" s="37">
        <v>4.08</v>
      </c>
      <c r="AP117" s="15"/>
      <c r="AQ117"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3517.1220000000003</v>
      </c>
      <c r="AR117"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3517.1220000000003</v>
      </c>
      <c r="AS117" s="15"/>
      <c r="AT117" s="27" t="str">
        <f>IF(Tabla5810[[#This Row],[Cod trabalhador]]="", "", INDEX(Iban!C:C, MATCH(Tabla5810[[#This Row],[Cod trabalhador]],Iban!A:A, 0)))</f>
        <v xml:space="preserve">PT50 0033 0000 4578 4032 7870 5 </v>
      </c>
      <c r="AU117" s="27"/>
      <c r="AV117" s="27"/>
      <c r="AW117" s="66" t="s">
        <v>7533</v>
      </c>
      <c r="AX117" s="296" t="s">
        <v>7472</v>
      </c>
    </row>
    <row r="118" spans="1:50" ht="18.75" customHeight="1" x14ac:dyDescent="0.3">
      <c r="A118" s="42">
        <v>113</v>
      </c>
      <c r="B118" s="39" t="s">
        <v>6635</v>
      </c>
      <c r="C118" s="45" t="str">
        <f>IF(ISNUMBER(MATCH(Tabla5810[[#This Row],[Cod trabalhador]],'Altas Luminous'!B:B, 0)), "Ativo", "Não ativo")</f>
        <v>Ativo</v>
      </c>
      <c r="D118" s="44" t="str">
        <f>IFERROR(IF(VLOOKUP(Tabla5810[[#This Row],[Cod trabalhador]],'Altas Industrial'!B:E,1,0)&lt;&gt;"","KI",""),"")</f>
        <v/>
      </c>
      <c r="E118" s="44" t="str">
        <f>IFERROR(IF(VLOOKUP(Tabla5810[[#This Row],[Cod trabalhador]],'Altas Rosas'!B:F,1,0)&lt;&gt;"","KR",""),"")</f>
        <v/>
      </c>
      <c r="F118" s="44" t="str">
        <f>IFERROR(IF(VLOOKUP(Tabla5810[[#This Row],[Cod trabalhador]],'Altas Wiseowe'!B:E,1,0)&lt;&gt;"","WS",""),"")</f>
        <v/>
      </c>
      <c r="G118" s="44" t="str">
        <f>IFERROR(IF(VLOOKUP(Tabla5810[[#This Row],[Cod trabalhador]],'Altas Luminous'!B:E,1,0)&lt;&gt;"","LM",""),"")</f>
        <v>LM</v>
      </c>
      <c r="H118" s="51">
        <f>IFERROR(VLOOKUP(Tabla5810[[#This Row],[Cod trabalhador]],'Altas Luminous'!B:E,3,FALSE),"")</f>
        <v>45931</v>
      </c>
      <c r="I118" s="51" t="str">
        <f>IF(OR(Tabla5810[[#This Row],[Cod trabalhador]]="",ISBLANK(Tabla5810[[#This Row],[Cod trabalhador]])),"",IFERROR(IF(VLOOKUP(Tabla5810[[#This Row],[Cod trabalhador]],'Altas Luminous'!B:E,4,FALSE)=0,"",VLOOKUP(Tabla5810[[#This Row],[Cod trabalhador]],'Altas Luminous'!B:E,4,FALSE)),""))</f>
        <v/>
      </c>
      <c r="J118" s="44">
        <f t="shared" si="3"/>
        <v>31</v>
      </c>
      <c r="K118" s="44" t="s">
        <v>7125</v>
      </c>
      <c r="L118" s="24" t="str">
        <f>IFERROR(IF(Tabla5810[[#This Row],[Cod trabalhador]]="",Tabla5810[[#This Row],[Cod trabalhador]], INDEX(Colaborador_ID[Nombre], MATCH(Tabla5810[[#This Row],[Cod trabalhador]],Colaborador_ID[Cod_colab], 0))), "")</f>
        <v>WILLIAM MORAIS DA SILVA</v>
      </c>
      <c r="M118" s="340"/>
      <c r="N118" s="23" t="s">
        <v>7109</v>
      </c>
      <c r="O118" s="401">
        <f>IFERROR(VLOOKUP(Tabla5810[[#This Row],[Cod trabalhador]],Tabla15[],4,FALSE),"")</f>
        <v>17</v>
      </c>
      <c r="P118" s="232">
        <f>IFERROR(VLOOKUP(Tabla5810[[#This Row],[Cod trabalhador]],'TotalHorasAjustadas (2)'!D:L,8,FALSE),"")</f>
        <v>227</v>
      </c>
      <c r="Q118" s="27">
        <v>227</v>
      </c>
      <c r="R118" s="28" t="s">
        <v>7471</v>
      </c>
      <c r="S118" s="28" t="s">
        <v>7486</v>
      </c>
      <c r="U118" s="381"/>
      <c r="V118" s="231"/>
      <c r="X118" s="28"/>
      <c r="Y118" s="28"/>
      <c r="Z118" s="149"/>
      <c r="AA118" s="392">
        <f>IFERROR(VLOOKUP(Tabla5810[[#This Row],[Cod trabalhador]],Alojamentos!B:P,11,FALSE),"")</f>
        <v>300</v>
      </c>
      <c r="AB118" s="127"/>
      <c r="AC118" s="150"/>
      <c r="AD118" s="35">
        <f>Tabla5810[[#This Row],[Dias de alta]]*7.058</f>
        <v>218.798</v>
      </c>
      <c r="AE118" s="46">
        <f>IFERROR(VLOOKUP(Tabla5810[[#This Row],[Cod trabalhador]],Adiantamentos!B:L,7,FALSE),"")</f>
        <v>300</v>
      </c>
      <c r="AF118" s="46" t="str">
        <f>IFERROR(VLOOKUP(Tabla5810[[#This Row],[Cod trabalhador]],Carro!B:D,3,FALSE),"")</f>
        <v/>
      </c>
      <c r="AG118" s="46" t="str">
        <f>IFERROR(VLOOKUP(Tabla5810[[#This Row],[Cod trabalhador]],'Outros descontos'!B:O,7,FALSE),"")</f>
        <v/>
      </c>
      <c r="AH118" s="46" t="str">
        <f>IFERROR(VLOOKUP(Tabla5810[[#This Row],[Cod trabalhador]],'Outros descontos'!B:M,8,FALSE),"")</f>
        <v/>
      </c>
      <c r="AI118" s="46" t="str">
        <f>IFERROR(VLOOKUP(Tabla5810[[#This Row],[Cod trabalhador]],'Outros descontos'!B:M,9,FALSE),"")</f>
        <v/>
      </c>
      <c r="AJ118" s="46" t="str">
        <f>IFERROR(VLOOKUP(Tabla5810[[#This Row],[Cod trabalhador]],'Outros descontos'!B:M,10,FALSE),"")</f>
        <v/>
      </c>
      <c r="AK118" s="46" t="str">
        <f>IFERROR(VLOOKUP(Tabla5810[[#This Row],[Cod trabalhador]],'Outros descontos'!B:M,11,FALSE),"")</f>
        <v/>
      </c>
      <c r="AL118" s="46" t="str">
        <f>IFERROR(VLOOKUP(Tabla5810[[#This Row],[Cod trabalhador]],'Outros descontos'!B:M,12,FALSE),"")</f>
        <v/>
      </c>
      <c r="AM118" s="46" t="str">
        <f>IFERROR(VLOOKUP(Tabla5810[[#This Row],[Cod trabalhador]],'Outros descontos'!B:M,13,FALSE),"")</f>
        <v/>
      </c>
      <c r="AN118" s="393"/>
      <c r="AO118" s="37">
        <v>4.08</v>
      </c>
      <c r="AP118" s="15"/>
      <c r="AQ118"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3636.1220000000003</v>
      </c>
      <c r="AR118"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3636.1220000000003</v>
      </c>
      <c r="AS118" s="15"/>
      <c r="AT118" s="27" t="str">
        <f>IF(Tabla5810[[#This Row],[Cod trabalhador]]="", "", INDEX(Iban!C:C, MATCH(Tabla5810[[#This Row],[Cod trabalhador]],Iban!A:A, 0)))</f>
        <v>PT50 0033 0000 4579 1848 1740 5</v>
      </c>
      <c r="AU118" s="27"/>
      <c r="AV118" s="27"/>
      <c r="AW118" s="66" t="s">
        <v>7533</v>
      </c>
      <c r="AX118" s="296" t="s">
        <v>7472</v>
      </c>
    </row>
    <row r="119" spans="1:50" ht="18.75" customHeight="1" x14ac:dyDescent="0.3">
      <c r="A119" s="42">
        <v>114</v>
      </c>
      <c r="B119" s="39" t="s">
        <v>6639</v>
      </c>
      <c r="C119" s="45" t="str">
        <f>IF(ISNUMBER(MATCH(Tabla5810[[#This Row],[Cod trabalhador]],'Altas Luminous'!B:B, 0)), "Ativo", "Não ativo")</f>
        <v>Não ativo</v>
      </c>
      <c r="D119" s="44" t="str">
        <f>IFERROR(IF(VLOOKUP(Tabla5810[[#This Row],[Cod trabalhador]],'Altas Industrial'!B:E,1,0)&lt;&gt;"","KI",""),"")</f>
        <v/>
      </c>
      <c r="E119" s="44" t="str">
        <f>IFERROR(IF(VLOOKUP(Tabla5810[[#This Row],[Cod trabalhador]],'Altas Rosas'!B:F,1,0)&lt;&gt;"","KR",""),"")</f>
        <v/>
      </c>
      <c r="F119" s="44" t="str">
        <f>IFERROR(IF(VLOOKUP(Tabla5810[[#This Row],[Cod trabalhador]],'Altas Wiseowe'!B:E,1,0)&lt;&gt;"","WS",""),"")</f>
        <v/>
      </c>
      <c r="G119" s="44" t="str">
        <f>IFERROR(IF(VLOOKUP(Tabla5810[[#This Row],[Cod trabalhador]],'Altas Luminous'!B:E,1,0)&lt;&gt;"","LM",""),"")</f>
        <v/>
      </c>
      <c r="H119" s="51" t="str">
        <f>IFERROR(VLOOKUP(Tabla5810[[#This Row],[Cod trabalhador]],'Altas Luminous'!B:E,3,FALSE),"")</f>
        <v/>
      </c>
      <c r="I119" s="51" t="str">
        <f>IF(OR(Tabla5810[[#This Row],[Cod trabalhador]]="",ISBLANK(Tabla5810[[#This Row],[Cod trabalhador]])),"",IFERROR(IF(VLOOKUP(Tabla5810[[#This Row],[Cod trabalhador]],'Altas Luminous'!B:E,4,FALSE)=0,"",VLOOKUP(Tabla5810[[#This Row],[Cod trabalhador]],'Altas Luminous'!B:E,4,FALSE)),""))</f>
        <v/>
      </c>
      <c r="J119" s="44">
        <f t="shared" si="3"/>
        <v>0</v>
      </c>
      <c r="K119" s="44" t="s">
        <v>7094</v>
      </c>
      <c r="L119" s="24" t="str">
        <f>IFERROR(IF(Tabla5810[[#This Row],[Cod trabalhador]]="",Tabla5810[[#This Row],[Cod trabalhador]], INDEX(Colaborador_ID[Nombre], MATCH(Tabla5810[[#This Row],[Cod trabalhador]],Colaborador_ID[Cod_colab], 0))), "")</f>
        <v>WILLIAM NOE MANRIQUE MOREYRA</v>
      </c>
      <c r="M119" s="340"/>
      <c r="N119" s="23" t="s">
        <v>7093</v>
      </c>
      <c r="O119" s="401">
        <f>IFERROR(VLOOKUP(Tabla5810[[#This Row],[Cod trabalhador]],Tabla15[],4,FALSE),"")</f>
        <v>15</v>
      </c>
      <c r="P119" s="232">
        <f>IFERROR(VLOOKUP(Tabla5810[[#This Row],[Cod trabalhador]],'TotalHorasAjustadas (2)'!D:L,8,FALSE),"")</f>
        <v>130</v>
      </c>
      <c r="Q119" s="27">
        <v>130</v>
      </c>
      <c r="R119" s="28" t="s">
        <v>7471</v>
      </c>
      <c r="S119" s="28" t="s">
        <v>7486</v>
      </c>
      <c r="U119" s="381"/>
      <c r="V119" s="231"/>
      <c r="X119" s="28"/>
      <c r="Y119" s="28"/>
      <c r="Z119" s="149"/>
      <c r="AA119" s="392" t="str">
        <f>IFERROR(VLOOKUP(Tabla5810[[#This Row],[Cod trabalhador]],Alojamentos!B:P,11,FALSE),"")</f>
        <v/>
      </c>
      <c r="AB119" s="127"/>
      <c r="AC119" s="150"/>
      <c r="AD119" s="35">
        <f>Tabla5810[[#This Row],[Dias de alta]]*7.058</f>
        <v>0</v>
      </c>
      <c r="AE119" s="46" t="str">
        <f>IFERROR(VLOOKUP(Tabla5810[[#This Row],[Cod trabalhador]],Adiantamentos!B:L,7,FALSE),"")</f>
        <v/>
      </c>
      <c r="AF119" s="46" t="str">
        <f>IFERROR(VLOOKUP(Tabla5810[[#This Row],[Cod trabalhador]],Carro!B:D,3,FALSE),"")</f>
        <v/>
      </c>
      <c r="AG119" s="46" t="str">
        <f>IFERROR(VLOOKUP(Tabla5810[[#This Row],[Cod trabalhador]],'Outros descontos'!B:O,7,FALSE),"")</f>
        <v/>
      </c>
      <c r="AH119" s="46" t="str">
        <f>IFERROR(VLOOKUP(Tabla5810[[#This Row],[Cod trabalhador]],'Outros descontos'!B:M,8,FALSE),"")</f>
        <v/>
      </c>
      <c r="AI119" s="46" t="str">
        <f>IFERROR(VLOOKUP(Tabla5810[[#This Row],[Cod trabalhador]],'Outros descontos'!B:M,9,FALSE),"")</f>
        <v/>
      </c>
      <c r="AJ119" s="46" t="str">
        <f>IFERROR(VLOOKUP(Tabla5810[[#This Row],[Cod trabalhador]],'Outros descontos'!B:M,10,FALSE),"")</f>
        <v/>
      </c>
      <c r="AK119" s="46" t="str">
        <f>IFERROR(VLOOKUP(Tabla5810[[#This Row],[Cod trabalhador]],'Outros descontos'!B:M,11,FALSE),"")</f>
        <v/>
      </c>
      <c r="AL119" s="46" t="str">
        <f>IFERROR(VLOOKUP(Tabla5810[[#This Row],[Cod trabalhador]],'Outros descontos'!B:M,12,FALSE),"")</f>
        <v/>
      </c>
      <c r="AM119" s="46" t="str">
        <f>IFERROR(VLOOKUP(Tabla5810[[#This Row],[Cod trabalhador]],'Outros descontos'!B:M,13,FALSE),"")</f>
        <v/>
      </c>
      <c r="AN119" s="393"/>
      <c r="AO119" s="37">
        <v>4.08</v>
      </c>
      <c r="AP119" s="15"/>
      <c r="AQ119"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1945.92</v>
      </c>
      <c r="AR119"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1945.92</v>
      </c>
      <c r="AS119" s="15"/>
      <c r="AT119" s="27" t="str">
        <f>IF(Tabla5810[[#This Row],[Cod trabalhador]]="", "", INDEX(Iban!C:C, MATCH(Tabla5810[[#This Row],[Cod trabalhador]],Iban!A:A, 0)))</f>
        <v>ES47 6893 0001 7200 0027 5846</v>
      </c>
      <c r="AU119" s="27"/>
      <c r="AV119" s="27"/>
      <c r="AW119" s="66" t="s">
        <v>7533</v>
      </c>
      <c r="AX119" s="296" t="s">
        <v>7472</v>
      </c>
    </row>
    <row r="120" spans="1:50" ht="18.75" customHeight="1" x14ac:dyDescent="0.3">
      <c r="A120" s="42">
        <v>115</v>
      </c>
      <c r="B120" s="39" t="s">
        <v>6754</v>
      </c>
      <c r="C120" s="45" t="str">
        <f>IF(ISNUMBER(MATCH(Tabla5810[[#This Row],[Cod trabalhador]],'Altas Luminous'!B:B, 0)), "Ativo", "Não ativo")</f>
        <v>Não ativo</v>
      </c>
      <c r="D120" s="44" t="str">
        <f>IFERROR(IF(VLOOKUP(Tabla5810[[#This Row],[Cod trabalhador]],'Altas Industrial'!B:E,1,0)&lt;&gt;"","KI",""),"")</f>
        <v/>
      </c>
      <c r="E120" s="44" t="str">
        <f>IFERROR(IF(VLOOKUP(Tabla5810[[#This Row],[Cod trabalhador]],'Altas Rosas'!B:F,1,0)&lt;&gt;"","KR",""),"")</f>
        <v/>
      </c>
      <c r="F120" s="44" t="str">
        <f>IFERROR(IF(VLOOKUP(Tabla5810[[#This Row],[Cod trabalhador]],'Altas Wiseowe'!B:E,1,0)&lt;&gt;"","WS",""),"")</f>
        <v/>
      </c>
      <c r="G120" s="44" t="str">
        <f>IFERROR(IF(VLOOKUP(Tabla5810[[#This Row],[Cod trabalhador]],'Altas Luminous'!B:E,1,0)&lt;&gt;"","LM",""),"")</f>
        <v/>
      </c>
      <c r="H120" s="51" t="str">
        <f>IFERROR(VLOOKUP(Tabla5810[[#This Row],[Cod trabalhador]],'Altas Luminous'!B:E,3,FALSE),"")</f>
        <v/>
      </c>
      <c r="I120" s="51" t="str">
        <f>IF(OR(Tabla5810[[#This Row],[Cod trabalhador]]="",ISBLANK(Tabla5810[[#This Row],[Cod trabalhador]])),"",IFERROR(IF(VLOOKUP(Tabla5810[[#This Row],[Cod trabalhador]],'Altas Luminous'!B:E,4,FALSE)=0,"",VLOOKUP(Tabla5810[[#This Row],[Cod trabalhador]],'Altas Luminous'!B:E,4,FALSE)),""))</f>
        <v/>
      </c>
      <c r="J120" s="44">
        <f t="shared" si="3"/>
        <v>0</v>
      </c>
      <c r="K120" s="44" t="s">
        <v>7126</v>
      </c>
      <c r="L120" s="24" t="str">
        <f>IFERROR(IF(Tabla5810[[#This Row],[Cod trabalhador]]="",Tabla5810[[#This Row],[Cod trabalhador]], INDEX(Colaborador_ID[Nombre], MATCH(Tabla5810[[#This Row],[Cod trabalhador]],Colaborador_ID[Cod_colab], 0))), "")</f>
        <v>WILSON CHUQUIVIGUEL BRICEÑO</v>
      </c>
      <c r="M120" s="340"/>
      <c r="N120" s="23" t="s">
        <v>7109</v>
      </c>
      <c r="O120" s="401">
        <f>IFERROR(VLOOKUP(Tabla5810[[#This Row],[Cod trabalhador]],Tabla15[],4,FALSE),"")</f>
        <v>15</v>
      </c>
      <c r="P120" s="232">
        <f>IFERROR(VLOOKUP(Tabla5810[[#This Row],[Cod trabalhador]],'TotalHorasAjustadas (2)'!D:L,8,FALSE),"")</f>
        <v>190</v>
      </c>
      <c r="Q120" s="27">
        <v>190</v>
      </c>
      <c r="R120" s="28" t="s">
        <v>7471</v>
      </c>
      <c r="S120" s="28" t="s">
        <v>7486</v>
      </c>
      <c r="U120" s="381"/>
      <c r="V120" s="231"/>
      <c r="X120" s="28"/>
      <c r="Y120" s="28"/>
      <c r="Z120" s="149"/>
      <c r="AA120" s="392" t="str">
        <f>IFERROR(VLOOKUP(Tabla5810[[#This Row],[Cod trabalhador]],Alojamentos!B:P,11,FALSE),"")</f>
        <v/>
      </c>
      <c r="AB120" s="127"/>
      <c r="AC120" s="150"/>
      <c r="AD120" s="35">
        <f>Tabla5810[[#This Row],[Dias de alta]]*7.058</f>
        <v>0</v>
      </c>
      <c r="AE120" s="46" t="str">
        <f>IFERROR(VLOOKUP(Tabla5810[[#This Row],[Cod trabalhador]],Adiantamentos!B:L,7,FALSE),"")</f>
        <v/>
      </c>
      <c r="AF120" s="46" t="str">
        <f>IFERROR(VLOOKUP(Tabla5810[[#This Row],[Cod trabalhador]],Carro!B:D,3,FALSE),"")</f>
        <v/>
      </c>
      <c r="AG120" s="46" t="str">
        <f>IFERROR(VLOOKUP(Tabla5810[[#This Row],[Cod trabalhador]],'Outros descontos'!B:O,7,FALSE),"")</f>
        <v/>
      </c>
      <c r="AH120" s="46" t="str">
        <f>IFERROR(VLOOKUP(Tabla5810[[#This Row],[Cod trabalhador]],'Outros descontos'!B:M,8,FALSE),"")</f>
        <v/>
      </c>
      <c r="AI120" s="46" t="str">
        <f>IFERROR(VLOOKUP(Tabla5810[[#This Row],[Cod trabalhador]],'Outros descontos'!B:M,9,FALSE),"")</f>
        <v/>
      </c>
      <c r="AJ120" s="46" t="str">
        <f>IFERROR(VLOOKUP(Tabla5810[[#This Row],[Cod trabalhador]],'Outros descontos'!B:M,10,FALSE),"")</f>
        <v/>
      </c>
      <c r="AK120" s="46" t="str">
        <f>IFERROR(VLOOKUP(Tabla5810[[#This Row],[Cod trabalhador]],'Outros descontos'!B:M,11,FALSE),"")</f>
        <v/>
      </c>
      <c r="AL120" s="46" t="str">
        <f>IFERROR(VLOOKUP(Tabla5810[[#This Row],[Cod trabalhador]],'Outros descontos'!B:M,12,FALSE),"")</f>
        <v/>
      </c>
      <c r="AM120" s="46" t="str">
        <f>IFERROR(VLOOKUP(Tabla5810[[#This Row],[Cod trabalhador]],'Outros descontos'!B:M,13,FALSE),"")</f>
        <v/>
      </c>
      <c r="AN120" s="393"/>
      <c r="AO120" s="37">
        <v>4.08</v>
      </c>
      <c r="AP120" s="15"/>
      <c r="AQ120"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2845.92</v>
      </c>
      <c r="AR120"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2845.92</v>
      </c>
      <c r="AS120" s="15"/>
      <c r="AT120" s="27" t="str">
        <f>IF(Tabla5810[[#This Row],[Cod trabalhador]]="", "", INDEX(Iban!C:C, MATCH(Tabla5810[[#This Row],[Cod trabalhador]],Iban!A:A, 0)))</f>
        <v>ES37 0182 3275 5202 0165 3165</v>
      </c>
      <c r="AU120" s="27"/>
      <c r="AV120" s="27"/>
      <c r="AW120" s="66" t="s">
        <v>7533</v>
      </c>
      <c r="AX120" s="296" t="s">
        <v>7472</v>
      </c>
    </row>
    <row r="121" spans="1:50" ht="18.75" customHeight="1" x14ac:dyDescent="0.3">
      <c r="A121" s="42">
        <v>116</v>
      </c>
      <c r="B121" s="39" t="s">
        <v>6875</v>
      </c>
      <c r="C121" s="45" t="str">
        <f>IF(ISNUMBER(MATCH(Tabla5810[[#This Row],[Cod trabalhador]],'Altas Luminous'!B:B, 0)), "Ativo", "Não ativo")</f>
        <v>Não ativo</v>
      </c>
      <c r="D121" s="44" t="str">
        <f>IFERROR(IF(VLOOKUP(Tabla5810[[#This Row],[Cod trabalhador]],'Altas Industrial'!B:E,1,0)&lt;&gt;"","KI",""),"")</f>
        <v/>
      </c>
      <c r="E121" s="44" t="str">
        <f>IFERROR(IF(VLOOKUP(Tabla5810[[#This Row],[Cod trabalhador]],'Altas Rosas'!B:F,1,0)&lt;&gt;"","KR",""),"")</f>
        <v/>
      </c>
      <c r="F121" s="44" t="str">
        <f>IFERROR(IF(VLOOKUP(Tabla5810[[#This Row],[Cod trabalhador]],'Altas Wiseowe'!B:E,1,0)&lt;&gt;"","WS",""),"")</f>
        <v/>
      </c>
      <c r="G121" s="44" t="str">
        <f>IFERROR(IF(VLOOKUP(Tabla5810[[#This Row],[Cod trabalhador]],'Altas Luminous'!B:E,1,0)&lt;&gt;"","LM",""),"")</f>
        <v/>
      </c>
      <c r="H121" s="51" t="str">
        <f>IFERROR(VLOOKUP(Tabla5810[[#This Row],[Cod trabalhador]],'Altas Luminous'!B:E,3,FALSE),"")</f>
        <v/>
      </c>
      <c r="I121" s="51" t="str">
        <f>IF(OR(Tabla5810[[#This Row],[Cod trabalhador]]="",ISBLANK(Tabla5810[[#This Row],[Cod trabalhador]])),"",IFERROR(IF(VLOOKUP(Tabla5810[[#This Row],[Cod trabalhador]],'Altas Luminous'!B:E,4,FALSE)=0,"",VLOOKUP(Tabla5810[[#This Row],[Cod trabalhador]],'Altas Luminous'!B:E,4,FALSE)),""))</f>
        <v/>
      </c>
      <c r="J121" s="44">
        <f t="shared" si="3"/>
        <v>0</v>
      </c>
      <c r="K121" s="44" t="s">
        <v>6876</v>
      </c>
      <c r="L121" s="24" t="str">
        <f>IFERROR(IF(Tabla5810[[#This Row],[Cod trabalhador]]="",Tabla5810[[#This Row],[Cod trabalhador]], INDEX(Colaborador_ID[Nombre], MATCH(Tabla5810[[#This Row],[Cod trabalhador]],Colaborador_ID[Cod_colab], 0))), "")</f>
        <v>YIMI ALEXANDER TRIANA FRANCO</v>
      </c>
      <c r="M121" s="340"/>
      <c r="N121" s="23" t="s">
        <v>7172</v>
      </c>
      <c r="O121" s="401">
        <f>IFERROR(VLOOKUP(Tabla5810[[#This Row],[Cod trabalhador]],Tabla15[],4,FALSE),"")</f>
        <v>15</v>
      </c>
      <c r="P121" s="232">
        <f>IFERROR(VLOOKUP(Tabla5810[[#This Row],[Cod trabalhador]],'TotalHorasAjustadas (2)'!D:L,8,FALSE),"")</f>
        <v>160</v>
      </c>
      <c r="Q121" s="27">
        <v>160</v>
      </c>
      <c r="R121" s="28" t="s">
        <v>7471</v>
      </c>
      <c r="S121" s="28" t="s">
        <v>7486</v>
      </c>
      <c r="U121" s="381"/>
      <c r="V121" s="231"/>
      <c r="X121" s="28"/>
      <c r="Y121" s="28"/>
      <c r="Z121" s="149"/>
      <c r="AA121" s="392" t="str">
        <f>IFERROR(VLOOKUP(Tabla5810[[#This Row],[Cod trabalhador]],Alojamentos!B:P,11,FALSE),"")</f>
        <v/>
      </c>
      <c r="AB121" s="127"/>
      <c r="AC121" s="150"/>
      <c r="AD121" s="35">
        <f>Tabla5810[[#This Row],[Dias de alta]]*7.058</f>
        <v>0</v>
      </c>
      <c r="AE121" s="46" t="str">
        <f>IFERROR(VLOOKUP(Tabla5810[[#This Row],[Cod trabalhador]],Adiantamentos!B:L,7,FALSE),"")</f>
        <v/>
      </c>
      <c r="AF121" s="46" t="str">
        <f>IFERROR(VLOOKUP(Tabla5810[[#This Row],[Cod trabalhador]],Carro!B:D,3,FALSE),"")</f>
        <v/>
      </c>
      <c r="AG121" s="46" t="str">
        <f>IFERROR(VLOOKUP(Tabla5810[[#This Row],[Cod trabalhador]],'Outros descontos'!B:O,7,FALSE),"")</f>
        <v/>
      </c>
      <c r="AH121" s="46" t="str">
        <f>IFERROR(VLOOKUP(Tabla5810[[#This Row],[Cod trabalhador]],'Outros descontos'!B:M,8,FALSE),"")</f>
        <v/>
      </c>
      <c r="AI121" s="46" t="str">
        <f>IFERROR(VLOOKUP(Tabla5810[[#This Row],[Cod trabalhador]],'Outros descontos'!B:M,9,FALSE),"")</f>
        <v/>
      </c>
      <c r="AJ121" s="46" t="str">
        <f>IFERROR(VLOOKUP(Tabla5810[[#This Row],[Cod trabalhador]],'Outros descontos'!B:M,10,FALSE),"")</f>
        <v/>
      </c>
      <c r="AK121" s="46" t="str">
        <f>IFERROR(VLOOKUP(Tabla5810[[#This Row],[Cod trabalhador]],'Outros descontos'!B:M,11,FALSE),"")</f>
        <v/>
      </c>
      <c r="AL121" s="46" t="str">
        <f>IFERROR(VLOOKUP(Tabla5810[[#This Row],[Cod trabalhador]],'Outros descontos'!B:M,12,FALSE),"")</f>
        <v/>
      </c>
      <c r="AM121" s="46" t="str">
        <f>IFERROR(VLOOKUP(Tabla5810[[#This Row],[Cod trabalhador]],'Outros descontos'!B:M,13,FALSE),"")</f>
        <v/>
      </c>
      <c r="AN121" s="393"/>
      <c r="AO121" s="37">
        <v>4.08</v>
      </c>
      <c r="AP121" s="15"/>
      <c r="AQ121"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2395.92</v>
      </c>
      <c r="AR121" s="412">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2395.92</v>
      </c>
      <c r="AS121" s="15"/>
      <c r="AT121" s="27" t="str">
        <f>IF(Tabla5810[[#This Row],[Cod trabalhador]]="", "", INDEX(Iban!C:C, MATCH(Tabla5810[[#This Row],[Cod trabalhador]],Iban!A:A, 0)))</f>
        <v>BE10 9057 8657 2704</v>
      </c>
      <c r="AU121" s="27"/>
      <c r="AV121" s="27"/>
      <c r="AW121" s="66" t="s">
        <v>7533</v>
      </c>
      <c r="AX121" s="296" t="s">
        <v>7472</v>
      </c>
    </row>
    <row r="122" spans="1:50" ht="18.75" customHeight="1" x14ac:dyDescent="0.3">
      <c r="A122" s="42">
        <v>117</v>
      </c>
      <c r="B122" s="39" t="s">
        <v>6897</v>
      </c>
      <c r="C122" s="45" t="str">
        <f>IF(ISNUMBER(MATCH(Tabla5810[[#This Row],[Cod trabalhador]],'Altas Luminous'!B:B, 0)), "Ativo", "Não ativo")</f>
        <v>Não ativo</v>
      </c>
      <c r="D122" s="44" t="str">
        <f>IFERROR(IF(VLOOKUP(Tabla5810[[#This Row],[Cod trabalhador]],'Altas Industrial'!B:E,1,0)&lt;&gt;"","KI",""),"")</f>
        <v/>
      </c>
      <c r="E122" s="44" t="str">
        <f>IFERROR(IF(VLOOKUP(Tabla5810[[#This Row],[Cod trabalhador]],'Altas Rosas'!B:F,1,0)&lt;&gt;"","KR",""),"")</f>
        <v/>
      </c>
      <c r="F122" s="44" t="str">
        <f>IFERROR(IF(VLOOKUP(Tabla5810[[#This Row],[Cod trabalhador]],'Altas Wiseowe'!B:E,1,0)&lt;&gt;"","WS",""),"")</f>
        <v/>
      </c>
      <c r="G122" s="44" t="str">
        <f>IFERROR(IF(VLOOKUP(Tabla5810[[#This Row],[Cod trabalhador]],'Altas Luminous'!B:E,1,0)&lt;&gt;"","LM",""),"")</f>
        <v/>
      </c>
      <c r="H122" s="51" t="str">
        <f>IFERROR(VLOOKUP(Tabla5810[[#This Row],[Cod trabalhador]],'Altas Luminous'!B:E,3,FALSE),"")</f>
        <v/>
      </c>
      <c r="I122" s="51" t="str">
        <f>IF(OR(Tabla5810[[#This Row],[Cod trabalhador]]="",ISBLANK(Tabla5810[[#This Row],[Cod trabalhador]])),"",IFERROR(IF(VLOOKUP(Tabla5810[[#This Row],[Cod trabalhador]],'Altas Luminous'!B:E,4,FALSE)=0,"",VLOOKUP(Tabla5810[[#This Row],[Cod trabalhador]],'Altas Luminous'!B:E,4,FALSE)),""))</f>
        <v/>
      </c>
      <c r="J122" s="44">
        <f t="shared" si="3"/>
        <v>0</v>
      </c>
      <c r="K122" s="44" t="s">
        <v>7090</v>
      </c>
      <c r="L122" s="24" t="str">
        <f>IFERROR(IF(Tabla5810[[#This Row],[Cod trabalhador]]="",Tabla5810[[#This Row],[Cod trabalhador]], INDEX(Colaborador_ID[Nombre], MATCH(Tabla5810[[#This Row],[Cod trabalhador]],Colaborador_ID[Cod_colab], 0))), "")</f>
        <v>YODARLI GONZALEZ BRAVO</v>
      </c>
      <c r="M122" s="340"/>
      <c r="N122" s="23" t="s">
        <v>7088</v>
      </c>
      <c r="O122" s="401">
        <f>IFERROR(VLOOKUP(Tabla5810[[#This Row],[Cod trabalhador]],Tabla15[],4,FALSE),"")</f>
        <v>15</v>
      </c>
      <c r="P122" s="232">
        <f>IFERROR(VLOOKUP(Tabla5810[[#This Row],[Cod trabalhador]],'TotalHorasAjustadas (2)'!D:L,8,FALSE),"")</f>
        <v>50</v>
      </c>
      <c r="Q122" s="27">
        <v>50</v>
      </c>
      <c r="R122" s="28" t="s">
        <v>7471</v>
      </c>
      <c r="S122" s="28" t="s">
        <v>7486</v>
      </c>
      <c r="U122" s="381"/>
      <c r="V122" s="231"/>
      <c r="X122" s="28"/>
      <c r="Y122" s="28"/>
      <c r="Z122" s="149"/>
      <c r="AA122" s="392" t="str">
        <f>IFERROR(VLOOKUP(Tabla5810[[#This Row],[Cod trabalhador]],Alojamentos!B:P,11,FALSE),"")</f>
        <v/>
      </c>
      <c r="AB122" s="127"/>
      <c r="AC122" s="150"/>
      <c r="AD122" s="35">
        <f>Tabla5810[[#This Row],[Dias de alta]]*7.058</f>
        <v>0</v>
      </c>
      <c r="AE122" s="46" t="str">
        <f>IFERROR(VLOOKUP(Tabla5810[[#This Row],[Cod trabalhador]],Adiantamentos!B:L,7,FALSE),"")</f>
        <v/>
      </c>
      <c r="AF122" s="46" t="str">
        <f>IFERROR(VLOOKUP(Tabla5810[[#This Row],[Cod trabalhador]],Carro!B:D,3,FALSE),"")</f>
        <v/>
      </c>
      <c r="AG122" s="46" t="str">
        <f>IFERROR(VLOOKUP(Tabla5810[[#This Row],[Cod trabalhador]],'Outros descontos'!B:O,7,FALSE),"")</f>
        <v/>
      </c>
      <c r="AH122" s="46" t="str">
        <f>IFERROR(VLOOKUP(Tabla5810[[#This Row],[Cod trabalhador]],'Outros descontos'!B:M,8,FALSE),"")</f>
        <v/>
      </c>
      <c r="AI122" s="46" t="str">
        <f>IFERROR(VLOOKUP(Tabla5810[[#This Row],[Cod trabalhador]],'Outros descontos'!B:M,9,FALSE),"")</f>
        <v/>
      </c>
      <c r="AJ122" s="46" t="str">
        <f>IFERROR(VLOOKUP(Tabla5810[[#This Row],[Cod trabalhador]],'Outros descontos'!B:M,10,FALSE),"")</f>
        <v/>
      </c>
      <c r="AK122" s="46" t="str">
        <f>IFERROR(VLOOKUP(Tabla5810[[#This Row],[Cod trabalhador]],'Outros descontos'!B:M,11,FALSE),"")</f>
        <v/>
      </c>
      <c r="AL122" s="46" t="str">
        <f>IFERROR(VLOOKUP(Tabla5810[[#This Row],[Cod trabalhador]],'Outros descontos'!B:M,12,FALSE),"")</f>
        <v/>
      </c>
      <c r="AM122" s="46" t="str">
        <f>IFERROR(VLOOKUP(Tabla5810[[#This Row],[Cod trabalhador]],'Outros descontos'!B:M,13,FALSE),"")</f>
        <v/>
      </c>
      <c r="AN122" s="393"/>
      <c r="AO122" s="37">
        <v>4.08</v>
      </c>
      <c r="AP122" s="15"/>
      <c r="AQ122"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745.92</v>
      </c>
      <c r="AR122"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745.92</v>
      </c>
      <c r="AS122" s="15"/>
      <c r="AT122" s="27" t="str">
        <f>IF(Tabla5810[[#This Row],[Cod trabalhador]]="", "", INDEX(Iban!C:C, MATCH(Tabla5810[[#This Row],[Cod trabalhador]],Iban!A:A, 0)))</f>
        <v>ES55 0182 0079 0002 0156 0855</v>
      </c>
      <c r="AU122" s="27"/>
      <c r="AV122" s="27"/>
      <c r="AW122" s="66" t="s">
        <v>7533</v>
      </c>
      <c r="AX122" s="296" t="s">
        <v>7472</v>
      </c>
    </row>
    <row r="123" spans="1:50" ht="18.75" customHeight="1" x14ac:dyDescent="0.3">
      <c r="A123" s="42">
        <v>118</v>
      </c>
      <c r="B123" s="39" t="s">
        <v>6951</v>
      </c>
      <c r="C123" s="45" t="str">
        <f>IF(ISNUMBER(MATCH(Tabla5810[[#This Row],[Cod trabalhador]],'Altas Luminous'!B:B, 0)), "Ativo", "Não ativo")</f>
        <v>Ativo</v>
      </c>
      <c r="D123" s="44" t="str">
        <f>IFERROR(IF(VLOOKUP(Tabla5810[[#This Row],[Cod trabalhador]],'Altas Industrial'!B:E,1,0)&lt;&gt;"","KI",""),"")</f>
        <v/>
      </c>
      <c r="E123" s="44" t="str">
        <f>IFERROR(IF(VLOOKUP(Tabla5810[[#This Row],[Cod trabalhador]],'Altas Rosas'!B:F,1,0)&lt;&gt;"","KR",""),"")</f>
        <v/>
      </c>
      <c r="F123" s="44" t="str">
        <f>IFERROR(IF(VLOOKUP(Tabla5810[[#This Row],[Cod trabalhador]],'Altas Wiseowe'!B:E,1,0)&lt;&gt;"","WS",""),"")</f>
        <v/>
      </c>
      <c r="G123" s="44" t="str">
        <f>IFERROR(IF(VLOOKUP(Tabla5810[[#This Row],[Cod trabalhador]],'Altas Luminous'!B:E,1,0)&lt;&gt;"","LM",""),"")</f>
        <v>LM</v>
      </c>
      <c r="H123" s="51">
        <f>IFERROR(VLOOKUP(Tabla5810[[#This Row],[Cod trabalhador]],'Altas Luminous'!B:E,3,FALSE),"")</f>
        <v>45987</v>
      </c>
      <c r="I123" s="51" t="str">
        <f>IF(OR(Tabla5810[[#This Row],[Cod trabalhador]]="",ISBLANK(Tabla5810[[#This Row],[Cod trabalhador]])),"",IFERROR(IF(VLOOKUP(Tabla5810[[#This Row],[Cod trabalhador]],'Altas Luminous'!B:E,4,FALSE)=0,"",VLOOKUP(Tabla5810[[#This Row],[Cod trabalhador]],'Altas Luminous'!B:E,4,FALSE)),""))</f>
        <v/>
      </c>
      <c r="J123" s="44">
        <f t="shared" si="3"/>
        <v>31</v>
      </c>
      <c r="K123" s="44" t="s">
        <v>6952</v>
      </c>
      <c r="L123" s="24" t="str">
        <f>IFERROR(IF(Tabla5810[[#This Row],[Cod trabalhador]]="",Tabla5810[[#This Row],[Cod trabalhador]], INDEX(Colaborador_ID[Nombre], MATCH(Tabla5810[[#This Row],[Cod trabalhador]],Colaborador_ID[Cod_colab], 0))), "")</f>
        <v>YULDOR MAURICIO BOLAÑOS</v>
      </c>
      <c r="M123" s="340"/>
      <c r="N123" s="23" t="s">
        <v>7073</v>
      </c>
      <c r="O123" s="401">
        <f>IFERROR(VLOOKUP(Tabla5810[[#This Row],[Cod trabalhador]],Tabla15[],4,FALSE),"")</f>
        <v>15</v>
      </c>
      <c r="P123" s="232">
        <f>IFERROR(VLOOKUP(Tabla5810[[#This Row],[Cod trabalhador]],'TotalHorasAjustadas (2)'!D:L,8,FALSE),"")</f>
        <v>157</v>
      </c>
      <c r="Q123" s="27">
        <v>157</v>
      </c>
      <c r="R123" s="28" t="s">
        <v>7532</v>
      </c>
      <c r="S123" s="28" t="s">
        <v>7486</v>
      </c>
      <c r="U123" s="381"/>
      <c r="V123" s="231"/>
      <c r="X123" s="28"/>
      <c r="Y123" s="28"/>
      <c r="Z123" s="149"/>
      <c r="AA123" s="392" t="str">
        <f>IFERROR(VLOOKUP(Tabla5810[[#This Row],[Cod trabalhador]],Alojamentos!B:P,11,FALSE),"")</f>
        <v/>
      </c>
      <c r="AB123" s="127"/>
      <c r="AC123" s="150"/>
      <c r="AD123" s="35">
        <f>Tabla5810[[#This Row],[Dias de alta]]*7.058</f>
        <v>218.798</v>
      </c>
      <c r="AE123" s="46" t="str">
        <f>IFERROR(VLOOKUP(Tabla5810[[#This Row],[Cod trabalhador]],Adiantamentos!B:L,7,FALSE),"")</f>
        <v/>
      </c>
      <c r="AF123" s="46">
        <f>IFERROR(VLOOKUP(Tabla5810[[#This Row],[Cod trabalhador]],Carro!B:D,3,FALSE),"")</f>
        <v>106.66666666666667</v>
      </c>
      <c r="AG123" s="46" t="str">
        <f>IFERROR(VLOOKUP(Tabla5810[[#This Row],[Cod trabalhador]],'Outros descontos'!B:O,7,FALSE),"")</f>
        <v/>
      </c>
      <c r="AH123" s="46" t="str">
        <f>IFERROR(VLOOKUP(Tabla5810[[#This Row],[Cod trabalhador]],'Outros descontos'!B:M,8,FALSE),"")</f>
        <v/>
      </c>
      <c r="AI123" s="46" t="str">
        <f>IFERROR(VLOOKUP(Tabla5810[[#This Row],[Cod trabalhador]],'Outros descontos'!B:M,9,FALSE),"")</f>
        <v/>
      </c>
      <c r="AJ123" s="46" t="str">
        <f>IFERROR(VLOOKUP(Tabla5810[[#This Row],[Cod trabalhador]],'Outros descontos'!B:M,10,FALSE),"")</f>
        <v/>
      </c>
      <c r="AK123" s="46" t="str">
        <f>IFERROR(VLOOKUP(Tabla5810[[#This Row],[Cod trabalhador]],'Outros descontos'!B:M,11,FALSE),"")</f>
        <v/>
      </c>
      <c r="AL123" s="46" t="str">
        <f>IFERROR(VLOOKUP(Tabla5810[[#This Row],[Cod trabalhador]],'Outros descontos'!B:M,12,FALSE),"")</f>
        <v/>
      </c>
      <c r="AM123" s="46" t="str">
        <f>IFERROR(VLOOKUP(Tabla5810[[#This Row],[Cod trabalhador]],'Outros descontos'!B:M,13,FALSE),"")</f>
        <v/>
      </c>
      <c r="AN123" s="393"/>
      <c r="AO123" s="37">
        <v>4.08</v>
      </c>
      <c r="AP123" s="15"/>
      <c r="AQ123" s="128">
        <f xml:space="preserve"> IFERROR(IF(ISNUMBER(Tabla5810[[#This Row],[Hora por Previsão]])*ISNUMBER(Tabla5810[[#This Row],[Tarifa cliente 1]]), Tabla5810[[#This Row],[Hora por Previsão]]*Tabla5810[[#This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f>
        <v>2025.4553333333336</v>
      </c>
      <c r="AR123" s="411">
        <f xml:space="preserve"> IFERROR(IF(ISNUMBER(Tabla5810[[#This Row],[Horas confirmadas cliente 1]])*ISNUMBER(Tabla5810[[#This Row],[Tarifa cliente 1]]), Tabla5810[[#This Row],[Horas confirmadas cliente 1]]*Tabla5810[[#This Row],[Tarifa cliente 1]], 0), 0)
+ IFERROR(IF(ISNUMBER(Tabla5810[[#This Row],[Horas confirmadas cliente 2]])*ISNUMBER(Tabla5810[[#This Row],[Tarifa cliente 2]]),Tabla5810[[#This Row],[Horas confirmadas cliente 2]]* Tabla5810[[#This Row],[Tarifa cliente 2]], 0), 0)
+ IFERROR(IF(ISNUMBER(Tabla5810[[#This Row],[Auxilio alojamento]]), Tabla5810[[#This Row],[Auxilio alojamento]], 0), 0)+ IFERROR(IF(ISNUMBER(Tabla5810[[#This Row],[Outros acréscimos]]), Tabla5810[[#This Row],[Outros acréscimos]], 0), 0) - IFERROR(IF(ISNUMBER(Tabla5810[[#This Row],[Imposto ss]]), Tabla5810[[#This Row],[Imposto ss]], 0), 0) - IFERROR(IF(ISNUMBER(Tabla5810[[#This Row],[Adiantamento]]), Tabla5810[[#This Row],[Adiantamento]], 0), 0) - IFERROR(IF(ISNUMBER(Tabla5810[[#This Row],[Desconto Carro]]), Tabla5810[[#This Row],[Desconto Carro]], 0), 0) - IFERROR(IF(ISNUMBER(Tabla5810[[#This Row],[MULTA TRANSITO]]), Tabla5810[[#This Row],[MULTA TRANSITO]], 0), 0) - IFERROR(IF(ISNUMBER(Tabla5810[[#This Row],[COMBUSTIBLE]]), Tabla5810[[#This Row],[COMBUSTIBLE]], 0), 0) - IFERROR(IF(ISNUMBER(Tabla5810[[#This Row],[PEAJES]]), Tabla5810[[#This Row],[PEAJES]], 0), 0) - IFERROR(IF(ISNUMBER(Tabla5810[[#This Row],[SUMINISTROS]]), Tabla5810[[#This Row],[SUMINISTROS]], 0), 0) - IFERROR(IF(ISNUMBER(Tabla5810[[#This Row],[MULTA ALOJAMIENTO]]), Tabla5810[[#This Row],[MULTA ALOJAMIENTO]], 0), 0) - IFERROR(IF(ISNUMBER(Tabla5810[[#This Row],[LIMPIEZA O DAÑOS]]), Tabla5810[[#This Row],[LIMPIEZA O DAÑOS]], 0), 0) - IFERROR(IF(ISNUMBER(Tabla5810[[#This Row],[EPIS]]), Tabla5810[[#This Row],[EPIS]], 0), 0) - IFERROR(IF(ISNUMBER(Tabla5810[[#This Row],[Taxa bancária]]), Tabla5810[[#This Row],[Taxa bancária]], 0), 0)- IFERROR(IF(ISNUMBER(Tabla5810[[#This Row],[OUTROS]]), Tabla5810[[#This Row],[OUTROS]], 0), 0)</f>
        <v>2025.4553333333336</v>
      </c>
      <c r="AS123" s="15"/>
      <c r="AT123" s="27" t="str">
        <f>IF(Tabla5810[[#This Row],[Cod trabalhador]]="", "", INDEX(Iban!C:C, MATCH(Tabla5810[[#This Row],[Cod trabalhador]],Iban!A:A, 0)))</f>
        <v>BE95 9053 1577 8958</v>
      </c>
      <c r="AU123" s="27"/>
      <c r="AV123" s="27"/>
      <c r="AW123" s="66" t="s">
        <v>7533</v>
      </c>
      <c r="AX123" s="296" t="s">
        <v>7472</v>
      </c>
    </row>
    <row r="124" spans="1:50" ht="18.75" customHeight="1" x14ac:dyDescent="0.3">
      <c r="A124" s="42">
        <v>119</v>
      </c>
    </row>
    <row r="125" spans="1:50" ht="18.75" customHeight="1" x14ac:dyDescent="0.3">
      <c r="A125" s="42">
        <v>120</v>
      </c>
    </row>
    <row r="126" spans="1:50" ht="18.75" customHeight="1" x14ac:dyDescent="0.3">
      <c r="A126" s="42">
        <v>121</v>
      </c>
    </row>
    <row r="127" spans="1:50" ht="18.75" customHeight="1" x14ac:dyDescent="0.3">
      <c r="A127" s="42">
        <v>122</v>
      </c>
    </row>
    <row r="128" spans="1:50" ht="18.75" customHeight="1" x14ac:dyDescent="0.3">
      <c r="A128" s="42">
        <v>123</v>
      </c>
    </row>
    <row r="129" spans="1:1" ht="18.75" customHeight="1" x14ac:dyDescent="0.3">
      <c r="A129" s="42">
        <v>124</v>
      </c>
    </row>
    <row r="130" spans="1:1" ht="18.75" customHeight="1" x14ac:dyDescent="0.3">
      <c r="A130" s="42">
        <v>125</v>
      </c>
    </row>
    <row r="131" spans="1:1" ht="18.75" customHeight="1" x14ac:dyDescent="0.3">
      <c r="A131" s="42">
        <v>126</v>
      </c>
    </row>
    <row r="132" spans="1:1" ht="18.75" customHeight="1" x14ac:dyDescent="0.3">
      <c r="A132" s="42">
        <v>127</v>
      </c>
    </row>
    <row r="133" spans="1:1" ht="18.75" customHeight="1" x14ac:dyDescent="0.3">
      <c r="A133" s="42">
        <v>128</v>
      </c>
    </row>
    <row r="134" spans="1:1" ht="18.75" customHeight="1" x14ac:dyDescent="0.3">
      <c r="A134" s="42">
        <v>129</v>
      </c>
    </row>
    <row r="135" spans="1:1" ht="18.75" customHeight="1" x14ac:dyDescent="0.3">
      <c r="A135" s="42">
        <v>130</v>
      </c>
    </row>
    <row r="136" spans="1:1" ht="18.75" customHeight="1" x14ac:dyDescent="0.3">
      <c r="A136" s="42">
        <v>131</v>
      </c>
    </row>
    <row r="137" spans="1:1" ht="18.75" customHeight="1" x14ac:dyDescent="0.3">
      <c r="A137" s="42">
        <v>132</v>
      </c>
    </row>
    <row r="138" spans="1:1" ht="18.75" customHeight="1" x14ac:dyDescent="0.3">
      <c r="A138" s="42">
        <v>133</v>
      </c>
    </row>
    <row r="139" spans="1:1" ht="18.75" customHeight="1" x14ac:dyDescent="0.3">
      <c r="A139" s="42">
        <v>134</v>
      </c>
    </row>
    <row r="140" spans="1:1" ht="18.75" customHeight="1" x14ac:dyDescent="0.3">
      <c r="A140" s="42">
        <v>135</v>
      </c>
    </row>
    <row r="141" spans="1:1" ht="18.75" customHeight="1" x14ac:dyDescent="0.3">
      <c r="A141" s="42">
        <v>136</v>
      </c>
    </row>
    <row r="142" spans="1:1" ht="18.75" customHeight="1" x14ac:dyDescent="0.3">
      <c r="A142" s="42">
        <v>137</v>
      </c>
    </row>
    <row r="143" spans="1:1" ht="18.75" customHeight="1" x14ac:dyDescent="0.3">
      <c r="A143" s="42">
        <v>138</v>
      </c>
    </row>
    <row r="144" spans="1:1" ht="18.75" customHeight="1" x14ac:dyDescent="0.3">
      <c r="A144" s="42">
        <v>139</v>
      </c>
    </row>
    <row r="145" spans="1:1" ht="18.75" customHeight="1" x14ac:dyDescent="0.3">
      <c r="A145" s="42">
        <v>140</v>
      </c>
    </row>
    <row r="146" spans="1:1" ht="18.75" customHeight="1" x14ac:dyDescent="0.3">
      <c r="A146" s="42">
        <v>141</v>
      </c>
    </row>
    <row r="147" spans="1:1" ht="18.75" customHeight="1" x14ac:dyDescent="0.3">
      <c r="A147" s="42">
        <v>142</v>
      </c>
    </row>
    <row r="148" spans="1:1" ht="18.75" customHeight="1" x14ac:dyDescent="0.3">
      <c r="A148" s="42">
        <v>143</v>
      </c>
    </row>
    <row r="149" spans="1:1" ht="18.75" customHeight="1" x14ac:dyDescent="0.3">
      <c r="A149" s="42">
        <v>144</v>
      </c>
    </row>
    <row r="150" spans="1:1" ht="18.75" customHeight="1" x14ac:dyDescent="0.3">
      <c r="A150" s="42">
        <v>145</v>
      </c>
    </row>
    <row r="151" spans="1:1" ht="18.75" customHeight="1" x14ac:dyDescent="0.3">
      <c r="A151" s="42">
        <v>146</v>
      </c>
    </row>
    <row r="152" spans="1:1" ht="18.75" customHeight="1" x14ac:dyDescent="0.3">
      <c r="A152" s="42">
        <v>147</v>
      </c>
    </row>
    <row r="153" spans="1:1" ht="18.75" customHeight="1" x14ac:dyDescent="0.3">
      <c r="A153" s="42">
        <v>148</v>
      </c>
    </row>
    <row r="154" spans="1:1" ht="18.75" customHeight="1" x14ac:dyDescent="0.3">
      <c r="A154" s="42">
        <v>149</v>
      </c>
    </row>
    <row r="155" spans="1:1" ht="18.75" customHeight="1" x14ac:dyDescent="0.3">
      <c r="A155" s="42">
        <v>150</v>
      </c>
    </row>
    <row r="156" spans="1:1" ht="18.75" customHeight="1" x14ac:dyDescent="0.3">
      <c r="A156" s="42">
        <v>151</v>
      </c>
    </row>
    <row r="157" spans="1:1" ht="18.75" customHeight="1" x14ac:dyDescent="0.3">
      <c r="A157" s="42">
        <v>152</v>
      </c>
    </row>
    <row r="158" spans="1:1" ht="18.75" customHeight="1" x14ac:dyDescent="0.3">
      <c r="A158" s="42">
        <v>153</v>
      </c>
    </row>
    <row r="159" spans="1:1" ht="18.75" customHeight="1" x14ac:dyDescent="0.3">
      <c r="A159" s="42">
        <v>154</v>
      </c>
    </row>
    <row r="160" spans="1:1" ht="18.75" customHeight="1" x14ac:dyDescent="0.3">
      <c r="A160" s="42">
        <v>155</v>
      </c>
    </row>
    <row r="161" spans="1:1" ht="18.75" customHeight="1" x14ac:dyDescent="0.3">
      <c r="A161" s="42">
        <v>156</v>
      </c>
    </row>
    <row r="162" spans="1:1" ht="18.75" customHeight="1" x14ac:dyDescent="0.3">
      <c r="A162" s="42">
        <v>157</v>
      </c>
    </row>
    <row r="163" spans="1:1" ht="18.75" customHeight="1" x14ac:dyDescent="0.3">
      <c r="A163" s="42">
        <v>158</v>
      </c>
    </row>
    <row r="164" spans="1:1" ht="18.75" customHeight="1" x14ac:dyDescent="0.3">
      <c r="A164" s="42">
        <v>159</v>
      </c>
    </row>
    <row r="165" spans="1:1" ht="18.75" customHeight="1" x14ac:dyDescent="0.3">
      <c r="A165" s="42">
        <v>160</v>
      </c>
    </row>
    <row r="166" spans="1:1" ht="18.75" customHeight="1" x14ac:dyDescent="0.3">
      <c r="A166" s="42">
        <v>161</v>
      </c>
    </row>
    <row r="167" spans="1:1" ht="18.75" customHeight="1" x14ac:dyDescent="0.3">
      <c r="A167" s="42">
        <v>162</v>
      </c>
    </row>
    <row r="168" spans="1:1" ht="18.75" customHeight="1" x14ac:dyDescent="0.3">
      <c r="A168" s="42">
        <v>163</v>
      </c>
    </row>
    <row r="169" spans="1:1" ht="18.75" customHeight="1" x14ac:dyDescent="0.3">
      <c r="A169" s="42">
        <v>164</v>
      </c>
    </row>
    <row r="170" spans="1:1" ht="18.75" customHeight="1" x14ac:dyDescent="0.3">
      <c r="A170" s="42">
        <v>165</v>
      </c>
    </row>
    <row r="171" spans="1:1" ht="18.75" customHeight="1" x14ac:dyDescent="0.3">
      <c r="A171" s="42">
        <v>166</v>
      </c>
    </row>
    <row r="172" spans="1:1" ht="18.75" customHeight="1" x14ac:dyDescent="0.3">
      <c r="A172" s="42">
        <v>167</v>
      </c>
    </row>
    <row r="173" spans="1:1" ht="18.75" customHeight="1" x14ac:dyDescent="0.3">
      <c r="A173" s="42">
        <v>168</v>
      </c>
    </row>
    <row r="174" spans="1:1" ht="18.75" customHeight="1" x14ac:dyDescent="0.3">
      <c r="A174" s="42">
        <v>169</v>
      </c>
    </row>
    <row r="175" spans="1:1" ht="18.75" customHeight="1" x14ac:dyDescent="0.3">
      <c r="A175" s="42">
        <v>170</v>
      </c>
    </row>
    <row r="176" spans="1:1" ht="18.75" customHeight="1" x14ac:dyDescent="0.3">
      <c r="A176" s="42">
        <v>171</v>
      </c>
    </row>
    <row r="177" spans="1:1" ht="18.75" customHeight="1" x14ac:dyDescent="0.3">
      <c r="A177" s="42">
        <v>172</v>
      </c>
    </row>
    <row r="178" spans="1:1" ht="18.75" customHeight="1" x14ac:dyDescent="0.3">
      <c r="A178" s="42">
        <v>173</v>
      </c>
    </row>
    <row r="179" spans="1:1" ht="18.75" customHeight="1" x14ac:dyDescent="0.3">
      <c r="A179" s="42">
        <v>174</v>
      </c>
    </row>
    <row r="180" spans="1:1" ht="18.75" customHeight="1" x14ac:dyDescent="0.3">
      <c r="A180" s="42">
        <v>175</v>
      </c>
    </row>
    <row r="181" spans="1:1" ht="18.75" customHeight="1" x14ac:dyDescent="0.3">
      <c r="A181" s="42">
        <v>176</v>
      </c>
    </row>
    <row r="182" spans="1:1" ht="18.75" customHeight="1" x14ac:dyDescent="0.3">
      <c r="A182" s="42">
        <v>177</v>
      </c>
    </row>
    <row r="183" spans="1:1" ht="18.75" customHeight="1" x14ac:dyDescent="0.3">
      <c r="A183" s="42">
        <v>178</v>
      </c>
    </row>
    <row r="184" spans="1:1" ht="18.75" customHeight="1" x14ac:dyDescent="0.3">
      <c r="A184" s="42">
        <v>179</v>
      </c>
    </row>
    <row r="185" spans="1:1" ht="18.75" customHeight="1" x14ac:dyDescent="0.3">
      <c r="A185" s="42">
        <v>180</v>
      </c>
    </row>
    <row r="186" spans="1:1" ht="18.75" customHeight="1" x14ac:dyDescent="0.3">
      <c r="A186" s="42">
        <v>181</v>
      </c>
    </row>
    <row r="187" spans="1:1" ht="18.75" customHeight="1" x14ac:dyDescent="0.3">
      <c r="A187" s="42">
        <v>182</v>
      </c>
    </row>
    <row r="188" spans="1:1" ht="18.75" customHeight="1" x14ac:dyDescent="0.3">
      <c r="A188" s="42">
        <v>183</v>
      </c>
    </row>
    <row r="189" spans="1:1" ht="18.75" customHeight="1" x14ac:dyDescent="0.3">
      <c r="A189" s="42">
        <v>184</v>
      </c>
    </row>
    <row r="190" spans="1:1" ht="18.75" customHeight="1" x14ac:dyDescent="0.3">
      <c r="A190" s="42">
        <v>185</v>
      </c>
    </row>
    <row r="191" spans="1:1" ht="18.75" customHeight="1" x14ac:dyDescent="0.3">
      <c r="A191" s="42">
        <v>186</v>
      </c>
    </row>
    <row r="192" spans="1:1" ht="18.75" customHeight="1" x14ac:dyDescent="0.3">
      <c r="A192" s="42">
        <v>187</v>
      </c>
    </row>
    <row r="193" spans="1:1" ht="18.75" customHeight="1" x14ac:dyDescent="0.3">
      <c r="A193" s="42">
        <v>188</v>
      </c>
    </row>
    <row r="194" spans="1:1" ht="18.75" customHeight="1" x14ac:dyDescent="0.3">
      <c r="A194" s="42">
        <v>189</v>
      </c>
    </row>
    <row r="195" spans="1:1" ht="18.75" customHeight="1" x14ac:dyDescent="0.3">
      <c r="A195" s="42">
        <v>190</v>
      </c>
    </row>
    <row r="196" spans="1:1" ht="18.75" customHeight="1" x14ac:dyDescent="0.3">
      <c r="A196" s="42">
        <v>191</v>
      </c>
    </row>
    <row r="197" spans="1:1" ht="18.75" customHeight="1" x14ac:dyDescent="0.3">
      <c r="A197" s="42">
        <v>192</v>
      </c>
    </row>
    <row r="198" spans="1:1" ht="18.75" customHeight="1" x14ac:dyDescent="0.3">
      <c r="A198" s="42">
        <v>193</v>
      </c>
    </row>
    <row r="199" spans="1:1" ht="18.75" customHeight="1" x14ac:dyDescent="0.3">
      <c r="A199" s="42">
        <v>194</v>
      </c>
    </row>
    <row r="200" spans="1:1" ht="18.75" customHeight="1" x14ac:dyDescent="0.3">
      <c r="A200" s="42">
        <v>195</v>
      </c>
    </row>
    <row r="201" spans="1:1" ht="18.75" customHeight="1" x14ac:dyDescent="0.3">
      <c r="A201" s="42">
        <v>196</v>
      </c>
    </row>
    <row r="202" spans="1:1" ht="18.75" customHeight="1" x14ac:dyDescent="0.3">
      <c r="A202" s="42">
        <v>197</v>
      </c>
    </row>
    <row r="203" spans="1:1" ht="18.75" customHeight="1" x14ac:dyDescent="0.3">
      <c r="A203" s="42">
        <v>198</v>
      </c>
    </row>
    <row r="204" spans="1:1" ht="18.75" customHeight="1" x14ac:dyDescent="0.3">
      <c r="A204" s="42">
        <v>199</v>
      </c>
    </row>
    <row r="205" spans="1:1" ht="18.75" customHeight="1" x14ac:dyDescent="0.3">
      <c r="A205" s="42">
        <v>200</v>
      </c>
    </row>
    <row r="206" spans="1:1" ht="18.75" customHeight="1" x14ac:dyDescent="0.3">
      <c r="A206" s="42">
        <v>201</v>
      </c>
    </row>
    <row r="207" spans="1:1" ht="18.75" customHeight="1" x14ac:dyDescent="0.3">
      <c r="A207" s="42">
        <v>202</v>
      </c>
    </row>
    <row r="208" spans="1:1" ht="18.75" customHeight="1" x14ac:dyDescent="0.3">
      <c r="A208" s="42">
        <v>203</v>
      </c>
    </row>
    <row r="209" spans="1:1" ht="18.75" customHeight="1" x14ac:dyDescent="0.3">
      <c r="A209" s="42">
        <v>204</v>
      </c>
    </row>
    <row r="210" spans="1:1" ht="18.75" customHeight="1" x14ac:dyDescent="0.3">
      <c r="A210" s="42">
        <v>205</v>
      </c>
    </row>
    <row r="211" spans="1:1" ht="18.75" customHeight="1" x14ac:dyDescent="0.3">
      <c r="A211" s="42">
        <v>206</v>
      </c>
    </row>
    <row r="212" spans="1:1" ht="18.75" customHeight="1" x14ac:dyDescent="0.3">
      <c r="A212" s="42">
        <v>207</v>
      </c>
    </row>
    <row r="213" spans="1:1" ht="18.75" customHeight="1" x14ac:dyDescent="0.3">
      <c r="A213" s="42">
        <v>208</v>
      </c>
    </row>
    <row r="214" spans="1:1" ht="18.75" customHeight="1" x14ac:dyDescent="0.3">
      <c r="A214" s="42">
        <v>209</v>
      </c>
    </row>
    <row r="215" spans="1:1" ht="18.75" customHeight="1" x14ac:dyDescent="0.3">
      <c r="A215" s="42">
        <v>210</v>
      </c>
    </row>
    <row r="216" spans="1:1" ht="18.75" customHeight="1" x14ac:dyDescent="0.3">
      <c r="A216" s="42">
        <v>211</v>
      </c>
    </row>
    <row r="217" spans="1:1" ht="18.75" customHeight="1" x14ac:dyDescent="0.3">
      <c r="A217" s="42">
        <v>212</v>
      </c>
    </row>
    <row r="218" spans="1:1" ht="18.75" customHeight="1" x14ac:dyDescent="0.3">
      <c r="A218" s="42">
        <v>213</v>
      </c>
    </row>
    <row r="219" spans="1:1" ht="18.75" customHeight="1" x14ac:dyDescent="0.3">
      <c r="A219" s="42">
        <v>214</v>
      </c>
    </row>
    <row r="220" spans="1:1" ht="18.75" customHeight="1" x14ac:dyDescent="0.3">
      <c r="A220" s="42">
        <v>215</v>
      </c>
    </row>
    <row r="221" spans="1:1" ht="18.75" customHeight="1" x14ac:dyDescent="0.3">
      <c r="A221" s="42">
        <v>216</v>
      </c>
    </row>
    <row r="222" spans="1:1" ht="18.75" customHeight="1" x14ac:dyDescent="0.3">
      <c r="A222" s="42">
        <v>217</v>
      </c>
    </row>
    <row r="223" spans="1:1" ht="18.75" customHeight="1" x14ac:dyDescent="0.3">
      <c r="A223" s="42">
        <v>218</v>
      </c>
    </row>
    <row r="224" spans="1:1" ht="18.75" customHeight="1" x14ac:dyDescent="0.3">
      <c r="A224" s="42">
        <v>219</v>
      </c>
    </row>
    <row r="225" spans="1:1" ht="18.75" customHeight="1" x14ac:dyDescent="0.3">
      <c r="A225" s="42">
        <v>220</v>
      </c>
    </row>
    <row r="226" spans="1:1" ht="18.75" customHeight="1" x14ac:dyDescent="0.3">
      <c r="A226" s="42">
        <v>221</v>
      </c>
    </row>
    <row r="227" spans="1:1" ht="18.75" customHeight="1" x14ac:dyDescent="0.3">
      <c r="A227" s="42">
        <v>222</v>
      </c>
    </row>
    <row r="228" spans="1:1" ht="18.75" customHeight="1" x14ac:dyDescent="0.3">
      <c r="A228" s="42">
        <v>223</v>
      </c>
    </row>
    <row r="229" spans="1:1" ht="18.75" customHeight="1" x14ac:dyDescent="0.3">
      <c r="A229" s="42">
        <v>224</v>
      </c>
    </row>
    <row r="230" spans="1:1" ht="18.75" customHeight="1" x14ac:dyDescent="0.3">
      <c r="A230" s="42">
        <v>225</v>
      </c>
    </row>
    <row r="231" spans="1:1" ht="18.75" customHeight="1" x14ac:dyDescent="0.3">
      <c r="A231" s="42">
        <v>226</v>
      </c>
    </row>
    <row r="232" spans="1:1" ht="18.75" customHeight="1" x14ac:dyDescent="0.3">
      <c r="A232" s="42">
        <v>227</v>
      </c>
    </row>
    <row r="233" spans="1:1" ht="18.75" customHeight="1" x14ac:dyDescent="0.3">
      <c r="A233" s="42">
        <v>228</v>
      </c>
    </row>
    <row r="234" spans="1:1" ht="18.75" customHeight="1" x14ac:dyDescent="0.3">
      <c r="A234" s="42">
        <v>229</v>
      </c>
    </row>
    <row r="235" spans="1:1" ht="18.75" customHeight="1" x14ac:dyDescent="0.3">
      <c r="A235" s="42">
        <v>230</v>
      </c>
    </row>
    <row r="236" spans="1:1" ht="18.75" customHeight="1" x14ac:dyDescent="0.3">
      <c r="A236" s="42">
        <v>231</v>
      </c>
    </row>
    <row r="237" spans="1:1" ht="18.75" customHeight="1" x14ac:dyDescent="0.3">
      <c r="A237" s="42">
        <v>232</v>
      </c>
    </row>
    <row r="238" spans="1:1" ht="18.75" customHeight="1" x14ac:dyDescent="0.3">
      <c r="A238" s="42">
        <v>233</v>
      </c>
    </row>
    <row r="239" spans="1:1" ht="18.75" customHeight="1" x14ac:dyDescent="0.3">
      <c r="A239" s="42">
        <v>234</v>
      </c>
    </row>
    <row r="240" spans="1:1" ht="18.75" customHeight="1" x14ac:dyDescent="0.3">
      <c r="A240" s="42">
        <v>235</v>
      </c>
    </row>
    <row r="241" spans="1:1" ht="18.75" customHeight="1" x14ac:dyDescent="0.3">
      <c r="A241" s="42">
        <v>236</v>
      </c>
    </row>
    <row r="242" spans="1:1" ht="18.75" customHeight="1" x14ac:dyDescent="0.3">
      <c r="A242" s="42">
        <v>237</v>
      </c>
    </row>
    <row r="243" spans="1:1" ht="18.75" customHeight="1" x14ac:dyDescent="0.3">
      <c r="A243" s="42">
        <v>238</v>
      </c>
    </row>
    <row r="244" spans="1:1" ht="18.75" customHeight="1" x14ac:dyDescent="0.3">
      <c r="A244" s="42">
        <v>239</v>
      </c>
    </row>
    <row r="245" spans="1:1" ht="18.75" customHeight="1" x14ac:dyDescent="0.3">
      <c r="A245" s="42">
        <v>240</v>
      </c>
    </row>
    <row r="246" spans="1:1" ht="18.75" customHeight="1" x14ac:dyDescent="0.3">
      <c r="A246" s="42">
        <v>241</v>
      </c>
    </row>
    <row r="247" spans="1:1" ht="18.75" customHeight="1" x14ac:dyDescent="0.3">
      <c r="A247" s="42">
        <v>242</v>
      </c>
    </row>
    <row r="248" spans="1:1" ht="18.75" customHeight="1" x14ac:dyDescent="0.3">
      <c r="A248" s="42">
        <v>243</v>
      </c>
    </row>
    <row r="249" spans="1:1" ht="18.75" customHeight="1" x14ac:dyDescent="0.3">
      <c r="A249" s="42">
        <v>244</v>
      </c>
    </row>
    <row r="250" spans="1:1" ht="18.75" customHeight="1" x14ac:dyDescent="0.3">
      <c r="A250" s="42">
        <v>245</v>
      </c>
    </row>
    <row r="251" spans="1:1" ht="18.75" customHeight="1" x14ac:dyDescent="0.3">
      <c r="A251" s="42">
        <v>246</v>
      </c>
    </row>
    <row r="252" spans="1:1" ht="18.75" customHeight="1" x14ac:dyDescent="0.3">
      <c r="A252" s="42">
        <v>247</v>
      </c>
    </row>
    <row r="253" spans="1:1" ht="18.75" customHeight="1" x14ac:dyDescent="0.3">
      <c r="A253" s="42">
        <v>248</v>
      </c>
    </row>
    <row r="254" spans="1:1" ht="18.75" customHeight="1" x14ac:dyDescent="0.3">
      <c r="A254" s="42">
        <v>249</v>
      </c>
    </row>
    <row r="255" spans="1:1" ht="18.75" customHeight="1" x14ac:dyDescent="0.3">
      <c r="A255" s="42">
        <v>250</v>
      </c>
    </row>
    <row r="256" spans="1:1" ht="18.75" customHeight="1" x14ac:dyDescent="0.3">
      <c r="A256" s="42">
        <v>251</v>
      </c>
    </row>
    <row r="257" spans="1:1" ht="18.75" customHeight="1" x14ac:dyDescent="0.3">
      <c r="A257" s="42">
        <v>252</v>
      </c>
    </row>
    <row r="258" spans="1:1" ht="18.75" customHeight="1" x14ac:dyDescent="0.3">
      <c r="A258" s="42">
        <v>253</v>
      </c>
    </row>
    <row r="259" spans="1:1" ht="18.75" customHeight="1" x14ac:dyDescent="0.3">
      <c r="A259" s="42">
        <v>254</v>
      </c>
    </row>
    <row r="260" spans="1:1" ht="18.75" customHeight="1" x14ac:dyDescent="0.3">
      <c r="A260" s="42">
        <v>255</v>
      </c>
    </row>
    <row r="261" spans="1:1" ht="18.75" customHeight="1" x14ac:dyDescent="0.3">
      <c r="A261" s="42">
        <v>256</v>
      </c>
    </row>
    <row r="262" spans="1:1" ht="18.75" customHeight="1" x14ac:dyDescent="0.3">
      <c r="A262" s="42">
        <v>257</v>
      </c>
    </row>
    <row r="263" spans="1:1" ht="18.75" customHeight="1" x14ac:dyDescent="0.3">
      <c r="A263" s="42">
        <v>258</v>
      </c>
    </row>
    <row r="264" spans="1:1" ht="18.75" customHeight="1" x14ac:dyDescent="0.3">
      <c r="A264" s="42">
        <v>259</v>
      </c>
    </row>
    <row r="265" spans="1:1" ht="18.75" customHeight="1" x14ac:dyDescent="0.3">
      <c r="A265" s="42">
        <v>260</v>
      </c>
    </row>
    <row r="266" spans="1:1" ht="18.75" customHeight="1" x14ac:dyDescent="0.3">
      <c r="A266" s="42">
        <v>261</v>
      </c>
    </row>
    <row r="267" spans="1:1" ht="18.75" customHeight="1" x14ac:dyDescent="0.3">
      <c r="A267" s="42">
        <v>262</v>
      </c>
    </row>
    <row r="268" spans="1:1" ht="18.75" customHeight="1" x14ac:dyDescent="0.3">
      <c r="A268" s="42">
        <v>263</v>
      </c>
    </row>
    <row r="269" spans="1:1" ht="18.75" customHeight="1" x14ac:dyDescent="0.3">
      <c r="A269" s="42">
        <v>264</v>
      </c>
    </row>
    <row r="270" spans="1:1" ht="18.75" customHeight="1" x14ac:dyDescent="0.3">
      <c r="A270" s="42">
        <v>265</v>
      </c>
    </row>
    <row r="271" spans="1:1" ht="18.75" customHeight="1" x14ac:dyDescent="0.3">
      <c r="A271" s="42">
        <v>266</v>
      </c>
    </row>
    <row r="272" spans="1:1" ht="18.75" customHeight="1" x14ac:dyDescent="0.3">
      <c r="A272" s="42">
        <v>267</v>
      </c>
    </row>
    <row r="273" spans="1:1" ht="18.75" customHeight="1" x14ac:dyDescent="0.3">
      <c r="A273" s="42">
        <v>268</v>
      </c>
    </row>
    <row r="274" spans="1:1" ht="18.75" customHeight="1" x14ac:dyDescent="0.3">
      <c r="A274" s="42">
        <v>269</v>
      </c>
    </row>
    <row r="275" spans="1:1" ht="18.75" customHeight="1" x14ac:dyDescent="0.3">
      <c r="A275" s="42">
        <v>270</v>
      </c>
    </row>
    <row r="276" spans="1:1" ht="18.75" customHeight="1" x14ac:dyDescent="0.3">
      <c r="A276" s="42">
        <v>271</v>
      </c>
    </row>
    <row r="277" spans="1:1" ht="18.75" customHeight="1" x14ac:dyDescent="0.3">
      <c r="A277" s="42">
        <v>272</v>
      </c>
    </row>
    <row r="278" spans="1:1" ht="18.75" customHeight="1" x14ac:dyDescent="0.3">
      <c r="A278" s="42">
        <v>273</v>
      </c>
    </row>
    <row r="279" spans="1:1" ht="18.75" customHeight="1" x14ac:dyDescent="0.3">
      <c r="A279" s="42">
        <v>274</v>
      </c>
    </row>
    <row r="280" spans="1:1" ht="18.75" customHeight="1" x14ac:dyDescent="0.3">
      <c r="A280" s="42">
        <v>275</v>
      </c>
    </row>
    <row r="281" spans="1:1" ht="18.75" customHeight="1" x14ac:dyDescent="0.3">
      <c r="A281" s="42">
        <v>276</v>
      </c>
    </row>
    <row r="282" spans="1:1" ht="18.75" customHeight="1" x14ac:dyDescent="0.3">
      <c r="A282" s="42">
        <v>277</v>
      </c>
    </row>
    <row r="283" spans="1:1" ht="18.75" customHeight="1" x14ac:dyDescent="0.3">
      <c r="A283" s="42">
        <v>278</v>
      </c>
    </row>
    <row r="284" spans="1:1" ht="18.75" customHeight="1" x14ac:dyDescent="0.3">
      <c r="A284" s="42">
        <v>279</v>
      </c>
    </row>
    <row r="285" spans="1:1" ht="18.75" customHeight="1" x14ac:dyDescent="0.3">
      <c r="A285" s="42">
        <v>280</v>
      </c>
    </row>
    <row r="286" spans="1:1" ht="18.75" customHeight="1" x14ac:dyDescent="0.3">
      <c r="A286" s="42">
        <v>281</v>
      </c>
    </row>
    <row r="287" spans="1:1" ht="18.75" customHeight="1" x14ac:dyDescent="0.3">
      <c r="A287" s="42">
        <v>282</v>
      </c>
    </row>
    <row r="288" spans="1:1" ht="18.75" customHeight="1" x14ac:dyDescent="0.3">
      <c r="A288" s="42">
        <v>283</v>
      </c>
    </row>
    <row r="289" spans="1:1" ht="18.75" customHeight="1" x14ac:dyDescent="0.3">
      <c r="A289" s="42">
        <v>284</v>
      </c>
    </row>
    <row r="290" spans="1:1" ht="18.75" customHeight="1" x14ac:dyDescent="0.3">
      <c r="A290" s="42">
        <v>285</v>
      </c>
    </row>
    <row r="291" spans="1:1" ht="18.75" customHeight="1" x14ac:dyDescent="0.3">
      <c r="A291" s="42">
        <v>286</v>
      </c>
    </row>
    <row r="292" spans="1:1" ht="18.75" customHeight="1" x14ac:dyDescent="0.3">
      <c r="A292" s="42">
        <v>287</v>
      </c>
    </row>
    <row r="293" spans="1:1" ht="18.75" customHeight="1" x14ac:dyDescent="0.3">
      <c r="A293" s="42">
        <v>288</v>
      </c>
    </row>
    <row r="294" spans="1:1" ht="18.75" customHeight="1" x14ac:dyDescent="0.3">
      <c r="A294" s="42">
        <v>289</v>
      </c>
    </row>
    <row r="295" spans="1:1" ht="18.75" customHeight="1" x14ac:dyDescent="0.3">
      <c r="A295" s="42">
        <v>290</v>
      </c>
    </row>
    <row r="296" spans="1:1" ht="18.75" customHeight="1" x14ac:dyDescent="0.3">
      <c r="A296" s="42">
        <v>291</v>
      </c>
    </row>
    <row r="297" spans="1:1" ht="18.75" customHeight="1" x14ac:dyDescent="0.3">
      <c r="A297" s="42">
        <v>292</v>
      </c>
    </row>
    <row r="298" spans="1:1" ht="18.75" customHeight="1" x14ac:dyDescent="0.3">
      <c r="A298" s="42">
        <v>293</v>
      </c>
    </row>
    <row r="299" spans="1:1" ht="18.75" customHeight="1" x14ac:dyDescent="0.3">
      <c r="A299" s="42">
        <v>294</v>
      </c>
    </row>
    <row r="300" spans="1:1" ht="18.75" customHeight="1" x14ac:dyDescent="0.3">
      <c r="A300" s="42">
        <v>295</v>
      </c>
    </row>
    <row r="301" spans="1:1" ht="18.75" customHeight="1" x14ac:dyDescent="0.3">
      <c r="A301" s="42">
        <v>296</v>
      </c>
    </row>
    <row r="302" spans="1:1" ht="18.75" customHeight="1" x14ac:dyDescent="0.3">
      <c r="A302" s="42">
        <v>297</v>
      </c>
    </row>
    <row r="303" spans="1:1" ht="18.75" customHeight="1" x14ac:dyDescent="0.3">
      <c r="A303" s="42">
        <v>298</v>
      </c>
    </row>
    <row r="304" spans="1:1" ht="18.75" customHeight="1" x14ac:dyDescent="0.3">
      <c r="A304" s="42">
        <v>299</v>
      </c>
    </row>
    <row r="305" spans="1:1" ht="18.75" customHeight="1" x14ac:dyDescent="0.3">
      <c r="A305" s="42">
        <v>300</v>
      </c>
    </row>
    <row r="306" spans="1:1" ht="18.75" customHeight="1" x14ac:dyDescent="0.3">
      <c r="A306" s="42">
        <v>301</v>
      </c>
    </row>
    <row r="307" spans="1:1" ht="18.75" customHeight="1" x14ac:dyDescent="0.3">
      <c r="A307" s="42">
        <v>302</v>
      </c>
    </row>
    <row r="308" spans="1:1" ht="18.75" customHeight="1" x14ac:dyDescent="0.3">
      <c r="A308" s="42">
        <v>303</v>
      </c>
    </row>
    <row r="309" spans="1:1" ht="18.75" customHeight="1" x14ac:dyDescent="0.3">
      <c r="A309" s="42">
        <v>304</v>
      </c>
    </row>
    <row r="310" spans="1:1" ht="18.75" customHeight="1" x14ac:dyDescent="0.3">
      <c r="A310" s="42">
        <v>305</v>
      </c>
    </row>
    <row r="311" spans="1:1" ht="18.75" customHeight="1" x14ac:dyDescent="0.3">
      <c r="A311" s="42">
        <v>306</v>
      </c>
    </row>
    <row r="312" spans="1:1" ht="18.75" customHeight="1" x14ac:dyDescent="0.3">
      <c r="A312" s="42">
        <v>307</v>
      </c>
    </row>
    <row r="313" spans="1:1" ht="18.75" customHeight="1" x14ac:dyDescent="0.3">
      <c r="A313" s="42">
        <v>308</v>
      </c>
    </row>
    <row r="314" spans="1:1" ht="18.75" customHeight="1" x14ac:dyDescent="0.3">
      <c r="A314" s="42">
        <v>309</v>
      </c>
    </row>
    <row r="315" spans="1:1" ht="18.75" customHeight="1" x14ac:dyDescent="0.3">
      <c r="A315" s="42">
        <v>310</v>
      </c>
    </row>
    <row r="316" spans="1:1" ht="18.75" customHeight="1" x14ac:dyDescent="0.3">
      <c r="A316" s="42">
        <v>311</v>
      </c>
    </row>
    <row r="317" spans="1:1" ht="18.75" customHeight="1" x14ac:dyDescent="0.3">
      <c r="A317" s="42">
        <v>312</v>
      </c>
    </row>
    <row r="318" spans="1:1" ht="18.75" customHeight="1" x14ac:dyDescent="0.3">
      <c r="A318" s="42">
        <v>313</v>
      </c>
    </row>
    <row r="319" spans="1:1" ht="18.75" customHeight="1" x14ac:dyDescent="0.3">
      <c r="A319" s="42">
        <v>314</v>
      </c>
    </row>
    <row r="320" spans="1:1" ht="18.75" customHeight="1" x14ac:dyDescent="0.3">
      <c r="A320" s="42">
        <v>315</v>
      </c>
    </row>
    <row r="321" spans="1:1" ht="18.75" customHeight="1" x14ac:dyDescent="0.3">
      <c r="A321" s="42">
        <v>316</v>
      </c>
    </row>
    <row r="322" spans="1:1" ht="18.75" customHeight="1" x14ac:dyDescent="0.3">
      <c r="A322" s="42">
        <v>317</v>
      </c>
    </row>
    <row r="323" spans="1:1" ht="18.75" customHeight="1" x14ac:dyDescent="0.3">
      <c r="A323" s="42">
        <v>318</v>
      </c>
    </row>
    <row r="324" spans="1:1" ht="18.75" customHeight="1" x14ac:dyDescent="0.3">
      <c r="A324" s="42">
        <v>319</v>
      </c>
    </row>
    <row r="325" spans="1:1" ht="18.75" customHeight="1" x14ac:dyDescent="0.3">
      <c r="A325" s="42">
        <v>320</v>
      </c>
    </row>
    <row r="326" spans="1:1" ht="18.75" customHeight="1" x14ac:dyDescent="0.3">
      <c r="A326" s="42">
        <v>321</v>
      </c>
    </row>
    <row r="327" spans="1:1" ht="18.75" customHeight="1" x14ac:dyDescent="0.3">
      <c r="A327" s="42">
        <v>322</v>
      </c>
    </row>
    <row r="328" spans="1:1" ht="18.75" customHeight="1" x14ac:dyDescent="0.3">
      <c r="A328" s="42">
        <v>323</v>
      </c>
    </row>
    <row r="329" spans="1:1" ht="18.75" customHeight="1" x14ac:dyDescent="0.3">
      <c r="A329" s="42">
        <v>324</v>
      </c>
    </row>
    <row r="330" spans="1:1" ht="18.75" customHeight="1" x14ac:dyDescent="0.3">
      <c r="A330" s="42">
        <v>325</v>
      </c>
    </row>
    <row r="331" spans="1:1" ht="18.75" customHeight="1" x14ac:dyDescent="0.3">
      <c r="A331" s="42">
        <v>326</v>
      </c>
    </row>
    <row r="332" spans="1:1" ht="18.75" customHeight="1" x14ac:dyDescent="0.3">
      <c r="A332" s="42">
        <v>327</v>
      </c>
    </row>
    <row r="333" spans="1:1" ht="18.75" customHeight="1" x14ac:dyDescent="0.3">
      <c r="A333" s="42">
        <v>328</v>
      </c>
    </row>
    <row r="334" spans="1:1" ht="18.75" customHeight="1" x14ac:dyDescent="0.3">
      <c r="A334" s="42">
        <v>329</v>
      </c>
    </row>
    <row r="335" spans="1:1" ht="18.75" customHeight="1" x14ac:dyDescent="0.3">
      <c r="A335" s="42">
        <v>330</v>
      </c>
    </row>
    <row r="336" spans="1:1" ht="18.75" customHeight="1" x14ac:dyDescent="0.3">
      <c r="A336" s="42">
        <v>331</v>
      </c>
    </row>
    <row r="337" spans="1:1" ht="18.75" customHeight="1" x14ac:dyDescent="0.3">
      <c r="A337" s="42">
        <v>332</v>
      </c>
    </row>
    <row r="338" spans="1:1" ht="18.75" customHeight="1" x14ac:dyDescent="0.3">
      <c r="A338" s="42">
        <v>333</v>
      </c>
    </row>
    <row r="339" spans="1:1" ht="18.75" customHeight="1" x14ac:dyDescent="0.3">
      <c r="A339" s="42">
        <v>334</v>
      </c>
    </row>
    <row r="340" spans="1:1" ht="18.75" customHeight="1" x14ac:dyDescent="0.3">
      <c r="A340" s="42">
        <v>335</v>
      </c>
    </row>
    <row r="341" spans="1:1" ht="18.75" customHeight="1" x14ac:dyDescent="0.3">
      <c r="A341" s="42">
        <v>336</v>
      </c>
    </row>
    <row r="342" spans="1:1" ht="18.75" customHeight="1" x14ac:dyDescent="0.3">
      <c r="A342" s="42">
        <v>337</v>
      </c>
    </row>
    <row r="343" spans="1:1" ht="18.75" customHeight="1" x14ac:dyDescent="0.3">
      <c r="A343" s="42">
        <v>338</v>
      </c>
    </row>
    <row r="344" spans="1:1" ht="18.75" customHeight="1" x14ac:dyDescent="0.3">
      <c r="A344" s="42">
        <v>339</v>
      </c>
    </row>
    <row r="345" spans="1:1" ht="18.75" customHeight="1" x14ac:dyDescent="0.3">
      <c r="A345" s="42">
        <v>340</v>
      </c>
    </row>
    <row r="346" spans="1:1" ht="18.75" customHeight="1" x14ac:dyDescent="0.3">
      <c r="A346" s="42">
        <v>341</v>
      </c>
    </row>
    <row r="347" spans="1:1" ht="18.75" customHeight="1" x14ac:dyDescent="0.3">
      <c r="A347" s="42">
        <v>342</v>
      </c>
    </row>
    <row r="348" spans="1:1" ht="18.75" customHeight="1" x14ac:dyDescent="0.3">
      <c r="A348" s="42">
        <v>343</v>
      </c>
    </row>
    <row r="349" spans="1:1" ht="18.75" customHeight="1" x14ac:dyDescent="0.3">
      <c r="A349" s="42">
        <v>344</v>
      </c>
    </row>
    <row r="350" spans="1:1" ht="18.75" customHeight="1" x14ac:dyDescent="0.3">
      <c r="A350" s="42">
        <v>345</v>
      </c>
    </row>
    <row r="351" spans="1:1" ht="18.75" customHeight="1" x14ac:dyDescent="0.3">
      <c r="A351" s="42">
        <v>346</v>
      </c>
    </row>
    <row r="352" spans="1:1" ht="18.75" customHeight="1" x14ac:dyDescent="0.3">
      <c r="A352" s="42">
        <v>347</v>
      </c>
    </row>
    <row r="353" spans="1:1" ht="18.75" customHeight="1" x14ac:dyDescent="0.3">
      <c r="A353" s="42">
        <v>348</v>
      </c>
    </row>
    <row r="354" spans="1:1" ht="18.75" customHeight="1" x14ac:dyDescent="0.3">
      <c r="A354" s="42">
        <v>349</v>
      </c>
    </row>
    <row r="355" spans="1:1" ht="18.75" customHeight="1" x14ac:dyDescent="0.3">
      <c r="A355" s="42">
        <v>350</v>
      </c>
    </row>
    <row r="356" spans="1:1" ht="18.75" customHeight="1" x14ac:dyDescent="0.3">
      <c r="A356" s="42">
        <v>351</v>
      </c>
    </row>
    <row r="357" spans="1:1" ht="18.75" customHeight="1" x14ac:dyDescent="0.3">
      <c r="A357" s="42">
        <v>352</v>
      </c>
    </row>
    <row r="358" spans="1:1" ht="18.75" customHeight="1" x14ac:dyDescent="0.3">
      <c r="A358" s="42">
        <v>353</v>
      </c>
    </row>
    <row r="359" spans="1:1" ht="18.75" customHeight="1" x14ac:dyDescent="0.3">
      <c r="A359" s="42">
        <v>354</v>
      </c>
    </row>
    <row r="360" spans="1:1" ht="18.75" customHeight="1" x14ac:dyDescent="0.3">
      <c r="A360" s="42">
        <v>355</v>
      </c>
    </row>
    <row r="361" spans="1:1" ht="18.75" customHeight="1" x14ac:dyDescent="0.3">
      <c r="A361" s="42">
        <v>356</v>
      </c>
    </row>
    <row r="362" spans="1:1" ht="18.75" customHeight="1" x14ac:dyDescent="0.3">
      <c r="A362" s="42">
        <v>357</v>
      </c>
    </row>
    <row r="363" spans="1:1" ht="18.75" customHeight="1" x14ac:dyDescent="0.3">
      <c r="A363" s="42">
        <v>358</v>
      </c>
    </row>
    <row r="364" spans="1:1" ht="18.75" customHeight="1" x14ac:dyDescent="0.3">
      <c r="A364" s="42">
        <v>359</v>
      </c>
    </row>
    <row r="365" spans="1:1" ht="18.75" customHeight="1" x14ac:dyDescent="0.3">
      <c r="A365" s="42">
        <v>360</v>
      </c>
    </row>
    <row r="366" spans="1:1" ht="18.75" customHeight="1" x14ac:dyDescent="0.3">
      <c r="A366" s="42">
        <v>361</v>
      </c>
    </row>
    <row r="367" spans="1:1" ht="18.75" customHeight="1" x14ac:dyDescent="0.3">
      <c r="A367" s="42">
        <v>362</v>
      </c>
    </row>
    <row r="368" spans="1:1" ht="18.75" customHeight="1" x14ac:dyDescent="0.3">
      <c r="A368" s="42">
        <v>363</v>
      </c>
    </row>
    <row r="369" spans="1:1" ht="18.75" customHeight="1" x14ac:dyDescent="0.3">
      <c r="A369" s="42">
        <v>364</v>
      </c>
    </row>
    <row r="370" spans="1:1" ht="18.75" customHeight="1" x14ac:dyDescent="0.3">
      <c r="A370" s="42">
        <v>365</v>
      </c>
    </row>
    <row r="371" spans="1:1" ht="18.75" customHeight="1" x14ac:dyDescent="0.3">
      <c r="A371" s="42">
        <v>366</v>
      </c>
    </row>
    <row r="372" spans="1:1" ht="18.75" customHeight="1" x14ac:dyDescent="0.3">
      <c r="A372" s="42">
        <v>367</v>
      </c>
    </row>
    <row r="373" spans="1:1" ht="18.75" customHeight="1" x14ac:dyDescent="0.3">
      <c r="A373" s="42">
        <v>368</v>
      </c>
    </row>
    <row r="374" spans="1:1" ht="18.75" customHeight="1" x14ac:dyDescent="0.3">
      <c r="A374" s="42">
        <v>369</v>
      </c>
    </row>
    <row r="375" spans="1:1" ht="18.75" customHeight="1" x14ac:dyDescent="0.3">
      <c r="A375" s="42">
        <v>370</v>
      </c>
    </row>
    <row r="376" spans="1:1" ht="18.75" customHeight="1" x14ac:dyDescent="0.3">
      <c r="A376" s="42">
        <v>371</v>
      </c>
    </row>
    <row r="377" spans="1:1" ht="18.75" customHeight="1" x14ac:dyDescent="0.3">
      <c r="A377" s="42">
        <v>372</v>
      </c>
    </row>
    <row r="378" spans="1:1" ht="18.75" customHeight="1" x14ac:dyDescent="0.3">
      <c r="A378" s="42">
        <v>373</v>
      </c>
    </row>
    <row r="379" spans="1:1" ht="18.75" customHeight="1" x14ac:dyDescent="0.3">
      <c r="A379" s="42">
        <v>374</v>
      </c>
    </row>
    <row r="380" spans="1:1" ht="18.75" customHeight="1" x14ac:dyDescent="0.3">
      <c r="A380" s="42">
        <v>375</v>
      </c>
    </row>
    <row r="381" spans="1:1" ht="18.75" customHeight="1" x14ac:dyDescent="0.3">
      <c r="A381" s="42">
        <v>376</v>
      </c>
    </row>
    <row r="382" spans="1:1" ht="18.75" customHeight="1" x14ac:dyDescent="0.3">
      <c r="A382" s="42">
        <v>377</v>
      </c>
    </row>
    <row r="383" spans="1:1" ht="18.75" customHeight="1" x14ac:dyDescent="0.3">
      <c r="A383" s="42">
        <v>378</v>
      </c>
    </row>
    <row r="384" spans="1:1" ht="18.75" customHeight="1" x14ac:dyDescent="0.3">
      <c r="A384" s="42">
        <v>379</v>
      </c>
    </row>
    <row r="385" spans="1:1" ht="18.75" customHeight="1" x14ac:dyDescent="0.3">
      <c r="A385" s="42">
        <v>380</v>
      </c>
    </row>
    <row r="386" spans="1:1" ht="18.75" customHeight="1" x14ac:dyDescent="0.3">
      <c r="A386" s="42">
        <v>381</v>
      </c>
    </row>
    <row r="387" spans="1:1" ht="18.75" customHeight="1" x14ac:dyDescent="0.3">
      <c r="A387" s="42">
        <v>382</v>
      </c>
    </row>
    <row r="388" spans="1:1" ht="18.75" customHeight="1" x14ac:dyDescent="0.3">
      <c r="A388" s="42">
        <v>383</v>
      </c>
    </row>
    <row r="389" spans="1:1" ht="18.75" customHeight="1" x14ac:dyDescent="0.3">
      <c r="A389" s="42">
        <v>384</v>
      </c>
    </row>
    <row r="390" spans="1:1" ht="18.75" customHeight="1" x14ac:dyDescent="0.3">
      <c r="A390" s="42">
        <v>385</v>
      </c>
    </row>
    <row r="391" spans="1:1" ht="18.75" customHeight="1" x14ac:dyDescent="0.3">
      <c r="A391" s="42">
        <v>386</v>
      </c>
    </row>
    <row r="392" spans="1:1" ht="18.75" customHeight="1" x14ac:dyDescent="0.3">
      <c r="A392" s="42">
        <v>387</v>
      </c>
    </row>
    <row r="393" spans="1:1" ht="18.75" customHeight="1" x14ac:dyDescent="0.3">
      <c r="A393" s="42">
        <v>388</v>
      </c>
    </row>
    <row r="394" spans="1:1" ht="18.75" customHeight="1" x14ac:dyDescent="0.3">
      <c r="A394" s="42">
        <v>389</v>
      </c>
    </row>
    <row r="395" spans="1:1" ht="18.75" customHeight="1" x14ac:dyDescent="0.3">
      <c r="A395" s="42">
        <v>390</v>
      </c>
    </row>
    <row r="396" spans="1:1" ht="18.75" customHeight="1" x14ac:dyDescent="0.3">
      <c r="A396" s="42">
        <v>391</v>
      </c>
    </row>
    <row r="397" spans="1:1" ht="18.75" customHeight="1" x14ac:dyDescent="0.3">
      <c r="A397" s="42">
        <v>392</v>
      </c>
    </row>
    <row r="398" spans="1:1" ht="18.75" customHeight="1" x14ac:dyDescent="0.3">
      <c r="A398" s="42">
        <v>393</v>
      </c>
    </row>
    <row r="399" spans="1:1" ht="18.75" customHeight="1" x14ac:dyDescent="0.3">
      <c r="A399" s="42">
        <v>394</v>
      </c>
    </row>
    <row r="400" spans="1:1" ht="18.75" customHeight="1" x14ac:dyDescent="0.3">
      <c r="A400" s="42">
        <v>395</v>
      </c>
    </row>
    <row r="401" spans="1:1" ht="18.75" customHeight="1" x14ac:dyDescent="0.3">
      <c r="A401" s="42">
        <v>396</v>
      </c>
    </row>
    <row r="402" spans="1:1" ht="18.75" customHeight="1" x14ac:dyDescent="0.3">
      <c r="A402" s="42">
        <v>397</v>
      </c>
    </row>
    <row r="403" spans="1:1" ht="18.75" customHeight="1" x14ac:dyDescent="0.3">
      <c r="A403" s="42">
        <v>398</v>
      </c>
    </row>
    <row r="404" spans="1:1" ht="18.75" customHeight="1" x14ac:dyDescent="0.3">
      <c r="A404" s="42">
        <v>399</v>
      </c>
    </row>
    <row r="405" spans="1:1" ht="18.75" customHeight="1" x14ac:dyDescent="0.3">
      <c r="A405" s="42">
        <v>400</v>
      </c>
    </row>
  </sheetData>
  <mergeCells count="1">
    <mergeCell ref="Z2:AD2"/>
  </mergeCells>
  <phoneticPr fontId="11" type="noConversion"/>
  <conditionalFormatting sqref="B1:B1048576">
    <cfRule type="duplicateValues" dxfId="108" priority="13841"/>
  </conditionalFormatting>
  <conditionalFormatting sqref="C1:H1 C2:G1048576">
    <cfRule type="containsText" dxfId="107" priority="234" operator="containsText" text="Não ativo">
      <formula>NOT(ISERROR(SEARCH("Não ativo",C1)))</formula>
    </cfRule>
  </conditionalFormatting>
  <conditionalFormatting sqref="D1:H1 D2:G1048576">
    <cfRule type="containsText" dxfId="106" priority="230" operator="containsText" text="No encontrado">
      <formula>NOT(ISERROR(SEARCH("No encontrado",D1)))</formula>
    </cfRule>
    <cfRule type="containsText" dxfId="105" priority="229" operator="containsText" text="Rosas">
      <formula>NOT(ISERROR(SEARCH("Rosas",D1)))</formula>
    </cfRule>
    <cfRule type="containsText" dxfId="104" priority="228" operator="containsText" text="Industrial">
      <formula>NOT(ISERROR(SEARCH("Industrial",D1)))</formula>
    </cfRule>
  </conditionalFormatting>
  <conditionalFormatting sqref="R5:R123">
    <cfRule type="containsText" dxfId="103" priority="201" operator="containsText" text="Faturado">
      <formula>NOT(ISERROR(SEARCH("Faturado",R5)))</formula>
    </cfRule>
    <cfRule type="containsText" dxfId="102" priority="194" operator="containsText" text="Pendente">
      <formula>NOT(ISERROR(SEARCH("Pendente",R5)))</formula>
    </cfRule>
    <cfRule type="containsText" dxfId="101" priority="204" operator="containsText" text="Faturado">
      <formula>NOT(ISERROR(SEARCH("Faturado",R5)))</formula>
    </cfRule>
    <cfRule type="containsText" dxfId="100" priority="203" operator="containsText" text="Pendente">
      <formula>NOT(ISERROR(SEARCH("Pendente",R5)))</formula>
    </cfRule>
    <cfRule type="containsText" dxfId="99" priority="202" operator="containsText" text="Confirmada">
      <formula>NOT(ISERROR(SEARCH("Confirmada",R5)))</formula>
    </cfRule>
    <cfRule type="containsText" dxfId="98" priority="200" operator="containsText" text="Pendente">
      <formula>NOT(ISERROR(SEARCH("Pendente",R5)))</formula>
    </cfRule>
    <cfRule type="containsText" dxfId="97" priority="199" operator="containsText" text="Confirmada">
      <formula>NOT(ISERROR(SEARCH("Confirmada",R5)))</formula>
    </cfRule>
    <cfRule type="containsText" dxfId="96" priority="198" operator="containsText" text="Faturado">
      <formula>NOT(ISERROR(SEARCH("Faturado",R5)))</formula>
    </cfRule>
    <cfRule type="containsText" dxfId="95" priority="197" operator="containsText" text="Pendente">
      <formula>NOT(ISERROR(SEARCH("Pendente",R5)))</formula>
    </cfRule>
    <cfRule type="containsText" dxfId="94" priority="196" operator="containsText" text="Confirmado">
      <formula>NOT(ISERROR(SEARCH("Confirmado",R5)))</formula>
    </cfRule>
    <cfRule type="containsText" dxfId="93" priority="195" operator="containsText" text="Confirmada">
      <formula>NOT(ISERROR(SEARCH("Confirmada",R5)))</formula>
    </cfRule>
  </conditionalFormatting>
  <conditionalFormatting sqref="X5:Y123">
    <cfRule type="containsText" dxfId="92" priority="171" operator="containsText" text="Faturado">
      <formula>NOT(ISERROR(SEARCH("Faturado",X5)))</formula>
    </cfRule>
    <cfRule type="containsText" dxfId="91" priority="170" operator="containsText" text="Pendente">
      <formula>NOT(ISERROR(SEARCH("Pendente",X5)))</formula>
    </cfRule>
  </conditionalFormatting>
  <conditionalFormatting sqref="AD5:AO5 AO5:AO123 AD6:AN123">
    <cfRule type="cellIs" dxfId="90" priority="113" operator="equal">
      <formula>0</formula>
    </cfRule>
  </conditionalFormatting>
  <conditionalFormatting sqref="AD124:AO1048576">
    <cfRule type="cellIs" dxfId="89" priority="238" operator="equal">
      <formula>0</formula>
    </cfRule>
  </conditionalFormatting>
  <conditionalFormatting sqref="AF3">
    <cfRule type="cellIs" dxfId="88" priority="235" operator="equal">
      <formula>0</formula>
    </cfRule>
  </conditionalFormatting>
  <conditionalFormatting sqref="AX1:AX4 AX124:AX1048576">
    <cfRule type="containsText" dxfId="87" priority="114" operator="containsText" text="Lista Negra">
      <formula>NOT(ISERROR(SEARCH("Lista Negra",AX1)))</formula>
    </cfRule>
  </conditionalFormatting>
  <conditionalFormatting sqref="AX5:AX6 AX8 AX10 AX12:AX13 AX17:AX25 AX28:AX29 AX31:AX32 AX34 AX36:AX37">
    <cfRule type="containsText" dxfId="86" priority="47" operator="containsText" text="Confirmado">
      <formula>NOT(ISERROR(SEARCH("Confirmado",AX5)))</formula>
    </cfRule>
    <cfRule type="containsText" dxfId="85" priority="48" operator="containsText" text="Pendente">
      <formula>NOT(ISERROR(SEARCH("Pendente",AX5)))</formula>
    </cfRule>
    <cfRule type="containsText" dxfId="84" priority="49" operator="containsText" text="Faturado">
      <formula>NOT(ISERROR(SEARCH("Faturado",AX5)))</formula>
    </cfRule>
    <cfRule type="containsText" dxfId="83" priority="50" operator="containsText" text="Pendente">
      <formula>NOT(ISERROR(SEARCH("Pendente",AX5)))</formula>
    </cfRule>
    <cfRule type="containsText" dxfId="82" priority="51" operator="containsText" text="Confirmada">
      <formula>NOT(ISERROR(SEARCH("Confirmada",AX5)))</formula>
    </cfRule>
    <cfRule type="containsText" dxfId="81" priority="53" operator="containsText" text="Pendente">
      <formula>NOT(ISERROR(SEARCH("Pendente",AX5)))</formula>
    </cfRule>
    <cfRule type="containsText" dxfId="80" priority="54" operator="containsText" text="Faturado">
      <formula>NOT(ISERROR(SEARCH("Faturado",AX5)))</formula>
    </cfRule>
  </conditionalFormatting>
  <conditionalFormatting sqref="AX5:AX40">
    <cfRule type="containsText" dxfId="79" priority="52" operator="containsText" text="Confirmado">
      <formula>NOT(ISERROR(SEARCH("Confirmado",AX5)))</formula>
    </cfRule>
    <cfRule type="containsText" dxfId="78" priority="56" operator="containsText" text="Faturado">
      <formula>NOT(ISERROR(SEARCH("Faturado",AX5)))</formula>
    </cfRule>
    <cfRule type="containsText" dxfId="77" priority="55" operator="containsText" text="Pendente">
      <formula>NOT(ISERROR(SEARCH("Pendente",AX5)))</formula>
    </cfRule>
  </conditionalFormatting>
  <conditionalFormatting sqref="AX5:AX123">
    <cfRule type="containsText" dxfId="76" priority="2" operator="containsText" text="Lista Negra">
      <formula>NOT(ISERROR(SEARCH("Lista Negra",AX5)))</formula>
    </cfRule>
    <cfRule type="containsText" dxfId="75" priority="1" operator="containsText" text="Não pagar">
      <formula>NOT(ISERROR(SEARCH("Não pagar",AX5)))</formula>
    </cfRule>
    <cfRule type="containsText" dxfId="74" priority="4" operator="containsText" text="Confirmada">
      <formula>NOT(ISERROR(SEARCH("Confirmada",AX5)))</formula>
    </cfRule>
    <cfRule type="containsText" dxfId="73" priority="3" operator="containsText" text="Pendente">
      <formula>NOT(ISERROR(SEARCH("Pendente",AX5)))</formula>
    </cfRule>
  </conditionalFormatting>
  <conditionalFormatting sqref="AX7">
    <cfRule type="containsText" dxfId="72" priority="112" operator="containsText" text="Faturado">
      <formula>NOT(ISERROR(SEARCH("Faturado",AX7)))</formula>
    </cfRule>
    <cfRule type="containsText" dxfId="71" priority="111" operator="containsText" text="Pendente">
      <formula>NOT(ISERROR(SEARCH("Pendente",AX7)))</formula>
    </cfRule>
    <cfRule type="containsText" dxfId="70" priority="109" operator="containsText" text="Pendente">
      <formula>NOT(ISERROR(SEARCH("Pendente",AX7)))</formula>
    </cfRule>
    <cfRule type="containsText" dxfId="69" priority="108" operator="containsText" text="Confirmado">
      <formula>NOT(ISERROR(SEARCH("Confirmado",AX7)))</formula>
    </cfRule>
    <cfRule type="containsText" dxfId="68" priority="107" operator="containsText" text="Confirmada">
      <formula>NOT(ISERROR(SEARCH("Confirmada",AX7)))</formula>
    </cfRule>
    <cfRule type="containsText" dxfId="67" priority="106" operator="containsText" text="Pendente">
      <formula>NOT(ISERROR(SEARCH("Pendente",AX7)))</formula>
    </cfRule>
    <cfRule type="containsText" dxfId="66" priority="110" operator="containsText" text="Faturado">
      <formula>NOT(ISERROR(SEARCH("Faturado",AX7)))</formula>
    </cfRule>
  </conditionalFormatting>
  <conditionalFormatting sqref="AX9 AX11 AX14:AX16 AX26:AX27 AX30 AX33 AX35 AX41 AX43 AX45 AX48 AX52:AX54 AX56:AX57 AX59:AX61">
    <cfRule type="containsText" dxfId="65" priority="93" operator="containsText" text="Confirmada">
      <formula>NOT(ISERROR(SEARCH("Confirmada",AX9)))</formula>
    </cfRule>
    <cfRule type="containsText" dxfId="64" priority="94" operator="containsText" text="Confirmado">
      <formula>NOT(ISERROR(SEARCH("Confirmado",AX9)))</formula>
    </cfRule>
    <cfRule type="containsText" dxfId="63" priority="95" operator="containsText" text="Pendente">
      <formula>NOT(ISERROR(SEARCH("Pendente",AX9)))</formula>
    </cfRule>
    <cfRule type="containsText" dxfId="62" priority="97" operator="containsText" text="Pendente">
      <formula>NOT(ISERROR(SEARCH("Pendente",AX9)))</formula>
    </cfRule>
    <cfRule type="containsText" dxfId="61" priority="98" operator="containsText" text="Faturado">
      <formula>NOT(ISERROR(SEARCH("Faturado",AX9)))</formula>
    </cfRule>
    <cfRule type="containsText" dxfId="60" priority="96" operator="containsText" text="Faturado">
      <formula>NOT(ISERROR(SEARCH("Faturado",AX9)))</formula>
    </cfRule>
  </conditionalFormatting>
  <conditionalFormatting sqref="AX38:AX40">
    <cfRule type="containsText" dxfId="59" priority="65" operator="containsText" text="Confirmada">
      <formula>NOT(ISERROR(SEARCH("Confirmada",AX38)))</formula>
    </cfRule>
    <cfRule type="containsText" dxfId="58" priority="64" operator="containsText" text="Pendente">
      <formula>NOT(ISERROR(SEARCH("Pendente",AX38)))</formula>
    </cfRule>
    <cfRule type="containsText" dxfId="57" priority="68" operator="containsText" text="Faturado">
      <formula>NOT(ISERROR(SEARCH("Faturado",AX38)))</formula>
    </cfRule>
    <cfRule type="containsText" dxfId="56" priority="67" operator="containsText" text="Pendente">
      <formula>NOT(ISERROR(SEARCH("Pendente",AX38)))</formula>
    </cfRule>
  </conditionalFormatting>
  <conditionalFormatting sqref="AX38:AX41">
    <cfRule type="containsText" dxfId="55" priority="66" operator="containsText" text="Confirmado">
      <formula>NOT(ISERROR(SEARCH("Confirmado",AX38)))</formula>
    </cfRule>
    <cfRule type="containsText" dxfId="54" priority="70" operator="containsText" text="Faturado">
      <formula>NOT(ISERROR(SEARCH("Faturado",AX38)))</formula>
    </cfRule>
    <cfRule type="containsText" dxfId="53" priority="69" operator="containsText" text="Pendente">
      <formula>NOT(ISERROR(SEARCH("Pendente",AX38)))</formula>
    </cfRule>
  </conditionalFormatting>
  <conditionalFormatting sqref="AX41 AX9 AX11 AX14:AX16 AX26:AX27 AX30 AX33 AX35 AX43 AX45 AX48 AX52:AX54 AX56:AX57 AX59:AX61">
    <cfRule type="containsText" dxfId="52" priority="92" operator="containsText" text="Pendente">
      <formula>NOT(ISERROR(SEARCH("Pendente",AX9)))</formula>
    </cfRule>
  </conditionalFormatting>
  <conditionalFormatting sqref="AX42 AX44 AX46:AX47 AX49:AX51 AX55 AX58 AX62:AX63 AX65:AX67 AX70:AX77 AX81 AX83 AX85:AX87">
    <cfRule type="containsText" dxfId="51" priority="40" operator="containsText" text="Faturado">
      <formula>NOT(ISERROR(SEARCH("Faturado",AX42)))</formula>
    </cfRule>
    <cfRule type="containsText" dxfId="50" priority="37" operator="containsText" text="Confirmada">
      <formula>NOT(ISERROR(SEARCH("Confirmada",AX42)))</formula>
    </cfRule>
    <cfRule type="containsText" dxfId="49" priority="36" operator="containsText" text="Pendente">
      <formula>NOT(ISERROR(SEARCH("Pendente",AX42)))</formula>
    </cfRule>
    <cfRule type="containsText" dxfId="48" priority="35" operator="containsText" text="Faturado">
      <formula>NOT(ISERROR(SEARCH("Faturado",AX42)))</formula>
    </cfRule>
    <cfRule type="containsText" dxfId="47" priority="34" operator="containsText" text="Pendente">
      <formula>NOT(ISERROR(SEARCH("Pendente",AX42)))</formula>
    </cfRule>
    <cfRule type="containsText" dxfId="46" priority="33" operator="containsText" text="Confirmado">
      <formula>NOT(ISERROR(SEARCH("Confirmado",AX42)))</formula>
    </cfRule>
    <cfRule type="containsText" dxfId="45" priority="39" operator="containsText" text="Pendente">
      <formula>NOT(ISERROR(SEARCH("Pendente",AX42)))</formula>
    </cfRule>
  </conditionalFormatting>
  <conditionalFormatting sqref="AX42:AX89">
    <cfRule type="containsText" dxfId="44" priority="42" operator="containsText" text="Faturado">
      <formula>NOT(ISERROR(SEARCH("Faturado",AX42)))</formula>
    </cfRule>
    <cfRule type="containsText" dxfId="43" priority="41" operator="containsText" text="Pendente">
      <formula>NOT(ISERROR(SEARCH("Pendente",AX42)))</formula>
    </cfRule>
    <cfRule type="containsText" dxfId="42" priority="38" operator="containsText" text="Confirmado">
      <formula>NOT(ISERROR(SEARCH("Confirmado",AX42)))</formula>
    </cfRule>
  </conditionalFormatting>
  <conditionalFormatting sqref="AX64 AX68:AX69 AX78:AX80 AX82 AX84 AX88:AX89 AX96:AX97 AX99 AX103:AX105 AX107 AX111:AX112 AX115 AX117 AX119:AX120">
    <cfRule type="containsText" dxfId="41" priority="81" operator="containsText" text="Pendente">
      <formula>NOT(ISERROR(SEARCH("Pendente",AX64)))</formula>
    </cfRule>
    <cfRule type="containsText" dxfId="40" priority="82" operator="containsText" text="Faturado">
      <formula>NOT(ISERROR(SEARCH("Faturado",AX64)))</formula>
    </cfRule>
    <cfRule type="containsText" dxfId="39" priority="79" operator="containsText" text="Confirmada">
      <formula>NOT(ISERROR(SEARCH("Confirmada",AX64)))</formula>
    </cfRule>
    <cfRule type="containsText" dxfId="38" priority="83" operator="containsText" text="Pendente">
      <formula>NOT(ISERROR(SEARCH("Pendente",AX64)))</formula>
    </cfRule>
    <cfRule type="containsText" dxfId="37" priority="84" operator="containsText" text="Faturado">
      <formula>NOT(ISERROR(SEARCH("Faturado",AX64)))</formula>
    </cfRule>
    <cfRule type="containsText" dxfId="36" priority="78" operator="containsText" text="Pendente">
      <formula>NOT(ISERROR(SEARCH("Pendente",AX64)))</formula>
    </cfRule>
    <cfRule type="containsText" dxfId="35" priority="80" operator="containsText" text="Confirmado">
      <formula>NOT(ISERROR(SEARCH("Confirmado",AX64)))</formula>
    </cfRule>
  </conditionalFormatting>
  <conditionalFormatting sqref="AX90:AX95 AX98 AX100:AX102 AX106 AX108:AX110 AX113:AX114 AX116 AX118 AX121:AX123">
    <cfRule type="containsText" dxfId="34" priority="12" operator="containsText" text="Faturado">
      <formula>NOT(ISERROR(SEARCH("Faturado",AX90)))</formula>
    </cfRule>
    <cfRule type="containsText" dxfId="33" priority="9" operator="containsText" text="Confirmada">
      <formula>NOT(ISERROR(SEARCH("Confirmada",AX90)))</formula>
    </cfRule>
    <cfRule type="containsText" dxfId="32" priority="8" operator="containsText" text="Pendente">
      <formula>NOT(ISERROR(SEARCH("Pendente",AX90)))</formula>
    </cfRule>
    <cfRule type="containsText" dxfId="31" priority="7" operator="containsText" text="Faturado">
      <formula>NOT(ISERROR(SEARCH("Faturado",AX90)))</formula>
    </cfRule>
    <cfRule type="containsText" dxfId="30" priority="6" operator="containsText" text="Pendente">
      <formula>NOT(ISERROR(SEARCH("Pendente",AX90)))</formula>
    </cfRule>
    <cfRule type="containsText" dxfId="29" priority="5" operator="containsText" text="Confirmado">
      <formula>NOT(ISERROR(SEARCH("Confirmado",AX90)))</formula>
    </cfRule>
    <cfRule type="containsText" dxfId="28" priority="11" operator="containsText" text="Pendente">
      <formula>NOT(ISERROR(SEARCH("Pendente",AX90)))</formula>
    </cfRule>
  </conditionalFormatting>
  <conditionalFormatting sqref="AX90:AX123">
    <cfRule type="containsText" dxfId="27" priority="14" operator="containsText" text="Faturado">
      <formula>NOT(ISERROR(SEARCH("Faturado",AX90)))</formula>
    </cfRule>
    <cfRule type="containsText" dxfId="26" priority="13" operator="containsText" text="Pendente">
      <formula>NOT(ISERROR(SEARCH("Pendente",AX90)))</formula>
    </cfRule>
    <cfRule type="containsText" dxfId="25" priority="10" operator="containsText" text="Confirmado">
      <formula>NOT(ISERROR(SEARCH("Confirmado",AX90)))</formula>
    </cfRule>
  </conditionalFormatting>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84AE0E91-C668-45AD-9206-28D757069553}">
          <x14:formula1>
            <xm:f>Colaboradores!$C:$C</xm:f>
          </x14:formula1>
          <xm:sqref>L5:L123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DAFC9-DC1E-4574-B328-D697C397B440}">
  <dimension ref="A1:V14"/>
  <sheetViews>
    <sheetView workbookViewId="0">
      <selection activeCell="A13" sqref="A3:XFD13"/>
    </sheetView>
  </sheetViews>
  <sheetFormatPr defaultColWidth="11.5546875" defaultRowHeight="14.4" x14ac:dyDescent="0.3"/>
  <cols>
    <col min="1" max="1" width="12.88671875" style="17" customWidth="1"/>
    <col min="2" max="2" width="6.33203125" customWidth="1"/>
    <col min="3" max="3" width="41.6640625" bestFit="1" customWidth="1"/>
    <col min="4" max="4" width="38" style="52" customWidth="1"/>
    <col min="5" max="5" width="16.33203125" customWidth="1"/>
    <col min="6" max="6" width="11.44140625" customWidth="1"/>
    <col min="7" max="7" width="32" customWidth="1"/>
    <col min="8" max="12" width="11.44140625" style="11" customWidth="1"/>
    <col min="13" max="13" width="4.5546875" customWidth="1"/>
    <col min="14" max="14" width="12.88671875" style="52" customWidth="1"/>
    <col min="15" max="15" width="10.5546875" style="52" customWidth="1"/>
    <col min="16" max="16" width="12.88671875" style="52" customWidth="1"/>
    <col min="17" max="17" width="12.88671875" style="18" customWidth="1"/>
    <col min="18" max="18" width="9" style="52" customWidth="1"/>
    <col min="19" max="19" width="5.109375" style="52" customWidth="1"/>
    <col min="20" max="22" width="5.109375" customWidth="1"/>
  </cols>
  <sheetData>
    <row r="1" spans="1:22" ht="90" customHeight="1" x14ac:dyDescent="0.3"/>
    <row r="2" spans="1:22" x14ac:dyDescent="0.3">
      <c r="A2" s="93" t="s">
        <v>7549</v>
      </c>
      <c r="B2" s="94" t="s">
        <v>7550</v>
      </c>
      <c r="C2" s="94" t="s">
        <v>7551</v>
      </c>
      <c r="D2" s="94" t="s">
        <v>7552</v>
      </c>
      <c r="E2" s="94" t="s">
        <v>6984</v>
      </c>
      <c r="F2" s="94" t="s">
        <v>7553</v>
      </c>
      <c r="G2" s="94" t="s">
        <v>7488</v>
      </c>
      <c r="H2" s="95" t="s">
        <v>7554</v>
      </c>
      <c r="I2" s="95" t="s">
        <v>7555</v>
      </c>
      <c r="J2" s="95" t="s">
        <v>7556</v>
      </c>
      <c r="K2" s="95" t="s">
        <v>7557</v>
      </c>
      <c r="L2" s="95" t="s">
        <v>7558</v>
      </c>
      <c r="M2" s="94" t="s">
        <v>7559</v>
      </c>
      <c r="N2" s="94" t="s">
        <v>7560</v>
      </c>
      <c r="O2" s="94" t="s">
        <v>7561</v>
      </c>
      <c r="P2" s="94" t="s">
        <v>7562</v>
      </c>
      <c r="Q2" s="93" t="s">
        <v>7563</v>
      </c>
      <c r="R2" s="94" t="s">
        <v>7564</v>
      </c>
      <c r="S2" s="94" t="s">
        <v>7001</v>
      </c>
      <c r="T2" s="94" t="s">
        <v>6999</v>
      </c>
      <c r="U2" s="94" t="s">
        <v>6998</v>
      </c>
      <c r="V2" s="94" t="s">
        <v>7523</v>
      </c>
    </row>
    <row r="3" spans="1:22" x14ac:dyDescent="0.3">
      <c r="A3" s="17">
        <v>46051</v>
      </c>
      <c r="B3" t="s">
        <v>4241</v>
      </c>
      <c r="C3" s="400" t="s">
        <v>4242</v>
      </c>
      <c r="D3" s="52" t="s">
        <v>7565</v>
      </c>
      <c r="E3" t="s">
        <v>7074</v>
      </c>
      <c r="F3" t="s">
        <v>7566</v>
      </c>
      <c r="G3" t="s">
        <v>7567</v>
      </c>
      <c r="H3" s="11">
        <v>200</v>
      </c>
      <c r="L3" s="11">
        <v>200</v>
      </c>
      <c r="M3" t="e" vm="1">
        <v>#VALUE!</v>
      </c>
      <c r="N3" s="52" t="s">
        <v>7568</v>
      </c>
      <c r="P3" s="52" t="s">
        <v>7569</v>
      </c>
      <c r="Q3" s="18">
        <v>46058</v>
      </c>
      <c r="T3" s="52"/>
      <c r="U3" s="52"/>
      <c r="V3" s="52"/>
    </row>
    <row r="4" spans="1:22" x14ac:dyDescent="0.3">
      <c r="A4" s="17">
        <v>46052</v>
      </c>
      <c r="B4" t="s">
        <v>544</v>
      </c>
      <c r="C4" s="400" t="s">
        <v>545</v>
      </c>
      <c r="D4" s="52" t="s">
        <v>7570</v>
      </c>
      <c r="E4" t="s">
        <v>7074</v>
      </c>
      <c r="F4" t="s">
        <v>7571</v>
      </c>
      <c r="G4" t="s">
        <v>7572</v>
      </c>
      <c r="H4" s="11">
        <v>200</v>
      </c>
      <c r="L4" s="11">
        <v>200</v>
      </c>
      <c r="M4" t="e" vm="1">
        <v>#VALUE!</v>
      </c>
      <c r="N4" s="52" t="s">
        <v>7568</v>
      </c>
      <c r="P4" s="52" t="s">
        <v>7569</v>
      </c>
      <c r="Q4" s="18">
        <v>46058</v>
      </c>
      <c r="T4" s="52"/>
      <c r="U4" s="52"/>
      <c r="V4" s="52"/>
    </row>
    <row r="5" spans="1:22" x14ac:dyDescent="0.3">
      <c r="A5" s="17">
        <v>46055</v>
      </c>
      <c r="B5" t="s">
        <v>6635</v>
      </c>
      <c r="C5" s="400" t="s">
        <v>6636</v>
      </c>
      <c r="D5" s="52" t="s">
        <v>7573</v>
      </c>
      <c r="E5" t="s">
        <v>7074</v>
      </c>
      <c r="F5">
        <v>2025</v>
      </c>
      <c r="G5" t="s">
        <v>7574</v>
      </c>
      <c r="H5" s="11">
        <v>300</v>
      </c>
      <c r="L5" s="11">
        <v>300</v>
      </c>
      <c r="M5" t="e" vm="1">
        <v>#VALUE!</v>
      </c>
      <c r="N5" s="52" t="s">
        <v>7568</v>
      </c>
      <c r="P5" s="52" t="s">
        <v>7569</v>
      </c>
      <c r="Q5" s="18">
        <v>46057</v>
      </c>
      <c r="T5" s="52"/>
      <c r="U5" s="52"/>
      <c r="V5" s="52"/>
    </row>
    <row r="6" spans="1:22" x14ac:dyDescent="0.3">
      <c r="A6" s="17">
        <v>46055</v>
      </c>
      <c r="B6" t="s">
        <v>311</v>
      </c>
      <c r="C6" s="400" t="s">
        <v>312</v>
      </c>
      <c r="D6" s="52" t="s">
        <v>7575</v>
      </c>
      <c r="E6" t="s">
        <v>519</v>
      </c>
      <c r="F6" t="s">
        <v>7576</v>
      </c>
      <c r="G6" t="s">
        <v>7577</v>
      </c>
      <c r="H6" s="11">
        <v>200</v>
      </c>
      <c r="L6" s="11">
        <v>200</v>
      </c>
      <c r="M6" t="e" vm="1">
        <v>#VALUE!</v>
      </c>
      <c r="N6" s="52" t="s">
        <v>7568</v>
      </c>
      <c r="P6" s="52" t="s">
        <v>7569</v>
      </c>
      <c r="Q6" s="18">
        <v>46058</v>
      </c>
      <c r="T6" s="52"/>
      <c r="U6" s="52"/>
      <c r="V6" s="52"/>
    </row>
    <row r="7" spans="1:22" x14ac:dyDescent="0.3">
      <c r="A7" s="17">
        <v>46055</v>
      </c>
      <c r="B7" t="s">
        <v>5632</v>
      </c>
      <c r="C7" s="400" t="s">
        <v>5633</v>
      </c>
      <c r="D7" s="52" t="s">
        <v>7578</v>
      </c>
      <c r="E7" t="s">
        <v>519</v>
      </c>
      <c r="F7" t="s">
        <v>7579</v>
      </c>
      <c r="G7" t="s">
        <v>7580</v>
      </c>
      <c r="H7" s="11">
        <v>200</v>
      </c>
      <c r="L7" s="11">
        <v>200</v>
      </c>
      <c r="M7" t="e" vm="1">
        <v>#VALUE!</v>
      </c>
      <c r="N7" s="52" t="s">
        <v>7568</v>
      </c>
      <c r="P7" s="52" t="s">
        <v>7569</v>
      </c>
      <c r="Q7" s="18">
        <v>46058</v>
      </c>
      <c r="T7" s="52"/>
      <c r="U7" s="52"/>
      <c r="V7" s="52"/>
    </row>
    <row r="8" spans="1:22" x14ac:dyDescent="0.3">
      <c r="A8" s="17">
        <v>46058</v>
      </c>
      <c r="B8" t="s">
        <v>5352</v>
      </c>
      <c r="C8" s="400" t="s">
        <v>5353</v>
      </c>
      <c r="D8" s="52" t="s">
        <v>7581</v>
      </c>
      <c r="E8" t="s">
        <v>7074</v>
      </c>
      <c r="F8" t="s">
        <v>7582</v>
      </c>
      <c r="G8" t="s">
        <v>7583</v>
      </c>
      <c r="H8" s="11">
        <v>200</v>
      </c>
      <c r="L8" s="11">
        <v>200</v>
      </c>
      <c r="M8" t="e" vm="1">
        <v>#VALUE!</v>
      </c>
      <c r="N8" s="52" t="s">
        <v>7568</v>
      </c>
      <c r="P8" s="52" t="s">
        <v>7569</v>
      </c>
      <c r="Q8" s="18">
        <v>46058</v>
      </c>
      <c r="T8" s="52"/>
      <c r="U8" s="52"/>
      <c r="V8" s="52"/>
    </row>
    <row r="9" spans="1:22" x14ac:dyDescent="0.3">
      <c r="A9" s="17">
        <v>46058</v>
      </c>
      <c r="B9" t="s">
        <v>3974</v>
      </c>
      <c r="C9" s="400" t="s">
        <v>3975</v>
      </c>
      <c r="D9" s="52" t="s">
        <v>7584</v>
      </c>
      <c r="E9" t="s">
        <v>519</v>
      </c>
      <c r="F9" t="s">
        <v>7585</v>
      </c>
      <c r="G9" t="s">
        <v>7586</v>
      </c>
      <c r="H9" s="11">
        <v>200</v>
      </c>
      <c r="L9" s="11">
        <v>200</v>
      </c>
      <c r="M9" t="e" vm="1">
        <v>#VALUE!</v>
      </c>
      <c r="N9" s="52" t="s">
        <v>7568</v>
      </c>
      <c r="P9" s="52" t="s">
        <v>7569</v>
      </c>
      <c r="Q9" s="18">
        <v>46058</v>
      </c>
      <c r="T9" s="52"/>
      <c r="U9" s="52"/>
      <c r="V9" s="52"/>
    </row>
    <row r="10" spans="1:22" x14ac:dyDescent="0.3">
      <c r="A10" s="17">
        <v>46058</v>
      </c>
      <c r="B10" t="s">
        <v>6715</v>
      </c>
      <c r="C10" s="400" t="s">
        <v>6716</v>
      </c>
      <c r="D10" s="52" t="s">
        <v>7587</v>
      </c>
      <c r="E10" t="s">
        <v>519</v>
      </c>
      <c r="F10" t="s">
        <v>7588</v>
      </c>
      <c r="G10" t="s">
        <v>7586</v>
      </c>
      <c r="H10" s="11">
        <v>200</v>
      </c>
      <c r="L10" s="11">
        <v>200</v>
      </c>
      <c r="M10" t="e" vm="1">
        <v>#VALUE!</v>
      </c>
      <c r="N10" s="52" t="s">
        <v>7568</v>
      </c>
      <c r="O10" s="52" t="s">
        <v>7589</v>
      </c>
      <c r="P10" s="52" t="s">
        <v>7569</v>
      </c>
      <c r="Q10" s="18">
        <v>46058</v>
      </c>
      <c r="T10" s="52"/>
      <c r="U10" s="52"/>
      <c r="V10" s="52"/>
    </row>
    <row r="11" spans="1:22" x14ac:dyDescent="0.3">
      <c r="A11" s="17">
        <v>46058</v>
      </c>
      <c r="B11" t="s">
        <v>5837</v>
      </c>
      <c r="C11" s="400" t="s">
        <v>5838</v>
      </c>
      <c r="D11" s="52" t="s">
        <v>7590</v>
      </c>
      <c r="E11" t="s">
        <v>519</v>
      </c>
      <c r="F11" t="s">
        <v>7591</v>
      </c>
      <c r="G11" t="s">
        <v>7577</v>
      </c>
      <c r="H11" s="11">
        <v>200</v>
      </c>
      <c r="L11" s="11">
        <v>200</v>
      </c>
      <c r="M11" t="e" vm="1">
        <v>#VALUE!</v>
      </c>
      <c r="N11" s="52" t="s">
        <v>7568</v>
      </c>
      <c r="P11" s="52" t="s">
        <v>7569</v>
      </c>
      <c r="Q11" s="18">
        <v>46065</v>
      </c>
      <c r="T11" s="52"/>
      <c r="U11" s="52"/>
      <c r="V11" s="52"/>
    </row>
    <row r="12" spans="1:22" x14ac:dyDescent="0.3">
      <c r="A12" s="17">
        <v>46062</v>
      </c>
      <c r="B12" t="s">
        <v>1018</v>
      </c>
      <c r="C12" s="400" t="s">
        <v>1019</v>
      </c>
      <c r="D12" s="52" t="s">
        <v>7592</v>
      </c>
      <c r="E12" t="s">
        <v>519</v>
      </c>
      <c r="F12" t="s">
        <v>7593</v>
      </c>
      <c r="G12" t="s">
        <v>7594</v>
      </c>
      <c r="H12" s="11">
        <v>200</v>
      </c>
      <c r="L12" s="11">
        <v>200</v>
      </c>
      <c r="M12" t="e" vm="1">
        <v>#VALUE!</v>
      </c>
      <c r="N12" s="52" t="s">
        <v>7568</v>
      </c>
      <c r="P12" s="52" t="s">
        <v>7569</v>
      </c>
      <c r="T12" s="52"/>
      <c r="U12" s="52"/>
      <c r="V12" s="52"/>
    </row>
    <row r="13" spans="1:22" x14ac:dyDescent="0.3">
      <c r="A13" s="17">
        <v>46062</v>
      </c>
      <c r="B13" t="s">
        <v>6442</v>
      </c>
      <c r="C13" s="400" t="s">
        <v>6443</v>
      </c>
      <c r="D13" s="52" t="s">
        <v>7595</v>
      </c>
      <c r="E13" t="s">
        <v>519</v>
      </c>
      <c r="F13" t="s">
        <v>7596</v>
      </c>
      <c r="G13" t="s">
        <v>7597</v>
      </c>
      <c r="H13" s="11">
        <v>200</v>
      </c>
      <c r="L13" s="11">
        <v>200</v>
      </c>
      <c r="M13" t="e" vm="1">
        <v>#VALUE!</v>
      </c>
      <c r="N13" s="52" t="s">
        <v>7568</v>
      </c>
      <c r="P13" s="52" t="s">
        <v>7569</v>
      </c>
      <c r="T13" s="52"/>
      <c r="U13" s="52"/>
      <c r="V13" s="52"/>
    </row>
    <row r="14" spans="1:22" x14ac:dyDescent="0.3">
      <c r="A14" s="17">
        <v>46069</v>
      </c>
      <c r="B14" t="s">
        <v>4895</v>
      </c>
      <c r="C14" s="400" t="s">
        <v>4896</v>
      </c>
      <c r="D14" s="52" t="s">
        <v>7598</v>
      </c>
      <c r="E14" t="s">
        <v>7074</v>
      </c>
      <c r="F14" t="s">
        <v>7599</v>
      </c>
      <c r="G14" t="s">
        <v>7600</v>
      </c>
      <c r="H14" s="11">
        <v>64</v>
      </c>
      <c r="L14" s="11">
        <v>64</v>
      </c>
      <c r="M14" t="e" vm="1">
        <v>#VALUE!</v>
      </c>
      <c r="N14" s="52" t="s">
        <v>7568</v>
      </c>
      <c r="O14" s="52" t="s">
        <v>7601</v>
      </c>
      <c r="P14" s="52" t="s">
        <v>7569</v>
      </c>
      <c r="Q14" s="18">
        <v>46069</v>
      </c>
      <c r="T14" s="52"/>
      <c r="U14" s="52"/>
      <c r="V14" s="52"/>
    </row>
  </sheetData>
  <phoneticPr fontId="11" type="noConversion"/>
  <conditionalFormatting sqref="B1:C1048576">
    <cfRule type="duplicateValues" dxfId="24" priority="8"/>
  </conditionalFormatting>
  <conditionalFormatting sqref="N3:N14">
    <cfRule type="containsText" dxfId="23" priority="17" operator="containsText" text="Denegado">
      <formula>NOT(ISERROR(SEARCH("Denegado",N3)))</formula>
    </cfRule>
    <cfRule type="containsText" dxfId="22" priority="18" operator="containsText" text="Aprobado">
      <formula>NOT(ISERROR(SEARCH("Aprobado",N3)))</formula>
    </cfRule>
    <cfRule type="containsText" dxfId="21" priority="19" operator="containsText" text="Pendiente">
      <formula>NOT(ISERROR(SEARCH("Pendiente",N3)))</formula>
    </cfRule>
  </conditionalFormatting>
  <conditionalFormatting sqref="P3:P14">
    <cfRule type="containsText" dxfId="20" priority="16" operator="containsText" text="Pendiente">
      <formula>NOT(ISERROR(SEARCH("Pendiente",P3)))</formula>
    </cfRule>
    <cfRule type="containsText" dxfId="19" priority="20" operator="containsText" text="Realizado">
      <formula>NOT(ISERROR(SEARCH("Realizado",P3)))</formula>
    </cfRule>
    <cfRule type="containsText" dxfId="18" priority="21" operator="containsText" text="Ingresso">
      <formula>NOT(ISERROR(SEARCH("Ingresso",P3)))</formula>
    </cfRule>
    <cfRule type="containsText" dxfId="17" priority="22" operator="containsText" text="Denegado">
      <formula>NOT(ISERROR(SEARCH("Denegado",P3)))</formula>
    </cfRule>
  </conditionalFormatting>
  <dataValidations count="3">
    <dataValidation type="list" allowBlank="1" showInputMessage="1" showErrorMessage="1" sqref="N3:N14" xr:uid="{B8AF98F2-E59B-4CF7-A6E5-F0D9D10245F3}">
      <formula1>"Aprobado,Denegado,Pendiente"</formula1>
    </dataValidation>
    <dataValidation type="list" allowBlank="1" showErrorMessage="1" sqref="P3:P14" xr:uid="{32ED4B94-DCC0-4DFD-9CDC-C656A78158B4}">
      <formula1>"Pendiente,Realizado,Denegado"</formula1>
    </dataValidation>
    <dataValidation type="list" allowBlank="1" showInputMessage="1" showErrorMessage="1" sqref="G3:G14" xr:uid="{B704A603-8574-4B44-8F01-058C97F9767E}">
      <formula1>$H$3:$H$309</formula1>
    </dataValidation>
  </dataValidation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2BB041A0-E517-495B-A4CF-5CDF125F5614}">
          <x14:formula1>
            <xm:f>Colaboradores!$C:$C</xm:f>
          </x14:formula1>
          <xm:sqref>C1:C1048576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6AEF4-DD4C-44A9-BEB9-8BFD39C1D0D1}">
  <sheetPr>
    <tabColor theme="0"/>
    <pageSetUpPr fitToPage="1"/>
  </sheetPr>
  <dimension ref="A1:X79"/>
  <sheetViews>
    <sheetView topLeftCell="B7" zoomScale="85" zoomScaleNormal="85" workbookViewId="0">
      <selection activeCell="G61" sqref="G61"/>
    </sheetView>
  </sheetViews>
  <sheetFormatPr defaultColWidth="11.5546875" defaultRowHeight="15" x14ac:dyDescent="0.35"/>
  <cols>
    <col min="1" max="1" width="11.88671875" style="211" bestFit="1" customWidth="1"/>
    <col min="2" max="2" width="8.88671875" style="2" customWidth="1"/>
    <col min="3" max="3" width="50" style="3" customWidth="1"/>
    <col min="4" max="4" width="16.33203125" style="3" customWidth="1"/>
    <col min="5" max="5" width="28" style="2" customWidth="1"/>
    <col min="6" max="6" width="17.44140625" style="3" customWidth="1"/>
    <col min="7" max="7" width="16.44140625" style="222" customWidth="1"/>
    <col min="8" max="8" width="12" style="7" customWidth="1"/>
    <col min="9" max="14" width="10" style="7" customWidth="1"/>
    <col min="15" max="16" width="10" style="62" customWidth="1"/>
    <col min="17" max="17" width="10.88671875" style="3" customWidth="1"/>
    <col min="18" max="18" width="22" style="3" customWidth="1"/>
    <col min="19" max="19" width="7.6640625" customWidth="1"/>
    <col min="20" max="25" width="8.33203125" customWidth="1"/>
  </cols>
  <sheetData>
    <row r="1" spans="1:24" s="64" customFormat="1" ht="74.25" customHeight="1" x14ac:dyDescent="0.3">
      <c r="A1" s="63"/>
      <c r="B1" s="63">
        <v>1</v>
      </c>
      <c r="C1" s="63">
        <v>2</v>
      </c>
      <c r="D1" s="63">
        <v>3</v>
      </c>
      <c r="E1" s="63">
        <v>4</v>
      </c>
      <c r="F1" s="63">
        <v>5</v>
      </c>
      <c r="G1" s="221">
        <v>6</v>
      </c>
      <c r="H1" s="63">
        <v>7</v>
      </c>
      <c r="I1" s="63">
        <v>8</v>
      </c>
      <c r="J1" s="63">
        <v>9</v>
      </c>
      <c r="K1" s="63">
        <v>10</v>
      </c>
      <c r="L1" s="63">
        <v>11</v>
      </c>
      <c r="M1" s="63">
        <v>12</v>
      </c>
      <c r="N1" s="63">
        <v>13</v>
      </c>
      <c r="O1" s="63">
        <v>14</v>
      </c>
      <c r="P1" s="63"/>
      <c r="Q1" s="63"/>
      <c r="R1" s="63"/>
    </row>
    <row r="2" spans="1:24" s="33" customFormat="1" ht="32.25" customHeight="1" x14ac:dyDescent="0.3">
      <c r="A2" s="217" t="s">
        <v>7549</v>
      </c>
      <c r="B2" s="218" t="s">
        <v>7550</v>
      </c>
      <c r="C2" s="218" t="s">
        <v>7551</v>
      </c>
      <c r="D2" s="218" t="s">
        <v>7602</v>
      </c>
      <c r="E2" s="218" t="s">
        <v>6984</v>
      </c>
      <c r="F2" s="218" t="s">
        <v>7553</v>
      </c>
      <c r="G2" s="218" t="s">
        <v>7488</v>
      </c>
      <c r="H2" s="219" t="s">
        <v>7514</v>
      </c>
      <c r="I2" s="219" t="s">
        <v>7515</v>
      </c>
      <c r="J2" s="219" t="s">
        <v>7516</v>
      </c>
      <c r="K2" s="219" t="s">
        <v>7517</v>
      </c>
      <c r="L2" s="219" t="s">
        <v>7518</v>
      </c>
      <c r="M2" s="219" t="s">
        <v>7519</v>
      </c>
      <c r="N2" s="219" t="s">
        <v>7520</v>
      </c>
      <c r="O2" s="219" t="s">
        <v>7547</v>
      </c>
      <c r="P2" s="219" t="s">
        <v>7558</v>
      </c>
      <c r="Q2" s="218" t="s">
        <v>7603</v>
      </c>
      <c r="R2" s="218" t="s">
        <v>7604</v>
      </c>
      <c r="S2" s="33" t="s">
        <v>7605</v>
      </c>
      <c r="T2" s="33" t="s">
        <v>7001</v>
      </c>
      <c r="U2" s="33" t="s">
        <v>6999</v>
      </c>
      <c r="V2" s="33" t="s">
        <v>7000</v>
      </c>
      <c r="W2" s="33" t="s">
        <v>7002</v>
      </c>
      <c r="X2" s="33" t="s">
        <v>7606</v>
      </c>
    </row>
    <row r="3" spans="1:24" ht="17.25" customHeight="1" x14ac:dyDescent="0.35">
      <c r="A3" s="211">
        <v>46064</v>
      </c>
      <c r="B3" s="2" t="str">
        <f>IF(Tabla13[[#This Row],[TRABAJADOR]]="", "", INDEX(Colaboradores!A:A, MATCH(Tabla13[[#This Row],[TRABAJADOR]],Colaboradores!C:C, 0)))</f>
        <v>E0625</v>
      </c>
      <c r="C3" s="3" t="s">
        <v>453</v>
      </c>
      <c r="D3" s="3" t="s">
        <v>455</v>
      </c>
      <c r="E3" s="2" t="s">
        <v>88</v>
      </c>
      <c r="G3" s="222" t="s">
        <v>7607</v>
      </c>
      <c r="M3" s="7">
        <v>21.74</v>
      </c>
      <c r="P3" s="62">
        <v>21.74</v>
      </c>
      <c r="T3" s="208" t="str">
        <f>IFERROR(IF(VLOOKUP(Tabla13[[#This Row],[ID TRABAJADOR]],Tabla57[Cod trabalhador],1,0)&lt;&gt;"","KI",""),"")</f>
        <v/>
      </c>
      <c r="U3" s="208" t="str">
        <f>IFERROR(IF(VLOOKUP(Tabla13[[#This Row],[ID TRABAJADOR]],Tabla5[Cod trabalhador],1,0)&lt;&gt;"","KR",""),"")</f>
        <v/>
      </c>
      <c r="V3" s="208" t="str">
        <f>IFERROR(IF(VLOOKUP(Tabla13[[#This Row],[ID TRABAJADOR]],Wiseowe!B:B,1,0)&lt;&gt;"","WS",""),"")</f>
        <v/>
      </c>
      <c r="W3" s="208" t="str">
        <f>IFERROR(IF(VLOOKUP(Tabla13[[#This Row],[ID TRABAJADOR]],Luminous!B:B,1,0)&lt;&gt;"","LM",""),"")</f>
        <v/>
      </c>
      <c r="X3" s="208" t="str">
        <f>IFERROR(IF(VLOOKUP(Tabla13[[#This Row],[ID TRABAJADOR]],#REF!,1,0)&lt;&gt;"","ST",""),"")</f>
        <v/>
      </c>
    </row>
    <row r="4" spans="1:24" ht="18" customHeight="1" x14ac:dyDescent="0.35">
      <c r="A4" s="211">
        <v>46052</v>
      </c>
      <c r="B4" s="2" t="str">
        <f>IF(Tabla13[[#This Row],[TRABAJADOR]]="", "", INDEX(Colaboradores!A:A, MATCH(Tabla13[[#This Row],[TRABAJADOR]],Colaboradores!C:C, 0)))</f>
        <v>E0784</v>
      </c>
      <c r="C4" s="3" t="s">
        <v>1760</v>
      </c>
      <c r="D4" s="3" t="s">
        <v>1762</v>
      </c>
      <c r="E4" s="2" t="s">
        <v>88</v>
      </c>
      <c r="G4" s="222" t="s">
        <v>7608</v>
      </c>
      <c r="K4" s="7">
        <v>97.9</v>
      </c>
      <c r="P4" s="62">
        <v>97.9</v>
      </c>
      <c r="R4" s="3" t="s">
        <v>7609</v>
      </c>
      <c r="T4" s="208" t="str">
        <f>IFERROR(IF(VLOOKUP(Tabla13[[#This Row],[ID TRABAJADOR]],Tabla57[Cod trabalhador],1,0)&lt;&gt;"","KI",""),"")</f>
        <v/>
      </c>
      <c r="U4" s="208" t="str">
        <f>IFERROR(IF(VLOOKUP(Tabla13[[#This Row],[ID TRABAJADOR]],Tabla5[Cod trabalhador],1,0)&lt;&gt;"","KR",""),"")</f>
        <v/>
      </c>
      <c r="V4" s="208" t="str">
        <f>IFERROR(IF(VLOOKUP(Tabla13[[#This Row],[ID TRABAJADOR]],Wiseowe!B:B,1,0)&lt;&gt;"","WS",""),"")</f>
        <v/>
      </c>
      <c r="W4" s="208" t="str">
        <f>IFERROR(IF(VLOOKUP(Tabla13[[#This Row],[ID TRABAJADOR]],Luminous!B:B,1,0)&lt;&gt;"","LM",""),"")</f>
        <v/>
      </c>
      <c r="X4" s="208" t="str">
        <f>IFERROR(IF(VLOOKUP(Tabla13[[#This Row],[ID TRABAJADOR]],#REF!,1,0)&lt;&gt;"","ST",""),"")</f>
        <v/>
      </c>
    </row>
    <row r="5" spans="1:24" ht="18" customHeight="1" x14ac:dyDescent="0.35">
      <c r="A5" s="211">
        <v>46064</v>
      </c>
      <c r="B5" s="2" t="str">
        <f>IF(Tabla13[[#This Row],[TRABAJADOR]]="", "", INDEX(Colaboradores!A:A, MATCH(Tabla13[[#This Row],[TRABAJADOR]],Colaboradores!C:C, 0)))</f>
        <v>E1673</v>
      </c>
      <c r="C5" s="3" t="s">
        <v>1072</v>
      </c>
      <c r="D5" s="3" t="s">
        <v>1074</v>
      </c>
      <c r="E5" s="2" t="s">
        <v>88</v>
      </c>
      <c r="M5" s="7">
        <v>21.74</v>
      </c>
      <c r="P5" s="62">
        <v>21.74</v>
      </c>
      <c r="T5" s="208" t="str">
        <f>IFERROR(IF(VLOOKUP(Tabla13[[#This Row],[ID TRABAJADOR]],Tabla57[Cod trabalhador],1,0)&lt;&gt;"","KI",""),"")</f>
        <v/>
      </c>
      <c r="U5" s="208" t="str">
        <f>IFERROR(IF(VLOOKUP(Tabla13[[#This Row],[ID TRABAJADOR]],Tabla5[Cod trabalhador],1,0)&lt;&gt;"","KR",""),"")</f>
        <v/>
      </c>
      <c r="V5" s="208" t="str">
        <f>IFERROR(IF(VLOOKUP(Tabla13[[#This Row],[ID TRABAJADOR]],Wiseowe!B:B,1,0)&lt;&gt;"","WS",""),"")</f>
        <v/>
      </c>
      <c r="W5" s="208" t="str">
        <f>IFERROR(IF(VLOOKUP(Tabla13[[#This Row],[ID TRABAJADOR]],Luminous!B:B,1,0)&lt;&gt;"","LM",""),"")</f>
        <v>LM</v>
      </c>
      <c r="X5" s="208" t="str">
        <f>IFERROR(IF(VLOOKUP(Tabla13[[#This Row],[ID TRABAJADOR]],#REF!,1,0)&lt;&gt;"","ST",""),"")</f>
        <v/>
      </c>
    </row>
    <row r="6" spans="1:24" ht="18" customHeight="1" x14ac:dyDescent="0.35">
      <c r="A6" s="211">
        <v>46052</v>
      </c>
      <c r="B6" s="2" t="str">
        <f>IF(Tabla13[[#This Row],[TRABAJADOR]]="", "", INDEX(Colaboradores!A:A, MATCH(Tabla13[[#This Row],[TRABAJADOR]],Colaboradores!C:C, 0)))</f>
        <v>E0801</v>
      </c>
      <c r="C6" s="3" t="s">
        <v>914</v>
      </c>
      <c r="D6" s="3" t="s">
        <v>916</v>
      </c>
      <c r="E6" s="2" t="s">
        <v>88</v>
      </c>
      <c r="G6" s="222" t="s">
        <v>7610</v>
      </c>
      <c r="K6" s="7">
        <v>148.97</v>
      </c>
      <c r="M6" s="7">
        <v>21.74</v>
      </c>
      <c r="P6" s="62">
        <v>148.97</v>
      </c>
      <c r="Q6" s="3" t="s">
        <v>7611</v>
      </c>
      <c r="T6" s="208" t="str">
        <f>IFERROR(IF(VLOOKUP(Tabla13[[#This Row],[ID TRABAJADOR]],Tabla57[Cod trabalhador],1,0)&lt;&gt;"","KI",""),"")</f>
        <v/>
      </c>
      <c r="U6" s="208" t="str">
        <f>IFERROR(IF(VLOOKUP(Tabla13[[#This Row],[ID TRABAJADOR]],Tabla5[Cod trabalhador],1,0)&lt;&gt;"","KR",""),"")</f>
        <v/>
      </c>
      <c r="V6" s="208" t="str">
        <f>IFERROR(IF(VLOOKUP(Tabla13[[#This Row],[ID TRABAJADOR]],Wiseowe!B:B,1,0)&lt;&gt;"","WS",""),"")</f>
        <v>WS</v>
      </c>
      <c r="W6" s="208" t="str">
        <f>IFERROR(IF(VLOOKUP(Tabla13[[#This Row],[ID TRABAJADOR]],Luminous!B:B,1,0)&lt;&gt;"","LM",""),"")</f>
        <v/>
      </c>
      <c r="X6" s="208" t="str">
        <f>IFERROR(IF(VLOOKUP(Tabla13[[#This Row],[ID TRABAJADOR]],#REF!,1,0)&lt;&gt;"","ST",""),"")</f>
        <v/>
      </c>
    </row>
    <row r="7" spans="1:24" ht="18" customHeight="1" x14ac:dyDescent="0.35">
      <c r="A7" s="211">
        <v>46064</v>
      </c>
      <c r="B7" s="2" t="str">
        <f>IF(Tabla13[[#This Row],[TRABAJADOR]]="", "", INDEX(Colaboradores!A:A, MATCH(Tabla13[[#This Row],[TRABAJADOR]],Colaboradores!C:C, 0)))</f>
        <v>E1701</v>
      </c>
      <c r="C7" s="3" t="s">
        <v>3000</v>
      </c>
      <c r="D7" s="3" t="s">
        <v>3002</v>
      </c>
      <c r="E7" s="2" t="s">
        <v>88</v>
      </c>
      <c r="G7" s="222" t="s">
        <v>7432</v>
      </c>
      <c r="M7" s="7">
        <v>21.74</v>
      </c>
      <c r="P7" s="62">
        <v>21.74</v>
      </c>
      <c r="T7" t="str">
        <f>IFERROR(IF(VLOOKUP(Tabla13[[#This Row],[ID TRABAJADOR]],Tabla57[Cod trabalhador],1,0)&lt;&gt;"","KI",""),"")</f>
        <v/>
      </c>
      <c r="U7" t="str">
        <f>IFERROR(IF(VLOOKUP(Tabla13[[#This Row],[ID TRABAJADOR]],Tabla5[Cod trabalhador],1,0)&lt;&gt;"","KR",""),"")</f>
        <v>KR</v>
      </c>
      <c r="V7" t="str">
        <f>IFERROR(IF(VLOOKUP(Tabla13[[#This Row],[ID TRABAJADOR]],Wiseowe!B:B,1,0)&lt;&gt;"","WS",""),"")</f>
        <v/>
      </c>
      <c r="W7" t="str">
        <f>IFERROR(IF(VLOOKUP(Tabla13[[#This Row],[ID TRABAJADOR]],Luminous!B:B,1,0)&lt;&gt;"","LM",""),"")</f>
        <v/>
      </c>
      <c r="X7" t="str">
        <f>IFERROR(IF(VLOOKUP(Tabla13[[#This Row],[ID TRABAJADOR]],#REF!,1,0)&lt;&gt;"","ST",""),"")</f>
        <v/>
      </c>
    </row>
    <row r="8" spans="1:24" ht="18" customHeight="1" x14ac:dyDescent="0.35">
      <c r="A8" s="211">
        <v>46064</v>
      </c>
      <c r="B8" s="2" t="str">
        <f>IF(Tabla13[[#This Row],[TRABAJADOR]]="", "", INDEX(Colaboradores!A:A, MATCH(Tabla13[[#This Row],[TRABAJADOR]],Colaboradores!C:C, 0)))</f>
        <v>E1547</v>
      </c>
      <c r="C8" s="3" t="s">
        <v>4495</v>
      </c>
      <c r="D8" s="3" t="s">
        <v>4497</v>
      </c>
      <c r="E8" s="2" t="s">
        <v>88</v>
      </c>
      <c r="G8" s="222" t="s">
        <v>7432</v>
      </c>
      <c r="M8" s="7">
        <v>21.74</v>
      </c>
      <c r="P8" s="62">
        <v>21.74</v>
      </c>
      <c r="T8" t="str">
        <f>IFERROR(IF(VLOOKUP(Tabla13[[#This Row],[ID TRABAJADOR]],Tabla57[Cod trabalhador],1,0)&lt;&gt;"","KI",""),"")</f>
        <v/>
      </c>
      <c r="U8" t="str">
        <f>IFERROR(IF(VLOOKUP(Tabla13[[#This Row],[ID TRABAJADOR]],Tabla5[Cod trabalhador],1,0)&lt;&gt;"","KR",""),"")</f>
        <v>KR</v>
      </c>
      <c r="V8" t="str">
        <f>IFERROR(IF(VLOOKUP(Tabla13[[#This Row],[ID TRABAJADOR]],Wiseowe!B:B,1,0)&lt;&gt;"","WS",""),"")</f>
        <v/>
      </c>
      <c r="W8" t="str">
        <f>IFERROR(IF(VLOOKUP(Tabla13[[#This Row],[ID TRABAJADOR]],Luminous!B:B,1,0)&lt;&gt;"","LM",""),"")</f>
        <v/>
      </c>
      <c r="X8" t="str">
        <f>IFERROR(IF(VLOOKUP(Tabla13[[#This Row],[ID TRABAJADOR]],#REF!,1,0)&lt;&gt;"","ST",""),"")</f>
        <v/>
      </c>
    </row>
    <row r="9" spans="1:24" ht="18" customHeight="1" x14ac:dyDescent="0.35">
      <c r="A9" s="211">
        <v>46064</v>
      </c>
      <c r="B9" s="2" t="str">
        <f>IF(Tabla13[[#This Row],[TRABAJADOR]]="", "", INDEX(Colaboradores!A:A, MATCH(Tabla13[[#This Row],[TRABAJADOR]],Colaboradores!C:C, 0)))</f>
        <v>E1073</v>
      </c>
      <c r="C9" s="3" t="s">
        <v>2634</v>
      </c>
      <c r="D9" s="3" t="s">
        <v>2636</v>
      </c>
      <c r="E9" s="2" t="s">
        <v>16</v>
      </c>
      <c r="M9" s="7">
        <v>21.74</v>
      </c>
      <c r="P9" s="62">
        <v>21.74</v>
      </c>
      <c r="T9" t="str">
        <f>IFERROR(IF(VLOOKUP(Tabla13[[#This Row],[ID TRABAJADOR]],Tabla57[Cod trabalhador],1,0)&lt;&gt;"","KI",""),"")</f>
        <v/>
      </c>
      <c r="U9" t="str">
        <f>IFERROR(IF(VLOOKUP(Tabla13[[#This Row],[ID TRABAJADOR]],Tabla5[Cod trabalhador],1,0)&lt;&gt;"","KR",""),"")</f>
        <v/>
      </c>
      <c r="V9" t="str">
        <f>IFERROR(IF(VLOOKUP(Tabla13[[#This Row],[ID TRABAJADOR]],Wiseowe!B:B,1,0)&lt;&gt;"","WS",""),"")</f>
        <v/>
      </c>
      <c r="W9" t="str">
        <f>IFERROR(IF(VLOOKUP(Tabla13[[#This Row],[ID TRABAJADOR]],Luminous!B:B,1,0)&lt;&gt;"","LM",""),"")</f>
        <v/>
      </c>
      <c r="X9" t="str">
        <f>IFERROR(IF(VLOOKUP(Tabla13[[#This Row],[ID TRABAJADOR]],#REF!,1,0)&lt;&gt;"","ST",""),"")</f>
        <v/>
      </c>
    </row>
    <row r="10" spans="1:24" ht="18" customHeight="1" x14ac:dyDescent="0.35">
      <c r="A10" s="211">
        <v>46064</v>
      </c>
      <c r="B10" s="2" t="str">
        <f>IF(Tabla13[[#This Row],[TRABAJADOR]]="", "", INDEX(Colaboradores!A:A, MATCH(Tabla13[[#This Row],[TRABAJADOR]],Colaboradores!C:C, 0)))</f>
        <v>E1685</v>
      </c>
      <c r="C10" s="3" t="s">
        <v>3489</v>
      </c>
      <c r="D10" s="3" t="s">
        <v>3491</v>
      </c>
      <c r="E10" s="2" t="s">
        <v>16</v>
      </c>
      <c r="M10" s="7">
        <v>21.74</v>
      </c>
      <c r="P10" s="62">
        <v>21.74</v>
      </c>
      <c r="T10" t="str">
        <f>IFERROR(IF(VLOOKUP(Tabla13[[#This Row],[ID TRABAJADOR]],Tabla57[Cod trabalhador],1,0)&lt;&gt;"","KI",""),"")</f>
        <v/>
      </c>
      <c r="U10" t="str">
        <f>IFERROR(IF(VLOOKUP(Tabla13[[#This Row],[ID TRABAJADOR]],Tabla5[Cod trabalhador],1,0)&lt;&gt;"","KR",""),"")</f>
        <v/>
      </c>
      <c r="V10" t="str">
        <f>IFERROR(IF(VLOOKUP(Tabla13[[#This Row],[ID TRABAJADOR]],Wiseowe!B:B,1,0)&lt;&gt;"","WS",""),"")</f>
        <v/>
      </c>
      <c r="W10" t="str">
        <f>IFERROR(IF(VLOOKUP(Tabla13[[#This Row],[ID TRABAJADOR]],Luminous!B:B,1,0)&lt;&gt;"","LM",""),"")</f>
        <v/>
      </c>
      <c r="X10" t="str">
        <f>IFERROR(IF(VLOOKUP(Tabla13[[#This Row],[ID TRABAJADOR]],#REF!,1,0)&lt;&gt;"","ST",""),"")</f>
        <v/>
      </c>
    </row>
    <row r="11" spans="1:24" ht="18" customHeight="1" x14ac:dyDescent="0.35">
      <c r="A11" s="211">
        <v>46064</v>
      </c>
      <c r="B11" s="2" t="str">
        <f>IF(Tabla13[[#This Row],[TRABAJADOR]]="", "", INDEX(Colaboradores!A:A, MATCH(Tabla13[[#This Row],[TRABAJADOR]],Colaboradores!C:C, 0)))</f>
        <v>E0838</v>
      </c>
      <c r="C11" s="3" t="s">
        <v>4924</v>
      </c>
      <c r="D11" s="3" t="s">
        <v>4926</v>
      </c>
      <c r="E11" s="2" t="s">
        <v>16</v>
      </c>
      <c r="M11" s="7">
        <v>21.74</v>
      </c>
      <c r="P11" s="62">
        <v>21.74</v>
      </c>
      <c r="T11" t="str">
        <f>IFERROR(IF(VLOOKUP(Tabla13[[#This Row],[ID TRABAJADOR]],Tabla57[Cod trabalhador],1,0)&lt;&gt;"","KI",""),"")</f>
        <v/>
      </c>
      <c r="U11" t="str">
        <f>IFERROR(IF(VLOOKUP(Tabla13[[#This Row],[ID TRABAJADOR]],Tabla5[Cod trabalhador],1,0)&lt;&gt;"","KR",""),"")</f>
        <v/>
      </c>
      <c r="V11" t="str">
        <f>IFERROR(IF(VLOOKUP(Tabla13[[#This Row],[ID TRABAJADOR]],Wiseowe!B:B,1,0)&lt;&gt;"","WS",""),"")</f>
        <v/>
      </c>
      <c r="W11" t="str">
        <f>IFERROR(IF(VLOOKUP(Tabla13[[#This Row],[ID TRABAJADOR]],Luminous!B:B,1,0)&lt;&gt;"","LM",""),"")</f>
        <v/>
      </c>
      <c r="X11" t="str">
        <f>IFERROR(IF(VLOOKUP(Tabla13[[#This Row],[ID TRABAJADOR]],#REF!,1,0)&lt;&gt;"","ST",""),"")</f>
        <v/>
      </c>
    </row>
    <row r="12" spans="1:24" ht="18" customHeight="1" x14ac:dyDescent="0.35">
      <c r="A12" s="211">
        <v>46064</v>
      </c>
      <c r="B12" s="2" t="str">
        <f>IF(Tabla13[[#This Row],[TRABAJADOR]]="", "", INDEX(Colaboradores!A:A, MATCH(Tabla13[[#This Row],[TRABAJADOR]],Colaboradores!C:C, 0)))</f>
        <v>E0351</v>
      </c>
      <c r="C12" s="3" t="s">
        <v>3358</v>
      </c>
      <c r="D12" s="3" t="s">
        <v>3359</v>
      </c>
      <c r="E12" s="2" t="s">
        <v>16</v>
      </c>
      <c r="M12" s="7">
        <v>300</v>
      </c>
      <c r="P12" s="62">
        <v>300</v>
      </c>
      <c r="T12" t="str">
        <f>IFERROR(IF(VLOOKUP(Tabla13[[#This Row],[ID TRABAJADOR]],Tabla57[Cod trabalhador],1,0)&lt;&gt;"","KI",""),"")</f>
        <v/>
      </c>
      <c r="U12" t="str">
        <f>IFERROR(IF(VLOOKUP(Tabla13[[#This Row],[ID TRABAJADOR]],Tabla5[Cod trabalhador],1,0)&lt;&gt;"","KR",""),"")</f>
        <v/>
      </c>
      <c r="V12" t="str">
        <f>IFERROR(IF(VLOOKUP(Tabla13[[#This Row],[ID TRABAJADOR]],Wiseowe!B:B,1,0)&lt;&gt;"","WS",""),"")</f>
        <v/>
      </c>
      <c r="W12" t="str">
        <f>IFERROR(IF(VLOOKUP(Tabla13[[#This Row],[ID TRABAJADOR]],Luminous!B:B,1,0)&lt;&gt;"","LM",""),"")</f>
        <v/>
      </c>
      <c r="X12" t="str">
        <f>IFERROR(IF(VLOOKUP(Tabla13[[#This Row],[ID TRABAJADOR]],#REF!,1,0)&lt;&gt;"","ST",""),"")</f>
        <v/>
      </c>
    </row>
    <row r="13" spans="1:24" ht="18" customHeight="1" x14ac:dyDescent="0.35">
      <c r="A13" s="211">
        <v>46064</v>
      </c>
      <c r="B13" s="2" t="str">
        <f>IF(Tabla13[[#This Row],[TRABAJADOR]]="", "", INDEX(Colaboradores!A:A, MATCH(Tabla13[[#This Row],[TRABAJADOR]],Colaboradores!C:C, 0)))</f>
        <v>E0352</v>
      </c>
      <c r="C13" s="3" t="s">
        <v>3486</v>
      </c>
      <c r="D13" s="3" t="s">
        <v>3487</v>
      </c>
      <c r="E13" s="2" t="s">
        <v>16</v>
      </c>
      <c r="M13" s="7">
        <v>300</v>
      </c>
      <c r="P13" s="62">
        <v>300</v>
      </c>
      <c r="T13" t="str">
        <f>IFERROR(IF(VLOOKUP(Tabla13[[#This Row],[ID TRABAJADOR]],Tabla57[Cod trabalhador],1,0)&lt;&gt;"","KI",""),"")</f>
        <v/>
      </c>
      <c r="U13" t="str">
        <f>IFERROR(IF(VLOOKUP(Tabla13[[#This Row],[ID TRABAJADOR]],Tabla5[Cod trabalhador],1,0)&lt;&gt;"","KR",""),"")</f>
        <v/>
      </c>
      <c r="V13" t="str">
        <f>IFERROR(IF(VLOOKUP(Tabla13[[#This Row],[ID TRABAJADOR]],Wiseowe!B:B,1,0)&lt;&gt;"","WS",""),"")</f>
        <v/>
      </c>
      <c r="W13" t="str">
        <f>IFERROR(IF(VLOOKUP(Tabla13[[#This Row],[ID TRABAJADOR]],Luminous!B:B,1,0)&lt;&gt;"","LM",""),"")</f>
        <v/>
      </c>
      <c r="X13" t="str">
        <f>IFERROR(IF(VLOOKUP(Tabla13[[#This Row],[ID TRABAJADOR]],#REF!,1,0)&lt;&gt;"","ST",""),"")</f>
        <v/>
      </c>
    </row>
    <row r="14" spans="1:24" ht="18" customHeight="1" x14ac:dyDescent="0.35">
      <c r="A14" s="211">
        <v>46052</v>
      </c>
      <c r="B14" s="2" t="str">
        <f>IF(Tabla13[[#This Row],[TRABAJADOR]]="", "", INDEX(Colaboradores!A:A, MATCH(Tabla13[[#This Row],[TRABAJADOR]],Colaboradores!C:C, 0)))</f>
        <v>E0639</v>
      </c>
      <c r="C14" s="3" t="s">
        <v>4481</v>
      </c>
      <c r="D14" s="3" t="s">
        <v>4483</v>
      </c>
      <c r="E14" s="2" t="s">
        <v>16</v>
      </c>
      <c r="G14" s="222" t="s">
        <v>7608</v>
      </c>
      <c r="K14" s="7">
        <v>97.9</v>
      </c>
      <c r="P14" s="62">
        <v>97.9</v>
      </c>
      <c r="R14" s="3" t="s">
        <v>7609</v>
      </c>
      <c r="T14" t="str">
        <f>IFERROR(IF(VLOOKUP(Tabla13[[#This Row],[ID TRABAJADOR]],Tabla57[Cod trabalhador],1,0)&lt;&gt;"","KI",""),"")</f>
        <v/>
      </c>
      <c r="U14" t="str">
        <f>IFERROR(IF(VLOOKUP(Tabla13[[#This Row],[ID TRABAJADOR]],Tabla5[Cod trabalhador],1,0)&lt;&gt;"","KR",""),"")</f>
        <v/>
      </c>
      <c r="V14" t="str">
        <f>IFERROR(IF(VLOOKUP(Tabla13[[#This Row],[ID TRABAJADOR]],Wiseowe!B:B,1,0)&lt;&gt;"","WS",""),"")</f>
        <v/>
      </c>
      <c r="W14" t="str">
        <f>IFERROR(IF(VLOOKUP(Tabla13[[#This Row],[ID TRABAJADOR]],Luminous!B:B,1,0)&lt;&gt;"","LM",""),"")</f>
        <v/>
      </c>
      <c r="X14" t="str">
        <f>IFERROR(IF(VLOOKUP(Tabla13[[#This Row],[ID TRABAJADOR]],#REF!,1,0)&lt;&gt;"","ST",""),"")</f>
        <v/>
      </c>
    </row>
    <row r="15" spans="1:24" ht="18" customHeight="1" x14ac:dyDescent="0.35">
      <c r="A15" s="211">
        <v>46064</v>
      </c>
      <c r="B15" s="2" t="str">
        <f>IF(Tabla13[[#This Row],[TRABAJADOR]]="", "", INDEX(Colaboradores!A:A, MATCH(Tabla13[[#This Row],[TRABAJADOR]],Colaboradores!C:C, 0)))</f>
        <v>E0101</v>
      </c>
      <c r="C15" s="3" t="s">
        <v>3256</v>
      </c>
      <c r="D15" s="3" t="s">
        <v>3258</v>
      </c>
      <c r="E15" s="2" t="s">
        <v>16</v>
      </c>
      <c r="G15" s="222" t="s">
        <v>7612</v>
      </c>
      <c r="M15" s="7">
        <v>21.74</v>
      </c>
      <c r="P15" s="62">
        <v>21.74</v>
      </c>
      <c r="T15" t="str">
        <f>IFERROR(IF(VLOOKUP(Tabla13[[#This Row],[ID TRABAJADOR]],Tabla57[Cod trabalhador],1,0)&lt;&gt;"","KI",""),"")</f>
        <v/>
      </c>
      <c r="U15" t="str">
        <f>IFERROR(IF(VLOOKUP(Tabla13[[#This Row],[ID TRABAJADOR]],Tabla5[Cod trabalhador],1,0)&lt;&gt;"","KR",""),"")</f>
        <v/>
      </c>
      <c r="V15" t="str">
        <f>IFERROR(IF(VLOOKUP(Tabla13[[#This Row],[ID TRABAJADOR]],Wiseowe!B:B,1,0)&lt;&gt;"","WS",""),"")</f>
        <v>WS</v>
      </c>
      <c r="W15" t="str">
        <f>IFERROR(IF(VLOOKUP(Tabla13[[#This Row],[ID TRABAJADOR]],Luminous!B:B,1,0)&lt;&gt;"","LM",""),"")</f>
        <v/>
      </c>
      <c r="X15" t="str">
        <f>IFERROR(IF(VLOOKUP(Tabla13[[#This Row],[ID TRABAJADOR]],#REF!,1,0)&lt;&gt;"","ST",""),"")</f>
        <v/>
      </c>
    </row>
    <row r="16" spans="1:24" ht="18" customHeight="1" x14ac:dyDescent="0.35">
      <c r="A16" s="211">
        <v>46052</v>
      </c>
      <c r="B16" s="2" t="str">
        <f>IF(Tabla13[[#This Row],[TRABAJADOR]]="", "", INDEX(Colaboradores!A:A, MATCH(Tabla13[[#This Row],[TRABAJADOR]],Colaboradores!C:C, 0)))</f>
        <v>E0238</v>
      </c>
      <c r="C16" s="3" t="s">
        <v>2867</v>
      </c>
      <c r="D16" s="3" t="s">
        <v>2869</v>
      </c>
      <c r="E16" s="2" t="s">
        <v>16</v>
      </c>
      <c r="G16" s="222" t="s">
        <v>7610</v>
      </c>
      <c r="K16" s="7">
        <v>148.97</v>
      </c>
      <c r="P16" s="62">
        <v>148.97</v>
      </c>
      <c r="Q16" s="3" t="s">
        <v>7611</v>
      </c>
      <c r="T16" t="str">
        <f>IFERROR(IF(VLOOKUP(Tabla13[[#This Row],[ID TRABAJADOR]],Tabla57[Cod trabalhador],1,0)&lt;&gt;"","KI",""),"")</f>
        <v>KI</v>
      </c>
      <c r="U16" t="str">
        <f>IFERROR(IF(VLOOKUP(Tabla13[[#This Row],[ID TRABAJADOR]],Tabla5[Cod trabalhador],1,0)&lt;&gt;"","KR",""),"")</f>
        <v/>
      </c>
      <c r="V16" t="str">
        <f>IFERROR(IF(VLOOKUP(Tabla13[[#This Row],[ID TRABAJADOR]],Wiseowe!B:B,1,0)&lt;&gt;"","WS",""),"")</f>
        <v/>
      </c>
      <c r="W16" t="str">
        <f>IFERROR(IF(VLOOKUP(Tabla13[[#This Row],[ID TRABAJADOR]],Luminous!B:B,1,0)&lt;&gt;"","LM",""),"")</f>
        <v/>
      </c>
      <c r="X16" t="str">
        <f>IFERROR(IF(VLOOKUP(Tabla13[[#This Row],[ID TRABAJADOR]],#REF!,1,0)&lt;&gt;"","ST",""),"")</f>
        <v/>
      </c>
    </row>
    <row r="17" spans="1:24" ht="18" customHeight="1" x14ac:dyDescent="0.35">
      <c r="A17" s="211">
        <v>46057</v>
      </c>
      <c r="B17" s="2" t="str">
        <f>IF(Tabla13[[#This Row],[TRABAJADOR]]="", "", INDEX(Colaboradores!A:A, MATCH(Tabla13[[#This Row],[TRABAJADOR]],Colaboradores!C:C, 0)))</f>
        <v>E0474</v>
      </c>
      <c r="C17" s="3" t="s">
        <v>4179</v>
      </c>
      <c r="D17" s="3" t="s">
        <v>4181</v>
      </c>
      <c r="E17" s="2" t="s">
        <v>16</v>
      </c>
      <c r="G17" s="222" t="s">
        <v>7613</v>
      </c>
      <c r="K17" s="7">
        <v>197.2</v>
      </c>
      <c r="P17" s="62">
        <v>197.2</v>
      </c>
      <c r="Q17" s="3" t="s">
        <v>7611</v>
      </c>
      <c r="T17" t="str">
        <f>IFERROR(IF(VLOOKUP(Tabla13[[#This Row],[ID TRABAJADOR]],Tabla57[Cod trabalhador],1,0)&lt;&gt;"","KI",""),"")</f>
        <v>KI</v>
      </c>
      <c r="U17" t="str">
        <f>IFERROR(IF(VLOOKUP(Tabla13[[#This Row],[ID TRABAJADOR]],Tabla5[Cod trabalhador],1,0)&lt;&gt;"","KR",""),"")</f>
        <v/>
      </c>
      <c r="V17" t="str">
        <f>IFERROR(IF(VLOOKUP(Tabla13[[#This Row],[ID TRABAJADOR]],Wiseowe!B:B,1,0)&lt;&gt;"","WS",""),"")</f>
        <v/>
      </c>
      <c r="W17" t="str">
        <f>IFERROR(IF(VLOOKUP(Tabla13[[#This Row],[ID TRABAJADOR]],Luminous!B:B,1,0)&lt;&gt;"","LM",""),"")</f>
        <v/>
      </c>
      <c r="X17" t="str">
        <f>IFERROR(IF(VLOOKUP(Tabla13[[#This Row],[ID TRABAJADOR]],#REF!,1,0)&lt;&gt;"","ST",""),"")</f>
        <v/>
      </c>
    </row>
    <row r="18" spans="1:24" ht="18" customHeight="1" x14ac:dyDescent="0.35">
      <c r="A18" s="211">
        <v>46057</v>
      </c>
      <c r="B18" s="2" t="str">
        <f>IF(Tabla13[[#This Row],[TRABAJADOR]]="", "", INDEX(Colaboradores!A:A, MATCH(Tabla13[[#This Row],[TRABAJADOR]],Colaboradores!C:C, 0)))</f>
        <v>E0475</v>
      </c>
      <c r="C18" s="3" t="s">
        <v>6460</v>
      </c>
      <c r="D18" s="3" t="s">
        <v>6462</v>
      </c>
      <c r="E18" s="2" t="s">
        <v>16</v>
      </c>
      <c r="G18" s="222" t="s">
        <v>7613</v>
      </c>
      <c r="K18" s="7">
        <v>197.2</v>
      </c>
      <c r="P18" s="62">
        <v>197.2</v>
      </c>
      <c r="Q18" s="3" t="s">
        <v>7611</v>
      </c>
      <c r="T18" t="str">
        <f>IFERROR(IF(VLOOKUP(Tabla13[[#This Row],[ID TRABAJADOR]],Tabla57[Cod trabalhador],1,0)&lt;&gt;"","KI",""),"")</f>
        <v>KI</v>
      </c>
      <c r="U18" t="str">
        <f>IFERROR(IF(VLOOKUP(Tabla13[[#This Row],[ID TRABAJADOR]],Tabla5[Cod trabalhador],1,0)&lt;&gt;"","KR",""),"")</f>
        <v/>
      </c>
      <c r="V18" t="str">
        <f>IFERROR(IF(VLOOKUP(Tabla13[[#This Row],[ID TRABAJADOR]],Wiseowe!B:B,1,0)&lt;&gt;"","WS",""),"")</f>
        <v/>
      </c>
      <c r="W18" t="str">
        <f>IFERROR(IF(VLOOKUP(Tabla13[[#This Row],[ID TRABAJADOR]],Luminous!B:B,1,0)&lt;&gt;"","LM",""),"")</f>
        <v/>
      </c>
      <c r="X18" t="str">
        <f>IFERROR(IF(VLOOKUP(Tabla13[[#This Row],[ID TRABAJADOR]],#REF!,1,0)&lt;&gt;"","ST",""),"")</f>
        <v/>
      </c>
    </row>
    <row r="19" spans="1:24" ht="18" customHeight="1" x14ac:dyDescent="0.35">
      <c r="A19" s="211">
        <v>46064</v>
      </c>
      <c r="B19" s="2" t="str">
        <f>IF(Tabla13[[#This Row],[TRABAJADOR]]="", "", INDEX(Colaboradores!A:A, MATCH(Tabla13[[#This Row],[TRABAJADOR]],Colaboradores!C:C, 0)))</f>
        <v>E0301</v>
      </c>
      <c r="C19" s="3" t="s">
        <v>3655</v>
      </c>
      <c r="D19" s="3" t="s">
        <v>3657</v>
      </c>
      <c r="E19" s="2" t="s">
        <v>230</v>
      </c>
      <c r="M19" s="7">
        <v>21.74</v>
      </c>
      <c r="P19" s="62">
        <v>21.74</v>
      </c>
      <c r="T19" t="str">
        <f>IFERROR(IF(VLOOKUP(Tabla13[[#This Row],[ID TRABAJADOR]],Tabla57[Cod trabalhador],1,0)&lt;&gt;"","KI",""),"")</f>
        <v/>
      </c>
      <c r="U19" t="str">
        <f>IFERROR(IF(VLOOKUP(Tabla13[[#This Row],[ID TRABAJADOR]],Tabla5[Cod trabalhador],1,0)&lt;&gt;"","KR",""),"")</f>
        <v/>
      </c>
      <c r="V19" t="str">
        <f>IFERROR(IF(VLOOKUP(Tabla13[[#This Row],[ID TRABAJADOR]],Wiseowe!B:B,1,0)&lt;&gt;"","WS",""),"")</f>
        <v/>
      </c>
      <c r="W19" t="str">
        <f>IFERROR(IF(VLOOKUP(Tabla13[[#This Row],[ID TRABAJADOR]],Luminous!B:B,1,0)&lt;&gt;"","LM",""),"")</f>
        <v/>
      </c>
      <c r="X19" t="str">
        <f>IFERROR(IF(VLOOKUP(Tabla13[[#This Row],[ID TRABAJADOR]],#REF!,1,0)&lt;&gt;"","ST",""),"")</f>
        <v/>
      </c>
    </row>
    <row r="20" spans="1:24" ht="18" customHeight="1" x14ac:dyDescent="0.35">
      <c r="A20" s="211">
        <v>46064</v>
      </c>
      <c r="B20" s="2" t="str">
        <f>IF(Tabla13[[#This Row],[TRABAJADOR]]="", "", INDEX(Colaboradores!A:A, MATCH(Tabla13[[#This Row],[TRABAJADOR]],Colaboradores!C:C, 0)))</f>
        <v>E1705</v>
      </c>
      <c r="C20" s="3" t="s">
        <v>4850</v>
      </c>
      <c r="D20" s="3" t="s">
        <v>4852</v>
      </c>
      <c r="E20" s="2" t="s">
        <v>230</v>
      </c>
      <c r="G20" s="222" t="s">
        <v>7614</v>
      </c>
      <c r="M20" s="7">
        <v>21.74</v>
      </c>
      <c r="P20" s="62">
        <v>21.74</v>
      </c>
      <c r="R20" s="3" t="s">
        <v>7609</v>
      </c>
      <c r="T20" t="str">
        <f>IFERROR(IF(VLOOKUP(Tabla13[[#This Row],[ID TRABAJADOR]],Tabla57[Cod trabalhador],1,0)&lt;&gt;"","KI",""),"")</f>
        <v/>
      </c>
      <c r="U20" t="str">
        <f>IFERROR(IF(VLOOKUP(Tabla13[[#This Row],[ID TRABAJADOR]],Tabla5[Cod trabalhador],1,0)&lt;&gt;"","KR",""),"")</f>
        <v/>
      </c>
      <c r="V20" t="str">
        <f>IFERROR(IF(VLOOKUP(Tabla13[[#This Row],[ID TRABAJADOR]],Wiseowe!B:B,1,0)&lt;&gt;"","WS",""),"")</f>
        <v/>
      </c>
      <c r="W20" t="str">
        <f>IFERROR(IF(VLOOKUP(Tabla13[[#This Row],[ID TRABAJADOR]],Luminous!B:B,1,0)&lt;&gt;"","LM",""),"")</f>
        <v/>
      </c>
      <c r="X20" t="str">
        <f>IFERROR(IF(VLOOKUP(Tabla13[[#This Row],[ID TRABAJADOR]],#REF!,1,0)&lt;&gt;"","ST",""),"")</f>
        <v/>
      </c>
    </row>
    <row r="21" spans="1:24" ht="18" customHeight="1" x14ac:dyDescent="0.35">
      <c r="A21" s="211">
        <v>46064</v>
      </c>
      <c r="B21" s="2" t="str">
        <f>IF(Tabla13[[#This Row],[TRABAJADOR]]="", "", INDEX(Colaboradores!A:A, MATCH(Tabla13[[#This Row],[TRABAJADOR]],Colaboradores!C:C, 0)))</f>
        <v>E0082</v>
      </c>
      <c r="C21" s="3" t="s">
        <v>6007</v>
      </c>
      <c r="D21" s="3" t="s">
        <v>6009</v>
      </c>
      <c r="E21" s="2" t="s">
        <v>230</v>
      </c>
      <c r="M21" s="7">
        <v>21.74</v>
      </c>
      <c r="P21" s="62">
        <v>21.74</v>
      </c>
      <c r="T21" t="str">
        <f>IFERROR(IF(VLOOKUP(Tabla13[[#This Row],[ID TRABAJADOR]],Tabla57[Cod trabalhador],1,0)&lt;&gt;"","KI",""),"")</f>
        <v/>
      </c>
      <c r="U21" t="str">
        <f>IFERROR(IF(VLOOKUP(Tabla13[[#This Row],[ID TRABAJADOR]],Tabla5[Cod trabalhador],1,0)&lt;&gt;"","KR",""),"")</f>
        <v/>
      </c>
      <c r="V21" t="str">
        <f>IFERROR(IF(VLOOKUP(Tabla13[[#This Row],[ID TRABAJADOR]],Wiseowe!B:B,1,0)&lt;&gt;"","WS",""),"")</f>
        <v/>
      </c>
      <c r="W21" t="str">
        <f>IFERROR(IF(VLOOKUP(Tabla13[[#This Row],[ID TRABAJADOR]],Luminous!B:B,1,0)&lt;&gt;"","LM",""),"")</f>
        <v>LM</v>
      </c>
      <c r="X21" t="str">
        <f>IFERROR(IF(VLOOKUP(Tabla13[[#This Row],[ID TRABAJADOR]],#REF!,1,0)&lt;&gt;"","ST",""),"")</f>
        <v/>
      </c>
    </row>
    <row r="22" spans="1:24" ht="18" customHeight="1" x14ac:dyDescent="0.35">
      <c r="A22" s="211">
        <v>46064</v>
      </c>
      <c r="B22" s="2" t="str">
        <f>IF(Tabla13[[#This Row],[TRABAJADOR]]="", "", INDEX(Colaboradores!A:A, MATCH(Tabla13[[#This Row],[TRABAJADOR]],Colaboradores!C:C, 0)))</f>
        <v>E0891</v>
      </c>
      <c r="C22" s="3" t="s">
        <v>2896</v>
      </c>
      <c r="D22" s="3" t="s">
        <v>2898</v>
      </c>
      <c r="E22" s="2" t="s">
        <v>21</v>
      </c>
      <c r="M22" s="7">
        <v>21.74</v>
      </c>
      <c r="P22" s="62">
        <v>21.74</v>
      </c>
      <c r="R22" s="3" t="s">
        <v>7615</v>
      </c>
      <c r="T22" t="str">
        <f>IFERROR(IF(VLOOKUP(Tabla13[[#This Row],[ID TRABAJADOR]],Tabla57[Cod trabalhador],1,0)&lt;&gt;"","KI",""),"")</f>
        <v/>
      </c>
      <c r="U22" t="str">
        <f>IFERROR(IF(VLOOKUP(Tabla13[[#This Row],[ID TRABAJADOR]],Tabla5[Cod trabalhador],1,0)&lt;&gt;"","KR",""),"")</f>
        <v/>
      </c>
      <c r="V22" t="str">
        <f>IFERROR(IF(VLOOKUP(Tabla13[[#This Row],[ID TRABAJADOR]],Wiseowe!B:B,1,0)&lt;&gt;"","WS",""),"")</f>
        <v/>
      </c>
      <c r="W22" t="str">
        <f>IFERROR(IF(VLOOKUP(Tabla13[[#This Row],[ID TRABAJADOR]],Luminous!B:B,1,0)&lt;&gt;"","LM",""),"")</f>
        <v/>
      </c>
      <c r="X22" t="str">
        <f>IFERROR(IF(VLOOKUP(Tabla13[[#This Row],[ID TRABAJADOR]],#REF!,1,0)&lt;&gt;"","ST",""),"")</f>
        <v/>
      </c>
    </row>
    <row r="23" spans="1:24" ht="18" customHeight="1" x14ac:dyDescent="0.35">
      <c r="A23" s="211">
        <v>46064</v>
      </c>
      <c r="B23" s="2" t="str">
        <f>IF(Tabla13[[#This Row],[TRABAJADOR]]="", "", INDEX(Colaboradores!A:A, MATCH(Tabla13[[#This Row],[TRABAJADOR]],Colaboradores!C:C, 0)))</f>
        <v>E0291</v>
      </c>
      <c r="C23" s="3" t="s">
        <v>3955</v>
      </c>
      <c r="D23" s="3" t="s">
        <v>3957</v>
      </c>
      <c r="E23" s="2" t="s">
        <v>21</v>
      </c>
      <c r="G23" s="222" t="s">
        <v>7612</v>
      </c>
      <c r="M23" s="7">
        <v>21.74</v>
      </c>
      <c r="P23" s="62">
        <v>21.74</v>
      </c>
      <c r="T23" t="str">
        <f>IFERROR(IF(VLOOKUP(Tabla13[[#This Row],[ID TRABAJADOR]],Tabla57[Cod trabalhador],1,0)&lt;&gt;"","KI",""),"")</f>
        <v/>
      </c>
      <c r="U23" t="str">
        <f>IFERROR(IF(VLOOKUP(Tabla13[[#This Row],[ID TRABAJADOR]],Tabla5[Cod trabalhador],1,0)&lt;&gt;"","KR",""),"")</f>
        <v/>
      </c>
      <c r="V23" t="str">
        <f>IFERROR(IF(VLOOKUP(Tabla13[[#This Row],[ID TRABAJADOR]],Wiseowe!B:B,1,0)&lt;&gt;"","WS",""),"")</f>
        <v>WS</v>
      </c>
      <c r="W23" t="str">
        <f>IFERROR(IF(VLOOKUP(Tabla13[[#This Row],[ID TRABAJADOR]],Luminous!B:B,1,0)&lt;&gt;"","LM",""),"")</f>
        <v/>
      </c>
      <c r="X23" t="str">
        <f>IFERROR(IF(VLOOKUP(Tabla13[[#This Row],[ID TRABAJADOR]],#REF!,1,0)&lt;&gt;"","ST",""),"")</f>
        <v/>
      </c>
    </row>
    <row r="24" spans="1:24" ht="18" customHeight="1" x14ac:dyDescent="0.35">
      <c r="A24" s="211">
        <v>46052</v>
      </c>
      <c r="B24" s="2" t="str">
        <f>IF(Tabla13[[#This Row],[TRABAJADOR]]="", "", INDEX(Colaboradores!A:A, MATCH(Tabla13[[#This Row],[TRABAJADOR]],Colaboradores!C:C, 0)))</f>
        <v>E0617</v>
      </c>
      <c r="C24" s="3" t="s">
        <v>404</v>
      </c>
      <c r="D24" s="3" t="s">
        <v>406</v>
      </c>
      <c r="E24" s="2" t="s">
        <v>21</v>
      </c>
      <c r="G24" s="222" t="s">
        <v>7610</v>
      </c>
      <c r="K24" s="7">
        <v>148.97</v>
      </c>
      <c r="P24" s="62">
        <v>148.97</v>
      </c>
      <c r="Q24" s="3" t="s">
        <v>7611</v>
      </c>
      <c r="T24" s="208" t="str">
        <f>IFERROR(IF(VLOOKUP(Tabla13[[#This Row],[ID TRABAJADOR]],Tabla57[Cod trabalhador],1,0)&lt;&gt;"","KI",""),"")</f>
        <v/>
      </c>
      <c r="U24" s="208" t="str">
        <f>IFERROR(IF(VLOOKUP(Tabla13[[#This Row],[ID TRABAJADOR]],Tabla5[Cod trabalhador],1,0)&lt;&gt;"","KR",""),"")</f>
        <v/>
      </c>
      <c r="V24" s="208" t="str">
        <f>IFERROR(IF(VLOOKUP(Tabla13[[#This Row],[ID TRABAJADOR]],Wiseowe!B:B,1,0)&lt;&gt;"","WS",""),"")</f>
        <v>WS</v>
      </c>
      <c r="W24" s="208" t="str">
        <f>IFERROR(IF(VLOOKUP(Tabla13[[#This Row],[ID TRABAJADOR]],Luminous!B:B,1,0)&lt;&gt;"","LM",""),"")</f>
        <v/>
      </c>
      <c r="X24" s="208" t="str">
        <f>IFERROR(IF(VLOOKUP(Tabla13[[#This Row],[ID TRABAJADOR]],#REF!,1,0)&lt;&gt;"","ST",""),"")</f>
        <v/>
      </c>
    </row>
    <row r="25" spans="1:24" ht="18" customHeight="1" x14ac:dyDescent="0.35">
      <c r="A25" s="211">
        <v>46052</v>
      </c>
      <c r="B25" s="2" t="str">
        <f>IF(Tabla13[[#This Row],[TRABAJADOR]]="", "", INDEX(Colaboradores!A:A, MATCH(Tabla13[[#This Row],[TRABAJADOR]],Colaboradores!C:C, 0)))</f>
        <v>E0552</v>
      </c>
      <c r="C25" s="3" t="s">
        <v>3644</v>
      </c>
      <c r="D25" s="3" t="s">
        <v>3646</v>
      </c>
      <c r="E25" s="2" t="s">
        <v>21</v>
      </c>
      <c r="G25" s="222" t="s">
        <v>7610</v>
      </c>
      <c r="K25" s="7">
        <v>148.97</v>
      </c>
      <c r="P25" s="62">
        <v>148.97</v>
      </c>
      <c r="Q25" s="3" t="s">
        <v>7611</v>
      </c>
      <c r="T25" t="str">
        <f>IFERROR(IF(VLOOKUP(Tabla13[[#This Row],[ID TRABAJADOR]],Tabla57[Cod trabalhador],1,0)&lt;&gt;"","KI",""),"")</f>
        <v/>
      </c>
      <c r="U25" t="str">
        <f>IFERROR(IF(VLOOKUP(Tabla13[[#This Row],[ID TRABAJADOR]],Tabla5[Cod trabalhador],1,0)&lt;&gt;"","KR",""),"")</f>
        <v/>
      </c>
      <c r="V25" t="str">
        <f>IFERROR(IF(VLOOKUP(Tabla13[[#This Row],[ID TRABAJADOR]],Wiseowe!B:B,1,0)&lt;&gt;"","WS",""),"")</f>
        <v>WS</v>
      </c>
      <c r="W25" t="str">
        <f>IFERROR(IF(VLOOKUP(Tabla13[[#This Row],[ID TRABAJADOR]],Luminous!B:B,1,0)&lt;&gt;"","LM",""),"")</f>
        <v/>
      </c>
      <c r="X25" t="str">
        <f>IFERROR(IF(VLOOKUP(Tabla13[[#This Row],[ID TRABAJADOR]],#REF!,1,0)&lt;&gt;"","ST",""),"")</f>
        <v/>
      </c>
    </row>
    <row r="26" spans="1:24" ht="18" customHeight="1" x14ac:dyDescent="0.35">
      <c r="A26" s="211">
        <v>46043</v>
      </c>
      <c r="B26" s="2" t="str">
        <f>IF(Tabla13[[#This Row],[TRABAJADOR]]="", "", INDEX(Colaboradores!A:A, MATCH(Tabla13[[#This Row],[TRABAJADOR]],Colaboradores!C:C, 0)))</f>
        <v>E0182</v>
      </c>
      <c r="C26" s="3" t="s">
        <v>3169</v>
      </c>
      <c r="D26" s="3" t="s">
        <v>3171</v>
      </c>
      <c r="E26" s="2" t="s">
        <v>21</v>
      </c>
      <c r="F26" s="3" t="s">
        <v>7616</v>
      </c>
      <c r="G26" s="222" t="s">
        <v>7586</v>
      </c>
      <c r="H26" s="7">
        <v>100</v>
      </c>
      <c r="P26" s="62">
        <v>100</v>
      </c>
      <c r="R26" s="3" t="s">
        <v>7617</v>
      </c>
      <c r="T26" t="str">
        <f>IFERROR(IF(VLOOKUP(Tabla13[[#This Row],[ID TRABAJADOR]],Tabla57[Cod trabalhador],1,0)&lt;&gt;"","KI",""),"")</f>
        <v/>
      </c>
      <c r="U26" t="str">
        <f>IFERROR(IF(VLOOKUP(Tabla13[[#This Row],[ID TRABAJADOR]],Tabla5[Cod trabalhador],1,0)&lt;&gt;"","KR",""),"")</f>
        <v>KR</v>
      </c>
      <c r="V26" t="str">
        <f>IFERROR(IF(VLOOKUP(Tabla13[[#This Row],[ID TRABAJADOR]],Wiseowe!B:B,1,0)&lt;&gt;"","WS",""),"")</f>
        <v/>
      </c>
      <c r="W26" t="str">
        <f>IFERROR(IF(VLOOKUP(Tabla13[[#This Row],[ID TRABAJADOR]],Luminous!B:B,1,0)&lt;&gt;"","LM",""),"")</f>
        <v/>
      </c>
      <c r="X26" t="str">
        <f>IFERROR(IF(VLOOKUP(Tabla13[[#This Row],[ID TRABAJADOR]],#REF!,1,0)&lt;&gt;"","ST",""),"")</f>
        <v/>
      </c>
    </row>
    <row r="27" spans="1:24" ht="18" customHeight="1" x14ac:dyDescent="0.35">
      <c r="A27" s="211">
        <v>46043</v>
      </c>
      <c r="B27" s="2" t="str">
        <f>IF(Tabla13[[#This Row],[TRABAJADOR]]="", "", INDEX(Colaboradores!A:A, MATCH(Tabla13[[#This Row],[TRABAJADOR]],Colaboradores!C:C, 0)))</f>
        <v>E0062</v>
      </c>
      <c r="C27" s="3" t="s">
        <v>538</v>
      </c>
      <c r="D27" s="3" t="s">
        <v>540</v>
      </c>
      <c r="E27" s="2" t="s">
        <v>7074</v>
      </c>
      <c r="F27" s="3" t="s">
        <v>7618</v>
      </c>
      <c r="G27" s="222" t="s">
        <v>7619</v>
      </c>
      <c r="H27" s="7">
        <v>250</v>
      </c>
      <c r="P27" s="62">
        <v>250</v>
      </c>
      <c r="R27" s="3" t="s">
        <v>7620</v>
      </c>
      <c r="T27" s="208" t="str">
        <f>IFERROR(IF(VLOOKUP(Tabla13[[#This Row],[ID TRABAJADOR]],Tabla57[Cod trabalhador],1,0)&lt;&gt;"","KI",""),"")</f>
        <v/>
      </c>
      <c r="U27" s="208" t="str">
        <f>IFERROR(IF(VLOOKUP(Tabla13[[#This Row],[ID TRABAJADOR]],Tabla5[Cod trabalhador],1,0)&lt;&gt;"","KR",""),"")</f>
        <v/>
      </c>
      <c r="V27" s="208" t="str">
        <f>IFERROR(IF(VLOOKUP(Tabla13[[#This Row],[ID TRABAJADOR]],Wiseowe!B:B,1,0)&lt;&gt;"","WS",""),"")</f>
        <v/>
      </c>
      <c r="W27" s="208" t="str">
        <f>IFERROR(IF(VLOOKUP(Tabla13[[#This Row],[ID TRABAJADOR]],Luminous!B:B,1,0)&lt;&gt;"","LM",""),"")</f>
        <v>LM</v>
      </c>
      <c r="X27" s="208" t="str">
        <f>IFERROR(IF(VLOOKUP(Tabla13[[#This Row],[ID TRABAJADOR]],#REF!,1,0)&lt;&gt;"","ST",""),"")</f>
        <v/>
      </c>
    </row>
    <row r="28" spans="1:24" ht="18" customHeight="1" x14ac:dyDescent="0.35">
      <c r="A28" s="211">
        <v>46045</v>
      </c>
      <c r="B28" s="2" t="str">
        <f>IF(Tabla13[[#This Row],[TRABAJADOR]]="", "", INDEX(Colaboradores!A:A, MATCH(Tabla13[[#This Row],[TRABAJADOR]],Colaboradores!C:C, 0)))</f>
        <v>E2052</v>
      </c>
      <c r="C28" s="3" t="s">
        <v>2056</v>
      </c>
      <c r="D28" s="3" t="s">
        <v>2058</v>
      </c>
      <c r="E28" s="2" t="s">
        <v>7074</v>
      </c>
      <c r="F28" s="3" t="s">
        <v>7621</v>
      </c>
      <c r="G28" s="222" t="s">
        <v>7622</v>
      </c>
      <c r="H28" s="7">
        <v>100</v>
      </c>
      <c r="P28" s="62">
        <v>100</v>
      </c>
      <c r="T28" s="208" t="str">
        <f>IFERROR(IF(VLOOKUP(Tabla13[[#This Row],[ID TRABAJADOR]],Tabla57[Cod trabalhador],1,0)&lt;&gt;"","KI",""),"")</f>
        <v/>
      </c>
      <c r="U28" s="208" t="str">
        <f>IFERROR(IF(VLOOKUP(Tabla13[[#This Row],[ID TRABAJADOR]],Tabla5[Cod trabalhador],1,0)&lt;&gt;"","KR",""),"")</f>
        <v/>
      </c>
      <c r="V28" s="208" t="str">
        <f>IFERROR(IF(VLOOKUP(Tabla13[[#This Row],[ID TRABAJADOR]],Wiseowe!B:B,1,0)&lt;&gt;"","WS",""),"")</f>
        <v/>
      </c>
      <c r="W28" s="208" t="str">
        <f>IFERROR(IF(VLOOKUP(Tabla13[[#This Row],[ID TRABAJADOR]],Luminous!B:B,1,0)&lt;&gt;"","LM",""),"")</f>
        <v>LM</v>
      </c>
      <c r="X28" s="208" t="str">
        <f>IFERROR(IF(VLOOKUP(Tabla13[[#This Row],[ID TRABAJADOR]],#REF!,1,0)&lt;&gt;"","ST",""),"")</f>
        <v/>
      </c>
    </row>
    <row r="29" spans="1:24" ht="18" customHeight="1" x14ac:dyDescent="0.35">
      <c r="A29" s="211">
        <v>46052</v>
      </c>
      <c r="B29" s="2" t="str">
        <f>IF(Tabla13[[#This Row],[TRABAJADOR]]="", "", INDEX(Colaboradores!A:A, MATCH(Tabla13[[#This Row],[TRABAJADOR]],Colaboradores!C:C, 0)))</f>
        <v>E0086</v>
      </c>
      <c r="C29" s="3" t="s">
        <v>2556</v>
      </c>
      <c r="D29" s="3" t="s">
        <v>2558</v>
      </c>
      <c r="E29" s="2" t="s">
        <v>7074</v>
      </c>
      <c r="G29" s="222" t="s">
        <v>7623</v>
      </c>
      <c r="K29" s="7">
        <v>36.25</v>
      </c>
      <c r="P29" s="62">
        <v>36.25</v>
      </c>
      <c r="Q29" s="3" t="s">
        <v>7611</v>
      </c>
      <c r="T29" t="str">
        <f>IFERROR(IF(VLOOKUP(Tabla13[[#This Row],[ID TRABAJADOR]],Tabla57[Cod trabalhador],1,0)&lt;&gt;"","KI",""),"")</f>
        <v/>
      </c>
      <c r="U29" t="str">
        <f>IFERROR(IF(VLOOKUP(Tabla13[[#This Row],[ID TRABAJADOR]],Tabla5[Cod trabalhador],1,0)&lt;&gt;"","KR",""),"")</f>
        <v/>
      </c>
      <c r="V29" t="str">
        <f>IFERROR(IF(VLOOKUP(Tabla13[[#This Row],[ID TRABAJADOR]],Wiseowe!B:B,1,0)&lt;&gt;"","WS",""),"")</f>
        <v/>
      </c>
      <c r="W29" t="str">
        <f>IFERROR(IF(VLOOKUP(Tabla13[[#This Row],[ID TRABAJADOR]],Luminous!B:B,1,0)&lt;&gt;"","LM",""),"")</f>
        <v>LM</v>
      </c>
      <c r="X29" t="str">
        <f>IFERROR(IF(VLOOKUP(Tabla13[[#This Row],[ID TRABAJADOR]],#REF!,1,0)&lt;&gt;"","ST",""),"")</f>
        <v/>
      </c>
    </row>
    <row r="30" spans="1:24" ht="18" customHeight="1" x14ac:dyDescent="0.35">
      <c r="A30" s="211">
        <v>46048</v>
      </c>
      <c r="B30" s="2" t="str">
        <f>IF(Tabla13[[#This Row],[TRABAJADOR]]="", "", INDEX(Colaboradores!A:A, MATCH(Tabla13[[#This Row],[TRABAJADOR]],Colaboradores!C:C, 0)))</f>
        <v>E0067</v>
      </c>
      <c r="C30" s="3" t="s">
        <v>3125</v>
      </c>
      <c r="D30" s="3" t="s">
        <v>3127</v>
      </c>
      <c r="E30" s="2" t="s">
        <v>7624</v>
      </c>
      <c r="F30" s="3" t="s">
        <v>7625</v>
      </c>
      <c r="G30" s="222" t="s">
        <v>7619</v>
      </c>
      <c r="H30" s="7">
        <v>50</v>
      </c>
      <c r="P30" s="62">
        <v>50</v>
      </c>
      <c r="T30" t="str">
        <f>IFERROR(IF(VLOOKUP(Tabla13[[#This Row],[ID TRABAJADOR]],Tabla57[Cod trabalhador],1,0)&lt;&gt;"","KI",""),"")</f>
        <v/>
      </c>
      <c r="U30" t="str">
        <f>IFERROR(IF(VLOOKUP(Tabla13[[#This Row],[ID TRABAJADOR]],Tabla5[Cod trabalhador],1,0)&lt;&gt;"","KR",""),"")</f>
        <v/>
      </c>
      <c r="V30" t="str">
        <f>IFERROR(IF(VLOOKUP(Tabla13[[#This Row],[ID TRABAJADOR]],Wiseowe!B:B,1,0)&lt;&gt;"","WS",""),"")</f>
        <v/>
      </c>
      <c r="W30" t="str">
        <f>IFERROR(IF(VLOOKUP(Tabla13[[#This Row],[ID TRABAJADOR]],Luminous!B:B,1,0)&lt;&gt;"","LM",""),"")</f>
        <v>LM</v>
      </c>
      <c r="X30" t="str">
        <f>IFERROR(IF(VLOOKUP(Tabla13[[#This Row],[ID TRABAJADOR]],#REF!,1,0)&lt;&gt;"","ST",""),"")</f>
        <v/>
      </c>
    </row>
    <row r="31" spans="1:24" ht="18" customHeight="1" x14ac:dyDescent="0.35">
      <c r="A31" s="211">
        <v>46064</v>
      </c>
      <c r="B31" s="2" t="str">
        <f>IF(Tabla13[[#This Row],[TRABAJADOR]]="", "", INDEX(Colaboradores!A:A, MATCH(Tabla13[[#This Row],[TRABAJADOR]],Colaboradores!C:C, 0)))</f>
        <v>E1825</v>
      </c>
      <c r="C31" s="3" t="s">
        <v>4085</v>
      </c>
      <c r="D31" s="3" t="s">
        <v>4087</v>
      </c>
      <c r="E31" s="2" t="s">
        <v>7626</v>
      </c>
      <c r="M31" s="7">
        <v>21.74</v>
      </c>
      <c r="P31" s="62">
        <v>21.74</v>
      </c>
      <c r="T31" t="str">
        <f>IFERROR(IF(VLOOKUP(Tabla13[[#This Row],[ID TRABAJADOR]],Tabla57[Cod trabalhador],1,0)&lt;&gt;"","KI",""),"")</f>
        <v/>
      </c>
      <c r="U31" t="str">
        <f>IFERROR(IF(VLOOKUP(Tabla13[[#This Row],[ID TRABAJADOR]],Tabla5[Cod trabalhador],1,0)&lt;&gt;"","KR",""),"")</f>
        <v/>
      </c>
      <c r="V31" t="str">
        <f>IFERROR(IF(VLOOKUP(Tabla13[[#This Row],[ID TRABAJADOR]],Wiseowe!B:B,1,0)&lt;&gt;"","WS",""),"")</f>
        <v/>
      </c>
      <c r="W31" t="str">
        <f>IFERROR(IF(VLOOKUP(Tabla13[[#This Row],[ID TRABAJADOR]],Luminous!B:B,1,0)&lt;&gt;"","LM",""),"")</f>
        <v/>
      </c>
      <c r="X31" t="str">
        <f>IFERROR(IF(VLOOKUP(Tabla13[[#This Row],[ID TRABAJADOR]],#REF!,1,0)&lt;&gt;"","ST",""),"")</f>
        <v/>
      </c>
    </row>
    <row r="32" spans="1:24" ht="18" customHeight="1" x14ac:dyDescent="0.35">
      <c r="A32" s="211">
        <v>46064</v>
      </c>
      <c r="B32" s="2" t="str">
        <f>IF(Tabla13[[#This Row],[TRABAJADOR]]="", "", INDEX(Colaboradores!A:A, MATCH(Tabla13[[#This Row],[TRABAJADOR]],Colaboradores!C:C, 0)))</f>
        <v>E1995</v>
      </c>
      <c r="C32" s="3" t="s">
        <v>693</v>
      </c>
      <c r="D32" s="3" t="s">
        <v>695</v>
      </c>
      <c r="E32" s="2" t="s">
        <v>7626</v>
      </c>
      <c r="M32" s="7">
        <v>21.74</v>
      </c>
      <c r="P32" s="62">
        <v>21.74</v>
      </c>
      <c r="T32" s="208" t="str">
        <f>IFERROR(IF(VLOOKUP(Tabla13[[#This Row],[ID TRABAJADOR]],Tabla57[Cod trabalhador],1,0)&lt;&gt;"","KI",""),"")</f>
        <v/>
      </c>
      <c r="U32" s="208" t="str">
        <f>IFERROR(IF(VLOOKUP(Tabla13[[#This Row],[ID TRABAJADOR]],Tabla5[Cod trabalhador],1,0)&lt;&gt;"","KR",""),"")</f>
        <v/>
      </c>
      <c r="V32" s="208" t="str">
        <f>IFERROR(IF(VLOOKUP(Tabla13[[#This Row],[ID TRABAJADOR]],Wiseowe!B:B,1,0)&lt;&gt;"","WS",""),"")</f>
        <v/>
      </c>
      <c r="W32" s="208" t="str">
        <f>IFERROR(IF(VLOOKUP(Tabla13[[#This Row],[ID TRABAJADOR]],Luminous!B:B,1,0)&lt;&gt;"","LM",""),"")</f>
        <v>LM</v>
      </c>
      <c r="X32" s="208" t="str">
        <f>IFERROR(IF(VLOOKUP(Tabla13[[#This Row],[ID TRABAJADOR]],#REF!,1,0)&lt;&gt;"","ST",""),"")</f>
        <v/>
      </c>
    </row>
    <row r="33" spans="1:24" ht="18" customHeight="1" x14ac:dyDescent="0.35">
      <c r="A33" s="211">
        <v>46064</v>
      </c>
      <c r="B33" s="2" t="str">
        <f>IF(Tabla13[[#This Row],[TRABAJADOR]]="", "", INDEX(Colaboradores!A:A, MATCH(Tabla13[[#This Row],[TRABAJADOR]],Colaboradores!C:C, 0)))</f>
        <v>E1496</v>
      </c>
      <c r="C33" s="3" t="s">
        <v>2261</v>
      </c>
      <c r="D33" s="3" t="s">
        <v>2263</v>
      </c>
      <c r="E33" s="2" t="s">
        <v>7626</v>
      </c>
      <c r="M33" s="7">
        <v>21.74</v>
      </c>
      <c r="P33" s="62">
        <v>21.74</v>
      </c>
      <c r="T33" t="str">
        <f>IFERROR(IF(VLOOKUP(Tabla13[[#This Row],[ID TRABAJADOR]],Tabla57[Cod trabalhador],1,0)&lt;&gt;"","KI",""),"")</f>
        <v/>
      </c>
      <c r="U33" t="str">
        <f>IFERROR(IF(VLOOKUP(Tabla13[[#This Row],[ID TRABAJADOR]],Tabla5[Cod trabalhador],1,0)&lt;&gt;"","KR",""),"")</f>
        <v/>
      </c>
      <c r="V33" t="str">
        <f>IFERROR(IF(VLOOKUP(Tabla13[[#This Row],[ID TRABAJADOR]],Wiseowe!B:B,1,0)&lt;&gt;"","WS",""),"")</f>
        <v/>
      </c>
      <c r="W33" t="str">
        <f>IFERROR(IF(VLOOKUP(Tabla13[[#This Row],[ID TRABAJADOR]],Luminous!B:B,1,0)&lt;&gt;"","LM",""),"")</f>
        <v>LM</v>
      </c>
      <c r="X33" t="str">
        <f>IFERROR(IF(VLOOKUP(Tabla13[[#This Row],[ID TRABAJADOR]],#REF!,1,0)&lt;&gt;"","ST",""),"")</f>
        <v/>
      </c>
    </row>
    <row r="34" spans="1:24" ht="18" customHeight="1" x14ac:dyDescent="0.35">
      <c r="A34" s="211">
        <v>46064</v>
      </c>
      <c r="B34" s="2" t="str">
        <f>IF(Tabla13[[#This Row],[TRABAJADOR]]="", "", INDEX(Colaboradores!A:A, MATCH(Tabla13[[#This Row],[TRABAJADOR]],Colaboradores!C:C, 0)))</f>
        <v>E1930</v>
      </c>
      <c r="C34" s="3" t="s">
        <v>4349</v>
      </c>
      <c r="D34" s="3" t="s">
        <v>4351</v>
      </c>
      <c r="E34" s="2" t="s">
        <v>7626</v>
      </c>
      <c r="M34" s="7">
        <v>21.74</v>
      </c>
      <c r="P34" s="62">
        <v>21.74</v>
      </c>
      <c r="T34" t="str">
        <f>IFERROR(IF(VLOOKUP(Tabla13[[#This Row],[ID TRABAJADOR]],Tabla57[Cod trabalhador],1,0)&lt;&gt;"","KI",""),"")</f>
        <v/>
      </c>
      <c r="U34" t="str">
        <f>IFERROR(IF(VLOOKUP(Tabla13[[#This Row],[ID TRABAJADOR]],Tabla5[Cod trabalhador],1,0)&lt;&gt;"","KR",""),"")</f>
        <v/>
      </c>
      <c r="V34" t="str">
        <f>IFERROR(IF(VLOOKUP(Tabla13[[#This Row],[ID TRABAJADOR]],Wiseowe!B:B,1,0)&lt;&gt;"","WS",""),"")</f>
        <v/>
      </c>
      <c r="W34" t="str">
        <f>IFERROR(IF(VLOOKUP(Tabla13[[#This Row],[ID TRABAJADOR]],Luminous!B:B,1,0)&lt;&gt;"","LM",""),"")</f>
        <v>LM</v>
      </c>
      <c r="X34" t="str">
        <f>IFERROR(IF(VLOOKUP(Tabla13[[#This Row],[ID TRABAJADOR]],#REF!,1,0)&lt;&gt;"","ST",""),"")</f>
        <v/>
      </c>
    </row>
    <row r="35" spans="1:24" ht="18" customHeight="1" x14ac:dyDescent="0.35">
      <c r="A35" s="211">
        <v>46064</v>
      </c>
      <c r="B35" s="2" t="str">
        <f>IF(Tabla13[[#This Row],[TRABAJADOR]]="", "", INDEX(Colaboradores!A:A, MATCH(Tabla13[[#This Row],[TRABAJADOR]],Colaboradores!C:C, 0)))</f>
        <v>E1556</v>
      </c>
      <c r="C35" s="3" t="s">
        <v>5082</v>
      </c>
      <c r="D35" s="3" t="s">
        <v>5084</v>
      </c>
      <c r="E35" s="2" t="s">
        <v>7626</v>
      </c>
      <c r="G35" s="222" t="s">
        <v>7627</v>
      </c>
      <c r="M35" s="7">
        <v>21.74</v>
      </c>
      <c r="P35" s="62">
        <v>21.74</v>
      </c>
      <c r="T35" t="str">
        <f>IFERROR(IF(VLOOKUP(Tabla13[[#This Row],[ID TRABAJADOR]],Tabla57[Cod trabalhador],1,0)&lt;&gt;"","KI",""),"")</f>
        <v/>
      </c>
      <c r="U35" t="str">
        <f>IFERROR(IF(VLOOKUP(Tabla13[[#This Row],[ID TRABAJADOR]],Tabla5[Cod trabalhador],1,0)&lt;&gt;"","KR",""),"")</f>
        <v/>
      </c>
      <c r="V35" t="str">
        <f>IFERROR(IF(VLOOKUP(Tabla13[[#This Row],[ID TRABAJADOR]],Wiseowe!B:B,1,0)&lt;&gt;"","WS",""),"")</f>
        <v/>
      </c>
      <c r="W35" t="str">
        <f>IFERROR(IF(VLOOKUP(Tabla13[[#This Row],[ID TRABAJADOR]],Luminous!B:B,1,0)&lt;&gt;"","LM",""),"")</f>
        <v>LM</v>
      </c>
      <c r="X35" t="str">
        <f>IFERROR(IF(VLOOKUP(Tabla13[[#This Row],[ID TRABAJADOR]],#REF!,1,0)&lt;&gt;"","ST",""),"")</f>
        <v/>
      </c>
    </row>
    <row r="36" spans="1:24" ht="28.5" customHeight="1" x14ac:dyDescent="0.35">
      <c r="A36" s="211">
        <v>46064</v>
      </c>
      <c r="B36" s="2" t="str">
        <f>IF(Tabla13[[#This Row],[TRABAJADOR]]="", "", INDEX(Colaboradores!A:A, MATCH(Tabla13[[#This Row],[TRABAJADOR]],Colaboradores!C:C, 0)))</f>
        <v>E1994</v>
      </c>
      <c r="C36" s="3" t="s">
        <v>5244</v>
      </c>
      <c r="D36" s="3" t="s">
        <v>5246</v>
      </c>
      <c r="E36" s="2" t="s">
        <v>7626</v>
      </c>
      <c r="M36" s="7">
        <v>21.74</v>
      </c>
      <c r="P36" s="62">
        <v>21.74</v>
      </c>
      <c r="T36" t="str">
        <f>IFERROR(IF(VLOOKUP(Tabla13[[#This Row],[ID TRABAJADOR]],Tabla57[Cod trabalhador],1,0)&lt;&gt;"","KI",""),"")</f>
        <v/>
      </c>
      <c r="U36" t="str">
        <f>IFERROR(IF(VLOOKUP(Tabla13[[#This Row],[ID TRABAJADOR]],Tabla5[Cod trabalhador],1,0)&lt;&gt;"","KR",""),"")</f>
        <v/>
      </c>
      <c r="V36" t="str">
        <f>IFERROR(IF(VLOOKUP(Tabla13[[#This Row],[ID TRABAJADOR]],Wiseowe!B:B,1,0)&lt;&gt;"","WS",""),"")</f>
        <v/>
      </c>
      <c r="W36" t="str">
        <f>IFERROR(IF(VLOOKUP(Tabla13[[#This Row],[ID TRABAJADOR]],Luminous!B:B,1,0)&lt;&gt;"","LM",""),"")</f>
        <v>LM</v>
      </c>
      <c r="X36" t="str">
        <f>IFERROR(IF(VLOOKUP(Tabla13[[#This Row],[ID TRABAJADOR]],#REF!,1,0)&lt;&gt;"","ST",""),"")</f>
        <v/>
      </c>
    </row>
    <row r="37" spans="1:24" ht="42.75" customHeight="1" x14ac:dyDescent="0.35">
      <c r="A37" s="211">
        <v>46064</v>
      </c>
      <c r="B37" s="2" t="str">
        <f>IF(Tabla13[[#This Row],[TRABAJADOR]]="", "", INDEX(Colaboradores!A:A, MATCH(Tabla13[[#This Row],[TRABAJADOR]],Colaboradores!C:C, 0)))</f>
        <v>E1844</v>
      </c>
      <c r="C37" s="3" t="s">
        <v>5504</v>
      </c>
      <c r="D37" s="3" t="s">
        <v>5506</v>
      </c>
      <c r="E37" s="2" t="s">
        <v>7626</v>
      </c>
      <c r="M37" s="7">
        <v>21.74</v>
      </c>
      <c r="P37" s="62">
        <v>21.74</v>
      </c>
      <c r="T37" t="str">
        <f>IFERROR(IF(VLOOKUP(Tabla13[[#This Row],[ID TRABAJADOR]],Tabla57[Cod trabalhador],1,0)&lt;&gt;"","KI",""),"")</f>
        <v/>
      </c>
      <c r="U37" t="str">
        <f>IFERROR(IF(VLOOKUP(Tabla13[[#This Row],[ID TRABAJADOR]],Tabla5[Cod trabalhador],1,0)&lt;&gt;"","KR",""),"")</f>
        <v/>
      </c>
      <c r="V37" t="str">
        <f>IFERROR(IF(VLOOKUP(Tabla13[[#This Row],[ID TRABAJADOR]],Wiseowe!B:B,1,0)&lt;&gt;"","WS",""),"")</f>
        <v/>
      </c>
      <c r="W37" t="str">
        <f>IFERROR(IF(VLOOKUP(Tabla13[[#This Row],[ID TRABAJADOR]],Luminous!B:B,1,0)&lt;&gt;"","LM",""),"")</f>
        <v>LM</v>
      </c>
      <c r="X37" t="str">
        <f>IFERROR(IF(VLOOKUP(Tabla13[[#This Row],[ID TRABAJADOR]],#REF!,1,0)&lt;&gt;"","ST",""),"")</f>
        <v/>
      </c>
    </row>
    <row r="38" spans="1:24" ht="28.5" customHeight="1" x14ac:dyDescent="0.35">
      <c r="A38" s="211">
        <v>46064</v>
      </c>
      <c r="B38" s="2" t="str">
        <f>IF(Tabla13[[#This Row],[TRABAJADOR]]="", "", INDEX(Colaboradores!A:A, MATCH(Tabla13[[#This Row],[TRABAJADOR]],Colaboradores!C:C, 0)))</f>
        <v>E1753</v>
      </c>
      <c r="C38" s="3" t="s">
        <v>5566</v>
      </c>
      <c r="D38" s="3" t="s">
        <v>5568</v>
      </c>
      <c r="E38" s="2" t="s">
        <v>7626</v>
      </c>
      <c r="M38" s="7">
        <v>21.74</v>
      </c>
      <c r="P38" s="62">
        <v>21.74</v>
      </c>
      <c r="T38" t="str">
        <f>IFERROR(IF(VLOOKUP(Tabla13[[#This Row],[ID TRABAJADOR]],Tabla57[Cod trabalhador],1,0)&lt;&gt;"","KI",""),"")</f>
        <v/>
      </c>
      <c r="U38" t="str">
        <f>IFERROR(IF(VLOOKUP(Tabla13[[#This Row],[ID TRABAJADOR]],Tabla5[Cod trabalhador],1,0)&lt;&gt;"","KR",""),"")</f>
        <v/>
      </c>
      <c r="V38" t="str">
        <f>IFERROR(IF(VLOOKUP(Tabla13[[#This Row],[ID TRABAJADOR]],Wiseowe!B:B,1,0)&lt;&gt;"","WS",""),"")</f>
        <v/>
      </c>
      <c r="W38" t="str">
        <f>IFERROR(IF(VLOOKUP(Tabla13[[#This Row],[ID TRABAJADOR]],Luminous!B:B,1,0)&lt;&gt;"","LM",""),"")</f>
        <v>LM</v>
      </c>
      <c r="X38" t="str">
        <f>IFERROR(IF(VLOOKUP(Tabla13[[#This Row],[ID TRABAJADOR]],#REF!,1,0)&lt;&gt;"","ST",""),"")</f>
        <v/>
      </c>
    </row>
    <row r="39" spans="1:24" ht="15" customHeight="1" x14ac:dyDescent="0.35">
      <c r="A39" s="211">
        <v>46057</v>
      </c>
      <c r="B39" s="2" t="str">
        <f>IF(Tabla13[[#This Row],[TRABAJADOR]]="", "", INDEX(Colaboradores!A:A, MATCH(Tabla13[[#This Row],[TRABAJADOR]],Colaboradores!C:C, 0)))</f>
        <v>E0622</v>
      </c>
      <c r="C39" s="3" t="s">
        <v>661</v>
      </c>
      <c r="D39" s="3" t="s">
        <v>663</v>
      </c>
      <c r="E39" s="2" t="s">
        <v>7626</v>
      </c>
      <c r="G39" s="222" t="s">
        <v>7390</v>
      </c>
      <c r="K39" s="7">
        <v>53.16</v>
      </c>
      <c r="P39" s="62">
        <v>53.16</v>
      </c>
      <c r="Q39" s="3" t="s">
        <v>7611</v>
      </c>
      <c r="T39" s="208" t="str">
        <f>IFERROR(IF(VLOOKUP(Tabla13[[#This Row],[ID TRABAJADOR]],Tabla57[Cod trabalhador],1,0)&lt;&gt;"","KI",""),"")</f>
        <v/>
      </c>
      <c r="U39" s="208" t="str">
        <f>IFERROR(IF(VLOOKUP(Tabla13[[#This Row],[ID TRABAJADOR]],Tabla5[Cod trabalhador],1,0)&lt;&gt;"","KR",""),"")</f>
        <v/>
      </c>
      <c r="V39" s="208" t="str">
        <f>IFERROR(IF(VLOOKUP(Tabla13[[#This Row],[ID TRABAJADOR]],Wiseowe!B:B,1,0)&lt;&gt;"","WS",""),"")</f>
        <v/>
      </c>
      <c r="W39" s="208" t="str">
        <f>IFERROR(IF(VLOOKUP(Tabla13[[#This Row],[ID TRABAJADOR]],Luminous!B:B,1,0)&lt;&gt;"","LM",""),"")</f>
        <v>LM</v>
      </c>
      <c r="X39" s="208" t="str">
        <f>IFERROR(IF(VLOOKUP(Tabla13[[#This Row],[ID TRABAJADOR]],#REF!,1,0)&lt;&gt;"","ST",""),"")</f>
        <v/>
      </c>
    </row>
    <row r="40" spans="1:24" ht="15" customHeight="1" x14ac:dyDescent="0.35">
      <c r="A40" s="211">
        <v>46057</v>
      </c>
      <c r="B40" s="2" t="str">
        <f>IF(Tabla13[[#This Row],[TRABAJADOR]]="", "", INDEX(Colaboradores!A:A, MATCH(Tabla13[[#This Row],[TRABAJADOR]],Colaboradores!C:C, 0)))</f>
        <v>E1958</v>
      </c>
      <c r="C40" s="3" t="s">
        <v>2742</v>
      </c>
      <c r="D40" s="3" t="s">
        <v>2744</v>
      </c>
      <c r="E40" s="2" t="s">
        <v>7626</v>
      </c>
      <c r="G40" s="222" t="s">
        <v>7390</v>
      </c>
      <c r="K40" s="7">
        <v>53.16</v>
      </c>
      <c r="P40" s="62">
        <v>53.16</v>
      </c>
      <c r="Q40" s="3" t="s">
        <v>7611</v>
      </c>
      <c r="T40" t="str">
        <f>IFERROR(IF(VLOOKUP(Tabla13[[#This Row],[ID TRABAJADOR]],Tabla57[Cod trabalhador],1,0)&lt;&gt;"","KI",""),"")</f>
        <v/>
      </c>
      <c r="U40" t="str">
        <f>IFERROR(IF(VLOOKUP(Tabla13[[#This Row],[ID TRABAJADOR]],Tabla5[Cod trabalhador],1,0)&lt;&gt;"","KR",""),"")</f>
        <v/>
      </c>
      <c r="V40" t="str">
        <f>IFERROR(IF(VLOOKUP(Tabla13[[#This Row],[ID TRABAJADOR]],Wiseowe!B:B,1,0)&lt;&gt;"","WS",""),"")</f>
        <v/>
      </c>
      <c r="W40" t="str">
        <f>IFERROR(IF(VLOOKUP(Tabla13[[#This Row],[ID TRABAJADOR]],Luminous!B:B,1,0)&lt;&gt;"","LM",""),"")</f>
        <v>LM</v>
      </c>
      <c r="X40" t="str">
        <f>IFERROR(IF(VLOOKUP(Tabla13[[#This Row],[ID TRABAJADOR]],#REF!,1,0)&lt;&gt;"","ST",""),"")</f>
        <v/>
      </c>
    </row>
    <row r="41" spans="1:24" ht="15" customHeight="1" x14ac:dyDescent="0.35">
      <c r="A41" s="211">
        <v>46057</v>
      </c>
      <c r="B41" s="2" t="str">
        <f>IF(Tabla13[[#This Row],[TRABAJADOR]]="", "", INDEX(Colaboradores!A:A, MATCH(Tabla13[[#This Row],[TRABAJADOR]],Colaboradores!C:C, 0)))</f>
        <v>E1772</v>
      </c>
      <c r="C41" s="3" t="s">
        <v>3273</v>
      </c>
      <c r="D41" s="3" t="s">
        <v>3275</v>
      </c>
      <c r="E41" s="2" t="s">
        <v>7626</v>
      </c>
      <c r="G41" s="222" t="s">
        <v>7390</v>
      </c>
      <c r="K41" s="7">
        <v>53.16</v>
      </c>
      <c r="P41" s="62">
        <v>53.16</v>
      </c>
      <c r="Q41" s="3" t="s">
        <v>7611</v>
      </c>
      <c r="T41" t="str">
        <f>IFERROR(IF(VLOOKUP(Tabla13[[#This Row],[ID TRABAJADOR]],Tabla57[Cod trabalhador],1,0)&lt;&gt;"","KI",""),"")</f>
        <v/>
      </c>
      <c r="U41" t="str">
        <f>IFERROR(IF(VLOOKUP(Tabla13[[#This Row],[ID TRABAJADOR]],Tabla5[Cod trabalhador],1,0)&lt;&gt;"","KR",""),"")</f>
        <v/>
      </c>
      <c r="V41" t="str">
        <f>IFERROR(IF(VLOOKUP(Tabla13[[#This Row],[ID TRABAJADOR]],Wiseowe!B:B,1,0)&lt;&gt;"","WS",""),"")</f>
        <v/>
      </c>
      <c r="W41" t="str">
        <f>IFERROR(IF(VLOOKUP(Tabla13[[#This Row],[ID TRABAJADOR]],Luminous!B:B,1,0)&lt;&gt;"","LM",""),"")</f>
        <v>LM</v>
      </c>
      <c r="X41" t="str">
        <f>IFERROR(IF(VLOOKUP(Tabla13[[#This Row],[ID TRABAJADOR]],#REF!,1,0)&lt;&gt;"","ST",""),"")</f>
        <v/>
      </c>
    </row>
    <row r="42" spans="1:24" ht="15" customHeight="1" x14ac:dyDescent="0.35">
      <c r="A42" s="211">
        <v>46057</v>
      </c>
      <c r="B42" s="2" t="str">
        <f>IF(Tabla13[[#This Row],[TRABAJADOR]]="", "", INDEX(Colaboradores!A:A, MATCH(Tabla13[[#This Row],[TRABAJADOR]],Colaboradores!C:C, 0)))</f>
        <v>E1531</v>
      </c>
      <c r="C42" s="3" t="s">
        <v>3719</v>
      </c>
      <c r="D42" s="3" t="s">
        <v>3721</v>
      </c>
      <c r="E42" s="2" t="s">
        <v>7626</v>
      </c>
      <c r="G42" s="222" t="s">
        <v>7390</v>
      </c>
      <c r="K42" s="7">
        <v>53.16</v>
      </c>
      <c r="P42" s="62">
        <v>53.16</v>
      </c>
      <c r="Q42" s="3" t="s">
        <v>7611</v>
      </c>
      <c r="T42" t="str">
        <f>IFERROR(IF(VLOOKUP(Tabla13[[#This Row],[ID TRABAJADOR]],Tabla57[Cod trabalhador],1,0)&lt;&gt;"","KI",""),"")</f>
        <v/>
      </c>
      <c r="U42" t="str">
        <f>IFERROR(IF(VLOOKUP(Tabla13[[#This Row],[ID TRABAJADOR]],Tabla5[Cod trabalhador],1,0)&lt;&gt;"","KR",""),"")</f>
        <v/>
      </c>
      <c r="V42" t="str">
        <f>IFERROR(IF(VLOOKUP(Tabla13[[#This Row],[ID TRABAJADOR]],Wiseowe!B:B,1,0)&lt;&gt;"","WS",""),"")</f>
        <v/>
      </c>
      <c r="W42" t="str">
        <f>IFERROR(IF(VLOOKUP(Tabla13[[#This Row],[ID TRABAJADOR]],Luminous!B:B,1,0)&lt;&gt;"","LM",""),"")</f>
        <v>LM</v>
      </c>
      <c r="X42" t="str">
        <f>IFERROR(IF(VLOOKUP(Tabla13[[#This Row],[ID TRABAJADOR]],#REF!,1,0)&lt;&gt;"","ST",""),"")</f>
        <v/>
      </c>
    </row>
    <row r="43" spans="1:24" ht="15" customHeight="1" x14ac:dyDescent="0.35">
      <c r="A43" s="211">
        <v>46064</v>
      </c>
      <c r="B43" s="2" t="str">
        <f>IF(Tabla13[[#This Row],[TRABAJADOR]]="", "", INDEX(Colaboradores!A:A, MATCH(Tabla13[[#This Row],[TRABAJADOR]],Colaboradores!C:C, 0)))</f>
        <v>E1972</v>
      </c>
      <c r="C43" s="3" t="s">
        <v>6804</v>
      </c>
      <c r="D43" s="3" t="s">
        <v>6806</v>
      </c>
      <c r="E43" s="2" t="s">
        <v>519</v>
      </c>
      <c r="M43" s="7">
        <v>21.74</v>
      </c>
      <c r="P43" s="62">
        <v>21.74</v>
      </c>
      <c r="T43" t="str">
        <f>IFERROR(IF(VLOOKUP(Tabla13[[#This Row],[ID TRABAJADOR]],Tabla57[Cod trabalhador],1,0)&lt;&gt;"","KI",""),"")</f>
        <v/>
      </c>
      <c r="U43" t="str">
        <f>IFERROR(IF(VLOOKUP(Tabla13[[#This Row],[ID TRABAJADOR]],Tabla5[Cod trabalhador],1,0)&lt;&gt;"","KR",""),"")</f>
        <v/>
      </c>
      <c r="V43" t="str">
        <f>IFERROR(IF(VLOOKUP(Tabla13[[#This Row],[ID TRABAJADOR]],Wiseowe!B:B,1,0)&lt;&gt;"","WS",""),"")</f>
        <v/>
      </c>
      <c r="W43" t="str">
        <f>IFERROR(IF(VLOOKUP(Tabla13[[#This Row],[ID TRABAJADOR]],Luminous!B:B,1,0)&lt;&gt;"","LM",""),"")</f>
        <v/>
      </c>
      <c r="X43" t="str">
        <f>IFERROR(IF(VLOOKUP(Tabla13[[#This Row],[ID TRABAJADOR]],#REF!,1,0)&lt;&gt;"","ST",""),"")</f>
        <v/>
      </c>
    </row>
    <row r="44" spans="1:24" ht="28.5" customHeight="1" x14ac:dyDescent="0.35">
      <c r="A44" s="211">
        <v>46064</v>
      </c>
      <c r="B44" s="2" t="str">
        <f>IF(Tabla13[[#This Row],[TRABAJADOR]]="", "", INDEX(Colaboradores!A:A, MATCH(Tabla13[[#This Row],[TRABAJADOR]],Colaboradores!C:C, 0)))</f>
        <v>E1744</v>
      </c>
      <c r="C44" s="3" t="s">
        <v>3331</v>
      </c>
      <c r="D44" s="3" t="s">
        <v>3333</v>
      </c>
      <c r="E44" s="2" t="s">
        <v>519</v>
      </c>
      <c r="M44" s="7">
        <v>21.74</v>
      </c>
      <c r="P44" s="62">
        <v>21.74</v>
      </c>
      <c r="T44" t="str">
        <f>IFERROR(IF(VLOOKUP(Tabla13[[#This Row],[ID TRABAJADOR]],Tabla57[Cod trabalhador],1,0)&lt;&gt;"","KI",""),"")</f>
        <v/>
      </c>
      <c r="U44" t="str">
        <f>IFERROR(IF(VLOOKUP(Tabla13[[#This Row],[ID TRABAJADOR]],Tabla5[Cod trabalhador],1,0)&lt;&gt;"","KR",""),"")</f>
        <v/>
      </c>
      <c r="V44" t="str">
        <f>IFERROR(IF(VLOOKUP(Tabla13[[#This Row],[ID TRABAJADOR]],Wiseowe!B:B,1,0)&lt;&gt;"","WS",""),"")</f>
        <v>WS</v>
      </c>
      <c r="W44" t="str">
        <f>IFERROR(IF(VLOOKUP(Tabla13[[#This Row],[ID TRABAJADOR]],Luminous!B:B,1,0)&lt;&gt;"","LM",""),"")</f>
        <v/>
      </c>
      <c r="X44" t="str">
        <f>IFERROR(IF(VLOOKUP(Tabla13[[#This Row],[ID TRABAJADOR]],#REF!,1,0)&lt;&gt;"","ST",""),"")</f>
        <v/>
      </c>
    </row>
    <row r="45" spans="1:24" ht="28.5" customHeight="1" x14ac:dyDescent="0.35">
      <c r="A45" s="211">
        <v>46064</v>
      </c>
      <c r="B45" s="2" t="str">
        <f>IF(Tabla13[[#This Row],[TRABAJADOR]]="", "", INDEX(Colaboradores!A:A, MATCH(Tabla13[[#This Row],[TRABAJADOR]],Colaboradores!C:C, 0)))</f>
        <v>E1971</v>
      </c>
      <c r="C45" s="3" t="s">
        <v>4000</v>
      </c>
      <c r="D45" s="3" t="s">
        <v>4002</v>
      </c>
      <c r="E45" s="2" t="s">
        <v>519</v>
      </c>
      <c r="M45" s="7">
        <v>21.74</v>
      </c>
      <c r="P45" s="62">
        <v>21.74</v>
      </c>
      <c r="T45" t="str">
        <f>IFERROR(IF(VLOOKUP(Tabla13[[#This Row],[ID TRABAJADOR]],Tabla57[Cod trabalhador],1,0)&lt;&gt;"","KI",""),"")</f>
        <v/>
      </c>
      <c r="U45" t="str">
        <f>IFERROR(IF(VLOOKUP(Tabla13[[#This Row],[ID TRABAJADOR]],Tabla5[Cod trabalhador],1,0)&lt;&gt;"","KR",""),"")</f>
        <v/>
      </c>
      <c r="V45" t="str">
        <f>IFERROR(IF(VLOOKUP(Tabla13[[#This Row],[ID TRABAJADOR]],Wiseowe!B:B,1,0)&lt;&gt;"","WS",""),"")</f>
        <v>WS</v>
      </c>
      <c r="W45" t="str">
        <f>IFERROR(IF(VLOOKUP(Tabla13[[#This Row],[ID TRABAJADOR]],Luminous!B:B,1,0)&lt;&gt;"","LM",""),"")</f>
        <v/>
      </c>
      <c r="X45" t="str">
        <f>IFERROR(IF(VLOOKUP(Tabla13[[#This Row],[ID TRABAJADOR]],#REF!,1,0)&lt;&gt;"","ST",""),"")</f>
        <v/>
      </c>
    </row>
    <row r="46" spans="1:24" ht="15" customHeight="1" x14ac:dyDescent="0.35">
      <c r="A46" s="211">
        <v>46064</v>
      </c>
      <c r="B46" s="2" t="str">
        <f>IF(Tabla13[[#This Row],[TRABAJADOR]]="", "", INDEX(Colaboradores!A:A, MATCH(Tabla13[[#This Row],[TRABAJADOR]],Colaboradores!C:C, 0)))</f>
        <v>E1926</v>
      </c>
      <c r="C46" s="3" t="s">
        <v>6708</v>
      </c>
      <c r="D46" s="3" t="s">
        <v>6710</v>
      </c>
      <c r="E46" s="2" t="s">
        <v>519</v>
      </c>
      <c r="G46" s="222" t="s">
        <v>7628</v>
      </c>
      <c r="M46" s="7">
        <v>21.74</v>
      </c>
      <c r="P46" s="62">
        <v>21.74</v>
      </c>
      <c r="T46" t="str">
        <f>IFERROR(IF(VLOOKUP(Tabla13[[#This Row],[ID TRABAJADOR]],Tabla57[Cod trabalhador],1,0)&lt;&gt;"","KI",""),"")</f>
        <v/>
      </c>
      <c r="U46" t="str">
        <f>IFERROR(IF(VLOOKUP(Tabla13[[#This Row],[ID TRABAJADOR]],Tabla5[Cod trabalhador],1,0)&lt;&gt;"","KR",""),"")</f>
        <v/>
      </c>
      <c r="V46" t="str">
        <f>IFERROR(IF(VLOOKUP(Tabla13[[#This Row],[ID TRABAJADOR]],Wiseowe!B:B,1,0)&lt;&gt;"","WS",""),"")</f>
        <v>WS</v>
      </c>
      <c r="W46" t="str">
        <f>IFERROR(IF(VLOOKUP(Tabla13[[#This Row],[ID TRABAJADOR]],Luminous!B:B,1,0)&lt;&gt;"","LM",""),"")</f>
        <v/>
      </c>
      <c r="X46" t="str">
        <f>IFERROR(IF(VLOOKUP(Tabla13[[#This Row],[ID TRABAJADOR]],#REF!,1,0)&lt;&gt;"","ST",""),"")</f>
        <v/>
      </c>
    </row>
    <row r="47" spans="1:24" ht="15" customHeight="1" x14ac:dyDescent="0.35">
      <c r="A47" s="211">
        <v>46052</v>
      </c>
      <c r="B47" s="2" t="str">
        <f>IF(Tabla13[[#This Row],[TRABAJADOR]]="", "", INDEX(Colaboradores!A:A, MATCH(Tabla13[[#This Row],[TRABAJADOR]],Colaboradores!C:C, 0)))</f>
        <v>E1979</v>
      </c>
      <c r="C47" s="3" t="s">
        <v>604</v>
      </c>
      <c r="D47" s="3" t="s">
        <v>606</v>
      </c>
      <c r="E47" s="2" t="s">
        <v>519</v>
      </c>
      <c r="G47" s="222" t="s">
        <v>7629</v>
      </c>
      <c r="K47" s="7">
        <v>128.65</v>
      </c>
      <c r="P47" s="62">
        <v>128.65</v>
      </c>
      <c r="Q47" s="3" t="s">
        <v>7611</v>
      </c>
      <c r="T47" s="208" t="str">
        <f>IFERROR(IF(VLOOKUP(Tabla13[[#This Row],[ID TRABAJADOR]],Tabla57[Cod trabalhador],1,0)&lt;&gt;"","KI",""),"")</f>
        <v/>
      </c>
      <c r="U47" s="208" t="str">
        <f>IFERROR(IF(VLOOKUP(Tabla13[[#This Row],[ID TRABAJADOR]],Tabla5[Cod trabalhador],1,0)&lt;&gt;"","KR",""),"")</f>
        <v/>
      </c>
      <c r="V47" s="208" t="str">
        <f>IFERROR(IF(VLOOKUP(Tabla13[[#This Row],[ID TRABAJADOR]],Wiseowe!B:B,1,0)&lt;&gt;"","WS",""),"")</f>
        <v>WS</v>
      </c>
      <c r="W47" s="208" t="str">
        <f>IFERROR(IF(VLOOKUP(Tabla13[[#This Row],[ID TRABAJADOR]],Luminous!B:B,1,0)&lt;&gt;"","LM",""),"")</f>
        <v/>
      </c>
      <c r="X47" s="208" t="str">
        <f>IFERROR(IF(VLOOKUP(Tabla13[[#This Row],[ID TRABAJADOR]],#REF!,1,0)&lt;&gt;"","ST",""),"")</f>
        <v/>
      </c>
    </row>
    <row r="48" spans="1:24" ht="57" customHeight="1" x14ac:dyDescent="0.35">
      <c r="A48" s="211">
        <v>46043</v>
      </c>
      <c r="B48" s="2" t="str">
        <f>IF(Tabla13[[#This Row],[TRABAJADOR]]="", "", INDEX(Colaboradores!A:A, MATCH(Tabla13[[#This Row],[TRABAJADOR]],Colaboradores!C:C, 0)))</f>
        <v>E1853</v>
      </c>
      <c r="C48" s="3" t="s">
        <v>1170</v>
      </c>
      <c r="D48" s="3" t="s">
        <v>1172</v>
      </c>
      <c r="E48" s="2" t="s">
        <v>519</v>
      </c>
      <c r="F48" s="3" t="s">
        <v>7630</v>
      </c>
      <c r="G48" s="222" t="s">
        <v>7631</v>
      </c>
      <c r="H48" s="7">
        <v>185</v>
      </c>
      <c r="P48" s="62">
        <v>185</v>
      </c>
      <c r="R48" s="3" t="s">
        <v>7632</v>
      </c>
      <c r="T48" s="208" t="str">
        <f>IFERROR(IF(VLOOKUP(Tabla13[[#This Row],[ID TRABAJADOR]],Tabla57[Cod trabalhador],1,0)&lt;&gt;"","KI",""),"")</f>
        <v/>
      </c>
      <c r="U48" s="208" t="str">
        <f>IFERROR(IF(VLOOKUP(Tabla13[[#This Row],[ID TRABAJADOR]],Tabla5[Cod trabalhador],1,0)&lt;&gt;"","KR",""),"")</f>
        <v/>
      </c>
      <c r="V48" s="208" t="str">
        <f>IFERROR(IF(VLOOKUP(Tabla13[[#This Row],[ID TRABAJADOR]],Wiseowe!B:B,1,0)&lt;&gt;"","WS",""),"")</f>
        <v>WS</v>
      </c>
      <c r="W48" s="208" t="str">
        <f>IFERROR(IF(VLOOKUP(Tabla13[[#This Row],[ID TRABAJADOR]],Luminous!B:B,1,0)&lt;&gt;"","LM",""),"")</f>
        <v/>
      </c>
      <c r="X48" s="208" t="str">
        <f>IFERROR(IF(VLOOKUP(Tabla13[[#This Row],[ID TRABAJADOR]],#REF!,1,0)&lt;&gt;"","ST",""),"")</f>
        <v/>
      </c>
    </row>
    <row r="49" spans="1:24" ht="28.5" customHeight="1" x14ac:dyDescent="0.35">
      <c r="A49" s="211">
        <v>46052</v>
      </c>
      <c r="B49" s="2" t="str">
        <f>IF(Tabla13[[#This Row],[TRABAJADOR]]="", "", INDEX(Colaboradores!A:A, MATCH(Tabla13[[#This Row],[TRABAJADOR]],Colaboradores!C:C, 0)))</f>
        <v>E2021</v>
      </c>
      <c r="C49" s="3" t="s">
        <v>1292</v>
      </c>
      <c r="D49" s="3" t="s">
        <v>1294</v>
      </c>
      <c r="E49" s="2" t="s">
        <v>519</v>
      </c>
      <c r="G49" s="222" t="s">
        <v>7629</v>
      </c>
      <c r="K49" s="7">
        <v>128.65</v>
      </c>
      <c r="P49" s="62">
        <v>128.65</v>
      </c>
      <c r="Q49" s="3" t="s">
        <v>7611</v>
      </c>
      <c r="T49" s="208" t="str">
        <f>IFERROR(IF(VLOOKUP(Tabla13[[#This Row],[ID TRABAJADOR]],Tabla57[Cod trabalhador],1,0)&lt;&gt;"","KI",""),"")</f>
        <v/>
      </c>
      <c r="U49" s="208" t="str">
        <f>IFERROR(IF(VLOOKUP(Tabla13[[#This Row],[ID TRABAJADOR]],Tabla5[Cod trabalhador],1,0)&lt;&gt;"","KR",""),"")</f>
        <v/>
      </c>
      <c r="V49" s="208" t="str">
        <f>IFERROR(IF(VLOOKUP(Tabla13[[#This Row],[ID TRABAJADOR]],Wiseowe!B:B,1,0)&lt;&gt;"","WS",""),"")</f>
        <v>WS</v>
      </c>
      <c r="W49" s="208" t="str">
        <f>IFERROR(IF(VLOOKUP(Tabla13[[#This Row],[ID TRABAJADOR]],Luminous!B:B,1,0)&lt;&gt;"","LM",""),"")</f>
        <v/>
      </c>
      <c r="X49" s="208" t="str">
        <f>IFERROR(IF(VLOOKUP(Tabla13[[#This Row],[ID TRABAJADOR]],#REF!,1,0)&lt;&gt;"","ST",""),"")</f>
        <v/>
      </c>
    </row>
    <row r="50" spans="1:24" ht="42.75" customHeight="1" x14ac:dyDescent="0.35">
      <c r="A50" s="211">
        <v>46043</v>
      </c>
      <c r="B50" s="2" t="str">
        <f>IF(Tabla13[[#This Row],[TRABAJADOR]]="", "", INDEX(Colaboradores!A:A, MATCH(Tabla13[[#This Row],[TRABAJADOR]],Colaboradores!C:C, 0)))</f>
        <v>E0363</v>
      </c>
      <c r="C50" s="3" t="s">
        <v>1569</v>
      </c>
      <c r="D50" s="3" t="s">
        <v>1571</v>
      </c>
      <c r="E50" s="2" t="s">
        <v>519</v>
      </c>
      <c r="F50" s="3" t="s">
        <v>7633</v>
      </c>
      <c r="G50" s="222" t="s">
        <v>7629</v>
      </c>
      <c r="H50" s="7">
        <v>50</v>
      </c>
      <c r="P50" s="62">
        <v>50</v>
      </c>
      <c r="T50" s="208" t="str">
        <f>IFERROR(IF(VLOOKUP(Tabla13[[#This Row],[ID TRABAJADOR]],Tabla57[Cod trabalhador],1,0)&lt;&gt;"","KI",""),"")</f>
        <v/>
      </c>
      <c r="U50" s="208" t="str">
        <f>IFERROR(IF(VLOOKUP(Tabla13[[#This Row],[ID TRABAJADOR]],Tabla5[Cod trabalhador],1,0)&lt;&gt;"","KR",""),"")</f>
        <v/>
      </c>
      <c r="V50" s="208" t="str">
        <f>IFERROR(IF(VLOOKUP(Tabla13[[#This Row],[ID TRABAJADOR]],Wiseowe!B:B,1,0)&lt;&gt;"","WS",""),"")</f>
        <v>WS</v>
      </c>
      <c r="W50" s="208" t="str">
        <f>IFERROR(IF(VLOOKUP(Tabla13[[#This Row],[ID TRABAJADOR]],Luminous!B:B,1,0)&lt;&gt;"","LM",""),"")</f>
        <v/>
      </c>
      <c r="X50" s="208" t="str">
        <f>IFERROR(IF(VLOOKUP(Tabla13[[#This Row],[ID TRABAJADOR]],#REF!,1,0)&lt;&gt;"","ST",""),"")</f>
        <v/>
      </c>
    </row>
    <row r="51" spans="1:24" ht="15" customHeight="1" x14ac:dyDescent="0.35">
      <c r="A51" s="211">
        <v>46043</v>
      </c>
      <c r="B51" s="2" t="str">
        <f>IF(Tabla13[[#This Row],[TRABAJADOR]]="", "", INDEX(Colaboradores!A:A, MATCH(Tabla13[[#This Row],[TRABAJADOR]],Colaboradores!C:C, 0)))</f>
        <v>E1729</v>
      </c>
      <c r="C51" s="3" t="s">
        <v>5838</v>
      </c>
      <c r="D51" s="3" t="s">
        <v>7634</v>
      </c>
      <c r="E51" s="2" t="s">
        <v>519</v>
      </c>
      <c r="F51" s="3" t="s">
        <v>7635</v>
      </c>
      <c r="G51" s="222" t="s">
        <v>7577</v>
      </c>
      <c r="H51" s="7">
        <v>140</v>
      </c>
      <c r="P51" s="62">
        <v>140</v>
      </c>
      <c r="R51" s="3" t="s">
        <v>7636</v>
      </c>
      <c r="T51" t="str">
        <f>IFERROR(IF(VLOOKUP(Tabla13[[#This Row],[ID TRABAJADOR]],Tabla57[Cod trabalhador],1,0)&lt;&gt;"","KI",""),"")</f>
        <v/>
      </c>
      <c r="U51" t="str">
        <f>IFERROR(IF(VLOOKUP(Tabla13[[#This Row],[ID TRABAJADOR]],Tabla5[Cod trabalhador],1,0)&lt;&gt;"","KR",""),"")</f>
        <v/>
      </c>
      <c r="V51" t="str">
        <f>IFERROR(IF(VLOOKUP(Tabla13[[#This Row],[ID TRABAJADOR]],Wiseowe!B:B,1,0)&lt;&gt;"","WS",""),"")</f>
        <v>WS</v>
      </c>
      <c r="W51" t="str">
        <f>IFERROR(IF(VLOOKUP(Tabla13[[#This Row],[ID TRABAJADOR]],Luminous!B:B,1,0)&lt;&gt;"","LM",""),"")</f>
        <v/>
      </c>
      <c r="X51" t="str">
        <f>IFERROR(IF(VLOOKUP(Tabla13[[#This Row],[ID TRABAJADOR]],#REF!,1,0)&lt;&gt;"","ST",""),"")</f>
        <v/>
      </c>
    </row>
    <row r="52" spans="1:24" ht="28.5" customHeight="1" x14ac:dyDescent="0.35">
      <c r="A52" s="211">
        <v>46064</v>
      </c>
      <c r="B52" s="2" t="str">
        <f>IF(Tabla13[[#This Row],[TRABAJADOR]]="", "", INDEX(Colaboradores!A:A, MATCH(Tabla13[[#This Row],[TRABAJADOR]],Colaboradores!C:C, 0)))</f>
        <v>E1723</v>
      </c>
      <c r="C52" s="3" t="s">
        <v>509</v>
      </c>
      <c r="D52" s="3" t="s">
        <v>511</v>
      </c>
      <c r="E52" s="2" t="s">
        <v>315</v>
      </c>
      <c r="G52" s="222" t="s">
        <v>7637</v>
      </c>
      <c r="M52" s="7">
        <v>21.74</v>
      </c>
      <c r="P52" s="62">
        <v>21.74</v>
      </c>
      <c r="T52" s="208" t="str">
        <f>IFERROR(IF(VLOOKUP(Tabla13[[#This Row],[ID TRABAJADOR]],Tabla57[Cod trabalhador],1,0)&lt;&gt;"","KI",""),"")</f>
        <v/>
      </c>
      <c r="U52" s="208" t="str">
        <f>IFERROR(IF(VLOOKUP(Tabla13[[#This Row],[ID TRABAJADOR]],Tabla5[Cod trabalhador],1,0)&lt;&gt;"","KR",""),"")</f>
        <v/>
      </c>
      <c r="V52" s="208" t="str">
        <f>IFERROR(IF(VLOOKUP(Tabla13[[#This Row],[ID TRABAJADOR]],Wiseowe!B:B,1,0)&lt;&gt;"","WS",""),"")</f>
        <v/>
      </c>
      <c r="W52" s="208" t="str">
        <f>IFERROR(IF(VLOOKUP(Tabla13[[#This Row],[ID TRABAJADOR]],Luminous!B:B,1,0)&lt;&gt;"","LM",""),"")</f>
        <v/>
      </c>
      <c r="X52" s="208" t="str">
        <f>IFERROR(IF(VLOOKUP(Tabla13[[#This Row],[ID TRABAJADOR]],#REF!,1,0)&lt;&gt;"","ST",""),"")</f>
        <v/>
      </c>
    </row>
    <row r="53" spans="1:24" ht="15" customHeight="1" x14ac:dyDescent="0.35">
      <c r="A53" s="211">
        <v>46064</v>
      </c>
      <c r="B53" s="2" t="str">
        <f>IF(Tabla13[[#This Row],[TRABAJADOR]]="", "", INDEX(Colaboradores!A:A, MATCH(Tabla13[[#This Row],[TRABAJADOR]],Colaboradores!C:C, 0)))</f>
        <v>E0451</v>
      </c>
      <c r="C53" s="3" t="s">
        <v>714</v>
      </c>
      <c r="D53" s="3" t="s">
        <v>716</v>
      </c>
      <c r="E53" s="2" t="s">
        <v>315</v>
      </c>
      <c r="M53" s="7">
        <v>21.74</v>
      </c>
      <c r="P53" s="62">
        <v>21.74</v>
      </c>
      <c r="R53" s="3" t="s">
        <v>7638</v>
      </c>
      <c r="T53" s="208" t="str">
        <f>IFERROR(IF(VLOOKUP(Tabla13[[#This Row],[ID TRABAJADOR]],Tabla57[Cod trabalhador],1,0)&lt;&gt;"","KI",""),"")</f>
        <v/>
      </c>
      <c r="U53" s="208" t="str">
        <f>IFERROR(IF(VLOOKUP(Tabla13[[#This Row],[ID TRABAJADOR]],Tabla5[Cod trabalhador],1,0)&lt;&gt;"","KR",""),"")</f>
        <v/>
      </c>
      <c r="V53" s="208" t="str">
        <f>IFERROR(IF(VLOOKUP(Tabla13[[#This Row],[ID TRABAJADOR]],Wiseowe!B:B,1,0)&lt;&gt;"","WS",""),"")</f>
        <v/>
      </c>
      <c r="W53" s="208" t="str">
        <f>IFERROR(IF(VLOOKUP(Tabla13[[#This Row],[ID TRABAJADOR]],Luminous!B:B,1,0)&lt;&gt;"","LM",""),"")</f>
        <v/>
      </c>
      <c r="X53" s="208" t="str">
        <f>IFERROR(IF(VLOOKUP(Tabla13[[#This Row],[ID TRABAJADOR]],#REF!,1,0)&lt;&gt;"","ST",""),"")</f>
        <v/>
      </c>
    </row>
    <row r="54" spans="1:24" ht="15" customHeight="1" x14ac:dyDescent="0.35">
      <c r="A54" s="211">
        <v>46064</v>
      </c>
      <c r="B54" s="2" t="str">
        <f>IF(Tabla13[[#This Row],[TRABAJADOR]]="", "", INDEX(Colaboradores!A:A, MATCH(Tabla13[[#This Row],[TRABAJADOR]],Colaboradores!C:C, 0)))</f>
        <v>E1815</v>
      </c>
      <c r="C54" s="3" t="s">
        <v>891</v>
      </c>
      <c r="D54" s="3" t="s">
        <v>893</v>
      </c>
      <c r="E54" s="2" t="s">
        <v>315</v>
      </c>
      <c r="G54" s="222" t="s">
        <v>7639</v>
      </c>
      <c r="M54" s="7">
        <v>21.74</v>
      </c>
      <c r="P54" s="62">
        <v>21.74</v>
      </c>
      <c r="T54" s="208" t="str">
        <f>IFERROR(IF(VLOOKUP(Tabla13[[#This Row],[ID TRABAJADOR]],Tabla57[Cod trabalhador],1,0)&lt;&gt;"","KI",""),"")</f>
        <v/>
      </c>
      <c r="U54" s="208" t="str">
        <f>IFERROR(IF(VLOOKUP(Tabla13[[#This Row],[ID TRABAJADOR]],Tabla5[Cod trabalhador],1,0)&lt;&gt;"","KR",""),"")</f>
        <v/>
      </c>
      <c r="V54" s="208" t="str">
        <f>IFERROR(IF(VLOOKUP(Tabla13[[#This Row],[ID TRABAJADOR]],Wiseowe!B:B,1,0)&lt;&gt;"","WS",""),"")</f>
        <v>WS</v>
      </c>
      <c r="W54" s="208" t="str">
        <f>IFERROR(IF(VLOOKUP(Tabla13[[#This Row],[ID TRABAJADOR]],Luminous!B:B,1,0)&lt;&gt;"","LM",""),"")</f>
        <v/>
      </c>
      <c r="X54" s="208" t="str">
        <f>IFERROR(IF(VLOOKUP(Tabla13[[#This Row],[ID TRABAJADOR]],#REF!,1,0)&lt;&gt;"","ST",""),"")</f>
        <v/>
      </c>
    </row>
    <row r="55" spans="1:24" ht="15" customHeight="1" x14ac:dyDescent="0.35">
      <c r="A55" s="211">
        <v>46064</v>
      </c>
      <c r="B55" s="2" t="str">
        <f>IF(Tabla13[[#This Row],[TRABAJADOR]]="", "", INDEX(Colaboradores!A:A, MATCH(Tabla13[[#This Row],[TRABAJADOR]],Colaboradores!C:C, 0)))</f>
        <v>E1764</v>
      </c>
      <c r="C55" s="3" t="s">
        <v>1214</v>
      </c>
      <c r="D55" s="3" t="s">
        <v>1216</v>
      </c>
      <c r="E55" s="2" t="s">
        <v>315</v>
      </c>
      <c r="M55" s="7">
        <v>21.74</v>
      </c>
      <c r="P55" s="62">
        <v>21.74</v>
      </c>
      <c r="T55" s="208" t="str">
        <f>IFERROR(IF(VLOOKUP(Tabla13[[#This Row],[ID TRABAJADOR]],Tabla57[Cod trabalhador],1,0)&lt;&gt;"","KI",""),"")</f>
        <v/>
      </c>
      <c r="U55" s="208" t="str">
        <f>IFERROR(IF(VLOOKUP(Tabla13[[#This Row],[ID TRABAJADOR]],Tabla5[Cod trabalhador],1,0)&lt;&gt;"","KR",""),"")</f>
        <v/>
      </c>
      <c r="V55" s="208" t="str">
        <f>IFERROR(IF(VLOOKUP(Tabla13[[#This Row],[ID TRABAJADOR]],Wiseowe!B:B,1,0)&lt;&gt;"","WS",""),"")</f>
        <v/>
      </c>
      <c r="W55" s="208" t="str">
        <f>IFERROR(IF(VLOOKUP(Tabla13[[#This Row],[ID TRABAJADOR]],Luminous!B:B,1,0)&lt;&gt;"","LM",""),"")</f>
        <v/>
      </c>
      <c r="X55" s="208" t="str">
        <f>IFERROR(IF(VLOOKUP(Tabla13[[#This Row],[ID TRABAJADOR]],#REF!,1,0)&lt;&gt;"","ST",""),"")</f>
        <v/>
      </c>
    </row>
    <row r="56" spans="1:24" ht="15" customHeight="1" x14ac:dyDescent="0.35">
      <c r="A56" s="211">
        <v>46064</v>
      </c>
      <c r="B56" s="2" t="str">
        <f>IF(Tabla13[[#This Row],[TRABAJADOR]]="", "", INDEX(Colaboradores!A:A, MATCH(Tabla13[[#This Row],[TRABAJADOR]],Colaboradores!C:C, 0)))</f>
        <v>E0450</v>
      </c>
      <c r="C56" s="3" t="s">
        <v>3252</v>
      </c>
      <c r="D56" s="3" t="s">
        <v>3254</v>
      </c>
      <c r="E56" s="2" t="s">
        <v>315</v>
      </c>
      <c r="M56" s="7">
        <v>21.74</v>
      </c>
      <c r="P56" s="62">
        <v>21.74</v>
      </c>
      <c r="T56" t="str">
        <f>IFERROR(IF(VLOOKUP(Tabla13[[#This Row],[ID TRABAJADOR]],Tabla57[Cod trabalhador],1,0)&lt;&gt;"","KI",""),"")</f>
        <v/>
      </c>
      <c r="U56" t="str">
        <f>IFERROR(IF(VLOOKUP(Tabla13[[#This Row],[ID TRABAJADOR]],Tabla5[Cod trabalhador],1,0)&lt;&gt;"","KR",""),"")</f>
        <v/>
      </c>
      <c r="V56" t="str">
        <f>IFERROR(IF(VLOOKUP(Tabla13[[#This Row],[ID TRABAJADOR]],Wiseowe!B:B,1,0)&lt;&gt;"","WS",""),"")</f>
        <v/>
      </c>
      <c r="W56" t="str">
        <f>IFERROR(IF(VLOOKUP(Tabla13[[#This Row],[ID TRABAJADOR]],Luminous!B:B,1,0)&lt;&gt;"","LM",""),"")</f>
        <v/>
      </c>
      <c r="X56" t="str">
        <f>IFERROR(IF(VLOOKUP(Tabla13[[#This Row],[ID TRABAJADOR]],#REF!,1,0)&lt;&gt;"","ST",""),"")</f>
        <v/>
      </c>
    </row>
    <row r="57" spans="1:24" ht="42.75" customHeight="1" x14ac:dyDescent="0.35">
      <c r="A57" s="211">
        <v>46064</v>
      </c>
      <c r="B57" s="2" t="str">
        <f>IF(Tabla13[[#This Row],[TRABAJADOR]]="", "", INDEX(Colaboradores!A:A, MATCH(Tabla13[[#This Row],[TRABAJADOR]],Colaboradores!C:C, 0)))</f>
        <v>E0467</v>
      </c>
      <c r="C57" s="3" t="s">
        <v>5123</v>
      </c>
      <c r="D57" s="3" t="s">
        <v>5125</v>
      </c>
      <c r="E57" s="2" t="s">
        <v>315</v>
      </c>
      <c r="G57" s="222" t="s">
        <v>7614</v>
      </c>
      <c r="M57" s="7">
        <v>21.74</v>
      </c>
      <c r="P57" s="62">
        <v>21.74</v>
      </c>
      <c r="R57" s="3" t="s">
        <v>7609</v>
      </c>
      <c r="T57" t="str">
        <f>IFERROR(IF(VLOOKUP(Tabla13[[#This Row],[ID TRABAJADOR]],Tabla57[Cod trabalhador],1,0)&lt;&gt;"","KI",""),"")</f>
        <v/>
      </c>
      <c r="U57" t="str">
        <f>IFERROR(IF(VLOOKUP(Tabla13[[#This Row],[ID TRABAJADOR]],Tabla5[Cod trabalhador],1,0)&lt;&gt;"","KR",""),"")</f>
        <v/>
      </c>
      <c r="V57" t="str">
        <f>IFERROR(IF(VLOOKUP(Tabla13[[#This Row],[ID TRABAJADOR]],Wiseowe!B:B,1,0)&lt;&gt;"","WS",""),"")</f>
        <v/>
      </c>
      <c r="W57" t="str">
        <f>IFERROR(IF(VLOOKUP(Tabla13[[#This Row],[ID TRABAJADOR]],Luminous!B:B,1,0)&lt;&gt;"","LM",""),"")</f>
        <v/>
      </c>
      <c r="X57" t="str">
        <f>IFERROR(IF(VLOOKUP(Tabla13[[#This Row],[ID TRABAJADOR]],#REF!,1,0)&lt;&gt;"","ST",""),"")</f>
        <v/>
      </c>
    </row>
    <row r="58" spans="1:24" ht="15" customHeight="1" x14ac:dyDescent="0.35">
      <c r="A58" s="211">
        <v>46064</v>
      </c>
      <c r="B58" s="2" t="str">
        <f>IF(Tabla13[[#This Row],[TRABAJADOR]]="", "", INDEX(Colaboradores!A:A, MATCH(Tabla13[[#This Row],[TRABAJADOR]],Colaboradores!C:C, 0)))</f>
        <v>E1847</v>
      </c>
      <c r="C58" s="3" t="s">
        <v>6666</v>
      </c>
      <c r="D58" s="3" t="s">
        <v>6668</v>
      </c>
      <c r="E58" s="2" t="s">
        <v>315</v>
      </c>
      <c r="M58" s="7">
        <v>21.74</v>
      </c>
      <c r="P58" s="62">
        <v>21.74</v>
      </c>
      <c r="T58" t="str">
        <f>IFERROR(IF(VLOOKUP(Tabla13[[#This Row],[ID TRABAJADOR]],Tabla57[Cod trabalhador],1,0)&lt;&gt;"","KI",""),"")</f>
        <v/>
      </c>
      <c r="U58" t="str">
        <f>IFERROR(IF(VLOOKUP(Tabla13[[#This Row],[ID TRABAJADOR]],Tabla5[Cod trabalhador],1,0)&lt;&gt;"","KR",""),"")</f>
        <v/>
      </c>
      <c r="V58" t="str">
        <f>IFERROR(IF(VLOOKUP(Tabla13[[#This Row],[ID TRABAJADOR]],Wiseowe!B:B,1,0)&lt;&gt;"","WS",""),"")</f>
        <v/>
      </c>
      <c r="W58" t="str">
        <f>IFERROR(IF(VLOOKUP(Tabla13[[#This Row],[ID TRABAJADOR]],Luminous!B:B,1,0)&lt;&gt;"","LM",""),"")</f>
        <v/>
      </c>
      <c r="X58" t="str">
        <f>IFERROR(IF(VLOOKUP(Tabla13[[#This Row],[ID TRABAJADOR]],#REF!,1,0)&lt;&gt;"","ST",""),"")</f>
        <v/>
      </c>
    </row>
    <row r="59" spans="1:24" ht="42.75" customHeight="1" x14ac:dyDescent="0.35">
      <c r="A59" s="211">
        <v>46064</v>
      </c>
      <c r="B59" s="2" t="str">
        <f>IF(Tabla13[[#This Row],[TRABAJADOR]]="", "", INDEX(Colaboradores!A:A, MATCH(Tabla13[[#This Row],[TRABAJADOR]],Colaboradores!C:C, 0)))</f>
        <v>E0594</v>
      </c>
      <c r="C59" s="3" t="s">
        <v>2376</v>
      </c>
      <c r="D59" s="3" t="s">
        <v>2378</v>
      </c>
      <c r="E59" s="2" t="s">
        <v>315</v>
      </c>
      <c r="G59" s="222" t="s">
        <v>7639</v>
      </c>
      <c r="M59" s="7">
        <v>21.74</v>
      </c>
      <c r="P59" s="62">
        <v>21.74</v>
      </c>
      <c r="T59" t="str">
        <f>IFERROR(IF(VLOOKUP(Tabla13[[#This Row],[ID TRABAJADOR]],Tabla57[Cod trabalhador],1,0)&lt;&gt;"","KI",""),"")</f>
        <v/>
      </c>
      <c r="U59" t="str">
        <f>IFERROR(IF(VLOOKUP(Tabla13[[#This Row],[ID TRABAJADOR]],Tabla5[Cod trabalhador],1,0)&lt;&gt;"","KR",""),"")</f>
        <v/>
      </c>
      <c r="V59" t="str">
        <f>IFERROR(IF(VLOOKUP(Tabla13[[#This Row],[ID TRABAJADOR]],Wiseowe!B:B,1,0)&lt;&gt;"","WS",""),"")</f>
        <v/>
      </c>
      <c r="W59" t="str">
        <f>IFERROR(IF(VLOOKUP(Tabla13[[#This Row],[ID TRABAJADOR]],Luminous!B:B,1,0)&lt;&gt;"","LM",""),"")</f>
        <v>LM</v>
      </c>
      <c r="X59" t="str">
        <f>IFERROR(IF(VLOOKUP(Tabla13[[#This Row],[ID TRABAJADOR]],#REF!,1,0)&lt;&gt;"","ST",""),"")</f>
        <v/>
      </c>
    </row>
    <row r="60" spans="1:24" ht="15" customHeight="1" x14ac:dyDescent="0.35">
      <c r="A60" s="211">
        <v>46064</v>
      </c>
      <c r="B60" s="2" t="str">
        <f>IF(Tabla13[[#This Row],[TRABAJADOR]]="", "", INDEX(Colaboradores!A:A, MATCH(Tabla13[[#This Row],[TRABAJADOR]],Colaboradores!C:C, 0)))</f>
        <v>E1832</v>
      </c>
      <c r="C60" s="3" t="s">
        <v>2200</v>
      </c>
      <c r="D60" s="3" t="s">
        <v>2202</v>
      </c>
      <c r="E60" s="2" t="s">
        <v>315</v>
      </c>
      <c r="G60" s="222" t="s">
        <v>7612</v>
      </c>
      <c r="M60" s="7">
        <v>21.74</v>
      </c>
      <c r="P60" s="62">
        <v>21.74</v>
      </c>
      <c r="T60" s="208" t="str">
        <f>IFERROR(IF(VLOOKUP(Tabla13[[#This Row],[ID TRABAJADOR]],Tabla57[Cod trabalhador],1,0)&lt;&gt;"","KI",""),"")</f>
        <v/>
      </c>
      <c r="U60" s="208" t="str">
        <f>IFERROR(IF(VLOOKUP(Tabla13[[#This Row],[ID TRABAJADOR]],Tabla5[Cod trabalhador],1,0)&lt;&gt;"","KR",""),"")</f>
        <v/>
      </c>
      <c r="V60" s="208" t="str">
        <f>IFERROR(IF(VLOOKUP(Tabla13[[#This Row],[ID TRABAJADOR]],Wiseowe!B:B,1,0)&lt;&gt;"","WS",""),"")</f>
        <v>WS</v>
      </c>
      <c r="W60" s="208" t="str">
        <f>IFERROR(IF(VLOOKUP(Tabla13[[#This Row],[ID TRABAJADOR]],Luminous!B:B,1,0)&lt;&gt;"","LM",""),"")</f>
        <v/>
      </c>
      <c r="X60" s="208" t="str">
        <f>IFERROR(IF(VLOOKUP(Tabla13[[#This Row],[ID TRABAJADOR]],#REF!,1,0)&lt;&gt;"","ST",""),"")</f>
        <v/>
      </c>
    </row>
    <row r="61" spans="1:24" ht="15" customHeight="1" x14ac:dyDescent="0.35">
      <c r="A61" s="211">
        <v>46064</v>
      </c>
      <c r="B61" s="2" t="str">
        <f>IF(Tabla13[[#This Row],[TRABAJADOR]]="", "", INDEX(Colaboradores!A:A, MATCH(Tabla13[[#This Row],[TRABAJADOR]],Colaboradores!C:C, 0)))</f>
        <v>E1816</v>
      </c>
      <c r="C61" s="3" t="s">
        <v>5823</v>
      </c>
      <c r="D61" s="3" t="s">
        <v>5825</v>
      </c>
      <c r="E61" s="2" t="s">
        <v>315</v>
      </c>
      <c r="G61" s="222" t="s">
        <v>7639</v>
      </c>
      <c r="M61" s="7">
        <v>21.74</v>
      </c>
      <c r="P61" s="62">
        <v>21.74</v>
      </c>
      <c r="T61" t="str">
        <f>IFERROR(IF(VLOOKUP(Tabla13[[#This Row],[ID TRABAJADOR]],Tabla57[Cod trabalhador],1,0)&lt;&gt;"","KI",""),"")</f>
        <v/>
      </c>
      <c r="U61" t="str">
        <f>IFERROR(IF(VLOOKUP(Tabla13[[#This Row],[ID TRABAJADOR]],Tabla5[Cod trabalhador],1,0)&lt;&gt;"","KR",""),"")</f>
        <v/>
      </c>
      <c r="V61" t="str">
        <f>IFERROR(IF(VLOOKUP(Tabla13[[#This Row],[ID TRABAJADOR]],Wiseowe!B:B,1,0)&lt;&gt;"","WS",""),"")</f>
        <v>WS</v>
      </c>
      <c r="W61" t="str">
        <f>IFERROR(IF(VLOOKUP(Tabla13[[#This Row],[ID TRABAJADOR]],Luminous!B:B,1,0)&lt;&gt;"","LM",""),"")</f>
        <v/>
      </c>
      <c r="X61" t="str">
        <f>IFERROR(IF(VLOOKUP(Tabla13[[#This Row],[ID TRABAJADOR]],#REF!,1,0)&lt;&gt;"","ST",""),"")</f>
        <v/>
      </c>
    </row>
    <row r="62" spans="1:24" ht="15" customHeight="1" x14ac:dyDescent="0.35">
      <c r="A62" s="211">
        <v>46064</v>
      </c>
      <c r="B62" s="2" t="str">
        <f>IF(Tabla13[[#This Row],[TRABAJADOR]]="", "", INDEX(Colaboradores!A:A, MATCH(Tabla13[[#This Row],[TRABAJADOR]],Colaboradores!C:C, 0)))</f>
        <v>E1841</v>
      </c>
      <c r="C62" s="3" t="s">
        <v>6285</v>
      </c>
      <c r="D62" s="3" t="s">
        <v>6287</v>
      </c>
      <c r="E62" s="2" t="s">
        <v>315</v>
      </c>
      <c r="G62" s="222" t="s">
        <v>7612</v>
      </c>
      <c r="M62" s="7">
        <v>21.74</v>
      </c>
      <c r="P62" s="62">
        <v>21.74</v>
      </c>
      <c r="T62" t="str">
        <f>IFERROR(IF(VLOOKUP(Tabla13[[#This Row],[ID TRABAJADOR]],Tabla57[Cod trabalhador],1,0)&lt;&gt;"","KI",""),"")</f>
        <v/>
      </c>
      <c r="U62" t="str">
        <f>IFERROR(IF(VLOOKUP(Tabla13[[#This Row],[ID TRABAJADOR]],Tabla5[Cod trabalhador],1,0)&lt;&gt;"","KR",""),"")</f>
        <v/>
      </c>
      <c r="V62" t="str">
        <f>IFERROR(IF(VLOOKUP(Tabla13[[#This Row],[ID TRABAJADOR]],Wiseowe!B:B,1,0)&lt;&gt;"","WS",""),"")</f>
        <v>WS</v>
      </c>
      <c r="W62" t="str">
        <f>IFERROR(IF(VLOOKUP(Tabla13[[#This Row],[ID TRABAJADOR]],Luminous!B:B,1,0)&lt;&gt;"","LM",""),"")</f>
        <v/>
      </c>
      <c r="X62" t="str">
        <f>IFERROR(IF(VLOOKUP(Tabla13[[#This Row],[ID TRABAJADOR]],#REF!,1,0)&lt;&gt;"","ST",""),"")</f>
        <v/>
      </c>
    </row>
    <row r="63" spans="1:24" ht="42.75" customHeight="1" x14ac:dyDescent="0.35">
      <c r="A63" s="211">
        <v>46062</v>
      </c>
      <c r="B63" s="2" t="str">
        <f>IF(Tabla13[[#This Row],[TRABAJADOR]]="", "", INDEX(Colaboradores!A:A, MATCH(Tabla13[[#This Row],[TRABAJADOR]],Colaboradores!C:C, 0)))</f>
        <v>E1970</v>
      </c>
      <c r="C63" s="3" t="s">
        <v>1450</v>
      </c>
      <c r="D63" s="3" t="s">
        <v>1452</v>
      </c>
      <c r="E63" s="2" t="s">
        <v>315</v>
      </c>
      <c r="G63" s="222" t="s">
        <v>7586</v>
      </c>
      <c r="M63" s="7">
        <v>112.93</v>
      </c>
      <c r="P63" s="62">
        <v>112.93</v>
      </c>
      <c r="Q63" s="3" t="s">
        <v>7611</v>
      </c>
      <c r="T63" s="208" t="str">
        <f>IFERROR(IF(VLOOKUP(Tabla13[[#This Row],[ID TRABAJADOR]],Tabla57[Cod trabalhador],1,0)&lt;&gt;"","KI",""),"")</f>
        <v/>
      </c>
      <c r="U63" s="208" t="str">
        <f>IFERROR(IF(VLOOKUP(Tabla13[[#This Row],[ID TRABAJADOR]],Tabla5[Cod trabalhador],1,0)&lt;&gt;"","KR",""),"")</f>
        <v/>
      </c>
      <c r="V63" s="208" t="str">
        <f>IFERROR(IF(VLOOKUP(Tabla13[[#This Row],[ID TRABAJADOR]],Wiseowe!B:B,1,0)&lt;&gt;"","WS",""),"")</f>
        <v>WS</v>
      </c>
      <c r="W63" s="208" t="str">
        <f>IFERROR(IF(VLOOKUP(Tabla13[[#This Row],[ID TRABAJADOR]],Luminous!B:B,1,0)&lt;&gt;"","LM",""),"")</f>
        <v/>
      </c>
      <c r="X63" s="208" t="str">
        <f>IFERROR(IF(VLOOKUP(Tabla13[[#This Row],[ID TRABAJADOR]],#REF!,1,0)&lt;&gt;"","ST",""),"")</f>
        <v/>
      </c>
    </row>
    <row r="64" spans="1:24" ht="28.5" customHeight="1" x14ac:dyDescent="0.35">
      <c r="A64" s="211">
        <v>46062</v>
      </c>
      <c r="B64" s="2" t="str">
        <f>IF(Tabla13[[#This Row],[TRABAJADOR]]="", "", INDEX(Colaboradores!A:A, MATCH(Tabla13[[#This Row],[TRABAJADOR]],Colaboradores!C:C, 0)))</f>
        <v>E1866</v>
      </c>
      <c r="C64" s="3" t="s">
        <v>4694</v>
      </c>
      <c r="D64" s="3" t="s">
        <v>4696</v>
      </c>
      <c r="E64" s="2" t="s">
        <v>315</v>
      </c>
      <c r="G64" s="222" t="s">
        <v>7586</v>
      </c>
      <c r="M64" s="7">
        <v>112.93</v>
      </c>
      <c r="P64" s="62">
        <v>112.93</v>
      </c>
      <c r="Q64" s="3" t="s">
        <v>7611</v>
      </c>
      <c r="T64" t="str">
        <f>IFERROR(IF(VLOOKUP(Tabla13[[#This Row],[ID TRABAJADOR]],Tabla57[Cod trabalhador],1,0)&lt;&gt;"","KI",""),"")</f>
        <v/>
      </c>
      <c r="U64" t="str">
        <f>IFERROR(IF(VLOOKUP(Tabla13[[#This Row],[ID TRABAJADOR]],Tabla5[Cod trabalhador],1,0)&lt;&gt;"","KR",""),"")</f>
        <v/>
      </c>
      <c r="V64" t="str">
        <f>IFERROR(IF(VLOOKUP(Tabla13[[#This Row],[ID TRABAJADOR]],Wiseowe!B:B,1,0)&lt;&gt;"","WS",""),"")</f>
        <v>WS</v>
      </c>
      <c r="W64" t="str">
        <f>IFERROR(IF(VLOOKUP(Tabla13[[#This Row],[ID TRABAJADOR]],Luminous!B:B,1,0)&lt;&gt;"","LM",""),"")</f>
        <v/>
      </c>
      <c r="X64" t="str">
        <f>IFERROR(IF(VLOOKUP(Tabla13[[#This Row],[ID TRABAJADOR]],#REF!,1,0)&lt;&gt;"","ST",""),"")</f>
        <v/>
      </c>
    </row>
    <row r="65" spans="1:24" ht="28.5" customHeight="1" x14ac:dyDescent="0.35">
      <c r="A65" s="211">
        <v>46062</v>
      </c>
      <c r="B65" s="2" t="str">
        <f>IF(Tabla13[[#This Row],[TRABAJADOR]]="", "", INDEX(Colaboradores!A:A, MATCH(Tabla13[[#This Row],[TRABAJADOR]],Colaboradores!C:C, 0)))</f>
        <v>E0630</v>
      </c>
      <c r="C65" s="3" t="s">
        <v>6716</v>
      </c>
      <c r="D65" s="3" t="s">
        <v>6718</v>
      </c>
      <c r="E65" s="2" t="s">
        <v>315</v>
      </c>
      <c r="G65" s="222" t="s">
        <v>7586</v>
      </c>
      <c r="M65" s="7">
        <v>112.93</v>
      </c>
      <c r="P65" s="62">
        <v>112.93</v>
      </c>
      <c r="Q65" s="3" t="s">
        <v>7611</v>
      </c>
      <c r="T65" t="str">
        <f>IFERROR(IF(VLOOKUP(Tabla13[[#This Row],[ID TRABAJADOR]],Tabla57[Cod trabalhador],1,0)&lt;&gt;"","KI",""),"")</f>
        <v/>
      </c>
      <c r="U65" t="str">
        <f>IFERROR(IF(VLOOKUP(Tabla13[[#This Row],[ID TRABAJADOR]],Tabla5[Cod trabalhador],1,0)&lt;&gt;"","KR",""),"")</f>
        <v/>
      </c>
      <c r="V65" t="str">
        <f>IFERROR(IF(VLOOKUP(Tabla13[[#This Row],[ID TRABAJADOR]],Wiseowe!B:B,1,0)&lt;&gt;"","WS",""),"")</f>
        <v>WS</v>
      </c>
      <c r="W65" t="str">
        <f>IFERROR(IF(VLOOKUP(Tabla13[[#This Row],[ID TRABAJADOR]],Luminous!B:B,1,0)&lt;&gt;"","LM",""),"")</f>
        <v/>
      </c>
      <c r="X65" t="str">
        <f>IFERROR(IF(VLOOKUP(Tabla13[[#This Row],[ID TRABAJADOR]],#REF!,1,0)&lt;&gt;"","ST",""),"")</f>
        <v/>
      </c>
    </row>
    <row r="66" spans="1:24" ht="15" customHeight="1" x14ac:dyDescent="0.35">
      <c r="A66" s="211">
        <v>46050</v>
      </c>
      <c r="B66" s="2" t="str">
        <f>IF(Tabla13[[#This Row],[TRABAJADOR]]="", "", INDEX(Colaboradores!A:A, MATCH(Tabla13[[#This Row],[TRABAJADOR]],Colaboradores!C:C, 0)))</f>
        <v>E0565</v>
      </c>
      <c r="C66" s="3" t="s">
        <v>312</v>
      </c>
      <c r="D66" s="3" t="s">
        <v>314</v>
      </c>
      <c r="E66" s="2" t="s">
        <v>315</v>
      </c>
      <c r="F66" s="3" t="s">
        <v>7640</v>
      </c>
      <c r="G66" s="222" t="s">
        <v>7577</v>
      </c>
      <c r="H66" s="7">
        <v>40</v>
      </c>
      <c r="P66" s="62">
        <v>40</v>
      </c>
      <c r="T66" s="208" t="str">
        <f>IFERROR(IF(VLOOKUP(Tabla13[[#This Row],[ID TRABAJADOR]],Tabla57[Cod trabalhador],1,0)&lt;&gt;"","KI",""),"")</f>
        <v/>
      </c>
      <c r="U66" s="208" t="str">
        <f>IFERROR(IF(VLOOKUP(Tabla13[[#This Row],[ID TRABAJADOR]],Tabla5[Cod trabalhador],1,0)&lt;&gt;"","KR",""),"")</f>
        <v/>
      </c>
      <c r="V66" s="208" t="str">
        <f>IFERROR(IF(VLOOKUP(Tabla13[[#This Row],[ID TRABAJADOR]],Wiseowe!B:B,1,0)&lt;&gt;"","WS",""),"")</f>
        <v>WS</v>
      </c>
      <c r="W66" s="208" t="str">
        <f>IFERROR(IF(VLOOKUP(Tabla13[[#This Row],[ID TRABAJADOR]],Luminous!B:B,1,0)&lt;&gt;"","LM",""),"")</f>
        <v/>
      </c>
      <c r="X66" s="208" t="str">
        <f>IFERROR(IF(VLOOKUP(Tabla13[[#This Row],[ID TRABAJADOR]],#REF!,1,0)&lt;&gt;"","ST",""),"")</f>
        <v/>
      </c>
    </row>
    <row r="67" spans="1:24" ht="15" customHeight="1" x14ac:dyDescent="0.35">
      <c r="A67" s="211">
        <v>46052</v>
      </c>
      <c r="B67" s="2" t="str">
        <f>IF(Tabla13[[#This Row],[TRABAJADOR]]="", "", INDEX(Colaboradores!A:A, MATCH(Tabla13[[#This Row],[TRABAJADOR]],Colaboradores!C:C, 0)))</f>
        <v>E1897</v>
      </c>
      <c r="C67" s="3" t="s">
        <v>639</v>
      </c>
      <c r="D67" s="3" t="s">
        <v>641</v>
      </c>
      <c r="E67" s="2" t="s">
        <v>315</v>
      </c>
      <c r="G67" s="222" t="s">
        <v>7629</v>
      </c>
      <c r="K67" s="7">
        <v>159.1</v>
      </c>
      <c r="P67" s="62">
        <v>55.69</v>
      </c>
      <c r="Q67" s="3" t="s">
        <v>7611</v>
      </c>
      <c r="T67" s="208" t="str">
        <f>IFERROR(IF(VLOOKUP(Tabla13[[#This Row],[ID TRABAJADOR]],Tabla57[Cod trabalhador],1,0)&lt;&gt;"","KI",""),"")</f>
        <v/>
      </c>
      <c r="U67" s="208" t="str">
        <f>IFERROR(IF(VLOOKUP(Tabla13[[#This Row],[ID TRABAJADOR]],Tabla5[Cod trabalhador],1,0)&lt;&gt;"","KR",""),"")</f>
        <v/>
      </c>
      <c r="V67" s="208" t="str">
        <f>IFERROR(IF(VLOOKUP(Tabla13[[#This Row],[ID TRABAJADOR]],Wiseowe!B:B,1,0)&lt;&gt;"","WS",""),"")</f>
        <v>WS</v>
      </c>
      <c r="W67" s="208" t="str">
        <f>IFERROR(IF(VLOOKUP(Tabla13[[#This Row],[ID TRABAJADOR]],Luminous!B:B,1,0)&lt;&gt;"","LM",""),"")</f>
        <v/>
      </c>
      <c r="X67" s="208" t="str">
        <f>IFERROR(IF(VLOOKUP(Tabla13[[#This Row],[ID TRABAJADOR]],#REF!,1,0)&lt;&gt;"","ST",""),"")</f>
        <v/>
      </c>
    </row>
    <row r="68" spans="1:24" ht="28.5" customHeight="1" x14ac:dyDescent="0.35">
      <c r="A68" s="211">
        <v>46052</v>
      </c>
      <c r="B68" s="2" t="str">
        <f>IF(Tabla13[[#This Row],[TRABAJADOR]]="", "", INDEX(Colaboradores!A:A, MATCH(Tabla13[[#This Row],[TRABAJADOR]],Colaboradores!C:C, 0)))</f>
        <v>E2020</v>
      </c>
      <c r="C68" s="3" t="s">
        <v>761</v>
      </c>
      <c r="D68" s="3" t="s">
        <v>763</v>
      </c>
      <c r="E68" s="2" t="s">
        <v>315</v>
      </c>
      <c r="G68" s="222" t="s">
        <v>7629</v>
      </c>
      <c r="K68" s="7">
        <v>147.19999999999999</v>
      </c>
      <c r="P68" s="62">
        <v>43.79</v>
      </c>
      <c r="Q68" s="3" t="s">
        <v>7611</v>
      </c>
      <c r="T68" s="208" t="str">
        <f>IFERROR(IF(VLOOKUP(Tabla13[[#This Row],[ID TRABAJADOR]],Tabla57[Cod trabalhador],1,0)&lt;&gt;"","KI",""),"")</f>
        <v/>
      </c>
      <c r="U68" s="208" t="str">
        <f>IFERROR(IF(VLOOKUP(Tabla13[[#This Row],[ID TRABAJADOR]],Tabla5[Cod trabalhador],1,0)&lt;&gt;"","KR",""),"")</f>
        <v/>
      </c>
      <c r="V68" s="208" t="str">
        <f>IFERROR(IF(VLOOKUP(Tabla13[[#This Row],[ID TRABAJADOR]],Wiseowe!B:B,1,0)&lt;&gt;"","WS",""),"")</f>
        <v>WS</v>
      </c>
      <c r="W68" s="208" t="str">
        <f>IFERROR(IF(VLOOKUP(Tabla13[[#This Row],[ID TRABAJADOR]],Luminous!B:B,1,0)&lt;&gt;"","LM",""),"")</f>
        <v/>
      </c>
      <c r="X68" s="208" t="str">
        <f>IFERROR(IF(VLOOKUP(Tabla13[[#This Row],[ID TRABAJADOR]],#REF!,1,0)&lt;&gt;"","ST",""),"")</f>
        <v/>
      </c>
    </row>
    <row r="69" spans="1:24" ht="15" customHeight="1" x14ac:dyDescent="0.35">
      <c r="A69" s="211">
        <v>46052</v>
      </c>
      <c r="B69" s="2" t="str">
        <f>IF(Tabla13[[#This Row],[TRABAJADOR]]="", "", INDEX(Colaboradores!A:A, MATCH(Tabla13[[#This Row],[TRABAJADOR]],Colaboradores!C:C, 0)))</f>
        <v>E2026</v>
      </c>
      <c r="C69" s="3" t="s">
        <v>805</v>
      </c>
      <c r="D69" s="3" t="s">
        <v>807</v>
      </c>
      <c r="E69" s="2" t="s">
        <v>315</v>
      </c>
      <c r="G69" s="222" t="s">
        <v>7629</v>
      </c>
      <c r="K69" s="7">
        <v>147.19999999999999</v>
      </c>
      <c r="P69" s="62">
        <v>43.79</v>
      </c>
      <c r="Q69" s="3" t="s">
        <v>7611</v>
      </c>
      <c r="T69" s="208" t="str">
        <f>IFERROR(IF(VLOOKUP(Tabla13[[#This Row],[ID TRABAJADOR]],Tabla57[Cod trabalhador],1,0)&lt;&gt;"","KI",""),"")</f>
        <v/>
      </c>
      <c r="U69" s="208" t="str">
        <f>IFERROR(IF(VLOOKUP(Tabla13[[#This Row],[ID TRABAJADOR]],Tabla5[Cod trabalhador],1,0)&lt;&gt;"","KR",""),"")</f>
        <v/>
      </c>
      <c r="V69" s="208" t="str">
        <f>IFERROR(IF(VLOOKUP(Tabla13[[#This Row],[ID TRABAJADOR]],Wiseowe!B:B,1,0)&lt;&gt;"","WS",""),"")</f>
        <v>WS</v>
      </c>
      <c r="W69" s="208" t="str">
        <f>IFERROR(IF(VLOOKUP(Tabla13[[#This Row],[ID TRABAJADOR]],Luminous!B:B,1,0)&lt;&gt;"","LM",""),"")</f>
        <v/>
      </c>
      <c r="X69" s="208" t="str">
        <f>IFERROR(IF(VLOOKUP(Tabla13[[#This Row],[ID TRABAJADOR]],#REF!,1,0)&lt;&gt;"","ST",""),"")</f>
        <v/>
      </c>
    </row>
    <row r="70" spans="1:24" ht="15" customHeight="1" x14ac:dyDescent="0.35">
      <c r="A70" s="211">
        <v>46052</v>
      </c>
      <c r="B70" s="2" t="str">
        <f>IF(Tabla13[[#This Row],[TRABAJADOR]]="", "", INDEX(Colaboradores!A:A, MATCH(Tabla13[[#This Row],[TRABAJADOR]],Colaboradores!C:C, 0)))</f>
        <v>E1806</v>
      </c>
      <c r="C70" s="3" t="s">
        <v>1524</v>
      </c>
      <c r="D70" s="3" t="s">
        <v>1526</v>
      </c>
      <c r="E70" s="2" t="s">
        <v>315</v>
      </c>
      <c r="G70" s="222" t="s">
        <v>7629</v>
      </c>
      <c r="K70" s="7">
        <v>42.36</v>
      </c>
      <c r="P70" s="62">
        <v>42.36</v>
      </c>
      <c r="Q70" s="3" t="s">
        <v>7611</v>
      </c>
      <c r="T70" s="208" t="str">
        <f>IFERROR(IF(VLOOKUP(Tabla13[[#This Row],[ID TRABAJADOR]],Tabla57[Cod trabalhador],1,0)&lt;&gt;"","KI",""),"")</f>
        <v/>
      </c>
      <c r="U70" s="208" t="str">
        <f>IFERROR(IF(VLOOKUP(Tabla13[[#This Row],[ID TRABAJADOR]],Tabla5[Cod trabalhador],1,0)&lt;&gt;"","KR",""),"")</f>
        <v/>
      </c>
      <c r="V70" s="208" t="str">
        <f>IFERROR(IF(VLOOKUP(Tabla13[[#This Row],[ID TRABAJADOR]],Wiseowe!B:B,1,0)&lt;&gt;"","WS",""),"")</f>
        <v>WS</v>
      </c>
      <c r="W70" s="208" t="str">
        <f>IFERROR(IF(VLOOKUP(Tabla13[[#This Row],[ID TRABAJADOR]],Luminous!B:B,1,0)&lt;&gt;"","LM",""),"")</f>
        <v/>
      </c>
      <c r="X70" s="208" t="str">
        <f>IFERROR(IF(VLOOKUP(Tabla13[[#This Row],[ID TRABAJADOR]],#REF!,1,0)&lt;&gt;"","ST",""),"")</f>
        <v/>
      </c>
    </row>
    <row r="71" spans="1:24" ht="28.5" customHeight="1" x14ac:dyDescent="0.35">
      <c r="A71" s="211">
        <v>46052</v>
      </c>
      <c r="B71" s="2" t="str">
        <f>IF(Tabla13[[#This Row],[TRABAJADOR]]="", "", INDEX(Colaboradores!A:A, MATCH(Tabla13[[#This Row],[TRABAJADOR]],Colaboradores!C:C, 0)))</f>
        <v>E1829</v>
      </c>
      <c r="C71" s="3" t="s">
        <v>2476</v>
      </c>
      <c r="D71" s="3" t="s">
        <v>2478</v>
      </c>
      <c r="E71" s="2" t="s">
        <v>315</v>
      </c>
      <c r="G71" s="222" t="s">
        <v>7629</v>
      </c>
      <c r="K71" s="7">
        <v>63.78</v>
      </c>
      <c r="P71" s="62">
        <v>63.78</v>
      </c>
      <c r="Q71" s="3" t="s">
        <v>7611</v>
      </c>
      <c r="T71" t="str">
        <f>IFERROR(IF(VLOOKUP(Tabla13[[#This Row],[ID TRABAJADOR]],Tabla57[Cod trabalhador],1,0)&lt;&gt;"","KI",""),"")</f>
        <v/>
      </c>
      <c r="U71" t="str">
        <f>IFERROR(IF(VLOOKUP(Tabla13[[#This Row],[ID TRABAJADOR]],Tabla5[Cod trabalhador],1,0)&lt;&gt;"","KR",""),"")</f>
        <v/>
      </c>
      <c r="V71" t="str">
        <f>IFERROR(IF(VLOOKUP(Tabla13[[#This Row],[ID TRABAJADOR]],Wiseowe!B:B,1,0)&lt;&gt;"","WS",""),"")</f>
        <v>WS</v>
      </c>
      <c r="W71" t="str">
        <f>IFERROR(IF(VLOOKUP(Tabla13[[#This Row],[ID TRABAJADOR]],Luminous!B:B,1,0)&lt;&gt;"","LM",""),"")</f>
        <v/>
      </c>
      <c r="X71" t="str">
        <f>IFERROR(IF(VLOOKUP(Tabla13[[#This Row],[ID TRABAJADOR]],#REF!,1,0)&lt;&gt;"","ST",""),"")</f>
        <v/>
      </c>
    </row>
    <row r="72" spans="1:24" ht="42.75" customHeight="1" x14ac:dyDescent="0.35">
      <c r="A72" s="211">
        <v>46052</v>
      </c>
      <c r="B72" s="2" t="str">
        <f>IF(Tabla13[[#This Row],[TRABAJADOR]]="", "", INDEX(Colaboradores!A:A, MATCH(Tabla13[[#This Row],[TRABAJADOR]],Colaboradores!C:C, 0)))</f>
        <v>E1827</v>
      </c>
      <c r="C72" s="3" t="s">
        <v>4510</v>
      </c>
      <c r="D72" s="3" t="s">
        <v>4512</v>
      </c>
      <c r="E72" s="2" t="s">
        <v>315</v>
      </c>
      <c r="G72" s="222" t="s">
        <v>7629</v>
      </c>
      <c r="K72" s="7">
        <v>137.21</v>
      </c>
      <c r="P72" s="62">
        <v>33.799999999999997</v>
      </c>
      <c r="Q72" s="3" t="s">
        <v>7611</v>
      </c>
      <c r="T72" t="str">
        <f>IFERROR(IF(VLOOKUP(Tabla13[[#This Row],[ID TRABAJADOR]],Tabla57[Cod trabalhador],1,0)&lt;&gt;"","KI",""),"")</f>
        <v/>
      </c>
      <c r="U72" t="str">
        <f>IFERROR(IF(VLOOKUP(Tabla13[[#This Row],[ID TRABAJADOR]],Tabla5[Cod trabalhador],1,0)&lt;&gt;"","KR",""),"")</f>
        <v/>
      </c>
      <c r="V72" t="str">
        <f>IFERROR(IF(VLOOKUP(Tabla13[[#This Row],[ID TRABAJADOR]],Wiseowe!B:B,1,0)&lt;&gt;"","WS",""),"")</f>
        <v>WS</v>
      </c>
      <c r="W72" t="str">
        <f>IFERROR(IF(VLOOKUP(Tabla13[[#This Row],[ID TRABAJADOR]],Luminous!B:B,1,0)&lt;&gt;"","LM",""),"")</f>
        <v/>
      </c>
      <c r="X72" t="str">
        <f>IFERROR(IF(VLOOKUP(Tabla13[[#This Row],[ID TRABAJADOR]],#REF!,1,0)&lt;&gt;"","ST",""),"")</f>
        <v/>
      </c>
    </row>
    <row r="73" spans="1:24" ht="15" customHeight="1" x14ac:dyDescent="0.35">
      <c r="A73" s="211">
        <v>46052</v>
      </c>
      <c r="B73" s="2" t="str">
        <f>IF(Tabla13[[#This Row],[TRABAJADOR]]="", "", INDEX(Colaboradores!A:A, MATCH(Tabla13[[#This Row],[TRABAJADOR]],Colaboradores!C:C, 0)))</f>
        <v>E1081</v>
      </c>
      <c r="C73" s="3" t="s">
        <v>4914</v>
      </c>
      <c r="D73" s="3" t="s">
        <v>4916</v>
      </c>
      <c r="E73" s="2" t="s">
        <v>315</v>
      </c>
      <c r="G73" s="222" t="s">
        <v>7610</v>
      </c>
      <c r="K73" s="7">
        <v>148.97</v>
      </c>
      <c r="P73" s="62">
        <v>148.97</v>
      </c>
      <c r="Q73" s="3" t="s">
        <v>7611</v>
      </c>
      <c r="T73" t="str">
        <f>IFERROR(IF(VLOOKUP(Tabla13[[#This Row],[ID TRABAJADOR]],Tabla57[Cod trabalhador],1,0)&lt;&gt;"","KI",""),"")</f>
        <v/>
      </c>
      <c r="U73" t="str">
        <f>IFERROR(IF(VLOOKUP(Tabla13[[#This Row],[ID TRABAJADOR]],Tabla5[Cod trabalhador],1,0)&lt;&gt;"","KR",""),"")</f>
        <v/>
      </c>
      <c r="V73" t="str">
        <f>IFERROR(IF(VLOOKUP(Tabla13[[#This Row],[ID TRABAJADOR]],Wiseowe!B:B,1,0)&lt;&gt;"","WS",""),"")</f>
        <v>WS</v>
      </c>
      <c r="W73" t="str">
        <f>IFERROR(IF(VLOOKUP(Tabla13[[#This Row],[ID TRABAJADOR]],Luminous!B:B,1,0)&lt;&gt;"","LM",""),"")</f>
        <v/>
      </c>
      <c r="X73" t="str">
        <f>IFERROR(IF(VLOOKUP(Tabla13[[#This Row],[ID TRABAJADOR]],#REF!,1,0)&lt;&gt;"","ST",""),"")</f>
        <v/>
      </c>
    </row>
    <row r="74" spans="1:24" ht="28.5" customHeight="1" x14ac:dyDescent="0.35">
      <c r="A74" s="211">
        <v>46052</v>
      </c>
      <c r="B74" s="2" t="str">
        <f>IF(Tabla13[[#This Row],[TRABAJADOR]]="", "", INDEX(Colaboradores!A:A, MATCH(Tabla13[[#This Row],[TRABAJADOR]],Colaboradores!C:C, 0)))</f>
        <v>E1719</v>
      </c>
      <c r="C74" s="3" t="s">
        <v>5647</v>
      </c>
      <c r="D74" s="3" t="s">
        <v>5649</v>
      </c>
      <c r="E74" s="2" t="s">
        <v>315</v>
      </c>
      <c r="G74" s="222" t="s">
        <v>7629</v>
      </c>
      <c r="K74" s="7">
        <v>69.97</v>
      </c>
      <c r="P74" s="62">
        <v>69.97</v>
      </c>
      <c r="Q74" s="3" t="s">
        <v>7611</v>
      </c>
      <c r="T74" t="str">
        <f>IFERROR(IF(VLOOKUP(Tabla13[[#This Row],[ID TRABAJADOR]],Tabla57[Cod trabalhador],1,0)&lt;&gt;"","KI",""),"")</f>
        <v/>
      </c>
      <c r="U74" t="str">
        <f>IFERROR(IF(VLOOKUP(Tabla13[[#This Row],[ID TRABAJADOR]],Tabla5[Cod trabalhador],1,0)&lt;&gt;"","KR",""),"")</f>
        <v/>
      </c>
      <c r="V74" t="str">
        <f>IFERROR(IF(VLOOKUP(Tabla13[[#This Row],[ID TRABAJADOR]],Wiseowe!B:B,1,0)&lt;&gt;"","WS",""),"")</f>
        <v>WS</v>
      </c>
      <c r="W74" t="str">
        <f>IFERROR(IF(VLOOKUP(Tabla13[[#This Row],[ID TRABAJADOR]],Luminous!B:B,1,0)&lt;&gt;"","LM",""),"")</f>
        <v/>
      </c>
      <c r="X74" t="str">
        <f>IFERROR(IF(VLOOKUP(Tabla13[[#This Row],[ID TRABAJADOR]],#REF!,1,0)&lt;&gt;"","ST",""),"")</f>
        <v/>
      </c>
    </row>
    <row r="75" spans="1:24" ht="15" customHeight="1" x14ac:dyDescent="0.35">
      <c r="A75" s="211">
        <v>46052</v>
      </c>
      <c r="B75" s="2" t="str">
        <f>IF(Tabla13[[#This Row],[TRABAJADOR]]="", "", INDEX(Colaboradores!A:A, MATCH(Tabla13[[#This Row],[TRABAJADOR]],Colaboradores!C:C, 0)))</f>
        <v>E0422</v>
      </c>
      <c r="C75" s="3" t="s">
        <v>6329</v>
      </c>
      <c r="D75" s="3" t="s">
        <v>6331</v>
      </c>
      <c r="E75" s="2" t="s">
        <v>315</v>
      </c>
      <c r="G75" s="222" t="s">
        <v>7641</v>
      </c>
      <c r="K75" s="7">
        <v>148.97</v>
      </c>
      <c r="P75" s="62">
        <v>148.97</v>
      </c>
      <c r="Q75" s="3" t="s">
        <v>7611</v>
      </c>
      <c r="T75" t="str">
        <f>IFERROR(IF(VLOOKUP(Tabla13[[#This Row],[ID TRABAJADOR]],Tabla57[Cod trabalhador],1,0)&lt;&gt;"","KI",""),"")</f>
        <v/>
      </c>
      <c r="U75" t="str">
        <f>IFERROR(IF(VLOOKUP(Tabla13[[#This Row],[ID TRABAJADOR]],Tabla5[Cod trabalhador],1,0)&lt;&gt;"","KR",""),"")</f>
        <v/>
      </c>
      <c r="V75" t="str">
        <f>IFERROR(IF(VLOOKUP(Tabla13[[#This Row],[ID TRABAJADOR]],Wiseowe!B:B,1,0)&lt;&gt;"","WS",""),"")</f>
        <v>WS</v>
      </c>
      <c r="W75" t="str">
        <f>IFERROR(IF(VLOOKUP(Tabla13[[#This Row],[ID TRABAJADOR]],Luminous!B:B,1,0)&lt;&gt;"","LM",""),"")</f>
        <v/>
      </c>
      <c r="X75" t="str">
        <f>IFERROR(IF(VLOOKUP(Tabla13[[#This Row],[ID TRABAJADOR]],#REF!,1,0)&lt;&gt;"","ST",""),"")</f>
        <v/>
      </c>
    </row>
    <row r="76" spans="1:24" ht="15" customHeight="1" x14ac:dyDescent="0.35">
      <c r="A76" s="211">
        <v>46052</v>
      </c>
      <c r="B76" s="2" t="str">
        <f>IF(Tabla13[[#This Row],[TRABAJADOR]]="", "", INDEX(Colaboradores!A:A, MATCH(Tabla13[[#This Row],[TRABAJADOR]],Colaboradores!C:C, 0)))</f>
        <v>E0368</v>
      </c>
      <c r="C76" s="3" t="s">
        <v>6464</v>
      </c>
      <c r="D76" s="3" t="s">
        <v>6466</v>
      </c>
      <c r="E76" s="2" t="s">
        <v>315</v>
      </c>
      <c r="G76" s="222" t="s">
        <v>7629</v>
      </c>
      <c r="K76" s="7">
        <v>6.19</v>
      </c>
      <c r="P76" s="62">
        <v>6.19</v>
      </c>
      <c r="Q76" s="3" t="s">
        <v>7611</v>
      </c>
      <c r="T76" t="str">
        <f>IFERROR(IF(VLOOKUP(Tabla13[[#This Row],[ID TRABAJADOR]],Tabla57[Cod trabalhador],1,0)&lt;&gt;"","KI",""),"")</f>
        <v/>
      </c>
      <c r="U76" t="str">
        <f>IFERROR(IF(VLOOKUP(Tabla13[[#This Row],[ID TRABAJADOR]],Tabla5[Cod trabalhador],1,0)&lt;&gt;"","KR",""),"")</f>
        <v/>
      </c>
      <c r="V76" t="str">
        <f>IFERROR(IF(VLOOKUP(Tabla13[[#This Row],[ID TRABAJADOR]],Wiseowe!B:B,1,0)&lt;&gt;"","WS",""),"")</f>
        <v>WS</v>
      </c>
      <c r="W76" t="str">
        <f>IFERROR(IF(VLOOKUP(Tabla13[[#This Row],[ID TRABAJADOR]],Luminous!B:B,1,0)&lt;&gt;"","LM",""),"")</f>
        <v/>
      </c>
      <c r="X76" t="str">
        <f>IFERROR(IF(VLOOKUP(Tabla13[[#This Row],[ID TRABAJADOR]],#REF!,1,0)&lt;&gt;"","ST",""),"")</f>
        <v/>
      </c>
    </row>
    <row r="77" spans="1:24" ht="15" customHeight="1" x14ac:dyDescent="0.35">
      <c r="A77" s="211">
        <v>46064</v>
      </c>
      <c r="B77" s="2" t="str">
        <f>IF(Tabla13[[#This Row],[TRABAJADOR]]="", "", INDEX(Colaboradores!A:A, MATCH(Tabla13[[#This Row],[TRABAJADOR]],Colaboradores!C:C, 0)))</f>
        <v>E1117</v>
      </c>
      <c r="C77" s="3" t="s">
        <v>1888</v>
      </c>
      <c r="D77" s="3" t="s">
        <v>1890</v>
      </c>
      <c r="E77" s="2" t="s">
        <v>7642</v>
      </c>
      <c r="M77" s="7">
        <v>21.74</v>
      </c>
      <c r="P77" s="62">
        <v>21.74</v>
      </c>
      <c r="T77" s="208" t="str">
        <f>IFERROR(IF(VLOOKUP(Tabla13[[#This Row],[ID TRABAJADOR]],Tabla57[Cod trabalhador],1,0)&lt;&gt;"","KI",""),"")</f>
        <v/>
      </c>
      <c r="U77" s="208" t="str">
        <f>IFERROR(IF(VLOOKUP(Tabla13[[#This Row],[ID TRABAJADOR]],Tabla5[Cod trabalhador],1,0)&lt;&gt;"","KR",""),"")</f>
        <v/>
      </c>
      <c r="V77" s="208" t="str">
        <f>IFERROR(IF(VLOOKUP(Tabla13[[#This Row],[ID TRABAJADOR]],Wiseowe!B:B,1,0)&lt;&gt;"","WS",""),"")</f>
        <v/>
      </c>
      <c r="W77" s="208" t="str">
        <f>IFERROR(IF(VLOOKUP(Tabla13[[#This Row],[ID TRABAJADOR]],Luminous!B:B,1,0)&lt;&gt;"","LM",""),"")</f>
        <v>LM</v>
      </c>
      <c r="X77" s="208" t="str">
        <f>IFERROR(IF(VLOOKUP(Tabla13[[#This Row],[ID TRABAJADOR]],#REF!,1,0)&lt;&gt;"","ST",""),"")</f>
        <v/>
      </c>
    </row>
    <row r="78" spans="1:24" ht="17.25" customHeight="1" x14ac:dyDescent="0.35"/>
    <row r="79" spans="1:24" ht="17.25" customHeight="1" x14ac:dyDescent="0.35"/>
  </sheetData>
  <phoneticPr fontId="11" type="noConversion"/>
  <conditionalFormatting sqref="B1:B1048576">
    <cfRule type="duplicateValues" dxfId="16" priority="1"/>
  </conditionalFormatting>
  <conditionalFormatting sqref="C1:C1048576">
    <cfRule type="duplicateValues" dxfId="15" priority="2"/>
  </conditionalFormatting>
  <pageMargins left="0.25" right="0.25" top="0.75" bottom="0.75" header="0.3" footer="0.3"/>
  <pageSetup paperSize="9" scale="32" fitToHeight="0" orientation="portrait" horizontalDpi="1200" verticalDpi="1200" r:id="rId1"/>
  <drawing r:id="rId2"/>
  <tableParts count="1">
    <tablePart r:id="rId3"/>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A0BAF-020D-462E-83F6-B3AF80362B96}">
  <sheetPr>
    <tabColor rgb="FF92D050"/>
    <pageSetUpPr fitToPage="1"/>
  </sheetPr>
  <dimension ref="B1:W80"/>
  <sheetViews>
    <sheetView workbookViewId="0">
      <selection activeCell="D4" sqref="D4"/>
    </sheetView>
  </sheetViews>
  <sheetFormatPr defaultColWidth="11.5546875" defaultRowHeight="15" x14ac:dyDescent="0.3"/>
  <cols>
    <col min="1" max="1" width="2.5546875" customWidth="1"/>
    <col min="2" max="2" width="7.6640625" bestFit="1" customWidth="1"/>
    <col min="3" max="3" width="29.44140625" style="19" bestFit="1" customWidth="1"/>
    <col min="4" max="4" width="37.5546875" style="210" customWidth="1"/>
    <col min="5" max="5" width="15.5546875" style="132" customWidth="1"/>
    <col min="6" max="6" width="15.5546875" style="1" customWidth="1"/>
    <col min="7" max="7" width="19.6640625" style="1" customWidth="1"/>
    <col min="8" max="8" width="34.88671875" style="56" customWidth="1"/>
    <col min="9" max="9" width="12.6640625" style="205" customWidth="1"/>
    <col min="10" max="10" width="12.6640625" style="132" customWidth="1"/>
    <col min="11" max="11" width="10.6640625" style="134" customWidth="1"/>
    <col min="12" max="13" width="10.88671875" style="323" customWidth="1"/>
    <col min="14" max="14" width="37.33203125" customWidth="1"/>
    <col min="15" max="15" width="27.44140625" customWidth="1"/>
    <col min="16" max="16" width="13.33203125" bestFit="1" customWidth="1"/>
    <col min="17" max="17" width="10.5546875" customWidth="1"/>
    <col min="19" max="22" width="8.88671875" customWidth="1"/>
  </cols>
  <sheetData>
    <row r="1" spans="2:23" ht="98.25" customHeight="1" x14ac:dyDescent="0.3">
      <c r="B1">
        <v>1</v>
      </c>
      <c r="C1" s="19">
        <v>2</v>
      </c>
      <c r="D1" s="324">
        <v>3</v>
      </c>
      <c r="E1" s="1">
        <v>4</v>
      </c>
      <c r="F1" s="1">
        <v>5</v>
      </c>
      <c r="G1" s="1">
        <v>6</v>
      </c>
      <c r="H1" s="1">
        <v>7</v>
      </c>
      <c r="I1" s="19">
        <v>8</v>
      </c>
      <c r="J1" s="1">
        <v>9</v>
      </c>
      <c r="K1" s="134">
        <v>10</v>
      </c>
      <c r="L1" s="52">
        <v>11</v>
      </c>
      <c r="M1" s="52"/>
      <c r="N1">
        <v>12</v>
      </c>
    </row>
    <row r="2" spans="2:23" s="133" customFormat="1" ht="23.4" customHeight="1" x14ac:dyDescent="0.3">
      <c r="B2" s="325" t="s">
        <v>6985</v>
      </c>
      <c r="C2" s="325" t="s">
        <v>6984</v>
      </c>
      <c r="D2" s="325" t="s">
        <v>7643</v>
      </c>
      <c r="E2" s="325" t="s">
        <v>7644</v>
      </c>
      <c r="F2" s="325" t="s">
        <v>7645</v>
      </c>
      <c r="G2" s="325" t="s">
        <v>7646</v>
      </c>
      <c r="H2" s="325" t="s">
        <v>7488</v>
      </c>
      <c r="I2" s="326" t="s">
        <v>7647</v>
      </c>
      <c r="J2" s="326" t="s">
        <v>7648</v>
      </c>
      <c r="K2" s="327" t="s">
        <v>7649</v>
      </c>
      <c r="L2" s="328" t="s">
        <v>7650</v>
      </c>
      <c r="M2" s="328" t="s">
        <v>7651</v>
      </c>
      <c r="N2" s="325" t="s">
        <v>7652</v>
      </c>
      <c r="O2" s="325" t="s">
        <v>7604</v>
      </c>
      <c r="P2" s="325" t="s">
        <v>7653</v>
      </c>
      <c r="Q2" s="209" t="s">
        <v>7654</v>
      </c>
      <c r="R2" s="209" t="s">
        <v>7655</v>
      </c>
      <c r="S2" s="209" t="s">
        <v>7001</v>
      </c>
      <c r="T2" s="209" t="s">
        <v>6999</v>
      </c>
      <c r="U2" s="209" t="s">
        <v>7000</v>
      </c>
      <c r="V2" s="209" t="s">
        <v>7002</v>
      </c>
      <c r="W2" s="209" t="s">
        <v>7656</v>
      </c>
    </row>
    <row r="3" spans="2:23" x14ac:dyDescent="0.3">
      <c r="B3" s="208" t="str">
        <f>IF(Tabla14[[#This Row],[COLABORADOR]]="", "", INDEX(Colaboradores!A:A, MATCH(Tabla14[[#This Row],[COLABORADOR]],Colaboradores!C:C, 0)))</f>
        <v>E0194</v>
      </c>
      <c r="C3" s="349" t="s">
        <v>7626</v>
      </c>
      <c r="D3" s="350" t="s">
        <v>73</v>
      </c>
      <c r="E3" s="351" t="s">
        <v>7657</v>
      </c>
      <c r="F3" s="131" t="s">
        <v>7658</v>
      </c>
      <c r="G3" s="131" t="s">
        <v>7659</v>
      </c>
      <c r="H3" s="352" t="s">
        <v>7660</v>
      </c>
      <c r="I3" s="353">
        <v>46023</v>
      </c>
      <c r="J3" s="354">
        <v>46052</v>
      </c>
      <c r="K3" s="355">
        <v>30</v>
      </c>
      <c r="L3" s="356">
        <v>300</v>
      </c>
      <c r="M3" s="329" t="s">
        <v>7661</v>
      </c>
      <c r="N3" s="208"/>
      <c r="O3" s="208" t="s">
        <v>7662</v>
      </c>
      <c r="P3" s="208"/>
      <c r="Q3" s="208"/>
      <c r="R3" s="208"/>
      <c r="S3" s="208" t="str">
        <f>IFERROR(IF(VLOOKUP(Tabla14[[#This Row],[COD]],'Kotrik Industrial'!B:B,1,0)&lt;&gt;"","KI",""),"")</f>
        <v/>
      </c>
      <c r="T3" s="208" t="str">
        <f>IFERROR(IF(VLOOKUP(Tabla14[[#This Row],[COD]],Tabla5[Cod trabalhador],1,0)&lt;&gt;"","KR",""),"")</f>
        <v>KR</v>
      </c>
      <c r="U3" s="208" t="str">
        <f>IFERROR(IF(VLOOKUP(Tabla14[[#This Row],[COD]],Wiseowe!B:B,1,0)&lt;&gt;"","Ws",""),"")</f>
        <v/>
      </c>
      <c r="V3" s="208" t="str">
        <f>IFERROR(IF(VLOOKUP(Tabla14[[#This Row],[COD]],Luminous!B:B,1,0)&lt;&gt;"","LM",""),"")</f>
        <v/>
      </c>
      <c r="W3" s="208" t="str">
        <f>IFERROR(IF(VLOOKUP(Tabla14[[#This Row],[COD]],#REF!,1,0)&lt;&gt;"","ST",""),"")</f>
        <v/>
      </c>
    </row>
    <row r="4" spans="2:23" x14ac:dyDescent="0.3">
      <c r="B4" s="208" t="str">
        <f>IF(Tabla14[[#This Row],[COLABORADOR]]="", "", INDEX(Colaboradores!A:A, MATCH(Tabla14[[#This Row],[COLABORADOR]],Colaboradores!C:C, 0)))</f>
        <v>E0272</v>
      </c>
      <c r="C4" s="349" t="s">
        <v>7642</v>
      </c>
      <c r="D4" s="350" t="s">
        <v>90</v>
      </c>
      <c r="E4" s="351" t="s">
        <v>7657</v>
      </c>
      <c r="F4" s="131" t="s">
        <v>7663</v>
      </c>
      <c r="G4" s="131" t="s">
        <v>7664</v>
      </c>
      <c r="H4" s="352" t="s">
        <v>7577</v>
      </c>
      <c r="I4" s="353">
        <v>46023</v>
      </c>
      <c r="J4" s="354">
        <v>46052</v>
      </c>
      <c r="K4" s="355">
        <v>30</v>
      </c>
      <c r="L4" s="356">
        <v>300</v>
      </c>
      <c r="M4" s="329" t="s">
        <v>7661</v>
      </c>
      <c r="N4" s="208" t="s">
        <v>7665</v>
      </c>
      <c r="O4" s="208" t="s">
        <v>7662</v>
      </c>
      <c r="P4" s="208"/>
      <c r="Q4" s="208"/>
      <c r="R4" s="208"/>
      <c r="S4" s="208" t="str">
        <f>IFERROR(IF(VLOOKUP(Tabla14[[#This Row],[COD]],'Kotrik Industrial'!B:B,1,0)&lt;&gt;"","KI",""),"")</f>
        <v/>
      </c>
      <c r="T4" s="208" t="str">
        <f>IFERROR(IF(VLOOKUP(Tabla14[[#This Row],[COD]],Tabla5[Cod trabalhador],1,0)&lt;&gt;"","KR",""),"")</f>
        <v/>
      </c>
      <c r="U4" s="208" t="str">
        <f>IFERROR(IF(VLOOKUP(Tabla14[[#This Row],[COD]],Wiseowe!B:B,1,0)&lt;&gt;"","Ws",""),"")</f>
        <v>Ws</v>
      </c>
      <c r="V4" s="208" t="str">
        <f>IFERROR(IF(VLOOKUP(Tabla14[[#This Row],[COD]],Luminous!B:B,1,0)&lt;&gt;"","LM",""),"")</f>
        <v/>
      </c>
      <c r="W4" s="208" t="str">
        <f>IFERROR(IF(VLOOKUP(Tabla14[[#This Row],[COD]],#REF!,1,0)&lt;&gt;"","ST",""),"")</f>
        <v/>
      </c>
    </row>
    <row r="5" spans="2:23" x14ac:dyDescent="0.3">
      <c r="B5" s="208" t="str">
        <f>IF(Tabla14[[#This Row],[COLABORADOR]]="", "", INDEX(Colaboradores!A:A, MATCH(Tabla14[[#This Row],[COLABORADOR]],Colaboradores!C:C, 0)))</f>
        <v>E0254</v>
      </c>
      <c r="C5" s="349" t="s">
        <v>7626</v>
      </c>
      <c r="D5" s="350" t="s">
        <v>269</v>
      </c>
      <c r="E5" s="351" t="s">
        <v>7657</v>
      </c>
      <c r="F5" s="131" t="s">
        <v>7666</v>
      </c>
      <c r="G5" s="131" t="s">
        <v>7667</v>
      </c>
      <c r="H5" s="352" t="s">
        <v>7385</v>
      </c>
      <c r="I5" s="353">
        <v>46029</v>
      </c>
      <c r="J5" s="354">
        <v>46052</v>
      </c>
      <c r="K5" s="355">
        <v>24</v>
      </c>
      <c r="L5" s="356">
        <v>240</v>
      </c>
      <c r="M5" s="329" t="s">
        <v>7661</v>
      </c>
      <c r="N5" s="208"/>
      <c r="O5" s="208" t="s">
        <v>7662</v>
      </c>
      <c r="P5" s="208"/>
      <c r="Q5" s="208"/>
      <c r="R5" s="208"/>
      <c r="S5" s="208" t="str">
        <f>IFERROR(IF(VLOOKUP(Tabla14[[#This Row],[COD]],'Kotrik Industrial'!B:B,1,0)&lt;&gt;"","KI",""),"")</f>
        <v/>
      </c>
      <c r="T5" s="208" t="str">
        <f>IFERROR(IF(VLOOKUP(Tabla14[[#This Row],[COD]],Tabla5[Cod trabalhador],1,0)&lt;&gt;"","KR",""),"")</f>
        <v/>
      </c>
      <c r="U5" s="208" t="str">
        <f>IFERROR(IF(VLOOKUP(Tabla14[[#This Row],[COD]],Wiseowe!B:B,1,0)&lt;&gt;"","Ws",""),"")</f>
        <v/>
      </c>
      <c r="V5" s="208" t="str">
        <f>IFERROR(IF(VLOOKUP(Tabla14[[#This Row],[COD]],Luminous!B:B,1,0)&lt;&gt;"","LM",""),"")</f>
        <v>LM</v>
      </c>
      <c r="W5" s="208" t="str">
        <f>IFERROR(IF(VLOOKUP(Tabla14[[#This Row],[COD]],#REF!,1,0)&lt;&gt;"","ST",""),"")</f>
        <v/>
      </c>
    </row>
    <row r="6" spans="2:23" x14ac:dyDescent="0.3">
      <c r="B6" s="208" t="str">
        <f>IF(Tabla14[[#This Row],[COLABORADOR]]="", "", INDEX(Colaboradores!A:A, MATCH(Tabla14[[#This Row],[COLABORADOR]],Colaboradores!C:C, 0)))</f>
        <v>E2079</v>
      </c>
      <c r="C6" s="349" t="s">
        <v>7642</v>
      </c>
      <c r="D6" s="350" t="s">
        <v>317</v>
      </c>
      <c r="E6" s="351" t="s">
        <v>7668</v>
      </c>
      <c r="F6" s="131" t="s">
        <v>7663</v>
      </c>
      <c r="G6" s="131" t="s">
        <v>7669</v>
      </c>
      <c r="H6" s="352" t="s">
        <v>7577</v>
      </c>
      <c r="I6" s="353">
        <v>46023</v>
      </c>
      <c r="J6" s="354">
        <v>46052</v>
      </c>
      <c r="K6" s="355">
        <v>30</v>
      </c>
      <c r="L6" s="356">
        <v>300</v>
      </c>
      <c r="M6" s="329" t="s">
        <v>7661</v>
      </c>
      <c r="N6" s="208"/>
      <c r="O6" s="208" t="s">
        <v>7662</v>
      </c>
      <c r="P6" s="208"/>
      <c r="Q6" s="208"/>
      <c r="R6" s="208"/>
      <c r="S6" s="208" t="str">
        <f>IFERROR(IF(VLOOKUP(Tabla14[[#This Row],[COD]],'Kotrik Industrial'!B:B,1,0)&lt;&gt;"","KI",""),"")</f>
        <v/>
      </c>
      <c r="T6" s="208" t="str">
        <f>IFERROR(IF(VLOOKUP(Tabla14[[#This Row],[COD]],Tabla5[Cod trabalhador],1,0)&lt;&gt;"","KR",""),"")</f>
        <v/>
      </c>
      <c r="U6" s="208" t="str">
        <f>IFERROR(IF(VLOOKUP(Tabla14[[#This Row],[COD]],Wiseowe!B:B,1,0)&lt;&gt;"","Ws",""),"")</f>
        <v>Ws</v>
      </c>
      <c r="V6" s="208" t="str">
        <f>IFERROR(IF(VLOOKUP(Tabla14[[#This Row],[COD]],Luminous!B:B,1,0)&lt;&gt;"","LM",""),"")</f>
        <v/>
      </c>
      <c r="W6" s="208" t="str">
        <f>IFERROR(IF(VLOOKUP(Tabla14[[#This Row],[COD]],#REF!,1,0)&lt;&gt;"","ST",""),"")</f>
        <v/>
      </c>
    </row>
    <row r="7" spans="2:23" x14ac:dyDescent="0.3">
      <c r="B7" s="208" t="str">
        <f>IF(Tabla14[[#This Row],[COLABORADOR]]="", "", INDEX(Colaboradores!A:A, MATCH(Tabla14[[#This Row],[COLABORADOR]],Colaboradores!C:C, 0)))</f>
        <v>E1703</v>
      </c>
      <c r="C7" s="349" t="s">
        <v>7626</v>
      </c>
      <c r="D7" s="350" t="s">
        <v>348</v>
      </c>
      <c r="E7" s="351" t="s">
        <v>7657</v>
      </c>
      <c r="F7" s="131" t="s">
        <v>7670</v>
      </c>
      <c r="G7" s="131" t="s">
        <v>7671</v>
      </c>
      <c r="H7" s="352" t="s">
        <v>7672</v>
      </c>
      <c r="I7" s="353">
        <v>46023</v>
      </c>
      <c r="J7" s="354">
        <v>46052</v>
      </c>
      <c r="K7" s="355">
        <v>30</v>
      </c>
      <c r="L7" s="356">
        <v>300</v>
      </c>
      <c r="M7" s="329" t="s">
        <v>7661</v>
      </c>
      <c r="N7" s="208"/>
      <c r="O7" s="208" t="s">
        <v>7662</v>
      </c>
      <c r="P7" s="208"/>
      <c r="Q7" s="208"/>
      <c r="R7" s="208"/>
      <c r="S7" s="208" t="str">
        <f>IFERROR(IF(VLOOKUP(Tabla14[[#This Row],[COD]],'Kotrik Industrial'!B:B,1,0)&lt;&gt;"","KI",""),"")</f>
        <v/>
      </c>
      <c r="T7" s="208" t="str">
        <f>IFERROR(IF(VLOOKUP(Tabla14[[#This Row],[COD]],Tabla5[Cod trabalhador],1,0)&lt;&gt;"","KR",""),"")</f>
        <v/>
      </c>
      <c r="U7" s="208" t="str">
        <f>IFERROR(IF(VLOOKUP(Tabla14[[#This Row],[COD]],Wiseowe!B:B,1,0)&lt;&gt;"","Ws",""),"")</f>
        <v/>
      </c>
      <c r="V7" s="208" t="str">
        <f>IFERROR(IF(VLOOKUP(Tabla14[[#This Row],[COD]],Luminous!B:B,1,0)&lt;&gt;"","LM",""),"")</f>
        <v>LM</v>
      </c>
      <c r="W7" s="208" t="str">
        <f>IFERROR(IF(VLOOKUP(Tabla14[[#This Row],[COD]],#REF!,1,0)&lt;&gt;"","ST",""),"")</f>
        <v/>
      </c>
    </row>
    <row r="8" spans="2:23" x14ac:dyDescent="0.3">
      <c r="B8" s="208" t="str">
        <f>IF(Tabla14[[#This Row],[COLABORADOR]]="", "", INDEX(Colaboradores!A:A, MATCH(Tabla14[[#This Row],[COLABORADOR]],Colaboradores!C:C, 0)))</f>
        <v>E0359</v>
      </c>
      <c r="C8" s="349" t="s">
        <v>7642</v>
      </c>
      <c r="D8" s="350" t="s">
        <v>393</v>
      </c>
      <c r="E8" s="351" t="s">
        <v>7668</v>
      </c>
      <c r="F8" s="131" t="s">
        <v>7673</v>
      </c>
      <c r="G8" s="131" t="s">
        <v>7674</v>
      </c>
      <c r="H8" s="352" t="s">
        <v>7629</v>
      </c>
      <c r="I8" s="353">
        <v>46023</v>
      </c>
      <c r="J8" s="354">
        <v>46052</v>
      </c>
      <c r="K8" s="355">
        <v>30</v>
      </c>
      <c r="L8" s="356">
        <v>300</v>
      </c>
      <c r="M8" s="329" t="s">
        <v>7661</v>
      </c>
      <c r="N8" s="208"/>
      <c r="O8" s="208" t="s">
        <v>7662</v>
      </c>
      <c r="P8" s="208"/>
      <c r="Q8" s="208"/>
      <c r="R8" s="208"/>
      <c r="S8" s="208" t="str">
        <f>IFERROR(IF(VLOOKUP(Tabla14[[#This Row],[COD]],'Kotrik Industrial'!B:B,1,0)&lt;&gt;"","KI",""),"")</f>
        <v/>
      </c>
      <c r="T8" s="208" t="str">
        <f>IFERROR(IF(VLOOKUP(Tabla14[[#This Row],[COD]],Tabla5[Cod trabalhador],1,0)&lt;&gt;"","KR",""),"")</f>
        <v/>
      </c>
      <c r="U8" s="208" t="str">
        <f>IFERROR(IF(VLOOKUP(Tabla14[[#This Row],[COD]],Wiseowe!B:B,1,0)&lt;&gt;"","Ws",""),"")</f>
        <v>Ws</v>
      </c>
      <c r="V8" s="208" t="str">
        <f>IFERROR(IF(VLOOKUP(Tabla14[[#This Row],[COD]],Luminous!B:B,1,0)&lt;&gt;"","LM",""),"")</f>
        <v/>
      </c>
      <c r="W8" s="208" t="str">
        <f>IFERROR(IF(VLOOKUP(Tabla14[[#This Row],[COD]],#REF!,1,0)&lt;&gt;"","ST",""),"")</f>
        <v/>
      </c>
    </row>
    <row r="9" spans="2:23" x14ac:dyDescent="0.3">
      <c r="B9" s="208" t="str">
        <f>IF(Tabla14[[#This Row],[COLABORADOR]]="", "", INDEX(Colaboradores!A:A, MATCH(Tabla14[[#This Row],[COLABORADOR]],Colaboradores!C:C, 0)))</f>
        <v>E1888</v>
      </c>
      <c r="C9" s="349" t="s">
        <v>7642</v>
      </c>
      <c r="D9" s="350" t="s">
        <v>408</v>
      </c>
      <c r="E9" s="351" t="s">
        <v>7657</v>
      </c>
      <c r="F9" s="131" t="s">
        <v>7663</v>
      </c>
      <c r="G9" s="131" t="s">
        <v>7675</v>
      </c>
      <c r="H9" s="352" t="s">
        <v>7577</v>
      </c>
      <c r="I9" s="353">
        <v>46042</v>
      </c>
      <c r="J9" s="354">
        <v>46052</v>
      </c>
      <c r="K9" s="355">
        <v>11</v>
      </c>
      <c r="L9" s="356">
        <v>110</v>
      </c>
      <c r="M9" s="329" t="s">
        <v>7661</v>
      </c>
      <c r="N9" s="208" t="s">
        <v>7676</v>
      </c>
      <c r="O9" s="208" t="s">
        <v>7662</v>
      </c>
      <c r="P9" s="208"/>
      <c r="Q9" s="208"/>
      <c r="R9" s="208"/>
      <c r="S9" s="208" t="str">
        <f>IFERROR(IF(VLOOKUP(Tabla14[[#This Row],[COD]],'Kotrik Industrial'!B:B,1,0)&lt;&gt;"","KI",""),"")</f>
        <v/>
      </c>
      <c r="T9" s="208" t="str">
        <f>IFERROR(IF(VLOOKUP(Tabla14[[#This Row],[COD]],Tabla5[Cod trabalhador],1,0)&lt;&gt;"","KR",""),"")</f>
        <v/>
      </c>
      <c r="U9" s="208" t="str">
        <f>IFERROR(IF(VLOOKUP(Tabla14[[#This Row],[COD]],Wiseowe!B:B,1,0)&lt;&gt;"","Ws",""),"")</f>
        <v>Ws</v>
      </c>
      <c r="V9" s="208" t="str">
        <f>IFERROR(IF(VLOOKUP(Tabla14[[#This Row],[COD]],Luminous!B:B,1,0)&lt;&gt;"","LM",""),"")</f>
        <v/>
      </c>
      <c r="W9" s="208" t="str">
        <f>IFERROR(IF(VLOOKUP(Tabla14[[#This Row],[COD]],#REF!,1,0)&lt;&gt;"","ST",""),"")</f>
        <v/>
      </c>
    </row>
    <row r="10" spans="2:23" x14ac:dyDescent="0.3">
      <c r="B10" s="208" t="str">
        <f>IF(Tabla14[[#This Row],[COLABORADOR]]="", "", INDEX(Colaboradores!A:A, MATCH(Tabla14[[#This Row],[COLABORADOR]],Colaboradores!C:C, 0)))</f>
        <v>E1454</v>
      </c>
      <c r="C10" s="349" t="s">
        <v>7626</v>
      </c>
      <c r="D10" s="350" t="s">
        <v>435</v>
      </c>
      <c r="E10" s="351" t="s">
        <v>7657</v>
      </c>
      <c r="F10" s="131" t="s">
        <v>7677</v>
      </c>
      <c r="G10" s="131" t="s">
        <v>7678</v>
      </c>
      <c r="H10" s="352" t="s">
        <v>7679</v>
      </c>
      <c r="I10" s="353">
        <v>46050</v>
      </c>
      <c r="J10" s="354">
        <v>46052</v>
      </c>
      <c r="K10" s="355">
        <v>3</v>
      </c>
      <c r="L10" s="356">
        <v>30</v>
      </c>
      <c r="M10" s="329" t="s">
        <v>7661</v>
      </c>
      <c r="N10" s="208"/>
      <c r="O10" s="208" t="s">
        <v>7662</v>
      </c>
      <c r="P10" s="208"/>
      <c r="Q10" s="208"/>
      <c r="R10" s="208"/>
      <c r="S10" s="208" t="str">
        <f>IFERROR(IF(VLOOKUP(Tabla14[[#This Row],[COD]],'Kotrik Industrial'!B:B,1,0)&lt;&gt;"","KI",""),"")</f>
        <v/>
      </c>
      <c r="T10" s="208" t="str">
        <f>IFERROR(IF(VLOOKUP(Tabla14[[#This Row],[COD]],Tabla5[Cod trabalhador],1,0)&lt;&gt;"","KR",""),"")</f>
        <v/>
      </c>
      <c r="U10" s="208" t="str">
        <f>IFERROR(IF(VLOOKUP(Tabla14[[#This Row],[COD]],Wiseowe!B:B,1,0)&lt;&gt;"","Ws",""),"")</f>
        <v/>
      </c>
      <c r="V10" s="208" t="str">
        <f>IFERROR(IF(VLOOKUP(Tabla14[[#This Row],[COD]],Luminous!B:B,1,0)&lt;&gt;"","LM",""),"")</f>
        <v>LM</v>
      </c>
      <c r="W10" s="208" t="str">
        <f>IFERROR(IF(VLOOKUP(Tabla14[[#This Row],[COD]],#REF!,1,0)&lt;&gt;"","ST",""),"")</f>
        <v/>
      </c>
    </row>
    <row r="11" spans="2:23" x14ac:dyDescent="0.3">
      <c r="B11" s="208" t="str">
        <f>IF(Tabla14[[#This Row],[COLABORADOR]]="", "", INDEX(Colaboradores!A:A, MATCH(Tabla14[[#This Row],[COLABORADOR]],Colaboradores!C:C, 0)))</f>
        <v>E1590</v>
      </c>
      <c r="C11" s="349" t="s">
        <v>7626</v>
      </c>
      <c r="D11" s="350" t="s">
        <v>545</v>
      </c>
      <c r="E11" s="351" t="s">
        <v>7657</v>
      </c>
      <c r="F11" s="131" t="s">
        <v>7670</v>
      </c>
      <c r="G11" s="131" t="s">
        <v>7680</v>
      </c>
      <c r="H11" s="352" t="s">
        <v>7572</v>
      </c>
      <c r="I11" s="353">
        <v>46023</v>
      </c>
      <c r="J11" s="354">
        <v>46052</v>
      </c>
      <c r="K11" s="355">
        <v>30</v>
      </c>
      <c r="L11" s="356">
        <v>300</v>
      </c>
      <c r="M11" s="329" t="s">
        <v>7661</v>
      </c>
      <c r="N11" s="208"/>
      <c r="O11" s="208" t="s">
        <v>7662</v>
      </c>
      <c r="P11" s="208"/>
      <c r="Q11" s="208"/>
      <c r="R11" s="208"/>
      <c r="S11" s="208" t="str">
        <f>IFERROR(IF(VLOOKUP(Tabla14[[#This Row],[COD]],'Kotrik Industrial'!B:B,1,0)&lt;&gt;"","KI",""),"")</f>
        <v>KI</v>
      </c>
      <c r="T11" s="208" t="str">
        <f>IFERROR(IF(VLOOKUP(Tabla14[[#This Row],[COD]],Tabla5[Cod trabalhador],1,0)&lt;&gt;"","KR",""),"")</f>
        <v/>
      </c>
      <c r="U11" s="208" t="str">
        <f>IFERROR(IF(VLOOKUP(Tabla14[[#This Row],[COD]],Wiseowe!B:B,1,0)&lt;&gt;"","Ws",""),"")</f>
        <v/>
      </c>
      <c r="V11" s="208" t="str">
        <f>IFERROR(IF(VLOOKUP(Tabla14[[#This Row],[COD]],Luminous!B:B,1,0)&lt;&gt;"","LM",""),"")</f>
        <v>LM</v>
      </c>
      <c r="W11" s="208" t="str">
        <f>IFERROR(IF(VLOOKUP(Tabla14[[#This Row],[COD]],#REF!,1,0)&lt;&gt;"","ST",""),"")</f>
        <v/>
      </c>
    </row>
    <row r="12" spans="2:23" x14ac:dyDescent="0.3">
      <c r="B12" s="208" t="str">
        <f>IF(Tabla14[[#This Row],[COLABORADOR]]="", "", INDEX(Colaboradores!A:A, MATCH(Tabla14[[#This Row],[COLABORADOR]],Colaboradores!C:C, 0)))</f>
        <v>E0195</v>
      </c>
      <c r="C12" s="349" t="s">
        <v>7626</v>
      </c>
      <c r="D12" s="350" t="s">
        <v>582</v>
      </c>
      <c r="E12" s="351" t="s">
        <v>7657</v>
      </c>
      <c r="F12" s="131" t="s">
        <v>7658</v>
      </c>
      <c r="G12" s="131" t="s">
        <v>7659</v>
      </c>
      <c r="H12" s="352" t="s">
        <v>7660</v>
      </c>
      <c r="I12" s="353">
        <v>46023</v>
      </c>
      <c r="J12" s="354">
        <v>46052</v>
      </c>
      <c r="K12" s="355">
        <v>30</v>
      </c>
      <c r="L12" s="356">
        <v>300</v>
      </c>
      <c r="M12" s="329" t="s">
        <v>7661</v>
      </c>
      <c r="N12" s="208"/>
      <c r="O12" s="208" t="s">
        <v>7662</v>
      </c>
      <c r="P12" s="208"/>
      <c r="Q12" s="208"/>
      <c r="R12" s="208"/>
      <c r="S12" s="208" t="str">
        <f>IFERROR(IF(VLOOKUP(Tabla14[[#This Row],[COD]],'Kotrik Industrial'!B:B,1,0)&lt;&gt;"","KI",""),"")</f>
        <v/>
      </c>
      <c r="T12" s="208" t="str">
        <f>IFERROR(IF(VLOOKUP(Tabla14[[#This Row],[COD]],Tabla5[Cod trabalhador],1,0)&lt;&gt;"","KR",""),"")</f>
        <v>KR</v>
      </c>
      <c r="U12" s="208" t="str">
        <f>IFERROR(IF(VLOOKUP(Tabla14[[#This Row],[COD]],Wiseowe!B:B,1,0)&lt;&gt;"","Ws",""),"")</f>
        <v/>
      </c>
      <c r="V12" s="208" t="str">
        <f>IFERROR(IF(VLOOKUP(Tabla14[[#This Row],[COD]],Luminous!B:B,1,0)&lt;&gt;"","LM",""),"")</f>
        <v/>
      </c>
      <c r="W12" s="208" t="str">
        <f>IFERROR(IF(VLOOKUP(Tabla14[[#This Row],[COD]],#REF!,1,0)&lt;&gt;"","ST",""),"")</f>
        <v/>
      </c>
    </row>
    <row r="13" spans="2:23" x14ac:dyDescent="0.3">
      <c r="B13" s="208" t="str">
        <f>IF(Tabla14[[#This Row],[COLABORADOR]]="", "", INDEX(Colaboradores!A:A, MATCH(Tabla14[[#This Row],[COLABORADOR]],Colaboradores!C:C, 0)))</f>
        <v>E0396</v>
      </c>
      <c r="C13" s="349" t="s">
        <v>7642</v>
      </c>
      <c r="D13" s="350" t="s">
        <v>774</v>
      </c>
      <c r="E13" s="351" t="s">
        <v>7657</v>
      </c>
      <c r="F13" s="131" t="s">
        <v>7681</v>
      </c>
      <c r="G13" s="131" t="s">
        <v>7682</v>
      </c>
      <c r="H13" s="352" t="s">
        <v>7422</v>
      </c>
      <c r="I13" s="353">
        <v>46023</v>
      </c>
      <c r="J13" s="354">
        <v>46052</v>
      </c>
      <c r="K13" s="355">
        <v>30</v>
      </c>
      <c r="L13" s="356">
        <v>300</v>
      </c>
      <c r="M13" s="329" t="s">
        <v>7661</v>
      </c>
      <c r="N13" s="208"/>
      <c r="O13" s="208" t="s">
        <v>7662</v>
      </c>
      <c r="P13" s="208"/>
      <c r="Q13" s="208"/>
      <c r="R13" s="208"/>
      <c r="S13" s="208" t="str">
        <f>IFERROR(IF(VLOOKUP(Tabla14[[#This Row],[COD]],'Kotrik Industrial'!B:B,1,0)&lt;&gt;"","KI",""),"")</f>
        <v/>
      </c>
      <c r="T13" s="208" t="str">
        <f>IFERROR(IF(VLOOKUP(Tabla14[[#This Row],[COD]],Tabla5[Cod trabalhador],1,0)&lt;&gt;"","KR",""),"")</f>
        <v>KR</v>
      </c>
      <c r="U13" s="208" t="str">
        <f>IFERROR(IF(VLOOKUP(Tabla14[[#This Row],[COD]],Wiseowe!B:B,1,0)&lt;&gt;"","Ws",""),"")</f>
        <v/>
      </c>
      <c r="V13" s="208" t="str">
        <f>IFERROR(IF(VLOOKUP(Tabla14[[#This Row],[COD]],Luminous!B:B,1,0)&lt;&gt;"","LM",""),"")</f>
        <v/>
      </c>
      <c r="W13" s="208" t="str">
        <f>IFERROR(IF(VLOOKUP(Tabla14[[#This Row],[COD]],#REF!,1,0)&lt;&gt;"","ST",""),"")</f>
        <v/>
      </c>
    </row>
    <row r="14" spans="2:23" x14ac:dyDescent="0.3">
      <c r="B14" s="208" t="str">
        <f>IF(Tabla14[[#This Row],[COLABORADOR]]="", "", INDEX(Colaboradores!A:A, MATCH(Tabla14[[#This Row],[COLABORADOR]],Colaboradores!C:C, 0)))</f>
        <v>E0144</v>
      </c>
      <c r="C14" s="349" t="s">
        <v>7626</v>
      </c>
      <c r="D14" s="350" t="s">
        <v>837</v>
      </c>
      <c r="E14" s="351" t="s">
        <v>7657</v>
      </c>
      <c r="F14" s="131" t="s">
        <v>7670</v>
      </c>
      <c r="G14" s="131" t="s">
        <v>7683</v>
      </c>
      <c r="H14" s="352" t="s">
        <v>7672</v>
      </c>
      <c r="I14" s="353">
        <v>46023</v>
      </c>
      <c r="J14" s="354">
        <v>46052</v>
      </c>
      <c r="K14" s="355">
        <v>30</v>
      </c>
      <c r="L14" s="356">
        <v>300</v>
      </c>
      <c r="M14" s="329" t="s">
        <v>7661</v>
      </c>
      <c r="N14" s="208" t="s">
        <v>7684</v>
      </c>
      <c r="O14" s="208" t="s">
        <v>7662</v>
      </c>
      <c r="P14" s="208"/>
      <c r="Q14" s="208"/>
      <c r="R14" s="208"/>
      <c r="S14" s="208" t="str">
        <f>IFERROR(IF(VLOOKUP(Tabla14[[#This Row],[COD]],'Kotrik Industrial'!B:B,1,0)&lt;&gt;"","KI",""),"")</f>
        <v/>
      </c>
      <c r="T14" s="208" t="str">
        <f>IFERROR(IF(VLOOKUP(Tabla14[[#This Row],[COD]],Tabla5[Cod trabalhador],1,0)&lt;&gt;"","KR",""),"")</f>
        <v/>
      </c>
      <c r="U14" s="208" t="str">
        <f>IFERROR(IF(VLOOKUP(Tabla14[[#This Row],[COD]],Wiseowe!B:B,1,0)&lt;&gt;"","Ws",""),"")</f>
        <v/>
      </c>
      <c r="V14" s="208" t="str">
        <f>IFERROR(IF(VLOOKUP(Tabla14[[#This Row],[COD]],Luminous!B:B,1,0)&lt;&gt;"","LM",""),"")</f>
        <v>LM</v>
      </c>
      <c r="W14" s="208" t="str">
        <f>IFERROR(IF(VLOOKUP(Tabla14[[#This Row],[COD]],#REF!,1,0)&lt;&gt;"","ST",""),"")</f>
        <v/>
      </c>
    </row>
    <row r="15" spans="2:23" x14ac:dyDescent="0.3">
      <c r="B15" s="208" t="str">
        <f>IF(Tabla14[[#This Row],[COLABORADOR]]="", "", INDEX(Colaboradores!A:A, MATCH(Tabla14[[#This Row],[COLABORADOR]],Colaboradores!C:C, 0)))</f>
        <v>E0491</v>
      </c>
      <c r="C15" s="349" t="s">
        <v>7685</v>
      </c>
      <c r="D15" s="350" t="s">
        <v>902</v>
      </c>
      <c r="E15" s="351" t="s">
        <v>7657</v>
      </c>
      <c r="F15" s="131" t="s">
        <v>7686</v>
      </c>
      <c r="G15" s="131" t="s">
        <v>7687</v>
      </c>
      <c r="H15" s="352" t="s">
        <v>7688</v>
      </c>
      <c r="I15" s="353">
        <v>46023</v>
      </c>
      <c r="J15" s="354">
        <v>46052</v>
      </c>
      <c r="K15" s="355">
        <v>30</v>
      </c>
      <c r="L15" s="356">
        <v>300</v>
      </c>
      <c r="M15" s="329" t="s">
        <v>7661</v>
      </c>
      <c r="N15" s="208"/>
      <c r="O15" s="208" t="s">
        <v>7662</v>
      </c>
      <c r="P15" s="208"/>
      <c r="Q15" s="208"/>
      <c r="R15" s="208"/>
      <c r="S15" s="208" t="str">
        <f>IFERROR(IF(VLOOKUP(Tabla14[[#This Row],[COD]],'Kotrik Industrial'!B:B,1,0)&lt;&gt;"","KI",""),"")</f>
        <v/>
      </c>
      <c r="T15" s="208" t="str">
        <f>IFERROR(IF(VLOOKUP(Tabla14[[#This Row],[COD]],Tabla5[Cod trabalhador],1,0)&lt;&gt;"","KR",""),"")</f>
        <v>KR</v>
      </c>
      <c r="U15" s="208" t="str">
        <f>IFERROR(IF(VLOOKUP(Tabla14[[#This Row],[COD]],Wiseowe!B:B,1,0)&lt;&gt;"","Ws",""),"")</f>
        <v/>
      </c>
      <c r="V15" s="208" t="str">
        <f>IFERROR(IF(VLOOKUP(Tabla14[[#This Row],[COD]],Luminous!B:B,1,0)&lt;&gt;"","LM",""),"")</f>
        <v/>
      </c>
      <c r="W15" s="208" t="str">
        <f>IFERROR(IF(VLOOKUP(Tabla14[[#This Row],[COD]],#REF!,1,0)&lt;&gt;"","ST",""),"")</f>
        <v/>
      </c>
    </row>
    <row r="16" spans="2:23" x14ac:dyDescent="0.3">
      <c r="B16" s="208" t="str">
        <f>IF(Tabla14[[#This Row],[COLABORADOR]]="", "", INDEX(Colaboradores!A:A, MATCH(Tabla14[[#This Row],[COLABORADOR]],Colaboradores!C:C, 0)))</f>
        <v>E1853</v>
      </c>
      <c r="C16" s="349" t="s">
        <v>7642</v>
      </c>
      <c r="D16" s="350" t="s">
        <v>1170</v>
      </c>
      <c r="E16" s="351" t="s">
        <v>7668</v>
      </c>
      <c r="F16" s="131" t="s">
        <v>7689</v>
      </c>
      <c r="G16" s="131" t="s">
        <v>7630</v>
      </c>
      <c r="H16" s="352" t="s">
        <v>7440</v>
      </c>
      <c r="I16" s="353">
        <v>46042</v>
      </c>
      <c r="J16" s="354">
        <v>46052</v>
      </c>
      <c r="K16" s="355">
        <v>11</v>
      </c>
      <c r="L16" s="356">
        <v>110</v>
      </c>
      <c r="M16" s="329" t="s">
        <v>7661</v>
      </c>
      <c r="N16" s="208"/>
      <c r="O16" s="208" t="s">
        <v>7662</v>
      </c>
      <c r="P16" s="208"/>
      <c r="Q16" s="208"/>
      <c r="R16" s="208"/>
      <c r="S16" s="208" t="str">
        <f>IFERROR(IF(VLOOKUP(Tabla14[[#This Row],[COD]],'Kotrik Industrial'!B:B,1,0)&lt;&gt;"","KI",""),"")</f>
        <v/>
      </c>
      <c r="T16" s="208" t="str">
        <f>IFERROR(IF(VLOOKUP(Tabla14[[#This Row],[COD]],Tabla5[Cod trabalhador],1,0)&lt;&gt;"","KR",""),"")</f>
        <v/>
      </c>
      <c r="U16" s="208" t="str">
        <f>IFERROR(IF(VLOOKUP(Tabla14[[#This Row],[COD]],Wiseowe!B:B,1,0)&lt;&gt;"","Ws",""),"")</f>
        <v>Ws</v>
      </c>
      <c r="V16" s="208" t="str">
        <f>IFERROR(IF(VLOOKUP(Tabla14[[#This Row],[COD]],Luminous!B:B,1,0)&lt;&gt;"","LM",""),"")</f>
        <v/>
      </c>
      <c r="W16" s="208" t="str">
        <f>IFERROR(IF(VLOOKUP(Tabla14[[#This Row],[COD]],#REF!,1,0)&lt;&gt;"","ST",""),"")</f>
        <v/>
      </c>
    </row>
    <row r="17" spans="2:23" x14ac:dyDescent="0.3">
      <c r="B17" s="208" t="str">
        <f>IF(Tabla14[[#This Row],[COLABORADOR]]="", "", INDEX(Colaboradores!A:A, MATCH(Tabla14[[#This Row],[COLABORADOR]],Colaboradores!C:C, 0)))</f>
        <v>E0592</v>
      </c>
      <c r="C17" s="349" t="s">
        <v>7626</v>
      </c>
      <c r="D17" s="350" t="s">
        <v>1218</v>
      </c>
      <c r="E17" s="351" t="s">
        <v>7668</v>
      </c>
      <c r="F17" s="131" t="s">
        <v>7690</v>
      </c>
      <c r="G17" s="131" t="s">
        <v>7691</v>
      </c>
      <c r="H17" s="352" t="s">
        <v>7692</v>
      </c>
      <c r="I17" s="353">
        <v>46023</v>
      </c>
      <c r="J17" s="354">
        <v>46052</v>
      </c>
      <c r="K17" s="355">
        <v>30</v>
      </c>
      <c r="L17" s="356">
        <v>300</v>
      </c>
      <c r="M17" s="329" t="s">
        <v>7661</v>
      </c>
      <c r="N17" s="208" t="s">
        <v>7693</v>
      </c>
      <c r="O17" s="208" t="s">
        <v>7662</v>
      </c>
      <c r="P17" s="208"/>
      <c r="Q17" s="208"/>
      <c r="R17" s="208"/>
      <c r="S17" s="208" t="str">
        <f>IFERROR(IF(VLOOKUP(Tabla14[[#This Row],[COD]],'Kotrik Industrial'!B:B,1,0)&lt;&gt;"","KI",""),"")</f>
        <v>KI</v>
      </c>
      <c r="T17" s="208" t="str">
        <f>IFERROR(IF(VLOOKUP(Tabla14[[#This Row],[COD]],Tabla5[Cod trabalhador],1,0)&lt;&gt;"","KR",""),"")</f>
        <v/>
      </c>
      <c r="U17" s="208" t="str">
        <f>IFERROR(IF(VLOOKUP(Tabla14[[#This Row],[COD]],Wiseowe!B:B,1,0)&lt;&gt;"","Ws",""),"")</f>
        <v/>
      </c>
      <c r="V17" s="208" t="str">
        <f>IFERROR(IF(VLOOKUP(Tabla14[[#This Row],[COD]],Luminous!B:B,1,0)&lt;&gt;"","LM",""),"")</f>
        <v/>
      </c>
      <c r="W17" s="208" t="str">
        <f>IFERROR(IF(VLOOKUP(Tabla14[[#This Row],[COD]],#REF!,1,0)&lt;&gt;"","ST",""),"")</f>
        <v/>
      </c>
    </row>
    <row r="18" spans="2:23" x14ac:dyDescent="0.3">
      <c r="B18" s="208" t="str">
        <f>IF(Tabla14[[#This Row],[COLABORADOR]]="", "", INDEX(Colaboradores!A:A, MATCH(Tabla14[[#This Row],[COLABORADOR]],Colaboradores!C:C, 0)))</f>
        <v>E1787</v>
      </c>
      <c r="C18" s="349" t="s">
        <v>7642</v>
      </c>
      <c r="D18" s="394" t="s">
        <v>1671</v>
      </c>
      <c r="E18" s="351" t="s">
        <v>7657</v>
      </c>
      <c r="F18" s="131" t="s">
        <v>7694</v>
      </c>
      <c r="G18" s="131" t="s">
        <v>7695</v>
      </c>
      <c r="H18" s="352" t="s">
        <v>7430</v>
      </c>
      <c r="I18" s="353">
        <v>46023</v>
      </c>
      <c r="J18" s="354">
        <v>46036</v>
      </c>
      <c r="K18" s="355">
        <v>14</v>
      </c>
      <c r="L18" s="356">
        <v>140</v>
      </c>
      <c r="M18" s="329" t="s">
        <v>7661</v>
      </c>
      <c r="N18" s="208" t="s">
        <v>7696</v>
      </c>
      <c r="O18" s="208" t="s">
        <v>7697</v>
      </c>
      <c r="P18" s="208"/>
      <c r="Q18" s="208"/>
      <c r="R18" s="208"/>
      <c r="S18" s="208" t="str">
        <f>IFERROR(IF(VLOOKUP(Tabla14[[#This Row],[COD]],'Kotrik Industrial'!B:B,1,0)&lt;&gt;"","KI",""),"")</f>
        <v/>
      </c>
      <c r="T18" s="208" t="str">
        <f>IFERROR(IF(VLOOKUP(Tabla14[[#This Row],[COD]],Tabla5[Cod trabalhador],1,0)&lt;&gt;"","KR",""),"")</f>
        <v/>
      </c>
      <c r="U18" s="208" t="str">
        <f>IFERROR(IF(VLOOKUP(Tabla14[[#This Row],[COD]],Wiseowe!B:B,1,0)&lt;&gt;"","Ws",""),"")</f>
        <v>Ws</v>
      </c>
      <c r="V18" s="208" t="str">
        <f>IFERROR(IF(VLOOKUP(Tabla14[[#This Row],[COD]],Luminous!B:B,1,0)&lt;&gt;"","LM",""),"")</f>
        <v/>
      </c>
      <c r="W18" s="208" t="str">
        <f>IFERROR(IF(VLOOKUP(Tabla14[[#This Row],[COD]],#REF!,1,0)&lt;&gt;"","ST",""),"")</f>
        <v/>
      </c>
    </row>
    <row r="19" spans="2:23" x14ac:dyDescent="0.3">
      <c r="B19" s="208" t="str">
        <f>IF(Tabla14[[#This Row],[COLABORADOR]]="", "", INDEX(Colaboradores!A:A, MATCH(Tabla14[[#This Row],[COLABORADOR]],Colaboradores!C:C, 0)))</f>
        <v>E1713</v>
      </c>
      <c r="C19" s="349" t="s">
        <v>7642</v>
      </c>
      <c r="D19" s="350" t="s">
        <v>1905</v>
      </c>
      <c r="E19" s="351" t="s">
        <v>7668</v>
      </c>
      <c r="F19" s="131" t="s">
        <v>7663</v>
      </c>
      <c r="G19" s="131" t="s">
        <v>7698</v>
      </c>
      <c r="H19" s="352" t="s">
        <v>7577</v>
      </c>
      <c r="I19" s="353">
        <v>46023</v>
      </c>
      <c r="J19" s="354">
        <v>46052</v>
      </c>
      <c r="K19" s="355">
        <v>30</v>
      </c>
      <c r="L19" s="356">
        <v>300</v>
      </c>
      <c r="M19" s="329" t="s">
        <v>7661</v>
      </c>
      <c r="N19" s="208" t="s">
        <v>7699</v>
      </c>
      <c r="O19" s="208" t="s">
        <v>7697</v>
      </c>
      <c r="P19" s="208"/>
      <c r="Q19" s="208"/>
      <c r="R19" s="208"/>
      <c r="S19" s="208" t="str">
        <f>IFERROR(IF(VLOOKUP(Tabla14[[#This Row],[COD]],'Kotrik Industrial'!B:B,1,0)&lt;&gt;"","KI",""),"")</f>
        <v/>
      </c>
      <c r="T19" s="208" t="str">
        <f>IFERROR(IF(VLOOKUP(Tabla14[[#This Row],[COD]],Tabla5[Cod trabalhador],1,0)&lt;&gt;"","KR",""),"")</f>
        <v/>
      </c>
      <c r="U19" s="208" t="str">
        <f>IFERROR(IF(VLOOKUP(Tabla14[[#This Row],[COD]],Wiseowe!B:B,1,0)&lt;&gt;"","Ws",""),"")</f>
        <v>Ws</v>
      </c>
      <c r="V19" s="208" t="str">
        <f>IFERROR(IF(VLOOKUP(Tabla14[[#This Row],[COD]],Luminous!B:B,1,0)&lt;&gt;"","LM",""),"")</f>
        <v/>
      </c>
      <c r="W19" s="208" t="str">
        <f>IFERROR(IF(VLOOKUP(Tabla14[[#This Row],[COD]],#REF!,1,0)&lt;&gt;"","ST",""),"")</f>
        <v/>
      </c>
    </row>
    <row r="20" spans="2:23" x14ac:dyDescent="0.3">
      <c r="B20" s="208" t="str">
        <f>IF(Tabla14[[#This Row],[COLABORADOR]]="", "", INDEX(Colaboradores!A:A, MATCH(Tabla14[[#This Row],[COLABORADOR]],Colaboradores!C:C, 0)))</f>
        <v>E0389</v>
      </c>
      <c r="C20" s="349" t="s">
        <v>7642</v>
      </c>
      <c r="D20" s="350" t="s">
        <v>1974</v>
      </c>
      <c r="E20" s="351" t="s">
        <v>7657</v>
      </c>
      <c r="F20" s="131" t="s">
        <v>7395</v>
      </c>
      <c r="G20" s="131" t="s">
        <v>7700</v>
      </c>
      <c r="H20" s="352" t="s">
        <v>7629</v>
      </c>
      <c r="I20" s="353">
        <v>46023</v>
      </c>
      <c r="J20" s="354">
        <v>46052</v>
      </c>
      <c r="K20" s="355">
        <v>30</v>
      </c>
      <c r="L20" s="356">
        <v>300</v>
      </c>
      <c r="M20" s="329" t="s">
        <v>7661</v>
      </c>
      <c r="N20" s="208"/>
      <c r="O20" s="208" t="s">
        <v>7662</v>
      </c>
      <c r="P20" s="208"/>
      <c r="Q20" s="208"/>
      <c r="R20" s="208"/>
      <c r="S20" s="208" t="str">
        <f>IFERROR(IF(VLOOKUP(Tabla14[[#This Row],[COD]],'Kotrik Industrial'!B:B,1,0)&lt;&gt;"","KI",""),"")</f>
        <v/>
      </c>
      <c r="T20" s="208" t="str">
        <f>IFERROR(IF(VLOOKUP(Tabla14[[#This Row],[COD]],Tabla5[Cod trabalhador],1,0)&lt;&gt;"","KR",""),"")</f>
        <v/>
      </c>
      <c r="U20" s="208" t="str">
        <f>IFERROR(IF(VLOOKUP(Tabla14[[#This Row],[COD]],Wiseowe!B:B,1,0)&lt;&gt;"","Ws",""),"")</f>
        <v>Ws</v>
      </c>
      <c r="V20" s="208" t="str">
        <f>IFERROR(IF(VLOOKUP(Tabla14[[#This Row],[COD]],Luminous!B:B,1,0)&lt;&gt;"","LM",""),"")</f>
        <v/>
      </c>
      <c r="W20" s="208" t="str">
        <f>IFERROR(IF(VLOOKUP(Tabla14[[#This Row],[COD]],#REF!,1,0)&lt;&gt;"","ST",""),"")</f>
        <v/>
      </c>
    </row>
    <row r="21" spans="2:23" x14ac:dyDescent="0.3">
      <c r="B21" s="208" t="str">
        <f>IF(Tabla14[[#This Row],[COLABORADOR]]="", "", INDEX(Colaboradores!A:A, MATCH(Tabla14[[#This Row],[COLABORADOR]],Colaboradores!C:C, 0)))</f>
        <v>E1676</v>
      </c>
      <c r="C21" s="349" t="s">
        <v>7701</v>
      </c>
      <c r="D21" s="350" t="s">
        <v>2157</v>
      </c>
      <c r="E21" s="351" t="s">
        <v>7657</v>
      </c>
      <c r="F21" s="131" t="s">
        <v>7666</v>
      </c>
      <c r="G21" s="131" t="s">
        <v>7702</v>
      </c>
      <c r="H21" s="352" t="s">
        <v>7385</v>
      </c>
      <c r="I21" s="353">
        <v>46023</v>
      </c>
      <c r="J21" s="354">
        <v>46026</v>
      </c>
      <c r="K21" s="355">
        <v>4</v>
      </c>
      <c r="L21" s="356">
        <v>40</v>
      </c>
      <c r="M21" s="329" t="s">
        <v>7661</v>
      </c>
      <c r="N21" s="208" t="s">
        <v>7703</v>
      </c>
      <c r="O21" s="208" t="s">
        <v>7697</v>
      </c>
      <c r="P21" s="208"/>
      <c r="Q21" s="208"/>
      <c r="R21" s="208"/>
      <c r="S21" s="208" t="str">
        <f>IFERROR(IF(VLOOKUP(Tabla14[[#This Row],[COD]],'Kotrik Industrial'!B:B,1,0)&lt;&gt;"","KI",""),"")</f>
        <v/>
      </c>
      <c r="T21" s="208" t="str">
        <f>IFERROR(IF(VLOOKUP(Tabla14[[#This Row],[COD]],Tabla5[Cod trabalhador],1,0)&lt;&gt;"","KR",""),"")</f>
        <v/>
      </c>
      <c r="U21" s="208" t="str">
        <f>IFERROR(IF(VLOOKUP(Tabla14[[#This Row],[COD]],Wiseowe!B:B,1,0)&lt;&gt;"","Ws",""),"")</f>
        <v/>
      </c>
      <c r="V21" s="208" t="str">
        <f>IFERROR(IF(VLOOKUP(Tabla14[[#This Row],[COD]],Luminous!B:B,1,0)&lt;&gt;"","LM",""),"")</f>
        <v/>
      </c>
      <c r="W21" s="208" t="str">
        <f>IFERROR(IF(VLOOKUP(Tabla14[[#This Row],[COD]],#REF!,1,0)&lt;&gt;"","ST",""),"")</f>
        <v/>
      </c>
    </row>
    <row r="22" spans="2:23" x14ac:dyDescent="0.3">
      <c r="B22" s="208" t="str">
        <f>IF(Tabla14[[#This Row],[COLABORADOR]]="", "", INDEX(Colaboradores!A:A, MATCH(Tabla14[[#This Row],[COLABORADOR]],Colaboradores!C:C, 0)))</f>
        <v>E0394</v>
      </c>
      <c r="C22" s="349" t="s">
        <v>7642</v>
      </c>
      <c r="D22" s="350" t="s">
        <v>2278</v>
      </c>
      <c r="E22" s="351" t="s">
        <v>7657</v>
      </c>
      <c r="F22" s="131" t="s">
        <v>7681</v>
      </c>
      <c r="G22" s="131" t="s">
        <v>7704</v>
      </c>
      <c r="H22" s="352" t="s">
        <v>7422</v>
      </c>
      <c r="I22" s="353">
        <v>46023</v>
      </c>
      <c r="J22" s="354">
        <v>46052</v>
      </c>
      <c r="K22" s="355">
        <v>30</v>
      </c>
      <c r="L22" s="356">
        <v>300</v>
      </c>
      <c r="M22" s="329" t="s">
        <v>7661</v>
      </c>
      <c r="N22" s="208" t="s">
        <v>7705</v>
      </c>
      <c r="O22" s="208" t="s">
        <v>7662</v>
      </c>
      <c r="P22" s="208"/>
      <c r="Q22" s="208"/>
      <c r="R22" s="208"/>
      <c r="S22" s="208" t="str">
        <f>IFERROR(IF(VLOOKUP(Tabla14[[#This Row],[COD]],'Kotrik Industrial'!B:B,1,0)&lt;&gt;"","KI",""),"")</f>
        <v/>
      </c>
      <c r="T22" s="208" t="str">
        <f>IFERROR(IF(VLOOKUP(Tabla14[[#This Row],[COD]],Tabla5[Cod trabalhador],1,0)&lt;&gt;"","KR",""),"")</f>
        <v>KR</v>
      </c>
      <c r="U22" s="208" t="str">
        <f>IFERROR(IF(VLOOKUP(Tabla14[[#This Row],[COD]],Wiseowe!B:B,1,0)&lt;&gt;"","Ws",""),"")</f>
        <v/>
      </c>
      <c r="V22" s="208" t="str">
        <f>IFERROR(IF(VLOOKUP(Tabla14[[#This Row],[COD]],Luminous!B:B,1,0)&lt;&gt;"","LM",""),"")</f>
        <v/>
      </c>
      <c r="W22" s="208" t="str">
        <f>IFERROR(IF(VLOOKUP(Tabla14[[#This Row],[COD]],#REF!,1,0)&lt;&gt;"","ST",""),"")</f>
        <v/>
      </c>
    </row>
    <row r="23" spans="2:23" x14ac:dyDescent="0.3">
      <c r="B23" s="208" t="str">
        <f>IF(Tabla14[[#This Row],[COLABORADOR]]="", "", INDEX(Colaboradores!A:A, MATCH(Tabla14[[#This Row],[COLABORADOR]],Colaboradores!C:C, 0)))</f>
        <v>E1699</v>
      </c>
      <c r="C23" s="349" t="s">
        <v>7642</v>
      </c>
      <c r="D23" s="350" t="s">
        <v>2284</v>
      </c>
      <c r="E23" s="351" t="s">
        <v>7657</v>
      </c>
      <c r="F23" s="131" t="s">
        <v>7663</v>
      </c>
      <c r="G23" s="131" t="s">
        <v>7706</v>
      </c>
      <c r="H23" s="352" t="s">
        <v>7577</v>
      </c>
      <c r="I23" s="353">
        <v>46023</v>
      </c>
      <c r="J23" s="354">
        <v>46052</v>
      </c>
      <c r="K23" s="355">
        <v>30</v>
      </c>
      <c r="L23" s="356">
        <v>300</v>
      </c>
      <c r="M23" s="329" t="s">
        <v>7661</v>
      </c>
      <c r="N23" s="208"/>
      <c r="O23" s="208" t="s">
        <v>7662</v>
      </c>
      <c r="P23" s="208"/>
      <c r="Q23" s="208"/>
      <c r="R23" s="208"/>
      <c r="S23" s="208" t="str">
        <f>IFERROR(IF(VLOOKUP(Tabla14[[#This Row],[COD]],'Kotrik Industrial'!B:B,1,0)&lt;&gt;"","KI",""),"")</f>
        <v/>
      </c>
      <c r="T23" s="208" t="str">
        <f>IFERROR(IF(VLOOKUP(Tabla14[[#This Row],[COD]],Tabla5[Cod trabalhador],1,0)&lt;&gt;"","KR",""),"")</f>
        <v/>
      </c>
      <c r="U23" s="208" t="str">
        <f>IFERROR(IF(VLOOKUP(Tabla14[[#This Row],[COD]],Wiseowe!B:B,1,0)&lt;&gt;"","Ws",""),"")</f>
        <v>Ws</v>
      </c>
      <c r="V23" s="208" t="str">
        <f>IFERROR(IF(VLOOKUP(Tabla14[[#This Row],[COD]],Luminous!B:B,1,0)&lt;&gt;"","LM",""),"")</f>
        <v/>
      </c>
      <c r="W23" s="208" t="str">
        <f>IFERROR(IF(VLOOKUP(Tabla14[[#This Row],[COD]],#REF!,1,0)&lt;&gt;"","ST",""),"")</f>
        <v/>
      </c>
    </row>
    <row r="24" spans="2:23" x14ac:dyDescent="0.3">
      <c r="B24" s="208" t="str">
        <f>IF(Tabla14[[#This Row],[COLABORADOR]]="", "", INDEX(Colaboradores!A:A, MATCH(Tabla14[[#This Row],[COLABORADOR]],Colaboradores!C:C, 0)))</f>
        <v>E0197</v>
      </c>
      <c r="C24" s="349" t="s">
        <v>7626</v>
      </c>
      <c r="D24" s="350" t="s">
        <v>2351</v>
      </c>
      <c r="E24" s="351" t="s">
        <v>7668</v>
      </c>
      <c r="F24" s="131" t="s">
        <v>7666</v>
      </c>
      <c r="G24" s="131" t="s">
        <v>7707</v>
      </c>
      <c r="H24" s="352" t="s">
        <v>7385</v>
      </c>
      <c r="I24" s="353">
        <v>46023</v>
      </c>
      <c r="J24" s="354">
        <v>46052</v>
      </c>
      <c r="K24" s="355">
        <v>30</v>
      </c>
      <c r="L24" s="356">
        <v>300</v>
      </c>
      <c r="M24" s="329" t="s">
        <v>7661</v>
      </c>
      <c r="N24" s="208"/>
      <c r="O24" s="208" t="s">
        <v>7662</v>
      </c>
      <c r="P24" s="208"/>
      <c r="Q24" s="208"/>
      <c r="R24" s="208"/>
      <c r="S24" s="208" t="str">
        <f>IFERROR(IF(VLOOKUP(Tabla14[[#This Row],[COD]],'Kotrik Industrial'!B:B,1,0)&lt;&gt;"","KI",""),"")</f>
        <v/>
      </c>
      <c r="T24" s="208" t="str">
        <f>IFERROR(IF(VLOOKUP(Tabla14[[#This Row],[COD]],Tabla5[Cod trabalhador],1,0)&lt;&gt;"","KR",""),"")</f>
        <v/>
      </c>
      <c r="U24" s="208" t="str">
        <f>IFERROR(IF(VLOOKUP(Tabla14[[#This Row],[COD]],Wiseowe!B:B,1,0)&lt;&gt;"","Ws",""),"")</f>
        <v/>
      </c>
      <c r="V24" s="208" t="str">
        <f>IFERROR(IF(VLOOKUP(Tabla14[[#This Row],[COD]],Luminous!B:B,1,0)&lt;&gt;"","LM",""),"")</f>
        <v>LM</v>
      </c>
      <c r="W24" s="208" t="str">
        <f>IFERROR(IF(VLOOKUP(Tabla14[[#This Row],[COD]],#REF!,1,0)&lt;&gt;"","ST",""),"")</f>
        <v/>
      </c>
    </row>
    <row r="25" spans="2:23" x14ac:dyDescent="0.3">
      <c r="B25" s="208" t="str">
        <f>IF(Tabla14[[#This Row],[COLABORADOR]]="", "", INDEX(Colaboradores!A:A, MATCH(Tabla14[[#This Row],[COLABORADOR]],Colaboradores!C:C, 0)))</f>
        <v>E0094</v>
      </c>
      <c r="C25" s="349" t="s">
        <v>7626</v>
      </c>
      <c r="D25" s="350" t="s">
        <v>2393</v>
      </c>
      <c r="E25" s="351" t="s">
        <v>7657</v>
      </c>
      <c r="F25" s="131" t="s">
        <v>7666</v>
      </c>
      <c r="G25" s="131">
        <v>2023</v>
      </c>
      <c r="H25" s="352" t="s">
        <v>7385</v>
      </c>
      <c r="I25" s="353">
        <v>46023</v>
      </c>
      <c r="J25" s="354">
        <v>46052</v>
      </c>
      <c r="K25" s="355">
        <v>30</v>
      </c>
      <c r="L25" s="356">
        <v>300</v>
      </c>
      <c r="M25" s="329" t="s">
        <v>7661</v>
      </c>
      <c r="N25" s="208"/>
      <c r="O25" s="208" t="s">
        <v>7662</v>
      </c>
      <c r="P25" s="208"/>
      <c r="Q25" s="208"/>
      <c r="R25" s="208"/>
      <c r="S25" s="208" t="str">
        <f>IFERROR(IF(VLOOKUP(Tabla14[[#This Row],[COD]],'Kotrik Industrial'!B:B,1,0)&lt;&gt;"","KI",""),"")</f>
        <v/>
      </c>
      <c r="T25" s="208" t="str">
        <f>IFERROR(IF(VLOOKUP(Tabla14[[#This Row],[COD]],Tabla5[Cod trabalhador],1,0)&lt;&gt;"","KR",""),"")</f>
        <v/>
      </c>
      <c r="U25" s="208" t="str">
        <f>IFERROR(IF(VLOOKUP(Tabla14[[#This Row],[COD]],Wiseowe!B:B,1,0)&lt;&gt;"","Ws",""),"")</f>
        <v/>
      </c>
      <c r="V25" s="208" t="str">
        <f>IFERROR(IF(VLOOKUP(Tabla14[[#This Row],[COD]],Luminous!B:B,1,0)&lt;&gt;"","LM",""),"")</f>
        <v>LM</v>
      </c>
      <c r="W25" s="208" t="str">
        <f>IFERROR(IF(VLOOKUP(Tabla14[[#This Row],[COD]],#REF!,1,0)&lt;&gt;"","ST",""),"")</f>
        <v/>
      </c>
    </row>
    <row r="26" spans="2:23" x14ac:dyDescent="0.3">
      <c r="B26" s="208" t="str">
        <f>IF(Tabla14[[#This Row],[COLABORADOR]]="", "", INDEX(Colaboradores!A:A, MATCH(Tabla14[[#This Row],[COLABORADOR]],Colaboradores!C:C, 0)))</f>
        <v>E0387</v>
      </c>
      <c r="C26" s="349" t="s">
        <v>7642</v>
      </c>
      <c r="D26" s="350" t="s">
        <v>2451</v>
      </c>
      <c r="E26" s="351" t="s">
        <v>7657</v>
      </c>
      <c r="F26" s="131" t="s">
        <v>7395</v>
      </c>
      <c r="G26" s="131" t="s">
        <v>7708</v>
      </c>
      <c r="H26" s="352" t="s">
        <v>7629</v>
      </c>
      <c r="I26" s="353">
        <v>46023</v>
      </c>
      <c r="J26" s="354">
        <v>46052</v>
      </c>
      <c r="K26" s="355">
        <v>30</v>
      </c>
      <c r="L26" s="356">
        <v>300</v>
      </c>
      <c r="M26" s="329" t="s">
        <v>7661</v>
      </c>
      <c r="N26" s="208" t="s">
        <v>7709</v>
      </c>
      <c r="O26" s="208" t="s">
        <v>7662</v>
      </c>
      <c r="P26" s="208"/>
      <c r="Q26" s="208"/>
      <c r="R26" s="208"/>
      <c r="S26" s="208" t="str">
        <f>IFERROR(IF(VLOOKUP(Tabla14[[#This Row],[COD]],'Kotrik Industrial'!B:B,1,0)&lt;&gt;"","KI",""),"")</f>
        <v/>
      </c>
      <c r="T26" s="208" t="str">
        <f>IFERROR(IF(VLOOKUP(Tabla14[[#This Row],[COD]],Tabla5[Cod trabalhador],1,0)&lt;&gt;"","KR",""),"")</f>
        <v/>
      </c>
      <c r="U26" s="208" t="str">
        <f>IFERROR(IF(VLOOKUP(Tabla14[[#This Row],[COD]],Wiseowe!B:B,1,0)&lt;&gt;"","Ws",""),"")</f>
        <v>Ws</v>
      </c>
      <c r="V26" s="208" t="str">
        <f>IFERROR(IF(VLOOKUP(Tabla14[[#This Row],[COD]],Luminous!B:B,1,0)&lt;&gt;"","LM",""),"")</f>
        <v/>
      </c>
      <c r="W26" s="208" t="str">
        <f>IFERROR(IF(VLOOKUP(Tabla14[[#This Row],[COD]],#REF!,1,0)&lt;&gt;"","ST",""),"")</f>
        <v/>
      </c>
    </row>
    <row r="27" spans="2:23" x14ac:dyDescent="0.3">
      <c r="B27" s="208" t="str">
        <f>IF(Tabla14[[#This Row],[COLABORADOR]]="", "", INDEX(Colaboradores!A:A, MATCH(Tabla14[[#This Row],[COLABORADOR]],Colaboradores!C:C, 0)))</f>
        <v>E0089</v>
      </c>
      <c r="C27" s="349" t="s">
        <v>7626</v>
      </c>
      <c r="D27" s="350" t="s">
        <v>2480</v>
      </c>
      <c r="E27" s="351" t="s">
        <v>7657</v>
      </c>
      <c r="F27" s="131" t="s">
        <v>7666</v>
      </c>
      <c r="G27" s="131">
        <v>2023</v>
      </c>
      <c r="H27" s="352" t="s">
        <v>7385</v>
      </c>
      <c r="I27" s="353">
        <v>46023</v>
      </c>
      <c r="J27" s="354">
        <v>46052</v>
      </c>
      <c r="K27" s="355">
        <v>30</v>
      </c>
      <c r="L27" s="356">
        <v>300</v>
      </c>
      <c r="M27" s="329" t="s">
        <v>7661</v>
      </c>
      <c r="N27" s="208"/>
      <c r="O27" s="208" t="s">
        <v>7662</v>
      </c>
      <c r="P27" s="208"/>
      <c r="Q27" s="208"/>
      <c r="R27" s="208"/>
      <c r="S27" s="208" t="str">
        <f>IFERROR(IF(VLOOKUP(Tabla14[[#This Row],[COD]],'Kotrik Industrial'!B:B,1,0)&lt;&gt;"","KI",""),"")</f>
        <v/>
      </c>
      <c r="T27" s="208" t="str">
        <f>IFERROR(IF(VLOOKUP(Tabla14[[#This Row],[COD]],Tabla5[Cod trabalhador],1,0)&lt;&gt;"","KR",""),"")</f>
        <v/>
      </c>
      <c r="U27" s="208" t="str">
        <f>IFERROR(IF(VLOOKUP(Tabla14[[#This Row],[COD]],Wiseowe!B:B,1,0)&lt;&gt;"","Ws",""),"")</f>
        <v/>
      </c>
      <c r="V27" s="208" t="str">
        <f>IFERROR(IF(VLOOKUP(Tabla14[[#This Row],[COD]],Luminous!B:B,1,0)&lt;&gt;"","LM",""),"")</f>
        <v>LM</v>
      </c>
      <c r="W27" s="208" t="str">
        <f>IFERROR(IF(VLOOKUP(Tabla14[[#This Row],[COD]],#REF!,1,0)&lt;&gt;"","ST",""),"")</f>
        <v/>
      </c>
    </row>
    <row r="28" spans="2:23" x14ac:dyDescent="0.3">
      <c r="B28" s="208" t="str">
        <f>IF(Tabla14[[#This Row],[COLABORADOR]]="", "", INDEX(Colaboradores!A:A, MATCH(Tabla14[[#This Row],[COLABORADOR]],Colaboradores!C:C, 0)))</f>
        <v>E1965</v>
      </c>
      <c r="C28" s="349" t="s">
        <v>7626</v>
      </c>
      <c r="D28" s="350" t="s">
        <v>2493</v>
      </c>
      <c r="E28" s="351" t="s">
        <v>7668</v>
      </c>
      <c r="F28" s="131" t="s">
        <v>7670</v>
      </c>
      <c r="G28" s="131" t="s">
        <v>7710</v>
      </c>
      <c r="H28" s="352" t="s">
        <v>7672</v>
      </c>
      <c r="I28" s="353">
        <v>46023</v>
      </c>
      <c r="J28" s="354">
        <v>46052</v>
      </c>
      <c r="K28" s="355">
        <v>30</v>
      </c>
      <c r="L28" s="356">
        <v>300</v>
      </c>
      <c r="M28" s="329" t="s">
        <v>7661</v>
      </c>
      <c r="N28" s="208"/>
      <c r="O28" s="208" t="s">
        <v>7662</v>
      </c>
      <c r="P28" s="208"/>
      <c r="Q28" s="208"/>
      <c r="R28" s="208"/>
      <c r="S28" s="208" t="str">
        <f>IFERROR(IF(VLOOKUP(Tabla14[[#This Row],[COD]],'Kotrik Industrial'!B:B,1,0)&lt;&gt;"","KI",""),"")</f>
        <v/>
      </c>
      <c r="T28" s="208" t="str">
        <f>IFERROR(IF(VLOOKUP(Tabla14[[#This Row],[COD]],Tabla5[Cod trabalhador],1,0)&lt;&gt;"","KR",""),"")</f>
        <v/>
      </c>
      <c r="U28" s="208" t="str">
        <f>IFERROR(IF(VLOOKUP(Tabla14[[#This Row],[COD]],Wiseowe!B:B,1,0)&lt;&gt;"","Ws",""),"")</f>
        <v/>
      </c>
      <c r="V28" s="208" t="str">
        <f>IFERROR(IF(VLOOKUP(Tabla14[[#This Row],[COD]],Luminous!B:B,1,0)&lt;&gt;"","LM",""),"")</f>
        <v>LM</v>
      </c>
      <c r="W28" s="208" t="str">
        <f>IFERROR(IF(VLOOKUP(Tabla14[[#This Row],[COD]],#REF!,1,0)&lt;&gt;"","ST",""),"")</f>
        <v/>
      </c>
    </row>
    <row r="29" spans="2:23" x14ac:dyDescent="0.3">
      <c r="B29" s="208" t="str">
        <f>IF(Tabla14[[#This Row],[COLABORADOR]]="", "", INDEX(Colaboradores!A:A, MATCH(Tabla14[[#This Row],[COLABORADOR]],Colaboradores!C:C, 0)))</f>
        <v>E1504</v>
      </c>
      <c r="C29" s="349" t="s">
        <v>7626</v>
      </c>
      <c r="D29" s="350" t="s">
        <v>2542</v>
      </c>
      <c r="E29" s="351" t="s">
        <v>7657</v>
      </c>
      <c r="F29" s="131" t="s">
        <v>7677</v>
      </c>
      <c r="G29" s="131" t="s">
        <v>7678</v>
      </c>
      <c r="H29" s="352" t="s">
        <v>7679</v>
      </c>
      <c r="I29" s="353">
        <v>46050</v>
      </c>
      <c r="J29" s="354">
        <v>46052</v>
      </c>
      <c r="K29" s="355">
        <v>3</v>
      </c>
      <c r="L29" s="356">
        <v>30</v>
      </c>
      <c r="M29" s="329" t="s">
        <v>7661</v>
      </c>
      <c r="N29" s="208"/>
      <c r="O29" s="208" t="s">
        <v>7662</v>
      </c>
      <c r="P29" s="208"/>
      <c r="Q29" s="208"/>
      <c r="R29" s="208"/>
      <c r="S29" s="208" t="str">
        <f>IFERROR(IF(VLOOKUP(Tabla14[[#This Row],[COD]],'Kotrik Industrial'!B:B,1,0)&lt;&gt;"","KI",""),"")</f>
        <v/>
      </c>
      <c r="T29" s="208" t="str">
        <f>IFERROR(IF(VLOOKUP(Tabla14[[#This Row],[COD]],Tabla5[Cod trabalhador],1,0)&lt;&gt;"","KR",""),"")</f>
        <v/>
      </c>
      <c r="U29" s="208" t="str">
        <f>IFERROR(IF(VLOOKUP(Tabla14[[#This Row],[COD]],Wiseowe!B:B,1,0)&lt;&gt;"","Ws",""),"")</f>
        <v/>
      </c>
      <c r="V29" s="208" t="str">
        <f>IFERROR(IF(VLOOKUP(Tabla14[[#This Row],[COD]],Luminous!B:B,1,0)&lt;&gt;"","LM",""),"")</f>
        <v>LM</v>
      </c>
      <c r="W29" s="208" t="str">
        <f>IFERROR(IF(VLOOKUP(Tabla14[[#This Row],[COD]],#REF!,1,0)&lt;&gt;"","ST",""),"")</f>
        <v/>
      </c>
    </row>
    <row r="30" spans="2:23" x14ac:dyDescent="0.3">
      <c r="B30" s="208" t="str">
        <f>IF(Tabla14[[#This Row],[COLABORADOR]]="", "", INDEX(Colaboradores!A:A, MATCH(Tabla14[[#This Row],[COLABORADOR]],Colaboradores!C:C, 0)))</f>
        <v>E0557</v>
      </c>
      <c r="C30" s="349" t="s">
        <v>7701</v>
      </c>
      <c r="D30" s="350" t="s">
        <v>2578</v>
      </c>
      <c r="E30" s="351" t="s">
        <v>7657</v>
      </c>
      <c r="F30" s="131" t="s">
        <v>7711</v>
      </c>
      <c r="G30" s="131">
        <v>2023</v>
      </c>
      <c r="H30" s="352" t="s">
        <v>7441</v>
      </c>
      <c r="I30" s="353">
        <v>46023</v>
      </c>
      <c r="J30" s="354">
        <v>46052</v>
      </c>
      <c r="K30" s="355">
        <v>30</v>
      </c>
      <c r="L30" s="356">
        <v>300</v>
      </c>
      <c r="M30" s="329" t="s">
        <v>7661</v>
      </c>
      <c r="N30" s="208" t="s">
        <v>7712</v>
      </c>
      <c r="O30" s="208" t="s">
        <v>7662</v>
      </c>
      <c r="P30" s="208"/>
      <c r="Q30" s="208"/>
      <c r="R30" s="208"/>
      <c r="S30" s="208" t="str">
        <f>IFERROR(IF(VLOOKUP(Tabla14[[#This Row],[COD]],'Kotrik Industrial'!B:B,1,0)&lt;&gt;"","KI",""),"")</f>
        <v/>
      </c>
      <c r="T30" s="208" t="str">
        <f>IFERROR(IF(VLOOKUP(Tabla14[[#This Row],[COD]],Tabla5[Cod trabalhador],1,0)&lt;&gt;"","KR",""),"")</f>
        <v/>
      </c>
      <c r="U30" s="208" t="str">
        <f>IFERROR(IF(VLOOKUP(Tabla14[[#This Row],[COD]],Wiseowe!B:B,1,0)&lt;&gt;"","Ws",""),"")</f>
        <v/>
      </c>
      <c r="V30" s="208" t="str">
        <f>IFERROR(IF(VLOOKUP(Tabla14[[#This Row],[COD]],Luminous!B:B,1,0)&lt;&gt;"","LM",""),"")</f>
        <v>LM</v>
      </c>
      <c r="W30" s="208" t="str">
        <f>IFERROR(IF(VLOOKUP(Tabla14[[#This Row],[COD]],#REF!,1,0)&lt;&gt;"","ST",""),"")</f>
        <v/>
      </c>
    </row>
    <row r="31" spans="2:23" x14ac:dyDescent="0.3">
      <c r="B31" s="208" t="str">
        <f>IF(Tabla14[[#This Row],[COLABORADOR]]="", "", INDEX(Colaboradores!A:A, MATCH(Tabla14[[#This Row],[COLABORADOR]],Colaboradores!C:C, 0)))</f>
        <v>E2083</v>
      </c>
      <c r="C31" s="349" t="s">
        <v>7626</v>
      </c>
      <c r="D31" s="350" t="s">
        <v>2626</v>
      </c>
      <c r="E31" s="351" t="s">
        <v>7657</v>
      </c>
      <c r="F31" s="131" t="s">
        <v>7690</v>
      </c>
      <c r="G31" s="131" t="s">
        <v>7713</v>
      </c>
      <c r="H31" s="352" t="s">
        <v>7714</v>
      </c>
      <c r="I31" s="353">
        <v>46023</v>
      </c>
      <c r="J31" s="354">
        <v>46052</v>
      </c>
      <c r="K31" s="355">
        <v>30</v>
      </c>
      <c r="L31" s="356">
        <v>300</v>
      </c>
      <c r="M31" s="329" t="s">
        <v>7661</v>
      </c>
      <c r="N31" s="208"/>
      <c r="O31" s="208" t="s">
        <v>7662</v>
      </c>
      <c r="P31" s="208"/>
      <c r="Q31" s="208"/>
      <c r="R31" s="208"/>
      <c r="S31" s="208" t="str">
        <f>IFERROR(IF(VLOOKUP(Tabla14[[#This Row],[COD]],'Kotrik Industrial'!B:B,1,0)&lt;&gt;"","KI",""),"")</f>
        <v/>
      </c>
      <c r="T31" s="208" t="str">
        <f>IFERROR(IF(VLOOKUP(Tabla14[[#This Row],[COD]],Tabla5[Cod trabalhador],1,0)&lt;&gt;"","KR",""),"")</f>
        <v>KR</v>
      </c>
      <c r="U31" s="208" t="str">
        <f>IFERROR(IF(VLOOKUP(Tabla14[[#This Row],[COD]],Wiseowe!B:B,1,0)&lt;&gt;"","Ws",""),"")</f>
        <v/>
      </c>
      <c r="V31" s="208" t="str">
        <f>IFERROR(IF(VLOOKUP(Tabla14[[#This Row],[COD]],Luminous!B:B,1,0)&lt;&gt;"","LM",""),"")</f>
        <v/>
      </c>
      <c r="W31" s="208" t="str">
        <f>IFERROR(IF(VLOOKUP(Tabla14[[#This Row],[COD]],#REF!,1,0)&lt;&gt;"","ST",""),"")</f>
        <v/>
      </c>
    </row>
    <row r="32" spans="2:23" x14ac:dyDescent="0.3">
      <c r="B32" s="208" t="str">
        <f>IF(Tabla14[[#This Row],[COLABORADOR]]="", "", INDEX(Colaboradores!A:A, MATCH(Tabla14[[#This Row],[COLABORADOR]],Colaboradores!C:C, 0)))</f>
        <v>E0404</v>
      </c>
      <c r="C32" s="349" t="s">
        <v>7701</v>
      </c>
      <c r="D32" s="350" t="s">
        <v>2646</v>
      </c>
      <c r="E32" s="351" t="s">
        <v>7657</v>
      </c>
      <c r="F32" s="131" t="s">
        <v>7666</v>
      </c>
      <c r="G32" s="131" t="s">
        <v>7715</v>
      </c>
      <c r="H32" s="352" t="s">
        <v>7032</v>
      </c>
      <c r="I32" s="353">
        <v>46023</v>
      </c>
      <c r="J32" s="354">
        <v>46052</v>
      </c>
      <c r="K32" s="355">
        <v>30</v>
      </c>
      <c r="L32" s="356">
        <v>300</v>
      </c>
      <c r="M32" s="329" t="s">
        <v>7661</v>
      </c>
      <c r="N32" s="208"/>
      <c r="O32" s="208" t="s">
        <v>7662</v>
      </c>
      <c r="P32" s="208"/>
      <c r="Q32" s="208"/>
      <c r="R32" s="208"/>
      <c r="S32" s="208" t="str">
        <f>IFERROR(IF(VLOOKUP(Tabla14[[#This Row],[COD]],'Kotrik Industrial'!B:B,1,0)&lt;&gt;"","KI",""),"")</f>
        <v/>
      </c>
      <c r="T32" s="208" t="str">
        <f>IFERROR(IF(VLOOKUP(Tabla14[[#This Row],[COD]],Tabla5[Cod trabalhador],1,0)&lt;&gt;"","KR",""),"")</f>
        <v/>
      </c>
      <c r="U32" s="208" t="str">
        <f>IFERROR(IF(VLOOKUP(Tabla14[[#This Row],[COD]],Wiseowe!B:B,1,0)&lt;&gt;"","Ws",""),"")</f>
        <v/>
      </c>
      <c r="V32" s="208" t="str">
        <f>IFERROR(IF(VLOOKUP(Tabla14[[#This Row],[COD]],Luminous!B:B,1,0)&lt;&gt;"","LM",""),"")</f>
        <v/>
      </c>
      <c r="W32" s="208" t="str">
        <f>IFERROR(IF(VLOOKUP(Tabla14[[#This Row],[COD]],#REF!,1,0)&lt;&gt;"","ST",""),"")</f>
        <v/>
      </c>
    </row>
    <row r="33" spans="2:23" x14ac:dyDescent="0.3">
      <c r="B33" s="208" t="str">
        <f>IF(Tabla14[[#This Row],[COLABORADOR]]="", "", INDEX(Colaboradores!A:A, MATCH(Tabla14[[#This Row],[COLABORADOR]],Colaboradores!C:C, 0)))</f>
        <v>E0058</v>
      </c>
      <c r="C33" s="349" t="s">
        <v>7626</v>
      </c>
      <c r="D33" s="350" t="s">
        <v>2667</v>
      </c>
      <c r="E33" s="351" t="s">
        <v>7668</v>
      </c>
      <c r="F33" s="131" t="s">
        <v>7666</v>
      </c>
      <c r="G33" s="131" t="s">
        <v>7716</v>
      </c>
      <c r="H33" s="352" t="s">
        <v>7717</v>
      </c>
      <c r="I33" s="353">
        <v>46023</v>
      </c>
      <c r="J33" s="354">
        <v>46052</v>
      </c>
      <c r="K33" s="355">
        <v>30</v>
      </c>
      <c r="L33" s="356">
        <v>300</v>
      </c>
      <c r="M33" s="329" t="s">
        <v>7661</v>
      </c>
      <c r="N33" s="208" t="s">
        <v>7718</v>
      </c>
      <c r="O33" s="208" t="s">
        <v>7662</v>
      </c>
      <c r="P33" s="208"/>
      <c r="Q33" s="208"/>
      <c r="R33" s="208"/>
      <c r="S33" s="208" t="str">
        <f>IFERROR(IF(VLOOKUP(Tabla14[[#This Row],[COD]],'Kotrik Industrial'!B:B,1,0)&lt;&gt;"","KI",""),"")</f>
        <v/>
      </c>
      <c r="T33" s="208" t="str">
        <f>IFERROR(IF(VLOOKUP(Tabla14[[#This Row],[COD]],Tabla5[Cod trabalhador],1,0)&lt;&gt;"","KR",""),"")</f>
        <v>KR</v>
      </c>
      <c r="U33" s="208" t="str">
        <f>IFERROR(IF(VLOOKUP(Tabla14[[#This Row],[COD]],Wiseowe!B:B,1,0)&lt;&gt;"","Ws",""),"")</f>
        <v/>
      </c>
      <c r="V33" s="208" t="str">
        <f>IFERROR(IF(VLOOKUP(Tabla14[[#This Row],[COD]],Luminous!B:B,1,0)&lt;&gt;"","LM",""),"")</f>
        <v/>
      </c>
      <c r="W33" s="208" t="str">
        <f>IFERROR(IF(VLOOKUP(Tabla14[[#This Row],[COD]],#REF!,1,0)&lt;&gt;"","ST",""),"")</f>
        <v/>
      </c>
    </row>
    <row r="34" spans="2:23" x14ac:dyDescent="0.3">
      <c r="B34" s="208" t="str">
        <f>IF(Tabla14[[#This Row],[COLABORADOR]]="", "", INDEX(Colaboradores!A:A, MATCH(Tabla14[[#This Row],[COLABORADOR]],Colaboradores!C:C, 0)))</f>
        <v>E1306</v>
      </c>
      <c r="C34" s="349" t="s">
        <v>7626</v>
      </c>
      <c r="D34" s="350" t="s">
        <v>2671</v>
      </c>
      <c r="E34" s="351" t="s">
        <v>7657</v>
      </c>
      <c r="F34" s="131" t="s">
        <v>7719</v>
      </c>
      <c r="G34" s="131" t="s">
        <v>7720</v>
      </c>
      <c r="H34" s="352" t="s">
        <v>7721</v>
      </c>
      <c r="I34" s="353">
        <v>46051</v>
      </c>
      <c r="J34" s="354">
        <v>46052</v>
      </c>
      <c r="K34" s="355">
        <v>2</v>
      </c>
      <c r="L34" s="356">
        <v>20</v>
      </c>
      <c r="M34" s="329" t="s">
        <v>7661</v>
      </c>
      <c r="N34" s="208"/>
      <c r="O34" s="208" t="s">
        <v>7662</v>
      </c>
      <c r="P34" s="208"/>
      <c r="Q34" s="208"/>
      <c r="R34" s="208"/>
      <c r="S34" s="208" t="str">
        <f>IFERROR(IF(VLOOKUP(Tabla14[[#This Row],[COD]],'Kotrik Industrial'!B:B,1,0)&lt;&gt;"","KI",""),"")</f>
        <v/>
      </c>
      <c r="T34" s="208" t="str">
        <f>IFERROR(IF(VLOOKUP(Tabla14[[#This Row],[COD]],Tabla5[Cod trabalhador],1,0)&lt;&gt;"","KR",""),"")</f>
        <v/>
      </c>
      <c r="U34" s="208" t="str">
        <f>IFERROR(IF(VLOOKUP(Tabla14[[#This Row],[COD]],Wiseowe!B:B,1,0)&lt;&gt;"","Ws",""),"")</f>
        <v/>
      </c>
      <c r="V34" s="208" t="str">
        <f>IFERROR(IF(VLOOKUP(Tabla14[[#This Row],[COD]],Luminous!B:B,1,0)&lt;&gt;"","LM",""),"")</f>
        <v/>
      </c>
      <c r="W34" s="208" t="str">
        <f>IFERROR(IF(VLOOKUP(Tabla14[[#This Row],[COD]],#REF!,1,0)&lt;&gt;"","ST",""),"")</f>
        <v/>
      </c>
    </row>
    <row r="35" spans="2:23" x14ac:dyDescent="0.3">
      <c r="B35" s="208" t="str">
        <f>IF(Tabla14[[#This Row],[COLABORADOR]]="", "", INDEX(Colaboradores!A:A, MATCH(Tabla14[[#This Row],[COLABORADOR]],Colaboradores!C:C, 0)))</f>
        <v>E0365</v>
      </c>
      <c r="C35" s="349" t="s">
        <v>7642</v>
      </c>
      <c r="D35" s="350" t="s">
        <v>2836</v>
      </c>
      <c r="E35" s="351" t="s">
        <v>7657</v>
      </c>
      <c r="F35" s="131" t="s">
        <v>7673</v>
      </c>
      <c r="G35" s="131" t="s">
        <v>7722</v>
      </c>
      <c r="H35" s="352" t="s">
        <v>7629</v>
      </c>
      <c r="I35" s="353">
        <v>46023</v>
      </c>
      <c r="J35" s="354">
        <v>46052</v>
      </c>
      <c r="K35" s="355">
        <v>30</v>
      </c>
      <c r="L35" s="356">
        <v>300</v>
      </c>
      <c r="M35" s="329" t="s">
        <v>7661</v>
      </c>
      <c r="N35" s="208"/>
      <c r="O35" s="208" t="s">
        <v>7662</v>
      </c>
      <c r="P35" s="208"/>
      <c r="Q35" s="208"/>
      <c r="R35" s="208"/>
      <c r="S35" s="208" t="str">
        <f>IFERROR(IF(VLOOKUP(Tabla14[[#This Row],[COD]],'Kotrik Industrial'!B:B,1,0)&lt;&gt;"","KI",""),"")</f>
        <v/>
      </c>
      <c r="T35" s="208" t="str">
        <f>IFERROR(IF(VLOOKUP(Tabla14[[#This Row],[COD]],Tabla5[Cod trabalhador],1,0)&lt;&gt;"","KR",""),"")</f>
        <v/>
      </c>
      <c r="U35" s="208" t="str">
        <f>IFERROR(IF(VLOOKUP(Tabla14[[#This Row],[COD]],Wiseowe!B:B,1,0)&lt;&gt;"","Ws",""),"")</f>
        <v>Ws</v>
      </c>
      <c r="V35" s="208" t="str">
        <f>IFERROR(IF(VLOOKUP(Tabla14[[#This Row],[COD]],Luminous!B:B,1,0)&lt;&gt;"","LM",""),"")</f>
        <v/>
      </c>
      <c r="W35" s="208" t="str">
        <f>IFERROR(IF(VLOOKUP(Tabla14[[#This Row],[COD]],#REF!,1,0)&lt;&gt;"","ST",""),"")</f>
        <v/>
      </c>
    </row>
    <row r="36" spans="2:23" x14ac:dyDescent="0.3">
      <c r="B36" s="208" t="str">
        <f>IF(Tabla14[[#This Row],[COLABORADOR]]="", "", INDEX(Colaboradores!A:A, MATCH(Tabla14[[#This Row],[COLABORADOR]],Colaboradores!C:C, 0)))</f>
        <v>E0587</v>
      </c>
      <c r="C36" s="349" t="s">
        <v>7642</v>
      </c>
      <c r="D36" s="350" t="s">
        <v>2942</v>
      </c>
      <c r="E36" s="351" t="s">
        <v>7657</v>
      </c>
      <c r="F36" s="131" t="s">
        <v>7666</v>
      </c>
      <c r="G36" s="131" t="s">
        <v>7723</v>
      </c>
      <c r="H36" s="352" t="s">
        <v>7639</v>
      </c>
      <c r="I36" s="353">
        <v>46023</v>
      </c>
      <c r="J36" s="354">
        <v>46052</v>
      </c>
      <c r="K36" s="355">
        <v>30</v>
      </c>
      <c r="L36" s="356">
        <v>300</v>
      </c>
      <c r="M36" s="329" t="s">
        <v>7661</v>
      </c>
      <c r="N36" s="208"/>
      <c r="O36" s="208" t="s">
        <v>7662</v>
      </c>
      <c r="P36" s="208"/>
      <c r="Q36" s="208"/>
      <c r="R36" s="208"/>
      <c r="S36" s="208" t="str">
        <f>IFERROR(IF(VLOOKUP(Tabla14[[#This Row],[COD]],'Kotrik Industrial'!B:B,1,0)&lt;&gt;"","KI",""),"")</f>
        <v/>
      </c>
      <c r="T36" s="208" t="str">
        <f>IFERROR(IF(VLOOKUP(Tabla14[[#This Row],[COD]],Tabla5[Cod trabalhador],1,0)&lt;&gt;"","KR",""),"")</f>
        <v/>
      </c>
      <c r="U36" s="208" t="str">
        <f>IFERROR(IF(VLOOKUP(Tabla14[[#This Row],[COD]],Wiseowe!B:B,1,0)&lt;&gt;"","Ws",""),"")</f>
        <v>Ws</v>
      </c>
      <c r="V36" s="208" t="str">
        <f>IFERROR(IF(VLOOKUP(Tabla14[[#This Row],[COD]],Luminous!B:B,1,0)&lt;&gt;"","LM",""),"")</f>
        <v/>
      </c>
      <c r="W36" s="208" t="str">
        <f>IFERROR(IF(VLOOKUP(Tabla14[[#This Row],[COD]],#REF!,1,0)&lt;&gt;"","ST",""),"")</f>
        <v/>
      </c>
    </row>
    <row r="37" spans="2:23" x14ac:dyDescent="0.3">
      <c r="B37" s="208" t="str">
        <f>IF(Tabla14[[#This Row],[COLABORADOR]]="", "", INDEX(Colaboradores!A:A, MATCH(Tabla14[[#This Row],[COLABORADOR]],Colaboradores!C:C, 0)))</f>
        <v>E0064</v>
      </c>
      <c r="C37" s="349" t="s">
        <v>7626</v>
      </c>
      <c r="D37" s="350" t="s">
        <v>2964</v>
      </c>
      <c r="E37" s="351" t="s">
        <v>7657</v>
      </c>
      <c r="F37" s="131" t="s">
        <v>7666</v>
      </c>
      <c r="G37" s="131" t="s">
        <v>7724</v>
      </c>
      <c r="H37" s="352" t="s">
        <v>7725</v>
      </c>
      <c r="I37" s="353">
        <v>46023</v>
      </c>
      <c r="J37" s="354">
        <v>46052</v>
      </c>
      <c r="K37" s="355">
        <v>30</v>
      </c>
      <c r="L37" s="356">
        <v>300</v>
      </c>
      <c r="M37" s="329" t="s">
        <v>7661</v>
      </c>
      <c r="N37" s="208"/>
      <c r="O37" s="208" t="s">
        <v>7662</v>
      </c>
      <c r="P37" s="208"/>
      <c r="Q37" s="208"/>
      <c r="R37" s="208"/>
      <c r="S37" s="208" t="str">
        <f>IFERROR(IF(VLOOKUP(Tabla14[[#This Row],[COD]],'Kotrik Industrial'!B:B,1,0)&lt;&gt;"","KI",""),"")</f>
        <v/>
      </c>
      <c r="T37" s="208" t="str">
        <f>IFERROR(IF(VLOOKUP(Tabla14[[#This Row],[COD]],Tabla5[Cod trabalhador],1,0)&lt;&gt;"","KR",""),"")</f>
        <v/>
      </c>
      <c r="U37" s="208" t="str">
        <f>IFERROR(IF(VLOOKUP(Tabla14[[#This Row],[COD]],Wiseowe!B:B,1,0)&lt;&gt;"","Ws",""),"")</f>
        <v/>
      </c>
      <c r="V37" s="208" t="str">
        <f>IFERROR(IF(VLOOKUP(Tabla14[[#This Row],[COD]],Luminous!B:B,1,0)&lt;&gt;"","LM",""),"")</f>
        <v>LM</v>
      </c>
      <c r="W37" s="208" t="str">
        <f>IFERROR(IF(VLOOKUP(Tabla14[[#This Row],[COD]],#REF!,1,0)&lt;&gt;"","ST",""),"")</f>
        <v/>
      </c>
    </row>
    <row r="38" spans="2:23" x14ac:dyDescent="0.3">
      <c r="B38" s="208" t="str">
        <f>IF(Tabla14[[#This Row],[COLABORADOR]]="", "", INDEX(Colaboradores!A:A, MATCH(Tabla14[[#This Row],[COLABORADOR]],Colaboradores!C:C, 0)))</f>
        <v>E0802</v>
      </c>
      <c r="C38" s="349" t="s">
        <v>7626</v>
      </c>
      <c r="D38" s="350" t="s">
        <v>2968</v>
      </c>
      <c r="E38" s="351" t="s">
        <v>7657</v>
      </c>
      <c r="F38" s="131" t="s">
        <v>7726</v>
      </c>
      <c r="G38" s="131" t="s">
        <v>7727</v>
      </c>
      <c r="H38" s="352" t="s">
        <v>7728</v>
      </c>
      <c r="I38" s="353">
        <v>46029</v>
      </c>
      <c r="J38" s="354">
        <v>46052</v>
      </c>
      <c r="K38" s="355">
        <v>24</v>
      </c>
      <c r="L38" s="356">
        <v>240</v>
      </c>
      <c r="M38" s="329" t="s">
        <v>7661</v>
      </c>
      <c r="N38" s="208" t="s">
        <v>7676</v>
      </c>
      <c r="O38" s="208" t="s">
        <v>7662</v>
      </c>
      <c r="P38" s="208"/>
      <c r="Q38" s="208"/>
      <c r="R38" s="208"/>
      <c r="S38" s="208" t="str">
        <f>IFERROR(IF(VLOOKUP(Tabla14[[#This Row],[COD]],'Kotrik Industrial'!B:B,1,0)&lt;&gt;"","KI",""),"")</f>
        <v/>
      </c>
      <c r="T38" s="208" t="str">
        <f>IFERROR(IF(VLOOKUP(Tabla14[[#This Row],[COD]],Tabla5[Cod trabalhador],1,0)&lt;&gt;"","KR",""),"")</f>
        <v/>
      </c>
      <c r="U38" s="208" t="str">
        <f>IFERROR(IF(VLOOKUP(Tabla14[[#This Row],[COD]],Wiseowe!B:B,1,0)&lt;&gt;"","Ws",""),"")</f>
        <v/>
      </c>
      <c r="V38" s="208" t="str">
        <f>IFERROR(IF(VLOOKUP(Tabla14[[#This Row],[COD]],Luminous!B:B,1,0)&lt;&gt;"","LM",""),"")</f>
        <v>LM</v>
      </c>
      <c r="W38" s="208" t="str">
        <f>IFERROR(IF(VLOOKUP(Tabla14[[#This Row],[COD]],#REF!,1,0)&lt;&gt;"","ST",""),"")</f>
        <v/>
      </c>
    </row>
    <row r="39" spans="2:23" x14ac:dyDescent="0.3">
      <c r="B39" s="208" t="str">
        <f>IF(Tabla14[[#This Row],[COLABORADOR]]="", "", INDEX(Colaboradores!A:A, MATCH(Tabla14[[#This Row],[COLABORADOR]],Colaboradores!C:C, 0)))</f>
        <v>E0384</v>
      </c>
      <c r="C39" s="349" t="s">
        <v>7642</v>
      </c>
      <c r="D39" s="350" t="s">
        <v>3023</v>
      </c>
      <c r="E39" s="351" t="s">
        <v>7657</v>
      </c>
      <c r="F39" s="131" t="s">
        <v>7395</v>
      </c>
      <c r="G39" s="131" t="s">
        <v>7729</v>
      </c>
      <c r="H39" s="352" t="s">
        <v>7629</v>
      </c>
      <c r="I39" s="353">
        <v>46023</v>
      </c>
      <c r="J39" s="354">
        <v>46052</v>
      </c>
      <c r="K39" s="355">
        <v>30</v>
      </c>
      <c r="L39" s="356">
        <v>300</v>
      </c>
      <c r="M39" s="329" t="s">
        <v>7661</v>
      </c>
      <c r="N39" s="208"/>
      <c r="O39" s="208" t="s">
        <v>7662</v>
      </c>
      <c r="P39" s="208"/>
      <c r="Q39" s="208"/>
      <c r="R39" s="208"/>
      <c r="S39" s="208" t="str">
        <f>IFERROR(IF(VLOOKUP(Tabla14[[#This Row],[COD]],'Kotrik Industrial'!B:B,1,0)&lt;&gt;"","KI",""),"")</f>
        <v/>
      </c>
      <c r="T39" s="208" t="str">
        <f>IFERROR(IF(VLOOKUP(Tabla14[[#This Row],[COD]],Tabla5[Cod trabalhador],1,0)&lt;&gt;"","KR",""),"")</f>
        <v/>
      </c>
      <c r="U39" s="208" t="str">
        <f>IFERROR(IF(VLOOKUP(Tabla14[[#This Row],[COD]],Wiseowe!B:B,1,0)&lt;&gt;"","Ws",""),"")</f>
        <v>Ws</v>
      </c>
      <c r="V39" s="208" t="str">
        <f>IFERROR(IF(VLOOKUP(Tabla14[[#This Row],[COD]],Luminous!B:B,1,0)&lt;&gt;"","LM",""),"")</f>
        <v/>
      </c>
      <c r="W39" s="208" t="str">
        <f>IFERROR(IF(VLOOKUP(Tabla14[[#This Row],[COD]],#REF!,1,0)&lt;&gt;"","ST",""),"")</f>
        <v/>
      </c>
    </row>
    <row r="40" spans="2:23" x14ac:dyDescent="0.3">
      <c r="B40" s="208" t="str">
        <f>IF(Tabla14[[#This Row],[COLABORADOR]]="", "", INDEX(Colaboradores!A:A, MATCH(Tabla14[[#This Row],[COLABORADOR]],Colaboradores!C:C, 0)))</f>
        <v>E0097</v>
      </c>
      <c r="C40" s="349" t="s">
        <v>7626</v>
      </c>
      <c r="D40" s="350" t="s">
        <v>3138</v>
      </c>
      <c r="E40" s="351" t="s">
        <v>7657</v>
      </c>
      <c r="F40" s="131" t="s">
        <v>7666</v>
      </c>
      <c r="G40" s="131" t="s">
        <v>7566</v>
      </c>
      <c r="H40" s="352" t="s">
        <v>7385</v>
      </c>
      <c r="I40" s="353">
        <v>46023</v>
      </c>
      <c r="J40" s="354">
        <v>46052</v>
      </c>
      <c r="K40" s="355">
        <v>30</v>
      </c>
      <c r="L40" s="356">
        <v>300</v>
      </c>
      <c r="M40" s="329" t="s">
        <v>7661</v>
      </c>
      <c r="N40" s="208"/>
      <c r="O40" s="208" t="s">
        <v>7662</v>
      </c>
      <c r="P40" s="208"/>
      <c r="Q40" s="208"/>
      <c r="R40" s="208"/>
      <c r="S40" s="208" t="str">
        <f>IFERROR(IF(VLOOKUP(Tabla14[[#This Row],[COD]],'Kotrik Industrial'!B:B,1,0)&lt;&gt;"","KI",""),"")</f>
        <v/>
      </c>
      <c r="T40" s="208" t="str">
        <f>IFERROR(IF(VLOOKUP(Tabla14[[#This Row],[COD]],Tabla5[Cod trabalhador],1,0)&lt;&gt;"","KR",""),"")</f>
        <v/>
      </c>
      <c r="U40" s="208" t="str">
        <f>IFERROR(IF(VLOOKUP(Tabla14[[#This Row],[COD]],Wiseowe!B:B,1,0)&lt;&gt;"","Ws",""),"")</f>
        <v/>
      </c>
      <c r="V40" s="208" t="str">
        <f>IFERROR(IF(VLOOKUP(Tabla14[[#This Row],[COD]],Luminous!B:B,1,0)&lt;&gt;"","LM",""),"")</f>
        <v>LM</v>
      </c>
      <c r="W40" s="208" t="str">
        <f>IFERROR(IF(VLOOKUP(Tabla14[[#This Row],[COD]],#REF!,1,0)&lt;&gt;"","ST",""),"")</f>
        <v/>
      </c>
    </row>
    <row r="41" spans="2:23" x14ac:dyDescent="0.3">
      <c r="B41" s="208" t="str">
        <f>IF(Tabla14[[#This Row],[COLABORADOR]]="", "", INDEX(Colaboradores!A:A, MATCH(Tabla14[[#This Row],[COLABORADOR]],Colaboradores!C:C, 0)))</f>
        <v>E0398</v>
      </c>
      <c r="C41" s="349" t="s">
        <v>7642</v>
      </c>
      <c r="D41" s="350" t="s">
        <v>3165</v>
      </c>
      <c r="E41" s="351" t="s">
        <v>7657</v>
      </c>
      <c r="F41" s="131" t="s">
        <v>7681</v>
      </c>
      <c r="G41" s="131" t="s">
        <v>7730</v>
      </c>
      <c r="H41" s="352" t="s">
        <v>7422</v>
      </c>
      <c r="I41" s="353">
        <v>46023</v>
      </c>
      <c r="J41" s="354">
        <v>46052</v>
      </c>
      <c r="K41" s="355">
        <v>30</v>
      </c>
      <c r="L41" s="356">
        <v>300</v>
      </c>
      <c r="M41" s="329" t="s">
        <v>7661</v>
      </c>
      <c r="N41" s="208"/>
      <c r="O41" s="208" t="s">
        <v>7662</v>
      </c>
      <c r="P41" s="208"/>
      <c r="Q41" s="208"/>
      <c r="R41" s="208"/>
      <c r="S41" s="208" t="str">
        <f>IFERROR(IF(VLOOKUP(Tabla14[[#This Row],[COD]],'Kotrik Industrial'!B:B,1,0)&lt;&gt;"","KI",""),"")</f>
        <v/>
      </c>
      <c r="T41" s="208" t="str">
        <f>IFERROR(IF(VLOOKUP(Tabla14[[#This Row],[COD]],Tabla5[Cod trabalhador],1,0)&lt;&gt;"","KR",""),"")</f>
        <v>KR</v>
      </c>
      <c r="U41" s="208" t="str">
        <f>IFERROR(IF(VLOOKUP(Tabla14[[#This Row],[COD]],Wiseowe!B:B,1,0)&lt;&gt;"","Ws",""),"")</f>
        <v/>
      </c>
      <c r="V41" s="208" t="str">
        <f>IFERROR(IF(VLOOKUP(Tabla14[[#This Row],[COD]],Luminous!B:B,1,0)&lt;&gt;"","LM",""),"")</f>
        <v/>
      </c>
      <c r="W41" s="208" t="str">
        <f>IFERROR(IF(VLOOKUP(Tabla14[[#This Row],[COD]],#REF!,1,0)&lt;&gt;"","ST",""),"")</f>
        <v/>
      </c>
    </row>
    <row r="42" spans="2:23" x14ac:dyDescent="0.3">
      <c r="B42" s="208" t="str">
        <f>IF(Tabla14[[#This Row],[COLABORADOR]]="", "", INDEX(Colaboradores!A:A, MATCH(Tabla14[[#This Row],[COLABORADOR]],Colaboradores!C:C, 0)))</f>
        <v>E0146</v>
      </c>
      <c r="C42" s="349" t="s">
        <v>7626</v>
      </c>
      <c r="D42" s="350" t="s">
        <v>3263</v>
      </c>
      <c r="E42" s="351" t="s">
        <v>7668</v>
      </c>
      <c r="F42" s="131" t="s">
        <v>7670</v>
      </c>
      <c r="G42" s="131" t="s">
        <v>7731</v>
      </c>
      <c r="H42" s="352" t="s">
        <v>7672</v>
      </c>
      <c r="I42" s="353">
        <v>46023</v>
      </c>
      <c r="J42" s="354">
        <v>46052</v>
      </c>
      <c r="K42" s="355">
        <v>30</v>
      </c>
      <c r="L42" s="356">
        <v>300</v>
      </c>
      <c r="M42" s="329" t="s">
        <v>7661</v>
      </c>
      <c r="N42" s="208"/>
      <c r="O42" s="208" t="s">
        <v>7662</v>
      </c>
      <c r="P42" s="208"/>
      <c r="Q42" s="208"/>
      <c r="R42" s="208"/>
      <c r="S42" s="208" t="str">
        <f>IFERROR(IF(VLOOKUP(Tabla14[[#This Row],[COD]],'Kotrik Industrial'!B:B,1,0)&lt;&gt;"","KI",""),"")</f>
        <v>KI</v>
      </c>
      <c r="T42" s="208" t="str">
        <f>IFERROR(IF(VLOOKUP(Tabla14[[#This Row],[COD]],Tabla5[Cod trabalhador],1,0)&lt;&gt;"","KR",""),"")</f>
        <v/>
      </c>
      <c r="U42" s="208" t="str">
        <f>IFERROR(IF(VLOOKUP(Tabla14[[#This Row],[COD]],Wiseowe!B:B,1,0)&lt;&gt;"","Ws",""),"")</f>
        <v/>
      </c>
      <c r="V42" s="208" t="str">
        <f>IFERROR(IF(VLOOKUP(Tabla14[[#This Row],[COD]],Luminous!B:B,1,0)&lt;&gt;"","LM",""),"")</f>
        <v/>
      </c>
      <c r="W42" s="208" t="str">
        <f>IFERROR(IF(VLOOKUP(Tabla14[[#This Row],[COD]],#REF!,1,0)&lt;&gt;"","ST",""),"")</f>
        <v/>
      </c>
    </row>
    <row r="43" spans="2:23" x14ac:dyDescent="0.3">
      <c r="B43" s="208" t="str">
        <f>IF(Tabla14[[#This Row],[COLABORADOR]]="", "", INDEX(Colaboradores!A:A, MATCH(Tabla14[[#This Row],[COLABORADOR]],Colaboradores!C:C, 0)))</f>
        <v>E0196</v>
      </c>
      <c r="C43" s="349" t="s">
        <v>7626</v>
      </c>
      <c r="D43" s="350" t="s">
        <v>3335</v>
      </c>
      <c r="E43" s="351" t="s">
        <v>7657</v>
      </c>
      <c r="F43" s="131" t="s">
        <v>7658</v>
      </c>
      <c r="G43" s="131" t="s">
        <v>7659</v>
      </c>
      <c r="H43" s="352" t="s">
        <v>7660</v>
      </c>
      <c r="I43" s="353">
        <v>46023</v>
      </c>
      <c r="J43" s="354">
        <v>46052</v>
      </c>
      <c r="K43" s="355">
        <v>30</v>
      </c>
      <c r="L43" s="356">
        <v>300</v>
      </c>
      <c r="M43" s="329" t="s">
        <v>7661</v>
      </c>
      <c r="N43" s="208"/>
      <c r="O43" s="208" t="s">
        <v>7662</v>
      </c>
      <c r="P43" s="208"/>
      <c r="Q43" s="208"/>
      <c r="R43" s="208"/>
      <c r="S43" s="208" t="str">
        <f>IFERROR(IF(VLOOKUP(Tabla14[[#This Row],[COD]],'Kotrik Industrial'!B:B,1,0)&lt;&gt;"","KI",""),"")</f>
        <v/>
      </c>
      <c r="T43" s="208" t="str">
        <f>IFERROR(IF(VLOOKUP(Tabla14[[#This Row],[COD]],Tabla5[Cod trabalhador],1,0)&lt;&gt;"","KR",""),"")</f>
        <v>KR</v>
      </c>
      <c r="U43" s="208" t="str">
        <f>IFERROR(IF(VLOOKUP(Tabla14[[#This Row],[COD]],Wiseowe!B:B,1,0)&lt;&gt;"","Ws",""),"")</f>
        <v/>
      </c>
      <c r="V43" s="208" t="str">
        <f>IFERROR(IF(VLOOKUP(Tabla14[[#This Row],[COD]],Luminous!B:B,1,0)&lt;&gt;"","LM",""),"")</f>
        <v/>
      </c>
      <c r="W43" s="208" t="str">
        <f>IFERROR(IF(VLOOKUP(Tabla14[[#This Row],[COD]],#REF!,1,0)&lt;&gt;"","ST",""),"")</f>
        <v/>
      </c>
    </row>
    <row r="44" spans="2:23" x14ac:dyDescent="0.3">
      <c r="B44" s="208" t="str">
        <f>IF(Tabla14[[#This Row],[COLABORADOR]]="", "", INDEX(Colaboradores!A:A, MATCH(Tabla14[[#This Row],[COLABORADOR]],Colaboradores!C:C, 0)))</f>
        <v>E0492</v>
      </c>
      <c r="C44" s="349" t="s">
        <v>7685</v>
      </c>
      <c r="D44" s="350" t="s">
        <v>3588</v>
      </c>
      <c r="E44" s="351" t="s">
        <v>7657</v>
      </c>
      <c r="F44" s="131" t="s">
        <v>7686</v>
      </c>
      <c r="G44" s="131" t="s">
        <v>7687</v>
      </c>
      <c r="H44" s="352" t="s">
        <v>7688</v>
      </c>
      <c r="I44" s="353">
        <v>46023</v>
      </c>
      <c r="J44" s="354">
        <v>46052</v>
      </c>
      <c r="K44" s="355">
        <v>30</v>
      </c>
      <c r="L44" s="356">
        <v>300</v>
      </c>
      <c r="M44" s="329" t="s">
        <v>7661</v>
      </c>
      <c r="N44" s="208"/>
      <c r="O44" s="208" t="s">
        <v>7662</v>
      </c>
      <c r="P44" s="208"/>
      <c r="Q44" s="208"/>
      <c r="R44" s="208"/>
      <c r="S44" s="208" t="str">
        <f>IFERROR(IF(VLOOKUP(Tabla14[[#This Row],[COD]],'Kotrik Industrial'!B:B,1,0)&lt;&gt;"","KI",""),"")</f>
        <v/>
      </c>
      <c r="T44" s="208" t="str">
        <f>IFERROR(IF(VLOOKUP(Tabla14[[#This Row],[COD]],Tabla5[Cod trabalhador],1,0)&lt;&gt;"","KR",""),"")</f>
        <v>KR</v>
      </c>
      <c r="U44" s="208" t="str">
        <f>IFERROR(IF(VLOOKUP(Tabla14[[#This Row],[COD]],Wiseowe!B:B,1,0)&lt;&gt;"","Ws",""),"")</f>
        <v/>
      </c>
      <c r="V44" s="208" t="str">
        <f>IFERROR(IF(VLOOKUP(Tabla14[[#This Row],[COD]],Luminous!B:B,1,0)&lt;&gt;"","LM",""),"")</f>
        <v/>
      </c>
      <c r="W44" s="208" t="str">
        <f>IFERROR(IF(VLOOKUP(Tabla14[[#This Row],[COD]],#REF!,1,0)&lt;&gt;"","ST",""),"")</f>
        <v/>
      </c>
    </row>
    <row r="45" spans="2:23" x14ac:dyDescent="0.3">
      <c r="B45" s="208" t="str">
        <f>IF(Tabla14[[#This Row],[COLABORADOR]]="", "", INDEX(Colaboradores!A:A, MATCH(Tabla14[[#This Row],[COLABORADOR]],Colaboradores!C:C, 0)))</f>
        <v>E0268</v>
      </c>
      <c r="C45" s="349" t="s">
        <v>7642</v>
      </c>
      <c r="D45" s="350" t="s">
        <v>3612</v>
      </c>
      <c r="E45" s="351" t="s">
        <v>7657</v>
      </c>
      <c r="F45" s="131" t="s">
        <v>7663</v>
      </c>
      <c r="G45" s="131">
        <v>2023</v>
      </c>
      <c r="H45" s="352" t="s">
        <v>7577</v>
      </c>
      <c r="I45" s="353">
        <v>46023</v>
      </c>
      <c r="J45" s="354">
        <v>46052</v>
      </c>
      <c r="K45" s="355">
        <v>30</v>
      </c>
      <c r="L45" s="356">
        <v>300</v>
      </c>
      <c r="M45" s="329" t="s">
        <v>7661</v>
      </c>
      <c r="N45" s="208" t="s">
        <v>7732</v>
      </c>
      <c r="O45" s="208" t="s">
        <v>7662</v>
      </c>
      <c r="P45" s="208"/>
      <c r="Q45" s="208"/>
      <c r="R45" s="208"/>
      <c r="S45" s="208" t="str">
        <f>IFERROR(IF(VLOOKUP(Tabla14[[#This Row],[COD]],'Kotrik Industrial'!B:B,1,0)&lt;&gt;"","KI",""),"")</f>
        <v/>
      </c>
      <c r="T45" s="208" t="str">
        <f>IFERROR(IF(VLOOKUP(Tabla14[[#This Row],[COD]],Tabla5[Cod trabalhador],1,0)&lt;&gt;"","KR",""),"")</f>
        <v/>
      </c>
      <c r="U45" s="208" t="str">
        <f>IFERROR(IF(VLOOKUP(Tabla14[[#This Row],[COD]],Wiseowe!B:B,1,0)&lt;&gt;"","Ws",""),"")</f>
        <v>Ws</v>
      </c>
      <c r="V45" s="208" t="str">
        <f>IFERROR(IF(VLOOKUP(Tabla14[[#This Row],[COD]],Luminous!B:B,1,0)&lt;&gt;"","LM",""),"")</f>
        <v/>
      </c>
      <c r="W45" s="208" t="str">
        <f>IFERROR(IF(VLOOKUP(Tabla14[[#This Row],[COD]],#REF!,1,0)&lt;&gt;"","ST",""),"")</f>
        <v/>
      </c>
    </row>
    <row r="46" spans="2:23" x14ac:dyDescent="0.3">
      <c r="B46" s="208" t="str">
        <f>IF(Tabla14[[#This Row],[COLABORADOR]]="", "", INDEX(Colaboradores!A:A, MATCH(Tabla14[[#This Row],[COLABORADOR]],Colaboradores!C:C, 0)))</f>
        <v>E0377</v>
      </c>
      <c r="C46" s="349" t="s">
        <v>7642</v>
      </c>
      <c r="D46" s="350" t="s">
        <v>3923</v>
      </c>
      <c r="E46" s="351" t="s">
        <v>7657</v>
      </c>
      <c r="F46" s="131" t="s">
        <v>7395</v>
      </c>
      <c r="G46" s="131" t="s">
        <v>7733</v>
      </c>
      <c r="H46" s="352" t="s">
        <v>7629</v>
      </c>
      <c r="I46" s="353">
        <v>46023</v>
      </c>
      <c r="J46" s="354">
        <v>46052</v>
      </c>
      <c r="K46" s="355">
        <v>30</v>
      </c>
      <c r="L46" s="356">
        <v>300</v>
      </c>
      <c r="M46" s="329" t="s">
        <v>7661</v>
      </c>
      <c r="N46" s="208"/>
      <c r="O46" s="208" t="s">
        <v>7662</v>
      </c>
      <c r="P46" s="208"/>
      <c r="Q46" s="208"/>
      <c r="R46" s="208"/>
      <c r="S46" s="208" t="str">
        <f>IFERROR(IF(VLOOKUP(Tabla14[[#This Row],[COD]],'Kotrik Industrial'!B:B,1,0)&lt;&gt;"","KI",""),"")</f>
        <v/>
      </c>
      <c r="T46" s="208" t="str">
        <f>IFERROR(IF(VLOOKUP(Tabla14[[#This Row],[COD]],Tabla5[Cod trabalhador],1,0)&lt;&gt;"","KR",""),"")</f>
        <v/>
      </c>
      <c r="U46" s="208" t="str">
        <f>IFERROR(IF(VLOOKUP(Tabla14[[#This Row],[COD]],Wiseowe!B:B,1,0)&lt;&gt;"","Ws",""),"")</f>
        <v>Ws</v>
      </c>
      <c r="V46" s="208" t="str">
        <f>IFERROR(IF(VLOOKUP(Tabla14[[#This Row],[COD]],Luminous!B:B,1,0)&lt;&gt;"","LM",""),"")</f>
        <v/>
      </c>
      <c r="W46" s="208" t="str">
        <f>IFERROR(IF(VLOOKUP(Tabla14[[#This Row],[COD]],#REF!,1,0)&lt;&gt;"","ST",""),"")</f>
        <v/>
      </c>
    </row>
    <row r="47" spans="2:23" x14ac:dyDescent="0.3">
      <c r="B47" s="208" t="str">
        <f>IF(Tabla14[[#This Row],[COLABORADOR]]="", "", INDEX(Colaboradores!A:A, MATCH(Tabla14[[#This Row],[COLABORADOR]],Colaboradores!C:C, 0)))</f>
        <v>E0291</v>
      </c>
      <c r="C47" s="349" t="s">
        <v>7642</v>
      </c>
      <c r="D47" s="350" t="s">
        <v>3955</v>
      </c>
      <c r="E47" s="351" t="s">
        <v>7657</v>
      </c>
      <c r="F47" s="131" t="s">
        <v>7666</v>
      </c>
      <c r="G47" s="131" t="s">
        <v>7734</v>
      </c>
      <c r="H47" s="352" t="s">
        <v>7612</v>
      </c>
      <c r="I47" s="353">
        <v>46023</v>
      </c>
      <c r="J47" s="354">
        <v>46052</v>
      </c>
      <c r="K47" s="355">
        <v>30</v>
      </c>
      <c r="L47" s="356">
        <v>300</v>
      </c>
      <c r="M47" s="329" t="s">
        <v>7661</v>
      </c>
      <c r="N47" s="208"/>
      <c r="O47" s="208" t="s">
        <v>7662</v>
      </c>
      <c r="P47" s="208"/>
      <c r="Q47" s="208"/>
      <c r="R47" s="208"/>
      <c r="S47" s="208" t="str">
        <f>IFERROR(IF(VLOOKUP(Tabla14[[#This Row],[COD]],'Kotrik Industrial'!B:B,1,0)&lt;&gt;"","KI",""),"")</f>
        <v/>
      </c>
      <c r="T47" s="208" t="str">
        <f>IFERROR(IF(VLOOKUP(Tabla14[[#This Row],[COD]],Tabla5[Cod trabalhador],1,0)&lt;&gt;"","KR",""),"")</f>
        <v/>
      </c>
      <c r="U47" s="208" t="str">
        <f>IFERROR(IF(VLOOKUP(Tabla14[[#This Row],[COD]],Wiseowe!B:B,1,0)&lt;&gt;"","Ws",""),"")</f>
        <v>Ws</v>
      </c>
      <c r="V47" s="208" t="str">
        <f>IFERROR(IF(VLOOKUP(Tabla14[[#This Row],[COD]],Luminous!B:B,1,0)&lt;&gt;"","LM",""),"")</f>
        <v/>
      </c>
      <c r="W47" s="208" t="str">
        <f>IFERROR(IF(VLOOKUP(Tabla14[[#This Row],[COD]],#REF!,1,0)&lt;&gt;"","ST",""),"")</f>
        <v/>
      </c>
    </row>
    <row r="48" spans="2:23" x14ac:dyDescent="0.3">
      <c r="B48" s="208" t="str">
        <f>IF(Tabla14[[#This Row],[COLABORADOR]]="", "", INDEX(Colaboradores!A:A, MATCH(Tabla14[[#This Row],[COLABORADOR]],Colaboradores!C:C, 0)))</f>
        <v>E0090</v>
      </c>
      <c r="C48" s="349" t="s">
        <v>7626</v>
      </c>
      <c r="D48" s="350" t="s">
        <v>4033</v>
      </c>
      <c r="E48" s="351" t="s">
        <v>7657</v>
      </c>
      <c r="F48" s="131" t="s">
        <v>7666</v>
      </c>
      <c r="G48" s="131">
        <v>2023</v>
      </c>
      <c r="H48" s="352" t="s">
        <v>7385</v>
      </c>
      <c r="I48" s="353">
        <v>46023</v>
      </c>
      <c r="J48" s="354">
        <v>46052</v>
      </c>
      <c r="K48" s="355">
        <v>30</v>
      </c>
      <c r="L48" s="356">
        <v>300</v>
      </c>
      <c r="M48" s="329" t="s">
        <v>7661</v>
      </c>
      <c r="N48" s="208"/>
      <c r="O48" s="208" t="s">
        <v>7662</v>
      </c>
      <c r="P48" s="208"/>
      <c r="Q48" s="208"/>
      <c r="R48" s="208"/>
      <c r="S48" s="208" t="str">
        <f>IFERROR(IF(VLOOKUP(Tabla14[[#This Row],[COD]],'Kotrik Industrial'!B:B,1,0)&lt;&gt;"","KI",""),"")</f>
        <v/>
      </c>
      <c r="T48" s="208" t="str">
        <f>IFERROR(IF(VLOOKUP(Tabla14[[#This Row],[COD]],Tabla5[Cod trabalhador],1,0)&lt;&gt;"","KR",""),"")</f>
        <v/>
      </c>
      <c r="U48" s="208" t="str">
        <f>IFERROR(IF(VLOOKUP(Tabla14[[#This Row],[COD]],Wiseowe!B:B,1,0)&lt;&gt;"","Ws",""),"")</f>
        <v/>
      </c>
      <c r="V48" s="208" t="str">
        <f>IFERROR(IF(VLOOKUP(Tabla14[[#This Row],[COD]],Luminous!B:B,1,0)&lt;&gt;"","LM",""),"")</f>
        <v>LM</v>
      </c>
      <c r="W48" s="208" t="str">
        <f>IFERROR(IF(VLOOKUP(Tabla14[[#This Row],[COD]],#REF!,1,0)&lt;&gt;"","ST",""),"")</f>
        <v/>
      </c>
    </row>
    <row r="49" spans="2:23" x14ac:dyDescent="0.3">
      <c r="B49" s="208" t="str">
        <f>IF(Tabla14[[#This Row],[COLABORADOR]]="", "", INDEX(Colaboradores!A:A, MATCH(Tabla14[[#This Row],[COLABORADOR]],Colaboradores!C:C, 0)))</f>
        <v>E1284</v>
      </c>
      <c r="C49" s="349" t="s">
        <v>7626</v>
      </c>
      <c r="D49" s="350" t="s">
        <v>4169</v>
      </c>
      <c r="E49" s="351" t="s">
        <v>7657</v>
      </c>
      <c r="F49" s="131" t="s">
        <v>7666</v>
      </c>
      <c r="G49" s="131" t="s">
        <v>7735</v>
      </c>
      <c r="H49" s="352" t="s">
        <v>7385</v>
      </c>
      <c r="I49" s="353">
        <v>46023</v>
      </c>
      <c r="J49" s="354">
        <v>46052</v>
      </c>
      <c r="K49" s="355">
        <v>30</v>
      </c>
      <c r="L49" s="356">
        <v>300</v>
      </c>
      <c r="M49" s="329" t="s">
        <v>7661</v>
      </c>
      <c r="N49" s="208"/>
      <c r="O49" s="208" t="s">
        <v>7662</v>
      </c>
      <c r="P49" s="208"/>
      <c r="Q49" s="208"/>
      <c r="R49" s="208"/>
      <c r="S49" s="208" t="str">
        <f>IFERROR(IF(VLOOKUP(Tabla14[[#This Row],[COD]],'Kotrik Industrial'!B:B,1,0)&lt;&gt;"","KI",""),"")</f>
        <v/>
      </c>
      <c r="T49" s="208" t="str">
        <f>IFERROR(IF(VLOOKUP(Tabla14[[#This Row],[COD]],Tabla5[Cod trabalhador],1,0)&lt;&gt;"","KR",""),"")</f>
        <v/>
      </c>
      <c r="U49" s="208" t="str">
        <f>IFERROR(IF(VLOOKUP(Tabla14[[#This Row],[COD]],Wiseowe!B:B,1,0)&lt;&gt;"","Ws",""),"")</f>
        <v/>
      </c>
      <c r="V49" s="208" t="str">
        <f>IFERROR(IF(VLOOKUP(Tabla14[[#This Row],[COD]],Luminous!B:B,1,0)&lt;&gt;"","LM",""),"")</f>
        <v>LM</v>
      </c>
      <c r="W49" s="208" t="str">
        <f>IFERROR(IF(VLOOKUP(Tabla14[[#This Row],[COD]],#REF!,1,0)&lt;&gt;"","ST",""),"")</f>
        <v/>
      </c>
    </row>
    <row r="50" spans="2:23" x14ac:dyDescent="0.3">
      <c r="B50" s="208" t="str">
        <f>IF(Tabla14[[#This Row],[COLABORADOR]]="", "", INDEX(Colaboradores!A:A, MATCH(Tabla14[[#This Row],[COLABORADOR]],Colaboradores!C:C, 0)))</f>
        <v>E0395</v>
      </c>
      <c r="C50" s="349" t="s">
        <v>7642</v>
      </c>
      <c r="D50" s="350" t="s">
        <v>4234</v>
      </c>
      <c r="E50" s="351" t="s">
        <v>7668</v>
      </c>
      <c r="F50" s="131" t="s">
        <v>7681</v>
      </c>
      <c r="G50" s="131" t="s">
        <v>7704</v>
      </c>
      <c r="H50" s="352" t="s">
        <v>7422</v>
      </c>
      <c r="I50" s="353">
        <v>46023</v>
      </c>
      <c r="J50" s="354">
        <v>46052</v>
      </c>
      <c r="K50" s="355">
        <v>30</v>
      </c>
      <c r="L50" s="356">
        <v>300</v>
      </c>
      <c r="M50" s="329" t="s">
        <v>7661</v>
      </c>
      <c r="N50" s="208" t="s">
        <v>7736</v>
      </c>
      <c r="O50" s="208" t="s">
        <v>7662</v>
      </c>
      <c r="P50" s="208"/>
      <c r="Q50" s="208"/>
      <c r="R50" s="208"/>
      <c r="S50" s="208" t="str">
        <f>IFERROR(IF(VLOOKUP(Tabla14[[#This Row],[COD]],'Kotrik Industrial'!B:B,1,0)&lt;&gt;"","KI",""),"")</f>
        <v/>
      </c>
      <c r="T50" s="208" t="str">
        <f>IFERROR(IF(VLOOKUP(Tabla14[[#This Row],[COD]],Tabla5[Cod trabalhador],1,0)&lt;&gt;"","KR",""),"")</f>
        <v>KR</v>
      </c>
      <c r="U50" s="208" t="str">
        <f>IFERROR(IF(VLOOKUP(Tabla14[[#This Row],[COD]],Wiseowe!B:B,1,0)&lt;&gt;"","Ws",""),"")</f>
        <v/>
      </c>
      <c r="V50" s="208" t="str">
        <f>IFERROR(IF(VLOOKUP(Tabla14[[#This Row],[COD]],Luminous!B:B,1,0)&lt;&gt;"","LM",""),"")</f>
        <v/>
      </c>
      <c r="W50" s="208" t="str">
        <f>IFERROR(IF(VLOOKUP(Tabla14[[#This Row],[COD]],#REF!,1,0)&lt;&gt;"","ST",""),"")</f>
        <v/>
      </c>
    </row>
    <row r="51" spans="2:23" x14ac:dyDescent="0.3">
      <c r="B51" s="208" t="str">
        <f>IF(Tabla14[[#This Row],[COLABORADOR]]="", "", INDEX(Colaboradores!A:A, MATCH(Tabla14[[#This Row],[COLABORADOR]],Colaboradores!C:C, 0)))</f>
        <v>E0093</v>
      </c>
      <c r="C51" s="349" t="s">
        <v>7626</v>
      </c>
      <c r="D51" s="350" t="s">
        <v>4242</v>
      </c>
      <c r="E51" s="351" t="s">
        <v>7657</v>
      </c>
      <c r="F51" s="131" t="s">
        <v>7666</v>
      </c>
      <c r="G51" s="131" t="s">
        <v>7737</v>
      </c>
      <c r="H51" s="352" t="s">
        <v>7385</v>
      </c>
      <c r="I51" s="353">
        <v>46023</v>
      </c>
      <c r="J51" s="354">
        <v>46052</v>
      </c>
      <c r="K51" s="355">
        <v>30</v>
      </c>
      <c r="L51" s="356">
        <v>300</v>
      </c>
      <c r="M51" s="329" t="s">
        <v>7661</v>
      </c>
      <c r="N51" s="208" t="s">
        <v>7738</v>
      </c>
      <c r="O51" s="208" t="s">
        <v>7662</v>
      </c>
      <c r="P51" s="208"/>
      <c r="Q51" s="208"/>
      <c r="R51" s="208"/>
      <c r="S51" s="208" t="str">
        <f>IFERROR(IF(VLOOKUP(Tabla14[[#This Row],[COD]],'Kotrik Industrial'!B:B,1,0)&lt;&gt;"","KI",""),"")</f>
        <v/>
      </c>
      <c r="T51" s="208" t="str">
        <f>IFERROR(IF(VLOOKUP(Tabla14[[#This Row],[COD]],Tabla5[Cod trabalhador],1,0)&lt;&gt;"","KR",""),"")</f>
        <v/>
      </c>
      <c r="U51" s="208" t="str">
        <f>IFERROR(IF(VLOOKUP(Tabla14[[#This Row],[COD]],Wiseowe!B:B,1,0)&lt;&gt;"","Ws",""),"")</f>
        <v/>
      </c>
      <c r="V51" s="208" t="str">
        <f>IFERROR(IF(VLOOKUP(Tabla14[[#This Row],[COD]],Luminous!B:B,1,0)&lt;&gt;"","LM",""),"")</f>
        <v>LM</v>
      </c>
      <c r="W51" s="208" t="str">
        <f>IFERROR(IF(VLOOKUP(Tabla14[[#This Row],[COD]],#REF!,1,0)&lt;&gt;"","ST",""),"")</f>
        <v/>
      </c>
    </row>
    <row r="52" spans="2:23" x14ac:dyDescent="0.3">
      <c r="B52" s="208" t="str">
        <f>IF(Tabla14[[#This Row],[COLABORADOR]]="", "", INDEX(Colaboradores!A:A, MATCH(Tabla14[[#This Row],[COLABORADOR]],Colaboradores!C:C, 0)))</f>
        <v>E1942</v>
      </c>
      <c r="C52" s="349" t="s">
        <v>7642</v>
      </c>
      <c r="D52" s="350" t="s">
        <v>4741</v>
      </c>
      <c r="E52" s="351" t="s">
        <v>7657</v>
      </c>
      <c r="F52" s="131" t="s">
        <v>7739</v>
      </c>
      <c r="G52" s="131" t="s">
        <v>7740</v>
      </c>
      <c r="H52" s="352" t="s">
        <v>7741</v>
      </c>
      <c r="I52" s="353">
        <v>46037</v>
      </c>
      <c r="J52" s="354">
        <v>46048</v>
      </c>
      <c r="K52" s="355">
        <v>12</v>
      </c>
      <c r="L52" s="356">
        <v>120</v>
      </c>
      <c r="M52" s="329" t="s">
        <v>7661</v>
      </c>
      <c r="N52" s="208" t="s">
        <v>7742</v>
      </c>
      <c r="O52" s="208" t="s">
        <v>7697</v>
      </c>
      <c r="P52" s="208"/>
      <c r="Q52" s="208"/>
      <c r="R52" s="208"/>
      <c r="S52" s="208" t="str">
        <f>IFERROR(IF(VLOOKUP(Tabla14[[#This Row],[COD]],'Kotrik Industrial'!B:B,1,0)&lt;&gt;"","KI",""),"")</f>
        <v/>
      </c>
      <c r="T52" s="208" t="str">
        <f>IFERROR(IF(VLOOKUP(Tabla14[[#This Row],[COD]],Tabla5[Cod trabalhador],1,0)&lt;&gt;"","KR",""),"")</f>
        <v/>
      </c>
      <c r="U52" s="208" t="str">
        <f>IFERROR(IF(VLOOKUP(Tabla14[[#This Row],[COD]],Wiseowe!B:B,1,0)&lt;&gt;"","Ws",""),"")</f>
        <v>Ws</v>
      </c>
      <c r="V52" s="208" t="str">
        <f>IFERROR(IF(VLOOKUP(Tabla14[[#This Row],[COD]],Luminous!B:B,1,0)&lt;&gt;"","LM",""),"")</f>
        <v/>
      </c>
      <c r="W52" s="208" t="str">
        <f>IFERROR(IF(VLOOKUP(Tabla14[[#This Row],[COD]],#REF!,1,0)&lt;&gt;"","ST",""),"")</f>
        <v/>
      </c>
    </row>
    <row r="53" spans="2:23" x14ac:dyDescent="0.3">
      <c r="B53" s="208" t="str">
        <f>IF(Tabla14[[#This Row],[COLABORADOR]]="", "", INDEX(Colaboradores!A:A, MATCH(Tabla14[[#This Row],[COLABORADOR]],Colaboradores!C:C, 0)))</f>
        <v>E0095</v>
      </c>
      <c r="C53" s="349" t="s">
        <v>7626</v>
      </c>
      <c r="D53" s="350" t="s">
        <v>4797</v>
      </c>
      <c r="E53" s="351" t="s">
        <v>7657</v>
      </c>
      <c r="F53" s="131" t="s">
        <v>7666</v>
      </c>
      <c r="G53" s="131" t="s">
        <v>7737</v>
      </c>
      <c r="H53" s="352" t="s">
        <v>7385</v>
      </c>
      <c r="I53" s="353">
        <v>46023</v>
      </c>
      <c r="J53" s="354">
        <v>46052</v>
      </c>
      <c r="K53" s="355">
        <v>30</v>
      </c>
      <c r="L53" s="356">
        <v>300</v>
      </c>
      <c r="M53" s="329" t="s">
        <v>7661</v>
      </c>
      <c r="N53" s="208"/>
      <c r="O53" s="208" t="s">
        <v>7662</v>
      </c>
      <c r="P53" s="208"/>
      <c r="Q53" s="208"/>
      <c r="R53" s="208"/>
      <c r="S53" s="208" t="str">
        <f>IFERROR(IF(VLOOKUP(Tabla14[[#This Row],[COD]],'Kotrik Industrial'!B:B,1,0)&lt;&gt;"","KI",""),"")</f>
        <v/>
      </c>
      <c r="T53" s="208" t="str">
        <f>IFERROR(IF(VLOOKUP(Tabla14[[#This Row],[COD]],Tabla5[Cod trabalhador],1,0)&lt;&gt;"","KR",""),"")</f>
        <v/>
      </c>
      <c r="U53" s="208" t="str">
        <f>IFERROR(IF(VLOOKUP(Tabla14[[#This Row],[COD]],Wiseowe!B:B,1,0)&lt;&gt;"","Ws",""),"")</f>
        <v/>
      </c>
      <c r="V53" s="208" t="str">
        <f>IFERROR(IF(VLOOKUP(Tabla14[[#This Row],[COD]],Luminous!B:B,1,0)&lt;&gt;"","LM",""),"")</f>
        <v>LM</v>
      </c>
      <c r="W53" s="208" t="str">
        <f>IFERROR(IF(VLOOKUP(Tabla14[[#This Row],[COD]],#REF!,1,0)&lt;&gt;"","ST",""),"")</f>
        <v/>
      </c>
    </row>
    <row r="54" spans="2:23" x14ac:dyDescent="0.3">
      <c r="B54" s="208" t="str">
        <f>IF(Tabla14[[#This Row],[COLABORADOR]]="", "", INDEX(Colaboradores!A:A, MATCH(Tabla14[[#This Row],[COLABORADOR]],Colaboradores!C:C, 0)))</f>
        <v>E0099</v>
      </c>
      <c r="C54" s="349" t="s">
        <v>7626</v>
      </c>
      <c r="D54" s="350" t="s">
        <v>4875</v>
      </c>
      <c r="E54" s="351" t="s">
        <v>7668</v>
      </c>
      <c r="F54" s="131" t="s">
        <v>7666</v>
      </c>
      <c r="G54" s="131" t="s">
        <v>7743</v>
      </c>
      <c r="H54" s="352" t="s">
        <v>7385</v>
      </c>
      <c r="I54" s="353">
        <v>46023</v>
      </c>
      <c r="J54" s="354">
        <v>46052</v>
      </c>
      <c r="K54" s="355">
        <v>30</v>
      </c>
      <c r="L54" s="356">
        <v>300</v>
      </c>
      <c r="M54" s="329" t="s">
        <v>7661</v>
      </c>
      <c r="N54" s="208"/>
      <c r="O54" s="208" t="s">
        <v>7662</v>
      </c>
      <c r="P54" s="208"/>
      <c r="Q54" s="208"/>
      <c r="R54" s="208"/>
      <c r="S54" s="208" t="str">
        <f>IFERROR(IF(VLOOKUP(Tabla14[[#This Row],[COD]],'Kotrik Industrial'!B:B,1,0)&lt;&gt;"","KI",""),"")</f>
        <v/>
      </c>
      <c r="T54" s="208" t="str">
        <f>IFERROR(IF(VLOOKUP(Tabla14[[#This Row],[COD]],Tabla5[Cod trabalhador],1,0)&lt;&gt;"","KR",""),"")</f>
        <v/>
      </c>
      <c r="U54" s="208" t="str">
        <f>IFERROR(IF(VLOOKUP(Tabla14[[#This Row],[COD]],Wiseowe!B:B,1,0)&lt;&gt;"","Ws",""),"")</f>
        <v/>
      </c>
      <c r="V54" s="208" t="str">
        <f>IFERROR(IF(VLOOKUP(Tabla14[[#This Row],[COD]],Luminous!B:B,1,0)&lt;&gt;"","LM",""),"")</f>
        <v>LM</v>
      </c>
      <c r="W54" s="208" t="str">
        <f>IFERROR(IF(VLOOKUP(Tabla14[[#This Row],[COD]],#REF!,1,0)&lt;&gt;"","ST",""),"")</f>
        <v/>
      </c>
    </row>
    <row r="55" spans="2:23" x14ac:dyDescent="0.3">
      <c r="B55" s="208" t="str">
        <f>IF(Tabla14[[#This Row],[COLABORADOR]]="", "", INDEX(Colaboradores!A:A, MATCH(Tabla14[[#This Row],[COLABORADOR]],Colaboradores!C:C, 0)))</f>
        <v>E1359</v>
      </c>
      <c r="C55" s="349" t="s">
        <v>7701</v>
      </c>
      <c r="D55" s="350" t="s">
        <v>4973</v>
      </c>
      <c r="E55" s="351" t="s">
        <v>7657</v>
      </c>
      <c r="F55" s="131" t="s">
        <v>7677</v>
      </c>
      <c r="G55" s="131" t="s">
        <v>7744</v>
      </c>
      <c r="H55" s="352" t="s">
        <v>7745</v>
      </c>
      <c r="I55" s="353">
        <v>46023</v>
      </c>
      <c r="J55" s="354">
        <v>46035</v>
      </c>
      <c r="K55" s="355">
        <v>13</v>
      </c>
      <c r="L55" s="356">
        <v>130</v>
      </c>
      <c r="M55" s="329" t="s">
        <v>7661</v>
      </c>
      <c r="N55" s="208" t="s">
        <v>7746</v>
      </c>
      <c r="O55" s="208" t="s">
        <v>7697</v>
      </c>
      <c r="P55" s="208"/>
      <c r="Q55" s="208"/>
      <c r="R55" s="208"/>
      <c r="S55" s="208" t="str">
        <f>IFERROR(IF(VLOOKUP(Tabla14[[#This Row],[COD]],'Kotrik Industrial'!B:B,1,0)&lt;&gt;"","KI",""),"")</f>
        <v>KI</v>
      </c>
      <c r="T55" s="208" t="str">
        <f>IFERROR(IF(VLOOKUP(Tabla14[[#This Row],[COD]],Tabla5[Cod trabalhador],1,0)&lt;&gt;"","KR",""),"")</f>
        <v/>
      </c>
      <c r="U55" s="208" t="str">
        <f>IFERROR(IF(VLOOKUP(Tabla14[[#This Row],[COD]],Wiseowe!B:B,1,0)&lt;&gt;"","Ws",""),"")</f>
        <v/>
      </c>
      <c r="V55" s="208" t="str">
        <f>IFERROR(IF(VLOOKUP(Tabla14[[#This Row],[COD]],Luminous!B:B,1,0)&lt;&gt;"","LM",""),"")</f>
        <v/>
      </c>
      <c r="W55" s="208" t="str">
        <f>IFERROR(IF(VLOOKUP(Tabla14[[#This Row],[COD]],#REF!,1,0)&lt;&gt;"","ST",""),"")</f>
        <v/>
      </c>
    </row>
    <row r="56" spans="2:23" x14ac:dyDescent="0.3">
      <c r="B56" s="208" t="str">
        <f>IF(Tabla14[[#This Row],[COLABORADOR]]="", "", INDEX(Colaboradores!A:A, MATCH(Tabla14[[#This Row],[COLABORADOR]],Colaboradores!C:C, 0)))</f>
        <v>E1797</v>
      </c>
      <c r="C56" s="349" t="s">
        <v>7642</v>
      </c>
      <c r="D56" s="350" t="s">
        <v>5021</v>
      </c>
      <c r="E56" s="351" t="s">
        <v>7657</v>
      </c>
      <c r="F56" s="131" t="s">
        <v>7663</v>
      </c>
      <c r="G56" s="131" t="s">
        <v>7747</v>
      </c>
      <c r="H56" s="352" t="s">
        <v>7577</v>
      </c>
      <c r="I56" s="353">
        <v>46023</v>
      </c>
      <c r="J56" s="354">
        <v>46052</v>
      </c>
      <c r="K56" s="355">
        <v>30</v>
      </c>
      <c r="L56" s="356">
        <v>300</v>
      </c>
      <c r="M56" s="329" t="s">
        <v>7661</v>
      </c>
      <c r="N56" s="208"/>
      <c r="O56" s="208" t="s">
        <v>7662</v>
      </c>
      <c r="P56" s="208"/>
      <c r="Q56" s="208"/>
      <c r="R56" s="208"/>
      <c r="S56" s="208" t="str">
        <f>IFERROR(IF(VLOOKUP(Tabla14[[#This Row],[COD]],'Kotrik Industrial'!B:B,1,0)&lt;&gt;"","KI",""),"")</f>
        <v/>
      </c>
      <c r="T56" s="208" t="str">
        <f>IFERROR(IF(VLOOKUP(Tabla14[[#This Row],[COD]],Tabla5[Cod trabalhador],1,0)&lt;&gt;"","KR",""),"")</f>
        <v/>
      </c>
      <c r="U56" s="208" t="str">
        <f>IFERROR(IF(VLOOKUP(Tabla14[[#This Row],[COD]],Wiseowe!B:B,1,0)&lt;&gt;"","Ws",""),"")</f>
        <v>Ws</v>
      </c>
      <c r="V56" s="208" t="str">
        <f>IFERROR(IF(VLOOKUP(Tabla14[[#This Row],[COD]],Luminous!B:B,1,0)&lt;&gt;"","LM",""),"")</f>
        <v/>
      </c>
      <c r="W56" s="208" t="str">
        <f>IFERROR(IF(VLOOKUP(Tabla14[[#This Row],[COD]],#REF!,1,0)&lt;&gt;"","ST",""),"")</f>
        <v/>
      </c>
    </row>
    <row r="57" spans="2:23" x14ac:dyDescent="0.3">
      <c r="B57" s="208" t="str">
        <f>IF(Tabla14[[#This Row],[COLABORADOR]]="", "", INDEX(Colaboradores!A:A, MATCH(Tabla14[[#This Row],[COLABORADOR]],Colaboradores!C:C, 0)))</f>
        <v>E2085</v>
      </c>
      <c r="C57" s="349" t="s">
        <v>7642</v>
      </c>
      <c r="D57" s="350" t="s">
        <v>5064</v>
      </c>
      <c r="E57" s="351" t="s">
        <v>7657</v>
      </c>
      <c r="F57" s="131" t="s">
        <v>7663</v>
      </c>
      <c r="G57" s="131" t="s">
        <v>7748</v>
      </c>
      <c r="H57" s="352" t="s">
        <v>7577</v>
      </c>
      <c r="I57" s="353">
        <v>46023</v>
      </c>
      <c r="J57" s="354">
        <v>46052</v>
      </c>
      <c r="K57" s="355">
        <v>30</v>
      </c>
      <c r="L57" s="356">
        <v>300</v>
      </c>
      <c r="M57" s="329" t="s">
        <v>7661</v>
      </c>
      <c r="N57" s="208"/>
      <c r="O57" s="208" t="s">
        <v>7662</v>
      </c>
      <c r="P57" s="208"/>
      <c r="Q57" s="208"/>
      <c r="R57" s="208"/>
      <c r="S57" s="208" t="str">
        <f>IFERROR(IF(VLOOKUP(Tabla14[[#This Row],[COD]],'Kotrik Industrial'!B:B,1,0)&lt;&gt;"","KI",""),"")</f>
        <v/>
      </c>
      <c r="T57" s="208" t="str">
        <f>IFERROR(IF(VLOOKUP(Tabla14[[#This Row],[COD]],Tabla5[Cod trabalhador],1,0)&lt;&gt;"","KR",""),"")</f>
        <v/>
      </c>
      <c r="U57" s="208" t="str">
        <f>IFERROR(IF(VLOOKUP(Tabla14[[#This Row],[COD]],Wiseowe!B:B,1,0)&lt;&gt;"","Ws",""),"")</f>
        <v>Ws</v>
      </c>
      <c r="V57" s="208" t="str">
        <f>IFERROR(IF(VLOOKUP(Tabla14[[#This Row],[COD]],Luminous!B:B,1,0)&lt;&gt;"","LM",""),"")</f>
        <v/>
      </c>
      <c r="W57" s="208" t="str">
        <f>IFERROR(IF(VLOOKUP(Tabla14[[#This Row],[COD]],#REF!,1,0)&lt;&gt;"","ST",""),"")</f>
        <v/>
      </c>
    </row>
    <row r="58" spans="2:23" x14ac:dyDescent="0.3">
      <c r="B58" s="208" t="str">
        <f>IF(Tabla14[[#This Row],[COLABORADOR]]="", "", INDEX(Colaboradores!A:A, MATCH(Tabla14[[#This Row],[COLABORADOR]],Colaboradores!C:C, 0)))</f>
        <v>E0366</v>
      </c>
      <c r="C58" s="349" t="s">
        <v>7642</v>
      </c>
      <c r="D58" s="350" t="s">
        <v>5153</v>
      </c>
      <c r="E58" s="351" t="s">
        <v>7668</v>
      </c>
      <c r="F58" s="131" t="s">
        <v>7395</v>
      </c>
      <c r="G58" s="131" t="s">
        <v>7749</v>
      </c>
      <c r="H58" s="352" t="s">
        <v>7629</v>
      </c>
      <c r="I58" s="353">
        <v>46023</v>
      </c>
      <c r="J58" s="354">
        <v>46052</v>
      </c>
      <c r="K58" s="355">
        <v>30</v>
      </c>
      <c r="L58" s="356">
        <v>300</v>
      </c>
      <c r="M58" s="329" t="s">
        <v>7661</v>
      </c>
      <c r="N58" s="208"/>
      <c r="O58" s="208" t="s">
        <v>7662</v>
      </c>
      <c r="P58" s="208"/>
      <c r="Q58" s="208"/>
      <c r="R58" s="208"/>
      <c r="S58" s="208" t="str">
        <f>IFERROR(IF(VLOOKUP(Tabla14[[#This Row],[COD]],'Kotrik Industrial'!B:B,1,0)&lt;&gt;"","KI",""),"")</f>
        <v/>
      </c>
      <c r="T58" s="208" t="str">
        <f>IFERROR(IF(VLOOKUP(Tabla14[[#This Row],[COD]],Tabla5[Cod trabalhador],1,0)&lt;&gt;"","KR",""),"")</f>
        <v/>
      </c>
      <c r="U58" s="208" t="str">
        <f>IFERROR(IF(VLOOKUP(Tabla14[[#This Row],[COD]],Wiseowe!B:B,1,0)&lt;&gt;"","Ws",""),"")</f>
        <v>Ws</v>
      </c>
      <c r="V58" s="208" t="str">
        <f>IFERROR(IF(VLOOKUP(Tabla14[[#This Row],[COD]],Luminous!B:B,1,0)&lt;&gt;"","LM",""),"")</f>
        <v/>
      </c>
      <c r="W58" s="208" t="str">
        <f>IFERROR(IF(VLOOKUP(Tabla14[[#This Row],[COD]],#REF!,1,0)&lt;&gt;"","ST",""),"")</f>
        <v/>
      </c>
    </row>
    <row r="59" spans="2:23" x14ac:dyDescent="0.3">
      <c r="B59" s="208" t="str">
        <f>IF(Tabla14[[#This Row],[COLABORADOR]]="", "", INDEX(Colaboradores!A:A, MATCH(Tabla14[[#This Row],[COLABORADOR]],Colaboradores!C:C, 0)))</f>
        <v>E0246</v>
      </c>
      <c r="C59" s="349" t="s">
        <v>7701</v>
      </c>
      <c r="D59" s="350" t="s">
        <v>5166</v>
      </c>
      <c r="E59" s="351" t="s">
        <v>7657</v>
      </c>
      <c r="F59" s="131" t="s">
        <v>7750</v>
      </c>
      <c r="G59" s="131" t="s">
        <v>7751</v>
      </c>
      <c r="H59" s="352" t="s">
        <v>7752</v>
      </c>
      <c r="I59" s="353">
        <v>46023</v>
      </c>
      <c r="J59" s="354">
        <v>46052</v>
      </c>
      <c r="K59" s="355">
        <v>30</v>
      </c>
      <c r="L59" s="356">
        <v>300</v>
      </c>
      <c r="M59" s="329" t="s">
        <v>7661</v>
      </c>
      <c r="N59" s="208"/>
      <c r="O59" s="208" t="s">
        <v>7662</v>
      </c>
      <c r="P59" s="208"/>
      <c r="Q59" s="208"/>
      <c r="R59" s="208"/>
      <c r="S59" s="208" t="str">
        <f>IFERROR(IF(VLOOKUP(Tabla14[[#This Row],[COD]],'Kotrik Industrial'!B:B,1,0)&lt;&gt;"","KI",""),"")</f>
        <v/>
      </c>
      <c r="T59" s="208" t="str">
        <f>IFERROR(IF(VLOOKUP(Tabla14[[#This Row],[COD]],Tabla5[Cod trabalhador],1,0)&lt;&gt;"","KR",""),"")</f>
        <v/>
      </c>
      <c r="U59" s="208" t="str">
        <f>IFERROR(IF(VLOOKUP(Tabla14[[#This Row],[COD]],Wiseowe!B:B,1,0)&lt;&gt;"","Ws",""),"")</f>
        <v>Ws</v>
      </c>
      <c r="V59" s="208" t="str">
        <f>IFERROR(IF(VLOOKUP(Tabla14[[#This Row],[COD]],Luminous!B:B,1,0)&lt;&gt;"","LM",""),"")</f>
        <v/>
      </c>
      <c r="W59" s="208" t="str">
        <f>IFERROR(IF(VLOOKUP(Tabla14[[#This Row],[COD]],#REF!,1,0)&lt;&gt;"","ST",""),"")</f>
        <v/>
      </c>
    </row>
    <row r="60" spans="2:23" x14ac:dyDescent="0.3">
      <c r="B60" s="208" t="str">
        <f>IF(Tabla14[[#This Row],[COLABORADOR]]="", "", INDEX(Colaboradores!A:A, MATCH(Tabla14[[#This Row],[COLABORADOR]],Colaboradores!C:C, 0)))</f>
        <v>E0392</v>
      </c>
      <c r="C60" s="349" t="s">
        <v>7642</v>
      </c>
      <c r="D60" s="350" t="s">
        <v>5327</v>
      </c>
      <c r="E60" s="351" t="s">
        <v>7657</v>
      </c>
      <c r="F60" s="131" t="s">
        <v>7681</v>
      </c>
      <c r="G60" s="131" t="s">
        <v>7682</v>
      </c>
      <c r="H60" s="352" t="s">
        <v>7422</v>
      </c>
      <c r="I60" s="353">
        <v>46023</v>
      </c>
      <c r="J60" s="354">
        <v>46052</v>
      </c>
      <c r="K60" s="355">
        <v>30</v>
      </c>
      <c r="L60" s="356">
        <v>300</v>
      </c>
      <c r="M60" s="329" t="s">
        <v>7661</v>
      </c>
      <c r="N60" s="208"/>
      <c r="O60" s="208" t="s">
        <v>7662</v>
      </c>
      <c r="P60" s="208"/>
      <c r="Q60" s="208"/>
      <c r="R60" s="208"/>
      <c r="S60" s="208" t="str">
        <f>IFERROR(IF(VLOOKUP(Tabla14[[#This Row],[COD]],'Kotrik Industrial'!B:B,1,0)&lt;&gt;"","KI",""),"")</f>
        <v/>
      </c>
      <c r="T60" s="208" t="str">
        <f>IFERROR(IF(VLOOKUP(Tabla14[[#This Row],[COD]],Tabla5[Cod trabalhador],1,0)&lt;&gt;"","KR",""),"")</f>
        <v>KR</v>
      </c>
      <c r="U60" s="208" t="str">
        <f>IFERROR(IF(VLOOKUP(Tabla14[[#This Row],[COD]],Wiseowe!B:B,1,0)&lt;&gt;"","Ws",""),"")</f>
        <v/>
      </c>
      <c r="V60" s="208" t="str">
        <f>IFERROR(IF(VLOOKUP(Tabla14[[#This Row],[COD]],Luminous!B:B,1,0)&lt;&gt;"","LM",""),"")</f>
        <v/>
      </c>
      <c r="W60" s="208" t="str">
        <f>IFERROR(IF(VLOOKUP(Tabla14[[#This Row],[COD]],#REF!,1,0)&lt;&gt;"","ST",""),"")</f>
        <v/>
      </c>
    </row>
    <row r="61" spans="2:23" x14ac:dyDescent="0.3">
      <c r="B61" s="208" t="str">
        <f>IF(Tabla14[[#This Row],[COLABORADOR]]="", "", INDEX(Colaboradores!A:A, MATCH(Tabla14[[#This Row],[COLABORADOR]],Colaboradores!C:C, 0)))</f>
        <v>E0273</v>
      </c>
      <c r="C61" s="349" t="s">
        <v>7642</v>
      </c>
      <c r="D61" s="350" t="s">
        <v>5439</v>
      </c>
      <c r="E61" s="351" t="s">
        <v>7657</v>
      </c>
      <c r="F61" s="131" t="s">
        <v>7663</v>
      </c>
      <c r="G61" s="131" t="s">
        <v>7753</v>
      </c>
      <c r="H61" s="352" t="s">
        <v>7577</v>
      </c>
      <c r="I61" s="353">
        <v>46023</v>
      </c>
      <c r="J61" s="354">
        <v>46052</v>
      </c>
      <c r="K61" s="355">
        <v>30</v>
      </c>
      <c r="L61" s="356">
        <v>300</v>
      </c>
      <c r="M61" s="329" t="s">
        <v>7661</v>
      </c>
      <c r="N61" s="208"/>
      <c r="O61" s="208" t="s">
        <v>7662</v>
      </c>
      <c r="P61" s="208"/>
      <c r="Q61" s="208"/>
      <c r="R61" s="208"/>
      <c r="S61" s="208" t="str">
        <f>IFERROR(IF(VLOOKUP(Tabla14[[#This Row],[COD]],'Kotrik Industrial'!B:B,1,0)&lt;&gt;"","KI",""),"")</f>
        <v/>
      </c>
      <c r="T61" s="208" t="str">
        <f>IFERROR(IF(VLOOKUP(Tabla14[[#This Row],[COD]],Tabla5[Cod trabalhador],1,0)&lt;&gt;"","KR",""),"")</f>
        <v/>
      </c>
      <c r="U61" s="208" t="str">
        <f>IFERROR(IF(VLOOKUP(Tabla14[[#This Row],[COD]],Wiseowe!B:B,1,0)&lt;&gt;"","Ws",""),"")</f>
        <v>Ws</v>
      </c>
      <c r="V61" s="208" t="str">
        <f>IFERROR(IF(VLOOKUP(Tabla14[[#This Row],[COD]],Luminous!B:B,1,0)&lt;&gt;"","LM",""),"")</f>
        <v/>
      </c>
      <c r="W61" s="208" t="str">
        <f>IFERROR(IF(VLOOKUP(Tabla14[[#This Row],[COD]],#REF!,1,0)&lt;&gt;"","ST",""),"")</f>
        <v/>
      </c>
    </row>
    <row r="62" spans="2:23" x14ac:dyDescent="0.3">
      <c r="B62" s="208" t="str">
        <f>IF(Tabla14[[#This Row],[COLABORADOR]]="", "", INDEX(Colaboradores!A:A, MATCH(Tabla14[[#This Row],[COLABORADOR]],Colaboradores!C:C, 0)))</f>
        <v>E0447</v>
      </c>
      <c r="C62" s="349" t="s">
        <v>7626</v>
      </c>
      <c r="D62" s="350" t="s">
        <v>5525</v>
      </c>
      <c r="E62" s="351" t="s">
        <v>7657</v>
      </c>
      <c r="F62" s="131" t="s">
        <v>7666</v>
      </c>
      <c r="G62" s="131" t="s">
        <v>7754</v>
      </c>
      <c r="H62" s="352" t="s">
        <v>7432</v>
      </c>
      <c r="I62" s="353">
        <v>46023</v>
      </c>
      <c r="J62" s="354">
        <v>46052</v>
      </c>
      <c r="K62" s="355">
        <v>30</v>
      </c>
      <c r="L62" s="356">
        <v>300</v>
      </c>
      <c r="M62" s="329" t="s">
        <v>7661</v>
      </c>
      <c r="N62" s="208" t="s">
        <v>7755</v>
      </c>
      <c r="O62" s="208" t="s">
        <v>7662</v>
      </c>
      <c r="P62" s="208"/>
      <c r="Q62" s="208"/>
      <c r="R62" s="208"/>
      <c r="S62" s="208" t="str">
        <f>IFERROR(IF(VLOOKUP(Tabla14[[#This Row],[COD]],'Kotrik Industrial'!B:B,1,0)&lt;&gt;"","KI",""),"")</f>
        <v/>
      </c>
      <c r="T62" s="208" t="str">
        <f>IFERROR(IF(VLOOKUP(Tabla14[[#This Row],[COD]],Tabla5[Cod trabalhador],1,0)&lt;&gt;"","KR",""),"")</f>
        <v>KR</v>
      </c>
      <c r="U62" s="208" t="str">
        <f>IFERROR(IF(VLOOKUP(Tabla14[[#This Row],[COD]],Wiseowe!B:B,1,0)&lt;&gt;"","Ws",""),"")</f>
        <v/>
      </c>
      <c r="V62" s="208" t="str">
        <f>IFERROR(IF(VLOOKUP(Tabla14[[#This Row],[COD]],Luminous!B:B,1,0)&lt;&gt;"","LM",""),"")</f>
        <v/>
      </c>
      <c r="W62" s="208" t="str">
        <f>IFERROR(IF(VLOOKUP(Tabla14[[#This Row],[COD]],#REF!,1,0)&lt;&gt;"","ST",""),"")</f>
        <v/>
      </c>
    </row>
    <row r="63" spans="2:23" x14ac:dyDescent="0.3">
      <c r="B63" s="208" t="str">
        <f>IF(Tabla14[[#This Row],[COLABORADOR]]="", "", INDEX(Colaboradores!A:A, MATCH(Tabla14[[#This Row],[COLABORADOR]],Colaboradores!C:C, 0)))</f>
        <v>E0400</v>
      </c>
      <c r="C63" s="349" t="s">
        <v>7642</v>
      </c>
      <c r="D63" s="350" t="s">
        <v>5529</v>
      </c>
      <c r="E63" s="351" t="s">
        <v>7657</v>
      </c>
      <c r="F63" s="131" t="s">
        <v>7681</v>
      </c>
      <c r="G63" s="131" t="s">
        <v>7756</v>
      </c>
      <c r="H63" s="352" t="s">
        <v>7422</v>
      </c>
      <c r="I63" s="353">
        <v>46023</v>
      </c>
      <c r="J63" s="354">
        <v>46052</v>
      </c>
      <c r="K63" s="355">
        <v>30</v>
      </c>
      <c r="L63" s="356">
        <v>300</v>
      </c>
      <c r="M63" s="329" t="s">
        <v>7661</v>
      </c>
      <c r="N63" s="208"/>
      <c r="O63" s="208" t="s">
        <v>7662</v>
      </c>
      <c r="P63" s="208"/>
      <c r="Q63" s="208"/>
      <c r="R63" s="208"/>
      <c r="S63" s="208" t="str">
        <f>IFERROR(IF(VLOOKUP(Tabla14[[#This Row],[COD]],'Kotrik Industrial'!B:B,1,0)&lt;&gt;"","KI",""),"")</f>
        <v/>
      </c>
      <c r="T63" s="208" t="str">
        <f>IFERROR(IF(VLOOKUP(Tabla14[[#This Row],[COD]],Tabla5[Cod trabalhador],1,0)&lt;&gt;"","KR",""),"")</f>
        <v>KR</v>
      </c>
      <c r="U63" s="208" t="str">
        <f>IFERROR(IF(VLOOKUP(Tabla14[[#This Row],[COD]],Wiseowe!B:B,1,0)&lt;&gt;"","Ws",""),"")</f>
        <v/>
      </c>
      <c r="V63" s="208" t="str">
        <f>IFERROR(IF(VLOOKUP(Tabla14[[#This Row],[COD]],Luminous!B:B,1,0)&lt;&gt;"","LM",""),"")</f>
        <v/>
      </c>
      <c r="W63" s="208" t="str">
        <f>IFERROR(IF(VLOOKUP(Tabla14[[#This Row],[COD]],#REF!,1,0)&lt;&gt;"","ST",""),"")</f>
        <v/>
      </c>
    </row>
    <row r="64" spans="2:23" x14ac:dyDescent="0.3">
      <c r="B64" s="208" t="str">
        <f>IF(Tabla14[[#This Row],[COLABORADOR]]="", "", INDEX(Colaboradores!A:A, MATCH(Tabla14[[#This Row],[COLABORADOR]],Colaboradores!C:C, 0)))</f>
        <v>E0367</v>
      </c>
      <c r="C64" s="349" t="s">
        <v>7642</v>
      </c>
      <c r="D64" s="350" t="s">
        <v>5580</v>
      </c>
      <c r="E64" s="351" t="s">
        <v>7657</v>
      </c>
      <c r="F64" s="131" t="s">
        <v>7395</v>
      </c>
      <c r="G64" s="131" t="s">
        <v>7700</v>
      </c>
      <c r="H64" s="352" t="s">
        <v>7629</v>
      </c>
      <c r="I64" s="353">
        <v>46023</v>
      </c>
      <c r="J64" s="354">
        <v>46052</v>
      </c>
      <c r="K64" s="355">
        <v>30</v>
      </c>
      <c r="L64" s="356">
        <v>300</v>
      </c>
      <c r="M64" s="329" t="s">
        <v>7661</v>
      </c>
      <c r="N64" s="208" t="s">
        <v>7757</v>
      </c>
      <c r="O64" s="208" t="s">
        <v>7662</v>
      </c>
      <c r="P64" s="208"/>
      <c r="Q64" s="208"/>
      <c r="R64" s="208"/>
      <c r="S64" s="208" t="str">
        <f>IFERROR(IF(VLOOKUP(Tabla14[[#This Row],[COD]],'Kotrik Industrial'!B:B,1,0)&lt;&gt;"","KI",""),"")</f>
        <v/>
      </c>
      <c r="T64" s="208" t="str">
        <f>IFERROR(IF(VLOOKUP(Tabla14[[#This Row],[COD]],Tabla5[Cod trabalhador],1,0)&lt;&gt;"","KR",""),"")</f>
        <v/>
      </c>
      <c r="U64" s="208" t="str">
        <f>IFERROR(IF(VLOOKUP(Tabla14[[#This Row],[COD]],Wiseowe!B:B,1,0)&lt;&gt;"","Ws",""),"")</f>
        <v>Ws</v>
      </c>
      <c r="V64" s="208" t="str">
        <f>IFERROR(IF(VLOOKUP(Tabla14[[#This Row],[COD]],Luminous!B:B,1,0)&lt;&gt;"","LM",""),"")</f>
        <v/>
      </c>
      <c r="W64" s="208" t="str">
        <f>IFERROR(IF(VLOOKUP(Tabla14[[#This Row],[COD]],#REF!,1,0)&lt;&gt;"","ST",""),"")</f>
        <v/>
      </c>
    </row>
    <row r="65" spans="2:23" x14ac:dyDescent="0.3">
      <c r="B65" s="208" t="str">
        <f>IF(Tabla14[[#This Row],[COLABORADOR]]="", "", INDEX(Colaboradores!A:A, MATCH(Tabla14[[#This Row],[COLABORADOR]],Colaboradores!C:C, 0)))</f>
        <v>E0371</v>
      </c>
      <c r="C65" s="349" t="s">
        <v>7642</v>
      </c>
      <c r="D65" s="350" t="s">
        <v>5618</v>
      </c>
      <c r="E65" s="351" t="s">
        <v>7657</v>
      </c>
      <c r="F65" s="131" t="s">
        <v>7395</v>
      </c>
      <c r="G65" s="131" t="s">
        <v>7700</v>
      </c>
      <c r="H65" s="352" t="s">
        <v>7629</v>
      </c>
      <c r="I65" s="353">
        <v>46023</v>
      </c>
      <c r="J65" s="354">
        <v>46052</v>
      </c>
      <c r="K65" s="355">
        <v>30</v>
      </c>
      <c r="L65" s="356">
        <v>300</v>
      </c>
      <c r="M65" s="329" t="s">
        <v>7661</v>
      </c>
      <c r="N65" s="208"/>
      <c r="O65" s="208" t="s">
        <v>7662</v>
      </c>
      <c r="P65" s="208"/>
      <c r="Q65" s="208"/>
      <c r="R65" s="208"/>
      <c r="S65" s="208" t="str">
        <f>IFERROR(IF(VLOOKUP(Tabla14[[#This Row],[COD]],'Kotrik Industrial'!B:B,1,0)&lt;&gt;"","KI",""),"")</f>
        <v/>
      </c>
      <c r="T65" s="208" t="str">
        <f>IFERROR(IF(VLOOKUP(Tabla14[[#This Row],[COD]],Tabla5[Cod trabalhador],1,0)&lt;&gt;"","KR",""),"")</f>
        <v/>
      </c>
      <c r="U65" s="208" t="str">
        <f>IFERROR(IF(VLOOKUP(Tabla14[[#This Row],[COD]],Wiseowe!B:B,1,0)&lt;&gt;"","Ws",""),"")</f>
        <v>Ws</v>
      </c>
      <c r="V65" s="208" t="str">
        <f>IFERROR(IF(VLOOKUP(Tabla14[[#This Row],[COD]],Luminous!B:B,1,0)&lt;&gt;"","LM",""),"")</f>
        <v/>
      </c>
      <c r="W65" s="208" t="str">
        <f>IFERROR(IF(VLOOKUP(Tabla14[[#This Row],[COD]],#REF!,1,0)&lt;&gt;"","ST",""),"")</f>
        <v/>
      </c>
    </row>
    <row r="66" spans="2:23" x14ac:dyDescent="0.3">
      <c r="B66" s="208" t="str">
        <f>IF(Tabla14[[#This Row],[COLABORADOR]]="", "", INDEX(Colaboradores!A:A, MATCH(Tabla14[[#This Row],[COLABORADOR]],Colaboradores!C:C, 0)))</f>
        <v>E1800</v>
      </c>
      <c r="C66" s="349" t="s">
        <v>7626</v>
      </c>
      <c r="D66" s="350" t="s">
        <v>5693</v>
      </c>
      <c r="E66" s="351" t="s">
        <v>7668</v>
      </c>
      <c r="F66" s="131" t="s">
        <v>7677</v>
      </c>
      <c r="G66" s="131" t="s">
        <v>7758</v>
      </c>
      <c r="H66" s="352" t="s">
        <v>7759</v>
      </c>
      <c r="I66" s="353">
        <v>46035</v>
      </c>
      <c r="J66" s="354">
        <v>46052</v>
      </c>
      <c r="K66" s="355">
        <v>18</v>
      </c>
      <c r="L66" s="356">
        <v>180</v>
      </c>
      <c r="M66" s="329" t="s">
        <v>7661</v>
      </c>
      <c r="N66" s="208"/>
      <c r="O66" s="208" t="s">
        <v>7662</v>
      </c>
      <c r="P66" s="208"/>
      <c r="Q66" s="208"/>
      <c r="R66" s="208"/>
      <c r="S66" s="208" t="str">
        <f>IFERROR(IF(VLOOKUP(Tabla14[[#This Row],[COD]],'Kotrik Industrial'!B:B,1,0)&lt;&gt;"","KI",""),"")</f>
        <v>KI</v>
      </c>
      <c r="T66" s="208" t="str">
        <f>IFERROR(IF(VLOOKUP(Tabla14[[#This Row],[COD]],Tabla5[Cod trabalhador],1,0)&lt;&gt;"","KR",""),"")</f>
        <v/>
      </c>
      <c r="U66" s="208" t="str">
        <f>IFERROR(IF(VLOOKUP(Tabla14[[#This Row],[COD]],Wiseowe!B:B,1,0)&lt;&gt;"","Ws",""),"")</f>
        <v/>
      </c>
      <c r="V66" s="208" t="str">
        <f>IFERROR(IF(VLOOKUP(Tabla14[[#This Row],[COD]],Luminous!B:B,1,0)&lt;&gt;"","LM",""),"")</f>
        <v/>
      </c>
      <c r="W66" s="208" t="str">
        <f>IFERROR(IF(VLOOKUP(Tabla14[[#This Row],[COD]],#REF!,1,0)&lt;&gt;"","ST",""),"")</f>
        <v/>
      </c>
    </row>
    <row r="67" spans="2:23" x14ac:dyDescent="0.3">
      <c r="B67" s="208" t="str">
        <f>IF(Tabla14[[#This Row],[COLABORADOR]]="", "", INDEX(Colaboradores!A:A, MATCH(Tabla14[[#This Row],[COLABORADOR]],Colaboradores!C:C, 0)))</f>
        <v>E1816</v>
      </c>
      <c r="C67" s="349" t="s">
        <v>7642</v>
      </c>
      <c r="D67" s="350" t="s">
        <v>5823</v>
      </c>
      <c r="E67" s="351" t="s">
        <v>7668</v>
      </c>
      <c r="F67" s="131" t="s">
        <v>7663</v>
      </c>
      <c r="G67" s="131" t="s">
        <v>7760</v>
      </c>
      <c r="H67" s="352" t="s">
        <v>7577</v>
      </c>
      <c r="I67" s="353">
        <v>46023</v>
      </c>
      <c r="J67" s="354">
        <v>46052</v>
      </c>
      <c r="K67" s="355">
        <v>30</v>
      </c>
      <c r="L67" s="356">
        <v>300</v>
      </c>
      <c r="M67" s="329" t="s">
        <v>7661</v>
      </c>
      <c r="N67" s="208" t="s">
        <v>7761</v>
      </c>
      <c r="O67" s="208" t="s">
        <v>7662</v>
      </c>
      <c r="P67" s="208"/>
      <c r="Q67" s="208"/>
      <c r="R67" s="208"/>
      <c r="S67" s="208" t="str">
        <f>IFERROR(IF(VLOOKUP(Tabla14[[#This Row],[COD]],'Kotrik Industrial'!B:B,1,0)&lt;&gt;"","KI",""),"")</f>
        <v/>
      </c>
      <c r="T67" s="208" t="str">
        <f>IFERROR(IF(VLOOKUP(Tabla14[[#This Row],[COD]],Tabla5[Cod trabalhador],1,0)&lt;&gt;"","KR",""),"")</f>
        <v/>
      </c>
      <c r="U67" s="208" t="str">
        <f>IFERROR(IF(VLOOKUP(Tabla14[[#This Row],[COD]],Wiseowe!B:B,1,0)&lt;&gt;"","Ws",""),"")</f>
        <v>Ws</v>
      </c>
      <c r="V67" s="208" t="str">
        <f>IFERROR(IF(VLOOKUP(Tabla14[[#This Row],[COD]],Luminous!B:B,1,0)&lt;&gt;"","LM",""),"")</f>
        <v/>
      </c>
      <c r="W67" s="208" t="str">
        <f>IFERROR(IF(VLOOKUP(Tabla14[[#This Row],[COD]],#REF!,1,0)&lt;&gt;"","ST",""),"")</f>
        <v/>
      </c>
    </row>
    <row r="68" spans="2:23" x14ac:dyDescent="0.3">
      <c r="B68" s="208" t="str">
        <f>IF(Tabla14[[#This Row],[COLABORADOR]]="", "", INDEX(Colaboradores!A:A, MATCH(Tabla14[[#This Row],[COLABORADOR]],Colaboradores!C:C, 0)))</f>
        <v>E0264</v>
      </c>
      <c r="C68" s="349" t="s">
        <v>7642</v>
      </c>
      <c r="D68" s="350" t="s">
        <v>5866</v>
      </c>
      <c r="E68" s="351" t="s">
        <v>7657</v>
      </c>
      <c r="F68" s="131" t="s">
        <v>7663</v>
      </c>
      <c r="G68" s="131">
        <v>2023</v>
      </c>
      <c r="H68" s="352" t="s">
        <v>7577</v>
      </c>
      <c r="I68" s="353">
        <v>46023</v>
      </c>
      <c r="J68" s="354">
        <v>46052</v>
      </c>
      <c r="K68" s="355">
        <v>30</v>
      </c>
      <c r="L68" s="356">
        <v>300</v>
      </c>
      <c r="M68" s="329" t="s">
        <v>7661</v>
      </c>
      <c r="N68" s="208" t="s">
        <v>7762</v>
      </c>
      <c r="O68" s="208" t="s">
        <v>7662</v>
      </c>
      <c r="P68" s="208"/>
      <c r="Q68" s="208"/>
      <c r="R68" s="208"/>
      <c r="S68" s="208" t="str">
        <f>IFERROR(IF(VLOOKUP(Tabla14[[#This Row],[COD]],'Kotrik Industrial'!B:B,1,0)&lt;&gt;"","KI",""),"")</f>
        <v/>
      </c>
      <c r="T68" s="208" t="str">
        <f>IFERROR(IF(VLOOKUP(Tabla14[[#This Row],[COD]],Tabla5[Cod trabalhador],1,0)&lt;&gt;"","KR",""),"")</f>
        <v/>
      </c>
      <c r="U68" s="208" t="str">
        <f>IFERROR(IF(VLOOKUP(Tabla14[[#This Row],[COD]],Wiseowe!B:B,1,0)&lt;&gt;"","Ws",""),"")</f>
        <v>Ws</v>
      </c>
      <c r="V68" s="208" t="str">
        <f>IFERROR(IF(VLOOKUP(Tabla14[[#This Row],[COD]],Luminous!B:B,1,0)&lt;&gt;"","LM",""),"")</f>
        <v/>
      </c>
      <c r="W68" s="208" t="str">
        <f>IFERROR(IF(VLOOKUP(Tabla14[[#This Row],[COD]],#REF!,1,0)&lt;&gt;"","ST",""),"")</f>
        <v/>
      </c>
    </row>
    <row r="69" spans="2:23" x14ac:dyDescent="0.3">
      <c r="B69" s="208" t="str">
        <f>IF(Tabla14[[#This Row],[COLABORADOR]]="", "", INDEX(Colaboradores!A:A, MATCH(Tabla14[[#This Row],[COLABORADOR]],Colaboradores!C:C, 0)))</f>
        <v>E0081</v>
      </c>
      <c r="C69" s="349" t="s">
        <v>7642</v>
      </c>
      <c r="D69" s="350" t="s">
        <v>6129</v>
      </c>
      <c r="E69" s="351" t="s">
        <v>7657</v>
      </c>
      <c r="F69" s="131" t="s">
        <v>7739</v>
      </c>
      <c r="G69" s="131" t="s">
        <v>7763</v>
      </c>
      <c r="H69" s="352" t="s">
        <v>7741</v>
      </c>
      <c r="I69" s="353">
        <v>46037</v>
      </c>
      <c r="J69" s="354">
        <v>46048</v>
      </c>
      <c r="K69" s="355">
        <v>12</v>
      </c>
      <c r="L69" s="356">
        <v>120</v>
      </c>
      <c r="M69" s="329" t="s">
        <v>7661</v>
      </c>
      <c r="N69" s="208" t="s">
        <v>7742</v>
      </c>
      <c r="O69" s="208" t="s">
        <v>7697</v>
      </c>
      <c r="P69" s="208"/>
      <c r="Q69" s="208"/>
      <c r="R69" s="208"/>
      <c r="S69" s="208" t="str">
        <f>IFERROR(IF(VLOOKUP(Tabla14[[#This Row],[COD]],'Kotrik Industrial'!B:B,1,0)&lt;&gt;"","KI",""),"")</f>
        <v/>
      </c>
      <c r="T69" s="208" t="str">
        <f>IFERROR(IF(VLOOKUP(Tabla14[[#This Row],[COD]],Tabla5[Cod trabalhador],1,0)&lt;&gt;"","KR",""),"")</f>
        <v/>
      </c>
      <c r="U69" s="208" t="str">
        <f>IFERROR(IF(VLOOKUP(Tabla14[[#This Row],[COD]],Wiseowe!B:B,1,0)&lt;&gt;"","Ws",""),"")</f>
        <v>Ws</v>
      </c>
      <c r="V69" s="208" t="str">
        <f>IFERROR(IF(VLOOKUP(Tabla14[[#This Row],[COD]],Luminous!B:B,1,0)&lt;&gt;"","LM",""),"")</f>
        <v/>
      </c>
      <c r="W69" s="208" t="str">
        <f>IFERROR(IF(VLOOKUP(Tabla14[[#This Row],[COD]],#REF!,1,0)&lt;&gt;"","ST",""),"")</f>
        <v/>
      </c>
    </row>
    <row r="70" spans="2:23" x14ac:dyDescent="0.3">
      <c r="B70" s="208" t="str">
        <f>IF(Tabla14[[#This Row],[COLABORADOR]]="", "", INDEX(Colaboradores!A:A, MATCH(Tabla14[[#This Row],[COLABORADOR]],Colaboradores!C:C, 0)))</f>
        <v>E0080</v>
      </c>
      <c r="C70" s="349" t="s">
        <v>7642</v>
      </c>
      <c r="D70" s="350" t="s">
        <v>6136</v>
      </c>
      <c r="E70" s="351" t="s">
        <v>7657</v>
      </c>
      <c r="F70" s="131" t="s">
        <v>7739</v>
      </c>
      <c r="G70" s="131" t="s">
        <v>7763</v>
      </c>
      <c r="H70" s="352" t="s">
        <v>7741</v>
      </c>
      <c r="I70" s="353">
        <v>46037</v>
      </c>
      <c r="J70" s="354">
        <v>46048</v>
      </c>
      <c r="K70" s="355">
        <v>12</v>
      </c>
      <c r="L70" s="356">
        <v>120</v>
      </c>
      <c r="M70" s="329" t="s">
        <v>7661</v>
      </c>
      <c r="N70" s="208" t="s">
        <v>7764</v>
      </c>
      <c r="O70" s="208" t="s">
        <v>7697</v>
      </c>
      <c r="P70" s="208"/>
      <c r="Q70" s="208"/>
      <c r="R70" s="208"/>
      <c r="S70" s="208" t="str">
        <f>IFERROR(IF(VLOOKUP(Tabla14[[#This Row],[COD]],'Kotrik Industrial'!B:B,1,0)&lt;&gt;"","KI",""),"")</f>
        <v/>
      </c>
      <c r="T70" s="208" t="str">
        <f>IFERROR(IF(VLOOKUP(Tabla14[[#This Row],[COD]],Tabla5[Cod trabalhador],1,0)&lt;&gt;"","KR",""),"")</f>
        <v/>
      </c>
      <c r="U70" s="208" t="str">
        <f>IFERROR(IF(VLOOKUP(Tabla14[[#This Row],[COD]],Wiseowe!B:B,1,0)&lt;&gt;"","Ws",""),"")</f>
        <v>Ws</v>
      </c>
      <c r="V70" s="208" t="str">
        <f>IFERROR(IF(VLOOKUP(Tabla14[[#This Row],[COD]],Luminous!B:B,1,0)&lt;&gt;"","LM",""),"")</f>
        <v/>
      </c>
      <c r="W70" s="208" t="str">
        <f>IFERROR(IF(VLOOKUP(Tabla14[[#This Row],[COD]],#REF!,1,0)&lt;&gt;"","ST",""),"")</f>
        <v/>
      </c>
    </row>
    <row r="71" spans="2:23" x14ac:dyDescent="0.3">
      <c r="B71" s="208" t="str">
        <f>IF(Tabla14[[#This Row],[COLABORADOR]]="", "", INDEX(Colaboradores!A:A, MATCH(Tabla14[[#This Row],[COLABORADOR]],Colaboradores!C:C, 0)))</f>
        <v>E0446</v>
      </c>
      <c r="C71" s="349" t="s">
        <v>7626</v>
      </c>
      <c r="D71" s="350" t="s">
        <v>6333</v>
      </c>
      <c r="E71" s="351" t="s">
        <v>7657</v>
      </c>
      <c r="F71" s="131" t="s">
        <v>7666</v>
      </c>
      <c r="G71" s="131" t="s">
        <v>7765</v>
      </c>
      <c r="H71" s="352" t="s">
        <v>7432</v>
      </c>
      <c r="I71" s="353">
        <v>46023</v>
      </c>
      <c r="J71" s="354">
        <v>46052</v>
      </c>
      <c r="K71" s="355">
        <v>30</v>
      </c>
      <c r="L71" s="356">
        <v>300</v>
      </c>
      <c r="M71" s="329" t="s">
        <v>7661</v>
      </c>
      <c r="N71" s="208"/>
      <c r="O71" s="208" t="s">
        <v>7662</v>
      </c>
      <c r="P71" s="208"/>
      <c r="Q71" s="208"/>
      <c r="R71" s="208"/>
      <c r="S71" s="208" t="str">
        <f>IFERROR(IF(VLOOKUP(Tabla14[[#This Row],[COD]],'Kotrik Industrial'!B:B,1,0)&lt;&gt;"","KI",""),"")</f>
        <v/>
      </c>
      <c r="T71" s="208" t="str">
        <f>IFERROR(IF(VLOOKUP(Tabla14[[#This Row],[COD]],Tabla5[Cod trabalhador],1,0)&lt;&gt;"","KR",""),"")</f>
        <v>KR</v>
      </c>
      <c r="U71" s="208" t="str">
        <f>IFERROR(IF(VLOOKUP(Tabla14[[#This Row],[COD]],Wiseowe!B:B,1,0)&lt;&gt;"","Ws",""),"")</f>
        <v/>
      </c>
      <c r="V71" s="208" t="str">
        <f>IFERROR(IF(VLOOKUP(Tabla14[[#This Row],[COD]],Luminous!B:B,1,0)&lt;&gt;"","LM",""),"")</f>
        <v/>
      </c>
      <c r="W71" s="208" t="str">
        <f>IFERROR(IF(VLOOKUP(Tabla14[[#This Row],[COD]],#REF!,1,0)&lt;&gt;"","ST",""),"")</f>
        <v/>
      </c>
    </row>
    <row r="72" spans="2:23" x14ac:dyDescent="0.3">
      <c r="B72" s="208" t="str">
        <f>IF(Tabla14[[#This Row],[COLABORADOR]]="", "", INDEX(Colaboradores!A:A, MATCH(Tabla14[[#This Row],[COLABORADOR]],Colaboradores!C:C, 0)))</f>
        <v>E0583</v>
      </c>
      <c r="C72" s="349" t="s">
        <v>7642</v>
      </c>
      <c r="D72" s="350" t="s">
        <v>6375</v>
      </c>
      <c r="E72" s="351" t="s">
        <v>7657</v>
      </c>
      <c r="F72" s="131" t="s">
        <v>7766</v>
      </c>
      <c r="G72" s="131">
        <v>2023</v>
      </c>
      <c r="H72" s="352" t="s">
        <v>7767</v>
      </c>
      <c r="I72" s="353">
        <v>46023</v>
      </c>
      <c r="J72" s="354">
        <v>46052</v>
      </c>
      <c r="K72" s="355">
        <v>30</v>
      </c>
      <c r="L72" s="356">
        <v>300</v>
      </c>
      <c r="M72" s="329" t="s">
        <v>7661</v>
      </c>
      <c r="N72" s="208"/>
      <c r="O72" s="208" t="s">
        <v>7662</v>
      </c>
      <c r="P72" s="208"/>
      <c r="Q72" s="208"/>
      <c r="R72" s="208"/>
      <c r="S72" s="208" t="str">
        <f>IFERROR(IF(VLOOKUP(Tabla14[[#This Row],[COD]],'Kotrik Industrial'!B:B,1,0)&lt;&gt;"","KI",""),"")</f>
        <v/>
      </c>
      <c r="T72" s="208" t="str">
        <f>IFERROR(IF(VLOOKUP(Tabla14[[#This Row],[COD]],Tabla5[Cod trabalhador],1,0)&lt;&gt;"","KR",""),"")</f>
        <v/>
      </c>
      <c r="U72" s="208" t="str">
        <f>IFERROR(IF(VLOOKUP(Tabla14[[#This Row],[COD]],Wiseowe!B:B,1,0)&lt;&gt;"","Ws",""),"")</f>
        <v>Ws</v>
      </c>
      <c r="V72" s="208" t="str">
        <f>IFERROR(IF(VLOOKUP(Tabla14[[#This Row],[COD]],Luminous!B:B,1,0)&lt;&gt;"","LM",""),"")</f>
        <v/>
      </c>
      <c r="W72" s="208" t="str">
        <f>IFERROR(IF(VLOOKUP(Tabla14[[#This Row],[COD]],#REF!,1,0)&lt;&gt;"","ST",""),"")</f>
        <v/>
      </c>
    </row>
    <row r="73" spans="2:23" x14ac:dyDescent="0.3">
      <c r="B73" s="208" t="str">
        <f>IF(Tabla14[[#This Row],[COLABORADOR]]="", "", INDEX(Colaboradores!A:A, MATCH(Tabla14[[#This Row],[COLABORADOR]],Colaboradores!C:C, 0)))</f>
        <v>E0393</v>
      </c>
      <c r="C73" s="349" t="s">
        <v>7642</v>
      </c>
      <c r="D73" s="350" t="s">
        <v>6468</v>
      </c>
      <c r="E73" s="351" t="s">
        <v>7657</v>
      </c>
      <c r="F73" s="131" t="s">
        <v>7681</v>
      </c>
      <c r="G73" s="131" t="s">
        <v>7756</v>
      </c>
      <c r="H73" s="352" t="s">
        <v>7422</v>
      </c>
      <c r="I73" s="353">
        <v>46023</v>
      </c>
      <c r="J73" s="354">
        <v>46052</v>
      </c>
      <c r="K73" s="355">
        <v>30</v>
      </c>
      <c r="L73" s="356">
        <v>300</v>
      </c>
      <c r="M73" s="329" t="s">
        <v>7661</v>
      </c>
      <c r="N73" s="208"/>
      <c r="O73" s="208" t="s">
        <v>7662</v>
      </c>
      <c r="P73" s="208"/>
      <c r="Q73" s="208"/>
      <c r="R73" s="208"/>
      <c r="S73" s="208" t="str">
        <f>IFERROR(IF(VLOOKUP(Tabla14[[#This Row],[COD]],'Kotrik Industrial'!B:B,1,0)&lt;&gt;"","KI",""),"")</f>
        <v/>
      </c>
      <c r="T73" s="208" t="str">
        <f>IFERROR(IF(VLOOKUP(Tabla14[[#This Row],[COD]],Tabla5[Cod trabalhador],1,0)&lt;&gt;"","KR",""),"")</f>
        <v>KR</v>
      </c>
      <c r="U73" s="208" t="str">
        <f>IFERROR(IF(VLOOKUP(Tabla14[[#This Row],[COD]],Wiseowe!B:B,1,0)&lt;&gt;"","Ws",""),"")</f>
        <v/>
      </c>
      <c r="V73" s="208" t="str">
        <f>IFERROR(IF(VLOOKUP(Tabla14[[#This Row],[COD]],Luminous!B:B,1,0)&lt;&gt;"","LM",""),"")</f>
        <v/>
      </c>
      <c r="W73" s="208" t="str">
        <f>IFERROR(IF(VLOOKUP(Tabla14[[#This Row],[COD]],#REF!,1,0)&lt;&gt;"","ST",""),"")</f>
        <v/>
      </c>
    </row>
    <row r="74" spans="2:23" x14ac:dyDescent="0.3">
      <c r="B74" s="208" t="str">
        <f>IF(Tabla14[[#This Row],[COLABORADOR]]="", "", INDEX(Colaboradores!A:A, MATCH(Tabla14[[#This Row],[COLABORADOR]],Colaboradores!C:C, 0)))</f>
        <v>E1301</v>
      </c>
      <c r="C74" s="349" t="s">
        <v>7642</v>
      </c>
      <c r="D74" s="350" t="s">
        <v>6472</v>
      </c>
      <c r="E74" s="351" t="s">
        <v>7657</v>
      </c>
      <c r="F74" s="131" t="s">
        <v>7663</v>
      </c>
      <c r="G74" s="131" t="s">
        <v>7768</v>
      </c>
      <c r="H74" s="352" t="s">
        <v>7577</v>
      </c>
      <c r="I74" s="353">
        <v>46023</v>
      </c>
      <c r="J74" s="354">
        <v>46052</v>
      </c>
      <c r="K74" s="355">
        <v>30</v>
      </c>
      <c r="L74" s="356">
        <v>300</v>
      </c>
      <c r="M74" s="329" t="s">
        <v>7661</v>
      </c>
      <c r="N74" s="208"/>
      <c r="O74" s="208" t="s">
        <v>7662</v>
      </c>
      <c r="P74" s="208"/>
      <c r="Q74" s="208"/>
      <c r="R74" s="208"/>
      <c r="S74" s="208" t="str">
        <f>IFERROR(IF(VLOOKUP(Tabla14[[#This Row],[COD]],'Kotrik Industrial'!B:B,1,0)&lt;&gt;"","KI",""),"")</f>
        <v/>
      </c>
      <c r="T74" s="208" t="str">
        <f>IFERROR(IF(VLOOKUP(Tabla14[[#This Row],[COD]],Tabla5[Cod trabalhador],1,0)&lt;&gt;"","KR",""),"")</f>
        <v/>
      </c>
      <c r="U74" s="208" t="str">
        <f>IFERROR(IF(VLOOKUP(Tabla14[[#This Row],[COD]],Wiseowe!B:B,1,0)&lt;&gt;"","Ws",""),"")</f>
        <v>Ws</v>
      </c>
      <c r="V74" s="208" t="str">
        <f>IFERROR(IF(VLOOKUP(Tabla14[[#This Row],[COD]],Luminous!B:B,1,0)&lt;&gt;"","LM",""),"")</f>
        <v/>
      </c>
      <c r="W74" s="208" t="str">
        <f>IFERROR(IF(VLOOKUP(Tabla14[[#This Row],[COD]],#REF!,1,0)&lt;&gt;"","ST",""),"")</f>
        <v/>
      </c>
    </row>
    <row r="75" spans="2:23" x14ac:dyDescent="0.3">
      <c r="B75" s="208" t="str">
        <f>IF(Tabla14[[#This Row],[COLABORADOR]]="", "", INDEX(Colaboradores!A:A, MATCH(Tabla14[[#This Row],[COLABORADOR]],Colaboradores!C:C, 0)))</f>
        <v>E0577</v>
      </c>
      <c r="C75" s="349" t="s">
        <v>7642</v>
      </c>
      <c r="D75" s="350" t="s">
        <v>6524</v>
      </c>
      <c r="E75" s="351" t="s">
        <v>7657</v>
      </c>
      <c r="F75" s="131" t="s">
        <v>7769</v>
      </c>
      <c r="G75" s="131">
        <v>2023</v>
      </c>
      <c r="H75" s="352" t="s">
        <v>7770</v>
      </c>
      <c r="I75" s="353">
        <v>46023</v>
      </c>
      <c r="J75" s="354">
        <v>46052</v>
      </c>
      <c r="K75" s="355">
        <v>30</v>
      </c>
      <c r="L75" s="356">
        <v>300</v>
      </c>
      <c r="M75" s="329" t="s">
        <v>7661</v>
      </c>
      <c r="N75" s="208" t="s">
        <v>7771</v>
      </c>
      <c r="O75" s="208" t="s">
        <v>7662</v>
      </c>
      <c r="P75" s="208"/>
      <c r="Q75" s="208"/>
      <c r="R75" s="208"/>
      <c r="S75" s="208" t="str">
        <f>IFERROR(IF(VLOOKUP(Tabla14[[#This Row],[COD]],'Kotrik Industrial'!B:B,1,0)&lt;&gt;"","KI",""),"")</f>
        <v/>
      </c>
      <c r="T75" s="208" t="str">
        <f>IFERROR(IF(VLOOKUP(Tabla14[[#This Row],[COD]],Tabla5[Cod trabalhador],1,0)&lt;&gt;"","KR",""),"")</f>
        <v/>
      </c>
      <c r="U75" s="208" t="str">
        <f>IFERROR(IF(VLOOKUP(Tabla14[[#This Row],[COD]],Wiseowe!B:B,1,0)&lt;&gt;"","Ws",""),"")</f>
        <v>Ws</v>
      </c>
      <c r="V75" s="208" t="str">
        <f>IFERROR(IF(VLOOKUP(Tabla14[[#This Row],[COD]],Luminous!B:B,1,0)&lt;&gt;"","LM",""),"")</f>
        <v/>
      </c>
      <c r="W75" s="208" t="str">
        <f>IFERROR(IF(VLOOKUP(Tabla14[[#This Row],[COD]],#REF!,1,0)&lt;&gt;"","ST",""),"")</f>
        <v/>
      </c>
    </row>
    <row r="76" spans="2:23" x14ac:dyDescent="0.3">
      <c r="B76" s="208" t="str">
        <f>IF(Tabla14[[#This Row],[COLABORADOR]]="", "", INDEX(Colaboradores!A:A, MATCH(Tabla14[[#This Row],[COLABORADOR]],Colaboradores!C:C, 0)))</f>
        <v>E0582</v>
      </c>
      <c r="C76" s="349" t="s">
        <v>7642</v>
      </c>
      <c r="D76" s="350" t="s">
        <v>6538</v>
      </c>
      <c r="E76" s="351" t="s">
        <v>7657</v>
      </c>
      <c r="F76" s="131" t="s">
        <v>7766</v>
      </c>
      <c r="G76" s="131" t="s">
        <v>7772</v>
      </c>
      <c r="H76" s="352" t="s">
        <v>7767</v>
      </c>
      <c r="I76" s="353">
        <v>46023</v>
      </c>
      <c r="J76" s="354">
        <v>46052</v>
      </c>
      <c r="K76" s="355">
        <v>30</v>
      </c>
      <c r="L76" s="356">
        <v>300</v>
      </c>
      <c r="M76" s="329" t="s">
        <v>7661</v>
      </c>
      <c r="N76" s="208" t="s">
        <v>7773</v>
      </c>
      <c r="O76" s="208" t="s">
        <v>7662</v>
      </c>
      <c r="P76" s="208"/>
      <c r="Q76" s="208"/>
      <c r="R76" s="208"/>
      <c r="S76" s="208" t="str">
        <f>IFERROR(IF(VLOOKUP(Tabla14[[#This Row],[COD]],'Kotrik Industrial'!B:B,1,0)&lt;&gt;"","KI",""),"")</f>
        <v/>
      </c>
      <c r="T76" s="208" t="str">
        <f>IFERROR(IF(VLOOKUP(Tabla14[[#This Row],[COD]],Tabla5[Cod trabalhador],1,0)&lt;&gt;"","KR",""),"")</f>
        <v/>
      </c>
      <c r="U76" s="208" t="str">
        <f>IFERROR(IF(VLOOKUP(Tabla14[[#This Row],[COD]],Wiseowe!B:B,1,0)&lt;&gt;"","Ws",""),"")</f>
        <v>Ws</v>
      </c>
      <c r="V76" s="208" t="str">
        <f>IFERROR(IF(VLOOKUP(Tabla14[[#This Row],[COD]],Luminous!B:B,1,0)&lt;&gt;"","LM",""),"")</f>
        <v/>
      </c>
      <c r="W76" s="208" t="str">
        <f>IFERROR(IF(VLOOKUP(Tabla14[[#This Row],[COD]],#REF!,1,0)&lt;&gt;"","ST",""),"")</f>
        <v/>
      </c>
    </row>
    <row r="77" spans="2:23" x14ac:dyDescent="0.3">
      <c r="B77" s="208" t="str">
        <f>IF(Tabla14[[#This Row],[COLABORADOR]]="", "", INDEX(Colaboradores!A:A, MATCH(Tabla14[[#This Row],[COLABORADOR]],Colaboradores!C:C, 0)))</f>
        <v>E0092</v>
      </c>
      <c r="C77" s="349" t="s">
        <v>7626</v>
      </c>
      <c r="D77" s="350" t="s">
        <v>6558</v>
      </c>
      <c r="E77" s="351" t="s">
        <v>7657</v>
      </c>
      <c r="F77" s="131" t="s">
        <v>7666</v>
      </c>
      <c r="G77" s="131">
        <v>2023</v>
      </c>
      <c r="H77" s="352" t="s">
        <v>7385</v>
      </c>
      <c r="I77" s="353">
        <v>46023</v>
      </c>
      <c r="J77" s="354">
        <v>46052</v>
      </c>
      <c r="K77" s="355">
        <v>30</v>
      </c>
      <c r="L77" s="356">
        <v>300</v>
      </c>
      <c r="M77" s="329" t="s">
        <v>7661</v>
      </c>
      <c r="N77" s="208" t="s">
        <v>7774</v>
      </c>
      <c r="O77" s="208" t="s">
        <v>7662</v>
      </c>
      <c r="P77" s="208"/>
      <c r="Q77" s="208"/>
      <c r="R77" s="208"/>
      <c r="S77" s="208" t="str">
        <f>IFERROR(IF(VLOOKUP(Tabla14[[#This Row],[COD]],'Kotrik Industrial'!B:B,1,0)&lt;&gt;"","KI",""),"")</f>
        <v/>
      </c>
      <c r="T77" s="208" t="str">
        <f>IFERROR(IF(VLOOKUP(Tabla14[[#This Row],[COD]],Tabla5[Cod trabalhador],1,0)&lt;&gt;"","KR",""),"")</f>
        <v/>
      </c>
      <c r="U77" s="208" t="str">
        <f>IFERROR(IF(VLOOKUP(Tabla14[[#This Row],[COD]],Wiseowe!B:B,1,0)&lt;&gt;"","Ws",""),"")</f>
        <v/>
      </c>
      <c r="V77" s="208" t="str">
        <f>IFERROR(IF(VLOOKUP(Tabla14[[#This Row],[COD]],Luminous!B:B,1,0)&lt;&gt;"","LM",""),"")</f>
        <v>LM</v>
      </c>
      <c r="W77" s="208" t="str">
        <f>IFERROR(IF(VLOOKUP(Tabla14[[#This Row],[COD]],#REF!,1,0)&lt;&gt;"","ST",""),"")</f>
        <v/>
      </c>
    </row>
    <row r="78" spans="2:23" x14ac:dyDescent="0.3">
      <c r="B78" s="208" t="str">
        <f>IF(Tabla14[[#This Row],[COLABORADOR]]="", "", INDEX(Colaboradores!A:A, MATCH(Tabla14[[#This Row],[COLABORADOR]],Colaboradores!C:C, 0)))</f>
        <v>E0091</v>
      </c>
      <c r="C78" s="349" t="s">
        <v>7626</v>
      </c>
      <c r="D78" s="350" t="s">
        <v>6636</v>
      </c>
      <c r="E78" s="351" t="s">
        <v>7657</v>
      </c>
      <c r="F78" s="131" t="s">
        <v>7666</v>
      </c>
      <c r="G78" s="131">
        <v>2023</v>
      </c>
      <c r="H78" s="352" t="s">
        <v>7385</v>
      </c>
      <c r="I78" s="353">
        <v>46023</v>
      </c>
      <c r="J78" s="354">
        <v>46052</v>
      </c>
      <c r="K78" s="355">
        <v>30</v>
      </c>
      <c r="L78" s="356">
        <v>300</v>
      </c>
      <c r="M78" s="329" t="s">
        <v>7661</v>
      </c>
      <c r="N78" s="208"/>
      <c r="O78" s="208" t="s">
        <v>7662</v>
      </c>
      <c r="P78" s="208"/>
      <c r="Q78" s="208"/>
      <c r="R78" s="208"/>
      <c r="S78" s="208" t="str">
        <f>IFERROR(IF(VLOOKUP(Tabla14[[#This Row],[COD]],'Kotrik Industrial'!B:B,1,0)&lt;&gt;"","KI",""),"")</f>
        <v/>
      </c>
      <c r="T78" s="208" t="str">
        <f>IFERROR(IF(VLOOKUP(Tabla14[[#This Row],[COD]],Tabla5[Cod trabalhador],1,0)&lt;&gt;"","KR",""),"")</f>
        <v/>
      </c>
      <c r="U78" s="208" t="str">
        <f>IFERROR(IF(VLOOKUP(Tabla14[[#This Row],[COD]],Wiseowe!B:B,1,0)&lt;&gt;"","Ws",""),"")</f>
        <v/>
      </c>
      <c r="V78" s="208" t="str">
        <f>IFERROR(IF(VLOOKUP(Tabla14[[#This Row],[COD]],Luminous!B:B,1,0)&lt;&gt;"","LM",""),"")</f>
        <v>LM</v>
      </c>
      <c r="W78" s="208" t="str">
        <f>IFERROR(IF(VLOOKUP(Tabla14[[#This Row],[COD]],#REF!,1,0)&lt;&gt;"","ST",""),"")</f>
        <v/>
      </c>
    </row>
    <row r="79" spans="2:23" x14ac:dyDescent="0.3">
      <c r="B79" s="208" t="str">
        <f>IF(Tabla14[[#This Row],[COLABORADOR]]="", "", INDEX(Colaboradores!A:A, MATCH(Tabla14[[#This Row],[COLABORADOR]],Colaboradores!C:C, 0)))</f>
        <v>E0266</v>
      </c>
      <c r="C79" s="349" t="s">
        <v>7642</v>
      </c>
      <c r="D79" s="350" t="s">
        <v>6700</v>
      </c>
      <c r="E79" s="351" t="s">
        <v>7657</v>
      </c>
      <c r="F79" s="131" t="s">
        <v>7663</v>
      </c>
      <c r="G79" s="131" t="s">
        <v>7664</v>
      </c>
      <c r="H79" s="352" t="s">
        <v>7577</v>
      </c>
      <c r="I79" s="353">
        <v>46023</v>
      </c>
      <c r="J79" s="354">
        <v>46052</v>
      </c>
      <c r="K79" s="355">
        <v>30</v>
      </c>
      <c r="L79" s="356">
        <v>300</v>
      </c>
      <c r="M79" s="329" t="s">
        <v>7661</v>
      </c>
      <c r="N79" s="208"/>
      <c r="O79" s="208" t="s">
        <v>7662</v>
      </c>
      <c r="P79" s="208"/>
      <c r="Q79" s="208"/>
      <c r="R79" s="208"/>
      <c r="S79" s="208" t="str">
        <f>IFERROR(IF(VLOOKUP(Tabla14[[#This Row],[COD]],'Kotrik Industrial'!B:B,1,0)&lt;&gt;"","KI",""),"")</f>
        <v/>
      </c>
      <c r="T79" s="208" t="str">
        <f>IFERROR(IF(VLOOKUP(Tabla14[[#This Row],[COD]],Tabla5[Cod trabalhador],1,0)&lt;&gt;"","KR",""),"")</f>
        <v/>
      </c>
      <c r="U79" s="208" t="str">
        <f>IFERROR(IF(VLOOKUP(Tabla14[[#This Row],[COD]],Wiseowe!B:B,1,0)&lt;&gt;"","Ws",""),"")</f>
        <v>Ws</v>
      </c>
      <c r="V79" s="208" t="str">
        <f>IFERROR(IF(VLOOKUP(Tabla14[[#This Row],[COD]],Luminous!B:B,1,0)&lt;&gt;"","LM",""),"")</f>
        <v/>
      </c>
      <c r="W79" s="208" t="str">
        <f>IFERROR(IF(VLOOKUP(Tabla14[[#This Row],[COD]],#REF!,1,0)&lt;&gt;"","ST",""),"")</f>
        <v/>
      </c>
    </row>
    <row r="80" spans="2:23" x14ac:dyDescent="0.3">
      <c r="B80" s="208" t="str">
        <f>IF(Tabla14[[#This Row],[COLABORADOR]]="", "", INDEX(Colaboradores!A:A, MATCH(Tabla14[[#This Row],[COLABORADOR]],Colaboradores!C:C, 0)))</f>
        <v>E0269</v>
      </c>
      <c r="C80" s="357" t="s">
        <v>7642</v>
      </c>
      <c r="D80" s="358" t="s">
        <v>6935</v>
      </c>
      <c r="E80" s="359" t="s">
        <v>7657</v>
      </c>
      <c r="F80" s="360" t="s">
        <v>7663</v>
      </c>
      <c r="G80" s="360" t="s">
        <v>7664</v>
      </c>
      <c r="H80" s="361" t="s">
        <v>7577</v>
      </c>
      <c r="I80" s="362">
        <v>46023</v>
      </c>
      <c r="J80" s="363">
        <v>46052</v>
      </c>
      <c r="K80" s="364">
        <v>30</v>
      </c>
      <c r="L80" s="365">
        <v>300</v>
      </c>
      <c r="M80" s="329" t="s">
        <v>7661</v>
      </c>
      <c r="N80" s="208" t="s">
        <v>7665</v>
      </c>
      <c r="O80" s="208" t="s">
        <v>7662</v>
      </c>
      <c r="P80" s="208"/>
      <c r="Q80" s="208"/>
      <c r="R80" s="208"/>
      <c r="S80" s="208" t="str">
        <f>IFERROR(IF(VLOOKUP(Tabla14[[#This Row],[COD]],'Kotrik Industrial'!B:B,1,0)&lt;&gt;"","KI",""),"")</f>
        <v/>
      </c>
      <c r="T80" s="208" t="str">
        <f>IFERROR(IF(VLOOKUP(Tabla14[[#This Row],[COD]],Tabla5[Cod trabalhador],1,0)&lt;&gt;"","KR",""),"")</f>
        <v/>
      </c>
      <c r="U80" s="208" t="str">
        <f>IFERROR(IF(VLOOKUP(Tabla14[[#This Row],[COD]],Wiseowe!B:B,1,0)&lt;&gt;"","Ws",""),"")</f>
        <v>Ws</v>
      </c>
      <c r="V80" s="208" t="str">
        <f>IFERROR(IF(VLOOKUP(Tabla14[[#This Row],[COD]],Luminous!B:B,1,0)&lt;&gt;"","LM",""),"")</f>
        <v/>
      </c>
      <c r="W80" s="208" t="str">
        <f>IFERROR(IF(VLOOKUP(Tabla14[[#This Row],[COD]],#REF!,1,0)&lt;&gt;"","ST",""),"")</f>
        <v/>
      </c>
    </row>
  </sheetData>
  <phoneticPr fontId="11" type="noConversion"/>
  <conditionalFormatting sqref="A1:A1048576">
    <cfRule type="duplicateValues" dxfId="14" priority="5"/>
  </conditionalFormatting>
  <conditionalFormatting sqref="B3:B80">
    <cfRule type="duplicateValues" dxfId="13" priority="22585"/>
  </conditionalFormatting>
  <conditionalFormatting sqref="D1:D1048576">
    <cfRule type="duplicateValues" dxfId="12" priority="3"/>
    <cfRule type="timePeriod" dxfId="11" priority="6" timePeriod="nextMonth">
      <formula>AND(MONTH(D1)=MONTH(EDATE(TODAY(),0+1)),YEAR(D1)=YEAR(EDATE(TODAY(),0+1)))</formula>
    </cfRule>
    <cfRule type="timePeriod" dxfId="10" priority="10" timePeriod="thisMonth">
      <formula>AND(MONTH(D1)=MONTH(TODAY()),YEAR(D1)=YEAR(TODAY()))</formula>
    </cfRule>
    <cfRule type="timePeriod" dxfId="9" priority="11" timePeriod="lastMonth">
      <formula>AND(MONTH(D1)=MONTH(EDATE(TODAY(),0-1)),YEAR(D1)=YEAR(EDATE(TODAY(),0-1)))</formula>
    </cfRule>
  </conditionalFormatting>
  <conditionalFormatting sqref="E1:E1048576">
    <cfRule type="timePeriod" dxfId="8" priority="9" timePeriod="lastMonth">
      <formula>AND(MONTH(E1)=MONTH(EDATE(TODAY(),0-1)),YEAR(E1)=YEAR(EDATE(TODAY(),0-1)))</formula>
    </cfRule>
  </conditionalFormatting>
  <conditionalFormatting sqref="I1:I1048576">
    <cfRule type="containsText" dxfId="7" priority="8" operator="containsText" text="Finalizado">
      <formula>NOT(ISERROR(SEARCH("Finalizado",I1)))</formula>
    </cfRule>
  </conditionalFormatting>
  <conditionalFormatting sqref="L1:L1048576">
    <cfRule type="cellIs" dxfId="6" priority="1" operator="greaterThan">
      <formula>300</formula>
    </cfRule>
  </conditionalFormatting>
  <pageMargins left="0.7" right="0.7" top="0.75" bottom="0.75" header="0.3" footer="0.3"/>
  <pageSetup paperSize="9" scale="36" fitToHeight="0" orientation="landscape" horizontalDpi="1200" verticalDpi="1200" r:id="rId1"/>
  <drawing r:id="rId2"/>
  <legacyDrawing r:id="rId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51074BD0-7FCC-4D66-B96D-50AE7DF24823}">
          <x14:formula1>
            <xm:f>Colaboradores!$C$2:$C$1996</xm:f>
          </x14:formula1>
          <xm:sqref>D1:D1048576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29D1A-0162-4A33-AD34-E1EF06D9455F}">
  <sheetPr>
    <tabColor rgb="FF92D050"/>
  </sheetPr>
  <dimension ref="B1:H111"/>
  <sheetViews>
    <sheetView workbookViewId="0">
      <selection activeCell="L92" sqref="L92"/>
    </sheetView>
  </sheetViews>
  <sheetFormatPr defaultColWidth="11.5546875" defaultRowHeight="14.4" x14ac:dyDescent="0.3"/>
  <cols>
    <col min="1" max="1" width="11.5546875" customWidth="1"/>
    <col min="2" max="2" width="12.33203125" style="52" customWidth="1"/>
    <col min="3" max="3" width="43.6640625" style="13" bestFit="1" customWidth="1"/>
    <col min="4" max="4" width="11.109375" style="11" customWidth="1"/>
    <col min="5" max="8" width="7.44140625" customWidth="1"/>
  </cols>
  <sheetData>
    <row r="1" spans="2:8" ht="67.5" customHeight="1" x14ac:dyDescent="0.3"/>
    <row r="2" spans="2:8" x14ac:dyDescent="0.3">
      <c r="B2" s="294" t="s">
        <v>7775</v>
      </c>
      <c r="C2" s="203" t="s">
        <v>7776</v>
      </c>
      <c r="D2" s="204" t="s">
        <v>7777</v>
      </c>
      <c r="E2" t="s">
        <v>6998</v>
      </c>
      <c r="F2" t="s">
        <v>7523</v>
      </c>
      <c r="G2" t="s">
        <v>7501</v>
      </c>
      <c r="H2" t="s">
        <v>7510</v>
      </c>
    </row>
    <row r="3" spans="2:8" x14ac:dyDescent="0.3">
      <c r="B3" s="366" t="str">
        <f>IF(C3="", "", INDEX(Colaboradores!A:A, MATCH(C3,Colaboradores!C:C, 0)))</f>
        <v>E0406</v>
      </c>
      <c r="C3" s="368" t="s">
        <v>77</v>
      </c>
      <c r="D3" s="369">
        <v>106.66666666666667</v>
      </c>
      <c r="E3" s="370" t="str">
        <f>IFERROR(IF(VLOOKUP(Tabla3[[#This Row],[Cod]],'Kotrik Industrial'!B:B,1,0)&lt;&gt;"","KI",""),"")</f>
        <v/>
      </c>
      <c r="F3" s="370" t="str">
        <f>IFERROR(IF(VLOOKUP(Tabla3[[#This Row],[Cod]],'Kotrik Rosas'!B:B,1,0)&lt;&gt;"","KR",""),"")</f>
        <v/>
      </c>
      <c r="G3" s="370" t="str">
        <f>IFERROR(IF(VLOOKUP(Tabla3[[#This Row],[Cod]],Wiseowe!B:B,1,0)&lt;&gt;"","WS",""),"")</f>
        <v/>
      </c>
      <c r="H3" s="370" t="str">
        <f>IFERROR(IF(VLOOKUP(Tabla3[[#This Row],[Cod]],Luminous!B:B,1,0)&lt;&gt;"","LM",""),"")</f>
        <v>LM</v>
      </c>
    </row>
    <row r="4" spans="2:8" x14ac:dyDescent="0.3">
      <c r="B4" s="366" t="str">
        <f>IF(C4="", "", INDEX(Colaboradores!A:A, MATCH(C4,Colaboradores!C:C, 0)))</f>
        <v>E2098</v>
      </c>
      <c r="C4" s="368" t="s">
        <v>211</v>
      </c>
      <c r="D4" s="369">
        <v>10</v>
      </c>
      <c r="E4" s="370" t="str">
        <f>IFERROR(IF(VLOOKUP(Tabla3[[#This Row],[Cod]],'Kotrik Industrial'!B:B,1,0)&lt;&gt;"","KI",""),"")</f>
        <v/>
      </c>
      <c r="F4" s="370" t="str">
        <f>IFERROR(IF(VLOOKUP(Tabla3[[#This Row],[Cod]],'Kotrik Rosas'!B:B,1,0)&lt;&gt;"","KR",""),"")</f>
        <v/>
      </c>
      <c r="G4" s="370" t="str">
        <f>IFERROR(IF(VLOOKUP(Tabla3[[#This Row],[Cod]],Wiseowe!B:B,1,0)&lt;&gt;"","WS",""),"")</f>
        <v/>
      </c>
      <c r="H4" s="370" t="str">
        <f>IFERROR(IF(VLOOKUP(Tabla3[[#This Row],[Cod]],Luminous!B:B,1,0)&lt;&gt;"","LM",""),"")</f>
        <v>LM</v>
      </c>
    </row>
    <row r="5" spans="2:8" x14ac:dyDescent="0.3">
      <c r="B5" s="366" t="str">
        <f>IF(C5="", "", INDEX(Colaboradores!A:A, MATCH(C5,Colaboradores!C:C, 0)))</f>
        <v>E2074</v>
      </c>
      <c r="C5" s="368" t="s">
        <v>242</v>
      </c>
      <c r="D5" s="369">
        <v>84.444444444444443</v>
      </c>
      <c r="E5" s="370" t="str">
        <f>IFERROR(IF(VLOOKUP(Tabla3[[#This Row],[Cod]],'Kotrik Industrial'!B:B,1,0)&lt;&gt;"","KI",""),"")</f>
        <v/>
      </c>
      <c r="F5" s="370" t="str">
        <f>IFERROR(IF(VLOOKUP(Tabla3[[#This Row],[Cod]],'Kotrik Rosas'!B:B,1,0)&lt;&gt;"","KR",""),"")</f>
        <v/>
      </c>
      <c r="G5" s="370" t="str">
        <f>IFERROR(IF(VLOOKUP(Tabla3[[#This Row],[Cod]],Wiseowe!B:B,1,0)&lt;&gt;"","WS",""),"")</f>
        <v/>
      </c>
      <c r="H5" s="370" t="str">
        <f>IFERROR(IF(VLOOKUP(Tabla3[[#This Row],[Cod]],Luminous!B:B,1,0)&lt;&gt;"","LM",""),"")</f>
        <v>LM</v>
      </c>
    </row>
    <row r="6" spans="2:8" x14ac:dyDescent="0.3">
      <c r="B6" s="366" t="str">
        <f>IF(C6="", "", INDEX(Colaboradores!A:A, MATCH(C6,Colaboradores!C:C, 0)))</f>
        <v>E0565</v>
      </c>
      <c r="C6" s="368" t="s">
        <v>312</v>
      </c>
      <c r="D6" s="369">
        <v>111.11111111111111</v>
      </c>
      <c r="E6" s="370" t="str">
        <f>IFERROR(IF(VLOOKUP(Tabla3[[#This Row],[Cod]],'Kotrik Industrial'!B:B,1,0)&lt;&gt;"","KI",""),"")</f>
        <v/>
      </c>
      <c r="F6" s="370" t="str">
        <f>IFERROR(IF(VLOOKUP(Tabla3[[#This Row],[Cod]],'Kotrik Rosas'!B:B,1,0)&lt;&gt;"","KR",""),"")</f>
        <v/>
      </c>
      <c r="G6" s="370" t="str">
        <f>IFERROR(IF(VLOOKUP(Tabla3[[#This Row],[Cod]],Wiseowe!B:B,1,0)&lt;&gt;"","WS",""),"")</f>
        <v>WS</v>
      </c>
      <c r="H6" s="370" t="str">
        <f>IFERROR(IF(VLOOKUP(Tabla3[[#This Row],[Cod]],Luminous!B:B,1,0)&lt;&gt;"","LM",""),"")</f>
        <v/>
      </c>
    </row>
    <row r="7" spans="2:8" x14ac:dyDescent="0.3">
      <c r="B7" s="366" t="str">
        <f>IF(C7="", "", INDEX(Colaboradores!A:A, MATCH(C7,Colaboradores!C:C, 0)))</f>
        <v>E1882</v>
      </c>
      <c r="C7" s="368" t="s">
        <v>334</v>
      </c>
      <c r="D7" s="369">
        <v>26.666666666666668</v>
      </c>
      <c r="E7" s="370" t="str">
        <f>IFERROR(IF(VLOOKUP(Tabla3[[#This Row],[Cod]],'Kotrik Industrial'!B:B,1,0)&lt;&gt;"","KI",""),"")</f>
        <v/>
      </c>
      <c r="F7" s="370" t="str">
        <f>IFERROR(IF(VLOOKUP(Tabla3[[#This Row],[Cod]],'Kotrik Rosas'!B:B,1,0)&lt;&gt;"","KR",""),"")</f>
        <v/>
      </c>
      <c r="G7" s="370" t="str">
        <f>IFERROR(IF(VLOOKUP(Tabla3[[#This Row],[Cod]],Wiseowe!B:B,1,0)&lt;&gt;"","WS",""),"")</f>
        <v/>
      </c>
      <c r="H7" s="370" t="str">
        <f>IFERROR(IF(VLOOKUP(Tabla3[[#This Row],[Cod]],Luminous!B:B,1,0)&lt;&gt;"","LM",""),"")</f>
        <v>LM</v>
      </c>
    </row>
    <row r="8" spans="2:8" x14ac:dyDescent="0.3">
      <c r="B8" s="366" t="str">
        <f>IF(C8="", "", INDEX(Colaboradores!A:A, MATCH(C8,Colaboradores!C:C, 0)))</f>
        <v>E1703</v>
      </c>
      <c r="C8" s="368" t="s">
        <v>348</v>
      </c>
      <c r="D8" s="369">
        <v>102.66</v>
      </c>
      <c r="E8" s="370" t="str">
        <f>IFERROR(IF(VLOOKUP(Tabla3[[#This Row],[Cod]],'Kotrik Industrial'!B:B,1,0)&lt;&gt;"","KI",""),"")</f>
        <v/>
      </c>
      <c r="F8" s="370" t="str">
        <f>IFERROR(IF(VLOOKUP(Tabla3[[#This Row],[Cod]],'Kotrik Rosas'!B:B,1,0)&lt;&gt;"","KR",""),"")</f>
        <v/>
      </c>
      <c r="G8" s="370" t="str">
        <f>IFERROR(IF(VLOOKUP(Tabla3[[#This Row],[Cod]],Wiseowe!B:B,1,0)&lt;&gt;"","WS",""),"")</f>
        <v/>
      </c>
      <c r="H8" s="370" t="str">
        <f>IFERROR(IF(VLOOKUP(Tabla3[[#This Row],[Cod]],Luminous!B:B,1,0)&lt;&gt;"","LM",""),"")</f>
        <v>LM</v>
      </c>
    </row>
    <row r="9" spans="2:8" x14ac:dyDescent="0.3">
      <c r="B9" s="366" t="str">
        <f>IF(C9="", "", INDEX(Colaboradores!A:A, MATCH(C9,Colaboradores!C:C, 0)))</f>
        <v>E0500</v>
      </c>
      <c r="C9" s="368" t="s">
        <v>372</v>
      </c>
      <c r="D9" s="369">
        <v>140</v>
      </c>
      <c r="E9" s="370" t="str">
        <f>IFERROR(IF(VLOOKUP(Tabla3[[#This Row],[Cod]],'Kotrik Industrial'!B:B,1,0)&lt;&gt;"","KI",""),"")</f>
        <v/>
      </c>
      <c r="F9" s="370" t="str">
        <f>IFERROR(IF(VLOOKUP(Tabla3[[#This Row],[Cod]],'Kotrik Rosas'!B:B,1,0)&lt;&gt;"","KR",""),"")</f>
        <v/>
      </c>
      <c r="G9" s="370" t="str">
        <f>IFERROR(IF(VLOOKUP(Tabla3[[#This Row],[Cod]],Wiseowe!B:B,1,0)&lt;&gt;"","WS",""),"")</f>
        <v>WS</v>
      </c>
      <c r="H9" s="370" t="str">
        <f>IFERROR(IF(VLOOKUP(Tabla3[[#This Row],[Cod]],Luminous!B:B,1,0)&lt;&gt;"","LM",""),"")</f>
        <v/>
      </c>
    </row>
    <row r="10" spans="2:8" x14ac:dyDescent="0.3">
      <c r="B10" s="366" t="str">
        <f>IF(C10="", "", INDEX(Colaboradores!A:A, MATCH(C10,Colaboradores!C:C, 0)))</f>
        <v>E0617</v>
      </c>
      <c r="C10" s="368" t="s">
        <v>404</v>
      </c>
      <c r="D10" s="369">
        <v>66.666666666666657</v>
      </c>
      <c r="E10" s="370" t="str">
        <f>IFERROR(IF(VLOOKUP(Tabla3[[#This Row],[Cod]],'Kotrik Industrial'!B:B,1,0)&lt;&gt;"","KI",""),"")</f>
        <v/>
      </c>
      <c r="F10" s="370" t="str">
        <f>IFERROR(IF(VLOOKUP(Tabla3[[#This Row],[Cod]],'Kotrik Rosas'!B:B,1,0)&lt;&gt;"","KR",""),"")</f>
        <v/>
      </c>
      <c r="G10" s="370" t="str">
        <f>IFERROR(IF(VLOOKUP(Tabla3[[#This Row],[Cod]],Wiseowe!B:B,1,0)&lt;&gt;"","WS",""),"")</f>
        <v>WS</v>
      </c>
      <c r="H10" s="370" t="str">
        <f>IFERROR(IF(VLOOKUP(Tabla3[[#This Row],[Cod]],Luminous!B:B,1,0)&lt;&gt;"","LM",""),"")</f>
        <v/>
      </c>
    </row>
    <row r="11" spans="2:8" x14ac:dyDescent="0.3">
      <c r="B11" s="366" t="str">
        <f>IF(C11="", "", INDEX(Colaboradores!A:A, MATCH(C11,Colaboradores!C:C, 0)))</f>
        <v>E0177</v>
      </c>
      <c r="C11" s="368" t="s">
        <v>505</v>
      </c>
      <c r="D11" s="369">
        <v>102.66</v>
      </c>
      <c r="E11" s="370" t="str">
        <f>IFERROR(IF(VLOOKUP(Tabla3[[#This Row],[Cod]],'Kotrik Industrial'!B:B,1,0)&lt;&gt;"","KI",""),"")</f>
        <v/>
      </c>
      <c r="F11" s="370" t="str">
        <f>IFERROR(IF(VLOOKUP(Tabla3[[#This Row],[Cod]],'Kotrik Rosas'!B:B,1,0)&lt;&gt;"","KR",""),"")</f>
        <v/>
      </c>
      <c r="G11" s="370" t="str">
        <f>IFERROR(IF(VLOOKUP(Tabla3[[#This Row],[Cod]],Wiseowe!B:B,1,0)&lt;&gt;"","WS",""),"")</f>
        <v/>
      </c>
      <c r="H11" s="370" t="str">
        <f>IFERROR(IF(VLOOKUP(Tabla3[[#This Row],[Cod]],Luminous!B:B,1,0)&lt;&gt;"","LM",""),"")</f>
        <v>LM</v>
      </c>
    </row>
    <row r="12" spans="2:8" x14ac:dyDescent="0.3">
      <c r="B12" s="366" t="str">
        <f>IF(C12="", "", INDEX(Colaboradores!A:A, MATCH(C12,Colaboradores!C:C, 0)))</f>
        <v>E0062</v>
      </c>
      <c r="C12" s="368" t="s">
        <v>538</v>
      </c>
      <c r="D12" s="369">
        <v>86.666666666666657</v>
      </c>
      <c r="E12" s="370" t="str">
        <f>IFERROR(IF(VLOOKUP(Tabla3[[#This Row],[Cod]],'Kotrik Industrial'!B:B,1,0)&lt;&gt;"","KI",""),"")</f>
        <v/>
      </c>
      <c r="F12" s="370" t="str">
        <f>IFERROR(IF(VLOOKUP(Tabla3[[#This Row],[Cod]],'Kotrik Rosas'!B:B,1,0)&lt;&gt;"","KR",""),"")</f>
        <v/>
      </c>
      <c r="G12" s="370" t="str">
        <f>IFERROR(IF(VLOOKUP(Tabla3[[#This Row],[Cod]],Wiseowe!B:B,1,0)&lt;&gt;"","WS",""),"")</f>
        <v/>
      </c>
      <c r="H12" s="370" t="str">
        <f>IFERROR(IF(VLOOKUP(Tabla3[[#This Row],[Cod]],Luminous!B:B,1,0)&lt;&gt;"","LM",""),"")</f>
        <v>LM</v>
      </c>
    </row>
    <row r="13" spans="2:8" x14ac:dyDescent="0.3">
      <c r="B13" s="366" t="str">
        <f>IF(C13="", "", INDEX(Colaboradores!A:A, MATCH(C13,Colaboradores!C:C, 0)))</f>
        <v>E1590</v>
      </c>
      <c r="C13" s="368" t="s">
        <v>545</v>
      </c>
      <c r="D13" s="369">
        <v>128.88888888888889</v>
      </c>
      <c r="E13" s="370" t="str">
        <f>IFERROR(IF(VLOOKUP(Tabla3[[#This Row],[Cod]],'Kotrik Industrial'!B:B,1,0)&lt;&gt;"","KI",""),"")</f>
        <v>KI</v>
      </c>
      <c r="F13" s="370" t="str">
        <f>IFERROR(IF(VLOOKUP(Tabla3[[#This Row],[Cod]],'Kotrik Rosas'!B:B,1,0)&lt;&gt;"","KR",""),"")</f>
        <v/>
      </c>
      <c r="G13" s="370" t="str">
        <f>IFERROR(IF(VLOOKUP(Tabla3[[#This Row],[Cod]],Wiseowe!B:B,1,0)&lt;&gt;"","WS",""),"")</f>
        <v/>
      </c>
      <c r="H13" s="370" t="str">
        <f>IFERROR(IF(VLOOKUP(Tabla3[[#This Row],[Cod]],Luminous!B:B,1,0)&lt;&gt;"","LM",""),"")</f>
        <v>LM</v>
      </c>
    </row>
    <row r="14" spans="2:8" x14ac:dyDescent="0.3">
      <c r="B14" s="366" t="str">
        <f>IF(C14="", "", INDEX(Colaboradores!A:A, MATCH(C14,Colaboradores!C:C, 0)))</f>
        <v>E1842</v>
      </c>
      <c r="C14" s="368" t="s">
        <v>586</v>
      </c>
      <c r="D14" s="369">
        <v>81.111111111111114</v>
      </c>
      <c r="E14" s="370" t="str">
        <f>IFERROR(IF(VLOOKUP(Tabla3[[#This Row],[Cod]],'Kotrik Industrial'!B:B,1,0)&lt;&gt;"","KI",""),"")</f>
        <v/>
      </c>
      <c r="F14" s="370" t="str">
        <f>IFERROR(IF(VLOOKUP(Tabla3[[#This Row],[Cod]],'Kotrik Rosas'!B:B,1,0)&lt;&gt;"","KR",""),"")</f>
        <v/>
      </c>
      <c r="G14" s="370" t="str">
        <f>IFERROR(IF(VLOOKUP(Tabla3[[#This Row],[Cod]],Wiseowe!B:B,1,0)&lt;&gt;"","WS",""),"")</f>
        <v>WS</v>
      </c>
      <c r="H14" s="370" t="str">
        <f>IFERROR(IF(VLOOKUP(Tabla3[[#This Row],[Cod]],Luminous!B:B,1,0)&lt;&gt;"","LM",""),"")</f>
        <v/>
      </c>
    </row>
    <row r="15" spans="2:8" x14ac:dyDescent="0.3">
      <c r="B15" s="366" t="str">
        <f>IF(C15="", "", INDEX(Colaboradores!A:A, MATCH(C15,Colaboradores!C:C, 0)))</f>
        <v>E1979</v>
      </c>
      <c r="C15" s="368" t="s">
        <v>604</v>
      </c>
      <c r="D15" s="369">
        <v>115</v>
      </c>
      <c r="E15" s="370" t="str">
        <f>IFERROR(IF(VLOOKUP(Tabla3[[#This Row],[Cod]],'Kotrik Industrial'!B:B,1,0)&lt;&gt;"","KI",""),"")</f>
        <v/>
      </c>
      <c r="F15" s="370" t="str">
        <f>IFERROR(IF(VLOOKUP(Tabla3[[#This Row],[Cod]],'Kotrik Rosas'!B:B,1,0)&lt;&gt;"","KR",""),"")</f>
        <v/>
      </c>
      <c r="G15" s="370" t="str">
        <f>IFERROR(IF(VLOOKUP(Tabla3[[#This Row],[Cod]],Wiseowe!B:B,1,0)&lt;&gt;"","WS",""),"")</f>
        <v>WS</v>
      </c>
      <c r="H15" s="370" t="str">
        <f>IFERROR(IF(VLOOKUP(Tabla3[[#This Row],[Cod]],Luminous!B:B,1,0)&lt;&gt;"","LM",""),"")</f>
        <v/>
      </c>
    </row>
    <row r="16" spans="2:8" x14ac:dyDescent="0.3">
      <c r="B16" s="366" t="str">
        <f>IF(C16="", "", INDEX(Colaboradores!A:A, MATCH(C16,Colaboradores!C:C, 0)))</f>
        <v>E1821</v>
      </c>
      <c r="C16" s="368" t="s">
        <v>647</v>
      </c>
      <c r="D16" s="369">
        <v>50</v>
      </c>
      <c r="E16" s="370" t="str">
        <f>IFERROR(IF(VLOOKUP(Tabla3[[#This Row],[Cod]],'Kotrik Industrial'!B:B,1,0)&lt;&gt;"","KI",""),"")</f>
        <v/>
      </c>
      <c r="F16" s="370" t="str">
        <f>IFERROR(IF(VLOOKUP(Tabla3[[#This Row],[Cod]],'Kotrik Rosas'!B:B,1,0)&lt;&gt;"","KR",""),"")</f>
        <v/>
      </c>
      <c r="G16" s="370" t="str">
        <f>IFERROR(IF(VLOOKUP(Tabla3[[#This Row],[Cod]],Wiseowe!B:B,1,0)&lt;&gt;"","WS",""),"")</f>
        <v>WS</v>
      </c>
      <c r="H16" s="370" t="str">
        <f>IFERROR(IF(VLOOKUP(Tabla3[[#This Row],[Cod]],Luminous!B:B,1,0)&lt;&gt;"","LM",""),"")</f>
        <v/>
      </c>
    </row>
    <row r="17" spans="2:8" x14ac:dyDescent="0.3">
      <c r="B17" s="366" t="str">
        <f>IF(C17="", "", INDEX(Colaboradores!A:A, MATCH(C17,Colaboradores!C:C, 0)))</f>
        <v>E0622</v>
      </c>
      <c r="C17" s="368" t="s">
        <v>661</v>
      </c>
      <c r="D17" s="369">
        <v>102.66</v>
      </c>
      <c r="E17" s="370" t="str">
        <f>IFERROR(IF(VLOOKUP(Tabla3[[#This Row],[Cod]],'Kotrik Industrial'!B:B,1,0)&lt;&gt;"","KI",""),"")</f>
        <v/>
      </c>
      <c r="F17" s="370" t="str">
        <f>IFERROR(IF(VLOOKUP(Tabla3[[#This Row],[Cod]],'Kotrik Rosas'!B:B,1,0)&lt;&gt;"","KR",""),"")</f>
        <v/>
      </c>
      <c r="G17" s="370" t="str">
        <f>IFERROR(IF(VLOOKUP(Tabla3[[#This Row],[Cod]],Wiseowe!B:B,1,0)&lt;&gt;"","WS",""),"")</f>
        <v/>
      </c>
      <c r="H17" s="370" t="str">
        <f>IFERROR(IF(VLOOKUP(Tabla3[[#This Row],[Cod]],Luminous!B:B,1,0)&lt;&gt;"","LM",""),"")</f>
        <v>LM</v>
      </c>
    </row>
    <row r="18" spans="2:8" x14ac:dyDescent="0.3">
      <c r="B18" s="366" t="str">
        <f>IF(C18="", "", INDEX(Colaboradores!A:A, MATCH(C18,Colaboradores!C:C, 0)))</f>
        <v>E0277</v>
      </c>
      <c r="C18" s="368" t="s">
        <v>697</v>
      </c>
      <c r="D18" s="369">
        <v>145</v>
      </c>
      <c r="E18" s="370" t="str">
        <f>IFERROR(IF(VLOOKUP(Tabla3[[#This Row],[Cod]],'Kotrik Industrial'!B:B,1,0)&lt;&gt;"","KI",""),"")</f>
        <v>KI</v>
      </c>
      <c r="F18" s="370" t="str">
        <f>IFERROR(IF(VLOOKUP(Tabla3[[#This Row],[Cod]],'Kotrik Rosas'!B:B,1,0)&lt;&gt;"","KR",""),"")</f>
        <v/>
      </c>
      <c r="G18" s="370" t="str">
        <f>IFERROR(IF(VLOOKUP(Tabla3[[#This Row],[Cod]],Wiseowe!B:B,1,0)&lt;&gt;"","WS",""),"")</f>
        <v/>
      </c>
      <c r="H18" s="370" t="str">
        <f>IFERROR(IF(VLOOKUP(Tabla3[[#This Row],[Cod]],Luminous!B:B,1,0)&lt;&gt;"","LM",""),"")</f>
        <v/>
      </c>
    </row>
    <row r="19" spans="2:8" x14ac:dyDescent="0.3">
      <c r="B19" s="366" t="str">
        <f>IF(C19="", "", INDEX(Colaboradores!A:A, MATCH(C19,Colaboradores!C:C, 0)))</f>
        <v>E0100</v>
      </c>
      <c r="C19" s="368" t="s">
        <v>812</v>
      </c>
      <c r="D19" s="369">
        <v>63.333333333333336</v>
      </c>
      <c r="E19" s="370" t="str">
        <f>IFERROR(IF(VLOOKUP(Tabla3[[#This Row],[Cod]],'Kotrik Industrial'!B:B,1,0)&lt;&gt;"","KI",""),"")</f>
        <v/>
      </c>
      <c r="F19" s="370" t="str">
        <f>IFERROR(IF(VLOOKUP(Tabla3[[#This Row],[Cod]],'Kotrik Rosas'!B:B,1,0)&lt;&gt;"","KR",""),"")</f>
        <v/>
      </c>
      <c r="G19" s="370" t="str">
        <f>IFERROR(IF(VLOOKUP(Tabla3[[#This Row],[Cod]],Wiseowe!B:B,1,0)&lt;&gt;"","WS",""),"")</f>
        <v>WS</v>
      </c>
      <c r="H19" s="370" t="str">
        <f>IFERROR(IF(VLOOKUP(Tabla3[[#This Row],[Cod]],Luminous!B:B,1,0)&lt;&gt;"","LM",""),"")</f>
        <v/>
      </c>
    </row>
    <row r="20" spans="2:8" x14ac:dyDescent="0.3">
      <c r="B20" s="366" t="str">
        <f>IF(C20="", "", INDEX(Colaboradores!A:A, MATCH(C20,Colaboradores!C:C, 0)))</f>
        <v>E1976</v>
      </c>
      <c r="C20" s="368" t="s">
        <v>827</v>
      </c>
      <c r="D20" s="369">
        <v>45</v>
      </c>
      <c r="E20" s="370" t="str">
        <f>IFERROR(IF(VLOOKUP(Tabla3[[#This Row],[Cod]],'Kotrik Industrial'!B:B,1,0)&lt;&gt;"","KI",""),"")</f>
        <v/>
      </c>
      <c r="F20" s="370" t="str">
        <f>IFERROR(IF(VLOOKUP(Tabla3[[#This Row],[Cod]],'Kotrik Rosas'!B:B,1,0)&lt;&gt;"","KR",""),"")</f>
        <v/>
      </c>
      <c r="G20" s="370" t="str">
        <f>IFERROR(IF(VLOOKUP(Tabla3[[#This Row],[Cod]],Wiseowe!B:B,1,0)&lt;&gt;"","WS",""),"")</f>
        <v/>
      </c>
      <c r="H20" s="370" t="str">
        <f>IFERROR(IF(VLOOKUP(Tabla3[[#This Row],[Cod]],Luminous!B:B,1,0)&lt;&gt;"","LM",""),"")</f>
        <v>LM</v>
      </c>
    </row>
    <row r="21" spans="2:8" x14ac:dyDescent="0.3">
      <c r="B21" s="366" t="str">
        <f>IF(C21="", "", INDEX(Colaboradores!A:A, MATCH(C21,Colaboradores!C:C, 0)))</f>
        <v>E0553</v>
      </c>
      <c r="C21" s="368" t="s">
        <v>883</v>
      </c>
      <c r="D21" s="369">
        <v>120</v>
      </c>
      <c r="E21" s="370" t="str">
        <f>IFERROR(IF(VLOOKUP(Tabla3[[#This Row],[Cod]],'Kotrik Industrial'!B:B,1,0)&lt;&gt;"","KI",""),"")</f>
        <v/>
      </c>
      <c r="F21" s="370" t="str">
        <f>IFERROR(IF(VLOOKUP(Tabla3[[#This Row],[Cod]],'Kotrik Rosas'!B:B,1,0)&lt;&gt;"","KR",""),"")</f>
        <v>KR</v>
      </c>
      <c r="G21" s="370" t="str">
        <f>IFERROR(IF(VLOOKUP(Tabla3[[#This Row],[Cod]],Wiseowe!B:B,1,0)&lt;&gt;"","WS",""),"")</f>
        <v/>
      </c>
      <c r="H21" s="370" t="str">
        <f>IFERROR(IF(VLOOKUP(Tabla3[[#This Row],[Cod]],Luminous!B:B,1,0)&lt;&gt;"","LM",""),"")</f>
        <v/>
      </c>
    </row>
    <row r="22" spans="2:8" x14ac:dyDescent="0.3">
      <c r="B22" s="366" t="str">
        <f>IF(C22="", "", INDEX(Colaboradores!A:A, MATCH(C22,Colaboradores!C:C, 0)))</f>
        <v>E2054</v>
      </c>
      <c r="C22" s="368" t="s">
        <v>910</v>
      </c>
      <c r="D22" s="369">
        <v>128.88888888888889</v>
      </c>
      <c r="E22" s="370" t="str">
        <f>IFERROR(IF(VLOOKUP(Tabla3[[#This Row],[Cod]],'Kotrik Industrial'!B:B,1,0)&lt;&gt;"","KI",""),"")</f>
        <v/>
      </c>
      <c r="F22" s="370" t="str">
        <f>IFERROR(IF(VLOOKUP(Tabla3[[#This Row],[Cod]],'Kotrik Rosas'!B:B,1,0)&lt;&gt;"","KR",""),"")</f>
        <v/>
      </c>
      <c r="G22" s="370" t="str">
        <f>IFERROR(IF(VLOOKUP(Tabla3[[#This Row],[Cod]],Wiseowe!B:B,1,0)&lt;&gt;"","WS",""),"")</f>
        <v/>
      </c>
      <c r="H22" s="370" t="str">
        <f>IFERROR(IF(VLOOKUP(Tabla3[[#This Row],[Cod]],Luminous!B:B,1,0)&lt;&gt;"","LM",""),"")</f>
        <v>LM</v>
      </c>
    </row>
    <row r="23" spans="2:8" x14ac:dyDescent="0.3">
      <c r="B23" s="366" t="str">
        <f>IF(C23="", "", INDEX(Colaboradores!A:A, MATCH(C23,Colaboradores!C:C, 0)))</f>
        <v>E0801</v>
      </c>
      <c r="C23" s="368" t="s">
        <v>914</v>
      </c>
      <c r="D23" s="369">
        <v>66.666666666666657</v>
      </c>
      <c r="E23" s="370" t="str">
        <f>IFERROR(IF(VLOOKUP(Tabla3[[#This Row],[Cod]],'Kotrik Industrial'!B:B,1,0)&lt;&gt;"","KI",""),"")</f>
        <v/>
      </c>
      <c r="F23" s="370" t="str">
        <f>IFERROR(IF(VLOOKUP(Tabla3[[#This Row],[Cod]],'Kotrik Rosas'!B:B,1,0)&lt;&gt;"","KR",""),"")</f>
        <v/>
      </c>
      <c r="G23" s="370" t="str">
        <f>IFERROR(IF(VLOOKUP(Tabla3[[#This Row],[Cod]],Wiseowe!B:B,1,0)&lt;&gt;"","WS",""),"")</f>
        <v>WS</v>
      </c>
      <c r="H23" s="370" t="str">
        <f>IFERROR(IF(VLOOKUP(Tabla3[[#This Row],[Cod]],Luminous!B:B,1,0)&lt;&gt;"","LM",""),"")</f>
        <v/>
      </c>
    </row>
    <row r="24" spans="2:8" x14ac:dyDescent="0.3">
      <c r="B24" s="366" t="str">
        <f>IF(C24="", "", INDEX(Colaboradores!A:A, MATCH(C24,Colaboradores!C:C, 0)))</f>
        <v>E1909</v>
      </c>
      <c r="C24" s="368" t="s">
        <v>1064</v>
      </c>
      <c r="D24" s="369">
        <v>74.666666666666657</v>
      </c>
      <c r="E24" s="370" t="str">
        <f>IFERROR(IF(VLOOKUP(Tabla3[[#This Row],[Cod]],'Kotrik Industrial'!B:B,1,0)&lt;&gt;"","KI",""),"")</f>
        <v/>
      </c>
      <c r="F24" s="370" t="str">
        <f>IFERROR(IF(VLOOKUP(Tabla3[[#This Row],[Cod]],'Kotrik Rosas'!B:B,1,0)&lt;&gt;"","KR",""),"")</f>
        <v/>
      </c>
      <c r="G24" s="370" t="str">
        <f>IFERROR(IF(VLOOKUP(Tabla3[[#This Row],[Cod]],Wiseowe!B:B,1,0)&lt;&gt;"","WS",""),"")</f>
        <v>WS</v>
      </c>
      <c r="H24" s="370" t="str">
        <f>IFERROR(IF(VLOOKUP(Tabla3[[#This Row],[Cod]],Luminous!B:B,1,0)&lt;&gt;"","LM",""),"")</f>
        <v/>
      </c>
    </row>
    <row r="25" spans="2:8" x14ac:dyDescent="0.3">
      <c r="B25" s="366" t="str">
        <f>IF(C25="", "", INDEX(Colaboradores!A:A, MATCH(C25,Colaboradores!C:C, 0)))</f>
        <v>E1895</v>
      </c>
      <c r="C25" s="368" t="s">
        <v>1119</v>
      </c>
      <c r="D25" s="369">
        <v>66.666666666666671</v>
      </c>
      <c r="E25" s="370" t="str">
        <f>IFERROR(IF(VLOOKUP(Tabla3[[#This Row],[Cod]],'Kotrik Industrial'!B:B,1,0)&lt;&gt;"","KI",""),"")</f>
        <v>KI</v>
      </c>
      <c r="F25" s="370" t="str">
        <f>IFERROR(IF(VLOOKUP(Tabla3[[#This Row],[Cod]],'Kotrik Rosas'!B:B,1,0)&lt;&gt;"","KR",""),"")</f>
        <v/>
      </c>
      <c r="G25" s="370" t="str">
        <f>IFERROR(IF(VLOOKUP(Tabla3[[#This Row],[Cod]],Wiseowe!B:B,1,0)&lt;&gt;"","WS",""),"")</f>
        <v/>
      </c>
      <c r="H25" s="370" t="str">
        <f>IFERROR(IF(VLOOKUP(Tabla3[[#This Row],[Cod]],Luminous!B:B,1,0)&lt;&gt;"","LM",""),"")</f>
        <v/>
      </c>
    </row>
    <row r="26" spans="2:8" x14ac:dyDescent="0.3">
      <c r="B26" s="366" t="str">
        <f>IF(C26="", "", INDEX(Colaboradores!A:A, MATCH(C26,Colaboradores!C:C, 0)))</f>
        <v>E1853</v>
      </c>
      <c r="C26" s="368" t="s">
        <v>1170</v>
      </c>
      <c r="D26" s="369">
        <v>120</v>
      </c>
      <c r="E26" s="370" t="str">
        <f>IFERROR(IF(VLOOKUP(Tabla3[[#This Row],[Cod]],'Kotrik Industrial'!B:B,1,0)&lt;&gt;"","KI",""),"")</f>
        <v/>
      </c>
      <c r="F26" s="370" t="str">
        <f>IFERROR(IF(VLOOKUP(Tabla3[[#This Row],[Cod]],'Kotrik Rosas'!B:B,1,0)&lt;&gt;"","KR",""),"")</f>
        <v/>
      </c>
      <c r="G26" s="370" t="str">
        <f>IFERROR(IF(VLOOKUP(Tabla3[[#This Row],[Cod]],Wiseowe!B:B,1,0)&lt;&gt;"","WS",""),"")</f>
        <v>WS</v>
      </c>
      <c r="H26" s="370" t="str">
        <f>IFERROR(IF(VLOOKUP(Tabla3[[#This Row],[Cod]],Luminous!B:B,1,0)&lt;&gt;"","LM",""),"")</f>
        <v/>
      </c>
    </row>
    <row r="27" spans="2:8" x14ac:dyDescent="0.3">
      <c r="B27" s="366" t="str">
        <f>IF(C27="", "", INDEX(Colaboradores!A:A, MATCH(C27,Colaboradores!C:C, 0)))</f>
        <v>E2021</v>
      </c>
      <c r="C27" s="368" t="s">
        <v>1292</v>
      </c>
      <c r="D27" s="369">
        <v>115</v>
      </c>
      <c r="E27" s="370" t="str">
        <f>IFERROR(IF(VLOOKUP(Tabla3[[#This Row],[Cod]],'Kotrik Industrial'!B:B,1,0)&lt;&gt;"","KI",""),"")</f>
        <v/>
      </c>
      <c r="F27" s="370" t="str">
        <f>IFERROR(IF(VLOOKUP(Tabla3[[#This Row],[Cod]],'Kotrik Rosas'!B:B,1,0)&lt;&gt;"","KR",""),"")</f>
        <v/>
      </c>
      <c r="G27" s="370" t="str">
        <f>IFERROR(IF(VLOOKUP(Tabla3[[#This Row],[Cod]],Wiseowe!B:B,1,0)&lt;&gt;"","WS",""),"")</f>
        <v>WS</v>
      </c>
      <c r="H27" s="370" t="str">
        <f>IFERROR(IF(VLOOKUP(Tabla3[[#This Row],[Cod]],Luminous!B:B,1,0)&lt;&gt;"","LM",""),"")</f>
        <v/>
      </c>
    </row>
    <row r="28" spans="2:8" x14ac:dyDescent="0.3">
      <c r="B28" s="366" t="str">
        <f>IF(C28="", "", INDEX(Colaboradores!A:A, MATCH(C28,Colaboradores!C:C, 0)))</f>
        <v>E0356</v>
      </c>
      <c r="C28" s="368" t="s">
        <v>1418</v>
      </c>
      <c r="D28" s="369">
        <v>50</v>
      </c>
      <c r="E28" s="370" t="str">
        <f>IFERROR(IF(VLOOKUP(Tabla3[[#This Row],[Cod]],'Kotrik Industrial'!B:B,1,0)&lt;&gt;"","KI",""),"")</f>
        <v/>
      </c>
      <c r="F28" s="370" t="str">
        <f>IFERROR(IF(VLOOKUP(Tabla3[[#This Row],[Cod]],'Kotrik Rosas'!B:B,1,0)&lt;&gt;"","KR",""),"")</f>
        <v/>
      </c>
      <c r="G28" s="370" t="str">
        <f>IFERROR(IF(VLOOKUP(Tabla3[[#This Row],[Cod]],Wiseowe!B:B,1,0)&lt;&gt;"","WS",""),"")</f>
        <v>WS</v>
      </c>
      <c r="H28" s="370" t="str">
        <f>IFERROR(IF(VLOOKUP(Tabla3[[#This Row],[Cod]],Luminous!B:B,1,0)&lt;&gt;"","LM",""),"")</f>
        <v/>
      </c>
    </row>
    <row r="29" spans="2:8" x14ac:dyDescent="0.3">
      <c r="B29" s="366" t="str">
        <f>IF(C29="", "", INDEX(Colaboradores!A:A, MATCH(C29,Colaboradores!C:C, 0)))</f>
        <v>E2075</v>
      </c>
      <c r="C29" s="368" t="s">
        <v>1422</v>
      </c>
      <c r="D29" s="369">
        <v>84.444444444444443</v>
      </c>
      <c r="E29" s="370" t="str">
        <f>IFERROR(IF(VLOOKUP(Tabla3[[#This Row],[Cod]],'Kotrik Industrial'!B:B,1,0)&lt;&gt;"","KI",""),"")</f>
        <v/>
      </c>
      <c r="F29" s="370" t="str">
        <f>IFERROR(IF(VLOOKUP(Tabla3[[#This Row],[Cod]],'Kotrik Rosas'!B:B,1,0)&lt;&gt;"","KR",""),"")</f>
        <v/>
      </c>
      <c r="G29" s="370" t="str">
        <f>IFERROR(IF(VLOOKUP(Tabla3[[#This Row],[Cod]],Wiseowe!B:B,1,0)&lt;&gt;"","WS",""),"")</f>
        <v/>
      </c>
      <c r="H29" s="370" t="str">
        <f>IFERROR(IF(VLOOKUP(Tabla3[[#This Row],[Cod]],Luminous!B:B,1,0)&lt;&gt;"","LM",""),"")</f>
        <v>LM</v>
      </c>
    </row>
    <row r="30" spans="2:8" x14ac:dyDescent="0.3">
      <c r="B30" s="366" t="str">
        <f>IF(C30="", "", INDEX(Colaboradores!A:A, MATCH(C30,Colaboradores!C:C, 0)))</f>
        <v>E1970</v>
      </c>
      <c r="C30" s="368" t="s">
        <v>1450</v>
      </c>
      <c r="D30" s="369">
        <v>40</v>
      </c>
      <c r="E30" s="370" t="str">
        <f>IFERROR(IF(VLOOKUP(Tabla3[[#This Row],[Cod]],'Kotrik Industrial'!B:B,1,0)&lt;&gt;"","KI",""),"")</f>
        <v/>
      </c>
      <c r="F30" s="370" t="str">
        <f>IFERROR(IF(VLOOKUP(Tabla3[[#This Row],[Cod]],'Kotrik Rosas'!B:B,1,0)&lt;&gt;"","KR",""),"")</f>
        <v/>
      </c>
      <c r="G30" s="370" t="str">
        <f>IFERROR(IF(VLOOKUP(Tabla3[[#This Row],[Cod]],Wiseowe!B:B,1,0)&lt;&gt;"","WS",""),"")</f>
        <v>WS</v>
      </c>
      <c r="H30" s="370" t="str">
        <f>IFERROR(IF(VLOOKUP(Tabla3[[#This Row],[Cod]],Luminous!B:B,1,0)&lt;&gt;"","LM",""),"")</f>
        <v/>
      </c>
    </row>
    <row r="31" spans="2:8" x14ac:dyDescent="0.3">
      <c r="B31" s="366" t="str">
        <f>IF(C31="", "", INDEX(Colaboradores!A:A, MATCH(C31,Colaboradores!C:C, 0)))</f>
        <v>E0615</v>
      </c>
      <c r="C31" s="368" t="s">
        <v>1517</v>
      </c>
      <c r="D31" s="369">
        <v>74.666666666666657</v>
      </c>
      <c r="E31" s="370" t="str">
        <f>IFERROR(IF(VLOOKUP(Tabla3[[#This Row],[Cod]],'Kotrik Industrial'!B:B,1,0)&lt;&gt;"","KI",""),"")</f>
        <v>KI</v>
      </c>
      <c r="F31" s="370" t="str">
        <f>IFERROR(IF(VLOOKUP(Tabla3[[#This Row],[Cod]],'Kotrik Rosas'!B:B,1,0)&lt;&gt;"","KR",""),"")</f>
        <v/>
      </c>
      <c r="G31" s="370" t="str">
        <f>IFERROR(IF(VLOOKUP(Tabla3[[#This Row],[Cod]],Wiseowe!B:B,1,0)&lt;&gt;"","WS",""),"")</f>
        <v/>
      </c>
      <c r="H31" s="370" t="str">
        <f>IFERROR(IF(VLOOKUP(Tabla3[[#This Row],[Cod]],Luminous!B:B,1,0)&lt;&gt;"","LM",""),"")</f>
        <v/>
      </c>
    </row>
    <row r="32" spans="2:8" x14ac:dyDescent="0.3">
      <c r="B32" s="366" t="str">
        <f>IF(C32="", "", INDEX(Colaboradores!A:A, MATCH(C32,Colaboradores!C:C, 0)))</f>
        <v>E0106</v>
      </c>
      <c r="C32" s="368" t="s">
        <v>1553</v>
      </c>
      <c r="D32" s="369">
        <v>89.523809523809518</v>
      </c>
      <c r="E32" s="370" t="str">
        <f>IFERROR(IF(VLOOKUP(Tabla3[[#This Row],[Cod]],'Kotrik Industrial'!B:B,1,0)&lt;&gt;"","KI",""),"")</f>
        <v/>
      </c>
      <c r="F32" s="370" t="str">
        <f>IFERROR(IF(VLOOKUP(Tabla3[[#This Row],[Cod]],'Kotrik Rosas'!B:B,1,0)&lt;&gt;"","KR",""),"")</f>
        <v>KR</v>
      </c>
      <c r="G32" s="370" t="str">
        <f>IFERROR(IF(VLOOKUP(Tabla3[[#This Row],[Cod]],Wiseowe!B:B,1,0)&lt;&gt;"","WS",""),"")</f>
        <v/>
      </c>
      <c r="H32" s="370" t="str">
        <f>IFERROR(IF(VLOOKUP(Tabla3[[#This Row],[Cod]],Luminous!B:B,1,0)&lt;&gt;"","LM",""),"")</f>
        <v/>
      </c>
    </row>
    <row r="33" spans="2:8" x14ac:dyDescent="0.3">
      <c r="B33" s="366" t="str">
        <f>IF(C33="", "", INDEX(Colaboradores!A:A, MATCH(C33,Colaboradores!C:C, 0)))</f>
        <v>E0107</v>
      </c>
      <c r="C33" s="368" t="s">
        <v>1591</v>
      </c>
      <c r="D33" s="369">
        <v>89.523809523809518</v>
      </c>
      <c r="E33" s="370" t="str">
        <f>IFERROR(IF(VLOOKUP(Tabla3[[#This Row],[Cod]],'Kotrik Industrial'!B:B,1,0)&lt;&gt;"","KI",""),"")</f>
        <v/>
      </c>
      <c r="F33" s="370" t="str">
        <f>IFERROR(IF(VLOOKUP(Tabla3[[#This Row],[Cod]],'Kotrik Rosas'!B:B,1,0)&lt;&gt;"","KR",""),"")</f>
        <v>KR</v>
      </c>
      <c r="G33" s="370" t="str">
        <f>IFERROR(IF(VLOOKUP(Tabla3[[#This Row],[Cod]],Wiseowe!B:B,1,0)&lt;&gt;"","WS",""),"")</f>
        <v/>
      </c>
      <c r="H33" s="370" t="str">
        <f>IFERROR(IF(VLOOKUP(Tabla3[[#This Row],[Cod]],Luminous!B:B,1,0)&lt;&gt;"","LM",""),"")</f>
        <v/>
      </c>
    </row>
    <row r="34" spans="2:8" x14ac:dyDescent="0.3">
      <c r="B34" s="366" t="str">
        <f>IF(C34="", "", INDEX(Colaboradores!A:A, MATCH(C34,Colaboradores!C:C, 0)))</f>
        <v>E1412</v>
      </c>
      <c r="C34" s="368" t="s">
        <v>1613</v>
      </c>
      <c r="D34" s="369">
        <v>50</v>
      </c>
      <c r="E34" s="370" t="str">
        <f>IFERROR(IF(VLOOKUP(Tabla3[[#This Row],[Cod]],'Kotrik Industrial'!B:B,1,0)&lt;&gt;"","KI",""),"")</f>
        <v/>
      </c>
      <c r="F34" s="370" t="str">
        <f>IFERROR(IF(VLOOKUP(Tabla3[[#This Row],[Cod]],'Kotrik Rosas'!B:B,1,0)&lt;&gt;"","KR",""),"")</f>
        <v/>
      </c>
      <c r="G34" s="370" t="str">
        <f>IFERROR(IF(VLOOKUP(Tabla3[[#This Row],[Cod]],Wiseowe!B:B,1,0)&lt;&gt;"","WS",""),"")</f>
        <v>WS</v>
      </c>
      <c r="H34" s="370" t="str">
        <f>IFERROR(IF(VLOOKUP(Tabla3[[#This Row],[Cod]],Luminous!B:B,1,0)&lt;&gt;"","LM",""),"")</f>
        <v/>
      </c>
    </row>
    <row r="35" spans="2:8" x14ac:dyDescent="0.3">
      <c r="B35" s="366" t="str">
        <f>IF(C35="", "", INDEX(Colaboradores!A:A, MATCH(C35,Colaboradores!C:C, 0)))</f>
        <v>E0507</v>
      </c>
      <c r="C35" s="368" t="s">
        <v>1634</v>
      </c>
      <c r="D35" s="369">
        <v>67</v>
      </c>
      <c r="E35" s="370" t="str">
        <f>IFERROR(IF(VLOOKUP(Tabla3[[#This Row],[Cod]],'Kotrik Industrial'!B:B,1,0)&lt;&gt;"","KI",""),"")</f>
        <v/>
      </c>
      <c r="F35" s="370" t="str">
        <f>IFERROR(IF(VLOOKUP(Tabla3[[#This Row],[Cod]],'Kotrik Rosas'!B:B,1,0)&lt;&gt;"","KR",""),"")</f>
        <v/>
      </c>
      <c r="G35" s="370" t="str">
        <f>IFERROR(IF(VLOOKUP(Tabla3[[#This Row],[Cod]],Wiseowe!B:B,1,0)&lt;&gt;"","WS",""),"")</f>
        <v>WS</v>
      </c>
      <c r="H35" s="370" t="str">
        <f>IFERROR(IF(VLOOKUP(Tabla3[[#This Row],[Cod]],Luminous!B:B,1,0)&lt;&gt;"","LM",""),"")</f>
        <v/>
      </c>
    </row>
    <row r="36" spans="2:8" x14ac:dyDescent="0.3">
      <c r="B36" s="366" t="str">
        <f>IF(C36="", "", INDEX(Colaboradores!A:A, MATCH(C36,Colaboradores!C:C, 0)))</f>
        <v>E0559</v>
      </c>
      <c r="C36" s="368" t="s">
        <v>1652</v>
      </c>
      <c r="D36" s="369">
        <v>121.66666666666667</v>
      </c>
      <c r="E36" s="370" t="str">
        <f>IFERROR(IF(VLOOKUP(Tabla3[[#This Row],[Cod]],'Kotrik Industrial'!B:B,1,0)&lt;&gt;"","KI",""),"")</f>
        <v/>
      </c>
      <c r="F36" s="370" t="str">
        <f>IFERROR(IF(VLOOKUP(Tabla3[[#This Row],[Cod]],'Kotrik Rosas'!B:B,1,0)&lt;&gt;"","KR",""),"")</f>
        <v/>
      </c>
      <c r="G36" s="370" t="str">
        <f>IFERROR(IF(VLOOKUP(Tabla3[[#This Row],[Cod]],Wiseowe!B:B,1,0)&lt;&gt;"","WS",""),"")</f>
        <v>WS</v>
      </c>
      <c r="H36" s="370" t="str">
        <f>IFERROR(IF(VLOOKUP(Tabla3[[#This Row],[Cod]],Luminous!B:B,1,0)&lt;&gt;"","LM",""),"")</f>
        <v/>
      </c>
    </row>
    <row r="37" spans="2:8" x14ac:dyDescent="0.3">
      <c r="B37" s="366" t="str">
        <f>IF(C37="", "", INDEX(Colaboradores!A:A, MATCH(C37,Colaboradores!C:C, 0)))</f>
        <v>E0232</v>
      </c>
      <c r="C37" s="368" t="s">
        <v>1656</v>
      </c>
      <c r="D37" s="369">
        <v>13.333333333333334</v>
      </c>
      <c r="E37" s="370" t="str">
        <f>IFERROR(IF(VLOOKUP(Tabla3[[#This Row],[Cod]],'Kotrik Industrial'!B:B,1,0)&lt;&gt;"","KI",""),"")</f>
        <v/>
      </c>
      <c r="F37" s="370" t="str">
        <f>IFERROR(IF(VLOOKUP(Tabla3[[#This Row],[Cod]],'Kotrik Rosas'!B:B,1,0)&lt;&gt;"","KR",""),"")</f>
        <v/>
      </c>
      <c r="G37" s="370" t="str">
        <f>IFERROR(IF(VLOOKUP(Tabla3[[#This Row],[Cod]],Wiseowe!B:B,1,0)&lt;&gt;"","WS",""),"")</f>
        <v>WS</v>
      </c>
      <c r="H37" s="370" t="str">
        <f>IFERROR(IF(VLOOKUP(Tabla3[[#This Row],[Cod]],Luminous!B:B,1,0)&lt;&gt;"","LM",""),"")</f>
        <v/>
      </c>
    </row>
    <row r="38" spans="2:8" x14ac:dyDescent="0.3">
      <c r="B38" s="366" t="str">
        <f>IF(C38="", "", INDEX(Colaboradores!A:A, MATCH(C38,Colaboradores!C:C, 0)))</f>
        <v>E1907</v>
      </c>
      <c r="C38" s="368" t="s">
        <v>1664</v>
      </c>
      <c r="D38" s="369">
        <v>64</v>
      </c>
      <c r="E38" s="370" t="str">
        <f>IFERROR(IF(VLOOKUP(Tabla3[[#This Row],[Cod]],'Kotrik Industrial'!B:B,1,0)&lt;&gt;"","KI",""),"")</f>
        <v/>
      </c>
      <c r="F38" s="370" t="str">
        <f>IFERROR(IF(VLOOKUP(Tabla3[[#This Row],[Cod]],'Kotrik Rosas'!B:B,1,0)&lt;&gt;"","KR",""),"")</f>
        <v/>
      </c>
      <c r="G38" s="370" t="str">
        <f>IFERROR(IF(VLOOKUP(Tabla3[[#This Row],[Cod]],Wiseowe!B:B,1,0)&lt;&gt;"","WS",""),"")</f>
        <v>WS</v>
      </c>
      <c r="H38" s="370" t="str">
        <f>IFERROR(IF(VLOOKUP(Tabla3[[#This Row],[Cod]],Luminous!B:B,1,0)&lt;&gt;"","LM",""),"")</f>
        <v/>
      </c>
    </row>
    <row r="39" spans="2:8" x14ac:dyDescent="0.3">
      <c r="B39" s="366" t="str">
        <f>IF(C39="", "", INDEX(Colaboradores!A:A, MATCH(C39,Colaboradores!C:C, 0)))</f>
        <v>E0180</v>
      </c>
      <c r="C39" s="368" t="s">
        <v>1683</v>
      </c>
      <c r="D39" s="369">
        <v>104.44444444444446</v>
      </c>
      <c r="E39" s="370" t="str">
        <f>IFERROR(IF(VLOOKUP(Tabla3[[#This Row],[Cod]],'Kotrik Industrial'!B:B,1,0)&lt;&gt;"","KI",""),"")</f>
        <v/>
      </c>
      <c r="F39" s="370" t="str">
        <f>IFERROR(IF(VLOOKUP(Tabla3[[#This Row],[Cod]],'Kotrik Rosas'!B:B,1,0)&lt;&gt;"","KR",""),"")</f>
        <v>KR</v>
      </c>
      <c r="G39" s="370" t="str">
        <f>IFERROR(IF(VLOOKUP(Tabla3[[#This Row],[Cod]],Wiseowe!B:B,1,0)&lt;&gt;"","WS",""),"")</f>
        <v/>
      </c>
      <c r="H39" s="370" t="str">
        <f>IFERROR(IF(VLOOKUP(Tabla3[[#This Row],[Cod]],Luminous!B:B,1,0)&lt;&gt;"","LM",""),"")</f>
        <v/>
      </c>
    </row>
    <row r="40" spans="2:8" x14ac:dyDescent="0.3">
      <c r="B40" s="366" t="str">
        <f>IF(C40="", "", INDEX(Colaboradores!A:A, MATCH(C40,Colaboradores!C:C, 0)))</f>
        <v>E0873</v>
      </c>
      <c r="C40" s="368" t="s">
        <v>1780</v>
      </c>
      <c r="D40" s="369">
        <v>128.88888888888889</v>
      </c>
      <c r="E40" s="370" t="str">
        <f>IFERROR(IF(VLOOKUP(Tabla3[[#This Row],[Cod]],'Kotrik Industrial'!B:B,1,0)&lt;&gt;"","KI",""),"")</f>
        <v>KI</v>
      </c>
      <c r="F40" s="370" t="str">
        <f>IFERROR(IF(VLOOKUP(Tabla3[[#This Row],[Cod]],'Kotrik Rosas'!B:B,1,0)&lt;&gt;"","KR",""),"")</f>
        <v/>
      </c>
      <c r="G40" s="370" t="str">
        <f>IFERROR(IF(VLOOKUP(Tabla3[[#This Row],[Cod]],Wiseowe!B:B,1,0)&lt;&gt;"","WS",""),"")</f>
        <v/>
      </c>
      <c r="H40" s="370" t="str">
        <f>IFERROR(IF(VLOOKUP(Tabla3[[#This Row],[Cod]],Luminous!B:B,1,0)&lt;&gt;"","LM",""),"")</f>
        <v>LM</v>
      </c>
    </row>
    <row r="41" spans="2:8" x14ac:dyDescent="0.3">
      <c r="B41" s="366" t="str">
        <f>IF(C41="", "", INDEX(Colaboradores!A:A, MATCH(C41,Colaboradores!C:C, 0)))</f>
        <v>E0125</v>
      </c>
      <c r="C41" s="368" t="s">
        <v>1939</v>
      </c>
      <c r="D41" s="369">
        <v>66.666666666666671</v>
      </c>
      <c r="E41" s="370" t="str">
        <f>IFERROR(IF(VLOOKUP(Tabla3[[#This Row],[Cod]],'Kotrik Industrial'!B:B,1,0)&lt;&gt;"","KI",""),"")</f>
        <v>KI</v>
      </c>
      <c r="F41" s="370" t="str">
        <f>IFERROR(IF(VLOOKUP(Tabla3[[#This Row],[Cod]],'Kotrik Rosas'!B:B,1,0)&lt;&gt;"","KR",""),"")</f>
        <v/>
      </c>
      <c r="G41" s="370" t="str">
        <f>IFERROR(IF(VLOOKUP(Tabla3[[#This Row],[Cod]],Wiseowe!B:B,1,0)&lt;&gt;"","WS",""),"")</f>
        <v/>
      </c>
      <c r="H41" s="370" t="str">
        <f>IFERROR(IF(VLOOKUP(Tabla3[[#This Row],[Cod]],Luminous!B:B,1,0)&lt;&gt;"","LM",""),"")</f>
        <v/>
      </c>
    </row>
    <row r="42" spans="2:8" x14ac:dyDescent="0.3">
      <c r="B42" s="366" t="str">
        <f>IF(C42="", "", INDEX(Colaboradores!A:A, MATCH(C42,Colaboradores!C:C, 0)))</f>
        <v>E0890</v>
      </c>
      <c r="C42" s="368" t="s">
        <v>1985</v>
      </c>
      <c r="D42" s="369">
        <v>128.88888888888889</v>
      </c>
      <c r="E42" s="370" t="str">
        <f>IFERROR(IF(VLOOKUP(Tabla3[[#This Row],[Cod]],'Kotrik Industrial'!B:B,1,0)&lt;&gt;"","KI",""),"")</f>
        <v>KI</v>
      </c>
      <c r="F42" s="370" t="str">
        <f>IFERROR(IF(VLOOKUP(Tabla3[[#This Row],[Cod]],'Kotrik Rosas'!B:B,1,0)&lt;&gt;"","KR",""),"")</f>
        <v/>
      </c>
      <c r="G42" s="370" t="str">
        <f>IFERROR(IF(VLOOKUP(Tabla3[[#This Row],[Cod]],Wiseowe!B:B,1,0)&lt;&gt;"","WS",""),"")</f>
        <v/>
      </c>
      <c r="H42" s="370" t="str">
        <f>IFERROR(IF(VLOOKUP(Tabla3[[#This Row],[Cod]],Luminous!B:B,1,0)&lt;&gt;"","LM",""),"")</f>
        <v>LM</v>
      </c>
    </row>
    <row r="43" spans="2:8" x14ac:dyDescent="0.3">
      <c r="B43" s="366" t="str">
        <f>IF(C43="", "", INDEX(Colaboradores!A:A, MATCH(C43,Colaboradores!C:C, 0)))</f>
        <v>E1932</v>
      </c>
      <c r="C43" s="368" t="s">
        <v>2014</v>
      </c>
      <c r="D43" s="369">
        <v>64</v>
      </c>
      <c r="E43" s="370" t="str">
        <f>IFERROR(IF(VLOOKUP(Tabla3[[#This Row],[Cod]],'Kotrik Industrial'!B:B,1,0)&lt;&gt;"","KI",""),"")</f>
        <v/>
      </c>
      <c r="F43" s="370" t="str">
        <f>IFERROR(IF(VLOOKUP(Tabla3[[#This Row],[Cod]],'Kotrik Rosas'!B:B,1,0)&lt;&gt;"","KR",""),"")</f>
        <v/>
      </c>
      <c r="G43" s="370" t="str">
        <f>IFERROR(IF(VLOOKUP(Tabla3[[#This Row],[Cod]],Wiseowe!B:B,1,0)&lt;&gt;"","WS",""),"")</f>
        <v>WS</v>
      </c>
      <c r="H43" s="370" t="str">
        <f>IFERROR(IF(VLOOKUP(Tabla3[[#This Row],[Cod]],Luminous!B:B,1,0)&lt;&gt;"","LM",""),"")</f>
        <v/>
      </c>
    </row>
    <row r="44" spans="2:8" x14ac:dyDescent="0.3">
      <c r="B44" s="366" t="str">
        <f>IF(C44="", "", INDEX(Colaboradores!A:A, MATCH(C44,Colaboradores!C:C, 0)))</f>
        <v>E2052</v>
      </c>
      <c r="C44" s="368" t="s">
        <v>2056</v>
      </c>
      <c r="D44" s="369">
        <v>128.88888888888889</v>
      </c>
      <c r="E44" s="370" t="str">
        <f>IFERROR(IF(VLOOKUP(Tabla3[[#This Row],[Cod]],'Kotrik Industrial'!B:B,1,0)&lt;&gt;"","KI",""),"")</f>
        <v/>
      </c>
      <c r="F44" s="370" t="str">
        <f>IFERROR(IF(VLOOKUP(Tabla3[[#This Row],[Cod]],'Kotrik Rosas'!B:B,1,0)&lt;&gt;"","KR",""),"")</f>
        <v/>
      </c>
      <c r="G44" s="370" t="str">
        <f>IFERROR(IF(VLOOKUP(Tabla3[[#This Row],[Cod]],Wiseowe!B:B,1,0)&lt;&gt;"","WS",""),"")</f>
        <v/>
      </c>
      <c r="H44" s="370" t="str">
        <f>IFERROR(IF(VLOOKUP(Tabla3[[#This Row],[Cod]],Luminous!B:B,1,0)&lt;&gt;"","LM",""),"")</f>
        <v>LM</v>
      </c>
    </row>
    <row r="45" spans="2:8" x14ac:dyDescent="0.3">
      <c r="B45" s="366" t="str">
        <f>IF(C45="", "", INDEX(Colaboradores!A:A, MATCH(C45,Colaboradores!C:C, 0)))</f>
        <v>E0237</v>
      </c>
      <c r="C45" s="368" t="s">
        <v>2274</v>
      </c>
      <c r="D45" s="369">
        <v>74.666666666666657</v>
      </c>
      <c r="E45" s="370" t="str">
        <f>IFERROR(IF(VLOOKUP(Tabla3[[#This Row],[Cod]],'Kotrik Industrial'!B:B,1,0)&lt;&gt;"","KI",""),"")</f>
        <v>KI</v>
      </c>
      <c r="F45" s="370" t="str">
        <f>IFERROR(IF(VLOOKUP(Tabla3[[#This Row],[Cod]],'Kotrik Rosas'!B:B,1,0)&lt;&gt;"","KR",""),"")</f>
        <v/>
      </c>
      <c r="G45" s="370" t="str">
        <f>IFERROR(IF(VLOOKUP(Tabla3[[#This Row],[Cod]],Wiseowe!B:B,1,0)&lt;&gt;"","WS",""),"")</f>
        <v/>
      </c>
      <c r="H45" s="370" t="str">
        <f>IFERROR(IF(VLOOKUP(Tabla3[[#This Row],[Cod]],Luminous!B:B,1,0)&lt;&gt;"","LM",""),"")</f>
        <v/>
      </c>
    </row>
    <row r="46" spans="2:8" x14ac:dyDescent="0.3">
      <c r="B46" s="366" t="str">
        <f>IF(C46="", "", INDEX(Colaboradores!A:A, MATCH(C46,Colaboradores!C:C, 0)))</f>
        <v>E1925</v>
      </c>
      <c r="C46" s="368" t="s">
        <v>2472</v>
      </c>
      <c r="D46" s="369">
        <v>40</v>
      </c>
      <c r="E46" s="370" t="str">
        <f>IFERROR(IF(VLOOKUP(Tabla3[[#This Row],[Cod]],'Kotrik Industrial'!B:B,1,0)&lt;&gt;"","KI",""),"")</f>
        <v/>
      </c>
      <c r="F46" s="370" t="str">
        <f>IFERROR(IF(VLOOKUP(Tabla3[[#This Row],[Cod]],'Kotrik Rosas'!B:B,1,0)&lt;&gt;"","KR",""),"")</f>
        <v/>
      </c>
      <c r="G46" s="370" t="str">
        <f>IFERROR(IF(VLOOKUP(Tabla3[[#This Row],[Cod]],Wiseowe!B:B,1,0)&lt;&gt;"","WS",""),"")</f>
        <v>WS</v>
      </c>
      <c r="H46" s="370" t="str">
        <f>IFERROR(IF(VLOOKUP(Tabla3[[#This Row],[Cod]],Luminous!B:B,1,0)&lt;&gt;"","LM",""),"")</f>
        <v/>
      </c>
    </row>
    <row r="47" spans="2:8" x14ac:dyDescent="0.3">
      <c r="B47" s="366" t="str">
        <f>IF(C47="", "", INDEX(Colaboradores!A:A, MATCH(C47,Colaboradores!C:C, 0)))</f>
        <v>E1074</v>
      </c>
      <c r="C47" s="368" t="s">
        <v>2586</v>
      </c>
      <c r="D47" s="369">
        <v>15</v>
      </c>
      <c r="E47" s="370" t="str">
        <f>IFERROR(IF(VLOOKUP(Tabla3[[#This Row],[Cod]],'Kotrik Industrial'!B:B,1,0)&lt;&gt;"","KI",""),"")</f>
        <v/>
      </c>
      <c r="F47" s="370" t="str">
        <f>IFERROR(IF(VLOOKUP(Tabla3[[#This Row],[Cod]],'Kotrik Rosas'!B:B,1,0)&lt;&gt;"","KR",""),"")</f>
        <v/>
      </c>
      <c r="G47" s="370" t="str">
        <f>IFERROR(IF(VLOOKUP(Tabla3[[#This Row],[Cod]],Wiseowe!B:B,1,0)&lt;&gt;"","WS",""),"")</f>
        <v/>
      </c>
      <c r="H47" s="370" t="str">
        <f>IFERROR(IF(VLOOKUP(Tabla3[[#This Row],[Cod]],Luminous!B:B,1,0)&lt;&gt;"","LM",""),"")</f>
        <v>LM</v>
      </c>
    </row>
    <row r="48" spans="2:8" x14ac:dyDescent="0.3">
      <c r="B48" s="366" t="str">
        <f>IF(C48="", "", INDEX(Colaboradores!A:A, MATCH(C48,Colaboradores!C:C, 0)))</f>
        <v>E0240</v>
      </c>
      <c r="C48" s="368" t="s">
        <v>2622</v>
      </c>
      <c r="D48" s="369">
        <v>74.666666666666657</v>
      </c>
      <c r="E48" s="370" t="str">
        <f>IFERROR(IF(VLOOKUP(Tabla3[[#This Row],[Cod]],'Kotrik Industrial'!B:B,1,0)&lt;&gt;"","KI",""),"")</f>
        <v>KI</v>
      </c>
      <c r="F48" s="370" t="str">
        <f>IFERROR(IF(VLOOKUP(Tabla3[[#This Row],[Cod]],'Kotrik Rosas'!B:B,1,0)&lt;&gt;"","KR",""),"")</f>
        <v/>
      </c>
      <c r="G48" s="370" t="str">
        <f>IFERROR(IF(VLOOKUP(Tabla3[[#This Row],[Cod]],Wiseowe!B:B,1,0)&lt;&gt;"","WS",""),"")</f>
        <v/>
      </c>
      <c r="H48" s="370" t="str">
        <f>IFERROR(IF(VLOOKUP(Tabla3[[#This Row],[Cod]],Luminous!B:B,1,0)&lt;&gt;"","LM",""),"")</f>
        <v/>
      </c>
    </row>
    <row r="49" spans="2:8" x14ac:dyDescent="0.3">
      <c r="B49" s="366" t="str">
        <f>IF(C49="", "", INDEX(Colaboradores!A:A, MATCH(C49,Colaboradores!C:C, 0)))</f>
        <v>E0087</v>
      </c>
      <c r="C49" s="368" t="s">
        <v>2638</v>
      </c>
      <c r="D49" s="369">
        <v>120</v>
      </c>
      <c r="E49" s="370" t="str">
        <f>IFERROR(IF(VLOOKUP(Tabla3[[#This Row],[Cod]],'Kotrik Industrial'!B:B,1,0)&lt;&gt;"","KI",""),"")</f>
        <v/>
      </c>
      <c r="F49" s="370" t="str">
        <f>IFERROR(IF(VLOOKUP(Tabla3[[#This Row],[Cod]],'Kotrik Rosas'!B:B,1,0)&lt;&gt;"","KR",""),"")</f>
        <v/>
      </c>
      <c r="G49" s="370" t="str">
        <f>IFERROR(IF(VLOOKUP(Tabla3[[#This Row],[Cod]],Wiseowe!B:B,1,0)&lt;&gt;"","WS",""),"")</f>
        <v/>
      </c>
      <c r="H49" s="370" t="str">
        <f>IFERROR(IF(VLOOKUP(Tabla3[[#This Row],[Cod]],Luminous!B:B,1,0)&lt;&gt;"","LM",""),"")</f>
        <v>LM</v>
      </c>
    </row>
    <row r="50" spans="2:8" x14ac:dyDescent="0.3">
      <c r="B50" s="366" t="str">
        <f>IF(C50="", "", INDEX(Colaboradores!A:A, MATCH(C50,Colaboradores!C:C, 0)))</f>
        <v>E1999</v>
      </c>
      <c r="C50" s="368" t="s">
        <v>2686</v>
      </c>
      <c r="D50" s="369">
        <v>10</v>
      </c>
      <c r="E50" s="370" t="str">
        <f>IFERROR(IF(VLOOKUP(Tabla3[[#This Row],[Cod]],'Kotrik Industrial'!B:B,1,0)&lt;&gt;"","KI",""),"")</f>
        <v/>
      </c>
      <c r="F50" s="370" t="str">
        <f>IFERROR(IF(VLOOKUP(Tabla3[[#This Row],[Cod]],'Kotrik Rosas'!B:B,1,0)&lt;&gt;"","KR",""),"")</f>
        <v/>
      </c>
      <c r="G50" s="370" t="str">
        <f>IFERROR(IF(VLOOKUP(Tabla3[[#This Row],[Cod]],Wiseowe!B:B,1,0)&lt;&gt;"","WS",""),"")</f>
        <v/>
      </c>
      <c r="H50" s="370" t="str">
        <f>IFERROR(IF(VLOOKUP(Tabla3[[#This Row],[Cod]],Luminous!B:B,1,0)&lt;&gt;"","LM",""),"")</f>
        <v>LM</v>
      </c>
    </row>
    <row r="51" spans="2:8" x14ac:dyDescent="0.3">
      <c r="B51" s="366" t="str">
        <f>IF(C51="", "", INDEX(Colaboradores!A:A, MATCH(C51,Colaboradores!C:C, 0)))</f>
        <v>E1958</v>
      </c>
      <c r="C51" s="368" t="s">
        <v>2742</v>
      </c>
      <c r="D51" s="369">
        <v>140</v>
      </c>
      <c r="E51" s="370" t="str">
        <f>IFERROR(IF(VLOOKUP(Tabla3[[#This Row],[Cod]],'Kotrik Industrial'!B:B,1,0)&lt;&gt;"","KI",""),"")</f>
        <v/>
      </c>
      <c r="F51" s="370" t="str">
        <f>IFERROR(IF(VLOOKUP(Tabla3[[#This Row],[Cod]],'Kotrik Rosas'!B:B,1,0)&lt;&gt;"","KR",""),"")</f>
        <v/>
      </c>
      <c r="G51" s="370" t="str">
        <f>IFERROR(IF(VLOOKUP(Tabla3[[#This Row],[Cod]],Wiseowe!B:B,1,0)&lt;&gt;"","WS",""),"")</f>
        <v/>
      </c>
      <c r="H51" s="370" t="str">
        <f>IFERROR(IF(VLOOKUP(Tabla3[[#This Row],[Cod]],Luminous!B:B,1,0)&lt;&gt;"","LM",""),"")</f>
        <v>LM</v>
      </c>
    </row>
    <row r="52" spans="2:8" x14ac:dyDescent="0.3">
      <c r="B52" s="366" t="str">
        <f>IF(C52="", "", INDEX(Colaboradores!A:A, MATCH(C52,Colaboradores!C:C, 0)))</f>
        <v>E1618</v>
      </c>
      <c r="C52" s="368" t="s">
        <v>2832</v>
      </c>
      <c r="D52" s="369">
        <v>114.66666666666667</v>
      </c>
      <c r="E52" s="370" t="str">
        <f>IFERROR(IF(VLOOKUP(Tabla3[[#This Row],[Cod]],'Kotrik Industrial'!B:B,1,0)&lt;&gt;"","KI",""),"")</f>
        <v/>
      </c>
      <c r="F52" s="370" t="str">
        <f>IFERROR(IF(VLOOKUP(Tabla3[[#This Row],[Cod]],'Kotrik Rosas'!B:B,1,0)&lt;&gt;"","KR",""),"")</f>
        <v/>
      </c>
      <c r="G52" s="370" t="str">
        <f>IFERROR(IF(VLOOKUP(Tabla3[[#This Row],[Cod]],Wiseowe!B:B,1,0)&lt;&gt;"","WS",""),"")</f>
        <v/>
      </c>
      <c r="H52" s="370" t="str">
        <f>IFERROR(IF(VLOOKUP(Tabla3[[#This Row],[Cod]],Luminous!B:B,1,0)&lt;&gt;"","LM",""),"")</f>
        <v>LM</v>
      </c>
    </row>
    <row r="53" spans="2:8" x14ac:dyDescent="0.3">
      <c r="B53" s="366" t="str">
        <f>IF(C53="", "", INDEX(Colaboradores!A:A, MATCH(C53,Colaboradores!C:C, 0)))</f>
        <v>E0238</v>
      </c>
      <c r="C53" s="368" t="s">
        <v>2867</v>
      </c>
      <c r="D53" s="369">
        <v>66.666666666666657</v>
      </c>
      <c r="E53" s="370" t="str">
        <f>IFERROR(IF(VLOOKUP(Tabla3[[#This Row],[Cod]],'Kotrik Industrial'!B:B,1,0)&lt;&gt;"","KI",""),"")</f>
        <v>KI</v>
      </c>
      <c r="F53" s="370" t="str">
        <f>IFERROR(IF(VLOOKUP(Tabla3[[#This Row],[Cod]],'Kotrik Rosas'!B:B,1,0)&lt;&gt;"","KR",""),"")</f>
        <v/>
      </c>
      <c r="G53" s="370" t="str">
        <f>IFERROR(IF(VLOOKUP(Tabla3[[#This Row],[Cod]],Wiseowe!B:B,1,0)&lt;&gt;"","WS",""),"")</f>
        <v/>
      </c>
      <c r="H53" s="370" t="str">
        <f>IFERROR(IF(VLOOKUP(Tabla3[[#This Row],[Cod]],Luminous!B:B,1,0)&lt;&gt;"","LM",""),"")</f>
        <v/>
      </c>
    </row>
    <row r="54" spans="2:8" x14ac:dyDescent="0.3">
      <c r="B54" s="366" t="str">
        <f>IF(C54="", "", INDEX(Colaboradores!A:A, MATCH(C54,Colaboradores!C:C, 0)))</f>
        <v>E0112</v>
      </c>
      <c r="C54" s="368" t="s">
        <v>2918</v>
      </c>
      <c r="D54" s="369">
        <v>89.523809523809518</v>
      </c>
      <c r="E54" s="370" t="str">
        <f>IFERROR(IF(VLOOKUP(Tabla3[[#This Row],[Cod]],'Kotrik Industrial'!B:B,1,0)&lt;&gt;"","KI",""),"")</f>
        <v/>
      </c>
      <c r="F54" s="370" t="str">
        <f>IFERROR(IF(VLOOKUP(Tabla3[[#This Row],[Cod]],'Kotrik Rosas'!B:B,1,0)&lt;&gt;"","KR",""),"")</f>
        <v>KR</v>
      </c>
      <c r="G54" s="370" t="str">
        <f>IFERROR(IF(VLOOKUP(Tabla3[[#This Row],[Cod]],Wiseowe!B:B,1,0)&lt;&gt;"","WS",""),"")</f>
        <v/>
      </c>
      <c r="H54" s="370" t="str">
        <f>IFERROR(IF(VLOOKUP(Tabla3[[#This Row],[Cod]],Luminous!B:B,1,0)&lt;&gt;"","LM",""),"")</f>
        <v/>
      </c>
    </row>
    <row r="55" spans="2:8" x14ac:dyDescent="0.3">
      <c r="B55" s="366" t="str">
        <f>IF(C55="", "", INDEX(Colaboradores!A:A, MATCH(C55,Colaboradores!C:C, 0)))</f>
        <v>E1975</v>
      </c>
      <c r="C55" s="368" t="s">
        <v>2957</v>
      </c>
      <c r="D55" s="369">
        <v>15</v>
      </c>
      <c r="E55" s="370" t="str">
        <f>IFERROR(IF(VLOOKUP(Tabla3[[#This Row],[Cod]],'Kotrik Industrial'!B:B,1,0)&lt;&gt;"","KI",""),"")</f>
        <v/>
      </c>
      <c r="F55" s="370" t="str">
        <f>IFERROR(IF(VLOOKUP(Tabla3[[#This Row],[Cod]],'Kotrik Rosas'!B:B,1,0)&lt;&gt;"","KR",""),"")</f>
        <v/>
      </c>
      <c r="G55" s="370" t="str">
        <f>IFERROR(IF(VLOOKUP(Tabla3[[#This Row],[Cod]],Wiseowe!B:B,1,0)&lt;&gt;"","WS",""),"")</f>
        <v/>
      </c>
      <c r="H55" s="370" t="str">
        <f>IFERROR(IF(VLOOKUP(Tabla3[[#This Row],[Cod]],Luminous!B:B,1,0)&lt;&gt;"","LM",""),"")</f>
        <v>LM</v>
      </c>
    </row>
    <row r="56" spans="2:8" x14ac:dyDescent="0.3">
      <c r="B56" s="366" t="str">
        <f>IF(C56="", "", INDEX(Colaboradores!A:A, MATCH(C56,Colaboradores!C:C, 0)))</f>
        <v>E1512</v>
      </c>
      <c r="C56" s="368" t="s">
        <v>3037</v>
      </c>
      <c r="D56" s="369">
        <v>116</v>
      </c>
      <c r="E56" s="370" t="str">
        <f>IFERROR(IF(VLOOKUP(Tabla3[[#This Row],[Cod]],'Kotrik Industrial'!B:B,1,0)&lt;&gt;"","KI",""),"")</f>
        <v>KI</v>
      </c>
      <c r="F56" s="370" t="str">
        <f>IFERROR(IF(VLOOKUP(Tabla3[[#This Row],[Cod]],'Kotrik Rosas'!B:B,1,0)&lt;&gt;"","KR",""),"")</f>
        <v/>
      </c>
      <c r="G56" s="370" t="str">
        <f>IFERROR(IF(VLOOKUP(Tabla3[[#This Row],[Cod]],Wiseowe!B:B,1,0)&lt;&gt;"","WS",""),"")</f>
        <v/>
      </c>
      <c r="H56" s="370" t="str">
        <f>IFERROR(IF(VLOOKUP(Tabla3[[#This Row],[Cod]],Luminous!B:B,1,0)&lt;&gt;"","LM",""),"")</f>
        <v/>
      </c>
    </row>
    <row r="57" spans="2:8" x14ac:dyDescent="0.3">
      <c r="B57" s="366" t="str">
        <f>IF(C57="", "", INDEX(Colaboradores!A:A, MATCH(C57,Colaboradores!C:C, 0)))</f>
        <v>E1747</v>
      </c>
      <c r="C57" s="368" t="s">
        <v>3080</v>
      </c>
      <c r="D57" s="369">
        <v>121.66666666666667</v>
      </c>
      <c r="E57" s="370" t="str">
        <f>IFERROR(IF(VLOOKUP(Tabla3[[#This Row],[Cod]],'Kotrik Industrial'!B:B,1,0)&lt;&gt;"","KI",""),"")</f>
        <v/>
      </c>
      <c r="F57" s="370" t="str">
        <f>IFERROR(IF(VLOOKUP(Tabla3[[#This Row],[Cod]],'Kotrik Rosas'!B:B,1,0)&lt;&gt;"","KR",""),"")</f>
        <v/>
      </c>
      <c r="G57" s="370" t="str">
        <f>IFERROR(IF(VLOOKUP(Tabla3[[#This Row],[Cod]],Wiseowe!B:B,1,0)&lt;&gt;"","WS",""),"")</f>
        <v>WS</v>
      </c>
      <c r="H57" s="370" t="str">
        <f>IFERROR(IF(VLOOKUP(Tabla3[[#This Row],[Cod]],Luminous!B:B,1,0)&lt;&gt;"","LM",""),"")</f>
        <v/>
      </c>
    </row>
    <row r="58" spans="2:8" x14ac:dyDescent="0.3">
      <c r="B58" s="366" t="str">
        <f>IF(C58="", "", INDEX(Colaboradores!A:A, MATCH(C58,Colaboradores!C:C, 0)))</f>
        <v>E1796</v>
      </c>
      <c r="C58" s="368" t="s">
        <v>3117</v>
      </c>
      <c r="D58" s="369">
        <v>116</v>
      </c>
      <c r="E58" s="370" t="str">
        <f>IFERROR(IF(VLOOKUP(Tabla3[[#This Row],[Cod]],'Kotrik Industrial'!B:B,1,0)&lt;&gt;"","KI",""),"")</f>
        <v/>
      </c>
      <c r="F58" s="370" t="str">
        <f>IFERROR(IF(VLOOKUP(Tabla3[[#This Row],[Cod]],'Kotrik Rosas'!B:B,1,0)&lt;&gt;"","KR",""),"")</f>
        <v/>
      </c>
      <c r="G58" s="370" t="str">
        <f>IFERROR(IF(VLOOKUP(Tabla3[[#This Row],[Cod]],Wiseowe!B:B,1,0)&lt;&gt;"","WS",""),"")</f>
        <v>WS</v>
      </c>
      <c r="H58" s="370" t="str">
        <f>IFERROR(IF(VLOOKUP(Tabla3[[#This Row],[Cod]],Luminous!B:B,1,0)&lt;&gt;"","LM",""),"")</f>
        <v/>
      </c>
    </row>
    <row r="59" spans="2:8" x14ac:dyDescent="0.3">
      <c r="B59" s="366" t="str">
        <f>IF(C59="", "", INDEX(Colaboradores!A:A, MATCH(C59,Colaboradores!C:C, 0)))</f>
        <v>E1786</v>
      </c>
      <c r="C59" s="368" t="s">
        <v>3121</v>
      </c>
      <c r="D59" s="369">
        <v>140</v>
      </c>
      <c r="E59" s="370" t="str">
        <f>IFERROR(IF(VLOOKUP(Tabla3[[#This Row],[Cod]],'Kotrik Industrial'!B:B,1,0)&lt;&gt;"","KI",""),"")</f>
        <v/>
      </c>
      <c r="F59" s="370" t="str">
        <f>IFERROR(IF(VLOOKUP(Tabla3[[#This Row],[Cod]],'Kotrik Rosas'!B:B,1,0)&lt;&gt;"","KR",""),"")</f>
        <v/>
      </c>
      <c r="G59" s="370" t="str">
        <f>IFERROR(IF(VLOOKUP(Tabla3[[#This Row],[Cod]],Wiseowe!B:B,1,0)&lt;&gt;"","WS",""),"")</f>
        <v>WS</v>
      </c>
      <c r="H59" s="370" t="str">
        <f>IFERROR(IF(VLOOKUP(Tabla3[[#This Row],[Cod]],Luminous!B:B,1,0)&lt;&gt;"","LM",""),"")</f>
        <v/>
      </c>
    </row>
    <row r="60" spans="2:8" x14ac:dyDescent="0.3">
      <c r="B60" s="366" t="str">
        <f>IF(C60="", "", INDEX(Colaboradores!A:A, MATCH(C60,Colaboradores!C:C, 0)))</f>
        <v>E0067</v>
      </c>
      <c r="C60" s="368" t="s">
        <v>3125</v>
      </c>
      <c r="D60" s="369">
        <v>86.666666666666657</v>
      </c>
      <c r="E60" s="370" t="str">
        <f>IFERROR(IF(VLOOKUP(Tabla3[[#This Row],[Cod]],'Kotrik Industrial'!B:B,1,0)&lt;&gt;"","KI",""),"")</f>
        <v/>
      </c>
      <c r="F60" s="370" t="str">
        <f>IFERROR(IF(VLOOKUP(Tabla3[[#This Row],[Cod]],'Kotrik Rosas'!B:B,1,0)&lt;&gt;"","KR",""),"")</f>
        <v/>
      </c>
      <c r="G60" s="370" t="str">
        <f>IFERROR(IF(VLOOKUP(Tabla3[[#This Row],[Cod]],Wiseowe!B:B,1,0)&lt;&gt;"","WS",""),"")</f>
        <v/>
      </c>
      <c r="H60" s="370" t="str">
        <f>IFERROR(IF(VLOOKUP(Tabla3[[#This Row],[Cod]],Luminous!B:B,1,0)&lt;&gt;"","LM",""),"")</f>
        <v>LM</v>
      </c>
    </row>
    <row r="61" spans="2:8" x14ac:dyDescent="0.3">
      <c r="B61" s="366" t="str">
        <f>IF(C61="", "", INDEX(Colaboradores!A:A, MATCH(C61,Colaboradores!C:C, 0)))</f>
        <v>E2037</v>
      </c>
      <c r="C61" s="368" t="s">
        <v>3142</v>
      </c>
      <c r="D61" s="369">
        <v>80</v>
      </c>
      <c r="E61" s="370" t="str">
        <f>IFERROR(IF(VLOOKUP(Tabla3[[#This Row],[Cod]],'Kotrik Industrial'!B:B,1,0)&lt;&gt;"","KI",""),"")</f>
        <v/>
      </c>
      <c r="F61" s="370" t="str">
        <f>IFERROR(IF(VLOOKUP(Tabla3[[#This Row],[Cod]],'Kotrik Rosas'!B:B,1,0)&lt;&gt;"","KR",""),"")</f>
        <v/>
      </c>
      <c r="G61" s="370" t="str">
        <f>IFERROR(IF(VLOOKUP(Tabla3[[#This Row],[Cod]],Wiseowe!B:B,1,0)&lt;&gt;"","WS",""),"")</f>
        <v>WS</v>
      </c>
      <c r="H61" s="370" t="str">
        <f>IFERROR(IF(VLOOKUP(Tabla3[[#This Row],[Cod]],Luminous!B:B,1,0)&lt;&gt;"","LM",""),"")</f>
        <v/>
      </c>
    </row>
    <row r="62" spans="2:8" x14ac:dyDescent="0.3">
      <c r="B62" s="366" t="str">
        <f>IF(C62="", "", INDEX(Colaboradores!A:A, MATCH(C62,Colaboradores!C:C, 0)))</f>
        <v>E0182</v>
      </c>
      <c r="C62" s="368" t="s">
        <v>3169</v>
      </c>
      <c r="D62" s="369">
        <v>104.44444444444446</v>
      </c>
      <c r="E62" s="370" t="str">
        <f>IFERROR(IF(VLOOKUP(Tabla3[[#This Row],[Cod]],'Kotrik Industrial'!B:B,1,0)&lt;&gt;"","KI",""),"")</f>
        <v/>
      </c>
      <c r="F62" s="370" t="str">
        <f>IFERROR(IF(VLOOKUP(Tabla3[[#This Row],[Cod]],'Kotrik Rosas'!B:B,1,0)&lt;&gt;"","KR",""),"")</f>
        <v>KR</v>
      </c>
      <c r="G62" s="370" t="str">
        <f>IFERROR(IF(VLOOKUP(Tabla3[[#This Row],[Cod]],Wiseowe!B:B,1,0)&lt;&gt;"","WS",""),"")</f>
        <v/>
      </c>
      <c r="H62" s="370" t="str">
        <f>IFERROR(IF(VLOOKUP(Tabla3[[#This Row],[Cod]],Luminous!B:B,1,0)&lt;&gt;"","LM",""),"")</f>
        <v/>
      </c>
    </row>
    <row r="63" spans="2:8" x14ac:dyDescent="0.3">
      <c r="B63" s="366" t="str">
        <f>IF(C63="", "", INDEX(Colaboradores!A:A, MATCH(C63,Colaboradores!C:C, 0)))</f>
        <v>E0065</v>
      </c>
      <c r="C63" s="368" t="s">
        <v>3241</v>
      </c>
      <c r="D63" s="369">
        <v>86.666666666666657</v>
      </c>
      <c r="E63" s="370" t="str">
        <f>IFERROR(IF(VLOOKUP(Tabla3[[#This Row],[Cod]],'Kotrik Industrial'!B:B,1,0)&lt;&gt;"","KI",""),"")</f>
        <v/>
      </c>
      <c r="F63" s="370" t="str">
        <f>IFERROR(IF(VLOOKUP(Tabla3[[#This Row],[Cod]],'Kotrik Rosas'!B:B,1,0)&lt;&gt;"","KR",""),"")</f>
        <v/>
      </c>
      <c r="G63" s="370" t="str">
        <f>IFERROR(IF(VLOOKUP(Tabla3[[#This Row],[Cod]],Wiseowe!B:B,1,0)&lt;&gt;"","WS",""),"")</f>
        <v/>
      </c>
      <c r="H63" s="370" t="str">
        <f>IFERROR(IF(VLOOKUP(Tabla3[[#This Row],[Cod]],Luminous!B:B,1,0)&lt;&gt;"","LM",""),"")</f>
        <v>LM</v>
      </c>
    </row>
    <row r="64" spans="2:8" x14ac:dyDescent="0.3">
      <c r="B64" s="366" t="str">
        <f>IF(C64="", "", INDEX(Colaboradores!A:A, MATCH(C64,Colaboradores!C:C, 0)))</f>
        <v>E0146</v>
      </c>
      <c r="C64" s="368" t="s">
        <v>3263</v>
      </c>
      <c r="D64" s="369">
        <v>140</v>
      </c>
      <c r="E64" s="370" t="str">
        <f>IFERROR(IF(VLOOKUP(Tabla3[[#This Row],[Cod]],'Kotrik Industrial'!B:B,1,0)&lt;&gt;"","KI",""),"")</f>
        <v>KI</v>
      </c>
      <c r="F64" s="370" t="str">
        <f>IFERROR(IF(VLOOKUP(Tabla3[[#This Row],[Cod]],'Kotrik Rosas'!B:B,1,0)&lt;&gt;"","KR",""),"")</f>
        <v/>
      </c>
      <c r="G64" s="370" t="str">
        <f>IFERROR(IF(VLOOKUP(Tabla3[[#This Row],[Cod]],Wiseowe!B:B,1,0)&lt;&gt;"","WS",""),"")</f>
        <v/>
      </c>
      <c r="H64" s="370" t="str">
        <f>IFERROR(IF(VLOOKUP(Tabla3[[#This Row],[Cod]],Luminous!B:B,1,0)&lt;&gt;"","LM",""),"")</f>
        <v/>
      </c>
    </row>
    <row r="65" spans="2:8" x14ac:dyDescent="0.3">
      <c r="B65" s="366" t="str">
        <f>IF(C65="", "", INDEX(Colaboradores!A:A, MATCH(C65,Colaboradores!C:C, 0)))</f>
        <v>E1772</v>
      </c>
      <c r="C65" s="368" t="s">
        <v>3273</v>
      </c>
      <c r="D65" s="369">
        <v>140</v>
      </c>
      <c r="E65" s="370" t="str">
        <f>IFERROR(IF(VLOOKUP(Tabla3[[#This Row],[Cod]],'Kotrik Industrial'!B:B,1,0)&lt;&gt;"","KI",""),"")</f>
        <v/>
      </c>
      <c r="F65" s="370" t="str">
        <f>IFERROR(IF(VLOOKUP(Tabla3[[#This Row],[Cod]],'Kotrik Rosas'!B:B,1,0)&lt;&gt;"","KR",""),"")</f>
        <v/>
      </c>
      <c r="G65" s="370" t="str">
        <f>IFERROR(IF(VLOOKUP(Tabla3[[#This Row],[Cod]],Wiseowe!B:B,1,0)&lt;&gt;"","WS",""),"")</f>
        <v/>
      </c>
      <c r="H65" s="370" t="str">
        <f>IFERROR(IF(VLOOKUP(Tabla3[[#This Row],[Cod]],Luminous!B:B,1,0)&lt;&gt;"","LM",""),"")</f>
        <v>LM</v>
      </c>
    </row>
    <row r="66" spans="2:8" x14ac:dyDescent="0.3">
      <c r="B66" s="366" t="str">
        <f>IF(C66="", "", INDEX(Colaboradores!A:A, MATCH(C66,Colaboradores!C:C, 0)))</f>
        <v>E0044</v>
      </c>
      <c r="C66" s="368" t="s">
        <v>3288</v>
      </c>
      <c r="D66" s="369">
        <v>120</v>
      </c>
      <c r="E66" s="370" t="str">
        <f>IFERROR(IF(VLOOKUP(Tabla3[[#This Row],[Cod]],'Kotrik Industrial'!B:B,1,0)&lt;&gt;"","KI",""),"")</f>
        <v/>
      </c>
      <c r="F66" s="370" t="str">
        <f>IFERROR(IF(VLOOKUP(Tabla3[[#This Row],[Cod]],'Kotrik Rosas'!B:B,1,0)&lt;&gt;"","KR",""),"")</f>
        <v/>
      </c>
      <c r="G66" s="370" t="str">
        <f>IFERROR(IF(VLOOKUP(Tabla3[[#This Row],[Cod]],Wiseowe!B:B,1,0)&lt;&gt;"","WS",""),"")</f>
        <v/>
      </c>
      <c r="H66" s="370" t="str">
        <f>IFERROR(IF(VLOOKUP(Tabla3[[#This Row],[Cod]],Luminous!B:B,1,0)&lt;&gt;"","LM",""),"")</f>
        <v>LM</v>
      </c>
    </row>
    <row r="67" spans="2:8" x14ac:dyDescent="0.3">
      <c r="B67" s="366" t="str">
        <f>IF(C67="", "", INDEX(Colaboradores!A:A, MATCH(C67,Colaboradores!C:C, 0)))</f>
        <v>E1415</v>
      </c>
      <c r="C67" s="368" t="s">
        <v>3371</v>
      </c>
      <c r="D67" s="369">
        <v>66.666666666666671</v>
      </c>
      <c r="E67" s="370" t="str">
        <f>IFERROR(IF(VLOOKUP(Tabla3[[#This Row],[Cod]],'Kotrik Industrial'!B:B,1,0)&lt;&gt;"","KI",""),"")</f>
        <v>KI</v>
      </c>
      <c r="F67" s="370" t="str">
        <f>IFERROR(IF(VLOOKUP(Tabla3[[#This Row],[Cod]],'Kotrik Rosas'!B:B,1,0)&lt;&gt;"","KR",""),"")</f>
        <v/>
      </c>
      <c r="G67" s="370" t="str">
        <f>IFERROR(IF(VLOOKUP(Tabla3[[#This Row],[Cod]],Wiseowe!B:B,1,0)&lt;&gt;"","WS",""),"")</f>
        <v/>
      </c>
      <c r="H67" s="370" t="str">
        <f>IFERROR(IF(VLOOKUP(Tabla3[[#This Row],[Cod]],Luminous!B:B,1,0)&lt;&gt;"","LM",""),"")</f>
        <v/>
      </c>
    </row>
    <row r="68" spans="2:8" x14ac:dyDescent="0.3">
      <c r="B68" s="366" t="str">
        <f>IF(C68="", "", INDEX(Colaboradores!A:A, MATCH(C68,Colaboradores!C:C, 0)))</f>
        <v>E1416</v>
      </c>
      <c r="C68" s="368" t="s">
        <v>3420</v>
      </c>
      <c r="D68" s="369">
        <v>74.666666666666657</v>
      </c>
      <c r="E68" s="370" t="str">
        <f>IFERROR(IF(VLOOKUP(Tabla3[[#This Row],[Cod]],'Kotrik Industrial'!B:B,1,0)&lt;&gt;"","KI",""),"")</f>
        <v>KI</v>
      </c>
      <c r="F68" s="370" t="str">
        <f>IFERROR(IF(VLOOKUP(Tabla3[[#This Row],[Cod]],'Kotrik Rosas'!B:B,1,0)&lt;&gt;"","KR",""),"")</f>
        <v/>
      </c>
      <c r="G68" s="370" t="str">
        <f>IFERROR(IF(VLOOKUP(Tabla3[[#This Row],[Cod]],Wiseowe!B:B,1,0)&lt;&gt;"","WS",""),"")</f>
        <v/>
      </c>
      <c r="H68" s="370" t="str">
        <f>IFERROR(IF(VLOOKUP(Tabla3[[#This Row],[Cod]],Luminous!B:B,1,0)&lt;&gt;"","LM",""),"")</f>
        <v/>
      </c>
    </row>
    <row r="69" spans="2:8" x14ac:dyDescent="0.3">
      <c r="B69" s="366" t="str">
        <f>IF(C69="", "", INDEX(Colaboradores!A:A, MATCH(C69,Colaboradores!C:C, 0)))</f>
        <v>E0381</v>
      </c>
      <c r="C69" s="368" t="s">
        <v>3482</v>
      </c>
      <c r="D69" s="369">
        <v>50</v>
      </c>
      <c r="E69" s="370" t="str">
        <f>IFERROR(IF(VLOOKUP(Tabla3[[#This Row],[Cod]],'Kotrik Industrial'!B:B,1,0)&lt;&gt;"","KI",""),"")</f>
        <v/>
      </c>
      <c r="F69" s="370" t="str">
        <f>IFERROR(IF(VLOOKUP(Tabla3[[#This Row],[Cod]],'Kotrik Rosas'!B:B,1,0)&lt;&gt;"","KR",""),"")</f>
        <v/>
      </c>
      <c r="G69" s="370" t="str">
        <f>IFERROR(IF(VLOOKUP(Tabla3[[#This Row],[Cod]],Wiseowe!B:B,1,0)&lt;&gt;"","WS",""),"")</f>
        <v>WS</v>
      </c>
      <c r="H69" s="370" t="str">
        <f>IFERROR(IF(VLOOKUP(Tabla3[[#This Row],[Cod]],Luminous!B:B,1,0)&lt;&gt;"","LM",""),"")</f>
        <v/>
      </c>
    </row>
    <row r="70" spans="2:8" x14ac:dyDescent="0.3">
      <c r="B70" s="366" t="str">
        <f>IF(C70="", "", INDEX(Colaboradores!A:A, MATCH(C70,Colaboradores!C:C, 0)))</f>
        <v>E0108</v>
      </c>
      <c r="C70" s="368" t="s">
        <v>3584</v>
      </c>
      <c r="D70" s="369">
        <v>42.857142857142854</v>
      </c>
      <c r="E70" s="370" t="str">
        <f>IFERROR(IF(VLOOKUP(Tabla3[[#This Row],[Cod]],'Kotrik Industrial'!B:B,1,0)&lt;&gt;"","KI",""),"")</f>
        <v/>
      </c>
      <c r="F70" s="370" t="str">
        <f>IFERROR(IF(VLOOKUP(Tabla3[[#This Row],[Cod]],'Kotrik Rosas'!B:B,1,0)&lt;&gt;"","KR",""),"")</f>
        <v>KR</v>
      </c>
      <c r="G70" s="370" t="str">
        <f>IFERROR(IF(VLOOKUP(Tabla3[[#This Row],[Cod]],Wiseowe!B:B,1,0)&lt;&gt;"","WS",""),"")</f>
        <v/>
      </c>
      <c r="H70" s="370" t="str">
        <f>IFERROR(IF(VLOOKUP(Tabla3[[#This Row],[Cod]],Luminous!B:B,1,0)&lt;&gt;"","LM",""),"")</f>
        <v/>
      </c>
    </row>
    <row r="71" spans="2:8" x14ac:dyDescent="0.3">
      <c r="B71" s="366" t="str">
        <f>IF(C71="", "", INDEX(Colaboradores!A:A, MATCH(C71,Colaboradores!C:C, 0)))</f>
        <v>E0552</v>
      </c>
      <c r="C71" s="368" t="s">
        <v>3644</v>
      </c>
      <c r="D71" s="369">
        <v>66.666666666666657</v>
      </c>
      <c r="E71" s="370" t="str">
        <f>IFERROR(IF(VLOOKUP(Tabla3[[#This Row],[Cod]],'Kotrik Industrial'!B:B,1,0)&lt;&gt;"","KI",""),"")</f>
        <v/>
      </c>
      <c r="F71" s="370" t="str">
        <f>IFERROR(IF(VLOOKUP(Tabla3[[#This Row],[Cod]],'Kotrik Rosas'!B:B,1,0)&lt;&gt;"","KR",""),"")</f>
        <v/>
      </c>
      <c r="G71" s="370" t="str">
        <f>IFERROR(IF(VLOOKUP(Tabla3[[#This Row],[Cod]],Wiseowe!B:B,1,0)&lt;&gt;"","WS",""),"")</f>
        <v>WS</v>
      </c>
      <c r="H71" s="370" t="str">
        <f>IFERROR(IF(VLOOKUP(Tabla3[[#This Row],[Cod]],Luminous!B:B,1,0)&lt;&gt;"","LM",""),"")</f>
        <v/>
      </c>
    </row>
    <row r="72" spans="2:8" x14ac:dyDescent="0.3">
      <c r="B72" s="366" t="str">
        <f>IF(C72="", "", INDEX(Colaboradores!A:A, MATCH(C72,Colaboradores!C:C, 0)))</f>
        <v>E1531</v>
      </c>
      <c r="C72" s="368" t="s">
        <v>3719</v>
      </c>
      <c r="D72" s="369">
        <v>102.66</v>
      </c>
      <c r="E72" s="370" t="str">
        <f>IFERROR(IF(VLOOKUP(Tabla3[[#This Row],[Cod]],'Kotrik Industrial'!B:B,1,0)&lt;&gt;"","KI",""),"")</f>
        <v/>
      </c>
      <c r="F72" s="370" t="str">
        <f>IFERROR(IF(VLOOKUP(Tabla3[[#This Row],[Cod]],'Kotrik Rosas'!B:B,1,0)&lt;&gt;"","KR",""),"")</f>
        <v/>
      </c>
      <c r="G72" s="370" t="str">
        <f>IFERROR(IF(VLOOKUP(Tabla3[[#This Row],[Cod]],Wiseowe!B:B,1,0)&lt;&gt;"","WS",""),"")</f>
        <v/>
      </c>
      <c r="H72" s="370" t="str">
        <f>IFERROR(IF(VLOOKUP(Tabla3[[#This Row],[Cod]],Luminous!B:B,1,0)&lt;&gt;"","LM",""),"")</f>
        <v>LM</v>
      </c>
    </row>
    <row r="73" spans="2:8" x14ac:dyDescent="0.3">
      <c r="B73" s="366" t="str">
        <f>IF(C73="", "", INDEX(Colaboradores!A:A, MATCH(C73,Colaboradores!C:C, 0)))</f>
        <v>E0181</v>
      </c>
      <c r="C73" s="368" t="s">
        <v>3975</v>
      </c>
      <c r="D73" s="369">
        <v>104.44444444444446</v>
      </c>
      <c r="E73" s="370" t="str">
        <f>IFERROR(IF(VLOOKUP(Tabla3[[#This Row],[Cod]],'Kotrik Industrial'!B:B,1,0)&lt;&gt;"","KI",""),"")</f>
        <v/>
      </c>
      <c r="F73" s="370" t="str">
        <f>IFERROR(IF(VLOOKUP(Tabla3[[#This Row],[Cod]],'Kotrik Rosas'!B:B,1,0)&lt;&gt;"","KR",""),"")</f>
        <v>KR</v>
      </c>
      <c r="G73" s="370" t="str">
        <f>IFERROR(IF(VLOOKUP(Tabla3[[#This Row],[Cod]],Wiseowe!B:B,1,0)&lt;&gt;"","WS",""),"")</f>
        <v/>
      </c>
      <c r="H73" s="370" t="str">
        <f>IFERROR(IF(VLOOKUP(Tabla3[[#This Row],[Cod]],Luminous!B:B,1,0)&lt;&gt;"","LM",""),"")</f>
        <v/>
      </c>
    </row>
    <row r="74" spans="2:8" x14ac:dyDescent="0.3">
      <c r="B74" s="366" t="str">
        <f>IF(C74="", "", INDEX(Colaboradores!A:A, MATCH(C74,Colaboradores!C:C, 0)))</f>
        <v>E1843</v>
      </c>
      <c r="C74" s="368" t="s">
        <v>4190</v>
      </c>
      <c r="D74" s="369">
        <v>81.111111111111114</v>
      </c>
      <c r="E74" s="370" t="str">
        <f>IFERROR(IF(VLOOKUP(Tabla3[[#This Row],[Cod]],'Kotrik Industrial'!B:B,1,0)&lt;&gt;"","KI",""),"")</f>
        <v/>
      </c>
      <c r="F74" s="370" t="str">
        <f>IFERROR(IF(VLOOKUP(Tabla3[[#This Row],[Cod]],'Kotrik Rosas'!B:B,1,0)&lt;&gt;"","KR",""),"")</f>
        <v/>
      </c>
      <c r="G74" s="370" t="str">
        <f>IFERROR(IF(VLOOKUP(Tabla3[[#This Row],[Cod]],Wiseowe!B:B,1,0)&lt;&gt;"","WS",""),"")</f>
        <v>WS</v>
      </c>
      <c r="H74" s="370" t="str">
        <f>IFERROR(IF(VLOOKUP(Tabla3[[#This Row],[Cod]],Luminous!B:B,1,0)&lt;&gt;"","LM",""),"")</f>
        <v/>
      </c>
    </row>
    <row r="75" spans="2:8" x14ac:dyDescent="0.3">
      <c r="B75" s="366" t="str">
        <f>IF(C75="", "", INDEX(Colaboradores!A:A, MATCH(C75,Colaboradores!C:C, 0)))</f>
        <v>E1240</v>
      </c>
      <c r="C75" s="368" t="s">
        <v>4260</v>
      </c>
      <c r="D75" s="369">
        <v>10</v>
      </c>
      <c r="E75" s="370" t="str">
        <f>IFERROR(IF(VLOOKUP(Tabla3[[#This Row],[Cod]],'Kotrik Industrial'!B:B,1,0)&lt;&gt;"","KI",""),"")</f>
        <v/>
      </c>
      <c r="F75" s="370" t="str">
        <f>IFERROR(IF(VLOOKUP(Tabla3[[#This Row],[Cod]],'Kotrik Rosas'!B:B,1,0)&lt;&gt;"","KR",""),"")</f>
        <v/>
      </c>
      <c r="G75" s="370" t="str">
        <f>IFERROR(IF(VLOOKUP(Tabla3[[#This Row],[Cod]],Wiseowe!B:B,1,0)&lt;&gt;"","WS",""),"")</f>
        <v/>
      </c>
      <c r="H75" s="370" t="str">
        <f>IFERROR(IF(VLOOKUP(Tabla3[[#This Row],[Cod]],Luminous!B:B,1,0)&lt;&gt;"","LM",""),"")</f>
        <v>LM</v>
      </c>
    </row>
    <row r="76" spans="2:8" x14ac:dyDescent="0.3">
      <c r="B76" s="366" t="str">
        <f>IF(C76="", "", INDEX(Colaboradores!A:A, MATCH(C76,Colaboradores!C:C, 0)))</f>
        <v>E1543</v>
      </c>
      <c r="C76" s="368" t="s">
        <v>4284</v>
      </c>
      <c r="D76" s="369">
        <v>89.523809523809518</v>
      </c>
      <c r="E76" s="370" t="str">
        <f>IFERROR(IF(VLOOKUP(Tabla3[[#This Row],[Cod]],'Kotrik Industrial'!B:B,1,0)&lt;&gt;"","KI",""),"")</f>
        <v/>
      </c>
      <c r="F76" s="370" t="str">
        <f>IFERROR(IF(VLOOKUP(Tabla3[[#This Row],[Cod]],'Kotrik Rosas'!B:B,1,0)&lt;&gt;"","KR",""),"")</f>
        <v>KR</v>
      </c>
      <c r="G76" s="370" t="str">
        <f>IFERROR(IF(VLOOKUP(Tabla3[[#This Row],[Cod]],Wiseowe!B:B,1,0)&lt;&gt;"","WS",""),"")</f>
        <v/>
      </c>
      <c r="H76" s="370" t="str">
        <f>IFERROR(IF(VLOOKUP(Tabla3[[#This Row],[Cod]],Luminous!B:B,1,0)&lt;&gt;"","LM",""),"")</f>
        <v/>
      </c>
    </row>
    <row r="77" spans="2:8" x14ac:dyDescent="0.3">
      <c r="B77" s="366" t="str">
        <f>IF(C77="", "", INDEX(Colaboradores!A:A, MATCH(C77,Colaboradores!C:C, 0)))</f>
        <v>E0105</v>
      </c>
      <c r="C77" s="368" t="s">
        <v>4288</v>
      </c>
      <c r="D77" s="369">
        <v>89.523809523809518</v>
      </c>
      <c r="E77" s="370" t="str">
        <f>IFERROR(IF(VLOOKUP(Tabla3[[#This Row],[Cod]],'Kotrik Industrial'!B:B,1,0)&lt;&gt;"","KI",""),"")</f>
        <v/>
      </c>
      <c r="F77" s="370" t="str">
        <f>IFERROR(IF(VLOOKUP(Tabla3[[#This Row],[Cod]],'Kotrik Rosas'!B:B,1,0)&lt;&gt;"","KR",""),"")</f>
        <v>KR</v>
      </c>
      <c r="G77" s="370" t="str">
        <f>IFERROR(IF(VLOOKUP(Tabla3[[#This Row],[Cod]],Wiseowe!B:B,1,0)&lt;&gt;"","WS",""),"")</f>
        <v/>
      </c>
      <c r="H77" s="370" t="str">
        <f>IFERROR(IF(VLOOKUP(Tabla3[[#This Row],[Cod]],Luminous!B:B,1,0)&lt;&gt;"","LM",""),"")</f>
        <v/>
      </c>
    </row>
    <row r="78" spans="2:8" x14ac:dyDescent="0.3">
      <c r="B78" s="366" t="str">
        <f>IF(C78="", "", INDEX(Colaboradores!A:A, MATCH(C78,Colaboradores!C:C, 0)))</f>
        <v>E1547</v>
      </c>
      <c r="C78" s="368" t="s">
        <v>4495</v>
      </c>
      <c r="D78" s="369">
        <v>140</v>
      </c>
      <c r="E78" s="370" t="str">
        <f>IFERROR(IF(VLOOKUP(Tabla3[[#This Row],[Cod]],'Kotrik Industrial'!B:B,1,0)&lt;&gt;"","KI",""),"")</f>
        <v/>
      </c>
      <c r="F78" s="370" t="str">
        <f>IFERROR(IF(VLOOKUP(Tabla3[[#This Row],[Cod]],'Kotrik Rosas'!B:B,1,0)&lt;&gt;"","KR",""),"")</f>
        <v>KR</v>
      </c>
      <c r="G78" s="370" t="str">
        <f>IFERROR(IF(VLOOKUP(Tabla3[[#This Row],[Cod]],Wiseowe!B:B,1,0)&lt;&gt;"","WS",""),"")</f>
        <v/>
      </c>
      <c r="H78" s="370" t="str">
        <f>IFERROR(IF(VLOOKUP(Tabla3[[#This Row],[Cod]],Luminous!B:B,1,0)&lt;&gt;"","LM",""),"")</f>
        <v/>
      </c>
    </row>
    <row r="79" spans="2:8" x14ac:dyDescent="0.3">
      <c r="B79" s="366" t="str">
        <f>IF(C79="", "", INDEX(Colaboradores!A:A, MATCH(C79,Colaboradores!C:C, 0)))</f>
        <v>E1813</v>
      </c>
      <c r="C79" s="368" t="s">
        <v>4636</v>
      </c>
      <c r="D79" s="369">
        <v>106.66666666666667</v>
      </c>
      <c r="E79" s="370" t="str">
        <f>IFERROR(IF(VLOOKUP(Tabla3[[#This Row],[Cod]],'Kotrik Industrial'!B:B,1,0)&lt;&gt;"","KI",""),"")</f>
        <v/>
      </c>
      <c r="F79" s="370" t="str">
        <f>IFERROR(IF(VLOOKUP(Tabla3[[#This Row],[Cod]],'Kotrik Rosas'!B:B,1,0)&lt;&gt;"","KR",""),"")</f>
        <v/>
      </c>
      <c r="G79" s="370" t="str">
        <f>IFERROR(IF(VLOOKUP(Tabla3[[#This Row],[Cod]],Wiseowe!B:B,1,0)&lt;&gt;"","WS",""),"")</f>
        <v/>
      </c>
      <c r="H79" s="370" t="str">
        <f>IFERROR(IF(VLOOKUP(Tabla3[[#This Row],[Cod]],Luminous!B:B,1,0)&lt;&gt;"","LM",""),"")</f>
        <v>LM</v>
      </c>
    </row>
    <row r="80" spans="2:8" x14ac:dyDescent="0.3">
      <c r="B80" s="366" t="str">
        <f>IF(C80="", "", INDEX(Colaboradores!A:A, MATCH(C80,Colaboradores!C:C, 0)))</f>
        <v>E1866</v>
      </c>
      <c r="C80" s="368" t="s">
        <v>4694</v>
      </c>
      <c r="D80" s="369">
        <v>97</v>
      </c>
      <c r="E80" s="370" t="str">
        <f>IFERROR(IF(VLOOKUP(Tabla3[[#This Row],[Cod]],'Kotrik Industrial'!B:B,1,0)&lt;&gt;"","KI",""),"")</f>
        <v/>
      </c>
      <c r="F80" s="370" t="str">
        <f>IFERROR(IF(VLOOKUP(Tabla3[[#This Row],[Cod]],'Kotrik Rosas'!B:B,1,0)&lt;&gt;"","KR",""),"")</f>
        <v/>
      </c>
      <c r="G80" s="370" t="str">
        <f>IFERROR(IF(VLOOKUP(Tabla3[[#This Row],[Cod]],Wiseowe!B:B,1,0)&lt;&gt;"","WS",""),"")</f>
        <v>WS</v>
      </c>
      <c r="H80" s="370" t="str">
        <f>IFERROR(IF(VLOOKUP(Tabla3[[#This Row],[Cod]],Luminous!B:B,1,0)&lt;&gt;"","LM",""),"")</f>
        <v/>
      </c>
    </row>
    <row r="81" spans="2:8" x14ac:dyDescent="0.3">
      <c r="B81" s="366" t="str">
        <f>IF(C81="", "", INDEX(Colaboradores!A:A, MATCH(C81,Colaboradores!C:C, 0)))</f>
        <v>E0066</v>
      </c>
      <c r="C81" s="368" t="s">
        <v>4719</v>
      </c>
      <c r="D81" s="369">
        <v>40</v>
      </c>
      <c r="E81" s="370" t="str">
        <f>IFERROR(IF(VLOOKUP(Tabla3[[#This Row],[Cod]],'Kotrik Industrial'!B:B,1,0)&lt;&gt;"","KI",""),"")</f>
        <v/>
      </c>
      <c r="F81" s="370" t="str">
        <f>IFERROR(IF(VLOOKUP(Tabla3[[#This Row],[Cod]],'Kotrik Rosas'!B:B,1,0)&lt;&gt;"","KR",""),"")</f>
        <v/>
      </c>
      <c r="G81" s="370" t="str">
        <f>IFERROR(IF(VLOOKUP(Tabla3[[#This Row],[Cod]],Wiseowe!B:B,1,0)&lt;&gt;"","WS",""),"")</f>
        <v>WS</v>
      </c>
      <c r="H81" s="370" t="str">
        <f>IFERROR(IF(VLOOKUP(Tabla3[[#This Row],[Cod]],Luminous!B:B,1,0)&lt;&gt;"","LM",""),"")</f>
        <v>LM</v>
      </c>
    </row>
    <row r="82" spans="2:8" x14ac:dyDescent="0.3">
      <c r="B82" s="366" t="str">
        <f>IF(C82="", "", INDEX(Colaboradores!A:A, MATCH(C82,Colaboradores!C:C, 0)))</f>
        <v>E1942</v>
      </c>
      <c r="C82" s="368" t="s">
        <v>4741</v>
      </c>
      <c r="D82" s="369">
        <v>100</v>
      </c>
      <c r="E82" s="370" t="str">
        <f>IFERROR(IF(VLOOKUP(Tabla3[[#This Row],[Cod]],'Kotrik Industrial'!B:B,1,0)&lt;&gt;"","KI",""),"")</f>
        <v/>
      </c>
      <c r="F82" s="370" t="str">
        <f>IFERROR(IF(VLOOKUP(Tabla3[[#This Row],[Cod]],'Kotrik Rosas'!B:B,1,0)&lt;&gt;"","KR",""),"")</f>
        <v/>
      </c>
      <c r="G82" s="370" t="str">
        <f>IFERROR(IF(VLOOKUP(Tabla3[[#This Row],[Cod]],Wiseowe!B:B,1,0)&lt;&gt;"","WS",""),"")</f>
        <v>WS</v>
      </c>
      <c r="H82" s="370" t="str">
        <f>IFERROR(IF(VLOOKUP(Tabla3[[#This Row],[Cod]],Luminous!B:B,1,0)&lt;&gt;"","LM",""),"")</f>
        <v/>
      </c>
    </row>
    <row r="83" spans="2:8" x14ac:dyDescent="0.3">
      <c r="B83" s="366" t="str">
        <f>IF(C83="", "", INDEX(Colaboradores!A:A, MATCH(C83,Colaboradores!C:C, 0)))</f>
        <v>E1767</v>
      </c>
      <c r="C83" s="368" t="s">
        <v>4821</v>
      </c>
      <c r="D83" s="369">
        <v>64</v>
      </c>
      <c r="E83" s="370" t="str">
        <f>IFERROR(IF(VLOOKUP(Tabla3[[#This Row],[Cod]],'Kotrik Industrial'!B:B,1,0)&lt;&gt;"","KI",""),"")</f>
        <v/>
      </c>
      <c r="F83" s="370" t="str">
        <f>IFERROR(IF(VLOOKUP(Tabla3[[#This Row],[Cod]],'Kotrik Rosas'!B:B,1,0)&lt;&gt;"","KR",""),"")</f>
        <v/>
      </c>
      <c r="G83" s="370" t="str">
        <f>IFERROR(IF(VLOOKUP(Tabla3[[#This Row],[Cod]],Wiseowe!B:B,1,0)&lt;&gt;"","WS",""),"")</f>
        <v>WS</v>
      </c>
      <c r="H83" s="370" t="str">
        <f>IFERROR(IF(VLOOKUP(Tabla3[[#This Row],[Cod]],Luminous!B:B,1,0)&lt;&gt;"","LM",""),"")</f>
        <v/>
      </c>
    </row>
    <row r="84" spans="2:8" x14ac:dyDescent="0.3">
      <c r="B84" s="366" t="str">
        <f>IF(C84="", "", INDEX(Colaboradores!A:A, MATCH(C84,Colaboradores!C:C, 0)))</f>
        <v>E1881</v>
      </c>
      <c r="C84" s="368" t="s">
        <v>4896</v>
      </c>
      <c r="D84" s="369">
        <v>30</v>
      </c>
      <c r="E84" s="370" t="str">
        <f>IFERROR(IF(VLOOKUP(Tabla3[[#This Row],[Cod]],'Kotrik Industrial'!B:B,1,0)&lt;&gt;"","KI",""),"")</f>
        <v/>
      </c>
      <c r="F84" s="370" t="str">
        <f>IFERROR(IF(VLOOKUP(Tabla3[[#This Row],[Cod]],'Kotrik Rosas'!B:B,1,0)&lt;&gt;"","KR",""),"")</f>
        <v/>
      </c>
      <c r="G84" s="370" t="str">
        <f>IFERROR(IF(VLOOKUP(Tabla3[[#This Row],[Cod]],Wiseowe!B:B,1,0)&lt;&gt;"","WS",""),"")</f>
        <v/>
      </c>
      <c r="H84" s="370" t="str">
        <f>IFERROR(IF(VLOOKUP(Tabla3[[#This Row],[Cod]],Luminous!B:B,1,0)&lt;&gt;"","LM",""),"")</f>
        <v>LM</v>
      </c>
    </row>
    <row r="85" spans="2:8" x14ac:dyDescent="0.3">
      <c r="B85" s="366" t="str">
        <f>IF(C85="", "", INDEX(Colaboradores!A:A, MATCH(C85,Colaboradores!C:C, 0)))</f>
        <v>E1081</v>
      </c>
      <c r="C85" s="368" t="s">
        <v>4914</v>
      </c>
      <c r="D85" s="369">
        <v>66.666666666666657</v>
      </c>
      <c r="E85" s="370" t="str">
        <f>IFERROR(IF(VLOOKUP(Tabla3[[#This Row],[Cod]],'Kotrik Industrial'!B:B,1,0)&lt;&gt;"","KI",""),"")</f>
        <v/>
      </c>
      <c r="F85" s="370" t="str">
        <f>IFERROR(IF(VLOOKUP(Tabla3[[#This Row],[Cod]],'Kotrik Rosas'!B:B,1,0)&lt;&gt;"","KR",""),"")</f>
        <v/>
      </c>
      <c r="G85" s="370" t="str">
        <f>IFERROR(IF(VLOOKUP(Tabla3[[#This Row],[Cod]],Wiseowe!B:B,1,0)&lt;&gt;"","WS",""),"")</f>
        <v>WS</v>
      </c>
      <c r="H85" s="370" t="str">
        <f>IFERROR(IF(VLOOKUP(Tabla3[[#This Row],[Cod]],Luminous!B:B,1,0)&lt;&gt;"","LM",""),"")</f>
        <v/>
      </c>
    </row>
    <row r="86" spans="2:8" x14ac:dyDescent="0.3">
      <c r="B86" s="366" t="str">
        <f>IF(C86="", "", INDEX(Colaboradores!A:A, MATCH(C86,Colaboradores!C:C, 0)))</f>
        <v>E0505</v>
      </c>
      <c r="C86" s="368" t="s">
        <v>5103</v>
      </c>
      <c r="D86" s="369">
        <v>55</v>
      </c>
      <c r="E86" s="370" t="str">
        <f>IFERROR(IF(VLOOKUP(Tabla3[[#This Row],[Cod]],'Kotrik Industrial'!B:B,1,0)&lt;&gt;"","KI",""),"")</f>
        <v/>
      </c>
      <c r="F86" s="370" t="str">
        <f>IFERROR(IF(VLOOKUP(Tabla3[[#This Row],[Cod]],'Kotrik Rosas'!B:B,1,0)&lt;&gt;"","KR",""),"")</f>
        <v/>
      </c>
      <c r="G86" s="370" t="str">
        <f>IFERROR(IF(VLOOKUP(Tabla3[[#This Row],[Cod]],Wiseowe!B:B,1,0)&lt;&gt;"","WS",""),"")</f>
        <v/>
      </c>
      <c r="H86" s="370" t="str">
        <f>IFERROR(IF(VLOOKUP(Tabla3[[#This Row],[Cod]],Luminous!B:B,1,0)&lt;&gt;"","LM",""),"")</f>
        <v>LM</v>
      </c>
    </row>
    <row r="87" spans="2:8" x14ac:dyDescent="0.3">
      <c r="B87" s="366" t="str">
        <f>IF(C87="", "", INDEX(Colaboradores!A:A, MATCH(C87,Colaboradores!C:C, 0)))</f>
        <v>E2016</v>
      </c>
      <c r="C87" s="368" t="s">
        <v>5127</v>
      </c>
      <c r="D87" s="369">
        <v>64</v>
      </c>
      <c r="E87" s="370" t="str">
        <f>IFERROR(IF(VLOOKUP(Tabla3[[#This Row],[Cod]],'Kotrik Industrial'!B:B,1,0)&lt;&gt;"","KI",""),"")</f>
        <v/>
      </c>
      <c r="F87" s="370" t="str">
        <f>IFERROR(IF(VLOOKUP(Tabla3[[#This Row],[Cod]],'Kotrik Rosas'!B:B,1,0)&lt;&gt;"","KR",""),"")</f>
        <v/>
      </c>
      <c r="G87" s="370" t="str">
        <f>IFERROR(IF(VLOOKUP(Tabla3[[#This Row],[Cod]],Wiseowe!B:B,1,0)&lt;&gt;"","WS",""),"")</f>
        <v>WS</v>
      </c>
      <c r="H87" s="370" t="str">
        <f>IFERROR(IF(VLOOKUP(Tabla3[[#This Row],[Cod]],Luminous!B:B,1,0)&lt;&gt;"","LM",""),"")</f>
        <v/>
      </c>
    </row>
    <row r="88" spans="2:8" x14ac:dyDescent="0.3">
      <c r="B88" s="366" t="str">
        <f>IF(C88="", "", INDEX(Colaboradores!A:A, MATCH(C88,Colaboradores!C:C, 0)))</f>
        <v>E1849</v>
      </c>
      <c r="C88" s="368" t="s">
        <v>5279</v>
      </c>
      <c r="D88" s="369">
        <v>81.111111111111114</v>
      </c>
      <c r="E88" s="370" t="str">
        <f>IFERROR(IF(VLOOKUP(Tabla3[[#This Row],[Cod]],'Kotrik Industrial'!B:B,1,0)&lt;&gt;"","KI",""),"")</f>
        <v/>
      </c>
      <c r="F88" s="370" t="str">
        <f>IFERROR(IF(VLOOKUP(Tabla3[[#This Row],[Cod]],'Kotrik Rosas'!B:B,1,0)&lt;&gt;"","KR",""),"")</f>
        <v/>
      </c>
      <c r="G88" s="370" t="str">
        <f>IFERROR(IF(VLOOKUP(Tabla3[[#This Row],[Cod]],Wiseowe!B:B,1,0)&lt;&gt;"","WS",""),"")</f>
        <v>WS</v>
      </c>
      <c r="H88" s="370" t="str">
        <f>IFERROR(IF(VLOOKUP(Tabla3[[#This Row],[Cod]],Luminous!B:B,1,0)&lt;&gt;"","LM",""),"")</f>
        <v/>
      </c>
    </row>
    <row r="89" spans="2:8" x14ac:dyDescent="0.3">
      <c r="B89" s="366" t="str">
        <f>IF(C89="", "", INDEX(Colaboradores!A:A, MATCH(C89,Colaboradores!C:C, 0)))</f>
        <v>E2053</v>
      </c>
      <c r="C89" s="368" t="s">
        <v>5349</v>
      </c>
      <c r="D89" s="369">
        <v>128.88888888888889</v>
      </c>
      <c r="E89" s="370" t="str">
        <f>IFERROR(IF(VLOOKUP(Tabla3[[#This Row],[Cod]],'Kotrik Industrial'!B:B,1,0)&lt;&gt;"","KI",""),"")</f>
        <v/>
      </c>
      <c r="F89" s="370" t="str">
        <f>IFERROR(IF(VLOOKUP(Tabla3[[#This Row],[Cod]],'Kotrik Rosas'!B:B,1,0)&lt;&gt;"","KR",""),"")</f>
        <v/>
      </c>
      <c r="G89" s="370" t="str">
        <f>IFERROR(IF(VLOOKUP(Tabla3[[#This Row],[Cod]],Wiseowe!B:B,1,0)&lt;&gt;"","WS",""),"")</f>
        <v/>
      </c>
      <c r="H89" s="370" t="str">
        <f>IFERROR(IF(VLOOKUP(Tabla3[[#This Row],[Cod]],Luminous!B:B,1,0)&lt;&gt;"","LM",""),"")</f>
        <v>LM</v>
      </c>
    </row>
    <row r="90" spans="2:8" x14ac:dyDescent="0.3">
      <c r="B90" s="366" t="str">
        <f>IF(C90="", "", INDEX(Colaboradores!A:A, MATCH(C90,Colaboradores!C:C, 0)))</f>
        <v>E2088</v>
      </c>
      <c r="C90" s="368" t="s">
        <v>5377</v>
      </c>
      <c r="D90" s="369">
        <v>20</v>
      </c>
      <c r="E90" s="370" t="str">
        <f>IFERROR(IF(VLOOKUP(Tabla3[[#This Row],[Cod]],'Kotrik Industrial'!B:B,1,0)&lt;&gt;"","KI",""),"")</f>
        <v/>
      </c>
      <c r="F90" s="370" t="str">
        <f>IFERROR(IF(VLOOKUP(Tabla3[[#This Row],[Cod]],'Kotrik Rosas'!B:B,1,0)&lt;&gt;"","KR",""),"")</f>
        <v/>
      </c>
      <c r="G90" s="370" t="str">
        <f>IFERROR(IF(VLOOKUP(Tabla3[[#This Row],[Cod]],Wiseowe!B:B,1,0)&lt;&gt;"","WS",""),"")</f>
        <v/>
      </c>
      <c r="H90" s="370" t="str">
        <f>IFERROR(IF(VLOOKUP(Tabla3[[#This Row],[Cod]],Luminous!B:B,1,0)&lt;&gt;"","LM",""),"")</f>
        <v>LM</v>
      </c>
    </row>
    <row r="91" spans="2:8" x14ac:dyDescent="0.3">
      <c r="B91" s="366" t="str">
        <f>IF(C91="", "", INDEX(Colaboradores!A:A, MATCH(C91,Colaboradores!C:C, 0)))</f>
        <v>E2007</v>
      </c>
      <c r="C91" s="368" t="s">
        <v>5467</v>
      </c>
      <c r="D91" s="369">
        <v>64</v>
      </c>
      <c r="E91" s="370" t="str">
        <f>IFERROR(IF(VLOOKUP(Tabla3[[#This Row],[Cod]],'Kotrik Industrial'!B:B,1,0)&lt;&gt;"","KI",""),"")</f>
        <v/>
      </c>
      <c r="F91" s="370" t="str">
        <f>IFERROR(IF(VLOOKUP(Tabla3[[#This Row],[Cod]],'Kotrik Rosas'!B:B,1,0)&lt;&gt;"","KR",""),"")</f>
        <v/>
      </c>
      <c r="G91" s="370" t="str">
        <f>IFERROR(IF(VLOOKUP(Tabla3[[#This Row],[Cod]],Wiseowe!B:B,1,0)&lt;&gt;"","WS",""),"")</f>
        <v>WS</v>
      </c>
      <c r="H91" s="370" t="str">
        <f>IFERROR(IF(VLOOKUP(Tabla3[[#This Row],[Cod]],Luminous!B:B,1,0)&lt;&gt;"","LM",""),"")</f>
        <v/>
      </c>
    </row>
    <row r="92" spans="2:8" x14ac:dyDescent="0.3">
      <c r="B92" s="366" t="str">
        <f>IF(C92="", "", INDEX(Colaboradores!A:A, MATCH(C92,Colaboradores!C:C, 0)))</f>
        <v>E0349</v>
      </c>
      <c r="C92" s="368" t="s">
        <v>5484</v>
      </c>
      <c r="D92" s="369">
        <v>50</v>
      </c>
      <c r="E92" s="370" t="str">
        <f>IFERROR(IF(VLOOKUP(Tabla3[[#This Row],[Cod]],'Kotrik Industrial'!B:B,1,0)&lt;&gt;"","KI",""),"")</f>
        <v/>
      </c>
      <c r="F92" s="370" t="str">
        <f>IFERROR(IF(VLOOKUP(Tabla3[[#This Row],[Cod]],'Kotrik Rosas'!B:B,1,0)&lt;&gt;"","KR",""),"")</f>
        <v>KR</v>
      </c>
      <c r="G92" s="370" t="str">
        <f>IFERROR(IF(VLOOKUP(Tabla3[[#This Row],[Cod]],Wiseowe!B:B,1,0)&lt;&gt;"","WS",""),"")</f>
        <v/>
      </c>
      <c r="H92" s="370" t="str">
        <f>IFERROR(IF(VLOOKUP(Tabla3[[#This Row],[Cod]],Luminous!B:B,1,0)&lt;&gt;"","LM",""),"")</f>
        <v/>
      </c>
    </row>
    <row r="93" spans="2:8" x14ac:dyDescent="0.3">
      <c r="B93" s="366" t="str">
        <f>IF(C93="", "", INDEX(Colaboradores!A:A, MATCH(C93,Colaboradores!C:C, 0)))</f>
        <v>E0447</v>
      </c>
      <c r="C93" s="368" t="s">
        <v>5525</v>
      </c>
      <c r="D93" s="369">
        <v>140</v>
      </c>
      <c r="E93" s="370" t="str">
        <f>IFERROR(IF(VLOOKUP(Tabla3[[#This Row],[Cod]],'Kotrik Industrial'!B:B,1,0)&lt;&gt;"","KI",""),"")</f>
        <v/>
      </c>
      <c r="F93" s="370" t="str">
        <f>IFERROR(IF(VLOOKUP(Tabla3[[#This Row],[Cod]],'Kotrik Rosas'!B:B,1,0)&lt;&gt;"","KR",""),"")</f>
        <v>KR</v>
      </c>
      <c r="G93" s="370" t="str">
        <f>IFERROR(IF(VLOOKUP(Tabla3[[#This Row],[Cod]],Wiseowe!B:B,1,0)&lt;&gt;"","WS",""),"")</f>
        <v/>
      </c>
      <c r="H93" s="370" t="str">
        <f>IFERROR(IF(VLOOKUP(Tabla3[[#This Row],[Cod]],Luminous!B:B,1,0)&lt;&gt;"","LM",""),"")</f>
        <v/>
      </c>
    </row>
    <row r="94" spans="2:8" x14ac:dyDescent="0.3">
      <c r="B94" s="366" t="str">
        <f>IF(C94="", "", INDEX(Colaboradores!A:A, MATCH(C94,Colaboradores!C:C, 0)))</f>
        <v>E1076</v>
      </c>
      <c r="C94" s="368" t="s">
        <v>5541</v>
      </c>
      <c r="D94" s="369">
        <v>116</v>
      </c>
      <c r="E94" s="370" t="str">
        <f>IFERROR(IF(VLOOKUP(Tabla3[[#This Row],[Cod]],'Kotrik Industrial'!B:B,1,0)&lt;&gt;"","KI",""),"")</f>
        <v/>
      </c>
      <c r="F94" s="370" t="str">
        <f>IFERROR(IF(VLOOKUP(Tabla3[[#This Row],[Cod]],'Kotrik Rosas'!B:B,1,0)&lt;&gt;"","KR",""),"")</f>
        <v/>
      </c>
      <c r="G94" s="370" t="str">
        <f>IFERROR(IF(VLOOKUP(Tabla3[[#This Row],[Cod]],Wiseowe!B:B,1,0)&lt;&gt;"","WS",""),"")</f>
        <v>WS</v>
      </c>
      <c r="H94" s="370" t="str">
        <f>IFERROR(IF(VLOOKUP(Tabla3[[#This Row],[Cod]],Luminous!B:B,1,0)&lt;&gt;"","LM",""),"")</f>
        <v/>
      </c>
    </row>
    <row r="95" spans="2:8" x14ac:dyDescent="0.3">
      <c r="B95" s="366" t="str">
        <f>IF(C95="", "", INDEX(Colaboradores!A:A, MATCH(C95,Colaboradores!C:C, 0)))</f>
        <v>E2060</v>
      </c>
      <c r="C95" s="368" t="s">
        <v>5819</v>
      </c>
      <c r="D95" s="369">
        <v>126.66666666666667</v>
      </c>
      <c r="E95" s="370" t="str">
        <f>IFERROR(IF(VLOOKUP(Tabla3[[#This Row],[Cod]],'Kotrik Industrial'!B:B,1,0)&lt;&gt;"","KI",""),"")</f>
        <v/>
      </c>
      <c r="F95" s="370" t="str">
        <f>IFERROR(IF(VLOOKUP(Tabla3[[#This Row],[Cod]],'Kotrik Rosas'!B:B,1,0)&lt;&gt;"","KR",""),"")</f>
        <v/>
      </c>
      <c r="G95" s="370" t="str">
        <f>IFERROR(IF(VLOOKUP(Tabla3[[#This Row],[Cod]],Wiseowe!B:B,1,0)&lt;&gt;"","WS",""),"")</f>
        <v>WS</v>
      </c>
      <c r="H95" s="370" t="str">
        <f>IFERROR(IF(VLOOKUP(Tabla3[[#This Row],[Cod]],Luminous!B:B,1,0)&lt;&gt;"","LM",""),"")</f>
        <v/>
      </c>
    </row>
    <row r="96" spans="2:8" x14ac:dyDescent="0.3">
      <c r="B96" s="366" t="str">
        <f>IF(C96="", "", INDEX(Colaboradores!A:A, MATCH(C96,Colaboradores!C:C, 0)))</f>
        <v>E1816</v>
      </c>
      <c r="C96" s="368" t="s">
        <v>5823</v>
      </c>
      <c r="D96" s="369">
        <v>111.11111111111111</v>
      </c>
      <c r="E96" s="370" t="str">
        <f>IFERROR(IF(VLOOKUP(Tabla3[[#This Row],[Cod]],'Kotrik Industrial'!B:B,1,0)&lt;&gt;"","KI",""),"")</f>
        <v/>
      </c>
      <c r="F96" s="370" t="str">
        <f>IFERROR(IF(VLOOKUP(Tabla3[[#This Row],[Cod]],'Kotrik Rosas'!B:B,1,0)&lt;&gt;"","KR",""),"")</f>
        <v/>
      </c>
      <c r="G96" s="370" t="str">
        <f>IFERROR(IF(VLOOKUP(Tabla3[[#This Row],[Cod]],Wiseowe!B:B,1,0)&lt;&gt;"","WS",""),"")</f>
        <v>WS</v>
      </c>
      <c r="H96" s="370" t="str">
        <f>IFERROR(IF(VLOOKUP(Tabla3[[#This Row],[Cod]],Luminous!B:B,1,0)&lt;&gt;"","LM",""),"")</f>
        <v/>
      </c>
    </row>
    <row r="97" spans="2:8" x14ac:dyDescent="0.3">
      <c r="B97" s="366" t="str">
        <f>IF(C97="", "", INDEX(Colaboradores!A:A, MATCH(C97,Colaboradores!C:C, 0)))</f>
        <v>E0327</v>
      </c>
      <c r="C97" s="368" t="s">
        <v>5830</v>
      </c>
      <c r="D97" s="369">
        <v>85</v>
      </c>
      <c r="E97" s="370" t="str">
        <f>IFERROR(IF(VLOOKUP(Tabla3[[#This Row],[Cod]],'Kotrik Industrial'!B:B,1,0)&lt;&gt;"","KI",""),"")</f>
        <v/>
      </c>
      <c r="F97" s="370" t="str">
        <f>IFERROR(IF(VLOOKUP(Tabla3[[#This Row],[Cod]],'Kotrik Rosas'!B:B,1,0)&lt;&gt;"","KR",""),"")</f>
        <v/>
      </c>
      <c r="G97" s="370" t="str">
        <f>IFERROR(IF(VLOOKUP(Tabla3[[#This Row],[Cod]],Wiseowe!B:B,1,0)&lt;&gt;"","WS",""),"")</f>
        <v/>
      </c>
      <c r="H97" s="370" t="str">
        <f>IFERROR(IF(VLOOKUP(Tabla3[[#This Row],[Cod]],Luminous!B:B,1,0)&lt;&gt;"","LM",""),"")</f>
        <v>LM</v>
      </c>
    </row>
    <row r="98" spans="2:8" x14ac:dyDescent="0.3">
      <c r="B98" s="366" t="str">
        <f>IF(C98="", "", INDEX(Colaboradores!A:A, MATCH(C98,Colaboradores!C:C, 0)))</f>
        <v>E1729</v>
      </c>
      <c r="C98" s="368" t="s">
        <v>5838</v>
      </c>
      <c r="D98" s="369">
        <v>111.11111111111111</v>
      </c>
      <c r="E98" s="370" t="str">
        <f>IFERROR(IF(VLOOKUP(Tabla3[[#This Row],[Cod]],'Kotrik Industrial'!B:B,1,0)&lt;&gt;"","KI",""),"")</f>
        <v/>
      </c>
      <c r="F98" s="370" t="str">
        <f>IFERROR(IF(VLOOKUP(Tabla3[[#This Row],[Cod]],'Kotrik Rosas'!B:B,1,0)&lt;&gt;"","KR",""),"")</f>
        <v/>
      </c>
      <c r="G98" s="370" t="str">
        <f>IFERROR(IF(VLOOKUP(Tabla3[[#This Row],[Cod]],Wiseowe!B:B,1,0)&lt;&gt;"","WS",""),"")</f>
        <v>WS</v>
      </c>
      <c r="H98" s="370" t="str">
        <f>IFERROR(IF(VLOOKUP(Tabla3[[#This Row],[Cod]],Luminous!B:B,1,0)&lt;&gt;"","LM",""),"")</f>
        <v/>
      </c>
    </row>
    <row r="99" spans="2:8" x14ac:dyDescent="0.3">
      <c r="B99" s="366" t="str">
        <f>IF(C99="", "", INDEX(Colaboradores!A:A, MATCH(C99,Colaboradores!C:C, 0)))</f>
        <v>E0048</v>
      </c>
      <c r="C99" s="368" t="s">
        <v>5930</v>
      </c>
      <c r="D99" s="369">
        <v>15</v>
      </c>
      <c r="E99" s="370" t="str">
        <f>IFERROR(IF(VLOOKUP(Tabla3[[#This Row],[Cod]],'Kotrik Industrial'!B:B,1,0)&lt;&gt;"","KI",""),"")</f>
        <v/>
      </c>
      <c r="F99" s="370" t="str">
        <f>IFERROR(IF(VLOOKUP(Tabla3[[#This Row],[Cod]],'Kotrik Rosas'!B:B,1,0)&lt;&gt;"","KR",""),"")</f>
        <v/>
      </c>
      <c r="G99" s="370" t="str">
        <f>IFERROR(IF(VLOOKUP(Tabla3[[#This Row],[Cod]],Wiseowe!B:B,1,0)&lt;&gt;"","WS",""),"")</f>
        <v>WS</v>
      </c>
      <c r="H99" s="370" t="str">
        <f>IFERROR(IF(VLOOKUP(Tabla3[[#This Row],[Cod]],Luminous!B:B,1,0)&lt;&gt;"","LM",""),"")</f>
        <v>LM</v>
      </c>
    </row>
    <row r="100" spans="2:8" x14ac:dyDescent="0.3">
      <c r="B100" s="366" t="str">
        <f>IF(C100="", "", INDEX(Colaboradores!A:A, MATCH(C100,Colaboradores!C:C, 0)))</f>
        <v>E2022</v>
      </c>
      <c r="C100" s="368" t="s">
        <v>6066</v>
      </c>
      <c r="D100" s="369">
        <v>80</v>
      </c>
      <c r="E100" s="370" t="str">
        <f>IFERROR(IF(VLOOKUP(Tabla3[[#This Row],[Cod]],'Kotrik Industrial'!B:B,1,0)&lt;&gt;"","KI",""),"")</f>
        <v/>
      </c>
      <c r="F100" s="370" t="str">
        <f>IFERROR(IF(VLOOKUP(Tabla3[[#This Row],[Cod]],'Kotrik Rosas'!B:B,1,0)&lt;&gt;"","KR",""),"")</f>
        <v/>
      </c>
      <c r="G100" s="370" t="str">
        <f>IFERROR(IF(VLOOKUP(Tabla3[[#This Row],[Cod]],Wiseowe!B:B,1,0)&lt;&gt;"","WS",""),"")</f>
        <v>WS</v>
      </c>
      <c r="H100" s="370" t="str">
        <f>IFERROR(IF(VLOOKUP(Tabla3[[#This Row],[Cod]],Luminous!B:B,1,0)&lt;&gt;"","LM",""),"")</f>
        <v/>
      </c>
    </row>
    <row r="101" spans="2:8" x14ac:dyDescent="0.3">
      <c r="B101" s="366" t="str">
        <f>IF(C101="", "", INDEX(Colaboradores!A:A, MATCH(C101,Colaboradores!C:C, 0)))</f>
        <v>E0081</v>
      </c>
      <c r="C101" s="368" t="s">
        <v>6129</v>
      </c>
      <c r="D101" s="369">
        <v>100</v>
      </c>
      <c r="E101" s="370" t="str">
        <f>IFERROR(IF(VLOOKUP(Tabla3[[#This Row],[Cod]],'Kotrik Industrial'!B:B,1,0)&lt;&gt;"","KI",""),"")</f>
        <v/>
      </c>
      <c r="F101" s="370" t="str">
        <f>IFERROR(IF(VLOOKUP(Tabla3[[#This Row],[Cod]],'Kotrik Rosas'!B:B,1,0)&lt;&gt;"","KR",""),"")</f>
        <v/>
      </c>
      <c r="G101" s="370" t="str">
        <f>IFERROR(IF(VLOOKUP(Tabla3[[#This Row],[Cod]],Wiseowe!B:B,1,0)&lt;&gt;"","WS",""),"")</f>
        <v>WS</v>
      </c>
      <c r="H101" s="370" t="str">
        <f>IFERROR(IF(VLOOKUP(Tabla3[[#This Row],[Cod]],Luminous!B:B,1,0)&lt;&gt;"","LM",""),"")</f>
        <v/>
      </c>
    </row>
    <row r="102" spans="2:8" x14ac:dyDescent="0.3">
      <c r="B102" s="366" t="str">
        <f>IF(C102="", "", INDEX(Colaboradores!A:A, MATCH(C102,Colaboradores!C:C, 0)))</f>
        <v>E0080</v>
      </c>
      <c r="C102" s="368" t="s">
        <v>6136</v>
      </c>
      <c r="D102" s="369">
        <v>100</v>
      </c>
      <c r="E102" s="370" t="str">
        <f>IFERROR(IF(VLOOKUP(Tabla3[[#This Row],[Cod]],'Kotrik Industrial'!B:B,1,0)&lt;&gt;"","KI",""),"")</f>
        <v/>
      </c>
      <c r="F102" s="370" t="str">
        <f>IFERROR(IF(VLOOKUP(Tabla3[[#This Row],[Cod]],'Kotrik Rosas'!B:B,1,0)&lt;&gt;"","KR",""),"")</f>
        <v/>
      </c>
      <c r="G102" s="370" t="str">
        <f>IFERROR(IF(VLOOKUP(Tabla3[[#This Row],[Cod]],Wiseowe!B:B,1,0)&lt;&gt;"","WS",""),"")</f>
        <v>WS</v>
      </c>
      <c r="H102" s="370" t="str">
        <f>IFERROR(IF(VLOOKUP(Tabla3[[#This Row],[Cod]],Luminous!B:B,1,0)&lt;&gt;"","LM",""),"")</f>
        <v/>
      </c>
    </row>
    <row r="103" spans="2:8" x14ac:dyDescent="0.3">
      <c r="B103" s="366" t="str">
        <f>IF(C103="", "", INDEX(Colaboradores!A:A, MATCH(C103,Colaboradores!C:C, 0)))</f>
        <v>E0446</v>
      </c>
      <c r="C103" s="368" t="s">
        <v>6333</v>
      </c>
      <c r="D103" s="369">
        <v>140</v>
      </c>
      <c r="E103" s="370" t="str">
        <f>IFERROR(IF(VLOOKUP(Tabla3[[#This Row],[Cod]],'Kotrik Industrial'!B:B,1,0)&lt;&gt;"","KI",""),"")</f>
        <v/>
      </c>
      <c r="F103" s="370" t="str">
        <f>IFERROR(IF(VLOOKUP(Tabla3[[#This Row],[Cod]],'Kotrik Rosas'!B:B,1,0)&lt;&gt;"","KR",""),"")</f>
        <v>KR</v>
      </c>
      <c r="G103" s="370" t="str">
        <f>IFERROR(IF(VLOOKUP(Tabla3[[#This Row],[Cod]],Wiseowe!B:B,1,0)&lt;&gt;"","WS",""),"")</f>
        <v/>
      </c>
      <c r="H103" s="370" t="str">
        <f>IFERROR(IF(VLOOKUP(Tabla3[[#This Row],[Cod]],Luminous!B:B,1,0)&lt;&gt;"","LM",""),"")</f>
        <v/>
      </c>
    </row>
    <row r="104" spans="2:8" x14ac:dyDescent="0.3">
      <c r="B104" s="366" t="str">
        <f>IF(C104="", "", INDEX(Colaboradores!A:A, MATCH(C104,Colaboradores!C:C, 0)))</f>
        <v>E0588</v>
      </c>
      <c r="C104" s="368" t="s">
        <v>6340</v>
      </c>
      <c r="D104" s="369">
        <v>84.444444444444443</v>
      </c>
      <c r="E104" s="370" t="str">
        <f>IFERROR(IF(VLOOKUP(Tabla3[[#This Row],[Cod]],'Kotrik Industrial'!B:B,1,0)&lt;&gt;"","KI",""),"")</f>
        <v/>
      </c>
      <c r="F104" s="370" t="str">
        <f>IFERROR(IF(VLOOKUP(Tabla3[[#This Row],[Cod]],'Kotrik Rosas'!B:B,1,0)&lt;&gt;"","KR",""),"")</f>
        <v/>
      </c>
      <c r="G104" s="370" t="str">
        <f>IFERROR(IF(VLOOKUP(Tabla3[[#This Row],[Cod]],Wiseowe!B:B,1,0)&lt;&gt;"","WS",""),"")</f>
        <v/>
      </c>
      <c r="H104" s="370" t="str">
        <f>IFERROR(IF(VLOOKUP(Tabla3[[#This Row],[Cod]],Luminous!B:B,1,0)&lt;&gt;"","LM",""),"")</f>
        <v>LM</v>
      </c>
    </row>
    <row r="105" spans="2:8" x14ac:dyDescent="0.3">
      <c r="B105" s="366" t="str">
        <f>IF(C105="", "", INDEX(Colaboradores!A:A, MATCH(C105,Colaboradores!C:C, 0)))</f>
        <v>E0061</v>
      </c>
      <c r="C105" s="368" t="s">
        <v>6368</v>
      </c>
      <c r="D105" s="369">
        <v>86.666666666666657</v>
      </c>
      <c r="E105" s="370" t="str">
        <f>IFERROR(IF(VLOOKUP(Tabla3[[#This Row],[Cod]],'Kotrik Industrial'!B:B,1,0)&lt;&gt;"","KI",""),"")</f>
        <v/>
      </c>
      <c r="F105" s="370" t="str">
        <f>IFERROR(IF(VLOOKUP(Tabla3[[#This Row],[Cod]],'Kotrik Rosas'!B:B,1,0)&lt;&gt;"","KR",""),"")</f>
        <v/>
      </c>
      <c r="G105" s="370" t="str">
        <f>IFERROR(IF(VLOOKUP(Tabla3[[#This Row],[Cod]],Wiseowe!B:B,1,0)&lt;&gt;"","WS",""),"")</f>
        <v/>
      </c>
      <c r="H105" s="370" t="str">
        <f>IFERROR(IF(VLOOKUP(Tabla3[[#This Row],[Cod]],Luminous!B:B,1,0)&lt;&gt;"","LM",""),"")</f>
        <v>LM</v>
      </c>
    </row>
    <row r="106" spans="2:8" x14ac:dyDescent="0.3">
      <c r="B106" s="366" t="str">
        <f>IF(C106="", "", INDEX(Colaboradores!A:A, MATCH(C106,Colaboradores!C:C, 0)))</f>
        <v>E1863</v>
      </c>
      <c r="C106" s="368" t="s">
        <v>6565</v>
      </c>
      <c r="D106" s="369">
        <v>116</v>
      </c>
      <c r="E106" s="370" t="str">
        <f>IFERROR(IF(VLOOKUP(Tabla3[[#This Row],[Cod]],'Kotrik Industrial'!B:B,1,0)&lt;&gt;"","KI",""),"")</f>
        <v/>
      </c>
      <c r="F106" s="370" t="str">
        <f>IFERROR(IF(VLOOKUP(Tabla3[[#This Row],[Cod]],'Kotrik Rosas'!B:B,1,0)&lt;&gt;"","KR",""),"")</f>
        <v/>
      </c>
      <c r="G106" s="370" t="str">
        <f>IFERROR(IF(VLOOKUP(Tabla3[[#This Row],[Cod]],Wiseowe!B:B,1,0)&lt;&gt;"","WS",""),"")</f>
        <v>WS</v>
      </c>
      <c r="H106" s="370" t="str">
        <f>IFERROR(IF(VLOOKUP(Tabla3[[#This Row],[Cod]],Luminous!B:B,1,0)&lt;&gt;"","LM",""),"")</f>
        <v/>
      </c>
    </row>
    <row r="107" spans="2:8" x14ac:dyDescent="0.3">
      <c r="B107" s="366" t="str">
        <f>IF(C107="", "", INDEX(Colaboradores!A:A, MATCH(C107,Colaboradores!C:C, 0)))</f>
        <v>E2034</v>
      </c>
      <c r="C107" s="368" t="s">
        <v>6712</v>
      </c>
      <c r="D107" s="369">
        <v>66.666666666666671</v>
      </c>
      <c r="E107" s="370" t="str">
        <f>IFERROR(IF(VLOOKUP(Tabla3[[#This Row],[Cod]],'Kotrik Industrial'!B:B,1,0)&lt;&gt;"","KI",""),"")</f>
        <v/>
      </c>
      <c r="F107" s="370" t="str">
        <f>IFERROR(IF(VLOOKUP(Tabla3[[#This Row],[Cod]],'Kotrik Rosas'!B:B,1,0)&lt;&gt;"","KR",""),"")</f>
        <v/>
      </c>
      <c r="G107" s="370" t="str">
        <f>IFERROR(IF(VLOOKUP(Tabla3[[#This Row],[Cod]],Wiseowe!B:B,1,0)&lt;&gt;"","WS",""),"")</f>
        <v>WS</v>
      </c>
      <c r="H107" s="370" t="str">
        <f>IFERROR(IF(VLOOKUP(Tabla3[[#This Row],[Cod]],Luminous!B:B,1,0)&lt;&gt;"","LM",""),"")</f>
        <v/>
      </c>
    </row>
    <row r="108" spans="2:8" x14ac:dyDescent="0.3">
      <c r="B108" s="366" t="str">
        <f>IF(C108="", "", INDEX(Colaboradores!A:A, MATCH(C108,Colaboradores!C:C, 0)))</f>
        <v>E0630</v>
      </c>
      <c r="C108" s="368" t="s">
        <v>6716</v>
      </c>
      <c r="D108" s="369">
        <v>40</v>
      </c>
      <c r="E108" s="370" t="str">
        <f>IFERROR(IF(VLOOKUP(Tabla3[[#This Row],[Cod]],'Kotrik Industrial'!B:B,1,0)&lt;&gt;"","KI",""),"")</f>
        <v/>
      </c>
      <c r="F108" s="370" t="str">
        <f>IFERROR(IF(VLOOKUP(Tabla3[[#This Row],[Cod]],'Kotrik Rosas'!B:B,1,0)&lt;&gt;"","KR",""),"")</f>
        <v/>
      </c>
      <c r="G108" s="370" t="str">
        <f>IFERROR(IF(VLOOKUP(Tabla3[[#This Row],[Cod]],Wiseowe!B:B,1,0)&lt;&gt;"","WS",""),"")</f>
        <v>WS</v>
      </c>
      <c r="H108" s="370" t="str">
        <f>IFERROR(IF(VLOOKUP(Tabla3[[#This Row],[Cod]],Luminous!B:B,1,0)&lt;&gt;"","LM",""),"")</f>
        <v/>
      </c>
    </row>
    <row r="109" spans="2:8" x14ac:dyDescent="0.3">
      <c r="B109" s="366" t="str">
        <f>IF(C109="", "", INDEX(Colaboradores!A:A, MATCH(C109,Colaboradores!C:C, 0)))</f>
        <v>E0111</v>
      </c>
      <c r="C109" s="368" t="s">
        <v>6786</v>
      </c>
      <c r="D109" s="369">
        <v>89.523809523809518</v>
      </c>
      <c r="E109" s="370" t="str">
        <f>IFERROR(IF(VLOOKUP(Tabla3[[#This Row],[Cod]],'Kotrik Industrial'!B:B,1,0)&lt;&gt;"","KI",""),"")</f>
        <v/>
      </c>
      <c r="F109" s="370" t="str">
        <f>IFERROR(IF(VLOOKUP(Tabla3[[#This Row],[Cod]],'Kotrik Rosas'!B:B,1,0)&lt;&gt;"","KR",""),"")</f>
        <v>KR</v>
      </c>
      <c r="G109" s="370" t="str">
        <f>IFERROR(IF(VLOOKUP(Tabla3[[#This Row],[Cod]],Wiseowe!B:B,1,0)&lt;&gt;"","WS",""),"")</f>
        <v/>
      </c>
      <c r="H109" s="370" t="str">
        <f>IFERROR(IF(VLOOKUP(Tabla3[[#This Row],[Cod]],Luminous!B:B,1,0)&lt;&gt;"","LM",""),"")</f>
        <v/>
      </c>
    </row>
    <row r="110" spans="2:8" x14ac:dyDescent="0.3">
      <c r="B110" s="366" t="str">
        <f>IF(C110="", "", INDEX(Colaboradores!A:A, MATCH(C110,Colaboradores!C:C, 0)))</f>
        <v>E0354</v>
      </c>
      <c r="C110" s="368" t="s">
        <v>6949</v>
      </c>
      <c r="D110" s="369">
        <v>116</v>
      </c>
      <c r="E110" s="370" t="str">
        <f>IFERROR(IF(VLOOKUP(Tabla3[[#This Row],[Cod]],'Kotrik Industrial'!B:B,1,0)&lt;&gt;"","KI",""),"")</f>
        <v>KI</v>
      </c>
      <c r="F110" s="370" t="str">
        <f>IFERROR(IF(VLOOKUP(Tabla3[[#This Row],[Cod]],'Kotrik Rosas'!B:B,1,0)&lt;&gt;"","KR",""),"")</f>
        <v/>
      </c>
      <c r="G110" s="370" t="str">
        <f>IFERROR(IF(VLOOKUP(Tabla3[[#This Row],[Cod]],Wiseowe!B:B,1,0)&lt;&gt;"","WS",""),"")</f>
        <v/>
      </c>
      <c r="H110" s="370" t="str">
        <f>IFERROR(IF(VLOOKUP(Tabla3[[#This Row],[Cod]],Luminous!B:B,1,0)&lt;&gt;"","LM",""),"")</f>
        <v/>
      </c>
    </row>
    <row r="111" spans="2:8" x14ac:dyDescent="0.3">
      <c r="B111" s="367" t="str">
        <f>IF(C111="", "", INDEX(Colaboradores!A:A, MATCH(C111,Colaboradores!C:C, 0)))</f>
        <v>E0405</v>
      </c>
      <c r="C111" s="368" t="s">
        <v>6952</v>
      </c>
      <c r="D111" s="369">
        <v>106.66666666666667</v>
      </c>
      <c r="E111" s="370" t="str">
        <f>IFERROR(IF(VLOOKUP(Tabla3[[#This Row],[Cod]],'Kotrik Industrial'!B:B,1,0)&lt;&gt;"","KI",""),"")</f>
        <v/>
      </c>
      <c r="F111" s="370" t="str">
        <f>IFERROR(IF(VLOOKUP(Tabla3[[#This Row],[Cod]],'Kotrik Rosas'!B:B,1,0)&lt;&gt;"","KR",""),"")</f>
        <v/>
      </c>
      <c r="G111" s="370" t="str">
        <f>IFERROR(IF(VLOOKUP(Tabla3[[#This Row],[Cod]],Wiseowe!B:B,1,0)&lt;&gt;"","WS",""),"")</f>
        <v/>
      </c>
      <c r="H111" s="370" t="str">
        <f>IFERROR(IF(VLOOKUP(Tabla3[[#This Row],[Cod]],Luminous!B:B,1,0)&lt;&gt;"","LM",""),"")</f>
        <v>LM</v>
      </c>
    </row>
  </sheetData>
  <phoneticPr fontId="11" type="noConversion"/>
  <conditionalFormatting sqref="B1:B1048576">
    <cfRule type="containsErrors" dxfId="5" priority="2">
      <formula>ISERROR(B1)</formula>
    </cfRule>
  </conditionalFormatting>
  <conditionalFormatting sqref="C1:C1048576">
    <cfRule type="duplicateValues" dxfId="4" priority="7839"/>
  </conditionalFormatting>
  <pageMargins left="0.7" right="0.7" top="0.75" bottom="0.75" header="0.3" footer="0.3"/>
  <pageSetup paperSize="9" orientation="portrait" horizontalDpi="1200" verticalDpi="1200" r:id="rId1"/>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AEDE9664-BA02-41ED-88CC-D30E552C7930}">
          <x14:formula1>
            <xm:f>Colaboradores!$C:$C</xm:f>
          </x14:formula1>
          <xm:sqref>C3:C1048576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8C174-6A26-45E1-8EAD-64A3178F872B}">
  <sheetPr>
    <tabColor rgb="FF92D050"/>
  </sheetPr>
  <dimension ref="B1:F44"/>
  <sheetViews>
    <sheetView workbookViewId="0">
      <selection activeCell="I1" sqref="I1:N1048576"/>
    </sheetView>
  </sheetViews>
  <sheetFormatPr defaultColWidth="11.5546875" defaultRowHeight="14.4" x14ac:dyDescent="0.3"/>
  <cols>
    <col min="2" max="2" width="14.6640625" style="52" bestFit="1" customWidth="1"/>
    <col min="3" max="3" width="41.88671875" bestFit="1" customWidth="1"/>
    <col min="4" max="4" width="41.109375" hidden="1" customWidth="1"/>
    <col min="5" max="5" width="15.33203125" style="18" bestFit="1" customWidth="1"/>
    <col min="6" max="6" width="13.5546875" style="18" bestFit="1" customWidth="1"/>
  </cols>
  <sheetData>
    <row r="1" spans="2:6" ht="87" customHeight="1" x14ac:dyDescent="0.3">
      <c r="C1" s="228" t="s">
        <v>7778</v>
      </c>
      <c r="D1" s="228"/>
      <c r="E1" s="223"/>
      <c r="F1" s="223"/>
    </row>
    <row r="2" spans="2:6" x14ac:dyDescent="0.3">
      <c r="B2" s="224" t="s">
        <v>6998</v>
      </c>
      <c r="C2" s="227" t="s">
        <v>2</v>
      </c>
      <c r="D2" s="227" t="s">
        <v>7523</v>
      </c>
      <c r="E2" s="225" t="s">
        <v>7779</v>
      </c>
      <c r="F2" s="226" t="s">
        <v>7780</v>
      </c>
    </row>
    <row r="3" spans="2:6" x14ac:dyDescent="0.3">
      <c r="B3" s="140" t="str">
        <f>IF(C3="", "", INDEX(Colaboradores!A:A, MATCH(C3,Colaboradores!C:C, 0)))</f>
        <v>E0194</v>
      </c>
      <c r="C3" t="s">
        <v>73</v>
      </c>
      <c r="E3" s="18">
        <v>45761</v>
      </c>
      <c r="F3" s="18">
        <v>46053</v>
      </c>
    </row>
    <row r="4" spans="2:6" x14ac:dyDescent="0.3">
      <c r="B4" s="140" t="str">
        <f>IF(C4="", "", INDEX(Colaboradores!A:A, MATCH(C4,Colaboradores!C:C, 0)))</f>
        <v>E2079</v>
      </c>
      <c r="C4" t="s">
        <v>317</v>
      </c>
      <c r="E4" s="18">
        <v>45827</v>
      </c>
      <c r="F4" s="18">
        <v>46052</v>
      </c>
    </row>
    <row r="5" spans="2:6" x14ac:dyDescent="0.3">
      <c r="B5" s="140" t="str">
        <f>IF(C5="", "", INDEX(Colaboradores!A:A, MATCH(C5,Colaboradores!C:C, 0)))</f>
        <v>E0359</v>
      </c>
      <c r="C5" t="s">
        <v>393</v>
      </c>
      <c r="E5" s="18">
        <v>45852</v>
      </c>
      <c r="F5" s="18">
        <v>46052</v>
      </c>
    </row>
    <row r="6" spans="2:6" x14ac:dyDescent="0.3">
      <c r="B6" s="140" t="str">
        <f>IF(C6="", "", INDEX(Colaboradores!A:A, MATCH(C6,Colaboradores!C:C, 0)))</f>
        <v>E0195</v>
      </c>
      <c r="C6" t="s">
        <v>582</v>
      </c>
      <c r="E6" s="18">
        <v>45761</v>
      </c>
      <c r="F6" s="18">
        <v>46053</v>
      </c>
    </row>
    <row r="7" spans="2:6" x14ac:dyDescent="0.3">
      <c r="B7" s="140" t="str">
        <f>IF(C7="", "", INDEX(Colaboradores!A:A, MATCH(C7,Colaboradores!C:C, 0)))</f>
        <v>E0558</v>
      </c>
      <c r="C7" t="s">
        <v>658</v>
      </c>
      <c r="E7" s="18">
        <v>45761</v>
      </c>
    </row>
    <row r="8" spans="2:6" x14ac:dyDescent="0.3">
      <c r="B8" s="140" t="str">
        <f>IF(C8="", "", INDEX(Colaboradores!A:A, MATCH(C8,Colaboradores!C:C, 0)))</f>
        <v>E0396</v>
      </c>
      <c r="C8" t="s">
        <v>774</v>
      </c>
      <c r="E8" s="18">
        <v>45880</v>
      </c>
      <c r="F8" s="18">
        <v>46052</v>
      </c>
    </row>
    <row r="9" spans="2:6" x14ac:dyDescent="0.3">
      <c r="B9" s="140" t="str">
        <f>IF(C9="", "", INDEX(Colaboradores!A:A, MATCH(C9,Colaboradores!C:C, 0)))</f>
        <v>E0553</v>
      </c>
      <c r="C9" t="s">
        <v>883</v>
      </c>
      <c r="E9" s="18">
        <v>45779</v>
      </c>
      <c r="F9" s="18">
        <v>46052</v>
      </c>
    </row>
    <row r="10" spans="2:6" x14ac:dyDescent="0.3">
      <c r="B10" s="140" t="str">
        <f>IF(C10="", "", INDEX(Colaboradores!A:A, MATCH(C10,Colaboradores!C:C, 0)))</f>
        <v>E0615</v>
      </c>
      <c r="C10" t="s">
        <v>1517</v>
      </c>
      <c r="E10" s="18">
        <v>45803</v>
      </c>
      <c r="F10" s="18">
        <v>46052</v>
      </c>
    </row>
    <row r="11" spans="2:6" x14ac:dyDescent="0.3">
      <c r="B11" s="140" t="str">
        <f>IF(C11="", "", INDEX(Colaboradores!A:A, MATCH(C11,Colaboradores!C:C, 0)))</f>
        <v>E0180</v>
      </c>
      <c r="C11" t="s">
        <v>1683</v>
      </c>
      <c r="E11" s="18">
        <v>45796</v>
      </c>
      <c r="F11" s="18">
        <v>46052</v>
      </c>
    </row>
    <row r="12" spans="2:6" x14ac:dyDescent="0.3">
      <c r="B12" s="140" t="str">
        <f>IF(C12="", "", INDEX(Colaboradores!A:A, MATCH(C12,Colaboradores!C:C, 0)))</f>
        <v>E0233</v>
      </c>
      <c r="C12" t="s">
        <v>1750</v>
      </c>
      <c r="E12" s="18">
        <v>45769</v>
      </c>
      <c r="F12" s="18">
        <v>46052</v>
      </c>
    </row>
    <row r="13" spans="2:6" x14ac:dyDescent="0.3">
      <c r="B13" s="140" t="str">
        <f>IF(C13="", "", INDEX(Colaboradores!A:A, MATCH(C13,Colaboradores!C:C, 0)))</f>
        <v>E0424</v>
      </c>
      <c r="C13" t="s">
        <v>1839</v>
      </c>
      <c r="E13" s="18">
        <v>45769</v>
      </c>
      <c r="F13" s="18">
        <v>46027</v>
      </c>
    </row>
    <row r="14" spans="2:6" x14ac:dyDescent="0.3">
      <c r="B14" s="140" t="str">
        <f>IF(C14="", "", INDEX(Colaboradores!A:A, MATCH(C14,Colaboradores!C:C, 0)))</f>
        <v>E0229</v>
      </c>
      <c r="C14" t="s">
        <v>2176</v>
      </c>
      <c r="E14" s="18">
        <v>45761</v>
      </c>
      <c r="F14" s="18">
        <v>46052</v>
      </c>
    </row>
    <row r="15" spans="2:6" x14ac:dyDescent="0.3">
      <c r="B15" s="140" t="str">
        <f>IF(C15="", "", INDEX(Colaboradores!A:A, MATCH(C15,Colaboradores!C:C, 0)))</f>
        <v>E0394</v>
      </c>
      <c r="C15" t="s">
        <v>2278</v>
      </c>
      <c r="E15" s="18">
        <v>45761</v>
      </c>
      <c r="F15" s="18">
        <v>46052</v>
      </c>
    </row>
    <row r="16" spans="2:6" x14ac:dyDescent="0.3">
      <c r="B16" s="140" t="str">
        <f>IF(C16="", "", INDEX(Colaboradores!A:A, MATCH(C16,Colaboradores!C:C, 0)))</f>
        <v>E0104</v>
      </c>
      <c r="C16" t="s">
        <v>2358</v>
      </c>
      <c r="E16" s="18">
        <v>45751</v>
      </c>
    </row>
    <row r="17" spans="2:6" x14ac:dyDescent="0.3">
      <c r="B17" s="140" t="str">
        <f>IF(C17="", "", INDEX(Colaboradores!A:A, MATCH(C17,Colaboradores!C:C, 0)))</f>
        <v>E2083</v>
      </c>
      <c r="C17" t="s">
        <v>2626</v>
      </c>
      <c r="E17" s="18">
        <v>45751</v>
      </c>
    </row>
    <row r="18" spans="2:6" x14ac:dyDescent="0.3">
      <c r="B18" s="140" t="str">
        <f>IF(C18="", "", INDEX(Colaboradores!A:A, MATCH(C18,Colaboradores!C:C, 0)))</f>
        <v>E0112</v>
      </c>
      <c r="C18" t="s">
        <v>2918</v>
      </c>
      <c r="E18" s="18">
        <v>45751</v>
      </c>
    </row>
    <row r="19" spans="2:6" x14ac:dyDescent="0.3">
      <c r="B19" s="140" t="str">
        <f>IF(C19="", "", INDEX(Colaboradores!A:A, MATCH(C19,Colaboradores!C:C, 0)))</f>
        <v>E0398</v>
      </c>
      <c r="C19" t="s">
        <v>3165</v>
      </c>
      <c r="E19" s="18">
        <v>45764</v>
      </c>
      <c r="F19" s="18">
        <v>46052</v>
      </c>
    </row>
    <row r="20" spans="2:6" x14ac:dyDescent="0.3">
      <c r="B20" s="140" t="str">
        <f>IF(C20="", "", INDEX(Colaboradores!A:A, MATCH(C20,Colaboradores!C:C, 0)))</f>
        <v>E0182</v>
      </c>
      <c r="C20" t="s">
        <v>3169</v>
      </c>
      <c r="E20" s="18">
        <v>45820</v>
      </c>
      <c r="F20" s="18">
        <v>46052</v>
      </c>
    </row>
    <row r="21" spans="2:6" x14ac:dyDescent="0.3">
      <c r="B21" s="140" t="str">
        <f>IF(C21="", "", INDEX(Colaboradores!A:A, MATCH(C21,Colaboradores!C:C, 0)))</f>
        <v>E0196</v>
      </c>
      <c r="C21" t="s">
        <v>3335</v>
      </c>
      <c r="E21" s="18">
        <v>45764</v>
      </c>
      <c r="F21" s="18">
        <v>46053</v>
      </c>
    </row>
    <row r="22" spans="2:6" x14ac:dyDescent="0.3">
      <c r="B22" s="140" t="str">
        <f>IF(C22="", "", INDEX(Colaboradores!A:A, MATCH(C22,Colaboradores!C:C, 0)))</f>
        <v>E0181</v>
      </c>
      <c r="C22" t="s">
        <v>3975</v>
      </c>
      <c r="E22" s="230">
        <v>45820</v>
      </c>
      <c r="F22" s="230">
        <v>46052</v>
      </c>
    </row>
    <row r="23" spans="2:6" x14ac:dyDescent="0.3">
      <c r="B23" s="140" t="str">
        <f>IF(C23="", "", INDEX(Colaboradores!A:A, MATCH(C23,Colaboradores!C:C, 0)))</f>
        <v>E0395</v>
      </c>
      <c r="C23" t="s">
        <v>4234</v>
      </c>
      <c r="E23" s="18">
        <v>45764</v>
      </c>
      <c r="F23" s="18">
        <v>46052</v>
      </c>
    </row>
    <row r="24" spans="2:6" x14ac:dyDescent="0.3">
      <c r="B24" s="140" t="str">
        <f>IF(C24="", "", INDEX(Colaboradores!A:A, MATCH(C24,Colaboradores!C:C, 0)))</f>
        <v>E0105</v>
      </c>
      <c r="C24" t="s">
        <v>4288</v>
      </c>
      <c r="E24" s="18">
        <v>45751</v>
      </c>
    </row>
    <row r="25" spans="2:6" x14ac:dyDescent="0.3">
      <c r="B25" s="140" t="str">
        <f>IF(C25="", "", INDEX(Colaboradores!A:A, MATCH(C25,Colaboradores!C:C, 0)))</f>
        <v>E0641</v>
      </c>
      <c r="C25" t="s">
        <v>4582</v>
      </c>
      <c r="E25" s="18">
        <v>45814</v>
      </c>
      <c r="F25" s="18">
        <v>46027</v>
      </c>
    </row>
    <row r="26" spans="2:6" x14ac:dyDescent="0.3">
      <c r="B26" s="140" t="str">
        <f>IF(C26="", "", INDEX(Colaboradores!A:A, MATCH(C26,Colaboradores!C:C, 0)))</f>
        <v>E0147</v>
      </c>
      <c r="C26" t="s">
        <v>5220</v>
      </c>
      <c r="E26" s="18">
        <v>45943</v>
      </c>
      <c r="F26" s="18">
        <v>46027</v>
      </c>
    </row>
    <row r="27" spans="2:6" x14ac:dyDescent="0.3">
      <c r="B27" s="140" t="str">
        <f>IF(C27="", "", INDEX(Colaboradores!A:A, MATCH(C27,Colaboradores!C:C, 0)))</f>
        <v>E0780</v>
      </c>
      <c r="C27" t="s">
        <v>5275</v>
      </c>
      <c r="E27" s="18">
        <v>45855</v>
      </c>
      <c r="F27" s="18">
        <v>46045</v>
      </c>
    </row>
    <row r="28" spans="2:6" x14ac:dyDescent="0.3">
      <c r="B28" s="140" t="str">
        <f>IF(C28="", "", INDEX(Colaboradores!A:A, MATCH(C28,Colaboradores!C:C, 0)))</f>
        <v>E0392</v>
      </c>
      <c r="C28" t="s">
        <v>5327</v>
      </c>
      <c r="E28" s="18">
        <v>45779</v>
      </c>
      <c r="F28" s="18">
        <v>46052</v>
      </c>
    </row>
    <row r="29" spans="2:6" x14ac:dyDescent="0.3">
      <c r="B29" s="140" t="str">
        <f>IF(C29="", "", INDEX(Colaboradores!A:A, MATCH(C29,Colaboradores!C:C, 0)))</f>
        <v>E0423</v>
      </c>
      <c r="C29" t="s">
        <v>5385</v>
      </c>
      <c r="E29" s="18">
        <v>45807</v>
      </c>
      <c r="F29" s="18">
        <v>46027</v>
      </c>
    </row>
    <row r="30" spans="2:6" x14ac:dyDescent="0.3">
      <c r="B30" s="140" t="str">
        <f>IF(C30="", "", INDEX(Colaboradores!A:A, MATCH(C30,Colaboradores!C:C, 0)))</f>
        <v>E0349</v>
      </c>
      <c r="C30" t="s">
        <v>5484</v>
      </c>
      <c r="E30" s="18">
        <v>45862</v>
      </c>
    </row>
    <row r="31" spans="2:6" x14ac:dyDescent="0.3">
      <c r="B31" s="140" t="str">
        <f>IF(C31="", "", INDEX(Colaboradores!A:A, MATCH(C31,Colaboradores!C:C, 0)))</f>
        <v>E0447</v>
      </c>
      <c r="C31" t="s">
        <v>5525</v>
      </c>
      <c r="E31" s="18">
        <v>45470</v>
      </c>
      <c r="F31" s="18">
        <v>46052</v>
      </c>
    </row>
    <row r="32" spans="2:6" x14ac:dyDescent="0.3">
      <c r="B32" s="140" t="str">
        <f>IF(C32="", "", INDEX(Colaboradores!A:A, MATCH(C32,Colaboradores!C:C, 0)))</f>
        <v>E0400</v>
      </c>
      <c r="C32" t="s">
        <v>5529</v>
      </c>
      <c r="E32" s="18">
        <v>45807</v>
      </c>
      <c r="F32" s="18">
        <v>46052</v>
      </c>
    </row>
    <row r="33" spans="2:6" x14ac:dyDescent="0.3">
      <c r="B33" s="140" t="str">
        <f>IF(C33="", "", INDEX(Colaboradores!A:A, MATCH(C33,Colaboradores!C:C, 0)))</f>
        <v>E0315</v>
      </c>
      <c r="C33" t="s">
        <v>6312</v>
      </c>
      <c r="E33" s="18">
        <v>45762</v>
      </c>
      <c r="F33" s="18">
        <v>46052</v>
      </c>
    </row>
    <row r="34" spans="2:6" x14ac:dyDescent="0.3">
      <c r="B34" s="140" t="str">
        <f>IF(C34="", "", INDEX(Colaboradores!A:A, MATCH(C34,Colaboradores!C:C, 0)))</f>
        <v>E0445</v>
      </c>
      <c r="C34" t="s">
        <v>6320</v>
      </c>
      <c r="E34" s="18">
        <v>45857</v>
      </c>
      <c r="F34" s="18">
        <v>46052</v>
      </c>
    </row>
    <row r="35" spans="2:6" x14ac:dyDescent="0.3">
      <c r="B35" s="140"/>
      <c r="C35" t="s">
        <v>7017</v>
      </c>
      <c r="E35" s="18">
        <v>44596</v>
      </c>
    </row>
    <row r="36" spans="2:6" x14ac:dyDescent="0.3">
      <c r="B36" s="140" t="str">
        <f>IF(C36="", "", INDEX(Colaboradores!A:A, MATCH(C36,Colaboradores!C:C, 0)))</f>
        <v>E0111</v>
      </c>
      <c r="C36" t="s">
        <v>6786</v>
      </c>
      <c r="E36" s="18">
        <v>45686</v>
      </c>
    </row>
    <row r="37" spans="2:6" x14ac:dyDescent="0.3">
      <c r="B37" s="140" t="str">
        <f>IF(C37="", "", INDEX(Colaboradores!A:A, MATCH(C37,Colaboradores!C:C, 0)))</f>
        <v>E0230</v>
      </c>
      <c r="C37" t="s">
        <v>6819</v>
      </c>
      <c r="E37" s="18">
        <v>45762</v>
      </c>
      <c r="F37" s="18">
        <v>46052</v>
      </c>
    </row>
    <row r="38" spans="2:6" x14ac:dyDescent="0.3">
      <c r="B38" s="140" t="str">
        <f>IF(C38="", "", INDEX(Colaboradores!A:A, MATCH(C38,Colaboradores!C:C, 0)))</f>
        <v/>
      </c>
    </row>
    <row r="39" spans="2:6" x14ac:dyDescent="0.3">
      <c r="B39" s="140" t="str">
        <f>IF(C39="", "", INDEX(Colaboradores!A:A, MATCH(C39,Colaboradores!C:C, 0)))</f>
        <v/>
      </c>
    </row>
    <row r="40" spans="2:6" x14ac:dyDescent="0.3">
      <c r="B40" s="140" t="str">
        <f>IF(C40="", "", INDEX(Colaboradores!A:A, MATCH(C40,Colaboradores!C:C, 0)))</f>
        <v/>
      </c>
    </row>
    <row r="41" spans="2:6" x14ac:dyDescent="0.3">
      <c r="B41" s="140" t="str">
        <f>IF(C41="", "", INDEX(Colaboradores!A:A, MATCH(C41,Colaboradores!C:C, 0)))</f>
        <v/>
      </c>
    </row>
    <row r="42" spans="2:6" x14ac:dyDescent="0.3">
      <c r="B42" s="140" t="str">
        <f>IF(C42="", "", INDEX(Colaboradores!A:A, MATCH(C42,Colaboradores!C:C, 0)))</f>
        <v/>
      </c>
    </row>
    <row r="43" spans="2:6" x14ac:dyDescent="0.3">
      <c r="B43" s="140" t="str">
        <f>IF(C43="", "", INDEX(Colaboradores!A:A, MATCH(C43,Colaboradores!C:C, 0)))</f>
        <v/>
      </c>
    </row>
    <row r="44" spans="2:6" x14ac:dyDescent="0.3">
      <c r="B44" s="345" t="str">
        <f>IF(C44="", "", INDEX(Colaboradores!A:A, MATCH(C44,Colaboradores!C:C, 0)))</f>
        <v/>
      </c>
    </row>
  </sheetData>
  <conditionalFormatting sqref="B2:B44">
    <cfRule type="containsErrors" dxfId="3" priority="1">
      <formula>ISERROR(B2)</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92CE6C62-9CF5-4181-9C0C-470878040737}">
          <x14:formula1>
            <xm:f>Colaboradores!$C:$C</xm:f>
          </x14:formula1>
          <xm:sqref>C2:D1048576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77A64-4388-459D-A50E-B35680752091}">
  <sheetPr>
    <tabColor rgb="FF92D050"/>
  </sheetPr>
  <dimension ref="B1:E60"/>
  <sheetViews>
    <sheetView workbookViewId="0">
      <selection activeCell="C5" sqref="C5"/>
    </sheetView>
  </sheetViews>
  <sheetFormatPr defaultColWidth="11.5546875" defaultRowHeight="14.4" x14ac:dyDescent="0.3"/>
  <cols>
    <col min="2" max="2" width="14.6640625" style="52" bestFit="1" customWidth="1"/>
    <col min="3" max="3" width="41.88671875" bestFit="1" customWidth="1"/>
    <col min="4" max="4" width="15.33203125" style="18" bestFit="1" customWidth="1"/>
    <col min="5" max="5" width="13.5546875" style="18" bestFit="1" customWidth="1"/>
  </cols>
  <sheetData>
    <row r="1" spans="2:5" ht="55.5" customHeight="1" x14ac:dyDescent="0.3">
      <c r="B1"/>
      <c r="D1"/>
      <c r="E1"/>
    </row>
    <row r="2" spans="2:5" ht="24" customHeight="1" x14ac:dyDescent="0.3"/>
    <row r="3" spans="2:5" ht="15" thickBot="1" x14ac:dyDescent="0.35">
      <c r="B3" s="135" t="s">
        <v>6998</v>
      </c>
      <c r="C3" s="136" t="s">
        <v>7781</v>
      </c>
      <c r="D3" s="137" t="s">
        <v>7779</v>
      </c>
      <c r="E3" s="138" t="s">
        <v>7780</v>
      </c>
    </row>
    <row r="4" spans="2:5" ht="14.25" customHeight="1" thickBot="1" x14ac:dyDescent="0.35">
      <c r="B4" s="300" t="str">
        <f>IF(C4="", "", INDEX(Colaboradores!A:A, MATCH(C4,Colaboradores!C:C, 0)))</f>
        <v>E2098</v>
      </c>
      <c r="C4" s="301" t="s">
        <v>211</v>
      </c>
      <c r="D4" s="302">
        <v>46051</v>
      </c>
      <c r="E4" s="303"/>
    </row>
    <row r="5" spans="2:5" ht="15.6" thickBot="1" x14ac:dyDescent="0.35">
      <c r="B5" s="300" t="str">
        <f>IF(C5="", "", INDEX(Colaboradores!A:A, MATCH(C5,Colaboradores!C:C, 0)))</f>
        <v>E0254</v>
      </c>
      <c r="C5" s="301" t="s">
        <v>269</v>
      </c>
      <c r="D5" s="302">
        <v>46030</v>
      </c>
      <c r="E5" s="302"/>
    </row>
    <row r="6" spans="2:5" ht="15" thickBot="1" x14ac:dyDescent="0.35">
      <c r="B6" s="300" t="str">
        <f>IF(C6="", "", INDEX(Colaboradores!A:A, MATCH(C6,Colaboradores!C:C, 0)))</f>
        <v>E0622</v>
      </c>
      <c r="C6" s="304" t="s">
        <v>661</v>
      </c>
      <c r="D6" s="302">
        <v>45942</v>
      </c>
      <c r="E6" s="302"/>
    </row>
    <row r="7" spans="2:5" ht="15" thickBot="1" x14ac:dyDescent="0.35">
      <c r="B7" s="300" t="str">
        <f>IF(C7="", "", INDEX(Colaboradores!A:A, MATCH(C7,Colaboradores!C:C, 0)))</f>
        <v>E1976</v>
      </c>
      <c r="C7" s="304" t="s">
        <v>827</v>
      </c>
      <c r="D7" s="302">
        <v>46048</v>
      </c>
      <c r="E7" s="302"/>
    </row>
    <row r="8" spans="2:5" ht="15" thickBot="1" x14ac:dyDescent="0.35">
      <c r="B8" s="300" t="e">
        <f>IF(C8="", "", INDEX(Colaboradores!A:A, MATCH(C8,Colaboradores!C:C, 0)))</f>
        <v>#N/A</v>
      </c>
      <c r="C8" s="304" t="s">
        <v>7005</v>
      </c>
      <c r="D8" s="302">
        <v>45895</v>
      </c>
      <c r="E8" s="302"/>
    </row>
    <row r="9" spans="2:5" ht="15" thickBot="1" x14ac:dyDescent="0.35">
      <c r="B9" s="300" t="str">
        <f>IF(C9="", "", INDEX(Colaboradores!A:A, MATCH(C9,Colaboradores!C:C, 0)))</f>
        <v>E0144</v>
      </c>
      <c r="C9" s="304" t="s">
        <v>837</v>
      </c>
      <c r="D9" s="302">
        <v>45943</v>
      </c>
      <c r="E9" s="302"/>
    </row>
    <row r="10" spans="2:5" ht="15" thickBot="1" x14ac:dyDescent="0.35">
      <c r="B10" s="300" t="str">
        <f>IF(C10="", "", INDEX(Colaboradores!A:A, MATCH(C10,Colaboradores!C:C, 0)))</f>
        <v>E1918</v>
      </c>
      <c r="C10" s="304" t="s">
        <v>1068</v>
      </c>
      <c r="D10" s="302">
        <v>46041</v>
      </c>
      <c r="E10" s="302"/>
    </row>
    <row r="11" spans="2:5" ht="15" thickBot="1" x14ac:dyDescent="0.35">
      <c r="B11" s="300"/>
      <c r="C11" s="304" t="s">
        <v>1450</v>
      </c>
      <c r="D11" s="302">
        <v>45951</v>
      </c>
      <c r="E11" s="302">
        <v>46034</v>
      </c>
    </row>
    <row r="12" spans="2:5" ht="15" thickBot="1" x14ac:dyDescent="0.35">
      <c r="B12" s="300" t="str">
        <f>IF(C12="", "", INDEX(Colaboradores!A:A, MATCH(C12,Colaboradores!C:C, 0)))</f>
        <v>E2090</v>
      </c>
      <c r="C12" s="304" t="s">
        <v>1457</v>
      </c>
      <c r="D12" s="302">
        <v>46041</v>
      </c>
      <c r="E12" s="302"/>
    </row>
    <row r="13" spans="2:5" ht="15" thickBot="1" x14ac:dyDescent="0.35">
      <c r="B13" s="300" t="str">
        <f>IF(C13="", "", INDEX(Colaboradores!A:A, MATCH(C13,Colaboradores!C:C, 0)))</f>
        <v>E0637</v>
      </c>
      <c r="C13" s="304" t="s">
        <v>1561</v>
      </c>
      <c r="D13" s="302">
        <v>46041</v>
      </c>
      <c r="E13" s="302"/>
    </row>
    <row r="14" spans="2:5" ht="15" thickBot="1" x14ac:dyDescent="0.35">
      <c r="B14" s="300" t="str">
        <f>IF(C14="", "", INDEX(Colaboradores!A:A, MATCH(C14,Colaboradores!C:C, 0)))</f>
        <v>E0257</v>
      </c>
      <c r="C14" s="304" t="s">
        <v>1609</v>
      </c>
      <c r="D14" s="302">
        <v>46010</v>
      </c>
      <c r="E14" s="302"/>
    </row>
    <row r="15" spans="2:5" ht="15" thickBot="1" x14ac:dyDescent="0.35">
      <c r="B15" s="300" t="str">
        <f>IF(C15="", "", INDEX(Colaboradores!A:A, MATCH(C15,Colaboradores!C:C, 0)))</f>
        <v>E0873</v>
      </c>
      <c r="C15" s="304" t="s">
        <v>1780</v>
      </c>
      <c r="D15" s="302">
        <v>46051</v>
      </c>
      <c r="E15" s="302"/>
    </row>
    <row r="16" spans="2:5" ht="15" thickBot="1" x14ac:dyDescent="0.35">
      <c r="B16" s="300" t="str">
        <f>IF(C16="", "", INDEX(Colaboradores!A:A, MATCH(C16,Colaboradores!C:C, 0)))</f>
        <v>E0537</v>
      </c>
      <c r="C16" s="304" t="s">
        <v>1802</v>
      </c>
      <c r="D16" s="302">
        <v>46036</v>
      </c>
      <c r="E16" s="302">
        <v>46041</v>
      </c>
    </row>
    <row r="17" spans="2:5" ht="15" thickBot="1" x14ac:dyDescent="0.35">
      <c r="B17" s="300" t="str">
        <f>IF(C17="", "", INDEX(Colaboradores!A:A, MATCH(C17,Colaboradores!C:C, 0)))</f>
        <v>E0424</v>
      </c>
      <c r="C17" s="304" t="s">
        <v>1839</v>
      </c>
      <c r="D17" s="302">
        <v>46028</v>
      </c>
      <c r="E17" s="302"/>
    </row>
    <row r="18" spans="2:5" ht="15" thickBot="1" x14ac:dyDescent="0.35">
      <c r="B18" s="300" t="str">
        <f>IF(C18="", "", INDEX(Colaboradores!A:A, MATCH(C18,Colaboradores!C:C, 0)))</f>
        <v>E1117</v>
      </c>
      <c r="C18" s="304" t="s">
        <v>1888</v>
      </c>
      <c r="D18" s="302">
        <v>45979</v>
      </c>
      <c r="E18" s="302"/>
    </row>
    <row r="19" spans="2:5" ht="15" thickBot="1" x14ac:dyDescent="0.35">
      <c r="B19" s="300" t="str">
        <f>IF(C19="", "", INDEX(Colaboradores!A:A, MATCH(C19,Colaboradores!C:C, 0)))</f>
        <v>E0429</v>
      </c>
      <c r="C19" s="304" t="s">
        <v>2007</v>
      </c>
      <c r="D19" s="302">
        <v>46013</v>
      </c>
      <c r="E19" s="302"/>
    </row>
    <row r="20" spans="2:5" ht="15" thickBot="1" x14ac:dyDescent="0.35">
      <c r="B20" s="300" t="str">
        <f>IF(C20="", "", INDEX(Colaboradores!A:A, MATCH(C20,Colaboradores!C:C, 0)))</f>
        <v>E0414</v>
      </c>
      <c r="C20" s="304" t="s">
        <v>2254</v>
      </c>
      <c r="D20" s="302">
        <v>46042</v>
      </c>
      <c r="E20" s="302"/>
    </row>
    <row r="21" spans="2:5" ht="15" thickBot="1" x14ac:dyDescent="0.35">
      <c r="B21" s="300" t="str">
        <f>IF(C21="", "", INDEX(Colaboradores!A:A, MATCH(C21,Colaboradores!C:C, 0)))</f>
        <v>E0094</v>
      </c>
      <c r="C21" s="304" t="s">
        <v>2393</v>
      </c>
      <c r="D21" s="302">
        <v>45931</v>
      </c>
      <c r="E21" s="302"/>
    </row>
    <row r="22" spans="2:5" ht="15" thickBot="1" x14ac:dyDescent="0.35">
      <c r="B22" s="300" t="str">
        <f>IF(C22="", "", INDEX(Colaboradores!A:A, MATCH(C22,Colaboradores!C:C, 0)))</f>
        <v>E1216</v>
      </c>
      <c r="C22" s="304" t="s">
        <v>2404</v>
      </c>
      <c r="D22" s="302">
        <v>46052</v>
      </c>
      <c r="E22" s="302"/>
    </row>
    <row r="23" spans="2:5" ht="15" thickBot="1" x14ac:dyDescent="0.35">
      <c r="B23" s="300" t="str">
        <f>IF(C23="", "", INDEX(Colaboradores!A:A, MATCH(C23,Colaboradores!C:C, 0)))</f>
        <v>E0089</v>
      </c>
      <c r="C23" s="304" t="s">
        <v>2480</v>
      </c>
      <c r="D23" s="302">
        <v>45931</v>
      </c>
      <c r="E23" s="302"/>
    </row>
    <row r="24" spans="2:5" ht="15" thickBot="1" x14ac:dyDescent="0.35">
      <c r="B24" s="300" t="str">
        <f>IF(C24="", "", INDEX(Colaboradores!A:A, MATCH(C24,Colaboradores!C:C, 0)))</f>
        <v>E1504</v>
      </c>
      <c r="C24" s="304" t="s">
        <v>2542</v>
      </c>
      <c r="D24" s="302">
        <v>46041</v>
      </c>
      <c r="E24" s="302"/>
    </row>
    <row r="25" spans="2:5" ht="15" thickBot="1" x14ac:dyDescent="0.35">
      <c r="B25" s="300" t="str">
        <f>IF(C25="", "", INDEX(Colaboradores!A:A, MATCH(C25,Colaboradores!C:C, 0)))</f>
        <v>E0557</v>
      </c>
      <c r="C25" s="304" t="s">
        <v>2578</v>
      </c>
      <c r="D25" s="302">
        <v>45932</v>
      </c>
      <c r="E25" s="302"/>
    </row>
    <row r="26" spans="2:5" ht="15" thickBot="1" x14ac:dyDescent="0.35">
      <c r="B26" s="300" t="str">
        <f>IF(C26="", "", INDEX(Colaboradores!A:A, MATCH(C26,Colaboradores!C:C, 0)))</f>
        <v>E1074</v>
      </c>
      <c r="C26" s="304" t="s">
        <v>2586</v>
      </c>
      <c r="D26" s="302">
        <v>46048</v>
      </c>
      <c r="E26" s="302"/>
    </row>
    <row r="27" spans="2:5" ht="15" thickBot="1" x14ac:dyDescent="0.35">
      <c r="B27" s="300" t="str">
        <f>IF(C27="", "", INDEX(Colaboradores!A:A, MATCH(C27,Colaboradores!C:C, 0)))</f>
        <v>E0274</v>
      </c>
      <c r="C27" s="304" t="s">
        <v>2597</v>
      </c>
      <c r="D27" s="302">
        <v>46051</v>
      </c>
      <c r="E27" s="302"/>
    </row>
    <row r="28" spans="2:5" ht="15" thickBot="1" x14ac:dyDescent="0.35">
      <c r="B28" s="300" t="str">
        <f>IF(C28="", "", INDEX(Colaboradores!A:A, MATCH(C28,Colaboradores!C:C, 0)))</f>
        <v>E1306</v>
      </c>
      <c r="C28" s="304" t="s">
        <v>2671</v>
      </c>
      <c r="D28" s="302">
        <v>46052</v>
      </c>
      <c r="E28" s="302"/>
    </row>
    <row r="29" spans="2:5" ht="15" thickBot="1" x14ac:dyDescent="0.35">
      <c r="B29" s="300" t="str">
        <f>IF(C29="", "", INDEX(Colaboradores!A:A, MATCH(C29,Colaboradores!C:C, 0)))</f>
        <v>E1958</v>
      </c>
      <c r="C29" s="304" t="s">
        <v>2742</v>
      </c>
      <c r="D29" s="302">
        <v>45985</v>
      </c>
      <c r="E29" s="302"/>
    </row>
    <row r="30" spans="2:5" ht="15" thickBot="1" x14ac:dyDescent="0.35">
      <c r="B30" s="300" t="str">
        <f>IF(C30="", "", INDEX(Colaboradores!A:A, MATCH(C30,Colaboradores!C:C, 0)))</f>
        <v>E0097</v>
      </c>
      <c r="C30" t="s">
        <v>3138</v>
      </c>
      <c r="D30" s="18">
        <v>45931</v>
      </c>
    </row>
    <row r="31" spans="2:5" ht="15" thickBot="1" x14ac:dyDescent="0.35">
      <c r="B31" s="300" t="str">
        <f>IF(C31="", "", INDEX(Colaboradores!A:A, MATCH(C31,Colaboradores!C:C, 0)))</f>
        <v>E1662</v>
      </c>
      <c r="C31" t="s">
        <v>3180</v>
      </c>
      <c r="D31" s="18">
        <v>46028</v>
      </c>
      <c r="E31" s="18">
        <v>46036</v>
      </c>
    </row>
    <row r="32" spans="2:5" ht="15" thickBot="1" x14ac:dyDescent="0.35">
      <c r="B32" s="300" t="str">
        <f>IF(C32="", "", INDEX(Colaboradores!A:A, MATCH(C32,Colaboradores!C:C, 0)))</f>
        <v>E0547</v>
      </c>
      <c r="C32" t="s">
        <v>3605</v>
      </c>
      <c r="D32" s="18">
        <v>46028</v>
      </c>
      <c r="E32" s="18">
        <v>46041</v>
      </c>
    </row>
    <row r="33" spans="2:5" ht="15" thickBot="1" x14ac:dyDescent="0.35">
      <c r="B33" s="300" t="str">
        <f>IF(C33="", "", INDEX(Colaboradores!A:A, MATCH(C33,Colaboradores!C:C, 0)))</f>
        <v>E0069</v>
      </c>
      <c r="C33" t="s">
        <v>3640</v>
      </c>
      <c r="D33" s="18">
        <v>45926</v>
      </c>
    </row>
    <row r="34" spans="2:5" ht="15" thickBot="1" x14ac:dyDescent="0.35">
      <c r="B34" s="300" t="str">
        <f>IF(C34="", "", INDEX(Colaboradores!A:A, MATCH(C34,Colaboradores!C:C, 0)))</f>
        <v>E0090</v>
      </c>
      <c r="C34" t="s">
        <v>4033</v>
      </c>
      <c r="D34" s="18">
        <v>45931</v>
      </c>
    </row>
    <row r="35" spans="2:5" ht="15" thickBot="1" x14ac:dyDescent="0.35">
      <c r="B35" s="300" t="str">
        <f>IF(C35="", "", INDEX(Colaboradores!A:A, MATCH(C35,Colaboradores!C:C, 0)))</f>
        <v>E1222</v>
      </c>
      <c r="C35" t="s">
        <v>4120</v>
      </c>
      <c r="D35" s="18">
        <v>46034</v>
      </c>
      <c r="E35" s="18">
        <v>46036</v>
      </c>
    </row>
    <row r="36" spans="2:5" ht="15" thickBot="1" x14ac:dyDescent="0.35">
      <c r="B36" s="300" t="str">
        <f>IF(C36="", "", INDEX(Colaboradores!A:A, MATCH(C36,Colaboradores!C:C, 0)))</f>
        <v>E0304</v>
      </c>
      <c r="C36" t="s">
        <v>4198</v>
      </c>
      <c r="D36" s="18">
        <v>46034</v>
      </c>
      <c r="E36" s="18">
        <v>46050</v>
      </c>
    </row>
    <row r="37" spans="2:5" ht="15" thickBot="1" x14ac:dyDescent="0.35">
      <c r="B37" s="300" t="str">
        <f>IF(C37="", "", INDEX(Colaboradores!A:A, MATCH(C37,Colaboradores!C:C, 0)))</f>
        <v>E0093</v>
      </c>
      <c r="C37" t="s">
        <v>4242</v>
      </c>
      <c r="D37" s="18">
        <v>45931</v>
      </c>
    </row>
    <row r="38" spans="2:5" ht="15" thickBot="1" x14ac:dyDescent="0.35">
      <c r="B38" s="300" t="str">
        <f>IF(C38="", "", INDEX(Colaboradores!A:A, MATCH(C38,Colaboradores!C:C, 0)))</f>
        <v>E1240</v>
      </c>
      <c r="C38" t="s">
        <v>4260</v>
      </c>
      <c r="D38" s="18">
        <v>46051</v>
      </c>
    </row>
    <row r="39" spans="2:5" ht="15" thickBot="1" x14ac:dyDescent="0.35">
      <c r="B39" s="300" t="str">
        <f>IF(C39="", "", INDEX(Colaboradores!A:A, MATCH(C39,Colaboradores!C:C, 0)))</f>
        <v>E0425</v>
      </c>
      <c r="C39" t="s">
        <v>4556</v>
      </c>
      <c r="D39" s="18">
        <v>46013</v>
      </c>
    </row>
    <row r="40" spans="2:5" ht="15" thickBot="1" x14ac:dyDescent="0.35">
      <c r="B40" s="300" t="str">
        <f>IF(C40="", "", INDEX(Colaboradores!A:A, MATCH(C40,Colaboradores!C:C, 0)))</f>
        <v>E0892</v>
      </c>
      <c r="C40" t="s">
        <v>4608</v>
      </c>
      <c r="D40" s="18">
        <v>46052</v>
      </c>
    </row>
    <row r="41" spans="2:5" ht="15" thickBot="1" x14ac:dyDescent="0.35">
      <c r="B41" s="300" t="str">
        <f>IF(C41="", "", INDEX(Colaboradores!A:A, MATCH(C41,Colaboradores!C:C, 0)))</f>
        <v>E0095</v>
      </c>
      <c r="C41" t="s">
        <v>4797</v>
      </c>
      <c r="D41" s="18">
        <v>45931</v>
      </c>
    </row>
    <row r="42" spans="2:5" ht="15" thickBot="1" x14ac:dyDescent="0.35">
      <c r="B42" s="300" t="str">
        <f>IF(C42="", "", INDEX(Colaboradores!A:A, MATCH(C42,Colaboradores!C:C, 0)))</f>
        <v>E0542</v>
      </c>
      <c r="C42" t="s">
        <v>4846</v>
      </c>
      <c r="D42" s="18">
        <v>46036</v>
      </c>
      <c r="E42" s="18">
        <v>46041</v>
      </c>
    </row>
    <row r="43" spans="2:5" ht="15" thickBot="1" x14ac:dyDescent="0.35">
      <c r="B43" s="300" t="str">
        <f>IF(C43="", "", INDEX(Colaboradores!A:A, MATCH(C43,Colaboradores!C:C, 0)))</f>
        <v>E1881</v>
      </c>
      <c r="C43" t="s">
        <v>4896</v>
      </c>
      <c r="D43" s="18">
        <v>46052</v>
      </c>
    </row>
    <row r="44" spans="2:5" ht="15" thickBot="1" x14ac:dyDescent="0.35">
      <c r="B44" s="300" t="str">
        <f>IF(C44="", "", INDEX(Colaboradores!A:A, MATCH(C44,Colaboradores!C:C, 0)))</f>
        <v>E1881</v>
      </c>
      <c r="C44" t="s">
        <v>4896</v>
      </c>
      <c r="D44" s="18">
        <v>46042</v>
      </c>
      <c r="E44" s="18">
        <v>46045</v>
      </c>
    </row>
    <row r="45" spans="2:5" ht="15" thickBot="1" x14ac:dyDescent="0.35">
      <c r="B45" s="300" t="str">
        <f>IF(C45="", "", INDEX(Colaboradores!A:A, MATCH(C45,Colaboradores!C:C, 0)))</f>
        <v>E0549</v>
      </c>
      <c r="C45" t="s">
        <v>4949</v>
      </c>
      <c r="D45" s="18">
        <v>46036</v>
      </c>
      <c r="E45" s="18">
        <v>46041</v>
      </c>
    </row>
    <row r="46" spans="2:5" ht="15" thickBot="1" x14ac:dyDescent="0.35">
      <c r="B46" s="300" t="str">
        <f>IF(C46="", "", INDEX(Colaboradores!A:A, MATCH(C46,Colaboradores!C:C, 0)))</f>
        <v>E0258</v>
      </c>
      <c r="C46" t="s">
        <v>4956</v>
      </c>
      <c r="D46" s="18">
        <v>46010</v>
      </c>
    </row>
    <row r="47" spans="2:5" ht="15" thickBot="1" x14ac:dyDescent="0.35">
      <c r="B47" s="300" t="str">
        <f>IF(C47="", "", INDEX(Colaboradores!A:A, MATCH(C47,Colaboradores!C:C, 0)))</f>
        <v>E0505</v>
      </c>
      <c r="C47" t="s">
        <v>5103</v>
      </c>
      <c r="D47" s="18">
        <v>46041</v>
      </c>
    </row>
    <row r="48" spans="2:5" ht="15" thickBot="1" x14ac:dyDescent="0.35">
      <c r="B48" s="300" t="str">
        <f>IF(C48="", "", INDEX(Colaboradores!A:A, MATCH(C48,Colaboradores!C:C, 0)))</f>
        <v>E1734</v>
      </c>
      <c r="C48" t="s">
        <v>5212</v>
      </c>
      <c r="D48" s="18">
        <v>46048</v>
      </c>
    </row>
    <row r="49" spans="2:5" ht="15" thickBot="1" x14ac:dyDescent="0.35">
      <c r="B49" s="300" t="str">
        <f>IF(C49="", "", INDEX(Colaboradores!A:A, MATCH(C49,Colaboradores!C:C, 0)))</f>
        <v>E0147</v>
      </c>
      <c r="C49" t="s">
        <v>5220</v>
      </c>
      <c r="D49" s="18">
        <v>46028</v>
      </c>
    </row>
    <row r="50" spans="2:5" ht="15" thickBot="1" x14ac:dyDescent="0.35">
      <c r="B50" s="300" t="str">
        <f>IF(C50="", "", INDEX(Colaboradores!A:A, MATCH(C50,Colaboradores!C:C, 0)))</f>
        <v>E0072</v>
      </c>
      <c r="C50" t="s">
        <v>5353</v>
      </c>
      <c r="D50" s="18">
        <v>45926</v>
      </c>
    </row>
    <row r="51" spans="2:5" ht="15" thickBot="1" x14ac:dyDescent="0.35">
      <c r="B51" s="300" t="str">
        <f>IF(C51="", "", INDEX(Colaboradores!A:A, MATCH(C51,Colaboradores!C:C, 0)))</f>
        <v>E2088</v>
      </c>
      <c r="C51" t="s">
        <v>5377</v>
      </c>
      <c r="D51" s="18">
        <v>46042</v>
      </c>
      <c r="E51" s="18">
        <v>46045</v>
      </c>
    </row>
    <row r="52" spans="2:5" ht="15" thickBot="1" x14ac:dyDescent="0.35">
      <c r="B52" s="300" t="str">
        <f>IF(C52="", "", INDEX(Colaboradores!A:A, MATCH(C52,Colaboradores!C:C, 0)))</f>
        <v>E0423</v>
      </c>
      <c r="C52" t="s">
        <v>5385</v>
      </c>
      <c r="D52" s="18">
        <v>46028</v>
      </c>
    </row>
    <row r="53" spans="2:5" ht="15" thickBot="1" x14ac:dyDescent="0.35">
      <c r="B53" s="300" t="str">
        <f>IF(C53="", "", INDEX(Colaboradores!A:A, MATCH(C53,Colaboradores!C:C, 0)))</f>
        <v>E0088</v>
      </c>
      <c r="C53" t="s">
        <v>5500</v>
      </c>
      <c r="D53" s="18">
        <v>45931</v>
      </c>
    </row>
    <row r="54" spans="2:5" ht="15" thickBot="1" x14ac:dyDescent="0.35">
      <c r="B54" s="300" t="str">
        <f>IF(C54="", "", INDEX(Colaboradores!A:A, MATCH(C54,Colaboradores!C:C, 0)))</f>
        <v>E0074</v>
      </c>
      <c r="C54" t="s">
        <v>5745</v>
      </c>
      <c r="D54" s="18">
        <v>46036</v>
      </c>
      <c r="E54" s="18">
        <v>46054</v>
      </c>
    </row>
    <row r="55" spans="2:5" ht="15" thickBot="1" x14ac:dyDescent="0.35">
      <c r="B55" s="300" t="str">
        <f>IF(C55="", "", INDEX(Colaboradores!A:A, MATCH(C55,Colaboradores!C:C, 0)))</f>
        <v>E0327</v>
      </c>
      <c r="C55" t="s">
        <v>5830</v>
      </c>
      <c r="D55" s="18">
        <v>46010</v>
      </c>
      <c r="E55" s="18">
        <v>46045</v>
      </c>
    </row>
    <row r="56" spans="2:5" ht="15" thickBot="1" x14ac:dyDescent="0.35">
      <c r="B56" s="300" t="str">
        <f>IF(C56="", "", INDEX(Colaboradores!A:A, MATCH(C56,Colaboradores!C:C, 0)))</f>
        <v>E2091</v>
      </c>
      <c r="C56" t="s">
        <v>5956</v>
      </c>
      <c r="D56" s="18">
        <v>46048</v>
      </c>
    </row>
    <row r="57" spans="2:5" ht="15" thickBot="1" x14ac:dyDescent="0.35">
      <c r="B57" s="300" t="str">
        <f>IF(C57="", "", INDEX(Colaboradores!A:A, MATCH(C57,Colaboradores!C:C, 0)))</f>
        <v>E0092</v>
      </c>
      <c r="C57" t="s">
        <v>6558</v>
      </c>
      <c r="D57" s="18">
        <v>45931</v>
      </c>
    </row>
    <row r="58" spans="2:5" ht="15" thickBot="1" x14ac:dyDescent="0.35">
      <c r="B58" s="300" t="str">
        <f>IF(C58="", "", INDEX(Colaboradores!A:A, MATCH(C58,Colaboradores!C:C, 0)))</f>
        <v>E0091</v>
      </c>
      <c r="C58" t="s">
        <v>6636</v>
      </c>
      <c r="D58" s="18">
        <v>45931</v>
      </c>
    </row>
    <row r="59" spans="2:5" ht="15" thickBot="1" x14ac:dyDescent="0.35">
      <c r="B59" s="300" t="str">
        <f>IF(C59="", "", INDEX(Colaboradores!A:A, MATCH(C59,Colaboradores!C:C, 0)))</f>
        <v>E1939</v>
      </c>
      <c r="C59" t="s">
        <v>6644</v>
      </c>
      <c r="D59" s="18">
        <v>46041</v>
      </c>
      <c r="E59" s="18">
        <v>46041</v>
      </c>
    </row>
    <row r="60" spans="2:5" ht="15" thickBot="1" x14ac:dyDescent="0.35">
      <c r="B60" s="300" t="str">
        <f>IF(C60="", "", INDEX(Colaboradores!A:A, MATCH(C60,Colaboradores!C:C, 0)))</f>
        <v>E0405</v>
      </c>
      <c r="C60" t="s">
        <v>6952</v>
      </c>
      <c r="D60" s="18">
        <v>45987</v>
      </c>
    </row>
  </sheetData>
  <conditionalFormatting sqref="B3:B60">
    <cfRule type="containsErrors" dxfId="2" priority="1">
      <formula>ISERROR(B3)</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DC34AE2-E68D-47FF-82AF-0953C83644FE}">
          <x14:formula1>
            <xm:f>Colaboradores!$C:$C</xm:f>
          </x14:formula1>
          <xm:sqref>C2:C1048576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225BB-AC50-4856-914A-3A0714945640}">
  <sheetPr>
    <tabColor rgb="FF92D050"/>
  </sheetPr>
  <dimension ref="B1:E63"/>
  <sheetViews>
    <sheetView workbookViewId="0">
      <selection activeCell="C19" sqref="C19"/>
    </sheetView>
  </sheetViews>
  <sheetFormatPr defaultColWidth="11.5546875" defaultRowHeight="14.4" x14ac:dyDescent="0.3"/>
  <cols>
    <col min="2" max="2" width="8.6640625" style="52" customWidth="1"/>
    <col min="3" max="3" width="48.33203125" customWidth="1"/>
    <col min="4" max="4" width="15.33203125" style="18" bestFit="1" customWidth="1"/>
    <col min="5" max="5" width="13.5546875" style="18" bestFit="1" customWidth="1"/>
  </cols>
  <sheetData>
    <row r="1" spans="2:5" ht="75.75" customHeight="1" x14ac:dyDescent="0.3"/>
    <row r="2" spans="2:5" ht="19.5" customHeight="1" x14ac:dyDescent="0.3"/>
    <row r="3" spans="2:5" x14ac:dyDescent="0.3">
      <c r="B3" s="135" t="s">
        <v>6998</v>
      </c>
      <c r="C3" s="136" t="s">
        <v>7781</v>
      </c>
      <c r="D3" s="137" t="s">
        <v>7779</v>
      </c>
      <c r="E3" s="138" t="s">
        <v>7780</v>
      </c>
    </row>
    <row r="4" spans="2:5" x14ac:dyDescent="0.3">
      <c r="B4" s="139" t="str">
        <f>IF('Altas Wiseowe'!$C4="", "", INDEX(Colaboradores!A:A, MATCH('Altas Wiseowe'!$C4,Colaboradores!C:C, 0)))</f>
        <v>E0272</v>
      </c>
      <c r="C4" t="s">
        <v>90</v>
      </c>
      <c r="D4" s="18">
        <v>45945</v>
      </c>
    </row>
    <row r="5" spans="2:5" x14ac:dyDescent="0.3">
      <c r="B5" s="139" t="str">
        <f>IF('Altas Wiseowe'!$C5="", "", INDEX(Colaboradores!A:A, MATCH('Altas Wiseowe'!$C5,Colaboradores!C:C, 0)))</f>
        <v>E0386</v>
      </c>
      <c r="C5" t="s">
        <v>218</v>
      </c>
      <c r="D5" s="18">
        <v>45939</v>
      </c>
    </row>
    <row r="6" spans="2:5" x14ac:dyDescent="0.3">
      <c r="B6" s="139"/>
      <c r="C6" t="s">
        <v>7003</v>
      </c>
      <c r="D6" s="18">
        <v>45819</v>
      </c>
    </row>
    <row r="7" spans="2:5" x14ac:dyDescent="0.3">
      <c r="B7" s="139" t="str">
        <f>IF('Altas Wiseowe'!$C7="", "", INDEX(Colaboradores!A:A, MATCH('Altas Wiseowe'!$C7,Colaboradores!C:C, 0)))</f>
        <v>E0500</v>
      </c>
      <c r="C7" t="s">
        <v>372</v>
      </c>
      <c r="D7" s="18">
        <v>45896</v>
      </c>
    </row>
    <row r="8" spans="2:5" x14ac:dyDescent="0.3">
      <c r="B8" s="139" t="str">
        <f>IF('Altas Wiseowe'!$C8="", "", INDEX(Colaboradores!A:A, MATCH('Altas Wiseowe'!$C8,Colaboradores!C:C, 0)))</f>
        <v>E0617</v>
      </c>
      <c r="C8" t="s">
        <v>404</v>
      </c>
      <c r="D8" s="18">
        <v>45945</v>
      </c>
    </row>
    <row r="9" spans="2:5" x14ac:dyDescent="0.3">
      <c r="B9" s="139"/>
      <c r="C9" t="s">
        <v>643</v>
      </c>
      <c r="D9" s="18">
        <v>45945</v>
      </c>
    </row>
    <row r="10" spans="2:5" x14ac:dyDescent="0.3">
      <c r="B10" s="139"/>
      <c r="C10" t="s">
        <v>7004</v>
      </c>
      <c r="D10" s="18">
        <v>45819</v>
      </c>
    </row>
    <row r="11" spans="2:5" x14ac:dyDescent="0.3">
      <c r="B11" s="139" t="str">
        <f>IF('Altas Wiseowe'!$C11="", "", INDEX(Colaboradores!A:A, MATCH('Altas Wiseowe'!$C11,Colaboradores!C:C, 0)))</f>
        <v>E0801</v>
      </c>
      <c r="C11" t="s">
        <v>914</v>
      </c>
      <c r="D11" s="18">
        <v>45945</v>
      </c>
    </row>
    <row r="12" spans="2:5" x14ac:dyDescent="0.3">
      <c r="B12" s="139" t="str">
        <f>IF('Altas Wiseowe'!$C12="", "", INDEX(Colaboradores!A:A, MATCH('Altas Wiseowe'!$C12,Colaboradores!C:C, 0)))</f>
        <v>E1129</v>
      </c>
      <c r="C12" t="s">
        <v>1019</v>
      </c>
      <c r="D12" s="18">
        <v>45931</v>
      </c>
    </row>
    <row r="13" spans="2:5" x14ac:dyDescent="0.3">
      <c r="B13" s="139" t="str">
        <f>IF('Altas Wiseowe'!$C13="", "", INDEX(Colaboradores!A:A, MATCH('Altas Wiseowe'!$C13,Colaboradores!C:C, 0)))</f>
        <v>E1663</v>
      </c>
      <c r="C13" t="s">
        <v>1203</v>
      </c>
      <c r="D13" s="18">
        <v>45945</v>
      </c>
    </row>
    <row r="14" spans="2:5" x14ac:dyDescent="0.3">
      <c r="B14" s="139" t="str">
        <f>IF('Altas Wiseowe'!$C14="", "", INDEX(Colaboradores!A:A, MATCH('Altas Wiseowe'!$C14,Colaboradores!C:C, 0)))</f>
        <v>E0578</v>
      </c>
      <c r="C14" t="s">
        <v>1390</v>
      </c>
      <c r="D14" s="18">
        <v>45873</v>
      </c>
    </row>
    <row r="15" spans="2:5" x14ac:dyDescent="0.3">
      <c r="B15" s="139"/>
      <c r="C15" t="s">
        <v>1408</v>
      </c>
      <c r="D15" s="18">
        <v>46052</v>
      </c>
    </row>
    <row r="16" spans="2:5" x14ac:dyDescent="0.3">
      <c r="B16" s="139" t="str">
        <f>IF('Altas Wiseowe'!$C16="", "", INDEX(Colaboradores!A:A, MATCH('Altas Wiseowe'!$C16,Colaboradores!C:C, 0)))</f>
        <v>E1970</v>
      </c>
      <c r="C16" t="s">
        <v>1450</v>
      </c>
      <c r="D16" s="18">
        <v>46041</v>
      </c>
    </row>
    <row r="17" spans="2:5" x14ac:dyDescent="0.3">
      <c r="B17" s="139" t="str">
        <f>IF('Altas Wiseowe'!$C17="", "", INDEX(Colaboradores!A:A, MATCH('Altas Wiseowe'!$C17,Colaboradores!C:C, 0)))</f>
        <v>E0363</v>
      </c>
      <c r="C17" t="s">
        <v>1569</v>
      </c>
      <c r="D17" s="18">
        <v>45938</v>
      </c>
    </row>
    <row r="18" spans="2:5" x14ac:dyDescent="0.3">
      <c r="B18" s="139" t="str">
        <f>IF('Altas Wiseowe'!$C18="", "", INDEX(Colaboradores!A:A, MATCH('Altas Wiseowe'!$C18,Colaboradores!C:C, 0)))</f>
        <v>E0507</v>
      </c>
      <c r="C18" t="s">
        <v>1634</v>
      </c>
      <c r="D18" s="18">
        <v>45919</v>
      </c>
    </row>
    <row r="19" spans="2:5" x14ac:dyDescent="0.3">
      <c r="B19" s="139" t="str">
        <f>IF('Altas Wiseowe'!$C19="", "", INDEX(Colaboradores!A:A, MATCH('Altas Wiseowe'!$C19,Colaboradores!C:C, 0)))</f>
        <v>E0232</v>
      </c>
      <c r="C19" t="s">
        <v>1656</v>
      </c>
      <c r="D19" s="18">
        <v>46035</v>
      </c>
    </row>
    <row r="20" spans="2:5" x14ac:dyDescent="0.3">
      <c r="B20" s="139" t="str">
        <f>IF('Altas Wiseowe'!$C20="", "", INDEX(Colaboradores!A:A, MATCH('Altas Wiseowe'!$C20,Colaboradores!C:C, 0)))</f>
        <v>E0364</v>
      </c>
      <c r="C20" t="s">
        <v>1679</v>
      </c>
      <c r="D20" s="18">
        <v>45938</v>
      </c>
    </row>
    <row r="21" spans="2:5" x14ac:dyDescent="0.3">
      <c r="B21" s="139" t="str">
        <f>IF('Altas Wiseowe'!$C21="", "", INDEX(Colaboradores!A:A, MATCH('Altas Wiseowe'!$C21,Colaboradores!C:C, 0)))</f>
        <v>E1712</v>
      </c>
      <c r="C21" t="s">
        <v>1721</v>
      </c>
      <c r="D21" s="18">
        <v>46037</v>
      </c>
    </row>
    <row r="22" spans="2:5" x14ac:dyDescent="0.3">
      <c r="B22" s="139"/>
      <c r="C22" t="s">
        <v>7006</v>
      </c>
      <c r="D22" s="18">
        <v>45734</v>
      </c>
    </row>
    <row r="23" spans="2:5" x14ac:dyDescent="0.3">
      <c r="B23" s="139" t="str">
        <f>IF('Altas Wiseowe'!$C23="", "", INDEX(Colaboradores!A:A, MATCH('Altas Wiseowe'!$C23,Colaboradores!C:C, 0)))</f>
        <v>E1713</v>
      </c>
      <c r="C23" t="s">
        <v>1905</v>
      </c>
      <c r="D23" s="18">
        <v>45945</v>
      </c>
      <c r="E23" s="18">
        <v>46052</v>
      </c>
    </row>
    <row r="24" spans="2:5" x14ac:dyDescent="0.3">
      <c r="B24" s="139"/>
      <c r="C24" t="s">
        <v>7007</v>
      </c>
      <c r="D24" s="18">
        <v>45819</v>
      </c>
    </row>
    <row r="25" spans="2:5" x14ac:dyDescent="0.3">
      <c r="B25" s="139" t="str">
        <f>IF('Altas Wiseowe'!$C25="", "", INDEX(Colaboradores!A:A, MATCH('Altas Wiseowe'!$C25,Colaboradores!C:C, 0)))</f>
        <v>E0389</v>
      </c>
      <c r="C25" t="s">
        <v>1974</v>
      </c>
      <c r="D25" s="18">
        <v>45939</v>
      </c>
    </row>
    <row r="26" spans="2:5" x14ac:dyDescent="0.3">
      <c r="B26" s="139"/>
      <c r="C26" t="s">
        <v>7008</v>
      </c>
      <c r="D26" s="18">
        <v>45819</v>
      </c>
    </row>
    <row r="27" spans="2:5" x14ac:dyDescent="0.3">
      <c r="B27" s="139" t="str">
        <f>IF('Altas Wiseowe'!$C27="", "", INDEX(Colaboradores!A:A, MATCH('Altas Wiseowe'!$C27,Colaboradores!C:C, 0)))</f>
        <v>E0414</v>
      </c>
      <c r="C27" t="s">
        <v>2254</v>
      </c>
      <c r="D27" s="18">
        <v>45828</v>
      </c>
      <c r="E27" s="18">
        <v>46036</v>
      </c>
    </row>
    <row r="28" spans="2:5" x14ac:dyDescent="0.3">
      <c r="B28" s="139" t="str">
        <f>IF('Altas Wiseowe'!$C28="", "", INDEX(Colaboradores!A:A, MATCH('Altas Wiseowe'!$C28,Colaboradores!C:C, 0)))</f>
        <v>E0387</v>
      </c>
      <c r="C28" t="s">
        <v>2451</v>
      </c>
      <c r="D28" s="18">
        <v>45939</v>
      </c>
    </row>
    <row r="29" spans="2:5" x14ac:dyDescent="0.3">
      <c r="B29" s="139" t="str">
        <f>IF('Altas Wiseowe'!$C29="", "", INDEX(Colaboradores!A:A, MATCH('Altas Wiseowe'!$C29,Colaboradores!C:C, 0)))</f>
        <v>E0501</v>
      </c>
      <c r="C29" t="s">
        <v>2734</v>
      </c>
      <c r="D29" s="18">
        <v>45896</v>
      </c>
    </row>
    <row r="30" spans="2:5" x14ac:dyDescent="0.3">
      <c r="B30" s="139" t="str">
        <f>IF('Altas Wiseowe'!$C30="", "", INDEX(Colaboradores!A:A, MATCH('Altas Wiseowe'!$C30,Colaboradores!C:C, 0)))</f>
        <v>E0419</v>
      </c>
      <c r="C30" t="s">
        <v>2946</v>
      </c>
      <c r="D30" s="18">
        <v>45828</v>
      </c>
    </row>
    <row r="31" spans="2:5" x14ac:dyDescent="0.3">
      <c r="B31" s="139" t="str">
        <f>IF('Altas Wiseowe'!$C31="", "", INDEX(Colaboradores!A:A, MATCH('Altas Wiseowe'!$C31,Colaboradores!C:C, 0)))</f>
        <v>E0384</v>
      </c>
      <c r="C31" t="s">
        <v>3023</v>
      </c>
      <c r="D31" s="18">
        <v>45939</v>
      </c>
    </row>
    <row r="32" spans="2:5" x14ac:dyDescent="0.3">
      <c r="B32" s="139" t="str">
        <f>IF('Altas Wiseowe'!$C32="", "", INDEX(Colaboradores!A:A, MATCH('Altas Wiseowe'!$C32,Colaboradores!C:C, 0)))</f>
        <v>E0029</v>
      </c>
      <c r="C32" t="s">
        <v>3327</v>
      </c>
      <c r="D32" s="18">
        <v>45957</v>
      </c>
    </row>
    <row r="33" spans="2:4" x14ac:dyDescent="0.3">
      <c r="B33" s="139" t="str">
        <f>IF('Altas Wiseowe'!$C33="", "", INDEX(Colaboradores!A:A, MATCH('Altas Wiseowe'!$C33,Colaboradores!C:C, 0)))</f>
        <v>E0381</v>
      </c>
      <c r="C33" t="s">
        <v>3482</v>
      </c>
      <c r="D33" s="18">
        <v>45922</v>
      </c>
    </row>
    <row r="34" spans="2:4" x14ac:dyDescent="0.3">
      <c r="B34" s="139"/>
      <c r="C34" t="s">
        <v>3666</v>
      </c>
      <c r="D34" s="18">
        <v>46010</v>
      </c>
    </row>
    <row r="35" spans="2:4" x14ac:dyDescent="0.3">
      <c r="B35" s="139" t="str">
        <f>IF('Altas Wiseowe'!$C35="", "", INDEX(Colaboradores!A:A, MATCH('Altas Wiseowe'!$C35,Colaboradores!C:C, 0)))</f>
        <v>E0552</v>
      </c>
      <c r="C35" t="s">
        <v>3644</v>
      </c>
      <c r="D35" s="18">
        <v>45945</v>
      </c>
    </row>
    <row r="36" spans="2:4" x14ac:dyDescent="0.3">
      <c r="B36" s="139"/>
      <c r="C36" t="s">
        <v>3923</v>
      </c>
      <c r="D36" s="18">
        <v>45939</v>
      </c>
    </row>
    <row r="37" spans="2:4" x14ac:dyDescent="0.3">
      <c r="B37" s="139" t="str">
        <f>IF('Altas Wiseowe'!$C37="", "", INDEX(Colaboradores!A:A, MATCH('Altas Wiseowe'!$C37,Colaboradores!C:C, 0)))</f>
        <v>E0291</v>
      </c>
      <c r="C37" t="s">
        <v>3955</v>
      </c>
      <c r="D37" s="18">
        <v>45945</v>
      </c>
    </row>
    <row r="38" spans="2:4" x14ac:dyDescent="0.3">
      <c r="B38" s="139"/>
      <c r="C38" t="s">
        <v>7010</v>
      </c>
      <c r="D38" s="18">
        <v>45819</v>
      </c>
    </row>
    <row r="39" spans="2:4" x14ac:dyDescent="0.3">
      <c r="B39" s="139"/>
      <c r="C39" t="s">
        <v>4566</v>
      </c>
      <c r="D39" s="18">
        <v>46010</v>
      </c>
    </row>
    <row r="40" spans="2:4" x14ac:dyDescent="0.3">
      <c r="B40" s="139"/>
      <c r="C40" t="s">
        <v>7011</v>
      </c>
      <c r="D40" s="18">
        <v>45819</v>
      </c>
    </row>
    <row r="41" spans="2:4" x14ac:dyDescent="0.3">
      <c r="B41" s="139" t="str">
        <f>IF('Altas Wiseowe'!$C41="", "", INDEX(Colaboradores!A:A, MATCH('Altas Wiseowe'!$C41,Colaboradores!C:C, 0)))</f>
        <v>E0344</v>
      </c>
      <c r="C41" t="s">
        <v>4701</v>
      </c>
      <c r="D41" s="18">
        <v>45945</v>
      </c>
    </row>
    <row r="42" spans="2:4" x14ac:dyDescent="0.3">
      <c r="B42" s="139" t="str">
        <f>IF('Altas Wiseowe'!$C42="", "", INDEX(Colaboradores!A:A, MATCH('Altas Wiseowe'!$C42,Colaboradores!C:C, 0)))</f>
        <v>E1797</v>
      </c>
      <c r="C42" t="s">
        <v>5021</v>
      </c>
      <c r="D42" s="18">
        <v>45902</v>
      </c>
    </row>
    <row r="43" spans="2:4" x14ac:dyDescent="0.3">
      <c r="B43" s="139"/>
      <c r="C43" t="s">
        <v>7012</v>
      </c>
      <c r="D43" s="18">
        <v>45819</v>
      </c>
    </row>
    <row r="44" spans="2:4" x14ac:dyDescent="0.3">
      <c r="B44" s="139" t="str">
        <f>IF('Altas Wiseowe'!$C44="", "", INDEX(Colaboradores!A:A, MATCH('Altas Wiseowe'!$C44,Colaboradores!C:C, 0)))</f>
        <v>E0373</v>
      </c>
      <c r="C44" t="s">
        <v>5068</v>
      </c>
      <c r="D44" s="18">
        <v>45952</v>
      </c>
    </row>
    <row r="45" spans="2:4" x14ac:dyDescent="0.3">
      <c r="B45" s="139"/>
      <c r="C45" t="s">
        <v>7013</v>
      </c>
      <c r="D45" s="18">
        <v>45819</v>
      </c>
    </row>
    <row r="46" spans="2:4" x14ac:dyDescent="0.3">
      <c r="B46" s="139"/>
      <c r="C46" t="s">
        <v>7014</v>
      </c>
      <c r="D46" s="18">
        <v>45819</v>
      </c>
    </row>
    <row r="47" spans="2:4" x14ac:dyDescent="0.3">
      <c r="B47" s="139" t="str">
        <f>IF('Altas Wiseowe'!$C47="", "", INDEX(Colaboradores!A:A, MATCH('Altas Wiseowe'!$C47,Colaboradores!C:C, 0)))</f>
        <v>E0246</v>
      </c>
      <c r="C47" t="s">
        <v>5166</v>
      </c>
      <c r="D47" s="18">
        <v>45887</v>
      </c>
    </row>
    <row r="48" spans="2:4" x14ac:dyDescent="0.3">
      <c r="B48" s="139" t="str">
        <f>IF('Altas Wiseowe'!$C48="", "", INDEX(Colaboradores!A:A, MATCH('Altas Wiseowe'!$C48,Colaboradores!C:C, 0)))</f>
        <v>E0371</v>
      </c>
      <c r="C48" t="s">
        <v>5618</v>
      </c>
      <c r="D48" s="18">
        <v>45939</v>
      </c>
    </row>
    <row r="49" spans="2:5" x14ac:dyDescent="0.3">
      <c r="B49" s="139" t="str">
        <f>IF('Altas Wiseowe'!$C49="", "", INDEX(Colaboradores!A:A, MATCH('Altas Wiseowe'!$C49,Colaboradores!C:C, 0)))</f>
        <v>E0539</v>
      </c>
      <c r="C49" t="s">
        <v>5633</v>
      </c>
      <c r="D49" s="18">
        <v>45931</v>
      </c>
    </row>
    <row r="50" spans="2:5" x14ac:dyDescent="0.3">
      <c r="B50" s="139" t="str">
        <f>IF('Altas Wiseowe'!$C50="", "", INDEX(Colaboradores!A:A, MATCH('Altas Wiseowe'!$C50,Colaboradores!C:C, 0)))</f>
        <v>E2060</v>
      </c>
      <c r="C50" t="s">
        <v>5819</v>
      </c>
      <c r="D50" s="18">
        <v>45980</v>
      </c>
    </row>
    <row r="51" spans="2:5" x14ac:dyDescent="0.3">
      <c r="B51" s="139"/>
      <c r="C51" t="s">
        <v>7015</v>
      </c>
      <c r="D51" s="18">
        <v>45819</v>
      </c>
    </row>
    <row r="52" spans="2:5" x14ac:dyDescent="0.3">
      <c r="B52" s="139" t="str">
        <f>IF('Altas Wiseowe'!$C52="", "", INDEX(Colaboradores!A:A, MATCH('Altas Wiseowe'!$C52,Colaboradores!C:C, 0)))</f>
        <v>E0620</v>
      </c>
      <c r="C52" t="s">
        <v>5934</v>
      </c>
      <c r="D52" s="18">
        <v>45952</v>
      </c>
      <c r="E52" s="18">
        <v>46029</v>
      </c>
    </row>
    <row r="53" spans="2:5" x14ac:dyDescent="0.3">
      <c r="B53" s="139" t="str">
        <f>IF('Altas Wiseowe'!$C53="", "", INDEX(Colaboradores!A:A, MATCH('Altas Wiseowe'!$C53,Colaboradores!C:C, 0)))</f>
        <v>E0510</v>
      </c>
      <c r="C53" t="s">
        <v>6030</v>
      </c>
      <c r="D53" s="18">
        <v>46049</v>
      </c>
    </row>
    <row r="54" spans="2:5" x14ac:dyDescent="0.3">
      <c r="B54" s="139" t="str">
        <f>IF('Altas Wiseowe'!$C54="", "", INDEX(Colaboradores!A:A, MATCH('Altas Wiseowe'!$C54,Colaboradores!C:C, 0)))</f>
        <v>E0422</v>
      </c>
      <c r="C54" t="s">
        <v>6329</v>
      </c>
      <c r="D54" s="18">
        <v>45873</v>
      </c>
    </row>
    <row r="55" spans="2:5" x14ac:dyDescent="0.3">
      <c r="B55" s="139" t="str">
        <f>IF('Altas Wiseowe'!$C55="", "", INDEX(Colaboradores!A:A, MATCH('Altas Wiseowe'!$C55,Colaboradores!C:C, 0)))</f>
        <v>E0583</v>
      </c>
      <c r="C55" t="s">
        <v>6375</v>
      </c>
      <c r="D55" s="18">
        <v>46010</v>
      </c>
    </row>
    <row r="56" spans="2:5" x14ac:dyDescent="0.3">
      <c r="B56" s="139"/>
      <c r="C56" t="s">
        <v>7016</v>
      </c>
      <c r="D56" s="18">
        <v>45819</v>
      </c>
    </row>
    <row r="57" spans="2:5" x14ac:dyDescent="0.3">
      <c r="B57" s="139" t="str">
        <f>IF('Altas Wiseowe'!$C57="", "", INDEX(Colaboradores!A:A, MATCH('Altas Wiseowe'!$C57,Colaboradores!C:C, 0)))</f>
        <v>E0576</v>
      </c>
      <c r="C57" t="s">
        <v>6411</v>
      </c>
      <c r="D57" s="18">
        <v>45873</v>
      </c>
    </row>
    <row r="58" spans="2:5" x14ac:dyDescent="0.3">
      <c r="B58" s="139" t="str">
        <f>IF('Altas Wiseowe'!$C58="", "", INDEX(Colaboradores!A:A, MATCH('Altas Wiseowe'!$C58,Colaboradores!C:C, 0)))</f>
        <v>E0577</v>
      </c>
      <c r="C58" t="s">
        <v>6524</v>
      </c>
      <c r="D58" s="18">
        <v>45873</v>
      </c>
    </row>
    <row r="59" spans="2:5" x14ac:dyDescent="0.3">
      <c r="B59" s="139" t="str">
        <f>IF('Altas Wiseowe'!$C59="", "", INDEX(Colaboradores!A:A, MATCH('Altas Wiseowe'!$C59,Colaboradores!C:C, 0)))</f>
        <v>E0582</v>
      </c>
      <c r="C59" t="s">
        <v>6538</v>
      </c>
      <c r="D59" s="18">
        <v>46010</v>
      </c>
    </row>
    <row r="60" spans="2:5" x14ac:dyDescent="0.3">
      <c r="B60" s="139" t="str">
        <f>IF('Altas Wiseowe'!$C60="", "", INDEX(Colaboradores!A:A, MATCH('Altas Wiseowe'!$C60,Colaboradores!C:C, 0)))</f>
        <v>E2034</v>
      </c>
      <c r="C60" t="s">
        <v>6712</v>
      </c>
      <c r="D60" s="18">
        <v>45965</v>
      </c>
    </row>
    <row r="61" spans="2:5" x14ac:dyDescent="0.3">
      <c r="B61" s="139" t="str">
        <f>IF('Altas Wiseowe'!$C61="", "", INDEX(Colaboradores!A:A, MATCH('Altas Wiseowe'!$C61,Colaboradores!C:C, 0)))</f>
        <v>E0630</v>
      </c>
      <c r="C61" t="s">
        <v>6716</v>
      </c>
      <c r="D61" s="18">
        <v>46041</v>
      </c>
    </row>
    <row r="62" spans="2:5" x14ac:dyDescent="0.3">
      <c r="B62" s="139"/>
      <c r="C62" t="s">
        <v>7018</v>
      </c>
      <c r="D62" s="18">
        <v>45819</v>
      </c>
    </row>
    <row r="63" spans="2:5" x14ac:dyDescent="0.3">
      <c r="B63" s="139" t="str">
        <f>IF('Altas Wiseowe'!$C63="", "", INDEX(Colaboradores!A:A, MATCH('Altas Wiseowe'!$C63,Colaboradores!C:C, 0)))</f>
        <v>E0269</v>
      </c>
      <c r="C63" t="s">
        <v>6935</v>
      </c>
      <c r="D63" s="18">
        <v>45945</v>
      </c>
    </row>
  </sheetData>
  <autoFilter ref="B3:E51" xr:uid="{FB9225BB-AC50-4856-914A-3A0714945640}">
    <sortState xmlns:xlrd2="http://schemas.microsoft.com/office/spreadsheetml/2017/richdata2" ref="B4:E51">
      <sortCondition ref="C3:C51"/>
    </sortState>
  </autoFilter>
  <conditionalFormatting sqref="B1:B1048576">
    <cfRule type="containsErrors" dxfId="1" priority="1">
      <formula>ISERROR(B1)</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2B50D393-F9BE-4743-AC8C-5F00CD29708B}">
          <x14:formula1>
            <xm:f>Colaboradores!$C:$C</xm:f>
          </x14:formula1>
          <xm:sqref>C4:C1048576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0E971-28B9-4EB2-B89E-3E8C296ABC74}">
  <sheetPr>
    <tabColor rgb="FF92D050"/>
  </sheetPr>
  <dimension ref="B1:E51"/>
  <sheetViews>
    <sheetView workbookViewId="0">
      <selection activeCell="C7" sqref="C7"/>
    </sheetView>
  </sheetViews>
  <sheetFormatPr defaultColWidth="11.5546875" defaultRowHeight="14.4" x14ac:dyDescent="0.3"/>
  <cols>
    <col min="1" max="1" width="11.5546875" customWidth="1"/>
    <col min="2" max="2" width="14.6640625" style="52" bestFit="1" customWidth="1"/>
    <col min="3" max="3" width="52.109375" customWidth="1"/>
    <col min="4" max="4" width="15.33203125" style="18" bestFit="1" customWidth="1"/>
    <col min="5" max="5" width="14.88671875" style="18" customWidth="1"/>
  </cols>
  <sheetData>
    <row r="1" spans="2:5" ht="63" customHeight="1" x14ac:dyDescent="0.3">
      <c r="C1" s="228"/>
    </row>
    <row r="2" spans="2:5" ht="15" x14ac:dyDescent="0.3">
      <c r="B2" s="298" t="s">
        <v>6998</v>
      </c>
      <c r="C2" s="297" t="s">
        <v>7781</v>
      </c>
      <c r="D2" s="299" t="s">
        <v>7779</v>
      </c>
      <c r="E2" s="299" t="s">
        <v>7780</v>
      </c>
    </row>
    <row r="3" spans="2:5" ht="15" x14ac:dyDescent="0.3">
      <c r="B3" s="201" t="str">
        <f>IF('Altas Industrial'!$C3="", "", INDEX(Colaboradores!A:A, MATCH('Altas Industrial'!$C3,Colaboradores!C:C, 0)))</f>
        <v>E0388</v>
      </c>
      <c r="C3" s="229" t="s">
        <v>172</v>
      </c>
      <c r="D3" s="18">
        <v>45762</v>
      </c>
      <c r="E3" s="18">
        <v>46052</v>
      </c>
    </row>
    <row r="4" spans="2:5" ht="15" x14ac:dyDescent="0.3">
      <c r="B4" s="201" t="str">
        <f>IF('Altas Industrial'!$C4="", "", INDEX(Colaboradores!A:A, MATCH('Altas Industrial'!$C4,Colaboradores!C:C, 0)))</f>
        <v>E0166</v>
      </c>
      <c r="C4" t="s">
        <v>305</v>
      </c>
      <c r="D4" s="18">
        <v>45762</v>
      </c>
      <c r="E4" s="18">
        <v>46053</v>
      </c>
    </row>
    <row r="5" spans="2:5" ht="15" x14ac:dyDescent="0.3">
      <c r="B5" s="201" t="str">
        <f>IF('Altas Industrial'!$C5="", "", INDEX(Colaboradores!A:A, MATCH('Altas Industrial'!$C5,Colaboradores!C:C, 0)))</f>
        <v>E0277</v>
      </c>
      <c r="C5" t="s">
        <v>697</v>
      </c>
      <c r="D5" s="18">
        <v>45762</v>
      </c>
      <c r="E5" s="18">
        <v>46053</v>
      </c>
    </row>
    <row r="6" spans="2:5" ht="15" x14ac:dyDescent="0.3">
      <c r="B6" s="201" t="str">
        <f>IF('Altas Industrial'!$C6="", "", INDEX(Colaboradores!A:A, MATCH('Altas Industrial'!$C6,Colaboradores!C:C, 0)))</f>
        <v>E1895</v>
      </c>
      <c r="C6" t="s">
        <v>1119</v>
      </c>
      <c r="D6" s="18">
        <v>45762</v>
      </c>
      <c r="E6" s="18">
        <v>46052</v>
      </c>
    </row>
    <row r="7" spans="2:5" ht="15" x14ac:dyDescent="0.3">
      <c r="B7" s="201" t="str">
        <f>IF('Altas Industrial'!$C7="", "", INDEX(Colaboradores!A:A, MATCH('Altas Industrial'!$C7,Colaboradores!C:C, 0)))</f>
        <v>E0534</v>
      </c>
      <c r="C7" t="s">
        <v>1178</v>
      </c>
      <c r="D7" s="18">
        <v>45762</v>
      </c>
      <c r="E7" s="18">
        <v>46027</v>
      </c>
    </row>
    <row r="8" spans="2:5" ht="15" x14ac:dyDescent="0.3">
      <c r="B8" s="201" t="str">
        <f>IF('Altas Industrial'!$C8="", "", INDEX(Colaboradores!A:A, MATCH('Altas Industrial'!$C8,Colaboradores!C:C, 0)))</f>
        <v>E0600</v>
      </c>
      <c r="C8" t="s">
        <v>1489</v>
      </c>
      <c r="D8" s="18">
        <v>45364</v>
      </c>
      <c r="E8" s="18">
        <v>46052</v>
      </c>
    </row>
    <row r="9" spans="2:5" ht="15" x14ac:dyDescent="0.3">
      <c r="B9" s="201" t="str">
        <f>IF('Altas Industrial'!$C9="", "", INDEX(Colaboradores!A:A, MATCH('Altas Industrial'!$C9,Colaboradores!C:C, 0)))</f>
        <v>E0161</v>
      </c>
      <c r="C9" t="s">
        <v>1507</v>
      </c>
      <c r="D9" s="18">
        <v>45762</v>
      </c>
      <c r="E9" s="18">
        <v>46053</v>
      </c>
    </row>
    <row r="10" spans="2:5" ht="15" x14ac:dyDescent="0.3">
      <c r="B10" s="201" t="str">
        <f>IF('Altas Industrial'!$C10="", "", INDEX(Colaboradores!A:A, MATCH('Altas Industrial'!$C10,Colaboradores!C:C, 0)))</f>
        <v>E0125</v>
      </c>
      <c r="C10" t="s">
        <v>1939</v>
      </c>
      <c r="D10" s="18">
        <v>45761</v>
      </c>
      <c r="E10" s="18">
        <v>46052</v>
      </c>
    </row>
    <row r="11" spans="2:5" ht="15" x14ac:dyDescent="0.3">
      <c r="B11" s="201" t="str">
        <f>IF('Altas Industrial'!$C11="", "", INDEX(Colaboradores!A:A, MATCH('Altas Industrial'!$C11,Colaboradores!C:C, 0)))</f>
        <v>E2082</v>
      </c>
      <c r="C11" t="s">
        <v>2123</v>
      </c>
      <c r="D11" s="18">
        <v>45761</v>
      </c>
      <c r="E11" s="18">
        <v>46052</v>
      </c>
    </row>
    <row r="12" spans="2:5" ht="15" x14ac:dyDescent="0.3">
      <c r="B12" s="201" t="str">
        <f>IF('Altas Industrial'!$C12="", "", INDEX(Colaboradores!A:A, MATCH('Altas Industrial'!$C12,Colaboradores!C:C, 0)))</f>
        <v>E0404</v>
      </c>
      <c r="C12" t="s">
        <v>2646</v>
      </c>
      <c r="D12" s="18">
        <v>45761</v>
      </c>
      <c r="E12" s="18">
        <v>46023</v>
      </c>
    </row>
    <row r="13" spans="2:5" ht="15" x14ac:dyDescent="0.3">
      <c r="B13" s="201" t="str">
        <f>IF('Altas Industrial'!$C13="", "", INDEX(Colaboradores!A:A, MATCH('Altas Industrial'!$C13,Colaboradores!C:C, 0)))</f>
        <v>E0148</v>
      </c>
      <c r="C13" t="s">
        <v>3312</v>
      </c>
      <c r="D13" s="18">
        <v>45761</v>
      </c>
      <c r="E13" s="18">
        <v>46023</v>
      </c>
    </row>
    <row r="14" spans="2:5" ht="15" x14ac:dyDescent="0.3">
      <c r="B14" s="201" t="str">
        <f>IF('Altas Industrial'!$C14="", "", INDEX(Colaboradores!A:A, MATCH('Altas Industrial'!$C14,Colaboradores!C:C, 0)))</f>
        <v>E0268</v>
      </c>
      <c r="C14" t="s">
        <v>3612</v>
      </c>
      <c r="D14" s="18">
        <v>45695</v>
      </c>
      <c r="E14" s="18">
        <v>46052</v>
      </c>
    </row>
    <row r="15" spans="2:5" ht="15" x14ac:dyDescent="0.3">
      <c r="B15" s="201" t="str">
        <f>IF('Altas Industrial'!$C15="", "", INDEX(Colaboradores!A:A, MATCH('Altas Industrial'!$C15,Colaboradores!C:C, 0)))</f>
        <v>E0591</v>
      </c>
      <c r="C15" t="s">
        <v>3659</v>
      </c>
      <c r="D15" s="18">
        <v>45777</v>
      </c>
      <c r="E15" s="18">
        <v>46052</v>
      </c>
    </row>
    <row r="16" spans="2:5" ht="15" x14ac:dyDescent="0.3">
      <c r="B16" s="201"/>
      <c r="C16" t="s">
        <v>7009</v>
      </c>
      <c r="D16" s="18">
        <v>45734</v>
      </c>
    </row>
    <row r="17" spans="2:5" ht="15" x14ac:dyDescent="0.3">
      <c r="B17" s="201" t="str">
        <f>IF('Altas Industrial'!$C17="", "", INDEX(Colaboradores!A:A, MATCH('Altas Industrial'!$C17,Colaboradores!C:C, 0)))</f>
        <v>E0164</v>
      </c>
      <c r="C17" t="s">
        <v>3726</v>
      </c>
      <c r="D17" s="18">
        <v>45779</v>
      </c>
      <c r="E17" s="18">
        <v>46053</v>
      </c>
    </row>
    <row r="18" spans="2:5" ht="15" x14ac:dyDescent="0.3">
      <c r="B18" s="201" t="str">
        <f>IF('Altas Industrial'!$C18="", "", INDEX(Colaboradores!A:A, MATCH('Altas Industrial'!$C18,Colaboradores!C:C, 0)))</f>
        <v>E0163</v>
      </c>
      <c r="C18" t="s">
        <v>3959</v>
      </c>
      <c r="D18" s="18">
        <v>45763</v>
      </c>
      <c r="E18" s="18">
        <v>46053</v>
      </c>
    </row>
    <row r="19" spans="2:5" ht="15" x14ac:dyDescent="0.3">
      <c r="B19" s="201" t="str">
        <f>IF('Altas Industrial'!$C19="", "", INDEX(Colaboradores!A:A, MATCH('Altas Industrial'!$C19,Colaboradores!C:C, 0)))</f>
        <v>E0260</v>
      </c>
      <c r="C19" t="s">
        <v>3996</v>
      </c>
      <c r="D19" s="18">
        <v>45762</v>
      </c>
      <c r="E19" s="18">
        <v>46052</v>
      </c>
    </row>
    <row r="20" spans="2:5" ht="15" x14ac:dyDescent="0.3">
      <c r="B20" s="201" t="str">
        <f>IF('Altas Industrial'!$C20="", "", INDEX(Colaboradores!A:A, MATCH('Altas Industrial'!$C20,Colaboradores!C:C, 0)))</f>
        <v>E1240</v>
      </c>
      <c r="C20" t="s">
        <v>4260</v>
      </c>
      <c r="D20" s="18">
        <v>46045</v>
      </c>
      <c r="E20" s="18">
        <v>46053</v>
      </c>
    </row>
    <row r="21" spans="2:5" ht="15" x14ac:dyDescent="0.3">
      <c r="B21" s="201" t="str">
        <f>IF('Altas Industrial'!$C21="", "", INDEX(Colaboradores!A:A, MATCH('Altas Industrial'!$C21,Colaboradores!C:C, 0)))</f>
        <v>E0263</v>
      </c>
      <c r="C21" t="s">
        <v>4292</v>
      </c>
      <c r="D21" s="18">
        <v>45762</v>
      </c>
      <c r="E21" s="18">
        <v>46052</v>
      </c>
    </row>
    <row r="22" spans="2:5" ht="15" x14ac:dyDescent="0.3">
      <c r="B22" s="201" t="str">
        <f>IF('Altas Industrial'!$C22="", "", INDEX(Colaboradores!A:A, MATCH('Altas Industrial'!$C22,Colaboradores!C:C, 0)))</f>
        <v>E1359</v>
      </c>
      <c r="C22" t="s">
        <v>4973</v>
      </c>
      <c r="D22" s="18">
        <v>45897</v>
      </c>
      <c r="E22" s="18">
        <v>46035</v>
      </c>
    </row>
    <row r="23" spans="2:5" ht="15" x14ac:dyDescent="0.3">
      <c r="B23" s="201" t="str">
        <f>IF('Altas Industrial'!$C23="", "", INDEX(Colaboradores!A:A, MATCH('Altas Industrial'!$C23,Colaboradores!C:C, 0)))</f>
        <v>E2085</v>
      </c>
      <c r="C23" t="s">
        <v>5064</v>
      </c>
      <c r="D23" s="18">
        <v>45762</v>
      </c>
      <c r="E23" s="18">
        <v>46052</v>
      </c>
    </row>
    <row r="24" spans="2:5" ht="15" x14ac:dyDescent="0.3">
      <c r="B24" s="201" t="str">
        <f>IF('Altas Industrial'!$C24="", "", INDEX(Colaboradores!A:A, MATCH('Altas Industrial'!$C24,Colaboradores!C:C, 0)))</f>
        <v>E0273</v>
      </c>
      <c r="C24" t="s">
        <v>5439</v>
      </c>
      <c r="D24" s="18">
        <v>45762</v>
      </c>
      <c r="E24" s="18">
        <v>46052</v>
      </c>
    </row>
    <row r="25" spans="2:5" ht="15" x14ac:dyDescent="0.3">
      <c r="B25" s="201" t="str">
        <f>IF('Altas Industrial'!$C25="", "", INDEX(Colaboradores!A:A, MATCH('Altas Industrial'!$C25,Colaboradores!C:C, 0)))</f>
        <v>E0074</v>
      </c>
      <c r="C25" t="s">
        <v>5745</v>
      </c>
      <c r="D25" s="18">
        <v>45870</v>
      </c>
      <c r="E25" s="18">
        <v>46034</v>
      </c>
    </row>
    <row r="26" spans="2:5" ht="15" x14ac:dyDescent="0.3">
      <c r="B26" s="201" t="str">
        <f>IF('Altas Industrial'!$C26="", "", INDEX(Colaboradores!A:A, MATCH('Altas Industrial'!$C26,Colaboradores!C:C, 0)))</f>
        <v>E0264</v>
      </c>
      <c r="C26" t="s">
        <v>5866</v>
      </c>
      <c r="D26" s="18">
        <v>45762</v>
      </c>
      <c r="E26" s="18">
        <v>46052</v>
      </c>
    </row>
    <row r="27" spans="2:5" ht="15" x14ac:dyDescent="0.3">
      <c r="B27" s="201" t="str">
        <f>IF('Altas Industrial'!$C27="", "", INDEX(Colaboradores!A:A, MATCH('Altas Industrial'!$C27,Colaboradores!C:C, 0)))</f>
        <v>E0266</v>
      </c>
      <c r="C27" t="s">
        <v>6700</v>
      </c>
      <c r="D27" s="18">
        <v>45762</v>
      </c>
      <c r="E27" s="18">
        <v>46052</v>
      </c>
    </row>
    <row r="28" spans="2:5" ht="15" x14ac:dyDescent="0.3">
      <c r="B28" s="201" t="str">
        <f>IF('Altas Industrial'!$C28="", "", INDEX(Colaboradores!A:A, MATCH('Altas Industrial'!$C28,Colaboradores!C:C, 0)))</f>
        <v/>
      </c>
    </row>
    <row r="29" spans="2:5" ht="15" x14ac:dyDescent="0.3">
      <c r="B29" s="201" t="str">
        <f>IF('Altas Industrial'!$C29="", "", INDEX(Colaboradores!A:A, MATCH('Altas Industrial'!$C29,Colaboradores!C:C, 0)))</f>
        <v/>
      </c>
    </row>
    <row r="30" spans="2:5" ht="15" x14ac:dyDescent="0.3">
      <c r="B30" s="201"/>
    </row>
    <row r="31" spans="2:5" ht="15" x14ac:dyDescent="0.3">
      <c r="B31" s="201" t="str">
        <f>IF('Altas Industrial'!$C31="", "", INDEX(Colaboradores!A:A, MATCH('Altas Industrial'!$C31,Colaboradores!C:C, 0)))</f>
        <v/>
      </c>
    </row>
    <row r="32" spans="2:5" ht="15" x14ac:dyDescent="0.3">
      <c r="B32" s="201" t="str">
        <f>IF('Altas Industrial'!$C32="", "", INDEX(Colaboradores!A:A, MATCH('Altas Industrial'!$C32,Colaboradores!C:C, 0)))</f>
        <v/>
      </c>
    </row>
    <row r="33" spans="2:2" ht="15" x14ac:dyDescent="0.3">
      <c r="B33" s="201" t="str">
        <f>IF('Altas Industrial'!$C33="", "", INDEX(Colaboradores!A:A, MATCH('Altas Industrial'!$C33,Colaboradores!C:C, 0)))</f>
        <v/>
      </c>
    </row>
    <row r="34" spans="2:2" ht="15" x14ac:dyDescent="0.3">
      <c r="B34" s="201" t="str">
        <f>IF('Altas Industrial'!$C34="", "", INDEX(Colaboradores!A:A, MATCH('Altas Industrial'!$C34,Colaboradores!C:C, 0)))</f>
        <v/>
      </c>
    </row>
    <row r="35" spans="2:2" ht="15" x14ac:dyDescent="0.3">
      <c r="B35" s="201" t="str">
        <f>IF('Altas Industrial'!$C35="", "", INDEX(Colaboradores!A:A, MATCH('Altas Industrial'!$C35,Colaboradores!C:C, 0)))</f>
        <v/>
      </c>
    </row>
    <row r="36" spans="2:2" ht="15" x14ac:dyDescent="0.3">
      <c r="B36" s="201" t="str">
        <f>IF('Altas Industrial'!$C36="", "", INDEX(Colaboradores!A:A, MATCH('Altas Industrial'!$C36,Colaboradores!C:C, 0)))</f>
        <v/>
      </c>
    </row>
    <row r="37" spans="2:2" ht="15" x14ac:dyDescent="0.3">
      <c r="B37" s="201" t="str">
        <f>IF('Altas Industrial'!$C37="", "", INDEX(Colaboradores!A:A, MATCH('Altas Industrial'!$C37,Colaboradores!C:C, 0)))</f>
        <v/>
      </c>
    </row>
    <row r="38" spans="2:2" ht="15" x14ac:dyDescent="0.3">
      <c r="B38" s="201" t="str">
        <f>IF('Altas Industrial'!$C38="", "", INDEX(Colaboradores!A:A, MATCH('Altas Industrial'!$C38,Colaboradores!C:C, 0)))</f>
        <v/>
      </c>
    </row>
    <row r="39" spans="2:2" ht="15" x14ac:dyDescent="0.3">
      <c r="B39" s="201" t="str">
        <f>IF('Altas Industrial'!$C39="", "", INDEX(Colaboradores!A:A, MATCH('Altas Industrial'!$C39,Colaboradores!C:C, 0)))</f>
        <v/>
      </c>
    </row>
    <row r="40" spans="2:2" ht="15" x14ac:dyDescent="0.3">
      <c r="B40" s="201" t="str">
        <f>IF('Altas Industrial'!$C40="", "", INDEX(Colaboradores!A:A, MATCH('Altas Industrial'!$C40,Colaboradores!C:C, 0)))</f>
        <v/>
      </c>
    </row>
    <row r="41" spans="2:2" ht="15" x14ac:dyDescent="0.3">
      <c r="B41" s="201" t="str">
        <f>IF('Altas Industrial'!$C41="", "", INDEX(Colaboradores!A:A, MATCH('Altas Industrial'!$C41,Colaboradores!C:C, 0)))</f>
        <v/>
      </c>
    </row>
    <row r="42" spans="2:2" ht="15" x14ac:dyDescent="0.3">
      <c r="B42" s="201" t="str">
        <f>IF('Altas Industrial'!$C42="", "", INDEX(Colaboradores!A:A, MATCH('Altas Industrial'!$C42,Colaboradores!C:C, 0)))</f>
        <v/>
      </c>
    </row>
    <row r="43" spans="2:2" ht="15" x14ac:dyDescent="0.3">
      <c r="B43" s="201" t="str">
        <f>IF('Altas Industrial'!$C43="", "", INDEX(Colaboradores!A:A, MATCH('Altas Industrial'!$C43,Colaboradores!C:C, 0)))</f>
        <v/>
      </c>
    </row>
    <row r="44" spans="2:2" ht="15" x14ac:dyDescent="0.3">
      <c r="B44" s="201" t="str">
        <f>IF('Altas Industrial'!$C44="", "", INDEX(Colaboradores!A:A, MATCH('Altas Industrial'!$C44,Colaboradores!C:C, 0)))</f>
        <v/>
      </c>
    </row>
    <row r="45" spans="2:2" ht="15" x14ac:dyDescent="0.3">
      <c r="B45" s="201" t="str">
        <f>IF('Altas Industrial'!$C45="", "", INDEX(Colaboradores!A:A, MATCH('Altas Industrial'!$C45,Colaboradores!C:C, 0)))</f>
        <v/>
      </c>
    </row>
    <row r="46" spans="2:2" ht="15" x14ac:dyDescent="0.3">
      <c r="B46" s="201" t="str">
        <f>IF('Altas Industrial'!$C46="", "", INDEX(Colaboradores!A:A, MATCH('Altas Industrial'!$C46,Colaboradores!C:C, 0)))</f>
        <v/>
      </c>
    </row>
    <row r="47" spans="2:2" ht="15" x14ac:dyDescent="0.3">
      <c r="B47" s="201" t="str">
        <f>IF('Altas Industrial'!$C47="", "", INDEX(Colaboradores!A:A, MATCH('Altas Industrial'!$C47,Colaboradores!C:C, 0)))</f>
        <v/>
      </c>
    </row>
    <row r="48" spans="2:2" ht="15" x14ac:dyDescent="0.3">
      <c r="B48" s="201" t="str">
        <f>IF('Altas Industrial'!$C48="", "", INDEX(Colaboradores!A:A, MATCH('Altas Industrial'!$C48,Colaboradores!C:C, 0)))</f>
        <v/>
      </c>
    </row>
    <row r="49" spans="2:2" ht="15" x14ac:dyDescent="0.3">
      <c r="B49" s="201" t="str">
        <f>IF('Altas Industrial'!$C49="", "", INDEX(Colaboradores!A:A, MATCH('Altas Industrial'!$C49,Colaboradores!C:C, 0)))</f>
        <v/>
      </c>
    </row>
    <row r="50" spans="2:2" ht="15" x14ac:dyDescent="0.3">
      <c r="B50" s="201" t="str">
        <f>IF('Altas Industrial'!$C50="", "", INDEX(Colaboradores!A:A, MATCH('Altas Industrial'!$C50,Colaboradores!C:C, 0)))</f>
        <v/>
      </c>
    </row>
    <row r="51" spans="2:2" ht="15" x14ac:dyDescent="0.3">
      <c r="B51" s="201" t="str">
        <f>IF('Altas Industrial'!$C51="", "", INDEX(Colaboradores!A:A, MATCH('Altas Industrial'!$C51,Colaboradores!C:C, 0)))</f>
        <v/>
      </c>
    </row>
  </sheetData>
  <conditionalFormatting sqref="B2:B51">
    <cfRule type="duplicateValues" dxfId="0" priority="13738"/>
  </conditionalFormatting>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312183BF-30BE-4F08-835A-9328877C07AC}">
          <x14:formula1>
            <xm:f>Colaboradores!$C:$C</xm:f>
          </x14:formula1>
          <xm:sqref>C2:C1048576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807FA-B274-492E-882F-BC78AE054E15}">
  <dimension ref="A1:I2001"/>
  <sheetViews>
    <sheetView workbookViewId="0">
      <selection activeCell="G16" sqref="G16"/>
    </sheetView>
  </sheetViews>
  <sheetFormatPr defaultColWidth="11.5546875" defaultRowHeight="14.4" x14ac:dyDescent="0.3"/>
  <cols>
    <col min="1" max="1" width="6" bestFit="1" customWidth="1"/>
    <col min="2" max="2" width="45.6640625" bestFit="1" customWidth="1"/>
    <col min="3" max="3" width="32.109375" bestFit="1" customWidth="1"/>
    <col min="4" max="4" width="21.33203125" bestFit="1" customWidth="1"/>
    <col min="5" max="5" width="27" style="52" bestFit="1" customWidth="1"/>
    <col min="6" max="6" width="14.109375" style="52" bestFit="1" customWidth="1"/>
    <col min="7" max="7" width="35" bestFit="1" customWidth="1"/>
  </cols>
  <sheetData>
    <row r="1" spans="1:6" x14ac:dyDescent="0.3">
      <c r="A1" t="s">
        <v>7481</v>
      </c>
      <c r="B1" t="s">
        <v>7551</v>
      </c>
      <c r="C1" t="s">
        <v>7552</v>
      </c>
      <c r="D1" t="s">
        <v>7782</v>
      </c>
      <c r="E1" s="52" t="s">
        <v>7783</v>
      </c>
      <c r="F1" s="52" t="s">
        <v>6984</v>
      </c>
    </row>
    <row r="2" spans="1:6" x14ac:dyDescent="0.3">
      <c r="A2" t="s">
        <v>17</v>
      </c>
      <c r="B2" t="s">
        <v>18</v>
      </c>
      <c r="C2" t="s">
        <v>7784</v>
      </c>
      <c r="D2" t="s">
        <v>7785</v>
      </c>
      <c r="E2" s="18">
        <v>45790</v>
      </c>
    </row>
    <row r="3" spans="1:6" x14ac:dyDescent="0.3">
      <c r="A3" t="s">
        <v>25</v>
      </c>
      <c r="B3" t="s">
        <v>26</v>
      </c>
      <c r="C3" t="s">
        <v>7786</v>
      </c>
      <c r="D3" t="s">
        <v>7787</v>
      </c>
      <c r="E3" s="18">
        <v>45958</v>
      </c>
    </row>
    <row r="4" spans="1:6" x14ac:dyDescent="0.3">
      <c r="A4" t="s">
        <v>29</v>
      </c>
      <c r="B4" t="s">
        <v>30</v>
      </c>
      <c r="C4" t="s">
        <v>7788</v>
      </c>
      <c r="D4" t="s">
        <v>7789</v>
      </c>
      <c r="E4" s="18"/>
    </row>
    <row r="5" spans="1:6" x14ac:dyDescent="0.3">
      <c r="A5" t="s">
        <v>32</v>
      </c>
      <c r="B5" t="s">
        <v>33</v>
      </c>
      <c r="C5" t="s">
        <v>7790</v>
      </c>
      <c r="D5" t="s">
        <v>7787</v>
      </c>
      <c r="E5" s="18"/>
      <c r="F5" s="52" t="s">
        <v>37</v>
      </c>
    </row>
    <row r="6" spans="1:6" x14ac:dyDescent="0.3">
      <c r="A6" t="s">
        <v>38</v>
      </c>
      <c r="B6" t="s">
        <v>39</v>
      </c>
      <c r="C6" t="s">
        <v>7791</v>
      </c>
      <c r="D6" t="s">
        <v>7789</v>
      </c>
      <c r="E6" s="18"/>
    </row>
    <row r="7" spans="1:6" x14ac:dyDescent="0.3">
      <c r="A7" t="s">
        <v>42</v>
      </c>
      <c r="B7" t="s">
        <v>43</v>
      </c>
      <c r="C7" t="s">
        <v>7792</v>
      </c>
      <c r="D7" t="s">
        <v>7785</v>
      </c>
      <c r="E7" s="18">
        <v>45891</v>
      </c>
      <c r="F7" s="52" t="s">
        <v>37</v>
      </c>
    </row>
    <row r="8" spans="1:6" x14ac:dyDescent="0.3">
      <c r="A8" t="s">
        <v>50</v>
      </c>
      <c r="B8" t="s">
        <v>51</v>
      </c>
      <c r="C8" t="s">
        <v>7793</v>
      </c>
      <c r="D8" t="s">
        <v>7787</v>
      </c>
      <c r="E8" s="18">
        <v>45783</v>
      </c>
    </row>
    <row r="9" spans="1:6" x14ac:dyDescent="0.3">
      <c r="A9" t="s">
        <v>54</v>
      </c>
      <c r="B9" t="s">
        <v>55</v>
      </c>
      <c r="C9" t="s">
        <v>7794</v>
      </c>
      <c r="D9" t="s">
        <v>7789</v>
      </c>
      <c r="E9" s="18"/>
    </row>
    <row r="10" spans="1:6" x14ac:dyDescent="0.3">
      <c r="A10" t="s">
        <v>64</v>
      </c>
      <c r="B10" t="s">
        <v>65</v>
      </c>
      <c r="C10" t="s">
        <v>7795</v>
      </c>
      <c r="D10" t="s">
        <v>7796</v>
      </c>
      <c r="E10" s="18"/>
    </row>
    <row r="11" spans="1:6" x14ac:dyDescent="0.3">
      <c r="A11" t="s">
        <v>67</v>
      </c>
      <c r="B11" t="s">
        <v>68</v>
      </c>
      <c r="C11" t="s">
        <v>7797</v>
      </c>
      <c r="D11" t="s">
        <v>7798</v>
      </c>
      <c r="E11" s="18">
        <v>45761</v>
      </c>
    </row>
    <row r="12" spans="1:6" x14ac:dyDescent="0.3">
      <c r="A12" t="s">
        <v>72</v>
      </c>
      <c r="B12" t="s">
        <v>73</v>
      </c>
      <c r="C12" t="s">
        <v>7799</v>
      </c>
      <c r="D12" t="s">
        <v>7787</v>
      </c>
      <c r="E12" s="18"/>
    </row>
    <row r="13" spans="1:6" x14ac:dyDescent="0.3">
      <c r="A13" t="s">
        <v>76</v>
      </c>
      <c r="B13" t="s">
        <v>77</v>
      </c>
      <c r="C13" t="s">
        <v>7800</v>
      </c>
      <c r="D13" t="s">
        <v>7801</v>
      </c>
      <c r="E13" s="18">
        <v>45726</v>
      </c>
    </row>
    <row r="14" spans="1:6" x14ac:dyDescent="0.3">
      <c r="A14" t="s">
        <v>80</v>
      </c>
      <c r="B14" t="s">
        <v>81</v>
      </c>
      <c r="C14" t="s">
        <v>7802</v>
      </c>
      <c r="D14" t="s">
        <v>7787</v>
      </c>
      <c r="E14" s="18">
        <v>45849</v>
      </c>
    </row>
    <row r="15" spans="1:6" x14ac:dyDescent="0.3">
      <c r="A15" t="s">
        <v>84</v>
      </c>
      <c r="B15" t="s">
        <v>85</v>
      </c>
      <c r="C15" t="s">
        <v>7803</v>
      </c>
      <c r="D15" t="s">
        <v>7804</v>
      </c>
      <c r="E15" s="18"/>
    </row>
    <row r="16" spans="1:6" x14ac:dyDescent="0.3">
      <c r="A16" t="s">
        <v>89</v>
      </c>
      <c r="B16" t="s">
        <v>90</v>
      </c>
      <c r="C16" t="s">
        <v>7805</v>
      </c>
      <c r="D16" t="s">
        <v>7787</v>
      </c>
      <c r="E16" s="18">
        <v>45938</v>
      </c>
    </row>
    <row r="17" spans="1:6" x14ac:dyDescent="0.3">
      <c r="A17" t="s">
        <v>96</v>
      </c>
      <c r="B17" t="s">
        <v>97</v>
      </c>
      <c r="C17" t="s">
        <v>7806</v>
      </c>
      <c r="D17" t="s">
        <v>7787</v>
      </c>
      <c r="E17" s="18">
        <v>45762</v>
      </c>
    </row>
    <row r="18" spans="1:6" x14ac:dyDescent="0.3">
      <c r="A18" t="s">
        <v>99</v>
      </c>
      <c r="B18" t="s">
        <v>100</v>
      </c>
      <c r="C18" t="s">
        <v>7807</v>
      </c>
      <c r="D18" t="s">
        <v>7789</v>
      </c>
      <c r="E18" s="18"/>
    </row>
    <row r="19" spans="1:6" x14ac:dyDescent="0.3">
      <c r="A19" t="s">
        <v>103</v>
      </c>
      <c r="B19" t="s">
        <v>104</v>
      </c>
      <c r="C19" t="s">
        <v>7808</v>
      </c>
      <c r="D19" t="s">
        <v>7787</v>
      </c>
      <c r="E19" s="18"/>
    </row>
    <row r="20" spans="1:6" x14ac:dyDescent="0.3">
      <c r="A20" t="s">
        <v>106</v>
      </c>
      <c r="B20" t="s">
        <v>107</v>
      </c>
      <c r="C20" t="s">
        <v>7809</v>
      </c>
      <c r="D20" t="s">
        <v>7787</v>
      </c>
      <c r="E20" s="18">
        <v>45783</v>
      </c>
    </row>
    <row r="21" spans="1:6" x14ac:dyDescent="0.3">
      <c r="A21" t="s">
        <v>110</v>
      </c>
      <c r="B21" t="s">
        <v>111</v>
      </c>
      <c r="C21" t="s">
        <v>7810</v>
      </c>
      <c r="D21" t="s">
        <v>7787</v>
      </c>
      <c r="E21" s="18">
        <v>45953</v>
      </c>
      <c r="F21" s="52" t="s">
        <v>37</v>
      </c>
    </row>
    <row r="22" spans="1:6" x14ac:dyDescent="0.3">
      <c r="A22" t="s">
        <v>125</v>
      </c>
      <c r="B22" t="s">
        <v>126</v>
      </c>
      <c r="C22" t="s">
        <v>7811</v>
      </c>
      <c r="D22" t="s">
        <v>7785</v>
      </c>
      <c r="E22" s="18">
        <v>45800</v>
      </c>
    </row>
    <row r="23" spans="1:6" x14ac:dyDescent="0.3">
      <c r="A23" t="s">
        <v>129</v>
      </c>
      <c r="B23" t="s">
        <v>130</v>
      </c>
      <c r="C23" t="s">
        <v>7812</v>
      </c>
      <c r="D23" t="s">
        <v>7787</v>
      </c>
      <c r="E23" s="18"/>
    </row>
    <row r="24" spans="1:6" x14ac:dyDescent="0.3">
      <c r="A24" t="s">
        <v>136</v>
      </c>
      <c r="B24" t="s">
        <v>137</v>
      </c>
      <c r="C24" t="s">
        <v>7813</v>
      </c>
      <c r="D24" t="s">
        <v>7789</v>
      </c>
      <c r="E24" s="18">
        <v>45782</v>
      </c>
    </row>
    <row r="25" spans="1:6" x14ac:dyDescent="0.3">
      <c r="A25" t="s">
        <v>140</v>
      </c>
      <c r="B25" t="s">
        <v>141</v>
      </c>
      <c r="C25" t="s">
        <v>7814</v>
      </c>
      <c r="E25" s="18"/>
    </row>
    <row r="26" spans="1:6" x14ac:dyDescent="0.3">
      <c r="A26" t="s">
        <v>144</v>
      </c>
      <c r="B26" t="s">
        <v>145</v>
      </c>
      <c r="C26" t="s">
        <v>7815</v>
      </c>
      <c r="D26" t="s">
        <v>7796</v>
      </c>
      <c r="E26" s="18">
        <v>45894</v>
      </c>
    </row>
    <row r="27" spans="1:6" x14ac:dyDescent="0.3">
      <c r="A27" t="s">
        <v>149</v>
      </c>
      <c r="B27" t="s">
        <v>150</v>
      </c>
      <c r="C27" t="s">
        <v>7816</v>
      </c>
      <c r="E27" s="18"/>
    </row>
    <row r="28" spans="1:6" x14ac:dyDescent="0.3">
      <c r="A28" t="s">
        <v>152</v>
      </c>
      <c r="B28" t="s">
        <v>153</v>
      </c>
      <c r="C28" t="s">
        <v>7817</v>
      </c>
      <c r="D28" t="s">
        <v>7789</v>
      </c>
      <c r="E28" s="18">
        <v>45751</v>
      </c>
    </row>
    <row r="29" spans="1:6" x14ac:dyDescent="0.3">
      <c r="A29" t="s">
        <v>156</v>
      </c>
      <c r="B29" t="s">
        <v>157</v>
      </c>
      <c r="C29" t="s">
        <v>7818</v>
      </c>
      <c r="E29" s="18"/>
    </row>
    <row r="30" spans="1:6" x14ac:dyDescent="0.3">
      <c r="A30" t="s">
        <v>164</v>
      </c>
      <c r="B30" t="s">
        <v>165</v>
      </c>
      <c r="C30" t="s">
        <v>7819</v>
      </c>
      <c r="D30" t="s">
        <v>7798</v>
      </c>
      <c r="E30" s="18">
        <v>45761</v>
      </c>
    </row>
    <row r="31" spans="1:6" x14ac:dyDescent="0.3">
      <c r="A31" t="s">
        <v>167</v>
      </c>
      <c r="B31" t="s">
        <v>168</v>
      </c>
      <c r="C31" t="s">
        <v>7820</v>
      </c>
      <c r="D31" t="s">
        <v>7787</v>
      </c>
      <c r="E31" s="18"/>
    </row>
    <row r="32" spans="1:6" x14ac:dyDescent="0.3">
      <c r="A32" t="s">
        <v>171</v>
      </c>
      <c r="B32" t="s">
        <v>172</v>
      </c>
      <c r="C32" t="s">
        <v>7821</v>
      </c>
      <c r="D32" t="s">
        <v>7787</v>
      </c>
      <c r="E32" s="18"/>
    </row>
    <row r="33" spans="1:6" x14ac:dyDescent="0.3">
      <c r="A33" t="s">
        <v>175</v>
      </c>
      <c r="B33" t="s">
        <v>176</v>
      </c>
      <c r="C33" t="s">
        <v>7822</v>
      </c>
      <c r="D33" t="s">
        <v>7787</v>
      </c>
      <c r="E33" s="18">
        <v>45944</v>
      </c>
    </row>
    <row r="34" spans="1:6" x14ac:dyDescent="0.3">
      <c r="A34" t="s">
        <v>179</v>
      </c>
      <c r="B34" t="s">
        <v>180</v>
      </c>
      <c r="C34" t="s">
        <v>7823</v>
      </c>
      <c r="D34" t="s">
        <v>7824</v>
      </c>
      <c r="E34" s="18"/>
    </row>
    <row r="35" spans="1:6" x14ac:dyDescent="0.3">
      <c r="A35" t="s">
        <v>182</v>
      </c>
      <c r="B35" t="s">
        <v>183</v>
      </c>
      <c r="C35" t="s">
        <v>7825</v>
      </c>
      <c r="D35" t="s">
        <v>7787</v>
      </c>
      <c r="E35" s="18">
        <v>45779</v>
      </c>
    </row>
    <row r="36" spans="1:6" x14ac:dyDescent="0.3">
      <c r="A36" t="s">
        <v>186</v>
      </c>
      <c r="B36" t="s">
        <v>187</v>
      </c>
      <c r="C36" t="s">
        <v>7826</v>
      </c>
      <c r="E36" s="18"/>
    </row>
    <row r="37" spans="1:6" x14ac:dyDescent="0.3">
      <c r="A37" t="s">
        <v>192</v>
      </c>
      <c r="B37" t="s">
        <v>193</v>
      </c>
      <c r="C37" t="s">
        <v>7827</v>
      </c>
      <c r="D37" t="s">
        <v>7787</v>
      </c>
      <c r="E37" s="18">
        <v>45833</v>
      </c>
    </row>
    <row r="38" spans="1:6" x14ac:dyDescent="0.3">
      <c r="A38" t="s">
        <v>196</v>
      </c>
      <c r="B38" t="s">
        <v>197</v>
      </c>
      <c r="C38" t="s">
        <v>7828</v>
      </c>
      <c r="D38" t="s">
        <v>7785</v>
      </c>
      <c r="E38" s="18">
        <v>45751</v>
      </c>
    </row>
    <row r="39" spans="1:6" x14ac:dyDescent="0.3">
      <c r="A39" t="s">
        <v>200</v>
      </c>
      <c r="B39" t="s">
        <v>201</v>
      </c>
      <c r="C39" t="s">
        <v>7829</v>
      </c>
      <c r="E39" s="18"/>
    </row>
    <row r="40" spans="1:6" x14ac:dyDescent="0.3">
      <c r="A40" t="s">
        <v>210</v>
      </c>
      <c r="B40" t="s">
        <v>211</v>
      </c>
      <c r="C40" t="s">
        <v>7830</v>
      </c>
      <c r="D40" t="s">
        <v>7785</v>
      </c>
      <c r="E40" s="18">
        <v>46065</v>
      </c>
    </row>
    <row r="41" spans="1:6" x14ac:dyDescent="0.3">
      <c r="A41" t="s">
        <v>217</v>
      </c>
      <c r="B41" t="s">
        <v>218</v>
      </c>
      <c r="C41" t="s">
        <v>7831</v>
      </c>
      <c r="E41" s="18"/>
    </row>
    <row r="42" spans="1:6" x14ac:dyDescent="0.3">
      <c r="B42" t="s">
        <v>7832</v>
      </c>
      <c r="C42" t="s">
        <v>7833</v>
      </c>
      <c r="E42" s="18"/>
    </row>
    <row r="43" spans="1:6" x14ac:dyDescent="0.3">
      <c r="A43" t="s">
        <v>221</v>
      </c>
      <c r="B43" t="s">
        <v>222</v>
      </c>
      <c r="C43" t="s">
        <v>7834</v>
      </c>
      <c r="D43" t="s">
        <v>7789</v>
      </c>
      <c r="E43" s="18"/>
      <c r="F43" s="52" t="s">
        <v>37</v>
      </c>
    </row>
    <row r="44" spans="1:6" x14ac:dyDescent="0.3">
      <c r="A44" t="s">
        <v>226</v>
      </c>
      <c r="B44" t="s">
        <v>227</v>
      </c>
      <c r="C44" t="s">
        <v>7835</v>
      </c>
      <c r="D44" t="s">
        <v>7787</v>
      </c>
      <c r="E44" s="18"/>
      <c r="F44" s="52" t="s">
        <v>37</v>
      </c>
    </row>
    <row r="45" spans="1:6" x14ac:dyDescent="0.3">
      <c r="A45" t="s">
        <v>231</v>
      </c>
      <c r="B45" t="s">
        <v>232</v>
      </c>
      <c r="C45" t="s">
        <v>7836</v>
      </c>
      <c r="D45" t="s">
        <v>7837</v>
      </c>
      <c r="E45" s="18">
        <v>45729</v>
      </c>
    </row>
    <row r="46" spans="1:6" x14ac:dyDescent="0.3">
      <c r="A46" t="s">
        <v>241</v>
      </c>
      <c r="B46" t="s">
        <v>242</v>
      </c>
      <c r="C46" t="s">
        <v>7838</v>
      </c>
      <c r="E46" s="18">
        <v>46035</v>
      </c>
    </row>
    <row r="47" spans="1:6" x14ac:dyDescent="0.3">
      <c r="A47" t="s">
        <v>248</v>
      </c>
      <c r="B47" t="s">
        <v>249</v>
      </c>
      <c r="C47" t="s">
        <v>7839</v>
      </c>
      <c r="D47" t="s">
        <v>7787</v>
      </c>
      <c r="E47" s="18">
        <v>45769</v>
      </c>
    </row>
    <row r="48" spans="1:6" x14ac:dyDescent="0.3">
      <c r="A48" t="s">
        <v>258</v>
      </c>
      <c r="B48" t="s">
        <v>259</v>
      </c>
      <c r="C48" t="s">
        <v>7840</v>
      </c>
      <c r="D48" t="s">
        <v>7785</v>
      </c>
      <c r="E48" s="18">
        <v>45961</v>
      </c>
      <c r="F48" s="52" t="s">
        <v>37</v>
      </c>
    </row>
    <row r="49" spans="1:5" x14ac:dyDescent="0.3">
      <c r="A49" t="s">
        <v>262</v>
      </c>
      <c r="B49" t="s">
        <v>263</v>
      </c>
      <c r="C49" t="s">
        <v>7841</v>
      </c>
      <c r="D49" t="s">
        <v>7785</v>
      </c>
      <c r="E49" s="18"/>
    </row>
    <row r="50" spans="1:5" x14ac:dyDescent="0.3">
      <c r="A50" t="s">
        <v>268</v>
      </c>
      <c r="B50" t="s">
        <v>269</v>
      </c>
      <c r="C50" t="s">
        <v>7842</v>
      </c>
      <c r="E50" s="18"/>
    </row>
    <row r="51" spans="1:5" x14ac:dyDescent="0.3">
      <c r="A51" t="s">
        <v>272</v>
      </c>
      <c r="B51" t="s">
        <v>273</v>
      </c>
      <c r="C51" t="s">
        <v>7843</v>
      </c>
      <c r="E51" s="18"/>
    </row>
    <row r="52" spans="1:5" x14ac:dyDescent="0.3">
      <c r="A52" t="s">
        <v>282</v>
      </c>
      <c r="B52" t="s">
        <v>283</v>
      </c>
      <c r="C52" t="s">
        <v>7844</v>
      </c>
      <c r="E52" s="18"/>
    </row>
    <row r="53" spans="1:5" x14ac:dyDescent="0.3">
      <c r="A53" t="s">
        <v>285</v>
      </c>
      <c r="B53" t="s">
        <v>286</v>
      </c>
      <c r="C53" t="s">
        <v>7845</v>
      </c>
      <c r="D53" t="s">
        <v>7846</v>
      </c>
      <c r="E53" s="18"/>
    </row>
    <row r="54" spans="1:5" x14ac:dyDescent="0.3">
      <c r="A54" t="s">
        <v>288</v>
      </c>
      <c r="B54" t="s">
        <v>289</v>
      </c>
      <c r="C54" t="s">
        <v>7847</v>
      </c>
      <c r="E54" s="18"/>
    </row>
    <row r="55" spans="1:5" x14ac:dyDescent="0.3">
      <c r="A55" t="s">
        <v>291</v>
      </c>
      <c r="B55" t="s">
        <v>292</v>
      </c>
      <c r="C55" t="s">
        <v>7848</v>
      </c>
      <c r="E55" s="18"/>
    </row>
    <row r="56" spans="1:5" x14ac:dyDescent="0.3">
      <c r="A56" t="s">
        <v>294</v>
      </c>
      <c r="B56" t="s">
        <v>295</v>
      </c>
      <c r="C56" t="s">
        <v>7849</v>
      </c>
      <c r="D56" t="s">
        <v>7785</v>
      </c>
      <c r="E56" s="18">
        <v>45889</v>
      </c>
    </row>
    <row r="57" spans="1:5" x14ac:dyDescent="0.3">
      <c r="A57" t="s">
        <v>298</v>
      </c>
      <c r="B57" t="s">
        <v>299</v>
      </c>
      <c r="C57" t="s">
        <v>7850</v>
      </c>
      <c r="E57" s="18"/>
    </row>
    <row r="58" spans="1:5" x14ac:dyDescent="0.3">
      <c r="A58" t="s">
        <v>304</v>
      </c>
      <c r="B58" t="s">
        <v>305</v>
      </c>
      <c r="C58" t="s">
        <v>7851</v>
      </c>
      <c r="D58" t="s">
        <v>7801</v>
      </c>
      <c r="E58" s="18">
        <v>46066</v>
      </c>
    </row>
    <row r="59" spans="1:5" x14ac:dyDescent="0.3">
      <c r="A59" t="s">
        <v>308</v>
      </c>
      <c r="B59" t="s">
        <v>309</v>
      </c>
      <c r="C59" t="s">
        <v>7852</v>
      </c>
      <c r="D59" t="s">
        <v>7787</v>
      </c>
      <c r="E59" s="18"/>
    </row>
    <row r="60" spans="1:5" x14ac:dyDescent="0.3">
      <c r="A60" t="s">
        <v>311</v>
      </c>
      <c r="B60" t="s">
        <v>312</v>
      </c>
      <c r="C60" t="s">
        <v>7575</v>
      </c>
      <c r="D60" t="s">
        <v>7787</v>
      </c>
      <c r="E60" s="18">
        <v>45741</v>
      </c>
    </row>
    <row r="61" spans="1:5" x14ac:dyDescent="0.3">
      <c r="A61" t="s">
        <v>316</v>
      </c>
      <c r="B61" t="s">
        <v>317</v>
      </c>
      <c r="C61" t="s">
        <v>7853</v>
      </c>
      <c r="E61" s="18"/>
    </row>
    <row r="62" spans="1:5" x14ac:dyDescent="0.3">
      <c r="A62" t="s">
        <v>320</v>
      </c>
      <c r="B62" t="s">
        <v>321</v>
      </c>
      <c r="C62" t="s">
        <v>7854</v>
      </c>
      <c r="D62" t="s">
        <v>7787</v>
      </c>
      <c r="E62" s="18">
        <v>45817</v>
      </c>
    </row>
    <row r="63" spans="1:5" x14ac:dyDescent="0.3">
      <c r="A63" t="s">
        <v>323</v>
      </c>
      <c r="B63" t="s">
        <v>324</v>
      </c>
      <c r="C63" t="s">
        <v>7855</v>
      </c>
      <c r="D63" t="s">
        <v>7787</v>
      </c>
      <c r="E63" s="18">
        <v>45771</v>
      </c>
    </row>
    <row r="64" spans="1:5" x14ac:dyDescent="0.3">
      <c r="A64" t="s">
        <v>329</v>
      </c>
      <c r="B64" t="s">
        <v>330</v>
      </c>
      <c r="C64" t="s">
        <v>7856</v>
      </c>
      <c r="D64" t="s">
        <v>7787</v>
      </c>
      <c r="E64" s="18">
        <v>45826</v>
      </c>
    </row>
    <row r="65" spans="1:6" x14ac:dyDescent="0.3">
      <c r="A65" t="s">
        <v>333</v>
      </c>
      <c r="B65" t="s">
        <v>334</v>
      </c>
      <c r="C65" t="s">
        <v>7857</v>
      </c>
      <c r="D65" t="s">
        <v>7787</v>
      </c>
      <c r="E65" s="18">
        <v>45957</v>
      </c>
      <c r="F65" s="52" t="s">
        <v>37</v>
      </c>
    </row>
    <row r="66" spans="1:6" x14ac:dyDescent="0.3">
      <c r="A66" t="s">
        <v>337</v>
      </c>
      <c r="B66" t="s">
        <v>338</v>
      </c>
      <c r="C66" t="s">
        <v>7858</v>
      </c>
      <c r="E66" s="18"/>
    </row>
    <row r="67" spans="1:6" x14ac:dyDescent="0.3">
      <c r="A67" t="s">
        <v>340</v>
      </c>
      <c r="B67" t="s">
        <v>341</v>
      </c>
      <c r="C67" t="s">
        <v>7859</v>
      </c>
      <c r="D67" t="s">
        <v>7798</v>
      </c>
      <c r="E67" s="18"/>
    </row>
    <row r="68" spans="1:6" x14ac:dyDescent="0.3">
      <c r="A68" t="s">
        <v>343</v>
      </c>
      <c r="B68" t="s">
        <v>344</v>
      </c>
      <c r="C68" t="s">
        <v>7860</v>
      </c>
      <c r="D68" t="s">
        <v>7787</v>
      </c>
      <c r="E68" s="18">
        <v>45950</v>
      </c>
      <c r="F68" s="52" t="s">
        <v>37</v>
      </c>
    </row>
    <row r="69" spans="1:6" x14ac:dyDescent="0.3">
      <c r="A69" t="s">
        <v>347</v>
      </c>
      <c r="B69" t="s">
        <v>348</v>
      </c>
      <c r="C69" t="s">
        <v>7861</v>
      </c>
      <c r="D69" t="s">
        <v>7789</v>
      </c>
      <c r="E69" s="18">
        <v>45896</v>
      </c>
    </row>
    <row r="70" spans="1:6" x14ac:dyDescent="0.3">
      <c r="B70" t="s">
        <v>7862</v>
      </c>
      <c r="C70" t="s">
        <v>7863</v>
      </c>
      <c r="D70" t="s">
        <v>7787</v>
      </c>
      <c r="E70" s="18"/>
    </row>
    <row r="71" spans="1:6" x14ac:dyDescent="0.3">
      <c r="A71" t="s">
        <v>354</v>
      </c>
      <c r="B71" t="s">
        <v>355</v>
      </c>
      <c r="C71" t="s">
        <v>7864</v>
      </c>
      <c r="D71" t="s">
        <v>7789</v>
      </c>
      <c r="E71" s="18"/>
    </row>
    <row r="72" spans="1:6" x14ac:dyDescent="0.3">
      <c r="A72" t="s">
        <v>357</v>
      </c>
      <c r="B72" t="s">
        <v>358</v>
      </c>
      <c r="C72" t="s">
        <v>7865</v>
      </c>
      <c r="D72" t="s">
        <v>7787</v>
      </c>
      <c r="E72" s="18">
        <v>45756</v>
      </c>
    </row>
    <row r="73" spans="1:6" x14ac:dyDescent="0.3">
      <c r="A73" t="s">
        <v>360</v>
      </c>
      <c r="B73" t="s">
        <v>361</v>
      </c>
      <c r="C73" t="s">
        <v>7866</v>
      </c>
      <c r="D73" t="s">
        <v>7867</v>
      </c>
      <c r="E73" s="18"/>
    </row>
    <row r="74" spans="1:6" x14ac:dyDescent="0.3">
      <c r="A74" t="s">
        <v>363</v>
      </c>
      <c r="B74" t="s">
        <v>364</v>
      </c>
      <c r="C74" t="s">
        <v>7868</v>
      </c>
      <c r="D74" t="s">
        <v>7787</v>
      </c>
      <c r="E74" s="18">
        <v>46006</v>
      </c>
    </row>
    <row r="75" spans="1:6" x14ac:dyDescent="0.3">
      <c r="A75" t="s">
        <v>367</v>
      </c>
      <c r="B75" t="s">
        <v>368</v>
      </c>
      <c r="C75" t="s">
        <v>7869</v>
      </c>
      <c r="D75" t="s">
        <v>7787</v>
      </c>
      <c r="E75" s="18">
        <v>46030</v>
      </c>
    </row>
    <row r="76" spans="1:6" x14ac:dyDescent="0.3">
      <c r="A76" t="s">
        <v>371</v>
      </c>
      <c r="B76" t="s">
        <v>372</v>
      </c>
      <c r="C76" t="s">
        <v>7870</v>
      </c>
      <c r="E76" s="18"/>
    </row>
    <row r="77" spans="1:6" x14ac:dyDescent="0.3">
      <c r="A77" t="s">
        <v>379</v>
      </c>
      <c r="B77" t="s">
        <v>380</v>
      </c>
      <c r="C77" t="s">
        <v>7871</v>
      </c>
      <c r="E77" s="18"/>
    </row>
    <row r="78" spans="1:6" x14ac:dyDescent="0.3">
      <c r="A78" t="s">
        <v>388</v>
      </c>
      <c r="B78" t="s">
        <v>389</v>
      </c>
      <c r="C78" t="s">
        <v>7872</v>
      </c>
      <c r="E78" s="18"/>
    </row>
    <row r="79" spans="1:6" x14ac:dyDescent="0.3">
      <c r="A79" t="s">
        <v>392</v>
      </c>
      <c r="B79" t="s">
        <v>393</v>
      </c>
      <c r="C79" t="s">
        <v>7873</v>
      </c>
      <c r="D79" t="s">
        <v>7785</v>
      </c>
      <c r="E79" s="18">
        <v>45756</v>
      </c>
    </row>
    <row r="80" spans="1:6" x14ac:dyDescent="0.3">
      <c r="A80" t="s">
        <v>399</v>
      </c>
      <c r="B80" t="s">
        <v>400</v>
      </c>
      <c r="C80" t="s">
        <v>7874</v>
      </c>
      <c r="D80" t="s">
        <v>7787</v>
      </c>
      <c r="E80" s="18">
        <v>45820</v>
      </c>
    </row>
    <row r="81" spans="1:6" x14ac:dyDescent="0.3">
      <c r="A81" t="s">
        <v>403</v>
      </c>
      <c r="B81" t="s">
        <v>404</v>
      </c>
      <c r="C81" t="s">
        <v>7875</v>
      </c>
      <c r="E81" s="18"/>
    </row>
    <row r="82" spans="1:6" x14ac:dyDescent="0.3">
      <c r="A82" t="s">
        <v>407</v>
      </c>
      <c r="B82" t="s">
        <v>408</v>
      </c>
      <c r="C82" t="s">
        <v>7876</v>
      </c>
      <c r="D82" t="s">
        <v>7787</v>
      </c>
      <c r="E82" s="18">
        <v>45958</v>
      </c>
    </row>
    <row r="83" spans="1:6" x14ac:dyDescent="0.3">
      <c r="A83" t="s">
        <v>411</v>
      </c>
      <c r="B83" t="s">
        <v>412</v>
      </c>
      <c r="C83" t="s">
        <v>7877</v>
      </c>
      <c r="D83" t="s">
        <v>7789</v>
      </c>
      <c r="E83" s="18"/>
    </row>
    <row r="84" spans="1:6" x14ac:dyDescent="0.3">
      <c r="A84" t="s">
        <v>414</v>
      </c>
      <c r="B84" t="s">
        <v>415</v>
      </c>
      <c r="C84" t="s">
        <v>7878</v>
      </c>
      <c r="D84" t="s">
        <v>7787</v>
      </c>
      <c r="E84" s="18">
        <v>45826</v>
      </c>
    </row>
    <row r="85" spans="1:6" x14ac:dyDescent="0.3">
      <c r="B85" t="s">
        <v>7879</v>
      </c>
      <c r="C85" t="s">
        <v>7880</v>
      </c>
      <c r="E85" s="18"/>
    </row>
    <row r="86" spans="1:6" x14ac:dyDescent="0.3">
      <c r="A86" t="s">
        <v>417</v>
      </c>
      <c r="B86" t="s">
        <v>418</v>
      </c>
      <c r="C86" t="s">
        <v>7881</v>
      </c>
      <c r="E86" s="18"/>
    </row>
    <row r="87" spans="1:6" x14ac:dyDescent="0.3">
      <c r="A87" t="s">
        <v>420</v>
      </c>
      <c r="B87" t="s">
        <v>421</v>
      </c>
      <c r="C87" t="s">
        <v>7882</v>
      </c>
      <c r="E87" s="18"/>
    </row>
    <row r="88" spans="1:6" x14ac:dyDescent="0.3">
      <c r="A88" t="s">
        <v>424</v>
      </c>
      <c r="B88" t="s">
        <v>425</v>
      </c>
      <c r="C88" t="s">
        <v>7883</v>
      </c>
      <c r="E88" s="18"/>
      <c r="F88" s="52" t="s">
        <v>37</v>
      </c>
    </row>
    <row r="89" spans="1:6" x14ac:dyDescent="0.3">
      <c r="A89" t="s">
        <v>427</v>
      </c>
      <c r="B89" t="s">
        <v>428</v>
      </c>
      <c r="C89" t="s">
        <v>7884</v>
      </c>
      <c r="D89" t="s">
        <v>7796</v>
      </c>
      <c r="E89" s="18">
        <v>45776</v>
      </c>
    </row>
    <row r="90" spans="1:6" x14ac:dyDescent="0.3">
      <c r="A90" t="s">
        <v>430</v>
      </c>
      <c r="B90" t="s">
        <v>431</v>
      </c>
      <c r="C90" t="s">
        <v>7885</v>
      </c>
      <c r="E90" s="18"/>
      <c r="F90" s="52" t="s">
        <v>37</v>
      </c>
    </row>
    <row r="91" spans="1:6" x14ac:dyDescent="0.3">
      <c r="A91" t="s">
        <v>434</v>
      </c>
      <c r="B91" t="s">
        <v>435</v>
      </c>
      <c r="C91" t="s">
        <v>7886</v>
      </c>
      <c r="D91" t="s">
        <v>7787</v>
      </c>
      <c r="E91" s="18"/>
      <c r="F91" s="52" t="s">
        <v>37</v>
      </c>
    </row>
    <row r="92" spans="1:6" x14ac:dyDescent="0.3">
      <c r="A92" t="s">
        <v>438</v>
      </c>
      <c r="B92" t="s">
        <v>439</v>
      </c>
      <c r="C92" t="s">
        <v>7887</v>
      </c>
      <c r="D92" t="s">
        <v>7787</v>
      </c>
      <c r="E92" s="18">
        <v>45784</v>
      </c>
    </row>
    <row r="93" spans="1:6" x14ac:dyDescent="0.3">
      <c r="A93" t="s">
        <v>442</v>
      </c>
      <c r="B93" t="s">
        <v>443</v>
      </c>
      <c r="C93" t="s">
        <v>7888</v>
      </c>
      <c r="E93" s="18"/>
      <c r="F93" s="52" t="s">
        <v>37</v>
      </c>
    </row>
    <row r="94" spans="1:6" x14ac:dyDescent="0.3">
      <c r="A94" t="s">
        <v>445</v>
      </c>
      <c r="B94" t="s">
        <v>446</v>
      </c>
      <c r="C94" t="s">
        <v>7889</v>
      </c>
      <c r="D94" t="s">
        <v>7798</v>
      </c>
      <c r="E94" s="18"/>
    </row>
    <row r="95" spans="1:6" x14ac:dyDescent="0.3">
      <c r="A95" t="s">
        <v>448</v>
      </c>
      <c r="B95" t="s">
        <v>449</v>
      </c>
      <c r="C95" t="s">
        <v>7890</v>
      </c>
      <c r="D95" t="s">
        <v>7787</v>
      </c>
      <c r="E95" s="18">
        <v>45817</v>
      </c>
    </row>
    <row r="96" spans="1:6" x14ac:dyDescent="0.3">
      <c r="A96" t="s">
        <v>452</v>
      </c>
      <c r="B96" t="s">
        <v>453</v>
      </c>
      <c r="C96" t="s">
        <v>7891</v>
      </c>
      <c r="E96" s="18"/>
    </row>
    <row r="97" spans="1:5" x14ac:dyDescent="0.3">
      <c r="A97" t="s">
        <v>456</v>
      </c>
      <c r="B97" t="s">
        <v>457</v>
      </c>
      <c r="C97" t="s">
        <v>7892</v>
      </c>
      <c r="D97" t="s">
        <v>7787</v>
      </c>
      <c r="E97" s="18">
        <v>45741</v>
      </c>
    </row>
    <row r="98" spans="1:5" x14ac:dyDescent="0.3">
      <c r="A98" t="s">
        <v>459</v>
      </c>
      <c r="B98" t="s">
        <v>460</v>
      </c>
      <c r="C98" t="s">
        <v>7893</v>
      </c>
      <c r="D98" t="s">
        <v>7785</v>
      </c>
      <c r="E98" s="18">
        <v>45744</v>
      </c>
    </row>
    <row r="99" spans="1:5" x14ac:dyDescent="0.3">
      <c r="A99" t="s">
        <v>463</v>
      </c>
      <c r="B99" t="s">
        <v>464</v>
      </c>
      <c r="C99" t="s">
        <v>7894</v>
      </c>
      <c r="D99" t="s">
        <v>7787</v>
      </c>
      <c r="E99" s="18">
        <v>45783</v>
      </c>
    </row>
    <row r="100" spans="1:5" x14ac:dyDescent="0.3">
      <c r="A100" t="s">
        <v>469</v>
      </c>
      <c r="B100" t="s">
        <v>470</v>
      </c>
      <c r="C100" t="s">
        <v>7895</v>
      </c>
      <c r="E100" s="18"/>
    </row>
    <row r="101" spans="1:5" x14ac:dyDescent="0.3">
      <c r="B101" t="s">
        <v>7896</v>
      </c>
      <c r="C101" t="s">
        <v>7897</v>
      </c>
      <c r="E101" s="18"/>
    </row>
    <row r="102" spans="1:5" x14ac:dyDescent="0.3">
      <c r="A102" t="s">
        <v>473</v>
      </c>
      <c r="B102" t="s">
        <v>474</v>
      </c>
      <c r="C102" t="s">
        <v>7898</v>
      </c>
      <c r="D102" t="s">
        <v>7787</v>
      </c>
      <c r="E102" s="18">
        <v>45756</v>
      </c>
    </row>
    <row r="103" spans="1:5" x14ac:dyDescent="0.3">
      <c r="A103" t="s">
        <v>480</v>
      </c>
      <c r="B103" t="s">
        <v>481</v>
      </c>
      <c r="C103" t="s">
        <v>7899</v>
      </c>
      <c r="D103" t="s">
        <v>7787</v>
      </c>
      <c r="E103" s="18">
        <v>45931</v>
      </c>
    </row>
    <row r="104" spans="1:5" x14ac:dyDescent="0.3">
      <c r="A104" t="s">
        <v>488</v>
      </c>
      <c r="B104" t="s">
        <v>489</v>
      </c>
      <c r="C104" t="s">
        <v>7900</v>
      </c>
      <c r="D104" t="s">
        <v>7787</v>
      </c>
      <c r="E104" s="18">
        <v>45842</v>
      </c>
    </row>
    <row r="105" spans="1:5" x14ac:dyDescent="0.3">
      <c r="A105" t="s">
        <v>496</v>
      </c>
      <c r="B105" t="s">
        <v>497</v>
      </c>
      <c r="C105" t="s">
        <v>7901</v>
      </c>
      <c r="E105" s="18">
        <v>45891</v>
      </c>
    </row>
    <row r="106" spans="1:5" x14ac:dyDescent="0.3">
      <c r="A106" t="s">
        <v>500</v>
      </c>
      <c r="B106" t="s">
        <v>501</v>
      </c>
      <c r="C106" t="s">
        <v>7902</v>
      </c>
      <c r="E106" s="18"/>
    </row>
    <row r="107" spans="1:5" x14ac:dyDescent="0.3">
      <c r="A107" t="s">
        <v>504</v>
      </c>
      <c r="B107" t="s">
        <v>505</v>
      </c>
      <c r="C107" t="s">
        <v>7903</v>
      </c>
      <c r="D107" t="s">
        <v>7785</v>
      </c>
      <c r="E107" s="18">
        <v>45728</v>
      </c>
    </row>
    <row r="108" spans="1:5" x14ac:dyDescent="0.3">
      <c r="A108" t="s">
        <v>508</v>
      </c>
      <c r="B108" t="s">
        <v>509</v>
      </c>
      <c r="C108" t="s">
        <v>7904</v>
      </c>
      <c r="D108" t="s">
        <v>7785</v>
      </c>
      <c r="E108" s="18">
        <v>45891</v>
      </c>
    </row>
    <row r="109" spans="1:5" x14ac:dyDescent="0.3">
      <c r="A109" t="s">
        <v>512</v>
      </c>
      <c r="B109" t="s">
        <v>513</v>
      </c>
      <c r="C109" t="s">
        <v>7905</v>
      </c>
      <c r="E109" s="18">
        <v>45894</v>
      </c>
    </row>
    <row r="110" spans="1:5" x14ac:dyDescent="0.3">
      <c r="A110" t="s">
        <v>516</v>
      </c>
      <c r="B110" t="s">
        <v>517</v>
      </c>
      <c r="C110" t="s">
        <v>7906</v>
      </c>
      <c r="D110" t="s">
        <v>7785</v>
      </c>
      <c r="E110" s="18">
        <v>45819</v>
      </c>
    </row>
    <row r="111" spans="1:5" x14ac:dyDescent="0.3">
      <c r="A111" t="s">
        <v>520</v>
      </c>
      <c r="B111" t="s">
        <v>521</v>
      </c>
      <c r="C111" t="s">
        <v>7907</v>
      </c>
      <c r="D111" t="s">
        <v>7787</v>
      </c>
      <c r="E111" s="18">
        <v>45915</v>
      </c>
    </row>
    <row r="112" spans="1:5" x14ac:dyDescent="0.3">
      <c r="B112" t="s">
        <v>7908</v>
      </c>
      <c r="C112" t="s">
        <v>7909</v>
      </c>
      <c r="E112" s="18"/>
    </row>
    <row r="113" spans="1:6" x14ac:dyDescent="0.3">
      <c r="A113" t="s">
        <v>527</v>
      </c>
      <c r="B113" t="s">
        <v>528</v>
      </c>
      <c r="C113" t="s">
        <v>7910</v>
      </c>
      <c r="D113" t="s">
        <v>7785</v>
      </c>
      <c r="E113" s="18">
        <v>45730</v>
      </c>
    </row>
    <row r="114" spans="1:6" x14ac:dyDescent="0.3">
      <c r="A114" t="s">
        <v>530</v>
      </c>
      <c r="B114" t="s">
        <v>531</v>
      </c>
      <c r="C114" t="s">
        <v>7911</v>
      </c>
      <c r="D114" t="s">
        <v>7912</v>
      </c>
      <c r="E114" s="18">
        <v>46044</v>
      </c>
      <c r="F114" s="52" t="s">
        <v>37</v>
      </c>
    </row>
    <row r="115" spans="1:6" x14ac:dyDescent="0.3">
      <c r="A115" t="s">
        <v>533</v>
      </c>
      <c r="B115" t="s">
        <v>534</v>
      </c>
      <c r="C115" t="s">
        <v>7913</v>
      </c>
      <c r="D115" t="s">
        <v>7796</v>
      </c>
      <c r="E115" s="18">
        <v>45930</v>
      </c>
    </row>
    <row r="116" spans="1:6" x14ac:dyDescent="0.3">
      <c r="A116" t="s">
        <v>537</v>
      </c>
      <c r="B116" t="s">
        <v>538</v>
      </c>
      <c r="C116" t="s">
        <v>7914</v>
      </c>
      <c r="D116" t="s">
        <v>7787</v>
      </c>
      <c r="E116" s="18">
        <v>45741</v>
      </c>
    </row>
    <row r="117" spans="1:6" x14ac:dyDescent="0.3">
      <c r="A117" t="s">
        <v>544</v>
      </c>
      <c r="B117" t="s">
        <v>545</v>
      </c>
      <c r="C117" t="s">
        <v>7570</v>
      </c>
      <c r="D117" t="s">
        <v>7787</v>
      </c>
      <c r="E117" s="18">
        <v>45910</v>
      </c>
    </row>
    <row r="118" spans="1:6" x14ac:dyDescent="0.3">
      <c r="A118" t="s">
        <v>551</v>
      </c>
      <c r="B118" t="s">
        <v>552</v>
      </c>
      <c r="C118" t="s">
        <v>7915</v>
      </c>
      <c r="E118" s="18"/>
    </row>
    <row r="119" spans="1:6" x14ac:dyDescent="0.3">
      <c r="A119" t="s">
        <v>555</v>
      </c>
      <c r="B119" t="s">
        <v>556</v>
      </c>
      <c r="C119" t="s">
        <v>7916</v>
      </c>
      <c r="E119" s="18"/>
    </row>
    <row r="120" spans="1:6" x14ac:dyDescent="0.3">
      <c r="A120" t="s">
        <v>558</v>
      </c>
      <c r="B120" t="s">
        <v>559</v>
      </c>
      <c r="C120" t="s">
        <v>7917</v>
      </c>
      <c r="D120" t="s">
        <v>7785</v>
      </c>
      <c r="E120" s="18">
        <v>45736</v>
      </c>
    </row>
    <row r="121" spans="1:6" x14ac:dyDescent="0.3">
      <c r="A121" t="s">
        <v>568</v>
      </c>
      <c r="B121" t="s">
        <v>569</v>
      </c>
      <c r="C121" t="s">
        <v>7918</v>
      </c>
      <c r="E121" s="18"/>
    </row>
    <row r="122" spans="1:6" x14ac:dyDescent="0.3">
      <c r="A122" t="s">
        <v>572</v>
      </c>
      <c r="B122" t="s">
        <v>573</v>
      </c>
      <c r="C122" t="s">
        <v>7919</v>
      </c>
      <c r="D122" t="s">
        <v>7785</v>
      </c>
      <c r="E122" s="18">
        <v>45763</v>
      </c>
    </row>
    <row r="123" spans="1:6" x14ac:dyDescent="0.3">
      <c r="A123" t="s">
        <v>578</v>
      </c>
      <c r="B123" t="s">
        <v>579</v>
      </c>
      <c r="C123" t="s">
        <v>7920</v>
      </c>
      <c r="E123" s="18"/>
      <c r="F123" s="52" t="s">
        <v>37</v>
      </c>
    </row>
    <row r="124" spans="1:6" x14ac:dyDescent="0.3">
      <c r="A124" t="s">
        <v>581</v>
      </c>
      <c r="B124" t="s">
        <v>582</v>
      </c>
      <c r="C124" t="s">
        <v>7921</v>
      </c>
      <c r="E124" s="18"/>
    </row>
    <row r="125" spans="1:6" x14ac:dyDescent="0.3">
      <c r="A125" t="s">
        <v>585</v>
      </c>
      <c r="B125" t="s">
        <v>586</v>
      </c>
      <c r="C125" t="s">
        <v>7922</v>
      </c>
      <c r="D125" t="s">
        <v>7787</v>
      </c>
      <c r="E125" s="18">
        <v>45959</v>
      </c>
      <c r="F125" s="52" t="s">
        <v>37</v>
      </c>
    </row>
    <row r="126" spans="1:6" x14ac:dyDescent="0.3">
      <c r="A126" t="s">
        <v>593</v>
      </c>
      <c r="B126" t="s">
        <v>594</v>
      </c>
      <c r="C126" t="s">
        <v>7923</v>
      </c>
      <c r="D126" t="s">
        <v>7789</v>
      </c>
      <c r="E126" s="18"/>
    </row>
    <row r="127" spans="1:6" x14ac:dyDescent="0.3">
      <c r="A127" t="s">
        <v>600</v>
      </c>
      <c r="B127" t="s">
        <v>601</v>
      </c>
      <c r="C127" t="s">
        <v>7924</v>
      </c>
      <c r="D127" t="s">
        <v>7925</v>
      </c>
      <c r="E127" s="18">
        <v>45761</v>
      </c>
    </row>
    <row r="128" spans="1:6" x14ac:dyDescent="0.3">
      <c r="A128" t="s">
        <v>603</v>
      </c>
      <c r="B128" t="s">
        <v>604</v>
      </c>
      <c r="C128" t="s">
        <v>7926</v>
      </c>
      <c r="D128" t="s">
        <v>7787</v>
      </c>
      <c r="E128" s="18">
        <v>45993</v>
      </c>
    </row>
    <row r="129" spans="1:6" x14ac:dyDescent="0.3">
      <c r="A129" t="s">
        <v>607</v>
      </c>
      <c r="B129" t="s">
        <v>608</v>
      </c>
      <c r="C129" t="s">
        <v>7927</v>
      </c>
      <c r="D129" t="s">
        <v>7789</v>
      </c>
      <c r="E129" s="18"/>
    </row>
    <row r="130" spans="1:6" x14ac:dyDescent="0.3">
      <c r="A130" t="s">
        <v>614</v>
      </c>
      <c r="B130" t="s">
        <v>615</v>
      </c>
      <c r="C130" t="s">
        <v>7928</v>
      </c>
      <c r="E130" s="18">
        <v>45915</v>
      </c>
    </row>
    <row r="131" spans="1:6" x14ac:dyDescent="0.3">
      <c r="A131" t="s">
        <v>624</v>
      </c>
      <c r="B131" t="s">
        <v>625</v>
      </c>
      <c r="C131" t="s">
        <v>7929</v>
      </c>
      <c r="D131" t="s">
        <v>7912</v>
      </c>
      <c r="E131" s="18">
        <v>45720</v>
      </c>
    </row>
    <row r="132" spans="1:6" x14ac:dyDescent="0.3">
      <c r="A132" t="s">
        <v>630</v>
      </c>
      <c r="B132" t="s">
        <v>631</v>
      </c>
      <c r="C132" t="s">
        <v>7930</v>
      </c>
      <c r="D132" t="s">
        <v>7787</v>
      </c>
      <c r="E132" s="18">
        <v>45783</v>
      </c>
    </row>
    <row r="133" spans="1:6" x14ac:dyDescent="0.3">
      <c r="A133" t="s">
        <v>634</v>
      </c>
      <c r="B133" t="s">
        <v>635</v>
      </c>
      <c r="C133" t="s">
        <v>7931</v>
      </c>
      <c r="D133" t="s">
        <v>7787</v>
      </c>
      <c r="E133" s="18">
        <v>45910</v>
      </c>
      <c r="F133" s="52" t="s">
        <v>37</v>
      </c>
    </row>
    <row r="134" spans="1:6" x14ac:dyDescent="0.3">
      <c r="A134" t="s">
        <v>638</v>
      </c>
      <c r="B134" t="s">
        <v>639</v>
      </c>
      <c r="C134" t="s">
        <v>7932</v>
      </c>
      <c r="D134" t="s">
        <v>7789</v>
      </c>
      <c r="E134" s="18">
        <v>45958</v>
      </c>
    </row>
    <row r="135" spans="1:6" x14ac:dyDescent="0.3">
      <c r="A135" t="s">
        <v>642</v>
      </c>
      <c r="B135" t="s">
        <v>643</v>
      </c>
      <c r="C135" t="s">
        <v>7933</v>
      </c>
      <c r="D135" t="s">
        <v>7787</v>
      </c>
      <c r="E135" s="18">
        <v>45967</v>
      </c>
    </row>
    <row r="136" spans="1:6" x14ac:dyDescent="0.3">
      <c r="A136" t="s">
        <v>646</v>
      </c>
      <c r="B136" t="s">
        <v>647</v>
      </c>
      <c r="C136" t="s">
        <v>7934</v>
      </c>
      <c r="D136" t="s">
        <v>7787</v>
      </c>
      <c r="E136" s="18">
        <v>45973</v>
      </c>
    </row>
    <row r="137" spans="1:6" x14ac:dyDescent="0.3">
      <c r="A137" t="s">
        <v>657</v>
      </c>
      <c r="B137" t="s">
        <v>658</v>
      </c>
      <c r="C137" t="s">
        <v>7935</v>
      </c>
      <c r="D137" t="s">
        <v>7787</v>
      </c>
      <c r="E137" s="18">
        <v>45722</v>
      </c>
    </row>
    <row r="138" spans="1:6" x14ac:dyDescent="0.3">
      <c r="A138" t="s">
        <v>660</v>
      </c>
      <c r="B138" t="s">
        <v>661</v>
      </c>
      <c r="C138" t="s">
        <v>7936</v>
      </c>
      <c r="D138" t="s">
        <v>7787</v>
      </c>
      <c r="E138" s="18">
        <v>45828</v>
      </c>
    </row>
    <row r="139" spans="1:6" x14ac:dyDescent="0.3">
      <c r="A139" t="s">
        <v>664</v>
      </c>
      <c r="B139" t="s">
        <v>665</v>
      </c>
      <c r="C139" t="s">
        <v>7937</v>
      </c>
      <c r="D139" t="s">
        <v>7787</v>
      </c>
      <c r="E139" s="18"/>
    </row>
    <row r="140" spans="1:6" x14ac:dyDescent="0.3">
      <c r="A140" t="s">
        <v>667</v>
      </c>
      <c r="B140" t="s">
        <v>668</v>
      </c>
      <c r="C140" t="s">
        <v>7938</v>
      </c>
      <c r="D140" t="s">
        <v>7939</v>
      </c>
      <c r="E140" s="18"/>
    </row>
    <row r="141" spans="1:6" x14ac:dyDescent="0.3">
      <c r="A141" t="s">
        <v>673</v>
      </c>
      <c r="B141" t="s">
        <v>674</v>
      </c>
      <c r="C141" t="s">
        <v>7940</v>
      </c>
      <c r="D141" t="s">
        <v>7787</v>
      </c>
      <c r="E141" s="18"/>
    </row>
    <row r="142" spans="1:6" x14ac:dyDescent="0.3">
      <c r="A142" t="s">
        <v>677</v>
      </c>
      <c r="B142" t="s">
        <v>678</v>
      </c>
      <c r="C142" t="s">
        <v>7941</v>
      </c>
      <c r="D142" t="s">
        <v>7789</v>
      </c>
      <c r="E142" s="18">
        <v>45786</v>
      </c>
    </row>
    <row r="143" spans="1:6" x14ac:dyDescent="0.3">
      <c r="A143" t="s">
        <v>685</v>
      </c>
      <c r="B143" t="s">
        <v>686</v>
      </c>
      <c r="C143" t="s">
        <v>7942</v>
      </c>
      <c r="D143" t="s">
        <v>7787</v>
      </c>
      <c r="E143" s="18"/>
      <c r="F143" s="52" t="s">
        <v>37</v>
      </c>
    </row>
    <row r="144" spans="1:6" x14ac:dyDescent="0.3">
      <c r="A144" t="s">
        <v>692</v>
      </c>
      <c r="B144" t="s">
        <v>693</v>
      </c>
      <c r="C144" t="s">
        <v>7943</v>
      </c>
      <c r="D144" t="s">
        <v>7785</v>
      </c>
      <c r="E144" s="18">
        <v>45957</v>
      </c>
      <c r="F144" s="52" t="s">
        <v>37</v>
      </c>
    </row>
    <row r="145" spans="1:6" x14ac:dyDescent="0.3">
      <c r="A145" t="s">
        <v>696</v>
      </c>
      <c r="B145" t="s">
        <v>697</v>
      </c>
      <c r="C145" t="s">
        <v>7944</v>
      </c>
      <c r="E145" s="18"/>
    </row>
    <row r="146" spans="1:6" x14ac:dyDescent="0.3">
      <c r="A146" t="s">
        <v>699</v>
      </c>
      <c r="B146" t="s">
        <v>700</v>
      </c>
      <c r="C146" t="s">
        <v>7945</v>
      </c>
      <c r="D146" t="s">
        <v>7787</v>
      </c>
      <c r="E146" s="18">
        <v>45971</v>
      </c>
    </row>
    <row r="147" spans="1:6" x14ac:dyDescent="0.3">
      <c r="A147" t="s">
        <v>703</v>
      </c>
      <c r="B147" t="s">
        <v>704</v>
      </c>
      <c r="C147" t="s">
        <v>7946</v>
      </c>
      <c r="D147" t="s">
        <v>7787</v>
      </c>
      <c r="E147" s="18">
        <v>45754</v>
      </c>
    </row>
    <row r="148" spans="1:6" x14ac:dyDescent="0.3">
      <c r="A148" t="s">
        <v>706</v>
      </c>
      <c r="B148" t="s">
        <v>707</v>
      </c>
      <c r="C148" t="s">
        <v>7947</v>
      </c>
      <c r="D148" t="s">
        <v>7787</v>
      </c>
      <c r="E148" s="18">
        <v>45779</v>
      </c>
    </row>
    <row r="149" spans="1:6" x14ac:dyDescent="0.3">
      <c r="A149" t="s">
        <v>713</v>
      </c>
      <c r="B149" t="s">
        <v>714</v>
      </c>
      <c r="C149" t="s">
        <v>7948</v>
      </c>
      <c r="D149" t="s">
        <v>7796</v>
      </c>
      <c r="E149" s="18"/>
    </row>
    <row r="150" spans="1:6" x14ac:dyDescent="0.3">
      <c r="A150" t="s">
        <v>717</v>
      </c>
      <c r="B150" t="s">
        <v>718</v>
      </c>
      <c r="C150" t="s">
        <v>7949</v>
      </c>
      <c r="D150" t="s">
        <v>7787</v>
      </c>
      <c r="E150" s="18">
        <v>45965</v>
      </c>
      <c r="F150" s="52" t="s">
        <v>37</v>
      </c>
    </row>
    <row r="151" spans="1:6" x14ac:dyDescent="0.3">
      <c r="A151" t="s">
        <v>721</v>
      </c>
      <c r="B151" t="s">
        <v>722</v>
      </c>
      <c r="C151" t="s">
        <v>7950</v>
      </c>
      <c r="D151" t="s">
        <v>7785</v>
      </c>
      <c r="E151" s="18">
        <v>46034</v>
      </c>
    </row>
    <row r="152" spans="1:6" x14ac:dyDescent="0.3">
      <c r="A152" t="s">
        <v>725</v>
      </c>
      <c r="B152" t="s">
        <v>726</v>
      </c>
      <c r="C152" t="s">
        <v>7951</v>
      </c>
      <c r="D152" t="s">
        <v>7785</v>
      </c>
      <c r="E152" s="18">
        <v>45783</v>
      </c>
    </row>
    <row r="153" spans="1:6" x14ac:dyDescent="0.3">
      <c r="A153" t="s">
        <v>729</v>
      </c>
      <c r="B153" t="s">
        <v>730</v>
      </c>
      <c r="C153" t="s">
        <v>7952</v>
      </c>
      <c r="D153" t="s">
        <v>7787</v>
      </c>
      <c r="E153" s="18">
        <v>45891</v>
      </c>
    </row>
    <row r="154" spans="1:6" x14ac:dyDescent="0.3">
      <c r="A154" t="s">
        <v>733</v>
      </c>
      <c r="B154" t="s">
        <v>734</v>
      </c>
      <c r="C154" t="s">
        <v>7953</v>
      </c>
      <c r="E154" s="18"/>
    </row>
    <row r="155" spans="1:6" x14ac:dyDescent="0.3">
      <c r="A155" t="s">
        <v>736</v>
      </c>
      <c r="B155" t="s">
        <v>737</v>
      </c>
      <c r="C155" t="s">
        <v>7954</v>
      </c>
      <c r="E155" s="18"/>
    </row>
    <row r="156" spans="1:6" x14ac:dyDescent="0.3">
      <c r="A156" t="s">
        <v>739</v>
      </c>
      <c r="B156" t="s">
        <v>740</v>
      </c>
      <c r="C156" t="s">
        <v>7955</v>
      </c>
      <c r="D156" t="s">
        <v>7787</v>
      </c>
      <c r="E156" s="18">
        <v>45750</v>
      </c>
    </row>
    <row r="157" spans="1:6" x14ac:dyDescent="0.3">
      <c r="A157" t="s">
        <v>743</v>
      </c>
      <c r="B157" t="s">
        <v>744</v>
      </c>
      <c r="C157" t="s">
        <v>7956</v>
      </c>
      <c r="D157" t="s">
        <v>7789</v>
      </c>
      <c r="E157" s="18">
        <v>45785</v>
      </c>
    </row>
    <row r="158" spans="1:6" x14ac:dyDescent="0.3">
      <c r="A158" t="s">
        <v>746</v>
      </c>
      <c r="B158" t="s">
        <v>747</v>
      </c>
      <c r="C158" t="s">
        <v>7957</v>
      </c>
      <c r="E158" s="18"/>
      <c r="F158" s="52" t="s">
        <v>37</v>
      </c>
    </row>
    <row r="159" spans="1:6" x14ac:dyDescent="0.3">
      <c r="A159" t="s">
        <v>753</v>
      </c>
      <c r="B159" t="s">
        <v>754</v>
      </c>
      <c r="C159" t="s">
        <v>7958</v>
      </c>
      <c r="D159" t="s">
        <v>7787</v>
      </c>
      <c r="E159" s="18"/>
    </row>
    <row r="160" spans="1:6" x14ac:dyDescent="0.3">
      <c r="A160" t="s">
        <v>760</v>
      </c>
      <c r="B160" t="s">
        <v>761</v>
      </c>
      <c r="C160" t="s">
        <v>7959</v>
      </c>
      <c r="D160" t="s">
        <v>7789</v>
      </c>
      <c r="E160" s="18">
        <v>45988</v>
      </c>
    </row>
    <row r="161" spans="1:6" x14ac:dyDescent="0.3">
      <c r="A161" t="s">
        <v>767</v>
      </c>
      <c r="B161" t="s">
        <v>768</v>
      </c>
      <c r="C161" t="s">
        <v>7960</v>
      </c>
      <c r="D161" t="s">
        <v>7787</v>
      </c>
      <c r="E161" s="18"/>
      <c r="F161" s="52" t="s">
        <v>37</v>
      </c>
    </row>
    <row r="162" spans="1:6" x14ac:dyDescent="0.3">
      <c r="A162" t="s">
        <v>770</v>
      </c>
      <c r="B162" t="s">
        <v>771</v>
      </c>
      <c r="C162" t="s">
        <v>7961</v>
      </c>
      <c r="E162" s="18"/>
    </row>
    <row r="163" spans="1:6" x14ac:dyDescent="0.3">
      <c r="A163" t="s">
        <v>773</v>
      </c>
      <c r="B163" t="s">
        <v>774</v>
      </c>
      <c r="C163" t="s">
        <v>7962</v>
      </c>
      <c r="D163" t="s">
        <v>7787</v>
      </c>
      <c r="E163" s="18"/>
    </row>
    <row r="164" spans="1:6" x14ac:dyDescent="0.3">
      <c r="A164" t="s">
        <v>777</v>
      </c>
      <c r="B164" t="s">
        <v>778</v>
      </c>
      <c r="C164" t="s">
        <v>7963</v>
      </c>
      <c r="D164" t="s">
        <v>7787</v>
      </c>
      <c r="E164" s="18">
        <v>45849</v>
      </c>
    </row>
    <row r="165" spans="1:6" x14ac:dyDescent="0.3">
      <c r="A165" t="s">
        <v>781</v>
      </c>
      <c r="B165" t="s">
        <v>782</v>
      </c>
      <c r="C165" t="s">
        <v>7964</v>
      </c>
      <c r="D165" t="s">
        <v>7789</v>
      </c>
      <c r="E165" s="18">
        <v>45881</v>
      </c>
    </row>
    <row r="166" spans="1:6" x14ac:dyDescent="0.3">
      <c r="A166" t="s">
        <v>785</v>
      </c>
      <c r="B166" t="s">
        <v>786</v>
      </c>
      <c r="C166" t="s">
        <v>7965</v>
      </c>
      <c r="D166" t="s">
        <v>7787</v>
      </c>
      <c r="E166" s="18">
        <v>45891</v>
      </c>
      <c r="F166" s="52" t="s">
        <v>37</v>
      </c>
    </row>
    <row r="167" spans="1:6" x14ac:dyDescent="0.3">
      <c r="A167" t="s">
        <v>789</v>
      </c>
      <c r="B167" t="s">
        <v>790</v>
      </c>
      <c r="C167" t="s">
        <v>7966</v>
      </c>
      <c r="D167" t="s">
        <v>7785</v>
      </c>
      <c r="E167" s="18">
        <v>45957</v>
      </c>
      <c r="F167" s="52" t="s">
        <v>37</v>
      </c>
    </row>
    <row r="168" spans="1:6" x14ac:dyDescent="0.3">
      <c r="A168" t="s">
        <v>793</v>
      </c>
      <c r="B168" t="s">
        <v>794</v>
      </c>
      <c r="C168" t="s">
        <v>7967</v>
      </c>
      <c r="D168" t="s">
        <v>7801</v>
      </c>
      <c r="E168" s="18"/>
    </row>
    <row r="169" spans="1:6" x14ac:dyDescent="0.3">
      <c r="A169" t="s">
        <v>797</v>
      </c>
      <c r="B169" t="s">
        <v>798</v>
      </c>
      <c r="C169" t="s">
        <v>7968</v>
      </c>
      <c r="D169" t="s">
        <v>7787</v>
      </c>
      <c r="E169" s="18">
        <v>45811</v>
      </c>
    </row>
    <row r="170" spans="1:6" x14ac:dyDescent="0.3">
      <c r="A170" t="s">
        <v>801</v>
      </c>
      <c r="B170" t="s">
        <v>802</v>
      </c>
      <c r="C170" t="s">
        <v>7969</v>
      </c>
      <c r="D170" t="s">
        <v>7789</v>
      </c>
      <c r="E170" s="18"/>
    </row>
    <row r="171" spans="1:6" x14ac:dyDescent="0.3">
      <c r="A171" t="s">
        <v>804</v>
      </c>
      <c r="B171" t="s">
        <v>805</v>
      </c>
      <c r="C171" t="s">
        <v>7970</v>
      </c>
      <c r="D171" t="s">
        <v>7796</v>
      </c>
      <c r="E171" s="18">
        <v>45993</v>
      </c>
    </row>
    <row r="172" spans="1:6" x14ac:dyDescent="0.3">
      <c r="A172" t="s">
        <v>811</v>
      </c>
      <c r="B172" t="s">
        <v>812</v>
      </c>
      <c r="C172" t="s">
        <v>7971</v>
      </c>
      <c r="D172" t="s">
        <v>7787</v>
      </c>
      <c r="E172" s="18">
        <v>45722</v>
      </c>
    </row>
    <row r="173" spans="1:6" x14ac:dyDescent="0.3">
      <c r="A173" t="s">
        <v>815</v>
      </c>
      <c r="B173" t="s">
        <v>816</v>
      </c>
      <c r="C173" t="s">
        <v>7972</v>
      </c>
      <c r="D173" t="s">
        <v>7787</v>
      </c>
      <c r="E173" s="18">
        <v>45930</v>
      </c>
      <c r="F173" s="52" t="s">
        <v>37</v>
      </c>
    </row>
    <row r="174" spans="1:6" x14ac:dyDescent="0.3">
      <c r="A174" t="s">
        <v>819</v>
      </c>
      <c r="B174" t="s">
        <v>820</v>
      </c>
      <c r="C174" t="s">
        <v>7973</v>
      </c>
      <c r="D174" t="s">
        <v>7789</v>
      </c>
      <c r="E174" s="18"/>
    </row>
    <row r="175" spans="1:6" x14ac:dyDescent="0.3">
      <c r="A175" t="s">
        <v>823</v>
      </c>
      <c r="B175" t="s">
        <v>824</v>
      </c>
      <c r="C175" t="s">
        <v>7974</v>
      </c>
      <c r="E175" s="18"/>
    </row>
    <row r="176" spans="1:6" x14ac:dyDescent="0.3">
      <c r="A176" t="s">
        <v>826</v>
      </c>
      <c r="B176" t="s">
        <v>827</v>
      </c>
      <c r="C176" t="s">
        <v>7975</v>
      </c>
      <c r="D176" t="s">
        <v>7789</v>
      </c>
      <c r="E176" s="18">
        <v>45954</v>
      </c>
      <c r="F176" s="52" t="s">
        <v>37</v>
      </c>
    </row>
    <row r="177" spans="1:6" x14ac:dyDescent="0.3">
      <c r="A177" t="s">
        <v>833</v>
      </c>
      <c r="B177" t="s">
        <v>834</v>
      </c>
      <c r="C177" t="s">
        <v>7976</v>
      </c>
      <c r="D177" t="s">
        <v>7787</v>
      </c>
      <c r="E177" s="18">
        <v>45741</v>
      </c>
    </row>
    <row r="178" spans="1:6" x14ac:dyDescent="0.3">
      <c r="A178" t="s">
        <v>836</v>
      </c>
      <c r="B178" t="s">
        <v>837</v>
      </c>
      <c r="C178" t="s">
        <v>7977</v>
      </c>
      <c r="D178" t="s">
        <v>7789</v>
      </c>
      <c r="E178" s="18"/>
    </row>
    <row r="179" spans="1:6" x14ac:dyDescent="0.3">
      <c r="A179" t="s">
        <v>840</v>
      </c>
      <c r="B179" t="s">
        <v>841</v>
      </c>
      <c r="C179" t="s">
        <v>7978</v>
      </c>
      <c r="D179" t="s">
        <v>7789</v>
      </c>
      <c r="E179" s="18"/>
    </row>
    <row r="180" spans="1:6" x14ac:dyDescent="0.3">
      <c r="A180" t="s">
        <v>846</v>
      </c>
      <c r="B180" t="s">
        <v>847</v>
      </c>
      <c r="C180" t="s">
        <v>7979</v>
      </c>
      <c r="D180" t="s">
        <v>7785</v>
      </c>
      <c r="E180" s="18">
        <v>45846</v>
      </c>
    </row>
    <row r="181" spans="1:6" x14ac:dyDescent="0.3">
      <c r="A181" t="s">
        <v>852</v>
      </c>
      <c r="B181" t="s">
        <v>853</v>
      </c>
      <c r="C181" t="s">
        <v>7980</v>
      </c>
      <c r="D181" t="s">
        <v>7789</v>
      </c>
      <c r="E181" s="18"/>
    </row>
    <row r="182" spans="1:6" x14ac:dyDescent="0.3">
      <c r="A182" t="s">
        <v>861</v>
      </c>
      <c r="B182" t="s">
        <v>862</v>
      </c>
      <c r="C182" t="s">
        <v>7981</v>
      </c>
      <c r="E182" s="18"/>
      <c r="F182" s="52" t="s">
        <v>37</v>
      </c>
    </row>
    <row r="183" spans="1:6" x14ac:dyDescent="0.3">
      <c r="A183" t="s">
        <v>871</v>
      </c>
      <c r="B183" t="s">
        <v>872</v>
      </c>
      <c r="C183" t="s">
        <v>7982</v>
      </c>
      <c r="D183" t="s">
        <v>7912</v>
      </c>
      <c r="E183" s="18">
        <v>45726</v>
      </c>
    </row>
    <row r="184" spans="1:6" x14ac:dyDescent="0.3">
      <c r="A184" t="s">
        <v>875</v>
      </c>
      <c r="B184" t="s">
        <v>876</v>
      </c>
      <c r="C184" t="s">
        <v>7983</v>
      </c>
      <c r="D184" t="s">
        <v>7796</v>
      </c>
      <c r="E184" s="18"/>
      <c r="F184" s="52" t="s">
        <v>37</v>
      </c>
    </row>
    <row r="185" spans="1:6" x14ac:dyDescent="0.3">
      <c r="A185" t="s">
        <v>879</v>
      </c>
      <c r="B185" t="s">
        <v>880</v>
      </c>
      <c r="C185" t="s">
        <v>7984</v>
      </c>
      <c r="D185" t="s">
        <v>7801</v>
      </c>
      <c r="E185" s="18">
        <v>45719</v>
      </c>
    </row>
    <row r="186" spans="1:6" x14ac:dyDescent="0.3">
      <c r="A186" t="s">
        <v>882</v>
      </c>
      <c r="B186" t="s">
        <v>883</v>
      </c>
      <c r="C186" t="s">
        <v>7985</v>
      </c>
      <c r="D186" t="s">
        <v>7785</v>
      </c>
      <c r="E186" s="18">
        <v>45761</v>
      </c>
    </row>
    <row r="187" spans="1:6" x14ac:dyDescent="0.3">
      <c r="A187" t="s">
        <v>886</v>
      </c>
      <c r="B187" t="s">
        <v>887</v>
      </c>
      <c r="C187" t="s">
        <v>7986</v>
      </c>
      <c r="D187" t="s">
        <v>7912</v>
      </c>
      <c r="E187" s="18">
        <v>46056</v>
      </c>
    </row>
    <row r="188" spans="1:6" x14ac:dyDescent="0.3">
      <c r="A188" t="s">
        <v>890</v>
      </c>
      <c r="B188" t="s">
        <v>891</v>
      </c>
      <c r="C188" t="s">
        <v>7987</v>
      </c>
      <c r="D188" t="s">
        <v>7787</v>
      </c>
      <c r="E188" s="18">
        <v>45931</v>
      </c>
    </row>
    <row r="189" spans="1:6" x14ac:dyDescent="0.3">
      <c r="A189" t="s">
        <v>894</v>
      </c>
      <c r="B189" t="s">
        <v>895</v>
      </c>
      <c r="C189" t="s">
        <v>7988</v>
      </c>
      <c r="D189" t="s">
        <v>7787</v>
      </c>
      <c r="E189" s="18">
        <v>45944</v>
      </c>
    </row>
    <row r="190" spans="1:6" x14ac:dyDescent="0.3">
      <c r="A190" t="s">
        <v>898</v>
      </c>
      <c r="B190" t="s">
        <v>899</v>
      </c>
      <c r="C190" t="s">
        <v>7989</v>
      </c>
      <c r="E190" s="18"/>
    </row>
    <row r="191" spans="1:6" x14ac:dyDescent="0.3">
      <c r="A191" t="s">
        <v>901</v>
      </c>
      <c r="B191" t="s">
        <v>902</v>
      </c>
      <c r="C191" t="s">
        <v>7990</v>
      </c>
      <c r="D191" t="s">
        <v>7787</v>
      </c>
      <c r="E191" s="18"/>
    </row>
    <row r="192" spans="1:6" x14ac:dyDescent="0.3">
      <c r="A192" t="s">
        <v>905</v>
      </c>
      <c r="B192" t="s">
        <v>906</v>
      </c>
      <c r="C192" t="s">
        <v>7991</v>
      </c>
      <c r="D192" t="s">
        <v>7785</v>
      </c>
      <c r="E192" s="18"/>
    </row>
    <row r="193" spans="1:6" x14ac:dyDescent="0.3">
      <c r="A193" t="s">
        <v>909</v>
      </c>
      <c r="B193" t="s">
        <v>910</v>
      </c>
      <c r="C193" t="s">
        <v>7992</v>
      </c>
      <c r="D193" t="s">
        <v>7787</v>
      </c>
      <c r="E193" s="18">
        <v>45993</v>
      </c>
    </row>
    <row r="194" spans="1:6" x14ac:dyDescent="0.3">
      <c r="A194" t="s">
        <v>913</v>
      </c>
      <c r="B194" t="s">
        <v>914</v>
      </c>
      <c r="C194" t="s">
        <v>7993</v>
      </c>
      <c r="D194" t="s">
        <v>7787</v>
      </c>
      <c r="E194" s="18">
        <v>45743</v>
      </c>
    </row>
    <row r="195" spans="1:6" x14ac:dyDescent="0.3">
      <c r="A195" t="s">
        <v>923</v>
      </c>
      <c r="B195" t="s">
        <v>924</v>
      </c>
      <c r="C195" t="s">
        <v>7994</v>
      </c>
      <c r="D195" t="s">
        <v>7787</v>
      </c>
      <c r="E195" s="18">
        <v>45958</v>
      </c>
    </row>
    <row r="196" spans="1:6" x14ac:dyDescent="0.3">
      <c r="A196" t="s">
        <v>930</v>
      </c>
      <c r="B196" t="s">
        <v>931</v>
      </c>
      <c r="C196" t="s">
        <v>7995</v>
      </c>
      <c r="E196" s="18"/>
    </row>
    <row r="197" spans="1:6" x14ac:dyDescent="0.3">
      <c r="A197" t="s">
        <v>938</v>
      </c>
      <c r="B197" t="s">
        <v>939</v>
      </c>
      <c r="C197" t="s">
        <v>7996</v>
      </c>
      <c r="D197" t="s">
        <v>7789</v>
      </c>
      <c r="E197" s="18">
        <v>46009</v>
      </c>
      <c r="F197" s="52" t="s">
        <v>37</v>
      </c>
    </row>
    <row r="198" spans="1:6" x14ac:dyDescent="0.3">
      <c r="A198" t="s">
        <v>942</v>
      </c>
      <c r="B198" t="s">
        <v>943</v>
      </c>
      <c r="C198" t="s">
        <v>7997</v>
      </c>
      <c r="D198" t="s">
        <v>7787</v>
      </c>
      <c r="E198" s="18"/>
      <c r="F198" s="52" t="s">
        <v>37</v>
      </c>
    </row>
    <row r="199" spans="1:6" x14ac:dyDescent="0.3">
      <c r="A199" t="s">
        <v>946</v>
      </c>
      <c r="B199" t="s">
        <v>947</v>
      </c>
      <c r="C199" t="s">
        <v>7998</v>
      </c>
      <c r="D199" t="s">
        <v>7787</v>
      </c>
      <c r="E199" s="18">
        <v>45903</v>
      </c>
    </row>
    <row r="200" spans="1:6" x14ac:dyDescent="0.3">
      <c r="A200" t="s">
        <v>950</v>
      </c>
      <c r="B200" t="s">
        <v>951</v>
      </c>
      <c r="C200" t="s">
        <v>7999</v>
      </c>
      <c r="E200" s="18"/>
    </row>
    <row r="201" spans="1:6" x14ac:dyDescent="0.3">
      <c r="A201" t="s">
        <v>954</v>
      </c>
      <c r="B201" t="s">
        <v>955</v>
      </c>
      <c r="C201" t="s">
        <v>8000</v>
      </c>
      <c r="D201" t="s">
        <v>7912</v>
      </c>
      <c r="E201" s="18">
        <v>46002</v>
      </c>
      <c r="F201" s="52" t="s">
        <v>37</v>
      </c>
    </row>
    <row r="202" spans="1:6" x14ac:dyDescent="0.3">
      <c r="A202" t="s">
        <v>964</v>
      </c>
      <c r="B202" t="s">
        <v>965</v>
      </c>
      <c r="C202" t="s">
        <v>8001</v>
      </c>
      <c r="D202" t="s">
        <v>7787</v>
      </c>
      <c r="E202" s="18"/>
      <c r="F202" s="52" t="s">
        <v>37</v>
      </c>
    </row>
    <row r="203" spans="1:6" x14ac:dyDescent="0.3">
      <c r="A203" t="s">
        <v>967</v>
      </c>
      <c r="B203" t="s">
        <v>968</v>
      </c>
      <c r="C203" t="s">
        <v>8002</v>
      </c>
      <c r="D203" t="s">
        <v>7787</v>
      </c>
      <c r="E203" s="18">
        <v>45762</v>
      </c>
    </row>
    <row r="204" spans="1:6" x14ac:dyDescent="0.3">
      <c r="A204" t="s">
        <v>971</v>
      </c>
      <c r="B204" t="s">
        <v>972</v>
      </c>
      <c r="C204" t="s">
        <v>8003</v>
      </c>
      <c r="D204" t="s">
        <v>7789</v>
      </c>
      <c r="E204" s="18">
        <v>45965</v>
      </c>
    </row>
    <row r="205" spans="1:6" x14ac:dyDescent="0.3">
      <c r="A205" t="s">
        <v>975</v>
      </c>
      <c r="B205" t="s">
        <v>976</v>
      </c>
      <c r="C205" t="s">
        <v>8004</v>
      </c>
      <c r="D205" t="s">
        <v>7789</v>
      </c>
      <c r="E205" s="18"/>
    </row>
    <row r="206" spans="1:6" x14ac:dyDescent="0.3">
      <c r="A206" t="s">
        <v>978</v>
      </c>
      <c r="B206" t="s">
        <v>979</v>
      </c>
      <c r="C206" t="s">
        <v>8005</v>
      </c>
      <c r="D206" t="s">
        <v>7787</v>
      </c>
      <c r="E206" s="18"/>
      <c r="F206" s="52" t="s">
        <v>37</v>
      </c>
    </row>
    <row r="207" spans="1:6" x14ac:dyDescent="0.3">
      <c r="A207" t="s">
        <v>992</v>
      </c>
      <c r="B207" t="s">
        <v>993</v>
      </c>
      <c r="C207" t="s">
        <v>8006</v>
      </c>
      <c r="D207" t="s">
        <v>7787</v>
      </c>
      <c r="E207" s="18">
        <v>45782</v>
      </c>
    </row>
    <row r="208" spans="1:6" x14ac:dyDescent="0.3">
      <c r="A208" t="s">
        <v>998</v>
      </c>
      <c r="B208" t="s">
        <v>999</v>
      </c>
      <c r="C208" t="s">
        <v>8007</v>
      </c>
      <c r="D208" t="s">
        <v>8008</v>
      </c>
      <c r="E208" s="18"/>
    </row>
    <row r="209" spans="1:6" x14ac:dyDescent="0.3">
      <c r="A209" t="s">
        <v>1001</v>
      </c>
      <c r="B209" t="s">
        <v>1002</v>
      </c>
      <c r="C209" t="s">
        <v>8009</v>
      </c>
      <c r="D209" t="s">
        <v>7787</v>
      </c>
      <c r="E209" s="18">
        <v>45726</v>
      </c>
    </row>
    <row r="210" spans="1:6" x14ac:dyDescent="0.3">
      <c r="A210" t="s">
        <v>1004</v>
      </c>
      <c r="B210" t="s">
        <v>1005</v>
      </c>
      <c r="C210" t="s">
        <v>8010</v>
      </c>
      <c r="D210" t="s">
        <v>7787</v>
      </c>
      <c r="E210" s="18"/>
    </row>
    <row r="211" spans="1:6" x14ac:dyDescent="0.3">
      <c r="A211" t="s">
        <v>1010</v>
      </c>
      <c r="B211" t="s">
        <v>1011</v>
      </c>
      <c r="C211" t="s">
        <v>8011</v>
      </c>
      <c r="D211" t="s">
        <v>7789</v>
      </c>
      <c r="E211" s="18"/>
    </row>
    <row r="212" spans="1:6" x14ac:dyDescent="0.3">
      <c r="A212" t="s">
        <v>1014</v>
      </c>
      <c r="B212" t="s">
        <v>1015</v>
      </c>
      <c r="C212" t="s">
        <v>8012</v>
      </c>
      <c r="D212" t="s">
        <v>7912</v>
      </c>
      <c r="E212" s="18">
        <v>45847</v>
      </c>
    </row>
    <row r="213" spans="1:6" x14ac:dyDescent="0.3">
      <c r="A213" t="s">
        <v>1018</v>
      </c>
      <c r="B213" t="s">
        <v>1019</v>
      </c>
      <c r="C213" t="s">
        <v>7592</v>
      </c>
      <c r="D213" t="s">
        <v>7796</v>
      </c>
      <c r="E213" s="18"/>
    </row>
    <row r="214" spans="1:6" x14ac:dyDescent="0.3">
      <c r="A214" t="s">
        <v>1022</v>
      </c>
      <c r="B214" t="s">
        <v>1023</v>
      </c>
      <c r="C214" t="s">
        <v>8013</v>
      </c>
      <c r="D214" t="s">
        <v>7787</v>
      </c>
      <c r="E214" s="18">
        <v>45933</v>
      </c>
    </row>
    <row r="215" spans="1:6" x14ac:dyDescent="0.3">
      <c r="A215" t="s">
        <v>1038</v>
      </c>
      <c r="B215" t="s">
        <v>1039</v>
      </c>
      <c r="C215" t="s">
        <v>8014</v>
      </c>
      <c r="D215" t="s">
        <v>7798</v>
      </c>
      <c r="E215" s="18">
        <v>45761</v>
      </c>
    </row>
    <row r="216" spans="1:6" x14ac:dyDescent="0.3">
      <c r="A216" t="s">
        <v>1043</v>
      </c>
      <c r="B216" t="s">
        <v>1044</v>
      </c>
      <c r="C216" t="s">
        <v>8015</v>
      </c>
      <c r="E216" s="18"/>
      <c r="F216" s="52" t="s">
        <v>37</v>
      </c>
    </row>
    <row r="217" spans="1:6" x14ac:dyDescent="0.3">
      <c r="A217" t="s">
        <v>1047</v>
      </c>
      <c r="B217" t="s">
        <v>1048</v>
      </c>
      <c r="C217" t="s">
        <v>8016</v>
      </c>
      <c r="D217" t="s">
        <v>7912</v>
      </c>
      <c r="E217" s="18">
        <v>45902</v>
      </c>
      <c r="F217" s="52" t="s">
        <v>37</v>
      </c>
    </row>
    <row r="218" spans="1:6" x14ac:dyDescent="0.3">
      <c r="A218" t="s">
        <v>1050</v>
      </c>
      <c r="B218" t="s">
        <v>1051</v>
      </c>
      <c r="C218" t="s">
        <v>8017</v>
      </c>
      <c r="E218" s="18"/>
    </row>
    <row r="219" spans="1:6" x14ac:dyDescent="0.3">
      <c r="A219" t="s">
        <v>1057</v>
      </c>
      <c r="B219" t="s">
        <v>1058</v>
      </c>
      <c r="C219" t="s">
        <v>8018</v>
      </c>
      <c r="D219" t="s">
        <v>7785</v>
      </c>
      <c r="E219" s="18">
        <v>45910</v>
      </c>
    </row>
    <row r="220" spans="1:6" x14ac:dyDescent="0.3">
      <c r="A220" t="s">
        <v>1063</v>
      </c>
      <c r="B220" t="s">
        <v>1064</v>
      </c>
      <c r="C220" t="s">
        <v>8019</v>
      </c>
      <c r="D220" t="s">
        <v>7787</v>
      </c>
      <c r="E220" s="18">
        <v>45958</v>
      </c>
    </row>
    <row r="221" spans="1:6" x14ac:dyDescent="0.3">
      <c r="A221" t="s">
        <v>1067</v>
      </c>
      <c r="B221" t="s">
        <v>1068</v>
      </c>
      <c r="C221" t="s">
        <v>8020</v>
      </c>
      <c r="D221" t="s">
        <v>7912</v>
      </c>
      <c r="E221" s="18">
        <v>46000</v>
      </c>
      <c r="F221" s="52" t="s">
        <v>37</v>
      </c>
    </row>
    <row r="222" spans="1:6" x14ac:dyDescent="0.3">
      <c r="A222" t="s">
        <v>1071</v>
      </c>
      <c r="B222" t="s">
        <v>1072</v>
      </c>
      <c r="C222" t="s">
        <v>8021</v>
      </c>
      <c r="D222" t="s">
        <v>7789</v>
      </c>
      <c r="E222" s="18">
        <v>45880</v>
      </c>
    </row>
    <row r="223" spans="1:6" x14ac:dyDescent="0.3">
      <c r="A223" t="s">
        <v>1075</v>
      </c>
      <c r="B223" t="s">
        <v>1076</v>
      </c>
      <c r="C223" t="s">
        <v>8022</v>
      </c>
      <c r="D223" t="s">
        <v>7787</v>
      </c>
      <c r="E223" s="18">
        <v>45720</v>
      </c>
    </row>
    <row r="224" spans="1:6" x14ac:dyDescent="0.3">
      <c r="A224" t="s">
        <v>1079</v>
      </c>
      <c r="B224" t="s">
        <v>1080</v>
      </c>
      <c r="C224" t="s">
        <v>8023</v>
      </c>
      <c r="D224" t="s">
        <v>7789</v>
      </c>
      <c r="E224" s="18"/>
    </row>
    <row r="225" spans="1:6" x14ac:dyDescent="0.3">
      <c r="A225" t="s">
        <v>1085</v>
      </c>
      <c r="B225" t="s">
        <v>1086</v>
      </c>
      <c r="C225" t="s">
        <v>8024</v>
      </c>
      <c r="D225" t="s">
        <v>7787</v>
      </c>
      <c r="E225" s="18"/>
      <c r="F225" s="52" t="s">
        <v>37</v>
      </c>
    </row>
    <row r="226" spans="1:6" x14ac:dyDescent="0.3">
      <c r="A226" t="s">
        <v>1088</v>
      </c>
      <c r="B226" t="s">
        <v>1089</v>
      </c>
      <c r="C226" t="s">
        <v>8025</v>
      </c>
      <c r="D226" t="s">
        <v>7787</v>
      </c>
      <c r="E226" s="18"/>
    </row>
    <row r="227" spans="1:6" x14ac:dyDescent="0.3">
      <c r="A227" t="s">
        <v>1094</v>
      </c>
      <c r="B227" t="s">
        <v>1095</v>
      </c>
      <c r="C227" t="s">
        <v>8026</v>
      </c>
      <c r="D227" t="s">
        <v>7796</v>
      </c>
      <c r="E227" s="18"/>
    </row>
    <row r="228" spans="1:6" x14ac:dyDescent="0.3">
      <c r="A228" t="s">
        <v>1098</v>
      </c>
      <c r="B228" t="s">
        <v>1099</v>
      </c>
      <c r="C228" t="s">
        <v>8027</v>
      </c>
      <c r="D228" t="s">
        <v>7789</v>
      </c>
      <c r="E228" s="18">
        <v>45944</v>
      </c>
      <c r="F228" s="52" t="s">
        <v>37</v>
      </c>
    </row>
    <row r="229" spans="1:6" x14ac:dyDescent="0.3">
      <c r="A229" t="s">
        <v>1105</v>
      </c>
      <c r="B229" t="s">
        <v>1106</v>
      </c>
      <c r="C229" t="s">
        <v>8028</v>
      </c>
      <c r="D229" t="s">
        <v>7787</v>
      </c>
      <c r="E229" s="18"/>
    </row>
    <row r="230" spans="1:6" x14ac:dyDescent="0.3">
      <c r="A230" t="s">
        <v>1109</v>
      </c>
      <c r="B230" t="s">
        <v>1110</v>
      </c>
      <c r="C230" t="s">
        <v>8029</v>
      </c>
      <c r="D230" t="s">
        <v>7787</v>
      </c>
      <c r="E230" s="18"/>
    </row>
    <row r="231" spans="1:6" x14ac:dyDescent="0.3">
      <c r="A231" t="s">
        <v>1112</v>
      </c>
      <c r="B231" t="s">
        <v>1113</v>
      </c>
      <c r="C231" t="s">
        <v>8030</v>
      </c>
      <c r="D231" t="s">
        <v>7785</v>
      </c>
      <c r="E231" s="18"/>
    </row>
    <row r="232" spans="1:6" x14ac:dyDescent="0.3">
      <c r="A232" t="s">
        <v>1115</v>
      </c>
      <c r="B232" t="s">
        <v>1116</v>
      </c>
      <c r="C232" t="s">
        <v>8031</v>
      </c>
      <c r="E232" s="18"/>
    </row>
    <row r="233" spans="1:6" x14ac:dyDescent="0.3">
      <c r="A233" t="s">
        <v>1118</v>
      </c>
      <c r="B233" t="s">
        <v>1119</v>
      </c>
      <c r="C233" t="s">
        <v>8032</v>
      </c>
      <c r="E233" s="18"/>
    </row>
    <row r="234" spans="1:6" x14ac:dyDescent="0.3">
      <c r="A234" t="s">
        <v>1122</v>
      </c>
      <c r="B234" t="s">
        <v>1123</v>
      </c>
      <c r="C234" t="s">
        <v>8033</v>
      </c>
      <c r="E234" s="18"/>
    </row>
    <row r="235" spans="1:6" x14ac:dyDescent="0.3">
      <c r="B235" t="s">
        <v>8034</v>
      </c>
      <c r="C235" t="s">
        <v>8035</v>
      </c>
      <c r="E235" s="18"/>
    </row>
    <row r="236" spans="1:6" x14ac:dyDescent="0.3">
      <c r="A236" t="s">
        <v>1128</v>
      </c>
      <c r="B236" t="s">
        <v>1129</v>
      </c>
      <c r="C236" t="s">
        <v>8036</v>
      </c>
      <c r="E236" s="18"/>
    </row>
    <row r="237" spans="1:6" x14ac:dyDescent="0.3">
      <c r="A237" t="s">
        <v>1132</v>
      </c>
      <c r="B237" t="s">
        <v>1133</v>
      </c>
      <c r="C237" t="s">
        <v>8037</v>
      </c>
      <c r="E237" s="18"/>
    </row>
    <row r="238" spans="1:6" x14ac:dyDescent="0.3">
      <c r="A238" t="s">
        <v>1136</v>
      </c>
      <c r="B238" t="s">
        <v>1137</v>
      </c>
      <c r="C238" t="s">
        <v>8038</v>
      </c>
      <c r="E238" s="18"/>
    </row>
    <row r="239" spans="1:6" x14ac:dyDescent="0.3">
      <c r="A239" t="s">
        <v>1140</v>
      </c>
      <c r="B239" t="s">
        <v>1141</v>
      </c>
      <c r="C239" t="s">
        <v>8039</v>
      </c>
      <c r="D239" t="s">
        <v>7804</v>
      </c>
      <c r="E239" s="18"/>
    </row>
    <row r="240" spans="1:6" x14ac:dyDescent="0.3">
      <c r="A240" t="s">
        <v>1143</v>
      </c>
      <c r="B240" t="s">
        <v>1144</v>
      </c>
      <c r="C240" t="s">
        <v>8040</v>
      </c>
      <c r="D240" t="s">
        <v>7912</v>
      </c>
      <c r="E240" s="18">
        <v>45904</v>
      </c>
      <c r="F240" s="52" t="s">
        <v>37</v>
      </c>
    </row>
    <row r="241" spans="1:6" x14ac:dyDescent="0.3">
      <c r="A241" t="s">
        <v>1146</v>
      </c>
      <c r="B241" t="s">
        <v>1147</v>
      </c>
      <c r="C241" t="s">
        <v>8041</v>
      </c>
      <c r="D241" t="s">
        <v>7801</v>
      </c>
      <c r="E241" s="18">
        <v>45854</v>
      </c>
    </row>
    <row r="242" spans="1:6" x14ac:dyDescent="0.3">
      <c r="A242" t="s">
        <v>1149</v>
      </c>
      <c r="B242" t="s">
        <v>1150</v>
      </c>
      <c r="C242" t="s">
        <v>8042</v>
      </c>
      <c r="D242" t="s">
        <v>7785</v>
      </c>
      <c r="E242" s="18">
        <v>45961</v>
      </c>
      <c r="F242" s="52" t="s">
        <v>37</v>
      </c>
    </row>
    <row r="243" spans="1:6" x14ac:dyDescent="0.3">
      <c r="A243" t="s">
        <v>1162</v>
      </c>
      <c r="B243" t="s">
        <v>1163</v>
      </c>
      <c r="C243" t="s">
        <v>8043</v>
      </c>
      <c r="D243" t="s">
        <v>7789</v>
      </c>
      <c r="E243" s="18">
        <v>45931</v>
      </c>
    </row>
    <row r="244" spans="1:6" x14ac:dyDescent="0.3">
      <c r="A244" t="s">
        <v>1169</v>
      </c>
      <c r="B244" t="s">
        <v>1170</v>
      </c>
      <c r="C244" t="s">
        <v>8044</v>
      </c>
      <c r="E244" s="18">
        <v>45966</v>
      </c>
    </row>
    <row r="245" spans="1:6" x14ac:dyDescent="0.3">
      <c r="A245" t="s">
        <v>1173</v>
      </c>
      <c r="B245" t="s">
        <v>1174</v>
      </c>
      <c r="C245" t="s">
        <v>8045</v>
      </c>
      <c r="D245" t="s">
        <v>7787</v>
      </c>
      <c r="E245" s="18"/>
      <c r="F245" s="52" t="s">
        <v>37</v>
      </c>
    </row>
    <row r="246" spans="1:6" x14ac:dyDescent="0.3">
      <c r="A246" t="s">
        <v>1177</v>
      </c>
      <c r="B246" t="s">
        <v>1178</v>
      </c>
      <c r="C246" t="s">
        <v>8046</v>
      </c>
      <c r="E246" s="18"/>
    </row>
    <row r="247" spans="1:6" x14ac:dyDescent="0.3">
      <c r="A247" t="s">
        <v>1181</v>
      </c>
      <c r="B247" t="s">
        <v>1182</v>
      </c>
      <c r="C247" t="s">
        <v>8047</v>
      </c>
      <c r="D247" t="s">
        <v>7787</v>
      </c>
      <c r="E247" s="18"/>
    </row>
    <row r="248" spans="1:6" x14ac:dyDescent="0.3">
      <c r="A248" t="s">
        <v>1185</v>
      </c>
      <c r="B248" t="s">
        <v>1186</v>
      </c>
      <c r="C248" t="s">
        <v>8048</v>
      </c>
      <c r="D248" t="s">
        <v>7789</v>
      </c>
      <c r="E248" s="18"/>
      <c r="F248" s="52" t="s">
        <v>37</v>
      </c>
    </row>
    <row r="249" spans="1:6" x14ac:dyDescent="0.3">
      <c r="A249" t="s">
        <v>1202</v>
      </c>
      <c r="B249" t="s">
        <v>1203</v>
      </c>
      <c r="C249" t="s">
        <v>8049</v>
      </c>
      <c r="D249" t="s">
        <v>8050</v>
      </c>
      <c r="E249" s="18">
        <v>45880</v>
      </c>
    </row>
    <row r="250" spans="1:6" x14ac:dyDescent="0.3">
      <c r="A250" t="s">
        <v>1209</v>
      </c>
      <c r="B250" t="s">
        <v>1210</v>
      </c>
      <c r="C250" t="s">
        <v>8051</v>
      </c>
      <c r="E250" s="18"/>
      <c r="F250" s="52" t="s">
        <v>37</v>
      </c>
    </row>
    <row r="251" spans="1:6" x14ac:dyDescent="0.3">
      <c r="A251" t="s">
        <v>1213</v>
      </c>
      <c r="B251" t="s">
        <v>1214</v>
      </c>
      <c r="C251" t="s">
        <v>8052</v>
      </c>
      <c r="D251" t="s">
        <v>7787</v>
      </c>
      <c r="E251" s="18">
        <v>45915</v>
      </c>
    </row>
    <row r="252" spans="1:6" x14ac:dyDescent="0.3">
      <c r="A252" t="s">
        <v>1217</v>
      </c>
      <c r="B252" t="s">
        <v>1218</v>
      </c>
      <c r="C252" t="s">
        <v>8053</v>
      </c>
      <c r="D252" t="s">
        <v>7785</v>
      </c>
      <c r="E252" s="18">
        <v>45758</v>
      </c>
    </row>
    <row r="253" spans="1:6" x14ac:dyDescent="0.3">
      <c r="A253" t="s">
        <v>1221</v>
      </c>
      <c r="B253" t="s">
        <v>1222</v>
      </c>
      <c r="C253" t="s">
        <v>8054</v>
      </c>
      <c r="D253" t="s">
        <v>7787</v>
      </c>
      <c r="E253" s="18"/>
      <c r="F253" s="52" t="s">
        <v>37</v>
      </c>
    </row>
    <row r="254" spans="1:6" x14ac:dyDescent="0.3">
      <c r="A254" t="s">
        <v>1224</v>
      </c>
      <c r="B254" t="s">
        <v>1225</v>
      </c>
      <c r="C254" t="s">
        <v>8055</v>
      </c>
      <c r="E254" s="18"/>
    </row>
    <row r="255" spans="1:6" x14ac:dyDescent="0.3">
      <c r="A255" t="s">
        <v>1227</v>
      </c>
      <c r="B255" t="s">
        <v>1228</v>
      </c>
      <c r="C255" t="s">
        <v>8056</v>
      </c>
      <c r="D255" t="s">
        <v>7789</v>
      </c>
      <c r="E255" s="18"/>
      <c r="F255" s="52" t="s">
        <v>37</v>
      </c>
    </row>
    <row r="256" spans="1:6" x14ac:dyDescent="0.3">
      <c r="A256" t="s">
        <v>1230</v>
      </c>
      <c r="B256" t="s">
        <v>1231</v>
      </c>
      <c r="C256" t="s">
        <v>8057</v>
      </c>
      <c r="D256" t="s">
        <v>8058</v>
      </c>
      <c r="E256" s="18"/>
      <c r="F256" s="52" t="s">
        <v>37</v>
      </c>
    </row>
    <row r="257" spans="1:6" x14ac:dyDescent="0.3">
      <c r="A257" t="s">
        <v>1234</v>
      </c>
      <c r="B257" t="s">
        <v>1235</v>
      </c>
      <c r="C257" t="s">
        <v>8059</v>
      </c>
      <c r="D257" t="s">
        <v>7787</v>
      </c>
      <c r="E257" s="18"/>
    </row>
    <row r="258" spans="1:6" x14ac:dyDescent="0.3">
      <c r="A258" t="s">
        <v>1238</v>
      </c>
      <c r="B258" t="s">
        <v>1239</v>
      </c>
      <c r="C258" t="s">
        <v>8060</v>
      </c>
      <c r="D258" t="s">
        <v>7787</v>
      </c>
      <c r="E258" s="18">
        <v>45728</v>
      </c>
    </row>
    <row r="259" spans="1:6" x14ac:dyDescent="0.3">
      <c r="A259" t="s">
        <v>1241</v>
      </c>
      <c r="B259" t="s">
        <v>1242</v>
      </c>
      <c r="C259" t="s">
        <v>8061</v>
      </c>
      <c r="D259" t="s">
        <v>7787</v>
      </c>
      <c r="E259" s="18">
        <v>45856</v>
      </c>
    </row>
    <row r="260" spans="1:6" x14ac:dyDescent="0.3">
      <c r="A260" t="s">
        <v>1248</v>
      </c>
      <c r="B260" t="s">
        <v>1249</v>
      </c>
      <c r="C260" t="s">
        <v>8062</v>
      </c>
      <c r="D260" t="s">
        <v>7785</v>
      </c>
      <c r="E260" s="18">
        <v>45744</v>
      </c>
    </row>
    <row r="261" spans="1:6" x14ac:dyDescent="0.3">
      <c r="A261" t="s">
        <v>1252</v>
      </c>
      <c r="B261" t="s">
        <v>1253</v>
      </c>
      <c r="C261" t="s">
        <v>8063</v>
      </c>
      <c r="D261" t="s">
        <v>7789</v>
      </c>
      <c r="E261" s="18">
        <v>45959</v>
      </c>
      <c r="F261" s="52" t="s">
        <v>37</v>
      </c>
    </row>
    <row r="262" spans="1:6" x14ac:dyDescent="0.3">
      <c r="A262" t="s">
        <v>1256</v>
      </c>
      <c r="B262" t="s">
        <v>1257</v>
      </c>
      <c r="C262" t="s">
        <v>8064</v>
      </c>
      <c r="D262" t="s">
        <v>7787</v>
      </c>
      <c r="E262" s="18">
        <v>45891</v>
      </c>
    </row>
    <row r="263" spans="1:6" x14ac:dyDescent="0.3">
      <c r="A263" t="s">
        <v>1266</v>
      </c>
      <c r="B263" t="s">
        <v>1267</v>
      </c>
      <c r="C263" t="s">
        <v>8065</v>
      </c>
      <c r="E263" s="18">
        <v>45904</v>
      </c>
    </row>
    <row r="264" spans="1:6" x14ac:dyDescent="0.3">
      <c r="A264" t="s">
        <v>1270</v>
      </c>
      <c r="B264" t="s">
        <v>1271</v>
      </c>
      <c r="C264" t="s">
        <v>8066</v>
      </c>
      <c r="D264" t="s">
        <v>7785</v>
      </c>
      <c r="E264" s="18"/>
      <c r="F264" s="52" t="s">
        <v>37</v>
      </c>
    </row>
    <row r="265" spans="1:6" x14ac:dyDescent="0.3">
      <c r="A265" t="s">
        <v>1277</v>
      </c>
      <c r="B265" t="s">
        <v>1278</v>
      </c>
      <c r="C265" t="s">
        <v>8067</v>
      </c>
      <c r="D265" t="s">
        <v>7796</v>
      </c>
      <c r="E265" s="18"/>
    </row>
    <row r="266" spans="1:6" x14ac:dyDescent="0.3">
      <c r="A266" t="s">
        <v>1281</v>
      </c>
      <c r="B266" t="s">
        <v>1282</v>
      </c>
      <c r="C266" t="s">
        <v>8068</v>
      </c>
      <c r="D266" t="s">
        <v>7785</v>
      </c>
      <c r="E266" s="18"/>
    </row>
    <row r="267" spans="1:6" x14ac:dyDescent="0.3">
      <c r="A267" t="s">
        <v>1284</v>
      </c>
      <c r="B267" t="s">
        <v>1285</v>
      </c>
      <c r="C267" t="s">
        <v>8069</v>
      </c>
      <c r="D267" t="s">
        <v>7787</v>
      </c>
      <c r="E267" s="18">
        <v>45734</v>
      </c>
    </row>
    <row r="268" spans="1:6" x14ac:dyDescent="0.3">
      <c r="A268" t="s">
        <v>1288</v>
      </c>
      <c r="B268" t="s">
        <v>1289</v>
      </c>
      <c r="C268" t="s">
        <v>8070</v>
      </c>
      <c r="D268" t="s">
        <v>7798</v>
      </c>
      <c r="E268" s="18">
        <v>45761</v>
      </c>
    </row>
    <row r="269" spans="1:6" x14ac:dyDescent="0.3">
      <c r="A269" t="s">
        <v>1291</v>
      </c>
      <c r="B269" t="s">
        <v>1292</v>
      </c>
      <c r="C269" t="s">
        <v>8071</v>
      </c>
      <c r="D269" t="s">
        <v>7787</v>
      </c>
      <c r="E269" s="18">
        <v>45994</v>
      </c>
    </row>
    <row r="270" spans="1:6" x14ac:dyDescent="0.3">
      <c r="A270" t="s">
        <v>1295</v>
      </c>
      <c r="B270" t="s">
        <v>1296</v>
      </c>
      <c r="C270" t="s">
        <v>8072</v>
      </c>
      <c r="D270" t="s">
        <v>7787</v>
      </c>
      <c r="E270" s="18"/>
    </row>
    <row r="271" spans="1:6" x14ac:dyDescent="0.3">
      <c r="A271" t="s">
        <v>1301</v>
      </c>
      <c r="B271" t="s">
        <v>1302</v>
      </c>
      <c r="C271" t="s">
        <v>8073</v>
      </c>
      <c r="D271" t="s">
        <v>7787</v>
      </c>
      <c r="E271" s="18"/>
    </row>
    <row r="272" spans="1:6" x14ac:dyDescent="0.3">
      <c r="A272" t="s">
        <v>1304</v>
      </c>
      <c r="B272" t="s">
        <v>1305</v>
      </c>
      <c r="C272" t="s">
        <v>8074</v>
      </c>
      <c r="E272" s="18"/>
    </row>
    <row r="273" spans="1:6" x14ac:dyDescent="0.3">
      <c r="A273" t="s">
        <v>1314</v>
      </c>
      <c r="B273" t="s">
        <v>1315</v>
      </c>
      <c r="C273" t="s">
        <v>8075</v>
      </c>
      <c r="D273" t="s">
        <v>7787</v>
      </c>
      <c r="E273" s="18">
        <v>45820</v>
      </c>
    </row>
    <row r="274" spans="1:6" x14ac:dyDescent="0.3">
      <c r="A274" t="s">
        <v>1318</v>
      </c>
      <c r="B274" t="s">
        <v>1319</v>
      </c>
      <c r="C274" t="s">
        <v>8076</v>
      </c>
      <c r="D274" t="s">
        <v>7787</v>
      </c>
      <c r="E274" s="18"/>
    </row>
    <row r="275" spans="1:6" x14ac:dyDescent="0.3">
      <c r="A275" t="s">
        <v>1322</v>
      </c>
      <c r="B275" t="s">
        <v>1323</v>
      </c>
      <c r="C275" t="s">
        <v>8077</v>
      </c>
      <c r="E275" s="18"/>
    </row>
    <row r="276" spans="1:6" x14ac:dyDescent="0.3">
      <c r="A276" t="s">
        <v>1325</v>
      </c>
      <c r="B276" t="s">
        <v>1326</v>
      </c>
      <c r="C276" t="s">
        <v>8078</v>
      </c>
      <c r="E276" s="18"/>
    </row>
    <row r="277" spans="1:6" x14ac:dyDescent="0.3">
      <c r="A277" t="s">
        <v>1334</v>
      </c>
      <c r="B277" t="s">
        <v>1335</v>
      </c>
      <c r="C277" t="s">
        <v>8079</v>
      </c>
      <c r="D277" t="s">
        <v>7787</v>
      </c>
      <c r="E277" s="18"/>
    </row>
    <row r="278" spans="1:6" x14ac:dyDescent="0.3">
      <c r="A278" t="s">
        <v>1337</v>
      </c>
      <c r="B278" t="s">
        <v>1338</v>
      </c>
      <c r="C278" t="s">
        <v>8080</v>
      </c>
      <c r="D278" t="s">
        <v>7787</v>
      </c>
      <c r="E278" s="18"/>
    </row>
    <row r="279" spans="1:6" x14ac:dyDescent="0.3">
      <c r="A279" t="s">
        <v>1341</v>
      </c>
      <c r="B279" t="s">
        <v>1342</v>
      </c>
      <c r="C279" t="s">
        <v>8081</v>
      </c>
      <c r="D279" t="s">
        <v>7785</v>
      </c>
      <c r="E279" s="18">
        <v>45783</v>
      </c>
    </row>
    <row r="280" spans="1:6" x14ac:dyDescent="0.3">
      <c r="A280" t="s">
        <v>1344</v>
      </c>
      <c r="B280" t="s">
        <v>1345</v>
      </c>
      <c r="C280" t="s">
        <v>8082</v>
      </c>
      <c r="D280" t="s">
        <v>7787</v>
      </c>
      <c r="E280" s="18"/>
      <c r="F280" s="52" t="s">
        <v>37</v>
      </c>
    </row>
    <row r="281" spans="1:6" x14ac:dyDescent="0.3">
      <c r="A281" t="s">
        <v>1354</v>
      </c>
      <c r="B281" t="s">
        <v>1355</v>
      </c>
      <c r="C281" t="s">
        <v>8083</v>
      </c>
      <c r="D281" t="s">
        <v>7787</v>
      </c>
      <c r="E281" s="18"/>
    </row>
    <row r="282" spans="1:6" x14ac:dyDescent="0.3">
      <c r="A282" t="s">
        <v>1358</v>
      </c>
      <c r="B282" t="s">
        <v>1359</v>
      </c>
      <c r="C282" t="s">
        <v>8084</v>
      </c>
      <c r="E282" s="18"/>
    </row>
    <row r="283" spans="1:6" x14ac:dyDescent="0.3">
      <c r="A283" t="s">
        <v>1364</v>
      </c>
      <c r="B283" t="s">
        <v>1365</v>
      </c>
      <c r="C283" t="s">
        <v>8085</v>
      </c>
      <c r="D283" t="s">
        <v>7789</v>
      </c>
      <c r="E283" s="18">
        <v>45881</v>
      </c>
    </row>
    <row r="284" spans="1:6" x14ac:dyDescent="0.3">
      <c r="A284" t="s">
        <v>1368</v>
      </c>
      <c r="B284" t="s">
        <v>1369</v>
      </c>
      <c r="C284" t="s">
        <v>8086</v>
      </c>
      <c r="E284" s="18"/>
    </row>
    <row r="285" spans="1:6" x14ac:dyDescent="0.3">
      <c r="A285" t="s">
        <v>1375</v>
      </c>
      <c r="B285" t="s">
        <v>1376</v>
      </c>
      <c r="C285" t="s">
        <v>8087</v>
      </c>
      <c r="D285" t="s">
        <v>7796</v>
      </c>
      <c r="E285" s="18">
        <v>45847</v>
      </c>
    </row>
    <row r="286" spans="1:6" x14ac:dyDescent="0.3">
      <c r="B286" t="s">
        <v>8088</v>
      </c>
      <c r="C286" t="s">
        <v>8089</v>
      </c>
      <c r="E286" s="18"/>
    </row>
    <row r="287" spans="1:6" x14ac:dyDescent="0.3">
      <c r="A287" t="s">
        <v>1385</v>
      </c>
      <c r="B287" t="s">
        <v>1386</v>
      </c>
      <c r="C287" t="s">
        <v>8090</v>
      </c>
      <c r="D287" t="s">
        <v>7785</v>
      </c>
      <c r="E287" s="18">
        <v>45820</v>
      </c>
    </row>
    <row r="288" spans="1:6" x14ac:dyDescent="0.3">
      <c r="A288" t="s">
        <v>1389</v>
      </c>
      <c r="B288" t="s">
        <v>1390</v>
      </c>
      <c r="C288" t="s">
        <v>8091</v>
      </c>
      <c r="D288" t="s">
        <v>7796</v>
      </c>
      <c r="E288" s="18"/>
    </row>
    <row r="289" spans="1:6" x14ac:dyDescent="0.3">
      <c r="A289" t="s">
        <v>1399</v>
      </c>
      <c r="B289" t="s">
        <v>1400</v>
      </c>
      <c r="C289" t="s">
        <v>8092</v>
      </c>
      <c r="D289" t="s">
        <v>7787</v>
      </c>
      <c r="E289" s="18"/>
      <c r="F289" s="52" t="s">
        <v>37</v>
      </c>
    </row>
    <row r="290" spans="1:6" x14ac:dyDescent="0.3">
      <c r="A290" t="s">
        <v>1403</v>
      </c>
      <c r="B290" t="s">
        <v>1404</v>
      </c>
      <c r="C290" t="s">
        <v>8093</v>
      </c>
      <c r="D290" t="s">
        <v>7787</v>
      </c>
      <c r="E290" s="18"/>
    </row>
    <row r="291" spans="1:6" x14ac:dyDescent="0.3">
      <c r="A291" t="s">
        <v>1407</v>
      </c>
      <c r="B291" t="s">
        <v>1408</v>
      </c>
      <c r="C291" t="s">
        <v>8094</v>
      </c>
      <c r="D291" t="s">
        <v>7789</v>
      </c>
      <c r="E291" s="18">
        <v>45937</v>
      </c>
    </row>
    <row r="292" spans="1:6" x14ac:dyDescent="0.3">
      <c r="A292" t="s">
        <v>1411</v>
      </c>
      <c r="B292" t="s">
        <v>1412</v>
      </c>
      <c r="C292" t="s">
        <v>8095</v>
      </c>
      <c r="D292" t="s">
        <v>7798</v>
      </c>
      <c r="E292" s="18">
        <v>45761</v>
      </c>
    </row>
    <row r="293" spans="1:6" x14ac:dyDescent="0.3">
      <c r="B293" t="s">
        <v>8096</v>
      </c>
      <c r="C293" t="s">
        <v>8097</v>
      </c>
      <c r="E293" s="18"/>
    </row>
    <row r="294" spans="1:6" x14ac:dyDescent="0.3">
      <c r="A294" t="s">
        <v>1417</v>
      </c>
      <c r="B294" t="s">
        <v>1418</v>
      </c>
      <c r="C294" t="s">
        <v>8098</v>
      </c>
      <c r="D294" t="s">
        <v>7789</v>
      </c>
      <c r="E294" s="18"/>
    </row>
    <row r="295" spans="1:6" x14ac:dyDescent="0.3">
      <c r="A295" t="s">
        <v>1421</v>
      </c>
      <c r="B295" t="s">
        <v>1422</v>
      </c>
      <c r="C295" t="s">
        <v>8099</v>
      </c>
      <c r="D295" t="s">
        <v>8100</v>
      </c>
      <c r="E295" s="18">
        <v>46035</v>
      </c>
    </row>
    <row r="296" spans="1:6" x14ac:dyDescent="0.3">
      <c r="A296" t="s">
        <v>1431</v>
      </c>
      <c r="B296" t="s">
        <v>1432</v>
      </c>
      <c r="C296" t="s">
        <v>8101</v>
      </c>
      <c r="D296" t="s">
        <v>7787</v>
      </c>
      <c r="E296" s="18"/>
      <c r="F296" s="52" t="s">
        <v>37</v>
      </c>
    </row>
    <row r="297" spans="1:6" x14ac:dyDescent="0.3">
      <c r="A297" t="s">
        <v>1434</v>
      </c>
      <c r="B297" t="s">
        <v>1435</v>
      </c>
      <c r="C297" t="s">
        <v>8102</v>
      </c>
      <c r="D297" t="s">
        <v>7787</v>
      </c>
      <c r="E297" s="18">
        <v>45959</v>
      </c>
    </row>
    <row r="298" spans="1:6" x14ac:dyDescent="0.3">
      <c r="B298" t="s">
        <v>8103</v>
      </c>
      <c r="C298" t="s">
        <v>8104</v>
      </c>
      <c r="E298" s="18"/>
    </row>
    <row r="299" spans="1:6" x14ac:dyDescent="0.3">
      <c r="A299" t="s">
        <v>1442</v>
      </c>
      <c r="B299" t="s">
        <v>1443</v>
      </c>
      <c r="C299" t="s">
        <v>8105</v>
      </c>
      <c r="D299" t="s">
        <v>7785</v>
      </c>
      <c r="E299" s="18">
        <v>45909</v>
      </c>
    </row>
    <row r="300" spans="1:6" x14ac:dyDescent="0.3">
      <c r="A300" t="s">
        <v>1446</v>
      </c>
      <c r="B300" t="s">
        <v>1447</v>
      </c>
      <c r="C300" t="s">
        <v>8106</v>
      </c>
      <c r="D300" t="s">
        <v>7789</v>
      </c>
      <c r="E300" s="18"/>
    </row>
    <row r="301" spans="1:6" x14ac:dyDescent="0.3">
      <c r="A301" t="s">
        <v>1449</v>
      </c>
      <c r="B301" t="s">
        <v>1450</v>
      </c>
      <c r="C301" t="s">
        <v>8107</v>
      </c>
      <c r="D301" t="s">
        <v>7789</v>
      </c>
      <c r="E301" s="18">
        <v>45958</v>
      </c>
    </row>
    <row r="302" spans="1:6" x14ac:dyDescent="0.3">
      <c r="A302" t="s">
        <v>1453</v>
      </c>
      <c r="B302" t="s">
        <v>1454</v>
      </c>
      <c r="C302" t="s">
        <v>8108</v>
      </c>
      <c r="D302" t="s">
        <v>7801</v>
      </c>
      <c r="E302" s="18">
        <v>45728</v>
      </c>
    </row>
    <row r="303" spans="1:6" x14ac:dyDescent="0.3">
      <c r="A303" t="s">
        <v>1456</v>
      </c>
      <c r="B303" t="s">
        <v>1457</v>
      </c>
      <c r="C303" t="s">
        <v>8109</v>
      </c>
      <c r="D303" t="s">
        <v>7787</v>
      </c>
      <c r="E303" s="18">
        <v>46056</v>
      </c>
    </row>
    <row r="304" spans="1:6" x14ac:dyDescent="0.3">
      <c r="A304" t="s">
        <v>1460</v>
      </c>
      <c r="B304" t="s">
        <v>1461</v>
      </c>
      <c r="C304" t="s">
        <v>8110</v>
      </c>
      <c r="D304" t="s">
        <v>7789</v>
      </c>
      <c r="E304" s="18">
        <v>45894</v>
      </c>
      <c r="F304" s="52" t="s">
        <v>37</v>
      </c>
    </row>
    <row r="305" spans="1:6" x14ac:dyDescent="0.3">
      <c r="A305" t="s">
        <v>1464</v>
      </c>
      <c r="B305" t="s">
        <v>1465</v>
      </c>
      <c r="C305" t="s">
        <v>8111</v>
      </c>
      <c r="D305" t="s">
        <v>7796</v>
      </c>
      <c r="E305" s="18">
        <v>45939</v>
      </c>
      <c r="F305" s="52" t="s">
        <v>37</v>
      </c>
    </row>
    <row r="306" spans="1:6" x14ac:dyDescent="0.3">
      <c r="B306" t="s">
        <v>8112</v>
      </c>
      <c r="C306" t="s">
        <v>8113</v>
      </c>
      <c r="E306" s="18"/>
    </row>
    <row r="307" spans="1:6" x14ac:dyDescent="0.3">
      <c r="A307" t="s">
        <v>1468</v>
      </c>
      <c r="B307" t="s">
        <v>1469</v>
      </c>
      <c r="C307" t="s">
        <v>8114</v>
      </c>
      <c r="E307" s="18"/>
    </row>
    <row r="308" spans="1:6" x14ac:dyDescent="0.3">
      <c r="A308" t="s">
        <v>1474</v>
      </c>
      <c r="B308" t="s">
        <v>1475</v>
      </c>
      <c r="C308" t="s">
        <v>8115</v>
      </c>
      <c r="E308" s="18"/>
    </row>
    <row r="309" spans="1:6" x14ac:dyDescent="0.3">
      <c r="A309" t="s">
        <v>1488</v>
      </c>
      <c r="B309" t="s">
        <v>1489</v>
      </c>
      <c r="C309" t="s">
        <v>8116</v>
      </c>
      <c r="D309" t="s">
        <v>7801</v>
      </c>
      <c r="E309" s="18">
        <v>45930</v>
      </c>
    </row>
    <row r="310" spans="1:6" x14ac:dyDescent="0.3">
      <c r="A310" t="s">
        <v>1492</v>
      </c>
      <c r="B310" t="s">
        <v>1493</v>
      </c>
      <c r="C310" t="s">
        <v>8117</v>
      </c>
      <c r="D310" t="s">
        <v>7787</v>
      </c>
      <c r="E310" s="18">
        <v>45897</v>
      </c>
    </row>
    <row r="311" spans="1:6" x14ac:dyDescent="0.3">
      <c r="A311" t="s">
        <v>1496</v>
      </c>
      <c r="B311" t="s">
        <v>1497</v>
      </c>
      <c r="C311" t="s">
        <v>8118</v>
      </c>
      <c r="D311" t="s">
        <v>7787</v>
      </c>
      <c r="E311" s="18"/>
      <c r="F311" s="52" t="s">
        <v>37</v>
      </c>
    </row>
    <row r="312" spans="1:6" x14ac:dyDescent="0.3">
      <c r="A312" t="s">
        <v>1500</v>
      </c>
      <c r="B312" t="s">
        <v>1501</v>
      </c>
      <c r="C312" t="s">
        <v>8119</v>
      </c>
      <c r="D312" t="s">
        <v>7785</v>
      </c>
      <c r="E312" s="18">
        <v>45814</v>
      </c>
    </row>
    <row r="313" spans="1:6" x14ac:dyDescent="0.3">
      <c r="A313" t="s">
        <v>1503</v>
      </c>
      <c r="B313" t="s">
        <v>1504</v>
      </c>
      <c r="C313" t="s">
        <v>8120</v>
      </c>
      <c r="D313" t="s">
        <v>7787</v>
      </c>
      <c r="E313" s="18"/>
    </row>
    <row r="314" spans="1:6" x14ac:dyDescent="0.3">
      <c r="A314" t="s">
        <v>1506</v>
      </c>
      <c r="B314" t="s">
        <v>1507</v>
      </c>
      <c r="C314" t="s">
        <v>8121</v>
      </c>
      <c r="D314" t="s">
        <v>7801</v>
      </c>
      <c r="E314" s="18">
        <v>46066</v>
      </c>
    </row>
    <row r="315" spans="1:6" x14ac:dyDescent="0.3">
      <c r="A315" t="s">
        <v>1516</v>
      </c>
      <c r="B315" t="s">
        <v>1517</v>
      </c>
      <c r="C315" t="s">
        <v>8122</v>
      </c>
      <c r="D315" t="s">
        <v>7787</v>
      </c>
      <c r="E315" s="18">
        <v>45817</v>
      </c>
    </row>
    <row r="316" spans="1:6" x14ac:dyDescent="0.3">
      <c r="A316" t="s">
        <v>1520</v>
      </c>
      <c r="B316" t="s">
        <v>1521</v>
      </c>
      <c r="C316" t="s">
        <v>8123</v>
      </c>
      <c r="D316" t="s">
        <v>7787</v>
      </c>
      <c r="E316" s="18">
        <v>45776</v>
      </c>
    </row>
    <row r="317" spans="1:6" x14ac:dyDescent="0.3">
      <c r="A317" t="s">
        <v>1523</v>
      </c>
      <c r="B317" t="s">
        <v>1524</v>
      </c>
      <c r="C317" t="s">
        <v>8124</v>
      </c>
      <c r="D317" t="s">
        <v>7787</v>
      </c>
      <c r="E317" s="18">
        <v>45958</v>
      </c>
    </row>
    <row r="318" spans="1:6" x14ac:dyDescent="0.3">
      <c r="A318" t="s">
        <v>1527</v>
      </c>
      <c r="B318" t="s">
        <v>1528</v>
      </c>
      <c r="C318" t="s">
        <v>8125</v>
      </c>
      <c r="E318" s="18"/>
    </row>
    <row r="319" spans="1:6" x14ac:dyDescent="0.3">
      <c r="A319" t="s">
        <v>1531</v>
      </c>
      <c r="B319" t="s">
        <v>1532</v>
      </c>
      <c r="C319" t="s">
        <v>8126</v>
      </c>
      <c r="D319" t="s">
        <v>7785</v>
      </c>
      <c r="E319" s="18">
        <v>45775</v>
      </c>
    </row>
    <row r="320" spans="1:6" x14ac:dyDescent="0.3">
      <c r="A320" t="s">
        <v>1534</v>
      </c>
      <c r="B320" t="s">
        <v>1535</v>
      </c>
      <c r="C320" t="s">
        <v>8127</v>
      </c>
      <c r="D320" t="s">
        <v>7787</v>
      </c>
      <c r="E320" s="18"/>
    </row>
    <row r="321" spans="1:6" x14ac:dyDescent="0.3">
      <c r="A321" t="s">
        <v>1537</v>
      </c>
      <c r="B321" t="s">
        <v>1538</v>
      </c>
      <c r="C321" t="s">
        <v>8128</v>
      </c>
      <c r="D321" t="s">
        <v>7787</v>
      </c>
      <c r="E321" s="18"/>
      <c r="F321" s="52" t="s">
        <v>37</v>
      </c>
    </row>
    <row r="322" spans="1:6" x14ac:dyDescent="0.3">
      <c r="A322" t="s">
        <v>1544</v>
      </c>
      <c r="B322" t="s">
        <v>1545</v>
      </c>
      <c r="C322" t="s">
        <v>8129</v>
      </c>
      <c r="D322" t="s">
        <v>8100</v>
      </c>
      <c r="E322" s="18">
        <v>45980</v>
      </c>
    </row>
    <row r="323" spans="1:6" x14ac:dyDescent="0.3">
      <c r="A323" t="s">
        <v>1548</v>
      </c>
      <c r="B323" t="s">
        <v>1549</v>
      </c>
      <c r="C323" t="s">
        <v>8130</v>
      </c>
      <c r="D323" t="s">
        <v>7787</v>
      </c>
      <c r="E323" s="18"/>
      <c r="F323" s="52" t="s">
        <v>37</v>
      </c>
    </row>
    <row r="324" spans="1:6" x14ac:dyDescent="0.3">
      <c r="A324" t="s">
        <v>1552</v>
      </c>
      <c r="B324" t="s">
        <v>1553</v>
      </c>
      <c r="C324" t="s">
        <v>8131</v>
      </c>
      <c r="D324" t="s">
        <v>7789</v>
      </c>
      <c r="E324" s="18">
        <v>45741</v>
      </c>
    </row>
    <row r="325" spans="1:6" x14ac:dyDescent="0.3">
      <c r="A325" t="s">
        <v>1556</v>
      </c>
      <c r="B325" t="s">
        <v>1557</v>
      </c>
      <c r="C325" t="s">
        <v>8132</v>
      </c>
      <c r="D325" t="s">
        <v>7787</v>
      </c>
      <c r="E325" s="18">
        <v>45912</v>
      </c>
    </row>
    <row r="326" spans="1:6" x14ac:dyDescent="0.3">
      <c r="A326" t="s">
        <v>1560</v>
      </c>
      <c r="B326" t="s">
        <v>1561</v>
      </c>
      <c r="C326" t="s">
        <v>8133</v>
      </c>
      <c r="D326" t="s">
        <v>7789</v>
      </c>
      <c r="E326" s="18">
        <v>45803</v>
      </c>
    </row>
    <row r="327" spans="1:6" x14ac:dyDescent="0.3">
      <c r="A327" t="s">
        <v>1564</v>
      </c>
      <c r="B327" t="s">
        <v>1565</v>
      </c>
      <c r="C327" t="s">
        <v>8134</v>
      </c>
      <c r="D327" t="s">
        <v>7801</v>
      </c>
      <c r="E327" s="18">
        <v>45849</v>
      </c>
    </row>
    <row r="328" spans="1:6" x14ac:dyDescent="0.3">
      <c r="A328" t="s">
        <v>1568</v>
      </c>
      <c r="B328" t="s">
        <v>1569</v>
      </c>
      <c r="C328" t="s">
        <v>8135</v>
      </c>
      <c r="D328" t="s">
        <v>7789</v>
      </c>
      <c r="E328" s="18">
        <v>45867</v>
      </c>
    </row>
    <row r="329" spans="1:6" x14ac:dyDescent="0.3">
      <c r="A329" t="s">
        <v>1572</v>
      </c>
      <c r="B329" t="s">
        <v>1573</v>
      </c>
      <c r="C329" t="s">
        <v>8136</v>
      </c>
      <c r="D329" t="s">
        <v>7787</v>
      </c>
      <c r="E329" s="18"/>
    </row>
    <row r="330" spans="1:6" x14ac:dyDescent="0.3">
      <c r="A330" t="s">
        <v>1575</v>
      </c>
      <c r="B330" t="s">
        <v>1576</v>
      </c>
      <c r="C330" t="s">
        <v>8137</v>
      </c>
      <c r="D330" t="s">
        <v>7787</v>
      </c>
      <c r="E330" s="18"/>
      <c r="F330" s="52" t="s">
        <v>37</v>
      </c>
    </row>
    <row r="331" spans="1:6" x14ac:dyDescent="0.3">
      <c r="A331" t="s">
        <v>1579</v>
      </c>
      <c r="B331" t="s">
        <v>1580</v>
      </c>
      <c r="C331" t="s">
        <v>8138</v>
      </c>
      <c r="E331" s="18">
        <v>45953</v>
      </c>
    </row>
    <row r="332" spans="1:6" x14ac:dyDescent="0.3">
      <c r="A332" t="s">
        <v>1586</v>
      </c>
      <c r="B332" t="s">
        <v>1587</v>
      </c>
      <c r="C332" t="s">
        <v>8139</v>
      </c>
      <c r="D332" t="s">
        <v>7912</v>
      </c>
      <c r="E332" s="18">
        <v>46036</v>
      </c>
      <c r="F332" s="52" t="s">
        <v>37</v>
      </c>
    </row>
    <row r="333" spans="1:6" x14ac:dyDescent="0.3">
      <c r="A333" t="s">
        <v>1590</v>
      </c>
      <c r="B333" t="s">
        <v>1591</v>
      </c>
      <c r="C333" t="s">
        <v>8140</v>
      </c>
      <c r="D333" t="s">
        <v>7789</v>
      </c>
      <c r="E333" s="18"/>
    </row>
    <row r="334" spans="1:6" x14ac:dyDescent="0.3">
      <c r="A334" t="s">
        <v>1594</v>
      </c>
      <c r="B334" t="s">
        <v>1595</v>
      </c>
      <c r="C334" t="s">
        <v>8141</v>
      </c>
      <c r="D334" t="s">
        <v>7789</v>
      </c>
      <c r="E334" s="18">
        <v>45828</v>
      </c>
    </row>
    <row r="335" spans="1:6" x14ac:dyDescent="0.3">
      <c r="A335" t="s">
        <v>1601</v>
      </c>
      <c r="B335" t="s">
        <v>1602</v>
      </c>
      <c r="C335" t="s">
        <v>8142</v>
      </c>
      <c r="E335" s="18"/>
    </row>
    <row r="336" spans="1:6" x14ac:dyDescent="0.3">
      <c r="A336" t="s">
        <v>1605</v>
      </c>
      <c r="B336" t="s">
        <v>1606</v>
      </c>
      <c r="C336" t="s">
        <v>8143</v>
      </c>
      <c r="D336" t="s">
        <v>7789</v>
      </c>
      <c r="E336" s="18"/>
    </row>
    <row r="337" spans="1:6" x14ac:dyDescent="0.3">
      <c r="A337" t="s">
        <v>1608</v>
      </c>
      <c r="B337" t="s">
        <v>1609</v>
      </c>
      <c r="C337" t="s">
        <v>8144</v>
      </c>
      <c r="E337" s="18"/>
    </row>
    <row r="338" spans="1:6" x14ac:dyDescent="0.3">
      <c r="A338" t="s">
        <v>1612</v>
      </c>
      <c r="B338" t="s">
        <v>1613</v>
      </c>
      <c r="C338" t="s">
        <v>8145</v>
      </c>
      <c r="D338" t="s">
        <v>7789</v>
      </c>
      <c r="E338" s="18">
        <v>45847</v>
      </c>
    </row>
    <row r="339" spans="1:6" x14ac:dyDescent="0.3">
      <c r="A339" t="s">
        <v>1616</v>
      </c>
      <c r="B339" t="s">
        <v>1617</v>
      </c>
      <c r="C339" t="s">
        <v>8146</v>
      </c>
      <c r="D339" t="s">
        <v>7787</v>
      </c>
      <c r="E339" s="18">
        <v>45912</v>
      </c>
    </row>
    <row r="340" spans="1:6" x14ac:dyDescent="0.3">
      <c r="A340" t="s">
        <v>1620</v>
      </c>
      <c r="B340" t="s">
        <v>1621</v>
      </c>
      <c r="C340" t="s">
        <v>8147</v>
      </c>
      <c r="D340" t="s">
        <v>7789</v>
      </c>
      <c r="E340" s="18">
        <v>45819</v>
      </c>
    </row>
    <row r="341" spans="1:6" x14ac:dyDescent="0.3">
      <c r="A341" t="s">
        <v>1627</v>
      </c>
      <c r="B341" t="s">
        <v>1628</v>
      </c>
      <c r="C341" t="s">
        <v>8148</v>
      </c>
      <c r="E341" s="18"/>
    </row>
    <row r="342" spans="1:6" x14ac:dyDescent="0.3">
      <c r="A342" t="s">
        <v>1630</v>
      </c>
      <c r="B342" t="s">
        <v>1631</v>
      </c>
      <c r="C342" t="s">
        <v>8149</v>
      </c>
      <c r="D342" t="s">
        <v>7789</v>
      </c>
      <c r="E342" s="18">
        <v>45750</v>
      </c>
    </row>
    <row r="343" spans="1:6" x14ac:dyDescent="0.3">
      <c r="A343" t="s">
        <v>1633</v>
      </c>
      <c r="B343" t="s">
        <v>1634</v>
      </c>
      <c r="C343" t="s">
        <v>8150</v>
      </c>
      <c r="D343" t="s">
        <v>7787</v>
      </c>
      <c r="E343" s="18"/>
    </row>
    <row r="344" spans="1:6" x14ac:dyDescent="0.3">
      <c r="A344" t="s">
        <v>1636</v>
      </c>
      <c r="B344" t="s">
        <v>1637</v>
      </c>
      <c r="C344" t="s">
        <v>8151</v>
      </c>
      <c r="D344" t="s">
        <v>7789</v>
      </c>
      <c r="E344" s="18">
        <v>45820</v>
      </c>
    </row>
    <row r="345" spans="1:6" x14ac:dyDescent="0.3">
      <c r="A345" t="s">
        <v>1643</v>
      </c>
      <c r="B345" t="s">
        <v>1644</v>
      </c>
      <c r="C345" t="s">
        <v>8152</v>
      </c>
      <c r="D345" t="s">
        <v>7785</v>
      </c>
      <c r="E345" s="18"/>
      <c r="F345" s="52" t="s">
        <v>37</v>
      </c>
    </row>
    <row r="346" spans="1:6" x14ac:dyDescent="0.3">
      <c r="A346" t="s">
        <v>1647</v>
      </c>
      <c r="B346" t="s">
        <v>1648</v>
      </c>
      <c r="C346" t="s">
        <v>8153</v>
      </c>
      <c r="D346" t="s">
        <v>7787</v>
      </c>
      <c r="E346" s="18">
        <v>45891</v>
      </c>
    </row>
    <row r="347" spans="1:6" x14ac:dyDescent="0.3">
      <c r="A347" t="s">
        <v>1651</v>
      </c>
      <c r="B347" t="s">
        <v>1652</v>
      </c>
      <c r="C347" t="s">
        <v>8154</v>
      </c>
      <c r="D347" t="s">
        <v>7787</v>
      </c>
      <c r="E347" s="18"/>
    </row>
    <row r="348" spans="1:6" x14ac:dyDescent="0.3">
      <c r="A348" t="s">
        <v>1655</v>
      </c>
      <c r="B348" t="s">
        <v>1656</v>
      </c>
      <c r="C348" t="s">
        <v>8155</v>
      </c>
      <c r="D348" t="s">
        <v>7787</v>
      </c>
      <c r="E348" s="18"/>
    </row>
    <row r="349" spans="1:6" x14ac:dyDescent="0.3">
      <c r="A349" t="s">
        <v>1663</v>
      </c>
      <c r="B349" t="s">
        <v>1664</v>
      </c>
      <c r="C349" t="s">
        <v>8156</v>
      </c>
      <c r="D349" t="s">
        <v>7787</v>
      </c>
      <c r="E349" s="18">
        <v>45959</v>
      </c>
      <c r="F349" s="52" t="s">
        <v>37</v>
      </c>
    </row>
    <row r="350" spans="1:6" x14ac:dyDescent="0.3">
      <c r="A350" t="s">
        <v>1667</v>
      </c>
      <c r="B350" t="s">
        <v>1668</v>
      </c>
      <c r="C350" t="s">
        <v>8157</v>
      </c>
      <c r="D350" t="s">
        <v>7787</v>
      </c>
      <c r="E350" s="18"/>
      <c r="F350" s="52" t="s">
        <v>37</v>
      </c>
    </row>
    <row r="351" spans="1:6" x14ac:dyDescent="0.3">
      <c r="A351" t="s">
        <v>1670</v>
      </c>
      <c r="B351" t="s">
        <v>1671</v>
      </c>
      <c r="C351" t="s">
        <v>8158</v>
      </c>
      <c r="D351" t="s">
        <v>7787</v>
      </c>
      <c r="E351" s="18">
        <v>45912</v>
      </c>
    </row>
    <row r="352" spans="1:6" x14ac:dyDescent="0.3">
      <c r="A352" t="s">
        <v>1674</v>
      </c>
      <c r="B352" t="s">
        <v>1675</v>
      </c>
      <c r="C352" t="s">
        <v>8159</v>
      </c>
      <c r="D352" t="s">
        <v>8160</v>
      </c>
      <c r="E352" s="18">
        <v>45730</v>
      </c>
    </row>
    <row r="353" spans="1:6" x14ac:dyDescent="0.3">
      <c r="A353" t="s">
        <v>1678</v>
      </c>
      <c r="B353" t="s">
        <v>1679</v>
      </c>
      <c r="C353" t="s">
        <v>8161</v>
      </c>
      <c r="D353" t="s">
        <v>7785</v>
      </c>
      <c r="E353" s="18">
        <v>45814</v>
      </c>
    </row>
    <row r="354" spans="1:6" x14ac:dyDescent="0.3">
      <c r="A354" t="s">
        <v>1682</v>
      </c>
      <c r="B354" t="s">
        <v>1683</v>
      </c>
      <c r="C354" t="s">
        <v>8162</v>
      </c>
      <c r="D354" t="s">
        <v>7789</v>
      </c>
      <c r="E354" s="18"/>
    </row>
    <row r="355" spans="1:6" x14ac:dyDescent="0.3">
      <c r="A355" t="s">
        <v>1686</v>
      </c>
      <c r="B355" t="s">
        <v>1687</v>
      </c>
      <c r="C355" t="s">
        <v>8163</v>
      </c>
      <c r="D355" t="s">
        <v>7787</v>
      </c>
      <c r="E355" s="18">
        <v>45896</v>
      </c>
    </row>
    <row r="356" spans="1:6" x14ac:dyDescent="0.3">
      <c r="A356" t="s">
        <v>1694</v>
      </c>
      <c r="B356" t="s">
        <v>1695</v>
      </c>
      <c r="C356" t="s">
        <v>8164</v>
      </c>
      <c r="D356" t="s">
        <v>7789</v>
      </c>
      <c r="E356" s="18">
        <v>45967</v>
      </c>
    </row>
    <row r="357" spans="1:6" x14ac:dyDescent="0.3">
      <c r="A357" t="s">
        <v>1696</v>
      </c>
      <c r="B357" t="s">
        <v>1697</v>
      </c>
      <c r="C357" t="s">
        <v>8165</v>
      </c>
      <c r="D357" t="s">
        <v>7912</v>
      </c>
      <c r="E357" s="18"/>
    </row>
    <row r="358" spans="1:6" x14ac:dyDescent="0.3">
      <c r="A358" t="s">
        <v>1700</v>
      </c>
      <c r="B358" t="s">
        <v>1701</v>
      </c>
      <c r="C358" t="s">
        <v>8166</v>
      </c>
      <c r="D358" t="s">
        <v>7787</v>
      </c>
      <c r="E358" s="18"/>
      <c r="F358" s="52" t="s">
        <v>37</v>
      </c>
    </row>
    <row r="359" spans="1:6" x14ac:dyDescent="0.3">
      <c r="A359" t="s">
        <v>1704</v>
      </c>
      <c r="B359" t="s">
        <v>1705</v>
      </c>
      <c r="C359" t="s">
        <v>8167</v>
      </c>
      <c r="D359" t="s">
        <v>7787</v>
      </c>
      <c r="E359" s="18">
        <v>45741</v>
      </c>
    </row>
    <row r="360" spans="1:6" x14ac:dyDescent="0.3">
      <c r="A360" t="s">
        <v>1713</v>
      </c>
      <c r="B360" t="s">
        <v>1714</v>
      </c>
      <c r="C360" t="s">
        <v>8168</v>
      </c>
      <c r="D360" t="s">
        <v>7787</v>
      </c>
      <c r="E360" s="18">
        <v>45852</v>
      </c>
    </row>
    <row r="361" spans="1:6" x14ac:dyDescent="0.3">
      <c r="A361" t="s">
        <v>1716</v>
      </c>
      <c r="B361" t="s">
        <v>1717</v>
      </c>
      <c r="C361" t="s">
        <v>8169</v>
      </c>
      <c r="E361" s="18"/>
      <c r="F361" s="52" t="s">
        <v>37</v>
      </c>
    </row>
    <row r="362" spans="1:6" x14ac:dyDescent="0.3">
      <c r="A362" t="s">
        <v>1720</v>
      </c>
      <c r="B362" t="s">
        <v>1721</v>
      </c>
      <c r="C362" t="s">
        <v>8170</v>
      </c>
      <c r="D362" t="s">
        <v>7785</v>
      </c>
      <c r="E362" s="18">
        <v>45897</v>
      </c>
    </row>
    <row r="363" spans="1:6" x14ac:dyDescent="0.3">
      <c r="A363" t="s">
        <v>1724</v>
      </c>
      <c r="B363" t="s">
        <v>1725</v>
      </c>
      <c r="C363" t="s">
        <v>8171</v>
      </c>
      <c r="D363" t="s">
        <v>7787</v>
      </c>
      <c r="E363" s="18">
        <v>45958</v>
      </c>
    </row>
    <row r="364" spans="1:6" x14ac:dyDescent="0.3">
      <c r="A364" t="s">
        <v>1728</v>
      </c>
      <c r="B364" t="s">
        <v>1729</v>
      </c>
      <c r="C364" t="s">
        <v>8172</v>
      </c>
      <c r="D364" t="s">
        <v>7789</v>
      </c>
      <c r="E364" s="18">
        <v>45783</v>
      </c>
    </row>
    <row r="365" spans="1:6" x14ac:dyDescent="0.3">
      <c r="A365" t="s">
        <v>1731</v>
      </c>
      <c r="B365" t="s">
        <v>1732</v>
      </c>
      <c r="C365" t="s">
        <v>8173</v>
      </c>
      <c r="E365" s="18"/>
    </row>
    <row r="366" spans="1:6" x14ac:dyDescent="0.3">
      <c r="A366" t="s">
        <v>1735</v>
      </c>
      <c r="B366" t="s">
        <v>1736</v>
      </c>
      <c r="C366" t="s">
        <v>8174</v>
      </c>
      <c r="D366" t="s">
        <v>7796</v>
      </c>
      <c r="E366" s="18"/>
    </row>
    <row r="367" spans="1:6" x14ac:dyDescent="0.3">
      <c r="A367" t="s">
        <v>1749</v>
      </c>
      <c r="B367" t="s">
        <v>1750</v>
      </c>
      <c r="C367" t="s">
        <v>8175</v>
      </c>
      <c r="D367" t="s">
        <v>7789</v>
      </c>
      <c r="E367" s="18"/>
    </row>
    <row r="368" spans="1:6" x14ac:dyDescent="0.3">
      <c r="A368" t="s">
        <v>1759</v>
      </c>
      <c r="B368" t="s">
        <v>1760</v>
      </c>
      <c r="C368" t="s">
        <v>8176</v>
      </c>
      <c r="D368" t="s">
        <v>7787</v>
      </c>
      <c r="E368" s="18"/>
    </row>
    <row r="369" spans="1:6" x14ac:dyDescent="0.3">
      <c r="A369" t="s">
        <v>1766</v>
      </c>
      <c r="B369" t="s">
        <v>1767</v>
      </c>
      <c r="C369" t="s">
        <v>8177</v>
      </c>
      <c r="D369" t="s">
        <v>7787</v>
      </c>
      <c r="E369" s="18">
        <v>45891</v>
      </c>
    </row>
    <row r="370" spans="1:6" x14ac:dyDescent="0.3">
      <c r="A370" t="s">
        <v>1770</v>
      </c>
      <c r="B370" t="s">
        <v>1771</v>
      </c>
      <c r="C370" t="s">
        <v>8178</v>
      </c>
      <c r="D370" t="s">
        <v>7785</v>
      </c>
      <c r="E370" s="18"/>
    </row>
    <row r="371" spans="1:6" x14ac:dyDescent="0.3">
      <c r="A371" t="s">
        <v>1776</v>
      </c>
      <c r="B371" t="s">
        <v>1777</v>
      </c>
      <c r="C371" t="s">
        <v>8179</v>
      </c>
      <c r="D371" t="s">
        <v>7787</v>
      </c>
      <c r="E371" s="18">
        <v>45750</v>
      </c>
    </row>
    <row r="372" spans="1:6" x14ac:dyDescent="0.3">
      <c r="B372" t="s">
        <v>8180</v>
      </c>
      <c r="C372" t="s">
        <v>8181</v>
      </c>
      <c r="E372" s="18"/>
    </row>
    <row r="373" spans="1:6" x14ac:dyDescent="0.3">
      <c r="A373" t="s">
        <v>1779</v>
      </c>
      <c r="B373" t="s">
        <v>1780</v>
      </c>
      <c r="C373" t="s">
        <v>8182</v>
      </c>
      <c r="D373" t="s">
        <v>7787</v>
      </c>
      <c r="E373" s="18">
        <v>45792</v>
      </c>
    </row>
    <row r="374" spans="1:6" x14ac:dyDescent="0.3">
      <c r="A374" t="s">
        <v>1783</v>
      </c>
      <c r="B374" t="s">
        <v>1784</v>
      </c>
      <c r="C374" t="s">
        <v>8183</v>
      </c>
      <c r="D374" t="s">
        <v>7787</v>
      </c>
      <c r="E374" s="18"/>
    </row>
    <row r="375" spans="1:6" x14ac:dyDescent="0.3">
      <c r="A375" t="s">
        <v>1786</v>
      </c>
      <c r="B375" t="s">
        <v>1787</v>
      </c>
      <c r="C375" t="s">
        <v>8184</v>
      </c>
      <c r="D375" t="s">
        <v>7846</v>
      </c>
      <c r="E375" s="18"/>
    </row>
    <row r="376" spans="1:6" x14ac:dyDescent="0.3">
      <c r="A376" t="s">
        <v>1793</v>
      </c>
      <c r="B376" t="s">
        <v>1794</v>
      </c>
      <c r="C376" t="s">
        <v>8185</v>
      </c>
      <c r="D376" t="s">
        <v>7787</v>
      </c>
      <c r="E376" s="18">
        <v>45967</v>
      </c>
      <c r="F376" s="52" t="s">
        <v>37</v>
      </c>
    </row>
    <row r="377" spans="1:6" x14ac:dyDescent="0.3">
      <c r="A377" t="s">
        <v>1797</v>
      </c>
      <c r="B377" t="s">
        <v>1798</v>
      </c>
      <c r="C377" t="s">
        <v>8186</v>
      </c>
      <c r="D377" t="s">
        <v>7787</v>
      </c>
      <c r="E377" s="18"/>
    </row>
    <row r="378" spans="1:6" x14ac:dyDescent="0.3">
      <c r="A378" t="s">
        <v>1801</v>
      </c>
      <c r="B378" t="s">
        <v>1802</v>
      </c>
      <c r="C378" t="s">
        <v>8187</v>
      </c>
      <c r="D378" t="s">
        <v>7787</v>
      </c>
      <c r="E378" s="18"/>
    </row>
    <row r="379" spans="1:6" x14ac:dyDescent="0.3">
      <c r="A379" t="s">
        <v>1805</v>
      </c>
      <c r="B379" t="s">
        <v>1806</v>
      </c>
      <c r="C379" t="s">
        <v>8188</v>
      </c>
      <c r="D379" t="s">
        <v>7789</v>
      </c>
      <c r="E379" s="18">
        <v>45881</v>
      </c>
    </row>
    <row r="380" spans="1:6" x14ac:dyDescent="0.3">
      <c r="A380" t="s">
        <v>1815</v>
      </c>
      <c r="B380" t="s">
        <v>1816</v>
      </c>
      <c r="C380" t="s">
        <v>8189</v>
      </c>
      <c r="D380" t="s">
        <v>7796</v>
      </c>
      <c r="E380" s="18"/>
      <c r="F380" s="52" t="s">
        <v>37</v>
      </c>
    </row>
    <row r="381" spans="1:6" x14ac:dyDescent="0.3">
      <c r="A381" t="s">
        <v>1818</v>
      </c>
      <c r="B381" t="s">
        <v>1819</v>
      </c>
      <c r="C381" t="s">
        <v>8190</v>
      </c>
      <c r="D381" t="s">
        <v>7789</v>
      </c>
      <c r="E381" s="18"/>
    </row>
    <row r="382" spans="1:6" x14ac:dyDescent="0.3">
      <c r="A382" t="s">
        <v>1822</v>
      </c>
      <c r="B382" t="s">
        <v>1823</v>
      </c>
      <c r="C382" t="s">
        <v>8191</v>
      </c>
      <c r="D382" t="s">
        <v>7787</v>
      </c>
      <c r="E382" s="18"/>
    </row>
    <row r="383" spans="1:6" x14ac:dyDescent="0.3">
      <c r="A383" t="s">
        <v>1825</v>
      </c>
      <c r="B383" t="s">
        <v>1826</v>
      </c>
      <c r="C383" t="s">
        <v>8192</v>
      </c>
      <c r="E383" s="18"/>
    </row>
    <row r="384" spans="1:6" x14ac:dyDescent="0.3">
      <c r="A384" t="s">
        <v>1828</v>
      </c>
      <c r="B384" t="s">
        <v>1829</v>
      </c>
      <c r="C384" t="s">
        <v>8193</v>
      </c>
      <c r="D384" t="s">
        <v>7787</v>
      </c>
      <c r="E384" s="18"/>
    </row>
    <row r="385" spans="1:6" x14ac:dyDescent="0.3">
      <c r="A385" t="s">
        <v>1838</v>
      </c>
      <c r="B385" t="s">
        <v>1839</v>
      </c>
      <c r="C385" t="s">
        <v>8194</v>
      </c>
      <c r="D385" t="s">
        <v>7787</v>
      </c>
      <c r="E385" s="18">
        <v>45735</v>
      </c>
    </row>
    <row r="386" spans="1:6" x14ac:dyDescent="0.3">
      <c r="A386" t="s">
        <v>1843</v>
      </c>
      <c r="B386" t="s">
        <v>1844</v>
      </c>
      <c r="C386" t="s">
        <v>8195</v>
      </c>
      <c r="D386" t="s">
        <v>7785</v>
      </c>
      <c r="E386" s="18">
        <v>45974</v>
      </c>
    </row>
    <row r="387" spans="1:6" x14ac:dyDescent="0.3">
      <c r="A387" t="s">
        <v>1847</v>
      </c>
      <c r="B387" t="s">
        <v>1848</v>
      </c>
      <c r="C387" t="s">
        <v>8196</v>
      </c>
      <c r="D387" t="s">
        <v>7787</v>
      </c>
      <c r="E387" s="18">
        <v>45726</v>
      </c>
    </row>
    <row r="388" spans="1:6" x14ac:dyDescent="0.3">
      <c r="A388" t="s">
        <v>1851</v>
      </c>
      <c r="B388" t="s">
        <v>1852</v>
      </c>
      <c r="C388" t="s">
        <v>8197</v>
      </c>
      <c r="D388" t="s">
        <v>7785</v>
      </c>
      <c r="E388" s="18">
        <v>45964</v>
      </c>
      <c r="F388" s="52" t="s">
        <v>37</v>
      </c>
    </row>
    <row r="389" spans="1:6" x14ac:dyDescent="0.3">
      <c r="A389" t="s">
        <v>1855</v>
      </c>
      <c r="B389" t="s">
        <v>1856</v>
      </c>
      <c r="C389" t="s">
        <v>8198</v>
      </c>
      <c r="E389" s="18"/>
    </row>
    <row r="390" spans="1:6" x14ac:dyDescent="0.3">
      <c r="A390" t="s">
        <v>1858</v>
      </c>
      <c r="B390" t="s">
        <v>1859</v>
      </c>
      <c r="C390" t="s">
        <v>8199</v>
      </c>
      <c r="D390" t="s">
        <v>7824</v>
      </c>
      <c r="E390" s="18">
        <v>45728</v>
      </c>
    </row>
    <row r="391" spans="1:6" x14ac:dyDescent="0.3">
      <c r="A391" t="s">
        <v>1878</v>
      </c>
      <c r="B391" t="s">
        <v>1879</v>
      </c>
      <c r="C391" t="s">
        <v>8200</v>
      </c>
      <c r="D391" t="s">
        <v>7824</v>
      </c>
      <c r="E391" s="18"/>
    </row>
    <row r="392" spans="1:6" x14ac:dyDescent="0.3">
      <c r="A392" t="s">
        <v>1881</v>
      </c>
      <c r="B392" t="s">
        <v>1882</v>
      </c>
      <c r="C392" t="s">
        <v>8201</v>
      </c>
      <c r="D392" t="s">
        <v>7787</v>
      </c>
      <c r="E392" s="18">
        <v>45793</v>
      </c>
    </row>
    <row r="393" spans="1:6" x14ac:dyDescent="0.3">
      <c r="A393" t="s">
        <v>1884</v>
      </c>
      <c r="B393" t="s">
        <v>1885</v>
      </c>
      <c r="C393" t="s">
        <v>8202</v>
      </c>
      <c r="D393" t="s">
        <v>7804</v>
      </c>
      <c r="E393" s="18">
        <v>45813</v>
      </c>
    </row>
    <row r="394" spans="1:6" x14ac:dyDescent="0.3">
      <c r="A394" t="s">
        <v>1887</v>
      </c>
      <c r="B394" t="s">
        <v>1888</v>
      </c>
      <c r="C394" t="s">
        <v>8203</v>
      </c>
      <c r="D394" t="s">
        <v>7787</v>
      </c>
      <c r="E394" s="18"/>
      <c r="F394" s="52" t="s">
        <v>37</v>
      </c>
    </row>
    <row r="395" spans="1:6" x14ac:dyDescent="0.3">
      <c r="A395" t="s">
        <v>1891</v>
      </c>
      <c r="B395" t="s">
        <v>1892</v>
      </c>
      <c r="C395" t="s">
        <v>8204</v>
      </c>
      <c r="D395" t="s">
        <v>7789</v>
      </c>
      <c r="E395" s="18">
        <v>45742</v>
      </c>
    </row>
    <row r="396" spans="1:6" x14ac:dyDescent="0.3">
      <c r="A396" t="s">
        <v>1898</v>
      </c>
      <c r="B396" t="s">
        <v>1899</v>
      </c>
      <c r="C396" t="s">
        <v>8205</v>
      </c>
      <c r="D396" t="s">
        <v>7787</v>
      </c>
      <c r="E396" s="18"/>
    </row>
    <row r="397" spans="1:6" x14ac:dyDescent="0.3">
      <c r="A397" t="s">
        <v>1901</v>
      </c>
      <c r="B397" t="s">
        <v>1902</v>
      </c>
      <c r="C397" t="s">
        <v>8206</v>
      </c>
      <c r="D397" t="s">
        <v>8207</v>
      </c>
      <c r="E397" s="18">
        <v>45761</v>
      </c>
    </row>
    <row r="398" spans="1:6" x14ac:dyDescent="0.3">
      <c r="A398" t="s">
        <v>1904</v>
      </c>
      <c r="B398" t="s">
        <v>1905</v>
      </c>
      <c r="C398" t="s">
        <v>8208</v>
      </c>
      <c r="D398" t="s">
        <v>8209</v>
      </c>
      <c r="E398" s="18">
        <v>45882</v>
      </c>
    </row>
    <row r="399" spans="1:6" x14ac:dyDescent="0.3">
      <c r="A399" t="s">
        <v>1908</v>
      </c>
      <c r="B399" t="s">
        <v>1909</v>
      </c>
      <c r="C399" t="s">
        <v>8210</v>
      </c>
      <c r="D399" t="s">
        <v>7789</v>
      </c>
      <c r="E399" s="18"/>
    </row>
    <row r="400" spans="1:6" x14ac:dyDescent="0.3">
      <c r="A400" t="s">
        <v>1912</v>
      </c>
      <c r="B400" t="s">
        <v>1913</v>
      </c>
      <c r="C400" t="s">
        <v>8211</v>
      </c>
      <c r="D400" t="s">
        <v>7801</v>
      </c>
      <c r="E400" s="18"/>
    </row>
    <row r="401" spans="1:6" x14ac:dyDescent="0.3">
      <c r="A401" t="s">
        <v>1916</v>
      </c>
      <c r="B401" t="s">
        <v>1917</v>
      </c>
      <c r="C401" t="s">
        <v>8212</v>
      </c>
      <c r="D401" t="s">
        <v>7787</v>
      </c>
      <c r="E401" s="18">
        <v>45804</v>
      </c>
    </row>
    <row r="402" spans="1:6" x14ac:dyDescent="0.3">
      <c r="A402" t="s">
        <v>1926</v>
      </c>
      <c r="B402" t="s">
        <v>1927</v>
      </c>
      <c r="C402" t="s">
        <v>8213</v>
      </c>
      <c r="D402" t="s">
        <v>7785</v>
      </c>
      <c r="E402" s="18">
        <v>45758</v>
      </c>
    </row>
    <row r="403" spans="1:6" x14ac:dyDescent="0.3">
      <c r="A403" t="s">
        <v>1929</v>
      </c>
      <c r="B403" t="s">
        <v>1930</v>
      </c>
      <c r="C403" t="s">
        <v>8214</v>
      </c>
      <c r="D403" t="s">
        <v>7787</v>
      </c>
      <c r="E403" s="18"/>
    </row>
    <row r="404" spans="1:6" x14ac:dyDescent="0.3">
      <c r="A404" t="s">
        <v>1935</v>
      </c>
      <c r="B404" t="s">
        <v>1936</v>
      </c>
      <c r="C404" t="s">
        <v>8215</v>
      </c>
      <c r="E404" s="18"/>
    </row>
    <row r="405" spans="1:6" x14ac:dyDescent="0.3">
      <c r="A405" t="s">
        <v>1938</v>
      </c>
      <c r="B405" t="s">
        <v>1939</v>
      </c>
      <c r="C405" t="s">
        <v>8216</v>
      </c>
      <c r="D405" t="s">
        <v>7787</v>
      </c>
      <c r="E405" s="18">
        <v>45728</v>
      </c>
    </row>
    <row r="406" spans="1:6" x14ac:dyDescent="0.3">
      <c r="A406" t="s">
        <v>1945</v>
      </c>
      <c r="B406" t="s">
        <v>1946</v>
      </c>
      <c r="C406" t="s">
        <v>8217</v>
      </c>
      <c r="D406" t="s">
        <v>7789</v>
      </c>
      <c r="E406" s="18"/>
    </row>
    <row r="407" spans="1:6" x14ac:dyDescent="0.3">
      <c r="A407" t="s">
        <v>1948</v>
      </c>
      <c r="B407" t="s">
        <v>1949</v>
      </c>
      <c r="C407" t="s">
        <v>8218</v>
      </c>
      <c r="E407" s="18"/>
    </row>
    <row r="408" spans="1:6" x14ac:dyDescent="0.3">
      <c r="A408" t="s">
        <v>1954</v>
      </c>
      <c r="B408" t="s">
        <v>1955</v>
      </c>
      <c r="C408" t="s">
        <v>8219</v>
      </c>
      <c r="E408" s="18"/>
    </row>
    <row r="409" spans="1:6" x14ac:dyDescent="0.3">
      <c r="A409" t="s">
        <v>1962</v>
      </c>
      <c r="B409" t="s">
        <v>1963</v>
      </c>
      <c r="C409" t="s">
        <v>8220</v>
      </c>
      <c r="E409" s="18"/>
      <c r="F409" s="52" t="s">
        <v>37</v>
      </c>
    </row>
    <row r="410" spans="1:6" x14ac:dyDescent="0.3">
      <c r="A410" t="s">
        <v>1966</v>
      </c>
      <c r="B410" t="s">
        <v>1967</v>
      </c>
      <c r="C410" t="s">
        <v>8221</v>
      </c>
      <c r="E410" s="18"/>
    </row>
    <row r="411" spans="1:6" x14ac:dyDescent="0.3">
      <c r="A411" t="s">
        <v>1973</v>
      </c>
      <c r="B411" t="s">
        <v>1974</v>
      </c>
      <c r="C411" t="s">
        <v>8222</v>
      </c>
      <c r="E411" s="18"/>
    </row>
    <row r="412" spans="1:6" x14ac:dyDescent="0.3">
      <c r="A412" t="s">
        <v>1980</v>
      </c>
      <c r="B412" t="s">
        <v>1981</v>
      </c>
      <c r="C412" t="s">
        <v>8223</v>
      </c>
      <c r="D412" t="s">
        <v>7789</v>
      </c>
      <c r="E412" s="18"/>
      <c r="F412" s="52" t="s">
        <v>37</v>
      </c>
    </row>
    <row r="413" spans="1:6" x14ac:dyDescent="0.3">
      <c r="A413" t="s">
        <v>1984</v>
      </c>
      <c r="B413" t="s">
        <v>1985</v>
      </c>
      <c r="C413" t="s">
        <v>8224</v>
      </c>
      <c r="E413" s="18"/>
    </row>
    <row r="414" spans="1:6" x14ac:dyDescent="0.3">
      <c r="A414" t="s">
        <v>1988</v>
      </c>
      <c r="B414" t="s">
        <v>1989</v>
      </c>
      <c r="C414" t="s">
        <v>8225</v>
      </c>
      <c r="D414" t="s">
        <v>7801</v>
      </c>
      <c r="E414" s="18">
        <v>45796</v>
      </c>
    </row>
    <row r="415" spans="1:6" x14ac:dyDescent="0.3">
      <c r="A415" t="s">
        <v>1992</v>
      </c>
      <c r="B415" t="s">
        <v>1993</v>
      </c>
      <c r="C415" t="s">
        <v>8226</v>
      </c>
      <c r="D415" t="s">
        <v>7789</v>
      </c>
      <c r="E415" s="18">
        <v>45986</v>
      </c>
    </row>
    <row r="416" spans="1:6" x14ac:dyDescent="0.3">
      <c r="A416" t="s">
        <v>1996</v>
      </c>
      <c r="B416" t="s">
        <v>1997</v>
      </c>
      <c r="C416" t="s">
        <v>8227</v>
      </c>
      <c r="D416" t="s">
        <v>7787</v>
      </c>
      <c r="E416" s="18">
        <v>45806</v>
      </c>
    </row>
    <row r="417" spans="1:6" x14ac:dyDescent="0.3">
      <c r="A417" t="s">
        <v>2000</v>
      </c>
      <c r="B417" t="s">
        <v>2001</v>
      </c>
      <c r="C417" t="s">
        <v>8228</v>
      </c>
      <c r="D417" t="s">
        <v>7824</v>
      </c>
      <c r="E417" s="18">
        <v>45736</v>
      </c>
    </row>
    <row r="418" spans="1:6" x14ac:dyDescent="0.3">
      <c r="A418" t="s">
        <v>2006</v>
      </c>
      <c r="B418" t="s">
        <v>2007</v>
      </c>
      <c r="C418" t="s">
        <v>8229</v>
      </c>
      <c r="D418" t="s">
        <v>7787</v>
      </c>
      <c r="E418" s="18">
        <v>45818</v>
      </c>
    </row>
    <row r="419" spans="1:6" x14ac:dyDescent="0.3">
      <c r="A419" t="s">
        <v>2010</v>
      </c>
      <c r="B419" t="s">
        <v>2011</v>
      </c>
      <c r="C419" t="s">
        <v>8230</v>
      </c>
      <c r="D419" t="s">
        <v>7837</v>
      </c>
      <c r="E419" s="18">
        <v>45761</v>
      </c>
    </row>
    <row r="420" spans="1:6" x14ac:dyDescent="0.3">
      <c r="A420" t="s">
        <v>2013</v>
      </c>
      <c r="B420" t="s">
        <v>2014</v>
      </c>
      <c r="C420" t="s">
        <v>8231</v>
      </c>
      <c r="E420" s="18">
        <v>45971</v>
      </c>
    </row>
    <row r="421" spans="1:6" x14ac:dyDescent="0.3">
      <c r="A421" t="s">
        <v>2023</v>
      </c>
      <c r="B421" t="s">
        <v>2024</v>
      </c>
      <c r="C421" t="s">
        <v>8232</v>
      </c>
      <c r="D421" t="s">
        <v>7789</v>
      </c>
      <c r="E421" s="18">
        <v>45761</v>
      </c>
    </row>
    <row r="422" spans="1:6" x14ac:dyDescent="0.3">
      <c r="A422" t="s">
        <v>2026</v>
      </c>
      <c r="B422" t="s">
        <v>2027</v>
      </c>
      <c r="C422" t="s">
        <v>8233</v>
      </c>
      <c r="D422" t="s">
        <v>7787</v>
      </c>
      <c r="E422" s="18">
        <v>45903</v>
      </c>
    </row>
    <row r="423" spans="1:6" x14ac:dyDescent="0.3">
      <c r="A423" t="s">
        <v>2048</v>
      </c>
      <c r="B423" t="s">
        <v>2049</v>
      </c>
      <c r="C423" t="s">
        <v>8234</v>
      </c>
      <c r="E423" s="18"/>
    </row>
    <row r="424" spans="1:6" x14ac:dyDescent="0.3">
      <c r="A424" t="s">
        <v>2051</v>
      </c>
      <c r="B424" t="s">
        <v>2052</v>
      </c>
      <c r="C424" t="s">
        <v>8235</v>
      </c>
      <c r="D424" t="s">
        <v>7787</v>
      </c>
      <c r="E424" s="18">
        <v>45964</v>
      </c>
      <c r="F424" s="52" t="s">
        <v>37</v>
      </c>
    </row>
    <row r="425" spans="1:6" x14ac:dyDescent="0.3">
      <c r="A425" t="s">
        <v>2055</v>
      </c>
      <c r="B425" t="s">
        <v>2056</v>
      </c>
      <c r="C425" t="s">
        <v>8236</v>
      </c>
      <c r="D425" t="s">
        <v>7787</v>
      </c>
      <c r="E425" s="18">
        <v>45965</v>
      </c>
    </row>
    <row r="426" spans="1:6" x14ac:dyDescent="0.3">
      <c r="A426" t="s">
        <v>2059</v>
      </c>
      <c r="B426" t="s">
        <v>2060</v>
      </c>
      <c r="C426" t="s">
        <v>8237</v>
      </c>
      <c r="D426" t="s">
        <v>7796</v>
      </c>
      <c r="E426" s="18"/>
    </row>
    <row r="427" spans="1:6" x14ac:dyDescent="0.3">
      <c r="B427" t="s">
        <v>8238</v>
      </c>
      <c r="C427" t="s">
        <v>8239</v>
      </c>
      <c r="D427" t="s">
        <v>7837</v>
      </c>
      <c r="E427" s="18"/>
    </row>
    <row r="428" spans="1:6" x14ac:dyDescent="0.3">
      <c r="A428" t="s">
        <v>2068</v>
      </c>
      <c r="B428" t="s">
        <v>2069</v>
      </c>
      <c r="C428" t="s">
        <v>8240</v>
      </c>
      <c r="D428" t="s">
        <v>7796</v>
      </c>
      <c r="E428" s="18">
        <v>45793</v>
      </c>
    </row>
    <row r="429" spans="1:6" x14ac:dyDescent="0.3">
      <c r="A429" t="s">
        <v>2071</v>
      </c>
      <c r="B429" t="s">
        <v>2072</v>
      </c>
      <c r="C429" t="s">
        <v>8241</v>
      </c>
      <c r="E429" s="18">
        <v>45912</v>
      </c>
    </row>
    <row r="430" spans="1:6" x14ac:dyDescent="0.3">
      <c r="A430" t="s">
        <v>2075</v>
      </c>
      <c r="B430" t="s">
        <v>2076</v>
      </c>
      <c r="C430" t="s">
        <v>8242</v>
      </c>
      <c r="D430" t="s">
        <v>7789</v>
      </c>
      <c r="E430" s="18"/>
      <c r="F430" s="52" t="s">
        <v>37</v>
      </c>
    </row>
    <row r="431" spans="1:6" x14ac:dyDescent="0.3">
      <c r="A431" t="s">
        <v>2078</v>
      </c>
      <c r="B431" t="s">
        <v>2079</v>
      </c>
      <c r="C431" t="s">
        <v>8243</v>
      </c>
      <c r="D431" t="s">
        <v>7912</v>
      </c>
      <c r="E431" s="18"/>
    </row>
    <row r="432" spans="1:6" x14ac:dyDescent="0.3">
      <c r="A432" t="s">
        <v>2082</v>
      </c>
      <c r="B432" t="s">
        <v>2083</v>
      </c>
      <c r="C432" t="s">
        <v>8244</v>
      </c>
      <c r="D432" t="s">
        <v>7787</v>
      </c>
      <c r="E432" s="18">
        <v>45891</v>
      </c>
    </row>
    <row r="433" spans="1:6" x14ac:dyDescent="0.3">
      <c r="A433" t="s">
        <v>2089</v>
      </c>
      <c r="B433" t="s">
        <v>2090</v>
      </c>
      <c r="C433" t="s">
        <v>8245</v>
      </c>
      <c r="D433" t="s">
        <v>7787</v>
      </c>
      <c r="E433" s="18">
        <v>45951</v>
      </c>
    </row>
    <row r="434" spans="1:6" x14ac:dyDescent="0.3">
      <c r="A434" t="s">
        <v>2092</v>
      </c>
      <c r="B434" t="s">
        <v>2093</v>
      </c>
      <c r="C434" t="s">
        <v>8246</v>
      </c>
      <c r="D434" t="s">
        <v>7785</v>
      </c>
      <c r="E434" s="18">
        <v>45954</v>
      </c>
    </row>
    <row r="435" spans="1:6" x14ac:dyDescent="0.3">
      <c r="A435" t="s">
        <v>2096</v>
      </c>
      <c r="B435" t="s">
        <v>2097</v>
      </c>
      <c r="C435" t="s">
        <v>8247</v>
      </c>
      <c r="D435" t="s">
        <v>7787</v>
      </c>
      <c r="E435" s="18">
        <v>45961</v>
      </c>
      <c r="F435" s="52" t="s">
        <v>37</v>
      </c>
    </row>
    <row r="436" spans="1:6" x14ac:dyDescent="0.3">
      <c r="A436" t="s">
        <v>2100</v>
      </c>
      <c r="B436" t="s">
        <v>2101</v>
      </c>
      <c r="C436" t="s">
        <v>8248</v>
      </c>
      <c r="D436" t="s">
        <v>8249</v>
      </c>
      <c r="E436" s="18"/>
    </row>
    <row r="437" spans="1:6" x14ac:dyDescent="0.3">
      <c r="A437" t="s">
        <v>2103</v>
      </c>
      <c r="B437" t="s">
        <v>2104</v>
      </c>
      <c r="C437" t="s">
        <v>8250</v>
      </c>
      <c r="D437" t="s">
        <v>7798</v>
      </c>
      <c r="E437" s="18">
        <v>45833</v>
      </c>
    </row>
    <row r="438" spans="1:6" x14ac:dyDescent="0.3">
      <c r="B438" t="s">
        <v>8251</v>
      </c>
      <c r="C438" t="s">
        <v>8252</v>
      </c>
      <c r="D438" t="s">
        <v>7787</v>
      </c>
      <c r="E438" s="18"/>
    </row>
    <row r="439" spans="1:6" x14ac:dyDescent="0.3">
      <c r="A439" t="s">
        <v>2107</v>
      </c>
      <c r="B439" t="s">
        <v>2108</v>
      </c>
      <c r="C439" t="s">
        <v>8253</v>
      </c>
      <c r="E439" s="18"/>
    </row>
    <row r="440" spans="1:6" x14ac:dyDescent="0.3">
      <c r="A440" t="s">
        <v>2116</v>
      </c>
      <c r="B440" t="s">
        <v>2117</v>
      </c>
      <c r="C440" t="s">
        <v>8254</v>
      </c>
      <c r="D440" t="s">
        <v>7789</v>
      </c>
      <c r="E440" s="18">
        <v>45785</v>
      </c>
    </row>
    <row r="441" spans="1:6" x14ac:dyDescent="0.3">
      <c r="A441" t="s">
        <v>2122</v>
      </c>
      <c r="B441" t="s">
        <v>2123</v>
      </c>
      <c r="C441" t="s">
        <v>8255</v>
      </c>
      <c r="D441" t="s">
        <v>7787</v>
      </c>
      <c r="E441" s="18"/>
    </row>
    <row r="442" spans="1:6" x14ac:dyDescent="0.3">
      <c r="A442" t="s">
        <v>2126</v>
      </c>
      <c r="B442" t="s">
        <v>2127</v>
      </c>
      <c r="C442" t="s">
        <v>8256</v>
      </c>
      <c r="D442" t="s">
        <v>7789</v>
      </c>
      <c r="E442" s="18">
        <v>46006</v>
      </c>
    </row>
    <row r="443" spans="1:6" x14ac:dyDescent="0.3">
      <c r="A443" t="s">
        <v>2130</v>
      </c>
      <c r="B443" t="s">
        <v>2131</v>
      </c>
      <c r="C443" t="s">
        <v>8257</v>
      </c>
      <c r="E443" s="18"/>
    </row>
    <row r="444" spans="1:6" x14ac:dyDescent="0.3">
      <c r="A444" t="s">
        <v>2153</v>
      </c>
      <c r="B444" t="s">
        <v>2154</v>
      </c>
      <c r="C444" t="s">
        <v>8258</v>
      </c>
      <c r="D444" t="s">
        <v>7785</v>
      </c>
      <c r="E444" s="18">
        <v>45726</v>
      </c>
    </row>
    <row r="445" spans="1:6" x14ac:dyDescent="0.3">
      <c r="A445" t="s">
        <v>2156</v>
      </c>
      <c r="B445" t="s">
        <v>2157</v>
      </c>
      <c r="C445" t="s">
        <v>8259</v>
      </c>
      <c r="D445" t="s">
        <v>7785</v>
      </c>
      <c r="E445" s="18">
        <v>45880</v>
      </c>
    </row>
    <row r="446" spans="1:6" x14ac:dyDescent="0.3">
      <c r="A446" t="s">
        <v>2172</v>
      </c>
      <c r="B446" t="s">
        <v>2173</v>
      </c>
      <c r="C446" t="s">
        <v>8260</v>
      </c>
      <c r="E446" s="18"/>
      <c r="F446" s="52" t="s">
        <v>37</v>
      </c>
    </row>
    <row r="447" spans="1:6" x14ac:dyDescent="0.3">
      <c r="A447" t="s">
        <v>2175</v>
      </c>
      <c r="B447" t="s">
        <v>2176</v>
      </c>
      <c r="C447" t="s">
        <v>8261</v>
      </c>
      <c r="D447" t="s">
        <v>7789</v>
      </c>
      <c r="E447" s="18"/>
    </row>
    <row r="448" spans="1:6" x14ac:dyDescent="0.3">
      <c r="A448" t="s">
        <v>2179</v>
      </c>
      <c r="B448" t="s">
        <v>2180</v>
      </c>
      <c r="C448" t="s">
        <v>8262</v>
      </c>
      <c r="D448" t="s">
        <v>7789</v>
      </c>
      <c r="E448" s="18">
        <v>45947</v>
      </c>
      <c r="F448" s="52" t="s">
        <v>37</v>
      </c>
    </row>
    <row r="449" spans="1:6" x14ac:dyDescent="0.3">
      <c r="A449" t="s">
        <v>2186</v>
      </c>
      <c r="B449" t="s">
        <v>2187</v>
      </c>
      <c r="C449" t="s">
        <v>8263</v>
      </c>
      <c r="D449" t="s">
        <v>7912</v>
      </c>
      <c r="E449" s="18"/>
    </row>
    <row r="450" spans="1:6" x14ac:dyDescent="0.3">
      <c r="A450" t="s">
        <v>2189</v>
      </c>
      <c r="B450" t="s">
        <v>2190</v>
      </c>
      <c r="C450" t="s">
        <v>8264</v>
      </c>
      <c r="E450" s="18"/>
    </row>
    <row r="451" spans="1:6" x14ac:dyDescent="0.3">
      <c r="A451" t="s">
        <v>2192</v>
      </c>
      <c r="B451" t="s">
        <v>2193</v>
      </c>
      <c r="C451" t="s">
        <v>8265</v>
      </c>
      <c r="D451" t="s">
        <v>7785</v>
      </c>
      <c r="E451" s="18"/>
    </row>
    <row r="452" spans="1:6" x14ac:dyDescent="0.3">
      <c r="A452" t="s">
        <v>2195</v>
      </c>
      <c r="B452" t="s">
        <v>2196</v>
      </c>
      <c r="C452" t="s">
        <v>8266</v>
      </c>
      <c r="E452" s="18"/>
    </row>
    <row r="453" spans="1:6" x14ac:dyDescent="0.3">
      <c r="B453" t="s">
        <v>8267</v>
      </c>
      <c r="C453" t="s">
        <v>8268</v>
      </c>
      <c r="D453" t="s">
        <v>7912</v>
      </c>
      <c r="E453" s="18"/>
    </row>
    <row r="454" spans="1:6" x14ac:dyDescent="0.3">
      <c r="A454" t="s">
        <v>2199</v>
      </c>
      <c r="B454" t="s">
        <v>2200</v>
      </c>
      <c r="C454" t="s">
        <v>8269</v>
      </c>
      <c r="D454" t="s">
        <v>7785</v>
      </c>
      <c r="E454" s="18">
        <v>45944</v>
      </c>
    </row>
    <row r="455" spans="1:6" x14ac:dyDescent="0.3">
      <c r="A455" t="s">
        <v>2203</v>
      </c>
      <c r="B455" t="s">
        <v>2204</v>
      </c>
      <c r="C455" t="s">
        <v>8270</v>
      </c>
      <c r="D455" t="s">
        <v>7787</v>
      </c>
      <c r="E455" s="18"/>
      <c r="F455" s="52" t="s">
        <v>37</v>
      </c>
    </row>
    <row r="456" spans="1:6" x14ac:dyDescent="0.3">
      <c r="A456" t="s">
        <v>2207</v>
      </c>
      <c r="B456" t="s">
        <v>2208</v>
      </c>
      <c r="C456" t="s">
        <v>8271</v>
      </c>
      <c r="E456" s="18"/>
    </row>
    <row r="457" spans="1:6" x14ac:dyDescent="0.3">
      <c r="A457" t="s">
        <v>2221</v>
      </c>
      <c r="B457" t="s">
        <v>2222</v>
      </c>
      <c r="C457" t="s">
        <v>8272</v>
      </c>
      <c r="D457" t="s">
        <v>7789</v>
      </c>
      <c r="E457" s="18">
        <v>45958</v>
      </c>
    </row>
    <row r="458" spans="1:6" x14ac:dyDescent="0.3">
      <c r="A458" t="s">
        <v>2225</v>
      </c>
      <c r="B458" t="s">
        <v>2226</v>
      </c>
      <c r="C458" t="s">
        <v>8273</v>
      </c>
      <c r="D458" t="s">
        <v>7789</v>
      </c>
      <c r="E458" s="18"/>
    </row>
    <row r="459" spans="1:6" x14ac:dyDescent="0.3">
      <c r="A459" t="s">
        <v>2229</v>
      </c>
      <c r="B459" t="s">
        <v>2230</v>
      </c>
      <c r="C459" t="s">
        <v>8274</v>
      </c>
      <c r="D459" t="s">
        <v>7787</v>
      </c>
      <c r="E459" s="18"/>
    </row>
    <row r="460" spans="1:6" x14ac:dyDescent="0.3">
      <c r="A460" t="s">
        <v>2232</v>
      </c>
      <c r="B460" t="s">
        <v>2233</v>
      </c>
      <c r="C460" t="s">
        <v>8275</v>
      </c>
      <c r="E460" s="18"/>
    </row>
    <row r="461" spans="1:6" x14ac:dyDescent="0.3">
      <c r="A461" t="s">
        <v>2238</v>
      </c>
      <c r="B461" t="s">
        <v>2239</v>
      </c>
      <c r="C461" t="s">
        <v>8276</v>
      </c>
      <c r="D461" t="s">
        <v>7785</v>
      </c>
      <c r="E461" s="18">
        <v>45971</v>
      </c>
    </row>
    <row r="462" spans="1:6" x14ac:dyDescent="0.3">
      <c r="A462" t="s">
        <v>2246</v>
      </c>
      <c r="B462" t="s">
        <v>2247</v>
      </c>
      <c r="C462" t="s">
        <v>8277</v>
      </c>
      <c r="D462" t="s">
        <v>7789</v>
      </c>
      <c r="E462" s="18">
        <v>45958</v>
      </c>
      <c r="F462" s="52" t="s">
        <v>37</v>
      </c>
    </row>
    <row r="463" spans="1:6" x14ac:dyDescent="0.3">
      <c r="A463" t="s">
        <v>2250</v>
      </c>
      <c r="B463" t="s">
        <v>2251</v>
      </c>
      <c r="C463" t="s">
        <v>8278</v>
      </c>
      <c r="E463" s="18"/>
    </row>
    <row r="464" spans="1:6" x14ac:dyDescent="0.3">
      <c r="A464" t="s">
        <v>2253</v>
      </c>
      <c r="B464" t="s">
        <v>2254</v>
      </c>
      <c r="C464" t="s">
        <v>8279</v>
      </c>
      <c r="D464" t="s">
        <v>7789</v>
      </c>
      <c r="E464" s="18">
        <v>45742</v>
      </c>
    </row>
    <row r="465" spans="1:6" x14ac:dyDescent="0.3">
      <c r="A465" t="s">
        <v>2257</v>
      </c>
      <c r="B465" t="s">
        <v>2258</v>
      </c>
      <c r="C465" t="s">
        <v>8280</v>
      </c>
      <c r="D465" t="s">
        <v>7787</v>
      </c>
      <c r="E465" s="18"/>
      <c r="F465" s="52" t="s">
        <v>37</v>
      </c>
    </row>
    <row r="466" spans="1:6" x14ac:dyDescent="0.3">
      <c r="A466" t="s">
        <v>2260</v>
      </c>
      <c r="B466" t="s">
        <v>2261</v>
      </c>
      <c r="C466" t="s">
        <v>8281</v>
      </c>
      <c r="E466" s="18"/>
      <c r="F466" s="52" t="s">
        <v>37</v>
      </c>
    </row>
    <row r="467" spans="1:6" x14ac:dyDescent="0.3">
      <c r="A467" t="s">
        <v>2267</v>
      </c>
      <c r="B467" t="s">
        <v>2268</v>
      </c>
      <c r="C467" t="s">
        <v>8282</v>
      </c>
      <c r="D467" t="s">
        <v>7787</v>
      </c>
      <c r="E467" s="18"/>
      <c r="F467" s="52" t="s">
        <v>37</v>
      </c>
    </row>
    <row r="468" spans="1:6" x14ac:dyDescent="0.3">
      <c r="A468" t="s">
        <v>2273</v>
      </c>
      <c r="B468" t="s">
        <v>2274</v>
      </c>
      <c r="C468" t="s">
        <v>8283</v>
      </c>
      <c r="D468" t="s">
        <v>7787</v>
      </c>
      <c r="E468" s="18">
        <v>45820</v>
      </c>
    </row>
    <row r="469" spans="1:6" x14ac:dyDescent="0.3">
      <c r="A469" t="s">
        <v>2277</v>
      </c>
      <c r="B469" t="s">
        <v>2278</v>
      </c>
      <c r="C469" t="s">
        <v>8284</v>
      </c>
      <c r="E469" s="18"/>
    </row>
    <row r="470" spans="1:6" x14ac:dyDescent="0.3">
      <c r="A470" t="s">
        <v>2283</v>
      </c>
      <c r="B470" t="s">
        <v>2284</v>
      </c>
      <c r="C470" t="s">
        <v>8285</v>
      </c>
      <c r="D470" t="s">
        <v>7789</v>
      </c>
      <c r="E470" s="18">
        <v>45944</v>
      </c>
    </row>
    <row r="471" spans="1:6" x14ac:dyDescent="0.3">
      <c r="A471" t="s">
        <v>2289</v>
      </c>
      <c r="B471" t="s">
        <v>2290</v>
      </c>
      <c r="C471" t="s">
        <v>8286</v>
      </c>
      <c r="D471" t="s">
        <v>7796</v>
      </c>
      <c r="E471" s="18"/>
    </row>
    <row r="472" spans="1:6" x14ac:dyDescent="0.3">
      <c r="A472" t="s">
        <v>2292</v>
      </c>
      <c r="B472" t="s">
        <v>2293</v>
      </c>
      <c r="C472" t="s">
        <v>8287</v>
      </c>
      <c r="D472" t="s">
        <v>8288</v>
      </c>
      <c r="E472" s="18"/>
    </row>
    <row r="473" spans="1:6" x14ac:dyDescent="0.3">
      <c r="A473" t="s">
        <v>2295</v>
      </c>
      <c r="B473" t="s">
        <v>2296</v>
      </c>
      <c r="C473" t="s">
        <v>8289</v>
      </c>
      <c r="D473" t="s">
        <v>7787</v>
      </c>
      <c r="E473" s="18">
        <v>45833</v>
      </c>
    </row>
    <row r="474" spans="1:6" x14ac:dyDescent="0.3">
      <c r="A474" t="s">
        <v>2305</v>
      </c>
      <c r="B474" t="s">
        <v>2306</v>
      </c>
      <c r="C474" t="s">
        <v>8290</v>
      </c>
      <c r="D474" t="s">
        <v>7785</v>
      </c>
      <c r="E474" s="18">
        <v>45758</v>
      </c>
    </row>
    <row r="475" spans="1:6" x14ac:dyDescent="0.3">
      <c r="A475" t="s">
        <v>2308</v>
      </c>
      <c r="B475" t="s">
        <v>2309</v>
      </c>
      <c r="C475" t="s">
        <v>8291</v>
      </c>
      <c r="D475" t="s">
        <v>7787</v>
      </c>
      <c r="E475" s="18"/>
    </row>
    <row r="476" spans="1:6" x14ac:dyDescent="0.3">
      <c r="A476" t="s">
        <v>2312</v>
      </c>
      <c r="B476" t="s">
        <v>2313</v>
      </c>
      <c r="C476" t="s">
        <v>8292</v>
      </c>
      <c r="D476" t="s">
        <v>7787</v>
      </c>
      <c r="E476" s="18">
        <v>45989</v>
      </c>
    </row>
    <row r="477" spans="1:6" x14ac:dyDescent="0.3">
      <c r="A477" t="s">
        <v>2316</v>
      </c>
      <c r="B477" t="s">
        <v>2317</v>
      </c>
      <c r="C477" t="s">
        <v>8293</v>
      </c>
      <c r="D477" t="s">
        <v>7789</v>
      </c>
      <c r="E477" s="18"/>
      <c r="F477" s="52" t="s">
        <v>37</v>
      </c>
    </row>
    <row r="478" spans="1:6" x14ac:dyDescent="0.3">
      <c r="A478" t="s">
        <v>2319</v>
      </c>
      <c r="B478" t="s">
        <v>2320</v>
      </c>
      <c r="C478" t="s">
        <v>8294</v>
      </c>
      <c r="E478" s="18"/>
    </row>
    <row r="479" spans="1:6" x14ac:dyDescent="0.3">
      <c r="A479" t="s">
        <v>2325</v>
      </c>
      <c r="B479" t="s">
        <v>2326</v>
      </c>
      <c r="C479" t="s">
        <v>8295</v>
      </c>
      <c r="D479" t="s">
        <v>7787</v>
      </c>
      <c r="E479" s="18">
        <v>45791</v>
      </c>
    </row>
    <row r="480" spans="1:6" x14ac:dyDescent="0.3">
      <c r="A480" t="s">
        <v>2329</v>
      </c>
      <c r="B480" t="s">
        <v>2330</v>
      </c>
      <c r="C480" t="s">
        <v>8296</v>
      </c>
      <c r="D480" t="s">
        <v>7789</v>
      </c>
      <c r="E480" s="18">
        <v>45958</v>
      </c>
    </row>
    <row r="481" spans="1:6" x14ac:dyDescent="0.3">
      <c r="A481" t="s">
        <v>2336</v>
      </c>
      <c r="B481" t="s">
        <v>2337</v>
      </c>
      <c r="C481" t="s">
        <v>8297</v>
      </c>
      <c r="D481" t="s">
        <v>7787</v>
      </c>
      <c r="E481" s="18">
        <v>45777</v>
      </c>
    </row>
    <row r="482" spans="1:6" x14ac:dyDescent="0.3">
      <c r="A482" t="s">
        <v>2339</v>
      </c>
      <c r="B482" t="s">
        <v>2340</v>
      </c>
      <c r="C482" t="s">
        <v>8298</v>
      </c>
      <c r="D482" t="s">
        <v>7787</v>
      </c>
      <c r="E482" s="18">
        <v>45894</v>
      </c>
    </row>
    <row r="483" spans="1:6" x14ac:dyDescent="0.3">
      <c r="A483" t="s">
        <v>2346</v>
      </c>
      <c r="B483" t="s">
        <v>2347</v>
      </c>
      <c r="C483" t="s">
        <v>8299</v>
      </c>
      <c r="D483" t="s">
        <v>7787</v>
      </c>
      <c r="E483" s="18"/>
      <c r="F483" s="52" t="s">
        <v>37</v>
      </c>
    </row>
    <row r="484" spans="1:6" x14ac:dyDescent="0.3">
      <c r="A484" t="s">
        <v>2350</v>
      </c>
      <c r="B484" t="s">
        <v>2351</v>
      </c>
      <c r="C484" t="s">
        <v>8300</v>
      </c>
      <c r="D484" t="s">
        <v>7787</v>
      </c>
      <c r="E484" s="18">
        <v>45736</v>
      </c>
    </row>
    <row r="485" spans="1:6" x14ac:dyDescent="0.3">
      <c r="A485" t="s">
        <v>2357</v>
      </c>
      <c r="B485" t="s">
        <v>2358</v>
      </c>
      <c r="C485" t="s">
        <v>8301</v>
      </c>
      <c r="D485" t="s">
        <v>7787</v>
      </c>
      <c r="E485" s="18"/>
    </row>
    <row r="486" spans="1:6" x14ac:dyDescent="0.3">
      <c r="A486" t="s">
        <v>2368</v>
      </c>
      <c r="B486" t="s">
        <v>2369</v>
      </c>
      <c r="C486" t="s">
        <v>8302</v>
      </c>
      <c r="D486" t="s">
        <v>7787</v>
      </c>
      <c r="E486" s="18">
        <v>45915</v>
      </c>
    </row>
    <row r="487" spans="1:6" x14ac:dyDescent="0.3">
      <c r="A487" t="s">
        <v>2375</v>
      </c>
      <c r="B487" t="s">
        <v>2376</v>
      </c>
      <c r="C487" t="s">
        <v>8303</v>
      </c>
      <c r="D487" t="s">
        <v>7787</v>
      </c>
      <c r="E487" s="18">
        <v>45797</v>
      </c>
    </row>
    <row r="488" spans="1:6" x14ac:dyDescent="0.3">
      <c r="A488" t="s">
        <v>2379</v>
      </c>
      <c r="B488" t="s">
        <v>2380</v>
      </c>
      <c r="C488" t="s">
        <v>8304</v>
      </c>
      <c r="E488" s="18"/>
    </row>
    <row r="489" spans="1:6" x14ac:dyDescent="0.3">
      <c r="A489" t="s">
        <v>2382</v>
      </c>
      <c r="B489" t="s">
        <v>2383</v>
      </c>
      <c r="C489" t="s">
        <v>8305</v>
      </c>
      <c r="D489" t="s">
        <v>7796</v>
      </c>
      <c r="E489" s="18">
        <v>45841</v>
      </c>
    </row>
    <row r="490" spans="1:6" x14ac:dyDescent="0.3">
      <c r="A490" t="s">
        <v>2389</v>
      </c>
      <c r="B490" t="s">
        <v>2390</v>
      </c>
      <c r="C490" t="s">
        <v>8306</v>
      </c>
      <c r="D490" t="s">
        <v>7798</v>
      </c>
      <c r="E490" s="18"/>
    </row>
    <row r="491" spans="1:6" x14ac:dyDescent="0.3">
      <c r="A491" t="s">
        <v>2392</v>
      </c>
      <c r="B491" t="s">
        <v>2393</v>
      </c>
      <c r="C491" t="s">
        <v>8307</v>
      </c>
      <c r="D491" t="s">
        <v>7785</v>
      </c>
      <c r="E491" s="18"/>
    </row>
    <row r="492" spans="1:6" x14ac:dyDescent="0.3">
      <c r="A492" t="s">
        <v>2396</v>
      </c>
      <c r="B492" t="s">
        <v>2397</v>
      </c>
      <c r="C492" t="s">
        <v>8308</v>
      </c>
      <c r="D492" t="s">
        <v>7787</v>
      </c>
      <c r="E492" s="18"/>
      <c r="F492" s="52" t="s">
        <v>37</v>
      </c>
    </row>
    <row r="493" spans="1:6" x14ac:dyDescent="0.3">
      <c r="A493" t="s">
        <v>2399</v>
      </c>
      <c r="B493" t="s">
        <v>2400</v>
      </c>
      <c r="C493" t="s">
        <v>8309</v>
      </c>
      <c r="D493" t="s">
        <v>7789</v>
      </c>
      <c r="E493" s="18">
        <v>45961</v>
      </c>
      <c r="F493" s="52" t="s">
        <v>37</v>
      </c>
    </row>
    <row r="494" spans="1:6" x14ac:dyDescent="0.3">
      <c r="A494" t="s">
        <v>2403</v>
      </c>
      <c r="B494" t="s">
        <v>2404</v>
      </c>
      <c r="C494" t="s">
        <v>8310</v>
      </c>
      <c r="D494" t="s">
        <v>7785</v>
      </c>
      <c r="E494" s="18">
        <v>45897</v>
      </c>
    </row>
    <row r="495" spans="1:6" x14ac:dyDescent="0.3">
      <c r="A495" t="s">
        <v>2407</v>
      </c>
      <c r="B495" t="s">
        <v>2408</v>
      </c>
      <c r="C495" t="s">
        <v>8311</v>
      </c>
      <c r="D495" t="s">
        <v>7789</v>
      </c>
      <c r="E495" s="18"/>
    </row>
    <row r="496" spans="1:6" x14ac:dyDescent="0.3">
      <c r="A496" t="s">
        <v>2410</v>
      </c>
      <c r="B496" t="s">
        <v>2411</v>
      </c>
      <c r="C496" t="s">
        <v>8312</v>
      </c>
      <c r="D496" t="s">
        <v>7785</v>
      </c>
      <c r="E496" s="18"/>
      <c r="F496" s="52" t="s">
        <v>37</v>
      </c>
    </row>
    <row r="497" spans="1:6" x14ac:dyDescent="0.3">
      <c r="A497" t="s">
        <v>2414</v>
      </c>
      <c r="B497" t="s">
        <v>2415</v>
      </c>
      <c r="C497" t="s">
        <v>8313</v>
      </c>
      <c r="D497" t="s">
        <v>7787</v>
      </c>
      <c r="E497" s="18">
        <v>45931</v>
      </c>
    </row>
    <row r="498" spans="1:6" x14ac:dyDescent="0.3">
      <c r="A498" t="s">
        <v>2418</v>
      </c>
      <c r="B498" t="s">
        <v>2419</v>
      </c>
      <c r="C498" t="s">
        <v>8314</v>
      </c>
      <c r="D498" t="s">
        <v>7787</v>
      </c>
      <c r="E498" s="18"/>
    </row>
    <row r="499" spans="1:6" x14ac:dyDescent="0.3">
      <c r="A499" t="s">
        <v>2424</v>
      </c>
      <c r="B499" t="s">
        <v>2425</v>
      </c>
      <c r="C499" t="s">
        <v>8315</v>
      </c>
      <c r="D499" t="s">
        <v>7796</v>
      </c>
      <c r="E499" s="18"/>
      <c r="F499" s="52" t="s">
        <v>37</v>
      </c>
    </row>
    <row r="500" spans="1:6" x14ac:dyDescent="0.3">
      <c r="A500" t="s">
        <v>2427</v>
      </c>
      <c r="B500" t="s">
        <v>2428</v>
      </c>
      <c r="C500" t="s">
        <v>8316</v>
      </c>
      <c r="D500" t="s">
        <v>7785</v>
      </c>
      <c r="E500" s="18"/>
    </row>
    <row r="501" spans="1:6" x14ac:dyDescent="0.3">
      <c r="A501" t="s">
        <v>2441</v>
      </c>
      <c r="B501" t="s">
        <v>2442</v>
      </c>
      <c r="C501" t="s">
        <v>8317</v>
      </c>
      <c r="D501" t="s">
        <v>7789</v>
      </c>
      <c r="E501" s="18"/>
    </row>
    <row r="502" spans="1:6" x14ac:dyDescent="0.3">
      <c r="A502" t="s">
        <v>2444</v>
      </c>
      <c r="B502" t="s">
        <v>2445</v>
      </c>
      <c r="C502" t="s">
        <v>8318</v>
      </c>
      <c r="D502" t="s">
        <v>7796</v>
      </c>
      <c r="E502" s="18"/>
    </row>
    <row r="503" spans="1:6" x14ac:dyDescent="0.3">
      <c r="A503" t="s">
        <v>2450</v>
      </c>
      <c r="B503" t="s">
        <v>2451</v>
      </c>
      <c r="C503" t="s">
        <v>8319</v>
      </c>
      <c r="D503" t="s">
        <v>7787</v>
      </c>
      <c r="E503" s="18">
        <v>45989</v>
      </c>
    </row>
    <row r="504" spans="1:6" x14ac:dyDescent="0.3">
      <c r="A504" t="s">
        <v>2454</v>
      </c>
      <c r="B504" t="s">
        <v>2455</v>
      </c>
      <c r="C504" t="s">
        <v>8320</v>
      </c>
      <c r="D504" t="s">
        <v>7787</v>
      </c>
      <c r="E504" s="18">
        <v>46064</v>
      </c>
    </row>
    <row r="505" spans="1:6" x14ac:dyDescent="0.3">
      <c r="A505" t="s">
        <v>2457</v>
      </c>
      <c r="B505" t="s">
        <v>2458</v>
      </c>
      <c r="C505" t="s">
        <v>8321</v>
      </c>
      <c r="D505" t="s">
        <v>7796</v>
      </c>
      <c r="E505" s="18">
        <v>45825</v>
      </c>
    </row>
    <row r="506" spans="1:6" x14ac:dyDescent="0.3">
      <c r="A506" t="s">
        <v>2461</v>
      </c>
      <c r="B506" t="s">
        <v>2462</v>
      </c>
      <c r="C506" t="s">
        <v>8322</v>
      </c>
      <c r="D506" t="s">
        <v>7796</v>
      </c>
      <c r="E506" s="18">
        <v>46063</v>
      </c>
    </row>
    <row r="507" spans="1:6" x14ac:dyDescent="0.3">
      <c r="A507" t="s">
        <v>2465</v>
      </c>
      <c r="B507" t="s">
        <v>2466</v>
      </c>
      <c r="C507" t="s">
        <v>8323</v>
      </c>
      <c r="E507" s="18"/>
    </row>
    <row r="508" spans="1:6" x14ac:dyDescent="0.3">
      <c r="A508" t="s">
        <v>2471</v>
      </c>
      <c r="B508" t="s">
        <v>2472</v>
      </c>
      <c r="C508" t="s">
        <v>8324</v>
      </c>
      <c r="D508" t="s">
        <v>7789</v>
      </c>
      <c r="E508" s="18">
        <v>45993</v>
      </c>
    </row>
    <row r="509" spans="1:6" x14ac:dyDescent="0.3">
      <c r="A509" t="s">
        <v>2475</v>
      </c>
      <c r="B509" t="s">
        <v>2476</v>
      </c>
      <c r="C509" t="s">
        <v>8325</v>
      </c>
      <c r="D509" t="s">
        <v>7787</v>
      </c>
      <c r="E509" s="18">
        <v>45930</v>
      </c>
    </row>
    <row r="510" spans="1:6" x14ac:dyDescent="0.3">
      <c r="A510" t="s">
        <v>2479</v>
      </c>
      <c r="B510" t="s">
        <v>2480</v>
      </c>
      <c r="C510" t="s">
        <v>8326</v>
      </c>
      <c r="D510" t="s">
        <v>7789</v>
      </c>
      <c r="E510" s="18"/>
    </row>
    <row r="511" spans="1:6" x14ac:dyDescent="0.3">
      <c r="A511" t="s">
        <v>2489</v>
      </c>
      <c r="B511" t="s">
        <v>2490</v>
      </c>
      <c r="C511" t="s">
        <v>8327</v>
      </c>
      <c r="D511" t="s">
        <v>7824</v>
      </c>
      <c r="E511" s="18"/>
    </row>
    <row r="512" spans="1:6" x14ac:dyDescent="0.3">
      <c r="A512" t="s">
        <v>2492</v>
      </c>
      <c r="B512" t="s">
        <v>2493</v>
      </c>
      <c r="C512" t="s">
        <v>8328</v>
      </c>
      <c r="D512" t="s">
        <v>7789</v>
      </c>
      <c r="E512" s="18">
        <v>45985</v>
      </c>
      <c r="F512" s="52" t="s">
        <v>37</v>
      </c>
    </row>
    <row r="513" spans="1:6" x14ac:dyDescent="0.3">
      <c r="A513" t="s">
        <v>2499</v>
      </c>
      <c r="B513" t="s">
        <v>2500</v>
      </c>
      <c r="C513" t="s">
        <v>8329</v>
      </c>
      <c r="D513" t="s">
        <v>7787</v>
      </c>
      <c r="E513" s="18">
        <v>45855</v>
      </c>
    </row>
    <row r="514" spans="1:6" x14ac:dyDescent="0.3">
      <c r="A514" t="s">
        <v>2509</v>
      </c>
      <c r="B514" t="s">
        <v>2510</v>
      </c>
      <c r="C514" t="s">
        <v>8330</v>
      </c>
      <c r="D514" t="s">
        <v>7787</v>
      </c>
      <c r="E514" s="18"/>
      <c r="F514" s="52" t="s">
        <v>37</v>
      </c>
    </row>
    <row r="515" spans="1:6" x14ac:dyDescent="0.3">
      <c r="A515" t="s">
        <v>2513</v>
      </c>
      <c r="B515" t="s">
        <v>2514</v>
      </c>
      <c r="C515" t="s">
        <v>8331</v>
      </c>
      <c r="D515" t="s">
        <v>7789</v>
      </c>
      <c r="E515" s="18">
        <v>45783</v>
      </c>
    </row>
    <row r="516" spans="1:6" x14ac:dyDescent="0.3">
      <c r="A516" t="s">
        <v>2516</v>
      </c>
      <c r="B516" t="s">
        <v>2517</v>
      </c>
      <c r="C516" t="s">
        <v>8332</v>
      </c>
      <c r="D516" t="s">
        <v>7789</v>
      </c>
      <c r="E516" s="18"/>
    </row>
    <row r="517" spans="1:6" x14ac:dyDescent="0.3">
      <c r="A517" t="s">
        <v>2519</v>
      </c>
      <c r="B517" t="s">
        <v>2520</v>
      </c>
      <c r="C517" t="s">
        <v>8333</v>
      </c>
      <c r="D517" t="s">
        <v>7787</v>
      </c>
      <c r="E517" s="18"/>
    </row>
    <row r="518" spans="1:6" x14ac:dyDescent="0.3">
      <c r="A518" t="s">
        <v>2522</v>
      </c>
      <c r="B518" t="s">
        <v>2523</v>
      </c>
      <c r="C518" t="s">
        <v>8334</v>
      </c>
      <c r="D518" t="s">
        <v>7787</v>
      </c>
      <c r="E518" s="18">
        <v>45931</v>
      </c>
    </row>
    <row r="519" spans="1:6" x14ac:dyDescent="0.3">
      <c r="A519" t="s">
        <v>2526</v>
      </c>
      <c r="B519" t="s">
        <v>2527</v>
      </c>
      <c r="C519" t="s">
        <v>8335</v>
      </c>
      <c r="D519" t="s">
        <v>7798</v>
      </c>
      <c r="E519" s="18">
        <v>45838</v>
      </c>
    </row>
    <row r="520" spans="1:6" x14ac:dyDescent="0.3">
      <c r="A520" t="s">
        <v>2530</v>
      </c>
      <c r="B520" t="s">
        <v>2531</v>
      </c>
      <c r="C520" t="s">
        <v>8336</v>
      </c>
      <c r="D520" t="s">
        <v>7785</v>
      </c>
      <c r="E520" s="18"/>
    </row>
    <row r="521" spans="1:6" x14ac:dyDescent="0.3">
      <c r="A521" t="s">
        <v>2534</v>
      </c>
      <c r="B521" t="s">
        <v>2535</v>
      </c>
      <c r="C521" t="s">
        <v>8337</v>
      </c>
      <c r="D521" t="s">
        <v>7846</v>
      </c>
      <c r="E521" s="18"/>
    </row>
    <row r="522" spans="1:6" x14ac:dyDescent="0.3">
      <c r="A522" t="s">
        <v>2541</v>
      </c>
      <c r="B522" t="s">
        <v>2542</v>
      </c>
      <c r="C522" t="s">
        <v>8338</v>
      </c>
      <c r="D522" t="s">
        <v>7787</v>
      </c>
      <c r="E522" s="18"/>
      <c r="F522" s="52" t="s">
        <v>37</v>
      </c>
    </row>
    <row r="523" spans="1:6" x14ac:dyDescent="0.3">
      <c r="A523" t="s">
        <v>2552</v>
      </c>
      <c r="B523" t="s">
        <v>2553</v>
      </c>
      <c r="C523" t="s">
        <v>8339</v>
      </c>
      <c r="D523" t="s">
        <v>7787</v>
      </c>
      <c r="E523" s="18">
        <v>45783</v>
      </c>
    </row>
    <row r="524" spans="1:6" x14ac:dyDescent="0.3">
      <c r="A524" t="s">
        <v>2555</v>
      </c>
      <c r="B524" t="s">
        <v>2556</v>
      </c>
      <c r="C524" t="s">
        <v>8340</v>
      </c>
      <c r="D524" t="s">
        <v>7796</v>
      </c>
      <c r="E524" s="18">
        <v>45938</v>
      </c>
    </row>
    <row r="525" spans="1:6" x14ac:dyDescent="0.3">
      <c r="A525" t="s">
        <v>2559</v>
      </c>
      <c r="B525" t="s">
        <v>2560</v>
      </c>
      <c r="C525" t="s">
        <v>8341</v>
      </c>
      <c r="D525" t="s">
        <v>7787</v>
      </c>
      <c r="E525" s="18"/>
      <c r="F525" s="52" t="s">
        <v>37</v>
      </c>
    </row>
    <row r="526" spans="1:6" x14ac:dyDescent="0.3">
      <c r="A526" t="s">
        <v>2565</v>
      </c>
      <c r="B526" t="s">
        <v>2566</v>
      </c>
      <c r="C526" t="s">
        <v>8342</v>
      </c>
      <c r="E526" s="18"/>
    </row>
    <row r="527" spans="1:6" x14ac:dyDescent="0.3">
      <c r="A527" t="s">
        <v>2569</v>
      </c>
      <c r="B527" t="s">
        <v>2570</v>
      </c>
      <c r="C527" t="s">
        <v>8343</v>
      </c>
      <c r="E527" s="18">
        <v>45894</v>
      </c>
    </row>
    <row r="528" spans="1:6" x14ac:dyDescent="0.3">
      <c r="A528" t="s">
        <v>2573</v>
      </c>
      <c r="B528" t="s">
        <v>2574</v>
      </c>
      <c r="C528" t="s">
        <v>8344</v>
      </c>
      <c r="E528" s="18"/>
      <c r="F528" s="52" t="s">
        <v>37</v>
      </c>
    </row>
    <row r="529" spans="1:6" x14ac:dyDescent="0.3">
      <c r="A529" t="s">
        <v>2577</v>
      </c>
      <c r="B529" t="s">
        <v>2578</v>
      </c>
      <c r="C529" t="s">
        <v>8345</v>
      </c>
      <c r="D529" t="s">
        <v>7787</v>
      </c>
      <c r="E529" s="18"/>
    </row>
    <row r="530" spans="1:6" x14ac:dyDescent="0.3">
      <c r="A530" t="s">
        <v>2585</v>
      </c>
      <c r="B530" t="s">
        <v>2586</v>
      </c>
      <c r="C530" t="s">
        <v>8346</v>
      </c>
      <c r="D530" t="s">
        <v>7787</v>
      </c>
      <c r="E530" s="18">
        <v>45792</v>
      </c>
    </row>
    <row r="531" spans="1:6" x14ac:dyDescent="0.3">
      <c r="A531" t="s">
        <v>2589</v>
      </c>
      <c r="B531" t="s">
        <v>2590</v>
      </c>
      <c r="C531" t="s">
        <v>8347</v>
      </c>
      <c r="D531" t="s">
        <v>7787</v>
      </c>
      <c r="E531" s="18">
        <v>45783</v>
      </c>
    </row>
    <row r="532" spans="1:6" x14ac:dyDescent="0.3">
      <c r="A532" t="s">
        <v>2596</v>
      </c>
      <c r="B532" t="s">
        <v>2597</v>
      </c>
      <c r="C532" t="s">
        <v>8348</v>
      </c>
      <c r="D532" t="s">
        <v>7787</v>
      </c>
      <c r="E532" s="18">
        <v>45792</v>
      </c>
    </row>
    <row r="533" spans="1:6" x14ac:dyDescent="0.3">
      <c r="A533" t="s">
        <v>2600</v>
      </c>
      <c r="B533" t="s">
        <v>2601</v>
      </c>
      <c r="C533" t="s">
        <v>8349</v>
      </c>
      <c r="D533" t="s">
        <v>7787</v>
      </c>
      <c r="E533" s="18">
        <v>45841</v>
      </c>
    </row>
    <row r="534" spans="1:6" x14ac:dyDescent="0.3">
      <c r="A534" t="s">
        <v>2603</v>
      </c>
      <c r="B534" t="s">
        <v>2604</v>
      </c>
      <c r="C534" t="s">
        <v>8350</v>
      </c>
      <c r="D534" t="s">
        <v>7789</v>
      </c>
      <c r="E534" s="18">
        <v>45966</v>
      </c>
      <c r="F534" s="52" t="s">
        <v>37</v>
      </c>
    </row>
    <row r="535" spans="1:6" x14ac:dyDescent="0.3">
      <c r="A535" t="s">
        <v>2607</v>
      </c>
      <c r="B535" t="s">
        <v>2608</v>
      </c>
      <c r="C535" t="s">
        <v>8351</v>
      </c>
      <c r="D535" t="s">
        <v>7787</v>
      </c>
      <c r="E535" s="18">
        <v>45894</v>
      </c>
    </row>
    <row r="536" spans="1:6" x14ac:dyDescent="0.3">
      <c r="A536" t="s">
        <v>2611</v>
      </c>
      <c r="B536" t="s">
        <v>2612</v>
      </c>
      <c r="C536" t="s">
        <v>8352</v>
      </c>
      <c r="D536" t="s">
        <v>7787</v>
      </c>
      <c r="E536" s="18">
        <v>45750</v>
      </c>
    </row>
    <row r="537" spans="1:6" x14ac:dyDescent="0.3">
      <c r="A537" t="s">
        <v>2617</v>
      </c>
      <c r="B537" t="s">
        <v>2618</v>
      </c>
      <c r="C537" t="s">
        <v>8353</v>
      </c>
      <c r="D537" t="s">
        <v>7787</v>
      </c>
      <c r="E537" s="18">
        <v>45967</v>
      </c>
      <c r="F537" s="52" t="s">
        <v>37</v>
      </c>
    </row>
    <row r="538" spans="1:6" x14ac:dyDescent="0.3">
      <c r="A538" t="s">
        <v>2621</v>
      </c>
      <c r="B538" t="s">
        <v>2622</v>
      </c>
      <c r="C538" t="s">
        <v>8354</v>
      </c>
      <c r="D538" t="s">
        <v>7787</v>
      </c>
      <c r="E538" s="18">
        <v>45818</v>
      </c>
    </row>
    <row r="539" spans="1:6" x14ac:dyDescent="0.3">
      <c r="A539" t="s">
        <v>2625</v>
      </c>
      <c r="B539" t="s">
        <v>2626</v>
      </c>
      <c r="C539" t="s">
        <v>8355</v>
      </c>
      <c r="D539" t="s">
        <v>7787</v>
      </c>
      <c r="E539" s="18">
        <v>46035</v>
      </c>
    </row>
    <row r="540" spans="1:6" x14ac:dyDescent="0.3">
      <c r="A540" t="s">
        <v>2629</v>
      </c>
      <c r="B540" t="s">
        <v>2630</v>
      </c>
      <c r="C540" t="s">
        <v>8356</v>
      </c>
      <c r="D540" t="s">
        <v>7787</v>
      </c>
      <c r="E540" s="18">
        <v>45811</v>
      </c>
    </row>
    <row r="541" spans="1:6" x14ac:dyDescent="0.3">
      <c r="A541" t="s">
        <v>2633</v>
      </c>
      <c r="B541" t="s">
        <v>2634</v>
      </c>
      <c r="C541" t="s">
        <v>8357</v>
      </c>
      <c r="D541" t="s">
        <v>7787</v>
      </c>
      <c r="E541" s="18">
        <v>45783</v>
      </c>
    </row>
    <row r="542" spans="1:6" x14ac:dyDescent="0.3">
      <c r="A542" t="s">
        <v>2637</v>
      </c>
      <c r="B542" t="s">
        <v>2638</v>
      </c>
      <c r="C542" t="s">
        <v>8358</v>
      </c>
      <c r="D542" t="s">
        <v>7787</v>
      </c>
      <c r="E542" s="18">
        <v>45839</v>
      </c>
    </row>
    <row r="543" spans="1:6" x14ac:dyDescent="0.3">
      <c r="A543" t="s">
        <v>2641</v>
      </c>
      <c r="B543" t="s">
        <v>2642</v>
      </c>
      <c r="C543" t="s">
        <v>8359</v>
      </c>
      <c r="D543" t="s">
        <v>7787</v>
      </c>
      <c r="E543" s="18">
        <v>45931</v>
      </c>
    </row>
    <row r="544" spans="1:6" x14ac:dyDescent="0.3">
      <c r="A544" t="s">
        <v>2645</v>
      </c>
      <c r="B544" t="s">
        <v>2646</v>
      </c>
      <c r="C544" t="s">
        <v>8360</v>
      </c>
      <c r="D544" t="s">
        <v>7787</v>
      </c>
      <c r="E544" s="18"/>
    </row>
    <row r="545" spans="1:6" x14ac:dyDescent="0.3">
      <c r="B545" t="s">
        <v>8361</v>
      </c>
      <c r="C545" t="s">
        <v>8362</v>
      </c>
      <c r="D545" t="s">
        <v>7789</v>
      </c>
      <c r="E545" s="18">
        <v>45854</v>
      </c>
    </row>
    <row r="546" spans="1:6" x14ac:dyDescent="0.3">
      <c r="A546" t="s">
        <v>2648</v>
      </c>
      <c r="B546" t="s">
        <v>2649</v>
      </c>
      <c r="C546" t="s">
        <v>8363</v>
      </c>
      <c r="D546" t="s">
        <v>7787</v>
      </c>
      <c r="E546" s="18"/>
      <c r="F546" s="52" t="s">
        <v>37</v>
      </c>
    </row>
    <row r="547" spans="1:6" x14ac:dyDescent="0.3">
      <c r="A547" t="s">
        <v>2652</v>
      </c>
      <c r="B547" t="s">
        <v>2653</v>
      </c>
      <c r="C547" t="s">
        <v>8364</v>
      </c>
      <c r="D547" t="s">
        <v>7785</v>
      </c>
      <c r="E547" s="18">
        <v>45805</v>
      </c>
    </row>
    <row r="548" spans="1:6" x14ac:dyDescent="0.3">
      <c r="A548" t="s">
        <v>2656</v>
      </c>
      <c r="B548" t="s">
        <v>2657</v>
      </c>
      <c r="C548" t="s">
        <v>8365</v>
      </c>
      <c r="E548" s="18"/>
    </row>
    <row r="549" spans="1:6" x14ac:dyDescent="0.3">
      <c r="A549" t="s">
        <v>2662</v>
      </c>
      <c r="B549" t="s">
        <v>2663</v>
      </c>
      <c r="C549" t="s">
        <v>8366</v>
      </c>
      <c r="D549" t="s">
        <v>7789</v>
      </c>
      <c r="E549" s="18">
        <v>45805</v>
      </c>
    </row>
    <row r="550" spans="1:6" x14ac:dyDescent="0.3">
      <c r="A550" t="s">
        <v>2666</v>
      </c>
      <c r="B550" t="s">
        <v>2667</v>
      </c>
      <c r="C550" t="s">
        <v>8367</v>
      </c>
      <c r="D550" t="s">
        <v>7785</v>
      </c>
      <c r="E550" s="18">
        <v>45769</v>
      </c>
    </row>
    <row r="551" spans="1:6" x14ac:dyDescent="0.3">
      <c r="A551" t="s">
        <v>2677</v>
      </c>
      <c r="B551" t="s">
        <v>2678</v>
      </c>
      <c r="C551" t="s">
        <v>8368</v>
      </c>
      <c r="D551" t="s">
        <v>7912</v>
      </c>
      <c r="E551" s="18">
        <v>45985</v>
      </c>
    </row>
    <row r="552" spans="1:6" x14ac:dyDescent="0.3">
      <c r="A552" t="s">
        <v>2681</v>
      </c>
      <c r="B552" t="s">
        <v>2682</v>
      </c>
      <c r="C552" t="s">
        <v>8369</v>
      </c>
      <c r="D552" t="s">
        <v>7787</v>
      </c>
      <c r="E552" s="18">
        <v>46007</v>
      </c>
    </row>
    <row r="553" spans="1:6" x14ac:dyDescent="0.3">
      <c r="A553" t="s">
        <v>2685</v>
      </c>
      <c r="B553" t="s">
        <v>2686</v>
      </c>
      <c r="C553" t="s">
        <v>8370</v>
      </c>
      <c r="D553" t="s">
        <v>7789</v>
      </c>
      <c r="E553" s="18">
        <v>45959</v>
      </c>
    </row>
    <row r="554" spans="1:6" x14ac:dyDescent="0.3">
      <c r="A554" t="s">
        <v>2698</v>
      </c>
      <c r="B554" t="s">
        <v>2699</v>
      </c>
      <c r="C554" t="s">
        <v>8371</v>
      </c>
      <c r="D554" t="s">
        <v>7787</v>
      </c>
      <c r="E554" s="18">
        <v>45944</v>
      </c>
    </row>
    <row r="555" spans="1:6" x14ac:dyDescent="0.3">
      <c r="A555" t="s">
        <v>2702</v>
      </c>
      <c r="B555" t="s">
        <v>2703</v>
      </c>
      <c r="C555" t="s">
        <v>8372</v>
      </c>
      <c r="E555" s="18"/>
    </row>
    <row r="556" spans="1:6" x14ac:dyDescent="0.3">
      <c r="A556" t="s">
        <v>2705</v>
      </c>
      <c r="B556" t="s">
        <v>2706</v>
      </c>
      <c r="C556" t="s">
        <v>8373</v>
      </c>
      <c r="E556" s="18"/>
    </row>
    <row r="557" spans="1:6" x14ac:dyDescent="0.3">
      <c r="A557" t="s">
        <v>2713</v>
      </c>
      <c r="B557" t="s">
        <v>2714</v>
      </c>
      <c r="C557" t="s">
        <v>8374</v>
      </c>
      <c r="E557" s="18"/>
    </row>
    <row r="558" spans="1:6" x14ac:dyDescent="0.3">
      <c r="A558" t="s">
        <v>2716</v>
      </c>
      <c r="B558" t="s">
        <v>2717</v>
      </c>
      <c r="C558" t="s">
        <v>8375</v>
      </c>
      <c r="D558" t="s">
        <v>7787</v>
      </c>
      <c r="E558" s="18">
        <v>45933</v>
      </c>
    </row>
    <row r="559" spans="1:6" x14ac:dyDescent="0.3">
      <c r="A559" t="s">
        <v>2720</v>
      </c>
      <c r="B559" t="s">
        <v>2721</v>
      </c>
      <c r="C559" t="s">
        <v>8376</v>
      </c>
      <c r="D559" t="s">
        <v>7787</v>
      </c>
      <c r="E559" s="18"/>
      <c r="F559" s="52" t="s">
        <v>37</v>
      </c>
    </row>
    <row r="560" spans="1:6" x14ac:dyDescent="0.3">
      <c r="A560" t="s">
        <v>2723</v>
      </c>
      <c r="B560" t="s">
        <v>2724</v>
      </c>
      <c r="C560" t="s">
        <v>8377</v>
      </c>
      <c r="D560" t="s">
        <v>7785</v>
      </c>
      <c r="E560" s="18">
        <v>46006</v>
      </c>
    </row>
    <row r="561" spans="1:6" x14ac:dyDescent="0.3">
      <c r="A561" t="s">
        <v>2727</v>
      </c>
      <c r="B561" t="s">
        <v>2728</v>
      </c>
      <c r="C561" t="s">
        <v>8378</v>
      </c>
      <c r="D561" t="s">
        <v>7796</v>
      </c>
      <c r="E561" s="18">
        <v>45771</v>
      </c>
    </row>
    <row r="562" spans="1:6" x14ac:dyDescent="0.3">
      <c r="A562" t="s">
        <v>2733</v>
      </c>
      <c r="B562" t="s">
        <v>2734</v>
      </c>
      <c r="C562" t="s">
        <v>8379</v>
      </c>
      <c r="D562" t="s">
        <v>7785</v>
      </c>
      <c r="E562" s="18"/>
    </row>
    <row r="563" spans="1:6" x14ac:dyDescent="0.3">
      <c r="A563" t="s">
        <v>2737</v>
      </c>
      <c r="B563" t="s">
        <v>2738</v>
      </c>
      <c r="C563" t="s">
        <v>8380</v>
      </c>
      <c r="D563" t="s">
        <v>7787</v>
      </c>
      <c r="E563" s="18">
        <v>45769</v>
      </c>
    </row>
    <row r="564" spans="1:6" x14ac:dyDescent="0.3">
      <c r="A564" t="s">
        <v>2741</v>
      </c>
      <c r="B564" t="s">
        <v>2742</v>
      </c>
      <c r="C564" t="s">
        <v>8381</v>
      </c>
      <c r="D564" t="s">
        <v>7787</v>
      </c>
      <c r="E564" s="18">
        <v>45947</v>
      </c>
      <c r="F564" s="52" t="s">
        <v>37</v>
      </c>
    </row>
    <row r="565" spans="1:6" x14ac:dyDescent="0.3">
      <c r="A565" t="s">
        <v>2745</v>
      </c>
      <c r="B565" t="s">
        <v>2746</v>
      </c>
      <c r="C565" t="s">
        <v>8382</v>
      </c>
      <c r="D565" t="s">
        <v>7787</v>
      </c>
      <c r="E565" s="18"/>
      <c r="F565" s="52" t="s">
        <v>37</v>
      </c>
    </row>
    <row r="566" spans="1:6" x14ac:dyDescent="0.3">
      <c r="A566" t="s">
        <v>2748</v>
      </c>
      <c r="B566" t="s">
        <v>2749</v>
      </c>
      <c r="C566" t="s">
        <v>8383</v>
      </c>
      <c r="D566" t="s">
        <v>7785</v>
      </c>
      <c r="E566" s="18">
        <v>45769</v>
      </c>
    </row>
    <row r="567" spans="1:6" x14ac:dyDescent="0.3">
      <c r="A567" t="s">
        <v>2754</v>
      </c>
      <c r="B567" t="s">
        <v>2755</v>
      </c>
      <c r="C567" t="s">
        <v>8384</v>
      </c>
      <c r="D567" t="s">
        <v>7796</v>
      </c>
      <c r="E567" s="18"/>
      <c r="F567" s="52" t="s">
        <v>37</v>
      </c>
    </row>
    <row r="568" spans="1:6" x14ac:dyDescent="0.3">
      <c r="A568" t="s">
        <v>2757</v>
      </c>
      <c r="B568" t="s">
        <v>2758</v>
      </c>
      <c r="C568" t="s">
        <v>8385</v>
      </c>
      <c r="D568" t="s">
        <v>7787</v>
      </c>
      <c r="E568" s="18">
        <v>45895</v>
      </c>
    </row>
    <row r="569" spans="1:6" x14ac:dyDescent="0.3">
      <c r="A569" t="s">
        <v>2761</v>
      </c>
      <c r="B569" t="s">
        <v>2762</v>
      </c>
      <c r="C569" t="s">
        <v>8386</v>
      </c>
      <c r="D569" t="s">
        <v>7787</v>
      </c>
      <c r="E569" s="18"/>
      <c r="F569" s="52" t="s">
        <v>37</v>
      </c>
    </row>
    <row r="570" spans="1:6" x14ac:dyDescent="0.3">
      <c r="A570" t="s">
        <v>2767</v>
      </c>
      <c r="B570" t="s">
        <v>2768</v>
      </c>
      <c r="C570" t="s">
        <v>8387</v>
      </c>
      <c r="E570" s="18">
        <v>45946</v>
      </c>
      <c r="F570" s="52" t="s">
        <v>37</v>
      </c>
    </row>
    <row r="571" spans="1:6" x14ac:dyDescent="0.3">
      <c r="A571" t="s">
        <v>2774</v>
      </c>
      <c r="B571" t="s">
        <v>2775</v>
      </c>
      <c r="C571" t="s">
        <v>8388</v>
      </c>
      <c r="D571" t="s">
        <v>7785</v>
      </c>
      <c r="E571" s="18">
        <v>45758</v>
      </c>
    </row>
    <row r="572" spans="1:6" x14ac:dyDescent="0.3">
      <c r="A572" t="s">
        <v>2777</v>
      </c>
      <c r="B572" t="s">
        <v>2778</v>
      </c>
      <c r="C572" t="s">
        <v>8389</v>
      </c>
      <c r="D572" t="s">
        <v>7787</v>
      </c>
      <c r="E572" s="18">
        <v>45944</v>
      </c>
      <c r="F572" s="52" t="s">
        <v>37</v>
      </c>
    </row>
    <row r="573" spans="1:6" x14ac:dyDescent="0.3">
      <c r="A573" t="s">
        <v>2781</v>
      </c>
      <c r="B573" t="s">
        <v>2782</v>
      </c>
      <c r="C573" t="s">
        <v>8390</v>
      </c>
      <c r="D573" t="s">
        <v>7789</v>
      </c>
      <c r="E573" s="18">
        <v>46036</v>
      </c>
    </row>
    <row r="574" spans="1:6" x14ac:dyDescent="0.3">
      <c r="A574" t="s">
        <v>2785</v>
      </c>
      <c r="B574" t="s">
        <v>2786</v>
      </c>
      <c r="C574" t="s">
        <v>8391</v>
      </c>
      <c r="D574" t="s">
        <v>7785</v>
      </c>
      <c r="E574" s="18">
        <v>45826</v>
      </c>
    </row>
    <row r="575" spans="1:6" x14ac:dyDescent="0.3">
      <c r="A575" t="s">
        <v>2791</v>
      </c>
      <c r="B575" t="s">
        <v>2792</v>
      </c>
      <c r="C575" t="s">
        <v>8392</v>
      </c>
      <c r="D575" t="s">
        <v>7787</v>
      </c>
      <c r="E575" s="18">
        <v>45894</v>
      </c>
      <c r="F575" s="52" t="s">
        <v>37</v>
      </c>
    </row>
    <row r="576" spans="1:6" x14ac:dyDescent="0.3">
      <c r="A576" t="s">
        <v>2802</v>
      </c>
      <c r="B576" t="s">
        <v>2803</v>
      </c>
      <c r="C576" t="s">
        <v>8393</v>
      </c>
      <c r="D576" t="s">
        <v>7787</v>
      </c>
      <c r="E576" s="18">
        <v>45917</v>
      </c>
    </row>
    <row r="577" spans="1:6" x14ac:dyDescent="0.3">
      <c r="A577" t="s">
        <v>2814</v>
      </c>
      <c r="B577" t="s">
        <v>2815</v>
      </c>
      <c r="C577" t="s">
        <v>8394</v>
      </c>
      <c r="D577" t="s">
        <v>7789</v>
      </c>
      <c r="E577" s="18">
        <v>45891</v>
      </c>
      <c r="F577" s="52" t="s">
        <v>37</v>
      </c>
    </row>
    <row r="578" spans="1:6" x14ac:dyDescent="0.3">
      <c r="A578" t="s">
        <v>2821</v>
      </c>
      <c r="B578" t="s">
        <v>2822</v>
      </c>
      <c r="C578" t="s">
        <v>8395</v>
      </c>
      <c r="D578" t="s">
        <v>7787</v>
      </c>
      <c r="E578" s="18">
        <v>45769</v>
      </c>
    </row>
    <row r="579" spans="1:6" x14ac:dyDescent="0.3">
      <c r="A579" t="s">
        <v>2825</v>
      </c>
      <c r="B579" t="s">
        <v>2826</v>
      </c>
      <c r="C579" t="s">
        <v>8396</v>
      </c>
      <c r="E579" s="18"/>
    </row>
    <row r="580" spans="1:6" x14ac:dyDescent="0.3">
      <c r="A580" t="s">
        <v>2831</v>
      </c>
      <c r="B580" t="s">
        <v>2832</v>
      </c>
      <c r="C580" t="s">
        <v>8397</v>
      </c>
      <c r="D580" t="s">
        <v>7787</v>
      </c>
      <c r="E580" s="18"/>
      <c r="F580" s="52" t="s">
        <v>37</v>
      </c>
    </row>
    <row r="581" spans="1:6" x14ac:dyDescent="0.3">
      <c r="A581" t="s">
        <v>2835</v>
      </c>
      <c r="B581" t="s">
        <v>2836</v>
      </c>
      <c r="C581" t="s">
        <v>8398</v>
      </c>
      <c r="D581" t="s">
        <v>7785</v>
      </c>
      <c r="E581" s="18"/>
    </row>
    <row r="582" spans="1:6" x14ac:dyDescent="0.3">
      <c r="A582" t="s">
        <v>2839</v>
      </c>
      <c r="B582" t="s">
        <v>2840</v>
      </c>
      <c r="C582" t="s">
        <v>8399</v>
      </c>
      <c r="D582" t="s">
        <v>7837</v>
      </c>
      <c r="E582" s="18"/>
      <c r="F582" s="52" t="s">
        <v>37</v>
      </c>
    </row>
    <row r="583" spans="1:6" x14ac:dyDescent="0.3">
      <c r="A583" t="s">
        <v>2842</v>
      </c>
      <c r="B583" t="s">
        <v>2843</v>
      </c>
      <c r="C583" t="s">
        <v>8400</v>
      </c>
      <c r="D583" t="s">
        <v>7804</v>
      </c>
      <c r="E583" s="18"/>
    </row>
    <row r="584" spans="1:6" x14ac:dyDescent="0.3">
      <c r="A584" t="s">
        <v>2845</v>
      </c>
      <c r="B584" t="s">
        <v>2846</v>
      </c>
      <c r="C584" t="s">
        <v>8401</v>
      </c>
      <c r="D584" t="s">
        <v>7796</v>
      </c>
      <c r="E584" s="18"/>
    </row>
    <row r="585" spans="1:6" x14ac:dyDescent="0.3">
      <c r="A585" t="s">
        <v>2848</v>
      </c>
      <c r="B585" t="s">
        <v>2849</v>
      </c>
      <c r="C585" t="s">
        <v>8402</v>
      </c>
      <c r="D585" t="s">
        <v>7824</v>
      </c>
      <c r="E585" s="18">
        <v>45761</v>
      </c>
    </row>
    <row r="586" spans="1:6" x14ac:dyDescent="0.3">
      <c r="A586" t="s">
        <v>2853</v>
      </c>
      <c r="B586" t="s">
        <v>2854</v>
      </c>
      <c r="C586" t="s">
        <v>8403</v>
      </c>
      <c r="D586" t="s">
        <v>7789</v>
      </c>
      <c r="E586" s="18">
        <v>45835</v>
      </c>
    </row>
    <row r="587" spans="1:6" x14ac:dyDescent="0.3">
      <c r="A587" t="s">
        <v>2856</v>
      </c>
      <c r="B587" t="s">
        <v>2857</v>
      </c>
      <c r="C587" t="s">
        <v>8404</v>
      </c>
      <c r="D587" t="s">
        <v>7787</v>
      </c>
      <c r="E587" s="18">
        <v>45972</v>
      </c>
      <c r="F587" s="52" t="s">
        <v>37</v>
      </c>
    </row>
    <row r="588" spans="1:6" x14ac:dyDescent="0.3">
      <c r="A588" t="s">
        <v>2863</v>
      </c>
      <c r="B588" t="s">
        <v>2864</v>
      </c>
      <c r="C588" t="s">
        <v>8405</v>
      </c>
      <c r="D588" t="s">
        <v>7796</v>
      </c>
      <c r="E588" s="18">
        <v>45775</v>
      </c>
    </row>
    <row r="589" spans="1:6" x14ac:dyDescent="0.3">
      <c r="A589" t="s">
        <v>2866</v>
      </c>
      <c r="B589" t="s">
        <v>2867</v>
      </c>
      <c r="C589" t="s">
        <v>8406</v>
      </c>
      <c r="D589" t="s">
        <v>7787</v>
      </c>
      <c r="E589" s="18">
        <v>45818</v>
      </c>
    </row>
    <row r="590" spans="1:6" x14ac:dyDescent="0.3">
      <c r="A590" t="s">
        <v>2870</v>
      </c>
      <c r="B590" t="s">
        <v>2871</v>
      </c>
      <c r="C590" t="s">
        <v>8407</v>
      </c>
      <c r="D590" t="s">
        <v>7787</v>
      </c>
      <c r="E590" s="18">
        <v>46029</v>
      </c>
    </row>
    <row r="591" spans="1:6" x14ac:dyDescent="0.3">
      <c r="A591" t="s">
        <v>2874</v>
      </c>
      <c r="B591" t="s">
        <v>2875</v>
      </c>
      <c r="C591" t="s">
        <v>8408</v>
      </c>
      <c r="E591" s="18"/>
    </row>
    <row r="592" spans="1:6" x14ac:dyDescent="0.3">
      <c r="A592" t="s">
        <v>2878</v>
      </c>
      <c r="B592" t="s">
        <v>2879</v>
      </c>
      <c r="C592" t="s">
        <v>8409</v>
      </c>
      <c r="E592" s="18"/>
    </row>
    <row r="593" spans="1:6" x14ac:dyDescent="0.3">
      <c r="A593" t="s">
        <v>2881</v>
      </c>
      <c r="B593" t="s">
        <v>2882</v>
      </c>
      <c r="C593" t="s">
        <v>8410</v>
      </c>
      <c r="D593" t="s">
        <v>7787</v>
      </c>
      <c r="E593" s="18">
        <v>45784</v>
      </c>
    </row>
    <row r="594" spans="1:6" x14ac:dyDescent="0.3">
      <c r="A594" t="s">
        <v>2884</v>
      </c>
      <c r="B594" t="s">
        <v>2885</v>
      </c>
      <c r="C594" t="s">
        <v>8411</v>
      </c>
      <c r="D594" t="s">
        <v>7796</v>
      </c>
      <c r="E594" s="18"/>
    </row>
    <row r="595" spans="1:6" x14ac:dyDescent="0.3">
      <c r="A595" t="s">
        <v>2887</v>
      </c>
      <c r="B595" t="s">
        <v>2888</v>
      </c>
      <c r="C595" t="s">
        <v>8412</v>
      </c>
      <c r="D595" t="s">
        <v>7787</v>
      </c>
      <c r="E595" s="18"/>
    </row>
    <row r="596" spans="1:6" x14ac:dyDescent="0.3">
      <c r="A596" t="s">
        <v>2891</v>
      </c>
      <c r="B596" t="s">
        <v>2892</v>
      </c>
      <c r="C596" t="s">
        <v>8413</v>
      </c>
      <c r="D596" t="s">
        <v>7787</v>
      </c>
      <c r="E596" s="18">
        <v>45784</v>
      </c>
    </row>
    <row r="597" spans="1:6" x14ac:dyDescent="0.3">
      <c r="A597" t="s">
        <v>2895</v>
      </c>
      <c r="B597" t="s">
        <v>2896</v>
      </c>
      <c r="C597" t="s">
        <v>8414</v>
      </c>
      <c r="D597" t="s">
        <v>7796</v>
      </c>
      <c r="E597" s="18"/>
      <c r="F597" s="52" t="s">
        <v>37</v>
      </c>
    </row>
    <row r="598" spans="1:6" x14ac:dyDescent="0.3">
      <c r="A598" t="s">
        <v>2899</v>
      </c>
      <c r="B598" t="s">
        <v>2900</v>
      </c>
      <c r="C598" t="s">
        <v>8415</v>
      </c>
      <c r="D598" t="s">
        <v>7787</v>
      </c>
      <c r="E598" s="18">
        <v>45772</v>
      </c>
    </row>
    <row r="599" spans="1:6" x14ac:dyDescent="0.3">
      <c r="A599" t="s">
        <v>2903</v>
      </c>
      <c r="B599" t="s">
        <v>2904</v>
      </c>
      <c r="C599" t="s">
        <v>8416</v>
      </c>
      <c r="D599" t="s">
        <v>8417</v>
      </c>
      <c r="E599" s="18">
        <v>45988</v>
      </c>
    </row>
    <row r="600" spans="1:6" x14ac:dyDescent="0.3">
      <c r="A600" t="s">
        <v>2907</v>
      </c>
      <c r="B600" t="s">
        <v>2908</v>
      </c>
      <c r="C600" t="s">
        <v>8418</v>
      </c>
      <c r="D600" t="s">
        <v>7787</v>
      </c>
      <c r="E600" s="18"/>
    </row>
    <row r="601" spans="1:6" x14ac:dyDescent="0.3">
      <c r="A601" t="s">
        <v>2911</v>
      </c>
      <c r="B601" t="s">
        <v>2912</v>
      </c>
      <c r="C601" t="s">
        <v>8419</v>
      </c>
      <c r="D601" t="s">
        <v>7789</v>
      </c>
      <c r="E601" s="18"/>
    </row>
    <row r="602" spans="1:6" x14ac:dyDescent="0.3">
      <c r="A602" t="s">
        <v>2914</v>
      </c>
      <c r="B602" t="s">
        <v>2915</v>
      </c>
      <c r="C602" t="s">
        <v>8420</v>
      </c>
      <c r="D602" t="s">
        <v>7787</v>
      </c>
      <c r="E602" s="18"/>
    </row>
    <row r="603" spans="1:6" x14ac:dyDescent="0.3">
      <c r="A603" t="s">
        <v>2917</v>
      </c>
      <c r="B603" t="s">
        <v>2918</v>
      </c>
      <c r="C603" t="s">
        <v>8421</v>
      </c>
      <c r="D603" t="s">
        <v>7787</v>
      </c>
      <c r="E603" s="18">
        <v>45931</v>
      </c>
    </row>
    <row r="604" spans="1:6" x14ac:dyDescent="0.3">
      <c r="A604" t="s">
        <v>2921</v>
      </c>
      <c r="B604" t="s">
        <v>2922</v>
      </c>
      <c r="C604" t="s">
        <v>8422</v>
      </c>
      <c r="E604" s="18"/>
    </row>
    <row r="605" spans="1:6" x14ac:dyDescent="0.3">
      <c r="A605" t="s">
        <v>2931</v>
      </c>
      <c r="B605" t="s">
        <v>2932</v>
      </c>
      <c r="C605" t="s">
        <v>8423</v>
      </c>
      <c r="E605" s="18"/>
    </row>
    <row r="606" spans="1:6" x14ac:dyDescent="0.3">
      <c r="A606" t="s">
        <v>2937</v>
      </c>
      <c r="B606" t="s">
        <v>2938</v>
      </c>
      <c r="C606" t="s">
        <v>8424</v>
      </c>
      <c r="D606" t="s">
        <v>7785</v>
      </c>
      <c r="E606" s="18">
        <v>45849</v>
      </c>
    </row>
    <row r="607" spans="1:6" x14ac:dyDescent="0.3">
      <c r="A607" t="s">
        <v>2941</v>
      </c>
      <c r="B607" t="s">
        <v>2942</v>
      </c>
      <c r="C607" t="s">
        <v>8425</v>
      </c>
      <c r="D607" t="s">
        <v>7785</v>
      </c>
      <c r="E607" s="18"/>
    </row>
    <row r="608" spans="1:6" x14ac:dyDescent="0.3">
      <c r="B608" t="s">
        <v>8426</v>
      </c>
      <c r="C608" t="s">
        <v>8427</v>
      </c>
      <c r="E608" s="18"/>
    </row>
    <row r="609" spans="1:6" x14ac:dyDescent="0.3">
      <c r="A609" t="s">
        <v>2945</v>
      </c>
      <c r="B609" t="s">
        <v>2946</v>
      </c>
      <c r="C609" t="s">
        <v>8428</v>
      </c>
      <c r="E609" s="18"/>
    </row>
    <row r="610" spans="1:6" x14ac:dyDescent="0.3">
      <c r="A610" t="s">
        <v>2949</v>
      </c>
      <c r="B610" t="s">
        <v>2950</v>
      </c>
      <c r="C610" t="s">
        <v>8429</v>
      </c>
      <c r="D610" t="s">
        <v>7796</v>
      </c>
      <c r="E610" s="18">
        <v>45777</v>
      </c>
    </row>
    <row r="611" spans="1:6" x14ac:dyDescent="0.3">
      <c r="A611" t="s">
        <v>2952</v>
      </c>
      <c r="B611" t="s">
        <v>2953</v>
      </c>
      <c r="C611" t="s">
        <v>8430</v>
      </c>
      <c r="D611" t="s">
        <v>7785</v>
      </c>
      <c r="E611" s="18">
        <v>45720</v>
      </c>
    </row>
    <row r="612" spans="1:6" x14ac:dyDescent="0.3">
      <c r="A612" t="s">
        <v>2956</v>
      </c>
      <c r="B612" t="s">
        <v>2957</v>
      </c>
      <c r="C612" t="s">
        <v>8431</v>
      </c>
      <c r="D612" t="s">
        <v>7787</v>
      </c>
      <c r="E612" s="18">
        <v>45966</v>
      </c>
      <c r="F612" s="52" t="s">
        <v>37</v>
      </c>
    </row>
    <row r="613" spans="1:6" x14ac:dyDescent="0.3">
      <c r="A613" t="s">
        <v>2960</v>
      </c>
      <c r="B613" t="s">
        <v>2961</v>
      </c>
      <c r="C613" t="s">
        <v>8432</v>
      </c>
      <c r="E613" s="18"/>
    </row>
    <row r="614" spans="1:6" x14ac:dyDescent="0.3">
      <c r="A614" t="s">
        <v>2963</v>
      </c>
      <c r="B614" t="s">
        <v>2964</v>
      </c>
      <c r="C614" t="s">
        <v>8433</v>
      </c>
      <c r="D614" t="s">
        <v>7787</v>
      </c>
      <c r="E614" s="18"/>
    </row>
    <row r="615" spans="1:6" x14ac:dyDescent="0.3">
      <c r="A615" t="s">
        <v>2967</v>
      </c>
      <c r="B615" t="s">
        <v>2968</v>
      </c>
      <c r="C615" t="s">
        <v>8434</v>
      </c>
      <c r="D615" t="s">
        <v>7789</v>
      </c>
      <c r="E615" s="18"/>
      <c r="F615" s="52" t="s">
        <v>37</v>
      </c>
    </row>
    <row r="616" spans="1:6" x14ac:dyDescent="0.3">
      <c r="A616" t="s">
        <v>2974</v>
      </c>
      <c r="B616" t="s">
        <v>2975</v>
      </c>
      <c r="C616" t="s">
        <v>8435</v>
      </c>
      <c r="D616" t="s">
        <v>7787</v>
      </c>
      <c r="E616" s="18"/>
    </row>
    <row r="617" spans="1:6" x14ac:dyDescent="0.3">
      <c r="A617" t="s">
        <v>2978</v>
      </c>
      <c r="B617" t="s">
        <v>2979</v>
      </c>
      <c r="C617" t="s">
        <v>8436</v>
      </c>
      <c r="D617" t="s">
        <v>7789</v>
      </c>
      <c r="E617" s="18">
        <v>45890</v>
      </c>
    </row>
    <row r="618" spans="1:6" x14ac:dyDescent="0.3">
      <c r="A618" t="s">
        <v>2982</v>
      </c>
      <c r="B618" t="s">
        <v>2983</v>
      </c>
      <c r="C618" t="s">
        <v>8437</v>
      </c>
      <c r="D618" t="s">
        <v>7785</v>
      </c>
      <c r="E618" s="18">
        <v>45961</v>
      </c>
      <c r="F618" s="52" t="s">
        <v>37</v>
      </c>
    </row>
    <row r="619" spans="1:6" x14ac:dyDescent="0.3">
      <c r="A619" t="s">
        <v>2986</v>
      </c>
      <c r="B619" t="s">
        <v>2987</v>
      </c>
      <c r="C619" t="s">
        <v>8438</v>
      </c>
      <c r="E619" s="18"/>
    </row>
    <row r="620" spans="1:6" x14ac:dyDescent="0.3">
      <c r="A620" t="s">
        <v>2990</v>
      </c>
      <c r="B620" t="s">
        <v>2991</v>
      </c>
      <c r="C620" t="s">
        <v>8439</v>
      </c>
      <c r="D620" t="s">
        <v>7785</v>
      </c>
      <c r="E620" s="18"/>
      <c r="F620" s="52" t="s">
        <v>37</v>
      </c>
    </row>
    <row r="621" spans="1:6" x14ac:dyDescent="0.3">
      <c r="A621" t="s">
        <v>2993</v>
      </c>
      <c r="B621" t="s">
        <v>2994</v>
      </c>
      <c r="C621" t="s">
        <v>8440</v>
      </c>
      <c r="D621" t="s">
        <v>7787</v>
      </c>
      <c r="E621" s="18"/>
    </row>
    <row r="622" spans="1:6" x14ac:dyDescent="0.3">
      <c r="A622" t="s">
        <v>2996</v>
      </c>
      <c r="B622" t="s">
        <v>2997</v>
      </c>
      <c r="C622" t="s">
        <v>8441</v>
      </c>
      <c r="E622" s="18"/>
    </row>
    <row r="623" spans="1:6" x14ac:dyDescent="0.3">
      <c r="A623" t="s">
        <v>2999</v>
      </c>
      <c r="B623" t="s">
        <v>3000</v>
      </c>
      <c r="C623" t="s">
        <v>8442</v>
      </c>
      <c r="E623" s="18">
        <v>45894</v>
      </c>
    </row>
    <row r="624" spans="1:6" x14ac:dyDescent="0.3">
      <c r="A624" t="s">
        <v>3003</v>
      </c>
      <c r="B624" t="s">
        <v>3004</v>
      </c>
      <c r="C624" t="s">
        <v>8443</v>
      </c>
      <c r="E624" s="18"/>
    </row>
    <row r="625" spans="1:9" x14ac:dyDescent="0.3">
      <c r="A625" t="s">
        <v>3007</v>
      </c>
      <c r="B625" t="s">
        <v>3008</v>
      </c>
      <c r="C625" t="s">
        <v>8444</v>
      </c>
      <c r="E625" s="18"/>
    </row>
    <row r="626" spans="1:9" x14ac:dyDescent="0.3">
      <c r="A626" t="s">
        <v>3011</v>
      </c>
      <c r="B626" t="s">
        <v>3012</v>
      </c>
      <c r="C626" t="s">
        <v>8445</v>
      </c>
      <c r="D626" t="s">
        <v>7789</v>
      </c>
      <c r="E626" s="18">
        <v>45841</v>
      </c>
    </row>
    <row r="627" spans="1:9" x14ac:dyDescent="0.3">
      <c r="A627" t="s">
        <v>3015</v>
      </c>
      <c r="B627" t="s">
        <v>3016</v>
      </c>
      <c r="C627" t="s">
        <v>8446</v>
      </c>
      <c r="E627" s="18"/>
    </row>
    <row r="628" spans="1:9" x14ac:dyDescent="0.3">
      <c r="A628" t="s">
        <v>3022</v>
      </c>
      <c r="B628" t="s">
        <v>3023</v>
      </c>
      <c r="C628" t="s">
        <v>8447</v>
      </c>
      <c r="E628" s="18"/>
    </row>
    <row r="629" spans="1:9" x14ac:dyDescent="0.3">
      <c r="A629" t="s">
        <v>3026</v>
      </c>
      <c r="B629" t="s">
        <v>3027</v>
      </c>
      <c r="C629" t="s">
        <v>8448</v>
      </c>
      <c r="E629" s="18"/>
    </row>
    <row r="630" spans="1:9" x14ac:dyDescent="0.3">
      <c r="A630" t="s">
        <v>3033</v>
      </c>
      <c r="B630" t="s">
        <v>3034</v>
      </c>
      <c r="C630" t="s">
        <v>8449</v>
      </c>
      <c r="E630" s="18"/>
    </row>
    <row r="631" spans="1:9" x14ac:dyDescent="0.3">
      <c r="A631" t="s">
        <v>3036</v>
      </c>
      <c r="B631" t="s">
        <v>3037</v>
      </c>
      <c r="C631" t="s">
        <v>8450</v>
      </c>
      <c r="D631" t="s">
        <v>7787</v>
      </c>
      <c r="E631" s="18">
        <v>45880</v>
      </c>
    </row>
    <row r="632" spans="1:9" x14ac:dyDescent="0.3">
      <c r="A632" t="s">
        <v>3040</v>
      </c>
      <c r="B632" t="s">
        <v>3041</v>
      </c>
      <c r="C632" t="s">
        <v>8451</v>
      </c>
      <c r="E632" s="18"/>
    </row>
    <row r="633" spans="1:9" x14ac:dyDescent="0.3">
      <c r="A633" t="s">
        <v>3044</v>
      </c>
      <c r="B633" t="s">
        <v>3045</v>
      </c>
      <c r="C633" t="s">
        <v>8452</v>
      </c>
      <c r="E633" s="18"/>
      <c r="F633" s="52" t="s">
        <v>37</v>
      </c>
    </row>
    <row r="634" spans="1:9" x14ac:dyDescent="0.3">
      <c r="A634" t="s">
        <v>3050</v>
      </c>
      <c r="B634" t="s">
        <v>3051</v>
      </c>
      <c r="C634" t="s">
        <v>8453</v>
      </c>
      <c r="D634" t="s">
        <v>7796</v>
      </c>
      <c r="E634" s="18">
        <v>45835</v>
      </c>
    </row>
    <row r="635" spans="1:9" x14ac:dyDescent="0.3">
      <c r="A635" t="s">
        <v>3054</v>
      </c>
      <c r="B635" t="s">
        <v>3055</v>
      </c>
      <c r="C635" t="s">
        <v>8454</v>
      </c>
      <c r="E635" s="18"/>
      <c r="F635" s="52" t="s">
        <v>37</v>
      </c>
    </row>
    <row r="636" spans="1:9" x14ac:dyDescent="0.3">
      <c r="A636" t="s">
        <v>3058</v>
      </c>
      <c r="B636" t="s">
        <v>3059</v>
      </c>
      <c r="C636" t="s">
        <v>8455</v>
      </c>
      <c r="E636" s="18"/>
      <c r="F636" s="52" t="s">
        <v>37</v>
      </c>
    </row>
    <row r="637" spans="1:9" x14ac:dyDescent="0.3">
      <c r="A637" t="s">
        <v>3062</v>
      </c>
      <c r="B637" t="s">
        <v>3063</v>
      </c>
      <c r="C637" t="s">
        <v>8456</v>
      </c>
      <c r="E637" s="18"/>
    </row>
    <row r="638" spans="1:9" x14ac:dyDescent="0.3">
      <c r="A638" t="s">
        <v>3065</v>
      </c>
      <c r="B638" t="s">
        <v>3066</v>
      </c>
      <c r="C638" t="s">
        <v>8457</v>
      </c>
      <c r="E638" s="18"/>
      <c r="I638" t="s">
        <v>8458</v>
      </c>
    </row>
    <row r="639" spans="1:9" x14ac:dyDescent="0.3">
      <c r="A639" t="s">
        <v>3068</v>
      </c>
      <c r="B639" t="s">
        <v>3069</v>
      </c>
      <c r="C639" t="s">
        <v>8459</v>
      </c>
      <c r="D639" t="s">
        <v>7789</v>
      </c>
      <c r="E639" s="18">
        <v>45958</v>
      </c>
    </row>
    <row r="640" spans="1:9" x14ac:dyDescent="0.3">
      <c r="A640" t="s">
        <v>3072</v>
      </c>
      <c r="B640" t="s">
        <v>3073</v>
      </c>
      <c r="C640" t="s">
        <v>8460</v>
      </c>
      <c r="D640" t="s">
        <v>7796</v>
      </c>
      <c r="E640" s="18"/>
    </row>
    <row r="641" spans="1:6" x14ac:dyDescent="0.3">
      <c r="A641" t="s">
        <v>3075</v>
      </c>
      <c r="B641" t="s">
        <v>3076</v>
      </c>
      <c r="C641" t="s">
        <v>8461</v>
      </c>
      <c r="D641" t="s">
        <v>7787</v>
      </c>
      <c r="E641" s="18">
        <v>45947</v>
      </c>
      <c r="F641" s="52" t="s">
        <v>37</v>
      </c>
    </row>
    <row r="642" spans="1:6" x14ac:dyDescent="0.3">
      <c r="A642" t="s">
        <v>3079</v>
      </c>
      <c r="B642" t="s">
        <v>3080</v>
      </c>
      <c r="C642" t="s">
        <v>8462</v>
      </c>
      <c r="D642" t="s">
        <v>7787</v>
      </c>
      <c r="E642" s="18">
        <v>45964</v>
      </c>
    </row>
    <row r="643" spans="1:6" x14ac:dyDescent="0.3">
      <c r="A643" t="s">
        <v>3086</v>
      </c>
      <c r="B643" t="s">
        <v>3087</v>
      </c>
      <c r="C643" t="s">
        <v>8463</v>
      </c>
      <c r="D643" t="s">
        <v>7787</v>
      </c>
      <c r="E643" s="18">
        <v>45833</v>
      </c>
    </row>
    <row r="644" spans="1:6" x14ac:dyDescent="0.3">
      <c r="A644" t="s">
        <v>3090</v>
      </c>
      <c r="B644" t="s">
        <v>3091</v>
      </c>
      <c r="C644" t="s">
        <v>8464</v>
      </c>
      <c r="D644" t="s">
        <v>7785</v>
      </c>
      <c r="E644" s="18">
        <v>45954</v>
      </c>
      <c r="F644" s="52" t="s">
        <v>37</v>
      </c>
    </row>
    <row r="645" spans="1:6" x14ac:dyDescent="0.3">
      <c r="A645" t="s">
        <v>3094</v>
      </c>
      <c r="B645" t="s">
        <v>3095</v>
      </c>
      <c r="C645" t="s">
        <v>8465</v>
      </c>
      <c r="D645" t="s">
        <v>7787</v>
      </c>
      <c r="E645" s="18">
        <v>45897</v>
      </c>
      <c r="F645" s="52" t="s">
        <v>37</v>
      </c>
    </row>
    <row r="646" spans="1:6" x14ac:dyDescent="0.3">
      <c r="A646" t="s">
        <v>3098</v>
      </c>
      <c r="B646" t="s">
        <v>3099</v>
      </c>
      <c r="C646" t="s">
        <v>8466</v>
      </c>
      <c r="D646" t="s">
        <v>7789</v>
      </c>
      <c r="E646" s="18"/>
      <c r="F646" s="52" t="s">
        <v>37</v>
      </c>
    </row>
    <row r="647" spans="1:6" x14ac:dyDescent="0.3">
      <c r="A647" t="s">
        <v>3104</v>
      </c>
      <c r="B647" t="s">
        <v>3105</v>
      </c>
      <c r="C647" t="s">
        <v>8467</v>
      </c>
      <c r="D647" t="s">
        <v>7796</v>
      </c>
      <c r="E647" s="18">
        <v>45804</v>
      </c>
    </row>
    <row r="648" spans="1:6" x14ac:dyDescent="0.3">
      <c r="A648" t="s">
        <v>3107</v>
      </c>
      <c r="B648" t="s">
        <v>3108</v>
      </c>
      <c r="C648" t="s">
        <v>8468</v>
      </c>
      <c r="E648" s="18"/>
      <c r="F648" s="52" t="s">
        <v>37</v>
      </c>
    </row>
    <row r="649" spans="1:6" x14ac:dyDescent="0.3">
      <c r="A649" t="s">
        <v>3113</v>
      </c>
      <c r="B649" t="s">
        <v>3114</v>
      </c>
      <c r="C649" t="s">
        <v>8469</v>
      </c>
      <c r="D649" t="s">
        <v>7912</v>
      </c>
      <c r="E649" s="18"/>
    </row>
    <row r="650" spans="1:6" x14ac:dyDescent="0.3">
      <c r="A650" t="s">
        <v>3116</v>
      </c>
      <c r="B650" t="s">
        <v>3117</v>
      </c>
      <c r="C650" t="s">
        <v>8470</v>
      </c>
      <c r="D650" t="s">
        <v>7787</v>
      </c>
      <c r="E650" s="18">
        <v>45929</v>
      </c>
    </row>
    <row r="651" spans="1:6" x14ac:dyDescent="0.3">
      <c r="A651" t="s">
        <v>3120</v>
      </c>
      <c r="B651" t="s">
        <v>3121</v>
      </c>
      <c r="C651" t="s">
        <v>8471</v>
      </c>
      <c r="D651" t="s">
        <v>7785</v>
      </c>
      <c r="E651" s="18">
        <v>45910</v>
      </c>
    </row>
    <row r="652" spans="1:6" x14ac:dyDescent="0.3">
      <c r="A652" t="s">
        <v>3124</v>
      </c>
      <c r="B652" t="s">
        <v>3125</v>
      </c>
      <c r="C652" t="s">
        <v>8472</v>
      </c>
      <c r="D652" t="s">
        <v>7789</v>
      </c>
      <c r="E652" s="18">
        <v>46006</v>
      </c>
    </row>
    <row r="653" spans="1:6" x14ac:dyDescent="0.3">
      <c r="A653" t="s">
        <v>3128</v>
      </c>
      <c r="B653" t="s">
        <v>3129</v>
      </c>
      <c r="C653" t="s">
        <v>8473</v>
      </c>
      <c r="D653" t="s">
        <v>7789</v>
      </c>
      <c r="E653" s="18">
        <v>45785</v>
      </c>
    </row>
    <row r="654" spans="1:6" x14ac:dyDescent="0.3">
      <c r="A654" t="s">
        <v>3132</v>
      </c>
      <c r="B654" t="s">
        <v>3133</v>
      </c>
      <c r="C654" t="s">
        <v>8474</v>
      </c>
      <c r="E654" s="18"/>
    </row>
    <row r="655" spans="1:6" x14ac:dyDescent="0.3">
      <c r="A655" t="s">
        <v>3137</v>
      </c>
      <c r="B655" t="s">
        <v>3138</v>
      </c>
      <c r="C655" t="s">
        <v>8475</v>
      </c>
      <c r="D655" t="s">
        <v>7785</v>
      </c>
      <c r="E655" s="18">
        <v>45967</v>
      </c>
    </row>
    <row r="656" spans="1:6" x14ac:dyDescent="0.3">
      <c r="A656" t="s">
        <v>3141</v>
      </c>
      <c r="B656" t="s">
        <v>3142</v>
      </c>
      <c r="C656" t="s">
        <v>8476</v>
      </c>
      <c r="D656" t="s">
        <v>7912</v>
      </c>
      <c r="E656" s="18">
        <v>45974</v>
      </c>
    </row>
    <row r="657" spans="1:6" x14ac:dyDescent="0.3">
      <c r="A657" t="s">
        <v>3145</v>
      </c>
      <c r="B657" t="s">
        <v>3146</v>
      </c>
      <c r="C657" t="s">
        <v>8477</v>
      </c>
      <c r="D657" t="s">
        <v>7796</v>
      </c>
      <c r="E657" s="18"/>
    </row>
    <row r="658" spans="1:6" x14ac:dyDescent="0.3">
      <c r="A658" t="s">
        <v>3151</v>
      </c>
      <c r="B658" t="s">
        <v>3152</v>
      </c>
      <c r="C658" t="s">
        <v>8478</v>
      </c>
      <c r="D658" t="s">
        <v>7787</v>
      </c>
      <c r="E658" s="18">
        <v>45986</v>
      </c>
    </row>
    <row r="659" spans="1:6" x14ac:dyDescent="0.3">
      <c r="A659" t="s">
        <v>3158</v>
      </c>
      <c r="B659" t="s">
        <v>3159</v>
      </c>
      <c r="C659" t="s">
        <v>8479</v>
      </c>
      <c r="D659" t="s">
        <v>7787</v>
      </c>
      <c r="E659" s="18">
        <v>45720</v>
      </c>
    </row>
    <row r="660" spans="1:6" x14ac:dyDescent="0.3">
      <c r="A660" t="s">
        <v>3161</v>
      </c>
      <c r="B660" t="s">
        <v>3162</v>
      </c>
      <c r="C660" t="s">
        <v>8480</v>
      </c>
      <c r="E660" s="18"/>
      <c r="F660" s="52" t="s">
        <v>37</v>
      </c>
    </row>
    <row r="661" spans="1:6" x14ac:dyDescent="0.3">
      <c r="A661" t="s">
        <v>3164</v>
      </c>
      <c r="B661" t="s">
        <v>3165</v>
      </c>
      <c r="C661" t="s">
        <v>8481</v>
      </c>
      <c r="E661" s="18"/>
    </row>
    <row r="662" spans="1:6" x14ac:dyDescent="0.3">
      <c r="A662" t="s">
        <v>3168</v>
      </c>
      <c r="B662" t="s">
        <v>3169</v>
      </c>
      <c r="C662" t="s">
        <v>8482</v>
      </c>
      <c r="E662" s="18"/>
    </row>
    <row r="663" spans="1:6" x14ac:dyDescent="0.3">
      <c r="A663" t="s">
        <v>3172</v>
      </c>
      <c r="B663" t="s">
        <v>3173</v>
      </c>
      <c r="C663" t="s">
        <v>8483</v>
      </c>
      <c r="D663" t="s">
        <v>7789</v>
      </c>
      <c r="E663" s="18"/>
    </row>
    <row r="664" spans="1:6" x14ac:dyDescent="0.3">
      <c r="A664" t="s">
        <v>3176</v>
      </c>
      <c r="B664" t="s">
        <v>3177</v>
      </c>
      <c r="C664" t="s">
        <v>8484</v>
      </c>
      <c r="E664" s="18"/>
    </row>
    <row r="665" spans="1:6" x14ac:dyDescent="0.3">
      <c r="A665" t="s">
        <v>3179</v>
      </c>
      <c r="B665" t="s">
        <v>3180</v>
      </c>
      <c r="C665" t="s">
        <v>8485</v>
      </c>
      <c r="D665" t="s">
        <v>7789</v>
      </c>
      <c r="E665" s="18">
        <v>45876</v>
      </c>
    </row>
    <row r="666" spans="1:6" x14ac:dyDescent="0.3">
      <c r="A666" t="s">
        <v>3183</v>
      </c>
      <c r="B666" t="s">
        <v>3184</v>
      </c>
      <c r="C666" t="s">
        <v>8486</v>
      </c>
      <c r="D666" t="s">
        <v>7787</v>
      </c>
      <c r="E666" s="18"/>
    </row>
    <row r="667" spans="1:6" x14ac:dyDescent="0.3">
      <c r="A667" t="s">
        <v>3198</v>
      </c>
      <c r="B667" t="s">
        <v>3199</v>
      </c>
      <c r="C667" t="s">
        <v>8487</v>
      </c>
      <c r="D667" t="s">
        <v>7796</v>
      </c>
      <c r="E667" s="18">
        <v>45777</v>
      </c>
    </row>
    <row r="668" spans="1:6" x14ac:dyDescent="0.3">
      <c r="A668" t="s">
        <v>3205</v>
      </c>
      <c r="B668" t="s">
        <v>3206</v>
      </c>
      <c r="C668" t="s">
        <v>8488</v>
      </c>
      <c r="D668" t="s">
        <v>7789</v>
      </c>
      <c r="E668" s="18">
        <v>45958</v>
      </c>
    </row>
    <row r="669" spans="1:6" x14ac:dyDescent="0.3">
      <c r="A669" t="s">
        <v>3213</v>
      </c>
      <c r="B669" t="s">
        <v>3214</v>
      </c>
      <c r="C669" t="s">
        <v>8489</v>
      </c>
      <c r="D669" t="s">
        <v>7789</v>
      </c>
      <c r="E669" s="18">
        <v>45959</v>
      </c>
    </row>
    <row r="670" spans="1:6" x14ac:dyDescent="0.3">
      <c r="A670" t="s">
        <v>3226</v>
      </c>
      <c r="B670" t="s">
        <v>3227</v>
      </c>
      <c r="C670" t="s">
        <v>8490</v>
      </c>
      <c r="D670" t="s">
        <v>7824</v>
      </c>
      <c r="E670" s="18">
        <v>45875</v>
      </c>
    </row>
    <row r="671" spans="1:6" x14ac:dyDescent="0.3">
      <c r="A671" t="s">
        <v>3230</v>
      </c>
      <c r="B671" t="s">
        <v>3231</v>
      </c>
      <c r="C671" t="s">
        <v>8491</v>
      </c>
      <c r="E671" s="18"/>
    </row>
    <row r="672" spans="1:6" x14ac:dyDescent="0.3">
      <c r="A672" t="s">
        <v>3234</v>
      </c>
      <c r="B672" t="s">
        <v>3235</v>
      </c>
      <c r="C672" t="s">
        <v>8492</v>
      </c>
      <c r="D672" t="s">
        <v>7789</v>
      </c>
      <c r="E672" s="18">
        <v>45769</v>
      </c>
    </row>
    <row r="673" spans="1:6" x14ac:dyDescent="0.3">
      <c r="A673" t="s">
        <v>3240</v>
      </c>
      <c r="B673" t="s">
        <v>3241</v>
      </c>
      <c r="C673" t="s">
        <v>8493</v>
      </c>
      <c r="D673" t="s">
        <v>7787</v>
      </c>
      <c r="E673" s="18"/>
    </row>
    <row r="674" spans="1:6" x14ac:dyDescent="0.3">
      <c r="A674" t="s">
        <v>3251</v>
      </c>
      <c r="B674" t="s">
        <v>3252</v>
      </c>
      <c r="C674" t="s">
        <v>8494</v>
      </c>
      <c r="D674" t="s">
        <v>7787</v>
      </c>
      <c r="E674" s="18">
        <v>45783</v>
      </c>
    </row>
    <row r="675" spans="1:6" x14ac:dyDescent="0.3">
      <c r="A675" t="s">
        <v>3255</v>
      </c>
      <c r="B675" t="s">
        <v>3256</v>
      </c>
      <c r="C675" t="s">
        <v>8495</v>
      </c>
      <c r="D675" t="s">
        <v>7789</v>
      </c>
      <c r="E675" s="18">
        <v>45779</v>
      </c>
    </row>
    <row r="676" spans="1:6" x14ac:dyDescent="0.3">
      <c r="A676" t="s">
        <v>3259</v>
      </c>
      <c r="B676" t="s">
        <v>3260</v>
      </c>
      <c r="C676" t="s">
        <v>8496</v>
      </c>
      <c r="E676" s="18"/>
    </row>
    <row r="677" spans="1:6" x14ac:dyDescent="0.3">
      <c r="A677" t="s">
        <v>3262</v>
      </c>
      <c r="B677" t="s">
        <v>3263</v>
      </c>
      <c r="C677" t="s">
        <v>8497</v>
      </c>
      <c r="D677" t="s">
        <v>7789</v>
      </c>
      <c r="E677" s="18">
        <v>45782</v>
      </c>
    </row>
    <row r="678" spans="1:6" x14ac:dyDescent="0.3">
      <c r="A678" t="s">
        <v>3272</v>
      </c>
      <c r="B678" t="s">
        <v>3273</v>
      </c>
      <c r="C678" t="s">
        <v>8498</v>
      </c>
      <c r="D678" t="s">
        <v>7787</v>
      </c>
      <c r="E678" s="18">
        <v>45897</v>
      </c>
    </row>
    <row r="679" spans="1:6" x14ac:dyDescent="0.3">
      <c r="A679" t="s">
        <v>3280</v>
      </c>
      <c r="B679" t="s">
        <v>3281</v>
      </c>
      <c r="C679" t="s">
        <v>8499</v>
      </c>
      <c r="E679" s="18"/>
      <c r="F679" s="52" t="s">
        <v>37</v>
      </c>
    </row>
    <row r="680" spans="1:6" x14ac:dyDescent="0.3">
      <c r="A680" t="s">
        <v>3284</v>
      </c>
      <c r="B680" t="s">
        <v>3285</v>
      </c>
      <c r="C680" t="s">
        <v>8500</v>
      </c>
      <c r="D680" t="s">
        <v>7787</v>
      </c>
      <c r="E680" s="18">
        <v>45742</v>
      </c>
    </row>
    <row r="681" spans="1:6" x14ac:dyDescent="0.3">
      <c r="A681" t="s">
        <v>3287</v>
      </c>
      <c r="B681" t="s">
        <v>3288</v>
      </c>
      <c r="C681" t="s">
        <v>8501</v>
      </c>
      <c r="D681" t="s">
        <v>7796</v>
      </c>
      <c r="E681" s="18">
        <v>46058</v>
      </c>
    </row>
    <row r="682" spans="1:6" x14ac:dyDescent="0.3">
      <c r="A682" t="s">
        <v>3291</v>
      </c>
      <c r="B682" t="s">
        <v>3292</v>
      </c>
      <c r="C682" t="s">
        <v>8502</v>
      </c>
      <c r="D682" t="s">
        <v>7785</v>
      </c>
      <c r="E682" s="18">
        <v>45734</v>
      </c>
    </row>
    <row r="683" spans="1:6" x14ac:dyDescent="0.3">
      <c r="A683" t="s">
        <v>3299</v>
      </c>
      <c r="B683" t="s">
        <v>3300</v>
      </c>
      <c r="C683" t="s">
        <v>8503</v>
      </c>
      <c r="E683" s="18"/>
    </row>
    <row r="684" spans="1:6" x14ac:dyDescent="0.3">
      <c r="A684" t="s">
        <v>3303</v>
      </c>
      <c r="B684" t="s">
        <v>3304</v>
      </c>
      <c r="C684" t="s">
        <v>8504</v>
      </c>
      <c r="D684" t="s">
        <v>7785</v>
      </c>
      <c r="E684" s="18">
        <v>45742</v>
      </c>
    </row>
    <row r="685" spans="1:6" x14ac:dyDescent="0.3">
      <c r="A685" t="s">
        <v>3311</v>
      </c>
      <c r="B685" t="s">
        <v>3312</v>
      </c>
      <c r="C685" t="s">
        <v>8505</v>
      </c>
      <c r="D685" t="s">
        <v>7846</v>
      </c>
      <c r="E685" s="18">
        <v>45826</v>
      </c>
    </row>
    <row r="686" spans="1:6" x14ac:dyDescent="0.3">
      <c r="A686" t="s">
        <v>3315</v>
      </c>
      <c r="B686" t="s">
        <v>3316</v>
      </c>
      <c r="C686" t="s">
        <v>8506</v>
      </c>
      <c r="D686" t="s">
        <v>7787</v>
      </c>
      <c r="E686" s="18"/>
    </row>
    <row r="687" spans="1:6" x14ac:dyDescent="0.3">
      <c r="A687" t="s">
        <v>3322</v>
      </c>
      <c r="B687" t="s">
        <v>3323</v>
      </c>
      <c r="C687" t="s">
        <v>8507</v>
      </c>
      <c r="D687" t="s">
        <v>7789</v>
      </c>
      <c r="E687" s="18">
        <v>45938</v>
      </c>
    </row>
    <row r="688" spans="1:6" x14ac:dyDescent="0.3">
      <c r="A688" t="s">
        <v>3326</v>
      </c>
      <c r="B688" t="s">
        <v>3327</v>
      </c>
      <c r="C688" t="s">
        <v>8508</v>
      </c>
      <c r="D688" t="s">
        <v>7787</v>
      </c>
      <c r="E688" s="18"/>
      <c r="F688" s="52" t="s">
        <v>37</v>
      </c>
    </row>
    <row r="689" spans="1:6" x14ac:dyDescent="0.3">
      <c r="A689" t="s">
        <v>3330</v>
      </c>
      <c r="B689" t="s">
        <v>3331</v>
      </c>
      <c r="C689" t="s">
        <v>8509</v>
      </c>
      <c r="D689" t="s">
        <v>7787</v>
      </c>
      <c r="E689" s="18">
        <v>45896</v>
      </c>
      <c r="F689" s="52" t="s">
        <v>37</v>
      </c>
    </row>
    <row r="690" spans="1:6" x14ac:dyDescent="0.3">
      <c r="A690" t="s">
        <v>3334</v>
      </c>
      <c r="B690" t="s">
        <v>3335</v>
      </c>
      <c r="C690" t="s">
        <v>8510</v>
      </c>
      <c r="D690" t="s">
        <v>7787</v>
      </c>
      <c r="E690" s="18">
        <v>45845</v>
      </c>
    </row>
    <row r="691" spans="1:6" x14ac:dyDescent="0.3">
      <c r="A691" t="s">
        <v>3338</v>
      </c>
      <c r="B691" t="s">
        <v>3339</v>
      </c>
      <c r="C691" t="s">
        <v>8511</v>
      </c>
      <c r="E691" s="18"/>
    </row>
    <row r="692" spans="1:6" x14ac:dyDescent="0.3">
      <c r="A692" t="s">
        <v>3341</v>
      </c>
      <c r="B692" t="s">
        <v>3342</v>
      </c>
      <c r="C692" t="s">
        <v>8512</v>
      </c>
      <c r="E692" s="18"/>
    </row>
    <row r="693" spans="1:6" x14ac:dyDescent="0.3">
      <c r="A693" t="s">
        <v>3344</v>
      </c>
      <c r="B693" t="s">
        <v>3345</v>
      </c>
      <c r="C693" t="s">
        <v>8513</v>
      </c>
      <c r="D693" t="s">
        <v>7787</v>
      </c>
      <c r="E693" s="18">
        <v>45993</v>
      </c>
    </row>
    <row r="694" spans="1:6" x14ac:dyDescent="0.3">
      <c r="A694" t="s">
        <v>3348</v>
      </c>
      <c r="B694" t="s">
        <v>3349</v>
      </c>
      <c r="C694" t="s">
        <v>8514</v>
      </c>
      <c r="E694" s="18"/>
    </row>
    <row r="695" spans="1:6" x14ac:dyDescent="0.3">
      <c r="A695" t="s">
        <v>3353</v>
      </c>
      <c r="B695" t="s">
        <v>3354</v>
      </c>
      <c r="C695" t="s">
        <v>8515</v>
      </c>
      <c r="D695" t="s">
        <v>7787</v>
      </c>
      <c r="E695" s="18">
        <v>45958</v>
      </c>
      <c r="F695" s="52" t="s">
        <v>37</v>
      </c>
    </row>
    <row r="696" spans="1:6" x14ac:dyDescent="0.3">
      <c r="A696" t="s">
        <v>3357</v>
      </c>
      <c r="B696" t="s">
        <v>3358</v>
      </c>
      <c r="C696" t="s">
        <v>8516</v>
      </c>
      <c r="E696" s="18"/>
    </row>
    <row r="697" spans="1:6" x14ac:dyDescent="0.3">
      <c r="A697" t="s">
        <v>3360</v>
      </c>
      <c r="B697" t="s">
        <v>3361</v>
      </c>
      <c r="C697" t="s">
        <v>8517</v>
      </c>
      <c r="D697" t="s">
        <v>7787</v>
      </c>
      <c r="E697" s="18">
        <v>45852</v>
      </c>
    </row>
    <row r="698" spans="1:6" x14ac:dyDescent="0.3">
      <c r="A698" t="s">
        <v>3364</v>
      </c>
      <c r="B698" t="s">
        <v>3365</v>
      </c>
      <c r="C698" t="s">
        <v>8518</v>
      </c>
      <c r="E698" s="18"/>
    </row>
    <row r="699" spans="1:6" x14ac:dyDescent="0.3">
      <c r="B699" t="s">
        <v>8519</v>
      </c>
      <c r="C699" t="s">
        <v>8520</v>
      </c>
      <c r="D699" t="s">
        <v>7787</v>
      </c>
      <c r="E699" s="18">
        <v>45728</v>
      </c>
    </row>
    <row r="700" spans="1:6" x14ac:dyDescent="0.3">
      <c r="A700" t="s">
        <v>3367</v>
      </c>
      <c r="B700" t="s">
        <v>3368</v>
      </c>
      <c r="C700" t="s">
        <v>8521</v>
      </c>
      <c r="E700" s="18"/>
    </row>
    <row r="701" spans="1:6" x14ac:dyDescent="0.3">
      <c r="A701" t="s">
        <v>3370</v>
      </c>
      <c r="B701" t="s">
        <v>3371</v>
      </c>
      <c r="C701" t="s">
        <v>8522</v>
      </c>
      <c r="D701" t="s">
        <v>7787</v>
      </c>
      <c r="E701" s="18">
        <v>45929</v>
      </c>
    </row>
    <row r="702" spans="1:6" x14ac:dyDescent="0.3">
      <c r="A702" t="s">
        <v>3376</v>
      </c>
      <c r="B702" t="s">
        <v>3377</v>
      </c>
      <c r="C702" t="s">
        <v>8523</v>
      </c>
      <c r="D702" t="s">
        <v>7787</v>
      </c>
      <c r="E702" s="18"/>
    </row>
    <row r="703" spans="1:6" x14ac:dyDescent="0.3">
      <c r="A703" t="s">
        <v>3380</v>
      </c>
      <c r="B703" t="s">
        <v>3381</v>
      </c>
      <c r="C703" t="s">
        <v>8524</v>
      </c>
      <c r="D703" t="s">
        <v>7787</v>
      </c>
      <c r="E703" s="18">
        <v>45929</v>
      </c>
      <c r="F703" s="52" t="s">
        <v>37</v>
      </c>
    </row>
    <row r="704" spans="1:6" x14ac:dyDescent="0.3">
      <c r="A704" t="s">
        <v>3391</v>
      </c>
      <c r="B704" t="s">
        <v>3392</v>
      </c>
      <c r="C704" t="s">
        <v>8525</v>
      </c>
      <c r="D704" t="s">
        <v>7785</v>
      </c>
      <c r="E704" s="18">
        <v>45950</v>
      </c>
      <c r="F704" s="52" t="s">
        <v>37</v>
      </c>
    </row>
    <row r="705" spans="1:6" x14ac:dyDescent="0.3">
      <c r="A705" t="s">
        <v>3397</v>
      </c>
      <c r="B705" t="s">
        <v>3398</v>
      </c>
      <c r="C705" t="s">
        <v>8526</v>
      </c>
      <c r="E705" s="18"/>
    </row>
    <row r="706" spans="1:6" x14ac:dyDescent="0.3">
      <c r="A706" t="s">
        <v>3401</v>
      </c>
      <c r="B706" t="s">
        <v>3402</v>
      </c>
      <c r="C706" t="s">
        <v>8527</v>
      </c>
      <c r="D706" t="s">
        <v>7787</v>
      </c>
      <c r="E706" s="18">
        <v>45719</v>
      </c>
    </row>
    <row r="707" spans="1:6" x14ac:dyDescent="0.3">
      <c r="A707" t="s">
        <v>3404</v>
      </c>
      <c r="B707" t="s">
        <v>3405</v>
      </c>
      <c r="C707" t="s">
        <v>8528</v>
      </c>
      <c r="D707" t="s">
        <v>7789</v>
      </c>
      <c r="E707" s="18"/>
    </row>
    <row r="708" spans="1:6" x14ac:dyDescent="0.3">
      <c r="A708" t="s">
        <v>3408</v>
      </c>
      <c r="B708" t="s">
        <v>3409</v>
      </c>
      <c r="C708" t="s">
        <v>8529</v>
      </c>
      <c r="E708" s="18"/>
      <c r="F708" s="52" t="s">
        <v>37</v>
      </c>
    </row>
    <row r="709" spans="1:6" x14ac:dyDescent="0.3">
      <c r="A709" t="s">
        <v>3415</v>
      </c>
      <c r="B709" t="s">
        <v>3416</v>
      </c>
      <c r="C709" t="s">
        <v>8530</v>
      </c>
      <c r="D709" t="s">
        <v>7785</v>
      </c>
      <c r="E709" s="18"/>
    </row>
    <row r="710" spans="1:6" x14ac:dyDescent="0.3">
      <c r="A710" t="s">
        <v>3419</v>
      </c>
      <c r="B710" t="s">
        <v>3420</v>
      </c>
      <c r="C710" t="s">
        <v>8531</v>
      </c>
      <c r="D710" t="s">
        <v>7787</v>
      </c>
      <c r="E710" s="18">
        <v>45818</v>
      </c>
    </row>
    <row r="711" spans="1:6" x14ac:dyDescent="0.3">
      <c r="A711" t="s">
        <v>3422</v>
      </c>
      <c r="B711" t="s">
        <v>3423</v>
      </c>
      <c r="C711" t="s">
        <v>8532</v>
      </c>
      <c r="D711" t="s">
        <v>7785</v>
      </c>
      <c r="E711" s="18"/>
      <c r="F711" s="52" t="s">
        <v>37</v>
      </c>
    </row>
    <row r="712" spans="1:6" x14ac:dyDescent="0.3">
      <c r="A712" t="s">
        <v>3425</v>
      </c>
      <c r="B712" t="s">
        <v>3426</v>
      </c>
      <c r="C712" t="s">
        <v>8533</v>
      </c>
      <c r="E712" s="18"/>
    </row>
    <row r="713" spans="1:6" x14ac:dyDescent="0.3">
      <c r="B713" t="s">
        <v>8534</v>
      </c>
      <c r="C713" t="s">
        <v>8535</v>
      </c>
      <c r="D713" t="s">
        <v>7789</v>
      </c>
      <c r="E713" s="18">
        <v>45763</v>
      </c>
    </row>
    <row r="714" spans="1:6" x14ac:dyDescent="0.3">
      <c r="A714" t="s">
        <v>3429</v>
      </c>
      <c r="B714" t="s">
        <v>3430</v>
      </c>
      <c r="C714" t="s">
        <v>8536</v>
      </c>
      <c r="D714" t="s">
        <v>7787</v>
      </c>
      <c r="E714" s="18">
        <v>45944</v>
      </c>
      <c r="F714" s="52" t="s">
        <v>37</v>
      </c>
    </row>
    <row r="715" spans="1:6" x14ac:dyDescent="0.3">
      <c r="A715" t="s">
        <v>3436</v>
      </c>
      <c r="B715" t="s">
        <v>3437</v>
      </c>
      <c r="C715" t="s">
        <v>8537</v>
      </c>
      <c r="D715" t="s">
        <v>7787</v>
      </c>
      <c r="E715" s="18">
        <v>45961</v>
      </c>
      <c r="F715" s="52" t="s">
        <v>37</v>
      </c>
    </row>
    <row r="716" spans="1:6" x14ac:dyDescent="0.3">
      <c r="A716" t="s">
        <v>3443</v>
      </c>
      <c r="B716" t="s">
        <v>3444</v>
      </c>
      <c r="C716" t="s">
        <v>8538</v>
      </c>
      <c r="D716" t="s">
        <v>7789</v>
      </c>
      <c r="E716" s="18">
        <v>45953</v>
      </c>
      <c r="F716" s="52" t="s">
        <v>37</v>
      </c>
    </row>
    <row r="717" spans="1:6" x14ac:dyDescent="0.3">
      <c r="B717" t="s">
        <v>8539</v>
      </c>
      <c r="C717" t="s">
        <v>8540</v>
      </c>
      <c r="D717" t="s">
        <v>7787</v>
      </c>
      <c r="E717" s="18"/>
    </row>
    <row r="718" spans="1:6" x14ac:dyDescent="0.3">
      <c r="A718" t="s">
        <v>3453</v>
      </c>
      <c r="B718" t="s">
        <v>3454</v>
      </c>
      <c r="C718" t="s">
        <v>8541</v>
      </c>
      <c r="D718" t="s">
        <v>7912</v>
      </c>
      <c r="E718" s="18"/>
      <c r="F718" s="52" t="s">
        <v>37</v>
      </c>
    </row>
    <row r="719" spans="1:6" x14ac:dyDescent="0.3">
      <c r="A719" t="s">
        <v>3461</v>
      </c>
      <c r="B719" t="s">
        <v>3462</v>
      </c>
      <c r="C719" t="s">
        <v>8542</v>
      </c>
      <c r="D719" t="s">
        <v>7787</v>
      </c>
      <c r="E719" s="18"/>
      <c r="F719" s="52" t="s">
        <v>37</v>
      </c>
    </row>
    <row r="720" spans="1:6" x14ac:dyDescent="0.3">
      <c r="A720" t="s">
        <v>3468</v>
      </c>
      <c r="B720" t="s">
        <v>3469</v>
      </c>
      <c r="C720" t="s">
        <v>8543</v>
      </c>
      <c r="E720" s="18"/>
      <c r="F720" s="52" t="s">
        <v>37</v>
      </c>
    </row>
    <row r="721" spans="1:6" x14ac:dyDescent="0.3">
      <c r="A721" t="s">
        <v>3471</v>
      </c>
      <c r="B721" t="s">
        <v>3472</v>
      </c>
      <c r="C721" t="s">
        <v>8544</v>
      </c>
      <c r="E721" s="18"/>
    </row>
    <row r="722" spans="1:6" x14ac:dyDescent="0.3">
      <c r="A722" t="s">
        <v>3474</v>
      </c>
      <c r="B722" t="s">
        <v>3475</v>
      </c>
      <c r="C722" t="s">
        <v>8545</v>
      </c>
      <c r="E722" s="18">
        <v>45944</v>
      </c>
      <c r="F722" s="52" t="s">
        <v>37</v>
      </c>
    </row>
    <row r="723" spans="1:6" x14ac:dyDescent="0.3">
      <c r="A723" t="s">
        <v>3478</v>
      </c>
      <c r="B723" t="s">
        <v>3479</v>
      </c>
      <c r="C723" t="s">
        <v>8546</v>
      </c>
      <c r="E723" s="18"/>
    </row>
    <row r="724" spans="1:6" x14ac:dyDescent="0.3">
      <c r="A724" t="s">
        <v>3481</v>
      </c>
      <c r="B724" t="s">
        <v>3482</v>
      </c>
      <c r="C724" t="s">
        <v>8547</v>
      </c>
      <c r="E724" s="18"/>
    </row>
    <row r="725" spans="1:6" x14ac:dyDescent="0.3">
      <c r="A725" t="s">
        <v>3485</v>
      </c>
      <c r="B725" t="s">
        <v>3486</v>
      </c>
      <c r="C725" t="s">
        <v>8548</v>
      </c>
      <c r="E725" s="18"/>
    </row>
    <row r="726" spans="1:6" x14ac:dyDescent="0.3">
      <c r="A726" t="s">
        <v>3488</v>
      </c>
      <c r="B726" t="s">
        <v>3489</v>
      </c>
      <c r="C726" t="s">
        <v>8549</v>
      </c>
      <c r="D726" t="s">
        <v>7787</v>
      </c>
      <c r="E726" s="18">
        <v>45950</v>
      </c>
    </row>
    <row r="727" spans="1:6" x14ac:dyDescent="0.3">
      <c r="A727" t="s">
        <v>3492</v>
      </c>
      <c r="B727" t="s">
        <v>3493</v>
      </c>
      <c r="C727" t="s">
        <v>8550</v>
      </c>
      <c r="D727" t="s">
        <v>7787</v>
      </c>
      <c r="E727" s="18">
        <v>45793</v>
      </c>
    </row>
    <row r="728" spans="1:6" x14ac:dyDescent="0.3">
      <c r="A728" t="s">
        <v>3495</v>
      </c>
      <c r="B728" t="s">
        <v>3496</v>
      </c>
      <c r="C728" t="s">
        <v>8551</v>
      </c>
      <c r="D728" t="s">
        <v>7798</v>
      </c>
      <c r="E728" s="18">
        <v>45820</v>
      </c>
    </row>
    <row r="729" spans="1:6" x14ac:dyDescent="0.3">
      <c r="A729" t="s">
        <v>3499</v>
      </c>
      <c r="B729" t="s">
        <v>3500</v>
      </c>
      <c r="C729" t="s">
        <v>8552</v>
      </c>
      <c r="D729" t="s">
        <v>7787</v>
      </c>
      <c r="E729" s="18">
        <v>45783</v>
      </c>
    </row>
    <row r="730" spans="1:6" x14ac:dyDescent="0.3">
      <c r="A730" t="s">
        <v>3502</v>
      </c>
      <c r="B730" t="s">
        <v>3503</v>
      </c>
      <c r="C730" t="s">
        <v>8553</v>
      </c>
      <c r="D730" t="s">
        <v>7787</v>
      </c>
      <c r="E730" s="18">
        <v>45936</v>
      </c>
    </row>
    <row r="731" spans="1:6" x14ac:dyDescent="0.3">
      <c r="A731" t="s">
        <v>3509</v>
      </c>
      <c r="B731" t="s">
        <v>3510</v>
      </c>
      <c r="C731" t="s">
        <v>8554</v>
      </c>
      <c r="E731" s="18"/>
    </row>
    <row r="732" spans="1:6" x14ac:dyDescent="0.3">
      <c r="A732" t="s">
        <v>3512</v>
      </c>
      <c r="B732" t="s">
        <v>3513</v>
      </c>
      <c r="C732" t="s">
        <v>8555</v>
      </c>
      <c r="E732" s="18"/>
    </row>
    <row r="733" spans="1:6" x14ac:dyDescent="0.3">
      <c r="A733" t="s">
        <v>3516</v>
      </c>
      <c r="B733" t="s">
        <v>3517</v>
      </c>
      <c r="C733" t="s">
        <v>8556</v>
      </c>
      <c r="D733" t="s">
        <v>7787</v>
      </c>
      <c r="E733" s="18">
        <v>45959</v>
      </c>
      <c r="F733" s="52" t="s">
        <v>37</v>
      </c>
    </row>
    <row r="734" spans="1:6" x14ac:dyDescent="0.3">
      <c r="A734" t="s">
        <v>3520</v>
      </c>
      <c r="B734" t="s">
        <v>3521</v>
      </c>
      <c r="C734" t="s">
        <v>8557</v>
      </c>
      <c r="D734" t="s">
        <v>7785</v>
      </c>
      <c r="E734" s="18">
        <v>45735</v>
      </c>
    </row>
    <row r="735" spans="1:6" x14ac:dyDescent="0.3">
      <c r="A735" t="s">
        <v>3542</v>
      </c>
      <c r="B735" t="s">
        <v>3543</v>
      </c>
      <c r="C735" t="s">
        <v>8558</v>
      </c>
      <c r="E735" s="18"/>
    </row>
    <row r="736" spans="1:6" x14ac:dyDescent="0.3">
      <c r="A736" t="s">
        <v>3548</v>
      </c>
      <c r="B736" t="s">
        <v>3549</v>
      </c>
      <c r="C736" t="s">
        <v>8559</v>
      </c>
      <c r="D736" t="s">
        <v>7796</v>
      </c>
      <c r="E736" s="18">
        <v>45972</v>
      </c>
    </row>
    <row r="737" spans="1:6" x14ac:dyDescent="0.3">
      <c r="A737" t="s">
        <v>3558</v>
      </c>
      <c r="B737" t="s">
        <v>3559</v>
      </c>
      <c r="C737" t="s">
        <v>8560</v>
      </c>
      <c r="D737" t="s">
        <v>7785</v>
      </c>
      <c r="E737" s="18">
        <v>45961</v>
      </c>
      <c r="F737" s="52" t="s">
        <v>37</v>
      </c>
    </row>
    <row r="738" spans="1:6" x14ac:dyDescent="0.3">
      <c r="A738" t="s">
        <v>3562</v>
      </c>
      <c r="B738" t="s">
        <v>3563</v>
      </c>
      <c r="C738" t="s">
        <v>8561</v>
      </c>
      <c r="D738" t="s">
        <v>7789</v>
      </c>
      <c r="E738" s="18"/>
    </row>
    <row r="739" spans="1:6" x14ac:dyDescent="0.3">
      <c r="A739" t="s">
        <v>3565</v>
      </c>
      <c r="B739" t="s">
        <v>3566</v>
      </c>
      <c r="C739" t="s">
        <v>8562</v>
      </c>
      <c r="E739" s="18"/>
    </row>
    <row r="740" spans="1:6" x14ac:dyDescent="0.3">
      <c r="A740" t="s">
        <v>3568</v>
      </c>
      <c r="B740" t="s">
        <v>3569</v>
      </c>
      <c r="C740" t="s">
        <v>8563</v>
      </c>
      <c r="D740" t="s">
        <v>7785</v>
      </c>
      <c r="E740" s="18"/>
    </row>
    <row r="741" spans="1:6" x14ac:dyDescent="0.3">
      <c r="A741" t="s">
        <v>3580</v>
      </c>
      <c r="B741" t="s">
        <v>3581</v>
      </c>
      <c r="C741" t="s">
        <v>8564</v>
      </c>
      <c r="E741" s="18"/>
    </row>
    <row r="742" spans="1:6" x14ac:dyDescent="0.3">
      <c r="A742" t="s">
        <v>3583</v>
      </c>
      <c r="B742" t="s">
        <v>3584</v>
      </c>
      <c r="C742" t="s">
        <v>8565</v>
      </c>
      <c r="D742" t="s">
        <v>7789</v>
      </c>
      <c r="E742" s="18">
        <v>45744</v>
      </c>
    </row>
    <row r="743" spans="1:6" x14ac:dyDescent="0.3">
      <c r="A743" t="s">
        <v>3587</v>
      </c>
      <c r="B743" t="s">
        <v>3588</v>
      </c>
      <c r="C743" t="s">
        <v>8566</v>
      </c>
      <c r="D743" t="s">
        <v>7789</v>
      </c>
      <c r="E743" s="18"/>
    </row>
    <row r="744" spans="1:6" x14ac:dyDescent="0.3">
      <c r="A744" t="s">
        <v>3591</v>
      </c>
      <c r="B744" t="s">
        <v>3592</v>
      </c>
      <c r="C744" t="s">
        <v>8558</v>
      </c>
      <c r="E744" s="18"/>
    </row>
    <row r="745" spans="1:6" x14ac:dyDescent="0.3">
      <c r="A745" t="s">
        <v>3595</v>
      </c>
      <c r="B745" t="s">
        <v>3596</v>
      </c>
      <c r="C745" t="s">
        <v>8567</v>
      </c>
      <c r="D745" t="s">
        <v>7912</v>
      </c>
      <c r="E745" s="18"/>
      <c r="F745" s="52" t="s">
        <v>37</v>
      </c>
    </row>
    <row r="746" spans="1:6" x14ac:dyDescent="0.3">
      <c r="A746" t="s">
        <v>3598</v>
      </c>
      <c r="B746" t="s">
        <v>3599</v>
      </c>
      <c r="C746" t="s">
        <v>8568</v>
      </c>
      <c r="E746" s="18"/>
    </row>
    <row r="747" spans="1:6" x14ac:dyDescent="0.3">
      <c r="A747" t="s">
        <v>3601</v>
      </c>
      <c r="B747" t="s">
        <v>3602</v>
      </c>
      <c r="C747" t="s">
        <v>8569</v>
      </c>
      <c r="E747" s="18"/>
    </row>
    <row r="748" spans="1:6" x14ac:dyDescent="0.3">
      <c r="A748" t="s">
        <v>3604</v>
      </c>
      <c r="B748" t="s">
        <v>3605</v>
      </c>
      <c r="C748" t="s">
        <v>8570</v>
      </c>
      <c r="E748" s="18"/>
    </row>
    <row r="749" spans="1:6" x14ac:dyDescent="0.3">
      <c r="A749" t="s">
        <v>3608</v>
      </c>
      <c r="B749" t="s">
        <v>3609</v>
      </c>
      <c r="C749" t="s">
        <v>8571</v>
      </c>
      <c r="D749" t="s">
        <v>7787</v>
      </c>
      <c r="E749" s="18"/>
    </row>
    <row r="750" spans="1:6" x14ac:dyDescent="0.3">
      <c r="A750" t="s">
        <v>3611</v>
      </c>
      <c r="B750" t="s">
        <v>3612</v>
      </c>
      <c r="C750" t="s">
        <v>8572</v>
      </c>
      <c r="D750" t="s">
        <v>7787</v>
      </c>
      <c r="E750" s="18"/>
    </row>
    <row r="751" spans="1:6" x14ac:dyDescent="0.3">
      <c r="A751" t="s">
        <v>3615</v>
      </c>
      <c r="B751" t="s">
        <v>3616</v>
      </c>
      <c r="C751" t="s">
        <v>8573</v>
      </c>
      <c r="E751" s="18"/>
    </row>
    <row r="752" spans="1:6" x14ac:dyDescent="0.3">
      <c r="A752" t="s">
        <v>3618</v>
      </c>
      <c r="B752" t="s">
        <v>3619</v>
      </c>
      <c r="C752" t="s">
        <v>8574</v>
      </c>
      <c r="E752" s="18"/>
    </row>
    <row r="753" spans="1:6" x14ac:dyDescent="0.3">
      <c r="B753" t="s">
        <v>8575</v>
      </c>
      <c r="C753" t="s">
        <v>8576</v>
      </c>
      <c r="E753" s="18"/>
    </row>
    <row r="754" spans="1:6" x14ac:dyDescent="0.3">
      <c r="A754" t="s">
        <v>3622</v>
      </c>
      <c r="B754" t="s">
        <v>3623</v>
      </c>
      <c r="C754" t="s">
        <v>8577</v>
      </c>
      <c r="D754" t="s">
        <v>7787</v>
      </c>
      <c r="E754" s="18">
        <v>45897</v>
      </c>
    </row>
    <row r="755" spans="1:6" x14ac:dyDescent="0.3">
      <c r="A755" t="s">
        <v>3629</v>
      </c>
      <c r="B755" t="s">
        <v>3630</v>
      </c>
      <c r="C755" t="s">
        <v>8578</v>
      </c>
      <c r="D755" t="s">
        <v>7785</v>
      </c>
      <c r="E755" s="18">
        <v>45966</v>
      </c>
      <c r="F755" s="52" t="s">
        <v>37</v>
      </c>
    </row>
    <row r="756" spans="1:6" x14ac:dyDescent="0.3">
      <c r="A756" t="s">
        <v>3639</v>
      </c>
      <c r="B756" t="s">
        <v>3640</v>
      </c>
      <c r="C756" t="s">
        <v>8579</v>
      </c>
      <c r="E756" s="18"/>
    </row>
    <row r="757" spans="1:6" x14ac:dyDescent="0.3">
      <c r="A757" t="s">
        <v>3643</v>
      </c>
      <c r="B757" t="s">
        <v>3644</v>
      </c>
      <c r="C757" t="s">
        <v>8580</v>
      </c>
      <c r="D757" t="s">
        <v>7787</v>
      </c>
      <c r="E757" s="18">
        <v>45817</v>
      </c>
    </row>
    <row r="758" spans="1:6" x14ac:dyDescent="0.3">
      <c r="A758" t="s">
        <v>3647</v>
      </c>
      <c r="B758" t="s">
        <v>3648</v>
      </c>
      <c r="C758" t="s">
        <v>8581</v>
      </c>
      <c r="D758" t="s">
        <v>7789</v>
      </c>
      <c r="E758" s="18">
        <v>45904</v>
      </c>
    </row>
    <row r="759" spans="1:6" x14ac:dyDescent="0.3">
      <c r="A759" t="s">
        <v>3654</v>
      </c>
      <c r="B759" t="s">
        <v>3655</v>
      </c>
      <c r="C759" t="s">
        <v>8582</v>
      </c>
      <c r="E759" s="18"/>
    </row>
    <row r="760" spans="1:6" x14ac:dyDescent="0.3">
      <c r="A760" t="s">
        <v>3658</v>
      </c>
      <c r="B760" t="s">
        <v>3659</v>
      </c>
      <c r="C760" t="s">
        <v>8583</v>
      </c>
      <c r="E760" s="18"/>
    </row>
    <row r="761" spans="1:6" x14ac:dyDescent="0.3">
      <c r="A761" t="s">
        <v>3662</v>
      </c>
      <c r="B761" t="s">
        <v>3663</v>
      </c>
      <c r="C761" t="s">
        <v>8584</v>
      </c>
      <c r="D761" t="s">
        <v>7787</v>
      </c>
      <c r="E761" s="18"/>
    </row>
    <row r="762" spans="1:6" x14ac:dyDescent="0.3">
      <c r="A762" t="s">
        <v>3665</v>
      </c>
      <c r="B762" t="s">
        <v>3666</v>
      </c>
      <c r="C762" t="s">
        <v>8585</v>
      </c>
      <c r="D762" t="s">
        <v>7787</v>
      </c>
      <c r="E762" s="18">
        <v>46010</v>
      </c>
    </row>
    <row r="763" spans="1:6" x14ac:dyDescent="0.3">
      <c r="A763" t="s">
        <v>3669</v>
      </c>
      <c r="B763" t="s">
        <v>3670</v>
      </c>
      <c r="C763" t="s">
        <v>8586</v>
      </c>
      <c r="D763" t="s">
        <v>7787</v>
      </c>
      <c r="E763" s="18">
        <v>45817</v>
      </c>
    </row>
    <row r="764" spans="1:6" x14ac:dyDescent="0.3">
      <c r="A764" t="s">
        <v>3673</v>
      </c>
      <c r="B764" t="s">
        <v>3674</v>
      </c>
      <c r="C764" t="s">
        <v>8587</v>
      </c>
      <c r="E764" s="18"/>
      <c r="F764" s="52" t="s">
        <v>37</v>
      </c>
    </row>
    <row r="765" spans="1:6" x14ac:dyDescent="0.3">
      <c r="A765" t="s">
        <v>3687</v>
      </c>
      <c r="B765" t="s">
        <v>3688</v>
      </c>
      <c r="C765" t="s">
        <v>8588</v>
      </c>
      <c r="D765" t="s">
        <v>7785</v>
      </c>
      <c r="E765" s="18">
        <v>45825</v>
      </c>
    </row>
    <row r="766" spans="1:6" x14ac:dyDescent="0.3">
      <c r="A766" t="s">
        <v>3698</v>
      </c>
      <c r="B766" t="s">
        <v>3699</v>
      </c>
      <c r="C766" t="s">
        <v>8589</v>
      </c>
      <c r="E766" s="18"/>
    </row>
    <row r="767" spans="1:6" x14ac:dyDescent="0.3">
      <c r="A767" t="s">
        <v>3701</v>
      </c>
      <c r="B767" t="s">
        <v>3702</v>
      </c>
      <c r="C767" t="s">
        <v>8590</v>
      </c>
      <c r="E767" s="18"/>
    </row>
    <row r="768" spans="1:6" x14ac:dyDescent="0.3">
      <c r="A768" t="s">
        <v>3710</v>
      </c>
      <c r="B768" t="s">
        <v>3711</v>
      </c>
      <c r="C768" t="s">
        <v>8591</v>
      </c>
      <c r="D768" t="s">
        <v>7787</v>
      </c>
      <c r="E768" s="18">
        <v>45839</v>
      </c>
    </row>
    <row r="769" spans="1:6" x14ac:dyDescent="0.3">
      <c r="A769" t="s">
        <v>3714</v>
      </c>
      <c r="B769" t="s">
        <v>3715</v>
      </c>
      <c r="C769" t="s">
        <v>8592</v>
      </c>
      <c r="D769" t="s">
        <v>7787</v>
      </c>
      <c r="E769" s="18">
        <v>45954</v>
      </c>
      <c r="F769" s="52" t="s">
        <v>37</v>
      </c>
    </row>
    <row r="770" spans="1:6" x14ac:dyDescent="0.3">
      <c r="A770" t="s">
        <v>3718</v>
      </c>
      <c r="B770" t="s">
        <v>3719</v>
      </c>
      <c r="C770" t="s">
        <v>8593</v>
      </c>
      <c r="D770" t="s">
        <v>7787</v>
      </c>
      <c r="E770" s="18"/>
      <c r="F770" s="52" t="s">
        <v>37</v>
      </c>
    </row>
    <row r="771" spans="1:6" x14ac:dyDescent="0.3">
      <c r="A771" t="s">
        <v>3725</v>
      </c>
      <c r="B771" t="s">
        <v>3726</v>
      </c>
      <c r="C771" t="s">
        <v>8594</v>
      </c>
      <c r="E771" s="18"/>
    </row>
    <row r="772" spans="1:6" x14ac:dyDescent="0.3">
      <c r="A772" t="s">
        <v>3732</v>
      </c>
      <c r="B772" t="s">
        <v>3733</v>
      </c>
      <c r="C772" t="s">
        <v>8595</v>
      </c>
      <c r="E772" s="18"/>
    </row>
    <row r="773" spans="1:6" x14ac:dyDescent="0.3">
      <c r="A773" t="s">
        <v>3736</v>
      </c>
      <c r="B773" t="s">
        <v>3737</v>
      </c>
      <c r="C773" t="s">
        <v>8596</v>
      </c>
      <c r="E773" s="18"/>
    </row>
    <row r="774" spans="1:6" x14ac:dyDescent="0.3">
      <c r="A774" t="s">
        <v>3740</v>
      </c>
      <c r="B774" t="s">
        <v>3741</v>
      </c>
      <c r="C774" t="s">
        <v>8597</v>
      </c>
      <c r="D774" t="s">
        <v>7789</v>
      </c>
      <c r="E774" s="18">
        <v>45965</v>
      </c>
    </row>
    <row r="775" spans="1:6" x14ac:dyDescent="0.3">
      <c r="A775" t="s">
        <v>3747</v>
      </c>
      <c r="B775" t="s">
        <v>3748</v>
      </c>
      <c r="C775" t="s">
        <v>8598</v>
      </c>
      <c r="D775" t="s">
        <v>7787</v>
      </c>
      <c r="E775" s="18">
        <v>45888</v>
      </c>
    </row>
    <row r="776" spans="1:6" x14ac:dyDescent="0.3">
      <c r="A776" t="s">
        <v>3751</v>
      </c>
      <c r="B776" t="s">
        <v>3752</v>
      </c>
      <c r="C776" t="s">
        <v>8599</v>
      </c>
      <c r="E776" s="18"/>
      <c r="F776" s="52" t="s">
        <v>37</v>
      </c>
    </row>
    <row r="777" spans="1:6" x14ac:dyDescent="0.3">
      <c r="A777" t="s">
        <v>3757</v>
      </c>
      <c r="B777" t="s">
        <v>3758</v>
      </c>
      <c r="C777" t="s">
        <v>8600</v>
      </c>
      <c r="E777" s="18"/>
    </row>
    <row r="778" spans="1:6" x14ac:dyDescent="0.3">
      <c r="A778" t="s">
        <v>3760</v>
      </c>
      <c r="B778" t="s">
        <v>3761</v>
      </c>
      <c r="C778" t="s">
        <v>8601</v>
      </c>
      <c r="E778" s="18"/>
    </row>
    <row r="779" spans="1:6" x14ac:dyDescent="0.3">
      <c r="A779" t="s">
        <v>3768</v>
      </c>
      <c r="B779" t="s">
        <v>3769</v>
      </c>
      <c r="C779" t="s">
        <v>8602</v>
      </c>
      <c r="D779" t="s">
        <v>7787</v>
      </c>
      <c r="E779" s="18"/>
    </row>
    <row r="780" spans="1:6" x14ac:dyDescent="0.3">
      <c r="A780" t="s">
        <v>3775</v>
      </c>
      <c r="B780" t="s">
        <v>3776</v>
      </c>
      <c r="C780" t="s">
        <v>8603</v>
      </c>
      <c r="D780" t="s">
        <v>7787</v>
      </c>
      <c r="E780" s="18">
        <v>45881</v>
      </c>
    </row>
    <row r="781" spans="1:6" x14ac:dyDescent="0.3">
      <c r="A781" t="s">
        <v>3779</v>
      </c>
      <c r="B781" t="s">
        <v>3780</v>
      </c>
      <c r="C781" t="s">
        <v>8604</v>
      </c>
      <c r="D781" t="s">
        <v>7789</v>
      </c>
      <c r="E781" s="18">
        <v>45918</v>
      </c>
    </row>
    <row r="782" spans="1:6" x14ac:dyDescent="0.3">
      <c r="A782" t="s">
        <v>3782</v>
      </c>
      <c r="B782" t="s">
        <v>3783</v>
      </c>
      <c r="C782" t="s">
        <v>8605</v>
      </c>
      <c r="D782" t="s">
        <v>7787</v>
      </c>
      <c r="E782" s="18">
        <v>45861</v>
      </c>
    </row>
    <row r="783" spans="1:6" x14ac:dyDescent="0.3">
      <c r="A783" t="s">
        <v>3788</v>
      </c>
      <c r="B783" t="s">
        <v>3789</v>
      </c>
      <c r="C783" t="s">
        <v>8606</v>
      </c>
      <c r="D783" t="s">
        <v>7789</v>
      </c>
      <c r="E783" s="18">
        <v>45847</v>
      </c>
    </row>
    <row r="784" spans="1:6" x14ac:dyDescent="0.3">
      <c r="A784" t="s">
        <v>3792</v>
      </c>
      <c r="B784" t="s">
        <v>3793</v>
      </c>
      <c r="C784" t="s">
        <v>8607</v>
      </c>
      <c r="D784" t="s">
        <v>7787</v>
      </c>
      <c r="E784" s="18">
        <v>46009</v>
      </c>
      <c r="F784" s="52" t="s">
        <v>37</v>
      </c>
    </row>
    <row r="785" spans="1:6" x14ac:dyDescent="0.3">
      <c r="A785" t="s">
        <v>3794</v>
      </c>
      <c r="B785" t="s">
        <v>3795</v>
      </c>
      <c r="C785" t="s">
        <v>8608</v>
      </c>
      <c r="D785" t="s">
        <v>7798</v>
      </c>
      <c r="E785" s="18">
        <v>45839</v>
      </c>
    </row>
    <row r="786" spans="1:6" x14ac:dyDescent="0.3">
      <c r="A786" t="s">
        <v>3800</v>
      </c>
      <c r="B786" t="s">
        <v>3801</v>
      </c>
      <c r="C786" t="s">
        <v>8609</v>
      </c>
      <c r="D786" t="s">
        <v>7787</v>
      </c>
      <c r="E786" s="18">
        <v>45880</v>
      </c>
    </row>
    <row r="787" spans="1:6" x14ac:dyDescent="0.3">
      <c r="A787" t="s">
        <v>3804</v>
      </c>
      <c r="B787" t="s">
        <v>3805</v>
      </c>
      <c r="C787" t="s">
        <v>8610</v>
      </c>
      <c r="E787" s="18"/>
    </row>
    <row r="788" spans="1:6" x14ac:dyDescent="0.3">
      <c r="A788" t="s">
        <v>3808</v>
      </c>
      <c r="B788" t="s">
        <v>3809</v>
      </c>
      <c r="C788" t="s">
        <v>8611</v>
      </c>
      <c r="D788" t="s">
        <v>7785</v>
      </c>
      <c r="E788" s="18">
        <v>45854</v>
      </c>
    </row>
    <row r="789" spans="1:6" x14ac:dyDescent="0.3">
      <c r="A789" t="s">
        <v>3811</v>
      </c>
      <c r="B789" t="s">
        <v>3812</v>
      </c>
      <c r="C789" t="s">
        <v>8612</v>
      </c>
      <c r="E789" s="18"/>
    </row>
    <row r="790" spans="1:6" x14ac:dyDescent="0.3">
      <c r="A790" t="s">
        <v>3815</v>
      </c>
      <c r="B790" t="s">
        <v>3816</v>
      </c>
      <c r="C790" t="s">
        <v>8613</v>
      </c>
      <c r="D790" t="s">
        <v>7787</v>
      </c>
      <c r="E790" s="18"/>
    </row>
    <row r="791" spans="1:6" x14ac:dyDescent="0.3">
      <c r="A791" t="s">
        <v>3819</v>
      </c>
      <c r="B791" t="s">
        <v>3820</v>
      </c>
      <c r="C791" t="s">
        <v>8614</v>
      </c>
      <c r="D791" t="s">
        <v>7787</v>
      </c>
      <c r="E791" s="18">
        <v>45854</v>
      </c>
    </row>
    <row r="792" spans="1:6" x14ac:dyDescent="0.3">
      <c r="A792" t="s">
        <v>3824</v>
      </c>
      <c r="B792" t="s">
        <v>3825</v>
      </c>
      <c r="C792" t="s">
        <v>8615</v>
      </c>
      <c r="D792" t="s">
        <v>7789</v>
      </c>
      <c r="E792" s="18">
        <v>45855</v>
      </c>
    </row>
    <row r="793" spans="1:6" x14ac:dyDescent="0.3">
      <c r="A793" t="s">
        <v>3828</v>
      </c>
      <c r="B793" t="s">
        <v>3829</v>
      </c>
      <c r="C793" t="s">
        <v>8616</v>
      </c>
      <c r="E793" s="18"/>
    </row>
    <row r="794" spans="1:6" x14ac:dyDescent="0.3">
      <c r="A794" t="s">
        <v>3832</v>
      </c>
      <c r="B794" t="s">
        <v>3833</v>
      </c>
      <c r="C794" t="s">
        <v>8617</v>
      </c>
      <c r="D794" t="s">
        <v>7787</v>
      </c>
      <c r="E794" s="18"/>
      <c r="F794" s="52" t="s">
        <v>37</v>
      </c>
    </row>
    <row r="795" spans="1:6" x14ac:dyDescent="0.3">
      <c r="A795" t="s">
        <v>3836</v>
      </c>
      <c r="B795" t="s">
        <v>3837</v>
      </c>
      <c r="C795" t="s">
        <v>8618</v>
      </c>
      <c r="D795" t="s">
        <v>7796</v>
      </c>
      <c r="E795" s="18">
        <v>46009</v>
      </c>
    </row>
    <row r="796" spans="1:6" x14ac:dyDescent="0.3">
      <c r="A796" t="s">
        <v>3849</v>
      </c>
      <c r="B796" t="s">
        <v>3850</v>
      </c>
      <c r="C796" t="s">
        <v>8619</v>
      </c>
      <c r="D796" t="s">
        <v>7787</v>
      </c>
      <c r="E796" s="18">
        <v>45785</v>
      </c>
    </row>
    <row r="797" spans="1:6" x14ac:dyDescent="0.3">
      <c r="A797" t="s">
        <v>3853</v>
      </c>
      <c r="B797" t="s">
        <v>3854</v>
      </c>
      <c r="C797" t="s">
        <v>8620</v>
      </c>
      <c r="D797" t="s">
        <v>7787</v>
      </c>
      <c r="E797" s="18">
        <v>45811</v>
      </c>
    </row>
    <row r="798" spans="1:6" x14ac:dyDescent="0.3">
      <c r="A798" t="s">
        <v>3863</v>
      </c>
      <c r="B798" t="s">
        <v>3864</v>
      </c>
      <c r="C798" t="s">
        <v>8621</v>
      </c>
      <c r="E798" s="18">
        <v>45946</v>
      </c>
      <c r="F798" s="52" t="s">
        <v>37</v>
      </c>
    </row>
    <row r="799" spans="1:6" x14ac:dyDescent="0.3">
      <c r="A799" t="s">
        <v>3870</v>
      </c>
      <c r="B799" t="s">
        <v>3871</v>
      </c>
      <c r="C799" t="s">
        <v>8622</v>
      </c>
      <c r="E799" s="18"/>
    </row>
    <row r="800" spans="1:6" x14ac:dyDescent="0.3">
      <c r="A800" t="s">
        <v>3880</v>
      </c>
      <c r="B800" t="s">
        <v>3881</v>
      </c>
      <c r="C800" t="s">
        <v>8623</v>
      </c>
      <c r="E800" s="18"/>
      <c r="F800" s="52" t="s">
        <v>37</v>
      </c>
    </row>
    <row r="801" spans="1:6" x14ac:dyDescent="0.3">
      <c r="A801" t="s">
        <v>3884</v>
      </c>
      <c r="B801" t="s">
        <v>3885</v>
      </c>
      <c r="C801" t="s">
        <v>8624</v>
      </c>
      <c r="E801" s="18"/>
    </row>
    <row r="802" spans="1:6" x14ac:dyDescent="0.3">
      <c r="A802" t="s">
        <v>3888</v>
      </c>
      <c r="B802" t="s">
        <v>3889</v>
      </c>
      <c r="C802" t="s">
        <v>8625</v>
      </c>
      <c r="D802" t="s">
        <v>7787</v>
      </c>
      <c r="E802" s="18">
        <v>45721</v>
      </c>
    </row>
    <row r="803" spans="1:6" x14ac:dyDescent="0.3">
      <c r="A803" t="s">
        <v>3893</v>
      </c>
      <c r="B803" t="s">
        <v>3894</v>
      </c>
      <c r="C803" t="s">
        <v>8626</v>
      </c>
      <c r="D803" t="s">
        <v>7837</v>
      </c>
      <c r="E803" s="18">
        <v>45820</v>
      </c>
    </row>
    <row r="804" spans="1:6" x14ac:dyDescent="0.3">
      <c r="A804" t="s">
        <v>3899</v>
      </c>
      <c r="B804" t="s">
        <v>3900</v>
      </c>
      <c r="C804" t="s">
        <v>8627</v>
      </c>
      <c r="E804" s="18"/>
    </row>
    <row r="805" spans="1:6" x14ac:dyDescent="0.3">
      <c r="A805" t="s">
        <v>3905</v>
      </c>
      <c r="B805" t="s">
        <v>3906</v>
      </c>
      <c r="C805" t="s">
        <v>8628</v>
      </c>
      <c r="D805" t="s">
        <v>7789</v>
      </c>
      <c r="E805" s="18">
        <v>45855</v>
      </c>
    </row>
    <row r="806" spans="1:6" x14ac:dyDescent="0.3">
      <c r="A806" t="s">
        <v>3914</v>
      </c>
      <c r="B806" t="s">
        <v>3915</v>
      </c>
      <c r="C806" t="s">
        <v>8629</v>
      </c>
      <c r="E806" s="18"/>
    </row>
    <row r="807" spans="1:6" x14ac:dyDescent="0.3">
      <c r="A807" t="s">
        <v>3918</v>
      </c>
      <c r="B807" t="s">
        <v>3919</v>
      </c>
      <c r="C807" t="s">
        <v>8630</v>
      </c>
      <c r="D807" t="s">
        <v>7787</v>
      </c>
      <c r="E807" s="18">
        <v>45993</v>
      </c>
    </row>
    <row r="808" spans="1:6" x14ac:dyDescent="0.3">
      <c r="A808" t="s">
        <v>3922</v>
      </c>
      <c r="B808" t="s">
        <v>3923</v>
      </c>
      <c r="C808" t="s">
        <v>8631</v>
      </c>
      <c r="D808" t="s">
        <v>7787</v>
      </c>
      <c r="E808" s="18"/>
    </row>
    <row r="809" spans="1:6" x14ac:dyDescent="0.3">
      <c r="A809" t="s">
        <v>3930</v>
      </c>
      <c r="B809" t="s">
        <v>3931</v>
      </c>
      <c r="C809" t="s">
        <v>8632</v>
      </c>
      <c r="D809" t="s">
        <v>7787</v>
      </c>
      <c r="E809" s="18">
        <v>45958</v>
      </c>
    </row>
    <row r="810" spans="1:6" x14ac:dyDescent="0.3">
      <c r="A810" t="s">
        <v>3934</v>
      </c>
      <c r="B810" t="s">
        <v>3935</v>
      </c>
      <c r="C810" t="s">
        <v>8558</v>
      </c>
      <c r="E810" s="18"/>
      <c r="F810" s="52" t="s">
        <v>37</v>
      </c>
    </row>
    <row r="811" spans="1:6" x14ac:dyDescent="0.3">
      <c r="A811" t="s">
        <v>3941</v>
      </c>
      <c r="B811" t="s">
        <v>3942</v>
      </c>
      <c r="C811" t="s">
        <v>8633</v>
      </c>
      <c r="D811" t="s">
        <v>7787</v>
      </c>
      <c r="E811" s="18">
        <v>45728</v>
      </c>
    </row>
    <row r="812" spans="1:6" x14ac:dyDescent="0.3">
      <c r="A812" t="s">
        <v>3944</v>
      </c>
      <c r="B812" t="s">
        <v>3945</v>
      </c>
      <c r="C812" t="s">
        <v>8634</v>
      </c>
      <c r="E812" s="18"/>
      <c r="F812" s="52" t="s">
        <v>37</v>
      </c>
    </row>
    <row r="813" spans="1:6" x14ac:dyDescent="0.3">
      <c r="A813" t="s">
        <v>3954</v>
      </c>
      <c r="B813" t="s">
        <v>3955</v>
      </c>
      <c r="C813" t="s">
        <v>8635</v>
      </c>
      <c r="D813" t="s">
        <v>7789</v>
      </c>
      <c r="E813" s="18"/>
    </row>
    <row r="814" spans="1:6" x14ac:dyDescent="0.3">
      <c r="A814" t="s">
        <v>3958</v>
      </c>
      <c r="B814" t="s">
        <v>3959</v>
      </c>
      <c r="C814" t="s">
        <v>8636</v>
      </c>
      <c r="D814" t="s">
        <v>7912</v>
      </c>
      <c r="E814" s="18">
        <v>45783</v>
      </c>
    </row>
    <row r="815" spans="1:6" x14ac:dyDescent="0.3">
      <c r="A815" t="s">
        <v>3968</v>
      </c>
      <c r="B815" t="s">
        <v>3969</v>
      </c>
      <c r="C815" t="s">
        <v>8637</v>
      </c>
      <c r="E815" s="18"/>
    </row>
    <row r="816" spans="1:6" x14ac:dyDescent="0.3">
      <c r="A816" t="s">
        <v>3971</v>
      </c>
      <c r="B816" t="s">
        <v>3972</v>
      </c>
      <c r="C816" t="s">
        <v>8638</v>
      </c>
      <c r="D816" t="s">
        <v>7787</v>
      </c>
      <c r="E816" s="18">
        <v>45792</v>
      </c>
    </row>
    <row r="817" spans="1:6" x14ac:dyDescent="0.3">
      <c r="A817" t="s">
        <v>3974</v>
      </c>
      <c r="B817" t="s">
        <v>3975</v>
      </c>
      <c r="C817" t="s">
        <v>7584</v>
      </c>
      <c r="E817" s="18"/>
    </row>
    <row r="818" spans="1:6" x14ac:dyDescent="0.3">
      <c r="A818" t="s">
        <v>3978</v>
      </c>
      <c r="B818" t="s">
        <v>3979</v>
      </c>
      <c r="C818" t="s">
        <v>8639</v>
      </c>
      <c r="E818" s="18"/>
    </row>
    <row r="819" spans="1:6" x14ac:dyDescent="0.3">
      <c r="A819" t="s">
        <v>3981</v>
      </c>
      <c r="B819" t="s">
        <v>3982</v>
      </c>
      <c r="C819" t="s">
        <v>8640</v>
      </c>
      <c r="E819" s="18"/>
    </row>
    <row r="820" spans="1:6" x14ac:dyDescent="0.3">
      <c r="A820" t="s">
        <v>3988</v>
      </c>
      <c r="B820" t="s">
        <v>3989</v>
      </c>
      <c r="C820" t="s">
        <v>8641</v>
      </c>
      <c r="D820" t="s">
        <v>7787</v>
      </c>
      <c r="E820" s="18"/>
      <c r="F820" s="52" t="s">
        <v>37</v>
      </c>
    </row>
    <row r="821" spans="1:6" x14ac:dyDescent="0.3">
      <c r="A821" t="s">
        <v>3992</v>
      </c>
      <c r="B821" t="s">
        <v>3993</v>
      </c>
      <c r="C821" t="s">
        <v>8642</v>
      </c>
      <c r="D821" t="s">
        <v>7785</v>
      </c>
      <c r="E821" s="18"/>
    </row>
    <row r="822" spans="1:6" x14ac:dyDescent="0.3">
      <c r="A822" t="s">
        <v>3995</v>
      </c>
      <c r="B822" t="s">
        <v>3996</v>
      </c>
      <c r="C822" t="s">
        <v>8643</v>
      </c>
      <c r="E822" s="18"/>
    </row>
    <row r="823" spans="1:6" x14ac:dyDescent="0.3">
      <c r="A823" t="s">
        <v>3999</v>
      </c>
      <c r="B823" t="s">
        <v>4000</v>
      </c>
      <c r="C823" t="s">
        <v>8644</v>
      </c>
      <c r="D823" t="s">
        <v>7785</v>
      </c>
      <c r="E823" s="18"/>
      <c r="F823" s="52" t="s">
        <v>37</v>
      </c>
    </row>
    <row r="824" spans="1:6" x14ac:dyDescent="0.3">
      <c r="A824" t="s">
        <v>4006</v>
      </c>
      <c r="B824" t="s">
        <v>4007</v>
      </c>
      <c r="C824" t="s">
        <v>8645</v>
      </c>
      <c r="D824" t="s">
        <v>7789</v>
      </c>
      <c r="E824" s="18">
        <v>45923</v>
      </c>
    </row>
    <row r="825" spans="1:6" x14ac:dyDescent="0.3">
      <c r="A825" t="s">
        <v>4010</v>
      </c>
      <c r="B825" t="s">
        <v>4011</v>
      </c>
      <c r="C825" t="s">
        <v>8646</v>
      </c>
      <c r="D825" t="s">
        <v>7796</v>
      </c>
      <c r="E825" s="18">
        <v>45754</v>
      </c>
    </row>
    <row r="826" spans="1:6" x14ac:dyDescent="0.3">
      <c r="A826" t="s">
        <v>4016</v>
      </c>
      <c r="B826" t="s">
        <v>4017</v>
      </c>
      <c r="C826" t="s">
        <v>8647</v>
      </c>
      <c r="D826" t="s">
        <v>8648</v>
      </c>
      <c r="E826" s="18"/>
    </row>
    <row r="827" spans="1:6" x14ac:dyDescent="0.3">
      <c r="A827" t="s">
        <v>4019</v>
      </c>
      <c r="B827" t="s">
        <v>4020</v>
      </c>
      <c r="C827" t="s">
        <v>8649</v>
      </c>
      <c r="D827" t="s">
        <v>7789</v>
      </c>
      <c r="E827" s="18">
        <v>45793</v>
      </c>
    </row>
    <row r="828" spans="1:6" x14ac:dyDescent="0.3">
      <c r="A828" t="s">
        <v>4022</v>
      </c>
      <c r="B828" t="s">
        <v>4023</v>
      </c>
      <c r="C828" t="s">
        <v>8650</v>
      </c>
      <c r="D828" t="s">
        <v>7787</v>
      </c>
      <c r="E828" s="18">
        <v>45966</v>
      </c>
    </row>
    <row r="829" spans="1:6" x14ac:dyDescent="0.3">
      <c r="A829" t="s">
        <v>4026</v>
      </c>
      <c r="B829" t="s">
        <v>4027</v>
      </c>
      <c r="C829" t="s">
        <v>8651</v>
      </c>
      <c r="E829" s="18"/>
    </row>
    <row r="830" spans="1:6" x14ac:dyDescent="0.3">
      <c r="A830" t="s">
        <v>4032</v>
      </c>
      <c r="B830" t="s">
        <v>4033</v>
      </c>
      <c r="C830" t="s">
        <v>8652</v>
      </c>
      <c r="E830" s="18"/>
    </row>
    <row r="831" spans="1:6" x14ac:dyDescent="0.3">
      <c r="A831" t="s">
        <v>4039</v>
      </c>
      <c r="B831" t="s">
        <v>4040</v>
      </c>
      <c r="C831" t="s">
        <v>8653</v>
      </c>
      <c r="D831" t="s">
        <v>7787</v>
      </c>
      <c r="E831" s="18">
        <v>45985</v>
      </c>
      <c r="F831" s="52" t="s">
        <v>37</v>
      </c>
    </row>
    <row r="832" spans="1:6" x14ac:dyDescent="0.3">
      <c r="A832" t="s">
        <v>4043</v>
      </c>
      <c r="B832" t="s">
        <v>4044</v>
      </c>
      <c r="C832" t="s">
        <v>8654</v>
      </c>
      <c r="D832" t="s">
        <v>7787</v>
      </c>
      <c r="E832" s="18">
        <v>45723</v>
      </c>
    </row>
    <row r="833" spans="1:6" x14ac:dyDescent="0.3">
      <c r="A833" t="s">
        <v>4046</v>
      </c>
      <c r="B833" t="s">
        <v>4047</v>
      </c>
      <c r="C833" t="s">
        <v>8655</v>
      </c>
      <c r="D833" t="s">
        <v>7785</v>
      </c>
      <c r="E833" s="18"/>
      <c r="F833" s="52" t="s">
        <v>37</v>
      </c>
    </row>
    <row r="834" spans="1:6" x14ac:dyDescent="0.3">
      <c r="A834" t="s">
        <v>4049</v>
      </c>
      <c r="B834" t="s">
        <v>4050</v>
      </c>
      <c r="C834" t="s">
        <v>8656</v>
      </c>
      <c r="D834" t="s">
        <v>7837</v>
      </c>
      <c r="E834" s="18">
        <v>45852</v>
      </c>
    </row>
    <row r="835" spans="1:6" x14ac:dyDescent="0.3">
      <c r="A835" t="s">
        <v>4052</v>
      </c>
      <c r="B835" t="s">
        <v>4053</v>
      </c>
      <c r="C835" t="s">
        <v>8657</v>
      </c>
      <c r="E835" s="18"/>
    </row>
    <row r="836" spans="1:6" x14ac:dyDescent="0.3">
      <c r="A836" t="s">
        <v>4055</v>
      </c>
      <c r="B836" t="s">
        <v>4056</v>
      </c>
      <c r="C836" t="s">
        <v>8658</v>
      </c>
      <c r="D836" t="s">
        <v>7785</v>
      </c>
      <c r="E836" s="18"/>
    </row>
    <row r="837" spans="1:6" x14ac:dyDescent="0.3">
      <c r="A837" t="s">
        <v>4058</v>
      </c>
      <c r="B837" t="s">
        <v>4059</v>
      </c>
      <c r="C837" t="s">
        <v>8659</v>
      </c>
      <c r="D837" t="s">
        <v>7912</v>
      </c>
      <c r="E837" s="18"/>
    </row>
    <row r="838" spans="1:6" x14ac:dyDescent="0.3">
      <c r="A838" t="s">
        <v>4066</v>
      </c>
      <c r="B838" t="s">
        <v>4067</v>
      </c>
      <c r="C838" t="s">
        <v>8660</v>
      </c>
      <c r="D838" t="s">
        <v>7787</v>
      </c>
      <c r="E838" s="18">
        <v>45891</v>
      </c>
    </row>
    <row r="839" spans="1:6" x14ac:dyDescent="0.3">
      <c r="A839" t="s">
        <v>4070</v>
      </c>
      <c r="B839" t="s">
        <v>4071</v>
      </c>
      <c r="C839" t="s">
        <v>8661</v>
      </c>
      <c r="E839" s="18"/>
    </row>
    <row r="840" spans="1:6" x14ac:dyDescent="0.3">
      <c r="A840" t="s">
        <v>4073</v>
      </c>
      <c r="B840" t="s">
        <v>4074</v>
      </c>
      <c r="C840" t="s">
        <v>8662</v>
      </c>
      <c r="D840" t="s">
        <v>7787</v>
      </c>
      <c r="E840" s="18">
        <v>45930</v>
      </c>
    </row>
    <row r="841" spans="1:6" x14ac:dyDescent="0.3">
      <c r="A841" t="s">
        <v>4077</v>
      </c>
      <c r="B841" t="s">
        <v>4078</v>
      </c>
      <c r="C841" t="s">
        <v>8663</v>
      </c>
      <c r="D841" t="s">
        <v>7789</v>
      </c>
      <c r="E841" s="18"/>
    </row>
    <row r="842" spans="1:6" x14ac:dyDescent="0.3">
      <c r="A842" t="s">
        <v>4084</v>
      </c>
      <c r="B842" t="s">
        <v>4085</v>
      </c>
      <c r="C842" t="s">
        <v>8664</v>
      </c>
      <c r="D842" t="s">
        <v>7912</v>
      </c>
      <c r="E842" s="18">
        <v>45940</v>
      </c>
    </row>
    <row r="843" spans="1:6" x14ac:dyDescent="0.3">
      <c r="A843" t="s">
        <v>4088</v>
      </c>
      <c r="B843" t="s">
        <v>4089</v>
      </c>
      <c r="C843" t="s">
        <v>8665</v>
      </c>
      <c r="D843" t="s">
        <v>7785</v>
      </c>
      <c r="E843" s="18">
        <v>46001</v>
      </c>
    </row>
    <row r="844" spans="1:6" x14ac:dyDescent="0.3">
      <c r="A844" t="s">
        <v>4092</v>
      </c>
      <c r="B844" t="s">
        <v>4093</v>
      </c>
      <c r="C844" t="s">
        <v>8666</v>
      </c>
      <c r="D844" t="s">
        <v>7787</v>
      </c>
      <c r="E844" s="18"/>
    </row>
    <row r="845" spans="1:6" x14ac:dyDescent="0.3">
      <c r="A845" t="s">
        <v>4096</v>
      </c>
      <c r="B845" t="s">
        <v>4097</v>
      </c>
      <c r="C845" t="s">
        <v>8667</v>
      </c>
      <c r="D845" t="s">
        <v>7785</v>
      </c>
      <c r="E845" s="18">
        <v>45758</v>
      </c>
    </row>
    <row r="846" spans="1:6" x14ac:dyDescent="0.3">
      <c r="A846" t="s">
        <v>4099</v>
      </c>
      <c r="B846" t="s">
        <v>4100</v>
      </c>
      <c r="C846" t="s">
        <v>8668</v>
      </c>
      <c r="D846" t="s">
        <v>7789</v>
      </c>
      <c r="E846" s="18">
        <v>45728</v>
      </c>
    </row>
    <row r="847" spans="1:6" x14ac:dyDescent="0.3">
      <c r="A847" t="s">
        <v>4109</v>
      </c>
      <c r="B847" t="s">
        <v>4110</v>
      </c>
      <c r="C847" t="s">
        <v>8669</v>
      </c>
      <c r="D847" t="s">
        <v>7785</v>
      </c>
      <c r="E847" s="18"/>
      <c r="F847" s="52" t="s">
        <v>37</v>
      </c>
    </row>
    <row r="848" spans="1:6" x14ac:dyDescent="0.3">
      <c r="A848" t="s">
        <v>4115</v>
      </c>
      <c r="B848" t="s">
        <v>4116</v>
      </c>
      <c r="C848" t="s">
        <v>8670</v>
      </c>
      <c r="D848" t="s">
        <v>7787</v>
      </c>
      <c r="E848" s="18">
        <v>45957</v>
      </c>
    </row>
    <row r="849" spans="1:6" x14ac:dyDescent="0.3">
      <c r="A849" t="s">
        <v>4119</v>
      </c>
      <c r="B849" t="s">
        <v>4120</v>
      </c>
      <c r="C849" t="s">
        <v>8671</v>
      </c>
      <c r="E849" s="18"/>
    </row>
    <row r="850" spans="1:6" x14ac:dyDescent="0.3">
      <c r="A850" t="s">
        <v>4126</v>
      </c>
      <c r="B850" t="s">
        <v>4127</v>
      </c>
      <c r="C850" t="s">
        <v>8672</v>
      </c>
      <c r="D850" t="s">
        <v>7912</v>
      </c>
      <c r="E850" s="18">
        <v>45931</v>
      </c>
    </row>
    <row r="851" spans="1:6" x14ac:dyDescent="0.3">
      <c r="A851" t="s">
        <v>4133</v>
      </c>
      <c r="B851" t="s">
        <v>4134</v>
      </c>
      <c r="C851" t="s">
        <v>8673</v>
      </c>
      <c r="D851" t="s">
        <v>7785</v>
      </c>
      <c r="E851" s="18">
        <v>45958</v>
      </c>
      <c r="F851" s="52" t="s">
        <v>37</v>
      </c>
    </row>
    <row r="852" spans="1:6" x14ac:dyDescent="0.3">
      <c r="A852" t="s">
        <v>4137</v>
      </c>
      <c r="B852" t="s">
        <v>4138</v>
      </c>
      <c r="C852" t="s">
        <v>8674</v>
      </c>
      <c r="D852" t="s">
        <v>7787</v>
      </c>
      <c r="E852" s="18">
        <v>45897</v>
      </c>
    </row>
    <row r="853" spans="1:6" x14ac:dyDescent="0.3">
      <c r="A853" t="s">
        <v>4141</v>
      </c>
      <c r="B853" t="s">
        <v>4142</v>
      </c>
      <c r="C853" t="s">
        <v>8675</v>
      </c>
      <c r="D853" t="s">
        <v>7787</v>
      </c>
      <c r="E853" s="18">
        <v>45785</v>
      </c>
    </row>
    <row r="854" spans="1:6" x14ac:dyDescent="0.3">
      <c r="A854" t="s">
        <v>4145</v>
      </c>
      <c r="B854" t="s">
        <v>4146</v>
      </c>
      <c r="C854" t="s">
        <v>8676</v>
      </c>
      <c r="E854" s="18"/>
    </row>
    <row r="855" spans="1:6" x14ac:dyDescent="0.3">
      <c r="A855" t="s">
        <v>4149</v>
      </c>
      <c r="B855" t="s">
        <v>4150</v>
      </c>
      <c r="C855" t="s">
        <v>8677</v>
      </c>
      <c r="D855" t="s">
        <v>7789</v>
      </c>
      <c r="E855" s="18">
        <v>45940</v>
      </c>
    </row>
    <row r="856" spans="1:6" x14ac:dyDescent="0.3">
      <c r="A856" t="s">
        <v>4153</v>
      </c>
      <c r="B856" t="s">
        <v>4154</v>
      </c>
      <c r="C856" t="s">
        <v>8678</v>
      </c>
      <c r="E856" s="18"/>
    </row>
    <row r="857" spans="1:6" x14ac:dyDescent="0.3">
      <c r="A857" t="s">
        <v>4157</v>
      </c>
      <c r="B857" t="s">
        <v>4158</v>
      </c>
      <c r="C857" t="s">
        <v>8679</v>
      </c>
      <c r="E857" s="18"/>
    </row>
    <row r="858" spans="1:6" x14ac:dyDescent="0.3">
      <c r="A858" t="s">
        <v>4160</v>
      </c>
      <c r="B858" t="s">
        <v>4161</v>
      </c>
      <c r="C858" t="s">
        <v>8680</v>
      </c>
      <c r="D858" t="s">
        <v>7787</v>
      </c>
      <c r="E858" s="18">
        <v>45930</v>
      </c>
    </row>
    <row r="859" spans="1:6" x14ac:dyDescent="0.3">
      <c r="A859" t="s">
        <v>4164</v>
      </c>
      <c r="B859" t="s">
        <v>4165</v>
      </c>
      <c r="C859" t="s">
        <v>8681</v>
      </c>
      <c r="D859" t="s">
        <v>7787</v>
      </c>
      <c r="E859" s="18">
        <v>45783</v>
      </c>
    </row>
    <row r="860" spans="1:6" x14ac:dyDescent="0.3">
      <c r="A860" t="s">
        <v>4168</v>
      </c>
      <c r="B860" t="s">
        <v>4169</v>
      </c>
      <c r="C860" t="s">
        <v>8682</v>
      </c>
      <c r="D860" t="s">
        <v>7912</v>
      </c>
      <c r="E860" s="18">
        <v>45966</v>
      </c>
    </row>
    <row r="861" spans="1:6" x14ac:dyDescent="0.3">
      <c r="A861" t="s">
        <v>4172</v>
      </c>
      <c r="B861" t="s">
        <v>4173</v>
      </c>
      <c r="C861" t="s">
        <v>8683</v>
      </c>
      <c r="E861" s="18"/>
    </row>
    <row r="862" spans="1:6" x14ac:dyDescent="0.3">
      <c r="A862" t="s">
        <v>4175</v>
      </c>
      <c r="B862" t="s">
        <v>4176</v>
      </c>
      <c r="C862" t="s">
        <v>8684</v>
      </c>
      <c r="E862" s="18"/>
    </row>
    <row r="863" spans="1:6" x14ac:dyDescent="0.3">
      <c r="A863" t="s">
        <v>4178</v>
      </c>
      <c r="B863" t="s">
        <v>4179</v>
      </c>
      <c r="C863" t="s">
        <v>8685</v>
      </c>
      <c r="D863" t="s">
        <v>7912</v>
      </c>
      <c r="E863" s="18">
        <v>45758</v>
      </c>
    </row>
    <row r="864" spans="1:6" x14ac:dyDescent="0.3">
      <c r="A864" t="s">
        <v>4182</v>
      </c>
      <c r="B864" t="s">
        <v>4183</v>
      </c>
      <c r="C864" t="s">
        <v>8686</v>
      </c>
      <c r="D864" t="s">
        <v>7787</v>
      </c>
      <c r="E864" s="18">
        <v>45882</v>
      </c>
    </row>
    <row r="865" spans="1:6" x14ac:dyDescent="0.3">
      <c r="A865" t="s">
        <v>4186</v>
      </c>
      <c r="B865" t="s">
        <v>4187</v>
      </c>
      <c r="C865" t="s">
        <v>8687</v>
      </c>
      <c r="E865" s="18"/>
    </row>
    <row r="866" spans="1:6" x14ac:dyDescent="0.3">
      <c r="A866" t="s">
        <v>4189</v>
      </c>
      <c r="B866" t="s">
        <v>4190</v>
      </c>
      <c r="C866" t="s">
        <v>8688</v>
      </c>
      <c r="D866" t="s">
        <v>7785</v>
      </c>
      <c r="E866" s="18">
        <v>45939</v>
      </c>
    </row>
    <row r="867" spans="1:6" x14ac:dyDescent="0.3">
      <c r="A867" t="s">
        <v>4193</v>
      </c>
      <c r="B867" t="s">
        <v>4194</v>
      </c>
      <c r="C867" t="s">
        <v>8689</v>
      </c>
      <c r="D867" t="s">
        <v>7787</v>
      </c>
      <c r="E867" s="18">
        <v>45855</v>
      </c>
    </row>
    <row r="868" spans="1:6" x14ac:dyDescent="0.3">
      <c r="A868" t="s">
        <v>4197</v>
      </c>
      <c r="B868" t="s">
        <v>4198</v>
      </c>
      <c r="C868" t="s">
        <v>8690</v>
      </c>
      <c r="D868" t="s">
        <v>7785</v>
      </c>
      <c r="E868" s="18">
        <v>45790</v>
      </c>
    </row>
    <row r="869" spans="1:6" x14ac:dyDescent="0.3">
      <c r="A869" t="s">
        <v>4201</v>
      </c>
      <c r="B869" t="s">
        <v>4202</v>
      </c>
      <c r="C869" t="s">
        <v>8691</v>
      </c>
      <c r="E869" s="18"/>
    </row>
    <row r="870" spans="1:6" x14ac:dyDescent="0.3">
      <c r="A870" t="s">
        <v>4204</v>
      </c>
      <c r="B870" t="s">
        <v>4205</v>
      </c>
      <c r="C870" t="s">
        <v>8692</v>
      </c>
      <c r="D870" t="s">
        <v>7796</v>
      </c>
      <c r="E870" s="18"/>
      <c r="F870" s="52" t="s">
        <v>37</v>
      </c>
    </row>
    <row r="871" spans="1:6" x14ac:dyDescent="0.3">
      <c r="A871" t="s">
        <v>4208</v>
      </c>
      <c r="B871" t="s">
        <v>4209</v>
      </c>
      <c r="C871" t="s">
        <v>8693</v>
      </c>
      <c r="D871" t="s">
        <v>7912</v>
      </c>
      <c r="E871" s="18">
        <v>45931</v>
      </c>
    </row>
    <row r="872" spans="1:6" x14ac:dyDescent="0.3">
      <c r="A872" t="s">
        <v>4222</v>
      </c>
      <c r="B872" t="s">
        <v>4223</v>
      </c>
      <c r="C872" t="s">
        <v>8694</v>
      </c>
      <c r="E872" s="18"/>
    </row>
    <row r="873" spans="1:6" x14ac:dyDescent="0.3">
      <c r="A873" t="s">
        <v>4229</v>
      </c>
      <c r="B873" t="s">
        <v>4230</v>
      </c>
      <c r="C873" t="s">
        <v>8695</v>
      </c>
      <c r="D873" t="s">
        <v>7787</v>
      </c>
      <c r="E873" s="18">
        <v>45741</v>
      </c>
    </row>
    <row r="874" spans="1:6" x14ac:dyDescent="0.3">
      <c r="A874" t="s">
        <v>4233</v>
      </c>
      <c r="B874" t="s">
        <v>4234</v>
      </c>
      <c r="C874" t="s">
        <v>8696</v>
      </c>
      <c r="D874" t="s">
        <v>7787</v>
      </c>
      <c r="E874" s="18"/>
    </row>
    <row r="875" spans="1:6" x14ac:dyDescent="0.3">
      <c r="A875" t="s">
        <v>4241</v>
      </c>
      <c r="B875" t="s">
        <v>4242</v>
      </c>
      <c r="C875" t="s">
        <v>7565</v>
      </c>
      <c r="E875" s="18"/>
    </row>
    <row r="876" spans="1:6" x14ac:dyDescent="0.3">
      <c r="A876" t="s">
        <v>4245</v>
      </c>
      <c r="B876" t="s">
        <v>4246</v>
      </c>
      <c r="C876" t="s">
        <v>8697</v>
      </c>
      <c r="E876" s="18"/>
    </row>
    <row r="877" spans="1:6" x14ac:dyDescent="0.3">
      <c r="A877" t="s">
        <v>4248</v>
      </c>
      <c r="B877" t="s">
        <v>4249</v>
      </c>
      <c r="C877" t="s">
        <v>8698</v>
      </c>
      <c r="E877" s="18"/>
    </row>
    <row r="878" spans="1:6" x14ac:dyDescent="0.3">
      <c r="A878" t="s">
        <v>4251</v>
      </c>
      <c r="B878" t="s">
        <v>4252</v>
      </c>
      <c r="C878" t="s">
        <v>8699</v>
      </c>
      <c r="D878" t="s">
        <v>7785</v>
      </c>
      <c r="E878" s="18"/>
    </row>
    <row r="879" spans="1:6" x14ac:dyDescent="0.3">
      <c r="A879" t="s">
        <v>4259</v>
      </c>
      <c r="B879" t="s">
        <v>4260</v>
      </c>
      <c r="C879" t="s">
        <v>8700</v>
      </c>
      <c r="E879" s="18"/>
      <c r="F879" s="52" t="s">
        <v>37</v>
      </c>
    </row>
    <row r="880" spans="1:6" x14ac:dyDescent="0.3">
      <c r="A880" t="s">
        <v>4263</v>
      </c>
      <c r="B880" t="s">
        <v>4264</v>
      </c>
      <c r="C880" t="s">
        <v>8701</v>
      </c>
      <c r="E880" s="18"/>
    </row>
    <row r="881" spans="1:6" x14ac:dyDescent="0.3">
      <c r="A881" t="s">
        <v>4277</v>
      </c>
      <c r="B881" t="s">
        <v>4278</v>
      </c>
      <c r="C881" t="s">
        <v>8702</v>
      </c>
      <c r="E881" s="18"/>
    </row>
    <row r="882" spans="1:6" x14ac:dyDescent="0.3">
      <c r="A882" t="s">
        <v>4280</v>
      </c>
      <c r="B882" t="s">
        <v>4281</v>
      </c>
      <c r="C882" t="s">
        <v>8703</v>
      </c>
      <c r="D882" t="s">
        <v>7796</v>
      </c>
      <c r="E882" s="18">
        <v>45757</v>
      </c>
    </row>
    <row r="883" spans="1:6" x14ac:dyDescent="0.3">
      <c r="A883" t="s">
        <v>4283</v>
      </c>
      <c r="B883" t="s">
        <v>4284</v>
      </c>
      <c r="C883" t="s">
        <v>8704</v>
      </c>
      <c r="D883" t="s">
        <v>7789</v>
      </c>
      <c r="E883" s="18">
        <v>45880</v>
      </c>
    </row>
    <row r="884" spans="1:6" x14ac:dyDescent="0.3">
      <c r="A884" t="s">
        <v>4287</v>
      </c>
      <c r="B884" t="s">
        <v>4288</v>
      </c>
      <c r="C884" t="s">
        <v>8705</v>
      </c>
      <c r="E884" s="18"/>
    </row>
    <row r="885" spans="1:6" x14ac:dyDescent="0.3">
      <c r="A885" t="s">
        <v>4291</v>
      </c>
      <c r="B885" t="s">
        <v>4292</v>
      </c>
      <c r="C885" t="s">
        <v>8706</v>
      </c>
      <c r="D885" t="s">
        <v>7787</v>
      </c>
      <c r="E885" s="18">
        <v>45726</v>
      </c>
    </row>
    <row r="886" spans="1:6" x14ac:dyDescent="0.3">
      <c r="A886" t="s">
        <v>4295</v>
      </c>
      <c r="B886" t="s">
        <v>4296</v>
      </c>
      <c r="C886" t="s">
        <v>8707</v>
      </c>
      <c r="D886" t="s">
        <v>7785</v>
      </c>
      <c r="E886" s="18">
        <v>45994</v>
      </c>
    </row>
    <row r="887" spans="1:6" x14ac:dyDescent="0.3">
      <c r="A887" t="s">
        <v>4299</v>
      </c>
      <c r="B887" t="s">
        <v>4300</v>
      </c>
      <c r="C887" t="s">
        <v>8708</v>
      </c>
      <c r="D887" t="s">
        <v>7787</v>
      </c>
      <c r="E887" s="18">
        <v>45880</v>
      </c>
    </row>
    <row r="888" spans="1:6" x14ac:dyDescent="0.3">
      <c r="A888" t="s">
        <v>4303</v>
      </c>
      <c r="B888" t="s">
        <v>4304</v>
      </c>
      <c r="C888" t="s">
        <v>8709</v>
      </c>
      <c r="D888" t="s">
        <v>7787</v>
      </c>
      <c r="E888" s="18">
        <v>45756</v>
      </c>
    </row>
    <row r="889" spans="1:6" x14ac:dyDescent="0.3">
      <c r="A889" t="s">
        <v>4307</v>
      </c>
      <c r="B889" t="s">
        <v>4308</v>
      </c>
      <c r="C889" t="s">
        <v>8710</v>
      </c>
      <c r="D889" t="s">
        <v>7787</v>
      </c>
      <c r="E889" s="18">
        <v>45891</v>
      </c>
    </row>
    <row r="890" spans="1:6" x14ac:dyDescent="0.3">
      <c r="A890" t="s">
        <v>4311</v>
      </c>
      <c r="B890" t="s">
        <v>4312</v>
      </c>
      <c r="C890" t="s">
        <v>8711</v>
      </c>
      <c r="D890" t="s">
        <v>7789</v>
      </c>
      <c r="E890" s="18">
        <v>45939</v>
      </c>
      <c r="F890" s="52" t="s">
        <v>37</v>
      </c>
    </row>
    <row r="891" spans="1:6" x14ac:dyDescent="0.3">
      <c r="A891" t="s">
        <v>4318</v>
      </c>
      <c r="B891" t="s">
        <v>4319</v>
      </c>
      <c r="C891" t="s">
        <v>8712</v>
      </c>
      <c r="D891" t="s">
        <v>7789</v>
      </c>
      <c r="E891" s="18">
        <v>45894</v>
      </c>
      <c r="F891" s="52" t="s">
        <v>37</v>
      </c>
    </row>
    <row r="892" spans="1:6" x14ac:dyDescent="0.3">
      <c r="A892" t="s">
        <v>4322</v>
      </c>
      <c r="B892" t="s">
        <v>4323</v>
      </c>
      <c r="C892" t="s">
        <v>8713</v>
      </c>
      <c r="E892" s="18"/>
    </row>
    <row r="893" spans="1:6" x14ac:dyDescent="0.3">
      <c r="A893" t="s">
        <v>4329</v>
      </c>
      <c r="B893" t="s">
        <v>4330</v>
      </c>
      <c r="C893" t="s">
        <v>8714</v>
      </c>
      <c r="E893" s="18"/>
    </row>
    <row r="894" spans="1:6" x14ac:dyDescent="0.3">
      <c r="A894" t="s">
        <v>4332</v>
      </c>
      <c r="B894" t="s">
        <v>4333</v>
      </c>
      <c r="C894" t="s">
        <v>8715</v>
      </c>
      <c r="D894" t="s">
        <v>7912</v>
      </c>
      <c r="E894" s="18">
        <v>45961</v>
      </c>
      <c r="F894" s="52" t="s">
        <v>37</v>
      </c>
    </row>
    <row r="895" spans="1:6" x14ac:dyDescent="0.3">
      <c r="A895" t="s">
        <v>4336</v>
      </c>
      <c r="B895" t="s">
        <v>4337</v>
      </c>
      <c r="C895" t="s">
        <v>8716</v>
      </c>
      <c r="D895" t="s">
        <v>7912</v>
      </c>
      <c r="E895" s="18">
        <v>46003</v>
      </c>
    </row>
    <row r="896" spans="1:6" x14ac:dyDescent="0.3">
      <c r="A896" t="s">
        <v>4340</v>
      </c>
      <c r="B896" t="s">
        <v>4341</v>
      </c>
      <c r="C896" t="s">
        <v>8717</v>
      </c>
      <c r="D896" t="s">
        <v>7787</v>
      </c>
      <c r="E896" s="18">
        <v>45820</v>
      </c>
    </row>
    <row r="897" spans="1:6" x14ac:dyDescent="0.3">
      <c r="A897" t="s">
        <v>4344</v>
      </c>
      <c r="B897" t="s">
        <v>4345</v>
      </c>
      <c r="C897" t="s">
        <v>8718</v>
      </c>
      <c r="D897" t="s">
        <v>7787</v>
      </c>
      <c r="E897" s="18">
        <v>45722</v>
      </c>
    </row>
    <row r="898" spans="1:6" x14ac:dyDescent="0.3">
      <c r="A898" t="s">
        <v>4348</v>
      </c>
      <c r="B898" t="s">
        <v>4349</v>
      </c>
      <c r="C898" t="s">
        <v>8719</v>
      </c>
      <c r="D898" t="s">
        <v>7785</v>
      </c>
      <c r="E898" s="18">
        <v>45993</v>
      </c>
    </row>
    <row r="899" spans="1:6" x14ac:dyDescent="0.3">
      <c r="A899" t="s">
        <v>4352</v>
      </c>
      <c r="B899" t="s">
        <v>4353</v>
      </c>
      <c r="C899" t="s">
        <v>8720</v>
      </c>
      <c r="D899" t="s">
        <v>7787</v>
      </c>
      <c r="E899" s="18">
        <v>46044</v>
      </c>
    </row>
    <row r="900" spans="1:6" x14ac:dyDescent="0.3">
      <c r="A900" t="s">
        <v>4355</v>
      </c>
      <c r="B900" t="s">
        <v>4356</v>
      </c>
      <c r="C900" t="s">
        <v>8721</v>
      </c>
      <c r="E900" s="18"/>
    </row>
    <row r="901" spans="1:6" x14ac:dyDescent="0.3">
      <c r="A901" t="s">
        <v>4359</v>
      </c>
      <c r="B901" t="s">
        <v>4360</v>
      </c>
      <c r="C901" t="s">
        <v>8722</v>
      </c>
      <c r="D901" t="s">
        <v>7787</v>
      </c>
      <c r="E901" s="18">
        <v>45814</v>
      </c>
    </row>
    <row r="902" spans="1:6" x14ac:dyDescent="0.3">
      <c r="A902" t="s">
        <v>4363</v>
      </c>
      <c r="B902" t="s">
        <v>4364</v>
      </c>
      <c r="C902" t="s">
        <v>8723</v>
      </c>
      <c r="D902" t="s">
        <v>7787</v>
      </c>
      <c r="E902" s="18"/>
    </row>
    <row r="903" spans="1:6" x14ac:dyDescent="0.3">
      <c r="A903" t="s">
        <v>4367</v>
      </c>
      <c r="B903" t="s">
        <v>4368</v>
      </c>
      <c r="C903" t="s">
        <v>8724</v>
      </c>
      <c r="D903" t="s">
        <v>7787</v>
      </c>
      <c r="E903" s="18">
        <v>45880</v>
      </c>
    </row>
    <row r="904" spans="1:6" x14ac:dyDescent="0.3">
      <c r="A904" t="s">
        <v>4374</v>
      </c>
      <c r="B904" t="s">
        <v>4375</v>
      </c>
      <c r="C904" t="s">
        <v>8725</v>
      </c>
      <c r="E904" s="18"/>
    </row>
    <row r="905" spans="1:6" x14ac:dyDescent="0.3">
      <c r="A905" t="s">
        <v>4377</v>
      </c>
      <c r="B905" t="s">
        <v>4378</v>
      </c>
      <c r="C905" t="s">
        <v>8726</v>
      </c>
      <c r="D905" t="s">
        <v>7785</v>
      </c>
      <c r="E905" s="18">
        <v>45769</v>
      </c>
    </row>
    <row r="906" spans="1:6" x14ac:dyDescent="0.3">
      <c r="A906" t="s">
        <v>4383</v>
      </c>
      <c r="B906" t="s">
        <v>4384</v>
      </c>
      <c r="C906" t="s">
        <v>8727</v>
      </c>
      <c r="D906" t="s">
        <v>7787</v>
      </c>
      <c r="E906" s="18"/>
      <c r="F906" s="52" t="s">
        <v>37</v>
      </c>
    </row>
    <row r="907" spans="1:6" x14ac:dyDescent="0.3">
      <c r="A907" t="s">
        <v>4386</v>
      </c>
      <c r="B907" t="s">
        <v>4387</v>
      </c>
      <c r="C907" t="s">
        <v>8728</v>
      </c>
      <c r="D907" t="s">
        <v>7796</v>
      </c>
      <c r="E907" s="18">
        <v>45958</v>
      </c>
      <c r="F907" s="52" t="s">
        <v>37</v>
      </c>
    </row>
    <row r="908" spans="1:6" x14ac:dyDescent="0.3">
      <c r="A908" t="s">
        <v>4390</v>
      </c>
      <c r="B908" t="s">
        <v>4391</v>
      </c>
      <c r="C908" t="s">
        <v>8729</v>
      </c>
      <c r="E908" s="18"/>
    </row>
    <row r="909" spans="1:6" x14ac:dyDescent="0.3">
      <c r="A909" t="s">
        <v>4394</v>
      </c>
      <c r="B909" t="s">
        <v>4395</v>
      </c>
      <c r="C909" t="s">
        <v>8730</v>
      </c>
      <c r="D909" t="s">
        <v>7787</v>
      </c>
      <c r="E909" s="18">
        <v>45772</v>
      </c>
    </row>
    <row r="910" spans="1:6" x14ac:dyDescent="0.3">
      <c r="A910" t="s">
        <v>4397</v>
      </c>
      <c r="B910" t="s">
        <v>4398</v>
      </c>
      <c r="C910" t="s">
        <v>8731</v>
      </c>
      <c r="D910" t="s">
        <v>7796</v>
      </c>
      <c r="E910" s="18">
        <v>45965</v>
      </c>
      <c r="F910" s="52" t="s">
        <v>37</v>
      </c>
    </row>
    <row r="911" spans="1:6" x14ac:dyDescent="0.3">
      <c r="A911" t="s">
        <v>4401</v>
      </c>
      <c r="B911" t="s">
        <v>4402</v>
      </c>
      <c r="C911" t="s">
        <v>8732</v>
      </c>
      <c r="E911" s="18"/>
      <c r="F911" s="52" t="s">
        <v>37</v>
      </c>
    </row>
    <row r="912" spans="1:6" x14ac:dyDescent="0.3">
      <c r="A912" t="s">
        <v>4404</v>
      </c>
      <c r="B912" t="s">
        <v>4405</v>
      </c>
      <c r="C912" t="s">
        <v>8733</v>
      </c>
      <c r="E912" s="18"/>
    </row>
    <row r="913" spans="1:6" x14ac:dyDescent="0.3">
      <c r="A913" t="s">
        <v>4407</v>
      </c>
      <c r="B913" t="s">
        <v>4408</v>
      </c>
      <c r="C913" t="s">
        <v>8734</v>
      </c>
      <c r="D913" t="s">
        <v>7789</v>
      </c>
      <c r="E913" s="18">
        <v>45891</v>
      </c>
    </row>
    <row r="914" spans="1:6" x14ac:dyDescent="0.3">
      <c r="A914" t="s">
        <v>4411</v>
      </c>
      <c r="B914" t="s">
        <v>4412</v>
      </c>
      <c r="C914" t="s">
        <v>8735</v>
      </c>
      <c r="E914" s="18"/>
    </row>
    <row r="915" spans="1:6" x14ac:dyDescent="0.3">
      <c r="A915" t="s">
        <v>4414</v>
      </c>
      <c r="B915" t="s">
        <v>4415</v>
      </c>
      <c r="C915" t="s">
        <v>8736</v>
      </c>
      <c r="D915" t="s">
        <v>7787</v>
      </c>
      <c r="E915" s="18"/>
    </row>
    <row r="916" spans="1:6" x14ac:dyDescent="0.3">
      <c r="A916" t="s">
        <v>4421</v>
      </c>
      <c r="B916" t="s">
        <v>4422</v>
      </c>
      <c r="C916" t="s">
        <v>8737</v>
      </c>
      <c r="E916" s="18"/>
    </row>
    <row r="917" spans="1:6" x14ac:dyDescent="0.3">
      <c r="A917" t="s">
        <v>4425</v>
      </c>
      <c r="B917" t="s">
        <v>4426</v>
      </c>
      <c r="C917" t="s">
        <v>8738</v>
      </c>
      <c r="D917" t="s">
        <v>7912</v>
      </c>
      <c r="E917" s="18">
        <v>45975</v>
      </c>
    </row>
    <row r="918" spans="1:6" x14ac:dyDescent="0.3">
      <c r="A918" t="s">
        <v>4429</v>
      </c>
      <c r="B918" t="s">
        <v>4430</v>
      </c>
      <c r="C918" t="s">
        <v>8739</v>
      </c>
      <c r="D918" t="s">
        <v>7787</v>
      </c>
      <c r="E918" s="18">
        <v>45964</v>
      </c>
      <c r="F918" s="52" t="s">
        <v>37</v>
      </c>
    </row>
    <row r="919" spans="1:6" x14ac:dyDescent="0.3">
      <c r="A919" t="s">
        <v>4433</v>
      </c>
      <c r="B919" t="s">
        <v>4434</v>
      </c>
      <c r="C919" t="s">
        <v>8740</v>
      </c>
      <c r="D919" t="s">
        <v>7796</v>
      </c>
      <c r="E919" s="18"/>
      <c r="F919" s="52" t="s">
        <v>37</v>
      </c>
    </row>
    <row r="920" spans="1:6" x14ac:dyDescent="0.3">
      <c r="A920" t="s">
        <v>4436</v>
      </c>
      <c r="B920" t="s">
        <v>4437</v>
      </c>
      <c r="C920" t="s">
        <v>8741</v>
      </c>
      <c r="D920" t="s">
        <v>7785</v>
      </c>
      <c r="E920" s="18">
        <v>45803</v>
      </c>
    </row>
    <row r="921" spans="1:6" x14ac:dyDescent="0.3">
      <c r="A921" t="s">
        <v>4440</v>
      </c>
      <c r="B921" t="s">
        <v>4441</v>
      </c>
      <c r="C921" t="s">
        <v>8742</v>
      </c>
      <c r="D921" t="s">
        <v>7789</v>
      </c>
      <c r="E921" s="18"/>
    </row>
    <row r="922" spans="1:6" x14ac:dyDescent="0.3">
      <c r="A922" t="s">
        <v>4444</v>
      </c>
      <c r="B922" t="s">
        <v>4445</v>
      </c>
      <c r="C922" t="s">
        <v>8743</v>
      </c>
      <c r="E922" s="18"/>
    </row>
    <row r="923" spans="1:6" x14ac:dyDescent="0.3">
      <c r="A923" t="s">
        <v>4447</v>
      </c>
      <c r="B923" t="s">
        <v>4448</v>
      </c>
      <c r="C923" t="s">
        <v>8744</v>
      </c>
      <c r="E923" s="18"/>
    </row>
    <row r="924" spans="1:6" x14ac:dyDescent="0.3">
      <c r="A924" t="s">
        <v>4451</v>
      </c>
      <c r="B924" t="s">
        <v>4452</v>
      </c>
      <c r="C924" t="s">
        <v>8745</v>
      </c>
      <c r="E924" s="18"/>
    </row>
    <row r="925" spans="1:6" x14ac:dyDescent="0.3">
      <c r="A925" t="s">
        <v>4454</v>
      </c>
      <c r="B925" t="s">
        <v>4455</v>
      </c>
      <c r="C925" t="s">
        <v>8746</v>
      </c>
      <c r="E925" s="18"/>
    </row>
    <row r="926" spans="1:6" x14ac:dyDescent="0.3">
      <c r="A926" t="s">
        <v>4464</v>
      </c>
      <c r="B926" t="s">
        <v>4465</v>
      </c>
      <c r="C926" t="s">
        <v>8747</v>
      </c>
      <c r="D926" t="s">
        <v>7787</v>
      </c>
      <c r="E926" s="18">
        <v>45719</v>
      </c>
    </row>
    <row r="927" spans="1:6" x14ac:dyDescent="0.3">
      <c r="A927" t="s">
        <v>4467</v>
      </c>
      <c r="B927" t="s">
        <v>4468</v>
      </c>
      <c r="C927" t="s">
        <v>8748</v>
      </c>
      <c r="D927" t="s">
        <v>7785</v>
      </c>
      <c r="E927" s="18">
        <v>45957</v>
      </c>
      <c r="F927" s="52" t="s">
        <v>37</v>
      </c>
    </row>
    <row r="928" spans="1:6" x14ac:dyDescent="0.3">
      <c r="A928" t="s">
        <v>4471</v>
      </c>
      <c r="B928" t="s">
        <v>4472</v>
      </c>
      <c r="C928" t="s">
        <v>8749</v>
      </c>
      <c r="E928" s="18"/>
    </row>
    <row r="929" spans="1:6" x14ac:dyDescent="0.3">
      <c r="A929" t="s">
        <v>4474</v>
      </c>
      <c r="B929" t="s">
        <v>4475</v>
      </c>
      <c r="C929" t="s">
        <v>8750</v>
      </c>
      <c r="D929" t="s">
        <v>7787</v>
      </c>
      <c r="E929" s="18">
        <v>45940</v>
      </c>
      <c r="F929" s="52" t="s">
        <v>37</v>
      </c>
    </row>
    <row r="930" spans="1:6" x14ac:dyDescent="0.3">
      <c r="A930" t="s">
        <v>4480</v>
      </c>
      <c r="B930" t="s">
        <v>4481</v>
      </c>
      <c r="C930" t="s">
        <v>8751</v>
      </c>
      <c r="D930" t="s">
        <v>7787</v>
      </c>
      <c r="E930" s="18"/>
    </row>
    <row r="931" spans="1:6" x14ac:dyDescent="0.3">
      <c r="A931" t="s">
        <v>4487</v>
      </c>
      <c r="B931" t="s">
        <v>4488</v>
      </c>
      <c r="C931" t="s">
        <v>8752</v>
      </c>
      <c r="D931" t="s">
        <v>7787</v>
      </c>
      <c r="E931" s="18">
        <v>45761</v>
      </c>
    </row>
    <row r="932" spans="1:6" x14ac:dyDescent="0.3">
      <c r="A932" t="s">
        <v>4491</v>
      </c>
      <c r="B932" t="s">
        <v>4492</v>
      </c>
      <c r="C932" t="s">
        <v>8753</v>
      </c>
      <c r="D932" t="s">
        <v>7787</v>
      </c>
      <c r="E932" s="18">
        <v>45987</v>
      </c>
      <c r="F932" s="52" t="s">
        <v>37</v>
      </c>
    </row>
    <row r="933" spans="1:6" x14ac:dyDescent="0.3">
      <c r="A933" t="s">
        <v>4494</v>
      </c>
      <c r="B933" t="s">
        <v>4495</v>
      </c>
      <c r="C933" t="s">
        <v>8754</v>
      </c>
      <c r="D933" t="s">
        <v>7789</v>
      </c>
      <c r="E933" s="18">
        <v>45903</v>
      </c>
    </row>
    <row r="934" spans="1:6" x14ac:dyDescent="0.3">
      <c r="A934" t="s">
        <v>4498</v>
      </c>
      <c r="B934" t="s">
        <v>4499</v>
      </c>
      <c r="C934" t="s">
        <v>8755</v>
      </c>
      <c r="D934" t="s">
        <v>7787</v>
      </c>
      <c r="E934" s="18">
        <v>46034</v>
      </c>
    </row>
    <row r="935" spans="1:6" x14ac:dyDescent="0.3">
      <c r="A935" t="s">
        <v>4505</v>
      </c>
      <c r="B935" t="s">
        <v>4506</v>
      </c>
      <c r="C935" t="s">
        <v>8756</v>
      </c>
      <c r="E935" s="18"/>
    </row>
    <row r="936" spans="1:6" x14ac:dyDescent="0.3">
      <c r="A936" t="s">
        <v>4509</v>
      </c>
      <c r="B936" t="s">
        <v>4510</v>
      </c>
      <c r="C936" t="s">
        <v>8757</v>
      </c>
      <c r="D936" t="s">
        <v>7789</v>
      </c>
      <c r="E936" s="18">
        <v>45936</v>
      </c>
    </row>
    <row r="937" spans="1:6" x14ac:dyDescent="0.3">
      <c r="A937" t="s">
        <v>4513</v>
      </c>
      <c r="B937" t="s">
        <v>4514</v>
      </c>
      <c r="C937" t="s">
        <v>8758</v>
      </c>
      <c r="E937" s="18"/>
    </row>
    <row r="938" spans="1:6" x14ac:dyDescent="0.3">
      <c r="A938" t="s">
        <v>4516</v>
      </c>
      <c r="B938" t="s">
        <v>4517</v>
      </c>
      <c r="C938" t="s">
        <v>8759</v>
      </c>
      <c r="D938" t="s">
        <v>7787</v>
      </c>
      <c r="E938" s="18">
        <v>45783</v>
      </c>
    </row>
    <row r="939" spans="1:6" x14ac:dyDescent="0.3">
      <c r="A939" t="s">
        <v>4543</v>
      </c>
      <c r="B939" t="s">
        <v>4544</v>
      </c>
      <c r="C939" t="s">
        <v>8760</v>
      </c>
      <c r="D939" t="s">
        <v>7796</v>
      </c>
      <c r="E939" s="18"/>
    </row>
    <row r="940" spans="1:6" x14ac:dyDescent="0.3">
      <c r="A940" t="s">
        <v>4546</v>
      </c>
      <c r="B940" t="s">
        <v>4547</v>
      </c>
      <c r="C940" t="s">
        <v>8761</v>
      </c>
      <c r="D940" t="s">
        <v>7787</v>
      </c>
      <c r="E940" s="18"/>
    </row>
    <row r="941" spans="1:6" x14ac:dyDescent="0.3">
      <c r="A941" t="s">
        <v>4549</v>
      </c>
      <c r="B941" t="s">
        <v>4550</v>
      </c>
      <c r="C941" t="s">
        <v>8762</v>
      </c>
      <c r="E941" s="18"/>
    </row>
    <row r="942" spans="1:6" x14ac:dyDescent="0.3">
      <c r="A942" t="s">
        <v>4552</v>
      </c>
      <c r="B942" t="s">
        <v>4553</v>
      </c>
      <c r="C942" t="s">
        <v>8763</v>
      </c>
      <c r="D942" t="s">
        <v>7787</v>
      </c>
      <c r="E942" s="18"/>
    </row>
    <row r="943" spans="1:6" x14ac:dyDescent="0.3">
      <c r="A943" t="s">
        <v>4555</v>
      </c>
      <c r="B943" t="s">
        <v>4556</v>
      </c>
      <c r="C943" t="s">
        <v>8764</v>
      </c>
      <c r="E943" s="18"/>
    </row>
    <row r="944" spans="1:6" x14ac:dyDescent="0.3">
      <c r="A944" t="s">
        <v>4559</v>
      </c>
      <c r="B944" t="s">
        <v>4560</v>
      </c>
      <c r="C944" t="s">
        <v>8765</v>
      </c>
      <c r="E944" s="18"/>
    </row>
    <row r="945" spans="1:6" x14ac:dyDescent="0.3">
      <c r="A945" t="s">
        <v>4565</v>
      </c>
      <c r="B945" t="s">
        <v>4566</v>
      </c>
      <c r="C945" t="s">
        <v>8766</v>
      </c>
      <c r="D945" t="s">
        <v>7787</v>
      </c>
      <c r="E945" s="18">
        <v>45750</v>
      </c>
    </row>
    <row r="946" spans="1:6" x14ac:dyDescent="0.3">
      <c r="A946" t="s">
        <v>4573</v>
      </c>
      <c r="B946" t="s">
        <v>4574</v>
      </c>
      <c r="C946" t="s">
        <v>8767</v>
      </c>
      <c r="D946" t="s">
        <v>7787</v>
      </c>
      <c r="E946" s="18">
        <v>45961</v>
      </c>
      <c r="F946" s="52" t="s">
        <v>37</v>
      </c>
    </row>
    <row r="947" spans="1:6" x14ac:dyDescent="0.3">
      <c r="A947" t="s">
        <v>4581</v>
      </c>
      <c r="B947" t="s">
        <v>4582</v>
      </c>
      <c r="C947" t="s">
        <v>8768</v>
      </c>
      <c r="D947" t="s">
        <v>7787</v>
      </c>
      <c r="E947" s="18"/>
    </row>
    <row r="948" spans="1:6" x14ac:dyDescent="0.3">
      <c r="A948" t="s">
        <v>4592</v>
      </c>
      <c r="B948" t="s">
        <v>4593</v>
      </c>
      <c r="C948" t="s">
        <v>8769</v>
      </c>
      <c r="E948" s="18"/>
    </row>
    <row r="949" spans="1:6" x14ac:dyDescent="0.3">
      <c r="A949" t="s">
        <v>4595</v>
      </c>
      <c r="B949" t="s">
        <v>4596</v>
      </c>
      <c r="C949" t="s">
        <v>8770</v>
      </c>
      <c r="D949" t="s">
        <v>7787</v>
      </c>
      <c r="E949" s="18"/>
    </row>
    <row r="950" spans="1:6" x14ac:dyDescent="0.3">
      <c r="A950" t="s">
        <v>4604</v>
      </c>
      <c r="B950" t="s">
        <v>4605</v>
      </c>
      <c r="C950" t="s">
        <v>8771</v>
      </c>
      <c r="E950" s="18"/>
    </row>
    <row r="951" spans="1:6" x14ac:dyDescent="0.3">
      <c r="A951" t="s">
        <v>4607</v>
      </c>
      <c r="B951" t="s">
        <v>4608</v>
      </c>
      <c r="C951" t="s">
        <v>8772</v>
      </c>
      <c r="E951" s="18"/>
    </row>
    <row r="952" spans="1:6" x14ac:dyDescent="0.3">
      <c r="A952" t="s">
        <v>4614</v>
      </c>
      <c r="B952" t="s">
        <v>4615</v>
      </c>
      <c r="C952" t="s">
        <v>8773</v>
      </c>
      <c r="D952" t="s">
        <v>7787</v>
      </c>
      <c r="E952" s="18"/>
    </row>
    <row r="953" spans="1:6" x14ac:dyDescent="0.3">
      <c r="A953" t="s">
        <v>4617</v>
      </c>
      <c r="B953" t="s">
        <v>4618</v>
      </c>
      <c r="C953" t="s">
        <v>8774</v>
      </c>
      <c r="D953" t="s">
        <v>7787</v>
      </c>
      <c r="E953" s="18">
        <v>45926</v>
      </c>
      <c r="F953" s="52" t="s">
        <v>37</v>
      </c>
    </row>
    <row r="954" spans="1:6" x14ac:dyDescent="0.3">
      <c r="A954" t="s">
        <v>4621</v>
      </c>
      <c r="B954" t="s">
        <v>4622</v>
      </c>
      <c r="C954" t="s">
        <v>8775</v>
      </c>
      <c r="D954" t="s">
        <v>7789</v>
      </c>
      <c r="E954" s="18"/>
    </row>
    <row r="955" spans="1:6" x14ac:dyDescent="0.3">
      <c r="A955" t="s">
        <v>4624</v>
      </c>
      <c r="B955" t="s">
        <v>4625</v>
      </c>
      <c r="C955" t="s">
        <v>8776</v>
      </c>
      <c r="D955" t="s">
        <v>7787</v>
      </c>
      <c r="E955" s="18">
        <v>45783</v>
      </c>
    </row>
    <row r="956" spans="1:6" x14ac:dyDescent="0.3">
      <c r="A956" t="s">
        <v>4628</v>
      </c>
      <c r="B956" t="s">
        <v>4629</v>
      </c>
      <c r="C956" t="s">
        <v>8777</v>
      </c>
      <c r="D956" t="s">
        <v>7787</v>
      </c>
      <c r="E956" s="18">
        <v>46008</v>
      </c>
    </row>
    <row r="957" spans="1:6" x14ac:dyDescent="0.3">
      <c r="A957" t="s">
        <v>4631</v>
      </c>
      <c r="B957" t="s">
        <v>4632</v>
      </c>
      <c r="C957" t="s">
        <v>8778</v>
      </c>
      <c r="E957" s="18"/>
    </row>
    <row r="958" spans="1:6" x14ac:dyDescent="0.3">
      <c r="A958" t="s">
        <v>4635</v>
      </c>
      <c r="B958" t="s">
        <v>4636</v>
      </c>
      <c r="C958" t="s">
        <v>8779</v>
      </c>
      <c r="D958" t="s">
        <v>7787</v>
      </c>
      <c r="E958" s="18">
        <v>45930</v>
      </c>
      <c r="F958" s="52" t="s">
        <v>37</v>
      </c>
    </row>
    <row r="959" spans="1:6" x14ac:dyDescent="0.3">
      <c r="A959" t="s">
        <v>4642</v>
      </c>
      <c r="B959" t="s">
        <v>4643</v>
      </c>
      <c r="C959" t="s">
        <v>8780</v>
      </c>
      <c r="E959" s="18"/>
    </row>
    <row r="960" spans="1:6" x14ac:dyDescent="0.3">
      <c r="A960" t="s">
        <v>4645</v>
      </c>
      <c r="B960" t="s">
        <v>4646</v>
      </c>
      <c r="C960" t="s">
        <v>8781</v>
      </c>
      <c r="E960" s="18"/>
    </row>
    <row r="961" spans="1:6" x14ac:dyDescent="0.3">
      <c r="A961" t="s">
        <v>4649</v>
      </c>
      <c r="B961" t="s">
        <v>4650</v>
      </c>
      <c r="C961" t="s">
        <v>8782</v>
      </c>
      <c r="D961" t="s">
        <v>7785</v>
      </c>
      <c r="E961" s="18">
        <v>45958</v>
      </c>
      <c r="F961" s="52" t="s">
        <v>37</v>
      </c>
    </row>
    <row r="962" spans="1:6" x14ac:dyDescent="0.3">
      <c r="A962" t="s">
        <v>4656</v>
      </c>
      <c r="B962" t="s">
        <v>4657</v>
      </c>
      <c r="C962" t="s">
        <v>8783</v>
      </c>
      <c r="D962" t="s">
        <v>7867</v>
      </c>
      <c r="E962" s="18"/>
    </row>
    <row r="963" spans="1:6" x14ac:dyDescent="0.3">
      <c r="A963" t="s">
        <v>4662</v>
      </c>
      <c r="B963" t="s">
        <v>4663</v>
      </c>
      <c r="C963" t="s">
        <v>8784</v>
      </c>
      <c r="E963" s="18"/>
    </row>
    <row r="964" spans="1:6" x14ac:dyDescent="0.3">
      <c r="A964" t="s">
        <v>4666</v>
      </c>
      <c r="B964" t="s">
        <v>4667</v>
      </c>
      <c r="C964" t="s">
        <v>8785</v>
      </c>
      <c r="D964" t="s">
        <v>7798</v>
      </c>
      <c r="E964" s="18">
        <v>45754</v>
      </c>
    </row>
    <row r="965" spans="1:6" x14ac:dyDescent="0.3">
      <c r="A965" t="s">
        <v>4682</v>
      </c>
      <c r="B965" t="s">
        <v>4683</v>
      </c>
      <c r="C965" t="s">
        <v>8786</v>
      </c>
      <c r="D965" t="s">
        <v>7804</v>
      </c>
      <c r="E965" s="18">
        <v>45783</v>
      </c>
    </row>
    <row r="966" spans="1:6" x14ac:dyDescent="0.3">
      <c r="A966" t="s">
        <v>4686</v>
      </c>
      <c r="B966" t="s">
        <v>4687</v>
      </c>
      <c r="C966" t="s">
        <v>8787</v>
      </c>
      <c r="D966" t="s">
        <v>7785</v>
      </c>
      <c r="E966" s="18">
        <v>45742</v>
      </c>
    </row>
    <row r="967" spans="1:6" x14ac:dyDescent="0.3">
      <c r="A967" t="s">
        <v>4689</v>
      </c>
      <c r="B967" t="s">
        <v>4690</v>
      </c>
      <c r="C967" t="s">
        <v>8788</v>
      </c>
      <c r="D967" t="s">
        <v>7785</v>
      </c>
      <c r="E967" s="18"/>
      <c r="F967" s="52" t="s">
        <v>37</v>
      </c>
    </row>
    <row r="968" spans="1:6" x14ac:dyDescent="0.3">
      <c r="A968" t="s">
        <v>4693</v>
      </c>
      <c r="B968" t="s">
        <v>4694</v>
      </c>
      <c r="C968" t="s">
        <v>8789</v>
      </c>
      <c r="D968" t="s">
        <v>7787</v>
      </c>
      <c r="E968" s="18">
        <v>45974</v>
      </c>
    </row>
    <row r="969" spans="1:6" x14ac:dyDescent="0.3">
      <c r="A969" t="s">
        <v>4700</v>
      </c>
      <c r="B969" t="s">
        <v>4701</v>
      </c>
      <c r="C969" t="s">
        <v>8790</v>
      </c>
      <c r="E969" s="18"/>
    </row>
    <row r="970" spans="1:6" x14ac:dyDescent="0.3">
      <c r="A970" t="s">
        <v>4704</v>
      </c>
      <c r="B970" t="s">
        <v>4705</v>
      </c>
      <c r="C970" t="s">
        <v>8791</v>
      </c>
      <c r="D970" t="s">
        <v>7787</v>
      </c>
      <c r="E970" s="18"/>
    </row>
    <row r="971" spans="1:6" x14ac:dyDescent="0.3">
      <c r="A971" t="s">
        <v>4711</v>
      </c>
      <c r="B971" t="s">
        <v>4712</v>
      </c>
      <c r="C971" t="s">
        <v>8792</v>
      </c>
      <c r="D971" t="s">
        <v>7796</v>
      </c>
      <c r="E971" s="18">
        <v>45783</v>
      </c>
    </row>
    <row r="972" spans="1:6" x14ac:dyDescent="0.3">
      <c r="A972" t="s">
        <v>4715</v>
      </c>
      <c r="B972" t="s">
        <v>4716</v>
      </c>
      <c r="C972" t="s">
        <v>8793</v>
      </c>
      <c r="D972" t="s">
        <v>7787</v>
      </c>
      <c r="E972" s="18">
        <v>45737</v>
      </c>
    </row>
    <row r="973" spans="1:6" x14ac:dyDescent="0.3">
      <c r="A973" t="s">
        <v>4718</v>
      </c>
      <c r="B973" t="s">
        <v>4719</v>
      </c>
      <c r="C973" t="s">
        <v>8794</v>
      </c>
      <c r="D973" t="s">
        <v>7787</v>
      </c>
      <c r="E973" s="18"/>
    </row>
    <row r="974" spans="1:6" x14ac:dyDescent="0.3">
      <c r="A974" t="s">
        <v>4724</v>
      </c>
      <c r="B974" t="s">
        <v>4725</v>
      </c>
      <c r="C974" t="s">
        <v>8795</v>
      </c>
      <c r="D974" t="s">
        <v>7785</v>
      </c>
      <c r="E974" s="18"/>
    </row>
    <row r="975" spans="1:6" x14ac:dyDescent="0.3">
      <c r="A975" t="s">
        <v>4730</v>
      </c>
      <c r="B975" t="s">
        <v>4731</v>
      </c>
      <c r="C975" t="s">
        <v>8796</v>
      </c>
      <c r="E975" s="18"/>
    </row>
    <row r="976" spans="1:6" x14ac:dyDescent="0.3">
      <c r="A976" t="s">
        <v>4733</v>
      </c>
      <c r="B976" t="s">
        <v>4734</v>
      </c>
      <c r="C976" t="s">
        <v>8797</v>
      </c>
      <c r="E976" s="18"/>
    </row>
    <row r="977" spans="1:6" x14ac:dyDescent="0.3">
      <c r="A977" t="s">
        <v>4740</v>
      </c>
      <c r="B977" t="s">
        <v>4741</v>
      </c>
      <c r="C977" t="s">
        <v>8798</v>
      </c>
      <c r="D977" t="s">
        <v>7787</v>
      </c>
      <c r="E977" s="18">
        <v>46051</v>
      </c>
    </row>
    <row r="978" spans="1:6" x14ac:dyDescent="0.3">
      <c r="A978" t="s">
        <v>4744</v>
      </c>
      <c r="B978" t="s">
        <v>4745</v>
      </c>
      <c r="C978" t="s">
        <v>8799</v>
      </c>
      <c r="E978" s="18"/>
    </row>
    <row r="979" spans="1:6" x14ac:dyDescent="0.3">
      <c r="A979" t="s">
        <v>4750</v>
      </c>
      <c r="B979" t="s">
        <v>4751</v>
      </c>
      <c r="C979" t="s">
        <v>8800</v>
      </c>
      <c r="D979" t="s">
        <v>7787</v>
      </c>
      <c r="E979" s="18">
        <v>46031</v>
      </c>
    </row>
    <row r="980" spans="1:6" x14ac:dyDescent="0.3">
      <c r="A980" t="s">
        <v>4761</v>
      </c>
      <c r="B980" t="s">
        <v>4762</v>
      </c>
      <c r="C980" t="s">
        <v>8801</v>
      </c>
      <c r="D980" t="s">
        <v>7785</v>
      </c>
      <c r="E980" s="18">
        <v>45950</v>
      </c>
    </row>
    <row r="981" spans="1:6" x14ac:dyDescent="0.3">
      <c r="A981" t="s">
        <v>4765</v>
      </c>
      <c r="B981" t="s">
        <v>4766</v>
      </c>
      <c r="C981" t="s">
        <v>8802</v>
      </c>
      <c r="D981" t="s">
        <v>7787</v>
      </c>
      <c r="E981" s="18"/>
    </row>
    <row r="982" spans="1:6" x14ac:dyDescent="0.3">
      <c r="A982" t="s">
        <v>4768</v>
      </c>
      <c r="B982" t="s">
        <v>4769</v>
      </c>
      <c r="C982" t="s">
        <v>8803</v>
      </c>
      <c r="D982" t="s">
        <v>7787</v>
      </c>
      <c r="E982" s="18">
        <v>45959</v>
      </c>
      <c r="F982" s="52" t="s">
        <v>37</v>
      </c>
    </row>
    <row r="983" spans="1:6" x14ac:dyDescent="0.3">
      <c r="A983" t="s">
        <v>4772</v>
      </c>
      <c r="B983" t="s">
        <v>4773</v>
      </c>
      <c r="C983" t="s">
        <v>8804</v>
      </c>
      <c r="E983" s="18"/>
    </row>
    <row r="984" spans="1:6" x14ac:dyDescent="0.3">
      <c r="A984" t="s">
        <v>4778</v>
      </c>
      <c r="B984" t="s">
        <v>4779</v>
      </c>
      <c r="C984" t="s">
        <v>8805</v>
      </c>
      <c r="D984" t="s">
        <v>7785</v>
      </c>
      <c r="E984" s="18"/>
      <c r="F984" s="52" t="s">
        <v>37</v>
      </c>
    </row>
    <row r="985" spans="1:6" x14ac:dyDescent="0.3">
      <c r="A985" t="s">
        <v>4781</v>
      </c>
      <c r="B985" t="s">
        <v>4782</v>
      </c>
      <c r="C985" t="s">
        <v>8806</v>
      </c>
      <c r="D985" t="s">
        <v>7787</v>
      </c>
      <c r="E985" s="18">
        <v>45993</v>
      </c>
    </row>
    <row r="986" spans="1:6" x14ac:dyDescent="0.3">
      <c r="A986" t="s">
        <v>4785</v>
      </c>
      <c r="B986" t="s">
        <v>4786</v>
      </c>
      <c r="C986" t="s">
        <v>8807</v>
      </c>
      <c r="E986" s="18"/>
      <c r="F986" s="52" t="s">
        <v>37</v>
      </c>
    </row>
    <row r="987" spans="1:6" x14ac:dyDescent="0.3">
      <c r="A987" t="s">
        <v>4789</v>
      </c>
      <c r="B987" t="s">
        <v>4790</v>
      </c>
      <c r="C987" t="s">
        <v>8808</v>
      </c>
      <c r="D987" t="s">
        <v>7787</v>
      </c>
      <c r="E987" s="18">
        <v>45958</v>
      </c>
    </row>
    <row r="988" spans="1:6" x14ac:dyDescent="0.3">
      <c r="A988" t="s">
        <v>4796</v>
      </c>
      <c r="B988" t="s">
        <v>4797</v>
      </c>
      <c r="C988" t="s">
        <v>8809</v>
      </c>
      <c r="D988" t="s">
        <v>7787</v>
      </c>
      <c r="E988" s="18"/>
    </row>
    <row r="989" spans="1:6" x14ac:dyDescent="0.3">
      <c r="A989" t="s">
        <v>4810</v>
      </c>
      <c r="B989" t="s">
        <v>4811</v>
      </c>
      <c r="C989" t="s">
        <v>8810</v>
      </c>
      <c r="D989" t="s">
        <v>7824</v>
      </c>
      <c r="E989" s="18"/>
    </row>
    <row r="990" spans="1:6" x14ac:dyDescent="0.3">
      <c r="A990" t="s">
        <v>4813</v>
      </c>
      <c r="B990" t="s">
        <v>4814</v>
      </c>
      <c r="C990" t="s">
        <v>8811</v>
      </c>
      <c r="E990" s="18"/>
    </row>
    <row r="991" spans="1:6" x14ac:dyDescent="0.3">
      <c r="A991" t="s">
        <v>4817</v>
      </c>
      <c r="B991" t="s">
        <v>4818</v>
      </c>
      <c r="C991" t="s">
        <v>8812</v>
      </c>
      <c r="D991" t="s">
        <v>7787</v>
      </c>
      <c r="E991" s="18"/>
    </row>
    <row r="992" spans="1:6" x14ac:dyDescent="0.3">
      <c r="A992" t="s">
        <v>4820</v>
      </c>
      <c r="B992" t="s">
        <v>4821</v>
      </c>
      <c r="C992" t="s">
        <v>8813</v>
      </c>
      <c r="D992" t="s">
        <v>7796</v>
      </c>
      <c r="E992" s="18">
        <v>45891</v>
      </c>
    </row>
    <row r="993" spans="1:6" x14ac:dyDescent="0.3">
      <c r="A993" t="s">
        <v>4824</v>
      </c>
      <c r="B993" t="s">
        <v>4825</v>
      </c>
      <c r="C993" t="s">
        <v>8814</v>
      </c>
      <c r="D993" t="s">
        <v>7787</v>
      </c>
      <c r="E993" s="18">
        <v>45783</v>
      </c>
    </row>
    <row r="994" spans="1:6" x14ac:dyDescent="0.3">
      <c r="A994" t="s">
        <v>4834</v>
      </c>
      <c r="B994" t="s">
        <v>4835</v>
      </c>
      <c r="C994" t="s">
        <v>8815</v>
      </c>
      <c r="E994" s="18">
        <v>45891</v>
      </c>
    </row>
    <row r="995" spans="1:6" x14ac:dyDescent="0.3">
      <c r="A995" t="s">
        <v>4838</v>
      </c>
      <c r="B995" t="s">
        <v>4839</v>
      </c>
      <c r="C995" t="s">
        <v>8816</v>
      </c>
      <c r="E995" s="18"/>
    </row>
    <row r="996" spans="1:6" x14ac:dyDescent="0.3">
      <c r="A996" t="s">
        <v>4845</v>
      </c>
      <c r="B996" t="s">
        <v>4846</v>
      </c>
      <c r="C996" t="s">
        <v>8817</v>
      </c>
      <c r="D996" t="s">
        <v>7785</v>
      </c>
      <c r="E996" s="18">
        <v>45828</v>
      </c>
    </row>
    <row r="997" spans="1:6" x14ac:dyDescent="0.3">
      <c r="A997" t="s">
        <v>4849</v>
      </c>
      <c r="B997" t="s">
        <v>4850</v>
      </c>
      <c r="C997" t="s">
        <v>8818</v>
      </c>
      <c r="D997" t="s">
        <v>7787</v>
      </c>
      <c r="E997" s="18">
        <v>45940</v>
      </c>
    </row>
    <row r="998" spans="1:6" x14ac:dyDescent="0.3">
      <c r="A998" t="s">
        <v>4853</v>
      </c>
      <c r="B998" t="s">
        <v>4854</v>
      </c>
      <c r="C998" t="s">
        <v>8819</v>
      </c>
      <c r="D998" t="s">
        <v>7787</v>
      </c>
      <c r="E998" s="18">
        <v>45820</v>
      </c>
    </row>
    <row r="999" spans="1:6" x14ac:dyDescent="0.3">
      <c r="A999" t="s">
        <v>4860</v>
      </c>
      <c r="B999" t="s">
        <v>4861</v>
      </c>
      <c r="C999" t="s">
        <v>8820</v>
      </c>
      <c r="D999" t="s">
        <v>7787</v>
      </c>
      <c r="E999" s="18">
        <v>45722</v>
      </c>
    </row>
    <row r="1000" spans="1:6" x14ac:dyDescent="0.3">
      <c r="A1000" t="s">
        <v>4863</v>
      </c>
      <c r="B1000" t="s">
        <v>4864</v>
      </c>
      <c r="C1000" t="s">
        <v>8821</v>
      </c>
      <c r="E1000" s="18"/>
    </row>
    <row r="1001" spans="1:6" x14ac:dyDescent="0.3">
      <c r="A1001" t="s">
        <v>4870</v>
      </c>
      <c r="B1001" t="s">
        <v>4871</v>
      </c>
      <c r="C1001" t="s">
        <v>8822</v>
      </c>
      <c r="D1001" t="s">
        <v>7787</v>
      </c>
      <c r="E1001" s="18">
        <v>45783</v>
      </c>
    </row>
    <row r="1002" spans="1:6" x14ac:dyDescent="0.3">
      <c r="A1002" t="s">
        <v>4874</v>
      </c>
      <c r="B1002" t="s">
        <v>4875</v>
      </c>
      <c r="C1002" t="s">
        <v>8823</v>
      </c>
      <c r="D1002" t="s">
        <v>7785</v>
      </c>
      <c r="E1002" s="18">
        <v>45796</v>
      </c>
    </row>
    <row r="1003" spans="1:6" x14ac:dyDescent="0.3">
      <c r="A1003" t="s">
        <v>4878</v>
      </c>
      <c r="B1003" t="s">
        <v>4879</v>
      </c>
      <c r="C1003" t="s">
        <v>8824</v>
      </c>
      <c r="D1003" t="s">
        <v>7796</v>
      </c>
      <c r="E1003" s="18">
        <v>45944</v>
      </c>
      <c r="F1003" s="52" t="s">
        <v>37</v>
      </c>
    </row>
    <row r="1004" spans="1:6" x14ac:dyDescent="0.3">
      <c r="A1004" t="s">
        <v>4885</v>
      </c>
      <c r="B1004" t="s">
        <v>4886</v>
      </c>
      <c r="C1004" t="s">
        <v>8825</v>
      </c>
      <c r="E1004" s="18"/>
    </row>
    <row r="1005" spans="1:6" x14ac:dyDescent="0.3">
      <c r="A1005" t="s">
        <v>4895</v>
      </c>
      <c r="B1005" t="s">
        <v>4896</v>
      </c>
      <c r="C1005" t="s">
        <v>7598</v>
      </c>
      <c r="E1005" s="18">
        <v>45959</v>
      </c>
      <c r="F1005" s="52" t="s">
        <v>37</v>
      </c>
    </row>
    <row r="1006" spans="1:6" x14ac:dyDescent="0.3">
      <c r="A1006" t="s">
        <v>4902</v>
      </c>
      <c r="B1006" t="s">
        <v>4903</v>
      </c>
      <c r="C1006" t="s">
        <v>8826</v>
      </c>
      <c r="D1006" t="s">
        <v>7785</v>
      </c>
      <c r="E1006" s="18">
        <v>45996</v>
      </c>
    </row>
    <row r="1007" spans="1:6" x14ac:dyDescent="0.3">
      <c r="A1007" t="s">
        <v>4906</v>
      </c>
      <c r="B1007" t="s">
        <v>4907</v>
      </c>
      <c r="C1007" t="s">
        <v>8827</v>
      </c>
      <c r="D1007" t="s">
        <v>7796</v>
      </c>
      <c r="E1007" s="18">
        <v>45859</v>
      </c>
    </row>
    <row r="1008" spans="1:6" x14ac:dyDescent="0.3">
      <c r="A1008" t="s">
        <v>4913</v>
      </c>
      <c r="B1008" t="s">
        <v>4914</v>
      </c>
      <c r="C1008" t="s">
        <v>8828</v>
      </c>
      <c r="D1008" t="s">
        <v>7787</v>
      </c>
      <c r="E1008" s="18">
        <v>45793</v>
      </c>
    </row>
    <row r="1009" spans="1:6" x14ac:dyDescent="0.3">
      <c r="A1009" t="s">
        <v>4923</v>
      </c>
      <c r="B1009" t="s">
        <v>4924</v>
      </c>
      <c r="C1009" t="s">
        <v>8829</v>
      </c>
      <c r="D1009" t="s">
        <v>7796</v>
      </c>
      <c r="E1009" s="18">
        <v>45761</v>
      </c>
    </row>
    <row r="1010" spans="1:6" x14ac:dyDescent="0.3">
      <c r="A1010" t="s">
        <v>4930</v>
      </c>
      <c r="B1010" t="s">
        <v>4931</v>
      </c>
      <c r="C1010" t="s">
        <v>8830</v>
      </c>
      <c r="D1010" t="s">
        <v>7787</v>
      </c>
      <c r="E1010" s="18">
        <v>45848</v>
      </c>
    </row>
    <row r="1011" spans="1:6" x14ac:dyDescent="0.3">
      <c r="A1011" t="s">
        <v>4937</v>
      </c>
      <c r="B1011" t="s">
        <v>4938</v>
      </c>
      <c r="C1011" t="s">
        <v>8831</v>
      </c>
      <c r="D1011" t="s">
        <v>7789</v>
      </c>
      <c r="E1011" s="18">
        <v>45954</v>
      </c>
    </row>
    <row r="1012" spans="1:6" x14ac:dyDescent="0.3">
      <c r="A1012" t="s">
        <v>4941</v>
      </c>
      <c r="B1012" t="s">
        <v>4942</v>
      </c>
      <c r="C1012" t="s">
        <v>8832</v>
      </c>
      <c r="D1012" t="s">
        <v>7796</v>
      </c>
      <c r="E1012" s="18"/>
      <c r="F1012" s="52" t="s">
        <v>37</v>
      </c>
    </row>
    <row r="1013" spans="1:6" x14ac:dyDescent="0.3">
      <c r="A1013" t="s">
        <v>4944</v>
      </c>
      <c r="B1013" t="s">
        <v>4945</v>
      </c>
      <c r="C1013" t="s">
        <v>8833</v>
      </c>
      <c r="E1013" s="18"/>
    </row>
    <row r="1014" spans="1:6" x14ac:dyDescent="0.3">
      <c r="A1014" t="s">
        <v>4948</v>
      </c>
      <c r="B1014" t="s">
        <v>4949</v>
      </c>
      <c r="C1014" t="s">
        <v>8834</v>
      </c>
      <c r="D1014" t="s">
        <v>7787</v>
      </c>
      <c r="E1014" s="18">
        <v>45784</v>
      </c>
    </row>
    <row r="1015" spans="1:6" x14ac:dyDescent="0.3">
      <c r="A1015" t="s">
        <v>4955</v>
      </c>
      <c r="B1015" t="s">
        <v>4956</v>
      </c>
      <c r="C1015" t="s">
        <v>8835</v>
      </c>
      <c r="E1015" s="18"/>
    </row>
    <row r="1016" spans="1:6" x14ac:dyDescent="0.3">
      <c r="A1016" t="s">
        <v>4962</v>
      </c>
      <c r="B1016" t="s">
        <v>4963</v>
      </c>
      <c r="C1016" t="s">
        <v>8836</v>
      </c>
      <c r="D1016" t="s">
        <v>7787</v>
      </c>
      <c r="E1016" s="18">
        <v>45930</v>
      </c>
    </row>
    <row r="1017" spans="1:6" x14ac:dyDescent="0.3">
      <c r="A1017" t="s">
        <v>4966</v>
      </c>
      <c r="B1017" t="s">
        <v>4967</v>
      </c>
      <c r="C1017" t="s">
        <v>8837</v>
      </c>
      <c r="E1017" s="18"/>
    </row>
    <row r="1018" spans="1:6" x14ac:dyDescent="0.3">
      <c r="A1018" t="s">
        <v>4972</v>
      </c>
      <c r="B1018" t="s">
        <v>4973</v>
      </c>
      <c r="C1018" t="s">
        <v>8838</v>
      </c>
      <c r="E1018" s="18"/>
    </row>
    <row r="1019" spans="1:6" x14ac:dyDescent="0.3">
      <c r="A1019" t="s">
        <v>4976</v>
      </c>
      <c r="B1019" t="s">
        <v>4977</v>
      </c>
      <c r="C1019" t="s">
        <v>8839</v>
      </c>
      <c r="E1019" s="18"/>
    </row>
    <row r="1020" spans="1:6" x14ac:dyDescent="0.3">
      <c r="A1020" t="s">
        <v>4982</v>
      </c>
      <c r="B1020" t="s">
        <v>4983</v>
      </c>
      <c r="C1020" t="s">
        <v>8840</v>
      </c>
      <c r="D1020" t="s">
        <v>7801</v>
      </c>
      <c r="E1020" s="18">
        <v>45958</v>
      </c>
    </row>
    <row r="1021" spans="1:6" x14ac:dyDescent="0.3">
      <c r="A1021" t="s">
        <v>4994</v>
      </c>
      <c r="B1021" t="s">
        <v>4995</v>
      </c>
      <c r="C1021" t="s">
        <v>8841</v>
      </c>
      <c r="E1021" s="18"/>
      <c r="F1021" s="52" t="s">
        <v>37</v>
      </c>
    </row>
    <row r="1022" spans="1:6" x14ac:dyDescent="0.3">
      <c r="A1022" t="s">
        <v>4997</v>
      </c>
      <c r="B1022" t="s">
        <v>4998</v>
      </c>
      <c r="C1022" t="s">
        <v>8842</v>
      </c>
      <c r="D1022" t="s">
        <v>7785</v>
      </c>
      <c r="E1022" s="18">
        <v>45838</v>
      </c>
    </row>
    <row r="1023" spans="1:6" x14ac:dyDescent="0.3">
      <c r="A1023" t="s">
        <v>5003</v>
      </c>
      <c r="B1023" t="s">
        <v>5004</v>
      </c>
      <c r="C1023" t="s">
        <v>8843</v>
      </c>
      <c r="D1023" t="s">
        <v>7785</v>
      </c>
      <c r="E1023" s="18">
        <v>45957</v>
      </c>
      <c r="F1023" s="52" t="s">
        <v>37</v>
      </c>
    </row>
    <row r="1024" spans="1:6" x14ac:dyDescent="0.3">
      <c r="A1024" t="s">
        <v>5010</v>
      </c>
      <c r="B1024" t="s">
        <v>5011</v>
      </c>
      <c r="C1024" t="s">
        <v>8844</v>
      </c>
      <c r="D1024" t="s">
        <v>7789</v>
      </c>
      <c r="E1024" s="18">
        <v>45975</v>
      </c>
    </row>
    <row r="1025" spans="1:6" x14ac:dyDescent="0.3">
      <c r="A1025" t="s">
        <v>5017</v>
      </c>
      <c r="B1025" t="s">
        <v>5018</v>
      </c>
      <c r="C1025" t="s">
        <v>8845</v>
      </c>
      <c r="E1025" s="18"/>
    </row>
    <row r="1026" spans="1:6" x14ac:dyDescent="0.3">
      <c r="A1026" t="s">
        <v>5020</v>
      </c>
      <c r="B1026" t="s">
        <v>5021</v>
      </c>
      <c r="C1026" t="s">
        <v>8846</v>
      </c>
      <c r="E1026" s="18">
        <v>45923</v>
      </c>
    </row>
    <row r="1027" spans="1:6" x14ac:dyDescent="0.3">
      <c r="A1027" t="s">
        <v>5030</v>
      </c>
      <c r="B1027" t="s">
        <v>5031</v>
      </c>
      <c r="C1027" t="s">
        <v>8847</v>
      </c>
      <c r="D1027" t="s">
        <v>7789</v>
      </c>
      <c r="E1027" s="18">
        <v>45975</v>
      </c>
    </row>
    <row r="1028" spans="1:6" x14ac:dyDescent="0.3">
      <c r="A1028" t="s">
        <v>5037</v>
      </c>
      <c r="B1028" t="s">
        <v>5038</v>
      </c>
      <c r="C1028" t="s">
        <v>8848</v>
      </c>
      <c r="E1028" s="18"/>
    </row>
    <row r="1029" spans="1:6" x14ac:dyDescent="0.3">
      <c r="A1029" t="s">
        <v>5044</v>
      </c>
      <c r="B1029" t="s">
        <v>5045</v>
      </c>
      <c r="C1029" t="s">
        <v>8849</v>
      </c>
      <c r="D1029" t="s">
        <v>7798</v>
      </c>
      <c r="E1029" s="18"/>
    </row>
    <row r="1030" spans="1:6" x14ac:dyDescent="0.3">
      <c r="A1030" t="s">
        <v>5051</v>
      </c>
      <c r="B1030" t="s">
        <v>5052</v>
      </c>
      <c r="C1030" t="s">
        <v>8850</v>
      </c>
      <c r="D1030" t="s">
        <v>7787</v>
      </c>
      <c r="E1030" s="18"/>
    </row>
    <row r="1031" spans="1:6" x14ac:dyDescent="0.3">
      <c r="A1031" t="s">
        <v>5063</v>
      </c>
      <c r="B1031" t="s">
        <v>5064</v>
      </c>
      <c r="C1031" t="s">
        <v>8851</v>
      </c>
      <c r="D1031" t="s">
        <v>7787</v>
      </c>
      <c r="E1031" s="18">
        <v>45951</v>
      </c>
    </row>
    <row r="1032" spans="1:6" x14ac:dyDescent="0.3">
      <c r="A1032" t="s">
        <v>5067</v>
      </c>
      <c r="B1032" t="s">
        <v>5068</v>
      </c>
      <c r="C1032" t="s">
        <v>8852</v>
      </c>
      <c r="D1032" t="s">
        <v>7785</v>
      </c>
      <c r="E1032" s="18">
        <v>45735</v>
      </c>
    </row>
    <row r="1033" spans="1:6" x14ac:dyDescent="0.3">
      <c r="A1033" t="s">
        <v>5071</v>
      </c>
      <c r="B1033" t="s">
        <v>5072</v>
      </c>
      <c r="C1033" t="s">
        <v>8853</v>
      </c>
      <c r="D1033" t="s">
        <v>7787</v>
      </c>
      <c r="E1033" s="18">
        <v>45757</v>
      </c>
    </row>
    <row r="1034" spans="1:6" x14ac:dyDescent="0.3">
      <c r="A1034" t="s">
        <v>5081</v>
      </c>
      <c r="B1034" t="s">
        <v>5082</v>
      </c>
      <c r="C1034" t="s">
        <v>8854</v>
      </c>
      <c r="E1034" s="18"/>
      <c r="F1034" s="52" t="s">
        <v>37</v>
      </c>
    </row>
    <row r="1035" spans="1:6" x14ac:dyDescent="0.3">
      <c r="A1035" t="s">
        <v>5085</v>
      </c>
      <c r="B1035" t="s">
        <v>5086</v>
      </c>
      <c r="C1035" t="s">
        <v>8855</v>
      </c>
      <c r="D1035" t="s">
        <v>8160</v>
      </c>
      <c r="E1035" s="18"/>
    </row>
    <row r="1036" spans="1:6" x14ac:dyDescent="0.3">
      <c r="A1036" t="s">
        <v>5092</v>
      </c>
      <c r="B1036" t="s">
        <v>5093</v>
      </c>
      <c r="C1036" t="s">
        <v>8856</v>
      </c>
      <c r="E1036" s="18"/>
    </row>
    <row r="1037" spans="1:6" x14ac:dyDescent="0.3">
      <c r="A1037" t="s">
        <v>5098</v>
      </c>
      <c r="B1037" t="s">
        <v>5099</v>
      </c>
      <c r="C1037" t="s">
        <v>8857</v>
      </c>
      <c r="D1037" t="s">
        <v>7789</v>
      </c>
      <c r="E1037" s="18">
        <v>45993</v>
      </c>
    </row>
    <row r="1038" spans="1:6" x14ac:dyDescent="0.3">
      <c r="A1038" t="s">
        <v>5102</v>
      </c>
      <c r="B1038" t="s">
        <v>5103</v>
      </c>
      <c r="C1038" t="s">
        <v>8858</v>
      </c>
      <c r="E1038" s="18"/>
    </row>
    <row r="1039" spans="1:6" x14ac:dyDescent="0.3">
      <c r="A1039" t="s">
        <v>5106</v>
      </c>
      <c r="B1039" t="s">
        <v>5107</v>
      </c>
      <c r="C1039" t="s">
        <v>8859</v>
      </c>
      <c r="D1039" t="s">
        <v>7789</v>
      </c>
      <c r="E1039" s="18">
        <v>45937</v>
      </c>
    </row>
    <row r="1040" spans="1:6" x14ac:dyDescent="0.3">
      <c r="A1040" t="s">
        <v>5110</v>
      </c>
      <c r="B1040" t="s">
        <v>5111</v>
      </c>
      <c r="C1040" t="s">
        <v>8860</v>
      </c>
      <c r="D1040" t="s">
        <v>7787</v>
      </c>
      <c r="E1040" s="18">
        <v>45959</v>
      </c>
    </row>
    <row r="1041" spans="1:6" x14ac:dyDescent="0.3">
      <c r="A1041" t="s">
        <v>5115</v>
      </c>
      <c r="B1041" t="s">
        <v>5116</v>
      </c>
      <c r="C1041" t="s">
        <v>8861</v>
      </c>
      <c r="D1041" t="s">
        <v>7787</v>
      </c>
      <c r="E1041" s="18">
        <v>45931</v>
      </c>
    </row>
    <row r="1042" spans="1:6" x14ac:dyDescent="0.3">
      <c r="A1042" t="s">
        <v>5122</v>
      </c>
      <c r="B1042" t="s">
        <v>5123</v>
      </c>
      <c r="C1042" t="s">
        <v>8862</v>
      </c>
      <c r="D1042" t="s">
        <v>7787</v>
      </c>
      <c r="E1042" s="18">
        <v>45769</v>
      </c>
    </row>
    <row r="1043" spans="1:6" x14ac:dyDescent="0.3">
      <c r="A1043" t="s">
        <v>5126</v>
      </c>
      <c r="B1043" t="s">
        <v>5127</v>
      </c>
      <c r="C1043" t="s">
        <v>8863</v>
      </c>
      <c r="D1043" t="s">
        <v>7787</v>
      </c>
      <c r="E1043" s="18">
        <v>45993</v>
      </c>
    </row>
    <row r="1044" spans="1:6" x14ac:dyDescent="0.3">
      <c r="A1044" t="s">
        <v>5130</v>
      </c>
      <c r="B1044" t="s">
        <v>5131</v>
      </c>
      <c r="C1044" t="s">
        <v>8864</v>
      </c>
      <c r="D1044" t="s">
        <v>7796</v>
      </c>
      <c r="E1044" s="18">
        <v>45777</v>
      </c>
    </row>
    <row r="1045" spans="1:6" x14ac:dyDescent="0.3">
      <c r="A1045" t="s">
        <v>5136</v>
      </c>
      <c r="B1045" t="s">
        <v>5137</v>
      </c>
      <c r="C1045" t="s">
        <v>8865</v>
      </c>
      <c r="D1045" t="s">
        <v>7867</v>
      </c>
      <c r="E1045" s="18"/>
    </row>
    <row r="1046" spans="1:6" x14ac:dyDescent="0.3">
      <c r="A1046" t="s">
        <v>5139</v>
      </c>
      <c r="B1046" t="s">
        <v>5140</v>
      </c>
      <c r="C1046" t="s">
        <v>8866</v>
      </c>
      <c r="E1046" s="18"/>
      <c r="F1046" s="52" t="s">
        <v>37</v>
      </c>
    </row>
    <row r="1047" spans="1:6" x14ac:dyDescent="0.3">
      <c r="A1047" t="s">
        <v>5142</v>
      </c>
      <c r="B1047" t="s">
        <v>5143</v>
      </c>
      <c r="C1047" t="s">
        <v>8867</v>
      </c>
      <c r="E1047" s="18">
        <v>45897</v>
      </c>
      <c r="F1047" s="52" t="s">
        <v>37</v>
      </c>
    </row>
    <row r="1048" spans="1:6" x14ac:dyDescent="0.3">
      <c r="A1048" t="s">
        <v>5152</v>
      </c>
      <c r="B1048" t="s">
        <v>5153</v>
      </c>
      <c r="C1048" t="s">
        <v>8868</v>
      </c>
      <c r="D1048" t="s">
        <v>7789</v>
      </c>
      <c r="E1048" s="18">
        <v>45762</v>
      </c>
    </row>
    <row r="1049" spans="1:6" x14ac:dyDescent="0.3">
      <c r="A1049" t="s">
        <v>5156</v>
      </c>
      <c r="B1049" t="s">
        <v>5157</v>
      </c>
      <c r="C1049" t="s">
        <v>8869</v>
      </c>
      <c r="D1049" t="s">
        <v>7789</v>
      </c>
      <c r="E1049" s="18">
        <v>45964</v>
      </c>
      <c r="F1049" s="52" t="s">
        <v>37</v>
      </c>
    </row>
    <row r="1050" spans="1:6" x14ac:dyDescent="0.3">
      <c r="A1050" t="s">
        <v>5162</v>
      </c>
      <c r="B1050" t="s">
        <v>5163</v>
      </c>
      <c r="C1050" t="s">
        <v>8870</v>
      </c>
      <c r="E1050" s="18"/>
      <c r="F1050" s="52" t="s">
        <v>37</v>
      </c>
    </row>
    <row r="1051" spans="1:6" x14ac:dyDescent="0.3">
      <c r="A1051" t="s">
        <v>5165</v>
      </c>
      <c r="B1051" t="s">
        <v>5166</v>
      </c>
      <c r="C1051" t="s">
        <v>8871</v>
      </c>
      <c r="D1051" t="s">
        <v>7824</v>
      </c>
      <c r="E1051" s="18">
        <v>45820</v>
      </c>
    </row>
    <row r="1052" spans="1:6" x14ac:dyDescent="0.3">
      <c r="A1052" t="s">
        <v>5169</v>
      </c>
      <c r="B1052" t="s">
        <v>5170</v>
      </c>
      <c r="C1052" t="s">
        <v>8872</v>
      </c>
      <c r="D1052" t="s">
        <v>7789</v>
      </c>
      <c r="E1052" s="18">
        <v>45798</v>
      </c>
    </row>
    <row r="1053" spans="1:6" x14ac:dyDescent="0.3">
      <c r="A1053" t="s">
        <v>5173</v>
      </c>
      <c r="B1053" t="s">
        <v>5174</v>
      </c>
      <c r="C1053" t="s">
        <v>8873</v>
      </c>
      <c r="D1053" t="s">
        <v>7787</v>
      </c>
      <c r="E1053" s="18"/>
    </row>
    <row r="1054" spans="1:6" x14ac:dyDescent="0.3">
      <c r="A1054" t="s">
        <v>5176</v>
      </c>
      <c r="B1054" t="s">
        <v>5177</v>
      </c>
      <c r="C1054" t="s">
        <v>8874</v>
      </c>
      <c r="D1054" t="s">
        <v>7787</v>
      </c>
      <c r="E1054" s="18">
        <v>45894</v>
      </c>
      <c r="F1054" s="52" t="s">
        <v>37</v>
      </c>
    </row>
    <row r="1055" spans="1:6" x14ac:dyDescent="0.3">
      <c r="A1055" t="s">
        <v>5180</v>
      </c>
      <c r="B1055" t="s">
        <v>5181</v>
      </c>
      <c r="C1055" t="s">
        <v>8875</v>
      </c>
      <c r="D1055" t="s">
        <v>7837</v>
      </c>
      <c r="E1055" s="18"/>
    </row>
    <row r="1056" spans="1:6" x14ac:dyDescent="0.3">
      <c r="A1056" t="s">
        <v>5183</v>
      </c>
      <c r="B1056" t="s">
        <v>5184</v>
      </c>
      <c r="C1056" t="s">
        <v>8876</v>
      </c>
      <c r="D1056" t="s">
        <v>7824</v>
      </c>
      <c r="E1056" s="18"/>
    </row>
    <row r="1057" spans="1:6" x14ac:dyDescent="0.3">
      <c r="A1057" t="s">
        <v>5186</v>
      </c>
      <c r="B1057" t="s">
        <v>5187</v>
      </c>
      <c r="C1057" t="s">
        <v>8877</v>
      </c>
      <c r="D1057" t="s">
        <v>7824</v>
      </c>
      <c r="E1057" s="18"/>
      <c r="F1057" s="52" t="s">
        <v>37</v>
      </c>
    </row>
    <row r="1058" spans="1:6" x14ac:dyDescent="0.3">
      <c r="A1058" t="s">
        <v>5195</v>
      </c>
      <c r="B1058" t="s">
        <v>5196</v>
      </c>
      <c r="C1058" t="s">
        <v>8878</v>
      </c>
      <c r="E1058" s="18"/>
    </row>
    <row r="1059" spans="1:6" x14ac:dyDescent="0.3">
      <c r="A1059" t="s">
        <v>5198</v>
      </c>
      <c r="B1059" t="s">
        <v>5199</v>
      </c>
      <c r="C1059" t="s">
        <v>8879</v>
      </c>
      <c r="E1059" s="18"/>
    </row>
    <row r="1060" spans="1:6" x14ac:dyDescent="0.3">
      <c r="A1060" t="s">
        <v>5204</v>
      </c>
      <c r="B1060" t="s">
        <v>5205</v>
      </c>
      <c r="C1060" t="s">
        <v>8880</v>
      </c>
      <c r="E1060" s="18"/>
    </row>
    <row r="1061" spans="1:6" x14ac:dyDescent="0.3">
      <c r="A1061" t="s">
        <v>5207</v>
      </c>
      <c r="B1061" t="s">
        <v>5208</v>
      </c>
      <c r="C1061" t="s">
        <v>8881</v>
      </c>
      <c r="E1061" s="18"/>
    </row>
    <row r="1062" spans="1:6" x14ac:dyDescent="0.3">
      <c r="A1062" t="s">
        <v>5211</v>
      </c>
      <c r="B1062" t="s">
        <v>5212</v>
      </c>
      <c r="C1062" t="s">
        <v>8882</v>
      </c>
      <c r="E1062" s="18">
        <v>45895</v>
      </c>
    </row>
    <row r="1063" spans="1:6" x14ac:dyDescent="0.3">
      <c r="A1063" t="s">
        <v>5215</v>
      </c>
      <c r="B1063" t="s">
        <v>5216</v>
      </c>
      <c r="C1063" t="s">
        <v>8883</v>
      </c>
      <c r="D1063" t="s">
        <v>8417</v>
      </c>
      <c r="E1063" s="18">
        <v>45996</v>
      </c>
    </row>
    <row r="1064" spans="1:6" x14ac:dyDescent="0.3">
      <c r="A1064" t="s">
        <v>5219</v>
      </c>
      <c r="B1064" t="s">
        <v>5220</v>
      </c>
      <c r="C1064" t="s">
        <v>8884</v>
      </c>
      <c r="E1064" s="18"/>
    </row>
    <row r="1065" spans="1:6" x14ac:dyDescent="0.3">
      <c r="A1065" t="s">
        <v>5230</v>
      </c>
      <c r="B1065" t="s">
        <v>5231</v>
      </c>
      <c r="C1065" t="s">
        <v>8885</v>
      </c>
      <c r="E1065" s="18"/>
      <c r="F1065" s="52" t="s">
        <v>37</v>
      </c>
    </row>
    <row r="1066" spans="1:6" x14ac:dyDescent="0.3">
      <c r="A1066" t="s">
        <v>5233</v>
      </c>
      <c r="B1066" t="s">
        <v>5234</v>
      </c>
      <c r="C1066" t="s">
        <v>8886</v>
      </c>
      <c r="D1066" t="s">
        <v>7796</v>
      </c>
      <c r="E1066" s="18">
        <v>45761</v>
      </c>
    </row>
    <row r="1067" spans="1:6" x14ac:dyDescent="0.3">
      <c r="A1067" t="s">
        <v>5236</v>
      </c>
      <c r="B1067" t="s">
        <v>5237</v>
      </c>
      <c r="C1067" t="s">
        <v>8887</v>
      </c>
      <c r="D1067" t="s">
        <v>7804</v>
      </c>
      <c r="E1067" s="18">
        <v>46036</v>
      </c>
      <c r="F1067" s="52" t="s">
        <v>37</v>
      </c>
    </row>
    <row r="1068" spans="1:6" x14ac:dyDescent="0.3">
      <c r="A1068" t="s">
        <v>5243</v>
      </c>
      <c r="B1068" t="s">
        <v>5244</v>
      </c>
      <c r="C1068" t="s">
        <v>8888</v>
      </c>
      <c r="D1068" t="s">
        <v>7785</v>
      </c>
      <c r="E1068" s="18">
        <v>45957</v>
      </c>
      <c r="F1068" s="52" t="s">
        <v>37</v>
      </c>
    </row>
    <row r="1069" spans="1:6" x14ac:dyDescent="0.3">
      <c r="A1069" t="s">
        <v>5247</v>
      </c>
      <c r="B1069" t="s">
        <v>5248</v>
      </c>
      <c r="C1069" t="s">
        <v>8889</v>
      </c>
      <c r="D1069" t="s">
        <v>7789</v>
      </c>
      <c r="E1069" s="18">
        <v>45847</v>
      </c>
    </row>
    <row r="1070" spans="1:6" x14ac:dyDescent="0.3">
      <c r="A1070" t="s">
        <v>5257</v>
      </c>
      <c r="B1070" t="s">
        <v>5258</v>
      </c>
      <c r="C1070" t="s">
        <v>8890</v>
      </c>
      <c r="D1070" t="s">
        <v>7785</v>
      </c>
      <c r="E1070" s="18">
        <v>45726</v>
      </c>
    </row>
    <row r="1071" spans="1:6" x14ac:dyDescent="0.3">
      <c r="A1071" t="s">
        <v>5260</v>
      </c>
      <c r="B1071" t="s">
        <v>5261</v>
      </c>
      <c r="C1071" t="s">
        <v>8891</v>
      </c>
      <c r="D1071" t="s">
        <v>7789</v>
      </c>
      <c r="E1071" s="18"/>
    </row>
    <row r="1072" spans="1:6" x14ac:dyDescent="0.3">
      <c r="A1072" t="s">
        <v>5267</v>
      </c>
      <c r="B1072" t="s">
        <v>5268</v>
      </c>
      <c r="C1072" t="s">
        <v>8892</v>
      </c>
      <c r="E1072" s="18"/>
    </row>
    <row r="1073" spans="1:6" x14ac:dyDescent="0.3">
      <c r="A1073" t="s">
        <v>5270</v>
      </c>
      <c r="B1073" t="s">
        <v>5271</v>
      </c>
      <c r="C1073" t="s">
        <v>8893</v>
      </c>
      <c r="D1073" t="s">
        <v>7787</v>
      </c>
      <c r="E1073" s="18">
        <v>45741</v>
      </c>
    </row>
    <row r="1074" spans="1:6" x14ac:dyDescent="0.3">
      <c r="A1074" t="s">
        <v>5274</v>
      </c>
      <c r="B1074" t="s">
        <v>5275</v>
      </c>
      <c r="C1074" t="s">
        <v>8894</v>
      </c>
      <c r="D1074" t="s">
        <v>7796</v>
      </c>
      <c r="E1074" s="18"/>
    </row>
    <row r="1075" spans="1:6" x14ac:dyDescent="0.3">
      <c r="A1075" t="s">
        <v>5278</v>
      </c>
      <c r="B1075" t="s">
        <v>5279</v>
      </c>
      <c r="C1075" t="s">
        <v>8895</v>
      </c>
      <c r="D1075" t="s">
        <v>7787</v>
      </c>
      <c r="E1075" s="18">
        <v>45930</v>
      </c>
    </row>
    <row r="1076" spans="1:6" x14ac:dyDescent="0.3">
      <c r="A1076" t="s">
        <v>5282</v>
      </c>
      <c r="B1076" t="s">
        <v>5283</v>
      </c>
      <c r="C1076" t="s">
        <v>8896</v>
      </c>
      <c r="E1076" s="18"/>
    </row>
    <row r="1077" spans="1:6" x14ac:dyDescent="0.3">
      <c r="A1077" t="s">
        <v>5286</v>
      </c>
      <c r="B1077" t="s">
        <v>5287</v>
      </c>
      <c r="C1077" t="s">
        <v>8897</v>
      </c>
      <c r="D1077" t="s">
        <v>7785</v>
      </c>
      <c r="E1077" s="18"/>
    </row>
    <row r="1078" spans="1:6" x14ac:dyDescent="0.3">
      <c r="A1078" t="s">
        <v>5289</v>
      </c>
      <c r="B1078" t="s">
        <v>5290</v>
      </c>
      <c r="C1078" t="s">
        <v>8898</v>
      </c>
      <c r="D1078" t="s">
        <v>7787</v>
      </c>
      <c r="E1078" s="18"/>
      <c r="F1078" s="52" t="s">
        <v>37</v>
      </c>
    </row>
    <row r="1079" spans="1:6" x14ac:dyDescent="0.3">
      <c r="A1079" t="s">
        <v>5292</v>
      </c>
      <c r="B1079" t="s">
        <v>5293</v>
      </c>
      <c r="C1079" t="s">
        <v>8899</v>
      </c>
      <c r="D1079" t="s">
        <v>7787</v>
      </c>
      <c r="E1079" s="18">
        <v>45769</v>
      </c>
    </row>
    <row r="1080" spans="1:6" x14ac:dyDescent="0.3">
      <c r="A1080" t="s">
        <v>5298</v>
      </c>
      <c r="B1080" t="s">
        <v>5299</v>
      </c>
      <c r="C1080" t="s">
        <v>8900</v>
      </c>
      <c r="E1080" s="18"/>
    </row>
    <row r="1081" spans="1:6" x14ac:dyDescent="0.3">
      <c r="A1081" t="s">
        <v>5301</v>
      </c>
      <c r="B1081" t="s">
        <v>5302</v>
      </c>
      <c r="C1081" t="s">
        <v>8901</v>
      </c>
      <c r="D1081" t="s">
        <v>7785</v>
      </c>
      <c r="E1081" s="18">
        <v>45882</v>
      </c>
    </row>
    <row r="1082" spans="1:6" x14ac:dyDescent="0.3">
      <c r="A1082" t="s">
        <v>5305</v>
      </c>
      <c r="B1082" t="s">
        <v>5306</v>
      </c>
      <c r="C1082" t="s">
        <v>8902</v>
      </c>
      <c r="D1082" t="s">
        <v>7787</v>
      </c>
      <c r="E1082" s="18">
        <v>45723</v>
      </c>
    </row>
    <row r="1083" spans="1:6" x14ac:dyDescent="0.3">
      <c r="A1083" t="s">
        <v>5309</v>
      </c>
      <c r="B1083" t="s">
        <v>5310</v>
      </c>
      <c r="C1083" t="s">
        <v>8903</v>
      </c>
      <c r="D1083" t="s">
        <v>7796</v>
      </c>
      <c r="E1083" s="18">
        <v>45783</v>
      </c>
    </row>
    <row r="1084" spans="1:6" x14ac:dyDescent="0.3">
      <c r="A1084" t="s">
        <v>5312</v>
      </c>
      <c r="B1084" t="s">
        <v>5313</v>
      </c>
      <c r="C1084" t="s">
        <v>8904</v>
      </c>
      <c r="D1084" t="s">
        <v>7787</v>
      </c>
      <c r="E1084" s="18">
        <v>45741</v>
      </c>
    </row>
    <row r="1085" spans="1:6" x14ac:dyDescent="0.3">
      <c r="A1085" t="s">
        <v>5315</v>
      </c>
      <c r="B1085" t="s">
        <v>5316</v>
      </c>
      <c r="C1085" t="s">
        <v>8905</v>
      </c>
      <c r="E1085" s="18"/>
    </row>
    <row r="1086" spans="1:6" x14ac:dyDescent="0.3">
      <c r="A1086" t="s">
        <v>5318</v>
      </c>
      <c r="B1086" t="s">
        <v>5319</v>
      </c>
      <c r="C1086" t="s">
        <v>8906</v>
      </c>
      <c r="E1086" s="18"/>
    </row>
    <row r="1087" spans="1:6" x14ac:dyDescent="0.3">
      <c r="A1087" t="s">
        <v>5322</v>
      </c>
      <c r="B1087" t="s">
        <v>5323</v>
      </c>
      <c r="C1087" t="s">
        <v>8907</v>
      </c>
      <c r="D1087" t="s">
        <v>7789</v>
      </c>
      <c r="E1087" s="18">
        <v>45931</v>
      </c>
      <c r="F1087" s="52" t="s">
        <v>37</v>
      </c>
    </row>
    <row r="1088" spans="1:6" x14ac:dyDescent="0.3">
      <c r="A1088" t="s">
        <v>5326</v>
      </c>
      <c r="B1088" t="s">
        <v>5327</v>
      </c>
      <c r="C1088" t="s">
        <v>8908</v>
      </c>
      <c r="E1088" s="18"/>
    </row>
    <row r="1089" spans="1:6" x14ac:dyDescent="0.3">
      <c r="A1089" t="s">
        <v>5330</v>
      </c>
      <c r="B1089" t="s">
        <v>5331</v>
      </c>
      <c r="C1089" t="s">
        <v>8909</v>
      </c>
      <c r="E1089" s="18"/>
    </row>
    <row r="1090" spans="1:6" x14ac:dyDescent="0.3">
      <c r="A1090" t="s">
        <v>5334</v>
      </c>
      <c r="B1090" t="s">
        <v>5335</v>
      </c>
      <c r="C1090" t="s">
        <v>8910</v>
      </c>
      <c r="E1090" s="18"/>
    </row>
    <row r="1091" spans="1:6" x14ac:dyDescent="0.3">
      <c r="A1091" t="s">
        <v>5337</v>
      </c>
      <c r="B1091" t="s">
        <v>5338</v>
      </c>
      <c r="C1091" t="s">
        <v>8911</v>
      </c>
      <c r="D1091" t="s">
        <v>7785</v>
      </c>
      <c r="E1091" s="18"/>
      <c r="F1091" s="52" t="s">
        <v>37</v>
      </c>
    </row>
    <row r="1092" spans="1:6" x14ac:dyDescent="0.3">
      <c r="A1092" t="s">
        <v>5344</v>
      </c>
      <c r="B1092" t="s">
        <v>5345</v>
      </c>
      <c r="C1092" t="s">
        <v>8912</v>
      </c>
      <c r="D1092" t="s">
        <v>7787</v>
      </c>
      <c r="E1092" s="18">
        <v>45940</v>
      </c>
      <c r="F1092" s="52" t="s">
        <v>37</v>
      </c>
    </row>
    <row r="1093" spans="1:6" x14ac:dyDescent="0.3">
      <c r="A1093" t="s">
        <v>5348</v>
      </c>
      <c r="B1093" t="s">
        <v>5349</v>
      </c>
      <c r="C1093" t="s">
        <v>8913</v>
      </c>
      <c r="D1093" t="s">
        <v>7787</v>
      </c>
      <c r="E1093" s="18">
        <v>45993</v>
      </c>
    </row>
    <row r="1094" spans="1:6" x14ac:dyDescent="0.3">
      <c r="A1094" t="s">
        <v>5352</v>
      </c>
      <c r="B1094" t="s">
        <v>5353</v>
      </c>
      <c r="C1094" t="s">
        <v>7581</v>
      </c>
      <c r="D1094" t="s">
        <v>7796</v>
      </c>
      <c r="E1094" s="18"/>
    </row>
    <row r="1095" spans="1:6" x14ac:dyDescent="0.3">
      <c r="A1095" t="s">
        <v>5360</v>
      </c>
      <c r="B1095" t="s">
        <v>5361</v>
      </c>
      <c r="C1095" t="s">
        <v>8914</v>
      </c>
      <c r="E1095" s="18"/>
    </row>
    <row r="1096" spans="1:6" x14ac:dyDescent="0.3">
      <c r="A1096" t="s">
        <v>5369</v>
      </c>
      <c r="B1096" t="s">
        <v>5370</v>
      </c>
      <c r="C1096" t="s">
        <v>8915</v>
      </c>
      <c r="D1096" t="s">
        <v>7801</v>
      </c>
      <c r="E1096" s="18">
        <v>45936</v>
      </c>
    </row>
    <row r="1097" spans="1:6" x14ac:dyDescent="0.3">
      <c r="A1097" t="s">
        <v>5373</v>
      </c>
      <c r="B1097" t="s">
        <v>5374</v>
      </c>
      <c r="C1097" t="s">
        <v>8916</v>
      </c>
      <c r="D1097" t="s">
        <v>7912</v>
      </c>
      <c r="E1097" s="18"/>
    </row>
    <row r="1098" spans="1:6" x14ac:dyDescent="0.3">
      <c r="A1098" t="s">
        <v>5376</v>
      </c>
      <c r="B1098" t="s">
        <v>5377</v>
      </c>
      <c r="C1098" t="s">
        <v>8917</v>
      </c>
      <c r="D1098" t="s">
        <v>7789</v>
      </c>
      <c r="E1098" s="18">
        <v>46063</v>
      </c>
    </row>
    <row r="1099" spans="1:6" x14ac:dyDescent="0.3">
      <c r="A1099" t="s">
        <v>5380</v>
      </c>
      <c r="B1099" t="s">
        <v>5381</v>
      </c>
      <c r="C1099" t="s">
        <v>8918</v>
      </c>
      <c r="D1099" t="s">
        <v>8919</v>
      </c>
      <c r="E1099" s="18">
        <v>45722</v>
      </c>
    </row>
    <row r="1100" spans="1:6" x14ac:dyDescent="0.3">
      <c r="A1100" t="s">
        <v>5384</v>
      </c>
      <c r="B1100" t="s">
        <v>5385</v>
      </c>
      <c r="C1100" t="s">
        <v>8920</v>
      </c>
      <c r="D1100" t="s">
        <v>7912</v>
      </c>
      <c r="E1100" s="18">
        <v>46059</v>
      </c>
    </row>
    <row r="1101" spans="1:6" x14ac:dyDescent="0.3">
      <c r="A1101" t="s">
        <v>5391</v>
      </c>
      <c r="B1101" t="s">
        <v>5392</v>
      </c>
      <c r="C1101" t="s">
        <v>8921</v>
      </c>
      <c r="E1101" s="18"/>
    </row>
    <row r="1102" spans="1:6" x14ac:dyDescent="0.3">
      <c r="A1102" t="s">
        <v>5394</v>
      </c>
      <c r="B1102" t="s">
        <v>5395</v>
      </c>
      <c r="C1102" t="s">
        <v>8922</v>
      </c>
      <c r="D1102" t="s">
        <v>7789</v>
      </c>
      <c r="E1102" s="18">
        <v>45965</v>
      </c>
    </row>
    <row r="1103" spans="1:6" x14ac:dyDescent="0.3">
      <c r="A1103" t="s">
        <v>5398</v>
      </c>
      <c r="B1103" t="s">
        <v>5399</v>
      </c>
      <c r="C1103" t="s">
        <v>8923</v>
      </c>
      <c r="D1103" t="s">
        <v>7789</v>
      </c>
      <c r="E1103" s="18">
        <v>45762</v>
      </c>
    </row>
    <row r="1104" spans="1:6" x14ac:dyDescent="0.3">
      <c r="A1104" t="s">
        <v>5405</v>
      </c>
      <c r="B1104" t="s">
        <v>5406</v>
      </c>
      <c r="C1104" t="s">
        <v>8924</v>
      </c>
      <c r="D1104" t="s">
        <v>7785</v>
      </c>
      <c r="E1104" s="18">
        <v>45847</v>
      </c>
    </row>
    <row r="1105" spans="1:6" x14ac:dyDescent="0.3">
      <c r="A1105" t="s">
        <v>5409</v>
      </c>
      <c r="B1105" t="s">
        <v>5410</v>
      </c>
      <c r="C1105" t="s">
        <v>8925</v>
      </c>
      <c r="D1105" t="s">
        <v>7787</v>
      </c>
      <c r="E1105" s="18">
        <v>45933</v>
      </c>
    </row>
    <row r="1106" spans="1:6" x14ac:dyDescent="0.3">
      <c r="A1106" t="s">
        <v>5413</v>
      </c>
      <c r="B1106" t="s">
        <v>5414</v>
      </c>
      <c r="C1106" t="s">
        <v>8926</v>
      </c>
      <c r="E1106" s="18"/>
      <c r="F1106" s="52" t="s">
        <v>37</v>
      </c>
    </row>
    <row r="1107" spans="1:6" x14ac:dyDescent="0.3">
      <c r="A1107" t="s">
        <v>5416</v>
      </c>
      <c r="B1107" t="s">
        <v>5417</v>
      </c>
      <c r="C1107" t="s">
        <v>8927</v>
      </c>
      <c r="D1107" t="s">
        <v>7787</v>
      </c>
      <c r="E1107" s="18"/>
    </row>
    <row r="1108" spans="1:6" x14ac:dyDescent="0.3">
      <c r="A1108" t="s">
        <v>5419</v>
      </c>
      <c r="B1108" t="s">
        <v>5420</v>
      </c>
      <c r="C1108" t="s">
        <v>8928</v>
      </c>
      <c r="D1108" t="s">
        <v>7789</v>
      </c>
      <c r="E1108" s="18">
        <v>45880</v>
      </c>
    </row>
    <row r="1109" spans="1:6" x14ac:dyDescent="0.3">
      <c r="A1109" t="s">
        <v>5423</v>
      </c>
      <c r="B1109" t="s">
        <v>5424</v>
      </c>
      <c r="C1109" t="s">
        <v>8929</v>
      </c>
      <c r="D1109" t="s">
        <v>7787</v>
      </c>
      <c r="E1109" s="18">
        <v>45932</v>
      </c>
      <c r="F1109" s="52" t="s">
        <v>37</v>
      </c>
    </row>
    <row r="1110" spans="1:6" x14ac:dyDescent="0.3">
      <c r="A1110" t="s">
        <v>5427</v>
      </c>
      <c r="B1110" t="s">
        <v>5428</v>
      </c>
      <c r="C1110" t="s">
        <v>8930</v>
      </c>
      <c r="D1110" t="s">
        <v>7787</v>
      </c>
      <c r="E1110" s="18">
        <v>45930</v>
      </c>
    </row>
    <row r="1111" spans="1:6" x14ac:dyDescent="0.3">
      <c r="A1111" t="s">
        <v>5431</v>
      </c>
      <c r="B1111" t="s">
        <v>5432</v>
      </c>
      <c r="C1111" t="s">
        <v>8931</v>
      </c>
      <c r="E1111" s="18"/>
    </row>
    <row r="1112" spans="1:6" x14ac:dyDescent="0.3">
      <c r="A1112" t="s">
        <v>5434</v>
      </c>
      <c r="B1112" t="s">
        <v>5435</v>
      </c>
      <c r="C1112" t="s">
        <v>8932</v>
      </c>
      <c r="E1112" s="18">
        <v>45903</v>
      </c>
    </row>
    <row r="1113" spans="1:6" x14ac:dyDescent="0.3">
      <c r="A1113" t="s">
        <v>5438</v>
      </c>
      <c r="B1113" t="s">
        <v>5439</v>
      </c>
      <c r="C1113" t="s">
        <v>8933</v>
      </c>
      <c r="E1113" s="18"/>
    </row>
    <row r="1114" spans="1:6" x14ac:dyDescent="0.3">
      <c r="A1114" t="s">
        <v>5442</v>
      </c>
      <c r="B1114" t="s">
        <v>5443</v>
      </c>
      <c r="C1114" t="s">
        <v>8934</v>
      </c>
      <c r="D1114" t="s">
        <v>7785</v>
      </c>
      <c r="E1114" s="18">
        <v>45812</v>
      </c>
    </row>
    <row r="1115" spans="1:6" x14ac:dyDescent="0.3">
      <c r="A1115" t="s">
        <v>5446</v>
      </c>
      <c r="B1115" t="s">
        <v>5447</v>
      </c>
      <c r="C1115" t="s">
        <v>8935</v>
      </c>
      <c r="D1115" t="s">
        <v>7785</v>
      </c>
      <c r="E1115" s="18">
        <v>45897</v>
      </c>
    </row>
    <row r="1116" spans="1:6" x14ac:dyDescent="0.3">
      <c r="A1116" t="s">
        <v>5449</v>
      </c>
      <c r="B1116" t="s">
        <v>5450</v>
      </c>
      <c r="C1116" t="s">
        <v>8936</v>
      </c>
      <c r="D1116" t="s">
        <v>7912</v>
      </c>
      <c r="E1116" s="18">
        <v>45986</v>
      </c>
    </row>
    <row r="1117" spans="1:6" x14ac:dyDescent="0.3">
      <c r="A1117" t="s">
        <v>5453</v>
      </c>
      <c r="B1117" t="s">
        <v>5454</v>
      </c>
      <c r="C1117" t="s">
        <v>8937</v>
      </c>
      <c r="E1117" s="18"/>
    </row>
    <row r="1118" spans="1:6" x14ac:dyDescent="0.3">
      <c r="A1118" t="s">
        <v>5457</v>
      </c>
      <c r="B1118" t="s">
        <v>5458</v>
      </c>
      <c r="C1118" t="s">
        <v>8938</v>
      </c>
      <c r="D1118" t="s">
        <v>7796</v>
      </c>
      <c r="E1118" s="18">
        <v>45761</v>
      </c>
    </row>
    <row r="1119" spans="1:6" x14ac:dyDescent="0.3">
      <c r="A1119" t="s">
        <v>5463</v>
      </c>
      <c r="B1119" t="s">
        <v>5464</v>
      </c>
      <c r="C1119" t="s">
        <v>8939</v>
      </c>
      <c r="E1119" s="18"/>
    </row>
    <row r="1120" spans="1:6" x14ac:dyDescent="0.3">
      <c r="A1120" t="s">
        <v>5466</v>
      </c>
      <c r="B1120" t="s">
        <v>5467</v>
      </c>
      <c r="C1120" t="s">
        <v>8940</v>
      </c>
      <c r="D1120" t="s">
        <v>7785</v>
      </c>
      <c r="E1120" s="18">
        <v>45993</v>
      </c>
    </row>
    <row r="1121" spans="1:6" x14ac:dyDescent="0.3">
      <c r="B1121" t="s">
        <v>8941</v>
      </c>
      <c r="C1121" t="s">
        <v>8942</v>
      </c>
      <c r="D1121" t="s">
        <v>7787</v>
      </c>
      <c r="E1121" s="18">
        <v>45733</v>
      </c>
    </row>
    <row r="1122" spans="1:6" x14ac:dyDescent="0.3">
      <c r="A1122" t="s">
        <v>5470</v>
      </c>
      <c r="B1122" t="s">
        <v>5471</v>
      </c>
      <c r="C1122" t="s">
        <v>8943</v>
      </c>
      <c r="D1122" t="s">
        <v>7796</v>
      </c>
      <c r="E1122" s="18">
        <v>45763</v>
      </c>
    </row>
    <row r="1123" spans="1:6" x14ac:dyDescent="0.3">
      <c r="A1123" t="s">
        <v>5474</v>
      </c>
      <c r="B1123" t="s">
        <v>5475</v>
      </c>
      <c r="C1123" t="s">
        <v>8944</v>
      </c>
      <c r="D1123" t="s">
        <v>7787</v>
      </c>
      <c r="E1123" s="18">
        <v>45786</v>
      </c>
    </row>
    <row r="1124" spans="1:6" x14ac:dyDescent="0.3">
      <c r="A1124" t="s">
        <v>5477</v>
      </c>
      <c r="B1124" t="s">
        <v>5478</v>
      </c>
      <c r="C1124" t="s">
        <v>8945</v>
      </c>
      <c r="E1124" s="18"/>
    </row>
    <row r="1125" spans="1:6" x14ac:dyDescent="0.3">
      <c r="A1125" t="s">
        <v>5479</v>
      </c>
      <c r="B1125" t="s">
        <v>5480</v>
      </c>
      <c r="C1125" t="s">
        <v>8946</v>
      </c>
      <c r="D1125" t="s">
        <v>7787</v>
      </c>
      <c r="E1125" s="18"/>
      <c r="F1125" s="52" t="s">
        <v>37</v>
      </c>
    </row>
    <row r="1126" spans="1:6" x14ac:dyDescent="0.3">
      <c r="A1126" t="s">
        <v>5483</v>
      </c>
      <c r="B1126" t="s">
        <v>5484</v>
      </c>
      <c r="C1126" t="s">
        <v>8947</v>
      </c>
      <c r="E1126" s="18"/>
    </row>
    <row r="1127" spans="1:6" x14ac:dyDescent="0.3">
      <c r="A1127" t="s">
        <v>5487</v>
      </c>
      <c r="B1127" t="s">
        <v>5488</v>
      </c>
      <c r="C1127" t="s">
        <v>8948</v>
      </c>
      <c r="D1127" t="s">
        <v>7787</v>
      </c>
      <c r="E1127" s="18">
        <v>45958</v>
      </c>
    </row>
    <row r="1128" spans="1:6" x14ac:dyDescent="0.3">
      <c r="A1128" t="s">
        <v>5491</v>
      </c>
      <c r="B1128" t="s">
        <v>5492</v>
      </c>
      <c r="C1128" t="s">
        <v>8949</v>
      </c>
      <c r="D1128" t="s">
        <v>7787</v>
      </c>
      <c r="E1128" s="18"/>
      <c r="F1128" s="52" t="s">
        <v>37</v>
      </c>
    </row>
    <row r="1129" spans="1:6" x14ac:dyDescent="0.3">
      <c r="A1129" t="s">
        <v>5495</v>
      </c>
      <c r="B1129" t="s">
        <v>5496</v>
      </c>
      <c r="C1129" t="s">
        <v>8950</v>
      </c>
      <c r="D1129" t="s">
        <v>7787</v>
      </c>
      <c r="E1129" s="18">
        <v>45839</v>
      </c>
    </row>
    <row r="1130" spans="1:6" x14ac:dyDescent="0.3">
      <c r="A1130" t="s">
        <v>5499</v>
      </c>
      <c r="B1130" t="s">
        <v>5500</v>
      </c>
      <c r="C1130" t="s">
        <v>8951</v>
      </c>
      <c r="D1130" t="s">
        <v>7798</v>
      </c>
      <c r="E1130" s="18">
        <v>45833</v>
      </c>
    </row>
    <row r="1131" spans="1:6" x14ac:dyDescent="0.3">
      <c r="A1131" t="s">
        <v>5503</v>
      </c>
      <c r="B1131" t="s">
        <v>5504</v>
      </c>
      <c r="C1131" t="s">
        <v>8952</v>
      </c>
      <c r="D1131" t="s">
        <v>7789</v>
      </c>
      <c r="E1131" s="18">
        <v>45943</v>
      </c>
    </row>
    <row r="1132" spans="1:6" x14ac:dyDescent="0.3">
      <c r="A1132" t="s">
        <v>5513</v>
      </c>
      <c r="B1132" t="s">
        <v>5514</v>
      </c>
      <c r="C1132" t="s">
        <v>8953</v>
      </c>
      <c r="E1132" s="18"/>
    </row>
    <row r="1133" spans="1:6" x14ac:dyDescent="0.3">
      <c r="A1133" t="s">
        <v>5524</v>
      </c>
      <c r="B1133" t="s">
        <v>5525</v>
      </c>
      <c r="C1133" t="s">
        <v>8954</v>
      </c>
      <c r="E1133" s="18"/>
    </row>
    <row r="1134" spans="1:6" x14ac:dyDescent="0.3">
      <c r="A1134" t="s">
        <v>5528</v>
      </c>
      <c r="B1134" t="s">
        <v>5529</v>
      </c>
      <c r="C1134" t="s">
        <v>8955</v>
      </c>
      <c r="E1134" s="18"/>
    </row>
    <row r="1135" spans="1:6" x14ac:dyDescent="0.3">
      <c r="A1135" t="s">
        <v>5532</v>
      </c>
      <c r="B1135" t="s">
        <v>5533</v>
      </c>
      <c r="C1135" t="s">
        <v>8956</v>
      </c>
      <c r="D1135" t="s">
        <v>7787</v>
      </c>
      <c r="E1135" s="18">
        <v>45891</v>
      </c>
    </row>
    <row r="1136" spans="1:6" x14ac:dyDescent="0.3">
      <c r="A1136" t="s">
        <v>5536</v>
      </c>
      <c r="B1136" t="s">
        <v>5537</v>
      </c>
      <c r="C1136" t="s">
        <v>8957</v>
      </c>
      <c r="D1136" t="s">
        <v>7787</v>
      </c>
      <c r="E1136" s="18">
        <v>45795</v>
      </c>
    </row>
    <row r="1137" spans="1:6" x14ac:dyDescent="0.3">
      <c r="A1137" t="s">
        <v>5540</v>
      </c>
      <c r="B1137" t="s">
        <v>5541</v>
      </c>
      <c r="C1137" t="s">
        <v>8958</v>
      </c>
      <c r="D1137" t="s">
        <v>7787</v>
      </c>
      <c r="E1137" s="18">
        <v>45783</v>
      </c>
    </row>
    <row r="1138" spans="1:6" x14ac:dyDescent="0.3">
      <c r="A1138" t="s">
        <v>5546</v>
      </c>
      <c r="B1138" t="s">
        <v>5547</v>
      </c>
      <c r="C1138" t="s">
        <v>8959</v>
      </c>
      <c r="E1138" s="18"/>
    </row>
    <row r="1139" spans="1:6" x14ac:dyDescent="0.3">
      <c r="A1139" t="s">
        <v>5556</v>
      </c>
      <c r="B1139" t="s">
        <v>5557</v>
      </c>
      <c r="C1139" t="s">
        <v>8960</v>
      </c>
      <c r="D1139" t="s">
        <v>7785</v>
      </c>
      <c r="E1139" s="18">
        <v>45771</v>
      </c>
    </row>
    <row r="1140" spans="1:6" x14ac:dyDescent="0.3">
      <c r="A1140" t="s">
        <v>5565</v>
      </c>
      <c r="B1140" t="s">
        <v>5566</v>
      </c>
      <c r="C1140" t="s">
        <v>8961</v>
      </c>
      <c r="D1140" t="s">
        <v>7789</v>
      </c>
      <c r="E1140" s="18">
        <v>45958</v>
      </c>
      <c r="F1140" s="52" t="s">
        <v>37</v>
      </c>
    </row>
    <row r="1141" spans="1:6" x14ac:dyDescent="0.3">
      <c r="A1141" t="s">
        <v>5569</v>
      </c>
      <c r="B1141" t="s">
        <v>5570</v>
      </c>
      <c r="C1141" t="s">
        <v>8962</v>
      </c>
      <c r="E1141" s="18"/>
    </row>
    <row r="1142" spans="1:6" x14ac:dyDescent="0.3">
      <c r="A1142" t="s">
        <v>5572</v>
      </c>
      <c r="B1142" t="s">
        <v>5573</v>
      </c>
      <c r="C1142" t="s">
        <v>8963</v>
      </c>
      <c r="D1142" t="s">
        <v>7789</v>
      </c>
      <c r="E1142" s="18">
        <v>45957</v>
      </c>
      <c r="F1142" s="52" t="s">
        <v>37</v>
      </c>
    </row>
    <row r="1143" spans="1:6" x14ac:dyDescent="0.3">
      <c r="A1143" t="s">
        <v>5576</v>
      </c>
      <c r="B1143" t="s">
        <v>5577</v>
      </c>
      <c r="C1143" t="s">
        <v>8964</v>
      </c>
      <c r="D1143" t="s">
        <v>7785</v>
      </c>
      <c r="E1143" s="18">
        <v>45728</v>
      </c>
    </row>
    <row r="1144" spans="1:6" x14ac:dyDescent="0.3">
      <c r="B1144" t="s">
        <v>8965</v>
      </c>
      <c r="C1144" t="s">
        <v>8966</v>
      </c>
      <c r="E1144" s="18"/>
    </row>
    <row r="1145" spans="1:6" x14ac:dyDescent="0.3">
      <c r="A1145" t="s">
        <v>5579</v>
      </c>
      <c r="B1145" t="s">
        <v>5580</v>
      </c>
      <c r="C1145" t="s">
        <v>8967</v>
      </c>
      <c r="D1145" t="s">
        <v>7846</v>
      </c>
      <c r="E1145" s="18">
        <v>45737</v>
      </c>
    </row>
    <row r="1146" spans="1:6" x14ac:dyDescent="0.3">
      <c r="A1146" t="s">
        <v>5583</v>
      </c>
      <c r="B1146" t="s">
        <v>5584</v>
      </c>
      <c r="C1146" t="s">
        <v>8968</v>
      </c>
      <c r="D1146" t="s">
        <v>7785</v>
      </c>
      <c r="E1146" s="18">
        <v>45951</v>
      </c>
    </row>
    <row r="1147" spans="1:6" x14ac:dyDescent="0.3">
      <c r="A1147" t="s">
        <v>5589</v>
      </c>
      <c r="B1147" t="s">
        <v>5590</v>
      </c>
      <c r="C1147" t="s">
        <v>8969</v>
      </c>
      <c r="E1147" s="18"/>
      <c r="F1147" s="52" t="s">
        <v>37</v>
      </c>
    </row>
    <row r="1148" spans="1:6" x14ac:dyDescent="0.3">
      <c r="A1148" t="s">
        <v>5592</v>
      </c>
      <c r="B1148" t="s">
        <v>5593</v>
      </c>
      <c r="C1148" t="s">
        <v>8970</v>
      </c>
      <c r="D1148" t="s">
        <v>7789</v>
      </c>
      <c r="E1148" s="18">
        <v>45784</v>
      </c>
    </row>
    <row r="1149" spans="1:6" x14ac:dyDescent="0.3">
      <c r="A1149" t="s">
        <v>5596</v>
      </c>
      <c r="B1149" t="s">
        <v>5597</v>
      </c>
      <c r="C1149" t="s">
        <v>8971</v>
      </c>
      <c r="D1149" t="s">
        <v>7796</v>
      </c>
      <c r="E1149" s="18">
        <v>45847</v>
      </c>
    </row>
    <row r="1150" spans="1:6" x14ac:dyDescent="0.3">
      <c r="A1150" t="s">
        <v>5599</v>
      </c>
      <c r="B1150" t="s">
        <v>5600</v>
      </c>
      <c r="C1150" t="s">
        <v>8972</v>
      </c>
      <c r="D1150" t="s">
        <v>7789</v>
      </c>
      <c r="E1150" s="18">
        <v>45890</v>
      </c>
      <c r="F1150" s="52" t="s">
        <v>37</v>
      </c>
    </row>
    <row r="1151" spans="1:6" x14ac:dyDescent="0.3">
      <c r="A1151" t="s">
        <v>5602</v>
      </c>
      <c r="B1151" t="s">
        <v>5603</v>
      </c>
      <c r="C1151" t="s">
        <v>8973</v>
      </c>
      <c r="D1151" t="s">
        <v>7787</v>
      </c>
      <c r="E1151" s="18">
        <v>45847</v>
      </c>
    </row>
    <row r="1152" spans="1:6" x14ac:dyDescent="0.3">
      <c r="A1152" t="s">
        <v>5610</v>
      </c>
      <c r="B1152" t="s">
        <v>5611</v>
      </c>
      <c r="C1152" t="s">
        <v>8974</v>
      </c>
      <c r="E1152" s="18"/>
    </row>
    <row r="1153" spans="1:6" x14ac:dyDescent="0.3">
      <c r="A1153" t="s">
        <v>5613</v>
      </c>
      <c r="B1153" t="s">
        <v>5614</v>
      </c>
      <c r="C1153" t="s">
        <v>8975</v>
      </c>
      <c r="D1153" t="s">
        <v>7787</v>
      </c>
      <c r="E1153" s="18">
        <v>45754</v>
      </c>
    </row>
    <row r="1154" spans="1:6" x14ac:dyDescent="0.3">
      <c r="A1154" t="s">
        <v>5617</v>
      </c>
      <c r="B1154" t="s">
        <v>5618</v>
      </c>
      <c r="C1154" t="s">
        <v>8976</v>
      </c>
      <c r="D1154" t="s">
        <v>7787</v>
      </c>
      <c r="E1154" s="18">
        <v>45971</v>
      </c>
    </row>
    <row r="1155" spans="1:6" x14ac:dyDescent="0.3">
      <c r="A1155" t="s">
        <v>5621</v>
      </c>
      <c r="B1155" t="s">
        <v>5622</v>
      </c>
      <c r="C1155" t="s">
        <v>8977</v>
      </c>
      <c r="D1155" t="s">
        <v>7785</v>
      </c>
      <c r="E1155" s="18"/>
      <c r="F1155" s="52" t="s">
        <v>37</v>
      </c>
    </row>
    <row r="1156" spans="1:6" x14ac:dyDescent="0.3">
      <c r="A1156" t="s">
        <v>5624</v>
      </c>
      <c r="B1156" t="s">
        <v>5625</v>
      </c>
      <c r="C1156" t="s">
        <v>8978</v>
      </c>
      <c r="E1156" s="18"/>
    </row>
    <row r="1157" spans="1:6" x14ac:dyDescent="0.3">
      <c r="A1157" t="s">
        <v>5628</v>
      </c>
      <c r="B1157" t="s">
        <v>5629</v>
      </c>
      <c r="C1157" t="s">
        <v>8979</v>
      </c>
      <c r="D1157" t="s">
        <v>7787</v>
      </c>
      <c r="E1157" s="18"/>
    </row>
    <row r="1158" spans="1:6" x14ac:dyDescent="0.3">
      <c r="A1158" t="s">
        <v>5632</v>
      </c>
      <c r="B1158" t="s">
        <v>5633</v>
      </c>
      <c r="C1158" t="s">
        <v>7578</v>
      </c>
      <c r="E1158" s="18"/>
    </row>
    <row r="1159" spans="1:6" x14ac:dyDescent="0.3">
      <c r="A1159" t="s">
        <v>5636</v>
      </c>
      <c r="B1159" t="s">
        <v>5637</v>
      </c>
      <c r="C1159" t="s">
        <v>8980</v>
      </c>
      <c r="E1159" s="18"/>
    </row>
    <row r="1160" spans="1:6" x14ac:dyDescent="0.3">
      <c r="A1160" t="s">
        <v>5640</v>
      </c>
      <c r="B1160" t="s">
        <v>5641</v>
      </c>
      <c r="C1160" t="s">
        <v>8981</v>
      </c>
      <c r="E1160" s="18"/>
    </row>
    <row r="1161" spans="1:6" x14ac:dyDescent="0.3">
      <c r="A1161" t="s">
        <v>5646</v>
      </c>
      <c r="B1161" t="s">
        <v>5647</v>
      </c>
      <c r="C1161" t="s">
        <v>8982</v>
      </c>
      <c r="D1161" t="s">
        <v>7787</v>
      </c>
      <c r="E1161" s="18">
        <v>45992</v>
      </c>
      <c r="F1161" s="52" t="s">
        <v>37</v>
      </c>
    </row>
    <row r="1162" spans="1:6" x14ac:dyDescent="0.3">
      <c r="A1162" t="s">
        <v>5653</v>
      </c>
      <c r="B1162" t="s">
        <v>5654</v>
      </c>
      <c r="C1162" t="s">
        <v>8983</v>
      </c>
      <c r="E1162" s="18"/>
    </row>
    <row r="1163" spans="1:6" x14ac:dyDescent="0.3">
      <c r="A1163" t="s">
        <v>5656</v>
      </c>
      <c r="B1163" t="s">
        <v>5657</v>
      </c>
      <c r="C1163" t="s">
        <v>8984</v>
      </c>
      <c r="E1163" s="18"/>
    </row>
    <row r="1164" spans="1:6" x14ac:dyDescent="0.3">
      <c r="A1164" t="s">
        <v>5660</v>
      </c>
      <c r="B1164" t="s">
        <v>5661</v>
      </c>
      <c r="C1164" t="s">
        <v>8985</v>
      </c>
      <c r="E1164" s="18"/>
      <c r="F1164" s="52" t="s">
        <v>37</v>
      </c>
    </row>
    <row r="1165" spans="1:6" x14ac:dyDescent="0.3">
      <c r="A1165" t="s">
        <v>5663</v>
      </c>
      <c r="B1165" t="s">
        <v>5664</v>
      </c>
      <c r="C1165" t="s">
        <v>8986</v>
      </c>
      <c r="D1165" t="s">
        <v>7789</v>
      </c>
      <c r="E1165" s="18"/>
    </row>
    <row r="1166" spans="1:6" x14ac:dyDescent="0.3">
      <c r="A1166" t="s">
        <v>5667</v>
      </c>
      <c r="B1166" t="s">
        <v>5668</v>
      </c>
      <c r="C1166" t="s">
        <v>8987</v>
      </c>
      <c r="D1166" t="s">
        <v>7787</v>
      </c>
      <c r="E1166" s="18">
        <v>45741</v>
      </c>
    </row>
    <row r="1167" spans="1:6" x14ac:dyDescent="0.3">
      <c r="A1167" t="s">
        <v>5670</v>
      </c>
      <c r="B1167" t="s">
        <v>5671</v>
      </c>
      <c r="C1167" t="s">
        <v>8988</v>
      </c>
      <c r="E1167" s="18"/>
      <c r="F1167" s="52" t="s">
        <v>37</v>
      </c>
    </row>
    <row r="1168" spans="1:6" x14ac:dyDescent="0.3">
      <c r="A1168" t="s">
        <v>5674</v>
      </c>
      <c r="B1168" t="s">
        <v>5675</v>
      </c>
      <c r="C1168" t="s">
        <v>8989</v>
      </c>
      <c r="D1168" t="s">
        <v>7912</v>
      </c>
      <c r="E1168" s="18">
        <v>45842</v>
      </c>
    </row>
    <row r="1169" spans="1:6" x14ac:dyDescent="0.3">
      <c r="A1169" t="s">
        <v>5678</v>
      </c>
      <c r="B1169" t="s">
        <v>5679</v>
      </c>
      <c r="C1169" t="s">
        <v>8990</v>
      </c>
      <c r="D1169" t="s">
        <v>7787</v>
      </c>
      <c r="E1169" s="18">
        <v>45895</v>
      </c>
    </row>
    <row r="1170" spans="1:6" x14ac:dyDescent="0.3">
      <c r="A1170" t="s">
        <v>5682</v>
      </c>
      <c r="B1170" t="s">
        <v>5683</v>
      </c>
      <c r="C1170" t="s">
        <v>8991</v>
      </c>
      <c r="E1170" s="18"/>
    </row>
    <row r="1171" spans="1:6" x14ac:dyDescent="0.3">
      <c r="A1171" t="s">
        <v>5685</v>
      </c>
      <c r="B1171" t="s">
        <v>5686</v>
      </c>
      <c r="C1171" t="s">
        <v>8992</v>
      </c>
      <c r="D1171" t="s">
        <v>7824</v>
      </c>
      <c r="E1171" s="18">
        <v>45798</v>
      </c>
    </row>
    <row r="1172" spans="1:6" x14ac:dyDescent="0.3">
      <c r="A1172" t="s">
        <v>5692</v>
      </c>
      <c r="B1172" t="s">
        <v>5693</v>
      </c>
      <c r="C1172" t="s">
        <v>8993</v>
      </c>
      <c r="D1172" t="s">
        <v>7787</v>
      </c>
      <c r="E1172" s="18">
        <v>45923</v>
      </c>
    </row>
    <row r="1173" spans="1:6" x14ac:dyDescent="0.3">
      <c r="A1173" t="s">
        <v>5697</v>
      </c>
      <c r="B1173" t="s">
        <v>5698</v>
      </c>
      <c r="C1173" t="s">
        <v>8994</v>
      </c>
      <c r="D1173" t="s">
        <v>7787</v>
      </c>
      <c r="E1173" s="18">
        <v>46056</v>
      </c>
    </row>
    <row r="1174" spans="1:6" x14ac:dyDescent="0.3">
      <c r="A1174" t="s">
        <v>5701</v>
      </c>
      <c r="B1174" t="s">
        <v>5702</v>
      </c>
      <c r="C1174" t="s">
        <v>8995</v>
      </c>
      <c r="E1174" s="18"/>
    </row>
    <row r="1175" spans="1:6" x14ac:dyDescent="0.3">
      <c r="A1175" t="s">
        <v>5711</v>
      </c>
      <c r="B1175" t="s">
        <v>5712</v>
      </c>
      <c r="C1175" t="s">
        <v>8996</v>
      </c>
      <c r="D1175" t="s">
        <v>7787</v>
      </c>
      <c r="E1175" s="18">
        <v>45783</v>
      </c>
    </row>
    <row r="1176" spans="1:6" x14ac:dyDescent="0.3">
      <c r="A1176" t="s">
        <v>5719</v>
      </c>
      <c r="B1176" t="s">
        <v>5720</v>
      </c>
      <c r="C1176" t="s">
        <v>8997</v>
      </c>
      <c r="D1176" t="s">
        <v>7867</v>
      </c>
      <c r="E1176" s="18">
        <v>45860</v>
      </c>
    </row>
    <row r="1177" spans="1:6" x14ac:dyDescent="0.3">
      <c r="A1177" t="s">
        <v>5726</v>
      </c>
      <c r="B1177" t="s">
        <v>5727</v>
      </c>
      <c r="C1177" t="s">
        <v>8998</v>
      </c>
      <c r="D1177" t="s">
        <v>7787</v>
      </c>
      <c r="E1177" s="18">
        <v>45993</v>
      </c>
    </row>
    <row r="1178" spans="1:6" x14ac:dyDescent="0.3">
      <c r="A1178" t="s">
        <v>5730</v>
      </c>
      <c r="B1178" t="s">
        <v>5731</v>
      </c>
      <c r="C1178" t="s">
        <v>8999</v>
      </c>
      <c r="E1178" s="18"/>
      <c r="F1178" s="52" t="s">
        <v>37</v>
      </c>
    </row>
    <row r="1179" spans="1:6" x14ac:dyDescent="0.3">
      <c r="A1179" t="s">
        <v>5734</v>
      </c>
      <c r="B1179" t="s">
        <v>5735</v>
      </c>
      <c r="C1179" t="s">
        <v>9000</v>
      </c>
      <c r="E1179" s="18"/>
    </row>
    <row r="1180" spans="1:6" x14ac:dyDescent="0.3">
      <c r="A1180" t="s">
        <v>5741</v>
      </c>
      <c r="B1180" t="s">
        <v>5742</v>
      </c>
      <c r="C1180" t="s">
        <v>9001</v>
      </c>
      <c r="D1180" t="s">
        <v>7787</v>
      </c>
      <c r="E1180" s="18"/>
      <c r="F1180" s="52" t="s">
        <v>37</v>
      </c>
    </row>
    <row r="1181" spans="1:6" x14ac:dyDescent="0.3">
      <c r="A1181" t="s">
        <v>5744</v>
      </c>
      <c r="B1181" t="s">
        <v>5745</v>
      </c>
      <c r="C1181" t="s">
        <v>9002</v>
      </c>
      <c r="D1181" t="s">
        <v>7785</v>
      </c>
      <c r="E1181" s="18">
        <v>45750</v>
      </c>
    </row>
    <row r="1182" spans="1:6" x14ac:dyDescent="0.3">
      <c r="A1182" t="s">
        <v>5748</v>
      </c>
      <c r="B1182" t="s">
        <v>5749</v>
      </c>
      <c r="C1182" t="s">
        <v>9003</v>
      </c>
      <c r="D1182" t="s">
        <v>7789</v>
      </c>
      <c r="E1182" s="18">
        <v>45833</v>
      </c>
    </row>
    <row r="1183" spans="1:6" x14ac:dyDescent="0.3">
      <c r="A1183" t="s">
        <v>5751</v>
      </c>
      <c r="B1183" t="s">
        <v>5752</v>
      </c>
      <c r="C1183" t="s">
        <v>9004</v>
      </c>
      <c r="D1183" t="s">
        <v>7787</v>
      </c>
      <c r="E1183" s="18">
        <v>45728</v>
      </c>
    </row>
    <row r="1184" spans="1:6" x14ac:dyDescent="0.3">
      <c r="A1184" t="s">
        <v>5755</v>
      </c>
      <c r="B1184" t="s">
        <v>5756</v>
      </c>
      <c r="C1184" t="s">
        <v>9005</v>
      </c>
      <c r="D1184" t="s">
        <v>7824</v>
      </c>
      <c r="E1184" s="18">
        <v>45847</v>
      </c>
    </row>
    <row r="1185" spans="1:6" x14ac:dyDescent="0.3">
      <c r="A1185" t="s">
        <v>5759</v>
      </c>
      <c r="B1185" t="s">
        <v>5760</v>
      </c>
      <c r="C1185" t="s">
        <v>9006</v>
      </c>
      <c r="E1185" s="18"/>
      <c r="F1185" s="52" t="s">
        <v>37</v>
      </c>
    </row>
    <row r="1186" spans="1:6" x14ac:dyDescent="0.3">
      <c r="A1186" t="s">
        <v>5763</v>
      </c>
      <c r="B1186" t="s">
        <v>5764</v>
      </c>
      <c r="C1186" t="s">
        <v>9007</v>
      </c>
      <c r="D1186" t="s">
        <v>7787</v>
      </c>
      <c r="E1186" s="18">
        <v>45784</v>
      </c>
    </row>
    <row r="1187" spans="1:6" x14ac:dyDescent="0.3">
      <c r="A1187" t="s">
        <v>5766</v>
      </c>
      <c r="B1187" t="s">
        <v>5767</v>
      </c>
      <c r="C1187" t="s">
        <v>9008</v>
      </c>
      <c r="D1187" t="s">
        <v>7789</v>
      </c>
      <c r="E1187" s="18">
        <v>45943</v>
      </c>
      <c r="F1187" s="52" t="s">
        <v>37</v>
      </c>
    </row>
    <row r="1188" spans="1:6" x14ac:dyDescent="0.3">
      <c r="A1188" t="s">
        <v>5773</v>
      </c>
      <c r="B1188" t="s">
        <v>5774</v>
      </c>
      <c r="C1188" t="s">
        <v>9009</v>
      </c>
      <c r="D1188" t="s">
        <v>7785</v>
      </c>
      <c r="E1188" s="18"/>
    </row>
    <row r="1189" spans="1:6" x14ac:dyDescent="0.3">
      <c r="A1189" t="s">
        <v>5777</v>
      </c>
      <c r="B1189" t="s">
        <v>5778</v>
      </c>
      <c r="C1189" t="s">
        <v>9010</v>
      </c>
      <c r="D1189" t="s">
        <v>7789</v>
      </c>
      <c r="E1189" s="18">
        <v>45764</v>
      </c>
    </row>
    <row r="1190" spans="1:6" x14ac:dyDescent="0.3">
      <c r="A1190" t="s">
        <v>5780</v>
      </c>
      <c r="B1190" t="s">
        <v>5781</v>
      </c>
      <c r="C1190" t="s">
        <v>9011</v>
      </c>
      <c r="D1190" t="s">
        <v>7787</v>
      </c>
      <c r="E1190" s="18">
        <v>45964</v>
      </c>
      <c r="F1190" s="52" t="s">
        <v>37</v>
      </c>
    </row>
    <row r="1191" spans="1:6" x14ac:dyDescent="0.3">
      <c r="A1191" t="s">
        <v>5784</v>
      </c>
      <c r="B1191" t="s">
        <v>5785</v>
      </c>
      <c r="C1191" t="s">
        <v>9012</v>
      </c>
      <c r="D1191" t="s">
        <v>7787</v>
      </c>
      <c r="E1191" s="18">
        <v>45783</v>
      </c>
    </row>
    <row r="1192" spans="1:6" x14ac:dyDescent="0.3">
      <c r="A1192" t="s">
        <v>5788</v>
      </c>
      <c r="B1192" t="s">
        <v>5789</v>
      </c>
      <c r="C1192" t="s">
        <v>9013</v>
      </c>
      <c r="E1192" s="18"/>
    </row>
    <row r="1193" spans="1:6" x14ac:dyDescent="0.3">
      <c r="A1193" t="s">
        <v>5791</v>
      </c>
      <c r="B1193" t="s">
        <v>5792</v>
      </c>
      <c r="C1193" t="s">
        <v>9014</v>
      </c>
      <c r="E1193" s="18"/>
    </row>
    <row r="1194" spans="1:6" x14ac:dyDescent="0.3">
      <c r="A1194" t="s">
        <v>5795</v>
      </c>
      <c r="B1194" t="s">
        <v>5796</v>
      </c>
      <c r="C1194" t="s">
        <v>9015</v>
      </c>
      <c r="E1194" s="18"/>
      <c r="F1194" s="52" t="s">
        <v>37</v>
      </c>
    </row>
    <row r="1195" spans="1:6" x14ac:dyDescent="0.3">
      <c r="A1195" t="s">
        <v>5798</v>
      </c>
      <c r="B1195" t="s">
        <v>5799</v>
      </c>
      <c r="C1195" t="s">
        <v>9016</v>
      </c>
      <c r="E1195" s="18"/>
      <c r="F1195" s="52" t="s">
        <v>37</v>
      </c>
    </row>
    <row r="1196" spans="1:6" x14ac:dyDescent="0.3">
      <c r="A1196" t="s">
        <v>5801</v>
      </c>
      <c r="B1196" t="s">
        <v>5802</v>
      </c>
      <c r="C1196" t="s">
        <v>9017</v>
      </c>
      <c r="D1196" t="s">
        <v>7787</v>
      </c>
      <c r="E1196" s="18">
        <v>45737</v>
      </c>
    </row>
    <row r="1197" spans="1:6" x14ac:dyDescent="0.3">
      <c r="A1197" t="s">
        <v>5804</v>
      </c>
      <c r="B1197" t="s">
        <v>5805</v>
      </c>
      <c r="C1197" t="s">
        <v>9018</v>
      </c>
      <c r="D1197" t="s">
        <v>7787</v>
      </c>
      <c r="E1197" s="18">
        <v>45736</v>
      </c>
    </row>
    <row r="1198" spans="1:6" x14ac:dyDescent="0.3">
      <c r="A1198" t="s">
        <v>5818</v>
      </c>
      <c r="B1198" t="s">
        <v>5819</v>
      </c>
      <c r="C1198" t="s">
        <v>9019</v>
      </c>
      <c r="D1198" t="s">
        <v>7789</v>
      </c>
      <c r="E1198" s="18">
        <v>45982</v>
      </c>
    </row>
    <row r="1199" spans="1:6" x14ac:dyDescent="0.3">
      <c r="A1199" t="s">
        <v>5822</v>
      </c>
      <c r="B1199" t="s">
        <v>5823</v>
      </c>
      <c r="C1199" t="s">
        <v>9020</v>
      </c>
      <c r="D1199" t="s">
        <v>7787</v>
      </c>
      <c r="E1199" s="18">
        <v>45931</v>
      </c>
    </row>
    <row r="1200" spans="1:6" x14ac:dyDescent="0.3">
      <c r="A1200" t="s">
        <v>5829</v>
      </c>
      <c r="B1200" t="s">
        <v>5830</v>
      </c>
      <c r="C1200" t="s">
        <v>9021</v>
      </c>
      <c r="D1200" t="s">
        <v>7787</v>
      </c>
      <c r="E1200" s="18"/>
    </row>
    <row r="1201" spans="1:6" x14ac:dyDescent="0.3">
      <c r="A1201" t="s">
        <v>5833</v>
      </c>
      <c r="B1201" t="s">
        <v>5834</v>
      </c>
      <c r="C1201" t="s">
        <v>9022</v>
      </c>
      <c r="E1201" s="18"/>
      <c r="F1201" s="52" t="s">
        <v>37</v>
      </c>
    </row>
    <row r="1202" spans="1:6" x14ac:dyDescent="0.3">
      <c r="A1202" t="s">
        <v>5837</v>
      </c>
      <c r="B1202" t="s">
        <v>5838</v>
      </c>
      <c r="C1202" t="s">
        <v>7590</v>
      </c>
      <c r="D1202" t="s">
        <v>7787</v>
      </c>
      <c r="E1202" s="18">
        <v>45903</v>
      </c>
    </row>
    <row r="1203" spans="1:6" x14ac:dyDescent="0.3">
      <c r="A1203" t="s">
        <v>5841</v>
      </c>
      <c r="B1203" t="s">
        <v>5842</v>
      </c>
      <c r="C1203" t="s">
        <v>9023</v>
      </c>
      <c r="E1203" s="18"/>
    </row>
    <row r="1204" spans="1:6" x14ac:dyDescent="0.3">
      <c r="A1204" t="s">
        <v>5847</v>
      </c>
      <c r="B1204" t="s">
        <v>5848</v>
      </c>
      <c r="C1204" t="s">
        <v>9024</v>
      </c>
      <c r="D1204" t="s">
        <v>7787</v>
      </c>
      <c r="E1204" s="18">
        <v>45945</v>
      </c>
      <c r="F1204" s="52" t="s">
        <v>37</v>
      </c>
    </row>
    <row r="1205" spans="1:6" x14ac:dyDescent="0.3">
      <c r="A1205" t="s">
        <v>5857</v>
      </c>
      <c r="B1205" t="s">
        <v>5858</v>
      </c>
      <c r="C1205" t="s">
        <v>9025</v>
      </c>
      <c r="D1205" t="s">
        <v>7787</v>
      </c>
      <c r="E1205" s="18">
        <v>45896</v>
      </c>
      <c r="F1205" s="52" t="s">
        <v>37</v>
      </c>
    </row>
    <row r="1206" spans="1:6" x14ac:dyDescent="0.3">
      <c r="A1206" t="s">
        <v>5865</v>
      </c>
      <c r="B1206" t="s">
        <v>5866</v>
      </c>
      <c r="C1206" t="s">
        <v>9026</v>
      </c>
      <c r="E1206" s="18"/>
    </row>
    <row r="1207" spans="1:6" x14ac:dyDescent="0.3">
      <c r="A1207" t="s">
        <v>5869</v>
      </c>
      <c r="B1207" t="s">
        <v>5870</v>
      </c>
      <c r="C1207" t="s">
        <v>9027</v>
      </c>
      <c r="D1207" t="s">
        <v>7787</v>
      </c>
      <c r="E1207" s="18">
        <v>45968</v>
      </c>
      <c r="F1207" s="52" t="s">
        <v>37</v>
      </c>
    </row>
    <row r="1208" spans="1:6" x14ac:dyDescent="0.3">
      <c r="A1208" t="s">
        <v>5873</v>
      </c>
      <c r="B1208" t="s">
        <v>5874</v>
      </c>
      <c r="C1208" t="s">
        <v>9028</v>
      </c>
      <c r="D1208" t="s">
        <v>7787</v>
      </c>
      <c r="E1208" s="18"/>
      <c r="F1208" s="52" t="s">
        <v>37</v>
      </c>
    </row>
    <row r="1209" spans="1:6" x14ac:dyDescent="0.3">
      <c r="A1209" t="s">
        <v>5889</v>
      </c>
      <c r="B1209" t="s">
        <v>5890</v>
      </c>
      <c r="C1209" t="s">
        <v>9029</v>
      </c>
      <c r="E1209" s="18"/>
    </row>
    <row r="1210" spans="1:6" x14ac:dyDescent="0.3">
      <c r="A1210" t="s">
        <v>5893</v>
      </c>
      <c r="B1210" t="s">
        <v>5894</v>
      </c>
      <c r="C1210" t="s">
        <v>9030</v>
      </c>
      <c r="D1210" t="s">
        <v>7789</v>
      </c>
      <c r="E1210" s="18">
        <v>45932</v>
      </c>
    </row>
    <row r="1211" spans="1:6" x14ac:dyDescent="0.3">
      <c r="A1211" t="s">
        <v>5897</v>
      </c>
      <c r="B1211" t="s">
        <v>5898</v>
      </c>
      <c r="C1211" t="s">
        <v>9031</v>
      </c>
      <c r="D1211" t="s">
        <v>7787</v>
      </c>
      <c r="E1211" s="18">
        <v>45923</v>
      </c>
    </row>
    <row r="1212" spans="1:6" x14ac:dyDescent="0.3">
      <c r="A1212" t="s">
        <v>5901</v>
      </c>
      <c r="B1212" t="s">
        <v>5902</v>
      </c>
      <c r="C1212" t="s">
        <v>9032</v>
      </c>
      <c r="E1212" s="18"/>
    </row>
    <row r="1213" spans="1:6" x14ac:dyDescent="0.3">
      <c r="A1213" t="s">
        <v>5907</v>
      </c>
      <c r="B1213" t="s">
        <v>5908</v>
      </c>
      <c r="C1213" t="s">
        <v>9033</v>
      </c>
      <c r="D1213" t="s">
        <v>7837</v>
      </c>
      <c r="E1213" s="18"/>
    </row>
    <row r="1214" spans="1:6" x14ac:dyDescent="0.3">
      <c r="A1214" t="s">
        <v>5913</v>
      </c>
      <c r="B1214" t="s">
        <v>5914</v>
      </c>
      <c r="C1214" t="s">
        <v>9034</v>
      </c>
      <c r="E1214" s="18"/>
    </row>
    <row r="1215" spans="1:6" x14ac:dyDescent="0.3">
      <c r="A1215" t="s">
        <v>5922</v>
      </c>
      <c r="B1215" t="s">
        <v>5923</v>
      </c>
      <c r="C1215" t="s">
        <v>9035</v>
      </c>
      <c r="E1215" s="18"/>
    </row>
    <row r="1216" spans="1:6" x14ac:dyDescent="0.3">
      <c r="A1216" t="s">
        <v>5929</v>
      </c>
      <c r="B1216" t="s">
        <v>5930</v>
      </c>
      <c r="C1216" t="s">
        <v>9036</v>
      </c>
      <c r="D1216" t="s">
        <v>7787</v>
      </c>
      <c r="E1216" s="18"/>
    </row>
    <row r="1217" spans="1:6" x14ac:dyDescent="0.3">
      <c r="A1217" t="s">
        <v>5933</v>
      </c>
      <c r="B1217" t="s">
        <v>5934</v>
      </c>
      <c r="C1217" t="s">
        <v>9037</v>
      </c>
      <c r="D1217" t="s">
        <v>7785</v>
      </c>
      <c r="E1217" s="18">
        <v>45733</v>
      </c>
    </row>
    <row r="1218" spans="1:6" x14ac:dyDescent="0.3">
      <c r="A1218" t="s">
        <v>5937</v>
      </c>
      <c r="B1218" t="s">
        <v>5938</v>
      </c>
      <c r="C1218" t="s">
        <v>9038</v>
      </c>
      <c r="E1218" s="18"/>
    </row>
    <row r="1219" spans="1:6" x14ac:dyDescent="0.3">
      <c r="A1219" t="s">
        <v>5941</v>
      </c>
      <c r="B1219" t="s">
        <v>5942</v>
      </c>
      <c r="C1219" t="s">
        <v>9039</v>
      </c>
      <c r="D1219" t="s">
        <v>7789</v>
      </c>
      <c r="E1219" s="18">
        <v>45898</v>
      </c>
    </row>
    <row r="1220" spans="1:6" x14ac:dyDescent="0.3">
      <c r="A1220" t="s">
        <v>5945</v>
      </c>
      <c r="B1220" t="s">
        <v>5946</v>
      </c>
      <c r="C1220" t="s">
        <v>9040</v>
      </c>
      <c r="E1220" s="18"/>
    </row>
    <row r="1221" spans="1:6" x14ac:dyDescent="0.3">
      <c r="A1221" t="s">
        <v>5951</v>
      </c>
      <c r="B1221" t="s">
        <v>5952</v>
      </c>
      <c r="C1221" t="s">
        <v>9041</v>
      </c>
      <c r="D1221" t="s">
        <v>7785</v>
      </c>
      <c r="E1221" s="18">
        <v>45792</v>
      </c>
    </row>
    <row r="1222" spans="1:6" x14ac:dyDescent="0.3">
      <c r="A1222" t="s">
        <v>5955</v>
      </c>
      <c r="B1222" t="s">
        <v>5956</v>
      </c>
      <c r="C1222" t="s">
        <v>9042</v>
      </c>
      <c r="D1222" t="s">
        <v>7785</v>
      </c>
      <c r="E1222" s="18">
        <v>46056</v>
      </c>
    </row>
    <row r="1223" spans="1:6" x14ac:dyDescent="0.3">
      <c r="A1223" t="s">
        <v>5966</v>
      </c>
      <c r="B1223" t="s">
        <v>5967</v>
      </c>
      <c r="C1223" t="s">
        <v>9043</v>
      </c>
      <c r="D1223" t="s">
        <v>7789</v>
      </c>
      <c r="E1223" s="18">
        <v>45993</v>
      </c>
    </row>
    <row r="1224" spans="1:6" x14ac:dyDescent="0.3">
      <c r="A1224" t="s">
        <v>5970</v>
      </c>
      <c r="B1224" t="s">
        <v>5971</v>
      </c>
      <c r="C1224" t="s">
        <v>9044</v>
      </c>
      <c r="E1224" s="18"/>
    </row>
    <row r="1225" spans="1:6" x14ac:dyDescent="0.3">
      <c r="A1225" t="s">
        <v>5974</v>
      </c>
      <c r="B1225" t="s">
        <v>5975</v>
      </c>
      <c r="C1225" t="s">
        <v>9045</v>
      </c>
      <c r="D1225" t="s">
        <v>7787</v>
      </c>
      <c r="E1225" s="18">
        <v>45939</v>
      </c>
      <c r="F1225" s="52" t="s">
        <v>37</v>
      </c>
    </row>
    <row r="1226" spans="1:6" x14ac:dyDescent="0.3">
      <c r="A1226" t="s">
        <v>5978</v>
      </c>
      <c r="B1226" t="s">
        <v>5979</v>
      </c>
      <c r="C1226" t="s">
        <v>9046</v>
      </c>
      <c r="D1226" t="s">
        <v>7785</v>
      </c>
      <c r="E1226" s="18">
        <v>45747</v>
      </c>
    </row>
    <row r="1227" spans="1:6" x14ac:dyDescent="0.3">
      <c r="A1227" t="s">
        <v>5984</v>
      </c>
      <c r="B1227" t="s">
        <v>5985</v>
      </c>
      <c r="C1227" t="s">
        <v>9047</v>
      </c>
      <c r="E1227" s="18"/>
    </row>
    <row r="1228" spans="1:6" x14ac:dyDescent="0.3">
      <c r="A1228" t="s">
        <v>5988</v>
      </c>
      <c r="B1228" t="s">
        <v>5989</v>
      </c>
      <c r="C1228" t="s">
        <v>9048</v>
      </c>
      <c r="D1228" t="s">
        <v>7787</v>
      </c>
      <c r="E1228" s="18">
        <v>45891</v>
      </c>
    </row>
    <row r="1229" spans="1:6" x14ac:dyDescent="0.3">
      <c r="A1229" t="s">
        <v>5992</v>
      </c>
      <c r="B1229" t="s">
        <v>5993</v>
      </c>
      <c r="C1229" t="s">
        <v>9049</v>
      </c>
      <c r="D1229" t="s">
        <v>7801</v>
      </c>
      <c r="E1229" s="18">
        <v>45796</v>
      </c>
    </row>
    <row r="1230" spans="1:6" x14ac:dyDescent="0.3">
      <c r="A1230" t="s">
        <v>5995</v>
      </c>
      <c r="B1230" t="s">
        <v>5996</v>
      </c>
      <c r="C1230" t="s">
        <v>9050</v>
      </c>
      <c r="E1230" s="18"/>
    </row>
    <row r="1231" spans="1:6" x14ac:dyDescent="0.3">
      <c r="A1231" t="s">
        <v>5999</v>
      </c>
      <c r="B1231" t="s">
        <v>6000</v>
      </c>
      <c r="C1231" t="s">
        <v>9051</v>
      </c>
      <c r="D1231" t="s">
        <v>7787</v>
      </c>
      <c r="E1231" s="18">
        <v>45930</v>
      </c>
      <c r="F1231" s="52" t="s">
        <v>37</v>
      </c>
    </row>
    <row r="1232" spans="1:6" x14ac:dyDescent="0.3">
      <c r="A1232" t="s">
        <v>6003</v>
      </c>
      <c r="B1232" t="s">
        <v>6004</v>
      </c>
      <c r="C1232" t="s">
        <v>9052</v>
      </c>
      <c r="D1232" t="s">
        <v>7787</v>
      </c>
      <c r="E1232" s="18">
        <v>45848</v>
      </c>
    </row>
    <row r="1233" spans="1:6" x14ac:dyDescent="0.3">
      <c r="A1233" t="s">
        <v>6006</v>
      </c>
      <c r="B1233" t="s">
        <v>6007</v>
      </c>
      <c r="C1233" t="s">
        <v>9053</v>
      </c>
      <c r="D1233" t="s">
        <v>7787</v>
      </c>
      <c r="E1233" s="18">
        <v>45785</v>
      </c>
    </row>
    <row r="1234" spans="1:6" x14ac:dyDescent="0.3">
      <c r="A1234" t="s">
        <v>6013</v>
      </c>
      <c r="B1234" t="s">
        <v>6014</v>
      </c>
      <c r="C1234" t="s">
        <v>9054</v>
      </c>
      <c r="D1234" t="s">
        <v>7912</v>
      </c>
      <c r="E1234" s="18">
        <v>45958</v>
      </c>
    </row>
    <row r="1235" spans="1:6" x14ac:dyDescent="0.3">
      <c r="A1235" t="s">
        <v>6017</v>
      </c>
      <c r="B1235" t="s">
        <v>6018</v>
      </c>
      <c r="C1235" t="s">
        <v>9055</v>
      </c>
      <c r="D1235" t="s">
        <v>7785</v>
      </c>
      <c r="E1235" s="18"/>
    </row>
    <row r="1236" spans="1:6" x14ac:dyDescent="0.3">
      <c r="A1236" t="s">
        <v>6021</v>
      </c>
      <c r="B1236" t="s">
        <v>6022</v>
      </c>
      <c r="C1236" t="s">
        <v>9056</v>
      </c>
      <c r="D1236" t="s">
        <v>7789</v>
      </c>
      <c r="E1236" s="18">
        <v>45993</v>
      </c>
    </row>
    <row r="1237" spans="1:6" x14ac:dyDescent="0.3">
      <c r="A1237" t="s">
        <v>6025</v>
      </c>
      <c r="B1237" t="s">
        <v>6026</v>
      </c>
      <c r="C1237" t="s">
        <v>9057</v>
      </c>
      <c r="E1237" s="18"/>
    </row>
    <row r="1238" spans="1:6" x14ac:dyDescent="0.3">
      <c r="A1238" t="s">
        <v>6029</v>
      </c>
      <c r="B1238" t="s">
        <v>6030</v>
      </c>
      <c r="C1238" t="s">
        <v>9058</v>
      </c>
      <c r="E1238" s="18"/>
      <c r="F1238" s="52" t="s">
        <v>37</v>
      </c>
    </row>
    <row r="1239" spans="1:6" x14ac:dyDescent="0.3">
      <c r="A1239" t="s">
        <v>6033</v>
      </c>
      <c r="B1239" t="s">
        <v>6034</v>
      </c>
      <c r="C1239" t="s">
        <v>9059</v>
      </c>
      <c r="E1239" s="18"/>
    </row>
    <row r="1240" spans="1:6" x14ac:dyDescent="0.3">
      <c r="A1240" t="s">
        <v>6043</v>
      </c>
      <c r="B1240" t="s">
        <v>6044</v>
      </c>
      <c r="C1240" t="s">
        <v>9060</v>
      </c>
      <c r="D1240" t="s">
        <v>7801</v>
      </c>
      <c r="E1240" s="18">
        <v>45783</v>
      </c>
    </row>
    <row r="1241" spans="1:6" x14ac:dyDescent="0.3">
      <c r="A1241" t="s">
        <v>6046</v>
      </c>
      <c r="B1241" t="s">
        <v>6047</v>
      </c>
      <c r="C1241" t="s">
        <v>9061</v>
      </c>
      <c r="D1241" t="s">
        <v>7796</v>
      </c>
      <c r="E1241" s="18">
        <v>45930</v>
      </c>
    </row>
    <row r="1242" spans="1:6" x14ac:dyDescent="0.3">
      <c r="A1242" t="s">
        <v>6050</v>
      </c>
      <c r="B1242" t="s">
        <v>6051</v>
      </c>
      <c r="C1242" t="s">
        <v>9062</v>
      </c>
      <c r="D1242" t="s">
        <v>7801</v>
      </c>
      <c r="E1242" s="18">
        <v>45959</v>
      </c>
      <c r="F1242" s="52" t="s">
        <v>37</v>
      </c>
    </row>
    <row r="1243" spans="1:6" x14ac:dyDescent="0.3">
      <c r="A1243" t="s">
        <v>6054</v>
      </c>
      <c r="B1243" t="s">
        <v>6055</v>
      </c>
      <c r="C1243" t="s">
        <v>9063</v>
      </c>
      <c r="D1243" t="s">
        <v>7787</v>
      </c>
      <c r="E1243" s="18">
        <v>45930</v>
      </c>
      <c r="F1243" s="52" t="s">
        <v>37</v>
      </c>
    </row>
    <row r="1244" spans="1:6" x14ac:dyDescent="0.3">
      <c r="A1244" t="s">
        <v>6057</v>
      </c>
      <c r="B1244" t="s">
        <v>6058</v>
      </c>
      <c r="C1244" t="s">
        <v>9064</v>
      </c>
      <c r="D1244" t="s">
        <v>7787</v>
      </c>
      <c r="E1244" s="18"/>
    </row>
    <row r="1245" spans="1:6" x14ac:dyDescent="0.3">
      <c r="A1245" t="s">
        <v>6061</v>
      </c>
      <c r="B1245" t="s">
        <v>6062</v>
      </c>
      <c r="C1245" t="s">
        <v>9065</v>
      </c>
      <c r="D1245" t="s">
        <v>7787</v>
      </c>
      <c r="E1245" s="18"/>
    </row>
    <row r="1246" spans="1:6" x14ac:dyDescent="0.3">
      <c r="A1246" t="s">
        <v>6065</v>
      </c>
      <c r="B1246" t="s">
        <v>6066</v>
      </c>
      <c r="C1246" t="s">
        <v>9066</v>
      </c>
      <c r="D1246" t="s">
        <v>7912</v>
      </c>
      <c r="E1246" s="18">
        <v>45993</v>
      </c>
    </row>
    <row r="1247" spans="1:6" x14ac:dyDescent="0.3">
      <c r="A1247" t="s">
        <v>6069</v>
      </c>
      <c r="B1247" t="s">
        <v>6070</v>
      </c>
      <c r="C1247" t="s">
        <v>9067</v>
      </c>
      <c r="E1247" s="18"/>
    </row>
    <row r="1248" spans="1:6" x14ac:dyDescent="0.3">
      <c r="A1248" t="s">
        <v>6075</v>
      </c>
      <c r="B1248" t="s">
        <v>6076</v>
      </c>
      <c r="C1248" t="s">
        <v>9068</v>
      </c>
      <c r="D1248" t="s">
        <v>7785</v>
      </c>
      <c r="E1248" s="18">
        <v>45868</v>
      </c>
    </row>
    <row r="1249" spans="1:6" x14ac:dyDescent="0.3">
      <c r="A1249" t="s">
        <v>6079</v>
      </c>
      <c r="B1249" t="s">
        <v>6080</v>
      </c>
      <c r="C1249" t="s">
        <v>9069</v>
      </c>
      <c r="D1249" t="s">
        <v>7785</v>
      </c>
      <c r="E1249" s="18">
        <v>45742</v>
      </c>
    </row>
    <row r="1250" spans="1:6" x14ac:dyDescent="0.3">
      <c r="B1250" t="s">
        <v>9070</v>
      </c>
      <c r="C1250" t="s">
        <v>9071</v>
      </c>
      <c r="E1250" s="18"/>
    </row>
    <row r="1251" spans="1:6" x14ac:dyDescent="0.3">
      <c r="A1251" t="s">
        <v>6086</v>
      </c>
      <c r="B1251" t="s">
        <v>6087</v>
      </c>
      <c r="C1251" t="s">
        <v>9072</v>
      </c>
      <c r="D1251" t="s">
        <v>7796</v>
      </c>
      <c r="E1251" s="18">
        <v>45722</v>
      </c>
    </row>
    <row r="1252" spans="1:6" x14ac:dyDescent="0.3">
      <c r="A1252" t="s">
        <v>6090</v>
      </c>
      <c r="B1252" t="s">
        <v>6091</v>
      </c>
      <c r="C1252" t="s">
        <v>9073</v>
      </c>
      <c r="D1252" t="s">
        <v>7787</v>
      </c>
      <c r="E1252" s="18">
        <v>45966</v>
      </c>
    </row>
    <row r="1253" spans="1:6" x14ac:dyDescent="0.3">
      <c r="A1253" t="s">
        <v>6094</v>
      </c>
      <c r="B1253" t="s">
        <v>6095</v>
      </c>
      <c r="C1253" t="s">
        <v>9074</v>
      </c>
      <c r="D1253" t="s">
        <v>7824</v>
      </c>
      <c r="E1253" s="18">
        <v>45777</v>
      </c>
    </row>
    <row r="1254" spans="1:6" x14ac:dyDescent="0.3">
      <c r="A1254" t="s">
        <v>6097</v>
      </c>
      <c r="B1254" t="s">
        <v>6098</v>
      </c>
      <c r="C1254" t="s">
        <v>9075</v>
      </c>
      <c r="D1254" t="s">
        <v>7787</v>
      </c>
      <c r="E1254" s="18">
        <v>45951</v>
      </c>
      <c r="F1254" s="52" t="s">
        <v>37</v>
      </c>
    </row>
    <row r="1255" spans="1:6" x14ac:dyDescent="0.3">
      <c r="A1255" t="s">
        <v>6101</v>
      </c>
      <c r="B1255" t="s">
        <v>6102</v>
      </c>
      <c r="C1255" t="s">
        <v>9076</v>
      </c>
      <c r="D1255" t="s">
        <v>7787</v>
      </c>
      <c r="E1255" s="18">
        <v>45721</v>
      </c>
    </row>
    <row r="1256" spans="1:6" x14ac:dyDescent="0.3">
      <c r="B1256" t="s">
        <v>9077</v>
      </c>
      <c r="C1256" t="s">
        <v>9078</v>
      </c>
      <c r="D1256" t="s">
        <v>7787</v>
      </c>
      <c r="E1256" s="18">
        <v>45791</v>
      </c>
    </row>
    <row r="1257" spans="1:6" x14ac:dyDescent="0.3">
      <c r="A1257" t="s">
        <v>6107</v>
      </c>
      <c r="B1257" t="s">
        <v>6108</v>
      </c>
      <c r="C1257" t="s">
        <v>9079</v>
      </c>
      <c r="E1257" s="18"/>
    </row>
    <row r="1258" spans="1:6" x14ac:dyDescent="0.3">
      <c r="A1258" t="s">
        <v>6111</v>
      </c>
      <c r="B1258" t="s">
        <v>6112</v>
      </c>
      <c r="C1258" t="s">
        <v>9080</v>
      </c>
      <c r="E1258" s="18"/>
    </row>
    <row r="1259" spans="1:6" x14ac:dyDescent="0.3">
      <c r="A1259" t="s">
        <v>6114</v>
      </c>
      <c r="B1259" t="s">
        <v>6115</v>
      </c>
      <c r="C1259" t="s">
        <v>9081</v>
      </c>
      <c r="D1259" t="s">
        <v>7785</v>
      </c>
      <c r="E1259" s="18">
        <v>45782</v>
      </c>
    </row>
    <row r="1260" spans="1:6" x14ac:dyDescent="0.3">
      <c r="A1260" t="s">
        <v>6120</v>
      </c>
      <c r="B1260" t="s">
        <v>6121</v>
      </c>
      <c r="C1260" t="s">
        <v>9082</v>
      </c>
      <c r="D1260" t="s">
        <v>7787</v>
      </c>
      <c r="E1260" s="18"/>
    </row>
    <row r="1261" spans="1:6" x14ac:dyDescent="0.3">
      <c r="A1261" t="s">
        <v>6124</v>
      </c>
      <c r="B1261" t="s">
        <v>6125</v>
      </c>
      <c r="C1261" t="s">
        <v>9083</v>
      </c>
      <c r="D1261" t="s">
        <v>7787</v>
      </c>
      <c r="E1261" s="18">
        <v>45933</v>
      </c>
    </row>
    <row r="1262" spans="1:6" x14ac:dyDescent="0.3">
      <c r="A1262" t="s">
        <v>6128</v>
      </c>
      <c r="B1262" t="s">
        <v>6129</v>
      </c>
      <c r="C1262" t="s">
        <v>9084</v>
      </c>
      <c r="D1262" t="s">
        <v>7787</v>
      </c>
      <c r="E1262" s="18">
        <v>45783</v>
      </c>
    </row>
    <row r="1263" spans="1:6" x14ac:dyDescent="0.3">
      <c r="A1263" t="s">
        <v>6135</v>
      </c>
      <c r="B1263" t="s">
        <v>6136</v>
      </c>
      <c r="C1263" t="s">
        <v>9085</v>
      </c>
      <c r="D1263" t="s">
        <v>7787</v>
      </c>
      <c r="E1263" s="18">
        <v>45783</v>
      </c>
    </row>
    <row r="1264" spans="1:6" x14ac:dyDescent="0.3">
      <c r="A1264" t="s">
        <v>6139</v>
      </c>
      <c r="B1264" t="s">
        <v>6140</v>
      </c>
      <c r="C1264" t="s">
        <v>9086</v>
      </c>
      <c r="D1264" t="s">
        <v>7789</v>
      </c>
      <c r="E1264" s="18">
        <v>45993</v>
      </c>
    </row>
    <row r="1265" spans="1:6" x14ac:dyDescent="0.3">
      <c r="A1265" t="s">
        <v>6143</v>
      </c>
      <c r="B1265" t="s">
        <v>6144</v>
      </c>
      <c r="C1265" t="s">
        <v>9087</v>
      </c>
      <c r="D1265" t="s">
        <v>7785</v>
      </c>
      <c r="E1265" s="18">
        <v>45735</v>
      </c>
    </row>
    <row r="1266" spans="1:6" x14ac:dyDescent="0.3">
      <c r="A1266" t="s">
        <v>6146</v>
      </c>
      <c r="B1266" t="s">
        <v>6147</v>
      </c>
      <c r="C1266" t="s">
        <v>9088</v>
      </c>
      <c r="D1266" t="s">
        <v>7867</v>
      </c>
      <c r="E1266" s="18">
        <v>45761</v>
      </c>
    </row>
    <row r="1267" spans="1:6" x14ac:dyDescent="0.3">
      <c r="A1267" t="s">
        <v>6149</v>
      </c>
      <c r="B1267" t="s">
        <v>6150</v>
      </c>
      <c r="C1267" t="s">
        <v>9089</v>
      </c>
      <c r="D1267" t="s">
        <v>7787</v>
      </c>
      <c r="E1267" s="18">
        <v>45775</v>
      </c>
    </row>
    <row r="1268" spans="1:6" x14ac:dyDescent="0.3">
      <c r="A1268" t="s">
        <v>6153</v>
      </c>
      <c r="B1268" t="s">
        <v>6154</v>
      </c>
      <c r="C1268" t="s">
        <v>9090</v>
      </c>
      <c r="E1268" s="18"/>
    </row>
    <row r="1269" spans="1:6" x14ac:dyDescent="0.3">
      <c r="A1269" t="s">
        <v>6157</v>
      </c>
      <c r="B1269" t="s">
        <v>6158</v>
      </c>
      <c r="C1269" t="s">
        <v>9091</v>
      </c>
      <c r="D1269" t="s">
        <v>7787</v>
      </c>
      <c r="E1269" s="18">
        <v>45959</v>
      </c>
      <c r="F1269" s="52" t="s">
        <v>37</v>
      </c>
    </row>
    <row r="1270" spans="1:6" x14ac:dyDescent="0.3">
      <c r="A1270" t="s">
        <v>6161</v>
      </c>
      <c r="B1270" t="s">
        <v>6162</v>
      </c>
      <c r="C1270" t="s">
        <v>9092</v>
      </c>
      <c r="D1270" t="s">
        <v>7787</v>
      </c>
      <c r="E1270" s="18"/>
    </row>
    <row r="1271" spans="1:6" x14ac:dyDescent="0.3">
      <c r="A1271" t="s">
        <v>6165</v>
      </c>
      <c r="B1271" t="s">
        <v>6166</v>
      </c>
      <c r="C1271" t="s">
        <v>9093</v>
      </c>
      <c r="D1271" t="s">
        <v>7787</v>
      </c>
      <c r="E1271" s="18">
        <v>45779</v>
      </c>
    </row>
    <row r="1272" spans="1:6" x14ac:dyDescent="0.3">
      <c r="A1272" t="s">
        <v>6168</v>
      </c>
      <c r="B1272" t="s">
        <v>6169</v>
      </c>
      <c r="C1272" t="s">
        <v>9094</v>
      </c>
      <c r="D1272" t="s">
        <v>7787</v>
      </c>
      <c r="E1272" s="18">
        <v>45938</v>
      </c>
    </row>
    <row r="1273" spans="1:6" x14ac:dyDescent="0.3">
      <c r="A1273" t="s">
        <v>6171</v>
      </c>
      <c r="B1273" t="s">
        <v>6172</v>
      </c>
      <c r="C1273" t="s">
        <v>9095</v>
      </c>
      <c r="E1273" s="18">
        <v>45959</v>
      </c>
      <c r="F1273" s="52" t="s">
        <v>37</v>
      </c>
    </row>
    <row r="1274" spans="1:6" x14ac:dyDescent="0.3">
      <c r="A1274" t="s">
        <v>6175</v>
      </c>
      <c r="B1274" t="s">
        <v>6176</v>
      </c>
      <c r="C1274" t="s">
        <v>9096</v>
      </c>
      <c r="D1274" t="s">
        <v>7796</v>
      </c>
      <c r="E1274" s="18">
        <v>45761</v>
      </c>
    </row>
    <row r="1275" spans="1:6" x14ac:dyDescent="0.3">
      <c r="A1275" t="s">
        <v>6184</v>
      </c>
      <c r="B1275" t="s">
        <v>6185</v>
      </c>
      <c r="C1275" t="s">
        <v>9097</v>
      </c>
      <c r="E1275" s="18"/>
    </row>
    <row r="1276" spans="1:6" x14ac:dyDescent="0.3">
      <c r="A1276" t="s">
        <v>6187</v>
      </c>
      <c r="B1276" t="s">
        <v>6188</v>
      </c>
      <c r="C1276" t="s">
        <v>9098</v>
      </c>
      <c r="E1276" s="18"/>
    </row>
    <row r="1277" spans="1:6" x14ac:dyDescent="0.3">
      <c r="A1277" t="s">
        <v>6193</v>
      </c>
      <c r="B1277" t="s">
        <v>6194</v>
      </c>
      <c r="C1277" t="s">
        <v>9099</v>
      </c>
      <c r="E1277" s="18"/>
    </row>
    <row r="1278" spans="1:6" x14ac:dyDescent="0.3">
      <c r="A1278" t="s">
        <v>6198</v>
      </c>
      <c r="B1278" t="s">
        <v>6199</v>
      </c>
      <c r="C1278" t="s">
        <v>9100</v>
      </c>
      <c r="D1278" t="s">
        <v>7787</v>
      </c>
      <c r="E1278" s="18">
        <v>45895</v>
      </c>
      <c r="F1278" s="52" t="s">
        <v>37</v>
      </c>
    </row>
    <row r="1279" spans="1:6" x14ac:dyDescent="0.3">
      <c r="A1279" t="s">
        <v>6202</v>
      </c>
      <c r="B1279" t="s">
        <v>6203</v>
      </c>
      <c r="C1279" t="s">
        <v>9101</v>
      </c>
      <c r="E1279" s="18"/>
      <c r="F1279" s="52" t="s">
        <v>37</v>
      </c>
    </row>
    <row r="1280" spans="1:6" x14ac:dyDescent="0.3">
      <c r="A1280" t="s">
        <v>6206</v>
      </c>
      <c r="B1280" t="s">
        <v>6207</v>
      </c>
      <c r="C1280" t="s">
        <v>9102</v>
      </c>
      <c r="D1280" t="s">
        <v>8288</v>
      </c>
      <c r="E1280" s="18">
        <v>45958</v>
      </c>
    </row>
    <row r="1281" spans="1:6" x14ac:dyDescent="0.3">
      <c r="A1281" t="s">
        <v>6210</v>
      </c>
      <c r="B1281" t="s">
        <v>6211</v>
      </c>
      <c r="C1281" t="s">
        <v>9103</v>
      </c>
      <c r="D1281" t="s">
        <v>7796</v>
      </c>
      <c r="E1281" s="18">
        <v>45853</v>
      </c>
    </row>
    <row r="1282" spans="1:6" x14ac:dyDescent="0.3">
      <c r="A1282" t="s">
        <v>6213</v>
      </c>
      <c r="B1282" t="s">
        <v>6214</v>
      </c>
      <c r="C1282" t="s">
        <v>9104</v>
      </c>
      <c r="E1282" s="18"/>
    </row>
    <row r="1283" spans="1:6" x14ac:dyDescent="0.3">
      <c r="A1283" t="s">
        <v>6216</v>
      </c>
      <c r="B1283" t="s">
        <v>6217</v>
      </c>
      <c r="C1283" t="s">
        <v>9105</v>
      </c>
      <c r="D1283" t="s">
        <v>7787</v>
      </c>
      <c r="E1283" s="18">
        <v>46006</v>
      </c>
    </row>
    <row r="1284" spans="1:6" x14ac:dyDescent="0.3">
      <c r="A1284" t="s">
        <v>6220</v>
      </c>
      <c r="B1284" t="s">
        <v>6221</v>
      </c>
      <c r="C1284" t="s">
        <v>9106</v>
      </c>
      <c r="E1284" s="18"/>
    </row>
    <row r="1285" spans="1:6" x14ac:dyDescent="0.3">
      <c r="A1285" t="s">
        <v>6224</v>
      </c>
      <c r="B1285" t="s">
        <v>6225</v>
      </c>
      <c r="C1285" t="s">
        <v>9107</v>
      </c>
      <c r="D1285" t="s">
        <v>7787</v>
      </c>
      <c r="E1285" s="18">
        <v>45958</v>
      </c>
    </row>
    <row r="1286" spans="1:6" x14ac:dyDescent="0.3">
      <c r="A1286" t="s">
        <v>6228</v>
      </c>
      <c r="B1286" t="s">
        <v>6229</v>
      </c>
      <c r="C1286" t="s">
        <v>9108</v>
      </c>
      <c r="D1286" t="s">
        <v>7785</v>
      </c>
      <c r="E1286" s="18">
        <v>45784</v>
      </c>
    </row>
    <row r="1287" spans="1:6" x14ac:dyDescent="0.3">
      <c r="A1287" t="s">
        <v>6241</v>
      </c>
      <c r="B1287" t="s">
        <v>6242</v>
      </c>
      <c r="C1287" t="s">
        <v>9109</v>
      </c>
      <c r="E1287" s="18"/>
      <c r="F1287" s="52" t="s">
        <v>37</v>
      </c>
    </row>
    <row r="1288" spans="1:6" x14ac:dyDescent="0.3">
      <c r="A1288" t="s">
        <v>6244</v>
      </c>
      <c r="B1288" t="s">
        <v>6245</v>
      </c>
      <c r="C1288" t="s">
        <v>9110</v>
      </c>
      <c r="E1288" s="18"/>
    </row>
    <row r="1289" spans="1:6" x14ac:dyDescent="0.3">
      <c r="A1289" t="s">
        <v>6250</v>
      </c>
      <c r="B1289" t="s">
        <v>6251</v>
      </c>
      <c r="C1289" t="s">
        <v>9111</v>
      </c>
      <c r="E1289" s="18"/>
    </row>
    <row r="1290" spans="1:6" x14ac:dyDescent="0.3">
      <c r="B1290" t="s">
        <v>9112</v>
      </c>
      <c r="C1290" t="s">
        <v>9113</v>
      </c>
      <c r="E1290" s="18"/>
    </row>
    <row r="1291" spans="1:6" x14ac:dyDescent="0.3">
      <c r="A1291" t="s">
        <v>6256</v>
      </c>
      <c r="B1291" t="s">
        <v>6257</v>
      </c>
      <c r="C1291" t="s">
        <v>9114</v>
      </c>
      <c r="D1291" t="s">
        <v>7789</v>
      </c>
      <c r="E1291" s="18">
        <v>45903</v>
      </c>
    </row>
    <row r="1292" spans="1:6" x14ac:dyDescent="0.3">
      <c r="A1292" t="s">
        <v>6263</v>
      </c>
      <c r="B1292" t="s">
        <v>6264</v>
      </c>
      <c r="C1292" t="s">
        <v>9115</v>
      </c>
      <c r="D1292" t="s">
        <v>7785</v>
      </c>
      <c r="E1292" s="18"/>
    </row>
    <row r="1293" spans="1:6" x14ac:dyDescent="0.3">
      <c r="A1293" t="s">
        <v>6266</v>
      </c>
      <c r="B1293" t="s">
        <v>6267</v>
      </c>
      <c r="C1293" t="s">
        <v>9116</v>
      </c>
      <c r="D1293" t="s">
        <v>7796</v>
      </c>
      <c r="E1293" s="18"/>
      <c r="F1293" s="52" t="s">
        <v>37</v>
      </c>
    </row>
    <row r="1294" spans="1:6" x14ac:dyDescent="0.3">
      <c r="A1294" t="s">
        <v>6273</v>
      </c>
      <c r="B1294" t="s">
        <v>6274</v>
      </c>
      <c r="C1294" t="s">
        <v>9117</v>
      </c>
      <c r="D1294" t="s">
        <v>7787</v>
      </c>
      <c r="E1294" s="18"/>
    </row>
    <row r="1295" spans="1:6" x14ac:dyDescent="0.3">
      <c r="A1295" t="s">
        <v>6277</v>
      </c>
      <c r="B1295" t="s">
        <v>6278</v>
      </c>
      <c r="C1295" t="s">
        <v>9118</v>
      </c>
      <c r="E1295" s="18"/>
      <c r="F1295" s="52" t="s">
        <v>37</v>
      </c>
    </row>
    <row r="1296" spans="1:6" x14ac:dyDescent="0.3">
      <c r="A1296" t="s">
        <v>6284</v>
      </c>
      <c r="B1296" t="s">
        <v>6285</v>
      </c>
      <c r="C1296" t="s">
        <v>9119</v>
      </c>
      <c r="D1296" t="s">
        <v>7785</v>
      </c>
      <c r="E1296" s="18">
        <v>45958</v>
      </c>
    </row>
    <row r="1297" spans="1:6" x14ac:dyDescent="0.3">
      <c r="A1297" t="s">
        <v>6288</v>
      </c>
      <c r="B1297" t="s">
        <v>6289</v>
      </c>
      <c r="C1297" t="s">
        <v>9120</v>
      </c>
      <c r="D1297" t="s">
        <v>7787</v>
      </c>
      <c r="E1297" s="18">
        <v>45756</v>
      </c>
    </row>
    <row r="1298" spans="1:6" x14ac:dyDescent="0.3">
      <c r="A1298" t="s">
        <v>6292</v>
      </c>
      <c r="B1298" t="s">
        <v>6293</v>
      </c>
      <c r="C1298" t="s">
        <v>9121</v>
      </c>
      <c r="E1298" s="18"/>
      <c r="F1298" s="52" t="s">
        <v>37</v>
      </c>
    </row>
    <row r="1299" spans="1:6" x14ac:dyDescent="0.3">
      <c r="A1299" t="s">
        <v>6295</v>
      </c>
      <c r="B1299" t="s">
        <v>6296</v>
      </c>
      <c r="C1299" t="s">
        <v>9122</v>
      </c>
      <c r="D1299" t="s">
        <v>7796</v>
      </c>
      <c r="E1299" s="18">
        <v>45848</v>
      </c>
    </row>
    <row r="1300" spans="1:6" x14ac:dyDescent="0.3">
      <c r="A1300" t="s">
        <v>6302</v>
      </c>
      <c r="B1300" t="s">
        <v>6303</v>
      </c>
      <c r="C1300" t="s">
        <v>9123</v>
      </c>
      <c r="E1300" s="18">
        <v>45891</v>
      </c>
    </row>
    <row r="1301" spans="1:6" x14ac:dyDescent="0.3">
      <c r="A1301" t="s">
        <v>6311</v>
      </c>
      <c r="B1301" t="s">
        <v>6312</v>
      </c>
      <c r="C1301" t="s">
        <v>9124</v>
      </c>
      <c r="D1301" t="s">
        <v>7787</v>
      </c>
      <c r="E1301" s="18"/>
    </row>
    <row r="1302" spans="1:6" x14ac:dyDescent="0.3">
      <c r="A1302" t="s">
        <v>6315</v>
      </c>
      <c r="B1302" t="s">
        <v>6316</v>
      </c>
      <c r="C1302" t="s">
        <v>9125</v>
      </c>
      <c r="D1302" t="s">
        <v>7789</v>
      </c>
      <c r="E1302" s="18"/>
    </row>
    <row r="1303" spans="1:6" x14ac:dyDescent="0.3">
      <c r="A1303" t="s">
        <v>6319</v>
      </c>
      <c r="B1303" t="s">
        <v>6320</v>
      </c>
      <c r="C1303" t="s">
        <v>9126</v>
      </c>
      <c r="D1303" t="s">
        <v>7787</v>
      </c>
      <c r="E1303" s="18">
        <v>45756</v>
      </c>
    </row>
    <row r="1304" spans="1:6" x14ac:dyDescent="0.3">
      <c r="A1304" t="s">
        <v>6322</v>
      </c>
      <c r="B1304" t="s">
        <v>6323</v>
      </c>
      <c r="C1304" t="s">
        <v>9127</v>
      </c>
      <c r="D1304" t="s">
        <v>7785</v>
      </c>
      <c r="E1304" s="18">
        <v>45757</v>
      </c>
    </row>
    <row r="1305" spans="1:6" x14ac:dyDescent="0.3">
      <c r="A1305" t="s">
        <v>6328</v>
      </c>
      <c r="B1305" t="s">
        <v>6329</v>
      </c>
      <c r="C1305" t="s">
        <v>9128</v>
      </c>
      <c r="D1305" t="s">
        <v>7787</v>
      </c>
      <c r="E1305" s="18"/>
    </row>
    <row r="1306" spans="1:6" x14ac:dyDescent="0.3">
      <c r="A1306" t="s">
        <v>6332</v>
      </c>
      <c r="B1306" t="s">
        <v>6333</v>
      </c>
      <c r="C1306" t="s">
        <v>9129</v>
      </c>
      <c r="D1306" t="s">
        <v>7785</v>
      </c>
      <c r="E1306" s="18">
        <v>45793</v>
      </c>
    </row>
    <row r="1307" spans="1:6" x14ac:dyDescent="0.3">
      <c r="A1307" t="s">
        <v>6336</v>
      </c>
      <c r="B1307" t="s">
        <v>6337</v>
      </c>
      <c r="C1307" t="s">
        <v>9130</v>
      </c>
      <c r="E1307" s="18"/>
    </row>
    <row r="1308" spans="1:6" x14ac:dyDescent="0.3">
      <c r="A1308" t="s">
        <v>6339</v>
      </c>
      <c r="B1308" t="s">
        <v>6340</v>
      </c>
      <c r="C1308" t="s">
        <v>9131</v>
      </c>
      <c r="D1308" t="s">
        <v>7785</v>
      </c>
      <c r="E1308" s="18">
        <v>45744</v>
      </c>
    </row>
    <row r="1309" spans="1:6" x14ac:dyDescent="0.3">
      <c r="A1309" t="s">
        <v>6343</v>
      </c>
      <c r="B1309" t="s">
        <v>6344</v>
      </c>
      <c r="C1309" t="s">
        <v>9132</v>
      </c>
      <c r="D1309" t="s">
        <v>7789</v>
      </c>
      <c r="E1309" s="18"/>
    </row>
    <row r="1310" spans="1:6" x14ac:dyDescent="0.3">
      <c r="A1310" t="s">
        <v>6350</v>
      </c>
      <c r="B1310" t="s">
        <v>6351</v>
      </c>
      <c r="C1310" t="s">
        <v>9133</v>
      </c>
      <c r="D1310" t="s">
        <v>7789</v>
      </c>
      <c r="E1310" s="18"/>
      <c r="F1310" s="52" t="s">
        <v>37</v>
      </c>
    </row>
    <row r="1311" spans="1:6" x14ac:dyDescent="0.3">
      <c r="A1311" t="s">
        <v>6354</v>
      </c>
      <c r="B1311" t="s">
        <v>6355</v>
      </c>
      <c r="C1311" t="s">
        <v>9134</v>
      </c>
      <c r="D1311" t="s">
        <v>7787</v>
      </c>
      <c r="E1311" s="18">
        <v>45905</v>
      </c>
    </row>
    <row r="1312" spans="1:6" x14ac:dyDescent="0.3">
      <c r="A1312" t="s">
        <v>6367</v>
      </c>
      <c r="B1312" t="s">
        <v>6368</v>
      </c>
      <c r="C1312" t="s">
        <v>9135</v>
      </c>
      <c r="D1312" t="s">
        <v>7787</v>
      </c>
      <c r="E1312" s="18">
        <v>45904</v>
      </c>
    </row>
    <row r="1313" spans="1:6" x14ac:dyDescent="0.3">
      <c r="A1313" t="s">
        <v>6371</v>
      </c>
      <c r="B1313" t="s">
        <v>6372</v>
      </c>
      <c r="C1313" t="s">
        <v>9136</v>
      </c>
      <c r="D1313" t="s">
        <v>7787</v>
      </c>
      <c r="E1313" s="18">
        <v>45726</v>
      </c>
    </row>
    <row r="1314" spans="1:6" x14ac:dyDescent="0.3">
      <c r="A1314" t="s">
        <v>6374</v>
      </c>
      <c r="B1314" t="s">
        <v>6375</v>
      </c>
      <c r="C1314" t="s">
        <v>9137</v>
      </c>
      <c r="E1314" s="18"/>
    </row>
    <row r="1315" spans="1:6" x14ac:dyDescent="0.3">
      <c r="A1315" t="s">
        <v>6381</v>
      </c>
      <c r="B1315" t="s">
        <v>6382</v>
      </c>
      <c r="C1315" t="s">
        <v>9138</v>
      </c>
      <c r="D1315" t="s">
        <v>7789</v>
      </c>
      <c r="E1315" s="18">
        <v>45931</v>
      </c>
    </row>
    <row r="1316" spans="1:6" x14ac:dyDescent="0.3">
      <c r="A1316" t="s">
        <v>6387</v>
      </c>
      <c r="B1316" t="s">
        <v>6388</v>
      </c>
      <c r="C1316" t="s">
        <v>9139</v>
      </c>
      <c r="D1316" t="s">
        <v>7912</v>
      </c>
      <c r="E1316" s="18"/>
      <c r="F1316" s="52" t="s">
        <v>37</v>
      </c>
    </row>
    <row r="1317" spans="1:6" x14ac:dyDescent="0.3">
      <c r="A1317" t="s">
        <v>6410</v>
      </c>
      <c r="B1317" t="s">
        <v>6411</v>
      </c>
      <c r="C1317" t="s">
        <v>9140</v>
      </c>
      <c r="D1317" t="s">
        <v>7787</v>
      </c>
      <c r="E1317" s="18">
        <v>45940</v>
      </c>
    </row>
    <row r="1318" spans="1:6" x14ac:dyDescent="0.3">
      <c r="A1318" t="s">
        <v>6416</v>
      </c>
      <c r="B1318" t="s">
        <v>6417</v>
      </c>
      <c r="C1318" t="s">
        <v>9141</v>
      </c>
      <c r="D1318" t="s">
        <v>7787</v>
      </c>
      <c r="E1318" s="18">
        <v>45744</v>
      </c>
    </row>
    <row r="1319" spans="1:6" x14ac:dyDescent="0.3">
      <c r="A1319" t="s">
        <v>6426</v>
      </c>
      <c r="B1319" t="s">
        <v>6427</v>
      </c>
      <c r="C1319" t="s">
        <v>9142</v>
      </c>
      <c r="D1319" t="s">
        <v>7789</v>
      </c>
      <c r="E1319" s="18"/>
    </row>
    <row r="1320" spans="1:6" x14ac:dyDescent="0.3">
      <c r="A1320" t="s">
        <v>6432</v>
      </c>
      <c r="B1320" t="s">
        <v>6433</v>
      </c>
      <c r="C1320" t="s">
        <v>9143</v>
      </c>
      <c r="D1320" t="s">
        <v>7787</v>
      </c>
      <c r="E1320" s="18">
        <v>46044</v>
      </c>
    </row>
    <row r="1321" spans="1:6" x14ac:dyDescent="0.3">
      <c r="A1321" t="s">
        <v>6442</v>
      </c>
      <c r="B1321" t="s">
        <v>6443</v>
      </c>
      <c r="C1321" t="s">
        <v>7595</v>
      </c>
      <c r="D1321" t="s">
        <v>7787</v>
      </c>
      <c r="E1321" s="18"/>
    </row>
    <row r="1322" spans="1:6" x14ac:dyDescent="0.3">
      <c r="A1322" t="s">
        <v>6446</v>
      </c>
      <c r="B1322" t="s">
        <v>6447</v>
      </c>
      <c r="C1322" t="s">
        <v>9144</v>
      </c>
      <c r="D1322" t="s">
        <v>7785</v>
      </c>
      <c r="E1322" s="18">
        <v>45891</v>
      </c>
    </row>
    <row r="1323" spans="1:6" x14ac:dyDescent="0.3">
      <c r="A1323" t="s">
        <v>6455</v>
      </c>
      <c r="B1323" t="s">
        <v>6456</v>
      </c>
      <c r="C1323" t="s">
        <v>9145</v>
      </c>
      <c r="D1323" t="s">
        <v>7912</v>
      </c>
      <c r="E1323" s="18"/>
    </row>
    <row r="1324" spans="1:6" x14ac:dyDescent="0.3">
      <c r="A1324" t="s">
        <v>6459</v>
      </c>
      <c r="B1324" t="s">
        <v>6460</v>
      </c>
      <c r="C1324" t="s">
        <v>9146</v>
      </c>
      <c r="D1324" t="s">
        <v>7912</v>
      </c>
      <c r="E1324" s="18">
        <v>45758</v>
      </c>
    </row>
    <row r="1325" spans="1:6" x14ac:dyDescent="0.3">
      <c r="A1325" t="s">
        <v>6463</v>
      </c>
      <c r="B1325" t="s">
        <v>6464</v>
      </c>
      <c r="C1325" t="s">
        <v>9147</v>
      </c>
      <c r="D1325" t="s">
        <v>7785</v>
      </c>
      <c r="E1325" s="18"/>
    </row>
    <row r="1326" spans="1:6" x14ac:dyDescent="0.3">
      <c r="A1326" t="s">
        <v>6467</v>
      </c>
      <c r="B1326" t="s">
        <v>6468</v>
      </c>
      <c r="C1326" t="s">
        <v>9148</v>
      </c>
      <c r="D1326" t="s">
        <v>7787</v>
      </c>
      <c r="E1326" s="18"/>
    </row>
    <row r="1327" spans="1:6" x14ac:dyDescent="0.3">
      <c r="A1327" t="s">
        <v>6471</v>
      </c>
      <c r="B1327" t="s">
        <v>6472</v>
      </c>
      <c r="C1327" t="s">
        <v>9149</v>
      </c>
      <c r="D1327" t="s">
        <v>7789</v>
      </c>
      <c r="E1327" s="18"/>
    </row>
    <row r="1328" spans="1:6" x14ac:dyDescent="0.3">
      <c r="A1328" t="s">
        <v>6475</v>
      </c>
      <c r="B1328" t="s">
        <v>6476</v>
      </c>
      <c r="C1328" t="s">
        <v>9150</v>
      </c>
      <c r="D1328" t="s">
        <v>7787</v>
      </c>
      <c r="E1328" s="18">
        <v>45730</v>
      </c>
    </row>
    <row r="1329" spans="1:6" x14ac:dyDescent="0.3">
      <c r="A1329" t="s">
        <v>6479</v>
      </c>
      <c r="B1329" t="s">
        <v>6480</v>
      </c>
      <c r="C1329" t="s">
        <v>9151</v>
      </c>
      <c r="D1329" t="s">
        <v>7789</v>
      </c>
      <c r="E1329" s="18">
        <v>45958</v>
      </c>
    </row>
    <row r="1330" spans="1:6" x14ac:dyDescent="0.3">
      <c r="A1330" t="s">
        <v>6483</v>
      </c>
      <c r="B1330" t="s">
        <v>6484</v>
      </c>
      <c r="C1330" t="s">
        <v>9152</v>
      </c>
      <c r="D1330" t="s">
        <v>7787</v>
      </c>
      <c r="E1330" s="18"/>
    </row>
    <row r="1331" spans="1:6" x14ac:dyDescent="0.3">
      <c r="A1331" t="s">
        <v>6490</v>
      </c>
      <c r="B1331" t="s">
        <v>6491</v>
      </c>
      <c r="C1331" t="s">
        <v>9153</v>
      </c>
      <c r="D1331" t="s">
        <v>7787</v>
      </c>
      <c r="E1331" s="18">
        <v>45930</v>
      </c>
      <c r="F1331" s="52" t="s">
        <v>37</v>
      </c>
    </row>
    <row r="1332" spans="1:6" x14ac:dyDescent="0.3">
      <c r="A1332" t="s">
        <v>6494</v>
      </c>
      <c r="B1332" t="s">
        <v>6495</v>
      </c>
      <c r="C1332" t="s">
        <v>9154</v>
      </c>
      <c r="D1332" t="s">
        <v>7796</v>
      </c>
      <c r="E1332" s="18"/>
    </row>
    <row r="1333" spans="1:6" x14ac:dyDescent="0.3">
      <c r="A1333" t="s">
        <v>6505</v>
      </c>
      <c r="B1333" t="s">
        <v>6506</v>
      </c>
      <c r="C1333" t="s">
        <v>9155</v>
      </c>
      <c r="D1333" t="s">
        <v>7789</v>
      </c>
      <c r="E1333" s="18">
        <v>45784</v>
      </c>
    </row>
    <row r="1334" spans="1:6" x14ac:dyDescent="0.3">
      <c r="A1334" t="s">
        <v>6512</v>
      </c>
      <c r="B1334" t="s">
        <v>6513</v>
      </c>
      <c r="C1334" t="s">
        <v>9156</v>
      </c>
      <c r="D1334" t="s">
        <v>7787</v>
      </c>
      <c r="E1334" s="18">
        <v>45754</v>
      </c>
    </row>
    <row r="1335" spans="1:6" x14ac:dyDescent="0.3">
      <c r="A1335" t="s">
        <v>6519</v>
      </c>
      <c r="B1335" t="s">
        <v>6520</v>
      </c>
      <c r="C1335" t="s">
        <v>9157</v>
      </c>
      <c r="D1335" t="s">
        <v>7787</v>
      </c>
      <c r="E1335" s="18">
        <v>45961</v>
      </c>
      <c r="F1335" s="52" t="s">
        <v>37</v>
      </c>
    </row>
    <row r="1336" spans="1:6" x14ac:dyDescent="0.3">
      <c r="A1336" t="s">
        <v>6523</v>
      </c>
      <c r="B1336" t="s">
        <v>6524</v>
      </c>
      <c r="C1336" t="s">
        <v>9158</v>
      </c>
      <c r="D1336" t="s">
        <v>7824</v>
      </c>
      <c r="E1336" s="18"/>
    </row>
    <row r="1337" spans="1:6" x14ac:dyDescent="0.3">
      <c r="A1337" t="s">
        <v>6530</v>
      </c>
      <c r="B1337" t="s">
        <v>6531</v>
      </c>
      <c r="C1337" t="s">
        <v>9159</v>
      </c>
      <c r="D1337" t="s">
        <v>7824</v>
      </c>
      <c r="E1337" s="18"/>
    </row>
    <row r="1338" spans="1:6" x14ac:dyDescent="0.3">
      <c r="A1338" t="s">
        <v>6533</v>
      </c>
      <c r="B1338" t="s">
        <v>6534</v>
      </c>
      <c r="C1338" t="s">
        <v>9160</v>
      </c>
      <c r="D1338" t="s">
        <v>7787</v>
      </c>
      <c r="E1338" s="18">
        <v>45790</v>
      </c>
    </row>
    <row r="1339" spans="1:6" x14ac:dyDescent="0.3">
      <c r="A1339" t="s">
        <v>6537</v>
      </c>
      <c r="B1339" t="s">
        <v>6538</v>
      </c>
      <c r="C1339" t="s">
        <v>9161</v>
      </c>
      <c r="E1339" s="18"/>
    </row>
    <row r="1340" spans="1:6" x14ac:dyDescent="0.3">
      <c r="A1340" t="s">
        <v>6544</v>
      </c>
      <c r="B1340" t="s">
        <v>6545</v>
      </c>
      <c r="C1340" t="s">
        <v>9162</v>
      </c>
      <c r="E1340" s="18"/>
      <c r="F1340" s="52" t="s">
        <v>37</v>
      </c>
    </row>
    <row r="1341" spans="1:6" x14ac:dyDescent="0.3">
      <c r="A1341" t="s">
        <v>6548</v>
      </c>
      <c r="B1341" t="s">
        <v>6549</v>
      </c>
      <c r="C1341" t="s">
        <v>9163</v>
      </c>
      <c r="D1341" t="s">
        <v>7837</v>
      </c>
      <c r="E1341" s="18"/>
    </row>
    <row r="1342" spans="1:6" x14ac:dyDescent="0.3">
      <c r="A1342" t="s">
        <v>6554</v>
      </c>
      <c r="B1342" t="s">
        <v>6555</v>
      </c>
      <c r="C1342" t="s">
        <v>9164</v>
      </c>
      <c r="E1342" s="18"/>
    </row>
    <row r="1343" spans="1:6" x14ac:dyDescent="0.3">
      <c r="A1343" t="s">
        <v>6557</v>
      </c>
      <c r="B1343" t="s">
        <v>6558</v>
      </c>
      <c r="C1343" t="s">
        <v>9165</v>
      </c>
      <c r="D1343" t="s">
        <v>7798</v>
      </c>
      <c r="E1343" s="18">
        <v>45785</v>
      </c>
    </row>
    <row r="1344" spans="1:6" x14ac:dyDescent="0.3">
      <c r="A1344" t="s">
        <v>6561</v>
      </c>
      <c r="B1344" t="s">
        <v>6562</v>
      </c>
      <c r="C1344" t="s">
        <v>9166</v>
      </c>
      <c r="D1344" t="s">
        <v>7798</v>
      </c>
      <c r="E1344" s="18"/>
    </row>
    <row r="1345" spans="1:6" x14ac:dyDescent="0.3">
      <c r="A1345" t="s">
        <v>6564</v>
      </c>
      <c r="B1345" t="s">
        <v>6565</v>
      </c>
      <c r="C1345" t="s">
        <v>9167</v>
      </c>
      <c r="D1345" t="s">
        <v>7787</v>
      </c>
      <c r="E1345" s="18">
        <v>45937</v>
      </c>
    </row>
    <row r="1346" spans="1:6" x14ac:dyDescent="0.3">
      <c r="A1346" t="s">
        <v>6577</v>
      </c>
      <c r="B1346" t="s">
        <v>6578</v>
      </c>
      <c r="C1346" t="s">
        <v>9168</v>
      </c>
      <c r="D1346" t="s">
        <v>7789</v>
      </c>
      <c r="E1346" s="18">
        <v>45901</v>
      </c>
    </row>
    <row r="1347" spans="1:6" x14ac:dyDescent="0.3">
      <c r="A1347" t="s">
        <v>6586</v>
      </c>
      <c r="B1347" t="s">
        <v>6587</v>
      </c>
      <c r="C1347" t="s">
        <v>9169</v>
      </c>
      <c r="D1347" t="s">
        <v>7796</v>
      </c>
      <c r="E1347" s="18">
        <v>45930</v>
      </c>
    </row>
    <row r="1348" spans="1:6" x14ac:dyDescent="0.3">
      <c r="A1348" t="s">
        <v>6601</v>
      </c>
      <c r="B1348" t="s">
        <v>6602</v>
      </c>
      <c r="C1348" t="s">
        <v>9170</v>
      </c>
      <c r="D1348" t="s">
        <v>7787</v>
      </c>
      <c r="E1348" s="18"/>
    </row>
    <row r="1349" spans="1:6" x14ac:dyDescent="0.3">
      <c r="A1349" t="s">
        <v>6605</v>
      </c>
      <c r="B1349" t="s">
        <v>6606</v>
      </c>
      <c r="C1349" t="s">
        <v>9171</v>
      </c>
      <c r="D1349" t="s">
        <v>7789</v>
      </c>
      <c r="E1349" s="18"/>
    </row>
    <row r="1350" spans="1:6" x14ac:dyDescent="0.3">
      <c r="A1350" t="s">
        <v>6608</v>
      </c>
      <c r="B1350" t="s">
        <v>6609</v>
      </c>
      <c r="C1350" t="s">
        <v>9172</v>
      </c>
      <c r="D1350" t="s">
        <v>7801</v>
      </c>
      <c r="E1350" s="18">
        <v>45776</v>
      </c>
    </row>
    <row r="1351" spans="1:6" x14ac:dyDescent="0.3">
      <c r="A1351" t="s">
        <v>6612</v>
      </c>
      <c r="B1351" t="s">
        <v>6613</v>
      </c>
      <c r="C1351" t="s">
        <v>9173</v>
      </c>
      <c r="E1351" s="18"/>
    </row>
    <row r="1352" spans="1:6" x14ac:dyDescent="0.3">
      <c r="A1352" t="s">
        <v>6618</v>
      </c>
      <c r="B1352" t="s">
        <v>6619</v>
      </c>
      <c r="C1352" t="s">
        <v>9174</v>
      </c>
      <c r="E1352" s="18"/>
    </row>
    <row r="1353" spans="1:6" x14ac:dyDescent="0.3">
      <c r="A1353" t="s">
        <v>6622</v>
      </c>
      <c r="B1353" t="s">
        <v>6623</v>
      </c>
      <c r="C1353" t="s">
        <v>9175</v>
      </c>
      <c r="D1353" t="s">
        <v>7787</v>
      </c>
      <c r="E1353" s="18">
        <v>45930</v>
      </c>
      <c r="F1353" s="52" t="s">
        <v>37</v>
      </c>
    </row>
    <row r="1354" spans="1:6" x14ac:dyDescent="0.3">
      <c r="A1354" t="s">
        <v>6626</v>
      </c>
      <c r="B1354" t="s">
        <v>6627</v>
      </c>
      <c r="C1354" t="s">
        <v>9176</v>
      </c>
      <c r="E1354" s="18"/>
    </row>
    <row r="1355" spans="1:6" x14ac:dyDescent="0.3">
      <c r="A1355" t="s">
        <v>6629</v>
      </c>
      <c r="B1355" t="s">
        <v>6630</v>
      </c>
      <c r="C1355" t="s">
        <v>9177</v>
      </c>
      <c r="E1355" s="18"/>
    </row>
    <row r="1356" spans="1:6" x14ac:dyDescent="0.3">
      <c r="A1356" t="s">
        <v>6632</v>
      </c>
      <c r="B1356" t="s">
        <v>6633</v>
      </c>
      <c r="C1356" t="s">
        <v>9178</v>
      </c>
      <c r="D1356" t="s">
        <v>7787</v>
      </c>
      <c r="E1356" s="18"/>
    </row>
    <row r="1357" spans="1:6" x14ac:dyDescent="0.3">
      <c r="A1357" t="s">
        <v>6635</v>
      </c>
      <c r="B1357" t="s">
        <v>6636</v>
      </c>
      <c r="C1357" t="s">
        <v>7573</v>
      </c>
      <c r="D1357" t="s">
        <v>7798</v>
      </c>
      <c r="E1357" s="18">
        <v>45820</v>
      </c>
    </row>
    <row r="1358" spans="1:6" x14ac:dyDescent="0.3">
      <c r="A1358" t="s">
        <v>6639</v>
      </c>
      <c r="B1358" t="s">
        <v>6640</v>
      </c>
      <c r="C1358" t="s">
        <v>9179</v>
      </c>
      <c r="D1358" t="s">
        <v>7785</v>
      </c>
      <c r="E1358" s="18">
        <v>45769</v>
      </c>
    </row>
    <row r="1359" spans="1:6" x14ac:dyDescent="0.3">
      <c r="A1359" t="s">
        <v>6643</v>
      </c>
      <c r="B1359" t="s">
        <v>6644</v>
      </c>
      <c r="C1359" t="s">
        <v>9180</v>
      </c>
      <c r="D1359" t="s">
        <v>7785</v>
      </c>
      <c r="E1359" s="18">
        <v>45958</v>
      </c>
    </row>
    <row r="1360" spans="1:6" x14ac:dyDescent="0.3">
      <c r="A1360" t="s">
        <v>6650</v>
      </c>
      <c r="B1360" t="s">
        <v>6651</v>
      </c>
      <c r="C1360" t="s">
        <v>9181</v>
      </c>
      <c r="E1360" s="18"/>
    </row>
    <row r="1361" spans="1:6" x14ac:dyDescent="0.3">
      <c r="A1361" t="s">
        <v>6654</v>
      </c>
      <c r="B1361" t="s">
        <v>6655</v>
      </c>
      <c r="C1361" t="s">
        <v>9182</v>
      </c>
      <c r="D1361" t="s">
        <v>7787</v>
      </c>
      <c r="E1361" s="18">
        <v>45966</v>
      </c>
    </row>
    <row r="1362" spans="1:6" x14ac:dyDescent="0.3">
      <c r="A1362" t="s">
        <v>6665</v>
      </c>
      <c r="B1362" t="s">
        <v>6666</v>
      </c>
      <c r="C1362" t="s">
        <v>9183</v>
      </c>
      <c r="D1362" t="s">
        <v>7789</v>
      </c>
      <c r="E1362" s="18">
        <v>45936</v>
      </c>
    </row>
    <row r="1363" spans="1:6" x14ac:dyDescent="0.3">
      <c r="A1363" t="s">
        <v>6669</v>
      </c>
      <c r="B1363" t="s">
        <v>6670</v>
      </c>
      <c r="C1363" t="s">
        <v>9184</v>
      </c>
      <c r="D1363" t="s">
        <v>7789</v>
      </c>
      <c r="E1363" s="18"/>
      <c r="F1363" s="52" t="s">
        <v>37</v>
      </c>
    </row>
    <row r="1364" spans="1:6" x14ac:dyDescent="0.3">
      <c r="A1364" t="s">
        <v>6676</v>
      </c>
      <c r="B1364" t="s">
        <v>6677</v>
      </c>
      <c r="C1364" t="s">
        <v>9185</v>
      </c>
      <c r="D1364" t="s">
        <v>7789</v>
      </c>
      <c r="E1364" s="18">
        <v>45958</v>
      </c>
    </row>
    <row r="1365" spans="1:6" x14ac:dyDescent="0.3">
      <c r="A1365" t="s">
        <v>6683</v>
      </c>
      <c r="B1365" t="s">
        <v>6684</v>
      </c>
      <c r="C1365" t="s">
        <v>9186</v>
      </c>
      <c r="D1365" t="s">
        <v>7796</v>
      </c>
      <c r="E1365" s="18">
        <v>45783</v>
      </c>
    </row>
    <row r="1366" spans="1:6" x14ac:dyDescent="0.3">
      <c r="A1366" t="s">
        <v>6689</v>
      </c>
      <c r="B1366" t="s">
        <v>6690</v>
      </c>
      <c r="C1366" t="s">
        <v>9187</v>
      </c>
      <c r="D1366" t="s">
        <v>7785</v>
      </c>
      <c r="E1366" s="18">
        <v>45770</v>
      </c>
    </row>
    <row r="1367" spans="1:6" x14ac:dyDescent="0.3">
      <c r="A1367" t="s">
        <v>6693</v>
      </c>
      <c r="B1367" t="s">
        <v>6694</v>
      </c>
      <c r="C1367" t="s">
        <v>9188</v>
      </c>
      <c r="D1367" t="s">
        <v>7787</v>
      </c>
      <c r="E1367" s="18"/>
    </row>
    <row r="1368" spans="1:6" x14ac:dyDescent="0.3">
      <c r="A1368" t="s">
        <v>6699</v>
      </c>
      <c r="B1368" t="s">
        <v>6700</v>
      </c>
      <c r="C1368" t="s">
        <v>9189</v>
      </c>
      <c r="D1368" t="s">
        <v>7787</v>
      </c>
      <c r="E1368" s="18">
        <v>45929</v>
      </c>
    </row>
    <row r="1369" spans="1:6" x14ac:dyDescent="0.3">
      <c r="A1369" t="s">
        <v>6707</v>
      </c>
      <c r="B1369" t="s">
        <v>6708</v>
      </c>
      <c r="C1369" t="s">
        <v>9190</v>
      </c>
      <c r="D1369" t="s">
        <v>7787</v>
      </c>
      <c r="E1369" s="18">
        <v>45954</v>
      </c>
      <c r="F1369" s="52" t="s">
        <v>37</v>
      </c>
    </row>
    <row r="1370" spans="1:6" x14ac:dyDescent="0.3">
      <c r="A1370" t="s">
        <v>6711</v>
      </c>
      <c r="B1370" t="s">
        <v>6712</v>
      </c>
      <c r="C1370" t="s">
        <v>9191</v>
      </c>
      <c r="D1370" t="s">
        <v>7787</v>
      </c>
      <c r="E1370" s="18">
        <v>45993</v>
      </c>
    </row>
    <row r="1371" spans="1:6" x14ac:dyDescent="0.3">
      <c r="A1371" t="s">
        <v>6715</v>
      </c>
      <c r="B1371" t="s">
        <v>6716</v>
      </c>
      <c r="C1371" t="s">
        <v>7587</v>
      </c>
      <c r="D1371" t="s">
        <v>7796</v>
      </c>
      <c r="E1371" s="18">
        <v>45852</v>
      </c>
    </row>
    <row r="1372" spans="1:6" x14ac:dyDescent="0.3">
      <c r="A1372" t="s">
        <v>6719</v>
      </c>
      <c r="B1372" t="s">
        <v>6720</v>
      </c>
      <c r="C1372" t="s">
        <v>9192</v>
      </c>
      <c r="D1372" t="s">
        <v>7785</v>
      </c>
      <c r="E1372" s="18">
        <v>46056</v>
      </c>
      <c r="F1372" s="52" t="s">
        <v>37</v>
      </c>
    </row>
    <row r="1373" spans="1:6" x14ac:dyDescent="0.3">
      <c r="A1373" t="s">
        <v>6725</v>
      </c>
      <c r="B1373" t="s">
        <v>6726</v>
      </c>
      <c r="C1373" t="s">
        <v>9193</v>
      </c>
      <c r="D1373" t="s">
        <v>7787</v>
      </c>
      <c r="E1373" s="18">
        <v>45931</v>
      </c>
    </row>
    <row r="1374" spans="1:6" x14ac:dyDescent="0.3">
      <c r="A1374" t="s">
        <v>6729</v>
      </c>
      <c r="B1374" t="s">
        <v>6730</v>
      </c>
      <c r="C1374" t="s">
        <v>9194</v>
      </c>
      <c r="E1374" s="18">
        <v>45905</v>
      </c>
    </row>
    <row r="1375" spans="1:6" x14ac:dyDescent="0.3">
      <c r="A1375" t="s">
        <v>6733</v>
      </c>
      <c r="B1375" t="s">
        <v>6734</v>
      </c>
      <c r="C1375" t="s">
        <v>9195</v>
      </c>
      <c r="D1375" t="s">
        <v>7785</v>
      </c>
      <c r="E1375" s="18">
        <v>45779</v>
      </c>
    </row>
    <row r="1376" spans="1:6" x14ac:dyDescent="0.3">
      <c r="A1376" t="s">
        <v>6736</v>
      </c>
      <c r="B1376" t="s">
        <v>6737</v>
      </c>
      <c r="C1376" t="s">
        <v>9196</v>
      </c>
      <c r="D1376" t="s">
        <v>7785</v>
      </c>
      <c r="E1376" s="18">
        <v>45993</v>
      </c>
    </row>
    <row r="1377" spans="1:6" x14ac:dyDescent="0.3">
      <c r="A1377" t="s">
        <v>6740</v>
      </c>
      <c r="B1377" t="s">
        <v>6741</v>
      </c>
      <c r="C1377" t="s">
        <v>9197</v>
      </c>
      <c r="D1377" t="s">
        <v>7796</v>
      </c>
      <c r="E1377" s="18">
        <v>45817</v>
      </c>
    </row>
    <row r="1378" spans="1:6" x14ac:dyDescent="0.3">
      <c r="A1378" t="s">
        <v>6744</v>
      </c>
      <c r="B1378" t="s">
        <v>6745</v>
      </c>
      <c r="C1378" t="s">
        <v>9198</v>
      </c>
      <c r="D1378" t="s">
        <v>7787</v>
      </c>
      <c r="E1378" s="18">
        <v>45818</v>
      </c>
    </row>
    <row r="1379" spans="1:6" x14ac:dyDescent="0.3">
      <c r="A1379" t="s">
        <v>6747</v>
      </c>
      <c r="B1379" t="s">
        <v>6748</v>
      </c>
      <c r="C1379" t="s">
        <v>9199</v>
      </c>
      <c r="D1379" t="s">
        <v>7787</v>
      </c>
      <c r="E1379" s="18">
        <v>45993</v>
      </c>
    </row>
    <row r="1380" spans="1:6" x14ac:dyDescent="0.3">
      <c r="A1380" t="s">
        <v>6751</v>
      </c>
      <c r="B1380" t="s">
        <v>6752</v>
      </c>
      <c r="C1380" t="s">
        <v>9200</v>
      </c>
      <c r="E1380" s="18"/>
      <c r="F1380" s="52" t="s">
        <v>37</v>
      </c>
    </row>
    <row r="1381" spans="1:6" x14ac:dyDescent="0.3">
      <c r="A1381" t="s">
        <v>6754</v>
      </c>
      <c r="B1381" t="s">
        <v>6755</v>
      </c>
      <c r="C1381" t="s">
        <v>9201</v>
      </c>
      <c r="D1381" t="s">
        <v>7787</v>
      </c>
      <c r="E1381" s="18">
        <v>45882</v>
      </c>
    </row>
    <row r="1382" spans="1:6" x14ac:dyDescent="0.3">
      <c r="A1382" t="s">
        <v>6758</v>
      </c>
      <c r="B1382" t="s">
        <v>6759</v>
      </c>
      <c r="C1382" t="s">
        <v>9202</v>
      </c>
      <c r="E1382" s="18"/>
    </row>
    <row r="1383" spans="1:6" x14ac:dyDescent="0.3">
      <c r="A1383" t="s">
        <v>6761</v>
      </c>
      <c r="B1383" t="s">
        <v>6762</v>
      </c>
      <c r="C1383" t="s">
        <v>9203</v>
      </c>
      <c r="D1383" t="s">
        <v>7787</v>
      </c>
      <c r="E1383" s="18"/>
    </row>
    <row r="1384" spans="1:6" x14ac:dyDescent="0.3">
      <c r="A1384" t="s">
        <v>6764</v>
      </c>
      <c r="B1384" t="s">
        <v>6765</v>
      </c>
      <c r="C1384" t="s">
        <v>9204</v>
      </c>
      <c r="D1384" t="s">
        <v>7796</v>
      </c>
      <c r="E1384" s="18">
        <v>45782</v>
      </c>
    </row>
    <row r="1385" spans="1:6" x14ac:dyDescent="0.3">
      <c r="A1385" t="s">
        <v>6768</v>
      </c>
      <c r="B1385" t="s">
        <v>6769</v>
      </c>
      <c r="C1385" t="s">
        <v>9205</v>
      </c>
      <c r="E1385" s="18"/>
    </row>
    <row r="1386" spans="1:6" x14ac:dyDescent="0.3">
      <c r="A1386" t="s">
        <v>6771</v>
      </c>
      <c r="B1386" t="s">
        <v>6772</v>
      </c>
      <c r="C1386" t="s">
        <v>9206</v>
      </c>
      <c r="D1386" t="s">
        <v>7785</v>
      </c>
      <c r="E1386" s="18">
        <v>45728</v>
      </c>
    </row>
    <row r="1387" spans="1:6" x14ac:dyDescent="0.3">
      <c r="A1387" t="s">
        <v>6775</v>
      </c>
      <c r="B1387" t="s">
        <v>6776</v>
      </c>
      <c r="C1387" t="s">
        <v>9207</v>
      </c>
      <c r="D1387" t="s">
        <v>7787</v>
      </c>
      <c r="E1387" s="18"/>
      <c r="F1387" s="52" t="s">
        <v>37</v>
      </c>
    </row>
    <row r="1388" spans="1:6" x14ac:dyDescent="0.3">
      <c r="A1388" t="s">
        <v>6778</v>
      </c>
      <c r="B1388" t="s">
        <v>6779</v>
      </c>
      <c r="C1388" t="s">
        <v>9208</v>
      </c>
      <c r="D1388" t="s">
        <v>7796</v>
      </c>
      <c r="E1388" s="18">
        <v>45833</v>
      </c>
    </row>
    <row r="1389" spans="1:6" x14ac:dyDescent="0.3">
      <c r="A1389" t="s">
        <v>6785</v>
      </c>
      <c r="B1389" t="s">
        <v>6786</v>
      </c>
      <c r="C1389" t="s">
        <v>9209</v>
      </c>
      <c r="E1389" s="18"/>
    </row>
    <row r="1390" spans="1:6" x14ac:dyDescent="0.3">
      <c r="A1390" t="s">
        <v>6795</v>
      </c>
      <c r="B1390" t="s">
        <v>6796</v>
      </c>
      <c r="C1390" t="s">
        <v>9210</v>
      </c>
      <c r="D1390" t="s">
        <v>7787</v>
      </c>
      <c r="E1390" s="18"/>
    </row>
    <row r="1391" spans="1:6" x14ac:dyDescent="0.3">
      <c r="A1391" t="s">
        <v>6803</v>
      </c>
      <c r="B1391" t="s">
        <v>6804</v>
      </c>
      <c r="C1391" t="s">
        <v>9211</v>
      </c>
      <c r="D1391" t="s">
        <v>7785</v>
      </c>
      <c r="E1391" s="18">
        <v>45958</v>
      </c>
    </row>
    <row r="1392" spans="1:6" x14ac:dyDescent="0.3">
      <c r="A1392" t="s">
        <v>6807</v>
      </c>
      <c r="B1392" t="s">
        <v>6808</v>
      </c>
      <c r="C1392" t="s">
        <v>9212</v>
      </c>
      <c r="D1392" t="s">
        <v>7801</v>
      </c>
      <c r="E1392" s="18">
        <v>45930</v>
      </c>
    </row>
    <row r="1393" spans="1:6" x14ac:dyDescent="0.3">
      <c r="B1393" t="s">
        <v>9213</v>
      </c>
      <c r="C1393" t="s">
        <v>9214</v>
      </c>
      <c r="D1393" t="s">
        <v>7912</v>
      </c>
      <c r="E1393" s="18"/>
    </row>
    <row r="1394" spans="1:6" x14ac:dyDescent="0.3">
      <c r="A1394" t="s">
        <v>6811</v>
      </c>
      <c r="B1394" t="s">
        <v>6812</v>
      </c>
      <c r="C1394" t="s">
        <v>9215</v>
      </c>
      <c r="D1394" t="s">
        <v>7796</v>
      </c>
      <c r="E1394" s="18"/>
      <c r="F1394" s="52" t="s">
        <v>37</v>
      </c>
    </row>
    <row r="1395" spans="1:6" x14ac:dyDescent="0.3">
      <c r="A1395" t="s">
        <v>6818</v>
      </c>
      <c r="B1395" t="s">
        <v>6819</v>
      </c>
      <c r="C1395" t="s">
        <v>9216</v>
      </c>
      <c r="D1395" t="s">
        <v>7789</v>
      </c>
      <c r="E1395" s="18"/>
    </row>
    <row r="1396" spans="1:6" x14ac:dyDescent="0.3">
      <c r="A1396" t="s">
        <v>6822</v>
      </c>
      <c r="B1396" t="s">
        <v>6823</v>
      </c>
      <c r="C1396" t="s">
        <v>9217</v>
      </c>
      <c r="D1396" t="s">
        <v>7789</v>
      </c>
      <c r="E1396" s="18"/>
    </row>
    <row r="1397" spans="1:6" x14ac:dyDescent="0.3">
      <c r="A1397" t="s">
        <v>6829</v>
      </c>
      <c r="B1397" t="s">
        <v>6830</v>
      </c>
      <c r="C1397" t="s">
        <v>9218</v>
      </c>
      <c r="D1397" t="s">
        <v>7789</v>
      </c>
      <c r="E1397" s="18">
        <v>45814</v>
      </c>
    </row>
    <row r="1398" spans="1:6" x14ac:dyDescent="0.3">
      <c r="A1398" t="s">
        <v>6832</v>
      </c>
      <c r="B1398" t="s">
        <v>6833</v>
      </c>
      <c r="C1398" t="s">
        <v>9219</v>
      </c>
      <c r="D1398" t="s">
        <v>7789</v>
      </c>
      <c r="E1398" s="18">
        <v>45987</v>
      </c>
      <c r="F1398" s="52" t="s">
        <v>37</v>
      </c>
    </row>
    <row r="1399" spans="1:6" x14ac:dyDescent="0.3">
      <c r="A1399" t="s">
        <v>6836</v>
      </c>
      <c r="B1399" t="s">
        <v>6837</v>
      </c>
      <c r="C1399" t="s">
        <v>9220</v>
      </c>
      <c r="E1399" s="18"/>
    </row>
    <row r="1400" spans="1:6" x14ac:dyDescent="0.3">
      <c r="A1400" t="s">
        <v>6843</v>
      </c>
      <c r="B1400" t="s">
        <v>6844</v>
      </c>
      <c r="C1400" t="s">
        <v>9221</v>
      </c>
      <c r="D1400" t="s">
        <v>7787</v>
      </c>
      <c r="E1400" s="18">
        <v>45978</v>
      </c>
      <c r="F1400" s="52" t="s">
        <v>37</v>
      </c>
    </row>
    <row r="1401" spans="1:6" x14ac:dyDescent="0.3">
      <c r="A1401" t="s">
        <v>6847</v>
      </c>
      <c r="B1401" t="s">
        <v>6848</v>
      </c>
      <c r="C1401" t="s">
        <v>9222</v>
      </c>
      <c r="D1401" t="s">
        <v>7787</v>
      </c>
      <c r="E1401" s="18">
        <v>45783</v>
      </c>
    </row>
    <row r="1402" spans="1:6" x14ac:dyDescent="0.3">
      <c r="A1402" t="s">
        <v>6850</v>
      </c>
      <c r="B1402" t="s">
        <v>6851</v>
      </c>
      <c r="C1402" t="s">
        <v>9223</v>
      </c>
      <c r="E1402" s="18"/>
    </row>
    <row r="1403" spans="1:6" x14ac:dyDescent="0.3">
      <c r="A1403" t="s">
        <v>6853</v>
      </c>
      <c r="B1403" t="s">
        <v>6854</v>
      </c>
      <c r="C1403" t="s">
        <v>9224</v>
      </c>
      <c r="D1403" t="s">
        <v>7785</v>
      </c>
      <c r="E1403" s="18">
        <v>45818</v>
      </c>
    </row>
    <row r="1404" spans="1:6" x14ac:dyDescent="0.3">
      <c r="A1404" t="s">
        <v>6857</v>
      </c>
      <c r="B1404" t="s">
        <v>6858</v>
      </c>
      <c r="C1404" t="s">
        <v>9225</v>
      </c>
      <c r="D1404" t="s">
        <v>7789</v>
      </c>
      <c r="E1404" s="18"/>
    </row>
    <row r="1405" spans="1:6" x14ac:dyDescent="0.3">
      <c r="A1405" t="s">
        <v>6861</v>
      </c>
      <c r="B1405" t="s">
        <v>6862</v>
      </c>
      <c r="C1405" t="s">
        <v>9226</v>
      </c>
      <c r="D1405" t="s">
        <v>7789</v>
      </c>
      <c r="E1405" s="18">
        <v>45938</v>
      </c>
    </row>
    <row r="1406" spans="1:6" x14ac:dyDescent="0.3">
      <c r="A1406" t="s">
        <v>6871</v>
      </c>
      <c r="B1406" t="s">
        <v>6872</v>
      </c>
      <c r="C1406" t="s">
        <v>9227</v>
      </c>
      <c r="D1406" t="s">
        <v>7785</v>
      </c>
      <c r="E1406" s="18">
        <v>45754</v>
      </c>
    </row>
    <row r="1407" spans="1:6" x14ac:dyDescent="0.3">
      <c r="A1407" t="s">
        <v>6875</v>
      </c>
      <c r="B1407" t="s">
        <v>6876</v>
      </c>
      <c r="C1407" t="s">
        <v>9228</v>
      </c>
      <c r="E1407" s="18">
        <v>45993</v>
      </c>
    </row>
    <row r="1408" spans="1:6" x14ac:dyDescent="0.3">
      <c r="A1408" t="s">
        <v>6883</v>
      </c>
      <c r="B1408" t="s">
        <v>6884</v>
      </c>
      <c r="C1408" t="s">
        <v>9229</v>
      </c>
      <c r="D1408" t="s">
        <v>7789</v>
      </c>
      <c r="E1408" s="18"/>
    </row>
    <row r="1409" spans="1:6" x14ac:dyDescent="0.3">
      <c r="A1409" t="s">
        <v>6893</v>
      </c>
      <c r="B1409" t="s">
        <v>6894</v>
      </c>
      <c r="C1409" t="s">
        <v>9230</v>
      </c>
      <c r="D1409" t="s">
        <v>7787</v>
      </c>
      <c r="E1409" s="18">
        <v>45825</v>
      </c>
    </row>
    <row r="1410" spans="1:6" x14ac:dyDescent="0.3">
      <c r="A1410" t="s">
        <v>6897</v>
      </c>
      <c r="B1410" t="s">
        <v>6898</v>
      </c>
      <c r="C1410" t="s">
        <v>9231</v>
      </c>
      <c r="D1410" t="s">
        <v>7787</v>
      </c>
      <c r="E1410" s="18">
        <v>45800</v>
      </c>
    </row>
    <row r="1411" spans="1:6" x14ac:dyDescent="0.3">
      <c r="A1411" t="s">
        <v>6907</v>
      </c>
      <c r="B1411" t="s">
        <v>6908</v>
      </c>
      <c r="C1411" t="s">
        <v>9232</v>
      </c>
      <c r="E1411" s="18"/>
      <c r="F1411" s="52" t="s">
        <v>37</v>
      </c>
    </row>
    <row r="1412" spans="1:6" x14ac:dyDescent="0.3">
      <c r="A1412" t="s">
        <v>6911</v>
      </c>
      <c r="B1412" t="s">
        <v>6912</v>
      </c>
      <c r="C1412" t="s">
        <v>9233</v>
      </c>
      <c r="D1412" t="s">
        <v>7787</v>
      </c>
      <c r="E1412" s="18">
        <v>45939</v>
      </c>
      <c r="F1412" s="52" t="s">
        <v>37</v>
      </c>
    </row>
    <row r="1413" spans="1:6" x14ac:dyDescent="0.3">
      <c r="A1413" t="s">
        <v>6919</v>
      </c>
      <c r="B1413" t="s">
        <v>6920</v>
      </c>
      <c r="C1413" t="s">
        <v>9234</v>
      </c>
      <c r="D1413" t="s">
        <v>7787</v>
      </c>
      <c r="E1413" s="18">
        <v>45967</v>
      </c>
      <c r="F1413" s="52" t="s">
        <v>37</v>
      </c>
    </row>
    <row r="1414" spans="1:6" x14ac:dyDescent="0.3">
      <c r="A1414" t="s">
        <v>6930</v>
      </c>
      <c r="B1414" t="s">
        <v>6931</v>
      </c>
      <c r="C1414" t="s">
        <v>9235</v>
      </c>
      <c r="D1414" t="s">
        <v>7787</v>
      </c>
      <c r="E1414" s="18"/>
      <c r="F1414" s="52" t="s">
        <v>37</v>
      </c>
    </row>
    <row r="1415" spans="1:6" x14ac:dyDescent="0.3">
      <c r="A1415" t="s">
        <v>6934</v>
      </c>
      <c r="B1415" t="s">
        <v>6935</v>
      </c>
      <c r="C1415" t="s">
        <v>9236</v>
      </c>
      <c r="D1415" t="s">
        <v>7789</v>
      </c>
      <c r="E1415" s="18"/>
    </row>
    <row r="1416" spans="1:6" x14ac:dyDescent="0.3">
      <c r="A1416" t="s">
        <v>6938</v>
      </c>
      <c r="B1416" t="s">
        <v>6939</v>
      </c>
      <c r="C1416" t="s">
        <v>9237</v>
      </c>
      <c r="E1416" s="18"/>
    </row>
    <row r="1417" spans="1:6" x14ac:dyDescent="0.3">
      <c r="A1417" t="s">
        <v>6941</v>
      </c>
      <c r="B1417" t="s">
        <v>6942</v>
      </c>
      <c r="C1417" t="s">
        <v>9238</v>
      </c>
      <c r="D1417" t="s">
        <v>7785</v>
      </c>
      <c r="E1417" s="18">
        <v>46006</v>
      </c>
    </row>
    <row r="1418" spans="1:6" x14ac:dyDescent="0.3">
      <c r="A1418" t="s">
        <v>6948</v>
      </c>
      <c r="B1418" t="s">
        <v>6949</v>
      </c>
      <c r="C1418" t="s">
        <v>9239</v>
      </c>
      <c r="D1418" t="s">
        <v>7787</v>
      </c>
      <c r="E1418" s="18">
        <v>45728</v>
      </c>
    </row>
    <row r="1419" spans="1:6" x14ac:dyDescent="0.3">
      <c r="A1419" t="s">
        <v>6951</v>
      </c>
      <c r="B1419" t="s">
        <v>6952</v>
      </c>
      <c r="C1419" t="s">
        <v>9240</v>
      </c>
      <c r="D1419" t="s">
        <v>7789</v>
      </c>
      <c r="E1419" s="18">
        <v>45720</v>
      </c>
    </row>
    <row r="1420" spans="1:6" x14ac:dyDescent="0.3">
      <c r="A1420" t="s">
        <v>6961</v>
      </c>
      <c r="B1420" t="s">
        <v>6962</v>
      </c>
      <c r="C1420" t="s">
        <v>9241</v>
      </c>
      <c r="D1420" t="s">
        <v>7789</v>
      </c>
      <c r="E1420" s="18"/>
    </row>
    <row r="1421" spans="1:6" x14ac:dyDescent="0.3">
      <c r="A1421" t="s">
        <v>6965</v>
      </c>
      <c r="B1421" t="s">
        <v>6966</v>
      </c>
      <c r="C1421" t="s">
        <v>9242</v>
      </c>
      <c r="D1421" t="s">
        <v>7796</v>
      </c>
      <c r="E1421" s="18">
        <v>45897</v>
      </c>
      <c r="F1421" s="52" t="s">
        <v>37</v>
      </c>
    </row>
    <row r="1422" spans="1:6" x14ac:dyDescent="0.3">
      <c r="A1422" t="s">
        <v>7485</v>
      </c>
      <c r="E1422" s="18"/>
    </row>
    <row r="1423" spans="1:6" x14ac:dyDescent="0.3">
      <c r="A1423" t="s">
        <v>7485</v>
      </c>
      <c r="E1423" s="18"/>
    </row>
    <row r="1424" spans="1:6" x14ac:dyDescent="0.3">
      <c r="A1424" t="s">
        <v>7485</v>
      </c>
      <c r="E1424" s="18"/>
    </row>
    <row r="1425" spans="1:5" x14ac:dyDescent="0.3">
      <c r="A1425" t="s">
        <v>7485</v>
      </c>
      <c r="E1425" s="18"/>
    </row>
    <row r="1426" spans="1:5" x14ac:dyDescent="0.3">
      <c r="A1426" t="s">
        <v>7485</v>
      </c>
      <c r="E1426" s="18"/>
    </row>
    <row r="1427" spans="1:5" x14ac:dyDescent="0.3">
      <c r="A1427" t="s">
        <v>7485</v>
      </c>
      <c r="E1427" s="18"/>
    </row>
    <row r="1428" spans="1:5" x14ac:dyDescent="0.3">
      <c r="A1428" t="s">
        <v>7485</v>
      </c>
      <c r="E1428" s="18"/>
    </row>
    <row r="1429" spans="1:5" x14ac:dyDescent="0.3">
      <c r="A1429" t="s">
        <v>7485</v>
      </c>
      <c r="E1429" s="18"/>
    </row>
    <row r="1430" spans="1:5" x14ac:dyDescent="0.3">
      <c r="A1430" t="s">
        <v>7485</v>
      </c>
      <c r="E1430" s="18"/>
    </row>
    <row r="1431" spans="1:5" x14ac:dyDescent="0.3">
      <c r="A1431" t="s">
        <v>7485</v>
      </c>
      <c r="E1431" s="18"/>
    </row>
    <row r="1432" spans="1:5" x14ac:dyDescent="0.3">
      <c r="A1432" t="s">
        <v>7485</v>
      </c>
      <c r="E1432" s="18"/>
    </row>
    <row r="1433" spans="1:5" x14ac:dyDescent="0.3">
      <c r="A1433" t="s">
        <v>7485</v>
      </c>
      <c r="E1433" s="18"/>
    </row>
    <row r="1434" spans="1:5" x14ac:dyDescent="0.3">
      <c r="A1434" t="s">
        <v>7485</v>
      </c>
      <c r="E1434" s="18"/>
    </row>
    <row r="1435" spans="1:5" x14ac:dyDescent="0.3">
      <c r="A1435" t="s">
        <v>7485</v>
      </c>
      <c r="E1435" s="18"/>
    </row>
    <row r="1436" spans="1:5" x14ac:dyDescent="0.3">
      <c r="A1436" t="s">
        <v>7485</v>
      </c>
      <c r="E1436" s="18"/>
    </row>
    <row r="1437" spans="1:5" x14ac:dyDescent="0.3">
      <c r="A1437" t="s">
        <v>7485</v>
      </c>
      <c r="E1437" s="18"/>
    </row>
    <row r="1438" spans="1:5" x14ac:dyDescent="0.3">
      <c r="A1438" t="s">
        <v>7485</v>
      </c>
      <c r="E1438" s="18"/>
    </row>
    <row r="1439" spans="1:5" x14ac:dyDescent="0.3">
      <c r="A1439" t="s">
        <v>7485</v>
      </c>
      <c r="E1439" s="18"/>
    </row>
    <row r="1440" spans="1:5" x14ac:dyDescent="0.3">
      <c r="A1440" t="s">
        <v>7485</v>
      </c>
      <c r="E1440" s="18"/>
    </row>
    <row r="1441" spans="1:5" x14ac:dyDescent="0.3">
      <c r="A1441" t="s">
        <v>7485</v>
      </c>
      <c r="E1441" s="18"/>
    </row>
    <row r="1442" spans="1:5" x14ac:dyDescent="0.3">
      <c r="A1442" t="s">
        <v>7485</v>
      </c>
      <c r="E1442" s="18"/>
    </row>
    <row r="1443" spans="1:5" x14ac:dyDescent="0.3">
      <c r="A1443" t="s">
        <v>7485</v>
      </c>
      <c r="E1443" s="18"/>
    </row>
    <row r="1444" spans="1:5" x14ac:dyDescent="0.3">
      <c r="A1444" t="s">
        <v>7485</v>
      </c>
      <c r="E1444" s="18"/>
    </row>
    <row r="1445" spans="1:5" x14ac:dyDescent="0.3">
      <c r="A1445" t="s">
        <v>7485</v>
      </c>
      <c r="E1445" s="18"/>
    </row>
    <row r="1446" spans="1:5" x14ac:dyDescent="0.3">
      <c r="A1446" t="s">
        <v>7485</v>
      </c>
      <c r="E1446" s="18"/>
    </row>
    <row r="1447" spans="1:5" x14ac:dyDescent="0.3">
      <c r="A1447" t="s">
        <v>7485</v>
      </c>
      <c r="E1447" s="18"/>
    </row>
    <row r="1448" spans="1:5" x14ac:dyDescent="0.3">
      <c r="A1448" t="s">
        <v>7485</v>
      </c>
      <c r="E1448" s="18"/>
    </row>
    <row r="1449" spans="1:5" x14ac:dyDescent="0.3">
      <c r="A1449" t="s">
        <v>7485</v>
      </c>
      <c r="E1449" s="18"/>
    </row>
    <row r="1450" spans="1:5" x14ac:dyDescent="0.3">
      <c r="A1450" t="s">
        <v>7485</v>
      </c>
      <c r="E1450" s="18"/>
    </row>
    <row r="1451" spans="1:5" x14ac:dyDescent="0.3">
      <c r="A1451" t="s">
        <v>7485</v>
      </c>
      <c r="E1451" s="18"/>
    </row>
    <row r="1452" spans="1:5" x14ac:dyDescent="0.3">
      <c r="A1452" t="s">
        <v>7485</v>
      </c>
      <c r="E1452" s="18"/>
    </row>
    <row r="1453" spans="1:5" x14ac:dyDescent="0.3">
      <c r="A1453" t="s">
        <v>7485</v>
      </c>
      <c r="E1453" s="18"/>
    </row>
    <row r="1454" spans="1:5" x14ac:dyDescent="0.3">
      <c r="A1454" t="s">
        <v>7485</v>
      </c>
      <c r="E1454" s="18"/>
    </row>
    <row r="1455" spans="1:5" x14ac:dyDescent="0.3">
      <c r="A1455" t="s">
        <v>7485</v>
      </c>
      <c r="E1455" s="18"/>
    </row>
    <row r="1456" spans="1:5" x14ac:dyDescent="0.3">
      <c r="A1456" t="s">
        <v>7485</v>
      </c>
      <c r="E1456" s="18"/>
    </row>
    <row r="1457" spans="1:5" x14ac:dyDescent="0.3">
      <c r="A1457" t="s">
        <v>7485</v>
      </c>
      <c r="E1457" s="18"/>
    </row>
    <row r="1458" spans="1:5" x14ac:dyDescent="0.3">
      <c r="A1458" t="s">
        <v>7485</v>
      </c>
      <c r="E1458" s="18"/>
    </row>
    <row r="1459" spans="1:5" x14ac:dyDescent="0.3">
      <c r="A1459" t="s">
        <v>7485</v>
      </c>
      <c r="E1459" s="18"/>
    </row>
    <row r="1460" spans="1:5" x14ac:dyDescent="0.3">
      <c r="A1460" t="s">
        <v>7485</v>
      </c>
      <c r="E1460" s="18"/>
    </row>
    <row r="1461" spans="1:5" x14ac:dyDescent="0.3">
      <c r="A1461" t="s">
        <v>7485</v>
      </c>
      <c r="E1461" s="18"/>
    </row>
    <row r="1462" spans="1:5" x14ac:dyDescent="0.3">
      <c r="A1462" t="s">
        <v>7485</v>
      </c>
      <c r="E1462" s="18"/>
    </row>
    <row r="1463" spans="1:5" x14ac:dyDescent="0.3">
      <c r="A1463" t="s">
        <v>7485</v>
      </c>
      <c r="E1463" s="18"/>
    </row>
    <row r="1464" spans="1:5" x14ac:dyDescent="0.3">
      <c r="A1464" t="s">
        <v>7485</v>
      </c>
      <c r="E1464" s="18"/>
    </row>
    <row r="1465" spans="1:5" x14ac:dyDescent="0.3">
      <c r="A1465" t="s">
        <v>7485</v>
      </c>
      <c r="E1465" s="18"/>
    </row>
    <row r="1466" spans="1:5" x14ac:dyDescent="0.3">
      <c r="A1466" t="s">
        <v>7485</v>
      </c>
      <c r="E1466" s="18"/>
    </row>
    <row r="1467" spans="1:5" x14ac:dyDescent="0.3">
      <c r="A1467" t="s">
        <v>7485</v>
      </c>
      <c r="E1467" s="18"/>
    </row>
    <row r="1468" spans="1:5" x14ac:dyDescent="0.3">
      <c r="A1468" t="s">
        <v>7485</v>
      </c>
      <c r="E1468" s="18"/>
    </row>
    <row r="1469" spans="1:5" x14ac:dyDescent="0.3">
      <c r="A1469" t="s">
        <v>7485</v>
      </c>
      <c r="E1469" s="18"/>
    </row>
    <row r="1470" spans="1:5" x14ac:dyDescent="0.3">
      <c r="A1470" t="s">
        <v>7485</v>
      </c>
      <c r="E1470" s="18"/>
    </row>
    <row r="1471" spans="1:5" x14ac:dyDescent="0.3">
      <c r="A1471" t="s">
        <v>7485</v>
      </c>
      <c r="E1471" s="18"/>
    </row>
    <row r="1472" spans="1:5" x14ac:dyDescent="0.3">
      <c r="A1472" t="s">
        <v>7485</v>
      </c>
      <c r="E1472" s="18"/>
    </row>
    <row r="1473" spans="1:5" x14ac:dyDescent="0.3">
      <c r="A1473" t="s">
        <v>7485</v>
      </c>
      <c r="E1473" s="18"/>
    </row>
    <row r="1474" spans="1:5" x14ac:dyDescent="0.3">
      <c r="A1474" t="s">
        <v>7485</v>
      </c>
      <c r="E1474" s="18"/>
    </row>
    <row r="1475" spans="1:5" x14ac:dyDescent="0.3">
      <c r="A1475" t="s">
        <v>7485</v>
      </c>
      <c r="E1475" s="18"/>
    </row>
    <row r="1476" spans="1:5" x14ac:dyDescent="0.3">
      <c r="A1476" t="s">
        <v>7485</v>
      </c>
      <c r="E1476" s="18"/>
    </row>
    <row r="1477" spans="1:5" x14ac:dyDescent="0.3">
      <c r="A1477" t="s">
        <v>7485</v>
      </c>
      <c r="E1477" s="18"/>
    </row>
    <row r="1478" spans="1:5" x14ac:dyDescent="0.3">
      <c r="A1478" t="s">
        <v>7485</v>
      </c>
      <c r="E1478" s="18"/>
    </row>
    <row r="1479" spans="1:5" x14ac:dyDescent="0.3">
      <c r="A1479" t="s">
        <v>7485</v>
      </c>
      <c r="E1479" s="18"/>
    </row>
    <row r="1480" spans="1:5" x14ac:dyDescent="0.3">
      <c r="A1480" t="s">
        <v>7485</v>
      </c>
      <c r="E1480" s="18"/>
    </row>
    <row r="1481" spans="1:5" x14ac:dyDescent="0.3">
      <c r="A1481" t="s">
        <v>7485</v>
      </c>
      <c r="E1481" s="18"/>
    </row>
    <row r="1482" spans="1:5" x14ac:dyDescent="0.3">
      <c r="A1482" t="s">
        <v>7485</v>
      </c>
      <c r="E1482" s="18"/>
    </row>
    <row r="1483" spans="1:5" x14ac:dyDescent="0.3">
      <c r="A1483" t="s">
        <v>7485</v>
      </c>
      <c r="E1483" s="18"/>
    </row>
    <row r="1484" spans="1:5" x14ac:dyDescent="0.3">
      <c r="A1484" t="s">
        <v>7485</v>
      </c>
      <c r="E1484" s="18"/>
    </row>
    <row r="1485" spans="1:5" x14ac:dyDescent="0.3">
      <c r="A1485" t="s">
        <v>7485</v>
      </c>
      <c r="E1485" s="18"/>
    </row>
    <row r="1486" spans="1:5" x14ac:dyDescent="0.3">
      <c r="A1486" t="s">
        <v>7485</v>
      </c>
      <c r="E1486" s="18"/>
    </row>
    <row r="1487" spans="1:5" x14ac:dyDescent="0.3">
      <c r="A1487" t="s">
        <v>7485</v>
      </c>
      <c r="E1487" s="18"/>
    </row>
    <row r="1488" spans="1:5" x14ac:dyDescent="0.3">
      <c r="A1488" t="s">
        <v>7485</v>
      </c>
      <c r="E1488" s="18"/>
    </row>
    <row r="1489" spans="1:5" x14ac:dyDescent="0.3">
      <c r="A1489" t="s">
        <v>7485</v>
      </c>
      <c r="E1489" s="18"/>
    </row>
    <row r="1490" spans="1:5" x14ac:dyDescent="0.3">
      <c r="A1490" t="s">
        <v>7485</v>
      </c>
      <c r="E1490" s="18"/>
    </row>
    <row r="1491" spans="1:5" x14ac:dyDescent="0.3">
      <c r="A1491" t="s">
        <v>7485</v>
      </c>
      <c r="E1491" s="18"/>
    </row>
    <row r="1492" spans="1:5" x14ac:dyDescent="0.3">
      <c r="A1492" t="s">
        <v>7485</v>
      </c>
      <c r="E1492" s="18"/>
    </row>
    <row r="1493" spans="1:5" x14ac:dyDescent="0.3">
      <c r="A1493" t="s">
        <v>7485</v>
      </c>
      <c r="E1493" s="18"/>
    </row>
    <row r="1494" spans="1:5" x14ac:dyDescent="0.3">
      <c r="A1494" t="s">
        <v>7485</v>
      </c>
      <c r="E1494" s="18"/>
    </row>
    <row r="1495" spans="1:5" x14ac:dyDescent="0.3">
      <c r="A1495" t="s">
        <v>7485</v>
      </c>
      <c r="E1495" s="18"/>
    </row>
    <row r="1496" spans="1:5" x14ac:dyDescent="0.3">
      <c r="A1496" t="s">
        <v>7485</v>
      </c>
      <c r="E1496" s="18"/>
    </row>
    <row r="1497" spans="1:5" x14ac:dyDescent="0.3">
      <c r="A1497" t="s">
        <v>7485</v>
      </c>
      <c r="E1497" s="18"/>
    </row>
    <row r="1498" spans="1:5" x14ac:dyDescent="0.3">
      <c r="A1498" t="s">
        <v>7485</v>
      </c>
      <c r="E1498" s="18"/>
    </row>
    <row r="1499" spans="1:5" x14ac:dyDescent="0.3">
      <c r="A1499" t="s">
        <v>7485</v>
      </c>
      <c r="E1499" s="18"/>
    </row>
    <row r="1500" spans="1:5" x14ac:dyDescent="0.3">
      <c r="A1500" t="s">
        <v>7485</v>
      </c>
      <c r="E1500" s="18"/>
    </row>
    <row r="1501" spans="1:5" x14ac:dyDescent="0.3">
      <c r="A1501" t="s">
        <v>7485</v>
      </c>
      <c r="E1501" s="18"/>
    </row>
    <row r="1502" spans="1:5" x14ac:dyDescent="0.3">
      <c r="A1502" t="s">
        <v>7485</v>
      </c>
      <c r="E1502" s="18"/>
    </row>
    <row r="1503" spans="1:5" x14ac:dyDescent="0.3">
      <c r="A1503" t="s">
        <v>7485</v>
      </c>
      <c r="E1503" s="18"/>
    </row>
    <row r="1504" spans="1:5" x14ac:dyDescent="0.3">
      <c r="A1504" t="s">
        <v>7485</v>
      </c>
      <c r="E1504" s="18"/>
    </row>
    <row r="1505" spans="1:5" x14ac:dyDescent="0.3">
      <c r="A1505" t="s">
        <v>7485</v>
      </c>
      <c r="E1505" s="18"/>
    </row>
    <row r="1506" spans="1:5" x14ac:dyDescent="0.3">
      <c r="A1506" t="s">
        <v>7485</v>
      </c>
      <c r="E1506" s="18"/>
    </row>
    <row r="1507" spans="1:5" x14ac:dyDescent="0.3">
      <c r="A1507" t="s">
        <v>7485</v>
      </c>
      <c r="E1507" s="18"/>
    </row>
    <row r="1508" spans="1:5" x14ac:dyDescent="0.3">
      <c r="A1508" t="s">
        <v>7485</v>
      </c>
      <c r="E1508" s="18"/>
    </row>
    <row r="1509" spans="1:5" x14ac:dyDescent="0.3">
      <c r="A1509" t="s">
        <v>7485</v>
      </c>
      <c r="E1509" s="18"/>
    </row>
    <row r="1510" spans="1:5" x14ac:dyDescent="0.3">
      <c r="A1510" t="s">
        <v>7485</v>
      </c>
      <c r="E1510" s="18"/>
    </row>
    <row r="1511" spans="1:5" x14ac:dyDescent="0.3">
      <c r="A1511" t="s">
        <v>7485</v>
      </c>
      <c r="E1511" s="18"/>
    </row>
    <row r="1512" spans="1:5" x14ac:dyDescent="0.3">
      <c r="A1512" t="s">
        <v>7485</v>
      </c>
      <c r="E1512" s="18"/>
    </row>
    <row r="1513" spans="1:5" x14ac:dyDescent="0.3">
      <c r="A1513" t="s">
        <v>7485</v>
      </c>
      <c r="E1513" s="18"/>
    </row>
    <row r="1514" spans="1:5" x14ac:dyDescent="0.3">
      <c r="A1514" t="s">
        <v>7485</v>
      </c>
      <c r="E1514" s="18"/>
    </row>
    <row r="1515" spans="1:5" x14ac:dyDescent="0.3">
      <c r="A1515" t="s">
        <v>7485</v>
      </c>
      <c r="E1515" s="18"/>
    </row>
    <row r="1516" spans="1:5" x14ac:dyDescent="0.3">
      <c r="A1516" t="s">
        <v>7485</v>
      </c>
      <c r="E1516" s="18"/>
    </row>
    <row r="1517" spans="1:5" x14ac:dyDescent="0.3">
      <c r="A1517" t="s">
        <v>7485</v>
      </c>
      <c r="E1517" s="18"/>
    </row>
    <row r="1518" spans="1:5" x14ac:dyDescent="0.3">
      <c r="A1518" t="s">
        <v>7485</v>
      </c>
      <c r="E1518" s="18"/>
    </row>
    <row r="1519" spans="1:5" x14ac:dyDescent="0.3">
      <c r="A1519" t="s">
        <v>7485</v>
      </c>
      <c r="E1519" s="18"/>
    </row>
    <row r="1520" spans="1:5" x14ac:dyDescent="0.3">
      <c r="A1520" t="s">
        <v>7485</v>
      </c>
      <c r="E1520" s="18"/>
    </row>
    <row r="1521" spans="1:5" x14ac:dyDescent="0.3">
      <c r="A1521" t="s">
        <v>7485</v>
      </c>
      <c r="E1521" s="18"/>
    </row>
    <row r="1522" spans="1:5" x14ac:dyDescent="0.3">
      <c r="A1522" t="s">
        <v>7485</v>
      </c>
      <c r="E1522" s="18"/>
    </row>
    <row r="1523" spans="1:5" x14ac:dyDescent="0.3">
      <c r="A1523" t="s">
        <v>7485</v>
      </c>
      <c r="E1523" s="18"/>
    </row>
    <row r="1524" spans="1:5" x14ac:dyDescent="0.3">
      <c r="A1524" t="s">
        <v>7485</v>
      </c>
      <c r="E1524" s="18"/>
    </row>
    <row r="1525" spans="1:5" x14ac:dyDescent="0.3">
      <c r="A1525" t="s">
        <v>7485</v>
      </c>
      <c r="E1525" s="18"/>
    </row>
    <row r="1526" spans="1:5" x14ac:dyDescent="0.3">
      <c r="A1526" t="s">
        <v>7485</v>
      </c>
      <c r="E1526" s="18"/>
    </row>
    <row r="1527" spans="1:5" x14ac:dyDescent="0.3">
      <c r="A1527" t="s">
        <v>7485</v>
      </c>
      <c r="E1527" s="18"/>
    </row>
    <row r="1528" spans="1:5" x14ac:dyDescent="0.3">
      <c r="A1528" t="s">
        <v>7485</v>
      </c>
      <c r="E1528" s="18"/>
    </row>
    <row r="1529" spans="1:5" x14ac:dyDescent="0.3">
      <c r="A1529" t="s">
        <v>7485</v>
      </c>
      <c r="E1529" s="18"/>
    </row>
    <row r="1530" spans="1:5" x14ac:dyDescent="0.3">
      <c r="A1530" t="s">
        <v>7485</v>
      </c>
      <c r="E1530" s="18"/>
    </row>
    <row r="1531" spans="1:5" x14ac:dyDescent="0.3">
      <c r="A1531" t="s">
        <v>7485</v>
      </c>
      <c r="E1531" s="18"/>
    </row>
    <row r="1532" spans="1:5" x14ac:dyDescent="0.3">
      <c r="A1532" t="s">
        <v>7485</v>
      </c>
      <c r="E1532" s="18"/>
    </row>
    <row r="1533" spans="1:5" x14ac:dyDescent="0.3">
      <c r="A1533" t="s">
        <v>7485</v>
      </c>
      <c r="E1533" s="18"/>
    </row>
    <row r="1534" spans="1:5" x14ac:dyDescent="0.3">
      <c r="A1534" t="s">
        <v>7485</v>
      </c>
      <c r="E1534" s="18"/>
    </row>
    <row r="1535" spans="1:5" x14ac:dyDescent="0.3">
      <c r="A1535" t="s">
        <v>7485</v>
      </c>
      <c r="E1535" s="18"/>
    </row>
    <row r="1536" spans="1:5" x14ac:dyDescent="0.3">
      <c r="A1536" t="s">
        <v>7485</v>
      </c>
      <c r="E1536" s="18"/>
    </row>
    <row r="1537" spans="1:5" x14ac:dyDescent="0.3">
      <c r="A1537" t="s">
        <v>7485</v>
      </c>
      <c r="E1537" s="18"/>
    </row>
    <row r="1538" spans="1:5" x14ac:dyDescent="0.3">
      <c r="A1538" t="s">
        <v>7485</v>
      </c>
      <c r="E1538" s="18"/>
    </row>
    <row r="1539" spans="1:5" x14ac:dyDescent="0.3">
      <c r="A1539" t="s">
        <v>7485</v>
      </c>
      <c r="E1539" s="18"/>
    </row>
    <row r="1540" spans="1:5" x14ac:dyDescent="0.3">
      <c r="A1540" t="s">
        <v>7485</v>
      </c>
      <c r="E1540" s="18"/>
    </row>
    <row r="1541" spans="1:5" x14ac:dyDescent="0.3">
      <c r="A1541" t="s">
        <v>7485</v>
      </c>
      <c r="E1541" s="18"/>
    </row>
    <row r="1542" spans="1:5" x14ac:dyDescent="0.3">
      <c r="A1542" t="s">
        <v>7485</v>
      </c>
      <c r="E1542" s="18"/>
    </row>
    <row r="1543" spans="1:5" x14ac:dyDescent="0.3">
      <c r="A1543" t="s">
        <v>7485</v>
      </c>
      <c r="E1543" s="18"/>
    </row>
    <row r="1544" spans="1:5" x14ac:dyDescent="0.3">
      <c r="A1544" t="s">
        <v>7485</v>
      </c>
      <c r="E1544" s="18"/>
    </row>
    <row r="1545" spans="1:5" x14ac:dyDescent="0.3">
      <c r="A1545" t="s">
        <v>7485</v>
      </c>
      <c r="E1545" s="18"/>
    </row>
    <row r="1546" spans="1:5" x14ac:dyDescent="0.3">
      <c r="A1546" t="s">
        <v>7485</v>
      </c>
      <c r="E1546" s="18"/>
    </row>
    <row r="1547" spans="1:5" x14ac:dyDescent="0.3">
      <c r="A1547" t="s">
        <v>7485</v>
      </c>
      <c r="E1547" s="18"/>
    </row>
    <row r="1548" spans="1:5" x14ac:dyDescent="0.3">
      <c r="A1548" t="s">
        <v>7485</v>
      </c>
      <c r="E1548" s="18"/>
    </row>
    <row r="1549" spans="1:5" x14ac:dyDescent="0.3">
      <c r="A1549" t="s">
        <v>7485</v>
      </c>
      <c r="E1549" s="18"/>
    </row>
    <row r="1550" spans="1:5" x14ac:dyDescent="0.3">
      <c r="A1550" t="s">
        <v>7485</v>
      </c>
      <c r="E1550" s="18"/>
    </row>
    <row r="1551" spans="1:5" x14ac:dyDescent="0.3">
      <c r="A1551" t="s">
        <v>7485</v>
      </c>
      <c r="E1551" s="18"/>
    </row>
    <row r="1552" spans="1:5" x14ac:dyDescent="0.3">
      <c r="A1552" t="s">
        <v>7485</v>
      </c>
      <c r="E1552" s="18"/>
    </row>
    <row r="1553" spans="1:5" x14ac:dyDescent="0.3">
      <c r="A1553" t="s">
        <v>7485</v>
      </c>
      <c r="E1553" s="18"/>
    </row>
    <row r="1554" spans="1:5" x14ac:dyDescent="0.3">
      <c r="A1554" t="s">
        <v>7485</v>
      </c>
      <c r="E1554" s="18"/>
    </row>
    <row r="1555" spans="1:5" x14ac:dyDescent="0.3">
      <c r="A1555" t="s">
        <v>7485</v>
      </c>
      <c r="E1555" s="18"/>
    </row>
    <row r="1556" spans="1:5" x14ac:dyDescent="0.3">
      <c r="A1556" t="s">
        <v>7485</v>
      </c>
      <c r="E1556" s="18"/>
    </row>
    <row r="1557" spans="1:5" x14ac:dyDescent="0.3">
      <c r="A1557" t="s">
        <v>7485</v>
      </c>
      <c r="E1557" s="18"/>
    </row>
    <row r="1558" spans="1:5" x14ac:dyDescent="0.3">
      <c r="A1558" t="s">
        <v>7485</v>
      </c>
      <c r="E1558" s="18"/>
    </row>
    <row r="1559" spans="1:5" x14ac:dyDescent="0.3">
      <c r="A1559" t="s">
        <v>7485</v>
      </c>
      <c r="E1559" s="18"/>
    </row>
    <row r="1560" spans="1:5" x14ac:dyDescent="0.3">
      <c r="A1560" t="s">
        <v>7485</v>
      </c>
      <c r="E1560" s="18"/>
    </row>
    <row r="1561" spans="1:5" x14ac:dyDescent="0.3">
      <c r="A1561" t="s">
        <v>7485</v>
      </c>
      <c r="E1561" s="18"/>
    </row>
    <row r="1562" spans="1:5" x14ac:dyDescent="0.3">
      <c r="A1562" t="s">
        <v>7485</v>
      </c>
      <c r="E1562" s="18"/>
    </row>
    <row r="1563" spans="1:5" x14ac:dyDescent="0.3">
      <c r="A1563" t="s">
        <v>7485</v>
      </c>
      <c r="E1563" s="18"/>
    </row>
    <row r="1564" spans="1:5" x14ac:dyDescent="0.3">
      <c r="A1564" t="s">
        <v>7485</v>
      </c>
      <c r="E1564" s="18"/>
    </row>
    <row r="1565" spans="1:5" x14ac:dyDescent="0.3">
      <c r="A1565" t="s">
        <v>7485</v>
      </c>
      <c r="E1565" s="18"/>
    </row>
    <row r="1566" spans="1:5" x14ac:dyDescent="0.3">
      <c r="A1566" t="s">
        <v>7485</v>
      </c>
      <c r="E1566" s="18"/>
    </row>
    <row r="1567" spans="1:5" x14ac:dyDescent="0.3">
      <c r="A1567" t="s">
        <v>7485</v>
      </c>
      <c r="E1567" s="18"/>
    </row>
    <row r="1568" spans="1:5" x14ac:dyDescent="0.3">
      <c r="A1568" t="s">
        <v>7485</v>
      </c>
      <c r="E1568" s="18"/>
    </row>
    <row r="1569" spans="1:5" x14ac:dyDescent="0.3">
      <c r="A1569" t="s">
        <v>7485</v>
      </c>
      <c r="E1569" s="18"/>
    </row>
    <row r="1570" spans="1:5" x14ac:dyDescent="0.3">
      <c r="A1570" t="s">
        <v>7485</v>
      </c>
      <c r="E1570" s="18"/>
    </row>
    <row r="1571" spans="1:5" x14ac:dyDescent="0.3">
      <c r="A1571" t="s">
        <v>7485</v>
      </c>
      <c r="E1571" s="18"/>
    </row>
    <row r="1572" spans="1:5" x14ac:dyDescent="0.3">
      <c r="A1572" t="s">
        <v>7485</v>
      </c>
      <c r="E1572" s="18"/>
    </row>
    <row r="1573" spans="1:5" x14ac:dyDescent="0.3">
      <c r="A1573" t="s">
        <v>7485</v>
      </c>
      <c r="E1573" s="18"/>
    </row>
    <row r="1574" spans="1:5" x14ac:dyDescent="0.3">
      <c r="A1574" t="s">
        <v>7485</v>
      </c>
      <c r="E1574" s="18"/>
    </row>
    <row r="1575" spans="1:5" x14ac:dyDescent="0.3">
      <c r="A1575" t="s">
        <v>7485</v>
      </c>
      <c r="E1575" s="18"/>
    </row>
    <row r="1576" spans="1:5" x14ac:dyDescent="0.3">
      <c r="A1576" t="s">
        <v>7485</v>
      </c>
      <c r="E1576" s="18"/>
    </row>
    <row r="1577" spans="1:5" x14ac:dyDescent="0.3">
      <c r="A1577" t="s">
        <v>7485</v>
      </c>
      <c r="E1577" s="18"/>
    </row>
    <row r="1578" spans="1:5" x14ac:dyDescent="0.3">
      <c r="A1578" t="s">
        <v>7485</v>
      </c>
      <c r="E1578" s="18"/>
    </row>
    <row r="1579" spans="1:5" x14ac:dyDescent="0.3">
      <c r="A1579" t="s">
        <v>7485</v>
      </c>
      <c r="E1579" s="18"/>
    </row>
    <row r="1580" spans="1:5" x14ac:dyDescent="0.3">
      <c r="A1580" t="s">
        <v>7485</v>
      </c>
      <c r="E1580" s="18"/>
    </row>
    <row r="1581" spans="1:5" x14ac:dyDescent="0.3">
      <c r="A1581" t="s">
        <v>7485</v>
      </c>
      <c r="E1581" s="18"/>
    </row>
    <row r="1582" spans="1:5" x14ac:dyDescent="0.3">
      <c r="A1582" t="s">
        <v>7485</v>
      </c>
      <c r="E1582" s="18"/>
    </row>
    <row r="1583" spans="1:5" x14ac:dyDescent="0.3">
      <c r="A1583" t="s">
        <v>7485</v>
      </c>
      <c r="E1583" s="18"/>
    </row>
    <row r="1584" spans="1:5" x14ac:dyDescent="0.3">
      <c r="A1584" t="s">
        <v>7485</v>
      </c>
      <c r="E1584" s="18"/>
    </row>
    <row r="1585" spans="1:5" x14ac:dyDescent="0.3">
      <c r="A1585" t="s">
        <v>7485</v>
      </c>
      <c r="E1585" s="18"/>
    </row>
    <row r="1586" spans="1:5" x14ac:dyDescent="0.3">
      <c r="A1586" t="s">
        <v>7485</v>
      </c>
      <c r="E1586" s="18"/>
    </row>
    <row r="1587" spans="1:5" x14ac:dyDescent="0.3">
      <c r="A1587" t="s">
        <v>7485</v>
      </c>
      <c r="E1587" s="18"/>
    </row>
    <row r="1588" spans="1:5" x14ac:dyDescent="0.3">
      <c r="A1588" t="s">
        <v>7485</v>
      </c>
      <c r="E1588" s="18"/>
    </row>
    <row r="1589" spans="1:5" x14ac:dyDescent="0.3">
      <c r="A1589" t="s">
        <v>7485</v>
      </c>
      <c r="E1589" s="18"/>
    </row>
    <row r="1590" spans="1:5" x14ac:dyDescent="0.3">
      <c r="A1590" t="s">
        <v>7485</v>
      </c>
      <c r="E1590" s="18"/>
    </row>
    <row r="1591" spans="1:5" x14ac:dyDescent="0.3">
      <c r="A1591" t="s">
        <v>7485</v>
      </c>
      <c r="E1591" s="18"/>
    </row>
    <row r="1592" spans="1:5" x14ac:dyDescent="0.3">
      <c r="A1592" t="s">
        <v>7485</v>
      </c>
      <c r="E1592" s="18"/>
    </row>
    <row r="1593" spans="1:5" x14ac:dyDescent="0.3">
      <c r="A1593" t="s">
        <v>7485</v>
      </c>
      <c r="E1593" s="18"/>
    </row>
    <row r="1594" spans="1:5" x14ac:dyDescent="0.3">
      <c r="A1594" t="s">
        <v>7485</v>
      </c>
      <c r="E1594" s="18"/>
    </row>
    <row r="1595" spans="1:5" x14ac:dyDescent="0.3">
      <c r="A1595" t="s">
        <v>7485</v>
      </c>
      <c r="E1595" s="18"/>
    </row>
    <row r="1596" spans="1:5" x14ac:dyDescent="0.3">
      <c r="A1596" t="s">
        <v>7485</v>
      </c>
      <c r="E1596" s="18"/>
    </row>
    <row r="1597" spans="1:5" x14ac:dyDescent="0.3">
      <c r="A1597" t="s">
        <v>7485</v>
      </c>
      <c r="E1597" s="18"/>
    </row>
    <row r="1598" spans="1:5" x14ac:dyDescent="0.3">
      <c r="A1598" t="s">
        <v>7485</v>
      </c>
      <c r="E1598" s="18"/>
    </row>
    <row r="1599" spans="1:5" x14ac:dyDescent="0.3">
      <c r="A1599" t="s">
        <v>7485</v>
      </c>
      <c r="E1599" s="18"/>
    </row>
    <row r="1600" spans="1:5" x14ac:dyDescent="0.3">
      <c r="A1600" t="s">
        <v>7485</v>
      </c>
      <c r="E1600" s="18"/>
    </row>
    <row r="1601" spans="1:5" x14ac:dyDescent="0.3">
      <c r="A1601" t="s">
        <v>7485</v>
      </c>
      <c r="E1601" s="18"/>
    </row>
    <row r="1602" spans="1:5" x14ac:dyDescent="0.3">
      <c r="A1602" t="s">
        <v>7485</v>
      </c>
      <c r="E1602" s="18"/>
    </row>
    <row r="1603" spans="1:5" x14ac:dyDescent="0.3">
      <c r="A1603" t="s">
        <v>7485</v>
      </c>
      <c r="E1603" s="18"/>
    </row>
    <row r="1604" spans="1:5" x14ac:dyDescent="0.3">
      <c r="A1604" t="s">
        <v>7485</v>
      </c>
      <c r="E1604" s="18"/>
    </row>
    <row r="1605" spans="1:5" x14ac:dyDescent="0.3">
      <c r="A1605" t="s">
        <v>7485</v>
      </c>
      <c r="E1605" s="18"/>
    </row>
    <row r="1606" spans="1:5" x14ac:dyDescent="0.3">
      <c r="A1606" t="s">
        <v>7485</v>
      </c>
      <c r="E1606" s="18"/>
    </row>
    <row r="1607" spans="1:5" x14ac:dyDescent="0.3">
      <c r="A1607" t="s">
        <v>7485</v>
      </c>
      <c r="E1607" s="18"/>
    </row>
    <row r="1608" spans="1:5" x14ac:dyDescent="0.3">
      <c r="A1608" t="s">
        <v>7485</v>
      </c>
      <c r="E1608" s="18"/>
    </row>
    <row r="1609" spans="1:5" x14ac:dyDescent="0.3">
      <c r="A1609" t="s">
        <v>7485</v>
      </c>
      <c r="E1609" s="18"/>
    </row>
    <row r="1610" spans="1:5" x14ac:dyDescent="0.3">
      <c r="A1610" t="s">
        <v>7485</v>
      </c>
      <c r="E1610" s="18"/>
    </row>
    <row r="1611" spans="1:5" x14ac:dyDescent="0.3">
      <c r="A1611" t="s">
        <v>7485</v>
      </c>
      <c r="E1611" s="18"/>
    </row>
    <row r="1612" spans="1:5" x14ac:dyDescent="0.3">
      <c r="A1612" t="s">
        <v>7485</v>
      </c>
      <c r="E1612" s="18"/>
    </row>
    <row r="1613" spans="1:5" x14ac:dyDescent="0.3">
      <c r="A1613" t="s">
        <v>7485</v>
      </c>
      <c r="E1613" s="18"/>
    </row>
    <row r="1614" spans="1:5" x14ac:dyDescent="0.3">
      <c r="A1614" t="s">
        <v>7485</v>
      </c>
      <c r="E1614" s="18"/>
    </row>
    <row r="1615" spans="1:5" x14ac:dyDescent="0.3">
      <c r="A1615" t="s">
        <v>7485</v>
      </c>
      <c r="E1615" s="18"/>
    </row>
    <row r="1616" spans="1:5" x14ac:dyDescent="0.3">
      <c r="A1616" t="s">
        <v>7485</v>
      </c>
      <c r="E1616" s="18"/>
    </row>
    <row r="1617" spans="1:5" x14ac:dyDescent="0.3">
      <c r="A1617" t="s">
        <v>7485</v>
      </c>
      <c r="E1617" s="18"/>
    </row>
    <row r="1618" spans="1:5" x14ac:dyDescent="0.3">
      <c r="A1618" t="s">
        <v>7485</v>
      </c>
      <c r="E1618" s="18"/>
    </row>
    <row r="1619" spans="1:5" x14ac:dyDescent="0.3">
      <c r="A1619" t="s">
        <v>7485</v>
      </c>
      <c r="E1619" s="18"/>
    </row>
    <row r="1620" spans="1:5" x14ac:dyDescent="0.3">
      <c r="A1620" t="s">
        <v>7485</v>
      </c>
      <c r="E1620" s="18"/>
    </row>
    <row r="1621" spans="1:5" x14ac:dyDescent="0.3">
      <c r="A1621" t="s">
        <v>7485</v>
      </c>
      <c r="E1621" s="18"/>
    </row>
    <row r="1622" spans="1:5" x14ac:dyDescent="0.3">
      <c r="A1622" t="s">
        <v>7485</v>
      </c>
      <c r="E1622" s="18"/>
    </row>
    <row r="1623" spans="1:5" x14ac:dyDescent="0.3">
      <c r="A1623" t="s">
        <v>7485</v>
      </c>
      <c r="E1623" s="18"/>
    </row>
    <row r="1624" spans="1:5" x14ac:dyDescent="0.3">
      <c r="A1624" t="s">
        <v>7485</v>
      </c>
      <c r="E1624" s="18"/>
    </row>
    <row r="1625" spans="1:5" x14ac:dyDescent="0.3">
      <c r="A1625" t="s">
        <v>7485</v>
      </c>
      <c r="E1625" s="18"/>
    </row>
    <row r="1626" spans="1:5" x14ac:dyDescent="0.3">
      <c r="A1626" t="s">
        <v>7485</v>
      </c>
      <c r="E1626" s="18"/>
    </row>
    <row r="1627" spans="1:5" x14ac:dyDescent="0.3">
      <c r="A1627" t="s">
        <v>7485</v>
      </c>
      <c r="E1627" s="18"/>
    </row>
    <row r="1628" spans="1:5" x14ac:dyDescent="0.3">
      <c r="A1628" t="s">
        <v>7485</v>
      </c>
      <c r="E1628" s="18"/>
    </row>
    <row r="1629" spans="1:5" x14ac:dyDescent="0.3">
      <c r="A1629" t="s">
        <v>7485</v>
      </c>
      <c r="E1629" s="18"/>
    </row>
    <row r="1630" spans="1:5" x14ac:dyDescent="0.3">
      <c r="A1630" t="s">
        <v>7485</v>
      </c>
      <c r="E1630" s="18"/>
    </row>
    <row r="1631" spans="1:5" x14ac:dyDescent="0.3">
      <c r="A1631" t="s">
        <v>7485</v>
      </c>
      <c r="E1631" s="18"/>
    </row>
    <row r="1632" spans="1:5" x14ac:dyDescent="0.3">
      <c r="A1632" t="s">
        <v>7485</v>
      </c>
      <c r="E1632" s="18"/>
    </row>
    <row r="1633" spans="1:5" x14ac:dyDescent="0.3">
      <c r="A1633" t="s">
        <v>7485</v>
      </c>
      <c r="E1633" s="18"/>
    </row>
    <row r="1634" spans="1:5" x14ac:dyDescent="0.3">
      <c r="A1634" t="s">
        <v>7485</v>
      </c>
      <c r="E1634" s="18"/>
    </row>
    <row r="1635" spans="1:5" x14ac:dyDescent="0.3">
      <c r="A1635" t="s">
        <v>7485</v>
      </c>
      <c r="E1635" s="18"/>
    </row>
    <row r="1636" spans="1:5" x14ac:dyDescent="0.3">
      <c r="A1636" t="s">
        <v>7485</v>
      </c>
      <c r="E1636" s="18"/>
    </row>
    <row r="1637" spans="1:5" x14ac:dyDescent="0.3">
      <c r="A1637" t="s">
        <v>7485</v>
      </c>
      <c r="E1637" s="18"/>
    </row>
    <row r="1638" spans="1:5" x14ac:dyDescent="0.3">
      <c r="A1638" t="s">
        <v>7485</v>
      </c>
      <c r="E1638" s="18"/>
    </row>
    <row r="1639" spans="1:5" x14ac:dyDescent="0.3">
      <c r="A1639" t="s">
        <v>7485</v>
      </c>
      <c r="E1639" s="18"/>
    </row>
    <row r="1640" spans="1:5" x14ac:dyDescent="0.3">
      <c r="A1640" t="s">
        <v>7485</v>
      </c>
      <c r="E1640" s="18"/>
    </row>
    <row r="1641" spans="1:5" x14ac:dyDescent="0.3">
      <c r="A1641" t="s">
        <v>7485</v>
      </c>
      <c r="E1641" s="18"/>
    </row>
    <row r="1642" spans="1:5" x14ac:dyDescent="0.3">
      <c r="A1642" t="s">
        <v>7485</v>
      </c>
      <c r="E1642" s="18"/>
    </row>
    <row r="1643" spans="1:5" x14ac:dyDescent="0.3">
      <c r="A1643" t="s">
        <v>7485</v>
      </c>
      <c r="E1643" s="18"/>
    </row>
    <row r="1644" spans="1:5" x14ac:dyDescent="0.3">
      <c r="A1644" t="s">
        <v>7485</v>
      </c>
      <c r="E1644" s="18"/>
    </row>
    <row r="1645" spans="1:5" x14ac:dyDescent="0.3">
      <c r="A1645" t="s">
        <v>7485</v>
      </c>
      <c r="E1645" s="18"/>
    </row>
    <row r="1646" spans="1:5" x14ac:dyDescent="0.3">
      <c r="A1646" t="s">
        <v>7485</v>
      </c>
      <c r="E1646" s="18"/>
    </row>
    <row r="1647" spans="1:5" x14ac:dyDescent="0.3">
      <c r="A1647" t="s">
        <v>7485</v>
      </c>
      <c r="E1647" s="18"/>
    </row>
    <row r="1648" spans="1:5" x14ac:dyDescent="0.3">
      <c r="A1648" t="s">
        <v>7485</v>
      </c>
      <c r="E1648" s="18"/>
    </row>
    <row r="1649" spans="1:5" x14ac:dyDescent="0.3">
      <c r="A1649" t="s">
        <v>7485</v>
      </c>
      <c r="E1649" s="18"/>
    </row>
    <row r="1650" spans="1:5" x14ac:dyDescent="0.3">
      <c r="A1650" t="s">
        <v>7485</v>
      </c>
      <c r="E1650" s="18"/>
    </row>
    <row r="1651" spans="1:5" x14ac:dyDescent="0.3">
      <c r="A1651" t="s">
        <v>7485</v>
      </c>
      <c r="E1651" s="18"/>
    </row>
    <row r="1652" spans="1:5" x14ac:dyDescent="0.3">
      <c r="A1652" t="s">
        <v>7485</v>
      </c>
      <c r="E1652" s="18"/>
    </row>
    <row r="1653" spans="1:5" x14ac:dyDescent="0.3">
      <c r="A1653" t="s">
        <v>7485</v>
      </c>
      <c r="E1653" s="18"/>
    </row>
    <row r="1654" spans="1:5" x14ac:dyDescent="0.3">
      <c r="A1654" t="s">
        <v>7485</v>
      </c>
      <c r="E1654" s="18"/>
    </row>
    <row r="1655" spans="1:5" x14ac:dyDescent="0.3">
      <c r="A1655" t="s">
        <v>7485</v>
      </c>
      <c r="E1655" s="18"/>
    </row>
    <row r="1656" spans="1:5" x14ac:dyDescent="0.3">
      <c r="A1656" t="s">
        <v>7485</v>
      </c>
      <c r="E1656" s="18"/>
    </row>
    <row r="1657" spans="1:5" x14ac:dyDescent="0.3">
      <c r="A1657" t="s">
        <v>7485</v>
      </c>
      <c r="E1657" s="18"/>
    </row>
    <row r="1658" spans="1:5" x14ac:dyDescent="0.3">
      <c r="A1658" t="s">
        <v>7485</v>
      </c>
      <c r="E1658" s="18"/>
    </row>
    <row r="1659" spans="1:5" x14ac:dyDescent="0.3">
      <c r="A1659" t="s">
        <v>7485</v>
      </c>
      <c r="E1659" s="18"/>
    </row>
    <row r="1660" spans="1:5" x14ac:dyDescent="0.3">
      <c r="A1660" t="s">
        <v>7485</v>
      </c>
      <c r="E1660" s="18"/>
    </row>
    <row r="1661" spans="1:5" x14ac:dyDescent="0.3">
      <c r="A1661" t="s">
        <v>7485</v>
      </c>
      <c r="E1661" s="18"/>
    </row>
    <row r="1662" spans="1:5" x14ac:dyDescent="0.3">
      <c r="A1662" t="s">
        <v>7485</v>
      </c>
      <c r="E1662" s="18"/>
    </row>
    <row r="1663" spans="1:5" x14ac:dyDescent="0.3">
      <c r="A1663" t="s">
        <v>7485</v>
      </c>
      <c r="E1663" s="18"/>
    </row>
    <row r="1664" spans="1:5" x14ac:dyDescent="0.3">
      <c r="A1664" t="s">
        <v>7485</v>
      </c>
      <c r="E1664" s="18"/>
    </row>
    <row r="1665" spans="1:5" x14ac:dyDescent="0.3">
      <c r="A1665" t="s">
        <v>7485</v>
      </c>
      <c r="E1665" s="18"/>
    </row>
    <row r="1666" spans="1:5" x14ac:dyDescent="0.3">
      <c r="A1666" t="s">
        <v>7485</v>
      </c>
      <c r="E1666" s="18"/>
    </row>
    <row r="1667" spans="1:5" x14ac:dyDescent="0.3">
      <c r="A1667" t="s">
        <v>7485</v>
      </c>
      <c r="E1667" s="18"/>
    </row>
    <row r="1668" spans="1:5" x14ac:dyDescent="0.3">
      <c r="A1668" t="s">
        <v>7485</v>
      </c>
      <c r="E1668" s="18"/>
    </row>
    <row r="1669" spans="1:5" x14ac:dyDescent="0.3">
      <c r="A1669" t="s">
        <v>7485</v>
      </c>
      <c r="E1669" s="18"/>
    </row>
    <row r="1670" spans="1:5" x14ac:dyDescent="0.3">
      <c r="A1670" t="s">
        <v>7485</v>
      </c>
      <c r="E1670" s="18"/>
    </row>
    <row r="1671" spans="1:5" x14ac:dyDescent="0.3">
      <c r="A1671" t="s">
        <v>7485</v>
      </c>
      <c r="E1671" s="18"/>
    </row>
    <row r="1672" spans="1:5" x14ac:dyDescent="0.3">
      <c r="A1672" t="s">
        <v>7485</v>
      </c>
      <c r="E1672" s="18"/>
    </row>
    <row r="1673" spans="1:5" x14ac:dyDescent="0.3">
      <c r="A1673" t="s">
        <v>7485</v>
      </c>
      <c r="E1673" s="18"/>
    </row>
    <row r="1674" spans="1:5" x14ac:dyDescent="0.3">
      <c r="A1674" t="s">
        <v>7485</v>
      </c>
      <c r="E1674" s="18"/>
    </row>
    <row r="1675" spans="1:5" x14ac:dyDescent="0.3">
      <c r="A1675" t="s">
        <v>7485</v>
      </c>
      <c r="E1675" s="18"/>
    </row>
    <row r="1676" spans="1:5" x14ac:dyDescent="0.3">
      <c r="A1676" t="s">
        <v>7485</v>
      </c>
      <c r="E1676" s="18"/>
    </row>
    <row r="1677" spans="1:5" x14ac:dyDescent="0.3">
      <c r="A1677" t="s">
        <v>7485</v>
      </c>
      <c r="E1677" s="18"/>
    </row>
    <row r="1678" spans="1:5" x14ac:dyDescent="0.3">
      <c r="A1678" t="s">
        <v>7485</v>
      </c>
      <c r="E1678" s="18"/>
    </row>
    <row r="1679" spans="1:5" x14ac:dyDescent="0.3">
      <c r="A1679" t="s">
        <v>7485</v>
      </c>
      <c r="E1679" s="18"/>
    </row>
    <row r="1680" spans="1:5" x14ac:dyDescent="0.3">
      <c r="A1680" t="s">
        <v>7485</v>
      </c>
      <c r="E1680" s="18"/>
    </row>
    <row r="1681" spans="1:5" x14ac:dyDescent="0.3">
      <c r="A1681" t="s">
        <v>7485</v>
      </c>
      <c r="E1681" s="18"/>
    </row>
    <row r="1682" spans="1:5" x14ac:dyDescent="0.3">
      <c r="A1682" t="s">
        <v>7485</v>
      </c>
      <c r="E1682" s="18"/>
    </row>
    <row r="1683" spans="1:5" x14ac:dyDescent="0.3">
      <c r="A1683" t="s">
        <v>7485</v>
      </c>
      <c r="E1683" s="18"/>
    </row>
    <row r="1684" spans="1:5" x14ac:dyDescent="0.3">
      <c r="A1684" t="s">
        <v>7485</v>
      </c>
      <c r="E1684" s="18"/>
    </row>
    <row r="1685" spans="1:5" x14ac:dyDescent="0.3">
      <c r="A1685" t="s">
        <v>7485</v>
      </c>
      <c r="E1685" s="18"/>
    </row>
    <row r="1686" spans="1:5" x14ac:dyDescent="0.3">
      <c r="A1686" t="s">
        <v>7485</v>
      </c>
      <c r="E1686" s="18"/>
    </row>
    <row r="1687" spans="1:5" x14ac:dyDescent="0.3">
      <c r="A1687" t="s">
        <v>7485</v>
      </c>
      <c r="E1687" s="18"/>
    </row>
    <row r="1688" spans="1:5" x14ac:dyDescent="0.3">
      <c r="A1688" t="s">
        <v>7485</v>
      </c>
      <c r="E1688" s="18"/>
    </row>
    <row r="1689" spans="1:5" x14ac:dyDescent="0.3">
      <c r="A1689" t="s">
        <v>7485</v>
      </c>
      <c r="E1689" s="18"/>
    </row>
    <row r="1690" spans="1:5" x14ac:dyDescent="0.3">
      <c r="A1690" t="s">
        <v>7485</v>
      </c>
      <c r="E1690" s="18"/>
    </row>
    <row r="1691" spans="1:5" x14ac:dyDescent="0.3">
      <c r="A1691" t="s">
        <v>7485</v>
      </c>
      <c r="E1691" s="18"/>
    </row>
    <row r="1692" spans="1:5" x14ac:dyDescent="0.3">
      <c r="A1692" t="s">
        <v>7485</v>
      </c>
      <c r="E1692" s="18"/>
    </row>
    <row r="1693" spans="1:5" x14ac:dyDescent="0.3">
      <c r="A1693" t="s">
        <v>7485</v>
      </c>
      <c r="E1693" s="18"/>
    </row>
    <row r="1694" spans="1:5" x14ac:dyDescent="0.3">
      <c r="A1694" t="s">
        <v>7485</v>
      </c>
      <c r="E1694" s="18"/>
    </row>
    <row r="1695" spans="1:5" x14ac:dyDescent="0.3">
      <c r="A1695" t="s">
        <v>7485</v>
      </c>
      <c r="E1695" s="18"/>
    </row>
    <row r="1696" spans="1:5" x14ac:dyDescent="0.3">
      <c r="A1696" t="s">
        <v>7485</v>
      </c>
      <c r="E1696" s="18"/>
    </row>
    <row r="1697" spans="1:5" x14ac:dyDescent="0.3">
      <c r="A1697" t="s">
        <v>7485</v>
      </c>
      <c r="E1697" s="18"/>
    </row>
    <row r="1698" spans="1:5" x14ac:dyDescent="0.3">
      <c r="A1698" t="s">
        <v>7485</v>
      </c>
      <c r="E1698" s="18"/>
    </row>
    <row r="1699" spans="1:5" x14ac:dyDescent="0.3">
      <c r="A1699" t="s">
        <v>7485</v>
      </c>
      <c r="E1699" s="18"/>
    </row>
    <row r="1700" spans="1:5" x14ac:dyDescent="0.3">
      <c r="A1700" t="s">
        <v>7485</v>
      </c>
      <c r="E1700" s="18"/>
    </row>
    <row r="1701" spans="1:5" x14ac:dyDescent="0.3">
      <c r="A1701" t="s">
        <v>7485</v>
      </c>
      <c r="E1701" s="18"/>
    </row>
    <row r="1702" spans="1:5" x14ac:dyDescent="0.3">
      <c r="A1702" t="s">
        <v>7485</v>
      </c>
      <c r="E1702" s="18"/>
    </row>
    <row r="1703" spans="1:5" x14ac:dyDescent="0.3">
      <c r="A1703" t="s">
        <v>7485</v>
      </c>
      <c r="E1703" s="18"/>
    </row>
    <row r="1704" spans="1:5" x14ac:dyDescent="0.3">
      <c r="A1704" t="s">
        <v>7485</v>
      </c>
      <c r="E1704" s="18"/>
    </row>
    <row r="1705" spans="1:5" x14ac:dyDescent="0.3">
      <c r="A1705" t="s">
        <v>7485</v>
      </c>
      <c r="E1705" s="18"/>
    </row>
    <row r="1706" spans="1:5" x14ac:dyDescent="0.3">
      <c r="A1706" t="s">
        <v>7485</v>
      </c>
      <c r="E1706" s="18"/>
    </row>
    <row r="1707" spans="1:5" x14ac:dyDescent="0.3">
      <c r="A1707" t="s">
        <v>7485</v>
      </c>
      <c r="E1707" s="18"/>
    </row>
    <row r="1708" spans="1:5" x14ac:dyDescent="0.3">
      <c r="A1708" t="s">
        <v>7485</v>
      </c>
      <c r="E1708" s="18"/>
    </row>
    <row r="1709" spans="1:5" x14ac:dyDescent="0.3">
      <c r="A1709" t="s">
        <v>7485</v>
      </c>
      <c r="E1709" s="18"/>
    </row>
    <row r="1710" spans="1:5" x14ac:dyDescent="0.3">
      <c r="A1710" t="s">
        <v>7485</v>
      </c>
      <c r="E1710" s="18"/>
    </row>
    <row r="1711" spans="1:5" x14ac:dyDescent="0.3">
      <c r="A1711" t="s">
        <v>7485</v>
      </c>
      <c r="E1711" s="18"/>
    </row>
    <row r="1712" spans="1:5" x14ac:dyDescent="0.3">
      <c r="A1712" t="s">
        <v>7485</v>
      </c>
      <c r="E1712" s="18"/>
    </row>
    <row r="1713" spans="1:5" x14ac:dyDescent="0.3">
      <c r="A1713" t="s">
        <v>7485</v>
      </c>
      <c r="E1713" s="18"/>
    </row>
    <row r="1714" spans="1:5" x14ac:dyDescent="0.3">
      <c r="A1714" t="s">
        <v>7485</v>
      </c>
      <c r="E1714" s="18"/>
    </row>
    <row r="1715" spans="1:5" x14ac:dyDescent="0.3">
      <c r="A1715" t="s">
        <v>7485</v>
      </c>
      <c r="E1715" s="18"/>
    </row>
    <row r="1716" spans="1:5" x14ac:dyDescent="0.3">
      <c r="A1716" t="s">
        <v>7485</v>
      </c>
      <c r="E1716" s="18"/>
    </row>
    <row r="1717" spans="1:5" x14ac:dyDescent="0.3">
      <c r="A1717" t="s">
        <v>7485</v>
      </c>
      <c r="E1717" s="18"/>
    </row>
    <row r="1718" spans="1:5" x14ac:dyDescent="0.3">
      <c r="A1718" t="s">
        <v>7485</v>
      </c>
      <c r="E1718" s="18"/>
    </row>
    <row r="1719" spans="1:5" x14ac:dyDescent="0.3">
      <c r="A1719" t="s">
        <v>7485</v>
      </c>
      <c r="E1719" s="18"/>
    </row>
    <row r="1720" spans="1:5" x14ac:dyDescent="0.3">
      <c r="A1720" t="s">
        <v>7485</v>
      </c>
      <c r="E1720" s="18"/>
    </row>
    <row r="1721" spans="1:5" x14ac:dyDescent="0.3">
      <c r="A1721" t="s">
        <v>7485</v>
      </c>
      <c r="E1721" s="18"/>
    </row>
    <row r="1722" spans="1:5" x14ac:dyDescent="0.3">
      <c r="A1722" t="s">
        <v>7485</v>
      </c>
      <c r="E1722" s="18"/>
    </row>
    <row r="1723" spans="1:5" x14ac:dyDescent="0.3">
      <c r="A1723" t="s">
        <v>7485</v>
      </c>
      <c r="E1723" s="18"/>
    </row>
    <row r="1724" spans="1:5" x14ac:dyDescent="0.3">
      <c r="A1724" t="s">
        <v>7485</v>
      </c>
      <c r="E1724" s="18"/>
    </row>
    <row r="1725" spans="1:5" x14ac:dyDescent="0.3">
      <c r="A1725" t="s">
        <v>7485</v>
      </c>
      <c r="E1725" s="18"/>
    </row>
    <row r="1726" spans="1:5" x14ac:dyDescent="0.3">
      <c r="A1726" t="s">
        <v>7485</v>
      </c>
      <c r="E1726" s="18"/>
    </row>
    <row r="1727" spans="1:5" x14ac:dyDescent="0.3">
      <c r="A1727" t="s">
        <v>7485</v>
      </c>
      <c r="E1727" s="18"/>
    </row>
    <row r="1728" spans="1:5" x14ac:dyDescent="0.3">
      <c r="A1728" t="s">
        <v>7485</v>
      </c>
      <c r="E1728" s="18"/>
    </row>
    <row r="1729" spans="1:5" x14ac:dyDescent="0.3">
      <c r="A1729" t="s">
        <v>7485</v>
      </c>
      <c r="E1729" s="18"/>
    </row>
    <row r="1730" spans="1:5" x14ac:dyDescent="0.3">
      <c r="A1730" t="s">
        <v>7485</v>
      </c>
      <c r="E1730" s="18"/>
    </row>
    <row r="1731" spans="1:5" x14ac:dyDescent="0.3">
      <c r="A1731" t="s">
        <v>7485</v>
      </c>
      <c r="E1731" s="18"/>
    </row>
    <row r="1732" spans="1:5" x14ac:dyDescent="0.3">
      <c r="A1732" t="s">
        <v>7485</v>
      </c>
      <c r="E1732" s="18"/>
    </row>
    <row r="1733" spans="1:5" x14ac:dyDescent="0.3">
      <c r="A1733" t="s">
        <v>7485</v>
      </c>
      <c r="E1733" s="18"/>
    </row>
    <row r="1734" spans="1:5" x14ac:dyDescent="0.3">
      <c r="A1734" t="s">
        <v>7485</v>
      </c>
      <c r="E1734" s="18"/>
    </row>
    <row r="1735" spans="1:5" x14ac:dyDescent="0.3">
      <c r="A1735" t="s">
        <v>7485</v>
      </c>
      <c r="E1735" s="18"/>
    </row>
    <row r="1736" spans="1:5" x14ac:dyDescent="0.3">
      <c r="A1736" t="s">
        <v>7485</v>
      </c>
      <c r="E1736" s="18"/>
    </row>
    <row r="1737" spans="1:5" x14ac:dyDescent="0.3">
      <c r="A1737" t="s">
        <v>7485</v>
      </c>
      <c r="E1737" s="18"/>
    </row>
    <row r="1738" spans="1:5" x14ac:dyDescent="0.3">
      <c r="A1738" t="s">
        <v>7485</v>
      </c>
      <c r="E1738" s="18"/>
    </row>
    <row r="1739" spans="1:5" x14ac:dyDescent="0.3">
      <c r="A1739" t="s">
        <v>7485</v>
      </c>
      <c r="E1739" s="18"/>
    </row>
    <row r="1740" spans="1:5" x14ac:dyDescent="0.3">
      <c r="A1740" t="s">
        <v>7485</v>
      </c>
      <c r="E1740" s="18"/>
    </row>
    <row r="1741" spans="1:5" x14ac:dyDescent="0.3">
      <c r="A1741" t="s">
        <v>7485</v>
      </c>
      <c r="E1741" s="18"/>
    </row>
    <row r="1742" spans="1:5" x14ac:dyDescent="0.3">
      <c r="A1742" t="s">
        <v>7485</v>
      </c>
      <c r="E1742" s="18"/>
    </row>
    <row r="1743" spans="1:5" x14ac:dyDescent="0.3">
      <c r="A1743" t="s">
        <v>7485</v>
      </c>
      <c r="E1743" s="18"/>
    </row>
    <row r="1744" spans="1:5" x14ac:dyDescent="0.3">
      <c r="A1744" t="s">
        <v>7485</v>
      </c>
      <c r="E1744" s="18"/>
    </row>
    <row r="1745" spans="1:5" x14ac:dyDescent="0.3">
      <c r="A1745" t="s">
        <v>7485</v>
      </c>
      <c r="E1745" s="18"/>
    </row>
    <row r="1746" spans="1:5" x14ac:dyDescent="0.3">
      <c r="A1746" t="s">
        <v>7485</v>
      </c>
      <c r="E1746" s="18"/>
    </row>
    <row r="1747" spans="1:5" x14ac:dyDescent="0.3">
      <c r="A1747" t="s">
        <v>7485</v>
      </c>
      <c r="E1747" s="18"/>
    </row>
    <row r="1748" spans="1:5" x14ac:dyDescent="0.3">
      <c r="A1748" t="s">
        <v>7485</v>
      </c>
      <c r="E1748" s="18"/>
    </row>
    <row r="1749" spans="1:5" x14ac:dyDescent="0.3">
      <c r="A1749" t="s">
        <v>7485</v>
      </c>
      <c r="E1749" s="18"/>
    </row>
    <row r="1750" spans="1:5" x14ac:dyDescent="0.3">
      <c r="A1750" t="s">
        <v>7485</v>
      </c>
      <c r="E1750" s="18"/>
    </row>
    <row r="1751" spans="1:5" x14ac:dyDescent="0.3">
      <c r="A1751" t="s">
        <v>7485</v>
      </c>
      <c r="E1751" s="18"/>
    </row>
    <row r="1752" spans="1:5" x14ac:dyDescent="0.3">
      <c r="A1752" t="s">
        <v>7485</v>
      </c>
      <c r="E1752" s="18"/>
    </row>
    <row r="1753" spans="1:5" x14ac:dyDescent="0.3">
      <c r="A1753" t="s">
        <v>7485</v>
      </c>
      <c r="E1753" s="18"/>
    </row>
    <row r="1754" spans="1:5" x14ac:dyDescent="0.3">
      <c r="A1754" t="s">
        <v>7485</v>
      </c>
      <c r="E1754" s="18"/>
    </row>
    <row r="1755" spans="1:5" x14ac:dyDescent="0.3">
      <c r="A1755" t="s">
        <v>7485</v>
      </c>
      <c r="E1755" s="18"/>
    </row>
    <row r="1756" spans="1:5" x14ac:dyDescent="0.3">
      <c r="A1756" t="s">
        <v>7485</v>
      </c>
      <c r="E1756" s="18"/>
    </row>
    <row r="1757" spans="1:5" x14ac:dyDescent="0.3">
      <c r="A1757" t="s">
        <v>7485</v>
      </c>
      <c r="E1757" s="18"/>
    </row>
    <row r="1758" spans="1:5" x14ac:dyDescent="0.3">
      <c r="A1758" t="s">
        <v>7485</v>
      </c>
      <c r="E1758" s="18"/>
    </row>
    <row r="1759" spans="1:5" x14ac:dyDescent="0.3">
      <c r="A1759" t="s">
        <v>7485</v>
      </c>
      <c r="E1759" s="18"/>
    </row>
    <row r="1760" spans="1:5" x14ac:dyDescent="0.3">
      <c r="A1760" t="s">
        <v>7485</v>
      </c>
      <c r="E1760" s="18"/>
    </row>
    <row r="1761" spans="1:5" x14ac:dyDescent="0.3">
      <c r="A1761" t="s">
        <v>7485</v>
      </c>
      <c r="E1761" s="18"/>
    </row>
    <row r="1762" spans="1:5" x14ac:dyDescent="0.3">
      <c r="A1762" t="s">
        <v>7485</v>
      </c>
      <c r="E1762" s="18"/>
    </row>
    <row r="1763" spans="1:5" x14ac:dyDescent="0.3">
      <c r="A1763" t="s">
        <v>7485</v>
      </c>
      <c r="E1763" s="18"/>
    </row>
    <row r="1764" spans="1:5" x14ac:dyDescent="0.3">
      <c r="A1764" t="s">
        <v>7485</v>
      </c>
      <c r="E1764" s="18"/>
    </row>
    <row r="1765" spans="1:5" x14ac:dyDescent="0.3">
      <c r="A1765" t="s">
        <v>7485</v>
      </c>
      <c r="E1765" s="18"/>
    </row>
    <row r="1766" spans="1:5" x14ac:dyDescent="0.3">
      <c r="A1766" t="s">
        <v>7485</v>
      </c>
      <c r="E1766" s="18"/>
    </row>
    <row r="1767" spans="1:5" x14ac:dyDescent="0.3">
      <c r="A1767" t="s">
        <v>7485</v>
      </c>
      <c r="E1767" s="18"/>
    </row>
    <row r="1768" spans="1:5" x14ac:dyDescent="0.3">
      <c r="A1768" t="s">
        <v>7485</v>
      </c>
      <c r="E1768" s="18"/>
    </row>
    <row r="1769" spans="1:5" x14ac:dyDescent="0.3">
      <c r="A1769" t="s">
        <v>7485</v>
      </c>
      <c r="E1769" s="18"/>
    </row>
    <row r="1770" spans="1:5" x14ac:dyDescent="0.3">
      <c r="A1770" t="s">
        <v>7485</v>
      </c>
      <c r="E1770" s="18"/>
    </row>
    <row r="1771" spans="1:5" x14ac:dyDescent="0.3">
      <c r="A1771" t="s">
        <v>7485</v>
      </c>
      <c r="E1771" s="18"/>
    </row>
    <row r="1772" spans="1:5" x14ac:dyDescent="0.3">
      <c r="A1772" t="s">
        <v>7485</v>
      </c>
      <c r="E1772" s="18"/>
    </row>
    <row r="1773" spans="1:5" x14ac:dyDescent="0.3">
      <c r="A1773" t="s">
        <v>7485</v>
      </c>
      <c r="E1773" s="18"/>
    </row>
    <row r="1774" spans="1:5" x14ac:dyDescent="0.3">
      <c r="A1774" t="s">
        <v>7485</v>
      </c>
      <c r="E1774" s="18"/>
    </row>
    <row r="1775" spans="1:5" x14ac:dyDescent="0.3">
      <c r="A1775" t="s">
        <v>7485</v>
      </c>
      <c r="E1775" s="18"/>
    </row>
    <row r="1776" spans="1:5" x14ac:dyDescent="0.3">
      <c r="A1776" t="s">
        <v>7485</v>
      </c>
      <c r="E1776" s="18"/>
    </row>
    <row r="1777" spans="1:5" x14ac:dyDescent="0.3">
      <c r="A1777" t="s">
        <v>7485</v>
      </c>
      <c r="E1777" s="18"/>
    </row>
    <row r="1778" spans="1:5" x14ac:dyDescent="0.3">
      <c r="A1778" t="s">
        <v>7485</v>
      </c>
      <c r="E1778" s="18"/>
    </row>
    <row r="1779" spans="1:5" x14ac:dyDescent="0.3">
      <c r="A1779" t="s">
        <v>7485</v>
      </c>
      <c r="E1779" s="18"/>
    </row>
    <row r="1780" spans="1:5" x14ac:dyDescent="0.3">
      <c r="A1780" t="s">
        <v>7485</v>
      </c>
      <c r="E1780" s="18"/>
    </row>
    <row r="1781" spans="1:5" x14ac:dyDescent="0.3">
      <c r="A1781" t="s">
        <v>7485</v>
      </c>
      <c r="E1781" s="18"/>
    </row>
    <row r="1782" spans="1:5" x14ac:dyDescent="0.3">
      <c r="A1782" t="s">
        <v>7485</v>
      </c>
      <c r="E1782" s="18"/>
    </row>
    <row r="1783" spans="1:5" x14ac:dyDescent="0.3">
      <c r="A1783" t="s">
        <v>7485</v>
      </c>
      <c r="E1783" s="18"/>
    </row>
    <row r="1784" spans="1:5" x14ac:dyDescent="0.3">
      <c r="A1784" t="s">
        <v>7485</v>
      </c>
      <c r="E1784" s="18"/>
    </row>
    <row r="1785" spans="1:5" x14ac:dyDescent="0.3">
      <c r="A1785" t="s">
        <v>7485</v>
      </c>
      <c r="E1785" s="18"/>
    </row>
    <row r="1786" spans="1:5" x14ac:dyDescent="0.3">
      <c r="A1786" t="s">
        <v>7485</v>
      </c>
      <c r="E1786" s="18"/>
    </row>
    <row r="1787" spans="1:5" x14ac:dyDescent="0.3">
      <c r="A1787" t="s">
        <v>7485</v>
      </c>
      <c r="E1787" s="18"/>
    </row>
    <row r="1788" spans="1:5" x14ac:dyDescent="0.3">
      <c r="A1788" t="s">
        <v>7485</v>
      </c>
      <c r="E1788" s="18"/>
    </row>
    <row r="1789" spans="1:5" x14ac:dyDescent="0.3">
      <c r="A1789" t="s">
        <v>7485</v>
      </c>
      <c r="E1789" s="18"/>
    </row>
    <row r="1790" spans="1:5" x14ac:dyDescent="0.3">
      <c r="A1790" t="s">
        <v>7485</v>
      </c>
      <c r="E1790" s="18"/>
    </row>
    <row r="1791" spans="1:5" x14ac:dyDescent="0.3">
      <c r="A1791" t="s">
        <v>7485</v>
      </c>
      <c r="E1791" s="18"/>
    </row>
    <row r="1792" spans="1:5" x14ac:dyDescent="0.3">
      <c r="A1792" t="s">
        <v>7485</v>
      </c>
      <c r="E1792" s="18"/>
    </row>
    <row r="1793" spans="1:5" x14ac:dyDescent="0.3">
      <c r="A1793" t="s">
        <v>7485</v>
      </c>
      <c r="E1793" s="18"/>
    </row>
    <row r="1794" spans="1:5" x14ac:dyDescent="0.3">
      <c r="A1794" t="s">
        <v>7485</v>
      </c>
      <c r="E1794" s="18"/>
    </row>
    <row r="1795" spans="1:5" x14ac:dyDescent="0.3">
      <c r="A1795" t="s">
        <v>7485</v>
      </c>
      <c r="E1795" s="18"/>
    </row>
    <row r="1796" spans="1:5" x14ac:dyDescent="0.3">
      <c r="A1796" t="s">
        <v>7485</v>
      </c>
      <c r="E1796" s="18"/>
    </row>
    <row r="1797" spans="1:5" x14ac:dyDescent="0.3">
      <c r="A1797" t="s">
        <v>7485</v>
      </c>
      <c r="E1797" s="18"/>
    </row>
    <row r="1798" spans="1:5" x14ac:dyDescent="0.3">
      <c r="A1798" t="s">
        <v>7485</v>
      </c>
      <c r="E1798" s="18"/>
    </row>
    <row r="1799" spans="1:5" x14ac:dyDescent="0.3">
      <c r="A1799" t="s">
        <v>7485</v>
      </c>
      <c r="E1799" s="18"/>
    </row>
    <row r="1800" spans="1:5" x14ac:dyDescent="0.3">
      <c r="A1800" t="s">
        <v>7485</v>
      </c>
      <c r="E1800" s="18"/>
    </row>
    <row r="1801" spans="1:5" x14ac:dyDescent="0.3">
      <c r="A1801" t="s">
        <v>7485</v>
      </c>
      <c r="E1801" s="18"/>
    </row>
    <row r="1802" spans="1:5" x14ac:dyDescent="0.3">
      <c r="A1802" t="s">
        <v>7485</v>
      </c>
      <c r="E1802" s="18"/>
    </row>
    <row r="1803" spans="1:5" x14ac:dyDescent="0.3">
      <c r="A1803" t="s">
        <v>7485</v>
      </c>
      <c r="E1803" s="18"/>
    </row>
    <row r="1804" spans="1:5" x14ac:dyDescent="0.3">
      <c r="A1804" t="s">
        <v>7485</v>
      </c>
      <c r="E1804" s="18"/>
    </row>
    <row r="1805" spans="1:5" x14ac:dyDescent="0.3">
      <c r="A1805" t="s">
        <v>7485</v>
      </c>
      <c r="E1805" s="18"/>
    </row>
    <row r="1806" spans="1:5" x14ac:dyDescent="0.3">
      <c r="A1806" t="s">
        <v>7485</v>
      </c>
      <c r="E1806" s="18"/>
    </row>
    <row r="1807" spans="1:5" x14ac:dyDescent="0.3">
      <c r="A1807" t="s">
        <v>7485</v>
      </c>
      <c r="E1807" s="18"/>
    </row>
    <row r="1808" spans="1:5" x14ac:dyDescent="0.3">
      <c r="A1808" t="s">
        <v>7485</v>
      </c>
      <c r="E1808" s="18"/>
    </row>
    <row r="1809" spans="1:5" x14ac:dyDescent="0.3">
      <c r="A1809" t="s">
        <v>7485</v>
      </c>
      <c r="E1809" s="18"/>
    </row>
    <row r="1810" spans="1:5" x14ac:dyDescent="0.3">
      <c r="A1810" t="s">
        <v>7485</v>
      </c>
      <c r="E1810" s="18"/>
    </row>
    <row r="1811" spans="1:5" x14ac:dyDescent="0.3">
      <c r="A1811" t="s">
        <v>7485</v>
      </c>
      <c r="E1811" s="18"/>
    </row>
    <row r="1812" spans="1:5" x14ac:dyDescent="0.3">
      <c r="A1812" t="s">
        <v>7485</v>
      </c>
      <c r="E1812" s="18"/>
    </row>
    <row r="1813" spans="1:5" x14ac:dyDescent="0.3">
      <c r="A1813" t="s">
        <v>7485</v>
      </c>
      <c r="E1813" s="18"/>
    </row>
    <row r="1814" spans="1:5" x14ac:dyDescent="0.3">
      <c r="A1814" t="s">
        <v>7485</v>
      </c>
      <c r="E1814" s="18"/>
    </row>
    <row r="1815" spans="1:5" x14ac:dyDescent="0.3">
      <c r="A1815" t="s">
        <v>7485</v>
      </c>
      <c r="E1815" s="18"/>
    </row>
    <row r="1816" spans="1:5" x14ac:dyDescent="0.3">
      <c r="A1816" t="s">
        <v>7485</v>
      </c>
      <c r="E1816" s="18"/>
    </row>
    <row r="1817" spans="1:5" x14ac:dyDescent="0.3">
      <c r="A1817" t="s">
        <v>7485</v>
      </c>
      <c r="E1817" s="18"/>
    </row>
    <row r="1818" spans="1:5" x14ac:dyDescent="0.3">
      <c r="A1818" t="s">
        <v>7485</v>
      </c>
      <c r="E1818" s="18"/>
    </row>
    <row r="1819" spans="1:5" x14ac:dyDescent="0.3">
      <c r="A1819" t="s">
        <v>7485</v>
      </c>
      <c r="E1819" s="18"/>
    </row>
    <row r="1820" spans="1:5" x14ac:dyDescent="0.3">
      <c r="A1820" t="s">
        <v>7485</v>
      </c>
      <c r="E1820" s="18"/>
    </row>
    <row r="1821" spans="1:5" x14ac:dyDescent="0.3">
      <c r="A1821" t="s">
        <v>7485</v>
      </c>
      <c r="E1821" s="18"/>
    </row>
    <row r="1822" spans="1:5" x14ac:dyDescent="0.3">
      <c r="A1822" t="s">
        <v>7485</v>
      </c>
      <c r="E1822" s="18"/>
    </row>
    <row r="1823" spans="1:5" x14ac:dyDescent="0.3">
      <c r="A1823" t="s">
        <v>7485</v>
      </c>
      <c r="E1823" s="18"/>
    </row>
    <row r="1824" spans="1:5" x14ac:dyDescent="0.3">
      <c r="A1824" t="s">
        <v>7485</v>
      </c>
      <c r="E1824" s="18"/>
    </row>
    <row r="1825" spans="1:5" x14ac:dyDescent="0.3">
      <c r="A1825" t="s">
        <v>7485</v>
      </c>
      <c r="E1825" s="18"/>
    </row>
    <row r="1826" spans="1:5" x14ac:dyDescent="0.3">
      <c r="A1826" t="s">
        <v>7485</v>
      </c>
      <c r="E1826" s="18"/>
    </row>
    <row r="1827" spans="1:5" x14ac:dyDescent="0.3">
      <c r="A1827" t="s">
        <v>7485</v>
      </c>
      <c r="E1827" s="18"/>
    </row>
    <row r="1828" spans="1:5" x14ac:dyDescent="0.3">
      <c r="A1828" t="s">
        <v>7485</v>
      </c>
      <c r="E1828" s="18"/>
    </row>
    <row r="1829" spans="1:5" x14ac:dyDescent="0.3">
      <c r="A1829" t="s">
        <v>7485</v>
      </c>
      <c r="E1829" s="18"/>
    </row>
    <row r="1830" spans="1:5" x14ac:dyDescent="0.3">
      <c r="A1830" t="s">
        <v>7485</v>
      </c>
      <c r="E1830" s="18"/>
    </row>
    <row r="1831" spans="1:5" x14ac:dyDescent="0.3">
      <c r="A1831" t="s">
        <v>7485</v>
      </c>
      <c r="E1831" s="18"/>
    </row>
    <row r="1832" spans="1:5" x14ac:dyDescent="0.3">
      <c r="A1832" t="s">
        <v>7485</v>
      </c>
      <c r="E1832" s="18"/>
    </row>
    <row r="1833" spans="1:5" x14ac:dyDescent="0.3">
      <c r="A1833" t="s">
        <v>7485</v>
      </c>
      <c r="E1833" s="18"/>
    </row>
    <row r="1834" spans="1:5" x14ac:dyDescent="0.3">
      <c r="A1834" t="s">
        <v>7485</v>
      </c>
      <c r="E1834" s="18"/>
    </row>
    <row r="1835" spans="1:5" x14ac:dyDescent="0.3">
      <c r="A1835" t="s">
        <v>7485</v>
      </c>
      <c r="E1835" s="18"/>
    </row>
    <row r="1836" spans="1:5" x14ac:dyDescent="0.3">
      <c r="A1836" t="s">
        <v>7485</v>
      </c>
      <c r="E1836" s="18"/>
    </row>
    <row r="1837" spans="1:5" x14ac:dyDescent="0.3">
      <c r="A1837" t="s">
        <v>7485</v>
      </c>
      <c r="E1837" s="18"/>
    </row>
    <row r="1838" spans="1:5" x14ac:dyDescent="0.3">
      <c r="A1838" t="s">
        <v>7485</v>
      </c>
      <c r="E1838" s="18"/>
    </row>
    <row r="1839" spans="1:5" x14ac:dyDescent="0.3">
      <c r="A1839" t="s">
        <v>7485</v>
      </c>
      <c r="E1839" s="18"/>
    </row>
    <row r="1840" spans="1:5" x14ac:dyDescent="0.3">
      <c r="A1840" t="s">
        <v>7485</v>
      </c>
      <c r="E1840" s="18"/>
    </row>
    <row r="1841" spans="1:5" x14ac:dyDescent="0.3">
      <c r="A1841" t="s">
        <v>7485</v>
      </c>
      <c r="E1841" s="18"/>
    </row>
    <row r="1842" spans="1:5" x14ac:dyDescent="0.3">
      <c r="A1842" t="s">
        <v>7485</v>
      </c>
      <c r="E1842" s="18"/>
    </row>
    <row r="1843" spans="1:5" x14ac:dyDescent="0.3">
      <c r="A1843" t="s">
        <v>7485</v>
      </c>
      <c r="E1843" s="18"/>
    </row>
    <row r="1844" spans="1:5" x14ac:dyDescent="0.3">
      <c r="A1844" t="s">
        <v>7485</v>
      </c>
      <c r="E1844" s="18"/>
    </row>
    <row r="1845" spans="1:5" x14ac:dyDescent="0.3">
      <c r="A1845" t="s">
        <v>7485</v>
      </c>
      <c r="E1845" s="18"/>
    </row>
    <row r="1846" spans="1:5" x14ac:dyDescent="0.3">
      <c r="A1846" t="s">
        <v>7485</v>
      </c>
      <c r="E1846" s="18"/>
    </row>
    <row r="1847" spans="1:5" x14ac:dyDescent="0.3">
      <c r="A1847" t="s">
        <v>7485</v>
      </c>
      <c r="E1847" s="18"/>
    </row>
    <row r="1848" spans="1:5" x14ac:dyDescent="0.3">
      <c r="A1848" t="s">
        <v>7485</v>
      </c>
      <c r="E1848" s="18"/>
    </row>
    <row r="1849" spans="1:5" x14ac:dyDescent="0.3">
      <c r="A1849" t="s">
        <v>7485</v>
      </c>
      <c r="E1849" s="18"/>
    </row>
    <row r="1850" spans="1:5" x14ac:dyDescent="0.3">
      <c r="A1850" t="s">
        <v>7485</v>
      </c>
      <c r="E1850" s="18"/>
    </row>
    <row r="1851" spans="1:5" x14ac:dyDescent="0.3">
      <c r="A1851" t="s">
        <v>7485</v>
      </c>
      <c r="E1851" s="18"/>
    </row>
    <row r="1852" spans="1:5" x14ac:dyDescent="0.3">
      <c r="A1852" t="s">
        <v>7485</v>
      </c>
      <c r="E1852" s="18"/>
    </row>
    <row r="1853" spans="1:5" x14ac:dyDescent="0.3">
      <c r="A1853" t="s">
        <v>7485</v>
      </c>
      <c r="E1853" s="18"/>
    </row>
    <row r="1854" spans="1:5" x14ac:dyDescent="0.3">
      <c r="A1854" t="s">
        <v>7485</v>
      </c>
      <c r="E1854" s="18"/>
    </row>
    <row r="1855" spans="1:5" x14ac:dyDescent="0.3">
      <c r="A1855" t="s">
        <v>7485</v>
      </c>
      <c r="E1855" s="18"/>
    </row>
    <row r="1856" spans="1:5" x14ac:dyDescent="0.3">
      <c r="A1856" t="s">
        <v>7485</v>
      </c>
      <c r="E1856" s="18"/>
    </row>
    <row r="1857" spans="1:5" x14ac:dyDescent="0.3">
      <c r="A1857" t="s">
        <v>7485</v>
      </c>
      <c r="E1857" s="18"/>
    </row>
    <row r="1858" spans="1:5" x14ac:dyDescent="0.3">
      <c r="A1858" t="s">
        <v>7485</v>
      </c>
      <c r="E1858" s="18"/>
    </row>
    <row r="1859" spans="1:5" x14ac:dyDescent="0.3">
      <c r="A1859" t="s">
        <v>7485</v>
      </c>
      <c r="E1859" s="18"/>
    </row>
    <row r="1860" spans="1:5" x14ac:dyDescent="0.3">
      <c r="A1860" t="s">
        <v>7485</v>
      </c>
      <c r="E1860" s="18"/>
    </row>
    <row r="1861" spans="1:5" x14ac:dyDescent="0.3">
      <c r="A1861" t="s">
        <v>7485</v>
      </c>
      <c r="E1861" s="18"/>
    </row>
    <row r="1862" spans="1:5" x14ac:dyDescent="0.3">
      <c r="A1862" t="s">
        <v>7485</v>
      </c>
      <c r="E1862" s="18"/>
    </row>
    <row r="1863" spans="1:5" x14ac:dyDescent="0.3">
      <c r="A1863" t="s">
        <v>7485</v>
      </c>
      <c r="E1863" s="18"/>
    </row>
    <row r="1864" spans="1:5" x14ac:dyDescent="0.3">
      <c r="A1864" t="s">
        <v>7485</v>
      </c>
      <c r="E1864" s="18"/>
    </row>
    <row r="1865" spans="1:5" x14ac:dyDescent="0.3">
      <c r="A1865" t="s">
        <v>7485</v>
      </c>
      <c r="E1865" s="18"/>
    </row>
    <row r="1866" spans="1:5" x14ac:dyDescent="0.3">
      <c r="A1866" t="s">
        <v>7485</v>
      </c>
      <c r="E1866" s="18"/>
    </row>
    <row r="1867" spans="1:5" x14ac:dyDescent="0.3">
      <c r="A1867" t="s">
        <v>7485</v>
      </c>
      <c r="E1867" s="18"/>
    </row>
    <row r="1868" spans="1:5" x14ac:dyDescent="0.3">
      <c r="A1868" t="s">
        <v>7485</v>
      </c>
      <c r="E1868" s="18"/>
    </row>
    <row r="1869" spans="1:5" x14ac:dyDescent="0.3">
      <c r="A1869" t="s">
        <v>7485</v>
      </c>
      <c r="E1869" s="18"/>
    </row>
    <row r="1870" spans="1:5" x14ac:dyDescent="0.3">
      <c r="A1870" t="s">
        <v>7485</v>
      </c>
      <c r="E1870" s="18"/>
    </row>
    <row r="1871" spans="1:5" x14ac:dyDescent="0.3">
      <c r="A1871" t="s">
        <v>7485</v>
      </c>
      <c r="E1871" s="18"/>
    </row>
    <row r="1872" spans="1:5" x14ac:dyDescent="0.3">
      <c r="A1872" t="s">
        <v>7485</v>
      </c>
      <c r="E1872" s="18"/>
    </row>
    <row r="1873" spans="1:5" x14ac:dyDescent="0.3">
      <c r="A1873" t="s">
        <v>7485</v>
      </c>
      <c r="E1873" s="18"/>
    </row>
    <row r="1874" spans="1:5" x14ac:dyDescent="0.3">
      <c r="A1874" t="s">
        <v>7485</v>
      </c>
      <c r="E1874" s="18"/>
    </row>
    <row r="1875" spans="1:5" x14ac:dyDescent="0.3">
      <c r="A1875" t="s">
        <v>7485</v>
      </c>
      <c r="E1875" s="18"/>
    </row>
    <row r="1876" spans="1:5" x14ac:dyDescent="0.3">
      <c r="A1876" t="s">
        <v>7485</v>
      </c>
      <c r="E1876" s="18"/>
    </row>
    <row r="1877" spans="1:5" x14ac:dyDescent="0.3">
      <c r="A1877" t="s">
        <v>7485</v>
      </c>
      <c r="E1877" s="18"/>
    </row>
    <row r="1878" spans="1:5" x14ac:dyDescent="0.3">
      <c r="A1878" t="s">
        <v>7485</v>
      </c>
      <c r="E1878" s="18"/>
    </row>
    <row r="1879" spans="1:5" x14ac:dyDescent="0.3">
      <c r="A1879" t="s">
        <v>7485</v>
      </c>
      <c r="E1879" s="18"/>
    </row>
    <row r="1880" spans="1:5" x14ac:dyDescent="0.3">
      <c r="A1880" t="s">
        <v>7485</v>
      </c>
      <c r="E1880" s="18"/>
    </row>
    <row r="1881" spans="1:5" x14ac:dyDescent="0.3">
      <c r="A1881" t="s">
        <v>7485</v>
      </c>
      <c r="E1881" s="18"/>
    </row>
    <row r="1882" spans="1:5" x14ac:dyDescent="0.3">
      <c r="A1882" t="s">
        <v>7485</v>
      </c>
      <c r="E1882" s="18"/>
    </row>
    <row r="1883" spans="1:5" x14ac:dyDescent="0.3">
      <c r="A1883" t="s">
        <v>7485</v>
      </c>
      <c r="E1883" s="18"/>
    </row>
    <row r="1884" spans="1:5" x14ac:dyDescent="0.3">
      <c r="A1884" t="s">
        <v>7485</v>
      </c>
      <c r="E1884" s="18"/>
    </row>
    <row r="1885" spans="1:5" x14ac:dyDescent="0.3">
      <c r="A1885" t="s">
        <v>7485</v>
      </c>
      <c r="E1885" s="18"/>
    </row>
    <row r="1886" spans="1:5" x14ac:dyDescent="0.3">
      <c r="A1886" t="s">
        <v>7485</v>
      </c>
      <c r="E1886" s="18"/>
    </row>
    <row r="1887" spans="1:5" x14ac:dyDescent="0.3">
      <c r="A1887" t="s">
        <v>7485</v>
      </c>
      <c r="E1887" s="18"/>
    </row>
    <row r="1888" spans="1:5" x14ac:dyDescent="0.3">
      <c r="A1888" t="s">
        <v>7485</v>
      </c>
      <c r="E1888" s="18"/>
    </row>
    <row r="1889" spans="1:5" x14ac:dyDescent="0.3">
      <c r="A1889" t="s">
        <v>7485</v>
      </c>
      <c r="E1889" s="18"/>
    </row>
    <row r="1890" spans="1:5" x14ac:dyDescent="0.3">
      <c r="A1890" t="s">
        <v>7485</v>
      </c>
      <c r="E1890" s="18"/>
    </row>
    <row r="1891" spans="1:5" x14ac:dyDescent="0.3">
      <c r="A1891" t="s">
        <v>7485</v>
      </c>
      <c r="E1891" s="18"/>
    </row>
    <row r="1892" spans="1:5" x14ac:dyDescent="0.3">
      <c r="A1892" t="s">
        <v>7485</v>
      </c>
      <c r="E1892" s="18"/>
    </row>
    <row r="1893" spans="1:5" x14ac:dyDescent="0.3">
      <c r="A1893" t="s">
        <v>7485</v>
      </c>
      <c r="E1893" s="18"/>
    </row>
    <row r="1894" spans="1:5" x14ac:dyDescent="0.3">
      <c r="A1894" t="s">
        <v>7485</v>
      </c>
      <c r="E1894" s="18"/>
    </row>
    <row r="1895" spans="1:5" x14ac:dyDescent="0.3">
      <c r="A1895" t="s">
        <v>7485</v>
      </c>
      <c r="E1895" s="18"/>
    </row>
    <row r="1896" spans="1:5" x14ac:dyDescent="0.3">
      <c r="A1896" t="s">
        <v>7485</v>
      </c>
      <c r="E1896" s="18"/>
    </row>
    <row r="1897" spans="1:5" x14ac:dyDescent="0.3">
      <c r="A1897" t="s">
        <v>7485</v>
      </c>
      <c r="E1897" s="18"/>
    </row>
    <row r="1898" spans="1:5" x14ac:dyDescent="0.3">
      <c r="A1898" t="s">
        <v>7485</v>
      </c>
      <c r="E1898" s="18"/>
    </row>
    <row r="1899" spans="1:5" x14ac:dyDescent="0.3">
      <c r="A1899" t="s">
        <v>7485</v>
      </c>
      <c r="E1899" s="18"/>
    </row>
    <row r="1900" spans="1:5" x14ac:dyDescent="0.3">
      <c r="A1900" t="s">
        <v>7485</v>
      </c>
      <c r="E1900" s="18"/>
    </row>
    <row r="1901" spans="1:5" x14ac:dyDescent="0.3">
      <c r="A1901" t="s">
        <v>7485</v>
      </c>
      <c r="E1901" s="18"/>
    </row>
    <row r="1902" spans="1:5" x14ac:dyDescent="0.3">
      <c r="A1902" t="s">
        <v>7485</v>
      </c>
      <c r="E1902" s="18"/>
    </row>
    <row r="1903" spans="1:5" x14ac:dyDescent="0.3">
      <c r="A1903" t="s">
        <v>7485</v>
      </c>
      <c r="E1903" s="18"/>
    </row>
    <row r="1904" spans="1:5" x14ac:dyDescent="0.3">
      <c r="A1904" t="s">
        <v>7485</v>
      </c>
      <c r="E1904" s="18"/>
    </row>
    <row r="1905" spans="1:5" x14ac:dyDescent="0.3">
      <c r="A1905" t="s">
        <v>7485</v>
      </c>
      <c r="E1905" s="18"/>
    </row>
    <row r="1906" spans="1:5" x14ac:dyDescent="0.3">
      <c r="A1906" t="s">
        <v>7485</v>
      </c>
      <c r="E1906" s="18"/>
    </row>
    <row r="1907" spans="1:5" x14ac:dyDescent="0.3">
      <c r="A1907" t="s">
        <v>7485</v>
      </c>
      <c r="E1907" s="18"/>
    </row>
    <row r="1908" spans="1:5" x14ac:dyDescent="0.3">
      <c r="A1908" t="s">
        <v>7485</v>
      </c>
      <c r="E1908" s="18"/>
    </row>
    <row r="1909" spans="1:5" x14ac:dyDescent="0.3">
      <c r="A1909" t="s">
        <v>7485</v>
      </c>
      <c r="E1909" s="18"/>
    </row>
    <row r="1910" spans="1:5" x14ac:dyDescent="0.3">
      <c r="A1910" t="s">
        <v>7485</v>
      </c>
      <c r="E1910" s="18"/>
    </row>
    <row r="1911" spans="1:5" x14ac:dyDescent="0.3">
      <c r="A1911" t="s">
        <v>7485</v>
      </c>
      <c r="E1911" s="18"/>
    </row>
    <row r="1912" spans="1:5" x14ac:dyDescent="0.3">
      <c r="A1912" t="s">
        <v>7485</v>
      </c>
      <c r="E1912" s="18"/>
    </row>
    <row r="1913" spans="1:5" x14ac:dyDescent="0.3">
      <c r="A1913" t="s">
        <v>7485</v>
      </c>
      <c r="E1913" s="18"/>
    </row>
    <row r="1914" spans="1:5" x14ac:dyDescent="0.3">
      <c r="A1914" t="s">
        <v>7485</v>
      </c>
      <c r="E1914" s="18"/>
    </row>
    <row r="1915" spans="1:5" x14ac:dyDescent="0.3">
      <c r="A1915" t="s">
        <v>7485</v>
      </c>
      <c r="E1915" s="18"/>
    </row>
    <row r="1916" spans="1:5" x14ac:dyDescent="0.3">
      <c r="A1916" t="s">
        <v>7485</v>
      </c>
      <c r="E1916" s="18"/>
    </row>
    <row r="1917" spans="1:5" x14ac:dyDescent="0.3">
      <c r="A1917" t="s">
        <v>7485</v>
      </c>
      <c r="E1917" s="18"/>
    </row>
    <row r="1918" spans="1:5" x14ac:dyDescent="0.3">
      <c r="A1918" t="s">
        <v>7485</v>
      </c>
      <c r="E1918" s="18"/>
    </row>
    <row r="1919" spans="1:5" x14ac:dyDescent="0.3">
      <c r="A1919" t="s">
        <v>7485</v>
      </c>
      <c r="E1919" s="18"/>
    </row>
    <row r="1920" spans="1:5" x14ac:dyDescent="0.3">
      <c r="A1920" t="s">
        <v>7485</v>
      </c>
      <c r="E1920" s="18"/>
    </row>
    <row r="1921" spans="1:5" x14ac:dyDescent="0.3">
      <c r="A1921" t="s">
        <v>7485</v>
      </c>
      <c r="E1921" s="18"/>
    </row>
    <row r="1922" spans="1:5" x14ac:dyDescent="0.3">
      <c r="A1922" t="s">
        <v>7485</v>
      </c>
      <c r="E1922" s="18"/>
    </row>
    <row r="1923" spans="1:5" x14ac:dyDescent="0.3">
      <c r="A1923" t="s">
        <v>7485</v>
      </c>
      <c r="E1923" s="18"/>
    </row>
    <row r="1924" spans="1:5" x14ac:dyDescent="0.3">
      <c r="A1924" t="s">
        <v>7485</v>
      </c>
      <c r="E1924" s="18"/>
    </row>
    <row r="1925" spans="1:5" x14ac:dyDescent="0.3">
      <c r="A1925" t="s">
        <v>7485</v>
      </c>
      <c r="E1925" s="18"/>
    </row>
    <row r="1926" spans="1:5" x14ac:dyDescent="0.3">
      <c r="A1926" t="s">
        <v>7485</v>
      </c>
      <c r="E1926" s="18"/>
    </row>
    <row r="1927" spans="1:5" x14ac:dyDescent="0.3">
      <c r="A1927" t="s">
        <v>7485</v>
      </c>
      <c r="E1927" s="18"/>
    </row>
    <row r="1928" spans="1:5" x14ac:dyDescent="0.3">
      <c r="A1928" t="s">
        <v>7485</v>
      </c>
      <c r="E1928" s="18"/>
    </row>
    <row r="1929" spans="1:5" x14ac:dyDescent="0.3">
      <c r="A1929" t="s">
        <v>7485</v>
      </c>
      <c r="E1929" s="18"/>
    </row>
    <row r="1930" spans="1:5" x14ac:dyDescent="0.3">
      <c r="A1930" t="s">
        <v>7485</v>
      </c>
      <c r="E1930" s="18"/>
    </row>
    <row r="1931" spans="1:5" x14ac:dyDescent="0.3">
      <c r="A1931" t="s">
        <v>7485</v>
      </c>
      <c r="E1931" s="18"/>
    </row>
    <row r="1932" spans="1:5" x14ac:dyDescent="0.3">
      <c r="A1932" t="s">
        <v>7485</v>
      </c>
      <c r="E1932" s="18"/>
    </row>
    <row r="1933" spans="1:5" x14ac:dyDescent="0.3">
      <c r="A1933" t="s">
        <v>7485</v>
      </c>
      <c r="E1933" s="18"/>
    </row>
    <row r="1934" spans="1:5" x14ac:dyDescent="0.3">
      <c r="A1934" t="s">
        <v>7485</v>
      </c>
      <c r="E1934" s="18"/>
    </row>
    <row r="1935" spans="1:5" x14ac:dyDescent="0.3">
      <c r="A1935" t="s">
        <v>7485</v>
      </c>
      <c r="E1935" s="18"/>
    </row>
    <row r="1936" spans="1:5" x14ac:dyDescent="0.3">
      <c r="A1936" t="s">
        <v>7485</v>
      </c>
      <c r="E1936" s="18"/>
    </row>
    <row r="1937" spans="1:5" x14ac:dyDescent="0.3">
      <c r="A1937" t="s">
        <v>7485</v>
      </c>
      <c r="E1937" s="18"/>
    </row>
    <row r="1938" spans="1:5" x14ac:dyDescent="0.3">
      <c r="A1938" t="s">
        <v>7485</v>
      </c>
      <c r="E1938" s="18"/>
    </row>
    <row r="1939" spans="1:5" x14ac:dyDescent="0.3">
      <c r="A1939" t="s">
        <v>7485</v>
      </c>
      <c r="E1939" s="18"/>
    </row>
    <row r="1940" spans="1:5" x14ac:dyDescent="0.3">
      <c r="A1940" t="s">
        <v>7485</v>
      </c>
      <c r="E1940" s="18"/>
    </row>
    <row r="1941" spans="1:5" x14ac:dyDescent="0.3">
      <c r="A1941" t="s">
        <v>7485</v>
      </c>
      <c r="E1941" s="18"/>
    </row>
    <row r="1942" spans="1:5" x14ac:dyDescent="0.3">
      <c r="A1942" t="s">
        <v>7485</v>
      </c>
      <c r="E1942" s="18"/>
    </row>
    <row r="1943" spans="1:5" x14ac:dyDescent="0.3">
      <c r="A1943" t="s">
        <v>7485</v>
      </c>
      <c r="E1943" s="18"/>
    </row>
    <row r="1944" spans="1:5" x14ac:dyDescent="0.3">
      <c r="A1944" t="s">
        <v>7485</v>
      </c>
      <c r="E1944" s="18"/>
    </row>
    <row r="1945" spans="1:5" x14ac:dyDescent="0.3">
      <c r="A1945" t="s">
        <v>7485</v>
      </c>
      <c r="E1945" s="18"/>
    </row>
    <row r="1946" spans="1:5" x14ac:dyDescent="0.3">
      <c r="A1946" t="s">
        <v>7485</v>
      </c>
      <c r="E1946" s="18"/>
    </row>
    <row r="1947" spans="1:5" x14ac:dyDescent="0.3">
      <c r="A1947" t="s">
        <v>7485</v>
      </c>
      <c r="E1947" s="18"/>
    </row>
    <row r="1948" spans="1:5" x14ac:dyDescent="0.3">
      <c r="A1948" t="s">
        <v>7485</v>
      </c>
      <c r="E1948" s="18"/>
    </row>
    <row r="1949" spans="1:5" x14ac:dyDescent="0.3">
      <c r="A1949" t="s">
        <v>7485</v>
      </c>
      <c r="E1949" s="18"/>
    </row>
    <row r="1950" spans="1:5" x14ac:dyDescent="0.3">
      <c r="A1950" t="s">
        <v>7485</v>
      </c>
      <c r="E1950" s="18"/>
    </row>
    <row r="1951" spans="1:5" x14ac:dyDescent="0.3">
      <c r="A1951" t="s">
        <v>7485</v>
      </c>
      <c r="E1951" s="18"/>
    </row>
    <row r="1952" spans="1:5" x14ac:dyDescent="0.3">
      <c r="A1952" t="s">
        <v>7485</v>
      </c>
      <c r="E1952" s="18"/>
    </row>
    <row r="1953" spans="1:5" x14ac:dyDescent="0.3">
      <c r="A1953" t="s">
        <v>7485</v>
      </c>
      <c r="E1953" s="18"/>
    </row>
    <row r="1954" spans="1:5" x14ac:dyDescent="0.3">
      <c r="A1954" t="s">
        <v>7485</v>
      </c>
      <c r="E1954" s="18"/>
    </row>
    <row r="1955" spans="1:5" x14ac:dyDescent="0.3">
      <c r="A1955" t="s">
        <v>7485</v>
      </c>
      <c r="E1955" s="18"/>
    </row>
    <row r="1956" spans="1:5" x14ac:dyDescent="0.3">
      <c r="A1956" t="s">
        <v>7485</v>
      </c>
      <c r="E1956" s="18"/>
    </row>
    <row r="1957" spans="1:5" x14ac:dyDescent="0.3">
      <c r="A1957" t="s">
        <v>7485</v>
      </c>
      <c r="E1957" s="18"/>
    </row>
    <row r="1958" spans="1:5" x14ac:dyDescent="0.3">
      <c r="A1958" t="s">
        <v>7485</v>
      </c>
      <c r="E1958" s="18"/>
    </row>
    <row r="1959" spans="1:5" x14ac:dyDescent="0.3">
      <c r="A1959" t="s">
        <v>7485</v>
      </c>
      <c r="E1959" s="18"/>
    </row>
    <row r="1960" spans="1:5" x14ac:dyDescent="0.3">
      <c r="A1960" t="s">
        <v>7485</v>
      </c>
      <c r="E1960" s="18"/>
    </row>
    <row r="1961" spans="1:5" x14ac:dyDescent="0.3">
      <c r="A1961" t="s">
        <v>7485</v>
      </c>
      <c r="E1961" s="18"/>
    </row>
    <row r="1962" spans="1:5" x14ac:dyDescent="0.3">
      <c r="A1962" t="s">
        <v>7485</v>
      </c>
      <c r="E1962" s="18"/>
    </row>
    <row r="1963" spans="1:5" x14ac:dyDescent="0.3">
      <c r="A1963" t="s">
        <v>7485</v>
      </c>
      <c r="E1963" s="18"/>
    </row>
    <row r="1964" spans="1:5" x14ac:dyDescent="0.3">
      <c r="A1964" t="s">
        <v>7485</v>
      </c>
      <c r="E1964" s="18"/>
    </row>
    <row r="1965" spans="1:5" x14ac:dyDescent="0.3">
      <c r="A1965" t="s">
        <v>7485</v>
      </c>
      <c r="E1965" s="18"/>
    </row>
    <row r="1966" spans="1:5" x14ac:dyDescent="0.3">
      <c r="A1966" t="s">
        <v>7485</v>
      </c>
      <c r="E1966" s="18"/>
    </row>
    <row r="1967" spans="1:5" x14ac:dyDescent="0.3">
      <c r="A1967" t="s">
        <v>7485</v>
      </c>
      <c r="E1967" s="18"/>
    </row>
    <row r="1968" spans="1:5" x14ac:dyDescent="0.3">
      <c r="A1968" t="s">
        <v>7485</v>
      </c>
      <c r="E1968" s="18"/>
    </row>
    <row r="1969" spans="1:5" x14ac:dyDescent="0.3">
      <c r="A1969" t="s">
        <v>7485</v>
      </c>
      <c r="E1969" s="18"/>
    </row>
    <row r="1970" spans="1:5" x14ac:dyDescent="0.3">
      <c r="A1970" t="s">
        <v>7485</v>
      </c>
      <c r="E1970" s="18"/>
    </row>
    <row r="1971" spans="1:5" x14ac:dyDescent="0.3">
      <c r="A1971" t="s">
        <v>7485</v>
      </c>
      <c r="E1971" s="18"/>
    </row>
    <row r="1972" spans="1:5" x14ac:dyDescent="0.3">
      <c r="A1972" t="s">
        <v>7485</v>
      </c>
      <c r="E1972" s="18"/>
    </row>
    <row r="1973" spans="1:5" x14ac:dyDescent="0.3">
      <c r="A1973" t="s">
        <v>7485</v>
      </c>
      <c r="E1973" s="18"/>
    </row>
    <row r="1974" spans="1:5" x14ac:dyDescent="0.3">
      <c r="A1974" t="s">
        <v>7485</v>
      </c>
      <c r="E1974" s="18"/>
    </row>
    <row r="1975" spans="1:5" x14ac:dyDescent="0.3">
      <c r="A1975" t="s">
        <v>7485</v>
      </c>
      <c r="E1975" s="18"/>
    </row>
    <row r="1976" spans="1:5" x14ac:dyDescent="0.3">
      <c r="A1976" t="s">
        <v>7485</v>
      </c>
      <c r="E1976" s="18"/>
    </row>
    <row r="1977" spans="1:5" x14ac:dyDescent="0.3">
      <c r="A1977" t="s">
        <v>7485</v>
      </c>
      <c r="E1977" s="18"/>
    </row>
    <row r="1978" spans="1:5" x14ac:dyDescent="0.3">
      <c r="A1978" t="s">
        <v>7485</v>
      </c>
      <c r="E1978" s="18"/>
    </row>
    <row r="1979" spans="1:5" x14ac:dyDescent="0.3">
      <c r="A1979" t="s">
        <v>7485</v>
      </c>
      <c r="E1979" s="18"/>
    </row>
    <row r="1980" spans="1:5" x14ac:dyDescent="0.3">
      <c r="A1980" t="s">
        <v>7485</v>
      </c>
      <c r="E1980" s="18"/>
    </row>
    <row r="1981" spans="1:5" x14ac:dyDescent="0.3">
      <c r="A1981" t="s">
        <v>7485</v>
      </c>
      <c r="E1981" s="18"/>
    </row>
    <row r="1982" spans="1:5" x14ac:dyDescent="0.3">
      <c r="A1982" t="s">
        <v>7485</v>
      </c>
      <c r="E1982" s="18"/>
    </row>
    <row r="1983" spans="1:5" x14ac:dyDescent="0.3">
      <c r="A1983" t="s">
        <v>7485</v>
      </c>
      <c r="E1983" s="18"/>
    </row>
    <row r="1984" spans="1:5" x14ac:dyDescent="0.3">
      <c r="A1984" t="s">
        <v>7485</v>
      </c>
      <c r="E1984" s="18"/>
    </row>
    <row r="1985" spans="1:5" x14ac:dyDescent="0.3">
      <c r="A1985" t="s">
        <v>7485</v>
      </c>
      <c r="E1985" s="18"/>
    </row>
    <row r="1986" spans="1:5" x14ac:dyDescent="0.3">
      <c r="A1986" t="s">
        <v>7485</v>
      </c>
      <c r="E1986" s="18"/>
    </row>
    <row r="1987" spans="1:5" x14ac:dyDescent="0.3">
      <c r="A1987" t="s">
        <v>7485</v>
      </c>
      <c r="E1987" s="18"/>
    </row>
    <row r="1988" spans="1:5" x14ac:dyDescent="0.3">
      <c r="A1988" t="s">
        <v>7485</v>
      </c>
      <c r="E1988" s="18"/>
    </row>
    <row r="1989" spans="1:5" x14ac:dyDescent="0.3">
      <c r="A1989" t="s">
        <v>7485</v>
      </c>
      <c r="E1989" s="18"/>
    </row>
    <row r="1990" spans="1:5" x14ac:dyDescent="0.3">
      <c r="A1990" t="s">
        <v>7485</v>
      </c>
      <c r="E1990" s="18"/>
    </row>
    <row r="1991" spans="1:5" x14ac:dyDescent="0.3">
      <c r="A1991" t="s">
        <v>7485</v>
      </c>
      <c r="E1991" s="18"/>
    </row>
    <row r="1992" spans="1:5" x14ac:dyDescent="0.3">
      <c r="A1992" t="s">
        <v>7485</v>
      </c>
      <c r="E1992" s="18"/>
    </row>
    <row r="1993" spans="1:5" x14ac:dyDescent="0.3">
      <c r="A1993" t="s">
        <v>7485</v>
      </c>
      <c r="E1993" s="18"/>
    </row>
    <row r="1994" spans="1:5" x14ac:dyDescent="0.3">
      <c r="A1994" t="s">
        <v>7485</v>
      </c>
      <c r="E1994" s="18"/>
    </row>
    <row r="1995" spans="1:5" x14ac:dyDescent="0.3">
      <c r="A1995" t="s">
        <v>7485</v>
      </c>
      <c r="E1995" s="18"/>
    </row>
    <row r="1996" spans="1:5" x14ac:dyDescent="0.3">
      <c r="A1996" t="s">
        <v>7485</v>
      </c>
      <c r="E1996" s="18"/>
    </row>
    <row r="1997" spans="1:5" x14ac:dyDescent="0.3">
      <c r="A1997" t="s">
        <v>7485</v>
      </c>
      <c r="E1997" s="18"/>
    </row>
    <row r="1998" spans="1:5" x14ac:dyDescent="0.3">
      <c r="A1998" t="s">
        <v>7485</v>
      </c>
      <c r="E1998" s="18"/>
    </row>
    <row r="1999" spans="1:5" x14ac:dyDescent="0.3">
      <c r="E1999" s="18"/>
    </row>
    <row r="2000" spans="1:5" x14ac:dyDescent="0.3">
      <c r="E2000" s="18"/>
    </row>
    <row r="2001" spans="5:5" x14ac:dyDescent="0.3">
      <c r="E2001" s="18"/>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E6B8FFEE53D1A4EBBAA60515DF0F8B6" ma:contentTypeVersion="11" ma:contentTypeDescription="Create a new document." ma:contentTypeScope="" ma:versionID="0bc4e2bc57cb260ff6c4a6672b7ca19b">
  <xsd:schema xmlns:xsd="http://www.w3.org/2001/XMLSchema" xmlns:xs="http://www.w3.org/2001/XMLSchema" xmlns:p="http://schemas.microsoft.com/office/2006/metadata/properties" xmlns:ns2="08d3c339-4e68-4dcc-817d-7ac4993162d4" targetNamespace="http://schemas.microsoft.com/office/2006/metadata/properties" ma:root="true" ma:fieldsID="b281c7a6ec5cd0c978182d0f9f5d4ee2" ns2:_="">
    <xsd:import namespace="08d3c339-4e68-4dcc-817d-7ac4993162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d3c339-4e68-4dcc-817d-7ac4993162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39596d4-420b-4dce-b359-5955683061d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08d3c339-4e68-4dcc-817d-7ac4993162d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6DF51E8-AEA5-4FB1-92B5-3E45E9B8C9B6}">
  <ds:schemaRefs>
    <ds:schemaRef ds:uri="http://schemas.microsoft.com/DataMashup"/>
  </ds:schemaRefs>
</ds:datastoreItem>
</file>

<file path=customXml/itemProps2.xml><?xml version="1.0" encoding="utf-8"?>
<ds:datastoreItem xmlns:ds="http://schemas.openxmlformats.org/officeDocument/2006/customXml" ds:itemID="{48555185-2BE6-4D84-B59C-A6F9482AAA01}">
  <ds:schemaRefs>
    <ds:schemaRef ds:uri="http://schemas.microsoft.com/sharepoint/v3/contenttype/forms"/>
  </ds:schemaRefs>
</ds:datastoreItem>
</file>

<file path=customXml/itemProps3.xml><?xml version="1.0" encoding="utf-8"?>
<ds:datastoreItem xmlns:ds="http://schemas.openxmlformats.org/officeDocument/2006/customXml" ds:itemID="{4EC531B2-C385-4BEF-B245-4C0770401A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d3c339-4e68-4dcc-817d-7ac4993162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3446914-6BE7-451C-8DA0-1E5CCA63BC27}">
  <ds:schemaRefs>
    <ds:schemaRef ds:uri="http://schemas.microsoft.com/office/2006/metadata/properties"/>
    <ds:schemaRef ds:uri="http://schemas.microsoft.com/office/infopath/2007/PartnerControls"/>
    <ds:schemaRef ds:uri="08d3c339-4e68-4dcc-817d-7ac4993162d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21</vt:i4>
      </vt:variant>
      <vt:variant>
        <vt:lpstr>Intervalos Nomeados</vt:lpstr>
      </vt:variant>
      <vt:variant>
        <vt:i4>3</vt:i4>
      </vt:variant>
    </vt:vector>
  </HeadingPairs>
  <TitlesOfParts>
    <vt:vector size="24" baseType="lpstr">
      <vt:lpstr>Colaboradores</vt:lpstr>
      <vt:lpstr>Analises</vt:lpstr>
      <vt:lpstr>Declaração salário</vt:lpstr>
      <vt:lpstr>TotalHorasAjustadas (2)</vt:lpstr>
      <vt:lpstr>Tarifas dezembro att</vt:lpstr>
      <vt:lpstr>Informações</vt:lpstr>
      <vt:lpstr>Confirmaçoes</vt:lpstr>
      <vt:lpstr>Hoja1</vt:lpstr>
      <vt:lpstr>Kotrik Industrial</vt:lpstr>
      <vt:lpstr>Kotrik Rosas</vt:lpstr>
      <vt:lpstr>Wiseowe</vt:lpstr>
      <vt:lpstr>Luminous</vt:lpstr>
      <vt:lpstr>Adiantamentos</vt:lpstr>
      <vt:lpstr>Outros descontos</vt:lpstr>
      <vt:lpstr>Alojamentos</vt:lpstr>
      <vt:lpstr>Carro</vt:lpstr>
      <vt:lpstr>Altas Rosas</vt:lpstr>
      <vt:lpstr>Altas Luminous</vt:lpstr>
      <vt:lpstr>Altas Wiseowe</vt:lpstr>
      <vt:lpstr>Altas Industrial</vt:lpstr>
      <vt:lpstr>Iban</vt:lpstr>
      <vt:lpstr>Analises!Area_de_impressao</vt:lpstr>
      <vt:lpstr>'Declaração salário'!Area_de_impressao</vt:lpstr>
      <vt:lpstr>Informações!Area_de_impressao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Brenda Javorski</dc:creator>
  <cp:keywords/>
  <dc:description/>
  <cp:lastModifiedBy>Valter</cp:lastModifiedBy>
  <cp:revision/>
  <dcterms:created xsi:type="dcterms:W3CDTF">2025-06-10T15:27:03Z</dcterms:created>
  <dcterms:modified xsi:type="dcterms:W3CDTF">2026-03-07T19:13:09Z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0x0101004E6B8FFEE53D1A4EBBAA60515DF0F8B6</vt:lpwstr>
  </property>
</Properties>
</file>