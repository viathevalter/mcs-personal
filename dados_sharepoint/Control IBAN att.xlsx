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va\Downloads\"/>
    </mc:Choice>
  </mc:AlternateContent>
  <xr:revisionPtr revIDLastSave="0" documentId="13_ncr:1_{CC06F3D9-ED1F-4B39-9624-B922009CCD0C}" xr6:coauthVersionLast="47" xr6:coauthVersionMax="47" xr10:uidLastSave="{00000000-0000-0000-0000-000000000000}"/>
  <bookViews>
    <workbookView xWindow="-108" yWindow="-108" windowWidth="23256" windowHeight="12456" activeTab="1" xr2:uid="{297D9A20-9BDC-4B74-8D14-2ECF34193C7D}"/>
  </bookViews>
  <sheets>
    <sheet name="Informaciones" sheetId="4" r:id="rId1"/>
    <sheet name="Control General" sheetId="1" r:id="rId2"/>
    <sheet name="Colaborador ID" sheetId="6" state="hidden" r:id="rId3"/>
  </sheets>
  <definedNames>
    <definedName name="DatosExternos_1" localSheetId="2" hidden="1">'Colaborador ID'!$B$1:$C$1989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34" i="1" l="1"/>
  <c r="B74" i="1"/>
  <c r="G7" i="4" l="1" a="1"/>
  <c r="G7" i="4" s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264" i="1"/>
  <c r="B241" i="1"/>
  <c r="B95" i="1"/>
  <c r="B1337" i="1"/>
  <c r="B1029" i="1"/>
  <c r="B705" i="1"/>
  <c r="B158" i="1"/>
  <c r="B1217" i="1"/>
  <c r="B1175" i="1"/>
  <c r="B1026" i="1"/>
  <c r="B822" i="1"/>
  <c r="B786" i="1"/>
  <c r="B684" i="1"/>
  <c r="B380" i="1"/>
  <c r="B994" i="1"/>
  <c r="B1156" i="1"/>
  <c r="B907" i="1"/>
  <c r="B108" i="1"/>
  <c r="B226" i="1"/>
  <c r="B25" i="1"/>
  <c r="B24" i="1"/>
  <c r="B1453" i="1"/>
  <c r="B1444" i="1"/>
  <c r="B1438" i="1"/>
  <c r="B1280" i="1"/>
  <c r="B1247" i="1"/>
  <c r="B1063" i="1"/>
  <c r="B977" i="1"/>
  <c r="B967" i="1"/>
  <c r="B906" i="1"/>
  <c r="B899" i="1"/>
  <c r="B861" i="1"/>
  <c r="B693" i="1"/>
  <c r="B685" i="1"/>
  <c r="B567" i="1"/>
  <c r="B471" i="1"/>
  <c r="B217" i="1"/>
  <c r="B110" i="1"/>
  <c r="B953" i="1"/>
  <c r="B538" i="1"/>
  <c r="B151" i="1"/>
  <c r="B1020" i="1"/>
  <c r="B1373" i="1"/>
  <c r="B133" i="1"/>
  <c r="B521" i="1"/>
  <c r="B44" i="1"/>
  <c r="B1210" i="1"/>
  <c r="B197" i="1"/>
  <c r="B1261" i="1"/>
  <c r="B316" i="1"/>
  <c r="B1133" i="1"/>
  <c r="B308" i="1"/>
  <c r="B50" i="1"/>
  <c r="B569" i="1"/>
  <c r="B78" i="1"/>
  <c r="B577" i="1"/>
  <c r="B1324" i="1"/>
  <c r="B1463" i="1"/>
  <c r="B456" i="1"/>
  <c r="B867" i="1"/>
  <c r="B765" i="1"/>
  <c r="B1040" i="1"/>
  <c r="A4" i="1" a="1"/>
  <c r="A4" i="1" s="1"/>
  <c r="B913" i="1" l="1"/>
  <c r="B282" i="1"/>
  <c r="B1287" i="1"/>
  <c r="B203" i="1"/>
  <c r="B1305" i="1"/>
  <c r="B1072" i="1"/>
  <c r="B1214" i="1"/>
  <c r="B181" i="1"/>
  <c r="B1155" i="1"/>
  <c r="B1419" i="1"/>
  <c r="B136" i="1"/>
  <c r="B1078" i="1"/>
  <c r="B1016" i="1"/>
  <c r="B1422" i="1"/>
  <c r="B1262" i="1"/>
  <c r="B1452" i="1"/>
  <c r="B830" i="1"/>
  <c r="B925" i="1"/>
  <c r="B1128" i="1"/>
  <c r="B1413" i="1"/>
  <c r="B714" i="1"/>
  <c r="B922" i="1"/>
  <c r="B1276" i="1"/>
  <c r="B491" i="1"/>
  <c r="B170" i="1"/>
  <c r="B1151" i="1"/>
  <c r="B429" i="1"/>
  <c r="B568" i="1"/>
  <c r="B607" i="1"/>
  <c r="B1236" i="1"/>
  <c r="B335" i="1"/>
  <c r="B944" i="1"/>
  <c r="B1061" i="1"/>
  <c r="B1058" i="1"/>
  <c r="B523" i="1"/>
  <c r="B400" i="1"/>
  <c r="B673" i="1"/>
  <c r="B833" i="1"/>
  <c r="B476" i="1"/>
  <c r="B155" i="1"/>
  <c r="B434" i="1"/>
  <c r="B1245" i="1"/>
  <c r="B1459" i="1"/>
  <c r="B553" i="1"/>
  <c r="B390" i="1"/>
  <c r="B369" i="1"/>
  <c r="B604" i="1"/>
  <c r="B345" i="1"/>
  <c r="B776" i="1"/>
  <c r="B884" i="1"/>
  <c r="B257" i="1"/>
  <c r="B851" i="1"/>
  <c r="B1404" i="1"/>
  <c r="B629" i="1"/>
  <c r="B550" i="1"/>
  <c r="B937" i="1"/>
  <c r="B439" i="1"/>
  <c r="B160" i="1"/>
  <c r="B214" i="1"/>
  <c r="B945" i="1"/>
  <c r="B1084" i="1"/>
  <c r="B1228" i="1"/>
  <c r="B402" i="1"/>
  <c r="B52" i="1"/>
  <c r="B527" i="1"/>
  <c r="B921" i="1"/>
  <c r="B255" i="1"/>
  <c r="B635" i="1"/>
  <c r="B1378" i="1"/>
  <c r="B207" i="1"/>
  <c r="B736" i="1"/>
  <c r="B438" i="1"/>
  <c r="B758" i="1"/>
  <c r="B975" i="1"/>
  <c r="B508" i="1"/>
  <c r="B211" i="1"/>
  <c r="B449" i="1"/>
  <c r="B233" i="1"/>
  <c r="B1283" i="1"/>
  <c r="B1314" i="1"/>
  <c r="B754" i="1"/>
  <c r="B1310" i="1"/>
  <c r="B362" i="1"/>
  <c r="B274" i="1"/>
  <c r="B1013" i="1"/>
  <c r="B132" i="1"/>
  <c r="B1075" i="1"/>
  <c r="B688" i="1"/>
  <c r="B79" i="1"/>
  <c r="B310" i="1"/>
  <c r="B1008" i="1"/>
  <c r="B570" i="1"/>
  <c r="B1039" i="1"/>
  <c r="B142" i="1"/>
  <c r="B656" i="1"/>
  <c r="B205" i="1"/>
  <c r="B1163" i="1"/>
  <c r="B1371" i="1"/>
  <c r="B86" i="1"/>
  <c r="B330" i="1"/>
  <c r="B1326" i="1"/>
  <c r="B1054" i="1"/>
  <c r="B1338" i="1"/>
  <c r="B616" i="1"/>
  <c r="B1018" i="1"/>
  <c r="B495" i="1"/>
  <c r="B5" i="1"/>
  <c r="B1177" i="1"/>
  <c r="B716" i="1"/>
  <c r="B991" i="1"/>
  <c r="B854" i="1"/>
  <c r="B875" i="1"/>
  <c r="B687" i="1"/>
  <c r="B1407" i="1"/>
  <c r="B472" i="1"/>
  <c r="B1402" i="1"/>
  <c r="B376" i="1"/>
  <c r="B477" i="1"/>
  <c r="B934" i="1"/>
  <c r="B232" i="1"/>
  <c r="B999" i="1"/>
  <c r="B314" i="1"/>
  <c r="B832" i="1"/>
  <c r="B1274" i="1"/>
  <c r="B1321" i="1"/>
  <c r="B69" i="1"/>
  <c r="B177" i="1"/>
  <c r="B1179" i="1"/>
  <c r="B153" i="1"/>
  <c r="B1103" i="1"/>
  <c r="B955" i="1"/>
  <c r="B1057" i="1"/>
  <c r="B872" i="1"/>
  <c r="B1045" i="1"/>
  <c r="B1412" i="1"/>
  <c r="B661" i="1"/>
  <c r="B448" i="1"/>
  <c r="B186" i="1"/>
  <c r="B737" i="1"/>
  <c r="B344" i="1"/>
  <c r="B1250" i="1" l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6" i="1"/>
  <c r="B27" i="1"/>
  <c r="B28" i="1"/>
  <c r="B29" i="1"/>
  <c r="B31" i="1"/>
  <c r="B32" i="1"/>
  <c r="B33" i="1"/>
  <c r="B34" i="1"/>
  <c r="B35" i="1"/>
  <c r="B36" i="1"/>
  <c r="B38" i="1"/>
  <c r="B39" i="1"/>
  <c r="B40" i="1"/>
  <c r="B41" i="1"/>
  <c r="B42" i="1"/>
  <c r="B43" i="1"/>
  <c r="B45" i="1"/>
  <c r="B46" i="1"/>
  <c r="B47" i="1"/>
  <c r="B48" i="1"/>
  <c r="B49" i="1"/>
  <c r="B51" i="1"/>
  <c r="B53" i="1"/>
  <c r="B54" i="1"/>
  <c r="B55" i="1"/>
  <c r="B56" i="1"/>
  <c r="B57" i="1"/>
  <c r="B58" i="1"/>
  <c r="B59" i="1"/>
  <c r="B61" i="1"/>
  <c r="B62" i="1"/>
  <c r="B63" i="1"/>
  <c r="B64" i="1"/>
  <c r="B65" i="1"/>
  <c r="B66" i="1"/>
  <c r="B67" i="1"/>
  <c r="B68" i="1"/>
  <c r="B70" i="1"/>
  <c r="B71" i="1"/>
  <c r="B75" i="1"/>
  <c r="B76" i="1"/>
  <c r="B77" i="1"/>
  <c r="B80" i="1"/>
  <c r="B81" i="1"/>
  <c r="B82" i="1"/>
  <c r="B83" i="1"/>
  <c r="B84" i="1"/>
  <c r="B85" i="1"/>
  <c r="B87" i="1"/>
  <c r="B88" i="1"/>
  <c r="B89" i="1"/>
  <c r="B90" i="1"/>
  <c r="B91" i="1"/>
  <c r="B92" i="1"/>
  <c r="B93" i="1"/>
  <c r="B94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11" i="1"/>
  <c r="B113" i="1"/>
  <c r="B114" i="1"/>
  <c r="B117" i="1"/>
  <c r="B119" i="1"/>
  <c r="B120" i="1"/>
  <c r="B121" i="1"/>
  <c r="B123" i="1"/>
  <c r="B124" i="1"/>
  <c r="B125" i="1"/>
  <c r="B126" i="1"/>
  <c r="B127" i="1"/>
  <c r="B128" i="1"/>
  <c r="B129" i="1"/>
  <c r="B130" i="1"/>
  <c r="B131" i="1"/>
  <c r="B134" i="1"/>
  <c r="B135" i="1"/>
  <c r="B137" i="1"/>
  <c r="B139" i="1"/>
  <c r="B140" i="1"/>
  <c r="B141" i="1"/>
  <c r="B143" i="1"/>
  <c r="B145" i="1"/>
  <c r="B146" i="1"/>
  <c r="B147" i="1"/>
  <c r="B148" i="1"/>
  <c r="B149" i="1"/>
  <c r="B150" i="1"/>
  <c r="B152" i="1"/>
  <c r="B154" i="1"/>
  <c r="B156" i="1"/>
  <c r="B157" i="1"/>
  <c r="B159" i="1"/>
  <c r="B161" i="1"/>
  <c r="B162" i="1"/>
  <c r="B164" i="1"/>
  <c r="B165" i="1"/>
  <c r="B166" i="1"/>
  <c r="B167" i="1"/>
  <c r="B168" i="1"/>
  <c r="B169" i="1"/>
  <c r="B171" i="1"/>
  <c r="B172" i="1"/>
  <c r="B173" i="1"/>
  <c r="B174" i="1"/>
  <c r="B175" i="1"/>
  <c r="B178" i="1"/>
  <c r="B179" i="1"/>
  <c r="B180" i="1"/>
  <c r="B182" i="1"/>
  <c r="B184" i="1"/>
  <c r="B185" i="1"/>
  <c r="B187" i="1"/>
  <c r="B188" i="1"/>
  <c r="B189" i="1"/>
  <c r="B190" i="1"/>
  <c r="B191" i="1"/>
  <c r="B192" i="1"/>
  <c r="B193" i="1"/>
  <c r="B194" i="1"/>
  <c r="B195" i="1"/>
  <c r="B196" i="1"/>
  <c r="B200" i="1"/>
  <c r="B201" i="1"/>
  <c r="B202" i="1"/>
  <c r="B204" i="1"/>
  <c r="B206" i="1"/>
  <c r="B208" i="1"/>
  <c r="B210" i="1"/>
  <c r="B212" i="1"/>
  <c r="B213" i="1"/>
  <c r="B215" i="1"/>
  <c r="B216" i="1"/>
  <c r="B218" i="1"/>
  <c r="B219" i="1"/>
  <c r="B220" i="1"/>
  <c r="B221" i="1"/>
  <c r="B222" i="1"/>
  <c r="B223" i="1"/>
  <c r="B224" i="1"/>
  <c r="B227" i="1"/>
  <c r="B228" i="1"/>
  <c r="B229" i="1"/>
  <c r="B230" i="1"/>
  <c r="B234" i="1"/>
  <c r="B235" i="1"/>
  <c r="B236" i="1"/>
  <c r="B237" i="1"/>
  <c r="B238" i="1"/>
  <c r="B239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8" i="1"/>
  <c r="B259" i="1"/>
  <c r="B260" i="1"/>
  <c r="B261" i="1"/>
  <c r="B262" i="1"/>
  <c r="B263" i="1"/>
  <c r="B265" i="1"/>
  <c r="B266" i="1"/>
  <c r="B267" i="1"/>
  <c r="B268" i="1"/>
  <c r="B270" i="1"/>
  <c r="B271" i="1"/>
  <c r="B272" i="1"/>
  <c r="B273" i="1"/>
  <c r="B277" i="1"/>
  <c r="B278" i="1"/>
  <c r="B279" i="1"/>
  <c r="B280" i="1"/>
  <c r="B281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5" i="1"/>
  <c r="B306" i="1"/>
  <c r="B307" i="1"/>
  <c r="B309" i="1"/>
  <c r="B311" i="1"/>
  <c r="B313" i="1"/>
  <c r="B315" i="1"/>
  <c r="B319" i="1"/>
  <c r="B320" i="1"/>
  <c r="B321" i="1"/>
  <c r="B322" i="1"/>
  <c r="B324" i="1"/>
  <c r="B325" i="1"/>
  <c r="B326" i="1"/>
  <c r="B327" i="1"/>
  <c r="B328" i="1"/>
  <c r="B329" i="1"/>
  <c r="B331" i="1"/>
  <c r="B332" i="1"/>
  <c r="B333" i="1"/>
  <c r="B334" i="1"/>
  <c r="B336" i="1"/>
  <c r="B337" i="1"/>
  <c r="B339" i="1"/>
  <c r="B340" i="1"/>
  <c r="B341" i="1"/>
  <c r="B342" i="1"/>
  <c r="B343" i="1"/>
  <c r="B346" i="1"/>
  <c r="B347" i="1"/>
  <c r="B348" i="1"/>
  <c r="B349" i="1"/>
  <c r="B350" i="1"/>
  <c r="B351" i="1"/>
  <c r="B353" i="1"/>
  <c r="B354" i="1"/>
  <c r="B355" i="1"/>
  <c r="B356" i="1"/>
  <c r="B357" i="1"/>
  <c r="B358" i="1"/>
  <c r="B360" i="1"/>
  <c r="B361" i="1"/>
  <c r="B363" i="1"/>
  <c r="B365" i="1"/>
  <c r="B366" i="1"/>
  <c r="B367" i="1"/>
  <c r="B370" i="1"/>
  <c r="B371" i="1"/>
  <c r="B372" i="1"/>
  <c r="B373" i="1"/>
  <c r="B374" i="1"/>
  <c r="B377" i="1"/>
  <c r="B378" i="1"/>
  <c r="B379" i="1"/>
  <c r="B381" i="1"/>
  <c r="B382" i="1"/>
  <c r="B384" i="1"/>
  <c r="B385" i="1"/>
  <c r="B386" i="1"/>
  <c r="B387" i="1"/>
  <c r="B388" i="1"/>
  <c r="B389" i="1"/>
  <c r="B391" i="1"/>
  <c r="B392" i="1"/>
  <c r="B393" i="1"/>
  <c r="B394" i="1"/>
  <c r="B395" i="1"/>
  <c r="B396" i="1"/>
  <c r="B397" i="1"/>
  <c r="B398" i="1"/>
  <c r="B399" i="1"/>
  <c r="B401" i="1"/>
  <c r="B403" i="1"/>
  <c r="B404" i="1"/>
  <c r="B405" i="1"/>
  <c r="B406" i="1"/>
  <c r="B407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30" i="1"/>
  <c r="B431" i="1"/>
  <c r="B432" i="1"/>
  <c r="B433" i="1"/>
  <c r="B435" i="1"/>
  <c r="B437" i="1"/>
  <c r="B440" i="1"/>
  <c r="B441" i="1"/>
  <c r="B442" i="1"/>
  <c r="B444" i="1"/>
  <c r="B445" i="1"/>
  <c r="B447" i="1"/>
  <c r="B450" i="1"/>
  <c r="B451" i="1"/>
  <c r="B452" i="1"/>
  <c r="B453" i="1"/>
  <c r="B454" i="1"/>
  <c r="B455" i="1"/>
  <c r="B457" i="1"/>
  <c r="B458" i="1"/>
  <c r="B459" i="1"/>
  <c r="B460" i="1"/>
  <c r="B461" i="1"/>
  <c r="B463" i="1"/>
  <c r="B464" i="1"/>
  <c r="B465" i="1"/>
  <c r="B466" i="1"/>
  <c r="B467" i="1"/>
  <c r="B469" i="1"/>
  <c r="B470" i="1"/>
  <c r="B473" i="1"/>
  <c r="B474" i="1"/>
  <c r="B475" i="1"/>
  <c r="B478" i="1"/>
  <c r="B479" i="1"/>
  <c r="B480" i="1"/>
  <c r="B481" i="1"/>
  <c r="B482" i="1"/>
  <c r="B483" i="1"/>
  <c r="B484" i="1"/>
  <c r="B486" i="1"/>
  <c r="B487" i="1"/>
  <c r="B488" i="1"/>
  <c r="B489" i="1"/>
  <c r="B490" i="1"/>
  <c r="B492" i="1"/>
  <c r="B493" i="1"/>
  <c r="B494" i="1"/>
  <c r="B496" i="1"/>
  <c r="B498" i="1"/>
  <c r="B499" i="1"/>
  <c r="B500" i="1"/>
  <c r="B502" i="1"/>
  <c r="B503" i="1"/>
  <c r="B504" i="1"/>
  <c r="B505" i="1"/>
  <c r="B506" i="1"/>
  <c r="B507" i="1"/>
  <c r="B510" i="1"/>
  <c r="B511" i="1"/>
  <c r="B513" i="1"/>
  <c r="B514" i="1"/>
  <c r="B515" i="1"/>
  <c r="B516" i="1"/>
  <c r="B517" i="1"/>
  <c r="B518" i="1"/>
  <c r="B519" i="1"/>
  <c r="B520" i="1"/>
  <c r="B522" i="1"/>
  <c r="B525" i="1"/>
  <c r="B526" i="1"/>
  <c r="B528" i="1"/>
  <c r="B529" i="1"/>
  <c r="B530" i="1"/>
  <c r="B531" i="1"/>
  <c r="B532" i="1"/>
  <c r="B534" i="1"/>
  <c r="B535" i="1"/>
  <c r="B536" i="1"/>
  <c r="B537" i="1"/>
  <c r="B539" i="1"/>
  <c r="B540" i="1"/>
  <c r="B541" i="1"/>
  <c r="B542" i="1"/>
  <c r="B544" i="1"/>
  <c r="B545" i="1"/>
  <c r="B546" i="1"/>
  <c r="B547" i="1"/>
  <c r="B548" i="1"/>
  <c r="B549" i="1"/>
  <c r="B552" i="1"/>
  <c r="B554" i="1"/>
  <c r="B555" i="1"/>
  <c r="B556" i="1"/>
  <c r="B557" i="1"/>
  <c r="B558" i="1"/>
  <c r="B560" i="1"/>
  <c r="B561" i="1"/>
  <c r="B562" i="1"/>
  <c r="B563" i="1"/>
  <c r="B564" i="1"/>
  <c r="B565" i="1"/>
  <c r="B566" i="1"/>
  <c r="B572" i="1"/>
  <c r="B573" i="1"/>
  <c r="B574" i="1"/>
  <c r="B576" i="1"/>
  <c r="B578" i="1"/>
  <c r="B579" i="1"/>
  <c r="B580" i="1"/>
  <c r="B582" i="1"/>
  <c r="B583" i="1"/>
  <c r="B584" i="1"/>
  <c r="B586" i="1"/>
  <c r="B588" i="1"/>
  <c r="B590" i="1"/>
  <c r="B591" i="1"/>
  <c r="B592" i="1"/>
  <c r="B594" i="1"/>
  <c r="B595" i="1"/>
  <c r="B596" i="1"/>
  <c r="B597" i="1"/>
  <c r="B598" i="1"/>
  <c r="B599" i="1"/>
  <c r="B600" i="1"/>
  <c r="B601" i="1"/>
  <c r="B602" i="1"/>
  <c r="B603" i="1"/>
  <c r="B605" i="1"/>
  <c r="B606" i="1"/>
  <c r="B608" i="1"/>
  <c r="B609" i="1"/>
  <c r="B610" i="1"/>
  <c r="B611" i="1"/>
  <c r="B612" i="1"/>
  <c r="B613" i="1"/>
  <c r="B614" i="1"/>
  <c r="B615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30" i="1"/>
  <c r="B631" i="1"/>
  <c r="B632" i="1"/>
  <c r="B633" i="1"/>
  <c r="B636" i="1"/>
  <c r="B637" i="1"/>
  <c r="B638" i="1"/>
  <c r="B639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7" i="1"/>
  <c r="B660" i="1"/>
  <c r="B663" i="1"/>
  <c r="B664" i="1"/>
  <c r="B665" i="1"/>
  <c r="B666" i="1"/>
  <c r="B669" i="1"/>
  <c r="B670" i="1"/>
  <c r="B671" i="1"/>
  <c r="B672" i="1"/>
  <c r="B674" i="1"/>
  <c r="B675" i="1"/>
  <c r="B676" i="1"/>
  <c r="B677" i="1"/>
  <c r="B678" i="1"/>
  <c r="B679" i="1"/>
  <c r="B680" i="1"/>
  <c r="B681" i="1"/>
  <c r="B682" i="1"/>
  <c r="B683" i="1"/>
  <c r="B686" i="1"/>
  <c r="B689" i="1"/>
  <c r="B690" i="1"/>
  <c r="B691" i="1"/>
  <c r="B692" i="1"/>
  <c r="B694" i="1"/>
  <c r="B695" i="1"/>
  <c r="B696" i="1"/>
  <c r="B697" i="1"/>
  <c r="B699" i="1"/>
  <c r="B700" i="1"/>
  <c r="B701" i="1"/>
  <c r="B702" i="1"/>
  <c r="B703" i="1"/>
  <c r="B704" i="1"/>
  <c r="B706" i="1"/>
  <c r="B707" i="1"/>
  <c r="B709" i="1"/>
  <c r="B711" i="1"/>
  <c r="B712" i="1"/>
  <c r="B713" i="1"/>
  <c r="B715" i="1"/>
  <c r="B717" i="1"/>
  <c r="B718" i="1"/>
  <c r="B719" i="1"/>
  <c r="B720" i="1"/>
  <c r="B721" i="1"/>
  <c r="B722" i="1"/>
  <c r="B723" i="1"/>
  <c r="B724" i="1"/>
  <c r="B726" i="1"/>
  <c r="B727" i="1"/>
  <c r="B728" i="1"/>
  <c r="B729" i="1"/>
  <c r="B730" i="1"/>
  <c r="B731" i="1"/>
  <c r="B732" i="1"/>
  <c r="B733" i="1"/>
  <c r="B734" i="1"/>
  <c r="B738" i="1"/>
  <c r="B739" i="1"/>
  <c r="B740" i="1"/>
  <c r="B741" i="1"/>
  <c r="B742" i="1"/>
  <c r="B744" i="1"/>
  <c r="B745" i="1"/>
  <c r="B746" i="1"/>
  <c r="B747" i="1"/>
  <c r="B748" i="1"/>
  <c r="B749" i="1"/>
  <c r="B750" i="1"/>
  <c r="B752" i="1"/>
  <c r="B753" i="1"/>
  <c r="B755" i="1"/>
  <c r="B756" i="1"/>
  <c r="B757" i="1"/>
  <c r="B759" i="1"/>
  <c r="B760" i="1"/>
  <c r="B761" i="1"/>
  <c r="B762" i="1"/>
  <c r="B763" i="1"/>
  <c r="B764" i="1"/>
  <c r="B766" i="1"/>
  <c r="B767" i="1"/>
  <c r="B768" i="1"/>
  <c r="B769" i="1"/>
  <c r="B770" i="1"/>
  <c r="B771" i="1"/>
  <c r="B772" i="1"/>
  <c r="B773" i="1"/>
  <c r="B774" i="1"/>
  <c r="B777" i="1"/>
  <c r="B778" i="1"/>
  <c r="B780" i="1"/>
  <c r="B781" i="1"/>
  <c r="B782" i="1"/>
  <c r="B783" i="1"/>
  <c r="B784" i="1"/>
  <c r="B785" i="1"/>
  <c r="B787" i="1"/>
  <c r="B788" i="1"/>
  <c r="B789" i="1"/>
  <c r="B790" i="1"/>
  <c r="B792" i="1"/>
  <c r="B793" i="1"/>
  <c r="B794" i="1"/>
  <c r="B795" i="1"/>
  <c r="B798" i="1"/>
  <c r="B799" i="1"/>
  <c r="B800" i="1"/>
  <c r="B801" i="1"/>
  <c r="B802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8" i="1"/>
  <c r="B819" i="1"/>
  <c r="B821" i="1"/>
  <c r="B823" i="1"/>
  <c r="B824" i="1"/>
  <c r="B825" i="1"/>
  <c r="B826" i="1"/>
  <c r="B827" i="1"/>
  <c r="B828" i="1"/>
  <c r="B829" i="1"/>
  <c r="B831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8" i="1"/>
  <c r="B849" i="1"/>
  <c r="B850" i="1"/>
  <c r="B852" i="1"/>
  <c r="B853" i="1"/>
  <c r="B855" i="1"/>
  <c r="B856" i="1"/>
  <c r="B857" i="1"/>
  <c r="B858" i="1"/>
  <c r="B859" i="1"/>
  <c r="B860" i="1"/>
  <c r="B863" i="1"/>
  <c r="B865" i="1"/>
  <c r="B868" i="1"/>
  <c r="B869" i="1"/>
  <c r="B870" i="1"/>
  <c r="B871" i="1"/>
  <c r="B873" i="1"/>
  <c r="B877" i="1"/>
  <c r="B878" i="1"/>
  <c r="B880" i="1"/>
  <c r="B881" i="1"/>
  <c r="B883" i="1"/>
  <c r="B885" i="1"/>
  <c r="B886" i="1"/>
  <c r="B887" i="1"/>
  <c r="B888" i="1"/>
  <c r="B889" i="1"/>
  <c r="B891" i="1"/>
  <c r="B892" i="1"/>
  <c r="B893" i="1"/>
  <c r="B894" i="1"/>
  <c r="B896" i="1"/>
  <c r="B897" i="1"/>
  <c r="B898" i="1"/>
  <c r="B900" i="1"/>
  <c r="B901" i="1"/>
  <c r="B902" i="1"/>
  <c r="B903" i="1"/>
  <c r="B904" i="1"/>
  <c r="B905" i="1"/>
  <c r="B908" i="1"/>
  <c r="B909" i="1"/>
  <c r="B910" i="1"/>
  <c r="B911" i="1"/>
  <c r="B912" i="1"/>
  <c r="B914" i="1"/>
  <c r="B915" i="1"/>
  <c r="B917" i="1"/>
  <c r="B919" i="1"/>
  <c r="B920" i="1"/>
  <c r="B923" i="1"/>
  <c r="B924" i="1"/>
  <c r="B926" i="1"/>
  <c r="B927" i="1"/>
  <c r="B928" i="1"/>
  <c r="B929" i="1"/>
  <c r="B930" i="1"/>
  <c r="B931" i="1"/>
  <c r="B932" i="1"/>
  <c r="B933" i="1"/>
  <c r="B935" i="1"/>
  <c r="B936" i="1"/>
  <c r="B938" i="1"/>
  <c r="B939" i="1"/>
  <c r="B941" i="1"/>
  <c r="B942" i="1"/>
  <c r="B943" i="1"/>
  <c r="B946" i="1"/>
  <c r="B947" i="1"/>
  <c r="B948" i="1"/>
  <c r="B949" i="1"/>
  <c r="B950" i="1"/>
  <c r="B951" i="1"/>
  <c r="B952" i="1"/>
  <c r="B954" i="1"/>
  <c r="B956" i="1"/>
  <c r="B957" i="1"/>
  <c r="B958" i="1"/>
  <c r="B959" i="1"/>
  <c r="B960" i="1"/>
  <c r="B962" i="1"/>
  <c r="B963" i="1"/>
  <c r="B965" i="1"/>
  <c r="B966" i="1"/>
  <c r="B968" i="1"/>
  <c r="B969" i="1"/>
  <c r="B970" i="1"/>
  <c r="B971" i="1"/>
  <c r="B972" i="1"/>
  <c r="B973" i="1"/>
  <c r="B974" i="1"/>
  <c r="B976" i="1"/>
  <c r="B978" i="1"/>
  <c r="B979" i="1"/>
  <c r="B980" i="1"/>
  <c r="B981" i="1"/>
  <c r="B982" i="1"/>
  <c r="B984" i="1"/>
  <c r="B985" i="1"/>
  <c r="B986" i="1"/>
  <c r="B987" i="1"/>
  <c r="B989" i="1"/>
  <c r="B990" i="1"/>
  <c r="B992" i="1"/>
  <c r="B993" i="1"/>
  <c r="B995" i="1"/>
  <c r="B996" i="1"/>
  <c r="B997" i="1"/>
  <c r="B998" i="1"/>
  <c r="B1000" i="1"/>
  <c r="B1001" i="1"/>
  <c r="B1002" i="1"/>
  <c r="B1003" i="1"/>
  <c r="B1004" i="1"/>
  <c r="B1005" i="1"/>
  <c r="B1006" i="1"/>
  <c r="B1007" i="1"/>
  <c r="B1009" i="1"/>
  <c r="B1012" i="1"/>
  <c r="B1014" i="1"/>
  <c r="B1015" i="1"/>
  <c r="B1017" i="1"/>
  <c r="B1019" i="1"/>
  <c r="B1021" i="1"/>
  <c r="B1022" i="1"/>
  <c r="B1023" i="1"/>
  <c r="B1025" i="1"/>
  <c r="B1028" i="1"/>
  <c r="B1030" i="1"/>
  <c r="B1032" i="1"/>
  <c r="B1033" i="1"/>
  <c r="B1034" i="1"/>
  <c r="B1035" i="1"/>
  <c r="B1036" i="1"/>
  <c r="B1038" i="1"/>
  <c r="B1041" i="1"/>
  <c r="B1042" i="1"/>
  <c r="B1043" i="1"/>
  <c r="B1044" i="1"/>
  <c r="B1046" i="1"/>
  <c r="B1047" i="1"/>
  <c r="B1048" i="1"/>
  <c r="B1049" i="1"/>
  <c r="B1051" i="1"/>
  <c r="B1052" i="1"/>
  <c r="B1053" i="1"/>
  <c r="B1055" i="1"/>
  <c r="B1056" i="1"/>
  <c r="B1059" i="1"/>
  <c r="B1062" i="1"/>
  <c r="B1064" i="1"/>
  <c r="B1065" i="1"/>
  <c r="B1066" i="1"/>
  <c r="B1067" i="1"/>
  <c r="B1068" i="1"/>
  <c r="B1069" i="1"/>
  <c r="B1070" i="1"/>
  <c r="B1071" i="1"/>
  <c r="B1073" i="1"/>
  <c r="B1074" i="1"/>
  <c r="B1077" i="1"/>
  <c r="B1079" i="1"/>
  <c r="B1080" i="1"/>
  <c r="B1081" i="1"/>
  <c r="B1082" i="1"/>
  <c r="B1083" i="1"/>
  <c r="B1085" i="1"/>
  <c r="B1086" i="1"/>
  <c r="B1087" i="1"/>
  <c r="B1088" i="1"/>
  <c r="B1090" i="1"/>
  <c r="B1091" i="1"/>
  <c r="B1092" i="1"/>
  <c r="B1093" i="1"/>
  <c r="B1094" i="1"/>
  <c r="B1095" i="1"/>
  <c r="B1096" i="1"/>
  <c r="B1099" i="1"/>
  <c r="B1100" i="1"/>
  <c r="B1101" i="1"/>
  <c r="B1102" i="1"/>
  <c r="B1104" i="1"/>
  <c r="B1105" i="1"/>
  <c r="B1106" i="1"/>
  <c r="B1107" i="1"/>
  <c r="B1108" i="1"/>
  <c r="B1109" i="1"/>
  <c r="B1111" i="1"/>
  <c r="B1112" i="1"/>
  <c r="B1113" i="1"/>
  <c r="B1114" i="1"/>
  <c r="B1115" i="1"/>
  <c r="B1116" i="1"/>
  <c r="B1117" i="1"/>
  <c r="B1118" i="1"/>
  <c r="B1119" i="1"/>
  <c r="B1120" i="1"/>
  <c r="B1121" i="1"/>
  <c r="B1123" i="1"/>
  <c r="B1124" i="1"/>
  <c r="B1125" i="1"/>
  <c r="B1126" i="1"/>
  <c r="B1129" i="1"/>
  <c r="B1130" i="1"/>
  <c r="B1131" i="1"/>
  <c r="B1132" i="1"/>
  <c r="B1134" i="1"/>
  <c r="B1135" i="1"/>
  <c r="B1136" i="1"/>
  <c r="B1138" i="1"/>
  <c r="B1139" i="1"/>
  <c r="B1141" i="1"/>
  <c r="B1142" i="1"/>
  <c r="B1143" i="1"/>
  <c r="B1144" i="1"/>
  <c r="B1146" i="1"/>
  <c r="B1148" i="1"/>
  <c r="B1149" i="1"/>
  <c r="B1152" i="1"/>
  <c r="B1153" i="1"/>
  <c r="B1154" i="1"/>
  <c r="B1157" i="1"/>
  <c r="B1158" i="1"/>
  <c r="B1159" i="1"/>
  <c r="B1160" i="1"/>
  <c r="B1161" i="1"/>
  <c r="B1162" i="1"/>
  <c r="B1164" i="1"/>
  <c r="B1165" i="1"/>
  <c r="B1166" i="1"/>
  <c r="B1168" i="1"/>
  <c r="B1169" i="1"/>
  <c r="B1170" i="1"/>
  <c r="B1172" i="1"/>
  <c r="B1173" i="1"/>
  <c r="B1174" i="1"/>
  <c r="B1176" i="1"/>
  <c r="B1178" i="1"/>
  <c r="B1180" i="1"/>
  <c r="B1181" i="1"/>
  <c r="B1182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9" i="1"/>
  <c r="B1200" i="1"/>
  <c r="B1201" i="1"/>
  <c r="B1202" i="1"/>
  <c r="B1203" i="1"/>
  <c r="B1204" i="1"/>
  <c r="B1205" i="1"/>
  <c r="B1207" i="1"/>
  <c r="B1208" i="1"/>
  <c r="B1211" i="1"/>
  <c r="B1212" i="1"/>
  <c r="B1213" i="1"/>
  <c r="B1215" i="1"/>
  <c r="B1216" i="1"/>
  <c r="B1218" i="1"/>
  <c r="B1219" i="1"/>
  <c r="B1220" i="1"/>
  <c r="B1221" i="1"/>
  <c r="B1222" i="1"/>
  <c r="B1223" i="1"/>
  <c r="B1224" i="1"/>
  <c r="B1226" i="1"/>
  <c r="B1227" i="1"/>
  <c r="B1229" i="1"/>
  <c r="B1230" i="1"/>
  <c r="B1231" i="1"/>
  <c r="B1232" i="1"/>
  <c r="B1233" i="1"/>
  <c r="B1234" i="1"/>
  <c r="B1235" i="1"/>
  <c r="B1238" i="1"/>
  <c r="B1239" i="1"/>
  <c r="B1241" i="1"/>
  <c r="B1244" i="1"/>
  <c r="B1246" i="1"/>
  <c r="B1248" i="1"/>
  <c r="B1251" i="1"/>
  <c r="B1252" i="1"/>
  <c r="B1253" i="1"/>
  <c r="B1254" i="1"/>
  <c r="B1255" i="1"/>
  <c r="B1256" i="1"/>
  <c r="B1257" i="1"/>
  <c r="B1258" i="1"/>
  <c r="B1259" i="1"/>
  <c r="B1260" i="1"/>
  <c r="B1263" i="1"/>
  <c r="B1266" i="1"/>
  <c r="B1267" i="1"/>
  <c r="B1269" i="1"/>
  <c r="B1270" i="1"/>
  <c r="B1272" i="1"/>
  <c r="B1273" i="1"/>
  <c r="B1275" i="1"/>
  <c r="B1277" i="1"/>
  <c r="B1278" i="1"/>
  <c r="B1279" i="1"/>
  <c r="B1281" i="1"/>
  <c r="B1285" i="1"/>
  <c r="B1286" i="1"/>
  <c r="B1288" i="1"/>
  <c r="B1289" i="1"/>
  <c r="B1290" i="1"/>
  <c r="B1291" i="1"/>
  <c r="B1292" i="1"/>
  <c r="B1293" i="1"/>
  <c r="B1294" i="1"/>
  <c r="B1296" i="1"/>
  <c r="B1297" i="1"/>
  <c r="B1299" i="1"/>
  <c r="B1300" i="1"/>
  <c r="B1301" i="1"/>
  <c r="B1302" i="1"/>
  <c r="B1303" i="1"/>
  <c r="B1304" i="1"/>
  <c r="B1306" i="1"/>
  <c r="B1307" i="1"/>
  <c r="B1308" i="1"/>
  <c r="B1309" i="1"/>
  <c r="B1311" i="1"/>
  <c r="B1312" i="1"/>
  <c r="B1313" i="1"/>
  <c r="B1315" i="1"/>
  <c r="B1316" i="1"/>
  <c r="B1317" i="1"/>
  <c r="B1318" i="1"/>
  <c r="B1320" i="1"/>
  <c r="B1322" i="1"/>
  <c r="B1323" i="1"/>
  <c r="B1325" i="1"/>
  <c r="B1327" i="1"/>
  <c r="B1329" i="1"/>
  <c r="B1330" i="1"/>
  <c r="B1331" i="1"/>
  <c r="B1333" i="1"/>
  <c r="B1334" i="1"/>
  <c r="B1335" i="1"/>
  <c r="B1336" i="1"/>
  <c r="B1339" i="1"/>
  <c r="B1340" i="1"/>
  <c r="B1341" i="1"/>
  <c r="B1343" i="1"/>
  <c r="B1344" i="1"/>
  <c r="B1345" i="1"/>
  <c r="B1346" i="1"/>
  <c r="B1347" i="1"/>
  <c r="B1348" i="1"/>
  <c r="B1349" i="1"/>
  <c r="B1350" i="1"/>
  <c r="B1351" i="1"/>
  <c r="B1352" i="1"/>
  <c r="B1354" i="1"/>
  <c r="B1355" i="1"/>
  <c r="B1356" i="1"/>
  <c r="B1358" i="1"/>
  <c r="B1359" i="1"/>
  <c r="B1360" i="1"/>
  <c r="B1361" i="1"/>
  <c r="B1363" i="1"/>
  <c r="B1365" i="1"/>
  <c r="B1366" i="1"/>
  <c r="B1367" i="1"/>
  <c r="B1368" i="1"/>
  <c r="B1369" i="1"/>
  <c r="B1370" i="1"/>
  <c r="B1372" i="1"/>
  <c r="B1375" i="1"/>
  <c r="B1376" i="1"/>
  <c r="B1377" i="1"/>
  <c r="B1379" i="1"/>
  <c r="B1380" i="1"/>
  <c r="B1381" i="1"/>
  <c r="B1382" i="1"/>
  <c r="B1383" i="1"/>
  <c r="B1384" i="1"/>
  <c r="B1385" i="1"/>
  <c r="B1386" i="1"/>
  <c r="B1387" i="1"/>
  <c r="B1391" i="1"/>
  <c r="B1392" i="1"/>
  <c r="B1393" i="1"/>
  <c r="B1394" i="1"/>
  <c r="B1395" i="1"/>
  <c r="B1397" i="1"/>
  <c r="B1398" i="1"/>
  <c r="B1399" i="1"/>
  <c r="B1400" i="1"/>
  <c r="B1401" i="1"/>
  <c r="B1403" i="1"/>
  <c r="B1406" i="1"/>
  <c r="B1408" i="1"/>
  <c r="B1409" i="1"/>
  <c r="B1410" i="1"/>
  <c r="B1411" i="1"/>
  <c r="B1414" i="1"/>
  <c r="B1415" i="1"/>
  <c r="B1418" i="1"/>
  <c r="B1420" i="1"/>
  <c r="B1421" i="1"/>
  <c r="B1423" i="1"/>
  <c r="B1424" i="1"/>
  <c r="B1425" i="1"/>
  <c r="B1426" i="1"/>
  <c r="B1427" i="1"/>
  <c r="B1428" i="1"/>
  <c r="B1429" i="1"/>
  <c r="B1430" i="1"/>
  <c r="B1431" i="1"/>
  <c r="B1432" i="1"/>
  <c r="B1433" i="1"/>
  <c r="B1436" i="1"/>
  <c r="B1437" i="1"/>
  <c r="B1439" i="1"/>
  <c r="B1440" i="1"/>
  <c r="B1441" i="1"/>
  <c r="B1443" i="1"/>
  <c r="B1445" i="1"/>
  <c r="B1446" i="1"/>
  <c r="B1447" i="1"/>
  <c r="B1448" i="1"/>
  <c r="B1449" i="1"/>
  <c r="B1451" i="1"/>
  <c r="B1454" i="1"/>
  <c r="B1455" i="1"/>
  <c r="B1456" i="1"/>
  <c r="B1457" i="1"/>
  <c r="B1458" i="1"/>
  <c r="B1460" i="1"/>
  <c r="B1461" i="1"/>
  <c r="B1462" i="1"/>
  <c r="B1464" i="1"/>
  <c r="B1465" i="1"/>
  <c r="B1466" i="1"/>
  <c r="B1467" i="1"/>
  <c r="B817" i="1" l="1"/>
  <c r="B1295" i="1"/>
  <c r="B1183" i="1"/>
  <c r="B725" i="1"/>
  <c r="B1011" i="1"/>
  <c r="B462" i="1"/>
  <c r="B581" i="1"/>
  <c r="B658" i="1"/>
  <c r="B587" i="1"/>
  <c r="B820" i="1"/>
  <c r="B1242" i="1"/>
  <c r="B72" i="1"/>
  <c r="B743" i="1"/>
  <c r="B37" i="1"/>
  <c r="B571" i="1"/>
  <c r="B589" i="1"/>
  <c r="B1037" i="1"/>
  <c r="B468" i="1"/>
  <c r="B199" i="1"/>
  <c r="B485" i="1"/>
  <c r="B735" i="1"/>
  <c r="B240" i="1"/>
  <c r="B1225" i="1"/>
  <c r="B1167" i="1"/>
  <c r="B866" i="1"/>
  <c r="B1127" i="1"/>
  <c r="B879" i="1"/>
  <c r="B318" i="1"/>
  <c r="B1265" i="1"/>
  <c r="B890" i="1"/>
  <c r="B708" i="1"/>
  <c r="B1450" i="1"/>
  <c r="B304" i="1"/>
  <c r="B1388" i="1"/>
  <c r="B1098" i="1"/>
  <c r="B1405" i="1"/>
  <c r="B751" i="1"/>
  <c r="B964" i="1"/>
  <c r="B225" i="1"/>
  <c r="B1140" i="1"/>
  <c r="B575" i="1"/>
  <c r="B144" i="1"/>
  <c r="B1249" i="1"/>
  <c r="B1237" i="1"/>
  <c r="B1076" i="1"/>
  <c r="B874" i="1"/>
  <c r="B198" i="1"/>
  <c r="B559" i="1"/>
  <c r="B512" i="1"/>
  <c r="B109" i="1"/>
  <c r="B533" i="1"/>
  <c r="B1442" i="1"/>
  <c r="B1416" i="1"/>
  <c r="B1357" i="1"/>
  <c r="B895" i="1"/>
  <c r="B256" i="1"/>
  <c r="B1435" i="1"/>
  <c r="B864" i="1"/>
  <c r="B122" i="1"/>
  <c r="B1396" i="1"/>
  <c r="B1390" i="1"/>
  <c r="B1374" i="1"/>
  <c r="B1284" i="1"/>
  <c r="B1282" i="1"/>
  <c r="B1271" i="1"/>
  <c r="B1145" i="1"/>
  <c r="B1110" i="1"/>
  <c r="B1050" i="1"/>
  <c r="B988" i="1"/>
  <c r="B882" i="1"/>
  <c r="B524" i="1"/>
  <c r="B183" i="1"/>
  <c r="B667" i="1"/>
  <c r="B983" i="1"/>
  <c r="B1209" i="1"/>
  <c r="B1060" i="1"/>
  <c r="B1362" i="1"/>
  <c r="B847" i="1"/>
  <c r="B803" i="1"/>
  <c r="B593" i="1"/>
  <c r="B264" i="1"/>
  <c r="B138" i="1"/>
  <c r="B501" i="1"/>
  <c r="B118" i="1"/>
  <c r="B338" i="1"/>
  <c r="B352" i="1"/>
  <c r="B443" i="1"/>
  <c r="B364" i="1"/>
  <c r="B668" i="1"/>
  <c r="B1010" i="1"/>
  <c r="B1031" i="1"/>
  <c r="B312" i="1"/>
  <c r="B408" i="1"/>
  <c r="B1353" i="1"/>
  <c r="B1417" i="1"/>
  <c r="B276" i="1"/>
  <c r="B779" i="1"/>
  <c r="B1198" i="1"/>
  <c r="B1240" i="1"/>
  <c r="B1332" i="1"/>
  <c r="B436" i="1"/>
  <c r="B961" i="1"/>
  <c r="B209" i="1"/>
  <c r="B1147" i="1"/>
  <c r="B269" i="1"/>
  <c r="B1328" i="1"/>
  <c r="B1298" i="1"/>
  <c r="B662" i="1"/>
  <c r="B1150" i="1"/>
  <c r="B876" i="1"/>
  <c r="B775" i="1"/>
  <c r="B509" i="1"/>
  <c r="B698" i="1"/>
  <c r="B323" i="1"/>
  <c r="B1122" i="1"/>
  <c r="B375" i="1"/>
  <c r="B368" i="1"/>
  <c r="B73" i="1"/>
  <c r="B1243" i="1"/>
  <c r="B796" i="1"/>
  <c r="B710" i="1"/>
  <c r="B1097" i="1"/>
  <c r="B791" i="1"/>
  <c r="B585" i="1"/>
  <c r="B1206" i="1"/>
  <c r="B1319" i="1"/>
  <c r="B918" i="1"/>
  <c r="B551" i="1"/>
  <c r="B497" i="1"/>
  <c r="B1089" i="1"/>
  <c r="B317" i="1"/>
  <c r="B231" i="1"/>
  <c r="B640" i="1"/>
  <c r="B543" i="1"/>
  <c r="B116" i="1"/>
  <c r="B30" i="1"/>
  <c r="B1268" i="1"/>
  <c r="B446" i="1"/>
  <c r="B1389" i="1"/>
  <c r="B1364" i="1"/>
  <c r="B1342" i="1"/>
  <c r="B383" i="1"/>
  <c r="B1171" i="1"/>
  <c r="B1137" i="1"/>
  <c r="B1027" i="1"/>
  <c r="B1024" i="1"/>
  <c r="B940" i="1"/>
  <c r="B916" i="1"/>
  <c r="B862" i="1"/>
  <c r="B659" i="1"/>
  <c r="B359" i="1"/>
  <c r="B275" i="1"/>
  <c r="B176" i="1"/>
  <c r="B163" i="1"/>
  <c r="B115" i="1"/>
  <c r="B112" i="1"/>
  <c r="B634" i="1"/>
  <c r="B60" i="1"/>
  <c r="B797" i="1"/>
  <c r="B4" i="1" l="1"/>
  <c r="C9" i="4" l="1" a="1"/>
  <c r="C9" i="4" s="1"/>
  <c r="K8" i="4"/>
  <c r="N7" i="4" a="1"/>
  <c r="N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EE8723-368F-4B1A-8009-052384EE8A70}" keepAlive="1" interval="20" name="Consulta - Colaborador ID" description="Conexión a la consulta 'Colaborador ID' en el libro." type="5" refreshedVersion="8" background="1" saveData="1">
    <dbPr connection="Provider=Microsoft.Mashup.OleDb.1;Data Source=$Workbook$;Location=&quot;Colaborador ID&quot;;Extended Properties=&quot;&quot;" command="SELECT * FROM [Colaborador 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<sst xmlns="http://schemas.openxmlformats.org/spreadsheetml/2006/main" count="8251" uniqueCount="5521">
  <si>
    <t>N</t>
  </si>
  <si>
    <t>ID</t>
  </si>
  <si>
    <t>TRABAJADOR</t>
  </si>
  <si>
    <t>IBAN</t>
  </si>
  <si>
    <t>BANCO</t>
  </si>
  <si>
    <t>CERT. DE TITUL.</t>
  </si>
  <si>
    <t>FECHA ÚLTIMO CAMBIO</t>
  </si>
  <si>
    <t>DOCUM. FIRMADO</t>
  </si>
  <si>
    <t>EMPRESA</t>
  </si>
  <si>
    <t>OBSERVACIONES</t>
  </si>
  <si>
    <t>NOTAS</t>
  </si>
  <si>
    <t>ABDELFAHAM OUBOUZID</t>
  </si>
  <si>
    <t>FR76 1659 8000 0131 9171 7000 163</t>
  </si>
  <si>
    <t>NICKEL</t>
  </si>
  <si>
    <t>ABDRUBAL FONSECA RINCON</t>
  </si>
  <si>
    <t>ES16 0182 2247 0702 0167 7660</t>
  </si>
  <si>
    <t>BBVA</t>
  </si>
  <si>
    <t>ABEL ANTONIO CUESTA CIFUENTES</t>
  </si>
  <si>
    <t xml:space="preserve"> BE13 9050 1484 4239</t>
  </si>
  <si>
    <t>WISE</t>
  </si>
  <si>
    <t>ABRAHAM DAVID HOYOS ALVAREZ</t>
  </si>
  <si>
    <t>ES68 0182 0702 3702 0165 0072</t>
  </si>
  <si>
    <t>STOCCO</t>
  </si>
  <si>
    <t>ADALBERTO ARAGON GOMEZ</t>
  </si>
  <si>
    <t>BE53 9050 1170 2853</t>
  </si>
  <si>
    <t>ADILSON ESCOBAR OREJUELA</t>
  </si>
  <si>
    <t>ES71 6893 0001 7100 0030 4078</t>
  </si>
  <si>
    <t>ADRIAN CAMILO PINILLA AGUIRRE</t>
  </si>
  <si>
    <t>ES88 0182 4590 1202 0161 8527</t>
  </si>
  <si>
    <t>ADRIAN CARLOSAMA CHAVEZ</t>
  </si>
  <si>
    <t xml:space="preserve">BE31 9051 9847 6555 </t>
  </si>
  <si>
    <t>AGNER MARTINEZ CARREAZO</t>
  </si>
  <si>
    <t>ES11 0049 3121 9220 1430 8753</t>
  </si>
  <si>
    <t>SANTANDER</t>
  </si>
  <si>
    <t>PT50 0033 0000 4563 9326 4410 5</t>
  </si>
  <si>
    <t>MILLENNIUM</t>
  </si>
  <si>
    <t>ALAN FRANCISCO NAVAS DIAZ</t>
  </si>
  <si>
    <t>ES43 0182 0706 1902 0164 4996</t>
  </si>
  <si>
    <t>ALAN GERSON RAMIREZ ACARO</t>
  </si>
  <si>
    <t>ES21 1576 1212 1910 1041 2202</t>
  </si>
  <si>
    <t>BUNQ</t>
  </si>
  <si>
    <t>ALBEIRO CARDOZO HEREDIA</t>
  </si>
  <si>
    <t>ES46 0182 8151 8902 0193 8271</t>
  </si>
  <si>
    <t>ALBEIRO ENRIQUE AMOR AGUILAR</t>
  </si>
  <si>
    <t>LT85 3250 0126 1672 5392</t>
  </si>
  <si>
    <t>REVOLUT</t>
  </si>
  <si>
    <t>ALBEIRO OBANDO MICOLTA</t>
  </si>
  <si>
    <t>ES64 0182 1216 2502 0159 8939</t>
  </si>
  <si>
    <t>ALBERTO CCENHUA MICHCA</t>
  </si>
  <si>
    <t>ES92 0182 0635 5102 0163 1740</t>
  </si>
  <si>
    <t>ALBERTO DURAN</t>
  </si>
  <si>
    <t>BE86 9052 9845 3950</t>
  </si>
  <si>
    <t>ALBERTO ENRIQUE MACIAS TEHERAN</t>
  </si>
  <si>
    <t>ES25 0182 9725 8102 0029 2530</t>
  </si>
  <si>
    <t>ALBERTO ISMAEL MENDIETA CACERES</t>
  </si>
  <si>
    <t>ALBERTO LUIS MALDONADO BARRERA</t>
  </si>
  <si>
    <t>ES77 0182 0362 2502 0159 3681</t>
  </si>
  <si>
    <t>ALDO IVAN AILIO LABBE</t>
  </si>
  <si>
    <t>ES46 6893 0001 7400 0028 3429</t>
  </si>
  <si>
    <t>ALDO LUIS CHACON BALAREZO</t>
  </si>
  <si>
    <t>ES06 0182 1250 4402 0157 8825</t>
  </si>
  <si>
    <t>ALDRUMAR CABALLERO MARTINEZ</t>
  </si>
  <si>
    <t>BE72 9054 0937 0016</t>
  </si>
  <si>
    <t>ALEEX IVAN LOPEZ CUBILLOS</t>
  </si>
  <si>
    <t xml:space="preserve">ES40 6893 0001 7500 0023 4018 </t>
  </si>
  <si>
    <t>ALEJANDRO ERWIN ZAMBRANO AGUILERA</t>
  </si>
  <si>
    <t>ES58 0049 5413 5422 1609 3588</t>
  </si>
  <si>
    <t>ALEJANDRO GONZALO URIBE</t>
  </si>
  <si>
    <t>PT50 0007 0000 0078 4116 1852 3</t>
  </si>
  <si>
    <t>ALEJANDRO HERNANDEZ PIMIENTA</t>
  </si>
  <si>
    <t>BE13 9053 6734 2239</t>
  </si>
  <si>
    <t>ALEJANDRO JOSE BORJA MANGA</t>
  </si>
  <si>
    <t>ES69 0182 0043 1702 0168 0589</t>
  </si>
  <si>
    <t>ALESSANDRO SANTANA DE JESUS</t>
  </si>
  <si>
    <t>PT50 0033 0000 4558 3993 6640 5</t>
  </si>
  <si>
    <t>ALEX ALTAMAR CARMONA</t>
  </si>
  <si>
    <t>ES85 0182 8181 1502 0234 1275</t>
  </si>
  <si>
    <t>ALEX DAVID GOMEZ VILLADA</t>
  </si>
  <si>
    <t>ES71 0182 1270 9602 0166 8003</t>
  </si>
  <si>
    <t>ALEX JAVIER LEONEL OTAVO</t>
  </si>
  <si>
    <t>ES04 0182 2082 1502 0168 9129</t>
  </si>
  <si>
    <t>ALEX LUCAS SCHOROEDER</t>
  </si>
  <si>
    <t>PT50 0007 0000 0079 0352 4122 3</t>
  </si>
  <si>
    <t>NOVOBANCO</t>
  </si>
  <si>
    <t>ALEX MAURICIO CARDONA RAMIREZ</t>
  </si>
  <si>
    <t>ES86 0182 8181 1602 0234 6058</t>
  </si>
  <si>
    <t>ALEX MENDOZA ALCAZAR</t>
  </si>
  <si>
    <t xml:space="preserve">ES35 0182 5430 4702 0169 2651 </t>
  </si>
  <si>
    <t>ALEXANDER ALONSO ROMERO</t>
  </si>
  <si>
    <t>ES45 0182 5400 2702 0221 8266</t>
  </si>
  <si>
    <t>ALEXANDER ANTHONY ZAMORA ALMENDARIZ</t>
  </si>
  <si>
    <t>ES58 6893 0001 7700 0027 5112</t>
  </si>
  <si>
    <t>ALEXANDER DE LA OSSA VEGA</t>
  </si>
  <si>
    <t>ES49 0182 8181 1302 0232 8441</t>
  </si>
  <si>
    <t>ALEXANDER MANUEL LOPEZ ROJAS</t>
  </si>
  <si>
    <t>BE28 9050 2145 7720</t>
  </si>
  <si>
    <t>ALEXANDER PERAFAN GONZALEZ</t>
  </si>
  <si>
    <t>BE38 9678 7418 4372</t>
  </si>
  <si>
    <t>ALEXANDER PEREIRA HERNANDEZ</t>
  </si>
  <si>
    <t>BE56 9055 6513 9888</t>
  </si>
  <si>
    <t>ALEXANDER SUAREZ PULGAR</t>
  </si>
  <si>
    <t>ES60 0182 9050 1202 0170 3133</t>
  </si>
  <si>
    <t>ALEXANDRE BEZERRA DE OLIVEIRA</t>
  </si>
  <si>
    <t>PT50 0010 0000 6025 4850 0012 0</t>
  </si>
  <si>
    <t>BPI</t>
  </si>
  <si>
    <t>ALEXIS JESUS SUAREZ GONZALEZ</t>
  </si>
  <si>
    <t>ES60 0182 0956 5102 0178 8150</t>
  </si>
  <si>
    <t>ALFREDO ANTONIO OSPINO RANGEL</t>
  </si>
  <si>
    <t xml:space="preserve">ES60 6893 0001 7400 0033 7594 </t>
  </si>
  <si>
    <t>ALFREDO ENRIQUE RODRIGUEZ NOGUERA</t>
  </si>
  <si>
    <t>ES42 6893 0001 7900 0026 4147</t>
  </si>
  <si>
    <t>ALIRIO ORTIZ MOLINA</t>
  </si>
  <si>
    <t>BE67 9674 1303 8187</t>
  </si>
  <si>
    <t>ALISSON ANTONIO SOUSA DOS SANTOS</t>
  </si>
  <si>
    <t>PT50 0007 0000 0078 6467 7562 3</t>
  </si>
  <si>
    <t>ALONSO SOLANO GOMEZ</t>
  </si>
  <si>
    <t xml:space="preserve">ES80 0182 2620 9502 0164 8696 </t>
  </si>
  <si>
    <t>ALVARO ADRIAN GOMEZ CASTRO</t>
  </si>
  <si>
    <t>ES31 1563 2626 3032 6099 2916</t>
  </si>
  <si>
    <t>N26</t>
  </si>
  <si>
    <t>ALVARO ANDRES ARBELAEZ</t>
  </si>
  <si>
    <t>BE21 9050 5590 0703</t>
  </si>
  <si>
    <t>ALVARO ANDRES QUIÑONES ZUÑIGA</t>
  </si>
  <si>
    <t>BE48 9679 8632 1527</t>
  </si>
  <si>
    <t>ALVARO ARIZA CONTRERAS</t>
  </si>
  <si>
    <t>ES43 6893 0001 7400 0030 8121</t>
  </si>
  <si>
    <t>ALVARO DAZA MESA</t>
  </si>
  <si>
    <t>ES48 0182 6398 2102 0169 4761</t>
  </si>
  <si>
    <t>ALVARO ENRIQUE ROJAS DE LA OSSA</t>
  </si>
  <si>
    <t>ALVARO ESPINOSA ALCALDE</t>
  </si>
  <si>
    <t>ES38 0182 3921 6502 0161 5554</t>
  </si>
  <si>
    <t>ALVARO FIGUEROA ARANGO</t>
  </si>
  <si>
    <t>ES09 0182 0702 3702 0164 8709</t>
  </si>
  <si>
    <t>ALVARO JAVIER NARVAEZ MUÑOZ</t>
  </si>
  <si>
    <t>ES66 0182 5430 4802 0169 1559</t>
  </si>
  <si>
    <t>ALVARO JOSE NAVARRETE GAMBOA</t>
  </si>
  <si>
    <t>ES97 0182 0648 6802 0155 7514</t>
  </si>
  <si>
    <t>ALVARO JUNIOR CERVANTES MELENDEZ</t>
  </si>
  <si>
    <t>ES70 0182 4003 1902 0167 1817</t>
  </si>
  <si>
    <t>ALVARO PUERTA ESPITIA</t>
  </si>
  <si>
    <t>ALVARO SEGOVIA TORRES</t>
  </si>
  <si>
    <t>ES33 0182 2229 5402 0161 8236</t>
  </si>
  <si>
    <t>ALVARO SOLARTE VARON</t>
  </si>
  <si>
    <t>ES46 0182 7541 3802 0160 6259</t>
  </si>
  <si>
    <t>ALYSON HENRIQUE SILVA NASCIMENTO</t>
  </si>
  <si>
    <t>PT50 0033 0000 4565 8781 6340 5</t>
  </si>
  <si>
    <t>AMADOR JOSE JIMENEZ</t>
  </si>
  <si>
    <t>ES56 0182 0600 0802 0174 9832</t>
  </si>
  <si>
    <t>ANDERSON CHELUVAY GONZALEZ TRUJILLO</t>
  </si>
  <si>
    <t>BE72 9055 8338 8016</t>
  </si>
  <si>
    <t>ANDERSON PIMIENTO RAMIREZ</t>
  </si>
  <si>
    <t>ES75 0182 3212 8202 0157 7143</t>
  </si>
  <si>
    <t>ANDERSSON CANAVAL NUÑEZ</t>
  </si>
  <si>
    <t>BE23 9051 8890 6291</t>
  </si>
  <si>
    <t>ANDERSSON DENILSON GOMEZ ASCENSIO</t>
  </si>
  <si>
    <t>ES51 0182 1245 1402 0166 2379</t>
  </si>
  <si>
    <t>ANDRE DA SILVA ARAUJO</t>
  </si>
  <si>
    <t>PT50 0023 0000 4556 2935 2559 4</t>
  </si>
  <si>
    <t>ACTIVOBANK</t>
  </si>
  <si>
    <t>ANDRES ALEXANDER BEJARANO PEREZ</t>
  </si>
  <si>
    <t>ANDRES CAMILO ALVAREZ CUERVO</t>
  </si>
  <si>
    <t>BE86 9052 2247 3850</t>
  </si>
  <si>
    <t>ANDRES FABIAN CASTRO OSPINA</t>
  </si>
  <si>
    <t xml:space="preserve">ES76 0182 5005 0102 0159 4458 </t>
  </si>
  <si>
    <t>ANDRES FELIPE GIRALDO GOMEZ</t>
  </si>
  <si>
    <t xml:space="preserve">ES04 0182 8181 1502 0233 7883 </t>
  </si>
  <si>
    <t>ANDRES FELIPE GOMEZ PUERTA</t>
  </si>
  <si>
    <t>ES30 6893 0001 7900 0027 5712</t>
  </si>
  <si>
    <t>ANDRES FELIPE LOPEZ FONTALVO</t>
  </si>
  <si>
    <t>ES32 0182 6337 4402 0158 1251</t>
  </si>
  <si>
    <t>ANDRES FELIPE MARULANDA ARAQUE</t>
  </si>
  <si>
    <t xml:space="preserve">BE27 9051 8348 2173 </t>
  </si>
  <si>
    <t>ANDRES FELIPE PULIDO GOMEZ</t>
  </si>
  <si>
    <t>ES64 0182 3961 5402 0176 6982</t>
  </si>
  <si>
    <t>ANDRES FERNANDO MEDINA VALENCIA</t>
  </si>
  <si>
    <t>BE79 9678 0488 3633</t>
  </si>
  <si>
    <t>ANDRES FERNANDO MONCAYO FLOREZ</t>
  </si>
  <si>
    <t>ES36 0182 0702 3102 0165 0263</t>
  </si>
  <si>
    <t>ANDRES GUILLERMO VALENCIA PARRA</t>
  </si>
  <si>
    <t xml:space="preserve">ES50 0049 0036 1120 1164 1145 </t>
  </si>
  <si>
    <t>ANDRES VARON</t>
  </si>
  <si>
    <t>ES08 0182 3921 6002 0161 2265</t>
  </si>
  <si>
    <t>ANDRIGK EDILBERTO CARDENAS SUAREZ</t>
  </si>
  <si>
    <t>BE77 9679 3559 2042</t>
  </si>
  <si>
    <t>ANDY JAVIER BARBOZA LEDESMA</t>
  </si>
  <si>
    <t>ES33 0182 9050 1102 0170 2116</t>
  </si>
  <si>
    <t>ANDY LYONEL CARRASCO VARGAS</t>
  </si>
  <si>
    <t>ANGEL ANDRES BARDALES RAMIREZ</t>
  </si>
  <si>
    <t>BE63 9053 6884 2608</t>
  </si>
  <si>
    <t>ANGEL TEHERAN CARABALLO</t>
  </si>
  <si>
    <t>ES76 0182 2125 3202 0160 1042</t>
  </si>
  <si>
    <t>ANGELO DE JESUS AGUDELO RESTREPO</t>
  </si>
  <si>
    <t>ES04 0182 3660 1302 0164 6314</t>
  </si>
  <si>
    <t>ÁNGELO PAUL VALLADOLID MOGOLLON</t>
  </si>
  <si>
    <t>ES56 0049 2661 4225 1447 4511</t>
  </si>
  <si>
    <t>ANGERSON GIULLIANO DE OLIVEIRA DANTAS</t>
  </si>
  <si>
    <t>PT50 0033 0000 4566 8273 76305</t>
  </si>
  <si>
    <t>ANGINSON ARTURO PETRO SUAREZ</t>
  </si>
  <si>
    <t>ES21 0182 9502 2102 0176 2468</t>
  </si>
  <si>
    <t>ANSONY RODRIGUEZ PORRAS</t>
  </si>
  <si>
    <t xml:space="preserve">ES59 2100 0639 0102 0104 9195 </t>
  </si>
  <si>
    <t>ANTERO UBALDO RAMIREZ MIRABAL</t>
  </si>
  <si>
    <t>ES85 0182 2626 6902 0169 5946</t>
  </si>
  <si>
    <t>ANTHONY JULIAN MORENO VALDERRAMA</t>
  </si>
  <si>
    <t>ES71 6893 0001 7400 0027 3085</t>
  </si>
  <si>
    <t>ANTHONY YESID BEDOYA TAQUINAS</t>
  </si>
  <si>
    <t>ES25 0182 0720 9602 0163 6676</t>
  </si>
  <si>
    <t>ANTONIO FAGNER ARAUJO DE OLIVEIRA</t>
  </si>
  <si>
    <t xml:space="preserve">BE82 9678 9558 2168 </t>
  </si>
  <si>
    <t>ANTONIO JOSE NASCIMENTO SILVA</t>
  </si>
  <si>
    <t>PT50 0010 0000 6142 5610 0010 4</t>
  </si>
  <si>
    <t>ANTONIO YESID MARRUGO JARAMILLO</t>
  </si>
  <si>
    <t>ES12 0182 5141 5102 0158 6263</t>
  </si>
  <si>
    <t>ANUAR JIMENEZ DELGADO</t>
  </si>
  <si>
    <t>ES22 0182 0394 3002 0176 6941</t>
  </si>
  <si>
    <t>ARFAXAD SALINAS TORRES</t>
  </si>
  <si>
    <t>ES12 0182 8674 4102 0165 0081</t>
  </si>
  <si>
    <t>ARIEL SILVA GAMBOA</t>
  </si>
  <si>
    <t>ES48 6893 0001 7000 0030 9973</t>
  </si>
  <si>
    <t>ARLEMAR RAFAEL CAMPOS WOLFF</t>
  </si>
  <si>
    <t>ES37 6893 0001 7000 0021 7924</t>
  </si>
  <si>
    <t>ARLEY DARIO PANTOJA CABRERA</t>
  </si>
  <si>
    <t>ES91 6893 0001 7600 0026 0211</t>
  </si>
  <si>
    <t>ARLEY GUTIERREZ CORREDOR</t>
  </si>
  <si>
    <t>ES16 6893 0001 7600 0031 1031</t>
  </si>
  <si>
    <t>ARLINTON ENRIQUE CABALLERO PEDROZO</t>
  </si>
  <si>
    <t>BE74 9055 7644 1907</t>
  </si>
  <si>
    <t>ARMANDO DENIS ENRIQUEZ BLAS</t>
  </si>
  <si>
    <t>FR76 1659 8000 0140 0010 1905 939</t>
  </si>
  <si>
    <t>ARMANDO QUIROGA JOVEN</t>
  </si>
  <si>
    <t>ES18 0182 0345 1302 0185 9245</t>
  </si>
  <si>
    <t>ARNOLD ANGARITA NIETO</t>
  </si>
  <si>
    <t>DE67 1001 1001 2545 7313 07</t>
  </si>
  <si>
    <t>ARNULFO ENRIQUE JIMENEZ BARRIOS</t>
  </si>
  <si>
    <t>ES20 6893 0001 7100 0026 9397</t>
  </si>
  <si>
    <t>ARNULFO SANCHEZ RUEDA</t>
  </si>
  <si>
    <t>ARTURO HANS VELARDE AVALOS</t>
  </si>
  <si>
    <t>ES06 0049 3063 3523 1414 6677</t>
  </si>
  <si>
    <t>AYRTON MAXIMO CUMPA SENADOR</t>
  </si>
  <si>
    <t>ES70 0182 8191 7102 0204 9338</t>
  </si>
  <si>
    <t>BAIRON RENE BURBANO MORALES</t>
  </si>
  <si>
    <t>ES54 0182 2270 0102 0248 1802</t>
  </si>
  <si>
    <t>BENJAMIN ALVARO CHILCA ORE</t>
  </si>
  <si>
    <t xml:space="preserve">ES43 0049 1330 5620 1027 8931 </t>
  </si>
  <si>
    <t>BENJAMIN HERRERA MANOTAS</t>
  </si>
  <si>
    <t>ES32 6893 0001 7100 0015 5691</t>
  </si>
  <si>
    <t>BENJAMIN MIGUEL VENTOCILLA CANDELARIO</t>
  </si>
  <si>
    <t>ES71 6893 0001 7100 0026 3726</t>
  </si>
  <si>
    <t>BILLY ADOLFO MONSALVO VERGARA</t>
  </si>
  <si>
    <t>ES59 0182 2620 9102 0164 6263</t>
  </si>
  <si>
    <t>BILLY STEFAN GONZALES DIAZ</t>
  </si>
  <si>
    <t>ES03 6893 0001 7800 0027 3337</t>
  </si>
  <si>
    <t>BLADIMIR JOSE FAJARDO CANO</t>
  </si>
  <si>
    <t>ES13 0182 7029 7802 0159 1693</t>
  </si>
  <si>
    <t>BLADIMIRO DIAZ MARTINEZ</t>
  </si>
  <si>
    <t>ES92 0182 0706 1502 0164 4989</t>
  </si>
  <si>
    <t>BLAKIS ANTONIO BARBOZA TRUJILLO</t>
  </si>
  <si>
    <t>ES41 0182 0702 3402 0165 3712</t>
  </si>
  <si>
    <t>BORIS ALI CHUNGA LUJAN</t>
  </si>
  <si>
    <t>BE92 9053 0079 8623</t>
  </si>
  <si>
    <t>BRANDON ALEXANDER BAYONA CABALLERO</t>
  </si>
  <si>
    <t>PL82 1050 1793 1000 0097 6481 6352</t>
  </si>
  <si>
    <t>ING BANK</t>
  </si>
  <si>
    <t>BRANDON RAMIREZ ZAPATA</t>
  </si>
  <si>
    <t>ES63 0182 8674 4702 0165 0906</t>
  </si>
  <si>
    <t>BRAULIO JOSE ORTIZ LLORENTE</t>
  </si>
  <si>
    <t>BE70 9050 4880 2525</t>
  </si>
  <si>
    <t>BRAYAN ALEXANDER CARABALI SANCHEZ</t>
  </si>
  <si>
    <t>ES17 0182 0956 5002 0179 1495</t>
  </si>
  <si>
    <t>BRAYAN ESTEBAN NIETO DIAZ</t>
  </si>
  <si>
    <t>ES87 2100 0309 8402 0062 7243</t>
  </si>
  <si>
    <t>CAIXABANK</t>
  </si>
  <si>
    <t>BRAYAN JAIR SALAZAR ORTEGA</t>
  </si>
  <si>
    <t>ES86 0182 0382 7102 0167 2230</t>
  </si>
  <si>
    <t>BRAYAN JAVIER CHAVES NARVAEZ</t>
  </si>
  <si>
    <t>ES76 0182 0710 1102 0156 7867</t>
  </si>
  <si>
    <t>BRAYAN JOSE ALARCON MORALES</t>
  </si>
  <si>
    <t>BE80 9056 8570 9777</t>
  </si>
  <si>
    <t>BRAYAN JOSE SALINAS MARTINEZ</t>
  </si>
  <si>
    <t>ES68 0182 6106 0402 0161 7587</t>
  </si>
  <si>
    <t>BRAYAN JULIAN GAZCON MARIN</t>
  </si>
  <si>
    <t>ES67 0182 3191 8602 0175 0801</t>
  </si>
  <si>
    <t>BREIDIS JOSE CARDOZO GALUE</t>
  </si>
  <si>
    <t>ES24 0182 8680 3702 0039 8752</t>
  </si>
  <si>
    <t>BREINER MOLINA PELAEZ</t>
  </si>
  <si>
    <t>ES66 0182 1649 2102 0167 1636</t>
  </si>
  <si>
    <t>BRUNO ARIEL WINTER COMANDO</t>
  </si>
  <si>
    <t>ES43 0182 3350 1102 0160 2525</t>
  </si>
  <si>
    <t>BRUNO DA COSTA FÉ</t>
  </si>
  <si>
    <t>PT50 0045 3161 4039 6631 8588 0</t>
  </si>
  <si>
    <t>CA CREDITO AGRICOLA</t>
  </si>
  <si>
    <t>BRYAN ELIUT GAITAN GOMEZ</t>
  </si>
  <si>
    <t xml:space="preserve">ES54 0182 2620 9802 0164 7853 </t>
  </si>
  <si>
    <t>BYRON GIUSEPPE FONSECA DURAN</t>
  </si>
  <si>
    <t>BE92 9053 9029 0823</t>
  </si>
  <si>
    <t>CAMILO ANDRES DUEÑAS NIÑO</t>
  </si>
  <si>
    <t>ES78 0182 4951 1402 0178 5150</t>
  </si>
  <si>
    <t>CAMILO ANDRES RUBIO LEON</t>
  </si>
  <si>
    <t>ES05 6893 0001 7900 0033 5429</t>
  </si>
  <si>
    <t>CAMILO ANDRES VALERO PEREZ</t>
  </si>
  <si>
    <t xml:space="preserve"> ES44 0182 4388 1902 0186 5368 </t>
  </si>
  <si>
    <t>CAMILO BUSTOS BECERRA</t>
  </si>
  <si>
    <t>ES28 0182 0917 0102 0175 5296</t>
  </si>
  <si>
    <t>CARLOS ADRIAN CAMELO CALDERON</t>
  </si>
  <si>
    <t>ES62 0182 1965 1702 0169 8881</t>
  </si>
  <si>
    <t>CARLOS ALBERTO CABEZAS IBARGUEN</t>
  </si>
  <si>
    <t>ES49 0182 1268 8902 0159 8129</t>
  </si>
  <si>
    <t>CARLOS ALBERTO CARTAGENA GONZALEZ</t>
  </si>
  <si>
    <t>ES32 0049 6156 9528 1001 3154</t>
  </si>
  <si>
    <t>CARLOS ALBERTO CIFUENTES MIRANDA</t>
  </si>
  <si>
    <t>ES12 0182 9035 1202 0172 0461</t>
  </si>
  <si>
    <t>CARLOS ALBERTO CORREA OREJUELA</t>
  </si>
  <si>
    <t>ES35 6893 0001 7100 0028 2901</t>
  </si>
  <si>
    <t>CARLOS ALBERTO GUIA MONROY</t>
  </si>
  <si>
    <t>ES32 0182 0674 1102 0163 2636</t>
  </si>
  <si>
    <t>CARLOS ALBERTO GUZMAN CASTRO</t>
  </si>
  <si>
    <t>BE32 9050 4042 9102</t>
  </si>
  <si>
    <t>CARLOS ALBERTO PACHAJOA ZEMANATE</t>
  </si>
  <si>
    <t>BE30 9673 5704 2111</t>
  </si>
  <si>
    <t>CARLOS ALBERTO PINTADO CARRION</t>
  </si>
  <si>
    <t>ES12 0182 1433 0002 0188 6585</t>
  </si>
  <si>
    <t>CARLOS ALBERTO RAMOS URBANO</t>
  </si>
  <si>
    <t>BE96 9054 2055 3005</t>
  </si>
  <si>
    <t>CARLOS ALBERTO SALAZAR URBINA</t>
  </si>
  <si>
    <t>ES29 6893 0001 7500 0028 6111</t>
  </si>
  <si>
    <t>CARLOS ALFREDO ESCORCIA MORENO</t>
  </si>
  <si>
    <t>ES34 0182 4143 2702 0193 7934</t>
  </si>
  <si>
    <t>CARLOS ANDRES ARROYO BERTEL</t>
  </si>
  <si>
    <t>BE56 9057 7352 4988</t>
  </si>
  <si>
    <t>CARLOS ANDRES GONZALEZ GUTIERREZ</t>
  </si>
  <si>
    <t>ES71 0182 0660 4402 0167 2824</t>
  </si>
  <si>
    <t>CARLOS ANDRES JIMENEZ OROZCO</t>
  </si>
  <si>
    <t>ES42 0182 0152 8802 0176 3908</t>
  </si>
  <si>
    <t>CARLOS ANDRES JIMENEZ RAMIREZ</t>
  </si>
  <si>
    <t>ES45 0182 0606 8002 0178 1704</t>
  </si>
  <si>
    <t>CARLOS ANDRES MANTILLA URREGO</t>
  </si>
  <si>
    <t>ES35 0182 8151 8802 0193 7742</t>
  </si>
  <si>
    <t>CARLOS ANDRES PARRA ESPITIA</t>
  </si>
  <si>
    <t>BE44 9055 3212 6445</t>
  </si>
  <si>
    <t>CARLOS ANDRES PULIDO CHAVEZ</t>
  </si>
  <si>
    <t>ES88 0182 2125 3902 0160 1356</t>
  </si>
  <si>
    <t>CARLOS ANDRES QUINTERO ARCIA</t>
  </si>
  <si>
    <t>ES67 6893 0001 7500 0033 5479</t>
  </si>
  <si>
    <t>CARLOS ANDRES RIBON PABON</t>
  </si>
  <si>
    <t xml:space="preserve">NL79 BUNQ 2117 9726 91 </t>
  </si>
  <si>
    <t>CARLOS ANDRES RINCON USAQUEN</t>
  </si>
  <si>
    <t>ES71 0182 6855 8602 0180 4597</t>
  </si>
  <si>
    <t>CARLOS ANDRES ROJAS</t>
  </si>
  <si>
    <t>BE20 9679 9312 4156</t>
  </si>
  <si>
    <t>CARLOS ANDRES SILVA CORREA</t>
  </si>
  <si>
    <t>ES17 0049 5774 4929 1621 2724</t>
  </si>
  <si>
    <t>CARLOS ARTURO GONZALEZ GOMEZ</t>
  </si>
  <si>
    <t>ES90 0182 0660 4102 0167 2435</t>
  </si>
  <si>
    <t>CARLOS ARTURO RESTREPO RESTREPO</t>
  </si>
  <si>
    <t>ES17 0182 4027 2802 0188 2590</t>
  </si>
  <si>
    <t>CARLOS AUGUSTO SALDARRIAGA MONTEALBAN</t>
  </si>
  <si>
    <t>BE62 9053 0428 4761</t>
  </si>
  <si>
    <t>CARLOS AUGUSTO SOLANO GRISALES</t>
  </si>
  <si>
    <t xml:space="preserve"> BE10 9050 6925 7704
</t>
  </si>
  <si>
    <t>CARLOS DANIEL RODRIGUEZ PENA</t>
  </si>
  <si>
    <t>BE68 9057 2251 6934</t>
  </si>
  <si>
    <t>CARLOS EDUARDO CALDERON SALDARRIAGA</t>
  </si>
  <si>
    <t>ES29 0182 0573 1502 0173 3186</t>
  </si>
  <si>
    <t>CARLOS EDUARDO CARDENAS ESPINOSA</t>
  </si>
  <si>
    <t>BE41 9679 5785 0310</t>
  </si>
  <si>
    <t>CARLOS EDUARDO FORBES MARIN</t>
  </si>
  <si>
    <t xml:space="preserve">BE19 9677 7022 3412 </t>
  </si>
  <si>
    <t>CARLOS EMILIO MONSALVE MARIN</t>
  </si>
  <si>
    <t xml:space="preserve">ES98 6893 0001 7500 0030 1747 </t>
  </si>
  <si>
    <t>CARLOS FABIAN ACERO BAUTISTA</t>
  </si>
  <si>
    <t>BE88 9051 2046 7741</t>
  </si>
  <si>
    <t>CARLOS GIOVANNI RONDEROS VEGA</t>
  </si>
  <si>
    <t>ES82 6893 0001 7600 0029 3256</t>
  </si>
  <si>
    <t>CARLOS JESUS ESCUDERO LUNA</t>
  </si>
  <si>
    <t>ES42 2100 1162 4102 0054 5121</t>
  </si>
  <si>
    <t>ES27 0049 2439 1327 1543 4791</t>
  </si>
  <si>
    <t>CARLOS JOSUE CUMPA TALLEDO</t>
  </si>
  <si>
    <t>ES59 1576 1212 1010 1040 8758</t>
  </si>
  <si>
    <t>CARLOS JULIO ACOSTA CAMACHO</t>
  </si>
  <si>
    <t>ES97 6893 0001 7700 0027 2470</t>
  </si>
  <si>
    <t>CARLOS JULIO CANON SALCEDO</t>
  </si>
  <si>
    <t>ES71 0182 1140 3702 0170 2808</t>
  </si>
  <si>
    <t>CARLOS JULIO LOZANO SIERRA</t>
  </si>
  <si>
    <t>ES31 0182 2247 0102 0167 7684</t>
  </si>
  <si>
    <t>CARLOS JULIO MARTINEZ ESPINOSA</t>
  </si>
  <si>
    <t>ES68 0182 6855 8402 0179 7086</t>
  </si>
  <si>
    <t>CARLOS MARIO JARAMILLO LOPEZ</t>
  </si>
  <si>
    <t>CARLOS MARIO MOLINA</t>
  </si>
  <si>
    <t xml:space="preserve">ES30 6893 0001 7100 0025 2727 </t>
  </si>
  <si>
    <t>CARLOS MARIO ROCHA ARIZ</t>
  </si>
  <si>
    <t>ES24 0182 4003 1702 0167 7884</t>
  </si>
  <si>
    <t>CARLOS MITCHELL SANTOS RODRIGUEZ</t>
  </si>
  <si>
    <t>ES16 0182 8674 4202 0164 9087</t>
  </si>
  <si>
    <t>CARLOS ROBERTO SAAVEDRA ROJAS</t>
  </si>
  <si>
    <t>ES27 0182 6560 1502 0159 8578</t>
  </si>
  <si>
    <t>CARLOS URIEL CASTRO NIEVA</t>
  </si>
  <si>
    <t>ES05 0182 1418 9502 0161 1982</t>
  </si>
  <si>
    <t>CESAR AUGUSTO ANGARITA RIVERA</t>
  </si>
  <si>
    <t>BANK POLSKI</t>
  </si>
  <si>
    <t>CESAR AUGUSTO ARCE GOMEZ</t>
  </si>
  <si>
    <t>ES86 0182 8181 1302 0234 3295</t>
  </si>
  <si>
    <t>CESAR AUGUSTO HOYOS SERNA</t>
  </si>
  <si>
    <t>ES41 0182 7312 9802 0165 2010</t>
  </si>
  <si>
    <t>CESAR AUGUSTO LONDONO GASCA</t>
  </si>
  <si>
    <t>ES53 0182 3507 4602 0231 2326</t>
  </si>
  <si>
    <t>CESAR AUGUSTO LONDONO USME</t>
  </si>
  <si>
    <t>ES97 2100 4247 1422 0031 7610</t>
  </si>
  <si>
    <t>CESAR AUGUSTO RAMIREZ TABERA</t>
  </si>
  <si>
    <t>ES83 0182 0382 7802 0167 5239</t>
  </si>
  <si>
    <t>CESAR EDUARDO GONZALES BARRIENTOS</t>
  </si>
  <si>
    <t>ES21 0182 8191 7502 0204 9345</t>
  </si>
  <si>
    <t>CESAR EDUARDO RAMIREZ TOVAR</t>
  </si>
  <si>
    <t>BE28 9057 4395 2520</t>
  </si>
  <si>
    <t>CESAR FARID PADILLA MORENO</t>
  </si>
  <si>
    <t>BE84 9051 0276 7059</t>
  </si>
  <si>
    <t>CESAR GABRIEL TORRES MONTAÑEZ</t>
  </si>
  <si>
    <t>ES67 0182 6790 0202 0176 6057</t>
  </si>
  <si>
    <t>CESAR ORLANDO PEDRAZA LANCHEROS</t>
  </si>
  <si>
    <t>ES16 0182 2620 9002 0164 8832</t>
  </si>
  <si>
    <t>CHARLY PEREZ LORZA</t>
  </si>
  <si>
    <t>FR76 3000 3027 5300 0502 6110 266</t>
  </si>
  <si>
    <t>RIB</t>
  </si>
  <si>
    <t>CHRISTIAN ALBERTO VALENCIA LOBON</t>
  </si>
  <si>
    <t>ES40 0182 1428 6002 0157 0857</t>
  </si>
  <si>
    <t>CHRISTIAN ANDRES IZQUIERDO LOURIDO</t>
  </si>
  <si>
    <t>ES73 0182 4532 5502 0176 9164</t>
  </si>
  <si>
    <t>CHRISTIAN NAYID SIMONDS GOMEZ</t>
  </si>
  <si>
    <t>BE02 9670 0813 6040</t>
  </si>
  <si>
    <t>CHRISTIAN ZAMBRANO</t>
  </si>
  <si>
    <t xml:space="preserve">ES82 2100 0137 3107 0000 7237 </t>
  </si>
  <si>
    <t>CICERO LIMA BATISTA</t>
  </si>
  <si>
    <t>ES50 0049 5082 7123 1618 2021</t>
  </si>
  <si>
    <t>CLAUBER FONSECA MARCIANO</t>
  </si>
  <si>
    <t>ES09 0182 0382 7602 0167 6669</t>
  </si>
  <si>
    <t>CLEDISON DE NOVAIS</t>
  </si>
  <si>
    <t>PT50 0033 0000 4556 2981 4270 5</t>
  </si>
  <si>
    <t>CORIOLANO ALFREDO ROJAS MURILLO</t>
  </si>
  <si>
    <t>ES66 0182 2952 0502 0163 9377</t>
  </si>
  <si>
    <t>CRISTHIAN ANDRES CURAY LAZARO</t>
  </si>
  <si>
    <t>ES64 2100 0003 1107 0000 3310</t>
  </si>
  <si>
    <t>CRISTHIAN MAURICIO VALENCIA MOLINA</t>
  </si>
  <si>
    <t>ES89 0182 0869 2102 0187 6577</t>
  </si>
  <si>
    <t>CRISTIAN ADRIAN QUIROS RAMOS</t>
  </si>
  <si>
    <t>ES19 6893 0001 7500 0031 9465</t>
  </si>
  <si>
    <t>CRISTIAN ARIZA MARTINEZ</t>
  </si>
  <si>
    <t>ES26 0182 9050 1902 0169 9522</t>
  </si>
  <si>
    <t>CRISTIAN CAMILO BORRE SILVA</t>
  </si>
  <si>
    <t>ES96 2100 4247 1022 0031 7145</t>
  </si>
  <si>
    <t>CRISTIAN CAMILO CABALLERO CORREDOR</t>
  </si>
  <si>
    <t>BE64 9055 7587 4152</t>
  </si>
  <si>
    <t>CRISTIAN DARIO VILLADA CATAÑO</t>
  </si>
  <si>
    <t>ES10 0182 0652 6302 0152 7600</t>
  </si>
  <si>
    <t>CRISTIAN DAVID CADAVID MENESES</t>
  </si>
  <si>
    <t>BE27 9673 9305 4773</t>
  </si>
  <si>
    <t>CRISTIAN DAVID MARÍN ZAPATA</t>
  </si>
  <si>
    <t>ES85 0182 7029 7602 0159 1853</t>
  </si>
  <si>
    <t>CRISTIAN DAVID ORTIZ MADRID</t>
  </si>
  <si>
    <t>ES96 0182 1428 6002 0157 0819</t>
  </si>
  <si>
    <t>CRISTIAN DENNIS NARVAEZ CIFUENTES</t>
  </si>
  <si>
    <t xml:space="preserve">ES43 0049 0154 9627 1005 5068 </t>
  </si>
  <si>
    <t>CRISTIAN FELIPE QUINONEZ SALAZAR</t>
  </si>
  <si>
    <t>BE23 9056 6755 2791</t>
  </si>
  <si>
    <t>CRISTIAN RICARDO LLONTOP SANTISTEBAN</t>
  </si>
  <si>
    <t>ES06 0182 8674 4302 0164 8442</t>
  </si>
  <si>
    <t>DAGOBERTO OSPINO COLLANTE</t>
  </si>
  <si>
    <t xml:space="preserve"> ES74 0182 2620 9002 0164 7594 </t>
  </si>
  <si>
    <t>DAHIR GREGORIO MUÑOZ GRANADOS</t>
  </si>
  <si>
    <t>ES97 6893 0001 7400 0026 2529</t>
  </si>
  <si>
    <t>DALMIRO SOTO RAMOS</t>
  </si>
  <si>
    <t>ES73 0182 2620 9902 0164 6201</t>
  </si>
  <si>
    <t>DAMIAN ZAMBRANO TULANDE</t>
  </si>
  <si>
    <t xml:space="preserve">ES31 0182 0361 8402 0160 6315 </t>
  </si>
  <si>
    <t>DANEYSON CHARRY HORTA</t>
  </si>
  <si>
    <t xml:space="preserve"> BE42 9674 2783 7054</t>
  </si>
  <si>
    <t>DANIEL ALVES CAVALHEIRO</t>
  </si>
  <si>
    <t>PT50 0023 0000 4557 2925 3829 4</t>
  </si>
  <si>
    <t>DANIEL ANDRES CANDELO GUTIERREZ</t>
  </si>
  <si>
    <t>ES45 0182 5011 1002 0223 0886</t>
  </si>
  <si>
    <t>DANIEL ANDRES MARULANDA BOLAÑOS</t>
  </si>
  <si>
    <t>PL18 1020 3958 0000 9902 0335 3992</t>
  </si>
  <si>
    <t>DANIEL CAICEDO BEDOYA</t>
  </si>
  <si>
    <t xml:space="preserve">ES28 0182 4641 1702 0163 9510 </t>
  </si>
  <si>
    <t>DANIEL CHAVES SILVA</t>
  </si>
  <si>
    <t>LT97 3250 0980 4632 0057</t>
  </si>
  <si>
    <t>DANIEL DOMINGO MARCHENA AGURTO</t>
  </si>
  <si>
    <t>ES91 2100 3726 9922 0032 4762</t>
  </si>
  <si>
    <t>DANIEL ELIECER PEREZ ACEVEDO</t>
  </si>
  <si>
    <t>ES72 1576 1212 1310 1048 7335</t>
  </si>
  <si>
    <t>DANIEL FELIPE PATINO CANDELA</t>
  </si>
  <si>
    <t xml:space="preserve">ES22 6893 0001 7800 0033 7597 </t>
  </si>
  <si>
    <t>DANIEL MATEO AGUDELO RUEDA</t>
  </si>
  <si>
    <t>BE34 9056 5086 8690</t>
  </si>
  <si>
    <t>DANIER CALDERON SALAS</t>
  </si>
  <si>
    <t>ES22 6893 0001 7000 0032 5573</t>
  </si>
  <si>
    <t>DANILO PINEDA RIVAS</t>
  </si>
  <si>
    <t>ES20 0182 2125 3202 0160 1080</t>
  </si>
  <si>
    <t>DANILO RAMIREZ SARATE</t>
  </si>
  <si>
    <t>ES03 0182 8674 4502 0164 4518</t>
  </si>
  <si>
    <t>DANIS PADILLA RODRIGUEZ</t>
  </si>
  <si>
    <t xml:space="preserve">ES05 0182 6786 0102 0155 5380 </t>
  </si>
  <si>
    <t>DANNY  DANIEL CORREA CAMPOVERDE</t>
  </si>
  <si>
    <t>BE36 9053 7365 1481</t>
  </si>
  <si>
    <t>DARIO CARLOS MANUEL PEREIRA</t>
  </si>
  <si>
    <t>PT50 0036 0135 9910 0047 8146 2</t>
  </si>
  <si>
    <t>BANCO MONTEPIO</t>
  </si>
  <si>
    <t>DARWIN FAURICIO RAMIREZ JARAMILLO</t>
  </si>
  <si>
    <t>ES84 6893 0001 7300 0029 5016</t>
  </si>
  <si>
    <t>DARWIN GARCIA GUERRERO</t>
  </si>
  <si>
    <t>ES63 0182 0956 5702 0179 1488</t>
  </si>
  <si>
    <t>DARWIN JOSE VASQUEZ ORTEGA</t>
  </si>
  <si>
    <t>ES09 6893 0001 7400 0027 7208</t>
  </si>
  <si>
    <t>DARWIN TORRES CRESPO</t>
  </si>
  <si>
    <t>ES49 0182 7029 7202 0159 2115</t>
  </si>
  <si>
    <t>DATOS DE STOCCO</t>
  </si>
  <si>
    <t>DAVID ALBERTO INSAURRALDE</t>
  </si>
  <si>
    <t>BE86 9675 8730 4650</t>
  </si>
  <si>
    <t>DAVID ENRIQUE BUZON ARIAS</t>
  </si>
  <si>
    <t>BE74 9054 8149 8307</t>
  </si>
  <si>
    <t>DAVID FELIPE HERRERA HERRERA</t>
  </si>
  <si>
    <t>PT50 0035 0159 00090993 630 71</t>
  </si>
  <si>
    <t>CAIXA GERAL</t>
  </si>
  <si>
    <t>DAVID GUSTAVO DE LOS ANGELES PATIÑO RAMOS</t>
  </si>
  <si>
    <t xml:space="preserve">ES22 0182 0606 8402 0178 3571 </t>
  </si>
  <si>
    <t>DAVID JONATHAN CHAMBILLA COAPAZA</t>
  </si>
  <si>
    <t>ES85 0182 5141 5602 0158 6256</t>
  </si>
  <si>
    <t>DAVID RICARDO SANCHEZ ZAPATA</t>
  </si>
  <si>
    <t>ES36 0182 4609 9102 0576 4108</t>
  </si>
  <si>
    <t>DAWED JAIR AGUDELO PEREZ</t>
  </si>
  <si>
    <t>ES92 6893 0001 7000 0027 3097</t>
  </si>
  <si>
    <t>DAYAN CRISTOBAL ROMERO YARA</t>
  </si>
  <si>
    <t>BE29 9056 6569 7364</t>
  </si>
  <si>
    <t>DEIBIS ENRIQUE HERNANDEZ OROZCO</t>
  </si>
  <si>
    <t>ES30 0182 0704 2702 0156 5204</t>
  </si>
  <si>
    <t>DEINER MARIN ROCHA</t>
  </si>
  <si>
    <t>BE47 9056 2273 7680</t>
  </si>
  <si>
    <t>DEIVI STIVEN ORTIZ MONTENEGRO</t>
  </si>
  <si>
    <t>ES73 6893 0001 7600 0030 0984</t>
  </si>
  <si>
    <t>DEIVIS DAVID CASTRO MARTINEZ</t>
  </si>
  <si>
    <t xml:space="preserve">ES36 0049 5475 8021 1610 0749 </t>
  </si>
  <si>
    <t>DEIVIS MUÑOZ TORRES</t>
  </si>
  <si>
    <t xml:space="preserve">ES78 6893 0001 7000 0024 2600 </t>
  </si>
  <si>
    <t>DEIVIX ERIC MANUEL PRETEL RONCAL</t>
  </si>
  <si>
    <t>ES94 0182 0573 1602 0173 3131</t>
  </si>
  <si>
    <t>DENYSVAN LIBERIO SILVA</t>
  </si>
  <si>
    <t>PT50 0033 0000 4566 4361 9470 5</t>
  </si>
  <si>
    <t>DEWIN DE JESUS DE LEON BARRERA</t>
  </si>
  <si>
    <t>ES76 0182 6786 0202 0155 7836</t>
  </si>
  <si>
    <t>DEYBY DAVISON LOPEZ DIAZ</t>
  </si>
  <si>
    <t>ES38 0182 8181 1502 0233 8435</t>
  </si>
  <si>
    <t>DEYVIS HERNANDEZ DIAZ</t>
  </si>
  <si>
    <t>ES68 0182 0496 6402 0179 4655</t>
  </si>
  <si>
    <t>DEYVIS OSPINA DADUL</t>
  </si>
  <si>
    <t xml:space="preserve"> ES79 6893 0001 7800 0019 1459</t>
  </si>
  <si>
    <t>DIDIER JOSE CHOLES MIRANDA</t>
  </si>
  <si>
    <t>ES29 0182 2939 8802 0017 5321</t>
  </si>
  <si>
    <t>DIEGO ALEJANDRO CRUZ LOPEZ</t>
  </si>
  <si>
    <t>ES71 0182 5430 4102 0169 2200</t>
  </si>
  <si>
    <t>DIEGO ALEJANDRO YANES FAJARDO</t>
  </si>
  <si>
    <t>BE46 9678 3863 9936</t>
  </si>
  <si>
    <t>DIEGO ANDRES SALCEDO BAUTISTA</t>
  </si>
  <si>
    <t>ES20 0182 8181 1102 0233 8664</t>
  </si>
  <si>
    <t>DIEGO ARMANDO LEIVA SOTO</t>
  </si>
  <si>
    <t>ES14 0182 0927 8702 0163 9090</t>
  </si>
  <si>
    <t>DIEGO ARMANDO PEDRAZA CHOQUE</t>
  </si>
  <si>
    <t xml:space="preserve">ES23 0182 8181 1202 0233 8367 </t>
  </si>
  <si>
    <t>DIEGO ARMANDO RAMIREZ ACEVEDO</t>
  </si>
  <si>
    <t>ES34 6893 0001 7100 0020 4252</t>
  </si>
  <si>
    <t>DIEGO ARMANDO RIVERO MANZANO</t>
  </si>
  <si>
    <t>ES72 0182 3275 5802 0165 2629</t>
  </si>
  <si>
    <t>DIEGO DIAZ LUNA</t>
  </si>
  <si>
    <t>ES71 0182 7312 9602 0164 6912</t>
  </si>
  <si>
    <t>DIEGO FERNANDO BOCANEGRA RAMIREZ</t>
  </si>
  <si>
    <t>BE90 9050 2898 6132</t>
  </si>
  <si>
    <t>DIEGO FERNANDO CHICUE RODRIGUEZ</t>
  </si>
  <si>
    <t>BE39 9055 3310 3519</t>
  </si>
  <si>
    <t>DIEGO FERNANDO VIVEROS CORREA</t>
  </si>
  <si>
    <t>BE43 9678 5886 0901</t>
  </si>
  <si>
    <t>DIEGO JAVIER RAMIREZ MORENO</t>
  </si>
  <si>
    <t>PL16 1090 1102 0000 0001 6252 0599</t>
  </si>
  <si>
    <t>DIEGO JONATAN MALGIOGLIO</t>
  </si>
  <si>
    <t>DE38 1001 1001 2998 2545 80</t>
  </si>
  <si>
    <t>DIEGO NAHUEL ROMERO</t>
  </si>
  <si>
    <t>ES45 6893 0001 7600 0028 0633</t>
  </si>
  <si>
    <t>DIEGO ROBERTO SOUZA SCAVACINI</t>
  </si>
  <si>
    <t>ES38 0049 0199 0328 1136 8533</t>
  </si>
  <si>
    <t>DIVIER HUMBERTO PAEZ MONROY</t>
  </si>
  <si>
    <t>ES37 0182 0702 3102 0164 8693</t>
  </si>
  <si>
    <t>DIVINSO JOSE LARA PERALTA</t>
  </si>
  <si>
    <t xml:space="preserve">    ES71 0182 0578 4402 0447 3822</t>
  </si>
  <si>
    <t>DOMINGO RAMON VEGA HUMANEZ</t>
  </si>
  <si>
    <t>BE24 9056 9017 7538</t>
  </si>
  <si>
    <t>DOMINGOS ADÃO PASCOAL</t>
  </si>
  <si>
    <t>PT50 0033 0000 4564 6447 1140 5</t>
  </si>
  <si>
    <t>DORIEDSON E SILVA SANTANA</t>
  </si>
  <si>
    <t>PT50 0010 0000 6225 8420 0017 1</t>
  </si>
  <si>
    <t>DUAN ANTONIO AVILA NORIEGA</t>
  </si>
  <si>
    <t>BE98 9052 9051 3993</t>
  </si>
  <si>
    <t>DUMAR EFREN RAMIREZ MENDOZA</t>
  </si>
  <si>
    <t>ES56 0182 6800 9202 0179 0542</t>
  </si>
  <si>
    <t>DUVAN ALEXIS SUAREZ TRUJILLO</t>
  </si>
  <si>
    <t>ES77 0182 6556 1402 0167 5430</t>
  </si>
  <si>
    <t>DUVAN ANDRES BOSIGA SANCHEZ</t>
  </si>
  <si>
    <t xml:space="preserve">ES83 0182 5430 4102 0169 1887 </t>
  </si>
  <si>
    <t>DUVAN OVIEDO OREJUELA</t>
  </si>
  <si>
    <t>ES50 6893 0001 7800 0032 0021</t>
  </si>
  <si>
    <t>EDDER CARLOS ATENCIO VILLANUEVA</t>
  </si>
  <si>
    <t>BE15 9052 4000 9430</t>
  </si>
  <si>
    <t>EDDIE DE JESUS ZARATE IGUARAN</t>
  </si>
  <si>
    <t>BE75 9057 2882 3651</t>
  </si>
  <si>
    <t>EDGAR ALEXANDER VEGA CARDOZO</t>
  </si>
  <si>
    <t>ES70 1576 1212 1110 1041 3846</t>
  </si>
  <si>
    <t>EDGAR DIAZ MACHADO</t>
  </si>
  <si>
    <t>BE06 9055 8284 5422</t>
  </si>
  <si>
    <t>EDGAR ENRIQUE TORRES RAMIREZ</t>
  </si>
  <si>
    <t>ES89 0049 0627 9726 1085 5510</t>
  </si>
  <si>
    <t>EDGAR ESTEBAN RODAS GOMEZ</t>
  </si>
  <si>
    <t>BE27 9679 3840 8173</t>
  </si>
  <si>
    <t>EDGAR ESTIVEN NARANJO RUIZ</t>
  </si>
  <si>
    <t>BE53 9050 5997 9753</t>
  </si>
  <si>
    <t>EDGAR LONDOÑO VILLADA</t>
  </si>
  <si>
    <t>ES10 6893 0001 7100 0017 1510</t>
  </si>
  <si>
    <t>EDGAR STEVEN PENAGOS CESPEDES</t>
  </si>
  <si>
    <t>NL48 BUNQ 2166 1509 18</t>
  </si>
  <si>
    <t>EDGARDO JOAN SUAREZ</t>
  </si>
  <si>
    <t>ES55 0182 4960 2102 0166 4297</t>
  </si>
  <si>
    <t>EDGARDO LUIS GARCIA JULIO</t>
  </si>
  <si>
    <t>ES57 0182 3275 5202 0165 2902</t>
  </si>
  <si>
    <t>EDGARDO RAFAEL DE ARMAS URBANO</t>
  </si>
  <si>
    <t>ES76 6893 0001 7900 0028 5845</t>
  </si>
  <si>
    <t>EDIE JAVIER GUERRERO SARMIENTO</t>
  </si>
  <si>
    <t>ES51 0182 6786 0702 0155 5519</t>
  </si>
  <si>
    <t>EDILBERTO DOMINGUEZ PEREIRA</t>
  </si>
  <si>
    <t>EDILSON FIERRO DAGUA</t>
  </si>
  <si>
    <t>ES26 0182 5322 2102 0680 7313</t>
  </si>
  <si>
    <t>EDILSON RODRIGUEZ MARTINEZ</t>
  </si>
  <si>
    <t>ES24 0182 4003 1202 0167 1824</t>
  </si>
  <si>
    <t>EDILSON TORRES SALCEDO</t>
  </si>
  <si>
    <t>ES89 0182 7345 4802 0171 3250</t>
  </si>
  <si>
    <t>EDIMSON OMAR CARREÑO PINTO</t>
  </si>
  <si>
    <t xml:space="preserve">BE54 9052 0666 7597 </t>
  </si>
  <si>
    <t>EDINSON HUARI HUAMAN</t>
  </si>
  <si>
    <t xml:space="preserve">ES84 6893 0001 7200 0027 9739 </t>
  </si>
  <si>
    <t>EDINSON LOZANO TELLEZ</t>
  </si>
  <si>
    <t>ES07 0182 4388 1302 0186 6231</t>
  </si>
  <si>
    <t>EDINSON MANUEL DEL TORO MIRANDA</t>
  </si>
  <si>
    <t>ES66 0182 2125 3902 0160 1073</t>
  </si>
  <si>
    <t>EDINSON SIZA SANCHEZ</t>
  </si>
  <si>
    <t>LU83 4080 0000 4329 9628</t>
  </si>
  <si>
    <t>DolarApp</t>
  </si>
  <si>
    <t>EDSON MIULLER SANTANA ERAZO</t>
  </si>
  <si>
    <t>ES47 0182 1710 3902 0166 9113</t>
  </si>
  <si>
    <t>EDU PANDURO RUIZ</t>
  </si>
  <si>
    <t>BE90 9053 5093 8832</t>
  </si>
  <si>
    <t>EDUAR DARIO MOSQUERA</t>
  </si>
  <si>
    <t xml:space="preserve"> ES43 0182 1248 3802 0154 9938</t>
  </si>
  <si>
    <t>EDUAR MANUEL DAVILA CERON</t>
  </si>
  <si>
    <t>BE76 9054 4665 5095</t>
  </si>
  <si>
    <t>EDUARD JAVIER JULIO INDABURO</t>
  </si>
  <si>
    <t>NL18 BUNQ 2155 0836 61</t>
  </si>
  <si>
    <t>EDUARD YOVANNY LOZANO OSORIO</t>
  </si>
  <si>
    <t>BE31 9052 9879 3955</t>
  </si>
  <si>
    <t>EDUARDO ANTONIO ALVARADO CASTILLO</t>
  </si>
  <si>
    <t xml:space="preserve">ES07 0182 6755 4402 0157 4187 </t>
  </si>
  <si>
    <t>EDUARDO BAMBAREN CISTERNA</t>
  </si>
  <si>
    <t>ES09 0182 2626 6002 0169 4554</t>
  </si>
  <si>
    <t>EDUARDO DANIEL ESALAS MARTINEZ</t>
  </si>
  <si>
    <t>ES71 6893 0001 7300 0033 5020</t>
  </si>
  <si>
    <t>EDUARDO JOSE MENDOZA ARIAS</t>
  </si>
  <si>
    <t>EDUARDO JOSE RUSSO LINERO</t>
  </si>
  <si>
    <t>BE28 9052 3933 9120</t>
  </si>
  <si>
    <t>EDUARDO JOSE SEQUEDA CONTRERAS</t>
  </si>
  <si>
    <t>BE18 9054 7747 8665</t>
  </si>
  <si>
    <t>EDUARDO PINZON DITTA</t>
  </si>
  <si>
    <t>BE81 9678 1527 1424</t>
  </si>
  <si>
    <t>EDUARDO ROBERTO GUZMAN</t>
  </si>
  <si>
    <t>BE61 9051 6671 4917</t>
  </si>
  <si>
    <t>EDWAR ANDRES BENACHI ARCE</t>
  </si>
  <si>
    <t xml:space="preserve">ES07 0182 9055 4302 0166 2936  </t>
  </si>
  <si>
    <t>EDWAR ARIEL VELEZ POSADA</t>
  </si>
  <si>
    <t>BE58 9055 1631 8879</t>
  </si>
  <si>
    <t>EDWAR GITERLY TORRES LIZARAZO</t>
  </si>
  <si>
    <t>ES43 0182 0615 0002 0162 0601</t>
  </si>
  <si>
    <t>EDWAR VARGAS LOPEZ</t>
  </si>
  <si>
    <t>BE97 9054 4971 5649</t>
  </si>
  <si>
    <t>EDWARD FABIAN CRUZ HURTADO</t>
  </si>
  <si>
    <t>BE50 9050 5996 6518</t>
  </si>
  <si>
    <t>EDWARD FRANCISCO RAMIREZ JARAMILLO</t>
  </si>
  <si>
    <t>BE21 9053 4864 6703</t>
  </si>
  <si>
    <t>EDWARD IGNACIO DIAZ AVILA</t>
  </si>
  <si>
    <t>ES60 0182 0701 9702 0160 8623</t>
  </si>
  <si>
    <t>EDWARD JEFRID OSPINA MANOSALVA</t>
  </si>
  <si>
    <t>BE49 9054 6102 8071</t>
  </si>
  <si>
    <t>EDWIN ALBERTO CABRERA AGUILAR</t>
  </si>
  <si>
    <t>ES64 6893 0001 7200 0029 3097</t>
  </si>
  <si>
    <t>EDWIN ALBERTO CORTES GUERRERO</t>
  </si>
  <si>
    <t>ES45 0182 2455 6002 0165 3568</t>
  </si>
  <si>
    <t>EDWIN ALBERTO HINESTROZA</t>
  </si>
  <si>
    <t>ES33 0182 0702 3902 0165 0119</t>
  </si>
  <si>
    <t>EDWIN ALEXANDER DIAZ PITRE</t>
  </si>
  <si>
    <t>ES20 0182 0606 8702 0178 3557</t>
  </si>
  <si>
    <t>EDWIN ALFONSO ORTIZ DELGADO</t>
  </si>
  <si>
    <t>ES68 0182 9730 2602 0035 9385</t>
  </si>
  <si>
    <t>EDWIN BERNAL ARCINIEGAS</t>
  </si>
  <si>
    <t>ES32 0182 6936 1802 0159 9523</t>
  </si>
  <si>
    <t>EDWIN CASTANEDA HENAO</t>
  </si>
  <si>
    <t>ES07 0182 1215 8802 0155 3957</t>
  </si>
  <si>
    <t>EDWIN DAYAN BENITEZ RIOS</t>
  </si>
  <si>
    <t>PT50 0035 0379 0000 7080 130 58</t>
  </si>
  <si>
    <t>CAIXADIRECTA</t>
  </si>
  <si>
    <t>EDWIN DIAZ MARULANDA</t>
  </si>
  <si>
    <t xml:space="preserve">ES94 6893 0001 7800 0029 2166 </t>
  </si>
  <si>
    <t>EDWIN FERNANDO LINARES MACA</t>
  </si>
  <si>
    <t xml:space="preserve">BE08 9051 8010 0513 </t>
  </si>
  <si>
    <t>EDWIN FERNEY MORENO PARADA</t>
  </si>
  <si>
    <t>ES87 0182 4960 2102 0166 4303</t>
  </si>
  <si>
    <t>EDWIN FREDY SUAREZ CARDENAS</t>
  </si>
  <si>
    <t>BE49 9057 4663 4871</t>
  </si>
  <si>
    <t>EDWIN GARCES SINISTERRA</t>
  </si>
  <si>
    <t>ES08 2100 5002 4902 0013 6934</t>
  </si>
  <si>
    <t>EDWIN GOMEZ ROJAS</t>
  </si>
  <si>
    <t>ES91 0182 6398 2202 0169 3065</t>
  </si>
  <si>
    <t>EDWIN JOEL SILVA RAMOS</t>
  </si>
  <si>
    <t>ES56 0182 7421 5202 0270 2061</t>
  </si>
  <si>
    <t>EDWIN RAFAEL CAMARGO RUIZ</t>
  </si>
  <si>
    <t>ES61 0182 0043 1702 0168 6747</t>
  </si>
  <si>
    <t>EDWIN RAUL LIMA NARCISO</t>
  </si>
  <si>
    <t>ES46 0182 0917 0302 0174 7017</t>
  </si>
  <si>
    <t>EDWIN RODRIGO AVILA PENA</t>
  </si>
  <si>
    <t>ES35 6893 0001 7400 0031 6219</t>
  </si>
  <si>
    <t>EDWIN ROMARIO RODRIGUEZ SANABRIA</t>
  </si>
  <si>
    <t>ES13 0182 2082 1602 0168 9112</t>
  </si>
  <si>
    <t>EDWING ORTEGA BOSSIO</t>
  </si>
  <si>
    <t>BE77 9054 1155 5142</t>
  </si>
  <si>
    <t>EFRAIN DARIO SIMANCAS DAZA</t>
  </si>
  <si>
    <t xml:space="preserve">ES17 0182 5764 5502 0166 4146 </t>
  </si>
  <si>
    <t>EFRAIN MAXIMO CHILCA ORE</t>
  </si>
  <si>
    <t xml:space="preserve">ES26 0049 1330 5224 1027 8915 </t>
  </si>
  <si>
    <t>EISON SALAS AHUMEDO</t>
  </si>
  <si>
    <t>BE40 9053 0596 3063</t>
  </si>
  <si>
    <t>ELEOTERIO ESPINOZA HERRERA</t>
  </si>
  <si>
    <t>ES77 0182 0496 6802 0179 4297</t>
  </si>
  <si>
    <t>ELICEO FUENTES PARRA</t>
  </si>
  <si>
    <t>ES61 0182 4291 3502 0159 5879</t>
  </si>
  <si>
    <t>ELIECER ANTONIO ZURITA CORDDOBA</t>
  </si>
  <si>
    <t>ES32 6893 0001 7500 0024 2601</t>
  </si>
  <si>
    <t>ELIS RAMON GARCIA DIAZ</t>
  </si>
  <si>
    <t>ES82 0182 6800 9802 0179 7055</t>
  </si>
  <si>
    <t>ELITON APARECIDO DE ANDRADE</t>
  </si>
  <si>
    <t xml:space="preserve">PT50 0007 0000 0072 1640 6192 3 </t>
  </si>
  <si>
    <t>ELKIN ARMANDO GARZON LOPEZ</t>
  </si>
  <si>
    <t>ES33 0182 8738 7102 0262 1047</t>
  </si>
  <si>
    <t>ELKIN DE JESUS CERVANTES MANOTAS</t>
  </si>
  <si>
    <t>ES70 0182 0670 1702 0161 0227</t>
  </si>
  <si>
    <t>ELKIN GIOVANNI VALENZUELA DIAZ</t>
  </si>
  <si>
    <t xml:space="preserve">DE10 1001 1001 2469 4973 17 </t>
  </si>
  <si>
    <t>ELKIN YAIR QUINTANA SILVA</t>
  </si>
  <si>
    <t>ES78 0182 4390 2802 0177 6818</t>
  </si>
  <si>
    <t>ELMER JACKSON ROJAS CUMPA</t>
  </si>
  <si>
    <t>ES11 0182 0424 6002 0254 3273</t>
  </si>
  <si>
    <t>ELTON JHONNY GONGORA BELTRAN</t>
  </si>
  <si>
    <t>ES60 0182 0710 1602 0156 4806</t>
  </si>
  <si>
    <t>ELVIN AXEL POLO MANZANO</t>
  </si>
  <si>
    <t>BE67 9055 6012 4887</t>
  </si>
  <si>
    <t>ELVIS WILLY VARGAS CASTILLO</t>
  </si>
  <si>
    <t>ES02 0049 1176 4929 1007 3971</t>
  </si>
  <si>
    <t>EMANUEL JOSE LOBOS GATICA</t>
  </si>
  <si>
    <t xml:space="preserve">BE98 9674 9803 9893 </t>
  </si>
  <si>
    <t>EMANUEL NICOLAS MUNOZ FERNANDEZ</t>
  </si>
  <si>
    <t xml:space="preserve">ES76 0182 9725 8902 0029 4130 </t>
  </si>
  <si>
    <t>EMERSON DA SILVA</t>
  </si>
  <si>
    <t xml:space="preserve"> PT50 0023 0000 4565 6230 5349 4</t>
  </si>
  <si>
    <t>EMILIANO CUADROS LAGUADO</t>
  </si>
  <si>
    <t xml:space="preserve">ES50 0182 0699 7802 0164 2135 </t>
  </si>
  <si>
    <t>ENRI JAIME CALDAS BERMUDES</t>
  </si>
  <si>
    <t>ES57 0182 0845 1502 0220 2821</t>
  </si>
  <si>
    <t>ENRIQUE LIMA PUERTA</t>
  </si>
  <si>
    <t xml:space="preserve">ES81 6893 0001 7100 0033 5423 </t>
  </si>
  <si>
    <t>ENRIQUE PEREZ CARREAZO</t>
  </si>
  <si>
    <t>ES50 0182 3212 8002 0157 7303</t>
  </si>
  <si>
    <t>ENRIQUE RUBIANO AGUDELO</t>
  </si>
  <si>
    <t>ES06 6893 0001 7700 0033 7740</t>
  </si>
  <si>
    <t>ENRIQUE SABALZA RODRIGUEZ</t>
  </si>
  <si>
    <t>ES60 6893 0001 7900 0017 8463</t>
  </si>
  <si>
    <t>EON IVES ARAUJO REIS JUNIOR</t>
  </si>
  <si>
    <t>PT50 0007 0000 0070 3427 3172 3</t>
  </si>
  <si>
    <t>ERICKSON GOMES DA CUNHA</t>
  </si>
  <si>
    <t>PT50 0007 0000 0069 9851 0242 3</t>
  </si>
  <si>
    <t>ERIK CHARLY GOMEZ RIOS</t>
  </si>
  <si>
    <t>ES88 0182 4018 1802 0169 4072</t>
  </si>
  <si>
    <t>ERIK DAVID ALEGRIA GRANJA</t>
  </si>
  <si>
    <t>LT85 3250 0484 3812 1463</t>
  </si>
  <si>
    <t>ERIK RUBEN RAMIREZ SIMANCAS</t>
  </si>
  <si>
    <t>ES61 0182 8181 1102 0234 2582</t>
  </si>
  <si>
    <t>ERIKC SAUL JIMENEZ SORACA</t>
  </si>
  <si>
    <t>BE60 9053 5228 1270</t>
  </si>
  <si>
    <t>ERLEIN GOMEZ RAMOS</t>
  </si>
  <si>
    <t xml:space="preserve">ES57 0182 8181 1502 0233 8190 </t>
  </si>
  <si>
    <t>ERMINSON OMAR INFANTE CASAS</t>
  </si>
  <si>
    <t>ES74 2080 0405 4430 4004 9938</t>
  </si>
  <si>
    <t>ABANCA</t>
  </si>
  <si>
    <t>ERNESTO GERMAN HERRERA</t>
  </si>
  <si>
    <t>PT50 0269 0373 0020 9419 1665 1</t>
  </si>
  <si>
    <t>BANKINTER</t>
  </si>
  <si>
    <t>ESNEIDER ALFONSO GALAN MENCO</t>
  </si>
  <si>
    <t>BE13 9051 1989 5239</t>
  </si>
  <si>
    <t>ESNEYDER TORRES ULLOA</t>
  </si>
  <si>
    <t xml:space="preserve">NL53 BUNQ 2140 6245 99 </t>
  </si>
  <si>
    <t>ESTEBAN DARIO ACOSTA MARTINEZ</t>
  </si>
  <si>
    <t>ES50 0182 3100 8702 0178 6163</t>
  </si>
  <si>
    <t>EUSEBIO ANAMURO CUSI</t>
  </si>
  <si>
    <t>ES86 6893 0001 7600 0027 7373</t>
  </si>
  <si>
    <t>EUSEBIO DE JESUS MEJIA DE LA ROSA</t>
  </si>
  <si>
    <t>ES54 0182 3834 3002 0161 9294</t>
  </si>
  <si>
    <t>EVARISTO ERNESTO MILANDO</t>
  </si>
  <si>
    <t xml:space="preserve">PT50 0007 0000 0074 2713 9662 3 </t>
  </si>
  <si>
    <t>EVELIO ANGULO ANGULO</t>
  </si>
  <si>
    <t>ES83 0182 0057 7502 0161 6655</t>
  </si>
  <si>
    <t>EVERTH CASTRO GONZALEZ</t>
  </si>
  <si>
    <t>BE10 9052 2684 3904</t>
  </si>
  <si>
    <t>EXEARIO ENRIQUE SANCHEZ</t>
  </si>
  <si>
    <t>ES81 0182 4960 2402 0165 4661</t>
  </si>
  <si>
    <t>EZEQUIEL AUGUSTO DA SILVA LIMA</t>
  </si>
  <si>
    <t>PT50 0007 0000 0038 5742 8112 3</t>
  </si>
  <si>
    <t>FABER FABIAN DE LA CRUZ RIQUETT</t>
  </si>
  <si>
    <t>ES91 6893 0001 7000 0029 4358</t>
  </si>
  <si>
    <t>FABIAN ANDRES BERNAL MONTENEGRO</t>
  </si>
  <si>
    <t xml:space="preserve">BE06 9051 8519 3922 </t>
  </si>
  <si>
    <t>FABIAN ARTURO RUIZ GARCIA</t>
  </si>
  <si>
    <t xml:space="preserve">ES59 0182 6786 0902 0155 5762 </t>
  </si>
  <si>
    <t>FABIAN JARAMILLO MARIN</t>
  </si>
  <si>
    <t>BE53 9054 7119 1853</t>
  </si>
  <si>
    <t>FABIAN LEONARDO CERON VALENCIA</t>
  </si>
  <si>
    <t xml:space="preserve"> ES72 0182 1150 0202 0159 3522 </t>
  </si>
  <si>
    <t>FABIAN LLERAR ROA MATEUS</t>
  </si>
  <si>
    <t>ES56 1576 1212 1110 1044 6399</t>
  </si>
  <si>
    <t>FABIAN ORLANDO VARGAS RIOS</t>
  </si>
  <si>
    <t>BE42 9057 7680 0154</t>
  </si>
  <si>
    <t>FABIANIZ GIRADO MARTINEZ</t>
  </si>
  <si>
    <t>ES23 0182 0529 2602 0167 8307</t>
  </si>
  <si>
    <t>FABIANO ANTUNES DE CARVALHO</t>
  </si>
  <si>
    <t>PT50 0007 0000 0064 9706 9712 3</t>
  </si>
  <si>
    <t>FABIO ANDRES LUJAN ARANGO</t>
  </si>
  <si>
    <t>ES79 0182 3212 8702 0157 5468</t>
  </si>
  <si>
    <t>FABIO CESAR BEZERRA</t>
  </si>
  <si>
    <t>PT50 0010 0000 5989 4940 0013 1</t>
  </si>
  <si>
    <t>FABIO DOMINGUEZ BRAVO</t>
  </si>
  <si>
    <t>ES03 6893 0001 7100 0034 0513</t>
  </si>
  <si>
    <t>FABIO GOMES DOS ANJOS</t>
  </si>
  <si>
    <t>BE91 9679 8049 6776</t>
  </si>
  <si>
    <t>FABIO LEON OROZCO RODRIGUEZ</t>
  </si>
  <si>
    <t>ES94 0182 6900 2402 0208 4331</t>
  </si>
  <si>
    <t>FANOR ENRIQUE BAHOS OVIEDO</t>
  </si>
  <si>
    <t>ES48 0182 1016 5202 0215 0813</t>
  </si>
  <si>
    <t>FARID ENRIQUE DE LAS SALAS COGOLLO</t>
  </si>
  <si>
    <t>ES65 0182 2229 5002 0161 8632</t>
  </si>
  <si>
    <t>FARID JOSE ROJAS GUERRA</t>
  </si>
  <si>
    <t>ES21 0182 2648 1702 0166 2656</t>
  </si>
  <si>
    <t>FARID SAMUEL URUETA HEREDIA</t>
  </si>
  <si>
    <t xml:space="preserve">ES14 0049 1986 0328 1005 1692 </t>
  </si>
  <si>
    <t>FELIPE DOS SANTOS</t>
  </si>
  <si>
    <t xml:space="preserve">PT50 0010 0000 6220 0330 0016 5 </t>
  </si>
  <si>
    <t>FELIPE GUTIERREZ ALFARO</t>
  </si>
  <si>
    <t>ES11 0049 5413 5224 1609 0490</t>
  </si>
  <si>
    <t>FELIPE LOAIZA CARDENAS</t>
  </si>
  <si>
    <t>ES54 6893 0001 7900 0031 1849</t>
  </si>
  <si>
    <t>FELIPE OQUENDO CALLEJAS</t>
  </si>
  <si>
    <t>BE35 9055 2083 4837</t>
  </si>
  <si>
    <t>FELIPE SANTOS DA SILVA</t>
  </si>
  <si>
    <t>ES33 2100 1129 7702 0044 3416</t>
  </si>
  <si>
    <t>FELIX DARIO MAESTRE DEL GUERCIO</t>
  </si>
  <si>
    <t>ES90 0182 4882 2602 0159 9907</t>
  </si>
  <si>
    <t>FENIX DE JESUS BARBOSA COLORADO</t>
  </si>
  <si>
    <t>ES49 0182 7782 4102 0165 5700</t>
  </si>
  <si>
    <t>FERNANDO ALFREDO VELEZ VALENCIA</t>
  </si>
  <si>
    <t>ES85 6893 0001 7400 0033 5204</t>
  </si>
  <si>
    <t>FERNANDO ANTONIO CARDENAS CARDENAS</t>
  </si>
  <si>
    <t>ES10 0182 4003 1302 0167 7556</t>
  </si>
  <si>
    <t>FERNANDO DA SILVA NOGAL</t>
  </si>
  <si>
    <t>BE08 0636 5438 8913</t>
  </si>
  <si>
    <t>BANCONTACT</t>
  </si>
  <si>
    <t>FERNANDO DARIO LUNA PINEDA</t>
  </si>
  <si>
    <t>PL39 1160 2202 0000 0006 6910 5520</t>
  </si>
  <si>
    <t>FERNANDO EMANUEL GUEVARAS</t>
  </si>
  <si>
    <t>ES33 0182 9725 8202 0029 0688</t>
  </si>
  <si>
    <t>FERNANDO ENRIQUE SALAS ARCO</t>
  </si>
  <si>
    <t>BE02 9678 1520 5140</t>
  </si>
  <si>
    <t>FERNANDO VELEZ GIRALDO</t>
  </si>
  <si>
    <t>BE38 9054 1996 8072</t>
  </si>
  <si>
    <t>FERNEY ALEXANDER VARGAS SERRANO</t>
  </si>
  <si>
    <t>ES54 0182 6556 1202 0166 4399</t>
  </si>
  <si>
    <t>FILIBERTO GAITAN PEREZ</t>
  </si>
  <si>
    <t>BE34 9050 6659 8890</t>
  </si>
  <si>
    <t>FRANCISCO ALBERTO MARAVI CHUMBE</t>
  </si>
  <si>
    <t>ES86 6893 0001 7100 0026 6269</t>
  </si>
  <si>
    <t>FRANCISCO ALBERTO OCHOA GAITAN</t>
  </si>
  <si>
    <t>ES02 6893 0001 7100 0030 5029</t>
  </si>
  <si>
    <t>FRANCISCO JAVIER BENITEZ RESTREPO</t>
  </si>
  <si>
    <t>ES23 0182 7312 9202 0164 6905</t>
  </si>
  <si>
    <t>FRANCISCO JAVIER MERCADO MELENDEZ</t>
  </si>
  <si>
    <t>BE45 9052 1257 4089</t>
  </si>
  <si>
    <t>FRANCISCO JAVIER OJEDA MACHADO</t>
  </si>
  <si>
    <t>BE78 9056 9631 2786</t>
  </si>
  <si>
    <t>FRANCISCO MANUEL PASSOS</t>
  </si>
  <si>
    <t>PT50 0035 0361 0000 4591 9300 2</t>
  </si>
  <si>
    <t>FRANCO ANDRES MELO RODRIGUEZ</t>
  </si>
  <si>
    <t>BE33 9679 0140 9646</t>
  </si>
  <si>
    <t>FRANCO CESAR GONZALES CUMPA</t>
  </si>
  <si>
    <t>ES29 6893 0001 7500 0026 4771</t>
  </si>
  <si>
    <t>FRANCO NAHUEL ARCE</t>
  </si>
  <si>
    <t>ES90 6893 0001 7100 0016 0467</t>
  </si>
  <si>
    <t>FRANK ANTHONY QUIÑONES ALVARADO</t>
  </si>
  <si>
    <t>ES38 2100 5779 2402 0033 2054</t>
  </si>
  <si>
    <t>FRANK ESNEIDER PEREZ TABARES</t>
  </si>
  <si>
    <t>ES81 6893 0001 7200 0031 0639</t>
  </si>
  <si>
    <t>FRANK PERDOMO YUCUMA</t>
  </si>
  <si>
    <t>ES85 0182 0496 6002 0179 7746</t>
  </si>
  <si>
    <t>FRANKLIN ALEXANDER CASSIANI HERRERA</t>
  </si>
  <si>
    <t>PL17 1020 4144 0000 6402 0341 5973</t>
  </si>
  <si>
    <t>FRANKLYN OMAR DE LA CRUZ SERNAQUE</t>
  </si>
  <si>
    <t>BE42 9054 8308 4154</t>
  </si>
  <si>
    <t>FRANKY EXNEIDER ORDUZ NIÑO</t>
  </si>
  <si>
    <t>BE30 9054 2367 7011</t>
  </si>
  <si>
    <t>FRAY DAVID GIL VALENCIA</t>
  </si>
  <si>
    <t>ES09 0182 0374 9602 0154 6206</t>
  </si>
  <si>
    <t>FRAY LUIS ESPITIA LOPEZ</t>
  </si>
  <si>
    <t xml:space="preserve">FR76 1659 8000 0140 0004 7013 251 </t>
  </si>
  <si>
    <t>FREDDY ANDRES BAYONA CASTRO</t>
  </si>
  <si>
    <t>ES51 6893 0001 7700 0034 0616</t>
  </si>
  <si>
    <t>FREDERICK AU BLANQUICETT</t>
  </si>
  <si>
    <t>BE06 9056 8886 6422</t>
  </si>
  <si>
    <t>FREDERY DURANGO DELGADO</t>
  </si>
  <si>
    <t>BE39 9678 1519 3319</t>
  </si>
  <si>
    <t>FREDIS ANTONIO MORELOS COLON</t>
  </si>
  <si>
    <t>BE05 9053 5228 1775</t>
  </si>
  <si>
    <t>FREDIS BARRIOS MARTINEZ</t>
  </si>
  <si>
    <t>ES87 0182 0117 1502 0170 1301</t>
  </si>
  <si>
    <t>FREDIS BOLAÑOS GARCIA</t>
  </si>
  <si>
    <t>ES89 0182 6936 1302 0159 9615</t>
  </si>
  <si>
    <t>FREDY ALEXANDER GOMEZ CORTES</t>
  </si>
  <si>
    <t>ES94 0182 0278 3202 0160 1209</t>
  </si>
  <si>
    <t>FREDY JAVIER CCALLA ROJAS</t>
  </si>
  <si>
    <t>ES84 0182 0187 2702 0162 9464</t>
  </si>
  <si>
    <t>FREDY MANCERA URIBE</t>
  </si>
  <si>
    <t>ES95 0182 4388 1202 0186 5375</t>
  </si>
  <si>
    <t>FREDY RICARDO AGUDELO SALAMANCA</t>
  </si>
  <si>
    <t>BE56 9056 5075 2088</t>
  </si>
  <si>
    <t>FREDY ULISES LEON SANTIAGO</t>
  </si>
  <si>
    <t>ES94 0049 2795 8122 1463 2978</t>
  </si>
  <si>
    <t>FREILY JOSE CARO VILORIA</t>
  </si>
  <si>
    <t>PL63 1020 5297 0000 1002 0275 3150</t>
  </si>
  <si>
    <t>GABRIEL OCHOA GAITAN</t>
  </si>
  <si>
    <t>ES94 0182 5400 2302 0221 8259</t>
  </si>
  <si>
    <t>GEINER DE LA CRUZ RIQUETT</t>
  </si>
  <si>
    <t>ES79 6893 0001 7600 0027 7111</t>
  </si>
  <si>
    <t>GEORGE BILLY CIENFUEGOS SUAREZ</t>
  </si>
  <si>
    <t>ES69 0182 8674 4102 0164 8473</t>
  </si>
  <si>
    <t>GERARDO LARA GONZALEZ</t>
  </si>
  <si>
    <t>ES58 0182 8323 2602 0195 7471</t>
  </si>
  <si>
    <t>GERMAN ALONSO PRIETO ALARCÓN</t>
  </si>
  <si>
    <t>ES50 0182 4026 8502 0181 8143</t>
  </si>
  <si>
    <t>GERMAN DARIO MERCHAN CARO</t>
  </si>
  <si>
    <t>ES79 0182 5011 1302 0223 3328</t>
  </si>
  <si>
    <t>GERMAN GASPAR GODOY</t>
  </si>
  <si>
    <t>ES22 0182 4590 1902 0161 8596</t>
  </si>
  <si>
    <t>GERMAN JOSE GAMBOA FARIAS</t>
  </si>
  <si>
    <t>BE17 9056 6708 9821</t>
  </si>
  <si>
    <t>GERMAN MAURICIO CARO CASTRO</t>
  </si>
  <si>
    <t>ES41 0182 1215 8802 0155 2763</t>
  </si>
  <si>
    <t>GERSON ANDRES LOPEZ LONDONO</t>
  </si>
  <si>
    <t>ES21 0182 5929 6102 0157 9676</t>
  </si>
  <si>
    <t>GERSON STEVENS BELTRAN CASTELLANOS</t>
  </si>
  <si>
    <t>ES58 0182 6936 1202 0159 9349</t>
  </si>
  <si>
    <t>GIAN CARLOS SAAVEDRA LAPA</t>
  </si>
  <si>
    <t>ES76 0182 5430 4002 0169 6912</t>
  </si>
  <si>
    <t>GILBER MORA DIAZ</t>
  </si>
  <si>
    <t>ES58 0182 0345 1502 0184 9503</t>
  </si>
  <si>
    <t>GILMAR LUIS PARRILLA ALCANTARA</t>
  </si>
  <si>
    <t>ES88 0182 0956 5302 0179 1525</t>
  </si>
  <si>
    <t>GIOVANNI CHRISTIAN SALAZAR HIDALGO</t>
  </si>
  <si>
    <t>ES40 0182 1215 8102 0155 2930</t>
  </si>
  <si>
    <t>GIOVANNI DAVID MORAN RODRIGUEZ</t>
  </si>
  <si>
    <t>BE47 9679 6001 0780</t>
  </si>
  <si>
    <t>GIOVANNY ANTONIO COBOS ROBLES</t>
  </si>
  <si>
    <t>ES60 0049 4668 1329 1605 7748</t>
  </si>
  <si>
    <t>GLEIDSON WASHINGTON SANTOS OLIVEIRA XAVIER</t>
  </si>
  <si>
    <t>PT50 0033 0000 4564 6159 0240 5</t>
  </si>
  <si>
    <t>GONZALO ARIEL NAVARRO</t>
  </si>
  <si>
    <t>ES10 6893 0001 7100 0020 3132</t>
  </si>
  <si>
    <t>GONZALO JAVIER CERON GARCIA</t>
  </si>
  <si>
    <t>ES85 0182 7029 7302 0159 1709</t>
  </si>
  <si>
    <t>GONZALO MISAEL GOMEZ</t>
  </si>
  <si>
    <t>BE27 9056 9823 2073</t>
  </si>
  <si>
    <t>GONZALO QUINTANA PIMIENTO</t>
  </si>
  <si>
    <t>ES47 6893 0001 7900 0031 0617</t>
  </si>
  <si>
    <t>GONZALO RENE RIVAS GAVIRIA</t>
  </si>
  <si>
    <t>BE14 9050 2903 0083</t>
  </si>
  <si>
    <t>GRAVIEL ISIDRO DIAZ OROPEZA</t>
  </si>
  <si>
    <t xml:space="preserve">ES14 6893 0001 7700 0027 7844 </t>
  </si>
  <si>
    <t>GREGORIO HERNAN ARIAS JARAMILLO</t>
  </si>
  <si>
    <t>ES71 0182 3337 9702 0161 0873</t>
  </si>
  <si>
    <t>GRISERIO COLLAZOS MURCIA</t>
  </si>
  <si>
    <t>ES15 0182 5005 0002 0159 4441</t>
  </si>
  <si>
    <t>GUBERNEY HURTADO SAUCEDO</t>
  </si>
  <si>
    <t>ES34 0049 1382 0020 1004 1199</t>
  </si>
  <si>
    <t>GUERMAIN ISAAC SAJAMIN PANDURO</t>
  </si>
  <si>
    <t>ES09 6893 0001 7400 0026 4695</t>
  </si>
  <si>
    <t>GUILLERMO ALFONSO CHACON BOHORQUEZ</t>
  </si>
  <si>
    <t xml:space="preserve">BE84 9679 7986 4559 </t>
  </si>
  <si>
    <t>GUILLERMO ALFONSO TEJADA VILLAMIZAR</t>
  </si>
  <si>
    <t xml:space="preserve">ES03 0049 1785 9121 1003 5109 </t>
  </si>
  <si>
    <t>GUILLERMO ARCINIEGAS MURILLO</t>
  </si>
  <si>
    <t xml:space="preserve"> ES11 0182 6786 0802 0155 7645</t>
  </si>
  <si>
    <t>GUILLERMO LEON POSADA LONDONO</t>
  </si>
  <si>
    <t>GULFRAN ENRIQUE LUGO GUTIERREZ</t>
  </si>
  <si>
    <t>PL96 1090 1102 0000 0001 6255 2624</t>
  </si>
  <si>
    <t>GUSTAVO ADOLFO VALLECILLA GRANJA</t>
  </si>
  <si>
    <t xml:space="preserve"> BE70 9679 7922 0925</t>
  </si>
  <si>
    <t>GUSTAVO ANDRES DUQUE CASTILLO</t>
  </si>
  <si>
    <t>BE75 9057 9199 9751</t>
  </si>
  <si>
    <t>GUSTAVO ANDRES PORRAS MORALES</t>
  </si>
  <si>
    <t>ES41 0182 7345 4102 0171 2226</t>
  </si>
  <si>
    <t>GUSTAVO DAMIAN DONOSO</t>
  </si>
  <si>
    <t>BE63 9675 2024 4308</t>
  </si>
  <si>
    <t>GUSTAVO MENDES TEIXEIRA DA SILVA</t>
  </si>
  <si>
    <t>PT50 0007 0000 0079 6431 5962 3</t>
  </si>
  <si>
    <t>GUSTAVO RAFAEL CARRILLO NUNEZ</t>
  </si>
  <si>
    <t xml:space="preserve"> BE62 9057 0876 5061</t>
  </si>
  <si>
    <t>GUSTAVO YOLIAN MEJIA SALAZAR</t>
  </si>
  <si>
    <t>ES93 0182 1366 2802 0161 2013</t>
  </si>
  <si>
    <t>HANNER STIVEN GUZMAN PENCUA</t>
  </si>
  <si>
    <t>ES77 0182 1275 1902 0216 8446</t>
  </si>
  <si>
    <t>HARLIM YAIR SILVA MIRANDA</t>
  </si>
  <si>
    <t>BE13 9054 1448 4239</t>
  </si>
  <si>
    <t>HARLYS ENRIQUE DOMINGUEZ ALGARIN</t>
  </si>
  <si>
    <t xml:space="preserve">BE50 9051 5365 8818 </t>
  </si>
  <si>
    <t>HAROLD ALBERTO GRISALES ARRIETA</t>
  </si>
  <si>
    <t>ES24 0182 2232 0202 0162 3706</t>
  </si>
  <si>
    <t>HAROLD HEVER ALARCON MOLINA</t>
  </si>
  <si>
    <t>ES17 0182 3577 5402 0235 6127</t>
  </si>
  <si>
    <t>HAROLD LLERENA BELTRAN</t>
  </si>
  <si>
    <t>PT50 0033 0000 4579 1296 5350 5</t>
  </si>
  <si>
    <t>HAROLD REFERTIN SERNAQUE CARRASCO</t>
  </si>
  <si>
    <t>ES40 6893 0001 7500 0026 4767</t>
  </si>
  <si>
    <t>HAROLD SMITH MAESTRE LEON</t>
  </si>
  <si>
    <t>ES89 1563 2626 3432 6259 4795</t>
  </si>
  <si>
    <t>HARRIS HUMBERTO MENDOZA ANGULO</t>
  </si>
  <si>
    <t>ES35 0182 2125 3202 0160 1004</t>
  </si>
  <si>
    <t>HECTOR DAVID LEQUERNAQUE DIAZ</t>
  </si>
  <si>
    <t>ES34 0182 7345 4102 0170 6241</t>
  </si>
  <si>
    <t>HECTOR DAVID RAMOS BUHEZO</t>
  </si>
  <si>
    <t>ES28 0049 0688 7827 1171 8775</t>
  </si>
  <si>
    <t>HECTOR EDUARDO RIVERO MANZANO</t>
  </si>
  <si>
    <t>ES18 0182 3275 5202 0165 2537</t>
  </si>
  <si>
    <t>HECTOR FABIAN ROJAS GOMEZ</t>
  </si>
  <si>
    <t>ES42 0182 0256 1702 0191 1179</t>
  </si>
  <si>
    <t>HECTOR FABIO GOMEZ ROMAN</t>
  </si>
  <si>
    <t>ES34 0182 4464 2102 0167 3373</t>
  </si>
  <si>
    <t>HECTOR FABIO GUZMAN CAICEDO</t>
  </si>
  <si>
    <t>ES43 0182 4026 8102 0181 8174</t>
  </si>
  <si>
    <t>HECTOR FABIO MAHETE CEDEÑO</t>
  </si>
  <si>
    <t>ES19 0182 0956 5602 0176 9922</t>
  </si>
  <si>
    <t>HECTOR FABIO VASQUEZ MAYORGA</t>
  </si>
  <si>
    <t>ES79 0182 0660 4102 0167 3506</t>
  </si>
  <si>
    <t>HECTOR FABIO VIVAS GUTIERREZ</t>
  </si>
  <si>
    <t>ES31 0182 7312 9502 0165 0397</t>
  </si>
  <si>
    <t>HECTOR GIOVANNI MORENO SUSA</t>
  </si>
  <si>
    <t>ES83 0182 9348 1702 0162 9859</t>
  </si>
  <si>
    <t>HECTOR JAIME ROA CONTRERAS</t>
  </si>
  <si>
    <t>ES53 0182 7611 5602 0168 0903</t>
  </si>
  <si>
    <t>HECTOR JAUMEN GUEVARA FORERO</t>
  </si>
  <si>
    <t>BE51 9057 4462 6062</t>
  </si>
  <si>
    <t>HECTOR JESUS QUINONES PEREZ</t>
  </si>
  <si>
    <t>ES83 0182 1216 2802 0160 6016</t>
  </si>
  <si>
    <t>HECTOR JULIAN MOSQUERA OROBIO</t>
  </si>
  <si>
    <t>ES26 0182 0845 1702 0220 3572</t>
  </si>
  <si>
    <t>HECTOR LUCIANO CAMELO BENAVIDES</t>
  </si>
  <si>
    <t>ES32 0182 4390 2102 0177 6825</t>
  </si>
  <si>
    <t>HECTOR LUIS PARRAGA ZAVALA</t>
  </si>
  <si>
    <t>ES26 0182 1226 1902 0159 3209</t>
  </si>
  <si>
    <t>HECTOR MANUEL BUELVAS ZAMBRANO</t>
  </si>
  <si>
    <t>HECTOR REYNALDO CHAVEZ</t>
  </si>
  <si>
    <t>ES80 0182 6855 8702 0180 4580</t>
  </si>
  <si>
    <t>HECTOR ROMAN LUQUE CUTIPA</t>
  </si>
  <si>
    <t>ES77 0182 1965 1702 0169 8805</t>
  </si>
  <si>
    <t>HECTOR SANCHEZ GUERRERO</t>
  </si>
  <si>
    <t>ES64 0182 1215 8102 0155 2886</t>
  </si>
  <si>
    <t>HEDICXON OLIVIO QUINONES PEREZ</t>
  </si>
  <si>
    <t>ES37 0182 1216 2102 0160 6023</t>
  </si>
  <si>
    <t>HEINER GONZALEZ ALAPE</t>
  </si>
  <si>
    <t>ES32 0182 1007 2502 0346 6254</t>
  </si>
  <si>
    <t>HELKIN ANTONIO OJEDA DE LA CRUZ</t>
  </si>
  <si>
    <t>BE25 9678 9737 8082</t>
  </si>
  <si>
    <t>HELMER STIWAR MONTAÑA</t>
  </si>
  <si>
    <t>ES04 0182 0317 9502 0158 3048</t>
  </si>
  <si>
    <t>HELMUT WALTER ROSALES MURILLO</t>
  </si>
  <si>
    <t>ES26 6893 0001 7000 0028 9126</t>
  </si>
  <si>
    <t>HEMERSON GARCIA MOSQUERA</t>
  </si>
  <si>
    <t xml:space="preserve">ES37 6893 0001 7400 0021 4624 </t>
  </si>
  <si>
    <t>HENRIS ORTEGA BOSSIO</t>
  </si>
  <si>
    <t>BE57 9054 2134 1735</t>
  </si>
  <si>
    <t>HENRRY CASTRO COLLACHAGUA</t>
  </si>
  <si>
    <t>ES58 6893 0001 7100 0027 8025</t>
  </si>
  <si>
    <t>HENRY BOHORQUEZ VEGA</t>
  </si>
  <si>
    <t>ES36 2100 1943 3107 0000 5744</t>
  </si>
  <si>
    <t>HENRY MARTINEZ CABEZAS</t>
  </si>
  <si>
    <t>BE26 9057 3126 5829</t>
  </si>
  <si>
    <t>HERLEN DAVID RAMIREZ LACERA</t>
  </si>
  <si>
    <t>ES82 0182 8323 2002 0195 6751</t>
  </si>
  <si>
    <t>HERLEY REYES AMAYA</t>
  </si>
  <si>
    <t xml:space="preserve">ES81 6893 0001 7600 0020 7138 </t>
  </si>
  <si>
    <t>HERMAN COLLAZOS MURCIA</t>
  </si>
  <si>
    <t>ES04 0182 8680 3102 0039 2907</t>
  </si>
  <si>
    <t>HERMES EDUARDO RODRIGUEZ PAJARO</t>
  </si>
  <si>
    <t xml:space="preserve">ES25 6893 0001 7100 0020 0631 </t>
  </si>
  <si>
    <t>HERMIDES VILLADIEGO DAGER</t>
  </si>
  <si>
    <t>ES66 0182 4018 1502 0170 0726</t>
  </si>
  <si>
    <t>HERNAN ALONSO CONTRERAS MARROQUIN</t>
  </si>
  <si>
    <t>ES86 0182 0275 1702 0168 0517</t>
  </si>
  <si>
    <t>HERNAN GERONIMO ALEJANDRO TARAZONA</t>
  </si>
  <si>
    <t>ES33 0049 3002 5521 1478 5810</t>
  </si>
  <si>
    <t>HERNAN RODRIGUEZ CUY</t>
  </si>
  <si>
    <t>ES34 6893 0001 7400 0025 8134</t>
  </si>
  <si>
    <t>HERNANDO AUGUSTO GALINDO GOMEZ</t>
  </si>
  <si>
    <t>ES77 0182 7351 3102 0160 4195</t>
  </si>
  <si>
    <t>HERNANDO ENRIQUE MAESTRE CASTILLA</t>
  </si>
  <si>
    <t>ES91 0182 0602 1702 0160 7235</t>
  </si>
  <si>
    <t>HERNANDO ORTIZ ALVAREZ</t>
  </si>
  <si>
    <t>ES22 0182 2125 3302 0160 0995</t>
  </si>
  <si>
    <t>HEVERT CONDORHUAMAN GALLEGOS</t>
  </si>
  <si>
    <t xml:space="preserve">ES81 6893 0001 7100 0027 9745 </t>
  </si>
  <si>
    <t>HUERLIN MANGLIO ALVARADO GUZMÁN</t>
  </si>
  <si>
    <t>ES47 0049 2439 1921 1543 2683</t>
  </si>
  <si>
    <t>HUGO ALBENIZ PULIDO MARTINEZ</t>
  </si>
  <si>
    <t>ES66 0182 3463 6502 0165 8514</t>
  </si>
  <si>
    <t>HUGO ALEXANDER SERRANO ALCALDE</t>
  </si>
  <si>
    <t>ES98 0182 4072 6902 0175 6981</t>
  </si>
  <si>
    <t>HUGO ARSENIO ORTEGA HERRERA</t>
  </si>
  <si>
    <t>ES14 6893 0001 7200 0033 2021</t>
  </si>
  <si>
    <t>HUGO MAMANI HERRERA</t>
  </si>
  <si>
    <t>ES78 6893 0001 7700 0027 7371</t>
  </si>
  <si>
    <t>HUGO NELSON HERRERA MEDINA</t>
  </si>
  <si>
    <t>ES06 0182 1245 1102 0166 8186</t>
  </si>
  <si>
    <t>HUMBERTO ENRIQUE MARTINEZ</t>
  </si>
  <si>
    <t>HUMBERTO HERRERA GAVIRIA</t>
  </si>
  <si>
    <t>FR76 1659 8000 0140 0010 3859 228</t>
  </si>
  <si>
    <t>HUMBERTO OCHOA RIOS</t>
  </si>
  <si>
    <t>ES91 0182 2125 3502 0160 1110</t>
  </si>
  <si>
    <t>IGNACIO ANTONIO ROLDAN AREVALO</t>
  </si>
  <si>
    <t>ES54 0182 1275 1502 0217 4100</t>
  </si>
  <si>
    <t>ILLERMAN DE LA HOZ PELAEZ</t>
  </si>
  <si>
    <t>BE72 9055 9207 9216</t>
  </si>
  <si>
    <t>IRVING JOEL MARTINEZ RUMICHE</t>
  </si>
  <si>
    <t>ES10 0182 7345 4602 0170 6234</t>
  </si>
  <si>
    <t>ISAAC ABRAHAN RUBILAR</t>
  </si>
  <si>
    <t>PT50 0036 0368 9910 6024 6577 7</t>
  </si>
  <si>
    <t>ISAHAC EMILIO RADA BRUGES</t>
  </si>
  <si>
    <t>ES61 0182 0021 8402 0157 2141</t>
  </si>
  <si>
    <t>ISAIAS MUNOZ MACHADO</t>
  </si>
  <si>
    <t>ES21 6893 0001 7100 0026 4141</t>
  </si>
  <si>
    <t>ISAQUE FRANCISCO DOS SANTOS OLIVEIRA</t>
  </si>
  <si>
    <t>PT50 0010 0000 5943 8480 0018 8</t>
  </si>
  <si>
    <t>ISHAK KASSA</t>
  </si>
  <si>
    <t>FR76 2823 3000 0195 8472 9674 546</t>
  </si>
  <si>
    <t>ISMAEL ALBERTO MENESES VALDES</t>
  </si>
  <si>
    <t>ES55 0049 4890 2722 1615 8848</t>
  </si>
  <si>
    <t>ISMAEL DA SILVA</t>
  </si>
  <si>
    <t>PT50 0007 0000 0066 5629 9092 3</t>
  </si>
  <si>
    <t>ISMAEL JUNIO DOS SANTOS</t>
  </si>
  <si>
    <t>BE29 9674 8694 0164</t>
  </si>
  <si>
    <t>ISMAEL MENDEZ GAITAN</t>
  </si>
  <si>
    <t>ES49 0182 0600 0302 0175 0300</t>
  </si>
  <si>
    <t>ISRAEL ANTHONY GARCIA MOREANO</t>
  </si>
  <si>
    <t>ES06 0049 3001 0229 1423 4522</t>
  </si>
  <si>
    <t>ISRAEL BENAVIDES PRECIADO</t>
  </si>
  <si>
    <t>ES06 0182 0079 0402 0156 0862</t>
  </si>
  <si>
    <t>IVAN DARIO CASTRO BLANCO</t>
  </si>
  <si>
    <t>BE57 9678 8247 4135</t>
  </si>
  <si>
    <t>IVAN DARIO GARCIA CHIQUIZA</t>
  </si>
  <si>
    <t>BE60 9050 3341 3170</t>
  </si>
  <si>
    <t>IVAN DARIO GONZALEZ PEREZ</t>
  </si>
  <si>
    <t>ES67 0182 3660 1102 0164 6345</t>
  </si>
  <si>
    <t>IVAN DARIO VALLEJO BARRAZA</t>
  </si>
  <si>
    <t>PL08 1090 1926 0000 0001 5830 1856</t>
  </si>
  <si>
    <t>IVAN DE JESUS HERNANDEZ GARCIA</t>
  </si>
  <si>
    <t>ES91 0182 0382 7802 0167 1312</t>
  </si>
  <si>
    <t>IVAN PRADA LOPEZ</t>
  </si>
  <si>
    <t>ES06 0182 8674 4302 0164 9315</t>
  </si>
  <si>
    <t>IVANOR HERNANDEZ HERRERA</t>
  </si>
  <si>
    <t>ES55 0049 7348 1428 1004 4797</t>
  </si>
  <si>
    <t>IVER ALONSO TORRES MONTAÑO</t>
  </si>
  <si>
    <t>ES78 0182 0869 2702 0189 3068</t>
  </si>
  <si>
    <t>IVER MOISES ALVAREZ CORDOBA</t>
  </si>
  <si>
    <t>ES17 6717 0003 3435 1894 5242</t>
  </si>
  <si>
    <t>IKUALO</t>
  </si>
  <si>
    <t>JACH ANTONIO DONADO ZAMBRANO</t>
  </si>
  <si>
    <t xml:space="preserve">ES39 0182 1714 1102 0033 2896 </t>
  </si>
  <si>
    <t>JADER ENRIQUE QUINONEZ HERRERA</t>
  </si>
  <si>
    <t>BE15 9053 7562 5130</t>
  </si>
  <si>
    <t>JAEL ABRAHAM BAUTISTA GUZMAN</t>
  </si>
  <si>
    <t xml:space="preserve">ES70 0182 0369 4202 0168 2737 </t>
  </si>
  <si>
    <t>JAHIR SURLEY DELGADO AGREDO</t>
  </si>
  <si>
    <t>JAIDER ASTAIZA TOSE</t>
  </si>
  <si>
    <t>ES07 0182 8181 1202 0232 3620</t>
  </si>
  <si>
    <t>JAILER VERGARA VALENCIA</t>
  </si>
  <si>
    <t>ES02 0182 2738 6502 0162 1226</t>
  </si>
  <si>
    <t>JAIME ALBERTO QUIÑONES BLANDON</t>
  </si>
  <si>
    <t>ES52 6893 0001 7100 0030 2868</t>
  </si>
  <si>
    <t>JAIME ALEJANDRO RETIS TOLENTINO</t>
  </si>
  <si>
    <t>ES48 6893 0001 7400 0026 4769</t>
  </si>
  <si>
    <t>JAIME ANDRES SILVA SABOGAL</t>
  </si>
  <si>
    <t>ES27 0182 5430 4502 0169 1535</t>
  </si>
  <si>
    <t>JAIME ANTONIO PERTUZ VALDIRIS</t>
  </si>
  <si>
    <t>ES15 0182 0043 1102 0167 9721</t>
  </si>
  <si>
    <t>JAIME AUGUSTO JOYA BOTIA</t>
  </si>
  <si>
    <t>ES57 0049 4488 7321 1008 6691</t>
  </si>
  <si>
    <t>JAIME CASTREJON CUEVA</t>
  </si>
  <si>
    <t>ES14 6893 0001 7900 0026 6203</t>
  </si>
  <si>
    <t>ES04 0182 2234 1302 0168 0172</t>
  </si>
  <si>
    <t>JAIME HUMBERTO DUARTE MONTAÑO</t>
  </si>
  <si>
    <t>BE18 9678 9736 6665</t>
  </si>
  <si>
    <t>JAIME MANOLO ALVAREZ TORRES</t>
  </si>
  <si>
    <t>ES92 0182 8191 7102 0204 8748</t>
  </si>
  <si>
    <t>JAIME NICOLAS GOYES</t>
  </si>
  <si>
    <t>BE69 9054 0295 4878</t>
  </si>
  <si>
    <t>JAIR HENRY REATEGUI DIAZ</t>
  </si>
  <si>
    <t>ES38 0182 0704 2902 0156 4089</t>
  </si>
  <si>
    <t>JAIR PLAZA AGUILAR</t>
  </si>
  <si>
    <t>BE64 9055 9467 2752</t>
  </si>
  <si>
    <t>JAIR SNAIDER MEZA GOMEZ</t>
  </si>
  <si>
    <t xml:space="preserve">ES04 6893 0001 7100 0033 7585 </t>
  </si>
  <si>
    <t>JAIRO ABRIL BEJARANO</t>
  </si>
  <si>
    <t>ES43 0182 0382 7402 0167 1305</t>
  </si>
  <si>
    <t>JAIRO ALBERTO BOLAÑO PACHECO</t>
  </si>
  <si>
    <t>ES13 6893 0001 7700 0026 6416</t>
  </si>
  <si>
    <t>JAIRO ALBERTO GUZMAN REYES</t>
  </si>
  <si>
    <t>ES02 0182 0841 1902 0165 8481</t>
  </si>
  <si>
    <t>JAIRO ALEJANDRO CAICEDO SANCHEZ</t>
  </si>
  <si>
    <t>ES88 0182 2402 6102 0209 2768</t>
  </si>
  <si>
    <t>JAIRO ALFONSO MUNOZ VALLE</t>
  </si>
  <si>
    <t>ES45 6893 0001 7900 0031 5309</t>
  </si>
  <si>
    <t>JAIRO ANDRES OQUENDO BONILLA</t>
  </si>
  <si>
    <t xml:space="preserve">ES40 6893 0001 7700 0018 8912 </t>
  </si>
  <si>
    <t>JAIRO ANDRES ROMO LOPEZ</t>
  </si>
  <si>
    <t>ES82 0182 0382 7702 0167 1329</t>
  </si>
  <si>
    <t>JAIRO ERNESTO GAITAN GOMEZ</t>
  </si>
  <si>
    <t>BE24 9055 0214 3038</t>
  </si>
  <si>
    <t>JAIRO JOSE DOMINGUEZ BARRERA</t>
  </si>
  <si>
    <t xml:space="preserve">BE57 9050 0197 1935 </t>
  </si>
  <si>
    <t>JAIVER JOSE POLANCO PEREZ</t>
  </si>
  <si>
    <t xml:space="preserve">BE66 9050 1529 0843 </t>
  </si>
  <si>
    <t>JAMES ADRIAN VEGA RAMOS</t>
  </si>
  <si>
    <t xml:space="preserve">DE75 1001 1001 2229 4218 26 </t>
  </si>
  <si>
    <t>JAMES VALLECILLA GRANJA</t>
  </si>
  <si>
    <t>ES42 6893 0001 7300 0008 0238</t>
  </si>
  <si>
    <t>JAN CESAR VILLEGAS MOSCOTE</t>
  </si>
  <si>
    <t>ES17 0182 3275 5302 0165 2797</t>
  </si>
  <si>
    <t>JANNER ESCOBAR ROJAS</t>
  </si>
  <si>
    <t>ES02 0049 0036 1626 1163 8853</t>
  </si>
  <si>
    <t>JAPSIN STEVEN RUIZ PARRA</t>
  </si>
  <si>
    <t>BE63 9054 5758 7908</t>
  </si>
  <si>
    <t>JARRINSON JOSE PATRON MARTINEZ</t>
  </si>
  <si>
    <t>PL15 1090 1102 0000 0001 5679 6259</t>
  </si>
  <si>
    <t>JARULESKI SCOTINNI ALVARADO GUZMAN</t>
  </si>
  <si>
    <t>ES96 0049 2661 4027 1447 4503</t>
  </si>
  <si>
    <t>JASIR ENRIQUE DIAZ MANJARREZ</t>
  </si>
  <si>
    <t>BE78 9050 1598 3886</t>
  </si>
  <si>
    <t>JASSIR DE JESUS DAVILA LUBO</t>
  </si>
  <si>
    <t xml:space="preserve">ES64 0049 1986 0229 1005 1633 </t>
  </si>
  <si>
    <t>JAVIER ALEGRIA ARBOLEDA</t>
  </si>
  <si>
    <t>ES17 6893 0001 7100 0018 3412</t>
  </si>
  <si>
    <t>JAVIER ALONSO LOPEZ AYALA</t>
  </si>
  <si>
    <t>BE34 9057 2847 8390</t>
  </si>
  <si>
    <t>JAVIER ANTONIO BARROS RICO</t>
  </si>
  <si>
    <t xml:space="preserve">ES75 0049 0198 6421 1046 9215 </t>
  </si>
  <si>
    <t>JAVIER DAVID RODRIGUEZ BARRIOS</t>
  </si>
  <si>
    <t>ES33 0182 5332 1902 0750 0432</t>
  </si>
  <si>
    <t>JAVIER DE JESUS SALAS MARTINEZ</t>
  </si>
  <si>
    <t>ES28 0182 1991 3802 0159 7545</t>
  </si>
  <si>
    <t>JAVIER FRANCISCO BALDOVINO ORTEGA</t>
  </si>
  <si>
    <t>ES19 0182 0606 8202 0179 2647</t>
  </si>
  <si>
    <t>JAVIER HERNANDEZ DEVIA</t>
  </si>
  <si>
    <t>ES41 6893 0001 7900 0033 5072</t>
  </si>
  <si>
    <t>JAVIER HERNANDO VALDERRAMA GUTIERREZ</t>
  </si>
  <si>
    <t>ES54 0182 3275 5202 0165 4120</t>
  </si>
  <si>
    <t>JAVIER HUMBERTO PARRA CORREA</t>
  </si>
  <si>
    <t>BE77 9054 8746 7342</t>
  </si>
  <si>
    <t>JAVIER JAYO FUENTES</t>
  </si>
  <si>
    <t>ES10 0049 4488 7827 1008 7388</t>
  </si>
  <si>
    <t>JAVIER MAURICIO VARGAS CASTAÑEDA</t>
  </si>
  <si>
    <t>BE92 9050 5550 5023</t>
  </si>
  <si>
    <t>JAVIER MURIEL SARREA</t>
  </si>
  <si>
    <t>ES53 2100 3632 4607 0050 3126</t>
  </si>
  <si>
    <t>JAVIER ORLANDO PINTO VIANCHA</t>
  </si>
  <si>
    <t>ES17 0182 0698 2002 0162 7094</t>
  </si>
  <si>
    <t>JAVIER RODRIGUEZ CONTRERAS</t>
  </si>
  <si>
    <t>ES07 6893 0001 7400 0032 0700</t>
  </si>
  <si>
    <t>JAVIER SAUL PEREA CAMARGO</t>
  </si>
  <si>
    <t>BE39 9054 8485 5719</t>
  </si>
  <si>
    <t>JAVIER STIVEN ORTIZ GALINDEZ</t>
  </si>
  <si>
    <t xml:space="preserve"> BE19 9054 0187 1512</t>
  </si>
  <si>
    <t>JAVIER VARGAS</t>
  </si>
  <si>
    <t>BE23 9050 2474 3491</t>
  </si>
  <si>
    <t>JEAN CARLO GARCIA GARCIA</t>
  </si>
  <si>
    <t xml:space="preserve">ES87 6893 0001 7900 0033 0946 </t>
  </si>
  <si>
    <t>JEAN CARLO SUAREZ VALENCIA</t>
  </si>
  <si>
    <t>ES98 2100 4247 1622 0031 4099</t>
  </si>
  <si>
    <t>JEAN CARLOS CARDONA SUAREZ</t>
  </si>
  <si>
    <t>PL19 1090 1102 0000 0001 5632 3797</t>
  </si>
  <si>
    <t>JEENVINSON ADALBERTO IGUARAN GRANADILLO</t>
  </si>
  <si>
    <t xml:space="preserve"> ES68 0182 6786 0302 0155 7737</t>
  </si>
  <si>
    <t>JEFERY YAZED LEON RAMOS</t>
  </si>
  <si>
    <t>ES42 0182 3212 8102 0157 7204</t>
  </si>
  <si>
    <t>JEFFER LEANDRO VALENCIA QUINTANO</t>
  </si>
  <si>
    <t>ES28 0182 8181 1002 0234 3516</t>
  </si>
  <si>
    <t>JEFFERSON ANDRES OROZCO RODRIGUEZ</t>
  </si>
  <si>
    <t>ES31 0182 0043 1202 0168 3458</t>
  </si>
  <si>
    <t>JEFFERSON ANDRES VALIENTE PEREZ</t>
  </si>
  <si>
    <t>BE63 9050 6069 3008</t>
  </si>
  <si>
    <t>JEFFERSON FABIAN MARTINEZ ALVAREZ</t>
  </si>
  <si>
    <t>BE58 9052 4612 5379</t>
  </si>
  <si>
    <t>JEFFERSON GRANJA ALVEAR</t>
  </si>
  <si>
    <t>ES58 0182 0374 9502 0154 6343</t>
  </si>
  <si>
    <t>JEFFERSON STEVEN CARBALIDO VIDALES</t>
  </si>
  <si>
    <t>BE11 9055 2876 0848</t>
  </si>
  <si>
    <t>JEHU AMADOR CACERES HERRERA</t>
  </si>
  <si>
    <t>ES63 0182 1077 3402 0162 1568</t>
  </si>
  <si>
    <t>JEISON DAVID RONDON CARVAJAL</t>
  </si>
  <si>
    <t>ES06 0049 0036 1122 1164 8468</t>
  </si>
  <si>
    <t>JEISON FARID LOPEZ AGREDO</t>
  </si>
  <si>
    <t>BE28 9056 9599 5720</t>
  </si>
  <si>
    <t>JEISON HERRERA LOZANO</t>
  </si>
  <si>
    <t>BE80 9057 3117 3677</t>
  </si>
  <si>
    <t>JEREMY PAUL CABRERA CALDERON</t>
  </si>
  <si>
    <t>PT50 0007 0000 0074 2740 9322 3</t>
  </si>
  <si>
    <t>JERSON DANIEL MARIN ORTIZ</t>
  </si>
  <si>
    <t xml:space="preserve">ES29 6893 0001 7200 0019 0422 </t>
  </si>
  <si>
    <t>JERSON FARITH CHAPARRO VEGA</t>
  </si>
  <si>
    <t>BE20 9678 0836 8256</t>
  </si>
  <si>
    <t>JESUS ALBERTO GONZALES FERNANDEZ</t>
  </si>
  <si>
    <t>ES04 0182 8191 7202 0204 8731</t>
  </si>
  <si>
    <t>JESUS ANTONIO HERNANDEZ ARISMENDY</t>
  </si>
  <si>
    <t>ES44 0182 3107 1602 0173 7214</t>
  </si>
  <si>
    <t>JESUS ANTONIO PAJARO ARCIRIA</t>
  </si>
  <si>
    <t>BE78 9053 0972 8986</t>
  </si>
  <si>
    <t>JESUS ARLEN TORRES LANDAZURI</t>
  </si>
  <si>
    <t>ES35 0182 0374 9302 0154 6176</t>
  </si>
  <si>
    <t>JESUS DAVID CARDENAS RIVERA</t>
  </si>
  <si>
    <t>BE29 9053 9101 2764</t>
  </si>
  <si>
    <t>JESUS ELIECER ALVAREZ ORTIZ</t>
  </si>
  <si>
    <t>ES56 0182 4960 2202 0166 4327</t>
  </si>
  <si>
    <t>JESUS ENRIQUE ARIAS HERNANDEZ</t>
  </si>
  <si>
    <t>BE15 9054 8465 3130</t>
  </si>
  <si>
    <t>JESUS HEYBER YELA MELO</t>
  </si>
  <si>
    <t>ES78 0182 5430 4102 0169 8185</t>
  </si>
  <si>
    <t>JESUS JAMES BALDEON ZUNIGA</t>
  </si>
  <si>
    <t>JESUS JOEL ESPINOZA YOVERA</t>
  </si>
  <si>
    <t>ES81 6893 0001 7300 0027 0238</t>
  </si>
  <si>
    <t>JHARLINSON MOSQUERA MEZA</t>
  </si>
  <si>
    <t>BE90 9051 5525 1032</t>
  </si>
  <si>
    <t>JHEAN MARCOS CASTILLO CHUNAS</t>
  </si>
  <si>
    <t xml:space="preserve">ES02 6893 0001 7000 0027 1904 </t>
  </si>
  <si>
    <t>JHESUAT EMANUEL DELGADO ALPALA</t>
  </si>
  <si>
    <t>DE54 1001 1001 2482 0562 79</t>
  </si>
  <si>
    <t>JHEYSON DE LOS REYES MENDOZA RUIZ</t>
  </si>
  <si>
    <t>ES14 0182 1077 3802 0162 1575</t>
  </si>
  <si>
    <t>JHOAN DAVID JARA PINZON</t>
  </si>
  <si>
    <t>BE88 9056 7893 5541</t>
  </si>
  <si>
    <t>JHOBERGS JESUS PARRA DE ARCO</t>
  </si>
  <si>
    <t>ES32 0182 5011 1102 0224 0092</t>
  </si>
  <si>
    <t>JHOJAN ESNEIDER NIÑO PARRA</t>
  </si>
  <si>
    <t>ES43 0182 4532 5402 0177 4894</t>
  </si>
  <si>
    <t>JHON ADAIMER MORALES MORALES</t>
  </si>
  <si>
    <t>ES54 0182 0706 1302 0164 9748</t>
  </si>
  <si>
    <t>JHON ALDAIR MINA MONTAÑO</t>
  </si>
  <si>
    <t xml:space="preserve">ES89 0182 0256 1602 0191 0770 </t>
  </si>
  <si>
    <t>JHON ALEJANDRO GONZALEZ PRADO</t>
  </si>
  <si>
    <t xml:space="preserve"> BE70 9678 0757 9425</t>
  </si>
  <si>
    <t>JHON ALEXANDER ARENAS CASTRILLON</t>
  </si>
  <si>
    <t>ES43 0182 2599 7002 0363 0340</t>
  </si>
  <si>
    <t>JHON ALEXANDER LATORRE ESCOBAR</t>
  </si>
  <si>
    <t xml:space="preserve">ES07 0182 5319 7202 0417 0398 </t>
  </si>
  <si>
    <t>JHON CARLOS ALCAZAR CASTRO</t>
  </si>
  <si>
    <t xml:space="preserve">ES26 0182 2563 8802 0165 8196 </t>
  </si>
  <si>
    <t>JHON DAVIS SERRATO CHUZON</t>
  </si>
  <si>
    <t xml:space="preserve">ES49 0182 0573 1202 0173 1906 </t>
  </si>
  <si>
    <t>JHON EDER CASTRO MONTAÑO</t>
  </si>
  <si>
    <t>ES98 0182 4353 7102 0164 4572</t>
  </si>
  <si>
    <t>JHON EDISON JARAMILLO RUIZ</t>
  </si>
  <si>
    <t>ES60 0182 2738 6202 0162 1202</t>
  </si>
  <si>
    <t>JHON EDWARD FONSECA BOHORQUEZ</t>
  </si>
  <si>
    <t>ES40 0182 3212 8702 0157 7334</t>
  </si>
  <si>
    <t>JHON EDWARD GRISALES REINA</t>
  </si>
  <si>
    <t>ES08 0182 2620 9802 0164 6256</t>
  </si>
  <si>
    <t>JHON EINER INSUASTI TULANDE</t>
  </si>
  <si>
    <t>ES74 0182 0316 4302 0158 7975</t>
  </si>
  <si>
    <t>JHON ESTIVEN RUIZ ALZATE</t>
  </si>
  <si>
    <t>ES52 0182 1245 1802 0165 9546</t>
  </si>
  <si>
    <t>JHON FREDDY CABRERA AGUILAR</t>
  </si>
  <si>
    <t>ES43 0182 8323 2002 0195 6386</t>
  </si>
  <si>
    <t>JHON FREDY VELEIZANO PULIDO</t>
  </si>
  <si>
    <t>ES27 6893 0001 7100 0033 1642</t>
  </si>
  <si>
    <t>JHON GENER USUGA HERRERA</t>
  </si>
  <si>
    <t xml:space="preserve">ES06 0049 1785 9429 1004 4833 </t>
  </si>
  <si>
    <t>JHON JAIRO ADRIANZEN MEDRANO</t>
  </si>
  <si>
    <t>ES29 0182 0559 4702 0208 0063</t>
  </si>
  <si>
    <t>JHON JAIRO CASTAÑO POSADA</t>
  </si>
  <si>
    <t>BE37 9673 9426 2728</t>
  </si>
  <si>
    <t>JHON JAIRO DIAZ ZARATE</t>
  </si>
  <si>
    <t>ES60 0182 8674 4902 0164 9407</t>
  </si>
  <si>
    <t>JHON JAIRO HERNANDEZ GUZMAN</t>
  </si>
  <si>
    <t>ES79 6893 0001 7300 0026 4454</t>
  </si>
  <si>
    <t>JHON JAIRO MUÑOZ BARBOSA</t>
  </si>
  <si>
    <t>ES17 0182 0079 0902 0156 1001</t>
  </si>
  <si>
    <t>JHON JAIRO PAREJA JARAMILLO</t>
  </si>
  <si>
    <t xml:space="preserve">ES51 6893 0001 7900 0031 2194 </t>
  </si>
  <si>
    <t>JHON JAMES MARTINEZ ARENAS</t>
  </si>
  <si>
    <t xml:space="preserve">ES98 0182 0652 6202 0152 6744 </t>
  </si>
  <si>
    <t>JHON KEVIN SOLIS IRRIBARREN</t>
  </si>
  <si>
    <t>BE22 9053 5614 9247</t>
  </si>
  <si>
    <t>JHON LUIS URBAY HURTADO</t>
  </si>
  <si>
    <t>ES54 0182 1245 1502 0166 8193</t>
  </si>
  <si>
    <t>JHON SEBASTIAN AHUMADA RUBIO</t>
  </si>
  <si>
    <t>ES58 0182 4003 1702 0167 7563</t>
  </si>
  <si>
    <t>JHON STHEVEEN MERINO ALVAREZ</t>
  </si>
  <si>
    <t>BE24 9057 1990 8038</t>
  </si>
  <si>
    <t>JHONATAN CIFUENTES SANCHEZ</t>
  </si>
  <si>
    <t xml:space="preserve">ES94 0182 0374 9902 0154 7827 </t>
  </si>
  <si>
    <t>JHONATAN DANIEL OSPINA OJEDA</t>
  </si>
  <si>
    <t>ES82 2100 0765 8702 0055 3267</t>
  </si>
  <si>
    <t>JHONATAN MIGUEL ARIZA HERRERA</t>
  </si>
  <si>
    <t>ES41 0182 9730 2702 0035 7785</t>
  </si>
  <si>
    <t>JHONATHAN ENRIQUE QUINTANA FONTALVO</t>
  </si>
  <si>
    <t>ES41 0182 0702 3702 0164 4738</t>
  </si>
  <si>
    <t>JHONN JAIRO NAVARRO BANDERA</t>
  </si>
  <si>
    <t>BE91 9679 0188 7976</t>
  </si>
  <si>
    <t>JHONNATAN DE JESUS JIMENEZ SANCHEZ</t>
  </si>
  <si>
    <t>AD47 0003 1101 1274 9411 0101</t>
  </si>
  <si>
    <t>JHONNY ALEXANDER CALLE HERNANDEZ</t>
  </si>
  <si>
    <t>BE83 9679 2553 0415</t>
  </si>
  <si>
    <t>JHONNY ESTID QUIJANO TREJO</t>
  </si>
  <si>
    <t xml:space="preserve">BE19 9051 5184 4312 </t>
  </si>
  <si>
    <t>JHONNY GERARDO CALDAS VILLANUEVA</t>
  </si>
  <si>
    <t>ES97 0182 0573 1602 0173 1913</t>
  </si>
  <si>
    <t>JHONNY RAFAEL LOPEZ FIGUEROA</t>
  </si>
  <si>
    <t>ES65 0182 2680 2802 0176 4291</t>
  </si>
  <si>
    <t>JHONS WILFREDO RAMIREZ VIERA</t>
  </si>
  <si>
    <t>ES34 0182 0581 1902 0159 8737</t>
  </si>
  <si>
    <t>JHONSON MARLON DUTRA</t>
  </si>
  <si>
    <t>PT50 0033 0000 4556 2790 7250 5</t>
  </si>
  <si>
    <t>JHONY WATSON SIANCAS MORALES</t>
  </si>
  <si>
    <t>ES59 0182 7345 4202 0170 6227</t>
  </si>
  <si>
    <t>JHORMAN STEVEN PINTO QUITORA</t>
  </si>
  <si>
    <t>ES25 0182 4904 7102 0287 0606</t>
  </si>
  <si>
    <t>JIM PAUL CHUNGA LUJAN</t>
  </si>
  <si>
    <t>ES94 0182 8674 4202 0164 8459</t>
  </si>
  <si>
    <t>JIMMY ALEXANDER CAICEDO</t>
  </si>
  <si>
    <t>BE67 9050 4040 8587</t>
  </si>
  <si>
    <t>JIMMY ALEXANDER CASTANEDA ROMERO</t>
  </si>
  <si>
    <t>ES09 0182 2247 0302 0167 7691</t>
  </si>
  <si>
    <t>JIMMY JHON SANDI CAHUACHI</t>
  </si>
  <si>
    <t>ES74 6893 0001 7800 0027 0604</t>
  </si>
  <si>
    <t>JOEL MAGALHAES</t>
  </si>
  <si>
    <t>PENDIENTE</t>
  </si>
  <si>
    <t>JOHAN ANDRES HERRERA RUGE</t>
  </si>
  <si>
    <t>ES24 0049 5126 5829 1624 9989</t>
  </si>
  <si>
    <t>JOHANS FERNANDO HERRERA VELASCO</t>
  </si>
  <si>
    <t>ES11 6893 0001 7900 0033 4254</t>
  </si>
  <si>
    <t>JOHN ALEJANDRO PADILLA PEREZ</t>
  </si>
  <si>
    <t>BE58 9670 0176 7079</t>
  </si>
  <si>
    <t>JOHN ALEX BALANTA CANCHIMBO</t>
  </si>
  <si>
    <t xml:space="preserve">ES21 0182 0956 5702 0177 5075 </t>
  </si>
  <si>
    <t>JOHN ALEXANDER LUGO CUESTAS</t>
  </si>
  <si>
    <t>ES46 6893 0001 7700 0023 8080</t>
  </si>
  <si>
    <t>JOHN EDWARD VELEZ GRISALES</t>
  </si>
  <si>
    <t>ES19 0182 7071 7402 0166 9997</t>
  </si>
  <si>
    <t>JOHN FREDDY PEREZ RUIZ</t>
  </si>
  <si>
    <t>BE69 9053 4725 7478</t>
  </si>
  <si>
    <t>JOHN FREDY CASTRO JIMENEZ</t>
  </si>
  <si>
    <t>BE25 9052 7289 7682</t>
  </si>
  <si>
    <t>JOHN FREDY QUINONES HENAO</t>
  </si>
  <si>
    <t>JOHN HAROLD PERENGUEZ CUARAN</t>
  </si>
  <si>
    <t>ES34 2100 2343 3707 0050 1429</t>
  </si>
  <si>
    <t>JOHN JAIRO BENITEZ CASTRO</t>
  </si>
  <si>
    <t>BE04 9050 4499 1031</t>
  </si>
  <si>
    <t>JOHN JAIRO MORENO MENDIVELSO</t>
  </si>
  <si>
    <t>ES96 0182 8739 1602 0251 1299</t>
  </si>
  <si>
    <t>JOHN MAURY LOPEZ SOCARRAS</t>
  </si>
  <si>
    <t>BE05 9670 5535 9175</t>
  </si>
  <si>
    <t>JOHNNY FRANCOIS MENESES BARRIENTOS</t>
  </si>
  <si>
    <t>ES70 0182 8674 4902 0164 4280</t>
  </si>
  <si>
    <t>JOHNNY JAVIER BORJA MANGA</t>
  </si>
  <si>
    <t>ES94 0182 6556 1402 0166 5521</t>
  </si>
  <si>
    <t>JOHNNY OCAMPO BORRERO</t>
  </si>
  <si>
    <t>ES40 0182 5322 2700 0048 1753</t>
  </si>
  <si>
    <t>JOLBER ENRIQUE PINTO BRITO</t>
  </si>
  <si>
    <t>BE24 9052 4967 1438</t>
  </si>
  <si>
    <t>JOLMAN ALQUIBAR OCAMPO MURILLO</t>
  </si>
  <si>
    <t>PT50 0007 0000 0070 8739 8132 3</t>
  </si>
  <si>
    <t>JONAHTAN NONTOA HERNANDEZ</t>
  </si>
  <si>
    <t>ES20 0182 8181 1002 0234 5697</t>
  </si>
  <si>
    <t>JONATAN MAURICIO TOLEDO CHARRY</t>
  </si>
  <si>
    <t>ES52 6893 0001 7800 0033 9288</t>
  </si>
  <si>
    <t>JONATAS HERTEL LOUZADA</t>
  </si>
  <si>
    <t>PT50 0033 0000 4556 8675 3270 5</t>
  </si>
  <si>
    <t>JONATHAN ALEJANDRO MARTINEZ CASTIBLANCO</t>
  </si>
  <si>
    <t>ES52 0182 8181 1602 0234 8610</t>
  </si>
  <si>
    <t>JONATHAN ALEXANDRE NEIRA SUAZO</t>
  </si>
  <si>
    <t>BE93 9056 2279 4567</t>
  </si>
  <si>
    <t>JONATHAN ANDRES ORTEGA CASTRO</t>
  </si>
  <si>
    <t>BE85 9673 6564 5506</t>
  </si>
  <si>
    <t>JONATHAN BLANDON HINCAPIE</t>
  </si>
  <si>
    <t>ES04 2100 5002 4502 0017 3577</t>
  </si>
  <si>
    <t>JONATHAN EDUARDO RODRIGUEZ MADARIAGA</t>
  </si>
  <si>
    <t>ES36 0182 0578 4102 0447 7121</t>
  </si>
  <si>
    <t>JONATHAN FELACIO FISGATIVA</t>
  </si>
  <si>
    <t>JONATHAN GONZALO RODRIGUEZ CABEZAS</t>
  </si>
  <si>
    <t>ES32 0182 6855 8302 0180 4573</t>
  </si>
  <si>
    <t>JONATHAN JAVIER GARRIDO SILVA</t>
  </si>
  <si>
    <t>ES81 0182 3275 5902 0165 2612</t>
  </si>
  <si>
    <t>JORDY ALEXANDER ALVA PAYAC</t>
  </si>
  <si>
    <t>FR76 1659 8000 0140 0010 3859 519</t>
  </si>
  <si>
    <t>JORGE ALBERTO CASTILLO GARCIA</t>
  </si>
  <si>
    <t>BE20 9052 5002 2456</t>
  </si>
  <si>
    <t>JORGE ALBERTO PEREA CAMACHO</t>
  </si>
  <si>
    <t>ES71 0182 8674 4802 0164 4020</t>
  </si>
  <si>
    <t>JORGE ANDRES MARTINEZ VEGA</t>
  </si>
  <si>
    <t>ES51 0182 0021 8802 0157 2028</t>
  </si>
  <si>
    <t>JORGE ANDRES VEGA DELGADO</t>
  </si>
  <si>
    <t>ES11 0182 1461 3002 0195 7356</t>
  </si>
  <si>
    <t>JORGE ANTONIO RAMIREZ LUNA</t>
  </si>
  <si>
    <t>ES70 0182 0704 2502 0156 4485</t>
  </si>
  <si>
    <t>JORGE ARLEY ALVAREZ GONZALEZ</t>
  </si>
  <si>
    <t>ES43 0182 8318 8902 0164 0818</t>
  </si>
  <si>
    <t>JORGE ARMANDO HURTADO RODRIGUEZ</t>
  </si>
  <si>
    <t>BE87 9678 8605 9394</t>
  </si>
  <si>
    <t>JORGE ARMANDO OTALORA CORTES</t>
  </si>
  <si>
    <t>ES93 0182 6855 8002 0179 7123</t>
  </si>
  <si>
    <t>JORGE CAMILO QUINTERO OJEDA</t>
  </si>
  <si>
    <t>BE29 9057 0814 4564</t>
  </si>
  <si>
    <t>JORGE EDUARDO OSPINO DURAN</t>
  </si>
  <si>
    <t>ES54 0182 0956 5102 0179 1556</t>
  </si>
  <si>
    <t>JORGE EDUARDO VARGAS CASTAÑEDA</t>
  </si>
  <si>
    <t>ES40 2100 6507 7202 0053 7609</t>
  </si>
  <si>
    <t>JORGE ELIECER VILLADIEGO PUELLO</t>
  </si>
  <si>
    <t>PT50 0007 0000 0077 3862 9942 3</t>
  </si>
  <si>
    <t>JORGE ENRIQUE BUENAVENTURA GARCIA</t>
  </si>
  <si>
    <t xml:space="preserve"> BE05 9670 4878 2575</t>
  </si>
  <si>
    <t>JORGE ENRIQUE LIEVANO ALZATE</t>
  </si>
  <si>
    <t>ES36 0182 0702 3002 0164 6529</t>
  </si>
  <si>
    <t>JORGE ENRIQUE SANABRIA MORENO</t>
  </si>
  <si>
    <t>ES11 0182 4032 7202 0291 7901</t>
  </si>
  <si>
    <t>JORGE FACEDT VANEGAS MEDINA</t>
  </si>
  <si>
    <t>BE38 9055 7596 3472</t>
  </si>
  <si>
    <t>JORGE HERNANDO AGUIRRE VELANDIA</t>
  </si>
  <si>
    <t>ES76 0182 4032 7202 0291 7895</t>
  </si>
  <si>
    <t>JORGE IVAN LOPEZ CORDOBA</t>
  </si>
  <si>
    <t>BE15 9051 0917 5830</t>
  </si>
  <si>
    <t>JORGE IVAN SARRIA ORTIZ</t>
  </si>
  <si>
    <t>JORGE IVAN TEHERAN CAUSADO</t>
  </si>
  <si>
    <t>PT50 0033 0000 4579 3942 5980 5</t>
  </si>
  <si>
    <t>JORGE LEONARDO MACHUCA GARCIA</t>
  </si>
  <si>
    <t>ES82 0182 7421 5602 0270 6926</t>
  </si>
  <si>
    <t>JORGE LUIS ASCUNTAR ZAMORA</t>
  </si>
  <si>
    <t>BE46 9053 3092 8136</t>
  </si>
  <si>
    <t>JORGE LUIS AVILA CASTRO</t>
  </si>
  <si>
    <t>ES96 6893 0001 7500 0030 4499</t>
  </si>
  <si>
    <t>JORGE LUIS CUELLAR GONZALEZ</t>
  </si>
  <si>
    <t>BE90 9052 7819 8532</t>
  </si>
  <si>
    <t>JORGE LUIS DURAND JAUREGUI</t>
  </si>
  <si>
    <t>ES07 0182 1965 1302 0169 8515</t>
  </si>
  <si>
    <t>JORGE LUIS FLOREZ RAMIREZ</t>
  </si>
  <si>
    <t>ES28 0182 5011 1402 0224 0405</t>
  </si>
  <si>
    <t>JORGE LUIS GONZALES VIERA</t>
  </si>
  <si>
    <t>BE47 9055 3126 6680</t>
  </si>
  <si>
    <t>JORGE LUIS HUERTA OBREGON</t>
  </si>
  <si>
    <t xml:space="preserve">ES42 6893 0001 7000 0024 6546 </t>
  </si>
  <si>
    <t>JORGE LUIS JIMENEZ BISCUMICHE</t>
  </si>
  <si>
    <t>ES66 0182 3275 5602 0165 2544</t>
  </si>
  <si>
    <t>JORGE LUIS ROMERO DE ANGEL</t>
  </si>
  <si>
    <t>JORGE LUIS ROQUE MADRUGA</t>
  </si>
  <si>
    <t>JORGE NAYRO GARCIA OROZCO</t>
  </si>
  <si>
    <t>ES58 0182 0371 5602 0166 4222</t>
  </si>
  <si>
    <t>JORGE REINALDO GOMEZ ROJAS</t>
  </si>
  <si>
    <t>ES84 0182 0702 3202 0165 0126</t>
  </si>
  <si>
    <t>JORGY VALLEJO SOLIS</t>
  </si>
  <si>
    <t>ES05 6893 0001 7300 0033 2716</t>
  </si>
  <si>
    <t>JOSE ALBERTO MOROSTOQUE MARULANDA</t>
  </si>
  <si>
    <t>BE44 9678 8500 6845</t>
  </si>
  <si>
    <t>JOSE ALFREDO ACOSTA EPIEYU</t>
  </si>
  <si>
    <t>ES60 0182 0936 0202 0170 0662</t>
  </si>
  <si>
    <t>JOSE ALFREDO BARRETO AGUILAR</t>
  </si>
  <si>
    <t>ES29 6893 0001 7100 0020 3081</t>
  </si>
  <si>
    <t>JOSE ALFREDO GUTIERREZ LANCHEZ</t>
  </si>
  <si>
    <t>ES87 0182 0710 1802 0156 6550</t>
  </si>
  <si>
    <t>JOSE AMAURI DE SÁ</t>
  </si>
  <si>
    <t>PT50 0010 0000 6148 6800 00179</t>
  </si>
  <si>
    <t>JOSE ANDRES BLANCO IBARRA</t>
  </si>
  <si>
    <t>BE32 9050 3703 4102</t>
  </si>
  <si>
    <t>JOSE ANDRES PEREZ RUIZ</t>
  </si>
  <si>
    <t>BE05 9054 5052 3375</t>
  </si>
  <si>
    <t>JOSE ANTONIO CASTRO BALANTA</t>
  </si>
  <si>
    <t xml:space="preserve">ES11 6893 0001 7500 0023 9487 </t>
  </si>
  <si>
    <t>JOSE ANTONIO GUIZAO SANDOVAL</t>
  </si>
  <si>
    <t>ES21 0182 4003 1402 0167 8085</t>
  </si>
  <si>
    <t>JOSE ANTONIO MORALES HURTADO</t>
  </si>
  <si>
    <t>ES52 0182 8181 1402 0234 0463</t>
  </si>
  <si>
    <t>JOSE ANTONIO RUEDA CAMARGO</t>
  </si>
  <si>
    <t>ES07 0182 2247 0602 0167 7677</t>
  </si>
  <si>
    <t>JOSE ARBEY CORREA RUIZ</t>
  </si>
  <si>
    <t>JOSE CARBAJAL YAURI</t>
  </si>
  <si>
    <t>ES04 0182 0573 1102 0173 3056</t>
  </si>
  <si>
    <t>JOSE CARLOS CARRASCAL LIDUEÑAS</t>
  </si>
  <si>
    <t>ES29 0182 4532 5402 0177 3303</t>
  </si>
  <si>
    <t>JOSE DAYNER ACOSTA LENIS</t>
  </si>
  <si>
    <t>BE11 9051 5193 5248</t>
  </si>
  <si>
    <t>JOSE DE JESUS MENDOZA PADILLA</t>
  </si>
  <si>
    <t>ES19 2100 0109 0302 0069 0257</t>
  </si>
  <si>
    <t>JOSE EDUARDO CARREAZO PINEDA</t>
  </si>
  <si>
    <t>ES92 0182 0622 4502 0156 0613</t>
  </si>
  <si>
    <t>JOSE EDUARDO NUÑEZ ESCARATE</t>
  </si>
  <si>
    <t>ES35 0182 4021 5702 0206 0401</t>
  </si>
  <si>
    <t>JOSE ELMES PASTES DOMINGUEZ</t>
  </si>
  <si>
    <t>ES09 0182 0374 9202 0154 6596</t>
  </si>
  <si>
    <t>JOSE ENRIQUE BURITICA BURITICA</t>
  </si>
  <si>
    <t xml:space="preserve"> BE80 9678 2837 1777</t>
  </si>
  <si>
    <t>JOSE ENRIQUE SANCHEZ CHARCAPE</t>
  </si>
  <si>
    <t xml:space="preserve">ES97 1576 1212 1710 1040 4045
</t>
  </si>
  <si>
    <t>JOSE ERMOGENES BARRIENTOS DIAZ</t>
  </si>
  <si>
    <t>ES38 0182 7029 7402 0159 1730</t>
  </si>
  <si>
    <t>JOSE FERNANDO JARAMILLO HERNANDEZ</t>
  </si>
  <si>
    <t xml:space="preserve">ES76 6893 0001 7600 0023 8365 </t>
  </si>
  <si>
    <t>JOSE FERNANDO VEGA BUITRAGO</t>
  </si>
  <si>
    <t>ES13 0182 6398 2302 0169 4808</t>
  </si>
  <si>
    <t>JOSE FERNEY TORRES</t>
  </si>
  <si>
    <t xml:space="preserve">ES46 6893 0001 7900 0029 9383 </t>
  </si>
  <si>
    <t>JOSE FRANCISCO PINEDO BERRIO</t>
  </si>
  <si>
    <t>BE85 9055 7578 2206</t>
  </si>
  <si>
    <t>JOSE GABRIEL GONZALEZ SUAREZ</t>
  </si>
  <si>
    <t>ES33 0049 4912 7024 1648 2571</t>
  </si>
  <si>
    <t>JOSE GREGORIO POSSO NIETO</t>
  </si>
  <si>
    <t>ES56 3020 0004 9121 4735 4910</t>
  </si>
  <si>
    <t>CAJA RURAL DE UTRERA</t>
  </si>
  <si>
    <t>JOSE GUILLERMO MARTINEZ QUINTERO</t>
  </si>
  <si>
    <t>BE33 9051 0824 6246</t>
  </si>
  <si>
    <t>JOSE GUILLERMO PENA BARRERA</t>
  </si>
  <si>
    <t>ES31 0182 5011 1202 0224 2098</t>
  </si>
  <si>
    <t>JOSE GUSTAVO AGUILAR TORRES</t>
  </si>
  <si>
    <t xml:space="preserve">ES26 0182 5319 7202 0671 0583 </t>
  </si>
  <si>
    <t>JOSE HERNAN RODRIGUEZ</t>
  </si>
  <si>
    <t>ES46 0182 5011 1402 0222 8926</t>
  </si>
  <si>
    <t>JOSE IGNACIO VALDERRAMA JIMENEZ</t>
  </si>
  <si>
    <t>ES88 0182 8732 1102 0207 8933</t>
  </si>
  <si>
    <t>JOSE JAVIER CASTRO OBANDO</t>
  </si>
  <si>
    <t>ES59 0182 6752 0302 0155 6883</t>
  </si>
  <si>
    <t>JOSE JAVIER RISCO DURAND</t>
  </si>
  <si>
    <t xml:space="preserve">ES53 6893 0001 7200 0027 5641 </t>
  </si>
  <si>
    <t>JOSE JAVIER SAAVEDRA POLANIA</t>
  </si>
  <si>
    <t>PT50 0010 0000 6156 9650 0016 6</t>
  </si>
  <si>
    <t>JOSE JHON JAIRO FELIX LONDOÑO</t>
  </si>
  <si>
    <t>ES44 0182 7541 3402 0160 7849</t>
  </si>
  <si>
    <t>JOSE JOAQUIM GARCIA MORALES</t>
  </si>
  <si>
    <t xml:space="preserve">ES59 6893 0001 7100 0024 2602 </t>
  </si>
  <si>
    <t>JOSE JOHN PEREZ TARRILLO</t>
  </si>
  <si>
    <t>ES67 2100 5002 4002 0017 3464</t>
  </si>
  <si>
    <t>JOSE JULIAN LEMOS ZUNIGA</t>
  </si>
  <si>
    <t>ES23 0182 4477 3102 0158 3773</t>
  </si>
  <si>
    <t>JOSE JULIAN ROSERO VILLARREAL</t>
  </si>
  <si>
    <t>ES69 0049 0054 5829 1249 9880</t>
  </si>
  <si>
    <t>JOSE LEONARDO CALDERON MANZANO</t>
  </si>
  <si>
    <t>ES11 0182 4018 1002 0170 0894</t>
  </si>
  <si>
    <t>JOSE LEONARDO MENESES LOPEZ</t>
  </si>
  <si>
    <t>BE04 9052 9288 4231</t>
  </si>
  <si>
    <t>JOSE LISARDO LINARES</t>
  </si>
  <si>
    <t>ES57 2100 6473 6302 0019 0632</t>
  </si>
  <si>
    <t>JOSE LUIS ARENAS DIAZ</t>
  </si>
  <si>
    <t>ES45 6893 0001 7500 0035 0134</t>
  </si>
  <si>
    <t>JOSE LUIS CAUSADO TAMAYO</t>
  </si>
  <si>
    <t xml:space="preserve">ES04 0182 1481 8502 0157 6942 </t>
  </si>
  <si>
    <t>JOSE LUIS CHAVEZ PAUCAR</t>
  </si>
  <si>
    <t>ES35 6893 0001 7100 0027 7372</t>
  </si>
  <si>
    <t>JOSE LUIS GONZALEZ ALVAREZ</t>
  </si>
  <si>
    <t>BE43 9052 9614 0401</t>
  </si>
  <si>
    <t>JOSE LUIS SANCHEZ OLARTE</t>
  </si>
  <si>
    <t>ES84 6893 0001 7100 0026 5529</t>
  </si>
  <si>
    <t>JOSE MANUEL MARULANDA MEDINA</t>
  </si>
  <si>
    <t>ES56 0182 4610 5502 0195 1034</t>
  </si>
  <si>
    <t>JOSE MANUEL MENDOZA SARA</t>
  </si>
  <si>
    <t>BE52 9050 3305 7809</t>
  </si>
  <si>
    <t>JOSE MIGUEL ZACARIAS CHIRINOS</t>
  </si>
  <si>
    <t>ES62 2100 0802 4707 0003 2345</t>
  </si>
  <si>
    <t>JOSE NEPSE LOPEZ RAMIREZ</t>
  </si>
  <si>
    <t>ES10 6893 0001 7500 0024 1251</t>
  </si>
  <si>
    <t>JOSE RAIMUNDO JIMENEZ ARRIETA</t>
  </si>
  <si>
    <t>ES26 0182 0108 9902 0164 4510</t>
  </si>
  <si>
    <t>JOSE RAMON DAZA OROZCO</t>
  </si>
  <si>
    <t>ES10 0182 0371 5202 0166 4215</t>
  </si>
  <si>
    <t>JOSE STEVAN MURILLO MARTINEZ</t>
  </si>
  <si>
    <t>BE25 9051 0427 2882</t>
  </si>
  <si>
    <t>JOSE TRINIDAD ALVAREZ SALAMANCA</t>
  </si>
  <si>
    <t>BE14 9056 7705 7983</t>
  </si>
  <si>
    <t>JOSE WALTER VALENCIA PEREZ</t>
  </si>
  <si>
    <t xml:space="preserve"> BE60 9678 7440 7270</t>
  </si>
  <si>
    <t>JOSE YESID RIVAS SARRIA</t>
  </si>
  <si>
    <t>ES49 0182 0652 6602 0152 6751</t>
  </si>
  <si>
    <t>JOSE YOVANNY LOZANO GOMEZ</t>
  </si>
  <si>
    <t>ES78 0182 0519 5202 0467 9469</t>
  </si>
  <si>
    <t>JOSELIN GUZMAN CARRANZA</t>
  </si>
  <si>
    <t>ES06 0182 5319 7702 0549 9847</t>
  </si>
  <si>
    <t>JOSEPH ESTIVENS NIETO FERNANDEZ</t>
  </si>
  <si>
    <t>ES96 2100 0536 3202 0067 9389</t>
  </si>
  <si>
    <t>JOSIAS CANDELO BOLAÑOS</t>
  </si>
  <si>
    <t>ES77 0182 5430 4902 0169 2088</t>
  </si>
  <si>
    <t>JOSUE ALONSO DUARTE PINZON</t>
  </si>
  <si>
    <t xml:space="preserve">BE56 9679 3975 7988 </t>
  </si>
  <si>
    <t>JOSUE ENRIQUE ZEVALLOS BENITES</t>
  </si>
  <si>
    <t>ES07 2100 2814 4607 0100 9678</t>
  </si>
  <si>
    <t>JOSUE JUAN PINTO MACHACA</t>
  </si>
  <si>
    <t>ES98 0182 0917 0502 0174 6953</t>
  </si>
  <si>
    <t>JOZIMAR ANTONIO PEREIRA DE SOUZA</t>
  </si>
  <si>
    <t>PT50 0010 0000 6182 0520 0016 8</t>
  </si>
  <si>
    <t>JUAN ALBEIRO MONSALVE MARIN</t>
  </si>
  <si>
    <t>ES63 6893 0001 7500 0032 8858</t>
  </si>
  <si>
    <t>JUAN ALBERTO RODRIGUEZ</t>
  </si>
  <si>
    <t>ES84 0182 0845 1302 0220 7574</t>
  </si>
  <si>
    <t>JUAN ANDRES AGUILAR MARIN</t>
  </si>
  <si>
    <t>ES77 6893 0001 7600 0028 4131</t>
  </si>
  <si>
    <t>JUAN ANDRES BALANTA DIAZ</t>
  </si>
  <si>
    <t>ES45 6893 0001 7400 0018 2082</t>
  </si>
  <si>
    <t>JUAN BERNARDO PALACIOS RUIZ</t>
  </si>
  <si>
    <t>ES09 0049 6682 0427 1010 6753</t>
  </si>
  <si>
    <t>JUAN BETANCOUR MARTINEZ</t>
  </si>
  <si>
    <t>ES94 2100 2254 1102 0078 3607</t>
  </si>
  <si>
    <t>JUAN CAMILO SOSA QUINTERO</t>
  </si>
  <si>
    <t>BE69 9050 3477 1978</t>
  </si>
  <si>
    <t>JUAN CARLOS ARCAYA NORIEGA</t>
  </si>
  <si>
    <t>ES77 0182 0573 1902 0173 3193</t>
  </si>
  <si>
    <t>JUAN CARLOS BENAVIDES RODRIGUEZ</t>
  </si>
  <si>
    <t>ES85 0182 0606 8702 0178 6655</t>
  </si>
  <si>
    <t>JUAN CARLOS CHAPARRO QUINTERO</t>
  </si>
  <si>
    <t xml:space="preserve">ES08 0182 5011 1002 0223 3298 </t>
  </si>
  <si>
    <t>JUAN CARLOS DE LA HOZ CUADROS</t>
  </si>
  <si>
    <t>ES97 0182 3365 1302 0182 5357</t>
  </si>
  <si>
    <t>JUAN CARLOS GALAN ALMENDRA</t>
  </si>
  <si>
    <t xml:space="preserve">BE52 9051 7803 4009 </t>
  </si>
  <si>
    <t>JUAN CARLOS HUAMAN RIVERA</t>
  </si>
  <si>
    <t>ES41 6893 0001 7000 0026 4994</t>
  </si>
  <si>
    <t>JUAN CARLOS NUÑEZ MORALES</t>
  </si>
  <si>
    <t xml:space="preserve">ES89 0182 4242 1002 0175 6287 </t>
  </si>
  <si>
    <t>JUAN CARLOS PINZON GOMEZ</t>
  </si>
  <si>
    <t xml:space="preserve">ES98 0049 0036 1122 1163 8373 </t>
  </si>
  <si>
    <t>JUAN CARLOS VELASQUEZ PUENTES</t>
  </si>
  <si>
    <t>ES75 0182 0894 1602 0161 3730</t>
  </si>
  <si>
    <t>JUAN CARLOS VERGARA VALDERRAMA</t>
  </si>
  <si>
    <t>PL67 1090 1926 0000 0001 5999 6451</t>
  </si>
  <si>
    <t>JUAN CARLOS VILLANUEVA DE LA HOZ</t>
  </si>
  <si>
    <t>BE68 9054 3699 7434</t>
  </si>
  <si>
    <t>JUAN CARLOS VILLANUEVA GALVIS</t>
  </si>
  <si>
    <t>BE65 9051 0809 6096</t>
  </si>
  <si>
    <t>JUAN DANIEL MORA PEÑALOZA</t>
  </si>
  <si>
    <t>ES71 0182 4641 1102 0164 0873</t>
  </si>
  <si>
    <t>JUAN DANIEL ROA ROSAS</t>
  </si>
  <si>
    <t xml:space="preserve">ES02 6893 0001 7100 0034 6739 </t>
  </si>
  <si>
    <t>JUAN DAVID ALTAMAR CHIQUILLO</t>
  </si>
  <si>
    <t>ES87 0182 7029 7102 0159 2450</t>
  </si>
  <si>
    <t>JUAN DAVID FLORES INGA</t>
  </si>
  <si>
    <t>ES44 0182 5141 5602 0158 6218</t>
  </si>
  <si>
    <t>JUAN DAVID GOMEZ GUTIERREZ</t>
  </si>
  <si>
    <t xml:space="preserve">ES85 0182 2012 9902 0164 2435 </t>
  </si>
  <si>
    <t>JUAN DAVID GUALDRON REYES</t>
  </si>
  <si>
    <t>BE41 9056 7688 5710</t>
  </si>
  <si>
    <t>JUAN DAVID MOLANO CARDONA</t>
  </si>
  <si>
    <t>BE81 9055 5073 8624</t>
  </si>
  <si>
    <t>JUAN DAVID RUSSO LINERO</t>
  </si>
  <si>
    <t xml:space="preserve">BE20 9050 4997 9356
</t>
  </si>
  <si>
    <t>JUAN ESTEBAN CUERVO CHALARCA</t>
  </si>
  <si>
    <t xml:space="preserve">ES93 0182 2499 3202 0269 3947 </t>
  </si>
  <si>
    <t>JUAN ESTEBAN QUINTERO MONSALVE</t>
  </si>
  <si>
    <t>ES13 2100 2332 1002 0048 2163</t>
  </si>
  <si>
    <t>JUAN ESTEBAN RANGEL HERNANDEZ</t>
  </si>
  <si>
    <t>ES47 2100 4247 1407 0000 2438</t>
  </si>
  <si>
    <t>JUAN ESTEBAN RUIZ GONZALEZ</t>
  </si>
  <si>
    <t>ES48 0182 1433 0902 0189 0540</t>
  </si>
  <si>
    <t>JUAN EUSEVIO VILELA SANDOVAL</t>
  </si>
  <si>
    <t xml:space="preserve"> ES75 0182 7312 9602 0164 9362 </t>
  </si>
  <si>
    <t>JUAN FERNANDO DUQUE CARDONA</t>
  </si>
  <si>
    <t>ES08 6893 0001 7100 0033 5476</t>
  </si>
  <si>
    <t>JUAN GABRIEL GOEZ MESA</t>
  </si>
  <si>
    <t>JUAN GUILLERMO ACOSTA LENIS</t>
  </si>
  <si>
    <t>ES12 0182 0382 7302 0167 1039</t>
  </si>
  <si>
    <t>JUAN GUILLERMO CASTRO</t>
  </si>
  <si>
    <t>ES14 0182 1227 4802 0158 2448</t>
  </si>
  <si>
    <t>JUAN GUILLERMO RIOS PEREZ</t>
  </si>
  <si>
    <t xml:space="preserve">ES11 0182 7665 1402 0190 4796  </t>
  </si>
  <si>
    <t>JUAN GUILLERMO ZUÑIGA MAYOR</t>
  </si>
  <si>
    <t>ES78 0182 0704 2402 0156 4584</t>
  </si>
  <si>
    <t>JUAN ISRAEL BARONA NARVAEZ</t>
  </si>
  <si>
    <t>BE71 9678 0858 2969</t>
  </si>
  <si>
    <t>JUAN JESUS BARRANCA URIBE</t>
  </si>
  <si>
    <t>ES82 6893 0001 7900 0027 5843</t>
  </si>
  <si>
    <t>JUAN MANUEL LOZADA GOICOCHEA</t>
  </si>
  <si>
    <t>ES27 0182 3275 5902 0165 3196</t>
  </si>
  <si>
    <t>JUAN OMAR ORDINOLA AGURTO</t>
  </si>
  <si>
    <t>ES06 0049 0269 2326 1139 8935</t>
  </si>
  <si>
    <t>JUAN PABLO ABACA</t>
  </si>
  <si>
    <t>BE96 9675 0023 2905</t>
  </si>
  <si>
    <t>JUAN PABLO NINA CHACON</t>
  </si>
  <si>
    <t>ES46 0182 4590 1102 0161 8459</t>
  </si>
  <si>
    <t>JUAN PABLO PENA ZAPATA</t>
  </si>
  <si>
    <t>ES33 0049 5547 9627 1611 7758</t>
  </si>
  <si>
    <t>JUAN PABLO PORTILLA ZAMBRANO</t>
  </si>
  <si>
    <t>ES94 0182 6800 9602 0179 4803</t>
  </si>
  <si>
    <t>JUAN PABLO RODRIGUEZ CABALLERO</t>
  </si>
  <si>
    <t>ES57 0182 2656 8402 0159 9252</t>
  </si>
  <si>
    <t>JUAN QUINTANA DE AVILA</t>
  </si>
  <si>
    <t>BE84 9055 5549 5159</t>
  </si>
  <si>
    <t>JUAN RAUL GUIMAREY VARILLAS</t>
  </si>
  <si>
    <t xml:space="preserve">ES04 0182 6553 8102 0160 8233 </t>
  </si>
  <si>
    <t>JUAN SEBASTIAN GARCIA GARCIA</t>
  </si>
  <si>
    <t xml:space="preserve">ES26 0182 8320 9402 0188 6480 </t>
  </si>
  <si>
    <t>JULIAN ANDRES CASTRO ESCOBAR</t>
  </si>
  <si>
    <t xml:space="preserve">ES49 0182 5430 4502 0169 1818 </t>
  </si>
  <si>
    <t>JULIAN ANDRES LUCUMI CALERO</t>
  </si>
  <si>
    <t>ES58 2100 1550 2107 0002 6167</t>
  </si>
  <si>
    <t>JULIAN ANDRES RODALLEGA RIVAS</t>
  </si>
  <si>
    <t>ES70 0182 2012 9902 0164 4257</t>
  </si>
  <si>
    <t>JULIAN CAMILO MUÑOZ CADONA</t>
  </si>
  <si>
    <t>ES26 0049 4668 1527 1605 7551</t>
  </si>
  <si>
    <t>JULIAN EDUARDO AGUILAR</t>
  </si>
  <si>
    <t>ES89 6893 0001 7700 0027 7464</t>
  </si>
  <si>
    <t>JULIAN EDUARDO ARCO SAENZ</t>
  </si>
  <si>
    <t>BE35 9050 6207 3337</t>
  </si>
  <si>
    <t>JULIAN EDUARDO YANES FAJARDO</t>
  </si>
  <si>
    <t>ES29 0182 8674 4502 0164 6378</t>
  </si>
  <si>
    <t>JULIAN ENRIQUE GUTIERREZ SALDAÑA</t>
  </si>
  <si>
    <t>ES92 0182 4670 9202 0159 3269</t>
  </si>
  <si>
    <t>JULIAN FERNANDO MORALES AGUILAR</t>
  </si>
  <si>
    <t xml:space="preserve">ES16 0182 0317 9902 0158 0599 </t>
  </si>
  <si>
    <t>JULIAN FIGUEROA MORANTE</t>
  </si>
  <si>
    <t>BE94 9051 9088 7014</t>
  </si>
  <si>
    <t>JULIAN OSWALDO CAMACHO SALAZAR</t>
  </si>
  <si>
    <t>ES83 0182 7312 9202 0164 9317</t>
  </si>
  <si>
    <t>JULIAN STIVEN RUBIO HERNANDEZ</t>
  </si>
  <si>
    <t xml:space="preserve">ES38 6893 0001 7700 0033 5418 </t>
  </si>
  <si>
    <t>JULIO ALEXANDER CASTRO POLO</t>
  </si>
  <si>
    <t>BE47 9679 1279 1180</t>
  </si>
  <si>
    <t>JULIO ALEXANDER TOVAR BAQUERO</t>
  </si>
  <si>
    <t>ES49 0182 0315 1602 0153 1210</t>
  </si>
  <si>
    <t>JULIO CESAR ANTEQUERA ALMARALES</t>
  </si>
  <si>
    <t>ES98 0182 0710 1602 0156 6062</t>
  </si>
  <si>
    <t>JULIO CESAR CAICEDO BOLAÑOS</t>
  </si>
  <si>
    <t>ES21 0182 5430 4302 0169 1450</t>
  </si>
  <si>
    <t>JULIO CESAR ELJACH BERROCAL</t>
  </si>
  <si>
    <t>ES88 0182 3418 2202 0172 4943</t>
  </si>
  <si>
    <t>JULIO CESAR MANJARRES</t>
  </si>
  <si>
    <t>BE14 9056 0085 4783</t>
  </si>
  <si>
    <t>JULIO CESAR OROZCO MEDINA</t>
  </si>
  <si>
    <t>JULIO CESAR QUINTERO CHINCHILLA</t>
  </si>
  <si>
    <t>ES19 0182 6786 0102 0155 4837</t>
  </si>
  <si>
    <t>JULIO CESAR VERA</t>
  </si>
  <si>
    <t>BE78 9056 7975 4886</t>
  </si>
  <si>
    <t>JULIO CESAR VERGARA DE AVILA</t>
  </si>
  <si>
    <t xml:space="preserve">ES91 6893 0001 7900 0024 2604 </t>
  </si>
  <si>
    <t>JULIO ENRIQUE ZAMBRANO SANCHEZ</t>
  </si>
  <si>
    <t>ES94 0182 5005 0102 0159 6850</t>
  </si>
  <si>
    <t>KAIQUI SANTOS DE SOUZA</t>
  </si>
  <si>
    <t>PT50 0018 0003 5536 1489 0208 5</t>
  </si>
  <si>
    <t>KARLO CESAR COLONA CRUZ</t>
  </si>
  <si>
    <t>ES10 0182 0496 6702 0179 4679</t>
  </si>
  <si>
    <t>KEVIN ANDRES ZUÑIGA MELO</t>
  </si>
  <si>
    <t>ES25 0182 0043 1002 0168 3373</t>
  </si>
  <si>
    <t>KEVIN ELI CACERES SOLARI</t>
  </si>
  <si>
    <t>ES55 0182 2626 6702 0169 4547</t>
  </si>
  <si>
    <t>KEVIN FRANKLYN LESCANO REYES</t>
  </si>
  <si>
    <t>ES22 0182 6734 5102 0201 0348</t>
  </si>
  <si>
    <t>KEVIN JOSE AVILA GALAN</t>
  </si>
  <si>
    <t>BE76 9050 3560 7895</t>
  </si>
  <si>
    <t>KEVIN STEVEN RAMIREZ CARDONA</t>
  </si>
  <si>
    <t>ES67 0182 0845 1402 0220 3466</t>
  </si>
  <si>
    <t>KEWIN RAFAEL RUMBO YEPES</t>
  </si>
  <si>
    <t xml:space="preserve">ES96 0182 5870 8102 0195 1806 </t>
  </si>
  <si>
    <t>KILDER ELBIS RAMIREZ SHUAN</t>
  </si>
  <si>
    <t xml:space="preserve">ES47 0182 8674 4302 0164 8480 </t>
  </si>
  <si>
    <t>LACIDES SANCHEZ BADILLO</t>
  </si>
  <si>
    <t xml:space="preserve">DE61 1001 1001 2439 3301 75 </t>
  </si>
  <si>
    <t>LAISNERS GALICIA MORALES</t>
  </si>
  <si>
    <t>ES90 0182 4353 7802 0162 9629</t>
  </si>
  <si>
    <t>LEANDRO RENDON ALVAREZ</t>
  </si>
  <si>
    <t>ES58 2100 5002 4802 0017 3816</t>
  </si>
  <si>
    <t>LEANDRO VARGAS BETANCOURTH</t>
  </si>
  <si>
    <t xml:space="preserve">BE67 9051 6249 2787 </t>
  </si>
  <si>
    <t>LEIDER PACHECO MENDOZA</t>
  </si>
  <si>
    <t xml:space="preserve">ES19 0182 8181 1802 0233 7951 </t>
  </si>
  <si>
    <t>LEISER DONCEL AVILA</t>
  </si>
  <si>
    <t>ES43 0182 4018 1002 0170 0900</t>
  </si>
  <si>
    <t>LEIXER AUGUSTO RIVERO MUNIVE</t>
  </si>
  <si>
    <t>BE64 9054 9114 4652</t>
  </si>
  <si>
    <t>LENNER VICTOR RAMOS RUIZ</t>
  </si>
  <si>
    <t>ES97 0182 3397 2302 0229 3523</t>
  </si>
  <si>
    <t>LENNIN JESUS CANON CARDENAS</t>
  </si>
  <si>
    <t>LEONARDO ALTUZARRA RODRIGUEZ</t>
  </si>
  <si>
    <t>ES36 0182 0382 7002 0167 1336</t>
  </si>
  <si>
    <t>LEONARDO JAVIER RIOS CORREA</t>
  </si>
  <si>
    <t>ES15 0182 4023 4102 0161 5439</t>
  </si>
  <si>
    <t>LEWIS AGUSTIN BARBOZA HERRERA</t>
  </si>
  <si>
    <t>BE74 9050 0805 1007</t>
  </si>
  <si>
    <t>LIBARDO CABRERA SANCHEZ</t>
  </si>
  <si>
    <t xml:space="preserve">ES15 0182 8181 1602 0233 9285 </t>
  </si>
  <si>
    <t>LUBERMI JOSE MIRANDA PEREZ</t>
  </si>
  <si>
    <t>ES50 6893 0001 7600 0032 9237</t>
  </si>
  <si>
    <t>LUCAS SALES DE FARIA</t>
  </si>
  <si>
    <t>PT50 0023 0000 4557 2974 2709 4</t>
  </si>
  <si>
    <t>LUCAS SEBASTIÃO CARDOSO</t>
  </si>
  <si>
    <t>PT50 0007 0000 0061 5645 6152 3</t>
  </si>
  <si>
    <t>LUCIANO LOPES DE ALMEIDA</t>
  </si>
  <si>
    <t>PT50 0033 0000 4559 1734 3610 5</t>
  </si>
  <si>
    <t>LUIGUI ARMANDO QUINES GRANADOS</t>
  </si>
  <si>
    <t>LT31 3250 0841 5508 1516</t>
  </si>
  <si>
    <t>LUIS ALBERTO AMOROS SHUPINGAHUA</t>
  </si>
  <si>
    <t>ES38 6893 0001 7000 0027 2420</t>
  </si>
  <si>
    <t>LUIS ALBERTO BUSTOS CALDERON</t>
  </si>
  <si>
    <t>ES86 6893 0001 7700 003 06133</t>
  </si>
  <si>
    <t>LUIS ALBERTO CAMARGO NINO</t>
  </si>
  <si>
    <t>ES06 0182 2808 8102 0160 1350</t>
  </si>
  <si>
    <t>LUIS ALBERTO DIAZ CLAVIJO</t>
  </si>
  <si>
    <t>ES43 0182 0374 9202 0154 7148</t>
  </si>
  <si>
    <t>LUIS ALBERTO FUNEZ COLLAZOS</t>
  </si>
  <si>
    <t>ES87 0182 6337 4202 0158 1329</t>
  </si>
  <si>
    <t>LUIS ALBERTO MARTINEZ BLANQUICETT</t>
  </si>
  <si>
    <t>ES91 0049 5415 4929 1810 7262</t>
  </si>
  <si>
    <t>LUIS ALBERTO MIRANDA ESPINOZA</t>
  </si>
  <si>
    <t>ES36 0182 5323 7302 0161 5811</t>
  </si>
  <si>
    <t>LUIS ALBERTO RAMIREZ PINEDO</t>
  </si>
  <si>
    <t>ES50 0182 8191 7902 0204 8724</t>
  </si>
  <si>
    <t>LUIS ALBERTO SABOGAL OROZCO</t>
  </si>
  <si>
    <t>ES46 6893 0001 7900 0026 2232</t>
  </si>
  <si>
    <t>LUIS ALBERTO ZUÑIGA PEREZ</t>
  </si>
  <si>
    <t xml:space="preserve">ES62 0182 2620 9402 0164 7808 </t>
  </si>
  <si>
    <t>LUIS ALEJANDRO ALVAREZ JOVEL</t>
  </si>
  <si>
    <t xml:space="preserve"> BE38 9050 3744 8572</t>
  </si>
  <si>
    <t>LUIS ALEXANDER SEPULVEDA GUERRERO</t>
  </si>
  <si>
    <t>LUIS ALFONSO BARRIOS GOMEZ</t>
  </si>
  <si>
    <t>BE03 9050 3697 4484</t>
  </si>
  <si>
    <t>LUIS ALFREDO APONTE ANTON</t>
  </si>
  <si>
    <t>LUIS ALFREDO MALAVER CARDENAS</t>
  </si>
  <si>
    <t>ES49 6893 0001 7200 0033 2264</t>
  </si>
  <si>
    <t>LUIS ALFREDO RODRIGUEZ HERNANDEZ</t>
  </si>
  <si>
    <t>ES89 0182 5332 1202 0793 3357</t>
  </si>
  <si>
    <t>LUIS ANDRES MERCHAN VACA</t>
  </si>
  <si>
    <t>ES34 0182 7345 4002 0171 3274</t>
  </si>
  <si>
    <t>LUIS ANGEL DIAZ RODRIGUEZ</t>
  </si>
  <si>
    <t xml:space="preserve"> ES61 6893 0001 7100 0019 1447</t>
  </si>
  <si>
    <t>LUIS ANTONIO ORTEGA CRUZ</t>
  </si>
  <si>
    <t>ES72 6893 0001 7800 0025 9582</t>
  </si>
  <si>
    <t>LUIS ANTONIO SOTO VIDAL</t>
  </si>
  <si>
    <t>LUIS BANIER PAZ</t>
  </si>
  <si>
    <t>BE52 9053 5846 3709</t>
  </si>
  <si>
    <t>LUIS CARLOS CASTELLAR VILLARREAL</t>
  </si>
  <si>
    <t>ES52 0182 1245 1802 0166 8179</t>
  </si>
  <si>
    <t>LUIS CARLOS PEREZ GONZALEZ</t>
  </si>
  <si>
    <t>ES16 0182 5011 1602 0223 4024</t>
  </si>
  <si>
    <t>LUIS EDUARDO BRAGA TEIXEIRA VILELA VIDAL</t>
  </si>
  <si>
    <t>PT50 0007 0000 0079 9422 5912 3</t>
  </si>
  <si>
    <t>LUIS EDUARDO PAREDES MUÑOZ</t>
  </si>
  <si>
    <t>BE61 9679 7872 5417</t>
  </si>
  <si>
    <t>LUIS EDUARDO VALDEZ ELLES</t>
  </si>
  <si>
    <t xml:space="preserve">ES26 0182 6552 3102 0161 0240 </t>
  </si>
  <si>
    <t>LUIS EFRAIN ADRIANZEN MARCELO</t>
  </si>
  <si>
    <t>ES75 0049 7405 0526 1005 2569</t>
  </si>
  <si>
    <t>LUIS ENRIQUE GARRIDO CASTRO</t>
  </si>
  <si>
    <t>ES92 0182 3107 1102 0173 7177</t>
  </si>
  <si>
    <t>LUIS ENRIQUE SILVA GAMBOA</t>
  </si>
  <si>
    <t>ES15 6893 0001 7200 0030 9984</t>
  </si>
  <si>
    <t>LUIS FELIPE OSPINA GARCIA</t>
  </si>
  <si>
    <t>ES91 0182 3350 1502 0160 2532</t>
  </si>
  <si>
    <t>LUIS FELIPE VALDERRAMA PALOMINO</t>
  </si>
  <si>
    <t>ES59 6893 0001 7900 0029 6627</t>
  </si>
  <si>
    <t>LUIS FERNANDO BENJUMEA ORTIZ</t>
  </si>
  <si>
    <t>ES20 0182 7345 4702 0171 0855</t>
  </si>
  <si>
    <t>LUIS FERNANDO CAICEDO MOSQUERA</t>
  </si>
  <si>
    <t>ES18 0182 8182 4502 0308 6309</t>
  </si>
  <si>
    <t>LUIS FERNANDO DENIS BEJARANO</t>
  </si>
  <si>
    <t>ES48 0182 4353 7102 0164 0525</t>
  </si>
  <si>
    <t>LUIS FERNANDO MARTINEZ MACOTT</t>
  </si>
  <si>
    <t>BE03 9050 2636 2684</t>
  </si>
  <si>
    <t>LUIS FERNANDO RIVERA PUERTA</t>
  </si>
  <si>
    <t>ES27 0182 0845 1202 0220 4575</t>
  </si>
  <si>
    <t>LUIS FERNANDO TOVAR LLAMOZA</t>
  </si>
  <si>
    <t>ES93 6893 0001 7000 0027 7638</t>
  </si>
  <si>
    <t>LUIS FERNANDO VASQUEZ ALVARADO</t>
  </si>
  <si>
    <t>ES70 0049 2604 4929 1530 2688</t>
  </si>
  <si>
    <t>LUIS GABRIEL DE AVILA CASTELLON</t>
  </si>
  <si>
    <t>BE91 9050 0588 5176</t>
  </si>
  <si>
    <t>LUIS GUILLERMO ARTEAGA AGUDELO</t>
  </si>
  <si>
    <t>ES51 6893 0001 7100 0033 3635</t>
  </si>
  <si>
    <t>LUIS HERNANDO HINESTROZA VALENCIA</t>
  </si>
  <si>
    <t>ES22 6893 0001 7300 0033 9200</t>
  </si>
  <si>
    <t>PROVISIONAL</t>
  </si>
  <si>
    <t>LUIS HERNANDO LOPEZ MUÑOZ</t>
  </si>
  <si>
    <t>ES78 0049 2961 5323 1441 5767</t>
  </si>
  <si>
    <t>LUIS JAVIER ZAMORA CANACHE</t>
  </si>
  <si>
    <t>ES24 0182 2771 3502 0164 5579</t>
  </si>
  <si>
    <t>LUIS MANUEL MEJIA AYALA</t>
  </si>
  <si>
    <t>ES73 0049 7476 6520 1005 1548</t>
  </si>
  <si>
    <t>LUIS MANUEL SALCEDO VITOLA</t>
  </si>
  <si>
    <t>ES47 6893 0001 7500 0028 8406</t>
  </si>
  <si>
    <t>LUIS MAURICIO RANGEL MENESES</t>
  </si>
  <si>
    <t>BE07 9057 0700 0166</t>
  </si>
  <si>
    <t>LUIS MERCEDES VILLALTA SUAREZ</t>
  </si>
  <si>
    <t>ES98 0049 4269 1122 1407 2010</t>
  </si>
  <si>
    <t>LUIS MIGUEL BELEÑO NAVARRO</t>
  </si>
  <si>
    <t>ES11 0182 0382 7702 0167 3189</t>
  </si>
  <si>
    <t>LUIS MIGUEL DIAZ GUTIERREZ</t>
  </si>
  <si>
    <t xml:space="preserve">ES93 0182 8181 1102 0234 0357	</t>
  </si>
  <si>
    <t>LUIS MIGUEL VEGA FUENTES</t>
  </si>
  <si>
    <t xml:space="preserve">ES96 0182 0670 1402 0161 0197 </t>
  </si>
  <si>
    <t>LUIS SAUL ARIAS NAVA</t>
  </si>
  <si>
    <t>ES21 0182 5319 7802 0887 8717</t>
  </si>
  <si>
    <t>LUIS YEISON GUERRERO GOMEZ</t>
  </si>
  <si>
    <t xml:space="preserve">ES34 6893 0001 7100 0025 5565 </t>
  </si>
  <si>
    <t>LUIZ GUILHERME AMARAL ALVES</t>
  </si>
  <si>
    <t>ES36 0049 5432 5026 1759 9413</t>
  </si>
  <si>
    <t>LUIZ HENRIQUE LIMA  DOS SANTOS</t>
  </si>
  <si>
    <t xml:space="preserve"> PT50 0033 0000 4566 1017 6780 5</t>
  </si>
  <si>
    <t>LUYSMER DAVID PEÑARANDA CABRERA</t>
  </si>
  <si>
    <t>ES35 1576 1212 1110 1054 9500</t>
  </si>
  <si>
    <t>MAGNO GOMES GUIMARÃES</t>
  </si>
  <si>
    <t>PT50 0269 0112 0020 0567 5511 7</t>
  </si>
  <si>
    <t>MAGUEY MAURICIO MUÑOZ CARDENAS</t>
  </si>
  <si>
    <t>ES36 6893 0001 7700 0029 6751</t>
  </si>
  <si>
    <t>MANUEL ANTONIO AHUMADA LEON</t>
  </si>
  <si>
    <t xml:space="preserve">ES63 6893 0001 7600 0033 5502 </t>
  </si>
  <si>
    <t>MANUEL FRANCISCO DE LA HOZ PEREZ</t>
  </si>
  <si>
    <t>BE47 9056 8587 4980</t>
  </si>
  <si>
    <t>MANUEL SALVADOR ORTEGA SANCHEZ</t>
  </si>
  <si>
    <t xml:space="preserve">ES64 0182 1797 3602 0408 6112 </t>
  </si>
  <si>
    <t>MANUEL TCHIMBINJA GOMBACASSI</t>
  </si>
  <si>
    <t>PT50 0036 0135 9910 0047 616 74</t>
  </si>
  <si>
    <t>MARCELO ALEJANDRO ROJAS CARRASCO</t>
  </si>
  <si>
    <t>BE23 9056 8649 6891</t>
  </si>
  <si>
    <t>MARCELO CORDEIRO DE SOUSA NARCIZO</t>
  </si>
  <si>
    <t>PT50 0193 0000 1050 0754 5274 6</t>
  </si>
  <si>
    <t>MARCELO NASCIMENTO COSME</t>
  </si>
  <si>
    <t>PT50 0033 0000 4565 0587 3650 5</t>
  </si>
  <si>
    <t>MARCIAL RAUL ANCO GONZALES</t>
  </si>
  <si>
    <t>ES38 0182 6337 4602 0158 1336</t>
  </si>
  <si>
    <t>MARCO ALEXIS VILLAMIL SUAREZ</t>
  </si>
  <si>
    <t>ES09 0182 0733 1202 0165 8957</t>
  </si>
  <si>
    <t>MARCO ANTONIO CRISTOBAL CALERO</t>
  </si>
  <si>
    <t>ES40 6893 0001 7900 0027 0294</t>
  </si>
  <si>
    <t>MARCO ANTONIO ROJAS CARBAJAL</t>
  </si>
  <si>
    <t xml:space="preserve">ES39 0182 4590 1602 0161 8534	</t>
  </si>
  <si>
    <t>MARCOS RAFAEL CASANI VALDEZ</t>
  </si>
  <si>
    <t>ES81 0049 0128 5620 1097 1951</t>
  </si>
  <si>
    <t>MARCOS ROBERTO GOMES FREITAS</t>
  </si>
  <si>
    <t>PT50 0035 0774 0012 8798 0003 0</t>
  </si>
  <si>
    <t>MARIANO CERON MUÑOZ</t>
  </si>
  <si>
    <t>BE79 9678 9953 6233</t>
  </si>
  <si>
    <t>MARIANO ONIAS TENORIO GALLO</t>
  </si>
  <si>
    <t>BE25 9057 4912 8882</t>
  </si>
  <si>
    <t>MARIO ALEXANDER PEÑALOZA GARCIA</t>
  </si>
  <si>
    <t>ES59 0182 0894 1702 0161 6685</t>
  </si>
  <si>
    <t>MARIO ANDRES SUAREZ ACOSTA</t>
  </si>
  <si>
    <t>BE79 9056 8891 6033</t>
  </si>
  <si>
    <t>MARIO ANTONIO HERRERA ORTEGA</t>
  </si>
  <si>
    <t>ES38 0182 0855 7102 0208 7690</t>
  </si>
  <si>
    <t>MARIO ENRIQUE CHANTRE CALAMBAS</t>
  </si>
  <si>
    <t>ES27 0182 1503 2102 0165 6843</t>
  </si>
  <si>
    <t>MARIO FERNANDO ALBERCA PUICON</t>
  </si>
  <si>
    <t>ES25 0182 8674 4302 0164 9070</t>
  </si>
  <si>
    <t>MARIO LUIS FERNANDO PEDEMONTE RUIZ</t>
  </si>
  <si>
    <t>ES88 0182 0689 1302 0161 5163</t>
  </si>
  <si>
    <t>MARIO PEÑA HERNANDEZ</t>
  </si>
  <si>
    <t xml:space="preserve"> ES30 0049 4488 7728 1008 6705</t>
  </si>
  <si>
    <t>MARLLON SALES DE FARIA</t>
  </si>
  <si>
    <t>PT50 0023 0000 4557 2631 5699 4</t>
  </si>
  <si>
    <t>MARLO CESAR CASTILLO SILUPU</t>
  </si>
  <si>
    <t>ES30 0049 2439 1822 1543 3345</t>
  </si>
  <si>
    <t>MARLON BUJATO SILVERA</t>
  </si>
  <si>
    <t>BE02 9054 7600 1740</t>
  </si>
  <si>
    <t>MARLON SERNA URBANO</t>
  </si>
  <si>
    <t>BE72 9053 1405 7816</t>
  </si>
  <si>
    <t>MARLON STIVEN MOLANO CARDONA</t>
  </si>
  <si>
    <t>BE19 9057 1451 2212</t>
  </si>
  <si>
    <t>MARTIN ALONSO SEGURA BENITEZ</t>
  </si>
  <si>
    <t>ES36 0182 0702 3002 0164 4783</t>
  </si>
  <si>
    <t>MARTIN CAMILO SUAREZ BARRERA</t>
  </si>
  <si>
    <t>PT50 0007 0000 0081 5617 9052 3</t>
  </si>
  <si>
    <t>MARTIN FRANCISCO ABACA</t>
  </si>
  <si>
    <t>BE32 9054 4030 1902</t>
  </si>
  <si>
    <t>MARTINIANO ALFONSO DEANTONIO</t>
  </si>
  <si>
    <t>ES23 0182 0043 1502 0167 9769</t>
  </si>
  <si>
    <t>MATEO CANTILLO PAYARES</t>
  </si>
  <si>
    <t>ES81 0182 0704 2002 0156 5211</t>
  </si>
  <si>
    <t>MATHEUS ALVES BARBOSA CASTRO</t>
  </si>
  <si>
    <t>PT50 0010 0000 6175 1180 0017 6</t>
  </si>
  <si>
    <t>MATHEUS FERREIRA DE OLIVEIRA</t>
  </si>
  <si>
    <t>PT50 0007 0000 0064 7118 2352 3</t>
  </si>
  <si>
    <t>MATHEUS RODRIGUES JOSE</t>
  </si>
  <si>
    <t>PT50 0007 0000 0077 9646 3282 3</t>
  </si>
  <si>
    <t>MAURICIO ALVAREZ NIEVA</t>
  </si>
  <si>
    <t xml:space="preserve"> BE71 9679 6256 0769</t>
  </si>
  <si>
    <t>MAURICIO ANDRADE VIAFARA</t>
  </si>
  <si>
    <t>BE19 9678 2042 0912</t>
  </si>
  <si>
    <t>MAURICIO GIRALDO VILLALBA</t>
  </si>
  <si>
    <t>BE59 9679 9692 3526</t>
  </si>
  <si>
    <t>MAURICIO MORALES OCAMPO</t>
  </si>
  <si>
    <t>BE36 9050 3947 6781</t>
  </si>
  <si>
    <t>MAURICIO ORTIZ CONTRERAS</t>
  </si>
  <si>
    <t>ES48 0182 7424 9502 0160 6273</t>
  </si>
  <si>
    <t>MAURICIO TELLO RODRIGUEZ</t>
  </si>
  <si>
    <t>ES50 6717 0003 3992 5579 7749</t>
  </si>
  <si>
    <t>MAURICIO TORO RAMIREZ</t>
  </si>
  <si>
    <t xml:space="preserve"> BE05 9050 0921 2175</t>
  </si>
  <si>
    <t>MAYKOL GUILLERMO MAESTRE PEREIRA</t>
  </si>
  <si>
    <t>ES47 6893 0001 7900 0026 9295</t>
  </si>
  <si>
    <t>MEIKER SADAINER OVIEDO CANCHILA</t>
  </si>
  <si>
    <t>PL41 1090 2835 0000 0001 5350 2671</t>
  </si>
  <si>
    <t>MELBIN JULIO ALBOR SUAREZ</t>
  </si>
  <si>
    <t>MICHAEL ANDRES AHUMADA RUBIO</t>
  </si>
  <si>
    <t>ES84 6893 0001 7200 0033 5417</t>
  </si>
  <si>
    <t>MICHAEL ANDRES PIZARRO LUNA</t>
  </si>
  <si>
    <t>BE42 9054 5064 7354</t>
  </si>
  <si>
    <t>MICHAEL SANDOVAL CAMARGO</t>
  </si>
  <si>
    <t>ES18 6893 0001 7800 0026 6374</t>
  </si>
  <si>
    <t>MICHAEL YESID CUBILLOS CORTES</t>
  </si>
  <si>
    <t>BE10 9050 6210 8804</t>
  </si>
  <si>
    <t>MIGUEL ALEXANDER LEON ORTIZ</t>
  </si>
  <si>
    <t>ES40 6893 0001 7100 0016 2240</t>
  </si>
  <si>
    <t>MIGUEL ANGEL ARCAYA NORIEGA</t>
  </si>
  <si>
    <t>ES49 0182 0917 0902 0174 6960</t>
  </si>
  <si>
    <t>MIGUEL ANGEL CHUQUIZAPON VASQUEZ</t>
  </si>
  <si>
    <t>ES97 0049 2795 8529 1466 2231</t>
  </si>
  <si>
    <t>MIGUEL ANGEL GARCIA CASTRO</t>
  </si>
  <si>
    <t xml:space="preserve">ES87 0182 1930 5002 0164 0170 </t>
  </si>
  <si>
    <t>MIGUEL ANGEL LLINAS DE LA ROSA</t>
  </si>
  <si>
    <t>ES60 0182 8181 1502 0233 6972</t>
  </si>
  <si>
    <t>MIGUEL ANGEL MARTINEZ CHAVEZ</t>
  </si>
  <si>
    <t>ES66 6893 0001 7900 0026 7401</t>
  </si>
  <si>
    <t>MIGUEL ANGEL MARTINEZ ISAZA</t>
  </si>
  <si>
    <t>ES03 0182 0021 8402 0157 1148</t>
  </si>
  <si>
    <t>MIGUEL ANGEL NUNEZ PADILLA</t>
  </si>
  <si>
    <t>ES50 0182 4021 5102 0206 0425</t>
  </si>
  <si>
    <t>MIGUEL FERNANDO OLARTE PRADILLA</t>
  </si>
  <si>
    <t>ES95 0182 1965 1202 0169 7659</t>
  </si>
  <si>
    <t>MIGUEL RICARDO URTEAGA GARCÍA</t>
  </si>
  <si>
    <t xml:space="preserve">ES10 6893 0001 7200 0028 1556 </t>
  </si>
  <si>
    <t>MIGUEL SUMIRE ROA</t>
  </si>
  <si>
    <t>ES06 0182 1077 3902 0162 1476</t>
  </si>
  <si>
    <t>MIJAEL CESAR JIMENEZ FERNANDEZ</t>
  </si>
  <si>
    <t>ES17 0049 3001 0625 1423 4549</t>
  </si>
  <si>
    <t>MILTHON WALTER PORRAS JIMENEZ</t>
  </si>
  <si>
    <t>ES37 0182 2626 6502 0169 5939</t>
  </si>
  <si>
    <t>MILTON ANDRES HERNANDEZ OSORIO</t>
  </si>
  <si>
    <t>ES30 0182 8674 4102 0164 4228</t>
  </si>
  <si>
    <t>MILTON CESAR DIAZ GIL</t>
  </si>
  <si>
    <t>ES17 0182 3507 4002 0230 9388</t>
  </si>
  <si>
    <t>MILTON DAVID MORALES LEITON</t>
  </si>
  <si>
    <t xml:space="preserve">BE56 9056 7078 2588 </t>
  </si>
  <si>
    <t>MILTON DAVID SOSA PALLAS</t>
  </si>
  <si>
    <t>ES93 0182 0606 8402 0178 1711</t>
  </si>
  <si>
    <t>MILTON ENRIQUE JIMENEZ ARDILA</t>
  </si>
  <si>
    <t xml:space="preserve">ES95 0182 8181 1302 0233 8671 </t>
  </si>
  <si>
    <t>MILTON JONATHAN OSORIO MARTINEZ</t>
  </si>
  <si>
    <t>ES51 0182 1509 1902 0159 6651</t>
  </si>
  <si>
    <t>MILTON OMAR MEDINA PANTA</t>
  </si>
  <si>
    <t xml:space="preserve">ES04 6893 0001 7400 0026 6143 </t>
  </si>
  <si>
    <t>MILTON SAA MILLAN</t>
  </si>
  <si>
    <t>ES02 0182 9792 5402 0031 0511</t>
  </si>
  <si>
    <t>MISAEL SUAREZ SIJONA</t>
  </si>
  <si>
    <t>ES46 0182 7345 4402 0171 4802</t>
  </si>
  <si>
    <t>MOACIR DA SILVA</t>
  </si>
  <si>
    <t>PT50 0018 0003 5495 3765 0204 8</t>
  </si>
  <si>
    <t>MOHAMED BOUSTILA</t>
  </si>
  <si>
    <t xml:space="preserve">PT50 0033 0000 4557 0222 6710 5 </t>
  </si>
  <si>
    <t>MOISES ESTUPINAN SANCHEZ</t>
  </si>
  <si>
    <t xml:space="preserve">ES38 1576 1212 1010 1051 9619 </t>
  </si>
  <si>
    <t>MOISES JOSÉ BARRETO ALMEIDA</t>
  </si>
  <si>
    <t>PT50 0035 0361 0000 4506 5302 5</t>
  </si>
  <si>
    <t>MOISES NUNES FERREIRA</t>
  </si>
  <si>
    <t>PT50 0079 0000 8499 5659 1012 8</t>
  </si>
  <si>
    <t>EUROBIC</t>
  </si>
  <si>
    <t>NASSER MOHAMAD MERES LUNA</t>
  </si>
  <si>
    <t>NEDER MIGUEL VELASQUEZ ACOSTA</t>
  </si>
  <si>
    <t xml:space="preserve">ES80 0182 0706 1502 0164 5302 </t>
  </si>
  <si>
    <t>NEFER YASETH PESTANA CABALLERO</t>
  </si>
  <si>
    <t xml:space="preserve"> BE88 9057 4046 2641</t>
  </si>
  <si>
    <t>NEIDER ALEXANDER MONTERO PAEZ</t>
  </si>
  <si>
    <t>BE39 9053 7990 1719</t>
  </si>
  <si>
    <t>NEIRON ENRIQUE CARCAMO REALES</t>
  </si>
  <si>
    <t xml:space="preserve">ES10 6893 0001 7400 0029 2904 </t>
  </si>
  <si>
    <t>NELGER CARDONA NORIEGA</t>
  </si>
  <si>
    <t>ES74 0182 8181 1302 0235 3890</t>
  </si>
  <si>
    <t>NELSON ALBEIRO PIRACON CELY</t>
  </si>
  <si>
    <t>ES85 0182 0646 7402 0165 0462</t>
  </si>
  <si>
    <t>NELSON ALBERTO SALCEDO RODRIGUEZ</t>
  </si>
  <si>
    <t>ES24 0182 6551 9502 0169 7594</t>
  </si>
  <si>
    <t>NELSON ENRIQUE CABALLERO CORREDOR</t>
  </si>
  <si>
    <t>BE34 9055 7588 7690</t>
  </si>
  <si>
    <t>NELSON ENRIQUE MARTINEZ VEGA</t>
  </si>
  <si>
    <t>ES24 0182 0075 2502 0166 9028</t>
  </si>
  <si>
    <t>NELSON ENRIQUE MONTOYA BATISTA</t>
  </si>
  <si>
    <t>ES02 0182 4010 3902 0183 3798</t>
  </si>
  <si>
    <t>NELSON ENRIQUE PICO VARGAS</t>
  </si>
  <si>
    <t>BE72 9050 4273 9116</t>
  </si>
  <si>
    <t>NELSON JAIME PITRE CASTILLA</t>
  </si>
  <si>
    <t>ES68 6893 0001 7800 0031 8242</t>
  </si>
  <si>
    <t>NELSON JAVIER ACOSTA SANTISTEBAN</t>
  </si>
  <si>
    <t>ES10 6893 0001 7100 0018 1016</t>
  </si>
  <si>
    <t>NELSON RIAÑO VARGAS</t>
  </si>
  <si>
    <t xml:space="preserve"> ES91 6893 0001 7100 0029 1302</t>
  </si>
  <si>
    <t>NELSON ROBERTO HENAO BEDOYA</t>
  </si>
  <si>
    <t>FR76 1659 8000 0140 0011 2313 942</t>
  </si>
  <si>
    <t>NELSON RODRIGO MOSSOS ANDRADE</t>
  </si>
  <si>
    <t>ES26 2100 1943 3507 0000 5631</t>
  </si>
  <si>
    <t>NELSON URIEL RAMIREZ MENDOZA</t>
  </si>
  <si>
    <t>ES76 0182 6800 9802 0179 1828</t>
  </si>
  <si>
    <t>NERIKER ARMANDO OVIEDO CANCHILA</t>
  </si>
  <si>
    <t>PL76 1090 2688 0000 0001 5052 6174</t>
  </si>
  <si>
    <t>NESTOR ALEXANDER RODRIGUEZ GONZALEZ</t>
  </si>
  <si>
    <t>ES56 6893 0001 7300 0022 2479</t>
  </si>
  <si>
    <t>NESTOR ALEXANDER VIERA CANALES</t>
  </si>
  <si>
    <t>ES43 6893 0001 7800 0034 0517</t>
  </si>
  <si>
    <t>NESTOR JULIAN BORRERO HERNANDEZ</t>
  </si>
  <si>
    <t>ES90 0182 0841 1802 0165 8498</t>
  </si>
  <si>
    <t>NESTOR RAUL RESTREPO POLO</t>
  </si>
  <si>
    <t>ES15 0049 0932 4621 1136 4222</t>
  </si>
  <si>
    <t>NEYDER GELVIS MAMANI HUAYCANI</t>
  </si>
  <si>
    <t>ES83 0182 7351 3002 0160 4621</t>
  </si>
  <si>
    <t>NICOLAS ALEJANDRO FLEITAS LIMA</t>
  </si>
  <si>
    <t>ES44 2080 0035 1130 4006 3029</t>
  </si>
  <si>
    <t>NICOLAS MIGUEL PEDRAZA MENDOZA</t>
  </si>
  <si>
    <t>ES19 0182 2939 8202 0017 4922</t>
  </si>
  <si>
    <t>NICOLAS RAUL MACIAS MEJIA</t>
  </si>
  <si>
    <t>BE38 9051 1220 6472</t>
  </si>
  <si>
    <t>NICXON GARCIA FIERRO</t>
  </si>
  <si>
    <t>ES32 0182 8323 2202 0195 6874</t>
  </si>
  <si>
    <t>NILSON IVAN PRECIADO ANGULO</t>
  </si>
  <si>
    <t>ES82 0182 4026 8402 0181 8198</t>
  </si>
  <si>
    <t>NILSON MOSQUERA GOMEZ</t>
  </si>
  <si>
    <t>ES79 0182 4414 6402 0155 7623</t>
  </si>
  <si>
    <t>NIVALDO MENDES DA SILVA</t>
  </si>
  <si>
    <t>PT50 0033 0000 4579 1255 2130 5</t>
  </si>
  <si>
    <t>NIXO ELIECER CHAVEZ GARCIA</t>
  </si>
  <si>
    <t>BE06 9057 2185 6122</t>
  </si>
  <si>
    <t>NOE JONATHAN HERNANDEZ RAMIREZ</t>
  </si>
  <si>
    <t>BE28 9050 1575 4120</t>
  </si>
  <si>
    <t>NORBEY BALLESTEROS CRUZ</t>
  </si>
  <si>
    <t>ES43 6893 0001 7700 0016 2668</t>
  </si>
  <si>
    <t>NORBEY VARON ESQUIVEL</t>
  </si>
  <si>
    <t xml:space="preserve">ES53 0182 4924 1802 0172 4674 </t>
  </si>
  <si>
    <t>NORVEY GONZALEZ LOPEZ</t>
  </si>
  <si>
    <t>ES82 0182 1216 2302 0160 5600</t>
  </si>
  <si>
    <t>ODAIR JERONIMO GONZALEZ ESCORCIA</t>
  </si>
  <si>
    <t>ES78 0182 5011 1802 0224 0085</t>
  </si>
  <si>
    <t>ODAR JOHN REYES RAMIREZ</t>
  </si>
  <si>
    <t>ES63 0182 2808 8902 0159 9059</t>
  </si>
  <si>
    <t>OELISON ANJO DE CAMARGO</t>
  </si>
  <si>
    <t>PT50 0033 0000 4556 1350 5660 5</t>
  </si>
  <si>
    <t>OMAR ALFREDO OTERO OCHOA</t>
  </si>
  <si>
    <t>ES27 6893 0001 7300 0021 0294</t>
  </si>
  <si>
    <t>OMAR DAVID DIAZ MORALES</t>
  </si>
  <si>
    <t>BE80 9055 6224 8177</t>
  </si>
  <si>
    <t>OMAR DE JESUS ZAPATA MORENO</t>
  </si>
  <si>
    <t>ES62 0182 6517 7502 0196 6243</t>
  </si>
  <si>
    <t>OMAR FERNANDO ANDRADE SANCHEZ</t>
  </si>
  <si>
    <t>BE25 9057 2548 9982</t>
  </si>
  <si>
    <t>OMAR FONTECHA HERNANDEZ</t>
  </si>
  <si>
    <t>FR76 1659 8000 0140 0009 1876 333</t>
  </si>
  <si>
    <t>OMAR JOSE RAMIREZ PAZ</t>
  </si>
  <si>
    <t>ES20 0182 6855 8002 0179 7079</t>
  </si>
  <si>
    <t>OMAR STEVEEN SANCHEZ ROJAS</t>
  </si>
  <si>
    <t>ES64 1563 2626 3132 6463 4041</t>
  </si>
  <si>
    <t>OMAR YESID HERRERA LOPEZ</t>
  </si>
  <si>
    <t>ES77 6893 0001 7500 0033 5008</t>
  </si>
  <si>
    <t>ORLANDO ALFONSO LEÓN VASQUEZ</t>
  </si>
  <si>
    <t>ES14 0182 6936 1102 0159 9608</t>
  </si>
  <si>
    <t>ORLANDO GOMEZ</t>
  </si>
  <si>
    <t>BE20 9054 1802 6456</t>
  </si>
  <si>
    <t>ORLANDO JANNCARLO ACEVEDO GUZMAN</t>
  </si>
  <si>
    <t>ES17 0049 6980 2722 1007 4594</t>
  </si>
  <si>
    <t>ORLANDO MONCAYO FLOREZ</t>
  </si>
  <si>
    <t>BE20 9050 7006 8056</t>
  </si>
  <si>
    <t>ORLANDO RODRIGUEZ MADARIAGA</t>
  </si>
  <si>
    <t>ES87 0182 1527 5002 0475 8597</t>
  </si>
  <si>
    <t>OSCAR ALEXANDER VARGAS COTRINO</t>
  </si>
  <si>
    <t>ES73 6893 0001 7400 0020 4179</t>
  </si>
  <si>
    <t>OSCAR ANDRES RIVAS ESCALANTE</t>
  </si>
  <si>
    <t>ES92 0182 0275 1302 0167 9247</t>
  </si>
  <si>
    <t>OSCAR ASTORGA MUÑOZ</t>
  </si>
  <si>
    <t>ES54 0182 6786 0202 0155 7553</t>
  </si>
  <si>
    <t>OSCAR BALTAZAR GUTIERREZ PACHECO</t>
  </si>
  <si>
    <t>ES13 6893 0001 7900 0027 5824</t>
  </si>
  <si>
    <t>OSCAR EDUARDO GONZALEZ ROJAS</t>
  </si>
  <si>
    <t>ES53 0182 6380 9602 0160 1201</t>
  </si>
  <si>
    <t>OSCAR EDUARDO JARAMILLO MUÑOZ</t>
  </si>
  <si>
    <t xml:space="preserve">ES42 0182 5430 4102 0169 1849 </t>
  </si>
  <si>
    <t>OSCAR EDUARDO ORTEGA LOPEZ</t>
  </si>
  <si>
    <t>BE57 9678 3485 6835</t>
  </si>
  <si>
    <t>OSCAR EDUARDO PEREIRA PABON</t>
  </si>
  <si>
    <t xml:space="preserve">ES07 6893 0001 7300 0025 0521 </t>
  </si>
  <si>
    <t>OSCAR EDUARDO RIVERA AROCA</t>
  </si>
  <si>
    <t xml:space="preserve"> ES05 0182 3507 4202 0231 2319</t>
  </si>
  <si>
    <t>OSCAR GIOVANNI DIAZ MARTINEZ</t>
  </si>
  <si>
    <t>ES51 0182 6786 0602 0155 7799</t>
  </si>
  <si>
    <t>OSCAR IVAN GONZALEZ SERRATO</t>
  </si>
  <si>
    <t>BE67 9679 4155 2387</t>
  </si>
  <si>
    <t>OSCAR IVAN PEÑALOZA GARCIA</t>
  </si>
  <si>
    <t>BE58 9050 3571 2979</t>
  </si>
  <si>
    <t>OSCAR JACINTO PEÑA SANDOVAL</t>
  </si>
  <si>
    <t>BE79 9675 7774 8433</t>
  </si>
  <si>
    <t>OSCAR JAVIER JAIMES GOMEZ</t>
  </si>
  <si>
    <t>BE25 9054 4523 7582</t>
  </si>
  <si>
    <t>OSCAR JESUS MENDEZ BELLO</t>
  </si>
  <si>
    <t>ES03 0182 4004 4902 0167 7614</t>
  </si>
  <si>
    <t>OSCAR LAZO GABRIEL CARGO</t>
  </si>
  <si>
    <t>ES44 0182 0917 0902 0174 7147</t>
  </si>
  <si>
    <t>OWIN ENRIQUE MORELO GOMEZ</t>
  </si>
  <si>
    <t>ES37 2100 7917 0820 0050 2403</t>
  </si>
  <si>
    <t>PABLO ALBERTO RIANO BONILLA</t>
  </si>
  <si>
    <t>ES97 0182 1275 1102 0217 3619</t>
  </si>
  <si>
    <t>PABLO ALEXIS PUERTO CRUZ</t>
  </si>
  <si>
    <t>BE55 9674 3492 6744</t>
  </si>
  <si>
    <t>PABLO ANDRÉ DE PADUA MOTA</t>
  </si>
  <si>
    <t>PT50 0007 0000 0071 0207 5202 3</t>
  </si>
  <si>
    <t>PABLO MANOLO ROMERO HUERTAS</t>
  </si>
  <si>
    <t>ES80 0182 1275 1202 0217 4070</t>
  </si>
  <si>
    <t>PATRICIO ANTONIO CATRICHEO BELMAR</t>
  </si>
  <si>
    <t>BE16 9676 3966 7674</t>
  </si>
  <si>
    <t>PAULO CESAR GOMEZ NAVARRETE</t>
  </si>
  <si>
    <t>ES53 0182 1245 1102 0166 2393</t>
  </si>
  <si>
    <t>PAULO MARQUES DE OLIVEIRA</t>
  </si>
  <si>
    <t>PT50 0023 0000 4577 7325 7229 4</t>
  </si>
  <si>
    <t>PAVEL FERNANDO GARCIA ZAPATA</t>
  </si>
  <si>
    <t>ES31 0182 1005 3102 0172 5898</t>
  </si>
  <si>
    <t>PEDRO AGUSTIN CONDE VILCAPUMA</t>
  </si>
  <si>
    <t xml:space="preserve">ES93 0182 6720 1302 0231 2720 </t>
  </si>
  <si>
    <t>PEDRO ALEJANDRO JIMENEZ VEGA</t>
  </si>
  <si>
    <t>BE11 9052 5001 1948</t>
  </si>
  <si>
    <t>PEDRO AYALA RIVERA</t>
  </si>
  <si>
    <t>ES85 0182 3275 5602 0165 3172</t>
  </si>
  <si>
    <t>PEDRO CARLOS ARMENDARIZ</t>
  </si>
  <si>
    <t>ES55 6893 0001 7300 0027 4004</t>
  </si>
  <si>
    <t>PEDRO DE JESUS DE LA HOZ SALCEDO</t>
  </si>
  <si>
    <t>BE72 9054 5053 6816</t>
  </si>
  <si>
    <t>PEDRO HERMOGENES GAMARRA ALBAN</t>
  </si>
  <si>
    <t>ES88 0182 1965 1802 0169 8461</t>
  </si>
  <si>
    <t>PEDRO HUMBERTO CASTELLANOS</t>
  </si>
  <si>
    <t>PT50 0007 0000 0063 2606 35623</t>
  </si>
  <si>
    <t>PEDRO ISIDRO CAMELO BENAVIDES</t>
  </si>
  <si>
    <t xml:space="preserve">ES25 0182 6092 4502 0175 0136 </t>
  </si>
  <si>
    <t>PEDRO JESUS SANCHEZ CHIRA</t>
  </si>
  <si>
    <t>ES12 0182 7351 3102 0160 4201</t>
  </si>
  <si>
    <t>PEDRO JOSE PAEZ</t>
  </si>
  <si>
    <t>BE32 9056 9162 8902</t>
  </si>
  <si>
    <t>PEDRO LUIS ANGULO RODRIGUEZ</t>
  </si>
  <si>
    <t>ES06 6893 0001 7900 0016 5855</t>
  </si>
  <si>
    <t>PEDRO LUIS ORTEGA MULET</t>
  </si>
  <si>
    <t>BE56 9050 0324 7988</t>
  </si>
  <si>
    <t>PEDRO LUIS PADILLA VALDEZ</t>
  </si>
  <si>
    <t xml:space="preserve">ES55 0182 2229 5702 0161 8663 </t>
  </si>
  <si>
    <t>PEDRO MARTIN GUTIERREZ BARRIENTOS</t>
  </si>
  <si>
    <t>ES98 0182 0845 1502 0220 4605</t>
  </si>
  <si>
    <t>PEDRO NEL CANO RUEDA</t>
  </si>
  <si>
    <t>NL16 BUNQ 2126 0401 51</t>
  </si>
  <si>
    <t>PEDRO NEL VILLERO PINEDO</t>
  </si>
  <si>
    <t xml:space="preserve">BE04 9051 6697 8231 </t>
  </si>
  <si>
    <t>PEDRO PABLO ZAVALA GALLARDO</t>
  </si>
  <si>
    <t>ES28 6893 0001 7600 0028 8311</t>
  </si>
  <si>
    <t>PEDRO SALGUERO CASTIBLANCO</t>
  </si>
  <si>
    <t xml:space="preserve">ES33 6893 0001 7100 0029 4092 </t>
  </si>
  <si>
    <t>PEDRO SARMIENTO ROBLES</t>
  </si>
  <si>
    <t>ES36 0182 0573 1902 0173 3155</t>
  </si>
  <si>
    <t>PERCY ROMEO SAAVEDRA VELASQUEZ</t>
  </si>
  <si>
    <t>ES25 0182 5430 4702 0169 6905</t>
  </si>
  <si>
    <t>PROSPERO SUAREZ PASTRAN</t>
  </si>
  <si>
    <t>BE43 9057 7267 2301</t>
  </si>
  <si>
    <t>RAFAEL ALEJANDRO HERRERA URBANO</t>
  </si>
  <si>
    <t>ES73 0182 4641 1602 0164 6703</t>
  </si>
  <si>
    <t>RAFAEL ARTURO REYES ROMERO</t>
  </si>
  <si>
    <t>ES52 0182 5899 3102 0170 6636</t>
  </si>
  <si>
    <t>RAFAEL CALDERON CAVIEDES</t>
  </si>
  <si>
    <t>BE97 9054 6031 7749</t>
  </si>
  <si>
    <t>RAFAEL ELIAS VALDERRAMA VERGARA</t>
  </si>
  <si>
    <t>ES04 0182 2455 6102 0165 3384</t>
  </si>
  <si>
    <t>RAFAEL JOSE MENDOZA TURIZO</t>
  </si>
  <si>
    <t xml:space="preserve">BE16 9051 6396 5874 </t>
  </si>
  <si>
    <t>RAFAEL SANTIAGO FADUL TONCEL</t>
  </si>
  <si>
    <t>ES41 0182 8323 2002 0195 6713</t>
  </si>
  <si>
    <t>RAMIRO ENRIQUE PEREIRA MEDINA</t>
  </si>
  <si>
    <t>ES60 0182 2455 6302 0165 3636</t>
  </si>
  <si>
    <t>RAMON EDUARDO JIMENEZ PEREZ</t>
  </si>
  <si>
    <t>ES27 0182 0731 0102 0160 6310</t>
  </si>
  <si>
    <t>RAMON GUILLERMO SANABRIA ECHARRI</t>
  </si>
  <si>
    <t>ES54 0182 1300 1002 0188 4229</t>
  </si>
  <si>
    <t>RANDDY ELIECER GAVIRIA RODRÍGUEZ</t>
  </si>
  <si>
    <t>ES92 0182 2661 2502 0160 0875</t>
  </si>
  <si>
    <t>RAUL ANDRES PAREJO DE LA ROSA</t>
  </si>
  <si>
    <t xml:space="preserve"> BE07 9052 9039 4866</t>
  </si>
  <si>
    <t>RAUL AUGUSTO MIRANDA</t>
  </si>
  <si>
    <t>BE21 9056 7288 8603</t>
  </si>
  <si>
    <t>RAUL ERNESTO MORA MARTINEZ</t>
  </si>
  <si>
    <t>ES66 0182 0345 1702 0185 9252</t>
  </si>
  <si>
    <t>RAUL HOYOS ALBA</t>
  </si>
  <si>
    <t>ES89 0182 4353 7802 0163 0326</t>
  </si>
  <si>
    <t>RAUL ROBERTO DA SILVA</t>
  </si>
  <si>
    <t>PT50 0010 0000 6030 8470 0016 7</t>
  </si>
  <si>
    <t>RAYMOND JOSE GARRIDO FERRER</t>
  </si>
  <si>
    <t>BE98 9050 3482 1993</t>
  </si>
  <si>
    <t>RAYSON RAPHAEL DO NASCIMENTO GUIMARAES</t>
  </si>
  <si>
    <t>REGINALDO GONÇALVES DE MORAIS</t>
  </si>
  <si>
    <t>PT50 0007 0000 0066 6628 3302 3</t>
  </si>
  <si>
    <t>REINERD SALAZAR FAJARDO</t>
  </si>
  <si>
    <t>ES85 0182 7081 4402 0159 4119</t>
  </si>
  <si>
    <t>REMY SENNDER FARIAS ACARO</t>
  </si>
  <si>
    <t xml:space="preserve">ES18 6893 0001 7400 0026 9674 </t>
  </si>
  <si>
    <t>RENSO MANUEL BLANCO DIAZ</t>
  </si>
  <si>
    <t xml:space="preserve"> BE18 9679 8940 0265</t>
  </si>
  <si>
    <t>RENZO JUNIOR CHUNGA LUJAN</t>
  </si>
  <si>
    <t>BE57 9054 7750 4735</t>
  </si>
  <si>
    <t>RICARDO ANDRES DE LA ROSA CANDANOZA</t>
  </si>
  <si>
    <t xml:space="preserve">BE87 9051 9978 0294 </t>
  </si>
  <si>
    <t>RICARDO MILLER SANCHEZ BECERRA</t>
  </si>
  <si>
    <t>ES61 6893 0001 7400 0028 1704</t>
  </si>
  <si>
    <t>RICHAR TAYLOR JIMENEZ CORONADO</t>
  </si>
  <si>
    <t>BE78 9057 1935 9986</t>
  </si>
  <si>
    <t>RICHARD ALBERTO NIETO VASQUEZ</t>
  </si>
  <si>
    <t>ES82 0182 0841 1102 0165 8306</t>
  </si>
  <si>
    <t>RICHARD ANTONIO GUERRA HERRERA</t>
  </si>
  <si>
    <t>ES56 0182 1216 2802 0160 7569</t>
  </si>
  <si>
    <t>RICHARD FREDY CIENFUEGOS ARANA</t>
  </si>
  <si>
    <t>ES75 6893 0001 7100 0026 6273</t>
  </si>
  <si>
    <t>RICHARD HURTADO RENGIFO</t>
  </si>
  <si>
    <t>ES60 0182 0297 3902 0202 5485</t>
  </si>
  <si>
    <t>RICHARD OMAR CASTRO CUEVAS</t>
  </si>
  <si>
    <t>ES93 0182 6556 1902 0167 4024</t>
  </si>
  <si>
    <t>RICHARD PILCO ATENCIO</t>
  </si>
  <si>
    <t xml:space="preserve"> ES84 1576 1212 1110 1044 6380</t>
  </si>
  <si>
    <t>RIGOBERTO BUELVAS BERRIO</t>
  </si>
  <si>
    <t>BE76 9050 2885 6695</t>
  </si>
  <si>
    <t>RIGOBERTO RIOS PACHECO</t>
  </si>
  <si>
    <t>ES27 0182 8191 7802 0205 3164</t>
  </si>
  <si>
    <t>RIGOBERTO ROMERO REINA</t>
  </si>
  <si>
    <t>ES14 0182 6194 7002 0162 3729</t>
  </si>
  <si>
    <t>ROBER HENRRY CHUMBES ROJAS</t>
  </si>
  <si>
    <t>ES31 0182 1965 1002 0169 8812</t>
  </si>
  <si>
    <t>ROBERT ALIRIO DUARTE SIERRA</t>
  </si>
  <si>
    <t>ES92 2100 1927 7902 0045 5124</t>
  </si>
  <si>
    <t>ROBERT SMITH HURTADO RODRIGUEZ</t>
  </si>
  <si>
    <t xml:space="preserve">ES61 6893 0001 7400 0020 4977 </t>
  </si>
  <si>
    <t>ROBERT STIVEN ESPINOSA PAREDES</t>
  </si>
  <si>
    <t>BE25 9057 8242 8982</t>
  </si>
  <si>
    <t>ROBERT YOVANNI CASTILLO ANGULO</t>
  </si>
  <si>
    <t>BE33 9679 6253 9046</t>
  </si>
  <si>
    <t>ROBERTO CARLOS MARQUINA CABRERA</t>
  </si>
  <si>
    <t>ES52 0182 0702 3802 0164 5267</t>
  </si>
  <si>
    <t>ROBERTO CARLOS PABON CHAVEZ</t>
  </si>
  <si>
    <t>ES10 0182 0956  5502 0176 9939</t>
  </si>
  <si>
    <t>ROBERTO RAMIREZ BELTRAN</t>
  </si>
  <si>
    <t>NL41 BUNQ 2126 6108 37</t>
  </si>
  <si>
    <t>ROBERTO RICHARD OSCCO CHILINGANO</t>
  </si>
  <si>
    <t>ES59 0049 6123 3721 1620 4775</t>
  </si>
  <si>
    <t>ROBI DAVID OSORIO RANGEL</t>
  </si>
  <si>
    <t>ES96 1576 1212 1810 1049 8589</t>
  </si>
  <si>
    <t>ROBIN JOSE TORRES VANEGAS</t>
  </si>
  <si>
    <t>ES50 0182 0917 0502 0175 2570</t>
  </si>
  <si>
    <t>ROBINSON ANGULO CAICEDO</t>
  </si>
  <si>
    <t>ES25 0182 4023 4802 0160 9775</t>
  </si>
  <si>
    <t>ROBINSON CAMILO CASTAÑEDA SALGADO</t>
  </si>
  <si>
    <t>ES21 0182 0249 6402 0433 9066</t>
  </si>
  <si>
    <t>ROBINSON DABIAN TABORDA ESCAMILLA</t>
  </si>
  <si>
    <t>ES57 2100 4247 1122 0031 4112</t>
  </si>
  <si>
    <t>ROBINSON DE FEX DIAZ</t>
  </si>
  <si>
    <t xml:space="preserve">ES47 6893 0001 7100 0025 0772 </t>
  </si>
  <si>
    <t>RODNEY NEFTALI RODRIGUEZ HERRERA</t>
  </si>
  <si>
    <t>ES05 6893 0001 7300 0029 5565</t>
  </si>
  <si>
    <t>RODOLFO ALBERTO MARCHAN PALACIOS</t>
  </si>
  <si>
    <t>ES87 6893 0001 7800 0027 2407</t>
  </si>
  <si>
    <t>RODOLFO DAZAHER ARRIETA VASQUEZ</t>
  </si>
  <si>
    <t>ES60 0182 5430 4602 0169 1474</t>
  </si>
  <si>
    <t>RODOLFO ZAMBRANO LAJO</t>
  </si>
  <si>
    <t>ES75 0049 1256 3325 1030 0334</t>
  </si>
  <si>
    <t>PENDIENTE CERTIFICADO BANCARIO</t>
  </si>
  <si>
    <t>RODRIGO ALEXANDRO AVILA DIEGO</t>
  </si>
  <si>
    <t>ES81 0182 0883 1302 0173 3726</t>
  </si>
  <si>
    <t>RODRIGO DA COSTA MOREIRA</t>
  </si>
  <si>
    <t>PT50 0007 0000 0081 1563 0142 3</t>
  </si>
  <si>
    <t>RODRIGO DE OLIVEIRA BEZERRA</t>
  </si>
  <si>
    <t>ES89 0182 0382 7102 0167 6638</t>
  </si>
  <si>
    <t>RODRIGO PRADO SEPULVEDA</t>
  </si>
  <si>
    <t>ES60 0182 0625 8002 0181 8799</t>
  </si>
  <si>
    <t>ROGELIO EFRAIN CONDORI HUANCA</t>
  </si>
  <si>
    <t>ES27 0182 0635 5002 0163 1795</t>
  </si>
  <si>
    <t>ROGER ANTONIO GUERRA HERRERA</t>
  </si>
  <si>
    <t>ES03 0182 3275 5902 0165 4113</t>
  </si>
  <si>
    <t>ROGER COUTO LARA</t>
  </si>
  <si>
    <t xml:space="preserve"> PT50 0033 0000 4569 7112 251 05</t>
  </si>
  <si>
    <t>ROGER HALDER CHILCA LEON</t>
  </si>
  <si>
    <t xml:space="preserve">ES56 6893 0001 7400 0028 1018 </t>
  </si>
  <si>
    <t>ROGGER EDUARDO LOPEZ AURAZO</t>
  </si>
  <si>
    <t>ES32 0182 1250 4102 0157 8795</t>
  </si>
  <si>
    <t>ROLANDO CATUNTA MAMANI</t>
  </si>
  <si>
    <t>ES66 0182 4960 2102 0166 4099</t>
  </si>
  <si>
    <t>ROLFI ESTEBAN TORRES SOTELO</t>
  </si>
  <si>
    <t>ES48 0182 2808 8102 0159 9042</t>
  </si>
  <si>
    <t>ROMEL YBAN TUFINIO ZOCON</t>
  </si>
  <si>
    <t>ES89 0182 2808 8102 0159 9080</t>
  </si>
  <si>
    <t>ROMER DAVID RODRIGUEZ GONZALEZ</t>
  </si>
  <si>
    <t>BE81 9057 4146 9724</t>
  </si>
  <si>
    <t>ROMULO JUAN SANDY CAHUACHI</t>
  </si>
  <si>
    <t>ES90 6893 0001 7600 0027 0608</t>
  </si>
  <si>
    <t>ROMULO RIBEIRO MENDONÇA</t>
  </si>
  <si>
    <t>PT50 0023 0000 4566 1549 5299 4</t>
  </si>
  <si>
    <t>RONAL TAYPE HUAMAN</t>
  </si>
  <si>
    <t>ES53 0182 2229 5802 0161 2733</t>
  </si>
  <si>
    <t>RONALD ALBERTO ORTEGA PATERNINA</t>
  </si>
  <si>
    <t xml:space="preserve">ES86 0182 8181 1702 0233 0295 </t>
  </si>
  <si>
    <t>RONALD ALFONSO HERNANDEZ SALGADO</t>
  </si>
  <si>
    <t>ES97 0182 1418 9402 0161 7553</t>
  </si>
  <si>
    <t>RONALD DEYVIS RONCEROS CARRIZALES</t>
  </si>
  <si>
    <t>ES51 0182 1758 9202 0178 1899</t>
  </si>
  <si>
    <t>RONALD GARCIA GIRON</t>
  </si>
  <si>
    <t>ES03 0182 1268 8202 0159 8136</t>
  </si>
  <si>
    <t>RONALD JAVIER MARCELO SEMINARIO</t>
  </si>
  <si>
    <t xml:space="preserve"> ES11 0182 2738 6402 0162 8388</t>
  </si>
  <si>
    <t>RONALD REY SEPULVEDA</t>
  </si>
  <si>
    <t>ES43 6893 0001 7200 0033 3633</t>
  </si>
  <si>
    <t>RONALDO DA SILVA PEREIRA</t>
  </si>
  <si>
    <t>PT50 0018 0003 6449 2747 0206 2</t>
  </si>
  <si>
    <t>ROSEMBERT PATERNINA BARON</t>
  </si>
  <si>
    <t xml:space="preserve">BE13 9670 4981 6839 </t>
  </si>
  <si>
    <t>ROSMAN TORRES MESA</t>
  </si>
  <si>
    <t>ES68 6893 0001 7100 0015 2618</t>
  </si>
  <si>
    <t>RUBEM DOS ANJOS SILVA</t>
  </si>
  <si>
    <t>ES64 1583 0001 1990 7344 1635</t>
  </si>
  <si>
    <t>RUBEN DARIO GUAPACHA GUARIN</t>
  </si>
  <si>
    <t>ES21 0182 0846 4202 0206 0282</t>
  </si>
  <si>
    <t>RUBEN DARIO HURTADO MURCIA</t>
  </si>
  <si>
    <t>ES83 0182 6092 4202 0175 0112</t>
  </si>
  <si>
    <t>RUBEN DARIO JIMENEZ ACOSTA</t>
  </si>
  <si>
    <t>PL45 1020 3668 0000 5402 0661 2909</t>
  </si>
  <si>
    <t>RUBEN DARIO MONSALVE RIVERO</t>
  </si>
  <si>
    <t>ES20 0049 4668 1527 1605 7756</t>
  </si>
  <si>
    <t>RUBEN DARIO MORENO VARGAS</t>
  </si>
  <si>
    <t xml:space="preserve">ES24 0182 9730 2802 0035 3677 </t>
  </si>
  <si>
    <t>RUBEN DARIO ZAPATA QUINTERO</t>
  </si>
  <si>
    <t>BE37 9674 3500 2728</t>
  </si>
  <si>
    <t>RUBEN ERNESTO JARA SANTOS</t>
  </si>
  <si>
    <t>ES03 0182 1245 1202 0166 8773</t>
  </si>
  <si>
    <t>RUBEN PONCE PABLO</t>
  </si>
  <si>
    <t>ES82 6893 0001 7400 0028 3072</t>
  </si>
  <si>
    <t>ES65 6893 0001 7500 0030 3214</t>
  </si>
  <si>
    <t>SALAH CHAOUKI</t>
  </si>
  <si>
    <t>BE18 9677 2848 9665</t>
  </si>
  <si>
    <t>SAMERS SOLMER JOHAO VARON LARA</t>
  </si>
  <si>
    <t>ES60 0182 0841 1302 0165 8313</t>
  </si>
  <si>
    <t>SAMUEL ANTONIO BAVATIVA SANCHEZ</t>
  </si>
  <si>
    <t xml:space="preserve">ES32 6893 0001 7900 0020 4769  </t>
  </si>
  <si>
    <t>SAMUEL DAVID CARVAJAL SINISTERRA</t>
  </si>
  <si>
    <t>BE55 9056 1659 3944</t>
  </si>
  <si>
    <t>SAMUEL ENRIQUE LEON NOBLE</t>
  </si>
  <si>
    <t xml:space="preserve">ES92 6893 0001 7100 0020 5148 </t>
  </si>
  <si>
    <t>SAMUEL JUSTO CARLOS DONAIRES</t>
  </si>
  <si>
    <t>ES07 0049 0622 6421 1004 1354</t>
  </si>
  <si>
    <t>SANDRO GONZALEZ ÑUSTES</t>
  </si>
  <si>
    <t>ES84 0182 0702 3402 0164 6536</t>
  </si>
  <si>
    <t>SANTIAGO AGUILAR HURTADO</t>
  </si>
  <si>
    <t>BE44 9678 2724 3345</t>
  </si>
  <si>
    <t>SANTIAGO HIGUITA ARBOLEDA</t>
  </si>
  <si>
    <t>ES12 6893 0001 7100 0033 3658</t>
  </si>
  <si>
    <t>SANTOS PAULO ARCAYA NORIEGA</t>
  </si>
  <si>
    <t>ES68 0182 5141 5102 0158 6225</t>
  </si>
  <si>
    <t>SAUL RONDEROS VEGA</t>
  </si>
  <si>
    <t>ES09 6893 0001 7000 0029 3700</t>
  </si>
  <si>
    <t>SAULO GUIMARÃES LIMA</t>
  </si>
  <si>
    <t>PT50 0018 0003 5536 1836 0208 9</t>
  </si>
  <si>
    <t>SEBASTIAN DAVID ARIAS CORREA</t>
  </si>
  <si>
    <t>ES48 6893 0001 7200 0031 0263</t>
  </si>
  <si>
    <t>SERGIO ALONSO ANDRADE CASTRILLON</t>
  </si>
  <si>
    <t>ES64 0182 6194 7502 0162 1129</t>
  </si>
  <si>
    <t>SERGIO ANDRES FLOREZ MARIN</t>
  </si>
  <si>
    <t>BE04 9050 6051 1031</t>
  </si>
  <si>
    <t>SERGIO ANDRES LANDINES BARRIOS</t>
  </si>
  <si>
    <t>ES11 0182 0974 0202 0174 9696</t>
  </si>
  <si>
    <t>SERGIO ANDRES LOBO BARRIOS</t>
  </si>
  <si>
    <t>ES04 6893 0001 7500 0013 5726</t>
  </si>
  <si>
    <t>SERGIO DANIEL GOMEZ ARAMBURO</t>
  </si>
  <si>
    <t>ES59 0182 1212 4702 0156 4783</t>
  </si>
  <si>
    <t>SERGIO DAVID CORDOBA TUTA</t>
  </si>
  <si>
    <t>ES67 6893 0001 7300 0028 5622</t>
  </si>
  <si>
    <t>SERGIO JULIO CHARRIS YUNEZ</t>
  </si>
  <si>
    <t>BE90 9679 3231 2432</t>
  </si>
  <si>
    <t>SERGIO LUIS BELTRAN BALDOVINO</t>
  </si>
  <si>
    <t>ES05 6893 0001 7400 0027 2818</t>
  </si>
  <si>
    <t>SERGIO TUNJANO GOMEZ</t>
  </si>
  <si>
    <t>BE33 9051 1401 7746</t>
  </si>
  <si>
    <t>SEVERO PABON CASTRO</t>
  </si>
  <si>
    <t>BE69 9052 4717 2878</t>
  </si>
  <si>
    <t>SHELBY ENRIQUE OSPINA MONTERROSA</t>
  </si>
  <si>
    <t>ES42 0182 1758 9402 0179 3797</t>
  </si>
  <si>
    <t>SIMION LUCIANO CHILINGANO PILLACA</t>
  </si>
  <si>
    <t>ES33 0182 8191 7702 0205 0486</t>
  </si>
  <si>
    <t>SNEYDER JESUS ALCALA JIMENEZ</t>
  </si>
  <si>
    <t xml:space="preserve">ES42 0182 8674 4402 0164 8909 </t>
  </si>
  <si>
    <t>STEVEN SUAREZ BETANCOURT</t>
  </si>
  <si>
    <t>ES73 0182 2350 1802 0160 1590</t>
  </si>
  <si>
    <t>TAKAMU KAPHILAH AGUDELO CONTECHA</t>
  </si>
  <si>
    <t>BE08 9056 2287 6413</t>
  </si>
  <si>
    <t>THALISSON LUCAS SOUSA SILVA</t>
  </si>
  <si>
    <t>PT50 0035 0701 0000 8569 7306 8</t>
  </si>
  <si>
    <t>TIRZO GONZALEZ BOLIVAR</t>
  </si>
  <si>
    <t>ES35 0182 0702 3602 0165 1006</t>
  </si>
  <si>
    <t>ULISES HERNAN CORDOVA HERNANDEZ</t>
  </si>
  <si>
    <t>ES55 0182 1965 1702 0169 8522</t>
  </si>
  <si>
    <t>VALDINEI DOMINGOS DOS SANTOS</t>
  </si>
  <si>
    <t>BE27 9674 7073 2373</t>
  </si>
  <si>
    <t>VICENCIO VILLAMIZAR LEON</t>
  </si>
  <si>
    <t>VICTOR ALFONSO LUQUE CONDORI</t>
  </si>
  <si>
    <t>ES82 0182 1758 9102 0178 1875</t>
  </si>
  <si>
    <t>VICTOR ALFONSO MINA QUIJANO</t>
  </si>
  <si>
    <t>ES64 6893 0001 7100 0029 9257</t>
  </si>
  <si>
    <t>VICTOR ANGEL NIQUE YZAGUIRRE</t>
  </si>
  <si>
    <t>ES46 2100 3222 2207 0001 1313</t>
  </si>
  <si>
    <t>VICTOR ARTURO GALVEZ PALACIOS</t>
  </si>
  <si>
    <t>ES70 2100 2814 4107 0100 9565</t>
  </si>
  <si>
    <t>VICTOR AUGUSTO RAMIREZ GRANDA</t>
  </si>
  <si>
    <t>ES05 6893 0001 7800 0026 4474</t>
  </si>
  <si>
    <t>VICTOR BLANCO BRAVO</t>
  </si>
  <si>
    <t xml:space="preserve">ES29 0182 0606 8802 0178 3540 </t>
  </si>
  <si>
    <t>VICTOR DANIEL ARIAS GONZALEZ</t>
  </si>
  <si>
    <t>BE83 9053 0218 4915</t>
  </si>
  <si>
    <t>VICTOR EDGARDO RAMIREZ GRANDA</t>
  </si>
  <si>
    <t>ES17 0182 3212 8502 0157 7167</t>
  </si>
  <si>
    <t>VICTOR EDUARDO VILLAFANE REVOLLO</t>
  </si>
  <si>
    <t>BE18 9057 0976 4565</t>
  </si>
  <si>
    <t>VICTOR HUGO GOSSO</t>
  </si>
  <si>
    <t xml:space="preserve">ES26 0182 3507 4902 0232 7506 </t>
  </si>
  <si>
    <t>VICTOR MANUEL VELASQUEZ ARROYO</t>
  </si>
  <si>
    <t>ES48 0182 0917 0802 0175 2556</t>
  </si>
  <si>
    <t>VICTOR RAMON TUANAMA GARCIA</t>
  </si>
  <si>
    <t>ES91 0049 1256 3521 1030 0369</t>
  </si>
  <si>
    <t>VLADIMIR CAMILO CASTRO MULFOR</t>
  </si>
  <si>
    <t>BE42 9674 1021 2154</t>
  </si>
  <si>
    <t>WALDEMAR ALVAREZ SAENZ</t>
  </si>
  <si>
    <t xml:space="preserve">ES04 0182 8181 1202 0234 5499 </t>
  </si>
  <si>
    <t>WALDO SEGUNDO BARRIGA DURAN</t>
  </si>
  <si>
    <t>ES45 0182 4041 1202 0273 7031</t>
  </si>
  <si>
    <t>WALLACE DA SILVA GOMES</t>
  </si>
  <si>
    <t>PT50 0007 0000 0077 6610 0342 3</t>
  </si>
  <si>
    <t>WALLYSSON FEITOSA BARBOSA</t>
  </si>
  <si>
    <t>PT50 0007 0000 0068 6412 9352 3</t>
  </si>
  <si>
    <t>WALTER DAVID ZAGARRA RODRIGUEZ</t>
  </si>
  <si>
    <t>ES84 0182 0701 9202 0161 0279</t>
  </si>
  <si>
    <t>WALTER GOMEZ ROJAS</t>
  </si>
  <si>
    <t>ES88 0182 0786 1102 0165 8038</t>
  </si>
  <si>
    <t>WALTER RAMIREZ LONDOÑO</t>
  </si>
  <si>
    <t>ES58 0182 0702 3802 0165 0300</t>
  </si>
  <si>
    <t>WANDERSON FERREIRA LEMES</t>
  </si>
  <si>
    <t xml:space="preserve">PT50 0010 0000 6145 2590 0010 5 </t>
  </si>
  <si>
    <t>WASHINGTON MERCES DA SILVA</t>
  </si>
  <si>
    <t>PT50 0023 0000 4556 2313 776 94</t>
  </si>
  <si>
    <t>WAYNER IBARBO VERGARA</t>
  </si>
  <si>
    <t xml:space="preserve">PT50 0033 0000 4578 4032 7870 5 </t>
  </si>
  <si>
    <t>WAYSTEY SILVA SOUSA</t>
  </si>
  <si>
    <t>PT50 0033 0000 4571 5052 1100 5</t>
  </si>
  <si>
    <t>WEIMAR ALEXANDER RUA MESA</t>
  </si>
  <si>
    <t>ES84 0182 6139 6602 0165 4030</t>
  </si>
  <si>
    <t>WENDI ALBERTO GARCIA ARRIETA</t>
  </si>
  <si>
    <t>BE17 9055 8689 9921</t>
  </si>
  <si>
    <t>WILBER LOPEZ BALETA</t>
  </si>
  <si>
    <t>ES65 0049 5396 3622 1614 5925</t>
  </si>
  <si>
    <t>WILFREDO ALONSO QUISPESAYHUA CARRION</t>
  </si>
  <si>
    <t>ES55 0182 1250 4002 0157 8818</t>
  </si>
  <si>
    <t>WILFREDO MAYORGA DURAN</t>
  </si>
  <si>
    <t>BE58 9050 0473 1179</t>
  </si>
  <si>
    <t>WILIAN FERNANDO PIZARRO AMAYA</t>
  </si>
  <si>
    <t>ES61 1576 1212 1910 1043 7090</t>
  </si>
  <si>
    <t>WILINGTON ORDOÑEZ REYES</t>
  </si>
  <si>
    <t xml:space="preserve"> BE70 9678 5410 0625</t>
  </si>
  <si>
    <t>WILL ALFONSO RODRIGUEZ LUNA</t>
  </si>
  <si>
    <t>BE51 9679 7135 7962</t>
  </si>
  <si>
    <t>WILLIAM ALEXANDER JARA SANTOS</t>
  </si>
  <si>
    <t>ES96 0182 7345 4902 0171 2202</t>
  </si>
  <si>
    <t>WILLIAM AMAURY ROJAS FUENTES</t>
  </si>
  <si>
    <t>BE81 9678 9082 4724</t>
  </si>
  <si>
    <t>WILLIAM DARIO CUERVO ANGULO</t>
  </si>
  <si>
    <t>BE32 9679 6181 6802</t>
  </si>
  <si>
    <t>WILLIAM HERNAN JARAMILLO RUIZ</t>
  </si>
  <si>
    <t>ES28 0182 2738 6202 0162 1196</t>
  </si>
  <si>
    <t>WILLIAM MORAIS DA SILVA</t>
  </si>
  <si>
    <t>PT50 0033 0000 4579 1848 1740 5</t>
  </si>
  <si>
    <t>WILLIAM NOE MANRIQUE MOREYRA</t>
  </si>
  <si>
    <t>ES47 6893 0001 7200 0027 5846</t>
  </si>
  <si>
    <t>WILLIAM NORBERTO MELO MELO</t>
  </si>
  <si>
    <t>ES09 6893 0001 7100 0033 0511</t>
  </si>
  <si>
    <t>WILLIAM PUENTES ANTOLINEZ</t>
  </si>
  <si>
    <t xml:space="preserve">ES13 0182 4208 1702 0186 6779 </t>
  </si>
  <si>
    <t>WILLIAM RAFAEL LEE HERNANDEZ</t>
  </si>
  <si>
    <t>ES96 0182 0702 3502 0165 3934</t>
  </si>
  <si>
    <t>WILLIAMS HUMBERTO ABAD MONTALBAN</t>
  </si>
  <si>
    <t>BE76 9056 8722 4795</t>
  </si>
  <si>
    <t>WILLIAN ALFREDO RUSSO LINERO</t>
  </si>
  <si>
    <t>BE84 9051 9975 7359</t>
  </si>
  <si>
    <t>WILLIAN VARGAS CACERES</t>
  </si>
  <si>
    <t>BE19 9055 0045 2612</t>
  </si>
  <si>
    <t>WILMAN ARBEY ROMERO GONZALEZ</t>
  </si>
  <si>
    <t>ES64 0049 0573 3028 1033 5459</t>
  </si>
  <si>
    <t>WILMAN DE AVILA MARRIAGA</t>
  </si>
  <si>
    <t>ES27 6893 0001 7700 0027 9744</t>
  </si>
  <si>
    <t>WILMAN JOSE SANCHEZ ORTIZ</t>
  </si>
  <si>
    <t>ES02 0182 0731 0502 0160 6273</t>
  </si>
  <si>
    <t>WILMAR ESTUPIÑAN ANGULO</t>
  </si>
  <si>
    <t>ES66 0182 1216 2202 0159 8953</t>
  </si>
  <si>
    <t>WILMER ANDRES AREVALO MARIN</t>
  </si>
  <si>
    <t>ES84 0182 1005 3702 0172 5232</t>
  </si>
  <si>
    <t>WILMER ANTONIO BLANCO ALVAREZ</t>
  </si>
  <si>
    <t>ES82 0182 0316 4902 0158 8701</t>
  </si>
  <si>
    <t>WILMER DE JESUS ARIZA MUÑOZ</t>
  </si>
  <si>
    <t>PL44 1090 2835 0000 0001 6259 0741</t>
  </si>
  <si>
    <t>WILMER FERNANDO ROJAS RAMIREZ</t>
  </si>
  <si>
    <t>WILMER LEANDRO SANCHEZ</t>
  </si>
  <si>
    <t>ES79 0182 1150 0202 0159 3881</t>
  </si>
  <si>
    <t>WILMER PEREZ CUSBA</t>
  </si>
  <si>
    <t>ES39 6893 0001 7100 0031 9107</t>
  </si>
  <si>
    <t>WILMER RAUL NUÑEZ RAFAEL</t>
  </si>
  <si>
    <t>ES78 6893 0001 7000 0027 9751</t>
  </si>
  <si>
    <t>WILMER SEGOVIA GARCIA</t>
  </si>
  <si>
    <t>ES49 6893 0001 7300 0034 6765</t>
  </si>
  <si>
    <t>WILMER SIMANCA GOMEZ</t>
  </si>
  <si>
    <t>PL28 1090 1102 0000 0001 5679 6995</t>
  </si>
  <si>
    <t>WILMER YANAYACO PINEDO</t>
  </si>
  <si>
    <t>ES29 0182 0670 1002 0161 0920</t>
  </si>
  <si>
    <t>WILSON ALEXANDER GOMEZ</t>
  </si>
  <si>
    <t>ES91 0182 2082 1502 0168 9891</t>
  </si>
  <si>
    <t>WILSON CAMILO CHAPARRO CASTAÑEDA</t>
  </si>
  <si>
    <t>ES81 0182 0702 3102 0165 0423</t>
  </si>
  <si>
    <t>WILSON CHUQUIVIGUEL BRICEÑO</t>
  </si>
  <si>
    <t>ES37 0182 3275 5202 0165 3165</t>
  </si>
  <si>
    <t>WILSON CUERO ALVAREZ</t>
  </si>
  <si>
    <t xml:space="preserve"> BE50 9677 9384 3518</t>
  </si>
  <si>
    <t>WILSON DAVID HERNANDEZ SEGURA</t>
  </si>
  <si>
    <t>ES34 0182 0702 3302 0164 4769</t>
  </si>
  <si>
    <t>WILSON FLORES ROMERO</t>
  </si>
  <si>
    <t>ES36 0049 4835 1921 1639 1915</t>
  </si>
  <si>
    <t>WILSON RODRIGUEZ AGUDELO</t>
  </si>
  <si>
    <t>BE47 9679 6382 2880</t>
  </si>
  <si>
    <t>WILSON VALLEJO HERRERA</t>
  </si>
  <si>
    <t>ES12 6893 0001 7600 0025 8238</t>
  </si>
  <si>
    <t>WILSON YESID GUARIN GALAN</t>
  </si>
  <si>
    <t>ES49 0182 2249 1302 0157 2785</t>
  </si>
  <si>
    <t>WILTON MANUEL CRUZ RAMIREZ</t>
  </si>
  <si>
    <t>PL79 1090 1102 0000 0001 6232 6532</t>
  </si>
  <si>
    <t>XEMIR SOLER ROMERO</t>
  </si>
  <si>
    <t>ES57 0182 0374 9102 0154 6169</t>
  </si>
  <si>
    <t>YAMIR CUTIVA SANCHEZ</t>
  </si>
  <si>
    <t>ES57 0182 2620 9402 0164 6249</t>
  </si>
  <si>
    <t>YAN CARLOS RUIZ ROJAS</t>
  </si>
  <si>
    <t xml:space="preserve">ES86 6893 0001 7600 0033 4021 </t>
  </si>
  <si>
    <t>YANNY ALBERTO HERNANDEZ LOZANO</t>
  </si>
  <si>
    <t>FR76 2763 3121 2905 0404 5072 673</t>
  </si>
  <si>
    <t>YEDIN CASTILLO VASQUEZ</t>
  </si>
  <si>
    <t>ES43 2100 8342 1007 0050 2176</t>
  </si>
  <si>
    <t>YEEN LEONARD MARTINEZ YUPANQUI</t>
  </si>
  <si>
    <t xml:space="preserve">ES23 0049 5103 7024 1673 3258 </t>
  </si>
  <si>
    <t>YEFFERSON ZULUAGA BUITRAGO</t>
  </si>
  <si>
    <t>BE39 9052 8855 6819</t>
  </si>
  <si>
    <t>YEFRY JAMIR DIAZ DIAZ</t>
  </si>
  <si>
    <t>BE84 9677 9556 4559</t>
  </si>
  <si>
    <t>YEISON ARLEY DIAZ CHAUX</t>
  </si>
  <si>
    <t>BE49 9054 6328 8171</t>
  </si>
  <si>
    <t>YEISON ARLEY TOBON MORENO</t>
  </si>
  <si>
    <t>BE76 9057 2556 8895</t>
  </si>
  <si>
    <t>YEISON DE AVILA MENDOZA</t>
  </si>
  <si>
    <t>BE74 9050 2033 1207</t>
  </si>
  <si>
    <t>YEISON SAMIR CAICEDO</t>
  </si>
  <si>
    <t xml:space="preserve"> ES92 0182 0708 0402 0167 0939</t>
  </si>
  <si>
    <t>YERSON GABRIEL ARISTIZABAL LOZANO</t>
  </si>
  <si>
    <t>ES54 0182 8674 4702 0164 9322</t>
  </si>
  <si>
    <t>YERSON RENE CALA NAVARRO</t>
  </si>
  <si>
    <t>ES56 0182 0043 1002 0167 9905</t>
  </si>
  <si>
    <t>YESID DAVID GOMEZ ARZUAGA</t>
  </si>
  <si>
    <t>ES74 6893 0001 7200 0027 2159</t>
  </si>
  <si>
    <t>YESID NIEVA</t>
  </si>
  <si>
    <t>BE85 9050 8840 5706</t>
  </si>
  <si>
    <t>YESID RAFAEL ZARATE MANJARREZ</t>
  </si>
  <si>
    <t>BE56 9056 5513 6488</t>
  </si>
  <si>
    <t>YEXID ELIAS JULIO LICONA</t>
  </si>
  <si>
    <t>ES58 6893 0001 7900 0027 4723</t>
  </si>
  <si>
    <t>YIMI ALEXANDER TRIANA FRANCO</t>
  </si>
  <si>
    <t>BE10 9057 8657 2704</t>
  </si>
  <si>
    <t>YIMIS RAMIRO PEREZ ARRIETA</t>
  </si>
  <si>
    <t>BE24 9050 3809 5038</t>
  </si>
  <si>
    <t>YOBER HUAMAN VELASQUE</t>
  </si>
  <si>
    <t>ES40 0182 0394 3602 0176 1182</t>
  </si>
  <si>
    <t>YODARLI GONZALEZ BRAVO</t>
  </si>
  <si>
    <t>ES55 0182 0079 0002 0156 0855</t>
  </si>
  <si>
    <t>YOFRE DAVID ERAZO TORRES</t>
  </si>
  <si>
    <t>BE88 9678 6412 2341</t>
  </si>
  <si>
    <t>YOISER ALBERTO POLO MERCADO</t>
  </si>
  <si>
    <t>ES66 0182 2824 4302 0171 2009</t>
  </si>
  <si>
    <t>YOLMAR MARULANDA PEREZ</t>
  </si>
  <si>
    <t>ES80 0182 4390 2502 0177 6832</t>
  </si>
  <si>
    <t>YONNY ALEXANDER HERNANDEZ CHALACAN</t>
  </si>
  <si>
    <t>ES88 0182 7541 3102 0160 9241</t>
  </si>
  <si>
    <t>YONY ALEXANDER BERNAL ARCINIEGAS</t>
  </si>
  <si>
    <t>BE81 9677 7824 6524</t>
  </si>
  <si>
    <t>YONY SMITH MORALES ORTIZ</t>
  </si>
  <si>
    <t>BE36 9677 8341 2681</t>
  </si>
  <si>
    <t>YUBYINER SANTIAGO CELIS</t>
  </si>
  <si>
    <t>ES21 0182 0573 1602 0173 3087</t>
  </si>
  <si>
    <t>INFORMACION ULTIMO PAGO NOMINA</t>
  </si>
  <si>
    <t>YULDOR MAURICIO BOLAÑOS</t>
  </si>
  <si>
    <t>BE95 9053 1577 8958</t>
  </si>
  <si>
    <t>YUSSED MURADT CHAVES AMEZQUITA</t>
  </si>
  <si>
    <t>BE11 9670 0269 5148</t>
  </si>
  <si>
    <t>YUVER RUSO CRUZ DAMIAN</t>
  </si>
  <si>
    <t>ES66 0049 6682 0625 1010 6761</t>
  </si>
  <si>
    <t>FERNEY TORRES LEDESMA</t>
  </si>
  <si>
    <t>BE53 9057 8844 0053</t>
  </si>
  <si>
    <t>YORVY RAFAEL MARTINEZ ROMERO</t>
  </si>
  <si>
    <t>RUBEN DARIO RINCON CORTES</t>
  </si>
  <si>
    <t>ES72 0182 4027 2902 0188 4558</t>
  </si>
  <si>
    <t>Nombre</t>
  </si>
  <si>
    <t>Cod_colab</t>
  </si>
  <si>
    <t>ABDALLAH SAMMAR</t>
  </si>
  <si>
    <t>E1172</t>
  </si>
  <si>
    <t>E0530</t>
  </si>
  <si>
    <t>ABDELHAQ GUEHOUANE</t>
  </si>
  <si>
    <t>E1365</t>
  </si>
  <si>
    <t>E1855</t>
  </si>
  <si>
    <t>E0663</t>
  </si>
  <si>
    <t>E0513</t>
  </si>
  <si>
    <t>E0432</t>
  </si>
  <si>
    <t>E0687</t>
  </si>
  <si>
    <t>ADRIAN BERNAL GOMEZ</t>
  </si>
  <si>
    <t>E1050</t>
  </si>
  <si>
    <t>E0570</t>
  </si>
  <si>
    <t>E0452</t>
  </si>
  <si>
    <t>ADRIAN RICARDO BAQUERO GONZALEZ</t>
  </si>
  <si>
    <t>E1221</t>
  </si>
  <si>
    <t>ADRIANO DOS SANTOS DE CARVALHO</t>
  </si>
  <si>
    <t>E0764</t>
  </si>
  <si>
    <t>E0516</t>
  </si>
  <si>
    <t>E0814</t>
  </si>
  <si>
    <t>E0194</t>
  </si>
  <si>
    <t>E0406</t>
  </si>
  <si>
    <t>E1402</t>
  </si>
  <si>
    <t>E0347</t>
  </si>
  <si>
    <t>E0272</t>
  </si>
  <si>
    <t>ALBERT IGO SILVA LIMA DE CERQUEIRA</t>
  </si>
  <si>
    <t>E0853</t>
  </si>
  <si>
    <t>E0189</t>
  </si>
  <si>
    <t>E0208</t>
  </si>
  <si>
    <t>E0134</t>
  </si>
  <si>
    <t>E0449</t>
  </si>
  <si>
    <t>E1448</t>
  </si>
  <si>
    <t>ALDAIR  GABRIEL LARA RAMIREZ</t>
  </si>
  <si>
    <t>E1356</t>
  </si>
  <si>
    <t>E0460</t>
  </si>
  <si>
    <t>E1382</t>
  </si>
  <si>
    <t>ALDRINIS EDWARDS MENDOZA NIETO</t>
  </si>
  <si>
    <t>E1449</t>
  </si>
  <si>
    <t>E0648</t>
  </si>
  <si>
    <t>E0243</t>
  </si>
  <si>
    <t>E1770</t>
  </si>
  <si>
    <t>E0662</t>
  </si>
  <si>
    <t>E0009</t>
  </si>
  <si>
    <t>E0128</t>
  </si>
  <si>
    <t>ALEJANDRO QUINCENO ROA</t>
  </si>
  <si>
    <t>E0960</t>
  </si>
  <si>
    <t>ALESSANDRO FERREIRA</t>
  </si>
  <si>
    <t>E1352</t>
  </si>
  <si>
    <t>E1253</t>
  </si>
  <si>
    <t>E1380</t>
  </si>
  <si>
    <t>E0388</t>
  </si>
  <si>
    <t>E1921</t>
  </si>
  <si>
    <t>E1319</t>
  </si>
  <si>
    <t>E0593</t>
  </si>
  <si>
    <t>E0302</t>
  </si>
  <si>
    <t>ALEX SANDRO VALENGA</t>
  </si>
  <si>
    <t>E1056</t>
  </si>
  <si>
    <t>E1400</t>
  </si>
  <si>
    <t>E0362</t>
  </si>
  <si>
    <t>E0456</t>
  </si>
  <si>
    <t>ALEXANDER GUTIERREZ MONTANEZ</t>
  </si>
  <si>
    <t>E1936</t>
  </si>
  <si>
    <t>ALEXANDER GUTIERREZ MONTAÑEZ</t>
  </si>
  <si>
    <t>E1450</t>
  </si>
  <si>
    <t>ALEXANDER JAVIER ALBINO JIMENEZ</t>
  </si>
  <si>
    <t>E0831</t>
  </si>
  <si>
    <t>E0386</t>
  </si>
  <si>
    <t>E1684</t>
  </si>
  <si>
    <t>E1451</t>
  </si>
  <si>
    <t>E1313</t>
  </si>
  <si>
    <t>ALEXEI MOLINA CHICA</t>
  </si>
  <si>
    <t>E1984</t>
  </si>
  <si>
    <t>ALEXIS DIAGO ZUNIGA</t>
  </si>
  <si>
    <t>E1876</t>
  </si>
  <si>
    <t>ALEXIS HAIR GALEANO BOTELLO</t>
  </si>
  <si>
    <t>E1273</t>
  </si>
  <si>
    <t>E1355</t>
  </si>
  <si>
    <t>ALEXIS ORTIZ</t>
  </si>
  <si>
    <t>E1277</t>
  </si>
  <si>
    <t>ALFONSO DE JESUS YANES CABARCAS</t>
  </si>
  <si>
    <t>E1051</t>
  </si>
  <si>
    <t>E1973</t>
  </si>
  <si>
    <t>E1128</t>
  </si>
  <si>
    <t>ALIRIO ACEROS AGUILAR</t>
  </si>
  <si>
    <t>E2018</t>
  </si>
  <si>
    <t>E0254</t>
  </si>
  <si>
    <t>E0934</t>
  </si>
  <si>
    <t>ALONSO PRADA</t>
  </si>
  <si>
    <t>E0783</t>
  </si>
  <si>
    <t>ALONSO SIERRA GAFARO</t>
  </si>
  <si>
    <t>E1236</t>
  </si>
  <si>
    <t>E1244</t>
  </si>
  <si>
    <t>E1232</t>
  </si>
  <si>
    <t>E0888</t>
  </si>
  <si>
    <t>E0769</t>
  </si>
  <si>
    <t>E1707</t>
  </si>
  <si>
    <t>E0677</t>
  </si>
  <si>
    <t>ALVARO DIAZ GARCIA</t>
  </si>
  <si>
    <t>E0815</t>
  </si>
  <si>
    <t>E0166</t>
  </si>
  <si>
    <t>E0651</t>
  </si>
  <si>
    <t>E0565</t>
  </si>
  <si>
    <t>E0247</t>
  </si>
  <si>
    <t>E0442</t>
  </si>
  <si>
    <t>ALVARO NAVARRO CONTRERAS</t>
  </si>
  <si>
    <t>E1061</t>
  </si>
  <si>
    <t>E1404</t>
  </si>
  <si>
    <t>E1882</t>
  </si>
  <si>
    <t>E1192</t>
  </si>
  <si>
    <t>E1330</t>
  </si>
  <si>
    <t>E1878</t>
  </si>
  <si>
    <t>E1703</t>
  </si>
  <si>
    <t>ANDERSON CORREA FLORES</t>
  </si>
  <si>
    <t>E1186</t>
  </si>
  <si>
    <t>E0175</t>
  </si>
  <si>
    <t>E0536</t>
  </si>
  <si>
    <t>E1331</t>
  </si>
  <si>
    <t>ANDRES AGREDO ARBOLEDA</t>
  </si>
  <si>
    <t>E2067</t>
  </si>
  <si>
    <t>E1891</t>
  </si>
  <si>
    <t>E0500</t>
  </si>
  <si>
    <t>ANDRES CARLOS CANEDO BARRAGAN</t>
  </si>
  <si>
    <t>E1964</t>
  </si>
  <si>
    <t>E0795</t>
  </si>
  <si>
    <t>ANDRES FABIAN GONZALEZ GARZON</t>
  </si>
  <si>
    <t>E1088</t>
  </si>
  <si>
    <t>ANDRES FELIPE CHAMIZO CERON</t>
  </si>
  <si>
    <t>E0836</t>
  </si>
  <si>
    <t>E0285</t>
  </si>
  <si>
    <t>E0359</t>
  </si>
  <si>
    <t>ANDRES FELIPE GRAJALES MOSQUERA</t>
  </si>
  <si>
    <t>E1101</t>
  </si>
  <si>
    <t>E1406</t>
  </si>
  <si>
    <t>E0617</t>
  </si>
  <si>
    <t>E1888</t>
  </si>
  <si>
    <t>E0778</t>
  </si>
  <si>
    <t>E0085</t>
  </si>
  <si>
    <t>E0581</t>
  </si>
  <si>
    <t>E0529</t>
  </si>
  <si>
    <t>E1452</t>
  </si>
  <si>
    <t>E0487</t>
  </si>
  <si>
    <t>E1453</t>
  </si>
  <si>
    <t>E1454</t>
  </si>
  <si>
    <t>E0038</t>
  </si>
  <si>
    <t>E1455</t>
  </si>
  <si>
    <t>E1332</t>
  </si>
  <si>
    <t>E0621</t>
  </si>
  <si>
    <t>E0625</t>
  </si>
  <si>
    <t>E0213</t>
  </si>
  <si>
    <t>E0712</t>
  </si>
  <si>
    <t>ANTONIO ELIVAL SANTOS TORRES</t>
  </si>
  <si>
    <t>E1208</t>
  </si>
  <si>
    <t>E1201</t>
  </si>
  <si>
    <t>E1801</t>
  </si>
  <si>
    <t>E0545</t>
  </si>
  <si>
    <t>ARGEMIRO JAVIER CORTES CALDERON</t>
  </si>
  <si>
    <t>E2043</t>
  </si>
  <si>
    <t>E1736</t>
  </si>
  <si>
    <t>E0383</t>
  </si>
  <si>
    <t>E0177</t>
  </si>
  <si>
    <t>E1723</t>
  </si>
  <si>
    <t>E1749</t>
  </si>
  <si>
    <t>E0401</t>
  </si>
  <si>
    <t>E1790</t>
  </si>
  <si>
    <t>ARNALDO ACEVEDO PATIÑO</t>
  </si>
  <si>
    <t>E1456</t>
  </si>
  <si>
    <t>E1457</t>
  </si>
  <si>
    <t>E1694</t>
  </si>
  <si>
    <t>E0062</t>
  </si>
  <si>
    <t>E1590</t>
  </si>
  <si>
    <t>BAIRON SANCHEZ ORTIZ</t>
  </si>
  <si>
    <t>E1837</t>
  </si>
  <si>
    <t>E0209</t>
  </si>
  <si>
    <t>E0020</t>
  </si>
  <si>
    <t>E0201</t>
  </si>
  <si>
    <t>BENJAMIN MORALES GONZALEZ</t>
  </si>
  <si>
    <t>E1902</t>
  </si>
  <si>
    <t>BERNARDO CABRERA MARTINEZ</t>
  </si>
  <si>
    <t>E1133</t>
  </si>
  <si>
    <t>E0548</t>
  </si>
  <si>
    <t>BLADIMIR BARRAZA DIAZ</t>
  </si>
  <si>
    <t>E0750</t>
  </si>
  <si>
    <t>E1458</t>
  </si>
  <si>
    <t>E0195</t>
  </si>
  <si>
    <t>E1842</t>
  </si>
  <si>
    <t>E0250</t>
  </si>
  <si>
    <t>BORIS KIKO RAMIREZ PEREZ</t>
  </si>
  <si>
    <t>E0949</t>
  </si>
  <si>
    <t>E1249</t>
  </si>
  <si>
    <t>E1979</t>
  </si>
  <si>
    <t>E0756</t>
  </si>
  <si>
    <t>BRAYAN ALBERTO MOYA MERINO</t>
  </si>
  <si>
    <t>E2055</t>
  </si>
  <si>
    <t>E1762</t>
  </si>
  <si>
    <t>BRAYAN ANDRES CAMACHO BURGOS</t>
  </si>
  <si>
    <t>E0812</t>
  </si>
  <si>
    <t>BRAYAN ANDRES VASQUEZ AGUIRRE</t>
  </si>
  <si>
    <t>E0994</t>
  </si>
  <si>
    <t>E0292</t>
  </si>
  <si>
    <t>BRAYAN ESTIVEN SANCHEZ LINARES</t>
  </si>
  <si>
    <t>E0886</t>
  </si>
  <si>
    <t>E0052</t>
  </si>
  <si>
    <t>E1682</t>
  </si>
  <si>
    <t>E1897</t>
  </si>
  <si>
    <t>E1668</t>
  </si>
  <si>
    <t>E1821</t>
  </si>
  <si>
    <t>BRAYAN STEVEN BARRIOS MIÑO</t>
  </si>
  <si>
    <t>E0925</t>
  </si>
  <si>
    <t>BRAYN STEVENS OBANDO CORAL</t>
  </si>
  <si>
    <t>E1758</t>
  </si>
  <si>
    <t>E0558</t>
  </si>
  <si>
    <t>E0622</t>
  </si>
  <si>
    <t>E0752</t>
  </si>
  <si>
    <t>E1333</t>
  </si>
  <si>
    <t>BRUNO DE OLIVEIRA GALVÃO DOS SANTOS</t>
  </si>
  <si>
    <t>E0743</t>
  </si>
  <si>
    <t>E0360</t>
  </si>
  <si>
    <t>E0153</t>
  </si>
  <si>
    <t>E1459</t>
  </si>
  <si>
    <t>CAMILO ANDRES RAMIREZ BAHAMON</t>
  </si>
  <si>
    <t>E0923</t>
  </si>
  <si>
    <t>E1995</t>
  </si>
  <si>
    <t>E0277</t>
  </si>
  <si>
    <t>E2048</t>
  </si>
  <si>
    <t>E0152</t>
  </si>
  <si>
    <t>E0060</t>
  </si>
  <si>
    <t>CARLOS ALBERTO CARDONA YAIMA</t>
  </si>
  <si>
    <t>E2012</t>
  </si>
  <si>
    <t>E0451</t>
  </si>
  <si>
    <t>E1943</t>
  </si>
  <si>
    <t>E0271</t>
  </si>
  <si>
    <t>E1599</t>
  </si>
  <si>
    <t>E1695</t>
  </si>
  <si>
    <t>E0041</t>
  </si>
  <si>
    <t>E0933</t>
  </si>
  <si>
    <t>E0252</t>
  </si>
  <si>
    <t>E0155</t>
  </si>
  <si>
    <t>E1460</t>
  </si>
  <si>
    <t>CARLOS ALBERTO ZAMBRANO OROZCO</t>
  </si>
  <si>
    <t>E2003</t>
  </si>
  <si>
    <t>E0176</t>
  </si>
  <si>
    <t>E2020</t>
  </si>
  <si>
    <t>CARLOS ANDRES ECHAVEZ ALVAREZ</t>
  </si>
  <si>
    <t>E0835</t>
  </si>
  <si>
    <t>E1461</t>
  </si>
  <si>
    <t>E0133</t>
  </si>
  <si>
    <t>E0396</t>
  </si>
  <si>
    <t>E1407</t>
  </si>
  <si>
    <t>E1679</t>
  </si>
  <si>
    <t>E1731</t>
  </si>
  <si>
    <t>E1989</t>
  </si>
  <si>
    <t>E0231</t>
  </si>
  <si>
    <t>E0016</t>
  </si>
  <si>
    <t>E0313</t>
  </si>
  <si>
    <t>E2026</t>
  </si>
  <si>
    <t>CARLOS ARTURO ALARCON CAMACHO</t>
  </si>
  <si>
    <t>E1346</t>
  </si>
  <si>
    <t>E0100</t>
  </si>
  <si>
    <t>E1860</t>
  </si>
  <si>
    <t>E0402</t>
  </si>
  <si>
    <t>E0012</t>
  </si>
  <si>
    <t>E1976</t>
  </si>
  <si>
    <t>CARLOS DELGADO QUIÑONES</t>
  </si>
  <si>
    <t>E1211</t>
  </si>
  <si>
    <t>E0481</t>
  </si>
  <si>
    <t>E0144</t>
  </si>
  <si>
    <t>E0736</t>
  </si>
  <si>
    <t>CARLOS EDUARDO TEIXEIRA DA COSTA</t>
  </si>
  <si>
    <t>E1031</t>
  </si>
  <si>
    <t>E0745</t>
  </si>
  <si>
    <t>CARLOS ERNESTO GUZMÁN ARIZA GUZMÁN</t>
  </si>
  <si>
    <t>E1463</t>
  </si>
  <si>
    <t>E0782</t>
  </si>
  <si>
    <t>CARLOS FELIPE QUINTERO JAIMES</t>
  </si>
  <si>
    <t>E2010</t>
  </si>
  <si>
    <t>CARLOS FERNANDEZ MARTINEZ</t>
  </si>
  <si>
    <t>E0221</t>
  </si>
  <si>
    <t>E1464</t>
  </si>
  <si>
    <t>CARLOS HENRIQUE DA SILVA</t>
  </si>
  <si>
    <t>E1164</t>
  </si>
  <si>
    <t>CARLOS JAIRO CORREA MEJIA</t>
  </si>
  <si>
    <t>E0675</t>
  </si>
  <si>
    <t>E1303</t>
  </si>
  <si>
    <t>E1465</t>
  </si>
  <si>
    <t>E0926</t>
  </si>
  <si>
    <t>E0553</t>
  </si>
  <si>
    <t>E1815</t>
  </si>
  <si>
    <t>E1854</t>
  </si>
  <si>
    <t>E0013</t>
  </si>
  <si>
    <t>E0491</t>
  </si>
  <si>
    <t>E0325</t>
  </si>
  <si>
    <t>E2054</t>
  </si>
  <si>
    <t>E0801</t>
  </si>
  <si>
    <t>CARLOS RAMIRO BERRIO TORRES</t>
  </si>
  <si>
    <t>E1349</t>
  </si>
  <si>
    <t>CARLOS ROBEIRO BETANCUR</t>
  </si>
  <si>
    <t>E0746</t>
  </si>
  <si>
    <t>E1874</t>
  </si>
  <si>
    <t>CARLOS SANCHEZ DURAN</t>
  </si>
  <si>
    <t>E2013</t>
  </si>
  <si>
    <t>E0797</t>
  </si>
  <si>
    <t>CELINIO LEONARDO DELL ARETI ASSIS</t>
  </si>
  <si>
    <t>E0977</t>
  </si>
  <si>
    <t>CELSO ROBERTO GONANDY DE ALMEIDA</t>
  </si>
  <si>
    <t>E1007</t>
  </si>
  <si>
    <t>E1982</t>
  </si>
  <si>
    <t>E1466</t>
  </si>
  <si>
    <t>E1759</t>
  </si>
  <si>
    <t>E0331</t>
  </si>
  <si>
    <t>E1923</t>
  </si>
  <si>
    <t>CESAR AUGUSTO MELENDEZ MECADO</t>
  </si>
  <si>
    <t>E0821</t>
  </si>
  <si>
    <t>CESAR AUGUSTO PORTOCARRERO PISCO</t>
  </si>
  <si>
    <t>E1107</t>
  </si>
  <si>
    <t>E1467</t>
  </si>
  <si>
    <t>E0063</t>
  </si>
  <si>
    <t>E2050</t>
  </si>
  <si>
    <t>E0454</t>
  </si>
  <si>
    <t>E1468</t>
  </si>
  <si>
    <t>CESAR IVAN SANDOVAL CADENA</t>
  </si>
  <si>
    <t>E1716</t>
  </si>
  <si>
    <t>CESAR JOSE MARTINEZ RIVERO</t>
  </si>
  <si>
    <t>E1689</t>
  </si>
  <si>
    <t>E0459</t>
  </si>
  <si>
    <t>CHARLY DURAN UPEGUI</t>
  </si>
  <si>
    <t>E0826</t>
  </si>
  <si>
    <t>E0295</t>
  </si>
  <si>
    <t>E0420</t>
  </si>
  <si>
    <t>E0861</t>
  </si>
  <si>
    <t>CHRISTIAN JAIR DIAZ CORDOVA</t>
  </si>
  <si>
    <t>E1341</t>
  </si>
  <si>
    <t>E0546</t>
  </si>
  <si>
    <t>E0629</t>
  </si>
  <si>
    <t>E1129</t>
  </si>
  <si>
    <t>E1835</t>
  </si>
  <si>
    <t>CLAUDIO JOSE ANTUNES</t>
  </si>
  <si>
    <t>E1600</t>
  </si>
  <si>
    <t>CLAUDIO MARTIN DIAZ MANJARREZ</t>
  </si>
  <si>
    <t>E1231</t>
  </si>
  <si>
    <t>CLAUDIONOR GONÇALVEZ FREIRE</t>
  </si>
  <si>
    <t>E0898</t>
  </si>
  <si>
    <t>E1254</t>
  </si>
  <si>
    <t>CLESSIO DOS SANTOS CORREIA</t>
  </si>
  <si>
    <t>E1176</t>
  </si>
  <si>
    <t>E1469</t>
  </si>
  <si>
    <t>E1083</t>
  </si>
  <si>
    <t>E0499</t>
  </si>
  <si>
    <t>CRISTHIAN MOLINA AGUILAR</t>
  </si>
  <si>
    <t>E0798</t>
  </si>
  <si>
    <t>E1776</t>
  </si>
  <si>
    <t>CRISTIAN AGUILAR OSORIO</t>
  </si>
  <si>
    <t>E1379</t>
  </si>
  <si>
    <t>E1909</t>
  </si>
  <si>
    <t>E1918</t>
  </si>
  <si>
    <t>E1673</t>
  </si>
  <si>
    <t>E0330</t>
  </si>
  <si>
    <t>E1220</t>
  </si>
  <si>
    <t>CRISTIAN DAVID GRAZON ALTAMAR</t>
  </si>
  <si>
    <t>E1157</t>
  </si>
  <si>
    <t>E1470</t>
  </si>
  <si>
    <t>E0415</t>
  </si>
  <si>
    <t>CRISTIAN DAVID SOTO ÂNGULO</t>
  </si>
  <si>
    <t>E0733</t>
  </si>
  <si>
    <t>E0145</t>
  </si>
  <si>
    <t>E1898</t>
  </si>
  <si>
    <t>CRISTIAN JAVIER MOGOLLON ZAPATA</t>
  </si>
  <si>
    <t>E0732</t>
  </si>
  <si>
    <t>E0599</t>
  </si>
  <si>
    <t>E1367</t>
  </si>
  <si>
    <t>E0073</t>
  </si>
  <si>
    <t>E1373</t>
  </si>
  <si>
    <t>E1895</t>
  </si>
  <si>
    <t>E1219</t>
  </si>
  <si>
    <t>DANIEL ADRIAN GARCIA QUINTERO</t>
  </si>
  <si>
    <t>E1052</t>
  </si>
  <si>
    <t>E0096</t>
  </si>
  <si>
    <t>E0506</t>
  </si>
  <si>
    <t>E0256</t>
  </si>
  <si>
    <t>E1312</t>
  </si>
  <si>
    <t>E0303</t>
  </si>
  <si>
    <t>E1408</t>
  </si>
  <si>
    <t>E1998</t>
  </si>
  <si>
    <t>DANIEL GERMANO DE BARROS SILVA</t>
  </si>
  <si>
    <t>E1601</t>
  </si>
  <si>
    <t>DANIEL HERNAN ESCARRAGA BERMUDEZ</t>
  </si>
  <si>
    <t>E1370</t>
  </si>
  <si>
    <t>DANIEL HORACIO BURBANO RAMOS</t>
  </si>
  <si>
    <t>E1127</t>
  </si>
  <si>
    <t>E1824</t>
  </si>
  <si>
    <t>DANIEL SEGUNDO ALVIS MONTES</t>
  </si>
  <si>
    <t>E1360</t>
  </si>
  <si>
    <t>E1853</t>
  </si>
  <si>
    <t>E1471</t>
  </si>
  <si>
    <t>E0534</t>
  </si>
  <si>
    <t>E0361</t>
  </si>
  <si>
    <t>E1602</t>
  </si>
  <si>
    <t>DANNY ALBERTO HERRERA ARIAS</t>
  </si>
  <si>
    <t>E2062</t>
  </si>
  <si>
    <t>DANNY DANIEL CORREA CAMPOVERDE</t>
  </si>
  <si>
    <t>E1434</t>
  </si>
  <si>
    <t>DANNY JOSE CAICEDO VILLANUEVA</t>
  </si>
  <si>
    <t>E1724</t>
  </si>
  <si>
    <t>DANY HUMBERTO RAMOS URIZA</t>
  </si>
  <si>
    <t>E0722</t>
  </si>
  <si>
    <t>E1663</t>
  </si>
  <si>
    <t>DARIO RUBEN LOBOS</t>
  </si>
  <si>
    <t>E1392</t>
  </si>
  <si>
    <t>E1472</t>
  </si>
  <si>
    <t>E1764</t>
  </si>
  <si>
    <t>E0592</t>
  </si>
  <si>
    <t>E1473</t>
  </si>
  <si>
    <t>E1054</t>
  </si>
  <si>
    <t>E1474</t>
  </si>
  <si>
    <t>E1659</t>
  </si>
  <si>
    <t>E0403</t>
  </si>
  <si>
    <t>E1386</t>
  </si>
  <si>
    <t>E0083</t>
  </si>
  <si>
    <t>DAVY ARAUJO DO NASCIMENTO</t>
  </si>
  <si>
    <t>E1252</t>
  </si>
  <si>
    <t>E0214</t>
  </si>
  <si>
    <t>E1859</t>
  </si>
  <si>
    <t>E1730</t>
  </si>
  <si>
    <t>DEIMER NUÑEZ MENDOZA</t>
  </si>
  <si>
    <t>E1475</t>
  </si>
  <si>
    <t>DEINER ENRIQUE OVIEDO CORTEZ</t>
  </si>
  <si>
    <t>E1125</t>
  </si>
  <si>
    <t>E1760</t>
  </si>
  <si>
    <t>E0884</t>
  </si>
  <si>
    <t>DEIVID PIRES DOS SANTOS</t>
  </si>
  <si>
    <t>E0947</t>
  </si>
  <si>
    <t>E1105</t>
  </si>
  <si>
    <t>E0297</t>
  </si>
  <si>
    <t>E0482</t>
  </si>
  <si>
    <t>E1255</t>
  </si>
  <si>
    <t>E2021</t>
  </si>
  <si>
    <t>E0283</t>
  </si>
  <si>
    <t>DEYVI JOHAN ROMERO MARIN</t>
  </si>
  <si>
    <t>E1226</t>
  </si>
  <si>
    <t>E0477</t>
  </si>
  <si>
    <t>E1368</t>
  </si>
  <si>
    <t>DIDEROY SILVEIRA ALVES</t>
  </si>
  <si>
    <t>E1409</t>
  </si>
  <si>
    <t>DIDIER HERNAN MONTENEGRO LOPEZ</t>
  </si>
  <si>
    <t>E1270</t>
  </si>
  <si>
    <t>E0613</t>
  </si>
  <si>
    <t>E0473</t>
  </si>
  <si>
    <t>E0823</t>
  </si>
  <si>
    <t>E0284</t>
  </si>
  <si>
    <t>DIEGO ANTON PEÑARANDA</t>
  </si>
  <si>
    <t>E0737</t>
  </si>
  <si>
    <t>DIEGO ARMANDO COLLAZOS NOVOA</t>
  </si>
  <si>
    <t>E1137</t>
  </si>
  <si>
    <t>E1193</t>
  </si>
  <si>
    <t>E0278</t>
  </si>
  <si>
    <t>E0170</t>
  </si>
  <si>
    <t>E1476</t>
  </si>
  <si>
    <t>DIEGO ARMANDO SANCHEZ OSPITIA</t>
  </si>
  <si>
    <t>E0874</t>
  </si>
  <si>
    <t>DIEGO CORTES REAL BARBOSA</t>
  </si>
  <si>
    <t>E0697</t>
  </si>
  <si>
    <t>E0049</t>
  </si>
  <si>
    <t>E1095</t>
  </si>
  <si>
    <t>DIEGO FERNANDO CAPOTE PORTILLA</t>
  </si>
  <si>
    <t>E0959</t>
  </si>
  <si>
    <t>E1477</t>
  </si>
  <si>
    <t>E0544</t>
  </si>
  <si>
    <t>DIEGO FERNEY GONZALEZ CEBALLOS</t>
  </si>
  <si>
    <t>E0828</t>
  </si>
  <si>
    <t>E1397</t>
  </si>
  <si>
    <t>DIEGO JOEL NOGUEIRA</t>
  </si>
  <si>
    <t>E1358</t>
  </si>
  <si>
    <t>DIEGO LEWIS GOMEZ CARRILLO</t>
  </si>
  <si>
    <t>E0856</t>
  </si>
  <si>
    <t>E0219</t>
  </si>
  <si>
    <t>E0578</t>
  </si>
  <si>
    <t>DIONERLIS PEREIRA CRUZ</t>
  </si>
  <si>
    <t>E1058</t>
  </si>
  <si>
    <t>DIOUF IBOU</t>
  </si>
  <si>
    <t>E0937</t>
  </si>
  <si>
    <t>E1478</t>
  </si>
  <si>
    <t>E0550</t>
  </si>
  <si>
    <t>E1826</t>
  </si>
  <si>
    <t>E1245</t>
  </si>
  <si>
    <t>DORIAN DE JESUS OSPINO MARTINEZ</t>
  </si>
  <si>
    <t>E0868</t>
  </si>
  <si>
    <t>E0356</t>
  </si>
  <si>
    <t>DUFRAY ANDRES ARDILA BELTRAN</t>
  </si>
  <si>
    <t>E0676</t>
  </si>
  <si>
    <t>DUFRAY ARDILA MONROY</t>
  </si>
  <si>
    <t>E0990</t>
  </si>
  <si>
    <t>E1148</t>
  </si>
  <si>
    <t>DUVAN EDUARDO CHAVEZ CUARAN</t>
  </si>
  <si>
    <t>E1742</t>
  </si>
  <si>
    <t>E0973</t>
  </si>
  <si>
    <t>E1970</t>
  </si>
  <si>
    <t>E0279</t>
  </si>
  <si>
    <t>E1697</t>
  </si>
  <si>
    <t>E1868</t>
  </si>
  <si>
    <t>E0974</t>
  </si>
  <si>
    <t>EDGAR FERNEY JAIMES RODRIGUEZ</t>
  </si>
  <si>
    <t>E1381</t>
  </si>
  <si>
    <t>E0543</t>
  </si>
  <si>
    <t>EDGAR RAIMER MEZA MARTÍNEZ</t>
  </si>
  <si>
    <t>E1480</t>
  </si>
  <si>
    <t>EDGAR ROMULO GUINEA CRUZ</t>
  </si>
  <si>
    <t>E0931</t>
  </si>
  <si>
    <t>E0600</t>
  </si>
  <si>
    <t>E1774</t>
  </si>
  <si>
    <t>E0572</t>
  </si>
  <si>
    <t>E0115</t>
  </si>
  <si>
    <t>E1119</t>
  </si>
  <si>
    <t>E0161</t>
  </si>
  <si>
    <t>EDILBERTO HERNANDEZ BERMEJO</t>
  </si>
  <si>
    <t>E1366</t>
  </si>
  <si>
    <t>EDILBERTO SEGUNDO SARMIENTO RAMIREZ</t>
  </si>
  <si>
    <t>E1410</t>
  </si>
  <si>
    <t>E0615</t>
  </si>
  <si>
    <t>E1206</t>
  </si>
  <si>
    <t>E1806</t>
  </si>
  <si>
    <t>E0225</t>
  </si>
  <si>
    <t>E0984</t>
  </si>
  <si>
    <t>E1481</t>
  </si>
  <si>
    <t>EDINSON MANUEL MARTINEZ SALCEDO</t>
  </si>
  <si>
    <t>E0669</t>
  </si>
  <si>
    <t>E2015</t>
  </si>
  <si>
    <t>E1482</t>
  </si>
  <si>
    <t>E0106</t>
  </si>
  <si>
    <t>E1740</t>
  </si>
  <si>
    <t>E0637</t>
  </si>
  <si>
    <t>E1411</t>
  </si>
  <si>
    <t>E0363</t>
  </si>
  <si>
    <t>E0661</t>
  </si>
  <si>
    <t>E0692</t>
  </si>
  <si>
    <t>E1937</t>
  </si>
  <si>
    <t>EDUARDO DO NASCIMENTO</t>
  </si>
  <si>
    <t>E1607</t>
  </si>
  <si>
    <t>E1915</t>
  </si>
  <si>
    <t>E0107</t>
  </si>
  <si>
    <t>E0494</t>
  </si>
  <si>
    <t>EDUARDO NICOLAS VILLEGAS</t>
  </si>
  <si>
    <t>E1126</t>
  </si>
  <si>
    <t>E0427</t>
  </si>
  <si>
    <t>E1334</t>
  </si>
  <si>
    <t>E0257</t>
  </si>
  <si>
    <t>E1412</t>
  </si>
  <si>
    <t>E1677</t>
  </si>
  <si>
    <t>E0497</t>
  </si>
  <si>
    <t>EDWAR VARGAS LÓPEZ</t>
  </si>
  <si>
    <t>E1608</t>
  </si>
  <si>
    <t>E0030</t>
  </si>
  <si>
    <t>E1130</t>
  </si>
  <si>
    <t>E0507</t>
  </si>
  <si>
    <t>E0631</t>
  </si>
  <si>
    <t>EDWIN ALBEIRO RODRIGUEZ BARRERA</t>
  </si>
  <si>
    <t>E1483</t>
  </si>
  <si>
    <t>E1484</t>
  </si>
  <si>
    <t>E1413</t>
  </si>
  <si>
    <t>E0559</t>
  </si>
  <si>
    <t>E0232</t>
  </si>
  <si>
    <t>EDWIN ALEXIS MUNOZ GUTIERREZ</t>
  </si>
  <si>
    <t>E1722</t>
  </si>
  <si>
    <t>E1907</t>
  </si>
  <si>
    <t>E1485</t>
  </si>
  <si>
    <t>E1787</t>
  </si>
  <si>
    <t>E0057</t>
  </si>
  <si>
    <t>E0364</t>
  </si>
  <si>
    <t>E0180</t>
  </si>
  <si>
    <t>E1773</t>
  </si>
  <si>
    <t>EDWIN FREDY SUAREZ</t>
  </si>
  <si>
    <t>E2017</t>
  </si>
  <si>
    <t>E2046</t>
  </si>
  <si>
    <t>E0332</t>
  </si>
  <si>
    <t>E0294</t>
  </si>
  <si>
    <t>E1190</t>
  </si>
  <si>
    <t>EDWIN LLE PALACIOS CORTEZ</t>
  </si>
  <si>
    <t>E0956</t>
  </si>
  <si>
    <t>EDWIN MIGUEL CASTILLO NIETO</t>
  </si>
  <si>
    <t>E0862</t>
  </si>
  <si>
    <t>E1486</t>
  </si>
  <si>
    <t>E1712</t>
  </si>
  <si>
    <t>E1922</t>
  </si>
  <si>
    <t>E0357</t>
  </si>
  <si>
    <t>E0210</t>
  </si>
  <si>
    <t>EGIDIO JOSÉ FARIA ALVAREZ</t>
  </si>
  <si>
    <t>E1198</t>
  </si>
  <si>
    <t>EINSTEN STEPHERSON GIRALDO RAMOS</t>
  </si>
  <si>
    <t>E0720</t>
  </si>
  <si>
    <t>EISON RAFAEL IBARRA SIERRA</t>
  </si>
  <si>
    <t>E2045</t>
  </si>
  <si>
    <t>E0233</t>
  </si>
  <si>
    <t>EL MOSTAFA EL KHARFAOUI</t>
  </si>
  <si>
    <t>E0706</t>
  </si>
  <si>
    <t>ELCIO SOARES GUSMAO</t>
  </si>
  <si>
    <t>E1008</t>
  </si>
  <si>
    <t>E0784</t>
  </si>
  <si>
    <t>ELIAS DE SOUZA</t>
  </si>
  <si>
    <t>E0961</t>
  </si>
  <si>
    <t>E1704</t>
  </si>
  <si>
    <t>E1064</t>
  </si>
  <si>
    <t>ELIECER MARTINEZ MENDOZA</t>
  </si>
  <si>
    <t>E0656</t>
  </si>
  <si>
    <t>E0436</t>
  </si>
  <si>
    <t>E0873</t>
  </si>
  <si>
    <t>E1069</t>
  </si>
  <si>
    <t>E0579</t>
  </si>
  <si>
    <t>ELKIN JAVIER ARIZA PERALTA</t>
  </si>
  <si>
    <t>E1237</t>
  </si>
  <si>
    <t>E1840</t>
  </si>
  <si>
    <t>E0609</t>
  </si>
  <si>
    <t>E0537</t>
  </si>
  <si>
    <t>E1686</t>
  </si>
  <si>
    <t>ELVIO ELISANDER MORE ORREGO</t>
  </si>
  <si>
    <t>E1708</t>
  </si>
  <si>
    <t>ELVIS ABELARDO CASTAÑEDA CANCHARI</t>
  </si>
  <si>
    <t>E1487</t>
  </si>
  <si>
    <t>E1488</t>
  </si>
  <si>
    <t>E1388</t>
  </si>
  <si>
    <t>E0796</t>
  </si>
  <si>
    <t>E0435</t>
  </si>
  <si>
    <t>E0407</t>
  </si>
  <si>
    <t>EMIRO ALEJANDRO HENRIQUEZ ROMERO</t>
  </si>
  <si>
    <t>E0980</t>
  </si>
  <si>
    <t>EMIRO ARRAZOLA MAZA</t>
  </si>
  <si>
    <t>E0573</t>
  </si>
  <si>
    <t>E0424</t>
  </si>
  <si>
    <t>E2019</t>
  </si>
  <si>
    <t>E0348</t>
  </si>
  <si>
    <t>E1857</t>
  </si>
  <si>
    <t>E0932</t>
  </si>
  <si>
    <t>E1316</t>
  </si>
  <si>
    <t>ERASMO QUISPE MARTINEZ</t>
  </si>
  <si>
    <t>E1489</t>
  </si>
  <si>
    <t>ERGUIN ADRIAN OJEDA MACHADO</t>
  </si>
  <si>
    <t>E2040</t>
  </si>
  <si>
    <t>ERIC FERNANDO SILVA DE SANTANA</t>
  </si>
  <si>
    <t>E1210</t>
  </si>
  <si>
    <t>ERICK DAVID ALEGRIA GRANJA</t>
  </si>
  <si>
    <t>E1610</t>
  </si>
  <si>
    <t>ERICK NILSON SANCHEZ BARRIOS</t>
  </si>
  <si>
    <t>E0646</t>
  </si>
  <si>
    <t>E1317</t>
  </si>
  <si>
    <t>E1268</t>
  </si>
  <si>
    <t>E1251</t>
  </si>
  <si>
    <t>E1117</t>
  </si>
  <si>
    <t>E1765</t>
  </si>
  <si>
    <t>ERISVALDO AVELINO</t>
  </si>
  <si>
    <t>E1021</t>
  </si>
  <si>
    <t>E0995</t>
  </si>
  <si>
    <t>E1250</t>
  </si>
  <si>
    <t>E1713</t>
  </si>
  <si>
    <t>E0590</t>
  </si>
  <si>
    <t>E0202</t>
  </si>
  <si>
    <t>E0006</t>
  </si>
  <si>
    <t>ESTORLACE DE OLIVEIRA LACERDA</t>
  </si>
  <si>
    <t>E1115</t>
  </si>
  <si>
    <t>ETEVALDO FONSECA SABA FILHO</t>
  </si>
  <si>
    <t>E0665</t>
  </si>
  <si>
    <t>E0179</t>
  </si>
  <si>
    <t>EVALDO DA LUZ BATISTA JUNIOR</t>
  </si>
  <si>
    <t>E1351</t>
  </si>
  <si>
    <t>E0870</t>
  </si>
  <si>
    <t>E0125</t>
  </si>
  <si>
    <t>EVER ROBINSON LOPEZ CASTRO</t>
  </si>
  <si>
    <t>E0717</t>
  </si>
  <si>
    <t>E1131</t>
  </si>
  <si>
    <t>E0709</t>
  </si>
  <si>
    <t>EXNEIDER MENESES VALDES</t>
  </si>
  <si>
    <t>E0670</t>
  </si>
  <si>
    <t>E1182</t>
  </si>
  <si>
    <t>EZEQUIEL BISPO RIBEIRO</t>
  </si>
  <si>
    <t>E1184</t>
  </si>
  <si>
    <t>EZEQUIEL GOMES DE SOUSA</t>
  </si>
  <si>
    <t>E0865</t>
  </si>
  <si>
    <t>E1490</t>
  </si>
  <si>
    <t>E1194</t>
  </si>
  <si>
    <t>FABIAN ANDRES RIOS VARGAS</t>
  </si>
  <si>
    <t>E1394</t>
  </si>
  <si>
    <t>E0389</t>
  </si>
  <si>
    <t>FABIAN BERNAL MONTENEGRO</t>
  </si>
  <si>
    <t>E1612</t>
  </si>
  <si>
    <t>E0632</t>
  </si>
  <si>
    <t>E0890</t>
  </si>
  <si>
    <t>E0235</t>
  </si>
  <si>
    <t>E2056</t>
  </si>
  <si>
    <t>E0004</t>
  </si>
  <si>
    <t>E0694</t>
  </si>
  <si>
    <t>FABIANO CARNEIRO SILVA</t>
  </si>
  <si>
    <t>E1213</t>
  </si>
  <si>
    <t>E0429</t>
  </si>
  <si>
    <t>E1256</t>
  </si>
  <si>
    <t>E1932</t>
  </si>
  <si>
    <t>FABIO FERREIRA DA SILVA</t>
  </si>
  <si>
    <t>E0854</t>
  </si>
  <si>
    <t>FABIO FONSECA PINHEIRO</t>
  </si>
  <si>
    <t>E1178</t>
  </si>
  <si>
    <t>E1257</t>
  </si>
  <si>
    <t>E1700</t>
  </si>
  <si>
    <t>FABIO NASCIMENTO DE JESUS</t>
  </si>
  <si>
    <t>E0864</t>
  </si>
  <si>
    <t>FABIO NELSON DIAZ ACHINTE</t>
  </si>
  <si>
    <t>E1850</t>
  </si>
  <si>
    <t>FABIO NELSON ROSERO GONZALEZ</t>
  </si>
  <si>
    <t>E1109</t>
  </si>
  <si>
    <t>FABIO SANTANA DOS SANTOS</t>
  </si>
  <si>
    <t>E1297</t>
  </si>
  <si>
    <t>FABRICIO SANTOS DA SOLEDADE</t>
  </si>
  <si>
    <t>E1491</t>
  </si>
  <si>
    <t>FAIBER EDUARDO URRIAGO CARDENAS</t>
  </si>
  <si>
    <t>E0847</t>
  </si>
  <si>
    <t>E0463</t>
  </si>
  <si>
    <t>E2002</t>
  </si>
  <si>
    <t>E2052</t>
  </si>
  <si>
    <t>E1086</t>
  </si>
  <si>
    <t>FELIPE DA SILVA LEAL</t>
  </si>
  <si>
    <t>E0985</t>
  </si>
  <si>
    <t>FELIPE FRONCZAK</t>
  </si>
  <si>
    <t>E0899</t>
  </si>
  <si>
    <t>E0253</t>
  </si>
  <si>
    <t>E1748</t>
  </si>
  <si>
    <t>E1492</t>
  </si>
  <si>
    <t>E0527</t>
  </si>
  <si>
    <t>E1750</t>
  </si>
  <si>
    <t>FELIX DUVAN GUTIERREZ HERNANDEZ</t>
  </si>
  <si>
    <t>E0900</t>
  </si>
  <si>
    <t>E0483</t>
  </si>
  <si>
    <t>E1933</t>
  </si>
  <si>
    <t>E2033</t>
  </si>
  <si>
    <t>E1181</t>
  </si>
  <si>
    <t>E1396</t>
  </si>
  <si>
    <t>E0113</t>
  </si>
  <si>
    <t>FERNANDO HENRIQUE BARBOSA</t>
  </si>
  <si>
    <t>E1118</t>
  </si>
  <si>
    <t>FERNANDO SAUCEDO ALVEAR</t>
  </si>
  <si>
    <t>E0827</t>
  </si>
  <si>
    <t>FERNANDO VIVEROS PASTES</t>
  </si>
  <si>
    <t>E0825</t>
  </si>
  <si>
    <t>E2069</t>
  </si>
  <si>
    <t>E0753</t>
  </si>
  <si>
    <t>FLABIO JOSE ASCUNTAR CASTILLO</t>
  </si>
  <si>
    <t>E1293</t>
  </si>
  <si>
    <t>FLAVIO ELIECER</t>
  </si>
  <si>
    <t>E1278</t>
  </si>
  <si>
    <t>FLAVIO IVO DA SILVA DE JESUS</t>
  </si>
  <si>
    <t>E1009</t>
  </si>
  <si>
    <t>FLINMAN ALEXANDER RAMIREZ TOBA</t>
  </si>
  <si>
    <t>E0768</t>
  </si>
  <si>
    <t>FOFANA ABASS</t>
  </si>
  <si>
    <t>E0938</t>
  </si>
  <si>
    <t>FOUED BOULOUEDNINE</t>
  </si>
  <si>
    <t>E0940</t>
  </si>
  <si>
    <t>FRANCIMAR DA SILVA PEREIRA</t>
  </si>
  <si>
    <t>E1032</t>
  </si>
  <si>
    <t>E0747</t>
  </si>
  <si>
    <t>E1676</t>
  </si>
  <si>
    <t>FRANCISCO DE ASSIS</t>
  </si>
  <si>
    <t>E0901</t>
  </si>
  <si>
    <t>FRANCISCO EDUARDO HERRERA BARRAGAN</t>
  </si>
  <si>
    <t>E0813</t>
  </si>
  <si>
    <t>FRANCISCO ERANDI OLIVEIRA DE FARIAS</t>
  </si>
  <si>
    <t>E1290</t>
  </si>
  <si>
    <t>FRANCISCO FABIO BRAGA VIANA</t>
  </si>
  <si>
    <t>E1033</t>
  </si>
  <si>
    <t>E0508</t>
  </si>
  <si>
    <t>E0229</t>
  </si>
  <si>
    <t>E1946</t>
  </si>
  <si>
    <t>FRANCISCO JAVIER RAMIREZ RODRIGUEZ</t>
  </si>
  <si>
    <t>E0740</t>
  </si>
  <si>
    <t>E1324</t>
  </si>
  <si>
    <t>E1300</t>
  </si>
  <si>
    <t>E0966</t>
  </si>
  <si>
    <t>E0608</t>
  </si>
  <si>
    <t>E1832</t>
  </si>
  <si>
    <t>E1494</t>
  </si>
  <si>
    <t>E0275</t>
  </si>
  <si>
    <t>FRANKLIN MUÑOZ RODRIGUEZ</t>
  </si>
  <si>
    <t>E1205</t>
  </si>
  <si>
    <t>FRANKLIN RAFAEL RODRIGUEZ BELTRAN</t>
  </si>
  <si>
    <t>E0909</t>
  </si>
  <si>
    <t>E1948</t>
  </si>
  <si>
    <t>E0157</t>
  </si>
  <si>
    <t>E0169</t>
  </si>
  <si>
    <t>E0688</t>
  </si>
  <si>
    <t>FRED ALBERTO SOLANO GALLO</t>
  </si>
  <si>
    <t>E0991</t>
  </si>
  <si>
    <t>E1856</t>
  </si>
  <si>
    <t>FREDDY ENRIQUE MEZA ARISTIZABAL</t>
  </si>
  <si>
    <t>E1735</t>
  </si>
  <si>
    <t>E1911</t>
  </si>
  <si>
    <t>E0120</t>
  </si>
  <si>
    <t>E0414</t>
  </si>
  <si>
    <t>E1495</t>
  </si>
  <si>
    <t>E1496</t>
  </si>
  <si>
    <t>FREDY ALBERTO CORDOBA BEJARANO</t>
  </si>
  <si>
    <t>E0785</t>
  </si>
  <si>
    <t>E1497</t>
  </si>
  <si>
    <t>FREDY ALONSO AREVALO CARRILO</t>
  </si>
  <si>
    <t>E1173</t>
  </si>
  <si>
    <t>E0237</t>
  </si>
  <si>
    <t>E0394</t>
  </si>
  <si>
    <t>FREDY MATITUY GARCIA</t>
  </si>
  <si>
    <t>E1155</t>
  </si>
  <si>
    <t>E1699</t>
  </si>
  <si>
    <t>FREDY RONDON CORDOBA</t>
  </si>
  <si>
    <t>E0759</t>
  </si>
  <si>
    <t>E1110</t>
  </si>
  <si>
    <t>E0875</t>
  </si>
  <si>
    <t>E1399</t>
  </si>
  <si>
    <t>GEICKOLL DAVID PUERTO TORRES</t>
  </si>
  <si>
    <t>E0713</t>
  </si>
  <si>
    <t>GEIDER PATIÑO QUIROGA</t>
  </si>
  <si>
    <t>E1046</t>
  </si>
  <si>
    <t>E0562</t>
  </si>
  <si>
    <t>E0601</t>
  </si>
  <si>
    <t>E2024</t>
  </si>
  <si>
    <t>E1498</t>
  </si>
  <si>
    <t>E0574</t>
  </si>
  <si>
    <t>GERMAN GARCIA RODRIGUEZ</t>
  </si>
  <si>
    <t>E1152</t>
  </si>
  <si>
    <t>E0571</t>
  </si>
  <si>
    <t>E1869</t>
  </si>
  <si>
    <t>GERMAN LORZA TORRES</t>
  </si>
  <si>
    <t>E0803</t>
  </si>
  <si>
    <t>E0710</t>
  </si>
  <si>
    <t>E1710</t>
  </si>
  <si>
    <t>GERSON DO NASCIMENTO</t>
  </si>
  <si>
    <t>E1499</t>
  </si>
  <si>
    <t>E1500</t>
  </si>
  <si>
    <t>E0197</t>
  </si>
  <si>
    <t>GIANFRANCO MICHAEL GEOVANNY SANCHEZ PITA</t>
  </si>
  <si>
    <t>E1234</t>
  </si>
  <si>
    <t>E0104</t>
  </si>
  <si>
    <t>GILBERTO ALMIR FERMIANO</t>
  </si>
  <si>
    <t>E0987</t>
  </si>
  <si>
    <t>GILMAR GOMES DE TOLEDO JUNIOR</t>
  </si>
  <si>
    <t>E1034</t>
  </si>
  <si>
    <t>E1761</t>
  </si>
  <si>
    <t>GILSON PINHEIRO DOS SANTOS</t>
  </si>
  <si>
    <t>E0924</t>
  </si>
  <si>
    <t>E0594</t>
  </si>
  <si>
    <t>E0880</t>
  </si>
  <si>
    <t>E1613</t>
  </si>
  <si>
    <t>GLECIO DOS SANTOS ANDRADE</t>
  </si>
  <si>
    <t>E0699</t>
  </si>
  <si>
    <t>E1318</t>
  </si>
  <si>
    <t>E0094</t>
  </si>
  <si>
    <t>E1501</t>
  </si>
  <si>
    <t>E1951</t>
  </si>
  <si>
    <t>E1216</t>
  </si>
  <si>
    <t>E0329</t>
  </si>
  <si>
    <t>E1502</t>
  </si>
  <si>
    <t>E1819</t>
  </si>
  <si>
    <t>E0472</t>
  </si>
  <si>
    <t>GROVER JESUS JUAREZ LOPEZ</t>
  </si>
  <si>
    <t>E1280</t>
  </si>
  <si>
    <t>E1151</t>
  </si>
  <si>
    <t>E0035</t>
  </si>
  <si>
    <t>GUILHERME ANTONIO SILVA</t>
  </si>
  <si>
    <t>E1350</t>
  </si>
  <si>
    <t>E1661</t>
  </si>
  <si>
    <t>GUILHERME MURBACH ARBIGAUS</t>
  </si>
  <si>
    <t>E0917</t>
  </si>
  <si>
    <t>E0286</t>
  </si>
  <si>
    <t>E1160</t>
  </si>
  <si>
    <t>GUILLERMO ANDRES GOMEZ PABON</t>
  </si>
  <si>
    <t>E1817</t>
  </si>
  <si>
    <t>E0387</t>
  </si>
  <si>
    <t>E0151</t>
  </si>
  <si>
    <t>E1395</t>
  </si>
  <si>
    <t>E0674</t>
  </si>
  <si>
    <t>GUSTAVO ALVES DE MOURA</t>
  </si>
  <si>
    <t>E1150</t>
  </si>
  <si>
    <t>E1925</t>
  </si>
  <si>
    <t>E1829</t>
  </si>
  <si>
    <t>E0089</t>
  </si>
  <si>
    <t>GUSTAVO ELORREAGA MAYANGA</t>
  </si>
  <si>
    <t>E1383</t>
  </si>
  <si>
    <t>GUSTAVO FRANCIS ORTIZ COSTA</t>
  </si>
  <si>
    <t>E0738</t>
  </si>
  <si>
    <t>E1335</t>
  </si>
  <si>
    <t>E1965</t>
  </si>
  <si>
    <t>GUSTAVO VALOIS SINISTERRA</t>
  </si>
  <si>
    <t>E0910</t>
  </si>
  <si>
    <t>E1271</t>
  </si>
  <si>
    <t>HAMAM MOHAMED EL ABBES</t>
  </si>
  <si>
    <t>E0939</t>
  </si>
  <si>
    <t>HAMIDI MILOUD</t>
  </si>
  <si>
    <t>E1185</t>
  </si>
  <si>
    <t>E1503</t>
  </si>
  <si>
    <t>E0525</t>
  </si>
  <si>
    <t>E0438</t>
  </si>
  <si>
    <t>E1833</t>
  </si>
  <si>
    <t>E0532</t>
  </si>
  <si>
    <t>E0251</t>
  </si>
  <si>
    <t>E0993</t>
  </si>
  <si>
    <t>HAROLD STIVEN INCAPIE CUELLAR</t>
  </si>
  <si>
    <t>E1746</t>
  </si>
  <si>
    <t>E1504</t>
  </si>
  <si>
    <t>HAWER PONTON MANCILLA</t>
  </si>
  <si>
    <t>E0849</t>
  </si>
  <si>
    <t>E0086</t>
  </si>
  <si>
    <t>E1505</t>
  </si>
  <si>
    <t>HECTOR ENRIQUE CHAVEZ CONOVILCA</t>
  </si>
  <si>
    <t>E1295</t>
  </si>
  <si>
    <t>E0428</t>
  </si>
  <si>
    <t>E1769</t>
  </si>
  <si>
    <t>E1615</t>
  </si>
  <si>
    <t>E0557</t>
  </si>
  <si>
    <t>HECTOR FABIO TIERRADENTRO GARZON</t>
  </si>
  <si>
    <t>E1728</t>
  </si>
  <si>
    <t>E1074</t>
  </si>
  <si>
    <t>E0418</t>
  </si>
  <si>
    <t>HECTOR GARZON SANCHEZ</t>
  </si>
  <si>
    <t>E0958</t>
  </si>
  <si>
    <t>E0274</t>
  </si>
  <si>
    <t>E0645</t>
  </si>
  <si>
    <t>E1990</t>
  </si>
  <si>
    <t>E1778</t>
  </si>
  <si>
    <t>E0683</t>
  </si>
  <si>
    <t>HECTOR LEONEL MARTINEZ GUERRA</t>
  </si>
  <si>
    <t>E0989</t>
  </si>
  <si>
    <t>E1839</t>
  </si>
  <si>
    <t>E0240</t>
  </si>
  <si>
    <t>E0015</t>
  </si>
  <si>
    <t>E1073</t>
  </si>
  <si>
    <t>E0087</t>
  </si>
  <si>
    <t>E1781</t>
  </si>
  <si>
    <t>E0404</t>
  </si>
  <si>
    <t>E1506</t>
  </si>
  <si>
    <t>E0431</t>
  </si>
  <si>
    <t>E0117</t>
  </si>
  <si>
    <t>HENRIQUE KOPELE COIMBRA</t>
  </si>
  <si>
    <t>E1035</t>
  </si>
  <si>
    <t>E0495</t>
  </si>
  <si>
    <t>E0058</t>
  </si>
  <si>
    <t>HENRY ALEXANDER RAMIREZ</t>
  </si>
  <si>
    <t>E1306</t>
  </si>
  <si>
    <t>HENRY ANDRES VELAZQUEZ GONZALEZ</t>
  </si>
  <si>
    <t>E1743</t>
  </si>
  <si>
    <t>E2008</t>
  </si>
  <si>
    <t>HENRY FIERRO MEDINA</t>
  </si>
  <si>
    <t>E2066</t>
  </si>
  <si>
    <t>E1999</t>
  </si>
  <si>
    <t>HERBENILSON VITORINO MOURA</t>
  </si>
  <si>
    <t>E1010</t>
  </si>
  <si>
    <t>HERBERT RICARDO DA SILVA</t>
  </si>
  <si>
    <t>E1036</t>
  </si>
  <si>
    <t>HERIBERTO GRANDAS HURTADO</t>
  </si>
  <si>
    <t>E1053</t>
  </si>
  <si>
    <t>E1889</t>
  </si>
  <si>
    <t>E0307</t>
  </si>
  <si>
    <t>E0681</t>
  </si>
  <si>
    <t>HERMES ALFONSO NIETO CASTRO</t>
  </si>
  <si>
    <t>E0754</t>
  </si>
  <si>
    <t>HERMES DAVID MEJIA BOSSA</t>
  </si>
  <si>
    <t>E1094</t>
  </si>
  <si>
    <t>E1299</t>
  </si>
  <si>
    <t>E1805</t>
  </si>
  <si>
    <t>E1507</t>
  </si>
  <si>
    <t>HERNAN BERNARDO QUINTERO JARAMILLO</t>
  </si>
  <si>
    <t>E2070</t>
  </si>
  <si>
    <t>E0300</t>
  </si>
  <si>
    <t>E2057</t>
  </si>
  <si>
    <t>E0501</t>
  </si>
  <si>
    <t>E0408</t>
  </si>
  <si>
    <t>E1958</t>
  </si>
  <si>
    <t>E1508</t>
  </si>
  <si>
    <t>HONNY YEIMER COMBINDO DALANTA</t>
  </si>
  <si>
    <t>E1154</t>
  </si>
  <si>
    <t>E1509</t>
  </si>
  <si>
    <t>E1721</t>
  </si>
  <si>
    <t>E0871</t>
  </si>
  <si>
    <t>HUGO ALFREDO DE LA OSSA DE LA CRUZ</t>
  </si>
  <si>
    <t>E1348</t>
  </si>
  <si>
    <t>E1879</t>
  </si>
  <si>
    <t>HUGO ERNESTO SEGURA CASTILLO</t>
  </si>
  <si>
    <t>E1771</t>
  </si>
  <si>
    <t>E0943</t>
  </si>
  <si>
    <t>E1892</t>
  </si>
  <si>
    <t>E0466</t>
  </si>
  <si>
    <t>E0042</t>
  </si>
  <si>
    <t>HUMBERTO JOSE NUÑEZ CANTILLO</t>
  </si>
  <si>
    <t>E0967</t>
  </si>
  <si>
    <t>E1510</t>
  </si>
  <si>
    <t>HUMBERTO RIVERA HERNANDEZ</t>
  </si>
  <si>
    <t>E2038</t>
  </si>
  <si>
    <t>HUMBERTO VERGARA QUINTERO</t>
  </si>
  <si>
    <t>E0735</t>
  </si>
  <si>
    <t>E1803</t>
  </si>
  <si>
    <t>IGNACIO ARCE MOLINA</t>
  </si>
  <si>
    <t>E2025</t>
  </si>
  <si>
    <t>IGOR GABRIEL CARDOSO CAPISTRANO</t>
  </si>
  <si>
    <t>E1309</t>
  </si>
  <si>
    <t>IGOR VINICIUS PEREIRA</t>
  </si>
  <si>
    <t>E0902</t>
  </si>
  <si>
    <t>E1617</t>
  </si>
  <si>
    <t>IRAN JOSE DA SILVA</t>
  </si>
  <si>
    <t>E1037</t>
  </si>
  <si>
    <t>E0022</t>
  </si>
  <si>
    <t>E0724</t>
  </si>
  <si>
    <t>ISAAC REYNEL LOPEZ</t>
  </si>
  <si>
    <t>E0711</t>
  </si>
  <si>
    <t>E1618</t>
  </si>
  <si>
    <t>E0365</t>
  </si>
  <si>
    <t>E1511</t>
  </si>
  <si>
    <t>E0866</t>
  </si>
  <si>
    <t>E0728</t>
  </si>
  <si>
    <t>E1246</t>
  </si>
  <si>
    <t>ISMAEL EDUARDO RAMOS GOMEZ</t>
  </si>
  <si>
    <t>E0858</t>
  </si>
  <si>
    <t>E0193</t>
  </si>
  <si>
    <t>E1992</t>
  </si>
  <si>
    <t>ISRAEL ALEGRIA LUCUMI</t>
  </si>
  <si>
    <t>E1020</t>
  </si>
  <si>
    <t>E0567</t>
  </si>
  <si>
    <t>E0238</t>
  </si>
  <si>
    <t>E2028</t>
  </si>
  <si>
    <t>E0068</t>
  </si>
  <si>
    <t>E0893</t>
  </si>
  <si>
    <t>E0872</t>
  </si>
  <si>
    <t>E0276</t>
  </si>
  <si>
    <t>E0053</t>
  </si>
  <si>
    <t>E0033</t>
  </si>
  <si>
    <t>E0891</t>
  </si>
  <si>
    <t>E0130</t>
  </si>
  <si>
    <t>E1967</t>
  </si>
  <si>
    <t>E0255</t>
  </si>
  <si>
    <t>E1200</t>
  </si>
  <si>
    <t>E0895</t>
  </si>
  <si>
    <t>E0112</t>
  </si>
  <si>
    <t>E0346</t>
  </si>
  <si>
    <t>JAIDER DE JESUS PAREDES LOPEZ</t>
  </si>
  <si>
    <t>E1149</t>
  </si>
  <si>
    <t>JAILER PEREZ MORALES</t>
  </si>
  <si>
    <t>E1966</t>
  </si>
  <si>
    <t>E0311</t>
  </si>
  <si>
    <t>JAILSON FERREIRA BARBOSA</t>
  </si>
  <si>
    <t>E1375</t>
  </si>
  <si>
    <t>E1414</t>
  </si>
  <si>
    <t>E0587</t>
  </si>
  <si>
    <t>E0419</t>
  </si>
  <si>
    <t>E0470</t>
  </si>
  <si>
    <t>E0203</t>
  </si>
  <si>
    <t>E1975</t>
  </si>
  <si>
    <t>E0122</t>
  </si>
  <si>
    <t>E0064</t>
  </si>
  <si>
    <t>E0802</t>
  </si>
  <si>
    <t>JAIR ALEJANDRO PEREZ CASTRO</t>
  </si>
  <si>
    <t>E0942</t>
  </si>
  <si>
    <t>E1187</t>
  </si>
  <si>
    <t>E1709</t>
  </si>
  <si>
    <t>E1927</t>
  </si>
  <si>
    <t>E0056</t>
  </si>
  <si>
    <t>E1070</t>
  </si>
  <si>
    <t>E1113</t>
  </si>
  <si>
    <t>E1307</t>
  </si>
  <si>
    <t>E1701</t>
  </si>
  <si>
    <t>E0385</t>
  </si>
  <si>
    <t>E0054</t>
  </si>
  <si>
    <t>E0280</t>
  </si>
  <si>
    <t>E0611</t>
  </si>
  <si>
    <t>JAIRO TROYANO LEUDO</t>
  </si>
  <si>
    <t>E1447</t>
  </si>
  <si>
    <t>E0384</t>
  </si>
  <si>
    <t>E0705</t>
  </si>
  <si>
    <t>JAMES RODRIGO NEIRA CASTRO</t>
  </si>
  <si>
    <t>E0776</t>
  </si>
  <si>
    <t>E0673</t>
  </si>
  <si>
    <t>E1512</t>
  </si>
  <si>
    <t>E0318</t>
  </si>
  <si>
    <t>E1513</t>
  </si>
  <si>
    <t>JARDEL RICARDO ROBINSON</t>
  </si>
  <si>
    <t>E0918</t>
  </si>
  <si>
    <t>E0623</t>
  </si>
  <si>
    <t>E1514</t>
  </si>
  <si>
    <t>E1515</t>
  </si>
  <si>
    <t>E1147</t>
  </si>
  <si>
    <t>E0076</t>
  </si>
  <si>
    <t>E1974</t>
  </si>
  <si>
    <t>E0830</t>
  </si>
  <si>
    <t>E1924</t>
  </si>
  <si>
    <t>E1747</t>
  </si>
  <si>
    <t>JAVIER EDUARDO VILLA ARRIETA</t>
  </si>
  <si>
    <t>E0911</t>
  </si>
  <si>
    <t>E1435</t>
  </si>
  <si>
    <t>E2001</t>
  </si>
  <si>
    <t>E1675</t>
  </si>
  <si>
    <t>E1674</t>
  </si>
  <si>
    <t>E2071</t>
  </si>
  <si>
    <t>E0642</t>
  </si>
  <si>
    <t>E0509</t>
  </si>
  <si>
    <t>JAVIER MELENDEZ ALVARADO</t>
  </si>
  <si>
    <t>E0794</t>
  </si>
  <si>
    <t>E1796</t>
  </si>
  <si>
    <t>E1786</t>
  </si>
  <si>
    <t>E0067</t>
  </si>
  <si>
    <t>E0205</t>
  </si>
  <si>
    <t>E0894</t>
  </si>
  <si>
    <t>JEAN CARLO DOS SANTOS BUDZIAK</t>
  </si>
  <si>
    <t>E1214</t>
  </si>
  <si>
    <t>E0097</t>
  </si>
  <si>
    <t>E2037</t>
  </si>
  <si>
    <t>E0504</t>
  </si>
  <si>
    <t>JEAN LANCE</t>
  </si>
  <si>
    <t>E1011</t>
  </si>
  <si>
    <t>E1518</t>
  </si>
  <si>
    <t>JEFERSON HORACIO VARGAS QUINTERO</t>
  </si>
  <si>
    <t>E0682</t>
  </si>
  <si>
    <t>E0820</t>
  </si>
  <si>
    <t>E1519</t>
  </si>
  <si>
    <t>E0398</t>
  </si>
  <si>
    <t>E0182</t>
  </si>
  <si>
    <t>E0502</t>
  </si>
  <si>
    <t>E0953</t>
  </si>
  <si>
    <t>E1662</t>
  </si>
  <si>
    <t>E0198</t>
  </si>
  <si>
    <t>JEISON DAVID RIVAS OVIEDO</t>
  </si>
  <si>
    <t>E1521</t>
  </si>
  <si>
    <t>E0321</t>
  </si>
  <si>
    <t>JEISON FARID BENITEZ RODRIGUEZ</t>
  </si>
  <si>
    <t>E0696</t>
  </si>
  <si>
    <t>E1950</t>
  </si>
  <si>
    <t>JEISON GUTIERREZ MARTINEZ</t>
  </si>
  <si>
    <t>E1962</t>
  </si>
  <si>
    <t>E1851</t>
  </si>
  <si>
    <t>JEISSON JAVIER SUAREZ ROJAS</t>
  </si>
  <si>
    <t>E0954</t>
  </si>
  <si>
    <t>JEMIS ANDRE PETER FLORINDEZ SILVA</t>
  </si>
  <si>
    <t>E0695</t>
  </si>
  <si>
    <t>JEREMIAS JOSÉ DA SILVA LESSA</t>
  </si>
  <si>
    <t>E1248</t>
  </si>
  <si>
    <t>E1665</t>
  </si>
  <si>
    <t>E0382</t>
  </si>
  <si>
    <t>E0660</t>
  </si>
  <si>
    <t>JESUS ALBERTO CANTILLO ESCORCIA</t>
  </si>
  <si>
    <t>E1158</t>
  </si>
  <si>
    <t>E0065</t>
  </si>
  <si>
    <t>JESUS ANTONIO CAÑON PEÑA</t>
  </si>
  <si>
    <t>E0773</t>
  </si>
  <si>
    <t>E0450</t>
  </si>
  <si>
    <t>E0101</t>
  </si>
  <si>
    <t>E0468</t>
  </si>
  <si>
    <t>E0146</t>
  </si>
  <si>
    <t>JESUS DAVID VILLA GONZALEZ</t>
  </si>
  <si>
    <t>E0647</t>
  </si>
  <si>
    <t>JESUS ELIECER ALVAREZ</t>
  </si>
  <si>
    <t>E1904</t>
  </si>
  <si>
    <t>E1772</t>
  </si>
  <si>
    <t>JESUS EMILIO CASTILLO SALAZAR</t>
  </si>
  <si>
    <t>E1978</t>
  </si>
  <si>
    <t>E1522</t>
  </si>
  <si>
    <t>E1204</t>
  </si>
  <si>
    <t>E0044</t>
  </si>
  <si>
    <t>E0137</t>
  </si>
  <si>
    <t>JHAN CARLOS SALAS HERRERA</t>
  </si>
  <si>
    <t>E1934</t>
  </si>
  <si>
    <t>E0391</t>
  </si>
  <si>
    <t>E0430</t>
  </si>
  <si>
    <t>E0148</t>
  </si>
  <si>
    <t>E0199</t>
  </si>
  <si>
    <t>JHOAN ANDRES SANCHEZ PEDRAZA</t>
  </si>
  <si>
    <t>E0761</t>
  </si>
  <si>
    <t>E1872</t>
  </si>
  <si>
    <t>E0029</t>
  </si>
  <si>
    <t>E1744</t>
  </si>
  <si>
    <t>E0196</t>
  </si>
  <si>
    <t>E0707</t>
  </si>
  <si>
    <t>E0766</t>
  </si>
  <si>
    <t>E2049</t>
  </si>
  <si>
    <t>E0936</t>
  </si>
  <si>
    <t>JHON ANDERSON PEREA RUEDA</t>
  </si>
  <si>
    <t>E1298</t>
  </si>
  <si>
    <t>E1981</t>
  </si>
  <si>
    <t>E0351</t>
  </si>
  <si>
    <t>E1523</t>
  </si>
  <si>
    <t>E0308</t>
  </si>
  <si>
    <t>E1372</t>
  </si>
  <si>
    <t>E1415</t>
  </si>
  <si>
    <t>JHON ERICSON SANTOS CARVALHO</t>
  </si>
  <si>
    <t>E1177</t>
  </si>
  <si>
    <t>E0628</t>
  </si>
  <si>
    <t>E1690</t>
  </si>
  <si>
    <t>JHON FREDY BOLANOS</t>
  </si>
  <si>
    <t>E1082</t>
  </si>
  <si>
    <t>JHON FREDY GIRALDO MUÑOZ</t>
  </si>
  <si>
    <t>E0659</t>
  </si>
  <si>
    <t>E1961</t>
  </si>
  <si>
    <t>JHON FREDYS ESTOR PALLARES</t>
  </si>
  <si>
    <t>E0855</t>
  </si>
  <si>
    <t>E1132</t>
  </si>
  <si>
    <t>E0416</t>
  </si>
  <si>
    <t>E0040</t>
  </si>
  <si>
    <t>E1524</t>
  </si>
  <si>
    <t>JHON JAIRO FLOREZ CISNEROS</t>
  </si>
  <si>
    <t>E1304</t>
  </si>
  <si>
    <t>E0614</t>
  </si>
  <si>
    <t>E1416</t>
  </si>
  <si>
    <t>E1525</t>
  </si>
  <si>
    <t>E0322</t>
  </si>
  <si>
    <t>E1865</t>
  </si>
  <si>
    <t>JHON MILLER VISCATIVA MARTINEZ</t>
  </si>
  <si>
    <t>E1239</t>
  </si>
  <si>
    <t>E1929</t>
  </si>
  <si>
    <t>JHON SEBASTIAN BUITRAGO ANGEL</t>
  </si>
  <si>
    <t>E0777</t>
  </si>
  <si>
    <t>E1980</t>
  </si>
  <si>
    <t>JHONATAN ALEJANDRO PEREA HIGUERA</t>
  </si>
  <si>
    <t>E1591</t>
  </si>
  <si>
    <t>JHONATAN ALEXIS VELEZ MACHADO</t>
  </si>
  <si>
    <t>E1389</t>
  </si>
  <si>
    <t>E1526</t>
  </si>
  <si>
    <t>JHONATAN DAVID SARRIA ORTIZ</t>
  </si>
  <si>
    <t>E0816</t>
  </si>
  <si>
    <t>JHONATAN JADIR SOLANO HERNANDEZ</t>
  </si>
  <si>
    <t>E0817</t>
  </si>
  <si>
    <t>E1527</t>
  </si>
  <si>
    <t>JHONATHAN ALEXIS VALDERRAMA BLANCO</t>
  </si>
  <si>
    <t>E0808</t>
  </si>
  <si>
    <t>E0524</t>
  </si>
  <si>
    <t>E0789</t>
  </si>
  <si>
    <t>E1956</t>
  </si>
  <si>
    <t>E0127</t>
  </si>
  <si>
    <t>E0381</t>
  </si>
  <si>
    <t>E0352</t>
  </si>
  <si>
    <t>E1685</t>
  </si>
  <si>
    <t>E1065</t>
  </si>
  <si>
    <t>E0216</t>
  </si>
  <si>
    <t>E1079</t>
  </si>
  <si>
    <t>E1852</t>
  </si>
  <si>
    <t>JHOSEPH LEANDRO MAYOR PIEDRAHITA</t>
  </si>
  <si>
    <t>E0881</t>
  </si>
  <si>
    <t>E0123</t>
  </si>
  <si>
    <t>E0206</t>
  </si>
  <si>
    <t>E1883</t>
  </si>
  <si>
    <t>JIMMY RICHARD ROBLES USHINAHUA</t>
  </si>
  <si>
    <t>E1342</t>
  </si>
  <si>
    <t>JOANDERSON DOS SANTOS LOBO</t>
  </si>
  <si>
    <t>E1059</t>
  </si>
  <si>
    <t>JOÃO ALDAIR OSORIO OROZCO</t>
  </si>
  <si>
    <t>E1808</t>
  </si>
  <si>
    <t>JOAO BATISTA MARQUES PEREIRA</t>
  </si>
  <si>
    <t>E1022</t>
  </si>
  <si>
    <t>JOÃO CARLOS PEREIRA MACHADO</t>
  </si>
  <si>
    <t>E0982</t>
  </si>
  <si>
    <t>JOÃO PAULO FIGUEIROA SANTOS</t>
  </si>
  <si>
    <t>E1038</t>
  </si>
  <si>
    <t>E0421</t>
  </si>
  <si>
    <t>JOELSON RODRIGUES</t>
  </si>
  <si>
    <t>E0903</t>
  </si>
  <si>
    <t>E1670</t>
  </si>
  <si>
    <t>JOHAN ANDRÉS HERRERA RUGE</t>
  </si>
  <si>
    <t>E1528</t>
  </si>
  <si>
    <t>JOHAN MAURICIO MORENO QUINTANA</t>
  </si>
  <si>
    <t>E1274</t>
  </si>
  <si>
    <t>E1993</t>
  </si>
  <si>
    <t>E1275</t>
  </si>
  <si>
    <t>E0824</t>
  </si>
  <si>
    <t>E0512</t>
  </si>
  <si>
    <t>JOHN CALDERON SANCHEZ</t>
  </si>
  <si>
    <t>E1062</t>
  </si>
  <si>
    <t>JOHN EDGAR QUIMBAYO TORO</t>
  </si>
  <si>
    <t>E0786</t>
  </si>
  <si>
    <t>JOHN EDUARD FUENTES PINILLA</t>
  </si>
  <si>
    <t>E0672</t>
  </si>
  <si>
    <t>E0555</t>
  </si>
  <si>
    <t>E0108</t>
  </si>
  <si>
    <t>E0492</t>
  </si>
  <si>
    <t>E2023</t>
  </si>
  <si>
    <t>E1529</t>
  </si>
  <si>
    <t>E0691</t>
  </si>
  <si>
    <t>E0355</t>
  </si>
  <si>
    <t>E0547</t>
  </si>
  <si>
    <t>E0725</t>
  </si>
  <si>
    <t>E0268</t>
  </si>
  <si>
    <t>E1093</t>
  </si>
  <si>
    <t>E0211</t>
  </si>
  <si>
    <t>E1782</t>
  </si>
  <si>
    <t>JONAS SILVA DOS SANTOS</t>
  </si>
  <si>
    <t>E1120</t>
  </si>
  <si>
    <t>E1991</t>
  </si>
  <si>
    <t>JONATAN OCHOA GAMBOA</t>
  </si>
  <si>
    <t>E1168</t>
  </si>
  <si>
    <t>JONATAN ROBINSON CEBALLOS PEREZ</t>
  </si>
  <si>
    <t>E0860</t>
  </si>
  <si>
    <t>E0069</t>
  </si>
  <si>
    <t>E0552</t>
  </si>
  <si>
    <t>E1763</t>
  </si>
  <si>
    <t>JONATHAN ALVARO CHAVARRO CORDOBA</t>
  </si>
  <si>
    <t>E0929</t>
  </si>
  <si>
    <t>E0301</t>
  </si>
  <si>
    <t>E0591</t>
  </si>
  <si>
    <t>E0171</t>
  </si>
  <si>
    <t>E0585</t>
  </si>
  <si>
    <t>E0017</t>
  </si>
  <si>
    <t>E1530</t>
  </si>
  <si>
    <t>JONATHAN RICARDO TINJACA COLMENARES</t>
  </si>
  <si>
    <t>E1683</t>
  </si>
  <si>
    <t>JONATHAN RODRIGUES DE SOUZA</t>
  </si>
  <si>
    <t>E1039</t>
  </si>
  <si>
    <t>E0034</t>
  </si>
  <si>
    <t>JORDY STEVAN VARGAS FIGUEROA</t>
  </si>
  <si>
    <t>E1725</t>
  </si>
  <si>
    <t>JORGE ALBERTO CACHAYA CARDOSO</t>
  </si>
  <si>
    <t>E0885</t>
  </si>
  <si>
    <t>E0109</t>
  </si>
  <si>
    <t>E0731</t>
  </si>
  <si>
    <t>JORGE ALEXANDER GUEVARA PEÑA</t>
  </si>
  <si>
    <t>E1146</t>
  </si>
  <si>
    <t>JORGE ANASTACIO FILHO</t>
  </si>
  <si>
    <t>E1040</t>
  </si>
  <si>
    <t>E0028</t>
  </si>
  <si>
    <t>E1698</t>
  </si>
  <si>
    <t>E1531</t>
  </si>
  <si>
    <t>JORGE ARLEX MARTINEZ MENDEZ</t>
  </si>
  <si>
    <t>E0920</t>
  </si>
  <si>
    <t>E0164</t>
  </si>
  <si>
    <t>JORGE ARMANDO DIAZ FLOREZ</t>
  </si>
  <si>
    <t>E1241</t>
  </si>
  <si>
    <t>E0671</t>
  </si>
  <si>
    <t>E0014</t>
  </si>
  <si>
    <t>E1715</t>
  </si>
  <si>
    <t>JORGE DUVAN GONZALEZ CARDONA</t>
  </si>
  <si>
    <t>E1153</t>
  </si>
  <si>
    <t>E1757</t>
  </si>
  <si>
    <t>E1532</t>
  </si>
  <si>
    <t>JORGE ELIECER NAVARRO PALOMINO</t>
  </si>
  <si>
    <t>E0876</t>
  </si>
  <si>
    <t>E1167</t>
  </si>
  <si>
    <t>E0376</t>
  </si>
  <si>
    <t>JORGE ENRIQUE GUERRA VEGA</t>
  </si>
  <si>
    <t>E0845</t>
  </si>
  <si>
    <t>E0518</t>
  </si>
  <si>
    <t>JORGE ENRIQUE OSPINA GARCES</t>
  </si>
  <si>
    <t>E1900</t>
  </si>
  <si>
    <t>E1671</t>
  </si>
  <si>
    <t>E1756</t>
  </si>
  <si>
    <t>E1669</t>
  </si>
  <si>
    <t>JORGE IVAN CATAÑO CASTAÑO</t>
  </si>
  <si>
    <t>E0755</t>
  </si>
  <si>
    <t>E1446</t>
  </si>
  <si>
    <t>E0818</t>
  </si>
  <si>
    <t>E0533</t>
  </si>
  <si>
    <t>JORGE JAVIER BETANCOUTH HERNANDEZ</t>
  </si>
  <si>
    <t>E0904</t>
  </si>
  <si>
    <t>E1680</t>
  </si>
  <si>
    <t>E1533</t>
  </si>
  <si>
    <t>E1437</t>
  </si>
  <si>
    <t>E0380</t>
  </si>
  <si>
    <t>E0597</t>
  </si>
  <si>
    <t>E0379</t>
  </si>
  <si>
    <t>E1664</t>
  </si>
  <si>
    <t>E0215</t>
  </si>
  <si>
    <t>E0002</t>
  </si>
  <si>
    <t>E1534</t>
  </si>
  <si>
    <t>E1896</t>
  </si>
  <si>
    <t>E1325</t>
  </si>
  <si>
    <t>JORGE LUIS TAMARA ABIANTUN</t>
  </si>
  <si>
    <t>E1145</t>
  </si>
  <si>
    <t>JORGE LUIS VILLAREAL ESPINOZA</t>
  </si>
  <si>
    <t>E1867</t>
  </si>
  <si>
    <t>E0490</t>
  </si>
  <si>
    <t>E0560</t>
  </si>
  <si>
    <t>JORGE RICHARD INFANTE VILLANUEVA</t>
  </si>
  <si>
    <t>E0718</t>
  </si>
  <si>
    <t>JORGE YORDAN HERNANDEZ RONDON</t>
  </si>
  <si>
    <t>E0896</t>
  </si>
  <si>
    <t>E1944</t>
  </si>
  <si>
    <t>JORMAN ELCIN AGUDELO PEREZ</t>
  </si>
  <si>
    <t>E0846</t>
  </si>
  <si>
    <t>E0952</t>
  </si>
  <si>
    <t>JOSE ALEJANDRO PINEDA GONZALEZ</t>
  </si>
  <si>
    <t>E0843</t>
  </si>
  <si>
    <t>E1536</t>
  </si>
  <si>
    <t>E0378</t>
  </si>
  <si>
    <t>E0437</t>
  </si>
  <si>
    <t>JOSE ALVES</t>
  </si>
  <si>
    <t>E0905</t>
  </si>
  <si>
    <t>E1417</t>
  </si>
  <si>
    <t>JOSE ANDERSON SILVA DOS SANTOS</t>
  </si>
  <si>
    <t>E0804</t>
  </si>
  <si>
    <t>E0658</t>
  </si>
  <si>
    <t>JOSE ANDRES CASTILLO</t>
  </si>
  <si>
    <t>E1124</t>
  </si>
  <si>
    <t>E1427</t>
  </si>
  <si>
    <t>JOSE ANGEL CARREÑO REMOLINA</t>
  </si>
  <si>
    <t>E1104</t>
  </si>
  <si>
    <t>E0605</t>
  </si>
  <si>
    <t>E2061</t>
  </si>
  <si>
    <t>E0377</t>
  </si>
  <si>
    <t>JOSE ANTONIO RIVILLAS ROJO</t>
  </si>
  <si>
    <t>E1706</t>
  </si>
  <si>
    <t>E1875</t>
  </si>
  <si>
    <t>E1997</t>
  </si>
  <si>
    <t>JOSE ARISTIDES PATIÑO CABRERA</t>
  </si>
  <si>
    <t>E1294</t>
  </si>
  <si>
    <t>E0353</t>
  </si>
  <si>
    <t>E1428</t>
  </si>
  <si>
    <t>JOSE CARLOS HUAMAN LOBATO</t>
  </si>
  <si>
    <t>E1901</t>
  </si>
  <si>
    <t>JOSÉ DANIEL RESTREPO RODRÍGUEZ</t>
  </si>
  <si>
    <t>E1537</t>
  </si>
  <si>
    <t>E0291</t>
  </si>
  <si>
    <t>E0163</t>
  </si>
  <si>
    <t>JOSE DO CARMO RODRIGUES DOS SANTOS</t>
  </si>
  <si>
    <t>E0771</t>
  </si>
  <si>
    <t>JOSE EDER VALLEJO YAMA</t>
  </si>
  <si>
    <t>E1096</t>
  </si>
  <si>
    <t>E0390</t>
  </si>
  <si>
    <t>E1080</t>
  </si>
  <si>
    <t>E0181</t>
  </si>
  <si>
    <t>E0110</t>
  </si>
  <si>
    <t>E0212</t>
  </si>
  <si>
    <t>JOSE ERDUBEY SALGADO GOMEZ</t>
  </si>
  <si>
    <t>E1144</t>
  </si>
  <si>
    <t>E1538</t>
  </si>
  <si>
    <t>E0298</t>
  </si>
  <si>
    <t>E0260</t>
  </si>
  <si>
    <t>E1971</t>
  </si>
  <si>
    <t>JOSE FRAIDA DOS SANTOS</t>
  </si>
  <si>
    <t>E0775</t>
  </si>
  <si>
    <t>E1777</t>
  </si>
  <si>
    <t>E0227</t>
  </si>
  <si>
    <t>JOSE GERARDO GIRALDO NIETO</t>
  </si>
  <si>
    <t>E1387</t>
  </si>
  <si>
    <t>E0981</t>
  </si>
  <si>
    <t>E0461</t>
  </si>
  <si>
    <t>E1969</t>
  </si>
  <si>
    <t>E1296</t>
  </si>
  <si>
    <t>JOSE HELIO AMORIM DA SILVA JUNIOR</t>
  </si>
  <si>
    <t>E1353</t>
  </si>
  <si>
    <t>E0090</t>
  </si>
  <si>
    <t>JOSE HERNEY RESTREPO MURIEL</t>
  </si>
  <si>
    <t>E0654</t>
  </si>
  <si>
    <t>E1954</t>
  </si>
  <si>
    <t>E0439</t>
  </si>
  <si>
    <t>E1539</t>
  </si>
  <si>
    <t>E1629</t>
  </si>
  <si>
    <t>E0561</t>
  </si>
  <si>
    <t>E1066</t>
  </si>
  <si>
    <t>E0248</t>
  </si>
  <si>
    <t>E1687</t>
  </si>
  <si>
    <t>E1143</t>
  </si>
  <si>
    <t>E1799</t>
  </si>
  <si>
    <t>E0441</t>
  </si>
  <si>
    <t>JOSE LIBARDO CAMACHO ZAMUDIO</t>
  </si>
  <si>
    <t>E2030</t>
  </si>
  <si>
    <t>E1825</t>
  </si>
  <si>
    <t>E2036</t>
  </si>
  <si>
    <t>E0399</t>
  </si>
  <si>
    <t>E0978</t>
  </si>
  <si>
    <t>JOSE LUIS PETRO GENES</t>
  </si>
  <si>
    <t>E1343</t>
  </si>
  <si>
    <t>JOSE LUIS SAEZ RIVERO</t>
  </si>
  <si>
    <t>E1688</t>
  </si>
  <si>
    <t>E1540</t>
  </si>
  <si>
    <t>JOSE MANUEL CEDEÑO MARTINEZ</t>
  </si>
  <si>
    <t>E1630</t>
  </si>
  <si>
    <t>E1912</t>
  </si>
  <si>
    <t>E1222</t>
  </si>
  <si>
    <t>JOSE MANUEL MORALES TUDARE</t>
  </si>
  <si>
    <t>E1947</t>
  </si>
  <si>
    <t>E1795</t>
  </si>
  <si>
    <t>JOSE NELSON OLAYA OLAYA</t>
  </si>
  <si>
    <t>E1291</t>
  </si>
  <si>
    <t>E1952</t>
  </si>
  <si>
    <t>E1732</t>
  </si>
  <si>
    <t>E0489</t>
  </si>
  <si>
    <t>E0324</t>
  </si>
  <si>
    <t>E1858</t>
  </si>
  <si>
    <t>E0540</t>
  </si>
  <si>
    <t>E1097</t>
  </si>
  <si>
    <t>E1820</t>
  </si>
  <si>
    <t>E0244</t>
  </si>
  <si>
    <t>E1284</t>
  </si>
  <si>
    <t>E0293</t>
  </si>
  <si>
    <t>E1023</t>
  </si>
  <si>
    <t>E0474</t>
  </si>
  <si>
    <t>E1541</t>
  </si>
  <si>
    <t>E0443</t>
  </si>
  <si>
    <t>E1843</t>
  </si>
  <si>
    <t>E0426</t>
  </si>
  <si>
    <t>E0304</t>
  </si>
  <si>
    <t>E0162</t>
  </si>
  <si>
    <t>E0190</t>
  </si>
  <si>
    <t>E1848</t>
  </si>
  <si>
    <t>JUAN CAMILO ESPINOZA VILLEGAS</t>
  </si>
  <si>
    <t>E2042</t>
  </si>
  <si>
    <t>JUAN CAMILO HERRERA DAZA</t>
  </si>
  <si>
    <t>E1542</t>
  </si>
  <si>
    <t>JUAN CAMILO SERNA SOLARTE</t>
  </si>
  <si>
    <t>E0787</t>
  </si>
  <si>
    <t>E0267</t>
  </si>
  <si>
    <t>JUAN CARLOS AMARILLA CORREA</t>
  </si>
  <si>
    <t>E1935</t>
  </si>
  <si>
    <t>E0484</t>
  </si>
  <si>
    <t>E0395</t>
  </si>
  <si>
    <t>E0093</t>
  </si>
  <si>
    <t>E0031</t>
  </si>
  <si>
    <t>E0889</t>
  </si>
  <si>
    <t>E1189</t>
  </si>
  <si>
    <t>JUAN CARLOS MEZA MEDINA</t>
  </si>
  <si>
    <t>E0627</t>
  </si>
  <si>
    <t>JUAN CARLOS MUNOZ</t>
  </si>
  <si>
    <t>E0698</t>
  </si>
  <si>
    <t>E1240</t>
  </si>
  <si>
    <t>E0323</t>
  </si>
  <si>
    <t>JUAN CARLOS SANABRIA SUAREZ</t>
  </si>
  <si>
    <t>E1091</t>
  </si>
  <si>
    <t>E0050</t>
  </si>
  <si>
    <t>E1199</t>
  </si>
  <si>
    <t>E1543</t>
  </si>
  <si>
    <t>E0105</t>
  </si>
  <si>
    <t>E0263</t>
  </si>
  <si>
    <t>E2065</t>
  </si>
  <si>
    <t>E1544</t>
  </si>
  <si>
    <t>E1340</t>
  </si>
  <si>
    <t>E1755</t>
  </si>
  <si>
    <t>E1693</t>
  </si>
  <si>
    <t>JUAN DAVID LUNA PARRA</t>
  </si>
  <si>
    <t>E1633</t>
  </si>
  <si>
    <t>E1696</t>
  </si>
  <si>
    <t>E0261</t>
  </si>
  <si>
    <t>JUAN EMILIO REBOLLEDO SANCHEZ</t>
  </si>
  <si>
    <t>E1870</t>
  </si>
  <si>
    <t>E0165</t>
  </si>
  <si>
    <t>E1988</t>
  </si>
  <si>
    <t>E1794</t>
  </si>
  <si>
    <t>E0236</t>
  </si>
  <si>
    <t>E0037</t>
  </si>
  <si>
    <t>E1930</t>
  </si>
  <si>
    <t>E0409</t>
  </si>
  <si>
    <t>E0679</t>
  </si>
  <si>
    <t>E1429</t>
  </si>
  <si>
    <t>E0055</t>
  </si>
  <si>
    <t>E1545</t>
  </si>
  <si>
    <t>JUAN HUMBERTO ROSALES BAZAN</t>
  </si>
  <si>
    <t>E0867</t>
  </si>
  <si>
    <t>E1344</t>
  </si>
  <si>
    <t>E1071</t>
  </si>
  <si>
    <t>JUAN MANUEL CIRO</t>
  </si>
  <si>
    <t>E0957</t>
  </si>
  <si>
    <t>E0799</t>
  </si>
  <si>
    <t>E1845</t>
  </si>
  <si>
    <t>E0604</t>
  </si>
  <si>
    <t>E0568</t>
  </si>
  <si>
    <t>E1894</t>
  </si>
  <si>
    <t>E0770</t>
  </si>
  <si>
    <t>E0314</t>
  </si>
  <si>
    <t>E1726</t>
  </si>
  <si>
    <t>E1377</t>
  </si>
  <si>
    <t>E0102</t>
  </si>
  <si>
    <t>JUAN SEBASTIAN RODRIGUEZ URUETA</t>
  </si>
  <si>
    <t>E0962</t>
  </si>
  <si>
    <t>E0333</t>
  </si>
  <si>
    <t>E2000</t>
  </si>
  <si>
    <t>E1885</t>
  </si>
  <si>
    <t>E1430</t>
  </si>
  <si>
    <t>E0306</t>
  </si>
  <si>
    <t>E0174</t>
  </si>
  <si>
    <t>E0716</t>
  </si>
  <si>
    <t>E0369</t>
  </si>
  <si>
    <t>E0941</t>
  </si>
  <si>
    <t>E0440</t>
  </si>
  <si>
    <t>JULIAN HERNANDO VERA MERCADO</t>
  </si>
  <si>
    <t>E1276</t>
  </si>
  <si>
    <t>E0417</t>
  </si>
  <si>
    <t>E2004</t>
  </si>
  <si>
    <t>E1092</t>
  </si>
  <si>
    <t>E0410</t>
  </si>
  <si>
    <t>JULIO ANDRES ROCA FLOREZ</t>
  </si>
  <si>
    <t>E1025</t>
  </si>
  <si>
    <t>E0639</t>
  </si>
  <si>
    <t>JULIO CESAR BOLIVAR TORRES</t>
  </si>
  <si>
    <t>E0912</t>
  </si>
  <si>
    <t>E0043</t>
  </si>
  <si>
    <t>E1546</t>
  </si>
  <si>
    <t>E1547</t>
  </si>
  <si>
    <t>E1592</t>
  </si>
  <si>
    <t>JULIO CESAR OSPINA MONTANEZ</t>
  </si>
  <si>
    <t>E2039</t>
  </si>
  <si>
    <t>E0375</t>
  </si>
  <si>
    <t>E1827</t>
  </si>
  <si>
    <t>E1067</t>
  </si>
  <si>
    <t>E1068</t>
  </si>
  <si>
    <t>JULIO ZAMBRANO</t>
  </si>
  <si>
    <t>E1233</t>
  </si>
  <si>
    <t>JURACY MOSQUERA DIAS</t>
  </si>
  <si>
    <t>E0963</t>
  </si>
  <si>
    <t>Jurandir Moreira</t>
  </si>
  <si>
    <t>E1012</t>
  </si>
  <si>
    <t>JURGEN COGOLLO CUARTAS</t>
  </si>
  <si>
    <t>E0927</t>
  </si>
  <si>
    <t>JUSED CHAMORRO MENDEZ</t>
  </si>
  <si>
    <t>E1548</t>
  </si>
  <si>
    <t>JUTAI MELO PEREIRA</t>
  </si>
  <si>
    <t>E1121</t>
  </si>
  <si>
    <t>JUVENAL DE LA ROSA GUERRERO</t>
  </si>
  <si>
    <t>E1169</t>
  </si>
  <si>
    <t>E1320</t>
  </si>
  <si>
    <t>E0478</t>
  </si>
  <si>
    <t>E1049</t>
  </si>
  <si>
    <t>E0693</t>
  </si>
  <si>
    <t>E0425</t>
  </si>
  <si>
    <t>E0025</t>
  </si>
  <si>
    <t>KEVIN LISANDRO PINEDA LEIVA</t>
  </si>
  <si>
    <t>E0772</t>
  </si>
  <si>
    <t>E0584</t>
  </si>
  <si>
    <t>KEVIN VIDES MARTINEZ</t>
  </si>
  <si>
    <t>E1983</t>
  </si>
  <si>
    <t>E0988</t>
  </si>
  <si>
    <t>KEYLER JAVYD MERLANO CERVANTES</t>
  </si>
  <si>
    <t>E1963</t>
  </si>
  <si>
    <t>E0641</t>
  </si>
  <si>
    <t>KILMER RAFAEL ALVAREZ GUZMAN</t>
  </si>
  <si>
    <t>E0832</t>
  </si>
  <si>
    <t>E1175</t>
  </si>
  <si>
    <t>E0413</t>
  </si>
  <si>
    <t>LEANDRO ANTONIO GONZALEZ BOLIBAR</t>
  </si>
  <si>
    <t>E1347</t>
  </si>
  <si>
    <t>LEANDRO MATIAS ENCINA</t>
  </si>
  <si>
    <t>E0668</t>
  </si>
  <si>
    <t>E0951</t>
  </si>
  <si>
    <t>E0892</t>
  </si>
  <si>
    <t>LEIBINSON HINESTROZA MURILLO</t>
  </si>
  <si>
    <t>E0968</t>
  </si>
  <si>
    <t>E0281</t>
  </si>
  <si>
    <t>E1814</t>
  </si>
  <si>
    <t>E1422</t>
  </si>
  <si>
    <t>E0259</t>
  </si>
  <si>
    <t>E1423</t>
  </si>
  <si>
    <t>E0051</t>
  </si>
  <si>
    <t>E1813</t>
  </si>
  <si>
    <t>LEONARDO SILVA LOPES</t>
  </si>
  <si>
    <t>E1362</t>
  </si>
  <si>
    <t>E1242</t>
  </si>
  <si>
    <t>E0488</t>
  </si>
  <si>
    <t>E1959</t>
  </si>
  <si>
    <t>LUCAS EZEQUIEL RODRIGUEZ</t>
  </si>
  <si>
    <t>E0887</t>
  </si>
  <si>
    <t>E1314</t>
  </si>
  <si>
    <t>LUCAS SANTOS DIONISIO</t>
  </si>
  <si>
    <t>E1041</t>
  </si>
  <si>
    <t>E0541</t>
  </si>
  <si>
    <t>E1258</t>
  </si>
  <si>
    <t>LUCIANO PEREIRA DA SILVA</t>
  </si>
  <si>
    <t>E1057</t>
  </si>
  <si>
    <t>LUCIANO RIVALDINO IRRAÇABAL</t>
  </si>
  <si>
    <t>E0964</t>
  </si>
  <si>
    <t>LUCIO MODESTO BRAVO</t>
  </si>
  <si>
    <t>E1550</t>
  </si>
  <si>
    <t>LUDWING ALBERTO FLECHAS HERNANDEZ</t>
  </si>
  <si>
    <t>E1804</t>
  </si>
  <si>
    <t>E0027</t>
  </si>
  <si>
    <t>E0564</t>
  </si>
  <si>
    <t>E1681</t>
  </si>
  <si>
    <t>E1866</t>
  </si>
  <si>
    <t>LUIS ALBERTO CATALAN MORENO</t>
  </si>
  <si>
    <t>E0913</t>
  </si>
  <si>
    <t>E0344</t>
  </si>
  <si>
    <t>E1266</t>
  </si>
  <si>
    <t>LUIS ALBERTO HERRERA CHAVARRO</t>
  </si>
  <si>
    <t>E1931</t>
  </si>
  <si>
    <t>E0131</t>
  </si>
  <si>
    <t>E1203</t>
  </si>
  <si>
    <t>E0066</t>
  </si>
  <si>
    <t>LUIS ALBERTO SOTO ARANDA</t>
  </si>
  <si>
    <t>E1551</t>
  </si>
  <si>
    <t>E0228</t>
  </si>
  <si>
    <t>E0765</t>
  </si>
  <si>
    <t>LUIS ALEJANDRO CORTES GONZALEZ</t>
  </si>
  <si>
    <t>E2044</t>
  </si>
  <si>
    <t>E1942</t>
  </si>
  <si>
    <t>E0556</t>
  </si>
  <si>
    <t>LUIS ALFONSO RIASCOS TORRES</t>
  </si>
  <si>
    <t>E0708</t>
  </si>
  <si>
    <t>E1785</t>
  </si>
  <si>
    <t>LUIS ALFREDO FIGUEROA</t>
  </si>
  <si>
    <t>E0833</t>
  </si>
  <si>
    <t>E1953</t>
  </si>
  <si>
    <t>E0514</t>
  </si>
  <si>
    <t>E1893</t>
  </si>
  <si>
    <t>E1369</t>
  </si>
  <si>
    <t>LUIS ANGEL TELLO GONZALES</t>
  </si>
  <si>
    <t>E0879</t>
  </si>
  <si>
    <t>E1552</t>
  </si>
  <si>
    <t>E2032</t>
  </si>
  <si>
    <t>E1089</t>
  </si>
  <si>
    <t>E1873</t>
  </si>
  <si>
    <t>LUIS CARLOS CASTRO ARBOLEDA</t>
  </si>
  <si>
    <t>E1106</t>
  </si>
  <si>
    <t>E0095</t>
  </si>
  <si>
    <t>LUIS CARLOS VILLALBA ACEVEDO</t>
  </si>
  <si>
    <t>E0655</t>
  </si>
  <si>
    <t>LUIS DANIEL REDONDO OBAGI</t>
  </si>
  <si>
    <t>E1048</t>
  </si>
  <si>
    <t>E1336</t>
  </si>
  <si>
    <t>E0319</t>
  </si>
  <si>
    <t>E0289</t>
  </si>
  <si>
    <t>E1767</t>
  </si>
  <si>
    <t>E1207</t>
  </si>
  <si>
    <t>LUIS ENRIQUE MEDINA CASTRILLON</t>
  </si>
  <si>
    <t>E1987</t>
  </si>
  <si>
    <t>E1737</t>
  </si>
  <si>
    <t>E0118</t>
  </si>
  <si>
    <t>E0542</t>
  </si>
  <si>
    <t>E1705</t>
  </si>
  <si>
    <t>E0498</t>
  </si>
  <si>
    <t>LUIS FERNANDO CUBILLOS SILVA</t>
  </si>
  <si>
    <t>E0852</t>
  </si>
  <si>
    <t>E1170</t>
  </si>
  <si>
    <t>E0046</t>
  </si>
  <si>
    <t>LUIS FERNANDO MELO PULIDO</t>
  </si>
  <si>
    <t>E0837</t>
  </si>
  <si>
    <t>E1191</t>
  </si>
  <si>
    <t>E0099</t>
  </si>
  <si>
    <t>E1846</t>
  </si>
  <si>
    <t>LUIS FRANCISCO BERNAL VELASQUEZ</t>
  </si>
  <si>
    <t>E2011</t>
  </si>
  <si>
    <t>E0374</t>
  </si>
  <si>
    <t>LUIS GONCALVES DA SILVA</t>
  </si>
  <si>
    <t>E0857</t>
  </si>
  <si>
    <t>LUIS GONZAGA OSORIO MORENO</t>
  </si>
  <si>
    <t>E0992</t>
  </si>
  <si>
    <t>E1881</t>
  </si>
  <si>
    <t>LUIS GUILLERMO SANCHEZ LUQUE</t>
  </si>
  <si>
    <t>E1391</t>
  </si>
  <si>
    <t>E2014</t>
  </si>
  <si>
    <t>E1229</t>
  </si>
  <si>
    <t>LUIS JAVIER SERPA ENRIQUE</t>
  </si>
  <si>
    <t>E0829</t>
  </si>
  <si>
    <t>E1081</t>
  </si>
  <si>
    <t>LUIS LEONARDO SALAMANCA ARIAS</t>
  </si>
  <si>
    <t>E1553</t>
  </si>
  <si>
    <t>LUIS MANUEL ACOSTA FLOREZ</t>
  </si>
  <si>
    <t>E1142</t>
  </si>
  <si>
    <t>E0838</t>
  </si>
  <si>
    <t>LUIS MANUEL PEREZ MAESTRE</t>
  </si>
  <si>
    <t>E1141</t>
  </si>
  <si>
    <t>E1269</t>
  </si>
  <si>
    <t>LUIS MARCO YUGSI GUANOTUÑA</t>
  </si>
  <si>
    <t>E0774</t>
  </si>
  <si>
    <t>E1919</t>
  </si>
  <si>
    <t>E1247</t>
  </si>
  <si>
    <t>E0684</t>
  </si>
  <si>
    <t>E0549</t>
  </si>
  <si>
    <t>LUIS MIGUEL SANABRIA LOZANO</t>
  </si>
  <si>
    <t>E1385</t>
  </si>
  <si>
    <t>E0258</t>
  </si>
  <si>
    <t>LUIS RICARDO MUÑOZ</t>
  </si>
  <si>
    <t>E1122</t>
  </si>
  <si>
    <t>E1862</t>
  </si>
  <si>
    <t>E0793</t>
  </si>
  <si>
    <t>LUIZ CLAUDIO DE SOUZA JUNIOR</t>
  </si>
  <si>
    <t>E1042</t>
  </si>
  <si>
    <t>E1359</t>
  </si>
  <si>
    <t>E0805</t>
  </si>
  <si>
    <t>LUIZ PAULO PONCIANO DA SILVA</t>
  </si>
  <si>
    <t>E1326</t>
  </si>
  <si>
    <t>E1745</t>
  </si>
  <si>
    <t>MACIEL DE OLIVEIRA LAGARES</t>
  </si>
  <si>
    <t>E1123</t>
  </si>
  <si>
    <t>MACLEI MELO DE MENEZES</t>
  </si>
  <si>
    <t>E1013</t>
  </si>
  <si>
    <t>MACSANDRO BAIA DIAS</t>
  </si>
  <si>
    <t>E0965</t>
  </si>
  <si>
    <t>E1554</t>
  </si>
  <si>
    <t>E1438</t>
  </si>
  <si>
    <t>MAICON MARTINS NEVES</t>
  </si>
  <si>
    <t>E0819</t>
  </si>
  <si>
    <t>E1928</t>
  </si>
  <si>
    <t>MANUEL FERNANDO NARANJO QUINTANA</t>
  </si>
  <si>
    <t>E0841</t>
  </si>
  <si>
    <t>E1899</t>
  </si>
  <si>
    <t>MANUEL MACIAS BALANTA</t>
  </si>
  <si>
    <t>E1243</t>
  </si>
  <si>
    <t>E0287</t>
  </si>
  <si>
    <t>E1797</t>
  </si>
  <si>
    <t>MANUEL ZAMBRANO BECOCHE</t>
  </si>
  <si>
    <t>E1555</t>
  </si>
  <si>
    <t>MARCELO ALEJANDRO GUEVARA</t>
  </si>
  <si>
    <t>E0727</t>
  </si>
  <si>
    <t>E1910</t>
  </si>
  <si>
    <t>MARCELO ALVES DA SILVA</t>
  </si>
  <si>
    <t>E1116</t>
  </si>
  <si>
    <t>E0704</t>
  </si>
  <si>
    <t>E1339</t>
  </si>
  <si>
    <t>MARCELO PEREIRA DA SILVA</t>
  </si>
  <si>
    <t>E1043</t>
  </si>
  <si>
    <t>E1267</t>
  </si>
  <si>
    <t>MARCIANO SOARES LOPES</t>
  </si>
  <si>
    <t>E0757</t>
  </si>
  <si>
    <t>MARCIO ADRIANO LACERDA</t>
  </si>
  <si>
    <t>E1014</t>
  </si>
  <si>
    <t>MARCIO ANDRÉ RODRIGUES MENDES</t>
  </si>
  <si>
    <t>E1044</t>
  </si>
  <si>
    <t>E0373</t>
  </si>
  <si>
    <t>E0569</t>
  </si>
  <si>
    <t>MARCO ANTONIO VALERO MEDINA</t>
  </si>
  <si>
    <t>E1793</t>
  </si>
  <si>
    <t>MARCOS DA SILVA TEOTONIO</t>
  </si>
  <si>
    <t>E0950</t>
  </si>
  <si>
    <t>E1556</t>
  </si>
  <si>
    <t>E0217</t>
  </si>
  <si>
    <t>MARCOS VINICIUS SAMUEL PEREIRA</t>
  </si>
  <si>
    <t>E1265</t>
  </si>
  <si>
    <t>E0121</t>
  </si>
  <si>
    <t>MARIANO EZEQUIEL ENCINA</t>
  </si>
  <si>
    <t>E0667</t>
  </si>
  <si>
    <t>E2035</t>
  </si>
  <si>
    <t>E0505</t>
  </si>
  <si>
    <t>E1440</t>
  </si>
  <si>
    <t>E1917</t>
  </si>
  <si>
    <t>E1836</t>
  </si>
  <si>
    <t>MARIO FAIMAR NAVEROS GARAY</t>
  </si>
  <si>
    <t>E0906</t>
  </si>
  <si>
    <t>E0467</t>
  </si>
  <si>
    <t>E2016</t>
  </si>
  <si>
    <t>E0471</t>
  </si>
  <si>
    <t>MARISVALDO RODRIGUES DA SILVA</t>
  </si>
  <si>
    <t>E1102</t>
  </si>
  <si>
    <t>E1327</t>
  </si>
  <si>
    <t>E1557</t>
  </si>
  <si>
    <t>E1558</t>
  </si>
  <si>
    <t>MARLON HJALMAR MEDINA MIQUILENA</t>
  </si>
  <si>
    <t>E1692</t>
  </si>
  <si>
    <t>MARLON RICARDO CERQUEIRA</t>
  </si>
  <si>
    <t>E1363</t>
  </si>
  <si>
    <t>E0366</t>
  </si>
  <si>
    <t>E1941</t>
  </si>
  <si>
    <t>MARLUCIA MENDONÇA CORREIA</t>
  </si>
  <si>
    <t>E1163</t>
  </si>
  <si>
    <t>E0521</t>
  </si>
  <si>
    <t>E0246</t>
  </si>
  <si>
    <t>E0607</t>
  </si>
  <si>
    <t>E0586</t>
  </si>
  <si>
    <t>E1727</t>
  </si>
  <si>
    <t>E1338</t>
  </si>
  <si>
    <t>E1328</t>
  </si>
  <si>
    <t>E1638</t>
  </si>
  <si>
    <t>MATHIOUNE DIOP DIOP</t>
  </si>
  <si>
    <t>E1361</t>
  </si>
  <si>
    <t>MAURI ANTONIO VICENTINI</t>
  </si>
  <si>
    <t>E1100</t>
  </si>
  <si>
    <t>E0644</t>
  </si>
  <si>
    <t>E0945</t>
  </si>
  <si>
    <t>MAURICIO FIUZA DA CRUZ CARVALHO</t>
  </si>
  <si>
    <t>E0996</t>
  </si>
  <si>
    <t>E0575</t>
  </si>
  <si>
    <t>E0207</t>
  </si>
  <si>
    <t>E1734</t>
  </si>
  <si>
    <t>E1871</t>
  </si>
  <si>
    <t>E0147</t>
  </si>
  <si>
    <t>MAX ALEX MELENDREZ CAYOTOPA</t>
  </si>
  <si>
    <t>E0839</t>
  </si>
  <si>
    <t>E1559</t>
  </si>
  <si>
    <t>E1262</t>
  </si>
  <si>
    <t>E0003</t>
  </si>
  <si>
    <t>MELVIN DANIEL TRIANA SIERRA</t>
  </si>
  <si>
    <t>E2005</t>
  </si>
  <si>
    <t>E1994</t>
  </si>
  <si>
    <t>E1639</t>
  </si>
  <si>
    <t>MICHAEL GEORGE DE OLIVEIRA MATOS</t>
  </si>
  <si>
    <t>E0979</t>
  </si>
  <si>
    <t>MICHAEL LUIZ DE FREITAS</t>
  </si>
  <si>
    <t>E1261</t>
  </si>
  <si>
    <t>E0883</t>
  </si>
  <si>
    <t>E1230</t>
  </si>
  <si>
    <t>E0640</t>
  </si>
  <si>
    <t>E0464</t>
  </si>
  <si>
    <t>E0780</t>
  </si>
  <si>
    <t>E1849</t>
  </si>
  <si>
    <t>E0282</t>
  </si>
  <si>
    <t>E0485</t>
  </si>
  <si>
    <t>E1560</t>
  </si>
  <si>
    <t>E0218</t>
  </si>
  <si>
    <t>MIGUEL ANGEL ORTIZ LEON</t>
  </si>
  <si>
    <t>E1393</t>
  </si>
  <si>
    <t>E0480</t>
  </si>
  <si>
    <t>E1561</t>
  </si>
  <si>
    <t>E0479</t>
  </si>
  <si>
    <t>E0566</t>
  </si>
  <si>
    <t>E0792</t>
  </si>
  <si>
    <t>E0734</t>
  </si>
  <si>
    <t>E0019</t>
  </si>
  <si>
    <t>E1752</t>
  </si>
  <si>
    <t>E0392</t>
  </si>
  <si>
    <t>E0372</t>
  </si>
  <si>
    <t>E0126</t>
  </si>
  <si>
    <t>E0204</t>
  </si>
  <si>
    <t>MILTON RAFAEL AGUAS CHAVES</t>
  </si>
  <si>
    <t>E0686</t>
  </si>
  <si>
    <t>E1828</t>
  </si>
  <si>
    <t>E2053</t>
  </si>
  <si>
    <t>E0072</t>
  </si>
  <si>
    <t>MODESTO FERNANDEZ QUINTERO</t>
  </si>
  <si>
    <t>E1957</t>
  </si>
  <si>
    <t>E0652</t>
  </si>
  <si>
    <t>MOISES CHAUX MUÑOZ</t>
  </si>
  <si>
    <t>E0781</t>
  </si>
  <si>
    <t>MOISES DAVID BENITEZ GOMEZ</t>
  </si>
  <si>
    <t>E1228</t>
  </si>
  <si>
    <t>E1441</t>
  </si>
  <si>
    <t>E1321</t>
  </si>
  <si>
    <t>E0603</t>
  </si>
  <si>
    <t>E0423</t>
  </si>
  <si>
    <t>NAYI JAIR PEREZ BENAVIDES</t>
  </si>
  <si>
    <t>E0729</t>
  </si>
  <si>
    <t>E0458</t>
  </si>
  <si>
    <t>E1720</t>
  </si>
  <si>
    <t>E0149</t>
  </si>
  <si>
    <t>NEILSON DA SILVA RODRIGUES</t>
  </si>
  <si>
    <t>E0948</t>
  </si>
  <si>
    <t>E1442</t>
  </si>
  <si>
    <t>E1780</t>
  </si>
  <si>
    <t>E1562</t>
  </si>
  <si>
    <t>E0515</t>
  </si>
  <si>
    <t>E1672</t>
  </si>
  <si>
    <t>E0635</t>
  </si>
  <si>
    <t>E1802</t>
  </si>
  <si>
    <t>E1227</t>
  </si>
  <si>
    <t>E1751</t>
  </si>
  <si>
    <t>E0273</t>
  </si>
  <si>
    <t>E0526</t>
  </si>
  <si>
    <t>E1714</t>
  </si>
  <si>
    <t>E2009</t>
  </si>
  <si>
    <t>E0595</t>
  </si>
  <si>
    <t>E1263</t>
  </si>
  <si>
    <t>NERIO CERVANTES CALDERON</t>
  </si>
  <si>
    <t>E0914</t>
  </si>
  <si>
    <t>E0788</t>
  </si>
  <si>
    <t>E2007</t>
  </si>
  <si>
    <t>E0596</t>
  </si>
  <si>
    <t>E1077</t>
  </si>
  <si>
    <t>E1281</t>
  </si>
  <si>
    <t>E1563</t>
  </si>
  <si>
    <t>E0349</t>
  </si>
  <si>
    <t>E1940</t>
  </si>
  <si>
    <t>E1564</t>
  </si>
  <si>
    <t>E0551</t>
  </si>
  <si>
    <t>E0088</t>
  </si>
  <si>
    <t>E1844</t>
  </si>
  <si>
    <t>NIXON JENE FERNANDEZ CASTILLO</t>
  </si>
  <si>
    <t>E1140</t>
  </si>
  <si>
    <t>NODIER FLOREZ QUINTERO</t>
  </si>
  <si>
    <t>E1098</t>
  </si>
  <si>
    <t>E0444</t>
  </si>
  <si>
    <t>NORBALDO CHAPARRO BUITRAGO</t>
  </si>
  <si>
    <t>E1916</t>
  </si>
  <si>
    <t>NORBERTO CHIQUILLO OLIVIERI</t>
  </si>
  <si>
    <t>E2029</t>
  </si>
  <si>
    <t>E0447</t>
  </si>
  <si>
    <t>E0400</t>
  </si>
  <si>
    <t>E1754</t>
  </si>
  <si>
    <t>E0638</t>
  </si>
  <si>
    <t>E1076</t>
  </si>
  <si>
    <t>ODEMIR SANDRO DE OLIVEIRA</t>
  </si>
  <si>
    <t>E0915</t>
  </si>
  <si>
    <t>E0726</t>
  </si>
  <si>
    <t>OLIVER LUIS RAMIREZ ANGULO</t>
  </si>
  <si>
    <t>E1565</t>
  </si>
  <si>
    <t>E1218</t>
  </si>
  <si>
    <t>OMAR ANTONIO CAÑON CAÑON</t>
  </si>
  <si>
    <t>E1139</t>
  </si>
  <si>
    <t>OMAR ARNOLDO DULCEY PEÑA</t>
  </si>
  <si>
    <t>E0800</t>
  </si>
  <si>
    <t>E1753</t>
  </si>
  <si>
    <t>E0476</t>
  </si>
  <si>
    <t>E1877</t>
  </si>
  <si>
    <t>E0023</t>
  </si>
  <si>
    <t>E0367</t>
  </si>
  <si>
    <t>E1913</t>
  </si>
  <si>
    <t>OMAR YESSID HERRERA LOPEZ</t>
  </si>
  <si>
    <t>E2041</t>
  </si>
  <si>
    <t>E1566</t>
  </si>
  <si>
    <t>E0159</t>
  </si>
  <si>
    <t>E1287</t>
  </si>
  <si>
    <t>E0522</t>
  </si>
  <si>
    <t>E0626</t>
  </si>
  <si>
    <t>OSCAR ALBERTO BRAVO</t>
  </si>
  <si>
    <t>E1798</t>
  </si>
  <si>
    <t>E1202</t>
  </si>
  <si>
    <t>E0241</t>
  </si>
  <si>
    <t>E0371</t>
  </si>
  <si>
    <t>E1289</t>
  </si>
  <si>
    <t>E0222</t>
  </si>
  <si>
    <t>E0345</t>
  </si>
  <si>
    <t>E0539</t>
  </si>
  <si>
    <t>E0326</t>
  </si>
  <si>
    <t>E0412</t>
  </si>
  <si>
    <t>OSCAR FERNANDO NEIRA LAMUS</t>
  </si>
  <si>
    <t>E0859</t>
  </si>
  <si>
    <t>E1719</t>
  </si>
  <si>
    <t>OSCAR HENRIGUEZ CANO</t>
  </si>
  <si>
    <t>E1567</t>
  </si>
  <si>
    <t>E0453</t>
  </si>
  <si>
    <t>E0433</t>
  </si>
  <si>
    <t>E0172</t>
  </si>
  <si>
    <t>E1444</t>
  </si>
  <si>
    <t>E0465</t>
  </si>
  <si>
    <t>E1569</t>
  </si>
  <si>
    <t>E0496</t>
  </si>
  <si>
    <t>E1779</t>
  </si>
  <si>
    <t>E0132</t>
  </si>
  <si>
    <t>E0220</t>
  </si>
  <si>
    <t>PABLO CESAR MORALES JULCA</t>
  </si>
  <si>
    <t>E1570</t>
  </si>
  <si>
    <t>E1800</t>
  </si>
  <si>
    <t>E0245</t>
  </si>
  <si>
    <t>PATRICK ARAUJO DA COSTA</t>
  </si>
  <si>
    <t>E0997</t>
  </si>
  <si>
    <t>PAUL ALEXANDER BELTRAN PARRA</t>
  </si>
  <si>
    <t>E1161</t>
  </si>
  <si>
    <t>E0535</t>
  </si>
  <si>
    <t>PAULO JORGE DE SOUSA CORDEIRO</t>
  </si>
  <si>
    <t>E1179</t>
  </si>
  <si>
    <t>PAULO LUCIO FRANCISCO MUHONGO</t>
  </si>
  <si>
    <t>E0998</t>
  </si>
  <si>
    <t>E0811</t>
  </si>
  <si>
    <t>PAULO SERGIO VASCONCELOS MENDES</t>
  </si>
  <si>
    <t>E1016</t>
  </si>
  <si>
    <t>E2059</t>
  </si>
  <si>
    <t>E1571</t>
  </si>
  <si>
    <t>E0748</t>
  </si>
  <si>
    <t>E1572</t>
  </si>
  <si>
    <t>E0074</t>
  </si>
  <si>
    <t>E1424</t>
  </si>
  <si>
    <t>E0598</t>
  </si>
  <si>
    <t>E1445</t>
  </si>
  <si>
    <t>E1573</t>
  </si>
  <si>
    <t>E1075</t>
  </si>
  <si>
    <t>E1905</t>
  </si>
  <si>
    <t>PEDRO LOUAM DOS SANTOS SILVA E LIMA</t>
  </si>
  <si>
    <t>E0715</t>
  </si>
  <si>
    <t>E0606</t>
  </si>
  <si>
    <t>E0531</t>
  </si>
  <si>
    <t>E1996</t>
  </si>
  <si>
    <t>E0616</t>
  </si>
  <si>
    <t>E0664</t>
  </si>
  <si>
    <t>E0790</t>
  </si>
  <si>
    <t>E1574</t>
  </si>
  <si>
    <t>E1575</t>
  </si>
  <si>
    <t>E0486</t>
  </si>
  <si>
    <t>E0200</t>
  </si>
  <si>
    <t>PETERSON AUGUSTO DA SILVA</t>
  </si>
  <si>
    <t>E1645</t>
  </si>
  <si>
    <t>PETRUT PURCARIU</t>
  </si>
  <si>
    <t>E1103</t>
  </si>
  <si>
    <t>PLINYO KARLLOS FONSECA CORDEIRO</t>
  </si>
  <si>
    <t>E1180</t>
  </si>
  <si>
    <t>POMPILHO GUEVARA</t>
  </si>
  <si>
    <t>E1282</t>
  </si>
  <si>
    <t>E2060</t>
  </si>
  <si>
    <t>E1816</t>
  </si>
  <si>
    <t>RAFAEL ANDRES NIETO MORENO</t>
  </si>
  <si>
    <t>E0842</t>
  </si>
  <si>
    <t>E0327</t>
  </si>
  <si>
    <t>E0634</t>
  </si>
  <si>
    <t>E1729</t>
  </si>
  <si>
    <t>E0290</t>
  </si>
  <si>
    <t>RAFAEL REYES MORALES</t>
  </si>
  <si>
    <t>E0844</t>
  </si>
  <si>
    <t>E1890</t>
  </si>
  <si>
    <t>RAIMUNDO FILHO DE SOUZA</t>
  </si>
  <si>
    <t>E1264</t>
  </si>
  <si>
    <t>RAIMUNDO NONATO FERREIRA</t>
  </si>
  <si>
    <t>E1197</t>
  </si>
  <si>
    <t>E1425</t>
  </si>
  <si>
    <t>RAMIRO RODRIGUEZ LEGUIZAMÓ</t>
  </si>
  <si>
    <t>E1822</t>
  </si>
  <si>
    <t>E0264</t>
  </si>
  <si>
    <t>E1977</t>
  </si>
  <si>
    <t>E1576</t>
  </si>
  <si>
    <t>RAPHAEL ALMEIDA  OLIVEIRA</t>
  </si>
  <si>
    <t>E0955</t>
  </si>
  <si>
    <t>RAPHAEL ANDRADE SANTOS</t>
  </si>
  <si>
    <t>E0975</t>
  </si>
  <si>
    <t>RAPHAEL BARONI MARTINS</t>
  </si>
  <si>
    <t>E1310</t>
  </si>
  <si>
    <t>E0370</t>
  </si>
  <si>
    <t>E1791</t>
  </si>
  <si>
    <t>E1789</t>
  </si>
  <si>
    <t>E1171</t>
  </si>
  <si>
    <t>RAUL MANUEL CERA PACHECO</t>
  </si>
  <si>
    <t>E0834</t>
  </si>
  <si>
    <t>E1329</t>
  </si>
  <si>
    <t>RAUL SUAREZ FRANCO</t>
  </si>
  <si>
    <t>E0863</t>
  </si>
  <si>
    <t>E0462</t>
  </si>
  <si>
    <t>E1311</t>
  </si>
  <si>
    <t>REGINALDO DA SILVA GOMES</t>
  </si>
  <si>
    <t>E1015</t>
  </si>
  <si>
    <t>E0223</t>
  </si>
  <si>
    <t>REGINALDO RIBEIRO NICOLÁU</t>
  </si>
  <si>
    <t>E0999</t>
  </si>
  <si>
    <t>E0048</t>
  </si>
  <si>
    <t>E0620</t>
  </si>
  <si>
    <t>E0320</t>
  </si>
  <si>
    <t>E1426</t>
  </si>
  <si>
    <t>E0448</t>
  </si>
  <si>
    <t>RICARDO MAYA ALZATE</t>
  </si>
  <si>
    <t>E1018</t>
  </si>
  <si>
    <t>E0098</t>
  </si>
  <si>
    <t>RICARDO RODRIGUES GUZE DE LIMA</t>
  </si>
  <si>
    <t>E1000</t>
  </si>
  <si>
    <t>E2006</t>
  </si>
  <si>
    <t>E0335</t>
  </si>
  <si>
    <t>E1906</t>
  </si>
  <si>
    <t>E0749</t>
  </si>
  <si>
    <t>RICHARD GONZALEZ SANCHEZ</t>
  </si>
  <si>
    <t>E1159</t>
  </si>
  <si>
    <t>E0008</t>
  </si>
  <si>
    <t>E1717</t>
  </si>
  <si>
    <t>E0580</t>
  </si>
  <si>
    <t>E1783</t>
  </si>
  <si>
    <t>E1436</t>
  </si>
  <si>
    <t>E0082</t>
  </si>
  <si>
    <t>ROBER JOUTE LABIO OCAMPO</t>
  </si>
  <si>
    <t>E0850</t>
  </si>
  <si>
    <t>E1968</t>
  </si>
  <si>
    <t>E0242</t>
  </si>
  <si>
    <t>E2047</t>
  </si>
  <si>
    <t>E0680</t>
  </si>
  <si>
    <t>E0510</t>
  </si>
  <si>
    <t>E1354</t>
  </si>
  <si>
    <t>ROBERTO JAVIER ESCOBAR USURRIAGA</t>
  </si>
  <si>
    <t>E1577</t>
  </si>
  <si>
    <t>E0848</t>
  </si>
  <si>
    <t>E1775</t>
  </si>
  <si>
    <t>E1914</t>
  </si>
  <si>
    <t>E1809</t>
  </si>
  <si>
    <t>E0511</t>
  </si>
  <si>
    <t>E0538</t>
  </si>
  <si>
    <t>E2022</t>
  </si>
  <si>
    <t>E0299</t>
  </si>
  <si>
    <t>ROBSON HAMILTON CARDOSO SOUZA</t>
  </si>
  <si>
    <t>E0869</t>
  </si>
  <si>
    <t>E1678</t>
  </si>
  <si>
    <t>E0563</t>
  </si>
  <si>
    <t>RODOLFO ARRIETA VASQUEZ</t>
  </si>
  <si>
    <t>E1823</t>
  </si>
  <si>
    <t>E0005</t>
  </si>
  <si>
    <t>E0503</t>
  </si>
  <si>
    <t>E1315</t>
  </si>
  <si>
    <t>E1834</t>
  </si>
  <si>
    <t>E1114</t>
  </si>
  <si>
    <t>RODRIGO RODRIGUEZ QUIMBAYO</t>
  </si>
  <si>
    <t>E0877</t>
  </si>
  <si>
    <t>E1578</t>
  </si>
  <si>
    <t>E0806</t>
  </si>
  <si>
    <t>E0116</t>
  </si>
  <si>
    <t>ROGER NELI DA SILVA</t>
  </si>
  <si>
    <t>E1019</t>
  </si>
  <si>
    <t>E0602</t>
  </si>
  <si>
    <t>E0036</t>
  </si>
  <si>
    <t>E0081</t>
  </si>
  <si>
    <t>ROLISTON FREITAS SOUSA</t>
  </si>
  <si>
    <t>E0666</t>
  </si>
  <si>
    <t>E0080</t>
  </si>
  <si>
    <t>E2051</t>
  </si>
  <si>
    <t>E1259</t>
  </si>
  <si>
    <t>E1072</t>
  </si>
  <si>
    <t>E0678</t>
  </si>
  <si>
    <t>E1903</t>
  </si>
  <si>
    <t>E0136</t>
  </si>
  <si>
    <t>E0312</t>
  </si>
  <si>
    <t>E1880</t>
  </si>
  <si>
    <t>E1260</t>
  </si>
  <si>
    <t>RONNY MEJIA HERNANDEZ</t>
  </si>
  <si>
    <t>E1063</t>
  </si>
  <si>
    <t>ROQUE MIGUEL GARCIA CUELLO</t>
  </si>
  <si>
    <t>E1108</t>
  </si>
  <si>
    <t>E0742</t>
  </si>
  <si>
    <t>E0018</t>
  </si>
  <si>
    <t>ROYEMBER MORALES PEÑA</t>
  </si>
  <si>
    <t>E0969</t>
  </si>
  <si>
    <t>E0703</t>
  </si>
  <si>
    <t>RUBEN DARIO ARRIZA FERRER</t>
  </si>
  <si>
    <t>E1283</t>
  </si>
  <si>
    <t>E1702</t>
  </si>
  <si>
    <t>E1579</t>
  </si>
  <si>
    <t>E1986</t>
  </si>
  <si>
    <t>E1648</t>
  </si>
  <si>
    <t>E1087</t>
  </si>
  <si>
    <t>E2068</t>
  </si>
  <si>
    <t>E0224</t>
  </si>
  <si>
    <t>E1811</t>
  </si>
  <si>
    <t>E0554</t>
  </si>
  <si>
    <t>RUDOLF HENRY VIRAMA FRANCO</t>
  </si>
  <si>
    <t>E1580</t>
  </si>
  <si>
    <t>RYAN ARAUJO DE MELO</t>
  </si>
  <si>
    <t>E0689</t>
  </si>
  <si>
    <t>SAID LMALAQUIA</t>
  </si>
  <si>
    <t>E1224</t>
  </si>
  <si>
    <t>E1649</t>
  </si>
  <si>
    <t>E0916</t>
  </si>
  <si>
    <t>SALATIEL SILVA DE SANTANA</t>
  </si>
  <si>
    <t>E1001</t>
  </si>
  <si>
    <t>E1112</t>
  </si>
  <si>
    <t>SAMUEL ANTONIO DA SILVA</t>
  </si>
  <si>
    <t>E1002</t>
  </si>
  <si>
    <t>E1768</t>
  </si>
  <si>
    <t>SAMUEL DIAZ MORA</t>
  </si>
  <si>
    <t>E0983</t>
  </si>
  <si>
    <t>E1286</t>
  </si>
  <si>
    <t>E1581</t>
  </si>
  <si>
    <t>SAMUEL LUIZ DE GODOY</t>
  </si>
  <si>
    <t>E1003</t>
  </si>
  <si>
    <t>E0523</t>
  </si>
  <si>
    <t>E0779</t>
  </si>
  <si>
    <t>E1841</t>
  </si>
  <si>
    <t>E0310</t>
  </si>
  <si>
    <t>E1582</t>
  </si>
  <si>
    <t>E1443</t>
  </si>
  <si>
    <t>SEBASTIAN ANDRADE PERLAZA</t>
  </si>
  <si>
    <t>E1188</t>
  </si>
  <si>
    <t>E1738</t>
  </si>
  <si>
    <t>SEBASTIAN JESUS ARRIAGADA</t>
  </si>
  <si>
    <t>E0970</t>
  </si>
  <si>
    <t>SERAFIM TEIXEIRA GOMES</t>
  </si>
  <si>
    <t>E0685</t>
  </si>
  <si>
    <t>E0315</t>
  </si>
  <si>
    <t>E0001</t>
  </si>
  <si>
    <t>E0445</t>
  </si>
  <si>
    <t>E0650</t>
  </si>
  <si>
    <t>SERGIO ANDRES LUENGAS CASTELLANOS</t>
  </si>
  <si>
    <t>E0730</t>
  </si>
  <si>
    <t>E0422</t>
  </si>
  <si>
    <t>E0446</t>
  </si>
  <si>
    <t>E0946</t>
  </si>
  <si>
    <t>E0588</t>
  </si>
  <si>
    <t>E0457</t>
  </si>
  <si>
    <t>SEVERIANO VIEIRA NETO</t>
  </si>
  <si>
    <t>E1215</t>
  </si>
  <si>
    <t>E0178</t>
  </si>
  <si>
    <t>E1733</t>
  </si>
  <si>
    <t>SILAS ADI PEREIRA DE LIMA</t>
  </si>
  <si>
    <t>E1322</t>
  </si>
  <si>
    <t>SILVESTRE PABLO MARTIN VILLARRUEL</t>
  </si>
  <si>
    <t>E0643</t>
  </si>
  <si>
    <t>SILVIO ROMERO DE SOUSA</t>
  </si>
  <si>
    <t>E1376</t>
  </si>
  <si>
    <t>E0061</t>
  </si>
  <si>
    <t>E0751</t>
  </si>
  <si>
    <t>E0583</t>
  </si>
  <si>
    <t>STIBENSON ARDILA ACUÑA</t>
  </si>
  <si>
    <t>E1272</t>
  </si>
  <si>
    <t>E1583</t>
  </si>
  <si>
    <t>E1861</t>
  </si>
  <si>
    <t>E1584</t>
  </si>
  <si>
    <t>THIAGO ALEXANDREY GOMES DE FREITAS</t>
  </si>
  <si>
    <t>E1305</t>
  </si>
  <si>
    <t>THIAGO DIAS MOURA</t>
  </si>
  <si>
    <t>E1017</t>
  </si>
  <si>
    <t>THIAGO FELIPE DA SILVA</t>
  </si>
  <si>
    <t>E0702</t>
  </si>
  <si>
    <t>THIAGO GOMES DA SILVA</t>
  </si>
  <si>
    <t>E1165</t>
  </si>
  <si>
    <t>THIAGO GOMES DE SOUZA</t>
  </si>
  <si>
    <t>E0739</t>
  </si>
  <si>
    <t>TIAGO VITOR DA SILVA</t>
  </si>
  <si>
    <t>E1285</t>
  </si>
  <si>
    <t>TIMOTEO SIQUEIRA DE VASCONCELLOS</t>
  </si>
  <si>
    <t>E1004</t>
  </si>
  <si>
    <t>E0576</t>
  </si>
  <si>
    <t>TONIVAL CARDOSO DE MORAES</t>
  </si>
  <si>
    <t>E0971</t>
  </si>
  <si>
    <t>E0316</t>
  </si>
  <si>
    <t>URIEL CORTES HERNANDEZ</t>
  </si>
  <si>
    <t>E0851</t>
  </si>
  <si>
    <t>VALDECI CARLOS DOS SANTOS</t>
  </si>
  <si>
    <t>E1390</t>
  </si>
  <si>
    <t>E0807</t>
  </si>
  <si>
    <t>VALMORE HERNANDEZ BARRANTES</t>
  </si>
  <si>
    <t>E1784</t>
  </si>
  <si>
    <t>E1792</t>
  </si>
  <si>
    <t>VICTOR ADRIAN SAAVEDRA</t>
  </si>
  <si>
    <t>E1111</t>
  </si>
  <si>
    <t>E1045</t>
  </si>
  <si>
    <t>E1741</t>
  </si>
  <si>
    <t>VICTOR ALFONSO QUINONEZ ALVARADO</t>
  </si>
  <si>
    <t>E1084</t>
  </si>
  <si>
    <t>VICTOR ALFONSO SANCHEZ</t>
  </si>
  <si>
    <t>E1302</t>
  </si>
  <si>
    <t>E0047</t>
  </si>
  <si>
    <t>E0475</t>
  </si>
  <si>
    <t>E0368</t>
  </si>
  <si>
    <t>E0393</t>
  </si>
  <si>
    <t>E1301</t>
  </si>
  <si>
    <t>E0343</t>
  </si>
  <si>
    <t>E1920</t>
  </si>
  <si>
    <t>E0653</t>
  </si>
  <si>
    <t>E1807</t>
  </si>
  <si>
    <t>E0045</t>
  </si>
  <si>
    <t>VILSON GARCIA</t>
  </si>
  <si>
    <t>E1085</t>
  </si>
  <si>
    <t>VIVIANO MIGUEL PEINADO ABELLA</t>
  </si>
  <si>
    <t>E1766</t>
  </si>
  <si>
    <t>E0262</t>
  </si>
  <si>
    <t>VLADIMIR ZABALA PARRA</t>
  </si>
  <si>
    <t>E1985</t>
  </si>
  <si>
    <t>E0288</t>
  </si>
  <si>
    <t>WALDIR ENRIQUE VERGARA PACHECO</t>
  </si>
  <si>
    <t>E1162</t>
  </si>
  <si>
    <t>E1955</t>
  </si>
  <si>
    <t>E0577</t>
  </si>
  <si>
    <t>WALLACE SEGUNDO DOS SANTOS</t>
  </si>
  <si>
    <t>E1364</t>
  </si>
  <si>
    <t>E0935</t>
  </si>
  <si>
    <t>E0612</t>
  </si>
  <si>
    <t>E0582</t>
  </si>
  <si>
    <t>WALTER HURTADO MINA</t>
  </si>
  <si>
    <t>E0741</t>
  </si>
  <si>
    <t>E0517</t>
  </si>
  <si>
    <t>E0455</t>
  </si>
  <si>
    <t>WANDERSON VAGNER SANTOS BAIENSE</t>
  </si>
  <si>
    <t>E0986</t>
  </si>
  <si>
    <t>E1183</t>
  </si>
  <si>
    <t>E0092</t>
  </si>
  <si>
    <t>E1337</t>
  </si>
  <si>
    <t>E1863</t>
  </si>
  <si>
    <t>WELLINGTON FERNANDES DE JESUS</t>
  </si>
  <si>
    <t>E1005</t>
  </si>
  <si>
    <t>WELLINGTON GERONIMO DANTAS</t>
  </si>
  <si>
    <t>E0690</t>
  </si>
  <si>
    <t>WELTON MARQUES PEREIRA</t>
  </si>
  <si>
    <t>E0767</t>
  </si>
  <si>
    <t>E1711</t>
  </si>
  <si>
    <t>WESLEY ALVES ARAUJO</t>
  </si>
  <si>
    <t>E0972</t>
  </si>
  <si>
    <t>WESLEY DOS SANTOS SARAIVA</t>
  </si>
  <si>
    <t>E1323</t>
  </si>
  <si>
    <t>E1818</t>
  </si>
  <si>
    <t>WILBERT ORTIZ TOLOSA</t>
  </si>
  <si>
    <t>E1960</t>
  </si>
  <si>
    <t>WILDER ESNEIDER CHARRIS BERRIO</t>
  </si>
  <si>
    <t>E1138</t>
  </si>
  <si>
    <t>WILDERSON PERAFAN PEDRAHITA</t>
  </si>
  <si>
    <t>E1099</t>
  </si>
  <si>
    <t>E1384</t>
  </si>
  <si>
    <t>E1195</t>
  </si>
  <si>
    <t>E0649</t>
  </si>
  <si>
    <t>E0760</t>
  </si>
  <si>
    <t>WILL ALEXANDER CASTILLA</t>
  </si>
  <si>
    <t>E1090</t>
  </si>
  <si>
    <t>E0070</t>
  </si>
  <si>
    <t>E1810</t>
  </si>
  <si>
    <t>E0762</t>
  </si>
  <si>
    <t>E1196</t>
  </si>
  <si>
    <t>E0309</t>
  </si>
  <si>
    <t>E0091</t>
  </si>
  <si>
    <t>E0075</t>
  </si>
  <si>
    <t>E1939</t>
  </si>
  <si>
    <t>WILLIAM PASTOR CONSUEGRA DE LA HOZ</t>
  </si>
  <si>
    <t>E0878</t>
  </si>
  <si>
    <t>E0610</t>
  </si>
  <si>
    <t>E1938</t>
  </si>
  <si>
    <t>WILLIAM SEBASTIAN MAYA GOMEZ</t>
  </si>
  <si>
    <t>E1217</t>
  </si>
  <si>
    <t>WILLIAM YECID ERAZO JURADO</t>
  </si>
  <si>
    <t>E0624</t>
  </si>
  <si>
    <t>E1847</t>
  </si>
  <si>
    <t>E0007</t>
  </si>
  <si>
    <t>WILLIAN LINO NOLASCO BAÑOS</t>
  </si>
  <si>
    <t>E0928</t>
  </si>
  <si>
    <t>E1949</t>
  </si>
  <si>
    <t>WILLIANS MARCOS PEREIRA NASCIMENTO</t>
  </si>
  <si>
    <t>E0701</t>
  </si>
  <si>
    <t>E0700</t>
  </si>
  <si>
    <t>WILMAN CEBALLOS SINISTERRA</t>
  </si>
  <si>
    <t>E1047</t>
  </si>
  <si>
    <t>E0234</t>
  </si>
  <si>
    <t>E0520</t>
  </si>
  <si>
    <t>WILMAR ARNOBIO AGREDO BENEVIDES</t>
  </si>
  <si>
    <t>E0723</t>
  </si>
  <si>
    <t>E0266</t>
  </si>
  <si>
    <t>WILMAR JOSE SANCHEZ ORTIZ</t>
  </si>
  <si>
    <t>E2027</t>
  </si>
  <si>
    <t>E1926</t>
  </si>
  <si>
    <t>E2034</t>
  </si>
  <si>
    <t>E0630</t>
  </si>
  <si>
    <t>E1585</t>
  </si>
  <si>
    <t>WILMER GONZALEZ QUINTERO</t>
  </si>
  <si>
    <t>E1136</t>
  </si>
  <si>
    <t>E1831</t>
  </si>
  <si>
    <t>E1718</t>
  </si>
  <si>
    <t>E2058</t>
  </si>
  <si>
    <t>E0493</t>
  </si>
  <si>
    <t>E0296</t>
  </si>
  <si>
    <t>E2031</t>
  </si>
  <si>
    <t>E1357</t>
  </si>
  <si>
    <t>E1586</t>
  </si>
  <si>
    <t>E1135</t>
  </si>
  <si>
    <t>E0519</t>
  </si>
  <si>
    <t>E0619</t>
  </si>
  <si>
    <t>E0714</t>
  </si>
  <si>
    <t>E0317</t>
  </si>
  <si>
    <t>E1587</t>
  </si>
  <si>
    <t>E1398</t>
  </si>
  <si>
    <t>XAVIER DE LOS ANGELES FERIA ALMANZA</t>
  </si>
  <si>
    <t>E0809</t>
  </si>
  <si>
    <t>E0111</t>
  </si>
  <si>
    <t>YAFARD LOPEZ PASTES</t>
  </si>
  <si>
    <t>E0810</t>
  </si>
  <si>
    <t>YAMID EDUARDO GARCIA GONZALEZ</t>
  </si>
  <si>
    <t>E0840</t>
  </si>
  <si>
    <t>E1371</t>
  </si>
  <si>
    <t>YAN CARLOS ACEVEDO RUIZ</t>
  </si>
  <si>
    <t>E1653</t>
  </si>
  <si>
    <t>E1972</t>
  </si>
  <si>
    <t>E1788</t>
  </si>
  <si>
    <t>E1288</t>
  </si>
  <si>
    <t>E0230</t>
  </si>
  <si>
    <t>E0528</t>
  </si>
  <si>
    <t>YEISON ANDRES TORRES NIÑO</t>
  </si>
  <si>
    <t>E0919</t>
  </si>
  <si>
    <t>E0636</t>
  </si>
  <si>
    <t>E1739</t>
  </si>
  <si>
    <t>E0469</t>
  </si>
  <si>
    <t>E0305</t>
  </si>
  <si>
    <t>E0411</t>
  </si>
  <si>
    <t>E0358</t>
  </si>
  <si>
    <t>E0397</t>
  </si>
  <si>
    <t>E1830</t>
  </si>
  <si>
    <t>YESSID MANUEL BLANCO PUCHE</t>
  </si>
  <si>
    <t>E1134</t>
  </si>
  <si>
    <t>YESSID RAFAEL BLANCO VILLANUEVA</t>
  </si>
  <si>
    <t>E1864</t>
  </si>
  <si>
    <t>E0589</t>
  </si>
  <si>
    <t>E1886</t>
  </si>
  <si>
    <t>YIMIS ALFREDO FERNANDEZ PENA</t>
  </si>
  <si>
    <t>E2063</t>
  </si>
  <si>
    <t>E0633</t>
  </si>
  <si>
    <t>YIMMI MOSQUERA GONZALEZ</t>
  </si>
  <si>
    <t>E0930</t>
  </si>
  <si>
    <t>YOANNY ARQUIMIDES CHAVERRA FLOREZ</t>
  </si>
  <si>
    <t>E1235</t>
  </si>
  <si>
    <t>E0032</t>
  </si>
  <si>
    <t>E0239</t>
  </si>
  <si>
    <t>YOEL DAVID SANCHEZ BRANCHO</t>
  </si>
  <si>
    <t>E1691</t>
  </si>
  <si>
    <t>YOELMI LEONARDO MONSALVE ARZUZA</t>
  </si>
  <si>
    <t>E0657</t>
  </si>
  <si>
    <t>E0173</t>
  </si>
  <si>
    <t>E0791</t>
  </si>
  <si>
    <t>YOLMAN PEREZ SANCHEZ</t>
  </si>
  <si>
    <t>E1884</t>
  </si>
  <si>
    <t>E1945</t>
  </si>
  <si>
    <t>YONATAN RODRIGUEZ LUNA</t>
  </si>
  <si>
    <t>E1378</t>
  </si>
  <si>
    <t>YONATHAN SANTIAGO MEDINA PATARROYO</t>
  </si>
  <si>
    <t>E1225</t>
  </si>
  <si>
    <t>E0350</t>
  </si>
  <si>
    <t>E0269</t>
  </si>
  <si>
    <t>E0758</t>
  </si>
  <si>
    <t>E2064</t>
  </si>
  <si>
    <t>YOVANY ALEXANDER GIL GARCIA</t>
  </si>
  <si>
    <t>E0822</t>
  </si>
  <si>
    <t>E0354</t>
  </si>
  <si>
    <t>E0405</t>
  </si>
  <si>
    <t>YUNNIS ARROYO CASTILLO</t>
  </si>
  <si>
    <t>E1060</t>
  </si>
  <si>
    <t>YURI MARCELINO SALAS SANCHEZ</t>
  </si>
  <si>
    <t>E1279</t>
  </si>
  <si>
    <t>E1055</t>
  </si>
  <si>
    <t>E0192</t>
  </si>
  <si>
    <t>ZAIR GIL AMARIS</t>
  </si>
  <si>
    <t>E1588</t>
  </si>
  <si>
    <t>ES67 0182 5011 1702 0224 0429</t>
  </si>
  <si>
    <t>ES44 0182 5011 1102 0224 2883</t>
  </si>
  <si>
    <t>ES71 6893 0001 7100 0034 7437</t>
  </si>
  <si>
    <t>ES26 0182 4018 1202 0170 4988</t>
  </si>
  <si>
    <t xml:space="preserve"> ES86 0182 5003 1302 0162 6382</t>
  </si>
  <si>
    <t>ES61 0182 1064 2102 0198 1985</t>
  </si>
  <si>
    <t>BE27 9056 9390 5873</t>
  </si>
  <si>
    <t>ES30 0049 4930 2227 1640 0026</t>
  </si>
  <si>
    <t xml:space="preserve"> ES50 0182 6380 9902 0160 7704</t>
  </si>
  <si>
    <t>IVAN ANDRES ORTIZ GALVAN</t>
  </si>
  <si>
    <t>JUAN CARLOS RONDON COSSIO</t>
  </si>
  <si>
    <t>E2072</t>
  </si>
  <si>
    <t>APOLINAR GARCIA HERNANDEZ</t>
  </si>
  <si>
    <t>E2073</t>
  </si>
  <si>
    <t>ALEXIS ENRIQUE MORENO ARRIETA</t>
  </si>
  <si>
    <t>E2074</t>
  </si>
  <si>
    <t>DUBERNEY POSCUE FAJARDO</t>
  </si>
  <si>
    <t>E2075</t>
  </si>
  <si>
    <t>HAYDER RAFAEL DIAZ MANAURE</t>
  </si>
  <si>
    <t>E2076</t>
  </si>
  <si>
    <t>JULIAN JAVIER PEARSON GUERRERO</t>
  </si>
  <si>
    <t>E2077</t>
  </si>
  <si>
    <t>JOSE ANGEL URBINA RAMIREZ</t>
  </si>
  <si>
    <t>E2078</t>
  </si>
  <si>
    <t>ES58 0182 2082 1902 0169 0192</t>
  </si>
  <si>
    <t>ES52 0182 1306 9802 0168 8854</t>
  </si>
  <si>
    <t>ES10 0182 8181 1702 0235 6592</t>
  </si>
  <si>
    <t>CARLOS ALBERTO DOMINGUEZ CORDOVA</t>
  </si>
  <si>
    <t>ES15 0182 6595 6202 0167 6609</t>
  </si>
  <si>
    <t>FR76 1659 8000 0140 0010 4278 559</t>
  </si>
  <si>
    <t>ES82 0049 2439 1525 1544 5505</t>
  </si>
  <si>
    <t>ES89 6893 0001 7800 0034 7643</t>
  </si>
  <si>
    <t>LU76 4080 0000 4475 6306</t>
  </si>
  <si>
    <t>MOISES MUNOZ ZAMBRANO</t>
  </si>
  <si>
    <t>E2088</t>
  </si>
  <si>
    <t>ES20 2100 4247 1622 0032 0062</t>
  </si>
  <si>
    <t>LT21 3250 0217 3643 2968</t>
  </si>
  <si>
    <t>BE62 9674 7304 9461</t>
  </si>
  <si>
    <t>VICTOR ALFONSO ALFARO</t>
  </si>
  <si>
    <t>E2089</t>
  </si>
  <si>
    <t>EDGAR CORRALES HOYOS</t>
  </si>
  <si>
    <t>E2090</t>
  </si>
  <si>
    <t>JAIME HERNAN ARANGO MONSALVE</t>
  </si>
  <si>
    <t>CARLOS JESUS MENDIGUETE VILLA</t>
  </si>
  <si>
    <t>RICARDO RAFAEL BONILLA BLANCO</t>
  </si>
  <si>
    <t>E2091</t>
  </si>
  <si>
    <t>E2092</t>
  </si>
  <si>
    <t>JHEFRIN ALEXANDER GONZALEZ PADILLA</t>
  </si>
  <si>
    <t>E2093</t>
  </si>
  <si>
    <t>BYRON YESID SUAREZ CUADRADO</t>
  </si>
  <si>
    <t>E2094</t>
  </si>
  <si>
    <t>CARLOS JULIO CANON</t>
  </si>
  <si>
    <t>E2095</t>
  </si>
  <si>
    <t>ES82 0182 8320 9102 0189 4058</t>
  </si>
  <si>
    <t>PASTOR JOSE FERNANDEZ CANELO</t>
  </si>
  <si>
    <t>E2096</t>
  </si>
  <si>
    <t>ES17 0182 0507 9102 0454 8500</t>
  </si>
  <si>
    <t>ES07 2100 2343 3307 0050 5021</t>
  </si>
  <si>
    <t>VICTOR JAVIER RIERA FLORES</t>
  </si>
  <si>
    <t>E2097</t>
  </si>
  <si>
    <t>ALEXANDER GUZMAN</t>
  </si>
  <si>
    <t>E2098</t>
  </si>
  <si>
    <t>LUIS DIOMEDES RODRIGUEZ USTARIS</t>
  </si>
  <si>
    <t>E2099</t>
  </si>
  <si>
    <t>CARLOS ANDRES ARIAS RODRIGUEZ</t>
  </si>
  <si>
    <t>E2100</t>
  </si>
  <si>
    <t>JOSE JONATHAN CANO SALAZAR</t>
  </si>
  <si>
    <t>E2101</t>
  </si>
  <si>
    <t>MICHAEL ZUNIGA PIMIENTA</t>
  </si>
  <si>
    <t>E2102</t>
  </si>
  <si>
    <t>BOLIVAR GABRIEL ALDANA RAMIREZ</t>
  </si>
  <si>
    <t>E2103</t>
  </si>
  <si>
    <t>GUSTAVO ADOLFO DEL ANGEL MONTERO</t>
  </si>
  <si>
    <t>E2105</t>
  </si>
  <si>
    <t>JUAN CARLOS TORRES LEON</t>
  </si>
  <si>
    <t>E2106</t>
  </si>
  <si>
    <t>JOSE ALEXANDER CALDERON AGUDELO</t>
  </si>
  <si>
    <t>E2107</t>
  </si>
  <si>
    <t>ES46 0182 3100 8902 0179 7389</t>
  </si>
  <si>
    <t>MAURO ADOLFO PLAZAS GUTIERREZ</t>
  </si>
  <si>
    <t>E2108</t>
  </si>
  <si>
    <t>OLMEDO ARIEL HERNANDEZ GONZALEZ</t>
  </si>
  <si>
    <t>E2109</t>
  </si>
  <si>
    <t>JEISON ALEXANDER GONZALEZ FARFAN</t>
  </si>
  <si>
    <t>E2110</t>
  </si>
  <si>
    <t>EDGAR MARINO ESCOBAR CAICEDO</t>
  </si>
  <si>
    <t>E2111</t>
  </si>
  <si>
    <t>E2079</t>
  </si>
  <si>
    <t>E2082</t>
  </si>
  <si>
    <t>E2083</t>
  </si>
  <si>
    <t>E2085</t>
  </si>
  <si>
    <t>LUIS FELIPE TRILLOS NAVARRO</t>
  </si>
  <si>
    <t>E2112</t>
  </si>
  <si>
    <t>JONNY ENRIQUE CURA VARGAS</t>
  </si>
  <si>
    <t>E2113</t>
  </si>
  <si>
    <t>ES90 6893 0001 7000 0026 9253</t>
  </si>
  <si>
    <t>ES87 0182 1077 3702 0162 4772</t>
  </si>
  <si>
    <t>ES56 6893 0001 7500 0036 0121</t>
  </si>
  <si>
    <t>ES71 2100 0868 5902 0107 2129</t>
  </si>
  <si>
    <t xml:space="preserve"> ES78 0182 5319 7900 0018 1172</t>
  </si>
  <si>
    <t>ALDEMAR DOMINGUEZ CERCADO</t>
  </si>
  <si>
    <t>E2114</t>
  </si>
  <si>
    <t>FRANKLIN JOSE DIAZ LINCE</t>
  </si>
  <si>
    <t>E2115</t>
  </si>
  <si>
    <t>E2116</t>
  </si>
  <si>
    <t>ES31 0049 5413 5521 1609 5173</t>
  </si>
  <si>
    <t>MARCELO JAVIER GARCIA RUIZ DIAZ</t>
  </si>
  <si>
    <t>E2117</t>
  </si>
  <si>
    <t>JUAN CARLOS CASTRO BARRAGAN</t>
  </si>
  <si>
    <t>E2118</t>
  </si>
  <si>
    <t>JEISON ANDRES REYES PACHECO</t>
  </si>
  <si>
    <t>E2119</t>
  </si>
  <si>
    <t>CESAR NORBEY PENAGOS DUQUE</t>
  </si>
  <si>
    <t>E2120</t>
  </si>
  <si>
    <t>JESUS ALBERTO PENARANDA VILLALOBOS</t>
  </si>
  <si>
    <t>E2121</t>
  </si>
  <si>
    <t>LUIS ENRIQUE LOPEZ CRESPO</t>
  </si>
  <si>
    <t>BAIRON ALBERTO BELTRAN PARDO</t>
  </si>
  <si>
    <t>E2122</t>
  </si>
  <si>
    <t>YEFERSON DANIEL NEIRA ESPINOSA</t>
  </si>
  <si>
    <t>E2123</t>
  </si>
  <si>
    <t>ROBERTO CASTILLA JIMENEZ</t>
  </si>
  <si>
    <t>E2124</t>
  </si>
  <si>
    <t>PEDRO ALEXANDER ROJAS RODRIGUEZ</t>
  </si>
  <si>
    <t>E2125</t>
  </si>
  <si>
    <t>ES24 2100 2473 9102 1051 2483</t>
  </si>
  <si>
    <t>E2126</t>
  </si>
  <si>
    <t>LUIS ALFREDO CONTRERA ROBLES</t>
  </si>
  <si>
    <t>E2127</t>
  </si>
  <si>
    <t>BE66 9676 0328 9543</t>
  </si>
  <si>
    <t>ES50 0049 4684 6828 1610 9610</t>
  </si>
  <si>
    <t>ES13 0182 0869 2702 0189 2201</t>
  </si>
  <si>
    <t>RANDYS MIGUEL NIEBLES HURTADO</t>
  </si>
  <si>
    <t>E2128</t>
  </si>
  <si>
    <t>YEISON HUGO ANGEL CALDERON</t>
  </si>
  <si>
    <t>E2129</t>
  </si>
  <si>
    <t>JUSSED CHAMORRO MENDEZ</t>
  </si>
  <si>
    <t>E2130</t>
  </si>
  <si>
    <t>CLAUDEMIR DO NASCIMENTO FURTADO</t>
  </si>
  <si>
    <t>KLINSMANN ANDRE COLINA MARIN</t>
  </si>
  <si>
    <t>E2131</t>
  </si>
  <si>
    <t>E2132</t>
  </si>
  <si>
    <t>ES29 6893 0001 7400 0036 7834</t>
  </si>
  <si>
    <t>AGUINALDO JOSE DA SILVA SOUZA</t>
  </si>
  <si>
    <t>E2134</t>
  </si>
  <si>
    <t>E2133</t>
  </si>
  <si>
    <t>GUILHERME CARVALHO DA SILVA</t>
  </si>
  <si>
    <t>NL02 BUNQ 2185 0437 57</t>
  </si>
  <si>
    <t>NL52 BUNQ 2185 1063 92</t>
  </si>
  <si>
    <t>SANTIAGO CASTRO RODRIGUEZ</t>
  </si>
  <si>
    <t>E2136</t>
  </si>
  <si>
    <t>ANTONY ALEXANDER HERNANDEZ CHIRINOS</t>
  </si>
  <si>
    <t>E2137</t>
  </si>
  <si>
    <t>RICARDO SILVA GARCIA</t>
  </si>
  <si>
    <t>E2138</t>
  </si>
  <si>
    <t>LUCAS VINICIUS FRANCO NOVAKOWSKI</t>
  </si>
  <si>
    <t>E2139</t>
  </si>
  <si>
    <t>BE29 9675 5422 9064</t>
  </si>
  <si>
    <t>ES93 6893 0001 7200 0036 0087</t>
  </si>
  <si>
    <t>ELHERT CAMPO CORTES</t>
  </si>
  <si>
    <t>E2141</t>
  </si>
  <si>
    <t>ALBERTO RICHELLI DA SILVA</t>
  </si>
  <si>
    <t>E2142</t>
  </si>
  <si>
    <t>NESTOR JAVIER BARRIOS PENA</t>
  </si>
  <si>
    <t>E2143</t>
  </si>
  <si>
    <t>JORGE LUIS CABALLERO POLO</t>
  </si>
  <si>
    <t>E2144</t>
  </si>
  <si>
    <t>ES74 0182 9035 1102 0173 4235</t>
  </si>
  <si>
    <t>E2145</t>
  </si>
  <si>
    <t>RICHARD ANDERSON RUIZ BARRETO</t>
  </si>
  <si>
    <t>E2146</t>
  </si>
  <si>
    <t>JULIO ERNESTO PANTA CRUZ</t>
  </si>
  <si>
    <t>E2147</t>
  </si>
  <si>
    <t>BE89 9674 5459 2785</t>
  </si>
  <si>
    <t>ES60 6893 0001 7000 0035 6802</t>
  </si>
  <si>
    <t>ES08 6893 0001 7600 0034 6871</t>
  </si>
  <si>
    <t>ES85 6893 0001 7300 0034 1558</t>
  </si>
  <si>
    <t>BE23 9675 5443 5491</t>
  </si>
  <si>
    <t>BE96 9670 0426 2205</t>
  </si>
  <si>
    <t>ES52 6893 0001 7400 0036 5480</t>
  </si>
  <si>
    <t>BE28 9676 1053 3120</t>
  </si>
  <si>
    <t>BE21 9675 4459 0803</t>
  </si>
  <si>
    <t>BE79 9675 6259 7033</t>
  </si>
  <si>
    <t>LT50 3250 0670 6953 1632</t>
  </si>
  <si>
    <t>ELMER FUQUEN CELY</t>
  </si>
  <si>
    <t>E2148</t>
  </si>
  <si>
    <t>ES61 2100 7673 5907 0113 0906</t>
  </si>
  <si>
    <t>ES66 0182 7218 2302 0170 1742</t>
  </si>
  <si>
    <t>EDDY NOEL PINEDA MORALES</t>
  </si>
  <si>
    <t>E2149</t>
  </si>
  <si>
    <t>ANDRES FERNANDO ORDONEZ ROJAS</t>
  </si>
  <si>
    <t>E2150</t>
  </si>
  <si>
    <t>PL37 1020 3714 0000 4002 0489 1950</t>
  </si>
  <si>
    <t>ES18 0182 0927 8002 0165 1098</t>
  </si>
  <si>
    <t>BE49 9676 0831 6971</t>
  </si>
  <si>
    <t>ES27 6893 0001 7200 0036 5543</t>
  </si>
  <si>
    <t>ES27 0182 0927 8102 0165 1081</t>
  </si>
  <si>
    <t>ES66 0182 0382 7702 0167 9668</t>
  </si>
  <si>
    <t>PT50 0018 0003 5744 3293 0201 5</t>
  </si>
  <si>
    <t>ES55 0182 1214 3302 0162 4902</t>
  </si>
  <si>
    <t>BE67 9676 0947 2887</t>
  </si>
  <si>
    <t>ES71 0182 5322 2100 0296 1488</t>
  </si>
  <si>
    <t>ES41 6893 0001 7700 0036 8150</t>
  </si>
  <si>
    <t>BE57 9052 9726 9035</t>
  </si>
  <si>
    <t>BE24 9056 9438 7338</t>
  </si>
  <si>
    <t>CRISTIAN RAFAEL ORDONEZ AGUIRRE</t>
  </si>
  <si>
    <t>E2151</t>
  </si>
  <si>
    <t>GABRIEL VICTOR DE OLIVEIRA</t>
  </si>
  <si>
    <t>E2152</t>
  </si>
  <si>
    <t>ANGEL RAFAEL DIAZ GUTIERREZ</t>
  </si>
  <si>
    <t>ES11 6893 0001 7100 0037 3252</t>
  </si>
  <si>
    <t>SAIR PERALTA GARCIA</t>
  </si>
  <si>
    <t>E2153</t>
  </si>
  <si>
    <t>ES90 0182 0581 1202 0160 1758</t>
  </si>
  <si>
    <t>ES15 0182 0956 5202 0180 0551</t>
  </si>
  <si>
    <t>ES32 0182 5319 7700 0083 4229</t>
  </si>
  <si>
    <t>ES92 6893 0001 7200 0036 8447</t>
  </si>
  <si>
    <t>BE71 9051 9401 5969</t>
  </si>
  <si>
    <t>ES06 0182 0956 5102 0180 0568</t>
  </si>
  <si>
    <t>ES63 0182 5996 3102 0159 5470</t>
  </si>
  <si>
    <t>ES11 0182 4036 5302 0167 2085</t>
  </si>
  <si>
    <t>ES25 0182 0838 6502 0157 5647</t>
  </si>
  <si>
    <t>ES37 6893 0001 7500 0036 3082</t>
  </si>
  <si>
    <t>ES66 6893 0001 7300 0037 0224</t>
  </si>
  <si>
    <t>ES88 0182 5900 0902 0157 1022</t>
  </si>
  <si>
    <t>ES47 0182 9034 5702 0167 1601</t>
  </si>
  <si>
    <t xml:space="preserve"> ES89 2100 0045 8302 0067 2951</t>
  </si>
  <si>
    <t>ES45 0182 5011 1002 0224 2623</t>
  </si>
  <si>
    <t>ES27 2100 1553 6902 0037 4216</t>
  </si>
  <si>
    <t>BE76 9052 3271 1895</t>
  </si>
  <si>
    <t>x</t>
  </si>
  <si>
    <t>BE93 9052 9049 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</si>
</sst>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7"/>
      <color theme="1"/>
      <name val="Segoe UI"/>
      <family val="2"/>
    </font>
    <font>
      <sz val="8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7"/>
      <color theme="4" tint="-0.499984740745262"/>
      <name val="Segoe UI"/>
      <family val="2"/>
    </font>
    <font>
      <b/>
      <sz val="8"/>
      <color theme="0"/>
      <name val="Segoe UI"/>
      <family val="2"/>
    </font>
    <font>
      <u/>
      <sz val="10"/>
      <color theme="10"/>
      <name val="Segoe UI"/>
      <family val="2"/>
    </font>
    <font>
      <u/>
      <sz val="11"/>
      <color theme="10"/>
      <name val="Segoe UI"/>
      <family val="2"/>
    </font>
    <font>
      <b/>
      <sz val="10"/>
      <color theme="1"/>
      <name val="Segoe UI"/>
      <family val="2"/>
    </font>
    <font>
      <sz val="11"/>
      <color theme="0"/>
      <name val="Aptos Narrow"/>
      <family val="2"/>
      <scheme val="minor"/>
    </font>
    <font>
      <sz val="10"/>
      <name val="Segoe UI"/>
      <family val="2"/>
    </font>
    <font>
      <sz val="10"/>
      <color rgb="FF000000"/>
      <name val="Segoe UI"/>
      <family val="2"/>
    </font>
    <font>
      <sz val="10"/>
      <color rgb="FFFF000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dashed">
        <color theme="0"/>
      </left>
      <right style="dashed">
        <color theme="0"/>
      </right>
      <top style="thick">
        <color theme="4" tint="-0.499984740745262"/>
      </top>
      <bottom style="thick">
        <color theme="4" tint="-0.499984740745262"/>
      </bottom>
      <diagonal/>
    </border>
    <border>
      <left style="dashed">
        <color theme="0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dashed">
        <color theme="0"/>
      </left>
      <right style="dashed">
        <color theme="0"/>
      </right>
      <top/>
      <bottom style="thick">
        <color theme="4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2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0" borderId="0" xfId="0" applyFont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/>
    </xf>
    <xf numFmtId="0" fontId="12" fillId="0" borderId="1" xfId="1" applyFont="1" applyBorder="1" applyAlignment="1">
      <alignment horizontal="center" vertical="center"/>
    </xf>
    <xf numFmtId="0" fontId="11" fillId="0" borderId="0" xfId="1" applyFont="1" applyFill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3" fillId="0" borderId="0" xfId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164" fontId="1" fillId="0" borderId="6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3" fillId="0" borderId="1" xfId="1" applyFill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0" borderId="6" xfId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6" xfId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2" fillId="0" borderId="6" xfId="1" applyFont="1" applyFill="1" applyBorder="1" applyAlignment="1">
      <alignment horizontal="center"/>
    </xf>
    <xf numFmtId="0" fontId="12" fillId="0" borderId="0" xfId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2" fillId="0" borderId="1" xfId="1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1" fillId="0" borderId="6" xfId="1" applyFont="1" applyBorder="1" applyAlignment="1">
      <alignment horizontal="center"/>
    </xf>
    <xf numFmtId="0" fontId="3" fillId="0" borderId="6" xfId="1" applyFill="1" applyBorder="1" applyAlignment="1">
      <alignment horizontal="center"/>
    </xf>
    <xf numFmtId="0" fontId="3" fillId="0" borderId="0" xfId="1" applyFill="1" applyBorder="1" applyAlignment="1">
      <alignment horizontal="center"/>
    </xf>
    <xf numFmtId="0" fontId="11" fillId="0" borderId="0" xfId="1" applyFont="1" applyBorder="1" applyAlignment="1">
      <alignment horizontal="center"/>
    </xf>
    <xf numFmtId="16" fontId="1" fillId="0" borderId="1" xfId="0" applyNumberFormat="1" applyFont="1" applyBorder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iperlink" xfId="1" builtinId="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border>
        <bottom style="thick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dashed">
          <color theme="0"/>
        </left>
        <right style="dashed">
          <color theme="0"/>
        </right>
        <top/>
        <bottom/>
        <vertical style="dashed">
          <color theme="0"/>
        </vertical>
        <horizontal/>
      </border>
    </dxf>
    <dxf>
      <border>
        <vertical style="hair">
          <color theme="0" tint="-0.14996795556505021"/>
        </vertical>
        <horizontal style="hair">
          <color theme="0" tint="-0.14996795556505021"/>
        </horizontal>
      </border>
    </dxf>
    <dxf>
      <border>
        <vertical style="hair">
          <color theme="0" tint="-0.14996795556505021"/>
        </vertical>
        <horizontal style="hair">
          <color theme="0" tint="-0.14996795556505021"/>
        </horizontal>
      </border>
    </dxf>
    <dxf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Estilo de tabla 1" pivot="0" count="1" xr9:uid="{CC20202E-D761-490C-95EF-3F05A30DA4EE}">
      <tableStyleElement type="secondRowStripe" dxfId="23"/>
    </tableStyle>
    <tableStyle name="Estilo de tabla 2" pivot="0" count="1" xr9:uid="{D8E6E255-0FC3-455C-82A2-49B419E3CB06}">
      <tableStyleElement type="wholeTable" dxfId="22"/>
    </tableStyle>
    <tableStyle name="Estilo de tabla 3" pivot="0" count="1" xr9:uid="{B0A895A1-8559-4CD2-8235-8D476C33364E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trol General'!A1"/><Relationship Id="rId2" Type="http://schemas.microsoft.com/office/2007/relationships/hdphoto" Target="../media/hdphoto1.wdp"/><Relationship Id="rId1" Type="http://schemas.openxmlformats.org/officeDocument/2006/relationships/image" Target="../media/image4.png"/><Relationship Id="rId4" Type="http://schemas.openxmlformats.org/officeDocument/2006/relationships/hyperlink" Target="#Informacion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Control General'!A1"/><Relationship Id="rId2" Type="http://schemas.microsoft.com/office/2007/relationships/hdphoto" Target="../media/hdphoto2.wdp"/><Relationship Id="rId1" Type="http://schemas.openxmlformats.org/officeDocument/2006/relationships/image" Target="../media/image5.png"/><Relationship Id="rId4" Type="http://schemas.openxmlformats.org/officeDocument/2006/relationships/hyperlink" Target="#Informacion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95250</xdr:colOff>
      <xdr:row>0</xdr:row>
      <xdr:rowOff>217344</xdr:rowOff>
    </xdr:from>
    <xdr:to>
      <xdr:col>7</xdr:col>
      <xdr:colOff>2036618</xdr:colOff>
      <xdr:row>1</xdr:row>
      <xdr:rowOff>198293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B4072826-1743-4B4C-AFF8-D153B81D2509}"/>
            </a:ext>
          </a:extLst>
        </xdr:cNvPr>
        <xdr:cNvSpPr/>
      </xdr:nvSpPr>
      <xdr:spPr>
        <a:xfrm>
          <a:off x="6580909" y="217344"/>
          <a:ext cx="1939636" cy="543790"/>
        </a:xfrm>
        <a:prstGeom prst="roundRect">
          <a:avLst>
            <a:gd name="adj" fmla="val 46448"/>
          </a:avLst>
        </a:prstGeom>
        <a:solidFill>
          <a:schemeClr val="accent1">
            <a:lumMod val="40000"/>
            <a:lumOff val="60000"/>
            <a:alpha val="1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n>
              <a:solidFill>
                <a:schemeClr val="lt1">
                  <a:shade val="50000"/>
                </a:schemeClr>
              </a:solidFill>
            </a:ln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219075</xdr:colOff>
      <xdr:row>0</xdr:row>
      <xdr:rowOff>57150</xdr:rowOff>
    </xdr:from>
    <xdr:to>
      <xdr:col>2</xdr:col>
      <xdr:colOff>47625</xdr:colOff>
      <xdr:row>0</xdr:row>
      <xdr:rowOff>510638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867BC0-DA3A-4200-930E-97E1F3371A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brightnessContrast bright="100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297" t="320" r="37421" b="42628"/>
        <a:stretch/>
      </xdr:blipFill>
      <xdr:spPr>
        <a:xfrm>
          <a:off x="219075" y="57150"/>
          <a:ext cx="514350" cy="453488"/>
        </a:xfrm>
        <a:prstGeom prst="rect">
          <a:avLst/>
        </a:prstGeom>
      </xdr:spPr>
    </xdr:pic>
    <xdr:clientData/>
  </xdr:twoCellAnchor>
  <xdr:twoCellAnchor editAs="absolute">
    <xdr:from>
      <xdr:col>6</xdr:col>
      <xdr:colOff>846858</xdr:colOff>
      <xdr:row>0</xdr:row>
      <xdr:rowOff>214746</xdr:rowOff>
    </xdr:from>
    <xdr:to>
      <xdr:col>6</xdr:col>
      <xdr:colOff>2791690</xdr:colOff>
      <xdr:row>1</xdr:row>
      <xdr:rowOff>195695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8A05F0C-7EC5-470E-A161-05B23521AE24}"/>
            </a:ext>
          </a:extLst>
        </xdr:cNvPr>
        <xdr:cNvSpPr/>
      </xdr:nvSpPr>
      <xdr:spPr>
        <a:xfrm>
          <a:off x="4280188" y="214746"/>
          <a:ext cx="1941368" cy="543790"/>
        </a:xfrm>
        <a:prstGeom prst="roundRect">
          <a:avLst>
            <a:gd name="adj" fmla="val 4644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n>
              <a:solidFill>
                <a:schemeClr val="lt1">
                  <a:shade val="50000"/>
                </a:schemeClr>
              </a:solidFill>
            </a:ln>
            <a:solidFill>
              <a:schemeClr val="lt1"/>
            </a:solidFill>
          </a:endParaRPr>
        </a:p>
      </xdr:txBody>
    </xdr:sp>
    <xdr:clientData/>
  </xdr:twoCellAnchor>
  <xdr:twoCellAnchor editAs="absolute">
    <xdr:from>
      <xdr:col>7</xdr:col>
      <xdr:colOff>266699</xdr:colOff>
      <xdr:row>0</xdr:row>
      <xdr:rowOff>247649</xdr:rowOff>
    </xdr:from>
    <xdr:to>
      <xdr:col>7</xdr:col>
      <xdr:colOff>1914525</xdr:colOff>
      <xdr:row>0</xdr:row>
      <xdr:rowOff>535649</xdr:rowOff>
    </xdr:to>
    <xdr:sp macro="" textlink="">
      <xdr:nvSpPr>
        <xdr:cNvPr id="4" name="Cuadro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084BB6-B1DA-466D-93D8-DC57B0941BC5}"/>
            </a:ext>
          </a:extLst>
        </xdr:cNvPr>
        <xdr:cNvSpPr txBox="1"/>
      </xdr:nvSpPr>
      <xdr:spPr>
        <a:xfrm>
          <a:off x="6762749" y="247649"/>
          <a:ext cx="1647826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bg1">
                  <a:alpha val="44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CONTROL</a:t>
          </a:r>
          <a:r>
            <a:rPr lang="es-ES" sz="1400" b="1">
              <a:solidFill>
                <a:schemeClr val="accent1">
                  <a:lumMod val="50000"/>
                  <a:alpha val="44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s-ES" sz="1400" b="1">
              <a:solidFill>
                <a:schemeClr val="bg1">
                  <a:alpha val="44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GENERAL</a:t>
          </a:r>
        </a:p>
      </xdr:txBody>
    </xdr:sp>
    <xdr:clientData/>
  </xdr:twoCellAnchor>
  <xdr:twoCellAnchor editAs="absolute">
    <xdr:from>
      <xdr:col>0</xdr:col>
      <xdr:colOff>1</xdr:colOff>
      <xdr:row>1</xdr:row>
      <xdr:rowOff>9525</xdr:rowOff>
    </xdr:from>
    <xdr:to>
      <xdr:col>24</xdr:col>
      <xdr:colOff>1</xdr:colOff>
      <xdr:row>3</xdr:row>
      <xdr:rowOff>171450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A3D72A2-8F25-406A-A672-2A34DCF5B5BA}"/>
            </a:ext>
          </a:extLst>
        </xdr:cNvPr>
        <xdr:cNvSpPr/>
      </xdr:nvSpPr>
      <xdr:spPr>
        <a:xfrm>
          <a:off x="1" y="571500"/>
          <a:ext cx="20574000" cy="666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absolute">
    <xdr:from>
      <xdr:col>6</xdr:col>
      <xdr:colOff>1057275</xdr:colOff>
      <xdr:row>0</xdr:row>
      <xdr:rowOff>257174</xdr:rowOff>
    </xdr:from>
    <xdr:to>
      <xdr:col>6</xdr:col>
      <xdr:colOff>2590801</xdr:colOff>
      <xdr:row>0</xdr:row>
      <xdr:rowOff>545174</xdr:rowOff>
    </xdr:to>
    <xdr:sp macro="" textlink="">
      <xdr:nvSpPr>
        <xdr:cNvPr id="7" name="CuadroText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2A2DC0-20E2-4578-8D87-58DDB715FC69}"/>
            </a:ext>
          </a:extLst>
        </xdr:cNvPr>
        <xdr:cNvSpPr txBox="1"/>
      </xdr:nvSpPr>
      <xdr:spPr>
        <a:xfrm>
          <a:off x="4495800" y="257174"/>
          <a:ext cx="1533526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accent1">
                  <a:lumMod val="50000"/>
                  <a:alpha val="44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INFORMACIONES</a:t>
          </a:r>
        </a:p>
      </xdr:txBody>
    </xdr:sp>
    <xdr:clientData/>
  </xdr:twoCellAnchor>
  <xdr:twoCellAnchor>
    <xdr:from>
      <xdr:col>9</xdr:col>
      <xdr:colOff>600075</xdr:colOff>
      <xdr:row>2</xdr:row>
      <xdr:rowOff>180975</xdr:rowOff>
    </xdr:from>
    <xdr:to>
      <xdr:col>11</xdr:col>
      <xdr:colOff>600075</xdr:colOff>
      <xdr:row>9</xdr:row>
      <xdr:rowOff>114299</xdr:rowOff>
    </xdr:to>
    <xdr:sp macro="" textlink="$K$8">
      <xdr:nvSpPr>
        <xdr:cNvPr id="8" name="CuadroTexto 7">
          <a:extLst>
            <a:ext uri="{FF2B5EF4-FFF2-40B4-BE49-F238E27FC236}">
              <a16:creationId xmlns:a16="http://schemas.microsoft.com/office/drawing/2014/main" id="{5488CC1D-8032-4DCB-BA5B-0888338199BE}"/>
            </a:ext>
          </a:extLst>
        </xdr:cNvPr>
        <xdr:cNvSpPr txBox="1"/>
      </xdr:nvSpPr>
      <xdr:spPr>
        <a:xfrm>
          <a:off x="10050992" y="995892"/>
          <a:ext cx="1524000" cy="16901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fld id="{A510BEAE-6326-4C6D-80D5-C01B602B9F36}" type="TxLink">
            <a:rPr lang="en-US" sz="6600" b="1" i="0" u="none" strike="noStrike">
              <a:solidFill>
                <a:schemeClr val="accent1">
                  <a:lumMod val="50000"/>
                </a:schemeClr>
              </a:solidFill>
              <a:latin typeface="Aptos Narrow"/>
              <a:cs typeface="Segoe UI"/>
            </a:rPr>
            <a:pPr/>
            <a:t>5</a:t>
          </a:fld>
          <a:endParaRPr lang="es-ES" sz="595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266699</xdr:colOff>
      <xdr:row>2</xdr:row>
      <xdr:rowOff>228600</xdr:rowOff>
    </xdr:from>
    <xdr:to>
      <xdr:col>3</xdr:col>
      <xdr:colOff>790574</xdr:colOff>
      <xdr:row>9</xdr:row>
      <xdr:rowOff>66674</xdr:rowOff>
    </xdr:to>
    <xdr:sp macro="" textlink="$C$9">
      <xdr:nvSpPr>
        <xdr:cNvPr id="11" name="CuadroTexto 8">
          <a:extLst>
            <a:ext uri="{FF2B5EF4-FFF2-40B4-BE49-F238E27FC236}">
              <a16:creationId xmlns:a16="http://schemas.microsoft.com/office/drawing/2014/main" id="{3AC6EBF4-B5B7-46FF-86E5-7162E39BE94F}"/>
            </a:ext>
          </a:extLst>
        </xdr:cNvPr>
        <xdr:cNvSpPr txBox="1"/>
      </xdr:nvSpPr>
      <xdr:spPr>
        <a:xfrm>
          <a:off x="1133474" y="1047750"/>
          <a:ext cx="1495425" cy="1571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/>
          <a:fld id="{D900EE9F-B66F-4F59-90BB-BE91B6C2B88D}" type="TxLink">
            <a:rPr lang="en-US" sz="6600" b="1" i="0" u="none" strike="noStrike">
              <a:solidFill>
                <a:schemeClr val="accent1">
                  <a:lumMod val="50000"/>
                </a:schemeClr>
              </a:solidFill>
              <a:latin typeface="Aptos Narrow"/>
              <a:ea typeface="+mn-ea"/>
              <a:cs typeface="Segoe UI"/>
            </a:rPr>
            <a:pPr marL="0" indent="0"/>
            <a:t>61</a:t>
          </a:fld>
          <a:endParaRPr lang="es-ES" sz="6600" b="1" i="0" u="none" strike="noStrike">
            <a:solidFill>
              <a:schemeClr val="accent1">
                <a:lumMod val="50000"/>
              </a:schemeClr>
            </a:solidFill>
            <a:latin typeface="Aptos Narrow"/>
            <a:ea typeface="+mn-ea"/>
            <a:cs typeface="Segoe UI"/>
          </a:endParaRPr>
        </a:p>
      </xdr:txBody>
    </xdr:sp>
    <xdr:clientData/>
  </xdr:twoCellAnchor>
  <xdr:twoCellAnchor>
    <xdr:from>
      <xdr:col>9</xdr:col>
      <xdr:colOff>552451</xdr:colOff>
      <xdr:row>3</xdr:row>
      <xdr:rowOff>285750</xdr:rowOff>
    </xdr:from>
    <xdr:to>
      <xdr:col>12</xdr:col>
      <xdr:colOff>38101</xdr:colOff>
      <xdr:row>4</xdr:row>
      <xdr:rowOff>228601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63BD7DC-7692-4FBE-9B16-479717767AD5}"/>
            </a:ext>
          </a:extLst>
        </xdr:cNvPr>
        <xdr:cNvSpPr txBox="1"/>
      </xdr:nvSpPr>
      <xdr:spPr>
        <a:xfrm>
          <a:off x="9591676" y="1352550"/>
          <a:ext cx="1771650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100" b="1">
              <a:solidFill>
                <a:schemeClr val="dk1">
                  <a:alpha val="34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CANT</a:t>
          </a:r>
          <a:r>
            <a:rPr lang="es-ES" sz="1100" b="1" baseline="0">
              <a:solidFill>
                <a:schemeClr val="dk1">
                  <a:alpha val="34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IBAN FALTANTES</a:t>
          </a:r>
          <a:endParaRPr lang="es-ES" sz="1100" b="1">
            <a:solidFill>
              <a:schemeClr val="dk1">
                <a:alpha val="34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123824</xdr:colOff>
      <xdr:row>3</xdr:row>
      <xdr:rowOff>152399</xdr:rowOff>
    </xdr:from>
    <xdr:to>
      <xdr:col>5</xdr:col>
      <xdr:colOff>942974</xdr:colOff>
      <xdr:row>5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6CAFFD1-A89B-455F-A168-1BC4DE7109F8}"/>
            </a:ext>
          </a:extLst>
        </xdr:cNvPr>
        <xdr:cNvSpPr txBox="1"/>
      </xdr:nvSpPr>
      <xdr:spPr>
        <a:xfrm>
          <a:off x="1523999" y="1219199"/>
          <a:ext cx="2600325" cy="533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100" b="1" baseline="0">
              <a:solidFill>
                <a:schemeClr val="dk1">
                  <a:alpha val="34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CANTIDAD DE IBAN ACTUALIZADA RECIENTEMENTE</a:t>
          </a:r>
        </a:p>
      </xdr:txBody>
    </xdr:sp>
    <xdr:clientData/>
  </xdr:twoCellAnchor>
  <xdr:twoCellAnchor>
    <xdr:from>
      <xdr:col>12</xdr:col>
      <xdr:colOff>371476</xdr:colOff>
      <xdr:row>4</xdr:row>
      <xdr:rowOff>190500</xdr:rowOff>
    </xdr:from>
    <xdr:to>
      <xdr:col>15</xdr:col>
      <xdr:colOff>66676</xdr:colOff>
      <xdr:row>5</xdr:row>
      <xdr:rowOff>190501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91DAEAA-1AB2-4826-8D20-54C0D7D85CEC}"/>
            </a:ext>
          </a:extLst>
        </xdr:cNvPr>
        <xdr:cNvSpPr txBox="1"/>
      </xdr:nvSpPr>
      <xdr:spPr>
        <a:xfrm>
          <a:off x="12172951" y="1552575"/>
          <a:ext cx="1676400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100" b="1">
              <a:solidFill>
                <a:schemeClr val="dk1">
                  <a:alpha val="34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Personas</a:t>
          </a:r>
          <a:r>
            <a:rPr lang="es-ES" sz="1100" b="1" baseline="0">
              <a:solidFill>
                <a:schemeClr val="dk1">
                  <a:alpha val="34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faltantes</a:t>
          </a:r>
          <a:endParaRPr lang="es-ES" sz="1100" b="1">
            <a:solidFill>
              <a:schemeClr val="dk1">
                <a:alpha val="34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429280</xdr:colOff>
      <xdr:row>3</xdr:row>
      <xdr:rowOff>276225</xdr:rowOff>
    </xdr:from>
    <xdr:to>
      <xdr:col>9</xdr:col>
      <xdr:colOff>628215</xdr:colOff>
      <xdr:row>210</xdr:row>
      <xdr:rowOff>114300</xdr:rowOff>
    </xdr:to>
    <xdr:cxnSp macro="">
      <xdr:nvCxnSpPr>
        <xdr:cNvPr id="19" name="Conector recto 26">
          <a:extLst>
            <a:ext uri="{FF2B5EF4-FFF2-40B4-BE49-F238E27FC236}">
              <a16:creationId xmlns:a16="http://schemas.microsoft.com/office/drawing/2014/main" id="{AA9DA4A5-15BF-462C-9EFF-959EB90D6A24}"/>
            </a:ext>
          </a:extLst>
        </xdr:cNvPr>
        <xdr:cNvCxnSpPr>
          <a:cxnSpLocks noChangeAspect="1"/>
        </xdr:cNvCxnSpPr>
      </xdr:nvCxnSpPr>
      <xdr:spPr>
        <a:xfrm>
          <a:off x="9830455" y="1343025"/>
          <a:ext cx="198935" cy="49187100"/>
        </a:xfrm>
        <a:prstGeom prst="line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3</xdr:row>
      <xdr:rowOff>152400</xdr:rowOff>
    </xdr:from>
    <xdr:to>
      <xdr:col>2</xdr:col>
      <xdr:colOff>218636</xdr:colOff>
      <xdr:row>210</xdr:row>
      <xdr:rowOff>152400</xdr:rowOff>
    </xdr:to>
    <xdr:cxnSp macro="">
      <xdr:nvCxnSpPr>
        <xdr:cNvPr id="20" name="Conector recto 27">
          <a:extLst>
            <a:ext uri="{FF2B5EF4-FFF2-40B4-BE49-F238E27FC236}">
              <a16:creationId xmlns:a16="http://schemas.microsoft.com/office/drawing/2014/main" id="{2F362131-92B3-44FF-859D-F37DB02BEC29}"/>
            </a:ext>
          </a:extLst>
        </xdr:cNvPr>
        <xdr:cNvCxnSpPr>
          <a:cxnSpLocks noChangeAspect="1"/>
        </xdr:cNvCxnSpPr>
      </xdr:nvCxnSpPr>
      <xdr:spPr>
        <a:xfrm>
          <a:off x="885825" y="1219200"/>
          <a:ext cx="199586" cy="49349025"/>
        </a:xfrm>
        <a:prstGeom prst="line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904876</xdr:colOff>
      <xdr:row>4</xdr:row>
      <xdr:rowOff>200025</xdr:rowOff>
    </xdr:from>
    <xdr:to>
      <xdr:col>7</xdr:col>
      <xdr:colOff>733426</xdr:colOff>
      <xdr:row>5</xdr:row>
      <xdr:rowOff>200026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E7EE847-4928-4162-932B-63F924D47B0A}"/>
            </a:ext>
          </a:extLst>
        </xdr:cNvPr>
        <xdr:cNvSpPr txBox="1"/>
      </xdr:nvSpPr>
      <xdr:spPr>
        <a:xfrm>
          <a:off x="5219701" y="1562100"/>
          <a:ext cx="1771650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100" b="1">
              <a:solidFill>
                <a:schemeClr val="dk1">
                  <a:alpha val="34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Actualizaciones</a:t>
          </a:r>
        </a:p>
      </xdr:txBody>
    </xdr:sp>
    <xdr:clientData/>
  </xdr:twoCellAnchor>
  <xdr:twoCellAnchor editAs="absolute">
    <xdr:from>
      <xdr:col>2</xdr:col>
      <xdr:colOff>38100</xdr:colOff>
      <xdr:row>0</xdr:row>
      <xdr:rowOff>57150</xdr:rowOff>
    </xdr:from>
    <xdr:to>
      <xdr:col>5</xdr:col>
      <xdr:colOff>209970</xdr:colOff>
      <xdr:row>0</xdr:row>
      <xdr:rowOff>512235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4B35E63-2A2A-4610-B278-147F59B051A5}"/>
            </a:ext>
          </a:extLst>
        </xdr:cNvPr>
        <xdr:cNvSpPr txBox="1"/>
      </xdr:nvSpPr>
      <xdr:spPr>
        <a:xfrm>
          <a:off x="723900" y="57150"/>
          <a:ext cx="1953045" cy="45508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Kotrik Industrial, LDA</a:t>
          </a:r>
          <a:b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</a:br>
          <a: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PT515660710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São Tomé e Príncipe 267, 4430-228, Portugal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600" b="0" i="0" u="none" strike="noStrike" kern="1200" cap="none" spc="0" normalizeH="0" baseline="0" noProof="0">
            <a:ln>
              <a:noFill/>
            </a:ln>
            <a:solidFill>
              <a:sysClr val="window" lastClr="FFFFFF">
                <a:alpha val="59000"/>
              </a:sysClr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67794</xdr:colOff>
      <xdr:row>0</xdr:row>
      <xdr:rowOff>38099</xdr:rowOff>
    </xdr:from>
    <xdr:to>
      <xdr:col>1</xdr:col>
      <xdr:colOff>602705</xdr:colOff>
      <xdr:row>0</xdr:row>
      <xdr:rowOff>495300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7572B7-FCED-4CA4-9B49-B9BD718F47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brightnessContrast bright="100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297" t="320" r="37421" b="42628"/>
        <a:stretch/>
      </xdr:blipFill>
      <xdr:spPr>
        <a:xfrm>
          <a:off x="372594" y="38099"/>
          <a:ext cx="534911" cy="457201"/>
        </a:xfrm>
        <a:prstGeom prst="rect">
          <a:avLst/>
        </a:prstGeom>
      </xdr:spPr>
    </xdr:pic>
    <xdr:clientData/>
  </xdr:twoCellAnchor>
  <xdr:twoCellAnchor editAs="absolute">
    <xdr:from>
      <xdr:col>4</xdr:col>
      <xdr:colOff>411380</xdr:colOff>
      <xdr:row>0</xdr:row>
      <xdr:rowOff>208493</xdr:rowOff>
    </xdr:from>
    <xdr:to>
      <xdr:col>6</xdr:col>
      <xdr:colOff>225114</xdr:colOff>
      <xdr:row>1</xdr:row>
      <xdr:rowOff>189442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CC9B878-606D-44C7-98D9-15B3E606C06D}"/>
            </a:ext>
          </a:extLst>
        </xdr:cNvPr>
        <xdr:cNvSpPr/>
      </xdr:nvSpPr>
      <xdr:spPr>
        <a:xfrm>
          <a:off x="6652372" y="208493"/>
          <a:ext cx="1939925" cy="541866"/>
        </a:xfrm>
        <a:prstGeom prst="roundRect">
          <a:avLst>
            <a:gd name="adj" fmla="val 4644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n>
              <a:solidFill>
                <a:schemeClr val="lt1">
                  <a:shade val="50000"/>
                </a:schemeClr>
              </a:solidFill>
            </a:ln>
            <a:solidFill>
              <a:schemeClr val="lt1"/>
            </a:solidFill>
          </a:endParaRPr>
        </a:p>
      </xdr:txBody>
    </xdr:sp>
    <xdr:clientData/>
  </xdr:twoCellAnchor>
  <xdr:twoCellAnchor editAs="absolute">
    <xdr:from>
      <xdr:col>4</xdr:col>
      <xdr:colOff>572246</xdr:colOff>
      <xdr:row>0</xdr:row>
      <xdr:rowOff>225424</xdr:rowOff>
    </xdr:from>
    <xdr:to>
      <xdr:col>6</xdr:col>
      <xdr:colOff>109755</xdr:colOff>
      <xdr:row>1</xdr:row>
      <xdr:rowOff>24507</xdr:rowOff>
    </xdr:to>
    <xdr:sp macro="" textlink="">
      <xdr:nvSpPr>
        <xdr:cNvPr id="6" name="CuadroText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732987-2289-7358-9D48-5DD1541AEBAC}"/>
            </a:ext>
          </a:extLst>
        </xdr:cNvPr>
        <xdr:cNvSpPr txBox="1"/>
      </xdr:nvSpPr>
      <xdr:spPr>
        <a:xfrm>
          <a:off x="6805829" y="225424"/>
          <a:ext cx="1664759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accent1">
                  <a:lumMod val="50000"/>
                  <a:alpha val="44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CONTROL GENERAL</a:t>
          </a:r>
        </a:p>
      </xdr:txBody>
    </xdr:sp>
    <xdr:clientData/>
  </xdr:twoCellAnchor>
  <xdr:twoCellAnchor editAs="absolute">
    <xdr:from>
      <xdr:col>3</xdr:col>
      <xdr:colOff>334121</xdr:colOff>
      <xdr:row>0</xdr:row>
      <xdr:rowOff>200026</xdr:rowOff>
    </xdr:from>
    <xdr:to>
      <xdr:col>4</xdr:col>
      <xdr:colOff>82239</xdr:colOff>
      <xdr:row>1</xdr:row>
      <xdr:rowOff>180975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E9E67EF9-F6E1-424E-B59C-DB24A9026022}"/>
            </a:ext>
          </a:extLst>
        </xdr:cNvPr>
        <xdr:cNvSpPr/>
      </xdr:nvSpPr>
      <xdr:spPr>
        <a:xfrm>
          <a:off x="4295775" y="200026"/>
          <a:ext cx="1943100" cy="542924"/>
        </a:xfrm>
        <a:prstGeom prst="roundRect">
          <a:avLst>
            <a:gd name="adj" fmla="val 46448"/>
          </a:avLst>
        </a:prstGeom>
        <a:solidFill>
          <a:schemeClr val="accent1">
            <a:lumMod val="40000"/>
            <a:lumOff val="60000"/>
            <a:alpha val="1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n>
              <a:solidFill>
                <a:schemeClr val="lt1">
                  <a:shade val="50000"/>
                </a:schemeClr>
              </a:solidFill>
            </a:ln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542926</xdr:rowOff>
    </xdr:from>
    <xdr:to>
      <xdr:col>11</xdr:col>
      <xdr:colOff>571500</xdr:colOff>
      <xdr:row>1</xdr:row>
      <xdr:rowOff>252944</xdr:rowOff>
    </xdr:to>
    <xdr:sp macro="" textlink="">
      <xdr:nvSpPr>
        <xdr:cNvPr id="3" name="Rectángulo 3">
          <a:extLst>
            <a:ext uri="{FF2B5EF4-FFF2-40B4-BE49-F238E27FC236}">
              <a16:creationId xmlns:a16="http://schemas.microsoft.com/office/drawing/2014/main" id="{44E63058-A551-1368-5903-8F6D01AE5FB2}"/>
            </a:ext>
          </a:extLst>
        </xdr:cNvPr>
        <xdr:cNvSpPr/>
      </xdr:nvSpPr>
      <xdr:spPr>
        <a:xfrm>
          <a:off x="0" y="542926"/>
          <a:ext cx="16234833" cy="2709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absolute">
    <xdr:from>
      <xdr:col>3</xdr:col>
      <xdr:colOff>570130</xdr:colOff>
      <xdr:row>0</xdr:row>
      <xdr:rowOff>195792</xdr:rowOff>
    </xdr:from>
    <xdr:to>
      <xdr:col>3</xdr:col>
      <xdr:colOff>2049992</xdr:colOff>
      <xdr:row>0</xdr:row>
      <xdr:rowOff>555792</xdr:rowOff>
    </xdr:to>
    <xdr:sp macro="" textlink="">
      <xdr:nvSpPr>
        <xdr:cNvPr id="8" name="Cuadro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7DC50B-7055-4FAF-891F-722AD487E18C}"/>
            </a:ext>
          </a:extLst>
        </xdr:cNvPr>
        <xdr:cNvSpPr txBox="1"/>
      </xdr:nvSpPr>
      <xdr:spPr>
        <a:xfrm>
          <a:off x="4612963" y="195792"/>
          <a:ext cx="1479862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bg1">
                  <a:alpha val="44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INFORMACIONES</a:t>
          </a:r>
        </a:p>
      </xdr:txBody>
    </xdr:sp>
    <xdr:clientData/>
  </xdr:twoCellAnchor>
  <xdr:twoCellAnchor editAs="absolute">
    <xdr:from>
      <xdr:col>1</xdr:col>
      <xdr:colOff>603252</xdr:colOff>
      <xdr:row>0</xdr:row>
      <xdr:rowOff>42332</xdr:rowOff>
    </xdr:from>
    <xdr:to>
      <xdr:col>2</xdr:col>
      <xdr:colOff>1889547</xdr:colOff>
      <xdr:row>0</xdr:row>
      <xdr:rowOff>497417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6BD1285-04D5-491B-904D-F7B5C4C24BE3}"/>
            </a:ext>
          </a:extLst>
        </xdr:cNvPr>
        <xdr:cNvSpPr txBox="1"/>
      </xdr:nvSpPr>
      <xdr:spPr>
        <a:xfrm>
          <a:off x="910169" y="42332"/>
          <a:ext cx="1953045" cy="45508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Kotrik Industrial, LDA</a:t>
          </a:r>
          <a:b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</a:br>
          <a: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PT515660710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700" b="0" i="0" u="none" strike="noStrike" kern="1200" cap="none" spc="0" normalizeH="0" baseline="0" noProof="0">
              <a:ln>
                <a:noFill/>
              </a:ln>
              <a:solidFill>
                <a:sysClr val="window" lastClr="FFFFFF">
                  <a:alpha val="59000"/>
                </a:sysClr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São Tomé e Príncipe 267, 4430-228, Portugal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600" b="0" i="0" u="none" strike="noStrike" kern="1200" cap="none" spc="0" normalizeH="0" baseline="0" noProof="0">
            <a:ln>
              <a:noFill/>
            </a:ln>
            <a:solidFill>
              <a:sysClr val="window" lastClr="FFFFFF">
                <a:alpha val="59000"/>
              </a:sysClr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298F64-88A7-4E61-A63B-0280E28792D1}" autoFormatId="16" applyNumberFormats="0" applyBorderFormats="0" applyFontFormats="0" applyPatternFormats="0" applyAlignmentFormats="0" applyWidthHeightFormats="0">
  <queryTableRefresh nextId="4">
    <queryTableFields count="2">
      <queryTableField id="2" name="Nombre" tableColumnId="2"/>
      <queryTableField id="1" name="Cod_colab" tableColumnId="1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Búsqueda de carpetas contorno</v>
  </rv>
  <rv s="0">
    <v>1</v>
    <v>5</v>
    <v>Firma contorno</v>
  </rv>
  <rv s="0">
    <v>2</v>
    <v>5</v>
    <v>Firma contorno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43567-1A27-46C9-9615-99E66F8539E9}" name="Tabla1" displayName="Tabla1" ref="B3:K2000" totalsRowShown="0" headerRowDxfId="20" dataDxfId="18" headerRowBorderDxfId="19">
  <autoFilter ref="B3:K2000" xr:uid="{A1243567-1A27-46C9-9615-99E66F8539E9}"/>
  <sortState xmlns:xlrd2="http://schemas.microsoft.com/office/spreadsheetml/2017/richdata2" ref="B4:K2000">
    <sortCondition ref="C3:C2000"/>
  </sortState>
  <tableColumns count="10">
    <tableColumn id="9" xr3:uid="{ACB775F9-DD1B-46CF-A234-2609D7747903}" name="ID" dataDxfId="17">
      <calculatedColumnFormula>IF(Tabla1[[#This Row],[TRABAJADOR]]="", "", VLOOKUP(Tabla1[[#This Row],[TRABAJADOR]], 'Colaborador ID'!B:C, 2, FALSE))</calculatedColumnFormula>
    </tableColumn>
    <tableColumn id="1" xr3:uid="{4CC43ECD-66B0-40C1-B397-014C44BC7833}" name="TRABAJADOR" dataDxfId="16"/>
    <tableColumn id="2" xr3:uid="{817D021B-028A-4D60-910D-E3EB7E150756}" name="IBAN" dataDxfId="15"/>
    <tableColumn id="3" xr3:uid="{50B6E725-A73F-49AD-A66E-77CE4BA0DEF7}" name="BANCO" dataDxfId="14"/>
    <tableColumn id="4" xr3:uid="{6070E13D-66F7-4F5A-9DF1-F5D9A0AAA884}" name="CERT. DE TITUL." dataDxfId="13"/>
    <tableColumn id="5" xr3:uid="{3CBE535A-E1E3-4463-8C1C-D7D9D3ACDAE0}" name="FECHA ÚLTIMO CAMBIO" dataDxfId="12"/>
    <tableColumn id="6" xr3:uid="{AB08EC45-12EE-47F1-BA92-E6456371FBF4}" name="DOCUM. FIRMADO" dataDxfId="11"/>
    <tableColumn id="14" xr3:uid="{FB072085-5C57-4EA3-8B15-8A0B4CFF50BC}" name="EMPRESA" dataDxfId="10"/>
    <tableColumn id="7" xr3:uid="{CA37E04B-2E88-4D85-9162-89A7DCB5F5C0}" name="OBSERVACIONES" dataDxfId="9"/>
    <tableColumn id="8" xr3:uid="{2E750615-F0F3-4987-8C6A-89D0D0F11E45}" name="NOTAS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3CD1E8-05D5-4140-8F11-D650A404928A}" name="Colaborador_ID" displayName="Colaborador_ID" ref="B1:C1989" tableType="queryTable" totalsRowShown="0" headerRowDxfId="7">
  <autoFilter ref="B1:C1989" xr:uid="{503CD1E8-05D5-4140-8F11-D650A404928A}"/>
  <sortState xmlns:xlrd2="http://schemas.microsoft.com/office/spreadsheetml/2017/richdata2" ref="B2:C1989">
    <sortCondition ref="B1:B1989"/>
  </sortState>
  <tableColumns count="2">
    <tableColumn id="2" xr3:uid="{D3CE013D-E8B3-41D7-931F-9E9095111B9C}" uniqueName="2" name="Nombre" queryTableFieldId="2"/>
    <tableColumn id="1" xr3:uid="{FA2F1312-0B6E-43B7-ABCB-445831CACE75}" uniqueName="1" name="Cod_colab" queryTableFieldId="1"/>
  </tableColumns>
  <tableStyleInfo name="Estilo de tabla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Documentos%20firmados%20cambio/CARLOS%20ALBERTO%20CARTAGENA%20GONZALEZ.pdf" TargetMode="External"/><Relationship Id="rId170" Type="http://schemas.openxmlformats.org/officeDocument/2006/relationships/hyperlink" Target="Certificado%20Titularidad/JUAN%20DANIEL%20MORA%20PE&#209;ALOZA.pdf" TargetMode="External"/><Relationship Id="rId268" Type="http://schemas.openxmlformats.org/officeDocument/2006/relationships/hyperlink" Target="Certificado%20Titularidad/SANTOS%20PAULO%20ARCAYA%20NORIEGA.pdf" TargetMode="External"/><Relationship Id="rId475" Type="http://schemas.openxmlformats.org/officeDocument/2006/relationships/hyperlink" Target="Certificado%20Titularidad/ALVARO%20JOSE%20NAVARRETE%20GAMBOA.pdf" TargetMode="External"/><Relationship Id="rId682" Type="http://schemas.openxmlformats.org/officeDocument/2006/relationships/hyperlink" Target="Certificado%20Titularidad/MARLON%20BUJATO%20SILVERA.pdf" TargetMode="External"/><Relationship Id="rId128" Type="http://schemas.openxmlformats.org/officeDocument/2006/relationships/hyperlink" Target="Certificado%20Titularidad/JEHU%20AMADOR%20CACERES%20HERRERA.pdf" TargetMode="External"/><Relationship Id="rId335" Type="http://schemas.openxmlformats.org/officeDocument/2006/relationships/hyperlink" Target="Documentos%20firmados%20cambio/WILMAN%20DE%20AVILA%20MARRIAGA.pdf" TargetMode="External"/><Relationship Id="rId542" Type="http://schemas.openxmlformats.org/officeDocument/2006/relationships/hyperlink" Target="Certificado%20Titularidad/JAIRO%20ERNESTO%20GAITAN%20GOMEZ.pdf" TargetMode="External"/><Relationship Id="rId987" Type="http://schemas.openxmlformats.org/officeDocument/2006/relationships/hyperlink" Target="Certificado%20Titularidad/YEFFERSON%20ZULUAGA%20BUITRAGO.pdf" TargetMode="External"/><Relationship Id="rId1172" Type="http://schemas.openxmlformats.org/officeDocument/2006/relationships/hyperlink" Target="Certificado%20Titularidad/JUAN%20FERNANDO%20DUQUE%20CARDONA.pdf" TargetMode="External"/><Relationship Id="rId402" Type="http://schemas.openxmlformats.org/officeDocument/2006/relationships/hyperlink" Target="Certificado%20Titularidad/ANTHONY%20YESID%20BEDOYA%20TAQUINAS.pdf" TargetMode="External"/><Relationship Id="rId847" Type="http://schemas.openxmlformats.org/officeDocument/2006/relationships/hyperlink" Target="Certificado%20Titularidad/MANUEL%20ANTONIO%20AHUMADA%20LEON.pdf" TargetMode="External"/><Relationship Id="rId1032" Type="http://schemas.openxmlformats.org/officeDocument/2006/relationships/hyperlink" Target="Certificado%20Titularidad/CRISTIAN%20DENNIS%20NARVAEZ%20CIFUENTES.pdf" TargetMode="External"/><Relationship Id="rId707" Type="http://schemas.openxmlformats.org/officeDocument/2006/relationships/hyperlink" Target="Certificado%20Titularidad/EDWIN%20CASTANEDA%20HENAO.pdf" TargetMode="External"/><Relationship Id="rId914" Type="http://schemas.openxmlformats.org/officeDocument/2006/relationships/hyperlink" Target="Certificado%20Titularidad/GUSTAVO%20RAFAEL%20CARRILLO%20NUNEZ.pdf" TargetMode="External"/><Relationship Id="rId43" Type="http://schemas.openxmlformats.org/officeDocument/2006/relationships/hyperlink" Target="Certificado%20Titularidad/CHRISTIAN%20ALBERTO%20VALENCIA%20LOBON.pdf" TargetMode="External"/><Relationship Id="rId192" Type="http://schemas.openxmlformats.org/officeDocument/2006/relationships/hyperlink" Target="Certificado%20Titularidad/MOISES%20JOS&#201;%20BARRETO%20ALMEIDA.pdf" TargetMode="External"/><Relationship Id="rId497" Type="http://schemas.openxmlformats.org/officeDocument/2006/relationships/hyperlink" Target="Certificado%20Titularidad/JOSE%20AMAURI%20DE%20S&#193;.pdf" TargetMode="External"/><Relationship Id="rId357" Type="http://schemas.openxmlformats.org/officeDocument/2006/relationships/hyperlink" Target="Certificado%20Titularidad/ALEX%20MAURICIO%20CARDONA%20RAMIREZ.pdf" TargetMode="External"/><Relationship Id="rId1194" Type="http://schemas.openxmlformats.org/officeDocument/2006/relationships/hyperlink" Target="Documentos%20firmados%20cambio/CRISTIAN%20CAMILO%20BORRE%20SILVA.pdf" TargetMode="External"/><Relationship Id="rId217" Type="http://schemas.openxmlformats.org/officeDocument/2006/relationships/hyperlink" Target="Certificado%20Titularidad/GIAN%20CARLOS%20SAAVEDRA%20LAPA.pdf" TargetMode="External"/><Relationship Id="rId564" Type="http://schemas.openxmlformats.org/officeDocument/2006/relationships/hyperlink" Target="Certificado%20Titularidad/SAULO%20GUIMAR&#195;ES%20LIMA.pdf" TargetMode="External"/><Relationship Id="rId771" Type="http://schemas.openxmlformats.org/officeDocument/2006/relationships/hyperlink" Target="Certificado%20Titularidad/NELGER%20CARDONA%20NORIEGA.pdf" TargetMode="External"/><Relationship Id="rId869" Type="http://schemas.openxmlformats.org/officeDocument/2006/relationships/hyperlink" Target="Certificado%20Titularidad/LUBERMI%20JOSE%20MIRANDA%20PEREZ.pdf" TargetMode="External"/><Relationship Id="rId424" Type="http://schemas.openxmlformats.org/officeDocument/2006/relationships/hyperlink" Target="Certificado%20Titularidad/BYRON%20%20GIUSEPPE%20FONSECA%20DURAN.pdf" TargetMode="External"/><Relationship Id="rId631" Type="http://schemas.openxmlformats.org/officeDocument/2006/relationships/hyperlink" Target="Certificado%20Titularidad/JUAN%20DAVID%20GOMEZ%20GUTIERREZ.pdf" TargetMode="External"/><Relationship Id="rId729" Type="http://schemas.openxmlformats.org/officeDocument/2006/relationships/hyperlink" Target="Certificado%20Titularidad/JHON%20FREDDY%20CABRERA%20AGUILAR.pdf" TargetMode="External"/><Relationship Id="rId1054" Type="http://schemas.openxmlformats.org/officeDocument/2006/relationships/hyperlink" Target="Certificado%20Titularidad/DIEGO%20DIAZ%20LUNA.pdf" TargetMode="External"/><Relationship Id="rId1261" Type="http://schemas.openxmlformats.org/officeDocument/2006/relationships/hyperlink" Target="Certificado%20Titularidad/ALDEMAR%20DOMINGUEZ%20CERCADO.pdf" TargetMode="External"/><Relationship Id="rId936" Type="http://schemas.openxmlformats.org/officeDocument/2006/relationships/hyperlink" Target="Certificado%20Titularidad/WILLIAM%20RAFAEL%20LEE%20HERNANDEZ.pdf" TargetMode="External"/><Relationship Id="rId1121" Type="http://schemas.openxmlformats.org/officeDocument/2006/relationships/hyperlink" Target="Certificado%20Titularidad/GUILLERMO%20ALFONSO%20TEJADA%20VILLAMIZAR.pdf" TargetMode="External"/><Relationship Id="rId1219" Type="http://schemas.openxmlformats.org/officeDocument/2006/relationships/hyperlink" Target="Documentos%20firmados%20cambio/JORGE%20IVAN%20SARRIA%20ORTIZ.pdf" TargetMode="External"/><Relationship Id="rId65" Type="http://schemas.openxmlformats.org/officeDocument/2006/relationships/hyperlink" Target="Documentos%20firmados%20cambio/MICHAEL%20SANDOVAL%20CAMARGO.pdf" TargetMode="External"/><Relationship Id="rId281" Type="http://schemas.openxmlformats.org/officeDocument/2006/relationships/hyperlink" Target="Certificado%20Titularidad/GENIER%20DE%20LA%20CRUZ%20RIQUETT.pdf" TargetMode="External"/><Relationship Id="rId141" Type="http://schemas.openxmlformats.org/officeDocument/2006/relationships/hyperlink" Target="Certificado%20Titularidad/JHON%20JAIRO%20HERNANDEZ%20GUZMAN.pdf" TargetMode="External"/><Relationship Id="rId379" Type="http://schemas.openxmlformats.org/officeDocument/2006/relationships/hyperlink" Target="Certificado%20Titularidad/HECTOR%20ROMAN%20LUQUE%20CUTIPA.pdf" TargetMode="External"/><Relationship Id="rId586" Type="http://schemas.openxmlformats.org/officeDocument/2006/relationships/hyperlink" Target="Certificado%20Titularidad/JOSE%20ANDRES%20PEREZ%20RUIZ.pdf" TargetMode="External"/><Relationship Id="rId793" Type="http://schemas.openxmlformats.org/officeDocument/2006/relationships/hyperlink" Target="Documentos%20firmados%20cambio/JESUS%20JAMES%20BALDEON%20ZUNIGA.pdf" TargetMode="External"/><Relationship Id="rId7" Type="http://schemas.openxmlformats.org/officeDocument/2006/relationships/hyperlink" Target="Certificado%20Titularidad/ALDO%20LUIS%20CHACON%20BALAREZO.pdf" TargetMode="External"/><Relationship Id="rId239" Type="http://schemas.openxmlformats.org/officeDocument/2006/relationships/hyperlink" Target="Certificado%20Titularidad/RODOLFO%20ALBERTO%20MARCHAN%20PALACIOS.pdf" TargetMode="External"/><Relationship Id="rId446" Type="http://schemas.openxmlformats.org/officeDocument/2006/relationships/hyperlink" Target="Certificado%20Titularidad/LUIS%20FERNANDO%20TOVAR%20LLAMOZA.pdf" TargetMode="External"/><Relationship Id="rId653" Type="http://schemas.openxmlformats.org/officeDocument/2006/relationships/hyperlink" Target="Certificado%20Titularidad/MATEO%20CANTILLO%20PAYARES.pdf" TargetMode="External"/><Relationship Id="rId1076" Type="http://schemas.openxmlformats.org/officeDocument/2006/relationships/hyperlink" Target="Certificado%20Titularidad/EMANUEL%20JOSE%20LOBOS%20GATICA.pdf" TargetMode="External"/><Relationship Id="rId1283" Type="http://schemas.openxmlformats.org/officeDocument/2006/relationships/hyperlink" Target="Certificado%20Titularidad/MILTON%20JONATHAN%20OSORIO%20MARTINEZ.pdf" TargetMode="External"/><Relationship Id="rId306" Type="http://schemas.openxmlformats.org/officeDocument/2006/relationships/hyperlink" Target="Certificado%20Titularidad/AGUINALDO%20JOSE%20SILVA%20SOUZA.pdf" TargetMode="External"/><Relationship Id="rId860" Type="http://schemas.openxmlformats.org/officeDocument/2006/relationships/hyperlink" Target="Certificado%20Titularidad/JUAN%20OMAR%20ORDINOLA%20AGURTO.pdf" TargetMode="External"/><Relationship Id="rId958" Type="http://schemas.openxmlformats.org/officeDocument/2006/relationships/hyperlink" Target="Certificado%20Titularidad/JOSE%20ERMOGENES%20BARRIENTOS%20DIAZ.pdf" TargetMode="External"/><Relationship Id="rId1143" Type="http://schemas.openxmlformats.org/officeDocument/2006/relationships/hyperlink" Target="Certificado%20Titularidad/GUSTAVO%20ANDRES%20DUQUE%20CASTILLO.pdf" TargetMode="External"/><Relationship Id="rId87" Type="http://schemas.openxmlformats.org/officeDocument/2006/relationships/hyperlink" Target="Certificado%20Titularidad/EVERTH%20CASTRO%20GONZALEZ.pdf" TargetMode="External"/><Relationship Id="rId513" Type="http://schemas.openxmlformats.org/officeDocument/2006/relationships/hyperlink" Target="Certificado%20Titularidad/ANDRES%20FERNANDO%20MONCAYO%20FLOREZ.pdf" TargetMode="External"/><Relationship Id="rId720" Type="http://schemas.openxmlformats.org/officeDocument/2006/relationships/hyperlink" Target="Certificado%20Titularidad/JOSE%20FRANCISCO%20PINEDO%20BERRIO.pdf" TargetMode="External"/><Relationship Id="rId818" Type="http://schemas.openxmlformats.org/officeDocument/2006/relationships/hyperlink" Target="Certificado%20Titularidad/RAFAEL%20SANTIAGO%20FADUL%20TONCEL.pdf" TargetMode="External"/><Relationship Id="rId1003" Type="http://schemas.openxmlformats.org/officeDocument/2006/relationships/hyperlink" Target="Certificado%20Titularidad/SERGIO%20ANDRES%20FLOREZ%20MARIN.pdf" TargetMode="External"/><Relationship Id="rId1210" Type="http://schemas.openxmlformats.org/officeDocument/2006/relationships/hyperlink" Target="Documentos%20firmados%20cambio/LUIS%20ALFREDO%20APONTE%20ANTON.pdf" TargetMode="External"/><Relationship Id="rId14" Type="http://schemas.openxmlformats.org/officeDocument/2006/relationships/hyperlink" Target="Documentos%20firmados%20cambio/BREIDIS%20JOSE%20CARDOZO%20GALUE.pdf" TargetMode="External"/><Relationship Id="rId163" Type="http://schemas.openxmlformats.org/officeDocument/2006/relationships/hyperlink" Target="Certificado%20Titularidad/JOSE%20LEONARDO%20MENESES%20LOPEZ.pdf" TargetMode="External"/><Relationship Id="rId370" Type="http://schemas.openxmlformats.org/officeDocument/2006/relationships/hyperlink" Target="Documentos%20firmados%20cambio/ROMEL%20YBAN%20TUFINIO%20ZOCON.pdf" TargetMode="External"/><Relationship Id="rId230" Type="http://schemas.openxmlformats.org/officeDocument/2006/relationships/hyperlink" Target="Certificado%20Titularidad/ANTERO%20UBALDO%20RAMIREZ%20MIRABAL.pdf" TargetMode="External"/><Relationship Id="rId468" Type="http://schemas.openxmlformats.org/officeDocument/2006/relationships/hyperlink" Target="Certificado%20Titularidad/YEISON%20ARLEY%20DIAZ%20CHAUX.pdf" TargetMode="External"/><Relationship Id="rId675" Type="http://schemas.openxmlformats.org/officeDocument/2006/relationships/hyperlink" Target="Certificado%20Titularidad/JESUS%20ELIECER%20ALVAREZ%20ORTIZ.pdf" TargetMode="External"/><Relationship Id="rId882" Type="http://schemas.openxmlformats.org/officeDocument/2006/relationships/hyperlink" Target="Certificado%20Titularidad/CARLOS%20ROBERTO%20SAAVEDRA%20ROJAS.pdf" TargetMode="External"/><Relationship Id="rId1098" Type="http://schemas.openxmlformats.org/officeDocument/2006/relationships/hyperlink" Target="Certificado%20Titularidad/JOHAN%20ANDRES%20HERRERA%20RUGE.pdf" TargetMode="External"/><Relationship Id="rId328" Type="http://schemas.openxmlformats.org/officeDocument/2006/relationships/hyperlink" Target="Certificado%20Titularidad/HERNANDO%20AUGUSTO%20GALINDO%20GOMEZ.pdf" TargetMode="External"/><Relationship Id="rId535" Type="http://schemas.openxmlformats.org/officeDocument/2006/relationships/hyperlink" Target="Certificado%20Titularidad/HAROLD%20LLERENA%20BELTRAN.pdf" TargetMode="External"/><Relationship Id="rId742" Type="http://schemas.openxmlformats.org/officeDocument/2006/relationships/hyperlink" Target="Certificado%20Titularidad/NELSON%20ENRIQUE%20MONTOYA%20BATISTA.pdf" TargetMode="External"/><Relationship Id="rId1165" Type="http://schemas.openxmlformats.org/officeDocument/2006/relationships/hyperlink" Target="Certificado%20Titularidad/GERARDO%20LARA%20GONZALEZ.pdf" TargetMode="External"/><Relationship Id="rId602" Type="http://schemas.openxmlformats.org/officeDocument/2006/relationships/hyperlink" Target="Certificado%20Titularidad/JUAN%20GUILLERMO%20ZU&#209;IGA%20MAYOR.pdf" TargetMode="External"/><Relationship Id="rId1025" Type="http://schemas.openxmlformats.org/officeDocument/2006/relationships/hyperlink" Target="Certificado%20Titularidad/CHRISTIAN%20ANDRES%20IZQUIERDO%20LOURIDO.pdf" TargetMode="External"/><Relationship Id="rId1232" Type="http://schemas.openxmlformats.org/officeDocument/2006/relationships/hyperlink" Target="Certificado%20Titularidad/MOISES%20MUNOZ%20ZAMBRANO.pdf" TargetMode="External"/><Relationship Id="rId907" Type="http://schemas.openxmlformats.org/officeDocument/2006/relationships/hyperlink" Target="Certificado%20Titularidad/JHON%20SEBASTIAN%20AHUMADA%20RUBIO.pdf" TargetMode="External"/><Relationship Id="rId36" Type="http://schemas.openxmlformats.org/officeDocument/2006/relationships/hyperlink" Target="Certificado%20Titularidad/CARLOS%20ARTURO%20GONZALEZ%20GOMEZ.pdf" TargetMode="External"/><Relationship Id="rId185" Type="http://schemas.openxmlformats.org/officeDocument/2006/relationships/hyperlink" Target="Certificado%20Titularidad/LUCAS%20SALES%20DE%20FARIA.pdf" TargetMode="External"/><Relationship Id="rId392" Type="http://schemas.openxmlformats.org/officeDocument/2006/relationships/hyperlink" Target="Certificado%20Titularidad/LUIGUI%20ARMANDO%20QUINES%20GRANADOS.pdf" TargetMode="External"/><Relationship Id="rId697" Type="http://schemas.openxmlformats.org/officeDocument/2006/relationships/hyperlink" Target="Documentos%20firmados%20cambio/SIMION%20LUCIANO%20CHILINGANO%20PILLACA.pdf" TargetMode="External"/><Relationship Id="rId252" Type="http://schemas.openxmlformats.org/officeDocument/2006/relationships/hyperlink" Target="Documentos%20firmados%20cambio/KEVIN%20STEVEN%20RAMIREZ%20CARDONA.pdf" TargetMode="External"/><Relationship Id="rId1187" Type="http://schemas.openxmlformats.org/officeDocument/2006/relationships/hyperlink" Target="Certificado%20Titularidad/ROMER%20DAVID%20RODRIGUEZ%20GONZALEZ.pdf" TargetMode="External"/><Relationship Id="rId112" Type="http://schemas.openxmlformats.org/officeDocument/2006/relationships/hyperlink" Target="Certificado%20Titularidad/WILLIAN%20HERNAN%20JARAMILLO%20RUIZ.pdf" TargetMode="External"/><Relationship Id="rId557" Type="http://schemas.openxmlformats.org/officeDocument/2006/relationships/hyperlink" Target="Certificado%20Titularidad/EDWAR%20ARIEL%20VELEZ%20POSADA.pdf" TargetMode="External"/><Relationship Id="rId764" Type="http://schemas.openxmlformats.org/officeDocument/2006/relationships/hyperlink" Target="Certificado%20Titularidad/MARIO%20ENRIQUE%20CHANTRE%20CALAMBAS.pdf" TargetMode="External"/><Relationship Id="rId971" Type="http://schemas.openxmlformats.org/officeDocument/2006/relationships/hyperlink" Target="Certificado%20Titularidad/ELKIN%20YAIR%20QUINTANA%20SILVA.pdf" TargetMode="External"/><Relationship Id="rId417" Type="http://schemas.openxmlformats.org/officeDocument/2006/relationships/hyperlink" Target="Certificado%20Titularidad/JORGE%20ANDRES%20MARTINEZ%20VEGA.pdf" TargetMode="External"/><Relationship Id="rId624" Type="http://schemas.openxmlformats.org/officeDocument/2006/relationships/hyperlink" Target="Certificado%20Titularidad/ARLEY%20GUTIERREZ%20CORREDOR.pdf" TargetMode="External"/><Relationship Id="rId831" Type="http://schemas.openxmlformats.org/officeDocument/2006/relationships/hyperlink" Target="Documentos%20firmados%20cambio/MARCO%20ALEXIS%20VILLAMIL%20SUAREZ.pdf" TargetMode="External"/><Relationship Id="rId1047" Type="http://schemas.openxmlformats.org/officeDocument/2006/relationships/hyperlink" Target="Certificado%20Titularidad/DEIVIS%20MU&#209;OZ%20TORRES.pdf" TargetMode="External"/><Relationship Id="rId1254" Type="http://schemas.openxmlformats.org/officeDocument/2006/relationships/hyperlink" Target="Certificado%20Titularidad/MARCELO%20JAVIER%20GARCIA%20RUIZ%20DIAZ.pdf" TargetMode="External"/><Relationship Id="rId929" Type="http://schemas.openxmlformats.org/officeDocument/2006/relationships/hyperlink" Target="Certificado%20Titularidad/CESAR%20EDUARDO%20RAMIREZ%20TOVAR.pdf" TargetMode="External"/><Relationship Id="rId1114" Type="http://schemas.openxmlformats.org/officeDocument/2006/relationships/hyperlink" Target="Certificado%20Titularidad/GILBER%20MORA%20DIAZ.pdf" TargetMode="External"/><Relationship Id="rId58" Type="http://schemas.openxmlformats.org/officeDocument/2006/relationships/hyperlink" Target="Certificado%20Titularidad/EDUARD%20YOVANNY%20LOZANO%20OSORIO.pdf" TargetMode="External"/><Relationship Id="rId274" Type="http://schemas.openxmlformats.org/officeDocument/2006/relationships/hyperlink" Target="Certificado%20Titularidad/HUMBERTO%20ENRIQUE%20MARTINEZ.pdf" TargetMode="External"/><Relationship Id="rId481" Type="http://schemas.openxmlformats.org/officeDocument/2006/relationships/hyperlink" Target="Documentos%20firmados%20cambio/EDUARD%20YOVANNY%20LOZANO%20OSORIO.pdf" TargetMode="External"/><Relationship Id="rId134" Type="http://schemas.openxmlformats.org/officeDocument/2006/relationships/hyperlink" Target="Certificado%20Titularidad/JHEYSON%20DE%20LOS%20REYES%20MENDOZA%20RUIZ.pdf" TargetMode="External"/><Relationship Id="rId579" Type="http://schemas.openxmlformats.org/officeDocument/2006/relationships/hyperlink" Target="Documentos%20firmados%20cambio/HELKIN%20ANTONIO%20OJEDA%20DE%20LA%20CRUZ.pdf" TargetMode="External"/><Relationship Id="rId786" Type="http://schemas.openxmlformats.org/officeDocument/2006/relationships/hyperlink" Target="Certificado%20Titularidad/ALBEIRO%20OBANDO%20MICOLTA.pdf" TargetMode="External"/><Relationship Id="rId993" Type="http://schemas.openxmlformats.org/officeDocument/2006/relationships/hyperlink" Target="Certificado%20Titularidad/WILLIAN%20ALFREDO%20RUSSO%20LINERO.pdf" TargetMode="External"/><Relationship Id="rId341" Type="http://schemas.openxmlformats.org/officeDocument/2006/relationships/hyperlink" Target="Certificado%20Titularidad/EDINSON%20HUARI%20HUAMAN.pdf" TargetMode="External"/><Relationship Id="rId439" Type="http://schemas.openxmlformats.org/officeDocument/2006/relationships/hyperlink" Target="Certificado%20Titularidad/LUIS%20JAVIER%20ZAMORA%20CANACHE.pdf" TargetMode="External"/><Relationship Id="rId646" Type="http://schemas.openxmlformats.org/officeDocument/2006/relationships/hyperlink" Target="Certificado%20Titularidad/ALEJANDRO%20ERWIN%20ZAMBRANO%20AGUILERA.pdf" TargetMode="External"/><Relationship Id="rId1069" Type="http://schemas.openxmlformats.org/officeDocument/2006/relationships/hyperlink" Target="Certificado%20Titularidad/EDWIN%20ALEXANDER%20DIAZ%20PITRE.pdf" TargetMode="External"/><Relationship Id="rId1276" Type="http://schemas.openxmlformats.org/officeDocument/2006/relationships/hyperlink" Target="Certificado%20Titularidad/OLMEDO%20ARIEL%20HERNANDEZ%20GONZALEZ.pdf" TargetMode="External"/><Relationship Id="rId201" Type="http://schemas.openxmlformats.org/officeDocument/2006/relationships/hyperlink" Target="Certificado%20Titularidad/LUIS%20ALFREDO%20RODRIGUEZ%20HERNANDEZ.pdf" TargetMode="External"/><Relationship Id="rId506" Type="http://schemas.openxmlformats.org/officeDocument/2006/relationships/hyperlink" Target="Certificado%20Titularidad/JUAN%20GABRIEL%20GOEZ%20MESA.pdf" TargetMode="External"/><Relationship Id="rId853" Type="http://schemas.openxmlformats.org/officeDocument/2006/relationships/hyperlink" Target="Certificado%20Titularidad/ALVARO%20SEGOVIA%20TORRES.pdf" TargetMode="External"/><Relationship Id="rId1136" Type="http://schemas.openxmlformats.org/officeDocument/2006/relationships/hyperlink" Target="Certificado%20Titularidad/JAIME%20ANDRES%20SILVA%20SABOGAL.pdf" TargetMode="External"/><Relationship Id="rId713" Type="http://schemas.openxmlformats.org/officeDocument/2006/relationships/hyperlink" Target="Certificado%20Titularidad/GILMAR%20LUIS%20PARRILLA%20ALCANTARA.pdf" TargetMode="External"/><Relationship Id="rId920" Type="http://schemas.openxmlformats.org/officeDocument/2006/relationships/hyperlink" Target="Documentos%20firmados%20cambio/JORGE%20CAMILO%20QUINTERO%20OJEDA.pdf" TargetMode="External"/><Relationship Id="rId1203" Type="http://schemas.openxmlformats.org/officeDocument/2006/relationships/hyperlink" Target="Documentos%20firmados%20cambio/CESAR%20AUGUSTO%20ANGARITA%20RIVERA.pdf" TargetMode="External"/><Relationship Id="rId296" Type="http://schemas.openxmlformats.org/officeDocument/2006/relationships/hyperlink" Target="Certificado%20Titularidad/ISMAEL%20DA%20SILVA.pdf" TargetMode="External"/><Relationship Id="rId156" Type="http://schemas.openxmlformats.org/officeDocument/2006/relationships/hyperlink" Target="Certificado%20Titularidad/ROBINSON%20ANGULO%20CAICEDO.pdf" TargetMode="External"/><Relationship Id="rId363" Type="http://schemas.openxmlformats.org/officeDocument/2006/relationships/hyperlink" Target="Certificado%20Titularidad/CESAR%20ORLANDO%20PEDRAZA%20LANCHEROS.pdf" TargetMode="External"/><Relationship Id="rId570" Type="http://schemas.openxmlformats.org/officeDocument/2006/relationships/hyperlink" Target="Documentos%20firmados%20cambio/JAIME%20ALBERTO%20QUI&#209;ONES%20BLANDON.pdf" TargetMode="External"/><Relationship Id="rId223" Type="http://schemas.openxmlformats.org/officeDocument/2006/relationships/hyperlink" Target="Certificado%20Titularidad/LUIS%20ALBERTO%20MIRANDA%20ESPINOZA.pdf" TargetMode="External"/><Relationship Id="rId430" Type="http://schemas.openxmlformats.org/officeDocument/2006/relationships/hyperlink" Target="Documentos%20firmados%20cambio/JUAN%20ANDRES%20AGUILAR%20MARIN.pdf" TargetMode="External"/><Relationship Id="rId668" Type="http://schemas.openxmlformats.org/officeDocument/2006/relationships/hyperlink" Target="Certificado%20Titularidad/RAMIRO%20ENRIQUE%20PEREIRA%20MEDINA.pdf" TargetMode="External"/><Relationship Id="rId875" Type="http://schemas.openxmlformats.org/officeDocument/2006/relationships/hyperlink" Target="Certificado%20Titularidad/LUYSMER%20DAVID%20PE&#209;ARANDA%20CABRERA.pdf" TargetMode="External"/><Relationship Id="rId1060" Type="http://schemas.openxmlformats.org/officeDocument/2006/relationships/hyperlink" Target="Certificado%20Titularidad/EDDER%20CARLOS%20ATENCIO%20VILLANUEVA.pdf" TargetMode="External"/><Relationship Id="rId528" Type="http://schemas.openxmlformats.org/officeDocument/2006/relationships/hyperlink" Target="Certificado%20Titularidad/BAIRON%20RENE%20BURBANO%20MORALES.pdf" TargetMode="External"/><Relationship Id="rId735" Type="http://schemas.openxmlformats.org/officeDocument/2006/relationships/hyperlink" Target="Documentos%20firmados%20cambio/WILMAR%20ESTUPI&#209;AN%20ANGULO.pdf" TargetMode="External"/><Relationship Id="rId942" Type="http://schemas.openxmlformats.org/officeDocument/2006/relationships/hyperlink" Target="Certificado%20Titularidad/NICOLAS%20MIGUEL%20PEDRAZA%20MENDOZA.pdf" TargetMode="External"/><Relationship Id="rId1158" Type="http://schemas.openxmlformats.org/officeDocument/2006/relationships/hyperlink" Target="Documentos%20firmados%20cambio/JEENVINSON%20ADALBERTO%20IGUARAN%20GRANADILLO.pdf" TargetMode="External"/><Relationship Id="rId1018" Type="http://schemas.openxmlformats.org/officeDocument/2006/relationships/hyperlink" Target="Certificado%20Titularidad/CARLOS%20JESUS%20ESCUDERO%20LUNA.pdf" TargetMode="External"/><Relationship Id="rId1225" Type="http://schemas.openxmlformats.org/officeDocument/2006/relationships/hyperlink" Target="Certificado%20Titularidad/EDGAR%20CORRALES%20HOYOS.pdf" TargetMode="External"/><Relationship Id="rId71" Type="http://schemas.openxmlformats.org/officeDocument/2006/relationships/hyperlink" Target="Documentos%20firmados%20cambio/SNEYDER%20JESUS%20ALCALA%20JIMENEZ.pdf" TargetMode="External"/><Relationship Id="rId802" Type="http://schemas.openxmlformats.org/officeDocument/2006/relationships/hyperlink" Target="Certificado%20Titularidad/JULIO%20ALEXANDER%20TOVAR%20BAQUERO.pdf" TargetMode="External"/><Relationship Id="rId29" Type="http://schemas.openxmlformats.org/officeDocument/2006/relationships/hyperlink" Target="Documentos%20firmados%20cambio/CRISTIAN%20DARIO%20VILLADA%20CATA&#209;O.pdf" TargetMode="External"/><Relationship Id="rId178" Type="http://schemas.openxmlformats.org/officeDocument/2006/relationships/hyperlink" Target="Certificado%20Titularidad/KAIQUI%20SANTOS%20DE%20SOUZA.pdf" TargetMode="External"/><Relationship Id="rId385" Type="http://schemas.openxmlformats.org/officeDocument/2006/relationships/hyperlink" Target="Certificado%20Titularidad/JOSELIN%20GUZMAN%20CARRANZA.pdf" TargetMode="External"/><Relationship Id="rId592" Type="http://schemas.openxmlformats.org/officeDocument/2006/relationships/hyperlink" Target="Certificado%20Titularidad/MICHAEL%20YESID%20CUBILLOS%20CORTES.pdf" TargetMode="External"/><Relationship Id="rId245" Type="http://schemas.openxmlformats.org/officeDocument/2006/relationships/hyperlink" Target="Certificado%20Titularidad/JOHN%20FREDDY%20PEREZ%20RUIZ.pdf" TargetMode="External"/><Relationship Id="rId452" Type="http://schemas.openxmlformats.org/officeDocument/2006/relationships/hyperlink" Target="Certificado%20Titularidad/HUMBERTO%20HERRERA%20GAVIRIA.pdf" TargetMode="External"/><Relationship Id="rId897" Type="http://schemas.openxmlformats.org/officeDocument/2006/relationships/hyperlink" Target="Certificado%20Titularidad/JIMMY%20ALEXANDER%20CASTANEDA%20ROMERO.pdf" TargetMode="External"/><Relationship Id="rId1082" Type="http://schemas.openxmlformats.org/officeDocument/2006/relationships/hyperlink" Target="Certificado%20Titularidad/ESNEYDER%20TORRES%20ULLOA.pdf" TargetMode="External"/><Relationship Id="rId105" Type="http://schemas.openxmlformats.org/officeDocument/2006/relationships/hyperlink" Target="Certificado%20Titularidad/HAROLD%20REFERTIN%20SERNAQUE%20CARRASCO.pdf" TargetMode="External"/><Relationship Id="rId312" Type="http://schemas.openxmlformats.org/officeDocument/2006/relationships/hyperlink" Target="Certificado%20Titularidad/ALBERTO%20CCENHUA%20MICHCA.pdf" TargetMode="External"/><Relationship Id="rId757" Type="http://schemas.openxmlformats.org/officeDocument/2006/relationships/hyperlink" Target="Certificado%20Titularidad/YEISON%20ARLEY%20TOBON%20MORENO.pdf" TargetMode="External"/><Relationship Id="rId964" Type="http://schemas.openxmlformats.org/officeDocument/2006/relationships/hyperlink" Target="Certificado%20Titularidad/MAYKOL%20GUILLERMO%20MAESTRE%20PEREIRA.pdf" TargetMode="External"/><Relationship Id="rId93" Type="http://schemas.openxmlformats.org/officeDocument/2006/relationships/hyperlink" Target="Certificado%20Titularidad/YESID%20DAVID%20GOMEZ%20ARZUAGA.pdf" TargetMode="External"/><Relationship Id="rId617" Type="http://schemas.openxmlformats.org/officeDocument/2006/relationships/hyperlink" Target="Certificado%20Titularidad/ALEX%20DAVID%20GOMEZ%20VILLADA.pdf" TargetMode="External"/><Relationship Id="rId824" Type="http://schemas.openxmlformats.org/officeDocument/2006/relationships/hyperlink" Target="Certificado%20Titularidad/JOSE%20JOHN%20PEREZ%20TARRILLO.pdf" TargetMode="External"/><Relationship Id="rId1247" Type="http://schemas.openxmlformats.org/officeDocument/2006/relationships/hyperlink" Target="Certificado%20Titularidad/JOSE%20JONATHAN%20CANO%20SALAZAR.pdf" TargetMode="External"/><Relationship Id="rId1107" Type="http://schemas.openxmlformats.org/officeDocument/2006/relationships/hyperlink" Target="Certificado%20Titularidad/FRANKY%20EXNEIDER%20ORDUZ%20NI&#209;O.pdf" TargetMode="External"/><Relationship Id="rId20" Type="http://schemas.openxmlformats.org/officeDocument/2006/relationships/hyperlink" Target="Certificado%20Titularidad/ANDRES%20FERNANDO%20MEDINA%20VALENCIA.pdf" TargetMode="External"/><Relationship Id="rId267" Type="http://schemas.openxmlformats.org/officeDocument/2006/relationships/hyperlink" Target="Documentos%20firmados%20cambio/OSCAR%20ANDRES%20RIVAS%20ESCALANTE.pdf" TargetMode="External"/><Relationship Id="rId474" Type="http://schemas.openxmlformats.org/officeDocument/2006/relationships/hyperlink" Target="Certificado%20Titularidad/JONATHAN%20ALEJANDRO%20MARTINEZ%20CASTIBLANCO.pdf" TargetMode="External"/><Relationship Id="rId127" Type="http://schemas.openxmlformats.org/officeDocument/2006/relationships/hyperlink" Target="Certificado%20Titularidad/SNEYDER%20JESUS%20ALCALA%20JIMENEZ.pdf" TargetMode="External"/><Relationship Id="rId681" Type="http://schemas.openxmlformats.org/officeDocument/2006/relationships/hyperlink" Target="Certificado%20Titularidad/ROGER%20ANTONIO%20GUERRA%20HERRERA.pdf" TargetMode="External"/><Relationship Id="rId779" Type="http://schemas.openxmlformats.org/officeDocument/2006/relationships/hyperlink" Target="Documentos%20firmados%20cambio/MOISES%20ESTUPINAN%20SANCHEZ.pdf" TargetMode="External"/><Relationship Id="rId986" Type="http://schemas.openxmlformats.org/officeDocument/2006/relationships/hyperlink" Target="Certificado%20Titularidad/YESID%20NIEVA.pdf" TargetMode="External"/><Relationship Id="rId334" Type="http://schemas.openxmlformats.org/officeDocument/2006/relationships/hyperlink" Target="Certificado%20Titularidad/HERNAN%20GERONIMO%20ALEJANDRO%20TARAZONA.pdf" TargetMode="External"/><Relationship Id="rId541" Type="http://schemas.openxmlformats.org/officeDocument/2006/relationships/hyperlink" Target="Documentos%20firmados%20cambio/JORGE%20ANDRES%20MARTINEZ%20VEGA.pdf" TargetMode="External"/><Relationship Id="rId639" Type="http://schemas.openxmlformats.org/officeDocument/2006/relationships/hyperlink" Target="Certificado%20Titularidad/ADILSON%20ESCOBAR%20OREJUELA.pdf" TargetMode="External"/><Relationship Id="rId1171" Type="http://schemas.openxmlformats.org/officeDocument/2006/relationships/hyperlink" Target="Certificado%20Titularidad/MISAEL%20SUAREZ%20SIJONA.pdf" TargetMode="External"/><Relationship Id="rId1269" Type="http://schemas.openxmlformats.org/officeDocument/2006/relationships/hyperlink" Target="Certificado%20Titularidad/ANGEL%20RAFAEL%20DIAZ%20GUTIERREZ.pdf" TargetMode="External"/><Relationship Id="rId401" Type="http://schemas.openxmlformats.org/officeDocument/2006/relationships/hyperlink" Target="Certificado%20Titularidad/MIJAEL%20CESAR%20JIMENEZ%20FERNANDEZ.pdf" TargetMode="External"/><Relationship Id="rId846" Type="http://schemas.openxmlformats.org/officeDocument/2006/relationships/hyperlink" Target="Certificado%20Titularidad/JAVIER%20HERNANDEZ%20DEVIA.pdf" TargetMode="External"/><Relationship Id="rId1031" Type="http://schemas.openxmlformats.org/officeDocument/2006/relationships/hyperlink" Target="Certificado%20Titularidad/CRISTIAN%20DAVID%20ORTIZ%20MADRID.pdf" TargetMode="External"/><Relationship Id="rId1129" Type="http://schemas.openxmlformats.org/officeDocument/2006/relationships/hyperlink" Target="Certificado%20Titularidad/HERLEY%20REYES%20AMAYA.pdf" TargetMode="External"/><Relationship Id="rId706" Type="http://schemas.openxmlformats.org/officeDocument/2006/relationships/hyperlink" Target="Documentos%20firmados%20cambio/BRAYAN%20JAVIER%20CHAVES%20NARVAEZ.pdf" TargetMode="External"/><Relationship Id="rId913" Type="http://schemas.openxmlformats.org/officeDocument/2006/relationships/hyperlink" Target="Certificado%20Titularidad/JUAN%20ESTEBAN%20QUINTERO%20MONSALVE.pdf" TargetMode="External"/><Relationship Id="rId42" Type="http://schemas.openxmlformats.org/officeDocument/2006/relationships/hyperlink" Target="Certificado%20Titularidad/CARLOS%20MARIO%20JARAMILLO%20LOPEZ.pdf" TargetMode="External"/><Relationship Id="rId191" Type="http://schemas.openxmlformats.org/officeDocument/2006/relationships/hyperlink" Target="Certificado%20Titularidad/MOIS&#201;S%20NUNES%20FERREIRA.pdf" TargetMode="External"/><Relationship Id="rId205" Type="http://schemas.openxmlformats.org/officeDocument/2006/relationships/hyperlink" Target="Certificado%20Titularidad/MARCELO%20NASCIMENTO%20COSME.pdf" TargetMode="External"/><Relationship Id="rId412" Type="http://schemas.openxmlformats.org/officeDocument/2006/relationships/hyperlink" Target="Certificado%20Titularidad/IVAN%20DARIO%20GONZALEZ%20PEREZ.pdf" TargetMode="External"/><Relationship Id="rId857" Type="http://schemas.openxmlformats.org/officeDocument/2006/relationships/hyperlink" Target="Certificado%20Titularidad/EDDIE%20DE%20JESUS%20ZARATE%20IGUARAN.pdf" TargetMode="External"/><Relationship Id="rId1042" Type="http://schemas.openxmlformats.org/officeDocument/2006/relationships/hyperlink" Target="Certificado%20Titularidad/DARWIN%20TORRES%20CRESPO.pdf" TargetMode="External"/><Relationship Id="rId289" Type="http://schemas.openxmlformats.org/officeDocument/2006/relationships/hyperlink" Target="Certificado%20Titularidad/RONALD%20JAVIER%20MARCELO%20SEMINARIO.pdf" TargetMode="External"/><Relationship Id="rId496" Type="http://schemas.openxmlformats.org/officeDocument/2006/relationships/hyperlink" Target="Certificado%20Titularidad/JUAN%20ESTEBAN%20RUIZ%20GONZALEZ.pdf" TargetMode="External"/><Relationship Id="rId717" Type="http://schemas.openxmlformats.org/officeDocument/2006/relationships/hyperlink" Target="Certificado%20Titularidad/IGNACIO%20ANTONIO%20ROLDAN%20AREVALO.pdf" TargetMode="External"/><Relationship Id="rId924" Type="http://schemas.openxmlformats.org/officeDocument/2006/relationships/hyperlink" Target="Certificado%20Titularidad/MATHEUS%20RODRIGUES%20JOSE.pdf" TargetMode="External"/><Relationship Id="rId53" Type="http://schemas.openxmlformats.org/officeDocument/2006/relationships/hyperlink" Target="Documentos%20firmados%20cambio/JHON%20JAIRO%20ADRIANZEN%20MEDRANO.pdf" TargetMode="External"/><Relationship Id="rId149" Type="http://schemas.openxmlformats.org/officeDocument/2006/relationships/hyperlink" Target="Certificado%20Titularidad/JOHNNY%20JAVIER%20BORJA%20MANGA.pdf" TargetMode="External"/><Relationship Id="rId356" Type="http://schemas.openxmlformats.org/officeDocument/2006/relationships/hyperlink" Target="Certificado%20Titularidad/RONALD%20GARCIA%20GIRON.pdf" TargetMode="External"/><Relationship Id="rId563" Type="http://schemas.openxmlformats.org/officeDocument/2006/relationships/hyperlink" Target="Certificado%20Titularidad/JORGE%20IVAN%20LOPEZ%20CORDOBA.pdf" TargetMode="External"/><Relationship Id="rId770" Type="http://schemas.openxmlformats.org/officeDocument/2006/relationships/hyperlink" Target="Certificado%20Titularidad/HERMIDES%20VILLADIEGO%20DAGER.pdf" TargetMode="External"/><Relationship Id="rId1193" Type="http://schemas.openxmlformats.org/officeDocument/2006/relationships/hyperlink" Target="Certificado%20Titularidad/LUIS%20HERNANDO%20HINESTROZA%20VALENCIA.pdf" TargetMode="External"/><Relationship Id="rId1207" Type="http://schemas.openxmlformats.org/officeDocument/2006/relationships/hyperlink" Target="Documentos%20firmados%20cambio/JONATHAN%20FELACIO%20FISGATIVA.pdf" TargetMode="External"/><Relationship Id="rId216" Type="http://schemas.openxmlformats.org/officeDocument/2006/relationships/hyperlink" Target="Certificado%20Titularidad/MARCO%20ANTONIO%20CRISTOBAL%20CALERO.pdf" TargetMode="External"/><Relationship Id="rId423" Type="http://schemas.openxmlformats.org/officeDocument/2006/relationships/hyperlink" Target="Certificado%20Titularidad/NEYDER%20GELVIS%20MAMANI%20HUAYCANI.pdf" TargetMode="External"/><Relationship Id="rId868" Type="http://schemas.openxmlformats.org/officeDocument/2006/relationships/hyperlink" Target="Certificado%20Titularidad/JOSE%20IGNACIO%20VALDERRAMA%20JIMENEZ.pdf" TargetMode="External"/><Relationship Id="rId1053" Type="http://schemas.openxmlformats.org/officeDocument/2006/relationships/hyperlink" Target="Certificado%20Titularidad/DIEGO%20ARMANDO%20RIVERO%20MANZANO.pdf" TargetMode="External"/><Relationship Id="rId1260" Type="http://schemas.openxmlformats.org/officeDocument/2006/relationships/hyperlink" Target="Certificado%20Titularidad/ALBERTO%20RICHELLI%20DA%20SILVA.pdf" TargetMode="External"/><Relationship Id="rId630" Type="http://schemas.openxmlformats.org/officeDocument/2006/relationships/hyperlink" Target="Certificado%20Titularidad/JOSE%20JULIAN%20LEMOS%20ZUNIGA.pdf" TargetMode="External"/><Relationship Id="rId728" Type="http://schemas.openxmlformats.org/officeDocument/2006/relationships/hyperlink" Target="Certificado%20Titularidad/LEISER%20DONCEL%20AVILA.pdf" TargetMode="External"/><Relationship Id="rId935" Type="http://schemas.openxmlformats.org/officeDocument/2006/relationships/hyperlink" Target="Certificado%20Titularidad/MARLON%20STIVEN%20MOLANO%20CARDONA.pdf" TargetMode="External"/><Relationship Id="rId64" Type="http://schemas.openxmlformats.org/officeDocument/2006/relationships/hyperlink" Target="Documentos%20firmados%20cambio/JULIAN%20OSWALDO%20CAMACHO%20SALAZAR.pdf" TargetMode="External"/><Relationship Id="rId367" Type="http://schemas.openxmlformats.org/officeDocument/2006/relationships/hyperlink" Target="Certificado%20Titularidad/JORDY%20ALEXANDER%20ALVA%20PAYAC.pdf" TargetMode="External"/><Relationship Id="rId574" Type="http://schemas.openxmlformats.org/officeDocument/2006/relationships/hyperlink" Target="Certificado%20Titularidad/EDWIN%20RAFAEL%20CAMARGO%20RUIZ.pdf" TargetMode="External"/><Relationship Id="rId1120" Type="http://schemas.openxmlformats.org/officeDocument/2006/relationships/hyperlink" Target="Certificado%20Titularidad/GUILLERMO%20ALFONSO%20CHACON%20BOHORQUEZ.pdf" TargetMode="External"/><Relationship Id="rId1218" Type="http://schemas.openxmlformats.org/officeDocument/2006/relationships/hyperlink" Target="Documentos%20firmados%20cambio/HUMBERTO%20ENRIQUE%20MARTINEZ.pdf" TargetMode="External"/><Relationship Id="rId227" Type="http://schemas.openxmlformats.org/officeDocument/2006/relationships/hyperlink" Target="Certificado%20Titularidad/CARLOS%20EDUARDO%20CALDERON%20SALDARRIAGA.pdf" TargetMode="External"/><Relationship Id="rId781" Type="http://schemas.openxmlformats.org/officeDocument/2006/relationships/hyperlink" Target="Documentos%20firmados%20cambio/MARIO%20ANDRES%20SUAREZ%20ACOSTA.pdf" TargetMode="External"/><Relationship Id="rId879" Type="http://schemas.openxmlformats.org/officeDocument/2006/relationships/hyperlink" Target="Certificado%20Titularidad/YAN%20CARLOS%20RUIZ%20ROJAS.pdf" TargetMode="External"/><Relationship Id="rId434" Type="http://schemas.openxmlformats.org/officeDocument/2006/relationships/hyperlink" Target="Certificado%20Titularidad/HECTOR%20FABIO%20VASQUEZ%20MAYORGA.pdf" TargetMode="External"/><Relationship Id="rId641" Type="http://schemas.openxmlformats.org/officeDocument/2006/relationships/hyperlink" Target="Certificado%20Titularidad/ELICEO%20FUENTES%20PARRA.pdf" TargetMode="External"/><Relationship Id="rId739" Type="http://schemas.openxmlformats.org/officeDocument/2006/relationships/hyperlink" Target="Certificado%20Titularidad/LEONARDO%20JAVIER%20RIOS%20CORREA.pdf" TargetMode="External"/><Relationship Id="rId1064" Type="http://schemas.openxmlformats.org/officeDocument/2006/relationships/hyperlink" Target="Certificado%20Titularidad/EDSON%20MIULLER%20SANTANA%20ERAZO.pdf" TargetMode="External"/><Relationship Id="rId1271" Type="http://schemas.openxmlformats.org/officeDocument/2006/relationships/hyperlink" Target="Certificado%20Titularidad/CRISTIAN%20RAFAEL%20ORDONEZ%20AGUIRRE.pdf" TargetMode="External"/><Relationship Id="rId280" Type="http://schemas.openxmlformats.org/officeDocument/2006/relationships/hyperlink" Target="Documentos%20firmados%20cambio/SERGIO%20ANDRES%20LOBO%20BARRIOS.pdf" TargetMode="External"/><Relationship Id="rId501" Type="http://schemas.openxmlformats.org/officeDocument/2006/relationships/hyperlink" Target="Documentos%20firmados%20cambio/MARTIN%20CAMILO%20SUAREZ%20BARRERA.pdf" TargetMode="External"/><Relationship Id="rId946" Type="http://schemas.openxmlformats.org/officeDocument/2006/relationships/hyperlink" Target="Certificado%20Titularidad/OSCAR%20BALTAZAR%20GUTIERREZ%20PACHECO.pdf" TargetMode="External"/><Relationship Id="rId1131" Type="http://schemas.openxmlformats.org/officeDocument/2006/relationships/hyperlink" Target="Certificado%20Titularidad/ISAHAC%20EMILIO%20RADA%20BRUGES.pdf" TargetMode="External"/><Relationship Id="rId1229" Type="http://schemas.openxmlformats.org/officeDocument/2006/relationships/hyperlink" Target="Certificado%20Titularidad/ALEXANDER%20GUZMAN.pdf" TargetMode="External"/><Relationship Id="rId75" Type="http://schemas.openxmlformats.org/officeDocument/2006/relationships/hyperlink" Target="Certificado%20Titularidad/EISON%20SALAS%20AHUMEDO.pdf" TargetMode="External"/><Relationship Id="rId140" Type="http://schemas.openxmlformats.org/officeDocument/2006/relationships/hyperlink" Target="Certificado%20Titularidad/ROMULO%20JUAN%20SANDY%20CAHUACHI.pdf" TargetMode="External"/><Relationship Id="rId378" Type="http://schemas.openxmlformats.org/officeDocument/2006/relationships/hyperlink" Target="Documentos%20firmados%20cambio/JULIO%20ENRIQUE%20ZAMBRANO%20SANCHEZ.pdf" TargetMode="External"/><Relationship Id="rId585" Type="http://schemas.openxmlformats.org/officeDocument/2006/relationships/hyperlink" Target="Certificado%20Titularidad/GUSTAVO%20YOLIAN%20MEJIA%20SALAZAR.pdf" TargetMode="External"/><Relationship Id="rId792" Type="http://schemas.openxmlformats.org/officeDocument/2006/relationships/hyperlink" Target="Certificado%20Titularidad/YOISER%20ALBERTO%20POLO%20MERCADO.pdf" TargetMode="External"/><Relationship Id="rId806" Type="http://schemas.openxmlformats.org/officeDocument/2006/relationships/hyperlink" Target="Certificado%20Titularidad/PEDRO%20JOSE%20PAEZ.pdf" TargetMode="External"/><Relationship Id="rId6" Type="http://schemas.openxmlformats.org/officeDocument/2006/relationships/hyperlink" Target="Certificado%20Titularidad/ALBERTO%20ISMAEL%20MENDIETA%20CACERES.pdf" TargetMode="External"/><Relationship Id="rId238" Type="http://schemas.openxmlformats.org/officeDocument/2006/relationships/hyperlink" Target="Certificado%20Titularidad/ROGELIO%20EFRAIN%20CONDORI%20HUANCA.pdf" TargetMode="External"/><Relationship Id="rId445" Type="http://schemas.openxmlformats.org/officeDocument/2006/relationships/hyperlink" Target="Certificado%20Titularidad/PEDRO%20LUIS%20ANGULO%20RODRIGUEZ.pdf" TargetMode="External"/><Relationship Id="rId652" Type="http://schemas.openxmlformats.org/officeDocument/2006/relationships/hyperlink" Target="Certificado%20Titularidad/HUMBERTO%20OCHOA%20RIOS.pdf" TargetMode="External"/><Relationship Id="rId1075" Type="http://schemas.openxmlformats.org/officeDocument/2006/relationships/hyperlink" Target="Certificado%20Titularidad/ELTON%20JHONNY%20GONGORA%20BELTRAN.pdf" TargetMode="External"/><Relationship Id="rId1282" Type="http://schemas.openxmlformats.org/officeDocument/2006/relationships/hyperlink" Target="Documentos%20firmados%20cambio/LUIS%20ANTONIO%20SOTO%20VIDAL.pdf" TargetMode="External"/><Relationship Id="rId291" Type="http://schemas.openxmlformats.org/officeDocument/2006/relationships/hyperlink" Target="Certificado%20Titularidad/EUSEBIO%20ANAMURO%20CUSI.pdf" TargetMode="External"/><Relationship Id="rId305" Type="http://schemas.openxmlformats.org/officeDocument/2006/relationships/hyperlink" Target="Certificado%20Titularidad/FABIO%20GOMES%20DOS%20ANJOS.pdf" TargetMode="External"/><Relationship Id="rId512" Type="http://schemas.openxmlformats.org/officeDocument/2006/relationships/hyperlink" Target="Certificado%20Titularidad/EDWIN%20ALBERTO%20HINESTROZA.pdf" TargetMode="External"/><Relationship Id="rId957" Type="http://schemas.openxmlformats.org/officeDocument/2006/relationships/hyperlink" Target="Certificado%20Titularidad/JORGE%20LUIS%20JIMENEZ%20BISCUMICHE.pdf" TargetMode="External"/><Relationship Id="rId1142" Type="http://schemas.openxmlformats.org/officeDocument/2006/relationships/hyperlink" Target="Certificado%20Titularidad/ENRIQUE%20LIMA%20PUERTA.pdf" TargetMode="External"/><Relationship Id="rId86" Type="http://schemas.openxmlformats.org/officeDocument/2006/relationships/hyperlink" Target="Certificado%20Titularidad/YUSSED%20MURADT%20CHAVES%20AMEZQUITA.pdf" TargetMode="External"/><Relationship Id="rId151" Type="http://schemas.openxmlformats.org/officeDocument/2006/relationships/hyperlink" Target="Certificado%20Titularidad/JONATHAN%20BLANDON%20HINCAPIE.pdf" TargetMode="External"/><Relationship Id="rId389" Type="http://schemas.openxmlformats.org/officeDocument/2006/relationships/hyperlink" Target="Certificado%20Titularidad/HECTOR%20FABIO%20VIVAS%20GUTIERREZ.pdf" TargetMode="External"/><Relationship Id="rId596" Type="http://schemas.openxmlformats.org/officeDocument/2006/relationships/hyperlink" Target="Certificado%20Titularidad/JEFFERSON%20STEVEN%20CARBALIDO%20VIDALES.pdf" TargetMode="External"/><Relationship Id="rId817" Type="http://schemas.openxmlformats.org/officeDocument/2006/relationships/hyperlink" Target="Certificado%20Titularidad/AMADOR%20JOSE%20JIMENEZ.pdf" TargetMode="External"/><Relationship Id="rId1002" Type="http://schemas.openxmlformats.org/officeDocument/2006/relationships/hyperlink" Target="Certificado%20Titularidad/SERGIO%20TUNJANO%20GOMEZ.pdf" TargetMode="External"/><Relationship Id="rId249" Type="http://schemas.openxmlformats.org/officeDocument/2006/relationships/hyperlink" Target="Certificado%20Titularidad/JULIAN%20EDUARDO%20AGUILAR.pdf" TargetMode="External"/><Relationship Id="rId456" Type="http://schemas.openxmlformats.org/officeDocument/2006/relationships/hyperlink" Target="Documentos%20firmados%20cambio/JULIAN%20EDUARDO%20AGUILAR.pdf" TargetMode="External"/><Relationship Id="rId663" Type="http://schemas.openxmlformats.org/officeDocument/2006/relationships/hyperlink" Target="Certificado%20Titularidad/MAURICIO%20ORTIZ%20CONTRERAS.pdf" TargetMode="External"/><Relationship Id="rId870" Type="http://schemas.openxmlformats.org/officeDocument/2006/relationships/hyperlink" Target="Certificado%20Titularidad/JHON%20CARLOS%20ALCAZAR%20CASTRO.pdf" TargetMode="External"/><Relationship Id="rId1086" Type="http://schemas.openxmlformats.org/officeDocument/2006/relationships/hyperlink" Target="Certificado%20Titularidad/FANOR%20ENRIQUE%20BAHOS%20OVIEDO.pdf" TargetMode="External"/><Relationship Id="rId13" Type="http://schemas.openxmlformats.org/officeDocument/2006/relationships/hyperlink" Target="Certificado%20Titularidad/ALVARO%20ADRIAN%20GOMEZ%20CASTRO.pdf" TargetMode="External"/><Relationship Id="rId109" Type="http://schemas.openxmlformats.org/officeDocument/2006/relationships/hyperlink" Target="Certificado%20Titularidad/WILMAN%20DE%20AVILA%20MARRIAGA.pdf" TargetMode="External"/><Relationship Id="rId316" Type="http://schemas.openxmlformats.org/officeDocument/2006/relationships/hyperlink" Target="Certificado%20Titularidad/JESUS%20JAMES%20BALDEON%20ZUNIGA.pdf" TargetMode="External"/><Relationship Id="rId523" Type="http://schemas.openxmlformats.org/officeDocument/2006/relationships/hyperlink" Target="Certificado%20Titularidad/WILTON%20MANUEL%20CRUZ%20RAMIREZ.pdf" TargetMode="External"/><Relationship Id="rId968" Type="http://schemas.openxmlformats.org/officeDocument/2006/relationships/hyperlink" Target="Certificado%20Titularidad/JONATAN%20MAURICIO%20TOLEDO%20CHARRY.pdf" TargetMode="External"/><Relationship Id="rId1153" Type="http://schemas.openxmlformats.org/officeDocument/2006/relationships/hyperlink" Target="Certificado%20Titularidad/IVAN%20ANDRES%20ORTIZ%20GALVAN.pdf" TargetMode="External"/><Relationship Id="rId97" Type="http://schemas.openxmlformats.org/officeDocument/2006/relationships/hyperlink" Target="Certificado%20Titularidad/GLEIDSON%20WASHINGTON%20SANTOS%20OLIVEIRA%20XAVIER.pdf" TargetMode="External"/><Relationship Id="rId730" Type="http://schemas.openxmlformats.org/officeDocument/2006/relationships/hyperlink" Target="Documentos%20firmados%20cambio/JHON%20FREDDY%20CABRERA%20AGUILAR.pdf" TargetMode="External"/><Relationship Id="rId828" Type="http://schemas.openxmlformats.org/officeDocument/2006/relationships/hyperlink" Target="Documentos%20firmados%20cambio/AMADOR%20JOSE%20JIMENEZ.pdf" TargetMode="External"/><Relationship Id="rId1013" Type="http://schemas.openxmlformats.org/officeDocument/2006/relationships/hyperlink" Target="Certificado%20Titularidad/CARLOS%20ANDRES%20ROJAS.pdf" TargetMode="External"/><Relationship Id="rId162" Type="http://schemas.openxmlformats.org/officeDocument/2006/relationships/hyperlink" Target="Certificado%20Titularidad/ROBERT%20SMITH%20HURTADO%20RODRIGUEZ.pdf" TargetMode="External"/><Relationship Id="rId467" Type="http://schemas.openxmlformats.org/officeDocument/2006/relationships/hyperlink" Target="Certificado%20Titularidad/ERIK%20DAVID%20ALEGRIA%20GRANJA.pdf" TargetMode="External"/><Relationship Id="rId1097" Type="http://schemas.openxmlformats.org/officeDocument/2006/relationships/hyperlink" Target="Certificado%20Titularidad/FREDDY%20ANDRES%20BAYONA%20CASTRO.pdf" TargetMode="External"/><Relationship Id="rId1220" Type="http://schemas.openxmlformats.org/officeDocument/2006/relationships/hyperlink" Target="Documentos%20firmados%20cambio/VICENCIO%20VILLAMIZAR%20LEON.pdf" TargetMode="External"/><Relationship Id="rId674" Type="http://schemas.openxmlformats.org/officeDocument/2006/relationships/hyperlink" Target="Certificado%20Titularidad/EDGARDO%20JOAN%20SUAREZ.pdf" TargetMode="External"/><Relationship Id="rId881" Type="http://schemas.openxmlformats.org/officeDocument/2006/relationships/hyperlink" Target="Certificado%20Titularidad/NICXON%20GARCIA%20FIERRO.pdf" TargetMode="External"/><Relationship Id="rId979" Type="http://schemas.openxmlformats.org/officeDocument/2006/relationships/hyperlink" Target="Certificado%20Titularidad/ADRIAN%20CARLOSAMA%20CHAVEZ.pdf" TargetMode="External"/><Relationship Id="rId24" Type="http://schemas.openxmlformats.org/officeDocument/2006/relationships/hyperlink" Target="Documentos%20firmados%20cambio/CARLOS%20JESUS%20ESCUDERO%20LUNA.pdf" TargetMode="External"/><Relationship Id="rId327" Type="http://schemas.openxmlformats.org/officeDocument/2006/relationships/hyperlink" Target="Certificado%20Titularidad/JERSON%20FARITH%20CHAPARRO%20VEGA.pdf" TargetMode="External"/><Relationship Id="rId534" Type="http://schemas.openxmlformats.org/officeDocument/2006/relationships/hyperlink" Target="Certificado%20Titularidad/LENNIN%20JESUS%20CANON%20CARDENAS.pdf" TargetMode="External"/><Relationship Id="rId741" Type="http://schemas.openxmlformats.org/officeDocument/2006/relationships/hyperlink" Target="Certificado%20Titularidad/MIGUEL%20ANGEL%20GARCIA%20CASTRO.pdf" TargetMode="External"/><Relationship Id="rId839" Type="http://schemas.openxmlformats.org/officeDocument/2006/relationships/hyperlink" Target="Documentos%20firmados%20cambio/ALBERTO%20LUIS%20MALDONADO%20BARRERA.pdf" TargetMode="External"/><Relationship Id="rId1164" Type="http://schemas.openxmlformats.org/officeDocument/2006/relationships/hyperlink" Target="Documentos%20firmados%20cambio/GUILLERMO%20ARCINIEGAS%20MURILLO.pdf" TargetMode="External"/><Relationship Id="rId173" Type="http://schemas.openxmlformats.org/officeDocument/2006/relationships/hyperlink" Target="Certificado%20Titularidad/JULIAN%20EDUARDO%20ARCO%20SAENZ.pdf" TargetMode="External"/><Relationship Id="rId380" Type="http://schemas.openxmlformats.org/officeDocument/2006/relationships/hyperlink" Target="Certificado%20Titularidad/HECTOR%20DAVID%20LEQUERNAQUE%20DIAZ.pdf" TargetMode="External"/><Relationship Id="rId601" Type="http://schemas.openxmlformats.org/officeDocument/2006/relationships/hyperlink" Target="Certificado%20Titularidad/JORGE%20LEONARDO%20MACHUCA%20GARCIA.pdf" TargetMode="External"/><Relationship Id="rId1024" Type="http://schemas.openxmlformats.org/officeDocument/2006/relationships/hyperlink" Target="Certificado%20Titularidad/CESAR%20GABRIEL%20TORRES%20MONTA&#209;EZ.pdf" TargetMode="External"/><Relationship Id="rId1231" Type="http://schemas.openxmlformats.org/officeDocument/2006/relationships/hyperlink" Target="Documentos%20firmados%20cambio/NASSER%20MOHAMAD%20MERES%20LUNA.pdf" TargetMode="External"/><Relationship Id="rId240" Type="http://schemas.openxmlformats.org/officeDocument/2006/relationships/hyperlink" Target="Certificado%20Titularidad/JESUS%20HEYBER%20YELA%20MELO.pdf" TargetMode="External"/><Relationship Id="rId478" Type="http://schemas.openxmlformats.org/officeDocument/2006/relationships/hyperlink" Target="Certificado%20Titularidad/CARLOS%20ALBERTO%20CORREA%20OREJUELA.pdf" TargetMode="External"/><Relationship Id="rId685" Type="http://schemas.openxmlformats.org/officeDocument/2006/relationships/hyperlink" Target="Certificado%20Titularidad/CRISTHIAN%20ANDRES%20CURAY%20LAZARO.pdf" TargetMode="External"/><Relationship Id="rId892" Type="http://schemas.openxmlformats.org/officeDocument/2006/relationships/hyperlink" Target="Certificado%20Titularidad/MARIO%20ANTONIO%20HERRERA%20ORTEGA.pdf" TargetMode="External"/><Relationship Id="rId906" Type="http://schemas.openxmlformats.org/officeDocument/2006/relationships/hyperlink" Target="Certificado%20Titularidad/FARID%20ENRIQUE%20DE%20LAS%20SALAS%20COGOLLO.pdf" TargetMode="External"/><Relationship Id="rId35" Type="http://schemas.openxmlformats.org/officeDocument/2006/relationships/hyperlink" Target="Certificado%20Titularidad/CARLOS%20ALFREDO%20ESCORCIA%20MORENO.pdf" TargetMode="External"/><Relationship Id="rId100" Type="http://schemas.openxmlformats.org/officeDocument/2006/relationships/hyperlink" Target="Certificado%20Titularidad/WILSON%20FLORES%20ROMERO.pdf" TargetMode="External"/><Relationship Id="rId338" Type="http://schemas.openxmlformats.org/officeDocument/2006/relationships/hyperlink" Target="Certificado%20Titularidad/JUAN%20PABLO%20MINA%20CHACON.pdf" TargetMode="External"/><Relationship Id="rId545" Type="http://schemas.openxmlformats.org/officeDocument/2006/relationships/hyperlink" Target="Certificado%20Titularidad/HECTOR%20JAIME%20ROA%20CONTRERAS.pdf" TargetMode="External"/><Relationship Id="rId752" Type="http://schemas.openxmlformats.org/officeDocument/2006/relationships/hyperlink" Target="Documentos%20firmados%20cambio/MILTON%20DAVID%20MORALES%20LEITON.pdf" TargetMode="External"/><Relationship Id="rId1175" Type="http://schemas.openxmlformats.org/officeDocument/2006/relationships/hyperlink" Target="Certificado%20Titularidad/RICHAR%20TAYLOR%20JIMENEZ%20CORONADO.pdf" TargetMode="External"/><Relationship Id="rId184" Type="http://schemas.openxmlformats.org/officeDocument/2006/relationships/hyperlink" Target="Certificado%20Titularidad/OMAR%20ALFREDO%20OTERO%20OCHOA.pdf" TargetMode="External"/><Relationship Id="rId391" Type="http://schemas.openxmlformats.org/officeDocument/2006/relationships/hyperlink" Target="Certificado%20Titularidad/PEDRO%20MARTIN%20GUTIERREZ%20BARRIENTOS.pdf" TargetMode="External"/><Relationship Id="rId405" Type="http://schemas.openxmlformats.org/officeDocument/2006/relationships/hyperlink" Target="Certificado%20Titularidad/IVAN%20PRADA%20LOPEZ.pdf" TargetMode="External"/><Relationship Id="rId612" Type="http://schemas.openxmlformats.org/officeDocument/2006/relationships/hyperlink" Target="Certificado%20Titularidad/MIGUEL%20RICARDO%20URTEAGA%20GARC&#205;A.pdf" TargetMode="External"/><Relationship Id="rId1035" Type="http://schemas.openxmlformats.org/officeDocument/2006/relationships/hyperlink" Target="Certificado%20Titularidad/DAMIAN%20ZAMBRANO%20TULANDE.pdf" TargetMode="External"/><Relationship Id="rId1242" Type="http://schemas.openxmlformats.org/officeDocument/2006/relationships/hyperlink" Target="Certificado%20Titularidad/JULIAN%20JAVIER%20PEARSON%20GUERRERO.pdf" TargetMode="External"/><Relationship Id="rId251" Type="http://schemas.openxmlformats.org/officeDocument/2006/relationships/hyperlink" Target="Certificado%20Titularidad/CARLOS%20ALBERTO%20PINTADO%20CARRION.pdf" TargetMode="External"/><Relationship Id="rId489" Type="http://schemas.openxmlformats.org/officeDocument/2006/relationships/hyperlink" Target="Certificado%20Titularidad/EDWAR%20VARGAS%20LOPEZ.pdf" TargetMode="External"/><Relationship Id="rId696" Type="http://schemas.openxmlformats.org/officeDocument/2006/relationships/hyperlink" Target="Certificado%20Titularidad/DEINER%20MARIN%20ROCHA.pdf" TargetMode="External"/><Relationship Id="rId917" Type="http://schemas.openxmlformats.org/officeDocument/2006/relationships/hyperlink" Target="Certificado%20Titularidad/PEDRO%20LUIS%20PADILLA%20VALDEZ.pdf" TargetMode="External"/><Relationship Id="rId1102" Type="http://schemas.openxmlformats.org/officeDocument/2006/relationships/hyperlink" Target="Certificado%20Titularidad/FRAY%20DAVID%20GIL%20VALENCIA.pdf" TargetMode="External"/><Relationship Id="rId46" Type="http://schemas.openxmlformats.org/officeDocument/2006/relationships/hyperlink" Target="Certificado%20Titularidad/CRISTIAN%20RICARDO%20LLONTOP%20SANTISTEBAN.pdf" TargetMode="External"/><Relationship Id="rId349" Type="http://schemas.openxmlformats.org/officeDocument/2006/relationships/hyperlink" Target="Certificado%20Titularidad/JAIME%20AUGUSTO%20JOYA%20BOTIA.pdf" TargetMode="External"/><Relationship Id="rId556" Type="http://schemas.openxmlformats.org/officeDocument/2006/relationships/hyperlink" Target="Certificado%20Titularidad/NEIRON%20ENRIQUE%20CARCAMO%20REALES.pdf" TargetMode="External"/><Relationship Id="rId763" Type="http://schemas.openxmlformats.org/officeDocument/2006/relationships/hyperlink" Target="Certificado%20Titularidad/JOSE%20MIGUEL%20ZACARIAS%20CHIRINOS.pdf" TargetMode="External"/><Relationship Id="rId1186" Type="http://schemas.openxmlformats.org/officeDocument/2006/relationships/hyperlink" Target="Certificado%20Titularidad/CARLOS%20MARIO%20ROCHA%20ARIZ.pdf" TargetMode="External"/><Relationship Id="rId111" Type="http://schemas.openxmlformats.org/officeDocument/2006/relationships/hyperlink" Target="Certificado%20Titularidad/JAIME%20ALEJANDRO%20RETIS%20TOLENTINO.pdf" TargetMode="External"/><Relationship Id="rId195" Type="http://schemas.openxmlformats.org/officeDocument/2006/relationships/hyperlink" Target="Certificado%20Titularidad/MIGUEL%20ANGEL%20MARTINEZ%20CHAVEZ.pdf" TargetMode="External"/><Relationship Id="rId209" Type="http://schemas.openxmlformats.org/officeDocument/2006/relationships/hyperlink" Target="Documentos%20firmados%20cambio/REMY%20SENNDER%20FARIAS%20ACARO.pdf" TargetMode="External"/><Relationship Id="rId416" Type="http://schemas.openxmlformats.org/officeDocument/2006/relationships/hyperlink" Target="Documentos%20firmados%20cambio/LUIS%20MIGUEL%20DIAZ%20GUTIERREZ.pdf" TargetMode="External"/><Relationship Id="rId970" Type="http://schemas.openxmlformats.org/officeDocument/2006/relationships/hyperlink" Target="Certificado%20Titularidad/EDWIN%20FREDY%20SUAREZ%20CARDENAS.pdf" TargetMode="External"/><Relationship Id="rId1046" Type="http://schemas.openxmlformats.org/officeDocument/2006/relationships/hyperlink" Target="Certificado%20Titularidad/DEIVIS%20DAVID%20CASTRO%20MARTINEZ.pdf" TargetMode="External"/><Relationship Id="rId1253" Type="http://schemas.openxmlformats.org/officeDocument/2006/relationships/hyperlink" Target="Certificado%20Titularidad/KLINSMANN%20ANDRE%20COLINA%20MARIN.pdf" TargetMode="External"/><Relationship Id="rId623" Type="http://schemas.openxmlformats.org/officeDocument/2006/relationships/hyperlink" Target="Certificado%20Titularidad/ARIEL%20SILVA%20GAMBOA.pdf" TargetMode="External"/><Relationship Id="rId830" Type="http://schemas.openxmlformats.org/officeDocument/2006/relationships/hyperlink" Target="Certificado%20Titularidad/MARCO%20ALEXIS%20VILLAMIL%20SUAREZ.pdf" TargetMode="External"/><Relationship Id="rId928" Type="http://schemas.openxmlformats.org/officeDocument/2006/relationships/hyperlink" Target="Certificado%20Titularidad/ELVIS%20WILLY%20VARGAS%20CASTILLO.pdf" TargetMode="External"/><Relationship Id="rId57" Type="http://schemas.openxmlformats.org/officeDocument/2006/relationships/hyperlink" Target="Documentos%20firmados%20cambio/JOSE%20JAVIER%20CASTRO%20OBANDO.pdf" TargetMode="External"/><Relationship Id="rId262" Type="http://schemas.openxmlformats.org/officeDocument/2006/relationships/hyperlink" Target="Certificado%20Titularidad/OSCAR%20ANDRES%20RIVAS%20ESCALANTE.pdf" TargetMode="External"/><Relationship Id="rId567" Type="http://schemas.openxmlformats.org/officeDocument/2006/relationships/hyperlink" Target="Certificado%20Titularidad/LUIS%20MANUEL%20SALCEDO%20VITOLA.pdf" TargetMode="External"/><Relationship Id="rId1113" Type="http://schemas.openxmlformats.org/officeDocument/2006/relationships/hyperlink" Target="Certificado%20Titularidad/GERSON%20STEVENS%20BELTRAN%20CASTELLANOS.pdf" TargetMode="External"/><Relationship Id="rId1197" Type="http://schemas.openxmlformats.org/officeDocument/2006/relationships/hyperlink" Target="Certificado%20Titularidad/YORVY%20RAFAEL%20MARTINEZ%20ROMERO.pdf" TargetMode="External"/><Relationship Id="rId122" Type="http://schemas.openxmlformats.org/officeDocument/2006/relationships/hyperlink" Target="Certificado%20Titularidad/VICTOR%20ANGEL%20NIQUE%20YZAGUIRRE.pdf" TargetMode="External"/><Relationship Id="rId774" Type="http://schemas.openxmlformats.org/officeDocument/2006/relationships/hyperlink" Target="Certificado%20Titularidad/CLAUBER%20FONSECA%20MARCIANO.pdf" TargetMode="External"/><Relationship Id="rId981" Type="http://schemas.openxmlformats.org/officeDocument/2006/relationships/hyperlink" Target="Certificado%20Titularidad/ALBEIRO%20ENRIQUE%20AMOR%20AGUILAR.pdf" TargetMode="External"/><Relationship Id="rId1057" Type="http://schemas.openxmlformats.org/officeDocument/2006/relationships/hyperlink" Target="Certificado%20Titularidad/DIVINSO%20JOSE%20LARA%20PERALTA.pdf" TargetMode="External"/><Relationship Id="rId427" Type="http://schemas.openxmlformats.org/officeDocument/2006/relationships/hyperlink" Target="Certificado%20Titularidad/WALTER%20DAVID%20ZAGARRA%20RODRIGUEZ.pdf" TargetMode="External"/><Relationship Id="rId634" Type="http://schemas.openxmlformats.org/officeDocument/2006/relationships/hyperlink" Target="Certificado%20Titularidad/LUIS%20ENRIQUE%20SILVA%20GAMBOA.pdf" TargetMode="External"/><Relationship Id="rId841" Type="http://schemas.openxmlformats.org/officeDocument/2006/relationships/hyperlink" Target="Certificado%20Titularidad/CARLOS%20DANIEL%20RODRIGUEZ%20PENA.pdf" TargetMode="External"/><Relationship Id="rId1264" Type="http://schemas.openxmlformats.org/officeDocument/2006/relationships/hyperlink" Target="Certificado%20Titularidad/JUAN%20CARLOS%20TORRES%20LEON.pdf" TargetMode="External"/><Relationship Id="rId273" Type="http://schemas.openxmlformats.org/officeDocument/2006/relationships/hyperlink" Target="Certificado%20Titularidad/ANDERSSON%20DENILSON%20GOMEZ%20ASCENCIO.pdf" TargetMode="External"/><Relationship Id="rId480" Type="http://schemas.openxmlformats.org/officeDocument/2006/relationships/hyperlink" Target="Certificado%20Titularidad/EDILSON%20FIERRO%20DAGUA.pdf" TargetMode="External"/><Relationship Id="rId701" Type="http://schemas.openxmlformats.org/officeDocument/2006/relationships/hyperlink" Target="Certificado%20Titularidad/LUIS%20ALFREDO%20APONTE%20ANTON.pdf" TargetMode="External"/><Relationship Id="rId939" Type="http://schemas.openxmlformats.org/officeDocument/2006/relationships/hyperlink" Target="Certificado%20Titularidad/WILSON%20YESID%20GUARIN%20GALAN.pdf" TargetMode="External"/><Relationship Id="rId1124" Type="http://schemas.openxmlformats.org/officeDocument/2006/relationships/hyperlink" Target="Certificado%20Titularidad/HAROLD%20ALBERTO%20GRISALES%20ARRIETA.pdf" TargetMode="External"/><Relationship Id="rId68" Type="http://schemas.openxmlformats.org/officeDocument/2006/relationships/hyperlink" Target="Certificado%20Titularidad/EDWIN%20DIAZ%20MARULANDA.pdf" TargetMode="External"/><Relationship Id="rId133" Type="http://schemas.openxmlformats.org/officeDocument/2006/relationships/hyperlink" Target="Certificado%20Titularidad/SERGIO%20DANIEL%20GOMEZ%20ARAMBURO.pdf" TargetMode="External"/><Relationship Id="rId340" Type="http://schemas.openxmlformats.org/officeDocument/2006/relationships/hyperlink" Target="Certificado%20Titularidad/ISRAEL%20ANTHONY%20GARCIA%20MOREANO.pdf" TargetMode="External"/><Relationship Id="rId578" Type="http://schemas.openxmlformats.org/officeDocument/2006/relationships/hyperlink" Target="Certificado%20Titularidad/HELKIN%20ANTONIO%20OJEDA%20DE%20LA%20CRUZ.pdf" TargetMode="External"/><Relationship Id="rId785" Type="http://schemas.openxmlformats.org/officeDocument/2006/relationships/hyperlink" Target="Certificado%20Titularidad/YESID%20RAFAEL%20ZARATE%20MANJARREZ.pdf" TargetMode="External"/><Relationship Id="rId992" Type="http://schemas.openxmlformats.org/officeDocument/2006/relationships/hyperlink" Target="Certificado%20Titularidad/WILMER%20FERNANDO%20ROJAS%20RAMIREZ.pdf" TargetMode="External"/><Relationship Id="rId200" Type="http://schemas.openxmlformats.org/officeDocument/2006/relationships/hyperlink" Target="Certificado%20Titularidad/MARTIN%20FRANCISCO%20ABACA.pdf" TargetMode="External"/><Relationship Id="rId438" Type="http://schemas.openxmlformats.org/officeDocument/2006/relationships/hyperlink" Target="Certificado%20Titularidad/CHARLY%20PEREZ%20LORZA.pdf" TargetMode="External"/><Relationship Id="rId645" Type="http://schemas.openxmlformats.org/officeDocument/2006/relationships/hyperlink" Target="Certificado%20Titularidad/RICHARD%20OMAR%20CASTRO%20CUEVAS.pdf" TargetMode="External"/><Relationship Id="rId852" Type="http://schemas.openxmlformats.org/officeDocument/2006/relationships/hyperlink" Target="Certificado%20Titularidad/CARLOS%20ANDRES%20QUINTERO%20ARCIA.pdf" TargetMode="External"/><Relationship Id="rId1068" Type="http://schemas.openxmlformats.org/officeDocument/2006/relationships/hyperlink" Target="Certificado%20Titularidad/EDWARD%20IGNACIO%20DIAZ%20AVILA.pdf" TargetMode="External"/><Relationship Id="rId1275" Type="http://schemas.openxmlformats.org/officeDocument/2006/relationships/hyperlink" Target="Certificado%20Titularidad/EISON%20RAFAEL%20IBARRA%20SIERRA.pdf" TargetMode="External"/><Relationship Id="rId284" Type="http://schemas.openxmlformats.org/officeDocument/2006/relationships/hyperlink" Target="Documentos%20firmados%20cambio/YEISON%20SAMIR%20CAICEDO.pdf" TargetMode="External"/><Relationship Id="rId491" Type="http://schemas.openxmlformats.org/officeDocument/2006/relationships/hyperlink" Target="Certificado%20Titularidad/EDWARD%20JEFRID%20OSPINA%20MANOSALVA.pdf" TargetMode="External"/><Relationship Id="rId505" Type="http://schemas.openxmlformats.org/officeDocument/2006/relationships/hyperlink" Target="Certificado%20Titularidad/ANDRES%20FELIPE%20LOPEZ%20FONTALVO.pdf" TargetMode="External"/><Relationship Id="rId712" Type="http://schemas.openxmlformats.org/officeDocument/2006/relationships/hyperlink" Target="Certificado%20Titularidad/ARMANDO%20QUIROGA%20JOVEN.pdf" TargetMode="External"/><Relationship Id="rId1135" Type="http://schemas.openxmlformats.org/officeDocument/2006/relationships/hyperlink" Target="Certificado%20Titularidad/JADER%20ENRIQUE%20QUINONEZ%20HERRERA.pdf" TargetMode="External"/><Relationship Id="rId79" Type="http://schemas.openxmlformats.org/officeDocument/2006/relationships/hyperlink" Target="Certificado%20Titularidad/ELKIN%20GIOVANNI%20VALENZUELA%20DIAZ.pdf" TargetMode="External"/><Relationship Id="rId144" Type="http://schemas.openxmlformats.org/officeDocument/2006/relationships/hyperlink" Target="Certificado%20Titularidad/ROGGER%20EDUARDO%20LOPEZ%20AURAZO.pdf" TargetMode="External"/><Relationship Id="rId589" Type="http://schemas.openxmlformats.org/officeDocument/2006/relationships/hyperlink" Target="Certificado%20Titularidad/LUIS%20HERNANDO%20LOPEZ%20MU&#209;OZ.pdf" TargetMode="External"/><Relationship Id="rId796" Type="http://schemas.openxmlformats.org/officeDocument/2006/relationships/hyperlink" Target="Certificado%20Titularidad/RICHARD%20ANTONIO%20GUERRA%20HERRERA.pdf" TargetMode="External"/><Relationship Id="rId1202" Type="http://schemas.openxmlformats.org/officeDocument/2006/relationships/hyperlink" Target="Certificado%20Titularidad/JORGE%20IVAN%20SARRIA%20ORTIZ.pdf" TargetMode="External"/><Relationship Id="rId351" Type="http://schemas.openxmlformats.org/officeDocument/2006/relationships/hyperlink" Target="Certificado%20Titularidad/GERMAN%20MAURICIO%20CARO%20CASTRO.pdf" TargetMode="External"/><Relationship Id="rId449" Type="http://schemas.openxmlformats.org/officeDocument/2006/relationships/hyperlink" Target="Certificado%20Titularidad/FABIAN%20LLERAR%20ROA%20MATEUS.pdf" TargetMode="External"/><Relationship Id="rId656" Type="http://schemas.openxmlformats.org/officeDocument/2006/relationships/hyperlink" Target="Certificado%20Titularidad/HECTOR%20JESUS%20QUINONES%20PEREZ.pdf" TargetMode="External"/><Relationship Id="rId863" Type="http://schemas.openxmlformats.org/officeDocument/2006/relationships/hyperlink" Target="Certificado%20Titularidad/WILLIAM%20NORBERTO%20MELO%20MELO.pdf" TargetMode="External"/><Relationship Id="rId1079" Type="http://schemas.openxmlformats.org/officeDocument/2006/relationships/hyperlink" Target="Certificado%20Titularidad/ENRIQUE%20SABALZA%20RODRIGUEZ.pdf" TargetMode="External"/><Relationship Id="rId1286" Type="http://schemas.openxmlformats.org/officeDocument/2006/relationships/table" Target="../tables/table1.xml"/><Relationship Id="rId211" Type="http://schemas.openxmlformats.org/officeDocument/2006/relationships/hyperlink" Target="Documentos%20firmados%20cambio/NESTOR%20JULIAN%20BORRERO%20HERNANDEZ.pdf" TargetMode="External"/><Relationship Id="rId295" Type="http://schemas.openxmlformats.org/officeDocument/2006/relationships/hyperlink" Target="Certificado%20Titularidad/ALESSANDRO%20SANTANA%20JESUS.pdf" TargetMode="External"/><Relationship Id="rId309" Type="http://schemas.openxmlformats.org/officeDocument/2006/relationships/hyperlink" Target="Certificado%20Titularidad/BRANDON%20ALEXANDER%20BAYONA%20CABALLERO.pdf" TargetMode="External"/><Relationship Id="rId516" Type="http://schemas.openxmlformats.org/officeDocument/2006/relationships/hyperlink" Target="Certificado%20Titularidad/LUIS%20FELIPE%20VALDERRAMA%20PALOMINO.pdf" TargetMode="External"/><Relationship Id="rId1146" Type="http://schemas.openxmlformats.org/officeDocument/2006/relationships/hyperlink" Target="Certificado%20Titularidad/JULIAN%20ANDRES%20LUCUMI%20CALERO.pdf" TargetMode="External"/><Relationship Id="rId723" Type="http://schemas.openxmlformats.org/officeDocument/2006/relationships/hyperlink" Target="Certificado%20Titularidad/MANUEL%20TCHIMBINJA%20GOMBACASSI.pdf" TargetMode="External"/><Relationship Id="rId930" Type="http://schemas.openxmlformats.org/officeDocument/2006/relationships/hyperlink" Target="Certificado%20Titularidad/FARID%20JOSE%20ROJAS%20GUERRA.pdf" TargetMode="External"/><Relationship Id="rId1006" Type="http://schemas.openxmlformats.org/officeDocument/2006/relationships/hyperlink" Target="Certificado%20Titularidad/BRUNO%20ARIEL%20WINTER%20COMANDO.pdf" TargetMode="External"/><Relationship Id="rId155" Type="http://schemas.openxmlformats.org/officeDocument/2006/relationships/hyperlink" Target="Certificado%20Titularidad/JORGE%20ENRIQUE%20LIEVANO%20ALZATE.pdf" TargetMode="External"/><Relationship Id="rId362" Type="http://schemas.openxmlformats.org/officeDocument/2006/relationships/hyperlink" Target="Certificado%20Titularidad/ALDRUMAR%20CABALLERO%20MARTINEZ.pdf" TargetMode="External"/><Relationship Id="rId1213" Type="http://schemas.openxmlformats.org/officeDocument/2006/relationships/hyperlink" Target="Documentos%20firmados%20cambio/HECTOR%20MANUEL%20BUELVAS%20ZAMBRANO.pdf" TargetMode="External"/><Relationship Id="rId222" Type="http://schemas.openxmlformats.org/officeDocument/2006/relationships/hyperlink" Target="Certificado%20Titularidad/OMAR%20STEVEEN%20SANCHEZ%20ROJAS.pdf" TargetMode="External"/><Relationship Id="rId667" Type="http://schemas.openxmlformats.org/officeDocument/2006/relationships/hyperlink" Target="Certificado%20Titularidad/JORGE%20CAMILO%20QUINTERO%20OJEDA.pdf" TargetMode="External"/><Relationship Id="rId874" Type="http://schemas.openxmlformats.org/officeDocument/2006/relationships/hyperlink" Target="Certificado%20Titularidad/SANTIAGO%20HIGUITA%20ARBOLEDA.pdf" TargetMode="External"/><Relationship Id="rId17" Type="http://schemas.openxmlformats.org/officeDocument/2006/relationships/hyperlink" Target="Certificado%20Titularidad/BRUNO%20DA%20COSTA%20F&#201;.pdf" TargetMode="External"/><Relationship Id="rId527" Type="http://schemas.openxmlformats.org/officeDocument/2006/relationships/hyperlink" Target="Certificado%20Titularidad/GABRIEL%20OCHOA%20GAITAN.pdf" TargetMode="External"/><Relationship Id="rId734" Type="http://schemas.openxmlformats.org/officeDocument/2006/relationships/hyperlink" Target="Certificado%20Titularidad/WILMAR%20ESTUPI&#209;AN%20ANGULO.pdf" TargetMode="External"/><Relationship Id="rId941" Type="http://schemas.openxmlformats.org/officeDocument/2006/relationships/hyperlink" Target="Certificado%20Titularidad/LUIS%20EDUARDO%20VALDEZ%20ELLES.pdf" TargetMode="External"/><Relationship Id="rId1157" Type="http://schemas.openxmlformats.org/officeDocument/2006/relationships/hyperlink" Target="Certificado%20Titularidad/NELSON%20RODRIGO%20MOSSOS%20ANDRADE.pdf" TargetMode="External"/><Relationship Id="rId70" Type="http://schemas.openxmlformats.org/officeDocument/2006/relationships/hyperlink" Target="Documentos%20firmados%20cambio/SANDRO%20GONZALEZ%20&#209;USTES.pdf" TargetMode="External"/><Relationship Id="rId166" Type="http://schemas.openxmlformats.org/officeDocument/2006/relationships/hyperlink" Target="Certificado%20Titularidad/RAUL%20ROBERTO%20DA%20SILVA.pdf" TargetMode="External"/><Relationship Id="rId373" Type="http://schemas.openxmlformats.org/officeDocument/2006/relationships/hyperlink" Target="Certificado%20Titularidad/BRAYAN%20JAIR%20SALAZAR%20ORTEGA.pdf" TargetMode="External"/><Relationship Id="rId580" Type="http://schemas.openxmlformats.org/officeDocument/2006/relationships/hyperlink" Target="Documentos%20firmados%20cambio/DANIEL%20ELIECER%20PEREZ%20ACEVEDO.pdf" TargetMode="External"/><Relationship Id="rId801" Type="http://schemas.openxmlformats.org/officeDocument/2006/relationships/hyperlink" Target="Certificado%20Titularidad/MILTON%20SAA%20MILLAN.pdf" TargetMode="External"/><Relationship Id="rId1017" Type="http://schemas.openxmlformats.org/officeDocument/2006/relationships/hyperlink" Target="Certificado%20Titularidad/CARLOS%20GIOVANNI%20RONDEROS%20VEGA.pdf" TargetMode="External"/><Relationship Id="rId1224" Type="http://schemas.openxmlformats.org/officeDocument/2006/relationships/hyperlink" Target="Documentos%20firmados%20cambio/WILMER%20FERNANDO%20ROJAS%20RAMIREZ.pdf" TargetMode="External"/><Relationship Id="rId1" Type="http://schemas.openxmlformats.org/officeDocument/2006/relationships/hyperlink" Target="Certificado%20Titularidad/AGNER%20MARTINEZ%20CARREAZO.pdf" TargetMode="External"/><Relationship Id="rId233" Type="http://schemas.openxmlformats.org/officeDocument/2006/relationships/hyperlink" Target="Certificado%20Titularidad/EDWIN%20JOEL%20SILVA%20RAMOS.pdf" TargetMode="External"/><Relationship Id="rId440" Type="http://schemas.openxmlformats.org/officeDocument/2006/relationships/hyperlink" Target="Documentos%20firmados%20cambio/JHONS%20WILFREDO%20RAMIREZ%20VIERA.pdf" TargetMode="External"/><Relationship Id="rId678" Type="http://schemas.openxmlformats.org/officeDocument/2006/relationships/hyperlink" Target="Certificado%20Titularidad/GONZALO%20QUINTANA%20PIMIENTO.pdf" TargetMode="External"/><Relationship Id="rId885" Type="http://schemas.openxmlformats.org/officeDocument/2006/relationships/hyperlink" Target="Certificado%20Titularidad/BRAYAN%20JOSE%20ALARCON%20MORALES.pdf" TargetMode="External"/><Relationship Id="rId1070" Type="http://schemas.openxmlformats.org/officeDocument/2006/relationships/hyperlink" Target="Certificado%20Titularidad/EDWIN%20BERNAL%20ARCINIEGAS.pdf" TargetMode="External"/><Relationship Id="rId28" Type="http://schemas.openxmlformats.org/officeDocument/2006/relationships/hyperlink" Target="Certificado%20Titularidad/BORIS%20ALI%20CHUNGA%20LUJAN.pdf" TargetMode="External"/><Relationship Id="rId300" Type="http://schemas.openxmlformats.org/officeDocument/2006/relationships/hyperlink" Target="Certificado%20Titularidad/DOMINGOS%20ADAO%20PASCOAL.pdf" TargetMode="External"/><Relationship Id="rId538" Type="http://schemas.openxmlformats.org/officeDocument/2006/relationships/hyperlink" Target="Documentos%20firmados%20cambio/JORGE%20IVAN%20TEHERAN%20CAUSADO.pdf" TargetMode="External"/><Relationship Id="rId745" Type="http://schemas.openxmlformats.org/officeDocument/2006/relationships/hyperlink" Target="Certificado%20Titularidad/ROBIN%20JOSE%20TORRES%20VANEGAS.pdf" TargetMode="External"/><Relationship Id="rId952" Type="http://schemas.openxmlformats.org/officeDocument/2006/relationships/hyperlink" Target="Certificado%20Titularidad/JAVIER%20ANTONIO%20BARROS%20RICO.pdf" TargetMode="External"/><Relationship Id="rId1168" Type="http://schemas.openxmlformats.org/officeDocument/2006/relationships/hyperlink" Target="Certificado%20Titularidad/JUAN%20ESTEBAN%20RANGEL%20HERNANDEZ.pdf" TargetMode="External"/><Relationship Id="rId81" Type="http://schemas.openxmlformats.org/officeDocument/2006/relationships/hyperlink" Target="Certificado%20Titularidad/ENRIQUE%20PEREZ%20CARREAZO.pdf" TargetMode="External"/><Relationship Id="rId177" Type="http://schemas.openxmlformats.org/officeDocument/2006/relationships/hyperlink" Target="Certificado%20Titularidad/JULIO%20CESAR%20ANTEQUERA%20ALMARALES.pdf" TargetMode="External"/><Relationship Id="rId384" Type="http://schemas.openxmlformats.org/officeDocument/2006/relationships/hyperlink" Target="Certificado%20Titularidad/LUIS%20FERNANDO%20RIVERA%20PUERTA.pdf" TargetMode="External"/><Relationship Id="rId591" Type="http://schemas.openxmlformats.org/officeDocument/2006/relationships/hyperlink" Target="Certificado%20Titularidad/JORGE%20HERNANDO%20AGUIRRE%20VELANDIA.pdf" TargetMode="External"/><Relationship Id="rId605" Type="http://schemas.openxmlformats.org/officeDocument/2006/relationships/hyperlink" Target="Certificado%20Titularidad/JUAN%20CARLOS%20VILLANUEVA%20DE%20LA%20HOZ.pdf" TargetMode="External"/><Relationship Id="rId812" Type="http://schemas.openxmlformats.org/officeDocument/2006/relationships/hyperlink" Target="Certificado%20Titularidad/LUIS%20FERNANDO%20VASQUEZ%20ALVARADO.pdf" TargetMode="External"/><Relationship Id="rId1028" Type="http://schemas.openxmlformats.org/officeDocument/2006/relationships/hyperlink" Target="Certificado%20Titularidad/CORIOLANO%20ALFREDO%20ROJAS%20MURILLO.pdf" TargetMode="External"/><Relationship Id="rId1235" Type="http://schemas.openxmlformats.org/officeDocument/2006/relationships/hyperlink" Target="Documentos%20firmados%20cambio/ALVARO%20ENRIQUE%20ROJAS%20DE%20LA%20OSSA.pdf" TargetMode="External"/><Relationship Id="rId244" Type="http://schemas.openxmlformats.org/officeDocument/2006/relationships/hyperlink" Target="Certificado%20Titularidad/ANTHONY%20JULIAN%20MORENO%20VALDERRAMA.pdf" TargetMode="External"/><Relationship Id="rId689" Type="http://schemas.openxmlformats.org/officeDocument/2006/relationships/hyperlink" Target="Certificado%20Titularidad/CESAR%20AUGUSTO%20HOYOS%20SERNA.pdf" TargetMode="External"/><Relationship Id="rId896" Type="http://schemas.openxmlformats.org/officeDocument/2006/relationships/hyperlink" Target="Certificado%20Titularidad/RONALD%20ALFONSO%20HERNANDEZ%20SALGADO.pdf" TargetMode="External"/><Relationship Id="rId1081" Type="http://schemas.openxmlformats.org/officeDocument/2006/relationships/hyperlink" Target="Certificado%20Titularidad/ERLEIN%20GOMEZ%20RAMOS.pdf" TargetMode="External"/><Relationship Id="rId39" Type="http://schemas.openxmlformats.org/officeDocument/2006/relationships/hyperlink" Target="Certificado%20Titularidad/CARLOS%20EMILIO%20MONSALVE%20MARIN.pdf" TargetMode="External"/><Relationship Id="rId451" Type="http://schemas.openxmlformats.org/officeDocument/2006/relationships/hyperlink" Target="Certificado%20Titularidad/PABLO%20ANDR&#201;%20DE%20PADUA%20MOTA.pdf" TargetMode="External"/><Relationship Id="rId549" Type="http://schemas.openxmlformats.org/officeDocument/2006/relationships/hyperlink" Target="Certificado%20Titularidad/JHON%20ADAIMER%20MORALES%20MORALES.pdf" TargetMode="External"/><Relationship Id="rId756" Type="http://schemas.openxmlformats.org/officeDocument/2006/relationships/hyperlink" Target="Certificado%20Titularidad/WILMER%20LEANDRO%20SANCHEZ.pdf" TargetMode="External"/><Relationship Id="rId1179" Type="http://schemas.openxmlformats.org/officeDocument/2006/relationships/hyperlink" Target="Certificado%20Titularidad/BRANDON%20RAMIREZ%20ZAPATA.pdf" TargetMode="External"/><Relationship Id="rId104" Type="http://schemas.openxmlformats.org/officeDocument/2006/relationships/hyperlink" Target="Certificado%20Titularidad/GUSTAVO%20MENDES%20TEIXEIRA%20DA%20SILVA.pdf" TargetMode="External"/><Relationship Id="rId188" Type="http://schemas.openxmlformats.org/officeDocument/2006/relationships/hyperlink" Target="Certificado%20Titularidad/LUIS%20ALBERTO%20SABOGAL%20OROZCO.pdf" TargetMode="External"/><Relationship Id="rId311" Type="http://schemas.openxmlformats.org/officeDocument/2006/relationships/hyperlink" Target="Certificado%20Titularidad/CESAR%20EDUARDO%20GONZALES%20BARRIENTOS.pdf" TargetMode="External"/><Relationship Id="rId395" Type="http://schemas.openxmlformats.org/officeDocument/2006/relationships/hyperlink" Target="Certificado%20Titularidad/LUIS%20ENRIQUE%20GARRIDO%20CASTRO.pdf" TargetMode="External"/><Relationship Id="rId409" Type="http://schemas.openxmlformats.org/officeDocument/2006/relationships/hyperlink" Target="Certificado%20Titularidad/LUIS%20MIGUEL%20DIAZ%20GUTIERREZ.pdf" TargetMode="External"/><Relationship Id="rId963" Type="http://schemas.openxmlformats.org/officeDocument/2006/relationships/hyperlink" Target="Certificado%20Titularidad/LUIS%20MERCEDES%20VILLALTA%20SUAREZ.pdf" TargetMode="External"/><Relationship Id="rId1039" Type="http://schemas.openxmlformats.org/officeDocument/2006/relationships/hyperlink" Target="Certificado%20Titularidad/DANNY%20%20DANIEL%20CORREA%20CAMPOVERDE.pdf" TargetMode="External"/><Relationship Id="rId1246" Type="http://schemas.openxmlformats.org/officeDocument/2006/relationships/hyperlink" Target="Certificado%20Titularidad/JESUS%20ALBERTO%20PENARANDA%20VILLALOBOS.pdf" TargetMode="External"/><Relationship Id="rId92" Type="http://schemas.openxmlformats.org/officeDocument/2006/relationships/hyperlink" Target="Certificado%20Titularidad/FRANCISCO%20ALBERTO%20MARAVI%20CHUMBE.pdf" TargetMode="External"/><Relationship Id="rId616" Type="http://schemas.openxmlformats.org/officeDocument/2006/relationships/hyperlink" Target="Documentos%20firmados%20cambio/DIEGO%20ROBERTO%20SOUZA%20SCAVACINI.pdf" TargetMode="External"/><Relationship Id="rId823" Type="http://schemas.openxmlformats.org/officeDocument/2006/relationships/hyperlink" Target="Certificado%20Titularidad/LUIS%20ALFREDO%20MALAVER%20CARDENAS.pdf" TargetMode="External"/><Relationship Id="rId255" Type="http://schemas.openxmlformats.org/officeDocument/2006/relationships/hyperlink" Target="Documentos%20firmados%20cambio/PEDRO%20CARLOS%20ARMENDARIZ.pdf" TargetMode="External"/><Relationship Id="rId462" Type="http://schemas.openxmlformats.org/officeDocument/2006/relationships/hyperlink" Target="Documentos%20firmados%20cambio/FABIANIZ%20GIRADO%20MARTINEZ.pdf" TargetMode="External"/><Relationship Id="rId1092" Type="http://schemas.openxmlformats.org/officeDocument/2006/relationships/hyperlink" Target="Certificado%20Titularidad/RAMON%20GUILLERMO%20SANABRIA%20ECHARRI.pdf" TargetMode="External"/><Relationship Id="rId1106" Type="http://schemas.openxmlformats.org/officeDocument/2006/relationships/hyperlink" Target="Certificado%20Titularidad/FRANK%20PERDOMO%20YUCUMA.pdf" TargetMode="External"/><Relationship Id="rId115" Type="http://schemas.openxmlformats.org/officeDocument/2006/relationships/hyperlink" Target="Certificado%20Titularidad/WILFREDO%20ALONSO%20QUISPESAYHUA%20CARRION.pdf" TargetMode="External"/><Relationship Id="rId322" Type="http://schemas.openxmlformats.org/officeDocument/2006/relationships/hyperlink" Target="Certificado%20Titularidad/PEDRO%20LUIS%20ORTEGA%20MULET.pdf" TargetMode="External"/><Relationship Id="rId767" Type="http://schemas.openxmlformats.org/officeDocument/2006/relationships/hyperlink" Target="Documentos%20firmados%20cambio/JAHIR%20SURLEY%20DELGADO%20AGREDO.pdf" TargetMode="External"/><Relationship Id="rId974" Type="http://schemas.openxmlformats.org/officeDocument/2006/relationships/hyperlink" Target="Documentos%20firmados%20cambio/JEAN%20CARLO%20GARCIA%20GARCIA.pdf" TargetMode="External"/><Relationship Id="rId199" Type="http://schemas.openxmlformats.org/officeDocument/2006/relationships/hyperlink" Target="Certificado%20Titularidad/MATHEUS%20ALVES%20BARBOSA%20CASTRO.pdf" TargetMode="External"/><Relationship Id="rId627" Type="http://schemas.openxmlformats.org/officeDocument/2006/relationships/hyperlink" Target="Certificado%20Titularidad/DEIBIS%20ENRIQUE%20HERNANDEZ%20OROZCO.pdf" TargetMode="External"/><Relationship Id="rId834" Type="http://schemas.openxmlformats.org/officeDocument/2006/relationships/hyperlink" Target="Certificado%20Titularidad/JORGE%20LUIS%20ROMERO%20DE%20ANGEL.pdf" TargetMode="External"/><Relationship Id="rId1257" Type="http://schemas.openxmlformats.org/officeDocument/2006/relationships/hyperlink" Target="Certificado%20Titularidad/YEFERSON%20DANIEL%20NEIRA%20ESPINOSA.pdf" TargetMode="External"/><Relationship Id="rId266" Type="http://schemas.openxmlformats.org/officeDocument/2006/relationships/hyperlink" Target="Documentos%20firmados%20cambio/JOSE%20GABRIEL%20GONZALEZ%20SUAREZ.pdf" TargetMode="External"/><Relationship Id="rId473" Type="http://schemas.openxmlformats.org/officeDocument/2006/relationships/hyperlink" Target="Certificado%20Titularidad/WILMER%20SIMANCA%20GOMEZ.pdf" TargetMode="External"/><Relationship Id="rId680" Type="http://schemas.openxmlformats.org/officeDocument/2006/relationships/hyperlink" Target="Certificado%20Titularidad/JAVIER%20HERNANDO%20VALDERRAMA%20GUTIERREZ.pdf" TargetMode="External"/><Relationship Id="rId901" Type="http://schemas.openxmlformats.org/officeDocument/2006/relationships/hyperlink" Target="Certificado%20Titularidad/CRISTIAN%20CAMILO%20BORRE%20SILVA.pdf" TargetMode="External"/><Relationship Id="rId1117" Type="http://schemas.openxmlformats.org/officeDocument/2006/relationships/hyperlink" Target="Certificado%20Titularidad/GONZALO%20RENE%20RIVAS%20GAVIRIA.pdf" TargetMode="External"/><Relationship Id="rId30" Type="http://schemas.openxmlformats.org/officeDocument/2006/relationships/hyperlink" Target="Certificado%20Titularidad/BRAULIO%20JOSE%20ORTIZ%20LLORENTE.pdf" TargetMode="External"/><Relationship Id="rId126" Type="http://schemas.openxmlformats.org/officeDocument/2006/relationships/hyperlink" Target="Certificado%20Titularidad/JEFFERSON%20FABIAN%20MARTINEZ%20ALVAREZ.pdf" TargetMode="External"/><Relationship Id="rId333" Type="http://schemas.openxmlformats.org/officeDocument/2006/relationships/hyperlink" Target="Certificado%20Titularidad/JORGE%20LUIS%20GONZALES%20VIERA.pdf" TargetMode="External"/><Relationship Id="rId540" Type="http://schemas.openxmlformats.org/officeDocument/2006/relationships/hyperlink" Target="Documentos%20firmados%20cambio/HECTOR%20SANCHEZ%20GUERRERO.pdf" TargetMode="External"/><Relationship Id="rId778" Type="http://schemas.openxmlformats.org/officeDocument/2006/relationships/hyperlink" Target="Certificado%20Titularidad/WILLIAMS%20HUMBERTO%20ABAD%20MONTALBAN.pdf" TargetMode="External"/><Relationship Id="rId985" Type="http://schemas.openxmlformats.org/officeDocument/2006/relationships/hyperlink" Target="Certificado%20Titularidad/YIMIS%20RAMIRO%20PEREZ%20ARRIETA.pdf" TargetMode="External"/><Relationship Id="rId1170" Type="http://schemas.openxmlformats.org/officeDocument/2006/relationships/hyperlink" Target="Certificado%20Titularidad/WILMER%20ANTONIO%20BLANCO%20ALVAREZ.pdf" TargetMode="External"/><Relationship Id="rId638" Type="http://schemas.openxmlformats.org/officeDocument/2006/relationships/hyperlink" Target="Certificado%20Titularidad/ILLERMAN%20DE%20LA%20HOZ%20PELAEZ.pdf" TargetMode="External"/><Relationship Id="rId845" Type="http://schemas.openxmlformats.org/officeDocument/2006/relationships/hyperlink" Target="Certificado%20Titularidad/JOSE%20MANUEL%20MARULANDA%20MEDINA.pdf" TargetMode="External"/><Relationship Id="rId1030" Type="http://schemas.openxmlformats.org/officeDocument/2006/relationships/hyperlink" Target="Certificado%20Titularidad/CRISTIAN%20DAVID%20MARIN%20ZAPATA.pdf" TargetMode="External"/><Relationship Id="rId1268" Type="http://schemas.openxmlformats.org/officeDocument/2006/relationships/hyperlink" Target="Documentos%20firmados%20cambio/LUIS%20DIOMEDES%20RODRIGUEZ%20USTARIS.pdf" TargetMode="External"/><Relationship Id="rId277" Type="http://schemas.openxmlformats.org/officeDocument/2006/relationships/hyperlink" Target="Certificado%20Titularidad/GUILLERMO%20LEON%20POSADA%20LONDONO.pdf" TargetMode="External"/><Relationship Id="rId400" Type="http://schemas.openxmlformats.org/officeDocument/2006/relationships/hyperlink" Target="Documentos%20firmados%20cambio/WILMAN%20ARBEY%20ROMERO%20GONZALEZ.pdf" TargetMode="External"/><Relationship Id="rId484" Type="http://schemas.openxmlformats.org/officeDocument/2006/relationships/hyperlink" Target="Documentos%20firmados%20cambio/YESID%20DAVID%20GOMEZ%20ARZUAGA.pdf" TargetMode="External"/><Relationship Id="rId705" Type="http://schemas.openxmlformats.org/officeDocument/2006/relationships/hyperlink" Target="Certificado%20Titularidad/BRAYAN%20JAVIER%20CHAVES%20NARVAEZ.pdf" TargetMode="External"/><Relationship Id="rId1128" Type="http://schemas.openxmlformats.org/officeDocument/2006/relationships/hyperlink" Target="Documentos%20firmados%20cambio/HEINER%20GONZALEZ%20ALAPE.pdf" TargetMode="External"/><Relationship Id="rId137" Type="http://schemas.openxmlformats.org/officeDocument/2006/relationships/hyperlink" Target="Certificado%20Titularidad/JHON%20ESTIVEN%20RUIZ%20ALZATE.pdf" TargetMode="External"/><Relationship Id="rId344" Type="http://schemas.openxmlformats.org/officeDocument/2006/relationships/hyperlink" Target="Documentos%20firmados%20cambio/ANDY%20LYONEL%20CARRASCO%20VARGAS.pdf" TargetMode="External"/><Relationship Id="rId691" Type="http://schemas.openxmlformats.org/officeDocument/2006/relationships/hyperlink" Target="Certificado%20Titularidad/FABIO%20LEON%20OROZCO%20RODRIGUEZ.pdf" TargetMode="External"/><Relationship Id="rId789" Type="http://schemas.openxmlformats.org/officeDocument/2006/relationships/hyperlink" Target="Documentos%20firmados%20cambio/RONALD%20JAVIER%20MARCELO%20SEMINARIO.pdf" TargetMode="External"/><Relationship Id="rId912" Type="http://schemas.openxmlformats.org/officeDocument/2006/relationships/hyperlink" Target="Certificado%20Titularidad/DANIEL%20FELIPE%20PATINO%20CANDELA.pdf" TargetMode="External"/><Relationship Id="rId996" Type="http://schemas.openxmlformats.org/officeDocument/2006/relationships/hyperlink" Target="Certificado%20Titularidad/WANDERSON%20FERREIRA%20LEMES.pdf" TargetMode="External"/><Relationship Id="rId41" Type="http://schemas.openxmlformats.org/officeDocument/2006/relationships/hyperlink" Target="Documentos%20firmados%20cambio/ENRIQUE%20PEREZ%20CARREAZO.pdf" TargetMode="External"/><Relationship Id="rId551" Type="http://schemas.openxmlformats.org/officeDocument/2006/relationships/hyperlink" Target="Certificado%20Titularidad/DIEGO%20JAVIER%20RAMIREZ%20MORENO.pdf" TargetMode="External"/><Relationship Id="rId649" Type="http://schemas.openxmlformats.org/officeDocument/2006/relationships/hyperlink" Target="Certificado%20Titularidad/JAIRO%20ALFONSO%20MUNOZ%20VALLE.pdf" TargetMode="External"/><Relationship Id="rId856" Type="http://schemas.openxmlformats.org/officeDocument/2006/relationships/hyperlink" Target="Certificado%20Titularidad/JOSE%20ANTONIO%20RUEDA%20CAMARGO.pdf" TargetMode="External"/><Relationship Id="rId1181" Type="http://schemas.openxmlformats.org/officeDocument/2006/relationships/hyperlink" Target="Certificado%20Titularidad/NESTOR%20ALEXANDER%20VIERA%20CANALES.pdf" TargetMode="External"/><Relationship Id="rId1279" Type="http://schemas.openxmlformats.org/officeDocument/2006/relationships/hyperlink" Target="Certificado%20Titularidad/CARLOS%20ALBERTO%20CARDONA%20YAIMA.pdf" TargetMode="External"/><Relationship Id="rId190" Type="http://schemas.openxmlformats.org/officeDocument/2006/relationships/hyperlink" Target="Certificado%20Titularidad/NELSON%20ALBERTO%20SALCEDO%20RODRIGUEZ.pdf" TargetMode="External"/><Relationship Id="rId204" Type="http://schemas.openxmlformats.org/officeDocument/2006/relationships/hyperlink" Target="Certificado%20Titularidad/LUIS%20FERNANDO%20DENIS%20BEJARANO.pdf" TargetMode="External"/><Relationship Id="rId288" Type="http://schemas.openxmlformats.org/officeDocument/2006/relationships/hyperlink" Target="Certificado%20Titularidad/DAVID%20RICARDO%20SANCHEZ%20ZAPATA.pdf" TargetMode="External"/><Relationship Id="rId411" Type="http://schemas.openxmlformats.org/officeDocument/2006/relationships/hyperlink" Target="Certificado%20Titularidad/ANGELO%20DE%20JESUS%20AGUDELO%20RESTREPO.pdf" TargetMode="External"/><Relationship Id="rId509" Type="http://schemas.openxmlformats.org/officeDocument/2006/relationships/hyperlink" Target="Certificado%20Titularidad/GULFRAN%20ENRIQUE%20LUGO%20GUTIERREZ.pdf" TargetMode="External"/><Relationship Id="rId1041" Type="http://schemas.openxmlformats.org/officeDocument/2006/relationships/hyperlink" Target="Certificado%20Titularidad/DARWIN%20FAURICIO%20RAMIREZ%20JARAMILLO.pdf" TargetMode="External"/><Relationship Id="rId1139" Type="http://schemas.openxmlformats.org/officeDocument/2006/relationships/hyperlink" Target="Certificado%20Titularidad/JAIRO%20ALBERTO%20BOLA&#209;O%20PACHECO.pdf" TargetMode="External"/><Relationship Id="rId495" Type="http://schemas.openxmlformats.org/officeDocument/2006/relationships/hyperlink" Target="Certificado%20Titularidad/DIDIER%20JOSE%20CHOLES%20MIRANDA.pdf" TargetMode="External"/><Relationship Id="rId716" Type="http://schemas.openxmlformats.org/officeDocument/2006/relationships/hyperlink" Target="Certificado%20Titularidad/HELMER%20STIWAR%20MONTA&#209;A.pdf" TargetMode="External"/><Relationship Id="rId923" Type="http://schemas.openxmlformats.org/officeDocument/2006/relationships/hyperlink" Target="Certificado%20Titularidad/JUAN%20MANUEL%20LOZADA%20GOICOCHEA.pdf" TargetMode="External"/><Relationship Id="rId52" Type="http://schemas.openxmlformats.org/officeDocument/2006/relationships/hyperlink" Target="Certificado%20Titularidad/DUAN%20ANTONIO%20AVILA%20NORIEGA.pdf" TargetMode="External"/><Relationship Id="rId148" Type="http://schemas.openxmlformats.org/officeDocument/2006/relationships/hyperlink" Target="Certificado%20Titularidad/RODRIGO%20DA%20COSTA%20MOREIRA.pdf" TargetMode="External"/><Relationship Id="rId355" Type="http://schemas.openxmlformats.org/officeDocument/2006/relationships/hyperlink" Target="Documentos%20firmados%20cambio/CARLOS%20ALBERTO%20CABEZAS%20IBARGUEN.pdf" TargetMode="External"/><Relationship Id="rId562" Type="http://schemas.openxmlformats.org/officeDocument/2006/relationships/hyperlink" Target="Certificado%20Titularidad/MOISES%20ESTUPINAN%20SANCHEZ.pdf" TargetMode="External"/><Relationship Id="rId1192" Type="http://schemas.openxmlformats.org/officeDocument/2006/relationships/hyperlink" Target="Certificado%20Titularidad/MAURICIO%20TORO%20RAMIREZ.pdf" TargetMode="External"/><Relationship Id="rId1206" Type="http://schemas.openxmlformats.org/officeDocument/2006/relationships/hyperlink" Target="Certificado%20Titularidad/JONATHAN%20FELACIO%20FISGATIVA.pdf" TargetMode="External"/><Relationship Id="rId215" Type="http://schemas.openxmlformats.org/officeDocument/2006/relationships/hyperlink" Target="Documentos%20firmados%20cambio/MARCO%20ANTONIO%20CRISTOBAL%20CALERO.pdf" TargetMode="External"/><Relationship Id="rId422" Type="http://schemas.openxmlformats.org/officeDocument/2006/relationships/hyperlink" Target="Documentos%20firmados%20cambio/WAYNER%20IBARBO%20VERGARA.pdf" TargetMode="External"/><Relationship Id="rId867" Type="http://schemas.openxmlformats.org/officeDocument/2006/relationships/hyperlink" Target="Certificado%20Titularidad/JOSE%20NEPSE%20LOPEZ%20RAMIREZ.pdf" TargetMode="External"/><Relationship Id="rId1052" Type="http://schemas.openxmlformats.org/officeDocument/2006/relationships/hyperlink" Target="Certificado%20Titularidad/DIEGO%20ARMANDO%20PEDRAZA%20CHOQUE.pdf" TargetMode="External"/><Relationship Id="rId299" Type="http://schemas.openxmlformats.org/officeDocument/2006/relationships/hyperlink" Target="Certificado%20Titularidad/FABIO%20CEZAR%20BEZERRA.pdf" TargetMode="External"/><Relationship Id="rId727" Type="http://schemas.openxmlformats.org/officeDocument/2006/relationships/hyperlink" Target="Certificado%20Titularidad/ALBERTO%20ENRIQUE%20MACIAS%20TEHERAN.pdf" TargetMode="External"/><Relationship Id="rId934" Type="http://schemas.openxmlformats.org/officeDocument/2006/relationships/hyperlink" Target="Certificado%20Titularidad/CARLOS%20ALBERTO%20CIFUENTES%20MIRANDA.pdf" TargetMode="External"/><Relationship Id="rId63" Type="http://schemas.openxmlformats.org/officeDocument/2006/relationships/hyperlink" Target="Documentos%20firmados%20cambio/JUAN%20EUSEVIO%20VILELA%20SANDOVAL.pdf" TargetMode="External"/><Relationship Id="rId159" Type="http://schemas.openxmlformats.org/officeDocument/2006/relationships/hyperlink" Target="Certificado%20Titularidad/JOSE%20CARBAJAL%20YAURI.pdf" TargetMode="External"/><Relationship Id="rId366" Type="http://schemas.openxmlformats.org/officeDocument/2006/relationships/hyperlink" Target="Documentos%20firmados%20cambio/MARCO%20ANTONIO%20ROJAS%20CARBAJAL.pdf" TargetMode="External"/><Relationship Id="rId573" Type="http://schemas.openxmlformats.org/officeDocument/2006/relationships/hyperlink" Target="Certificado%20Titularidad/JOSE%20JAVIER%20SAAVEDRA%20POLANIA.pdf" TargetMode="External"/><Relationship Id="rId780" Type="http://schemas.openxmlformats.org/officeDocument/2006/relationships/hyperlink" Target="Certificado%20Titularidad/MAURICIO%20TELLO%20RODRIGUEZ.pdf" TargetMode="External"/><Relationship Id="rId1217" Type="http://schemas.openxmlformats.org/officeDocument/2006/relationships/hyperlink" Target="Documentos%20firmados%20cambio/MELBIN%20JULIO%20ALBOR%20SUAREZ.pdf" TargetMode="External"/><Relationship Id="rId226" Type="http://schemas.openxmlformats.org/officeDocument/2006/relationships/hyperlink" Target="Certificado%20Titularidad/MIGUEL%20ANGEL%20ARCAYA%20NORIEGA.pdf" TargetMode="External"/><Relationship Id="rId433" Type="http://schemas.openxmlformats.org/officeDocument/2006/relationships/hyperlink" Target="Certificado%20Titularidad/RICARDO%20MILLER%20SANCHEZ%20BECERRA.pdf" TargetMode="External"/><Relationship Id="rId878" Type="http://schemas.openxmlformats.org/officeDocument/2006/relationships/hyperlink" Target="Certificado%20Titularidad/ANDRES%20FELIPE%20PULIDO%20GOMEZ.pdf" TargetMode="External"/><Relationship Id="rId1063" Type="http://schemas.openxmlformats.org/officeDocument/2006/relationships/hyperlink" Target="Certificado%20Titularidad/EDINSON%20LOZANO%20TELLEZ.pdf" TargetMode="External"/><Relationship Id="rId1270" Type="http://schemas.openxmlformats.org/officeDocument/2006/relationships/hyperlink" Target="Certificado%20Titularidad/JONNY%20ENRIQUE%20CURA%20VARGAS.pdf" TargetMode="External"/><Relationship Id="rId640" Type="http://schemas.openxmlformats.org/officeDocument/2006/relationships/hyperlink" Target="Documentos%20firmados%20cambio/ADILSON%20ESCOBAR%20OREJUELA.pdf" TargetMode="External"/><Relationship Id="rId738" Type="http://schemas.openxmlformats.org/officeDocument/2006/relationships/hyperlink" Target="Certificado%20Titularidad/JOSE%20YOVANNY%20LOZANO%20GOMEZ.pdf" TargetMode="External"/><Relationship Id="rId945" Type="http://schemas.openxmlformats.org/officeDocument/2006/relationships/hyperlink" Target="Certificado%20Titularidad/HECTOR%20EDUARDO%20RIVERO%20MANZANO.pdf" TargetMode="External"/><Relationship Id="rId74" Type="http://schemas.openxmlformats.org/officeDocument/2006/relationships/hyperlink" Target="Certificado%20Titularidad/EDWIN%20GARCES%20SINISTERRA.pdf" TargetMode="External"/><Relationship Id="rId377" Type="http://schemas.openxmlformats.org/officeDocument/2006/relationships/hyperlink" Target="Certificado%20Titularidad/JULIO%20ENRIQUE%20ZAMBRANO%20SANCHEZ.pdf" TargetMode="External"/><Relationship Id="rId500" Type="http://schemas.openxmlformats.org/officeDocument/2006/relationships/hyperlink" Target="Certificado%20Titularidad/MARTIN%20CAMILO%20SUAREZ%20BARRERA.pdf" TargetMode="External"/><Relationship Id="rId584" Type="http://schemas.openxmlformats.org/officeDocument/2006/relationships/hyperlink" Target="Documentos%20firmados%20cambio/JORGE%20LUIS%20GONZALES%20VIERA.pdf" TargetMode="External"/><Relationship Id="rId805" Type="http://schemas.openxmlformats.org/officeDocument/2006/relationships/hyperlink" Target="Certificado%20Titularidad/NIXO%20ELIECER%20CHAVEZ%20GARCIA.pdf" TargetMode="External"/><Relationship Id="rId1130" Type="http://schemas.openxmlformats.org/officeDocument/2006/relationships/hyperlink" Target="Certificado%20Titularidad/HUERLIN%20MANGLIO%20ALVARADO%20GUZM&#193;N.pdf" TargetMode="External"/><Relationship Id="rId1228" Type="http://schemas.openxmlformats.org/officeDocument/2006/relationships/hyperlink" Target="Certificado%20Titularidad/PASTOR%20JOSE%20FERNANDEZ%20CANELO.pdf" TargetMode="External"/><Relationship Id="rId5" Type="http://schemas.openxmlformats.org/officeDocument/2006/relationships/hyperlink" Target="Documentos%20firmados%20cambio/ALVARO%20ESPINOSA%20ALCALDE-CAMBIO%20DE%20CUENTA.pdf" TargetMode="External"/><Relationship Id="rId237" Type="http://schemas.openxmlformats.org/officeDocument/2006/relationships/hyperlink" Target="Certificado%20Titularidad/DAWED%20JAIR%20AGUDELO%20PEREZ.pdf" TargetMode="External"/><Relationship Id="rId791" Type="http://schemas.openxmlformats.org/officeDocument/2006/relationships/hyperlink" Target="Documentos%20firmados%20cambio/YOISER%20ALBERTO%20POLO%20MERCADO.pdf" TargetMode="External"/><Relationship Id="rId889" Type="http://schemas.openxmlformats.org/officeDocument/2006/relationships/hyperlink" Target="Certificado%20Titularidad/DUVAN%20ALEXIS%20SUAREZ%20TRUJILLO.pdf" TargetMode="External"/><Relationship Id="rId1074" Type="http://schemas.openxmlformats.org/officeDocument/2006/relationships/hyperlink" Target="Certificado%20Titularidad/ELIECER%20ANTONIO%20ZURITA%20CORDDOBA.pdf" TargetMode="External"/><Relationship Id="rId444" Type="http://schemas.openxmlformats.org/officeDocument/2006/relationships/hyperlink" Target="Certificado%20Titularidad/JOSE%20GUILLERMO%20MARTINEZ%20QUINTERO.pdf" TargetMode="External"/><Relationship Id="rId651" Type="http://schemas.openxmlformats.org/officeDocument/2006/relationships/hyperlink" Target="Certificado%20Titularidad/CRISTIAN%20ADRIAN%20QUIROS%20RAMOS.pdf" TargetMode="External"/><Relationship Id="rId749" Type="http://schemas.openxmlformats.org/officeDocument/2006/relationships/hyperlink" Target="Certificado%20Titularidad/ARTURO%20HANS%20VELARDE%20AVALOS.pdf" TargetMode="External"/><Relationship Id="rId1281" Type="http://schemas.openxmlformats.org/officeDocument/2006/relationships/hyperlink" Target="Certificado%20Titularidad/YORVY%20RAFAEL%20MARTINEZ%20ROMERO.pdf" TargetMode="External"/><Relationship Id="rId290" Type="http://schemas.openxmlformats.org/officeDocument/2006/relationships/hyperlink" Target="Certificado%20Titularidad/HUGO%20MAMANI%20HERRERA.pdf" TargetMode="External"/><Relationship Id="rId304" Type="http://schemas.openxmlformats.org/officeDocument/2006/relationships/hyperlink" Target="Certificado%20Titularidad/MEIKER%20SADAINER%20OVIEDO%20CANCHILA.pdf" TargetMode="External"/><Relationship Id="rId388" Type="http://schemas.openxmlformats.org/officeDocument/2006/relationships/hyperlink" Target="Certificado%20Titularidad/LUIS%20ALBERTO%20MARTINEZ%20BLANQUICETT.pdf" TargetMode="External"/><Relationship Id="rId511" Type="http://schemas.openxmlformats.org/officeDocument/2006/relationships/hyperlink" Target="Documentos%20firmados%20cambio/JORDY%20ALEXANDER%20ALVA%20PAYAC.pdf" TargetMode="External"/><Relationship Id="rId609" Type="http://schemas.openxmlformats.org/officeDocument/2006/relationships/hyperlink" Target="Certificado%20Titularidad/DIEGO%20FERNANDO%20CHICUE%20RODRIGUEZ.pdf" TargetMode="External"/><Relationship Id="rId956" Type="http://schemas.openxmlformats.org/officeDocument/2006/relationships/hyperlink" Target="Certificado%20Titularidad/JORGE%20ANTONIO%20RAMIREZ%20LUNA.pdf" TargetMode="External"/><Relationship Id="rId1141" Type="http://schemas.openxmlformats.org/officeDocument/2006/relationships/hyperlink" Target="Certificado%20Titularidad/JEAN%20CARLO%20SUAREZ%20VALENCIA.pdf" TargetMode="External"/><Relationship Id="rId1239" Type="http://schemas.openxmlformats.org/officeDocument/2006/relationships/hyperlink" Target="Certificado%20Titularidad/VICTOR%20JAVIER%20RIERA%20FLORES.pdf" TargetMode="External"/><Relationship Id="rId85" Type="http://schemas.openxmlformats.org/officeDocument/2006/relationships/hyperlink" Target="Certificado%20Titularidad/EUSEBIO%20DE%20JESUS%20MEJIA%20DE%20LA%20ROSA.pdf" TargetMode="External"/><Relationship Id="rId150" Type="http://schemas.openxmlformats.org/officeDocument/2006/relationships/hyperlink" Target="Certificado%20Titularidad/RODRIGO%20ALEXANDRO%20AVILA%20DIEGO.pdf" TargetMode="External"/><Relationship Id="rId595" Type="http://schemas.openxmlformats.org/officeDocument/2006/relationships/hyperlink" Target="Certificado%20Titularidad/JEREMY%20PAUL%20CABRERA%20CALDERON.pdf" TargetMode="External"/><Relationship Id="rId816" Type="http://schemas.openxmlformats.org/officeDocument/2006/relationships/hyperlink" Target="Certificado%20Titularidad/JHONNATAN%20DE%20JESUS%20JIMENEZ%20SANCHEZ.pdf" TargetMode="External"/><Relationship Id="rId1001" Type="http://schemas.openxmlformats.org/officeDocument/2006/relationships/hyperlink" Target="Certificado%20Titularidad/SEVERO%20PABON%20CASTRO.pdf" TargetMode="External"/><Relationship Id="rId248" Type="http://schemas.openxmlformats.org/officeDocument/2006/relationships/hyperlink" Target="Certificado%20Titularidad/RICHARD%20FREDY%20CIENFUEGOS%20ARANA.pdf" TargetMode="External"/><Relationship Id="rId455" Type="http://schemas.openxmlformats.org/officeDocument/2006/relationships/hyperlink" Target="Certificado%20Titularidad/EDUAR%20MANUEL%20DAVILA%20CERON.pdf" TargetMode="External"/><Relationship Id="rId662" Type="http://schemas.openxmlformats.org/officeDocument/2006/relationships/hyperlink" Target="Certificado%20Titularidad/JORGE%20ANDRES%20VEGA%20DELGADO.pdf" TargetMode="External"/><Relationship Id="rId1085" Type="http://schemas.openxmlformats.org/officeDocument/2006/relationships/hyperlink" Target="Certificado%20Titularidad/FABIAN%20JARAMILLO%20MARIN.pdf" TargetMode="External"/><Relationship Id="rId12" Type="http://schemas.openxmlformats.org/officeDocument/2006/relationships/hyperlink" Target="Certificado%20Titularidad/ALFREDO%20ENRIQUE%20RODRIGUEZ%20NOGUERA.pdf" TargetMode="External"/><Relationship Id="rId108" Type="http://schemas.openxmlformats.org/officeDocument/2006/relationships/hyperlink" Target="Certificado%20Titularidad/ISAIAS%20MUNOZ%20MACHADO.pdf" TargetMode="External"/><Relationship Id="rId315" Type="http://schemas.openxmlformats.org/officeDocument/2006/relationships/hyperlink" Target="Certificado%20Titularidad/NESTOR%20RAUL%20RESTREPO%20POLO.pdf" TargetMode="External"/><Relationship Id="rId522" Type="http://schemas.openxmlformats.org/officeDocument/2006/relationships/hyperlink" Target="Certificado%20Titularidad/FERNANDO%20DARIO%20LUNA%20PINEDA.pdf" TargetMode="External"/><Relationship Id="rId967" Type="http://schemas.openxmlformats.org/officeDocument/2006/relationships/hyperlink" Target="Certificado%20Titularidad/JOSEPH%20ESTIVENS%20NIETO%20FERNANDEZ.pdf" TargetMode="External"/><Relationship Id="rId1152" Type="http://schemas.openxmlformats.org/officeDocument/2006/relationships/hyperlink" Target="Documentos%20firmados%20cambio/GUSTAVO%20RAFAEL%20CARRILO%20NU&#209;EZ.pdf" TargetMode="External"/><Relationship Id="rId96" Type="http://schemas.openxmlformats.org/officeDocument/2006/relationships/hyperlink" Target="Certificado%20Titularidad/GIOVANNI%20CHRISTIAN%20SALAZAR%20HIDALGO.pdf" TargetMode="External"/><Relationship Id="rId161" Type="http://schemas.openxmlformats.org/officeDocument/2006/relationships/hyperlink" Target="Certificado%20Titularidad/JOSE%20JAVIER%20CASTRO%20OBANDO.pdf" TargetMode="External"/><Relationship Id="rId399" Type="http://schemas.openxmlformats.org/officeDocument/2006/relationships/hyperlink" Target="Certificado%20Titularidad/PAULO%20CESAR%20GOMEZ%20NAVARRETE.pdf" TargetMode="External"/><Relationship Id="rId827" Type="http://schemas.openxmlformats.org/officeDocument/2006/relationships/hyperlink" Target="Certificado%20Titularidad/JHON%20FREDY%20VELEIZANO%20PULIDO.pdf" TargetMode="External"/><Relationship Id="rId1012" Type="http://schemas.openxmlformats.org/officeDocument/2006/relationships/hyperlink" Target="Certificado%20Titularidad/CARLOS%20ANDRES%20RIBON%20PABON.pdf" TargetMode="External"/><Relationship Id="rId259" Type="http://schemas.openxmlformats.org/officeDocument/2006/relationships/hyperlink" Target="Documentos%20firmados%20cambio/ELIS%20RAMON%20GARCIA%20DIAZ.pdf" TargetMode="External"/><Relationship Id="rId466" Type="http://schemas.openxmlformats.org/officeDocument/2006/relationships/hyperlink" Target="Certificado%20Titularidad/NELSON%20RIANO%20VARGAS.pdf" TargetMode="External"/><Relationship Id="rId673" Type="http://schemas.openxmlformats.org/officeDocument/2006/relationships/hyperlink" Target="Certificado%20Titularidad/MILTON%20DAVID%20MORALES%20LEITON.pdf" TargetMode="External"/><Relationship Id="rId880" Type="http://schemas.openxmlformats.org/officeDocument/2006/relationships/hyperlink" Target="Certificado%20Titularidad/VICTOR%20EDUARDO%20VILLAFANE%20REVOLLO.pdf" TargetMode="External"/><Relationship Id="rId1096" Type="http://schemas.openxmlformats.org/officeDocument/2006/relationships/hyperlink" Target="Documentos%20firmados%20cambio/OSCAR%20ASTORGA%20MU&#209;OZ.pdf" TargetMode="External"/><Relationship Id="rId23" Type="http://schemas.openxmlformats.org/officeDocument/2006/relationships/hyperlink" Target="Certificado%20Titularidad/ANGERSON%20GIULLIANO%20DE%20OLIVEIRA%20DANTAS.pdf" TargetMode="External"/><Relationship Id="rId119" Type="http://schemas.openxmlformats.org/officeDocument/2006/relationships/hyperlink" Target="Certificado%20Titularidad/VICTOR%20DANIEL%20ARIAS%20GONZALEZ.pdf" TargetMode="External"/><Relationship Id="rId326" Type="http://schemas.openxmlformats.org/officeDocument/2006/relationships/hyperlink" Target="Certificado%20Titularidad/ALEXIS%20JESUS%20SUAREZ%20GONZALEZ.pdf" TargetMode="External"/><Relationship Id="rId533" Type="http://schemas.openxmlformats.org/officeDocument/2006/relationships/hyperlink" Target="Certificado%20Titularidad/MAGUEY%20MAURICIO%20MU&#209;OZ%20CARDENAS.pdf" TargetMode="External"/><Relationship Id="rId978" Type="http://schemas.openxmlformats.org/officeDocument/2006/relationships/hyperlink" Target="Certificado%20Titularidad/ADALBERTO%20ARAGON%20GOMEZ.pdf" TargetMode="External"/><Relationship Id="rId1163" Type="http://schemas.openxmlformats.org/officeDocument/2006/relationships/hyperlink" Target="Certificado%20Titularidad/GUILLERMO%20ARCINIEGAS%20MURILLO.pdf" TargetMode="External"/><Relationship Id="rId740" Type="http://schemas.openxmlformats.org/officeDocument/2006/relationships/hyperlink" Target="Certificado%20Titularidad/LUIS%20SAUL%20ARIAS%20NAVA.pdf" TargetMode="External"/><Relationship Id="rId838" Type="http://schemas.openxmlformats.org/officeDocument/2006/relationships/hyperlink" Target="Certificado%20Titularidad/ALBERTO%20LUIS%20MALDONADO%20BARRERA.pdf" TargetMode="External"/><Relationship Id="rId1023" Type="http://schemas.openxmlformats.org/officeDocument/2006/relationships/hyperlink" Target="Certificado%20Titularidad/CESAR%20FARID%20PADILLA%20MORENO.pdf" TargetMode="External"/><Relationship Id="rId172" Type="http://schemas.openxmlformats.org/officeDocument/2006/relationships/hyperlink" Target="Certificado%20Titularidad/JUAN%20EUSEVIO%20VILELA%20SANDOVAL.pdf" TargetMode="External"/><Relationship Id="rId477" Type="http://schemas.openxmlformats.org/officeDocument/2006/relationships/hyperlink" Target="Certificado%20Titularidad/JONATHAN%20GONZALO%20RODRIGUEZ%20CABEZAS.pdf" TargetMode="External"/><Relationship Id="rId600" Type="http://schemas.openxmlformats.org/officeDocument/2006/relationships/hyperlink" Target="Certificado%20Titularidad/DARIO%20CARLOS%20MANUEL%20PEREIRA.pdf" TargetMode="External"/><Relationship Id="rId684" Type="http://schemas.openxmlformats.org/officeDocument/2006/relationships/hyperlink" Target="Documentos%20firmados%20cambio/RENZO%20JUNIO%20CHUNGA%20LUJAN.pdf" TargetMode="External"/><Relationship Id="rId1230" Type="http://schemas.openxmlformats.org/officeDocument/2006/relationships/hyperlink" Target="Certificado%20Titularidad/NASSER%20MOHAMAD%20MERES%20LUNA.pdf" TargetMode="External"/><Relationship Id="rId337" Type="http://schemas.openxmlformats.org/officeDocument/2006/relationships/hyperlink" Target="Certificado%20Titularidad/IVER%20ALONSO%20TORRES%20MONTA&#209;O.pdf" TargetMode="External"/><Relationship Id="rId891" Type="http://schemas.openxmlformats.org/officeDocument/2006/relationships/hyperlink" Target="Certificado%20Titularidad/JEISON%20HERRERA%20LOZANO.pdf" TargetMode="External"/><Relationship Id="rId905" Type="http://schemas.openxmlformats.org/officeDocument/2006/relationships/hyperlink" Target="Certificado%20Titularidad/KEWIN%20RAFAEL%20RUMBO%20YEPES.pdf" TargetMode="External"/><Relationship Id="rId989" Type="http://schemas.openxmlformats.org/officeDocument/2006/relationships/hyperlink" Target="Certificado%20Titularidad/YEDIN%20CASTILLO%20VASQUEZ.pdf" TargetMode="External"/><Relationship Id="rId34" Type="http://schemas.openxmlformats.org/officeDocument/2006/relationships/hyperlink" Target="Certificado%20Titularidad/CARLOS%20ALBERTO%20CARTAGENA%20GONZALEZ.pdf" TargetMode="External"/><Relationship Id="rId544" Type="http://schemas.openxmlformats.org/officeDocument/2006/relationships/hyperlink" Target="Certificado%20Titularidad/GIOVANNY%20COBOS%20ROBLES.pdf" TargetMode="External"/><Relationship Id="rId751" Type="http://schemas.openxmlformats.org/officeDocument/2006/relationships/hyperlink" Target="Certificado%20Titularidad/YANNY%20ALBERTO%20HERNANDEZ%20LOZANO.pdf" TargetMode="External"/><Relationship Id="rId849" Type="http://schemas.openxmlformats.org/officeDocument/2006/relationships/hyperlink" Target="Certificado%20Titularidad/MICHAEL%20ANDRES%20AHUMADA%20RUBIO.pdf" TargetMode="External"/><Relationship Id="rId1174" Type="http://schemas.openxmlformats.org/officeDocument/2006/relationships/hyperlink" Target="Certificado%20Titularidad/YIMI%20ALEXANDER%20TRIANA%20FRANCO.pdf" TargetMode="External"/><Relationship Id="rId183" Type="http://schemas.openxmlformats.org/officeDocument/2006/relationships/hyperlink" Target="Certificado%20Titularidad/LAISNERS%20GALICIA%20MORALES.pdf" TargetMode="External"/><Relationship Id="rId390" Type="http://schemas.openxmlformats.org/officeDocument/2006/relationships/hyperlink" Target="Certificado%20Titularidad/HARLIM%20YAIR%20SILVA%20MIRANDA.pdf" TargetMode="External"/><Relationship Id="rId404" Type="http://schemas.openxmlformats.org/officeDocument/2006/relationships/hyperlink" Target="Certificado%20Titularidad/LENNER%20VICTOR%20RAMOS%20RUIZ.pdf" TargetMode="External"/><Relationship Id="rId611" Type="http://schemas.openxmlformats.org/officeDocument/2006/relationships/hyperlink" Target="Certificado%20Titularidad/ELVIN%20AXEL%20POLO%20MANZANO.pdf" TargetMode="External"/><Relationship Id="rId1034" Type="http://schemas.openxmlformats.org/officeDocument/2006/relationships/hyperlink" Target="Certificado%20Titularidad/DALMIRO%20SOTO%20RAMOS.pdf" TargetMode="External"/><Relationship Id="rId1241" Type="http://schemas.openxmlformats.org/officeDocument/2006/relationships/hyperlink" Target="Documentos%20firmados%20cambio/CARLOS%20MARIO%20JARAMILLO%20LOPEZ.pdf" TargetMode="External"/><Relationship Id="rId250" Type="http://schemas.openxmlformats.org/officeDocument/2006/relationships/hyperlink" Target="Certificado%20Titularidad/EDWARD%20FRANCISCO%20RAMIREZ%20JARAMILLO.pdf" TargetMode="External"/><Relationship Id="rId488" Type="http://schemas.openxmlformats.org/officeDocument/2006/relationships/hyperlink" Target="Documentos%20firmados%20cambio/WILMER%20YANAYACO%20PINEDO.pdf" TargetMode="External"/><Relationship Id="rId695" Type="http://schemas.openxmlformats.org/officeDocument/2006/relationships/hyperlink" Target="Certificado%20Titularidad/JONATHAN%20ALEXANDRE%20NEIRA%20SUAZO.pdf" TargetMode="External"/><Relationship Id="rId709" Type="http://schemas.openxmlformats.org/officeDocument/2006/relationships/hyperlink" Target="Certificado%20Titularidad/FELIPE%20LOAIZA%20CARDENAS.pdf" TargetMode="External"/><Relationship Id="rId916" Type="http://schemas.openxmlformats.org/officeDocument/2006/relationships/hyperlink" Target="Certificado%20Titularidad/ENRIQUE%20RUBIANO%20AGUDELO.pdf" TargetMode="External"/><Relationship Id="rId1101" Type="http://schemas.openxmlformats.org/officeDocument/2006/relationships/hyperlink" Target="Certificado%20Titularidad/FREDIS%20BARRIOS%20MARTINEZ.pdf" TargetMode="External"/><Relationship Id="rId45" Type="http://schemas.openxmlformats.org/officeDocument/2006/relationships/hyperlink" Target="Documentos%20firmados%20cambio/EVELIO%20ANGULO%20ANGULO.pdf" TargetMode="External"/><Relationship Id="rId110" Type="http://schemas.openxmlformats.org/officeDocument/2006/relationships/hyperlink" Target="Certificado%20Titularidad/ISHAK%20KASSA.pdf" TargetMode="External"/><Relationship Id="rId348" Type="http://schemas.openxmlformats.org/officeDocument/2006/relationships/hyperlink" Target="Documentos%20firmados%20cambio/RODRIGO%20DA%20COSTA%20MOREIRA.pdf" TargetMode="External"/><Relationship Id="rId555" Type="http://schemas.openxmlformats.org/officeDocument/2006/relationships/hyperlink" Target="Certificado%20Titularidad/MARIO%20ANDRES%20SUAREZ%20ACOSTA.pdf" TargetMode="External"/><Relationship Id="rId762" Type="http://schemas.openxmlformats.org/officeDocument/2006/relationships/hyperlink" Target="Certificado%20Titularidad/CARLOS%20JULIO%20CANON%20SALCEDO.pdf" TargetMode="External"/><Relationship Id="rId1185" Type="http://schemas.openxmlformats.org/officeDocument/2006/relationships/hyperlink" Target="Certificado%20Titularidad/MARIANO%20ONIAS%20TENORIO%20GALLO.pdf" TargetMode="External"/><Relationship Id="rId194" Type="http://schemas.openxmlformats.org/officeDocument/2006/relationships/hyperlink" Target="Certificado%20Titularidad/MIGUEL%20SUMIRE%20ROA.pdf" TargetMode="External"/><Relationship Id="rId208" Type="http://schemas.openxmlformats.org/officeDocument/2006/relationships/hyperlink" Target="Certificado%20Titularidad/ARNULFO%20ENRIQUE%20JIMENEZ%20BARRIOS.pdf" TargetMode="External"/><Relationship Id="rId415" Type="http://schemas.openxmlformats.org/officeDocument/2006/relationships/hyperlink" Target="Certificado%20Titularidad/ROBER%20HENRRY%20CHUMBES%20ROJAS.pdf" TargetMode="External"/><Relationship Id="rId622" Type="http://schemas.openxmlformats.org/officeDocument/2006/relationships/hyperlink" Target="Documentos%20firmados%20cambio/ORLANDO%20MONCAYO%20FLOREZ.pdf" TargetMode="External"/><Relationship Id="rId1045" Type="http://schemas.openxmlformats.org/officeDocument/2006/relationships/hyperlink" Target="Certificado%20Titularidad/DEIVI%20STIVEN%20ORTIZ%20MONTENEGRO.pdf" TargetMode="External"/><Relationship Id="rId1252" Type="http://schemas.openxmlformats.org/officeDocument/2006/relationships/hyperlink" Target="Certificado%20Titularidad/JUSED%20CHAMORRO%20MENDEZ.pdf" TargetMode="External"/><Relationship Id="rId261" Type="http://schemas.openxmlformats.org/officeDocument/2006/relationships/hyperlink" Target="Certificado%20Titularidad/CARLOS%20ADRIAN%20CAMELO%20CALDERON.pdf" TargetMode="External"/><Relationship Id="rId499" Type="http://schemas.openxmlformats.org/officeDocument/2006/relationships/hyperlink" Target="Certificado%20Titularidad/ISMAEL%20JUNIO%20DOS%20SANTOS.pdf" TargetMode="External"/><Relationship Id="rId927" Type="http://schemas.openxmlformats.org/officeDocument/2006/relationships/hyperlink" Target="Certificado%20Titularidad/SAMUEL%20JUSTO%20CARLOS%20DONAIRES.pdf" TargetMode="External"/><Relationship Id="rId1112" Type="http://schemas.openxmlformats.org/officeDocument/2006/relationships/hyperlink" Target="Certificado%20Titularidad/FREILY%20JOSE%20CARO%20VILORIA.pdf" TargetMode="External"/><Relationship Id="rId56" Type="http://schemas.openxmlformats.org/officeDocument/2006/relationships/hyperlink" Target="Certificado%20Titularidad/EDILBERTO%20DOMINGUEZ%20PEREIRA.pdf" TargetMode="External"/><Relationship Id="rId359" Type="http://schemas.openxmlformats.org/officeDocument/2006/relationships/hyperlink" Target="Documentos%20firmados%20cambio/JESUS%20ANTONIO%20PAJARO%20ARCIRIA.pdf" TargetMode="External"/><Relationship Id="rId566" Type="http://schemas.openxmlformats.org/officeDocument/2006/relationships/hyperlink" Target="Certificado%20Titularidad/RIGOBERTO%20ROMERO%20REINA.pdf" TargetMode="External"/><Relationship Id="rId773" Type="http://schemas.openxmlformats.org/officeDocument/2006/relationships/hyperlink" Target="Certificado%20Titularidad/ROLANDO%20CATUNTA%20MAMANI.pdf" TargetMode="External"/><Relationship Id="rId1196" Type="http://schemas.openxmlformats.org/officeDocument/2006/relationships/hyperlink" Target="Certificado%20Titularidad/FERNEY%20TORRES%20LEDESMA.pdf" TargetMode="External"/><Relationship Id="rId121" Type="http://schemas.openxmlformats.org/officeDocument/2006/relationships/hyperlink" Target="Certificado%20Titularidad/VICTOR%20AUGUSTO%20RAMIREZ%20GRANDA.pdf" TargetMode="External"/><Relationship Id="rId219" Type="http://schemas.openxmlformats.org/officeDocument/2006/relationships/hyperlink" Target="Certificado%20Titularidad/PERCY%20ROMEO%20SAAVEDRA%20VELASQUEZ.pdf" TargetMode="External"/><Relationship Id="rId426" Type="http://schemas.openxmlformats.org/officeDocument/2006/relationships/hyperlink" Target="Certificado%20Titularidad/ABDELFAHAM%20OUBOUZID.pdf" TargetMode="External"/><Relationship Id="rId633" Type="http://schemas.openxmlformats.org/officeDocument/2006/relationships/hyperlink" Target="Certificado%20Titularidad/LUIS%20EFRAIN%20ADRIANZEN%20MARCELO.pdf" TargetMode="External"/><Relationship Id="rId980" Type="http://schemas.openxmlformats.org/officeDocument/2006/relationships/hyperlink" Target="Certificado%20Titularidad/ALAN%20FRANCISCO%20NAVAS%20DIAZ.pdf" TargetMode="External"/><Relationship Id="rId1056" Type="http://schemas.openxmlformats.org/officeDocument/2006/relationships/hyperlink" Target="Certificado%20Titularidad/DIVIER%20HUMBERTO%20PAEZ%20MONROY.pdf" TargetMode="External"/><Relationship Id="rId1263" Type="http://schemas.openxmlformats.org/officeDocument/2006/relationships/hyperlink" Target="Certificado%20Titularidad/ANTONY%20ALEXANDER%20HERNANDEZ%20CHIRINOS.pdf" TargetMode="External"/><Relationship Id="rId840" Type="http://schemas.openxmlformats.org/officeDocument/2006/relationships/hyperlink" Target="Documentos%20firmados%20cambio/JORGE%20ANDRES%20VEGA%20DELGADO.pdf" TargetMode="External"/><Relationship Id="rId938" Type="http://schemas.openxmlformats.org/officeDocument/2006/relationships/hyperlink" Target="Certificado%20Titularidad/DANIER%20CALDERON%20SALAS.pdf" TargetMode="External"/><Relationship Id="rId67" Type="http://schemas.openxmlformats.org/officeDocument/2006/relationships/hyperlink" Target="Documentos%20firmados%20cambio/MOIS&#201;S%20NUNES%20FERREIRA.pdf" TargetMode="External"/><Relationship Id="rId272" Type="http://schemas.openxmlformats.org/officeDocument/2006/relationships/hyperlink" Target="Certificado%20Titularidad/SERGIO%20ANDRES%20LANDINES%20BARRIOS.pdf" TargetMode="External"/><Relationship Id="rId577" Type="http://schemas.openxmlformats.org/officeDocument/2006/relationships/hyperlink" Target="Certificado%20Titularidad/JULIO%20CESAR%20OROZCO%20MEDINA.pdf" TargetMode="External"/><Relationship Id="rId700" Type="http://schemas.openxmlformats.org/officeDocument/2006/relationships/hyperlink" Target="Certificado%20Titularidad/DUVAN%20OVIEDO%20OREJUELA.pdf" TargetMode="External"/><Relationship Id="rId1123" Type="http://schemas.openxmlformats.org/officeDocument/2006/relationships/hyperlink" Target="Certificado%20Titularidad/HARLYS%20ENRIQUE%20DOMINGUEZ%20ALGARIN.pdf" TargetMode="External"/><Relationship Id="rId132" Type="http://schemas.openxmlformats.org/officeDocument/2006/relationships/hyperlink" Target="Certificado%20Titularidad/JESUS%20JOEL%20ESPINOZA%20YOVERA.pdf" TargetMode="External"/><Relationship Id="rId784" Type="http://schemas.openxmlformats.org/officeDocument/2006/relationships/hyperlink" Target="Documentos%20firmados%20cambio/HECTOR%20DAVID%20RAMOS%20BUHEZO.pdf" TargetMode="External"/><Relationship Id="rId991" Type="http://schemas.openxmlformats.org/officeDocument/2006/relationships/hyperlink" Target="Certificado%20Titularidad/WILSON%20CAMILO%20CHAPARRO%20CASTA&#209;EDA.pdf" TargetMode="External"/><Relationship Id="rId1067" Type="http://schemas.openxmlformats.org/officeDocument/2006/relationships/hyperlink" Target="Certificado%20Titularidad/EDWAR%20ANDRES%20BENACHI%20ARCE.pdf" TargetMode="External"/><Relationship Id="rId437" Type="http://schemas.openxmlformats.org/officeDocument/2006/relationships/hyperlink" Target="Certificado%20Titularidad/HECTOR%20GIOVANNI%20MORENO%20SUSA.pdf" TargetMode="External"/><Relationship Id="rId644" Type="http://schemas.openxmlformats.org/officeDocument/2006/relationships/hyperlink" Target="Certificado%20Titularidad/WENDI%20ALBERTO%20GARCIA%20ARRIETA.pdf" TargetMode="External"/><Relationship Id="rId851" Type="http://schemas.openxmlformats.org/officeDocument/2006/relationships/hyperlink" Target="Certificado%20Titularidad/OMAR%20FERNANDO%20ANDRADE%20SANCHEZ.pdf" TargetMode="External"/><Relationship Id="rId1274" Type="http://schemas.openxmlformats.org/officeDocument/2006/relationships/hyperlink" Target="Certificado%20Titularidad/LUIS%20FELIPE%20TRILLOS%20NAVARRO.pdf" TargetMode="External"/><Relationship Id="rId283" Type="http://schemas.openxmlformats.org/officeDocument/2006/relationships/hyperlink" Target="Certificado%20Titularidad/DARWIN%20JOSE%20VASQUEZ%20ORTEGA.pdf" TargetMode="External"/><Relationship Id="rId490" Type="http://schemas.openxmlformats.org/officeDocument/2006/relationships/hyperlink" Target="Documentos%20firmados%20cambio/ARMANDO%20DENIS%20ENRIQUEZ%20BLAS.pdf" TargetMode="External"/><Relationship Id="rId504" Type="http://schemas.openxmlformats.org/officeDocument/2006/relationships/hyperlink" Target="Certificado%20Titularidad/LUIS%20FERNANDO%20CAICEDO%20MOSQUERA.pdf" TargetMode="External"/><Relationship Id="rId711" Type="http://schemas.openxmlformats.org/officeDocument/2006/relationships/hyperlink" Target="Certificado%20Titularidad/EDUAR%20DARIO%20MOSQUERA.pdf" TargetMode="External"/><Relationship Id="rId949" Type="http://schemas.openxmlformats.org/officeDocument/2006/relationships/hyperlink" Target="Certificado%20Titularidad/IVAN%20DE%20JESUS%20HERNANDEZ%20GARCIA.pdf" TargetMode="External"/><Relationship Id="rId1134" Type="http://schemas.openxmlformats.org/officeDocument/2006/relationships/hyperlink" Target="Certificado%20Titularidad/IVANOR%20HERNANDEZ%20HERRERA.pdf" TargetMode="External"/><Relationship Id="rId78" Type="http://schemas.openxmlformats.org/officeDocument/2006/relationships/hyperlink" Target="Certificado%20Titularidad/ELKIN%20DE%20JESUS%20CERVANTES%20MANOTAS.pdf" TargetMode="External"/><Relationship Id="rId143" Type="http://schemas.openxmlformats.org/officeDocument/2006/relationships/hyperlink" Target="Certificado%20Titularidad/JIMMY%20JHON%20SANDI%20CAHUACHI.pdf" TargetMode="External"/><Relationship Id="rId350" Type="http://schemas.openxmlformats.org/officeDocument/2006/relationships/hyperlink" Target="Certificado%20Titularidad/JEISON%20DAVID%20RONDON%20CARVAJAL.pdf" TargetMode="External"/><Relationship Id="rId588" Type="http://schemas.openxmlformats.org/officeDocument/2006/relationships/hyperlink" Target="Documentos%20firmados%20cambio/DAVID%20RICARDO%20SANCHEZ%20ZAPATA.pdf" TargetMode="External"/><Relationship Id="rId795" Type="http://schemas.openxmlformats.org/officeDocument/2006/relationships/hyperlink" Target="Documentos%20firmados%20cambio/JUAN%20DAVID%20GUALDRON%20REYES.pdf" TargetMode="External"/><Relationship Id="rId809" Type="http://schemas.openxmlformats.org/officeDocument/2006/relationships/hyperlink" Target="Certificado%20Titularidad/FREDY%20RICARDO%20AGUDELO%20SALAMANCA.pdf" TargetMode="External"/><Relationship Id="rId1201" Type="http://schemas.openxmlformats.org/officeDocument/2006/relationships/hyperlink" Target="Documentos%20firmados%20cambio/LENNIN%20JESUS%20CANON%20CARDENAS.pdf" TargetMode="External"/><Relationship Id="rId9" Type="http://schemas.openxmlformats.org/officeDocument/2006/relationships/hyperlink" Target="Certificado%20Titularidad/ALEX%20LUCAS%20SCHOROEDER.pdf" TargetMode="External"/><Relationship Id="rId210" Type="http://schemas.openxmlformats.org/officeDocument/2006/relationships/hyperlink" Target="Certificado%20Titularidad/NESTOR%20JULIAN%20BORRERO%20HERNANDEZ.pdf" TargetMode="External"/><Relationship Id="rId448" Type="http://schemas.openxmlformats.org/officeDocument/2006/relationships/hyperlink" Target="Certificado%20Titularidad/RICHARD%20PILCO%20ATENCIO.pdf" TargetMode="External"/><Relationship Id="rId655" Type="http://schemas.openxmlformats.org/officeDocument/2006/relationships/hyperlink" Target="Certificado%20Titularidad/GERSON%20ANDRES%20LOPEZ%20LONDONO.pdf" TargetMode="External"/><Relationship Id="rId862" Type="http://schemas.openxmlformats.org/officeDocument/2006/relationships/hyperlink" Target="Certificado%20Titularidad/EDWIN%20ROMARIO%20RODRIGUEZ%20SANABRIA.pdf" TargetMode="External"/><Relationship Id="rId1078" Type="http://schemas.openxmlformats.org/officeDocument/2006/relationships/hyperlink" Target="Certificado%20Titularidad/EMILIANO%20CUADROS%20LAGUADO.pdf" TargetMode="External"/><Relationship Id="rId1285" Type="http://schemas.openxmlformats.org/officeDocument/2006/relationships/drawing" Target="../drawings/drawing2.xml"/><Relationship Id="rId294" Type="http://schemas.openxmlformats.org/officeDocument/2006/relationships/hyperlink" Target="Certificado%20Titularidad/JULIO%20CESAR%20CAICEDO%20BOLA&#209;OS.pdf" TargetMode="External"/><Relationship Id="rId308" Type="http://schemas.openxmlformats.org/officeDocument/2006/relationships/hyperlink" Target="Certificado%20Titularidad/ERMINSON%20OMAR%20INFANTE%20CASAS.pdf" TargetMode="External"/><Relationship Id="rId515" Type="http://schemas.openxmlformats.org/officeDocument/2006/relationships/hyperlink" Target="Documentos%20firmados%20cambio/NELSON%20ENRIQUE%20MARTINEZ%20VEGA.pdf" TargetMode="External"/><Relationship Id="rId722" Type="http://schemas.openxmlformats.org/officeDocument/2006/relationships/hyperlink" Target="Certificado%20Titularidad/VICENCIO%20VILLAMIZAR%20LEON.pdf" TargetMode="External"/><Relationship Id="rId1145" Type="http://schemas.openxmlformats.org/officeDocument/2006/relationships/hyperlink" Target="Certificado%20Titularidad/MARCELO%20ALEJANDRO%20ROJAS%20CARRASCO.pdf" TargetMode="External"/><Relationship Id="rId89" Type="http://schemas.openxmlformats.org/officeDocument/2006/relationships/hyperlink" Target="Certificado%20Titularidad/FELIPE%20SANTOS%20DA%20SILVA.pdf" TargetMode="External"/><Relationship Id="rId154" Type="http://schemas.openxmlformats.org/officeDocument/2006/relationships/hyperlink" Target="Certificado%20Titularidad/ROBINSON%20CAMILO%20CASTA&#209;EDA%20SALGADO.pdf" TargetMode="External"/><Relationship Id="rId361" Type="http://schemas.openxmlformats.org/officeDocument/2006/relationships/hyperlink" Target="Documentos%20firmados%20cambio/WILSON%20FLORES%20ROMERO.pdf" TargetMode="External"/><Relationship Id="rId599" Type="http://schemas.openxmlformats.org/officeDocument/2006/relationships/hyperlink" Target="Certificado%20Titularidad/JAN%20CESAR%20VILLEGAS%20MOSCOTE.pdf" TargetMode="External"/><Relationship Id="rId1005" Type="http://schemas.openxmlformats.org/officeDocument/2006/relationships/hyperlink" Target="Documentos%20firmados%20cambio/BRAYAN%20JOSE%20SALINAS%20MARTINEZ.pdf" TargetMode="External"/><Relationship Id="rId1212" Type="http://schemas.openxmlformats.org/officeDocument/2006/relationships/hyperlink" Target="Certificado%20Titularidad/HECTOR%20MANUEL%20BUELVAS%20ZAMBRANO.pdf" TargetMode="External"/><Relationship Id="rId459" Type="http://schemas.openxmlformats.org/officeDocument/2006/relationships/hyperlink" Target="Certificado%20Titularidad/HELMUT%20WALTER%20ROSALES%20MURILLO.pdf" TargetMode="External"/><Relationship Id="rId666" Type="http://schemas.openxmlformats.org/officeDocument/2006/relationships/hyperlink" Target="Certificado%20Titularidad/JHOJAN%20ESNEIDER%20NI&#209;O%20PARRA.pdf" TargetMode="External"/><Relationship Id="rId873" Type="http://schemas.openxmlformats.org/officeDocument/2006/relationships/hyperlink" Target="Certificado%20Titularidad/LUIS%20CARLOS%20CASTELLAR%20VILLAREAL.pdf" TargetMode="External"/><Relationship Id="rId1089" Type="http://schemas.openxmlformats.org/officeDocument/2006/relationships/hyperlink" Target="Certificado%20Titularidad/FERNANDO%20EMANUEL%20GUEVARAS.pdf" TargetMode="External"/><Relationship Id="rId16" Type="http://schemas.openxmlformats.org/officeDocument/2006/relationships/hyperlink" Target="Certificado%20Titularidad/ANDERSON%20PIMIENTO%20RAMIREZ.pdf" TargetMode="External"/><Relationship Id="rId221" Type="http://schemas.openxmlformats.org/officeDocument/2006/relationships/hyperlink" Target="Certificado%20Titularidad/PEDRO%20SARMIENTO%20ROBLES.pdf" TargetMode="External"/><Relationship Id="rId319" Type="http://schemas.openxmlformats.org/officeDocument/2006/relationships/hyperlink" Target="Certificado%20Titularidad/ROLFI%20ESTEBAN%20TORRES%20SOTELO.pdf" TargetMode="External"/><Relationship Id="rId526" Type="http://schemas.openxmlformats.org/officeDocument/2006/relationships/hyperlink" Target="Certificado%20Titularidad/PEDRO%20DE%20JESUS%20DE%20LA%20HOZ%20SALCEDO.pdf" TargetMode="External"/><Relationship Id="rId1156" Type="http://schemas.openxmlformats.org/officeDocument/2006/relationships/hyperlink" Target="Certificado%20Titularidad/FABIAN%20ORLANDO%20VARGAS%20RIOS.pdf" TargetMode="External"/><Relationship Id="rId733" Type="http://schemas.openxmlformats.org/officeDocument/2006/relationships/hyperlink" Target="Documentos%20firmados%20cambio/JHON%20EINER%20INSUASTI%20TULANDE.pdf" TargetMode="External"/><Relationship Id="rId940" Type="http://schemas.openxmlformats.org/officeDocument/2006/relationships/hyperlink" Target="Certificado%20Titularidad/JUAN%20SEBASTIAN%20GARCIA%20GARCIA.pdf" TargetMode="External"/><Relationship Id="rId1016" Type="http://schemas.openxmlformats.org/officeDocument/2006/relationships/hyperlink" Target="Certificado%20Titularidad/CARLOS%20FABIAN%20ACERO%20BAUTISTA.pdf" TargetMode="External"/><Relationship Id="rId165" Type="http://schemas.openxmlformats.org/officeDocument/2006/relationships/hyperlink" Target="Certificado%20Titularidad/REMY%20SENNDER%20FARIAS%20ACARO.pdf" TargetMode="External"/><Relationship Id="rId372" Type="http://schemas.openxmlformats.org/officeDocument/2006/relationships/hyperlink" Target="Documentos%20firmados%20cambio/ROLFI%20ESTEBAN%20TORRES%20SOTELO.pdf" TargetMode="External"/><Relationship Id="rId677" Type="http://schemas.openxmlformats.org/officeDocument/2006/relationships/hyperlink" Target="Certificado%20Titularidad/NELSON%20ROBERTO%20HENAO%20BEDOYA.pdf" TargetMode="External"/><Relationship Id="rId800" Type="http://schemas.openxmlformats.org/officeDocument/2006/relationships/hyperlink" Target="Documentos%20firmados%20cambio/LUIS%20FERNANDO%20BENJUMEA%20ORTIZ.pdf" TargetMode="External"/><Relationship Id="rId1223" Type="http://schemas.openxmlformats.org/officeDocument/2006/relationships/hyperlink" Target="Documentos%20firmados%20cambio/ARNULFO%20SANCHEZ%20RUEDA.pdf" TargetMode="External"/><Relationship Id="rId232" Type="http://schemas.openxmlformats.org/officeDocument/2006/relationships/hyperlink" Target="Certificado%20Titularidad/MILTHON%20WALTER%20PORRAS%20JIMENEZ.pdf" TargetMode="External"/><Relationship Id="rId884" Type="http://schemas.openxmlformats.org/officeDocument/2006/relationships/hyperlink" Target="Certificado%20Titularidad/GERMAN%20JOSE%20GAMBOA%20FARIAS.pdf" TargetMode="External"/><Relationship Id="rId27" Type="http://schemas.openxmlformats.org/officeDocument/2006/relationships/hyperlink" Target="Documentos%20firmados%20cambio/CHRISTIAN%20ALBERTO%20VALENCIA%20LOBON.pdf" TargetMode="External"/><Relationship Id="rId537" Type="http://schemas.openxmlformats.org/officeDocument/2006/relationships/hyperlink" Target="Certificado%20Titularidad/JORGE%20IVAN%20TEHERAN%20CAUSADO.pdf" TargetMode="External"/><Relationship Id="rId744" Type="http://schemas.openxmlformats.org/officeDocument/2006/relationships/hyperlink" Target="Certificado%20Titularidad/ROBERTO%20RICHARD%20OSCCO%20CHILINGANO.pdf" TargetMode="External"/><Relationship Id="rId951" Type="http://schemas.openxmlformats.org/officeDocument/2006/relationships/hyperlink" Target="Certificado%20Titularidad/JAEL%20ABRAHAM%20BAUTISTA%20GUZMAN.pdf" TargetMode="External"/><Relationship Id="rId1167" Type="http://schemas.openxmlformats.org/officeDocument/2006/relationships/hyperlink" Target="Certificado%20Titularidad/ROBERT%20STIVEN%20ESPINOSA%20PAREDES.pdf" TargetMode="External"/><Relationship Id="rId80" Type="http://schemas.openxmlformats.org/officeDocument/2006/relationships/hyperlink" Target="Certificado%20Titularidad/ELMER%20JACKSON%20ROJAS%20CUMPA.pdf" TargetMode="External"/><Relationship Id="rId176" Type="http://schemas.openxmlformats.org/officeDocument/2006/relationships/hyperlink" Target="Certificado%20Titularidad/PAULO%20MARQUES%20DE%20OLIVEIRA.pdf" TargetMode="External"/><Relationship Id="rId383" Type="http://schemas.openxmlformats.org/officeDocument/2006/relationships/hyperlink" Target="Certificado%20Titularidad/JHONY%20WATSON%20SIANCAS%20MORALES.pdf" TargetMode="External"/><Relationship Id="rId590" Type="http://schemas.openxmlformats.org/officeDocument/2006/relationships/hyperlink" Target="Documentos%20firmados%20cambio/PAULO%20MARQUES%20DE%20OLIVEIRA.pdf" TargetMode="External"/><Relationship Id="rId604" Type="http://schemas.openxmlformats.org/officeDocument/2006/relationships/hyperlink" Target="Certificado%20Titularidad/NELSON%20ENRIQUE%20CABALLERO%20CORREDOR.pdf" TargetMode="External"/><Relationship Id="rId811" Type="http://schemas.openxmlformats.org/officeDocument/2006/relationships/hyperlink" Target="Certificado%20Titularidad/FRANK%20ESNEIDER%20PEREZ%20TABARES.pdf" TargetMode="External"/><Relationship Id="rId1027" Type="http://schemas.openxmlformats.org/officeDocument/2006/relationships/hyperlink" Target="Certificado%20Titularidad/CICERO%20LIMA%20BATISTA.pdf" TargetMode="External"/><Relationship Id="rId1234" Type="http://schemas.openxmlformats.org/officeDocument/2006/relationships/hyperlink" Target="Certificado%20Titularidad/LUIS%20ALBERTO%20BUSTOS%20CALDERON.pdf" TargetMode="External"/><Relationship Id="rId243" Type="http://schemas.openxmlformats.org/officeDocument/2006/relationships/hyperlink" Target="Certificado%20Titularidad/CARLOS%20MITCHELL%20SANTOS.pdf" TargetMode="External"/><Relationship Id="rId450" Type="http://schemas.openxmlformats.org/officeDocument/2006/relationships/hyperlink" Target="Documentos%20firmados%20cambio/GIOVANNI%20CHRISTIAN%20SALAZAR%20HIDALGO.pdf" TargetMode="External"/><Relationship Id="rId688" Type="http://schemas.openxmlformats.org/officeDocument/2006/relationships/hyperlink" Target="Certificado%20Titularidad/NELSON%20JAIME%20PITRE%20CASTILLA.pdf" TargetMode="External"/><Relationship Id="rId895" Type="http://schemas.openxmlformats.org/officeDocument/2006/relationships/hyperlink" Target="Certificado%20Titularidad/EDWIN%20ALFONSO%20ORTIZ%20DELGADO.pdf" TargetMode="External"/><Relationship Id="rId909" Type="http://schemas.openxmlformats.org/officeDocument/2006/relationships/hyperlink" Target="Certificado%20Titularidad/JOHANS%20FERNANDO%20HERRERA%20VELASCO.pdf" TargetMode="External"/><Relationship Id="rId1080" Type="http://schemas.openxmlformats.org/officeDocument/2006/relationships/hyperlink" Target="Certificado%20Titularidad/ERIK%20RUBEN%20RAMIREZ%20SIMANCAS.pdf" TargetMode="External"/><Relationship Id="rId38" Type="http://schemas.openxmlformats.org/officeDocument/2006/relationships/hyperlink" Target="Certificado%20Titularidad/CARLOS%20AUGUSTO%20SALDARRIAGA%20MONTEALBAN.pdf" TargetMode="External"/><Relationship Id="rId103" Type="http://schemas.openxmlformats.org/officeDocument/2006/relationships/hyperlink" Target="Certificado%20Titularidad/WILMER%20YANAYACO%20PINEDO.pdf" TargetMode="External"/><Relationship Id="rId310" Type="http://schemas.openxmlformats.org/officeDocument/2006/relationships/hyperlink" Target="Certificado%20Titularidad/NEIDER%20ALEXANDER%20MONTERO%20PAEZ.pdf" TargetMode="External"/><Relationship Id="rId548" Type="http://schemas.openxmlformats.org/officeDocument/2006/relationships/hyperlink" Target="Documentos%20firmados%20cambio/OWIN%20ENRIQUE%20MORELO%20GOMEZ.pdf" TargetMode="External"/><Relationship Id="rId755" Type="http://schemas.openxmlformats.org/officeDocument/2006/relationships/hyperlink" Target="Certificado%20Titularidad/TAKAMU%20KAPHILAH%20AGUDELO%20CONTECHA.pdf" TargetMode="External"/><Relationship Id="rId962" Type="http://schemas.openxmlformats.org/officeDocument/2006/relationships/hyperlink" Target="Certificado%20Titularidad/LUIS%20ANTONIO%20ORTEGA%20CRUZ.pdf" TargetMode="External"/><Relationship Id="rId1178" Type="http://schemas.openxmlformats.org/officeDocument/2006/relationships/hyperlink" Target="Certificado%20Titularidad/MARIO%20LUIS%20FERNANDO%20PEDEMONTE%20RUIZ.pdf" TargetMode="External"/><Relationship Id="rId91" Type="http://schemas.openxmlformats.org/officeDocument/2006/relationships/hyperlink" Target="Certificado%20Titularidad/YUBYINER%20SANTIAGO%20CELIS.pdf" TargetMode="External"/><Relationship Id="rId187" Type="http://schemas.openxmlformats.org/officeDocument/2006/relationships/hyperlink" Target="Certificado%20Titularidad/LUIS%20ALBERTO%20RAMIREZ%20PINEDO.pdf" TargetMode="External"/><Relationship Id="rId394" Type="http://schemas.openxmlformats.org/officeDocument/2006/relationships/hyperlink" Target="Certificado%20Titularidad/YERSON%20GABRIEL%20ARISTIZABAL%20LOZANO.pdf" TargetMode="External"/><Relationship Id="rId408" Type="http://schemas.openxmlformats.org/officeDocument/2006/relationships/hyperlink" Target="Documentos%20firmados%20cambio/JOSE%20DE%20JESUS%20MENDOZA%20PADILLA.pdf" TargetMode="External"/><Relationship Id="rId615" Type="http://schemas.openxmlformats.org/officeDocument/2006/relationships/hyperlink" Target="Certificado%20Titularidad/WILSON%20CHUQUIVIGUEL%20BRICE&#209;O.pdf" TargetMode="External"/><Relationship Id="rId822" Type="http://schemas.openxmlformats.org/officeDocument/2006/relationships/hyperlink" Target="Certificado%20Titularidad/FRANCISCO%20JAVIER%20OJEDA%20MACHADO.pdf" TargetMode="External"/><Relationship Id="rId1038" Type="http://schemas.openxmlformats.org/officeDocument/2006/relationships/hyperlink" Target="Certificado%20Titularidad/DANIS%20PADILLA%20RODRIGUEZ.pdf" TargetMode="External"/><Relationship Id="rId1245" Type="http://schemas.openxmlformats.org/officeDocument/2006/relationships/hyperlink" Target="Certificado%20Titularidad/FRANKLIN%20JOSE%20DIAZ%20LINCE.pdf" TargetMode="External"/><Relationship Id="rId254" Type="http://schemas.openxmlformats.org/officeDocument/2006/relationships/hyperlink" Target="Certificado%20Titularidad/HECTOR%20JULIAN%20MOSQUERA%20OROBIO.pdf" TargetMode="External"/><Relationship Id="rId699" Type="http://schemas.openxmlformats.org/officeDocument/2006/relationships/hyperlink" Target="Certificado%20Titularidad/SHELBY%20ENRIQUE%20OSPINA%20MONTERROSA.pdf" TargetMode="External"/><Relationship Id="rId1091" Type="http://schemas.openxmlformats.org/officeDocument/2006/relationships/hyperlink" Target="Certificado%20Titularidad/FRANCISCO%20JAVIER%20MERCADO%20MELENDEZ.pdf" TargetMode="External"/><Relationship Id="rId1105" Type="http://schemas.openxmlformats.org/officeDocument/2006/relationships/hyperlink" Target="Certificado%20Titularidad/FRANK%20ANTHONY%20QUI&#209;ONES%20ALVARADO.pdf" TargetMode="External"/><Relationship Id="rId49" Type="http://schemas.openxmlformats.org/officeDocument/2006/relationships/hyperlink" Target="Documentos%20firmados%20cambio/JEFERY%20YAZED%20LEON%20RAMOS.pdf" TargetMode="External"/><Relationship Id="rId114" Type="http://schemas.openxmlformats.org/officeDocument/2006/relationships/hyperlink" Target="Certificado%20Titularidad/JAIME%20MANOLO%20ALVAREZ%20TORRES.pdf" TargetMode="External"/><Relationship Id="rId461" Type="http://schemas.openxmlformats.org/officeDocument/2006/relationships/hyperlink" Target="Certificado%20Titularidad/FABIANIZ%20GIRADO%20MARTINEZ.pdf" TargetMode="External"/><Relationship Id="rId559" Type="http://schemas.openxmlformats.org/officeDocument/2006/relationships/hyperlink" Target="Certificado%20Titularidad/ORLANDO%20JANNCARLO%20ACEVEDO%20GUZMAN.pdf" TargetMode="External"/><Relationship Id="rId766" Type="http://schemas.openxmlformats.org/officeDocument/2006/relationships/hyperlink" Target="Certificado%20Titularidad/JAHIR%20SURLEY%20DELGADO%20AGREDO.pdf" TargetMode="External"/><Relationship Id="rId1189" Type="http://schemas.openxmlformats.org/officeDocument/2006/relationships/hyperlink" Target="Certificado%20Titularidad/DEWIN%20DE%20JESUS%20DE%20LEON%20BARRERA.pdf" TargetMode="External"/><Relationship Id="rId198" Type="http://schemas.openxmlformats.org/officeDocument/2006/relationships/hyperlink" Target="Certificado%20Titularidad/MATHEUS%20FERREIRA%20DE%20OLIVEIRA.pdf" TargetMode="External"/><Relationship Id="rId321" Type="http://schemas.openxmlformats.org/officeDocument/2006/relationships/hyperlink" Target="Certificado%20Titularidad/ODAR%20JOHN%20REYES%20RAMIREZ.pdf" TargetMode="External"/><Relationship Id="rId419" Type="http://schemas.openxmlformats.org/officeDocument/2006/relationships/hyperlink" Target="Certificado%20Titularidad/JOSE%20RAMON%20DAZA%20OROZCO.pdf" TargetMode="External"/><Relationship Id="rId626" Type="http://schemas.openxmlformats.org/officeDocument/2006/relationships/hyperlink" Target="Certificado%20Titularidad/CARLOS%20ANDRES%20PULIDO%20CHAVEZ.pdf" TargetMode="External"/><Relationship Id="rId973" Type="http://schemas.openxmlformats.org/officeDocument/2006/relationships/hyperlink" Target="Certificado%20Titularidad/JEAN%20CARLO%20GARCIA%20GARCIA.pdf" TargetMode="External"/><Relationship Id="rId1049" Type="http://schemas.openxmlformats.org/officeDocument/2006/relationships/hyperlink" Target="Documentos%20firmados%20cambio/DIEGO%20ALEJANDRO%20CRUZ%20LOPEZ.pdf" TargetMode="External"/><Relationship Id="rId1256" Type="http://schemas.openxmlformats.org/officeDocument/2006/relationships/hyperlink" Target="Certificado%20Titularidad/ROBERTO%20CASTILLA%20JIMENEZ.pdf" TargetMode="External"/><Relationship Id="rId833" Type="http://schemas.openxmlformats.org/officeDocument/2006/relationships/hyperlink" Target="Documentos%20firmados%20cambio/FENIX%20DE%20JESUS%20BARBOSA%20COLORADO.pdf" TargetMode="External"/><Relationship Id="rId1116" Type="http://schemas.openxmlformats.org/officeDocument/2006/relationships/hyperlink" Target="Certificado%20Titularidad/GONZALO%20JAVIER%20CERON%20GARCIA.pdf" TargetMode="External"/><Relationship Id="rId265" Type="http://schemas.openxmlformats.org/officeDocument/2006/relationships/hyperlink" Target="Certificado%20Titularidad/LUCIANO%20LOPES%20DE%20ALMEIDA.pdf" TargetMode="External"/><Relationship Id="rId472" Type="http://schemas.openxmlformats.org/officeDocument/2006/relationships/hyperlink" Target="Certificado%20Titularidad/JUAN%20GUILLERMO%20CASTRO.pdf" TargetMode="External"/><Relationship Id="rId900" Type="http://schemas.openxmlformats.org/officeDocument/2006/relationships/hyperlink" Target="Certificado%20Titularidad/ROBI%20DAVID%20OSORIO%20RANGEL.pdf" TargetMode="External"/><Relationship Id="rId125" Type="http://schemas.openxmlformats.org/officeDocument/2006/relationships/hyperlink" Target="Certificado%20Titularidad/JEFERY%20LAZED%20LEON%20RAMOS.pdf" TargetMode="External"/><Relationship Id="rId332" Type="http://schemas.openxmlformats.org/officeDocument/2006/relationships/hyperlink" Target="Certificado%20Titularidad/HEVERT%20CONDORHUAMAN%20GALLEGOS.pdf" TargetMode="External"/><Relationship Id="rId777" Type="http://schemas.openxmlformats.org/officeDocument/2006/relationships/hyperlink" Target="Documentos%20firmados%20cambio/GUILLERMO%20LEON%20POSADA%20LONDONO.pdf" TargetMode="External"/><Relationship Id="rId984" Type="http://schemas.openxmlformats.org/officeDocument/2006/relationships/hyperlink" Target="Certificado%20Titularidad/YONNY%20ALEXANDER%20HERNANDEZ%20CHALACAN.pdf" TargetMode="External"/><Relationship Id="rId637" Type="http://schemas.openxmlformats.org/officeDocument/2006/relationships/hyperlink" Target="Documentos%20firmados%20cambio/ILLERMAN%20DE%20LA%20HOZ%20PELAEZ.pdf" TargetMode="External"/><Relationship Id="rId844" Type="http://schemas.openxmlformats.org/officeDocument/2006/relationships/hyperlink" Target="Certificado%20Titularidad/LUIS%20MAURICIO%20RANGEL%20MENESES.pdf" TargetMode="External"/><Relationship Id="rId1267" Type="http://schemas.openxmlformats.org/officeDocument/2006/relationships/hyperlink" Target="Certificado%20Titularidad/LUIS%20DIOMEDES%20RODRIGUEZ%20USTARIS.pdf" TargetMode="External"/><Relationship Id="rId276" Type="http://schemas.openxmlformats.org/officeDocument/2006/relationships/hyperlink" Target="Certificado%20Titularidad/MARCO%20ANTONIO%20ROJAS%20CARBAJAL.pdf" TargetMode="External"/><Relationship Id="rId483" Type="http://schemas.openxmlformats.org/officeDocument/2006/relationships/hyperlink" Target="Certificado%20Titularidad/JHON%20JAIRO%20MU&#209;OZ%20BARBOSA.pdf" TargetMode="External"/><Relationship Id="rId690" Type="http://schemas.openxmlformats.org/officeDocument/2006/relationships/hyperlink" Target="Certificado%20Titularidad/JULIO%20CESAR%20MANJARRES.pdf" TargetMode="External"/><Relationship Id="rId704" Type="http://schemas.openxmlformats.org/officeDocument/2006/relationships/hyperlink" Target="Documentos%20firmados%20cambio/BAIRON%20RENE%20BURBANO%20MORALES.pdf" TargetMode="External"/><Relationship Id="rId911" Type="http://schemas.openxmlformats.org/officeDocument/2006/relationships/hyperlink" Target="Certificado%20Titularidad/JAIR%20SNAIDER%20MEZA%20GOMEZ.pdf" TargetMode="External"/><Relationship Id="rId1127" Type="http://schemas.openxmlformats.org/officeDocument/2006/relationships/hyperlink" Target="Certificado%20Titularidad/HECTOR%20FABIO%20MAHETE%20CEDE&#209;O.pdf" TargetMode="External"/><Relationship Id="rId40" Type="http://schemas.openxmlformats.org/officeDocument/2006/relationships/hyperlink" Target="Certificado%20Titularidad/CARLOS%20JOSUE%20CUMPA%20TALLEDO.pdf" TargetMode="External"/><Relationship Id="rId136" Type="http://schemas.openxmlformats.org/officeDocument/2006/relationships/hyperlink" Target="Certificado%20Titularidad/JHON%20EDWARD%20FONSECA%20BOHORQUEZ.pdf" TargetMode="External"/><Relationship Id="rId343" Type="http://schemas.openxmlformats.org/officeDocument/2006/relationships/hyperlink" Target="Certificado%20Titularidad/WILIAN%20FERNANDO%20PIZARRO%20AMAYA.pdf" TargetMode="External"/><Relationship Id="rId550" Type="http://schemas.openxmlformats.org/officeDocument/2006/relationships/hyperlink" Target="Documentos%20firmados%20cambio/CARLOS%20EMILIO%20MONSALVE%20MARIN.pdf" TargetMode="External"/><Relationship Id="rId788" Type="http://schemas.openxmlformats.org/officeDocument/2006/relationships/hyperlink" Target="Certificado%20Titularidad/JHOAN%20DAVID%20JARA%20PINZON.pdf" TargetMode="External"/><Relationship Id="rId995" Type="http://schemas.openxmlformats.org/officeDocument/2006/relationships/hyperlink" Target="Certificado%20Titularidad/WILFREDO%20MAYORGA%20DURAN.pdf" TargetMode="External"/><Relationship Id="rId1180" Type="http://schemas.openxmlformats.org/officeDocument/2006/relationships/hyperlink" Target="Certificado%20Titularidad/WILMER%20SEGOVIA%20GARCIA.pdf" TargetMode="External"/><Relationship Id="rId203" Type="http://schemas.openxmlformats.org/officeDocument/2006/relationships/hyperlink" Target="Certificado%20Titularidad/MARLLON%20SALES%20DE%20FARIA.pdf" TargetMode="External"/><Relationship Id="rId648" Type="http://schemas.openxmlformats.org/officeDocument/2006/relationships/hyperlink" Target="Certificado%20Titularidad/HECTOR%20FABIO%20GOMEZ%20ROMAN.pdf" TargetMode="External"/><Relationship Id="rId855" Type="http://schemas.openxmlformats.org/officeDocument/2006/relationships/hyperlink" Target="Certificado%20Titularidad/ROBERT%20ALIRIO%20DUARTE%20SIERRA.pdf" TargetMode="External"/><Relationship Id="rId1040" Type="http://schemas.openxmlformats.org/officeDocument/2006/relationships/hyperlink" Target="Certificado%20Titularidad/ISMAEL%20MENDEZ%20GAITAN.pdf" TargetMode="External"/><Relationship Id="rId1278" Type="http://schemas.openxmlformats.org/officeDocument/2006/relationships/hyperlink" Target="Certificado%20Titularidad/JOSE%20ALEXANDER%20CALDERON%20AGUDELO.pdf" TargetMode="External"/><Relationship Id="rId287" Type="http://schemas.openxmlformats.org/officeDocument/2006/relationships/hyperlink" Target="Certificado%20Titularidad/JOSUE%20ENRIQUE%20ZEVALLOS%20BENITES.pdf" TargetMode="External"/><Relationship Id="rId410" Type="http://schemas.openxmlformats.org/officeDocument/2006/relationships/hyperlink" Target="Certificado%20Titularidad/ORLANDO%20GOMEZ.pdf" TargetMode="External"/><Relationship Id="rId494" Type="http://schemas.openxmlformats.org/officeDocument/2006/relationships/hyperlink" Target="Certificado%20Titularidad/DIEGO%20NAHUEL%20ROMERO.pdf" TargetMode="External"/><Relationship Id="rId508" Type="http://schemas.openxmlformats.org/officeDocument/2006/relationships/hyperlink" Target="Documentos%20firmados%20cambio/WILLIAM%20MORAIS%20DA%20SILVA.pdf" TargetMode="External"/><Relationship Id="rId715" Type="http://schemas.openxmlformats.org/officeDocument/2006/relationships/hyperlink" Target="Certificado%20Titularidad/DARWIN%20GARCIA%20GUERRERO.pdf" TargetMode="External"/><Relationship Id="rId922" Type="http://schemas.openxmlformats.org/officeDocument/2006/relationships/hyperlink" Target="Certificado%20Titularidad/JOSE%20ANTONIO%20CASTRO%20BALANTA.pdf" TargetMode="External"/><Relationship Id="rId1138" Type="http://schemas.openxmlformats.org/officeDocument/2006/relationships/hyperlink" Target="Certificado%20Titularidad/JAIRO%20ABRIL%20BEJARANO.pdf" TargetMode="External"/><Relationship Id="rId147" Type="http://schemas.openxmlformats.org/officeDocument/2006/relationships/hyperlink" Target="Certificado%20Titularidad/JOHN%20FREDY%20CASTRO%20JIMENEZ.pdf" TargetMode="External"/><Relationship Id="rId354" Type="http://schemas.openxmlformats.org/officeDocument/2006/relationships/hyperlink" Target="Certificado%20Titularidad/CARLOS%20ALBERTO%20CABEZAS%20IBARGUEN.pdf" TargetMode="External"/><Relationship Id="rId799" Type="http://schemas.openxmlformats.org/officeDocument/2006/relationships/hyperlink" Target="Documentos%20firmados%20cambio/TIRZO%20GONZALEZ%20BOLIVAR.pdf" TargetMode="External"/><Relationship Id="rId1191" Type="http://schemas.openxmlformats.org/officeDocument/2006/relationships/hyperlink" Target="Documentos%20firmados%20cambio/MAURICIO%20TELLO%20RODRIGUEZ.pdf" TargetMode="External"/><Relationship Id="rId1205" Type="http://schemas.openxmlformats.org/officeDocument/2006/relationships/hyperlink" Target="Certificado%20Titularidad/HERNAN%20BERNARDO%20QUINTERO%20JARAMILLO.pdf" TargetMode="External"/><Relationship Id="rId51" Type="http://schemas.openxmlformats.org/officeDocument/2006/relationships/hyperlink" Target="Certificado%20Titularidad/DEYVIS%20HERNANDEZ%20DIAZ.pdf" TargetMode="External"/><Relationship Id="rId561" Type="http://schemas.openxmlformats.org/officeDocument/2006/relationships/hyperlink" Target="Certificado%20Titularidad/PEDRO%20HUMBERTO%20CASTELLANOS.pdf" TargetMode="External"/><Relationship Id="rId659" Type="http://schemas.openxmlformats.org/officeDocument/2006/relationships/hyperlink" Target="Certificado%20Titularidad/RUBEN%20DARIO%20GUAPACHA%20GUARIN.pdf" TargetMode="External"/><Relationship Id="rId866" Type="http://schemas.openxmlformats.org/officeDocument/2006/relationships/hyperlink" Target="Certificado%20Titularidad/JEISON%20FARID%20LOPEZ%20AGREDO.pdf" TargetMode="External"/><Relationship Id="rId214" Type="http://schemas.openxmlformats.org/officeDocument/2006/relationships/hyperlink" Target="Documentos%20firmados%20cambio/ENRI%20JAIME%20CALDAS%20BERMUDES.pdf" TargetMode="External"/><Relationship Id="rId298" Type="http://schemas.openxmlformats.org/officeDocument/2006/relationships/hyperlink" Target="Certificado%20Titularidad/CLEDISON%20NOVAIS.pdf" TargetMode="External"/><Relationship Id="rId421" Type="http://schemas.openxmlformats.org/officeDocument/2006/relationships/hyperlink" Target="Certificado%20Titularidad/WAYNER%20IBARBO%20VERGARA.pdf" TargetMode="External"/><Relationship Id="rId519" Type="http://schemas.openxmlformats.org/officeDocument/2006/relationships/hyperlink" Target="Documentos%20firmados%20cambio/EDUARDO%20JOSE%20SEQUEDA%20CONTRERAS.pdf" TargetMode="External"/><Relationship Id="rId1051" Type="http://schemas.openxmlformats.org/officeDocument/2006/relationships/hyperlink" Target="Certificado%20Titularidad/DIEGO%20ARMANDO%20LEIVA%20SOTO.pdf" TargetMode="External"/><Relationship Id="rId1149" Type="http://schemas.openxmlformats.org/officeDocument/2006/relationships/hyperlink" Target="Certificado%20Titularidad/JULIO%20CESAR%20ELJACH%20BERROCAL.pdf" TargetMode="External"/><Relationship Id="rId158" Type="http://schemas.openxmlformats.org/officeDocument/2006/relationships/hyperlink" Target="Certificado%20Titularidad/JOSE%20ANTONIO%20MORALES%20HURTADO.pdf" TargetMode="External"/><Relationship Id="rId726" Type="http://schemas.openxmlformats.org/officeDocument/2006/relationships/hyperlink" Target="Documentos%20firmados%20cambio/EDGAR%20STEVEN%20PENAGOS%20CESPEDES.pdf" TargetMode="External"/><Relationship Id="rId933" Type="http://schemas.openxmlformats.org/officeDocument/2006/relationships/hyperlink" Target="Certificado%20Titularidad/JUAN%20PABLO%20PENA%20ZAPATA.pdf" TargetMode="External"/><Relationship Id="rId1009" Type="http://schemas.openxmlformats.org/officeDocument/2006/relationships/hyperlink" Target="Certificado%20Titularidad/CARLOS%20ALBERTO%20SALAZAR%20URBINA.pdf" TargetMode="External"/><Relationship Id="rId62" Type="http://schemas.openxmlformats.org/officeDocument/2006/relationships/hyperlink" Target="Documentos%20firmados%20cambio/JUAN%20DANIEL%20MORA%20PE&#209;ALOZA.pdf" TargetMode="External"/><Relationship Id="rId365" Type="http://schemas.openxmlformats.org/officeDocument/2006/relationships/hyperlink" Target="Documentos%20firmados%20cambio/CESAR%20ORLANDO%20PEDRAZA%20LANCHEROS.pdf" TargetMode="External"/><Relationship Id="rId572" Type="http://schemas.openxmlformats.org/officeDocument/2006/relationships/hyperlink" Target="Certificado%20Titularidad/JHON%20EDER%20CASTRO%20MONTA&#209;O.pdf" TargetMode="External"/><Relationship Id="rId1216" Type="http://schemas.openxmlformats.org/officeDocument/2006/relationships/hyperlink" Target="Documentos%20firmados%20cambio/EDUARDO%20JOSE%20MENDOZA%20ARIAS.pdf" TargetMode="External"/><Relationship Id="rId225" Type="http://schemas.openxmlformats.org/officeDocument/2006/relationships/hyperlink" Target="Certificado%20Titularidad/ALVARO%20FIGUEROA%20ARANGO.pdf" TargetMode="External"/><Relationship Id="rId432" Type="http://schemas.openxmlformats.org/officeDocument/2006/relationships/hyperlink" Target="Certificado%20Titularidad/GERMAN%20GASPAR%20GODOY.pdf" TargetMode="External"/><Relationship Id="rId877" Type="http://schemas.openxmlformats.org/officeDocument/2006/relationships/hyperlink" Target="Certificado%20Titularidad/EDILSON%20TORRES%20SALCEDO.pdf" TargetMode="External"/><Relationship Id="rId1062" Type="http://schemas.openxmlformats.org/officeDocument/2006/relationships/hyperlink" Target="Documentos%20firmados%20cambio/EDIE%20JAVIER%20GUERRERO%20SARMIENTO.pdf" TargetMode="External"/><Relationship Id="rId737" Type="http://schemas.openxmlformats.org/officeDocument/2006/relationships/hyperlink" Target="Certificado%20Titularidad/GUSTAVO%20ANDRES%20PORRAS%20MORALES.pdf" TargetMode="External"/><Relationship Id="rId944" Type="http://schemas.openxmlformats.org/officeDocument/2006/relationships/hyperlink" Target="Certificado%20Titularidad/CARLOS%20JES&#218;S%20MENDIGUETE%20VILLA.pdf" TargetMode="External"/><Relationship Id="rId73" Type="http://schemas.openxmlformats.org/officeDocument/2006/relationships/hyperlink" Target="Documentos%20firmados%20cambio/YULDOR%20MAURICIO%20BOLA&#209;OS.pdf" TargetMode="External"/><Relationship Id="rId169" Type="http://schemas.openxmlformats.org/officeDocument/2006/relationships/hyperlink" Target="Certificado%20Titularidad/JUAN%20CARLOS%20VERGARA%20VALDERRAMA.pdf" TargetMode="External"/><Relationship Id="rId376" Type="http://schemas.openxmlformats.org/officeDocument/2006/relationships/hyperlink" Target="Documentos%20firmados%20cambio/ALBERTO%20ISMAEL%20MENDIETA%20CACERES.pdf" TargetMode="External"/><Relationship Id="rId583" Type="http://schemas.openxmlformats.org/officeDocument/2006/relationships/hyperlink" Target="Certificado%20Titularidad/JORGE%20LUIS%20AVILA%20CASTRO.pdf" TargetMode="External"/><Relationship Id="rId790" Type="http://schemas.openxmlformats.org/officeDocument/2006/relationships/hyperlink" Target="Certificado%20Titularidad/JUAN%20ALBEIRO%20MONSALVE%20MARIN.pdf" TargetMode="External"/><Relationship Id="rId804" Type="http://schemas.openxmlformats.org/officeDocument/2006/relationships/hyperlink" Target="Certificado%20Titularidad/JOSE%20LISARDO%20LINARES.pdf" TargetMode="External"/><Relationship Id="rId1227" Type="http://schemas.openxmlformats.org/officeDocument/2006/relationships/hyperlink" Target="Certificado%20Titularidad/CARLOS%20JULIO%20CANON.pdf" TargetMode="External"/><Relationship Id="rId4" Type="http://schemas.openxmlformats.org/officeDocument/2006/relationships/hyperlink" Target="Certificado%20Titularidad/ALVARO%20ENRIQUE%20ROJAS%20DE%20LA%20OSSA.pdf" TargetMode="External"/><Relationship Id="rId236" Type="http://schemas.openxmlformats.org/officeDocument/2006/relationships/hyperlink" Target="Certificado%20Titularidad/ERICK%20SAUL%20JIMENEZ%20SORACA.pdf" TargetMode="External"/><Relationship Id="rId443" Type="http://schemas.openxmlformats.org/officeDocument/2006/relationships/hyperlink" Target="Certificado%20Titularidad/ERIK%20CHARLY%20GOMEZ%20RIOS.pdf" TargetMode="External"/><Relationship Id="rId650" Type="http://schemas.openxmlformats.org/officeDocument/2006/relationships/hyperlink" Target="Certificado%20Titularidad/EDGAR%20DIAZ%20MACHADO.pdf" TargetMode="External"/><Relationship Id="rId888" Type="http://schemas.openxmlformats.org/officeDocument/2006/relationships/hyperlink" Target="Certificado%20Titularidad/LUIS%20ALEXANDER%20SEPULVEDA%20GUERRERO.pdf" TargetMode="External"/><Relationship Id="rId1073" Type="http://schemas.openxmlformats.org/officeDocument/2006/relationships/hyperlink" Target="Certificado%20Titularidad/EFRAIN%20MAXIMO%20CHILCA%20ORE.pdf" TargetMode="External"/><Relationship Id="rId1280" Type="http://schemas.openxmlformats.org/officeDocument/2006/relationships/hyperlink" Target="Certificado%20Titularidad/PEDRO%20ALEXANDER%20ROJAS%20RODRIGUEZ.pdf" TargetMode="External"/><Relationship Id="rId303" Type="http://schemas.openxmlformats.org/officeDocument/2006/relationships/hyperlink" Target="Certificado%20Titularidad/NEIKER%20ARMANDO%20OVIEDO%20CANCHILLA.pdf" TargetMode="External"/><Relationship Id="rId748" Type="http://schemas.openxmlformats.org/officeDocument/2006/relationships/hyperlink" Target="Certificado%20Titularidad/WILLIAM%20ALEXANDER%20JARA%20SANTOS.pdf" TargetMode="External"/><Relationship Id="rId955" Type="http://schemas.openxmlformats.org/officeDocument/2006/relationships/hyperlink" Target="Certificado%20Titularidad/JOHN%20HAROLD%20PERENGUEZ%20CUARAN.pdf" TargetMode="External"/><Relationship Id="rId1140" Type="http://schemas.openxmlformats.org/officeDocument/2006/relationships/hyperlink" Target="Documentos%20firmados%20cambio/JAIRO%20ALBERTO%20GUZMAN%20REYES.pdf" TargetMode="External"/><Relationship Id="rId84" Type="http://schemas.openxmlformats.org/officeDocument/2006/relationships/hyperlink" Target="Certificado%20Titularidad/ESNEIDER%20ALFONSO%20GALAN%20MENCO.pdf" TargetMode="External"/><Relationship Id="rId387" Type="http://schemas.openxmlformats.org/officeDocument/2006/relationships/hyperlink" Target="Certificado%20Titularidad/ROBERTO%20RAMIREZ%20BELTRAN.pdf" TargetMode="External"/><Relationship Id="rId510" Type="http://schemas.openxmlformats.org/officeDocument/2006/relationships/hyperlink" Target="Documentos%20firmados%20cambio/YOBER%20HUAMAN%20VELASQUE.pdf" TargetMode="External"/><Relationship Id="rId594" Type="http://schemas.openxmlformats.org/officeDocument/2006/relationships/hyperlink" Target="Certificado%20Titularidad/RODNEY%20NEFTALI%20RODRIGUEZ%20HERRERA.pdf" TargetMode="External"/><Relationship Id="rId608" Type="http://schemas.openxmlformats.org/officeDocument/2006/relationships/hyperlink" Target="Certificado%20Titularidad/CARLOS%20ANDRES%20PARRA%20ESPITIA.pdf" TargetMode="External"/><Relationship Id="rId815" Type="http://schemas.openxmlformats.org/officeDocument/2006/relationships/hyperlink" Target="Certificado%20Titularidad/ALEX%20JAVIER%20LEONEL%20OTAVO.pdf" TargetMode="External"/><Relationship Id="rId1238" Type="http://schemas.openxmlformats.org/officeDocument/2006/relationships/hyperlink" Target="Certificado%20Titularidad/BOLIVAR%20GABRIEL%20ALDANA%20RAMIREZ.pdf" TargetMode="External"/><Relationship Id="rId247" Type="http://schemas.openxmlformats.org/officeDocument/2006/relationships/hyperlink" Target="Documentos%20firmados%20cambio/SERGIO%20LUIS%20BELTRAN%20BALDOVINO.pdf" TargetMode="External"/><Relationship Id="rId899" Type="http://schemas.openxmlformats.org/officeDocument/2006/relationships/hyperlink" Target="Certificado%20Titularidad/BLAKIS%20ANTONIO%20BARBOZA%20TRUJILLO.pdf" TargetMode="External"/><Relationship Id="rId1000" Type="http://schemas.openxmlformats.org/officeDocument/2006/relationships/hyperlink" Target="Certificado%20Titularidad/VICTOR%20BLANCO%20BRAVO.pdf" TargetMode="External"/><Relationship Id="rId1084" Type="http://schemas.openxmlformats.org/officeDocument/2006/relationships/hyperlink" Target="Certificado%20Titularidad/FABIAN%20ARTURO%20RUIZ%20GARCIA.pdf" TargetMode="External"/><Relationship Id="rId107" Type="http://schemas.openxmlformats.org/officeDocument/2006/relationships/hyperlink" Target="Certificado%20Titularidad/HERNAN%20RODRIGUEZ%20CUY.pdf" TargetMode="External"/><Relationship Id="rId454" Type="http://schemas.openxmlformats.org/officeDocument/2006/relationships/hyperlink" Target="Certificado%20Titularidad/YODARLI%20GONZALEZ%20BRAVO.pdf" TargetMode="External"/><Relationship Id="rId661" Type="http://schemas.openxmlformats.org/officeDocument/2006/relationships/hyperlink" Target="Certificado%20Titularidad/HUGO%20ALBENIZ%20PULIDO%20MARTINEZ.pdf" TargetMode="External"/><Relationship Id="rId759" Type="http://schemas.openxmlformats.org/officeDocument/2006/relationships/hyperlink" Target="Certificado%20Titularidad/ANUAR%20JIMENEZ%20DELGADO.pdf" TargetMode="External"/><Relationship Id="rId966" Type="http://schemas.openxmlformats.org/officeDocument/2006/relationships/hyperlink" Target="Certificado%20Titularidad/THALISSON%20LUCAS%20SOUSA%20SILVA.pdf" TargetMode="External"/><Relationship Id="rId11" Type="http://schemas.openxmlformats.org/officeDocument/2006/relationships/hyperlink" Target="Certificado%20Titularidad/ALEXANDRE%20BEZERRA%20DE%20OLIVEIRA.pdf" TargetMode="External"/><Relationship Id="rId314" Type="http://schemas.openxmlformats.org/officeDocument/2006/relationships/hyperlink" Target="Certificado%20Titularidad/BILLY%20STEFAN%20GONZALES%20DIAZ.pdf" TargetMode="External"/><Relationship Id="rId398" Type="http://schemas.openxmlformats.org/officeDocument/2006/relationships/hyperlink" Target="Certificado%20Titularidad/DIEGO%20ARMANDO%20RAMIREZ%20ACEVEDO.pdf" TargetMode="External"/><Relationship Id="rId521" Type="http://schemas.openxmlformats.org/officeDocument/2006/relationships/hyperlink" Target="Certificado%20Titularidad/RENZO%20JUNIOR%20CHUNGA%20LUJAN.pdf" TargetMode="External"/><Relationship Id="rId619" Type="http://schemas.openxmlformats.org/officeDocument/2006/relationships/hyperlink" Target="Certificado%20Titularidad/ALVARO%20ARIZA%20CONTRERAS.pdf" TargetMode="External"/><Relationship Id="rId1151" Type="http://schemas.openxmlformats.org/officeDocument/2006/relationships/hyperlink" Target="Certificado%20Titularidad/PROSPERO%20SUAREZ%20PASTRAN.pdf" TargetMode="External"/><Relationship Id="rId1249" Type="http://schemas.openxmlformats.org/officeDocument/2006/relationships/hyperlink" Target="Certificado%20Titularidad/HENRY%20ALEXANDER%20RAMIREZ.pdf" TargetMode="External"/><Relationship Id="rId95" Type="http://schemas.openxmlformats.org/officeDocument/2006/relationships/hyperlink" Target="Certificado%20Titularidad/GEORGE%20BILLY%20CIENFUEGOS%20SUAREZ.pdf" TargetMode="External"/><Relationship Id="rId160" Type="http://schemas.openxmlformats.org/officeDocument/2006/relationships/hyperlink" Target="Certificado%20Titularidad/JOSE%20GABRIEL%20GONZALEZ%20SUAREZ.pdf" TargetMode="External"/><Relationship Id="rId826" Type="http://schemas.openxmlformats.org/officeDocument/2006/relationships/hyperlink" Target="Documentos%20firmados%20cambio/JHONNY%20RAFAEL%20LOPEZ%20FIGUEROA.pdf" TargetMode="External"/><Relationship Id="rId1011" Type="http://schemas.openxmlformats.org/officeDocument/2006/relationships/hyperlink" Target="Certificado%20Titularidad/CARLOS%20ANDRES%20JIMENEZ%20RAMIREZ.pdf" TargetMode="External"/><Relationship Id="rId1109" Type="http://schemas.openxmlformats.org/officeDocument/2006/relationships/hyperlink" Target="Certificado%20Titularidad/FREDY%20ALEXANDER%20G&#211;MEZ%20CORTES.pdf" TargetMode="External"/><Relationship Id="rId258" Type="http://schemas.openxmlformats.org/officeDocument/2006/relationships/hyperlink" Target="Certificado%20Titularidad/ALEXANDER%20ANTHONY%20ZAMORA%20ALMENDARIZ.pdf" TargetMode="External"/><Relationship Id="rId465" Type="http://schemas.openxmlformats.org/officeDocument/2006/relationships/hyperlink" Target="Certificado%20Titularidad/JORGE%20REINALDO%20GOMEZ%20ROJAS.pdf" TargetMode="External"/><Relationship Id="rId672" Type="http://schemas.openxmlformats.org/officeDocument/2006/relationships/hyperlink" Target="Certificado%20Titularidad/EDWIN%20RODRIGO%20AVILA%20PENA.pdf" TargetMode="External"/><Relationship Id="rId1095" Type="http://schemas.openxmlformats.org/officeDocument/2006/relationships/hyperlink" Target="Certificado%20Titularidad/OSCAR%20ASTORGA%20MU&#209;OZ.pdf" TargetMode="External"/><Relationship Id="rId22" Type="http://schemas.openxmlformats.org/officeDocument/2006/relationships/hyperlink" Target="Certificado%20Titularidad/ANDY%20LYONEL%20CARRASCO%20VARGAS.pdf" TargetMode="External"/><Relationship Id="rId118" Type="http://schemas.openxmlformats.org/officeDocument/2006/relationships/hyperlink" Target="Certificado%20Titularidad/VICTOR%20EDGARDO%20RAMIREZ%20GRANDA.pdf" TargetMode="External"/><Relationship Id="rId325" Type="http://schemas.openxmlformats.org/officeDocument/2006/relationships/hyperlink" Target="Certificado%20Titularidad/MARIO%20FERNANDO%20ALBERCA%20PUICON.pdf" TargetMode="External"/><Relationship Id="rId532" Type="http://schemas.openxmlformats.org/officeDocument/2006/relationships/hyperlink" Target="Documentos%20firmados%20cambio/NIVALDO%20MENDES%20DA%20SILVA.pdf" TargetMode="External"/><Relationship Id="rId977" Type="http://schemas.openxmlformats.org/officeDocument/2006/relationships/hyperlink" Target="Certificado%20Titularidad/ABRAHAM%20DAVID%20HOYOS%20ALVAREZ.pdf" TargetMode="External"/><Relationship Id="rId1162" Type="http://schemas.openxmlformats.org/officeDocument/2006/relationships/hyperlink" Target="Documentos%20firmados%20cambio/IVER%20MOISES%20ALVAREZ%20CORDOBA.pdf" TargetMode="External"/><Relationship Id="rId171" Type="http://schemas.openxmlformats.org/officeDocument/2006/relationships/hyperlink" Target="Certificado%20Titularidad/PEDRO%20HERMOGENES%20GAMARRA%20ALBAN.pdf" TargetMode="External"/><Relationship Id="rId837" Type="http://schemas.openxmlformats.org/officeDocument/2006/relationships/hyperlink" Target="Certificado%20Titularidad/JHON%20STHEVEEN%20MERINO%20ALVAREZ.pdf" TargetMode="External"/><Relationship Id="rId1022" Type="http://schemas.openxmlformats.org/officeDocument/2006/relationships/hyperlink" Target="Certificado%20Titularidad/CESAR%20AUGUSTO%20RAMIREZ%20TABERA.pdf" TargetMode="External"/><Relationship Id="rId269" Type="http://schemas.openxmlformats.org/officeDocument/2006/relationships/hyperlink" Target="Certificado%20Titularidad/JAVIER%20SAUL%20PEREA%20CAMARGO.pdf" TargetMode="External"/><Relationship Id="rId476" Type="http://schemas.openxmlformats.org/officeDocument/2006/relationships/hyperlink" Target="Certificado%20Titularidad/EDUARDO%20JOSE%20SEQUEDA%20CONTRERAS.pdf" TargetMode="External"/><Relationship Id="rId683" Type="http://schemas.openxmlformats.org/officeDocument/2006/relationships/hyperlink" Target="Certificado%20Titularidad/EDGARDO%20LUIS%20GARCIA%20JULIO.pdf" TargetMode="External"/><Relationship Id="rId890" Type="http://schemas.openxmlformats.org/officeDocument/2006/relationships/hyperlink" Target="Certificado%20Titularidad/ANDRES%20ALEXANDER%20BEJARANO%20PEREZ.pdf" TargetMode="External"/><Relationship Id="rId904" Type="http://schemas.openxmlformats.org/officeDocument/2006/relationships/hyperlink" Target="Certificado%20Titularidad/GONZALO%20MISAEL%20GOMEZ.pdf" TargetMode="External"/><Relationship Id="rId33" Type="http://schemas.openxmlformats.org/officeDocument/2006/relationships/hyperlink" Target="Documentos%20firmados%20cambio/EDGAR%20ALEXANDER%20VEGA%20CARDOZO.pdf" TargetMode="External"/><Relationship Id="rId129" Type="http://schemas.openxmlformats.org/officeDocument/2006/relationships/hyperlink" Target="Certificado%20Titularidad/JESUS%20ALBERTO%20GONZALES%20FERNANDEZ.pdf" TargetMode="External"/><Relationship Id="rId336" Type="http://schemas.openxmlformats.org/officeDocument/2006/relationships/hyperlink" Target="Certificado%20Titularidad/ALVARO%20JUNIOR%20CERVANTES%20MELENDEZ.pdf" TargetMode="External"/><Relationship Id="rId543" Type="http://schemas.openxmlformats.org/officeDocument/2006/relationships/hyperlink" Target="Documentos%20firmados%20cambio/JAIRO%20ERNESTO%20GAITAN%20GOMEZ.pdf" TargetMode="External"/><Relationship Id="rId988" Type="http://schemas.openxmlformats.org/officeDocument/2006/relationships/hyperlink" Target="Certificado%20Titularidad/YEEN%20LEONARD%20MARTINEZ%20YUPANQUI.pdf" TargetMode="External"/><Relationship Id="rId1173" Type="http://schemas.openxmlformats.org/officeDocument/2006/relationships/hyperlink" Target="Certificado%20Titularidad/JOSE%20ANTONIO%20GUIZAO%20SANDOVAL.pdf" TargetMode="External"/><Relationship Id="rId182" Type="http://schemas.openxmlformats.org/officeDocument/2006/relationships/hyperlink" Target="Certificado%20Titularidad/OMAR%20FONTECHA%20HERNANDEZ.pdf" TargetMode="External"/><Relationship Id="rId403" Type="http://schemas.openxmlformats.org/officeDocument/2006/relationships/hyperlink" Target="Certificado%20Titularidad/JOSE%20DE%20JESUS%20MENDOZA%20PADILLA.pdf" TargetMode="External"/><Relationship Id="rId750" Type="http://schemas.openxmlformats.org/officeDocument/2006/relationships/hyperlink" Target="Certificado%20Titularidad/JOSE%20LEONARDO%20CALDERON%20MANZANO.pdf" TargetMode="External"/><Relationship Id="rId848" Type="http://schemas.openxmlformats.org/officeDocument/2006/relationships/hyperlink" Target="Certificado%20Titularidad/JULIAN%20STIVEN%20RUBIO%20HERNANDEZ.pdf" TargetMode="External"/><Relationship Id="rId1033" Type="http://schemas.openxmlformats.org/officeDocument/2006/relationships/hyperlink" Target="Certificado%20Titularidad/DAGOBERTO%20OSPINO%20COLLANTE.pdf" TargetMode="External"/><Relationship Id="rId487" Type="http://schemas.openxmlformats.org/officeDocument/2006/relationships/hyperlink" Target="Documentos%20firmados%20cambio/FABIO%20ANDRES%20LUJAN%20ARANGO.pdf" TargetMode="External"/><Relationship Id="rId610" Type="http://schemas.openxmlformats.org/officeDocument/2006/relationships/hyperlink" Target="Certificado%20Titularidad/JORGE%20ENRIQUE%20SANABRIA%20MORENO.pdf" TargetMode="External"/><Relationship Id="rId694" Type="http://schemas.openxmlformats.org/officeDocument/2006/relationships/hyperlink" Target="Certificado%20Titularidad/OSCAR%20GIOVANNI%20DIAZ%20MARTINEZ.pdf" TargetMode="External"/><Relationship Id="rId708" Type="http://schemas.openxmlformats.org/officeDocument/2006/relationships/hyperlink" Target="Certificado%20Titularidad/LUIS%20FERNANDO%20BENJUMEA%20ORTIZ.pdf" TargetMode="External"/><Relationship Id="rId915" Type="http://schemas.openxmlformats.org/officeDocument/2006/relationships/hyperlink" Target="Certificado%20Titularidad/ALFREDO%20ANTONIO%20OSPINO%20RANGEL.pdf" TargetMode="External"/><Relationship Id="rId1240" Type="http://schemas.openxmlformats.org/officeDocument/2006/relationships/hyperlink" Target="Certificado%20Titularidad/BYRON%20YESID%20SUAREZ%20CUADRADO.pdf" TargetMode="External"/><Relationship Id="rId347" Type="http://schemas.openxmlformats.org/officeDocument/2006/relationships/hyperlink" Target="Documentos%20firmados%20cambio/MARIO%20PE&#209;A%20HERNANDEZ.pdf" TargetMode="External"/><Relationship Id="rId999" Type="http://schemas.openxmlformats.org/officeDocument/2006/relationships/hyperlink" Target="Certificado%20Titularidad/VICTOR%20HUGO%20GOSSO.pdf" TargetMode="External"/><Relationship Id="rId1100" Type="http://schemas.openxmlformats.org/officeDocument/2006/relationships/hyperlink" Target="Documentos%20firmados%20cambio/BRAYAN%20JULIAN%20GAZCON%20MARIN.pdf" TargetMode="External"/><Relationship Id="rId1184" Type="http://schemas.openxmlformats.org/officeDocument/2006/relationships/hyperlink" Target="Certificado%20Titularidad/PAVEL%20FERNANDO%20GARCIA%20ZAPATA.pdf" TargetMode="External"/><Relationship Id="rId44" Type="http://schemas.openxmlformats.org/officeDocument/2006/relationships/hyperlink" Target="Certificado%20Titularidad/CRISTIAN%20DARIO%20VILLADA%20CATANO.pdf" TargetMode="External"/><Relationship Id="rId554" Type="http://schemas.openxmlformats.org/officeDocument/2006/relationships/hyperlink" Target="Certificado%20Titularidad/MICHAEL%20ANDR&#201;S%20PIZARRO%20LUNA.pdf" TargetMode="External"/><Relationship Id="rId761" Type="http://schemas.openxmlformats.org/officeDocument/2006/relationships/hyperlink" Target="Certificado%20Titularidad/HEDICXON%20OLIVIO%20QUINONES%20PEREZ.pdf" TargetMode="External"/><Relationship Id="rId859" Type="http://schemas.openxmlformats.org/officeDocument/2006/relationships/hyperlink" Target="Certificado%20Titularidad/CRISTIAN%20ARIZA%20MARTINEZ.pdf" TargetMode="External"/><Relationship Id="rId193" Type="http://schemas.openxmlformats.org/officeDocument/2006/relationships/hyperlink" Target="Certificado%20Titularidad/MOACIR%20DA%20SILVA.pdf" TargetMode="External"/><Relationship Id="rId207" Type="http://schemas.openxmlformats.org/officeDocument/2006/relationships/hyperlink" Target="Documentos%20firmados%20cambio/EDWIN%20DAYAN%20BENITEZ%20RIOS.pdf" TargetMode="External"/><Relationship Id="rId414" Type="http://schemas.openxmlformats.org/officeDocument/2006/relationships/hyperlink" Target="Certificado%20Titularidad/FERNANDO%20VELEZ%20GIRALDO.pdf" TargetMode="External"/><Relationship Id="rId498" Type="http://schemas.openxmlformats.org/officeDocument/2006/relationships/hyperlink" Target="Certificado%20Titularidad/FREDY%20JAVIER%20CCALLA%20ROJAS.pdf" TargetMode="External"/><Relationship Id="rId621" Type="http://schemas.openxmlformats.org/officeDocument/2006/relationships/hyperlink" Target="Certificado%20Titularidad/ORLANDO%20MONCAYO%20FLOREZ.pdf" TargetMode="External"/><Relationship Id="rId1044" Type="http://schemas.openxmlformats.org/officeDocument/2006/relationships/hyperlink" Target="Certificado%20Titularidad/DAVID%20GUSTAVO%20DE%20LOS%20ANGELES%20PATI&#209;O%20RAMOS.pdf" TargetMode="External"/><Relationship Id="rId1251" Type="http://schemas.openxmlformats.org/officeDocument/2006/relationships/hyperlink" Target="Certificado%20Titularidad/JUAN%20CARLOS%20RONDON%20COSSIO.pdf" TargetMode="External"/><Relationship Id="rId260" Type="http://schemas.openxmlformats.org/officeDocument/2006/relationships/hyperlink" Target="Certificado%20Titularidad/WALDEMAR%20ALVAREZ%20SAENZ.pdf" TargetMode="External"/><Relationship Id="rId719" Type="http://schemas.openxmlformats.org/officeDocument/2006/relationships/hyperlink" Target="Certificado%20Titularidad/MARTINIANO%20ALFONSO%20DEANTONIO.pdf" TargetMode="External"/><Relationship Id="rId926" Type="http://schemas.openxmlformats.org/officeDocument/2006/relationships/hyperlink" Target="Certificado%20Titularidad/JOSE%20LUIS%20CAUSADO%20TAMAYO.pdf" TargetMode="External"/><Relationship Id="rId1111" Type="http://schemas.openxmlformats.org/officeDocument/2006/relationships/hyperlink" Target="Certificado%20Titularidad/FREDY%20ULISES%20LEON%20SANTIAGO.pdf" TargetMode="External"/><Relationship Id="rId55" Type="http://schemas.openxmlformats.org/officeDocument/2006/relationships/hyperlink" Target="Certificado%20Titularidad/EDGARDO%20RAFAEL%20DE%20ARMAS%20URBANO.pdf" TargetMode="External"/><Relationship Id="rId120" Type="http://schemas.openxmlformats.org/officeDocument/2006/relationships/hyperlink" Target="Certificado%20Titularidad/JAIR%20HENRY%20REATEGUI%20DIAZ.pdf" TargetMode="External"/><Relationship Id="rId358" Type="http://schemas.openxmlformats.org/officeDocument/2006/relationships/hyperlink" Target="Certificado%20Titularidad/WILMER%20RAUL%20NU&#209;EZ%20RAFAEL.pdf" TargetMode="External"/><Relationship Id="rId565" Type="http://schemas.openxmlformats.org/officeDocument/2006/relationships/hyperlink" Target="Documentos%20firmados%20cambio/RODRIGO%20ALEXANDRO%20AVILA%20DIEGO.pdf" TargetMode="External"/><Relationship Id="rId772" Type="http://schemas.openxmlformats.org/officeDocument/2006/relationships/hyperlink" Target="Documentos%20firmados%20cambio/ROLANDO%20CATUNTA%20MAMANI.pdf" TargetMode="External"/><Relationship Id="rId1195" Type="http://schemas.openxmlformats.org/officeDocument/2006/relationships/hyperlink" Target="Documentos%20firmados%20cambio/CESAR%20AUGUSTO%20LONDONO%20USME.pdf" TargetMode="External"/><Relationship Id="rId1209" Type="http://schemas.openxmlformats.org/officeDocument/2006/relationships/hyperlink" Target="Documentos%20firmados%20cambio/ANDRES%20ALEXANDER%20BEJARANO%20PEREZ.pdf" TargetMode="External"/><Relationship Id="rId218" Type="http://schemas.openxmlformats.org/officeDocument/2006/relationships/hyperlink" Target="Certificado%20Titularidad/FABIANO%20ANTUNES%20DE%20CARVALHO.pdf" TargetMode="External"/><Relationship Id="rId425" Type="http://schemas.openxmlformats.org/officeDocument/2006/relationships/hyperlink" Target="Documentos%20firmados%20cambio/JORGE%20NAYRO%20GARCIA%20OROZCO.pdf" TargetMode="External"/><Relationship Id="rId632" Type="http://schemas.openxmlformats.org/officeDocument/2006/relationships/hyperlink" Target="Certificado%20Titularidad/JUAN%20QUINTANA%20DE%20AVILA.pdf" TargetMode="External"/><Relationship Id="rId1055" Type="http://schemas.openxmlformats.org/officeDocument/2006/relationships/hyperlink" Target="Certificado%20Titularidad/DIEGO%20ROBERTO%20SOUZA%20SCAVACINI.pdf" TargetMode="External"/><Relationship Id="rId1262" Type="http://schemas.openxmlformats.org/officeDocument/2006/relationships/hyperlink" Target="Certificado%20Titularidad/CLAUDEMIR%20DO%20NASCIMENTO%20FURTADO.pdf" TargetMode="External"/><Relationship Id="rId271" Type="http://schemas.openxmlformats.org/officeDocument/2006/relationships/hyperlink" Target="Certificado%20Titularidad/ANTONIO%20YESID%20MARRUGO%20JARAMILLO.pdf" TargetMode="External"/><Relationship Id="rId937" Type="http://schemas.openxmlformats.org/officeDocument/2006/relationships/hyperlink" Target="Certificado%20Titularidad/JOSE%20GUILLERMO%20PENA%20BARRERA.pdf" TargetMode="External"/><Relationship Id="rId1122" Type="http://schemas.openxmlformats.org/officeDocument/2006/relationships/hyperlink" Target="Certificado%20Titularidad/HANNER%20STIVEN%20GUZMAN%20PENCUA.pdf" TargetMode="External"/><Relationship Id="rId66" Type="http://schemas.openxmlformats.org/officeDocument/2006/relationships/hyperlink" Target="Documentos%20firmados%20cambio/MIGUEL%20ANGEL%20MARTINEZ%20CHAVEZ.pdf" TargetMode="External"/><Relationship Id="rId131" Type="http://schemas.openxmlformats.org/officeDocument/2006/relationships/hyperlink" Target="Certificado%20Titularidad/JESUS%20ANTONIO%20PAJARO%20ARCIRIA.pdf" TargetMode="External"/><Relationship Id="rId369" Type="http://schemas.openxmlformats.org/officeDocument/2006/relationships/hyperlink" Target="Documentos%20firmados%20cambio/ODAR%20JOHN%20REYES%20RAMIREZ.pdf" TargetMode="External"/><Relationship Id="rId576" Type="http://schemas.openxmlformats.org/officeDocument/2006/relationships/hyperlink" Target="Certificado%20Titularidad/RUBEN%20DARIO%20MONSALVE%20RIVERO.pdf" TargetMode="External"/><Relationship Id="rId783" Type="http://schemas.openxmlformats.org/officeDocument/2006/relationships/hyperlink" Target="Certificado%20Titularidad/DOMINGO%20RAMON%20VEGA%20HUMANEZ.pdf" TargetMode="External"/><Relationship Id="rId990" Type="http://schemas.openxmlformats.org/officeDocument/2006/relationships/hyperlink" Target="Certificado%20Titularidad/YAMIR%20CUTIVA%20SANCHEZ.pdf" TargetMode="External"/><Relationship Id="rId229" Type="http://schemas.openxmlformats.org/officeDocument/2006/relationships/hyperlink" Target="Certificado%20Titularidad/OSCAR%20JESUS%20MENDEZ%20BELLO.pdf" TargetMode="External"/><Relationship Id="rId436" Type="http://schemas.openxmlformats.org/officeDocument/2006/relationships/hyperlink" Target="Certificado%20Titularidad/JOSE%20EDUARDO%20NU&#209;EZ%20ESCARATE.pdf" TargetMode="External"/><Relationship Id="rId643" Type="http://schemas.openxmlformats.org/officeDocument/2006/relationships/hyperlink" Target="Certificado%20Titularidad/VICTOR%20ALFONSO%20MINA%20QUIJANO.pdf" TargetMode="External"/><Relationship Id="rId1066" Type="http://schemas.openxmlformats.org/officeDocument/2006/relationships/hyperlink" Target="Certificado%20Titularidad/EDUARDO%20JOSE%20RUSSO%20LINERO.pdf" TargetMode="External"/><Relationship Id="rId1273" Type="http://schemas.openxmlformats.org/officeDocument/2006/relationships/hyperlink" Target="Certificado%20Titularidad/JEISON%20ALEXANDER%20GONZALEZ%20FARFAN.pdf" TargetMode="External"/><Relationship Id="rId850" Type="http://schemas.openxmlformats.org/officeDocument/2006/relationships/hyperlink" Target="Certificado%20Titularidad/CAMILO%20ANDRES%20RUBIO%20LEON.pdf" TargetMode="External"/><Relationship Id="rId948" Type="http://schemas.openxmlformats.org/officeDocument/2006/relationships/hyperlink" Target="Certificado%20Titularidad/HUGO%20ALEXANDER%20SERRANO%20ALCALDE.pdf" TargetMode="External"/><Relationship Id="rId1133" Type="http://schemas.openxmlformats.org/officeDocument/2006/relationships/hyperlink" Target="Certificado%20Titularidad/IVAN%20DARIO%20VALLEJO%20BARRAZA.pdf" TargetMode="External"/><Relationship Id="rId77" Type="http://schemas.openxmlformats.org/officeDocument/2006/relationships/hyperlink" Target="Certificado%20Titularidad/ELIS%20RAMON%20GARCIA%20DIAZ.pdf" TargetMode="External"/><Relationship Id="rId282" Type="http://schemas.openxmlformats.org/officeDocument/2006/relationships/hyperlink" Target="Certificado%20Titularidad/YEISON%20SAMIR%20CAICEDO.pdf" TargetMode="External"/><Relationship Id="rId503" Type="http://schemas.openxmlformats.org/officeDocument/2006/relationships/hyperlink" Target="Certificado%20Titularidad/JHONSON%20MARLON%20DUTRA.pdf" TargetMode="External"/><Relationship Id="rId587" Type="http://schemas.openxmlformats.org/officeDocument/2006/relationships/hyperlink" Target="Documentos%20firmados%20cambio/JUAN%20ALBERTO%20RODRIGUEZ.pdf" TargetMode="External"/><Relationship Id="rId710" Type="http://schemas.openxmlformats.org/officeDocument/2006/relationships/hyperlink" Target="Certificado%20Titularidad/EDWAR%20GITERLY%20TORRES%20LIZARAZO.pdf" TargetMode="External"/><Relationship Id="rId808" Type="http://schemas.openxmlformats.org/officeDocument/2006/relationships/hyperlink" Target="Certificado%20Titularidad/JHON%20LUIS%20URBAY%20HURTADO.pdf" TargetMode="External"/><Relationship Id="rId8" Type="http://schemas.openxmlformats.org/officeDocument/2006/relationships/hyperlink" Target="Certificado%20Titularidad/ALEX%20ALTAMAR%20CARMONA.pdf" TargetMode="External"/><Relationship Id="rId142" Type="http://schemas.openxmlformats.org/officeDocument/2006/relationships/hyperlink" Target="Certificado%20Titularidad/JHONS%20WILFREDO%20RAMIREZ%20VIERA.pdf" TargetMode="External"/><Relationship Id="rId447" Type="http://schemas.openxmlformats.org/officeDocument/2006/relationships/hyperlink" Target="Certificado%20Titularidad/ODAIR%20JERONIMO%20GONZALEZ%20ESCORCIA.pdf" TargetMode="External"/><Relationship Id="rId794" Type="http://schemas.openxmlformats.org/officeDocument/2006/relationships/hyperlink" Target="Certificado%20Titularidad/JUAN%20DAVID%20GUALDRON%20REYES.pdf" TargetMode="External"/><Relationship Id="rId1077" Type="http://schemas.openxmlformats.org/officeDocument/2006/relationships/hyperlink" Target="Certificado%20Titularidad/EMANUEL%20NICOLAS%20MUNOZ%20FERNANDEZ.pdf" TargetMode="External"/><Relationship Id="rId1200" Type="http://schemas.openxmlformats.org/officeDocument/2006/relationships/hyperlink" Target="Certificado%20Titularidad/HENRY%20FIERRO%20MEDINA.pdf" TargetMode="External"/><Relationship Id="rId654" Type="http://schemas.openxmlformats.org/officeDocument/2006/relationships/hyperlink" Target="Documentos%20firmados%20cambio/HUMBERTO%20OCHOA%20RIOS.pdf" TargetMode="External"/><Relationship Id="rId861" Type="http://schemas.openxmlformats.org/officeDocument/2006/relationships/hyperlink" Target="Certificado%20Titularidad/FREDERICK%20AU%20BLANQUICETT.pdf" TargetMode="External"/><Relationship Id="rId959" Type="http://schemas.openxmlformats.org/officeDocument/2006/relationships/hyperlink" Target="Certificado%20Titularidad/JOSE%20FERNANDO%20JARAMILLO%20HERNANDEZ.pdf" TargetMode="External"/><Relationship Id="rId1284" Type="http://schemas.openxmlformats.org/officeDocument/2006/relationships/printerSettings" Target="../printerSettings/printerSettings1.bin"/><Relationship Id="rId293" Type="http://schemas.openxmlformats.org/officeDocument/2006/relationships/hyperlink" Target="Certificado%20Titularidad/CARLOS%20JULIO%20ACOSTA%20CAMACHO.pdf" TargetMode="External"/><Relationship Id="rId307" Type="http://schemas.openxmlformats.org/officeDocument/2006/relationships/hyperlink" Target="Certificado%20Titularidad/LUIS%20MANUEL%20MEJIA%20AYALA.pdf" TargetMode="External"/><Relationship Id="rId514" Type="http://schemas.openxmlformats.org/officeDocument/2006/relationships/hyperlink" Target="Certificado%20Titularidad/ALVARO%20PUERTA%20ESPITIA.pdf" TargetMode="External"/><Relationship Id="rId721" Type="http://schemas.openxmlformats.org/officeDocument/2006/relationships/hyperlink" Target="Certificado%20Titularidad/RAUL%20ERNESTO%20MORA%20MARTINEZ.pdf" TargetMode="External"/><Relationship Id="rId1144" Type="http://schemas.openxmlformats.org/officeDocument/2006/relationships/hyperlink" Target="Certificado%20Titularidad/MANUEL%20FRANCISCO%20DE%20LA%20HOZ%20PEREZ.pdf" TargetMode="External"/><Relationship Id="rId88" Type="http://schemas.openxmlformats.org/officeDocument/2006/relationships/hyperlink" Target="Certificado%20Titularidad/YULDOR%20MAURICIO%20BOLA&#209;OS.pdf" TargetMode="External"/><Relationship Id="rId153" Type="http://schemas.openxmlformats.org/officeDocument/2006/relationships/hyperlink" Target="Certificado%20Titularidad/JONATHAN%20EDUARDO%20RODRIGUEZ%20MADARIAGA.pdf" TargetMode="External"/><Relationship Id="rId360" Type="http://schemas.openxmlformats.org/officeDocument/2006/relationships/hyperlink" Target="Certificado%20Titularidad/JESUS%20DAVID%20CARDENAS%20RIVERA.pdf" TargetMode="External"/><Relationship Id="rId598" Type="http://schemas.openxmlformats.org/officeDocument/2006/relationships/hyperlink" Target="Certificado%20Titularidad/JHONNY%20RAFAEL%20LOPEZ%20FIGUEROA.pdf" TargetMode="External"/><Relationship Id="rId819" Type="http://schemas.openxmlformats.org/officeDocument/2006/relationships/hyperlink" Target="Certificado%20Titularidad/JORGY%20VALLEJO%20SOLIS.pdf" TargetMode="External"/><Relationship Id="rId1004" Type="http://schemas.openxmlformats.org/officeDocument/2006/relationships/hyperlink" Target="Certificado%20Titularidad/SERGIO%20ALONSO%20ANDRADE%20CASTRILLON.pdf" TargetMode="External"/><Relationship Id="rId1211" Type="http://schemas.openxmlformats.org/officeDocument/2006/relationships/hyperlink" Target="Documentos%20firmados%20cambio/CARLOS%20ALBERTO%20CORREA%20OREJUELA.pdf" TargetMode="External"/><Relationship Id="rId220" Type="http://schemas.openxmlformats.org/officeDocument/2006/relationships/hyperlink" Target="Certificado%20Titularidad/BENJAMIN%20MIGUEL%20VENTOCILLA%20CANDELARIO.pdf" TargetMode="External"/><Relationship Id="rId458" Type="http://schemas.openxmlformats.org/officeDocument/2006/relationships/hyperlink" Target="Certificado%20Titularidad/ESTEBAN%20DARIO%20ACOSTA%20MARTINEZ.pdf" TargetMode="External"/><Relationship Id="rId665" Type="http://schemas.openxmlformats.org/officeDocument/2006/relationships/hyperlink" Target="Documentos%20firmados%20cambio/DANIEL%20DOMINGO%20MARCHENA%20AGURTO.pdf" TargetMode="External"/><Relationship Id="rId872" Type="http://schemas.openxmlformats.org/officeDocument/2006/relationships/hyperlink" Target="Certificado%20Titularidad/ABDRUBAL%20FONSECA%20RINCON.pdf" TargetMode="External"/><Relationship Id="rId1088" Type="http://schemas.openxmlformats.org/officeDocument/2006/relationships/hyperlink" Target="Certificado%20Titularidad/FELIPE%20DOS%20SANTOS.pdf" TargetMode="External"/><Relationship Id="rId15" Type="http://schemas.openxmlformats.org/officeDocument/2006/relationships/hyperlink" Target="Certificado%20Titularidad/ALYSON%20HENRIQUE%20SILVA%20NASCIMENTO.pdf" TargetMode="External"/><Relationship Id="rId318" Type="http://schemas.openxmlformats.org/officeDocument/2006/relationships/hyperlink" Target="Certificado%20Titularidad/ROMEL%20YBAN%20TUFINIO%20ZOCON.pdf" TargetMode="External"/><Relationship Id="rId525" Type="http://schemas.openxmlformats.org/officeDocument/2006/relationships/hyperlink" Target="Certificado%20Titularidad/ALEXANDER%20ALONSO%20ROMERO.pdf" TargetMode="External"/><Relationship Id="rId732" Type="http://schemas.openxmlformats.org/officeDocument/2006/relationships/hyperlink" Target="Certificado%20Titularidad/JAVIER%20ORLANDO%20PINTO%20VIANCHA.pdf" TargetMode="External"/><Relationship Id="rId1155" Type="http://schemas.openxmlformats.org/officeDocument/2006/relationships/hyperlink" Target="Certificado%20Titularidad/HENRY%20BOHORQUEZ%20VEGA.pdf" TargetMode="External"/><Relationship Id="rId99" Type="http://schemas.openxmlformats.org/officeDocument/2006/relationships/hyperlink" Target="Certificado%20Titularidad/WILSON%20VALLEJO%20HERRERA.pdf" TargetMode="External"/><Relationship Id="rId164" Type="http://schemas.openxmlformats.org/officeDocument/2006/relationships/hyperlink" Target="Certificado%20Titularidad/JOSE%20LUIS%20GONZALEZ%20ALVAREZ.pdf" TargetMode="External"/><Relationship Id="rId371" Type="http://schemas.openxmlformats.org/officeDocument/2006/relationships/hyperlink" Target="Certificado%20Titularidad/JHESUAT%20EMANUEL%20DELGADO%20ALPALA.pdf" TargetMode="External"/><Relationship Id="rId1015" Type="http://schemas.openxmlformats.org/officeDocument/2006/relationships/hyperlink" Target="Certificado%20Titularidad/CARLOS%20EDUARDO%20FORBES%20MARIN.pdf" TargetMode="External"/><Relationship Id="rId1222" Type="http://schemas.openxmlformats.org/officeDocument/2006/relationships/hyperlink" Target="Certificado%20Titularidad/ARNULFO%20SANCHEZ%20RUEDA.pdf" TargetMode="External"/><Relationship Id="rId469" Type="http://schemas.openxmlformats.org/officeDocument/2006/relationships/hyperlink" Target="Certificado%20Titularidad/GUSTAVO%20DAMIAN%20DONOSO.pdf" TargetMode="External"/><Relationship Id="rId676" Type="http://schemas.openxmlformats.org/officeDocument/2006/relationships/hyperlink" Target="Certificado%20Titularidad/JOSE%20RAIMUNDO%20JIMENEZ%20ARRIETA.pdf" TargetMode="External"/><Relationship Id="rId883" Type="http://schemas.openxmlformats.org/officeDocument/2006/relationships/hyperlink" Target="Certificado%20Titularidad/JAVIER%20ALONSO%20LOPEZ%20AYALA.pdf" TargetMode="External"/><Relationship Id="rId1099" Type="http://schemas.openxmlformats.org/officeDocument/2006/relationships/hyperlink" Target="Documentos%20firmados%20cambio/JOHAN%20ANDRES%20HERRERA%20RUGE.pdf" TargetMode="External"/><Relationship Id="rId26" Type="http://schemas.openxmlformats.org/officeDocument/2006/relationships/hyperlink" Target="Certificado%20Titularidad/ARMANDO%20DENIS%20ENRIQUEZ%20BLAS.pdf" TargetMode="External"/><Relationship Id="rId231" Type="http://schemas.openxmlformats.org/officeDocument/2006/relationships/hyperlink" Target="Certificado%20Titularidad/EDU%20PANDURO%20RUIZ.pdf" TargetMode="External"/><Relationship Id="rId329" Type="http://schemas.openxmlformats.org/officeDocument/2006/relationships/hyperlink" Target="Certificado%20Titularidad/MIGUEL%20ANGEL%20NU&#209;EZ%20PADILLA.pdf" TargetMode="External"/><Relationship Id="rId536" Type="http://schemas.openxmlformats.org/officeDocument/2006/relationships/hyperlink" Target="Documentos%20firmados%20cambio/HAROLD%20LLERENA%20BELTRAN.pdf" TargetMode="External"/><Relationship Id="rId1166" Type="http://schemas.openxmlformats.org/officeDocument/2006/relationships/hyperlink" Target="Documentos%20firmados%20cambio/OSCAR%20GIOVANNI%20DIAZ%20MARTINEZ.pdf" TargetMode="External"/><Relationship Id="rId175" Type="http://schemas.openxmlformats.org/officeDocument/2006/relationships/hyperlink" Target="Certificado%20Titularidad/JULIAN%20OSWALDO%20CAMACHO%20SALAZAR.pdf" TargetMode="External"/><Relationship Id="rId743" Type="http://schemas.openxmlformats.org/officeDocument/2006/relationships/hyperlink" Target="Certificado%20Titularidad/RIGOBERTO%20RIOS%20PACHECO.pdf" TargetMode="External"/><Relationship Id="rId950" Type="http://schemas.openxmlformats.org/officeDocument/2006/relationships/hyperlink" Target="Certificado%20Titularidad/JACH%20ANTONIO%20DONADO%20ZAMBRANO.pdf" TargetMode="External"/><Relationship Id="rId1026" Type="http://schemas.openxmlformats.org/officeDocument/2006/relationships/hyperlink" Target="Certificado%20Titularidad/CHRISTIAN%20NAYID%20SIMONDS%20GOMEZ.pdf" TargetMode="External"/><Relationship Id="rId382" Type="http://schemas.openxmlformats.org/officeDocument/2006/relationships/hyperlink" Target="Certificado%20Titularidad/CARLOS%20ALBERTO%20DOMINGUEZ%20CORDOVA.pdf" TargetMode="External"/><Relationship Id="rId603" Type="http://schemas.openxmlformats.org/officeDocument/2006/relationships/hyperlink" Target="Certificado%20Titularidad/CRISTIAN%20CAMILO%20CABALLERO%20CORREDOR.pdf" TargetMode="External"/><Relationship Id="rId687" Type="http://schemas.openxmlformats.org/officeDocument/2006/relationships/hyperlink" Target="Certificado%20Titularidad/YUVER%20RUSO%20CRUZ%20DAMIAN.pdf" TargetMode="External"/><Relationship Id="rId810" Type="http://schemas.openxmlformats.org/officeDocument/2006/relationships/hyperlink" Target="Certificado%20Titularidad/CARLOS%20JULIO%20LOZANO%20SIERRA.pdf" TargetMode="External"/><Relationship Id="rId908" Type="http://schemas.openxmlformats.org/officeDocument/2006/relationships/hyperlink" Target="Certificado%20Titularidad/CESAR%20AUGUSTO%20ANGARITA%20RIVERA.pdf" TargetMode="External"/><Relationship Id="rId1233" Type="http://schemas.openxmlformats.org/officeDocument/2006/relationships/hyperlink" Target="Certificado%20Titularidad/GUSTAVO%20ADOLFO%20DEL%20ANGEL%20MONTERO.pdf" TargetMode="External"/><Relationship Id="rId242" Type="http://schemas.openxmlformats.org/officeDocument/2006/relationships/hyperlink" Target="Certificado%20Titularidad/SIMION%20LUCIANO%20CHILINGANO%20PILLACA.pdf" TargetMode="External"/><Relationship Id="rId894" Type="http://schemas.openxmlformats.org/officeDocument/2006/relationships/hyperlink" Target="Certificado%20Titularidad/DAYAN%20CRISTOBAL%20ROMERO%20YARA.pdf" TargetMode="External"/><Relationship Id="rId1177" Type="http://schemas.openxmlformats.org/officeDocument/2006/relationships/hyperlink" Target="Certificado%20Titularidad/LUIS%20ANTONIO%20SOTO%20VIDAL.pdf" TargetMode="External"/><Relationship Id="rId37" Type="http://schemas.openxmlformats.org/officeDocument/2006/relationships/hyperlink" Target="Documentos%20firmados%20cambio/EDWARD%20IGNACIO%20DIAZ%20AVILA.pdf" TargetMode="External"/><Relationship Id="rId102" Type="http://schemas.openxmlformats.org/officeDocument/2006/relationships/hyperlink" Target="Certificado%20Titularidad/GUERMAIN%20ISAAC%20SAJAMIN%20PANDURO.pdf" TargetMode="External"/><Relationship Id="rId547" Type="http://schemas.openxmlformats.org/officeDocument/2006/relationships/hyperlink" Target="Documentos%20firmados%20cambio/ARFAXAD%20SALINAS%20TORRES.pdf" TargetMode="External"/><Relationship Id="rId754" Type="http://schemas.openxmlformats.org/officeDocument/2006/relationships/hyperlink" Target="Certificado%20Titularidad/JUAN%20BETANCOUR%20MARTINEZJUAN%20BETANCOUR%20MARTINEZ.pdf" TargetMode="External"/><Relationship Id="rId961" Type="http://schemas.openxmlformats.org/officeDocument/2006/relationships/hyperlink" Target="Certificado%20Titularidad/JOSE%20LUIS%20SANCHEZ%20OLARTE.pdf" TargetMode="External"/><Relationship Id="rId90" Type="http://schemas.openxmlformats.org/officeDocument/2006/relationships/hyperlink" Target="Certificado%20Titularidad/FERNANDO%20DA%20SILVA%20NOGAL.pdf" TargetMode="External"/><Relationship Id="rId186" Type="http://schemas.openxmlformats.org/officeDocument/2006/relationships/hyperlink" Target="Certificado%20Titularidad/LUIS%20ALBERTO%20FUNEZ%20COLLAZOS.pdf" TargetMode="External"/><Relationship Id="rId393" Type="http://schemas.openxmlformats.org/officeDocument/2006/relationships/hyperlink" Target="Certificado%20Titularidad/ADRIAN%20CAMILO%20PINILLA%20AGUIRRE.pdf" TargetMode="External"/><Relationship Id="rId407" Type="http://schemas.openxmlformats.org/officeDocument/2006/relationships/hyperlink" Target="Certificado%20Titularidad/VLADIMIR%20CAMILO%20CASTRO%20MULFOR.pdf" TargetMode="External"/><Relationship Id="rId614" Type="http://schemas.openxmlformats.org/officeDocument/2006/relationships/hyperlink" Target="Certificado%20Titularidad/ERNESTO%20GERMAN%20HERRERA.pdf" TargetMode="External"/><Relationship Id="rId821" Type="http://schemas.openxmlformats.org/officeDocument/2006/relationships/hyperlink" Target="Certificado%20Titularidad/HERNANDO%20ENRIQUE%20MAESTRE%20CASTILLA.pdf" TargetMode="External"/><Relationship Id="rId1037" Type="http://schemas.openxmlformats.org/officeDocument/2006/relationships/hyperlink" Target="Certificado%20Titularidad/DANIEL%20CAICEDO%20BEDOYA.pdf" TargetMode="External"/><Relationship Id="rId1244" Type="http://schemas.openxmlformats.org/officeDocument/2006/relationships/hyperlink" Target="Certificado%20Titularidad/CESAR%20NORBEY%20PENAGOS%20DUQUE.pdf" TargetMode="External"/><Relationship Id="rId253" Type="http://schemas.openxmlformats.org/officeDocument/2006/relationships/hyperlink" Target="Certificado%20Titularidad/JESUS%20ANTONIO%20HERNANDEZ%20ARISMENDY.pdf" TargetMode="External"/><Relationship Id="rId460" Type="http://schemas.openxmlformats.org/officeDocument/2006/relationships/hyperlink" Target="Certificado%20Titularidad/HENRIS%20ORTEGA%20BOSSIO.pdf" TargetMode="External"/><Relationship Id="rId698" Type="http://schemas.openxmlformats.org/officeDocument/2006/relationships/hyperlink" Target="Certificado%20Titularidad/WILMER%20PEREZ%20CUSBA.pdf" TargetMode="External"/><Relationship Id="rId919" Type="http://schemas.openxmlformats.org/officeDocument/2006/relationships/hyperlink" Target="Certificado%20Titularidad/JULIAN%20ANDRES%20RODALLEGA%20RIVAS.pdf" TargetMode="External"/><Relationship Id="rId1090" Type="http://schemas.openxmlformats.org/officeDocument/2006/relationships/hyperlink" Target="Certificado%20Titularidad/FERNEY%20ALEXANDER%20VARGAS%20SERRANO.pdf" TargetMode="External"/><Relationship Id="rId1104" Type="http://schemas.openxmlformats.org/officeDocument/2006/relationships/hyperlink" Target="Certificado%20Titularidad/FRANCO%20CESAR%20GONZALES%20CUMPA.pdf" TargetMode="External"/><Relationship Id="rId48" Type="http://schemas.openxmlformats.org/officeDocument/2006/relationships/hyperlink" Target="Certificado%20Titularidad/DANIEL%20CHAVES%20SILVA.pdf" TargetMode="External"/><Relationship Id="rId113" Type="http://schemas.openxmlformats.org/officeDocument/2006/relationships/hyperlink" Target="Certificado%20Titularidad/JAIME%20CASTREJON%20CUEVA.pdf" TargetMode="External"/><Relationship Id="rId320" Type="http://schemas.openxmlformats.org/officeDocument/2006/relationships/hyperlink" Target="Certificado%20Titularidad/JUAN%20ALBERTO%20RODRIGUEZ.pdf" TargetMode="External"/><Relationship Id="rId558" Type="http://schemas.openxmlformats.org/officeDocument/2006/relationships/hyperlink" Target="Certificado%20Titularidad/DANIEL%20ELIECER%20PEREZ%20ACEVEDO.pdf" TargetMode="External"/><Relationship Id="rId765" Type="http://schemas.openxmlformats.org/officeDocument/2006/relationships/hyperlink" Target="Certificado%20Titularidad/RAFAEL%20ALEJANDRO%20HERRERA%20URBANO.pdf" TargetMode="External"/><Relationship Id="rId972" Type="http://schemas.openxmlformats.org/officeDocument/2006/relationships/hyperlink" Target="Certificado%20Titularidad/HECTOR%20LUCIANO%20CAMELO%20BENAVIDES.pdf" TargetMode="External"/><Relationship Id="rId1188" Type="http://schemas.openxmlformats.org/officeDocument/2006/relationships/hyperlink" Target="Certificado%20Titularidad/ROBINSON%20DABIAN%20TABORDA%20ESCAMILLA.pdf" TargetMode="External"/><Relationship Id="rId197" Type="http://schemas.openxmlformats.org/officeDocument/2006/relationships/hyperlink" Target="Certificado%20Titularidad/MICHAEL%20SANDOVAL%20CAMARGO.pdf" TargetMode="External"/><Relationship Id="rId418" Type="http://schemas.openxmlformats.org/officeDocument/2006/relationships/hyperlink" Target="Certificado%20Titularidad/CARLOS%20ALBERTO%20RAMOS%20URBANO.pdf" TargetMode="External"/><Relationship Id="rId625" Type="http://schemas.openxmlformats.org/officeDocument/2006/relationships/hyperlink" Target="Certificado%20Titularidad/CARLOS%20ALBERTO%20GUIA%20MONROY.pdf" TargetMode="External"/><Relationship Id="rId832" Type="http://schemas.openxmlformats.org/officeDocument/2006/relationships/hyperlink" Target="Certificado%20Titularidad/FENIX%20DE%20JESUS%20BARBOSA%20COLORADO.pdf" TargetMode="External"/><Relationship Id="rId1048" Type="http://schemas.openxmlformats.org/officeDocument/2006/relationships/hyperlink" Target="Certificado%20Titularidad/DEYBY%20DAVISON%20LOPEZ%20DIAZ.pdf" TargetMode="External"/><Relationship Id="rId1255" Type="http://schemas.openxmlformats.org/officeDocument/2006/relationships/hyperlink" Target="Certificado%20Titularidad/RANDYS%20MIGUEL%20NIEBLES%20HURTADO.pdf" TargetMode="External"/><Relationship Id="rId264" Type="http://schemas.openxmlformats.org/officeDocument/2006/relationships/hyperlink" Target="Documentos%20firmados%20cambio/WALDEMAR%20ALVAREZ%20SAENZ.pdf" TargetMode="External"/><Relationship Id="rId471" Type="http://schemas.openxmlformats.org/officeDocument/2006/relationships/hyperlink" Target="Documentos%20firmados%20cambio/EDGARDO%20RAFAEL%20DE%20ARMAS%20URBANO.pdf" TargetMode="External"/><Relationship Id="rId1115" Type="http://schemas.openxmlformats.org/officeDocument/2006/relationships/hyperlink" Target="Documentos%20firmados%20cambio/GONZALO%20ARIEL%20NAVARRO.pdf" TargetMode="External"/><Relationship Id="rId59" Type="http://schemas.openxmlformats.org/officeDocument/2006/relationships/hyperlink" Target="Certificado%20Titularidad/EDUARDO%20ROBERTO%20GUZMAN.pdf" TargetMode="External"/><Relationship Id="rId124" Type="http://schemas.openxmlformats.org/officeDocument/2006/relationships/hyperlink" Target="Certificado%20Titularidad/VICTOR%20ALFONSO%20LUQUE%20CONDORI.pdf" TargetMode="External"/><Relationship Id="rId569" Type="http://schemas.openxmlformats.org/officeDocument/2006/relationships/hyperlink" Target="Certificado%20Titularidad/CARLOS%20ANDRES%20MANTILLA%20URREGO.pdf" TargetMode="External"/><Relationship Id="rId776" Type="http://schemas.openxmlformats.org/officeDocument/2006/relationships/hyperlink" Target="Certificado%20Titularidad/JHORMAN%20STEVEN%20PINTO%20QUITORA.pdf" TargetMode="External"/><Relationship Id="rId983" Type="http://schemas.openxmlformats.org/officeDocument/2006/relationships/hyperlink" Target="Certificado%20Titularidad/YONY%20ALEXANDER%20BERNAL%20ARCINIEGAS.pdf" TargetMode="External"/><Relationship Id="rId1199" Type="http://schemas.openxmlformats.org/officeDocument/2006/relationships/hyperlink" Target="Certificado%20Titularidad/ANDRES%20AGREDO%20ARBOLEDA.pdf" TargetMode="External"/><Relationship Id="rId331" Type="http://schemas.openxmlformats.org/officeDocument/2006/relationships/hyperlink" Target="Certificado%20Titularidad/HENRRY%20CASTRO%20COLLACHAGUA.pdf" TargetMode="External"/><Relationship Id="rId429" Type="http://schemas.openxmlformats.org/officeDocument/2006/relationships/hyperlink" Target="Documentos%20firmados%20cambio/JAVIER%20SAUL%20PEREA%20CAMARGO.pdf" TargetMode="External"/><Relationship Id="rId636" Type="http://schemas.openxmlformats.org/officeDocument/2006/relationships/hyperlink" Target="Certificado%20Titularidad/NORVEY%20GONZALEZ%20LOPEZ.pdf" TargetMode="External"/><Relationship Id="rId1059" Type="http://schemas.openxmlformats.org/officeDocument/2006/relationships/hyperlink" Target="Certificado%20Titularidad/DUVAN%20ANDRES%20BOSIGA%20SANCHEZ.pdf" TargetMode="External"/><Relationship Id="rId1266" Type="http://schemas.openxmlformats.org/officeDocument/2006/relationships/hyperlink" Target="Certificado%20Titularidad/LUCAS%20VINICIUS%20FRANCO%20NOVAKOWSKI.pdf" TargetMode="External"/><Relationship Id="rId843" Type="http://schemas.openxmlformats.org/officeDocument/2006/relationships/hyperlink" Target="Certificado%20Titularidad/WILMER%20ANDRES%20AREVALO%20MARIN.pdf" TargetMode="External"/><Relationship Id="rId1126" Type="http://schemas.openxmlformats.org/officeDocument/2006/relationships/hyperlink" Target="Certificado%20Titularidad/HECTOR%20FABIO%20GUZMAN%20CAICEDO.pdf" TargetMode="External"/><Relationship Id="rId275" Type="http://schemas.openxmlformats.org/officeDocument/2006/relationships/hyperlink" Target="Certificado%20Titularidad/ANDRES%20FELIPE%20GOMEZ%20PUERTA.pdf" TargetMode="External"/><Relationship Id="rId482" Type="http://schemas.openxmlformats.org/officeDocument/2006/relationships/hyperlink" Target="Certificado%20Titularidad/HECTOR%20LUIS%20PARRAGA%20ZAVALA.pdf" TargetMode="External"/><Relationship Id="rId703" Type="http://schemas.openxmlformats.org/officeDocument/2006/relationships/hyperlink" Target="Documentos%20firmados%20cambio/CRISTIAN%20ADRIAN%20QUIROS%20RAMOS.pdf" TargetMode="External"/><Relationship Id="rId910" Type="http://schemas.openxmlformats.org/officeDocument/2006/relationships/hyperlink" Target="Certificado%20Titularidad/WALDO%20SEGUNDO%20BARRIGA%20DURAN.pdf" TargetMode="External"/><Relationship Id="rId135" Type="http://schemas.openxmlformats.org/officeDocument/2006/relationships/hyperlink" Target="Certificado%20Titularidad/SANDRO%20GONZALEZ%20&#209;USTES.pdf" TargetMode="External"/><Relationship Id="rId342" Type="http://schemas.openxmlformats.org/officeDocument/2006/relationships/hyperlink" Target="Certificado%20Titularidad/EDILSON%20RODRIGUEZ%20MARTINEZ.pdf" TargetMode="External"/><Relationship Id="rId787" Type="http://schemas.openxmlformats.org/officeDocument/2006/relationships/hyperlink" Target="Documentos%20firmados%20cambio/ALBEIRO%20OBANDO%20MICOLTA.pdf" TargetMode="External"/><Relationship Id="rId994" Type="http://schemas.openxmlformats.org/officeDocument/2006/relationships/hyperlink" Target="Certificado%20Titularidad/WILLIAM%20PUENTES%20ANTOLINEZ.pdf" TargetMode="External"/><Relationship Id="rId202" Type="http://schemas.openxmlformats.org/officeDocument/2006/relationships/hyperlink" Target="Certificado%20Titularidad/LUIS%20EDUARDO%20BRAGA%20TEIXEIRA%20VILELA%20VIDAL.pdf" TargetMode="External"/><Relationship Id="rId647" Type="http://schemas.openxmlformats.org/officeDocument/2006/relationships/hyperlink" Target="Certificado%20Titularidad/ARLINTON%20ENRIQUE%20CABALLERO%20PEDROZO.pdf" TargetMode="External"/><Relationship Id="rId854" Type="http://schemas.openxmlformats.org/officeDocument/2006/relationships/hyperlink" Target="Certificado%20Titularidad/RUBEN%20DARIO%20JIMENEZ%20ACOSTA.pdf" TargetMode="External"/><Relationship Id="rId1277" Type="http://schemas.openxmlformats.org/officeDocument/2006/relationships/hyperlink" Target="Certificado%20Titularidad/RICHARD%20ANDERSON%20RUIZ%20BARRETO.pdf" TargetMode="External"/><Relationship Id="rId286" Type="http://schemas.openxmlformats.org/officeDocument/2006/relationships/hyperlink" Target="Certificado%20Titularidad/VICTOR%20ARTURO%20GALVEZ%20PALACIOS.pdf" TargetMode="External"/><Relationship Id="rId493" Type="http://schemas.openxmlformats.org/officeDocument/2006/relationships/hyperlink" Target="Certificado%20Titularidad/OWIN%20ENRIQUE%20MORELO%20GOMEZ.pdf" TargetMode="External"/><Relationship Id="rId507" Type="http://schemas.openxmlformats.org/officeDocument/2006/relationships/hyperlink" Target="Certificado%20Titularidad/REINERD%20SALAZAR%20FAJARDO.pdf" TargetMode="External"/><Relationship Id="rId714" Type="http://schemas.openxmlformats.org/officeDocument/2006/relationships/hyperlink" Target="Certificado%20Titularidad/BRAYAN%20ALEXANDER%20CARABALI%20SANCHEZ.pdf" TargetMode="External"/><Relationship Id="rId921" Type="http://schemas.openxmlformats.org/officeDocument/2006/relationships/hyperlink" Target="Documentos%20firmados%20cambio/NEFER%20YASETH%20PESTANA%20CABALLERO.pdf" TargetMode="External"/><Relationship Id="rId1137" Type="http://schemas.openxmlformats.org/officeDocument/2006/relationships/hyperlink" Target="Certificado%20Titularidad/JAIME%20NICOLAS%20GOYES.pdf" TargetMode="External"/><Relationship Id="rId50" Type="http://schemas.openxmlformats.org/officeDocument/2006/relationships/hyperlink" Target="Certificado%20Titularidad/DAVID%20JONATHAN%20CHAMBILLA%20COAPAZA.pdf" TargetMode="External"/><Relationship Id="rId146" Type="http://schemas.openxmlformats.org/officeDocument/2006/relationships/hyperlink" Target="Certificado%20Titularidad/RODRIGO%20PRADO%20SEPULVEDA.pdf" TargetMode="External"/><Relationship Id="rId353" Type="http://schemas.openxmlformats.org/officeDocument/2006/relationships/hyperlink" Target="Documentos%20firmados%20cambio/JEISON%20DAVID%20RONDON%20CARVAJAL.pdf" TargetMode="External"/><Relationship Id="rId560" Type="http://schemas.openxmlformats.org/officeDocument/2006/relationships/hyperlink" Target="Certificado%20Titularidad/JHON%20EINER%20INSUASTI%20TULANDE.pdf" TargetMode="External"/><Relationship Id="rId798" Type="http://schemas.openxmlformats.org/officeDocument/2006/relationships/hyperlink" Target="Certificado%20Titularidad/TIRZO%20GONZALEZ%20BOLIVAR.pdf" TargetMode="External"/><Relationship Id="rId1190" Type="http://schemas.openxmlformats.org/officeDocument/2006/relationships/hyperlink" Target="Certificado%20Titularidad/JUAN%20DANIEL%20ROA%20ROSAS.pdf" TargetMode="External"/><Relationship Id="rId1204" Type="http://schemas.openxmlformats.org/officeDocument/2006/relationships/hyperlink" Target="Documentos%20firmados%20cambio/JORGE%20LUIS%20ROMERO%20DE%20ANGEL.pdf" TargetMode="External"/><Relationship Id="rId213" Type="http://schemas.openxmlformats.org/officeDocument/2006/relationships/hyperlink" Target="Certificado%20Titularidad/ENRI%20JAIME%20CALDAS%20BERMUDES.pdf" TargetMode="External"/><Relationship Id="rId420" Type="http://schemas.openxmlformats.org/officeDocument/2006/relationships/hyperlink" Target="Certificado%20Titularidad/JAVIER%20STIVEN%20ORTIZ%20GALINDEZ.pdf" TargetMode="External"/><Relationship Id="rId658" Type="http://schemas.openxmlformats.org/officeDocument/2006/relationships/hyperlink" Target="Certificado%20Titularidad/JUAN%20DAVID%20MOLANO%20CARDONA.pdf" TargetMode="External"/><Relationship Id="rId865" Type="http://schemas.openxmlformats.org/officeDocument/2006/relationships/hyperlink" Target="Certificado%20Titularidad/WILLIAN%20VARGAS%20CACERES.pdf" TargetMode="External"/><Relationship Id="rId1050" Type="http://schemas.openxmlformats.org/officeDocument/2006/relationships/hyperlink" Target="Certificado%20Titularidad/DIEGO%20ANDRES%20SALCEDO%20BAUTISTA.pdf" TargetMode="External"/><Relationship Id="rId297" Type="http://schemas.openxmlformats.org/officeDocument/2006/relationships/hyperlink" Target="Certificado%20Titularidad/DENYSVAN%20LIBERIO%20SILVA.pdf" TargetMode="External"/><Relationship Id="rId518" Type="http://schemas.openxmlformats.org/officeDocument/2006/relationships/hyperlink" Target="Certificado%20Titularidad/BREINER%20MOLINA%20PELAEZ.pdf" TargetMode="External"/><Relationship Id="rId725" Type="http://schemas.openxmlformats.org/officeDocument/2006/relationships/hyperlink" Target="Certificado%20Titularidad/EDGAR%20STEVEN%20PENAGOS%20CESPEDES.pdf" TargetMode="External"/><Relationship Id="rId932" Type="http://schemas.openxmlformats.org/officeDocument/2006/relationships/hyperlink" Target="Certificado%20Titularidad/JAIME%20HERNAN%20ARANGO%20MONSALVE.pdf" TargetMode="External"/><Relationship Id="rId1148" Type="http://schemas.openxmlformats.org/officeDocument/2006/relationships/hyperlink" Target="Certificado%20Titularidad/EDINSON%20SIZA%20SANCHEZ.pdf" TargetMode="External"/><Relationship Id="rId157" Type="http://schemas.openxmlformats.org/officeDocument/2006/relationships/hyperlink" Target="Certificado%20Titularidad/JOSE%20ALFREDO%20GUTIERREZ%20LANCHEZ.pdf" TargetMode="External"/><Relationship Id="rId364" Type="http://schemas.openxmlformats.org/officeDocument/2006/relationships/hyperlink" Target="Certificado%20Titularidad/ROGER%20HALDER%20CHILCA%20LEON.pdf" TargetMode="External"/><Relationship Id="rId1008" Type="http://schemas.openxmlformats.org/officeDocument/2006/relationships/hyperlink" Target="Certificado%20Titularidad/CAMILO%20ANDRES%20DUE&#209;AS%20NI&#209;O.pdf" TargetMode="External"/><Relationship Id="rId1215" Type="http://schemas.openxmlformats.org/officeDocument/2006/relationships/hyperlink" Target="Certificado%20Titularidad/DUBERNEY%20POSCUE%20FAJARDO.pdf" TargetMode="External"/><Relationship Id="rId61" Type="http://schemas.openxmlformats.org/officeDocument/2006/relationships/hyperlink" Target="Documentos%20firmados%20cambio/JUAN%20CARLOS%20BENAVIDES%20RODRIGUEZ.pdf" TargetMode="External"/><Relationship Id="rId571" Type="http://schemas.openxmlformats.org/officeDocument/2006/relationships/hyperlink" Target="Certificado%20Titularidad/ALBEIRO%20CARDOZO%20HEREDIA.pdf" TargetMode="External"/><Relationship Id="rId669" Type="http://schemas.openxmlformats.org/officeDocument/2006/relationships/hyperlink" Target="Certificado%20Titularidad/ANDERSON%20CHELUVAY%20GONZALEZ%20TRUJILLO.pdf" TargetMode="External"/><Relationship Id="rId876" Type="http://schemas.openxmlformats.org/officeDocument/2006/relationships/hyperlink" Target="Certificado%20Titularidad/RUBEN%20ERNESTO%20JARA%20SANTOS.pdf" TargetMode="External"/><Relationship Id="rId19" Type="http://schemas.openxmlformats.org/officeDocument/2006/relationships/hyperlink" Target="Certificado%20Titularidad/ANDRE%20DA%20SILVA%20ARAUJO.pdf" TargetMode="External"/><Relationship Id="rId224" Type="http://schemas.openxmlformats.org/officeDocument/2006/relationships/hyperlink" Target="Certificado%20Titularidad/JUAN%20CARLOS%20ARCAYA%20NORIEGA.pdf" TargetMode="External"/><Relationship Id="rId431" Type="http://schemas.openxmlformats.org/officeDocument/2006/relationships/hyperlink" Target="Documentos%20firmados%20cambio/ROGELIO%20EFRAIN%20CONDORI%20HUANCA.pdf" TargetMode="External"/><Relationship Id="rId529" Type="http://schemas.openxmlformats.org/officeDocument/2006/relationships/hyperlink" Target="Certificado%20Titularidad/JARRINSON%20JOSE%20PATRON%20MARTINEZ.pdf" TargetMode="External"/><Relationship Id="rId736" Type="http://schemas.openxmlformats.org/officeDocument/2006/relationships/hyperlink" Target="Certificado%20Titularidad/CARLOS%20ARTURO%20RESTREPO%20RESTREPO.pdf" TargetMode="External"/><Relationship Id="rId1061" Type="http://schemas.openxmlformats.org/officeDocument/2006/relationships/hyperlink" Target="Certificado%20Titularidad/EDIE%20JAVIER%20GUERRERO%20SARMIENTO.pdf" TargetMode="External"/><Relationship Id="rId1159" Type="http://schemas.openxmlformats.org/officeDocument/2006/relationships/hyperlink" Target="Documentos%20firmados%20cambio/YEISON%20ARLEY%20TOBON%20MORENO.pdf" TargetMode="External"/><Relationship Id="rId168" Type="http://schemas.openxmlformats.org/officeDocument/2006/relationships/hyperlink" Target="Certificado%20Titularidad/RAFAEL%20ARTURO%20REYES%20ROMERO.pdf" TargetMode="External"/><Relationship Id="rId943" Type="http://schemas.openxmlformats.org/officeDocument/2006/relationships/hyperlink" Target="Certificado%20Titularidad/SAUL%20RONDEROS%20VEGA.pdf" TargetMode="External"/><Relationship Id="rId1019" Type="http://schemas.openxmlformats.org/officeDocument/2006/relationships/hyperlink" Target="Certificado%20Titularidad/CARLOS%20JULIO%20MARTINEZ%20ESPINOSA.pdf" TargetMode="External"/><Relationship Id="rId72" Type="http://schemas.openxmlformats.org/officeDocument/2006/relationships/hyperlink" Target="Documentos%20firmados%20cambio/WILSON%20VALLEJO%20HERRERA.pdf" TargetMode="External"/><Relationship Id="rId375" Type="http://schemas.openxmlformats.org/officeDocument/2006/relationships/hyperlink" Target="Certificado%20Titularidad/HECTOR%20SANCHEZ%20GUERRERO.pdf" TargetMode="External"/><Relationship Id="rId582" Type="http://schemas.openxmlformats.org/officeDocument/2006/relationships/hyperlink" Target="Documentos%20firmados%20cambio/JORGE%20LUIS%20FLOREZ%20RAMIREZ.pdf" TargetMode="External"/><Relationship Id="rId803" Type="http://schemas.openxmlformats.org/officeDocument/2006/relationships/hyperlink" Target="Documentos%20firmados%20cambio/JULIO%20ALEXANDER%20TOVAR%20BAQUERO.pdf" TargetMode="External"/><Relationship Id="rId1226" Type="http://schemas.openxmlformats.org/officeDocument/2006/relationships/hyperlink" Target="Certificado%20Titularidad/RICARDO%20RAFAEL%20BONILLA%20BLANCO.pdf" TargetMode="External"/><Relationship Id="rId3" Type="http://schemas.openxmlformats.org/officeDocument/2006/relationships/hyperlink" Target="Documentos%20firmados%20cambio/ALBERTO%20DURAN.pdf" TargetMode="External"/><Relationship Id="rId235" Type="http://schemas.openxmlformats.org/officeDocument/2006/relationships/hyperlink" Target="Certificado%20Titularidad/JHEAN%20MARCOS%20CASTILLO%20CHUNAS.pdf" TargetMode="External"/><Relationship Id="rId442" Type="http://schemas.openxmlformats.org/officeDocument/2006/relationships/hyperlink" Target="Certificado%20Titularidad/SERGIO%20DAVID%20CORDOBA%20TUTA.pdf" TargetMode="External"/><Relationship Id="rId887" Type="http://schemas.openxmlformats.org/officeDocument/2006/relationships/hyperlink" Target="Certificado%20Titularidad/HENRY%20MARTINEZ%20CABEZAS.pdf" TargetMode="External"/><Relationship Id="rId1072" Type="http://schemas.openxmlformats.org/officeDocument/2006/relationships/hyperlink" Target="Certificado%20Titularidad/EDWIN%20GOMEZ%20ROJAS.pdf" TargetMode="External"/><Relationship Id="rId302" Type="http://schemas.openxmlformats.org/officeDocument/2006/relationships/hyperlink" Target="Certificado%20Titularidad/RONALDO%20DA%20SILVA%20PEREIRA.pdf" TargetMode="External"/><Relationship Id="rId747" Type="http://schemas.openxmlformats.org/officeDocument/2006/relationships/hyperlink" Target="Certificado%20Titularidad/WILBER%20LOPEZ%20BALETA.pdf" TargetMode="External"/><Relationship Id="rId954" Type="http://schemas.openxmlformats.org/officeDocument/2006/relationships/hyperlink" Target="Certificado%20Titularidad/JHONATAN%20DANIEL%20OSPINA%20OJEDA.pdf" TargetMode="External"/><Relationship Id="rId83" Type="http://schemas.openxmlformats.org/officeDocument/2006/relationships/hyperlink" Target="Certificado%20Titularidad/ERICKSON%20GOMES%20DA%20CUNHA.pdf" TargetMode="External"/><Relationship Id="rId179" Type="http://schemas.openxmlformats.org/officeDocument/2006/relationships/hyperlink" Target="Certificado%20Titularidad/KARLO%20CESAR%20COLONA%20CRUZ.pdf" TargetMode="External"/><Relationship Id="rId386" Type="http://schemas.openxmlformats.org/officeDocument/2006/relationships/hyperlink" Target="Certificado%20Titularidad/HECTOR%20DAVID%20RAMOS%20BUHEZO.pdf" TargetMode="External"/><Relationship Id="rId593" Type="http://schemas.openxmlformats.org/officeDocument/2006/relationships/hyperlink" Target="Documentos%20firmados%20cambio/JULIO%20CESAR%20OROZCO%20MEDINA.pdf" TargetMode="External"/><Relationship Id="rId607" Type="http://schemas.openxmlformats.org/officeDocument/2006/relationships/hyperlink" Target="Certificado%20Titularidad/BRAYAN%20JOSE%20SALINAS%20MARTINEZ.pdf" TargetMode="External"/><Relationship Id="rId814" Type="http://schemas.openxmlformats.org/officeDocument/2006/relationships/hyperlink" Target="Certificado%20Titularidad/HUGO%20NELSON%20HERRERA%20MEDINA.pdf" TargetMode="External"/><Relationship Id="rId1237" Type="http://schemas.openxmlformats.org/officeDocument/2006/relationships/hyperlink" Target="Certificado%20Titularidad/JHON%20JAIRO%20CASTA&#209;O%20POSADA.pdf" TargetMode="External"/><Relationship Id="rId246" Type="http://schemas.openxmlformats.org/officeDocument/2006/relationships/hyperlink" Target="Certificado%20Titularidad/ULISES%20HERNAN%20CORDOVA%20HERNANDEZ.pdf" TargetMode="External"/><Relationship Id="rId453" Type="http://schemas.openxmlformats.org/officeDocument/2006/relationships/hyperlink" Target="Certificado%20Titularidad/ALDO%20IVAN%20AILIO%20LABBE.pdf" TargetMode="External"/><Relationship Id="rId660" Type="http://schemas.openxmlformats.org/officeDocument/2006/relationships/hyperlink" Target="Certificado%20Titularidad/PABLO%20ALBERTO%20RIANO%20BONILLA.pdf" TargetMode="External"/><Relationship Id="rId898" Type="http://schemas.openxmlformats.org/officeDocument/2006/relationships/hyperlink" Target="Certificado%20Titularidad/RONALD%20REY%20SEPULVEDA.pdf" TargetMode="External"/><Relationship Id="rId1083" Type="http://schemas.openxmlformats.org/officeDocument/2006/relationships/hyperlink" Target="Certificado%20Titularidad/FABER%20FABIAN%20DE%20LA%20CRUZ%20RIQUETT.pdf" TargetMode="External"/><Relationship Id="rId106" Type="http://schemas.openxmlformats.org/officeDocument/2006/relationships/hyperlink" Target="Certificado%20Titularidad/WILMAN%20JOSE%20SANCHEZ%20ORTIZ.pdf" TargetMode="External"/><Relationship Id="rId313" Type="http://schemas.openxmlformats.org/officeDocument/2006/relationships/hyperlink" Target="Certificado%20Titularidad/MARLON%20SERNA%20URBANO.pdf" TargetMode="External"/><Relationship Id="rId758" Type="http://schemas.openxmlformats.org/officeDocument/2006/relationships/hyperlink" Target="Certificado%20Titularidad/HAROLD%20HEVER%20ALARCON%20MOLINA.pdf" TargetMode="External"/><Relationship Id="rId965" Type="http://schemas.openxmlformats.org/officeDocument/2006/relationships/hyperlink" Target="Certificado%20Titularidad/PEDRO%20AYALA%20RIVERA.pdf" TargetMode="External"/><Relationship Id="rId1150" Type="http://schemas.openxmlformats.org/officeDocument/2006/relationships/hyperlink" Target="Documentos%20firmados%20cambio/JULIO%20CESAR%20ELJACH%20BERROCAL.pdf" TargetMode="External"/><Relationship Id="rId10" Type="http://schemas.openxmlformats.org/officeDocument/2006/relationships/hyperlink" Target="Documentos%20firmados%20cambio/BRAYAN%20ESTEBAN%20NIETO%20DIAZ.pdf" TargetMode="External"/><Relationship Id="rId94" Type="http://schemas.openxmlformats.org/officeDocument/2006/relationships/hyperlink" Target="Certificado%20Titularidad/FRANCISCO%20MANUEL%20PASSOS.pdf" TargetMode="External"/><Relationship Id="rId397" Type="http://schemas.openxmlformats.org/officeDocument/2006/relationships/hyperlink" Target="Certificado%20Titularidad/YOBER%20HUAMAN%20VELASQUE.pdf" TargetMode="External"/><Relationship Id="rId520" Type="http://schemas.openxmlformats.org/officeDocument/2006/relationships/hyperlink" Target="Certificado%20Titularidad/JAVIER%20FRANCISCO%20BALDOVINO%20ORTEGA.pdf" TargetMode="External"/><Relationship Id="rId618" Type="http://schemas.openxmlformats.org/officeDocument/2006/relationships/hyperlink" Target="Certificado%20Titularidad/JORGE%20EDUARDO%20OSPINO%20DURAN.pdf" TargetMode="External"/><Relationship Id="rId825" Type="http://schemas.openxmlformats.org/officeDocument/2006/relationships/hyperlink" Target="Certificado%20Titularidad/HUGO%20ARSENIO%20ORTEGA%20HERRERA.pdf" TargetMode="External"/><Relationship Id="rId1248" Type="http://schemas.openxmlformats.org/officeDocument/2006/relationships/hyperlink" Target="Certificado%20Titularidad/JEISON%20ANDRES%20REYES%20PACHECO.pdf" TargetMode="External"/><Relationship Id="rId257" Type="http://schemas.openxmlformats.org/officeDocument/2006/relationships/hyperlink" Target="Certificado%20Titularidad/ALEJANDRO%20HERNANDEZ%20PIMIENTA.pdf" TargetMode="External"/><Relationship Id="rId464" Type="http://schemas.openxmlformats.org/officeDocument/2006/relationships/hyperlink" Target="Certificado%20Titularidad/HECTOR%20REYNALDO%20CHAVEZ.pdf" TargetMode="External"/><Relationship Id="rId1010" Type="http://schemas.openxmlformats.org/officeDocument/2006/relationships/hyperlink" Target="Certificado%20Titularidad/CARLOS%20ANDRES%20GONZALEZ%20GUTIERREZ.pdf" TargetMode="External"/><Relationship Id="rId1094" Type="http://schemas.openxmlformats.org/officeDocument/2006/relationships/hyperlink" Target="Certificado%20Titularidad/CAMILO%20BUSTOS%20BECERRA.pdf" TargetMode="External"/><Relationship Id="rId1108" Type="http://schemas.openxmlformats.org/officeDocument/2006/relationships/hyperlink" Target="Certificado%20Titularidad/FREDIS%20BOLA&#209;OS%20GARCIA.pdf" TargetMode="External"/><Relationship Id="rId117" Type="http://schemas.openxmlformats.org/officeDocument/2006/relationships/hyperlink" Target="Certificado%20Titularidad/VICTOR%20RAMON%20TUANAMA%20GARCIA.pdf" TargetMode="External"/><Relationship Id="rId671" Type="http://schemas.openxmlformats.org/officeDocument/2006/relationships/hyperlink" Target="Certificado%20Titularidad/JUAN%20GUILLERMO%20RIOS%20PEREZ.pdf" TargetMode="External"/><Relationship Id="rId769" Type="http://schemas.openxmlformats.org/officeDocument/2006/relationships/hyperlink" Target="Certificado%20Titularidad/BRAYAN%20JULIAN%20GAZCON%20MARIN.pdf" TargetMode="External"/><Relationship Id="rId976" Type="http://schemas.openxmlformats.org/officeDocument/2006/relationships/hyperlink" Target="Certificado%20Titularidad/ABEL%20ANTONIO%20CUESTA%20CIFUENTES.pdf" TargetMode="External"/><Relationship Id="rId324" Type="http://schemas.openxmlformats.org/officeDocument/2006/relationships/hyperlink" Target="Certificado%20Titularidad/WILLIAM%20NOE%20MANRIQUE%20MOREYRA.pdf" TargetMode="External"/><Relationship Id="rId531" Type="http://schemas.openxmlformats.org/officeDocument/2006/relationships/hyperlink" Target="Documentos%20firmados%20cambio/ISMAEL%20JUNIO%20DOS%20SANTOS.pdf" TargetMode="External"/><Relationship Id="rId629" Type="http://schemas.openxmlformats.org/officeDocument/2006/relationships/hyperlink" Target="Certificado%20Titularidad/JAVIER%20DE%20JESUS%20SALAS%20MARTINEZ.pdf" TargetMode="External"/><Relationship Id="rId1161" Type="http://schemas.openxmlformats.org/officeDocument/2006/relationships/hyperlink" Target="Certificado%20Titularidad/CARLOS%20ANDRES%20ARROYO%20BERTEL.pdf" TargetMode="External"/><Relationship Id="rId1259" Type="http://schemas.openxmlformats.org/officeDocument/2006/relationships/hyperlink" Target="Certificado%20Titularidad/YIMIS%20ALFREDO%20FERNANDEZ%20PENA.pdf" TargetMode="External"/><Relationship Id="rId836" Type="http://schemas.openxmlformats.org/officeDocument/2006/relationships/hyperlink" Target="Certificado%20Titularidad/EDUARDO%20DANIEL%20ESALAS%20MARTINEZ.pdf" TargetMode="External"/><Relationship Id="rId1021" Type="http://schemas.openxmlformats.org/officeDocument/2006/relationships/hyperlink" Target="Certificado%20Titularidad/CESAR%20AUGUSTO%20ARCE%20GOMEZ.pdf" TargetMode="External"/><Relationship Id="rId1119" Type="http://schemas.openxmlformats.org/officeDocument/2006/relationships/hyperlink" Target="Certificado%20Titularidad/GRISERIO%20COLLAZOS%20MURCIA.pdf" TargetMode="External"/><Relationship Id="rId903" Type="http://schemas.openxmlformats.org/officeDocument/2006/relationships/hyperlink" Target="Certificado%20Titularidad/CESAR%20AUGUSTO%20LONDONO%20USME.pdf" TargetMode="External"/><Relationship Id="rId32" Type="http://schemas.openxmlformats.org/officeDocument/2006/relationships/hyperlink" Target="Certificado%20Titularidad/BREIDIS%20JOSE%20CARDOZO%20GALUE.pdf" TargetMode="External"/><Relationship Id="rId181" Type="http://schemas.openxmlformats.org/officeDocument/2006/relationships/hyperlink" Target="Certificado%20Titularidad/KEVIN%20STEVEN%20RAMIREZ%20CARDONA.pdf" TargetMode="External"/><Relationship Id="rId279" Type="http://schemas.openxmlformats.org/officeDocument/2006/relationships/hyperlink" Target="Certificado%20Titularidad/SERGIO%20ANDRES%20LOBO%20BARRIOS.pdf" TargetMode="External"/><Relationship Id="rId486" Type="http://schemas.openxmlformats.org/officeDocument/2006/relationships/hyperlink" Target="Certificado%20Titularidad/FABIO%20ANDRES%20LUJAN%20ARANGO.pdf" TargetMode="External"/><Relationship Id="rId693" Type="http://schemas.openxmlformats.org/officeDocument/2006/relationships/hyperlink" Target="Certificado%20Titularidad/RAFAEL%20ELIAS%20VALDERRAMA%20VERGARA.pdf" TargetMode="External"/><Relationship Id="rId139" Type="http://schemas.openxmlformats.org/officeDocument/2006/relationships/hyperlink" Target="Certificado%20Titularidad/JHON%20JAIRO%20ADRIANZEN%20MEDRANO.pdf" TargetMode="External"/><Relationship Id="rId346" Type="http://schemas.openxmlformats.org/officeDocument/2006/relationships/hyperlink" Target="Certificado%20Titularidad/JORGE%20NAYRO%20GARCIA%20OROZCO.pdf" TargetMode="External"/><Relationship Id="rId553" Type="http://schemas.openxmlformats.org/officeDocument/2006/relationships/hyperlink" Target="Certificado%20Titularidad/CHRISTIAN%20ZAMBRANO.pdf" TargetMode="External"/><Relationship Id="rId760" Type="http://schemas.openxmlformats.org/officeDocument/2006/relationships/hyperlink" Target="Certificado%20Titularidad/GREGORIO%20HERNAN%20ARIAS%20JARAMILLO.pdf" TargetMode="External"/><Relationship Id="rId998" Type="http://schemas.openxmlformats.org/officeDocument/2006/relationships/hyperlink" Target="Certificado%20Titularidad/WALLACE%20DA%20SILVA%20GOMES.pdf" TargetMode="External"/><Relationship Id="rId1183" Type="http://schemas.openxmlformats.org/officeDocument/2006/relationships/hyperlink" Target="Documentos%20firmados%20cambio/GUSTAVO%20ANDRES%20DUQUE%20CASTILLO.pdf" TargetMode="External"/><Relationship Id="rId206" Type="http://schemas.openxmlformats.org/officeDocument/2006/relationships/hyperlink" Target="Certificado%20Titularidad/MARCIAL%20RAUL%20ANCO%20GONZALES.pdf" TargetMode="External"/><Relationship Id="rId413" Type="http://schemas.openxmlformats.org/officeDocument/2006/relationships/hyperlink" Target="Certificado%20Titularidad/PEDRO%20JESUS%20SANCHEZ%20CHIRA.pdf" TargetMode="External"/><Relationship Id="rId858" Type="http://schemas.openxmlformats.org/officeDocument/2006/relationships/hyperlink" Target="Certificado%20Titularidad/LUIS%20ALBERTO%20CAMARGO%20NINO.pdf" TargetMode="External"/><Relationship Id="rId1043" Type="http://schemas.openxmlformats.org/officeDocument/2006/relationships/hyperlink" Target="Certificado%20Titularidad/DAVID%20ENRIQUE%20BUZON%20ARIAS.pdf" TargetMode="External"/><Relationship Id="rId620" Type="http://schemas.openxmlformats.org/officeDocument/2006/relationships/hyperlink" Target="Certificado%20Titularidad/JAIR%20PLAZA%20AGUILAR.pdf" TargetMode="External"/><Relationship Id="rId718" Type="http://schemas.openxmlformats.org/officeDocument/2006/relationships/hyperlink" Target="Certificado%20Titularidad/JORGE%20FACEDT%20VANEGAS%20MEDINA.pdf" TargetMode="External"/><Relationship Id="rId925" Type="http://schemas.openxmlformats.org/officeDocument/2006/relationships/hyperlink" Target="Certificado%20Titularidad/ISAQUE%20FRANCISCO%20DOS%20SANTOS%20OLIVEIRA.pdf" TargetMode="External"/><Relationship Id="rId1250" Type="http://schemas.openxmlformats.org/officeDocument/2006/relationships/hyperlink" Target="Certificado%20Titularidad/JUAN%20CARLOS%20CASTRO%20BARRAGAN.pdf" TargetMode="External"/><Relationship Id="rId1110" Type="http://schemas.openxmlformats.org/officeDocument/2006/relationships/hyperlink" Target="Certificado%20Titularidad/FREDY%20MANCERA%20URIBE.pdf" TargetMode="External"/><Relationship Id="rId1208" Type="http://schemas.openxmlformats.org/officeDocument/2006/relationships/hyperlink" Target="Documentos%20firmados%20cambio/IVAN%20ANDRES%20ORTIZ%20GALVAN.pdf" TargetMode="External"/><Relationship Id="rId54" Type="http://schemas.openxmlformats.org/officeDocument/2006/relationships/hyperlink" Target="Certificado%20Titularidad/EDGAR%20ALEXANDER%20VEGA%20CARDOZO.pdf" TargetMode="External"/><Relationship Id="rId270" Type="http://schemas.openxmlformats.org/officeDocument/2006/relationships/hyperlink" Target="Certificado%20Titularidad/JUAN%20DAVID%20FLORES%20INGA.pdf" TargetMode="External"/><Relationship Id="rId130" Type="http://schemas.openxmlformats.org/officeDocument/2006/relationships/hyperlink" Target="Certificado%20Titularidad/SERGIO%20LUIS%20BELTRAN%20BALDOVINO.pdf" TargetMode="External"/><Relationship Id="rId368" Type="http://schemas.openxmlformats.org/officeDocument/2006/relationships/hyperlink" Target="Documentos%20firmados%20cambio/JESUS%20ANTONIO%20HERNANDEZ%20ARISMENDY.pdf" TargetMode="External"/><Relationship Id="rId575" Type="http://schemas.openxmlformats.org/officeDocument/2006/relationships/hyperlink" Target="Certificado%20Titularidad/WILMER%20DE%20JESUS%20ARIZA%20MU&#209;OZ.pdf" TargetMode="External"/><Relationship Id="rId782" Type="http://schemas.openxmlformats.org/officeDocument/2006/relationships/hyperlink" Target="Certificado%20Titularidad/WEIMAR%20ALEXANDER%20RUA%20MESA.pdf" TargetMode="External"/><Relationship Id="rId228" Type="http://schemas.openxmlformats.org/officeDocument/2006/relationships/hyperlink" Target="Certificado%20Titularidad/AYRTON%20MAXIMO%20CUMPA%20SENADOR.pdf" TargetMode="External"/><Relationship Id="rId435" Type="http://schemas.openxmlformats.org/officeDocument/2006/relationships/hyperlink" Target="Certificado%20Titularidad/ELKIN%20ARMANDO%20GARZON%20LOPEZ.pdf" TargetMode="External"/><Relationship Id="rId642" Type="http://schemas.openxmlformats.org/officeDocument/2006/relationships/hyperlink" Target="Certificado%20Titularidad/SEBASTIAN%20DAVID%20ARIAS%20CORREA.pdf" TargetMode="External"/><Relationship Id="rId1065" Type="http://schemas.openxmlformats.org/officeDocument/2006/relationships/hyperlink" Target="Certificado%20Titularidad/EDUARDO%20BAMBAREN%20CISTERNA.pdf" TargetMode="External"/><Relationship Id="rId1272" Type="http://schemas.openxmlformats.org/officeDocument/2006/relationships/hyperlink" Target="Certificado%20Titularidad/LUIS%20ENRIQUE%20LOPEZ%20CRESPO.pdf" TargetMode="External"/><Relationship Id="rId502" Type="http://schemas.openxmlformats.org/officeDocument/2006/relationships/hyperlink" Target="Certificado%20Titularidad/WILLIAM%20MORAIS%20DA%20SILVA.pdf" TargetMode="External"/><Relationship Id="rId947" Type="http://schemas.openxmlformats.org/officeDocument/2006/relationships/hyperlink" Target="Certificado%20Titularidad/HERNAN%20ALONSO%20CONTRERAS%20MARROQUIN.pdf" TargetMode="External"/><Relationship Id="rId1132" Type="http://schemas.openxmlformats.org/officeDocument/2006/relationships/hyperlink" Target="Certificado%20Titularidad/ISMAEL%20ALBERTO%20MENESES%20VALDES.pdf" TargetMode="External"/><Relationship Id="rId76" Type="http://schemas.openxmlformats.org/officeDocument/2006/relationships/hyperlink" Target="Certificado%20Titularidad/ELEOTERIO%20ESPINOZA%20HERRERA.pdf" TargetMode="External"/><Relationship Id="rId807" Type="http://schemas.openxmlformats.org/officeDocument/2006/relationships/hyperlink" Target="Certificado%20Titularidad/CHRISTIAN%20FELIPE%20QUINONEZ%20SALAZAR.pdf" TargetMode="External"/><Relationship Id="rId292" Type="http://schemas.openxmlformats.org/officeDocument/2006/relationships/hyperlink" Target="Certificado%20Titularidad/JOSE%20LUIS%20CHAVEZ%20PAUCAR.pdf" TargetMode="External"/><Relationship Id="rId597" Type="http://schemas.openxmlformats.org/officeDocument/2006/relationships/hyperlink" Target="Certificado%20Titularidad/FRANCISCO%20ALBERTO%20OCHOA%20GAITAN.pdf" TargetMode="External"/><Relationship Id="rId152" Type="http://schemas.openxmlformats.org/officeDocument/2006/relationships/hyperlink" Target="Certificado%20Titularidad/RODOLFO%20ZAMBRANO%20LAJO.pdf" TargetMode="External"/><Relationship Id="rId457" Type="http://schemas.openxmlformats.org/officeDocument/2006/relationships/hyperlink" Target="Certificado%20Titularidad/JAVIER%20JAYO%20FUENTES.pdf" TargetMode="External"/><Relationship Id="rId1087" Type="http://schemas.openxmlformats.org/officeDocument/2006/relationships/hyperlink" Target="Certificado%20Titularidad/FARID%20SAMUEL%20URUETA%20HEREDIA.pdf" TargetMode="External"/><Relationship Id="rId664" Type="http://schemas.openxmlformats.org/officeDocument/2006/relationships/hyperlink" Target="Certificado%20Titularidad/DANIEL%20DOMINGO%20MARCHENA%20AGURTO.pdf" TargetMode="External"/><Relationship Id="rId871" Type="http://schemas.openxmlformats.org/officeDocument/2006/relationships/hyperlink" Target="Certificado%20Titularidad/OMAR%20DAVID%20DIAZ%20MORALES.pdf" TargetMode="External"/><Relationship Id="rId969" Type="http://schemas.openxmlformats.org/officeDocument/2006/relationships/hyperlink" Target="Certificado%20Titularidad/EDUARDO%20JOSE%20MENDOZA%20ARIAS.pdf" TargetMode="External"/><Relationship Id="rId317" Type="http://schemas.openxmlformats.org/officeDocument/2006/relationships/hyperlink" Target="Certificado%20Titularidad/JHON%20KEVIN%20SOLIS%20IRRIBARREN.pdf" TargetMode="External"/><Relationship Id="rId524" Type="http://schemas.openxmlformats.org/officeDocument/2006/relationships/hyperlink" Target="Certificado%20Titularidad/NIVALDO%20MENDES%20DA%20SILVA.pdf" TargetMode="External"/><Relationship Id="rId731" Type="http://schemas.openxmlformats.org/officeDocument/2006/relationships/hyperlink" Target="Certificado%20Titularidad/GUBERNEY%20HURTADO%20SAUCEDO.pdf" TargetMode="External"/><Relationship Id="rId1154" Type="http://schemas.openxmlformats.org/officeDocument/2006/relationships/hyperlink" Target="Documentos%20firmados%20cambio/JOSE%20IGNACIO%20VALDERRAMA%20JIMENEZ.pdf" TargetMode="External"/><Relationship Id="rId98" Type="http://schemas.openxmlformats.org/officeDocument/2006/relationships/hyperlink" Target="Certificado%20Titularidad/YEFRY%20JAMIR%20DIAZ%20DIAZ.pdf" TargetMode="External"/><Relationship Id="rId829" Type="http://schemas.openxmlformats.org/officeDocument/2006/relationships/hyperlink" Target="Certificado%20Titularidad/OMAR%20YESID%20HERRERA%20LOPEZ.pdf" TargetMode="External"/><Relationship Id="rId1014" Type="http://schemas.openxmlformats.org/officeDocument/2006/relationships/hyperlink" Target="Certificado%20Titularidad/CARLOS%20EDUARDO%20CARDENAS%20ESPINOSA.pdf" TargetMode="External"/><Relationship Id="rId1221" Type="http://schemas.openxmlformats.org/officeDocument/2006/relationships/hyperlink" Target="Documentos%20firmados%20cambio/JUAN%20GABRIEL%20GOEZ%20MESA.pdf" TargetMode="External"/><Relationship Id="rId25" Type="http://schemas.openxmlformats.org/officeDocument/2006/relationships/hyperlink" Target="Certificado%20Titularidad/ARLEY%20DARIO%20PANTOJA%20CABRERA.pdf" TargetMode="External"/><Relationship Id="rId174" Type="http://schemas.openxmlformats.org/officeDocument/2006/relationships/hyperlink" Target="Certificado%20Titularidad/PEDRO%20CARLOS%20ARMENDARIZ.pdf" TargetMode="External"/><Relationship Id="rId381" Type="http://schemas.openxmlformats.org/officeDocument/2006/relationships/hyperlink" Target="Certificado%20Titularidad/WILMAN%20ARBEY%20ROMERO%20GONZALEZ.pdf" TargetMode="External"/><Relationship Id="rId241" Type="http://schemas.openxmlformats.org/officeDocument/2006/relationships/hyperlink" Target="Certificado%20Titularidad/FREDIS%20ANTONIO%20MORELOS%20COLON.pdf" TargetMode="External"/><Relationship Id="rId479" Type="http://schemas.openxmlformats.org/officeDocument/2006/relationships/hyperlink" Target="Certificado%20Titularidad/ANGINSON%20ARTURO%20PETRO%20SUAREZ.pdf" TargetMode="External"/><Relationship Id="rId686" Type="http://schemas.openxmlformats.org/officeDocument/2006/relationships/hyperlink" Target="Documentos%20firmados%20cambio/CRISTHIAN%20ANDRES%20CURAY%20LAZARO.pdf" TargetMode="External"/><Relationship Id="rId893" Type="http://schemas.openxmlformats.org/officeDocument/2006/relationships/hyperlink" Target="Certificado%20Titularidad/LUIS%20ANDRES%20MERCHAN%20VACA.pdf" TargetMode="External"/><Relationship Id="rId339" Type="http://schemas.openxmlformats.org/officeDocument/2006/relationships/hyperlink" Target="Certificado%20Titularidad/RONAL%20TAYPE%20HUAMAN.pdf" TargetMode="External"/><Relationship Id="rId546" Type="http://schemas.openxmlformats.org/officeDocument/2006/relationships/hyperlink" Target="Certificado%20Titularidad/ARFAXAD%20SALINAS%20TORRES.pdf" TargetMode="External"/><Relationship Id="rId753" Type="http://schemas.openxmlformats.org/officeDocument/2006/relationships/hyperlink" Target="Certificado%20Titularidad/DANIEL%20MATEO%20AGUDELO%20RUEDA.pdf" TargetMode="External"/><Relationship Id="rId1176" Type="http://schemas.openxmlformats.org/officeDocument/2006/relationships/hyperlink" Target="Certificado%20Titularidad/WILSON%20ALEXANDER%20GOMEZ.pdf" TargetMode="External"/><Relationship Id="rId101" Type="http://schemas.openxmlformats.org/officeDocument/2006/relationships/hyperlink" Target="Certificado%20Titularidad/WILSON%20DAVID%20HERNANDEZ%20SEGURA.pdf" TargetMode="External"/><Relationship Id="rId406" Type="http://schemas.openxmlformats.org/officeDocument/2006/relationships/hyperlink" Target="Certificado%20Titularidad/RUBEN%20PONCE%20PABLO.pdf" TargetMode="External"/><Relationship Id="rId960" Type="http://schemas.openxmlformats.org/officeDocument/2006/relationships/hyperlink" Target="Certificado%20Titularidad/JOSE%20JOAQUIM%20GARCIA%20MORALES.pdf" TargetMode="External"/><Relationship Id="rId1036" Type="http://schemas.openxmlformats.org/officeDocument/2006/relationships/hyperlink" Target="Certificado%20Titularidad/DANIEL%20ANDRES%20MARULANDA%20BOLA&#209;OS.pdf" TargetMode="External"/><Relationship Id="rId1243" Type="http://schemas.openxmlformats.org/officeDocument/2006/relationships/hyperlink" Target="Certificado%20Titularidad/APOLINAR%20GARCIA%20HERNANDEZ.pdf" TargetMode="External"/><Relationship Id="rId613" Type="http://schemas.openxmlformats.org/officeDocument/2006/relationships/hyperlink" Target="Certificado%20Titularidad/JOSUE%20JUAN%20PINTO%20MACHACA.pdf" TargetMode="External"/><Relationship Id="rId820" Type="http://schemas.openxmlformats.org/officeDocument/2006/relationships/hyperlink" Target="Certificado%20Titularidad/JAVIER%20DAVID%20RODRIGUEZ%20BARRIOS.pdf" TargetMode="External"/><Relationship Id="rId918" Type="http://schemas.openxmlformats.org/officeDocument/2006/relationships/hyperlink" Target="Documentos%20firmados%20cambio/JAVIER%20DE%20JESUS%20SALAS%20MARTINEZ.pdf" TargetMode="External"/><Relationship Id="rId1103" Type="http://schemas.openxmlformats.org/officeDocument/2006/relationships/hyperlink" Target="Certificado%20Titularidad/EDUARDO%20ANTONIO%20ALVARADO%20CASTILLO.pdf" TargetMode="External"/><Relationship Id="rId47" Type="http://schemas.openxmlformats.org/officeDocument/2006/relationships/hyperlink" Target="Certificado%20Titularidad/DAHIR%20GREGORIO%20MUNOZ%20GRANADOS.pdf" TargetMode="External"/><Relationship Id="rId196" Type="http://schemas.openxmlformats.org/officeDocument/2006/relationships/hyperlink" Target="Certificado%20Titularidad/MIGUEL%20ANGEL%20CHUQUIZAPON%20VASQUEZ.pdf" TargetMode="External"/><Relationship Id="rId263" Type="http://schemas.openxmlformats.org/officeDocument/2006/relationships/hyperlink" Target="Certificado%20Titularidad/YEXID%20ELIAS%20JULIO%20LICONA.pdf" TargetMode="External"/><Relationship Id="rId470" Type="http://schemas.openxmlformats.org/officeDocument/2006/relationships/hyperlink" Target="Documentos%20firmados%20cambio/EDWIN%20DIAZ%20MARULANDA.pdf" TargetMode="External"/><Relationship Id="rId123" Type="http://schemas.openxmlformats.org/officeDocument/2006/relationships/hyperlink" Target="Certificado%20Titularidad/JAVIER%20MURIEL%20SARREA.pdf" TargetMode="External"/><Relationship Id="rId330" Type="http://schemas.openxmlformats.org/officeDocument/2006/relationships/hyperlink" Target="Certificado%20Titularidad/IRVING%20JOEL%20MARTINEZ%20RUMICHE.pdf" TargetMode="External"/><Relationship Id="rId568" Type="http://schemas.openxmlformats.org/officeDocument/2006/relationships/hyperlink" Target="Certificado%20Titularidad/EDUARD%20JAVIER%20JULIO%20INDABURO.pdf" TargetMode="External"/><Relationship Id="rId775" Type="http://schemas.openxmlformats.org/officeDocument/2006/relationships/hyperlink" Target="Certificado%20Titularidad/JULIO%20CESAR%20VERA.pdf" TargetMode="External"/><Relationship Id="rId982" Type="http://schemas.openxmlformats.org/officeDocument/2006/relationships/hyperlink" Target="Certificado%20Titularidad/YOLMAR%20MARULANDA%20PEREZ.pdf" TargetMode="External"/><Relationship Id="rId1198" Type="http://schemas.openxmlformats.org/officeDocument/2006/relationships/hyperlink" Target="Certificado%20Titularidad/RUBEN%20DARIO%20RINCON%20CORTES.pdf" TargetMode="External"/><Relationship Id="rId428" Type="http://schemas.openxmlformats.org/officeDocument/2006/relationships/hyperlink" Target="Certificado%20Titularidad/JUAN%20ANDRES%20AGUILAR%20MARIN.pdf" TargetMode="External"/><Relationship Id="rId635" Type="http://schemas.openxmlformats.org/officeDocument/2006/relationships/hyperlink" Target="Certificado%20Titularidad/NEFER%20YASETH%20PESTANA%20CABALLERO.pdf" TargetMode="External"/><Relationship Id="rId842" Type="http://schemas.openxmlformats.org/officeDocument/2006/relationships/hyperlink" Target="Certificado%20Titularidad/FERNANDO%20ALFREDO%20VELEZ%20VALENCIA.pdf" TargetMode="External"/><Relationship Id="rId1058" Type="http://schemas.openxmlformats.org/officeDocument/2006/relationships/hyperlink" Target="Certificado%20Titularidad/DUMAR%20EFREN%20RAMIREZ%20MENDOZA.pdf" TargetMode="External"/><Relationship Id="rId1265" Type="http://schemas.openxmlformats.org/officeDocument/2006/relationships/hyperlink" Target="Certificado%20Titularidad/NESTOR%20JAVIER%20BARRIOS%20PENA.pdf" TargetMode="External"/><Relationship Id="rId702" Type="http://schemas.openxmlformats.org/officeDocument/2006/relationships/hyperlink" Target="Certificado%20Titularidad/JAVIER%20RODRIGUEZ%20CONTRERAS.pdf" TargetMode="External"/><Relationship Id="rId1125" Type="http://schemas.openxmlformats.org/officeDocument/2006/relationships/hyperlink" Target="Certificado%20Titularidad/HAROLD%20SMITH%20MAESTRE%20LEON.pdf" TargetMode="External"/><Relationship Id="rId69" Type="http://schemas.openxmlformats.org/officeDocument/2006/relationships/hyperlink" Target="Documentos%20firmados%20cambio/ROBINSON%20CAMILO%20CASTA&#209;EDA%20SALGADO.pdf" TargetMode="External"/><Relationship Id="rId285" Type="http://schemas.openxmlformats.org/officeDocument/2006/relationships/hyperlink" Target="Certificado%20Titularidad/MELBIN%20JULIO%20ALBOR%20SUAREZ.pdf" TargetMode="External"/><Relationship Id="rId492" Type="http://schemas.openxmlformats.org/officeDocument/2006/relationships/hyperlink" Target="Certificado%20Titularidad/NELSON%20ENRIQUE%20MARTINEZ%20VEGA.pdf" TargetMode="External"/><Relationship Id="rId797" Type="http://schemas.openxmlformats.org/officeDocument/2006/relationships/hyperlink" Target="Certificado%20Titularidad/EDGAR%20ENRIQUE%20TORRES%20RAMIREZ.pdf" TargetMode="External"/><Relationship Id="rId145" Type="http://schemas.openxmlformats.org/officeDocument/2006/relationships/hyperlink" Target="Certificado%20Titularidad/JOHN%20ALEXANDER%20LUGO%20CUESTAS.pdf" TargetMode="External"/><Relationship Id="rId352" Type="http://schemas.openxmlformats.org/officeDocument/2006/relationships/hyperlink" Target="Documentos%20firmados%20cambio/JAIME%20AUGUSTO%20JOYA%20BOTIA.pdf" TargetMode="External"/><Relationship Id="rId212" Type="http://schemas.openxmlformats.org/officeDocument/2006/relationships/hyperlink" Target="Certificado%20Titularidad/DEIVIX%20ERIC%20MANUEL%20PRETEL%20RONCAL.pdf" TargetMode="External"/><Relationship Id="rId657" Type="http://schemas.openxmlformats.org/officeDocument/2006/relationships/hyperlink" Target="Certificado%20Titularidad/FELIX%20DARIO%20MAESTRE%20DEL%20GUERCIO.pdf" TargetMode="External"/><Relationship Id="rId864" Type="http://schemas.openxmlformats.org/officeDocument/2006/relationships/hyperlink" Target="Certificado%20Titularidad/FRANKLYN%20OMAR%20DE%20LA%20CRUZ%20SERNAQUE.pdf" TargetMode="External"/><Relationship Id="rId517" Type="http://schemas.openxmlformats.org/officeDocument/2006/relationships/hyperlink" Target="Documentos%20firmados%20cambio/LUIS%20FELIPE%20VALDERRAMA%20PALOMINO.pdf" TargetMode="External"/><Relationship Id="rId724" Type="http://schemas.openxmlformats.org/officeDocument/2006/relationships/hyperlink" Target="Certificado%20Titularidad/PABLO%20MANOLO%20ROMERO%20HUERTAS.pdf" TargetMode="External"/><Relationship Id="rId931" Type="http://schemas.openxmlformats.org/officeDocument/2006/relationships/hyperlink" Target="Certificado%20Titularidad/HECTOR%20JAUMEN%20GUEVARA%20FORERO.pdf" TargetMode="External"/><Relationship Id="rId1147" Type="http://schemas.openxmlformats.org/officeDocument/2006/relationships/hyperlink" Target="Certificado%20Titularidad/JEENVINSON%20ADALBERTO%20IGUARAN%20GRANADILLO.pdf" TargetMode="External"/><Relationship Id="rId60" Type="http://schemas.openxmlformats.org/officeDocument/2006/relationships/hyperlink" Target="Documentos%20firmados%20cambio/JOSE%20LUIS%20GONZALEZ%20ALVAREZ.pdf" TargetMode="External"/><Relationship Id="rId1007" Type="http://schemas.openxmlformats.org/officeDocument/2006/relationships/hyperlink" Target="Certificado%20Titularidad/BRYAN%20ELIUT%20GAITAN%20GOMEZ.pdf" TargetMode="External"/><Relationship Id="rId1214" Type="http://schemas.openxmlformats.org/officeDocument/2006/relationships/hyperlink" Target="Certificado%20Titularidad/ALEXIS%20ENRIQUE%20MORENO%20ARRIETA.pdf" TargetMode="External"/><Relationship Id="rId18" Type="http://schemas.openxmlformats.org/officeDocument/2006/relationships/hyperlink" Target="Certificado%20Titularidad/ANDERSSON%20CANAVAL%20NU&#209;EZ.pdf" TargetMode="External"/><Relationship Id="rId167" Type="http://schemas.openxmlformats.org/officeDocument/2006/relationships/hyperlink" Target="Certificado%20Titularidad/JUAN%20CARLOS%20HUAMAN%20RIVERA.pdf" TargetMode="External"/><Relationship Id="rId374" Type="http://schemas.openxmlformats.org/officeDocument/2006/relationships/hyperlink" Target="Documentos%20firmados%20cambio/BRAYAN%20JAIR%20SALAZAR%20ORTEGA.pdf" TargetMode="External"/><Relationship Id="rId581" Type="http://schemas.openxmlformats.org/officeDocument/2006/relationships/hyperlink" Target="Certificado%20Titularidad/JORGE%20LUIS%20FLOREZ%20RAMIREZ.pdf" TargetMode="External"/><Relationship Id="rId234" Type="http://schemas.openxmlformats.org/officeDocument/2006/relationships/hyperlink" Target="Certificado%20Titularidad/LUIS%20ALBERTO%20AMOROS%20SHUPINGAHUA.pdf" TargetMode="External"/><Relationship Id="rId679" Type="http://schemas.openxmlformats.org/officeDocument/2006/relationships/hyperlink" Target="Certificado%20Titularidad/JONAHTAN%20NONTOA%20HERNANDEZ.pdf" TargetMode="External"/><Relationship Id="rId886" Type="http://schemas.openxmlformats.org/officeDocument/2006/relationships/hyperlink" Target="Certificado%20Titularidad/LUIS%20GUILLERMO%20ARTEAGA%20AGUDELO.pdf" TargetMode="External"/><Relationship Id="rId2" Type="http://schemas.openxmlformats.org/officeDocument/2006/relationships/hyperlink" Target="Certificado%20Titularidad/ALAN%20GERSON%20RAMIREZ%20ACARO.pdf" TargetMode="External"/><Relationship Id="rId441" Type="http://schemas.openxmlformats.org/officeDocument/2006/relationships/hyperlink" Target="Certificado%20Titularidad/FELIPE%20GUTIERREZ%20ALFARO.pdf" TargetMode="External"/><Relationship Id="rId539" Type="http://schemas.openxmlformats.org/officeDocument/2006/relationships/hyperlink" Target="Documentos%20firmados%20cambio/NILSON%20MOSQUERA%20GOMEZ.pdf" TargetMode="External"/><Relationship Id="rId746" Type="http://schemas.openxmlformats.org/officeDocument/2006/relationships/hyperlink" Target="Certificado%20Titularidad/VICTOR%20MANUEL%20VELASQUEZ%20ARROYO.pdf" TargetMode="External"/><Relationship Id="rId1071" Type="http://schemas.openxmlformats.org/officeDocument/2006/relationships/hyperlink" Target="Certificado%20Titularidad/EDWIN%20FERNANDO%20LINARES%20MACA.pdf" TargetMode="External"/><Relationship Id="rId1169" Type="http://schemas.openxmlformats.org/officeDocument/2006/relationships/hyperlink" Target="Certificado%20Titularidad/JHON%20ALEXANDER%20ARENAS%20CASTRILLON.pdf" TargetMode="External"/><Relationship Id="rId301" Type="http://schemas.openxmlformats.org/officeDocument/2006/relationships/hyperlink" Target="Certificado%20Titularidad/ROMULO%20RIBEIRO%20MENDONCA.pdf" TargetMode="External"/><Relationship Id="rId953" Type="http://schemas.openxmlformats.org/officeDocument/2006/relationships/hyperlink" Target="Certificado%20Titularidad/JHONATAN%20CIFUENTES%20SANCHEZ.pdf" TargetMode="External"/><Relationship Id="rId1029" Type="http://schemas.openxmlformats.org/officeDocument/2006/relationships/hyperlink" Target="Certificado%20Titularidad/CRISTIAN%20DAVID%20CADAVID%20MENESES.pdf" TargetMode="External"/><Relationship Id="rId1236" Type="http://schemas.openxmlformats.org/officeDocument/2006/relationships/hyperlink" Target="Documentos%20firmados%20cambio/EDILBERTO%20DOMINGUEZ%20PEREIRA.pdf" TargetMode="External"/><Relationship Id="rId82" Type="http://schemas.openxmlformats.org/officeDocument/2006/relationships/hyperlink" Target="Certificado%20Titularidad/EON%20IVES%20ARAUJO%20REIS%20JUNIOR.pdf" TargetMode="External"/><Relationship Id="rId606" Type="http://schemas.openxmlformats.org/officeDocument/2006/relationships/hyperlink" Target="Certificado%20Titularidad/JUAN%20DAVID%20ALTAMAR%20CHIQUILLO.pdf" TargetMode="External"/><Relationship Id="rId813" Type="http://schemas.openxmlformats.org/officeDocument/2006/relationships/hyperlink" Target="Certificado%20Titularidad/HERLEN%20DAVID%20RAMIREZ%20LACERA.pdf" TargetMode="External"/><Relationship Id="rId189" Type="http://schemas.openxmlformats.org/officeDocument/2006/relationships/hyperlink" Target="Certificado%20Titularidad/NILSON%20MOSQUERA%20GOMEZ.pdf" TargetMode="External"/><Relationship Id="rId396" Type="http://schemas.openxmlformats.org/officeDocument/2006/relationships/hyperlink" Target="Certificado%20Titularidad/EDWING%20ORTEGA%20BOSSIO.pdf" TargetMode="External"/><Relationship Id="rId256" Type="http://schemas.openxmlformats.org/officeDocument/2006/relationships/hyperlink" Target="Documentos%20firmados%20cambio/HECTOR%20JULIAN%20MOSQUERA%20OROBIO.pdf" TargetMode="External"/><Relationship Id="rId463" Type="http://schemas.openxmlformats.org/officeDocument/2006/relationships/hyperlink" Target="Certificado%20Titularidad/CARLOS%20ANDRES%20RINCON%20USAQUEN.pdf" TargetMode="External"/><Relationship Id="rId670" Type="http://schemas.openxmlformats.org/officeDocument/2006/relationships/hyperlink" Target="Certificado%20Titularidad/EDWIN%20FERNEY%20MORENO%20PARADA.pdf" TargetMode="External"/><Relationship Id="rId1093" Type="http://schemas.openxmlformats.org/officeDocument/2006/relationships/hyperlink" Target="Certificado%20Titularidad/FABIO%20DOMINGUEZ%20BRAVO.pdf" TargetMode="External"/><Relationship Id="rId116" Type="http://schemas.openxmlformats.org/officeDocument/2006/relationships/hyperlink" Target="Certificado%20Titularidad/WAYSTEY%20SILVA%20SOUSA.pdf" TargetMode="External"/><Relationship Id="rId323" Type="http://schemas.openxmlformats.org/officeDocument/2006/relationships/hyperlink" Target="Certificado%20Titularidad/JUAN%20JESUS%20BARRANCA%20URIBE.pdf" TargetMode="External"/><Relationship Id="rId530" Type="http://schemas.openxmlformats.org/officeDocument/2006/relationships/hyperlink" Target="Certificado%20Titularidad/JAIME%20ALBERTO%20QUI&#209;ONES%20BLANDON.pdf" TargetMode="External"/><Relationship Id="rId768" Type="http://schemas.openxmlformats.org/officeDocument/2006/relationships/hyperlink" Target="Certificado%20Titularidad/RAUL%20AUGUSTO%20MIRANDA.pdf" TargetMode="External"/><Relationship Id="rId975" Type="http://schemas.openxmlformats.org/officeDocument/2006/relationships/hyperlink" Target="Certificado%20Titularidad/JEAN%20CARLOS%20CARDONA%20SUAREZ.pdf" TargetMode="External"/><Relationship Id="rId1160" Type="http://schemas.openxmlformats.org/officeDocument/2006/relationships/hyperlink" Target="Certificado%20Titularidad/IVER%20MOISES%20ALVAREZ%20CORDOBA.pdf" TargetMode="External"/><Relationship Id="rId628" Type="http://schemas.openxmlformats.org/officeDocument/2006/relationships/hyperlink" Target="Certificado%20Titularidad/EDWIN%20ALBERTO%20CORTES%20GUERRERO.pdf" TargetMode="External"/><Relationship Id="rId835" Type="http://schemas.openxmlformats.org/officeDocument/2006/relationships/hyperlink" Target="Certificado%20Titularidad/EDWIN%20ALBERTO%20CABRERA%20AGUILAR.pdf" TargetMode="External"/><Relationship Id="rId1258" Type="http://schemas.openxmlformats.org/officeDocument/2006/relationships/hyperlink" Target="Certificado%20Titularidad/YEISON%20HUGO%20ANGEL%20CALDERON.pdf" TargetMode="External"/><Relationship Id="rId1020" Type="http://schemas.openxmlformats.org/officeDocument/2006/relationships/hyperlink" Target="Certificado%20Titularidad/CARLOS%20MARIO%20MOLINA.pdf" TargetMode="External"/><Relationship Id="rId1118" Type="http://schemas.openxmlformats.org/officeDocument/2006/relationships/hyperlink" Target="Certificado%20Titularidad/GRAVIEL%20ISIDRO%20DIAZ%20OROPEZA.pdf" TargetMode="External"/><Relationship Id="rId902" Type="http://schemas.openxmlformats.org/officeDocument/2006/relationships/hyperlink" Target="Certificado%20Titularidad/FERNANDO%20ANTONIO%20CARDENAS%20CARDENAS.pdf" TargetMode="External"/><Relationship Id="rId31" Type="http://schemas.openxmlformats.org/officeDocument/2006/relationships/hyperlink" Target="Certificado%20Titularidad/BRAYAN%20ESTEBAN%20NIETO%20DIAZ.pdf" TargetMode="External"/><Relationship Id="rId180" Type="http://schemas.openxmlformats.org/officeDocument/2006/relationships/hyperlink" Target="Certificado%20Titularidad/KEVIN%20ELI%20CACERES%20SOLARI.pdf" TargetMode="External"/><Relationship Id="rId278" Type="http://schemas.openxmlformats.org/officeDocument/2006/relationships/hyperlink" Target="Documentos%20firmados%20cambio/JUAN%20CARLOS%20VERGARA%20VALDERRAMA.pdf" TargetMode="External"/><Relationship Id="rId485" Type="http://schemas.openxmlformats.org/officeDocument/2006/relationships/hyperlink" Target="Certificado%20Titularidad/ISRAEL%20BENAVIDES%20PRECIADO.pdf" TargetMode="External"/><Relationship Id="rId692" Type="http://schemas.openxmlformats.org/officeDocument/2006/relationships/hyperlink" Target="Certificado%20Titularidad/SAMUEL%20DAVID%20CARVAJAL%20SINISTERRA.pdf" TargetMode="External"/><Relationship Id="rId138" Type="http://schemas.openxmlformats.org/officeDocument/2006/relationships/hyperlink" Target="Certificado%20Titularidad/RONALD%20DEYVIS%20RONCEROS%20CARRIZALES.pdf" TargetMode="External"/><Relationship Id="rId345" Type="http://schemas.openxmlformats.org/officeDocument/2006/relationships/hyperlink" Target="Certificado%20Titularidad/MARIO%20PE&#209;A%20HERNANDEZ.pdf" TargetMode="External"/><Relationship Id="rId552" Type="http://schemas.openxmlformats.org/officeDocument/2006/relationships/hyperlink" Target="Certificado%20Titularidad/ORLANDO%20RODRIGUEZ%20MADARIAGA.pdf" TargetMode="External"/><Relationship Id="rId997" Type="http://schemas.openxmlformats.org/officeDocument/2006/relationships/hyperlink" Target="Certificado%20Titularidad/WALLYSSON%20FEITOSA%20BARBOSA.pdf" TargetMode="External"/><Relationship Id="rId1182" Type="http://schemas.openxmlformats.org/officeDocument/2006/relationships/hyperlink" Target="Certificado%20Titularidad/CARLOS%20ANDRES%20SILVA%20CORREA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EA3D-9655-49B4-99AA-F98CE8C894BB}">
  <sheetPr codeName="Hoja1"/>
  <dimension ref="A1:X243"/>
  <sheetViews>
    <sheetView zoomScale="90" zoomScaleNormal="90" workbookViewId="0">
      <selection activeCell="D20" sqref="D20"/>
    </sheetView>
  </sheetViews>
  <sheetFormatPr defaultColWidth="11.44140625" defaultRowHeight="18.75" customHeight="1" x14ac:dyDescent="0.3"/>
  <cols>
    <col min="1" max="1" width="5.109375" style="8" customWidth="1"/>
    <col min="2" max="2" width="5.109375" style="4" customWidth="1"/>
    <col min="3" max="3" width="14.5546875" style="6" customWidth="1"/>
    <col min="4" max="4" width="12.109375" style="4" customWidth="1"/>
    <col min="5" max="5" width="12" style="4" hidden="1" customWidth="1"/>
    <col min="6" max="6" width="14.5546875" style="10" customWidth="1"/>
    <col min="7" max="7" width="45.88671875" style="4" customWidth="1"/>
    <col min="8" max="8" width="32.88671875" style="4" bestFit="1" customWidth="1"/>
    <col min="9" max="12" width="11.44140625" style="17"/>
    <col min="13" max="13" width="6.88671875" style="17" customWidth="1"/>
    <col min="14" max="14" width="11.44140625" style="17"/>
    <col min="15" max="24" width="11.44140625" style="20"/>
    <col min="25" max="16384" width="11.44140625" style="3"/>
  </cols>
  <sheetData>
    <row r="1" spans="1:24" ht="44.25" customHeight="1" x14ac:dyDescent="0.35">
      <c r="A1" s="7"/>
      <c r="B1" s="2"/>
      <c r="C1" s="5"/>
      <c r="D1" s="2"/>
      <c r="E1" s="2"/>
      <c r="F1" s="9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customHeight="1" x14ac:dyDescent="0.35">
      <c r="A2" s="11"/>
      <c r="B2" s="12"/>
      <c r="C2" s="13"/>
      <c r="D2" s="12"/>
      <c r="E2" s="12"/>
      <c r="F2" s="14"/>
      <c r="G2" s="12"/>
      <c r="H2" s="12"/>
      <c r="I2" s="12"/>
      <c r="J2" s="12"/>
      <c r="K2" s="12"/>
      <c r="L2" s="12"/>
      <c r="M2" s="12"/>
      <c r="N2" s="12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19.5" customHeight="1" x14ac:dyDescent="0.3">
      <c r="A3" s="16"/>
      <c r="B3" s="17"/>
      <c r="C3" s="18"/>
      <c r="D3" s="17"/>
      <c r="E3" s="17"/>
      <c r="F3" s="19"/>
      <c r="G3" s="17"/>
      <c r="H3" s="17"/>
    </row>
    <row r="4" spans="1:24" ht="23.2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2"/>
      <c r="K4" s="12"/>
      <c r="L4" s="12"/>
      <c r="M4" s="12"/>
      <c r="N4" s="12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ht="18.7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2"/>
      <c r="M5" s="12"/>
      <c r="N5" s="12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ht="18.75" customHeight="1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2"/>
      <c r="L6" s="15"/>
      <c r="M6" s="15"/>
      <c r="N6" s="12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ht="18.75" customHeight="1" x14ac:dyDescent="0.35">
      <c r="A7" s="15"/>
      <c r="B7" s="15"/>
      <c r="C7" s="15"/>
      <c r="D7" s="15"/>
      <c r="E7" s="15"/>
      <c r="F7" s="15"/>
      <c r="G7" s="12" t="str" cm="1">
        <f t="array" aca="1" ref="G7:H67" ca="1">_xlfn._xlws.FILTER(Tabla1[[TRABAJADOR]:[IBAN]], (MONTH(Tabla1[FECHA ÚLTIMO CAMBIO]) = MONTH(TODAY())) * (YEAR(Tabla1[FECHA ÚLTIMO CAMBIO]) = YEAR(TODAY())) + (MONTH(Tabla1[FECHA ÚLTIMO CAMBIO]) = MONTH(TODAY())-1) * (YEAR(Tabla1[FECHA ÚLTIMO CAMBIO]) = YEAR(TODAY())))</f>
        <v>ALBERTO ISMAEL MENDIETA CACERES</v>
      </c>
      <c r="H7" s="88" t="str">
        <f ca="1"/>
        <v>BE93 9052 9049 1967</v>
      </c>
      <c r="I7" s="15"/>
      <c r="J7" s="12"/>
      <c r="K7" s="12"/>
      <c r="L7" s="12"/>
      <c r="M7" s="15"/>
      <c r="N7" s="12" t="str" cm="1">
        <f t="array" ref="N7:N11">_xlfn._xlws.FILTER(Tabla1[TRABAJADOR], Tabla1[IBAN]="Pendiente", "Sin resultados")</f>
        <v>JHEFRIN ALEXANDER GONZALEZ PADILLA</v>
      </c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ht="18.75" customHeight="1" x14ac:dyDescent="0.35">
      <c r="A8" s="16"/>
      <c r="B8" s="17"/>
      <c r="C8" s="18"/>
      <c r="D8" s="17"/>
      <c r="E8" s="17"/>
      <c r="F8" s="19"/>
      <c r="G8" s="12" t="str">
        <f ca="1"/>
        <v>ALBERTO RICHELLI DA SILVA</v>
      </c>
      <c r="H8" s="88" t="str">
        <f ca="1"/>
        <v>PT50 0018 0003 5744 3293 0201 5</v>
      </c>
      <c r="J8" s="3"/>
      <c r="K8" s="21">
        <f>COUNTIF('Control General'!D:D, "pendiente")</f>
        <v>5</v>
      </c>
      <c r="L8" s="3"/>
      <c r="N8" s="17" t="str">
        <v>JOEL MAGALHAES</v>
      </c>
    </row>
    <row r="9" spans="1:24" ht="18.75" customHeight="1" x14ac:dyDescent="0.35">
      <c r="A9" s="16"/>
      <c r="B9" s="17"/>
      <c r="C9" s="15" cm="1">
        <f t="array" aca="1" ref="C9" ca="1">SUMPRODUCT((MONTH(Tabla1[FECHA ÚLTIMO CAMBIO]) = MONTH(TODAY())) * (YEAR(Tabla1[FECHA ÚLTIMO CAMBIO]) = YEAR(TODAY())) + (MONTH(Tabla1[FECHA ÚLTIMO CAMBIO]) = MONTH(TODAY())-1) * (YEAR(Tabla1[FECHA ÚLTIMO CAMBIO]) = YEAR(TODAY())))</f>
        <v>61</v>
      </c>
      <c r="D9" s="17"/>
      <c r="E9" s="17"/>
      <c r="F9" s="19"/>
      <c r="G9" s="12" t="str">
        <f ca="1"/>
        <v>ALDEMAR DOMINGUEZ CERCADO</v>
      </c>
      <c r="H9" s="88" t="str">
        <f ca="1"/>
        <v>ES55 0182 1214 3302 0162 4902</v>
      </c>
      <c r="N9" s="17" t="str">
        <v>JOHN FREDY QUINONES HENAO</v>
      </c>
    </row>
    <row r="10" spans="1:24" ht="18.75" customHeight="1" x14ac:dyDescent="0.35">
      <c r="A10" s="16"/>
      <c r="B10" s="17"/>
      <c r="C10" s="18"/>
      <c r="D10" s="17"/>
      <c r="E10" s="17"/>
      <c r="F10" s="19"/>
      <c r="G10" s="12" t="str">
        <f ca="1"/>
        <v>ALEXANDER GUZMAN</v>
      </c>
      <c r="H10" s="88" t="str">
        <f ca="1"/>
        <v>ES29 6893 0001 7400 0036 7834</v>
      </c>
      <c r="N10" s="17" t="str">
        <v>JOSE ARBEY CORREA RUIZ</v>
      </c>
    </row>
    <row r="11" spans="1:24" ht="18.75" customHeight="1" x14ac:dyDescent="0.35">
      <c r="A11" s="16"/>
      <c r="B11" s="17"/>
      <c r="C11" s="18"/>
      <c r="D11" s="17"/>
      <c r="E11" s="17"/>
      <c r="F11" s="19"/>
      <c r="G11" s="12" t="str">
        <f ca="1"/>
        <v>ALVARO ENRIQUE ROJAS DE LA OSSA</v>
      </c>
      <c r="H11" s="88" t="str">
        <f ca="1"/>
        <v>NL02 BUNQ 2185 0437 57</v>
      </c>
      <c r="N11" s="17" t="str">
        <v>SANTIAGO CASTRO RODRIGUEZ</v>
      </c>
    </row>
    <row r="12" spans="1:24" ht="18.75" customHeight="1" x14ac:dyDescent="0.35">
      <c r="A12" s="16"/>
      <c r="B12" s="17"/>
      <c r="C12" s="18"/>
      <c r="D12" s="17"/>
      <c r="E12" s="17"/>
      <c r="F12" s="19"/>
      <c r="G12" s="12" t="str">
        <f ca="1"/>
        <v>ANDY LYONEL CARRASCO VARGAS</v>
      </c>
      <c r="H12" s="88" t="str">
        <f ca="1"/>
        <v>ES27 2100 1553 6902 0037 4216</v>
      </c>
    </row>
    <row r="13" spans="1:24" ht="18.75" customHeight="1" x14ac:dyDescent="0.35">
      <c r="A13" s="16"/>
      <c r="B13" s="17"/>
      <c r="C13" s="18"/>
      <c r="D13" s="17"/>
      <c r="E13" s="17"/>
      <c r="F13" s="19"/>
      <c r="G13" s="12" t="str">
        <f ca="1"/>
        <v>ANGEL RAFAEL DIAZ GUTIERREZ</v>
      </c>
      <c r="H13" s="88" t="str">
        <f ca="1"/>
        <v>ES90 0182 0581 1202 0160 1758</v>
      </c>
    </row>
    <row r="14" spans="1:24" ht="18.75" customHeight="1" x14ac:dyDescent="0.35">
      <c r="A14" s="16"/>
      <c r="B14" s="17"/>
      <c r="C14" s="18"/>
      <c r="D14" s="17"/>
      <c r="E14" s="17"/>
      <c r="F14" s="19"/>
      <c r="G14" s="12" t="str">
        <f ca="1"/>
        <v>ANTONY ALEXANDER HERNANDEZ CHIRINOS</v>
      </c>
      <c r="H14" s="88" t="str">
        <f ca="1"/>
        <v>ES71 0182 5322 2100 0296 1488</v>
      </c>
    </row>
    <row r="15" spans="1:24" ht="18.75" customHeight="1" x14ac:dyDescent="0.35">
      <c r="A15" s="16"/>
      <c r="B15" s="17"/>
      <c r="C15" s="18"/>
      <c r="D15" s="17"/>
      <c r="E15" s="17"/>
      <c r="F15" s="19"/>
      <c r="G15" s="12" t="str">
        <f ca="1"/>
        <v>APOLINAR GARCIA HERNANDEZ</v>
      </c>
      <c r="H15" s="88" t="str">
        <f ca="1"/>
        <v>ES08 6893 0001 7600 0034 6871</v>
      </c>
    </row>
    <row r="16" spans="1:24" ht="18.75" customHeight="1" x14ac:dyDescent="0.35">
      <c r="A16" s="16"/>
      <c r="B16" s="17"/>
      <c r="C16" s="18"/>
      <c r="D16" s="17"/>
      <c r="E16" s="17"/>
      <c r="F16" s="19"/>
      <c r="G16" s="12" t="str">
        <f ca="1"/>
        <v>BOLIVAR GABRIEL ALDANA RAMIREZ</v>
      </c>
      <c r="H16" s="88" t="str">
        <f ca="1"/>
        <v>BE29 9675 5422 9064</v>
      </c>
    </row>
    <row r="17" spans="1:14" ht="18.75" customHeight="1" x14ac:dyDescent="0.35">
      <c r="A17" s="16"/>
      <c r="B17" s="17"/>
      <c r="C17" s="18"/>
      <c r="D17" s="17"/>
      <c r="E17" s="17"/>
      <c r="F17" s="19"/>
      <c r="G17" s="12" t="str">
        <f ca="1"/>
        <v>BYRON YESID SUAREZ CUADRADO</v>
      </c>
      <c r="H17" s="88" t="str">
        <f ca="1"/>
        <v>ES74 0182 9035 1102 0173 4235</v>
      </c>
    </row>
    <row r="18" spans="1:14" ht="18.75" customHeight="1" x14ac:dyDescent="0.35">
      <c r="A18" s="16"/>
      <c r="B18" s="17"/>
      <c r="C18" s="18"/>
      <c r="D18" s="17"/>
      <c r="E18" s="17"/>
      <c r="F18" s="19"/>
      <c r="G18" s="12" t="str">
        <f ca="1"/>
        <v>CARLOS ALBERTO CARDONA YAIMA</v>
      </c>
      <c r="H18" s="88" t="str">
        <f ca="1"/>
        <v>ES88 0182 5900 0902 0157 1022</v>
      </c>
    </row>
    <row r="19" spans="1:14" ht="18.75" customHeight="1" x14ac:dyDescent="0.35">
      <c r="A19" s="16"/>
      <c r="B19" s="17"/>
      <c r="C19" s="18"/>
      <c r="D19" s="17"/>
      <c r="E19" s="17"/>
      <c r="F19" s="19"/>
      <c r="G19" s="12" t="str">
        <f ca="1"/>
        <v>CARLOS JULIO CANON</v>
      </c>
      <c r="H19" s="88" t="str">
        <f ca="1"/>
        <v>ES71 2100 0868 5902 0107 2129</v>
      </c>
    </row>
    <row r="20" spans="1:14" ht="18.75" customHeight="1" x14ac:dyDescent="0.35">
      <c r="A20" s="16"/>
      <c r="B20" s="17"/>
      <c r="C20" s="18"/>
      <c r="D20" s="17"/>
      <c r="E20" s="17"/>
      <c r="F20" s="19"/>
      <c r="G20" s="12" t="str">
        <f ca="1"/>
        <v>CARLOS MARIO JARAMILLO LOPEZ</v>
      </c>
      <c r="H20" s="88" t="str">
        <f ca="1"/>
        <v>ES25 0182 0838 6502 0157 5647</v>
      </c>
    </row>
    <row r="21" spans="1:14" ht="18.75" customHeight="1" x14ac:dyDescent="0.35">
      <c r="A21" s="16"/>
      <c r="B21" s="17"/>
      <c r="C21" s="18"/>
      <c r="D21" s="17"/>
      <c r="E21" s="17"/>
      <c r="F21" s="19"/>
      <c r="G21" s="12" t="str">
        <f ca="1"/>
        <v>CESAR NORBEY PENAGOS DUQUE</v>
      </c>
      <c r="H21" s="88" t="str">
        <f ca="1"/>
        <v>ES85 6893 0001 7300 0034 1558</v>
      </c>
    </row>
    <row r="22" spans="1:14" ht="18.75" customHeight="1" x14ac:dyDescent="0.35">
      <c r="A22" s="16"/>
      <c r="B22" s="17"/>
      <c r="C22" s="18"/>
      <c r="D22" s="17"/>
      <c r="E22" s="17"/>
      <c r="F22" s="19"/>
      <c r="G22" s="12" t="str">
        <f ca="1"/>
        <v>CLAUDEMIR DO NASCIMENTO FURTADO</v>
      </c>
      <c r="H22" s="88" t="str">
        <f ca="1"/>
        <v>BE67 9676 0947 2887</v>
      </c>
    </row>
    <row r="23" spans="1:14" ht="18.75" customHeight="1" x14ac:dyDescent="0.35">
      <c r="A23" s="16"/>
      <c r="B23" s="17"/>
      <c r="C23" s="18"/>
      <c r="D23" s="17"/>
      <c r="E23" s="17"/>
      <c r="F23" s="19"/>
      <c r="G23" s="12" t="str">
        <f ca="1"/>
        <v>CRISTIAN RAFAEL ORDONEZ AGUIRRE</v>
      </c>
      <c r="H23" s="88" t="str">
        <f ca="1"/>
        <v>ES32 0182 5319 7700 0083 4229</v>
      </c>
    </row>
    <row r="24" spans="1:14" ht="18.75" customHeight="1" x14ac:dyDescent="0.35">
      <c r="A24" s="16"/>
      <c r="B24" s="17"/>
      <c r="C24" s="18"/>
      <c r="D24" s="17"/>
      <c r="E24" s="17"/>
      <c r="F24" s="19"/>
      <c r="G24" s="12" t="str">
        <f ca="1"/>
        <v>EDGAR CORRALES HOYOS</v>
      </c>
      <c r="H24" s="88" t="str">
        <f ca="1"/>
        <v>ES87 0182 1077 3702 0162 4772</v>
      </c>
    </row>
    <row r="25" spans="1:14" ht="18.75" customHeight="1" x14ac:dyDescent="0.35">
      <c r="A25" s="16"/>
      <c r="B25" s="17"/>
      <c r="C25" s="18"/>
      <c r="D25" s="17"/>
      <c r="E25" s="17"/>
      <c r="F25" s="19"/>
      <c r="G25" s="12" t="str">
        <f ca="1"/>
        <v>EDILBERTO DOMINGUEZ PEREIRA</v>
      </c>
      <c r="H25" s="88" t="str">
        <f ca="1"/>
        <v>NL52 BUNQ 2185 1063 92</v>
      </c>
    </row>
    <row r="26" spans="1:14" ht="18.75" customHeight="1" x14ac:dyDescent="0.35">
      <c r="A26" s="16"/>
      <c r="B26" s="17"/>
      <c r="C26" s="18"/>
      <c r="D26" s="17"/>
      <c r="E26" s="17"/>
      <c r="F26" s="19"/>
      <c r="G26" s="12" t="str">
        <f ca="1"/>
        <v>EISON RAFAEL IBARRA SIERRA</v>
      </c>
      <c r="H26" s="88" t="str">
        <f ca="1"/>
        <v>ES11 0182 4036 5302 0167 2085</v>
      </c>
    </row>
    <row r="27" spans="1:14" ht="18.75" customHeight="1" x14ac:dyDescent="0.35">
      <c r="A27" s="16"/>
      <c r="B27" s="17"/>
      <c r="C27" s="18"/>
      <c r="D27" s="17"/>
      <c r="E27" s="17"/>
      <c r="F27" s="19"/>
      <c r="G27" s="12" t="str">
        <f ca="1"/>
        <v>FRANKLIN JOSE DIAZ LINCE</v>
      </c>
      <c r="H27" s="88" t="str">
        <f ca="1"/>
        <v>BE23 9675 5443 5491</v>
      </c>
    </row>
    <row r="28" spans="1:14" ht="18.75" customHeight="1" x14ac:dyDescent="0.3">
      <c r="A28" s="16"/>
      <c r="B28" s="17"/>
      <c r="C28" s="18"/>
      <c r="D28" s="17"/>
      <c r="E28" s="17"/>
      <c r="F28" s="19"/>
      <c r="G28" s="17" t="str">
        <f ca="1"/>
        <v>GUILLERMO LEON POSADA LONDONO</v>
      </c>
      <c r="H28" s="89" t="str">
        <f ca="1"/>
        <v>ES13 0182 0869 2702 0189 2201</v>
      </c>
    </row>
    <row r="29" spans="1:14" s="20" customFormat="1" ht="18.75" customHeight="1" x14ac:dyDescent="0.3">
      <c r="A29" s="16"/>
      <c r="B29" s="17"/>
      <c r="C29" s="18"/>
      <c r="D29" s="17"/>
      <c r="E29" s="17"/>
      <c r="F29" s="19"/>
      <c r="G29" s="17" t="str">
        <f ca="1"/>
        <v>GUSTAVO ADOLFO DEL ANGEL MONTERO</v>
      </c>
      <c r="H29" s="89" t="str">
        <f ca="1"/>
        <v>ES50 0049 4684 6828 1610 9610</v>
      </c>
      <c r="I29" s="17"/>
      <c r="J29" s="17"/>
      <c r="K29" s="17"/>
      <c r="L29" s="17"/>
      <c r="M29" s="17"/>
      <c r="N29" s="17"/>
    </row>
    <row r="30" spans="1:14" s="20" customFormat="1" ht="18.75" customHeight="1" x14ac:dyDescent="0.3">
      <c r="A30" s="16"/>
      <c r="B30" s="17"/>
      <c r="C30" s="18"/>
      <c r="D30" s="17"/>
      <c r="E30" s="17"/>
      <c r="F30" s="19"/>
      <c r="G30" s="17" t="str">
        <f ca="1"/>
        <v>HAYDER RAFAEL DIAZ MANAURE</v>
      </c>
      <c r="H30" s="17" t="str">
        <f ca="1"/>
        <v>BE89 9674 5459 2785</v>
      </c>
      <c r="I30" s="17"/>
      <c r="J30" s="17"/>
      <c r="K30" s="17"/>
      <c r="L30" s="17"/>
      <c r="M30" s="17"/>
      <c r="N30" s="17"/>
    </row>
    <row r="31" spans="1:14" s="20" customFormat="1" ht="18.75" customHeight="1" x14ac:dyDescent="0.3">
      <c r="A31" s="16"/>
      <c r="B31" s="17"/>
      <c r="C31" s="18"/>
      <c r="D31" s="17"/>
      <c r="E31" s="17"/>
      <c r="F31" s="19"/>
      <c r="G31" s="17" t="str">
        <f ca="1"/>
        <v>HENRY ALEXANDER RAMIREZ</v>
      </c>
      <c r="H31" s="17" t="str">
        <f ca="1"/>
        <v>BE96 9670 0426 2205</v>
      </c>
      <c r="I31" s="17"/>
      <c r="J31" s="17"/>
      <c r="K31" s="17"/>
      <c r="L31" s="17"/>
      <c r="M31" s="17"/>
      <c r="N31" s="17"/>
    </row>
    <row r="32" spans="1:14" s="20" customFormat="1" ht="18.75" customHeight="1" x14ac:dyDescent="0.3">
      <c r="A32" s="16"/>
      <c r="B32" s="17"/>
      <c r="C32" s="18"/>
      <c r="D32" s="17"/>
      <c r="E32" s="17"/>
      <c r="F32" s="19"/>
      <c r="G32" s="17" t="str">
        <f ca="1"/>
        <v>JAHIR SURLEY DELGADO AGREDO</v>
      </c>
      <c r="H32" s="17" t="str">
        <f ca="1"/>
        <v xml:space="preserve"> ES89 2100 0045 8302 0067 2951</v>
      </c>
      <c r="I32" s="17"/>
      <c r="J32" s="17"/>
      <c r="K32" s="17"/>
      <c r="L32" s="17"/>
      <c r="M32" s="17"/>
      <c r="N32" s="17"/>
    </row>
    <row r="33" spans="1:14" s="20" customFormat="1" ht="18.75" customHeight="1" x14ac:dyDescent="0.3">
      <c r="A33" s="16"/>
      <c r="B33" s="17"/>
      <c r="C33" s="18"/>
      <c r="D33" s="17"/>
      <c r="E33" s="17"/>
      <c r="F33" s="19"/>
      <c r="G33" s="17" t="str">
        <f ca="1"/>
        <v>JEISON ALEXANDER GONZALEZ FARFAN</v>
      </c>
      <c r="H33" s="17" t="str">
        <f ca="1"/>
        <v>ES06 0182 0956 5102 0180 0568</v>
      </c>
      <c r="I33" s="17"/>
      <c r="J33" s="17"/>
      <c r="K33" s="17"/>
      <c r="L33" s="17"/>
      <c r="M33" s="17"/>
      <c r="N33" s="17"/>
    </row>
    <row r="34" spans="1:14" s="20" customFormat="1" ht="18.75" customHeight="1" x14ac:dyDescent="0.3">
      <c r="A34" s="16"/>
      <c r="B34" s="17"/>
      <c r="C34" s="18"/>
      <c r="D34" s="17"/>
      <c r="E34" s="17"/>
      <c r="F34" s="19"/>
      <c r="G34" s="17" t="str">
        <f ca="1"/>
        <v>JEISON ANDRES REYES PACHECO</v>
      </c>
      <c r="H34" s="17" t="str">
        <f ca="1"/>
        <v>ES52 6893 0001 7400 0036 5480</v>
      </c>
      <c r="I34" s="17"/>
      <c r="J34" s="17"/>
      <c r="K34" s="17"/>
      <c r="L34" s="17"/>
      <c r="M34" s="17"/>
      <c r="N34" s="17"/>
    </row>
    <row r="35" spans="1:14" s="20" customFormat="1" ht="18.75" customHeight="1" x14ac:dyDescent="0.3">
      <c r="A35" s="16"/>
      <c r="B35" s="17"/>
      <c r="C35" s="18"/>
      <c r="D35" s="17"/>
      <c r="E35" s="17"/>
      <c r="F35" s="19"/>
      <c r="G35" s="17" t="str">
        <f ca="1"/>
        <v>JESUS ALBERTO PENARANDA VILLALOBOS</v>
      </c>
      <c r="H35" s="17" t="str">
        <f ca="1"/>
        <v>BE28 9676 1053 3120</v>
      </c>
      <c r="I35" s="17"/>
      <c r="J35" s="17"/>
      <c r="K35" s="17"/>
      <c r="L35" s="17"/>
      <c r="M35" s="17"/>
      <c r="N35" s="17"/>
    </row>
    <row r="36" spans="1:14" s="20" customFormat="1" ht="18.75" customHeight="1" x14ac:dyDescent="0.3">
      <c r="A36" s="16"/>
      <c r="B36" s="17"/>
      <c r="C36" s="18"/>
      <c r="D36" s="17"/>
      <c r="E36" s="17"/>
      <c r="F36" s="19"/>
      <c r="G36" s="17" t="str">
        <f ca="1"/>
        <v>JESUS JAMES BALDEON ZUNIGA</v>
      </c>
      <c r="H36" s="17" t="str">
        <f ca="1"/>
        <v>ES31 0049 5413 5521 1609 5173</v>
      </c>
      <c r="I36" s="17"/>
      <c r="J36" s="17"/>
      <c r="K36" s="17"/>
      <c r="L36" s="17"/>
      <c r="M36" s="17"/>
      <c r="N36" s="17"/>
    </row>
    <row r="37" spans="1:14" s="20" customFormat="1" ht="18.75" customHeight="1" x14ac:dyDescent="0.3">
      <c r="A37" s="16"/>
      <c r="B37" s="17"/>
      <c r="C37" s="18"/>
      <c r="D37" s="17"/>
      <c r="E37" s="17"/>
      <c r="F37" s="19"/>
      <c r="G37" s="17" t="str">
        <f ca="1"/>
        <v>JONNY ENRIQUE CURA VARGAS</v>
      </c>
      <c r="H37" s="17" t="str">
        <f ca="1"/>
        <v>ES15 0182 0956 5202 0180 0551</v>
      </c>
      <c r="I37" s="17"/>
      <c r="J37" s="17"/>
      <c r="K37" s="17"/>
      <c r="L37" s="17"/>
      <c r="M37" s="17"/>
      <c r="N37" s="17"/>
    </row>
    <row r="38" spans="1:14" s="20" customFormat="1" ht="18.75" customHeight="1" x14ac:dyDescent="0.3">
      <c r="A38" s="16"/>
      <c r="B38" s="17"/>
      <c r="C38" s="18"/>
      <c r="D38" s="17"/>
      <c r="E38" s="17"/>
      <c r="F38" s="19"/>
      <c r="G38" s="17" t="str">
        <f ca="1"/>
        <v>JOSE ALEXANDER CALDERON AGUDELO</v>
      </c>
      <c r="H38" s="17" t="str">
        <f ca="1"/>
        <v>ES66 6893 0001 7300 0037 0224</v>
      </c>
      <c r="I38" s="17"/>
      <c r="J38" s="17"/>
      <c r="K38" s="17"/>
      <c r="L38" s="17"/>
      <c r="M38" s="17"/>
      <c r="N38" s="17"/>
    </row>
    <row r="39" spans="1:14" s="20" customFormat="1" ht="18.75" customHeight="1" x14ac:dyDescent="0.3">
      <c r="A39" s="16"/>
      <c r="B39" s="17"/>
      <c r="C39" s="18"/>
      <c r="D39" s="17"/>
      <c r="E39" s="17"/>
      <c r="F39" s="19"/>
      <c r="G39" s="17" t="str">
        <f ca="1"/>
        <v>JOSE JONATHAN CANO SALAZAR</v>
      </c>
      <c r="H39" s="17" t="str">
        <f ca="1"/>
        <v>BE21 9675 4459 0803</v>
      </c>
      <c r="I39" s="17"/>
      <c r="J39" s="17"/>
      <c r="K39" s="17"/>
      <c r="L39" s="17"/>
      <c r="M39" s="17"/>
      <c r="N39" s="17"/>
    </row>
    <row r="40" spans="1:14" s="20" customFormat="1" ht="18.75" customHeight="1" x14ac:dyDescent="0.3">
      <c r="A40" s="16"/>
      <c r="B40" s="17"/>
      <c r="C40" s="18"/>
      <c r="D40" s="17"/>
      <c r="E40" s="17"/>
      <c r="F40" s="19"/>
      <c r="G40" s="17" t="str">
        <f ca="1"/>
        <v>JUAN CARLOS CASTRO BARRAGAN</v>
      </c>
      <c r="H40" s="17" t="str">
        <f ca="1"/>
        <v>BE79 9675 6259 7033</v>
      </c>
      <c r="I40" s="17"/>
      <c r="J40" s="17"/>
      <c r="K40" s="17"/>
      <c r="L40" s="17"/>
      <c r="M40" s="17"/>
      <c r="N40" s="17"/>
    </row>
    <row r="41" spans="1:14" s="20" customFormat="1" ht="18.75" customHeight="1" x14ac:dyDescent="0.3">
      <c r="A41" s="16"/>
      <c r="B41" s="17"/>
      <c r="C41" s="18"/>
      <c r="D41" s="17"/>
      <c r="E41" s="17"/>
      <c r="F41" s="19"/>
      <c r="G41" s="17" t="str">
        <f ca="1"/>
        <v>JUAN CARLOS RONDON COSSIO</v>
      </c>
      <c r="H41" s="17" t="str">
        <f ca="1"/>
        <v>LT50 3250 0670 6953 1632</v>
      </c>
      <c r="I41" s="17"/>
      <c r="J41" s="17"/>
      <c r="K41" s="17"/>
      <c r="L41" s="17"/>
      <c r="M41" s="17"/>
      <c r="N41" s="17"/>
    </row>
    <row r="42" spans="1:14" s="20" customFormat="1" ht="18.75" customHeight="1" x14ac:dyDescent="0.3">
      <c r="A42" s="16"/>
      <c r="B42" s="17"/>
      <c r="C42" s="18"/>
      <c r="D42" s="17"/>
      <c r="E42" s="17"/>
      <c r="F42" s="19"/>
      <c r="G42" s="17" t="str">
        <f ca="1"/>
        <v>JUAN CARLOS TORRES LEON</v>
      </c>
      <c r="H42" s="17" t="str">
        <f ca="1"/>
        <v>ES41 6893 0001 7700 0036 8150</v>
      </c>
      <c r="I42" s="17"/>
      <c r="J42" s="17"/>
      <c r="K42" s="17"/>
      <c r="L42" s="17"/>
      <c r="M42" s="17"/>
      <c r="N42" s="17"/>
    </row>
    <row r="43" spans="1:14" s="20" customFormat="1" ht="18.75" customHeight="1" x14ac:dyDescent="0.3">
      <c r="A43" s="16"/>
      <c r="B43" s="17"/>
      <c r="C43" s="18"/>
      <c r="D43" s="17"/>
      <c r="E43" s="17"/>
      <c r="F43" s="19"/>
      <c r="G43" s="17" t="str">
        <f ca="1"/>
        <v>JULIAN JAVIER PEARSON GUERRERO</v>
      </c>
      <c r="H43" s="17" t="str">
        <f ca="1"/>
        <v>ES60 6893 0001 7000 0035 6802</v>
      </c>
      <c r="I43" s="17"/>
      <c r="J43" s="17"/>
      <c r="K43" s="17"/>
      <c r="L43" s="17"/>
      <c r="M43" s="17"/>
      <c r="N43" s="17"/>
    </row>
    <row r="44" spans="1:14" s="20" customFormat="1" ht="18.75" customHeight="1" x14ac:dyDescent="0.3">
      <c r="A44" s="16"/>
      <c r="B44" s="17"/>
      <c r="C44" s="18"/>
      <c r="D44" s="17"/>
      <c r="E44" s="17"/>
      <c r="F44" s="19"/>
      <c r="G44" s="17" t="str">
        <f ca="1"/>
        <v>JUSED CHAMORRO MENDEZ</v>
      </c>
      <c r="H44" s="17" t="str">
        <f ca="1"/>
        <v>ES61 2100 7673 5907 0113 0906</v>
      </c>
      <c r="I44" s="17"/>
      <c r="J44" s="17"/>
      <c r="K44" s="17"/>
      <c r="L44" s="17"/>
      <c r="M44" s="17"/>
      <c r="N44" s="17"/>
    </row>
    <row r="45" spans="1:14" s="20" customFormat="1" ht="18.75" customHeight="1" x14ac:dyDescent="0.3">
      <c r="A45" s="16"/>
      <c r="B45" s="17"/>
      <c r="C45" s="18"/>
      <c r="D45" s="17"/>
      <c r="E45" s="17"/>
      <c r="F45" s="19"/>
      <c r="G45" s="17" t="str">
        <f ca="1"/>
        <v>KLINSMANN ANDRE COLINA MARIN</v>
      </c>
      <c r="H45" s="17" t="str">
        <f ca="1"/>
        <v>ES66 0182 7218 2302 0170 1742</v>
      </c>
      <c r="I45" s="17"/>
      <c r="J45" s="17"/>
      <c r="K45" s="17"/>
      <c r="L45" s="17"/>
      <c r="M45" s="17"/>
      <c r="N45" s="17"/>
    </row>
    <row r="46" spans="1:14" s="20" customFormat="1" ht="18.75" customHeight="1" x14ac:dyDescent="0.3">
      <c r="A46" s="16"/>
      <c r="B46" s="17"/>
      <c r="C46" s="18"/>
      <c r="D46" s="17"/>
      <c r="E46" s="17"/>
      <c r="F46" s="19"/>
      <c r="G46" s="17" t="str">
        <f ca="1"/>
        <v>LUCAS VINICIUS FRANCO NOVAKOWSKI</v>
      </c>
      <c r="H46" s="17" t="str">
        <f ca="1"/>
        <v>BE24 9056 9438 7338</v>
      </c>
      <c r="I46" s="17"/>
      <c r="J46" s="17"/>
      <c r="K46" s="17"/>
      <c r="L46" s="17"/>
      <c r="M46" s="17"/>
      <c r="N46" s="17"/>
    </row>
    <row r="47" spans="1:14" s="20" customFormat="1" ht="18.75" customHeight="1" x14ac:dyDescent="0.3">
      <c r="A47" s="16"/>
      <c r="B47" s="17"/>
      <c r="C47" s="18"/>
      <c r="D47" s="17"/>
      <c r="E47" s="17"/>
      <c r="F47" s="19"/>
      <c r="G47" s="17" t="str">
        <f ca="1"/>
        <v>LUIS ANTONIO SOTO VIDAL</v>
      </c>
      <c r="H47" s="17" t="str">
        <f ca="1"/>
        <v>BE76 9052 3271 1895</v>
      </c>
      <c r="I47" s="17"/>
      <c r="J47" s="17"/>
      <c r="K47" s="17"/>
      <c r="L47" s="17"/>
      <c r="M47" s="17"/>
      <c r="N47" s="17"/>
    </row>
    <row r="48" spans="1:14" s="20" customFormat="1" ht="18.75" customHeight="1" x14ac:dyDescent="0.3">
      <c r="A48" s="16"/>
      <c r="B48" s="17"/>
      <c r="C48" s="18"/>
      <c r="D48" s="17"/>
      <c r="E48" s="17"/>
      <c r="F48" s="19"/>
      <c r="G48" s="17" t="str">
        <f ca="1"/>
        <v>LUIS DIOMEDES RODRIGUEZ USTARIS</v>
      </c>
      <c r="H48" s="17" t="str">
        <f ca="1"/>
        <v>ES11 6893 0001 7100 0037 3252</v>
      </c>
      <c r="I48" s="17"/>
      <c r="J48" s="17"/>
      <c r="K48" s="17"/>
      <c r="L48" s="17"/>
      <c r="M48" s="17"/>
      <c r="N48" s="17"/>
    </row>
    <row r="49" spans="1:14" s="20" customFormat="1" ht="18.75" customHeight="1" x14ac:dyDescent="0.3">
      <c r="A49" s="16"/>
      <c r="B49" s="17"/>
      <c r="C49" s="18"/>
      <c r="D49" s="17"/>
      <c r="E49" s="17"/>
      <c r="F49" s="19"/>
      <c r="G49" s="17" t="str">
        <f ca="1"/>
        <v>LUIS ENRIQUE LOPEZ CRESPO</v>
      </c>
      <c r="H49" s="17" t="str">
        <f ca="1"/>
        <v>ES92 6893 0001 7200 0036 8447</v>
      </c>
      <c r="I49" s="17"/>
      <c r="J49" s="17"/>
      <c r="K49" s="17"/>
      <c r="L49" s="17"/>
      <c r="M49" s="17"/>
      <c r="N49" s="17"/>
    </row>
    <row r="50" spans="1:14" s="20" customFormat="1" ht="18.75" customHeight="1" x14ac:dyDescent="0.3">
      <c r="A50" s="16"/>
      <c r="B50" s="17"/>
      <c r="C50" s="18"/>
      <c r="D50" s="17"/>
      <c r="E50" s="17"/>
      <c r="F50" s="19"/>
      <c r="G50" s="17" t="str">
        <f ca="1"/>
        <v>LUIS FELIPE TRILLOS NAVARRO</v>
      </c>
      <c r="H50" s="17" t="str">
        <f ca="1"/>
        <v>ES63 0182 5996 3102 0159 5470</v>
      </c>
      <c r="I50" s="17"/>
      <c r="J50" s="17"/>
      <c r="K50" s="17"/>
      <c r="L50" s="17"/>
      <c r="M50" s="17"/>
      <c r="N50" s="17"/>
    </row>
    <row r="51" spans="1:14" s="20" customFormat="1" ht="18.75" customHeight="1" x14ac:dyDescent="0.3">
      <c r="A51" s="16"/>
      <c r="B51" s="17"/>
      <c r="C51" s="18"/>
      <c r="D51" s="17"/>
      <c r="E51" s="17"/>
      <c r="F51" s="19"/>
      <c r="G51" s="17" t="str">
        <f ca="1"/>
        <v>MARCELO JAVIER GARCIA RUIZ DIAZ</v>
      </c>
      <c r="H51" s="17" t="str">
        <f ca="1"/>
        <v>PL37 1020 3714 0000 4002 0489 1950</v>
      </c>
      <c r="I51" s="17"/>
      <c r="J51" s="17"/>
      <c r="K51" s="17"/>
      <c r="L51" s="17"/>
      <c r="M51" s="17"/>
      <c r="N51" s="17"/>
    </row>
    <row r="52" spans="1:14" s="20" customFormat="1" ht="18.75" customHeight="1" x14ac:dyDescent="0.3">
      <c r="A52" s="16"/>
      <c r="B52" s="17"/>
      <c r="C52" s="18"/>
      <c r="D52" s="17"/>
      <c r="E52" s="17"/>
      <c r="F52" s="19"/>
      <c r="G52" s="17" t="str">
        <f ca="1"/>
        <v>MOISES MUNOZ ZAMBRANO</v>
      </c>
      <c r="H52" s="17" t="str">
        <f ca="1"/>
        <v>BE66 9676 0328 9543</v>
      </c>
      <c r="I52" s="17"/>
      <c r="J52" s="17"/>
      <c r="K52" s="17"/>
      <c r="L52" s="17"/>
      <c r="M52" s="17"/>
      <c r="N52" s="17"/>
    </row>
    <row r="53" spans="1:14" s="20" customFormat="1" ht="18.75" customHeight="1" x14ac:dyDescent="0.3">
      <c r="A53" s="16"/>
      <c r="B53" s="17"/>
      <c r="C53" s="18"/>
      <c r="D53" s="17"/>
      <c r="E53" s="17"/>
      <c r="F53" s="19"/>
      <c r="G53" s="17" t="str">
        <f ca="1"/>
        <v>NASSER MOHAMAD MERES LUNA</v>
      </c>
      <c r="H53" s="17" t="str">
        <f ca="1"/>
        <v>ES24 2100 2473 9102 1051 2483</v>
      </c>
      <c r="I53" s="17"/>
      <c r="J53" s="17"/>
      <c r="K53" s="17"/>
      <c r="L53" s="17"/>
      <c r="M53" s="17"/>
      <c r="N53" s="17"/>
    </row>
    <row r="54" spans="1:14" s="20" customFormat="1" ht="18.75" customHeight="1" x14ac:dyDescent="0.3">
      <c r="A54" s="16"/>
      <c r="B54" s="17"/>
      <c r="C54" s="18"/>
      <c r="D54" s="17"/>
      <c r="E54" s="17"/>
      <c r="F54" s="19"/>
      <c r="G54" s="17" t="str">
        <f ca="1"/>
        <v>NESTOR JAVIER BARRIOS PENA</v>
      </c>
      <c r="H54" s="17" t="str">
        <f ca="1"/>
        <v>BE57 9052 9726 9035</v>
      </c>
      <c r="I54" s="17"/>
      <c r="J54" s="17"/>
      <c r="K54" s="17"/>
      <c r="L54" s="17"/>
      <c r="M54" s="17"/>
      <c r="N54" s="17"/>
    </row>
    <row r="55" spans="1:14" s="20" customFormat="1" ht="18.75" customHeight="1" x14ac:dyDescent="0.3">
      <c r="A55" s="16"/>
      <c r="B55" s="17"/>
      <c r="C55" s="18"/>
      <c r="D55" s="17"/>
      <c r="E55" s="17"/>
      <c r="F55" s="19"/>
      <c r="G55" s="17" t="str">
        <f ca="1"/>
        <v>OLMEDO ARIEL HERNANDEZ GONZALEZ</v>
      </c>
      <c r="H55" s="17" t="str">
        <f ca="1"/>
        <v>ES37 6893 0001 7500 0036 3082</v>
      </c>
      <c r="I55" s="17"/>
      <c r="J55" s="17"/>
      <c r="K55" s="17"/>
      <c r="L55" s="17"/>
      <c r="M55" s="17"/>
      <c r="N55" s="17"/>
    </row>
    <row r="56" spans="1:14" s="20" customFormat="1" ht="18.75" customHeight="1" x14ac:dyDescent="0.3">
      <c r="A56" s="16"/>
      <c r="B56" s="17"/>
      <c r="C56" s="18"/>
      <c r="D56" s="17"/>
      <c r="E56" s="17"/>
      <c r="F56" s="19"/>
      <c r="G56" s="17" t="str">
        <f ca="1"/>
        <v>PASTOR JOSE FERNANDEZ CANELO</v>
      </c>
      <c r="H56" s="17" t="str">
        <f ca="1"/>
        <v xml:space="preserve"> ES78 0182 5319 7900 0018 1172</v>
      </c>
      <c r="I56" s="17"/>
      <c r="J56" s="17"/>
      <c r="K56" s="17"/>
      <c r="L56" s="17"/>
      <c r="M56" s="17"/>
      <c r="N56" s="17"/>
    </row>
    <row r="57" spans="1:14" s="20" customFormat="1" ht="18.75" customHeight="1" x14ac:dyDescent="0.3">
      <c r="A57" s="16"/>
      <c r="B57" s="17"/>
      <c r="C57" s="18"/>
      <c r="D57" s="17"/>
      <c r="E57" s="17"/>
      <c r="F57" s="19"/>
      <c r="G57" s="17" t="str">
        <f ca="1"/>
        <v>PEDRO ALEXANDER ROJAS RODRIGUEZ</v>
      </c>
      <c r="H57" s="17" t="str">
        <f ca="1"/>
        <v>ES47 0182 9034 5702 0167 1601</v>
      </c>
      <c r="I57" s="17"/>
      <c r="J57" s="17"/>
      <c r="K57" s="17"/>
      <c r="L57" s="17"/>
      <c r="M57" s="17"/>
      <c r="N57" s="17"/>
    </row>
    <row r="58" spans="1:14" s="20" customFormat="1" ht="18.75" customHeight="1" x14ac:dyDescent="0.3">
      <c r="A58" s="16"/>
      <c r="B58" s="17"/>
      <c r="C58" s="18"/>
      <c r="D58" s="17"/>
      <c r="E58" s="17"/>
      <c r="F58" s="19"/>
      <c r="G58" s="17" t="str">
        <f ca="1"/>
        <v>RANDYS MIGUEL NIEBLES HURTADO</v>
      </c>
      <c r="H58" s="17" t="str">
        <f ca="1"/>
        <v>ES18 0182 0927 8002 0165 1098</v>
      </c>
      <c r="I58" s="17"/>
      <c r="J58" s="17"/>
      <c r="K58" s="17"/>
      <c r="L58" s="17"/>
      <c r="M58" s="17"/>
      <c r="N58" s="17"/>
    </row>
    <row r="59" spans="1:14" s="20" customFormat="1" ht="18.75" customHeight="1" x14ac:dyDescent="0.3">
      <c r="A59" s="16"/>
      <c r="B59" s="17"/>
      <c r="C59" s="18"/>
      <c r="D59" s="17"/>
      <c r="E59" s="17"/>
      <c r="F59" s="19"/>
      <c r="G59" s="17" t="str">
        <f ca="1"/>
        <v>RICARDO RAFAEL BONILLA BLANCO</v>
      </c>
      <c r="H59" s="17" t="str">
        <f ca="1"/>
        <v>ES56 6893 0001 7500 0036 0121</v>
      </c>
      <c r="I59" s="17"/>
      <c r="J59" s="17"/>
      <c r="K59" s="17"/>
      <c r="L59" s="17"/>
      <c r="M59" s="17"/>
      <c r="N59" s="17"/>
    </row>
    <row r="60" spans="1:14" s="20" customFormat="1" ht="18.75" customHeight="1" x14ac:dyDescent="0.3">
      <c r="A60" s="16"/>
      <c r="B60" s="17"/>
      <c r="C60" s="18"/>
      <c r="D60" s="17"/>
      <c r="E60" s="17"/>
      <c r="F60" s="19"/>
      <c r="G60" s="17" t="str">
        <f ca="1"/>
        <v>RICHARD ANDERSON RUIZ BARRETO</v>
      </c>
      <c r="H60" s="17" t="str">
        <f ca="1"/>
        <v>BE71 9051 9401 5969</v>
      </c>
      <c r="I60" s="17"/>
      <c r="J60" s="17"/>
      <c r="K60" s="17"/>
      <c r="L60" s="17"/>
      <c r="M60" s="17"/>
      <c r="N60" s="17"/>
    </row>
    <row r="61" spans="1:14" s="20" customFormat="1" ht="18.75" customHeight="1" x14ac:dyDescent="0.3">
      <c r="A61" s="16"/>
      <c r="B61" s="17"/>
      <c r="C61" s="18"/>
      <c r="D61" s="17"/>
      <c r="E61" s="17"/>
      <c r="F61" s="19"/>
      <c r="G61" s="17" t="str">
        <f ca="1"/>
        <v>ROBERTO CASTILLA JIMENEZ</v>
      </c>
      <c r="H61" s="17" t="str">
        <f ca="1"/>
        <v>BE49 9676 0831 6971</v>
      </c>
      <c r="I61" s="17"/>
      <c r="J61" s="17"/>
      <c r="K61" s="17"/>
      <c r="L61" s="17"/>
      <c r="M61" s="17"/>
      <c r="N61" s="17"/>
    </row>
    <row r="62" spans="1:14" s="20" customFormat="1" ht="18.75" customHeight="1" x14ac:dyDescent="0.3">
      <c r="A62" s="16"/>
      <c r="B62" s="17"/>
      <c r="C62" s="18"/>
      <c r="D62" s="17"/>
      <c r="E62" s="17"/>
      <c r="F62" s="19"/>
      <c r="G62" s="17" t="str">
        <f ca="1"/>
        <v>VICTOR JAVIER RIERA FLORES</v>
      </c>
      <c r="H62" s="17" t="str">
        <f ca="1"/>
        <v>ES93 6893 0001 7200 0036 0087</v>
      </c>
      <c r="I62" s="17"/>
      <c r="J62" s="17"/>
      <c r="K62" s="17"/>
      <c r="L62" s="17"/>
      <c r="M62" s="17"/>
      <c r="N62" s="17"/>
    </row>
    <row r="63" spans="1:14" s="20" customFormat="1" ht="18.75" customHeight="1" x14ac:dyDescent="0.3">
      <c r="A63" s="16"/>
      <c r="B63" s="17"/>
      <c r="C63" s="18"/>
      <c r="D63" s="17"/>
      <c r="E63" s="17"/>
      <c r="F63" s="19"/>
      <c r="G63" s="17" t="str">
        <f ca="1"/>
        <v>WILMER FERNANDO ROJAS RAMIREZ</v>
      </c>
      <c r="H63" s="17" t="str">
        <f ca="1"/>
        <v>ES90 6893 0001 7000 0026 9253</v>
      </c>
      <c r="I63" s="17"/>
      <c r="J63" s="17"/>
      <c r="K63" s="17"/>
      <c r="L63" s="17"/>
      <c r="M63" s="17"/>
      <c r="N63" s="17"/>
    </row>
    <row r="64" spans="1:14" s="20" customFormat="1" ht="18.75" customHeight="1" x14ac:dyDescent="0.3">
      <c r="A64" s="16"/>
      <c r="B64" s="17"/>
      <c r="C64" s="18"/>
      <c r="D64" s="17"/>
      <c r="E64" s="17"/>
      <c r="F64" s="19"/>
      <c r="G64" s="17" t="str">
        <f ca="1"/>
        <v>YEFERSON DANIEL NEIRA ESPINOSA</v>
      </c>
      <c r="H64" s="17" t="str">
        <f ca="1"/>
        <v>ES27 6893 0001 7200 0036 5543</v>
      </c>
      <c r="I64" s="17"/>
      <c r="J64" s="17"/>
      <c r="K64" s="17"/>
      <c r="L64" s="17"/>
      <c r="M64" s="17"/>
      <c r="N64" s="17"/>
    </row>
    <row r="65" spans="1:14" s="20" customFormat="1" ht="18.75" customHeight="1" x14ac:dyDescent="0.3">
      <c r="A65" s="16"/>
      <c r="B65" s="17"/>
      <c r="C65" s="18"/>
      <c r="D65" s="17"/>
      <c r="E65" s="17"/>
      <c r="F65" s="19"/>
      <c r="G65" s="17" t="str">
        <f ca="1"/>
        <v>YEISON HUGO ANGEL CALDERON</v>
      </c>
      <c r="H65" s="17" t="str">
        <f ca="1"/>
        <v>ES27 0182 0927 8102 0165 1081</v>
      </c>
      <c r="I65" s="17"/>
      <c r="J65" s="17"/>
      <c r="K65" s="17"/>
      <c r="L65" s="17"/>
      <c r="M65" s="17"/>
      <c r="N65" s="17"/>
    </row>
    <row r="66" spans="1:14" s="20" customFormat="1" ht="18.75" customHeight="1" x14ac:dyDescent="0.3">
      <c r="A66" s="16"/>
      <c r="B66" s="17"/>
      <c r="C66" s="18"/>
      <c r="D66" s="17"/>
      <c r="E66" s="17"/>
      <c r="F66" s="19"/>
      <c r="G66" s="17" t="str">
        <f ca="1"/>
        <v>YIMIS ALFREDO FERNANDEZ PENA</v>
      </c>
      <c r="H66" s="17" t="str">
        <f ca="1"/>
        <v>ES66 0182 0382 7702 0167 9668</v>
      </c>
      <c r="I66" s="17"/>
      <c r="J66" s="17"/>
      <c r="K66" s="17"/>
      <c r="L66" s="17"/>
      <c r="M66" s="17"/>
      <c r="N66" s="17"/>
    </row>
    <row r="67" spans="1:14" s="20" customFormat="1" ht="18.75" customHeight="1" x14ac:dyDescent="0.3">
      <c r="A67" s="16"/>
      <c r="B67" s="17"/>
      <c r="C67" s="18"/>
      <c r="D67" s="17"/>
      <c r="E67" s="17"/>
      <c r="F67" s="19"/>
      <c r="G67" s="17" t="str">
        <f ca="1"/>
        <v>YORVY RAFAEL MARTINEZ ROMERO</v>
      </c>
      <c r="H67" s="17" t="str">
        <f ca="1"/>
        <v>ES45 0182 5011 1002 0224 2623</v>
      </c>
      <c r="I67" s="17"/>
      <c r="J67" s="17"/>
      <c r="K67" s="17"/>
      <c r="L67" s="17"/>
      <c r="M67" s="17"/>
      <c r="N67" s="17"/>
    </row>
    <row r="68" spans="1:14" s="20" customFormat="1" ht="18.75" customHeight="1" x14ac:dyDescent="0.3">
      <c r="A68" s="16"/>
      <c r="B68" s="17"/>
      <c r="C68" s="18"/>
      <c r="D68" s="17"/>
      <c r="E68" s="17"/>
      <c r="F68" s="19"/>
      <c r="G68" s="17"/>
      <c r="H68" s="17"/>
      <c r="I68" s="17"/>
      <c r="J68" s="17"/>
      <c r="K68" s="17"/>
      <c r="L68" s="17"/>
      <c r="M68" s="17"/>
      <c r="N68" s="17"/>
    </row>
    <row r="69" spans="1:14" s="20" customFormat="1" ht="18.75" customHeight="1" x14ac:dyDescent="0.3">
      <c r="A69" s="16"/>
      <c r="B69" s="17"/>
      <c r="C69" s="18"/>
      <c r="D69" s="17"/>
      <c r="E69" s="17"/>
      <c r="F69" s="19"/>
      <c r="G69" s="17"/>
      <c r="H69" s="17"/>
      <c r="I69" s="17"/>
      <c r="J69" s="17"/>
      <c r="K69" s="17"/>
      <c r="L69" s="17"/>
      <c r="M69" s="17"/>
      <c r="N69" s="17"/>
    </row>
    <row r="70" spans="1:14" s="20" customFormat="1" ht="18.75" customHeight="1" x14ac:dyDescent="0.3">
      <c r="A70" s="16"/>
      <c r="B70" s="17"/>
      <c r="C70" s="18"/>
      <c r="D70" s="17"/>
      <c r="E70" s="17"/>
      <c r="F70" s="19"/>
      <c r="G70" s="17"/>
      <c r="H70" s="17"/>
      <c r="I70" s="17"/>
      <c r="J70" s="17"/>
      <c r="K70" s="17"/>
      <c r="L70" s="17"/>
      <c r="M70" s="17"/>
      <c r="N70" s="17"/>
    </row>
    <row r="71" spans="1:14" s="20" customFormat="1" ht="18.75" customHeight="1" x14ac:dyDescent="0.3">
      <c r="A71" s="16"/>
      <c r="B71" s="17"/>
      <c r="C71" s="18"/>
      <c r="D71" s="17"/>
      <c r="E71" s="17"/>
      <c r="F71" s="19"/>
      <c r="G71" s="17"/>
      <c r="H71" s="17"/>
      <c r="I71" s="17"/>
      <c r="J71" s="17"/>
      <c r="K71" s="17"/>
      <c r="L71" s="17"/>
      <c r="M71" s="17"/>
      <c r="N71" s="17"/>
    </row>
    <row r="72" spans="1:14" s="20" customFormat="1" ht="18.75" customHeight="1" x14ac:dyDescent="0.3">
      <c r="A72" s="16"/>
      <c r="B72" s="17"/>
      <c r="C72" s="18"/>
      <c r="D72" s="17"/>
      <c r="E72" s="17"/>
      <c r="F72" s="19"/>
      <c r="G72" s="17"/>
      <c r="H72" s="17"/>
      <c r="I72" s="17"/>
      <c r="J72" s="17"/>
      <c r="K72" s="17"/>
      <c r="L72" s="17"/>
      <c r="M72" s="17"/>
      <c r="N72" s="17"/>
    </row>
    <row r="73" spans="1:14" s="20" customFormat="1" ht="18.75" customHeight="1" x14ac:dyDescent="0.3">
      <c r="A73" s="16"/>
      <c r="B73" s="17"/>
      <c r="C73" s="18"/>
      <c r="D73" s="17"/>
      <c r="E73" s="17"/>
      <c r="F73" s="19"/>
      <c r="G73" s="17"/>
      <c r="H73" s="17"/>
      <c r="I73" s="17"/>
      <c r="J73" s="17"/>
      <c r="K73" s="17"/>
      <c r="L73" s="17"/>
      <c r="M73" s="17"/>
      <c r="N73" s="17"/>
    </row>
    <row r="74" spans="1:14" s="20" customFormat="1" ht="18.75" customHeight="1" x14ac:dyDescent="0.3">
      <c r="A74" s="16"/>
      <c r="B74" s="17"/>
      <c r="C74" s="18"/>
      <c r="D74" s="17"/>
      <c r="E74" s="17"/>
      <c r="F74" s="19"/>
      <c r="G74" s="17"/>
      <c r="H74" s="17"/>
      <c r="I74" s="17"/>
      <c r="J74" s="17"/>
      <c r="K74" s="17"/>
      <c r="L74" s="17"/>
      <c r="M74" s="17"/>
      <c r="N74" s="17"/>
    </row>
    <row r="75" spans="1:14" s="20" customFormat="1" ht="18.75" customHeight="1" x14ac:dyDescent="0.3">
      <c r="A75" s="16"/>
      <c r="B75" s="17"/>
      <c r="C75" s="18"/>
      <c r="D75" s="17"/>
      <c r="E75" s="17"/>
      <c r="F75" s="19"/>
      <c r="G75" s="17"/>
      <c r="H75" s="17"/>
      <c r="I75" s="17"/>
      <c r="J75" s="17"/>
      <c r="K75" s="17"/>
      <c r="L75" s="17"/>
      <c r="M75" s="17"/>
      <c r="N75" s="17"/>
    </row>
    <row r="76" spans="1:14" s="20" customFormat="1" ht="18.75" customHeight="1" x14ac:dyDescent="0.3">
      <c r="A76" s="16"/>
      <c r="B76" s="17"/>
      <c r="C76" s="18"/>
      <c r="D76" s="17"/>
      <c r="E76" s="17"/>
      <c r="F76" s="19"/>
      <c r="G76" s="17"/>
      <c r="H76" s="17"/>
      <c r="I76" s="17"/>
      <c r="J76" s="17"/>
      <c r="K76" s="17"/>
      <c r="L76" s="17"/>
      <c r="M76" s="17"/>
      <c r="N76" s="17"/>
    </row>
    <row r="77" spans="1:14" s="20" customFormat="1" ht="18.75" customHeight="1" x14ac:dyDescent="0.3">
      <c r="A77" s="16"/>
      <c r="B77" s="17"/>
      <c r="C77" s="18"/>
      <c r="D77" s="17"/>
      <c r="E77" s="17"/>
      <c r="F77" s="19"/>
      <c r="G77" s="17"/>
      <c r="H77" s="17"/>
      <c r="I77" s="17"/>
      <c r="J77" s="17"/>
      <c r="K77" s="17"/>
      <c r="L77" s="17"/>
      <c r="M77" s="17"/>
      <c r="N77" s="17"/>
    </row>
    <row r="78" spans="1:14" s="20" customFormat="1" ht="18.75" customHeight="1" x14ac:dyDescent="0.3">
      <c r="A78" s="16"/>
      <c r="B78" s="17"/>
      <c r="C78" s="18"/>
      <c r="D78" s="17"/>
      <c r="E78" s="17"/>
      <c r="F78" s="19"/>
      <c r="G78" s="17"/>
      <c r="H78" s="17"/>
      <c r="I78" s="17"/>
      <c r="J78" s="17"/>
      <c r="K78" s="17"/>
      <c r="L78" s="17"/>
      <c r="M78" s="17"/>
      <c r="N78" s="17"/>
    </row>
    <row r="79" spans="1:14" s="20" customFormat="1" ht="18.75" customHeight="1" x14ac:dyDescent="0.3">
      <c r="A79" s="16"/>
      <c r="B79" s="17"/>
      <c r="C79" s="18"/>
      <c r="D79" s="17"/>
      <c r="E79" s="17"/>
      <c r="F79" s="19"/>
      <c r="G79" s="17"/>
      <c r="H79" s="17"/>
      <c r="I79" s="17"/>
      <c r="J79" s="17"/>
      <c r="K79" s="17"/>
      <c r="L79" s="17"/>
      <c r="M79" s="17"/>
      <c r="N79" s="17"/>
    </row>
    <row r="80" spans="1:14" s="20" customFormat="1" ht="18.75" customHeight="1" x14ac:dyDescent="0.3">
      <c r="A80" s="16"/>
      <c r="B80" s="17"/>
      <c r="C80" s="18"/>
      <c r="D80" s="17"/>
      <c r="E80" s="17"/>
      <c r="F80" s="19"/>
      <c r="G80" s="17"/>
      <c r="H80" s="17"/>
      <c r="I80" s="17"/>
      <c r="J80" s="17"/>
      <c r="K80" s="17"/>
      <c r="L80" s="17"/>
      <c r="M80" s="17"/>
      <c r="N80" s="17"/>
    </row>
    <row r="81" spans="1:14" s="20" customFormat="1" ht="18.75" customHeight="1" x14ac:dyDescent="0.3">
      <c r="A81" s="16"/>
      <c r="B81" s="17"/>
      <c r="C81" s="18"/>
      <c r="D81" s="17"/>
      <c r="E81" s="17"/>
      <c r="F81" s="19"/>
      <c r="G81" s="17"/>
      <c r="H81" s="17"/>
      <c r="I81" s="17"/>
      <c r="J81" s="17"/>
      <c r="K81" s="17"/>
      <c r="L81" s="17"/>
      <c r="M81" s="17"/>
      <c r="N81" s="17"/>
    </row>
    <row r="82" spans="1:14" s="20" customFormat="1" ht="18.75" customHeight="1" x14ac:dyDescent="0.3">
      <c r="A82" s="16"/>
      <c r="B82" s="17"/>
      <c r="C82" s="18"/>
      <c r="D82" s="17"/>
      <c r="E82" s="17"/>
      <c r="F82" s="19"/>
      <c r="G82" s="17"/>
      <c r="H82" s="17"/>
      <c r="I82" s="17"/>
      <c r="J82" s="17"/>
      <c r="K82" s="17"/>
      <c r="L82" s="17"/>
      <c r="M82" s="17"/>
      <c r="N82" s="17"/>
    </row>
    <row r="83" spans="1:14" s="20" customFormat="1" ht="18.75" customHeight="1" x14ac:dyDescent="0.3">
      <c r="A83" s="16"/>
      <c r="B83" s="17"/>
      <c r="C83" s="18"/>
      <c r="D83" s="17"/>
      <c r="E83" s="17"/>
      <c r="F83" s="19"/>
      <c r="G83" s="17"/>
      <c r="H83" s="17"/>
      <c r="I83" s="17"/>
      <c r="J83" s="17"/>
      <c r="K83" s="17"/>
      <c r="L83" s="17"/>
      <c r="M83" s="17"/>
      <c r="N83" s="17"/>
    </row>
    <row r="84" spans="1:14" s="20" customFormat="1" ht="18.75" customHeight="1" x14ac:dyDescent="0.3">
      <c r="A84" s="16"/>
      <c r="B84" s="17"/>
      <c r="C84" s="18"/>
      <c r="D84" s="17"/>
      <c r="E84" s="17"/>
      <c r="F84" s="19"/>
      <c r="G84" s="17"/>
      <c r="H84" s="17"/>
      <c r="I84" s="17"/>
      <c r="J84" s="17"/>
      <c r="K84" s="17"/>
      <c r="L84" s="17"/>
      <c r="M84" s="17"/>
      <c r="N84" s="17"/>
    </row>
    <row r="85" spans="1:14" s="20" customFormat="1" ht="18.75" customHeight="1" x14ac:dyDescent="0.3">
      <c r="A85" s="16"/>
      <c r="B85" s="17"/>
      <c r="C85" s="18"/>
      <c r="D85" s="17"/>
      <c r="E85" s="17"/>
      <c r="F85" s="19"/>
      <c r="G85" s="17"/>
      <c r="H85" s="17"/>
      <c r="I85" s="17"/>
      <c r="J85" s="17"/>
      <c r="K85" s="17"/>
      <c r="L85" s="17"/>
      <c r="M85" s="17"/>
      <c r="N85" s="17"/>
    </row>
    <row r="86" spans="1:14" s="20" customFormat="1" ht="18.75" customHeight="1" x14ac:dyDescent="0.3">
      <c r="A86" s="16"/>
      <c r="B86" s="17"/>
      <c r="C86" s="18"/>
      <c r="D86" s="17"/>
      <c r="E86" s="17"/>
      <c r="F86" s="19"/>
      <c r="G86" s="17"/>
      <c r="H86" s="17"/>
      <c r="I86" s="17"/>
      <c r="J86" s="17"/>
      <c r="K86" s="17"/>
      <c r="L86" s="17"/>
      <c r="M86" s="17"/>
      <c r="N86" s="17"/>
    </row>
    <row r="87" spans="1:14" s="20" customFormat="1" ht="18.75" customHeight="1" x14ac:dyDescent="0.3">
      <c r="A87" s="16"/>
      <c r="B87" s="17"/>
      <c r="C87" s="18"/>
      <c r="D87" s="17"/>
      <c r="E87" s="17"/>
      <c r="F87" s="19"/>
      <c r="G87" s="17"/>
      <c r="H87" s="17"/>
      <c r="I87" s="17"/>
      <c r="J87" s="17"/>
      <c r="K87" s="17"/>
      <c r="L87" s="17"/>
      <c r="M87" s="17"/>
      <c r="N87" s="17"/>
    </row>
    <row r="88" spans="1:14" s="20" customFormat="1" ht="18.75" customHeight="1" x14ac:dyDescent="0.3">
      <c r="A88" s="16"/>
      <c r="B88" s="17"/>
      <c r="C88" s="18"/>
      <c r="D88" s="17"/>
      <c r="E88" s="17"/>
      <c r="F88" s="19"/>
      <c r="G88" s="17"/>
      <c r="H88" s="17"/>
      <c r="I88" s="17"/>
      <c r="J88" s="17"/>
      <c r="K88" s="17"/>
      <c r="L88" s="17"/>
      <c r="M88" s="17"/>
      <c r="N88" s="17"/>
    </row>
    <row r="89" spans="1:14" s="20" customFormat="1" ht="18.75" customHeight="1" x14ac:dyDescent="0.3">
      <c r="A89" s="16"/>
      <c r="B89" s="17"/>
      <c r="C89" s="18"/>
      <c r="D89" s="17"/>
      <c r="E89" s="17"/>
      <c r="F89" s="19"/>
      <c r="G89" s="17"/>
      <c r="H89" s="17"/>
      <c r="I89" s="17"/>
      <c r="J89" s="17"/>
      <c r="K89" s="17"/>
      <c r="L89" s="17"/>
      <c r="M89" s="17"/>
      <c r="N89" s="17"/>
    </row>
    <row r="90" spans="1:14" s="20" customFormat="1" ht="18.75" customHeight="1" x14ac:dyDescent="0.3">
      <c r="A90" s="16"/>
      <c r="B90" s="17"/>
      <c r="C90" s="18"/>
      <c r="D90" s="17"/>
      <c r="E90" s="17"/>
      <c r="F90" s="19"/>
      <c r="G90" s="17"/>
      <c r="H90" s="17"/>
      <c r="I90" s="17"/>
      <c r="J90" s="17"/>
      <c r="K90" s="17"/>
      <c r="L90" s="17"/>
      <c r="M90" s="17"/>
      <c r="N90" s="17"/>
    </row>
    <row r="91" spans="1:14" s="20" customFormat="1" ht="18.75" customHeight="1" x14ac:dyDescent="0.3">
      <c r="A91" s="16"/>
      <c r="B91" s="17"/>
      <c r="C91" s="18"/>
      <c r="D91" s="17"/>
      <c r="E91" s="17"/>
      <c r="F91" s="19"/>
      <c r="G91" s="17"/>
      <c r="H91" s="17"/>
      <c r="I91" s="17"/>
      <c r="J91" s="17"/>
      <c r="K91" s="17"/>
      <c r="L91" s="17"/>
      <c r="M91" s="17"/>
      <c r="N91" s="17"/>
    </row>
    <row r="92" spans="1:14" s="20" customFormat="1" ht="18.75" customHeight="1" x14ac:dyDescent="0.3">
      <c r="A92" s="16"/>
      <c r="B92" s="17"/>
      <c r="C92" s="18"/>
      <c r="D92" s="17"/>
      <c r="E92" s="17"/>
      <c r="F92" s="19"/>
      <c r="G92" s="17"/>
      <c r="H92" s="17"/>
      <c r="I92" s="17"/>
      <c r="J92" s="17"/>
      <c r="K92" s="17"/>
      <c r="L92" s="17"/>
      <c r="M92" s="17"/>
      <c r="N92" s="17"/>
    </row>
    <row r="93" spans="1:14" s="20" customFormat="1" ht="18.75" customHeight="1" x14ac:dyDescent="0.3">
      <c r="A93" s="16"/>
      <c r="B93" s="17"/>
      <c r="C93" s="18"/>
      <c r="D93" s="17"/>
      <c r="E93" s="17"/>
      <c r="F93" s="19"/>
      <c r="G93" s="17"/>
      <c r="H93" s="17"/>
      <c r="I93" s="17"/>
      <c r="J93" s="17"/>
      <c r="K93" s="17"/>
      <c r="L93" s="17"/>
      <c r="M93" s="17"/>
      <c r="N93" s="17"/>
    </row>
    <row r="94" spans="1:14" s="20" customFormat="1" ht="18.75" customHeight="1" x14ac:dyDescent="0.3">
      <c r="A94" s="16"/>
      <c r="B94" s="17"/>
      <c r="C94" s="18"/>
      <c r="D94" s="17"/>
      <c r="E94" s="17"/>
      <c r="F94" s="19"/>
      <c r="G94" s="17"/>
      <c r="H94" s="17"/>
      <c r="I94" s="17"/>
      <c r="J94" s="17"/>
      <c r="K94" s="17"/>
      <c r="L94" s="17"/>
      <c r="M94" s="17"/>
      <c r="N94" s="17"/>
    </row>
    <row r="95" spans="1:14" s="20" customFormat="1" ht="18.75" customHeight="1" x14ac:dyDescent="0.3">
      <c r="A95" s="16"/>
      <c r="B95" s="17"/>
      <c r="C95" s="18"/>
      <c r="D95" s="17"/>
      <c r="E95" s="17"/>
      <c r="F95" s="19"/>
      <c r="G95" s="17"/>
      <c r="H95" s="17"/>
      <c r="I95" s="17"/>
      <c r="J95" s="17"/>
      <c r="K95" s="17"/>
      <c r="L95" s="17"/>
      <c r="M95" s="17"/>
      <c r="N95" s="17"/>
    </row>
    <row r="96" spans="1:14" s="20" customFormat="1" ht="18.75" customHeight="1" x14ac:dyDescent="0.3">
      <c r="A96" s="16"/>
      <c r="B96" s="17"/>
      <c r="C96" s="18"/>
      <c r="D96" s="17"/>
      <c r="E96" s="17"/>
      <c r="F96" s="19"/>
      <c r="G96" s="17"/>
      <c r="H96" s="17"/>
      <c r="I96" s="17"/>
      <c r="J96" s="17"/>
      <c r="K96" s="17"/>
      <c r="L96" s="17"/>
      <c r="M96" s="17"/>
      <c r="N96" s="17"/>
    </row>
    <row r="97" spans="1:14" s="20" customFormat="1" ht="18.75" customHeight="1" x14ac:dyDescent="0.3">
      <c r="A97" s="16"/>
      <c r="B97" s="17"/>
      <c r="C97" s="18"/>
      <c r="D97" s="17"/>
      <c r="E97" s="17"/>
      <c r="F97" s="19"/>
      <c r="G97" s="17"/>
      <c r="H97" s="17"/>
      <c r="I97" s="17"/>
      <c r="J97" s="17"/>
      <c r="K97" s="17"/>
      <c r="L97" s="17"/>
      <c r="M97" s="17"/>
      <c r="N97" s="17"/>
    </row>
    <row r="98" spans="1:14" s="20" customFormat="1" ht="18.75" customHeight="1" x14ac:dyDescent="0.3">
      <c r="A98" s="16"/>
      <c r="B98" s="17"/>
      <c r="C98" s="18"/>
      <c r="D98" s="17"/>
      <c r="E98" s="17"/>
      <c r="F98" s="19"/>
      <c r="G98" s="17"/>
      <c r="H98" s="17"/>
      <c r="I98" s="17"/>
      <c r="J98" s="17"/>
      <c r="K98" s="17"/>
      <c r="L98" s="17"/>
      <c r="M98" s="17"/>
      <c r="N98" s="17"/>
    </row>
    <row r="99" spans="1:14" s="20" customFormat="1" ht="18.75" customHeight="1" x14ac:dyDescent="0.3">
      <c r="A99" s="16"/>
      <c r="B99" s="17"/>
      <c r="C99" s="18"/>
      <c r="D99" s="17"/>
      <c r="E99" s="17"/>
      <c r="F99" s="19"/>
      <c r="G99" s="17"/>
      <c r="H99" s="17"/>
      <c r="I99" s="17"/>
      <c r="J99" s="17"/>
      <c r="K99" s="17"/>
      <c r="L99" s="17"/>
      <c r="M99" s="17"/>
      <c r="N99" s="17"/>
    </row>
    <row r="100" spans="1:14" s="20" customFormat="1" ht="18.75" customHeight="1" x14ac:dyDescent="0.3">
      <c r="A100" s="16"/>
      <c r="B100" s="17"/>
      <c r="C100" s="18"/>
      <c r="D100" s="17"/>
      <c r="E100" s="17"/>
      <c r="F100" s="19"/>
      <c r="G100" s="17"/>
      <c r="H100" s="17"/>
      <c r="I100" s="17"/>
      <c r="J100" s="17"/>
      <c r="K100" s="17"/>
      <c r="L100" s="17"/>
      <c r="M100" s="17"/>
      <c r="N100" s="17"/>
    </row>
    <row r="101" spans="1:14" s="20" customFormat="1" ht="18.75" customHeight="1" x14ac:dyDescent="0.3">
      <c r="A101" s="16"/>
      <c r="B101" s="17"/>
      <c r="C101" s="18"/>
      <c r="D101" s="17"/>
      <c r="E101" s="17"/>
      <c r="F101" s="19"/>
      <c r="G101" s="17"/>
      <c r="H101" s="17"/>
      <c r="I101" s="17"/>
      <c r="J101" s="17"/>
      <c r="K101" s="17"/>
      <c r="L101" s="17"/>
      <c r="M101" s="17"/>
      <c r="N101" s="17"/>
    </row>
    <row r="102" spans="1:14" s="20" customFormat="1" ht="18.75" customHeight="1" x14ac:dyDescent="0.3">
      <c r="A102" s="16"/>
      <c r="B102" s="17"/>
      <c r="C102" s="18"/>
      <c r="D102" s="17"/>
      <c r="E102" s="17"/>
      <c r="F102" s="19"/>
      <c r="G102" s="17"/>
      <c r="H102" s="17"/>
      <c r="I102" s="17"/>
      <c r="J102" s="17"/>
      <c r="K102" s="17"/>
      <c r="L102" s="17"/>
      <c r="M102" s="17"/>
      <c r="N102" s="17"/>
    </row>
    <row r="103" spans="1:14" s="20" customFormat="1" ht="18.75" customHeight="1" x14ac:dyDescent="0.3">
      <c r="A103" s="16"/>
      <c r="B103" s="17"/>
      <c r="C103" s="18"/>
      <c r="D103" s="17"/>
      <c r="E103" s="17"/>
      <c r="F103" s="19"/>
      <c r="G103" s="17"/>
      <c r="H103" s="17"/>
      <c r="I103" s="17"/>
      <c r="J103" s="17"/>
      <c r="K103" s="17"/>
      <c r="L103" s="17"/>
      <c r="M103" s="17"/>
      <c r="N103" s="17"/>
    </row>
    <row r="104" spans="1:14" s="20" customFormat="1" ht="18.75" customHeight="1" x14ac:dyDescent="0.3">
      <c r="A104" s="16"/>
      <c r="B104" s="17"/>
      <c r="C104" s="18"/>
      <c r="D104" s="17"/>
      <c r="E104" s="17"/>
      <c r="F104" s="19"/>
      <c r="G104" s="17"/>
      <c r="H104" s="17"/>
      <c r="I104" s="17"/>
      <c r="J104" s="17"/>
      <c r="K104" s="17"/>
      <c r="L104" s="17"/>
      <c r="M104" s="17"/>
      <c r="N104" s="17"/>
    </row>
    <row r="105" spans="1:14" s="20" customFormat="1" ht="18.75" customHeight="1" x14ac:dyDescent="0.3">
      <c r="A105" s="16"/>
      <c r="B105" s="17"/>
      <c r="C105" s="18"/>
      <c r="D105" s="17"/>
      <c r="E105" s="17"/>
      <c r="F105" s="19"/>
      <c r="G105" s="17"/>
      <c r="H105" s="17"/>
      <c r="I105" s="17"/>
      <c r="J105" s="17"/>
      <c r="K105" s="17"/>
      <c r="L105" s="17"/>
      <c r="M105" s="17"/>
      <c r="N105" s="17"/>
    </row>
    <row r="106" spans="1:14" s="20" customFormat="1" ht="18.75" customHeight="1" x14ac:dyDescent="0.3">
      <c r="A106" s="16"/>
      <c r="B106" s="17"/>
      <c r="C106" s="18"/>
      <c r="D106" s="17"/>
      <c r="E106" s="17"/>
      <c r="F106" s="19"/>
      <c r="G106" s="17"/>
      <c r="H106" s="17"/>
      <c r="I106" s="17"/>
      <c r="J106" s="17"/>
      <c r="K106" s="17"/>
      <c r="L106" s="17"/>
      <c r="M106" s="17"/>
      <c r="N106" s="17"/>
    </row>
    <row r="107" spans="1:14" s="20" customFormat="1" ht="18.75" customHeight="1" x14ac:dyDescent="0.3">
      <c r="A107" s="16"/>
      <c r="B107" s="17"/>
      <c r="C107" s="18"/>
      <c r="D107" s="17"/>
      <c r="E107" s="17"/>
      <c r="F107" s="19"/>
      <c r="G107" s="17"/>
      <c r="H107" s="17"/>
      <c r="I107" s="17"/>
      <c r="J107" s="17"/>
      <c r="K107" s="17"/>
      <c r="L107" s="17"/>
      <c r="M107" s="17"/>
      <c r="N107" s="17"/>
    </row>
    <row r="108" spans="1:14" s="20" customFormat="1" ht="18.75" customHeight="1" x14ac:dyDescent="0.3">
      <c r="A108" s="16"/>
      <c r="B108" s="17"/>
      <c r="C108" s="18"/>
      <c r="D108" s="17"/>
      <c r="E108" s="17"/>
      <c r="F108" s="19"/>
      <c r="G108" s="17"/>
      <c r="H108" s="17"/>
      <c r="I108" s="17"/>
      <c r="J108" s="17"/>
      <c r="K108" s="17"/>
      <c r="L108" s="17"/>
      <c r="M108" s="17"/>
      <c r="N108" s="17"/>
    </row>
    <row r="109" spans="1:14" s="20" customFormat="1" ht="18.75" customHeight="1" x14ac:dyDescent="0.3">
      <c r="A109" s="16"/>
      <c r="B109" s="17"/>
      <c r="C109" s="18"/>
      <c r="D109" s="17"/>
      <c r="E109" s="17"/>
      <c r="F109" s="19"/>
      <c r="G109" s="17"/>
      <c r="H109" s="17"/>
      <c r="I109" s="17"/>
      <c r="J109" s="17"/>
      <c r="K109" s="17"/>
      <c r="L109" s="17"/>
      <c r="M109" s="17"/>
      <c r="N109" s="17"/>
    </row>
    <row r="110" spans="1:14" s="20" customFormat="1" ht="18.75" customHeight="1" x14ac:dyDescent="0.3">
      <c r="A110" s="16"/>
      <c r="B110" s="17"/>
      <c r="C110" s="18"/>
      <c r="D110" s="17"/>
      <c r="E110" s="17"/>
      <c r="F110" s="19"/>
      <c r="G110" s="17"/>
      <c r="H110" s="17"/>
      <c r="I110" s="17"/>
      <c r="J110" s="17"/>
      <c r="K110" s="17"/>
      <c r="L110" s="17"/>
      <c r="M110" s="17"/>
      <c r="N110" s="17"/>
    </row>
    <row r="111" spans="1:14" s="20" customFormat="1" ht="18.75" customHeight="1" x14ac:dyDescent="0.3">
      <c r="A111" s="16"/>
      <c r="B111" s="17"/>
      <c r="C111" s="18"/>
      <c r="D111" s="17"/>
      <c r="E111" s="17"/>
      <c r="F111" s="19"/>
      <c r="G111" s="17"/>
      <c r="H111" s="17"/>
      <c r="I111" s="17"/>
      <c r="J111" s="17"/>
      <c r="K111" s="17"/>
      <c r="L111" s="17"/>
      <c r="M111" s="17"/>
      <c r="N111" s="17"/>
    </row>
    <row r="112" spans="1:14" s="20" customFormat="1" ht="18.75" customHeight="1" x14ac:dyDescent="0.3">
      <c r="A112" s="16"/>
      <c r="B112" s="17"/>
      <c r="C112" s="18"/>
      <c r="D112" s="17"/>
      <c r="E112" s="17"/>
      <c r="F112" s="19"/>
      <c r="G112" s="17"/>
      <c r="H112" s="17"/>
      <c r="I112" s="17"/>
      <c r="J112" s="17"/>
      <c r="K112" s="17"/>
      <c r="L112" s="17"/>
      <c r="M112" s="17"/>
      <c r="N112" s="17"/>
    </row>
    <row r="113" spans="1:14" s="20" customFormat="1" ht="18.75" customHeight="1" x14ac:dyDescent="0.3">
      <c r="A113" s="16"/>
      <c r="B113" s="17"/>
      <c r="C113" s="18"/>
      <c r="D113" s="17"/>
      <c r="E113" s="17"/>
      <c r="F113" s="19"/>
      <c r="G113" s="17"/>
      <c r="H113" s="17"/>
      <c r="I113" s="17"/>
      <c r="J113" s="17"/>
      <c r="K113" s="17"/>
      <c r="L113" s="17"/>
      <c r="M113" s="17"/>
      <c r="N113" s="17"/>
    </row>
    <row r="114" spans="1:14" s="20" customFormat="1" ht="18.75" customHeight="1" x14ac:dyDescent="0.3">
      <c r="A114" s="16"/>
      <c r="B114" s="17"/>
      <c r="C114" s="18"/>
      <c r="D114" s="17"/>
      <c r="E114" s="17"/>
      <c r="F114" s="19"/>
      <c r="G114" s="17"/>
      <c r="H114" s="17"/>
      <c r="I114" s="17"/>
      <c r="J114" s="17"/>
      <c r="K114" s="17"/>
      <c r="L114" s="17"/>
      <c r="M114" s="17"/>
      <c r="N114" s="17"/>
    </row>
    <row r="115" spans="1:14" s="20" customFormat="1" ht="18.75" customHeight="1" x14ac:dyDescent="0.3">
      <c r="A115" s="16"/>
      <c r="B115" s="17"/>
      <c r="C115" s="18"/>
      <c r="D115" s="17"/>
      <c r="E115" s="17"/>
      <c r="F115" s="19"/>
      <c r="G115" s="17"/>
      <c r="H115" s="17"/>
      <c r="I115" s="17"/>
      <c r="J115" s="17"/>
      <c r="K115" s="17"/>
      <c r="L115" s="17"/>
      <c r="M115" s="17"/>
      <c r="N115" s="17"/>
    </row>
    <row r="116" spans="1:14" s="20" customFormat="1" ht="18.75" customHeight="1" x14ac:dyDescent="0.3">
      <c r="A116" s="16"/>
      <c r="B116" s="17"/>
      <c r="C116" s="18"/>
      <c r="D116" s="17"/>
      <c r="E116" s="17"/>
      <c r="F116" s="19"/>
      <c r="G116" s="17"/>
      <c r="H116" s="17"/>
      <c r="I116" s="17"/>
      <c r="J116" s="17"/>
      <c r="K116" s="17"/>
      <c r="L116" s="17"/>
      <c r="M116" s="17"/>
      <c r="N116" s="17"/>
    </row>
    <row r="117" spans="1:14" s="20" customFormat="1" ht="18.75" customHeight="1" x14ac:dyDescent="0.3">
      <c r="A117" s="16"/>
      <c r="B117" s="17"/>
      <c r="C117" s="18"/>
      <c r="D117" s="17"/>
      <c r="E117" s="17"/>
      <c r="F117" s="19"/>
      <c r="G117" s="17"/>
      <c r="H117" s="17"/>
      <c r="I117" s="17"/>
      <c r="J117" s="17"/>
      <c r="K117" s="17"/>
      <c r="L117" s="17"/>
      <c r="M117" s="17"/>
      <c r="N117" s="17"/>
    </row>
    <row r="118" spans="1:14" s="20" customFormat="1" ht="18.75" customHeight="1" x14ac:dyDescent="0.3">
      <c r="A118" s="16"/>
      <c r="B118" s="17"/>
      <c r="C118" s="18"/>
      <c r="D118" s="17"/>
      <c r="E118" s="17"/>
      <c r="F118" s="19"/>
      <c r="G118" s="17"/>
      <c r="H118" s="17"/>
      <c r="I118" s="17"/>
      <c r="J118" s="17"/>
      <c r="K118" s="17"/>
      <c r="L118" s="17"/>
      <c r="M118" s="17"/>
      <c r="N118" s="17"/>
    </row>
    <row r="119" spans="1:14" s="20" customFormat="1" ht="18.75" customHeight="1" x14ac:dyDescent="0.3">
      <c r="A119" s="16"/>
      <c r="B119" s="17"/>
      <c r="C119" s="18"/>
      <c r="D119" s="17"/>
      <c r="E119" s="17"/>
      <c r="F119" s="19"/>
      <c r="G119" s="17"/>
      <c r="H119" s="17"/>
      <c r="I119" s="17"/>
      <c r="J119" s="17"/>
      <c r="K119" s="17"/>
      <c r="L119" s="17"/>
      <c r="M119" s="17"/>
      <c r="N119" s="17"/>
    </row>
    <row r="120" spans="1:14" s="20" customFormat="1" ht="18.75" customHeight="1" x14ac:dyDescent="0.3">
      <c r="A120" s="16"/>
      <c r="B120" s="17"/>
      <c r="C120" s="18"/>
      <c r="D120" s="17"/>
      <c r="E120" s="17"/>
      <c r="F120" s="19"/>
      <c r="G120" s="17"/>
      <c r="H120" s="17"/>
      <c r="I120" s="17"/>
      <c r="J120" s="17"/>
      <c r="K120" s="17"/>
      <c r="L120" s="17"/>
      <c r="M120" s="17"/>
      <c r="N120" s="17"/>
    </row>
    <row r="121" spans="1:14" s="20" customFormat="1" ht="18.75" customHeight="1" x14ac:dyDescent="0.3">
      <c r="A121" s="16"/>
      <c r="B121" s="17"/>
      <c r="C121" s="18"/>
      <c r="D121" s="17"/>
      <c r="E121" s="17"/>
      <c r="F121" s="19"/>
      <c r="G121" s="17"/>
      <c r="H121" s="17"/>
      <c r="I121" s="17"/>
      <c r="J121" s="17"/>
      <c r="K121" s="17"/>
      <c r="L121" s="17"/>
      <c r="M121" s="17"/>
      <c r="N121" s="17"/>
    </row>
    <row r="122" spans="1:14" s="20" customFormat="1" ht="18.75" customHeight="1" x14ac:dyDescent="0.3">
      <c r="A122" s="16"/>
      <c r="B122" s="17"/>
      <c r="C122" s="18"/>
      <c r="D122" s="17"/>
      <c r="E122" s="17"/>
      <c r="F122" s="19"/>
      <c r="G122" s="17"/>
      <c r="H122" s="17"/>
      <c r="I122" s="17"/>
      <c r="J122" s="17"/>
      <c r="K122" s="17"/>
      <c r="L122" s="17"/>
      <c r="M122" s="17"/>
      <c r="N122" s="17"/>
    </row>
    <row r="123" spans="1:14" s="20" customFormat="1" ht="18.75" customHeight="1" x14ac:dyDescent="0.3">
      <c r="A123" s="16"/>
      <c r="B123" s="17"/>
      <c r="C123" s="18"/>
      <c r="D123" s="17"/>
      <c r="E123" s="17"/>
      <c r="F123" s="19"/>
      <c r="G123" s="17"/>
      <c r="H123" s="17"/>
      <c r="I123" s="17"/>
      <c r="J123" s="17"/>
      <c r="K123" s="17"/>
      <c r="L123" s="17"/>
      <c r="M123" s="17"/>
      <c r="N123" s="17"/>
    </row>
    <row r="124" spans="1:14" s="20" customFormat="1" ht="18.75" customHeight="1" x14ac:dyDescent="0.3">
      <c r="A124" s="16"/>
      <c r="B124" s="17"/>
      <c r="C124" s="18"/>
      <c r="D124" s="17"/>
      <c r="E124" s="17"/>
      <c r="F124" s="19"/>
      <c r="G124" s="17"/>
      <c r="H124" s="17"/>
      <c r="I124" s="17"/>
      <c r="J124" s="17"/>
      <c r="K124" s="17"/>
      <c r="L124" s="17"/>
      <c r="M124" s="17"/>
      <c r="N124" s="17"/>
    </row>
    <row r="125" spans="1:14" s="20" customFormat="1" ht="18.75" customHeight="1" x14ac:dyDescent="0.3">
      <c r="A125" s="16"/>
      <c r="B125" s="17"/>
      <c r="C125" s="18"/>
      <c r="D125" s="17"/>
      <c r="E125" s="17"/>
      <c r="F125" s="19"/>
      <c r="G125" s="17"/>
      <c r="H125" s="17"/>
      <c r="I125" s="17"/>
      <c r="J125" s="17"/>
      <c r="K125" s="17"/>
      <c r="L125" s="17"/>
      <c r="M125" s="17"/>
      <c r="N125" s="17"/>
    </row>
    <row r="126" spans="1:14" s="20" customFormat="1" ht="18.75" customHeight="1" x14ac:dyDescent="0.3">
      <c r="A126" s="16"/>
      <c r="B126" s="17"/>
      <c r="C126" s="18"/>
      <c r="D126" s="17"/>
      <c r="E126" s="17"/>
      <c r="F126" s="19"/>
      <c r="G126" s="17"/>
      <c r="H126" s="17"/>
      <c r="I126" s="17"/>
      <c r="J126" s="17"/>
      <c r="K126" s="17"/>
      <c r="L126" s="17"/>
      <c r="M126" s="17"/>
      <c r="N126" s="17"/>
    </row>
    <row r="127" spans="1:14" s="20" customFormat="1" ht="18.75" customHeight="1" x14ac:dyDescent="0.3">
      <c r="A127" s="16"/>
      <c r="B127" s="17"/>
      <c r="C127" s="18"/>
      <c r="D127" s="17"/>
      <c r="E127" s="17"/>
      <c r="F127" s="19"/>
      <c r="G127" s="17"/>
      <c r="H127" s="17"/>
      <c r="I127" s="17"/>
      <c r="J127" s="17"/>
      <c r="K127" s="17"/>
      <c r="L127" s="17"/>
      <c r="M127" s="17"/>
      <c r="N127" s="17"/>
    </row>
    <row r="128" spans="1:14" s="20" customFormat="1" ht="18.75" customHeight="1" x14ac:dyDescent="0.3">
      <c r="A128" s="16"/>
      <c r="B128" s="17"/>
      <c r="C128" s="18"/>
      <c r="D128" s="17"/>
      <c r="E128" s="17"/>
      <c r="F128" s="19"/>
      <c r="G128" s="17"/>
      <c r="H128" s="17"/>
      <c r="I128" s="17"/>
      <c r="J128" s="17"/>
      <c r="K128" s="17"/>
      <c r="L128" s="17"/>
      <c r="M128" s="17"/>
      <c r="N128" s="17"/>
    </row>
    <row r="129" spans="1:14" s="20" customFormat="1" ht="18.75" customHeight="1" x14ac:dyDescent="0.3">
      <c r="A129" s="16"/>
      <c r="B129" s="17"/>
      <c r="C129" s="18"/>
      <c r="D129" s="17"/>
      <c r="E129" s="17"/>
      <c r="F129" s="19"/>
      <c r="G129" s="17"/>
      <c r="H129" s="17"/>
      <c r="I129" s="17"/>
      <c r="J129" s="17"/>
      <c r="K129" s="17"/>
      <c r="L129" s="17"/>
      <c r="M129" s="17"/>
      <c r="N129" s="17"/>
    </row>
    <row r="130" spans="1:14" s="20" customFormat="1" ht="18.75" customHeight="1" x14ac:dyDescent="0.3">
      <c r="A130" s="16"/>
      <c r="B130" s="17"/>
      <c r="C130" s="18"/>
      <c r="D130" s="17"/>
      <c r="E130" s="17"/>
      <c r="F130" s="19"/>
      <c r="G130" s="17"/>
      <c r="H130" s="17"/>
      <c r="I130" s="17"/>
      <c r="J130" s="17"/>
      <c r="K130" s="17"/>
      <c r="L130" s="17"/>
      <c r="M130" s="17"/>
      <c r="N130" s="17"/>
    </row>
    <row r="131" spans="1:14" s="20" customFormat="1" ht="18.75" customHeight="1" x14ac:dyDescent="0.3">
      <c r="A131" s="16"/>
      <c r="B131" s="17"/>
      <c r="C131" s="18"/>
      <c r="D131" s="17"/>
      <c r="E131" s="17"/>
      <c r="F131" s="19"/>
      <c r="G131" s="17"/>
      <c r="H131" s="17"/>
      <c r="I131" s="17"/>
      <c r="J131" s="17"/>
      <c r="K131" s="17"/>
      <c r="L131" s="17"/>
      <c r="M131" s="17"/>
      <c r="N131" s="17"/>
    </row>
    <row r="132" spans="1:14" s="20" customFormat="1" ht="18.75" customHeight="1" x14ac:dyDescent="0.3">
      <c r="A132" s="16"/>
      <c r="B132" s="17"/>
      <c r="C132" s="18"/>
      <c r="D132" s="17"/>
      <c r="E132" s="17"/>
      <c r="F132" s="19"/>
      <c r="G132" s="17"/>
      <c r="H132" s="17"/>
      <c r="I132" s="17"/>
      <c r="J132" s="17"/>
      <c r="K132" s="17"/>
      <c r="L132" s="17"/>
      <c r="M132" s="17"/>
      <c r="N132" s="17"/>
    </row>
    <row r="133" spans="1:14" s="20" customFormat="1" ht="18.75" customHeight="1" x14ac:dyDescent="0.3">
      <c r="A133" s="16"/>
      <c r="B133" s="17"/>
      <c r="C133" s="18"/>
      <c r="D133" s="17"/>
      <c r="E133" s="17"/>
      <c r="F133" s="19"/>
      <c r="G133" s="17"/>
      <c r="H133" s="17"/>
      <c r="I133" s="17"/>
      <c r="J133" s="17"/>
      <c r="K133" s="17"/>
      <c r="L133" s="17"/>
      <c r="M133" s="17"/>
      <c r="N133" s="17"/>
    </row>
    <row r="134" spans="1:14" s="20" customFormat="1" ht="18.75" customHeight="1" x14ac:dyDescent="0.3">
      <c r="A134" s="16"/>
      <c r="B134" s="17"/>
      <c r="C134" s="18"/>
      <c r="D134" s="17"/>
      <c r="E134" s="17"/>
      <c r="F134" s="19"/>
      <c r="G134" s="17"/>
      <c r="H134" s="17"/>
      <c r="I134" s="17"/>
      <c r="J134" s="17"/>
      <c r="K134" s="17"/>
      <c r="L134" s="17"/>
      <c r="M134" s="17"/>
      <c r="N134" s="17"/>
    </row>
    <row r="135" spans="1:14" s="20" customFormat="1" ht="18.75" customHeight="1" x14ac:dyDescent="0.3">
      <c r="A135" s="16"/>
      <c r="B135" s="17"/>
      <c r="C135" s="18"/>
      <c r="D135" s="17"/>
      <c r="E135" s="17"/>
      <c r="F135" s="19"/>
      <c r="G135" s="17"/>
      <c r="H135" s="17"/>
      <c r="I135" s="17"/>
      <c r="J135" s="17"/>
      <c r="K135" s="17"/>
      <c r="L135" s="17"/>
      <c r="M135" s="17"/>
      <c r="N135" s="17"/>
    </row>
    <row r="136" spans="1:14" s="20" customFormat="1" ht="18.75" customHeight="1" x14ac:dyDescent="0.3">
      <c r="A136" s="16"/>
      <c r="B136" s="17"/>
      <c r="C136" s="18"/>
      <c r="D136" s="17"/>
      <c r="E136" s="17"/>
      <c r="F136" s="19"/>
      <c r="G136" s="17"/>
      <c r="H136" s="17"/>
      <c r="I136" s="17"/>
      <c r="J136" s="17"/>
      <c r="K136" s="17"/>
      <c r="L136" s="17"/>
      <c r="M136" s="17"/>
      <c r="N136" s="17"/>
    </row>
    <row r="137" spans="1:14" s="20" customFormat="1" ht="18.75" customHeight="1" x14ac:dyDescent="0.3">
      <c r="A137" s="16"/>
      <c r="B137" s="17"/>
      <c r="C137" s="18"/>
      <c r="D137" s="17"/>
      <c r="E137" s="17"/>
      <c r="F137" s="19"/>
      <c r="G137" s="17"/>
      <c r="H137" s="17"/>
      <c r="I137" s="17"/>
      <c r="J137" s="17"/>
      <c r="K137" s="17"/>
      <c r="L137" s="17"/>
      <c r="M137" s="17"/>
      <c r="N137" s="17"/>
    </row>
    <row r="138" spans="1:14" s="20" customFormat="1" ht="18.75" customHeight="1" x14ac:dyDescent="0.3">
      <c r="A138" s="16"/>
      <c r="B138" s="17"/>
      <c r="C138" s="18"/>
      <c r="D138" s="17"/>
      <c r="E138" s="17"/>
      <c r="F138" s="19"/>
      <c r="G138" s="17"/>
      <c r="H138" s="17"/>
      <c r="I138" s="17"/>
      <c r="J138" s="17"/>
      <c r="K138" s="17"/>
      <c r="L138" s="17"/>
      <c r="M138" s="17"/>
      <c r="N138" s="17"/>
    </row>
    <row r="139" spans="1:14" s="20" customFormat="1" ht="18.75" customHeight="1" x14ac:dyDescent="0.3">
      <c r="A139" s="16"/>
      <c r="B139" s="17"/>
      <c r="C139" s="18"/>
      <c r="D139" s="17"/>
      <c r="E139" s="17"/>
      <c r="F139" s="19"/>
      <c r="G139" s="17"/>
      <c r="H139" s="17"/>
      <c r="I139" s="17"/>
      <c r="J139" s="17"/>
      <c r="K139" s="17"/>
      <c r="L139" s="17"/>
      <c r="M139" s="17"/>
      <c r="N139" s="17"/>
    </row>
    <row r="140" spans="1:14" s="20" customFormat="1" ht="18.75" customHeight="1" x14ac:dyDescent="0.3">
      <c r="A140" s="16"/>
      <c r="B140" s="17"/>
      <c r="C140" s="18"/>
      <c r="D140" s="17"/>
      <c r="E140" s="17"/>
      <c r="F140" s="19"/>
      <c r="G140" s="17"/>
      <c r="H140" s="17"/>
      <c r="I140" s="17"/>
      <c r="J140" s="17"/>
      <c r="K140" s="17"/>
      <c r="L140" s="17"/>
      <c r="M140" s="17"/>
      <c r="N140" s="17"/>
    </row>
    <row r="141" spans="1:14" s="20" customFormat="1" ht="18.75" customHeight="1" x14ac:dyDescent="0.3">
      <c r="A141" s="16"/>
      <c r="B141" s="17"/>
      <c r="C141" s="18"/>
      <c r="D141" s="17"/>
      <c r="E141" s="17"/>
      <c r="F141" s="19"/>
      <c r="G141" s="17"/>
      <c r="H141" s="17"/>
      <c r="I141" s="17"/>
      <c r="J141" s="17"/>
      <c r="K141" s="17"/>
      <c r="L141" s="17"/>
      <c r="M141" s="17"/>
      <c r="N141" s="17"/>
    </row>
    <row r="142" spans="1:14" s="20" customFormat="1" ht="18.75" customHeight="1" x14ac:dyDescent="0.3">
      <c r="A142" s="16"/>
      <c r="B142" s="17"/>
      <c r="C142" s="18"/>
      <c r="D142" s="17"/>
      <c r="E142" s="17"/>
      <c r="F142" s="19"/>
      <c r="G142" s="17"/>
      <c r="H142" s="17"/>
      <c r="I142" s="17"/>
      <c r="J142" s="17"/>
      <c r="K142" s="17"/>
      <c r="L142" s="17"/>
      <c r="M142" s="17"/>
      <c r="N142" s="17"/>
    </row>
    <row r="143" spans="1:14" s="20" customFormat="1" ht="18.75" customHeight="1" x14ac:dyDescent="0.3">
      <c r="A143" s="16"/>
      <c r="B143" s="17"/>
      <c r="C143" s="18"/>
      <c r="D143" s="17"/>
      <c r="E143" s="17"/>
      <c r="F143" s="19"/>
      <c r="G143" s="17"/>
      <c r="H143" s="17"/>
      <c r="I143" s="17"/>
      <c r="J143" s="17"/>
      <c r="K143" s="17"/>
      <c r="L143" s="17"/>
      <c r="M143" s="17"/>
      <c r="N143" s="17"/>
    </row>
    <row r="144" spans="1:14" s="20" customFormat="1" ht="18.75" customHeight="1" x14ac:dyDescent="0.3">
      <c r="A144" s="16"/>
      <c r="B144" s="17"/>
      <c r="C144" s="18"/>
      <c r="D144" s="17"/>
      <c r="E144" s="17"/>
      <c r="F144" s="19"/>
      <c r="G144" s="17"/>
      <c r="H144" s="17"/>
      <c r="I144" s="17"/>
      <c r="J144" s="17"/>
      <c r="K144" s="17"/>
      <c r="L144" s="17"/>
      <c r="M144" s="17"/>
      <c r="N144" s="17"/>
    </row>
    <row r="145" spans="1:14" s="20" customFormat="1" ht="18.75" customHeight="1" x14ac:dyDescent="0.3">
      <c r="A145" s="16"/>
      <c r="B145" s="17"/>
      <c r="C145" s="18"/>
      <c r="D145" s="17"/>
      <c r="E145" s="17"/>
      <c r="F145" s="19"/>
      <c r="G145" s="17"/>
      <c r="H145" s="17"/>
      <c r="I145" s="17"/>
      <c r="J145" s="17"/>
      <c r="K145" s="17"/>
      <c r="L145" s="17"/>
      <c r="M145" s="17"/>
      <c r="N145" s="17"/>
    </row>
    <row r="146" spans="1:14" s="20" customFormat="1" ht="18.75" customHeight="1" x14ac:dyDescent="0.3">
      <c r="A146" s="16"/>
      <c r="B146" s="17"/>
      <c r="C146" s="18"/>
      <c r="D146" s="17"/>
      <c r="E146" s="17"/>
      <c r="F146" s="19"/>
      <c r="G146" s="17"/>
      <c r="H146" s="17"/>
      <c r="I146" s="17"/>
      <c r="J146" s="17"/>
      <c r="K146" s="17"/>
      <c r="L146" s="17"/>
      <c r="M146" s="17"/>
      <c r="N146" s="17"/>
    </row>
    <row r="147" spans="1:14" s="20" customFormat="1" ht="18.75" customHeight="1" x14ac:dyDescent="0.3">
      <c r="A147" s="16"/>
      <c r="B147" s="17"/>
      <c r="C147" s="18"/>
      <c r="D147" s="17"/>
      <c r="E147" s="17"/>
      <c r="F147" s="19"/>
      <c r="G147" s="17"/>
      <c r="H147" s="17"/>
      <c r="I147" s="17"/>
      <c r="J147" s="17"/>
      <c r="K147" s="17"/>
      <c r="L147" s="17"/>
      <c r="M147" s="17"/>
      <c r="N147" s="17"/>
    </row>
    <row r="148" spans="1:14" s="20" customFormat="1" ht="18.75" customHeight="1" x14ac:dyDescent="0.3">
      <c r="A148" s="16"/>
      <c r="B148" s="17"/>
      <c r="C148" s="18"/>
      <c r="D148" s="17"/>
      <c r="E148" s="17"/>
      <c r="F148" s="19"/>
      <c r="G148" s="17"/>
      <c r="H148" s="17"/>
      <c r="I148" s="17"/>
      <c r="J148" s="17"/>
      <c r="K148" s="17"/>
      <c r="L148" s="17"/>
      <c r="M148" s="17"/>
      <c r="N148" s="17"/>
    </row>
    <row r="149" spans="1:14" s="20" customFormat="1" ht="18.75" customHeight="1" x14ac:dyDescent="0.3">
      <c r="A149" s="16"/>
      <c r="B149" s="17"/>
      <c r="C149" s="18"/>
      <c r="D149" s="17"/>
      <c r="E149" s="17"/>
      <c r="F149" s="19"/>
      <c r="G149" s="17"/>
      <c r="H149" s="17"/>
      <c r="I149" s="17"/>
      <c r="J149" s="17"/>
      <c r="K149" s="17"/>
      <c r="L149" s="17"/>
      <c r="M149" s="17"/>
      <c r="N149" s="17"/>
    </row>
    <row r="150" spans="1:14" s="20" customFormat="1" ht="18.75" customHeight="1" x14ac:dyDescent="0.3">
      <c r="A150" s="16"/>
      <c r="B150" s="17"/>
      <c r="C150" s="18"/>
      <c r="D150" s="17"/>
      <c r="E150" s="17"/>
      <c r="F150" s="19"/>
      <c r="G150" s="17"/>
      <c r="H150" s="17"/>
      <c r="I150" s="17"/>
      <c r="J150" s="17"/>
      <c r="K150" s="17"/>
      <c r="L150" s="17"/>
      <c r="M150" s="17"/>
      <c r="N150" s="17"/>
    </row>
    <row r="151" spans="1:14" s="20" customFormat="1" ht="18.75" customHeight="1" x14ac:dyDescent="0.3">
      <c r="A151" s="16"/>
      <c r="B151" s="17"/>
      <c r="C151" s="18"/>
      <c r="D151" s="17"/>
      <c r="E151" s="17"/>
      <c r="F151" s="19"/>
      <c r="G151" s="17"/>
      <c r="H151" s="17"/>
      <c r="I151" s="17"/>
      <c r="J151" s="17"/>
      <c r="K151" s="17"/>
      <c r="L151" s="17"/>
      <c r="M151" s="17"/>
      <c r="N151" s="17"/>
    </row>
    <row r="152" spans="1:14" s="20" customFormat="1" ht="18.75" customHeight="1" x14ac:dyDescent="0.3">
      <c r="A152" s="16"/>
      <c r="B152" s="17"/>
      <c r="C152" s="18"/>
      <c r="D152" s="17"/>
      <c r="E152" s="17"/>
      <c r="F152" s="19"/>
      <c r="G152" s="17"/>
      <c r="H152" s="17"/>
      <c r="I152" s="17"/>
      <c r="J152" s="17"/>
      <c r="K152" s="17"/>
      <c r="L152" s="17"/>
      <c r="M152" s="17"/>
      <c r="N152" s="17"/>
    </row>
    <row r="153" spans="1:14" s="20" customFormat="1" ht="18.75" customHeight="1" x14ac:dyDescent="0.3">
      <c r="A153" s="16"/>
      <c r="B153" s="17"/>
      <c r="C153" s="18"/>
      <c r="D153" s="17"/>
      <c r="E153" s="17"/>
      <c r="F153" s="19"/>
      <c r="G153" s="17"/>
      <c r="H153" s="17"/>
      <c r="I153" s="17"/>
      <c r="J153" s="17"/>
      <c r="K153" s="17"/>
      <c r="L153" s="17"/>
      <c r="M153" s="17"/>
      <c r="N153" s="17"/>
    </row>
    <row r="154" spans="1:14" s="20" customFormat="1" ht="18.75" customHeight="1" x14ac:dyDescent="0.3">
      <c r="A154" s="16"/>
      <c r="B154" s="17"/>
      <c r="C154" s="18"/>
      <c r="D154" s="17"/>
      <c r="E154" s="17"/>
      <c r="F154" s="19"/>
      <c r="G154" s="17"/>
      <c r="H154" s="17"/>
      <c r="I154" s="17"/>
      <c r="J154" s="17"/>
      <c r="K154" s="17"/>
      <c r="L154" s="17"/>
      <c r="M154" s="17"/>
      <c r="N154" s="17"/>
    </row>
    <row r="155" spans="1:14" s="20" customFormat="1" ht="18.75" customHeight="1" x14ac:dyDescent="0.3">
      <c r="A155" s="16"/>
      <c r="B155" s="17"/>
      <c r="C155" s="18"/>
      <c r="D155" s="17"/>
      <c r="E155" s="17"/>
      <c r="F155" s="19"/>
      <c r="G155" s="17"/>
      <c r="H155" s="17"/>
      <c r="I155" s="17"/>
      <c r="J155" s="17"/>
      <c r="K155" s="17"/>
      <c r="L155" s="17"/>
      <c r="M155" s="17"/>
      <c r="N155" s="17"/>
    </row>
    <row r="156" spans="1:14" s="20" customFormat="1" ht="18.75" customHeight="1" x14ac:dyDescent="0.3">
      <c r="A156" s="16"/>
      <c r="B156" s="17"/>
      <c r="C156" s="18"/>
      <c r="D156" s="17"/>
      <c r="E156" s="17"/>
      <c r="F156" s="19"/>
      <c r="G156" s="17"/>
      <c r="H156" s="17"/>
      <c r="I156" s="17"/>
      <c r="J156" s="17"/>
      <c r="K156" s="17"/>
      <c r="L156" s="17"/>
      <c r="M156" s="17"/>
      <c r="N156" s="17"/>
    </row>
    <row r="157" spans="1:14" s="20" customFormat="1" ht="18.75" customHeight="1" x14ac:dyDescent="0.3">
      <c r="A157" s="16"/>
      <c r="B157" s="17"/>
      <c r="C157" s="18"/>
      <c r="D157" s="17"/>
      <c r="E157" s="17"/>
      <c r="F157" s="19"/>
      <c r="G157" s="17"/>
      <c r="H157" s="17"/>
      <c r="I157" s="17"/>
      <c r="J157" s="17"/>
      <c r="K157" s="17"/>
      <c r="L157" s="17"/>
      <c r="M157" s="17"/>
      <c r="N157" s="17"/>
    </row>
    <row r="158" spans="1:14" s="20" customFormat="1" ht="18.75" customHeight="1" x14ac:dyDescent="0.3">
      <c r="A158" s="16"/>
      <c r="B158" s="17"/>
      <c r="C158" s="18"/>
      <c r="D158" s="17"/>
      <c r="E158" s="17"/>
      <c r="F158" s="19"/>
      <c r="G158" s="17"/>
      <c r="H158" s="17"/>
      <c r="I158" s="17"/>
      <c r="J158" s="17"/>
      <c r="K158" s="17"/>
      <c r="L158" s="17"/>
      <c r="M158" s="17"/>
      <c r="N158" s="17"/>
    </row>
    <row r="159" spans="1:14" s="20" customFormat="1" ht="18.75" customHeight="1" x14ac:dyDescent="0.3">
      <c r="A159" s="16"/>
      <c r="B159" s="17"/>
      <c r="C159" s="18"/>
      <c r="D159" s="17"/>
      <c r="E159" s="17"/>
      <c r="F159" s="19"/>
      <c r="G159" s="17"/>
      <c r="H159" s="17"/>
      <c r="I159" s="17"/>
      <c r="J159" s="17"/>
      <c r="K159" s="17"/>
      <c r="L159" s="17"/>
      <c r="M159" s="17"/>
      <c r="N159" s="17"/>
    </row>
    <row r="160" spans="1:14" s="20" customFormat="1" ht="18.75" customHeight="1" x14ac:dyDescent="0.3">
      <c r="A160" s="16"/>
      <c r="B160" s="17"/>
      <c r="C160" s="18"/>
      <c r="D160" s="17"/>
      <c r="E160" s="17"/>
      <c r="F160" s="19"/>
      <c r="G160" s="17"/>
      <c r="H160" s="17"/>
      <c r="I160" s="17"/>
      <c r="J160" s="17"/>
      <c r="K160" s="17"/>
      <c r="L160" s="17"/>
      <c r="M160" s="17"/>
      <c r="N160" s="17"/>
    </row>
    <row r="161" spans="1:14" s="20" customFormat="1" ht="18.75" customHeight="1" x14ac:dyDescent="0.3">
      <c r="A161" s="16"/>
      <c r="B161" s="17"/>
      <c r="C161" s="18"/>
      <c r="D161" s="17"/>
      <c r="E161" s="17"/>
      <c r="F161" s="19"/>
      <c r="G161" s="17"/>
      <c r="H161" s="17"/>
      <c r="I161" s="17"/>
      <c r="J161" s="17"/>
      <c r="K161" s="17"/>
      <c r="L161" s="17"/>
      <c r="M161" s="17"/>
      <c r="N161" s="17"/>
    </row>
    <row r="162" spans="1:14" s="20" customFormat="1" ht="18.75" customHeight="1" x14ac:dyDescent="0.3">
      <c r="A162" s="16"/>
      <c r="B162" s="17"/>
      <c r="C162" s="18"/>
      <c r="D162" s="17"/>
      <c r="E162" s="17"/>
      <c r="F162" s="19"/>
      <c r="G162" s="17"/>
      <c r="H162" s="17"/>
      <c r="I162" s="17"/>
      <c r="J162" s="17"/>
      <c r="K162" s="17"/>
      <c r="L162" s="17"/>
      <c r="M162" s="17"/>
      <c r="N162" s="17"/>
    </row>
    <row r="163" spans="1:14" s="20" customFormat="1" ht="18.75" customHeight="1" x14ac:dyDescent="0.3">
      <c r="A163" s="16"/>
      <c r="B163" s="17"/>
      <c r="C163" s="18"/>
      <c r="D163" s="17"/>
      <c r="E163" s="17"/>
      <c r="F163" s="19"/>
      <c r="G163" s="17"/>
      <c r="H163" s="17"/>
      <c r="I163" s="17"/>
      <c r="J163" s="17"/>
      <c r="K163" s="17"/>
      <c r="L163" s="17"/>
      <c r="M163" s="17"/>
      <c r="N163" s="17"/>
    </row>
    <row r="164" spans="1:14" s="20" customFormat="1" ht="18.75" customHeight="1" x14ac:dyDescent="0.3">
      <c r="A164" s="16"/>
      <c r="B164" s="17"/>
      <c r="C164" s="18"/>
      <c r="D164" s="17"/>
      <c r="E164" s="17"/>
      <c r="F164" s="19"/>
      <c r="G164" s="17"/>
      <c r="H164" s="17"/>
      <c r="I164" s="17"/>
      <c r="J164" s="17"/>
      <c r="K164" s="17"/>
      <c r="L164" s="17"/>
      <c r="M164" s="17"/>
      <c r="N164" s="17"/>
    </row>
    <row r="165" spans="1:14" s="20" customFormat="1" ht="18.75" customHeight="1" x14ac:dyDescent="0.3">
      <c r="A165" s="16"/>
      <c r="B165" s="17"/>
      <c r="C165" s="18"/>
      <c r="D165" s="17"/>
      <c r="E165" s="17"/>
      <c r="F165" s="19"/>
      <c r="G165" s="17"/>
      <c r="H165" s="17"/>
      <c r="I165" s="17"/>
      <c r="J165" s="17"/>
      <c r="K165" s="17"/>
      <c r="L165" s="17"/>
      <c r="M165" s="17"/>
      <c r="N165" s="17"/>
    </row>
    <row r="166" spans="1:14" s="20" customFormat="1" ht="18.75" customHeight="1" x14ac:dyDescent="0.3">
      <c r="A166" s="16"/>
      <c r="B166" s="17"/>
      <c r="C166" s="18"/>
      <c r="D166" s="17"/>
      <c r="E166" s="17"/>
      <c r="F166" s="19"/>
      <c r="G166" s="17"/>
      <c r="H166" s="17"/>
      <c r="I166" s="17"/>
      <c r="J166" s="17"/>
      <c r="K166" s="17"/>
      <c r="L166" s="17"/>
      <c r="M166" s="17"/>
      <c r="N166" s="17"/>
    </row>
    <row r="167" spans="1:14" s="20" customFormat="1" ht="18.75" customHeight="1" x14ac:dyDescent="0.3">
      <c r="A167" s="16"/>
      <c r="B167" s="17"/>
      <c r="C167" s="18"/>
      <c r="D167" s="17"/>
      <c r="E167" s="17"/>
      <c r="F167" s="19"/>
      <c r="G167" s="17"/>
      <c r="H167" s="17"/>
      <c r="I167" s="17"/>
      <c r="J167" s="17"/>
      <c r="K167" s="17"/>
      <c r="L167" s="17"/>
      <c r="M167" s="17"/>
      <c r="N167" s="17"/>
    </row>
    <row r="168" spans="1:14" s="20" customFormat="1" ht="18.75" customHeight="1" x14ac:dyDescent="0.3">
      <c r="A168" s="16"/>
      <c r="B168" s="17"/>
      <c r="C168" s="18"/>
      <c r="D168" s="17"/>
      <c r="E168" s="17"/>
      <c r="F168" s="19"/>
      <c r="G168" s="17"/>
      <c r="H168" s="17"/>
      <c r="I168" s="17"/>
      <c r="J168" s="17"/>
      <c r="K168" s="17"/>
      <c r="L168" s="17"/>
      <c r="M168" s="17"/>
      <c r="N168" s="17"/>
    </row>
    <row r="169" spans="1:14" s="20" customFormat="1" ht="18.75" customHeight="1" x14ac:dyDescent="0.3">
      <c r="A169" s="16"/>
      <c r="B169" s="17"/>
      <c r="C169" s="18"/>
      <c r="D169" s="17"/>
      <c r="E169" s="17"/>
      <c r="F169" s="19"/>
      <c r="G169" s="17"/>
      <c r="H169" s="17"/>
      <c r="I169" s="17"/>
      <c r="J169" s="17"/>
      <c r="K169" s="17"/>
      <c r="L169" s="17"/>
      <c r="M169" s="17"/>
      <c r="N169" s="17"/>
    </row>
    <row r="170" spans="1:14" s="20" customFormat="1" ht="18.75" customHeight="1" x14ac:dyDescent="0.3">
      <c r="A170" s="16"/>
      <c r="B170" s="17"/>
      <c r="C170" s="18"/>
      <c r="D170" s="17"/>
      <c r="E170" s="17"/>
      <c r="F170" s="19"/>
      <c r="G170" s="17"/>
      <c r="H170" s="17"/>
      <c r="I170" s="17"/>
      <c r="J170" s="17"/>
      <c r="K170" s="17"/>
      <c r="L170" s="17"/>
      <c r="M170" s="17"/>
      <c r="N170" s="17"/>
    </row>
    <row r="171" spans="1:14" s="20" customFormat="1" ht="18.75" customHeight="1" x14ac:dyDescent="0.3">
      <c r="A171" s="16"/>
      <c r="B171" s="17"/>
      <c r="C171" s="18"/>
      <c r="D171" s="17"/>
      <c r="E171" s="17"/>
      <c r="F171" s="19"/>
      <c r="G171" s="17"/>
      <c r="H171" s="17"/>
      <c r="I171" s="17"/>
      <c r="J171" s="17"/>
      <c r="K171" s="17"/>
      <c r="L171" s="17"/>
      <c r="M171" s="17"/>
      <c r="N171" s="17"/>
    </row>
    <row r="172" spans="1:14" s="20" customFormat="1" ht="18.75" customHeight="1" x14ac:dyDescent="0.3">
      <c r="A172" s="16"/>
      <c r="B172" s="17"/>
      <c r="C172" s="18"/>
      <c r="D172" s="17"/>
      <c r="E172" s="17"/>
      <c r="F172" s="19"/>
      <c r="G172" s="17"/>
      <c r="H172" s="17"/>
      <c r="I172" s="17"/>
      <c r="J172" s="17"/>
      <c r="K172" s="17"/>
      <c r="L172" s="17"/>
      <c r="M172" s="17"/>
      <c r="N172" s="17"/>
    </row>
    <row r="173" spans="1:14" s="20" customFormat="1" ht="18.75" customHeight="1" x14ac:dyDescent="0.3">
      <c r="A173" s="16"/>
      <c r="B173" s="17"/>
      <c r="C173" s="18"/>
      <c r="D173" s="17"/>
      <c r="E173" s="17"/>
      <c r="F173" s="19"/>
      <c r="G173" s="17"/>
      <c r="H173" s="17"/>
      <c r="I173" s="17"/>
      <c r="J173" s="17"/>
      <c r="K173" s="17"/>
      <c r="L173" s="17"/>
      <c r="M173" s="17"/>
      <c r="N173" s="17"/>
    </row>
    <row r="174" spans="1:14" s="20" customFormat="1" ht="18.75" customHeight="1" x14ac:dyDescent="0.3">
      <c r="A174" s="16"/>
      <c r="B174" s="17"/>
      <c r="C174" s="18"/>
      <c r="D174" s="17"/>
      <c r="E174" s="17"/>
      <c r="F174" s="19"/>
      <c r="G174" s="17"/>
      <c r="H174" s="17"/>
      <c r="I174" s="17"/>
      <c r="J174" s="17"/>
      <c r="K174" s="17"/>
      <c r="L174" s="17"/>
      <c r="M174" s="17"/>
      <c r="N174" s="17"/>
    </row>
    <row r="175" spans="1:14" s="20" customFormat="1" ht="18.75" customHeight="1" x14ac:dyDescent="0.3">
      <c r="A175" s="16"/>
      <c r="B175" s="17"/>
      <c r="C175" s="18"/>
      <c r="D175" s="17"/>
      <c r="E175" s="17"/>
      <c r="F175" s="19"/>
      <c r="G175" s="17"/>
      <c r="H175" s="17"/>
      <c r="I175" s="17"/>
      <c r="J175" s="17"/>
      <c r="K175" s="17"/>
      <c r="L175" s="17"/>
      <c r="M175" s="17"/>
      <c r="N175" s="17"/>
    </row>
    <row r="176" spans="1:14" s="20" customFormat="1" ht="18.75" customHeight="1" x14ac:dyDescent="0.3">
      <c r="A176" s="16"/>
      <c r="B176" s="17"/>
      <c r="C176" s="18"/>
      <c r="D176" s="17"/>
      <c r="E176" s="17"/>
      <c r="F176" s="19"/>
      <c r="G176" s="17"/>
      <c r="H176" s="17"/>
      <c r="I176" s="17"/>
      <c r="J176" s="17"/>
      <c r="K176" s="17"/>
      <c r="L176" s="17"/>
      <c r="M176" s="17"/>
      <c r="N176" s="17"/>
    </row>
    <row r="177" spans="1:14" s="20" customFormat="1" ht="18.75" customHeight="1" x14ac:dyDescent="0.3">
      <c r="A177" s="16"/>
      <c r="B177" s="17"/>
      <c r="C177" s="18"/>
      <c r="D177" s="17"/>
      <c r="E177" s="17"/>
      <c r="F177" s="19"/>
      <c r="G177" s="17"/>
      <c r="H177" s="17"/>
      <c r="I177" s="17"/>
      <c r="J177" s="17"/>
      <c r="K177" s="17"/>
      <c r="L177" s="17"/>
      <c r="M177" s="17"/>
      <c r="N177" s="17"/>
    </row>
    <row r="178" spans="1:14" s="20" customFormat="1" ht="18.75" customHeight="1" x14ac:dyDescent="0.3">
      <c r="A178" s="16"/>
      <c r="B178" s="17"/>
      <c r="C178" s="18"/>
      <c r="D178" s="17"/>
      <c r="E178" s="17"/>
      <c r="F178" s="19"/>
      <c r="G178" s="17"/>
      <c r="H178" s="17"/>
      <c r="I178" s="17"/>
      <c r="J178" s="17"/>
      <c r="K178" s="17"/>
      <c r="L178" s="17"/>
      <c r="M178" s="17"/>
      <c r="N178" s="17"/>
    </row>
    <row r="179" spans="1:14" s="20" customFormat="1" ht="18.75" customHeight="1" x14ac:dyDescent="0.3">
      <c r="A179" s="16"/>
      <c r="B179" s="17"/>
      <c r="C179" s="18"/>
      <c r="D179" s="17"/>
      <c r="E179" s="17"/>
      <c r="F179" s="19"/>
      <c r="G179" s="17"/>
      <c r="H179" s="17"/>
      <c r="I179" s="17"/>
      <c r="J179" s="17"/>
      <c r="K179" s="17"/>
      <c r="L179" s="17"/>
      <c r="M179" s="17"/>
      <c r="N179" s="17"/>
    </row>
    <row r="180" spans="1:14" s="20" customFormat="1" ht="18.75" customHeight="1" x14ac:dyDescent="0.3">
      <c r="A180" s="16"/>
      <c r="B180" s="17"/>
      <c r="C180" s="18"/>
      <c r="D180" s="17"/>
      <c r="E180" s="17"/>
      <c r="F180" s="19"/>
      <c r="G180" s="17"/>
      <c r="H180" s="17"/>
      <c r="I180" s="17"/>
      <c r="J180" s="17"/>
      <c r="K180" s="17"/>
      <c r="L180" s="17"/>
      <c r="M180" s="17"/>
      <c r="N180" s="17"/>
    </row>
    <row r="181" spans="1:14" s="20" customFormat="1" ht="18.75" customHeight="1" x14ac:dyDescent="0.3">
      <c r="A181" s="16"/>
      <c r="B181" s="17"/>
      <c r="C181" s="18"/>
      <c r="D181" s="17"/>
      <c r="E181" s="17"/>
      <c r="F181" s="19"/>
      <c r="G181" s="17"/>
      <c r="H181" s="17"/>
      <c r="I181" s="17"/>
      <c r="J181" s="17"/>
      <c r="K181" s="17"/>
      <c r="L181" s="17"/>
      <c r="M181" s="17"/>
      <c r="N181" s="17"/>
    </row>
    <row r="182" spans="1:14" s="20" customFormat="1" ht="18.75" customHeight="1" x14ac:dyDescent="0.3">
      <c r="A182" s="16"/>
      <c r="B182" s="17"/>
      <c r="C182" s="18"/>
      <c r="D182" s="17"/>
      <c r="E182" s="17"/>
      <c r="F182" s="19"/>
      <c r="G182" s="17"/>
      <c r="H182" s="17"/>
      <c r="I182" s="17"/>
      <c r="J182" s="17"/>
      <c r="K182" s="17"/>
      <c r="L182" s="17"/>
      <c r="M182" s="17"/>
      <c r="N182" s="17"/>
    </row>
    <row r="183" spans="1:14" s="20" customFormat="1" ht="18.75" customHeight="1" x14ac:dyDescent="0.3">
      <c r="A183" s="16"/>
      <c r="B183" s="17"/>
      <c r="C183" s="18"/>
      <c r="D183" s="17"/>
      <c r="E183" s="17"/>
      <c r="F183" s="19"/>
      <c r="G183" s="17"/>
      <c r="H183" s="17"/>
      <c r="I183" s="17"/>
      <c r="J183" s="17"/>
      <c r="K183" s="17"/>
      <c r="L183" s="17"/>
      <c r="M183" s="17"/>
      <c r="N183" s="17"/>
    </row>
    <row r="184" spans="1:14" s="20" customFormat="1" ht="18.75" customHeight="1" x14ac:dyDescent="0.3">
      <c r="A184" s="16"/>
      <c r="B184" s="17"/>
      <c r="C184" s="18"/>
      <c r="D184" s="17"/>
      <c r="E184" s="17"/>
      <c r="F184" s="19"/>
      <c r="G184" s="17"/>
      <c r="H184" s="17"/>
      <c r="I184" s="17"/>
      <c r="J184" s="17"/>
      <c r="K184" s="17"/>
      <c r="L184" s="17"/>
      <c r="M184" s="17"/>
      <c r="N184" s="17"/>
    </row>
    <row r="185" spans="1:14" s="20" customFormat="1" ht="18.75" customHeight="1" x14ac:dyDescent="0.3">
      <c r="A185" s="16"/>
      <c r="B185" s="17"/>
      <c r="C185" s="18"/>
      <c r="D185" s="17"/>
      <c r="E185" s="17"/>
      <c r="F185" s="19"/>
      <c r="G185" s="17"/>
      <c r="H185" s="17"/>
      <c r="I185" s="17"/>
      <c r="J185" s="17"/>
      <c r="K185" s="17"/>
      <c r="L185" s="17"/>
      <c r="M185" s="17"/>
      <c r="N185" s="17"/>
    </row>
    <row r="186" spans="1:14" s="20" customFormat="1" ht="18.75" customHeight="1" x14ac:dyDescent="0.3">
      <c r="A186" s="16"/>
      <c r="B186" s="17"/>
      <c r="C186" s="18"/>
      <c r="D186" s="17"/>
      <c r="E186" s="17"/>
      <c r="F186" s="19"/>
      <c r="G186" s="17"/>
      <c r="H186" s="17"/>
      <c r="I186" s="17"/>
      <c r="J186" s="17"/>
      <c r="K186" s="17"/>
      <c r="L186" s="17"/>
      <c r="M186" s="17"/>
      <c r="N186" s="17"/>
    </row>
    <row r="187" spans="1:14" s="20" customFormat="1" ht="18.75" customHeight="1" x14ac:dyDescent="0.3">
      <c r="A187" s="16"/>
      <c r="B187" s="17"/>
      <c r="C187" s="18"/>
      <c r="D187" s="17"/>
      <c r="E187" s="17"/>
      <c r="F187" s="19"/>
      <c r="G187" s="17"/>
      <c r="H187" s="17"/>
      <c r="I187" s="17"/>
      <c r="J187" s="17"/>
      <c r="K187" s="17"/>
      <c r="L187" s="17"/>
      <c r="M187" s="17"/>
      <c r="N187" s="17"/>
    </row>
    <row r="188" spans="1:14" s="20" customFormat="1" ht="18.75" customHeight="1" x14ac:dyDescent="0.3">
      <c r="A188" s="16"/>
      <c r="B188" s="17"/>
      <c r="C188" s="18"/>
      <c r="D188" s="17"/>
      <c r="E188" s="17"/>
      <c r="F188" s="19"/>
      <c r="G188" s="17"/>
      <c r="H188" s="17"/>
      <c r="I188" s="17"/>
      <c r="J188" s="17"/>
      <c r="K188" s="17"/>
      <c r="L188" s="17"/>
      <c r="M188" s="17"/>
      <c r="N188" s="17"/>
    </row>
    <row r="189" spans="1:14" s="20" customFormat="1" ht="18.75" customHeight="1" x14ac:dyDescent="0.3">
      <c r="A189" s="16"/>
      <c r="B189" s="17"/>
      <c r="C189" s="18"/>
      <c r="D189" s="17"/>
      <c r="E189" s="17"/>
      <c r="F189" s="19"/>
      <c r="G189" s="17"/>
      <c r="H189" s="17"/>
      <c r="I189" s="17"/>
      <c r="J189" s="17"/>
      <c r="K189" s="17"/>
      <c r="L189" s="17"/>
      <c r="M189" s="17"/>
      <c r="N189" s="17"/>
    </row>
    <row r="190" spans="1:14" s="20" customFormat="1" ht="18.75" customHeight="1" x14ac:dyDescent="0.3">
      <c r="A190" s="16"/>
      <c r="B190" s="17"/>
      <c r="C190" s="18"/>
      <c r="D190" s="17"/>
      <c r="E190" s="17"/>
      <c r="F190" s="19"/>
      <c r="G190" s="17"/>
      <c r="H190" s="17"/>
      <c r="I190" s="17"/>
      <c r="J190" s="17"/>
      <c r="K190" s="17"/>
      <c r="L190" s="17"/>
      <c r="M190" s="17"/>
      <c r="N190" s="17"/>
    </row>
    <row r="191" spans="1:14" s="20" customFormat="1" ht="18.75" customHeight="1" x14ac:dyDescent="0.3">
      <c r="A191" s="16"/>
      <c r="B191" s="17"/>
      <c r="C191" s="18"/>
      <c r="D191" s="17"/>
      <c r="E191" s="17"/>
      <c r="F191" s="19"/>
      <c r="G191" s="17"/>
      <c r="H191" s="17"/>
      <c r="I191" s="17"/>
      <c r="J191" s="17"/>
      <c r="K191" s="17"/>
      <c r="L191" s="17"/>
      <c r="M191" s="17"/>
      <c r="N191" s="17"/>
    </row>
    <row r="192" spans="1:14" s="20" customFormat="1" ht="18.75" customHeight="1" x14ac:dyDescent="0.3">
      <c r="A192" s="16"/>
      <c r="B192" s="17"/>
      <c r="C192" s="18"/>
      <c r="D192" s="17"/>
      <c r="E192" s="17"/>
      <c r="F192" s="19"/>
      <c r="G192" s="17"/>
      <c r="H192" s="17"/>
      <c r="I192" s="17"/>
      <c r="J192" s="17"/>
      <c r="K192" s="17"/>
      <c r="L192" s="17"/>
      <c r="M192" s="17"/>
      <c r="N192" s="17"/>
    </row>
    <row r="193" spans="1:14" s="20" customFormat="1" ht="18.75" customHeight="1" x14ac:dyDescent="0.3">
      <c r="A193" s="16"/>
      <c r="B193" s="17"/>
      <c r="C193" s="18"/>
      <c r="D193" s="17"/>
      <c r="E193" s="17"/>
      <c r="F193" s="19"/>
      <c r="G193" s="17"/>
      <c r="H193" s="17"/>
      <c r="I193" s="17"/>
      <c r="J193" s="17"/>
      <c r="K193" s="17"/>
      <c r="L193" s="17"/>
      <c r="M193" s="17"/>
      <c r="N193" s="17"/>
    </row>
    <row r="194" spans="1:14" s="20" customFormat="1" ht="18.75" customHeight="1" x14ac:dyDescent="0.3">
      <c r="A194" s="16"/>
      <c r="B194" s="17"/>
      <c r="C194" s="18"/>
      <c r="D194" s="17"/>
      <c r="E194" s="17"/>
      <c r="F194" s="19"/>
      <c r="G194" s="17"/>
      <c r="H194" s="17"/>
      <c r="I194" s="17"/>
      <c r="J194" s="17"/>
      <c r="K194" s="17"/>
      <c r="L194" s="17"/>
      <c r="M194" s="17"/>
      <c r="N194" s="17"/>
    </row>
    <row r="195" spans="1:14" s="20" customFormat="1" ht="18.75" customHeight="1" x14ac:dyDescent="0.3">
      <c r="A195" s="16"/>
      <c r="B195" s="17"/>
      <c r="C195" s="18"/>
      <c r="D195" s="17"/>
      <c r="E195" s="17"/>
      <c r="F195" s="19"/>
      <c r="G195" s="17"/>
      <c r="H195" s="17"/>
      <c r="I195" s="17"/>
      <c r="J195" s="17"/>
      <c r="K195" s="17"/>
      <c r="L195" s="17"/>
      <c r="M195" s="17"/>
      <c r="N195" s="17"/>
    </row>
    <row r="196" spans="1:14" s="20" customFormat="1" ht="18.75" customHeight="1" x14ac:dyDescent="0.3">
      <c r="A196" s="16"/>
      <c r="B196" s="17"/>
      <c r="C196" s="18"/>
      <c r="D196" s="17"/>
      <c r="E196" s="17"/>
      <c r="F196" s="19"/>
      <c r="G196" s="17"/>
      <c r="H196" s="17"/>
      <c r="I196" s="17"/>
      <c r="J196" s="17"/>
      <c r="K196" s="17"/>
      <c r="L196" s="17"/>
      <c r="M196" s="17"/>
      <c r="N196" s="17"/>
    </row>
    <row r="197" spans="1:14" s="20" customFormat="1" ht="18.75" customHeight="1" x14ac:dyDescent="0.3">
      <c r="A197" s="16"/>
      <c r="B197" s="17"/>
      <c r="C197" s="18"/>
      <c r="D197" s="17"/>
      <c r="E197" s="17"/>
      <c r="F197" s="19"/>
      <c r="G197" s="17"/>
      <c r="H197" s="17"/>
      <c r="I197" s="17"/>
      <c r="J197" s="17"/>
      <c r="K197" s="17"/>
      <c r="L197" s="17"/>
      <c r="M197" s="17"/>
      <c r="N197" s="17"/>
    </row>
    <row r="198" spans="1:14" s="20" customFormat="1" ht="18.75" customHeight="1" x14ac:dyDescent="0.3">
      <c r="A198" s="16"/>
      <c r="B198" s="17"/>
      <c r="C198" s="18"/>
      <c r="D198" s="17"/>
      <c r="E198" s="17"/>
      <c r="F198" s="19"/>
      <c r="G198" s="17"/>
      <c r="H198" s="17"/>
      <c r="I198" s="17"/>
      <c r="J198" s="17"/>
      <c r="K198" s="17"/>
      <c r="L198" s="17"/>
      <c r="M198" s="17"/>
      <c r="N198" s="17"/>
    </row>
    <row r="199" spans="1:14" s="20" customFormat="1" ht="18.75" customHeight="1" x14ac:dyDescent="0.3">
      <c r="A199" s="16"/>
      <c r="B199" s="17"/>
      <c r="C199" s="18"/>
      <c r="D199" s="17"/>
      <c r="E199" s="17"/>
      <c r="F199" s="19"/>
      <c r="G199" s="17"/>
      <c r="H199" s="17"/>
      <c r="I199" s="17"/>
      <c r="J199" s="17"/>
      <c r="K199" s="17"/>
      <c r="L199" s="17"/>
      <c r="M199" s="17"/>
      <c r="N199" s="17"/>
    </row>
    <row r="200" spans="1:14" s="20" customFormat="1" ht="18.75" customHeight="1" x14ac:dyDescent="0.3">
      <c r="A200" s="16"/>
      <c r="B200" s="17"/>
      <c r="C200" s="18"/>
      <c r="D200" s="17"/>
      <c r="E200" s="17"/>
      <c r="F200" s="19"/>
      <c r="G200" s="17"/>
      <c r="H200" s="17"/>
      <c r="I200" s="17"/>
      <c r="J200" s="17"/>
      <c r="K200" s="17"/>
      <c r="L200" s="17"/>
      <c r="M200" s="17"/>
      <c r="N200" s="17"/>
    </row>
    <row r="201" spans="1:14" s="20" customFormat="1" ht="18.75" customHeight="1" x14ac:dyDescent="0.3">
      <c r="A201" s="16"/>
      <c r="B201" s="17"/>
      <c r="C201" s="18"/>
      <c r="D201" s="17"/>
      <c r="E201" s="17"/>
      <c r="F201" s="19"/>
      <c r="G201" s="17"/>
      <c r="H201" s="17"/>
      <c r="I201" s="17"/>
      <c r="J201" s="17"/>
      <c r="K201" s="17"/>
      <c r="L201" s="17"/>
      <c r="M201" s="17"/>
      <c r="N201" s="17"/>
    </row>
    <row r="202" spans="1:14" s="20" customFormat="1" ht="18.75" customHeight="1" x14ac:dyDescent="0.3">
      <c r="A202" s="16"/>
      <c r="B202" s="17"/>
      <c r="C202" s="18"/>
      <c r="D202" s="17"/>
      <c r="E202" s="17"/>
      <c r="F202" s="19"/>
      <c r="G202" s="17"/>
      <c r="H202" s="17"/>
      <c r="I202" s="17"/>
      <c r="J202" s="17"/>
      <c r="K202" s="17"/>
      <c r="L202" s="17"/>
      <c r="M202" s="17"/>
      <c r="N202" s="17"/>
    </row>
    <row r="203" spans="1:14" s="20" customFormat="1" ht="18.75" customHeight="1" x14ac:dyDescent="0.3">
      <c r="A203" s="16"/>
      <c r="B203" s="17"/>
      <c r="C203" s="18"/>
      <c r="D203" s="17"/>
      <c r="E203" s="17"/>
      <c r="F203" s="19"/>
      <c r="G203" s="17"/>
      <c r="H203" s="17"/>
      <c r="I203" s="17"/>
      <c r="J203" s="17"/>
      <c r="K203" s="17"/>
      <c r="L203" s="17"/>
      <c r="M203" s="17"/>
      <c r="N203" s="17"/>
    </row>
    <row r="204" spans="1:14" s="20" customFormat="1" ht="18.75" customHeight="1" x14ac:dyDescent="0.3">
      <c r="A204" s="16"/>
      <c r="B204" s="17"/>
      <c r="C204" s="18"/>
      <c r="D204" s="17"/>
      <c r="E204" s="17"/>
      <c r="F204" s="19"/>
      <c r="G204" s="17"/>
      <c r="H204" s="17"/>
      <c r="I204" s="17"/>
      <c r="J204" s="17"/>
      <c r="K204" s="17"/>
      <c r="L204" s="17"/>
      <c r="M204" s="17"/>
      <c r="N204" s="17"/>
    </row>
    <row r="205" spans="1:14" s="20" customFormat="1" ht="18.75" customHeight="1" x14ac:dyDescent="0.3">
      <c r="A205" s="16"/>
      <c r="B205" s="17"/>
      <c r="C205" s="18"/>
      <c r="D205" s="17"/>
      <c r="E205" s="17"/>
      <c r="F205" s="19"/>
      <c r="G205" s="17"/>
      <c r="H205" s="17"/>
      <c r="I205" s="17"/>
      <c r="J205" s="17"/>
      <c r="K205" s="17"/>
      <c r="L205" s="17"/>
      <c r="M205" s="17"/>
      <c r="N205" s="17"/>
    </row>
    <row r="206" spans="1:14" s="20" customFormat="1" ht="18.75" customHeight="1" x14ac:dyDescent="0.3">
      <c r="A206" s="16"/>
      <c r="B206" s="17"/>
      <c r="C206" s="18"/>
      <c r="D206" s="17"/>
      <c r="E206" s="17"/>
      <c r="F206" s="19"/>
      <c r="G206" s="17"/>
      <c r="H206" s="17"/>
      <c r="I206" s="17"/>
      <c r="J206" s="17"/>
      <c r="K206" s="17"/>
      <c r="L206" s="17"/>
      <c r="M206" s="17"/>
      <c r="N206" s="17"/>
    </row>
    <row r="207" spans="1:14" s="20" customFormat="1" ht="18.75" customHeight="1" x14ac:dyDescent="0.3">
      <c r="A207" s="16"/>
      <c r="B207" s="17"/>
      <c r="C207" s="18"/>
      <c r="D207" s="17"/>
      <c r="E207" s="17"/>
      <c r="F207" s="19"/>
      <c r="G207" s="17"/>
      <c r="H207" s="17"/>
      <c r="I207" s="17"/>
      <c r="J207" s="17"/>
      <c r="K207" s="17"/>
      <c r="L207" s="17"/>
      <c r="M207" s="17"/>
      <c r="N207" s="17"/>
    </row>
    <row r="208" spans="1:14" s="20" customFormat="1" ht="18.75" customHeight="1" x14ac:dyDescent="0.3">
      <c r="A208" s="16"/>
      <c r="B208" s="17"/>
      <c r="C208" s="18"/>
      <c r="D208" s="17"/>
      <c r="E208" s="17"/>
      <c r="F208" s="19"/>
      <c r="G208" s="17"/>
      <c r="H208" s="17"/>
      <c r="I208" s="17"/>
      <c r="J208" s="17"/>
      <c r="K208" s="17"/>
      <c r="L208" s="17"/>
      <c r="M208" s="17"/>
      <c r="N208" s="17"/>
    </row>
    <row r="209" spans="1:14" s="20" customFormat="1" ht="18.75" customHeight="1" x14ac:dyDescent="0.3">
      <c r="A209" s="16"/>
      <c r="B209" s="17"/>
      <c r="C209" s="18"/>
      <c r="D209" s="17"/>
      <c r="E209" s="17"/>
      <c r="F209" s="19"/>
      <c r="G209" s="17"/>
      <c r="H209" s="17"/>
      <c r="I209" s="17"/>
      <c r="J209" s="17"/>
      <c r="K209" s="17"/>
      <c r="L209" s="17"/>
      <c r="M209" s="17"/>
      <c r="N209" s="17"/>
    </row>
    <row r="210" spans="1:14" s="20" customFormat="1" ht="18.75" customHeight="1" x14ac:dyDescent="0.3">
      <c r="A210" s="16"/>
      <c r="B210" s="17"/>
      <c r="C210" s="18"/>
      <c r="D210" s="17"/>
      <c r="E210" s="17"/>
      <c r="F210" s="19"/>
      <c r="G210" s="17"/>
      <c r="H210" s="17"/>
      <c r="I210" s="17"/>
      <c r="J210" s="17"/>
      <c r="K210" s="17"/>
      <c r="L210" s="17"/>
      <c r="M210" s="17"/>
      <c r="N210" s="17"/>
    </row>
    <row r="211" spans="1:14" s="20" customFormat="1" ht="18.75" customHeight="1" x14ac:dyDescent="0.3">
      <c r="A211" s="16"/>
      <c r="B211" s="17"/>
      <c r="C211" s="18"/>
      <c r="D211" s="17"/>
      <c r="E211" s="17"/>
      <c r="F211" s="19"/>
      <c r="G211" s="17"/>
      <c r="H211" s="17"/>
      <c r="I211" s="17"/>
      <c r="J211" s="17"/>
      <c r="K211" s="17"/>
      <c r="L211" s="17"/>
      <c r="M211" s="17"/>
      <c r="N211" s="17"/>
    </row>
    <row r="212" spans="1:14" s="20" customFormat="1" ht="18.75" customHeight="1" x14ac:dyDescent="0.3">
      <c r="A212" s="16"/>
      <c r="B212" s="17"/>
      <c r="C212" s="18"/>
      <c r="D212" s="17"/>
      <c r="E212" s="17"/>
      <c r="F212" s="19"/>
      <c r="G212" s="17"/>
      <c r="H212" s="17"/>
      <c r="I212" s="17"/>
      <c r="J212" s="17"/>
      <c r="K212" s="17"/>
      <c r="L212" s="17"/>
      <c r="M212" s="17"/>
      <c r="N212" s="17"/>
    </row>
    <row r="213" spans="1:14" s="20" customFormat="1" ht="18.75" customHeight="1" x14ac:dyDescent="0.3">
      <c r="A213" s="16"/>
      <c r="B213" s="17"/>
      <c r="C213" s="18"/>
      <c r="D213" s="17"/>
      <c r="E213" s="17"/>
      <c r="F213" s="19"/>
      <c r="G213" s="17"/>
      <c r="H213" s="17"/>
      <c r="I213" s="17"/>
      <c r="J213" s="17"/>
      <c r="K213" s="17"/>
      <c r="L213" s="17"/>
      <c r="M213" s="17"/>
      <c r="N213" s="17"/>
    </row>
    <row r="214" spans="1:14" s="20" customFormat="1" ht="18.75" customHeight="1" x14ac:dyDescent="0.3">
      <c r="A214" s="16"/>
      <c r="B214" s="17"/>
      <c r="C214" s="18"/>
      <c r="D214" s="17"/>
      <c r="E214" s="17"/>
      <c r="F214" s="19"/>
      <c r="G214" s="17"/>
      <c r="H214" s="17"/>
      <c r="I214" s="17"/>
      <c r="J214" s="17"/>
      <c r="K214" s="17"/>
      <c r="L214" s="17"/>
      <c r="M214" s="17"/>
      <c r="N214" s="17"/>
    </row>
    <row r="215" spans="1:14" s="20" customFormat="1" ht="18.75" customHeight="1" x14ac:dyDescent="0.3">
      <c r="A215" s="16"/>
      <c r="B215" s="17"/>
      <c r="C215" s="18"/>
      <c r="D215" s="17"/>
      <c r="E215" s="17"/>
      <c r="F215" s="19"/>
      <c r="G215" s="17"/>
      <c r="H215" s="17"/>
      <c r="I215" s="17"/>
      <c r="J215" s="17"/>
      <c r="K215" s="17"/>
      <c r="L215" s="17"/>
      <c r="M215" s="17"/>
      <c r="N215" s="17"/>
    </row>
    <row r="216" spans="1:14" s="20" customFormat="1" ht="18.75" customHeight="1" x14ac:dyDescent="0.3">
      <c r="A216" s="16"/>
      <c r="B216" s="17"/>
      <c r="C216" s="18"/>
      <c r="D216" s="17"/>
      <c r="E216" s="17"/>
      <c r="F216" s="19"/>
      <c r="G216" s="17"/>
      <c r="H216" s="17"/>
      <c r="I216" s="17"/>
      <c r="J216" s="17"/>
      <c r="K216" s="17"/>
      <c r="L216" s="17"/>
      <c r="M216" s="17"/>
      <c r="N216" s="17"/>
    </row>
    <row r="217" spans="1:14" s="20" customFormat="1" ht="18.75" customHeight="1" x14ac:dyDescent="0.3">
      <c r="A217" s="16"/>
      <c r="B217" s="17"/>
      <c r="C217" s="18"/>
      <c r="D217" s="17"/>
      <c r="E217" s="17"/>
      <c r="F217" s="19"/>
      <c r="G217" s="17"/>
      <c r="H217" s="17"/>
      <c r="I217" s="17"/>
      <c r="J217" s="17"/>
      <c r="K217" s="17"/>
      <c r="L217" s="17"/>
      <c r="M217" s="17"/>
      <c r="N217" s="17"/>
    </row>
    <row r="218" spans="1:14" s="20" customFormat="1" ht="18.75" customHeight="1" x14ac:dyDescent="0.3">
      <c r="A218" s="16"/>
      <c r="B218" s="17"/>
      <c r="C218" s="18"/>
      <c r="D218" s="17"/>
      <c r="E218" s="17"/>
      <c r="F218" s="19"/>
      <c r="G218" s="17"/>
      <c r="H218" s="17"/>
      <c r="I218" s="17"/>
      <c r="J218" s="17"/>
      <c r="K218" s="17"/>
      <c r="L218" s="17"/>
      <c r="M218" s="17"/>
      <c r="N218" s="17"/>
    </row>
    <row r="219" spans="1:14" s="20" customFormat="1" ht="18.75" customHeight="1" x14ac:dyDescent="0.3">
      <c r="A219" s="16"/>
      <c r="B219" s="17"/>
      <c r="C219" s="18"/>
      <c r="D219" s="17"/>
      <c r="E219" s="17"/>
      <c r="F219" s="19"/>
      <c r="G219" s="17"/>
      <c r="H219" s="17"/>
      <c r="I219" s="17"/>
      <c r="J219" s="17"/>
      <c r="K219" s="17"/>
      <c r="L219" s="17"/>
      <c r="M219" s="17"/>
      <c r="N219" s="17"/>
    </row>
    <row r="220" spans="1:14" s="20" customFormat="1" ht="18.75" customHeight="1" x14ac:dyDescent="0.3">
      <c r="A220" s="16"/>
      <c r="B220" s="17"/>
      <c r="C220" s="18"/>
      <c r="D220" s="17"/>
      <c r="E220" s="17"/>
      <c r="F220" s="19"/>
      <c r="G220" s="17"/>
      <c r="H220" s="17"/>
      <c r="I220" s="17"/>
      <c r="J220" s="17"/>
      <c r="K220" s="17"/>
      <c r="L220" s="17"/>
      <c r="M220" s="17"/>
      <c r="N220" s="17"/>
    </row>
    <row r="221" spans="1:14" s="20" customFormat="1" ht="18.75" customHeight="1" x14ac:dyDescent="0.3">
      <c r="A221" s="16"/>
      <c r="B221" s="17"/>
      <c r="C221" s="18"/>
      <c r="D221" s="17"/>
      <c r="E221" s="17"/>
      <c r="F221" s="19"/>
      <c r="G221" s="17"/>
      <c r="H221" s="17"/>
      <c r="I221" s="17"/>
      <c r="J221" s="17"/>
      <c r="K221" s="17"/>
      <c r="L221" s="17"/>
      <c r="M221" s="17"/>
      <c r="N221" s="17"/>
    </row>
    <row r="222" spans="1:14" s="20" customFormat="1" ht="18.75" customHeight="1" x14ac:dyDescent="0.3">
      <c r="A222" s="16"/>
      <c r="B222" s="17"/>
      <c r="C222" s="18"/>
      <c r="D222" s="17"/>
      <c r="E222" s="17"/>
      <c r="F222" s="19"/>
      <c r="G222" s="17"/>
      <c r="H222" s="17"/>
      <c r="I222" s="17"/>
      <c r="J222" s="17"/>
      <c r="K222" s="17"/>
      <c r="L222" s="17"/>
      <c r="M222" s="17"/>
      <c r="N222" s="17"/>
    </row>
    <row r="223" spans="1:14" s="20" customFormat="1" ht="18.75" customHeight="1" x14ac:dyDescent="0.3">
      <c r="A223" s="16"/>
      <c r="B223" s="17"/>
      <c r="C223" s="18"/>
      <c r="D223" s="17"/>
      <c r="E223" s="17"/>
      <c r="F223" s="19"/>
      <c r="G223" s="17"/>
      <c r="H223" s="17"/>
      <c r="I223" s="17"/>
      <c r="J223" s="17"/>
      <c r="K223" s="17"/>
      <c r="L223" s="17"/>
      <c r="M223" s="17"/>
      <c r="N223" s="17"/>
    </row>
    <row r="224" spans="1:14" s="20" customFormat="1" ht="18.75" customHeight="1" x14ac:dyDescent="0.3">
      <c r="A224" s="16"/>
      <c r="B224" s="17"/>
      <c r="C224" s="18"/>
      <c r="D224" s="17"/>
      <c r="E224" s="17"/>
      <c r="F224" s="19"/>
      <c r="G224" s="17"/>
      <c r="H224" s="17"/>
      <c r="I224" s="17"/>
      <c r="J224" s="17"/>
      <c r="K224" s="17"/>
      <c r="L224" s="17"/>
      <c r="M224" s="17"/>
      <c r="N224" s="17"/>
    </row>
    <row r="225" spans="1:14" s="20" customFormat="1" ht="18.75" customHeight="1" x14ac:dyDescent="0.3">
      <c r="A225" s="16"/>
      <c r="B225" s="17"/>
      <c r="C225" s="18"/>
      <c r="D225" s="17"/>
      <c r="E225" s="17"/>
      <c r="F225" s="19"/>
      <c r="G225" s="17"/>
      <c r="H225" s="17"/>
      <c r="I225" s="17"/>
      <c r="J225" s="17"/>
      <c r="K225" s="17"/>
      <c r="L225" s="17"/>
      <c r="M225" s="17"/>
      <c r="N225" s="17"/>
    </row>
    <row r="226" spans="1:14" s="20" customFormat="1" ht="18.75" customHeight="1" x14ac:dyDescent="0.3">
      <c r="A226" s="16"/>
      <c r="B226" s="17"/>
      <c r="C226" s="18"/>
      <c r="D226" s="17"/>
      <c r="E226" s="17"/>
      <c r="F226" s="19"/>
      <c r="G226" s="17"/>
      <c r="H226" s="17"/>
      <c r="I226" s="17"/>
      <c r="J226" s="17"/>
      <c r="K226" s="17"/>
      <c r="L226" s="17"/>
      <c r="M226" s="17"/>
      <c r="N226" s="17"/>
    </row>
    <row r="227" spans="1:14" s="20" customFormat="1" ht="18.75" customHeight="1" x14ac:dyDescent="0.3">
      <c r="A227" s="16"/>
      <c r="B227" s="17"/>
      <c r="C227" s="18"/>
      <c r="D227" s="17"/>
      <c r="E227" s="17"/>
      <c r="F227" s="19"/>
      <c r="G227" s="17"/>
      <c r="H227" s="17"/>
      <c r="I227" s="17"/>
      <c r="J227" s="17"/>
      <c r="K227" s="17"/>
      <c r="L227" s="17"/>
      <c r="M227" s="17"/>
      <c r="N227" s="17"/>
    </row>
    <row r="228" spans="1:14" s="20" customFormat="1" ht="18.75" customHeight="1" x14ac:dyDescent="0.3">
      <c r="A228" s="16"/>
      <c r="B228" s="17"/>
      <c r="C228" s="18"/>
      <c r="D228" s="17"/>
      <c r="E228" s="17"/>
      <c r="F228" s="19"/>
      <c r="G228" s="17"/>
      <c r="H228" s="17"/>
      <c r="I228" s="17"/>
      <c r="J228" s="17"/>
      <c r="K228" s="17"/>
      <c r="L228" s="17"/>
      <c r="M228" s="17"/>
      <c r="N228" s="17"/>
    </row>
    <row r="229" spans="1:14" s="20" customFormat="1" ht="18.75" customHeight="1" x14ac:dyDescent="0.3">
      <c r="A229" s="16"/>
      <c r="B229" s="17"/>
      <c r="C229" s="18"/>
      <c r="D229" s="17"/>
      <c r="E229" s="17"/>
      <c r="F229" s="19"/>
      <c r="G229" s="17"/>
      <c r="H229" s="17"/>
      <c r="I229" s="17"/>
      <c r="J229" s="17"/>
      <c r="K229" s="17"/>
      <c r="L229" s="17"/>
      <c r="M229" s="17"/>
      <c r="N229" s="17"/>
    </row>
    <row r="230" spans="1:14" s="20" customFormat="1" ht="18.75" customHeight="1" x14ac:dyDescent="0.3">
      <c r="A230" s="16"/>
      <c r="B230" s="17"/>
      <c r="C230" s="18"/>
      <c r="D230" s="17"/>
      <c r="E230" s="17"/>
      <c r="F230" s="19"/>
      <c r="G230" s="17"/>
      <c r="H230" s="17"/>
      <c r="I230" s="17"/>
      <c r="J230" s="17"/>
      <c r="K230" s="17"/>
      <c r="L230" s="17"/>
      <c r="M230" s="17"/>
      <c r="N230" s="17"/>
    </row>
    <row r="231" spans="1:14" s="20" customFormat="1" ht="18.75" customHeight="1" x14ac:dyDescent="0.3">
      <c r="A231" s="16"/>
      <c r="B231" s="17"/>
      <c r="C231" s="18"/>
      <c r="D231" s="17"/>
      <c r="E231" s="17"/>
      <c r="F231" s="19"/>
      <c r="G231" s="17"/>
      <c r="H231" s="17"/>
      <c r="I231" s="17"/>
      <c r="J231" s="17"/>
      <c r="K231" s="17"/>
      <c r="L231" s="17"/>
      <c r="M231" s="17"/>
      <c r="N231" s="17"/>
    </row>
    <row r="232" spans="1:14" s="20" customFormat="1" ht="18.75" customHeight="1" x14ac:dyDescent="0.3">
      <c r="A232" s="16"/>
      <c r="B232" s="17"/>
      <c r="C232" s="18"/>
      <c r="D232" s="17"/>
      <c r="E232" s="17"/>
      <c r="F232" s="19"/>
      <c r="G232" s="17"/>
      <c r="H232" s="17"/>
      <c r="I232" s="17"/>
      <c r="J232" s="17"/>
      <c r="K232" s="17"/>
      <c r="L232" s="17"/>
      <c r="M232" s="17"/>
      <c r="N232" s="17"/>
    </row>
    <row r="233" spans="1:14" s="20" customFormat="1" ht="18.75" customHeight="1" x14ac:dyDescent="0.3">
      <c r="A233" s="16"/>
      <c r="B233" s="17"/>
      <c r="C233" s="18"/>
      <c r="D233" s="17"/>
      <c r="E233" s="17"/>
      <c r="F233" s="19"/>
      <c r="G233" s="17"/>
      <c r="H233" s="17"/>
      <c r="I233" s="17"/>
      <c r="J233" s="17"/>
      <c r="K233" s="17"/>
      <c r="L233" s="17"/>
      <c r="M233" s="17"/>
      <c r="N233" s="17"/>
    </row>
    <row r="234" spans="1:14" s="20" customFormat="1" ht="18.75" customHeight="1" x14ac:dyDescent="0.3">
      <c r="A234" s="16"/>
      <c r="B234" s="17"/>
      <c r="C234" s="18"/>
      <c r="D234" s="17"/>
      <c r="E234" s="17"/>
      <c r="F234" s="19"/>
      <c r="G234" s="17"/>
      <c r="H234" s="17"/>
      <c r="I234" s="17"/>
      <c r="J234" s="17"/>
      <c r="K234" s="17"/>
      <c r="L234" s="17"/>
      <c r="M234" s="17"/>
      <c r="N234" s="17"/>
    </row>
    <row r="235" spans="1:14" s="20" customFormat="1" ht="18.75" customHeight="1" x14ac:dyDescent="0.3">
      <c r="A235" s="16"/>
      <c r="B235" s="17"/>
      <c r="C235" s="18"/>
      <c r="D235" s="17"/>
      <c r="E235" s="17"/>
      <c r="F235" s="19"/>
      <c r="G235" s="17"/>
      <c r="H235" s="17"/>
      <c r="I235" s="17"/>
      <c r="J235" s="17"/>
      <c r="K235" s="17"/>
      <c r="L235" s="17"/>
      <c r="M235" s="17"/>
      <c r="N235" s="17"/>
    </row>
    <row r="236" spans="1:14" s="20" customFormat="1" ht="18.75" customHeight="1" x14ac:dyDescent="0.3">
      <c r="A236" s="16"/>
      <c r="B236" s="17"/>
      <c r="C236" s="18"/>
      <c r="D236" s="17"/>
      <c r="E236" s="17"/>
      <c r="F236" s="19"/>
      <c r="G236" s="17"/>
      <c r="H236" s="17"/>
      <c r="I236" s="17"/>
      <c r="J236" s="17"/>
      <c r="K236" s="17"/>
      <c r="L236" s="17"/>
      <c r="M236" s="17"/>
      <c r="N236" s="17"/>
    </row>
    <row r="237" spans="1:14" s="20" customFormat="1" ht="18.75" customHeight="1" x14ac:dyDescent="0.3">
      <c r="A237" s="16"/>
      <c r="B237" s="17"/>
      <c r="C237" s="18"/>
      <c r="D237" s="17"/>
      <c r="E237" s="17"/>
      <c r="F237" s="19"/>
      <c r="G237" s="17"/>
      <c r="H237" s="17"/>
      <c r="I237" s="17"/>
      <c r="J237" s="17"/>
      <c r="K237" s="17"/>
      <c r="L237" s="17"/>
      <c r="M237" s="17"/>
      <c r="N237" s="17"/>
    </row>
    <row r="238" spans="1:14" s="20" customFormat="1" ht="18.75" customHeight="1" x14ac:dyDescent="0.3">
      <c r="A238" s="16"/>
      <c r="B238" s="17"/>
      <c r="C238" s="18"/>
      <c r="D238" s="17"/>
      <c r="E238" s="17"/>
      <c r="F238" s="19"/>
      <c r="G238" s="17"/>
      <c r="H238" s="17"/>
      <c r="I238" s="17"/>
      <c r="J238" s="17"/>
      <c r="K238" s="17"/>
      <c r="L238" s="17"/>
      <c r="M238" s="17"/>
      <c r="N238" s="17"/>
    </row>
    <row r="239" spans="1:14" s="20" customFormat="1" ht="18.75" customHeight="1" x14ac:dyDescent="0.3">
      <c r="A239" s="16"/>
      <c r="B239" s="17"/>
      <c r="C239" s="18"/>
      <c r="D239" s="17"/>
      <c r="E239" s="17"/>
      <c r="F239" s="19"/>
      <c r="G239" s="17"/>
      <c r="H239" s="17"/>
      <c r="I239" s="17"/>
      <c r="J239" s="17"/>
      <c r="K239" s="17"/>
      <c r="L239" s="17"/>
      <c r="M239" s="17"/>
      <c r="N239" s="17"/>
    </row>
    <row r="240" spans="1:14" s="20" customFormat="1" ht="18.75" customHeight="1" x14ac:dyDescent="0.3">
      <c r="A240" s="16"/>
      <c r="B240" s="17"/>
      <c r="C240" s="18"/>
      <c r="D240" s="17"/>
      <c r="E240" s="17"/>
      <c r="F240" s="19"/>
      <c r="G240" s="17"/>
      <c r="H240" s="17"/>
      <c r="I240" s="17"/>
      <c r="J240" s="17"/>
      <c r="K240" s="17"/>
      <c r="L240" s="17"/>
      <c r="M240" s="17"/>
      <c r="N240" s="17"/>
    </row>
    <row r="241" spans="1:14" s="20" customFormat="1" ht="18.75" customHeight="1" x14ac:dyDescent="0.3">
      <c r="A241" s="16"/>
      <c r="B241" s="17"/>
      <c r="C241" s="18"/>
      <c r="D241" s="17"/>
      <c r="E241" s="17"/>
      <c r="F241" s="19"/>
      <c r="G241" s="17"/>
      <c r="H241" s="17"/>
      <c r="I241" s="17"/>
      <c r="J241" s="17"/>
      <c r="K241" s="17"/>
      <c r="L241" s="17"/>
      <c r="M241" s="17"/>
      <c r="N241" s="17"/>
    </row>
    <row r="242" spans="1:14" s="20" customFormat="1" ht="18.75" customHeight="1" x14ac:dyDescent="0.3">
      <c r="A242" s="16"/>
      <c r="B242" s="17"/>
      <c r="C242" s="18"/>
      <c r="D242" s="17"/>
      <c r="E242" s="17"/>
      <c r="F242" s="19"/>
      <c r="G242" s="17"/>
      <c r="H242" s="17"/>
      <c r="I242" s="17"/>
      <c r="J242" s="17"/>
      <c r="K242" s="17"/>
      <c r="L242" s="17"/>
      <c r="M242" s="17"/>
      <c r="N242" s="17"/>
    </row>
    <row r="243" spans="1:14" s="20" customFormat="1" ht="18.75" customHeight="1" x14ac:dyDescent="0.3">
      <c r="A243" s="16"/>
      <c r="B243" s="17"/>
      <c r="C243" s="18"/>
      <c r="D243" s="17"/>
      <c r="E243" s="17"/>
      <c r="F243" s="19"/>
      <c r="G243" s="17"/>
      <c r="H243" s="17"/>
      <c r="I243" s="17"/>
      <c r="J243" s="17"/>
      <c r="K243" s="17"/>
      <c r="L243" s="17"/>
      <c r="M243" s="17"/>
      <c r="N243" s="17"/>
    </row>
  </sheetData>
  <conditionalFormatting sqref="B1:B3 B8:B1048576">
    <cfRule type="duplicateValues" dxfId="6" priority="1"/>
  </conditionalFormatting>
  <conditionalFormatting sqref="C1:C3 C8:C1048576">
    <cfRule type="containsText" dxfId="5" priority="2" operator="containsText" text="Pendiente">
      <formula>NOT(ISERROR(SEARCH("Pendiente",C1)))</formula>
    </cfRule>
  </conditionalFormatting>
  <dataValidations disablePrompts="1" count="1">
    <dataValidation type="custom" allowBlank="1" showInputMessage="1" showErrorMessage="1" sqref="C1:C2" xr:uid="{F2EF5313-E765-4686-8C2C-514D253D6EE2}">
      <formula1>COUNTIF(C:C, C1) = 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2328-8A58-4B8B-B751-4A27B9199734}">
  <sheetPr codeName="Hoja2"/>
  <dimension ref="A1:AE2003"/>
  <sheetViews>
    <sheetView showGridLines="0" tabSelected="1" zoomScale="90" zoomScaleNormal="90" workbookViewId="0">
      <pane ySplit="3" topLeftCell="A142" activePane="bottomLeft" state="frozen"/>
      <selection pane="bottomLeft" activeCell="F143" sqref="F143"/>
    </sheetView>
  </sheetViews>
  <sheetFormatPr defaultColWidth="11.44140625" defaultRowHeight="19.5" customHeight="1" x14ac:dyDescent="0.3"/>
  <cols>
    <col min="1" max="1" width="4.5546875" style="46" bestFit="1" customWidth="1"/>
    <col min="2" max="2" width="10" style="47" customWidth="1"/>
    <col min="3" max="3" width="46" style="34" bestFit="1" customWidth="1"/>
    <col min="4" max="4" width="32.88671875" style="33" bestFit="1" customWidth="1"/>
    <col min="5" max="5" width="21.109375" style="33" customWidth="1"/>
    <col min="6" max="6" width="10.88671875" customWidth="1"/>
    <col min="7" max="7" width="16" style="33" customWidth="1"/>
    <col min="8" max="8" width="10.44140625" style="48" customWidth="1"/>
    <col min="9" max="9" width="11.44140625" style="33" customWidth="1"/>
    <col min="10" max="10" width="36.5546875" style="33" customWidth="1"/>
    <col min="11" max="11" width="35.109375" style="34" customWidth="1"/>
    <col min="12" max="13" width="11.44140625" style="34"/>
    <col min="14" max="16384" width="11.44140625" style="35"/>
  </cols>
  <sheetData>
    <row r="1" spans="1:31" s="23" customFormat="1" ht="44.25" customHeight="1" x14ac:dyDescent="0.4">
      <c r="A1" s="22"/>
      <c r="B1" s="7"/>
      <c r="C1" s="2"/>
      <c r="D1" s="5"/>
      <c r="E1" s="5"/>
      <c r="F1" s="5"/>
      <c r="G1" s="52"/>
      <c r="H1" s="5"/>
      <c r="I1" s="5"/>
      <c r="J1" s="2"/>
      <c r="K1" s="2"/>
      <c r="L1" s="54"/>
    </row>
    <row r="2" spans="1:31" s="23" customFormat="1" ht="20.25" customHeight="1" thickBot="1" x14ac:dyDescent="0.45">
      <c r="A2" s="24"/>
      <c r="B2" s="11"/>
      <c r="C2" s="12"/>
      <c r="D2" s="13"/>
      <c r="E2" s="13"/>
      <c r="F2" s="13"/>
      <c r="G2" s="53"/>
      <c r="H2" s="13"/>
      <c r="I2" s="13"/>
      <c r="J2" s="12"/>
      <c r="K2" s="54"/>
      <c r="L2" s="54"/>
    </row>
    <row r="3" spans="1:31" s="30" customFormat="1" ht="24" thickTop="1" thickBot="1" x14ac:dyDescent="0.3">
      <c r="A3" s="25" t="s">
        <v>0</v>
      </c>
      <c r="B3" s="26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8" t="s">
        <v>6</v>
      </c>
      <c r="H3" s="27" t="s">
        <v>7</v>
      </c>
      <c r="I3" s="27" t="s">
        <v>8</v>
      </c>
      <c r="J3" s="29" t="s">
        <v>9</v>
      </c>
      <c r="K3" s="26" t="s">
        <v>10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</row>
    <row r="4" spans="1:31" ht="15.9" customHeight="1" thickTop="1" x14ac:dyDescent="0.3">
      <c r="A4" s="31" cm="1">
        <f t="array" ref="A4:A2003">_xlfn.SEQUENCE(2000)</f>
        <v>1</v>
      </c>
      <c r="B4" s="64" t="str">
        <f>IF(Tabla1[[#This Row],[TRABAJADOR]]="", "", VLOOKUP(Tabla1[[#This Row],[TRABAJADOR]], 'Colaborador ID'!B:C, 2, FALSE))</f>
        <v>E0530</v>
      </c>
      <c r="C4" s="63" t="s">
        <v>11</v>
      </c>
      <c r="D4" s="64" t="s">
        <v>12</v>
      </c>
      <c r="E4" s="64" t="s">
        <v>13</v>
      </c>
      <c r="F4" s="32" t="e" vm="1">
        <v>#VALUE!</v>
      </c>
      <c r="G4" s="58">
        <v>45790</v>
      </c>
      <c r="H4" s="57" t="e" vm="2">
        <v>#VALUE!</v>
      </c>
      <c r="I4" s="64"/>
      <c r="J4" s="57"/>
      <c r="K4" s="57"/>
      <c r="L4" s="4"/>
      <c r="M4" s="35"/>
    </row>
    <row r="5" spans="1:31" ht="15.9" customHeight="1" x14ac:dyDescent="0.3">
      <c r="A5" s="36">
        <v>2</v>
      </c>
      <c r="B5" s="57" t="str">
        <f>IF(Tabla1[[#This Row],[TRABAJADOR]]="", "", VLOOKUP(Tabla1[[#This Row],[TRABAJADOR]], 'Colaborador ID'!B:C, 2, FALSE))</f>
        <v>E1855</v>
      </c>
      <c r="C5" s="56" t="s">
        <v>14</v>
      </c>
      <c r="D5" s="57" t="s">
        <v>15</v>
      </c>
      <c r="E5" s="64" t="s">
        <v>16</v>
      </c>
      <c r="F5" s="49" t="e" vm="1">
        <v>#VALUE!</v>
      </c>
      <c r="G5" s="58">
        <v>45958</v>
      </c>
      <c r="H5" s="57" t="e" vm="2">
        <v>#VALUE!</v>
      </c>
      <c r="I5" s="57"/>
      <c r="J5" s="57"/>
      <c r="K5" s="57"/>
      <c r="L5" s="4"/>
      <c r="M5" s="35"/>
    </row>
    <row r="6" spans="1:31" ht="15.9" customHeight="1" x14ac:dyDescent="0.3">
      <c r="A6" s="36">
        <v>3</v>
      </c>
      <c r="B6" s="64" t="str">
        <f>IF(Tabla1[[#This Row],[TRABAJADOR]]="", "", VLOOKUP(Tabla1[[#This Row],[TRABAJADOR]], 'Colaborador ID'!B:C, 2, FALSE))</f>
        <v>E0663</v>
      </c>
      <c r="C6" s="63" t="s">
        <v>17</v>
      </c>
      <c r="D6" s="64" t="s">
        <v>18</v>
      </c>
      <c r="E6" s="64" t="s">
        <v>19</v>
      </c>
      <c r="F6" s="49" t="e" vm="1">
        <v>#VALUE!</v>
      </c>
      <c r="G6" s="58"/>
      <c r="H6" s="57" t="e" vm="2">
        <v>#VALUE!</v>
      </c>
      <c r="I6" s="64"/>
      <c r="J6" s="57"/>
      <c r="K6" s="57"/>
      <c r="L6" s="4"/>
      <c r="M6" s="35"/>
    </row>
    <row r="7" spans="1:31" ht="15.9" customHeight="1" x14ac:dyDescent="0.3">
      <c r="A7" s="36">
        <v>4</v>
      </c>
      <c r="B7" s="64" t="str">
        <f>IF(Tabla1[[#This Row],[TRABAJADOR]]="", "", VLOOKUP(Tabla1[[#This Row],[TRABAJADOR]], 'Colaborador ID'!B:C, 2, FALSE))</f>
        <v>E0513</v>
      </c>
      <c r="C7" s="63" t="s">
        <v>20</v>
      </c>
      <c r="D7" s="64" t="s">
        <v>21</v>
      </c>
      <c r="E7" s="64" t="s">
        <v>16</v>
      </c>
      <c r="F7" s="51" t="e" vm="1">
        <v>#VALUE!</v>
      </c>
      <c r="G7" s="58"/>
      <c r="H7" s="57" t="e" vm="2">
        <v>#VALUE!</v>
      </c>
      <c r="I7" s="64" t="s">
        <v>22</v>
      </c>
      <c r="J7" s="57"/>
      <c r="K7" s="57"/>
      <c r="L7" s="4"/>
      <c r="M7" s="35"/>
    </row>
    <row r="8" spans="1:31" ht="15.9" customHeight="1" x14ac:dyDescent="0.3">
      <c r="A8" s="36">
        <v>5</v>
      </c>
      <c r="B8" s="64" t="str">
        <f>IF(Tabla1[[#This Row],[TRABAJADOR]]="", "", VLOOKUP(Tabla1[[#This Row],[TRABAJADOR]], 'Colaborador ID'!B:C, 2, FALSE))</f>
        <v>E0432</v>
      </c>
      <c r="C8" s="63" t="s">
        <v>23</v>
      </c>
      <c r="D8" s="64" t="s">
        <v>24</v>
      </c>
      <c r="E8" s="64" t="s">
        <v>19</v>
      </c>
      <c r="F8" s="51" t="e" vm="1">
        <v>#VALUE!</v>
      </c>
      <c r="G8" s="58"/>
      <c r="H8" s="57" t="e" vm="2">
        <v>#VALUE!</v>
      </c>
      <c r="I8" s="64"/>
      <c r="J8" s="57"/>
      <c r="K8" s="57"/>
      <c r="L8" s="4"/>
      <c r="M8" s="35"/>
    </row>
    <row r="9" spans="1:31" ht="15.9" customHeight="1" x14ac:dyDescent="0.3">
      <c r="A9" s="36">
        <v>6</v>
      </c>
      <c r="B9" s="64" t="str">
        <f>IF(Tabla1[[#This Row],[TRABAJADOR]]="", "", VLOOKUP(Tabla1[[#This Row],[TRABAJADOR]], 'Colaborador ID'!B:C, 2, FALSE))</f>
        <v>E0687</v>
      </c>
      <c r="C9" s="63" t="s">
        <v>25</v>
      </c>
      <c r="D9" s="64" t="s">
        <v>26</v>
      </c>
      <c r="E9" s="64" t="s">
        <v>13</v>
      </c>
      <c r="F9" s="49" t="e" vm="1">
        <v>#VALUE!</v>
      </c>
      <c r="G9" s="58">
        <v>45891</v>
      </c>
      <c r="H9" s="49" t="e" vm="2">
        <v>#VALUE!</v>
      </c>
      <c r="I9" s="64" t="s">
        <v>22</v>
      </c>
      <c r="J9" s="57"/>
      <c r="K9" s="57"/>
      <c r="L9" s="4"/>
      <c r="M9" s="35"/>
    </row>
    <row r="10" spans="1:31" ht="15.9" customHeight="1" x14ac:dyDescent="0.3">
      <c r="A10" s="36">
        <v>7</v>
      </c>
      <c r="B10" s="64" t="str">
        <f>IF(Tabla1[[#This Row],[TRABAJADOR]]="", "", VLOOKUP(Tabla1[[#This Row],[TRABAJADOR]], 'Colaborador ID'!B:C, 2, FALSE))</f>
        <v>E0570</v>
      </c>
      <c r="C10" s="63" t="s">
        <v>27</v>
      </c>
      <c r="D10" s="64" t="s">
        <v>28</v>
      </c>
      <c r="E10" s="64" t="s">
        <v>16</v>
      </c>
      <c r="F10" s="38" t="e" vm="1">
        <v>#VALUE!</v>
      </c>
      <c r="G10" s="58">
        <v>45783</v>
      </c>
      <c r="H10" s="57" t="e" vm="2">
        <v>#VALUE!</v>
      </c>
      <c r="I10" s="64"/>
      <c r="J10" s="57"/>
      <c r="K10" s="57"/>
      <c r="L10" s="4"/>
      <c r="M10" s="35"/>
    </row>
    <row r="11" spans="1:31" ht="15.9" customHeight="1" x14ac:dyDescent="0.3">
      <c r="A11" s="36">
        <v>8</v>
      </c>
      <c r="B11" s="64" t="str">
        <f>IF(Tabla1[[#This Row],[TRABAJADOR]]="", "", VLOOKUP(Tabla1[[#This Row],[TRABAJADOR]], 'Colaborador ID'!B:C, 2, FALSE))</f>
        <v>E0452</v>
      </c>
      <c r="C11" s="63" t="s">
        <v>29</v>
      </c>
      <c r="D11" s="64" t="s">
        <v>30</v>
      </c>
      <c r="E11" s="64" t="s">
        <v>19</v>
      </c>
      <c r="F11" s="49" t="e" vm="1">
        <v>#VALUE!</v>
      </c>
      <c r="G11" s="58"/>
      <c r="H11" s="57" t="e" vm="2">
        <v>#VALUE!</v>
      </c>
      <c r="I11" s="64"/>
      <c r="J11" s="57"/>
      <c r="K11" s="57"/>
      <c r="L11" s="4"/>
      <c r="M11" s="35"/>
    </row>
    <row r="12" spans="1:31" ht="15.9" customHeight="1" x14ac:dyDescent="0.35">
      <c r="A12" s="36">
        <v>9</v>
      </c>
      <c r="B12" s="64" t="str">
        <f>IF(Tabla1[[#This Row],[TRABAJADOR]]="", "", VLOOKUP(Tabla1[[#This Row],[TRABAJADOR]], 'Colaborador ID'!B:C, 2, FALSE))</f>
        <v>E0516</v>
      </c>
      <c r="C12" s="63" t="s">
        <v>31</v>
      </c>
      <c r="D12" s="64" t="s">
        <v>32</v>
      </c>
      <c r="E12" s="64" t="s">
        <v>33</v>
      </c>
      <c r="F12" s="41" t="e" vm="1">
        <v>#VALUE!</v>
      </c>
      <c r="G12" s="58"/>
      <c r="H12" s="57" t="e" vm="2">
        <v>#VALUE!</v>
      </c>
      <c r="I12" s="64"/>
      <c r="J12" s="57"/>
      <c r="K12" s="57"/>
      <c r="L12" s="4"/>
      <c r="M12" s="35"/>
    </row>
    <row r="13" spans="1:31" ht="15.9" customHeight="1" x14ac:dyDescent="0.3">
      <c r="A13" s="36">
        <v>10</v>
      </c>
      <c r="B13" s="64" t="str">
        <f>IF(Tabla1[[#This Row],[TRABAJADOR]]="", "", VLOOKUP(Tabla1[[#This Row],[TRABAJADOR]], 'Colaborador ID'!B:C, 2, FALSE))</f>
        <v>E0814</v>
      </c>
      <c r="C13" s="63" t="s">
        <v>5432</v>
      </c>
      <c r="D13" s="64" t="s">
        <v>34</v>
      </c>
      <c r="E13" s="64" t="s">
        <v>35</v>
      </c>
      <c r="F13" s="38" t="e" vm="1">
        <v>#VALUE!</v>
      </c>
      <c r="G13" s="58">
        <v>45761</v>
      </c>
      <c r="H13" s="57" t="e" vm="2">
        <v>#VALUE!</v>
      </c>
      <c r="I13" s="64"/>
      <c r="J13" s="57"/>
      <c r="K13" s="57"/>
      <c r="L13" s="4"/>
      <c r="M13" s="35"/>
    </row>
    <row r="14" spans="1:31" ht="15.9" customHeight="1" x14ac:dyDescent="0.3">
      <c r="A14" s="36">
        <v>11</v>
      </c>
      <c r="B14" s="64" t="str">
        <f>IF(Tabla1[[#This Row],[TRABAJADOR]]="", "", VLOOKUP(Tabla1[[#This Row],[TRABAJADOR]], 'Colaborador ID'!B:C, 2, FALSE))</f>
        <v>E0194</v>
      </c>
      <c r="C14" s="63" t="s">
        <v>36</v>
      </c>
      <c r="D14" s="64" t="s">
        <v>37</v>
      </c>
      <c r="E14" s="64" t="s">
        <v>16</v>
      </c>
      <c r="F14" s="49" t="e" vm="1">
        <v>#VALUE!</v>
      </c>
      <c r="G14" s="58"/>
      <c r="H14" s="57" t="e" vm="2">
        <v>#VALUE!</v>
      </c>
      <c r="I14" s="64"/>
      <c r="J14" s="57"/>
      <c r="K14" s="57"/>
      <c r="L14" s="4"/>
      <c r="M14" s="35"/>
    </row>
    <row r="15" spans="1:31" ht="15.9" customHeight="1" x14ac:dyDescent="0.35">
      <c r="A15" s="36">
        <v>12</v>
      </c>
      <c r="B15" s="64" t="str">
        <f>IF(Tabla1[[#This Row],[TRABAJADOR]]="", "", VLOOKUP(Tabla1[[#This Row],[TRABAJADOR]], 'Colaborador ID'!B:C, 2, FALSE))</f>
        <v>E0406</v>
      </c>
      <c r="C15" s="63" t="s">
        <v>38</v>
      </c>
      <c r="D15" s="64" t="s">
        <v>39</v>
      </c>
      <c r="E15" s="64" t="s">
        <v>40</v>
      </c>
      <c r="F15" s="37" t="e" vm="1">
        <v>#VALUE!</v>
      </c>
      <c r="G15" s="58">
        <v>45726</v>
      </c>
      <c r="H15" s="57" t="e" vm="2">
        <v>#VALUE!</v>
      </c>
      <c r="I15" s="64"/>
      <c r="J15" s="57"/>
      <c r="K15" s="57"/>
      <c r="L15" s="4"/>
      <c r="M15" s="35"/>
    </row>
    <row r="16" spans="1:31" ht="15.9" customHeight="1" x14ac:dyDescent="0.3">
      <c r="A16" s="36">
        <v>13</v>
      </c>
      <c r="B16" s="64" t="str">
        <f>IF(Tabla1[[#This Row],[TRABAJADOR]]="", "", VLOOKUP(Tabla1[[#This Row],[TRABAJADOR]], 'Colaborador ID'!B:C, 2, FALSE))</f>
        <v>E1402</v>
      </c>
      <c r="C16" s="63" t="s">
        <v>41</v>
      </c>
      <c r="D16" s="64" t="s">
        <v>42</v>
      </c>
      <c r="E16" s="64" t="s">
        <v>16</v>
      </c>
      <c r="F16" s="32" t="e" vm="1">
        <v>#VALUE!</v>
      </c>
      <c r="G16" s="58">
        <v>45849</v>
      </c>
      <c r="H16" s="57" t="e" vm="2">
        <v>#VALUE!</v>
      </c>
      <c r="I16" s="64"/>
      <c r="J16" s="57"/>
      <c r="K16" s="57"/>
      <c r="L16" s="4"/>
      <c r="M16" s="35"/>
    </row>
    <row r="17" spans="1:13" ht="15.9" customHeight="1" x14ac:dyDescent="0.3">
      <c r="A17" s="36">
        <v>14</v>
      </c>
      <c r="B17" s="64" t="str">
        <f>IF(Tabla1[[#This Row],[TRABAJADOR]]="", "", VLOOKUP(Tabla1[[#This Row],[TRABAJADOR]], 'Colaborador ID'!B:C, 2, FALSE))</f>
        <v>E0347</v>
      </c>
      <c r="C17" s="63" t="s">
        <v>43</v>
      </c>
      <c r="D17" s="64" t="s">
        <v>44</v>
      </c>
      <c r="E17" s="64" t="s">
        <v>45</v>
      </c>
      <c r="F17" s="49" t="e" vm="1">
        <v>#VALUE!</v>
      </c>
      <c r="G17" s="58"/>
      <c r="H17" s="57" t="e" vm="2">
        <v>#VALUE!</v>
      </c>
      <c r="I17" s="64"/>
      <c r="J17" s="57"/>
      <c r="K17" s="57"/>
      <c r="L17" s="4"/>
      <c r="M17" s="35"/>
    </row>
    <row r="18" spans="1:13" ht="15.9" customHeight="1" x14ac:dyDescent="0.3">
      <c r="A18" s="36">
        <v>15</v>
      </c>
      <c r="B18" s="64" t="str">
        <f>IF(Tabla1[[#This Row],[TRABAJADOR]]="", "", VLOOKUP(Tabla1[[#This Row],[TRABAJADOR]], 'Colaborador ID'!B:C, 2, FALSE))</f>
        <v>E0272</v>
      </c>
      <c r="C18" s="63" t="s">
        <v>46</v>
      </c>
      <c r="D18" s="64" t="s">
        <v>47</v>
      </c>
      <c r="E18" s="64" t="s">
        <v>16</v>
      </c>
      <c r="F18" s="51" t="e" vm="1">
        <v>#VALUE!</v>
      </c>
      <c r="G18" s="58">
        <v>45938</v>
      </c>
      <c r="H18" s="49" t="e" vm="2">
        <v>#VALUE!</v>
      </c>
      <c r="I18" s="64"/>
      <c r="J18" s="57"/>
      <c r="K18" s="57"/>
      <c r="L18" s="4"/>
      <c r="M18" s="35"/>
    </row>
    <row r="19" spans="1:13" ht="15.9" customHeight="1" x14ac:dyDescent="0.3">
      <c r="A19" s="36">
        <v>16</v>
      </c>
      <c r="B19" s="64" t="str">
        <f>IF(Tabla1[[#This Row],[TRABAJADOR]]="", "", VLOOKUP(Tabla1[[#This Row],[TRABAJADOR]], 'Colaborador ID'!B:C, 2, FALSE))</f>
        <v>E0189</v>
      </c>
      <c r="C19" s="63" t="s">
        <v>48</v>
      </c>
      <c r="D19" s="64" t="s">
        <v>49</v>
      </c>
      <c r="E19" s="64" t="s">
        <v>16</v>
      </c>
      <c r="F19" s="38" t="e" vm="1">
        <v>#VALUE!</v>
      </c>
      <c r="G19" s="58">
        <v>45762</v>
      </c>
      <c r="H19" s="57" t="e" vm="2">
        <v>#VALUE!</v>
      </c>
      <c r="I19" s="64"/>
      <c r="J19" s="57"/>
      <c r="K19" s="57"/>
      <c r="L19" s="4"/>
      <c r="M19" s="35"/>
    </row>
    <row r="20" spans="1:13" ht="15.9" customHeight="1" x14ac:dyDescent="0.4">
      <c r="A20" s="36">
        <v>17</v>
      </c>
      <c r="B20" s="64" t="str">
        <f>IF(Tabla1[[#This Row],[TRABAJADOR]]="", "", VLOOKUP(Tabla1[[#This Row],[TRABAJADOR]], 'Colaborador ID'!B:C, 2, FALSE))</f>
        <v>E0208</v>
      </c>
      <c r="C20" s="63" t="s">
        <v>50</v>
      </c>
      <c r="D20" s="64" t="s">
        <v>51</v>
      </c>
      <c r="E20" s="64" t="s">
        <v>19</v>
      </c>
      <c r="F20" s="59" t="e" vm="1">
        <v>#VALUE!</v>
      </c>
      <c r="G20" s="58"/>
      <c r="H20" s="39" t="e" vm="2">
        <v>#VALUE!</v>
      </c>
      <c r="I20" s="64"/>
      <c r="J20" s="57"/>
      <c r="K20" s="57"/>
      <c r="L20" s="4"/>
      <c r="M20" s="35"/>
    </row>
    <row r="21" spans="1:13" ht="15.9" customHeight="1" x14ac:dyDescent="0.3">
      <c r="A21" s="36">
        <v>18</v>
      </c>
      <c r="B21" s="64" t="str">
        <f>IF(Tabla1[[#This Row],[TRABAJADOR]]="", "", VLOOKUP(Tabla1[[#This Row],[TRABAJADOR]], 'Colaborador ID'!B:C, 2, FALSE))</f>
        <v>E0134</v>
      </c>
      <c r="C21" s="63" t="s">
        <v>52</v>
      </c>
      <c r="D21" s="64" t="s">
        <v>53</v>
      </c>
      <c r="E21" s="64" t="s">
        <v>16</v>
      </c>
      <c r="F21" s="49" t="e" vm="1">
        <v>#VALUE!</v>
      </c>
      <c r="G21" s="58"/>
      <c r="H21" s="57" t="e" vm="2">
        <v>#VALUE!</v>
      </c>
      <c r="I21" s="64"/>
      <c r="J21" s="57"/>
      <c r="K21" s="57"/>
      <c r="L21" s="4"/>
      <c r="M21" s="35"/>
    </row>
    <row r="22" spans="1:13" ht="15.9" customHeight="1" x14ac:dyDescent="0.35">
      <c r="A22" s="36">
        <v>19</v>
      </c>
      <c r="B22" s="64" t="str">
        <f>IF(Tabla1[[#This Row],[TRABAJADOR]]="", "", VLOOKUP(Tabla1[[#This Row],[TRABAJADOR]], 'Colaborador ID'!B:C, 2, FALSE))</f>
        <v>E0449</v>
      </c>
      <c r="C22" s="63" t="s">
        <v>54</v>
      </c>
      <c r="D22" s="64" t="s">
        <v>5520</v>
      </c>
      <c r="E22" s="64" t="s">
        <v>19</v>
      </c>
      <c r="F22" s="37" t="e" vm="1">
        <v>#VALUE!</v>
      </c>
      <c r="G22" s="58">
        <v>46101</v>
      </c>
      <c r="H22" s="40" t="e" vm="2">
        <v>#VALUE!</v>
      </c>
      <c r="I22" s="64"/>
      <c r="J22" s="57"/>
      <c r="K22" s="57"/>
      <c r="L22" s="4"/>
      <c r="M22" s="35"/>
    </row>
    <row r="23" spans="1:13" ht="15.9" customHeight="1" x14ac:dyDescent="0.3">
      <c r="A23" s="36">
        <v>20</v>
      </c>
      <c r="B23" s="64" t="str">
        <f>IF(Tabla1[[#This Row],[TRABAJADOR]]="", "", VLOOKUP(Tabla1[[#This Row],[TRABAJADOR]], 'Colaborador ID'!B:C, 2, FALSE))</f>
        <v>E1448</v>
      </c>
      <c r="C23" s="63" t="s">
        <v>55</v>
      </c>
      <c r="D23" s="64" t="s">
        <v>56</v>
      </c>
      <c r="E23" s="64" t="s">
        <v>16</v>
      </c>
      <c r="F23" s="51" t="e" vm="1">
        <v>#VALUE!</v>
      </c>
      <c r="G23" s="58">
        <v>45953</v>
      </c>
      <c r="H23" s="49" t="e" vm="2">
        <v>#VALUE!</v>
      </c>
      <c r="I23" s="64" t="s">
        <v>22</v>
      </c>
      <c r="J23" s="57"/>
      <c r="K23" s="57"/>
      <c r="L23" s="4"/>
      <c r="M23" s="35"/>
    </row>
    <row r="24" spans="1:13" ht="15.9" customHeight="1" x14ac:dyDescent="0.3">
      <c r="A24" s="36">
        <v>21</v>
      </c>
      <c r="B24" s="57" t="str">
        <f>IF(Tabla1[[#This Row],[TRABAJADOR]]="", "", VLOOKUP(Tabla1[[#This Row],[TRABAJADOR]], 'Colaborador ID'!B:C, 2, FALSE))</f>
        <v>E2142</v>
      </c>
      <c r="C24" s="56" t="s">
        <v>5450</v>
      </c>
      <c r="D24" s="57" t="s">
        <v>5487</v>
      </c>
      <c r="E24" s="64" t="s">
        <v>33</v>
      </c>
      <c r="F24" s="51" t="e" vm="1">
        <v>#VALUE!</v>
      </c>
      <c r="G24" s="58">
        <v>46073</v>
      </c>
      <c r="H24" s="57" t="e" vm="3">
        <v>#VALUE!</v>
      </c>
      <c r="I24" s="57"/>
      <c r="J24" s="57"/>
      <c r="K24" s="57"/>
      <c r="L24" s="4"/>
      <c r="M24" s="35"/>
    </row>
    <row r="25" spans="1:13" ht="15.9" customHeight="1" x14ac:dyDescent="0.3">
      <c r="A25" s="36">
        <v>22</v>
      </c>
      <c r="B25" s="57" t="str">
        <f>IF(Tabla1[[#This Row],[TRABAJADOR]]="", "", VLOOKUP(Tabla1[[#This Row],[TRABAJADOR]], 'Colaborador ID'!B:C, 2, FALSE))</f>
        <v>E2114</v>
      </c>
      <c r="C25" s="56" t="s">
        <v>5389</v>
      </c>
      <c r="D25" s="57" t="s">
        <v>5488</v>
      </c>
      <c r="E25" s="64" t="s">
        <v>16</v>
      </c>
      <c r="F25" s="49" t="e" vm="1">
        <v>#VALUE!</v>
      </c>
      <c r="G25" s="58">
        <v>46073</v>
      </c>
      <c r="H25" s="57" t="e" vm="3">
        <v>#VALUE!</v>
      </c>
      <c r="I25" s="57"/>
      <c r="J25" s="57"/>
      <c r="K25" s="57"/>
      <c r="L25" s="4"/>
      <c r="M25" s="35"/>
    </row>
    <row r="26" spans="1:13" ht="15.9" customHeight="1" x14ac:dyDescent="0.3">
      <c r="A26" s="36">
        <v>23</v>
      </c>
      <c r="B26" s="64" t="str">
        <f>IF(Tabla1[[#This Row],[TRABAJADOR]]="", "", VLOOKUP(Tabla1[[#This Row],[TRABAJADOR]], 'Colaborador ID'!B:C, 2, FALSE))</f>
        <v>E0460</v>
      </c>
      <c r="C26" s="63" t="s">
        <v>57</v>
      </c>
      <c r="D26" s="64" t="s">
        <v>58</v>
      </c>
      <c r="E26" s="64" t="s">
        <v>13</v>
      </c>
      <c r="F26" s="38" t="e" vm="1">
        <v>#VALUE!</v>
      </c>
      <c r="G26" s="58">
        <v>45800</v>
      </c>
      <c r="H26" s="57" t="e" vm="2">
        <v>#VALUE!</v>
      </c>
      <c r="I26" s="64"/>
      <c r="J26" s="57"/>
      <c r="K26" s="57"/>
      <c r="L26" s="4"/>
      <c r="M26" s="35"/>
    </row>
    <row r="27" spans="1:13" ht="15.9" customHeight="1" x14ac:dyDescent="0.35">
      <c r="A27" s="36">
        <v>24</v>
      </c>
      <c r="B27" s="64" t="str">
        <f>IF(Tabla1[[#This Row],[TRABAJADOR]]="", "", VLOOKUP(Tabla1[[#This Row],[TRABAJADOR]], 'Colaborador ID'!B:C, 2, FALSE))</f>
        <v>E1382</v>
      </c>
      <c r="C27" s="63" t="s">
        <v>59</v>
      </c>
      <c r="D27" s="64" t="s">
        <v>60</v>
      </c>
      <c r="E27" s="64" t="s">
        <v>16</v>
      </c>
      <c r="F27" s="41" t="e" vm="1">
        <v>#VALUE!</v>
      </c>
      <c r="G27" s="58"/>
      <c r="H27" s="57" t="e" vm="2">
        <v>#VALUE!</v>
      </c>
      <c r="I27" s="64"/>
      <c r="J27" s="57"/>
      <c r="K27" s="57"/>
      <c r="L27" s="4"/>
      <c r="M27" s="35"/>
    </row>
    <row r="28" spans="1:13" ht="15.9" customHeight="1" x14ac:dyDescent="0.3">
      <c r="A28" s="36">
        <v>25</v>
      </c>
      <c r="B28" s="64" t="str">
        <f>IF(Tabla1[[#This Row],[TRABAJADOR]]="", "", VLOOKUP(Tabla1[[#This Row],[TRABAJADOR]], 'Colaborador ID'!B:C, 2, FALSE))</f>
        <v>E0648</v>
      </c>
      <c r="C28" s="63" t="s">
        <v>61</v>
      </c>
      <c r="D28" s="64" t="s">
        <v>62</v>
      </c>
      <c r="E28" s="64" t="s">
        <v>19</v>
      </c>
      <c r="F28" s="38" t="e" vm="1">
        <v>#VALUE!</v>
      </c>
      <c r="G28" s="58">
        <v>45782</v>
      </c>
      <c r="H28" s="57" t="e" vm="2">
        <v>#VALUE!</v>
      </c>
      <c r="I28" s="64"/>
      <c r="J28" s="57"/>
      <c r="K28" s="57"/>
      <c r="L28" s="4"/>
      <c r="M28" s="35"/>
    </row>
    <row r="29" spans="1:13" ht="15.9" customHeight="1" x14ac:dyDescent="0.3">
      <c r="A29" s="36">
        <v>26</v>
      </c>
      <c r="B29" s="64" t="str">
        <f>IF(Tabla1[[#This Row],[TRABAJADOR]]="", "", VLOOKUP(Tabla1[[#This Row],[TRABAJADOR]], 'Colaborador ID'!B:C, 2, FALSE))</f>
        <v>E0243</v>
      </c>
      <c r="C29" s="63" t="s">
        <v>63</v>
      </c>
      <c r="D29" s="64" t="s">
        <v>64</v>
      </c>
      <c r="E29" s="64"/>
      <c r="F29" s="57" t="e" vm="1">
        <v>#VALUE!</v>
      </c>
      <c r="G29" s="58"/>
      <c r="H29" s="57" t="e" vm="2">
        <v>#VALUE!</v>
      </c>
      <c r="I29" s="64"/>
      <c r="J29" s="57"/>
      <c r="K29" s="57"/>
      <c r="L29" s="4"/>
      <c r="M29" s="35"/>
    </row>
    <row r="30" spans="1:13" ht="15.9" customHeight="1" x14ac:dyDescent="0.3">
      <c r="A30" s="36">
        <v>27</v>
      </c>
      <c r="B30" s="57" t="str">
        <f>IF(Tabla1[[#This Row],[TRABAJADOR]]="", "", VLOOKUP(Tabla1[[#This Row],[TRABAJADOR]], 'Colaborador ID'!B:C, 2, FALSE))</f>
        <v>E1770</v>
      </c>
      <c r="C30" s="56" t="s">
        <v>65</v>
      </c>
      <c r="D30" s="57" t="s">
        <v>66</v>
      </c>
      <c r="E30" s="64" t="s">
        <v>33</v>
      </c>
      <c r="F30" s="49" t="e" vm="1">
        <v>#VALUE!</v>
      </c>
      <c r="G30" s="58">
        <v>45894</v>
      </c>
      <c r="H30" s="57" t="e" vm="2">
        <v>#VALUE!</v>
      </c>
      <c r="I30" s="57"/>
      <c r="J30" s="57"/>
      <c r="K30" s="57"/>
      <c r="L30" s="4"/>
      <c r="M30" s="35"/>
    </row>
    <row r="31" spans="1:13" ht="15.9" customHeight="1" x14ac:dyDescent="0.3">
      <c r="A31" s="36">
        <v>28</v>
      </c>
      <c r="B31" s="64" t="str">
        <f>IF(Tabla1[[#This Row],[TRABAJADOR]]="", "", VLOOKUP(Tabla1[[#This Row],[TRABAJADOR]], 'Colaborador ID'!B:C, 2, FALSE))</f>
        <v>E0662</v>
      </c>
      <c r="C31" s="63" t="s">
        <v>67</v>
      </c>
      <c r="D31" s="64" t="s">
        <v>68</v>
      </c>
      <c r="E31" s="64"/>
      <c r="F31" s="6" t="e" vm="1">
        <v>#VALUE!</v>
      </c>
      <c r="G31" s="58"/>
      <c r="H31" s="57" t="e" vm="2">
        <v>#VALUE!</v>
      </c>
      <c r="I31" s="64"/>
      <c r="J31" s="57"/>
      <c r="K31" s="57"/>
      <c r="L31" s="4"/>
      <c r="M31" s="35"/>
    </row>
    <row r="32" spans="1:13" ht="15.9" customHeight="1" x14ac:dyDescent="0.3">
      <c r="A32" s="36">
        <v>29</v>
      </c>
      <c r="B32" s="64" t="str">
        <f>IF(Tabla1[[#This Row],[TRABAJADOR]]="", "", VLOOKUP(Tabla1[[#This Row],[TRABAJADOR]], 'Colaborador ID'!B:C, 2, FALSE))</f>
        <v>E0009</v>
      </c>
      <c r="C32" s="63" t="s">
        <v>69</v>
      </c>
      <c r="D32" s="64" t="s">
        <v>70</v>
      </c>
      <c r="E32" s="64" t="s">
        <v>19</v>
      </c>
      <c r="F32" s="38" t="e" vm="1">
        <v>#VALUE!</v>
      </c>
      <c r="G32" s="58">
        <v>45751</v>
      </c>
      <c r="H32" s="57" t="e" vm="2">
        <v>#VALUE!</v>
      </c>
      <c r="I32" s="64"/>
      <c r="J32" s="57"/>
      <c r="K32" s="57"/>
      <c r="L32" s="4"/>
      <c r="M32" s="35"/>
    </row>
    <row r="33" spans="1:13" ht="15.9" customHeight="1" x14ac:dyDescent="0.3">
      <c r="A33" s="36">
        <v>30</v>
      </c>
      <c r="B33" s="64" t="str">
        <f>IF(Tabla1[[#This Row],[TRABAJADOR]]="", "", VLOOKUP(Tabla1[[#This Row],[TRABAJADOR]], 'Colaborador ID'!B:C, 2, FALSE))</f>
        <v>E0128</v>
      </c>
      <c r="C33" s="63" t="s">
        <v>71</v>
      </c>
      <c r="D33" s="64" t="s">
        <v>72</v>
      </c>
      <c r="E33" s="64"/>
      <c r="F33" s="57" t="e" vm="1">
        <v>#VALUE!</v>
      </c>
      <c r="G33" s="58"/>
      <c r="H33" s="57" t="e" vm="2">
        <v>#VALUE!</v>
      </c>
      <c r="I33" s="64"/>
      <c r="J33" s="57"/>
      <c r="K33" s="57"/>
      <c r="L33" s="4"/>
      <c r="M33" s="35"/>
    </row>
    <row r="34" spans="1:13" ht="15.9" customHeight="1" x14ac:dyDescent="0.3">
      <c r="A34" s="36">
        <v>31</v>
      </c>
      <c r="B34" s="64" t="str">
        <f>IF(Tabla1[[#This Row],[TRABAJADOR]]="", "", VLOOKUP(Tabla1[[#This Row],[TRABAJADOR]], 'Colaborador ID'!B:C, 2, FALSE))</f>
        <v>E1253</v>
      </c>
      <c r="C34" s="63" t="s">
        <v>73</v>
      </c>
      <c r="D34" s="64" t="s">
        <v>74</v>
      </c>
      <c r="E34" s="64" t="s">
        <v>35</v>
      </c>
      <c r="F34" s="32" t="e" vm="1">
        <v>#VALUE!</v>
      </c>
      <c r="G34" s="58">
        <v>45761</v>
      </c>
      <c r="H34" s="57" t="e" vm="2">
        <v>#VALUE!</v>
      </c>
      <c r="I34" s="64"/>
      <c r="J34" s="57"/>
      <c r="K34" s="57"/>
      <c r="L34" s="4"/>
      <c r="M34" s="35"/>
    </row>
    <row r="35" spans="1:13" ht="15.9" customHeight="1" x14ac:dyDescent="0.35">
      <c r="A35" s="36">
        <v>32</v>
      </c>
      <c r="B35" s="64" t="str">
        <f>IF(Tabla1[[#This Row],[TRABAJADOR]]="", "", VLOOKUP(Tabla1[[#This Row],[TRABAJADOR]], 'Colaborador ID'!B:C, 2, FALSE))</f>
        <v>E1380</v>
      </c>
      <c r="C35" s="63" t="s">
        <v>75</v>
      </c>
      <c r="D35" s="64" t="s">
        <v>76</v>
      </c>
      <c r="E35" s="64" t="s">
        <v>16</v>
      </c>
      <c r="F35" s="41" t="e" vm="1">
        <v>#VALUE!</v>
      </c>
      <c r="G35" s="58"/>
      <c r="H35" s="57" t="e" vm="2">
        <v>#VALUE!</v>
      </c>
      <c r="I35" s="64"/>
      <c r="J35" s="57"/>
      <c r="K35" s="57"/>
      <c r="L35" s="4"/>
      <c r="M35" s="35"/>
    </row>
    <row r="36" spans="1:13" ht="15.9" customHeight="1" x14ac:dyDescent="0.3">
      <c r="A36" s="36">
        <v>33</v>
      </c>
      <c r="B36" s="64" t="str">
        <f>IF(Tabla1[[#This Row],[TRABAJADOR]]="", "", VLOOKUP(Tabla1[[#This Row],[TRABAJADOR]], 'Colaborador ID'!B:C, 2, FALSE))</f>
        <v>E0388</v>
      </c>
      <c r="C36" s="63" t="s">
        <v>77</v>
      </c>
      <c r="D36" s="64" t="s">
        <v>78</v>
      </c>
      <c r="E36" s="64" t="s">
        <v>16</v>
      </c>
      <c r="F36" s="51" t="e" vm="1">
        <v>#VALUE!</v>
      </c>
      <c r="G36" s="58"/>
      <c r="H36" s="57" t="e" vm="2">
        <v>#VALUE!</v>
      </c>
      <c r="I36" s="64"/>
      <c r="J36" s="57"/>
      <c r="K36" s="57"/>
      <c r="L36" s="4"/>
      <c r="M36" s="35"/>
    </row>
    <row r="37" spans="1:13" ht="15.9" customHeight="1" x14ac:dyDescent="0.3">
      <c r="A37" s="36">
        <v>34</v>
      </c>
      <c r="B37" s="57" t="str">
        <f>IF(Tabla1[[#This Row],[TRABAJADOR]]="", "", VLOOKUP(Tabla1[[#This Row],[TRABAJADOR]], 'Colaborador ID'!B:C, 2, FALSE))</f>
        <v>E1921</v>
      </c>
      <c r="C37" s="56" t="s">
        <v>79</v>
      </c>
      <c r="D37" s="57" t="s">
        <v>80</v>
      </c>
      <c r="E37" s="64" t="s">
        <v>16</v>
      </c>
      <c r="F37" s="51" t="e" vm="1">
        <v>#VALUE!</v>
      </c>
      <c r="G37" s="58">
        <v>45944</v>
      </c>
      <c r="H37" s="57" t="e" vm="2">
        <v>#VALUE!</v>
      </c>
      <c r="I37" s="57"/>
      <c r="J37" s="57"/>
      <c r="K37" s="57"/>
      <c r="L37" s="4"/>
      <c r="M37" s="35"/>
    </row>
    <row r="38" spans="1:13" ht="15.9" customHeight="1" x14ac:dyDescent="0.35">
      <c r="A38" s="36">
        <v>35</v>
      </c>
      <c r="B38" s="64" t="str">
        <f>IF(Tabla1[[#This Row],[TRABAJADOR]]="", "", VLOOKUP(Tabla1[[#This Row],[TRABAJADOR]], 'Colaborador ID'!B:C, 2, FALSE))</f>
        <v>E1319</v>
      </c>
      <c r="C38" s="63" t="s">
        <v>81</v>
      </c>
      <c r="D38" s="64" t="s">
        <v>82</v>
      </c>
      <c r="E38" s="64" t="s">
        <v>83</v>
      </c>
      <c r="F38" s="37" t="e" vm="1">
        <v>#VALUE!</v>
      </c>
      <c r="G38" s="58"/>
      <c r="H38" s="57" t="e" vm="2">
        <v>#VALUE!</v>
      </c>
      <c r="I38" s="64"/>
      <c r="J38" s="57"/>
      <c r="K38" s="57"/>
      <c r="L38" s="4"/>
      <c r="M38" s="35"/>
    </row>
    <row r="39" spans="1:13" ht="15.9" customHeight="1" x14ac:dyDescent="0.3">
      <c r="A39" s="36">
        <v>36</v>
      </c>
      <c r="B39" s="64" t="str">
        <f>IF(Tabla1[[#This Row],[TRABAJADOR]]="", "", VLOOKUP(Tabla1[[#This Row],[TRABAJADOR]], 'Colaborador ID'!B:C, 2, FALSE))</f>
        <v>E0593</v>
      </c>
      <c r="C39" s="63" t="s">
        <v>84</v>
      </c>
      <c r="D39" s="64" t="s">
        <v>85</v>
      </c>
      <c r="E39" s="64" t="s">
        <v>16</v>
      </c>
      <c r="F39" s="38" t="e" vm="1">
        <v>#VALUE!</v>
      </c>
      <c r="G39" s="58">
        <v>45779</v>
      </c>
      <c r="H39" s="57" t="e" vm="2">
        <v>#VALUE!</v>
      </c>
      <c r="I39" s="64"/>
      <c r="J39" s="57"/>
      <c r="K39" s="57"/>
      <c r="L39" s="4"/>
      <c r="M39" s="35"/>
    </row>
    <row r="40" spans="1:13" ht="15.9" customHeight="1" x14ac:dyDescent="0.3">
      <c r="A40" s="36">
        <v>37</v>
      </c>
      <c r="B40" s="64" t="str">
        <f>IF(Tabla1[[#This Row],[TRABAJADOR]]="", "", VLOOKUP(Tabla1[[#This Row],[TRABAJADOR]], 'Colaborador ID'!B:C, 2, FALSE))</f>
        <v>E0302</v>
      </c>
      <c r="C40" s="63" t="s">
        <v>86</v>
      </c>
      <c r="D40" s="64" t="s">
        <v>87</v>
      </c>
      <c r="E40" s="64"/>
      <c r="F40" s="57" t="e" vm="1">
        <v>#VALUE!</v>
      </c>
      <c r="G40" s="58"/>
      <c r="H40" s="57" t="e" vm="2">
        <v>#VALUE!</v>
      </c>
      <c r="I40" s="64"/>
      <c r="J40" s="57"/>
      <c r="K40" s="57"/>
      <c r="L40" s="4"/>
      <c r="M40" s="35"/>
    </row>
    <row r="41" spans="1:13" ht="15.9" customHeight="1" x14ac:dyDescent="0.3">
      <c r="A41" s="36">
        <v>38</v>
      </c>
      <c r="B41" s="64" t="str">
        <f>IF(Tabla1[[#This Row],[TRABAJADOR]]="", "", VLOOKUP(Tabla1[[#This Row],[TRABAJADOR]], 'Colaborador ID'!B:C, 2, FALSE))</f>
        <v>E1400</v>
      </c>
      <c r="C41" s="63" t="s">
        <v>88</v>
      </c>
      <c r="D41" s="64" t="s">
        <v>89</v>
      </c>
      <c r="E41" s="64" t="s">
        <v>16</v>
      </c>
      <c r="F41" s="38" t="e" vm="1">
        <v>#VALUE!</v>
      </c>
      <c r="G41" s="58">
        <v>45833</v>
      </c>
      <c r="H41" s="57" t="e" vm="2">
        <v>#VALUE!</v>
      </c>
      <c r="I41" s="64"/>
      <c r="J41" s="57"/>
      <c r="K41" s="57"/>
      <c r="L41" s="4"/>
      <c r="M41" s="35"/>
    </row>
    <row r="42" spans="1:13" ht="15.9" customHeight="1" x14ac:dyDescent="0.3">
      <c r="A42" s="36">
        <v>39</v>
      </c>
      <c r="B42" s="64" t="str">
        <f>IF(Tabla1[[#This Row],[TRABAJADOR]]="", "", VLOOKUP(Tabla1[[#This Row],[TRABAJADOR]], 'Colaborador ID'!B:C, 2, FALSE))</f>
        <v>E0362</v>
      </c>
      <c r="C42" s="63" t="s">
        <v>90</v>
      </c>
      <c r="D42" s="64" t="s">
        <v>91</v>
      </c>
      <c r="E42" s="64" t="s">
        <v>13</v>
      </c>
      <c r="F42" s="38" t="e" vm="1">
        <v>#VALUE!</v>
      </c>
      <c r="G42" s="58">
        <v>45751</v>
      </c>
      <c r="H42" s="57" t="e" vm="2">
        <v>#VALUE!</v>
      </c>
      <c r="I42" s="64"/>
      <c r="J42" s="57"/>
      <c r="K42" s="57"/>
      <c r="L42" s="4"/>
      <c r="M42" s="35"/>
    </row>
    <row r="43" spans="1:13" ht="15.9" customHeight="1" x14ac:dyDescent="0.3">
      <c r="A43" s="36">
        <v>40</v>
      </c>
      <c r="B43" s="64" t="str">
        <f>IF(Tabla1[[#This Row],[TRABAJADOR]]="", "", VLOOKUP(Tabla1[[#This Row],[TRABAJADOR]], 'Colaborador ID'!B:C, 2, FALSE))</f>
        <v>E0456</v>
      </c>
      <c r="C43" s="63" t="s">
        <v>92</v>
      </c>
      <c r="D43" s="64" t="s">
        <v>93</v>
      </c>
      <c r="E43" s="64"/>
      <c r="F43" s="57" t="e" vm="1">
        <v>#VALUE!</v>
      </c>
      <c r="G43" s="58"/>
      <c r="H43" s="57" t="e" vm="2">
        <v>#VALUE!</v>
      </c>
      <c r="I43" s="64"/>
      <c r="J43" s="57"/>
      <c r="K43" s="57"/>
      <c r="L43" s="4"/>
      <c r="M43" s="35"/>
    </row>
    <row r="44" spans="1:13" ht="15.9" customHeight="1" x14ac:dyDescent="0.3">
      <c r="A44" s="36">
        <v>41</v>
      </c>
      <c r="B44" s="57" t="str">
        <f>IF(Tabla1[[#This Row],[TRABAJADOR]]="", "", VLOOKUP(Tabla1[[#This Row],[TRABAJADOR]], 'Colaborador ID'!B:C, 2, FALSE))</f>
        <v>E2098</v>
      </c>
      <c r="C44" s="56" t="s">
        <v>5349</v>
      </c>
      <c r="D44" s="57" t="s">
        <v>5431</v>
      </c>
      <c r="E44" s="64" t="s">
        <v>13</v>
      </c>
      <c r="F44" s="49" t="e" vm="1">
        <v>#VALUE!</v>
      </c>
      <c r="G44" s="58">
        <v>46065</v>
      </c>
      <c r="H44" s="57" t="e" vm="2">
        <v>#VALUE!</v>
      </c>
      <c r="I44" s="57"/>
      <c r="J44" s="57"/>
      <c r="K44" s="57"/>
      <c r="L44" s="4"/>
      <c r="M44" s="35"/>
    </row>
    <row r="45" spans="1:13" ht="15.9" customHeight="1" x14ac:dyDescent="0.3">
      <c r="A45" s="36">
        <v>42</v>
      </c>
      <c r="B45" s="64" t="str">
        <f>IF(Tabla1[[#This Row],[TRABAJADOR]]="", "", VLOOKUP(Tabla1[[#This Row],[TRABAJADOR]], 'Colaborador ID'!B:C, 2, FALSE))</f>
        <v>E0386</v>
      </c>
      <c r="C45" s="63" t="s">
        <v>94</v>
      </c>
      <c r="D45" s="64" t="s">
        <v>95</v>
      </c>
      <c r="E45" s="64"/>
      <c r="F45" s="6" t="e" vm="1">
        <v>#VALUE!</v>
      </c>
      <c r="G45" s="58"/>
      <c r="H45" s="57" t="e" vm="2">
        <v>#VALUE!</v>
      </c>
      <c r="I45" s="64"/>
      <c r="J45" s="57"/>
      <c r="K45" s="57"/>
      <c r="L45" s="4"/>
      <c r="M45" s="35"/>
    </row>
    <row r="46" spans="1:13" ht="15.9" customHeight="1" x14ac:dyDescent="0.3">
      <c r="A46" s="36">
        <v>43</v>
      </c>
      <c r="B46" s="64" t="e">
        <f>IF(Tabla1[[#This Row],[TRABAJADOR]]="", "", VLOOKUP(Tabla1[[#This Row],[TRABAJADOR]], 'Colaborador ID'!B:C, 2, FALSE))</f>
        <v>#N/A</v>
      </c>
      <c r="C46" s="63" t="s">
        <v>96</v>
      </c>
      <c r="D46" s="64" t="s">
        <v>97</v>
      </c>
      <c r="E46" s="64"/>
      <c r="F46" s="6" t="e" vm="1">
        <v>#VALUE!</v>
      </c>
      <c r="G46" s="58"/>
      <c r="H46" s="57" t="e" vm="2">
        <v>#VALUE!</v>
      </c>
      <c r="I46" s="64"/>
      <c r="J46" s="57"/>
      <c r="K46" s="57"/>
      <c r="L46" s="4"/>
      <c r="M46" s="35"/>
    </row>
    <row r="47" spans="1:13" ht="15.9" customHeight="1" x14ac:dyDescent="0.3">
      <c r="A47" s="36">
        <v>44</v>
      </c>
      <c r="B47" s="64" t="str">
        <f>IF(Tabla1[[#This Row],[TRABAJADOR]]="", "", VLOOKUP(Tabla1[[#This Row],[TRABAJADOR]], 'Colaborador ID'!B:C, 2, FALSE))</f>
        <v>E1684</v>
      </c>
      <c r="C47" s="63" t="s">
        <v>98</v>
      </c>
      <c r="D47" s="64" t="s">
        <v>99</v>
      </c>
      <c r="E47" s="64" t="s">
        <v>19</v>
      </c>
      <c r="F47" s="57" t="e" vm="1">
        <v>#VALUE!</v>
      </c>
      <c r="G47" s="58"/>
      <c r="H47" s="57" t="e" vm="2">
        <v>#VALUE!</v>
      </c>
      <c r="I47" s="64" t="s">
        <v>22</v>
      </c>
      <c r="J47" s="57"/>
      <c r="K47" s="57"/>
      <c r="L47" s="4"/>
      <c r="M47" s="35"/>
    </row>
    <row r="48" spans="1:13" ht="15.9" customHeight="1" x14ac:dyDescent="0.3">
      <c r="A48" s="36">
        <v>45</v>
      </c>
      <c r="B48" s="64" t="str">
        <f>IF(Tabla1[[#This Row],[TRABAJADOR]]="", "", VLOOKUP(Tabla1[[#This Row],[TRABAJADOR]], 'Colaborador ID'!B:C, 2, FALSE))</f>
        <v>E1451</v>
      </c>
      <c r="C48" s="63" t="s">
        <v>100</v>
      </c>
      <c r="D48" s="64" t="s">
        <v>101</v>
      </c>
      <c r="E48" s="64" t="s">
        <v>16</v>
      </c>
      <c r="F48" s="57" t="e" vm="1">
        <v>#VALUE!</v>
      </c>
      <c r="G48" s="58"/>
      <c r="H48" s="57" t="e" vm="2">
        <v>#VALUE!</v>
      </c>
      <c r="I48" s="64" t="s">
        <v>22</v>
      </c>
      <c r="J48" s="57"/>
      <c r="K48" s="57"/>
      <c r="L48" s="4"/>
      <c r="M48" s="35"/>
    </row>
    <row r="49" spans="1:13" ht="15.9" customHeight="1" x14ac:dyDescent="0.35">
      <c r="A49" s="36">
        <v>46</v>
      </c>
      <c r="B49" s="64" t="str">
        <f>IF(Tabla1[[#This Row],[TRABAJADOR]]="", "", VLOOKUP(Tabla1[[#This Row],[TRABAJADOR]], 'Colaborador ID'!B:C, 2, FALSE))</f>
        <v>E1313</v>
      </c>
      <c r="C49" s="63" t="s">
        <v>102</v>
      </c>
      <c r="D49" s="64" t="s">
        <v>103</v>
      </c>
      <c r="E49" s="64" t="s">
        <v>104</v>
      </c>
      <c r="F49" s="37" t="e" vm="1">
        <v>#VALUE!</v>
      </c>
      <c r="G49" s="58">
        <v>45729</v>
      </c>
      <c r="H49" s="57" t="e" vm="2">
        <v>#VALUE!</v>
      </c>
      <c r="I49" s="64"/>
      <c r="J49" s="57"/>
      <c r="K49" s="57"/>
      <c r="L49" s="4"/>
      <c r="M49" s="35"/>
    </row>
    <row r="50" spans="1:13" ht="15.9" customHeight="1" x14ac:dyDescent="0.3">
      <c r="A50" s="36">
        <v>47</v>
      </c>
      <c r="B50" s="57" t="str">
        <f>IF(Tabla1[[#This Row],[TRABAJADOR]]="", "", VLOOKUP(Tabla1[[#This Row],[TRABAJADOR]], 'Colaborador ID'!B:C, 2, FALSE))</f>
        <v>E2074</v>
      </c>
      <c r="C50" s="56" t="s">
        <v>5303</v>
      </c>
      <c r="D50" s="57" t="s">
        <v>5320</v>
      </c>
      <c r="E50" s="64"/>
      <c r="F50" s="49" t="e" vm="1">
        <v>#VALUE!</v>
      </c>
      <c r="G50" s="58">
        <v>46035</v>
      </c>
      <c r="H50" s="57" t="e" vm="2">
        <v>#VALUE!</v>
      </c>
      <c r="I50" s="57"/>
      <c r="J50" s="57"/>
      <c r="K50" s="57"/>
      <c r="L50" s="4"/>
      <c r="M50" s="35"/>
    </row>
    <row r="51" spans="1:13" ht="15.9" customHeight="1" x14ac:dyDescent="0.3">
      <c r="A51" s="36">
        <v>48</v>
      </c>
      <c r="B51" s="64" t="str">
        <f>IF(Tabla1[[#This Row],[TRABAJADOR]]="", "", VLOOKUP(Tabla1[[#This Row],[TRABAJADOR]], 'Colaborador ID'!B:C, 2, FALSE))</f>
        <v>E1355</v>
      </c>
      <c r="C51" s="63" t="s">
        <v>105</v>
      </c>
      <c r="D51" s="64" t="s">
        <v>106</v>
      </c>
      <c r="E51" s="64" t="s">
        <v>16</v>
      </c>
      <c r="F51" s="38" t="e" vm="1">
        <v>#VALUE!</v>
      </c>
      <c r="G51" s="58">
        <v>45769</v>
      </c>
      <c r="H51" s="57" t="e" vm="2">
        <v>#VALUE!</v>
      </c>
      <c r="I51" s="64"/>
      <c r="J51" s="57"/>
      <c r="K51" s="57"/>
      <c r="L51" s="4"/>
      <c r="M51" s="35"/>
    </row>
    <row r="52" spans="1:13" ht="15.9" customHeight="1" x14ac:dyDescent="0.3">
      <c r="A52" s="36">
        <v>49</v>
      </c>
      <c r="B52" s="57" t="str">
        <f>IF(Tabla1[[#This Row],[TRABAJADOR]]="", "", VLOOKUP(Tabla1[[#This Row],[TRABAJADOR]], 'Colaborador ID'!B:C, 2, FALSE))</f>
        <v>E1973</v>
      </c>
      <c r="C52" s="56" t="s">
        <v>107</v>
      </c>
      <c r="D52" s="57" t="s">
        <v>108</v>
      </c>
      <c r="E52" s="64" t="s">
        <v>13</v>
      </c>
      <c r="F52" s="51" t="e" vm="1">
        <v>#VALUE!</v>
      </c>
      <c r="G52" s="58">
        <v>45961</v>
      </c>
      <c r="H52" s="57" t="e" vm="2">
        <v>#VALUE!</v>
      </c>
      <c r="I52" s="64" t="s">
        <v>22</v>
      </c>
      <c r="J52" s="57"/>
      <c r="K52" s="57"/>
      <c r="L52" s="4"/>
      <c r="M52" s="35"/>
    </row>
    <row r="53" spans="1:13" ht="15.9" customHeight="1" x14ac:dyDescent="0.35">
      <c r="A53" s="36">
        <v>50</v>
      </c>
      <c r="B53" s="64" t="str">
        <f>IF(Tabla1[[#This Row],[TRABAJADOR]]="", "", VLOOKUP(Tabla1[[#This Row],[TRABAJADOR]], 'Colaborador ID'!B:C, 2, FALSE))</f>
        <v>E1128</v>
      </c>
      <c r="C53" s="63" t="s">
        <v>109</v>
      </c>
      <c r="D53" s="64" t="s">
        <v>110</v>
      </c>
      <c r="E53" s="64" t="s">
        <v>13</v>
      </c>
      <c r="F53" s="41" t="e" vm="1">
        <v>#VALUE!</v>
      </c>
      <c r="G53" s="58"/>
      <c r="H53" s="57" t="e" vm="2">
        <v>#VALUE!</v>
      </c>
      <c r="I53" s="64"/>
      <c r="J53" s="57"/>
      <c r="K53" s="57"/>
      <c r="L53" s="4"/>
      <c r="M53" s="35"/>
    </row>
    <row r="54" spans="1:13" ht="15.9" customHeight="1" x14ac:dyDescent="0.3">
      <c r="A54" s="36">
        <v>51</v>
      </c>
      <c r="B54" s="64" t="str">
        <f>IF(Tabla1[[#This Row],[TRABAJADOR]]="", "", VLOOKUP(Tabla1[[#This Row],[TRABAJADOR]], 'Colaborador ID'!B:C, 2, FALSE))</f>
        <v>E0254</v>
      </c>
      <c r="C54" s="63" t="s">
        <v>111</v>
      </c>
      <c r="D54" s="64" t="s">
        <v>112</v>
      </c>
      <c r="E54" s="64"/>
      <c r="F54" s="57" t="e" vm="1">
        <v>#VALUE!</v>
      </c>
      <c r="G54" s="58"/>
      <c r="H54" s="57" t="e" vm="2">
        <v>#VALUE!</v>
      </c>
      <c r="I54" s="64"/>
      <c r="J54" s="57"/>
      <c r="K54" s="57"/>
      <c r="L54" s="4"/>
      <c r="M54" s="35"/>
    </row>
    <row r="55" spans="1:13" ht="15.9" customHeight="1" x14ac:dyDescent="0.3">
      <c r="A55" s="36">
        <v>52</v>
      </c>
      <c r="B55" s="64" t="str">
        <f>IF(Tabla1[[#This Row],[TRABAJADOR]]="", "", VLOOKUP(Tabla1[[#This Row],[TRABAJADOR]], 'Colaborador ID'!B:C, 2, FALSE))</f>
        <v>E0934</v>
      </c>
      <c r="C55" s="63" t="s">
        <v>113</v>
      </c>
      <c r="D55" s="64" t="s">
        <v>114</v>
      </c>
      <c r="E55" s="64"/>
      <c r="F55" s="57" t="e" vm="1">
        <v>#VALUE!</v>
      </c>
      <c r="G55" s="58"/>
      <c r="H55" s="57" t="e" vm="2">
        <v>#VALUE!</v>
      </c>
      <c r="I55" s="64"/>
      <c r="J55" s="57"/>
      <c r="K55" s="57"/>
      <c r="L55" s="4"/>
      <c r="M55" s="35"/>
    </row>
    <row r="56" spans="1:13" ht="15.9" customHeight="1" x14ac:dyDescent="0.3">
      <c r="A56" s="36">
        <v>53</v>
      </c>
      <c r="B56" s="64" t="str">
        <f>IF(Tabla1[[#This Row],[TRABAJADOR]]="", "", VLOOKUP(Tabla1[[#This Row],[TRABAJADOR]], 'Colaborador ID'!B:C, 2, FALSE))</f>
        <v>E1244</v>
      </c>
      <c r="C56" s="63" t="s">
        <v>115</v>
      </c>
      <c r="D56" s="64" t="s">
        <v>116</v>
      </c>
      <c r="E56" s="64"/>
      <c r="F56" s="57" t="e" vm="1">
        <v>#VALUE!</v>
      </c>
      <c r="G56" s="58"/>
      <c r="H56" s="57" t="e" vm="2">
        <v>#VALUE!</v>
      </c>
      <c r="I56" s="64"/>
      <c r="J56" s="57"/>
      <c r="K56" s="57"/>
      <c r="L56" s="4"/>
      <c r="M56" s="35"/>
    </row>
    <row r="57" spans="1:13" ht="15.9" customHeight="1" x14ac:dyDescent="0.35">
      <c r="A57" s="36">
        <v>54</v>
      </c>
      <c r="B57" s="64" t="str">
        <f>IF(Tabla1[[#This Row],[TRABAJADOR]]="", "", VLOOKUP(Tabla1[[#This Row],[TRABAJADOR]], 'Colaborador ID'!B:C, 2, FALSE))</f>
        <v>E1232</v>
      </c>
      <c r="C57" s="63" t="s">
        <v>117</v>
      </c>
      <c r="D57" s="64" t="s">
        <v>118</v>
      </c>
      <c r="E57" s="64" t="s">
        <v>119</v>
      </c>
      <c r="F57" s="37" t="e" vm="1">
        <v>#VALUE!</v>
      </c>
      <c r="G57" s="58"/>
      <c r="H57" s="57" t="e" vm="2">
        <v>#VALUE!</v>
      </c>
      <c r="I57" s="64"/>
      <c r="J57" s="57"/>
      <c r="K57" s="57"/>
      <c r="L57" s="4"/>
      <c r="M57" s="35"/>
    </row>
    <row r="58" spans="1:13" ht="15.9" customHeight="1" x14ac:dyDescent="0.3">
      <c r="A58" s="36">
        <v>55</v>
      </c>
      <c r="B58" s="64" t="str">
        <f>IF(Tabla1[[#This Row],[TRABAJADOR]]="", "", VLOOKUP(Tabla1[[#This Row],[TRABAJADOR]], 'Colaborador ID'!B:C, 2, FALSE))</f>
        <v>E0888</v>
      </c>
      <c r="C58" s="63" t="s">
        <v>120</v>
      </c>
      <c r="D58" s="64" t="s">
        <v>121</v>
      </c>
      <c r="E58" s="64"/>
      <c r="F58" s="57" t="e" vm="1">
        <v>#VALUE!</v>
      </c>
      <c r="G58" s="58"/>
      <c r="H58" s="57" t="e" vm="2">
        <v>#VALUE!</v>
      </c>
      <c r="I58" s="64"/>
      <c r="J58" s="57"/>
      <c r="K58" s="57"/>
      <c r="L58" s="4"/>
      <c r="M58" s="35"/>
    </row>
    <row r="59" spans="1:13" ht="15.9" customHeight="1" x14ac:dyDescent="0.3">
      <c r="A59" s="36">
        <v>56</v>
      </c>
      <c r="B59" s="64" t="str">
        <f>IF(Tabla1[[#This Row],[TRABAJADOR]]="", "", VLOOKUP(Tabla1[[#This Row],[TRABAJADOR]], 'Colaborador ID'!B:C, 2, FALSE))</f>
        <v>E0769</v>
      </c>
      <c r="C59" s="63" t="s">
        <v>122</v>
      </c>
      <c r="D59" s="64" t="s">
        <v>123</v>
      </c>
      <c r="E59" s="64"/>
      <c r="F59" s="6" t="e" vm="1">
        <v>#VALUE!</v>
      </c>
      <c r="G59" s="58"/>
      <c r="H59" s="57" t="e" vm="2">
        <v>#VALUE!</v>
      </c>
      <c r="I59" s="64"/>
      <c r="J59" s="57"/>
      <c r="K59" s="57"/>
      <c r="L59" s="4"/>
      <c r="M59" s="35"/>
    </row>
    <row r="60" spans="1:13" ht="15.9" customHeight="1" x14ac:dyDescent="0.3">
      <c r="A60" s="36">
        <v>57</v>
      </c>
      <c r="B60" s="57" t="str">
        <f>IF(Tabla1[[#This Row],[TRABAJADOR]]="", "", VLOOKUP(Tabla1[[#This Row],[TRABAJADOR]], 'Colaborador ID'!B:C, 2, FALSE))</f>
        <v>E1707</v>
      </c>
      <c r="C60" s="56" t="s">
        <v>124</v>
      </c>
      <c r="D60" s="57" t="s">
        <v>125</v>
      </c>
      <c r="E60" s="64" t="s">
        <v>13</v>
      </c>
      <c r="F60" s="51" t="e" vm="1">
        <v>#VALUE!</v>
      </c>
      <c r="G60" s="58">
        <v>45889</v>
      </c>
      <c r="H60" s="57" t="e" vm="2">
        <v>#VALUE!</v>
      </c>
      <c r="I60" s="57"/>
      <c r="J60" s="57"/>
      <c r="K60" s="57"/>
      <c r="L60" s="4"/>
      <c r="M60" s="35"/>
    </row>
    <row r="61" spans="1:13" ht="15.9" customHeight="1" x14ac:dyDescent="0.3">
      <c r="A61" s="36">
        <v>58</v>
      </c>
      <c r="B61" s="64" t="str">
        <f>IF(Tabla1[[#This Row],[TRABAJADOR]]="", "", VLOOKUP(Tabla1[[#This Row],[TRABAJADOR]], 'Colaborador ID'!B:C, 2, FALSE))</f>
        <v>E0677</v>
      </c>
      <c r="C61" s="63" t="s">
        <v>126</v>
      </c>
      <c r="D61" s="64" t="s">
        <v>127</v>
      </c>
      <c r="E61" s="64"/>
      <c r="F61" s="6" t="e" vm="1">
        <v>#VALUE!</v>
      </c>
      <c r="G61" s="58"/>
      <c r="H61" s="6" t="e" vm="2">
        <v>#VALUE!</v>
      </c>
      <c r="I61" s="64"/>
      <c r="J61" s="57"/>
      <c r="K61" s="57"/>
      <c r="L61" s="4"/>
      <c r="M61" s="35"/>
    </row>
    <row r="62" spans="1:13" ht="15.9" customHeight="1" x14ac:dyDescent="0.3">
      <c r="A62" s="36">
        <v>59</v>
      </c>
      <c r="B62" s="64" t="str">
        <f>IF(Tabla1[[#This Row],[TRABAJADOR]]="", "", VLOOKUP(Tabla1[[#This Row],[TRABAJADOR]], 'Colaborador ID'!B:C, 2, FALSE))</f>
        <v>E0166</v>
      </c>
      <c r="C62" s="63" t="s">
        <v>128</v>
      </c>
      <c r="D62" s="64" t="s">
        <v>5436</v>
      </c>
      <c r="E62" s="64" t="s">
        <v>40</v>
      </c>
      <c r="F62" s="38" t="e" vm="1">
        <v>#VALUE!</v>
      </c>
      <c r="G62" s="58">
        <v>46066</v>
      </c>
      <c r="H62" s="49" t="e" vm="2">
        <v>#VALUE!</v>
      </c>
      <c r="I62" s="64"/>
      <c r="J62" s="87"/>
      <c r="K62" s="57"/>
      <c r="L62" s="4"/>
      <c r="M62" s="35"/>
    </row>
    <row r="63" spans="1:13" ht="15.9" customHeight="1" x14ac:dyDescent="0.35">
      <c r="A63" s="36">
        <v>60</v>
      </c>
      <c r="B63" s="64" t="str">
        <f>IF(Tabla1[[#This Row],[TRABAJADOR]]="", "", VLOOKUP(Tabla1[[#This Row],[TRABAJADOR]], 'Colaborador ID'!B:C, 2, FALSE))</f>
        <v>E0651</v>
      </c>
      <c r="C63" s="63" t="s">
        <v>129</v>
      </c>
      <c r="D63" s="64" t="s">
        <v>130</v>
      </c>
      <c r="E63" s="64" t="s">
        <v>16</v>
      </c>
      <c r="F63" s="84" t="e" vm="1">
        <v>#VALUE!</v>
      </c>
      <c r="G63" s="58"/>
      <c r="H63" s="82" t="e" vm="2">
        <v>#VALUE!</v>
      </c>
      <c r="I63" s="64"/>
      <c r="J63" s="57"/>
      <c r="K63" s="57"/>
      <c r="L63" s="4"/>
      <c r="M63" s="35"/>
    </row>
    <row r="64" spans="1:13" ht="15.9" customHeight="1" x14ac:dyDescent="0.3">
      <c r="A64" s="36">
        <v>61</v>
      </c>
      <c r="B64" s="64" t="str">
        <f>IF(Tabla1[[#This Row],[TRABAJADOR]]="", "", VLOOKUP(Tabla1[[#This Row],[TRABAJADOR]], 'Colaborador ID'!B:C, 2, FALSE))</f>
        <v>E0565</v>
      </c>
      <c r="C64" s="63" t="s">
        <v>131</v>
      </c>
      <c r="D64" s="64" t="s">
        <v>132</v>
      </c>
      <c r="E64" s="64" t="s">
        <v>16</v>
      </c>
      <c r="F64" s="32" t="e" vm="1">
        <v>#VALUE!</v>
      </c>
      <c r="G64" s="58">
        <v>45741</v>
      </c>
      <c r="H64" s="57" t="e" vm="2">
        <v>#VALUE!</v>
      </c>
      <c r="I64" s="64"/>
      <c r="J64" s="57"/>
      <c r="K64" s="57"/>
      <c r="L64" s="4"/>
      <c r="M64" s="35"/>
    </row>
    <row r="65" spans="1:13" ht="15.9" customHeight="1" x14ac:dyDescent="0.3">
      <c r="A65" s="36">
        <v>62</v>
      </c>
      <c r="B65" s="64" t="str">
        <f>IF(Tabla1[[#This Row],[TRABAJADOR]]="", "", VLOOKUP(Tabla1[[#This Row],[TRABAJADOR]], 'Colaborador ID'!B:C, 2, FALSE))</f>
        <v>E2079</v>
      </c>
      <c r="C65" s="63" t="s">
        <v>133</v>
      </c>
      <c r="D65" s="64" t="s">
        <v>134</v>
      </c>
      <c r="E65" s="64"/>
      <c r="F65" s="57" t="e" vm="1">
        <v>#VALUE!</v>
      </c>
      <c r="G65" s="58"/>
      <c r="H65" s="57" t="e" vm="2">
        <v>#VALUE!</v>
      </c>
      <c r="I65" s="64"/>
      <c r="J65" s="57"/>
      <c r="K65" s="57"/>
      <c r="L65" s="4"/>
      <c r="M65" s="35"/>
    </row>
    <row r="66" spans="1:13" ht="15.9" customHeight="1" x14ac:dyDescent="0.3">
      <c r="A66" s="36">
        <v>63</v>
      </c>
      <c r="B66" s="64" t="str">
        <f>IF(Tabla1[[#This Row],[TRABAJADOR]]="", "", VLOOKUP(Tabla1[[#This Row],[TRABAJADOR]], 'Colaborador ID'!B:C, 2, FALSE))</f>
        <v>E0247</v>
      </c>
      <c r="C66" s="63" t="s">
        <v>135</v>
      </c>
      <c r="D66" s="64" t="s">
        <v>136</v>
      </c>
      <c r="E66" s="64" t="s">
        <v>16</v>
      </c>
      <c r="F66" s="38" t="e" vm="1">
        <v>#VALUE!</v>
      </c>
      <c r="G66" s="58">
        <v>45817</v>
      </c>
      <c r="H66" s="57" t="e" vm="2">
        <v>#VALUE!</v>
      </c>
      <c r="I66" s="64"/>
      <c r="J66" s="57"/>
      <c r="K66" s="57"/>
      <c r="L66" s="4"/>
      <c r="M66" s="35"/>
    </row>
    <row r="67" spans="1:13" ht="15.9" customHeight="1" x14ac:dyDescent="0.3">
      <c r="A67" s="36">
        <v>64</v>
      </c>
      <c r="B67" s="64" t="str">
        <f>IF(Tabla1[[#This Row],[TRABAJADOR]]="", "", VLOOKUP(Tabla1[[#This Row],[TRABAJADOR]], 'Colaborador ID'!B:C, 2, FALSE))</f>
        <v>E0442</v>
      </c>
      <c r="C67" s="63" t="s">
        <v>137</v>
      </c>
      <c r="D67" s="64" t="s">
        <v>138</v>
      </c>
      <c r="E67" s="64" t="s">
        <v>16</v>
      </c>
      <c r="F67" s="38" t="e" vm="1">
        <v>#VALUE!</v>
      </c>
      <c r="G67" s="58">
        <v>45771</v>
      </c>
      <c r="H67" s="57" t="e" vm="2">
        <v>#VALUE!</v>
      </c>
      <c r="I67" s="64"/>
      <c r="J67" s="57"/>
      <c r="K67" s="57"/>
      <c r="L67" s="4"/>
      <c r="M67" s="35"/>
    </row>
    <row r="68" spans="1:13" ht="15.9" customHeight="1" x14ac:dyDescent="0.35">
      <c r="A68" s="36">
        <v>65</v>
      </c>
      <c r="B68" s="64" t="str">
        <f>IF(Tabla1[[#This Row],[TRABAJADOR]]="", "", VLOOKUP(Tabla1[[#This Row],[TRABAJADOR]], 'Colaborador ID'!B:C, 2, FALSE))</f>
        <v>E1404</v>
      </c>
      <c r="C68" s="63" t="s">
        <v>139</v>
      </c>
      <c r="D68" s="64" t="s">
        <v>5289</v>
      </c>
      <c r="E68" s="64" t="s">
        <v>16</v>
      </c>
      <c r="F68" s="99" t="e" vm="1">
        <v>#VALUE!</v>
      </c>
      <c r="G68" s="58">
        <v>45826</v>
      </c>
      <c r="H68" s="6" t="e" vm="2">
        <v>#VALUE!</v>
      </c>
      <c r="I68" s="64"/>
      <c r="J68" s="57"/>
      <c r="K68" s="57"/>
      <c r="L68" s="4"/>
      <c r="M68" s="35"/>
    </row>
    <row r="69" spans="1:13" ht="15.9" customHeight="1" x14ac:dyDescent="0.3">
      <c r="A69" s="36">
        <v>66</v>
      </c>
      <c r="B69" s="57" t="str">
        <f>IF(Tabla1[[#This Row],[TRABAJADOR]]="", "", VLOOKUP(Tabla1[[#This Row],[TRABAJADOR]], 'Colaborador ID'!B:C, 2, FALSE))</f>
        <v>E1882</v>
      </c>
      <c r="C69" s="56" t="s">
        <v>140</v>
      </c>
      <c r="D69" s="57" t="s">
        <v>141</v>
      </c>
      <c r="E69" s="64" t="s">
        <v>16</v>
      </c>
      <c r="F69" s="49" t="e" vm="1">
        <v>#VALUE!</v>
      </c>
      <c r="G69" s="58">
        <v>45957</v>
      </c>
      <c r="H69" s="57" t="e" vm="2">
        <v>#VALUE!</v>
      </c>
      <c r="I69" s="57" t="s">
        <v>22</v>
      </c>
      <c r="J69" s="57"/>
      <c r="K69" s="57"/>
      <c r="L69" s="4"/>
      <c r="M69" s="35"/>
    </row>
    <row r="70" spans="1:13" ht="15.9" customHeight="1" x14ac:dyDescent="0.3">
      <c r="A70" s="36">
        <v>67</v>
      </c>
      <c r="B70" s="64" t="str">
        <f>IF(Tabla1[[#This Row],[TRABAJADOR]]="", "", VLOOKUP(Tabla1[[#This Row],[TRABAJADOR]], 'Colaborador ID'!B:C, 2, FALSE))</f>
        <v>E1192</v>
      </c>
      <c r="C70" s="63" t="s">
        <v>142</v>
      </c>
      <c r="D70" s="64" t="s">
        <v>143</v>
      </c>
      <c r="E70" s="64"/>
      <c r="F70" s="57" t="e" vm="1">
        <v>#VALUE!</v>
      </c>
      <c r="G70" s="58"/>
      <c r="H70" s="57" t="e" vm="2">
        <v>#VALUE!</v>
      </c>
      <c r="I70" s="64"/>
      <c r="J70" s="57"/>
      <c r="K70" s="57"/>
      <c r="L70" s="4"/>
      <c r="M70" s="35"/>
    </row>
    <row r="71" spans="1:13" ht="15.9" customHeight="1" x14ac:dyDescent="0.35">
      <c r="A71" s="36">
        <v>68</v>
      </c>
      <c r="B71" s="64" t="str">
        <f>IF(Tabla1[[#This Row],[TRABAJADOR]]="", "", VLOOKUP(Tabla1[[#This Row],[TRABAJADOR]], 'Colaborador ID'!B:C, 2, FALSE))</f>
        <v>E1330</v>
      </c>
      <c r="C71" s="63" t="s">
        <v>144</v>
      </c>
      <c r="D71" s="64" t="s">
        <v>145</v>
      </c>
      <c r="E71" s="64" t="s">
        <v>35</v>
      </c>
      <c r="F71" s="37" t="e" vm="1">
        <v>#VALUE!</v>
      </c>
      <c r="G71" s="58"/>
      <c r="H71" s="57" t="e" vm="2">
        <v>#VALUE!</v>
      </c>
      <c r="I71" s="64"/>
      <c r="J71" s="57"/>
      <c r="K71" s="57"/>
      <c r="L71" s="4"/>
      <c r="M71" s="35"/>
    </row>
    <row r="72" spans="1:13" ht="15.9" customHeight="1" x14ac:dyDescent="0.3">
      <c r="A72" s="36">
        <v>69</v>
      </c>
      <c r="B72" s="57" t="str">
        <f>IF(Tabla1[[#This Row],[TRABAJADOR]]="", "", VLOOKUP(Tabla1[[#This Row],[TRABAJADOR]], 'Colaborador ID'!B:C, 2, FALSE))</f>
        <v>E1878</v>
      </c>
      <c r="C72" s="56" t="s">
        <v>146</v>
      </c>
      <c r="D72" s="57" t="s">
        <v>147</v>
      </c>
      <c r="E72" s="64" t="s">
        <v>16</v>
      </c>
      <c r="F72" s="49" t="e" vm="1">
        <v>#VALUE!</v>
      </c>
      <c r="G72" s="58">
        <v>45950</v>
      </c>
      <c r="H72" s="49" t="e" vm="2">
        <v>#VALUE!</v>
      </c>
      <c r="I72" s="57" t="s">
        <v>22</v>
      </c>
      <c r="J72" s="57"/>
      <c r="K72" s="57"/>
      <c r="L72" s="4"/>
      <c r="M72" s="35"/>
    </row>
    <row r="73" spans="1:13" ht="15.9" customHeight="1" x14ac:dyDescent="0.3">
      <c r="A73" s="36">
        <v>70</v>
      </c>
      <c r="B73" s="57" t="str">
        <f>IF(Tabla1[[#This Row],[TRABAJADOR]]="", "", VLOOKUP(Tabla1[[#This Row],[TRABAJADOR]], 'Colaborador ID'!B:C, 2, FALSE))</f>
        <v>E1703</v>
      </c>
      <c r="C73" s="56" t="s">
        <v>148</v>
      </c>
      <c r="D73" s="57" t="s">
        <v>149</v>
      </c>
      <c r="E73" s="64" t="s">
        <v>19</v>
      </c>
      <c r="F73" s="49" t="e" vm="1">
        <v>#VALUE!</v>
      </c>
      <c r="G73" s="58">
        <v>45896</v>
      </c>
      <c r="H73" s="57" t="e" vm="2">
        <v>#VALUE!</v>
      </c>
      <c r="I73" s="57"/>
      <c r="J73" s="57"/>
      <c r="K73" s="57"/>
      <c r="L73" s="4"/>
      <c r="M73" s="35"/>
    </row>
    <row r="74" spans="1:13" ht="15.9" customHeight="1" x14ac:dyDescent="0.35">
      <c r="A74" s="36">
        <v>71</v>
      </c>
      <c r="B74" s="64" t="e">
        <f>IF(Tabla1[[#This Row],[TRABAJADOR]]="", "", VLOOKUP(Tabla1[[#This Row],[TRABAJADOR]], 'Colaborador ID'!B:C, 2, FALSE))</f>
        <v>#N/A</v>
      </c>
      <c r="C74" s="63" t="s">
        <v>150</v>
      </c>
      <c r="D74" s="64" t="s">
        <v>151</v>
      </c>
      <c r="E74" s="64" t="s">
        <v>16</v>
      </c>
      <c r="F74" s="41" t="e" vm="1">
        <v>#VALUE!</v>
      </c>
      <c r="G74" s="58"/>
      <c r="H74" s="57" t="e" vm="2">
        <v>#VALUE!</v>
      </c>
      <c r="I74" s="64"/>
      <c r="J74" s="57"/>
      <c r="K74" s="57"/>
      <c r="L74" s="4"/>
      <c r="M74" s="35"/>
    </row>
    <row r="75" spans="1:13" ht="15.9" customHeight="1" x14ac:dyDescent="0.35">
      <c r="A75" s="36">
        <v>72</v>
      </c>
      <c r="B75" s="64" t="str">
        <f>IF(Tabla1[[#This Row],[TRABAJADOR]]="", "", VLOOKUP(Tabla1[[#This Row],[TRABAJADOR]], 'Colaborador ID'!B:C, 2, FALSE))</f>
        <v>E0175</v>
      </c>
      <c r="C75" s="63" t="s">
        <v>152</v>
      </c>
      <c r="D75" s="64" t="s">
        <v>153</v>
      </c>
      <c r="E75" s="64" t="s">
        <v>19</v>
      </c>
      <c r="F75" s="41" t="e" vm="1">
        <v>#VALUE!</v>
      </c>
      <c r="G75" s="58"/>
      <c r="H75" s="57" t="e" vm="2">
        <v>#VALUE!</v>
      </c>
      <c r="I75" s="64"/>
      <c r="J75" s="57"/>
      <c r="K75" s="57"/>
      <c r="L75" s="4"/>
      <c r="M75" s="35"/>
    </row>
    <row r="76" spans="1:13" ht="15.9" customHeight="1" x14ac:dyDescent="0.3">
      <c r="A76" s="36">
        <v>73</v>
      </c>
      <c r="B76" s="64" t="str">
        <f>IF(Tabla1[[#This Row],[TRABAJADOR]]="", "", VLOOKUP(Tabla1[[#This Row],[TRABAJADOR]], 'Colaborador ID'!B:C, 2, FALSE))</f>
        <v>E0536</v>
      </c>
      <c r="C76" s="63" t="s">
        <v>154</v>
      </c>
      <c r="D76" s="64" t="s">
        <v>155</v>
      </c>
      <c r="E76" s="64" t="s">
        <v>16</v>
      </c>
      <c r="F76" s="38" t="e" vm="1">
        <v>#VALUE!</v>
      </c>
      <c r="G76" s="58">
        <v>45756</v>
      </c>
      <c r="H76" s="57" t="e" vm="2">
        <v>#VALUE!</v>
      </c>
      <c r="I76" s="64"/>
      <c r="J76" s="57"/>
      <c r="K76" s="57"/>
      <c r="L76" s="4"/>
      <c r="M76" s="35"/>
    </row>
    <row r="77" spans="1:13" ht="15.9" customHeight="1" x14ac:dyDescent="0.35">
      <c r="A77" s="36">
        <v>74</v>
      </c>
      <c r="B77" s="64" t="str">
        <f>IF(Tabla1[[#This Row],[TRABAJADOR]]="", "", VLOOKUP(Tabla1[[#This Row],[TRABAJADOR]], 'Colaborador ID'!B:C, 2, FALSE))</f>
        <v>E1331</v>
      </c>
      <c r="C77" s="63" t="s">
        <v>156</v>
      </c>
      <c r="D77" s="64" t="s">
        <v>157</v>
      </c>
      <c r="E77" s="64" t="s">
        <v>158</v>
      </c>
      <c r="F77" s="37" t="e" vm="1">
        <v>#VALUE!</v>
      </c>
      <c r="G77" s="58"/>
      <c r="H77" s="57" t="e" vm="2">
        <v>#VALUE!</v>
      </c>
      <c r="I77" s="64"/>
      <c r="J77" s="57"/>
      <c r="K77" s="57"/>
      <c r="L77" s="4"/>
      <c r="M77" s="35"/>
    </row>
    <row r="78" spans="1:13" ht="15.9" customHeight="1" x14ac:dyDescent="0.3">
      <c r="A78" s="36">
        <v>75</v>
      </c>
      <c r="B78" s="57" t="str">
        <f>IF(Tabla1[[#This Row],[TRABAJADOR]]="", "", VLOOKUP(Tabla1[[#This Row],[TRABAJADOR]], 'Colaborador ID'!B:C, 2, FALSE))</f>
        <v>E2067</v>
      </c>
      <c r="C78" s="56" t="s">
        <v>2940</v>
      </c>
      <c r="D78" s="57" t="s">
        <v>5290</v>
      </c>
      <c r="E78" s="64" t="s">
        <v>16</v>
      </c>
      <c r="F78" s="49" t="e" vm="1">
        <v>#VALUE!</v>
      </c>
      <c r="G78" s="58">
        <v>46006</v>
      </c>
      <c r="H78" s="57" t="e" vm="2">
        <v>#VALUE!</v>
      </c>
      <c r="I78" s="57"/>
      <c r="J78" s="57"/>
      <c r="K78" s="57"/>
      <c r="L78" s="4"/>
      <c r="M78" s="35"/>
    </row>
    <row r="79" spans="1:13" ht="15.9" customHeight="1" x14ac:dyDescent="0.3">
      <c r="A79" s="36">
        <v>76</v>
      </c>
      <c r="B79" s="57" t="str">
        <f>IF(Tabla1[[#This Row],[TRABAJADOR]]="", "", VLOOKUP(Tabla1[[#This Row],[TRABAJADOR]], 'Colaborador ID'!B:C, 2, FALSE))</f>
        <v>E1891</v>
      </c>
      <c r="C79" s="56" t="s">
        <v>159</v>
      </c>
      <c r="D79" s="57" t="s">
        <v>5314</v>
      </c>
      <c r="E79" s="64" t="s">
        <v>16</v>
      </c>
      <c r="F79" s="49" t="e" vm="1">
        <v>#VALUE!</v>
      </c>
      <c r="G79" s="58">
        <v>46030</v>
      </c>
      <c r="H79" s="49" t="e" vm="2">
        <v>#VALUE!</v>
      </c>
      <c r="I79" s="57"/>
      <c r="J79" s="57"/>
      <c r="K79" s="57"/>
      <c r="L79" s="4"/>
      <c r="M79" s="35"/>
    </row>
    <row r="80" spans="1:13" ht="15.9" customHeight="1" x14ac:dyDescent="0.3">
      <c r="A80" s="36">
        <v>77</v>
      </c>
      <c r="B80" s="64" t="str">
        <f>IF(Tabla1[[#This Row],[TRABAJADOR]]="", "", VLOOKUP(Tabla1[[#This Row],[TRABAJADOR]], 'Colaborador ID'!B:C, 2, FALSE))</f>
        <v>E0500</v>
      </c>
      <c r="C80" s="63" t="s">
        <v>160</v>
      </c>
      <c r="D80" s="64" t="s">
        <v>161</v>
      </c>
      <c r="E80" s="64"/>
      <c r="F80" s="57" t="e" vm="1">
        <v>#VALUE!</v>
      </c>
      <c r="G80" s="58"/>
      <c r="H80" s="57" t="e" vm="2">
        <v>#VALUE!</v>
      </c>
      <c r="I80" s="64"/>
      <c r="J80" s="57"/>
      <c r="K80" s="57"/>
      <c r="L80" s="4"/>
      <c r="M80" s="35"/>
    </row>
    <row r="81" spans="1:13" ht="15.9" customHeight="1" x14ac:dyDescent="0.3">
      <c r="A81" s="36">
        <v>78</v>
      </c>
      <c r="B81" s="64" t="str">
        <f>IF(Tabla1[[#This Row],[TRABAJADOR]]="", "", VLOOKUP(Tabla1[[#This Row],[TRABAJADOR]], 'Colaborador ID'!B:C, 2, FALSE))</f>
        <v>E0795</v>
      </c>
      <c r="C81" s="63" t="s">
        <v>162</v>
      </c>
      <c r="D81" s="64" t="s">
        <v>163</v>
      </c>
      <c r="E81" s="64"/>
      <c r="F81" s="6" t="e" vm="1">
        <v>#VALUE!</v>
      </c>
      <c r="G81" s="58"/>
      <c r="H81" s="6" t="e" vm="2">
        <v>#VALUE!</v>
      </c>
      <c r="I81" s="64"/>
      <c r="J81" s="57"/>
      <c r="K81" s="57"/>
      <c r="L81" s="4"/>
      <c r="M81" s="35"/>
    </row>
    <row r="82" spans="1:13" ht="15.9" customHeight="1" x14ac:dyDescent="0.3">
      <c r="A82" s="36">
        <v>79</v>
      </c>
      <c r="B82" s="64" t="str">
        <f>IF(Tabla1[[#This Row],[TRABAJADOR]]="", "", VLOOKUP(Tabla1[[#This Row],[TRABAJADOR]], 'Colaborador ID'!B:C, 2, FALSE))</f>
        <v>E0285</v>
      </c>
      <c r="C82" s="63" t="s">
        <v>164</v>
      </c>
      <c r="D82" s="64" t="s">
        <v>165</v>
      </c>
      <c r="E82" s="64"/>
      <c r="F82" s="57" t="e" vm="1">
        <v>#VALUE!</v>
      </c>
      <c r="G82" s="58"/>
      <c r="H82" s="57" t="e" vm="2">
        <v>#VALUE!</v>
      </c>
      <c r="I82" s="64"/>
      <c r="J82" s="57"/>
      <c r="K82" s="57"/>
      <c r="L82" s="4"/>
      <c r="M82" s="35"/>
    </row>
    <row r="83" spans="1:13" ht="15.9" customHeight="1" x14ac:dyDescent="0.3">
      <c r="A83" s="36">
        <v>80</v>
      </c>
      <c r="B83" s="64" t="str">
        <f>IF(Tabla1[[#This Row],[TRABAJADOR]]="", "", VLOOKUP(Tabla1[[#This Row],[TRABAJADOR]], 'Colaborador ID'!B:C, 2, FALSE))</f>
        <v>E0359</v>
      </c>
      <c r="C83" s="63" t="s">
        <v>166</v>
      </c>
      <c r="D83" s="64" t="s">
        <v>167</v>
      </c>
      <c r="E83" s="64" t="s">
        <v>13</v>
      </c>
      <c r="F83" s="38" t="e" vm="1">
        <v>#VALUE!</v>
      </c>
      <c r="G83" s="58">
        <v>45756</v>
      </c>
      <c r="H83" s="57" t="e" vm="2">
        <v>#VALUE!</v>
      </c>
      <c r="I83" s="64"/>
      <c r="J83" s="57"/>
      <c r="K83" s="57"/>
      <c r="L83" s="4"/>
      <c r="M83" s="35"/>
    </row>
    <row r="84" spans="1:13" ht="15.9" customHeight="1" x14ac:dyDescent="0.3">
      <c r="A84" s="36">
        <v>81</v>
      </c>
      <c r="B84" s="64" t="str">
        <f>IF(Tabla1[[#This Row],[TRABAJADOR]]="", "", VLOOKUP(Tabla1[[#This Row],[TRABAJADOR]], 'Colaborador ID'!B:C, 2, FALSE))</f>
        <v>E1406</v>
      </c>
      <c r="C84" s="63" t="s">
        <v>168</v>
      </c>
      <c r="D84" s="64" t="s">
        <v>169</v>
      </c>
      <c r="E84" s="64" t="s">
        <v>16</v>
      </c>
      <c r="F84" s="32" t="e" vm="1">
        <v>#VALUE!</v>
      </c>
      <c r="G84" s="58">
        <v>45820</v>
      </c>
      <c r="H84" s="57" t="e" vm="2">
        <v>#VALUE!</v>
      </c>
      <c r="I84" s="64"/>
      <c r="J84" s="57"/>
      <c r="K84" s="57"/>
      <c r="L84" s="4"/>
      <c r="M84" s="35"/>
    </row>
    <row r="85" spans="1:13" ht="15.9" customHeight="1" x14ac:dyDescent="0.3">
      <c r="A85" s="36">
        <v>82</v>
      </c>
      <c r="B85" s="64" t="str">
        <f>IF(Tabla1[[#This Row],[TRABAJADOR]]="", "", VLOOKUP(Tabla1[[#This Row],[TRABAJADOR]], 'Colaborador ID'!B:C, 2, FALSE))</f>
        <v>E0617</v>
      </c>
      <c r="C85" s="63" t="s">
        <v>170</v>
      </c>
      <c r="D85" s="64" t="s">
        <v>171</v>
      </c>
      <c r="E85" s="64"/>
      <c r="F85" s="57" t="e" vm="1">
        <v>#VALUE!</v>
      </c>
      <c r="G85" s="58"/>
      <c r="H85" s="57" t="e" vm="2">
        <v>#VALUE!</v>
      </c>
      <c r="I85" s="64"/>
      <c r="J85" s="57"/>
      <c r="K85" s="57"/>
      <c r="L85" s="4"/>
      <c r="M85" s="35"/>
    </row>
    <row r="86" spans="1:13" ht="15.9" customHeight="1" x14ac:dyDescent="0.3">
      <c r="A86" s="36">
        <v>83</v>
      </c>
      <c r="B86" s="57" t="str">
        <f>IF(Tabla1[[#This Row],[TRABAJADOR]]="", "", VLOOKUP(Tabla1[[#This Row],[TRABAJADOR]], 'Colaborador ID'!B:C, 2, FALSE))</f>
        <v>E1888</v>
      </c>
      <c r="C86" s="56" t="s">
        <v>172</v>
      </c>
      <c r="D86" s="57" t="s">
        <v>173</v>
      </c>
      <c r="E86" s="64" t="s">
        <v>16</v>
      </c>
      <c r="F86" s="49" t="e" vm="1">
        <v>#VALUE!</v>
      </c>
      <c r="G86" s="58">
        <v>45958</v>
      </c>
      <c r="H86" s="57" t="e" vm="2">
        <v>#VALUE!</v>
      </c>
      <c r="I86" s="57"/>
      <c r="J86" s="57"/>
      <c r="K86" s="57"/>
      <c r="L86" s="4"/>
      <c r="M86" s="35"/>
    </row>
    <row r="87" spans="1:13" ht="15.9" customHeight="1" x14ac:dyDescent="0.35">
      <c r="A87" s="36">
        <v>84</v>
      </c>
      <c r="B87" s="64" t="str">
        <f>IF(Tabla1[[#This Row],[TRABAJADOR]]="", "", VLOOKUP(Tabla1[[#This Row],[TRABAJADOR]], 'Colaborador ID'!B:C, 2, FALSE))</f>
        <v>E0778</v>
      </c>
      <c r="C87" s="63" t="s">
        <v>174</v>
      </c>
      <c r="D87" s="64" t="s">
        <v>175</v>
      </c>
      <c r="E87" s="64" t="s">
        <v>19</v>
      </c>
      <c r="F87" s="37" t="e" vm="1">
        <v>#VALUE!</v>
      </c>
      <c r="G87" s="58"/>
      <c r="H87" s="57" t="e" vm="2">
        <v>#VALUE!</v>
      </c>
      <c r="I87" s="64"/>
      <c r="J87" s="57"/>
      <c r="K87" s="57"/>
      <c r="L87" s="4"/>
      <c r="M87" s="35"/>
    </row>
    <row r="88" spans="1:13" ht="15.9" customHeight="1" x14ac:dyDescent="0.35">
      <c r="A88" s="36">
        <v>85</v>
      </c>
      <c r="B88" s="64" t="str">
        <f>IF(Tabla1[[#This Row],[TRABAJADOR]]="", "", VLOOKUP(Tabla1[[#This Row],[TRABAJADOR]], 'Colaborador ID'!B:C, 2, FALSE))</f>
        <v>E0085</v>
      </c>
      <c r="C88" s="63" t="s">
        <v>176</v>
      </c>
      <c r="D88" s="64" t="s">
        <v>177</v>
      </c>
      <c r="E88" s="64" t="s">
        <v>16</v>
      </c>
      <c r="F88" s="42" t="e" vm="1">
        <v>#VALUE!</v>
      </c>
      <c r="G88" s="58">
        <v>45826</v>
      </c>
      <c r="H88" s="57" t="e" vm="2">
        <v>#VALUE!</v>
      </c>
      <c r="I88" s="64"/>
      <c r="J88" s="57"/>
      <c r="K88" s="57"/>
      <c r="L88" s="4"/>
      <c r="M88" s="35"/>
    </row>
    <row r="89" spans="1:13" ht="15.9" customHeight="1" x14ac:dyDescent="0.3">
      <c r="A89" s="36">
        <v>86</v>
      </c>
      <c r="B89" s="64" t="e">
        <f>IF(Tabla1[[#This Row],[TRABAJADOR]]="", "", VLOOKUP(Tabla1[[#This Row],[TRABAJADOR]], 'Colaborador ID'!B:C, 2, FALSE))</f>
        <v>#N/A</v>
      </c>
      <c r="C89" s="63" t="s">
        <v>178</v>
      </c>
      <c r="D89" s="64" t="s">
        <v>179</v>
      </c>
      <c r="E89" s="64"/>
      <c r="F89" s="57" t="e" vm="1">
        <v>#VALUE!</v>
      </c>
      <c r="G89" s="58"/>
      <c r="H89" s="57" t="e" vm="2">
        <v>#VALUE!</v>
      </c>
      <c r="I89" s="64"/>
      <c r="J89" s="57"/>
      <c r="K89" s="57"/>
      <c r="L89" s="4"/>
      <c r="M89" s="35"/>
    </row>
    <row r="90" spans="1:13" ht="15.9" customHeight="1" x14ac:dyDescent="0.3">
      <c r="A90" s="36">
        <v>87</v>
      </c>
      <c r="B90" s="64" t="str">
        <f>IF(Tabla1[[#This Row],[TRABAJADOR]]="", "", VLOOKUP(Tabla1[[#This Row],[TRABAJADOR]], 'Colaborador ID'!B:C, 2, FALSE))</f>
        <v>E0581</v>
      </c>
      <c r="C90" s="63" t="s">
        <v>180</v>
      </c>
      <c r="D90" s="64" t="s">
        <v>181</v>
      </c>
      <c r="E90" s="64"/>
      <c r="F90" s="57" t="e" vm="1">
        <v>#VALUE!</v>
      </c>
      <c r="G90" s="58"/>
      <c r="H90" s="57" t="e" vm="2">
        <v>#VALUE!</v>
      </c>
      <c r="I90" s="64"/>
      <c r="J90" s="57"/>
      <c r="K90" s="57"/>
      <c r="L90" s="4"/>
      <c r="M90" s="35"/>
    </row>
    <row r="91" spans="1:13" ht="15.9" customHeight="1" x14ac:dyDescent="0.3">
      <c r="A91" s="36">
        <v>88</v>
      </c>
      <c r="B91" s="64" t="str">
        <f>IF(Tabla1[[#This Row],[TRABAJADOR]]="", "", VLOOKUP(Tabla1[[#This Row],[TRABAJADOR]], 'Colaborador ID'!B:C, 2, FALSE))</f>
        <v>E0529</v>
      </c>
      <c r="C91" s="63" t="s">
        <v>182</v>
      </c>
      <c r="D91" s="64" t="s">
        <v>183</v>
      </c>
      <c r="E91" s="64"/>
      <c r="F91" s="57" t="e" vm="1">
        <v>#VALUE!</v>
      </c>
      <c r="G91" s="58"/>
      <c r="H91" s="57" t="e" vm="2">
        <v>#VALUE!</v>
      </c>
      <c r="I91" s="64"/>
      <c r="J91" s="57"/>
      <c r="K91" s="57"/>
      <c r="L91" s="4"/>
      <c r="M91" s="35"/>
    </row>
    <row r="92" spans="1:13" ht="15.9" customHeight="1" x14ac:dyDescent="0.3">
      <c r="A92" s="36">
        <v>89</v>
      </c>
      <c r="B92" s="64" t="str">
        <f>IF(Tabla1[[#This Row],[TRABAJADOR]]="", "", VLOOKUP(Tabla1[[#This Row],[TRABAJADOR]], 'Colaborador ID'!B:C, 2, FALSE))</f>
        <v>E1452</v>
      </c>
      <c r="C92" s="63" t="s">
        <v>184</v>
      </c>
      <c r="D92" s="64" t="s">
        <v>185</v>
      </c>
      <c r="E92" s="64"/>
      <c r="F92" s="6" t="e" vm="1">
        <v>#VALUE!</v>
      </c>
      <c r="G92" s="58"/>
      <c r="H92" s="57" t="e" vm="2">
        <v>#VALUE!</v>
      </c>
      <c r="I92" s="64" t="s">
        <v>22</v>
      </c>
      <c r="J92" s="57"/>
      <c r="K92" s="57"/>
      <c r="L92" s="4"/>
      <c r="M92" s="35"/>
    </row>
    <row r="93" spans="1:13" ht="15.9" customHeight="1" x14ac:dyDescent="0.35">
      <c r="A93" s="36">
        <v>90</v>
      </c>
      <c r="B93" s="64" t="str">
        <f>IF(Tabla1[[#This Row],[TRABAJADOR]]="", "", VLOOKUP(Tabla1[[#This Row],[TRABAJADOR]], 'Colaborador ID'!B:C, 2, FALSE))</f>
        <v>E0487</v>
      </c>
      <c r="C93" s="63" t="s">
        <v>186</v>
      </c>
      <c r="D93" s="64" t="s">
        <v>5517</v>
      </c>
      <c r="E93" s="64" t="s">
        <v>271</v>
      </c>
      <c r="F93" s="37" t="e" vm="1">
        <v>#VALUE!</v>
      </c>
      <c r="G93" s="58">
        <v>46093</v>
      </c>
      <c r="H93" s="40" t="e" vm="2">
        <v>#VALUE!</v>
      </c>
      <c r="I93" s="64"/>
      <c r="J93" s="57"/>
      <c r="K93" s="57"/>
      <c r="L93" s="4"/>
      <c r="M93" s="35"/>
    </row>
    <row r="94" spans="1:13" ht="15.9" customHeight="1" x14ac:dyDescent="0.3">
      <c r="A94" s="36">
        <v>91</v>
      </c>
      <c r="B94" s="64" t="str">
        <f>IF(Tabla1[[#This Row],[TRABAJADOR]]="", "", VLOOKUP(Tabla1[[#This Row],[TRABAJADOR]], 'Colaborador ID'!B:C, 2, FALSE))</f>
        <v>E1453</v>
      </c>
      <c r="C94" s="63" t="s">
        <v>187</v>
      </c>
      <c r="D94" s="64" t="s">
        <v>188</v>
      </c>
      <c r="E94" s="64"/>
      <c r="F94" s="6" t="e" vm="1">
        <v>#VALUE!</v>
      </c>
      <c r="G94" s="58"/>
      <c r="H94" s="6" t="e" vm="2">
        <v>#VALUE!</v>
      </c>
      <c r="I94" s="64" t="s">
        <v>22</v>
      </c>
      <c r="J94" s="57"/>
      <c r="K94" s="57"/>
      <c r="L94" s="4"/>
      <c r="M94" s="35"/>
    </row>
    <row r="95" spans="1:13" ht="15.9" customHeight="1" x14ac:dyDescent="0.3">
      <c r="A95" s="36">
        <v>92</v>
      </c>
      <c r="B95" s="57" t="str">
        <f>IF(Tabla1[[#This Row],[TRABAJADOR]]="", "", VLOOKUP(Tabla1[[#This Row],[TRABAJADOR]], 'Colaborador ID'!B:C, 2, FALSE))</f>
        <v>E2153</v>
      </c>
      <c r="C95" s="56" t="s">
        <v>5498</v>
      </c>
      <c r="D95" s="57" t="s">
        <v>5502</v>
      </c>
      <c r="E95" s="57" t="s">
        <v>16</v>
      </c>
      <c r="F95" s="49" t="e" vm="1">
        <v>#VALUE!</v>
      </c>
      <c r="G95" s="58">
        <v>46083</v>
      </c>
      <c r="H95" s="57" t="e" vm="3">
        <v>#VALUE!</v>
      </c>
      <c r="I95" s="57"/>
      <c r="J95" s="57"/>
      <c r="K95" s="57"/>
      <c r="L95" s="4"/>
      <c r="M95" s="35"/>
    </row>
    <row r="96" spans="1:13" ht="15.9" customHeight="1" x14ac:dyDescent="0.3">
      <c r="A96" s="36">
        <v>93</v>
      </c>
      <c r="B96" s="64" t="str">
        <f>IF(Tabla1[[#This Row],[TRABAJADOR]]="", "", VLOOKUP(Tabla1[[#This Row],[TRABAJADOR]], 'Colaborador ID'!B:C, 2, FALSE))</f>
        <v>E1454</v>
      </c>
      <c r="C96" s="63" t="s">
        <v>189</v>
      </c>
      <c r="D96" s="64" t="s">
        <v>190</v>
      </c>
      <c r="E96" s="64" t="s">
        <v>16</v>
      </c>
      <c r="F96" s="57" t="e" vm="1">
        <v>#VALUE!</v>
      </c>
      <c r="G96" s="58"/>
      <c r="H96" s="57" t="e" vm="2">
        <v>#VALUE!</v>
      </c>
      <c r="I96" s="64" t="s">
        <v>22</v>
      </c>
      <c r="J96" s="57"/>
      <c r="K96" s="57"/>
      <c r="L96" s="4"/>
      <c r="M96" s="35"/>
    </row>
    <row r="97" spans="1:13" ht="15.9" customHeight="1" x14ac:dyDescent="0.3">
      <c r="A97" s="36">
        <v>94</v>
      </c>
      <c r="B97" s="64" t="str">
        <f>IF(Tabla1[[#This Row],[TRABAJADOR]]="", "", VLOOKUP(Tabla1[[#This Row],[TRABAJADOR]], 'Colaborador ID'!B:C, 2, FALSE))</f>
        <v>E0038</v>
      </c>
      <c r="C97" s="63" t="s">
        <v>191</v>
      </c>
      <c r="D97" s="64" t="s">
        <v>192</v>
      </c>
      <c r="E97" s="64" t="s">
        <v>16</v>
      </c>
      <c r="F97" s="32" t="e" vm="1">
        <v>#VALUE!</v>
      </c>
      <c r="G97" s="58">
        <v>45784</v>
      </c>
      <c r="H97" s="57" t="e" vm="2">
        <v>#VALUE!</v>
      </c>
      <c r="I97" s="64"/>
      <c r="J97" s="57"/>
      <c r="K97" s="57"/>
      <c r="L97" s="4"/>
      <c r="M97" s="35"/>
    </row>
    <row r="98" spans="1:13" ht="15.9" customHeight="1" x14ac:dyDescent="0.3">
      <c r="A98" s="36">
        <v>95</v>
      </c>
      <c r="B98" s="64" t="str">
        <f>IF(Tabla1[[#This Row],[TRABAJADOR]]="", "", VLOOKUP(Tabla1[[#This Row],[TRABAJADOR]], 'Colaborador ID'!B:C, 2, FALSE))</f>
        <v>E1455</v>
      </c>
      <c r="C98" s="63" t="s">
        <v>193</v>
      </c>
      <c r="D98" s="64" t="s">
        <v>194</v>
      </c>
      <c r="E98" s="64"/>
      <c r="F98" s="57" t="e" vm="1">
        <v>#VALUE!</v>
      </c>
      <c r="G98" s="58"/>
      <c r="H98" s="57" t="e" vm="2">
        <v>#VALUE!</v>
      </c>
      <c r="I98" s="64" t="s">
        <v>22</v>
      </c>
      <c r="J98" s="57"/>
      <c r="K98" s="57"/>
      <c r="L98" s="4"/>
      <c r="M98" s="35"/>
    </row>
    <row r="99" spans="1:13" ht="15.9" customHeight="1" x14ac:dyDescent="0.35">
      <c r="A99" s="36">
        <v>96</v>
      </c>
      <c r="B99" s="64" t="str">
        <f>IF(Tabla1[[#This Row],[TRABAJADOR]]="", "", VLOOKUP(Tabla1[[#This Row],[TRABAJADOR]], 'Colaborador ID'!B:C, 2, FALSE))</f>
        <v>E1332</v>
      </c>
      <c r="C99" s="63" t="s">
        <v>195</v>
      </c>
      <c r="D99" s="64" t="s">
        <v>196</v>
      </c>
      <c r="E99" s="64" t="s">
        <v>35</v>
      </c>
      <c r="F99" s="41" t="e" vm="1">
        <v>#VALUE!</v>
      </c>
      <c r="G99" s="58"/>
      <c r="H99" s="57" t="e" vm="2">
        <v>#VALUE!</v>
      </c>
      <c r="I99" s="64"/>
      <c r="J99" s="57"/>
      <c r="K99" s="57"/>
      <c r="L99" s="4"/>
      <c r="M99" s="35"/>
    </row>
    <row r="100" spans="1:13" ht="15.9" customHeight="1" x14ac:dyDescent="0.3">
      <c r="A100" s="36">
        <v>97</v>
      </c>
      <c r="B100" s="64" t="str">
        <f>IF(Tabla1[[#This Row],[TRABAJADOR]]="", "", VLOOKUP(Tabla1[[#This Row],[TRABAJADOR]], 'Colaborador ID'!B:C, 2, FALSE))</f>
        <v>E0621</v>
      </c>
      <c r="C100" s="63" t="s">
        <v>197</v>
      </c>
      <c r="D100" s="64" t="s">
        <v>198</v>
      </c>
      <c r="E100" s="64" t="s">
        <v>16</v>
      </c>
      <c r="F100" s="38" t="e" vm="1">
        <v>#VALUE!</v>
      </c>
      <c r="G100" s="58">
        <v>45817</v>
      </c>
      <c r="H100" s="57" t="e" vm="2">
        <v>#VALUE!</v>
      </c>
      <c r="I100" s="64"/>
      <c r="J100" s="57"/>
      <c r="K100" s="57"/>
      <c r="L100" s="4"/>
      <c r="M100" s="35"/>
    </row>
    <row r="101" spans="1:13" ht="15.9" customHeight="1" x14ac:dyDescent="0.3">
      <c r="A101" s="36">
        <v>98</v>
      </c>
      <c r="B101" s="64" t="str">
        <f>IF(Tabla1[[#This Row],[TRABAJADOR]]="", "", VLOOKUP(Tabla1[[#This Row],[TRABAJADOR]], 'Colaborador ID'!B:C, 2, FALSE))</f>
        <v>E0625</v>
      </c>
      <c r="C101" s="63" t="s">
        <v>199</v>
      </c>
      <c r="D101" s="64" t="s">
        <v>200</v>
      </c>
      <c r="E101" s="64"/>
      <c r="F101" s="57" t="e" vm="1">
        <v>#VALUE!</v>
      </c>
      <c r="G101" s="58"/>
      <c r="H101" s="57" t="e" vm="2">
        <v>#VALUE!</v>
      </c>
      <c r="I101" s="64"/>
      <c r="J101" s="57"/>
      <c r="K101" s="57"/>
      <c r="L101" s="4"/>
      <c r="M101" s="35"/>
    </row>
    <row r="102" spans="1:13" ht="15.9" customHeight="1" x14ac:dyDescent="0.3">
      <c r="A102" s="36">
        <v>99</v>
      </c>
      <c r="B102" s="64" t="e">
        <f>IF(Tabla1[[#This Row],[TRABAJADOR]]="", "", VLOOKUP(Tabla1[[#This Row],[TRABAJADOR]], 'Colaborador ID'!B:C, 2, FALSE))</f>
        <v>#N/A</v>
      </c>
      <c r="C102" s="63" t="s">
        <v>201</v>
      </c>
      <c r="D102" s="64" t="s">
        <v>202</v>
      </c>
      <c r="E102" s="64" t="s">
        <v>16</v>
      </c>
      <c r="F102" s="38" t="e" vm="1">
        <v>#VALUE!</v>
      </c>
      <c r="G102" s="58">
        <v>45741</v>
      </c>
      <c r="H102" s="57" t="e" vm="2">
        <v>#VALUE!</v>
      </c>
      <c r="I102" s="64"/>
      <c r="J102" s="57"/>
      <c r="K102" s="57"/>
      <c r="L102" s="4"/>
      <c r="M102" s="35"/>
    </row>
    <row r="103" spans="1:13" ht="15.9" customHeight="1" x14ac:dyDescent="0.3">
      <c r="A103" s="36">
        <v>100</v>
      </c>
      <c r="B103" s="64" t="str">
        <f>IF(Tabla1[[#This Row],[TRABAJADOR]]="", "", VLOOKUP(Tabla1[[#This Row],[TRABAJADOR]], 'Colaborador ID'!B:C, 2, FALSE))</f>
        <v>E0213</v>
      </c>
      <c r="C103" s="63" t="s">
        <v>203</v>
      </c>
      <c r="D103" s="64" t="s">
        <v>204</v>
      </c>
      <c r="E103" s="64" t="s">
        <v>13</v>
      </c>
      <c r="F103" s="38" t="e" vm="1">
        <v>#VALUE!</v>
      </c>
      <c r="G103" s="58">
        <v>45744</v>
      </c>
      <c r="H103" s="57" t="e" vm="2">
        <v>#VALUE!</v>
      </c>
      <c r="I103" s="64"/>
      <c r="J103" s="57"/>
      <c r="K103" s="57"/>
      <c r="L103" s="4"/>
      <c r="M103" s="35"/>
    </row>
    <row r="104" spans="1:13" ht="15.9" customHeight="1" x14ac:dyDescent="0.3">
      <c r="A104" s="36">
        <v>101</v>
      </c>
      <c r="B104" s="64" t="str">
        <f>IF(Tabla1[[#This Row],[TRABAJADOR]]="", "", VLOOKUP(Tabla1[[#This Row],[TRABAJADOR]], 'Colaborador ID'!B:C, 2, FALSE))</f>
        <v>E0712</v>
      </c>
      <c r="C104" s="63" t="s">
        <v>205</v>
      </c>
      <c r="D104" s="64" t="s">
        <v>206</v>
      </c>
      <c r="E104" s="64" t="s">
        <v>16</v>
      </c>
      <c r="F104" s="38" t="e" vm="1">
        <v>#VALUE!</v>
      </c>
      <c r="G104" s="58">
        <v>45783</v>
      </c>
      <c r="H104" s="57" t="e" vm="2">
        <v>#VALUE!</v>
      </c>
      <c r="I104" s="64"/>
      <c r="J104" s="57"/>
      <c r="K104" s="57"/>
      <c r="L104" s="4"/>
      <c r="M104" s="35"/>
    </row>
    <row r="105" spans="1:13" ht="15.9" customHeight="1" x14ac:dyDescent="0.3">
      <c r="A105" s="36">
        <v>102</v>
      </c>
      <c r="B105" s="64" t="str">
        <f>IF(Tabla1[[#This Row],[TRABAJADOR]]="", "", VLOOKUP(Tabla1[[#This Row],[TRABAJADOR]], 'Colaborador ID'!B:C, 2, FALSE))</f>
        <v>E2126</v>
      </c>
      <c r="C105" s="63" t="s">
        <v>207</v>
      </c>
      <c r="D105" s="64" t="s">
        <v>208</v>
      </c>
      <c r="E105" s="64"/>
      <c r="F105" s="57" t="e" vm="1">
        <v>#VALUE!</v>
      </c>
      <c r="G105" s="58"/>
      <c r="H105" s="57" t="e" vm="2">
        <v>#VALUE!</v>
      </c>
      <c r="I105" s="64"/>
      <c r="J105" s="57"/>
      <c r="K105" s="57"/>
      <c r="L105" s="4"/>
      <c r="M105" s="35"/>
    </row>
    <row r="106" spans="1:13" ht="15.9" customHeight="1" x14ac:dyDescent="0.3">
      <c r="A106" s="36">
        <v>103</v>
      </c>
      <c r="B106" s="64" t="e">
        <f>IF(Tabla1[[#This Row],[TRABAJADOR]]="", "", VLOOKUP(Tabla1[[#This Row],[TRABAJADOR]], 'Colaborador ID'!B:C, 2, FALSE))</f>
        <v>#N/A</v>
      </c>
      <c r="C106" s="63" t="s">
        <v>209</v>
      </c>
      <c r="D106" s="64" t="s">
        <v>210</v>
      </c>
      <c r="E106" s="64"/>
      <c r="F106" s="57" t="e" vm="1">
        <v>#VALUE!</v>
      </c>
      <c r="G106" s="58"/>
      <c r="H106" s="57" t="e" vm="2">
        <v>#VALUE!</v>
      </c>
      <c r="I106" s="64"/>
      <c r="J106" s="57"/>
      <c r="K106" s="57"/>
      <c r="L106" s="4"/>
      <c r="M106" s="35"/>
    </row>
    <row r="107" spans="1:13" ht="15.9" customHeight="1" x14ac:dyDescent="0.3">
      <c r="A107" s="36">
        <v>104</v>
      </c>
      <c r="B107" s="64" t="str">
        <f>IF(Tabla1[[#This Row],[TRABAJADOR]]="", "", VLOOKUP(Tabla1[[#This Row],[TRABAJADOR]], 'Colaborador ID'!B:C, 2, FALSE))</f>
        <v>E1201</v>
      </c>
      <c r="C107" s="63" t="s">
        <v>211</v>
      </c>
      <c r="D107" s="64" t="s">
        <v>212</v>
      </c>
      <c r="E107" s="64" t="s">
        <v>16</v>
      </c>
      <c r="F107" s="32" t="e" vm="1">
        <v>#VALUE!</v>
      </c>
      <c r="G107" s="58">
        <v>45756</v>
      </c>
      <c r="H107" s="57" t="e" vm="2">
        <v>#VALUE!</v>
      </c>
      <c r="I107" s="64"/>
      <c r="J107" s="57"/>
      <c r="K107" s="57"/>
      <c r="L107" s="4"/>
      <c r="M107" s="35"/>
    </row>
    <row r="108" spans="1:13" ht="15.9" customHeight="1" x14ac:dyDescent="0.3">
      <c r="A108" s="36">
        <v>105</v>
      </c>
      <c r="B108" s="57" t="str">
        <f>IF(Tabla1[[#This Row],[TRABAJADOR]]="", "", VLOOKUP(Tabla1[[#This Row],[TRABAJADOR]], 'Colaborador ID'!B:C, 2, FALSE))</f>
        <v>E2137</v>
      </c>
      <c r="C108" s="56" t="s">
        <v>5440</v>
      </c>
      <c r="D108" s="57" t="s">
        <v>5490</v>
      </c>
      <c r="E108" s="64" t="s">
        <v>16</v>
      </c>
      <c r="F108" s="49" t="e" vm="1">
        <v>#VALUE!</v>
      </c>
      <c r="G108" s="58">
        <v>46073</v>
      </c>
      <c r="H108" s="57" t="e" vm="3">
        <v>#VALUE!</v>
      </c>
      <c r="I108" s="57"/>
      <c r="J108" s="57"/>
      <c r="K108" s="57"/>
      <c r="L108" s="4"/>
      <c r="M108" s="35"/>
    </row>
    <row r="109" spans="1:13" ht="15.9" customHeight="1" x14ac:dyDescent="0.3">
      <c r="A109" s="36">
        <v>106</v>
      </c>
      <c r="B109" s="57" t="str">
        <f>IF(Tabla1[[#This Row],[TRABAJADOR]]="", "", VLOOKUP(Tabla1[[#This Row],[TRABAJADOR]], 'Colaborador ID'!B:C, 2, FALSE))</f>
        <v>E1801</v>
      </c>
      <c r="C109" s="56" t="s">
        <v>213</v>
      </c>
      <c r="D109" s="57" t="s">
        <v>214</v>
      </c>
      <c r="E109" s="64" t="s">
        <v>16</v>
      </c>
      <c r="F109" s="49" t="e" vm="1">
        <v>#VALUE!</v>
      </c>
      <c r="G109" s="58">
        <v>45931</v>
      </c>
      <c r="H109" s="57" t="e" vm="2">
        <v>#VALUE!</v>
      </c>
      <c r="I109" s="57"/>
      <c r="J109" s="57"/>
      <c r="K109" s="57"/>
      <c r="L109" s="4"/>
      <c r="M109" s="35"/>
    </row>
    <row r="110" spans="1:13" ht="15.9" customHeight="1" x14ac:dyDescent="0.3">
      <c r="A110" s="36">
        <v>107</v>
      </c>
      <c r="B110" s="57" t="str">
        <f>IF(Tabla1[[#This Row],[TRABAJADOR]]="", "", VLOOKUP(Tabla1[[#This Row],[TRABAJADOR]], 'Colaborador ID'!B:C, 2, FALSE))</f>
        <v>E2073</v>
      </c>
      <c r="C110" s="56" t="s">
        <v>5301</v>
      </c>
      <c r="D110" s="57" t="s">
        <v>5464</v>
      </c>
      <c r="E110" s="64" t="s">
        <v>13</v>
      </c>
      <c r="F110" s="49" t="e" vm="1">
        <v>#VALUE!</v>
      </c>
      <c r="G110" s="58">
        <v>46073</v>
      </c>
      <c r="H110" s="57" t="e" vm="2">
        <v>#VALUE!</v>
      </c>
      <c r="I110" s="57"/>
      <c r="J110" s="57"/>
      <c r="K110" s="57"/>
      <c r="L110" s="4"/>
      <c r="M110" s="35"/>
    </row>
    <row r="111" spans="1:13" ht="15.9" customHeight="1" x14ac:dyDescent="0.3">
      <c r="A111" s="36">
        <v>108</v>
      </c>
      <c r="B111" s="64" t="str">
        <f>IF(Tabla1[[#This Row],[TRABAJADOR]]="", "", VLOOKUP(Tabla1[[#This Row],[TRABAJADOR]], 'Colaborador ID'!B:C, 2, FALSE))</f>
        <v>E0545</v>
      </c>
      <c r="C111" s="63" t="s">
        <v>215</v>
      </c>
      <c r="D111" s="64" t="s">
        <v>216</v>
      </c>
      <c r="E111" s="64" t="s">
        <v>16</v>
      </c>
      <c r="F111" s="38" t="e" vm="1">
        <v>#VALUE!</v>
      </c>
      <c r="G111" s="58">
        <v>45842</v>
      </c>
      <c r="H111" s="40" t="e" vm="2">
        <v>#VALUE!</v>
      </c>
      <c r="I111" s="64"/>
      <c r="J111" s="57"/>
      <c r="K111" s="57"/>
      <c r="L111" s="4"/>
      <c r="M111" s="35"/>
    </row>
    <row r="112" spans="1:13" ht="15.9" customHeight="1" x14ac:dyDescent="0.3">
      <c r="A112" s="36">
        <v>109</v>
      </c>
      <c r="B112" s="57" t="str">
        <f>IF(Tabla1[[#This Row],[TRABAJADOR]]="", "", VLOOKUP(Tabla1[[#This Row],[TRABAJADOR]], 'Colaborador ID'!B:C, 2, FALSE))</f>
        <v>E1736</v>
      </c>
      <c r="C112" s="56" t="s">
        <v>217</v>
      </c>
      <c r="D112" s="57" t="s">
        <v>218</v>
      </c>
      <c r="E112" s="57"/>
      <c r="F112" s="49" t="e" vm="1">
        <v>#VALUE!</v>
      </c>
      <c r="G112" s="58">
        <v>45891</v>
      </c>
      <c r="H112" s="57" t="e" vm="2">
        <v>#VALUE!</v>
      </c>
      <c r="I112" s="57"/>
      <c r="J112" s="57"/>
      <c r="K112" s="57"/>
      <c r="L112" s="4"/>
      <c r="M112" s="35"/>
    </row>
    <row r="113" spans="1:13" ht="15.9" customHeight="1" x14ac:dyDescent="0.3">
      <c r="A113" s="36">
        <v>110</v>
      </c>
      <c r="B113" s="64" t="str">
        <f>IF(Tabla1[[#This Row],[TRABAJADOR]]="", "", VLOOKUP(Tabla1[[#This Row],[TRABAJADOR]], 'Colaborador ID'!B:C, 2, FALSE))</f>
        <v>E0383</v>
      </c>
      <c r="C113" s="63" t="s">
        <v>219</v>
      </c>
      <c r="D113" s="64" t="s">
        <v>220</v>
      </c>
      <c r="E113" s="64"/>
      <c r="F113" s="57" t="e" vm="1">
        <v>#VALUE!</v>
      </c>
      <c r="G113" s="58"/>
      <c r="H113" s="57" t="e" vm="2">
        <v>#VALUE!</v>
      </c>
      <c r="I113" s="64"/>
      <c r="J113" s="57"/>
      <c r="K113" s="57"/>
      <c r="L113" s="4"/>
      <c r="M113" s="35"/>
    </row>
    <row r="114" spans="1:13" ht="15.9" customHeight="1" x14ac:dyDescent="0.35">
      <c r="A114" s="36">
        <v>111</v>
      </c>
      <c r="B114" s="64" t="str">
        <f>IF(Tabla1[[#This Row],[TRABAJADOR]]="", "", VLOOKUP(Tabla1[[#This Row],[TRABAJADOR]], 'Colaborador ID'!B:C, 2, FALSE))</f>
        <v>E0177</v>
      </c>
      <c r="C114" s="63" t="s">
        <v>221</v>
      </c>
      <c r="D114" s="64" t="s">
        <v>222</v>
      </c>
      <c r="E114" s="64" t="s">
        <v>13</v>
      </c>
      <c r="F114" s="37" t="e" vm="1">
        <v>#VALUE!</v>
      </c>
      <c r="G114" s="58">
        <v>45728</v>
      </c>
      <c r="H114" s="57" t="e" vm="2">
        <v>#VALUE!</v>
      </c>
      <c r="I114" s="64"/>
      <c r="J114" s="57"/>
      <c r="K114" s="57"/>
      <c r="L114" s="4"/>
      <c r="M114" s="35"/>
    </row>
    <row r="115" spans="1:13" ht="15.9" customHeight="1" x14ac:dyDescent="0.3">
      <c r="A115" s="36">
        <v>112</v>
      </c>
      <c r="B115" s="57" t="str">
        <f>IF(Tabla1[[#This Row],[TRABAJADOR]]="", "", VLOOKUP(Tabla1[[#This Row],[TRABAJADOR]], 'Colaborador ID'!B:C, 2, FALSE))</f>
        <v>E1723</v>
      </c>
      <c r="C115" s="56" t="s">
        <v>223</v>
      </c>
      <c r="D115" s="57" t="s">
        <v>224</v>
      </c>
      <c r="E115" s="57" t="s">
        <v>13</v>
      </c>
      <c r="F115" s="49" t="e" vm="1">
        <v>#VALUE!</v>
      </c>
      <c r="G115" s="58">
        <v>45891</v>
      </c>
      <c r="H115" s="57" t="e" vm="2">
        <v>#VALUE!</v>
      </c>
      <c r="I115" s="57"/>
      <c r="J115" s="57"/>
      <c r="K115" s="57"/>
      <c r="L115" s="4"/>
      <c r="M115" s="35"/>
    </row>
    <row r="116" spans="1:13" ht="15.9" customHeight="1" x14ac:dyDescent="0.3">
      <c r="A116" s="36">
        <v>113</v>
      </c>
      <c r="B116" s="57" t="str">
        <f>IF(Tabla1[[#This Row],[TRABAJADOR]]="", "", VLOOKUP(Tabla1[[#This Row],[TRABAJADOR]], 'Colaborador ID'!B:C, 2, FALSE))</f>
        <v>E1749</v>
      </c>
      <c r="C116" s="56" t="s">
        <v>225</v>
      </c>
      <c r="D116" s="57" t="s">
        <v>226</v>
      </c>
      <c r="E116" s="64"/>
      <c r="F116" s="49" t="e" vm="1">
        <v>#VALUE!</v>
      </c>
      <c r="G116" s="58">
        <v>45894</v>
      </c>
      <c r="H116" s="57" t="e" vm="2">
        <v>#VALUE!</v>
      </c>
      <c r="I116" s="57"/>
      <c r="J116" s="57"/>
      <c r="K116" s="57"/>
      <c r="L116" s="4"/>
      <c r="M116" s="35"/>
    </row>
    <row r="117" spans="1:13" ht="15.9" customHeight="1" x14ac:dyDescent="0.35">
      <c r="A117" s="36">
        <v>114</v>
      </c>
      <c r="B117" s="64" t="str">
        <f>IF(Tabla1[[#This Row],[TRABAJADOR]]="", "", VLOOKUP(Tabla1[[#This Row],[TRABAJADOR]], 'Colaborador ID'!B:C, 2, FALSE))</f>
        <v>E0401</v>
      </c>
      <c r="C117" s="63" t="s">
        <v>227</v>
      </c>
      <c r="D117" s="64" t="s">
        <v>228</v>
      </c>
      <c r="E117" s="64" t="s">
        <v>13</v>
      </c>
      <c r="F117" s="37" t="e" vm="1">
        <v>#VALUE!</v>
      </c>
      <c r="G117" s="58">
        <v>45819</v>
      </c>
      <c r="H117" s="40" t="e" vm="2">
        <v>#VALUE!</v>
      </c>
      <c r="I117" s="64"/>
      <c r="J117" s="57"/>
      <c r="K117" s="57"/>
      <c r="L117" s="4"/>
      <c r="M117" s="35"/>
    </row>
    <row r="118" spans="1:13" ht="15.9" customHeight="1" x14ac:dyDescent="0.3">
      <c r="A118" s="36">
        <v>115</v>
      </c>
      <c r="B118" s="57" t="str">
        <f>IF(Tabla1[[#This Row],[TRABAJADOR]]="", "", VLOOKUP(Tabla1[[#This Row],[TRABAJADOR]], 'Colaborador ID'!B:C, 2, FALSE))</f>
        <v>E1790</v>
      </c>
      <c r="C118" s="56" t="s">
        <v>229</v>
      </c>
      <c r="D118" s="57" t="s">
        <v>230</v>
      </c>
      <c r="E118" s="64" t="s">
        <v>16</v>
      </c>
      <c r="F118" s="49" t="e" vm="1">
        <v>#VALUE!</v>
      </c>
      <c r="G118" s="58">
        <v>45915</v>
      </c>
      <c r="H118" s="57" t="e" vm="2">
        <v>#VALUE!</v>
      </c>
      <c r="I118" s="57"/>
      <c r="J118" s="57"/>
      <c r="K118" s="57"/>
      <c r="L118" s="4"/>
      <c r="M118" s="35"/>
    </row>
    <row r="119" spans="1:13" ht="15.9" customHeight="1" x14ac:dyDescent="0.3">
      <c r="A119" s="36">
        <v>116</v>
      </c>
      <c r="B119" s="64" t="e">
        <f>IF(Tabla1[[#This Row],[TRABAJADOR]]="", "", VLOOKUP(Tabla1[[#This Row],[TRABAJADOR]], 'Colaborador ID'!B:C, 2, FALSE))</f>
        <v>#N/A</v>
      </c>
      <c r="C119" s="63" t="s">
        <v>231</v>
      </c>
      <c r="D119" s="64" t="s">
        <v>232</v>
      </c>
      <c r="E119" s="64"/>
      <c r="F119" s="57" t="e" vm="1">
        <v>#VALUE!</v>
      </c>
      <c r="G119" s="58"/>
      <c r="H119" s="57" t="e" vm="2">
        <v>#VALUE!</v>
      </c>
      <c r="I119" s="64"/>
      <c r="J119" s="57"/>
      <c r="K119" s="57"/>
      <c r="L119" s="4"/>
      <c r="M119" s="35"/>
    </row>
    <row r="120" spans="1:13" ht="15.9" customHeight="1" x14ac:dyDescent="0.3">
      <c r="A120" s="36">
        <v>117</v>
      </c>
      <c r="B120" s="64" t="e">
        <f>IF(Tabla1[[#This Row],[TRABAJADOR]]="", "", VLOOKUP(Tabla1[[#This Row],[TRABAJADOR]], 'Colaborador ID'!B:C, 2, FALSE))</f>
        <v>#N/A</v>
      </c>
      <c r="C120" s="63" t="s">
        <v>233</v>
      </c>
      <c r="D120" s="64" t="s">
        <v>234</v>
      </c>
      <c r="E120" s="64" t="s">
        <v>13</v>
      </c>
      <c r="F120" s="38" t="e" vm="1">
        <v>#VALUE!</v>
      </c>
      <c r="G120" s="58">
        <v>45730</v>
      </c>
      <c r="H120" s="57" t="e" vm="2">
        <v>#VALUE!</v>
      </c>
      <c r="I120" s="64"/>
      <c r="J120" s="57"/>
      <c r="K120" s="57"/>
      <c r="L120" s="4"/>
      <c r="M120" s="35"/>
    </row>
    <row r="121" spans="1:13" ht="15.9" customHeight="1" x14ac:dyDescent="0.3">
      <c r="A121" s="36">
        <v>118</v>
      </c>
      <c r="B121" s="64" t="str">
        <f>IF(Tabla1[[#This Row],[TRABAJADOR]]="", "", VLOOKUP(Tabla1[[#This Row],[TRABAJADOR]], 'Colaborador ID'!B:C, 2, FALSE))</f>
        <v>E1457</v>
      </c>
      <c r="C121" s="63" t="s">
        <v>235</v>
      </c>
      <c r="D121" s="64" t="s">
        <v>5346</v>
      </c>
      <c r="E121" s="64" t="s">
        <v>271</v>
      </c>
      <c r="F121" s="49" t="e" vm="1">
        <v>#VALUE!</v>
      </c>
      <c r="G121" s="58">
        <v>46044</v>
      </c>
      <c r="H121" s="49" t="e" vm="2">
        <v>#VALUE!</v>
      </c>
      <c r="I121" s="64" t="s">
        <v>22</v>
      </c>
      <c r="J121" s="57"/>
      <c r="K121" s="57"/>
      <c r="L121" s="4"/>
      <c r="M121" s="35"/>
    </row>
    <row r="122" spans="1:13" ht="15.9" customHeight="1" x14ac:dyDescent="0.3">
      <c r="A122" s="36">
        <v>119</v>
      </c>
      <c r="B122" s="57" t="str">
        <f>IF(Tabla1[[#This Row],[TRABAJADOR]]="", "", VLOOKUP(Tabla1[[#This Row],[TRABAJADOR]], 'Colaborador ID'!B:C, 2, FALSE))</f>
        <v>E1694</v>
      </c>
      <c r="C122" s="56" t="s">
        <v>236</v>
      </c>
      <c r="D122" s="57" t="s">
        <v>237</v>
      </c>
      <c r="E122" s="64" t="s">
        <v>33</v>
      </c>
      <c r="F122" s="49" t="e" vm="1">
        <v>#VALUE!</v>
      </c>
      <c r="G122" s="58">
        <v>45930</v>
      </c>
      <c r="H122" s="57" t="e" vm="2">
        <v>#VALUE!</v>
      </c>
      <c r="I122" s="57"/>
      <c r="J122" s="57"/>
      <c r="K122" s="57"/>
      <c r="L122" s="4"/>
      <c r="M122" s="35"/>
    </row>
    <row r="123" spans="1:13" ht="15.9" customHeight="1" x14ac:dyDescent="0.3">
      <c r="A123" s="36">
        <v>120</v>
      </c>
      <c r="B123" s="64" t="str">
        <f>IF(Tabla1[[#This Row],[TRABAJADOR]]="", "", VLOOKUP(Tabla1[[#This Row],[TRABAJADOR]], 'Colaborador ID'!B:C, 2, FALSE))</f>
        <v>E0062</v>
      </c>
      <c r="C123" s="63" t="s">
        <v>238</v>
      </c>
      <c r="D123" s="64" t="s">
        <v>239</v>
      </c>
      <c r="E123" s="64" t="s">
        <v>16</v>
      </c>
      <c r="F123" s="38" t="e" vm="1">
        <v>#VALUE!</v>
      </c>
      <c r="G123" s="58">
        <v>45741</v>
      </c>
      <c r="H123" s="57" t="e" vm="2">
        <v>#VALUE!</v>
      </c>
      <c r="I123" s="64"/>
      <c r="J123" s="57"/>
      <c r="K123" s="57"/>
      <c r="L123" s="4"/>
      <c r="M123" s="35"/>
    </row>
    <row r="124" spans="1:13" ht="15.9" customHeight="1" x14ac:dyDescent="0.3">
      <c r="A124" s="36">
        <v>121</v>
      </c>
      <c r="B124" s="64" t="str">
        <f>IF(Tabla1[[#This Row],[TRABAJADOR]]="", "", VLOOKUP(Tabla1[[#This Row],[TRABAJADOR]], 'Colaborador ID'!B:C, 2, FALSE))</f>
        <v>E1590</v>
      </c>
      <c r="C124" s="63" t="s">
        <v>240</v>
      </c>
      <c r="D124" s="64" t="s">
        <v>241</v>
      </c>
      <c r="E124" s="64" t="s">
        <v>16</v>
      </c>
      <c r="F124" s="38" t="e" vm="1">
        <v>#VALUE!</v>
      </c>
      <c r="G124" s="58">
        <v>45910</v>
      </c>
      <c r="H124" s="49" t="e" vm="2">
        <v>#VALUE!</v>
      </c>
      <c r="I124" s="64"/>
      <c r="J124" s="57"/>
      <c r="K124" s="57"/>
      <c r="L124" s="4"/>
      <c r="M124" s="35"/>
    </row>
    <row r="125" spans="1:13" ht="15.9" customHeight="1" x14ac:dyDescent="0.3">
      <c r="A125" s="36">
        <v>122</v>
      </c>
      <c r="B125" s="64" t="str">
        <f>IF(Tabla1[[#This Row],[TRABAJADOR]]="", "", VLOOKUP(Tabla1[[#This Row],[TRABAJADOR]], 'Colaborador ID'!B:C, 2, FALSE))</f>
        <v>E0209</v>
      </c>
      <c r="C125" s="63" t="s">
        <v>242</v>
      </c>
      <c r="D125" s="64" t="s">
        <v>243</v>
      </c>
      <c r="E125" s="64"/>
      <c r="F125" s="57" t="e" vm="1">
        <v>#VALUE!</v>
      </c>
      <c r="G125" s="58"/>
      <c r="H125" s="57" t="e" vm="2">
        <v>#VALUE!</v>
      </c>
      <c r="I125" s="64"/>
      <c r="J125" s="57"/>
      <c r="K125" s="57"/>
      <c r="L125" s="4"/>
      <c r="M125" s="35"/>
    </row>
    <row r="126" spans="1:13" ht="15.9" customHeight="1" x14ac:dyDescent="0.3">
      <c r="A126" s="36">
        <v>123</v>
      </c>
      <c r="B126" s="64" t="str">
        <f>IF(Tabla1[[#This Row],[TRABAJADOR]]="", "", VLOOKUP(Tabla1[[#This Row],[TRABAJADOR]], 'Colaborador ID'!B:C, 2, FALSE))</f>
        <v>E0020</v>
      </c>
      <c r="C126" s="63" t="s">
        <v>244</v>
      </c>
      <c r="D126" s="64" t="s">
        <v>245</v>
      </c>
      <c r="E126" s="64"/>
      <c r="F126" s="57" t="e" vm="1">
        <v>#VALUE!</v>
      </c>
      <c r="G126" s="58"/>
      <c r="H126" s="57" t="e" vm="2">
        <v>#VALUE!</v>
      </c>
      <c r="I126" s="64"/>
      <c r="J126" s="43"/>
      <c r="K126" s="57"/>
      <c r="L126" s="4"/>
      <c r="M126" s="35"/>
    </row>
    <row r="127" spans="1:13" ht="15.9" customHeight="1" x14ac:dyDescent="0.3">
      <c r="A127" s="36">
        <v>124</v>
      </c>
      <c r="B127" s="64" t="str">
        <f>IF(Tabla1[[#This Row],[TRABAJADOR]]="", "", VLOOKUP(Tabla1[[#This Row],[TRABAJADOR]], 'Colaborador ID'!B:C, 2, FALSE))</f>
        <v>E0201</v>
      </c>
      <c r="C127" s="63" t="s">
        <v>246</v>
      </c>
      <c r="D127" s="64" t="s">
        <v>247</v>
      </c>
      <c r="E127" s="64" t="s">
        <v>13</v>
      </c>
      <c r="F127" s="38" t="e" vm="1">
        <v>#VALUE!</v>
      </c>
      <c r="G127" s="58">
        <v>45736</v>
      </c>
      <c r="H127" s="57" t="e" vm="2">
        <v>#VALUE!</v>
      </c>
      <c r="I127" s="64"/>
      <c r="J127" s="57"/>
      <c r="K127" s="57"/>
      <c r="L127" s="4"/>
      <c r="M127" s="35"/>
    </row>
    <row r="128" spans="1:13" ht="15.9" customHeight="1" x14ac:dyDescent="0.3">
      <c r="A128" s="36">
        <v>125</v>
      </c>
      <c r="B128" s="64" t="str">
        <f>IF(Tabla1[[#This Row],[TRABAJADOR]]="", "", VLOOKUP(Tabla1[[#This Row],[TRABAJADOR]], 'Colaborador ID'!B:C, 2, FALSE))</f>
        <v>E0548</v>
      </c>
      <c r="C128" s="63" t="s">
        <v>248</v>
      </c>
      <c r="D128" s="64" t="s">
        <v>249</v>
      </c>
      <c r="E128" s="64"/>
      <c r="F128" s="57" t="e" vm="1">
        <v>#VALUE!</v>
      </c>
      <c r="G128" s="58"/>
      <c r="H128" s="57" t="e" vm="2">
        <v>#VALUE!</v>
      </c>
      <c r="I128" s="64"/>
      <c r="J128" s="57"/>
      <c r="K128" s="57"/>
      <c r="L128" s="4"/>
      <c r="M128" s="35"/>
    </row>
    <row r="129" spans="1:13" ht="15.9" customHeight="1" x14ac:dyDescent="0.3">
      <c r="A129" s="36">
        <v>126</v>
      </c>
      <c r="B129" s="64" t="e">
        <f>IF(Tabla1[[#This Row],[TRABAJADOR]]="", "", VLOOKUP(Tabla1[[#This Row],[TRABAJADOR]], 'Colaborador ID'!B:C, 2, FALSE))</f>
        <v>#N/A</v>
      </c>
      <c r="C129" s="63" t="s">
        <v>250</v>
      </c>
      <c r="D129" s="64" t="s">
        <v>251</v>
      </c>
      <c r="E129" s="64" t="s">
        <v>13</v>
      </c>
      <c r="F129" s="32" t="e" vm="1">
        <v>#VALUE!</v>
      </c>
      <c r="G129" s="58">
        <v>45763</v>
      </c>
      <c r="H129" s="57" t="e" vm="2">
        <v>#VALUE!</v>
      </c>
      <c r="I129" s="64"/>
      <c r="J129" s="57"/>
      <c r="K129" s="57"/>
      <c r="L129" s="4"/>
      <c r="M129" s="35"/>
    </row>
    <row r="130" spans="1:13" ht="15.9" customHeight="1" x14ac:dyDescent="0.3">
      <c r="A130" s="36">
        <v>127</v>
      </c>
      <c r="B130" s="64" t="str">
        <f>IF(Tabla1[[#This Row],[TRABAJADOR]]="", "", VLOOKUP(Tabla1[[#This Row],[TRABAJADOR]], 'Colaborador ID'!B:C, 2, FALSE))</f>
        <v>E1458</v>
      </c>
      <c r="C130" s="63" t="s">
        <v>252</v>
      </c>
      <c r="D130" s="64" t="s">
        <v>253</v>
      </c>
      <c r="E130" s="64"/>
      <c r="F130" s="57" t="e" vm="1">
        <v>#VALUE!</v>
      </c>
      <c r="G130" s="58"/>
      <c r="H130" s="57" t="e" vm="2">
        <v>#VALUE!</v>
      </c>
      <c r="I130" s="64" t="s">
        <v>22</v>
      </c>
      <c r="J130" s="57"/>
      <c r="K130" s="57"/>
      <c r="L130" s="4"/>
      <c r="M130" s="35"/>
    </row>
    <row r="131" spans="1:13" ht="15.9" customHeight="1" x14ac:dyDescent="0.3">
      <c r="A131" s="36">
        <v>128</v>
      </c>
      <c r="B131" s="64" t="str">
        <f>IF(Tabla1[[#This Row],[TRABAJADOR]]="", "", VLOOKUP(Tabla1[[#This Row],[TRABAJADOR]], 'Colaborador ID'!B:C, 2, FALSE))</f>
        <v>E0195</v>
      </c>
      <c r="C131" s="63" t="s">
        <v>254</v>
      </c>
      <c r="D131" s="64" t="s">
        <v>255</v>
      </c>
      <c r="E131" s="64"/>
      <c r="F131" s="57" t="e" vm="1">
        <v>#VALUE!</v>
      </c>
      <c r="G131" s="58"/>
      <c r="H131" s="57" t="e" vm="2">
        <v>#VALUE!</v>
      </c>
      <c r="I131" s="64"/>
      <c r="J131" s="57"/>
      <c r="K131" s="57"/>
      <c r="L131" s="4"/>
      <c r="M131" s="35"/>
    </row>
    <row r="132" spans="1:13" ht="15.9" customHeight="1" x14ac:dyDescent="0.3">
      <c r="A132" s="36">
        <v>129</v>
      </c>
      <c r="B132" s="57" t="str">
        <f>IF(Tabla1[[#This Row],[TRABAJADOR]]="", "", VLOOKUP(Tabla1[[#This Row],[TRABAJADOR]], 'Colaborador ID'!B:C, 2, FALSE))</f>
        <v>E1842</v>
      </c>
      <c r="C132" s="56" t="s">
        <v>256</v>
      </c>
      <c r="D132" s="57" t="s">
        <v>257</v>
      </c>
      <c r="E132" s="64" t="s">
        <v>16</v>
      </c>
      <c r="F132" s="49" t="e" vm="1">
        <v>#VALUE!</v>
      </c>
      <c r="G132" s="58">
        <v>45959</v>
      </c>
      <c r="H132" s="57" t="e" vm="2">
        <v>#VALUE!</v>
      </c>
      <c r="I132" s="57" t="s">
        <v>22</v>
      </c>
      <c r="J132" s="57"/>
      <c r="K132" s="57"/>
      <c r="L132" s="4"/>
      <c r="M132" s="35"/>
    </row>
    <row r="133" spans="1:13" ht="15.9" customHeight="1" x14ac:dyDescent="0.3">
      <c r="A133" s="36">
        <v>130</v>
      </c>
      <c r="B133" s="57" t="str">
        <f>IF(Tabla1[[#This Row],[TRABAJADOR]]="", "", VLOOKUP(Tabla1[[#This Row],[TRABAJADOR]], 'Colaborador ID'!B:C, 2, FALSE))</f>
        <v>E2103</v>
      </c>
      <c r="C133" s="56" t="s">
        <v>5359</v>
      </c>
      <c r="D133" s="57" t="s">
        <v>5446</v>
      </c>
      <c r="E133" s="64" t="s">
        <v>19</v>
      </c>
      <c r="F133" s="49" t="e" vm="1">
        <v>#VALUE!</v>
      </c>
      <c r="G133" s="58">
        <v>46069</v>
      </c>
      <c r="H133" s="57" t="e" vm="2">
        <v>#VALUE!</v>
      </c>
      <c r="I133" s="57"/>
      <c r="J133" s="57"/>
      <c r="K133" s="57"/>
      <c r="L133" s="4"/>
      <c r="M133" s="35"/>
    </row>
    <row r="134" spans="1:13" ht="15.9" customHeight="1" x14ac:dyDescent="0.35">
      <c r="A134" s="36">
        <v>131</v>
      </c>
      <c r="B134" s="64" t="str">
        <f>IF(Tabla1[[#This Row],[TRABAJADOR]]="", "", VLOOKUP(Tabla1[[#This Row],[TRABAJADOR]], 'Colaborador ID'!B:C, 2, FALSE))</f>
        <v>E0250</v>
      </c>
      <c r="C134" s="63" t="s">
        <v>258</v>
      </c>
      <c r="D134" s="64" t="s">
        <v>259</v>
      </c>
      <c r="E134" s="65" t="s">
        <v>19</v>
      </c>
      <c r="F134" s="37" t="e" vm="1">
        <v>#VALUE!</v>
      </c>
      <c r="G134" s="58"/>
      <c r="H134" s="57" t="e" vm="2">
        <v>#VALUE!</v>
      </c>
      <c r="I134" s="64"/>
      <c r="J134" s="57"/>
      <c r="K134" s="57"/>
      <c r="L134" s="4"/>
      <c r="M134" s="35"/>
    </row>
    <row r="135" spans="1:13" ht="15.9" customHeight="1" x14ac:dyDescent="0.3">
      <c r="A135" s="36">
        <v>132</v>
      </c>
      <c r="B135" s="64" t="str">
        <f>IF(Tabla1[[#This Row],[TRABAJADOR]]="", "", VLOOKUP(Tabla1[[#This Row],[TRABAJADOR]], 'Colaborador ID'!B:C, 2, FALSE))</f>
        <v>E1249</v>
      </c>
      <c r="C135" s="63" t="s">
        <v>260</v>
      </c>
      <c r="D135" s="64" t="s">
        <v>261</v>
      </c>
      <c r="E135" s="64" t="s">
        <v>262</v>
      </c>
      <c r="F135" s="38" t="e" vm="1">
        <v>#VALUE!</v>
      </c>
      <c r="G135" s="58">
        <v>45761</v>
      </c>
      <c r="H135" s="57" t="e" vm="2">
        <v>#VALUE!</v>
      </c>
      <c r="I135" s="64"/>
      <c r="J135" s="57"/>
      <c r="K135" s="57"/>
      <c r="L135" s="4"/>
      <c r="M135" s="35"/>
    </row>
    <row r="136" spans="1:13" ht="15.9" customHeight="1" x14ac:dyDescent="0.3">
      <c r="A136" s="36">
        <v>133</v>
      </c>
      <c r="B136" s="57" t="str">
        <f>IF(Tabla1[[#This Row],[TRABAJADOR]]="", "", VLOOKUP(Tabla1[[#This Row],[TRABAJADOR]], 'Colaborador ID'!B:C, 2, FALSE))</f>
        <v>E1979</v>
      </c>
      <c r="C136" s="56" t="s">
        <v>263</v>
      </c>
      <c r="D136" s="57" t="s">
        <v>264</v>
      </c>
      <c r="E136" s="64" t="s">
        <v>16</v>
      </c>
      <c r="F136" s="49" t="e" vm="1">
        <v>#VALUE!</v>
      </c>
      <c r="G136" s="58">
        <v>45993</v>
      </c>
      <c r="H136" s="57" t="e" vm="2">
        <v>#VALUE!</v>
      </c>
      <c r="I136" s="57"/>
      <c r="J136" s="57"/>
      <c r="K136" s="57"/>
      <c r="L136" s="4"/>
      <c r="M136" s="35"/>
    </row>
    <row r="137" spans="1:13" ht="15.9" customHeight="1" x14ac:dyDescent="0.35">
      <c r="A137" s="36">
        <v>134</v>
      </c>
      <c r="B137" s="64" t="str">
        <f>IF(Tabla1[[#This Row],[TRABAJADOR]]="", "", VLOOKUP(Tabla1[[#This Row],[TRABAJADOR]], 'Colaborador ID'!B:C, 2, FALSE))</f>
        <v>E0756</v>
      </c>
      <c r="C137" s="63" t="s">
        <v>265</v>
      </c>
      <c r="D137" s="64" t="s">
        <v>266</v>
      </c>
      <c r="E137" s="64" t="s">
        <v>19</v>
      </c>
      <c r="F137" s="41" t="e" vm="1">
        <v>#VALUE!</v>
      </c>
      <c r="G137" s="58"/>
      <c r="H137" s="57" t="e" vm="2">
        <v>#VALUE!</v>
      </c>
      <c r="I137" s="64"/>
      <c r="J137" s="57"/>
      <c r="K137" s="57"/>
      <c r="L137" s="4"/>
      <c r="M137" s="35"/>
    </row>
    <row r="138" spans="1:13" ht="15.9" customHeight="1" x14ac:dyDescent="0.35">
      <c r="A138" s="36">
        <v>135</v>
      </c>
      <c r="B138" s="57" t="str">
        <f>IF(Tabla1[[#This Row],[TRABAJADOR]]="", "", VLOOKUP(Tabla1[[#This Row],[TRABAJADOR]], 'Colaborador ID'!B:C, 2, FALSE))</f>
        <v>E1762</v>
      </c>
      <c r="C138" s="71" t="s">
        <v>267</v>
      </c>
      <c r="D138" s="72" t="s">
        <v>268</v>
      </c>
      <c r="E138" s="64"/>
      <c r="F138" s="49" t="e" vm="1">
        <v>#VALUE!</v>
      </c>
      <c r="G138" s="58">
        <v>45915</v>
      </c>
      <c r="H138" s="57" t="e" vm="2">
        <v>#VALUE!</v>
      </c>
      <c r="I138" s="57"/>
      <c r="J138" s="57"/>
      <c r="K138" s="57"/>
      <c r="L138" s="4"/>
      <c r="M138" s="35"/>
    </row>
    <row r="139" spans="1:13" ht="15.9" customHeight="1" x14ac:dyDescent="0.4">
      <c r="A139" s="36">
        <v>136</v>
      </c>
      <c r="B139" s="64" t="str">
        <f>IF(Tabla1[[#This Row],[TRABAJADOR]]="", "", VLOOKUP(Tabla1[[#This Row],[TRABAJADOR]], 'Colaborador ID'!B:C, 2, FALSE))</f>
        <v>E0292</v>
      </c>
      <c r="C139" s="63" t="s">
        <v>269</v>
      </c>
      <c r="D139" s="64" t="s">
        <v>270</v>
      </c>
      <c r="E139" s="64" t="s">
        <v>271</v>
      </c>
      <c r="F139" s="41" t="e" vm="1">
        <v>#VALUE!</v>
      </c>
      <c r="G139" s="58">
        <v>45720</v>
      </c>
      <c r="H139" s="39" t="e" vm="2">
        <v>#VALUE!</v>
      </c>
      <c r="I139" s="64"/>
      <c r="J139" s="57"/>
      <c r="K139" s="57"/>
      <c r="L139" s="4"/>
      <c r="M139" s="35"/>
    </row>
    <row r="140" spans="1:13" ht="15.9" customHeight="1" x14ac:dyDescent="0.3">
      <c r="A140" s="36">
        <v>137</v>
      </c>
      <c r="B140" s="64" t="str">
        <f>IF(Tabla1[[#This Row],[TRABAJADOR]]="", "", VLOOKUP(Tabla1[[#This Row],[TRABAJADOR]], 'Colaborador ID'!B:C, 2, FALSE))</f>
        <v>E0052</v>
      </c>
      <c r="C140" s="63" t="s">
        <v>272</v>
      </c>
      <c r="D140" s="64" t="s">
        <v>273</v>
      </c>
      <c r="E140" s="64" t="s">
        <v>16</v>
      </c>
      <c r="F140" s="38" t="e" vm="1">
        <v>#VALUE!</v>
      </c>
      <c r="G140" s="58">
        <v>45783</v>
      </c>
      <c r="H140" s="40" t="e" vm="2">
        <v>#VALUE!</v>
      </c>
      <c r="I140" s="64"/>
      <c r="J140" s="57"/>
      <c r="K140" s="57"/>
      <c r="L140" s="4"/>
      <c r="M140" s="35"/>
    </row>
    <row r="141" spans="1:13" ht="15.9" customHeight="1" x14ac:dyDescent="0.3">
      <c r="A141" s="36">
        <v>138</v>
      </c>
      <c r="B141" s="64" t="str">
        <f>IF(Tabla1[[#This Row],[TRABAJADOR]]="", "", VLOOKUP(Tabla1[[#This Row],[TRABAJADOR]], 'Colaborador ID'!B:C, 2, FALSE))</f>
        <v>E1682</v>
      </c>
      <c r="C141" s="63" t="s">
        <v>274</v>
      </c>
      <c r="D141" s="64" t="s">
        <v>275</v>
      </c>
      <c r="E141" s="64" t="s">
        <v>16</v>
      </c>
      <c r="F141" s="49" t="e" vm="1">
        <v>#VALUE!</v>
      </c>
      <c r="G141" s="58">
        <v>45910</v>
      </c>
      <c r="H141" s="49" t="e" vm="2">
        <v>#VALUE!</v>
      </c>
      <c r="I141" s="64" t="s">
        <v>22</v>
      </c>
      <c r="J141" s="57"/>
      <c r="K141" s="57"/>
      <c r="L141" s="4"/>
      <c r="M141" s="35"/>
    </row>
    <row r="142" spans="1:13" ht="15.9" customHeight="1" x14ac:dyDescent="0.3">
      <c r="A142" s="36">
        <v>139</v>
      </c>
      <c r="B142" s="57" t="str">
        <f>IF(Tabla1[[#This Row],[TRABAJADOR]]="", "", VLOOKUP(Tabla1[[#This Row],[TRABAJADOR]], 'Colaborador ID'!B:C, 2, FALSE))</f>
        <v>E1897</v>
      </c>
      <c r="C142" s="56" t="s">
        <v>276</v>
      </c>
      <c r="D142" s="57" t="s">
        <v>277</v>
      </c>
      <c r="E142" s="64" t="s">
        <v>19</v>
      </c>
      <c r="F142" s="51" t="e" vm="1">
        <v>#VALUE!</v>
      </c>
      <c r="G142" s="58">
        <v>45958</v>
      </c>
      <c r="H142" s="57" t="e" vm="2">
        <v>#VALUE!</v>
      </c>
      <c r="I142" s="57"/>
      <c r="J142" s="57"/>
      <c r="K142" s="57"/>
      <c r="L142" s="4"/>
      <c r="M142" s="35"/>
    </row>
    <row r="143" spans="1:13" ht="15.9" customHeight="1" x14ac:dyDescent="0.3">
      <c r="A143" s="36">
        <v>140</v>
      </c>
      <c r="B143" s="64" t="str">
        <f>IF(Tabla1[[#This Row],[TRABAJADOR]]="", "", VLOOKUP(Tabla1[[#This Row],[TRABAJADOR]], 'Colaborador ID'!B:C, 2, FALSE))</f>
        <v>E1668</v>
      </c>
      <c r="C143" s="63" t="s">
        <v>278</v>
      </c>
      <c r="D143" s="64" t="s">
        <v>279</v>
      </c>
      <c r="E143" s="64" t="s">
        <v>16</v>
      </c>
      <c r="F143" s="51" t="e" vm="1">
        <v>#VALUE!</v>
      </c>
      <c r="G143" s="58">
        <v>45967</v>
      </c>
      <c r="H143" s="49" t="e" vm="2">
        <v>#VALUE!</v>
      </c>
      <c r="I143" s="64"/>
      <c r="J143" s="57"/>
      <c r="K143" s="57"/>
      <c r="L143" s="4"/>
      <c r="M143" s="35"/>
    </row>
    <row r="144" spans="1:13" ht="15.9" customHeight="1" x14ac:dyDescent="0.3">
      <c r="A144" s="36">
        <v>141</v>
      </c>
      <c r="B144" s="57" t="str">
        <f>IF(Tabla1[[#This Row],[TRABAJADOR]]="", "", VLOOKUP(Tabla1[[#This Row],[TRABAJADOR]], 'Colaborador ID'!B:C, 2, FALSE))</f>
        <v>E1821</v>
      </c>
      <c r="C144" s="56" t="s">
        <v>280</v>
      </c>
      <c r="D144" s="57" t="s">
        <v>281</v>
      </c>
      <c r="E144" s="64" t="s">
        <v>16</v>
      </c>
      <c r="F144" s="49" t="e" vm="1">
        <v>#VALUE!</v>
      </c>
      <c r="G144" s="58">
        <v>45973</v>
      </c>
      <c r="H144" s="49" t="e" vm="2">
        <v>#VALUE!</v>
      </c>
      <c r="I144" s="57"/>
      <c r="J144" s="57"/>
      <c r="K144" s="57"/>
      <c r="L144" s="4"/>
      <c r="M144" s="35"/>
    </row>
    <row r="145" spans="1:13" ht="15.9" customHeight="1" x14ac:dyDescent="0.4">
      <c r="A145" s="36">
        <v>142</v>
      </c>
      <c r="B145" s="64" t="str">
        <f>IF(Tabla1[[#This Row],[TRABAJADOR]]="", "", VLOOKUP(Tabla1[[#This Row],[TRABAJADOR]], 'Colaborador ID'!B:C, 2, FALSE))</f>
        <v>E0558</v>
      </c>
      <c r="C145" s="63" t="s">
        <v>282</v>
      </c>
      <c r="D145" s="64" t="s">
        <v>283</v>
      </c>
      <c r="E145" s="64" t="s">
        <v>16</v>
      </c>
      <c r="F145" s="37" t="e" vm="1">
        <v>#VALUE!</v>
      </c>
      <c r="G145" s="58">
        <v>45722</v>
      </c>
      <c r="H145" s="39" t="e" vm="2">
        <v>#VALUE!</v>
      </c>
      <c r="I145" s="64"/>
      <c r="J145" s="57"/>
      <c r="K145" s="57"/>
      <c r="L145" s="4"/>
      <c r="M145" s="35"/>
    </row>
    <row r="146" spans="1:13" ht="15.9" customHeight="1" x14ac:dyDescent="0.35">
      <c r="A146" s="36">
        <v>143</v>
      </c>
      <c r="B146" s="64" t="str">
        <f>IF(Tabla1[[#This Row],[TRABAJADOR]]="", "", VLOOKUP(Tabla1[[#This Row],[TRABAJADOR]], 'Colaborador ID'!B:C, 2, FALSE))</f>
        <v>E0622</v>
      </c>
      <c r="C146" s="63" t="s">
        <v>284</v>
      </c>
      <c r="D146" s="64" t="s">
        <v>285</v>
      </c>
      <c r="E146" s="64" t="s">
        <v>16</v>
      </c>
      <c r="F146" s="99" t="e" vm="1">
        <v>#VALUE!</v>
      </c>
      <c r="G146" s="58">
        <v>45828</v>
      </c>
      <c r="H146" s="57" t="e" vm="2">
        <v>#VALUE!</v>
      </c>
      <c r="I146" s="64"/>
      <c r="J146" s="57"/>
      <c r="K146" s="57"/>
      <c r="L146" s="4"/>
      <c r="M146" s="35"/>
    </row>
    <row r="147" spans="1:13" ht="15.9" customHeight="1" x14ac:dyDescent="0.3">
      <c r="A147" s="36">
        <v>144</v>
      </c>
      <c r="B147" s="64" t="str">
        <f>IF(Tabla1[[#This Row],[TRABAJADOR]]="", "", VLOOKUP(Tabla1[[#This Row],[TRABAJADOR]], 'Colaborador ID'!B:C, 2, FALSE))</f>
        <v>E0752</v>
      </c>
      <c r="C147" s="63" t="s">
        <v>286</v>
      </c>
      <c r="D147" s="64" t="s">
        <v>287</v>
      </c>
      <c r="E147" s="64" t="s">
        <v>16</v>
      </c>
      <c r="F147" s="49" t="e" vm="1">
        <v>#VALUE!</v>
      </c>
      <c r="G147" s="58"/>
      <c r="H147" s="57" t="e" vm="2">
        <v>#VALUE!</v>
      </c>
      <c r="I147" s="64"/>
      <c r="J147" s="57"/>
      <c r="K147" s="57"/>
      <c r="L147" s="4"/>
      <c r="M147" s="35"/>
    </row>
    <row r="148" spans="1:13" ht="15.9" customHeight="1" x14ac:dyDescent="0.35">
      <c r="A148" s="36">
        <v>145</v>
      </c>
      <c r="B148" s="64" t="str">
        <f>IF(Tabla1[[#This Row],[TRABAJADOR]]="", "", VLOOKUP(Tabla1[[#This Row],[TRABAJADOR]], 'Colaborador ID'!B:C, 2, FALSE))</f>
        <v>E1333</v>
      </c>
      <c r="C148" s="63" t="s">
        <v>288</v>
      </c>
      <c r="D148" s="64" t="s">
        <v>289</v>
      </c>
      <c r="E148" s="64" t="s">
        <v>290</v>
      </c>
      <c r="F148" s="37" t="e" vm="1">
        <v>#VALUE!</v>
      </c>
      <c r="G148" s="58"/>
      <c r="H148" s="57" t="e" vm="2">
        <v>#VALUE!</v>
      </c>
      <c r="I148" s="64"/>
      <c r="J148" s="57"/>
      <c r="K148" s="57"/>
      <c r="L148" s="4"/>
      <c r="M148" s="35"/>
    </row>
    <row r="149" spans="1:13" ht="15.9" customHeight="1" x14ac:dyDescent="0.3">
      <c r="A149" s="36">
        <v>146</v>
      </c>
      <c r="B149" s="64" t="str">
        <f>IF(Tabla1[[#This Row],[TRABAJADOR]]="", "", VLOOKUP(Tabla1[[#This Row],[TRABAJADOR]], 'Colaborador ID'!B:C, 2, FALSE))</f>
        <v>E0360</v>
      </c>
      <c r="C149" s="63" t="s">
        <v>291</v>
      </c>
      <c r="D149" s="64" t="s">
        <v>292</v>
      </c>
      <c r="E149" s="64" t="s">
        <v>16</v>
      </c>
      <c r="F149" s="49" t="e" vm="1">
        <v>#VALUE!</v>
      </c>
      <c r="G149" s="58"/>
      <c r="H149" s="6" t="e" vm="2">
        <v>#VALUE!</v>
      </c>
      <c r="I149" s="64"/>
      <c r="J149" s="57"/>
      <c r="K149" s="57"/>
      <c r="L149" s="4"/>
      <c r="M149" s="35"/>
    </row>
    <row r="150" spans="1:13" ht="15.9" customHeight="1" x14ac:dyDescent="0.3">
      <c r="A150" s="36">
        <v>147</v>
      </c>
      <c r="B150" s="64" t="str">
        <f>IF(Tabla1[[#This Row],[TRABAJADOR]]="", "", VLOOKUP(Tabla1[[#This Row],[TRABAJADOR]], 'Colaborador ID'!B:C, 2, FALSE))</f>
        <v>E0153</v>
      </c>
      <c r="C150" s="63" t="s">
        <v>293</v>
      </c>
      <c r="D150" s="64" t="s">
        <v>294</v>
      </c>
      <c r="E150" s="64" t="s">
        <v>19</v>
      </c>
      <c r="F150" s="38" t="e" vm="1">
        <v>#VALUE!</v>
      </c>
      <c r="G150" s="58">
        <v>45786</v>
      </c>
      <c r="H150" s="57" t="e" vm="2">
        <v>#VALUE!</v>
      </c>
      <c r="I150" s="64"/>
      <c r="J150" s="57"/>
      <c r="K150" s="57"/>
      <c r="L150" s="4"/>
      <c r="M150" s="35"/>
    </row>
    <row r="151" spans="1:13" ht="15.9" customHeight="1" x14ac:dyDescent="0.3">
      <c r="A151" s="36">
        <v>148</v>
      </c>
      <c r="B151" s="57" t="str">
        <f>IF(Tabla1[[#This Row],[TRABAJADOR]]="", "", VLOOKUP(Tabla1[[#This Row],[TRABAJADOR]], 'Colaborador ID'!B:C, 2, FALSE))</f>
        <v>E2094</v>
      </c>
      <c r="C151" s="56" t="s">
        <v>5338</v>
      </c>
      <c r="D151" s="57" t="s">
        <v>5456</v>
      </c>
      <c r="E151" s="64" t="s">
        <v>16</v>
      </c>
      <c r="F151" s="49" t="e" vm="1">
        <v>#VALUE!</v>
      </c>
      <c r="G151" s="58">
        <v>46071</v>
      </c>
      <c r="H151" s="57" t="e" vm="2">
        <v>#VALUE!</v>
      </c>
      <c r="I151" s="57"/>
      <c r="J151" s="57"/>
      <c r="K151" s="57"/>
      <c r="L151" s="4"/>
      <c r="M151" s="35"/>
    </row>
    <row r="152" spans="1:13" ht="15.9" customHeight="1" x14ac:dyDescent="0.3">
      <c r="A152" s="36">
        <v>149</v>
      </c>
      <c r="B152" s="64" t="str">
        <f>IF(Tabla1[[#This Row],[TRABAJADOR]]="", "", VLOOKUP(Tabla1[[#This Row],[TRABAJADOR]], 'Colaborador ID'!B:C, 2, FALSE))</f>
        <v>E1459</v>
      </c>
      <c r="C152" s="63" t="s">
        <v>295</v>
      </c>
      <c r="D152" s="64" t="s">
        <v>296</v>
      </c>
      <c r="E152" s="64" t="s">
        <v>16</v>
      </c>
      <c r="F152" s="49" t="e" vm="1">
        <v>#VALUE!</v>
      </c>
      <c r="G152" s="58"/>
      <c r="H152" s="57" t="e" vm="2">
        <v>#VALUE!</v>
      </c>
      <c r="I152" s="64" t="s">
        <v>22</v>
      </c>
      <c r="J152" s="57"/>
      <c r="K152" s="57"/>
      <c r="L152" s="4"/>
      <c r="M152" s="35"/>
    </row>
    <row r="153" spans="1:13" ht="15.9" customHeight="1" x14ac:dyDescent="0.3">
      <c r="A153" s="36">
        <v>150</v>
      </c>
      <c r="B153" s="57" t="str">
        <f>IF(Tabla1[[#This Row],[TRABAJADOR]]="", "", VLOOKUP(Tabla1[[#This Row],[TRABAJADOR]], 'Colaborador ID'!B:C, 2, FALSE))</f>
        <v>E1995</v>
      </c>
      <c r="C153" s="56" t="s">
        <v>297</v>
      </c>
      <c r="D153" s="57" t="s">
        <v>298</v>
      </c>
      <c r="E153" s="64" t="s">
        <v>13</v>
      </c>
      <c r="F153" s="49" t="e" vm="1">
        <v>#VALUE!</v>
      </c>
      <c r="G153" s="58">
        <v>45957</v>
      </c>
      <c r="H153" s="57" t="e" vm="2">
        <v>#VALUE!</v>
      </c>
      <c r="I153" s="57" t="s">
        <v>22</v>
      </c>
      <c r="J153" s="57"/>
      <c r="K153" s="57"/>
      <c r="L153" s="4"/>
      <c r="M153" s="35"/>
    </row>
    <row r="154" spans="1:13" ht="15.9" customHeight="1" x14ac:dyDescent="0.3">
      <c r="A154" s="36">
        <v>151</v>
      </c>
      <c r="B154" s="64" t="str">
        <f>IF(Tabla1[[#This Row],[TRABAJADOR]]="", "", VLOOKUP(Tabla1[[#This Row],[TRABAJADOR]], 'Colaborador ID'!B:C, 2, FALSE))</f>
        <v>E0277</v>
      </c>
      <c r="C154" s="63" t="s">
        <v>299</v>
      </c>
      <c r="D154" s="64" t="s">
        <v>300</v>
      </c>
      <c r="E154" s="64"/>
      <c r="F154" s="57" t="e" vm="1">
        <v>#VALUE!</v>
      </c>
      <c r="G154" s="58"/>
      <c r="H154" s="57" t="e" vm="2">
        <v>#VALUE!</v>
      </c>
      <c r="I154" s="64"/>
      <c r="J154" s="57"/>
      <c r="K154" s="57"/>
      <c r="L154" s="4"/>
      <c r="M154" s="35"/>
    </row>
    <row r="155" spans="1:13" ht="15.9" customHeight="1" x14ac:dyDescent="0.3">
      <c r="A155" s="36">
        <v>152</v>
      </c>
      <c r="B155" s="57" t="str">
        <f>IF(Tabla1[[#This Row],[TRABAJADOR]]="", "", VLOOKUP(Tabla1[[#This Row],[TRABAJADOR]], 'Colaborador ID'!B:C, 2, FALSE))</f>
        <v>E2048</v>
      </c>
      <c r="C155" s="56" t="s">
        <v>301</v>
      </c>
      <c r="D155" s="57" t="s">
        <v>302</v>
      </c>
      <c r="E155" s="64" t="s">
        <v>16</v>
      </c>
      <c r="F155" s="49" t="e" vm="1">
        <v>#VALUE!</v>
      </c>
      <c r="G155" s="58">
        <v>45971</v>
      </c>
      <c r="H155" s="57" t="e" vm="2">
        <v>#VALUE!</v>
      </c>
      <c r="I155" s="57"/>
      <c r="J155" s="57"/>
      <c r="K155" s="57"/>
      <c r="L155" s="4"/>
      <c r="M155" s="35"/>
    </row>
    <row r="156" spans="1:13" ht="15.9" customHeight="1" x14ac:dyDescent="0.3">
      <c r="A156" s="36">
        <v>153</v>
      </c>
      <c r="B156" s="64" t="str">
        <f>IF(Tabla1[[#This Row],[TRABAJADOR]]="", "", VLOOKUP(Tabla1[[#This Row],[TRABAJADOR]], 'Colaborador ID'!B:C, 2, FALSE))</f>
        <v>E0152</v>
      </c>
      <c r="C156" s="63" t="s">
        <v>303</v>
      </c>
      <c r="D156" s="64" t="s">
        <v>304</v>
      </c>
      <c r="E156" s="64" t="s">
        <v>16</v>
      </c>
      <c r="F156" s="38" t="e" vm="1">
        <v>#VALUE!</v>
      </c>
      <c r="G156" s="58">
        <v>45754</v>
      </c>
      <c r="H156" s="57" t="e" vm="2">
        <v>#VALUE!</v>
      </c>
      <c r="I156" s="64"/>
      <c r="J156" s="57"/>
      <c r="K156" s="57"/>
      <c r="L156" s="4"/>
      <c r="M156" s="35"/>
    </row>
    <row r="157" spans="1:13" ht="15.9" customHeight="1" x14ac:dyDescent="0.3">
      <c r="A157" s="36">
        <v>154</v>
      </c>
      <c r="B157" s="64" t="str">
        <f>IF(Tabla1[[#This Row],[TRABAJADOR]]="", "", VLOOKUP(Tabla1[[#This Row],[TRABAJADOR]], 'Colaborador ID'!B:C, 2, FALSE))</f>
        <v>E0060</v>
      </c>
      <c r="C157" s="63" t="s">
        <v>305</v>
      </c>
      <c r="D157" s="64" t="s">
        <v>306</v>
      </c>
      <c r="E157" s="64" t="s">
        <v>16</v>
      </c>
      <c r="F157" s="32" t="e" vm="1">
        <v>#VALUE!</v>
      </c>
      <c r="G157" s="58">
        <v>45779</v>
      </c>
      <c r="H157" s="40" t="e" vm="2">
        <v>#VALUE!</v>
      </c>
      <c r="I157" s="64"/>
      <c r="J157" s="57"/>
      <c r="K157" s="57"/>
      <c r="L157" s="4"/>
      <c r="M157" s="35"/>
    </row>
    <row r="158" spans="1:13" ht="15.9" customHeight="1" x14ac:dyDescent="0.3">
      <c r="A158" s="36">
        <v>155</v>
      </c>
      <c r="B158" s="57" t="str">
        <f>IF(Tabla1[[#This Row],[TRABAJADOR]]="", "", VLOOKUP(Tabla1[[#This Row],[TRABAJADOR]], 'Colaborador ID'!B:C, 2, FALSE))</f>
        <v>E2012</v>
      </c>
      <c r="C158" s="56" t="s">
        <v>3049</v>
      </c>
      <c r="D158" s="57" t="s">
        <v>5513</v>
      </c>
      <c r="E158" s="57" t="s">
        <v>16</v>
      </c>
      <c r="F158" s="101" t="e" vm="1">
        <v>#VALUE!</v>
      </c>
      <c r="G158" s="58">
        <v>46090</v>
      </c>
      <c r="H158" s="57" t="e" vm="3">
        <v>#VALUE!</v>
      </c>
      <c r="I158" s="57"/>
      <c r="J158" s="57"/>
      <c r="K158" s="57"/>
      <c r="L158" s="4"/>
      <c r="M158" s="35"/>
    </row>
    <row r="159" spans="1:13" ht="15.9" customHeight="1" x14ac:dyDescent="0.4">
      <c r="A159" s="36">
        <v>156</v>
      </c>
      <c r="B159" s="64" t="str">
        <f>IF(Tabla1[[#This Row],[TRABAJADOR]]="", "", VLOOKUP(Tabla1[[#This Row],[TRABAJADOR]], 'Colaborador ID'!B:C, 2, FALSE))</f>
        <v>E0451</v>
      </c>
      <c r="C159" s="63" t="s">
        <v>307</v>
      </c>
      <c r="D159" s="64" t="s">
        <v>308</v>
      </c>
      <c r="E159" s="64" t="s">
        <v>33</v>
      </c>
      <c r="F159" s="41" t="e" vm="1">
        <v>#VALUE!</v>
      </c>
      <c r="G159" s="58"/>
      <c r="H159" s="39" t="e" vm="2">
        <v>#VALUE!</v>
      </c>
      <c r="I159" s="64"/>
      <c r="J159" s="57"/>
      <c r="K159" s="57"/>
      <c r="L159" s="4"/>
      <c r="M159" s="35"/>
    </row>
    <row r="160" spans="1:13" ht="15.9" customHeight="1" x14ac:dyDescent="0.3">
      <c r="A160" s="36">
        <v>157</v>
      </c>
      <c r="B160" s="57" t="str">
        <f>IF(Tabla1[[#This Row],[TRABAJADOR]]="", "", VLOOKUP(Tabla1[[#This Row],[TRABAJADOR]], 'Colaborador ID'!B:C, 2, FALSE))</f>
        <v>E1943</v>
      </c>
      <c r="C160" s="56" t="s">
        <v>309</v>
      </c>
      <c r="D160" s="57" t="s">
        <v>310</v>
      </c>
      <c r="E160" s="64" t="s">
        <v>16</v>
      </c>
      <c r="F160" s="49" t="e" vm="1">
        <v>#VALUE!</v>
      </c>
      <c r="G160" s="58">
        <v>45965</v>
      </c>
      <c r="H160" s="57" t="e" vm="2">
        <v>#VALUE!</v>
      </c>
      <c r="I160" s="57" t="s">
        <v>22</v>
      </c>
      <c r="J160" s="57"/>
      <c r="K160" s="57"/>
      <c r="L160" s="4"/>
      <c r="M160" s="35"/>
    </row>
    <row r="161" spans="1:13" ht="15.9" customHeight="1" x14ac:dyDescent="0.3">
      <c r="A161" s="36">
        <v>158</v>
      </c>
      <c r="B161" s="64" t="str">
        <f>IF(Tabla1[[#This Row],[TRABAJADOR]]="", "", VLOOKUP(Tabla1[[#This Row],[TRABAJADOR]], 'Colaborador ID'!B:C, 2, FALSE))</f>
        <v>E0271</v>
      </c>
      <c r="C161" s="63" t="s">
        <v>311</v>
      </c>
      <c r="D161" s="64" t="s">
        <v>5318</v>
      </c>
      <c r="E161" s="64" t="s">
        <v>13</v>
      </c>
      <c r="F161" s="32" t="e" vm="1">
        <v>#VALUE!</v>
      </c>
      <c r="G161" s="58">
        <v>46034</v>
      </c>
      <c r="H161" s="49" t="e" vm="2">
        <v>#VALUE!</v>
      </c>
      <c r="I161" s="64"/>
      <c r="J161" s="57"/>
      <c r="K161" s="57"/>
      <c r="L161" s="4"/>
      <c r="M161" s="35"/>
    </row>
    <row r="162" spans="1:13" ht="15.9" customHeight="1" x14ac:dyDescent="0.3">
      <c r="A162" s="36">
        <v>159</v>
      </c>
      <c r="B162" s="64" t="str">
        <f>IF(Tabla1[[#This Row],[TRABAJADOR]]="", "", VLOOKUP(Tabla1[[#This Row],[TRABAJADOR]], 'Colaborador ID'!B:C, 2, FALSE))</f>
        <v>E1599</v>
      </c>
      <c r="C162" s="63" t="s">
        <v>5316</v>
      </c>
      <c r="D162" s="64" t="s">
        <v>312</v>
      </c>
      <c r="E162" s="64" t="s">
        <v>13</v>
      </c>
      <c r="F162" s="38" t="e" vm="1">
        <v>#VALUE!</v>
      </c>
      <c r="G162" s="58">
        <v>45783</v>
      </c>
      <c r="H162" s="57" t="e" vm="2">
        <v>#VALUE!</v>
      </c>
      <c r="I162" s="64"/>
      <c r="J162" s="57"/>
      <c r="K162" s="57"/>
      <c r="L162" s="4"/>
      <c r="M162" s="35"/>
    </row>
    <row r="163" spans="1:13" ht="15.9" customHeight="1" x14ac:dyDescent="0.3">
      <c r="A163" s="36">
        <v>160</v>
      </c>
      <c r="B163" s="57" t="str">
        <f>IF(Tabla1[[#This Row],[TRABAJADOR]]="", "", VLOOKUP(Tabla1[[#This Row],[TRABAJADOR]], 'Colaborador ID'!B:C, 2, FALSE))</f>
        <v>E1695</v>
      </c>
      <c r="C163" s="56" t="s">
        <v>313</v>
      </c>
      <c r="D163" s="57" t="s">
        <v>314</v>
      </c>
      <c r="E163" s="57" t="s">
        <v>16</v>
      </c>
      <c r="F163" s="49" t="e" vm="1">
        <v>#VALUE!</v>
      </c>
      <c r="G163" s="58">
        <v>45891</v>
      </c>
      <c r="H163" s="57" t="e" vm="2">
        <v>#VALUE!</v>
      </c>
      <c r="I163" s="57"/>
      <c r="J163" s="57"/>
      <c r="K163" s="57"/>
      <c r="L163" s="4"/>
      <c r="M163" s="35"/>
    </row>
    <row r="164" spans="1:13" ht="15.9" customHeight="1" x14ac:dyDescent="0.3">
      <c r="A164" s="36">
        <v>161</v>
      </c>
      <c r="B164" s="64" t="str">
        <f>IF(Tabla1[[#This Row],[TRABAJADOR]]="", "", VLOOKUP(Tabla1[[#This Row],[TRABAJADOR]], 'Colaborador ID'!B:C, 2, FALSE))</f>
        <v>E0041</v>
      </c>
      <c r="C164" s="63" t="s">
        <v>315</v>
      </c>
      <c r="D164" s="64" t="s">
        <v>316</v>
      </c>
      <c r="E164" s="64"/>
      <c r="F164" s="57" t="e" vm="1">
        <v>#VALUE!</v>
      </c>
      <c r="G164" s="58"/>
      <c r="H164" s="57" t="e" vm="2">
        <v>#VALUE!</v>
      </c>
      <c r="I164" s="64"/>
      <c r="J164" s="57"/>
      <c r="K164" s="57"/>
      <c r="L164" s="4"/>
      <c r="M164" s="35"/>
    </row>
    <row r="165" spans="1:13" ht="15.9" customHeight="1" x14ac:dyDescent="0.3">
      <c r="A165" s="36">
        <v>162</v>
      </c>
      <c r="B165" s="64" t="str">
        <f>IF(Tabla1[[#This Row],[TRABAJADOR]]="", "", VLOOKUP(Tabla1[[#This Row],[TRABAJADOR]], 'Colaborador ID'!B:C, 2, FALSE))</f>
        <v>E0933</v>
      </c>
      <c r="C165" s="63" t="s">
        <v>317</v>
      </c>
      <c r="D165" s="64" t="s">
        <v>318</v>
      </c>
      <c r="E165" s="64"/>
      <c r="F165" s="57" t="e" vm="1">
        <v>#VALUE!</v>
      </c>
      <c r="G165" s="58"/>
      <c r="H165" s="57" t="e" vm="2">
        <v>#VALUE!</v>
      </c>
      <c r="I165" s="64"/>
      <c r="J165" s="57"/>
      <c r="K165" s="57"/>
      <c r="L165" s="4"/>
      <c r="M165" s="35"/>
    </row>
    <row r="166" spans="1:13" ht="15.9" customHeight="1" x14ac:dyDescent="0.3">
      <c r="A166" s="36">
        <v>163</v>
      </c>
      <c r="B166" s="64" t="str">
        <f>IF(Tabla1[[#This Row],[TRABAJADOR]]="", "", VLOOKUP(Tabla1[[#This Row],[TRABAJADOR]], 'Colaborador ID'!B:C, 2, FALSE))</f>
        <v>E0252</v>
      </c>
      <c r="C166" s="63" t="s">
        <v>319</v>
      </c>
      <c r="D166" s="64" t="s">
        <v>320</v>
      </c>
      <c r="E166" s="64" t="s">
        <v>16</v>
      </c>
      <c r="F166" s="38" t="e" vm="1">
        <v>#VALUE!</v>
      </c>
      <c r="G166" s="58">
        <v>45750</v>
      </c>
      <c r="H166" s="57" t="e" vm="2">
        <v>#VALUE!</v>
      </c>
      <c r="I166" s="64"/>
      <c r="J166" s="57"/>
      <c r="K166" s="57"/>
      <c r="L166" s="4"/>
      <c r="M166" s="35"/>
    </row>
    <row r="167" spans="1:13" ht="15.9" customHeight="1" x14ac:dyDescent="0.3">
      <c r="A167" s="36">
        <v>164</v>
      </c>
      <c r="B167" s="64" t="str">
        <f>IF(Tabla1[[#This Row],[TRABAJADOR]]="", "", VLOOKUP(Tabla1[[#This Row],[TRABAJADOR]], 'Colaborador ID'!B:C, 2, FALSE))</f>
        <v>E0155</v>
      </c>
      <c r="C167" s="63" t="s">
        <v>321</v>
      </c>
      <c r="D167" s="64" t="s">
        <v>322</v>
      </c>
      <c r="E167" s="64" t="s">
        <v>19</v>
      </c>
      <c r="F167" s="38" t="e" vm="1">
        <v>#VALUE!</v>
      </c>
      <c r="G167" s="58">
        <v>45785</v>
      </c>
      <c r="H167" s="57" t="e" vm="2">
        <v>#VALUE!</v>
      </c>
      <c r="I167" s="64"/>
      <c r="J167" s="57"/>
      <c r="K167" s="57"/>
      <c r="L167" s="4"/>
      <c r="M167" s="35"/>
    </row>
    <row r="168" spans="1:13" ht="15.9" customHeight="1" x14ac:dyDescent="0.3">
      <c r="A168" s="36">
        <v>165</v>
      </c>
      <c r="B168" s="64" t="str">
        <f>IF(Tabla1[[#This Row],[TRABAJADOR]]="", "", VLOOKUP(Tabla1[[#This Row],[TRABAJADOR]], 'Colaborador ID'!B:C, 2, FALSE))</f>
        <v>E1460</v>
      </c>
      <c r="C168" s="63" t="s">
        <v>323</v>
      </c>
      <c r="D168" s="64" t="s">
        <v>324</v>
      </c>
      <c r="E168" s="64"/>
      <c r="F168" s="49" t="e" vm="1">
        <v>#VALUE!</v>
      </c>
      <c r="G168" s="58"/>
      <c r="H168" s="57" t="e" vm="2">
        <v>#VALUE!</v>
      </c>
      <c r="I168" s="64" t="s">
        <v>22</v>
      </c>
      <c r="J168" s="57"/>
      <c r="K168" s="57"/>
      <c r="L168" s="4"/>
      <c r="M168" s="35"/>
    </row>
    <row r="169" spans="1:13" ht="15.9" customHeight="1" x14ac:dyDescent="0.35">
      <c r="A169" s="36">
        <v>166</v>
      </c>
      <c r="B169" s="64" t="str">
        <f>IF(Tabla1[[#This Row],[TRABAJADOR]]="", "", VLOOKUP(Tabla1[[#This Row],[TRABAJADOR]], 'Colaborador ID'!B:C, 2, FALSE))</f>
        <v>E0176</v>
      </c>
      <c r="C169" s="63" t="s">
        <v>325</v>
      </c>
      <c r="D169" s="64" t="s">
        <v>326</v>
      </c>
      <c r="E169" s="64" t="s">
        <v>16</v>
      </c>
      <c r="F169" s="41" t="e" vm="1">
        <v>#VALUE!</v>
      </c>
      <c r="G169" s="58"/>
      <c r="H169" s="6" t="e" vm="2">
        <v>#VALUE!</v>
      </c>
      <c r="I169" s="64"/>
      <c r="J169" s="57"/>
      <c r="K169" s="57"/>
      <c r="L169" s="4"/>
      <c r="M169" s="35"/>
    </row>
    <row r="170" spans="1:13" ht="15.9" customHeight="1" x14ac:dyDescent="0.3">
      <c r="A170" s="36">
        <v>167</v>
      </c>
      <c r="B170" s="57" t="str">
        <f>IF(Tabla1[[#This Row],[TRABAJADOR]]="", "", VLOOKUP(Tabla1[[#This Row],[TRABAJADOR]], 'Colaborador ID'!B:C, 2, FALSE))</f>
        <v>E2020</v>
      </c>
      <c r="C170" s="56" t="s">
        <v>327</v>
      </c>
      <c r="D170" s="57" t="s">
        <v>328</v>
      </c>
      <c r="E170" s="64" t="s">
        <v>19</v>
      </c>
      <c r="F170" s="49" t="e" vm="1">
        <v>#VALUE!</v>
      </c>
      <c r="G170" s="58">
        <v>45988</v>
      </c>
      <c r="H170" s="57" t="e" vm="2">
        <v>#VALUE!</v>
      </c>
      <c r="I170" s="57"/>
      <c r="J170" s="57"/>
      <c r="K170" s="57"/>
      <c r="L170" s="4"/>
      <c r="M170" s="35"/>
    </row>
    <row r="171" spans="1:13" ht="15.9" customHeight="1" x14ac:dyDescent="0.3">
      <c r="A171" s="36">
        <v>168</v>
      </c>
      <c r="B171" s="64" t="str">
        <f>IF(Tabla1[[#This Row],[TRABAJADOR]]="", "", VLOOKUP(Tabla1[[#This Row],[TRABAJADOR]], 'Colaborador ID'!B:C, 2, FALSE))</f>
        <v>E1461</v>
      </c>
      <c r="C171" s="63" t="s">
        <v>329</v>
      </c>
      <c r="D171" s="64" t="s">
        <v>330</v>
      </c>
      <c r="E171" s="64" t="s">
        <v>16</v>
      </c>
      <c r="F171" s="51" t="e" vm="1">
        <v>#VALUE!</v>
      </c>
      <c r="G171" s="58"/>
      <c r="H171" s="57" t="e" vm="2">
        <v>#VALUE!</v>
      </c>
      <c r="I171" s="64" t="s">
        <v>22</v>
      </c>
      <c r="J171" s="57"/>
      <c r="K171" s="57"/>
      <c r="L171" s="4"/>
      <c r="M171" s="35"/>
    </row>
    <row r="172" spans="1:13" ht="15.9" customHeight="1" x14ac:dyDescent="0.3">
      <c r="A172" s="36">
        <v>169</v>
      </c>
      <c r="B172" s="64" t="str">
        <f>IF(Tabla1[[#This Row],[TRABAJADOR]]="", "", VLOOKUP(Tabla1[[#This Row],[TRABAJADOR]], 'Colaborador ID'!B:C, 2, FALSE))</f>
        <v>E0133</v>
      </c>
      <c r="C172" s="63" t="s">
        <v>331</v>
      </c>
      <c r="D172" s="64" t="s">
        <v>332</v>
      </c>
      <c r="E172" s="64"/>
      <c r="F172" s="6" t="e" vm="1">
        <v>#VALUE!</v>
      </c>
      <c r="G172" s="58"/>
      <c r="H172" s="57" t="e" vm="2">
        <v>#VALUE!</v>
      </c>
      <c r="I172" s="64"/>
      <c r="J172" s="57"/>
      <c r="K172" s="57"/>
      <c r="L172" s="4"/>
      <c r="M172" s="35"/>
    </row>
    <row r="173" spans="1:13" ht="15.9" customHeight="1" x14ac:dyDescent="0.3">
      <c r="A173" s="36">
        <v>170</v>
      </c>
      <c r="B173" s="64" t="str">
        <f>IF(Tabla1[[#This Row],[TRABAJADOR]]="", "", VLOOKUP(Tabla1[[#This Row],[TRABAJADOR]], 'Colaborador ID'!B:C, 2, FALSE))</f>
        <v>E0396</v>
      </c>
      <c r="C173" s="63" t="s">
        <v>333</v>
      </c>
      <c r="D173" s="64" t="s">
        <v>334</v>
      </c>
      <c r="E173" s="64" t="s">
        <v>16</v>
      </c>
      <c r="F173" s="49" t="e" vm="1">
        <v>#VALUE!</v>
      </c>
      <c r="G173" s="58"/>
      <c r="H173" s="57" t="e" vm="2">
        <v>#VALUE!</v>
      </c>
      <c r="I173" s="64"/>
      <c r="J173" s="57"/>
      <c r="K173" s="57"/>
      <c r="L173" s="4"/>
      <c r="M173" s="35"/>
    </row>
    <row r="174" spans="1:13" ht="15.9" customHeight="1" x14ac:dyDescent="0.3">
      <c r="A174" s="36">
        <v>171</v>
      </c>
      <c r="B174" s="64" t="str">
        <f>IF(Tabla1[[#This Row],[TRABAJADOR]]="", "", VLOOKUP(Tabla1[[#This Row],[TRABAJADOR]], 'Colaborador ID'!B:C, 2, FALSE))</f>
        <v>E1407</v>
      </c>
      <c r="C174" s="63" t="s">
        <v>335</v>
      </c>
      <c r="D174" s="64" t="s">
        <v>336</v>
      </c>
      <c r="E174" s="64" t="s">
        <v>16</v>
      </c>
      <c r="F174" s="38" t="e" vm="1">
        <v>#VALUE!</v>
      </c>
      <c r="G174" s="58">
        <v>45849</v>
      </c>
      <c r="H174" s="57" t="e" vm="2">
        <v>#VALUE!</v>
      </c>
      <c r="I174" s="64"/>
      <c r="J174" s="57"/>
      <c r="K174" s="57"/>
      <c r="L174" s="4"/>
      <c r="M174" s="35"/>
    </row>
    <row r="175" spans="1:13" ht="15.9" customHeight="1" x14ac:dyDescent="0.3">
      <c r="A175" s="36">
        <v>172</v>
      </c>
      <c r="B175" s="64" t="str">
        <f>IF(Tabla1[[#This Row],[TRABAJADOR]]="", "", VLOOKUP(Tabla1[[#This Row],[TRABAJADOR]], 'Colaborador ID'!B:C, 2, FALSE))</f>
        <v>E1679</v>
      </c>
      <c r="C175" s="63" t="s">
        <v>337</v>
      </c>
      <c r="D175" s="64" t="s">
        <v>338</v>
      </c>
      <c r="E175" s="64" t="s">
        <v>19</v>
      </c>
      <c r="F175" s="49" t="e" vm="1">
        <v>#VALUE!</v>
      </c>
      <c r="G175" s="58">
        <v>45881</v>
      </c>
      <c r="H175" s="57" t="e" vm="2">
        <v>#VALUE!</v>
      </c>
      <c r="I175" s="64"/>
      <c r="J175" s="57"/>
      <c r="K175" s="57"/>
      <c r="L175" s="4"/>
      <c r="M175" s="35"/>
    </row>
    <row r="176" spans="1:13" ht="15.9" customHeight="1" x14ac:dyDescent="0.3">
      <c r="A176" s="36">
        <v>173</v>
      </c>
      <c r="B176" s="57" t="str">
        <f>IF(Tabla1[[#This Row],[TRABAJADOR]]="", "", VLOOKUP(Tabla1[[#This Row],[TRABAJADOR]], 'Colaborador ID'!B:C, 2, FALSE))</f>
        <v>E1731</v>
      </c>
      <c r="C176" s="56" t="s">
        <v>339</v>
      </c>
      <c r="D176" s="57" t="s">
        <v>340</v>
      </c>
      <c r="E176" s="57" t="s">
        <v>16</v>
      </c>
      <c r="F176" s="49" t="e" vm="1">
        <v>#VALUE!</v>
      </c>
      <c r="G176" s="58">
        <v>45891</v>
      </c>
      <c r="H176" s="57" t="e" vm="2">
        <v>#VALUE!</v>
      </c>
      <c r="I176" s="57" t="s">
        <v>22</v>
      </c>
      <c r="J176" s="57"/>
      <c r="K176" s="57"/>
      <c r="L176" s="4"/>
      <c r="M176" s="35"/>
    </row>
    <row r="177" spans="1:13" ht="15.9" customHeight="1" x14ac:dyDescent="0.3">
      <c r="A177" s="36">
        <v>174</v>
      </c>
      <c r="B177" s="57" t="str">
        <f>IF(Tabla1[[#This Row],[TRABAJADOR]]="", "", VLOOKUP(Tabla1[[#This Row],[TRABAJADOR]], 'Colaborador ID'!B:C, 2, FALSE))</f>
        <v>E1989</v>
      </c>
      <c r="C177" s="56" t="s">
        <v>341</v>
      </c>
      <c r="D177" s="57" t="s">
        <v>342</v>
      </c>
      <c r="E177" s="64" t="s">
        <v>13</v>
      </c>
      <c r="F177" s="49" t="e" vm="1">
        <v>#VALUE!</v>
      </c>
      <c r="G177" s="58">
        <v>45957</v>
      </c>
      <c r="H177" s="6" t="e" vm="2">
        <v>#VALUE!</v>
      </c>
      <c r="I177" s="57" t="s">
        <v>22</v>
      </c>
      <c r="J177" s="57"/>
      <c r="K177" s="57"/>
      <c r="L177" s="4"/>
      <c r="M177" s="35"/>
    </row>
    <row r="178" spans="1:13" ht="15.9" customHeight="1" x14ac:dyDescent="0.3">
      <c r="A178" s="36">
        <v>175</v>
      </c>
      <c r="B178" s="64" t="str">
        <f>IF(Tabla1[[#This Row],[TRABAJADOR]]="", "", VLOOKUP(Tabla1[[#This Row],[TRABAJADOR]], 'Colaborador ID'!B:C, 2, FALSE))</f>
        <v>E0231</v>
      </c>
      <c r="C178" s="63" t="s">
        <v>343</v>
      </c>
      <c r="D178" s="64" t="s">
        <v>344</v>
      </c>
      <c r="E178" s="64" t="s">
        <v>40</v>
      </c>
      <c r="F178" s="51" t="e" vm="1">
        <v>#VALUE!</v>
      </c>
      <c r="G178" s="58"/>
      <c r="H178" s="57" t="e" vm="2">
        <v>#VALUE!</v>
      </c>
      <c r="I178" s="64"/>
      <c r="J178" s="57"/>
      <c r="K178" s="57"/>
      <c r="L178" s="4"/>
      <c r="M178" s="35"/>
    </row>
    <row r="179" spans="1:13" ht="15.9" customHeight="1" x14ac:dyDescent="0.3">
      <c r="A179" s="36">
        <v>176</v>
      </c>
      <c r="B179" s="64" t="str">
        <f>IF(Tabla1[[#This Row],[TRABAJADOR]]="", "", VLOOKUP(Tabla1[[#This Row],[TRABAJADOR]], 'Colaborador ID'!B:C, 2, FALSE))</f>
        <v>E0016</v>
      </c>
      <c r="C179" s="63" t="s">
        <v>345</v>
      </c>
      <c r="D179" s="64" t="s">
        <v>346</v>
      </c>
      <c r="E179" s="64" t="s">
        <v>16</v>
      </c>
      <c r="F179" s="38" t="e" vm="1">
        <v>#VALUE!</v>
      </c>
      <c r="G179" s="58">
        <v>45811</v>
      </c>
      <c r="H179" s="57" t="e" vm="2">
        <v>#VALUE!</v>
      </c>
      <c r="I179" s="64"/>
      <c r="J179" s="57"/>
      <c r="K179" s="57"/>
      <c r="L179" s="4"/>
      <c r="M179" s="35"/>
    </row>
    <row r="180" spans="1:13" ht="15.9" customHeight="1" x14ac:dyDescent="0.3">
      <c r="A180" s="36">
        <v>177</v>
      </c>
      <c r="B180" s="64" t="str">
        <f>IF(Tabla1[[#This Row],[TRABAJADOR]]="", "", VLOOKUP(Tabla1[[#This Row],[TRABAJADOR]], 'Colaborador ID'!B:C, 2, FALSE))</f>
        <v>E0313</v>
      </c>
      <c r="C180" s="63" t="s">
        <v>347</v>
      </c>
      <c r="D180" s="64" t="s">
        <v>348</v>
      </c>
      <c r="E180" s="64" t="s">
        <v>19</v>
      </c>
      <c r="F180" s="49" t="e" vm="1">
        <v>#VALUE!</v>
      </c>
      <c r="G180" s="58"/>
      <c r="H180" s="57" t="e" vm="2">
        <v>#VALUE!</v>
      </c>
      <c r="I180" s="64"/>
      <c r="J180" s="57"/>
      <c r="K180" s="57"/>
      <c r="L180" s="4"/>
      <c r="M180" s="35"/>
    </row>
    <row r="181" spans="1:13" ht="15.9" customHeight="1" x14ac:dyDescent="0.3">
      <c r="A181" s="36">
        <v>178</v>
      </c>
      <c r="B181" s="57" t="str">
        <f>IF(Tabla1[[#This Row],[TRABAJADOR]]="", "", VLOOKUP(Tabla1[[#This Row],[TRABAJADOR]], 'Colaborador ID'!B:C, 2, FALSE))</f>
        <v>E2026</v>
      </c>
      <c r="C181" s="56" t="s">
        <v>349</v>
      </c>
      <c r="D181" s="57" t="s">
        <v>350</v>
      </c>
      <c r="E181" s="64" t="s">
        <v>33</v>
      </c>
      <c r="F181" s="49" t="e" vm="1">
        <v>#VALUE!</v>
      </c>
      <c r="G181" s="58">
        <v>45993</v>
      </c>
      <c r="H181" s="57" t="e" vm="2">
        <v>#VALUE!</v>
      </c>
      <c r="I181" s="57"/>
      <c r="J181" s="57"/>
      <c r="K181" s="57"/>
      <c r="L181" s="4"/>
      <c r="M181" s="35"/>
    </row>
    <row r="182" spans="1:13" ht="15.9" customHeight="1" x14ac:dyDescent="0.35">
      <c r="A182" s="36">
        <v>179</v>
      </c>
      <c r="B182" s="64" t="str">
        <f>IF(Tabla1[[#This Row],[TRABAJADOR]]="", "", VLOOKUP(Tabla1[[#This Row],[TRABAJADOR]], 'Colaborador ID'!B:C, 2, FALSE))</f>
        <v>E0100</v>
      </c>
      <c r="C182" s="63" t="s">
        <v>351</v>
      </c>
      <c r="D182" s="64" t="s">
        <v>352</v>
      </c>
      <c r="E182" s="64" t="s">
        <v>16</v>
      </c>
      <c r="F182" s="37" t="e" vm="1">
        <v>#VALUE!</v>
      </c>
      <c r="G182" s="58">
        <v>45722</v>
      </c>
      <c r="H182" s="57" t="e" vm="2">
        <v>#VALUE!</v>
      </c>
      <c r="I182" s="64"/>
      <c r="J182" s="57"/>
      <c r="K182" s="57"/>
      <c r="L182" s="4"/>
      <c r="M182" s="35"/>
    </row>
    <row r="183" spans="1:13" ht="15.9" customHeight="1" x14ac:dyDescent="0.3">
      <c r="A183" s="36">
        <v>180</v>
      </c>
      <c r="B183" s="57" t="str">
        <f>IF(Tabla1[[#This Row],[TRABAJADOR]]="", "", VLOOKUP(Tabla1[[#This Row],[TRABAJADOR]], 'Colaborador ID'!B:C, 2, FALSE))</f>
        <v>E1860</v>
      </c>
      <c r="C183" s="56" t="s">
        <v>353</v>
      </c>
      <c r="D183" s="57" t="s">
        <v>354</v>
      </c>
      <c r="E183" s="64" t="s">
        <v>16</v>
      </c>
      <c r="F183" s="49" t="e" vm="1">
        <v>#VALUE!</v>
      </c>
      <c r="G183" s="58">
        <v>45930</v>
      </c>
      <c r="H183" s="57" t="e" vm="2">
        <v>#VALUE!</v>
      </c>
      <c r="I183" s="57" t="s">
        <v>22</v>
      </c>
      <c r="J183" s="57"/>
      <c r="K183" s="57"/>
      <c r="L183" s="4"/>
      <c r="M183" s="35"/>
    </row>
    <row r="184" spans="1:13" ht="15.9" customHeight="1" x14ac:dyDescent="0.35">
      <c r="A184" s="36">
        <v>181</v>
      </c>
      <c r="B184" s="64" t="str">
        <f>IF(Tabla1[[#This Row],[TRABAJADOR]]="", "", VLOOKUP(Tabla1[[#This Row],[TRABAJADOR]], 'Colaborador ID'!B:C, 2, FALSE))</f>
        <v>E0402</v>
      </c>
      <c r="C184" s="63" t="s">
        <v>355</v>
      </c>
      <c r="D184" s="64" t="s">
        <v>356</v>
      </c>
      <c r="E184" s="64" t="s">
        <v>19</v>
      </c>
      <c r="F184" s="37" t="e" vm="1">
        <v>#VALUE!</v>
      </c>
      <c r="G184" s="58"/>
      <c r="H184" s="57" t="e" vm="2">
        <v>#VALUE!</v>
      </c>
      <c r="I184" s="64"/>
      <c r="J184" s="57"/>
      <c r="K184" s="57"/>
      <c r="L184" s="4"/>
      <c r="M184" s="35"/>
    </row>
    <row r="185" spans="1:13" ht="15.9" customHeight="1" x14ac:dyDescent="0.3">
      <c r="A185" s="36">
        <v>182</v>
      </c>
      <c r="B185" s="64" t="str">
        <f>IF(Tabla1[[#This Row],[TRABAJADOR]]="", "", VLOOKUP(Tabla1[[#This Row],[TRABAJADOR]], 'Colaborador ID'!B:C, 2, FALSE))</f>
        <v>E0012</v>
      </c>
      <c r="C185" s="63" t="s">
        <v>357</v>
      </c>
      <c r="D185" s="64" t="s">
        <v>358</v>
      </c>
      <c r="E185" s="64"/>
      <c r="F185" s="57" t="e" vm="1">
        <v>#VALUE!</v>
      </c>
      <c r="G185" s="58"/>
      <c r="H185" s="57" t="e" vm="2">
        <v>#VALUE!</v>
      </c>
      <c r="I185" s="64"/>
      <c r="J185" s="57"/>
      <c r="K185" s="57"/>
      <c r="L185" s="4"/>
      <c r="M185" s="35"/>
    </row>
    <row r="186" spans="1:13" ht="15.9" customHeight="1" x14ac:dyDescent="0.3">
      <c r="A186" s="36">
        <v>183</v>
      </c>
      <c r="B186" s="57" t="str">
        <f>IF(Tabla1[[#This Row],[TRABAJADOR]]="", "", VLOOKUP(Tabla1[[#This Row],[TRABAJADOR]], 'Colaborador ID'!B:C, 2, FALSE))</f>
        <v>E1976</v>
      </c>
      <c r="C186" s="56" t="s">
        <v>359</v>
      </c>
      <c r="D186" s="57" t="s">
        <v>360</v>
      </c>
      <c r="E186" s="64" t="s">
        <v>19</v>
      </c>
      <c r="F186" s="49" t="e" vm="1">
        <v>#VALUE!</v>
      </c>
      <c r="G186" s="58">
        <v>45954</v>
      </c>
      <c r="H186" s="57" t="e" vm="2">
        <v>#VALUE!</v>
      </c>
      <c r="I186" s="64" t="s">
        <v>22</v>
      </c>
      <c r="J186" s="57"/>
      <c r="K186" s="57"/>
      <c r="L186" s="4"/>
      <c r="M186" s="35"/>
    </row>
    <row r="187" spans="1:13" ht="15.9" customHeight="1" x14ac:dyDescent="0.3">
      <c r="A187" s="36">
        <v>184</v>
      </c>
      <c r="B187" s="64" t="str">
        <f>IF(Tabla1[[#This Row],[TRABAJADOR]]="", "", VLOOKUP(Tabla1[[#This Row],[TRABAJADOR]], 'Colaborador ID'!B:C, 2, FALSE))</f>
        <v>E0481</v>
      </c>
      <c r="C187" s="63" t="s">
        <v>361</v>
      </c>
      <c r="D187" s="64" t="s">
        <v>362</v>
      </c>
      <c r="E187" s="64" t="s">
        <v>16</v>
      </c>
      <c r="F187" s="38" t="e" vm="1">
        <v>#VALUE!</v>
      </c>
      <c r="G187" s="58">
        <v>45741</v>
      </c>
      <c r="H187" s="57" t="e" vm="2">
        <v>#VALUE!</v>
      </c>
      <c r="I187" s="64"/>
      <c r="J187" s="57"/>
      <c r="K187" s="57"/>
      <c r="L187" s="4"/>
      <c r="M187" s="35"/>
    </row>
    <row r="188" spans="1:13" ht="15.9" customHeight="1" x14ac:dyDescent="0.3">
      <c r="A188" s="36">
        <v>185</v>
      </c>
      <c r="B188" s="64" t="str">
        <f>IF(Tabla1[[#This Row],[TRABAJADOR]]="", "", VLOOKUP(Tabla1[[#This Row],[TRABAJADOR]], 'Colaborador ID'!B:C, 2, FALSE))</f>
        <v>E0144</v>
      </c>
      <c r="C188" s="63" t="s">
        <v>363</v>
      </c>
      <c r="D188" s="64" t="s">
        <v>364</v>
      </c>
      <c r="E188" s="64" t="s">
        <v>19</v>
      </c>
      <c r="F188" s="49" t="e" vm="1">
        <v>#VALUE!</v>
      </c>
      <c r="G188" s="58"/>
      <c r="H188" s="57" t="e" vm="2">
        <v>#VALUE!</v>
      </c>
      <c r="I188" s="64"/>
      <c r="J188" s="57"/>
      <c r="K188" s="57"/>
      <c r="L188" s="4"/>
      <c r="M188" s="35"/>
    </row>
    <row r="189" spans="1:13" ht="15.9" customHeight="1" x14ac:dyDescent="0.3">
      <c r="A189" s="36">
        <v>186</v>
      </c>
      <c r="B189" s="64" t="str">
        <f>IF(Tabla1[[#This Row],[TRABAJADOR]]="", "", VLOOKUP(Tabla1[[#This Row],[TRABAJADOR]], 'Colaborador ID'!B:C, 2, FALSE))</f>
        <v>E0736</v>
      </c>
      <c r="C189" s="63" t="s">
        <v>365</v>
      </c>
      <c r="D189" s="64" t="s">
        <v>366</v>
      </c>
      <c r="E189" s="64" t="s">
        <v>19</v>
      </c>
      <c r="F189" s="51" t="e" vm="1">
        <v>#VALUE!</v>
      </c>
      <c r="G189" s="58"/>
      <c r="H189" s="57" t="e" vm="2">
        <v>#VALUE!</v>
      </c>
      <c r="I189" s="64"/>
      <c r="J189" s="57"/>
      <c r="K189" s="57"/>
      <c r="L189" s="4"/>
      <c r="M189" s="35"/>
    </row>
    <row r="190" spans="1:13" ht="15.9" customHeight="1" x14ac:dyDescent="0.35">
      <c r="A190" s="36">
        <v>187</v>
      </c>
      <c r="B190" s="64" t="str">
        <f>IF(Tabla1[[#This Row],[TRABAJADOR]]="", "", VLOOKUP(Tabla1[[#This Row],[TRABAJADOR]], 'Colaborador ID'!B:C, 2, FALSE))</f>
        <v>E0745</v>
      </c>
      <c r="C190" s="63" t="s">
        <v>367</v>
      </c>
      <c r="D190" s="64" t="s">
        <v>368</v>
      </c>
      <c r="E190" s="64" t="s">
        <v>13</v>
      </c>
      <c r="F190" s="41" t="e" vm="1">
        <v>#VALUE!</v>
      </c>
      <c r="G190" s="58">
        <v>45846</v>
      </c>
      <c r="H190" s="40" t="e" vm="2">
        <v>#VALUE!</v>
      </c>
      <c r="I190" s="64"/>
      <c r="J190" s="57"/>
      <c r="K190" s="57"/>
      <c r="L190" s="4"/>
      <c r="M190" s="35"/>
    </row>
    <row r="191" spans="1:13" ht="15.9" customHeight="1" x14ac:dyDescent="0.3">
      <c r="A191" s="36">
        <v>188</v>
      </c>
      <c r="B191" s="64" t="str">
        <f>IF(Tabla1[[#This Row],[TRABAJADOR]]="", "", VLOOKUP(Tabla1[[#This Row],[TRABAJADOR]], 'Colaborador ID'!B:C, 2, FALSE))</f>
        <v>E0782</v>
      </c>
      <c r="C191" s="63" t="s">
        <v>369</v>
      </c>
      <c r="D191" s="64" t="s">
        <v>370</v>
      </c>
      <c r="E191" s="64" t="s">
        <v>19</v>
      </c>
      <c r="F191" s="51" t="e" vm="1">
        <v>#VALUE!</v>
      </c>
      <c r="G191" s="58"/>
      <c r="H191" s="57" t="e" vm="2">
        <v>#VALUE!</v>
      </c>
      <c r="I191" s="64"/>
      <c r="J191" s="57"/>
      <c r="K191" s="57"/>
      <c r="L191" s="4"/>
      <c r="M191" s="35"/>
    </row>
    <row r="192" spans="1:13" ht="15.9" customHeight="1" x14ac:dyDescent="0.3">
      <c r="A192" s="36">
        <v>189</v>
      </c>
      <c r="B192" s="64" t="str">
        <f>IF(Tabla1[[#This Row],[TRABAJADOR]]="", "", VLOOKUP(Tabla1[[#This Row],[TRABAJADOR]], 'Colaborador ID'!B:C, 2, FALSE))</f>
        <v>E1464</v>
      </c>
      <c r="C192" s="63" t="s">
        <v>371</v>
      </c>
      <c r="D192" s="64" t="s">
        <v>372</v>
      </c>
      <c r="E192" s="64"/>
      <c r="F192" s="49" t="e" vm="1">
        <v>#VALUE!</v>
      </c>
      <c r="G192" s="58"/>
      <c r="H192" s="57" t="e" vm="2">
        <v>#VALUE!</v>
      </c>
      <c r="I192" s="64" t="s">
        <v>22</v>
      </c>
      <c r="J192" s="57"/>
      <c r="K192" s="57"/>
      <c r="L192" s="4"/>
      <c r="M192" s="35"/>
    </row>
    <row r="193" spans="1:13" ht="15.9" customHeight="1" x14ac:dyDescent="0.4">
      <c r="A193" s="36">
        <v>190</v>
      </c>
      <c r="B193" s="64" t="str">
        <f>IF(Tabla1[[#This Row],[TRABAJADOR]]="", "", VLOOKUP(Tabla1[[#This Row],[TRABAJADOR]], 'Colaborador ID'!B:C, 2, FALSE))</f>
        <v>E1303</v>
      </c>
      <c r="C193" s="63" t="s">
        <v>373</v>
      </c>
      <c r="D193" s="64" t="s">
        <v>374</v>
      </c>
      <c r="E193" s="64" t="s">
        <v>271</v>
      </c>
      <c r="F193" s="76" t="e" vm="1">
        <v>#VALUE!</v>
      </c>
      <c r="G193" s="58">
        <v>45726</v>
      </c>
      <c r="H193" s="39" t="e" vm="2">
        <v>#VALUE!</v>
      </c>
      <c r="I193" s="64"/>
      <c r="J193" s="57"/>
      <c r="K193" s="57"/>
      <c r="L193" s="4"/>
      <c r="M193" s="35"/>
    </row>
    <row r="194" spans="1:13" ht="15.9" customHeight="1" x14ac:dyDescent="0.3">
      <c r="A194" s="36">
        <v>191</v>
      </c>
      <c r="B194" s="64" t="str">
        <f>IF(Tabla1[[#This Row],[TRABAJADOR]]="", "", VLOOKUP(Tabla1[[#This Row],[TRABAJADOR]], 'Colaborador ID'!B:C, 2, FALSE))</f>
        <v>E1465</v>
      </c>
      <c r="C194" s="63" t="s">
        <v>5332</v>
      </c>
      <c r="D194" s="64" t="s">
        <v>375</v>
      </c>
      <c r="E194" s="64" t="s">
        <v>33</v>
      </c>
      <c r="F194" s="49" t="e" vm="1">
        <v>#VALUE!</v>
      </c>
      <c r="G194" s="58"/>
      <c r="H194" s="57" t="e" vm="2">
        <v>#VALUE!</v>
      </c>
      <c r="I194" s="64" t="s">
        <v>22</v>
      </c>
      <c r="J194" s="57"/>
      <c r="K194" s="57"/>
      <c r="L194" s="4"/>
      <c r="M194" s="35"/>
    </row>
    <row r="195" spans="1:13" ht="15.9" customHeight="1" x14ac:dyDescent="0.35">
      <c r="A195" s="36">
        <v>192</v>
      </c>
      <c r="B195" s="64" t="str">
        <f>IF(Tabla1[[#This Row],[TRABAJADOR]]="", "", VLOOKUP(Tabla1[[#This Row],[TRABAJADOR]], 'Colaborador ID'!B:C, 2, FALSE))</f>
        <v>E0926</v>
      </c>
      <c r="C195" s="63" t="s">
        <v>376</v>
      </c>
      <c r="D195" s="64" t="s">
        <v>377</v>
      </c>
      <c r="E195" s="64" t="s">
        <v>40</v>
      </c>
      <c r="F195" s="41" t="e" vm="1">
        <v>#VALUE!</v>
      </c>
      <c r="G195" s="58">
        <v>45719</v>
      </c>
      <c r="H195" s="57" t="e" vm="2">
        <v>#VALUE!</v>
      </c>
      <c r="I195" s="64"/>
      <c r="J195" s="57"/>
      <c r="K195" s="57"/>
      <c r="L195" s="4"/>
      <c r="M195" s="35"/>
    </row>
    <row r="196" spans="1:13" ht="15.9" customHeight="1" x14ac:dyDescent="0.3">
      <c r="A196" s="36">
        <v>193</v>
      </c>
      <c r="B196" s="64" t="str">
        <f>IF(Tabla1[[#This Row],[TRABAJADOR]]="", "", VLOOKUP(Tabla1[[#This Row],[TRABAJADOR]], 'Colaborador ID'!B:C, 2, FALSE))</f>
        <v>E0553</v>
      </c>
      <c r="C196" s="63" t="s">
        <v>378</v>
      </c>
      <c r="D196" s="64" t="s">
        <v>379</v>
      </c>
      <c r="E196" s="64" t="s">
        <v>13</v>
      </c>
      <c r="F196" s="38" t="e" vm="1">
        <v>#VALUE!</v>
      </c>
      <c r="G196" s="58">
        <v>45761</v>
      </c>
      <c r="H196" s="57" t="e" vm="2">
        <v>#VALUE!</v>
      </c>
      <c r="I196" s="64"/>
      <c r="J196" s="57"/>
      <c r="K196" s="57"/>
      <c r="L196" s="4"/>
      <c r="M196" s="35"/>
    </row>
    <row r="197" spans="1:13" ht="15.9" customHeight="1" x14ac:dyDescent="0.3">
      <c r="A197" s="36">
        <v>194</v>
      </c>
      <c r="B197" s="57" t="str">
        <f>IF(Tabla1[[#This Row],[TRABAJADOR]]="", "", VLOOKUP(Tabla1[[#This Row],[TRABAJADOR]], 'Colaborador ID'!B:C, 2, FALSE))</f>
        <v>E2095</v>
      </c>
      <c r="C197" s="56" t="s">
        <v>5340</v>
      </c>
      <c r="D197" s="57" t="s">
        <v>5387</v>
      </c>
      <c r="E197" s="64" t="s">
        <v>271</v>
      </c>
      <c r="F197" s="51" t="e" vm="1">
        <v>#VALUE!</v>
      </c>
      <c r="G197" s="58">
        <v>46056</v>
      </c>
      <c r="H197" s="57" t="e" vm="2">
        <v>#VALUE!</v>
      </c>
      <c r="I197" s="57"/>
      <c r="J197" s="57"/>
      <c r="K197" s="57"/>
      <c r="L197" s="4"/>
      <c r="M197" s="35"/>
    </row>
    <row r="198" spans="1:13" ht="15.9" customHeight="1" x14ac:dyDescent="0.3">
      <c r="A198" s="36">
        <v>195</v>
      </c>
      <c r="B198" s="57" t="str">
        <f>IF(Tabla1[[#This Row],[TRABAJADOR]]="", "", VLOOKUP(Tabla1[[#This Row],[TRABAJADOR]], 'Colaborador ID'!B:C, 2, FALSE))</f>
        <v>E1815</v>
      </c>
      <c r="C198" s="56" t="s">
        <v>380</v>
      </c>
      <c r="D198" s="57" t="s">
        <v>381</v>
      </c>
      <c r="E198" s="64" t="s">
        <v>16</v>
      </c>
      <c r="F198" s="49" t="e" vm="1">
        <v>#VALUE!</v>
      </c>
      <c r="G198" s="58">
        <v>45931</v>
      </c>
      <c r="H198" s="57" t="e" vm="2">
        <v>#VALUE!</v>
      </c>
      <c r="I198" s="57"/>
      <c r="J198" s="57"/>
      <c r="K198" s="57"/>
      <c r="L198" s="4"/>
      <c r="M198" s="35"/>
    </row>
    <row r="199" spans="1:13" ht="15.9" customHeight="1" x14ac:dyDescent="0.3">
      <c r="A199" s="36">
        <v>196</v>
      </c>
      <c r="B199" s="57" t="str">
        <f>IF(Tabla1[[#This Row],[TRABAJADOR]]="", "", VLOOKUP(Tabla1[[#This Row],[TRABAJADOR]], 'Colaborador ID'!B:C, 2, FALSE))</f>
        <v>E1854</v>
      </c>
      <c r="C199" s="56" t="s">
        <v>382</v>
      </c>
      <c r="D199" s="57" t="s">
        <v>383</v>
      </c>
      <c r="E199" s="64" t="s">
        <v>16</v>
      </c>
      <c r="F199" s="49" t="e" vm="1">
        <v>#VALUE!</v>
      </c>
      <c r="G199" s="58">
        <v>45944</v>
      </c>
      <c r="H199" s="57" t="e" vm="2">
        <v>#VALUE!</v>
      </c>
      <c r="I199" s="57"/>
      <c r="J199" s="57"/>
      <c r="K199" s="57"/>
      <c r="L199" s="4"/>
      <c r="M199" s="35"/>
    </row>
    <row r="200" spans="1:13" ht="15.9" customHeight="1" x14ac:dyDescent="0.3">
      <c r="A200" s="36">
        <v>197</v>
      </c>
      <c r="B200" s="64" t="str">
        <f>IF(Tabla1[[#This Row],[TRABAJADOR]]="", "", VLOOKUP(Tabla1[[#This Row],[TRABAJADOR]], 'Colaborador ID'!B:C, 2, FALSE))</f>
        <v>E0013</v>
      </c>
      <c r="C200" s="63" t="s">
        <v>384</v>
      </c>
      <c r="D200" s="64" t="s">
        <v>385</v>
      </c>
      <c r="E200" s="64"/>
      <c r="F200" s="49" t="e" vm="1">
        <v>#VALUE!</v>
      </c>
      <c r="G200" s="58"/>
      <c r="H200" s="57" t="e" vm="2">
        <v>#VALUE!</v>
      </c>
      <c r="I200" s="64"/>
      <c r="J200" s="57"/>
      <c r="K200" s="57"/>
      <c r="L200" s="4"/>
      <c r="M200" s="35"/>
    </row>
    <row r="201" spans="1:13" ht="15.9" customHeight="1" x14ac:dyDescent="0.35">
      <c r="A201" s="36">
        <v>198</v>
      </c>
      <c r="B201" s="64" t="str">
        <f>IF(Tabla1[[#This Row],[TRABAJADOR]]="", "", VLOOKUP(Tabla1[[#This Row],[TRABAJADOR]], 'Colaborador ID'!B:C, 2, FALSE))</f>
        <v>E0491</v>
      </c>
      <c r="C201" s="63" t="s">
        <v>386</v>
      </c>
      <c r="D201" s="64" t="s">
        <v>5510</v>
      </c>
      <c r="E201" s="64" t="s">
        <v>16</v>
      </c>
      <c r="F201" s="37" t="e" vm="1">
        <v>#VALUE!</v>
      </c>
      <c r="G201" s="58">
        <v>46087</v>
      </c>
      <c r="H201" s="49" t="e" vm="2">
        <v>#VALUE!</v>
      </c>
      <c r="I201" s="64"/>
      <c r="J201" s="57"/>
      <c r="K201" s="57"/>
      <c r="L201" s="4"/>
      <c r="M201" s="35"/>
    </row>
    <row r="202" spans="1:13" ht="15.9" customHeight="1" x14ac:dyDescent="0.3">
      <c r="A202" s="36">
        <v>199</v>
      </c>
      <c r="B202" s="64" t="str">
        <f>IF(Tabla1[[#This Row],[TRABAJADOR]]="", "", VLOOKUP(Tabla1[[#This Row],[TRABAJADOR]], 'Colaborador ID'!B:C, 2, FALSE))</f>
        <v>E0325</v>
      </c>
      <c r="C202" s="63" t="s">
        <v>387</v>
      </c>
      <c r="D202" s="64" t="s">
        <v>388</v>
      </c>
      <c r="E202" s="64" t="s">
        <v>13</v>
      </c>
      <c r="F202" s="49" t="e" vm="1">
        <v>#VALUE!</v>
      </c>
      <c r="G202" s="58"/>
      <c r="H202" s="57" t="e" vm="2">
        <v>#VALUE!</v>
      </c>
      <c r="I202" s="64"/>
      <c r="J202" s="57"/>
      <c r="K202" s="57"/>
      <c r="L202" s="4"/>
      <c r="M202" s="35"/>
    </row>
    <row r="203" spans="1:13" ht="15.9" customHeight="1" x14ac:dyDescent="0.3">
      <c r="A203" s="36">
        <v>200</v>
      </c>
      <c r="B203" s="57" t="str">
        <f>IF(Tabla1[[#This Row],[TRABAJADOR]]="", "", VLOOKUP(Tabla1[[#This Row],[TRABAJADOR]], 'Colaborador ID'!B:C, 2, FALSE))</f>
        <v>E2054</v>
      </c>
      <c r="C203" s="56" t="s">
        <v>389</v>
      </c>
      <c r="D203" s="57" t="s">
        <v>390</v>
      </c>
      <c r="E203" s="64" t="s">
        <v>16</v>
      </c>
      <c r="F203" s="49" t="e" vm="1">
        <v>#VALUE!</v>
      </c>
      <c r="G203" s="58">
        <v>45993</v>
      </c>
      <c r="H203" s="57" t="e" vm="2">
        <v>#VALUE!</v>
      </c>
      <c r="I203" s="57"/>
      <c r="J203" s="57"/>
      <c r="K203" s="57"/>
      <c r="L203" s="4"/>
      <c r="M203" s="35"/>
    </row>
    <row r="204" spans="1:13" ht="15.9" customHeight="1" x14ac:dyDescent="0.3">
      <c r="A204" s="36">
        <v>201</v>
      </c>
      <c r="B204" s="64" t="str">
        <f>IF(Tabla1[[#This Row],[TRABAJADOR]]="", "", VLOOKUP(Tabla1[[#This Row],[TRABAJADOR]], 'Colaborador ID'!B:C, 2, FALSE))</f>
        <v>E0801</v>
      </c>
      <c r="C204" s="63" t="s">
        <v>391</v>
      </c>
      <c r="D204" s="64" t="s">
        <v>392</v>
      </c>
      <c r="E204" s="64" t="s">
        <v>16</v>
      </c>
      <c r="F204" s="38" t="e" vm="1">
        <v>#VALUE!</v>
      </c>
      <c r="G204" s="58">
        <v>45743</v>
      </c>
      <c r="H204" s="57" t="e" vm="2">
        <v>#VALUE!</v>
      </c>
      <c r="I204" s="64"/>
      <c r="J204" s="57"/>
      <c r="K204" s="57"/>
      <c r="L204" s="4"/>
      <c r="M204" s="35"/>
    </row>
    <row r="205" spans="1:13" ht="15.9" customHeight="1" x14ac:dyDescent="0.3">
      <c r="A205" s="36">
        <v>202</v>
      </c>
      <c r="B205" s="57" t="str">
        <f>IF(Tabla1[[#This Row],[TRABAJADOR]]="", "", VLOOKUP(Tabla1[[#This Row],[TRABAJADOR]], 'Colaborador ID'!B:C, 2, FALSE))</f>
        <v>E1874</v>
      </c>
      <c r="C205" s="56" t="s">
        <v>393</v>
      </c>
      <c r="D205" s="57" t="s">
        <v>394</v>
      </c>
      <c r="E205" s="64" t="s">
        <v>16</v>
      </c>
      <c r="F205" s="49" t="e" vm="1">
        <v>#VALUE!</v>
      </c>
      <c r="G205" s="58">
        <v>45958</v>
      </c>
      <c r="H205" s="57" t="e" vm="2">
        <v>#VALUE!</v>
      </c>
      <c r="I205" s="57"/>
      <c r="J205" s="57"/>
      <c r="K205" s="57"/>
      <c r="L205" s="4"/>
      <c r="M205" s="35"/>
    </row>
    <row r="206" spans="1:13" ht="15.9" customHeight="1" x14ac:dyDescent="0.3">
      <c r="A206" s="36">
        <v>203</v>
      </c>
      <c r="B206" s="64" t="str">
        <f>IF(Tabla1[[#This Row],[TRABAJADOR]]="", "", VLOOKUP(Tabla1[[#This Row],[TRABAJADOR]], 'Colaborador ID'!B:C, 2, FALSE))</f>
        <v>E0797</v>
      </c>
      <c r="C206" s="63" t="s">
        <v>395</v>
      </c>
      <c r="D206" s="64" t="s">
        <v>396</v>
      </c>
      <c r="E206" s="64"/>
      <c r="F206" s="57" t="e" vm="1">
        <v>#VALUE!</v>
      </c>
      <c r="G206" s="58"/>
      <c r="H206" s="57" t="e" vm="2">
        <v>#VALUE!</v>
      </c>
      <c r="I206" s="64"/>
      <c r="J206" s="57"/>
      <c r="K206" s="57"/>
      <c r="L206" s="4"/>
      <c r="M206" s="35"/>
    </row>
    <row r="207" spans="1:13" ht="15.9" customHeight="1" x14ac:dyDescent="0.3">
      <c r="A207" s="36">
        <v>204</v>
      </c>
      <c r="B207" s="57" t="str">
        <f>IF(Tabla1[[#This Row],[TRABAJADOR]]="", "", VLOOKUP(Tabla1[[#This Row],[TRABAJADOR]], 'Colaborador ID'!B:C, 2, FALSE))</f>
        <v>E1982</v>
      </c>
      <c r="C207" s="56" t="s">
        <v>397</v>
      </c>
      <c r="D207" s="57" t="s">
        <v>5295</v>
      </c>
      <c r="E207" s="64" t="s">
        <v>19</v>
      </c>
      <c r="F207" s="49" t="e" vm="1">
        <v>#VALUE!</v>
      </c>
      <c r="G207" s="58">
        <v>46009</v>
      </c>
      <c r="H207" s="49" t="e" vm="2">
        <v>#VALUE!</v>
      </c>
      <c r="I207" s="64" t="s">
        <v>22</v>
      </c>
      <c r="J207" s="57"/>
      <c r="K207" s="57"/>
      <c r="L207" s="4"/>
      <c r="M207" s="35"/>
    </row>
    <row r="208" spans="1:13" ht="15.9" customHeight="1" x14ac:dyDescent="0.3">
      <c r="A208" s="36">
        <v>205</v>
      </c>
      <c r="B208" s="64" t="str">
        <f>IF(Tabla1[[#This Row],[TRABAJADOR]]="", "", VLOOKUP(Tabla1[[#This Row],[TRABAJADOR]], 'Colaborador ID'!B:C, 2, FALSE))</f>
        <v>E1466</v>
      </c>
      <c r="C208" s="63" t="s">
        <v>399</v>
      </c>
      <c r="D208" s="64" t="s">
        <v>400</v>
      </c>
      <c r="E208" s="64" t="s">
        <v>16</v>
      </c>
      <c r="F208" s="49" t="e" vm="1">
        <v>#VALUE!</v>
      </c>
      <c r="G208" s="58"/>
      <c r="H208" s="57" t="e" vm="2">
        <v>#VALUE!</v>
      </c>
      <c r="I208" s="64" t="s">
        <v>22</v>
      </c>
      <c r="J208" s="57"/>
      <c r="K208" s="57"/>
      <c r="L208" s="4"/>
      <c r="M208" s="35"/>
    </row>
    <row r="209" spans="1:13" ht="15.9" customHeight="1" x14ac:dyDescent="0.3">
      <c r="A209" s="36">
        <v>206</v>
      </c>
      <c r="B209" s="57" t="str">
        <f>IF(Tabla1[[#This Row],[TRABAJADOR]]="", "", VLOOKUP(Tabla1[[#This Row],[TRABAJADOR]], 'Colaborador ID'!B:C, 2, FALSE))</f>
        <v>E1759</v>
      </c>
      <c r="C209" s="56" t="s">
        <v>401</v>
      </c>
      <c r="D209" s="57" t="s">
        <v>402</v>
      </c>
      <c r="E209" s="64" t="s">
        <v>16</v>
      </c>
      <c r="F209" s="49" t="e" vm="1">
        <v>#VALUE!</v>
      </c>
      <c r="G209" s="58">
        <v>45903</v>
      </c>
      <c r="H209" s="57" t="e" vm="2">
        <v>#VALUE!</v>
      </c>
      <c r="I209" s="57"/>
      <c r="J209" s="57"/>
      <c r="K209" s="57"/>
      <c r="L209" s="4"/>
      <c r="M209" s="35"/>
    </row>
    <row r="210" spans="1:13" ht="15.9" customHeight="1" x14ac:dyDescent="0.3">
      <c r="A210" s="36">
        <v>207</v>
      </c>
      <c r="B210" s="64" t="str">
        <f>IF(Tabla1[[#This Row],[TRABAJADOR]]="", "", VLOOKUP(Tabla1[[#This Row],[TRABAJADOR]], 'Colaborador ID'!B:C, 2, FALSE))</f>
        <v>E0331</v>
      </c>
      <c r="C210" s="63" t="s">
        <v>403</v>
      </c>
      <c r="D210" s="64" t="s">
        <v>404</v>
      </c>
      <c r="E210" s="64"/>
      <c r="F210" s="57" t="e" vm="1">
        <v>#VALUE!</v>
      </c>
      <c r="G210" s="58"/>
      <c r="H210" s="57" t="e" vm="2">
        <v>#VALUE!</v>
      </c>
      <c r="I210" s="64"/>
      <c r="J210" s="57"/>
      <c r="K210" s="57"/>
      <c r="L210" s="4"/>
      <c r="M210" s="35"/>
    </row>
    <row r="211" spans="1:13" ht="15.9" customHeight="1" x14ac:dyDescent="0.3">
      <c r="A211" s="36">
        <v>208</v>
      </c>
      <c r="B211" s="57" t="str">
        <f>IF(Tabla1[[#This Row],[TRABAJADOR]]="", "", VLOOKUP(Tabla1[[#This Row],[TRABAJADOR]], 'Colaborador ID'!B:C, 2, FALSE))</f>
        <v>E1923</v>
      </c>
      <c r="C211" s="56" t="s">
        <v>405</v>
      </c>
      <c r="D211" s="57" t="s">
        <v>406</v>
      </c>
      <c r="E211" s="64" t="s">
        <v>271</v>
      </c>
      <c r="F211" s="49" t="e" vm="1">
        <v>#VALUE!</v>
      </c>
      <c r="G211" s="58">
        <v>46002</v>
      </c>
      <c r="H211" s="49" t="e" vm="2">
        <v>#VALUE!</v>
      </c>
      <c r="I211" s="64" t="s">
        <v>22</v>
      </c>
      <c r="J211" s="57"/>
      <c r="K211" s="57"/>
      <c r="L211" s="4"/>
      <c r="M211" s="35"/>
    </row>
    <row r="212" spans="1:13" ht="15.9" customHeight="1" x14ac:dyDescent="0.3">
      <c r="A212" s="36">
        <v>209</v>
      </c>
      <c r="B212" s="64" t="str">
        <f>IF(Tabla1[[#This Row],[TRABAJADOR]]="", "", VLOOKUP(Tabla1[[#This Row],[TRABAJADOR]], 'Colaborador ID'!B:C, 2, FALSE))</f>
        <v>E1467</v>
      </c>
      <c r="C212" s="63" t="s">
        <v>407</v>
      </c>
      <c r="D212" s="64" t="s">
        <v>408</v>
      </c>
      <c r="E212" s="64" t="s">
        <v>16</v>
      </c>
      <c r="F212" s="51" t="e" vm="1">
        <v>#VALUE!</v>
      </c>
      <c r="G212" s="58"/>
      <c r="H212" s="57" t="e" vm="2">
        <v>#VALUE!</v>
      </c>
      <c r="I212" s="64" t="s">
        <v>22</v>
      </c>
      <c r="J212" s="85"/>
      <c r="K212" s="57"/>
      <c r="L212" s="4"/>
      <c r="M212" s="35"/>
    </row>
    <row r="213" spans="1:13" ht="15.9" customHeight="1" x14ac:dyDescent="0.3">
      <c r="A213" s="36">
        <v>210</v>
      </c>
      <c r="B213" s="64" t="str">
        <f>IF(Tabla1[[#This Row],[TRABAJADOR]]="", "", VLOOKUP(Tabla1[[#This Row],[TRABAJADOR]], 'Colaborador ID'!B:C, 2, FALSE))</f>
        <v>E0063</v>
      </c>
      <c r="C213" s="63" t="s">
        <v>409</v>
      </c>
      <c r="D213" s="64" t="s">
        <v>410</v>
      </c>
      <c r="E213" s="64" t="s">
        <v>16</v>
      </c>
      <c r="F213" s="38" t="e" vm="1">
        <v>#VALUE!</v>
      </c>
      <c r="G213" s="58">
        <v>45762</v>
      </c>
      <c r="H213" s="57" t="e" vm="2">
        <v>#VALUE!</v>
      </c>
      <c r="I213" s="64"/>
      <c r="J213" s="57"/>
      <c r="K213" s="57"/>
      <c r="L213" s="4"/>
      <c r="M213" s="35"/>
    </row>
    <row r="214" spans="1:13" ht="15.9" customHeight="1" x14ac:dyDescent="0.3">
      <c r="A214" s="36">
        <v>211</v>
      </c>
      <c r="B214" s="57" t="str">
        <f>IF(Tabla1[[#This Row],[TRABAJADOR]]="", "", VLOOKUP(Tabla1[[#This Row],[TRABAJADOR]], 'Colaborador ID'!B:C, 2, FALSE))</f>
        <v>E2050</v>
      </c>
      <c r="C214" s="56" t="s">
        <v>411</v>
      </c>
      <c r="D214" s="57" t="s">
        <v>412</v>
      </c>
      <c r="E214" s="64" t="s">
        <v>19</v>
      </c>
      <c r="F214" s="49" t="e" vm="1">
        <v>#VALUE!</v>
      </c>
      <c r="G214" s="58">
        <v>45965</v>
      </c>
      <c r="H214" s="57" t="e" vm="2">
        <v>#VALUE!</v>
      </c>
      <c r="I214" s="57"/>
      <c r="J214" s="57"/>
      <c r="K214" s="57"/>
      <c r="L214" s="4"/>
      <c r="M214" s="35"/>
    </row>
    <row r="215" spans="1:13" ht="15.9" customHeight="1" x14ac:dyDescent="0.3">
      <c r="A215" s="36">
        <v>212</v>
      </c>
      <c r="B215" s="64" t="str">
        <f>IF(Tabla1[[#This Row],[TRABAJADOR]]="", "", VLOOKUP(Tabla1[[#This Row],[TRABAJADOR]], 'Colaborador ID'!B:C, 2, FALSE))</f>
        <v>E0454</v>
      </c>
      <c r="C215" s="63" t="s">
        <v>413</v>
      </c>
      <c r="D215" s="64" t="s">
        <v>414</v>
      </c>
      <c r="E215" s="64" t="s">
        <v>19</v>
      </c>
      <c r="F215" s="51" t="e" vm="1">
        <v>#VALUE!</v>
      </c>
      <c r="G215" s="58"/>
      <c r="H215" s="57" t="e" vm="2">
        <v>#VALUE!</v>
      </c>
      <c r="I215" s="64"/>
      <c r="J215" s="57"/>
      <c r="K215" s="57"/>
      <c r="L215" s="4"/>
      <c r="M215" s="35"/>
    </row>
    <row r="216" spans="1:13" ht="15.9" customHeight="1" x14ac:dyDescent="0.3">
      <c r="A216" s="36">
        <v>213</v>
      </c>
      <c r="B216" s="64" t="str">
        <f>IF(Tabla1[[#This Row],[TRABAJADOR]]="", "", VLOOKUP(Tabla1[[#This Row],[TRABAJADOR]], 'Colaborador ID'!B:C, 2, FALSE))</f>
        <v>E1468</v>
      </c>
      <c r="C216" s="63" t="s">
        <v>415</v>
      </c>
      <c r="D216" s="64" t="s">
        <v>416</v>
      </c>
      <c r="E216" s="64" t="s">
        <v>16</v>
      </c>
      <c r="F216" s="51" t="e" vm="1">
        <v>#VALUE!</v>
      </c>
      <c r="G216" s="58"/>
      <c r="H216" s="57" t="e" vm="2">
        <v>#VALUE!</v>
      </c>
      <c r="I216" s="64" t="s">
        <v>22</v>
      </c>
      <c r="J216" s="70"/>
      <c r="K216" s="57"/>
      <c r="L216" s="4"/>
      <c r="M216" s="35"/>
    </row>
    <row r="217" spans="1:13" ht="15.9" customHeight="1" x14ac:dyDescent="0.3">
      <c r="A217" s="36">
        <v>214</v>
      </c>
      <c r="B217" s="57" t="str">
        <f>IF(Tabla1[[#This Row],[TRABAJADOR]]="", "", VLOOKUP(Tabla1[[#This Row],[TRABAJADOR]], 'Colaborador ID'!B:C, 2, FALSE))</f>
        <v>E2120</v>
      </c>
      <c r="C217" s="56" t="s">
        <v>5401</v>
      </c>
      <c r="D217" s="57" t="s">
        <v>5465</v>
      </c>
      <c r="E217" s="64" t="s">
        <v>13</v>
      </c>
      <c r="F217" s="49" t="e" vm="1">
        <v>#VALUE!</v>
      </c>
      <c r="G217" s="58">
        <v>46073</v>
      </c>
      <c r="H217" s="57" t="e" vm="2">
        <v>#VALUE!</v>
      </c>
      <c r="I217" s="57"/>
      <c r="J217" s="57"/>
      <c r="K217" s="57"/>
      <c r="L217" s="4"/>
      <c r="M217" s="35"/>
    </row>
    <row r="218" spans="1:13" ht="15.9" customHeight="1" x14ac:dyDescent="0.3">
      <c r="A218" s="36">
        <v>215</v>
      </c>
      <c r="B218" s="64" t="str">
        <f>IF(Tabla1[[#This Row],[TRABAJADOR]]="", "", VLOOKUP(Tabla1[[#This Row],[TRABAJADOR]], 'Colaborador ID'!B:C, 2, FALSE))</f>
        <v>E0459</v>
      </c>
      <c r="C218" s="63" t="s">
        <v>417</v>
      </c>
      <c r="D218" s="64" t="s">
        <v>418</v>
      </c>
      <c r="E218" s="64" t="s">
        <v>16</v>
      </c>
      <c r="F218" s="38" t="e" vm="1">
        <v>#VALUE!</v>
      </c>
      <c r="G218" s="58">
        <v>45782</v>
      </c>
      <c r="H218" s="40" t="e" vm="2">
        <v>#VALUE!</v>
      </c>
      <c r="I218" s="64"/>
      <c r="J218" s="57"/>
      <c r="K218" s="57"/>
      <c r="L218" s="4"/>
      <c r="M218" s="35"/>
    </row>
    <row r="219" spans="1:13" ht="15.9" customHeight="1" x14ac:dyDescent="0.3">
      <c r="A219" s="36">
        <v>216</v>
      </c>
      <c r="B219" s="64" t="str">
        <f>IF(Tabla1[[#This Row],[TRABAJADOR]]="", "", VLOOKUP(Tabla1[[#This Row],[TRABAJADOR]], 'Colaborador ID'!B:C, 2, FALSE))</f>
        <v>E0295</v>
      </c>
      <c r="C219" s="63" t="s">
        <v>419</v>
      </c>
      <c r="D219" s="64" t="s">
        <v>420</v>
      </c>
      <c r="E219" s="64" t="s">
        <v>421</v>
      </c>
      <c r="F219" s="38" t="e" vm="1">
        <v>#VALUE!</v>
      </c>
      <c r="G219" s="58"/>
      <c r="H219" s="57" t="e" vm="2">
        <v>#VALUE!</v>
      </c>
      <c r="I219" s="64"/>
      <c r="J219" s="57"/>
      <c r="K219" s="57"/>
      <c r="L219" s="4"/>
      <c r="M219" s="35"/>
    </row>
    <row r="220" spans="1:13" ht="15.9" customHeight="1" x14ac:dyDescent="0.4">
      <c r="A220" s="36">
        <v>217</v>
      </c>
      <c r="B220" s="64" t="str">
        <f>IF(Tabla1[[#This Row],[TRABAJADOR]]="", "", VLOOKUP(Tabla1[[#This Row],[TRABAJADOR]], 'Colaborador ID'!B:C, 2, FALSE))</f>
        <v>E0420</v>
      </c>
      <c r="C220" s="63" t="s">
        <v>422</v>
      </c>
      <c r="D220" s="64" t="s">
        <v>423</v>
      </c>
      <c r="E220" s="64" t="s">
        <v>16</v>
      </c>
      <c r="F220" s="37" t="e" vm="1">
        <v>#VALUE!</v>
      </c>
      <c r="G220" s="58">
        <v>45726</v>
      </c>
      <c r="H220" s="39" t="e" vm="2">
        <v>#VALUE!</v>
      </c>
      <c r="I220" s="64"/>
      <c r="J220" s="57"/>
      <c r="K220" s="57"/>
      <c r="L220" s="4"/>
      <c r="M220" s="35"/>
    </row>
    <row r="221" spans="1:13" ht="15.9" customHeight="1" x14ac:dyDescent="0.3">
      <c r="A221" s="36">
        <v>218</v>
      </c>
      <c r="B221" s="64" t="str">
        <f>IF(Tabla1[[#This Row],[TRABAJADOR]]="", "", VLOOKUP(Tabla1[[#This Row],[TRABAJADOR]], 'Colaborador ID'!B:C, 2, FALSE))</f>
        <v>E0861</v>
      </c>
      <c r="C221" s="63" t="s">
        <v>424</v>
      </c>
      <c r="D221" s="64" t="s">
        <v>425</v>
      </c>
      <c r="E221" s="64" t="s">
        <v>16</v>
      </c>
      <c r="F221" s="51" t="e" vm="1">
        <v>#VALUE!</v>
      </c>
      <c r="G221" s="58"/>
      <c r="H221" s="57" t="e" vm="2">
        <v>#VALUE!</v>
      </c>
      <c r="I221" s="64"/>
      <c r="J221" s="57"/>
      <c r="K221" s="57"/>
      <c r="L221" s="4"/>
      <c r="M221" s="35"/>
    </row>
    <row r="222" spans="1:13" ht="15.9" customHeight="1" x14ac:dyDescent="0.3">
      <c r="A222" s="36">
        <v>219</v>
      </c>
      <c r="B222" s="64" t="str">
        <f>IF(Tabla1[[#This Row],[TRABAJADOR]]="", "", VLOOKUP(Tabla1[[#This Row],[TRABAJADOR]], 'Colaborador ID'!B:C, 2, FALSE))</f>
        <v>E0546</v>
      </c>
      <c r="C222" s="63" t="s">
        <v>426</v>
      </c>
      <c r="D222" s="64" t="s">
        <v>427</v>
      </c>
      <c r="E222" s="64" t="s">
        <v>19</v>
      </c>
      <c r="F222" s="49" t="e" vm="1">
        <v>#VALUE!</v>
      </c>
      <c r="G222" s="58"/>
      <c r="H222" s="57" t="e" vm="2">
        <v>#VALUE!</v>
      </c>
      <c r="I222" s="64"/>
      <c r="J222" s="57"/>
      <c r="K222" s="57"/>
      <c r="L222" s="4"/>
      <c r="M222" s="35"/>
    </row>
    <row r="223" spans="1:13" ht="15.9" customHeight="1" x14ac:dyDescent="0.3">
      <c r="A223" s="36">
        <v>220</v>
      </c>
      <c r="B223" s="64" t="str">
        <f>IF(Tabla1[[#This Row],[TRABAJADOR]]="", "", VLOOKUP(Tabla1[[#This Row],[TRABAJADOR]], 'Colaborador ID'!B:C, 2, FALSE))</f>
        <v>E0629</v>
      </c>
      <c r="C223" s="63" t="s">
        <v>428</v>
      </c>
      <c r="D223" s="64" t="s">
        <v>429</v>
      </c>
      <c r="E223" s="64" t="s">
        <v>271</v>
      </c>
      <c r="F223" s="38" t="e" vm="1">
        <v>#VALUE!</v>
      </c>
      <c r="G223" s="58">
        <v>45847</v>
      </c>
      <c r="H223" s="57" t="e" vm="2">
        <v>#VALUE!</v>
      </c>
      <c r="I223" s="64"/>
      <c r="J223" s="57"/>
      <c r="K223" s="57"/>
      <c r="L223" s="4"/>
      <c r="M223" s="35"/>
    </row>
    <row r="224" spans="1:13" ht="15.9" customHeight="1" x14ac:dyDescent="0.3">
      <c r="A224" s="36">
        <v>221</v>
      </c>
      <c r="B224" s="64" t="str">
        <f>IF(Tabla1[[#This Row],[TRABAJADOR]]="", "", VLOOKUP(Tabla1[[#This Row],[TRABAJADOR]], 'Colaborador ID'!B:C, 2, FALSE))</f>
        <v>E1129</v>
      </c>
      <c r="C224" s="63" t="s">
        <v>430</v>
      </c>
      <c r="D224" s="64" t="s">
        <v>431</v>
      </c>
      <c r="E224" s="64" t="s">
        <v>33</v>
      </c>
      <c r="F224" s="49" t="e" vm="1">
        <v>#VALUE!</v>
      </c>
      <c r="G224" s="58"/>
      <c r="H224" s="57" t="e" vm="2">
        <v>#VALUE!</v>
      </c>
      <c r="I224" s="64"/>
      <c r="J224" s="57"/>
      <c r="K224" s="57"/>
      <c r="L224" s="4"/>
      <c r="M224" s="35"/>
    </row>
    <row r="225" spans="1:13" ht="15.9" customHeight="1" x14ac:dyDescent="0.3">
      <c r="A225" s="36">
        <v>222</v>
      </c>
      <c r="B225" s="57" t="str">
        <f>IF(Tabla1[[#This Row],[TRABAJADOR]]="", "", VLOOKUP(Tabla1[[#This Row],[TRABAJADOR]], 'Colaborador ID'!B:C, 2, FALSE))</f>
        <v>E1835</v>
      </c>
      <c r="C225" s="56" t="s">
        <v>432</v>
      </c>
      <c r="D225" s="57" t="s">
        <v>433</v>
      </c>
      <c r="E225" s="64" t="s">
        <v>16</v>
      </c>
      <c r="F225" s="49" t="e" vm="1">
        <v>#VALUE!</v>
      </c>
      <c r="G225" s="58">
        <v>45933</v>
      </c>
      <c r="H225" s="57" t="e" vm="2">
        <v>#VALUE!</v>
      </c>
      <c r="I225" s="57"/>
      <c r="J225" s="57"/>
      <c r="K225" s="57"/>
      <c r="L225" s="4"/>
      <c r="M225" s="35"/>
    </row>
    <row r="226" spans="1:13" ht="15.9" customHeight="1" x14ac:dyDescent="0.3">
      <c r="A226" s="36">
        <v>223</v>
      </c>
      <c r="B226" s="57" t="str">
        <f>IF(Tabla1[[#This Row],[TRABAJADOR]]="", "", VLOOKUP(Tabla1[[#This Row],[TRABAJADOR]], 'Colaborador ID'!B:C, 2, FALSE))</f>
        <v>E2131</v>
      </c>
      <c r="C226" s="56" t="s">
        <v>5427</v>
      </c>
      <c r="D226" s="57" t="s">
        <v>5489</v>
      </c>
      <c r="E226" s="64" t="s">
        <v>19</v>
      </c>
      <c r="F226" s="49" t="e" vm="1">
        <v>#VALUE!</v>
      </c>
      <c r="G226" s="58">
        <v>46073</v>
      </c>
      <c r="H226" s="57" t="e" vm="3">
        <v>#VALUE!</v>
      </c>
      <c r="I226" s="57"/>
      <c r="J226" s="57"/>
      <c r="K226" s="57"/>
      <c r="L226" s="4"/>
      <c r="M226" s="35"/>
    </row>
    <row r="227" spans="1:13" ht="15.9" customHeight="1" x14ac:dyDescent="0.3">
      <c r="A227" s="36">
        <v>224</v>
      </c>
      <c r="B227" s="64" t="str">
        <f>IF(Tabla1[[#This Row],[TRABAJADOR]]="", "", VLOOKUP(Tabla1[[#This Row],[TRABAJADOR]], 'Colaborador ID'!B:C, 2, FALSE))</f>
        <v>E1254</v>
      </c>
      <c r="C227" s="63" t="s">
        <v>434</v>
      </c>
      <c r="D227" s="64" t="s">
        <v>435</v>
      </c>
      <c r="E227" s="64" t="s">
        <v>35</v>
      </c>
      <c r="F227" s="38" t="e" vm="1">
        <v>#VALUE!</v>
      </c>
      <c r="G227" s="58">
        <v>45761</v>
      </c>
      <c r="H227" s="57" t="e" vm="2">
        <v>#VALUE!</v>
      </c>
      <c r="I227" s="64"/>
      <c r="J227" s="57"/>
      <c r="K227" s="57"/>
      <c r="L227" s="4"/>
      <c r="M227" s="35"/>
    </row>
    <row r="228" spans="1:13" ht="15.9" customHeight="1" x14ac:dyDescent="0.3">
      <c r="A228" s="36">
        <v>225</v>
      </c>
      <c r="B228" s="64" t="str">
        <f>IF(Tabla1[[#This Row],[TRABAJADOR]]="", "", VLOOKUP(Tabla1[[#This Row],[TRABAJADOR]], 'Colaborador ID'!B:C, 2, FALSE))</f>
        <v>E1469</v>
      </c>
      <c r="C228" s="63" t="s">
        <v>436</v>
      </c>
      <c r="D228" s="64" t="s">
        <v>437</v>
      </c>
      <c r="E228" s="64"/>
      <c r="F228" s="49" t="e" vm="1">
        <v>#VALUE!</v>
      </c>
      <c r="G228" s="58"/>
      <c r="H228" s="57" t="e" vm="2">
        <v>#VALUE!</v>
      </c>
      <c r="I228" s="64" t="s">
        <v>22</v>
      </c>
      <c r="J228" s="57"/>
      <c r="K228" s="57"/>
      <c r="L228" s="4"/>
      <c r="M228" s="35"/>
    </row>
    <row r="229" spans="1:13" ht="15.9" customHeight="1" x14ac:dyDescent="0.3">
      <c r="A229" s="36">
        <v>226</v>
      </c>
      <c r="B229" s="64" t="str">
        <f>IF(Tabla1[[#This Row],[TRABAJADOR]]="", "", VLOOKUP(Tabla1[[#This Row],[TRABAJADOR]], 'Colaborador ID'!B:C, 2, FALSE))</f>
        <v>E1083</v>
      </c>
      <c r="C229" s="63" t="s">
        <v>438</v>
      </c>
      <c r="D229" s="64" t="s">
        <v>439</v>
      </c>
      <c r="E229" s="64" t="s">
        <v>271</v>
      </c>
      <c r="F229" s="49" t="e" vm="1">
        <v>#VALUE!</v>
      </c>
      <c r="G229" s="58">
        <v>45902</v>
      </c>
      <c r="H229" s="49" t="e" vm="2">
        <v>#VALUE!</v>
      </c>
      <c r="I229" s="64" t="s">
        <v>22</v>
      </c>
      <c r="J229" s="57"/>
      <c r="K229" s="57"/>
      <c r="L229" s="4"/>
      <c r="M229" s="35"/>
    </row>
    <row r="230" spans="1:13" ht="15.9" customHeight="1" x14ac:dyDescent="0.3">
      <c r="A230" s="36">
        <v>227</v>
      </c>
      <c r="B230" s="64" t="str">
        <f>IF(Tabla1[[#This Row],[TRABAJADOR]]="", "", VLOOKUP(Tabla1[[#This Row],[TRABAJADOR]], 'Colaborador ID'!B:C, 2, FALSE))</f>
        <v>E0499</v>
      </c>
      <c r="C230" s="63" t="s">
        <v>440</v>
      </c>
      <c r="D230" s="64" t="s">
        <v>441</v>
      </c>
      <c r="E230" s="64"/>
      <c r="F230" s="57" t="e" vm="1">
        <v>#VALUE!</v>
      </c>
      <c r="G230" s="58"/>
      <c r="H230" s="57" t="e" vm="2">
        <v>#VALUE!</v>
      </c>
      <c r="I230" s="64"/>
      <c r="J230" s="57"/>
      <c r="K230" s="57"/>
      <c r="L230" s="4"/>
      <c r="M230" s="35"/>
    </row>
    <row r="231" spans="1:13" ht="15.9" customHeight="1" x14ac:dyDescent="0.3">
      <c r="A231" s="36">
        <v>228</v>
      </c>
      <c r="B231" s="57" t="str">
        <f>IF(Tabla1[[#This Row],[TRABAJADOR]]="", "", VLOOKUP(Tabla1[[#This Row],[TRABAJADOR]], 'Colaborador ID'!B:C, 2, FALSE))</f>
        <v>E1776</v>
      </c>
      <c r="C231" s="56" t="s">
        <v>442</v>
      </c>
      <c r="D231" s="57" t="s">
        <v>443</v>
      </c>
      <c r="E231" s="64" t="s">
        <v>13</v>
      </c>
      <c r="F231" s="49" t="e" vm="1">
        <v>#VALUE!</v>
      </c>
      <c r="G231" s="58">
        <v>45910</v>
      </c>
      <c r="H231" s="49" t="e" vm="2">
        <v>#VALUE!</v>
      </c>
      <c r="I231" s="57"/>
      <c r="J231" s="57"/>
      <c r="K231" s="57"/>
      <c r="L231" s="4"/>
      <c r="M231" s="35"/>
    </row>
    <row r="232" spans="1:13" ht="15.9" customHeight="1" x14ac:dyDescent="0.3">
      <c r="A232" s="36">
        <v>229</v>
      </c>
      <c r="B232" s="57" t="str">
        <f>IF(Tabla1[[#This Row],[TRABAJADOR]]="", "", VLOOKUP(Tabla1[[#This Row],[TRABAJADOR]], 'Colaborador ID'!B:C, 2, FALSE))</f>
        <v>E1909</v>
      </c>
      <c r="C232" s="56" t="s">
        <v>444</v>
      </c>
      <c r="D232" s="57" t="s">
        <v>445</v>
      </c>
      <c r="E232" s="64" t="s">
        <v>16</v>
      </c>
      <c r="F232" s="49" t="e" vm="1">
        <v>#VALUE!</v>
      </c>
      <c r="G232" s="58">
        <v>45958</v>
      </c>
      <c r="H232" s="57" t="e" vm="2">
        <v>#VALUE!</v>
      </c>
      <c r="I232" s="57"/>
      <c r="J232" s="57"/>
      <c r="K232" s="57"/>
      <c r="L232" s="4"/>
      <c r="M232" s="35"/>
    </row>
    <row r="233" spans="1:13" ht="15.9" customHeight="1" x14ac:dyDescent="0.3">
      <c r="A233" s="36">
        <v>230</v>
      </c>
      <c r="B233" s="57" t="str">
        <f>IF(Tabla1[[#This Row],[TRABAJADOR]]="", "", VLOOKUP(Tabla1[[#This Row],[TRABAJADOR]], 'Colaborador ID'!B:C, 2, FALSE))</f>
        <v>E1918</v>
      </c>
      <c r="C233" s="56" t="s">
        <v>446</v>
      </c>
      <c r="D233" s="57" t="s">
        <v>447</v>
      </c>
      <c r="E233" s="64" t="s">
        <v>271</v>
      </c>
      <c r="F233" s="49" t="e" vm="1">
        <v>#VALUE!</v>
      </c>
      <c r="G233" s="58">
        <v>46000</v>
      </c>
      <c r="H233" s="49" t="e" vm="2">
        <v>#VALUE!</v>
      </c>
      <c r="I233" s="57" t="s">
        <v>22</v>
      </c>
      <c r="J233" s="57"/>
      <c r="K233" s="57"/>
      <c r="L233" s="4"/>
      <c r="M233" s="35"/>
    </row>
    <row r="234" spans="1:13" ht="15.9" customHeight="1" x14ac:dyDescent="0.3">
      <c r="A234" s="36">
        <v>231</v>
      </c>
      <c r="B234" s="64" t="str">
        <f>IF(Tabla1[[#This Row],[TRABAJADOR]]="", "", VLOOKUP(Tabla1[[#This Row],[TRABAJADOR]], 'Colaborador ID'!B:C, 2, FALSE))</f>
        <v>E1673</v>
      </c>
      <c r="C234" s="63" t="s">
        <v>448</v>
      </c>
      <c r="D234" s="64" t="s">
        <v>449</v>
      </c>
      <c r="E234" s="64" t="s">
        <v>19</v>
      </c>
      <c r="F234" s="49" t="e" vm="1">
        <v>#VALUE!</v>
      </c>
      <c r="G234" s="58">
        <v>45880</v>
      </c>
      <c r="H234" s="57" t="e" vm="2">
        <v>#VALUE!</v>
      </c>
      <c r="I234" s="64"/>
      <c r="J234" s="57"/>
      <c r="K234" s="57"/>
      <c r="L234" s="4"/>
      <c r="M234" s="35"/>
    </row>
    <row r="235" spans="1:13" ht="15.9" customHeight="1" x14ac:dyDescent="0.4">
      <c r="A235" s="36">
        <v>232</v>
      </c>
      <c r="B235" s="64" t="str">
        <f>IF(Tabla1[[#This Row],[TRABAJADOR]]="", "", VLOOKUP(Tabla1[[#This Row],[TRABAJADOR]], 'Colaborador ID'!B:C, 2, FALSE))</f>
        <v>E0330</v>
      </c>
      <c r="C235" s="63" t="s">
        <v>450</v>
      </c>
      <c r="D235" s="64" t="s">
        <v>451</v>
      </c>
      <c r="E235" s="64" t="s">
        <v>16</v>
      </c>
      <c r="F235" s="37" t="e" vm="1">
        <v>#VALUE!</v>
      </c>
      <c r="G235" s="58">
        <v>45720</v>
      </c>
      <c r="H235" s="39" t="e" vm="2">
        <v>#VALUE!</v>
      </c>
      <c r="I235" s="64"/>
      <c r="J235" s="57"/>
      <c r="K235" s="57"/>
      <c r="L235" s="4"/>
      <c r="M235" s="35"/>
    </row>
    <row r="236" spans="1:13" ht="15.9" customHeight="1" x14ac:dyDescent="0.3">
      <c r="A236" s="36">
        <v>233</v>
      </c>
      <c r="B236" s="64" t="str">
        <f>IF(Tabla1[[#This Row],[TRABAJADOR]]="", "", VLOOKUP(Tabla1[[#This Row],[TRABAJADOR]], 'Colaborador ID'!B:C, 2, FALSE))</f>
        <v>E1220</v>
      </c>
      <c r="C236" s="63" t="s">
        <v>452</v>
      </c>
      <c r="D236" s="64" t="s">
        <v>453</v>
      </c>
      <c r="E236" s="64" t="s">
        <v>19</v>
      </c>
      <c r="F236" s="49" t="e" vm="1">
        <v>#VALUE!</v>
      </c>
      <c r="G236" s="58"/>
      <c r="H236" s="57" t="e" vm="2">
        <v>#VALUE!</v>
      </c>
      <c r="I236" s="64"/>
      <c r="J236" s="57"/>
      <c r="K236" s="57"/>
      <c r="L236" s="4"/>
      <c r="M236" s="35"/>
    </row>
    <row r="237" spans="1:13" ht="15.9" customHeight="1" x14ac:dyDescent="0.3">
      <c r="A237" s="36">
        <v>234</v>
      </c>
      <c r="B237" s="64" t="str">
        <f>IF(Tabla1[[#This Row],[TRABAJADOR]]="", "", VLOOKUP(Tabla1[[#This Row],[TRABAJADOR]], 'Colaborador ID'!B:C, 2, FALSE))</f>
        <v>E1470</v>
      </c>
      <c r="C237" s="63" t="s">
        <v>454</v>
      </c>
      <c r="D237" s="64" t="s">
        <v>455</v>
      </c>
      <c r="E237" s="64" t="s">
        <v>16</v>
      </c>
      <c r="F237" s="51" t="e" vm="1">
        <v>#VALUE!</v>
      </c>
      <c r="G237" s="58"/>
      <c r="H237" s="57" t="e" vm="2">
        <v>#VALUE!</v>
      </c>
      <c r="I237" s="64" t="s">
        <v>22</v>
      </c>
      <c r="J237" s="57"/>
      <c r="K237" s="57"/>
      <c r="L237" s="4"/>
      <c r="M237" s="35"/>
    </row>
    <row r="238" spans="1:13" ht="15.9" customHeight="1" x14ac:dyDescent="0.3">
      <c r="A238" s="36">
        <v>235</v>
      </c>
      <c r="B238" s="64" t="str">
        <f>IF(Tabla1[[#This Row],[TRABAJADOR]]="", "", VLOOKUP(Tabla1[[#This Row],[TRABAJADOR]], 'Colaborador ID'!B:C, 2, FALSE))</f>
        <v>E0415</v>
      </c>
      <c r="C238" s="63" t="s">
        <v>456</v>
      </c>
      <c r="D238" s="64" t="s">
        <v>457</v>
      </c>
      <c r="E238" s="64" t="s">
        <v>16</v>
      </c>
      <c r="F238" s="49" t="e" vm="1">
        <v>#VALUE!</v>
      </c>
      <c r="G238" s="58"/>
      <c r="H238" s="57" t="e" vm="2">
        <v>#VALUE!</v>
      </c>
      <c r="I238" s="64"/>
      <c r="J238" s="57"/>
      <c r="K238" s="57"/>
      <c r="L238" s="4"/>
      <c r="M238" s="35"/>
    </row>
    <row r="239" spans="1:13" ht="15.9" customHeight="1" x14ac:dyDescent="0.3">
      <c r="A239" s="36">
        <v>236</v>
      </c>
      <c r="B239" s="64" t="str">
        <f>IF(Tabla1[[#This Row],[TRABAJADOR]]="", "", VLOOKUP(Tabla1[[#This Row],[TRABAJADOR]], 'Colaborador ID'!B:C, 2, FALSE))</f>
        <v>E0145</v>
      </c>
      <c r="C239" s="63" t="s">
        <v>458</v>
      </c>
      <c r="D239" s="64" t="s">
        <v>459</v>
      </c>
      <c r="E239" s="64" t="s">
        <v>33</v>
      </c>
      <c r="F239" s="49" t="e" vm="1">
        <v>#VALUE!</v>
      </c>
      <c r="G239" s="58"/>
      <c r="H239" s="57" t="e" vm="2">
        <v>#VALUE!</v>
      </c>
      <c r="I239" s="64"/>
      <c r="J239" s="57"/>
      <c r="K239" s="57"/>
      <c r="L239" s="4"/>
      <c r="M239" s="35"/>
    </row>
    <row r="240" spans="1:13" ht="15.9" customHeight="1" x14ac:dyDescent="0.3">
      <c r="A240" s="36">
        <v>237</v>
      </c>
      <c r="B240" s="57" t="str">
        <f>IF(Tabla1[[#This Row],[TRABAJADOR]]="", "", VLOOKUP(Tabla1[[#This Row],[TRABAJADOR]], 'Colaborador ID'!B:C, 2, FALSE))</f>
        <v>E1898</v>
      </c>
      <c r="C240" s="56" t="s">
        <v>460</v>
      </c>
      <c r="D240" s="57" t="s">
        <v>461</v>
      </c>
      <c r="E240" s="64" t="s">
        <v>19</v>
      </c>
      <c r="F240" s="51" t="e" vm="1">
        <v>#VALUE!</v>
      </c>
      <c r="G240" s="58">
        <v>45944</v>
      </c>
      <c r="H240" s="57" t="e" vm="2">
        <v>#VALUE!</v>
      </c>
      <c r="I240" s="57" t="s">
        <v>22</v>
      </c>
      <c r="J240" s="57"/>
      <c r="K240" s="57"/>
      <c r="L240" s="4"/>
      <c r="M240" s="35"/>
    </row>
    <row r="241" spans="1:13" ht="15.9" customHeight="1" x14ac:dyDescent="0.3">
      <c r="A241" s="36">
        <v>238</v>
      </c>
      <c r="B241" s="57" t="str">
        <f>IF(Tabla1[[#This Row],[TRABAJADOR]]="", "", VLOOKUP(Tabla1[[#This Row],[TRABAJADOR]], 'Colaborador ID'!B:C, 2, FALSE))</f>
        <v>E2151</v>
      </c>
      <c r="C241" s="56" t="s">
        <v>5494</v>
      </c>
      <c r="D241" s="57" t="s">
        <v>5504</v>
      </c>
      <c r="E241" s="57" t="s">
        <v>16</v>
      </c>
      <c r="F241" s="51" t="e" vm="1">
        <v>#VALUE!</v>
      </c>
      <c r="G241" s="58">
        <v>46086</v>
      </c>
      <c r="H241" s="57" t="e" vm="3">
        <v>#VALUE!</v>
      </c>
      <c r="I241" s="57"/>
      <c r="J241" s="57"/>
      <c r="K241" s="57"/>
      <c r="L241" s="4"/>
      <c r="M241" s="35"/>
    </row>
    <row r="242" spans="1:13" ht="15.9" customHeight="1" x14ac:dyDescent="0.35">
      <c r="A242" s="36">
        <v>239</v>
      </c>
      <c r="B242" s="64" t="str">
        <f>IF(Tabla1[[#This Row],[TRABAJADOR]]="", "", VLOOKUP(Tabla1[[#This Row],[TRABAJADOR]], 'Colaborador ID'!B:C, 2, FALSE))</f>
        <v>E0599</v>
      </c>
      <c r="C242" s="63" t="s">
        <v>462</v>
      </c>
      <c r="D242" s="64" t="s">
        <v>463</v>
      </c>
      <c r="E242" s="64" t="s">
        <v>16</v>
      </c>
      <c r="F242" s="37" t="e" vm="1">
        <v>#VALUE!</v>
      </c>
      <c r="G242" s="58"/>
      <c r="H242" s="57" t="e" vm="2">
        <v>#VALUE!</v>
      </c>
      <c r="I242" s="64"/>
      <c r="J242" s="57"/>
      <c r="K242" s="57"/>
      <c r="L242" s="4"/>
      <c r="M242" s="35"/>
    </row>
    <row r="243" spans="1:13" ht="15.9" customHeight="1" x14ac:dyDescent="0.3">
      <c r="A243" s="36">
        <v>240</v>
      </c>
      <c r="B243" s="64" t="str">
        <f>IF(Tabla1[[#This Row],[TRABAJADOR]]="", "", VLOOKUP(Tabla1[[#This Row],[TRABAJADOR]], 'Colaborador ID'!B:C, 2, FALSE))</f>
        <v>E1367</v>
      </c>
      <c r="C243" s="63" t="s">
        <v>464</v>
      </c>
      <c r="D243" s="64" t="s">
        <v>465</v>
      </c>
      <c r="E243" s="64" t="s">
        <v>16</v>
      </c>
      <c r="F243" s="49" t="e" vm="1">
        <v>#VALUE!</v>
      </c>
      <c r="G243" s="58"/>
      <c r="H243" s="57" t="e" vm="2">
        <v>#VALUE!</v>
      </c>
      <c r="I243" s="64"/>
      <c r="J243" s="57"/>
      <c r="K243" s="57"/>
      <c r="L243" s="4"/>
      <c r="M243" s="35"/>
    </row>
    <row r="244" spans="1:13" ht="15.9" customHeight="1" x14ac:dyDescent="0.35">
      <c r="A244" s="36">
        <v>241</v>
      </c>
      <c r="B244" s="64" t="str">
        <f>IF(Tabla1[[#This Row],[TRABAJADOR]]="", "", VLOOKUP(Tabla1[[#This Row],[TRABAJADOR]], 'Colaborador ID'!B:C, 2, FALSE))</f>
        <v>E0073</v>
      </c>
      <c r="C244" s="63" t="s">
        <v>466</v>
      </c>
      <c r="D244" s="64" t="s">
        <v>467</v>
      </c>
      <c r="E244" s="64" t="s">
        <v>13</v>
      </c>
      <c r="F244" s="37" t="e" vm="1">
        <v>#VALUE!</v>
      </c>
      <c r="G244" s="58"/>
      <c r="H244" s="57" t="e" vm="2">
        <v>#VALUE!</v>
      </c>
      <c r="I244" s="64"/>
      <c r="J244" s="57"/>
      <c r="K244" s="57"/>
      <c r="L244" s="4"/>
      <c r="M244" s="35"/>
    </row>
    <row r="245" spans="1:13" ht="15.9" customHeight="1" x14ac:dyDescent="0.3">
      <c r="A245" s="36">
        <v>242</v>
      </c>
      <c r="B245" s="64" t="str">
        <f>IF(Tabla1[[#This Row],[TRABAJADOR]]="", "", VLOOKUP(Tabla1[[#This Row],[TRABAJADOR]], 'Colaborador ID'!B:C, 2, FALSE))</f>
        <v>E1373</v>
      </c>
      <c r="C245" s="63" t="s">
        <v>468</v>
      </c>
      <c r="D245" s="64" t="s">
        <v>469</v>
      </c>
      <c r="E245" s="64"/>
      <c r="F245" s="49" t="e" vm="1">
        <v>#VALUE!</v>
      </c>
      <c r="G245" s="58"/>
      <c r="H245" s="57" t="e" vm="2">
        <v>#VALUE!</v>
      </c>
      <c r="I245" s="64"/>
      <c r="J245" s="57"/>
      <c r="K245" s="57"/>
      <c r="L245" s="4"/>
      <c r="M245" s="35"/>
    </row>
    <row r="246" spans="1:13" ht="15.9" customHeight="1" x14ac:dyDescent="0.3">
      <c r="A246" s="36">
        <v>243</v>
      </c>
      <c r="B246" s="64" t="str">
        <f>IF(Tabla1[[#This Row],[TRABAJADOR]]="", "", VLOOKUP(Tabla1[[#This Row],[TRABAJADOR]], 'Colaborador ID'!B:C, 2, FALSE))</f>
        <v>E1895</v>
      </c>
      <c r="C246" s="63" t="s">
        <v>470</v>
      </c>
      <c r="D246" s="64" t="s">
        <v>471</v>
      </c>
      <c r="E246" s="64"/>
      <c r="F246" s="49" t="e" vm="1">
        <v>#VALUE!</v>
      </c>
      <c r="G246" s="58"/>
      <c r="H246" s="57" t="e" vm="2">
        <v>#VALUE!</v>
      </c>
      <c r="I246" s="64"/>
      <c r="J246" s="57"/>
      <c r="K246" s="57"/>
      <c r="L246" s="4"/>
      <c r="M246" s="35"/>
    </row>
    <row r="247" spans="1:13" ht="15.9" customHeight="1" x14ac:dyDescent="0.3">
      <c r="A247" s="36">
        <v>244</v>
      </c>
      <c r="B247" s="64" t="str">
        <f>IF(Tabla1[[#This Row],[TRABAJADOR]]="", "", VLOOKUP(Tabla1[[#This Row],[TRABAJADOR]], 'Colaborador ID'!B:C, 2, FALSE))</f>
        <v>E1219</v>
      </c>
      <c r="C247" s="63" t="s">
        <v>472</v>
      </c>
      <c r="D247" s="64" t="s">
        <v>473</v>
      </c>
      <c r="E247" s="64"/>
      <c r="F247" s="57" t="e" vm="1">
        <v>#VALUE!</v>
      </c>
      <c r="G247" s="58"/>
      <c r="H247" s="57" t="e" vm="2">
        <v>#VALUE!</v>
      </c>
      <c r="I247" s="64"/>
      <c r="J247" s="57"/>
      <c r="K247" s="57"/>
      <c r="L247" s="4"/>
      <c r="M247" s="35"/>
    </row>
    <row r="248" spans="1:13" ht="15.9" customHeight="1" x14ac:dyDescent="0.3">
      <c r="A248" s="36">
        <v>245</v>
      </c>
      <c r="B248" s="64" t="e">
        <f>IF(Tabla1[[#This Row],[TRABAJADOR]]="", "", VLOOKUP(Tabla1[[#This Row],[TRABAJADOR]], 'Colaborador ID'!B:C, 2, FALSE))</f>
        <v>#N/A</v>
      </c>
      <c r="C248" s="63" t="s">
        <v>474</v>
      </c>
      <c r="D248" s="64" t="s">
        <v>475</v>
      </c>
      <c r="E248" s="64"/>
      <c r="F248" s="57" t="e" vm="1">
        <v>#VALUE!</v>
      </c>
      <c r="G248" s="58"/>
      <c r="H248" s="57" t="e" vm="2">
        <v>#VALUE!</v>
      </c>
      <c r="I248" s="64"/>
      <c r="J248" s="57"/>
      <c r="K248" s="57"/>
      <c r="L248" s="4"/>
      <c r="M248" s="35"/>
    </row>
    <row r="249" spans="1:13" ht="15.9" customHeight="1" x14ac:dyDescent="0.3">
      <c r="A249" s="36">
        <v>246</v>
      </c>
      <c r="B249" s="64" t="str">
        <f>IF(Tabla1[[#This Row],[TRABAJADOR]]="", "", VLOOKUP(Tabla1[[#This Row],[TRABAJADOR]], 'Colaborador ID'!B:C, 2, FALSE))</f>
        <v>E0096</v>
      </c>
      <c r="C249" s="63" t="s">
        <v>476</v>
      </c>
      <c r="D249" s="64" t="s">
        <v>477</v>
      </c>
      <c r="E249" s="64"/>
      <c r="F249" s="57" t="e" vm="1">
        <v>#VALUE!</v>
      </c>
      <c r="G249" s="58"/>
      <c r="H249" s="57" t="e" vm="2">
        <v>#VALUE!</v>
      </c>
      <c r="I249" s="64"/>
      <c r="J249" s="57"/>
      <c r="K249" s="57"/>
      <c r="L249" s="4"/>
      <c r="M249" s="35"/>
    </row>
    <row r="250" spans="1:13" ht="15.9" customHeight="1" x14ac:dyDescent="0.3">
      <c r="A250" s="36">
        <v>247</v>
      </c>
      <c r="B250" s="64" t="str">
        <f>IF(Tabla1[[#This Row],[TRABAJADOR]]="", "", VLOOKUP(Tabla1[[#This Row],[TRABAJADOR]], 'Colaborador ID'!B:C, 2, FALSE))</f>
        <v>E0506</v>
      </c>
      <c r="C250" s="63" t="s">
        <v>478</v>
      </c>
      <c r="D250" s="64" t="s">
        <v>479</v>
      </c>
      <c r="E250" s="64"/>
      <c r="F250" s="49" t="e" vm="1">
        <v>#VALUE!</v>
      </c>
      <c r="G250" s="58"/>
      <c r="H250" s="57" t="e" vm="2">
        <v>#VALUE!</v>
      </c>
      <c r="I250" s="64"/>
      <c r="J250" s="57"/>
      <c r="K250" s="57"/>
      <c r="L250" s="4"/>
      <c r="M250" s="35"/>
    </row>
    <row r="251" spans="1:13" ht="15.9" customHeight="1" x14ac:dyDescent="0.3">
      <c r="A251" s="36">
        <v>248</v>
      </c>
      <c r="B251" s="64" t="str">
        <f>IF(Tabla1[[#This Row],[TRABAJADOR]]="", "", VLOOKUP(Tabla1[[#This Row],[TRABAJADOR]], 'Colaborador ID'!B:C, 2, FALSE))</f>
        <v>E0256</v>
      </c>
      <c r="C251" s="63" t="s">
        <v>480</v>
      </c>
      <c r="D251" s="64" t="s">
        <v>481</v>
      </c>
      <c r="E251" s="64"/>
      <c r="F251" s="49" t="e" vm="1">
        <v>#VALUE!</v>
      </c>
      <c r="G251" s="58"/>
      <c r="H251" s="57" t="e" vm="2">
        <v>#VALUE!</v>
      </c>
      <c r="I251" s="64"/>
      <c r="J251" s="57"/>
      <c r="K251" s="57"/>
      <c r="L251" s="4"/>
      <c r="M251" s="35"/>
    </row>
    <row r="252" spans="1:13" ht="15.9" customHeight="1" x14ac:dyDescent="0.35">
      <c r="A252" s="36">
        <v>249</v>
      </c>
      <c r="B252" s="64" t="str">
        <f>IF(Tabla1[[#This Row],[TRABAJADOR]]="", "", VLOOKUP(Tabla1[[#This Row],[TRABAJADOR]], 'Colaborador ID'!B:C, 2, FALSE))</f>
        <v>E1312</v>
      </c>
      <c r="C252" s="63" t="s">
        <v>482</v>
      </c>
      <c r="D252" s="64" t="s">
        <v>483</v>
      </c>
      <c r="E252" s="64" t="s">
        <v>45</v>
      </c>
      <c r="F252" s="41" t="e" vm="1">
        <v>#VALUE!</v>
      </c>
      <c r="G252" s="58"/>
      <c r="H252" s="57" t="e" vm="2">
        <v>#VALUE!</v>
      </c>
      <c r="I252" s="64"/>
      <c r="J252" s="57"/>
      <c r="K252" s="57"/>
      <c r="L252" s="4"/>
      <c r="M252" s="35"/>
    </row>
    <row r="253" spans="1:13" ht="15.9" customHeight="1" x14ac:dyDescent="0.3">
      <c r="A253" s="36">
        <v>250</v>
      </c>
      <c r="B253" s="64" t="str">
        <f>IF(Tabla1[[#This Row],[TRABAJADOR]]="", "", VLOOKUP(Tabla1[[#This Row],[TRABAJADOR]], 'Colaborador ID'!B:C, 2, FALSE))</f>
        <v>E0303</v>
      </c>
      <c r="C253" s="63" t="s">
        <v>484</v>
      </c>
      <c r="D253" s="64" t="s">
        <v>485</v>
      </c>
      <c r="E253" s="64" t="s">
        <v>271</v>
      </c>
      <c r="F253" s="49" t="e" vm="1">
        <v>#VALUE!</v>
      </c>
      <c r="G253" s="58">
        <v>45904</v>
      </c>
      <c r="H253" s="49" t="e" vm="2">
        <v>#VALUE!</v>
      </c>
      <c r="I253" s="64" t="s">
        <v>22</v>
      </c>
      <c r="J253" s="57"/>
      <c r="K253" s="57"/>
      <c r="L253" s="4"/>
      <c r="M253" s="35"/>
    </row>
    <row r="254" spans="1:13" ht="15.9" customHeight="1" x14ac:dyDescent="0.3">
      <c r="A254" s="36">
        <v>251</v>
      </c>
      <c r="B254" s="64" t="str">
        <f>IF(Tabla1[[#This Row],[TRABAJADOR]]="", "", VLOOKUP(Tabla1[[#This Row],[TRABAJADOR]], 'Colaborador ID'!B:C, 2, FALSE))</f>
        <v>E1408</v>
      </c>
      <c r="C254" s="63" t="s">
        <v>486</v>
      </c>
      <c r="D254" s="64" t="s">
        <v>487</v>
      </c>
      <c r="E254" s="64" t="s">
        <v>40</v>
      </c>
      <c r="F254" s="38" t="e" vm="1">
        <v>#VALUE!</v>
      </c>
      <c r="G254" s="58">
        <v>45854</v>
      </c>
      <c r="H254" s="40" t="e" vm="2">
        <v>#VALUE!</v>
      </c>
      <c r="I254" s="64"/>
      <c r="J254" s="57"/>
      <c r="K254" s="57"/>
      <c r="L254" s="4"/>
      <c r="M254" s="35"/>
    </row>
    <row r="255" spans="1:13" ht="15.9" customHeight="1" x14ac:dyDescent="0.3">
      <c r="A255" s="36">
        <v>252</v>
      </c>
      <c r="B255" s="57" t="str">
        <f>IF(Tabla1[[#This Row],[TRABAJADOR]]="", "", VLOOKUP(Tabla1[[#This Row],[TRABAJADOR]], 'Colaborador ID'!B:C, 2, FALSE))</f>
        <v>E1998</v>
      </c>
      <c r="C255" s="56" t="s">
        <v>488</v>
      </c>
      <c r="D255" s="57" t="s">
        <v>489</v>
      </c>
      <c r="E255" s="64" t="s">
        <v>13</v>
      </c>
      <c r="F255" s="51" t="e" vm="1">
        <v>#VALUE!</v>
      </c>
      <c r="G255" s="58">
        <v>45961</v>
      </c>
      <c r="H255" s="57" t="e" vm="2">
        <v>#VALUE!</v>
      </c>
      <c r="I255" s="64" t="s">
        <v>22</v>
      </c>
      <c r="J255" s="57"/>
      <c r="K255" s="57"/>
      <c r="L255" s="4"/>
      <c r="M255" s="35"/>
    </row>
    <row r="256" spans="1:13" ht="15.9" customHeight="1" x14ac:dyDescent="0.3">
      <c r="A256" s="36">
        <v>253</v>
      </c>
      <c r="B256" s="57" t="str">
        <f>IF(Tabla1[[#This Row],[TRABAJADOR]]="", "", VLOOKUP(Tabla1[[#This Row],[TRABAJADOR]], 'Colaborador ID'!B:C, 2, FALSE))</f>
        <v>E1824</v>
      </c>
      <c r="C256" s="63" t="s">
        <v>490</v>
      </c>
      <c r="D256" s="57" t="s">
        <v>491</v>
      </c>
      <c r="E256" s="64" t="s">
        <v>19</v>
      </c>
      <c r="F256" s="49" t="e" vm="1">
        <v>#VALUE!</v>
      </c>
      <c r="G256" s="58">
        <v>45931</v>
      </c>
      <c r="H256" s="57" t="e" vm="2">
        <v>#VALUE!</v>
      </c>
      <c r="I256" s="57"/>
      <c r="J256" s="57"/>
      <c r="K256" s="57"/>
      <c r="L256" s="4"/>
      <c r="M256" s="35"/>
    </row>
    <row r="257" spans="1:13" ht="15.9" customHeight="1" x14ac:dyDescent="0.3">
      <c r="A257" s="36">
        <v>254</v>
      </c>
      <c r="B257" s="57" t="str">
        <f>IF(Tabla1[[#This Row],[TRABAJADOR]]="", "", VLOOKUP(Tabla1[[#This Row],[TRABAJADOR]], 'Colaborador ID'!B:C, 2, FALSE))</f>
        <v>E1853</v>
      </c>
      <c r="C257" s="56" t="s">
        <v>492</v>
      </c>
      <c r="D257" s="57" t="s">
        <v>493</v>
      </c>
      <c r="E257" s="64"/>
      <c r="F257" s="49" t="e" vm="1">
        <v>#VALUE!</v>
      </c>
      <c r="G257" s="58">
        <v>45966</v>
      </c>
      <c r="H257" s="57" t="e" vm="2">
        <v>#VALUE!</v>
      </c>
      <c r="I257" s="57"/>
      <c r="J257" s="57"/>
      <c r="K257" s="57"/>
      <c r="L257" s="4"/>
      <c r="M257" s="35"/>
    </row>
    <row r="258" spans="1:13" ht="15.9" customHeight="1" x14ac:dyDescent="0.3">
      <c r="A258" s="36">
        <v>255</v>
      </c>
      <c r="B258" s="64" t="str">
        <f>IF(Tabla1[[#This Row],[TRABAJADOR]]="", "", VLOOKUP(Tabla1[[#This Row],[TRABAJADOR]], 'Colaborador ID'!B:C, 2, FALSE))</f>
        <v>E1471</v>
      </c>
      <c r="C258" s="63" t="s">
        <v>494</v>
      </c>
      <c r="D258" s="64" t="s">
        <v>495</v>
      </c>
      <c r="E258" s="64" t="s">
        <v>16</v>
      </c>
      <c r="F258" s="57" t="e" vm="1">
        <v>#VALUE!</v>
      </c>
      <c r="G258" s="58"/>
      <c r="H258" s="57" t="e" vm="2">
        <v>#VALUE!</v>
      </c>
      <c r="I258" s="64" t="s">
        <v>22</v>
      </c>
      <c r="J258" s="57"/>
      <c r="K258" s="57"/>
      <c r="L258" s="4"/>
      <c r="M258" s="35"/>
    </row>
    <row r="259" spans="1:13" ht="15.9" customHeight="1" x14ac:dyDescent="0.3">
      <c r="A259" s="36">
        <v>256</v>
      </c>
      <c r="B259" s="64" t="str">
        <f>IF(Tabla1[[#This Row],[TRABAJADOR]]="", "", VLOOKUP(Tabla1[[#This Row],[TRABAJADOR]], 'Colaborador ID'!B:C, 2, FALSE))</f>
        <v>E0534</v>
      </c>
      <c r="C259" s="63" t="s">
        <v>496</v>
      </c>
      <c r="D259" s="64" t="s">
        <v>497</v>
      </c>
      <c r="E259" s="64"/>
      <c r="F259" s="6" t="e" vm="1">
        <v>#VALUE!</v>
      </c>
      <c r="G259" s="58"/>
      <c r="H259" s="57" t="e" vm="2">
        <v>#VALUE!</v>
      </c>
      <c r="I259" s="64"/>
      <c r="J259" s="57"/>
      <c r="K259" s="57"/>
      <c r="L259" s="4"/>
      <c r="M259" s="35"/>
    </row>
    <row r="260" spans="1:13" ht="15.9" customHeight="1" x14ac:dyDescent="0.3">
      <c r="A260" s="36">
        <v>257</v>
      </c>
      <c r="B260" s="64" t="str">
        <f>IF(Tabla1[[#This Row],[TRABAJADOR]]="", "", VLOOKUP(Tabla1[[#This Row],[TRABAJADOR]], 'Colaborador ID'!B:C, 2, FALSE))</f>
        <v>E0361</v>
      </c>
      <c r="C260" s="63" t="s">
        <v>498</v>
      </c>
      <c r="D260" s="64" t="s">
        <v>499</v>
      </c>
      <c r="E260" s="64" t="s">
        <v>16</v>
      </c>
      <c r="F260" s="49" t="e" vm="1">
        <v>#VALUE!</v>
      </c>
      <c r="G260" s="58"/>
      <c r="H260" s="57" t="e" vm="2">
        <v>#VALUE!</v>
      </c>
      <c r="I260" s="64"/>
      <c r="J260" s="57"/>
      <c r="K260" s="57"/>
      <c r="L260" s="4"/>
      <c r="M260" s="35"/>
    </row>
    <row r="261" spans="1:13" ht="15.9" customHeight="1" x14ac:dyDescent="0.3">
      <c r="A261" s="36">
        <v>258</v>
      </c>
      <c r="B261" s="64" t="str">
        <f>IF(Tabla1[[#This Row],[TRABAJADOR]]="", "", VLOOKUP(Tabla1[[#This Row],[TRABAJADOR]], 'Colaborador ID'!B:C, 2, FALSE))</f>
        <v>E1602</v>
      </c>
      <c r="C261" s="63" t="s">
        <v>500</v>
      </c>
      <c r="D261" s="64" t="s">
        <v>501</v>
      </c>
      <c r="E261" s="64" t="s">
        <v>19</v>
      </c>
      <c r="F261" s="49" t="e" vm="1">
        <v>#VALUE!</v>
      </c>
      <c r="G261" s="58"/>
      <c r="H261" s="57" t="e" vm="2">
        <v>#VALUE!</v>
      </c>
      <c r="I261" s="64" t="s">
        <v>22</v>
      </c>
      <c r="J261" s="57"/>
      <c r="K261" s="57"/>
      <c r="L261" s="4"/>
      <c r="M261" s="35"/>
    </row>
    <row r="262" spans="1:13" ht="15.9" customHeight="1" x14ac:dyDescent="0.3">
      <c r="A262" s="36">
        <v>259</v>
      </c>
      <c r="B262" s="64" t="str">
        <f>IF(Tabla1[[#This Row],[TRABAJADOR]]="", "", VLOOKUP(Tabla1[[#This Row],[TRABAJADOR]], 'Colaborador ID'!B:C, 2, FALSE))</f>
        <v>E1663</v>
      </c>
      <c r="C262" s="63" t="s">
        <v>502</v>
      </c>
      <c r="D262" s="64" t="s">
        <v>503</v>
      </c>
      <c r="E262" s="64" t="s">
        <v>504</v>
      </c>
      <c r="F262" s="49" t="e" vm="1">
        <v>#VALUE!</v>
      </c>
      <c r="G262" s="58">
        <v>45880</v>
      </c>
      <c r="H262" s="57" t="e" vm="2">
        <v>#VALUE!</v>
      </c>
      <c r="I262" s="64"/>
      <c r="J262" s="57"/>
      <c r="K262" s="57"/>
      <c r="L262" s="4"/>
      <c r="M262" s="35"/>
    </row>
    <row r="263" spans="1:13" ht="15.9" customHeight="1" x14ac:dyDescent="0.3">
      <c r="A263" s="36">
        <v>260</v>
      </c>
      <c r="B263" s="64" t="str">
        <f>IF(Tabla1[[#This Row],[TRABAJADOR]]="", "", VLOOKUP(Tabla1[[#This Row],[TRABAJADOR]], 'Colaborador ID'!B:C, 2, FALSE))</f>
        <v>E1472</v>
      </c>
      <c r="C263" s="63" t="s">
        <v>505</v>
      </c>
      <c r="D263" s="64" t="s">
        <v>506</v>
      </c>
      <c r="E263" s="64"/>
      <c r="F263" s="49" t="e" vm="1">
        <v>#VALUE!</v>
      </c>
      <c r="G263" s="58"/>
      <c r="H263" s="57" t="e" vm="2">
        <v>#VALUE!</v>
      </c>
      <c r="I263" s="64" t="s">
        <v>22</v>
      </c>
      <c r="J263" s="57"/>
      <c r="K263" s="57"/>
      <c r="L263" s="4"/>
      <c r="M263" s="35"/>
    </row>
    <row r="264" spans="1:13" ht="15.9" customHeight="1" x14ac:dyDescent="0.3">
      <c r="A264" s="36">
        <v>261</v>
      </c>
      <c r="B264" s="57" t="str">
        <f>IF(Tabla1[[#This Row],[TRABAJADOR]]="", "", VLOOKUP(Tabla1[[#This Row],[TRABAJADOR]], 'Colaborador ID'!B:C, 2, FALSE))</f>
        <v>E1764</v>
      </c>
      <c r="C264" s="56" t="s">
        <v>507</v>
      </c>
      <c r="D264" s="57" t="s">
        <v>508</v>
      </c>
      <c r="E264" s="64" t="s">
        <v>16</v>
      </c>
      <c r="F264" s="49" t="e" vm="1">
        <v>#VALUE!</v>
      </c>
      <c r="G264" s="58">
        <v>45915</v>
      </c>
      <c r="H264" s="57" t="e" vm="2">
        <v>#VALUE!</v>
      </c>
      <c r="I264" s="57"/>
      <c r="J264" s="57"/>
      <c r="K264" s="57"/>
      <c r="L264" s="4"/>
      <c r="M264" s="35"/>
    </row>
    <row r="265" spans="1:13" ht="15.9" customHeight="1" x14ac:dyDescent="0.3">
      <c r="A265" s="36">
        <v>262</v>
      </c>
      <c r="B265" s="64" t="str">
        <f>IF(Tabla1[[#This Row],[TRABAJADOR]]="", "", VLOOKUP(Tabla1[[#This Row],[TRABAJADOR]], 'Colaborador ID'!B:C, 2, FALSE))</f>
        <v>E0592</v>
      </c>
      <c r="C265" s="63" t="s">
        <v>509</v>
      </c>
      <c r="D265" s="64" t="s">
        <v>510</v>
      </c>
      <c r="E265" s="64" t="s">
        <v>13</v>
      </c>
      <c r="F265" s="38" t="e" vm="1">
        <v>#VALUE!</v>
      </c>
      <c r="G265" s="58">
        <v>45758</v>
      </c>
      <c r="H265" s="57" t="e" vm="2">
        <v>#VALUE!</v>
      </c>
      <c r="I265" s="64"/>
      <c r="J265" s="57"/>
      <c r="K265" s="57"/>
      <c r="L265" s="4"/>
      <c r="M265" s="35"/>
    </row>
    <row r="266" spans="1:13" ht="15.9" customHeight="1" x14ac:dyDescent="0.3">
      <c r="A266" s="36">
        <v>263</v>
      </c>
      <c r="B266" s="64" t="str">
        <f>IF(Tabla1[[#This Row],[TRABAJADOR]]="", "", VLOOKUP(Tabla1[[#This Row],[TRABAJADOR]], 'Colaborador ID'!B:C, 2, FALSE))</f>
        <v>E1473</v>
      </c>
      <c r="C266" s="63" t="s">
        <v>511</v>
      </c>
      <c r="D266" s="64" t="s">
        <v>512</v>
      </c>
      <c r="E266" s="64" t="s">
        <v>16</v>
      </c>
      <c r="F266" s="49" t="e" vm="1">
        <v>#VALUE!</v>
      </c>
      <c r="G266" s="58"/>
      <c r="H266" s="57" t="e" vm="2">
        <v>#VALUE!</v>
      </c>
      <c r="I266" s="64" t="s">
        <v>22</v>
      </c>
      <c r="J266" s="57" t="s">
        <v>513</v>
      </c>
      <c r="K266" s="57"/>
      <c r="L266" s="4"/>
      <c r="M266" s="35"/>
    </row>
    <row r="267" spans="1:13" ht="15.9" customHeight="1" x14ac:dyDescent="0.3">
      <c r="A267" s="36">
        <v>264</v>
      </c>
      <c r="B267" s="64" t="str">
        <f>IF(Tabla1[[#This Row],[TRABAJADOR]]="", "", VLOOKUP(Tabla1[[#This Row],[TRABAJADOR]], 'Colaborador ID'!B:C, 2, FALSE))</f>
        <v>E1054</v>
      </c>
      <c r="C267" s="63" t="s">
        <v>514</v>
      </c>
      <c r="D267" s="64" t="s">
        <v>515</v>
      </c>
      <c r="E267" s="64"/>
      <c r="F267" s="57" t="e" vm="1">
        <v>#VALUE!</v>
      </c>
      <c r="G267" s="58"/>
      <c r="H267" s="57" t="e" vm="2">
        <v>#VALUE!</v>
      </c>
      <c r="I267" s="64"/>
      <c r="J267" s="57"/>
      <c r="K267" s="57"/>
      <c r="L267" s="4"/>
      <c r="M267" s="35"/>
    </row>
    <row r="268" spans="1:13" ht="15.9" customHeight="1" x14ac:dyDescent="0.3">
      <c r="A268" s="36">
        <v>265</v>
      </c>
      <c r="B268" s="64" t="str">
        <f>IF(Tabla1[[#This Row],[TRABAJADOR]]="", "", VLOOKUP(Tabla1[[#This Row],[TRABAJADOR]], 'Colaborador ID'!B:C, 2, FALSE))</f>
        <v>E1474</v>
      </c>
      <c r="C268" s="63" t="s">
        <v>516</v>
      </c>
      <c r="D268" s="64" t="s">
        <v>517</v>
      </c>
      <c r="E268" s="64" t="s">
        <v>19</v>
      </c>
      <c r="F268" s="49" t="e" vm="1">
        <v>#VALUE!</v>
      </c>
      <c r="G268" s="58"/>
      <c r="H268" s="57" t="e" vm="2">
        <v>#VALUE!</v>
      </c>
      <c r="I268" s="64" t="s">
        <v>22</v>
      </c>
      <c r="J268" s="57"/>
      <c r="K268" s="57"/>
      <c r="L268" s="4"/>
      <c r="M268" s="35"/>
    </row>
    <row r="269" spans="1:13" ht="15.9" customHeight="1" x14ac:dyDescent="0.3">
      <c r="A269" s="36">
        <v>266</v>
      </c>
      <c r="B269" s="57" t="str">
        <f>IF(Tabla1[[#This Row],[TRABAJADOR]]="", "", VLOOKUP(Tabla1[[#This Row],[TRABAJADOR]], 'Colaborador ID'!B:C, 2, FALSE))</f>
        <v>E1659</v>
      </c>
      <c r="C269" s="56" t="s">
        <v>518</v>
      </c>
      <c r="D269" s="57" t="s">
        <v>519</v>
      </c>
      <c r="E269" s="64" t="s">
        <v>520</v>
      </c>
      <c r="F269" s="57" t="e" vm="1">
        <v>#VALUE!</v>
      </c>
      <c r="G269" s="58"/>
      <c r="H269" s="57" t="e" vm="2">
        <v>#VALUE!</v>
      </c>
      <c r="I269" s="57" t="s">
        <v>22</v>
      </c>
      <c r="J269" s="57"/>
      <c r="K269" s="57"/>
      <c r="L269" s="4"/>
      <c r="M269" s="35"/>
    </row>
    <row r="270" spans="1:13" ht="15.9" customHeight="1" x14ac:dyDescent="0.3">
      <c r="A270" s="36">
        <v>267</v>
      </c>
      <c r="B270" s="64" t="str">
        <f>IF(Tabla1[[#This Row],[TRABAJADOR]]="", "", VLOOKUP(Tabla1[[#This Row],[TRABAJADOR]], 'Colaborador ID'!B:C, 2, FALSE))</f>
        <v>E0403</v>
      </c>
      <c r="C270" s="63" t="s">
        <v>521</v>
      </c>
      <c r="D270" s="64" t="s">
        <v>522</v>
      </c>
      <c r="E270" s="64" t="s">
        <v>16</v>
      </c>
      <c r="F270" s="49" t="e" vm="1">
        <v>#VALUE!</v>
      </c>
      <c r="G270" s="58"/>
      <c r="H270" s="57" t="e" vm="2">
        <v>#VALUE!</v>
      </c>
      <c r="I270" s="64"/>
      <c r="J270" s="57"/>
      <c r="K270" s="57"/>
      <c r="L270" s="4"/>
      <c r="M270" s="35"/>
    </row>
    <row r="271" spans="1:13" ht="15.9" customHeight="1" x14ac:dyDescent="0.35">
      <c r="A271" s="36">
        <v>268</v>
      </c>
      <c r="B271" s="64" t="str">
        <f>IF(Tabla1[[#This Row],[TRABAJADOR]]="", "", VLOOKUP(Tabla1[[#This Row],[TRABAJADOR]], 'Colaborador ID'!B:C, 2, FALSE))</f>
        <v>E1386</v>
      </c>
      <c r="C271" s="63" t="s">
        <v>523</v>
      </c>
      <c r="D271" s="64" t="s">
        <v>524</v>
      </c>
      <c r="E271" s="64" t="s">
        <v>16</v>
      </c>
      <c r="F271" s="37" t="e" vm="1">
        <v>#VALUE!</v>
      </c>
      <c r="G271" s="58">
        <v>45728</v>
      </c>
      <c r="H271" s="57" t="e" vm="2">
        <v>#VALUE!</v>
      </c>
      <c r="I271" s="64"/>
      <c r="J271" s="57"/>
      <c r="K271" s="57"/>
      <c r="L271" s="4"/>
      <c r="M271" s="35"/>
    </row>
    <row r="272" spans="1:13" ht="15.9" customHeight="1" x14ac:dyDescent="0.3">
      <c r="A272" s="36">
        <v>269</v>
      </c>
      <c r="B272" s="64" t="str">
        <f>IF(Tabla1[[#This Row],[TRABAJADOR]]="", "", VLOOKUP(Tabla1[[#This Row],[TRABAJADOR]], 'Colaborador ID'!B:C, 2, FALSE))</f>
        <v>E0083</v>
      </c>
      <c r="C272" s="63" t="s">
        <v>525</v>
      </c>
      <c r="D272" s="64" t="s">
        <v>526</v>
      </c>
      <c r="E272" s="64" t="s">
        <v>16</v>
      </c>
      <c r="F272" s="32" t="e" vm="1">
        <v>#VALUE!</v>
      </c>
      <c r="G272" s="58">
        <v>45856</v>
      </c>
      <c r="H272" s="40" t="e" vm="2">
        <v>#VALUE!</v>
      </c>
      <c r="I272" s="64"/>
      <c r="J272" s="57"/>
      <c r="K272" s="57"/>
      <c r="L272" s="4"/>
      <c r="M272" s="35"/>
    </row>
    <row r="273" spans="1:13" ht="15.9" customHeight="1" x14ac:dyDescent="0.3">
      <c r="A273" s="36">
        <v>270</v>
      </c>
      <c r="B273" s="64" t="str">
        <f>IF(Tabla1[[#This Row],[TRABAJADOR]]="", "", VLOOKUP(Tabla1[[#This Row],[TRABAJADOR]], 'Colaborador ID'!B:C, 2, FALSE))</f>
        <v>E0214</v>
      </c>
      <c r="C273" s="63" t="s">
        <v>527</v>
      </c>
      <c r="D273" s="64" t="s">
        <v>528</v>
      </c>
      <c r="E273" s="64" t="s">
        <v>13</v>
      </c>
      <c r="F273" s="38" t="e" vm="1">
        <v>#VALUE!</v>
      </c>
      <c r="G273" s="58">
        <v>45744</v>
      </c>
      <c r="H273" s="57" t="e" vm="2">
        <v>#VALUE!</v>
      </c>
      <c r="I273" s="64"/>
      <c r="J273" s="57"/>
      <c r="K273" s="57"/>
      <c r="L273" s="4"/>
      <c r="M273" s="35"/>
    </row>
    <row r="274" spans="1:13" ht="15.9" customHeight="1" x14ac:dyDescent="0.3">
      <c r="A274" s="36">
        <v>271</v>
      </c>
      <c r="B274" s="57" t="str">
        <f>IF(Tabla1[[#This Row],[TRABAJADOR]]="", "", VLOOKUP(Tabla1[[#This Row],[TRABAJADOR]], 'Colaborador ID'!B:C, 2, FALSE))</f>
        <v>E1859</v>
      </c>
      <c r="C274" s="56" t="s">
        <v>529</v>
      </c>
      <c r="D274" s="57" t="s">
        <v>530</v>
      </c>
      <c r="E274" s="64" t="s">
        <v>19</v>
      </c>
      <c r="F274" s="49" t="e" vm="1">
        <v>#VALUE!</v>
      </c>
      <c r="G274" s="58">
        <v>45959</v>
      </c>
      <c r="H274" s="57" t="e" vm="2">
        <v>#VALUE!</v>
      </c>
      <c r="I274" s="57" t="s">
        <v>22</v>
      </c>
      <c r="J274" s="57"/>
      <c r="K274" s="57"/>
      <c r="L274" s="4"/>
      <c r="M274" s="35"/>
    </row>
    <row r="275" spans="1:13" ht="15.9" customHeight="1" x14ac:dyDescent="0.3">
      <c r="A275" s="36">
        <v>272</v>
      </c>
      <c r="B275" s="57" t="str">
        <f>IF(Tabla1[[#This Row],[TRABAJADOR]]="", "", VLOOKUP(Tabla1[[#This Row],[TRABAJADOR]], 'Colaborador ID'!B:C, 2, FALSE))</f>
        <v>E1730</v>
      </c>
      <c r="C275" s="56" t="s">
        <v>531</v>
      </c>
      <c r="D275" s="57" t="s">
        <v>532</v>
      </c>
      <c r="E275" s="57" t="s">
        <v>16</v>
      </c>
      <c r="F275" s="49" t="e" vm="1">
        <v>#VALUE!</v>
      </c>
      <c r="G275" s="58">
        <v>45891</v>
      </c>
      <c r="H275" s="57" t="e" vm="2">
        <v>#VALUE!</v>
      </c>
      <c r="I275" s="57"/>
      <c r="J275" s="57"/>
      <c r="K275" s="57"/>
      <c r="L275" s="4"/>
      <c r="M275" s="35"/>
    </row>
    <row r="276" spans="1:13" ht="15.9" customHeight="1" x14ac:dyDescent="0.3">
      <c r="A276" s="36">
        <v>273</v>
      </c>
      <c r="B276" s="57" t="str">
        <f>IF(Tabla1[[#This Row],[TRABAJADOR]]="", "", VLOOKUP(Tabla1[[#This Row],[TRABAJADOR]], 'Colaborador ID'!B:C, 2, FALSE))</f>
        <v>E1760</v>
      </c>
      <c r="C276" s="56" t="s">
        <v>533</v>
      </c>
      <c r="D276" s="57" t="s">
        <v>534</v>
      </c>
      <c r="E276" s="64"/>
      <c r="F276" s="49" t="e" vm="1">
        <v>#VALUE!</v>
      </c>
      <c r="G276" s="58">
        <v>45904</v>
      </c>
      <c r="H276" s="57" t="e" vm="2">
        <v>#VALUE!</v>
      </c>
      <c r="I276" s="57"/>
      <c r="J276" s="57"/>
      <c r="K276" s="57"/>
      <c r="L276" s="4"/>
      <c r="M276" s="35"/>
    </row>
    <row r="277" spans="1:13" ht="15.9" customHeight="1" x14ac:dyDescent="0.3">
      <c r="A277" s="36">
        <v>274</v>
      </c>
      <c r="B277" s="64" t="str">
        <f>IF(Tabla1[[#This Row],[TRABAJADOR]]="", "", VLOOKUP(Tabla1[[#This Row],[TRABAJADOR]], 'Colaborador ID'!B:C, 2, FALSE))</f>
        <v>E0884</v>
      </c>
      <c r="C277" s="63" t="s">
        <v>535</v>
      </c>
      <c r="D277" s="64" t="s">
        <v>536</v>
      </c>
      <c r="E277" s="64" t="s">
        <v>13</v>
      </c>
      <c r="F277" s="51" t="e" vm="1">
        <v>#VALUE!</v>
      </c>
      <c r="G277" s="58"/>
      <c r="H277" s="57" t="e" vm="2">
        <v>#VALUE!</v>
      </c>
      <c r="I277" s="64" t="s">
        <v>22</v>
      </c>
      <c r="J277" s="57"/>
      <c r="K277" s="57"/>
      <c r="L277" s="4"/>
      <c r="M277" s="35"/>
    </row>
    <row r="278" spans="1:13" ht="15.9" customHeight="1" x14ac:dyDescent="0.3">
      <c r="A278" s="36">
        <v>275</v>
      </c>
      <c r="B278" s="64" t="str">
        <f>IF(Tabla1[[#This Row],[TRABAJADOR]]="", "", VLOOKUP(Tabla1[[#This Row],[TRABAJADOR]], 'Colaborador ID'!B:C, 2, FALSE))</f>
        <v>E1105</v>
      </c>
      <c r="C278" s="63" t="s">
        <v>537</v>
      </c>
      <c r="D278" s="64" t="s">
        <v>538</v>
      </c>
      <c r="E278" s="64" t="s">
        <v>33</v>
      </c>
      <c r="F278" s="49" t="e" vm="1">
        <v>#VALUE!</v>
      </c>
      <c r="G278" s="58"/>
      <c r="H278" s="57" t="e" vm="2">
        <v>#VALUE!</v>
      </c>
      <c r="I278" s="64"/>
      <c r="J278" s="57"/>
      <c r="K278" s="57"/>
      <c r="L278" s="4"/>
      <c r="M278" s="35"/>
    </row>
    <row r="279" spans="1:13" ht="15.9" customHeight="1" x14ac:dyDescent="0.3">
      <c r="A279" s="36">
        <v>276</v>
      </c>
      <c r="B279" s="64" t="str">
        <f>IF(Tabla1[[#This Row],[TRABAJADOR]]="", "", VLOOKUP(Tabla1[[#This Row],[TRABAJADOR]], 'Colaborador ID'!B:C, 2, FALSE))</f>
        <v>E0297</v>
      </c>
      <c r="C279" s="63" t="s">
        <v>539</v>
      </c>
      <c r="D279" s="64" t="s">
        <v>540</v>
      </c>
      <c r="E279" s="64" t="s">
        <v>13</v>
      </c>
      <c r="F279" s="51" t="e" vm="1">
        <v>#VALUE!</v>
      </c>
      <c r="G279" s="58"/>
      <c r="H279" s="57" t="e" vm="2">
        <v>#VALUE!</v>
      </c>
      <c r="I279" s="64"/>
      <c r="J279" s="57"/>
      <c r="K279" s="57"/>
      <c r="L279" s="4"/>
      <c r="M279" s="35"/>
    </row>
    <row r="280" spans="1:13" ht="15.9" customHeight="1" x14ac:dyDescent="0.3">
      <c r="A280" s="36">
        <v>277</v>
      </c>
      <c r="B280" s="64" t="str">
        <f>IF(Tabla1[[#This Row],[TRABAJADOR]]="", "", VLOOKUP(Tabla1[[#This Row],[TRABAJADOR]], 'Colaborador ID'!B:C, 2, FALSE))</f>
        <v>E0482</v>
      </c>
      <c r="C280" s="63" t="s">
        <v>541</v>
      </c>
      <c r="D280" s="64" t="s">
        <v>542</v>
      </c>
      <c r="E280" s="64" t="s">
        <v>16</v>
      </c>
      <c r="F280" s="38" t="e" vm="1">
        <v>#VALUE!</v>
      </c>
      <c r="G280" s="58">
        <v>45734</v>
      </c>
      <c r="H280" s="57" t="e" vm="2">
        <v>#VALUE!</v>
      </c>
      <c r="I280" s="64"/>
      <c r="J280" s="57"/>
      <c r="K280" s="57"/>
      <c r="L280" s="4"/>
      <c r="M280" s="35"/>
    </row>
    <row r="281" spans="1:13" ht="15.9" customHeight="1" x14ac:dyDescent="0.3">
      <c r="A281" s="36">
        <v>278</v>
      </c>
      <c r="B281" s="64" t="str">
        <f>IF(Tabla1[[#This Row],[TRABAJADOR]]="", "", VLOOKUP(Tabla1[[#This Row],[TRABAJADOR]], 'Colaborador ID'!B:C, 2, FALSE))</f>
        <v>E1255</v>
      </c>
      <c r="C281" s="63" t="s">
        <v>543</v>
      </c>
      <c r="D281" s="64" t="s">
        <v>544</v>
      </c>
      <c r="E281" s="64" t="s">
        <v>35</v>
      </c>
      <c r="F281" s="38" t="e" vm="1">
        <v>#VALUE!</v>
      </c>
      <c r="G281" s="58">
        <v>45761</v>
      </c>
      <c r="H281" s="57" t="e" vm="2">
        <v>#VALUE!</v>
      </c>
      <c r="I281" s="64"/>
      <c r="J281" s="57"/>
      <c r="K281" s="57"/>
      <c r="L281" s="4"/>
      <c r="M281" s="35"/>
    </row>
    <row r="282" spans="1:13" ht="15.9" customHeight="1" x14ac:dyDescent="0.3">
      <c r="A282" s="36">
        <v>279</v>
      </c>
      <c r="B282" s="57" t="str">
        <f>IF(Tabla1[[#This Row],[TRABAJADOR]]="", "", VLOOKUP(Tabla1[[#This Row],[TRABAJADOR]], 'Colaborador ID'!B:C, 2, FALSE))</f>
        <v>E2021</v>
      </c>
      <c r="C282" s="56" t="s">
        <v>545</v>
      </c>
      <c r="D282" s="57" t="s">
        <v>546</v>
      </c>
      <c r="E282" s="64" t="s">
        <v>16</v>
      </c>
      <c r="F282" s="51" t="e" vm="1">
        <v>#VALUE!</v>
      </c>
      <c r="G282" s="58">
        <v>45994</v>
      </c>
      <c r="H282" s="57" t="e" vm="2">
        <v>#VALUE!</v>
      </c>
      <c r="I282" s="57"/>
      <c r="J282" s="57"/>
      <c r="K282" s="57"/>
      <c r="L282" s="4"/>
      <c r="M282" s="35"/>
    </row>
    <row r="283" spans="1:13" ht="15.9" customHeight="1" x14ac:dyDescent="0.3">
      <c r="A283" s="36">
        <v>280</v>
      </c>
      <c r="B283" s="64" t="str">
        <f>IF(Tabla1[[#This Row],[TRABAJADOR]]="", "", VLOOKUP(Tabla1[[#This Row],[TRABAJADOR]], 'Colaborador ID'!B:C, 2, FALSE))</f>
        <v>E0283</v>
      </c>
      <c r="C283" s="63" t="s">
        <v>547</v>
      </c>
      <c r="D283" s="64" t="s">
        <v>548</v>
      </c>
      <c r="E283" s="64" t="s">
        <v>16</v>
      </c>
      <c r="F283" s="49" t="e" vm="1">
        <v>#VALUE!</v>
      </c>
      <c r="G283" s="58"/>
      <c r="H283" s="57" t="e" vm="2">
        <v>#VALUE!</v>
      </c>
      <c r="I283" s="64"/>
      <c r="J283" s="57"/>
      <c r="K283" s="57"/>
      <c r="L283" s="4"/>
      <c r="M283" s="35"/>
    </row>
    <row r="284" spans="1:13" ht="15.9" customHeight="1" x14ac:dyDescent="0.35">
      <c r="A284" s="36">
        <v>281</v>
      </c>
      <c r="B284" s="64" t="str">
        <f>IF(Tabla1[[#This Row],[TRABAJADOR]]="", "", VLOOKUP(Tabla1[[#This Row],[TRABAJADOR]], 'Colaborador ID'!B:C, 2, FALSE))</f>
        <v>E0477</v>
      </c>
      <c r="C284" s="63" t="s">
        <v>549</v>
      </c>
      <c r="D284" s="64" t="s">
        <v>550</v>
      </c>
      <c r="E284" s="64" t="s">
        <v>16</v>
      </c>
      <c r="F284" s="41" t="e" vm="1">
        <v>#VALUE!</v>
      </c>
      <c r="G284" s="58"/>
      <c r="H284" s="57" t="e" vm="2">
        <v>#VALUE!</v>
      </c>
      <c r="I284" s="64"/>
      <c r="J284" s="57"/>
      <c r="K284" s="57"/>
      <c r="L284" s="4"/>
      <c r="M284" s="35"/>
    </row>
    <row r="285" spans="1:13" ht="15.9" customHeight="1" x14ac:dyDescent="0.3">
      <c r="A285" s="36">
        <v>282</v>
      </c>
      <c r="B285" s="64" t="str">
        <f>IF(Tabla1[[#This Row],[TRABAJADOR]]="", "", VLOOKUP(Tabla1[[#This Row],[TRABAJADOR]], 'Colaborador ID'!B:C, 2, FALSE))</f>
        <v>E1368</v>
      </c>
      <c r="C285" s="63" t="s">
        <v>551</v>
      </c>
      <c r="D285" s="64" t="s">
        <v>552</v>
      </c>
      <c r="E285" s="64"/>
      <c r="F285" s="57" t="e" vm="1">
        <v>#VALUE!</v>
      </c>
      <c r="G285" s="58"/>
      <c r="H285" s="57" t="e" vm="2">
        <v>#VALUE!</v>
      </c>
      <c r="I285" s="64"/>
      <c r="J285" s="57"/>
      <c r="K285" s="57"/>
      <c r="L285" s="4"/>
      <c r="M285" s="35"/>
    </row>
    <row r="286" spans="1:13" ht="15.9" customHeight="1" x14ac:dyDescent="0.3">
      <c r="A286" s="36">
        <v>283</v>
      </c>
      <c r="B286" s="64" t="str">
        <f>IF(Tabla1[[#This Row],[TRABAJADOR]]="", "", VLOOKUP(Tabla1[[#This Row],[TRABAJADOR]], 'Colaborador ID'!B:C, 2, FALSE))</f>
        <v>E0613</v>
      </c>
      <c r="C286" s="63" t="s">
        <v>553</v>
      </c>
      <c r="D286" s="64" t="s">
        <v>554</v>
      </c>
      <c r="E286" s="64" t="s">
        <v>16</v>
      </c>
      <c r="F286" s="38" t="e" vm="1">
        <v>#VALUE!</v>
      </c>
      <c r="G286" s="58">
        <v>45820</v>
      </c>
      <c r="H286" s="57" t="e" vm="2">
        <v>#VALUE!</v>
      </c>
      <c r="I286" s="64"/>
      <c r="J286" s="57"/>
      <c r="K286" s="57"/>
      <c r="L286" s="4"/>
      <c r="M286" s="35"/>
    </row>
    <row r="287" spans="1:13" ht="15.9" customHeight="1" x14ac:dyDescent="0.3">
      <c r="A287" s="36">
        <v>284</v>
      </c>
      <c r="B287" s="64" t="str">
        <f>IF(Tabla1[[#This Row],[TRABAJADOR]]="", "", VLOOKUP(Tabla1[[#This Row],[TRABAJADOR]], 'Colaborador ID'!B:C, 2, FALSE))</f>
        <v>E0473</v>
      </c>
      <c r="C287" s="63" t="s">
        <v>555</v>
      </c>
      <c r="D287" s="64" t="s">
        <v>556</v>
      </c>
      <c r="E287" s="64" t="s">
        <v>16</v>
      </c>
      <c r="F287" s="6" t="e" vm="1">
        <v>#VALUE!</v>
      </c>
      <c r="G287" s="58"/>
      <c r="H287" s="49" t="e" vm="2">
        <v>#VALUE!</v>
      </c>
      <c r="I287" s="64"/>
      <c r="J287" s="57"/>
      <c r="K287" s="57"/>
      <c r="L287" s="4"/>
      <c r="M287" s="35"/>
    </row>
    <row r="288" spans="1:13" ht="15.9" customHeight="1" x14ac:dyDescent="0.3">
      <c r="A288" s="36">
        <v>285</v>
      </c>
      <c r="B288" s="64" t="str">
        <f>IF(Tabla1[[#This Row],[TRABAJADOR]]="", "", VLOOKUP(Tabla1[[#This Row],[TRABAJADOR]], 'Colaborador ID'!B:C, 2, FALSE))</f>
        <v>E0823</v>
      </c>
      <c r="C288" s="63" t="s">
        <v>557</v>
      </c>
      <c r="D288" s="64" t="s">
        <v>558</v>
      </c>
      <c r="E288" s="64"/>
      <c r="F288" s="57" t="e" vm="1">
        <v>#VALUE!</v>
      </c>
      <c r="G288" s="58"/>
      <c r="H288" s="57" t="e" vm="2">
        <v>#VALUE!</v>
      </c>
      <c r="I288" s="64"/>
      <c r="J288" s="57"/>
      <c r="K288" s="57"/>
      <c r="L288" s="4"/>
      <c r="M288" s="35"/>
    </row>
    <row r="289" spans="1:13" ht="15.9" customHeight="1" x14ac:dyDescent="0.3">
      <c r="A289" s="36">
        <v>286</v>
      </c>
      <c r="B289" s="64" t="str">
        <f>IF(Tabla1[[#This Row],[TRABAJADOR]]="", "", VLOOKUP(Tabla1[[#This Row],[TRABAJADOR]], 'Colaborador ID'!B:C, 2, FALSE))</f>
        <v>E0284</v>
      </c>
      <c r="C289" s="63" t="s">
        <v>559</v>
      </c>
      <c r="D289" s="64" t="s">
        <v>560</v>
      </c>
      <c r="E289" s="64"/>
      <c r="F289" s="49" t="e" vm="1">
        <v>#VALUE!</v>
      </c>
      <c r="G289" s="58"/>
      <c r="H289" s="57" t="e" vm="2">
        <v>#VALUE!</v>
      </c>
      <c r="I289" s="64"/>
      <c r="J289" s="57"/>
      <c r="K289" s="57"/>
      <c r="L289" s="4"/>
      <c r="M289" s="35"/>
    </row>
    <row r="290" spans="1:13" ht="15.9" customHeight="1" x14ac:dyDescent="0.3">
      <c r="A290" s="36">
        <v>287</v>
      </c>
      <c r="B290" s="64" t="str">
        <f>IF(Tabla1[[#This Row],[TRABAJADOR]]="", "", VLOOKUP(Tabla1[[#This Row],[TRABAJADOR]], 'Colaborador ID'!B:C, 2, FALSE))</f>
        <v>E1193</v>
      </c>
      <c r="C290" s="63" t="s">
        <v>561</v>
      </c>
      <c r="D290" s="64" t="s">
        <v>562</v>
      </c>
      <c r="E290" s="64" t="s">
        <v>16</v>
      </c>
      <c r="F290" s="49" t="e" vm="1">
        <v>#VALUE!</v>
      </c>
      <c r="G290" s="58"/>
      <c r="H290" s="57" t="e" vm="2">
        <v>#VALUE!</v>
      </c>
      <c r="I290" s="64"/>
      <c r="J290" s="57"/>
      <c r="K290" s="57"/>
      <c r="L290" s="4"/>
      <c r="M290" s="35"/>
    </row>
    <row r="291" spans="1:13" ht="15.9" customHeight="1" x14ac:dyDescent="0.3">
      <c r="A291" s="36">
        <v>288</v>
      </c>
      <c r="B291" s="64" t="str">
        <f>IF(Tabla1[[#This Row],[TRABAJADOR]]="", "", VLOOKUP(Tabla1[[#This Row],[TRABAJADOR]], 'Colaborador ID'!B:C, 2, FALSE))</f>
        <v>E0278</v>
      </c>
      <c r="C291" s="63" t="s">
        <v>563</v>
      </c>
      <c r="D291" s="64" t="s">
        <v>564</v>
      </c>
      <c r="E291" s="64" t="s">
        <v>16</v>
      </c>
      <c r="F291" s="49" t="e" vm="1">
        <v>#VALUE!</v>
      </c>
      <c r="G291" s="58"/>
      <c r="H291" s="57" t="e" vm="2">
        <v>#VALUE!</v>
      </c>
      <c r="I291" s="64"/>
      <c r="J291" s="57"/>
      <c r="K291" s="57"/>
      <c r="L291" s="4"/>
      <c r="M291" s="35"/>
    </row>
    <row r="292" spans="1:13" ht="15.9" customHeight="1" x14ac:dyDescent="0.3">
      <c r="A292" s="36">
        <v>289</v>
      </c>
      <c r="B292" s="64" t="str">
        <f>IF(Tabla1[[#This Row],[TRABAJADOR]]="", "", VLOOKUP(Tabla1[[#This Row],[TRABAJADOR]], 'Colaborador ID'!B:C, 2, FALSE))</f>
        <v>E0170</v>
      </c>
      <c r="C292" s="63" t="s">
        <v>565</v>
      </c>
      <c r="D292" s="64" t="s">
        <v>566</v>
      </c>
      <c r="E292" s="64" t="s">
        <v>13</v>
      </c>
      <c r="F292" s="38" t="e" vm="1">
        <v>#VALUE!</v>
      </c>
      <c r="G292" s="58">
        <v>45783</v>
      </c>
      <c r="H292" s="57" t="e" vm="2">
        <v>#VALUE!</v>
      </c>
      <c r="I292" s="64"/>
      <c r="J292" s="57"/>
      <c r="K292" s="57"/>
      <c r="L292" s="4"/>
      <c r="M292" s="35"/>
    </row>
    <row r="293" spans="1:13" ht="15.9" customHeight="1" x14ac:dyDescent="0.3">
      <c r="A293" s="36">
        <v>290</v>
      </c>
      <c r="B293" s="64" t="str">
        <f>IF(Tabla1[[#This Row],[TRABAJADOR]]="", "", VLOOKUP(Tabla1[[#This Row],[TRABAJADOR]], 'Colaborador ID'!B:C, 2, FALSE))</f>
        <v>E1476</v>
      </c>
      <c r="C293" s="63" t="s">
        <v>567</v>
      </c>
      <c r="D293" s="64" t="s">
        <v>568</v>
      </c>
      <c r="E293" s="64" t="s">
        <v>16</v>
      </c>
      <c r="F293" s="49" t="e" vm="1">
        <v>#VALUE!</v>
      </c>
      <c r="G293" s="58"/>
      <c r="H293" s="57" t="e" vm="2">
        <v>#VALUE!</v>
      </c>
      <c r="I293" s="64" t="s">
        <v>22</v>
      </c>
      <c r="J293" s="57"/>
      <c r="K293" s="57"/>
      <c r="L293" s="4"/>
      <c r="M293" s="35"/>
    </row>
    <row r="294" spans="1:13" ht="15.9" customHeight="1" x14ac:dyDescent="0.3">
      <c r="A294" s="36">
        <v>291</v>
      </c>
      <c r="B294" s="64" t="str">
        <f>IF(Tabla1[[#This Row],[TRABAJADOR]]="", "", VLOOKUP(Tabla1[[#This Row],[TRABAJADOR]], 'Colaborador ID'!B:C, 2, FALSE))</f>
        <v>E0049</v>
      </c>
      <c r="C294" s="63" t="s">
        <v>569</v>
      </c>
      <c r="D294" s="64" t="s">
        <v>570</v>
      </c>
      <c r="E294" s="64" t="s">
        <v>16</v>
      </c>
      <c r="F294" s="51" t="e" vm="1">
        <v>#VALUE!</v>
      </c>
      <c r="G294" s="58"/>
      <c r="H294" s="57" t="e" vm="2">
        <v>#VALUE!</v>
      </c>
      <c r="I294" s="64"/>
      <c r="J294" s="57"/>
      <c r="K294" s="57"/>
      <c r="L294" s="4"/>
      <c r="M294" s="35"/>
    </row>
    <row r="295" spans="1:13" ht="15.9" customHeight="1" x14ac:dyDescent="0.3">
      <c r="A295" s="36">
        <v>292</v>
      </c>
      <c r="B295" s="64" t="str">
        <f>IF(Tabla1[[#This Row],[TRABAJADOR]]="", "", VLOOKUP(Tabla1[[#This Row],[TRABAJADOR]], 'Colaborador ID'!B:C, 2, FALSE))</f>
        <v>E1095</v>
      </c>
      <c r="C295" s="63" t="s">
        <v>571</v>
      </c>
      <c r="D295" s="64" t="s">
        <v>572</v>
      </c>
      <c r="E295" s="64"/>
      <c r="F295" s="57" t="e" vm="1">
        <v>#VALUE!</v>
      </c>
      <c r="G295" s="58"/>
      <c r="H295" s="57" t="e" vm="2">
        <v>#VALUE!</v>
      </c>
      <c r="I295" s="64"/>
      <c r="J295" s="57"/>
      <c r="K295" s="57"/>
      <c r="L295" s="4"/>
      <c r="M295" s="35"/>
    </row>
    <row r="296" spans="1:13" ht="15.9" customHeight="1" x14ac:dyDescent="0.3">
      <c r="A296" s="36">
        <v>293</v>
      </c>
      <c r="B296" s="64" t="str">
        <f>IF(Tabla1[[#This Row],[TRABAJADOR]]="", "", VLOOKUP(Tabla1[[#This Row],[TRABAJADOR]], 'Colaborador ID'!B:C, 2, FALSE))</f>
        <v>E1477</v>
      </c>
      <c r="C296" s="63" t="s">
        <v>573</v>
      </c>
      <c r="D296" s="64" t="s">
        <v>574</v>
      </c>
      <c r="E296" s="64" t="s">
        <v>19</v>
      </c>
      <c r="F296" s="51" t="e" vm="1">
        <v>#VALUE!</v>
      </c>
      <c r="G296" s="58">
        <v>45881</v>
      </c>
      <c r="H296" s="57" t="e" vm="2">
        <v>#VALUE!</v>
      </c>
      <c r="I296" s="64"/>
      <c r="J296" s="57"/>
      <c r="K296" s="57"/>
      <c r="L296" s="4"/>
      <c r="M296" s="35"/>
    </row>
    <row r="297" spans="1:13" ht="15.9" customHeight="1" x14ac:dyDescent="0.3">
      <c r="A297" s="36">
        <v>294</v>
      </c>
      <c r="B297" s="64" t="str">
        <f>IF(Tabla1[[#This Row],[TRABAJADOR]]="", "", VLOOKUP(Tabla1[[#This Row],[TRABAJADOR]], 'Colaborador ID'!B:C, 2, FALSE))</f>
        <v>E0544</v>
      </c>
      <c r="C297" s="63" t="s">
        <v>575</v>
      </c>
      <c r="D297" s="64" t="s">
        <v>576</v>
      </c>
      <c r="E297" s="64"/>
      <c r="F297" s="57" t="e" vm="1">
        <v>#VALUE!</v>
      </c>
      <c r="G297" s="58"/>
      <c r="H297" s="57" t="e" vm="2">
        <v>#VALUE!</v>
      </c>
      <c r="I297" s="64"/>
      <c r="J297" s="57"/>
      <c r="K297" s="57"/>
      <c r="L297" s="4"/>
      <c r="M297" s="35"/>
    </row>
    <row r="298" spans="1:13" ht="15.9" customHeight="1" x14ac:dyDescent="0.3">
      <c r="A298" s="36">
        <v>295</v>
      </c>
      <c r="B298" s="64" t="str">
        <f>IF(Tabla1[[#This Row],[TRABAJADOR]]="", "", VLOOKUP(Tabla1[[#This Row],[TRABAJADOR]], 'Colaborador ID'!B:C, 2, FALSE))</f>
        <v>E1397</v>
      </c>
      <c r="C298" s="63" t="s">
        <v>577</v>
      </c>
      <c r="D298" s="64" t="s">
        <v>578</v>
      </c>
      <c r="E298" s="64" t="s">
        <v>33</v>
      </c>
      <c r="F298" s="32" t="e" vm="1">
        <v>#VALUE!</v>
      </c>
      <c r="G298" s="58">
        <v>45847</v>
      </c>
      <c r="H298" s="6" t="e" vm="2">
        <v>#VALUE!</v>
      </c>
      <c r="I298" s="64"/>
      <c r="J298" s="57"/>
      <c r="K298" s="57"/>
      <c r="L298" s="4"/>
      <c r="M298" s="35"/>
    </row>
    <row r="299" spans="1:13" ht="15.9" customHeight="1" x14ac:dyDescent="0.3">
      <c r="A299" s="36">
        <v>296</v>
      </c>
      <c r="B299" s="64" t="e">
        <f>IF(Tabla1[[#This Row],[TRABAJADOR]]="", "", VLOOKUP(Tabla1[[#This Row],[TRABAJADOR]], 'Colaborador ID'!B:C, 2, FALSE))</f>
        <v>#N/A</v>
      </c>
      <c r="C299" s="63" t="s">
        <v>579</v>
      </c>
      <c r="D299" s="64" t="s">
        <v>580</v>
      </c>
      <c r="E299" s="64"/>
      <c r="F299" s="57" t="e" vm="1">
        <v>#VALUE!</v>
      </c>
      <c r="G299" s="58"/>
      <c r="H299" s="57" t="e" vm="2">
        <v>#VALUE!</v>
      </c>
      <c r="I299" s="64"/>
      <c r="J299" s="57"/>
      <c r="K299" s="57"/>
      <c r="L299" s="4"/>
      <c r="M299" s="35"/>
    </row>
    <row r="300" spans="1:13" ht="15.9" customHeight="1" x14ac:dyDescent="0.3">
      <c r="A300" s="36">
        <v>297</v>
      </c>
      <c r="B300" s="64" t="str">
        <f>IF(Tabla1[[#This Row],[TRABAJADOR]]="", "", VLOOKUP(Tabla1[[#This Row],[TRABAJADOR]], 'Colaborador ID'!B:C, 2, FALSE))</f>
        <v>E0219</v>
      </c>
      <c r="C300" s="63" t="s">
        <v>581</v>
      </c>
      <c r="D300" s="64" t="s">
        <v>582</v>
      </c>
      <c r="E300" s="64" t="s">
        <v>13</v>
      </c>
      <c r="F300" s="32" t="e" vm="1">
        <v>#VALUE!</v>
      </c>
      <c r="G300" s="58">
        <v>45820</v>
      </c>
      <c r="H300" s="57" t="e" vm="2">
        <v>#VALUE!</v>
      </c>
      <c r="I300" s="64"/>
      <c r="J300" s="57"/>
      <c r="K300" s="57"/>
      <c r="L300" s="4"/>
      <c r="M300" s="35"/>
    </row>
    <row r="301" spans="1:13" ht="15.9" customHeight="1" x14ac:dyDescent="0.3">
      <c r="A301" s="36">
        <v>298</v>
      </c>
      <c r="B301" s="64" t="str">
        <f>IF(Tabla1[[#This Row],[TRABAJADOR]]="", "", VLOOKUP(Tabla1[[#This Row],[TRABAJADOR]], 'Colaborador ID'!B:C, 2, FALSE))</f>
        <v>E0578</v>
      </c>
      <c r="C301" s="63" t="s">
        <v>583</v>
      </c>
      <c r="D301" s="64" t="s">
        <v>584</v>
      </c>
      <c r="E301" s="64" t="s">
        <v>33</v>
      </c>
      <c r="F301" s="49" t="e" vm="1">
        <v>#VALUE!</v>
      </c>
      <c r="G301" s="58"/>
      <c r="H301" s="49" t="e" vm="2">
        <v>#VALUE!</v>
      </c>
      <c r="I301" s="64"/>
      <c r="J301" s="57"/>
      <c r="K301" s="57"/>
      <c r="L301" s="4"/>
      <c r="M301" s="35"/>
    </row>
    <row r="302" spans="1:13" ht="15.9" customHeight="1" x14ac:dyDescent="0.3">
      <c r="A302" s="36">
        <v>299</v>
      </c>
      <c r="B302" s="64" t="str">
        <f>IF(Tabla1[[#This Row],[TRABAJADOR]]="", "", VLOOKUP(Tabla1[[#This Row],[TRABAJADOR]], 'Colaborador ID'!B:C, 2, FALSE))</f>
        <v>E1478</v>
      </c>
      <c r="C302" s="63" t="s">
        <v>585</v>
      </c>
      <c r="D302" s="64" t="s">
        <v>586</v>
      </c>
      <c r="E302" s="64" t="s">
        <v>16</v>
      </c>
      <c r="F302" s="49" t="e" vm="1">
        <v>#VALUE!</v>
      </c>
      <c r="G302" s="58"/>
      <c r="H302" s="57" t="e" vm="2">
        <v>#VALUE!</v>
      </c>
      <c r="I302" s="64" t="s">
        <v>22</v>
      </c>
      <c r="J302" s="57"/>
      <c r="K302" s="57"/>
      <c r="L302" s="4"/>
      <c r="M302" s="35"/>
    </row>
    <row r="303" spans="1:13" ht="15.9" customHeight="1" x14ac:dyDescent="0.3">
      <c r="A303" s="36">
        <v>300</v>
      </c>
      <c r="B303" s="64" t="str">
        <f>IF(Tabla1[[#This Row],[TRABAJADOR]]="", "", VLOOKUP(Tabla1[[#This Row],[TRABAJADOR]], 'Colaborador ID'!B:C, 2, FALSE))</f>
        <v>E0550</v>
      </c>
      <c r="C303" s="63" t="s">
        <v>587</v>
      </c>
      <c r="D303" s="64" t="s">
        <v>588</v>
      </c>
      <c r="E303" s="64" t="s">
        <v>16</v>
      </c>
      <c r="F303" s="51" t="e" vm="1">
        <v>#VALUE!</v>
      </c>
      <c r="G303" s="58"/>
      <c r="H303" s="57" t="e" vm="2">
        <v>#VALUE!</v>
      </c>
      <c r="I303" s="64"/>
      <c r="J303" s="57"/>
      <c r="K303" s="57"/>
      <c r="L303" s="4"/>
      <c r="M303" s="35"/>
    </row>
    <row r="304" spans="1:13" ht="15.9" customHeight="1" x14ac:dyDescent="0.3">
      <c r="A304" s="36">
        <v>301</v>
      </c>
      <c r="B304" s="57" t="str">
        <f>IF(Tabla1[[#This Row],[TRABAJADOR]]="", "", VLOOKUP(Tabla1[[#This Row],[TRABAJADOR]], 'Colaborador ID'!B:C, 2, FALSE))</f>
        <v>E1826</v>
      </c>
      <c r="C304" s="56" t="s">
        <v>589</v>
      </c>
      <c r="D304" s="57" t="s">
        <v>590</v>
      </c>
      <c r="E304" s="64" t="s">
        <v>19</v>
      </c>
      <c r="F304" s="49" t="e" vm="1">
        <v>#VALUE!</v>
      </c>
      <c r="G304" s="58">
        <v>45937</v>
      </c>
      <c r="H304" s="57" t="e" vm="2">
        <v>#VALUE!</v>
      </c>
      <c r="I304" s="57"/>
      <c r="J304" s="57"/>
      <c r="K304" s="57"/>
      <c r="L304" s="4"/>
      <c r="M304" s="35"/>
    </row>
    <row r="305" spans="1:13" ht="15.9" customHeight="1" x14ac:dyDescent="0.3">
      <c r="A305" s="36">
        <v>302</v>
      </c>
      <c r="B305" s="64" t="str">
        <f>IF(Tabla1[[#This Row],[TRABAJADOR]]="", "", VLOOKUP(Tabla1[[#This Row],[TRABAJADOR]], 'Colaborador ID'!B:C, 2, FALSE))</f>
        <v>E1245</v>
      </c>
      <c r="C305" s="63" t="s">
        <v>591</v>
      </c>
      <c r="D305" s="64" t="s">
        <v>592</v>
      </c>
      <c r="E305" s="64" t="s">
        <v>35</v>
      </c>
      <c r="F305" s="38" t="e" vm="1">
        <v>#VALUE!</v>
      </c>
      <c r="G305" s="58">
        <v>45761</v>
      </c>
      <c r="H305" s="57" t="e" vm="2">
        <v>#VALUE!</v>
      </c>
      <c r="I305" s="64"/>
      <c r="J305" s="57"/>
      <c r="K305" s="57"/>
      <c r="L305" s="4"/>
      <c r="M305" s="35"/>
    </row>
    <row r="306" spans="1:13" ht="15.9" customHeight="1" x14ac:dyDescent="0.3">
      <c r="A306" s="36">
        <v>303</v>
      </c>
      <c r="B306" s="64" t="e">
        <f>IF(Tabla1[[#This Row],[TRABAJADOR]]="", "", VLOOKUP(Tabla1[[#This Row],[TRABAJADOR]], 'Colaborador ID'!B:C, 2, FALSE))</f>
        <v>#N/A</v>
      </c>
      <c r="C306" s="63" t="s">
        <v>593</v>
      </c>
      <c r="D306" s="64" t="s">
        <v>594</v>
      </c>
      <c r="E306" s="64"/>
      <c r="F306" s="57" t="e" vm="1">
        <v>#VALUE!</v>
      </c>
      <c r="G306" s="58"/>
      <c r="H306" s="57" t="e" vm="2">
        <v>#VALUE!</v>
      </c>
      <c r="I306" s="64"/>
      <c r="J306" s="57"/>
      <c r="K306" s="57"/>
      <c r="L306" s="4"/>
      <c r="M306" s="35"/>
    </row>
    <row r="307" spans="1:13" ht="15.9" customHeight="1" x14ac:dyDescent="0.35">
      <c r="A307" s="36">
        <v>304</v>
      </c>
      <c r="B307" s="64" t="str">
        <f>IF(Tabla1[[#This Row],[TRABAJADOR]]="", "", VLOOKUP(Tabla1[[#This Row],[TRABAJADOR]], 'Colaborador ID'!B:C, 2, FALSE))</f>
        <v>E0356</v>
      </c>
      <c r="C307" s="63" t="s">
        <v>595</v>
      </c>
      <c r="D307" s="64" t="s">
        <v>596</v>
      </c>
      <c r="E307" s="64" t="s">
        <v>19</v>
      </c>
      <c r="F307" s="41" t="e" vm="1">
        <v>#VALUE!</v>
      </c>
      <c r="G307" s="58"/>
      <c r="H307" s="57" t="e" vm="2">
        <v>#VALUE!</v>
      </c>
      <c r="I307" s="64"/>
      <c r="J307" s="57"/>
      <c r="K307" s="57"/>
      <c r="L307" s="4"/>
      <c r="M307" s="35"/>
    </row>
    <row r="308" spans="1:13" ht="15.9" customHeight="1" x14ac:dyDescent="0.3">
      <c r="A308" s="36">
        <v>305</v>
      </c>
      <c r="B308" s="57" t="str">
        <f>IF(Tabla1[[#This Row],[TRABAJADOR]]="", "", VLOOKUP(Tabla1[[#This Row],[TRABAJADOR]], 'Colaborador ID'!B:C, 2, FALSE))</f>
        <v>E2075</v>
      </c>
      <c r="C308" s="56" t="s">
        <v>5305</v>
      </c>
      <c r="D308" s="57" t="s">
        <v>5321</v>
      </c>
      <c r="E308" s="64" t="s">
        <v>648</v>
      </c>
      <c r="F308" s="49" t="e" vm="1">
        <v>#VALUE!</v>
      </c>
      <c r="G308" s="58">
        <v>46035</v>
      </c>
      <c r="H308" s="57" t="e" vm="2">
        <v>#VALUE!</v>
      </c>
      <c r="I308" s="57"/>
      <c r="J308" s="57"/>
      <c r="K308" s="57"/>
      <c r="L308" s="4"/>
      <c r="M308" s="35"/>
    </row>
    <row r="309" spans="1:13" ht="15.9" customHeight="1" x14ac:dyDescent="0.3">
      <c r="A309" s="36">
        <v>306</v>
      </c>
      <c r="B309" s="64" t="str">
        <f>IF(Tabla1[[#This Row],[TRABAJADOR]]="", "", VLOOKUP(Tabla1[[#This Row],[TRABAJADOR]], 'Colaborador ID'!B:C, 2, FALSE))</f>
        <v>E1148</v>
      </c>
      <c r="C309" s="63" t="s">
        <v>597</v>
      </c>
      <c r="D309" s="64" t="s">
        <v>598</v>
      </c>
      <c r="E309" s="64" t="s">
        <v>16</v>
      </c>
      <c r="F309" s="49" t="e" vm="1">
        <v>#VALUE!</v>
      </c>
      <c r="G309" s="58"/>
      <c r="H309" s="57" t="e" vm="2">
        <v>#VALUE!</v>
      </c>
      <c r="I309" s="64" t="s">
        <v>22</v>
      </c>
      <c r="J309" s="57"/>
      <c r="K309" s="57"/>
      <c r="L309" s="4"/>
      <c r="M309" s="35"/>
    </row>
    <row r="310" spans="1:13" ht="15.9" customHeight="1" x14ac:dyDescent="0.3">
      <c r="A310" s="36">
        <v>307</v>
      </c>
      <c r="B310" s="57" t="str">
        <f>IF(Tabla1[[#This Row],[TRABAJADOR]]="", "", VLOOKUP(Tabla1[[#This Row],[TRABAJADOR]], 'Colaborador ID'!B:C, 2, FALSE))</f>
        <v>E2134</v>
      </c>
      <c r="C310" s="56" t="s">
        <v>599</v>
      </c>
      <c r="D310" s="57" t="s">
        <v>600</v>
      </c>
      <c r="E310" s="64" t="s">
        <v>16</v>
      </c>
      <c r="F310" s="49" t="e" vm="1">
        <v>#VALUE!</v>
      </c>
      <c r="G310" s="58">
        <v>45959</v>
      </c>
      <c r="H310" s="57" t="e" vm="2">
        <v>#VALUE!</v>
      </c>
      <c r="I310" s="57"/>
      <c r="J310" s="57"/>
      <c r="K310" s="57"/>
      <c r="L310" s="4"/>
      <c r="M310" s="35"/>
    </row>
    <row r="311" spans="1:13" ht="15.9" customHeight="1" x14ac:dyDescent="0.3">
      <c r="A311" s="36">
        <v>308</v>
      </c>
      <c r="B311" s="64" t="e">
        <f>IF(Tabla1[[#This Row],[TRABAJADOR]]="", "", VLOOKUP(Tabla1[[#This Row],[TRABAJADOR]], 'Colaborador ID'!B:C, 2, FALSE))</f>
        <v>#N/A</v>
      </c>
      <c r="C311" s="63" t="s">
        <v>601</v>
      </c>
      <c r="D311" s="64" t="s">
        <v>602</v>
      </c>
      <c r="E311" s="64"/>
      <c r="F311" s="49" t="e" vm="1">
        <v>#VALUE!</v>
      </c>
      <c r="G311" s="58"/>
      <c r="H311" s="57" t="e" vm="2">
        <v>#VALUE!</v>
      </c>
      <c r="I311" s="64"/>
      <c r="J311" s="57"/>
      <c r="K311" s="57"/>
      <c r="L311" s="4"/>
      <c r="M311" s="35"/>
    </row>
    <row r="312" spans="1:13" ht="15.9" customHeight="1" x14ac:dyDescent="0.3">
      <c r="A312" s="36">
        <v>309</v>
      </c>
      <c r="B312" s="57" t="str">
        <f>IF(Tabla1[[#This Row],[TRABAJADOR]]="", "", VLOOKUP(Tabla1[[#This Row],[TRABAJADOR]], 'Colaborador ID'!B:C, 2, FALSE))</f>
        <v>E1742</v>
      </c>
      <c r="C312" s="56" t="s">
        <v>603</v>
      </c>
      <c r="D312" s="57" t="s">
        <v>604</v>
      </c>
      <c r="E312" s="64" t="s">
        <v>13</v>
      </c>
      <c r="F312" s="49" t="e" vm="1">
        <v>#VALUE!</v>
      </c>
      <c r="G312" s="58">
        <v>45909</v>
      </c>
      <c r="H312" s="57" t="e" vm="2">
        <v>#VALUE!</v>
      </c>
      <c r="I312" s="57"/>
      <c r="J312" s="57"/>
      <c r="K312" s="57"/>
      <c r="L312" s="4"/>
      <c r="M312" s="35"/>
    </row>
    <row r="313" spans="1:13" ht="15.9" customHeight="1" x14ac:dyDescent="0.3">
      <c r="A313" s="36">
        <v>310</v>
      </c>
      <c r="B313" s="64" t="str">
        <f>IF(Tabla1[[#This Row],[TRABAJADOR]]="", "", VLOOKUP(Tabla1[[#This Row],[TRABAJADOR]], 'Colaborador ID'!B:C, 2, FALSE))</f>
        <v>E0973</v>
      </c>
      <c r="C313" s="63" t="s">
        <v>605</v>
      </c>
      <c r="D313" s="64" t="s">
        <v>606</v>
      </c>
      <c r="E313" s="64" t="s">
        <v>19</v>
      </c>
      <c r="F313" s="49" t="e" vm="1">
        <v>#VALUE!</v>
      </c>
      <c r="G313" s="58"/>
      <c r="H313" s="57" t="e" vm="2">
        <v>#VALUE!</v>
      </c>
      <c r="I313" s="64"/>
      <c r="J313" s="57"/>
      <c r="K313" s="57"/>
      <c r="L313" s="4"/>
      <c r="M313" s="35"/>
    </row>
    <row r="314" spans="1:13" ht="15.9" customHeight="1" x14ac:dyDescent="0.3">
      <c r="A314" s="36">
        <v>311</v>
      </c>
      <c r="B314" s="57" t="str">
        <f>IF(Tabla1[[#This Row],[TRABAJADOR]]="", "", VLOOKUP(Tabla1[[#This Row],[TRABAJADOR]], 'Colaborador ID'!B:C, 2, FALSE))</f>
        <v>E1970</v>
      </c>
      <c r="C314" s="56" t="s">
        <v>607</v>
      </c>
      <c r="D314" s="57" t="s">
        <v>608</v>
      </c>
      <c r="E314" s="64" t="s">
        <v>19</v>
      </c>
      <c r="F314" s="51" t="e" vm="1">
        <v>#VALUE!</v>
      </c>
      <c r="G314" s="58">
        <v>45958</v>
      </c>
      <c r="H314" s="57" t="e" vm="2">
        <v>#VALUE!</v>
      </c>
      <c r="I314" s="57"/>
      <c r="J314" s="57"/>
      <c r="K314" s="57"/>
      <c r="L314" s="4"/>
      <c r="M314" s="35"/>
    </row>
    <row r="315" spans="1:13" ht="15.9" customHeight="1" x14ac:dyDescent="0.4">
      <c r="A315" s="36">
        <v>312</v>
      </c>
      <c r="B315" s="64" t="str">
        <f>IF(Tabla1[[#This Row],[TRABAJADOR]]="", "", VLOOKUP(Tabla1[[#This Row],[TRABAJADOR]], 'Colaborador ID'!B:C, 2, FALSE))</f>
        <v>E0279</v>
      </c>
      <c r="C315" s="63" t="s">
        <v>609</v>
      </c>
      <c r="D315" s="64" t="s">
        <v>610</v>
      </c>
      <c r="E315" s="64" t="s">
        <v>40</v>
      </c>
      <c r="F315" s="38" t="e" vm="1">
        <v>#VALUE!</v>
      </c>
      <c r="G315" s="58">
        <v>45728</v>
      </c>
      <c r="H315" s="39" t="e" vm="2">
        <v>#VALUE!</v>
      </c>
      <c r="I315" s="64"/>
      <c r="J315" s="57"/>
      <c r="K315" s="57"/>
      <c r="L315" s="4"/>
      <c r="M315" s="35"/>
    </row>
    <row r="316" spans="1:13" ht="15.9" customHeight="1" x14ac:dyDescent="0.3">
      <c r="A316" s="36">
        <v>313</v>
      </c>
      <c r="B316" s="57" t="str">
        <f>IF(Tabla1[[#This Row],[TRABAJADOR]]="", "", VLOOKUP(Tabla1[[#This Row],[TRABAJADOR]], 'Colaborador ID'!B:C, 2, FALSE))</f>
        <v>E2090</v>
      </c>
      <c r="C316" s="56" t="s">
        <v>5329</v>
      </c>
      <c r="D316" s="57" t="s">
        <v>5385</v>
      </c>
      <c r="E316" s="64" t="s">
        <v>16</v>
      </c>
      <c r="F316" s="51" t="e" vm="1">
        <v>#VALUE!</v>
      </c>
      <c r="G316" s="58">
        <v>46056</v>
      </c>
      <c r="H316" s="57" t="e" vm="2">
        <v>#VALUE!</v>
      </c>
      <c r="I316" s="57"/>
      <c r="J316" s="57"/>
      <c r="K316" s="57"/>
      <c r="L316" s="4"/>
      <c r="M316" s="35"/>
    </row>
    <row r="317" spans="1:13" ht="15.9" customHeight="1" x14ac:dyDescent="0.3">
      <c r="A317" s="36">
        <v>314</v>
      </c>
      <c r="B317" s="57" t="str">
        <f>IF(Tabla1[[#This Row],[TRABAJADOR]]="", "", VLOOKUP(Tabla1[[#This Row],[TRABAJADOR]], 'Colaborador ID'!B:C, 2, FALSE))</f>
        <v>E1697</v>
      </c>
      <c r="C317" s="56" t="s">
        <v>611</v>
      </c>
      <c r="D317" s="57" t="s">
        <v>612</v>
      </c>
      <c r="E317" s="64" t="s">
        <v>19</v>
      </c>
      <c r="F317" s="49" t="e" vm="1">
        <v>#VALUE!</v>
      </c>
      <c r="G317" s="58">
        <v>45894</v>
      </c>
      <c r="H317" s="57" t="e" vm="2">
        <v>#VALUE!</v>
      </c>
      <c r="I317" s="57" t="s">
        <v>22</v>
      </c>
      <c r="J317" s="57"/>
      <c r="K317" s="57"/>
      <c r="L317" s="4"/>
      <c r="M317" s="35"/>
    </row>
    <row r="318" spans="1:13" ht="15.9" customHeight="1" x14ac:dyDescent="0.3">
      <c r="A318" s="36">
        <v>315</v>
      </c>
      <c r="B318" s="57" t="str">
        <f>IF(Tabla1[[#This Row],[TRABAJADOR]]="", "", VLOOKUP(Tabla1[[#This Row],[TRABAJADOR]], 'Colaborador ID'!B:C, 2, FALSE))</f>
        <v>E1868</v>
      </c>
      <c r="C318" s="56" t="s">
        <v>613</v>
      </c>
      <c r="D318" s="57" t="s">
        <v>614</v>
      </c>
      <c r="E318" s="64" t="s">
        <v>33</v>
      </c>
      <c r="F318" s="51" t="e" vm="1">
        <v>#VALUE!</v>
      </c>
      <c r="G318" s="58">
        <v>45939</v>
      </c>
      <c r="H318" s="57" t="e" vm="2">
        <v>#VALUE!</v>
      </c>
      <c r="I318" s="57" t="s">
        <v>22</v>
      </c>
      <c r="J318" s="57"/>
      <c r="K318" s="57"/>
      <c r="L318" s="4"/>
      <c r="M318" s="35"/>
    </row>
    <row r="319" spans="1:13" ht="15.9" customHeight="1" x14ac:dyDescent="0.3">
      <c r="A319" s="36">
        <v>316</v>
      </c>
      <c r="B319" s="64" t="e">
        <f>IF(Tabla1[[#This Row],[TRABAJADOR]]="", "", VLOOKUP(Tabla1[[#This Row],[TRABAJADOR]], 'Colaborador ID'!B:C, 2, FALSE))</f>
        <v>#N/A</v>
      </c>
      <c r="C319" s="63" t="s">
        <v>615</v>
      </c>
      <c r="D319" s="64" t="s">
        <v>616</v>
      </c>
      <c r="E319" s="64"/>
      <c r="F319" s="57" t="e" vm="1">
        <v>#VALUE!</v>
      </c>
      <c r="G319" s="58"/>
      <c r="H319" s="57" t="e" vm="2">
        <v>#VALUE!</v>
      </c>
      <c r="I319" s="64"/>
      <c r="J319" s="57"/>
      <c r="K319" s="57"/>
      <c r="L319" s="4"/>
      <c r="M319" s="35"/>
    </row>
    <row r="320" spans="1:13" ht="15.9" customHeight="1" x14ac:dyDescent="0.3">
      <c r="A320" s="36">
        <v>317</v>
      </c>
      <c r="B320" s="64" t="str">
        <f>IF(Tabla1[[#This Row],[TRABAJADOR]]="", "", VLOOKUP(Tabla1[[#This Row],[TRABAJADOR]], 'Colaborador ID'!B:C, 2, FALSE))</f>
        <v>E0974</v>
      </c>
      <c r="C320" s="63" t="s">
        <v>617</v>
      </c>
      <c r="D320" s="64" t="s">
        <v>618</v>
      </c>
      <c r="E320" s="64"/>
      <c r="F320" s="57" t="e" vm="1">
        <v>#VALUE!</v>
      </c>
      <c r="G320" s="58"/>
      <c r="H320" s="57" t="e" vm="2">
        <v>#VALUE!</v>
      </c>
      <c r="I320" s="64"/>
      <c r="J320" s="57"/>
      <c r="K320" s="57"/>
      <c r="L320" s="4"/>
      <c r="M320" s="35"/>
    </row>
    <row r="321" spans="1:13" ht="15.9" customHeight="1" x14ac:dyDescent="0.3">
      <c r="A321" s="36">
        <v>318</v>
      </c>
      <c r="B321" s="64" t="str">
        <f>IF(Tabla1[[#This Row],[TRABAJADOR]]="", "", VLOOKUP(Tabla1[[#This Row],[TRABAJADOR]], 'Colaborador ID'!B:C, 2, FALSE))</f>
        <v>E0543</v>
      </c>
      <c r="C321" s="63" t="s">
        <v>619</v>
      </c>
      <c r="D321" s="64" t="s">
        <v>620</v>
      </c>
      <c r="E321" s="64"/>
      <c r="F321" s="6" t="e" vm="1">
        <v>#VALUE!</v>
      </c>
      <c r="G321" s="58"/>
      <c r="H321" s="57" t="e" vm="2">
        <v>#VALUE!</v>
      </c>
      <c r="I321" s="64"/>
      <c r="J321" s="57"/>
      <c r="K321" s="57"/>
      <c r="L321" s="4"/>
      <c r="M321" s="35"/>
    </row>
    <row r="322" spans="1:13" ht="15.9" customHeight="1" x14ac:dyDescent="0.3">
      <c r="A322" s="36">
        <v>319</v>
      </c>
      <c r="B322" s="64" t="str">
        <f>IF(Tabla1[[#This Row],[TRABAJADOR]]="", "", VLOOKUP(Tabla1[[#This Row],[TRABAJADOR]], 'Colaborador ID'!B:C, 2, FALSE))</f>
        <v>E0600</v>
      </c>
      <c r="C322" s="63" t="s">
        <v>621</v>
      </c>
      <c r="D322" s="64" t="s">
        <v>622</v>
      </c>
      <c r="E322" s="64" t="s">
        <v>40</v>
      </c>
      <c r="F322" s="49" t="e" vm="1">
        <v>#VALUE!</v>
      </c>
      <c r="G322" s="58">
        <v>45930</v>
      </c>
      <c r="H322" s="49" t="e" vm="2">
        <v>#VALUE!</v>
      </c>
      <c r="I322" s="64"/>
      <c r="J322" s="57"/>
      <c r="K322" s="57"/>
      <c r="L322" s="4"/>
      <c r="M322" s="35"/>
    </row>
    <row r="323" spans="1:13" ht="15.9" customHeight="1" x14ac:dyDescent="0.3">
      <c r="A323" s="36">
        <v>320</v>
      </c>
      <c r="B323" s="57" t="str">
        <f>IF(Tabla1[[#This Row],[TRABAJADOR]]="", "", VLOOKUP(Tabla1[[#This Row],[TRABAJADOR]], 'Colaborador ID'!B:C, 2, FALSE))</f>
        <v>E1774</v>
      </c>
      <c r="C323" s="56" t="s">
        <v>623</v>
      </c>
      <c r="D323" s="57" t="s">
        <v>624</v>
      </c>
      <c r="E323" s="64" t="s">
        <v>16</v>
      </c>
      <c r="F323" s="49" t="e" vm="1">
        <v>#VALUE!</v>
      </c>
      <c r="G323" s="58">
        <v>45897</v>
      </c>
      <c r="H323" s="57" t="e" vm="2">
        <v>#VALUE!</v>
      </c>
      <c r="I323" s="57"/>
      <c r="J323" s="57"/>
      <c r="K323" s="57"/>
      <c r="L323" s="4"/>
      <c r="M323" s="35"/>
    </row>
    <row r="324" spans="1:13" ht="15.9" customHeight="1" x14ac:dyDescent="0.3">
      <c r="A324" s="36">
        <v>321</v>
      </c>
      <c r="B324" s="64" t="str">
        <f>IF(Tabla1[[#This Row],[TRABAJADOR]]="", "", VLOOKUP(Tabla1[[#This Row],[TRABAJADOR]], 'Colaborador ID'!B:C, 2, FALSE))</f>
        <v>E0572</v>
      </c>
      <c r="C324" s="63" t="s">
        <v>625</v>
      </c>
      <c r="D324" s="64" t="s">
        <v>626</v>
      </c>
      <c r="E324" s="64" t="s">
        <v>16</v>
      </c>
      <c r="F324" s="49" t="e" vm="1">
        <v>#VALUE!</v>
      </c>
      <c r="G324" s="58"/>
      <c r="H324" s="57" t="e" vm="2">
        <v>#VALUE!</v>
      </c>
      <c r="I324" s="64" t="s">
        <v>22</v>
      </c>
      <c r="J324" s="57"/>
      <c r="K324" s="57"/>
      <c r="L324" s="4"/>
      <c r="M324" s="35"/>
    </row>
    <row r="325" spans="1:13" ht="15.9" customHeight="1" x14ac:dyDescent="0.35">
      <c r="A325" s="36">
        <v>322</v>
      </c>
      <c r="B325" s="64" t="str">
        <f>IF(Tabla1[[#This Row],[TRABAJADOR]]="", "", VLOOKUP(Tabla1[[#This Row],[TRABAJADOR]], 'Colaborador ID'!B:C, 2, FALSE))</f>
        <v>E0115</v>
      </c>
      <c r="C325" s="63" t="s">
        <v>627</v>
      </c>
      <c r="D325" s="64" t="s">
        <v>628</v>
      </c>
      <c r="E325" s="64" t="s">
        <v>13</v>
      </c>
      <c r="F325" s="41" t="e" vm="1">
        <v>#VALUE!</v>
      </c>
      <c r="G325" s="58">
        <v>45814</v>
      </c>
      <c r="H325" s="40" t="e" vm="2">
        <v>#VALUE!</v>
      </c>
      <c r="I325" s="64"/>
      <c r="J325" s="57"/>
      <c r="K325" s="57"/>
      <c r="L325" s="4"/>
      <c r="M325" s="35"/>
    </row>
    <row r="326" spans="1:13" ht="15.9" customHeight="1" x14ac:dyDescent="0.3">
      <c r="A326" s="36">
        <v>323</v>
      </c>
      <c r="B326" s="64" t="str">
        <f>IF(Tabla1[[#This Row],[TRABAJADOR]]="", "", VLOOKUP(Tabla1[[#This Row],[TRABAJADOR]], 'Colaborador ID'!B:C, 2, FALSE))</f>
        <v>E1119</v>
      </c>
      <c r="C326" s="63" t="s">
        <v>629</v>
      </c>
      <c r="D326" s="64" t="s">
        <v>630</v>
      </c>
      <c r="E326" s="64" t="s">
        <v>16</v>
      </c>
      <c r="F326" s="51" t="e" vm="1">
        <v>#VALUE!</v>
      </c>
      <c r="G326" s="58"/>
      <c r="H326" s="49" t="e" vm="2">
        <v>#VALUE!</v>
      </c>
      <c r="I326" s="64"/>
      <c r="J326" s="57"/>
      <c r="K326" s="57"/>
      <c r="L326" s="4"/>
      <c r="M326" s="35"/>
    </row>
    <row r="327" spans="1:13" ht="15.9" customHeight="1" x14ac:dyDescent="0.35">
      <c r="A327" s="36">
        <v>324</v>
      </c>
      <c r="B327" s="64" t="str">
        <f>IF(Tabla1[[#This Row],[TRABAJADOR]]="", "", VLOOKUP(Tabla1[[#This Row],[TRABAJADOR]], 'Colaborador ID'!B:C, 2, FALSE))</f>
        <v>E0161</v>
      </c>
      <c r="C327" s="63" t="s">
        <v>631</v>
      </c>
      <c r="D327" s="64" t="s">
        <v>5437</v>
      </c>
      <c r="E327" s="64" t="s">
        <v>40</v>
      </c>
      <c r="F327" s="37" t="e" vm="1">
        <v>#VALUE!</v>
      </c>
      <c r="G327" s="58">
        <v>46066</v>
      </c>
      <c r="H327" s="49" t="e" vm="2">
        <v>#VALUE!</v>
      </c>
      <c r="I327" s="64"/>
      <c r="J327" s="85"/>
      <c r="K327" s="57"/>
      <c r="L327" s="4"/>
      <c r="M327" s="35"/>
    </row>
    <row r="328" spans="1:13" ht="15.9" customHeight="1" x14ac:dyDescent="0.3">
      <c r="A328" s="36">
        <v>325</v>
      </c>
      <c r="B328" s="64" t="str">
        <f>IF(Tabla1[[#This Row],[TRABAJADOR]]="", "", VLOOKUP(Tabla1[[#This Row],[TRABAJADOR]], 'Colaborador ID'!B:C, 2, FALSE))</f>
        <v>E0615</v>
      </c>
      <c r="C328" s="63" t="s">
        <v>632</v>
      </c>
      <c r="D328" s="64" t="s">
        <v>633</v>
      </c>
      <c r="E328" s="64" t="s">
        <v>16</v>
      </c>
      <c r="F328" s="38" t="e" vm="1">
        <v>#VALUE!</v>
      </c>
      <c r="G328" s="58">
        <v>45817</v>
      </c>
      <c r="H328" s="57" t="e" vm="2">
        <v>#VALUE!</v>
      </c>
      <c r="I328" s="64"/>
      <c r="J328" s="57"/>
      <c r="K328" s="57"/>
      <c r="L328" s="4"/>
      <c r="M328" s="35"/>
    </row>
    <row r="329" spans="1:13" ht="15.9" customHeight="1" x14ac:dyDescent="0.3">
      <c r="A329" s="36">
        <v>326</v>
      </c>
      <c r="B329" s="64" t="str">
        <f>IF(Tabla1[[#This Row],[TRABAJADOR]]="", "", VLOOKUP(Tabla1[[#This Row],[TRABAJADOR]], 'Colaborador ID'!B:C, 2, FALSE))</f>
        <v>E1206</v>
      </c>
      <c r="C329" s="63" t="s">
        <v>634</v>
      </c>
      <c r="D329" s="64" t="s">
        <v>635</v>
      </c>
      <c r="E329" s="64" t="s">
        <v>16</v>
      </c>
      <c r="F329" s="38" t="e" vm="1">
        <v>#VALUE!</v>
      </c>
      <c r="G329" s="58">
        <v>45776</v>
      </c>
      <c r="H329" s="6" t="e" vm="2">
        <v>#VALUE!</v>
      </c>
      <c r="I329" s="64"/>
      <c r="J329" s="57"/>
      <c r="K329" s="57"/>
      <c r="L329" s="4"/>
      <c r="M329" s="35"/>
    </row>
    <row r="330" spans="1:13" ht="15.9" customHeight="1" x14ac:dyDescent="0.3">
      <c r="A330" s="36">
        <v>327</v>
      </c>
      <c r="B330" s="57" t="str">
        <f>IF(Tabla1[[#This Row],[TRABAJADOR]]="", "", VLOOKUP(Tabla1[[#This Row],[TRABAJADOR]], 'Colaborador ID'!B:C, 2, FALSE))</f>
        <v>E1806</v>
      </c>
      <c r="C330" s="56" t="s">
        <v>636</v>
      </c>
      <c r="D330" s="57" t="s">
        <v>637</v>
      </c>
      <c r="E330" s="64" t="s">
        <v>16</v>
      </c>
      <c r="F330" s="49" t="e" vm="1">
        <v>#VALUE!</v>
      </c>
      <c r="G330" s="58">
        <v>45958</v>
      </c>
      <c r="H330" s="57" t="e" vm="2">
        <v>#VALUE!</v>
      </c>
      <c r="I330" s="57"/>
      <c r="J330" s="57"/>
      <c r="K330" s="57"/>
      <c r="L330" s="4"/>
      <c r="M330" s="35"/>
    </row>
    <row r="331" spans="1:13" ht="15.9" customHeight="1" x14ac:dyDescent="0.3">
      <c r="A331" s="36">
        <v>328</v>
      </c>
      <c r="B331" s="64" t="str">
        <f>IF(Tabla1[[#This Row],[TRABAJADOR]]="", "", VLOOKUP(Tabla1[[#This Row],[TRABAJADOR]], 'Colaborador ID'!B:C, 2, FALSE))</f>
        <v>E0225</v>
      </c>
      <c r="C331" s="63" t="s">
        <v>638</v>
      </c>
      <c r="D331" s="64" t="s">
        <v>639</v>
      </c>
      <c r="E331" s="64"/>
      <c r="F331" s="57" t="e" vm="1">
        <v>#VALUE!</v>
      </c>
      <c r="G331" s="58"/>
      <c r="H331" s="57" t="e" vm="2">
        <v>#VALUE!</v>
      </c>
      <c r="I331" s="64"/>
      <c r="J331" s="57"/>
      <c r="K331" s="57"/>
      <c r="L331" s="4"/>
      <c r="M331" s="35"/>
    </row>
    <row r="332" spans="1:13" ht="15.9" customHeight="1" x14ac:dyDescent="0.3">
      <c r="A332" s="36">
        <v>329</v>
      </c>
      <c r="B332" s="64" t="e">
        <f>IF(Tabla1[[#This Row],[TRABAJADOR]]="", "", VLOOKUP(Tabla1[[#This Row],[TRABAJADOR]], 'Colaborador ID'!B:C, 2, FALSE))</f>
        <v>#N/A</v>
      </c>
      <c r="C332" s="63" t="s">
        <v>640</v>
      </c>
      <c r="D332" s="64" t="s">
        <v>641</v>
      </c>
      <c r="E332" s="64" t="s">
        <v>13</v>
      </c>
      <c r="F332" s="38" t="e" vm="1">
        <v>#VALUE!</v>
      </c>
      <c r="G332" s="58">
        <v>45775</v>
      </c>
      <c r="H332" s="57" t="e" vm="2">
        <v>#VALUE!</v>
      </c>
      <c r="I332" s="64"/>
      <c r="J332" s="57"/>
      <c r="K332" s="57"/>
      <c r="L332" s="4"/>
      <c r="M332" s="35"/>
    </row>
    <row r="333" spans="1:13" ht="15.9" customHeight="1" x14ac:dyDescent="0.3">
      <c r="A333" s="36">
        <v>330</v>
      </c>
      <c r="B333" s="64" t="str">
        <f>IF(Tabla1[[#This Row],[TRABAJADOR]]="", "", VLOOKUP(Tabla1[[#This Row],[TRABAJADOR]], 'Colaborador ID'!B:C, 2, FALSE))</f>
        <v>E0984</v>
      </c>
      <c r="C333" s="63" t="s">
        <v>642</v>
      </c>
      <c r="D333" s="64" t="s">
        <v>643</v>
      </c>
      <c r="E333" s="64" t="s">
        <v>16</v>
      </c>
      <c r="F333" s="49" t="e" vm="1">
        <v>#VALUE!</v>
      </c>
      <c r="G333" s="58"/>
      <c r="H333" s="57" t="e" vm="2">
        <v>#VALUE!</v>
      </c>
      <c r="I333" s="64"/>
      <c r="J333" s="57"/>
      <c r="K333" s="57"/>
      <c r="L333" s="4"/>
      <c r="M333" s="35"/>
    </row>
    <row r="334" spans="1:13" ht="15.9" customHeight="1" x14ac:dyDescent="0.3">
      <c r="A334" s="36">
        <v>331</v>
      </c>
      <c r="B334" s="64" t="str">
        <f>IF(Tabla1[[#This Row],[TRABAJADOR]]="", "", VLOOKUP(Tabla1[[#This Row],[TRABAJADOR]], 'Colaborador ID'!B:C, 2, FALSE))</f>
        <v>E1481</v>
      </c>
      <c r="C334" s="63" t="s">
        <v>644</v>
      </c>
      <c r="D334" s="64" t="s">
        <v>645</v>
      </c>
      <c r="E334" s="64" t="s">
        <v>16</v>
      </c>
      <c r="F334" s="6" t="e" vm="1">
        <v>#VALUE!</v>
      </c>
      <c r="G334" s="58"/>
      <c r="H334" s="57" t="e" vm="2">
        <v>#VALUE!</v>
      </c>
      <c r="I334" s="64" t="s">
        <v>22</v>
      </c>
      <c r="J334" s="57"/>
      <c r="K334" s="57"/>
      <c r="L334" s="4"/>
      <c r="M334" s="35"/>
    </row>
    <row r="335" spans="1:13" ht="15.9" customHeight="1" x14ac:dyDescent="0.3">
      <c r="A335" s="36">
        <v>332</v>
      </c>
      <c r="B335" s="57" t="str">
        <f>IF(Tabla1[[#This Row],[TRABAJADOR]]="", "", VLOOKUP(Tabla1[[#This Row],[TRABAJADOR]], 'Colaborador ID'!B:C, 2, FALSE))</f>
        <v>E2015</v>
      </c>
      <c r="C335" s="56" t="s">
        <v>646</v>
      </c>
      <c r="D335" s="57" t="s">
        <v>647</v>
      </c>
      <c r="E335" s="64" t="s">
        <v>648</v>
      </c>
      <c r="F335" s="49" t="e" vm="1">
        <v>#VALUE!</v>
      </c>
      <c r="G335" s="58">
        <v>45980</v>
      </c>
      <c r="H335" s="57" t="e" vm="2">
        <v>#VALUE!</v>
      </c>
      <c r="I335" s="57"/>
      <c r="J335" s="57"/>
      <c r="K335" s="57"/>
      <c r="L335" s="4"/>
      <c r="M335" s="35"/>
    </row>
    <row r="336" spans="1:13" ht="15.9" customHeight="1" x14ac:dyDescent="0.3">
      <c r="A336" s="36">
        <v>333</v>
      </c>
      <c r="B336" s="64" t="str">
        <f>IF(Tabla1[[#This Row],[TRABAJADOR]]="", "", VLOOKUP(Tabla1[[#This Row],[TRABAJADOR]], 'Colaborador ID'!B:C, 2, FALSE))</f>
        <v>E1482</v>
      </c>
      <c r="C336" s="63" t="s">
        <v>649</v>
      </c>
      <c r="D336" s="64" t="s">
        <v>650</v>
      </c>
      <c r="E336" s="64" t="s">
        <v>16</v>
      </c>
      <c r="F336" s="49" t="e" vm="1">
        <v>#VALUE!</v>
      </c>
      <c r="G336" s="58"/>
      <c r="H336" s="57" t="e" vm="2">
        <v>#VALUE!</v>
      </c>
      <c r="I336" s="64" t="s">
        <v>22</v>
      </c>
      <c r="J336" s="57"/>
      <c r="K336" s="57"/>
      <c r="L336" s="4"/>
      <c r="M336" s="35"/>
    </row>
    <row r="337" spans="1:13" ht="15.9" customHeight="1" x14ac:dyDescent="0.3">
      <c r="A337" s="36">
        <v>334</v>
      </c>
      <c r="B337" s="64" t="str">
        <f>IF(Tabla1[[#This Row],[TRABAJADOR]]="", "", VLOOKUP(Tabla1[[#This Row],[TRABAJADOR]], 'Colaborador ID'!B:C, 2, FALSE))</f>
        <v>E0106</v>
      </c>
      <c r="C337" s="63" t="s">
        <v>651</v>
      </c>
      <c r="D337" s="64" t="s">
        <v>652</v>
      </c>
      <c r="E337" s="64" t="s">
        <v>19</v>
      </c>
      <c r="F337" s="38" t="e" vm="1">
        <v>#VALUE!</v>
      </c>
      <c r="G337" s="58">
        <v>45741</v>
      </c>
      <c r="H337" s="57" t="e" vm="2">
        <v>#VALUE!</v>
      </c>
      <c r="I337" s="64"/>
      <c r="J337" s="57"/>
      <c r="K337" s="57"/>
      <c r="L337" s="4"/>
      <c r="M337" s="35"/>
    </row>
    <row r="338" spans="1:13" ht="15.9" customHeight="1" x14ac:dyDescent="0.3">
      <c r="A338" s="36">
        <v>335</v>
      </c>
      <c r="B338" s="57" t="str">
        <f>IF(Tabla1[[#This Row],[TRABAJADOR]]="", "", VLOOKUP(Tabla1[[#This Row],[TRABAJADOR]], 'Colaborador ID'!B:C, 2, FALSE))</f>
        <v>E1740</v>
      </c>
      <c r="C338" s="56" t="s">
        <v>653</v>
      </c>
      <c r="D338" s="57" t="s">
        <v>654</v>
      </c>
      <c r="E338" s="64" t="s">
        <v>16</v>
      </c>
      <c r="F338" s="49" t="e" vm="1">
        <v>#VALUE!</v>
      </c>
      <c r="G338" s="58">
        <v>45912</v>
      </c>
      <c r="H338" s="57" t="e" vm="2">
        <v>#VALUE!</v>
      </c>
      <c r="I338" s="57"/>
      <c r="J338" s="57"/>
      <c r="K338" s="57"/>
      <c r="L338" s="4"/>
      <c r="M338" s="35"/>
    </row>
    <row r="339" spans="1:13" ht="15.9" customHeight="1" x14ac:dyDescent="0.3">
      <c r="A339" s="36">
        <v>336</v>
      </c>
      <c r="B339" s="64" t="str">
        <f>IF(Tabla1[[#This Row],[TRABAJADOR]]="", "", VLOOKUP(Tabla1[[#This Row],[TRABAJADOR]], 'Colaborador ID'!B:C, 2, FALSE))</f>
        <v>E0637</v>
      </c>
      <c r="C339" s="63" t="s">
        <v>655</v>
      </c>
      <c r="D339" s="64" t="s">
        <v>656</v>
      </c>
      <c r="E339" s="64" t="s">
        <v>19</v>
      </c>
      <c r="F339" s="38" t="e" vm="1">
        <v>#VALUE!</v>
      </c>
      <c r="G339" s="58">
        <v>45803</v>
      </c>
      <c r="H339" s="57" t="e" vm="2">
        <v>#VALUE!</v>
      </c>
      <c r="I339" s="64"/>
      <c r="J339" s="57"/>
      <c r="K339" s="57"/>
      <c r="L339" s="4"/>
      <c r="M339" s="35"/>
    </row>
    <row r="340" spans="1:13" ht="15.9" customHeight="1" x14ac:dyDescent="0.3">
      <c r="A340" s="36">
        <v>337</v>
      </c>
      <c r="B340" s="64" t="str">
        <f>IF(Tabla1[[#This Row],[TRABAJADOR]]="", "", VLOOKUP(Tabla1[[#This Row],[TRABAJADOR]], 'Colaborador ID'!B:C, 2, FALSE))</f>
        <v>E1411</v>
      </c>
      <c r="C340" s="63" t="s">
        <v>657</v>
      </c>
      <c r="D340" s="64" t="s">
        <v>658</v>
      </c>
      <c r="E340" s="64" t="s">
        <v>40</v>
      </c>
      <c r="F340" s="38" t="e" vm="1">
        <v>#VALUE!</v>
      </c>
      <c r="G340" s="58">
        <v>45849</v>
      </c>
      <c r="H340" s="57" t="e" vm="2">
        <v>#VALUE!</v>
      </c>
      <c r="I340" s="64"/>
      <c r="J340" s="57"/>
      <c r="K340" s="57"/>
      <c r="L340" s="4"/>
      <c r="M340" s="35"/>
    </row>
    <row r="341" spans="1:13" ht="15.9" customHeight="1" x14ac:dyDescent="0.35">
      <c r="A341" s="36">
        <v>338</v>
      </c>
      <c r="B341" s="64" t="str">
        <f>IF(Tabla1[[#This Row],[TRABAJADOR]]="", "", VLOOKUP(Tabla1[[#This Row],[TRABAJADOR]], 'Colaborador ID'!B:C, 2, FALSE))</f>
        <v>E0363</v>
      </c>
      <c r="C341" s="63" t="s">
        <v>659</v>
      </c>
      <c r="D341" s="64" t="s">
        <v>660</v>
      </c>
      <c r="E341" s="64" t="s">
        <v>19</v>
      </c>
      <c r="F341" s="37" t="e" vm="1">
        <v>#VALUE!</v>
      </c>
      <c r="G341" s="58">
        <v>45867</v>
      </c>
      <c r="H341" s="40" t="e" vm="2">
        <v>#VALUE!</v>
      </c>
      <c r="I341" s="64"/>
      <c r="J341" s="57"/>
      <c r="K341" s="57"/>
      <c r="L341" s="4"/>
      <c r="M341" s="35"/>
    </row>
    <row r="342" spans="1:13" ht="15.9" customHeight="1" x14ac:dyDescent="0.3">
      <c r="A342" s="36">
        <v>339</v>
      </c>
      <c r="B342" s="64" t="str">
        <f>IF(Tabla1[[#This Row],[TRABAJADOR]]="", "", VLOOKUP(Tabla1[[#This Row],[TRABAJADOR]], 'Colaborador ID'!B:C, 2, FALSE))</f>
        <v>E0661</v>
      </c>
      <c r="C342" s="63" t="s">
        <v>661</v>
      </c>
      <c r="D342" s="64" t="s">
        <v>662</v>
      </c>
      <c r="E342" s="64" t="s">
        <v>16</v>
      </c>
      <c r="F342" s="49" t="e" vm="1">
        <v>#VALUE!</v>
      </c>
      <c r="G342" s="58"/>
      <c r="H342" s="57" t="e" vm="2">
        <v>#VALUE!</v>
      </c>
      <c r="I342" s="64"/>
      <c r="J342" s="57"/>
      <c r="K342" s="57"/>
      <c r="L342" s="4"/>
      <c r="M342" s="35"/>
    </row>
    <row r="343" spans="1:13" ht="15.9" customHeight="1" x14ac:dyDescent="0.3">
      <c r="A343" s="36">
        <v>340</v>
      </c>
      <c r="B343" s="64" t="str">
        <f>IF(Tabla1[[#This Row],[TRABAJADOR]]="", "", VLOOKUP(Tabla1[[#This Row],[TRABAJADOR]], 'Colaborador ID'!B:C, 2, FALSE))</f>
        <v>E0692</v>
      </c>
      <c r="C343" s="63" t="s">
        <v>663</v>
      </c>
      <c r="D343" s="64" t="s">
        <v>664</v>
      </c>
      <c r="E343" s="64" t="s">
        <v>16</v>
      </c>
      <c r="F343" s="49" t="e" vm="1">
        <v>#VALUE!</v>
      </c>
      <c r="G343" s="58"/>
      <c r="H343" s="57" t="e" vm="2">
        <v>#VALUE!</v>
      </c>
      <c r="I343" s="64" t="s">
        <v>22</v>
      </c>
      <c r="J343" s="57"/>
      <c r="K343" s="57"/>
      <c r="L343" s="4"/>
      <c r="M343" s="35"/>
    </row>
    <row r="344" spans="1:13" ht="15.9" customHeight="1" x14ac:dyDescent="0.3">
      <c r="A344" s="36">
        <v>341</v>
      </c>
      <c r="B344" s="57" t="str">
        <f>IF(Tabla1[[#This Row],[TRABAJADOR]]="", "", VLOOKUP(Tabla1[[#This Row],[TRABAJADOR]], 'Colaborador ID'!B:C, 2, FALSE))</f>
        <v>E1937</v>
      </c>
      <c r="C344" s="56" t="s">
        <v>665</v>
      </c>
      <c r="D344" s="57" t="s">
        <v>666</v>
      </c>
      <c r="E344" s="64"/>
      <c r="F344" s="49" t="e" vm="1">
        <v>#VALUE!</v>
      </c>
      <c r="G344" s="58">
        <v>45953</v>
      </c>
      <c r="H344" s="57" t="e" vm="2">
        <v>#VALUE!</v>
      </c>
      <c r="I344" s="57"/>
      <c r="J344" s="57"/>
      <c r="K344" s="57"/>
      <c r="L344" s="4"/>
      <c r="M344" s="35"/>
    </row>
    <row r="345" spans="1:13" ht="15.9" customHeight="1" x14ac:dyDescent="0.3">
      <c r="A345" s="36">
        <v>342</v>
      </c>
      <c r="B345" s="57" t="str">
        <f>IF(Tabla1[[#This Row],[TRABAJADOR]]="", "", VLOOKUP(Tabla1[[#This Row],[TRABAJADOR]], 'Colaborador ID'!B:C, 2, FALSE))</f>
        <v>E1915</v>
      </c>
      <c r="C345" s="56" t="s">
        <v>667</v>
      </c>
      <c r="D345" s="57" t="s">
        <v>5324</v>
      </c>
      <c r="E345" s="64" t="s">
        <v>271</v>
      </c>
      <c r="F345" s="98" t="e" vm="1">
        <v>#VALUE!</v>
      </c>
      <c r="G345" s="58">
        <v>46036</v>
      </c>
      <c r="H345" s="49" t="e" vm="2">
        <v>#VALUE!</v>
      </c>
      <c r="I345" s="57" t="s">
        <v>22</v>
      </c>
      <c r="J345" s="57"/>
      <c r="K345" s="57"/>
      <c r="L345" s="4"/>
      <c r="M345" s="35"/>
    </row>
    <row r="346" spans="1:13" ht="15.9" customHeight="1" x14ac:dyDescent="0.3">
      <c r="A346" s="36">
        <v>343</v>
      </c>
      <c r="B346" s="64" t="str">
        <f>IF(Tabla1[[#This Row],[TRABAJADOR]]="", "", VLOOKUP(Tabla1[[#This Row],[TRABAJADOR]], 'Colaborador ID'!B:C, 2, FALSE))</f>
        <v>E0107</v>
      </c>
      <c r="C346" s="63" t="s">
        <v>668</v>
      </c>
      <c r="D346" s="64" t="s">
        <v>669</v>
      </c>
      <c r="E346" s="64" t="s">
        <v>19</v>
      </c>
      <c r="F346" s="51" t="e" vm="1">
        <v>#VALUE!</v>
      </c>
      <c r="G346" s="58"/>
      <c r="H346" s="57" t="e" vm="2">
        <v>#VALUE!</v>
      </c>
      <c r="I346" s="64"/>
      <c r="J346" s="57"/>
      <c r="K346" s="57"/>
      <c r="L346" s="4"/>
      <c r="M346" s="35"/>
    </row>
    <row r="347" spans="1:13" ht="15.9" customHeight="1" x14ac:dyDescent="0.3">
      <c r="A347" s="36">
        <v>344</v>
      </c>
      <c r="B347" s="64" t="str">
        <f>IF(Tabla1[[#This Row],[TRABAJADOR]]="", "", VLOOKUP(Tabla1[[#This Row],[TRABAJADOR]], 'Colaborador ID'!B:C, 2, FALSE))</f>
        <v>E0494</v>
      </c>
      <c r="C347" s="63" t="s">
        <v>670</v>
      </c>
      <c r="D347" s="64" t="s">
        <v>671</v>
      </c>
      <c r="E347" s="64" t="s">
        <v>19</v>
      </c>
      <c r="F347" s="32" t="e" vm="1">
        <v>#VALUE!</v>
      </c>
      <c r="G347" s="58">
        <v>45828</v>
      </c>
      <c r="H347" s="40" t="e" vm="2">
        <v>#VALUE!</v>
      </c>
      <c r="I347" s="64"/>
      <c r="J347" s="57"/>
      <c r="K347" s="57"/>
      <c r="L347" s="4"/>
      <c r="M347" s="35"/>
    </row>
    <row r="348" spans="1:13" ht="15.9" customHeight="1" x14ac:dyDescent="0.3">
      <c r="A348" s="36">
        <v>345</v>
      </c>
      <c r="B348" s="64" t="str">
        <f>IF(Tabla1[[#This Row],[TRABAJADOR]]="", "", VLOOKUP(Tabla1[[#This Row],[TRABAJADOR]], 'Colaborador ID'!B:C, 2, FALSE))</f>
        <v>E0427</v>
      </c>
      <c r="C348" s="63" t="s">
        <v>672</v>
      </c>
      <c r="D348" s="64" t="s">
        <v>673</v>
      </c>
      <c r="E348" s="64"/>
      <c r="F348" s="57" t="e" vm="1">
        <v>#VALUE!</v>
      </c>
      <c r="G348" s="58"/>
      <c r="H348" s="57" t="e" vm="2">
        <v>#VALUE!</v>
      </c>
      <c r="I348" s="64"/>
      <c r="J348" s="57"/>
      <c r="K348" s="57"/>
      <c r="L348" s="4"/>
      <c r="M348" s="35"/>
    </row>
    <row r="349" spans="1:13" ht="15.9" customHeight="1" x14ac:dyDescent="0.35">
      <c r="A349" s="36">
        <v>346</v>
      </c>
      <c r="B349" s="64" t="str">
        <f>IF(Tabla1[[#This Row],[TRABAJADOR]]="", "", VLOOKUP(Tabla1[[#This Row],[TRABAJADOR]], 'Colaborador ID'!B:C, 2, FALSE))</f>
        <v>E1334</v>
      </c>
      <c r="C349" s="63" t="s">
        <v>674</v>
      </c>
      <c r="D349" s="64" t="s">
        <v>675</v>
      </c>
      <c r="E349" s="64" t="s">
        <v>19</v>
      </c>
      <c r="F349" s="37" t="e" vm="1">
        <v>#VALUE!</v>
      </c>
      <c r="G349" s="58"/>
      <c r="H349" s="57" t="e" vm="2">
        <v>#VALUE!</v>
      </c>
      <c r="I349" s="64"/>
      <c r="J349" s="57"/>
      <c r="K349" s="57"/>
      <c r="L349" s="4"/>
      <c r="M349" s="35"/>
    </row>
    <row r="350" spans="1:13" ht="15.9" customHeight="1" x14ac:dyDescent="0.3">
      <c r="A350" s="36">
        <v>347</v>
      </c>
      <c r="B350" s="64" t="str">
        <f>IF(Tabla1[[#This Row],[TRABAJADOR]]="", "", VLOOKUP(Tabla1[[#This Row],[TRABAJADOR]], 'Colaborador ID'!B:C, 2, FALSE))</f>
        <v>E0257</v>
      </c>
      <c r="C350" s="63" t="s">
        <v>676</v>
      </c>
      <c r="D350" s="64" t="s">
        <v>677</v>
      </c>
      <c r="E350" s="64"/>
      <c r="F350" s="49" t="e" vm="1">
        <v>#VALUE!</v>
      </c>
      <c r="G350" s="58"/>
      <c r="H350" s="57" t="e" vm="2">
        <v>#VALUE!</v>
      </c>
      <c r="I350" s="64"/>
      <c r="J350" s="57"/>
      <c r="K350" s="57"/>
      <c r="L350" s="4"/>
      <c r="M350" s="35"/>
    </row>
    <row r="351" spans="1:13" ht="15.9" customHeight="1" x14ac:dyDescent="0.3">
      <c r="A351" s="36">
        <v>348</v>
      </c>
      <c r="B351" s="64" t="str">
        <f>IF(Tabla1[[#This Row],[TRABAJADOR]]="", "", VLOOKUP(Tabla1[[#This Row],[TRABAJADOR]], 'Colaborador ID'!B:C, 2, FALSE))</f>
        <v>E1412</v>
      </c>
      <c r="C351" s="63" t="s">
        <v>678</v>
      </c>
      <c r="D351" s="64" t="s">
        <v>679</v>
      </c>
      <c r="E351" s="64" t="s">
        <v>19</v>
      </c>
      <c r="F351" s="38" t="e" vm="1">
        <v>#VALUE!</v>
      </c>
      <c r="G351" s="58">
        <v>45847</v>
      </c>
      <c r="H351" s="57" t="e" vm="2">
        <v>#VALUE!</v>
      </c>
      <c r="I351" s="64"/>
      <c r="J351" s="57"/>
      <c r="K351" s="57"/>
      <c r="L351" s="4"/>
      <c r="M351" s="35"/>
    </row>
    <row r="352" spans="1:13" ht="15.9" customHeight="1" x14ac:dyDescent="0.3">
      <c r="A352" s="36">
        <v>349</v>
      </c>
      <c r="B352" s="57" t="str">
        <f>IF(Tabla1[[#This Row],[TRABAJADOR]]="", "", VLOOKUP(Tabla1[[#This Row],[TRABAJADOR]], 'Colaborador ID'!B:C, 2, FALSE))</f>
        <v>E1677</v>
      </c>
      <c r="C352" s="56" t="s">
        <v>680</v>
      </c>
      <c r="D352" s="57" t="s">
        <v>681</v>
      </c>
      <c r="E352" s="64" t="s">
        <v>16</v>
      </c>
      <c r="F352" s="49" t="e" vm="1">
        <v>#VALUE!</v>
      </c>
      <c r="G352" s="58">
        <v>45912</v>
      </c>
      <c r="H352" s="57" t="e" vm="2">
        <v>#VALUE!</v>
      </c>
      <c r="I352" s="57"/>
      <c r="J352" s="57"/>
      <c r="K352" s="57"/>
      <c r="L352" s="4"/>
      <c r="M352" s="35"/>
    </row>
    <row r="353" spans="1:13" ht="15.9" customHeight="1" x14ac:dyDescent="0.3">
      <c r="A353" s="36">
        <v>350</v>
      </c>
      <c r="B353" s="64" t="str">
        <f>IF(Tabla1[[#This Row],[TRABAJADOR]]="", "", VLOOKUP(Tabla1[[#This Row],[TRABAJADOR]], 'Colaborador ID'!B:C, 2, FALSE))</f>
        <v>E0497</v>
      </c>
      <c r="C353" s="63" t="s">
        <v>682</v>
      </c>
      <c r="D353" s="64" t="s">
        <v>683</v>
      </c>
      <c r="E353" s="64" t="s">
        <v>19</v>
      </c>
      <c r="F353" s="38" t="e" vm="1">
        <v>#VALUE!</v>
      </c>
      <c r="G353" s="58">
        <v>45819</v>
      </c>
      <c r="H353" s="57" t="e" vm="2">
        <v>#VALUE!</v>
      </c>
      <c r="I353" s="64"/>
      <c r="J353" s="57"/>
      <c r="K353" s="57"/>
      <c r="L353" s="4"/>
      <c r="M353" s="35"/>
    </row>
    <row r="354" spans="1:13" ht="15.9" customHeight="1" x14ac:dyDescent="0.3">
      <c r="A354" s="36">
        <v>351</v>
      </c>
      <c r="B354" s="64" t="str">
        <f>IF(Tabla1[[#This Row],[TRABAJADOR]]="", "", VLOOKUP(Tabla1[[#This Row],[TRABAJADOR]], 'Colaborador ID'!B:C, 2, FALSE))</f>
        <v>E0030</v>
      </c>
      <c r="C354" s="63" t="s">
        <v>684</v>
      </c>
      <c r="D354" s="64" t="s">
        <v>685</v>
      </c>
      <c r="E354" s="64"/>
      <c r="F354" s="57" t="e" vm="1">
        <v>#VALUE!</v>
      </c>
      <c r="G354" s="58"/>
      <c r="H354" s="57" t="e" vm="2">
        <v>#VALUE!</v>
      </c>
      <c r="I354" s="64"/>
      <c r="J354" s="57"/>
      <c r="K354" s="57"/>
      <c r="L354" s="4"/>
      <c r="M354" s="35"/>
    </row>
    <row r="355" spans="1:13" ht="15.9" customHeight="1" x14ac:dyDescent="0.3">
      <c r="A355" s="36">
        <v>352</v>
      </c>
      <c r="B355" s="64" t="str">
        <f>IF(Tabla1[[#This Row],[TRABAJADOR]]="", "", VLOOKUP(Tabla1[[#This Row],[TRABAJADOR]], 'Colaborador ID'!B:C, 2, FALSE))</f>
        <v>E1130</v>
      </c>
      <c r="C355" s="63" t="s">
        <v>686</v>
      </c>
      <c r="D355" s="64" t="s">
        <v>687</v>
      </c>
      <c r="E355" s="64" t="s">
        <v>19</v>
      </c>
      <c r="F355" s="38" t="e" vm="1">
        <v>#VALUE!</v>
      </c>
      <c r="G355" s="58">
        <v>45750</v>
      </c>
      <c r="H355" s="57" t="e" vm="2">
        <v>#VALUE!</v>
      </c>
      <c r="I355" s="64"/>
      <c r="J355" s="57"/>
      <c r="K355" s="57"/>
      <c r="L355" s="4"/>
      <c r="M355" s="35"/>
    </row>
    <row r="356" spans="1:13" ht="15.9" customHeight="1" x14ac:dyDescent="0.4">
      <c r="A356" s="36">
        <v>353</v>
      </c>
      <c r="B356" s="64" t="str">
        <f>IF(Tabla1[[#This Row],[TRABAJADOR]]="", "", VLOOKUP(Tabla1[[#This Row],[TRABAJADOR]], 'Colaborador ID'!B:C, 2, FALSE))</f>
        <v>E0507</v>
      </c>
      <c r="C356" s="63" t="s">
        <v>688</v>
      </c>
      <c r="D356" s="64" t="s">
        <v>689</v>
      </c>
      <c r="E356" s="64" t="s">
        <v>16</v>
      </c>
      <c r="F356" s="51" t="e" vm="1">
        <v>#VALUE!</v>
      </c>
      <c r="G356" s="58"/>
      <c r="H356" s="39" t="e" vm="2">
        <v>#VALUE!</v>
      </c>
      <c r="I356" s="64"/>
      <c r="J356" s="57"/>
      <c r="K356" s="57"/>
      <c r="L356" s="4"/>
      <c r="M356" s="35"/>
    </row>
    <row r="357" spans="1:13" ht="15.9" customHeight="1" x14ac:dyDescent="0.3">
      <c r="A357" s="36">
        <v>354</v>
      </c>
      <c r="B357" s="64" t="str">
        <f>IF(Tabla1[[#This Row],[TRABAJADOR]]="", "", VLOOKUP(Tabla1[[#This Row],[TRABAJADOR]], 'Colaborador ID'!B:C, 2, FALSE))</f>
        <v>E0631</v>
      </c>
      <c r="C357" s="63" t="s">
        <v>690</v>
      </c>
      <c r="D357" s="64" t="s">
        <v>691</v>
      </c>
      <c r="E357" s="64" t="s">
        <v>19</v>
      </c>
      <c r="F357" s="38" t="e" vm="1">
        <v>#VALUE!</v>
      </c>
      <c r="G357" s="58">
        <v>45820</v>
      </c>
      <c r="H357" s="57" t="e" vm="2">
        <v>#VALUE!</v>
      </c>
      <c r="I357" s="64"/>
      <c r="J357" s="57"/>
      <c r="K357" s="57"/>
      <c r="L357" s="4"/>
      <c r="M357" s="35"/>
    </row>
    <row r="358" spans="1:13" ht="15.9" customHeight="1" x14ac:dyDescent="0.3">
      <c r="A358" s="36">
        <v>355</v>
      </c>
      <c r="B358" s="64" t="str">
        <f>IF(Tabla1[[#This Row],[TRABAJADOR]]="", "", VLOOKUP(Tabla1[[#This Row],[TRABAJADOR]], 'Colaborador ID'!B:C, 2, FALSE))</f>
        <v>E1484</v>
      </c>
      <c r="C358" s="63" t="s">
        <v>692</v>
      </c>
      <c r="D358" s="64" t="s">
        <v>693</v>
      </c>
      <c r="E358" s="64" t="s">
        <v>13</v>
      </c>
      <c r="F358" s="49" t="e" vm="1">
        <v>#VALUE!</v>
      </c>
      <c r="G358" s="58"/>
      <c r="H358" s="57" t="e" vm="2">
        <v>#VALUE!</v>
      </c>
      <c r="I358" s="64" t="s">
        <v>22</v>
      </c>
      <c r="J358" s="57"/>
      <c r="K358" s="57"/>
      <c r="L358" s="4"/>
      <c r="M358" s="35"/>
    </row>
    <row r="359" spans="1:13" ht="15.9" customHeight="1" x14ac:dyDescent="0.3">
      <c r="A359" s="36">
        <v>356</v>
      </c>
      <c r="B359" s="57" t="str">
        <f>IF(Tabla1[[#This Row],[TRABAJADOR]]="", "", VLOOKUP(Tabla1[[#This Row],[TRABAJADOR]], 'Colaborador ID'!B:C, 2, FALSE))</f>
        <v>E1413</v>
      </c>
      <c r="C359" s="56" t="s">
        <v>694</v>
      </c>
      <c r="D359" s="57" t="s">
        <v>695</v>
      </c>
      <c r="E359" s="64" t="s">
        <v>16</v>
      </c>
      <c r="F359" s="51" t="e" vm="1">
        <v>#VALUE!</v>
      </c>
      <c r="G359" s="58">
        <v>45891</v>
      </c>
      <c r="H359" s="6" t="e" vm="2">
        <v>#VALUE!</v>
      </c>
      <c r="I359" s="57"/>
      <c r="J359" s="57"/>
      <c r="K359" s="57"/>
      <c r="L359" s="4"/>
      <c r="M359" s="35"/>
    </row>
    <row r="360" spans="1:13" ht="15.9" customHeight="1" x14ac:dyDescent="0.3">
      <c r="A360" s="36">
        <v>357</v>
      </c>
      <c r="B360" s="64" t="str">
        <f>IF(Tabla1[[#This Row],[TRABAJADOR]]="", "", VLOOKUP(Tabla1[[#This Row],[TRABAJADOR]], 'Colaborador ID'!B:C, 2, FALSE))</f>
        <v>E0559</v>
      </c>
      <c r="C360" s="63" t="s">
        <v>696</v>
      </c>
      <c r="D360" s="64" t="s">
        <v>697</v>
      </c>
      <c r="E360" s="64" t="s">
        <v>16</v>
      </c>
      <c r="F360" s="38" t="e" vm="1">
        <v>#VALUE!</v>
      </c>
      <c r="G360" s="58"/>
      <c r="H360" s="57" t="e" vm="2">
        <v>#VALUE!</v>
      </c>
      <c r="I360" s="64"/>
      <c r="J360" s="57"/>
      <c r="K360" s="57"/>
      <c r="L360" s="4"/>
      <c r="M360" s="35"/>
    </row>
    <row r="361" spans="1:13" ht="15.9" customHeight="1" x14ac:dyDescent="0.3">
      <c r="A361" s="36">
        <v>358</v>
      </c>
      <c r="B361" s="64" t="str">
        <f>IF(Tabla1[[#This Row],[TRABAJADOR]]="", "", VLOOKUP(Tabla1[[#This Row],[TRABAJADOR]], 'Colaborador ID'!B:C, 2, FALSE))</f>
        <v>E0232</v>
      </c>
      <c r="C361" s="63" t="s">
        <v>698</v>
      </c>
      <c r="D361" s="64" t="s">
        <v>699</v>
      </c>
      <c r="E361" s="64" t="s">
        <v>16</v>
      </c>
      <c r="F361" s="49" t="e" vm="1">
        <v>#VALUE!</v>
      </c>
      <c r="G361" s="58"/>
      <c r="H361" s="57" t="e" vm="2">
        <v>#VALUE!</v>
      </c>
      <c r="I361" s="64"/>
      <c r="J361" s="57"/>
      <c r="K361" s="57"/>
      <c r="L361" s="4"/>
      <c r="M361" s="35"/>
    </row>
    <row r="362" spans="1:13" ht="15.9" customHeight="1" x14ac:dyDescent="0.3">
      <c r="A362" s="36">
        <v>359</v>
      </c>
      <c r="B362" s="57" t="str">
        <f>IF(Tabla1[[#This Row],[TRABAJADOR]]="", "", VLOOKUP(Tabla1[[#This Row],[TRABAJADOR]], 'Colaborador ID'!B:C, 2, FALSE))</f>
        <v>E1907</v>
      </c>
      <c r="C362" s="56" t="s">
        <v>700</v>
      </c>
      <c r="D362" s="57" t="s">
        <v>701</v>
      </c>
      <c r="E362" s="64" t="s">
        <v>16</v>
      </c>
      <c r="F362" s="49" t="e" vm="1">
        <v>#VALUE!</v>
      </c>
      <c r="G362" s="58">
        <v>45959</v>
      </c>
      <c r="H362" s="57" t="e" vm="2">
        <v>#VALUE!</v>
      </c>
      <c r="I362" s="57" t="s">
        <v>22</v>
      </c>
      <c r="J362" s="57"/>
      <c r="K362" s="57"/>
      <c r="L362" s="4"/>
      <c r="M362" s="35"/>
    </row>
    <row r="363" spans="1:13" ht="15.9" customHeight="1" x14ac:dyDescent="0.3">
      <c r="A363" s="36">
        <v>360</v>
      </c>
      <c r="B363" s="64" t="str">
        <f>IF(Tabla1[[#This Row],[TRABAJADOR]]="", "", VLOOKUP(Tabla1[[#This Row],[TRABAJADOR]], 'Colaborador ID'!B:C, 2, FALSE))</f>
        <v>E1485</v>
      </c>
      <c r="C363" s="63" t="s">
        <v>702</v>
      </c>
      <c r="D363" s="64" t="s">
        <v>703</v>
      </c>
      <c r="E363" s="64" t="s">
        <v>16</v>
      </c>
      <c r="F363" s="51" t="e" vm="1">
        <v>#VALUE!</v>
      </c>
      <c r="G363" s="58"/>
      <c r="H363" s="57" t="e" vm="2">
        <v>#VALUE!</v>
      </c>
      <c r="I363" s="64" t="s">
        <v>22</v>
      </c>
      <c r="J363" s="57"/>
      <c r="K363" s="57"/>
      <c r="L363" s="4"/>
      <c r="M363" s="35"/>
    </row>
    <row r="364" spans="1:13" ht="15.9" customHeight="1" x14ac:dyDescent="0.3">
      <c r="A364" s="36">
        <v>361</v>
      </c>
      <c r="B364" s="57" t="str">
        <f>IF(Tabla1[[#This Row],[TRABAJADOR]]="", "", VLOOKUP(Tabla1[[#This Row],[TRABAJADOR]], 'Colaborador ID'!B:C, 2, FALSE))</f>
        <v>E1787</v>
      </c>
      <c r="C364" s="56" t="s">
        <v>704</v>
      </c>
      <c r="D364" s="57" t="s">
        <v>705</v>
      </c>
      <c r="E364" s="64" t="s">
        <v>16</v>
      </c>
      <c r="F364" s="49" t="e" vm="1">
        <v>#VALUE!</v>
      </c>
      <c r="G364" s="58">
        <v>45912</v>
      </c>
      <c r="H364" s="57" t="e" vm="2">
        <v>#VALUE!</v>
      </c>
      <c r="I364" s="57"/>
      <c r="J364" s="57"/>
      <c r="K364" s="57"/>
      <c r="L364" s="4"/>
      <c r="M364" s="35"/>
    </row>
    <row r="365" spans="1:13" ht="15.9" customHeight="1" x14ac:dyDescent="0.3">
      <c r="A365" s="36">
        <v>362</v>
      </c>
      <c r="B365" s="64" t="str">
        <f>IF(Tabla1[[#This Row],[TRABAJADOR]]="", "", VLOOKUP(Tabla1[[#This Row],[TRABAJADOR]], 'Colaborador ID'!B:C, 2, FALSE))</f>
        <v>E0057</v>
      </c>
      <c r="C365" s="63" t="s">
        <v>706</v>
      </c>
      <c r="D365" s="64" t="s">
        <v>707</v>
      </c>
      <c r="E365" s="64" t="s">
        <v>708</v>
      </c>
      <c r="F365" s="6" t="e" vm="1">
        <v>#VALUE!</v>
      </c>
      <c r="G365" s="58">
        <v>45730</v>
      </c>
      <c r="H365" s="82" t="e" vm="2">
        <v>#VALUE!</v>
      </c>
      <c r="I365" s="64"/>
      <c r="J365" s="57"/>
      <c r="K365" s="57"/>
      <c r="L365" s="4"/>
      <c r="M365" s="35"/>
    </row>
    <row r="366" spans="1:13" ht="15.9" customHeight="1" x14ac:dyDescent="0.35">
      <c r="A366" s="36">
        <v>363</v>
      </c>
      <c r="B366" s="64" t="str">
        <f>IF(Tabla1[[#This Row],[TRABAJADOR]]="", "", VLOOKUP(Tabla1[[#This Row],[TRABAJADOR]], 'Colaborador ID'!B:C, 2, FALSE))</f>
        <v>E0364</v>
      </c>
      <c r="C366" s="63" t="s">
        <v>709</v>
      </c>
      <c r="D366" s="64" t="s">
        <v>710</v>
      </c>
      <c r="E366" s="64" t="s">
        <v>13</v>
      </c>
      <c r="F366" s="37" t="e" vm="1">
        <v>#VALUE!</v>
      </c>
      <c r="G366" s="58">
        <v>45814</v>
      </c>
      <c r="H366" s="40" t="e" vm="2">
        <v>#VALUE!</v>
      </c>
      <c r="I366" s="64"/>
      <c r="J366" s="57"/>
      <c r="K366" s="57"/>
      <c r="L366" s="4"/>
      <c r="M366" s="35"/>
    </row>
    <row r="367" spans="1:13" ht="15.9" customHeight="1" x14ac:dyDescent="0.3">
      <c r="A367" s="36">
        <v>364</v>
      </c>
      <c r="B367" s="64" t="str">
        <f>IF(Tabla1[[#This Row],[TRABAJADOR]]="", "", VLOOKUP(Tabla1[[#This Row],[TRABAJADOR]], 'Colaborador ID'!B:C, 2, FALSE))</f>
        <v>E0180</v>
      </c>
      <c r="C367" s="63" t="s">
        <v>711</v>
      </c>
      <c r="D367" s="64" t="s">
        <v>712</v>
      </c>
      <c r="E367" s="64" t="s">
        <v>19</v>
      </c>
      <c r="F367" s="49" t="e" vm="1">
        <v>#VALUE!</v>
      </c>
      <c r="G367" s="58"/>
      <c r="H367" s="57" t="e" vm="2">
        <v>#VALUE!</v>
      </c>
      <c r="I367" s="64"/>
      <c r="J367" s="57"/>
      <c r="K367" s="57"/>
      <c r="L367" s="4"/>
      <c r="M367" s="35"/>
    </row>
    <row r="368" spans="1:13" ht="15.9" customHeight="1" x14ac:dyDescent="0.3">
      <c r="A368" s="36">
        <v>365</v>
      </c>
      <c r="B368" s="57" t="str">
        <f>IF(Tabla1[[#This Row],[TRABAJADOR]]="", "", VLOOKUP(Tabla1[[#This Row],[TRABAJADOR]], 'Colaborador ID'!B:C, 2, FALSE))</f>
        <v>E1773</v>
      </c>
      <c r="C368" s="56" t="s">
        <v>713</v>
      </c>
      <c r="D368" s="57" t="s">
        <v>714</v>
      </c>
      <c r="E368" s="64" t="s">
        <v>16</v>
      </c>
      <c r="F368" s="49" t="e" vm="1">
        <v>#VALUE!</v>
      </c>
      <c r="G368" s="58">
        <v>45896</v>
      </c>
      <c r="H368" s="57" t="e" vm="2">
        <v>#VALUE!</v>
      </c>
      <c r="I368" s="57"/>
      <c r="J368" s="57"/>
      <c r="K368" s="57"/>
      <c r="L368" s="4"/>
      <c r="M368" s="35"/>
    </row>
    <row r="369" spans="1:13" ht="15.9" customHeight="1" x14ac:dyDescent="0.3">
      <c r="A369" s="36">
        <v>366</v>
      </c>
      <c r="B369" s="57" t="str">
        <f>IF(Tabla1[[#This Row],[TRABAJADOR]]="", "", VLOOKUP(Tabla1[[#This Row],[TRABAJADOR]], 'Colaborador ID'!B:C, 2, FALSE))</f>
        <v>E2046</v>
      </c>
      <c r="C369" s="56" t="s">
        <v>715</v>
      </c>
      <c r="D369" s="57" t="s">
        <v>716</v>
      </c>
      <c r="E369" s="64" t="s">
        <v>19</v>
      </c>
      <c r="F369" s="49" t="e" vm="1">
        <v>#VALUE!</v>
      </c>
      <c r="G369" s="58">
        <v>45967</v>
      </c>
      <c r="H369" s="57" t="e" vm="2">
        <v>#VALUE!</v>
      </c>
      <c r="I369" s="57"/>
      <c r="J369" s="57"/>
      <c r="K369" s="57"/>
      <c r="L369" s="4"/>
      <c r="M369" s="35"/>
    </row>
    <row r="370" spans="1:13" ht="15.9" customHeight="1" x14ac:dyDescent="0.35">
      <c r="A370" s="36">
        <v>367</v>
      </c>
      <c r="B370" s="64" t="str">
        <f>IF(Tabla1[[#This Row],[TRABAJADOR]]="", "", VLOOKUP(Tabla1[[#This Row],[TRABAJADOR]], 'Colaborador ID'!B:C, 2, FALSE))</f>
        <v>E0332</v>
      </c>
      <c r="C370" s="63" t="s">
        <v>717</v>
      </c>
      <c r="D370" s="64" t="s">
        <v>718</v>
      </c>
      <c r="E370" s="64" t="s">
        <v>271</v>
      </c>
      <c r="F370" s="37" t="e" vm="1">
        <v>#VALUE!</v>
      </c>
      <c r="G370" s="58"/>
      <c r="H370" s="57" t="e" vm="2">
        <v>#VALUE!</v>
      </c>
      <c r="I370" s="64"/>
      <c r="J370" s="57"/>
      <c r="K370" s="57"/>
      <c r="L370" s="4"/>
      <c r="M370" s="35"/>
    </row>
    <row r="371" spans="1:13" ht="15.9" customHeight="1" x14ac:dyDescent="0.3">
      <c r="A371" s="36">
        <v>368</v>
      </c>
      <c r="B371" s="64" t="str">
        <f>IF(Tabla1[[#This Row],[TRABAJADOR]]="", "", VLOOKUP(Tabla1[[#This Row],[TRABAJADOR]], 'Colaborador ID'!B:C, 2, FALSE))</f>
        <v>E0294</v>
      </c>
      <c r="C371" s="63" t="s">
        <v>719</v>
      </c>
      <c r="D371" s="64" t="s">
        <v>720</v>
      </c>
      <c r="E371" s="64" t="s">
        <v>16</v>
      </c>
      <c r="F371" s="49" t="e" vm="1">
        <v>#VALUE!</v>
      </c>
      <c r="G371" s="58"/>
      <c r="H371" s="57" t="e" vm="2">
        <v>#VALUE!</v>
      </c>
      <c r="I371" s="64" t="s">
        <v>22</v>
      </c>
      <c r="J371" s="57"/>
      <c r="K371" s="57"/>
      <c r="L371" s="4"/>
      <c r="M371" s="35"/>
    </row>
    <row r="372" spans="1:13" ht="15.9" customHeight="1" x14ac:dyDescent="0.3">
      <c r="A372" s="36">
        <v>369</v>
      </c>
      <c r="B372" s="64" t="str">
        <f>IF(Tabla1[[#This Row],[TRABAJADOR]]="", "", VLOOKUP(Tabla1[[#This Row],[TRABAJADOR]], 'Colaborador ID'!B:C, 2, FALSE))</f>
        <v>E1190</v>
      </c>
      <c r="C372" s="63" t="s">
        <v>721</v>
      </c>
      <c r="D372" s="64" t="s">
        <v>722</v>
      </c>
      <c r="E372" s="64" t="s">
        <v>16</v>
      </c>
      <c r="F372" s="38" t="e" vm="1">
        <v>#VALUE!</v>
      </c>
      <c r="G372" s="58">
        <v>45741</v>
      </c>
      <c r="H372" s="57" t="e" vm="2">
        <v>#VALUE!</v>
      </c>
      <c r="I372" s="64"/>
      <c r="J372" s="57"/>
      <c r="K372" s="57"/>
      <c r="L372" s="4"/>
      <c r="M372" s="35"/>
    </row>
    <row r="373" spans="1:13" ht="15.9" customHeight="1" x14ac:dyDescent="0.3">
      <c r="A373" s="36">
        <v>370</v>
      </c>
      <c r="B373" s="64" t="e">
        <f>IF(Tabla1[[#This Row],[TRABAJADOR]]="", "", VLOOKUP(Tabla1[[#This Row],[TRABAJADOR]], 'Colaborador ID'!B:C, 2, FALSE))</f>
        <v>#N/A</v>
      </c>
      <c r="C373" s="63" t="s">
        <v>723</v>
      </c>
      <c r="D373" s="64" t="s">
        <v>724</v>
      </c>
      <c r="E373" s="64" t="s">
        <v>16</v>
      </c>
      <c r="F373" s="38" t="e" vm="1">
        <v>#VALUE!</v>
      </c>
      <c r="G373" s="58">
        <v>45852</v>
      </c>
      <c r="H373" s="57" t="e" vm="2">
        <v>#VALUE!</v>
      </c>
      <c r="I373" s="64"/>
      <c r="J373" s="57"/>
      <c r="K373" s="57"/>
      <c r="L373" s="4"/>
      <c r="M373" s="35"/>
    </row>
    <row r="374" spans="1:13" ht="15.9" customHeight="1" x14ac:dyDescent="0.3">
      <c r="A374" s="36">
        <v>371</v>
      </c>
      <c r="B374" s="64" t="str">
        <f>IF(Tabla1[[#This Row],[TRABAJADOR]]="", "", VLOOKUP(Tabla1[[#This Row],[TRABAJADOR]], 'Colaborador ID'!B:C, 2, FALSE))</f>
        <v>E1486</v>
      </c>
      <c r="C374" s="63" t="s">
        <v>725</v>
      </c>
      <c r="D374" s="64" t="s">
        <v>726</v>
      </c>
      <c r="E374" s="64"/>
      <c r="F374" s="57" t="e" vm="1">
        <v>#VALUE!</v>
      </c>
      <c r="G374" s="58"/>
      <c r="H374" s="57" t="e" vm="2">
        <v>#VALUE!</v>
      </c>
      <c r="I374" s="64" t="s">
        <v>22</v>
      </c>
      <c r="J374" s="57"/>
      <c r="K374" s="57"/>
      <c r="L374" s="4"/>
      <c r="M374" s="35"/>
    </row>
    <row r="375" spans="1:13" ht="15.9" customHeight="1" x14ac:dyDescent="0.3">
      <c r="A375" s="36">
        <v>372</v>
      </c>
      <c r="B375" s="57" t="str">
        <f>IF(Tabla1[[#This Row],[TRABAJADOR]]="", "", VLOOKUP(Tabla1[[#This Row],[TRABAJADOR]], 'Colaborador ID'!B:C, 2, FALSE))</f>
        <v>E1712</v>
      </c>
      <c r="C375" s="56" t="s">
        <v>727</v>
      </c>
      <c r="D375" s="57" t="s">
        <v>728</v>
      </c>
      <c r="E375" s="64" t="s">
        <v>13</v>
      </c>
      <c r="F375" s="49" t="e" vm="1">
        <v>#VALUE!</v>
      </c>
      <c r="G375" s="58">
        <v>45897</v>
      </c>
      <c r="H375" s="57" t="e" vm="2">
        <v>#VALUE!</v>
      </c>
      <c r="I375" s="57"/>
      <c r="J375" s="57"/>
      <c r="K375" s="57"/>
      <c r="L375" s="4"/>
      <c r="M375" s="35"/>
    </row>
    <row r="376" spans="1:13" ht="15.9" customHeight="1" x14ac:dyDescent="0.3">
      <c r="A376" s="36">
        <v>373</v>
      </c>
      <c r="B376" s="57" t="str">
        <f>IF(Tabla1[[#This Row],[TRABAJADOR]]="", "", VLOOKUP(Tabla1[[#This Row],[TRABAJADOR]], 'Colaborador ID'!B:C, 2, FALSE))</f>
        <v>E1922</v>
      </c>
      <c r="C376" s="56" t="s">
        <v>729</v>
      </c>
      <c r="D376" s="57" t="s">
        <v>730</v>
      </c>
      <c r="E376" s="64" t="s">
        <v>16</v>
      </c>
      <c r="F376" s="49" t="e" vm="1">
        <v>#VALUE!</v>
      </c>
      <c r="G376" s="58">
        <v>45958</v>
      </c>
      <c r="H376" s="6" t="e" vm="2">
        <v>#VALUE!</v>
      </c>
      <c r="I376" s="57"/>
      <c r="J376" s="57"/>
      <c r="K376" s="57"/>
      <c r="L376" s="4"/>
      <c r="M376" s="35"/>
    </row>
    <row r="377" spans="1:13" ht="15.9" customHeight="1" x14ac:dyDescent="0.3">
      <c r="A377" s="36">
        <v>374</v>
      </c>
      <c r="B377" s="64" t="e">
        <f>IF(Tabla1[[#This Row],[TRABAJADOR]]="", "", VLOOKUP(Tabla1[[#This Row],[TRABAJADOR]], 'Colaborador ID'!B:C, 2, FALSE))</f>
        <v>#N/A</v>
      </c>
      <c r="C377" s="63" t="s">
        <v>731</v>
      </c>
      <c r="D377" s="64" t="s">
        <v>732</v>
      </c>
      <c r="E377" s="64" t="s">
        <v>19</v>
      </c>
      <c r="F377" s="38" t="e" vm="1">
        <v>#VALUE!</v>
      </c>
      <c r="G377" s="58">
        <v>45783</v>
      </c>
      <c r="H377" s="57" t="e" vm="2">
        <v>#VALUE!</v>
      </c>
      <c r="I377" s="64"/>
      <c r="J377" s="57"/>
      <c r="K377" s="57"/>
      <c r="L377" s="4"/>
      <c r="M377" s="35"/>
    </row>
    <row r="378" spans="1:13" ht="15.9" customHeight="1" x14ac:dyDescent="0.3">
      <c r="A378" s="36">
        <v>375</v>
      </c>
      <c r="B378" s="64" t="str">
        <f>IF(Tabla1[[#This Row],[TRABAJADOR]]="", "", VLOOKUP(Tabla1[[#This Row],[TRABAJADOR]], 'Colaborador ID'!B:C, 2, FALSE))</f>
        <v>E0357</v>
      </c>
      <c r="C378" s="63" t="s">
        <v>733</v>
      </c>
      <c r="D378" s="64" t="s">
        <v>734</v>
      </c>
      <c r="E378" s="64"/>
      <c r="F378" s="57" t="e" vm="1">
        <v>#VALUE!</v>
      </c>
      <c r="G378" s="58"/>
      <c r="H378" s="57" t="e" vm="2">
        <v>#VALUE!</v>
      </c>
      <c r="I378" s="64"/>
      <c r="J378" s="57"/>
      <c r="K378" s="57"/>
      <c r="L378" s="4"/>
      <c r="M378" s="35"/>
    </row>
    <row r="379" spans="1:13" ht="15.9" customHeight="1" x14ac:dyDescent="0.3">
      <c r="A379" s="36">
        <v>376</v>
      </c>
      <c r="B379" s="64" t="str">
        <f>IF(Tabla1[[#This Row],[TRABAJADOR]]="", "", VLOOKUP(Tabla1[[#This Row],[TRABAJADOR]], 'Colaborador ID'!B:C, 2, FALSE))</f>
        <v>E0210</v>
      </c>
      <c r="C379" s="63" t="s">
        <v>735</v>
      </c>
      <c r="D379" s="64" t="s">
        <v>736</v>
      </c>
      <c r="E379" s="64" t="s">
        <v>33</v>
      </c>
      <c r="F379" s="49" t="e" vm="1">
        <v>#VALUE!</v>
      </c>
      <c r="G379" s="58"/>
      <c r="H379" s="57" t="e" vm="2">
        <v>#VALUE!</v>
      </c>
      <c r="I379" s="64"/>
      <c r="J379" s="57"/>
      <c r="K379" s="57"/>
      <c r="L379" s="4"/>
      <c r="M379" s="35"/>
    </row>
    <row r="380" spans="1:13" ht="15.9" customHeight="1" x14ac:dyDescent="0.3">
      <c r="A380" s="36">
        <v>377</v>
      </c>
      <c r="B380" s="57" t="str">
        <f>IF(Tabla1[[#This Row],[TRABAJADOR]]="", "", VLOOKUP(Tabla1[[#This Row],[TRABAJADOR]], 'Colaborador ID'!B:C, 2, FALSE))</f>
        <v>E2045</v>
      </c>
      <c r="C380" s="56" t="s">
        <v>3410</v>
      </c>
      <c r="D380" s="57" t="s">
        <v>5509</v>
      </c>
      <c r="E380" s="57" t="s">
        <v>16</v>
      </c>
      <c r="F380" s="51" t="e" vm="1">
        <v>#VALUE!</v>
      </c>
      <c r="G380" s="58">
        <v>46087</v>
      </c>
      <c r="H380" s="57" t="e" vm="3">
        <v>#VALUE!</v>
      </c>
      <c r="I380" s="57"/>
      <c r="J380" s="57"/>
      <c r="K380" s="57"/>
      <c r="L380" s="4"/>
      <c r="M380" s="35"/>
    </row>
    <row r="381" spans="1:13" ht="15.9" customHeight="1" x14ac:dyDescent="0.35">
      <c r="A381" s="36">
        <v>378</v>
      </c>
      <c r="B381" s="64" t="str">
        <f>IF(Tabla1[[#This Row],[TRABAJADOR]]="", "", VLOOKUP(Tabla1[[#This Row],[TRABAJADOR]], 'Colaborador ID'!B:C, 2, FALSE))</f>
        <v>E0233</v>
      </c>
      <c r="C381" s="63" t="s">
        <v>737</v>
      </c>
      <c r="D381" s="64" t="s">
        <v>738</v>
      </c>
      <c r="E381" s="64" t="s">
        <v>19</v>
      </c>
      <c r="F381" s="37" t="e" vm="1">
        <v>#VALUE!</v>
      </c>
      <c r="G381" s="58"/>
      <c r="H381" s="57" t="e" vm="2">
        <v>#VALUE!</v>
      </c>
      <c r="I381" s="64"/>
      <c r="J381" s="57"/>
      <c r="K381" s="57"/>
      <c r="L381" s="4"/>
      <c r="M381" s="35"/>
    </row>
    <row r="382" spans="1:13" ht="15.9" customHeight="1" x14ac:dyDescent="0.35">
      <c r="A382" s="36">
        <v>379</v>
      </c>
      <c r="B382" s="64" t="str">
        <f>IF(Tabla1[[#This Row],[TRABAJADOR]]="", "", VLOOKUP(Tabla1[[#This Row],[TRABAJADOR]], 'Colaborador ID'!B:C, 2, FALSE))</f>
        <v>E0784</v>
      </c>
      <c r="C382" s="63" t="s">
        <v>739</v>
      </c>
      <c r="D382" s="64" t="s">
        <v>740</v>
      </c>
      <c r="E382" s="64" t="s">
        <v>16</v>
      </c>
      <c r="F382" s="37" t="e" vm="1">
        <v>#VALUE!</v>
      </c>
      <c r="G382" s="58"/>
      <c r="H382" s="57" t="e" vm="2">
        <v>#VALUE!</v>
      </c>
      <c r="I382" s="64"/>
      <c r="J382" s="57"/>
      <c r="K382" s="57"/>
      <c r="L382" s="4"/>
      <c r="M382" s="35"/>
    </row>
    <row r="383" spans="1:13" ht="15.9" customHeight="1" x14ac:dyDescent="0.3">
      <c r="A383" s="36">
        <v>380</v>
      </c>
      <c r="B383" s="57" t="str">
        <f>IF(Tabla1[[#This Row],[TRABAJADOR]]="", "", VLOOKUP(Tabla1[[#This Row],[TRABAJADOR]], 'Colaborador ID'!B:C, 2, FALSE))</f>
        <v>E1704</v>
      </c>
      <c r="C383" s="56" t="s">
        <v>741</v>
      </c>
      <c r="D383" s="57" t="s">
        <v>742</v>
      </c>
      <c r="E383" s="64" t="s">
        <v>16</v>
      </c>
      <c r="F383" s="51" t="e" vm="1">
        <v>#VALUE!</v>
      </c>
      <c r="G383" s="58">
        <v>45891</v>
      </c>
      <c r="H383" s="57" t="e" vm="2">
        <v>#VALUE!</v>
      </c>
      <c r="I383" s="57"/>
      <c r="J383" s="57"/>
      <c r="K383" s="57"/>
      <c r="L383" s="4"/>
      <c r="M383" s="35"/>
    </row>
    <row r="384" spans="1:13" ht="15.9" customHeight="1" x14ac:dyDescent="0.3">
      <c r="A384" s="36">
        <v>381</v>
      </c>
      <c r="B384" s="64" t="str">
        <f>IF(Tabla1[[#This Row],[TRABAJADOR]]="", "", VLOOKUP(Tabla1[[#This Row],[TRABAJADOR]], 'Colaborador ID'!B:C, 2, FALSE))</f>
        <v>E1064</v>
      </c>
      <c r="C384" s="63" t="s">
        <v>743</v>
      </c>
      <c r="D384" s="64" t="s">
        <v>744</v>
      </c>
      <c r="E384" s="64" t="s">
        <v>13</v>
      </c>
      <c r="F384" s="49" t="e" vm="1">
        <v>#VALUE!</v>
      </c>
      <c r="G384" s="58"/>
      <c r="H384" s="57" t="e" vm="2">
        <v>#VALUE!</v>
      </c>
      <c r="I384" s="64"/>
      <c r="J384" s="57"/>
      <c r="K384" s="57"/>
      <c r="L384" s="4"/>
      <c r="M384" s="35"/>
    </row>
    <row r="385" spans="1:13" ht="15.9" customHeight="1" x14ac:dyDescent="0.35">
      <c r="A385" s="36">
        <v>382</v>
      </c>
      <c r="B385" s="64" t="str">
        <f>IF(Tabla1[[#This Row],[TRABAJADOR]]="", "", VLOOKUP(Tabla1[[#This Row],[TRABAJADOR]], 'Colaborador ID'!B:C, 2, FALSE))</f>
        <v>E0436</v>
      </c>
      <c r="C385" s="63" t="s">
        <v>745</v>
      </c>
      <c r="D385" s="64" t="s">
        <v>746</v>
      </c>
      <c r="E385" s="64" t="s">
        <v>16</v>
      </c>
      <c r="F385" s="41" t="e" vm="1">
        <v>#VALUE!</v>
      </c>
      <c r="G385" s="58">
        <v>45750</v>
      </c>
      <c r="H385" s="82" t="e" vm="2">
        <v>#VALUE!</v>
      </c>
      <c r="I385" s="64"/>
      <c r="J385" s="57"/>
      <c r="K385" s="57"/>
      <c r="L385" s="4"/>
      <c r="M385" s="35"/>
    </row>
    <row r="386" spans="1:13" ht="15.9" customHeight="1" x14ac:dyDescent="0.3">
      <c r="A386" s="36">
        <v>383</v>
      </c>
      <c r="B386" s="64" t="e">
        <f>IF(Tabla1[[#This Row],[TRABAJADOR]]="", "", VLOOKUP(Tabla1[[#This Row],[TRABAJADOR]], 'Colaborador ID'!B:C, 2, FALSE))</f>
        <v>#N/A</v>
      </c>
      <c r="C386" s="63" t="s">
        <v>747</v>
      </c>
      <c r="D386" s="64" t="s">
        <v>748</v>
      </c>
      <c r="E386" s="64"/>
      <c r="F386" s="57" t="e" vm="1">
        <v>#VALUE!</v>
      </c>
      <c r="G386" s="58"/>
      <c r="H386" s="57" t="e" vm="2">
        <v>#VALUE!</v>
      </c>
      <c r="I386" s="64"/>
      <c r="J386" s="57"/>
      <c r="K386" s="57"/>
      <c r="L386" s="4"/>
      <c r="M386" s="35"/>
    </row>
    <row r="387" spans="1:13" ht="15.9" customHeight="1" x14ac:dyDescent="0.3">
      <c r="A387" s="36">
        <v>384</v>
      </c>
      <c r="B387" s="64" t="str">
        <f>IF(Tabla1[[#This Row],[TRABAJADOR]]="", "", VLOOKUP(Tabla1[[#This Row],[TRABAJADOR]], 'Colaborador ID'!B:C, 2, FALSE))</f>
        <v>E0873</v>
      </c>
      <c r="C387" s="63" t="s">
        <v>749</v>
      </c>
      <c r="D387" s="64" t="s">
        <v>750</v>
      </c>
      <c r="E387" s="64" t="s">
        <v>16</v>
      </c>
      <c r="F387" s="38" t="e" vm="1">
        <v>#VALUE!</v>
      </c>
      <c r="G387" s="58">
        <v>45792</v>
      </c>
      <c r="H387" s="57" t="e" vm="2">
        <v>#VALUE!</v>
      </c>
      <c r="I387" s="64"/>
      <c r="J387" s="57"/>
      <c r="K387" s="57"/>
      <c r="L387" s="4"/>
      <c r="M387" s="35"/>
    </row>
    <row r="388" spans="1:13" ht="15.9" customHeight="1" x14ac:dyDescent="0.35">
      <c r="A388" s="36">
        <v>385</v>
      </c>
      <c r="B388" s="64" t="str">
        <f>IF(Tabla1[[#This Row],[TRABAJADOR]]="", "", VLOOKUP(Tabla1[[#This Row],[TRABAJADOR]], 'Colaborador ID'!B:C, 2, FALSE))</f>
        <v>E1069</v>
      </c>
      <c r="C388" s="63" t="s">
        <v>751</v>
      </c>
      <c r="D388" s="64" t="s">
        <v>752</v>
      </c>
      <c r="E388" s="64" t="s">
        <v>16</v>
      </c>
      <c r="F388" s="41" t="e" vm="1">
        <v>#VALUE!</v>
      </c>
      <c r="G388" s="58"/>
      <c r="H388" s="6" t="e" vm="2">
        <v>#VALUE!</v>
      </c>
      <c r="I388" s="64"/>
      <c r="J388" s="57"/>
      <c r="K388" s="57"/>
      <c r="L388" s="4"/>
      <c r="M388" s="35"/>
    </row>
    <row r="389" spans="1:13" ht="15.9" customHeight="1" x14ac:dyDescent="0.35">
      <c r="A389" s="36">
        <v>386</v>
      </c>
      <c r="B389" s="64" t="str">
        <f>IF(Tabla1[[#This Row],[TRABAJADOR]]="", "", VLOOKUP(Tabla1[[#This Row],[TRABAJADOR]], 'Colaborador ID'!B:C, 2, FALSE))</f>
        <v>E0579</v>
      </c>
      <c r="C389" s="63" t="s">
        <v>753</v>
      </c>
      <c r="D389" s="64" t="s">
        <v>754</v>
      </c>
      <c r="E389" s="64" t="s">
        <v>119</v>
      </c>
      <c r="F389" s="37" t="e" vm="1">
        <v>#VALUE!</v>
      </c>
      <c r="G389" s="58"/>
      <c r="H389" s="57" t="e" vm="2">
        <v>#VALUE!</v>
      </c>
      <c r="I389" s="64"/>
      <c r="J389" s="57"/>
      <c r="K389" s="57"/>
      <c r="L389" s="4"/>
      <c r="M389" s="35"/>
    </row>
    <row r="390" spans="1:13" ht="15.9" customHeight="1" x14ac:dyDescent="0.3">
      <c r="A390" s="36">
        <v>387</v>
      </c>
      <c r="B390" s="57" t="str">
        <f>IF(Tabla1[[#This Row],[TRABAJADOR]]="", "", VLOOKUP(Tabla1[[#This Row],[TRABAJADOR]], 'Colaborador ID'!B:C, 2, FALSE))</f>
        <v>E1840</v>
      </c>
      <c r="C390" s="56" t="s">
        <v>755</v>
      </c>
      <c r="D390" s="57" t="s">
        <v>756</v>
      </c>
      <c r="E390" s="64" t="s">
        <v>16</v>
      </c>
      <c r="F390" s="49" t="e" vm="1">
        <v>#VALUE!</v>
      </c>
      <c r="G390" s="58">
        <v>45967</v>
      </c>
      <c r="H390" s="57" t="e" vm="2">
        <v>#VALUE!</v>
      </c>
      <c r="I390" s="57" t="s">
        <v>22</v>
      </c>
      <c r="J390" s="57"/>
      <c r="K390" s="57"/>
      <c r="L390" s="4"/>
      <c r="M390" s="35"/>
    </row>
    <row r="391" spans="1:13" ht="15.9" customHeight="1" x14ac:dyDescent="0.35">
      <c r="A391" s="36">
        <v>388</v>
      </c>
      <c r="B391" s="64" t="str">
        <f>IF(Tabla1[[#This Row],[TRABAJADOR]]="", "", VLOOKUP(Tabla1[[#This Row],[TRABAJADOR]], 'Colaborador ID'!B:C, 2, FALSE))</f>
        <v>E0609</v>
      </c>
      <c r="C391" s="63" t="s">
        <v>757</v>
      </c>
      <c r="D391" s="64" t="s">
        <v>758</v>
      </c>
      <c r="E391" s="64" t="s">
        <v>16</v>
      </c>
      <c r="F391" s="37" t="e" vm="1">
        <v>#VALUE!</v>
      </c>
      <c r="G391" s="58"/>
      <c r="H391" s="57" t="e" vm="2">
        <v>#VALUE!</v>
      </c>
      <c r="I391" s="64"/>
      <c r="J391" s="57"/>
      <c r="K391" s="57"/>
      <c r="L391" s="4"/>
      <c r="M391" s="35"/>
    </row>
    <row r="392" spans="1:13" ht="15.9" customHeight="1" x14ac:dyDescent="0.3">
      <c r="A392" s="36">
        <v>389</v>
      </c>
      <c r="B392" s="64" t="str">
        <f>IF(Tabla1[[#This Row],[TRABAJADOR]]="", "", VLOOKUP(Tabla1[[#This Row],[TRABAJADOR]], 'Colaborador ID'!B:C, 2, FALSE))</f>
        <v>E0537</v>
      </c>
      <c r="C392" s="63" t="s">
        <v>759</v>
      </c>
      <c r="D392" s="64" t="s">
        <v>760</v>
      </c>
      <c r="E392" s="64" t="s">
        <v>16</v>
      </c>
      <c r="F392" s="49" t="e" vm="1">
        <v>#VALUE!</v>
      </c>
      <c r="G392" s="58"/>
      <c r="H392" s="57" t="e" vm="2">
        <v>#VALUE!</v>
      </c>
      <c r="I392" s="64"/>
      <c r="J392" s="57"/>
      <c r="K392" s="57"/>
      <c r="L392" s="4"/>
      <c r="M392" s="35"/>
    </row>
    <row r="393" spans="1:13" ht="15.9" customHeight="1" x14ac:dyDescent="0.3">
      <c r="A393" s="36">
        <v>390</v>
      </c>
      <c r="B393" s="64" t="str">
        <f>IF(Tabla1[[#This Row],[TRABAJADOR]]="", "", VLOOKUP(Tabla1[[#This Row],[TRABAJADOR]], 'Colaborador ID'!B:C, 2, FALSE))</f>
        <v>E1686</v>
      </c>
      <c r="C393" s="63" t="s">
        <v>761</v>
      </c>
      <c r="D393" s="64" t="s">
        <v>762</v>
      </c>
      <c r="E393" s="64" t="s">
        <v>19</v>
      </c>
      <c r="F393" s="49" t="e" vm="1">
        <v>#VALUE!</v>
      </c>
      <c r="G393" s="58">
        <v>45881</v>
      </c>
      <c r="H393" s="6" t="e" vm="2">
        <v>#VALUE!</v>
      </c>
      <c r="I393" s="64"/>
      <c r="J393" s="57"/>
      <c r="K393" s="57"/>
      <c r="L393" s="4"/>
      <c r="M393" s="35"/>
    </row>
    <row r="394" spans="1:13" ht="15.9" customHeight="1" x14ac:dyDescent="0.3">
      <c r="A394" s="36">
        <v>391</v>
      </c>
      <c r="B394" s="64" t="str">
        <f>IF(Tabla1[[#This Row],[TRABAJADOR]]="", "", VLOOKUP(Tabla1[[#This Row],[TRABAJADOR]], 'Colaborador ID'!B:C, 2, FALSE))</f>
        <v>E1488</v>
      </c>
      <c r="C394" s="63" t="s">
        <v>763</v>
      </c>
      <c r="D394" s="64" t="s">
        <v>764</v>
      </c>
      <c r="E394" s="64" t="s">
        <v>33</v>
      </c>
      <c r="F394" s="49" t="e" vm="1">
        <v>#VALUE!</v>
      </c>
      <c r="G394" s="58"/>
      <c r="H394" s="57" t="e" vm="2">
        <v>#VALUE!</v>
      </c>
      <c r="I394" s="64" t="s">
        <v>22</v>
      </c>
      <c r="J394" s="57"/>
      <c r="K394" s="57"/>
      <c r="L394" s="4"/>
      <c r="M394" s="35"/>
    </row>
    <row r="395" spans="1:13" ht="15.9" customHeight="1" x14ac:dyDescent="0.3">
      <c r="A395" s="36">
        <v>392</v>
      </c>
      <c r="B395" s="64" t="str">
        <f>IF(Tabla1[[#This Row],[TRABAJADOR]]="", "", VLOOKUP(Tabla1[[#This Row],[TRABAJADOR]], 'Colaborador ID'!B:C, 2, FALSE))</f>
        <v>E1388</v>
      </c>
      <c r="C395" s="63" t="s">
        <v>765</v>
      </c>
      <c r="D395" s="64" t="s">
        <v>766</v>
      </c>
      <c r="E395" s="64" t="s">
        <v>19</v>
      </c>
      <c r="F395" s="49" t="e" vm="1">
        <v>#VALUE!</v>
      </c>
      <c r="G395" s="58"/>
      <c r="H395" s="57" t="e" vm="2">
        <v>#VALUE!</v>
      </c>
      <c r="I395" s="64"/>
      <c r="J395" s="57"/>
      <c r="K395" s="57"/>
      <c r="L395" s="4"/>
      <c r="M395" s="35"/>
    </row>
    <row r="396" spans="1:13" ht="15.9" customHeight="1" x14ac:dyDescent="0.3">
      <c r="A396" s="36">
        <v>393</v>
      </c>
      <c r="B396" s="64" t="str">
        <f>IF(Tabla1[[#This Row],[TRABAJADOR]]="", "", VLOOKUP(Tabla1[[#This Row],[TRABAJADOR]], 'Colaborador ID'!B:C, 2, FALSE))</f>
        <v>E0796</v>
      </c>
      <c r="C396" s="63" t="s">
        <v>767</v>
      </c>
      <c r="D396" s="64" t="s">
        <v>768</v>
      </c>
      <c r="E396" s="64" t="s">
        <v>16</v>
      </c>
      <c r="F396" s="49" t="e" vm="1">
        <v>#VALUE!</v>
      </c>
      <c r="G396" s="58"/>
      <c r="H396" s="57" t="e" vm="2">
        <v>#VALUE!</v>
      </c>
      <c r="I396" s="64"/>
      <c r="J396" s="57"/>
      <c r="K396" s="57"/>
      <c r="L396" s="4"/>
      <c r="M396" s="35"/>
    </row>
    <row r="397" spans="1:13" ht="15.9" customHeight="1" x14ac:dyDescent="0.3">
      <c r="A397" s="36">
        <v>394</v>
      </c>
      <c r="B397" s="64" t="str">
        <f>IF(Tabla1[[#This Row],[TRABAJADOR]]="", "", VLOOKUP(Tabla1[[#This Row],[TRABAJADOR]], 'Colaborador ID'!B:C, 2, FALSE))</f>
        <v>E0435</v>
      </c>
      <c r="C397" s="63" t="s">
        <v>769</v>
      </c>
      <c r="D397" s="64" t="s">
        <v>770</v>
      </c>
      <c r="E397" s="64"/>
      <c r="F397" s="57" t="e" vm="1">
        <v>#VALUE!</v>
      </c>
      <c r="G397" s="58"/>
      <c r="H397" s="57" t="e" vm="2">
        <v>#VALUE!</v>
      </c>
      <c r="I397" s="64"/>
      <c r="J397" s="57"/>
      <c r="K397" s="57"/>
      <c r="L397" s="4"/>
      <c r="M397" s="35"/>
    </row>
    <row r="398" spans="1:13" ht="15.9" customHeight="1" x14ac:dyDescent="0.3">
      <c r="A398" s="36">
        <v>395</v>
      </c>
      <c r="B398" s="64" t="str">
        <f>IF(Tabla1[[#This Row],[TRABAJADOR]]="", "", VLOOKUP(Tabla1[[#This Row],[TRABAJADOR]], 'Colaborador ID'!B:C, 2, FALSE))</f>
        <v>E0407</v>
      </c>
      <c r="C398" s="63" t="s">
        <v>771</v>
      </c>
      <c r="D398" s="64" t="s">
        <v>772</v>
      </c>
      <c r="E398" s="64" t="s">
        <v>16</v>
      </c>
      <c r="F398" s="51" t="e" vm="1">
        <v>#VALUE!</v>
      </c>
      <c r="G398" s="58"/>
      <c r="H398" s="57" t="e" vm="2">
        <v>#VALUE!</v>
      </c>
      <c r="I398" s="64"/>
      <c r="J398" s="57"/>
      <c r="K398" s="57"/>
      <c r="L398" s="4"/>
      <c r="M398" s="35"/>
    </row>
    <row r="399" spans="1:13" ht="15.9" customHeight="1" x14ac:dyDescent="0.3">
      <c r="A399" s="36">
        <v>396</v>
      </c>
      <c r="B399" s="64" t="str">
        <f>IF(Tabla1[[#This Row],[TRABAJADOR]]="", "", VLOOKUP(Tabla1[[#This Row],[TRABAJADOR]], 'Colaborador ID'!B:C, 2, FALSE))</f>
        <v>E0424</v>
      </c>
      <c r="C399" s="63" t="s">
        <v>773</v>
      </c>
      <c r="D399" s="64" t="s">
        <v>774</v>
      </c>
      <c r="E399" s="64" t="s">
        <v>16</v>
      </c>
      <c r="F399" s="45" t="e" vm="1">
        <v>#VALUE!</v>
      </c>
      <c r="G399" s="58">
        <v>45735</v>
      </c>
      <c r="H399" s="90" t="e" vm="2">
        <v>#VALUE!</v>
      </c>
      <c r="I399" s="64"/>
      <c r="J399" s="57"/>
      <c r="K399" s="57"/>
      <c r="L399" s="4"/>
      <c r="M399" s="35"/>
    </row>
    <row r="400" spans="1:13" ht="15.9" customHeight="1" x14ac:dyDescent="0.3">
      <c r="A400" s="36">
        <v>397</v>
      </c>
      <c r="B400" s="57" t="str">
        <f>IF(Tabla1[[#This Row],[TRABAJADOR]]="", "", VLOOKUP(Tabla1[[#This Row],[TRABAJADOR]], 'Colaborador ID'!B:C, 2, FALSE))</f>
        <v>E2019</v>
      </c>
      <c r="C400" s="56" t="s">
        <v>775</v>
      </c>
      <c r="D400" s="57" t="s">
        <v>776</v>
      </c>
      <c r="E400" s="64" t="s">
        <v>13</v>
      </c>
      <c r="F400" s="49" t="e" vm="1">
        <v>#VALUE!</v>
      </c>
      <c r="G400" s="58">
        <v>45974</v>
      </c>
      <c r="H400" s="57" t="e" vm="2">
        <v>#VALUE!</v>
      </c>
      <c r="I400" s="57"/>
      <c r="J400" s="57"/>
      <c r="K400" s="57"/>
      <c r="L400" s="4"/>
      <c r="M400" s="35"/>
    </row>
    <row r="401" spans="1:13" ht="15.9" customHeight="1" x14ac:dyDescent="0.4">
      <c r="A401" s="36">
        <v>398</v>
      </c>
      <c r="B401" s="64" t="str">
        <f>IF(Tabla1[[#This Row],[TRABAJADOR]]="", "", VLOOKUP(Tabla1[[#This Row],[TRABAJADOR]], 'Colaborador ID'!B:C, 2, FALSE))</f>
        <v>E0348</v>
      </c>
      <c r="C401" s="63" t="s">
        <v>777</v>
      </c>
      <c r="D401" s="64" t="s">
        <v>778</v>
      </c>
      <c r="E401" s="64" t="s">
        <v>16</v>
      </c>
      <c r="F401" s="37" t="e" vm="1">
        <v>#VALUE!</v>
      </c>
      <c r="G401" s="58">
        <v>45726</v>
      </c>
      <c r="H401" s="39" t="e" vm="2">
        <v>#VALUE!</v>
      </c>
      <c r="I401" s="64"/>
      <c r="J401" s="57"/>
      <c r="K401" s="57"/>
      <c r="L401" s="4"/>
      <c r="M401" s="35"/>
    </row>
    <row r="402" spans="1:13" ht="15.9" customHeight="1" x14ac:dyDescent="0.3">
      <c r="A402" s="36">
        <v>399</v>
      </c>
      <c r="B402" s="57" t="str">
        <f>IF(Tabla1[[#This Row],[TRABAJADOR]]="", "", VLOOKUP(Tabla1[[#This Row],[TRABAJADOR]], 'Colaborador ID'!B:C, 2, FALSE))</f>
        <v>E1857</v>
      </c>
      <c r="C402" s="56" t="s">
        <v>779</v>
      </c>
      <c r="D402" s="57" t="s">
        <v>780</v>
      </c>
      <c r="E402" s="64" t="s">
        <v>13</v>
      </c>
      <c r="F402" s="49" t="e" vm="1">
        <v>#VALUE!</v>
      </c>
      <c r="G402" s="58">
        <v>45964</v>
      </c>
      <c r="H402" s="57" t="e" vm="2">
        <v>#VALUE!</v>
      </c>
      <c r="I402" s="64" t="s">
        <v>22</v>
      </c>
      <c r="J402" s="57"/>
      <c r="K402" s="57"/>
      <c r="L402" s="4"/>
      <c r="M402" s="35"/>
    </row>
    <row r="403" spans="1:13" ht="15.9" customHeight="1" x14ac:dyDescent="0.3">
      <c r="A403" s="36">
        <v>400</v>
      </c>
      <c r="B403" s="64" t="str">
        <f>IF(Tabla1[[#This Row],[TRABAJADOR]]="", "", VLOOKUP(Tabla1[[#This Row],[TRABAJADOR]], 'Colaborador ID'!B:C, 2, FALSE))</f>
        <v>E0932</v>
      </c>
      <c r="C403" s="63" t="s">
        <v>781</v>
      </c>
      <c r="D403" s="64" t="s">
        <v>782</v>
      </c>
      <c r="E403" s="64"/>
      <c r="F403" s="51" t="e" vm="1">
        <v>#VALUE!</v>
      </c>
      <c r="G403" s="58"/>
      <c r="H403" s="6" t="e" vm="2">
        <v>#VALUE!</v>
      </c>
      <c r="I403" s="64"/>
      <c r="J403" s="57"/>
      <c r="K403" s="57"/>
      <c r="L403" s="4"/>
      <c r="M403" s="35"/>
    </row>
    <row r="404" spans="1:13" ht="15.9" customHeight="1" x14ac:dyDescent="0.35">
      <c r="A404" s="36">
        <v>401</v>
      </c>
      <c r="B404" s="64" t="str">
        <f>IF(Tabla1[[#This Row],[TRABAJADOR]]="", "", VLOOKUP(Tabla1[[#This Row],[TRABAJADOR]], 'Colaborador ID'!B:C, 2, FALSE))</f>
        <v>E1316</v>
      </c>
      <c r="C404" s="63" t="s">
        <v>783</v>
      </c>
      <c r="D404" s="64" t="s">
        <v>784</v>
      </c>
      <c r="E404" s="64" t="s">
        <v>83</v>
      </c>
      <c r="F404" s="37" t="e" vm="1">
        <v>#VALUE!</v>
      </c>
      <c r="G404" s="58">
        <v>45728</v>
      </c>
      <c r="H404" s="57" t="e" vm="2">
        <v>#VALUE!</v>
      </c>
      <c r="I404" s="64"/>
      <c r="J404" s="57"/>
      <c r="K404" s="57"/>
      <c r="L404" s="4"/>
      <c r="M404" s="35"/>
    </row>
    <row r="405" spans="1:13" ht="15.9" customHeight="1" x14ac:dyDescent="0.35">
      <c r="A405" s="36">
        <v>402</v>
      </c>
      <c r="B405" s="64" t="str">
        <f>IF(Tabla1[[#This Row],[TRABAJADOR]]="", "", VLOOKUP(Tabla1[[#This Row],[TRABAJADOR]], 'Colaborador ID'!B:C, 2, FALSE))</f>
        <v>E1317</v>
      </c>
      <c r="C405" s="63" t="s">
        <v>785</v>
      </c>
      <c r="D405" s="64" t="s">
        <v>786</v>
      </c>
      <c r="E405" s="64" t="s">
        <v>83</v>
      </c>
      <c r="F405" s="37" t="e" vm="1">
        <v>#VALUE!</v>
      </c>
      <c r="G405" s="58"/>
      <c r="H405" s="57" t="e" vm="2">
        <v>#VALUE!</v>
      </c>
      <c r="I405" s="64"/>
      <c r="J405" s="57" t="s">
        <v>513</v>
      </c>
      <c r="K405" s="57"/>
      <c r="L405" s="4"/>
      <c r="M405" s="35"/>
    </row>
    <row r="406" spans="1:13" ht="15.9" customHeight="1" x14ac:dyDescent="0.3">
      <c r="A406" s="36">
        <v>403</v>
      </c>
      <c r="B406" s="64" t="str">
        <f>IF(Tabla1[[#This Row],[TRABAJADOR]]="", "", VLOOKUP(Tabla1[[#This Row],[TRABAJADOR]], 'Colaborador ID'!B:C, 2, FALSE))</f>
        <v>E1268</v>
      </c>
      <c r="C406" s="63" t="s">
        <v>787</v>
      </c>
      <c r="D406" s="64" t="s">
        <v>788</v>
      </c>
      <c r="E406" s="64" t="s">
        <v>16</v>
      </c>
      <c r="F406" s="32" t="e" vm="1">
        <v>#VALUE!</v>
      </c>
      <c r="G406" s="58">
        <v>45793</v>
      </c>
      <c r="H406" s="57" t="e" vm="2">
        <v>#VALUE!</v>
      </c>
      <c r="I406" s="64"/>
      <c r="J406" s="57"/>
      <c r="K406" s="57"/>
      <c r="L406" s="4"/>
      <c r="M406" s="35"/>
    </row>
    <row r="407" spans="1:13" ht="15.9" customHeight="1" x14ac:dyDescent="0.3">
      <c r="A407" s="36">
        <v>404</v>
      </c>
      <c r="B407" s="64" t="str">
        <f>IF(Tabla1[[#This Row],[TRABAJADOR]]="", "", VLOOKUP(Tabla1[[#This Row],[TRABAJADOR]], 'Colaborador ID'!B:C, 2, FALSE))</f>
        <v>E1251</v>
      </c>
      <c r="C407" s="63" t="s">
        <v>789</v>
      </c>
      <c r="D407" s="64" t="s">
        <v>790</v>
      </c>
      <c r="E407" s="64" t="s">
        <v>45</v>
      </c>
      <c r="F407" s="38" t="e" vm="1">
        <v>#VALUE!</v>
      </c>
      <c r="G407" s="58">
        <v>45813</v>
      </c>
      <c r="H407" s="57" t="e" vm="2">
        <v>#VALUE!</v>
      </c>
      <c r="I407" s="64"/>
      <c r="J407" s="57"/>
      <c r="K407" s="57"/>
      <c r="L407" s="4"/>
      <c r="M407" s="35"/>
    </row>
    <row r="408" spans="1:13" ht="15.9" customHeight="1" x14ac:dyDescent="0.3">
      <c r="A408" s="36">
        <v>405</v>
      </c>
      <c r="B408" s="57" t="str">
        <f>IF(Tabla1[[#This Row],[TRABAJADOR]]="", "", VLOOKUP(Tabla1[[#This Row],[TRABAJADOR]], 'Colaborador ID'!B:C, 2, FALSE))</f>
        <v>E1117</v>
      </c>
      <c r="C408" s="56" t="s">
        <v>791</v>
      </c>
      <c r="D408" s="57" t="s">
        <v>792</v>
      </c>
      <c r="E408" s="64" t="s">
        <v>16</v>
      </c>
      <c r="F408" s="49" t="e" vm="1">
        <v>#VALUE!</v>
      </c>
      <c r="G408" s="58"/>
      <c r="H408" s="57" t="e" vm="2">
        <v>#VALUE!</v>
      </c>
      <c r="I408" s="64" t="s">
        <v>22</v>
      </c>
      <c r="J408" s="57"/>
      <c r="K408" s="57"/>
      <c r="L408" s="4"/>
      <c r="M408" s="35"/>
    </row>
    <row r="409" spans="1:13" ht="15.9" customHeight="1" x14ac:dyDescent="0.3">
      <c r="A409" s="36">
        <v>406</v>
      </c>
      <c r="B409" s="64" t="str">
        <f>IF(Tabla1[[#This Row],[TRABAJADOR]]="", "", VLOOKUP(Tabla1[[#This Row],[TRABAJADOR]], 'Colaborador ID'!B:C, 2, FALSE))</f>
        <v>E1765</v>
      </c>
      <c r="C409" s="63" t="s">
        <v>793</v>
      </c>
      <c r="D409" s="64" t="s">
        <v>794</v>
      </c>
      <c r="E409" s="64" t="s">
        <v>19</v>
      </c>
      <c r="F409" s="32" t="e" vm="1">
        <v>#VALUE!</v>
      </c>
      <c r="G409" s="58">
        <v>45742</v>
      </c>
      <c r="H409" s="57" t="e" vm="2">
        <v>#VALUE!</v>
      </c>
      <c r="I409" s="64"/>
      <c r="J409" s="57"/>
      <c r="K409" s="57"/>
      <c r="L409" s="4"/>
      <c r="M409" s="35"/>
    </row>
    <row r="410" spans="1:13" ht="15.9" customHeight="1" x14ac:dyDescent="0.3">
      <c r="A410" s="36">
        <v>407</v>
      </c>
      <c r="B410" s="64" t="str">
        <f>IF(Tabla1[[#This Row],[TRABAJADOR]]="", "", VLOOKUP(Tabla1[[#This Row],[TRABAJADOR]], 'Colaborador ID'!B:C, 2, FALSE))</f>
        <v>E0995</v>
      </c>
      <c r="C410" s="63" t="s">
        <v>795</v>
      </c>
      <c r="D410" s="64" t="s">
        <v>796</v>
      </c>
      <c r="E410" s="64" t="s">
        <v>16</v>
      </c>
      <c r="F410" s="51" t="e" vm="1">
        <v>#VALUE!</v>
      </c>
      <c r="G410" s="58"/>
      <c r="H410" s="57" t="e" vm="2">
        <v>#VALUE!</v>
      </c>
      <c r="I410" s="64"/>
      <c r="J410" s="57"/>
      <c r="K410" s="57"/>
      <c r="L410" s="4"/>
      <c r="M410" s="35"/>
    </row>
    <row r="411" spans="1:13" ht="15.9" customHeight="1" x14ac:dyDescent="0.3">
      <c r="A411" s="36">
        <v>408</v>
      </c>
      <c r="B411" s="64" t="str">
        <f>IF(Tabla1[[#This Row],[TRABAJADOR]]="", "", VLOOKUP(Tabla1[[#This Row],[TRABAJADOR]], 'Colaborador ID'!B:C, 2, FALSE))</f>
        <v>E1250</v>
      </c>
      <c r="C411" s="63" t="s">
        <v>797</v>
      </c>
      <c r="D411" s="64" t="s">
        <v>798</v>
      </c>
      <c r="E411" s="64" t="s">
        <v>799</v>
      </c>
      <c r="F411" s="32" t="e" vm="1">
        <v>#VALUE!</v>
      </c>
      <c r="G411" s="58">
        <v>45761</v>
      </c>
      <c r="H411" s="57" t="e" vm="2">
        <v>#VALUE!</v>
      </c>
      <c r="I411" s="64"/>
      <c r="J411" s="57"/>
      <c r="K411" s="57"/>
      <c r="L411" s="4"/>
      <c r="M411" s="35"/>
    </row>
    <row r="412" spans="1:13" ht="15.9" customHeight="1" x14ac:dyDescent="0.3">
      <c r="A412" s="36">
        <v>409</v>
      </c>
      <c r="B412" s="64" t="str">
        <f>IF(Tabla1[[#This Row],[TRABAJADOR]]="", "", VLOOKUP(Tabla1[[#This Row],[TRABAJADOR]], 'Colaborador ID'!B:C, 2, FALSE))</f>
        <v>E1713</v>
      </c>
      <c r="C412" s="63" t="s">
        <v>800</v>
      </c>
      <c r="D412" s="64" t="s">
        <v>801</v>
      </c>
      <c r="E412" s="64" t="s">
        <v>802</v>
      </c>
      <c r="F412" s="51" t="e" vm="1">
        <v>#VALUE!</v>
      </c>
      <c r="G412" s="58">
        <v>45882</v>
      </c>
      <c r="H412" s="57" t="e" vm="2">
        <v>#VALUE!</v>
      </c>
      <c r="I412" s="64"/>
      <c r="J412" s="57"/>
      <c r="K412" s="57"/>
      <c r="L412" s="4"/>
      <c r="M412" s="35"/>
    </row>
    <row r="413" spans="1:13" ht="15.9" customHeight="1" x14ac:dyDescent="0.35">
      <c r="A413" s="36">
        <v>410</v>
      </c>
      <c r="B413" s="64" t="str">
        <f>IF(Tabla1[[#This Row],[TRABAJADOR]]="", "", VLOOKUP(Tabla1[[#This Row],[TRABAJADOR]], 'Colaborador ID'!B:C, 2, FALSE))</f>
        <v>E0590</v>
      </c>
      <c r="C413" s="63" t="s">
        <v>803</v>
      </c>
      <c r="D413" s="64" t="s">
        <v>804</v>
      </c>
      <c r="E413" s="64" t="s">
        <v>19</v>
      </c>
      <c r="F413" s="41" t="e" vm="1">
        <v>#VALUE!</v>
      </c>
      <c r="G413" s="58"/>
      <c r="H413" s="57" t="e" vm="2">
        <v>#VALUE!</v>
      </c>
      <c r="I413" s="64"/>
      <c r="J413" s="57"/>
      <c r="K413" s="57"/>
      <c r="L413" s="4"/>
      <c r="M413" s="35"/>
    </row>
    <row r="414" spans="1:13" ht="15.9" customHeight="1" x14ac:dyDescent="0.3">
      <c r="A414" s="36">
        <v>411</v>
      </c>
      <c r="B414" s="64" t="str">
        <f>IF(Tabla1[[#This Row],[TRABAJADOR]]="", "", VLOOKUP(Tabla1[[#This Row],[TRABAJADOR]], 'Colaborador ID'!B:C, 2, FALSE))</f>
        <v>E0202</v>
      </c>
      <c r="C414" s="63" t="s">
        <v>805</v>
      </c>
      <c r="D414" s="64" t="s">
        <v>806</v>
      </c>
      <c r="E414" s="64" t="s">
        <v>40</v>
      </c>
      <c r="F414" s="49" t="e" vm="1">
        <v>#VALUE!</v>
      </c>
      <c r="G414" s="58"/>
      <c r="H414" s="57" t="e" vm="2">
        <v>#VALUE!</v>
      </c>
      <c r="I414" s="64"/>
      <c r="J414" s="57"/>
      <c r="K414" s="57"/>
      <c r="L414" s="4"/>
      <c r="M414" s="35"/>
    </row>
    <row r="415" spans="1:13" ht="15.9" customHeight="1" x14ac:dyDescent="0.3">
      <c r="A415" s="36">
        <v>412</v>
      </c>
      <c r="B415" s="64" t="str">
        <f>IF(Tabla1[[#This Row],[TRABAJADOR]]="", "", VLOOKUP(Tabla1[[#This Row],[TRABAJADOR]], 'Colaborador ID'!B:C, 2, FALSE))</f>
        <v>E0006</v>
      </c>
      <c r="C415" s="63" t="s">
        <v>807</v>
      </c>
      <c r="D415" s="64" t="s">
        <v>808</v>
      </c>
      <c r="E415" s="64" t="s">
        <v>16</v>
      </c>
      <c r="F415" s="38" t="e" vm="1">
        <v>#VALUE!</v>
      </c>
      <c r="G415" s="58">
        <v>45804</v>
      </c>
      <c r="H415" s="57" t="e" vm="2">
        <v>#VALUE!</v>
      </c>
      <c r="I415" s="64"/>
      <c r="J415" s="57"/>
      <c r="K415" s="57"/>
      <c r="L415" s="4"/>
      <c r="M415" s="35"/>
    </row>
    <row r="416" spans="1:13" ht="15.9" customHeight="1" x14ac:dyDescent="0.3">
      <c r="A416" s="36">
        <v>413</v>
      </c>
      <c r="B416" s="64" t="e">
        <f>IF(Tabla1[[#This Row],[TRABAJADOR]]="", "", VLOOKUP(Tabla1[[#This Row],[TRABAJADOR]], 'Colaborador ID'!B:C, 2, FALSE))</f>
        <v>#N/A</v>
      </c>
      <c r="C416" s="63" t="s">
        <v>809</v>
      </c>
      <c r="D416" s="64" t="s">
        <v>810</v>
      </c>
      <c r="E416" s="64" t="s">
        <v>13</v>
      </c>
      <c r="F416" s="32" t="e" vm="1">
        <v>#VALUE!</v>
      </c>
      <c r="G416" s="58">
        <v>45758</v>
      </c>
      <c r="H416" s="57" t="e" vm="2">
        <v>#VALUE!</v>
      </c>
      <c r="I416" s="64"/>
      <c r="J416" s="57"/>
      <c r="K416" s="57"/>
      <c r="L416" s="4"/>
      <c r="M416" s="35"/>
    </row>
    <row r="417" spans="1:13" ht="15.9" customHeight="1" x14ac:dyDescent="0.35">
      <c r="A417" s="36">
        <v>414</v>
      </c>
      <c r="B417" s="64" t="str">
        <f>IF(Tabla1[[#This Row],[TRABAJADOR]]="", "", VLOOKUP(Tabla1[[#This Row],[TRABAJADOR]], 'Colaborador ID'!B:C, 2, FALSE))</f>
        <v>E0179</v>
      </c>
      <c r="C417" s="63" t="s">
        <v>811</v>
      </c>
      <c r="D417" s="64" t="s">
        <v>812</v>
      </c>
      <c r="E417" s="64" t="s">
        <v>16</v>
      </c>
      <c r="F417" s="37" t="e" vm="1">
        <v>#VALUE!</v>
      </c>
      <c r="G417" s="58"/>
      <c r="H417" s="57" t="e" vm="2">
        <v>#VALUE!</v>
      </c>
      <c r="I417" s="64"/>
      <c r="J417" s="57"/>
      <c r="K417" s="57"/>
      <c r="L417" s="4"/>
      <c r="M417" s="35"/>
    </row>
    <row r="418" spans="1:13" ht="15.9" customHeight="1" x14ac:dyDescent="0.3">
      <c r="A418" s="36">
        <v>415</v>
      </c>
      <c r="B418" s="64" t="str">
        <f>IF(Tabla1[[#This Row],[TRABAJADOR]]="", "", VLOOKUP(Tabla1[[#This Row],[TRABAJADOR]], 'Colaborador ID'!B:C, 2, FALSE))</f>
        <v>E0870</v>
      </c>
      <c r="C418" s="63" t="s">
        <v>813</v>
      </c>
      <c r="D418" s="64" t="s">
        <v>814</v>
      </c>
      <c r="E418" s="64"/>
      <c r="F418" s="57" t="e" vm="1">
        <v>#VALUE!</v>
      </c>
      <c r="G418" s="58"/>
      <c r="H418" s="57" t="e" vm="2">
        <v>#VALUE!</v>
      </c>
      <c r="I418" s="64"/>
      <c r="J418" s="57"/>
      <c r="K418" s="57"/>
      <c r="L418" s="4"/>
      <c r="M418" s="35"/>
    </row>
    <row r="419" spans="1:13" ht="15.9" customHeight="1" x14ac:dyDescent="0.4">
      <c r="A419" s="36">
        <v>416</v>
      </c>
      <c r="B419" s="64" t="str">
        <f>IF(Tabla1[[#This Row],[TRABAJADOR]]="", "", VLOOKUP(Tabla1[[#This Row],[TRABAJADOR]], 'Colaborador ID'!B:C, 2, FALSE))</f>
        <v>E0125</v>
      </c>
      <c r="C419" s="63" t="s">
        <v>815</v>
      </c>
      <c r="D419" s="64" t="s">
        <v>816</v>
      </c>
      <c r="E419" s="64" t="s">
        <v>16</v>
      </c>
      <c r="F419" s="6" t="e" vm="1">
        <v>#VALUE!</v>
      </c>
      <c r="G419" s="58">
        <v>45728</v>
      </c>
      <c r="H419" s="39" t="e" vm="2">
        <v>#VALUE!</v>
      </c>
      <c r="I419" s="64"/>
      <c r="J419" s="57"/>
      <c r="K419" s="57"/>
      <c r="L419" s="4"/>
      <c r="M419" s="35"/>
    </row>
    <row r="420" spans="1:13" ht="15.9" customHeight="1" x14ac:dyDescent="0.35">
      <c r="A420" s="36">
        <v>417</v>
      </c>
      <c r="B420" s="64" t="str">
        <f>IF(Tabla1[[#This Row],[TRABAJADOR]]="", "", VLOOKUP(Tabla1[[#This Row],[TRABAJADOR]], 'Colaborador ID'!B:C, 2, FALSE))</f>
        <v>E1131</v>
      </c>
      <c r="C420" s="63" t="s">
        <v>817</v>
      </c>
      <c r="D420" s="64" t="s">
        <v>818</v>
      </c>
      <c r="E420" s="64" t="s">
        <v>19</v>
      </c>
      <c r="F420" s="37" t="e" vm="1">
        <v>#VALUE!</v>
      </c>
      <c r="G420" s="58"/>
      <c r="H420" s="57" t="e" vm="2">
        <v>#VALUE!</v>
      </c>
      <c r="I420" s="64"/>
      <c r="J420" s="57"/>
      <c r="K420" s="57"/>
      <c r="L420" s="4"/>
      <c r="M420" s="35"/>
    </row>
    <row r="421" spans="1:13" ht="15.9" customHeight="1" x14ac:dyDescent="0.3">
      <c r="A421" s="36">
        <v>418</v>
      </c>
      <c r="B421" s="64" t="str">
        <f>IF(Tabla1[[#This Row],[TRABAJADOR]]="", "", VLOOKUP(Tabla1[[#This Row],[TRABAJADOR]], 'Colaborador ID'!B:C, 2, FALSE))</f>
        <v>E0709</v>
      </c>
      <c r="C421" s="63" t="s">
        <v>819</v>
      </c>
      <c r="D421" s="64" t="s">
        <v>820</v>
      </c>
      <c r="E421" s="64"/>
      <c r="F421" s="57" t="e" vm="1">
        <v>#VALUE!</v>
      </c>
      <c r="G421" s="58"/>
      <c r="H421" s="57" t="e" vm="2">
        <v>#VALUE!</v>
      </c>
      <c r="I421" s="64"/>
      <c r="J421" s="57"/>
      <c r="K421" s="57"/>
      <c r="L421" s="4"/>
      <c r="M421" s="35"/>
    </row>
    <row r="422" spans="1:13" ht="15.9" customHeight="1" x14ac:dyDescent="0.3">
      <c r="A422" s="36">
        <v>419</v>
      </c>
      <c r="B422" s="64" t="str">
        <f>IF(Tabla1[[#This Row],[TRABAJADOR]]="", "", VLOOKUP(Tabla1[[#This Row],[TRABAJADOR]], 'Colaborador ID'!B:C, 2, FALSE))</f>
        <v>E1182</v>
      </c>
      <c r="C422" s="63" t="s">
        <v>821</v>
      </c>
      <c r="D422" s="64" t="s">
        <v>822</v>
      </c>
      <c r="E422" s="64"/>
      <c r="F422" s="57" t="e" vm="1">
        <v>#VALUE!</v>
      </c>
      <c r="G422" s="58"/>
      <c r="H422" s="57" t="e" vm="2">
        <v>#VALUE!</v>
      </c>
      <c r="I422" s="64"/>
      <c r="J422" s="57"/>
      <c r="K422" s="57"/>
      <c r="L422" s="4"/>
      <c r="M422" s="35"/>
    </row>
    <row r="423" spans="1:13" ht="15.9" customHeight="1" x14ac:dyDescent="0.3">
      <c r="A423" s="36">
        <v>420</v>
      </c>
      <c r="B423" s="64" t="str">
        <f>IF(Tabla1[[#This Row],[TRABAJADOR]]="", "", VLOOKUP(Tabla1[[#This Row],[TRABAJADOR]], 'Colaborador ID'!B:C, 2, FALSE))</f>
        <v>E1490</v>
      </c>
      <c r="C423" s="63" t="s">
        <v>823</v>
      </c>
      <c r="D423" s="64" t="s">
        <v>824</v>
      </c>
      <c r="E423" s="64"/>
      <c r="F423" s="49" t="e" vm="1">
        <v>#VALUE!</v>
      </c>
      <c r="G423" s="58"/>
      <c r="H423" s="57" t="e" vm="2">
        <v>#VALUE!</v>
      </c>
      <c r="I423" s="64" t="s">
        <v>22</v>
      </c>
      <c r="J423" s="57"/>
      <c r="K423" s="57"/>
      <c r="L423" s="4"/>
      <c r="M423" s="35"/>
    </row>
    <row r="424" spans="1:13" ht="15.9" customHeight="1" x14ac:dyDescent="0.3">
      <c r="A424" s="36">
        <v>421</v>
      </c>
      <c r="B424" s="64" t="str">
        <f>IF(Tabla1[[#This Row],[TRABAJADOR]]="", "", VLOOKUP(Tabla1[[#This Row],[TRABAJADOR]], 'Colaborador ID'!B:C, 2, FALSE))</f>
        <v>E1194</v>
      </c>
      <c r="C424" s="63" t="s">
        <v>825</v>
      </c>
      <c r="D424" s="64" t="s">
        <v>826</v>
      </c>
      <c r="E424" s="64"/>
      <c r="F424" s="6" t="e" vm="1">
        <v>#VALUE!</v>
      </c>
      <c r="G424" s="58"/>
      <c r="H424" s="57" t="e" vm="2">
        <v>#VALUE!</v>
      </c>
      <c r="I424" s="64"/>
      <c r="J424" s="57"/>
      <c r="K424" s="57"/>
      <c r="L424" s="4"/>
      <c r="M424" s="35"/>
    </row>
    <row r="425" spans="1:13" ht="15.9" customHeight="1" x14ac:dyDescent="0.3">
      <c r="A425" s="36">
        <v>422</v>
      </c>
      <c r="B425" s="64" t="str">
        <f>IF(Tabla1[[#This Row],[TRABAJADOR]]="", "", VLOOKUP(Tabla1[[#This Row],[TRABAJADOR]], 'Colaborador ID'!B:C, 2, FALSE))</f>
        <v>E0389</v>
      </c>
      <c r="C425" s="63" t="s">
        <v>827</v>
      </c>
      <c r="D425" s="64" t="s">
        <v>828</v>
      </c>
      <c r="E425" s="64"/>
      <c r="F425" s="49" t="e" vm="1">
        <v>#VALUE!</v>
      </c>
      <c r="G425" s="58"/>
      <c r="H425" s="57" t="e" vm="2">
        <v>#VALUE!</v>
      </c>
      <c r="I425" s="64"/>
      <c r="J425" s="57"/>
      <c r="K425" s="57"/>
      <c r="L425" s="4"/>
      <c r="M425" s="35"/>
    </row>
    <row r="426" spans="1:13" ht="15.9" customHeight="1" x14ac:dyDescent="0.3">
      <c r="A426" s="36">
        <v>423</v>
      </c>
      <c r="B426" s="64" t="str">
        <f>IF(Tabla1[[#This Row],[TRABAJADOR]]="", "", VLOOKUP(Tabla1[[#This Row],[TRABAJADOR]], 'Colaborador ID'!B:C, 2, FALSE))</f>
        <v>E0632</v>
      </c>
      <c r="C426" s="63" t="s">
        <v>829</v>
      </c>
      <c r="D426" s="64" t="s">
        <v>830</v>
      </c>
      <c r="E426" s="64" t="s">
        <v>19</v>
      </c>
      <c r="F426" s="49" t="e" vm="1">
        <v>#VALUE!</v>
      </c>
      <c r="G426" s="58"/>
      <c r="H426" s="57" t="e" vm="2">
        <v>#VALUE!</v>
      </c>
      <c r="I426" s="64" t="s">
        <v>22</v>
      </c>
      <c r="J426" s="57"/>
      <c r="K426" s="57"/>
      <c r="L426" s="4"/>
      <c r="M426" s="35"/>
    </row>
    <row r="427" spans="1:13" ht="15.9" customHeight="1" x14ac:dyDescent="0.3">
      <c r="A427" s="36">
        <v>424</v>
      </c>
      <c r="B427" s="64" t="str">
        <f>IF(Tabla1[[#This Row],[TRABAJADOR]]="", "", VLOOKUP(Tabla1[[#This Row],[TRABAJADOR]], 'Colaborador ID'!B:C, 2, FALSE))</f>
        <v>E0890</v>
      </c>
      <c r="C427" s="63" t="s">
        <v>831</v>
      </c>
      <c r="D427" s="64" t="s">
        <v>832</v>
      </c>
      <c r="E427" s="64"/>
      <c r="F427" s="6" t="e" vm="1">
        <v>#VALUE!</v>
      </c>
      <c r="G427" s="58"/>
      <c r="H427" s="57" t="e" vm="2">
        <v>#VALUE!</v>
      </c>
      <c r="I427" s="64"/>
      <c r="J427" s="57"/>
      <c r="K427" s="57"/>
      <c r="L427" s="4"/>
      <c r="M427" s="35"/>
    </row>
    <row r="428" spans="1:13" ht="15.9" customHeight="1" x14ac:dyDescent="0.3">
      <c r="A428" s="36">
        <v>425</v>
      </c>
      <c r="B428" s="64" t="str">
        <f>IF(Tabla1[[#This Row],[TRABAJADOR]]="", "", VLOOKUP(Tabla1[[#This Row],[TRABAJADOR]], 'Colaborador ID'!B:C, 2, FALSE))</f>
        <v>E0235</v>
      </c>
      <c r="C428" s="63" t="s">
        <v>833</v>
      </c>
      <c r="D428" s="64" t="s">
        <v>834</v>
      </c>
      <c r="E428" s="64" t="s">
        <v>40</v>
      </c>
      <c r="F428" s="32" t="e" vm="1">
        <v>#VALUE!</v>
      </c>
      <c r="G428" s="58">
        <v>45796</v>
      </c>
      <c r="H428" s="57" t="e" vm="2">
        <v>#VALUE!</v>
      </c>
      <c r="I428" s="64"/>
      <c r="J428" s="57"/>
      <c r="K428" s="57"/>
      <c r="L428" s="4"/>
      <c r="M428" s="35"/>
    </row>
    <row r="429" spans="1:13" ht="15.9" customHeight="1" x14ac:dyDescent="0.3">
      <c r="A429" s="36">
        <v>426</v>
      </c>
      <c r="B429" s="57" t="str">
        <f>IF(Tabla1[[#This Row],[TRABAJADOR]]="", "", VLOOKUP(Tabla1[[#This Row],[TRABAJADOR]], 'Colaborador ID'!B:C, 2, FALSE))</f>
        <v>E2056</v>
      </c>
      <c r="C429" s="56" t="s">
        <v>835</v>
      </c>
      <c r="D429" s="57" t="s">
        <v>836</v>
      </c>
      <c r="E429" s="64" t="s">
        <v>19</v>
      </c>
      <c r="F429" s="49" t="e" vm="1">
        <v>#VALUE!</v>
      </c>
      <c r="G429" s="58">
        <v>45986</v>
      </c>
      <c r="H429" s="57" t="e" vm="2">
        <v>#VALUE!</v>
      </c>
      <c r="I429" s="57"/>
      <c r="J429" s="57"/>
      <c r="K429" s="57"/>
      <c r="L429" s="4"/>
      <c r="M429" s="35"/>
    </row>
    <row r="430" spans="1:13" ht="15.9" customHeight="1" x14ac:dyDescent="0.3">
      <c r="A430" s="36">
        <v>427</v>
      </c>
      <c r="B430" s="64" t="str">
        <f>IF(Tabla1[[#This Row],[TRABAJADOR]]="", "", VLOOKUP(Tabla1[[#This Row],[TRABAJADOR]], 'Colaborador ID'!B:C, 2, FALSE))</f>
        <v>E0004</v>
      </c>
      <c r="C430" s="63" t="s">
        <v>837</v>
      </c>
      <c r="D430" s="64" t="s">
        <v>838</v>
      </c>
      <c r="E430" s="64" t="s">
        <v>16</v>
      </c>
      <c r="F430" s="38" t="e" vm="1">
        <v>#VALUE!</v>
      </c>
      <c r="G430" s="58">
        <v>45806</v>
      </c>
      <c r="H430" s="40" t="e" vm="2">
        <v>#VALUE!</v>
      </c>
      <c r="I430" s="64"/>
      <c r="J430" s="57"/>
      <c r="K430" s="57"/>
      <c r="L430" s="4"/>
      <c r="M430" s="35"/>
    </row>
    <row r="431" spans="1:13" ht="15.9" customHeight="1" x14ac:dyDescent="0.3">
      <c r="A431" s="36">
        <v>428</v>
      </c>
      <c r="B431" s="64" t="str">
        <f>IF(Tabla1[[#This Row],[TRABAJADOR]]="", "", VLOOKUP(Tabla1[[#This Row],[TRABAJADOR]], 'Colaborador ID'!B:C, 2, FALSE))</f>
        <v>E0694</v>
      </c>
      <c r="C431" s="63" t="s">
        <v>839</v>
      </c>
      <c r="D431" s="64" t="s">
        <v>840</v>
      </c>
      <c r="E431" s="64" t="s">
        <v>83</v>
      </c>
      <c r="F431" s="38" t="e" vm="1">
        <v>#VALUE!</v>
      </c>
      <c r="G431" s="58">
        <v>45736</v>
      </c>
      <c r="H431" s="57" t="e" vm="2">
        <v>#VALUE!</v>
      </c>
      <c r="I431" s="64"/>
      <c r="J431" s="57"/>
      <c r="K431" s="57"/>
      <c r="L431" s="4"/>
      <c r="M431" s="35"/>
    </row>
    <row r="432" spans="1:13" ht="15.9" customHeight="1" x14ac:dyDescent="0.3">
      <c r="A432" s="36">
        <v>429</v>
      </c>
      <c r="B432" s="64" t="str">
        <f>IF(Tabla1[[#This Row],[TRABAJADOR]]="", "", VLOOKUP(Tabla1[[#This Row],[TRABAJADOR]], 'Colaborador ID'!B:C, 2, FALSE))</f>
        <v>E0429</v>
      </c>
      <c r="C432" s="63" t="s">
        <v>841</v>
      </c>
      <c r="D432" s="64" t="s">
        <v>842</v>
      </c>
      <c r="E432" s="64" t="s">
        <v>16</v>
      </c>
      <c r="F432" s="38" t="e" vm="1">
        <v>#VALUE!</v>
      </c>
      <c r="G432" s="58">
        <v>45818</v>
      </c>
      <c r="H432" s="40" t="e" vm="2">
        <v>#VALUE!</v>
      </c>
      <c r="I432" s="64"/>
      <c r="J432" s="57"/>
      <c r="K432" s="57"/>
      <c r="L432" s="4"/>
      <c r="M432" s="35"/>
    </row>
    <row r="433" spans="1:13" ht="15.9" customHeight="1" x14ac:dyDescent="0.3">
      <c r="A433" s="36">
        <v>430</v>
      </c>
      <c r="B433" s="64" t="str">
        <f>IF(Tabla1[[#This Row],[TRABAJADOR]]="", "", VLOOKUP(Tabla1[[#This Row],[TRABAJADOR]], 'Colaborador ID'!B:C, 2, FALSE))</f>
        <v>E1256</v>
      </c>
      <c r="C433" s="63" t="s">
        <v>843</v>
      </c>
      <c r="D433" s="64" t="s">
        <v>844</v>
      </c>
      <c r="E433" s="64" t="s">
        <v>104</v>
      </c>
      <c r="F433" s="32" t="e" vm="1">
        <v>#VALUE!</v>
      </c>
      <c r="G433" s="58">
        <v>45761</v>
      </c>
      <c r="H433" s="57" t="e" vm="2">
        <v>#VALUE!</v>
      </c>
      <c r="I433" s="64"/>
      <c r="J433" s="57"/>
      <c r="K433" s="57"/>
      <c r="L433" s="4"/>
      <c r="M433" s="35"/>
    </row>
    <row r="434" spans="1:13" ht="15.9" customHeight="1" x14ac:dyDescent="0.3">
      <c r="A434" s="36">
        <v>431</v>
      </c>
      <c r="B434" s="57" t="str">
        <f>IF(Tabla1[[#This Row],[TRABAJADOR]]="", "", VLOOKUP(Tabla1[[#This Row],[TRABAJADOR]], 'Colaborador ID'!B:C, 2, FALSE))</f>
        <v>E1932</v>
      </c>
      <c r="C434" s="56" t="s">
        <v>845</v>
      </c>
      <c r="D434" s="57" t="s">
        <v>846</v>
      </c>
      <c r="E434" s="64"/>
      <c r="F434" s="49" t="e" vm="1">
        <v>#VALUE!</v>
      </c>
      <c r="G434" s="58">
        <v>45971</v>
      </c>
      <c r="H434" s="57" t="e" vm="2">
        <v>#VALUE!</v>
      </c>
      <c r="I434" s="57"/>
      <c r="J434" s="57"/>
      <c r="K434" s="57"/>
      <c r="L434" s="4"/>
      <c r="M434" s="35"/>
    </row>
    <row r="435" spans="1:13" ht="15.9" customHeight="1" x14ac:dyDescent="0.3">
      <c r="A435" s="36">
        <v>432</v>
      </c>
      <c r="B435" s="64" t="str">
        <f>IF(Tabla1[[#This Row],[TRABAJADOR]]="", "", VLOOKUP(Tabla1[[#This Row],[TRABAJADOR]], 'Colaborador ID'!B:C, 2, FALSE))</f>
        <v>E1257</v>
      </c>
      <c r="C435" s="63" t="s">
        <v>847</v>
      </c>
      <c r="D435" s="64" t="s">
        <v>848</v>
      </c>
      <c r="E435" s="64" t="s">
        <v>19</v>
      </c>
      <c r="F435" s="38" t="e" vm="1">
        <v>#VALUE!</v>
      </c>
      <c r="G435" s="58">
        <v>45761</v>
      </c>
      <c r="H435" s="6" t="e" vm="2">
        <v>#VALUE!</v>
      </c>
      <c r="I435" s="64"/>
      <c r="J435" s="57"/>
      <c r="K435" s="57"/>
      <c r="L435" s="4"/>
      <c r="M435" s="35"/>
    </row>
    <row r="436" spans="1:13" ht="15.9" customHeight="1" x14ac:dyDescent="0.3">
      <c r="A436" s="36">
        <v>433</v>
      </c>
      <c r="B436" s="57" t="str">
        <f>IF(Tabla1[[#This Row],[TRABAJADOR]]="", "", VLOOKUP(Tabla1[[#This Row],[TRABAJADOR]], 'Colaborador ID'!B:C, 2, FALSE))</f>
        <v>E1700</v>
      </c>
      <c r="C436" s="56" t="s">
        <v>849</v>
      </c>
      <c r="D436" s="57" t="s">
        <v>850</v>
      </c>
      <c r="E436" s="64" t="s">
        <v>16</v>
      </c>
      <c r="F436" s="49" t="e" vm="1">
        <v>#VALUE!</v>
      </c>
      <c r="G436" s="58">
        <v>45903</v>
      </c>
      <c r="H436" s="57" t="e" vm="2">
        <v>#VALUE!</v>
      </c>
      <c r="I436" s="57"/>
      <c r="J436" s="57"/>
      <c r="K436" s="57"/>
      <c r="L436" s="4"/>
      <c r="M436" s="35"/>
    </row>
    <row r="437" spans="1:13" ht="15.9" customHeight="1" x14ac:dyDescent="0.3">
      <c r="A437" s="36">
        <v>434</v>
      </c>
      <c r="B437" s="64" t="str">
        <f>IF(Tabla1[[#This Row],[TRABAJADOR]]="", "", VLOOKUP(Tabla1[[#This Row],[TRABAJADOR]], 'Colaborador ID'!B:C, 2, FALSE))</f>
        <v>E0463</v>
      </c>
      <c r="C437" s="63" t="s">
        <v>851</v>
      </c>
      <c r="D437" s="64" t="s">
        <v>852</v>
      </c>
      <c r="E437" s="64"/>
      <c r="F437" s="49" t="e" vm="1">
        <v>#VALUE!</v>
      </c>
      <c r="G437" s="58"/>
      <c r="H437" s="57" t="e" vm="2">
        <v>#VALUE!</v>
      </c>
      <c r="I437" s="64"/>
      <c r="J437" s="57"/>
      <c r="K437" s="57"/>
      <c r="L437" s="4"/>
      <c r="M437" s="35"/>
    </row>
    <row r="438" spans="1:13" ht="15.9" customHeight="1" x14ac:dyDescent="0.3">
      <c r="A438" s="36">
        <v>435</v>
      </c>
      <c r="B438" s="57" t="str">
        <f>IF(Tabla1[[#This Row],[TRABAJADOR]]="", "", VLOOKUP(Tabla1[[#This Row],[TRABAJADOR]], 'Colaborador ID'!B:C, 2, FALSE))</f>
        <v>E2002</v>
      </c>
      <c r="C438" s="56" t="s">
        <v>853</v>
      </c>
      <c r="D438" s="57" t="s">
        <v>854</v>
      </c>
      <c r="E438" s="64" t="s">
        <v>16</v>
      </c>
      <c r="F438" s="51" t="e" vm="1">
        <v>#VALUE!</v>
      </c>
      <c r="G438" s="58">
        <v>45964</v>
      </c>
      <c r="H438" s="57" t="e" vm="2">
        <v>#VALUE!</v>
      </c>
      <c r="I438" s="64" t="s">
        <v>22</v>
      </c>
      <c r="J438" s="57"/>
      <c r="K438" s="57"/>
      <c r="L438" s="4"/>
      <c r="M438" s="35"/>
    </row>
    <row r="439" spans="1:13" ht="15.9" customHeight="1" x14ac:dyDescent="0.3">
      <c r="A439" s="36">
        <v>436</v>
      </c>
      <c r="B439" s="57" t="str">
        <f>IF(Tabla1[[#This Row],[TRABAJADOR]]="", "", VLOOKUP(Tabla1[[#This Row],[TRABAJADOR]], 'Colaborador ID'!B:C, 2, FALSE))</f>
        <v>E2052</v>
      </c>
      <c r="C439" s="56" t="s">
        <v>855</v>
      </c>
      <c r="D439" s="57" t="s">
        <v>856</v>
      </c>
      <c r="E439" s="64" t="s">
        <v>16</v>
      </c>
      <c r="F439" s="49" t="e" vm="1">
        <v>#VALUE!</v>
      </c>
      <c r="G439" s="58">
        <v>45965</v>
      </c>
      <c r="H439" s="57" t="e" vm="2">
        <v>#VALUE!</v>
      </c>
      <c r="I439" s="57"/>
      <c r="J439" s="57"/>
      <c r="K439" s="57"/>
      <c r="L439" s="4"/>
      <c r="M439" s="35"/>
    </row>
    <row r="440" spans="1:13" ht="15.9" customHeight="1" x14ac:dyDescent="0.3">
      <c r="A440" s="36">
        <v>437</v>
      </c>
      <c r="B440" s="64" t="str">
        <f>IF(Tabla1[[#This Row],[TRABAJADOR]]="", "", VLOOKUP(Tabla1[[#This Row],[TRABAJADOR]], 'Colaborador ID'!B:C, 2, FALSE))</f>
        <v>E1086</v>
      </c>
      <c r="C440" s="63" t="s">
        <v>857</v>
      </c>
      <c r="D440" s="64" t="s">
        <v>858</v>
      </c>
      <c r="E440" s="64" t="s">
        <v>33</v>
      </c>
      <c r="F440" s="57" t="e" vm="1">
        <v>#VALUE!</v>
      </c>
      <c r="G440" s="58"/>
      <c r="H440" s="57" t="e" vm="2">
        <v>#VALUE!</v>
      </c>
      <c r="I440" s="64"/>
      <c r="J440" s="57"/>
      <c r="K440" s="57"/>
      <c r="L440" s="4"/>
      <c r="M440" s="35"/>
    </row>
    <row r="441" spans="1:13" ht="15.9" customHeight="1" x14ac:dyDescent="0.3">
      <c r="A441" s="36">
        <v>438</v>
      </c>
      <c r="B441" s="64" t="e">
        <f>IF(Tabla1[[#This Row],[TRABAJADOR]]="", "", VLOOKUP(Tabla1[[#This Row],[TRABAJADOR]], 'Colaborador ID'!B:C, 2, FALSE))</f>
        <v>#N/A</v>
      </c>
      <c r="C441" s="63" t="s">
        <v>859</v>
      </c>
      <c r="D441" s="64" t="s">
        <v>860</v>
      </c>
      <c r="E441" s="64" t="s">
        <v>104</v>
      </c>
      <c r="F441" s="49" t="e" vm="1">
        <v>#VALUE!</v>
      </c>
      <c r="G441" s="58"/>
      <c r="H441" s="57" t="e" vm="2">
        <v>#VALUE!</v>
      </c>
      <c r="I441" s="64"/>
      <c r="J441" s="57"/>
      <c r="K441" s="57"/>
      <c r="L441" s="4"/>
      <c r="M441" s="35"/>
    </row>
    <row r="442" spans="1:13" ht="15.9" customHeight="1" x14ac:dyDescent="0.3">
      <c r="A442" s="36">
        <v>439</v>
      </c>
      <c r="B442" s="64" t="str">
        <f>IF(Tabla1[[#This Row],[TRABAJADOR]]="", "", VLOOKUP(Tabla1[[#This Row],[TRABAJADOR]], 'Colaborador ID'!B:C, 2, FALSE))</f>
        <v>E0253</v>
      </c>
      <c r="C442" s="63" t="s">
        <v>861</v>
      </c>
      <c r="D442" s="64" t="s">
        <v>862</v>
      </c>
      <c r="E442" s="64" t="s">
        <v>33</v>
      </c>
      <c r="F442" s="57" t="e" vm="1">
        <v>#VALUE!</v>
      </c>
      <c r="G442" s="58">
        <v>45793</v>
      </c>
      <c r="H442" s="57" t="e" vm="2">
        <v>#VALUE!</v>
      </c>
      <c r="I442" s="64"/>
      <c r="J442" s="57"/>
      <c r="K442" s="57"/>
      <c r="L442" s="4"/>
      <c r="M442" s="35"/>
    </row>
    <row r="443" spans="1:13" ht="15.9" customHeight="1" x14ac:dyDescent="0.3">
      <c r="A443" s="36">
        <v>440</v>
      </c>
      <c r="B443" s="57" t="str">
        <f>IF(Tabla1[[#This Row],[TRABAJADOR]]="", "", VLOOKUP(Tabla1[[#This Row],[TRABAJADOR]], 'Colaborador ID'!B:C, 2, FALSE))</f>
        <v>E1748</v>
      </c>
      <c r="C443" s="56" t="s">
        <v>863</v>
      </c>
      <c r="D443" s="57" t="s">
        <v>864</v>
      </c>
      <c r="E443" s="64"/>
      <c r="F443" s="57" t="e" vm="1">
        <v>#VALUE!</v>
      </c>
      <c r="G443" s="58">
        <v>45912</v>
      </c>
      <c r="H443" s="57" t="e" vm="2">
        <v>#VALUE!</v>
      </c>
      <c r="I443" s="57"/>
      <c r="J443" s="57"/>
      <c r="K443" s="57"/>
      <c r="L443" s="4"/>
      <c r="M443" s="35"/>
    </row>
    <row r="444" spans="1:13" ht="15.9" customHeight="1" x14ac:dyDescent="0.3">
      <c r="A444" s="36">
        <v>441</v>
      </c>
      <c r="B444" s="64" t="str">
        <f>IF(Tabla1[[#This Row],[TRABAJADOR]]="", "", VLOOKUP(Tabla1[[#This Row],[TRABAJADOR]], 'Colaborador ID'!B:C, 2, FALSE))</f>
        <v>E1492</v>
      </c>
      <c r="C444" s="63" t="s">
        <v>865</v>
      </c>
      <c r="D444" s="64" t="s">
        <v>866</v>
      </c>
      <c r="E444" s="64" t="s">
        <v>19</v>
      </c>
      <c r="F444" s="6" t="e" vm="1">
        <v>#VALUE!</v>
      </c>
      <c r="G444" s="58"/>
      <c r="H444" s="57" t="e" vm="2">
        <v>#VALUE!</v>
      </c>
      <c r="I444" s="64" t="s">
        <v>22</v>
      </c>
      <c r="J444" s="57"/>
      <c r="K444" s="57"/>
      <c r="L444" s="4"/>
      <c r="M444" s="35"/>
    </row>
    <row r="445" spans="1:13" ht="15.9" customHeight="1" x14ac:dyDescent="0.35">
      <c r="A445" s="36">
        <v>442</v>
      </c>
      <c r="B445" s="64" t="str">
        <f>IF(Tabla1[[#This Row],[TRABAJADOR]]="", "", VLOOKUP(Tabla1[[#This Row],[TRABAJADOR]], 'Colaborador ID'!B:C, 2, FALSE))</f>
        <v>E0527</v>
      </c>
      <c r="C445" s="63" t="s">
        <v>867</v>
      </c>
      <c r="D445" s="64" t="s">
        <v>868</v>
      </c>
      <c r="E445" s="64" t="s">
        <v>271</v>
      </c>
      <c r="F445" s="37" t="e" vm="1">
        <v>#VALUE!</v>
      </c>
      <c r="G445" s="58"/>
      <c r="H445" s="57" t="e" vm="2">
        <v>#VALUE!</v>
      </c>
      <c r="I445" s="64"/>
      <c r="J445" s="57"/>
      <c r="K445" s="57"/>
      <c r="L445" s="4"/>
      <c r="M445" s="35"/>
    </row>
    <row r="446" spans="1:13" ht="15.9" customHeight="1" x14ac:dyDescent="0.3">
      <c r="A446" s="36">
        <v>443</v>
      </c>
      <c r="B446" s="57" t="str">
        <f>IF(Tabla1[[#This Row],[TRABAJADOR]]="", "", VLOOKUP(Tabla1[[#This Row],[TRABAJADOR]], 'Colaborador ID'!B:C, 2, FALSE))</f>
        <v>E1750</v>
      </c>
      <c r="C446" s="56" t="s">
        <v>869</v>
      </c>
      <c r="D446" s="57" t="s">
        <v>870</v>
      </c>
      <c r="E446" s="64" t="s">
        <v>16</v>
      </c>
      <c r="F446" s="49" t="e" vm="1">
        <v>#VALUE!</v>
      </c>
      <c r="G446" s="58">
        <v>45891</v>
      </c>
      <c r="H446" s="57" t="e" vm="2">
        <v>#VALUE!</v>
      </c>
      <c r="I446" s="57"/>
      <c r="J446" s="57"/>
      <c r="K446" s="57"/>
      <c r="L446" s="4"/>
      <c r="M446" s="35"/>
    </row>
    <row r="447" spans="1:13" ht="15.9" customHeight="1" x14ac:dyDescent="0.3">
      <c r="A447" s="36">
        <v>444</v>
      </c>
      <c r="B447" s="64" t="str">
        <f>IF(Tabla1[[#This Row],[TRABAJADOR]]="", "", VLOOKUP(Tabla1[[#This Row],[TRABAJADOR]], 'Colaborador ID'!B:C, 2, FALSE))</f>
        <v>E0483</v>
      </c>
      <c r="C447" s="63" t="s">
        <v>871</v>
      </c>
      <c r="D447" s="64" t="s">
        <v>872</v>
      </c>
      <c r="E447" s="64" t="s">
        <v>16</v>
      </c>
      <c r="F447" s="76" t="e" vm="1">
        <v>#VALUE!</v>
      </c>
      <c r="G447" s="58">
        <v>45951</v>
      </c>
      <c r="H447" s="49" t="e" vm="2">
        <v>#VALUE!</v>
      </c>
      <c r="I447" s="64"/>
      <c r="J447" s="57"/>
      <c r="K447" s="57"/>
      <c r="L447" s="4"/>
      <c r="M447" s="35"/>
    </row>
    <row r="448" spans="1:13" ht="15.9" customHeight="1" x14ac:dyDescent="0.3">
      <c r="A448" s="36">
        <v>445</v>
      </c>
      <c r="B448" s="57" t="str">
        <f>IF(Tabla1[[#This Row],[TRABAJADOR]]="", "", VLOOKUP(Tabla1[[#This Row],[TRABAJADOR]], 'Colaborador ID'!B:C, 2, FALSE))</f>
        <v>E1933</v>
      </c>
      <c r="C448" s="56" t="s">
        <v>873</v>
      </c>
      <c r="D448" s="57" t="s">
        <v>874</v>
      </c>
      <c r="E448" s="64" t="s">
        <v>13</v>
      </c>
      <c r="F448" s="49" t="e" vm="1">
        <v>#VALUE!</v>
      </c>
      <c r="G448" s="58">
        <v>45954</v>
      </c>
      <c r="H448" s="57" t="e" vm="2">
        <v>#VALUE!</v>
      </c>
      <c r="I448" s="57"/>
      <c r="J448" s="57"/>
      <c r="K448" s="57"/>
      <c r="L448" s="4"/>
      <c r="M448" s="35"/>
    </row>
    <row r="449" spans="1:13" ht="15.9" customHeight="1" x14ac:dyDescent="0.3">
      <c r="A449" s="36">
        <v>446</v>
      </c>
      <c r="B449" s="57" t="str">
        <f>IF(Tabla1[[#This Row],[TRABAJADOR]]="", "", VLOOKUP(Tabla1[[#This Row],[TRABAJADOR]], 'Colaborador ID'!B:C, 2, FALSE))</f>
        <v>E2033</v>
      </c>
      <c r="C449" s="56" t="s">
        <v>875</v>
      </c>
      <c r="D449" s="57" t="s">
        <v>876</v>
      </c>
      <c r="E449" s="64" t="s">
        <v>16</v>
      </c>
      <c r="F449" s="51" t="e" vm="1">
        <v>#VALUE!</v>
      </c>
      <c r="G449" s="58">
        <v>45961</v>
      </c>
      <c r="H449" s="57" t="e" vm="2">
        <v>#VALUE!</v>
      </c>
      <c r="I449" s="64" t="s">
        <v>22</v>
      </c>
      <c r="J449" s="57"/>
      <c r="K449" s="57"/>
      <c r="L449" s="4"/>
      <c r="M449" s="35"/>
    </row>
    <row r="450" spans="1:13" ht="15.9" customHeight="1" x14ac:dyDescent="0.35">
      <c r="A450" s="36">
        <v>447</v>
      </c>
      <c r="B450" s="64" t="str">
        <f>IF(Tabla1[[#This Row],[TRABAJADOR]]="", "", VLOOKUP(Tabla1[[#This Row],[TRABAJADOR]], 'Colaborador ID'!B:C, 2, FALSE))</f>
        <v>E1181</v>
      </c>
      <c r="C450" s="63" t="s">
        <v>877</v>
      </c>
      <c r="D450" s="64" t="s">
        <v>878</v>
      </c>
      <c r="E450" s="64" t="s">
        <v>879</v>
      </c>
      <c r="F450" s="37" t="e" vm="1">
        <v>#VALUE!</v>
      </c>
      <c r="G450" s="58"/>
      <c r="H450" s="57" t="e" vm="2">
        <v>#VALUE!</v>
      </c>
      <c r="I450" s="64"/>
      <c r="J450" s="57"/>
      <c r="K450" s="57"/>
      <c r="L450" s="4"/>
      <c r="M450" s="35"/>
    </row>
    <row r="451" spans="1:13" ht="15.9" customHeight="1" x14ac:dyDescent="0.35">
      <c r="A451" s="36">
        <v>448</v>
      </c>
      <c r="B451" s="64" t="str">
        <f>IF(Tabla1[[#This Row],[TRABAJADOR]]="", "", VLOOKUP(Tabla1[[#This Row],[TRABAJADOR]], 'Colaborador ID'!B:C, 2, FALSE))</f>
        <v>E1396</v>
      </c>
      <c r="C451" s="63" t="s">
        <v>880</v>
      </c>
      <c r="D451" s="64" t="s">
        <v>881</v>
      </c>
      <c r="E451" s="64" t="s">
        <v>35</v>
      </c>
      <c r="F451" s="42" t="e" vm="1">
        <v>#VALUE!</v>
      </c>
      <c r="G451" s="58">
        <v>45833</v>
      </c>
      <c r="H451" s="57" t="e" vm="2">
        <v>#VALUE!</v>
      </c>
      <c r="I451" s="64"/>
      <c r="J451" s="57"/>
      <c r="K451" s="57"/>
      <c r="L451" s="4"/>
      <c r="M451" s="35"/>
    </row>
    <row r="452" spans="1:13" ht="15.9" customHeight="1" x14ac:dyDescent="0.3">
      <c r="A452" s="36">
        <v>449</v>
      </c>
      <c r="B452" s="64" t="e">
        <f>IF(Tabla1[[#This Row],[TRABAJADOR]]="", "", VLOOKUP(Tabla1[[#This Row],[TRABAJADOR]], 'Colaborador ID'!B:C, 2, FALSE))</f>
        <v>#N/A</v>
      </c>
      <c r="C452" s="63" t="s">
        <v>882</v>
      </c>
      <c r="D452" s="64" t="s">
        <v>883</v>
      </c>
      <c r="E452" s="64" t="s">
        <v>16</v>
      </c>
      <c r="F452" s="49" t="e" vm="1">
        <v>#VALUE!</v>
      </c>
      <c r="G452" s="58"/>
      <c r="H452" s="57" t="e" vm="2">
        <v>#VALUE!</v>
      </c>
      <c r="I452" s="64"/>
      <c r="J452" s="57"/>
      <c r="K452" s="57"/>
      <c r="L452" s="4"/>
      <c r="M452" s="35"/>
    </row>
    <row r="453" spans="1:13" ht="15.9" customHeight="1" x14ac:dyDescent="0.3">
      <c r="A453" s="36">
        <v>450</v>
      </c>
      <c r="B453" s="64" t="str">
        <f>IF(Tabla1[[#This Row],[TRABAJADOR]]="", "", VLOOKUP(Tabla1[[#This Row],[TRABAJADOR]], 'Colaborador ID'!B:C, 2, FALSE))</f>
        <v>E0113</v>
      </c>
      <c r="C453" s="63" t="s">
        <v>884</v>
      </c>
      <c r="D453" s="64" t="s">
        <v>885</v>
      </c>
      <c r="E453" s="64"/>
      <c r="F453" s="57" t="e" vm="1">
        <v>#VALUE!</v>
      </c>
      <c r="G453" s="58"/>
      <c r="H453" s="57" t="e" vm="2">
        <v>#VALUE!</v>
      </c>
      <c r="I453" s="64"/>
      <c r="J453" s="57"/>
      <c r="K453" s="57"/>
      <c r="L453" s="4"/>
      <c r="M453" s="35"/>
    </row>
    <row r="454" spans="1:13" ht="15.9" customHeight="1" x14ac:dyDescent="0.3">
      <c r="A454" s="36">
        <v>451</v>
      </c>
      <c r="B454" s="64" t="e">
        <f>IF(Tabla1[[#This Row],[TRABAJADOR]]="", "", VLOOKUP(Tabla1[[#This Row],[TRABAJADOR]], 'Colaborador ID'!B:C, 2, FALSE))</f>
        <v>#N/A</v>
      </c>
      <c r="C454" s="63" t="s">
        <v>886</v>
      </c>
      <c r="D454" s="64" t="s">
        <v>887</v>
      </c>
      <c r="E454" s="64" t="s">
        <v>19</v>
      </c>
      <c r="F454" s="38" t="e" vm="1">
        <v>#VALUE!</v>
      </c>
      <c r="G454" s="58">
        <v>45785</v>
      </c>
      <c r="H454" s="57" t="e" vm="2">
        <v>#VALUE!</v>
      </c>
      <c r="I454" s="64"/>
      <c r="J454" s="57"/>
      <c r="K454" s="57"/>
      <c r="L454" s="4"/>
      <c r="M454" s="35"/>
    </row>
    <row r="455" spans="1:13" ht="15.9" customHeight="1" x14ac:dyDescent="0.3">
      <c r="A455" s="36">
        <v>452</v>
      </c>
      <c r="B455" s="64" t="str">
        <f>IF(Tabla1[[#This Row],[TRABAJADOR]]="", "", VLOOKUP(Tabla1[[#This Row],[TRABAJADOR]], 'Colaborador ID'!B:C, 2, FALSE))</f>
        <v>E2082</v>
      </c>
      <c r="C455" s="63" t="s">
        <v>888</v>
      </c>
      <c r="D455" s="64" t="s">
        <v>889</v>
      </c>
      <c r="E455" s="64" t="s">
        <v>16</v>
      </c>
      <c r="F455" s="51" t="e" vm="1">
        <v>#VALUE!</v>
      </c>
      <c r="G455" s="58"/>
      <c r="H455" s="57" t="e" vm="2">
        <v>#VALUE!</v>
      </c>
      <c r="I455" s="64"/>
      <c r="J455" s="57"/>
      <c r="K455" s="57"/>
      <c r="L455" s="4"/>
      <c r="M455" s="35"/>
    </row>
    <row r="456" spans="1:13" ht="15.9" customHeight="1" x14ac:dyDescent="0.3">
      <c r="A456" s="36">
        <v>453</v>
      </c>
      <c r="B456" s="57" t="str">
        <f>IF(Tabla1[[#This Row],[TRABAJADOR]]="", "", VLOOKUP(Tabla1[[#This Row],[TRABAJADOR]], 'Colaborador ID'!B:C, 2, FALSE))</f>
        <v>E2069</v>
      </c>
      <c r="C456" s="56" t="s">
        <v>2816</v>
      </c>
      <c r="D456" s="57" t="s">
        <v>2817</v>
      </c>
      <c r="E456" s="64" t="s">
        <v>19</v>
      </c>
      <c r="F456" s="49" t="e" vm="1">
        <v>#VALUE!</v>
      </c>
      <c r="G456" s="58">
        <v>46006</v>
      </c>
      <c r="H456" s="57" t="e" vm="2">
        <v>#VALUE!</v>
      </c>
      <c r="I456" s="57"/>
      <c r="J456" s="57"/>
      <c r="K456" s="57"/>
      <c r="L456" s="4"/>
      <c r="M456" s="35"/>
    </row>
    <row r="457" spans="1:13" ht="15.9" customHeight="1" x14ac:dyDescent="0.3">
      <c r="A457" s="36">
        <v>454</v>
      </c>
      <c r="B457" s="64" t="str">
        <f>IF(Tabla1[[#This Row],[TRABAJADOR]]="", "", VLOOKUP(Tabla1[[#This Row],[TRABAJADOR]], 'Colaborador ID'!B:C, 2, FALSE))</f>
        <v>E0753</v>
      </c>
      <c r="C457" s="63" t="s">
        <v>890</v>
      </c>
      <c r="D457" s="64" t="s">
        <v>891</v>
      </c>
      <c r="E457" s="64"/>
      <c r="F457" s="57" t="e" vm="1">
        <v>#VALUE!</v>
      </c>
      <c r="G457" s="58"/>
      <c r="H457" s="57" t="e" vm="2">
        <v>#VALUE!</v>
      </c>
      <c r="I457" s="64"/>
      <c r="J457" s="57"/>
      <c r="K457" s="57"/>
      <c r="L457" s="4"/>
      <c r="M457" s="35"/>
    </row>
    <row r="458" spans="1:13" ht="15.9" customHeight="1" x14ac:dyDescent="0.35">
      <c r="A458" s="36">
        <v>455</v>
      </c>
      <c r="B458" s="64" t="str">
        <f>IF(Tabla1[[#This Row],[TRABAJADOR]]="", "", VLOOKUP(Tabla1[[#This Row],[TRABAJADOR]], 'Colaborador ID'!B:C, 2, FALSE))</f>
        <v>E0747</v>
      </c>
      <c r="C458" s="63" t="s">
        <v>892</v>
      </c>
      <c r="D458" s="64" t="s">
        <v>893</v>
      </c>
      <c r="E458" s="64" t="s">
        <v>13</v>
      </c>
      <c r="F458" s="41" t="e" vm="1">
        <v>#VALUE!</v>
      </c>
      <c r="G458" s="58">
        <v>45726</v>
      </c>
      <c r="H458" s="57" t="e" vm="2">
        <v>#VALUE!</v>
      </c>
      <c r="I458" s="64"/>
      <c r="J458" s="57"/>
      <c r="K458" s="57"/>
      <c r="L458" s="4"/>
      <c r="M458" s="35"/>
    </row>
    <row r="459" spans="1:13" ht="15.9" customHeight="1" x14ac:dyDescent="0.3">
      <c r="A459" s="36">
        <v>456</v>
      </c>
      <c r="B459" s="64" t="str">
        <f>IF(Tabla1[[#This Row],[TRABAJADOR]]="", "", VLOOKUP(Tabla1[[#This Row],[TRABAJADOR]], 'Colaborador ID'!B:C, 2, FALSE))</f>
        <v>E1676</v>
      </c>
      <c r="C459" s="63" t="s">
        <v>894</v>
      </c>
      <c r="D459" s="64" t="s">
        <v>895</v>
      </c>
      <c r="E459" s="64" t="s">
        <v>13</v>
      </c>
      <c r="F459" s="49" t="e" vm="1">
        <v>#VALUE!</v>
      </c>
      <c r="G459" s="58">
        <v>45880</v>
      </c>
      <c r="H459" s="57" t="e" vm="2">
        <v>#VALUE!</v>
      </c>
      <c r="I459" s="64"/>
      <c r="J459" s="57"/>
      <c r="K459" s="57"/>
      <c r="L459" s="4"/>
      <c r="M459" s="35"/>
    </row>
    <row r="460" spans="1:13" ht="15.9" customHeight="1" x14ac:dyDescent="0.3">
      <c r="A460" s="36">
        <v>457</v>
      </c>
      <c r="B460" s="64" t="str">
        <f>IF(Tabla1[[#This Row],[TRABAJADOR]]="", "", VLOOKUP(Tabla1[[#This Row],[TRABAJADOR]], 'Colaborador ID'!B:C, 2, FALSE))</f>
        <v>E0508</v>
      </c>
      <c r="C460" s="63" t="s">
        <v>896</v>
      </c>
      <c r="D460" s="64" t="s">
        <v>897</v>
      </c>
      <c r="E460" s="64"/>
      <c r="F460" s="6" t="e" vm="1">
        <v>#VALUE!</v>
      </c>
      <c r="G460" s="58"/>
      <c r="H460" s="57" t="e" vm="2">
        <v>#VALUE!</v>
      </c>
      <c r="I460" s="64" t="s">
        <v>22</v>
      </c>
      <c r="J460" s="57"/>
      <c r="K460" s="57"/>
      <c r="L460" s="4"/>
      <c r="M460" s="35"/>
    </row>
    <row r="461" spans="1:13" ht="15.9" customHeight="1" x14ac:dyDescent="0.3">
      <c r="A461" s="36">
        <v>458</v>
      </c>
      <c r="B461" s="64" t="str">
        <f>IF(Tabla1[[#This Row],[TRABAJADOR]]="", "", VLOOKUP(Tabla1[[#This Row],[TRABAJADOR]], 'Colaborador ID'!B:C, 2, FALSE))</f>
        <v>E0229</v>
      </c>
      <c r="C461" s="63" t="s">
        <v>898</v>
      </c>
      <c r="D461" s="64" t="s">
        <v>899</v>
      </c>
      <c r="E461" s="64" t="s">
        <v>19</v>
      </c>
      <c r="F461" s="51" t="e" vm="1">
        <v>#VALUE!</v>
      </c>
      <c r="G461" s="58"/>
      <c r="H461" s="57" t="e" vm="2">
        <v>#VALUE!</v>
      </c>
      <c r="I461" s="64"/>
      <c r="J461" s="57"/>
      <c r="K461" s="57"/>
      <c r="L461" s="4"/>
      <c r="M461" s="35"/>
    </row>
    <row r="462" spans="1:13" ht="15.9" customHeight="1" x14ac:dyDescent="0.3">
      <c r="A462" s="36">
        <v>459</v>
      </c>
      <c r="B462" s="57" t="str">
        <f>IF(Tabla1[[#This Row],[TRABAJADOR]]="", "", VLOOKUP(Tabla1[[#This Row],[TRABAJADOR]], 'Colaborador ID'!B:C, 2, FALSE))</f>
        <v>E1946</v>
      </c>
      <c r="C462" s="56" t="s">
        <v>900</v>
      </c>
      <c r="D462" s="57" t="s">
        <v>901</v>
      </c>
      <c r="E462" s="64" t="s">
        <v>19</v>
      </c>
      <c r="F462" s="49" t="e" vm="1">
        <v>#VALUE!</v>
      </c>
      <c r="G462" s="58">
        <v>45947</v>
      </c>
      <c r="H462" s="57" t="e" vm="2">
        <v>#VALUE!</v>
      </c>
      <c r="I462" s="57" t="s">
        <v>22</v>
      </c>
      <c r="J462" s="57"/>
      <c r="K462" s="57"/>
      <c r="L462" s="4"/>
      <c r="M462" s="35"/>
    </row>
    <row r="463" spans="1:13" ht="15.9" customHeight="1" x14ac:dyDescent="0.35">
      <c r="A463" s="36">
        <v>460</v>
      </c>
      <c r="B463" s="64" t="str">
        <f>IF(Tabla1[[#This Row],[TRABAJADOR]]="", "", VLOOKUP(Tabla1[[#This Row],[TRABAJADOR]], 'Colaborador ID'!B:C, 2, FALSE))</f>
        <v>E1324</v>
      </c>
      <c r="C463" s="63" t="s">
        <v>902</v>
      </c>
      <c r="D463" s="64" t="s">
        <v>903</v>
      </c>
      <c r="E463" s="64" t="s">
        <v>271</v>
      </c>
      <c r="F463" s="37" t="e" vm="1">
        <v>#VALUE!</v>
      </c>
      <c r="G463" s="58"/>
      <c r="H463" s="57" t="e" vm="2">
        <v>#VALUE!</v>
      </c>
      <c r="I463" s="64"/>
      <c r="J463" s="57"/>
      <c r="K463" s="57"/>
      <c r="L463" s="4"/>
      <c r="M463" s="35"/>
    </row>
    <row r="464" spans="1:13" ht="15.9" customHeight="1" x14ac:dyDescent="0.3">
      <c r="A464" s="36">
        <v>461</v>
      </c>
      <c r="B464" s="64" t="str">
        <f>IF(Tabla1[[#This Row],[TRABAJADOR]]="", "", VLOOKUP(Tabla1[[#This Row],[TRABAJADOR]], 'Colaborador ID'!B:C, 2, FALSE))</f>
        <v>E1300</v>
      </c>
      <c r="C464" s="63" t="s">
        <v>904</v>
      </c>
      <c r="D464" s="64" t="s">
        <v>905</v>
      </c>
      <c r="E464" s="64"/>
      <c r="F464" s="57" t="e" vm="1">
        <v>#VALUE!</v>
      </c>
      <c r="G464" s="58"/>
      <c r="H464" s="57" t="e" vm="2">
        <v>#VALUE!</v>
      </c>
      <c r="I464" s="64"/>
      <c r="J464" s="57"/>
      <c r="K464" s="57"/>
      <c r="L464" s="4"/>
      <c r="M464" s="35"/>
    </row>
    <row r="465" spans="1:13" ht="15.9" customHeight="1" x14ac:dyDescent="0.3">
      <c r="A465" s="36">
        <v>462</v>
      </c>
      <c r="B465" s="64" t="str">
        <f>IF(Tabla1[[#This Row],[TRABAJADOR]]="", "", VLOOKUP(Tabla1[[#This Row],[TRABAJADOR]], 'Colaborador ID'!B:C, 2, FALSE))</f>
        <v>E0966</v>
      </c>
      <c r="C465" s="63" t="s">
        <v>906</v>
      </c>
      <c r="D465" s="64" t="s">
        <v>907</v>
      </c>
      <c r="E465" s="64" t="s">
        <v>13</v>
      </c>
      <c r="F465" s="76" t="e" vm="1">
        <v>#VALUE!</v>
      </c>
      <c r="G465" s="58"/>
      <c r="H465" s="57" t="e" vm="2">
        <v>#VALUE!</v>
      </c>
      <c r="I465" s="64"/>
      <c r="J465" s="57"/>
      <c r="K465" s="57"/>
      <c r="L465" s="4"/>
      <c r="M465" s="35"/>
    </row>
    <row r="466" spans="1:13" ht="15.9" customHeight="1" x14ac:dyDescent="0.3">
      <c r="A466" s="36">
        <v>463</v>
      </c>
      <c r="B466" s="64" t="str">
        <f>IF(Tabla1[[#This Row],[TRABAJADOR]]="", "", VLOOKUP(Tabla1[[#This Row],[TRABAJADOR]], 'Colaborador ID'!B:C, 2, FALSE))</f>
        <v>E0608</v>
      </c>
      <c r="C466" s="63" t="s">
        <v>908</v>
      </c>
      <c r="D466" s="64" t="s">
        <v>909</v>
      </c>
      <c r="E466" s="64"/>
      <c r="F466" s="6" t="e" vm="1">
        <v>#VALUE!</v>
      </c>
      <c r="G466" s="58"/>
      <c r="H466" s="6" t="e" vm="2">
        <v>#VALUE!</v>
      </c>
      <c r="I466" s="64"/>
      <c r="J466" s="57"/>
      <c r="K466" s="57"/>
      <c r="L466" s="4"/>
      <c r="M466" s="35"/>
    </row>
    <row r="467" spans="1:13" ht="15.9" customHeight="1" x14ac:dyDescent="0.3">
      <c r="A467" s="36">
        <v>464</v>
      </c>
      <c r="B467" s="64" t="e">
        <f>IF(Tabla1[[#This Row],[TRABAJADOR]]="", "", VLOOKUP(Tabla1[[#This Row],[TRABAJADOR]], 'Colaborador ID'!B:C, 2, FALSE))</f>
        <v>#N/A</v>
      </c>
      <c r="C467" s="63" t="s">
        <v>910</v>
      </c>
      <c r="D467" s="64" t="s">
        <v>911</v>
      </c>
      <c r="E467" s="64" t="s">
        <v>271</v>
      </c>
      <c r="F467" s="49" t="e" vm="1">
        <v>#VALUE!</v>
      </c>
      <c r="G467" s="58"/>
      <c r="H467" s="57" t="e" vm="2">
        <v>#VALUE!</v>
      </c>
      <c r="I467" s="64"/>
      <c r="J467" s="57"/>
      <c r="K467" s="57"/>
      <c r="L467" s="4"/>
      <c r="M467" s="35"/>
    </row>
    <row r="468" spans="1:13" ht="15.9" customHeight="1" x14ac:dyDescent="0.3">
      <c r="A468" s="36">
        <v>465</v>
      </c>
      <c r="B468" s="57" t="str">
        <f>IF(Tabla1[[#This Row],[TRABAJADOR]]="", "", VLOOKUP(Tabla1[[#This Row],[TRABAJADOR]], 'Colaborador ID'!B:C, 2, FALSE))</f>
        <v>E1832</v>
      </c>
      <c r="C468" s="56" t="s">
        <v>912</v>
      </c>
      <c r="D468" s="57" t="s">
        <v>913</v>
      </c>
      <c r="E468" s="64" t="s">
        <v>13</v>
      </c>
      <c r="F468" s="51" t="e" vm="1">
        <v>#VALUE!</v>
      </c>
      <c r="G468" s="58">
        <v>45944</v>
      </c>
      <c r="H468" s="57" t="e" vm="2">
        <v>#VALUE!</v>
      </c>
      <c r="I468" s="57"/>
      <c r="J468" s="57"/>
      <c r="K468" s="57"/>
      <c r="L468" s="4"/>
      <c r="M468" s="35"/>
    </row>
    <row r="469" spans="1:13" ht="15.9" customHeight="1" x14ac:dyDescent="0.3">
      <c r="A469" s="36">
        <v>466</v>
      </c>
      <c r="B469" s="64" t="str">
        <f>IF(Tabla1[[#This Row],[TRABAJADOR]]="", "", VLOOKUP(Tabla1[[#This Row],[TRABAJADOR]], 'Colaborador ID'!B:C, 2, FALSE))</f>
        <v>E1494</v>
      </c>
      <c r="C469" s="63" t="s">
        <v>914</v>
      </c>
      <c r="D469" s="64" t="s">
        <v>915</v>
      </c>
      <c r="E469" s="64" t="s">
        <v>16</v>
      </c>
      <c r="F469" s="49" t="e" vm="1">
        <v>#VALUE!</v>
      </c>
      <c r="G469" s="58"/>
      <c r="H469" s="57" t="e" vm="2">
        <v>#VALUE!</v>
      </c>
      <c r="I469" s="64" t="s">
        <v>22</v>
      </c>
      <c r="J469" s="57"/>
      <c r="K469" s="57"/>
      <c r="L469" s="4"/>
      <c r="M469" s="35"/>
    </row>
    <row r="470" spans="1:13" ht="15.9" customHeight="1" x14ac:dyDescent="0.3">
      <c r="A470" s="36">
        <v>467</v>
      </c>
      <c r="B470" s="64" t="str">
        <f>IF(Tabla1[[#This Row],[TRABAJADOR]]="", "", VLOOKUP(Tabla1[[#This Row],[TRABAJADOR]], 'Colaborador ID'!B:C, 2, FALSE))</f>
        <v>E0275</v>
      </c>
      <c r="C470" s="63" t="s">
        <v>916</v>
      </c>
      <c r="D470" s="64" t="s">
        <v>917</v>
      </c>
      <c r="E470" s="64"/>
      <c r="F470" s="6" t="e" vm="1">
        <v>#VALUE!</v>
      </c>
      <c r="G470" s="58"/>
      <c r="H470" s="57" t="e" vm="2">
        <v>#VALUE!</v>
      </c>
      <c r="I470" s="64"/>
      <c r="J470" s="57"/>
      <c r="K470" s="57"/>
      <c r="L470" s="4"/>
      <c r="M470" s="35"/>
    </row>
    <row r="471" spans="1:13" ht="15.9" customHeight="1" x14ac:dyDescent="0.3">
      <c r="A471" s="36">
        <v>468</v>
      </c>
      <c r="B471" s="57" t="str">
        <f>IF(Tabla1[[#This Row],[TRABAJADOR]]="", "", VLOOKUP(Tabla1[[#This Row],[TRABAJADOR]], 'Colaborador ID'!B:C, 2, FALSE))</f>
        <v>E2115</v>
      </c>
      <c r="C471" s="56" t="s">
        <v>5391</v>
      </c>
      <c r="D471" s="57" t="s">
        <v>5466</v>
      </c>
      <c r="E471" s="64" t="s">
        <v>19</v>
      </c>
      <c r="F471" s="49" t="e" vm="1">
        <v>#VALUE!</v>
      </c>
      <c r="G471" s="58">
        <v>46073</v>
      </c>
      <c r="H471" s="57" t="e" vm="2">
        <v>#VALUE!</v>
      </c>
      <c r="I471" s="57"/>
      <c r="J471" s="57"/>
      <c r="K471" s="57"/>
      <c r="L471" s="4"/>
      <c r="M471" s="35"/>
    </row>
    <row r="472" spans="1:13" ht="15.9" customHeight="1" x14ac:dyDescent="0.3">
      <c r="A472" s="36">
        <v>469</v>
      </c>
      <c r="B472" s="57" t="str">
        <f>IF(Tabla1[[#This Row],[TRABAJADOR]]="", "", VLOOKUP(Tabla1[[#This Row],[TRABAJADOR]], 'Colaborador ID'!B:C, 2, FALSE))</f>
        <v>E1948</v>
      </c>
      <c r="C472" s="56" t="s">
        <v>918</v>
      </c>
      <c r="D472" s="57" t="s">
        <v>919</v>
      </c>
      <c r="E472" s="64" t="s">
        <v>19</v>
      </c>
      <c r="F472" s="49" t="e" vm="1">
        <v>#VALUE!</v>
      </c>
      <c r="G472" s="58">
        <v>45958</v>
      </c>
      <c r="H472" s="57" t="e" vm="2">
        <v>#VALUE!</v>
      </c>
      <c r="I472" s="57"/>
      <c r="J472" s="57"/>
      <c r="K472" s="57"/>
      <c r="L472" s="4"/>
      <c r="M472" s="35"/>
    </row>
    <row r="473" spans="1:13" ht="15.9" customHeight="1" x14ac:dyDescent="0.3">
      <c r="A473" s="36">
        <v>470</v>
      </c>
      <c r="B473" s="64" t="str">
        <f>IF(Tabla1[[#This Row],[TRABAJADOR]]="", "", VLOOKUP(Tabla1[[#This Row],[TRABAJADOR]], 'Colaborador ID'!B:C, 2, FALSE))</f>
        <v>E0157</v>
      </c>
      <c r="C473" s="63" t="s">
        <v>920</v>
      </c>
      <c r="D473" s="64" t="s">
        <v>921</v>
      </c>
      <c r="E473" s="64" t="s">
        <v>19</v>
      </c>
      <c r="F473" s="49" t="e" vm="1">
        <v>#VALUE!</v>
      </c>
      <c r="G473" s="58"/>
      <c r="H473" s="57" t="e" vm="2">
        <v>#VALUE!</v>
      </c>
      <c r="I473" s="64"/>
      <c r="J473" s="57"/>
      <c r="K473" s="57"/>
      <c r="L473" s="4"/>
      <c r="M473" s="35"/>
    </row>
    <row r="474" spans="1:13" ht="15.9" customHeight="1" x14ac:dyDescent="0.3">
      <c r="A474" s="36">
        <v>471</v>
      </c>
      <c r="B474" s="64" t="str">
        <f>IF(Tabla1[[#This Row],[TRABAJADOR]]="", "", VLOOKUP(Tabla1[[#This Row],[TRABAJADOR]], 'Colaborador ID'!B:C, 2, FALSE))</f>
        <v>E0169</v>
      </c>
      <c r="C474" s="63" t="s">
        <v>922</v>
      </c>
      <c r="D474" s="64" t="s">
        <v>923</v>
      </c>
      <c r="E474" s="64" t="s">
        <v>16</v>
      </c>
      <c r="F474" s="49" t="e" vm="1">
        <v>#VALUE!</v>
      </c>
      <c r="G474" s="58"/>
      <c r="H474" s="57" t="e" vm="2">
        <v>#VALUE!</v>
      </c>
      <c r="I474" s="64"/>
      <c r="J474" s="57"/>
      <c r="K474" s="57"/>
      <c r="L474" s="4"/>
      <c r="M474" s="35"/>
    </row>
    <row r="475" spans="1:13" ht="15.9" customHeight="1" x14ac:dyDescent="0.3">
      <c r="A475" s="36">
        <v>472</v>
      </c>
      <c r="B475" s="64" t="str">
        <f>IF(Tabla1[[#This Row],[TRABAJADOR]]="", "", VLOOKUP(Tabla1[[#This Row],[TRABAJADOR]], 'Colaborador ID'!B:C, 2, FALSE))</f>
        <v>E0688</v>
      </c>
      <c r="C475" s="63" t="s">
        <v>924</v>
      </c>
      <c r="D475" s="64" t="s">
        <v>925</v>
      </c>
      <c r="E475" s="64"/>
      <c r="F475" s="6" t="e" vm="1">
        <v>#VALUE!</v>
      </c>
      <c r="G475" s="58"/>
      <c r="H475" s="57" t="e" vm="2">
        <v>#VALUE!</v>
      </c>
      <c r="I475" s="64"/>
      <c r="J475" s="57"/>
      <c r="K475" s="57"/>
      <c r="L475" s="4"/>
      <c r="M475" s="35"/>
    </row>
    <row r="476" spans="1:13" ht="15.9" customHeight="1" x14ac:dyDescent="0.3">
      <c r="A476" s="36">
        <v>473</v>
      </c>
      <c r="B476" s="57" t="str">
        <f>IF(Tabla1[[#This Row],[TRABAJADOR]]="", "", VLOOKUP(Tabla1[[#This Row],[TRABAJADOR]], 'Colaborador ID'!B:C, 2, FALSE))</f>
        <v>E1856</v>
      </c>
      <c r="C476" s="56" t="s">
        <v>926</v>
      </c>
      <c r="D476" s="57" t="s">
        <v>927</v>
      </c>
      <c r="E476" s="64" t="s">
        <v>13</v>
      </c>
      <c r="F476" s="51" t="e" vm="1">
        <v>#VALUE!</v>
      </c>
      <c r="G476" s="58">
        <v>45971</v>
      </c>
      <c r="H476" s="57" t="e" vm="2">
        <v>#VALUE!</v>
      </c>
      <c r="I476" s="57"/>
      <c r="J476" s="57"/>
      <c r="K476" s="57"/>
      <c r="L476" s="4"/>
      <c r="M476" s="35"/>
    </row>
    <row r="477" spans="1:13" ht="15.9" customHeight="1" x14ac:dyDescent="0.3">
      <c r="A477" s="36">
        <v>474</v>
      </c>
      <c r="B477" s="57" t="str">
        <f>IF(Tabla1[[#This Row],[TRABAJADOR]]="", "", VLOOKUP(Tabla1[[#This Row],[TRABAJADOR]], 'Colaborador ID'!B:C, 2, FALSE))</f>
        <v>E1911</v>
      </c>
      <c r="C477" s="56" t="s">
        <v>928</v>
      </c>
      <c r="D477" s="57" t="s">
        <v>929</v>
      </c>
      <c r="E477" s="64" t="s">
        <v>19</v>
      </c>
      <c r="F477" s="49" t="e" vm="1">
        <v>#VALUE!</v>
      </c>
      <c r="G477" s="58">
        <v>45958</v>
      </c>
      <c r="H477" s="57" t="e" vm="2">
        <v>#VALUE!</v>
      </c>
      <c r="I477" s="57" t="s">
        <v>22</v>
      </c>
      <c r="J477" s="57"/>
      <c r="K477" s="57"/>
      <c r="L477" s="4"/>
      <c r="M477" s="35"/>
    </row>
    <row r="478" spans="1:13" ht="15.9" customHeight="1" x14ac:dyDescent="0.3">
      <c r="A478" s="36">
        <v>475</v>
      </c>
      <c r="B478" s="64" t="str">
        <f>IF(Tabla1[[#This Row],[TRABAJADOR]]="", "", VLOOKUP(Tabla1[[#This Row],[TRABAJADOR]], 'Colaborador ID'!B:C, 2, FALSE))</f>
        <v>E0120</v>
      </c>
      <c r="C478" s="63" t="s">
        <v>930</v>
      </c>
      <c r="D478" s="64" t="s">
        <v>931</v>
      </c>
      <c r="E478" s="64"/>
      <c r="F478" s="6" t="e" vm="1">
        <v>#VALUE!</v>
      </c>
      <c r="G478" s="58"/>
      <c r="H478" s="57" t="e" vm="2">
        <v>#VALUE!</v>
      </c>
      <c r="I478" s="64"/>
      <c r="J478" s="57"/>
      <c r="K478" s="57"/>
      <c r="L478" s="4"/>
      <c r="M478" s="35"/>
    </row>
    <row r="479" spans="1:13" ht="15.9" customHeight="1" x14ac:dyDescent="0.3">
      <c r="A479" s="36">
        <v>476</v>
      </c>
      <c r="B479" s="64" t="str">
        <f>IF(Tabla1[[#This Row],[TRABAJADOR]]="", "", VLOOKUP(Tabla1[[#This Row],[TRABAJADOR]], 'Colaborador ID'!B:C, 2, FALSE))</f>
        <v>E0414</v>
      </c>
      <c r="C479" s="63" t="s">
        <v>932</v>
      </c>
      <c r="D479" s="64" t="s">
        <v>933</v>
      </c>
      <c r="E479" s="64" t="s">
        <v>19</v>
      </c>
      <c r="F479" s="38" t="e" vm="1">
        <v>#VALUE!</v>
      </c>
      <c r="G479" s="58">
        <v>45742</v>
      </c>
      <c r="H479" s="6" t="e" vm="2">
        <v>#VALUE!</v>
      </c>
      <c r="I479" s="64"/>
      <c r="J479" s="57"/>
      <c r="K479" s="57"/>
      <c r="L479" s="4"/>
      <c r="M479" s="35"/>
    </row>
    <row r="480" spans="1:13" ht="15.9" customHeight="1" x14ac:dyDescent="0.3">
      <c r="A480" s="36">
        <v>477</v>
      </c>
      <c r="B480" s="64" t="str">
        <f>IF(Tabla1[[#This Row],[TRABAJADOR]]="", "", VLOOKUP(Tabla1[[#This Row],[TRABAJADOR]], 'Colaborador ID'!B:C, 2, FALSE))</f>
        <v>E1495</v>
      </c>
      <c r="C480" s="63" t="s">
        <v>934</v>
      </c>
      <c r="D480" s="64" t="s">
        <v>935</v>
      </c>
      <c r="E480" s="64" t="s">
        <v>16</v>
      </c>
      <c r="F480" s="49" t="e" vm="1">
        <v>#VALUE!</v>
      </c>
      <c r="G480" s="58"/>
      <c r="H480" s="57" t="e" vm="2">
        <v>#VALUE!</v>
      </c>
      <c r="I480" s="64" t="s">
        <v>22</v>
      </c>
      <c r="J480" s="57"/>
      <c r="K480" s="57"/>
      <c r="L480" s="4"/>
      <c r="M480" s="35"/>
    </row>
    <row r="481" spans="1:13" ht="15.9" customHeight="1" x14ac:dyDescent="0.3">
      <c r="A481" s="36">
        <v>478</v>
      </c>
      <c r="B481" s="64" t="str">
        <f>IF(Tabla1[[#This Row],[TRABAJADOR]]="", "", VLOOKUP(Tabla1[[#This Row],[TRABAJADOR]], 'Colaborador ID'!B:C, 2, FALSE))</f>
        <v>E1496</v>
      </c>
      <c r="C481" s="63" t="s">
        <v>936</v>
      </c>
      <c r="D481" s="64" t="s">
        <v>937</v>
      </c>
      <c r="E481" s="64"/>
      <c r="F481" s="49" t="e" vm="1">
        <v>#VALUE!</v>
      </c>
      <c r="G481" s="58"/>
      <c r="H481" s="57" t="e" vm="2">
        <v>#VALUE!</v>
      </c>
      <c r="I481" s="64" t="s">
        <v>22</v>
      </c>
      <c r="J481" s="57"/>
      <c r="K481" s="57"/>
      <c r="L481" s="4"/>
      <c r="M481" s="35"/>
    </row>
    <row r="482" spans="1:13" ht="15.9" customHeight="1" x14ac:dyDescent="0.3">
      <c r="A482" s="36">
        <v>479</v>
      </c>
      <c r="B482" s="64" t="str">
        <f>IF(Tabla1[[#This Row],[TRABAJADOR]]="", "", VLOOKUP(Tabla1[[#This Row],[TRABAJADOR]], 'Colaborador ID'!B:C, 2, FALSE))</f>
        <v>E1497</v>
      </c>
      <c r="C482" s="63" t="s">
        <v>938</v>
      </c>
      <c r="D482" s="64" t="s">
        <v>939</v>
      </c>
      <c r="E482" s="64" t="s">
        <v>16</v>
      </c>
      <c r="F482" s="51" t="e" vm="1">
        <v>#VALUE!</v>
      </c>
      <c r="G482" s="58"/>
      <c r="H482" s="57" t="e" vm="2">
        <v>#VALUE!</v>
      </c>
      <c r="I482" s="64" t="s">
        <v>22</v>
      </c>
      <c r="J482" s="57"/>
      <c r="K482" s="57"/>
      <c r="L482" s="4"/>
      <c r="M482" s="35"/>
    </row>
    <row r="483" spans="1:13" ht="15.9" customHeight="1" x14ac:dyDescent="0.3">
      <c r="A483" s="36">
        <v>480</v>
      </c>
      <c r="B483" s="64" t="str">
        <f>IF(Tabla1[[#This Row],[TRABAJADOR]]="", "", VLOOKUP(Tabla1[[#This Row],[TRABAJADOR]], 'Colaborador ID'!B:C, 2, FALSE))</f>
        <v>E0237</v>
      </c>
      <c r="C483" s="63" t="s">
        <v>940</v>
      </c>
      <c r="D483" s="64" t="s">
        <v>941</v>
      </c>
      <c r="E483" s="64" t="s">
        <v>16</v>
      </c>
      <c r="F483" s="38" t="e" vm="1">
        <v>#VALUE!</v>
      </c>
      <c r="G483" s="58">
        <v>45820</v>
      </c>
      <c r="H483" s="57" t="e" vm="2">
        <v>#VALUE!</v>
      </c>
      <c r="I483" s="64"/>
      <c r="J483" s="57"/>
      <c r="K483" s="57"/>
      <c r="L483" s="4"/>
      <c r="M483" s="35"/>
    </row>
    <row r="484" spans="1:13" ht="15.9" customHeight="1" x14ac:dyDescent="0.3">
      <c r="A484" s="36">
        <v>481</v>
      </c>
      <c r="B484" s="64" t="str">
        <f>IF(Tabla1[[#This Row],[TRABAJADOR]]="", "", VLOOKUP(Tabla1[[#This Row],[TRABAJADOR]], 'Colaborador ID'!B:C, 2, FALSE))</f>
        <v>E0394</v>
      </c>
      <c r="C484" s="63" t="s">
        <v>942</v>
      </c>
      <c r="D484" s="64" t="s">
        <v>943</v>
      </c>
      <c r="E484" s="64"/>
      <c r="F484" s="49" t="e" vm="1">
        <v>#VALUE!</v>
      </c>
      <c r="G484" s="58"/>
      <c r="H484" s="57" t="e" vm="2">
        <v>#VALUE!</v>
      </c>
      <c r="I484" s="64"/>
      <c r="J484" s="57"/>
      <c r="K484" s="57"/>
      <c r="L484" s="4"/>
      <c r="M484" s="35"/>
    </row>
    <row r="485" spans="1:13" ht="15.9" customHeight="1" x14ac:dyDescent="0.3">
      <c r="A485" s="36">
        <v>482</v>
      </c>
      <c r="B485" s="57" t="str">
        <f>IF(Tabla1[[#This Row],[TRABAJADOR]]="", "", VLOOKUP(Tabla1[[#This Row],[TRABAJADOR]], 'Colaborador ID'!B:C, 2, FALSE))</f>
        <v>E1699</v>
      </c>
      <c r="C485" s="56" t="s">
        <v>944</v>
      </c>
      <c r="D485" s="57" t="s">
        <v>945</v>
      </c>
      <c r="E485" s="64" t="s">
        <v>19</v>
      </c>
      <c r="F485" s="49" t="e" vm="1">
        <v>#VALUE!</v>
      </c>
      <c r="G485" s="58">
        <v>45944</v>
      </c>
      <c r="H485" s="57" t="e" vm="2">
        <v>#VALUE!</v>
      </c>
      <c r="I485" s="57"/>
      <c r="J485" s="57"/>
      <c r="K485" s="57"/>
      <c r="L485" s="4"/>
      <c r="M485" s="35"/>
    </row>
    <row r="486" spans="1:13" ht="15.9" customHeight="1" x14ac:dyDescent="0.3">
      <c r="A486" s="36">
        <v>483</v>
      </c>
      <c r="B486" s="64" t="str">
        <f>IF(Tabla1[[#This Row],[TRABAJADOR]]="", "", VLOOKUP(Tabla1[[#This Row],[TRABAJADOR]], 'Colaborador ID'!B:C, 2, FALSE))</f>
        <v>E1110</v>
      </c>
      <c r="C486" s="63" t="s">
        <v>946</v>
      </c>
      <c r="D486" s="64" t="s">
        <v>947</v>
      </c>
      <c r="E486" s="64" t="s">
        <v>33</v>
      </c>
      <c r="F486" s="49" t="e" vm="1">
        <v>#VALUE!</v>
      </c>
      <c r="G486" s="58"/>
      <c r="H486" s="57" t="e" vm="2">
        <v>#VALUE!</v>
      </c>
      <c r="I486" s="64"/>
      <c r="J486" s="57"/>
      <c r="K486" s="57"/>
      <c r="L486" s="4"/>
      <c r="M486" s="35"/>
    </row>
    <row r="487" spans="1:13" ht="15.9" customHeight="1" x14ac:dyDescent="0.3">
      <c r="A487" s="36">
        <v>484</v>
      </c>
      <c r="B487" s="64" t="str">
        <f>IF(Tabla1[[#This Row],[TRABAJADOR]]="", "", VLOOKUP(Tabla1[[#This Row],[TRABAJADOR]], 'Colaborador ID'!B:C, 2, FALSE))</f>
        <v>E0875</v>
      </c>
      <c r="C487" s="63" t="s">
        <v>948</v>
      </c>
      <c r="D487" s="64" t="s">
        <v>949</v>
      </c>
      <c r="E487" s="64" t="s">
        <v>398</v>
      </c>
      <c r="F487" s="49" t="e" vm="1">
        <v>#VALUE!</v>
      </c>
      <c r="G487" s="58"/>
      <c r="H487" s="57" t="e" vm="2">
        <v>#VALUE!</v>
      </c>
      <c r="I487" s="64"/>
      <c r="J487" s="57"/>
      <c r="K487" s="57"/>
      <c r="L487" s="4"/>
      <c r="M487" s="35"/>
    </row>
    <row r="488" spans="1:13" ht="15.9" customHeight="1" x14ac:dyDescent="0.3">
      <c r="A488" s="36">
        <v>485</v>
      </c>
      <c r="B488" s="64" t="str">
        <f>IF(Tabla1[[#This Row],[TRABAJADOR]]="", "", VLOOKUP(Tabla1[[#This Row],[TRABAJADOR]], 'Colaborador ID'!B:C, 2, FALSE))</f>
        <v>E1399</v>
      </c>
      <c r="C488" s="63" t="s">
        <v>950</v>
      </c>
      <c r="D488" s="64" t="s">
        <v>951</v>
      </c>
      <c r="E488" s="64" t="s">
        <v>16</v>
      </c>
      <c r="F488" s="38" t="e" vm="1">
        <v>#VALUE!</v>
      </c>
      <c r="G488" s="58">
        <v>45833</v>
      </c>
      <c r="H488" s="57" t="e" vm="2">
        <v>#VALUE!</v>
      </c>
      <c r="I488" s="64"/>
      <c r="J488" s="57"/>
      <c r="K488" s="57"/>
      <c r="L488" s="4"/>
      <c r="M488" s="35"/>
    </row>
    <row r="489" spans="1:13" ht="15.9" customHeight="1" x14ac:dyDescent="0.3">
      <c r="A489" s="36">
        <v>486</v>
      </c>
      <c r="B489" s="64" t="str">
        <f>IF(Tabla1[[#This Row],[TRABAJADOR]]="", "", VLOOKUP(Tabla1[[#This Row],[TRABAJADOR]], 'Colaborador ID'!B:C, 2, FALSE))</f>
        <v>E0562</v>
      </c>
      <c r="C489" s="63" t="s">
        <v>952</v>
      </c>
      <c r="D489" s="64" t="s">
        <v>953</v>
      </c>
      <c r="E489" s="64" t="s">
        <v>13</v>
      </c>
      <c r="F489" s="38" t="e" vm="1">
        <v>#VALUE!</v>
      </c>
      <c r="G489" s="58">
        <v>45758</v>
      </c>
      <c r="H489" s="57" t="e" vm="2">
        <v>#VALUE!</v>
      </c>
      <c r="I489" s="64"/>
      <c r="J489" s="57"/>
      <c r="K489" s="57"/>
      <c r="L489" s="4"/>
      <c r="M489" s="35"/>
    </row>
    <row r="490" spans="1:13" ht="15.9" customHeight="1" x14ac:dyDescent="0.35">
      <c r="A490" s="36">
        <v>487</v>
      </c>
      <c r="B490" s="64" t="str">
        <f>IF(Tabla1[[#This Row],[TRABAJADOR]]="", "", VLOOKUP(Tabla1[[#This Row],[TRABAJADOR]], 'Colaborador ID'!B:C, 2, FALSE))</f>
        <v>E0601</v>
      </c>
      <c r="C490" s="63" t="s">
        <v>954</v>
      </c>
      <c r="D490" s="64" t="s">
        <v>955</v>
      </c>
      <c r="E490" s="64" t="s">
        <v>16</v>
      </c>
      <c r="F490" s="41" t="e" vm="1">
        <v>#VALUE!</v>
      </c>
      <c r="G490" s="58"/>
      <c r="H490" s="57" t="e" vm="2">
        <v>#VALUE!</v>
      </c>
      <c r="I490" s="64"/>
      <c r="J490" s="57"/>
      <c r="K490" s="57"/>
      <c r="L490" s="4"/>
      <c r="M490" s="35"/>
    </row>
    <row r="491" spans="1:13" ht="15.9" customHeight="1" x14ac:dyDescent="0.3">
      <c r="A491" s="36">
        <v>488</v>
      </c>
      <c r="B491" s="57" t="str">
        <f>IF(Tabla1[[#This Row],[TRABAJADOR]]="", "", VLOOKUP(Tabla1[[#This Row],[TRABAJADOR]], 'Colaborador ID'!B:C, 2, FALSE))</f>
        <v>E2024</v>
      </c>
      <c r="C491" s="56" t="s">
        <v>956</v>
      </c>
      <c r="D491" s="57" t="s">
        <v>957</v>
      </c>
      <c r="E491" s="64" t="s">
        <v>16</v>
      </c>
      <c r="F491" s="49" t="e" vm="1">
        <v>#VALUE!</v>
      </c>
      <c r="G491" s="58">
        <v>45989</v>
      </c>
      <c r="H491" s="57" t="e" vm="2">
        <v>#VALUE!</v>
      </c>
      <c r="I491" s="57"/>
      <c r="J491" s="57"/>
      <c r="K491" s="57"/>
      <c r="L491" s="4"/>
      <c r="M491" s="35"/>
    </row>
    <row r="492" spans="1:13" ht="15.9" customHeight="1" x14ac:dyDescent="0.3">
      <c r="A492" s="36">
        <v>489</v>
      </c>
      <c r="B492" s="64" t="str">
        <f>IF(Tabla1[[#This Row],[TRABAJADOR]]="", "", VLOOKUP(Tabla1[[#This Row],[TRABAJADOR]], 'Colaborador ID'!B:C, 2, FALSE))</f>
        <v>E1498</v>
      </c>
      <c r="C492" s="63" t="s">
        <v>958</v>
      </c>
      <c r="D492" s="64" t="s">
        <v>959</v>
      </c>
      <c r="E492" s="64" t="s">
        <v>19</v>
      </c>
      <c r="F492" s="57" t="e" vm="1">
        <v>#VALUE!</v>
      </c>
      <c r="G492" s="58"/>
      <c r="H492" s="57" t="e" vm="2">
        <v>#VALUE!</v>
      </c>
      <c r="I492" s="64" t="s">
        <v>22</v>
      </c>
      <c r="J492" s="57"/>
      <c r="K492" s="57"/>
      <c r="L492" s="4"/>
      <c r="M492" s="35"/>
    </row>
    <row r="493" spans="1:13" ht="15.9" customHeight="1" x14ac:dyDescent="0.3">
      <c r="A493" s="36">
        <v>490</v>
      </c>
      <c r="B493" s="64" t="str">
        <f>IF(Tabla1[[#This Row],[TRABAJADOR]]="", "", VLOOKUP(Tabla1[[#This Row],[TRABAJADOR]], 'Colaborador ID'!B:C, 2, FALSE))</f>
        <v>E0574</v>
      </c>
      <c r="C493" s="63" t="s">
        <v>960</v>
      </c>
      <c r="D493" s="64" t="s">
        <v>961</v>
      </c>
      <c r="E493" s="64"/>
      <c r="F493" s="57" t="e" vm="1">
        <v>#VALUE!</v>
      </c>
      <c r="G493" s="58"/>
      <c r="H493" s="57" t="e" vm="2">
        <v>#VALUE!</v>
      </c>
      <c r="I493" s="64"/>
      <c r="J493" s="57"/>
      <c r="K493" s="57"/>
      <c r="L493" s="4"/>
      <c r="M493" s="35"/>
    </row>
    <row r="494" spans="1:13" ht="15.9" customHeight="1" x14ac:dyDescent="0.3">
      <c r="A494" s="36">
        <v>491</v>
      </c>
      <c r="B494" s="64" t="str">
        <f>IF(Tabla1[[#This Row],[TRABAJADOR]]="", "", VLOOKUP(Tabla1[[#This Row],[TRABAJADOR]], 'Colaborador ID'!B:C, 2, FALSE))</f>
        <v>E0571</v>
      </c>
      <c r="C494" s="63" t="s">
        <v>962</v>
      </c>
      <c r="D494" s="64" t="s">
        <v>963</v>
      </c>
      <c r="E494" s="64" t="s">
        <v>16</v>
      </c>
      <c r="F494" s="38" t="e" vm="1">
        <v>#VALUE!</v>
      </c>
      <c r="G494" s="58">
        <v>45791</v>
      </c>
      <c r="H494" s="57" t="e" vm="2">
        <v>#VALUE!</v>
      </c>
      <c r="I494" s="64"/>
      <c r="J494" s="57"/>
      <c r="K494" s="57"/>
      <c r="L494" s="4"/>
      <c r="M494" s="35"/>
    </row>
    <row r="495" spans="1:13" ht="15.9" customHeight="1" x14ac:dyDescent="0.3">
      <c r="A495" s="36">
        <v>492</v>
      </c>
      <c r="B495" s="57" t="str">
        <f>IF(Tabla1[[#This Row],[TRABAJADOR]]="", "", VLOOKUP(Tabla1[[#This Row],[TRABAJADOR]], 'Colaborador ID'!B:C, 2, FALSE))</f>
        <v>E1869</v>
      </c>
      <c r="C495" s="56" t="s">
        <v>964</v>
      </c>
      <c r="D495" s="57" t="s">
        <v>965</v>
      </c>
      <c r="E495" s="64" t="s">
        <v>19</v>
      </c>
      <c r="F495" s="49" t="e" vm="1">
        <v>#VALUE!</v>
      </c>
      <c r="G495" s="58">
        <v>45958</v>
      </c>
      <c r="H495" s="57" t="e" vm="2">
        <v>#VALUE!</v>
      </c>
      <c r="I495" s="57"/>
      <c r="J495" s="57"/>
      <c r="K495" s="57"/>
      <c r="L495" s="4"/>
      <c r="M495" s="35"/>
    </row>
    <row r="496" spans="1:13" ht="15.9" customHeight="1" x14ac:dyDescent="0.3">
      <c r="A496" s="36">
        <v>493</v>
      </c>
      <c r="B496" s="64" t="str">
        <f>IF(Tabla1[[#This Row],[TRABAJADOR]]="", "", VLOOKUP(Tabla1[[#This Row],[TRABAJADOR]], 'Colaborador ID'!B:C, 2, FALSE))</f>
        <v>E0710</v>
      </c>
      <c r="C496" s="63" t="s">
        <v>966</v>
      </c>
      <c r="D496" s="64" t="s">
        <v>967</v>
      </c>
      <c r="E496" s="64" t="s">
        <v>16</v>
      </c>
      <c r="F496" s="38" t="e" vm="1">
        <v>#VALUE!</v>
      </c>
      <c r="G496" s="58">
        <v>45777</v>
      </c>
      <c r="H496" s="57" t="e" vm="2">
        <v>#VALUE!</v>
      </c>
      <c r="I496" s="64"/>
      <c r="J496" s="57"/>
      <c r="K496" s="57"/>
      <c r="L496" s="4"/>
      <c r="M496" s="35"/>
    </row>
    <row r="497" spans="1:13" ht="15.9" customHeight="1" x14ac:dyDescent="0.3">
      <c r="A497" s="36">
        <v>494</v>
      </c>
      <c r="B497" s="57" t="str">
        <f>IF(Tabla1[[#This Row],[TRABAJADOR]]="", "", VLOOKUP(Tabla1[[#This Row],[TRABAJADOR]], 'Colaborador ID'!B:C, 2, FALSE))</f>
        <v>E1710</v>
      </c>
      <c r="C497" s="56" t="s">
        <v>968</v>
      </c>
      <c r="D497" s="57" t="s">
        <v>969</v>
      </c>
      <c r="E497" s="64" t="s">
        <v>16</v>
      </c>
      <c r="F497" s="51" t="e" vm="1">
        <v>#VALUE!</v>
      </c>
      <c r="G497" s="58">
        <v>45894</v>
      </c>
      <c r="H497" s="57" t="e" vm="2">
        <v>#VALUE!</v>
      </c>
      <c r="I497" s="57"/>
      <c r="J497" s="57"/>
      <c r="K497" s="57"/>
      <c r="L497" s="4"/>
      <c r="M497" s="35"/>
    </row>
    <row r="498" spans="1:13" ht="15.9" customHeight="1" x14ac:dyDescent="0.3">
      <c r="A498" s="36">
        <v>495</v>
      </c>
      <c r="B498" s="64" t="str">
        <f>IF(Tabla1[[#This Row],[TRABAJADOR]]="", "", VLOOKUP(Tabla1[[#This Row],[TRABAJADOR]], 'Colaborador ID'!B:C, 2, FALSE))</f>
        <v>E1500</v>
      </c>
      <c r="C498" s="63" t="s">
        <v>970</v>
      </c>
      <c r="D498" s="64" t="s">
        <v>971</v>
      </c>
      <c r="E498" s="64" t="s">
        <v>16</v>
      </c>
      <c r="F498" s="49" t="e" vm="1">
        <v>#VALUE!</v>
      </c>
      <c r="G498" s="58"/>
      <c r="H498" s="57" t="e" vm="2">
        <v>#VALUE!</v>
      </c>
      <c r="I498" s="64" t="s">
        <v>22</v>
      </c>
      <c r="J498" s="57"/>
      <c r="K498" s="57"/>
      <c r="L498" s="4"/>
      <c r="M498" s="35"/>
    </row>
    <row r="499" spans="1:13" ht="15.9" customHeight="1" x14ac:dyDescent="0.3">
      <c r="A499" s="36">
        <v>496</v>
      </c>
      <c r="B499" s="64" t="str">
        <f>IF(Tabla1[[#This Row],[TRABAJADOR]]="", "", VLOOKUP(Tabla1[[#This Row],[TRABAJADOR]], 'Colaborador ID'!B:C, 2, FALSE))</f>
        <v>E0197</v>
      </c>
      <c r="C499" s="63" t="s">
        <v>972</v>
      </c>
      <c r="D499" s="64" t="s">
        <v>973</v>
      </c>
      <c r="E499" s="64" t="s">
        <v>16</v>
      </c>
      <c r="F499" s="32" t="e" vm="1">
        <v>#VALUE!</v>
      </c>
      <c r="G499" s="58">
        <v>45736</v>
      </c>
      <c r="H499" s="57" t="e" vm="2">
        <v>#VALUE!</v>
      </c>
      <c r="I499" s="64"/>
      <c r="J499" s="57"/>
      <c r="K499" s="57"/>
      <c r="L499" s="4"/>
      <c r="M499" s="35"/>
    </row>
    <row r="500" spans="1:13" ht="15.9" customHeight="1" x14ac:dyDescent="0.3">
      <c r="A500" s="36">
        <v>497</v>
      </c>
      <c r="B500" s="64" t="str">
        <f>IF(Tabla1[[#This Row],[TRABAJADOR]]="", "", VLOOKUP(Tabla1[[#This Row],[TRABAJADOR]], 'Colaborador ID'!B:C, 2, FALSE))</f>
        <v>E0104</v>
      </c>
      <c r="C500" s="63" t="s">
        <v>974</v>
      </c>
      <c r="D500" s="64" t="s">
        <v>975</v>
      </c>
      <c r="E500" s="64" t="s">
        <v>16</v>
      </c>
      <c r="F500" s="49" t="e" vm="1">
        <v>#VALUE!</v>
      </c>
      <c r="G500" s="58"/>
      <c r="H500" s="57" t="e" vm="2">
        <v>#VALUE!</v>
      </c>
      <c r="I500" s="64"/>
      <c r="J500" s="57"/>
      <c r="K500" s="57"/>
      <c r="L500" s="4"/>
      <c r="M500" s="35"/>
    </row>
    <row r="501" spans="1:13" ht="15.9" customHeight="1" x14ac:dyDescent="0.35">
      <c r="A501" s="36">
        <v>498</v>
      </c>
      <c r="B501" s="57" t="str">
        <f>IF(Tabla1[[#This Row],[TRABAJADOR]]="", "", VLOOKUP(Tabla1[[#This Row],[TRABAJADOR]], 'Colaborador ID'!B:C, 2, FALSE))</f>
        <v>E1761</v>
      </c>
      <c r="C501" s="71" t="s">
        <v>976</v>
      </c>
      <c r="D501" s="72" t="s">
        <v>977</v>
      </c>
      <c r="E501" s="64" t="s">
        <v>16</v>
      </c>
      <c r="F501" s="49" t="e" vm="1">
        <v>#VALUE!</v>
      </c>
      <c r="G501" s="58">
        <v>45915</v>
      </c>
      <c r="H501" s="57" t="e" vm="2">
        <v>#VALUE!</v>
      </c>
      <c r="I501" s="57"/>
      <c r="J501" s="57"/>
      <c r="K501" s="57"/>
      <c r="L501" s="4"/>
      <c r="M501" s="35"/>
    </row>
    <row r="502" spans="1:13" ht="15.9" customHeight="1" x14ac:dyDescent="0.35">
      <c r="A502" s="36">
        <v>499</v>
      </c>
      <c r="B502" s="64" t="str">
        <f>IF(Tabla1[[#This Row],[TRABAJADOR]]="", "", VLOOKUP(Tabla1[[#This Row],[TRABAJADOR]], 'Colaborador ID'!B:C, 2, FALSE))</f>
        <v>E0594</v>
      </c>
      <c r="C502" s="63" t="s">
        <v>978</v>
      </c>
      <c r="D502" s="64" t="s">
        <v>979</v>
      </c>
      <c r="E502" s="64" t="s">
        <v>16</v>
      </c>
      <c r="F502" s="37" t="e" vm="1">
        <v>#VALUE!</v>
      </c>
      <c r="G502" s="58">
        <v>45797</v>
      </c>
      <c r="H502" s="40" t="e" vm="2">
        <v>#VALUE!</v>
      </c>
      <c r="I502" s="64"/>
      <c r="J502" s="57"/>
      <c r="K502" s="57"/>
      <c r="L502" s="4"/>
      <c r="M502" s="35"/>
    </row>
    <row r="503" spans="1:13" ht="15.9" customHeight="1" x14ac:dyDescent="0.3">
      <c r="A503" s="36">
        <v>500</v>
      </c>
      <c r="B503" s="64" t="str">
        <f>IF(Tabla1[[#This Row],[TRABAJADOR]]="", "", VLOOKUP(Tabla1[[#This Row],[TRABAJADOR]], 'Colaborador ID'!B:C, 2, FALSE))</f>
        <v>E0880</v>
      </c>
      <c r="C503" s="63" t="s">
        <v>980</v>
      </c>
      <c r="D503" s="64" t="s">
        <v>981</v>
      </c>
      <c r="E503" s="64"/>
      <c r="F503" s="57" t="e" vm="1">
        <v>#VALUE!</v>
      </c>
      <c r="G503" s="58"/>
      <c r="H503" s="57" t="e" vm="2">
        <v>#VALUE!</v>
      </c>
      <c r="I503" s="64"/>
      <c r="J503" s="57"/>
      <c r="K503" s="57"/>
      <c r="L503" s="4"/>
      <c r="M503" s="35"/>
    </row>
    <row r="504" spans="1:13" ht="15.9" customHeight="1" x14ac:dyDescent="0.3">
      <c r="A504" s="36">
        <v>501</v>
      </c>
      <c r="B504" s="64" t="str">
        <f>IF(Tabla1[[#This Row],[TRABAJADOR]]="", "", VLOOKUP(Tabla1[[#This Row],[TRABAJADOR]], 'Colaborador ID'!B:C, 2, FALSE))</f>
        <v>E1613</v>
      </c>
      <c r="C504" s="63" t="s">
        <v>982</v>
      </c>
      <c r="D504" s="64" t="s">
        <v>983</v>
      </c>
      <c r="E504" s="64" t="s">
        <v>33</v>
      </c>
      <c r="F504" s="38" t="e" vm="1">
        <v>#VALUE!</v>
      </c>
      <c r="G504" s="58">
        <v>45841</v>
      </c>
      <c r="H504" s="57" t="e" vm="2">
        <v>#VALUE!</v>
      </c>
      <c r="I504" s="64"/>
      <c r="J504" s="57"/>
      <c r="K504" s="57"/>
      <c r="L504" s="4"/>
      <c r="M504" s="35"/>
    </row>
    <row r="505" spans="1:13" ht="15.9" customHeight="1" x14ac:dyDescent="0.35">
      <c r="A505" s="36">
        <v>502</v>
      </c>
      <c r="B505" s="64" t="str">
        <f>IF(Tabla1[[#This Row],[TRABAJADOR]]="", "", VLOOKUP(Tabla1[[#This Row],[TRABAJADOR]], 'Colaborador ID'!B:C, 2, FALSE))</f>
        <v>E1318</v>
      </c>
      <c r="C505" s="63" t="s">
        <v>984</v>
      </c>
      <c r="D505" s="64" t="s">
        <v>985</v>
      </c>
      <c r="E505" s="64" t="s">
        <v>35</v>
      </c>
      <c r="F505" s="37" t="e" vm="1">
        <v>#VALUE!</v>
      </c>
      <c r="G505" s="58"/>
      <c r="H505" s="57" t="e" vm="2">
        <v>#VALUE!</v>
      </c>
      <c r="I505" s="64"/>
      <c r="J505" s="57"/>
      <c r="K505" s="57"/>
      <c r="L505" s="4"/>
      <c r="M505" s="35"/>
    </row>
    <row r="506" spans="1:13" ht="15.9" customHeight="1" x14ac:dyDescent="0.3">
      <c r="A506" s="36">
        <v>503</v>
      </c>
      <c r="B506" s="64" t="str">
        <f>IF(Tabla1[[#This Row],[TRABAJADOR]]="", "", VLOOKUP(Tabla1[[#This Row],[TRABAJADOR]], 'Colaborador ID'!B:C, 2, FALSE))</f>
        <v>E0094</v>
      </c>
      <c r="C506" s="63" t="s">
        <v>986</v>
      </c>
      <c r="D506" s="64" t="s">
        <v>987</v>
      </c>
      <c r="E506" s="64" t="s">
        <v>13</v>
      </c>
      <c r="F506" s="57" t="e" vm="1">
        <v>#VALUE!</v>
      </c>
      <c r="G506" s="58"/>
      <c r="H506" s="49" t="e" vm="2">
        <v>#VALUE!</v>
      </c>
      <c r="I506" s="64"/>
      <c r="J506" s="57"/>
      <c r="K506" s="57"/>
      <c r="L506" s="4"/>
      <c r="M506" s="35"/>
    </row>
    <row r="507" spans="1:13" ht="15.9" customHeight="1" x14ac:dyDescent="0.3">
      <c r="A507" s="36">
        <v>504</v>
      </c>
      <c r="B507" s="64" t="str">
        <f>IF(Tabla1[[#This Row],[TRABAJADOR]]="", "", VLOOKUP(Tabla1[[#This Row],[TRABAJADOR]], 'Colaborador ID'!B:C, 2, FALSE))</f>
        <v>E1501</v>
      </c>
      <c r="C507" s="63" t="s">
        <v>988</v>
      </c>
      <c r="D507" s="64" t="s">
        <v>989</v>
      </c>
      <c r="E507" s="64" t="s">
        <v>16</v>
      </c>
      <c r="F507" s="49" t="e" vm="1">
        <v>#VALUE!</v>
      </c>
      <c r="G507" s="58"/>
      <c r="H507" s="57" t="e" vm="2">
        <v>#VALUE!</v>
      </c>
      <c r="I507" s="64" t="s">
        <v>22</v>
      </c>
      <c r="J507" s="57"/>
      <c r="K507" s="57"/>
      <c r="L507" s="4"/>
      <c r="M507" s="35"/>
    </row>
    <row r="508" spans="1:13" ht="15.9" customHeight="1" x14ac:dyDescent="0.3">
      <c r="A508" s="36">
        <v>505</v>
      </c>
      <c r="B508" s="57" t="str">
        <f>IF(Tabla1[[#This Row],[TRABAJADOR]]="", "", VLOOKUP(Tabla1[[#This Row],[TRABAJADOR]], 'Colaborador ID'!B:C, 2, FALSE))</f>
        <v>E1951</v>
      </c>
      <c r="C508" s="56" t="s">
        <v>990</v>
      </c>
      <c r="D508" s="57" t="s">
        <v>991</v>
      </c>
      <c r="E508" s="64" t="s">
        <v>19</v>
      </c>
      <c r="F508" s="49" t="e" vm="1">
        <v>#VALUE!</v>
      </c>
      <c r="G508" s="58">
        <v>45961</v>
      </c>
      <c r="H508" s="57" t="e" vm="2">
        <v>#VALUE!</v>
      </c>
      <c r="I508" s="64" t="s">
        <v>22</v>
      </c>
      <c r="J508" s="57"/>
      <c r="K508" s="57"/>
      <c r="L508" s="4"/>
      <c r="M508" s="35"/>
    </row>
    <row r="509" spans="1:13" ht="15.9" customHeight="1" x14ac:dyDescent="0.3">
      <c r="A509" s="36">
        <v>506</v>
      </c>
      <c r="B509" s="57" t="str">
        <f>IF(Tabla1[[#This Row],[TRABAJADOR]]="", "", VLOOKUP(Tabla1[[#This Row],[TRABAJADOR]], 'Colaborador ID'!B:C, 2, FALSE))</f>
        <v>E1216</v>
      </c>
      <c r="C509" s="56" t="s">
        <v>992</v>
      </c>
      <c r="D509" s="57" t="s">
        <v>993</v>
      </c>
      <c r="E509" s="64" t="s">
        <v>13</v>
      </c>
      <c r="F509" s="49" t="e" vm="1">
        <v>#VALUE!</v>
      </c>
      <c r="G509" s="58">
        <v>45897</v>
      </c>
      <c r="H509" s="57" t="e" vm="2">
        <v>#VALUE!</v>
      </c>
      <c r="I509" s="57"/>
      <c r="J509" s="57"/>
      <c r="K509" s="57"/>
      <c r="L509" s="4"/>
      <c r="M509" s="35"/>
    </row>
    <row r="510" spans="1:13" ht="15.9" customHeight="1" x14ac:dyDescent="0.3">
      <c r="A510" s="36">
        <v>507</v>
      </c>
      <c r="B510" s="64" t="str">
        <f>IF(Tabla1[[#This Row],[TRABAJADOR]]="", "", VLOOKUP(Tabla1[[#This Row],[TRABAJADOR]], 'Colaborador ID'!B:C, 2, FALSE))</f>
        <v>E0329</v>
      </c>
      <c r="C510" s="63" t="s">
        <v>994</v>
      </c>
      <c r="D510" s="64" t="s">
        <v>995</v>
      </c>
      <c r="E510" s="64" t="s">
        <v>19</v>
      </c>
      <c r="F510" s="49" t="e" vm="1">
        <v>#VALUE!</v>
      </c>
      <c r="G510" s="58"/>
      <c r="H510" s="57" t="e" vm="2">
        <v>#VALUE!</v>
      </c>
      <c r="I510" s="64"/>
      <c r="J510" s="57"/>
      <c r="K510" s="57"/>
      <c r="L510" s="4"/>
      <c r="M510" s="35"/>
    </row>
    <row r="511" spans="1:13" ht="15.9" customHeight="1" x14ac:dyDescent="0.3">
      <c r="A511" s="36">
        <v>508</v>
      </c>
      <c r="B511" s="64" t="str">
        <f>IF(Tabla1[[#This Row],[TRABAJADOR]]="", "", VLOOKUP(Tabla1[[#This Row],[TRABAJADOR]], 'Colaborador ID'!B:C, 2, FALSE))</f>
        <v>E1502</v>
      </c>
      <c r="C511" s="63" t="s">
        <v>996</v>
      </c>
      <c r="D511" s="64" t="s">
        <v>997</v>
      </c>
      <c r="E511" s="64" t="s">
        <v>13</v>
      </c>
      <c r="F511" s="49" t="e" vm="1">
        <v>#VALUE!</v>
      </c>
      <c r="G511" s="58"/>
      <c r="H511" s="57" t="e" vm="2">
        <v>#VALUE!</v>
      </c>
      <c r="I511" s="64" t="s">
        <v>22</v>
      </c>
      <c r="J511" s="57"/>
      <c r="K511" s="57"/>
      <c r="L511" s="4"/>
      <c r="M511" s="35"/>
    </row>
    <row r="512" spans="1:13" ht="15.9" customHeight="1" x14ac:dyDescent="0.3">
      <c r="A512" s="36">
        <v>509</v>
      </c>
      <c r="B512" s="57" t="str">
        <f>IF(Tabla1[[#This Row],[TRABAJADOR]]="", "", VLOOKUP(Tabla1[[#This Row],[TRABAJADOR]], 'Colaborador ID'!B:C, 2, FALSE))</f>
        <v>E1819</v>
      </c>
      <c r="C512" s="56" t="s">
        <v>998</v>
      </c>
      <c r="D512" s="57" t="s">
        <v>999</v>
      </c>
      <c r="E512" s="64" t="s">
        <v>16</v>
      </c>
      <c r="F512" s="51" t="e" vm="1">
        <v>#VALUE!</v>
      </c>
      <c r="G512" s="58">
        <v>45931</v>
      </c>
      <c r="H512" s="57" t="e" vm="2">
        <v>#VALUE!</v>
      </c>
      <c r="I512" s="57"/>
      <c r="J512" s="57"/>
      <c r="K512" s="57"/>
      <c r="L512" s="4"/>
      <c r="M512" s="35"/>
    </row>
    <row r="513" spans="1:13" ht="15.9" customHeight="1" x14ac:dyDescent="0.3">
      <c r="A513" s="36">
        <v>510</v>
      </c>
      <c r="B513" s="64" t="str">
        <f>IF(Tabla1[[#This Row],[TRABAJADOR]]="", "", VLOOKUP(Tabla1[[#This Row],[TRABAJADOR]], 'Colaborador ID'!B:C, 2, FALSE))</f>
        <v>E0472</v>
      </c>
      <c r="C513" s="63" t="s">
        <v>1000</v>
      </c>
      <c r="D513" s="64" t="s">
        <v>1001</v>
      </c>
      <c r="E513" s="64" t="s">
        <v>16</v>
      </c>
      <c r="F513" s="76" t="e" vm="1">
        <v>#VALUE!</v>
      </c>
      <c r="G513" s="58"/>
      <c r="H513" s="57" t="e" vm="2">
        <v>#VALUE!</v>
      </c>
      <c r="I513" s="64"/>
      <c r="J513" s="57"/>
      <c r="K513" s="57"/>
      <c r="L513" s="4"/>
      <c r="M513" s="35"/>
    </row>
    <row r="514" spans="1:13" ht="15.9" customHeight="1" x14ac:dyDescent="0.3">
      <c r="A514" s="36">
        <v>511</v>
      </c>
      <c r="B514" s="64" t="str">
        <f>IF(Tabla1[[#This Row],[TRABAJADOR]]="", "", VLOOKUP(Tabla1[[#This Row],[TRABAJADOR]], 'Colaborador ID'!B:C, 2, FALSE))</f>
        <v>E1151</v>
      </c>
      <c r="C514" s="63" t="s">
        <v>1002</v>
      </c>
      <c r="D514" s="64" t="s">
        <v>1003</v>
      </c>
      <c r="E514" s="64" t="s">
        <v>33</v>
      </c>
      <c r="F514" s="51" t="e" vm="1">
        <v>#VALUE!</v>
      </c>
      <c r="G514" s="58"/>
      <c r="H514" s="57" t="e" vm="2">
        <v>#VALUE!</v>
      </c>
      <c r="I514" s="64" t="s">
        <v>22</v>
      </c>
      <c r="J514" s="57"/>
      <c r="K514" s="57"/>
      <c r="L514" s="4"/>
      <c r="M514" s="35"/>
    </row>
    <row r="515" spans="1:13" ht="15.9" customHeight="1" x14ac:dyDescent="0.35">
      <c r="A515" s="36">
        <v>512</v>
      </c>
      <c r="B515" s="64" t="str">
        <f>IF(Tabla1[[#This Row],[TRABAJADOR]]="", "", VLOOKUP(Tabla1[[#This Row],[TRABAJADOR]], 'Colaborador ID'!B:C, 2, FALSE))</f>
        <v>E0035</v>
      </c>
      <c r="C515" s="63" t="s">
        <v>1004</v>
      </c>
      <c r="D515" s="64" t="s">
        <v>1005</v>
      </c>
      <c r="E515" s="64" t="s">
        <v>13</v>
      </c>
      <c r="F515" s="41" t="e" vm="1">
        <v>#VALUE!</v>
      </c>
      <c r="G515" s="58"/>
      <c r="H515" s="57" t="e" vm="2">
        <v>#VALUE!</v>
      </c>
      <c r="I515" s="64"/>
      <c r="J515" s="57"/>
      <c r="K515" s="57"/>
      <c r="L515" s="4"/>
      <c r="M515" s="35"/>
    </row>
    <row r="516" spans="1:13" ht="15.9" customHeight="1" x14ac:dyDescent="0.3">
      <c r="A516" s="36">
        <v>513</v>
      </c>
      <c r="B516" s="64" t="str">
        <f>IF(Tabla1[[#This Row],[TRABAJADOR]]="", "", VLOOKUP(Tabla1[[#This Row],[TRABAJADOR]], 'Colaborador ID'!B:C, 2, FALSE))</f>
        <v>E0286</v>
      </c>
      <c r="C516" s="63" t="s">
        <v>1006</v>
      </c>
      <c r="D516" s="64" t="s">
        <v>1007</v>
      </c>
      <c r="E516" s="64" t="s">
        <v>19</v>
      </c>
      <c r="F516" s="49" t="e" vm="1">
        <v>#VALUE!</v>
      </c>
      <c r="G516" s="58"/>
      <c r="H516" s="57" t="e" vm="2">
        <v>#VALUE!</v>
      </c>
      <c r="I516" s="64"/>
      <c r="J516" s="57"/>
      <c r="K516" s="57"/>
      <c r="L516" s="4"/>
      <c r="M516" s="35"/>
    </row>
    <row r="517" spans="1:13" ht="15.9" customHeight="1" x14ac:dyDescent="0.3">
      <c r="A517" s="36">
        <v>514</v>
      </c>
      <c r="B517" s="64" t="str">
        <f>IF(Tabla1[[#This Row],[TRABAJADOR]]="", "", VLOOKUP(Tabla1[[#This Row],[TRABAJADOR]], 'Colaborador ID'!B:C, 2, FALSE))</f>
        <v>E1160</v>
      </c>
      <c r="C517" s="63" t="s">
        <v>1008</v>
      </c>
      <c r="D517" s="64" t="s">
        <v>1009</v>
      </c>
      <c r="E517" s="64" t="s">
        <v>33</v>
      </c>
      <c r="F517" s="49" t="e" vm="1">
        <v>#VALUE!</v>
      </c>
      <c r="G517" s="58"/>
      <c r="H517" s="57" t="e" vm="2">
        <v>#VALUE!</v>
      </c>
      <c r="I517" s="64"/>
      <c r="J517" s="57"/>
      <c r="K517" s="57" t="s">
        <v>1009</v>
      </c>
      <c r="L517" s="4"/>
      <c r="M517" s="35"/>
    </row>
    <row r="518" spans="1:13" ht="15.9" customHeight="1" x14ac:dyDescent="0.3">
      <c r="A518" s="36">
        <v>515</v>
      </c>
      <c r="B518" s="64" t="str">
        <f>IF(Tabla1[[#This Row],[TRABAJADOR]]="", "", VLOOKUP(Tabla1[[#This Row],[TRABAJADOR]], 'Colaborador ID'!B:C, 2, FALSE))</f>
        <v>E0387</v>
      </c>
      <c r="C518" s="63" t="s">
        <v>1010</v>
      </c>
      <c r="D518" s="64" t="s">
        <v>1011</v>
      </c>
      <c r="E518" s="64" t="s">
        <v>16</v>
      </c>
      <c r="F518" s="49" t="e" vm="1">
        <v>#VALUE!</v>
      </c>
      <c r="G518" s="58">
        <v>45989</v>
      </c>
      <c r="H518" s="49" t="e" vm="2">
        <v>#VALUE!</v>
      </c>
      <c r="I518" s="64"/>
      <c r="J518" s="57"/>
      <c r="K518" s="57"/>
      <c r="L518" s="4"/>
      <c r="M518" s="35"/>
    </row>
    <row r="519" spans="1:13" ht="15.9" customHeight="1" x14ac:dyDescent="0.3">
      <c r="A519" s="36">
        <v>516</v>
      </c>
      <c r="B519" s="64" t="str">
        <f>IF(Tabla1[[#This Row],[TRABAJADOR]]="", "", VLOOKUP(Tabla1[[#This Row],[TRABAJADOR]], 'Colaborador ID'!B:C, 2, FALSE))</f>
        <v>E0151</v>
      </c>
      <c r="C519" s="63" t="s">
        <v>1012</v>
      </c>
      <c r="D519" s="64" t="s">
        <v>5420</v>
      </c>
      <c r="E519" s="64" t="s">
        <v>16</v>
      </c>
      <c r="F519" s="51" t="e" vm="1">
        <v>#VALUE!</v>
      </c>
      <c r="G519" s="58">
        <v>46064</v>
      </c>
      <c r="H519" s="49" t="e" vm="2">
        <v>#VALUE!</v>
      </c>
      <c r="I519" s="64"/>
      <c r="J519" s="57"/>
      <c r="K519" s="57"/>
      <c r="L519" s="4"/>
      <c r="M519" s="35"/>
    </row>
    <row r="520" spans="1:13" ht="15.9" customHeight="1" x14ac:dyDescent="0.35">
      <c r="A520" s="36">
        <v>517</v>
      </c>
      <c r="B520" s="64" t="str">
        <f>IF(Tabla1[[#This Row],[TRABAJADOR]]="", "", VLOOKUP(Tabla1[[#This Row],[TRABAJADOR]], 'Colaborador ID'!B:C, 2, FALSE))</f>
        <v>E1395</v>
      </c>
      <c r="C520" s="63" t="s">
        <v>1013</v>
      </c>
      <c r="D520" s="64" t="s">
        <v>1014</v>
      </c>
      <c r="E520" s="64" t="s">
        <v>33</v>
      </c>
      <c r="F520" s="37" t="e" vm="1">
        <v>#VALUE!</v>
      </c>
      <c r="G520" s="58">
        <v>45825</v>
      </c>
      <c r="H520" s="57" t="e" vm="2">
        <v>#VALUE!</v>
      </c>
      <c r="I520" s="64"/>
      <c r="J520" s="57"/>
      <c r="K520" s="57"/>
      <c r="L520" s="4"/>
      <c r="M520" s="35"/>
    </row>
    <row r="521" spans="1:13" ht="15.9" customHeight="1" x14ac:dyDescent="0.3">
      <c r="A521" s="36">
        <v>518</v>
      </c>
      <c r="B521" s="57" t="str">
        <f>IF(Tabla1[[#This Row],[TRABAJADOR]]="", "", VLOOKUP(Tabla1[[#This Row],[TRABAJADOR]], 'Colaborador ID'!B:C, 2, FALSE))</f>
        <v>E2105</v>
      </c>
      <c r="C521" s="56" t="s">
        <v>5361</v>
      </c>
      <c r="D521" s="57" t="s">
        <v>5419</v>
      </c>
      <c r="E521" s="64" t="s">
        <v>33</v>
      </c>
      <c r="F521" s="49" t="e" vm="1">
        <v>#VALUE!</v>
      </c>
      <c r="G521" s="58">
        <v>46063</v>
      </c>
      <c r="H521" s="57" t="e" vm="2">
        <v>#VALUE!</v>
      </c>
      <c r="I521" s="57"/>
      <c r="J521" s="57"/>
      <c r="K521" s="57"/>
      <c r="L521" s="4"/>
      <c r="M521" s="35"/>
    </row>
    <row r="522" spans="1:13" ht="15.9" customHeight="1" x14ac:dyDescent="0.3">
      <c r="A522" s="36">
        <v>519</v>
      </c>
      <c r="B522" s="64" t="str">
        <f>IF(Tabla1[[#This Row],[TRABAJADOR]]="", "", VLOOKUP(Tabla1[[#This Row],[TRABAJADOR]], 'Colaborador ID'!B:C, 2, FALSE))</f>
        <v>E0674</v>
      </c>
      <c r="C522" s="63" t="s">
        <v>1015</v>
      </c>
      <c r="D522" s="64" t="s">
        <v>1016</v>
      </c>
      <c r="E522" s="64"/>
      <c r="F522" s="57" t="e" vm="1">
        <v>#VALUE!</v>
      </c>
      <c r="G522" s="58"/>
      <c r="H522" s="57" t="e" vm="2">
        <v>#VALUE!</v>
      </c>
      <c r="I522" s="64"/>
      <c r="J522" s="57"/>
      <c r="K522" s="57"/>
      <c r="L522" s="4"/>
      <c r="M522" s="35"/>
    </row>
    <row r="523" spans="1:13" ht="15.9" customHeight="1" x14ac:dyDescent="0.3">
      <c r="A523" s="36">
        <v>520</v>
      </c>
      <c r="B523" s="57" t="str">
        <f>IF(Tabla1[[#This Row],[TRABAJADOR]]="", "", VLOOKUP(Tabla1[[#This Row],[TRABAJADOR]], 'Colaborador ID'!B:C, 2, FALSE))</f>
        <v>E1925</v>
      </c>
      <c r="C523" s="56" t="s">
        <v>1017</v>
      </c>
      <c r="D523" s="57" t="s">
        <v>1018</v>
      </c>
      <c r="E523" s="64" t="s">
        <v>19</v>
      </c>
      <c r="F523" s="49" t="e" vm="1">
        <v>#VALUE!</v>
      </c>
      <c r="G523" s="58">
        <v>45993</v>
      </c>
      <c r="H523" s="49" t="e" vm="2">
        <v>#VALUE!</v>
      </c>
      <c r="I523" s="57"/>
      <c r="J523" s="57"/>
      <c r="K523" s="57"/>
      <c r="L523" s="4"/>
      <c r="M523" s="35"/>
    </row>
    <row r="524" spans="1:13" ht="15.9" customHeight="1" x14ac:dyDescent="0.3">
      <c r="A524" s="36">
        <v>521</v>
      </c>
      <c r="B524" s="57" t="str">
        <f>IF(Tabla1[[#This Row],[TRABAJADOR]]="", "", VLOOKUP(Tabla1[[#This Row],[TRABAJADOR]], 'Colaborador ID'!B:C, 2, FALSE))</f>
        <v>E1829</v>
      </c>
      <c r="C524" s="56" t="s">
        <v>1019</v>
      </c>
      <c r="D524" s="57" t="s">
        <v>1020</v>
      </c>
      <c r="E524" s="64" t="s">
        <v>16</v>
      </c>
      <c r="F524" s="51" t="e" vm="1">
        <v>#VALUE!</v>
      </c>
      <c r="G524" s="58">
        <v>45930</v>
      </c>
      <c r="H524" s="57" t="e" vm="2">
        <v>#VALUE!</v>
      </c>
      <c r="I524" s="57"/>
      <c r="J524" s="57"/>
      <c r="K524" s="57"/>
      <c r="L524" s="4"/>
      <c r="M524" s="35"/>
    </row>
    <row r="525" spans="1:13" ht="15.9" customHeight="1" x14ac:dyDescent="0.3">
      <c r="A525" s="36">
        <v>522</v>
      </c>
      <c r="B525" s="64" t="str">
        <f>IF(Tabla1[[#This Row],[TRABAJADOR]]="", "", VLOOKUP(Tabla1[[#This Row],[TRABAJADOR]], 'Colaborador ID'!B:C, 2, FALSE))</f>
        <v>E0089</v>
      </c>
      <c r="C525" s="63" t="s">
        <v>1021</v>
      </c>
      <c r="D525" s="64" t="s">
        <v>1022</v>
      </c>
      <c r="E525" s="64" t="s">
        <v>19</v>
      </c>
      <c r="F525" s="49" t="e" vm="1">
        <v>#VALUE!</v>
      </c>
      <c r="G525" s="58"/>
      <c r="H525" s="73" t="e" vm="2">
        <v>#VALUE!</v>
      </c>
      <c r="I525" s="64"/>
      <c r="J525" s="57"/>
      <c r="K525" s="57"/>
      <c r="L525" s="4"/>
      <c r="M525" s="35"/>
    </row>
    <row r="526" spans="1:13" ht="15.9" customHeight="1" x14ac:dyDescent="0.35">
      <c r="A526" s="36">
        <v>523</v>
      </c>
      <c r="B526" s="64" t="str">
        <f>IF(Tabla1[[#This Row],[TRABAJADOR]]="", "", VLOOKUP(Tabla1[[#This Row],[TRABAJADOR]], 'Colaborador ID'!B:C, 2, FALSE))</f>
        <v>E1335</v>
      </c>
      <c r="C526" s="63" t="s">
        <v>1023</v>
      </c>
      <c r="D526" s="64" t="s">
        <v>1024</v>
      </c>
      <c r="E526" s="64" t="s">
        <v>83</v>
      </c>
      <c r="F526" s="37" t="e" vm="1">
        <v>#VALUE!</v>
      </c>
      <c r="G526" s="58"/>
      <c r="H526" s="57" t="e" vm="2">
        <v>#VALUE!</v>
      </c>
      <c r="I526" s="64"/>
      <c r="J526" s="57"/>
      <c r="K526" s="57"/>
      <c r="L526" s="4"/>
      <c r="M526" s="35"/>
    </row>
    <row r="527" spans="1:13" ht="15.9" customHeight="1" x14ac:dyDescent="0.3">
      <c r="A527" s="36">
        <v>524</v>
      </c>
      <c r="B527" s="57" t="str">
        <f>IF(Tabla1[[#This Row],[TRABAJADOR]]="", "", VLOOKUP(Tabla1[[#This Row],[TRABAJADOR]], 'Colaborador ID'!B:C, 2, FALSE))</f>
        <v>E1965</v>
      </c>
      <c r="C527" s="56" t="s">
        <v>1025</v>
      </c>
      <c r="D527" s="57" t="s">
        <v>1026</v>
      </c>
      <c r="E527" s="64" t="s">
        <v>19</v>
      </c>
      <c r="F527" s="49" t="e" vm="1">
        <v>#VALUE!</v>
      </c>
      <c r="G527" s="58">
        <v>45985</v>
      </c>
      <c r="H527" s="49" t="e" vm="2">
        <v>#VALUE!</v>
      </c>
      <c r="I527" s="64" t="s">
        <v>22</v>
      </c>
      <c r="J527" s="57"/>
      <c r="K527" s="57"/>
      <c r="L527" s="4"/>
      <c r="M527" s="35"/>
    </row>
    <row r="528" spans="1:13" ht="15.9" customHeight="1" x14ac:dyDescent="0.3">
      <c r="A528" s="36">
        <v>525</v>
      </c>
      <c r="B528" s="64" t="str">
        <f>IF(Tabla1[[#This Row],[TRABAJADOR]]="", "", VLOOKUP(Tabla1[[#This Row],[TRABAJADOR]], 'Colaborador ID'!B:C, 2, FALSE))</f>
        <v>E1271</v>
      </c>
      <c r="C528" s="63" t="s">
        <v>1027</v>
      </c>
      <c r="D528" s="64" t="s">
        <v>1028</v>
      </c>
      <c r="E528" s="64" t="s">
        <v>16</v>
      </c>
      <c r="F528" s="32" t="e" vm="1">
        <v>#VALUE!</v>
      </c>
      <c r="G528" s="58">
        <v>45855</v>
      </c>
      <c r="H528" s="57" t="e" vm="2">
        <v>#VALUE!</v>
      </c>
      <c r="I528" s="64"/>
      <c r="J528" s="57"/>
      <c r="K528" s="57"/>
      <c r="L528" s="4"/>
      <c r="M528" s="35"/>
    </row>
    <row r="529" spans="1:13" ht="15.9" customHeight="1" x14ac:dyDescent="0.3">
      <c r="A529" s="36">
        <v>526</v>
      </c>
      <c r="B529" s="64" t="str">
        <f>IF(Tabla1[[#This Row],[TRABAJADOR]]="", "", VLOOKUP(Tabla1[[#This Row],[TRABAJADOR]], 'Colaborador ID'!B:C, 2, FALSE))</f>
        <v>E1503</v>
      </c>
      <c r="C529" s="63" t="s">
        <v>1029</v>
      </c>
      <c r="D529" s="64" t="s">
        <v>1030</v>
      </c>
      <c r="E529" s="64" t="s">
        <v>16</v>
      </c>
      <c r="F529" s="49" t="e" vm="1">
        <v>#VALUE!</v>
      </c>
      <c r="G529" s="58"/>
      <c r="H529" s="57" t="e" vm="2">
        <v>#VALUE!</v>
      </c>
      <c r="I529" s="64" t="s">
        <v>22</v>
      </c>
      <c r="J529" s="57"/>
      <c r="K529" s="57"/>
      <c r="L529" s="4"/>
      <c r="M529" s="35"/>
    </row>
    <row r="530" spans="1:13" ht="15.9" customHeight="1" x14ac:dyDescent="0.3">
      <c r="A530" s="36">
        <v>527</v>
      </c>
      <c r="B530" s="64" t="e">
        <f>IF(Tabla1[[#This Row],[TRABAJADOR]]="", "", VLOOKUP(Tabla1[[#This Row],[TRABAJADOR]], 'Colaborador ID'!B:C, 2, FALSE))</f>
        <v>#N/A</v>
      </c>
      <c r="C530" s="63" t="s">
        <v>1031</v>
      </c>
      <c r="D530" s="64" t="s">
        <v>1032</v>
      </c>
      <c r="E530" s="64" t="s">
        <v>19</v>
      </c>
      <c r="F530" s="38" t="e" vm="1">
        <v>#VALUE!</v>
      </c>
      <c r="G530" s="58">
        <v>45783</v>
      </c>
      <c r="H530" s="57" t="e" vm="2">
        <v>#VALUE!</v>
      </c>
      <c r="I530" s="64"/>
      <c r="J530" s="57"/>
      <c r="K530" s="57"/>
      <c r="L530" s="4"/>
      <c r="M530" s="35"/>
    </row>
    <row r="531" spans="1:13" ht="15.9" customHeight="1" x14ac:dyDescent="0.3">
      <c r="A531" s="36">
        <v>528</v>
      </c>
      <c r="B531" s="64" t="str">
        <f>IF(Tabla1[[#This Row],[TRABAJADOR]]="", "", VLOOKUP(Tabla1[[#This Row],[TRABAJADOR]], 'Colaborador ID'!B:C, 2, FALSE))</f>
        <v>E0525</v>
      </c>
      <c r="C531" s="63" t="s">
        <v>1033</v>
      </c>
      <c r="D531" s="64" t="s">
        <v>1034</v>
      </c>
      <c r="E531" s="64" t="s">
        <v>19</v>
      </c>
      <c r="F531" s="49" t="e" vm="1">
        <v>#VALUE!</v>
      </c>
      <c r="G531" s="58"/>
      <c r="H531" s="57" t="e" vm="2">
        <v>#VALUE!</v>
      </c>
      <c r="I531" s="64"/>
      <c r="J531" s="57"/>
      <c r="K531" s="57"/>
      <c r="L531" s="4"/>
      <c r="M531" s="35"/>
    </row>
    <row r="532" spans="1:13" ht="15.9" customHeight="1" x14ac:dyDescent="0.3">
      <c r="A532" s="36">
        <v>529</v>
      </c>
      <c r="B532" s="64" t="str">
        <f>IF(Tabla1[[#This Row],[TRABAJADOR]]="", "", VLOOKUP(Tabla1[[#This Row],[TRABAJADOR]], 'Colaborador ID'!B:C, 2, FALSE))</f>
        <v>E0438</v>
      </c>
      <c r="C532" s="63" t="s">
        <v>1035</v>
      </c>
      <c r="D532" s="64" t="s">
        <v>1036</v>
      </c>
      <c r="E532" s="64" t="s">
        <v>16</v>
      </c>
      <c r="F532" s="49" t="e" vm="1">
        <v>#VALUE!</v>
      </c>
      <c r="G532" s="58"/>
      <c r="H532" s="57" t="e" vm="2">
        <v>#VALUE!</v>
      </c>
      <c r="I532" s="64"/>
      <c r="J532" s="57"/>
      <c r="K532" s="57"/>
      <c r="L532" s="4"/>
      <c r="M532" s="35"/>
    </row>
    <row r="533" spans="1:13" ht="15.9" customHeight="1" x14ac:dyDescent="0.3">
      <c r="A533" s="36">
        <v>530</v>
      </c>
      <c r="B533" s="57" t="str">
        <f>IF(Tabla1[[#This Row],[TRABAJADOR]]="", "", VLOOKUP(Tabla1[[#This Row],[TRABAJADOR]], 'Colaborador ID'!B:C, 2, FALSE))</f>
        <v>E1833</v>
      </c>
      <c r="C533" s="56" t="s">
        <v>1037</v>
      </c>
      <c r="D533" s="57" t="s">
        <v>1038</v>
      </c>
      <c r="E533" s="64" t="s">
        <v>16</v>
      </c>
      <c r="F533" s="49" t="e" vm="1">
        <v>#VALUE!</v>
      </c>
      <c r="G533" s="58">
        <v>45931</v>
      </c>
      <c r="H533" s="57" t="e" vm="2">
        <v>#VALUE!</v>
      </c>
      <c r="I533" s="57"/>
      <c r="J533" s="57"/>
      <c r="K533" s="57"/>
      <c r="L533" s="4"/>
      <c r="M533" s="35"/>
    </row>
    <row r="534" spans="1:13" ht="15.9" customHeight="1" x14ac:dyDescent="0.3">
      <c r="A534" s="36">
        <v>531</v>
      </c>
      <c r="B534" s="64" t="str">
        <f>IF(Tabla1[[#This Row],[TRABAJADOR]]="", "", VLOOKUP(Tabla1[[#This Row],[TRABAJADOR]], 'Colaborador ID'!B:C, 2, FALSE))</f>
        <v>E0532</v>
      </c>
      <c r="C534" s="63" t="s">
        <v>1039</v>
      </c>
      <c r="D534" s="64" t="s">
        <v>1040</v>
      </c>
      <c r="E534" s="64" t="s">
        <v>35</v>
      </c>
      <c r="F534" s="38" t="e" vm="1">
        <v>#VALUE!</v>
      </c>
      <c r="G534" s="58">
        <v>45838</v>
      </c>
      <c r="H534" s="40" t="e" vm="2">
        <v>#VALUE!</v>
      </c>
      <c r="I534" s="64"/>
      <c r="J534" s="57"/>
      <c r="K534" s="57"/>
      <c r="L534" s="4"/>
      <c r="M534" s="35"/>
    </row>
    <row r="535" spans="1:13" ht="15.9" customHeight="1" x14ac:dyDescent="0.35">
      <c r="A535" s="36">
        <v>532</v>
      </c>
      <c r="B535" s="64" t="str">
        <f>IF(Tabla1[[#This Row],[TRABAJADOR]]="", "", VLOOKUP(Tabla1[[#This Row],[TRABAJADOR]], 'Colaborador ID'!B:C, 2, FALSE))</f>
        <v>E0251</v>
      </c>
      <c r="C535" s="63" t="s">
        <v>1041</v>
      </c>
      <c r="D535" s="64" t="s">
        <v>1042</v>
      </c>
      <c r="E535" s="64" t="s">
        <v>13</v>
      </c>
      <c r="F535" s="41" t="e" vm="1">
        <v>#VALUE!</v>
      </c>
      <c r="G535" s="58"/>
      <c r="H535" s="6" t="e" vm="2">
        <v>#VALUE!</v>
      </c>
      <c r="I535" s="64"/>
      <c r="J535" s="57"/>
      <c r="K535" s="57"/>
      <c r="L535" s="4"/>
      <c r="M535" s="35"/>
    </row>
    <row r="536" spans="1:13" ht="15.9" customHeight="1" x14ac:dyDescent="0.3">
      <c r="A536" s="36">
        <v>533</v>
      </c>
      <c r="B536" s="64" t="str">
        <f>IF(Tabla1[[#This Row],[TRABAJADOR]]="", "", VLOOKUP(Tabla1[[#This Row],[TRABAJADOR]], 'Colaborador ID'!B:C, 2, FALSE))</f>
        <v>E0993</v>
      </c>
      <c r="C536" s="63" t="s">
        <v>1043</v>
      </c>
      <c r="D536" s="64" t="s">
        <v>1044</v>
      </c>
      <c r="E536" s="64" t="s">
        <v>119</v>
      </c>
      <c r="F536" s="49" t="e" vm="1">
        <v>#VALUE!</v>
      </c>
      <c r="G536" s="58"/>
      <c r="H536" s="57" t="e" vm="2">
        <v>#VALUE!</v>
      </c>
      <c r="I536" s="64"/>
      <c r="J536" s="57"/>
      <c r="K536" s="57"/>
      <c r="L536" s="4"/>
      <c r="M536" s="35"/>
    </row>
    <row r="537" spans="1:13" ht="15.9" customHeight="1" x14ac:dyDescent="0.3">
      <c r="A537" s="36">
        <v>534</v>
      </c>
      <c r="B537" s="64" t="str">
        <f>IF(Tabla1[[#This Row],[TRABAJADOR]]="", "", VLOOKUP(Tabla1[[#This Row],[TRABAJADOR]], 'Colaborador ID'!B:C, 2, FALSE))</f>
        <v>E1504</v>
      </c>
      <c r="C537" s="63" t="s">
        <v>1045</v>
      </c>
      <c r="D537" s="64" t="s">
        <v>1046</v>
      </c>
      <c r="E537" s="64" t="s">
        <v>16</v>
      </c>
      <c r="F537" s="57" t="e" vm="1">
        <v>#VALUE!</v>
      </c>
      <c r="G537" s="58"/>
      <c r="H537" s="57" t="e" vm="2">
        <v>#VALUE!</v>
      </c>
      <c r="I537" s="64" t="s">
        <v>22</v>
      </c>
      <c r="J537" s="57"/>
      <c r="K537" s="57"/>
      <c r="L537" s="4"/>
      <c r="M537" s="35"/>
    </row>
    <row r="538" spans="1:13" ht="15.9" customHeight="1" x14ac:dyDescent="0.3">
      <c r="A538" s="36">
        <v>535</v>
      </c>
      <c r="B538" s="57" t="str">
        <f>IF(Tabla1[[#This Row],[TRABAJADOR]]="", "", VLOOKUP(Tabla1[[#This Row],[TRABAJADOR]], 'Colaborador ID'!B:C, 2, FALSE))</f>
        <v>E2076</v>
      </c>
      <c r="C538" s="56" t="s">
        <v>5307</v>
      </c>
      <c r="D538" s="57" t="s">
        <v>5462</v>
      </c>
      <c r="E538" s="64" t="s">
        <v>19</v>
      </c>
      <c r="F538" s="6" t="e" vm="1">
        <v>#VALUE!</v>
      </c>
      <c r="G538" s="58">
        <v>46072</v>
      </c>
      <c r="H538" s="57" t="e" vm="2">
        <v>#VALUE!</v>
      </c>
      <c r="I538" s="57"/>
      <c r="J538" s="57"/>
      <c r="K538" s="57"/>
      <c r="L538" s="4"/>
      <c r="M538" s="35"/>
    </row>
    <row r="539" spans="1:13" ht="15.9" customHeight="1" x14ac:dyDescent="0.3">
      <c r="A539" s="36">
        <v>536</v>
      </c>
      <c r="B539" s="64" t="e">
        <f>IF(Tabla1[[#This Row],[TRABAJADOR]]="", "", VLOOKUP(Tabla1[[#This Row],[TRABAJADOR]], 'Colaborador ID'!B:C, 2, FALSE))</f>
        <v>#N/A</v>
      </c>
      <c r="C539" s="63" t="s">
        <v>1047</v>
      </c>
      <c r="D539" s="64" t="s">
        <v>1048</v>
      </c>
      <c r="E539" s="64" t="s">
        <v>16</v>
      </c>
      <c r="F539" s="32" t="e" vm="1">
        <v>#VALUE!</v>
      </c>
      <c r="G539" s="58">
        <v>45783</v>
      </c>
      <c r="H539" s="57" t="e" vm="2">
        <v>#VALUE!</v>
      </c>
      <c r="I539" s="64"/>
      <c r="J539" s="57"/>
      <c r="K539" s="57"/>
      <c r="L539" s="4"/>
      <c r="M539" s="35"/>
    </row>
    <row r="540" spans="1:13" ht="15.9" customHeight="1" x14ac:dyDescent="0.3">
      <c r="A540" s="36">
        <v>537</v>
      </c>
      <c r="B540" s="64" t="str">
        <f>IF(Tabla1[[#This Row],[TRABAJADOR]]="", "", VLOOKUP(Tabla1[[#This Row],[TRABAJADOR]], 'Colaborador ID'!B:C, 2, FALSE))</f>
        <v>E0086</v>
      </c>
      <c r="C540" s="63" t="s">
        <v>1049</v>
      </c>
      <c r="D540" s="64" t="s">
        <v>1050</v>
      </c>
      <c r="E540" s="64" t="s">
        <v>33</v>
      </c>
      <c r="F540" s="32" t="e" vm="1">
        <v>#VALUE!</v>
      </c>
      <c r="G540" s="58">
        <v>45938</v>
      </c>
      <c r="H540" s="49" t="e" vm="2">
        <v>#VALUE!</v>
      </c>
      <c r="I540" s="64"/>
      <c r="J540" s="57"/>
      <c r="K540" s="57"/>
      <c r="L540" s="4"/>
      <c r="M540" s="35"/>
    </row>
    <row r="541" spans="1:13" ht="15.9" customHeight="1" x14ac:dyDescent="0.3">
      <c r="A541" s="36">
        <v>538</v>
      </c>
      <c r="B541" s="64" t="str">
        <f>IF(Tabla1[[#This Row],[TRABAJADOR]]="", "", VLOOKUP(Tabla1[[#This Row],[TRABAJADOR]], 'Colaborador ID'!B:C, 2, FALSE))</f>
        <v>E1505</v>
      </c>
      <c r="C541" s="63" t="s">
        <v>1051</v>
      </c>
      <c r="D541" s="64" t="s">
        <v>1052</v>
      </c>
      <c r="E541" s="64" t="s">
        <v>16</v>
      </c>
      <c r="F541" s="49" t="e" vm="1">
        <v>#VALUE!</v>
      </c>
      <c r="G541" s="58"/>
      <c r="H541" s="57" t="e" vm="2">
        <v>#VALUE!</v>
      </c>
      <c r="I541" s="64" t="s">
        <v>22</v>
      </c>
      <c r="J541" s="57"/>
      <c r="K541" s="57"/>
      <c r="L541" s="4"/>
      <c r="M541" s="35"/>
    </row>
    <row r="542" spans="1:13" ht="15.9" customHeight="1" x14ac:dyDescent="0.3">
      <c r="A542" s="36">
        <v>539</v>
      </c>
      <c r="B542" s="64" t="str">
        <f>IF(Tabla1[[#This Row],[TRABAJADOR]]="", "", VLOOKUP(Tabla1[[#This Row],[TRABAJADOR]], 'Colaborador ID'!B:C, 2, FALSE))</f>
        <v>E0428</v>
      </c>
      <c r="C542" s="63" t="s">
        <v>1053</v>
      </c>
      <c r="D542" s="64" t="s">
        <v>1054</v>
      </c>
      <c r="E542" s="64"/>
      <c r="F542" s="6" t="e" vm="1">
        <v>#VALUE!</v>
      </c>
      <c r="G542" s="58"/>
      <c r="H542" s="57" t="e" vm="2">
        <v>#VALUE!</v>
      </c>
      <c r="I542" s="64"/>
      <c r="J542" s="57"/>
      <c r="K542" s="57"/>
      <c r="L542" s="4"/>
      <c r="M542" s="35"/>
    </row>
    <row r="543" spans="1:13" ht="15.9" customHeight="1" x14ac:dyDescent="0.3">
      <c r="A543" s="36">
        <v>540</v>
      </c>
      <c r="B543" s="57" t="str">
        <f>IF(Tabla1[[#This Row],[TRABAJADOR]]="", "", VLOOKUP(Tabla1[[#This Row],[TRABAJADOR]], 'Colaborador ID'!B:C, 2, FALSE))</f>
        <v>E1769</v>
      </c>
      <c r="C543" s="56" t="s">
        <v>1055</v>
      </c>
      <c r="D543" s="57" t="s">
        <v>1056</v>
      </c>
      <c r="E543" s="64"/>
      <c r="F543" s="49" t="e" vm="1">
        <v>#VALUE!</v>
      </c>
      <c r="G543" s="58">
        <v>45894</v>
      </c>
      <c r="H543" s="57" t="e" vm="2">
        <v>#VALUE!</v>
      </c>
      <c r="I543" s="57"/>
      <c r="J543" s="57"/>
      <c r="K543" s="57"/>
      <c r="L543" s="4"/>
      <c r="M543" s="35"/>
    </row>
    <row r="544" spans="1:13" ht="15.9" customHeight="1" x14ac:dyDescent="0.3">
      <c r="A544" s="36">
        <v>541</v>
      </c>
      <c r="B544" s="64" t="str">
        <f>IF(Tabla1[[#This Row],[TRABAJADOR]]="", "", VLOOKUP(Tabla1[[#This Row],[TRABAJADOR]], 'Colaborador ID'!B:C, 2, FALSE))</f>
        <v>E1615</v>
      </c>
      <c r="C544" s="63" t="s">
        <v>1057</v>
      </c>
      <c r="D544" s="64" t="s">
        <v>1058</v>
      </c>
      <c r="E544" s="64"/>
      <c r="F544" s="49" t="e" vm="1">
        <v>#VALUE!</v>
      </c>
      <c r="G544" s="58"/>
      <c r="H544" s="57" t="e" vm="2">
        <v>#VALUE!</v>
      </c>
      <c r="I544" s="64" t="s">
        <v>22</v>
      </c>
      <c r="J544" s="57"/>
      <c r="K544" s="57"/>
      <c r="L544" s="4"/>
      <c r="M544" s="35"/>
    </row>
    <row r="545" spans="1:13" ht="15.9" customHeight="1" x14ac:dyDescent="0.3">
      <c r="A545" s="36">
        <v>542</v>
      </c>
      <c r="B545" s="64" t="str">
        <f>IF(Tabla1[[#This Row],[TRABAJADOR]]="", "", VLOOKUP(Tabla1[[#This Row],[TRABAJADOR]], 'Colaborador ID'!B:C, 2, FALSE))</f>
        <v>E0557</v>
      </c>
      <c r="C545" s="63" t="s">
        <v>1059</v>
      </c>
      <c r="D545" s="64" t="s">
        <v>1060</v>
      </c>
      <c r="E545" s="64" t="s">
        <v>16</v>
      </c>
      <c r="F545" s="51" t="e" vm="1">
        <v>#VALUE!</v>
      </c>
      <c r="G545" s="58"/>
      <c r="H545" s="57" t="e" vm="2">
        <v>#VALUE!</v>
      </c>
      <c r="I545" s="64"/>
      <c r="J545" s="57"/>
      <c r="K545" s="57"/>
      <c r="L545" s="4"/>
      <c r="M545" s="35"/>
    </row>
    <row r="546" spans="1:13" ht="15.9" customHeight="1" x14ac:dyDescent="0.3">
      <c r="A546" s="36">
        <v>543</v>
      </c>
      <c r="B546" s="64" t="str">
        <f>IF(Tabla1[[#This Row],[TRABAJADOR]]="", "", VLOOKUP(Tabla1[[#This Row],[TRABAJADOR]], 'Colaborador ID'!B:C, 2, FALSE))</f>
        <v>E1074</v>
      </c>
      <c r="C546" s="63" t="s">
        <v>1061</v>
      </c>
      <c r="D546" s="64" t="s">
        <v>1062</v>
      </c>
      <c r="E546" s="64" t="s">
        <v>16</v>
      </c>
      <c r="F546" s="38" t="e" vm="1">
        <v>#VALUE!</v>
      </c>
      <c r="G546" s="58">
        <v>45792</v>
      </c>
      <c r="H546" s="57" t="e" vm="2">
        <v>#VALUE!</v>
      </c>
      <c r="I546" s="64"/>
      <c r="J546" s="57"/>
      <c r="K546" s="57"/>
      <c r="L546" s="4"/>
      <c r="M546" s="35"/>
    </row>
    <row r="547" spans="1:13" ht="15.9" customHeight="1" x14ac:dyDescent="0.3">
      <c r="A547" s="36">
        <v>544</v>
      </c>
      <c r="B547" s="64" t="str">
        <f>IF(Tabla1[[#This Row],[TRABAJADOR]]="", "", VLOOKUP(Tabla1[[#This Row],[TRABAJADOR]], 'Colaborador ID'!B:C, 2, FALSE))</f>
        <v>E0418</v>
      </c>
      <c r="C547" s="63" t="s">
        <v>1063</v>
      </c>
      <c r="D547" s="64" t="s">
        <v>1064</v>
      </c>
      <c r="E547" s="64" t="s">
        <v>16</v>
      </c>
      <c r="F547" s="38" t="e" vm="1">
        <v>#VALUE!</v>
      </c>
      <c r="G547" s="58">
        <v>45783</v>
      </c>
      <c r="H547" s="57" t="e" vm="2">
        <v>#VALUE!</v>
      </c>
      <c r="I547" s="64"/>
      <c r="J547" s="57"/>
      <c r="K547" s="57"/>
      <c r="L547" s="4"/>
      <c r="M547" s="35"/>
    </row>
    <row r="548" spans="1:13" ht="15.9" customHeight="1" x14ac:dyDescent="0.3">
      <c r="A548" s="36">
        <v>545</v>
      </c>
      <c r="B548" s="64" t="str">
        <f>IF(Tabla1[[#This Row],[TRABAJADOR]]="", "", VLOOKUP(Tabla1[[#This Row],[TRABAJADOR]], 'Colaborador ID'!B:C, 2, FALSE))</f>
        <v>E0274</v>
      </c>
      <c r="C548" s="63" t="s">
        <v>1065</v>
      </c>
      <c r="D548" s="64" t="s">
        <v>1066</v>
      </c>
      <c r="E548" s="64" t="s">
        <v>16</v>
      </c>
      <c r="F548" s="38" t="e" vm="1">
        <v>#VALUE!</v>
      </c>
      <c r="G548" s="58">
        <v>45792</v>
      </c>
      <c r="H548" s="57" t="e" vm="2">
        <v>#VALUE!</v>
      </c>
      <c r="I548" s="64"/>
      <c r="J548" s="57"/>
      <c r="K548" s="57"/>
      <c r="L548" s="4"/>
      <c r="M548" s="35"/>
    </row>
    <row r="549" spans="1:13" ht="15.9" customHeight="1" x14ac:dyDescent="0.3">
      <c r="A549" s="36">
        <v>546</v>
      </c>
      <c r="B549" s="64" t="str">
        <f>IF(Tabla1[[#This Row],[TRABAJADOR]]="", "", VLOOKUP(Tabla1[[#This Row],[TRABAJADOR]], 'Colaborador ID'!B:C, 2, FALSE))</f>
        <v>E0645</v>
      </c>
      <c r="C549" s="63" t="s">
        <v>1067</v>
      </c>
      <c r="D549" s="64" t="s">
        <v>1068</v>
      </c>
      <c r="E549" s="64" t="s">
        <v>16</v>
      </c>
      <c r="F549" s="38" t="e" vm="1">
        <v>#VALUE!</v>
      </c>
      <c r="G549" s="58">
        <v>45841</v>
      </c>
      <c r="H549" s="57" t="e" vm="2">
        <v>#VALUE!</v>
      </c>
      <c r="I549" s="64"/>
      <c r="J549" s="57"/>
      <c r="K549" s="57"/>
      <c r="L549" s="4"/>
      <c r="M549" s="35"/>
    </row>
    <row r="550" spans="1:13" ht="15.9" customHeight="1" x14ac:dyDescent="0.3">
      <c r="A550" s="36">
        <v>547</v>
      </c>
      <c r="B550" s="57" t="str">
        <f>IF(Tabla1[[#This Row],[TRABAJADOR]]="", "", VLOOKUP(Tabla1[[#This Row],[TRABAJADOR]], 'Colaborador ID'!B:C, 2, FALSE))</f>
        <v>E1990</v>
      </c>
      <c r="C550" s="56" t="s">
        <v>1069</v>
      </c>
      <c r="D550" s="57" t="s">
        <v>1070</v>
      </c>
      <c r="E550" s="64" t="s">
        <v>19</v>
      </c>
      <c r="F550" s="49" t="e" vm="1">
        <v>#VALUE!</v>
      </c>
      <c r="G550" s="58">
        <v>45966</v>
      </c>
      <c r="H550" s="57" t="e" vm="2">
        <v>#VALUE!</v>
      </c>
      <c r="I550" s="57" t="s">
        <v>22</v>
      </c>
      <c r="J550" s="57"/>
      <c r="K550" s="57"/>
      <c r="L550" s="4"/>
      <c r="M550" s="35"/>
    </row>
    <row r="551" spans="1:13" ht="15.9" customHeight="1" x14ac:dyDescent="0.3">
      <c r="A551" s="36">
        <v>548</v>
      </c>
      <c r="B551" s="57" t="str">
        <f>IF(Tabla1[[#This Row],[TRABAJADOR]]="", "", VLOOKUP(Tabla1[[#This Row],[TRABAJADOR]], 'Colaborador ID'!B:C, 2, FALSE))</f>
        <v>E1778</v>
      </c>
      <c r="C551" s="56" t="s">
        <v>1071</v>
      </c>
      <c r="D551" s="57" t="s">
        <v>1072</v>
      </c>
      <c r="E551" s="64" t="s">
        <v>16</v>
      </c>
      <c r="F551" s="49" t="e" vm="1">
        <v>#VALUE!</v>
      </c>
      <c r="G551" s="58">
        <v>45894</v>
      </c>
      <c r="H551" s="57" t="e" vm="2">
        <v>#VALUE!</v>
      </c>
      <c r="I551" s="57"/>
      <c r="J551" s="57"/>
      <c r="K551" s="57"/>
      <c r="L551" s="4"/>
      <c r="M551" s="35"/>
    </row>
    <row r="552" spans="1:13" ht="15.9" customHeight="1" x14ac:dyDescent="0.3">
      <c r="A552" s="36">
        <v>549</v>
      </c>
      <c r="B552" s="64" t="str">
        <f>IF(Tabla1[[#This Row],[TRABAJADOR]]="", "", VLOOKUP(Tabla1[[#This Row],[TRABAJADOR]], 'Colaborador ID'!B:C, 2, FALSE))</f>
        <v>E0683</v>
      </c>
      <c r="C552" s="63" t="s">
        <v>1073</v>
      </c>
      <c r="D552" s="64" t="s">
        <v>1074</v>
      </c>
      <c r="E552" s="64" t="s">
        <v>16</v>
      </c>
      <c r="F552" s="38" t="e" vm="1">
        <v>#VALUE!</v>
      </c>
      <c r="G552" s="58">
        <v>45750</v>
      </c>
      <c r="H552" s="40" t="e" vm="2">
        <v>#VALUE!</v>
      </c>
      <c r="I552" s="64"/>
      <c r="J552" s="57"/>
      <c r="K552" s="57"/>
      <c r="L552" s="4"/>
      <c r="M552" s="35"/>
    </row>
    <row r="553" spans="1:13" ht="15.9" customHeight="1" x14ac:dyDescent="0.3">
      <c r="A553" s="36">
        <v>550</v>
      </c>
      <c r="B553" s="57" t="str">
        <f>IF(Tabla1[[#This Row],[TRABAJADOR]]="", "", VLOOKUP(Tabla1[[#This Row],[TRABAJADOR]], 'Colaborador ID'!B:C, 2, FALSE))</f>
        <v>E1839</v>
      </c>
      <c r="C553" s="56" t="s">
        <v>1075</v>
      </c>
      <c r="D553" s="57" t="s">
        <v>1076</v>
      </c>
      <c r="E553" s="64" t="s">
        <v>16</v>
      </c>
      <c r="F553" s="49" t="e" vm="1">
        <v>#VALUE!</v>
      </c>
      <c r="G553" s="58">
        <v>45967</v>
      </c>
      <c r="H553" s="57" t="e" vm="2">
        <v>#VALUE!</v>
      </c>
      <c r="I553" s="57" t="s">
        <v>22</v>
      </c>
      <c r="J553" s="57"/>
      <c r="K553" s="57"/>
      <c r="L553" s="4"/>
      <c r="M553" s="35"/>
    </row>
    <row r="554" spans="1:13" ht="15.9" customHeight="1" x14ac:dyDescent="0.3">
      <c r="A554" s="36">
        <v>551</v>
      </c>
      <c r="B554" s="64" t="str">
        <f>IF(Tabla1[[#This Row],[TRABAJADOR]]="", "", VLOOKUP(Tabla1[[#This Row],[TRABAJADOR]], 'Colaborador ID'!B:C, 2, FALSE))</f>
        <v>E0240</v>
      </c>
      <c r="C554" s="63" t="s">
        <v>1077</v>
      </c>
      <c r="D554" s="64" t="s">
        <v>1078</v>
      </c>
      <c r="E554" s="64" t="s">
        <v>16</v>
      </c>
      <c r="F554" s="32" t="e" vm="1">
        <v>#VALUE!</v>
      </c>
      <c r="G554" s="58">
        <v>45818</v>
      </c>
      <c r="H554" s="6" t="e" vm="2">
        <v>#VALUE!</v>
      </c>
      <c r="I554" s="64"/>
      <c r="J554" s="57"/>
      <c r="K554" s="57"/>
      <c r="L554" s="4"/>
      <c r="M554" s="35"/>
    </row>
    <row r="555" spans="1:13" ht="15.9" customHeight="1" x14ac:dyDescent="0.3">
      <c r="A555" s="36">
        <v>552</v>
      </c>
      <c r="B555" s="64" t="str">
        <f>IF(Tabla1[[#This Row],[TRABAJADOR]]="", "", VLOOKUP(Tabla1[[#This Row],[TRABAJADOR]], 'Colaborador ID'!B:C, 2, FALSE))</f>
        <v>E2083</v>
      </c>
      <c r="C555" s="63" t="s">
        <v>1079</v>
      </c>
      <c r="D555" s="64" t="s">
        <v>5319</v>
      </c>
      <c r="E555" s="64" t="s">
        <v>16</v>
      </c>
      <c r="F555" s="49" t="e" vm="1">
        <v>#VALUE!</v>
      </c>
      <c r="G555" s="58">
        <v>46035</v>
      </c>
      <c r="H555" s="49" t="e" vm="2">
        <v>#VALUE!</v>
      </c>
      <c r="I555" s="64"/>
      <c r="J555" s="57"/>
      <c r="K555" s="57"/>
      <c r="L555" s="4"/>
      <c r="M555" s="35"/>
    </row>
    <row r="556" spans="1:13" ht="15.9" customHeight="1" x14ac:dyDescent="0.3">
      <c r="A556" s="36">
        <v>553</v>
      </c>
      <c r="B556" s="64" t="str">
        <f>IF(Tabla1[[#This Row],[TRABAJADOR]]="", "", VLOOKUP(Tabla1[[#This Row],[TRABAJADOR]], 'Colaborador ID'!B:C, 2, FALSE))</f>
        <v>E0015</v>
      </c>
      <c r="C556" s="63" t="s">
        <v>1080</v>
      </c>
      <c r="D556" s="64" t="s">
        <v>1081</v>
      </c>
      <c r="E556" s="64" t="s">
        <v>16</v>
      </c>
      <c r="F556" s="38" t="e" vm="1">
        <v>#VALUE!</v>
      </c>
      <c r="G556" s="58">
        <v>45811</v>
      </c>
      <c r="H556" s="57" t="e" vm="2">
        <v>#VALUE!</v>
      </c>
      <c r="I556" s="64"/>
      <c r="J556" s="57"/>
      <c r="K556" s="57"/>
      <c r="L556" s="4"/>
      <c r="M556" s="35"/>
    </row>
    <row r="557" spans="1:13" ht="15.9" customHeight="1" x14ac:dyDescent="0.3">
      <c r="A557" s="36">
        <v>554</v>
      </c>
      <c r="B557" s="64" t="str">
        <f>IF(Tabla1[[#This Row],[TRABAJADOR]]="", "", VLOOKUP(Tabla1[[#This Row],[TRABAJADOR]], 'Colaborador ID'!B:C, 2, FALSE))</f>
        <v>E1073</v>
      </c>
      <c r="C557" s="63" t="s">
        <v>1082</v>
      </c>
      <c r="D557" s="64" t="s">
        <v>1083</v>
      </c>
      <c r="E557" s="64" t="s">
        <v>16</v>
      </c>
      <c r="F557" s="38" t="e" vm="1">
        <v>#VALUE!</v>
      </c>
      <c r="G557" s="58">
        <v>45783</v>
      </c>
      <c r="H557" s="57" t="e" vm="2">
        <v>#VALUE!</v>
      </c>
      <c r="I557" s="64"/>
      <c r="J557" s="57"/>
      <c r="K557" s="57"/>
      <c r="L557" s="4"/>
      <c r="M557" s="35"/>
    </row>
    <row r="558" spans="1:13" ht="15.9" customHeight="1" x14ac:dyDescent="0.3">
      <c r="A558" s="36">
        <v>555</v>
      </c>
      <c r="B558" s="64" t="str">
        <f>IF(Tabla1[[#This Row],[TRABAJADOR]]="", "", VLOOKUP(Tabla1[[#This Row],[TRABAJADOR]], 'Colaborador ID'!B:C, 2, FALSE))</f>
        <v>E0087</v>
      </c>
      <c r="C558" s="63" t="s">
        <v>1084</v>
      </c>
      <c r="D558" s="64" t="s">
        <v>1085</v>
      </c>
      <c r="E558" s="64" t="s">
        <v>16</v>
      </c>
      <c r="F558" s="38" t="e" vm="1">
        <v>#VALUE!</v>
      </c>
      <c r="G558" s="58">
        <v>45839</v>
      </c>
      <c r="H558" s="40" t="e" vm="2">
        <v>#VALUE!</v>
      </c>
      <c r="I558" s="64"/>
      <c r="J558" s="57"/>
      <c r="K558" s="57"/>
      <c r="L558" s="4"/>
      <c r="M558" s="35"/>
    </row>
    <row r="559" spans="1:13" ht="15.9" customHeight="1" x14ac:dyDescent="0.3">
      <c r="A559" s="36">
        <v>556</v>
      </c>
      <c r="B559" s="57" t="str">
        <f>IF(Tabla1[[#This Row],[TRABAJADOR]]="", "", VLOOKUP(Tabla1[[#This Row],[TRABAJADOR]], 'Colaborador ID'!B:C, 2, FALSE))</f>
        <v>E1781</v>
      </c>
      <c r="C559" s="56" t="s">
        <v>1086</v>
      </c>
      <c r="D559" s="57" t="s">
        <v>1087</v>
      </c>
      <c r="E559" s="64" t="s">
        <v>16</v>
      </c>
      <c r="F559" s="49" t="e" vm="1">
        <v>#VALUE!</v>
      </c>
      <c r="G559" s="58">
        <v>45931</v>
      </c>
      <c r="H559" s="57" t="e" vm="2">
        <v>#VALUE!</v>
      </c>
      <c r="I559" s="57"/>
      <c r="J559" s="57"/>
      <c r="K559" s="57"/>
      <c r="L559" s="4"/>
      <c r="M559" s="35"/>
    </row>
    <row r="560" spans="1:13" ht="15.9" customHeight="1" x14ac:dyDescent="0.3">
      <c r="A560" s="36">
        <v>557</v>
      </c>
      <c r="B560" s="64" t="str">
        <f>IF(Tabla1[[#This Row],[TRABAJADOR]]="", "", VLOOKUP(Tabla1[[#This Row],[TRABAJADOR]], 'Colaborador ID'!B:C, 2, FALSE))</f>
        <v>E0404</v>
      </c>
      <c r="C560" s="63" t="s">
        <v>1088</v>
      </c>
      <c r="D560" s="64" t="s">
        <v>1089</v>
      </c>
      <c r="E560" s="64" t="s">
        <v>16</v>
      </c>
      <c r="F560" s="57" t="e" vm="1">
        <v>#VALUE!</v>
      </c>
      <c r="G560" s="58"/>
      <c r="H560" s="49" t="e" vm="2">
        <v>#VALUE!</v>
      </c>
      <c r="I560" s="64"/>
      <c r="J560" s="57"/>
      <c r="K560" s="57"/>
      <c r="L560" s="4"/>
      <c r="M560" s="35"/>
    </row>
    <row r="561" spans="1:13" ht="15.9" customHeight="1" x14ac:dyDescent="0.3">
      <c r="A561" s="36">
        <v>558</v>
      </c>
      <c r="B561" s="64" t="e">
        <f>IF(Tabla1[[#This Row],[TRABAJADOR]]="", "", VLOOKUP(Tabla1[[#This Row],[TRABAJADOR]], 'Colaborador ID'!B:C, 2, FALSE))</f>
        <v>#N/A</v>
      </c>
      <c r="C561" s="63" t="s">
        <v>1090</v>
      </c>
      <c r="D561" s="64" t="s">
        <v>1091</v>
      </c>
      <c r="E561" s="64" t="s">
        <v>19</v>
      </c>
      <c r="F561" s="38" t="e" vm="1">
        <v>#VALUE!</v>
      </c>
      <c r="G561" s="58">
        <v>45854</v>
      </c>
      <c r="H561" s="40" t="e" vm="2">
        <v>#VALUE!</v>
      </c>
      <c r="I561" s="64"/>
      <c r="J561" s="57"/>
      <c r="K561" s="57"/>
      <c r="L561" s="4"/>
      <c r="M561" s="35"/>
    </row>
    <row r="562" spans="1:13" ht="15.9" customHeight="1" x14ac:dyDescent="0.3">
      <c r="A562" s="36">
        <v>559</v>
      </c>
      <c r="B562" s="64" t="str">
        <f>IF(Tabla1[[#This Row],[TRABAJADOR]]="", "", VLOOKUP(Tabla1[[#This Row],[TRABAJADOR]], 'Colaborador ID'!B:C, 2, FALSE))</f>
        <v>E1506</v>
      </c>
      <c r="C562" s="63" t="s">
        <v>1092</v>
      </c>
      <c r="D562" s="64" t="s">
        <v>1093</v>
      </c>
      <c r="E562" s="64" t="s">
        <v>16</v>
      </c>
      <c r="F562" s="49" t="e" vm="1">
        <v>#VALUE!</v>
      </c>
      <c r="G562" s="58"/>
      <c r="H562" s="57" t="e" vm="2">
        <v>#VALUE!</v>
      </c>
      <c r="I562" s="64" t="s">
        <v>22</v>
      </c>
      <c r="J562" s="57"/>
      <c r="K562" s="57"/>
      <c r="L562" s="4"/>
      <c r="M562" s="35"/>
    </row>
    <row r="563" spans="1:13" ht="15.9" customHeight="1" x14ac:dyDescent="0.3">
      <c r="A563" s="36">
        <v>560</v>
      </c>
      <c r="B563" s="64" t="str">
        <f>IF(Tabla1[[#This Row],[TRABAJADOR]]="", "", VLOOKUP(Tabla1[[#This Row],[TRABAJADOR]], 'Colaborador ID'!B:C, 2, FALSE))</f>
        <v>E0431</v>
      </c>
      <c r="C563" s="63" t="s">
        <v>1094</v>
      </c>
      <c r="D563" s="64" t="s">
        <v>1095</v>
      </c>
      <c r="E563" s="64" t="s">
        <v>13</v>
      </c>
      <c r="F563" s="38" t="e" vm="1">
        <v>#VALUE!</v>
      </c>
      <c r="G563" s="58">
        <v>45805</v>
      </c>
      <c r="H563" s="57" t="e" vm="2">
        <v>#VALUE!</v>
      </c>
      <c r="I563" s="64"/>
      <c r="J563" s="57"/>
      <c r="K563" s="57"/>
      <c r="L563" s="4"/>
      <c r="M563" s="35"/>
    </row>
    <row r="564" spans="1:13" ht="15.9" customHeight="1" x14ac:dyDescent="0.3">
      <c r="A564" s="36">
        <v>561</v>
      </c>
      <c r="B564" s="64" t="str">
        <f>IF(Tabla1[[#This Row],[TRABAJADOR]]="", "", VLOOKUP(Tabla1[[#This Row],[TRABAJADOR]], 'Colaborador ID'!B:C, 2, FALSE))</f>
        <v>E0117</v>
      </c>
      <c r="C564" s="63" t="s">
        <v>1096</v>
      </c>
      <c r="D564" s="64" t="s">
        <v>1097</v>
      </c>
      <c r="E564" s="64"/>
      <c r="F564" s="6" t="e" vm="1">
        <v>#VALUE!</v>
      </c>
      <c r="G564" s="58"/>
      <c r="H564" s="57" t="e" vm="2">
        <v>#VALUE!</v>
      </c>
      <c r="I564" s="64"/>
      <c r="J564" s="57"/>
      <c r="K564" s="57"/>
      <c r="L564" s="4"/>
      <c r="M564" s="35"/>
    </row>
    <row r="565" spans="1:13" ht="15.9" customHeight="1" x14ac:dyDescent="0.3">
      <c r="A565" s="36">
        <v>562</v>
      </c>
      <c r="B565" s="64" t="str">
        <f>IF(Tabla1[[#This Row],[TRABAJADOR]]="", "", VLOOKUP(Tabla1[[#This Row],[TRABAJADOR]], 'Colaborador ID'!B:C, 2, FALSE))</f>
        <v>E0495</v>
      </c>
      <c r="C565" s="63" t="s">
        <v>1098</v>
      </c>
      <c r="D565" s="64" t="s">
        <v>1099</v>
      </c>
      <c r="E565" s="64" t="s">
        <v>19</v>
      </c>
      <c r="F565" s="32" t="e" vm="1">
        <v>#VALUE!</v>
      </c>
      <c r="G565" s="58">
        <v>45805</v>
      </c>
      <c r="H565" s="57" t="e" vm="2">
        <v>#VALUE!</v>
      </c>
      <c r="I565" s="64"/>
      <c r="J565" s="57"/>
      <c r="K565" s="57"/>
      <c r="L565" s="4"/>
      <c r="M565" s="35"/>
    </row>
    <row r="566" spans="1:13" ht="15.9" customHeight="1" x14ac:dyDescent="0.3">
      <c r="A566" s="36">
        <v>563</v>
      </c>
      <c r="B566" s="64" t="str">
        <f>IF(Tabla1[[#This Row],[TRABAJADOR]]="", "", VLOOKUP(Tabla1[[#This Row],[TRABAJADOR]], 'Colaborador ID'!B:C, 2, FALSE))</f>
        <v>E0058</v>
      </c>
      <c r="C566" s="63" t="s">
        <v>1100</v>
      </c>
      <c r="D566" s="64" t="s">
        <v>1101</v>
      </c>
      <c r="E566" s="64" t="s">
        <v>13</v>
      </c>
      <c r="F566" s="38" t="e" vm="1">
        <v>#VALUE!</v>
      </c>
      <c r="G566" s="58">
        <v>45769</v>
      </c>
      <c r="H566" s="57" t="e" vm="2">
        <v>#VALUE!</v>
      </c>
      <c r="I566" s="64"/>
      <c r="J566" s="57"/>
      <c r="K566" s="57"/>
      <c r="L566" s="4"/>
      <c r="M566" s="35"/>
    </row>
    <row r="567" spans="1:13" ht="15.9" customHeight="1" x14ac:dyDescent="0.3">
      <c r="A567" s="36">
        <v>564</v>
      </c>
      <c r="B567" s="57" t="str">
        <f>IF(Tabla1[[#This Row],[TRABAJADOR]]="", "", VLOOKUP(Tabla1[[#This Row],[TRABAJADOR]], 'Colaborador ID'!B:C, 2, FALSE))</f>
        <v>E1306</v>
      </c>
      <c r="C567" s="56" t="s">
        <v>3757</v>
      </c>
      <c r="D567" s="57" t="s">
        <v>5467</v>
      </c>
      <c r="E567" s="64" t="s">
        <v>19</v>
      </c>
      <c r="F567" s="49" t="e" vm="1">
        <v>#VALUE!</v>
      </c>
      <c r="G567" s="58">
        <v>46073</v>
      </c>
      <c r="H567" s="57" t="e" vm="2">
        <v>#VALUE!</v>
      </c>
      <c r="I567" s="57"/>
      <c r="J567" s="57"/>
      <c r="K567" s="57"/>
      <c r="L567" s="4"/>
      <c r="M567" s="35"/>
    </row>
    <row r="568" spans="1:13" ht="15.9" customHeight="1" x14ac:dyDescent="0.3">
      <c r="A568" s="36">
        <v>565</v>
      </c>
      <c r="B568" s="57" t="str">
        <f>IF(Tabla1[[#This Row],[TRABAJADOR]]="", "", VLOOKUP(Tabla1[[#This Row],[TRABAJADOR]], 'Colaborador ID'!B:C, 2, FALSE))</f>
        <v>E2008</v>
      </c>
      <c r="C568" s="56" t="s">
        <v>1102</v>
      </c>
      <c r="D568" s="57" t="s">
        <v>1103</v>
      </c>
      <c r="E568" s="64" t="s">
        <v>271</v>
      </c>
      <c r="F568" s="49" t="e" vm="1">
        <v>#VALUE!</v>
      </c>
      <c r="G568" s="58">
        <v>45985</v>
      </c>
      <c r="H568" s="57" t="e" vm="2">
        <v>#VALUE!</v>
      </c>
      <c r="I568" s="57"/>
      <c r="J568" s="57"/>
      <c r="K568" s="57"/>
      <c r="L568" s="4"/>
      <c r="M568" s="35"/>
    </row>
    <row r="569" spans="1:13" ht="15.9" customHeight="1" x14ac:dyDescent="0.3">
      <c r="A569" s="36">
        <v>566</v>
      </c>
      <c r="B569" s="57" t="str">
        <f>IF(Tabla1[[#This Row],[TRABAJADOR]]="", "", VLOOKUP(Tabla1[[#This Row],[TRABAJADOR]], 'Colaborador ID'!B:C, 2, FALSE))</f>
        <v>E2066</v>
      </c>
      <c r="C569" s="56" t="s">
        <v>3762</v>
      </c>
      <c r="D569" s="57" t="s">
        <v>5292</v>
      </c>
      <c r="E569" s="64" t="s">
        <v>16</v>
      </c>
      <c r="F569" s="49" t="e" vm="1">
        <v>#VALUE!</v>
      </c>
      <c r="G569" s="58">
        <v>46007</v>
      </c>
      <c r="H569" s="57" t="e" vm="2">
        <v>#VALUE!</v>
      </c>
      <c r="I569" s="57"/>
      <c r="J569" s="57"/>
      <c r="K569" s="57"/>
      <c r="L569" s="4"/>
      <c r="M569" s="35"/>
    </row>
    <row r="570" spans="1:13" ht="15.9" customHeight="1" x14ac:dyDescent="0.3">
      <c r="A570" s="36">
        <v>567</v>
      </c>
      <c r="B570" s="57" t="str">
        <f>IF(Tabla1[[#This Row],[TRABAJADOR]]="", "", VLOOKUP(Tabla1[[#This Row],[TRABAJADOR]], 'Colaborador ID'!B:C, 2, FALSE))</f>
        <v>E1999</v>
      </c>
      <c r="C570" s="56" t="s">
        <v>1104</v>
      </c>
      <c r="D570" s="57" t="s">
        <v>1105</v>
      </c>
      <c r="E570" s="64" t="s">
        <v>19</v>
      </c>
      <c r="F570" s="51" t="e" vm="1">
        <v>#VALUE!</v>
      </c>
      <c r="G570" s="58">
        <v>45959</v>
      </c>
      <c r="H570" s="57" t="e" vm="2">
        <v>#VALUE!</v>
      </c>
      <c r="I570" s="57"/>
      <c r="J570" s="57"/>
      <c r="K570" s="57"/>
      <c r="L570" s="4"/>
      <c r="M570" s="35"/>
    </row>
    <row r="571" spans="1:13" ht="15.9" customHeight="1" x14ac:dyDescent="0.3">
      <c r="A571" s="36">
        <v>568</v>
      </c>
      <c r="B571" s="57" t="str">
        <f>IF(Tabla1[[#This Row],[TRABAJADOR]]="", "", VLOOKUP(Tabla1[[#This Row],[TRABAJADOR]], 'Colaborador ID'!B:C, 2, FALSE))</f>
        <v>E1889</v>
      </c>
      <c r="C571" s="56" t="s">
        <v>1106</v>
      </c>
      <c r="D571" s="57" t="s">
        <v>1107</v>
      </c>
      <c r="E571" s="64" t="s">
        <v>16</v>
      </c>
      <c r="F571" s="51" t="e" vm="1">
        <v>#VALUE!</v>
      </c>
      <c r="G571" s="58">
        <v>45944</v>
      </c>
      <c r="H571" s="57" t="e" vm="2">
        <v>#VALUE!</v>
      </c>
      <c r="I571" s="57"/>
      <c r="J571" s="57"/>
      <c r="K571" s="57"/>
      <c r="L571" s="4"/>
      <c r="M571" s="35"/>
    </row>
    <row r="572" spans="1:13" ht="15.9" customHeight="1" x14ac:dyDescent="0.3">
      <c r="A572" s="36">
        <v>569</v>
      </c>
      <c r="B572" s="64" t="str">
        <f>IF(Tabla1[[#This Row],[TRABAJADOR]]="", "", VLOOKUP(Tabla1[[#This Row],[TRABAJADOR]], 'Colaborador ID'!B:C, 2, FALSE))</f>
        <v>E0307</v>
      </c>
      <c r="C572" s="63" t="s">
        <v>1108</v>
      </c>
      <c r="D572" s="64" t="s">
        <v>1109</v>
      </c>
      <c r="E572" s="64"/>
      <c r="F572" s="49" t="e" vm="1">
        <v>#VALUE!</v>
      </c>
      <c r="G572" s="58"/>
      <c r="H572" s="57" t="e" vm="2">
        <v>#VALUE!</v>
      </c>
      <c r="I572" s="64"/>
      <c r="J572" s="57"/>
      <c r="K572" s="57"/>
      <c r="L572" s="4"/>
      <c r="M572" s="35"/>
    </row>
    <row r="573" spans="1:13" ht="15.9" customHeight="1" x14ac:dyDescent="0.3">
      <c r="A573" s="36">
        <v>570</v>
      </c>
      <c r="B573" s="64" t="str">
        <f>IF(Tabla1[[#This Row],[TRABAJADOR]]="", "", VLOOKUP(Tabla1[[#This Row],[TRABAJADOR]], 'Colaborador ID'!B:C, 2, FALSE))</f>
        <v>E0681</v>
      </c>
      <c r="C573" s="63" t="s">
        <v>1110</v>
      </c>
      <c r="D573" s="64" t="s">
        <v>1111</v>
      </c>
      <c r="E573" s="64"/>
      <c r="F573" s="57" t="e" vm="1">
        <v>#VALUE!</v>
      </c>
      <c r="G573" s="58"/>
      <c r="H573" s="57" t="e" vm="2">
        <v>#VALUE!</v>
      </c>
      <c r="I573" s="64"/>
      <c r="J573" s="57"/>
      <c r="K573" s="57"/>
      <c r="L573" s="4"/>
      <c r="M573" s="35"/>
    </row>
    <row r="574" spans="1:13" ht="15.9" customHeight="1" x14ac:dyDescent="0.3">
      <c r="A574" s="36">
        <v>571</v>
      </c>
      <c r="B574" s="64" t="str">
        <f>IF(Tabla1[[#This Row],[TRABAJADOR]]="", "", VLOOKUP(Tabla1[[#This Row],[TRABAJADOR]], 'Colaborador ID'!B:C, 2, FALSE))</f>
        <v>E1299</v>
      </c>
      <c r="C574" s="63" t="s">
        <v>1112</v>
      </c>
      <c r="D574" s="64" t="s">
        <v>1113</v>
      </c>
      <c r="E574" s="64"/>
      <c r="F574" s="57" t="e" vm="1">
        <v>#VALUE!</v>
      </c>
      <c r="G574" s="58"/>
      <c r="H574" s="57" t="e" vm="2">
        <v>#VALUE!</v>
      </c>
      <c r="I574" s="64"/>
      <c r="J574" s="57"/>
      <c r="K574" s="57"/>
      <c r="L574" s="4"/>
      <c r="M574" s="35"/>
    </row>
    <row r="575" spans="1:13" ht="15.9" customHeight="1" x14ac:dyDescent="0.3">
      <c r="A575" s="36">
        <v>572</v>
      </c>
      <c r="B575" s="57" t="str">
        <f>IF(Tabla1[[#This Row],[TRABAJADOR]]="", "", VLOOKUP(Tabla1[[#This Row],[TRABAJADOR]], 'Colaborador ID'!B:C, 2, FALSE))</f>
        <v>E1805</v>
      </c>
      <c r="C575" s="56" t="s">
        <v>1114</v>
      </c>
      <c r="D575" s="57" t="s">
        <v>1115</v>
      </c>
      <c r="E575" s="64" t="s">
        <v>16</v>
      </c>
      <c r="F575" s="49" t="e" vm="1">
        <v>#VALUE!</v>
      </c>
      <c r="G575" s="58">
        <v>45933</v>
      </c>
      <c r="H575" s="57" t="e" vm="2">
        <v>#VALUE!</v>
      </c>
      <c r="I575" s="57"/>
      <c r="J575" s="57"/>
      <c r="K575" s="57"/>
      <c r="L575" s="4"/>
      <c r="M575" s="35"/>
    </row>
    <row r="576" spans="1:13" ht="15.9" customHeight="1" x14ac:dyDescent="0.3">
      <c r="A576" s="36">
        <v>573</v>
      </c>
      <c r="B576" s="64" t="str">
        <f>IF(Tabla1[[#This Row],[TRABAJADOR]]="", "", VLOOKUP(Tabla1[[#This Row],[TRABAJADOR]], 'Colaborador ID'!B:C, 2, FALSE))</f>
        <v>E1507</v>
      </c>
      <c r="C576" s="63" t="s">
        <v>1116</v>
      </c>
      <c r="D576" s="64" t="s">
        <v>1117</v>
      </c>
      <c r="E576" s="64" t="s">
        <v>16</v>
      </c>
      <c r="F576" s="51" t="e" vm="1">
        <v>#VALUE!</v>
      </c>
      <c r="G576" s="58"/>
      <c r="H576" s="57" t="e" vm="2">
        <v>#VALUE!</v>
      </c>
      <c r="I576" s="64" t="s">
        <v>22</v>
      </c>
      <c r="J576" s="57"/>
      <c r="K576" s="57"/>
      <c r="L576" s="4"/>
      <c r="M576" s="35"/>
    </row>
    <row r="577" spans="1:13" ht="15.9" customHeight="1" x14ac:dyDescent="0.3">
      <c r="A577" s="36">
        <v>574</v>
      </c>
      <c r="B577" s="57" t="str">
        <f>IF(Tabla1[[#This Row],[TRABAJADOR]]="", "", VLOOKUP(Tabla1[[#This Row],[TRABAJADOR]], 'Colaborador ID'!B:C, 2, FALSE))</f>
        <v>E2070</v>
      </c>
      <c r="C577" s="56" t="s">
        <v>3781</v>
      </c>
      <c r="D577" s="57" t="s">
        <v>5291</v>
      </c>
      <c r="E577" s="64" t="s">
        <v>13</v>
      </c>
      <c r="F577" s="51" t="e" vm="1">
        <v>#VALUE!</v>
      </c>
      <c r="G577" s="58">
        <v>46006</v>
      </c>
      <c r="H577" s="57" t="e" vm="2">
        <v>#VALUE!</v>
      </c>
      <c r="I577" s="57"/>
      <c r="J577" s="57"/>
      <c r="K577" s="57"/>
      <c r="L577" s="4"/>
      <c r="M577" s="35"/>
    </row>
    <row r="578" spans="1:13" ht="15.9" customHeight="1" x14ac:dyDescent="0.3">
      <c r="A578" s="36">
        <v>575</v>
      </c>
      <c r="B578" s="64" t="str">
        <f>IF(Tabla1[[#This Row],[TRABAJADOR]]="", "", VLOOKUP(Tabla1[[#This Row],[TRABAJADOR]], 'Colaborador ID'!B:C, 2, FALSE))</f>
        <v>E0300</v>
      </c>
      <c r="C578" s="63" t="s">
        <v>1118</v>
      </c>
      <c r="D578" s="64" t="s">
        <v>1119</v>
      </c>
      <c r="E578" s="64" t="s">
        <v>33</v>
      </c>
      <c r="F578" s="38" t="e" vm="1">
        <v>#VALUE!</v>
      </c>
      <c r="G578" s="58">
        <v>45771</v>
      </c>
      <c r="H578" s="57" t="e" vm="2">
        <v>#VALUE!</v>
      </c>
      <c r="I578" s="64"/>
      <c r="J578" s="57"/>
      <c r="K578" s="57"/>
      <c r="L578" s="4"/>
      <c r="M578" s="35"/>
    </row>
    <row r="579" spans="1:13" ht="15.9" customHeight="1" x14ac:dyDescent="0.35">
      <c r="A579" s="36">
        <v>576</v>
      </c>
      <c r="B579" s="64" t="str">
        <f>IF(Tabla1[[#This Row],[TRABAJADOR]]="", "", VLOOKUP(Tabla1[[#This Row],[TRABAJADOR]], 'Colaborador ID'!B:C, 2, FALSE))</f>
        <v>E0501</v>
      </c>
      <c r="C579" s="63" t="s">
        <v>1120</v>
      </c>
      <c r="D579" s="64" t="s">
        <v>1121</v>
      </c>
      <c r="E579" s="64" t="s">
        <v>13</v>
      </c>
      <c r="F579" s="37" t="e" vm="1">
        <v>#VALUE!</v>
      </c>
      <c r="G579" s="58"/>
      <c r="H579" s="57" t="e" vm="2">
        <v>#VALUE!</v>
      </c>
      <c r="I579" s="64"/>
      <c r="J579" s="57"/>
      <c r="K579" s="57"/>
      <c r="L579" s="4"/>
      <c r="M579" s="35"/>
    </row>
    <row r="580" spans="1:13" ht="15.9" customHeight="1" x14ac:dyDescent="0.3">
      <c r="A580" s="36">
        <v>577</v>
      </c>
      <c r="B580" s="64" t="str">
        <f>IF(Tabla1[[#This Row],[TRABAJADOR]]="", "", VLOOKUP(Tabla1[[#This Row],[TRABAJADOR]], 'Colaborador ID'!B:C, 2, FALSE))</f>
        <v>E0408</v>
      </c>
      <c r="C580" s="63" t="s">
        <v>1122</v>
      </c>
      <c r="D580" s="64" t="s">
        <v>1123</v>
      </c>
      <c r="E580" s="64" t="s">
        <v>16</v>
      </c>
      <c r="F580" s="38" t="e" vm="1">
        <v>#VALUE!</v>
      </c>
      <c r="G580" s="58">
        <v>45769</v>
      </c>
      <c r="H580" s="57" t="e" vm="2">
        <v>#VALUE!</v>
      </c>
      <c r="I580" s="64"/>
      <c r="J580" s="57"/>
      <c r="K580" s="57"/>
      <c r="L580" s="4"/>
      <c r="M580" s="35"/>
    </row>
    <row r="581" spans="1:13" ht="15.9" customHeight="1" x14ac:dyDescent="0.3">
      <c r="A581" s="36">
        <v>578</v>
      </c>
      <c r="B581" s="57" t="str">
        <f>IF(Tabla1[[#This Row],[TRABAJADOR]]="", "", VLOOKUP(Tabla1[[#This Row],[TRABAJADOR]], 'Colaborador ID'!B:C, 2, FALSE))</f>
        <v>E1958</v>
      </c>
      <c r="C581" s="56" t="s">
        <v>1124</v>
      </c>
      <c r="D581" s="57" t="s">
        <v>1125</v>
      </c>
      <c r="E581" s="64" t="s">
        <v>16</v>
      </c>
      <c r="F581" s="49" t="e" vm="1">
        <v>#VALUE!</v>
      </c>
      <c r="G581" s="58">
        <v>45947</v>
      </c>
      <c r="H581" s="57" t="e" vm="2">
        <v>#VALUE!</v>
      </c>
      <c r="I581" s="57" t="s">
        <v>22</v>
      </c>
      <c r="J581" s="57"/>
      <c r="K581" s="57"/>
      <c r="L581" s="4"/>
      <c r="M581" s="35"/>
    </row>
    <row r="582" spans="1:13" ht="15.9" customHeight="1" x14ac:dyDescent="0.3">
      <c r="A582" s="36">
        <v>579</v>
      </c>
      <c r="B582" s="64" t="str">
        <f>IF(Tabla1[[#This Row],[TRABAJADOR]]="", "", VLOOKUP(Tabla1[[#This Row],[TRABAJADOR]], 'Colaborador ID'!B:C, 2, FALSE))</f>
        <v>E1508</v>
      </c>
      <c r="C582" s="63" t="s">
        <v>1126</v>
      </c>
      <c r="D582" s="64" t="s">
        <v>1127</v>
      </c>
      <c r="E582" s="64" t="s">
        <v>16</v>
      </c>
      <c r="F582" s="57" t="e" vm="1">
        <v>#VALUE!</v>
      </c>
      <c r="G582" s="58"/>
      <c r="H582" s="57" t="e" vm="2">
        <v>#VALUE!</v>
      </c>
      <c r="I582" s="64" t="s">
        <v>22</v>
      </c>
      <c r="J582" s="57"/>
      <c r="K582" s="57"/>
      <c r="L582" s="4"/>
      <c r="M582" s="35"/>
    </row>
    <row r="583" spans="1:13" ht="15.9" customHeight="1" x14ac:dyDescent="0.3">
      <c r="A583" s="36">
        <v>580</v>
      </c>
      <c r="B583" s="64" t="e">
        <f>IF(Tabla1[[#This Row],[TRABAJADOR]]="", "", VLOOKUP(Tabla1[[#This Row],[TRABAJADOR]], 'Colaborador ID'!B:C, 2, FALSE))</f>
        <v>#N/A</v>
      </c>
      <c r="C583" s="63" t="s">
        <v>1128</v>
      </c>
      <c r="D583" s="64" t="s">
        <v>1129</v>
      </c>
      <c r="E583" s="64" t="s">
        <v>13</v>
      </c>
      <c r="F583" s="38" t="e" vm="1">
        <v>#VALUE!</v>
      </c>
      <c r="G583" s="58">
        <v>45769</v>
      </c>
      <c r="H583" s="57" t="e" vm="2">
        <v>#VALUE!</v>
      </c>
      <c r="I583" s="64"/>
      <c r="J583" s="57"/>
      <c r="K583" s="57"/>
      <c r="L583" s="4"/>
      <c r="M583" s="35"/>
    </row>
    <row r="584" spans="1:13" ht="15.9" customHeight="1" x14ac:dyDescent="0.3">
      <c r="A584" s="36">
        <v>581</v>
      </c>
      <c r="B584" s="64" t="str">
        <f>IF(Tabla1[[#This Row],[TRABAJADOR]]="", "", VLOOKUP(Tabla1[[#This Row],[TRABAJADOR]], 'Colaborador ID'!B:C, 2, FALSE))</f>
        <v>E1509</v>
      </c>
      <c r="C584" s="63" t="s">
        <v>1130</v>
      </c>
      <c r="D584" s="64" t="s">
        <v>1131</v>
      </c>
      <c r="E584" s="64" t="s">
        <v>33</v>
      </c>
      <c r="F584" s="49" t="e" vm="1">
        <v>#VALUE!</v>
      </c>
      <c r="G584" s="58"/>
      <c r="H584" s="57" t="e" vm="2">
        <v>#VALUE!</v>
      </c>
      <c r="I584" s="64" t="s">
        <v>22</v>
      </c>
      <c r="J584" s="57"/>
      <c r="K584" s="57"/>
      <c r="L584" s="4"/>
      <c r="M584" s="35"/>
    </row>
    <row r="585" spans="1:13" ht="15.9" customHeight="1" x14ac:dyDescent="0.3">
      <c r="A585" s="36">
        <v>582</v>
      </c>
      <c r="B585" s="57" t="str">
        <f>IF(Tabla1[[#This Row],[TRABAJADOR]]="", "", VLOOKUP(Tabla1[[#This Row],[TRABAJADOR]], 'Colaborador ID'!B:C, 2, FALSE))</f>
        <v>E1721</v>
      </c>
      <c r="C585" s="56" t="s">
        <v>1132</v>
      </c>
      <c r="D585" s="57" t="s">
        <v>1133</v>
      </c>
      <c r="E585" s="64" t="s">
        <v>16</v>
      </c>
      <c r="F585" s="51" t="e" vm="1">
        <v>#VALUE!</v>
      </c>
      <c r="G585" s="58">
        <v>45895</v>
      </c>
      <c r="H585" s="57" t="e" vm="2">
        <v>#VALUE!</v>
      </c>
      <c r="I585" s="57"/>
      <c r="J585" s="57"/>
      <c r="K585" s="57"/>
      <c r="L585" s="4"/>
      <c r="M585" s="35"/>
    </row>
    <row r="586" spans="1:13" ht="15.9" customHeight="1" x14ac:dyDescent="0.3">
      <c r="A586" s="36">
        <v>583</v>
      </c>
      <c r="B586" s="64" t="str">
        <f>IF(Tabla1[[#This Row],[TRABAJADOR]]="", "", VLOOKUP(Tabla1[[#This Row],[TRABAJADOR]], 'Colaborador ID'!B:C, 2, FALSE))</f>
        <v>E0871</v>
      </c>
      <c r="C586" s="63" t="s">
        <v>1134</v>
      </c>
      <c r="D586" s="64" t="s">
        <v>1135</v>
      </c>
      <c r="E586" s="64" t="s">
        <v>16</v>
      </c>
      <c r="F586" s="49" t="e" vm="1">
        <v>#VALUE!</v>
      </c>
      <c r="G586" s="58"/>
      <c r="H586" s="57" t="e" vm="2">
        <v>#VALUE!</v>
      </c>
      <c r="I586" s="64" t="s">
        <v>22</v>
      </c>
      <c r="J586" s="57"/>
      <c r="K586" s="57"/>
      <c r="L586" s="4"/>
      <c r="M586" s="35"/>
    </row>
    <row r="587" spans="1:13" ht="15.9" customHeight="1" x14ac:dyDescent="0.3">
      <c r="A587" s="36">
        <v>584</v>
      </c>
      <c r="B587" s="57" t="str">
        <f>IF(Tabla1[[#This Row],[TRABAJADOR]]="", "", VLOOKUP(Tabla1[[#This Row],[TRABAJADOR]], 'Colaborador ID'!B:C, 2, FALSE))</f>
        <v>E1879</v>
      </c>
      <c r="C587" s="56" t="s">
        <v>1136</v>
      </c>
      <c r="D587" s="57" t="s">
        <v>1137</v>
      </c>
      <c r="E587" s="64"/>
      <c r="F587" s="51" t="e" vm="1">
        <v>#VALUE!</v>
      </c>
      <c r="G587" s="58">
        <v>45946</v>
      </c>
      <c r="H587" s="57" t="e" vm="2">
        <v>#VALUE!</v>
      </c>
      <c r="I587" s="57" t="s">
        <v>22</v>
      </c>
      <c r="J587" s="57"/>
      <c r="K587" s="57"/>
      <c r="L587" s="4"/>
      <c r="M587" s="35"/>
    </row>
    <row r="588" spans="1:13" ht="15.9" customHeight="1" x14ac:dyDescent="0.3">
      <c r="A588" s="36">
        <v>585</v>
      </c>
      <c r="B588" s="64" t="str">
        <f>IF(Tabla1[[#This Row],[TRABAJADOR]]="", "", VLOOKUP(Tabla1[[#This Row],[TRABAJADOR]], 'Colaborador ID'!B:C, 2, FALSE))</f>
        <v>E0943</v>
      </c>
      <c r="C588" s="63" t="s">
        <v>1138</v>
      </c>
      <c r="D588" s="64" t="s">
        <v>1139</v>
      </c>
      <c r="E588" s="64" t="s">
        <v>13</v>
      </c>
      <c r="F588" s="38" t="e" vm="1">
        <v>#VALUE!</v>
      </c>
      <c r="G588" s="58">
        <v>45758</v>
      </c>
      <c r="H588" s="57" t="e" vm="2">
        <v>#VALUE!</v>
      </c>
      <c r="I588" s="64"/>
      <c r="J588" s="57"/>
      <c r="K588" s="57"/>
      <c r="L588" s="4"/>
      <c r="M588" s="35"/>
    </row>
    <row r="589" spans="1:13" ht="15.9" customHeight="1" x14ac:dyDescent="0.3">
      <c r="A589" s="36">
        <v>586</v>
      </c>
      <c r="B589" s="57" t="str">
        <f>IF(Tabla1[[#This Row],[TRABAJADOR]]="", "", VLOOKUP(Tabla1[[#This Row],[TRABAJADOR]], 'Colaborador ID'!B:C, 2, FALSE))</f>
        <v>E1892</v>
      </c>
      <c r="C589" s="56" t="s">
        <v>1140</v>
      </c>
      <c r="D589" s="57" t="s">
        <v>1141</v>
      </c>
      <c r="E589" s="64" t="s">
        <v>16</v>
      </c>
      <c r="F589" s="49" t="e" vm="1">
        <v>#VALUE!</v>
      </c>
      <c r="G589" s="58">
        <v>45944</v>
      </c>
      <c r="H589" s="57" t="e" vm="2">
        <v>#VALUE!</v>
      </c>
      <c r="I589" s="57" t="s">
        <v>22</v>
      </c>
      <c r="J589" s="57"/>
      <c r="K589" s="57"/>
      <c r="L589" s="4"/>
      <c r="M589" s="35"/>
    </row>
    <row r="590" spans="1:13" ht="15.9" customHeight="1" x14ac:dyDescent="0.3">
      <c r="A590" s="36">
        <v>587</v>
      </c>
      <c r="B590" s="64" t="str">
        <f>IF(Tabla1[[#This Row],[TRABAJADOR]]="", "", VLOOKUP(Tabla1[[#This Row],[TRABAJADOR]], 'Colaborador ID'!B:C, 2, FALSE))</f>
        <v>E0466</v>
      </c>
      <c r="C590" s="63" t="s">
        <v>1142</v>
      </c>
      <c r="D590" s="64" t="s">
        <v>5326</v>
      </c>
      <c r="E590" s="64" t="s">
        <v>19</v>
      </c>
      <c r="F590" s="32" t="e" vm="1">
        <v>#VALUE!</v>
      </c>
      <c r="G590" s="58">
        <v>46036</v>
      </c>
      <c r="H590" s="49" t="e" vm="2">
        <v>#VALUE!</v>
      </c>
      <c r="I590" s="64"/>
      <c r="J590" s="57"/>
      <c r="K590" s="57"/>
      <c r="L590" s="4"/>
      <c r="M590" s="35"/>
    </row>
    <row r="591" spans="1:13" ht="15.9" customHeight="1" x14ac:dyDescent="0.4">
      <c r="A591" s="36">
        <v>588</v>
      </c>
      <c r="B591" s="64" t="str">
        <f>IF(Tabla1[[#This Row],[TRABAJADOR]]="", "", VLOOKUP(Tabla1[[#This Row],[TRABAJADOR]], 'Colaborador ID'!B:C, 2, FALSE))</f>
        <v>E0042</v>
      </c>
      <c r="C591" s="63" t="s">
        <v>1143</v>
      </c>
      <c r="D591" s="64" t="s">
        <v>1144</v>
      </c>
      <c r="E591" s="64" t="s">
        <v>13</v>
      </c>
      <c r="F591" s="38" t="e" vm="1">
        <v>#VALUE!</v>
      </c>
      <c r="G591" s="58">
        <v>45826</v>
      </c>
      <c r="H591" s="83" t="e" vm="2">
        <v>#VALUE!</v>
      </c>
      <c r="I591" s="64"/>
      <c r="J591" s="57"/>
      <c r="K591" s="57"/>
      <c r="L591" s="4"/>
      <c r="M591" s="35"/>
    </row>
    <row r="592" spans="1:13" ht="15.9" customHeight="1" x14ac:dyDescent="0.3">
      <c r="A592" s="36">
        <v>589</v>
      </c>
      <c r="B592" s="64" t="str">
        <f>IF(Tabla1[[#This Row],[TRABAJADOR]]="", "", VLOOKUP(Tabla1[[#This Row],[TRABAJADOR]], 'Colaborador ID'!B:C, 2, FALSE))</f>
        <v>E1510</v>
      </c>
      <c r="C592" s="63" t="s">
        <v>1145</v>
      </c>
      <c r="D592" s="64" t="s">
        <v>1146</v>
      </c>
      <c r="E592" s="64" t="s">
        <v>16</v>
      </c>
      <c r="F592" s="51" t="e" vm="1">
        <v>#VALUE!</v>
      </c>
      <c r="G592" s="58">
        <v>45894</v>
      </c>
      <c r="H592" s="49" t="e" vm="2">
        <v>#VALUE!</v>
      </c>
      <c r="I592" s="64" t="s">
        <v>22</v>
      </c>
      <c r="J592" s="57"/>
      <c r="K592" s="57"/>
      <c r="L592" s="4"/>
      <c r="M592" s="35"/>
    </row>
    <row r="593" spans="1:13" ht="15.9" customHeight="1" x14ac:dyDescent="0.3">
      <c r="A593" s="36">
        <v>590</v>
      </c>
      <c r="B593" s="57" t="str">
        <f>IF(Tabla1[[#This Row],[TRABAJADOR]]="", "", VLOOKUP(Tabla1[[#This Row],[TRABAJADOR]], 'Colaborador ID'!B:C, 2, FALSE))</f>
        <v>E1803</v>
      </c>
      <c r="C593" s="56" t="s">
        <v>1147</v>
      </c>
      <c r="D593" s="57" t="s">
        <v>1148</v>
      </c>
      <c r="E593" s="64" t="s">
        <v>16</v>
      </c>
      <c r="F593" s="51" t="e" vm="1">
        <v>#VALUE!</v>
      </c>
      <c r="G593" s="58">
        <v>45917</v>
      </c>
      <c r="H593" s="57" t="e" vm="2">
        <v>#VALUE!</v>
      </c>
      <c r="I593" s="57"/>
      <c r="J593" s="57"/>
      <c r="K593" s="57"/>
      <c r="L593" s="4"/>
      <c r="M593" s="35"/>
    </row>
    <row r="594" spans="1:13" ht="15.9" customHeight="1" x14ac:dyDescent="0.3">
      <c r="A594" s="36">
        <v>591</v>
      </c>
      <c r="B594" s="64" t="str">
        <f>IF(Tabla1[[#This Row],[TRABAJADOR]]="", "", VLOOKUP(Tabla1[[#This Row],[TRABAJADOR]], 'Colaborador ID'!B:C, 2, FALSE))</f>
        <v>E1617</v>
      </c>
      <c r="C594" s="63" t="s">
        <v>1149</v>
      </c>
      <c r="D594" s="64" t="s">
        <v>1150</v>
      </c>
      <c r="E594" s="64" t="s">
        <v>19</v>
      </c>
      <c r="F594" s="49" t="e" vm="1">
        <v>#VALUE!</v>
      </c>
      <c r="G594" s="58">
        <v>45891</v>
      </c>
      <c r="H594" s="49" t="e" vm="2">
        <v>#VALUE!</v>
      </c>
      <c r="I594" s="64" t="s">
        <v>22</v>
      </c>
      <c r="J594" s="57"/>
      <c r="K594" s="57"/>
      <c r="L594" s="4"/>
      <c r="M594" s="35"/>
    </row>
    <row r="595" spans="1:13" ht="15.9" customHeight="1" x14ac:dyDescent="0.3">
      <c r="A595" s="36">
        <v>592</v>
      </c>
      <c r="B595" s="64" t="str">
        <f>IF(Tabla1[[#This Row],[TRABAJADOR]]="", "", VLOOKUP(Tabla1[[#This Row],[TRABAJADOR]], 'Colaborador ID'!B:C, 2, FALSE))</f>
        <v>E0022</v>
      </c>
      <c r="C595" s="63" t="s">
        <v>1151</v>
      </c>
      <c r="D595" s="64" t="s">
        <v>1152</v>
      </c>
      <c r="E595" s="64" t="s">
        <v>16</v>
      </c>
      <c r="F595" s="32" t="e" vm="1">
        <v>#VALUE!</v>
      </c>
      <c r="G595" s="58">
        <v>45769</v>
      </c>
      <c r="H595" s="6" t="e" vm="2">
        <v>#VALUE!</v>
      </c>
      <c r="I595" s="64"/>
      <c r="J595" s="57"/>
      <c r="K595" s="57"/>
      <c r="L595" s="4"/>
      <c r="M595" s="35"/>
    </row>
    <row r="596" spans="1:13" ht="15.9" customHeight="1" x14ac:dyDescent="0.3">
      <c r="A596" s="36">
        <v>593</v>
      </c>
      <c r="B596" s="64" t="str">
        <f>IF(Tabla1[[#This Row],[TRABAJADOR]]="", "", VLOOKUP(Tabla1[[#This Row],[TRABAJADOR]], 'Colaborador ID'!B:C, 2, FALSE))</f>
        <v>E0724</v>
      </c>
      <c r="C596" s="63" t="s">
        <v>1153</v>
      </c>
      <c r="D596" s="64" t="s">
        <v>1154</v>
      </c>
      <c r="E596" s="64"/>
      <c r="F596" s="57" t="e" vm="1">
        <v>#VALUE!</v>
      </c>
      <c r="G596" s="58"/>
      <c r="H596" s="57" t="e" vm="2">
        <v>#VALUE!</v>
      </c>
      <c r="I596" s="64"/>
      <c r="J596" s="57"/>
      <c r="K596" s="57"/>
      <c r="L596" s="4"/>
      <c r="M596" s="35"/>
    </row>
    <row r="597" spans="1:13" ht="15.9" customHeight="1" x14ac:dyDescent="0.3">
      <c r="A597" s="36">
        <v>594</v>
      </c>
      <c r="B597" s="64" t="str">
        <f>IF(Tabla1[[#This Row],[TRABAJADOR]]="", "", VLOOKUP(Tabla1[[#This Row],[TRABAJADOR]], 'Colaborador ID'!B:C, 2, FALSE))</f>
        <v>E1618</v>
      </c>
      <c r="C597" s="63" t="s">
        <v>1155</v>
      </c>
      <c r="D597" s="64" t="s">
        <v>1156</v>
      </c>
      <c r="E597" s="64" t="s">
        <v>16</v>
      </c>
      <c r="F597" s="49" t="e" vm="1">
        <v>#VALUE!</v>
      </c>
      <c r="G597" s="58"/>
      <c r="H597" s="57" t="e" vm="2">
        <v>#VALUE!</v>
      </c>
      <c r="I597" s="64" t="s">
        <v>22</v>
      </c>
      <c r="J597" s="57"/>
      <c r="K597" s="57"/>
      <c r="L597" s="4"/>
      <c r="M597" s="35"/>
    </row>
    <row r="598" spans="1:13" ht="15.9" customHeight="1" x14ac:dyDescent="0.35">
      <c r="A598" s="36">
        <v>595</v>
      </c>
      <c r="B598" s="64" t="str">
        <f>IF(Tabla1[[#This Row],[TRABAJADOR]]="", "", VLOOKUP(Tabla1[[#This Row],[TRABAJADOR]], 'Colaborador ID'!B:C, 2, FALSE))</f>
        <v>E0365</v>
      </c>
      <c r="C598" s="63" t="s">
        <v>1157</v>
      </c>
      <c r="D598" s="64" t="s">
        <v>1158</v>
      </c>
      <c r="E598" s="64" t="s">
        <v>13</v>
      </c>
      <c r="F598" s="37" t="e" vm="1">
        <v>#VALUE!</v>
      </c>
      <c r="G598" s="58"/>
      <c r="H598" s="57" t="e" vm="2">
        <v>#VALUE!</v>
      </c>
      <c r="I598" s="64"/>
      <c r="J598" s="57"/>
      <c r="K598" s="57"/>
      <c r="L598" s="4"/>
      <c r="M598" s="35"/>
    </row>
    <row r="599" spans="1:13" ht="15.9" customHeight="1" x14ac:dyDescent="0.3">
      <c r="A599" s="36">
        <v>596</v>
      </c>
      <c r="B599" s="64" t="str">
        <f>IF(Tabla1[[#This Row],[TRABAJADOR]]="", "", VLOOKUP(Tabla1[[#This Row],[TRABAJADOR]], 'Colaborador ID'!B:C, 2, FALSE))</f>
        <v>E1511</v>
      </c>
      <c r="C599" s="63" t="s">
        <v>1159</v>
      </c>
      <c r="D599" s="64" t="s">
        <v>1160</v>
      </c>
      <c r="E599" s="64" t="s">
        <v>104</v>
      </c>
      <c r="F599" s="49" t="e" vm="1">
        <v>#VALUE!</v>
      </c>
      <c r="G599" s="58"/>
      <c r="H599" s="57" t="e" vm="2">
        <v>#VALUE!</v>
      </c>
      <c r="I599" s="64" t="s">
        <v>22</v>
      </c>
      <c r="J599" s="57"/>
      <c r="K599" s="57"/>
      <c r="L599" s="4"/>
      <c r="M599" s="35"/>
    </row>
    <row r="600" spans="1:13" ht="15.9" customHeight="1" x14ac:dyDescent="0.35">
      <c r="A600" s="36">
        <v>597</v>
      </c>
      <c r="B600" s="64" t="str">
        <f>IF(Tabla1[[#This Row],[TRABAJADOR]]="", "", VLOOKUP(Tabla1[[#This Row],[TRABAJADOR]], 'Colaborador ID'!B:C, 2, FALSE))</f>
        <v>E0866</v>
      </c>
      <c r="C600" s="63" t="s">
        <v>1161</v>
      </c>
      <c r="D600" s="64" t="s">
        <v>1162</v>
      </c>
      <c r="E600" s="64" t="s">
        <v>45</v>
      </c>
      <c r="F600" s="41" t="e" vm="1">
        <v>#VALUE!</v>
      </c>
      <c r="G600" s="58"/>
      <c r="H600" s="57" t="e" vm="2">
        <v>#VALUE!</v>
      </c>
      <c r="I600" s="64"/>
      <c r="J600" s="57"/>
      <c r="K600" s="57"/>
      <c r="L600" s="4"/>
      <c r="M600" s="35"/>
    </row>
    <row r="601" spans="1:13" ht="15.9" customHeight="1" x14ac:dyDescent="0.3">
      <c r="A601" s="36">
        <v>598</v>
      </c>
      <c r="B601" s="64" t="str">
        <f>IF(Tabla1[[#This Row],[TRABAJADOR]]="", "", VLOOKUP(Tabla1[[#This Row],[TRABAJADOR]], 'Colaborador ID'!B:C, 2, FALSE))</f>
        <v>E0728</v>
      </c>
      <c r="C601" s="63" t="s">
        <v>1163</v>
      </c>
      <c r="D601" s="64" t="s">
        <v>1164</v>
      </c>
      <c r="E601" s="64" t="s">
        <v>33</v>
      </c>
      <c r="F601" s="49" t="e" vm="1">
        <v>#VALUE!</v>
      </c>
      <c r="G601" s="58"/>
      <c r="H601" s="57" t="e" vm="2">
        <v>#VALUE!</v>
      </c>
      <c r="I601" s="64"/>
      <c r="J601" s="57"/>
      <c r="K601" s="57"/>
      <c r="L601" s="4"/>
      <c r="M601" s="35"/>
    </row>
    <row r="602" spans="1:13" ht="15.9" customHeight="1" x14ac:dyDescent="0.3">
      <c r="A602" s="36">
        <v>599</v>
      </c>
      <c r="B602" s="64" t="str">
        <f>IF(Tabla1[[#This Row],[TRABAJADOR]]="", "", VLOOKUP(Tabla1[[#This Row],[TRABAJADOR]], 'Colaborador ID'!B:C, 2, FALSE))</f>
        <v>E1246</v>
      </c>
      <c r="C602" s="63" t="s">
        <v>1165</v>
      </c>
      <c r="D602" s="64" t="s">
        <v>1166</v>
      </c>
      <c r="E602" s="64" t="s">
        <v>83</v>
      </c>
      <c r="F602" s="38" t="e" vm="1">
        <v>#VALUE!</v>
      </c>
      <c r="G602" s="58">
        <v>45761</v>
      </c>
      <c r="H602" s="57" t="e" vm="2">
        <v>#VALUE!</v>
      </c>
      <c r="I602" s="64"/>
      <c r="J602" s="57"/>
      <c r="K602" s="57"/>
      <c r="L602" s="4"/>
      <c r="M602" s="35"/>
    </row>
    <row r="603" spans="1:13" ht="15.9" customHeight="1" x14ac:dyDescent="0.3">
      <c r="A603" s="36">
        <v>600</v>
      </c>
      <c r="B603" s="64" t="str">
        <f>IF(Tabla1[[#This Row],[TRABAJADOR]]="", "", VLOOKUP(Tabla1[[#This Row],[TRABAJADOR]], 'Colaborador ID'!B:C, 2, FALSE))</f>
        <v>E0193</v>
      </c>
      <c r="C603" s="63" t="s">
        <v>1167</v>
      </c>
      <c r="D603" s="64" t="s">
        <v>1168</v>
      </c>
      <c r="E603" s="64" t="s">
        <v>19</v>
      </c>
      <c r="F603" s="32" t="e" vm="1">
        <v>#VALUE!</v>
      </c>
      <c r="G603" s="58">
        <v>45835</v>
      </c>
      <c r="H603" s="40" t="e" vm="2">
        <v>#VALUE!</v>
      </c>
      <c r="I603" s="64"/>
      <c r="J603" s="57"/>
      <c r="K603" s="57"/>
      <c r="L603" s="4"/>
      <c r="M603" s="35"/>
    </row>
    <row r="604" spans="1:13" ht="15.9" customHeight="1" x14ac:dyDescent="0.3">
      <c r="A604" s="36">
        <v>601</v>
      </c>
      <c r="B604" s="57" t="str">
        <f>IF(Tabla1[[#This Row],[TRABAJADOR]]="", "", VLOOKUP(Tabla1[[#This Row],[TRABAJADOR]], 'Colaborador ID'!B:C, 2, FALSE))</f>
        <v>E1992</v>
      </c>
      <c r="C604" s="56" t="s">
        <v>1169</v>
      </c>
      <c r="D604" s="57" t="s">
        <v>1170</v>
      </c>
      <c r="E604" s="64" t="s">
        <v>16</v>
      </c>
      <c r="F604" s="49" t="e" vm="1">
        <v>#VALUE!</v>
      </c>
      <c r="G604" s="58">
        <v>45972</v>
      </c>
      <c r="H604" s="57" t="e" vm="2">
        <v>#VALUE!</v>
      </c>
      <c r="I604" s="57" t="s">
        <v>22</v>
      </c>
      <c r="J604" s="57"/>
      <c r="K604" s="57"/>
      <c r="L604" s="4"/>
      <c r="M604" s="35"/>
    </row>
    <row r="605" spans="1:13" ht="15.9" customHeight="1" x14ac:dyDescent="0.3">
      <c r="A605" s="36">
        <v>602</v>
      </c>
      <c r="B605" s="64" t="str">
        <f>IF(Tabla1[[#This Row],[TRABAJADOR]]="", "", VLOOKUP(Tabla1[[#This Row],[TRABAJADOR]], 'Colaborador ID'!B:C, 2, FALSE))</f>
        <v>E0567</v>
      </c>
      <c r="C605" s="63" t="s">
        <v>1171</v>
      </c>
      <c r="D605" s="64" t="s">
        <v>1172</v>
      </c>
      <c r="E605" s="64" t="s">
        <v>33</v>
      </c>
      <c r="F605" s="38" t="e" vm="1">
        <v>#VALUE!</v>
      </c>
      <c r="G605" s="58">
        <v>45775</v>
      </c>
      <c r="H605" s="57" t="e" vm="2">
        <v>#VALUE!</v>
      </c>
      <c r="I605" s="64"/>
      <c r="J605" s="57"/>
      <c r="K605" s="57"/>
      <c r="L605" s="4"/>
      <c r="M605" s="35"/>
    </row>
    <row r="606" spans="1:13" ht="15.9" customHeight="1" x14ac:dyDescent="0.3">
      <c r="A606" s="36">
        <v>603</v>
      </c>
      <c r="B606" s="64" t="str">
        <f>IF(Tabla1[[#This Row],[TRABAJADOR]]="", "", VLOOKUP(Tabla1[[#This Row],[TRABAJADOR]], 'Colaborador ID'!B:C, 2, FALSE))</f>
        <v>E0238</v>
      </c>
      <c r="C606" s="63" t="s">
        <v>1173</v>
      </c>
      <c r="D606" s="64" t="s">
        <v>1174</v>
      </c>
      <c r="E606" s="64" t="s">
        <v>16</v>
      </c>
      <c r="F606" s="38" t="e" vm="1">
        <v>#VALUE!</v>
      </c>
      <c r="G606" s="58">
        <v>45818</v>
      </c>
      <c r="H606" s="57" t="e" vm="2">
        <v>#VALUE!</v>
      </c>
      <c r="I606" s="64"/>
      <c r="J606" s="57"/>
      <c r="K606" s="57"/>
      <c r="L606" s="4"/>
      <c r="M606" s="35"/>
    </row>
    <row r="607" spans="1:13" ht="15.9" customHeight="1" x14ac:dyDescent="0.3">
      <c r="A607" s="36">
        <v>604</v>
      </c>
      <c r="B607" s="57" t="str">
        <f>IF(Tabla1[[#This Row],[TRABAJADOR]]="", "", VLOOKUP(Tabla1[[#This Row],[TRABAJADOR]], 'Colaborador ID'!B:C, 2, FALSE))</f>
        <v>E2028</v>
      </c>
      <c r="C607" s="56" t="s">
        <v>5298</v>
      </c>
      <c r="D607" s="57" t="s">
        <v>5313</v>
      </c>
      <c r="E607" s="64" t="s">
        <v>16</v>
      </c>
      <c r="F607" s="49" t="e" vm="1">
        <v>#VALUE!</v>
      </c>
      <c r="G607" s="58">
        <v>46029</v>
      </c>
      <c r="H607" s="49" t="e" vm="2">
        <v>#VALUE!</v>
      </c>
      <c r="I607" s="57"/>
      <c r="J607" s="57"/>
      <c r="K607" s="57"/>
      <c r="L607" s="4"/>
      <c r="M607" s="35"/>
    </row>
    <row r="608" spans="1:13" ht="15.9" customHeight="1" x14ac:dyDescent="0.3">
      <c r="A608" s="36">
        <v>605</v>
      </c>
      <c r="B608" s="64" t="str">
        <f>IF(Tabla1[[#This Row],[TRABAJADOR]]="", "", VLOOKUP(Tabla1[[#This Row],[TRABAJADOR]], 'Colaborador ID'!B:C, 2, FALSE))</f>
        <v>E0068</v>
      </c>
      <c r="C608" s="63" t="s">
        <v>1175</v>
      </c>
      <c r="D608" s="64" t="s">
        <v>1176</v>
      </c>
      <c r="E608" s="64"/>
      <c r="F608" s="57" t="e" vm="1">
        <v>#VALUE!</v>
      </c>
      <c r="G608" s="58"/>
      <c r="H608" s="57" t="e" vm="2">
        <v>#VALUE!</v>
      </c>
      <c r="I608" s="64"/>
      <c r="J608" s="57"/>
      <c r="K608" s="57"/>
      <c r="L608" s="4"/>
      <c r="M608" s="35"/>
    </row>
    <row r="609" spans="1:13" ht="15.9" customHeight="1" x14ac:dyDescent="0.3">
      <c r="A609" s="36">
        <v>606</v>
      </c>
      <c r="B609" s="64" t="str">
        <f>IF(Tabla1[[#This Row],[TRABAJADOR]]="", "", VLOOKUP(Tabla1[[#This Row],[TRABAJADOR]], 'Colaborador ID'!B:C, 2, FALSE))</f>
        <v>E0893</v>
      </c>
      <c r="C609" s="63" t="s">
        <v>1177</v>
      </c>
      <c r="D609" s="64" t="s">
        <v>1178</v>
      </c>
      <c r="E609" s="64"/>
      <c r="F609" s="57" t="e" vm="1">
        <v>#VALUE!</v>
      </c>
      <c r="G609" s="58"/>
      <c r="H609" s="57" t="e" vm="2">
        <v>#VALUE!</v>
      </c>
      <c r="I609" s="64"/>
      <c r="J609" s="57"/>
      <c r="K609" s="57"/>
      <c r="L609" s="4"/>
      <c r="M609" s="35"/>
    </row>
    <row r="610" spans="1:13" ht="15.9" customHeight="1" x14ac:dyDescent="0.3">
      <c r="A610" s="36">
        <v>607</v>
      </c>
      <c r="B610" s="64" t="str">
        <f>IF(Tabla1[[#This Row],[TRABAJADOR]]="", "", VLOOKUP(Tabla1[[#This Row],[TRABAJADOR]], 'Colaborador ID'!B:C, 2, FALSE))</f>
        <v>E0872</v>
      </c>
      <c r="C610" s="63" t="s">
        <v>1179</v>
      </c>
      <c r="D610" s="64" t="s">
        <v>1180</v>
      </c>
      <c r="E610" s="64" t="s">
        <v>16</v>
      </c>
      <c r="F610" s="32" t="e" vm="1">
        <v>#VALUE!</v>
      </c>
      <c r="G610" s="58">
        <v>45784</v>
      </c>
      <c r="H610" s="6" t="e" vm="2">
        <v>#VALUE!</v>
      </c>
      <c r="I610" s="64"/>
      <c r="J610" s="57"/>
      <c r="K610" s="57"/>
      <c r="L610" s="4"/>
      <c r="M610" s="35"/>
    </row>
    <row r="611" spans="1:13" ht="15.9" customHeight="1" x14ac:dyDescent="0.3">
      <c r="A611" s="36">
        <v>608</v>
      </c>
      <c r="B611" s="64" t="str">
        <f>IF(Tabla1[[#This Row],[TRABAJADOR]]="", "", VLOOKUP(Tabla1[[#This Row],[TRABAJADOR]], 'Colaborador ID'!B:C, 2, FALSE))</f>
        <v>E0276</v>
      </c>
      <c r="C611" s="63" t="s">
        <v>1181</v>
      </c>
      <c r="D611" s="64" t="s">
        <v>1182</v>
      </c>
      <c r="E611" s="64" t="s">
        <v>33</v>
      </c>
      <c r="F611" s="49" t="e" vm="1">
        <v>#VALUE!</v>
      </c>
      <c r="G611" s="58"/>
      <c r="H611" s="6" t="e" vm="2">
        <v>#VALUE!</v>
      </c>
      <c r="I611" s="64"/>
      <c r="J611" s="57"/>
      <c r="K611" s="57"/>
      <c r="L611" s="4"/>
      <c r="M611" s="35"/>
    </row>
    <row r="612" spans="1:13" ht="15.9" customHeight="1" x14ac:dyDescent="0.3">
      <c r="A612" s="36">
        <v>609</v>
      </c>
      <c r="B612" s="64" t="str">
        <f>IF(Tabla1[[#This Row],[TRABAJADOR]]="", "", VLOOKUP(Tabla1[[#This Row],[TRABAJADOR]], 'Colaborador ID'!B:C, 2, FALSE))</f>
        <v>E0053</v>
      </c>
      <c r="C612" s="63" t="s">
        <v>1183</v>
      </c>
      <c r="D612" s="64" t="s">
        <v>1184</v>
      </c>
      <c r="E612" s="64" t="s">
        <v>16</v>
      </c>
      <c r="F612" s="49" t="e" vm="1">
        <v>#VALUE!</v>
      </c>
      <c r="G612" s="58"/>
      <c r="H612" s="57" t="e" vm="2">
        <v>#VALUE!</v>
      </c>
      <c r="I612" s="64"/>
      <c r="J612" s="57"/>
      <c r="K612" s="57"/>
      <c r="L612" s="4"/>
      <c r="M612" s="35"/>
    </row>
    <row r="613" spans="1:13" ht="15.9" customHeight="1" x14ac:dyDescent="0.3">
      <c r="A613" s="36">
        <v>610</v>
      </c>
      <c r="B613" s="64" t="str">
        <f>IF(Tabla1[[#This Row],[TRABAJADOR]]="", "", VLOOKUP(Tabla1[[#This Row],[TRABAJADOR]], 'Colaborador ID'!B:C, 2, FALSE))</f>
        <v>E0033</v>
      </c>
      <c r="C613" s="63" t="s">
        <v>1185</v>
      </c>
      <c r="D613" s="64" t="s">
        <v>1186</v>
      </c>
      <c r="E613" s="64" t="s">
        <v>16</v>
      </c>
      <c r="F613" s="38" t="e" vm="1">
        <v>#VALUE!</v>
      </c>
      <c r="G613" s="58">
        <v>45784</v>
      </c>
      <c r="H613" s="57" t="e" vm="2">
        <v>#VALUE!</v>
      </c>
      <c r="I613" s="64"/>
      <c r="J613" s="57"/>
      <c r="K613" s="57"/>
      <c r="L613" s="4"/>
      <c r="M613" s="35"/>
    </row>
    <row r="614" spans="1:13" ht="15.9" customHeight="1" x14ac:dyDescent="0.3">
      <c r="A614" s="36">
        <v>611</v>
      </c>
      <c r="B614" s="64" t="str">
        <f>IF(Tabla1[[#This Row],[TRABAJADOR]]="", "", VLOOKUP(Tabla1[[#This Row],[TRABAJADOR]], 'Colaborador ID'!B:C, 2, FALSE))</f>
        <v>E0891</v>
      </c>
      <c r="C614" s="63" t="s">
        <v>1187</v>
      </c>
      <c r="D614" s="64" t="s">
        <v>1188</v>
      </c>
      <c r="E614" s="64" t="s">
        <v>33</v>
      </c>
      <c r="F614" s="49" t="e" vm="1">
        <v>#VALUE!</v>
      </c>
      <c r="G614" s="58"/>
      <c r="H614" s="57" t="e" vm="2">
        <v>#VALUE!</v>
      </c>
      <c r="I614" s="64" t="s">
        <v>22</v>
      </c>
      <c r="J614" s="57"/>
      <c r="K614" s="57"/>
      <c r="L614" s="4"/>
      <c r="M614" s="35"/>
    </row>
    <row r="615" spans="1:13" ht="15.9" customHeight="1" x14ac:dyDescent="0.3">
      <c r="A615" s="36">
        <v>612</v>
      </c>
      <c r="B615" s="64" t="str">
        <f>IF(Tabla1[[#This Row],[TRABAJADOR]]="", "", VLOOKUP(Tabla1[[#This Row],[TRABAJADOR]], 'Colaborador ID'!B:C, 2, FALSE))</f>
        <v>E0130</v>
      </c>
      <c r="C615" s="63" t="s">
        <v>1189</v>
      </c>
      <c r="D615" s="64" t="s">
        <v>1190</v>
      </c>
      <c r="E615" s="64" t="s">
        <v>16</v>
      </c>
      <c r="F615" s="38" t="e" vm="1">
        <v>#VALUE!</v>
      </c>
      <c r="G615" s="58">
        <v>45772</v>
      </c>
      <c r="H615" s="57" t="e" vm="2">
        <v>#VALUE!</v>
      </c>
      <c r="I615" s="64"/>
      <c r="J615" s="57"/>
      <c r="K615" s="57"/>
      <c r="L615" s="4"/>
      <c r="M615" s="35"/>
    </row>
    <row r="616" spans="1:13" ht="15.9" customHeight="1" x14ac:dyDescent="0.3">
      <c r="A616" s="36">
        <v>613</v>
      </c>
      <c r="B616" s="57" t="str">
        <f>IF(Tabla1[[#This Row],[TRABAJADOR]]="", "", VLOOKUP(Tabla1[[#This Row],[TRABAJADOR]], 'Colaborador ID'!B:C, 2, FALSE))</f>
        <v>E1967</v>
      </c>
      <c r="C616" s="56" t="s">
        <v>1191</v>
      </c>
      <c r="D616" s="57" t="s">
        <v>1192</v>
      </c>
      <c r="E616" s="64" t="s">
        <v>1193</v>
      </c>
      <c r="F616" s="76" t="e" vm="1">
        <v>#VALUE!</v>
      </c>
      <c r="G616" s="58">
        <v>45988</v>
      </c>
      <c r="H616" s="49" t="e" vm="2">
        <v>#VALUE!</v>
      </c>
      <c r="I616" s="57"/>
      <c r="J616" s="57"/>
      <c r="K616" s="57"/>
      <c r="L616" s="4"/>
      <c r="M616" s="35"/>
    </row>
    <row r="617" spans="1:13" ht="15.9" customHeight="1" x14ac:dyDescent="0.3">
      <c r="A617" s="36">
        <v>614</v>
      </c>
      <c r="B617" s="64" t="str">
        <f>IF(Tabla1[[#This Row],[TRABAJADOR]]="", "", VLOOKUP(Tabla1[[#This Row],[TRABAJADOR]], 'Colaborador ID'!B:C, 2, FALSE))</f>
        <v>E0255</v>
      </c>
      <c r="C617" s="63" t="s">
        <v>1194</v>
      </c>
      <c r="D617" s="64" t="s">
        <v>1195</v>
      </c>
      <c r="E617" s="64" t="s">
        <v>16</v>
      </c>
      <c r="F617" s="49" t="e" vm="1">
        <v>#VALUE!</v>
      </c>
      <c r="G617" s="58"/>
      <c r="H617" s="57" t="e" vm="2">
        <v>#VALUE!</v>
      </c>
      <c r="I617" s="64"/>
      <c r="J617" s="57"/>
      <c r="K617" s="57"/>
      <c r="L617" s="4"/>
      <c r="M617" s="35"/>
    </row>
    <row r="618" spans="1:13" ht="15.9" customHeight="1" x14ac:dyDescent="0.3">
      <c r="A618" s="36">
        <v>615</v>
      </c>
      <c r="B618" s="64" t="str">
        <f>IF(Tabla1[[#This Row],[TRABAJADOR]]="", "", VLOOKUP(Tabla1[[#This Row],[TRABAJADOR]], 'Colaborador ID'!B:C, 2, FALSE))</f>
        <v>E1200</v>
      </c>
      <c r="C618" s="63" t="s">
        <v>1196</v>
      </c>
      <c r="D618" s="64" t="s">
        <v>1197</v>
      </c>
      <c r="E618" s="64" t="s">
        <v>19</v>
      </c>
      <c r="F618" s="49" t="e" vm="1">
        <v>#VALUE!</v>
      </c>
      <c r="G618" s="58"/>
      <c r="H618" s="57" t="e" vm="2">
        <v>#VALUE!</v>
      </c>
      <c r="I618" s="64"/>
      <c r="J618" s="57"/>
      <c r="K618" s="57"/>
      <c r="L618" s="4"/>
      <c r="M618" s="35"/>
    </row>
    <row r="619" spans="1:13" ht="15.9" customHeight="1" x14ac:dyDescent="0.3">
      <c r="A619" s="36">
        <v>616</v>
      </c>
      <c r="B619" s="64" t="str">
        <f>IF(Tabla1[[#This Row],[TRABAJADOR]]="", "", VLOOKUP(Tabla1[[#This Row],[TRABAJADOR]], 'Colaborador ID'!B:C, 2, FALSE))</f>
        <v>E0895</v>
      </c>
      <c r="C619" s="63" t="s">
        <v>1198</v>
      </c>
      <c r="D619" s="64" t="s">
        <v>1199</v>
      </c>
      <c r="E619" s="64" t="s">
        <v>16</v>
      </c>
      <c r="F619" s="49" t="e" vm="1">
        <v>#VALUE!</v>
      </c>
      <c r="G619" s="58"/>
      <c r="H619" s="57" t="e" vm="2">
        <v>#VALUE!</v>
      </c>
      <c r="I619" s="64"/>
      <c r="J619" s="57"/>
      <c r="K619" s="57"/>
      <c r="L619" s="4"/>
      <c r="M619" s="35"/>
    </row>
    <row r="620" spans="1:13" ht="15.9" customHeight="1" x14ac:dyDescent="0.3">
      <c r="A620" s="36">
        <v>617</v>
      </c>
      <c r="B620" s="64" t="str">
        <f>IF(Tabla1[[#This Row],[TRABAJADOR]]="", "", VLOOKUP(Tabla1[[#This Row],[TRABAJADOR]], 'Colaborador ID'!B:C, 2, FALSE))</f>
        <v>E0112</v>
      </c>
      <c r="C620" s="63" t="s">
        <v>1200</v>
      </c>
      <c r="D620" s="64" t="s">
        <v>5515</v>
      </c>
      <c r="E620" s="64" t="s">
        <v>271</v>
      </c>
      <c r="F620" s="49" t="e" vm="1">
        <v>#VALUE!</v>
      </c>
      <c r="G620" s="58">
        <v>46092</v>
      </c>
      <c r="H620" s="49" t="e" vm="2">
        <v>#VALUE!</v>
      </c>
      <c r="I620" s="64"/>
      <c r="J620" s="57"/>
      <c r="K620" s="57"/>
      <c r="L620" s="4"/>
      <c r="M620" s="35"/>
    </row>
    <row r="621" spans="1:13" ht="15.9" customHeight="1" x14ac:dyDescent="0.3">
      <c r="A621" s="36">
        <v>618</v>
      </c>
      <c r="B621" s="64" t="str">
        <f>IF(Tabla1[[#This Row],[TRABAJADOR]]="", "", VLOOKUP(Tabla1[[#This Row],[TRABAJADOR]], 'Colaborador ID'!B:C, 2, FALSE))</f>
        <v>E0346</v>
      </c>
      <c r="C621" s="63" t="s">
        <v>1201</v>
      </c>
      <c r="D621" s="64" t="s">
        <v>1202</v>
      </c>
      <c r="E621" s="64"/>
      <c r="F621" s="57" t="e" vm="1">
        <v>#VALUE!</v>
      </c>
      <c r="G621" s="58"/>
      <c r="H621" s="57" t="e" vm="2">
        <v>#VALUE!</v>
      </c>
      <c r="I621" s="64"/>
      <c r="J621" s="57"/>
      <c r="K621" s="57"/>
      <c r="L621" s="4"/>
      <c r="M621" s="35"/>
    </row>
    <row r="622" spans="1:13" ht="15.9" customHeight="1" x14ac:dyDescent="0.3">
      <c r="A622" s="36">
        <v>619</v>
      </c>
      <c r="B622" s="64" t="str">
        <f>IF(Tabla1[[#This Row],[TRABAJADOR]]="", "", VLOOKUP(Tabla1[[#This Row],[TRABAJADOR]], 'Colaborador ID'!B:C, 2, FALSE))</f>
        <v>E0311</v>
      </c>
      <c r="C622" s="63" t="s">
        <v>1203</v>
      </c>
      <c r="D622" s="64" t="s">
        <v>1204</v>
      </c>
      <c r="E622" s="64"/>
      <c r="F622" s="57" t="e" vm="1">
        <v>#VALUE!</v>
      </c>
      <c r="G622" s="58"/>
      <c r="H622" s="57" t="e" vm="2">
        <v>#VALUE!</v>
      </c>
      <c r="I622" s="64"/>
      <c r="J622" s="57"/>
      <c r="K622" s="57"/>
      <c r="L622" s="4"/>
      <c r="M622" s="35"/>
    </row>
    <row r="623" spans="1:13" ht="15.9" customHeight="1" x14ac:dyDescent="0.3">
      <c r="A623" s="36">
        <v>620</v>
      </c>
      <c r="B623" s="64" t="str">
        <f>IF(Tabla1[[#This Row],[TRABAJADOR]]="", "", VLOOKUP(Tabla1[[#This Row],[TRABAJADOR]], 'Colaborador ID'!B:C, 2, FALSE))</f>
        <v>E1414</v>
      </c>
      <c r="C623" s="63" t="s">
        <v>1205</v>
      </c>
      <c r="D623" s="64" t="s">
        <v>1206</v>
      </c>
      <c r="E623" s="64" t="s">
        <v>13</v>
      </c>
      <c r="F623" s="38" t="e" vm="1">
        <v>#VALUE!</v>
      </c>
      <c r="G623" s="58">
        <v>45849</v>
      </c>
      <c r="H623" s="40" t="e" vm="2">
        <v>#VALUE!</v>
      </c>
      <c r="I623" s="64"/>
      <c r="J623" s="57"/>
      <c r="K623" s="57"/>
      <c r="L623" s="4"/>
      <c r="M623" s="35"/>
    </row>
    <row r="624" spans="1:13" ht="15.9" customHeight="1" x14ac:dyDescent="0.35">
      <c r="A624" s="36">
        <v>621</v>
      </c>
      <c r="B624" s="64" t="str">
        <f>IF(Tabla1[[#This Row],[TRABAJADOR]]="", "", VLOOKUP(Tabla1[[#This Row],[TRABAJADOR]], 'Colaborador ID'!B:C, 2, FALSE))</f>
        <v>E0587</v>
      </c>
      <c r="C624" s="63" t="s">
        <v>1207</v>
      </c>
      <c r="D624" s="64" t="s">
        <v>1208</v>
      </c>
      <c r="E624" s="64" t="s">
        <v>13</v>
      </c>
      <c r="F624" s="37" t="e" vm="1">
        <v>#VALUE!</v>
      </c>
      <c r="G624" s="58"/>
      <c r="H624" s="57" t="e" vm="2">
        <v>#VALUE!</v>
      </c>
      <c r="I624" s="64"/>
      <c r="J624" s="57"/>
      <c r="K624" s="57"/>
      <c r="L624" s="4"/>
      <c r="M624" s="35"/>
    </row>
    <row r="625" spans="1:13" ht="15.9" customHeight="1" x14ac:dyDescent="0.3">
      <c r="A625" s="36">
        <v>622</v>
      </c>
      <c r="B625" s="64" t="e">
        <f>IF(Tabla1[[#This Row],[TRABAJADOR]]="", "", VLOOKUP(Tabla1[[#This Row],[TRABAJADOR]], 'Colaborador ID'!B:C, 2, FALSE))</f>
        <v>#N/A</v>
      </c>
      <c r="C625" s="63" t="s">
        <v>1209</v>
      </c>
      <c r="D625" s="64" t="s">
        <v>1210</v>
      </c>
      <c r="E625" s="64"/>
      <c r="F625" s="49" t="e" vm="1">
        <v>#VALUE!</v>
      </c>
      <c r="G625" s="58"/>
      <c r="H625" s="57" t="e" vm="2">
        <v>#VALUE!</v>
      </c>
      <c r="I625" s="64"/>
      <c r="J625" s="57"/>
      <c r="K625" s="57"/>
      <c r="L625" s="4"/>
      <c r="M625" s="35"/>
    </row>
    <row r="626" spans="1:13" ht="15.9" customHeight="1" x14ac:dyDescent="0.3">
      <c r="A626" s="36">
        <v>623</v>
      </c>
      <c r="B626" s="64" t="str">
        <f>IF(Tabla1[[#This Row],[TRABAJADOR]]="", "", VLOOKUP(Tabla1[[#This Row],[TRABAJADOR]], 'Colaborador ID'!B:C, 2, FALSE))</f>
        <v>E0419</v>
      </c>
      <c r="C626" s="63" t="s">
        <v>1211</v>
      </c>
      <c r="D626" s="64" t="s">
        <v>1212</v>
      </c>
      <c r="E626" s="64"/>
      <c r="F626" s="57" t="e" vm="1">
        <v>#VALUE!</v>
      </c>
      <c r="G626" s="58"/>
      <c r="H626" s="57" t="e" vm="2">
        <v>#VALUE!</v>
      </c>
      <c r="I626" s="64"/>
      <c r="J626" s="57"/>
      <c r="K626" s="57"/>
      <c r="L626" s="4"/>
      <c r="M626" s="35"/>
    </row>
    <row r="627" spans="1:13" ht="15.9" customHeight="1" x14ac:dyDescent="0.3">
      <c r="A627" s="36">
        <v>624</v>
      </c>
      <c r="B627" s="64" t="str">
        <f>IF(Tabla1[[#This Row],[TRABAJADOR]]="", "", VLOOKUP(Tabla1[[#This Row],[TRABAJADOR]], 'Colaborador ID'!B:C, 2, FALSE))</f>
        <v>E0470</v>
      </c>
      <c r="C627" s="63" t="s">
        <v>1213</v>
      </c>
      <c r="D627" s="64" t="s">
        <v>1214</v>
      </c>
      <c r="E627" s="64" t="s">
        <v>33</v>
      </c>
      <c r="F627" s="38" t="e" vm="1">
        <v>#VALUE!</v>
      </c>
      <c r="G627" s="58">
        <v>45777</v>
      </c>
      <c r="H627" s="40" t="e" vm="2">
        <v>#VALUE!</v>
      </c>
      <c r="I627" s="64"/>
      <c r="J627" s="57"/>
      <c r="K627" s="57"/>
      <c r="L627" s="4"/>
      <c r="M627" s="35"/>
    </row>
    <row r="628" spans="1:13" ht="15.9" customHeight="1" x14ac:dyDescent="0.35">
      <c r="A628" s="36">
        <v>625</v>
      </c>
      <c r="B628" s="64" t="str">
        <f>IF(Tabla1[[#This Row],[TRABAJADOR]]="", "", VLOOKUP(Tabla1[[#This Row],[TRABAJADOR]], 'Colaborador ID'!B:C, 2, FALSE))</f>
        <v>E0203</v>
      </c>
      <c r="C628" s="63" t="s">
        <v>1215</v>
      </c>
      <c r="D628" s="64" t="s">
        <v>1216</v>
      </c>
      <c r="E628" s="64" t="s">
        <v>13</v>
      </c>
      <c r="F628" s="37" t="e" vm="1">
        <v>#VALUE!</v>
      </c>
      <c r="G628" s="58">
        <v>45720</v>
      </c>
      <c r="H628" s="57" t="e" vm="2">
        <v>#VALUE!</v>
      </c>
      <c r="I628" s="64"/>
      <c r="J628" s="57"/>
      <c r="K628" s="57"/>
      <c r="L628" s="4"/>
      <c r="M628" s="35"/>
    </row>
    <row r="629" spans="1:13" ht="15.9" customHeight="1" x14ac:dyDescent="0.3">
      <c r="A629" s="36">
        <v>626</v>
      </c>
      <c r="B629" s="57" t="str">
        <f>IF(Tabla1[[#This Row],[TRABAJADOR]]="", "", VLOOKUP(Tabla1[[#This Row],[TRABAJADOR]], 'Colaborador ID'!B:C, 2, FALSE))</f>
        <v>E1975</v>
      </c>
      <c r="C629" s="56" t="s">
        <v>5331</v>
      </c>
      <c r="D629" s="57" t="s">
        <v>1217</v>
      </c>
      <c r="E629" s="64" t="s">
        <v>16</v>
      </c>
      <c r="F629" s="49" t="e" vm="1">
        <v>#VALUE!</v>
      </c>
      <c r="G629" s="58">
        <v>45966</v>
      </c>
      <c r="H629" s="57" t="e" vm="2">
        <v>#VALUE!</v>
      </c>
      <c r="I629" s="57" t="s">
        <v>22</v>
      </c>
      <c r="J629" s="57"/>
      <c r="K629" s="57"/>
      <c r="L629" s="4"/>
      <c r="M629" s="35"/>
    </row>
    <row r="630" spans="1:13" ht="15.9" customHeight="1" x14ac:dyDescent="0.3">
      <c r="A630" s="36">
        <v>627</v>
      </c>
      <c r="B630" s="64" t="str">
        <f>IF(Tabla1[[#This Row],[TRABAJADOR]]="", "", VLOOKUP(Tabla1[[#This Row],[TRABAJADOR]], 'Colaborador ID'!B:C, 2, FALSE))</f>
        <v>E0122</v>
      </c>
      <c r="C630" s="63" t="s">
        <v>1218</v>
      </c>
      <c r="D630" s="64" t="s">
        <v>1219</v>
      </c>
      <c r="E630" s="64"/>
      <c r="F630" s="57" t="e" vm="1">
        <v>#VALUE!</v>
      </c>
      <c r="G630" s="58"/>
      <c r="H630" s="57" t="e" vm="2">
        <v>#VALUE!</v>
      </c>
      <c r="I630" s="64"/>
      <c r="J630" s="57"/>
      <c r="K630" s="57"/>
      <c r="L630" s="4"/>
      <c r="M630" s="35"/>
    </row>
    <row r="631" spans="1:13" ht="15.9" customHeight="1" x14ac:dyDescent="0.35">
      <c r="A631" s="36">
        <v>628</v>
      </c>
      <c r="B631" s="64" t="str">
        <f>IF(Tabla1[[#This Row],[TRABAJADOR]]="", "", VLOOKUP(Tabla1[[#This Row],[TRABAJADOR]], 'Colaborador ID'!B:C, 2, FALSE))</f>
        <v>E0064</v>
      </c>
      <c r="C631" s="63" t="s">
        <v>1220</v>
      </c>
      <c r="D631" s="64" t="s">
        <v>1221</v>
      </c>
      <c r="E631" s="64" t="s">
        <v>16</v>
      </c>
      <c r="F631" s="37" t="e" vm="1">
        <v>#VALUE!</v>
      </c>
      <c r="G631" s="58"/>
      <c r="H631" s="57" t="e" vm="2">
        <v>#VALUE!</v>
      </c>
      <c r="I631" s="64"/>
      <c r="J631" s="57"/>
      <c r="K631" s="57"/>
      <c r="L631" s="4"/>
      <c r="M631" s="35"/>
    </row>
    <row r="632" spans="1:13" ht="15.9" customHeight="1" x14ac:dyDescent="0.3">
      <c r="A632" s="36">
        <v>629</v>
      </c>
      <c r="B632" s="64" t="str">
        <f>IF(Tabla1[[#This Row],[TRABAJADOR]]="", "", VLOOKUP(Tabla1[[#This Row],[TRABAJADOR]], 'Colaborador ID'!B:C, 2, FALSE))</f>
        <v>E0802</v>
      </c>
      <c r="C632" s="63" t="s">
        <v>1222</v>
      </c>
      <c r="D632" s="64" t="s">
        <v>1223</v>
      </c>
      <c r="E632" s="64" t="s">
        <v>19</v>
      </c>
      <c r="F632" s="49" t="e" vm="1">
        <v>#VALUE!</v>
      </c>
      <c r="G632" s="58"/>
      <c r="H632" s="57" t="e" vm="2">
        <v>#VALUE!</v>
      </c>
      <c r="I632" s="64" t="s">
        <v>22</v>
      </c>
      <c r="J632" s="57"/>
      <c r="K632" s="57"/>
      <c r="L632" s="4"/>
      <c r="M632" s="35"/>
    </row>
    <row r="633" spans="1:13" ht="15.9" customHeight="1" x14ac:dyDescent="0.35">
      <c r="A633" s="36">
        <v>630</v>
      </c>
      <c r="B633" s="64" t="str">
        <f>IF(Tabla1[[#This Row],[TRABAJADOR]]="", "", VLOOKUP(Tabla1[[#This Row],[TRABAJADOR]], 'Colaborador ID'!B:C, 2, FALSE))</f>
        <v>E1187</v>
      </c>
      <c r="C633" s="63" t="s">
        <v>1224</v>
      </c>
      <c r="D633" s="64" t="s">
        <v>1225</v>
      </c>
      <c r="E633" s="64" t="s">
        <v>16</v>
      </c>
      <c r="F633" s="37" t="e" vm="1">
        <v>#VALUE!</v>
      </c>
      <c r="G633" s="58"/>
      <c r="H633" s="57" t="e" vm="2">
        <v>#VALUE!</v>
      </c>
      <c r="I633" s="64"/>
      <c r="J633" s="57"/>
      <c r="K633" s="57"/>
      <c r="L633" s="4"/>
      <c r="M633" s="35"/>
    </row>
    <row r="634" spans="1:13" ht="15.9" customHeight="1" x14ac:dyDescent="0.3">
      <c r="A634" s="36">
        <v>631</v>
      </c>
      <c r="B634" s="57" t="str">
        <f>IF(Tabla1[[#This Row],[TRABAJADOR]]="", "", VLOOKUP(Tabla1[[#This Row],[TRABAJADOR]], 'Colaborador ID'!B:C, 2, FALSE))</f>
        <v>E1709</v>
      </c>
      <c r="C634" s="56" t="s">
        <v>1226</v>
      </c>
      <c r="D634" s="57" t="s">
        <v>1227</v>
      </c>
      <c r="E634" s="57" t="s">
        <v>19</v>
      </c>
      <c r="F634" s="49" t="e" vm="1">
        <v>#VALUE!</v>
      </c>
      <c r="G634" s="58">
        <v>45890</v>
      </c>
      <c r="H634" s="57" t="e" vm="2">
        <v>#VALUE!</v>
      </c>
      <c r="I634" s="57"/>
      <c r="J634" s="57"/>
      <c r="K634" s="57"/>
      <c r="L634" s="4"/>
      <c r="M634" s="35"/>
    </row>
    <row r="635" spans="1:13" ht="15.9" customHeight="1" x14ac:dyDescent="0.3">
      <c r="A635" s="36">
        <v>632</v>
      </c>
      <c r="B635" s="57" t="str">
        <f>IF(Tabla1[[#This Row],[TRABAJADOR]]="", "", VLOOKUP(Tabla1[[#This Row],[TRABAJADOR]], 'Colaborador ID'!B:C, 2, FALSE))</f>
        <v>E1927</v>
      </c>
      <c r="C635" s="56" t="s">
        <v>1228</v>
      </c>
      <c r="D635" s="57" t="s">
        <v>1229</v>
      </c>
      <c r="E635" s="64" t="s">
        <v>13</v>
      </c>
      <c r="F635" s="49" t="e" vm="1">
        <v>#VALUE!</v>
      </c>
      <c r="G635" s="58">
        <v>45961</v>
      </c>
      <c r="H635" s="57" t="e" vm="2">
        <v>#VALUE!</v>
      </c>
      <c r="I635" s="64" t="s">
        <v>22</v>
      </c>
      <c r="J635" s="57"/>
      <c r="K635" s="57"/>
      <c r="L635" s="4"/>
      <c r="M635" s="35"/>
    </row>
    <row r="636" spans="1:13" ht="15.9" customHeight="1" x14ac:dyDescent="0.3">
      <c r="A636" s="36">
        <v>633</v>
      </c>
      <c r="B636" s="64" t="str">
        <f>IF(Tabla1[[#This Row],[TRABAJADOR]]="", "", VLOOKUP(Tabla1[[#This Row],[TRABAJADOR]], 'Colaborador ID'!B:C, 2, FALSE))</f>
        <v>E0056</v>
      </c>
      <c r="C636" s="63" t="s">
        <v>1230</v>
      </c>
      <c r="D636" s="64" t="s">
        <v>1231</v>
      </c>
      <c r="E636" s="64"/>
      <c r="F636" s="49" t="e" vm="1">
        <v>#VALUE!</v>
      </c>
      <c r="G636" s="58"/>
      <c r="H636" s="57" t="e" vm="2">
        <v>#VALUE!</v>
      </c>
      <c r="I636" s="64"/>
      <c r="J636" s="57"/>
      <c r="K636" s="57"/>
      <c r="L636" s="4"/>
      <c r="M636" s="35"/>
    </row>
    <row r="637" spans="1:13" ht="15.9" customHeight="1" x14ac:dyDescent="0.3">
      <c r="A637" s="36">
        <v>634</v>
      </c>
      <c r="B637" s="64" t="str">
        <f>IF(Tabla1[[#This Row],[TRABAJADOR]]="", "", VLOOKUP(Tabla1[[#This Row],[TRABAJADOR]], 'Colaborador ID'!B:C, 2, FALSE))</f>
        <v>E1070</v>
      </c>
      <c r="C637" s="63" t="s">
        <v>1232</v>
      </c>
      <c r="D637" s="64" t="s">
        <v>1233</v>
      </c>
      <c r="E637" s="64" t="s">
        <v>13</v>
      </c>
      <c r="F637" s="49" t="e" vm="1">
        <v>#VALUE!</v>
      </c>
      <c r="G637" s="58"/>
      <c r="H637" s="57" t="e" vm="2">
        <v>#VALUE!</v>
      </c>
      <c r="I637" s="64" t="s">
        <v>22</v>
      </c>
      <c r="J637" s="57"/>
      <c r="K637" s="57"/>
      <c r="L637" s="4"/>
      <c r="M637" s="35"/>
    </row>
    <row r="638" spans="1:13" ht="15.9" customHeight="1" x14ac:dyDescent="0.3">
      <c r="A638" s="36">
        <v>635</v>
      </c>
      <c r="B638" s="64" t="str">
        <f>IF(Tabla1[[#This Row],[TRABAJADOR]]="", "", VLOOKUP(Tabla1[[#This Row],[TRABAJADOR]], 'Colaborador ID'!B:C, 2, FALSE))</f>
        <v>E1113</v>
      </c>
      <c r="C638" s="63" t="s">
        <v>1234</v>
      </c>
      <c r="D638" s="64" t="s">
        <v>1235</v>
      </c>
      <c r="E638" s="64" t="s">
        <v>16</v>
      </c>
      <c r="F638" s="57" t="e" vm="1">
        <v>#VALUE!</v>
      </c>
      <c r="G638" s="58"/>
      <c r="H638" s="49" t="e" vm="2">
        <v>#VALUE!</v>
      </c>
      <c r="I638" s="64"/>
      <c r="J638" s="57"/>
      <c r="K638" s="57"/>
      <c r="L638" s="4"/>
      <c r="M638" s="35"/>
    </row>
    <row r="639" spans="1:13" ht="15.9" customHeight="1" x14ac:dyDescent="0.3">
      <c r="A639" s="36">
        <v>636</v>
      </c>
      <c r="B639" s="64" t="str">
        <f>IF(Tabla1[[#This Row],[TRABAJADOR]]="", "", VLOOKUP(Tabla1[[#This Row],[TRABAJADOR]], 'Colaborador ID'!B:C, 2, FALSE))</f>
        <v>E1307</v>
      </c>
      <c r="C639" s="63" t="s">
        <v>1236</v>
      </c>
      <c r="D639" s="64" t="s">
        <v>1237</v>
      </c>
      <c r="E639" s="64"/>
      <c r="F639" s="57" t="e" vm="1">
        <v>#VALUE!</v>
      </c>
      <c r="G639" s="58"/>
      <c r="H639" s="57" t="e" vm="2">
        <v>#VALUE!</v>
      </c>
      <c r="I639" s="64"/>
      <c r="J639" s="57"/>
      <c r="K639" s="57"/>
      <c r="L639" s="4"/>
      <c r="M639" s="35"/>
    </row>
    <row r="640" spans="1:13" ht="15.9" customHeight="1" x14ac:dyDescent="0.3">
      <c r="A640" s="36">
        <v>637</v>
      </c>
      <c r="B640" s="57" t="str">
        <f>IF(Tabla1[[#This Row],[TRABAJADOR]]="", "", VLOOKUP(Tabla1[[#This Row],[TRABAJADOR]], 'Colaborador ID'!B:C, 2, FALSE))</f>
        <v>E1701</v>
      </c>
      <c r="C640" s="56" t="s">
        <v>1238</v>
      </c>
      <c r="D640" s="57" t="s">
        <v>1239</v>
      </c>
      <c r="E640" s="64"/>
      <c r="F640" s="49" t="e" vm="1">
        <v>#VALUE!</v>
      </c>
      <c r="G640" s="58">
        <v>45894</v>
      </c>
      <c r="H640" s="57" t="e" vm="2">
        <v>#VALUE!</v>
      </c>
      <c r="I640" s="57"/>
      <c r="J640" s="57"/>
      <c r="K640" s="57"/>
      <c r="L640" s="4"/>
      <c r="M640" s="35"/>
    </row>
    <row r="641" spans="1:13" ht="15.9" customHeight="1" x14ac:dyDescent="0.3">
      <c r="A641" s="36">
        <v>638</v>
      </c>
      <c r="B641" s="64" t="str">
        <f>IF(Tabla1[[#This Row],[TRABAJADOR]]="", "", VLOOKUP(Tabla1[[#This Row],[TRABAJADOR]], 'Colaborador ID'!B:C, 2, FALSE))</f>
        <v>E0385</v>
      </c>
      <c r="C641" s="63" t="s">
        <v>1240</v>
      </c>
      <c r="D641" s="64" t="s">
        <v>1241</v>
      </c>
      <c r="E641" s="64"/>
      <c r="F641" s="57" t="e" vm="1">
        <v>#VALUE!</v>
      </c>
      <c r="G641" s="58"/>
      <c r="H641" s="57" t="e" vm="2">
        <v>#VALUE!</v>
      </c>
      <c r="I641" s="64"/>
      <c r="J641" s="57"/>
      <c r="K641" s="57"/>
      <c r="L641" s="4"/>
      <c r="M641" s="35"/>
    </row>
    <row r="642" spans="1:13" ht="15.9" customHeight="1" x14ac:dyDescent="0.3">
      <c r="A642" s="36">
        <v>639</v>
      </c>
      <c r="B642" s="64" t="str">
        <f>IF(Tabla1[[#This Row],[TRABAJADOR]]="", "", VLOOKUP(Tabla1[[#This Row],[TRABAJADOR]], 'Colaborador ID'!B:C, 2, FALSE))</f>
        <v>E0054</v>
      </c>
      <c r="C642" s="63" t="s">
        <v>1242</v>
      </c>
      <c r="D642" s="64" t="s">
        <v>1243</v>
      </c>
      <c r="E642" s="64"/>
      <c r="F642" s="57" t="e" vm="1">
        <v>#VALUE!</v>
      </c>
      <c r="G642" s="58"/>
      <c r="H642" s="57" t="e" vm="2">
        <v>#VALUE!</v>
      </c>
      <c r="I642" s="64"/>
      <c r="J642" s="57"/>
      <c r="K642" s="57"/>
      <c r="L642" s="4"/>
      <c r="M642" s="35"/>
    </row>
    <row r="643" spans="1:13" ht="15.9" customHeight="1" x14ac:dyDescent="0.3">
      <c r="A643" s="36">
        <v>640</v>
      </c>
      <c r="B643" s="64" t="str">
        <f>IF(Tabla1[[#This Row],[TRABAJADOR]]="", "", VLOOKUP(Tabla1[[#This Row],[TRABAJADOR]], 'Colaborador ID'!B:C, 2, FALSE))</f>
        <v>E0280</v>
      </c>
      <c r="C643" s="63" t="s">
        <v>1244</v>
      </c>
      <c r="D643" s="64" t="s">
        <v>1245</v>
      </c>
      <c r="E643" s="64" t="s">
        <v>19</v>
      </c>
      <c r="F643" s="38" t="e" vm="1">
        <v>#VALUE!</v>
      </c>
      <c r="G643" s="58">
        <v>45841</v>
      </c>
      <c r="H643" s="40" t="e" vm="2">
        <v>#VALUE!</v>
      </c>
      <c r="I643" s="64"/>
      <c r="J643" s="57"/>
      <c r="K643" s="57"/>
      <c r="L643" s="4"/>
      <c r="M643" s="35"/>
    </row>
    <row r="644" spans="1:13" ht="15.9" customHeight="1" x14ac:dyDescent="0.3">
      <c r="A644" s="36">
        <v>641</v>
      </c>
      <c r="B644" s="64" t="str">
        <f>IF(Tabla1[[#This Row],[TRABAJADOR]]="", "", VLOOKUP(Tabla1[[#This Row],[TRABAJADOR]], 'Colaborador ID'!B:C, 2, FALSE))</f>
        <v>E0611</v>
      </c>
      <c r="C644" s="63" t="s">
        <v>1246</v>
      </c>
      <c r="D644" s="64" t="s">
        <v>1247</v>
      </c>
      <c r="E644" s="64"/>
      <c r="F644" s="57" t="e" vm="1">
        <v>#VALUE!</v>
      </c>
      <c r="G644" s="58"/>
      <c r="H644" s="57" t="e" vm="2">
        <v>#VALUE!</v>
      </c>
      <c r="I644" s="64"/>
      <c r="J644" s="57"/>
      <c r="K644" s="57"/>
      <c r="L644" s="4"/>
      <c r="M644" s="35"/>
    </row>
    <row r="645" spans="1:13" ht="15.9" customHeight="1" x14ac:dyDescent="0.3">
      <c r="A645" s="36">
        <v>642</v>
      </c>
      <c r="B645" s="64" t="str">
        <f>IF(Tabla1[[#This Row],[TRABAJADOR]]="", "", VLOOKUP(Tabla1[[#This Row],[TRABAJADOR]], 'Colaborador ID'!B:C, 2, FALSE))</f>
        <v>E0384</v>
      </c>
      <c r="C645" s="63" t="s">
        <v>1248</v>
      </c>
      <c r="D645" s="64" t="s">
        <v>1249</v>
      </c>
      <c r="E645" s="64"/>
      <c r="F645" s="57" t="e" vm="1">
        <v>#VALUE!</v>
      </c>
      <c r="G645" s="58"/>
      <c r="H645" s="57" t="e" vm="2">
        <v>#VALUE!</v>
      </c>
      <c r="I645" s="64"/>
      <c r="J645" s="57"/>
      <c r="K645" s="57"/>
      <c r="L645" s="4"/>
      <c r="M645" s="35"/>
    </row>
    <row r="646" spans="1:13" ht="15.9" customHeight="1" x14ac:dyDescent="0.3">
      <c r="A646" s="36">
        <v>643</v>
      </c>
      <c r="B646" s="64" t="str">
        <f>IF(Tabla1[[#This Row],[TRABAJADOR]]="", "", VLOOKUP(Tabla1[[#This Row],[TRABAJADOR]], 'Colaborador ID'!B:C, 2, FALSE))</f>
        <v>E0705</v>
      </c>
      <c r="C646" s="63" t="s">
        <v>1250</v>
      </c>
      <c r="D646" s="64" t="s">
        <v>1251</v>
      </c>
      <c r="E646" s="64"/>
      <c r="F646" s="57" t="e" vm="1">
        <v>#VALUE!</v>
      </c>
      <c r="G646" s="58"/>
      <c r="H646" s="57" t="e" vm="2">
        <v>#VALUE!</v>
      </c>
      <c r="I646" s="64"/>
      <c r="J646" s="57"/>
      <c r="K646" s="57"/>
      <c r="L646" s="4"/>
      <c r="M646" s="35"/>
    </row>
    <row r="647" spans="1:13" ht="15.9" customHeight="1" x14ac:dyDescent="0.3">
      <c r="A647" s="36">
        <v>644</v>
      </c>
      <c r="B647" s="64" t="str">
        <f>IF(Tabla1[[#This Row],[TRABAJADOR]]="", "", VLOOKUP(Tabla1[[#This Row],[TRABAJADOR]], 'Colaborador ID'!B:C, 2, FALSE))</f>
        <v>E0673</v>
      </c>
      <c r="C647" s="63" t="s">
        <v>1252</v>
      </c>
      <c r="D647" s="64" t="s">
        <v>1253</v>
      </c>
      <c r="E647" s="64"/>
      <c r="F647" s="57" t="e" vm="1">
        <v>#VALUE!</v>
      </c>
      <c r="G647" s="58"/>
      <c r="H647" s="57" t="e" vm="2">
        <v>#VALUE!</v>
      </c>
      <c r="I647" s="64"/>
      <c r="J647" s="57"/>
      <c r="K647" s="57"/>
      <c r="L647" s="4"/>
      <c r="M647" s="35"/>
    </row>
    <row r="648" spans="1:13" ht="15.9" customHeight="1" x14ac:dyDescent="0.3">
      <c r="A648" s="36">
        <v>645</v>
      </c>
      <c r="B648" s="64" t="str">
        <f>IF(Tabla1[[#This Row],[TRABAJADOR]]="", "", VLOOKUP(Tabla1[[#This Row],[TRABAJADOR]], 'Colaborador ID'!B:C, 2, FALSE))</f>
        <v>E1512</v>
      </c>
      <c r="C648" s="63" t="s">
        <v>1254</v>
      </c>
      <c r="D648" s="64" t="s">
        <v>1255</v>
      </c>
      <c r="E648" s="64" t="s">
        <v>16</v>
      </c>
      <c r="F648" s="49" t="e" vm="1">
        <v>#VALUE!</v>
      </c>
      <c r="G648" s="58">
        <v>45880</v>
      </c>
      <c r="H648" s="57" t="e" vm="2">
        <v>#VALUE!</v>
      </c>
      <c r="I648" s="64"/>
      <c r="J648" s="57"/>
      <c r="K648" s="57"/>
      <c r="L648" s="4"/>
      <c r="M648" s="35"/>
    </row>
    <row r="649" spans="1:13" ht="15.9" customHeight="1" x14ac:dyDescent="0.3">
      <c r="A649" s="36">
        <v>646</v>
      </c>
      <c r="B649" s="64" t="str">
        <f>IF(Tabla1[[#This Row],[TRABAJADOR]]="", "", VLOOKUP(Tabla1[[#This Row],[TRABAJADOR]], 'Colaborador ID'!B:C, 2, FALSE))</f>
        <v>E0318</v>
      </c>
      <c r="C649" s="63" t="s">
        <v>1256</v>
      </c>
      <c r="D649" s="64" t="s">
        <v>1257</v>
      </c>
      <c r="E649" s="64"/>
      <c r="F649" s="57" t="e" vm="1">
        <v>#VALUE!</v>
      </c>
      <c r="G649" s="58"/>
      <c r="H649" s="57" t="e" vm="2">
        <v>#VALUE!</v>
      </c>
      <c r="I649" s="64"/>
      <c r="J649" s="57"/>
      <c r="K649" s="57"/>
      <c r="L649" s="4"/>
      <c r="M649" s="35"/>
    </row>
    <row r="650" spans="1:13" ht="15.9" customHeight="1" x14ac:dyDescent="0.3">
      <c r="A650" s="36">
        <v>647</v>
      </c>
      <c r="B650" s="64" t="str">
        <f>IF(Tabla1[[#This Row],[TRABAJADOR]]="", "", VLOOKUP(Tabla1[[#This Row],[TRABAJADOR]], 'Colaborador ID'!B:C, 2, FALSE))</f>
        <v>E1513</v>
      </c>
      <c r="C650" s="63" t="s">
        <v>1258</v>
      </c>
      <c r="D650" s="64" t="s">
        <v>1259</v>
      </c>
      <c r="E650" s="64"/>
      <c r="F650" s="57" t="e" vm="1">
        <v>#VALUE!</v>
      </c>
      <c r="G650" s="58"/>
      <c r="H650" s="57" t="e" vm="2">
        <v>#VALUE!</v>
      </c>
      <c r="I650" s="64" t="s">
        <v>22</v>
      </c>
      <c r="J650" s="57"/>
      <c r="K650" s="57"/>
      <c r="L650" s="4"/>
      <c r="M650" s="35"/>
    </row>
    <row r="651" spans="1:13" ht="15.9" customHeight="1" x14ac:dyDescent="0.3">
      <c r="A651" s="36">
        <v>648</v>
      </c>
      <c r="B651" s="64" t="str">
        <f>IF(Tabla1[[#This Row],[TRABAJADOR]]="", "", VLOOKUP(Tabla1[[#This Row],[TRABAJADOR]], 'Colaborador ID'!B:C, 2, FALSE))</f>
        <v>E0623</v>
      </c>
      <c r="C651" s="63" t="s">
        <v>1260</v>
      </c>
      <c r="D651" s="64" t="s">
        <v>1261</v>
      </c>
      <c r="E651" s="64" t="s">
        <v>33</v>
      </c>
      <c r="F651" s="38" t="e" vm="1">
        <v>#VALUE!</v>
      </c>
      <c r="G651" s="58">
        <v>45835</v>
      </c>
      <c r="H651" s="57" t="e" vm="2">
        <v>#VALUE!</v>
      </c>
      <c r="I651" s="64"/>
      <c r="J651" s="57"/>
      <c r="K651" s="57"/>
      <c r="L651" s="4"/>
      <c r="M651" s="35"/>
    </row>
    <row r="652" spans="1:13" ht="15.9" customHeight="1" x14ac:dyDescent="0.3">
      <c r="A652" s="36">
        <v>649</v>
      </c>
      <c r="B652" s="64" t="str">
        <f>IF(Tabla1[[#This Row],[TRABAJADOR]]="", "", VLOOKUP(Tabla1[[#This Row],[TRABAJADOR]], 'Colaborador ID'!B:C, 2, FALSE))</f>
        <v>E1514</v>
      </c>
      <c r="C652" s="63" t="s">
        <v>1262</v>
      </c>
      <c r="D652" s="64" t="s">
        <v>1263</v>
      </c>
      <c r="E652" s="64"/>
      <c r="F652" s="57" t="e" vm="1">
        <v>#VALUE!</v>
      </c>
      <c r="G652" s="58"/>
      <c r="H652" s="57" t="e" vm="2">
        <v>#VALUE!</v>
      </c>
      <c r="I652" s="64" t="s">
        <v>22</v>
      </c>
      <c r="J652" s="57"/>
      <c r="K652" s="57"/>
      <c r="L652" s="4"/>
      <c r="M652" s="35"/>
    </row>
    <row r="653" spans="1:13" ht="15.9" customHeight="1" x14ac:dyDescent="0.3">
      <c r="A653" s="36">
        <v>650</v>
      </c>
      <c r="B653" s="64" t="str">
        <f>IF(Tabla1[[#This Row],[TRABAJADOR]]="", "", VLOOKUP(Tabla1[[#This Row],[TRABAJADOR]], 'Colaborador ID'!B:C, 2, FALSE))</f>
        <v>E1515</v>
      </c>
      <c r="C653" s="63" t="s">
        <v>1264</v>
      </c>
      <c r="D653" s="64" t="s">
        <v>1265</v>
      </c>
      <c r="E653" s="64"/>
      <c r="F653" s="57" t="e" vm="1">
        <v>#VALUE!</v>
      </c>
      <c r="G653" s="58"/>
      <c r="H653" s="57" t="e" vm="2">
        <v>#VALUE!</v>
      </c>
      <c r="I653" s="64" t="s">
        <v>22</v>
      </c>
      <c r="J653" s="57"/>
      <c r="K653" s="57"/>
      <c r="L653" s="4"/>
      <c r="M653" s="35"/>
    </row>
    <row r="654" spans="1:13" ht="15.9" customHeight="1" x14ac:dyDescent="0.3">
      <c r="A654" s="36">
        <v>651</v>
      </c>
      <c r="B654" s="64" t="str">
        <f>IF(Tabla1[[#This Row],[TRABAJADOR]]="", "", VLOOKUP(Tabla1[[#This Row],[TRABAJADOR]], 'Colaborador ID'!B:C, 2, FALSE))</f>
        <v>E1147</v>
      </c>
      <c r="C654" s="63" t="s">
        <v>1266</v>
      </c>
      <c r="D654" s="64" t="s">
        <v>1267</v>
      </c>
      <c r="E654" s="64"/>
      <c r="F654" s="57" t="e" vm="1">
        <v>#VALUE!</v>
      </c>
      <c r="G654" s="58"/>
      <c r="H654" s="57" t="e" vm="2">
        <v>#VALUE!</v>
      </c>
      <c r="I654" s="64"/>
      <c r="J654" s="57"/>
      <c r="K654" s="57"/>
      <c r="L654" s="4"/>
      <c r="M654" s="35"/>
    </row>
    <row r="655" spans="1:13" ht="15.9" customHeight="1" x14ac:dyDescent="0.3">
      <c r="A655" s="36">
        <v>652</v>
      </c>
      <c r="B655" s="64" t="str">
        <f>IF(Tabla1[[#This Row],[TRABAJADOR]]="", "", VLOOKUP(Tabla1[[#This Row],[TRABAJADOR]], 'Colaborador ID'!B:C, 2, FALSE))</f>
        <v>E0076</v>
      </c>
      <c r="C655" s="63" t="s">
        <v>1268</v>
      </c>
      <c r="D655" s="64" t="s">
        <v>1269</v>
      </c>
      <c r="E655" s="64"/>
      <c r="F655" s="57" t="e" vm="1">
        <v>#VALUE!</v>
      </c>
      <c r="G655" s="58"/>
      <c r="H655" s="57" t="e" vm="2">
        <v>#VALUE!</v>
      </c>
      <c r="I655" s="64"/>
      <c r="J655" s="57"/>
      <c r="K655" s="57"/>
      <c r="L655" s="4"/>
      <c r="M655" s="35"/>
    </row>
    <row r="656" spans="1:13" ht="15.9" customHeight="1" x14ac:dyDescent="0.3">
      <c r="A656" s="36">
        <v>653</v>
      </c>
      <c r="B656" s="57" t="str">
        <f>IF(Tabla1[[#This Row],[TRABAJADOR]]="", "", VLOOKUP(Tabla1[[#This Row],[TRABAJADOR]], 'Colaborador ID'!B:C, 2, FALSE))</f>
        <v>E1974</v>
      </c>
      <c r="C656" s="56" t="s">
        <v>1270</v>
      </c>
      <c r="D656" s="57" t="s">
        <v>1271</v>
      </c>
      <c r="E656" s="64" t="s">
        <v>19</v>
      </c>
      <c r="F656" s="49" t="e" vm="1">
        <v>#VALUE!</v>
      </c>
      <c r="G656" s="58">
        <v>45958</v>
      </c>
      <c r="H656" s="57" t="e" vm="2">
        <v>#VALUE!</v>
      </c>
      <c r="I656" s="57"/>
      <c r="J656" s="57"/>
      <c r="K656" s="57"/>
      <c r="L656" s="4"/>
      <c r="M656" s="35"/>
    </row>
    <row r="657" spans="1:13" ht="15.9" customHeight="1" x14ac:dyDescent="0.3">
      <c r="A657" s="36">
        <v>654</v>
      </c>
      <c r="B657" s="64" t="str">
        <f>IF(Tabla1[[#This Row],[TRABAJADOR]]="", "", VLOOKUP(Tabla1[[#This Row],[TRABAJADOR]], 'Colaborador ID'!B:C, 2, FALSE))</f>
        <v>E0830</v>
      </c>
      <c r="C657" s="63" t="s">
        <v>1272</v>
      </c>
      <c r="D657" s="64" t="s">
        <v>1273</v>
      </c>
      <c r="E657" s="64" t="s">
        <v>33</v>
      </c>
      <c r="F657" s="49" t="e" vm="1">
        <v>#VALUE!</v>
      </c>
      <c r="G657" s="58"/>
      <c r="H657" s="57" t="e" vm="2">
        <v>#VALUE!</v>
      </c>
      <c r="I657" s="64"/>
      <c r="J657" s="57"/>
      <c r="K657" s="57"/>
      <c r="L657" s="4"/>
      <c r="M657" s="35"/>
    </row>
    <row r="658" spans="1:13" ht="15.9" customHeight="1" x14ac:dyDescent="0.3">
      <c r="A658" s="36">
        <v>655</v>
      </c>
      <c r="B658" s="57" t="str">
        <f>IF(Tabla1[[#This Row],[TRABAJADOR]]="", "", VLOOKUP(Tabla1[[#This Row],[TRABAJADOR]], 'Colaborador ID'!B:C, 2, FALSE))</f>
        <v>E1924</v>
      </c>
      <c r="C658" s="56" t="s">
        <v>1274</v>
      </c>
      <c r="D658" s="57" t="s">
        <v>1275</v>
      </c>
      <c r="E658" s="64" t="s">
        <v>16</v>
      </c>
      <c r="F658" s="49" t="e" vm="1">
        <v>#VALUE!</v>
      </c>
      <c r="G658" s="58">
        <v>45947</v>
      </c>
      <c r="H658" s="57" t="e" vm="2">
        <v>#VALUE!</v>
      </c>
      <c r="I658" s="57" t="s">
        <v>22</v>
      </c>
      <c r="J658" s="57"/>
      <c r="K658" s="57"/>
      <c r="L658" s="4"/>
      <c r="M658" s="35"/>
    </row>
    <row r="659" spans="1:13" ht="15.9" customHeight="1" x14ac:dyDescent="0.3">
      <c r="A659" s="36">
        <v>656</v>
      </c>
      <c r="B659" s="57" t="str">
        <f>IF(Tabla1[[#This Row],[TRABAJADOR]]="", "", VLOOKUP(Tabla1[[#This Row],[TRABAJADOR]], 'Colaborador ID'!B:C, 2, FALSE))</f>
        <v>E1747</v>
      </c>
      <c r="C659" s="56" t="s">
        <v>1276</v>
      </c>
      <c r="D659" s="57" t="s">
        <v>1277</v>
      </c>
      <c r="E659" s="57" t="s">
        <v>16</v>
      </c>
      <c r="F659" s="49" t="e" vm="1">
        <v>#VALUE!</v>
      </c>
      <c r="G659" s="58">
        <v>45964</v>
      </c>
      <c r="H659" s="49" t="e" vm="2">
        <v>#VALUE!</v>
      </c>
      <c r="I659" s="57"/>
      <c r="J659" s="57"/>
      <c r="K659" s="57"/>
      <c r="L659" s="4"/>
      <c r="M659" s="35"/>
    </row>
    <row r="660" spans="1:13" ht="15.9" customHeight="1" x14ac:dyDescent="0.35">
      <c r="A660" s="36">
        <v>657</v>
      </c>
      <c r="B660" s="64" t="str">
        <f>IF(Tabla1[[#This Row],[TRABAJADOR]]="", "", VLOOKUP(Tabla1[[#This Row],[TRABAJADOR]], 'Colaborador ID'!B:C, 2, FALSE))</f>
        <v>E1435</v>
      </c>
      <c r="C660" s="63" t="s">
        <v>1278</v>
      </c>
      <c r="D660" s="64" t="s">
        <v>1279</v>
      </c>
      <c r="E660" s="64" t="s">
        <v>16</v>
      </c>
      <c r="F660" s="42" t="e" vm="1">
        <v>#VALUE!</v>
      </c>
      <c r="G660" s="58">
        <v>45833</v>
      </c>
      <c r="H660" s="57" t="e" vm="2">
        <v>#VALUE!</v>
      </c>
      <c r="I660" s="64"/>
      <c r="J660" s="57"/>
      <c r="K660" s="57"/>
      <c r="L660" s="4"/>
      <c r="M660" s="35"/>
    </row>
    <row r="661" spans="1:13" ht="15.9" customHeight="1" x14ac:dyDescent="0.3">
      <c r="A661" s="36">
        <v>658</v>
      </c>
      <c r="B661" s="57" t="str">
        <f>IF(Tabla1[[#This Row],[TRABAJADOR]]="", "", VLOOKUP(Tabla1[[#This Row],[TRABAJADOR]], 'Colaborador ID'!B:C, 2, FALSE))</f>
        <v>E2001</v>
      </c>
      <c r="C661" s="56" t="s">
        <v>1280</v>
      </c>
      <c r="D661" s="57" t="s">
        <v>1281</v>
      </c>
      <c r="E661" s="64" t="s">
        <v>13</v>
      </c>
      <c r="F661" s="49" t="e" vm="1">
        <v>#VALUE!</v>
      </c>
      <c r="G661" s="58">
        <v>45954</v>
      </c>
      <c r="H661" s="57" t="e" vm="2">
        <v>#VALUE!</v>
      </c>
      <c r="I661" s="57" t="s">
        <v>22</v>
      </c>
      <c r="J661" s="57"/>
      <c r="K661" s="57"/>
      <c r="L661" s="4"/>
      <c r="M661" s="35"/>
    </row>
    <row r="662" spans="1:13" ht="15.9" customHeight="1" x14ac:dyDescent="0.3">
      <c r="A662" s="36">
        <v>659</v>
      </c>
      <c r="B662" s="57" t="str">
        <f>IF(Tabla1[[#This Row],[TRABAJADOR]]="", "", VLOOKUP(Tabla1[[#This Row],[TRABAJADOR]], 'Colaborador ID'!B:C, 2, FALSE))</f>
        <v>E1675</v>
      </c>
      <c r="C662" s="56" t="s">
        <v>1282</v>
      </c>
      <c r="D662" s="57" t="s">
        <v>1283</v>
      </c>
      <c r="E662" s="64" t="s">
        <v>16</v>
      </c>
      <c r="F662" s="49" t="e" vm="1">
        <v>#VALUE!</v>
      </c>
      <c r="G662" s="58">
        <v>45897</v>
      </c>
      <c r="H662" s="57" t="e" vm="2">
        <v>#VALUE!</v>
      </c>
      <c r="I662" s="57" t="s">
        <v>22</v>
      </c>
      <c r="J662" s="57"/>
      <c r="K662" s="57"/>
      <c r="L662" s="4"/>
      <c r="M662" s="35"/>
    </row>
    <row r="663" spans="1:13" ht="15.9" customHeight="1" x14ac:dyDescent="0.3">
      <c r="A663" s="36">
        <v>660</v>
      </c>
      <c r="B663" s="64" t="str">
        <f>IF(Tabla1[[#This Row],[TRABAJADOR]]="", "", VLOOKUP(Tabla1[[#This Row],[TRABAJADOR]], 'Colaborador ID'!B:C, 2, FALSE))</f>
        <v>E1674</v>
      </c>
      <c r="C663" s="63" t="s">
        <v>1284</v>
      </c>
      <c r="D663" s="64" t="s">
        <v>1285</v>
      </c>
      <c r="E663" s="64" t="s">
        <v>19</v>
      </c>
      <c r="F663" s="57" t="e" vm="1">
        <v>#VALUE!</v>
      </c>
      <c r="G663" s="58"/>
      <c r="H663" s="57" t="e" vm="2">
        <v>#VALUE!</v>
      </c>
      <c r="I663" s="64" t="s">
        <v>22</v>
      </c>
      <c r="J663" s="57"/>
      <c r="K663" s="57"/>
      <c r="L663" s="4"/>
      <c r="M663" s="35"/>
    </row>
    <row r="664" spans="1:13" ht="15.9" customHeight="1" x14ac:dyDescent="0.3">
      <c r="A664" s="36">
        <v>661</v>
      </c>
      <c r="B664" s="64" t="str">
        <f>IF(Tabla1[[#This Row],[TRABAJADOR]]="", "", VLOOKUP(Tabla1[[#This Row],[TRABAJADOR]], 'Colaborador ID'!B:C, 2, FALSE))</f>
        <v>E0642</v>
      </c>
      <c r="C664" s="63" t="s">
        <v>1286</v>
      </c>
      <c r="D664" s="64" t="s">
        <v>1287</v>
      </c>
      <c r="E664" s="64" t="s">
        <v>33</v>
      </c>
      <c r="F664" s="38" t="e" vm="1">
        <v>#VALUE!</v>
      </c>
      <c r="G664" s="58">
        <v>45804</v>
      </c>
      <c r="H664" s="57" t="e" vm="2">
        <v>#VALUE!</v>
      </c>
      <c r="I664" s="64"/>
      <c r="J664" s="57"/>
      <c r="K664" s="57"/>
      <c r="L664" s="4"/>
      <c r="M664" s="35"/>
    </row>
    <row r="665" spans="1:13" ht="15.9" customHeight="1" x14ac:dyDescent="0.3">
      <c r="A665" s="36">
        <v>662</v>
      </c>
      <c r="B665" s="64" t="str">
        <f>IF(Tabla1[[#This Row],[TRABAJADOR]]="", "", VLOOKUP(Tabla1[[#This Row],[TRABAJADOR]], 'Colaborador ID'!B:C, 2, FALSE))</f>
        <v>E0509</v>
      </c>
      <c r="C665" s="63" t="s">
        <v>1288</v>
      </c>
      <c r="D665" s="64" t="s">
        <v>1289</v>
      </c>
      <c r="E665" s="64"/>
      <c r="F665" s="57" t="e" vm="1">
        <v>#VALUE!</v>
      </c>
      <c r="G665" s="58"/>
      <c r="H665" s="57" t="e" vm="2">
        <v>#VALUE!</v>
      </c>
      <c r="I665" s="64" t="s">
        <v>22</v>
      </c>
      <c r="J665" s="57"/>
      <c r="K665" s="57"/>
      <c r="L665" s="4"/>
      <c r="M665" s="35"/>
    </row>
    <row r="666" spans="1:13" ht="15.9" customHeight="1" x14ac:dyDescent="0.35">
      <c r="A666" s="36">
        <v>663</v>
      </c>
      <c r="B666" s="64" t="e">
        <f>IF(Tabla1[[#This Row],[TRABAJADOR]]="", "", VLOOKUP(Tabla1[[#This Row],[TRABAJADOR]], 'Colaborador ID'!B:C, 2, FALSE))</f>
        <v>#N/A</v>
      </c>
      <c r="C666" s="63" t="s">
        <v>1290</v>
      </c>
      <c r="D666" s="64" t="s">
        <v>1291</v>
      </c>
      <c r="E666" s="64" t="s">
        <v>271</v>
      </c>
      <c r="F666" s="37" t="e" vm="1">
        <v>#VALUE!</v>
      </c>
      <c r="G666" s="58"/>
      <c r="H666" s="57" t="e" vm="2">
        <v>#VALUE!</v>
      </c>
      <c r="I666" s="64"/>
      <c r="J666" s="57"/>
      <c r="K666" s="57"/>
      <c r="L666" s="4"/>
      <c r="M666" s="35"/>
    </row>
    <row r="667" spans="1:13" ht="15.9" customHeight="1" x14ac:dyDescent="0.3">
      <c r="A667" s="36">
        <v>664</v>
      </c>
      <c r="B667" s="57" t="str">
        <f>IF(Tabla1[[#This Row],[TRABAJADOR]]="", "", VLOOKUP(Tabla1[[#This Row],[TRABAJADOR]], 'Colaborador ID'!B:C, 2, FALSE))</f>
        <v>E1796</v>
      </c>
      <c r="C667" s="56" t="s">
        <v>1292</v>
      </c>
      <c r="D667" s="57" t="s">
        <v>1293</v>
      </c>
      <c r="E667" s="64" t="s">
        <v>16</v>
      </c>
      <c r="F667" s="49" t="e" vm="1">
        <v>#VALUE!</v>
      </c>
      <c r="G667" s="58">
        <v>45929</v>
      </c>
      <c r="H667" s="57" t="e" vm="2">
        <v>#VALUE!</v>
      </c>
      <c r="I667" s="57"/>
      <c r="J667" s="57"/>
      <c r="K667" s="57"/>
      <c r="L667" s="4"/>
      <c r="M667" s="35"/>
    </row>
    <row r="668" spans="1:13" ht="15.9" customHeight="1" x14ac:dyDescent="0.3">
      <c r="A668" s="36">
        <v>665</v>
      </c>
      <c r="B668" s="57" t="str">
        <f>IF(Tabla1[[#This Row],[TRABAJADOR]]="", "", VLOOKUP(Tabla1[[#This Row],[TRABAJADOR]], 'Colaborador ID'!B:C, 2, FALSE))</f>
        <v>E1786</v>
      </c>
      <c r="C668" s="56" t="s">
        <v>1294</v>
      </c>
      <c r="D668" s="57" t="s">
        <v>1295</v>
      </c>
      <c r="E668" s="64" t="s">
        <v>13</v>
      </c>
      <c r="F668" s="49" t="e" vm="1">
        <v>#VALUE!</v>
      </c>
      <c r="G668" s="58">
        <v>45910</v>
      </c>
      <c r="H668" s="57" t="e" vm="2">
        <v>#VALUE!</v>
      </c>
      <c r="I668" s="57"/>
      <c r="J668" s="57"/>
      <c r="K668" s="57"/>
      <c r="L668" s="4"/>
      <c r="M668" s="35"/>
    </row>
    <row r="669" spans="1:13" ht="15.9" customHeight="1" x14ac:dyDescent="0.3">
      <c r="A669" s="36">
        <v>666</v>
      </c>
      <c r="B669" s="64" t="str">
        <f>IF(Tabla1[[#This Row],[TRABAJADOR]]="", "", VLOOKUP(Tabla1[[#This Row],[TRABAJADOR]], 'Colaborador ID'!B:C, 2, FALSE))</f>
        <v>E0067</v>
      </c>
      <c r="C669" s="63" t="s">
        <v>1296</v>
      </c>
      <c r="D669" s="64" t="s">
        <v>1297</v>
      </c>
      <c r="E669" s="64" t="s">
        <v>19</v>
      </c>
      <c r="F669" s="38" t="e" vm="1">
        <v>#VALUE!</v>
      </c>
      <c r="G669" s="58">
        <v>46006</v>
      </c>
      <c r="H669" s="40" t="e" vm="2">
        <v>#VALUE!</v>
      </c>
      <c r="I669" s="64"/>
      <c r="J669" s="57"/>
      <c r="K669" s="57"/>
      <c r="L669" s="4"/>
      <c r="M669" s="35"/>
    </row>
    <row r="670" spans="1:13" ht="15.9" customHeight="1" x14ac:dyDescent="0.3">
      <c r="A670" s="36">
        <v>667</v>
      </c>
      <c r="B670" s="64" t="str">
        <f>IF(Tabla1[[#This Row],[TRABAJADOR]]="", "", VLOOKUP(Tabla1[[#This Row],[TRABAJADOR]], 'Colaborador ID'!B:C, 2, FALSE))</f>
        <v>E0205</v>
      </c>
      <c r="C670" s="63" t="s">
        <v>1298</v>
      </c>
      <c r="D670" s="64" t="s">
        <v>1299</v>
      </c>
      <c r="E670" s="64" t="s">
        <v>19</v>
      </c>
      <c r="F670" s="38" t="e" vm="1">
        <v>#VALUE!</v>
      </c>
      <c r="G670" s="58">
        <v>45785</v>
      </c>
      <c r="H670" s="57" t="e" vm="2">
        <v>#VALUE!</v>
      </c>
      <c r="I670" s="64"/>
      <c r="J670" s="57"/>
      <c r="K670" s="57"/>
      <c r="L670" s="4"/>
      <c r="M670" s="35"/>
    </row>
    <row r="671" spans="1:13" ht="15.9" customHeight="1" x14ac:dyDescent="0.3">
      <c r="A671" s="36">
        <v>668</v>
      </c>
      <c r="B671" s="64" t="str">
        <f>IF(Tabla1[[#This Row],[TRABAJADOR]]="", "", VLOOKUP(Tabla1[[#This Row],[TRABAJADOR]], 'Colaborador ID'!B:C, 2, FALSE))</f>
        <v>E0894</v>
      </c>
      <c r="C671" s="63" t="s">
        <v>1300</v>
      </c>
      <c r="D671" s="64" t="s">
        <v>1301</v>
      </c>
      <c r="E671" s="64"/>
      <c r="F671" s="57" t="e" vm="1">
        <v>#VALUE!</v>
      </c>
      <c r="G671" s="58"/>
      <c r="H671" s="57" t="e" vm="2">
        <v>#VALUE!</v>
      </c>
      <c r="I671" s="64"/>
      <c r="J671" s="57"/>
      <c r="K671" s="57"/>
      <c r="L671" s="4"/>
      <c r="M671" s="35"/>
    </row>
    <row r="672" spans="1:13" ht="15.9" customHeight="1" x14ac:dyDescent="0.3">
      <c r="A672" s="36">
        <v>669</v>
      </c>
      <c r="B672" s="64" t="str">
        <f>IF(Tabla1[[#This Row],[TRABAJADOR]]="", "", VLOOKUP(Tabla1[[#This Row],[TRABAJADOR]], 'Colaborador ID'!B:C, 2, FALSE))</f>
        <v>E0097</v>
      </c>
      <c r="C672" s="63" t="s">
        <v>1302</v>
      </c>
      <c r="D672" s="64" t="s">
        <v>1303</v>
      </c>
      <c r="E672" s="64" t="s">
        <v>13</v>
      </c>
      <c r="F672" s="76" t="e" vm="1">
        <v>#VALUE!</v>
      </c>
      <c r="G672" s="58">
        <v>45967</v>
      </c>
      <c r="H672" s="49" t="e" vm="2">
        <v>#VALUE!</v>
      </c>
      <c r="I672" s="64"/>
      <c r="J672" s="57"/>
      <c r="K672" s="57"/>
      <c r="L672" s="4"/>
      <c r="M672" s="35"/>
    </row>
    <row r="673" spans="1:13" ht="15.9" customHeight="1" x14ac:dyDescent="0.3">
      <c r="A673" s="36">
        <v>670</v>
      </c>
      <c r="B673" s="57" t="str">
        <f>IF(Tabla1[[#This Row],[TRABAJADOR]]="", "", VLOOKUP(Tabla1[[#This Row],[TRABAJADOR]], 'Colaborador ID'!B:C, 2, FALSE))</f>
        <v>E2037</v>
      </c>
      <c r="C673" s="56" t="s">
        <v>1304</v>
      </c>
      <c r="D673" s="57" t="s">
        <v>1305</v>
      </c>
      <c r="E673" s="64" t="s">
        <v>271</v>
      </c>
      <c r="F673" s="49" t="e" vm="1">
        <v>#VALUE!</v>
      </c>
      <c r="G673" s="58">
        <v>45974</v>
      </c>
      <c r="H673" s="57" t="e" vm="2">
        <v>#VALUE!</v>
      </c>
      <c r="I673" s="57"/>
      <c r="J673" s="57"/>
      <c r="K673" s="57"/>
      <c r="L673" s="4"/>
      <c r="M673" s="35"/>
    </row>
    <row r="674" spans="1:13" ht="15.9" customHeight="1" x14ac:dyDescent="0.3">
      <c r="A674" s="36">
        <v>671</v>
      </c>
      <c r="B674" s="64" t="str">
        <f>IF(Tabla1[[#This Row],[TRABAJADOR]]="", "", VLOOKUP(Tabla1[[#This Row],[TRABAJADOR]], 'Colaborador ID'!B:C, 2, FALSE))</f>
        <v>E0504</v>
      </c>
      <c r="C674" s="63" t="s">
        <v>1306</v>
      </c>
      <c r="D674" s="64" t="s">
        <v>1307</v>
      </c>
      <c r="E674" s="64" t="s">
        <v>33</v>
      </c>
      <c r="F674" s="49" t="e" vm="1">
        <v>#VALUE!</v>
      </c>
      <c r="G674" s="58"/>
      <c r="H674" s="57" t="e" vm="2">
        <v>#VALUE!</v>
      </c>
      <c r="I674" s="64"/>
      <c r="J674" s="57"/>
      <c r="K674" s="57"/>
      <c r="L674" s="4"/>
      <c r="M674" s="35"/>
    </row>
    <row r="675" spans="1:13" ht="15.9" customHeight="1" x14ac:dyDescent="0.3">
      <c r="A675" s="36">
        <v>672</v>
      </c>
      <c r="B675" s="64" t="str">
        <f>IF(Tabla1[[#This Row],[TRABAJADOR]]="", "", VLOOKUP(Tabla1[[#This Row],[TRABAJADOR]], 'Colaborador ID'!B:C, 2, FALSE))</f>
        <v>E1518</v>
      </c>
      <c r="C675" s="63" t="s">
        <v>1308</v>
      </c>
      <c r="D675" s="64" t="s">
        <v>1309</v>
      </c>
      <c r="E675" s="64" t="s">
        <v>16</v>
      </c>
      <c r="F675" s="49" t="e" vm="1">
        <v>#VALUE!</v>
      </c>
      <c r="G675" s="58">
        <v>45986</v>
      </c>
      <c r="H675" s="49" t="e" vm="2">
        <v>#VALUE!</v>
      </c>
      <c r="I675" s="64"/>
      <c r="J675" s="57"/>
      <c r="K675" s="57"/>
      <c r="L675" s="4"/>
      <c r="M675" s="35"/>
    </row>
    <row r="676" spans="1:13" ht="15.9" customHeight="1" x14ac:dyDescent="0.4">
      <c r="A676" s="36">
        <v>673</v>
      </c>
      <c r="B676" s="64" t="str">
        <f>IF(Tabla1[[#This Row],[TRABAJADOR]]="", "", VLOOKUP(Tabla1[[#This Row],[TRABAJADOR]], 'Colaborador ID'!B:C, 2, FALSE))</f>
        <v>E0820</v>
      </c>
      <c r="C676" s="63" t="s">
        <v>1310</v>
      </c>
      <c r="D676" s="64" t="s">
        <v>1311</v>
      </c>
      <c r="E676" s="64" t="s">
        <v>16</v>
      </c>
      <c r="F676" s="37" t="e" vm="1">
        <v>#VALUE!</v>
      </c>
      <c r="G676" s="58">
        <v>45720</v>
      </c>
      <c r="H676" s="39" t="e" vm="2">
        <v>#VALUE!</v>
      </c>
      <c r="I676" s="64"/>
      <c r="J676" s="57"/>
      <c r="K676" s="57"/>
      <c r="L676" s="4"/>
      <c r="M676" s="35"/>
    </row>
    <row r="677" spans="1:13" ht="15.9" customHeight="1" x14ac:dyDescent="0.3">
      <c r="A677" s="36">
        <v>674</v>
      </c>
      <c r="B677" s="64" t="str">
        <f>IF(Tabla1[[#This Row],[TRABAJADOR]]="", "", VLOOKUP(Tabla1[[#This Row],[TRABAJADOR]], 'Colaborador ID'!B:C, 2, FALSE))</f>
        <v>E1519</v>
      </c>
      <c r="C677" s="63" t="s">
        <v>1312</v>
      </c>
      <c r="D677" s="64" t="s">
        <v>1313</v>
      </c>
      <c r="E677" s="64"/>
      <c r="F677" s="57" t="e" vm="1">
        <v>#VALUE!</v>
      </c>
      <c r="G677" s="58"/>
      <c r="H677" s="57" t="e" vm="2">
        <v>#VALUE!</v>
      </c>
      <c r="I677" s="64" t="s">
        <v>22</v>
      </c>
      <c r="J677" s="57"/>
      <c r="K677" s="57"/>
      <c r="L677" s="4"/>
      <c r="M677" s="35"/>
    </row>
    <row r="678" spans="1:13" ht="15.9" customHeight="1" x14ac:dyDescent="0.3">
      <c r="A678" s="36">
        <v>675</v>
      </c>
      <c r="B678" s="64" t="str">
        <f>IF(Tabla1[[#This Row],[TRABAJADOR]]="", "", VLOOKUP(Tabla1[[#This Row],[TRABAJADOR]], 'Colaborador ID'!B:C, 2, FALSE))</f>
        <v>E0398</v>
      </c>
      <c r="C678" s="63" t="s">
        <v>1314</v>
      </c>
      <c r="D678" s="64" t="s">
        <v>1315</v>
      </c>
      <c r="E678" s="64"/>
      <c r="F678" s="57" t="e" vm="1">
        <v>#VALUE!</v>
      </c>
      <c r="G678" s="58"/>
      <c r="H678" s="57" t="e" vm="2">
        <v>#VALUE!</v>
      </c>
      <c r="I678" s="64"/>
      <c r="J678" s="57"/>
      <c r="K678" s="57"/>
      <c r="L678" s="4"/>
      <c r="M678" s="35"/>
    </row>
    <row r="679" spans="1:13" ht="15.9" customHeight="1" x14ac:dyDescent="0.3">
      <c r="A679" s="36">
        <v>676</v>
      </c>
      <c r="B679" s="64" t="str">
        <f>IF(Tabla1[[#This Row],[TRABAJADOR]]="", "", VLOOKUP(Tabla1[[#This Row],[TRABAJADOR]], 'Colaborador ID'!B:C, 2, FALSE))</f>
        <v>E0182</v>
      </c>
      <c r="C679" s="63" t="s">
        <v>1316</v>
      </c>
      <c r="D679" s="64" t="s">
        <v>1317</v>
      </c>
      <c r="E679" s="64"/>
      <c r="F679" s="57" t="e" vm="1">
        <v>#VALUE!</v>
      </c>
      <c r="G679" s="58"/>
      <c r="H679" s="57" t="e" vm="2">
        <v>#VALUE!</v>
      </c>
      <c r="I679" s="64"/>
      <c r="J679" s="57"/>
      <c r="K679" s="57"/>
      <c r="L679" s="4"/>
      <c r="M679" s="35"/>
    </row>
    <row r="680" spans="1:13" ht="15.9" customHeight="1" x14ac:dyDescent="0.35">
      <c r="A680" s="36">
        <v>677</v>
      </c>
      <c r="B680" s="64" t="str">
        <f>IF(Tabla1[[#This Row],[TRABAJADOR]]="", "", VLOOKUP(Tabla1[[#This Row],[TRABAJADOR]], 'Colaborador ID'!B:C, 2, FALSE))</f>
        <v>E0502</v>
      </c>
      <c r="C680" s="63" t="s">
        <v>1318</v>
      </c>
      <c r="D680" s="64" t="s">
        <v>1319</v>
      </c>
      <c r="E680" s="64" t="s">
        <v>19</v>
      </c>
      <c r="F680" s="37" t="e" vm="1">
        <v>#VALUE!</v>
      </c>
      <c r="G680" s="58"/>
      <c r="H680" s="57" t="e" vm="2">
        <v>#VALUE!</v>
      </c>
      <c r="I680" s="64"/>
      <c r="J680" s="57"/>
      <c r="K680" s="57"/>
      <c r="L680" s="4"/>
      <c r="M680" s="35"/>
    </row>
    <row r="681" spans="1:13" ht="15.9" customHeight="1" x14ac:dyDescent="0.3">
      <c r="A681" s="36">
        <v>678</v>
      </c>
      <c r="B681" s="64" t="str">
        <f>IF(Tabla1[[#This Row],[TRABAJADOR]]="", "", VLOOKUP(Tabla1[[#This Row],[TRABAJADOR]], 'Colaborador ID'!B:C, 2, FALSE))</f>
        <v>E0953</v>
      </c>
      <c r="C681" s="63" t="s">
        <v>1320</v>
      </c>
      <c r="D681" s="64" t="s">
        <v>1321</v>
      </c>
      <c r="E681" s="64"/>
      <c r="F681" s="57" t="e" vm="1">
        <v>#VALUE!</v>
      </c>
      <c r="G681" s="58"/>
      <c r="H681" s="57" t="e" vm="2">
        <v>#VALUE!</v>
      </c>
      <c r="I681" s="64"/>
      <c r="J681" s="57"/>
      <c r="K681" s="57"/>
      <c r="L681" s="4"/>
      <c r="M681" s="35"/>
    </row>
    <row r="682" spans="1:13" ht="15.9" customHeight="1" x14ac:dyDescent="0.3">
      <c r="A682" s="36">
        <v>679</v>
      </c>
      <c r="B682" s="64" t="str">
        <f>IF(Tabla1[[#This Row],[TRABAJADOR]]="", "", VLOOKUP(Tabla1[[#This Row],[TRABAJADOR]], 'Colaborador ID'!B:C, 2, FALSE))</f>
        <v>E1662</v>
      </c>
      <c r="C682" s="63" t="s">
        <v>1322</v>
      </c>
      <c r="D682" s="64" t="s">
        <v>1323</v>
      </c>
      <c r="E682" s="64" t="s">
        <v>19</v>
      </c>
      <c r="F682" s="40" t="e" vm="1">
        <v>#VALUE!</v>
      </c>
      <c r="G682" s="58">
        <v>45876</v>
      </c>
      <c r="H682" s="57" t="e" vm="2">
        <v>#VALUE!</v>
      </c>
      <c r="I682" s="64"/>
      <c r="J682" s="57"/>
      <c r="K682" s="57"/>
      <c r="L682" s="4"/>
      <c r="M682" s="35"/>
    </row>
    <row r="683" spans="1:13" ht="15.9" customHeight="1" x14ac:dyDescent="0.35">
      <c r="A683" s="36">
        <v>680</v>
      </c>
      <c r="B683" s="64" t="str">
        <f>IF(Tabla1[[#This Row],[TRABAJADOR]]="", "", VLOOKUP(Tabla1[[#This Row],[TRABAJADOR]], 'Colaborador ID'!B:C, 2, FALSE))</f>
        <v>E0198</v>
      </c>
      <c r="C683" s="63" t="s">
        <v>1324</v>
      </c>
      <c r="D683" s="64" t="s">
        <v>1325</v>
      </c>
      <c r="E683" s="64" t="s">
        <v>16</v>
      </c>
      <c r="F683" s="37" t="e" vm="1">
        <v>#VALUE!</v>
      </c>
      <c r="G683" s="58"/>
      <c r="H683" s="57" t="e" vm="2">
        <v>#VALUE!</v>
      </c>
      <c r="I683" s="64"/>
      <c r="J683" s="57"/>
      <c r="K683" s="57"/>
      <c r="L683" s="4"/>
      <c r="M683" s="35"/>
    </row>
    <row r="684" spans="1:13" ht="15.9" customHeight="1" x14ac:dyDescent="0.3">
      <c r="A684" s="36">
        <v>681</v>
      </c>
      <c r="B684" s="57" t="str">
        <f>IF(Tabla1[[#This Row],[TRABAJADOR]]="", "", VLOOKUP(Tabla1[[#This Row],[TRABAJADOR]], 'Colaborador ID'!B:C, 2, FALSE))</f>
        <v>E2110</v>
      </c>
      <c r="C684" s="56" t="s">
        <v>5372</v>
      </c>
      <c r="D684" s="57" t="s">
        <v>5507</v>
      </c>
      <c r="E684" s="100" t="s">
        <v>16</v>
      </c>
      <c r="F684" s="49" t="e" vm="1">
        <v>#VALUE!</v>
      </c>
      <c r="G684" s="58">
        <v>46087</v>
      </c>
      <c r="H684" s="57" t="e" vm="3">
        <v>#VALUE!</v>
      </c>
      <c r="I684" s="57"/>
      <c r="J684" s="57"/>
      <c r="K684" s="57"/>
      <c r="L684" s="4"/>
      <c r="M684" s="35"/>
    </row>
    <row r="685" spans="1:13" ht="15.9" customHeight="1" x14ac:dyDescent="0.3">
      <c r="A685" s="36">
        <v>682</v>
      </c>
      <c r="B685" s="57" t="str">
        <f>IF(Tabla1[[#This Row],[TRABAJADOR]]="", "", VLOOKUP(Tabla1[[#This Row],[TRABAJADOR]], 'Colaborador ID'!B:C, 2, FALSE))</f>
        <v>E2119</v>
      </c>
      <c r="C685" s="56" t="s">
        <v>5399</v>
      </c>
      <c r="D685" s="57" t="s">
        <v>5468</v>
      </c>
      <c r="E685" s="64"/>
      <c r="F685" s="49" t="e" vm="1">
        <v>#VALUE!</v>
      </c>
      <c r="G685" s="58">
        <v>46073</v>
      </c>
      <c r="H685" s="57" t="e" vm="2">
        <v>#VALUE!</v>
      </c>
      <c r="I685" s="57"/>
      <c r="J685" s="57"/>
      <c r="K685" s="57"/>
      <c r="L685" s="4"/>
      <c r="M685" s="35"/>
    </row>
    <row r="686" spans="1:13" ht="15.9" customHeight="1" x14ac:dyDescent="0.3">
      <c r="A686" s="36">
        <v>683</v>
      </c>
      <c r="B686" s="64" t="str">
        <f>IF(Tabla1[[#This Row],[TRABAJADOR]]="", "", VLOOKUP(Tabla1[[#This Row],[TRABAJADOR]], 'Colaborador ID'!B:C, 2, FALSE))</f>
        <v>E0321</v>
      </c>
      <c r="C686" s="63" t="s">
        <v>1326</v>
      </c>
      <c r="D686" s="64" t="s">
        <v>1327</v>
      </c>
      <c r="E686" s="64" t="s">
        <v>33</v>
      </c>
      <c r="F686" s="38" t="e" vm="1">
        <v>#VALUE!</v>
      </c>
      <c r="G686" s="58">
        <v>45777</v>
      </c>
      <c r="H686" s="40" t="e" vm="2">
        <v>#VALUE!</v>
      </c>
      <c r="I686" s="64"/>
      <c r="J686" s="57"/>
      <c r="K686" s="57"/>
      <c r="L686" s="4"/>
      <c r="M686" s="35"/>
    </row>
    <row r="687" spans="1:13" ht="15.9" customHeight="1" x14ac:dyDescent="0.3">
      <c r="A687" s="36">
        <v>684</v>
      </c>
      <c r="B687" s="57" t="str">
        <f>IF(Tabla1[[#This Row],[TRABAJADOR]]="", "", VLOOKUP(Tabla1[[#This Row],[TRABAJADOR]], 'Colaborador ID'!B:C, 2, FALSE))</f>
        <v>E1950</v>
      </c>
      <c r="C687" s="56" t="s">
        <v>1328</v>
      </c>
      <c r="D687" s="57" t="s">
        <v>1329</v>
      </c>
      <c r="E687" s="64" t="s">
        <v>19</v>
      </c>
      <c r="F687" s="49" t="e" vm="1">
        <v>#VALUE!</v>
      </c>
      <c r="G687" s="58">
        <v>45958</v>
      </c>
      <c r="H687" s="57" t="e" vm="2">
        <v>#VALUE!</v>
      </c>
      <c r="I687" s="57"/>
      <c r="J687" s="57"/>
      <c r="K687" s="57"/>
      <c r="L687" s="4"/>
      <c r="M687" s="35"/>
    </row>
    <row r="688" spans="1:13" ht="15.9" customHeight="1" x14ac:dyDescent="0.3">
      <c r="A688" s="36">
        <v>685</v>
      </c>
      <c r="B688" s="57" t="str">
        <f>IF(Tabla1[[#This Row],[TRABAJADOR]]="", "", VLOOKUP(Tabla1[[#This Row],[TRABAJADOR]], 'Colaborador ID'!B:C, 2, FALSE))</f>
        <v>E1851</v>
      </c>
      <c r="C688" s="56" t="s">
        <v>1330</v>
      </c>
      <c r="D688" s="57" t="s">
        <v>1331</v>
      </c>
      <c r="E688" s="64" t="s">
        <v>19</v>
      </c>
      <c r="F688" s="49" t="e" vm="1">
        <v>#VALUE!</v>
      </c>
      <c r="G688" s="58">
        <v>45959</v>
      </c>
      <c r="H688" s="57" t="e" vm="2">
        <v>#VALUE!</v>
      </c>
      <c r="I688" s="57"/>
      <c r="J688" s="57"/>
      <c r="K688" s="57"/>
      <c r="L688" s="4"/>
      <c r="M688" s="35"/>
    </row>
    <row r="689" spans="1:13" ht="15.9" customHeight="1" x14ac:dyDescent="0.3">
      <c r="A689" s="36">
        <v>686</v>
      </c>
      <c r="B689" s="64" t="str">
        <f>IF(Tabla1[[#This Row],[TRABAJADOR]]="", "", VLOOKUP(Tabla1[[#This Row],[TRABAJADOR]], 'Colaborador ID'!B:C, 2, FALSE))</f>
        <v>E1665</v>
      </c>
      <c r="C689" s="63" t="s">
        <v>1332</v>
      </c>
      <c r="D689" s="64" t="s">
        <v>1333</v>
      </c>
      <c r="E689" s="64" t="s">
        <v>83</v>
      </c>
      <c r="F689" s="40" t="e" vm="1">
        <v>#VALUE!</v>
      </c>
      <c r="G689" s="58">
        <v>45875</v>
      </c>
      <c r="H689" s="57" t="e" vm="2">
        <v>#VALUE!</v>
      </c>
      <c r="I689" s="64"/>
      <c r="J689" s="57"/>
      <c r="K689" s="57"/>
      <c r="L689" s="4"/>
      <c r="M689" s="35"/>
    </row>
    <row r="690" spans="1:13" ht="15.9" customHeight="1" x14ac:dyDescent="0.3">
      <c r="A690" s="36">
        <v>687</v>
      </c>
      <c r="B690" s="64" t="str">
        <f>IF(Tabla1[[#This Row],[TRABAJADOR]]="", "", VLOOKUP(Tabla1[[#This Row],[TRABAJADOR]], 'Colaborador ID'!B:C, 2, FALSE))</f>
        <v>E0382</v>
      </c>
      <c r="C690" s="63" t="s">
        <v>1334</v>
      </c>
      <c r="D690" s="64" t="s">
        <v>1335</v>
      </c>
      <c r="E690" s="64"/>
      <c r="F690" s="57" t="e" vm="1">
        <v>#VALUE!</v>
      </c>
      <c r="G690" s="58"/>
      <c r="H690" s="57" t="e" vm="2">
        <v>#VALUE!</v>
      </c>
      <c r="I690" s="64"/>
      <c r="J690" s="57"/>
      <c r="K690" s="57"/>
      <c r="L690" s="4"/>
      <c r="M690" s="35"/>
    </row>
    <row r="691" spans="1:13" ht="15.9" customHeight="1" x14ac:dyDescent="0.3">
      <c r="A691" s="36">
        <v>688</v>
      </c>
      <c r="B691" s="64" t="str">
        <f>IF(Tabla1[[#This Row],[TRABAJADOR]]="", "", VLOOKUP(Tabla1[[#This Row],[TRABAJADOR]], 'Colaborador ID'!B:C, 2, FALSE))</f>
        <v>E0660</v>
      </c>
      <c r="C691" s="63" t="s">
        <v>1336</v>
      </c>
      <c r="D691" s="64" t="s">
        <v>1337</v>
      </c>
      <c r="E691" s="64" t="s">
        <v>19</v>
      </c>
      <c r="F691" s="38" t="e" vm="1">
        <v>#VALUE!</v>
      </c>
      <c r="G691" s="58">
        <v>45769</v>
      </c>
      <c r="H691" s="57" t="e" vm="2">
        <v>#VALUE!</v>
      </c>
      <c r="I691" s="64"/>
      <c r="J691" s="57"/>
      <c r="K691" s="57"/>
      <c r="L691" s="4"/>
      <c r="M691" s="35"/>
    </row>
    <row r="692" spans="1:13" ht="15.9" customHeight="1" x14ac:dyDescent="0.35">
      <c r="A692" s="36">
        <v>689</v>
      </c>
      <c r="B692" s="64" t="str">
        <f>IF(Tabla1[[#This Row],[TRABAJADOR]]="", "", VLOOKUP(Tabla1[[#This Row],[TRABAJADOR]], 'Colaborador ID'!B:C, 2, FALSE))</f>
        <v>E0065</v>
      </c>
      <c r="C692" s="63" t="s">
        <v>1338</v>
      </c>
      <c r="D692" s="64" t="s">
        <v>1339</v>
      </c>
      <c r="E692" s="64" t="s">
        <v>16</v>
      </c>
      <c r="F692" s="37" t="e" vm="1">
        <v>#VALUE!</v>
      </c>
      <c r="G692" s="58"/>
      <c r="H692" s="57" t="e" vm="2">
        <v>#VALUE!</v>
      </c>
      <c r="I692" s="64"/>
      <c r="J692" s="57"/>
      <c r="K692" s="57"/>
      <c r="L692" s="4"/>
      <c r="M692" s="35"/>
    </row>
    <row r="693" spans="1:13" ht="15.9" customHeight="1" x14ac:dyDescent="0.3">
      <c r="A693" s="36">
        <v>690</v>
      </c>
      <c r="B693" s="57" t="str">
        <f>IF(Tabla1[[#This Row],[TRABAJADOR]]="", "", VLOOKUP(Tabla1[[#This Row],[TRABAJADOR]], 'Colaborador ID'!B:C, 2, FALSE))</f>
        <v>E2121</v>
      </c>
      <c r="C693" s="56" t="s">
        <v>5403</v>
      </c>
      <c r="D693" s="57" t="s">
        <v>5469</v>
      </c>
      <c r="E693" s="64" t="s">
        <v>19</v>
      </c>
      <c r="F693" s="49" t="e" vm="1">
        <v>#VALUE!</v>
      </c>
      <c r="G693" s="58">
        <v>46073</v>
      </c>
      <c r="H693" s="57" t="e" vm="2">
        <v>#VALUE!</v>
      </c>
      <c r="I693" s="57"/>
      <c r="J693" s="57"/>
      <c r="K693" s="57"/>
      <c r="L693" s="4"/>
      <c r="M693" s="35"/>
    </row>
    <row r="694" spans="1:13" ht="15.9" customHeight="1" x14ac:dyDescent="0.3">
      <c r="A694" s="36">
        <v>691</v>
      </c>
      <c r="B694" s="64" t="str">
        <f>IF(Tabla1[[#This Row],[TRABAJADOR]]="", "", VLOOKUP(Tabla1[[#This Row],[TRABAJADOR]], 'Colaborador ID'!B:C, 2, FALSE))</f>
        <v>E0450</v>
      </c>
      <c r="C694" s="63" t="s">
        <v>1340</v>
      </c>
      <c r="D694" s="64" t="s">
        <v>1341</v>
      </c>
      <c r="E694" s="64" t="s">
        <v>16</v>
      </c>
      <c r="F694" s="38" t="e" vm="1">
        <v>#VALUE!</v>
      </c>
      <c r="G694" s="58">
        <v>45783</v>
      </c>
      <c r="H694" s="40" t="e" vm="2">
        <v>#VALUE!</v>
      </c>
      <c r="I694" s="64"/>
      <c r="J694" s="57"/>
      <c r="K694" s="57"/>
      <c r="L694" s="4"/>
      <c r="M694" s="35"/>
    </row>
    <row r="695" spans="1:13" ht="15.9" customHeight="1" x14ac:dyDescent="0.35">
      <c r="A695" s="36">
        <v>692</v>
      </c>
      <c r="B695" s="64" t="str">
        <f>IF(Tabla1[[#This Row],[TRABAJADOR]]="", "", VLOOKUP(Tabla1[[#This Row],[TRABAJADOR]], 'Colaborador ID'!B:C, 2, FALSE))</f>
        <v>E0101</v>
      </c>
      <c r="C695" s="63" t="s">
        <v>1342</v>
      </c>
      <c r="D695" s="64" t="s">
        <v>1343</v>
      </c>
      <c r="E695" s="64" t="s">
        <v>19</v>
      </c>
      <c r="F695" s="37" t="e" vm="1">
        <v>#VALUE!</v>
      </c>
      <c r="G695" s="58">
        <v>45779</v>
      </c>
      <c r="H695" s="40" t="e" vm="2">
        <v>#VALUE!</v>
      </c>
      <c r="I695" s="64"/>
      <c r="J695" s="57"/>
      <c r="K695" s="57"/>
      <c r="L695" s="4"/>
      <c r="M695" s="35"/>
    </row>
    <row r="696" spans="1:13" ht="15.9" customHeight="1" x14ac:dyDescent="0.3">
      <c r="A696" s="36">
        <v>693</v>
      </c>
      <c r="B696" s="64" t="str">
        <f>IF(Tabla1[[#This Row],[TRABAJADOR]]="", "", VLOOKUP(Tabla1[[#This Row],[TRABAJADOR]], 'Colaborador ID'!B:C, 2, FALSE))</f>
        <v>E0468</v>
      </c>
      <c r="C696" s="63" t="s">
        <v>1344</v>
      </c>
      <c r="D696" s="64" t="s">
        <v>1345</v>
      </c>
      <c r="E696" s="64"/>
      <c r="F696" s="57" t="e" vm="1">
        <v>#VALUE!</v>
      </c>
      <c r="G696" s="58"/>
      <c r="H696" s="57" t="e" vm="2">
        <v>#VALUE!</v>
      </c>
      <c r="I696" s="64"/>
      <c r="J696" s="57"/>
      <c r="K696" s="57"/>
      <c r="L696" s="4"/>
      <c r="M696" s="35"/>
    </row>
    <row r="697" spans="1:13" ht="15.9" customHeight="1" x14ac:dyDescent="0.3">
      <c r="A697" s="36">
        <v>694</v>
      </c>
      <c r="B697" s="64" t="str">
        <f>IF(Tabla1[[#This Row],[TRABAJADOR]]="", "", VLOOKUP(Tabla1[[#This Row],[TRABAJADOR]], 'Colaborador ID'!B:C, 2, FALSE))</f>
        <v>E0146</v>
      </c>
      <c r="C697" s="63" t="s">
        <v>1346</v>
      </c>
      <c r="D697" s="64" t="s">
        <v>1347</v>
      </c>
      <c r="E697" s="64" t="s">
        <v>19</v>
      </c>
      <c r="F697" s="38" t="e" vm="1">
        <v>#VALUE!</v>
      </c>
      <c r="G697" s="58">
        <v>45782</v>
      </c>
      <c r="H697" s="57" t="e" vm="2">
        <v>#VALUE!</v>
      </c>
      <c r="I697" s="64"/>
      <c r="J697" s="57"/>
      <c r="K697" s="57"/>
      <c r="L697" s="4"/>
      <c r="M697" s="35"/>
    </row>
    <row r="698" spans="1:13" ht="15.9" customHeight="1" x14ac:dyDescent="0.3">
      <c r="A698" s="36">
        <v>695</v>
      </c>
      <c r="B698" s="57" t="str">
        <f>IF(Tabla1[[#This Row],[TRABAJADOR]]="", "", VLOOKUP(Tabla1[[#This Row],[TRABAJADOR]], 'Colaborador ID'!B:C, 2, FALSE))</f>
        <v>E1772</v>
      </c>
      <c r="C698" s="56" t="s">
        <v>1348</v>
      </c>
      <c r="D698" s="57" t="s">
        <v>1349</v>
      </c>
      <c r="E698" s="64" t="s">
        <v>16</v>
      </c>
      <c r="F698" s="49" t="e" vm="1">
        <v>#VALUE!</v>
      </c>
      <c r="G698" s="58">
        <v>45897</v>
      </c>
      <c r="H698" s="57" t="e" vm="2">
        <v>#VALUE!</v>
      </c>
      <c r="I698" s="57"/>
      <c r="J698" s="57"/>
      <c r="K698" s="57"/>
      <c r="L698" s="4"/>
      <c r="M698" s="35"/>
    </row>
    <row r="699" spans="1:13" ht="15.9" customHeight="1" x14ac:dyDescent="0.3">
      <c r="A699" s="36">
        <v>696</v>
      </c>
      <c r="B699" s="64" t="str">
        <f>IF(Tabla1[[#This Row],[TRABAJADOR]]="", "", VLOOKUP(Tabla1[[#This Row],[TRABAJADOR]], 'Colaborador ID'!B:C, 2, FALSE))</f>
        <v>E1522</v>
      </c>
      <c r="C699" s="63" t="s">
        <v>1350</v>
      </c>
      <c r="D699" s="64" t="s">
        <v>1351</v>
      </c>
      <c r="E699" s="64"/>
      <c r="F699" s="57" t="e" vm="1">
        <v>#VALUE!</v>
      </c>
      <c r="G699" s="58"/>
      <c r="H699" s="57" t="e" vm="2">
        <v>#VALUE!</v>
      </c>
      <c r="I699" s="64" t="s">
        <v>22</v>
      </c>
      <c r="J699" s="57"/>
      <c r="K699" s="57"/>
      <c r="L699" s="4"/>
      <c r="M699" s="35"/>
    </row>
    <row r="700" spans="1:13" ht="15.9" customHeight="1" x14ac:dyDescent="0.3">
      <c r="A700" s="36">
        <v>697</v>
      </c>
      <c r="B700" s="64" t="str">
        <f>IF(Tabla1[[#This Row],[TRABAJADOR]]="", "", VLOOKUP(Tabla1[[#This Row],[TRABAJADOR]], 'Colaborador ID'!B:C, 2, FALSE))</f>
        <v>E1204</v>
      </c>
      <c r="C700" s="63" t="s">
        <v>1352</v>
      </c>
      <c r="D700" s="64" t="s">
        <v>1353</v>
      </c>
      <c r="E700" s="64" t="s">
        <v>16</v>
      </c>
      <c r="F700" s="38" t="e" vm="1">
        <v>#VALUE!</v>
      </c>
      <c r="G700" s="58">
        <v>45742</v>
      </c>
      <c r="H700" s="57" t="e" vm="2">
        <v>#VALUE!</v>
      </c>
      <c r="I700" s="64"/>
      <c r="J700" s="57"/>
      <c r="K700" s="57"/>
      <c r="L700" s="4"/>
      <c r="M700" s="35"/>
    </row>
    <row r="701" spans="1:13" ht="15.9" customHeight="1" x14ac:dyDescent="0.3">
      <c r="A701" s="36">
        <v>698</v>
      </c>
      <c r="B701" s="64" t="str">
        <f>IF(Tabla1[[#This Row],[TRABAJADOR]]="", "", VLOOKUP(Tabla1[[#This Row],[TRABAJADOR]], 'Colaborador ID'!B:C, 2, FALSE))</f>
        <v>E0044</v>
      </c>
      <c r="C701" s="63" t="s">
        <v>1354</v>
      </c>
      <c r="D701" s="64" t="s">
        <v>5394</v>
      </c>
      <c r="E701" s="64" t="s">
        <v>33</v>
      </c>
      <c r="F701" s="38" t="e" vm="1">
        <v>#VALUE!</v>
      </c>
      <c r="G701" s="58">
        <v>46058</v>
      </c>
      <c r="H701" s="49" t="e" vm="2">
        <v>#VALUE!</v>
      </c>
      <c r="I701" s="64"/>
      <c r="J701" s="57"/>
      <c r="K701" s="57"/>
      <c r="L701" s="4"/>
      <c r="M701" s="35"/>
    </row>
    <row r="702" spans="1:13" ht="15.9" customHeight="1" x14ac:dyDescent="0.35">
      <c r="A702" s="36">
        <v>699</v>
      </c>
      <c r="B702" s="64" t="str">
        <f>IF(Tabla1[[#This Row],[TRABAJADOR]]="", "", VLOOKUP(Tabla1[[#This Row],[TRABAJADOR]], 'Colaborador ID'!B:C, 2, FALSE))</f>
        <v>E0137</v>
      </c>
      <c r="C702" s="63" t="s">
        <v>1355</v>
      </c>
      <c r="D702" s="64" t="s">
        <v>1356</v>
      </c>
      <c r="E702" s="64" t="s">
        <v>13</v>
      </c>
      <c r="F702" s="37" t="e" vm="1">
        <v>#VALUE!</v>
      </c>
      <c r="G702" s="58">
        <v>45734</v>
      </c>
      <c r="H702" s="57" t="e" vm="2">
        <v>#VALUE!</v>
      </c>
      <c r="I702" s="64"/>
      <c r="J702" s="57"/>
      <c r="K702" s="57"/>
      <c r="L702" s="4"/>
      <c r="M702" s="35"/>
    </row>
    <row r="703" spans="1:13" ht="15.9" customHeight="1" x14ac:dyDescent="0.3">
      <c r="A703" s="36">
        <v>700</v>
      </c>
      <c r="B703" s="64" t="str">
        <f>IF(Tabla1[[#This Row],[TRABAJADOR]]="", "", VLOOKUP(Tabla1[[#This Row],[TRABAJADOR]], 'Colaborador ID'!B:C, 2, FALSE))</f>
        <v>E0391</v>
      </c>
      <c r="C703" s="63" t="s">
        <v>1357</v>
      </c>
      <c r="D703" s="64" t="s">
        <v>1358</v>
      </c>
      <c r="E703" s="64"/>
      <c r="F703" s="57" t="e" vm="1">
        <v>#VALUE!</v>
      </c>
      <c r="G703" s="58"/>
      <c r="H703" s="57" t="e" vm="2">
        <v>#VALUE!</v>
      </c>
      <c r="I703" s="64"/>
      <c r="J703" s="57"/>
      <c r="K703" s="57"/>
      <c r="L703" s="4"/>
      <c r="M703" s="35"/>
    </row>
    <row r="704" spans="1:13" ht="15.9" customHeight="1" x14ac:dyDescent="0.3">
      <c r="A704" s="36">
        <v>701</v>
      </c>
      <c r="B704" s="64" t="str">
        <f>IF(Tabla1[[#This Row],[TRABAJADOR]]="", "", VLOOKUP(Tabla1[[#This Row],[TRABAJADOR]], 'Colaborador ID'!B:C, 2, FALSE))</f>
        <v>E0430</v>
      </c>
      <c r="C704" s="63" t="s">
        <v>1359</v>
      </c>
      <c r="D704" s="64" t="s">
        <v>1360</v>
      </c>
      <c r="E704" s="64" t="s">
        <v>13</v>
      </c>
      <c r="F704" s="74" t="e" vm="1">
        <v>#VALUE!</v>
      </c>
      <c r="G704" s="58">
        <v>45742</v>
      </c>
      <c r="H704" s="57" t="e" vm="2">
        <v>#VALUE!</v>
      </c>
      <c r="I704" s="64"/>
      <c r="J704" s="57"/>
      <c r="K704" s="57"/>
      <c r="L704" s="4"/>
      <c r="M704" s="35"/>
    </row>
    <row r="705" spans="1:13" ht="15.9" customHeight="1" x14ac:dyDescent="0.3">
      <c r="A705" s="36">
        <v>702</v>
      </c>
      <c r="B705" s="57" t="str">
        <f>IF(Tabla1[[#This Row],[TRABAJADOR]]="", "", VLOOKUP(Tabla1[[#This Row],[TRABAJADOR]], 'Colaborador ID'!B:C, 2, FALSE))</f>
        <v>E2093</v>
      </c>
      <c r="C705" s="56" t="s">
        <v>5336</v>
      </c>
      <c r="D705" s="57" t="s">
        <v>1462</v>
      </c>
      <c r="E705" s="57"/>
      <c r="F705" s="57" t="e" vm="1">
        <v>#VALUE!</v>
      </c>
      <c r="G705" s="58"/>
      <c r="H705" s="57" t="e" vm="3">
        <v>#VALUE!</v>
      </c>
      <c r="I705" s="57"/>
      <c r="J705" s="57"/>
      <c r="K705" s="57"/>
      <c r="L705" s="4"/>
      <c r="M705" s="35"/>
    </row>
    <row r="706" spans="1:13" ht="15.9" customHeight="1" x14ac:dyDescent="0.3">
      <c r="A706" s="36">
        <v>703</v>
      </c>
      <c r="B706" s="64" t="str">
        <f>IF(Tabla1[[#This Row],[TRABAJADOR]]="", "", VLOOKUP(Tabla1[[#This Row],[TRABAJADOR]], 'Colaborador ID'!B:C, 2, FALSE))</f>
        <v>E0148</v>
      </c>
      <c r="C706" s="63" t="s">
        <v>1361</v>
      </c>
      <c r="D706" s="64" t="s">
        <v>1362</v>
      </c>
      <c r="E706" s="64" t="s">
        <v>119</v>
      </c>
      <c r="F706" s="38" t="e" vm="1">
        <v>#VALUE!</v>
      </c>
      <c r="G706" s="58">
        <v>45826</v>
      </c>
      <c r="H706" s="44" t="e" vm="2">
        <v>#VALUE!</v>
      </c>
      <c r="I706" s="64"/>
      <c r="J706" s="57"/>
      <c r="K706" s="57"/>
      <c r="L706" s="4"/>
      <c r="M706" s="35"/>
    </row>
    <row r="707" spans="1:13" ht="15.9" customHeight="1" x14ac:dyDescent="0.35">
      <c r="A707" s="36">
        <v>704</v>
      </c>
      <c r="B707" s="64" t="str">
        <f>IF(Tabla1[[#This Row],[TRABAJADOR]]="", "", VLOOKUP(Tabla1[[#This Row],[TRABAJADOR]], 'Colaborador ID'!B:C, 2, FALSE))</f>
        <v>E0199</v>
      </c>
      <c r="C707" s="63" t="s">
        <v>1363</v>
      </c>
      <c r="D707" s="64" t="s">
        <v>1364</v>
      </c>
      <c r="E707" s="64" t="s">
        <v>16</v>
      </c>
      <c r="F707" s="37" t="e" vm="1">
        <v>#VALUE!</v>
      </c>
      <c r="G707" s="58"/>
      <c r="H707" s="57" t="e" vm="2">
        <v>#VALUE!</v>
      </c>
      <c r="I707" s="64"/>
      <c r="J707" s="57"/>
      <c r="K707" s="57"/>
      <c r="L707" s="4"/>
      <c r="M707" s="35"/>
    </row>
    <row r="708" spans="1:13" ht="15.9" customHeight="1" x14ac:dyDescent="0.3">
      <c r="A708" s="36">
        <v>705</v>
      </c>
      <c r="B708" s="57" t="str">
        <f>IF(Tabla1[[#This Row],[TRABAJADOR]]="", "", VLOOKUP(Tabla1[[#This Row],[TRABAJADOR]], 'Colaborador ID'!B:C, 2, FALSE))</f>
        <v>E1872</v>
      </c>
      <c r="C708" s="63" t="s">
        <v>1365</v>
      </c>
      <c r="D708" s="57" t="s">
        <v>1366</v>
      </c>
      <c r="E708" s="64" t="s">
        <v>19</v>
      </c>
      <c r="F708" s="49" t="e" vm="1">
        <v>#VALUE!</v>
      </c>
      <c r="G708" s="58">
        <v>45938</v>
      </c>
      <c r="H708" s="57" t="e" vm="2">
        <v>#VALUE!</v>
      </c>
      <c r="I708" s="57"/>
      <c r="J708" s="57"/>
      <c r="K708" s="57"/>
      <c r="L708" s="4"/>
      <c r="M708" s="35"/>
    </row>
    <row r="709" spans="1:13" ht="15.9" customHeight="1" x14ac:dyDescent="0.3">
      <c r="A709" s="36">
        <v>706</v>
      </c>
      <c r="B709" s="64" t="str">
        <f>IF(Tabla1[[#This Row],[TRABAJADOR]]="", "", VLOOKUP(Tabla1[[#This Row],[TRABAJADOR]], 'Colaborador ID'!B:C, 2, FALSE))</f>
        <v>E0029</v>
      </c>
      <c r="C709" s="63" t="s">
        <v>1367</v>
      </c>
      <c r="D709" s="64" t="s">
        <v>1368</v>
      </c>
      <c r="E709" s="64" t="s">
        <v>16</v>
      </c>
      <c r="F709" s="57" t="e" vm="1">
        <v>#VALUE!</v>
      </c>
      <c r="G709" s="58"/>
      <c r="H709" s="57" t="e" vm="2">
        <v>#VALUE!</v>
      </c>
      <c r="I709" s="64" t="s">
        <v>22</v>
      </c>
      <c r="J709" s="57"/>
      <c r="K709" s="57"/>
      <c r="L709" s="4"/>
      <c r="M709" s="35"/>
    </row>
    <row r="710" spans="1:13" ht="15.9" customHeight="1" x14ac:dyDescent="0.3">
      <c r="A710" s="36">
        <v>707</v>
      </c>
      <c r="B710" s="57" t="str">
        <f>IF(Tabla1[[#This Row],[TRABAJADOR]]="", "", VLOOKUP(Tabla1[[#This Row],[TRABAJADOR]], 'Colaborador ID'!B:C, 2, FALSE))</f>
        <v>E1744</v>
      </c>
      <c r="C710" s="56" t="s">
        <v>1369</v>
      </c>
      <c r="D710" s="57" t="s">
        <v>1370</v>
      </c>
      <c r="E710" s="64" t="s">
        <v>16</v>
      </c>
      <c r="F710" s="49" t="e" vm="1">
        <v>#VALUE!</v>
      </c>
      <c r="G710" s="58">
        <v>45896</v>
      </c>
      <c r="H710" s="57" t="e" vm="2">
        <v>#VALUE!</v>
      </c>
      <c r="I710" s="57" t="s">
        <v>22</v>
      </c>
      <c r="J710" s="57"/>
      <c r="K710" s="57"/>
      <c r="L710" s="4"/>
      <c r="M710" s="35"/>
    </row>
    <row r="711" spans="1:13" ht="15.9" customHeight="1" x14ac:dyDescent="0.3">
      <c r="A711" s="36">
        <v>708</v>
      </c>
      <c r="B711" s="64" t="str">
        <f>IF(Tabla1[[#This Row],[TRABAJADOR]]="", "", VLOOKUP(Tabla1[[#This Row],[TRABAJADOR]], 'Colaborador ID'!B:C, 2, FALSE))</f>
        <v>E0196</v>
      </c>
      <c r="C711" s="63" t="s">
        <v>1371</v>
      </c>
      <c r="D711" s="64" t="s">
        <v>1372</v>
      </c>
      <c r="E711" s="64" t="s">
        <v>16</v>
      </c>
      <c r="F711" s="38" t="e" vm="1">
        <v>#VALUE!</v>
      </c>
      <c r="G711" s="58">
        <v>45845</v>
      </c>
      <c r="H711" s="57" t="e" vm="2">
        <v>#VALUE!</v>
      </c>
      <c r="I711" s="64"/>
      <c r="J711" s="57"/>
      <c r="K711" s="57"/>
      <c r="L711" s="4"/>
      <c r="M711" s="35"/>
    </row>
    <row r="712" spans="1:13" ht="15.9" customHeight="1" x14ac:dyDescent="0.3">
      <c r="A712" s="36">
        <v>709</v>
      </c>
      <c r="B712" s="64" t="str">
        <f>IF(Tabla1[[#This Row],[TRABAJADOR]]="", "", VLOOKUP(Tabla1[[#This Row],[TRABAJADOR]], 'Colaborador ID'!B:C, 2, FALSE))</f>
        <v>E0707</v>
      </c>
      <c r="C712" s="63" t="s">
        <v>1373</v>
      </c>
      <c r="D712" s="64" t="s">
        <v>1374</v>
      </c>
      <c r="E712" s="64"/>
      <c r="F712" s="57" t="e" vm="1">
        <v>#VALUE!</v>
      </c>
      <c r="G712" s="58"/>
      <c r="H712" s="57" t="e" vm="2">
        <v>#VALUE!</v>
      </c>
      <c r="I712" s="64"/>
      <c r="J712" s="57"/>
      <c r="K712" s="57"/>
      <c r="L712" s="4"/>
      <c r="M712" s="35"/>
    </row>
    <row r="713" spans="1:13" ht="15.9" customHeight="1" x14ac:dyDescent="0.3">
      <c r="A713" s="36">
        <v>710</v>
      </c>
      <c r="B713" s="64" t="str">
        <f>IF(Tabla1[[#This Row],[TRABAJADOR]]="", "", VLOOKUP(Tabla1[[#This Row],[TRABAJADOR]], 'Colaborador ID'!B:C, 2, FALSE))</f>
        <v>E0766</v>
      </c>
      <c r="C713" s="63" t="s">
        <v>1375</v>
      </c>
      <c r="D713" s="64" t="s">
        <v>1376</v>
      </c>
      <c r="E713" s="64"/>
      <c r="F713" s="57" t="e" vm="1">
        <v>#VALUE!</v>
      </c>
      <c r="G713" s="58"/>
      <c r="H713" s="57" t="e" vm="2">
        <v>#VALUE!</v>
      </c>
      <c r="I713" s="64"/>
      <c r="J713" s="57"/>
      <c r="K713" s="57"/>
      <c r="L713" s="4"/>
      <c r="M713" s="35"/>
    </row>
    <row r="714" spans="1:13" ht="15.9" customHeight="1" x14ac:dyDescent="0.3">
      <c r="A714" s="36">
        <v>711</v>
      </c>
      <c r="B714" s="57" t="str">
        <f>IF(Tabla1[[#This Row],[TRABAJADOR]]="", "", VLOOKUP(Tabla1[[#This Row],[TRABAJADOR]], 'Colaborador ID'!B:C, 2, FALSE))</f>
        <v>E2049</v>
      </c>
      <c r="C714" s="56" t="s">
        <v>1377</v>
      </c>
      <c r="D714" s="57" t="s">
        <v>1378</v>
      </c>
      <c r="E714" s="64" t="s">
        <v>16</v>
      </c>
      <c r="F714" s="49" t="e" vm="1">
        <v>#VALUE!</v>
      </c>
      <c r="G714" s="58">
        <v>45993</v>
      </c>
      <c r="H714" s="57" t="e" vm="2">
        <v>#VALUE!</v>
      </c>
      <c r="I714" s="57"/>
      <c r="J714" s="57"/>
      <c r="K714" s="57"/>
      <c r="L714" s="4"/>
      <c r="M714" s="35"/>
    </row>
    <row r="715" spans="1:13" ht="15.9" customHeight="1" x14ac:dyDescent="0.3">
      <c r="A715" s="36">
        <v>712</v>
      </c>
      <c r="B715" s="64" t="str">
        <f>IF(Tabla1[[#This Row],[TRABAJADOR]]="", "", VLOOKUP(Tabla1[[#This Row],[TRABAJADOR]], 'Colaborador ID'!B:C, 2, FALSE))</f>
        <v>E0936</v>
      </c>
      <c r="C715" s="63" t="s">
        <v>1379</v>
      </c>
      <c r="D715" s="64" t="s">
        <v>1380</v>
      </c>
      <c r="E715" s="64"/>
      <c r="F715" s="57" t="e" vm="1">
        <v>#VALUE!</v>
      </c>
      <c r="G715" s="58"/>
      <c r="H715" s="57" t="e" vm="2">
        <v>#VALUE!</v>
      </c>
      <c r="I715" s="64"/>
      <c r="J715" s="57"/>
      <c r="K715" s="57"/>
      <c r="L715" s="4"/>
      <c r="M715" s="35"/>
    </row>
    <row r="716" spans="1:13" ht="15.9" customHeight="1" x14ac:dyDescent="0.3">
      <c r="A716" s="36">
        <v>713</v>
      </c>
      <c r="B716" s="57" t="str">
        <f>IF(Tabla1[[#This Row],[TRABAJADOR]]="", "", VLOOKUP(Tabla1[[#This Row],[TRABAJADOR]], 'Colaborador ID'!B:C, 2, FALSE))</f>
        <v>E1981</v>
      </c>
      <c r="C716" s="56" t="s">
        <v>1381</v>
      </c>
      <c r="D716" s="57" t="s">
        <v>1382</v>
      </c>
      <c r="E716" s="64" t="s">
        <v>16</v>
      </c>
      <c r="F716" s="49" t="e" vm="1">
        <v>#VALUE!</v>
      </c>
      <c r="G716" s="58">
        <v>45958</v>
      </c>
      <c r="H716" s="57" t="e" vm="2">
        <v>#VALUE!</v>
      </c>
      <c r="I716" s="57" t="s">
        <v>22</v>
      </c>
      <c r="J716" s="57"/>
      <c r="K716" s="57"/>
      <c r="L716" s="4"/>
      <c r="M716" s="35"/>
    </row>
    <row r="717" spans="1:13" ht="15.9" customHeight="1" x14ac:dyDescent="0.3">
      <c r="A717" s="36">
        <v>714</v>
      </c>
      <c r="B717" s="64" t="str">
        <f>IF(Tabla1[[#This Row],[TRABAJADOR]]="", "", VLOOKUP(Tabla1[[#This Row],[TRABAJADOR]], 'Colaborador ID'!B:C, 2, FALSE))</f>
        <v>E0351</v>
      </c>
      <c r="C717" s="63" t="s">
        <v>1383</v>
      </c>
      <c r="D717" s="64" t="s">
        <v>1384</v>
      </c>
      <c r="E717" s="64"/>
      <c r="F717" s="57" t="e" vm="1">
        <v>#VALUE!</v>
      </c>
      <c r="G717" s="58"/>
      <c r="H717" s="57" t="e" vm="2">
        <v>#VALUE!</v>
      </c>
      <c r="I717" s="64"/>
      <c r="J717" s="57"/>
      <c r="K717" s="57"/>
      <c r="L717" s="4"/>
      <c r="M717" s="35"/>
    </row>
    <row r="718" spans="1:13" ht="15.9" customHeight="1" x14ac:dyDescent="0.3">
      <c r="A718" s="36">
        <v>715</v>
      </c>
      <c r="B718" s="64" t="str">
        <f>IF(Tabla1[[#This Row],[TRABAJADOR]]="", "", VLOOKUP(Tabla1[[#This Row],[TRABAJADOR]], 'Colaborador ID'!B:C, 2, FALSE))</f>
        <v>E1523</v>
      </c>
      <c r="C718" s="63" t="s">
        <v>1385</v>
      </c>
      <c r="D718" s="64" t="s">
        <v>1386</v>
      </c>
      <c r="E718" s="64" t="s">
        <v>16</v>
      </c>
      <c r="F718" s="38" t="e" vm="1">
        <v>#VALUE!</v>
      </c>
      <c r="G718" s="58">
        <v>45852</v>
      </c>
      <c r="H718" s="57" t="e" vm="2">
        <v>#VALUE!</v>
      </c>
      <c r="I718" s="64"/>
      <c r="J718" s="57"/>
      <c r="K718" s="57"/>
      <c r="L718" s="4"/>
      <c r="M718" s="35"/>
    </row>
    <row r="719" spans="1:13" ht="15.9" customHeight="1" x14ac:dyDescent="0.3">
      <c r="A719" s="36">
        <v>716</v>
      </c>
      <c r="B719" s="64" t="str">
        <f>IF(Tabla1[[#This Row],[TRABAJADOR]]="", "", VLOOKUP(Tabla1[[#This Row],[TRABAJADOR]], 'Colaborador ID'!B:C, 2, FALSE))</f>
        <v>E0308</v>
      </c>
      <c r="C719" s="63" t="s">
        <v>1387</v>
      </c>
      <c r="D719" s="64" t="s">
        <v>1388</v>
      </c>
      <c r="E719" s="64"/>
      <c r="F719" s="57" t="e" vm="1">
        <v>#VALUE!</v>
      </c>
      <c r="G719" s="58"/>
      <c r="H719" s="57" t="e" vm="2">
        <v>#VALUE!</v>
      </c>
      <c r="I719" s="64"/>
      <c r="J719" s="57"/>
      <c r="K719" s="57"/>
      <c r="L719" s="4"/>
      <c r="M719" s="35"/>
    </row>
    <row r="720" spans="1:13" ht="15.9" customHeight="1" x14ac:dyDescent="0.35">
      <c r="A720" s="36">
        <v>717</v>
      </c>
      <c r="B720" s="64" t="e">
        <f>IF(Tabla1[[#This Row],[TRABAJADOR]]="", "", VLOOKUP(Tabla1[[#This Row],[TRABAJADOR]], 'Colaborador ID'!B:C, 2, FALSE))</f>
        <v>#N/A</v>
      </c>
      <c r="C720" s="63" t="s">
        <v>1389</v>
      </c>
      <c r="D720" s="64" t="s">
        <v>1390</v>
      </c>
      <c r="E720" s="64" t="s">
        <v>16</v>
      </c>
      <c r="F720" s="37" t="e" vm="1">
        <v>#VALUE!</v>
      </c>
      <c r="G720" s="58">
        <v>45728</v>
      </c>
      <c r="H720" s="57" t="e" vm="2">
        <v>#VALUE!</v>
      </c>
      <c r="I720" s="64"/>
      <c r="J720" s="57"/>
      <c r="K720" s="57"/>
      <c r="L720" s="4"/>
      <c r="M720" s="35"/>
    </row>
    <row r="721" spans="1:13" ht="15.9" customHeight="1" x14ac:dyDescent="0.3">
      <c r="A721" s="36">
        <v>718</v>
      </c>
      <c r="B721" s="64" t="str">
        <f>IF(Tabla1[[#This Row],[TRABAJADOR]]="", "", VLOOKUP(Tabla1[[#This Row],[TRABAJADOR]], 'Colaborador ID'!B:C, 2, FALSE))</f>
        <v>E1372</v>
      </c>
      <c r="C721" s="63" t="s">
        <v>1391</v>
      </c>
      <c r="D721" s="64" t="s">
        <v>1392</v>
      </c>
      <c r="E721" s="64"/>
      <c r="F721" s="57" t="e" vm="1">
        <v>#VALUE!</v>
      </c>
      <c r="G721" s="58"/>
      <c r="H721" s="57" t="e" vm="2">
        <v>#VALUE!</v>
      </c>
      <c r="I721" s="64"/>
      <c r="J721" s="57"/>
      <c r="K721" s="57"/>
      <c r="L721" s="4"/>
      <c r="M721" s="35"/>
    </row>
    <row r="722" spans="1:13" ht="15.9" customHeight="1" x14ac:dyDescent="0.3">
      <c r="A722" s="36">
        <v>719</v>
      </c>
      <c r="B722" s="64" t="str">
        <f>IF(Tabla1[[#This Row],[TRABAJADOR]]="", "", VLOOKUP(Tabla1[[#This Row],[TRABAJADOR]], 'Colaborador ID'!B:C, 2, FALSE))</f>
        <v>E1415</v>
      </c>
      <c r="C722" s="63" t="s">
        <v>1393</v>
      </c>
      <c r="D722" s="64" t="s">
        <v>1394</v>
      </c>
      <c r="E722" s="64" t="s">
        <v>16</v>
      </c>
      <c r="F722" s="38" t="e" vm="1">
        <v>#VALUE!</v>
      </c>
      <c r="G722" s="58">
        <v>45929</v>
      </c>
      <c r="H722" s="49" t="e" vm="2">
        <v>#VALUE!</v>
      </c>
      <c r="I722" s="64"/>
      <c r="J722" s="57"/>
      <c r="K722" s="57"/>
      <c r="L722" s="4"/>
      <c r="M722" s="35"/>
    </row>
    <row r="723" spans="1:13" ht="15.9" customHeight="1" x14ac:dyDescent="0.35">
      <c r="A723" s="36">
        <v>720</v>
      </c>
      <c r="B723" s="64" t="str">
        <f>IF(Tabla1[[#This Row],[TRABAJADOR]]="", "", VLOOKUP(Tabla1[[#This Row],[TRABAJADOR]], 'Colaborador ID'!B:C, 2, FALSE))</f>
        <v>E0628</v>
      </c>
      <c r="C723" s="63" t="s">
        <v>1395</v>
      </c>
      <c r="D723" s="64" t="s">
        <v>1396</v>
      </c>
      <c r="E723" s="64" t="s">
        <v>16</v>
      </c>
      <c r="F723" s="37" t="e" vm="1">
        <v>#VALUE!</v>
      </c>
      <c r="G723" s="58"/>
      <c r="H723" s="57" t="e" vm="2">
        <v>#VALUE!</v>
      </c>
      <c r="I723" s="64"/>
      <c r="J723" s="57"/>
      <c r="K723" s="57"/>
      <c r="L723" s="4"/>
      <c r="M723" s="35"/>
    </row>
    <row r="724" spans="1:13" ht="15.9" customHeight="1" x14ac:dyDescent="0.3">
      <c r="A724" s="36">
        <v>721</v>
      </c>
      <c r="B724" s="64" t="str">
        <f>IF(Tabla1[[#This Row],[TRABAJADOR]]="", "", VLOOKUP(Tabla1[[#This Row],[TRABAJADOR]], 'Colaborador ID'!B:C, 2, FALSE))</f>
        <v>E1690</v>
      </c>
      <c r="C724" s="63" t="s">
        <v>1397</v>
      </c>
      <c r="D724" s="64" t="s">
        <v>1398</v>
      </c>
      <c r="E724" s="64" t="s">
        <v>16</v>
      </c>
      <c r="F724" s="49" t="e" vm="1">
        <v>#VALUE!</v>
      </c>
      <c r="G724" s="58">
        <v>45929</v>
      </c>
      <c r="H724" s="51" t="e" vm="2">
        <v>#VALUE!</v>
      </c>
      <c r="I724" s="64" t="s">
        <v>22</v>
      </c>
      <c r="J724" s="57"/>
      <c r="K724" s="57"/>
      <c r="L724" s="4"/>
      <c r="M724" s="35"/>
    </row>
    <row r="725" spans="1:13" ht="15.9" customHeight="1" x14ac:dyDescent="0.3">
      <c r="A725" s="36">
        <v>722</v>
      </c>
      <c r="B725" s="57" t="str">
        <f>IF(Tabla1[[#This Row],[TRABAJADOR]]="", "", VLOOKUP(Tabla1[[#This Row],[TRABAJADOR]], 'Colaborador ID'!B:C, 2, FALSE))</f>
        <v>E1961</v>
      </c>
      <c r="C725" s="56" t="s">
        <v>1399</v>
      </c>
      <c r="D725" s="57" t="s">
        <v>1400</v>
      </c>
      <c r="E725" s="64" t="s">
        <v>13</v>
      </c>
      <c r="F725" s="49" t="e" vm="1">
        <v>#VALUE!</v>
      </c>
      <c r="G725" s="58">
        <v>45950</v>
      </c>
      <c r="H725" s="57" t="e" vm="2">
        <v>#VALUE!</v>
      </c>
      <c r="I725" s="57" t="s">
        <v>22</v>
      </c>
      <c r="J725" s="57"/>
      <c r="K725" s="57"/>
      <c r="L725" s="4"/>
      <c r="M725" s="35"/>
    </row>
    <row r="726" spans="1:13" ht="15.9" customHeight="1" x14ac:dyDescent="0.3">
      <c r="A726" s="36">
        <v>723</v>
      </c>
      <c r="B726" s="64" t="str">
        <f>IF(Tabla1[[#This Row],[TRABAJADOR]]="", "", VLOOKUP(Tabla1[[#This Row],[TRABAJADOR]], 'Colaborador ID'!B:C, 2, FALSE))</f>
        <v>E1132</v>
      </c>
      <c r="C726" s="63" t="s">
        <v>1401</v>
      </c>
      <c r="D726" s="64" t="s">
        <v>1402</v>
      </c>
      <c r="E726" s="64"/>
      <c r="F726" s="57" t="e" vm="1">
        <v>#VALUE!</v>
      </c>
      <c r="G726" s="58"/>
      <c r="H726" s="57" t="e" vm="2">
        <v>#VALUE!</v>
      </c>
      <c r="I726" s="64"/>
      <c r="J726" s="57"/>
      <c r="K726" s="57"/>
      <c r="L726" s="4"/>
      <c r="M726" s="35"/>
    </row>
    <row r="727" spans="1:13" ht="15.9" customHeight="1" x14ac:dyDescent="0.4">
      <c r="A727" s="36">
        <v>724</v>
      </c>
      <c r="B727" s="64" t="str">
        <f>IF(Tabla1[[#This Row],[TRABAJADOR]]="", "", VLOOKUP(Tabla1[[#This Row],[TRABAJADOR]], 'Colaborador ID'!B:C, 2, FALSE))</f>
        <v>E0416</v>
      </c>
      <c r="C727" s="63" t="s">
        <v>1403</v>
      </c>
      <c r="D727" s="64" t="s">
        <v>1404</v>
      </c>
      <c r="E727" s="64" t="s">
        <v>16</v>
      </c>
      <c r="F727" s="37" t="e" vm="1">
        <v>#VALUE!</v>
      </c>
      <c r="G727" s="58">
        <v>45719</v>
      </c>
      <c r="H727" s="39" t="e" vm="2">
        <v>#VALUE!</v>
      </c>
      <c r="I727" s="64"/>
      <c r="J727" s="57"/>
      <c r="K727" s="57"/>
      <c r="L727" s="4"/>
      <c r="M727" s="35"/>
    </row>
    <row r="728" spans="1:13" ht="15.9" customHeight="1" x14ac:dyDescent="0.3">
      <c r="A728" s="36">
        <v>725</v>
      </c>
      <c r="B728" s="64" t="str">
        <f>IF(Tabla1[[#This Row],[TRABAJADOR]]="", "", VLOOKUP(Tabla1[[#This Row],[TRABAJADOR]], 'Colaborador ID'!B:C, 2, FALSE))</f>
        <v>E0040</v>
      </c>
      <c r="C728" s="63" t="s">
        <v>1405</v>
      </c>
      <c r="D728" s="64" t="s">
        <v>1406</v>
      </c>
      <c r="E728" s="64" t="s">
        <v>19</v>
      </c>
      <c r="F728" s="49" t="e" vm="1">
        <v>#VALUE!</v>
      </c>
      <c r="G728" s="58"/>
      <c r="H728" s="57" t="e" vm="2">
        <v>#VALUE!</v>
      </c>
      <c r="I728" s="64"/>
      <c r="J728" s="57"/>
      <c r="K728" s="57"/>
      <c r="L728" s="4"/>
      <c r="M728" s="35"/>
    </row>
    <row r="729" spans="1:13" ht="15.9" customHeight="1" x14ac:dyDescent="0.3">
      <c r="A729" s="36">
        <v>726</v>
      </c>
      <c r="B729" s="64" t="str">
        <f>IF(Tabla1[[#This Row],[TRABAJADOR]]="", "", VLOOKUP(Tabla1[[#This Row],[TRABAJADOR]], 'Colaborador ID'!B:C, 2, FALSE))</f>
        <v>E1524</v>
      </c>
      <c r="C729" s="63" t="s">
        <v>1407</v>
      </c>
      <c r="D729" s="64" t="s">
        <v>1408</v>
      </c>
      <c r="E729" s="64"/>
      <c r="F729" s="57" t="e" vm="1">
        <v>#VALUE!</v>
      </c>
      <c r="G729" s="58"/>
      <c r="H729" s="57" t="e" vm="2">
        <v>#VALUE!</v>
      </c>
      <c r="I729" s="64" t="s">
        <v>22</v>
      </c>
      <c r="J729" s="57"/>
      <c r="K729" s="57"/>
      <c r="L729" s="4"/>
      <c r="M729" s="35"/>
    </row>
    <row r="730" spans="1:13" ht="15.9" customHeight="1" x14ac:dyDescent="0.35">
      <c r="A730" s="36">
        <v>727</v>
      </c>
      <c r="B730" s="64" t="str">
        <f>IF(Tabla1[[#This Row],[TRABAJADOR]]="", "", VLOOKUP(Tabla1[[#This Row],[TRABAJADOR]], 'Colaborador ID'!B:C, 2, FALSE))</f>
        <v>E0614</v>
      </c>
      <c r="C730" s="63" t="s">
        <v>1409</v>
      </c>
      <c r="D730" s="64" t="s">
        <v>1410</v>
      </c>
      <c r="E730" s="64" t="s">
        <v>13</v>
      </c>
      <c r="F730" s="37" t="e" vm="1">
        <v>#VALUE!</v>
      </c>
      <c r="G730" s="58"/>
      <c r="H730" s="57" t="e" vm="2">
        <v>#VALUE!</v>
      </c>
      <c r="I730" s="64"/>
      <c r="J730" s="57"/>
      <c r="K730" s="57"/>
      <c r="L730" s="4"/>
      <c r="M730" s="35"/>
    </row>
    <row r="731" spans="1:13" ht="15.9" customHeight="1" x14ac:dyDescent="0.3">
      <c r="A731" s="36">
        <v>728</v>
      </c>
      <c r="B731" s="64" t="str">
        <f>IF(Tabla1[[#This Row],[TRABAJADOR]]="", "", VLOOKUP(Tabla1[[#This Row],[TRABAJADOR]], 'Colaborador ID'!B:C, 2, FALSE))</f>
        <v>E1416</v>
      </c>
      <c r="C731" s="63" t="s">
        <v>1411</v>
      </c>
      <c r="D731" s="64" t="s">
        <v>1412</v>
      </c>
      <c r="E731" s="64" t="s">
        <v>16</v>
      </c>
      <c r="F731" s="38" t="e" vm="1">
        <v>#VALUE!</v>
      </c>
      <c r="G731" s="58">
        <v>45818</v>
      </c>
      <c r="H731" s="57" t="e" vm="2">
        <v>#VALUE!</v>
      </c>
      <c r="I731" s="64"/>
      <c r="J731" s="57"/>
      <c r="K731" s="57"/>
      <c r="L731" s="4"/>
      <c r="M731" s="35"/>
    </row>
    <row r="732" spans="1:13" ht="15.9" customHeight="1" x14ac:dyDescent="0.3">
      <c r="A732" s="36">
        <v>729</v>
      </c>
      <c r="B732" s="64" t="str">
        <f>IF(Tabla1[[#This Row],[TRABAJADOR]]="", "", VLOOKUP(Tabla1[[#This Row],[TRABAJADOR]], 'Colaborador ID'!B:C, 2, FALSE))</f>
        <v>E1525</v>
      </c>
      <c r="C732" s="63" t="s">
        <v>1413</v>
      </c>
      <c r="D732" s="64" t="s">
        <v>1414</v>
      </c>
      <c r="E732" s="64" t="s">
        <v>13</v>
      </c>
      <c r="F732" s="57" t="e" vm="1">
        <v>#VALUE!</v>
      </c>
      <c r="G732" s="58"/>
      <c r="H732" s="57" t="e" vm="2">
        <v>#VALUE!</v>
      </c>
      <c r="I732" s="64" t="s">
        <v>22</v>
      </c>
      <c r="J732" s="57"/>
      <c r="K732" s="57"/>
      <c r="L732" s="4"/>
      <c r="M732" s="35"/>
    </row>
    <row r="733" spans="1:13" ht="15.9" customHeight="1" x14ac:dyDescent="0.3">
      <c r="A733" s="36">
        <v>730</v>
      </c>
      <c r="B733" s="64" t="str">
        <f>IF(Tabla1[[#This Row],[TRABAJADOR]]="", "", VLOOKUP(Tabla1[[#This Row],[TRABAJADOR]], 'Colaborador ID'!B:C, 2, FALSE))</f>
        <v>E0322</v>
      </c>
      <c r="C733" s="63" t="s">
        <v>1415</v>
      </c>
      <c r="D733" s="64" t="s">
        <v>1416</v>
      </c>
      <c r="E733" s="64"/>
      <c r="F733" s="57" t="e" vm="1">
        <v>#VALUE!</v>
      </c>
      <c r="G733" s="58"/>
      <c r="H733" s="57" t="e" vm="2">
        <v>#VALUE!</v>
      </c>
      <c r="I733" s="64"/>
      <c r="J733" s="57"/>
      <c r="K733" s="57"/>
      <c r="L733" s="4"/>
      <c r="M733" s="35"/>
    </row>
    <row r="734" spans="1:13" ht="15.9" customHeight="1" x14ac:dyDescent="0.3">
      <c r="A734" s="36">
        <v>731</v>
      </c>
      <c r="B734" s="64" t="e">
        <f>IF(Tabla1[[#This Row],[TRABAJADOR]]="", "", VLOOKUP(Tabla1[[#This Row],[TRABAJADOR]], 'Colaborador ID'!B:C, 2, FALSE))</f>
        <v>#N/A</v>
      </c>
      <c r="C734" s="63" t="s">
        <v>1417</v>
      </c>
      <c r="D734" s="64" t="s">
        <v>1418</v>
      </c>
      <c r="E734" s="64" t="s">
        <v>19</v>
      </c>
      <c r="F734" s="38" t="e" vm="1">
        <v>#VALUE!</v>
      </c>
      <c r="G734" s="58">
        <v>45763</v>
      </c>
      <c r="H734" s="57" t="e" vm="2">
        <v>#VALUE!</v>
      </c>
      <c r="I734" s="64"/>
      <c r="J734" s="57"/>
      <c r="K734" s="57"/>
      <c r="L734" s="4"/>
      <c r="M734" s="35"/>
    </row>
    <row r="735" spans="1:13" ht="15.9" customHeight="1" x14ac:dyDescent="0.3">
      <c r="A735" s="36">
        <v>732</v>
      </c>
      <c r="B735" s="57" t="str">
        <f>IF(Tabla1[[#This Row],[TRABAJADOR]]="", "", VLOOKUP(Tabla1[[#This Row],[TRABAJADOR]], 'Colaborador ID'!B:C, 2, FALSE))</f>
        <v>E1865</v>
      </c>
      <c r="C735" s="56" t="s">
        <v>1419</v>
      </c>
      <c r="D735" s="57" t="s">
        <v>1420</v>
      </c>
      <c r="E735" s="64" t="s">
        <v>16</v>
      </c>
      <c r="F735" s="49" t="e" vm="1">
        <v>#VALUE!</v>
      </c>
      <c r="G735" s="58">
        <v>45944</v>
      </c>
      <c r="H735" s="57" t="e" vm="2">
        <v>#VALUE!</v>
      </c>
      <c r="I735" s="57" t="s">
        <v>22</v>
      </c>
      <c r="J735" s="57"/>
      <c r="K735" s="57"/>
      <c r="L735" s="4"/>
      <c r="M735" s="35"/>
    </row>
    <row r="736" spans="1:13" ht="15.9" customHeight="1" x14ac:dyDescent="0.3">
      <c r="A736" s="36">
        <v>733</v>
      </c>
      <c r="B736" s="57" t="str">
        <f>IF(Tabla1[[#This Row],[TRABAJADOR]]="", "", VLOOKUP(Tabla1[[#This Row],[TRABAJADOR]], 'Colaborador ID'!B:C, 2, FALSE))</f>
        <v>E1929</v>
      </c>
      <c r="C736" s="56" t="s">
        <v>1421</v>
      </c>
      <c r="D736" s="57" t="s">
        <v>1422</v>
      </c>
      <c r="E736" s="64" t="s">
        <v>16</v>
      </c>
      <c r="F736" s="49" t="e" vm="1">
        <v>#VALUE!</v>
      </c>
      <c r="G736" s="58">
        <v>45961</v>
      </c>
      <c r="H736" s="57" t="e" vm="2">
        <v>#VALUE!</v>
      </c>
      <c r="I736" s="64" t="s">
        <v>22</v>
      </c>
      <c r="J736" s="57"/>
      <c r="K736" s="57"/>
      <c r="L736" s="4"/>
      <c r="M736" s="35"/>
    </row>
    <row r="737" spans="1:13" ht="15.9" customHeight="1" x14ac:dyDescent="0.3">
      <c r="A737" s="36">
        <v>734</v>
      </c>
      <c r="B737" s="57" t="str">
        <f>IF(Tabla1[[#This Row],[TRABAJADOR]]="", "", VLOOKUP(Tabla1[[#This Row],[TRABAJADOR]], 'Colaborador ID'!B:C, 2, FALSE))</f>
        <v>E1980</v>
      </c>
      <c r="C737" s="56" t="s">
        <v>1423</v>
      </c>
      <c r="D737" s="57" t="s">
        <v>1424</v>
      </c>
      <c r="E737" s="64" t="s">
        <v>19</v>
      </c>
      <c r="F737" s="49" t="e" vm="1">
        <v>#VALUE!</v>
      </c>
      <c r="G737" s="58">
        <v>45953</v>
      </c>
      <c r="H737" s="57" t="e" vm="2">
        <v>#VALUE!</v>
      </c>
      <c r="I737" s="57" t="s">
        <v>22</v>
      </c>
      <c r="J737" s="57"/>
      <c r="K737" s="57"/>
      <c r="L737" s="4"/>
      <c r="M737" s="35"/>
    </row>
    <row r="738" spans="1:13" ht="15.9" customHeight="1" x14ac:dyDescent="0.3">
      <c r="A738" s="36">
        <v>735</v>
      </c>
      <c r="B738" s="64" t="e">
        <f>IF(Tabla1[[#This Row],[TRABAJADOR]]="", "", VLOOKUP(Tabla1[[#This Row],[TRABAJADOR]], 'Colaborador ID'!B:C, 2, FALSE))</f>
        <v>#N/A</v>
      </c>
      <c r="C738" s="63" t="s">
        <v>1425</v>
      </c>
      <c r="D738" s="64" t="s">
        <v>1426</v>
      </c>
      <c r="E738" s="64" t="s">
        <v>16</v>
      </c>
      <c r="F738" s="49" t="e" vm="1">
        <v>#VALUE!</v>
      </c>
      <c r="G738" s="58"/>
      <c r="H738" s="57" t="e" vm="2">
        <v>#VALUE!</v>
      </c>
      <c r="I738" s="64"/>
      <c r="J738" s="57"/>
      <c r="K738" s="57"/>
      <c r="L738" s="4"/>
      <c r="M738" s="35"/>
    </row>
    <row r="739" spans="1:13" ht="15.9" customHeight="1" x14ac:dyDescent="0.3">
      <c r="A739" s="36">
        <v>736</v>
      </c>
      <c r="B739" s="64" t="str">
        <f>IF(Tabla1[[#This Row],[TRABAJADOR]]="", "", VLOOKUP(Tabla1[[#This Row],[TRABAJADOR]], 'Colaborador ID'!B:C, 2, FALSE))</f>
        <v>E1526</v>
      </c>
      <c r="C739" s="63" t="s">
        <v>1427</v>
      </c>
      <c r="D739" s="64" t="s">
        <v>1428</v>
      </c>
      <c r="E739" s="64" t="s">
        <v>271</v>
      </c>
      <c r="F739" s="49" t="e" vm="1">
        <v>#VALUE!</v>
      </c>
      <c r="G739" s="58"/>
      <c r="H739" s="57" t="e" vm="2">
        <v>#VALUE!</v>
      </c>
      <c r="I739" s="64" t="s">
        <v>22</v>
      </c>
      <c r="J739" s="57"/>
      <c r="K739" s="57"/>
      <c r="L739" s="4"/>
      <c r="M739" s="35"/>
    </row>
    <row r="740" spans="1:13" ht="15.9" customHeight="1" x14ac:dyDescent="0.3">
      <c r="A740" s="36">
        <v>737</v>
      </c>
      <c r="B740" s="64" t="str">
        <f>IF(Tabla1[[#This Row],[TRABAJADOR]]="", "", VLOOKUP(Tabla1[[#This Row],[TRABAJADOR]], 'Colaborador ID'!B:C, 2, FALSE))</f>
        <v>E1527</v>
      </c>
      <c r="C740" s="63" t="s">
        <v>1429</v>
      </c>
      <c r="D740" s="64" t="s">
        <v>1430</v>
      </c>
      <c r="E740" s="64" t="s">
        <v>16</v>
      </c>
      <c r="F740" s="57" t="e" vm="1">
        <v>#VALUE!</v>
      </c>
      <c r="G740" s="58"/>
      <c r="H740" s="57" t="e" vm="2">
        <v>#VALUE!</v>
      </c>
      <c r="I740" s="64" t="s">
        <v>22</v>
      </c>
      <c r="J740" s="57"/>
      <c r="K740" s="57"/>
      <c r="L740" s="4"/>
      <c r="M740" s="35"/>
    </row>
    <row r="741" spans="1:13" ht="15.9" customHeight="1" x14ac:dyDescent="0.3">
      <c r="A741" s="36">
        <v>738</v>
      </c>
      <c r="B741" s="64" t="str">
        <f>IF(Tabla1[[#This Row],[TRABAJADOR]]="", "", VLOOKUP(Tabla1[[#This Row],[TRABAJADOR]], 'Colaborador ID'!B:C, 2, FALSE))</f>
        <v>E0524</v>
      </c>
      <c r="C741" s="63" t="s">
        <v>1431</v>
      </c>
      <c r="D741" s="64" t="s">
        <v>1432</v>
      </c>
      <c r="E741" s="64"/>
      <c r="F741" s="57" t="e" vm="1">
        <v>#VALUE!</v>
      </c>
      <c r="G741" s="58"/>
      <c r="H741" s="57" t="e" vm="2">
        <v>#VALUE!</v>
      </c>
      <c r="I741" s="64" t="s">
        <v>22</v>
      </c>
      <c r="J741" s="57"/>
      <c r="K741" s="57"/>
      <c r="L741" s="4"/>
      <c r="M741" s="35"/>
    </row>
    <row r="742" spans="1:13" ht="15.9" customHeight="1" x14ac:dyDescent="0.3">
      <c r="A742" s="36">
        <v>739</v>
      </c>
      <c r="B742" s="64" t="str">
        <f>IF(Tabla1[[#This Row],[TRABAJADOR]]="", "", VLOOKUP(Tabla1[[#This Row],[TRABAJADOR]], 'Colaborador ID'!B:C, 2, FALSE))</f>
        <v>E0789</v>
      </c>
      <c r="C742" s="63" t="s">
        <v>1433</v>
      </c>
      <c r="D742" s="64" t="s">
        <v>1434</v>
      </c>
      <c r="E742" s="64"/>
      <c r="F742" s="57" t="e" vm="1">
        <v>#VALUE!</v>
      </c>
      <c r="G742" s="58"/>
      <c r="H742" s="57" t="e" vm="2">
        <v>#VALUE!</v>
      </c>
      <c r="I742" s="64"/>
      <c r="J742" s="57"/>
      <c r="K742" s="57"/>
      <c r="L742" s="4"/>
      <c r="M742" s="35"/>
    </row>
    <row r="743" spans="1:13" ht="15.9" customHeight="1" x14ac:dyDescent="0.3">
      <c r="A743" s="36">
        <v>740</v>
      </c>
      <c r="B743" s="57" t="str">
        <f>IF(Tabla1[[#This Row],[TRABAJADOR]]="", "", VLOOKUP(Tabla1[[#This Row],[TRABAJADOR]], 'Colaborador ID'!B:C, 2, FALSE))</f>
        <v>E1956</v>
      </c>
      <c r="C743" s="56" t="s">
        <v>1435</v>
      </c>
      <c r="D743" s="57" t="s">
        <v>1436</v>
      </c>
      <c r="E743" s="64"/>
      <c r="F743" s="49" t="e" vm="1">
        <v>#VALUE!</v>
      </c>
      <c r="G743" s="58">
        <v>45944</v>
      </c>
      <c r="H743" s="57" t="e" vm="2">
        <v>#VALUE!</v>
      </c>
      <c r="I743" s="57" t="s">
        <v>22</v>
      </c>
      <c r="J743" s="57"/>
      <c r="K743" s="57"/>
      <c r="L743" s="4"/>
      <c r="M743" s="35"/>
    </row>
    <row r="744" spans="1:13" ht="15.9" customHeight="1" x14ac:dyDescent="0.3">
      <c r="A744" s="36">
        <v>741</v>
      </c>
      <c r="B744" s="64" t="str">
        <f>IF(Tabla1[[#This Row],[TRABAJADOR]]="", "", VLOOKUP(Tabla1[[#This Row],[TRABAJADOR]], 'Colaborador ID'!B:C, 2, FALSE))</f>
        <v>E0127</v>
      </c>
      <c r="C744" s="63" t="s">
        <v>1437</v>
      </c>
      <c r="D744" s="64" t="s">
        <v>1438</v>
      </c>
      <c r="E744" s="64"/>
      <c r="F744" s="57" t="e" vm="1">
        <v>#VALUE!</v>
      </c>
      <c r="G744" s="58"/>
      <c r="H744" s="57" t="e" vm="2">
        <v>#VALUE!</v>
      </c>
      <c r="I744" s="64"/>
      <c r="J744" s="57"/>
      <c r="K744" s="57"/>
      <c r="L744" s="4"/>
      <c r="M744" s="35"/>
    </row>
    <row r="745" spans="1:13" ht="15.9" customHeight="1" x14ac:dyDescent="0.3">
      <c r="A745" s="36">
        <v>742</v>
      </c>
      <c r="B745" s="64" t="str">
        <f>IF(Tabla1[[#This Row],[TRABAJADOR]]="", "", VLOOKUP(Tabla1[[#This Row],[TRABAJADOR]], 'Colaborador ID'!B:C, 2, FALSE))</f>
        <v>E0381</v>
      </c>
      <c r="C745" s="63" t="s">
        <v>1439</v>
      </c>
      <c r="D745" s="64" t="s">
        <v>1440</v>
      </c>
      <c r="E745" s="64"/>
      <c r="F745" s="57" t="e" vm="1">
        <v>#VALUE!</v>
      </c>
      <c r="G745" s="58"/>
      <c r="H745" s="57" t="e" vm="2">
        <v>#VALUE!</v>
      </c>
      <c r="I745" s="64"/>
      <c r="J745" s="57"/>
      <c r="K745" s="57"/>
      <c r="L745" s="4"/>
      <c r="M745" s="35"/>
    </row>
    <row r="746" spans="1:13" ht="15.9" customHeight="1" x14ac:dyDescent="0.3">
      <c r="A746" s="36">
        <v>743</v>
      </c>
      <c r="B746" s="64" t="str">
        <f>IF(Tabla1[[#This Row],[TRABAJADOR]]="", "", VLOOKUP(Tabla1[[#This Row],[TRABAJADOR]], 'Colaborador ID'!B:C, 2, FALSE))</f>
        <v>E0352</v>
      </c>
      <c r="C746" s="63" t="s">
        <v>1441</v>
      </c>
      <c r="D746" s="64" t="s">
        <v>1442</v>
      </c>
      <c r="E746" s="64"/>
      <c r="F746" s="57" t="e" vm="1">
        <v>#VALUE!</v>
      </c>
      <c r="G746" s="58"/>
      <c r="H746" s="57" t="e" vm="2">
        <v>#VALUE!</v>
      </c>
      <c r="I746" s="64"/>
      <c r="J746" s="57"/>
      <c r="K746" s="57"/>
      <c r="L746" s="4"/>
      <c r="M746" s="35"/>
    </row>
    <row r="747" spans="1:13" ht="15.9" customHeight="1" x14ac:dyDescent="0.3">
      <c r="A747" s="36">
        <v>744</v>
      </c>
      <c r="B747" s="64" t="str">
        <f>IF(Tabla1[[#This Row],[TRABAJADOR]]="", "", VLOOKUP(Tabla1[[#This Row],[TRABAJADOR]], 'Colaborador ID'!B:C, 2, FALSE))</f>
        <v>E1685</v>
      </c>
      <c r="C747" s="63" t="s">
        <v>1443</v>
      </c>
      <c r="D747" s="64" t="s">
        <v>1444</v>
      </c>
      <c r="E747" s="64" t="s">
        <v>16</v>
      </c>
      <c r="F747" s="49" t="e" vm="1">
        <v>#VALUE!</v>
      </c>
      <c r="G747" s="58">
        <v>45950</v>
      </c>
      <c r="H747" s="49" t="e" vm="2">
        <v>#VALUE!</v>
      </c>
      <c r="I747" s="64"/>
      <c r="J747" s="57"/>
      <c r="K747" s="57"/>
      <c r="L747" s="4"/>
      <c r="M747" s="35"/>
    </row>
    <row r="748" spans="1:13" ht="15.9" customHeight="1" x14ac:dyDescent="0.35">
      <c r="A748" s="36">
        <v>745</v>
      </c>
      <c r="B748" s="64" t="str">
        <f>IF(Tabla1[[#This Row],[TRABAJADOR]]="", "", VLOOKUP(Tabla1[[#This Row],[TRABAJADOR]], 'Colaborador ID'!B:C, 2, FALSE))</f>
        <v>E1065</v>
      </c>
      <c r="C748" s="63" t="s">
        <v>1445</v>
      </c>
      <c r="D748" s="64" t="s">
        <v>1446</v>
      </c>
      <c r="E748" s="64" t="s">
        <v>16</v>
      </c>
      <c r="F748" s="37" t="e" vm="1">
        <v>#VALUE!</v>
      </c>
      <c r="G748" s="58">
        <v>45793</v>
      </c>
      <c r="H748" s="40" t="e" vm="2">
        <v>#VALUE!</v>
      </c>
      <c r="I748" s="64"/>
      <c r="J748" s="57"/>
      <c r="K748" s="57"/>
      <c r="L748" s="4"/>
      <c r="M748" s="35"/>
    </row>
    <row r="749" spans="1:13" ht="15.9" customHeight="1" x14ac:dyDescent="0.3">
      <c r="A749" s="36">
        <v>746</v>
      </c>
      <c r="B749" s="64" t="str">
        <f>IF(Tabla1[[#This Row],[TRABAJADOR]]="", "", VLOOKUP(Tabla1[[#This Row],[TRABAJADOR]], 'Colaborador ID'!B:C, 2, FALSE))</f>
        <v>E0216</v>
      </c>
      <c r="C749" s="63" t="s">
        <v>1447</v>
      </c>
      <c r="D749" s="64" t="s">
        <v>1448</v>
      </c>
      <c r="E749" s="64" t="s">
        <v>35</v>
      </c>
      <c r="F749" s="38" t="e" vm="1">
        <v>#VALUE!</v>
      </c>
      <c r="G749" s="58">
        <v>45820</v>
      </c>
      <c r="H749" s="57" t="e" vm="2">
        <v>#VALUE!</v>
      </c>
      <c r="I749" s="64"/>
      <c r="J749" s="57"/>
      <c r="K749" s="57"/>
      <c r="L749" s="4"/>
      <c r="M749" s="35"/>
    </row>
    <row r="750" spans="1:13" ht="15.9" customHeight="1" x14ac:dyDescent="0.3">
      <c r="A750" s="36">
        <v>747</v>
      </c>
      <c r="B750" s="64" t="str">
        <f>IF(Tabla1[[#This Row],[TRABAJADOR]]="", "", VLOOKUP(Tabla1[[#This Row],[TRABAJADOR]], 'Colaborador ID'!B:C, 2, FALSE))</f>
        <v>E1079</v>
      </c>
      <c r="C750" s="63" t="s">
        <v>1449</v>
      </c>
      <c r="D750" s="64" t="s">
        <v>1450</v>
      </c>
      <c r="E750" s="64" t="s">
        <v>16</v>
      </c>
      <c r="F750" s="38" t="e" vm="1">
        <v>#VALUE!</v>
      </c>
      <c r="G750" s="58">
        <v>45783</v>
      </c>
      <c r="H750" s="57" t="e" vm="2">
        <v>#VALUE!</v>
      </c>
      <c r="I750" s="64"/>
      <c r="J750" s="57"/>
      <c r="K750" s="57"/>
      <c r="L750" s="4"/>
      <c r="M750" s="35"/>
    </row>
    <row r="751" spans="1:13" ht="15.9" customHeight="1" x14ac:dyDescent="0.3">
      <c r="A751" s="36">
        <v>748</v>
      </c>
      <c r="B751" s="57" t="str">
        <f>IF(Tabla1[[#This Row],[TRABAJADOR]]="", "", VLOOKUP(Tabla1[[#This Row],[TRABAJADOR]], 'Colaborador ID'!B:C, 2, FALSE))</f>
        <v>E1852</v>
      </c>
      <c r="C751" s="56" t="s">
        <v>1451</v>
      </c>
      <c r="D751" s="57" t="s">
        <v>1452</v>
      </c>
      <c r="E751" s="64" t="s">
        <v>16</v>
      </c>
      <c r="F751" s="49" t="e" vm="1">
        <v>#VALUE!</v>
      </c>
      <c r="G751" s="58">
        <v>45936</v>
      </c>
      <c r="H751" s="57" t="e" vm="2">
        <v>#VALUE!</v>
      </c>
      <c r="I751" s="57"/>
      <c r="J751" s="57"/>
      <c r="K751" s="57"/>
      <c r="L751" s="4"/>
      <c r="M751" s="35"/>
    </row>
    <row r="752" spans="1:13" ht="15.9" customHeight="1" x14ac:dyDescent="0.3">
      <c r="A752" s="36">
        <v>749</v>
      </c>
      <c r="B752" s="64" t="str">
        <f>IF(Tabla1[[#This Row],[TRABAJADOR]]="", "", VLOOKUP(Tabla1[[#This Row],[TRABAJADOR]], 'Colaborador ID'!B:C, 2, FALSE))</f>
        <v>E0123</v>
      </c>
      <c r="C752" s="63" t="s">
        <v>1453</v>
      </c>
      <c r="D752" s="64" t="s">
        <v>1454</v>
      </c>
      <c r="E752" s="64"/>
      <c r="F752" s="57" t="e" vm="1">
        <v>#VALUE!</v>
      </c>
      <c r="G752" s="58"/>
      <c r="H752" s="57" t="e" vm="2">
        <v>#VALUE!</v>
      </c>
      <c r="I752" s="64"/>
      <c r="J752" s="57"/>
      <c r="K752" s="57"/>
      <c r="L752" s="4"/>
      <c r="M752" s="35"/>
    </row>
    <row r="753" spans="1:13" ht="15.9" customHeight="1" x14ac:dyDescent="0.3">
      <c r="A753" s="36">
        <v>750</v>
      </c>
      <c r="B753" s="64" t="str">
        <f>IF(Tabla1[[#This Row],[TRABAJADOR]]="", "", VLOOKUP(Tabla1[[#This Row],[TRABAJADOR]], 'Colaborador ID'!B:C, 2, FALSE))</f>
        <v>E0206</v>
      </c>
      <c r="C753" s="63" t="s">
        <v>1455</v>
      </c>
      <c r="D753" s="64" t="s">
        <v>1456</v>
      </c>
      <c r="E753" s="64"/>
      <c r="F753" s="57" t="e" vm="1">
        <v>#VALUE!</v>
      </c>
      <c r="G753" s="58"/>
      <c r="H753" s="57" t="e" vm="2">
        <v>#VALUE!</v>
      </c>
      <c r="I753" s="64"/>
      <c r="J753" s="57"/>
      <c r="K753" s="57"/>
      <c r="L753" s="4"/>
      <c r="M753" s="35"/>
    </row>
    <row r="754" spans="1:13" ht="15.9" customHeight="1" x14ac:dyDescent="0.3">
      <c r="A754" s="36">
        <v>751</v>
      </c>
      <c r="B754" s="57" t="str">
        <f>IF(Tabla1[[#This Row],[TRABAJADOR]]="", "", VLOOKUP(Tabla1[[#This Row],[TRABAJADOR]], 'Colaborador ID'!B:C, 2, FALSE))</f>
        <v>E1883</v>
      </c>
      <c r="C754" s="56" t="s">
        <v>1457</v>
      </c>
      <c r="D754" s="57" t="s">
        <v>1458</v>
      </c>
      <c r="E754" s="64" t="s">
        <v>16</v>
      </c>
      <c r="F754" s="49" t="e" vm="1">
        <v>#VALUE!</v>
      </c>
      <c r="G754" s="58">
        <v>45959</v>
      </c>
      <c r="H754" s="57" t="e" vm="2">
        <v>#VALUE!</v>
      </c>
      <c r="I754" s="57" t="s">
        <v>22</v>
      </c>
      <c r="J754" s="57"/>
      <c r="K754" s="57"/>
      <c r="L754" s="4"/>
      <c r="M754" s="35"/>
    </row>
    <row r="755" spans="1:13" ht="15.9" customHeight="1" x14ac:dyDescent="0.35">
      <c r="A755" s="36">
        <v>752</v>
      </c>
      <c r="B755" s="64" t="e">
        <f>IF(Tabla1[[#This Row],[TRABAJADOR]]="", "", VLOOKUP(Tabla1[[#This Row],[TRABAJADOR]], 'Colaborador ID'!B:C, 2, FALSE))</f>
        <v>#N/A</v>
      </c>
      <c r="C755" s="63" t="s">
        <v>1459</v>
      </c>
      <c r="D755" s="64" t="s">
        <v>1460</v>
      </c>
      <c r="E755" s="64" t="s">
        <v>13</v>
      </c>
      <c r="F755" s="37" t="e" vm="1">
        <v>#VALUE!</v>
      </c>
      <c r="G755" s="58">
        <v>45735</v>
      </c>
      <c r="H755" s="57" t="e" vm="2">
        <v>#VALUE!</v>
      </c>
      <c r="I755" s="64"/>
      <c r="J755" s="57"/>
      <c r="K755" s="57"/>
      <c r="L755" s="4"/>
      <c r="M755" s="35"/>
    </row>
    <row r="756" spans="1:13" ht="15.9" customHeight="1" x14ac:dyDescent="0.3">
      <c r="A756" s="36">
        <v>753</v>
      </c>
      <c r="B756" s="64" t="str">
        <f>IF(Tabla1[[#This Row],[TRABAJADOR]]="", "", VLOOKUP(Tabla1[[#This Row],[TRABAJADOR]], 'Colaborador ID'!B:C, 2, FALSE))</f>
        <v>E0421</v>
      </c>
      <c r="C756" s="63" t="s">
        <v>1461</v>
      </c>
      <c r="D756" s="57" t="s">
        <v>1462</v>
      </c>
      <c r="E756" s="64"/>
      <c r="F756" s="57" t="e" vm="1">
        <v>#VALUE!</v>
      </c>
      <c r="G756" s="58"/>
      <c r="H756" s="57" t="e" vm="2">
        <v>#VALUE!</v>
      </c>
      <c r="I756" s="64"/>
      <c r="J756" s="57"/>
      <c r="K756" s="57"/>
      <c r="L756" s="4"/>
      <c r="M756" s="35"/>
    </row>
    <row r="757" spans="1:13" ht="15.9" customHeight="1" x14ac:dyDescent="0.3">
      <c r="A757" s="36">
        <v>754</v>
      </c>
      <c r="B757" s="64" t="str">
        <f>IF(Tabla1[[#This Row],[TRABAJADOR]]="", "", VLOOKUP(Tabla1[[#This Row],[TRABAJADOR]], 'Colaborador ID'!B:C, 2, FALSE))</f>
        <v>E1670</v>
      </c>
      <c r="C757" s="63" t="s">
        <v>1463</v>
      </c>
      <c r="D757" s="64" t="s">
        <v>1464</v>
      </c>
      <c r="E757" s="64" t="s">
        <v>33</v>
      </c>
      <c r="F757" s="49" t="e" vm="1">
        <v>#VALUE!</v>
      </c>
      <c r="G757" s="58">
        <v>45972</v>
      </c>
      <c r="H757" s="49" t="e" vm="2">
        <v>#VALUE!</v>
      </c>
      <c r="I757" s="64"/>
      <c r="J757" s="57"/>
      <c r="K757" s="57"/>
      <c r="L757" s="4"/>
      <c r="M757" s="35"/>
    </row>
    <row r="758" spans="1:13" ht="15.9" customHeight="1" x14ac:dyDescent="0.3">
      <c r="A758" s="36">
        <v>755</v>
      </c>
      <c r="B758" s="57" t="str">
        <f>IF(Tabla1[[#This Row],[TRABAJADOR]]="", "", VLOOKUP(Tabla1[[#This Row],[TRABAJADOR]], 'Colaborador ID'!B:C, 2, FALSE))</f>
        <v>E1993</v>
      </c>
      <c r="C758" s="56" t="s">
        <v>1465</v>
      </c>
      <c r="D758" s="57" t="s">
        <v>1466</v>
      </c>
      <c r="E758" s="64" t="s">
        <v>13</v>
      </c>
      <c r="F758" s="49" t="e" vm="1">
        <v>#VALUE!</v>
      </c>
      <c r="G758" s="58">
        <v>45961</v>
      </c>
      <c r="H758" s="57" t="e" vm="2">
        <v>#VALUE!</v>
      </c>
      <c r="I758" s="64" t="s">
        <v>22</v>
      </c>
      <c r="J758" s="57"/>
      <c r="K758" s="57"/>
      <c r="L758" s="4"/>
      <c r="M758" s="35"/>
    </row>
    <row r="759" spans="1:13" ht="15.9" customHeight="1" x14ac:dyDescent="0.35">
      <c r="A759" s="36">
        <v>756</v>
      </c>
      <c r="B759" s="64" t="str">
        <f>IF(Tabla1[[#This Row],[TRABAJADOR]]="", "", VLOOKUP(Tabla1[[#This Row],[TRABAJADOR]], 'Colaborador ID'!B:C, 2, FALSE))</f>
        <v>E1275</v>
      </c>
      <c r="C759" s="63" t="s">
        <v>1467</v>
      </c>
      <c r="D759" s="64" t="s">
        <v>1468</v>
      </c>
      <c r="E759" s="64" t="s">
        <v>19</v>
      </c>
      <c r="F759" s="59" t="e" vm="1">
        <v>#VALUE!</v>
      </c>
      <c r="G759" s="58"/>
      <c r="H759" s="57" t="e" vm="2">
        <v>#VALUE!</v>
      </c>
      <c r="I759" s="64"/>
      <c r="J759" s="57"/>
      <c r="K759" s="57"/>
      <c r="L759" s="4"/>
      <c r="M759" s="35"/>
    </row>
    <row r="760" spans="1:13" ht="15.9" customHeight="1" x14ac:dyDescent="0.3">
      <c r="A760" s="36">
        <v>757</v>
      </c>
      <c r="B760" s="64" t="str">
        <f>IF(Tabla1[[#This Row],[TRABAJADOR]]="", "", VLOOKUP(Tabla1[[#This Row],[TRABAJADOR]], 'Colaborador ID'!B:C, 2, FALSE))</f>
        <v>E0824</v>
      </c>
      <c r="C760" s="63" t="s">
        <v>1469</v>
      </c>
      <c r="D760" s="64" t="s">
        <v>1470</v>
      </c>
      <c r="E760" s="64"/>
      <c r="F760" s="57" t="e" vm="1">
        <v>#VALUE!</v>
      </c>
      <c r="G760" s="58"/>
      <c r="H760" s="57" t="e" vm="2">
        <v>#VALUE!</v>
      </c>
      <c r="I760" s="64"/>
      <c r="J760" s="57"/>
      <c r="K760" s="57"/>
      <c r="L760" s="4"/>
      <c r="M760" s="35"/>
    </row>
    <row r="761" spans="1:13" ht="15.9" customHeight="1" x14ac:dyDescent="0.35">
      <c r="A761" s="36">
        <v>758</v>
      </c>
      <c r="B761" s="64" t="str">
        <f>IF(Tabla1[[#This Row],[TRABAJADOR]]="", "", VLOOKUP(Tabla1[[#This Row],[TRABAJADOR]], 'Colaborador ID'!B:C, 2, FALSE))</f>
        <v>E0512</v>
      </c>
      <c r="C761" s="63" t="s">
        <v>1471</v>
      </c>
      <c r="D761" s="64" t="s">
        <v>1472</v>
      </c>
      <c r="E761" s="64" t="s">
        <v>13</v>
      </c>
      <c r="F761" s="37" t="e" vm="1">
        <v>#VALUE!</v>
      </c>
      <c r="G761" s="58"/>
      <c r="H761" s="57" t="e" vm="2">
        <v>#VALUE!</v>
      </c>
      <c r="I761" s="64"/>
      <c r="J761" s="57"/>
      <c r="K761" s="57"/>
      <c r="L761" s="4"/>
      <c r="M761" s="35"/>
    </row>
    <row r="762" spans="1:13" ht="15.9" customHeight="1" x14ac:dyDescent="0.3">
      <c r="A762" s="36">
        <v>759</v>
      </c>
      <c r="B762" s="64" t="str">
        <f>IF(Tabla1[[#This Row],[TRABAJADOR]]="", "", VLOOKUP(Tabla1[[#This Row],[TRABAJADOR]], 'Colaborador ID'!B:C, 2, FALSE))</f>
        <v>E0555</v>
      </c>
      <c r="C762" s="63" t="s">
        <v>1473</v>
      </c>
      <c r="D762" s="64" t="s">
        <v>1474</v>
      </c>
      <c r="E762" s="64"/>
      <c r="F762" s="57" t="e" vm="1">
        <v>#VALUE!</v>
      </c>
      <c r="G762" s="58"/>
      <c r="H762" s="57" t="e" vm="2">
        <v>#VALUE!</v>
      </c>
      <c r="I762" s="64"/>
      <c r="J762" s="57"/>
      <c r="K762" s="57"/>
      <c r="L762" s="4"/>
      <c r="M762" s="35"/>
    </row>
    <row r="763" spans="1:13" ht="15.9" customHeight="1" x14ac:dyDescent="0.3">
      <c r="A763" s="36">
        <v>760</v>
      </c>
      <c r="B763" s="64" t="str">
        <f>IF(Tabla1[[#This Row],[TRABAJADOR]]="", "", VLOOKUP(Tabla1[[#This Row],[TRABAJADOR]], 'Colaborador ID'!B:C, 2, FALSE))</f>
        <v>E0108</v>
      </c>
      <c r="C763" s="63" t="s">
        <v>1475</v>
      </c>
      <c r="D763" s="64" t="s">
        <v>1476</v>
      </c>
      <c r="E763" s="64" t="s">
        <v>19</v>
      </c>
      <c r="F763" s="38" t="e" vm="1">
        <v>#VALUE!</v>
      </c>
      <c r="G763" s="58">
        <v>45744</v>
      </c>
      <c r="H763" s="57" t="e" vm="2">
        <v>#VALUE!</v>
      </c>
      <c r="I763" s="64"/>
      <c r="J763" s="57"/>
      <c r="K763" s="57"/>
      <c r="L763" s="4"/>
      <c r="M763" s="35"/>
    </row>
    <row r="764" spans="1:13" ht="15.9" customHeight="1" x14ac:dyDescent="0.35">
      <c r="A764" s="36">
        <v>761</v>
      </c>
      <c r="B764" s="64" t="str">
        <f>IF(Tabla1[[#This Row],[TRABAJADOR]]="", "", VLOOKUP(Tabla1[[#This Row],[TRABAJADOR]], 'Colaborador ID'!B:C, 2, FALSE))</f>
        <v>E0492</v>
      </c>
      <c r="C764" s="63" t="s">
        <v>1477</v>
      </c>
      <c r="D764" s="64" t="s">
        <v>1478</v>
      </c>
      <c r="E764" s="64" t="s">
        <v>19</v>
      </c>
      <c r="F764" s="37" t="e" vm="1">
        <v>#VALUE!</v>
      </c>
      <c r="G764" s="58"/>
      <c r="H764" s="57" t="e" vm="2">
        <v>#VALUE!</v>
      </c>
      <c r="I764" s="64"/>
      <c r="J764" s="57"/>
      <c r="K764" s="57"/>
      <c r="L764" s="4"/>
      <c r="M764" s="35"/>
    </row>
    <row r="765" spans="1:13" ht="15.9" customHeight="1" x14ac:dyDescent="0.3">
      <c r="A765" s="36">
        <v>762</v>
      </c>
      <c r="B765" s="57" t="str">
        <f>IF(Tabla1[[#This Row],[TRABAJADOR]]="", "", VLOOKUP(Tabla1[[#This Row],[TRABAJADOR]], 'Colaborador ID'!B:C, 2, FALSE))</f>
        <v>E2023</v>
      </c>
      <c r="C765" s="56" t="s">
        <v>1479</v>
      </c>
      <c r="D765" s="57" t="s">
        <v>1462</v>
      </c>
      <c r="E765" s="64"/>
      <c r="F765" s="57" t="e" vm="1">
        <v>#VALUE!</v>
      </c>
      <c r="G765" s="58"/>
      <c r="H765" s="57" t="e" vm="2">
        <v>#VALUE!</v>
      </c>
      <c r="I765" s="57"/>
      <c r="J765" s="57"/>
      <c r="K765" s="57"/>
      <c r="L765" s="4"/>
      <c r="M765" s="35"/>
    </row>
    <row r="766" spans="1:13" ht="15.9" customHeight="1" x14ac:dyDescent="0.3">
      <c r="A766" s="36">
        <v>763</v>
      </c>
      <c r="B766" s="64" t="str">
        <f>IF(Tabla1[[#This Row],[TRABAJADOR]]="", "", VLOOKUP(Tabla1[[#This Row],[TRABAJADOR]], 'Colaborador ID'!B:C, 2, FALSE))</f>
        <v>E1529</v>
      </c>
      <c r="C766" s="63" t="s">
        <v>1480</v>
      </c>
      <c r="D766" s="64" t="s">
        <v>1481</v>
      </c>
      <c r="E766" s="64" t="s">
        <v>271</v>
      </c>
      <c r="F766" s="49" t="e" vm="1">
        <v>#VALUE!</v>
      </c>
      <c r="G766" s="58"/>
      <c r="H766" s="57" t="e" vm="2">
        <v>#VALUE!</v>
      </c>
      <c r="I766" s="64" t="s">
        <v>22</v>
      </c>
      <c r="J766" s="57"/>
      <c r="K766" s="57"/>
      <c r="L766" s="4"/>
      <c r="M766" s="35"/>
    </row>
    <row r="767" spans="1:13" ht="15.9" customHeight="1" x14ac:dyDescent="0.3">
      <c r="A767" s="36">
        <v>764</v>
      </c>
      <c r="B767" s="64" t="str">
        <f>IF(Tabla1[[#This Row],[TRABAJADOR]]="", "", VLOOKUP(Tabla1[[#This Row],[TRABAJADOR]], 'Colaborador ID'!B:C, 2, FALSE))</f>
        <v>E0691</v>
      </c>
      <c r="C767" s="63" t="s">
        <v>1482</v>
      </c>
      <c r="D767" s="64" t="s">
        <v>1483</v>
      </c>
      <c r="E767" s="64"/>
      <c r="F767" s="57" t="e" vm="1">
        <v>#VALUE!</v>
      </c>
      <c r="G767" s="58"/>
      <c r="H767" s="57" t="e" vm="2">
        <v>#VALUE!</v>
      </c>
      <c r="I767" s="64"/>
      <c r="J767" s="57"/>
      <c r="K767" s="57"/>
      <c r="L767" s="4"/>
      <c r="M767" s="35"/>
    </row>
    <row r="768" spans="1:13" ht="15.9" customHeight="1" x14ac:dyDescent="0.3">
      <c r="A768" s="36">
        <v>765</v>
      </c>
      <c r="B768" s="64" t="str">
        <f>IF(Tabla1[[#This Row],[TRABAJADOR]]="", "", VLOOKUP(Tabla1[[#This Row],[TRABAJADOR]], 'Colaborador ID'!B:C, 2, FALSE))</f>
        <v>E0355</v>
      </c>
      <c r="C768" s="63" t="s">
        <v>1484</v>
      </c>
      <c r="D768" s="64" t="s">
        <v>1485</v>
      </c>
      <c r="E768" s="64"/>
      <c r="F768" s="57" t="e" vm="1">
        <v>#VALUE!</v>
      </c>
      <c r="G768" s="58"/>
      <c r="H768" s="57" t="e" vm="2">
        <v>#VALUE!</v>
      </c>
      <c r="I768" s="64"/>
      <c r="J768" s="57"/>
      <c r="K768" s="57"/>
      <c r="L768" s="4"/>
      <c r="M768" s="35"/>
    </row>
    <row r="769" spans="1:13" ht="15.9" customHeight="1" x14ac:dyDescent="0.3">
      <c r="A769" s="36">
        <v>766</v>
      </c>
      <c r="B769" s="64" t="str">
        <f>IF(Tabla1[[#This Row],[TRABAJADOR]]="", "", VLOOKUP(Tabla1[[#This Row],[TRABAJADOR]], 'Colaborador ID'!B:C, 2, FALSE))</f>
        <v>E0547</v>
      </c>
      <c r="C769" s="63" t="s">
        <v>1486</v>
      </c>
      <c r="D769" s="64" t="s">
        <v>1487</v>
      </c>
      <c r="E769" s="64"/>
      <c r="F769" s="57" t="e" vm="1">
        <v>#VALUE!</v>
      </c>
      <c r="G769" s="58"/>
      <c r="H769" s="57" t="e" vm="2">
        <v>#VALUE!</v>
      </c>
      <c r="I769" s="64"/>
      <c r="J769" s="57"/>
      <c r="K769" s="57"/>
      <c r="L769" s="4"/>
      <c r="M769" s="35"/>
    </row>
    <row r="770" spans="1:13" ht="15.9" customHeight="1" x14ac:dyDescent="0.35">
      <c r="A770" s="36">
        <v>767</v>
      </c>
      <c r="B770" s="64" t="str">
        <f>IF(Tabla1[[#This Row],[TRABAJADOR]]="", "", VLOOKUP(Tabla1[[#This Row],[TRABAJADOR]], 'Colaborador ID'!B:C, 2, FALSE))</f>
        <v>E0725</v>
      </c>
      <c r="C770" s="63" t="s">
        <v>1488</v>
      </c>
      <c r="D770" s="64" t="s">
        <v>1489</v>
      </c>
      <c r="E770" s="64" t="s">
        <v>16</v>
      </c>
      <c r="F770" s="59" t="e" vm="1">
        <v>#VALUE!</v>
      </c>
      <c r="G770" s="58"/>
      <c r="H770" s="57" t="e" vm="2">
        <v>#VALUE!</v>
      </c>
      <c r="I770" s="64"/>
      <c r="J770" s="57"/>
      <c r="K770" s="57"/>
      <c r="L770" s="4"/>
      <c r="M770" s="35"/>
    </row>
    <row r="771" spans="1:13" ht="15.9" customHeight="1" x14ac:dyDescent="0.35">
      <c r="A771" s="36">
        <v>768</v>
      </c>
      <c r="B771" s="64" t="str">
        <f>IF(Tabla1[[#This Row],[TRABAJADOR]]="", "", VLOOKUP(Tabla1[[#This Row],[TRABAJADOR]], 'Colaborador ID'!B:C, 2, FALSE))</f>
        <v>E0268</v>
      </c>
      <c r="C771" s="63" t="s">
        <v>1490</v>
      </c>
      <c r="D771" s="64" t="s">
        <v>1491</v>
      </c>
      <c r="E771" s="64" t="s">
        <v>16</v>
      </c>
      <c r="F771" s="37" t="e" vm="1">
        <v>#VALUE!</v>
      </c>
      <c r="G771" s="58"/>
      <c r="H771" s="57" t="e" vm="2">
        <v>#VALUE!</v>
      </c>
      <c r="I771" s="64"/>
      <c r="J771" s="57"/>
      <c r="K771" s="57"/>
      <c r="L771" s="4"/>
      <c r="M771" s="35"/>
    </row>
    <row r="772" spans="1:13" ht="15.9" customHeight="1" x14ac:dyDescent="0.3">
      <c r="A772" s="36">
        <v>769</v>
      </c>
      <c r="B772" s="64" t="str">
        <f>IF(Tabla1[[#This Row],[TRABAJADOR]]="", "", VLOOKUP(Tabla1[[#This Row],[TRABAJADOR]], 'Colaborador ID'!B:C, 2, FALSE))</f>
        <v>E1093</v>
      </c>
      <c r="C772" s="63" t="s">
        <v>1492</v>
      </c>
      <c r="D772" s="64" t="s">
        <v>1493</v>
      </c>
      <c r="E772" s="64"/>
      <c r="F772" s="57" t="e" vm="1">
        <v>#VALUE!</v>
      </c>
      <c r="G772" s="58"/>
      <c r="H772" s="57" t="e" vm="2">
        <v>#VALUE!</v>
      </c>
      <c r="I772" s="64"/>
      <c r="J772" s="57"/>
      <c r="K772" s="57"/>
      <c r="L772" s="4"/>
      <c r="M772" s="35"/>
    </row>
    <row r="773" spans="1:13" ht="15.9" customHeight="1" x14ac:dyDescent="0.3">
      <c r="A773" s="36">
        <v>770</v>
      </c>
      <c r="B773" s="64" t="str">
        <f>IF(Tabla1[[#This Row],[TRABAJADOR]]="", "", VLOOKUP(Tabla1[[#This Row],[TRABAJADOR]], 'Colaborador ID'!B:C, 2, FALSE))</f>
        <v>E0211</v>
      </c>
      <c r="C773" s="63" t="s">
        <v>1494</v>
      </c>
      <c r="D773" s="64" t="s">
        <v>1495</v>
      </c>
      <c r="E773" s="64"/>
      <c r="F773" s="57" t="e" vm="1">
        <v>#VALUE!</v>
      </c>
      <c r="G773" s="58"/>
      <c r="H773" s="57" t="e" vm="2">
        <v>#VALUE!</v>
      </c>
      <c r="I773" s="64"/>
      <c r="J773" s="57"/>
      <c r="K773" s="57"/>
      <c r="L773" s="4"/>
      <c r="M773" s="35"/>
    </row>
    <row r="774" spans="1:13" ht="15.9" customHeight="1" x14ac:dyDescent="0.3">
      <c r="A774" s="36">
        <v>771</v>
      </c>
      <c r="B774" s="64" t="e">
        <f>IF(Tabla1[[#This Row],[TRABAJADOR]]="", "", VLOOKUP(Tabla1[[#This Row],[TRABAJADOR]], 'Colaborador ID'!B:C, 2, FALSE))</f>
        <v>#N/A</v>
      </c>
      <c r="C774" s="63" t="s">
        <v>1496</v>
      </c>
      <c r="D774" s="64" t="s">
        <v>1497</v>
      </c>
      <c r="E774" s="64"/>
      <c r="F774" s="57" t="e" vm="1">
        <v>#VALUE!</v>
      </c>
      <c r="G774" s="58"/>
      <c r="H774" s="57" t="e" vm="2">
        <v>#VALUE!</v>
      </c>
      <c r="I774" s="64"/>
      <c r="J774" s="57"/>
      <c r="K774" s="57"/>
      <c r="L774" s="4"/>
      <c r="M774" s="35"/>
    </row>
    <row r="775" spans="1:13" ht="15.9" customHeight="1" x14ac:dyDescent="0.3">
      <c r="A775" s="36">
        <v>772</v>
      </c>
      <c r="B775" s="57" t="str">
        <f>IF(Tabla1[[#This Row],[TRABAJADOR]]="", "", VLOOKUP(Tabla1[[#This Row],[TRABAJADOR]], 'Colaborador ID'!B:C, 2, FALSE))</f>
        <v>E1782</v>
      </c>
      <c r="C775" s="56" t="s">
        <v>1498</v>
      </c>
      <c r="D775" s="57" t="s">
        <v>1499</v>
      </c>
      <c r="E775" s="64" t="s">
        <v>16</v>
      </c>
      <c r="F775" s="49" t="e" vm="1">
        <v>#VALUE!</v>
      </c>
      <c r="G775" s="58">
        <v>45897</v>
      </c>
      <c r="H775" s="57" t="e" vm="2">
        <v>#VALUE!</v>
      </c>
      <c r="I775" s="57"/>
      <c r="J775" s="57"/>
      <c r="K775" s="57"/>
      <c r="L775" s="4"/>
      <c r="M775" s="35"/>
    </row>
    <row r="776" spans="1:13" ht="15.9" customHeight="1" x14ac:dyDescent="0.3">
      <c r="A776" s="36">
        <v>773</v>
      </c>
      <c r="B776" s="57" t="str">
        <f>IF(Tabla1[[#This Row],[TRABAJADOR]]="", "", VLOOKUP(Tabla1[[#This Row],[TRABAJADOR]], 'Colaborador ID'!B:C, 2, FALSE))</f>
        <v>E1991</v>
      </c>
      <c r="C776" s="56" t="s">
        <v>1500</v>
      </c>
      <c r="D776" s="57" t="s">
        <v>1501</v>
      </c>
      <c r="E776" s="64" t="s">
        <v>13</v>
      </c>
      <c r="F776" s="49" t="e" vm="1">
        <v>#VALUE!</v>
      </c>
      <c r="G776" s="58">
        <v>45966</v>
      </c>
      <c r="H776" s="57" t="e" vm="2">
        <v>#VALUE!</v>
      </c>
      <c r="I776" s="57" t="s">
        <v>22</v>
      </c>
      <c r="J776" s="57"/>
      <c r="K776" s="57"/>
      <c r="L776" s="4"/>
      <c r="M776" s="35"/>
    </row>
    <row r="777" spans="1:13" ht="15.9" customHeight="1" x14ac:dyDescent="0.3">
      <c r="A777" s="36">
        <v>774</v>
      </c>
      <c r="B777" s="64" t="str">
        <f>IF(Tabla1[[#This Row],[TRABAJADOR]]="", "", VLOOKUP(Tabla1[[#This Row],[TRABAJADOR]], 'Colaborador ID'!B:C, 2, FALSE))</f>
        <v>E0069</v>
      </c>
      <c r="C777" s="63" t="s">
        <v>1502</v>
      </c>
      <c r="D777" s="64" t="s">
        <v>1503</v>
      </c>
      <c r="E777" s="64"/>
      <c r="F777" s="57" t="e" vm="1">
        <v>#VALUE!</v>
      </c>
      <c r="G777" s="58"/>
      <c r="H777" s="57" t="e" vm="2">
        <v>#VALUE!</v>
      </c>
      <c r="I777" s="64"/>
      <c r="J777" s="57"/>
      <c r="K777" s="57"/>
      <c r="L777" s="4"/>
      <c r="M777" s="35"/>
    </row>
    <row r="778" spans="1:13" ht="15.9" customHeight="1" x14ac:dyDescent="0.3">
      <c r="A778" s="36">
        <v>775</v>
      </c>
      <c r="B778" s="64" t="str">
        <f>IF(Tabla1[[#This Row],[TRABAJADOR]]="", "", VLOOKUP(Tabla1[[#This Row],[TRABAJADOR]], 'Colaborador ID'!B:C, 2, FALSE))</f>
        <v>E0552</v>
      </c>
      <c r="C778" s="63" t="s">
        <v>1504</v>
      </c>
      <c r="D778" s="64" t="s">
        <v>1505</v>
      </c>
      <c r="E778" s="64" t="s">
        <v>16</v>
      </c>
      <c r="F778" s="38" t="e" vm="1">
        <v>#VALUE!</v>
      </c>
      <c r="G778" s="58">
        <v>45817</v>
      </c>
      <c r="H778" s="57" t="e" vm="2">
        <v>#VALUE!</v>
      </c>
      <c r="I778" s="64"/>
      <c r="J778" s="57"/>
      <c r="K778" s="57"/>
      <c r="L778" s="4"/>
      <c r="M778" s="35"/>
    </row>
    <row r="779" spans="1:13" ht="15.9" customHeight="1" x14ac:dyDescent="0.3">
      <c r="A779" s="36">
        <v>776</v>
      </c>
      <c r="B779" s="57" t="str">
        <f>IF(Tabla1[[#This Row],[TRABAJADOR]]="", "", VLOOKUP(Tabla1[[#This Row],[TRABAJADOR]], 'Colaborador ID'!B:C, 2, FALSE))</f>
        <v>E1763</v>
      </c>
      <c r="C779" s="56" t="s">
        <v>1506</v>
      </c>
      <c r="D779" s="57" t="s">
        <v>1507</v>
      </c>
      <c r="E779" s="64" t="s">
        <v>19</v>
      </c>
      <c r="F779" s="49" t="e" vm="1">
        <v>#VALUE!</v>
      </c>
      <c r="G779" s="58">
        <v>45904</v>
      </c>
      <c r="H779" s="57" t="e" vm="2">
        <v>#VALUE!</v>
      </c>
      <c r="I779" s="57"/>
      <c r="J779" s="57"/>
      <c r="K779" s="57"/>
      <c r="L779" s="4"/>
      <c r="M779" s="35"/>
    </row>
    <row r="780" spans="1:13" ht="15.9" customHeight="1" x14ac:dyDescent="0.3">
      <c r="A780" s="36">
        <v>777</v>
      </c>
      <c r="B780" s="64" t="str">
        <f>IF(Tabla1[[#This Row],[TRABAJADOR]]="", "", VLOOKUP(Tabla1[[#This Row],[TRABAJADOR]], 'Colaborador ID'!B:C, 2, FALSE))</f>
        <v>E0301</v>
      </c>
      <c r="C780" s="63" t="s">
        <v>1508</v>
      </c>
      <c r="D780" s="64" t="s">
        <v>1509</v>
      </c>
      <c r="E780" s="64"/>
      <c r="F780" s="57" t="e" vm="1">
        <v>#VALUE!</v>
      </c>
      <c r="G780" s="58"/>
      <c r="H780" s="57" t="e" vm="2">
        <v>#VALUE!</v>
      </c>
      <c r="I780" s="64"/>
      <c r="J780" s="57"/>
      <c r="K780" s="57"/>
      <c r="L780" s="4"/>
      <c r="M780" s="35"/>
    </row>
    <row r="781" spans="1:13" ht="15.9" customHeight="1" x14ac:dyDescent="0.35">
      <c r="A781" s="36">
        <v>778</v>
      </c>
      <c r="B781" s="64" t="str">
        <f>IF(Tabla1[[#This Row],[TRABAJADOR]]="", "", VLOOKUP(Tabla1[[#This Row],[TRABAJADOR]], 'Colaborador ID'!B:C, 2, FALSE))</f>
        <v>E0591</v>
      </c>
      <c r="C781" s="63" t="s">
        <v>1510</v>
      </c>
      <c r="D781" s="64" t="s">
        <v>1511</v>
      </c>
      <c r="E781" s="64"/>
      <c r="F781" s="37" t="e" vm="1">
        <v>#VALUE!</v>
      </c>
      <c r="G781" s="58"/>
      <c r="H781" s="57" t="e" vm="2">
        <v>#VALUE!</v>
      </c>
      <c r="I781" s="64"/>
      <c r="J781" s="57"/>
      <c r="K781" s="57"/>
      <c r="L781" s="4"/>
      <c r="M781" s="35"/>
    </row>
    <row r="782" spans="1:13" ht="15.9" customHeight="1" x14ac:dyDescent="0.35">
      <c r="A782" s="36">
        <v>779</v>
      </c>
      <c r="B782" s="64" t="str">
        <f>IF(Tabla1[[#This Row],[TRABAJADOR]]="", "", VLOOKUP(Tabla1[[#This Row],[TRABAJADOR]], 'Colaborador ID'!B:C, 2, FALSE))</f>
        <v>E0171</v>
      </c>
      <c r="C782" s="63" t="s">
        <v>1512</v>
      </c>
      <c r="D782" s="64" t="s">
        <v>1513</v>
      </c>
      <c r="E782" s="64" t="s">
        <v>16</v>
      </c>
      <c r="F782" s="37" t="e" vm="1">
        <v>#VALUE!</v>
      </c>
      <c r="G782" s="58"/>
      <c r="H782" s="57" t="e" vm="2">
        <v>#VALUE!</v>
      </c>
      <c r="I782" s="64"/>
      <c r="J782" s="57"/>
      <c r="K782" s="57"/>
      <c r="L782" s="4"/>
      <c r="M782" s="35"/>
    </row>
    <row r="783" spans="1:13" ht="15.9" customHeight="1" x14ac:dyDescent="0.3">
      <c r="A783" s="36">
        <v>780</v>
      </c>
      <c r="B783" s="64" t="str">
        <f>IF(Tabla1[[#This Row],[TRABAJADOR]]="", "", VLOOKUP(Tabla1[[#This Row],[TRABAJADOR]], 'Colaborador ID'!B:C, 2, FALSE))</f>
        <v>E0585</v>
      </c>
      <c r="C783" s="63" t="s">
        <v>1514</v>
      </c>
      <c r="D783" s="64" t="s">
        <v>5297</v>
      </c>
      <c r="E783" s="64" t="s">
        <v>16</v>
      </c>
      <c r="F783" s="49" t="e" vm="1">
        <v>#VALUE!</v>
      </c>
      <c r="G783" s="58">
        <v>46010</v>
      </c>
      <c r="H783" s="49" t="e" vm="2">
        <v>#VALUE!</v>
      </c>
      <c r="I783" s="64"/>
      <c r="J783" s="57"/>
      <c r="K783" s="57"/>
      <c r="L783" s="4"/>
      <c r="M783" s="35"/>
    </row>
    <row r="784" spans="1:13" ht="15.9" customHeight="1" x14ac:dyDescent="0.3">
      <c r="A784" s="36">
        <v>781</v>
      </c>
      <c r="B784" s="64" t="str">
        <f>IF(Tabla1[[#This Row],[TRABAJADOR]]="", "", VLOOKUP(Tabla1[[#This Row],[TRABAJADOR]], 'Colaborador ID'!B:C, 2, FALSE))</f>
        <v>E0017</v>
      </c>
      <c r="C784" s="63" t="s">
        <v>1515</v>
      </c>
      <c r="D784" s="64" t="s">
        <v>1516</v>
      </c>
      <c r="E784" s="64" t="s">
        <v>16</v>
      </c>
      <c r="F784" s="38" t="e" vm="1">
        <v>#VALUE!</v>
      </c>
      <c r="G784" s="58">
        <v>45817</v>
      </c>
      <c r="H784" s="57" t="e" vm="2">
        <v>#VALUE!</v>
      </c>
      <c r="I784" s="64"/>
      <c r="J784" s="57"/>
      <c r="K784" s="57"/>
      <c r="L784" s="4"/>
      <c r="M784" s="35"/>
    </row>
    <row r="785" spans="1:13" ht="15.9" customHeight="1" x14ac:dyDescent="0.3">
      <c r="A785" s="36">
        <v>782</v>
      </c>
      <c r="B785" s="64" t="str">
        <f>IF(Tabla1[[#This Row],[TRABAJADOR]]="", "", VLOOKUP(Tabla1[[#This Row],[TRABAJADOR]], 'Colaborador ID'!B:C, 2, FALSE))</f>
        <v>E1530</v>
      </c>
      <c r="C785" s="63" t="s">
        <v>1517</v>
      </c>
      <c r="D785" s="64" t="s">
        <v>1518</v>
      </c>
      <c r="E785" s="64"/>
      <c r="F785" s="57" t="e" vm="1">
        <v>#VALUE!</v>
      </c>
      <c r="G785" s="58"/>
      <c r="H785" s="57" t="e" vm="2">
        <v>#VALUE!</v>
      </c>
      <c r="I785" s="64" t="s">
        <v>22</v>
      </c>
      <c r="J785" s="57"/>
      <c r="K785" s="57"/>
      <c r="L785" s="4"/>
      <c r="M785" s="35"/>
    </row>
    <row r="786" spans="1:13" ht="15.9" customHeight="1" x14ac:dyDescent="0.3">
      <c r="A786" s="36">
        <v>783</v>
      </c>
      <c r="B786" s="57" t="str">
        <f>IF(Tabla1[[#This Row],[TRABAJADOR]]="", "", VLOOKUP(Tabla1[[#This Row],[TRABAJADOR]], 'Colaborador ID'!B:C, 2, FALSE))</f>
        <v>E2113</v>
      </c>
      <c r="C786" s="56" t="s">
        <v>5382</v>
      </c>
      <c r="D786" s="57" t="s">
        <v>5503</v>
      </c>
      <c r="E786" s="57" t="s">
        <v>16</v>
      </c>
      <c r="F786" s="49" t="e" vm="1">
        <v>#VALUE!</v>
      </c>
      <c r="G786" s="58">
        <v>46085</v>
      </c>
      <c r="H786" s="57" t="e" vm="3">
        <v>#VALUE!</v>
      </c>
      <c r="I786" s="57"/>
      <c r="J786" s="57"/>
      <c r="K786" s="57"/>
      <c r="L786" s="4"/>
      <c r="M786" s="35"/>
    </row>
    <row r="787" spans="1:13" ht="15.9" customHeight="1" x14ac:dyDescent="0.3">
      <c r="A787" s="36">
        <v>784</v>
      </c>
      <c r="B787" s="64" t="str">
        <f>IF(Tabla1[[#This Row],[TRABAJADOR]]="", "", VLOOKUP(Tabla1[[#This Row],[TRABAJADOR]], 'Colaborador ID'!B:C, 2, FALSE))</f>
        <v>E0034</v>
      </c>
      <c r="C787" s="63" t="s">
        <v>1519</v>
      </c>
      <c r="D787" s="64" t="s">
        <v>1520</v>
      </c>
      <c r="E787" s="64" t="s">
        <v>13</v>
      </c>
      <c r="F787" s="38" t="e" vm="1">
        <v>#VALUE!</v>
      </c>
      <c r="G787" s="58">
        <v>45825</v>
      </c>
      <c r="H787" s="40" t="e" vm="2">
        <v>#VALUE!</v>
      </c>
      <c r="I787" s="64"/>
      <c r="J787" s="57"/>
      <c r="K787" s="57"/>
      <c r="L787" s="4"/>
      <c r="M787" s="35"/>
    </row>
    <row r="788" spans="1:13" ht="15.9" customHeight="1" x14ac:dyDescent="0.3">
      <c r="A788" s="36">
        <v>785</v>
      </c>
      <c r="B788" s="64" t="str">
        <f>IF(Tabla1[[#This Row],[TRABAJADOR]]="", "", VLOOKUP(Tabla1[[#This Row],[TRABAJADOR]], 'Colaborador ID'!B:C, 2, FALSE))</f>
        <v>E0109</v>
      </c>
      <c r="C788" s="63" t="s">
        <v>1521</v>
      </c>
      <c r="D788" s="64" t="s">
        <v>1522</v>
      </c>
      <c r="E788" s="64"/>
      <c r="F788" s="57" t="e" vm="1">
        <v>#VALUE!</v>
      </c>
      <c r="G788" s="58"/>
      <c r="H788" s="57" t="e" vm="2">
        <v>#VALUE!</v>
      </c>
      <c r="I788" s="64"/>
      <c r="J788" s="57"/>
      <c r="K788" s="57"/>
      <c r="L788" s="4"/>
      <c r="M788" s="35"/>
    </row>
    <row r="789" spans="1:13" ht="15.9" customHeight="1" x14ac:dyDescent="0.3">
      <c r="A789" s="36">
        <v>786</v>
      </c>
      <c r="B789" s="64" t="str">
        <f>IF(Tabla1[[#This Row],[TRABAJADOR]]="", "", VLOOKUP(Tabla1[[#This Row],[TRABAJADOR]], 'Colaborador ID'!B:C, 2, FALSE))</f>
        <v>E0731</v>
      </c>
      <c r="C789" s="63" t="s">
        <v>1523</v>
      </c>
      <c r="D789" s="64" t="s">
        <v>1524</v>
      </c>
      <c r="E789" s="64"/>
      <c r="F789" s="57" t="e" vm="1">
        <v>#VALUE!</v>
      </c>
      <c r="G789" s="58"/>
      <c r="H789" s="57" t="e" vm="2">
        <v>#VALUE!</v>
      </c>
      <c r="I789" s="64"/>
      <c r="J789" s="57"/>
      <c r="K789" s="57"/>
      <c r="L789" s="4"/>
      <c r="M789" s="35"/>
    </row>
    <row r="790" spans="1:13" ht="15.9" customHeight="1" x14ac:dyDescent="0.3">
      <c r="A790" s="36">
        <v>787</v>
      </c>
      <c r="B790" s="64" t="str">
        <f>IF(Tabla1[[#This Row],[TRABAJADOR]]="", "", VLOOKUP(Tabla1[[#This Row],[TRABAJADOR]], 'Colaborador ID'!B:C, 2, FALSE))</f>
        <v>E0028</v>
      </c>
      <c r="C790" s="63" t="s">
        <v>1525</v>
      </c>
      <c r="D790" s="64" t="s">
        <v>1526</v>
      </c>
      <c r="E790" s="64" t="s">
        <v>16</v>
      </c>
      <c r="F790" s="38" t="e" vm="1">
        <v>#VALUE!</v>
      </c>
      <c r="G790" s="58">
        <v>45839</v>
      </c>
      <c r="H790" s="40" t="e" vm="2">
        <v>#VALUE!</v>
      </c>
      <c r="I790" s="64"/>
      <c r="J790" s="57"/>
      <c r="K790" s="57"/>
      <c r="L790" s="4"/>
      <c r="M790" s="35"/>
    </row>
    <row r="791" spans="1:13" ht="15.9" customHeight="1" x14ac:dyDescent="0.3">
      <c r="A791" s="36">
        <v>788</v>
      </c>
      <c r="B791" s="57" t="str">
        <f>IF(Tabla1[[#This Row],[TRABAJADOR]]="", "", VLOOKUP(Tabla1[[#This Row],[TRABAJADOR]], 'Colaborador ID'!B:C, 2, FALSE))</f>
        <v>E1698</v>
      </c>
      <c r="C791" s="56" t="s">
        <v>1527</v>
      </c>
      <c r="D791" s="57" t="s">
        <v>1528</v>
      </c>
      <c r="E791" s="64" t="s">
        <v>16</v>
      </c>
      <c r="F791" s="49" t="e" vm="1">
        <v>#VALUE!</v>
      </c>
      <c r="G791" s="58">
        <v>45954</v>
      </c>
      <c r="H791" s="49" t="e" vm="2">
        <v>#VALUE!</v>
      </c>
      <c r="I791" s="57" t="s">
        <v>22</v>
      </c>
      <c r="J791" s="57"/>
      <c r="K791" s="57"/>
      <c r="L791" s="4"/>
      <c r="M791" s="35"/>
    </row>
    <row r="792" spans="1:13" ht="15.9" customHeight="1" x14ac:dyDescent="0.3">
      <c r="A792" s="36">
        <v>789</v>
      </c>
      <c r="B792" s="64" t="str">
        <f>IF(Tabla1[[#This Row],[TRABAJADOR]]="", "", VLOOKUP(Tabla1[[#This Row],[TRABAJADOR]], 'Colaborador ID'!B:C, 2, FALSE))</f>
        <v>E1531</v>
      </c>
      <c r="C792" s="63" t="s">
        <v>1529</v>
      </c>
      <c r="D792" s="64" t="s">
        <v>1530</v>
      </c>
      <c r="E792" s="64" t="s">
        <v>16</v>
      </c>
      <c r="F792" s="49" t="e" vm="1">
        <v>#VALUE!</v>
      </c>
      <c r="G792" s="58"/>
      <c r="H792" s="57" t="e" vm="2">
        <v>#VALUE!</v>
      </c>
      <c r="I792" s="64" t="s">
        <v>22</v>
      </c>
      <c r="J792" s="57"/>
      <c r="K792" s="57"/>
      <c r="L792" s="4"/>
      <c r="M792" s="35"/>
    </row>
    <row r="793" spans="1:13" ht="15.9" customHeight="1" x14ac:dyDescent="0.3">
      <c r="A793" s="36">
        <v>790</v>
      </c>
      <c r="B793" s="64" t="str">
        <f>IF(Tabla1[[#This Row],[TRABAJADOR]]="", "", VLOOKUP(Tabla1[[#This Row],[TRABAJADOR]], 'Colaborador ID'!B:C, 2, FALSE))</f>
        <v>E0164</v>
      </c>
      <c r="C793" s="63" t="s">
        <v>1531</v>
      </c>
      <c r="D793" s="64" t="s">
        <v>1532</v>
      </c>
      <c r="E793" s="64"/>
      <c r="F793" s="57" t="e" vm="1">
        <v>#VALUE!</v>
      </c>
      <c r="G793" s="58"/>
      <c r="H793" s="57" t="e" vm="2">
        <v>#VALUE!</v>
      </c>
      <c r="I793" s="64"/>
      <c r="J793" s="57"/>
      <c r="K793" s="57"/>
      <c r="L793" s="4"/>
      <c r="M793" s="35"/>
    </row>
    <row r="794" spans="1:13" ht="15.9" customHeight="1" x14ac:dyDescent="0.3">
      <c r="A794" s="36">
        <v>791</v>
      </c>
      <c r="B794" s="64" t="str">
        <f>IF(Tabla1[[#This Row],[TRABAJADOR]]="", "", VLOOKUP(Tabla1[[#This Row],[TRABAJADOR]], 'Colaborador ID'!B:C, 2, FALSE))</f>
        <v>E0671</v>
      </c>
      <c r="C794" s="63" t="s">
        <v>1533</v>
      </c>
      <c r="D794" s="64" t="s">
        <v>1534</v>
      </c>
      <c r="E794" s="64"/>
      <c r="F794" s="57" t="e" vm="1">
        <v>#VALUE!</v>
      </c>
      <c r="G794" s="58"/>
      <c r="H794" s="57" t="e" vm="2">
        <v>#VALUE!</v>
      </c>
      <c r="I794" s="64"/>
      <c r="J794" s="57"/>
      <c r="K794" s="57"/>
      <c r="L794" s="4"/>
      <c r="M794" s="35"/>
    </row>
    <row r="795" spans="1:13" ht="15.9" customHeight="1" x14ac:dyDescent="0.3">
      <c r="A795" s="36">
        <v>792</v>
      </c>
      <c r="B795" s="64" t="str">
        <f>IF(Tabla1[[#This Row],[TRABAJADOR]]="", "", VLOOKUP(Tabla1[[#This Row],[TRABAJADOR]], 'Colaborador ID'!B:C, 2, FALSE))</f>
        <v>E0014</v>
      </c>
      <c r="C795" s="63" t="s">
        <v>1535</v>
      </c>
      <c r="D795" s="64" t="s">
        <v>1536</v>
      </c>
      <c r="E795" s="64"/>
      <c r="F795" s="57" t="e" vm="1">
        <v>#VALUE!</v>
      </c>
      <c r="G795" s="58"/>
      <c r="H795" s="57" t="e" vm="2">
        <v>#VALUE!</v>
      </c>
      <c r="I795" s="64"/>
      <c r="J795" s="57"/>
      <c r="K795" s="57"/>
      <c r="L795" s="4"/>
      <c r="M795" s="35"/>
    </row>
    <row r="796" spans="1:13" ht="15.9" customHeight="1" x14ac:dyDescent="0.3">
      <c r="A796" s="36">
        <v>793</v>
      </c>
      <c r="B796" s="57" t="str">
        <f>IF(Tabla1[[#This Row],[TRABAJADOR]]="", "", VLOOKUP(Tabla1[[#This Row],[TRABAJADOR]], 'Colaborador ID'!B:C, 2, FALSE))</f>
        <v>E1715</v>
      </c>
      <c r="C796" s="56" t="s">
        <v>1537</v>
      </c>
      <c r="D796" s="57" t="s">
        <v>1538</v>
      </c>
      <c r="E796" s="64" t="s">
        <v>19</v>
      </c>
      <c r="F796" s="49" t="e" vm="1">
        <v>#VALUE!</v>
      </c>
      <c r="G796" s="58">
        <v>45965</v>
      </c>
      <c r="H796" s="75" t="e" vm="2">
        <v>#VALUE!</v>
      </c>
      <c r="I796" s="57"/>
      <c r="J796" s="57"/>
      <c r="K796" s="57"/>
      <c r="L796" s="4"/>
      <c r="M796" s="35"/>
    </row>
    <row r="797" spans="1:13" ht="15.9" customHeight="1" x14ac:dyDescent="0.3">
      <c r="A797" s="36">
        <v>794</v>
      </c>
      <c r="B797" s="57" t="str">
        <f>IF(Tabla1[[#This Row],[TRABAJADOR]]="", "", VLOOKUP(Tabla1[[#This Row],[TRABAJADOR]], 'Colaborador ID'!B:C, 2, FALSE))</f>
        <v>E1757</v>
      </c>
      <c r="C797" s="56" t="s">
        <v>1539</v>
      </c>
      <c r="D797" s="57" t="s">
        <v>1540</v>
      </c>
      <c r="E797" s="57" t="s">
        <v>16</v>
      </c>
      <c r="F797" s="49" t="e" vm="1">
        <v>#VALUE!</v>
      </c>
      <c r="G797" s="58">
        <v>45888</v>
      </c>
      <c r="H797" s="57" t="e" vm="2">
        <v>#VALUE!</v>
      </c>
      <c r="I797" s="57"/>
      <c r="J797" s="57"/>
      <c r="K797" s="57"/>
      <c r="L797" s="4"/>
      <c r="M797" s="35"/>
    </row>
    <row r="798" spans="1:13" ht="15.9" customHeight="1" x14ac:dyDescent="0.3">
      <c r="A798" s="36">
        <v>795</v>
      </c>
      <c r="B798" s="64" t="str">
        <f>IF(Tabla1[[#This Row],[TRABAJADOR]]="", "", VLOOKUP(Tabla1[[#This Row],[TRABAJADOR]], 'Colaborador ID'!B:C, 2, FALSE))</f>
        <v>E1532</v>
      </c>
      <c r="C798" s="63" t="s">
        <v>1541</v>
      </c>
      <c r="D798" s="64" t="s">
        <v>1542</v>
      </c>
      <c r="E798" s="64"/>
      <c r="F798" s="57" t="e" vm="1">
        <v>#VALUE!</v>
      </c>
      <c r="G798" s="58"/>
      <c r="H798" s="57" t="e" vm="2">
        <v>#VALUE!</v>
      </c>
      <c r="I798" s="64" t="s">
        <v>22</v>
      </c>
      <c r="J798" s="57"/>
      <c r="K798" s="57"/>
      <c r="L798" s="4"/>
      <c r="M798" s="35"/>
    </row>
    <row r="799" spans="1:13" ht="15.9" customHeight="1" x14ac:dyDescent="0.3">
      <c r="A799" s="36">
        <v>796</v>
      </c>
      <c r="B799" s="64" t="str">
        <f>IF(Tabla1[[#This Row],[TRABAJADOR]]="", "", VLOOKUP(Tabla1[[#This Row],[TRABAJADOR]], 'Colaborador ID'!B:C, 2, FALSE))</f>
        <v>E1167</v>
      </c>
      <c r="C799" s="63" t="s">
        <v>1543</v>
      </c>
      <c r="D799" s="64" t="s">
        <v>1544</v>
      </c>
      <c r="E799" s="64"/>
      <c r="F799" s="57" t="e" vm="1">
        <v>#VALUE!</v>
      </c>
      <c r="G799" s="58"/>
      <c r="H799" s="57" t="e" vm="2">
        <v>#VALUE!</v>
      </c>
      <c r="I799" s="64"/>
      <c r="J799" s="57"/>
      <c r="K799" s="57"/>
      <c r="L799" s="4"/>
      <c r="M799" s="35"/>
    </row>
    <row r="800" spans="1:13" ht="15.9" customHeight="1" x14ac:dyDescent="0.3">
      <c r="A800" s="36">
        <v>797</v>
      </c>
      <c r="B800" s="64" t="str">
        <f>IF(Tabla1[[#This Row],[TRABAJADOR]]="", "", VLOOKUP(Tabla1[[#This Row],[TRABAJADOR]], 'Colaborador ID'!B:C, 2, FALSE))</f>
        <v>E0376</v>
      </c>
      <c r="C800" s="63" t="s">
        <v>1545</v>
      </c>
      <c r="D800" s="64" t="s">
        <v>1546</v>
      </c>
      <c r="E800" s="64"/>
      <c r="F800" s="57" t="e" vm="1">
        <v>#VALUE!</v>
      </c>
      <c r="G800" s="58"/>
      <c r="H800" s="57" t="e" vm="2">
        <v>#VALUE!</v>
      </c>
      <c r="I800" s="64"/>
      <c r="J800" s="57"/>
      <c r="K800" s="57"/>
      <c r="L800" s="4"/>
      <c r="M800" s="35"/>
    </row>
    <row r="801" spans="1:13" ht="15.9" customHeight="1" x14ac:dyDescent="0.35">
      <c r="A801" s="36">
        <v>798</v>
      </c>
      <c r="B801" s="64" t="str">
        <f>IF(Tabla1[[#This Row],[TRABAJADOR]]="", "", VLOOKUP(Tabla1[[#This Row],[TRABAJADOR]], 'Colaborador ID'!B:C, 2, FALSE))</f>
        <v>E0518</v>
      </c>
      <c r="C801" s="63" t="s">
        <v>1547</v>
      </c>
      <c r="D801" s="64" t="s">
        <v>1548</v>
      </c>
      <c r="E801" s="64" t="s">
        <v>16</v>
      </c>
      <c r="F801" s="37" t="e" vm="1">
        <v>#VALUE!</v>
      </c>
      <c r="G801" s="58"/>
      <c r="H801" s="57" t="e" vm="2">
        <v>#VALUE!</v>
      </c>
      <c r="I801" s="64"/>
      <c r="J801" s="57"/>
      <c r="K801" s="57"/>
      <c r="L801" s="4"/>
      <c r="M801" s="35"/>
    </row>
    <row r="802" spans="1:13" ht="15.9" customHeight="1" x14ac:dyDescent="0.3">
      <c r="A802" s="36">
        <v>799</v>
      </c>
      <c r="B802" s="64" t="str">
        <f>IF(Tabla1[[#This Row],[TRABAJADOR]]="", "", VLOOKUP(Tabla1[[#This Row],[TRABAJADOR]], 'Colaborador ID'!B:C, 2, FALSE))</f>
        <v>E1671</v>
      </c>
      <c r="C802" s="63" t="s">
        <v>1549</v>
      </c>
      <c r="D802" s="64" t="s">
        <v>1550</v>
      </c>
      <c r="E802" s="64" t="s">
        <v>16</v>
      </c>
      <c r="F802" s="49" t="e" vm="1">
        <v>#VALUE!</v>
      </c>
      <c r="G802" s="58">
        <v>45881</v>
      </c>
      <c r="H802" s="57" t="e" vm="2">
        <v>#VALUE!</v>
      </c>
      <c r="I802" s="64"/>
      <c r="J802" s="57"/>
      <c r="K802" s="57"/>
      <c r="L802" s="4"/>
      <c r="M802" s="35"/>
    </row>
    <row r="803" spans="1:13" ht="15.9" customHeight="1" x14ac:dyDescent="0.3">
      <c r="A803" s="36">
        <v>800</v>
      </c>
      <c r="B803" s="57" t="str">
        <f>IF(Tabla1[[#This Row],[TRABAJADOR]]="", "", VLOOKUP(Tabla1[[#This Row],[TRABAJADOR]], 'Colaborador ID'!B:C, 2, FALSE))</f>
        <v>E1756</v>
      </c>
      <c r="C803" s="56" t="s">
        <v>1551</v>
      </c>
      <c r="D803" s="57" t="s">
        <v>1552</v>
      </c>
      <c r="E803" s="64" t="s">
        <v>19</v>
      </c>
      <c r="F803" s="49" t="e" vm="1">
        <v>#VALUE!</v>
      </c>
      <c r="G803" s="58">
        <v>45918</v>
      </c>
      <c r="H803" s="57" t="e" vm="2">
        <v>#VALUE!</v>
      </c>
      <c r="I803" s="57"/>
      <c r="J803" s="57"/>
      <c r="K803" s="57"/>
      <c r="L803" s="4"/>
      <c r="M803" s="35"/>
    </row>
    <row r="804" spans="1:13" ht="15.9" customHeight="1" x14ac:dyDescent="0.3">
      <c r="A804" s="36">
        <v>801</v>
      </c>
      <c r="B804" s="64" t="str">
        <f>IF(Tabla1[[#This Row],[TRABAJADOR]]="", "", VLOOKUP(Tabla1[[#This Row],[TRABAJADOR]], 'Colaborador ID'!B:C, 2, FALSE))</f>
        <v>E1669</v>
      </c>
      <c r="C804" s="63" t="s">
        <v>1553</v>
      </c>
      <c r="D804" s="64" t="s">
        <v>1554</v>
      </c>
      <c r="E804" s="64" t="s">
        <v>16</v>
      </c>
      <c r="F804" s="38" t="e" vm="1">
        <v>#VALUE!</v>
      </c>
      <c r="G804" s="58">
        <v>45861</v>
      </c>
      <c r="H804" s="57" t="e" vm="2">
        <v>#VALUE!</v>
      </c>
      <c r="I804" s="64"/>
      <c r="J804" s="57"/>
      <c r="K804" s="57"/>
      <c r="L804" s="4"/>
      <c r="M804" s="35"/>
    </row>
    <row r="805" spans="1:13" ht="15.9" customHeight="1" x14ac:dyDescent="0.3">
      <c r="A805" s="36">
        <v>802</v>
      </c>
      <c r="B805" s="64" t="str">
        <f>IF(Tabla1[[#This Row],[TRABAJADOR]]="", "", VLOOKUP(Tabla1[[#This Row],[TRABAJADOR]], 'Colaborador ID'!B:C, 2, FALSE))</f>
        <v>E1446</v>
      </c>
      <c r="C805" s="63" t="s">
        <v>1555</v>
      </c>
      <c r="D805" s="64" t="s">
        <v>1556</v>
      </c>
      <c r="E805" s="64" t="s">
        <v>19</v>
      </c>
      <c r="F805" s="38" t="e" vm="1">
        <v>#VALUE!</v>
      </c>
      <c r="G805" s="58">
        <v>45847</v>
      </c>
      <c r="H805" s="57" t="e" vm="2">
        <v>#VALUE!</v>
      </c>
      <c r="I805" s="64"/>
      <c r="J805" s="57"/>
      <c r="K805" s="57"/>
      <c r="L805" s="4"/>
      <c r="M805" s="35"/>
    </row>
    <row r="806" spans="1:13" ht="15.9" customHeight="1" x14ac:dyDescent="0.3">
      <c r="A806" s="36">
        <v>803</v>
      </c>
      <c r="B806" s="64" t="str">
        <f>IF(Tabla1[[#This Row],[TRABAJADOR]]="", "", VLOOKUP(Tabla1[[#This Row],[TRABAJADOR]], 'Colaborador ID'!B:C, 2, FALSE))</f>
        <v>E0818</v>
      </c>
      <c r="C806" s="63" t="s">
        <v>1557</v>
      </c>
      <c r="D806" s="64" t="s">
        <v>5294</v>
      </c>
      <c r="E806" s="64" t="s">
        <v>16</v>
      </c>
      <c r="F806" s="51" t="e" vm="1">
        <v>#VALUE!</v>
      </c>
      <c r="G806" s="58">
        <v>46009</v>
      </c>
      <c r="H806" s="49" t="e" vm="2">
        <v>#VALUE!</v>
      </c>
      <c r="I806" s="64" t="s">
        <v>22</v>
      </c>
      <c r="J806" s="57"/>
      <c r="K806" s="57"/>
      <c r="L806" s="4"/>
      <c r="M806" s="35"/>
    </row>
    <row r="807" spans="1:13" ht="15.9" customHeight="1" x14ac:dyDescent="0.3">
      <c r="A807" s="36">
        <v>804</v>
      </c>
      <c r="B807" s="64" t="str">
        <f>IF(Tabla1[[#This Row],[TRABAJADOR]]="", "", VLOOKUP(Tabla1[[#This Row],[TRABAJADOR]], 'Colaborador ID'!B:C, 2, FALSE))</f>
        <v>E0533</v>
      </c>
      <c r="C807" s="63" t="s">
        <v>1558</v>
      </c>
      <c r="D807" s="64" t="s">
        <v>1559</v>
      </c>
      <c r="E807" s="64" t="s">
        <v>35</v>
      </c>
      <c r="F807" s="32" t="e" vm="1">
        <v>#VALUE!</v>
      </c>
      <c r="G807" s="58">
        <v>45839</v>
      </c>
      <c r="H807" s="40" t="e" vm="2">
        <v>#VALUE!</v>
      </c>
      <c r="I807" s="64"/>
      <c r="J807" s="57"/>
      <c r="K807" s="57"/>
      <c r="L807" s="4"/>
      <c r="M807" s="35"/>
    </row>
    <row r="808" spans="1:13" ht="15.9" customHeight="1" x14ac:dyDescent="0.3">
      <c r="A808" s="36">
        <v>805</v>
      </c>
      <c r="B808" s="64" t="str">
        <f>IF(Tabla1[[#This Row],[TRABAJADOR]]="", "", VLOOKUP(Tabla1[[#This Row],[TRABAJADOR]], 'Colaborador ID'!B:C, 2, FALSE))</f>
        <v>E1680</v>
      </c>
      <c r="C808" s="63" t="s">
        <v>1560</v>
      </c>
      <c r="D808" s="64" t="s">
        <v>1561</v>
      </c>
      <c r="E808" s="64" t="s">
        <v>16</v>
      </c>
      <c r="F808" s="51" t="e" vm="1">
        <v>#VALUE!</v>
      </c>
      <c r="G808" s="58">
        <v>45880</v>
      </c>
      <c r="H808" s="57" t="e" vm="2">
        <v>#VALUE!</v>
      </c>
      <c r="I808" s="64"/>
      <c r="J808" s="57"/>
      <c r="K808" s="57"/>
      <c r="L808" s="4"/>
      <c r="M808" s="35"/>
    </row>
    <row r="809" spans="1:13" ht="15.9" customHeight="1" x14ac:dyDescent="0.3">
      <c r="A809" s="36">
        <v>806</v>
      </c>
      <c r="B809" s="64" t="str">
        <f>IF(Tabla1[[#This Row],[TRABAJADOR]]="", "", VLOOKUP(Tabla1[[#This Row],[TRABAJADOR]], 'Colaborador ID'!B:C, 2, FALSE))</f>
        <v>E1533</v>
      </c>
      <c r="C809" s="63" t="s">
        <v>1562</v>
      </c>
      <c r="D809" s="64" t="s">
        <v>1563</v>
      </c>
      <c r="E809" s="64"/>
      <c r="F809" s="6" t="e" vm="1">
        <v>#VALUE!</v>
      </c>
      <c r="G809" s="58"/>
      <c r="H809" s="57" t="e" vm="2">
        <v>#VALUE!</v>
      </c>
      <c r="I809" s="64"/>
      <c r="J809" s="57"/>
      <c r="K809" s="57"/>
      <c r="L809" s="4"/>
      <c r="M809" s="35"/>
    </row>
    <row r="810" spans="1:13" ht="15.9" customHeight="1" x14ac:dyDescent="0.3">
      <c r="A810" s="36">
        <v>807</v>
      </c>
      <c r="B810" s="64" t="str">
        <f>IF(Tabla1[[#This Row],[TRABAJADOR]]="", "", VLOOKUP(Tabla1[[#This Row],[TRABAJADOR]], 'Colaborador ID'!B:C, 2, FALSE))</f>
        <v>E1437</v>
      </c>
      <c r="C810" s="63" t="s">
        <v>1564</v>
      </c>
      <c r="D810" s="64" t="s">
        <v>1565</v>
      </c>
      <c r="E810" s="64" t="s">
        <v>13</v>
      </c>
      <c r="F810" s="32" t="e" vm="1">
        <v>#VALUE!</v>
      </c>
      <c r="G810" s="58">
        <v>45854</v>
      </c>
      <c r="H810" s="57" t="e" vm="2">
        <v>#VALUE!</v>
      </c>
      <c r="I810" s="64"/>
      <c r="J810" s="57"/>
      <c r="K810" s="57"/>
      <c r="L810" s="4"/>
      <c r="M810" s="35"/>
    </row>
    <row r="811" spans="1:13" ht="15.9" customHeight="1" x14ac:dyDescent="0.3">
      <c r="A811" s="36">
        <v>808</v>
      </c>
      <c r="B811" s="64" t="str">
        <f>IF(Tabla1[[#This Row],[TRABAJADOR]]="", "", VLOOKUP(Tabla1[[#This Row],[TRABAJADOR]], 'Colaborador ID'!B:C, 2, FALSE))</f>
        <v>E0380</v>
      </c>
      <c r="C811" s="63" t="s">
        <v>1566</v>
      </c>
      <c r="D811" s="64" t="s">
        <v>1567</v>
      </c>
      <c r="E811" s="64"/>
      <c r="F811" s="57" t="e" vm="1">
        <v>#VALUE!</v>
      </c>
      <c r="G811" s="58"/>
      <c r="H811" s="57" t="e" vm="2">
        <v>#VALUE!</v>
      </c>
      <c r="I811" s="64"/>
      <c r="J811" s="57"/>
      <c r="K811" s="57"/>
      <c r="L811" s="4"/>
      <c r="M811" s="35"/>
    </row>
    <row r="812" spans="1:13" ht="15.9" customHeight="1" x14ac:dyDescent="0.3">
      <c r="A812" s="36">
        <v>809</v>
      </c>
      <c r="B812" s="64" t="str">
        <f>IF(Tabla1[[#This Row],[TRABAJADOR]]="", "", VLOOKUP(Tabla1[[#This Row],[TRABAJADOR]], 'Colaborador ID'!B:C, 2, FALSE))</f>
        <v>E0597</v>
      </c>
      <c r="C812" s="63" t="s">
        <v>1568</v>
      </c>
      <c r="D812" s="64" t="s">
        <v>1569</v>
      </c>
      <c r="E812" s="64" t="s">
        <v>16</v>
      </c>
      <c r="F812" s="6" t="e" vm="1">
        <v>#VALUE!</v>
      </c>
      <c r="G812" s="58"/>
      <c r="H812" s="57" t="e" vm="2">
        <v>#VALUE!</v>
      </c>
      <c r="I812" s="64"/>
      <c r="J812" s="57"/>
      <c r="K812" s="57"/>
      <c r="L812" s="4"/>
      <c r="M812" s="35"/>
    </row>
    <row r="813" spans="1:13" ht="15.9" customHeight="1" x14ac:dyDescent="0.3">
      <c r="A813" s="36">
        <v>810</v>
      </c>
      <c r="B813" s="64" t="str">
        <f>IF(Tabla1[[#This Row],[TRABAJADOR]]="", "", VLOOKUP(Tabla1[[#This Row],[TRABAJADOR]], 'Colaborador ID'!B:C, 2, FALSE))</f>
        <v>E0379</v>
      </c>
      <c r="C813" s="63" t="s">
        <v>1570</v>
      </c>
      <c r="D813" s="64" t="s">
        <v>1571</v>
      </c>
      <c r="E813" s="64" t="s">
        <v>16</v>
      </c>
      <c r="F813" s="32" t="e" vm="1">
        <v>#VALUE!</v>
      </c>
      <c r="G813" s="58">
        <v>45854</v>
      </c>
      <c r="H813" s="40" t="e" vm="2">
        <v>#VALUE!</v>
      </c>
      <c r="I813" s="64"/>
      <c r="J813" s="57"/>
      <c r="K813" s="57"/>
      <c r="L813" s="4"/>
      <c r="M813" s="35"/>
    </row>
    <row r="814" spans="1:13" ht="15.9" customHeight="1" x14ac:dyDescent="0.3">
      <c r="A814" s="36">
        <v>811</v>
      </c>
      <c r="B814" s="64" t="str">
        <f>IF(Tabla1[[#This Row],[TRABAJADOR]]="", "", VLOOKUP(Tabla1[[#This Row],[TRABAJADOR]], 'Colaborador ID'!B:C, 2, FALSE))</f>
        <v>E0215</v>
      </c>
      <c r="C814" s="63" t="s">
        <v>1572</v>
      </c>
      <c r="D814" s="64" t="s">
        <v>1573</v>
      </c>
      <c r="E814" s="64" t="s">
        <v>19</v>
      </c>
      <c r="F814" s="38" t="e" vm="1">
        <v>#VALUE!</v>
      </c>
      <c r="G814" s="58">
        <v>45855</v>
      </c>
      <c r="H814" s="40" t="e" vm="2">
        <v>#VALUE!</v>
      </c>
      <c r="I814" s="64"/>
      <c r="J814" s="57"/>
      <c r="K814" s="57"/>
      <c r="L814" s="4"/>
      <c r="M814" s="35"/>
    </row>
    <row r="815" spans="1:13" ht="15.9" customHeight="1" x14ac:dyDescent="0.3">
      <c r="A815" s="36">
        <v>812</v>
      </c>
      <c r="B815" s="64" t="str">
        <f>IF(Tabla1[[#This Row],[TRABAJADOR]]="", "", VLOOKUP(Tabla1[[#This Row],[TRABAJADOR]], 'Colaborador ID'!B:C, 2, FALSE))</f>
        <v>E0002</v>
      </c>
      <c r="C815" s="63" t="s">
        <v>1574</v>
      </c>
      <c r="D815" s="64" t="s">
        <v>1575</v>
      </c>
      <c r="E815" s="64"/>
      <c r="F815" s="57" t="e" vm="1">
        <v>#VALUE!</v>
      </c>
      <c r="G815" s="58"/>
      <c r="H815" s="57" t="e" vm="2">
        <v>#VALUE!</v>
      </c>
      <c r="I815" s="64"/>
      <c r="J815" s="57"/>
      <c r="K815" s="57"/>
      <c r="L815" s="4"/>
      <c r="M815" s="35"/>
    </row>
    <row r="816" spans="1:13" ht="15.9" customHeight="1" x14ac:dyDescent="0.3">
      <c r="A816" s="36">
        <v>813</v>
      </c>
      <c r="B816" s="64" t="str">
        <f>IF(Tabla1[[#This Row],[TRABAJADOR]]="", "", VLOOKUP(Tabla1[[#This Row],[TRABAJADOR]], 'Colaborador ID'!B:C, 2, FALSE))</f>
        <v>E1534</v>
      </c>
      <c r="C816" s="63" t="s">
        <v>1576</v>
      </c>
      <c r="D816" s="64" t="s">
        <v>1577</v>
      </c>
      <c r="E816" s="64" t="s">
        <v>16</v>
      </c>
      <c r="F816" s="49" t="e" vm="1">
        <v>#VALUE!</v>
      </c>
      <c r="G816" s="58"/>
      <c r="H816" s="57" t="e" vm="2">
        <v>#VALUE!</v>
      </c>
      <c r="I816" s="64" t="s">
        <v>22</v>
      </c>
      <c r="J816" s="57"/>
      <c r="K816" s="57"/>
      <c r="L816" s="4"/>
      <c r="M816" s="35"/>
    </row>
    <row r="817" spans="1:13" ht="15.9" customHeight="1" x14ac:dyDescent="0.3">
      <c r="A817" s="36">
        <v>814</v>
      </c>
      <c r="B817" s="57" t="str">
        <f>IF(Tabla1[[#This Row],[TRABAJADOR]]="", "", VLOOKUP(Tabla1[[#This Row],[TRABAJADOR]], 'Colaborador ID'!B:C, 2, FALSE))</f>
        <v>E1896</v>
      </c>
      <c r="C817" s="56" t="s">
        <v>1578</v>
      </c>
      <c r="D817" s="57" t="s">
        <v>5296</v>
      </c>
      <c r="E817" s="64" t="s">
        <v>33</v>
      </c>
      <c r="F817" s="49" t="e" vm="1">
        <v>#VALUE!</v>
      </c>
      <c r="G817" s="58">
        <v>46009</v>
      </c>
      <c r="H817" s="49" t="e" vm="2">
        <v>#VALUE!</v>
      </c>
      <c r="I817" s="57"/>
      <c r="J817" s="57"/>
      <c r="K817" s="57"/>
      <c r="L817" s="4"/>
      <c r="M817" s="35"/>
    </row>
    <row r="818" spans="1:13" ht="15.9" customHeight="1" x14ac:dyDescent="0.3">
      <c r="A818" s="36">
        <v>815</v>
      </c>
      <c r="B818" s="64" t="str">
        <f>IF(Tabla1[[#This Row],[TRABAJADOR]]="", "", VLOOKUP(Tabla1[[#This Row],[TRABAJADOR]], 'Colaborador ID'!B:C, 2, FALSE))</f>
        <v>E0490</v>
      </c>
      <c r="C818" s="63" t="s">
        <v>1580</v>
      </c>
      <c r="D818" s="64" t="s">
        <v>1581</v>
      </c>
      <c r="E818" s="64" t="s">
        <v>16</v>
      </c>
      <c r="F818" s="38" t="e" vm="1">
        <v>#VALUE!</v>
      </c>
      <c r="G818" s="58">
        <v>45785</v>
      </c>
      <c r="H818" s="40" t="e" vm="2">
        <v>#VALUE!</v>
      </c>
      <c r="I818" s="64"/>
      <c r="J818" s="57"/>
      <c r="K818" s="57"/>
      <c r="L818" s="4"/>
      <c r="M818" s="35"/>
    </row>
    <row r="819" spans="1:13" ht="15.9" customHeight="1" x14ac:dyDescent="0.3">
      <c r="A819" s="36">
        <v>816</v>
      </c>
      <c r="B819" s="64" t="str">
        <f>IF(Tabla1[[#This Row],[TRABAJADOR]]="", "", VLOOKUP(Tabla1[[#This Row],[TRABAJADOR]], 'Colaborador ID'!B:C, 2, FALSE))</f>
        <v>E0560</v>
      </c>
      <c r="C819" s="63" t="s">
        <v>1582</v>
      </c>
      <c r="D819" s="64" t="s">
        <v>1583</v>
      </c>
      <c r="E819" s="64" t="s">
        <v>16</v>
      </c>
      <c r="F819" s="38" t="e" vm="1">
        <v>#VALUE!</v>
      </c>
      <c r="G819" s="58">
        <v>45811</v>
      </c>
      <c r="H819" s="57" t="e" vm="2">
        <v>#VALUE!</v>
      </c>
      <c r="I819" s="64"/>
      <c r="J819" s="57"/>
      <c r="K819" s="57"/>
      <c r="L819" s="4"/>
      <c r="M819" s="35"/>
    </row>
    <row r="820" spans="1:13" ht="15.9" customHeight="1" x14ac:dyDescent="0.3">
      <c r="A820" s="36">
        <v>817</v>
      </c>
      <c r="B820" s="57" t="str">
        <f>IF(Tabla1[[#This Row],[TRABAJADOR]]="", "", VLOOKUP(Tabla1[[#This Row],[TRABAJADOR]], 'Colaborador ID'!B:C, 2, FALSE))</f>
        <v>E1944</v>
      </c>
      <c r="C820" s="56" t="s">
        <v>1584</v>
      </c>
      <c r="D820" s="57" t="s">
        <v>1585</v>
      </c>
      <c r="E820" s="64"/>
      <c r="F820" s="49" t="e" vm="1">
        <v>#VALUE!</v>
      </c>
      <c r="G820" s="58">
        <v>45946</v>
      </c>
      <c r="H820" s="57" t="e" vm="2">
        <v>#VALUE!</v>
      </c>
      <c r="I820" s="57" t="s">
        <v>22</v>
      </c>
      <c r="J820" s="57"/>
      <c r="K820" s="57"/>
      <c r="L820" s="4"/>
      <c r="M820" s="35"/>
    </row>
    <row r="821" spans="1:13" ht="15.9" customHeight="1" x14ac:dyDescent="0.3">
      <c r="A821" s="36">
        <v>818</v>
      </c>
      <c r="B821" s="64" t="str">
        <f>IF(Tabla1[[#This Row],[TRABAJADOR]]="", "", VLOOKUP(Tabla1[[#This Row],[TRABAJADOR]], 'Colaborador ID'!B:C, 2, FALSE))</f>
        <v>E0952</v>
      </c>
      <c r="C821" s="63" t="s">
        <v>1586</v>
      </c>
      <c r="D821" s="64" t="s">
        <v>1587</v>
      </c>
      <c r="E821" s="64"/>
      <c r="F821" s="57" t="e" vm="1">
        <v>#VALUE!</v>
      </c>
      <c r="G821" s="58"/>
      <c r="H821" s="57" t="e" vm="2">
        <v>#VALUE!</v>
      </c>
      <c r="I821" s="64"/>
      <c r="J821" s="57"/>
      <c r="K821" s="57"/>
      <c r="L821" s="4"/>
      <c r="M821" s="35"/>
    </row>
    <row r="822" spans="1:13" ht="15.9" customHeight="1" x14ac:dyDescent="0.3">
      <c r="A822" s="36">
        <v>819</v>
      </c>
      <c r="B822" s="57" t="str">
        <f>IF(Tabla1[[#This Row],[TRABAJADOR]]="", "", VLOOKUP(Tabla1[[#This Row],[TRABAJADOR]], 'Colaborador ID'!B:C, 2, FALSE))</f>
        <v>E2107</v>
      </c>
      <c r="C822" s="56" t="s">
        <v>5365</v>
      </c>
      <c r="D822" s="57" t="s">
        <v>5512</v>
      </c>
      <c r="E822" s="57" t="s">
        <v>13</v>
      </c>
      <c r="F822" s="49" t="e" vm="1">
        <v>#VALUE!</v>
      </c>
      <c r="G822" s="58">
        <v>46090</v>
      </c>
      <c r="H822" s="57" t="e" vm="3">
        <v>#VALUE!</v>
      </c>
      <c r="I822" s="57"/>
      <c r="J822" s="57"/>
      <c r="K822" s="57"/>
      <c r="L822" s="4"/>
      <c r="M822" s="35"/>
    </row>
    <row r="823" spans="1:13" ht="15.9" customHeight="1" x14ac:dyDescent="0.3">
      <c r="A823" s="36">
        <v>820</v>
      </c>
      <c r="B823" s="64" t="str">
        <f>IF(Tabla1[[#This Row],[TRABAJADOR]]="", "", VLOOKUP(Tabla1[[#This Row],[TRABAJADOR]], 'Colaborador ID'!B:C, 2, FALSE))</f>
        <v>E1536</v>
      </c>
      <c r="C823" s="63" t="s">
        <v>1588</v>
      </c>
      <c r="D823" s="64" t="s">
        <v>1589</v>
      </c>
      <c r="E823" s="64"/>
      <c r="F823" s="57" t="e" vm="1">
        <v>#VALUE!</v>
      </c>
      <c r="G823" s="58"/>
      <c r="H823" s="57" t="e" vm="2">
        <v>#VALUE!</v>
      </c>
      <c r="I823" s="64" t="s">
        <v>22</v>
      </c>
      <c r="J823" s="57"/>
      <c r="K823" s="57"/>
      <c r="L823" s="4"/>
      <c r="M823" s="35"/>
    </row>
    <row r="824" spans="1:13" ht="15.9" customHeight="1" x14ac:dyDescent="0.3">
      <c r="A824" s="36">
        <v>821</v>
      </c>
      <c r="B824" s="64" t="str">
        <f>IF(Tabla1[[#This Row],[TRABAJADOR]]="", "", VLOOKUP(Tabla1[[#This Row],[TRABAJADOR]], 'Colaborador ID'!B:C, 2, FALSE))</f>
        <v>E0378</v>
      </c>
      <c r="C824" s="63" t="s">
        <v>1590</v>
      </c>
      <c r="D824" s="64" t="s">
        <v>1591</v>
      </c>
      <c r="E824" s="64"/>
      <c r="F824" s="57" t="e" vm="1">
        <v>#VALUE!</v>
      </c>
      <c r="G824" s="58"/>
      <c r="H824" s="57" t="e" vm="2">
        <v>#VALUE!</v>
      </c>
      <c r="I824" s="64"/>
      <c r="J824" s="57"/>
      <c r="K824" s="57"/>
      <c r="L824" s="4"/>
      <c r="M824" s="35"/>
    </row>
    <row r="825" spans="1:13" ht="15.9" customHeight="1" x14ac:dyDescent="0.35">
      <c r="A825" s="36">
        <v>822</v>
      </c>
      <c r="B825" s="64" t="str">
        <f>IF(Tabla1[[#This Row],[TRABAJADOR]]="", "", VLOOKUP(Tabla1[[#This Row],[TRABAJADOR]], 'Colaborador ID'!B:C, 2, FALSE))</f>
        <v>E0437</v>
      </c>
      <c r="C825" s="63" t="s">
        <v>1592</v>
      </c>
      <c r="D825" s="64" t="s">
        <v>1593</v>
      </c>
      <c r="E825" s="64" t="s">
        <v>16</v>
      </c>
      <c r="F825" s="37" t="e" vm="1">
        <v>#VALUE!</v>
      </c>
      <c r="G825" s="58">
        <v>45721</v>
      </c>
      <c r="H825" s="57" t="e" vm="2">
        <v>#VALUE!</v>
      </c>
      <c r="I825" s="64"/>
      <c r="J825" s="57"/>
      <c r="K825" s="57"/>
      <c r="L825" s="4"/>
      <c r="M825" s="35"/>
    </row>
    <row r="826" spans="1:13" ht="15.9" customHeight="1" x14ac:dyDescent="0.3">
      <c r="A826" s="36">
        <v>823</v>
      </c>
      <c r="B826" s="64" t="str">
        <f>IF(Tabla1[[#This Row],[TRABAJADOR]]="", "", VLOOKUP(Tabla1[[#This Row],[TRABAJADOR]], 'Colaborador ID'!B:C, 2, FALSE))</f>
        <v>E1417</v>
      </c>
      <c r="C826" s="63" t="s">
        <v>1594</v>
      </c>
      <c r="D826" s="64" t="s">
        <v>1595</v>
      </c>
      <c r="E826" s="64" t="s">
        <v>104</v>
      </c>
      <c r="F826" s="38" t="e" vm="1">
        <v>#VALUE!</v>
      </c>
      <c r="G826" s="58">
        <v>45820</v>
      </c>
      <c r="H826" s="57" t="e" vm="2">
        <v>#VALUE!</v>
      </c>
      <c r="I826" s="64"/>
      <c r="J826" s="57"/>
      <c r="K826" s="57"/>
      <c r="L826" s="4"/>
      <c r="M826" s="35"/>
    </row>
    <row r="827" spans="1:13" ht="15.9" customHeight="1" x14ac:dyDescent="0.3">
      <c r="A827" s="36">
        <v>824</v>
      </c>
      <c r="B827" s="64" t="str">
        <f>IF(Tabla1[[#This Row],[TRABAJADOR]]="", "", VLOOKUP(Tabla1[[#This Row],[TRABAJADOR]], 'Colaborador ID'!B:C, 2, FALSE))</f>
        <v>E0658</v>
      </c>
      <c r="C827" s="63" t="s">
        <v>1596</v>
      </c>
      <c r="D827" s="64" t="s">
        <v>1597</v>
      </c>
      <c r="E827" s="64"/>
      <c r="F827" s="57" t="e" vm="1">
        <v>#VALUE!</v>
      </c>
      <c r="G827" s="58"/>
      <c r="H827" s="57" t="e" vm="2">
        <v>#VALUE!</v>
      </c>
      <c r="I827" s="64"/>
      <c r="J827" s="57"/>
      <c r="K827" s="57"/>
      <c r="L827" s="4"/>
      <c r="M827" s="35"/>
    </row>
    <row r="828" spans="1:13" ht="15.9" customHeight="1" x14ac:dyDescent="0.3">
      <c r="A828" s="36">
        <v>825</v>
      </c>
      <c r="B828" s="64" t="str">
        <f>IF(Tabla1[[#This Row],[TRABAJADOR]]="", "", VLOOKUP(Tabla1[[#This Row],[TRABAJADOR]], 'Colaborador ID'!B:C, 2, FALSE))</f>
        <v>E1427</v>
      </c>
      <c r="C828" s="63" t="s">
        <v>1598</v>
      </c>
      <c r="D828" s="64" t="s">
        <v>1599</v>
      </c>
      <c r="E828" s="64" t="s">
        <v>19</v>
      </c>
      <c r="F828" s="38" t="e" vm="1">
        <v>#VALUE!</v>
      </c>
      <c r="G828" s="58">
        <v>45855</v>
      </c>
      <c r="H828" s="57" t="e" vm="2">
        <v>#VALUE!</v>
      </c>
      <c r="I828" s="64"/>
      <c r="J828" s="57"/>
      <c r="K828" s="57"/>
      <c r="L828" s="4"/>
      <c r="M828" s="35"/>
    </row>
    <row r="829" spans="1:13" ht="15.9" customHeight="1" x14ac:dyDescent="0.3">
      <c r="A829" s="36">
        <v>826</v>
      </c>
      <c r="B829" s="64" t="str">
        <f>IF(Tabla1[[#This Row],[TRABAJADOR]]="", "", VLOOKUP(Tabla1[[#This Row],[TRABAJADOR]], 'Colaborador ID'!B:C, 2, FALSE))</f>
        <v>E0605</v>
      </c>
      <c r="C829" s="63" t="s">
        <v>1600</v>
      </c>
      <c r="D829" s="64" t="s">
        <v>1601</v>
      </c>
      <c r="E829" s="64"/>
      <c r="F829" s="49" t="e" vm="1">
        <v>#VALUE!</v>
      </c>
      <c r="G829" s="58"/>
      <c r="H829" s="57" t="e" vm="2">
        <v>#VALUE!</v>
      </c>
      <c r="I829" s="64"/>
      <c r="J829" s="57"/>
      <c r="K829" s="57"/>
      <c r="L829" s="4"/>
      <c r="M829" s="35"/>
    </row>
    <row r="830" spans="1:13" ht="15.9" customHeight="1" x14ac:dyDescent="0.3">
      <c r="A830" s="36">
        <v>827</v>
      </c>
      <c r="B830" s="57" t="str">
        <f>IF(Tabla1[[#This Row],[TRABAJADOR]]="", "", VLOOKUP(Tabla1[[#This Row],[TRABAJADOR]], 'Colaborador ID'!B:C, 2, FALSE))</f>
        <v>E2061</v>
      </c>
      <c r="C830" s="56" t="s">
        <v>1602</v>
      </c>
      <c r="D830" s="57" t="s">
        <v>1603</v>
      </c>
      <c r="E830" s="64" t="s">
        <v>16</v>
      </c>
      <c r="F830" s="49" t="e" vm="1">
        <v>#VALUE!</v>
      </c>
      <c r="G830" s="58">
        <v>45993</v>
      </c>
      <c r="H830" s="57" t="e" vm="2">
        <v>#VALUE!</v>
      </c>
      <c r="I830" s="57"/>
      <c r="J830" s="57"/>
      <c r="K830" s="57"/>
      <c r="L830" s="4"/>
      <c r="M830" s="35"/>
    </row>
    <row r="831" spans="1:13" ht="15.9" customHeight="1" x14ac:dyDescent="0.35">
      <c r="A831" s="36">
        <v>828</v>
      </c>
      <c r="B831" s="64" t="str">
        <f>IF(Tabla1[[#This Row],[TRABAJADOR]]="", "", VLOOKUP(Tabla1[[#This Row],[TRABAJADOR]], 'Colaborador ID'!B:C, 2, FALSE))</f>
        <v>E0377</v>
      </c>
      <c r="C831" s="63" t="s">
        <v>1604</v>
      </c>
      <c r="D831" s="64" t="s">
        <v>1605</v>
      </c>
      <c r="E831" s="64" t="s">
        <v>16</v>
      </c>
      <c r="F831" s="37" t="e" vm="1">
        <v>#VALUE!</v>
      </c>
      <c r="G831" s="58"/>
      <c r="H831" s="57" t="e" vm="2">
        <v>#VALUE!</v>
      </c>
      <c r="I831" s="64"/>
      <c r="J831" s="57"/>
      <c r="K831" s="57"/>
      <c r="L831" s="4"/>
      <c r="M831" s="35"/>
    </row>
    <row r="832" spans="1:13" ht="15.9" customHeight="1" x14ac:dyDescent="0.3">
      <c r="A832" s="36">
        <v>829</v>
      </c>
      <c r="B832" s="57" t="str">
        <f>IF(Tabla1[[#This Row],[TRABAJADOR]]="", "", VLOOKUP(Tabla1[[#This Row],[TRABAJADOR]], 'Colaborador ID'!B:C, 2, FALSE))</f>
        <v>E1875</v>
      </c>
      <c r="C832" s="56" t="s">
        <v>1606</v>
      </c>
      <c r="D832" s="57" t="s">
        <v>1607</v>
      </c>
      <c r="E832" s="64" t="s">
        <v>16</v>
      </c>
      <c r="F832" s="49" t="e" vm="1">
        <v>#VALUE!</v>
      </c>
      <c r="G832" s="58">
        <v>45958</v>
      </c>
      <c r="H832" s="57" t="e" vm="2">
        <v>#VALUE!</v>
      </c>
      <c r="I832" s="57"/>
      <c r="J832" s="57"/>
      <c r="K832" s="57"/>
      <c r="L832" s="4"/>
      <c r="M832" s="35"/>
    </row>
    <row r="833" spans="1:13" ht="15.9" customHeight="1" x14ac:dyDescent="0.3">
      <c r="A833" s="36">
        <v>830</v>
      </c>
      <c r="B833" s="57" t="str">
        <f>IF(Tabla1[[#This Row],[TRABAJADOR]]="", "", VLOOKUP(Tabla1[[#This Row],[TRABAJADOR]], 'Colaborador ID'!B:C, 2, FALSE))</f>
        <v>E1997</v>
      </c>
      <c r="C833" s="56" t="s">
        <v>1608</v>
      </c>
      <c r="D833" s="57" t="s">
        <v>1462</v>
      </c>
      <c r="E833" s="64"/>
      <c r="F833" s="57" t="e" vm="1">
        <v>#VALUE!</v>
      </c>
      <c r="G833" s="58"/>
      <c r="H833" s="57" t="e" vm="2">
        <v>#VALUE!</v>
      </c>
      <c r="I833" s="57" t="s">
        <v>22</v>
      </c>
      <c r="J833" s="57"/>
      <c r="K833" s="57"/>
      <c r="L833" s="4"/>
      <c r="M833" s="35"/>
    </row>
    <row r="834" spans="1:13" ht="15.9" customHeight="1" x14ac:dyDescent="0.35">
      <c r="A834" s="36">
        <v>831</v>
      </c>
      <c r="B834" s="64" t="str">
        <f>IF(Tabla1[[#This Row],[TRABAJADOR]]="", "", VLOOKUP(Tabla1[[#This Row],[TRABAJADOR]], 'Colaborador ID'!B:C, 2, FALSE))</f>
        <v>E0353</v>
      </c>
      <c r="C834" s="63" t="s">
        <v>1609</v>
      </c>
      <c r="D834" s="64" t="s">
        <v>1610</v>
      </c>
      <c r="E834" s="64" t="s">
        <v>16</v>
      </c>
      <c r="F834" s="37" t="e" vm="1">
        <v>#VALUE!</v>
      </c>
      <c r="G834" s="58">
        <v>45728</v>
      </c>
      <c r="H834" s="57" t="e" vm="2">
        <v>#VALUE!</v>
      </c>
      <c r="I834" s="64"/>
      <c r="J834" s="57"/>
      <c r="K834" s="57"/>
      <c r="L834" s="4"/>
      <c r="M834" s="35"/>
    </row>
    <row r="835" spans="1:13" ht="15.9" customHeight="1" x14ac:dyDescent="0.3">
      <c r="A835" s="36">
        <v>832</v>
      </c>
      <c r="B835" s="64" t="str">
        <f>IF(Tabla1[[#This Row],[TRABAJADOR]]="", "", VLOOKUP(Tabla1[[#This Row],[TRABAJADOR]], 'Colaborador ID'!B:C, 2, FALSE))</f>
        <v>E1428</v>
      </c>
      <c r="C835" s="63" t="s">
        <v>1611</v>
      </c>
      <c r="D835" s="64" t="s">
        <v>1612</v>
      </c>
      <c r="E835" s="64"/>
      <c r="F835" s="57" t="e" vm="1">
        <v>#VALUE!</v>
      </c>
      <c r="G835" s="58"/>
      <c r="H835" s="57" t="e" vm="2">
        <v>#VALUE!</v>
      </c>
      <c r="I835" s="64" t="s">
        <v>22</v>
      </c>
      <c r="J835" s="57"/>
      <c r="K835" s="57"/>
      <c r="L835" s="4"/>
      <c r="M835" s="35"/>
    </row>
    <row r="836" spans="1:13" ht="15.9" customHeight="1" x14ac:dyDescent="0.35">
      <c r="A836" s="36">
        <v>833</v>
      </c>
      <c r="B836" s="64" t="str">
        <f>IF(Tabla1[[#This Row],[TRABAJADOR]]="", "", VLOOKUP(Tabla1[[#This Row],[TRABAJADOR]], 'Colaborador ID'!B:C, 2, FALSE))</f>
        <v>E0291</v>
      </c>
      <c r="C836" s="63" t="s">
        <v>1613</v>
      </c>
      <c r="D836" s="64" t="s">
        <v>1614</v>
      </c>
      <c r="E836" s="64" t="s">
        <v>19</v>
      </c>
      <c r="F836" s="59" t="e" vm="1">
        <v>#VALUE!</v>
      </c>
      <c r="G836" s="58"/>
      <c r="H836" s="57" t="e" vm="2">
        <v>#VALUE!</v>
      </c>
      <c r="I836" s="64"/>
      <c r="J836" s="57"/>
      <c r="K836" s="57"/>
      <c r="L836" s="4"/>
      <c r="M836" s="35"/>
    </row>
    <row r="837" spans="1:13" ht="15.9" customHeight="1" x14ac:dyDescent="0.3">
      <c r="A837" s="36">
        <v>834</v>
      </c>
      <c r="B837" s="64" t="str">
        <f>IF(Tabla1[[#This Row],[TRABAJADOR]]="", "", VLOOKUP(Tabla1[[#This Row],[TRABAJADOR]], 'Colaborador ID'!B:C, 2, FALSE))</f>
        <v>E0163</v>
      </c>
      <c r="C837" s="63" t="s">
        <v>1615</v>
      </c>
      <c r="D837" s="64" t="s">
        <v>1616</v>
      </c>
      <c r="E837" s="64" t="s">
        <v>271</v>
      </c>
      <c r="F837" s="38" t="e" vm="1">
        <v>#VALUE!</v>
      </c>
      <c r="G837" s="58">
        <v>45783</v>
      </c>
      <c r="H837" s="40" t="e" vm="2">
        <v>#VALUE!</v>
      </c>
      <c r="I837" s="64"/>
      <c r="J837" s="57"/>
      <c r="K837" s="57"/>
      <c r="L837" s="4"/>
      <c r="M837" s="35"/>
    </row>
    <row r="838" spans="1:13" ht="15.9" customHeight="1" x14ac:dyDescent="0.3">
      <c r="A838" s="36">
        <v>835</v>
      </c>
      <c r="B838" s="64" t="str">
        <f>IF(Tabla1[[#This Row],[TRABAJADOR]]="", "", VLOOKUP(Tabla1[[#This Row],[TRABAJADOR]], 'Colaborador ID'!B:C, 2, FALSE))</f>
        <v>E0390</v>
      </c>
      <c r="C838" s="63" t="s">
        <v>1617</v>
      </c>
      <c r="D838" s="64" t="s">
        <v>1618</v>
      </c>
      <c r="E838" s="64"/>
      <c r="F838" s="57" t="e" vm="1">
        <v>#VALUE!</v>
      </c>
      <c r="G838" s="58"/>
      <c r="H838" s="57" t="e" vm="2">
        <v>#VALUE!</v>
      </c>
      <c r="I838" s="64"/>
      <c r="J838" s="57"/>
      <c r="K838" s="57"/>
      <c r="L838" s="4"/>
      <c r="M838" s="35"/>
    </row>
    <row r="839" spans="1:13" ht="15.9" customHeight="1" x14ac:dyDescent="0.3">
      <c r="A839" s="36">
        <v>836</v>
      </c>
      <c r="B839" s="64" t="str">
        <f>IF(Tabla1[[#This Row],[TRABAJADOR]]="", "", VLOOKUP(Tabla1[[#This Row],[TRABAJADOR]], 'Colaborador ID'!B:C, 2, FALSE))</f>
        <v>E1080</v>
      </c>
      <c r="C839" s="63" t="s">
        <v>1619</v>
      </c>
      <c r="D839" s="64" t="s">
        <v>1620</v>
      </c>
      <c r="E839" s="64" t="s">
        <v>16</v>
      </c>
      <c r="F839" s="32" t="e" vm="1">
        <v>#VALUE!</v>
      </c>
      <c r="G839" s="58">
        <v>45792</v>
      </c>
      <c r="H839" s="57" t="e" vm="2">
        <v>#VALUE!</v>
      </c>
      <c r="I839" s="64"/>
      <c r="J839" s="57"/>
      <c r="K839" s="57"/>
      <c r="L839" s="4"/>
      <c r="M839" s="35"/>
    </row>
    <row r="840" spans="1:13" ht="15.9" customHeight="1" x14ac:dyDescent="0.3">
      <c r="A840" s="36">
        <v>837</v>
      </c>
      <c r="B840" s="64" t="str">
        <f>IF(Tabla1[[#This Row],[TRABAJADOR]]="", "", VLOOKUP(Tabla1[[#This Row],[TRABAJADOR]], 'Colaborador ID'!B:C, 2, FALSE))</f>
        <v>E0181</v>
      </c>
      <c r="C840" s="63" t="s">
        <v>1621</v>
      </c>
      <c r="D840" s="64" t="s">
        <v>1622</v>
      </c>
      <c r="E840" s="64"/>
      <c r="F840" s="57" t="e" vm="1">
        <v>#VALUE!</v>
      </c>
      <c r="G840" s="58"/>
      <c r="H840" s="57" t="e" vm="2">
        <v>#VALUE!</v>
      </c>
      <c r="I840" s="64"/>
      <c r="J840" s="57"/>
      <c r="K840" s="57"/>
      <c r="L840" s="4"/>
      <c r="M840" s="35"/>
    </row>
    <row r="841" spans="1:13" ht="15.9" customHeight="1" x14ac:dyDescent="0.3">
      <c r="A841" s="36">
        <v>838</v>
      </c>
      <c r="B841" s="64" t="str">
        <f>IF(Tabla1[[#This Row],[TRABAJADOR]]="", "", VLOOKUP(Tabla1[[#This Row],[TRABAJADOR]], 'Colaborador ID'!B:C, 2, FALSE))</f>
        <v>E0110</v>
      </c>
      <c r="C841" s="63" t="s">
        <v>1623</v>
      </c>
      <c r="D841" s="64" t="s">
        <v>1624</v>
      </c>
      <c r="E841" s="64"/>
      <c r="F841" s="57" t="e" vm="1">
        <v>#VALUE!</v>
      </c>
      <c r="G841" s="58"/>
      <c r="H841" s="57" t="e" vm="2">
        <v>#VALUE!</v>
      </c>
      <c r="I841" s="64"/>
      <c r="J841" s="57"/>
      <c r="K841" s="57"/>
      <c r="L841" s="4"/>
      <c r="M841" s="35"/>
    </row>
    <row r="842" spans="1:13" ht="15.9" customHeight="1" x14ac:dyDescent="0.3">
      <c r="A842" s="46">
        <v>839</v>
      </c>
      <c r="B842" s="64" t="str">
        <f>IF(Tabla1[[#This Row],[TRABAJADOR]]="", "", VLOOKUP(Tabla1[[#This Row],[TRABAJADOR]], 'Colaborador ID'!B:C, 2, FALSE))</f>
        <v>E0212</v>
      </c>
      <c r="C842" s="63" t="s">
        <v>1625</v>
      </c>
      <c r="D842" s="64" t="s">
        <v>1626</v>
      </c>
      <c r="E842" s="64"/>
      <c r="F842" s="57" t="e" vm="1">
        <v>#VALUE!</v>
      </c>
      <c r="G842" s="58"/>
      <c r="H842" s="57" t="e" vm="2">
        <v>#VALUE!</v>
      </c>
      <c r="I842" s="64"/>
      <c r="J842" s="57"/>
      <c r="K842" s="57"/>
      <c r="L842" s="4"/>
      <c r="M842" s="35"/>
    </row>
    <row r="843" spans="1:13" ht="15.9" customHeight="1" x14ac:dyDescent="0.3">
      <c r="A843" s="46">
        <v>840</v>
      </c>
      <c r="B843" s="64" t="str">
        <f>IF(Tabla1[[#This Row],[TRABAJADOR]]="", "", VLOOKUP(Tabla1[[#This Row],[TRABAJADOR]], 'Colaborador ID'!B:C, 2, FALSE))</f>
        <v>E1538</v>
      </c>
      <c r="C843" s="63" t="s">
        <v>1627</v>
      </c>
      <c r="D843" s="64" t="s">
        <v>1628</v>
      </c>
      <c r="E843" s="64" t="s">
        <v>16</v>
      </c>
      <c r="F843" s="49" t="e" vm="1">
        <v>#VALUE!</v>
      </c>
      <c r="G843" s="58"/>
      <c r="H843" s="57" t="e" vm="2">
        <v>#VALUE!</v>
      </c>
      <c r="I843" s="64" t="s">
        <v>22</v>
      </c>
      <c r="J843" s="57"/>
      <c r="K843" s="57"/>
      <c r="L843" s="4"/>
      <c r="M843" s="35"/>
    </row>
    <row r="844" spans="1:13" ht="15.9" customHeight="1" x14ac:dyDescent="0.3">
      <c r="A844" s="46">
        <v>841</v>
      </c>
      <c r="B844" s="64" t="str">
        <f>IF(Tabla1[[#This Row],[TRABAJADOR]]="", "", VLOOKUP(Tabla1[[#This Row],[TRABAJADOR]], 'Colaborador ID'!B:C, 2, FALSE))</f>
        <v>E0298</v>
      </c>
      <c r="C844" s="63" t="s">
        <v>1629</v>
      </c>
      <c r="D844" s="64" t="s">
        <v>1630</v>
      </c>
      <c r="E844" s="64" t="s">
        <v>13</v>
      </c>
      <c r="F844" s="49" t="e" vm="1">
        <v>#VALUE!</v>
      </c>
      <c r="G844" s="58"/>
      <c r="H844" s="57" t="e" vm="2">
        <v>#VALUE!</v>
      </c>
      <c r="I844" s="64"/>
      <c r="J844" s="57"/>
      <c r="K844" s="57"/>
      <c r="L844" s="4"/>
      <c r="M844" s="35"/>
    </row>
    <row r="845" spans="1:13" ht="15.9" customHeight="1" x14ac:dyDescent="0.3">
      <c r="A845" s="46">
        <v>842</v>
      </c>
      <c r="B845" s="64" t="str">
        <f>IF(Tabla1[[#This Row],[TRABAJADOR]]="", "", VLOOKUP(Tabla1[[#This Row],[TRABAJADOR]], 'Colaborador ID'!B:C, 2, FALSE))</f>
        <v>E0260</v>
      </c>
      <c r="C845" s="63" t="s">
        <v>1631</v>
      </c>
      <c r="D845" s="64" t="s">
        <v>1632</v>
      </c>
      <c r="E845" s="64"/>
      <c r="F845" s="57" t="e" vm="1">
        <v>#VALUE!</v>
      </c>
      <c r="G845" s="58"/>
      <c r="H845" s="57" t="e" vm="2">
        <v>#VALUE!</v>
      </c>
      <c r="I845" s="64"/>
      <c r="J845" s="57"/>
      <c r="K845" s="57"/>
      <c r="L845" s="4"/>
      <c r="M845" s="35"/>
    </row>
    <row r="846" spans="1:13" ht="15.9" customHeight="1" x14ac:dyDescent="0.3">
      <c r="A846" s="46">
        <v>843</v>
      </c>
      <c r="B846" s="64" t="str">
        <f>IF(Tabla1[[#This Row],[TRABAJADOR]]="", "", VLOOKUP(Tabla1[[#This Row],[TRABAJADOR]], 'Colaborador ID'!B:C, 2, FALSE))</f>
        <v>E1971</v>
      </c>
      <c r="C846" s="63" t="s">
        <v>1633</v>
      </c>
      <c r="D846" s="64" t="s">
        <v>1634</v>
      </c>
      <c r="E846" s="64" t="s">
        <v>13</v>
      </c>
      <c r="F846" s="57" t="e" vm="1">
        <v>#VALUE!</v>
      </c>
      <c r="G846" s="58"/>
      <c r="H846" s="57" t="e" vm="2">
        <v>#VALUE!</v>
      </c>
      <c r="I846" s="64" t="s">
        <v>22</v>
      </c>
      <c r="J846" s="57"/>
      <c r="K846" s="57"/>
      <c r="L846" s="4"/>
      <c r="M846" s="35"/>
    </row>
    <row r="847" spans="1:13" ht="15.9" customHeight="1" x14ac:dyDescent="0.3">
      <c r="A847" s="46">
        <v>844</v>
      </c>
      <c r="B847" s="57" t="str">
        <f>IF(Tabla1[[#This Row],[TRABAJADOR]]="", "", VLOOKUP(Tabla1[[#This Row],[TRABAJADOR]], 'Colaborador ID'!B:C, 2, FALSE))</f>
        <v>E1777</v>
      </c>
      <c r="C847" s="56" t="s">
        <v>1635</v>
      </c>
      <c r="D847" s="57" t="s">
        <v>1636</v>
      </c>
      <c r="E847" s="64" t="s">
        <v>19</v>
      </c>
      <c r="F847" s="49" t="e" vm="1">
        <v>#VALUE!</v>
      </c>
      <c r="G847" s="58">
        <v>45923</v>
      </c>
      <c r="H847" s="57" t="e" vm="2">
        <v>#VALUE!</v>
      </c>
      <c r="I847" s="57"/>
      <c r="J847" s="57"/>
      <c r="K847" s="57"/>
      <c r="L847" s="4"/>
      <c r="M847" s="35"/>
    </row>
    <row r="848" spans="1:13" ht="15.9" customHeight="1" x14ac:dyDescent="0.35">
      <c r="A848" s="46">
        <v>845</v>
      </c>
      <c r="B848" s="64" t="str">
        <f>IF(Tabla1[[#This Row],[TRABAJADOR]]="", "", VLOOKUP(Tabla1[[#This Row],[TRABAJADOR]], 'Colaborador ID'!B:C, 2, FALSE))</f>
        <v>E0227</v>
      </c>
      <c r="C848" s="63" t="s">
        <v>1637</v>
      </c>
      <c r="D848" s="64" t="s">
        <v>1638</v>
      </c>
      <c r="E848" s="64" t="s">
        <v>33</v>
      </c>
      <c r="F848" s="42" t="e" vm="1">
        <v>#VALUE!</v>
      </c>
      <c r="G848" s="58">
        <v>45754</v>
      </c>
      <c r="H848" s="40" t="e" vm="2">
        <v>#VALUE!</v>
      </c>
      <c r="I848" s="64"/>
      <c r="J848" s="57"/>
      <c r="K848" s="57"/>
      <c r="L848" s="4"/>
      <c r="M848" s="35"/>
    </row>
    <row r="849" spans="1:13" ht="15.9" customHeight="1" x14ac:dyDescent="0.3">
      <c r="A849" s="46">
        <v>846</v>
      </c>
      <c r="B849" s="64" t="str">
        <f>IF(Tabla1[[#This Row],[TRABAJADOR]]="", "", VLOOKUP(Tabla1[[#This Row],[TRABAJADOR]], 'Colaborador ID'!B:C, 2, FALSE))</f>
        <v>E0981</v>
      </c>
      <c r="C849" s="63" t="s">
        <v>1639</v>
      </c>
      <c r="D849" s="64" t="s">
        <v>1640</v>
      </c>
      <c r="E849" s="64" t="s">
        <v>1641</v>
      </c>
      <c r="F849" s="57" t="e" vm="1">
        <v>#VALUE!</v>
      </c>
      <c r="G849" s="58"/>
      <c r="H849" s="57" t="e" vm="2">
        <v>#VALUE!</v>
      </c>
      <c r="I849" s="64"/>
      <c r="J849" s="57"/>
      <c r="K849" s="57"/>
      <c r="L849" s="4"/>
      <c r="M849" s="35"/>
    </row>
    <row r="850" spans="1:13" ht="15.9" customHeight="1" x14ac:dyDescent="0.3">
      <c r="A850" s="46">
        <v>847</v>
      </c>
      <c r="B850" s="64" t="str">
        <f>IF(Tabla1[[#This Row],[TRABAJADOR]]="", "", VLOOKUP(Tabla1[[#This Row],[TRABAJADOR]], 'Colaborador ID'!B:C, 2, FALSE))</f>
        <v>E0461</v>
      </c>
      <c r="C850" s="63" t="s">
        <v>1642</v>
      </c>
      <c r="D850" s="64" t="s">
        <v>1643</v>
      </c>
      <c r="E850" s="64" t="s">
        <v>19</v>
      </c>
      <c r="F850" s="38" t="e" vm="1">
        <v>#VALUE!</v>
      </c>
      <c r="G850" s="58">
        <v>45793</v>
      </c>
      <c r="H850" s="57" t="e" vm="2">
        <v>#VALUE!</v>
      </c>
      <c r="I850" s="64"/>
      <c r="J850" s="57"/>
      <c r="K850" s="57"/>
      <c r="L850" s="4"/>
      <c r="M850" s="35"/>
    </row>
    <row r="851" spans="1:13" ht="15.9" customHeight="1" x14ac:dyDescent="0.3">
      <c r="A851" s="46">
        <v>848</v>
      </c>
      <c r="B851" s="57" t="str">
        <f>IF(Tabla1[[#This Row],[TRABAJADOR]]="", "", VLOOKUP(Tabla1[[#This Row],[TRABAJADOR]], 'Colaborador ID'!B:C, 2, FALSE))</f>
        <v>E1969</v>
      </c>
      <c r="C851" s="56" t="s">
        <v>1644</v>
      </c>
      <c r="D851" s="57" t="s">
        <v>1645</v>
      </c>
      <c r="E851" s="64" t="s">
        <v>16</v>
      </c>
      <c r="F851" s="49" t="e" vm="1">
        <v>#VALUE!</v>
      </c>
      <c r="G851" s="58">
        <v>45966</v>
      </c>
      <c r="H851" s="57" t="e" vm="2">
        <v>#VALUE!</v>
      </c>
      <c r="I851" s="57"/>
      <c r="J851" s="57"/>
      <c r="K851" s="57"/>
      <c r="L851" s="4"/>
      <c r="M851" s="35"/>
    </row>
    <row r="852" spans="1:13" ht="15.9" customHeight="1" x14ac:dyDescent="0.3">
      <c r="A852" s="46">
        <v>849</v>
      </c>
      <c r="B852" s="64" t="str">
        <f>IF(Tabla1[[#This Row],[TRABAJADOR]]="", "", VLOOKUP(Tabla1[[#This Row],[TRABAJADOR]], 'Colaborador ID'!B:C, 2, FALSE))</f>
        <v>E1296</v>
      </c>
      <c r="C852" s="63" t="s">
        <v>1646</v>
      </c>
      <c r="D852" s="64" t="s">
        <v>1647</v>
      </c>
      <c r="E852" s="64"/>
      <c r="F852" s="57" t="e" vm="1">
        <v>#VALUE!</v>
      </c>
      <c r="G852" s="58"/>
      <c r="H852" s="57" t="e" vm="2">
        <v>#VALUE!</v>
      </c>
      <c r="I852" s="64"/>
      <c r="J852" s="57"/>
      <c r="K852" s="57"/>
      <c r="L852" s="4"/>
      <c r="M852" s="35"/>
    </row>
    <row r="853" spans="1:13" ht="15.9" customHeight="1" x14ac:dyDescent="0.3">
      <c r="A853" s="46">
        <v>850</v>
      </c>
      <c r="B853" s="64" t="str">
        <f>IF(Tabla1[[#This Row],[TRABAJADOR]]="", "", VLOOKUP(Tabla1[[#This Row],[TRABAJADOR]], 'Colaborador ID'!B:C, 2, FALSE))</f>
        <v>E0090</v>
      </c>
      <c r="C853" s="63" t="s">
        <v>1648</v>
      </c>
      <c r="D853" s="64" t="s">
        <v>1649</v>
      </c>
      <c r="E853" s="64"/>
      <c r="F853" s="57" t="e" vm="1">
        <v>#VALUE!</v>
      </c>
      <c r="G853" s="58"/>
      <c r="H853" s="57" t="e" vm="2">
        <v>#VALUE!</v>
      </c>
      <c r="I853" s="64"/>
      <c r="J853" s="57"/>
      <c r="K853" s="57"/>
      <c r="L853" s="4"/>
      <c r="M853" s="35"/>
    </row>
    <row r="854" spans="1:13" ht="15.9" customHeight="1" x14ac:dyDescent="0.3">
      <c r="A854" s="46">
        <v>851</v>
      </c>
      <c r="B854" s="57" t="str">
        <f>IF(Tabla1[[#This Row],[TRABAJADOR]]="", "", VLOOKUP(Tabla1[[#This Row],[TRABAJADOR]], 'Colaborador ID'!B:C, 2, FALSE))</f>
        <v>E1954</v>
      </c>
      <c r="C854" s="56" t="s">
        <v>1650</v>
      </c>
      <c r="D854" s="57" t="s">
        <v>1651</v>
      </c>
      <c r="E854" s="64" t="s">
        <v>16</v>
      </c>
      <c r="F854" s="49" t="e" vm="1">
        <v>#VALUE!</v>
      </c>
      <c r="G854" s="58">
        <v>45985</v>
      </c>
      <c r="H854" s="49" t="e" vm="2">
        <v>#VALUE!</v>
      </c>
      <c r="I854" s="57" t="s">
        <v>22</v>
      </c>
      <c r="J854" s="57"/>
      <c r="K854" s="57"/>
      <c r="L854" s="4"/>
      <c r="M854" s="35"/>
    </row>
    <row r="855" spans="1:13" ht="15.9" customHeight="1" x14ac:dyDescent="0.4">
      <c r="A855" s="46">
        <v>852</v>
      </c>
      <c r="B855" s="64" t="str">
        <f>IF(Tabla1[[#This Row],[TRABAJADOR]]="", "", VLOOKUP(Tabla1[[#This Row],[TRABAJADOR]], 'Colaborador ID'!B:C, 2, FALSE))</f>
        <v>E0439</v>
      </c>
      <c r="C855" s="63" t="s">
        <v>1652</v>
      </c>
      <c r="D855" s="64" t="s">
        <v>1653</v>
      </c>
      <c r="E855" s="64" t="s">
        <v>16</v>
      </c>
      <c r="F855" s="42" t="e" vm="1">
        <v>#VALUE!</v>
      </c>
      <c r="G855" s="58">
        <v>45723</v>
      </c>
      <c r="H855" s="39" t="e" vm="2">
        <v>#VALUE!</v>
      </c>
      <c r="I855" s="64"/>
      <c r="J855" s="57"/>
      <c r="K855" s="57"/>
      <c r="L855" s="4"/>
      <c r="M855" s="35"/>
    </row>
    <row r="856" spans="1:13" ht="15.9" customHeight="1" x14ac:dyDescent="0.3">
      <c r="A856" s="46">
        <v>853</v>
      </c>
      <c r="B856" s="64" t="str">
        <f>IF(Tabla1[[#This Row],[TRABAJADOR]]="", "", VLOOKUP(Tabla1[[#This Row],[TRABAJADOR]], 'Colaborador ID'!B:C, 2, FALSE))</f>
        <v>E1539</v>
      </c>
      <c r="C856" s="63" t="s">
        <v>1654</v>
      </c>
      <c r="D856" s="64" t="s">
        <v>1655</v>
      </c>
      <c r="E856" s="64" t="s">
        <v>13</v>
      </c>
      <c r="F856" s="57" t="e" vm="1">
        <v>#VALUE!</v>
      </c>
      <c r="G856" s="58"/>
      <c r="H856" s="57" t="e" vm="2">
        <v>#VALUE!</v>
      </c>
      <c r="I856" s="64" t="s">
        <v>22</v>
      </c>
      <c r="J856" s="57"/>
      <c r="K856" s="57"/>
      <c r="L856" s="4"/>
      <c r="M856" s="35"/>
    </row>
    <row r="857" spans="1:13" ht="15.9" customHeight="1" x14ac:dyDescent="0.3">
      <c r="A857" s="46">
        <v>854</v>
      </c>
      <c r="B857" s="64" t="str">
        <f>IF(Tabla1[[#This Row],[TRABAJADOR]]="", "", VLOOKUP(Tabla1[[#This Row],[TRABAJADOR]], 'Colaborador ID'!B:C, 2, FALSE))</f>
        <v>E1629</v>
      </c>
      <c r="C857" s="63" t="s">
        <v>1656</v>
      </c>
      <c r="D857" s="64" t="s">
        <v>1657</v>
      </c>
      <c r="E857" s="64" t="s">
        <v>104</v>
      </c>
      <c r="F857" s="38" t="e" vm="1">
        <v>#VALUE!</v>
      </c>
      <c r="G857" s="58">
        <v>45852</v>
      </c>
      <c r="H857" s="57" t="e" vm="2">
        <v>#VALUE!</v>
      </c>
      <c r="I857" s="64"/>
      <c r="J857" s="57"/>
      <c r="K857" s="57"/>
      <c r="L857" s="4"/>
      <c r="M857" s="35"/>
    </row>
    <row r="858" spans="1:13" ht="15.9" customHeight="1" x14ac:dyDescent="0.3">
      <c r="A858" s="46">
        <v>855</v>
      </c>
      <c r="B858" s="64" t="str">
        <f>IF(Tabla1[[#This Row],[TRABAJADOR]]="", "", VLOOKUP(Tabla1[[#This Row],[TRABAJADOR]], 'Colaborador ID'!B:C, 2, FALSE))</f>
        <v>E0561</v>
      </c>
      <c r="C858" s="63" t="s">
        <v>1658</v>
      </c>
      <c r="D858" s="64" t="s">
        <v>1659</v>
      </c>
      <c r="E858" s="64"/>
      <c r="F858" s="57" t="e" vm="1">
        <v>#VALUE!</v>
      </c>
      <c r="G858" s="58"/>
      <c r="H858" s="57" t="e" vm="2">
        <v>#VALUE!</v>
      </c>
      <c r="I858" s="64"/>
      <c r="J858" s="57"/>
      <c r="K858" s="57"/>
      <c r="L858" s="4"/>
      <c r="M858" s="35"/>
    </row>
    <row r="859" spans="1:13" ht="15.9" customHeight="1" x14ac:dyDescent="0.3">
      <c r="A859" s="46">
        <v>856</v>
      </c>
      <c r="B859" s="64" t="str">
        <f>IF(Tabla1[[#This Row],[TRABAJADOR]]="", "", VLOOKUP(Tabla1[[#This Row],[TRABAJADOR]], 'Colaborador ID'!B:C, 2, FALSE))</f>
        <v>E1066</v>
      </c>
      <c r="C859" s="63" t="s">
        <v>1660</v>
      </c>
      <c r="D859" s="64" t="s">
        <v>1661</v>
      </c>
      <c r="E859" s="64" t="s">
        <v>13</v>
      </c>
      <c r="F859" s="49" t="e" vm="1">
        <v>#VALUE!</v>
      </c>
      <c r="G859" s="58"/>
      <c r="H859" s="57" t="e" vm="2">
        <v>#VALUE!</v>
      </c>
      <c r="I859" s="64"/>
      <c r="J859" s="57"/>
      <c r="K859" s="57"/>
      <c r="L859" s="4"/>
      <c r="M859" s="35"/>
    </row>
    <row r="860" spans="1:13" ht="15.9" customHeight="1" x14ac:dyDescent="0.3">
      <c r="A860" s="46">
        <v>857</v>
      </c>
      <c r="B860" s="64" t="str">
        <f>IF(Tabla1[[#This Row],[TRABAJADOR]]="", "", VLOOKUP(Tabla1[[#This Row],[TRABAJADOR]], 'Colaborador ID'!B:C, 2, FALSE))</f>
        <v>E0248</v>
      </c>
      <c r="C860" s="63" t="s">
        <v>1662</v>
      </c>
      <c r="D860" s="64" t="s">
        <v>1663</v>
      </c>
      <c r="E860" s="64" t="s">
        <v>271</v>
      </c>
      <c r="F860" s="49" t="e" vm="1">
        <v>#VALUE!</v>
      </c>
      <c r="G860" s="58"/>
      <c r="H860" s="57" t="e" vm="2">
        <v>#VALUE!</v>
      </c>
      <c r="I860" s="64"/>
      <c r="J860" s="57"/>
      <c r="K860" s="57"/>
      <c r="L860" s="4"/>
      <c r="M860" s="35"/>
    </row>
    <row r="861" spans="1:13" ht="15.9" customHeight="1" x14ac:dyDescent="0.3">
      <c r="A861" s="46">
        <v>858</v>
      </c>
      <c r="B861" s="57" t="str">
        <f>IF(Tabla1[[#This Row],[TRABAJADOR]]="", "", VLOOKUP(Tabla1[[#This Row],[TRABAJADOR]], 'Colaborador ID'!B:C, 2, FALSE))</f>
        <v>E2101</v>
      </c>
      <c r="C861" s="95" t="s">
        <v>5355</v>
      </c>
      <c r="D861" s="57" t="s">
        <v>5470</v>
      </c>
      <c r="E861" s="64" t="s">
        <v>19</v>
      </c>
      <c r="F861" s="49" t="e" vm="1">
        <v>#VALUE!</v>
      </c>
      <c r="G861" s="58">
        <v>46073</v>
      </c>
      <c r="H861" s="57" t="e" vm="3">
        <v>#VALUE!</v>
      </c>
      <c r="I861" s="57"/>
      <c r="J861" s="57"/>
      <c r="K861" s="57"/>
      <c r="L861" s="4"/>
      <c r="M861" s="35"/>
    </row>
    <row r="862" spans="1:13" ht="15.9" customHeight="1" x14ac:dyDescent="0.3">
      <c r="A862" s="46">
        <v>859</v>
      </c>
      <c r="B862" s="57" t="str">
        <f>IF(Tabla1[[#This Row],[TRABAJADOR]]="", "", VLOOKUP(Tabla1[[#This Row],[TRABAJADOR]], 'Colaborador ID'!B:C, 2, FALSE))</f>
        <v>E1687</v>
      </c>
      <c r="C862" s="56" t="s">
        <v>1664</v>
      </c>
      <c r="D862" s="60" t="s">
        <v>1665</v>
      </c>
      <c r="E862" s="67" t="s">
        <v>16</v>
      </c>
      <c r="F862" s="49" t="e" vm="1">
        <v>#VALUE!</v>
      </c>
      <c r="G862" s="58">
        <v>45891</v>
      </c>
      <c r="H862" s="57" t="e" vm="2">
        <v>#VALUE!</v>
      </c>
      <c r="I862" s="57"/>
      <c r="J862" s="60"/>
      <c r="K862" s="60"/>
      <c r="L862" s="4"/>
      <c r="M862" s="35"/>
    </row>
    <row r="863" spans="1:13" ht="15.9" customHeight="1" x14ac:dyDescent="0.3">
      <c r="A863" s="46">
        <v>860</v>
      </c>
      <c r="B863" s="64" t="str">
        <f>IF(Tabla1[[#This Row],[TRABAJADOR]]="", "", VLOOKUP(Tabla1[[#This Row],[TRABAJADOR]], 'Colaborador ID'!B:C, 2, FALSE))</f>
        <v>E1143</v>
      </c>
      <c r="C863" s="63" t="s">
        <v>1666</v>
      </c>
      <c r="D863" s="64" t="s">
        <v>1667</v>
      </c>
      <c r="E863" s="64"/>
      <c r="F863" s="57" t="e" vm="1">
        <v>#VALUE!</v>
      </c>
      <c r="G863" s="58"/>
      <c r="H863" s="57" t="e" vm="2">
        <v>#VALUE!</v>
      </c>
      <c r="I863" s="64"/>
      <c r="J863" s="57"/>
      <c r="K863" s="57"/>
      <c r="L863" s="4"/>
      <c r="M863" s="35"/>
    </row>
    <row r="864" spans="1:13" ht="15.9" customHeight="1" x14ac:dyDescent="0.3">
      <c r="A864" s="46">
        <v>861</v>
      </c>
      <c r="B864" s="57" t="str">
        <f>IF(Tabla1[[#This Row],[TRABAJADOR]]="", "", VLOOKUP(Tabla1[[#This Row],[TRABAJADOR]], 'Colaborador ID'!B:C, 2, FALSE))</f>
        <v>E1799</v>
      </c>
      <c r="C864" s="56" t="s">
        <v>1668</v>
      </c>
      <c r="D864" s="57" t="s">
        <v>1669</v>
      </c>
      <c r="E864" s="64" t="s">
        <v>16</v>
      </c>
      <c r="F864" s="49" t="e" vm="1">
        <v>#VALUE!</v>
      </c>
      <c r="G864" s="58">
        <v>45930</v>
      </c>
      <c r="H864" s="57" t="e" vm="2">
        <v>#VALUE!</v>
      </c>
      <c r="I864" s="57"/>
      <c r="J864" s="57"/>
      <c r="K864" s="57"/>
      <c r="L864" s="4"/>
      <c r="M864" s="35"/>
    </row>
    <row r="865" spans="1:13" ht="15.9" customHeight="1" x14ac:dyDescent="0.35">
      <c r="A865" s="46">
        <v>862</v>
      </c>
      <c r="B865" s="64" t="str">
        <f>IF(Tabla1[[#This Row],[TRABAJADOR]]="", "", VLOOKUP(Tabla1[[#This Row],[TRABAJADOR]], 'Colaborador ID'!B:C, 2, FALSE))</f>
        <v>E0441</v>
      </c>
      <c r="C865" s="63" t="s">
        <v>1670</v>
      </c>
      <c r="D865" s="64" t="s">
        <v>1671</v>
      </c>
      <c r="E865" s="64" t="s">
        <v>19</v>
      </c>
      <c r="F865" s="42" t="e" vm="1">
        <v>#VALUE!</v>
      </c>
      <c r="G865" s="58"/>
      <c r="H865" s="57" t="e" vm="2">
        <v>#VALUE!</v>
      </c>
      <c r="I865" s="64"/>
      <c r="J865" s="57"/>
      <c r="K865" s="57"/>
      <c r="L865" s="4"/>
      <c r="M865" s="35"/>
    </row>
    <row r="866" spans="1:13" ht="15.9" customHeight="1" x14ac:dyDescent="0.3">
      <c r="A866" s="46">
        <v>863</v>
      </c>
      <c r="B866" s="57" t="str">
        <f>IF(Tabla1[[#This Row],[TRABAJADOR]]="", "", VLOOKUP(Tabla1[[#This Row],[TRABAJADOR]], 'Colaborador ID'!B:C, 2, FALSE))</f>
        <v>E1825</v>
      </c>
      <c r="C866" s="56" t="s">
        <v>1672</v>
      </c>
      <c r="D866" s="57" t="s">
        <v>1673</v>
      </c>
      <c r="E866" s="64" t="s">
        <v>271</v>
      </c>
      <c r="F866" s="49" t="e" vm="1">
        <v>#VALUE!</v>
      </c>
      <c r="G866" s="58">
        <v>45940</v>
      </c>
      <c r="H866" s="57" t="e" vm="2">
        <v>#VALUE!</v>
      </c>
      <c r="I866" s="57"/>
      <c r="J866" s="57"/>
      <c r="K866" s="57"/>
      <c r="L866" s="4"/>
      <c r="M866" s="35"/>
    </row>
    <row r="867" spans="1:13" ht="15.9" customHeight="1" x14ac:dyDescent="0.3">
      <c r="A867" s="46">
        <v>864</v>
      </c>
      <c r="B867" s="57" t="str">
        <f>IF(Tabla1[[#This Row],[TRABAJADOR]]="", "", VLOOKUP(Tabla1[[#This Row],[TRABAJADOR]], 'Colaborador ID'!B:C, 2, FALSE))</f>
        <v>E2036</v>
      </c>
      <c r="C867" s="56" t="s">
        <v>1674</v>
      </c>
      <c r="D867" s="57" t="s">
        <v>1675</v>
      </c>
      <c r="E867" s="64" t="s">
        <v>13</v>
      </c>
      <c r="F867" s="57" t="e" vm="1">
        <v>#VALUE!</v>
      </c>
      <c r="G867" s="58">
        <v>46001</v>
      </c>
      <c r="H867" s="57" t="e" vm="2">
        <v>#VALUE!</v>
      </c>
      <c r="I867" s="57"/>
      <c r="J867" s="57"/>
      <c r="K867" s="57"/>
      <c r="L867" s="4"/>
      <c r="M867" s="35"/>
    </row>
    <row r="868" spans="1:13" ht="15.9" customHeight="1" x14ac:dyDescent="0.3">
      <c r="A868" s="46">
        <v>865</v>
      </c>
      <c r="B868" s="64" t="str">
        <f>IF(Tabla1[[#This Row],[TRABAJADOR]]="", "", VLOOKUP(Tabla1[[#This Row],[TRABAJADOR]], 'Colaborador ID'!B:C, 2, FALSE))</f>
        <v>E0399</v>
      </c>
      <c r="C868" s="63" t="s">
        <v>1676</v>
      </c>
      <c r="D868" s="64" t="s">
        <v>1677</v>
      </c>
      <c r="E868" s="64" t="s">
        <v>16</v>
      </c>
      <c r="F868" s="49" t="e" vm="1">
        <v>#VALUE!</v>
      </c>
      <c r="G868" s="58"/>
      <c r="H868" s="57" t="e" vm="2">
        <v>#VALUE!</v>
      </c>
      <c r="I868" s="64"/>
      <c r="J868" s="57"/>
      <c r="K868" s="57"/>
      <c r="L868" s="4"/>
      <c r="M868" s="35"/>
    </row>
    <row r="869" spans="1:13" ht="15.9" customHeight="1" x14ac:dyDescent="0.3">
      <c r="A869" s="46">
        <v>866</v>
      </c>
      <c r="B869" s="64" t="e">
        <f>IF(Tabla1[[#This Row],[TRABAJADOR]]="", "", VLOOKUP(Tabla1[[#This Row],[TRABAJADOR]], 'Colaborador ID'!B:C, 2, FALSE))</f>
        <v>#N/A</v>
      </c>
      <c r="C869" s="63" t="s">
        <v>1678</v>
      </c>
      <c r="D869" s="64" t="s">
        <v>1679</v>
      </c>
      <c r="E869" s="64" t="s">
        <v>13</v>
      </c>
      <c r="F869" s="38" t="e" vm="1">
        <v>#VALUE!</v>
      </c>
      <c r="G869" s="58">
        <v>45758</v>
      </c>
      <c r="H869" s="57" t="e" vm="2">
        <v>#VALUE!</v>
      </c>
      <c r="I869" s="64"/>
      <c r="J869" s="57"/>
      <c r="K869" s="57"/>
      <c r="L869" s="4"/>
      <c r="M869" s="35"/>
    </row>
    <row r="870" spans="1:13" ht="15.9" customHeight="1" x14ac:dyDescent="0.4">
      <c r="A870" s="46">
        <v>867</v>
      </c>
      <c r="B870" s="64" t="str">
        <f>IF(Tabla1[[#This Row],[TRABAJADOR]]="", "", VLOOKUP(Tabla1[[#This Row],[TRABAJADOR]], 'Colaborador ID'!B:C, 2, FALSE))</f>
        <v>E0978</v>
      </c>
      <c r="C870" s="63" t="s">
        <v>1680</v>
      </c>
      <c r="D870" s="64" t="s">
        <v>1681</v>
      </c>
      <c r="E870" s="64" t="s">
        <v>19</v>
      </c>
      <c r="F870" s="42" t="e" vm="1">
        <v>#VALUE!</v>
      </c>
      <c r="G870" s="58">
        <v>45728</v>
      </c>
      <c r="H870" s="39" t="e" vm="2">
        <v>#VALUE!</v>
      </c>
      <c r="I870" s="64"/>
      <c r="J870" s="57"/>
      <c r="K870" s="57"/>
      <c r="L870" s="4"/>
      <c r="M870" s="35"/>
    </row>
    <row r="871" spans="1:13" ht="15.9" customHeight="1" x14ac:dyDescent="0.3">
      <c r="A871" s="46">
        <v>868</v>
      </c>
      <c r="B871" s="64" t="str">
        <f>IF(Tabla1[[#This Row],[TRABAJADOR]]="", "", VLOOKUP(Tabla1[[#This Row],[TRABAJADOR]], 'Colaborador ID'!B:C, 2, FALSE))</f>
        <v>E1540</v>
      </c>
      <c r="C871" s="63" t="s">
        <v>1682</v>
      </c>
      <c r="D871" s="64" t="s">
        <v>1683</v>
      </c>
      <c r="E871" s="64" t="s">
        <v>13</v>
      </c>
      <c r="F871" s="49" t="e" vm="1">
        <v>#VALUE!</v>
      </c>
      <c r="G871" s="58"/>
      <c r="H871" s="57" t="e" vm="2">
        <v>#VALUE!</v>
      </c>
      <c r="I871" s="64" t="s">
        <v>22</v>
      </c>
      <c r="J871" s="57"/>
      <c r="K871" s="57"/>
      <c r="L871" s="4"/>
      <c r="M871" s="35"/>
    </row>
    <row r="872" spans="1:13" ht="15.9" customHeight="1" x14ac:dyDescent="0.3">
      <c r="A872" s="46">
        <v>869</v>
      </c>
      <c r="B872" s="57" t="str">
        <f>IF(Tabla1[[#This Row],[TRABAJADOR]]="", "", VLOOKUP(Tabla1[[#This Row],[TRABAJADOR]], 'Colaborador ID'!B:C, 2, FALSE))</f>
        <v>E1912</v>
      </c>
      <c r="C872" s="56" t="s">
        <v>1684</v>
      </c>
      <c r="D872" s="57" t="s">
        <v>1685</v>
      </c>
      <c r="E872" s="64" t="s">
        <v>16</v>
      </c>
      <c r="F872" s="49" t="e" vm="1">
        <v>#VALUE!</v>
      </c>
      <c r="G872" s="58">
        <v>45957</v>
      </c>
      <c r="H872" s="57" t="e" vm="2">
        <v>#VALUE!</v>
      </c>
      <c r="I872" s="57"/>
      <c r="J872" s="57"/>
      <c r="K872" s="57"/>
      <c r="L872" s="4"/>
      <c r="M872" s="35"/>
    </row>
    <row r="873" spans="1:13" ht="15.9" customHeight="1" x14ac:dyDescent="0.3">
      <c r="A873" s="46">
        <v>870</v>
      </c>
      <c r="B873" s="64" t="str">
        <f>IF(Tabla1[[#This Row],[TRABAJADOR]]="", "", VLOOKUP(Tabla1[[#This Row],[TRABAJADOR]], 'Colaborador ID'!B:C, 2, FALSE))</f>
        <v>E1222</v>
      </c>
      <c r="C873" s="63" t="s">
        <v>1686</v>
      </c>
      <c r="D873" s="64" t="s">
        <v>1687</v>
      </c>
      <c r="E873" s="64"/>
      <c r="F873" s="57" t="e" vm="1">
        <v>#VALUE!</v>
      </c>
      <c r="G873" s="58"/>
      <c r="H873" s="57" t="e" vm="2">
        <v>#VALUE!</v>
      </c>
      <c r="I873" s="64"/>
      <c r="J873" s="57"/>
      <c r="K873" s="57"/>
      <c r="L873" s="4"/>
      <c r="M873" s="35"/>
    </row>
    <row r="874" spans="1:13" ht="15.9" customHeight="1" x14ac:dyDescent="0.3">
      <c r="A874" s="46">
        <v>871</v>
      </c>
      <c r="B874" s="57" t="str">
        <f>IF(Tabla1[[#This Row],[TRABAJADOR]]="", "", VLOOKUP(Tabla1[[#This Row],[TRABAJADOR]], 'Colaborador ID'!B:C, 2, FALSE))</f>
        <v>E1795</v>
      </c>
      <c r="C874" s="56" t="s">
        <v>1688</v>
      </c>
      <c r="D874" s="57" t="s">
        <v>1689</v>
      </c>
      <c r="E874" s="64" t="s">
        <v>271</v>
      </c>
      <c r="F874" s="49" t="e" vm="1">
        <v>#VALUE!</v>
      </c>
      <c r="G874" s="58">
        <v>45931</v>
      </c>
      <c r="H874" s="57" t="e" vm="2">
        <v>#VALUE!</v>
      </c>
      <c r="I874" s="57"/>
      <c r="J874" s="57"/>
      <c r="K874" s="57"/>
      <c r="L874" s="4"/>
      <c r="M874" s="35"/>
    </row>
    <row r="875" spans="1:13" ht="15.9" customHeight="1" x14ac:dyDescent="0.3">
      <c r="A875" s="46">
        <v>872</v>
      </c>
      <c r="B875" s="57" t="str">
        <f>IF(Tabla1[[#This Row],[TRABAJADOR]]="", "", VLOOKUP(Tabla1[[#This Row],[TRABAJADOR]], 'Colaborador ID'!B:C, 2, FALSE))</f>
        <v>E1952</v>
      </c>
      <c r="C875" s="56" t="s">
        <v>1690</v>
      </c>
      <c r="D875" s="57" t="s">
        <v>1691</v>
      </c>
      <c r="E875" s="64" t="s">
        <v>13</v>
      </c>
      <c r="F875" s="49" t="e" vm="1">
        <v>#VALUE!</v>
      </c>
      <c r="G875" s="58">
        <v>45958</v>
      </c>
      <c r="H875" s="57" t="e" vm="2">
        <v>#VALUE!</v>
      </c>
      <c r="I875" s="57" t="s">
        <v>22</v>
      </c>
      <c r="J875" s="57"/>
      <c r="K875" s="57"/>
      <c r="L875" s="4"/>
      <c r="M875" s="35"/>
    </row>
    <row r="876" spans="1:13" ht="15.9" customHeight="1" x14ac:dyDescent="0.3">
      <c r="A876" s="46">
        <v>873</v>
      </c>
      <c r="B876" s="57" t="str">
        <f>IF(Tabla1[[#This Row],[TRABAJADOR]]="", "", VLOOKUP(Tabla1[[#This Row],[TRABAJADOR]], 'Colaborador ID'!B:C, 2, FALSE))</f>
        <v>E1732</v>
      </c>
      <c r="C876" s="56" t="s">
        <v>1692</v>
      </c>
      <c r="D876" s="57" t="s">
        <v>1693</v>
      </c>
      <c r="E876" s="64" t="s">
        <v>16</v>
      </c>
      <c r="F876" s="49" t="e" vm="1">
        <v>#VALUE!</v>
      </c>
      <c r="G876" s="58">
        <v>45897</v>
      </c>
      <c r="H876" s="57" t="e" vm="2">
        <v>#VALUE!</v>
      </c>
      <c r="I876" s="57"/>
      <c r="J876" s="57"/>
      <c r="K876" s="57"/>
      <c r="L876" s="4"/>
      <c r="M876" s="35"/>
    </row>
    <row r="877" spans="1:13" ht="15.9" customHeight="1" x14ac:dyDescent="0.3">
      <c r="A877" s="46">
        <v>874</v>
      </c>
      <c r="B877" s="64" t="str">
        <f>IF(Tabla1[[#This Row],[TRABAJADOR]]="", "", VLOOKUP(Tabla1[[#This Row],[TRABAJADOR]], 'Colaborador ID'!B:C, 2, FALSE))</f>
        <v>E0489</v>
      </c>
      <c r="C877" s="63" t="s">
        <v>1694</v>
      </c>
      <c r="D877" s="64" t="s">
        <v>1695</v>
      </c>
      <c r="E877" s="64" t="s">
        <v>16</v>
      </c>
      <c r="F877" s="38" t="e" vm="1">
        <v>#VALUE!</v>
      </c>
      <c r="G877" s="58">
        <v>45785</v>
      </c>
      <c r="H877" s="57" t="e" vm="2">
        <v>#VALUE!</v>
      </c>
      <c r="I877" s="64"/>
      <c r="J877" s="57"/>
      <c r="K877" s="57"/>
      <c r="L877" s="4"/>
      <c r="M877" s="35"/>
    </row>
    <row r="878" spans="1:13" ht="15.9" customHeight="1" x14ac:dyDescent="0.3">
      <c r="A878" s="46">
        <v>875</v>
      </c>
      <c r="B878" s="64" t="str">
        <f>IF(Tabla1[[#This Row],[TRABAJADOR]]="", "", VLOOKUP(Tabla1[[#This Row],[TRABAJADOR]], 'Colaborador ID'!B:C, 2, FALSE))</f>
        <v>E0324</v>
      </c>
      <c r="C878" s="63" t="s">
        <v>1696</v>
      </c>
      <c r="D878" s="64" t="s">
        <v>1697</v>
      </c>
      <c r="E878" s="64"/>
      <c r="F878" s="57" t="e" vm="1">
        <v>#VALUE!</v>
      </c>
      <c r="G878" s="58"/>
      <c r="H878" s="57" t="e" vm="2">
        <v>#VALUE!</v>
      </c>
      <c r="I878" s="64"/>
      <c r="J878" s="57"/>
      <c r="K878" s="57"/>
      <c r="L878" s="4"/>
      <c r="M878" s="35"/>
    </row>
    <row r="879" spans="1:13" ht="15.9" customHeight="1" x14ac:dyDescent="0.3">
      <c r="A879" s="46">
        <v>876</v>
      </c>
      <c r="B879" s="57" t="str">
        <f>IF(Tabla1[[#This Row],[TRABAJADOR]]="", "", VLOOKUP(Tabla1[[#This Row],[TRABAJADOR]], 'Colaborador ID'!B:C, 2, FALSE))</f>
        <v>E1858</v>
      </c>
      <c r="C879" s="56" t="s">
        <v>1698</v>
      </c>
      <c r="D879" s="57" t="s">
        <v>1699</v>
      </c>
      <c r="E879" s="64" t="s">
        <v>19</v>
      </c>
      <c r="F879" s="57" t="e" vm="1">
        <v>#VALUE!</v>
      </c>
      <c r="G879" s="58">
        <v>45940</v>
      </c>
      <c r="H879" s="57" t="e" vm="2">
        <v>#VALUE!</v>
      </c>
      <c r="I879" s="57"/>
      <c r="J879" s="57"/>
      <c r="K879" s="57"/>
      <c r="L879" s="4"/>
      <c r="M879" s="35"/>
    </row>
    <row r="880" spans="1:13" ht="15.9" customHeight="1" x14ac:dyDescent="0.3">
      <c r="A880" s="46">
        <v>877</v>
      </c>
      <c r="B880" s="64" t="str">
        <f>IF(Tabla1[[#This Row],[TRABAJADOR]]="", "", VLOOKUP(Tabla1[[#This Row],[TRABAJADOR]], 'Colaborador ID'!B:C, 2, FALSE))</f>
        <v>E0540</v>
      </c>
      <c r="C880" s="63" t="s">
        <v>1700</v>
      </c>
      <c r="D880" s="64" t="s">
        <v>1701</v>
      </c>
      <c r="E880" s="64"/>
      <c r="F880" s="57" t="e" vm="1">
        <v>#VALUE!</v>
      </c>
      <c r="G880" s="58"/>
      <c r="H880" s="57" t="e" vm="2">
        <v>#VALUE!</v>
      </c>
      <c r="I880" s="64"/>
      <c r="J880" s="57"/>
      <c r="K880" s="57"/>
      <c r="L880" s="4"/>
      <c r="M880" s="35"/>
    </row>
    <row r="881" spans="1:13" ht="15.9" customHeight="1" x14ac:dyDescent="0.3">
      <c r="A881" s="46">
        <v>878</v>
      </c>
      <c r="B881" s="64" t="str">
        <f>IF(Tabla1[[#This Row],[TRABAJADOR]]="", "", VLOOKUP(Tabla1[[#This Row],[TRABAJADOR]], 'Colaborador ID'!B:C, 2, FALSE))</f>
        <v>E1097</v>
      </c>
      <c r="C881" s="63" t="s">
        <v>1702</v>
      </c>
      <c r="D881" s="64" t="s">
        <v>1703</v>
      </c>
      <c r="E881" s="64"/>
      <c r="F881" s="57" t="e" vm="1">
        <v>#VALUE!</v>
      </c>
      <c r="G881" s="58"/>
      <c r="H881" s="57" t="e" vm="2">
        <v>#VALUE!</v>
      </c>
      <c r="I881" s="64"/>
      <c r="J881" s="57"/>
      <c r="K881" s="57"/>
      <c r="L881" s="4"/>
      <c r="M881" s="35"/>
    </row>
    <row r="882" spans="1:13" ht="15.9" customHeight="1" x14ac:dyDescent="0.3">
      <c r="A882" s="46">
        <v>879</v>
      </c>
      <c r="B882" s="57" t="str">
        <f>IF(Tabla1[[#This Row],[TRABAJADOR]]="", "", VLOOKUP(Tabla1[[#This Row],[TRABAJADOR]], 'Colaborador ID'!B:C, 2, FALSE))</f>
        <v>E1820</v>
      </c>
      <c r="C882" s="56" t="s">
        <v>1704</v>
      </c>
      <c r="D882" s="57" t="s">
        <v>1705</v>
      </c>
      <c r="E882" s="64" t="s">
        <v>16</v>
      </c>
      <c r="F882" s="49" t="e" vm="1">
        <v>#VALUE!</v>
      </c>
      <c r="G882" s="58">
        <v>45930</v>
      </c>
      <c r="H882" s="57" t="e" vm="2">
        <v>#VALUE!</v>
      </c>
      <c r="I882" s="57"/>
      <c r="J882" s="57"/>
      <c r="K882" s="57"/>
      <c r="L882" s="4"/>
      <c r="M882" s="35"/>
    </row>
    <row r="883" spans="1:13" ht="15.9" customHeight="1" x14ac:dyDescent="0.3">
      <c r="A883" s="46">
        <v>880</v>
      </c>
      <c r="B883" s="64" t="str">
        <f>IF(Tabla1[[#This Row],[TRABAJADOR]]="", "", VLOOKUP(Tabla1[[#This Row],[TRABAJADOR]], 'Colaborador ID'!B:C, 2, FALSE))</f>
        <v>E0244</v>
      </c>
      <c r="C883" s="63" t="s">
        <v>1706</v>
      </c>
      <c r="D883" s="64" t="s">
        <v>1707</v>
      </c>
      <c r="E883" s="64" t="s">
        <v>16</v>
      </c>
      <c r="F883" s="38" t="e" vm="1">
        <v>#VALUE!</v>
      </c>
      <c r="G883" s="58">
        <v>45783</v>
      </c>
      <c r="H883" s="57" t="e" vm="2">
        <v>#VALUE!</v>
      </c>
      <c r="I883" s="64"/>
      <c r="J883" s="57"/>
      <c r="K883" s="57"/>
      <c r="L883" s="4"/>
      <c r="M883" s="35"/>
    </row>
    <row r="884" spans="1:13" ht="15.9" customHeight="1" x14ac:dyDescent="0.3">
      <c r="A884" s="46">
        <v>881</v>
      </c>
      <c r="B884" s="57" t="str">
        <f>IF(Tabla1[[#This Row],[TRABAJADOR]]="", "", VLOOKUP(Tabla1[[#This Row],[TRABAJADOR]], 'Colaborador ID'!B:C, 2, FALSE))</f>
        <v>E1284</v>
      </c>
      <c r="C884" s="56" t="s">
        <v>1708</v>
      </c>
      <c r="D884" s="57" t="s">
        <v>1709</v>
      </c>
      <c r="E884" s="64" t="s">
        <v>271</v>
      </c>
      <c r="F884" s="49" t="e" vm="1">
        <v>#VALUE!</v>
      </c>
      <c r="G884" s="58">
        <v>45966</v>
      </c>
      <c r="H884" s="57" t="e" vm="2">
        <v>#VALUE!</v>
      </c>
      <c r="I884" s="57"/>
      <c r="J884" s="57"/>
      <c r="K884" s="57"/>
      <c r="L884" s="4"/>
      <c r="M884" s="35"/>
    </row>
    <row r="885" spans="1:13" ht="15.9" customHeight="1" x14ac:dyDescent="0.3">
      <c r="A885" s="46">
        <v>882</v>
      </c>
      <c r="B885" s="64" t="str">
        <f>IF(Tabla1[[#This Row],[TRABAJADOR]]="", "", VLOOKUP(Tabla1[[#This Row],[TRABAJADOR]], 'Colaborador ID'!B:C, 2, FALSE))</f>
        <v>E0293</v>
      </c>
      <c r="C885" s="63" t="s">
        <v>1710</v>
      </c>
      <c r="D885" s="64" t="s">
        <v>1711</v>
      </c>
      <c r="E885" s="64"/>
      <c r="F885" s="57" t="e" vm="1">
        <v>#VALUE!</v>
      </c>
      <c r="G885" s="58"/>
      <c r="H885" s="57" t="e" vm="2">
        <v>#VALUE!</v>
      </c>
      <c r="I885" s="64"/>
      <c r="J885" s="57"/>
      <c r="K885" s="57"/>
      <c r="L885" s="4"/>
      <c r="M885" s="35"/>
    </row>
    <row r="886" spans="1:13" ht="15.9" customHeight="1" x14ac:dyDescent="0.3">
      <c r="A886" s="46">
        <v>883</v>
      </c>
      <c r="B886" s="64" t="str">
        <f>IF(Tabla1[[#This Row],[TRABAJADOR]]="", "", VLOOKUP(Tabla1[[#This Row],[TRABAJADOR]], 'Colaborador ID'!B:C, 2, FALSE))</f>
        <v>E1023</v>
      </c>
      <c r="C886" s="63" t="s">
        <v>1712</v>
      </c>
      <c r="D886" s="64" t="s">
        <v>1713</v>
      </c>
      <c r="E886" s="64"/>
      <c r="F886" s="57" t="e" vm="1">
        <v>#VALUE!</v>
      </c>
      <c r="G886" s="58"/>
      <c r="H886" s="57" t="e" vm="2">
        <v>#VALUE!</v>
      </c>
      <c r="I886" s="64"/>
      <c r="J886" s="57"/>
      <c r="K886" s="57"/>
      <c r="L886" s="4"/>
      <c r="M886" s="35"/>
    </row>
    <row r="887" spans="1:13" ht="15.9" customHeight="1" x14ac:dyDescent="0.3">
      <c r="A887" s="46">
        <v>884</v>
      </c>
      <c r="B887" s="64" t="str">
        <f>IF(Tabla1[[#This Row],[TRABAJADOR]]="", "", VLOOKUP(Tabla1[[#This Row],[TRABAJADOR]], 'Colaborador ID'!B:C, 2, FALSE))</f>
        <v>E0474</v>
      </c>
      <c r="C887" s="63" t="s">
        <v>1714</v>
      </c>
      <c r="D887" s="64" t="s">
        <v>1715</v>
      </c>
      <c r="E887" s="64" t="s">
        <v>271</v>
      </c>
      <c r="F887" s="38" t="e" vm="1">
        <v>#VALUE!</v>
      </c>
      <c r="G887" s="58">
        <v>45758</v>
      </c>
      <c r="H887" s="57" t="e" vm="2">
        <v>#VALUE!</v>
      </c>
      <c r="I887" s="64"/>
      <c r="J887" s="57"/>
      <c r="K887" s="57"/>
      <c r="L887" s="4"/>
      <c r="M887" s="35"/>
    </row>
    <row r="888" spans="1:13" ht="15.9" customHeight="1" x14ac:dyDescent="0.3">
      <c r="A888" s="46">
        <v>885</v>
      </c>
      <c r="B888" s="64" t="str">
        <f>IF(Tabla1[[#This Row],[TRABAJADOR]]="", "", VLOOKUP(Tabla1[[#This Row],[TRABAJADOR]], 'Colaborador ID'!B:C, 2, FALSE))</f>
        <v>E1541</v>
      </c>
      <c r="C888" s="63" t="s">
        <v>1716</v>
      </c>
      <c r="D888" s="64" t="s">
        <v>1717</v>
      </c>
      <c r="E888" s="64" t="s">
        <v>16</v>
      </c>
      <c r="F888" s="49" t="e" vm="1">
        <v>#VALUE!</v>
      </c>
      <c r="G888" s="58">
        <v>45882</v>
      </c>
      <c r="H888" s="57" t="e" vm="2">
        <v>#VALUE!</v>
      </c>
      <c r="I888" s="64"/>
      <c r="J888" s="57"/>
      <c r="K888" s="57"/>
      <c r="L888" s="4"/>
      <c r="M888" s="35"/>
    </row>
    <row r="889" spans="1:13" ht="15.9" customHeight="1" x14ac:dyDescent="0.3">
      <c r="A889" s="46">
        <v>886</v>
      </c>
      <c r="B889" s="64" t="str">
        <f>IF(Tabla1[[#This Row],[TRABAJADOR]]="", "", VLOOKUP(Tabla1[[#This Row],[TRABAJADOR]], 'Colaborador ID'!B:C, 2, FALSE))</f>
        <v>E0443</v>
      </c>
      <c r="C889" s="63" t="s">
        <v>1718</v>
      </c>
      <c r="D889" s="64" t="s">
        <v>1719</v>
      </c>
      <c r="E889" s="64"/>
      <c r="F889" s="57" t="e" vm="1">
        <v>#VALUE!</v>
      </c>
      <c r="G889" s="58"/>
      <c r="H889" s="57" t="e" vm="2">
        <v>#VALUE!</v>
      </c>
      <c r="I889" s="64"/>
      <c r="J889" s="57"/>
      <c r="K889" s="57"/>
      <c r="L889" s="4"/>
      <c r="M889" s="35"/>
    </row>
    <row r="890" spans="1:13" ht="15.9" customHeight="1" x14ac:dyDescent="0.3">
      <c r="A890" s="46">
        <v>887</v>
      </c>
      <c r="B890" s="57" t="str">
        <f>IF(Tabla1[[#This Row],[TRABAJADOR]]="", "", VLOOKUP(Tabla1[[#This Row],[TRABAJADOR]], 'Colaborador ID'!B:C, 2, FALSE))</f>
        <v>E1843</v>
      </c>
      <c r="C890" s="56" t="s">
        <v>1720</v>
      </c>
      <c r="D890" s="57" t="s">
        <v>1721</v>
      </c>
      <c r="E890" s="64" t="s">
        <v>13</v>
      </c>
      <c r="F890" s="49" t="e" vm="1">
        <v>#VALUE!</v>
      </c>
      <c r="G890" s="58">
        <v>45939</v>
      </c>
      <c r="H890" s="57" t="e" vm="2">
        <v>#VALUE!</v>
      </c>
      <c r="I890" s="57"/>
      <c r="J890" s="57"/>
      <c r="K890" s="57"/>
      <c r="L890" s="4"/>
      <c r="M890" s="35"/>
    </row>
    <row r="891" spans="1:13" ht="15.9" customHeight="1" x14ac:dyDescent="0.3">
      <c r="A891" s="46">
        <v>888</v>
      </c>
      <c r="B891" s="64" t="str">
        <f>IF(Tabla1[[#This Row],[TRABAJADOR]]="", "", VLOOKUP(Tabla1[[#This Row],[TRABAJADOR]], 'Colaborador ID'!B:C, 2, FALSE))</f>
        <v>E0426</v>
      </c>
      <c r="C891" s="63" t="s">
        <v>1722</v>
      </c>
      <c r="D891" s="64" t="s">
        <v>1723</v>
      </c>
      <c r="E891" s="64" t="s">
        <v>16</v>
      </c>
      <c r="F891" s="38" t="e" vm="1">
        <v>#VALUE!</v>
      </c>
      <c r="G891" s="58">
        <v>45855</v>
      </c>
      <c r="H891" s="40" t="e" vm="2">
        <v>#VALUE!</v>
      </c>
      <c r="I891" s="64"/>
      <c r="J891" s="57"/>
      <c r="K891" s="57"/>
      <c r="L891" s="4"/>
      <c r="M891" s="35"/>
    </row>
    <row r="892" spans="1:13" ht="15.9" customHeight="1" x14ac:dyDescent="0.3">
      <c r="A892" s="46">
        <v>889</v>
      </c>
      <c r="B892" s="64" t="str">
        <f>IF(Tabla1[[#This Row],[TRABAJADOR]]="", "", VLOOKUP(Tabla1[[#This Row],[TRABAJADOR]], 'Colaborador ID'!B:C, 2, FALSE))</f>
        <v>E0304</v>
      </c>
      <c r="C892" s="63" t="s">
        <v>1724</v>
      </c>
      <c r="D892" s="64" t="s">
        <v>1725</v>
      </c>
      <c r="E892" s="64" t="s">
        <v>13</v>
      </c>
      <c r="F892" s="38" t="e" vm="1">
        <v>#VALUE!</v>
      </c>
      <c r="G892" s="58">
        <v>45790</v>
      </c>
      <c r="H892" s="40" t="e" vm="2">
        <v>#VALUE!</v>
      </c>
      <c r="I892" s="64"/>
      <c r="J892" s="57"/>
      <c r="K892" s="57"/>
      <c r="L892" s="4"/>
      <c r="M892" s="35"/>
    </row>
    <row r="893" spans="1:13" ht="15.9" customHeight="1" x14ac:dyDescent="0.3">
      <c r="A893" s="46">
        <v>890</v>
      </c>
      <c r="B893" s="64" t="str">
        <f>IF(Tabla1[[#This Row],[TRABAJADOR]]="", "", VLOOKUP(Tabla1[[#This Row],[TRABAJADOR]], 'Colaborador ID'!B:C, 2, FALSE))</f>
        <v>E0162</v>
      </c>
      <c r="C893" s="63" t="s">
        <v>1726</v>
      </c>
      <c r="D893" s="64" t="s">
        <v>1727</v>
      </c>
      <c r="E893" s="64"/>
      <c r="F893" s="57" t="e" vm="1">
        <v>#VALUE!</v>
      </c>
      <c r="G893" s="58"/>
      <c r="H893" s="57" t="e" vm="2">
        <v>#VALUE!</v>
      </c>
      <c r="I893" s="64"/>
      <c r="J893" s="57"/>
      <c r="K893" s="57"/>
      <c r="L893" s="4"/>
      <c r="M893" s="35"/>
    </row>
    <row r="894" spans="1:13" ht="15.9" customHeight="1" x14ac:dyDescent="0.3">
      <c r="A894" s="46">
        <v>891</v>
      </c>
      <c r="B894" s="64" t="str">
        <f>IF(Tabla1[[#This Row],[TRABAJADOR]]="", "", VLOOKUP(Tabla1[[#This Row],[TRABAJADOR]], 'Colaborador ID'!B:C, 2, FALSE))</f>
        <v>E0190</v>
      </c>
      <c r="C894" s="63" t="s">
        <v>1728</v>
      </c>
      <c r="D894" s="64" t="s">
        <v>1729</v>
      </c>
      <c r="E894" s="64" t="s">
        <v>33</v>
      </c>
      <c r="F894" s="57" t="e" vm="1">
        <v>#VALUE!</v>
      </c>
      <c r="G894" s="58"/>
      <c r="H894" s="57" t="e" vm="2">
        <v>#VALUE!</v>
      </c>
      <c r="I894" s="64" t="s">
        <v>22</v>
      </c>
      <c r="J894" s="57"/>
      <c r="K894" s="57"/>
      <c r="L894" s="4"/>
      <c r="M894" s="35"/>
    </row>
    <row r="895" spans="1:13" ht="15.9" customHeight="1" x14ac:dyDescent="0.3">
      <c r="A895" s="46">
        <v>892</v>
      </c>
      <c r="B895" s="57" t="str">
        <f>IF(Tabla1[[#This Row],[TRABAJADOR]]="", "", VLOOKUP(Tabla1[[#This Row],[TRABAJADOR]], 'Colaborador ID'!B:C, 2, FALSE))</f>
        <v>E1848</v>
      </c>
      <c r="C895" s="56" t="s">
        <v>1730</v>
      </c>
      <c r="D895" s="57" t="s">
        <v>1731</v>
      </c>
      <c r="E895" s="64" t="s">
        <v>271</v>
      </c>
      <c r="F895" s="49" t="e" vm="1">
        <v>#VALUE!</v>
      </c>
      <c r="G895" s="58">
        <v>45931</v>
      </c>
      <c r="H895" s="57" t="e" vm="2">
        <v>#VALUE!</v>
      </c>
      <c r="I895" s="57"/>
      <c r="J895" s="57"/>
      <c r="K895" s="57"/>
      <c r="L895" s="4"/>
      <c r="M895" s="35"/>
    </row>
    <row r="896" spans="1:13" ht="15.9" customHeight="1" x14ac:dyDescent="0.3">
      <c r="A896" s="46">
        <v>893</v>
      </c>
      <c r="B896" s="64" t="str">
        <f>IF(Tabla1[[#This Row],[TRABAJADOR]]="", "", VLOOKUP(Tabla1[[#This Row],[TRABAJADOR]], 'Colaborador ID'!B:C, 2, FALSE))</f>
        <v>E0267</v>
      </c>
      <c r="C896" s="63" t="s">
        <v>1732</v>
      </c>
      <c r="D896" s="64" t="s">
        <v>1733</v>
      </c>
      <c r="E896" s="64"/>
      <c r="F896" s="57" t="e" vm="1">
        <v>#VALUE!</v>
      </c>
      <c r="G896" s="58"/>
      <c r="H896" s="57" t="e" vm="2">
        <v>#VALUE!</v>
      </c>
      <c r="I896" s="64"/>
      <c r="J896" s="57"/>
      <c r="K896" s="57"/>
      <c r="L896" s="4"/>
      <c r="M896" s="35"/>
    </row>
    <row r="897" spans="1:13" ht="15.9" customHeight="1" x14ac:dyDescent="0.3">
      <c r="A897" s="46">
        <v>894</v>
      </c>
      <c r="B897" s="64" t="str">
        <f>IF(Tabla1[[#This Row],[TRABAJADOR]]="", "", VLOOKUP(Tabla1[[#This Row],[TRABAJADOR]], 'Colaborador ID'!B:C, 2, FALSE))</f>
        <v>E0484</v>
      </c>
      <c r="C897" s="63" t="s">
        <v>1734</v>
      </c>
      <c r="D897" s="64" t="s">
        <v>1735</v>
      </c>
      <c r="E897" s="64" t="s">
        <v>16</v>
      </c>
      <c r="F897" s="38" t="e" vm="1">
        <v>#VALUE!</v>
      </c>
      <c r="G897" s="58">
        <v>45741</v>
      </c>
      <c r="H897" s="57" t="e" vm="2">
        <v>#VALUE!</v>
      </c>
      <c r="I897" s="64"/>
      <c r="J897" s="57"/>
      <c r="K897" s="57"/>
      <c r="L897" s="4"/>
      <c r="M897" s="35"/>
    </row>
    <row r="898" spans="1:13" ht="15.9" customHeight="1" x14ac:dyDescent="0.4">
      <c r="A898" s="46">
        <v>895</v>
      </c>
      <c r="B898" s="64" t="str">
        <f>IF(Tabla1[[#This Row],[TRABAJADOR]]="", "", VLOOKUP(Tabla1[[#This Row],[TRABAJADOR]], 'Colaborador ID'!B:C, 2, FALSE))</f>
        <v>E0395</v>
      </c>
      <c r="C898" s="63" t="s">
        <v>1736</v>
      </c>
      <c r="D898" s="64" t="s">
        <v>1737</v>
      </c>
      <c r="E898" s="64" t="s">
        <v>16</v>
      </c>
      <c r="F898" s="57" t="e" vm="1">
        <v>#VALUE!</v>
      </c>
      <c r="G898" s="58"/>
      <c r="H898" s="39" t="e" vm="2">
        <v>#VALUE!</v>
      </c>
      <c r="I898" s="64"/>
      <c r="J898" s="57"/>
      <c r="K898" s="57"/>
      <c r="L898" s="4"/>
      <c r="M898" s="35"/>
    </row>
    <row r="899" spans="1:13" ht="15.9" customHeight="1" x14ac:dyDescent="0.3">
      <c r="A899" s="46">
        <v>896</v>
      </c>
      <c r="B899" s="57" t="str">
        <f>IF(Tabla1[[#This Row],[TRABAJADOR]]="", "", VLOOKUP(Tabla1[[#This Row],[TRABAJADOR]], 'Colaborador ID'!B:C, 2, FALSE))</f>
        <v>E2118</v>
      </c>
      <c r="C899" s="56" t="s">
        <v>5397</v>
      </c>
      <c r="D899" s="57" t="s">
        <v>5471</v>
      </c>
      <c r="E899" s="64" t="s">
        <v>19</v>
      </c>
      <c r="F899" s="49" t="e" vm="1">
        <v>#VALUE!</v>
      </c>
      <c r="G899" s="58">
        <v>46073</v>
      </c>
      <c r="H899" s="57" t="e" vm="3">
        <v>#VALUE!</v>
      </c>
      <c r="I899" s="57"/>
      <c r="J899" s="57"/>
      <c r="K899" s="57"/>
      <c r="L899" s="4"/>
      <c r="M899" s="35"/>
    </row>
    <row r="900" spans="1:13" ht="15.9" customHeight="1" x14ac:dyDescent="0.3">
      <c r="A900" s="46">
        <v>897</v>
      </c>
      <c r="B900" s="64" t="str">
        <f>IF(Tabla1[[#This Row],[TRABAJADOR]]="", "", VLOOKUP(Tabla1[[#This Row],[TRABAJADOR]], 'Colaborador ID'!B:C, 2, FALSE))</f>
        <v>E0093</v>
      </c>
      <c r="C900" s="63" t="s">
        <v>1738</v>
      </c>
      <c r="D900" s="64" t="s">
        <v>1739</v>
      </c>
      <c r="E900" s="64"/>
      <c r="F900" s="57" t="e" vm="1">
        <v>#VALUE!</v>
      </c>
      <c r="G900" s="58"/>
      <c r="H900" s="57" t="e" vm="2">
        <v>#VALUE!</v>
      </c>
      <c r="I900" s="64"/>
      <c r="J900" s="57"/>
      <c r="K900" s="57"/>
      <c r="L900" s="4"/>
      <c r="M900" s="35"/>
    </row>
    <row r="901" spans="1:13" ht="15.9" customHeight="1" x14ac:dyDescent="0.3">
      <c r="A901" s="46">
        <v>898</v>
      </c>
      <c r="B901" s="64" t="str">
        <f>IF(Tabla1[[#This Row],[TRABAJADOR]]="", "", VLOOKUP(Tabla1[[#This Row],[TRABAJADOR]], 'Colaborador ID'!B:C, 2, FALSE))</f>
        <v>E0031</v>
      </c>
      <c r="C901" s="63" t="s">
        <v>1740</v>
      </c>
      <c r="D901" s="64" t="s">
        <v>1741</v>
      </c>
      <c r="E901" s="64"/>
      <c r="F901" s="57" t="e" vm="1">
        <v>#VALUE!</v>
      </c>
      <c r="G901" s="58"/>
      <c r="H901" s="57" t="e" vm="2">
        <v>#VALUE!</v>
      </c>
      <c r="I901" s="64"/>
      <c r="J901" s="57"/>
      <c r="K901" s="57"/>
      <c r="L901" s="4"/>
      <c r="M901" s="35"/>
    </row>
    <row r="902" spans="1:13" ht="15.9" customHeight="1" x14ac:dyDescent="0.3">
      <c r="A902" s="46">
        <v>899</v>
      </c>
      <c r="B902" s="64" t="str">
        <f>IF(Tabla1[[#This Row],[TRABAJADOR]]="", "", VLOOKUP(Tabla1[[#This Row],[TRABAJADOR]], 'Colaborador ID'!B:C, 2, FALSE))</f>
        <v>E0889</v>
      </c>
      <c r="C902" s="63" t="s">
        <v>1742</v>
      </c>
      <c r="D902" s="64" t="s">
        <v>1743</v>
      </c>
      <c r="E902" s="64"/>
      <c r="F902" s="57" t="e" vm="1">
        <v>#VALUE!</v>
      </c>
      <c r="G902" s="58"/>
      <c r="H902" s="57" t="e" vm="2">
        <v>#VALUE!</v>
      </c>
      <c r="I902" s="64"/>
      <c r="J902" s="57"/>
      <c r="K902" s="57"/>
      <c r="L902" s="4"/>
      <c r="M902" s="35"/>
    </row>
    <row r="903" spans="1:13" ht="15.9" customHeight="1" x14ac:dyDescent="0.35">
      <c r="A903" s="46">
        <v>900</v>
      </c>
      <c r="B903" s="64" t="str">
        <f>IF(Tabla1[[#This Row],[TRABAJADOR]]="", "", VLOOKUP(Tabla1[[#This Row],[TRABAJADOR]], 'Colaborador ID'!B:C, 2, FALSE))</f>
        <v>E1189</v>
      </c>
      <c r="C903" s="63" t="s">
        <v>1744</v>
      </c>
      <c r="D903" s="64" t="s">
        <v>1745</v>
      </c>
      <c r="E903" s="64" t="s">
        <v>13</v>
      </c>
      <c r="F903" s="42" t="e" vm="1">
        <v>#VALUE!</v>
      </c>
      <c r="G903" s="58"/>
      <c r="H903" s="57" t="e" vm="2">
        <v>#VALUE!</v>
      </c>
      <c r="I903" s="64"/>
      <c r="J903" s="57"/>
      <c r="K903" s="57"/>
      <c r="L903" s="4"/>
      <c r="M903" s="35"/>
    </row>
    <row r="904" spans="1:13" ht="15.9" customHeight="1" x14ac:dyDescent="0.3">
      <c r="A904" s="46">
        <v>901</v>
      </c>
      <c r="B904" s="64" t="str">
        <f>IF(Tabla1[[#This Row],[TRABAJADOR]]="", "", VLOOKUP(Tabla1[[#This Row],[TRABAJADOR]], 'Colaborador ID'!B:C, 2, FALSE))</f>
        <v>E1240</v>
      </c>
      <c r="C904" s="63" t="s">
        <v>1746</v>
      </c>
      <c r="D904" s="64" t="s">
        <v>1747</v>
      </c>
      <c r="E904" s="64"/>
      <c r="F904" s="57" t="e" vm="1">
        <v>#VALUE!</v>
      </c>
      <c r="G904" s="58"/>
      <c r="H904" s="57" t="e" vm="2">
        <v>#VALUE!</v>
      </c>
      <c r="I904" s="64" t="s">
        <v>22</v>
      </c>
      <c r="J904" s="57"/>
      <c r="K904" s="57"/>
      <c r="L904" s="4"/>
      <c r="M904" s="35"/>
    </row>
    <row r="905" spans="1:13" ht="15.9" customHeight="1" x14ac:dyDescent="0.3">
      <c r="A905" s="46">
        <v>902</v>
      </c>
      <c r="B905" s="64" t="str">
        <f>IF(Tabla1[[#This Row],[TRABAJADOR]]="", "", VLOOKUP(Tabla1[[#This Row],[TRABAJADOR]], 'Colaborador ID'!B:C, 2, FALSE))</f>
        <v>E0323</v>
      </c>
      <c r="C905" s="63" t="s">
        <v>1748</v>
      </c>
      <c r="D905" s="64" t="s">
        <v>1749</v>
      </c>
      <c r="E905" s="64"/>
      <c r="F905" s="57" t="e" vm="1">
        <v>#VALUE!</v>
      </c>
      <c r="G905" s="58"/>
      <c r="H905" s="57" t="e" vm="2">
        <v>#VALUE!</v>
      </c>
      <c r="I905" s="64"/>
      <c r="J905" s="57"/>
      <c r="K905" s="57"/>
      <c r="L905" s="4"/>
      <c r="M905" s="35"/>
    </row>
    <row r="906" spans="1:13" ht="15.9" customHeight="1" x14ac:dyDescent="0.3">
      <c r="A906" s="46">
        <v>903</v>
      </c>
      <c r="B906" s="57" t="str">
        <f>IF(Tabla1[[#This Row],[TRABAJADOR]]="", "", VLOOKUP(Tabla1[[#This Row],[TRABAJADOR]], 'Colaborador ID'!B:C, 2, FALSE))</f>
        <v>E2072</v>
      </c>
      <c r="C906" s="56" t="s">
        <v>5299</v>
      </c>
      <c r="D906" s="57" t="s">
        <v>5472</v>
      </c>
      <c r="E906" s="64" t="s">
        <v>45</v>
      </c>
      <c r="F906" s="49" t="e" vm="1">
        <v>#VALUE!</v>
      </c>
      <c r="G906" s="58">
        <v>46073</v>
      </c>
      <c r="H906" s="57" t="e" vm="3">
        <v>#VALUE!</v>
      </c>
      <c r="I906" s="57"/>
      <c r="J906" s="57"/>
      <c r="K906" s="57"/>
      <c r="L906" s="4"/>
      <c r="M906" s="35"/>
    </row>
    <row r="907" spans="1:13" ht="15.9" customHeight="1" x14ac:dyDescent="0.3">
      <c r="A907" s="46">
        <v>904</v>
      </c>
      <c r="B907" s="57" t="str">
        <f>IF(Tabla1[[#This Row],[TRABAJADOR]]="", "", VLOOKUP(Tabla1[[#This Row],[TRABAJADOR]], 'Colaborador ID'!B:C, 2, FALSE))</f>
        <v>E2106</v>
      </c>
      <c r="C907" s="56" t="s">
        <v>5363</v>
      </c>
      <c r="D907" s="57" t="s">
        <v>5491</v>
      </c>
      <c r="E907" s="64"/>
      <c r="F907" s="49" t="e" vm="1">
        <v>#VALUE!</v>
      </c>
      <c r="G907" s="58">
        <v>46073</v>
      </c>
      <c r="H907" s="57" t="e" vm="3">
        <v>#VALUE!</v>
      </c>
      <c r="I907" s="57"/>
      <c r="J907" s="57"/>
      <c r="K907" s="57"/>
      <c r="L907" s="4"/>
      <c r="M907" s="35"/>
    </row>
    <row r="908" spans="1:13" ht="15.9" customHeight="1" x14ac:dyDescent="0.3">
      <c r="A908" s="46">
        <v>905</v>
      </c>
      <c r="B908" s="64" t="str">
        <f>IF(Tabla1[[#This Row],[TRABAJADOR]]="", "", VLOOKUP(Tabla1[[#This Row],[TRABAJADOR]], 'Colaborador ID'!B:C, 2, FALSE))</f>
        <v>E0050</v>
      </c>
      <c r="C908" s="63" t="s">
        <v>1750</v>
      </c>
      <c r="D908" s="64" t="s">
        <v>1751</v>
      </c>
      <c r="E908" s="64"/>
      <c r="F908" s="57" t="e" vm="1">
        <v>#VALUE!</v>
      </c>
      <c r="G908" s="58"/>
      <c r="H908" s="57" t="e" vm="2">
        <v>#VALUE!</v>
      </c>
      <c r="I908" s="64"/>
      <c r="J908" s="57"/>
      <c r="K908" s="57"/>
      <c r="L908" s="4"/>
      <c r="M908" s="35"/>
    </row>
    <row r="909" spans="1:13" ht="15.9" customHeight="1" x14ac:dyDescent="0.35">
      <c r="A909" s="46">
        <v>906</v>
      </c>
      <c r="B909" s="64" t="str">
        <f>IF(Tabla1[[#This Row],[TRABAJADOR]]="", "", VLOOKUP(Tabla1[[#This Row],[TRABAJADOR]], 'Colaborador ID'!B:C, 2, FALSE))</f>
        <v>E1199</v>
      </c>
      <c r="C909" s="63" t="s">
        <v>1752</v>
      </c>
      <c r="D909" s="64" t="s">
        <v>1753</v>
      </c>
      <c r="E909" s="64" t="s">
        <v>33</v>
      </c>
      <c r="F909" s="42" t="e" vm="1">
        <v>#VALUE!</v>
      </c>
      <c r="G909" s="58">
        <v>45757</v>
      </c>
      <c r="H909" s="40" t="e" vm="2">
        <v>#VALUE!</v>
      </c>
      <c r="I909" s="64"/>
      <c r="J909" s="57"/>
      <c r="K909" s="57"/>
      <c r="L909" s="4"/>
      <c r="M909" s="35"/>
    </row>
    <row r="910" spans="1:13" ht="15.9" customHeight="1" x14ac:dyDescent="0.3">
      <c r="A910" s="46">
        <v>907</v>
      </c>
      <c r="B910" s="64" t="str">
        <f>IF(Tabla1[[#This Row],[TRABAJADOR]]="", "", VLOOKUP(Tabla1[[#This Row],[TRABAJADOR]], 'Colaborador ID'!B:C, 2, FALSE))</f>
        <v>E1543</v>
      </c>
      <c r="C910" s="63" t="s">
        <v>1754</v>
      </c>
      <c r="D910" s="64" t="s">
        <v>1755</v>
      </c>
      <c r="E910" s="64" t="s">
        <v>19</v>
      </c>
      <c r="F910" s="49" t="e" vm="1">
        <v>#VALUE!</v>
      </c>
      <c r="G910" s="58">
        <v>45880</v>
      </c>
      <c r="H910" s="57" t="e" vm="2">
        <v>#VALUE!</v>
      </c>
      <c r="I910" s="64"/>
      <c r="J910" s="57"/>
      <c r="K910" s="57"/>
      <c r="L910" s="4"/>
      <c r="M910" s="35"/>
    </row>
    <row r="911" spans="1:13" ht="15.9" customHeight="1" x14ac:dyDescent="0.3">
      <c r="A911" s="46">
        <v>908</v>
      </c>
      <c r="B911" s="64" t="str">
        <f>IF(Tabla1[[#This Row],[TRABAJADOR]]="", "", VLOOKUP(Tabla1[[#This Row],[TRABAJADOR]], 'Colaborador ID'!B:C, 2, FALSE))</f>
        <v>E0105</v>
      </c>
      <c r="C911" s="63" t="s">
        <v>1756</v>
      </c>
      <c r="D911" s="64" t="s">
        <v>1757</v>
      </c>
      <c r="E911" s="64"/>
      <c r="F911" s="57" t="e" vm="1">
        <v>#VALUE!</v>
      </c>
      <c r="G911" s="58"/>
      <c r="H911" s="57" t="e" vm="2">
        <v>#VALUE!</v>
      </c>
      <c r="I911" s="64"/>
      <c r="J911" s="57"/>
      <c r="K911" s="57"/>
      <c r="L911" s="4"/>
      <c r="M911" s="35"/>
    </row>
    <row r="912" spans="1:13" ht="15.9" customHeight="1" x14ac:dyDescent="0.4">
      <c r="A912" s="46">
        <v>909</v>
      </c>
      <c r="B912" s="64" t="str">
        <f>IF(Tabla1[[#This Row],[TRABAJADOR]]="", "", VLOOKUP(Tabla1[[#This Row],[TRABAJADOR]], 'Colaborador ID'!B:C, 2, FALSE))</f>
        <v>E0263</v>
      </c>
      <c r="C912" s="63" t="s">
        <v>1758</v>
      </c>
      <c r="D912" s="64" t="s">
        <v>1759</v>
      </c>
      <c r="E912" s="64" t="s">
        <v>16</v>
      </c>
      <c r="F912" s="42" t="e" vm="1">
        <v>#VALUE!</v>
      </c>
      <c r="G912" s="58">
        <v>45726</v>
      </c>
      <c r="H912" s="39" t="e" vm="2">
        <v>#VALUE!</v>
      </c>
      <c r="I912" s="64"/>
      <c r="J912" s="57"/>
      <c r="K912" s="57"/>
      <c r="L912" s="4"/>
      <c r="M912" s="35"/>
    </row>
    <row r="913" spans="1:13" ht="15.9" customHeight="1" x14ac:dyDescent="0.3">
      <c r="A913" s="46">
        <v>910</v>
      </c>
      <c r="B913" s="57" t="str">
        <f>IF(Tabla1[[#This Row],[TRABAJADOR]]="", "", VLOOKUP(Tabla1[[#This Row],[TRABAJADOR]], 'Colaborador ID'!B:C, 2, FALSE))</f>
        <v>E2065</v>
      </c>
      <c r="C913" s="56" t="s">
        <v>1760</v>
      </c>
      <c r="D913" s="57" t="s">
        <v>1761</v>
      </c>
      <c r="E913" s="64" t="s">
        <v>13</v>
      </c>
      <c r="F913" s="49" t="e" vm="1">
        <v>#VALUE!</v>
      </c>
      <c r="G913" s="58">
        <v>45994</v>
      </c>
      <c r="H913" s="57" t="e" vm="2">
        <v>#VALUE!</v>
      </c>
      <c r="I913" s="57"/>
      <c r="J913" s="57"/>
      <c r="K913" s="57"/>
      <c r="L913" s="4"/>
      <c r="M913" s="35"/>
    </row>
    <row r="914" spans="1:13" ht="15.9" customHeight="1" x14ac:dyDescent="0.3">
      <c r="A914" s="46">
        <v>911</v>
      </c>
      <c r="B914" s="64" t="str">
        <f>IF(Tabla1[[#This Row],[TRABAJADOR]]="", "", VLOOKUP(Tabla1[[#This Row],[TRABAJADOR]], 'Colaborador ID'!B:C, 2, FALSE))</f>
        <v>E1544</v>
      </c>
      <c r="C914" s="63" t="s">
        <v>1762</v>
      </c>
      <c r="D914" s="64" t="s">
        <v>1763</v>
      </c>
      <c r="E914" s="64" t="s">
        <v>16</v>
      </c>
      <c r="F914" s="49" t="e" vm="1">
        <v>#VALUE!</v>
      </c>
      <c r="G914" s="58">
        <v>45880</v>
      </c>
      <c r="H914" s="57" t="e" vm="2">
        <v>#VALUE!</v>
      </c>
      <c r="I914" s="64"/>
      <c r="J914" s="57"/>
      <c r="K914" s="57"/>
      <c r="L914" s="4"/>
      <c r="M914" s="35"/>
    </row>
    <row r="915" spans="1:13" ht="15.9" customHeight="1" x14ac:dyDescent="0.3">
      <c r="A915" s="46">
        <v>912</v>
      </c>
      <c r="B915" s="64" t="str">
        <f>IF(Tabla1[[#This Row],[TRABAJADOR]]="", "", VLOOKUP(Tabla1[[#This Row],[TRABAJADOR]], 'Colaborador ID'!B:C, 2, FALSE))</f>
        <v>E1340</v>
      </c>
      <c r="C915" s="63" t="s">
        <v>1764</v>
      </c>
      <c r="D915" s="64" t="s">
        <v>1765</v>
      </c>
      <c r="E915" s="64" t="s">
        <v>16</v>
      </c>
      <c r="F915" s="38" t="e" vm="1">
        <v>#VALUE!</v>
      </c>
      <c r="G915" s="58">
        <v>45756</v>
      </c>
      <c r="H915" s="57" t="e" vm="2">
        <v>#VALUE!</v>
      </c>
      <c r="I915" s="64"/>
      <c r="J915" s="57"/>
      <c r="K915" s="57"/>
      <c r="L915" s="4"/>
      <c r="M915" s="35"/>
    </row>
    <row r="916" spans="1:13" ht="15.9" customHeight="1" x14ac:dyDescent="0.3">
      <c r="A916" s="46">
        <v>913</v>
      </c>
      <c r="B916" s="57" t="str">
        <f>IF(Tabla1[[#This Row],[TRABAJADOR]]="", "", VLOOKUP(Tabla1[[#This Row],[TRABAJADOR]], 'Colaborador ID'!B:C, 2, FALSE))</f>
        <v>E1755</v>
      </c>
      <c r="C916" s="56" t="s">
        <v>1766</v>
      </c>
      <c r="D916" s="57" t="s">
        <v>1767</v>
      </c>
      <c r="E916" s="64" t="s">
        <v>16</v>
      </c>
      <c r="F916" s="49" t="e" vm="1">
        <v>#VALUE!</v>
      </c>
      <c r="G916" s="58">
        <v>45891</v>
      </c>
      <c r="H916" s="57" t="e" vm="2">
        <v>#VALUE!</v>
      </c>
      <c r="I916" s="57"/>
      <c r="J916" s="57"/>
      <c r="K916" s="57"/>
      <c r="L916" s="4"/>
      <c r="M916" s="35"/>
    </row>
    <row r="917" spans="1:13" ht="15.9" customHeight="1" x14ac:dyDescent="0.3">
      <c r="A917" s="46">
        <v>914</v>
      </c>
      <c r="B917" s="64" t="str">
        <f>IF(Tabla1[[#This Row],[TRABAJADOR]]="", "", VLOOKUP(Tabla1[[#This Row],[TRABAJADOR]], 'Colaborador ID'!B:C, 2, FALSE))</f>
        <v>E1693</v>
      </c>
      <c r="C917" s="63" t="s">
        <v>1768</v>
      </c>
      <c r="D917" s="64" t="s">
        <v>1769</v>
      </c>
      <c r="E917" s="64" t="s">
        <v>19</v>
      </c>
      <c r="F917" s="49" t="e" vm="1">
        <v>#VALUE!</v>
      </c>
      <c r="G917" s="58">
        <v>45939</v>
      </c>
      <c r="H917" s="49" t="e" vm="2">
        <v>#VALUE!</v>
      </c>
      <c r="I917" s="64" t="s">
        <v>22</v>
      </c>
      <c r="J917" s="57"/>
      <c r="K917" s="57"/>
      <c r="L917" s="4"/>
      <c r="M917" s="35"/>
    </row>
    <row r="918" spans="1:13" ht="15.9" customHeight="1" x14ac:dyDescent="0.3">
      <c r="A918" s="46">
        <v>915</v>
      </c>
      <c r="B918" s="57" t="str">
        <f>IF(Tabla1[[#This Row],[TRABAJADOR]]="", "", VLOOKUP(Tabla1[[#This Row],[TRABAJADOR]], 'Colaborador ID'!B:C, 2, FALSE))</f>
        <v>E1696</v>
      </c>
      <c r="C918" s="56" t="s">
        <v>1770</v>
      </c>
      <c r="D918" s="57" t="s">
        <v>1771</v>
      </c>
      <c r="E918" s="64" t="s">
        <v>19</v>
      </c>
      <c r="F918" s="49" t="e" vm="1">
        <v>#VALUE!</v>
      </c>
      <c r="G918" s="58">
        <v>45894</v>
      </c>
      <c r="H918" s="57" t="e" vm="2">
        <v>#VALUE!</v>
      </c>
      <c r="I918" s="57" t="s">
        <v>22</v>
      </c>
      <c r="J918" s="57"/>
      <c r="K918" s="57"/>
      <c r="L918" s="4"/>
      <c r="M918" s="35"/>
    </row>
    <row r="919" spans="1:13" ht="15.9" customHeight="1" x14ac:dyDescent="0.3">
      <c r="A919" s="46">
        <v>916</v>
      </c>
      <c r="B919" s="64" t="str">
        <f>IF(Tabla1[[#This Row],[TRABAJADOR]]="", "", VLOOKUP(Tabla1[[#This Row],[TRABAJADOR]], 'Colaborador ID'!B:C, 2, FALSE))</f>
        <v>E0261</v>
      </c>
      <c r="C919" s="63" t="s">
        <v>1772</v>
      </c>
      <c r="D919" s="64" t="s">
        <v>1773</v>
      </c>
      <c r="E919" s="64"/>
      <c r="F919" s="57" t="e" vm="1">
        <v>#VALUE!</v>
      </c>
      <c r="G919" s="58"/>
      <c r="H919" s="57" t="e" vm="2">
        <v>#VALUE!</v>
      </c>
      <c r="I919" s="64"/>
      <c r="J919" s="57"/>
      <c r="K919" s="57"/>
      <c r="L919" s="4"/>
      <c r="M919" s="35"/>
    </row>
    <row r="920" spans="1:13" ht="15.9" customHeight="1" x14ac:dyDescent="0.3">
      <c r="A920" s="46">
        <v>917</v>
      </c>
      <c r="B920" s="64" t="str">
        <f>IF(Tabla1[[#This Row],[TRABAJADOR]]="", "", VLOOKUP(Tabla1[[#This Row],[TRABAJADOR]], 'Colaborador ID'!B:C, 2, FALSE))</f>
        <v>E0165</v>
      </c>
      <c r="C920" s="63" t="s">
        <v>1774</v>
      </c>
      <c r="D920" s="64" t="s">
        <v>1775</v>
      </c>
      <c r="E920" s="64"/>
      <c r="F920" s="57" t="e" vm="1">
        <v>#VALUE!</v>
      </c>
      <c r="G920" s="58"/>
      <c r="H920" s="57" t="e" vm="2">
        <v>#VALUE!</v>
      </c>
      <c r="I920" s="64"/>
      <c r="J920" s="57"/>
      <c r="K920" s="57"/>
      <c r="L920" s="4"/>
      <c r="M920" s="35"/>
    </row>
    <row r="921" spans="1:13" ht="15.9" customHeight="1" x14ac:dyDescent="0.3">
      <c r="A921" s="46">
        <v>918</v>
      </c>
      <c r="B921" s="57" t="str">
        <f>IF(Tabla1[[#This Row],[TRABAJADOR]]="", "", VLOOKUP(Tabla1[[#This Row],[TRABAJADOR]], 'Colaborador ID'!B:C, 2, FALSE))</f>
        <v>E1988</v>
      </c>
      <c r="C921" s="56" t="s">
        <v>1776</v>
      </c>
      <c r="D921" s="57" t="s">
        <v>1777</v>
      </c>
      <c r="E921" s="64" t="s">
        <v>271</v>
      </c>
      <c r="F921" s="49" t="e" vm="1">
        <v>#VALUE!</v>
      </c>
      <c r="G921" s="58">
        <v>45961</v>
      </c>
      <c r="H921" s="57" t="e" vm="2">
        <v>#VALUE!</v>
      </c>
      <c r="I921" s="64" t="s">
        <v>22</v>
      </c>
      <c r="J921" s="57"/>
      <c r="K921" s="57"/>
      <c r="L921" s="4"/>
      <c r="M921" s="35"/>
    </row>
    <row r="922" spans="1:13" ht="15.9" customHeight="1" x14ac:dyDescent="0.3">
      <c r="A922" s="46">
        <v>919</v>
      </c>
      <c r="B922" s="57" t="str">
        <f>IF(Tabla1[[#This Row],[TRABAJADOR]]="", "", VLOOKUP(Tabla1[[#This Row],[TRABAJADOR]], 'Colaborador ID'!B:C, 2, FALSE))</f>
        <v>E1794</v>
      </c>
      <c r="C922" s="61" t="s">
        <v>1778</v>
      </c>
      <c r="D922" s="60" t="s">
        <v>1779</v>
      </c>
      <c r="E922" s="67" t="s">
        <v>271</v>
      </c>
      <c r="F922" s="77" t="e" vm="1">
        <v>#VALUE!</v>
      </c>
      <c r="G922" s="62">
        <v>46003</v>
      </c>
      <c r="H922" s="60" t="e" vm="2">
        <v>#VALUE!</v>
      </c>
      <c r="I922" s="57"/>
      <c r="J922" s="60"/>
      <c r="K922" s="60"/>
      <c r="L922" s="4"/>
      <c r="M922" s="35"/>
    </row>
    <row r="923" spans="1:13" ht="15.9" customHeight="1" x14ac:dyDescent="0.3">
      <c r="A923" s="46">
        <v>920</v>
      </c>
      <c r="B923" s="64" t="str">
        <f>IF(Tabla1[[#This Row],[TRABAJADOR]]="", "", VLOOKUP(Tabla1[[#This Row],[TRABAJADOR]], 'Colaborador ID'!B:C, 2, FALSE))</f>
        <v>E0236</v>
      </c>
      <c r="C923" s="68" t="s">
        <v>1780</v>
      </c>
      <c r="D923" s="67" t="s">
        <v>1781</v>
      </c>
      <c r="E923" s="67" t="s">
        <v>16</v>
      </c>
      <c r="F923" s="38" t="e" vm="1">
        <v>#VALUE!</v>
      </c>
      <c r="G923" s="58">
        <v>45820</v>
      </c>
      <c r="H923" s="57" t="e" vm="2">
        <v>#VALUE!</v>
      </c>
      <c r="I923" s="64"/>
      <c r="J923" s="60"/>
      <c r="K923" s="60"/>
      <c r="L923" s="4"/>
      <c r="M923" s="35"/>
    </row>
    <row r="924" spans="1:13" ht="15.9" customHeight="1" x14ac:dyDescent="0.4">
      <c r="A924" s="46">
        <v>921</v>
      </c>
      <c r="B924" s="64" t="str">
        <f>IF(Tabla1[[#This Row],[TRABAJADOR]]="", "", VLOOKUP(Tabla1[[#This Row],[TRABAJADOR]], 'Colaborador ID'!B:C, 2, FALSE))</f>
        <v>E0037</v>
      </c>
      <c r="C924" s="63" t="s">
        <v>1782</v>
      </c>
      <c r="D924" s="64" t="s">
        <v>1783</v>
      </c>
      <c r="E924" s="64" t="s">
        <v>16</v>
      </c>
      <c r="F924" s="42" t="e" vm="1">
        <v>#VALUE!</v>
      </c>
      <c r="G924" s="58">
        <v>45722</v>
      </c>
      <c r="H924" s="39" t="e" vm="2">
        <v>#VALUE!</v>
      </c>
      <c r="I924" s="64"/>
      <c r="J924" s="57"/>
      <c r="K924" s="57"/>
      <c r="L924" s="4"/>
      <c r="M924" s="35"/>
    </row>
    <row r="925" spans="1:13" ht="15.9" customHeight="1" x14ac:dyDescent="0.3">
      <c r="A925" s="46">
        <v>922</v>
      </c>
      <c r="B925" s="57" t="str">
        <f>IF(Tabla1[[#This Row],[TRABAJADOR]]="", "", VLOOKUP(Tabla1[[#This Row],[TRABAJADOR]], 'Colaborador ID'!B:C, 2, FALSE))</f>
        <v>E1930</v>
      </c>
      <c r="C925" s="56" t="s">
        <v>1784</v>
      </c>
      <c r="D925" s="57" t="s">
        <v>1785</v>
      </c>
      <c r="E925" s="64" t="s">
        <v>13</v>
      </c>
      <c r="F925" s="49" t="e" vm="1">
        <v>#VALUE!</v>
      </c>
      <c r="G925" s="58">
        <v>45993</v>
      </c>
      <c r="H925" s="57" t="e" vm="2">
        <v>#VALUE!</v>
      </c>
      <c r="I925" s="57"/>
      <c r="J925" s="57"/>
      <c r="K925" s="57"/>
      <c r="L925" s="4"/>
      <c r="M925" s="35"/>
    </row>
    <row r="926" spans="1:13" ht="15.9" customHeight="1" x14ac:dyDescent="0.3">
      <c r="A926" s="46">
        <v>923</v>
      </c>
      <c r="B926" s="64" t="str">
        <f>IF(Tabla1[[#This Row],[TRABAJADOR]]="", "", VLOOKUP(Tabla1[[#This Row],[TRABAJADOR]], 'Colaborador ID'!B:C, 2, FALSE))</f>
        <v>E0409</v>
      </c>
      <c r="C926" s="63" t="s">
        <v>1786</v>
      </c>
      <c r="D926" s="64" t="s">
        <v>5345</v>
      </c>
      <c r="E926" s="64" t="s">
        <v>16</v>
      </c>
      <c r="F926" s="38" t="e" vm="1">
        <v>#VALUE!</v>
      </c>
      <c r="G926" s="58">
        <v>46044</v>
      </c>
      <c r="H926" s="49" t="e" vm="2">
        <v>#VALUE!</v>
      </c>
      <c r="I926" s="64"/>
      <c r="J926" s="57"/>
      <c r="K926" s="57"/>
      <c r="L926" s="4"/>
      <c r="M926" s="35"/>
    </row>
    <row r="927" spans="1:13" ht="15.9" customHeight="1" x14ac:dyDescent="0.3">
      <c r="A927" s="46">
        <v>924</v>
      </c>
      <c r="B927" s="64" t="str">
        <f>IF(Tabla1[[#This Row],[TRABAJADOR]]="", "", VLOOKUP(Tabla1[[#This Row],[TRABAJADOR]], 'Colaborador ID'!B:C, 2, FALSE))</f>
        <v>E0679</v>
      </c>
      <c r="C927" s="63" t="s">
        <v>1787</v>
      </c>
      <c r="D927" s="64" t="s">
        <v>1788</v>
      </c>
      <c r="E927" s="64"/>
      <c r="F927" s="57" t="e" vm="1">
        <v>#VALUE!</v>
      </c>
      <c r="G927" s="58"/>
      <c r="H927" s="57" t="e" vm="2">
        <v>#VALUE!</v>
      </c>
      <c r="I927" s="64"/>
      <c r="J927" s="57"/>
      <c r="K927" s="57"/>
      <c r="L927" s="4"/>
      <c r="M927" s="35"/>
    </row>
    <row r="928" spans="1:13" ht="15.9" customHeight="1" x14ac:dyDescent="0.3">
      <c r="A928" s="46">
        <v>925</v>
      </c>
      <c r="B928" s="64" t="str">
        <f>IF(Tabla1[[#This Row],[TRABAJADOR]]="", "", VLOOKUP(Tabla1[[#This Row],[TRABAJADOR]], 'Colaborador ID'!B:C, 2, FALSE))</f>
        <v>E1429</v>
      </c>
      <c r="C928" s="63" t="s">
        <v>1789</v>
      </c>
      <c r="D928" s="64" t="s">
        <v>1790</v>
      </c>
      <c r="E928" s="64" t="s">
        <v>16</v>
      </c>
      <c r="F928" s="38" t="e" vm="1">
        <v>#VALUE!</v>
      </c>
      <c r="G928" s="58">
        <v>45814</v>
      </c>
      <c r="H928" s="57" t="e" vm="2">
        <v>#VALUE!</v>
      </c>
      <c r="I928" s="64"/>
      <c r="J928" s="57"/>
      <c r="K928" s="57"/>
      <c r="L928" s="4"/>
      <c r="M928" s="35"/>
    </row>
    <row r="929" spans="1:13" ht="15.9" customHeight="1" x14ac:dyDescent="0.3">
      <c r="A929" s="46">
        <v>926</v>
      </c>
      <c r="B929" s="64" t="str">
        <f>IF(Tabla1[[#This Row],[TRABAJADOR]]="", "", VLOOKUP(Tabla1[[#This Row],[TRABAJADOR]], 'Colaborador ID'!B:C, 2, FALSE))</f>
        <v>E0055</v>
      </c>
      <c r="C929" s="63" t="s">
        <v>1791</v>
      </c>
      <c r="D929" s="64" t="s">
        <v>1792</v>
      </c>
      <c r="E929" s="64" t="s">
        <v>16</v>
      </c>
      <c r="F929" s="49" t="e" vm="1">
        <v>#VALUE!</v>
      </c>
      <c r="G929" s="58"/>
      <c r="H929" s="57" t="e" vm="2">
        <v>#VALUE!</v>
      </c>
      <c r="I929" s="64"/>
      <c r="J929" s="57"/>
      <c r="K929" s="57"/>
      <c r="L929" s="4"/>
      <c r="M929" s="35"/>
    </row>
    <row r="930" spans="1:13" ht="15.9" customHeight="1" x14ac:dyDescent="0.3">
      <c r="A930" s="46">
        <v>927</v>
      </c>
      <c r="B930" s="64" t="str">
        <f>IF(Tabla1[[#This Row],[TRABAJADOR]]="", "", VLOOKUP(Tabla1[[#This Row],[TRABAJADOR]], 'Colaborador ID'!B:C, 2, FALSE))</f>
        <v>E1545</v>
      </c>
      <c r="C930" s="63" t="s">
        <v>1793</v>
      </c>
      <c r="D930" s="64" t="s">
        <v>1794</v>
      </c>
      <c r="E930" s="64" t="s">
        <v>16</v>
      </c>
      <c r="F930" s="49" t="e" vm="1">
        <v>#VALUE!</v>
      </c>
      <c r="G930" s="58">
        <v>45880</v>
      </c>
      <c r="H930" s="57" t="e" vm="2">
        <v>#VALUE!</v>
      </c>
      <c r="I930" s="64"/>
      <c r="J930" s="57"/>
      <c r="K930" s="57"/>
      <c r="L930" s="4"/>
      <c r="M930" s="35"/>
    </row>
    <row r="931" spans="1:13" ht="15.9" customHeight="1" x14ac:dyDescent="0.3">
      <c r="A931" s="46">
        <v>928</v>
      </c>
      <c r="B931" s="64" t="str">
        <f>IF(Tabla1[[#This Row],[TRABAJADOR]]="", "", VLOOKUP(Tabla1[[#This Row],[TRABAJADOR]], 'Colaborador ID'!B:C, 2, FALSE))</f>
        <v>E1344</v>
      </c>
      <c r="C931" s="63" t="s">
        <v>1795</v>
      </c>
      <c r="D931" s="64" t="s">
        <v>1796</v>
      </c>
      <c r="E931" s="64"/>
      <c r="F931" s="57" t="e" vm="1">
        <v>#VALUE!</v>
      </c>
      <c r="G931" s="58"/>
      <c r="H931" s="57" t="e" vm="2">
        <v>#VALUE!</v>
      </c>
      <c r="I931" s="64"/>
      <c r="J931" s="57"/>
      <c r="K931" s="57"/>
      <c r="L931" s="4"/>
      <c r="M931" s="35"/>
    </row>
    <row r="932" spans="1:13" ht="15.9" customHeight="1" x14ac:dyDescent="0.3">
      <c r="A932" s="46">
        <v>929</v>
      </c>
      <c r="B932" s="64" t="str">
        <f>IF(Tabla1[[#This Row],[TRABAJADOR]]="", "", VLOOKUP(Tabla1[[#This Row],[TRABAJADOR]], 'Colaborador ID'!B:C, 2, FALSE))</f>
        <v>E1071</v>
      </c>
      <c r="C932" s="63" t="s">
        <v>1797</v>
      </c>
      <c r="D932" s="64" t="s">
        <v>1798</v>
      </c>
      <c r="E932" s="64" t="s">
        <v>13</v>
      </c>
      <c r="F932" s="38" t="e" vm="1">
        <v>#VALUE!</v>
      </c>
      <c r="G932" s="58">
        <v>45769</v>
      </c>
      <c r="H932" s="57" t="e" vm="2">
        <v>#VALUE!</v>
      </c>
      <c r="I932" s="64"/>
      <c r="J932" s="57"/>
      <c r="K932" s="57"/>
      <c r="L932" s="4"/>
      <c r="M932" s="35"/>
    </row>
    <row r="933" spans="1:13" ht="15.9" customHeight="1" x14ac:dyDescent="0.3">
      <c r="A933" s="46">
        <v>930</v>
      </c>
      <c r="B933" s="64" t="str">
        <f>IF(Tabla1[[#This Row],[TRABAJADOR]]="", "", VLOOKUP(Tabla1[[#This Row],[TRABAJADOR]], 'Colaborador ID'!B:C, 2, FALSE))</f>
        <v>E0799</v>
      </c>
      <c r="C933" s="63" t="s">
        <v>1799</v>
      </c>
      <c r="D933" s="64" t="s">
        <v>1800</v>
      </c>
      <c r="E933" s="64" t="s">
        <v>16</v>
      </c>
      <c r="F933" s="49" t="e" vm="1">
        <v>#VALUE!</v>
      </c>
      <c r="G933" s="58"/>
      <c r="H933" s="57" t="e" vm="2">
        <v>#VALUE!</v>
      </c>
      <c r="I933" s="64" t="s">
        <v>22</v>
      </c>
      <c r="J933" s="57"/>
      <c r="K933" s="57"/>
      <c r="L933" s="4"/>
      <c r="M933" s="35"/>
    </row>
    <row r="934" spans="1:13" ht="15.9" customHeight="1" x14ac:dyDescent="0.3">
      <c r="A934" s="46">
        <v>931</v>
      </c>
      <c r="B934" s="57" t="str">
        <f>IF(Tabla1[[#This Row],[TRABAJADOR]]="", "", VLOOKUP(Tabla1[[#This Row],[TRABAJADOR]], 'Colaborador ID'!B:C, 2, FALSE))</f>
        <v>E1845</v>
      </c>
      <c r="C934" s="56" t="s">
        <v>1801</v>
      </c>
      <c r="D934" s="57" t="s">
        <v>1802</v>
      </c>
      <c r="E934" s="64" t="s">
        <v>33</v>
      </c>
      <c r="F934" s="49" t="e" vm="1">
        <v>#VALUE!</v>
      </c>
      <c r="G934" s="58">
        <v>45958</v>
      </c>
      <c r="H934" s="57" t="e" vm="2">
        <v>#VALUE!</v>
      </c>
      <c r="I934" s="57" t="s">
        <v>22</v>
      </c>
      <c r="J934" s="57"/>
      <c r="K934" s="57"/>
      <c r="L934" s="4"/>
      <c r="M934" s="35"/>
    </row>
    <row r="935" spans="1:13" ht="15.9" customHeight="1" x14ac:dyDescent="0.3">
      <c r="A935" s="46">
        <v>932</v>
      </c>
      <c r="B935" s="64" t="str">
        <f>IF(Tabla1[[#This Row],[TRABAJADOR]]="", "", VLOOKUP(Tabla1[[#This Row],[TRABAJADOR]], 'Colaborador ID'!B:C, 2, FALSE))</f>
        <v>E0604</v>
      </c>
      <c r="C935" s="63" t="s">
        <v>1803</v>
      </c>
      <c r="D935" s="64" t="s">
        <v>1804</v>
      </c>
      <c r="E935" s="64"/>
      <c r="F935" s="57" t="e" vm="1">
        <v>#VALUE!</v>
      </c>
      <c r="G935" s="58"/>
      <c r="H935" s="57" t="e" vm="2">
        <v>#VALUE!</v>
      </c>
      <c r="I935" s="64"/>
      <c r="J935" s="57"/>
      <c r="K935" s="57"/>
      <c r="L935" s="4"/>
      <c r="M935" s="35"/>
    </row>
    <row r="936" spans="1:13" ht="15.9" customHeight="1" x14ac:dyDescent="0.3">
      <c r="A936" s="46">
        <v>933</v>
      </c>
      <c r="B936" s="64" t="str">
        <f>IF(Tabla1[[#This Row],[TRABAJADOR]]="", "", VLOOKUP(Tabla1[[#This Row],[TRABAJADOR]], 'Colaborador ID'!B:C, 2, FALSE))</f>
        <v>E0568</v>
      </c>
      <c r="C936" s="63" t="s">
        <v>1805</v>
      </c>
      <c r="D936" s="64" t="s">
        <v>1806</v>
      </c>
      <c r="E936" s="64" t="s">
        <v>16</v>
      </c>
      <c r="F936" s="38" t="e" vm="1">
        <v>#VALUE!</v>
      </c>
      <c r="G936" s="58">
        <v>45772</v>
      </c>
      <c r="H936" s="57" t="e" vm="2">
        <v>#VALUE!</v>
      </c>
      <c r="I936" s="64"/>
      <c r="J936" s="57"/>
      <c r="K936" s="57"/>
      <c r="L936" s="4"/>
      <c r="M936" s="35"/>
    </row>
    <row r="937" spans="1:13" ht="15.9" customHeight="1" x14ac:dyDescent="0.3">
      <c r="A937" s="46">
        <v>934</v>
      </c>
      <c r="B937" s="57" t="str">
        <f>IF(Tabla1[[#This Row],[TRABAJADOR]]="", "", VLOOKUP(Tabla1[[#This Row],[TRABAJADOR]], 'Colaborador ID'!B:C, 2, FALSE))</f>
        <v>E1894</v>
      </c>
      <c r="C937" s="56" t="s">
        <v>1807</v>
      </c>
      <c r="D937" s="57" t="s">
        <v>1808</v>
      </c>
      <c r="E937" s="64" t="s">
        <v>33</v>
      </c>
      <c r="F937" s="49" t="e" vm="1">
        <v>#VALUE!</v>
      </c>
      <c r="G937" s="58">
        <v>45965</v>
      </c>
      <c r="H937" s="57" t="e" vm="2">
        <v>#VALUE!</v>
      </c>
      <c r="I937" s="57" t="s">
        <v>22</v>
      </c>
      <c r="J937" s="57"/>
      <c r="K937" s="57"/>
      <c r="L937" s="4"/>
      <c r="M937" s="35"/>
    </row>
    <row r="938" spans="1:13" ht="15.9" customHeight="1" x14ac:dyDescent="0.3">
      <c r="A938" s="46">
        <v>935</v>
      </c>
      <c r="B938" s="64" t="str">
        <f>IF(Tabla1[[#This Row],[TRABAJADOR]]="", "", VLOOKUP(Tabla1[[#This Row],[TRABAJADOR]], 'Colaborador ID'!B:C, 2, FALSE))</f>
        <v>E0770</v>
      </c>
      <c r="C938" s="63" t="s">
        <v>1809</v>
      </c>
      <c r="D938" s="64" t="s">
        <v>1810</v>
      </c>
      <c r="E938" s="64"/>
      <c r="F938" s="57" t="e" vm="1">
        <v>#VALUE!</v>
      </c>
      <c r="G938" s="58"/>
      <c r="H938" s="57" t="e" vm="2">
        <v>#VALUE!</v>
      </c>
      <c r="I938" s="64" t="s">
        <v>22</v>
      </c>
      <c r="J938" s="57"/>
      <c r="K938" s="57"/>
      <c r="L938" s="4"/>
      <c r="M938" s="35"/>
    </row>
    <row r="939" spans="1:13" ht="15.9" customHeight="1" x14ac:dyDescent="0.3">
      <c r="A939" s="46">
        <v>936</v>
      </c>
      <c r="B939" s="64" t="str">
        <f>IF(Tabla1[[#This Row],[TRABAJADOR]]="", "", VLOOKUP(Tabla1[[#This Row],[TRABAJADOR]], 'Colaborador ID'!B:C, 2, FALSE))</f>
        <v>E0314</v>
      </c>
      <c r="C939" s="63" t="s">
        <v>1811</v>
      </c>
      <c r="D939" s="64" t="s">
        <v>1812</v>
      </c>
      <c r="E939" s="64"/>
      <c r="F939" s="57" t="e" vm="1">
        <v>#VALUE!</v>
      </c>
      <c r="G939" s="58"/>
      <c r="H939" s="57" t="e" vm="2">
        <v>#VALUE!</v>
      </c>
      <c r="I939" s="64"/>
      <c r="J939" s="57"/>
      <c r="K939" s="57"/>
      <c r="L939" s="4"/>
      <c r="M939" s="35"/>
    </row>
    <row r="940" spans="1:13" ht="15.9" customHeight="1" x14ac:dyDescent="0.3">
      <c r="A940" s="46">
        <v>937</v>
      </c>
      <c r="B940" s="57" t="str">
        <f>IF(Tabla1[[#This Row],[TRABAJADOR]]="", "", VLOOKUP(Tabla1[[#This Row],[TRABAJADOR]], 'Colaborador ID'!B:C, 2, FALSE))</f>
        <v>E1726</v>
      </c>
      <c r="C940" s="56" t="s">
        <v>1813</v>
      </c>
      <c r="D940" s="57" t="s">
        <v>1814</v>
      </c>
      <c r="E940" s="64" t="s">
        <v>19</v>
      </c>
      <c r="F940" s="49" t="e" vm="1">
        <v>#VALUE!</v>
      </c>
      <c r="G940" s="58">
        <v>45891</v>
      </c>
      <c r="H940" s="57" t="e" vm="2">
        <v>#VALUE!</v>
      </c>
      <c r="I940" s="57"/>
      <c r="J940" s="57"/>
      <c r="K940" s="57"/>
      <c r="L940" s="4"/>
      <c r="M940" s="35"/>
    </row>
    <row r="941" spans="1:13" ht="15.9" customHeight="1" x14ac:dyDescent="0.3">
      <c r="A941" s="46">
        <v>938</v>
      </c>
      <c r="B941" s="64" t="str">
        <f>IF(Tabla1[[#This Row],[TRABAJADOR]]="", "", VLOOKUP(Tabla1[[#This Row],[TRABAJADOR]], 'Colaborador ID'!B:C, 2, FALSE))</f>
        <v>E1377</v>
      </c>
      <c r="C941" s="63" t="s">
        <v>1815</v>
      </c>
      <c r="D941" s="64" t="s">
        <v>1816</v>
      </c>
      <c r="E941" s="64"/>
      <c r="F941" s="57" t="e" vm="1">
        <v>#VALUE!</v>
      </c>
      <c r="G941" s="58"/>
      <c r="H941" s="57" t="e" vm="2">
        <v>#VALUE!</v>
      </c>
      <c r="I941" s="64"/>
      <c r="J941" s="57"/>
      <c r="K941" s="57"/>
      <c r="L941" s="4"/>
      <c r="M941" s="35"/>
    </row>
    <row r="942" spans="1:13" ht="15.9" customHeight="1" x14ac:dyDescent="0.3">
      <c r="A942" s="46">
        <v>939</v>
      </c>
      <c r="B942" s="64" t="str">
        <f>IF(Tabla1[[#This Row],[TRABAJADOR]]="", "", VLOOKUP(Tabla1[[#This Row],[TRABAJADOR]], 'Colaborador ID'!B:C, 2, FALSE))</f>
        <v>E0102</v>
      </c>
      <c r="C942" s="63" t="s">
        <v>1817</v>
      </c>
      <c r="D942" s="64" t="s">
        <v>1818</v>
      </c>
      <c r="E942" s="64" t="s">
        <v>16</v>
      </c>
      <c r="F942" s="49" t="e" vm="1">
        <v>#VALUE!</v>
      </c>
      <c r="G942" s="58"/>
      <c r="H942" s="57" t="e" vm="2">
        <v>#VALUE!</v>
      </c>
      <c r="I942" s="64"/>
      <c r="J942" s="57"/>
      <c r="K942" s="57"/>
      <c r="L942" s="4"/>
      <c r="M942" s="35"/>
    </row>
    <row r="943" spans="1:13" ht="15.9" customHeight="1" x14ac:dyDescent="0.3">
      <c r="A943" s="46">
        <v>940</v>
      </c>
      <c r="B943" s="64" t="str">
        <f>IF(Tabla1[[#This Row],[TRABAJADOR]]="", "", VLOOKUP(Tabla1[[#This Row],[TRABAJADOR]], 'Colaborador ID'!B:C, 2, FALSE))</f>
        <v>E0333</v>
      </c>
      <c r="C943" s="63" t="s">
        <v>1819</v>
      </c>
      <c r="D943" s="64" t="s">
        <v>1820</v>
      </c>
      <c r="E943" s="64"/>
      <c r="F943" s="57" t="e" vm="1">
        <v>#VALUE!</v>
      </c>
      <c r="G943" s="58"/>
      <c r="H943" s="57" t="e" vm="2">
        <v>#VALUE!</v>
      </c>
      <c r="I943" s="64"/>
      <c r="J943" s="57"/>
      <c r="K943" s="57"/>
      <c r="L943" s="4"/>
      <c r="M943" s="35"/>
    </row>
    <row r="944" spans="1:13" ht="15.9" customHeight="1" x14ac:dyDescent="0.3">
      <c r="A944" s="46">
        <v>941</v>
      </c>
      <c r="B944" s="57" t="str">
        <f>IF(Tabla1[[#This Row],[TRABAJADOR]]="", "", VLOOKUP(Tabla1[[#This Row],[TRABAJADOR]], 'Colaborador ID'!B:C, 2, FALSE))</f>
        <v>E2000</v>
      </c>
      <c r="C944" s="56" t="s">
        <v>1821</v>
      </c>
      <c r="D944" s="57" t="s">
        <v>1822</v>
      </c>
      <c r="E944" s="64" t="s">
        <v>271</v>
      </c>
      <c r="F944" s="49" t="e" vm="1">
        <v>#VALUE!</v>
      </c>
      <c r="G944" s="58">
        <v>45975</v>
      </c>
      <c r="H944" s="57" t="e" vm="2">
        <v>#VALUE!</v>
      </c>
      <c r="I944" s="57"/>
      <c r="J944" s="57"/>
      <c r="K944" s="57"/>
      <c r="L944" s="4"/>
      <c r="M944" s="35"/>
    </row>
    <row r="945" spans="1:13" ht="15.9" customHeight="1" x14ac:dyDescent="0.3">
      <c r="A945" s="46">
        <v>942</v>
      </c>
      <c r="B945" s="57" t="str">
        <f>IF(Tabla1[[#This Row],[TRABAJADOR]]="", "", VLOOKUP(Tabla1[[#This Row],[TRABAJADOR]], 'Colaborador ID'!B:C, 2, FALSE))</f>
        <v>E1885</v>
      </c>
      <c r="C945" s="56" t="s">
        <v>1823</v>
      </c>
      <c r="D945" s="57" t="s">
        <v>1824</v>
      </c>
      <c r="E945" s="64" t="s">
        <v>16</v>
      </c>
      <c r="F945" s="49" t="e" vm="1">
        <v>#VALUE!</v>
      </c>
      <c r="G945" s="58">
        <v>45964</v>
      </c>
      <c r="H945" s="57" t="e" vm="2">
        <v>#VALUE!</v>
      </c>
      <c r="I945" s="57" t="s">
        <v>22</v>
      </c>
      <c r="J945" s="57"/>
      <c r="K945" s="57"/>
      <c r="L945" s="4"/>
      <c r="M945" s="35"/>
    </row>
    <row r="946" spans="1:13" ht="15.9" customHeight="1" x14ac:dyDescent="0.3">
      <c r="A946" s="46">
        <v>943</v>
      </c>
      <c r="B946" s="64" t="str">
        <f>IF(Tabla1[[#This Row],[TRABAJADOR]]="", "", VLOOKUP(Tabla1[[#This Row],[TRABAJADOR]], 'Colaborador ID'!B:C, 2, FALSE))</f>
        <v>E1430</v>
      </c>
      <c r="C946" s="63" t="s">
        <v>1825</v>
      </c>
      <c r="D946" s="64" t="s">
        <v>1826</v>
      </c>
      <c r="E946" s="64" t="s">
        <v>33</v>
      </c>
      <c r="F946" s="57" t="e" vm="1">
        <v>#VALUE!</v>
      </c>
      <c r="G946" s="58"/>
      <c r="H946" s="57" t="e" vm="2">
        <v>#VALUE!</v>
      </c>
      <c r="I946" s="64" t="s">
        <v>22</v>
      </c>
      <c r="J946" s="57"/>
      <c r="K946" s="57"/>
      <c r="L946" s="4"/>
      <c r="M946" s="35"/>
    </row>
    <row r="947" spans="1:13" ht="15.9" customHeight="1" x14ac:dyDescent="0.3">
      <c r="A947" s="46">
        <v>944</v>
      </c>
      <c r="B947" s="64" t="str">
        <f>IF(Tabla1[[#This Row],[TRABAJADOR]]="", "", VLOOKUP(Tabla1[[#This Row],[TRABAJADOR]], 'Colaborador ID'!B:C, 2, FALSE))</f>
        <v>E0306</v>
      </c>
      <c r="C947" s="63" t="s">
        <v>1827</v>
      </c>
      <c r="D947" s="64" t="s">
        <v>1828</v>
      </c>
      <c r="E947" s="64" t="s">
        <v>13</v>
      </c>
      <c r="F947" s="38" t="e" vm="1">
        <v>#VALUE!</v>
      </c>
      <c r="G947" s="58">
        <v>45803</v>
      </c>
      <c r="H947" s="40" t="e" vm="2">
        <v>#VALUE!</v>
      </c>
      <c r="I947" s="64"/>
      <c r="J947" s="57"/>
      <c r="K947" s="57"/>
      <c r="L947" s="4"/>
      <c r="M947" s="35"/>
    </row>
    <row r="948" spans="1:13" ht="15.9" customHeight="1" x14ac:dyDescent="0.35">
      <c r="A948" s="46">
        <v>945</v>
      </c>
      <c r="B948" s="64" t="str">
        <f>IF(Tabla1[[#This Row],[TRABAJADOR]]="", "", VLOOKUP(Tabla1[[#This Row],[TRABAJADOR]], 'Colaborador ID'!B:C, 2, FALSE))</f>
        <v>E0174</v>
      </c>
      <c r="C948" s="63" t="s">
        <v>1829</v>
      </c>
      <c r="D948" s="64" t="s">
        <v>1830</v>
      </c>
      <c r="E948" s="64" t="s">
        <v>19</v>
      </c>
      <c r="F948" s="42" t="e" vm="1">
        <v>#VALUE!</v>
      </c>
      <c r="G948" s="58"/>
      <c r="H948" s="57" t="e" vm="2">
        <v>#VALUE!</v>
      </c>
      <c r="I948" s="64"/>
      <c r="J948" s="57"/>
      <c r="K948" s="57"/>
      <c r="L948" s="4"/>
      <c r="M948" s="35"/>
    </row>
    <row r="949" spans="1:13" ht="15.9" customHeight="1" x14ac:dyDescent="0.3">
      <c r="A949" s="46">
        <v>946</v>
      </c>
      <c r="B949" s="64" t="str">
        <f>IF(Tabla1[[#This Row],[TRABAJADOR]]="", "", VLOOKUP(Tabla1[[#This Row],[TRABAJADOR]], 'Colaborador ID'!B:C, 2, FALSE))</f>
        <v>E0716</v>
      </c>
      <c r="C949" s="63" t="s">
        <v>1831</v>
      </c>
      <c r="D949" s="64" t="s">
        <v>1832</v>
      </c>
      <c r="E949" s="64"/>
      <c r="F949" s="57" t="e" vm="1">
        <v>#VALUE!</v>
      </c>
      <c r="G949" s="58"/>
      <c r="H949" s="57" t="e" vm="2">
        <v>#VALUE!</v>
      </c>
      <c r="I949" s="64"/>
      <c r="J949" s="57"/>
      <c r="K949" s="57"/>
      <c r="L949" s="4"/>
      <c r="M949" s="35"/>
    </row>
    <row r="950" spans="1:13" ht="15.9" customHeight="1" x14ac:dyDescent="0.3">
      <c r="A950" s="46">
        <v>947</v>
      </c>
      <c r="B950" s="64" t="str">
        <f>IF(Tabla1[[#This Row],[TRABAJADOR]]="", "", VLOOKUP(Tabla1[[#This Row],[TRABAJADOR]], 'Colaborador ID'!B:C, 2, FALSE))</f>
        <v>E0369</v>
      </c>
      <c r="C950" s="63" t="s">
        <v>1833</v>
      </c>
      <c r="D950" s="64" t="s">
        <v>1834</v>
      </c>
      <c r="E950" s="64"/>
      <c r="F950" s="57" t="e" vm="1">
        <v>#VALUE!</v>
      </c>
      <c r="G950" s="58"/>
      <c r="H950" s="57" t="e" vm="2">
        <v>#VALUE!</v>
      </c>
      <c r="I950" s="64"/>
      <c r="J950" s="57"/>
      <c r="K950" s="57"/>
      <c r="L950" s="4"/>
      <c r="M950" s="35"/>
    </row>
    <row r="951" spans="1:13" ht="15.9" customHeight="1" x14ac:dyDescent="0.3">
      <c r="A951" s="46">
        <v>948</v>
      </c>
      <c r="B951" s="64" t="str">
        <f>IF(Tabla1[[#This Row],[TRABAJADOR]]="", "", VLOOKUP(Tabla1[[#This Row],[TRABAJADOR]], 'Colaborador ID'!B:C, 2, FALSE))</f>
        <v>E0941</v>
      </c>
      <c r="C951" s="63" t="s">
        <v>1835</v>
      </c>
      <c r="D951" s="64" t="s">
        <v>1836</v>
      </c>
      <c r="E951" s="64"/>
      <c r="F951" s="57" t="e" vm="1">
        <v>#VALUE!</v>
      </c>
      <c r="G951" s="58"/>
      <c r="H951" s="57" t="e" vm="2">
        <v>#VALUE!</v>
      </c>
      <c r="I951" s="64"/>
      <c r="J951" s="57"/>
      <c r="K951" s="57"/>
      <c r="L951" s="4"/>
      <c r="M951" s="35"/>
    </row>
    <row r="952" spans="1:13" ht="15.9" customHeight="1" x14ac:dyDescent="0.3">
      <c r="A952" s="46">
        <v>949</v>
      </c>
      <c r="B952" s="64" t="str">
        <f>IF(Tabla1[[#This Row],[TRABAJADOR]]="", "", VLOOKUP(Tabla1[[#This Row],[TRABAJADOR]], 'Colaborador ID'!B:C, 2, FALSE))</f>
        <v>E0440</v>
      </c>
      <c r="C952" s="63" t="s">
        <v>1837</v>
      </c>
      <c r="D952" s="64" t="s">
        <v>1838</v>
      </c>
      <c r="E952" s="64"/>
      <c r="F952" s="57" t="e" vm="1">
        <v>#VALUE!</v>
      </c>
      <c r="G952" s="58"/>
      <c r="H952" s="57" t="e" vm="2">
        <v>#VALUE!</v>
      </c>
      <c r="I952" s="64"/>
      <c r="J952" s="57"/>
      <c r="K952" s="57"/>
      <c r="L952" s="4"/>
      <c r="M952" s="35"/>
    </row>
    <row r="953" spans="1:13" ht="15.9" customHeight="1" x14ac:dyDescent="0.3">
      <c r="A953" s="46">
        <v>950</v>
      </c>
      <c r="B953" s="57" t="str">
        <f>IF(Tabla1[[#This Row],[TRABAJADOR]]="", "", VLOOKUP(Tabla1[[#This Row],[TRABAJADOR]], 'Colaborador ID'!B:C, 2, FALSE))</f>
        <v>E2077</v>
      </c>
      <c r="C953" s="56" t="s">
        <v>5309</v>
      </c>
      <c r="D953" s="57" t="s">
        <v>5463</v>
      </c>
      <c r="E953" s="64"/>
      <c r="F953" s="49" t="e" vm="1">
        <v>#VALUE!</v>
      </c>
      <c r="G953" s="58">
        <v>46073</v>
      </c>
      <c r="H953" s="57" t="e" vm="2">
        <v>#VALUE!</v>
      </c>
      <c r="I953" s="57"/>
      <c r="J953" s="57"/>
      <c r="K953" s="57"/>
      <c r="L953" s="4"/>
      <c r="M953" s="35"/>
    </row>
    <row r="954" spans="1:13" ht="15.9" customHeight="1" x14ac:dyDescent="0.4">
      <c r="A954" s="46">
        <v>951</v>
      </c>
      <c r="B954" s="64" t="str">
        <f>IF(Tabla1[[#This Row],[TRABAJADOR]]="", "", VLOOKUP(Tabla1[[#This Row],[TRABAJADOR]], 'Colaborador ID'!B:C, 2, FALSE))</f>
        <v>E0417</v>
      </c>
      <c r="C954" s="63" t="s">
        <v>1839</v>
      </c>
      <c r="D954" s="64" t="s">
        <v>1840</v>
      </c>
      <c r="E954" s="64" t="s">
        <v>16</v>
      </c>
      <c r="F954" s="42" t="e" vm="1">
        <v>#VALUE!</v>
      </c>
      <c r="G954" s="58">
        <v>45719</v>
      </c>
      <c r="H954" s="39" t="e" vm="2">
        <v>#VALUE!</v>
      </c>
      <c r="I954" s="64"/>
      <c r="J954" s="57"/>
      <c r="K954" s="57"/>
      <c r="L954" s="4"/>
      <c r="M954" s="35"/>
    </row>
    <row r="955" spans="1:13" ht="15.9" customHeight="1" x14ac:dyDescent="0.3">
      <c r="A955" s="46">
        <v>952</v>
      </c>
      <c r="B955" s="57" t="str">
        <f>IF(Tabla1[[#This Row],[TRABAJADOR]]="", "", VLOOKUP(Tabla1[[#This Row],[TRABAJADOR]], 'Colaborador ID'!B:C, 2, FALSE))</f>
        <v>E2004</v>
      </c>
      <c r="C955" s="56" t="s">
        <v>1841</v>
      </c>
      <c r="D955" s="57" t="s">
        <v>1842</v>
      </c>
      <c r="E955" s="64" t="s">
        <v>13</v>
      </c>
      <c r="F955" s="49" t="e" vm="1">
        <v>#VALUE!</v>
      </c>
      <c r="G955" s="58">
        <v>45957</v>
      </c>
      <c r="H955" s="57" t="e" vm="2">
        <v>#VALUE!</v>
      </c>
      <c r="I955" s="57" t="s">
        <v>22</v>
      </c>
      <c r="J955" s="57"/>
      <c r="K955" s="57"/>
      <c r="L955" s="4"/>
      <c r="M955" s="35"/>
    </row>
    <row r="956" spans="1:13" ht="15.9" customHeight="1" x14ac:dyDescent="0.3">
      <c r="A956" s="46">
        <v>953</v>
      </c>
      <c r="B956" s="64" t="str">
        <f>IF(Tabla1[[#This Row],[TRABAJADOR]]="", "", VLOOKUP(Tabla1[[#This Row],[TRABAJADOR]], 'Colaborador ID'!B:C, 2, FALSE))</f>
        <v>E1092</v>
      </c>
      <c r="C956" s="63" t="s">
        <v>1843</v>
      </c>
      <c r="D956" s="64" t="s">
        <v>1844</v>
      </c>
      <c r="E956" s="64"/>
      <c r="F956" s="57" t="e" vm="1">
        <v>#VALUE!</v>
      </c>
      <c r="G956" s="58"/>
      <c r="H956" s="57" t="e" vm="2">
        <v>#VALUE!</v>
      </c>
      <c r="I956" s="64"/>
      <c r="J956" s="57"/>
      <c r="K956" s="57"/>
      <c r="L956" s="4"/>
      <c r="M956" s="35"/>
    </row>
    <row r="957" spans="1:13" ht="15.9" customHeight="1" x14ac:dyDescent="0.3">
      <c r="A957" s="46">
        <v>954</v>
      </c>
      <c r="B957" s="64" t="str">
        <f>IF(Tabla1[[#This Row],[TRABAJADOR]]="", "", VLOOKUP(Tabla1[[#This Row],[TRABAJADOR]], 'Colaborador ID'!B:C, 2, FALSE))</f>
        <v>E0410</v>
      </c>
      <c r="C957" s="63" t="s">
        <v>1845</v>
      </c>
      <c r="D957" s="64" t="s">
        <v>1846</v>
      </c>
      <c r="E957" s="64" t="s">
        <v>16</v>
      </c>
      <c r="F957" s="76" t="e" vm="1">
        <v>#VALUE!</v>
      </c>
      <c r="G957" s="58">
        <v>45940</v>
      </c>
      <c r="H957" s="49" t="e" vm="2">
        <v>#VALUE!</v>
      </c>
      <c r="I957" s="64" t="s">
        <v>22</v>
      </c>
      <c r="J957" s="57"/>
      <c r="K957" s="57"/>
      <c r="L957" s="4"/>
      <c r="M957" s="35"/>
    </row>
    <row r="958" spans="1:13" ht="15.9" customHeight="1" x14ac:dyDescent="0.35">
      <c r="A958" s="46">
        <v>955</v>
      </c>
      <c r="B958" s="64" t="str">
        <f>IF(Tabla1[[#This Row],[TRABAJADOR]]="", "", VLOOKUP(Tabla1[[#This Row],[TRABAJADOR]], 'Colaborador ID'!B:C, 2, FALSE))</f>
        <v>E0639</v>
      </c>
      <c r="C958" s="63" t="s">
        <v>1847</v>
      </c>
      <c r="D958" s="64" t="s">
        <v>1848</v>
      </c>
      <c r="E958" s="64" t="s">
        <v>16</v>
      </c>
      <c r="F958" s="42" t="e" vm="1">
        <v>#VALUE!</v>
      </c>
      <c r="G958" s="58"/>
      <c r="H958" s="57" t="e" vm="2">
        <v>#VALUE!</v>
      </c>
      <c r="I958" s="64"/>
      <c r="J958" s="57"/>
      <c r="K958" s="57"/>
      <c r="L958" s="4"/>
      <c r="M958" s="35"/>
    </row>
    <row r="959" spans="1:13" ht="15.9" customHeight="1" x14ac:dyDescent="0.3">
      <c r="A959" s="46">
        <v>956</v>
      </c>
      <c r="B959" s="64" t="str">
        <f>IF(Tabla1[[#This Row],[TRABAJADOR]]="", "", VLOOKUP(Tabla1[[#This Row],[TRABAJADOR]], 'Colaborador ID'!B:C, 2, FALSE))</f>
        <v>E0043</v>
      </c>
      <c r="C959" s="63" t="s">
        <v>1849</v>
      </c>
      <c r="D959" s="64" t="s">
        <v>1850</v>
      </c>
      <c r="E959" s="64" t="s">
        <v>16</v>
      </c>
      <c r="F959" s="38" t="e" vm="1">
        <v>#VALUE!</v>
      </c>
      <c r="G959" s="58">
        <v>45761</v>
      </c>
      <c r="H959" s="57" t="e" vm="2">
        <v>#VALUE!</v>
      </c>
      <c r="I959" s="64"/>
      <c r="J959" s="57"/>
      <c r="K959" s="57"/>
      <c r="L959" s="4"/>
      <c r="M959" s="35"/>
    </row>
    <row r="960" spans="1:13" ht="15.9" customHeight="1" x14ac:dyDescent="0.3">
      <c r="A960" s="46">
        <v>957</v>
      </c>
      <c r="B960" s="64" t="str">
        <f>IF(Tabla1[[#This Row],[TRABAJADOR]]="", "", VLOOKUP(Tabla1[[#This Row],[TRABAJADOR]], 'Colaborador ID'!B:C, 2, FALSE))</f>
        <v>E1546</v>
      </c>
      <c r="C960" s="63" t="s">
        <v>1851</v>
      </c>
      <c r="D960" s="64" t="s">
        <v>1852</v>
      </c>
      <c r="E960" s="64" t="s">
        <v>16</v>
      </c>
      <c r="F960" s="49" t="e" vm="1">
        <v>#VALUE!</v>
      </c>
      <c r="G960" s="58">
        <v>45987</v>
      </c>
      <c r="H960" s="49" t="e" vm="2">
        <v>#VALUE!</v>
      </c>
      <c r="I960" s="64" t="s">
        <v>22</v>
      </c>
      <c r="J960" s="57"/>
      <c r="K960" s="57"/>
      <c r="L960" s="4"/>
      <c r="M960" s="35"/>
    </row>
    <row r="961" spans="1:13" ht="15.9" customHeight="1" x14ac:dyDescent="0.3">
      <c r="A961" s="46">
        <v>958</v>
      </c>
      <c r="B961" s="57" t="str">
        <f>IF(Tabla1[[#This Row],[TRABAJADOR]]="", "", VLOOKUP(Tabla1[[#This Row],[TRABAJADOR]], 'Colaborador ID'!B:C, 2, FALSE))</f>
        <v>E1547</v>
      </c>
      <c r="C961" s="56" t="s">
        <v>1853</v>
      </c>
      <c r="D961" s="57" t="s">
        <v>1854</v>
      </c>
      <c r="E961" s="64" t="s">
        <v>19</v>
      </c>
      <c r="F961" s="49" t="e" vm="1">
        <v>#VALUE!</v>
      </c>
      <c r="G961" s="58">
        <v>45903</v>
      </c>
      <c r="H961" s="57" t="e" vm="2">
        <v>#VALUE!</v>
      </c>
      <c r="I961" s="57"/>
      <c r="J961" s="57"/>
      <c r="K961" s="57"/>
      <c r="L961" s="4"/>
      <c r="M961" s="35"/>
    </row>
    <row r="962" spans="1:13" ht="15.9" customHeight="1" x14ac:dyDescent="0.3">
      <c r="A962" s="46">
        <v>959</v>
      </c>
      <c r="B962" s="64" t="str">
        <f>IF(Tabla1[[#This Row],[TRABAJADOR]]="", "", VLOOKUP(Tabla1[[#This Row],[TRABAJADOR]], 'Colaborador ID'!B:C, 2, FALSE))</f>
        <v>E1592</v>
      </c>
      <c r="C962" s="63" t="s">
        <v>1855</v>
      </c>
      <c r="D962" s="64" t="s">
        <v>5317</v>
      </c>
      <c r="E962" s="64" t="s">
        <v>16</v>
      </c>
      <c r="F962" s="38" t="e" vm="1">
        <v>#VALUE!</v>
      </c>
      <c r="G962" s="58">
        <v>46034</v>
      </c>
      <c r="H962" s="40" t="e" vm="2">
        <v>#VALUE!</v>
      </c>
      <c r="I962" s="64"/>
      <c r="J962" s="57"/>
      <c r="K962" s="57"/>
      <c r="L962" s="4"/>
      <c r="M962" s="35"/>
    </row>
    <row r="963" spans="1:13" ht="15.9" customHeight="1" x14ac:dyDescent="0.3">
      <c r="A963" s="46">
        <v>960</v>
      </c>
      <c r="B963" s="64" t="str">
        <f>IF(Tabla1[[#This Row],[TRABAJADOR]]="", "", VLOOKUP(Tabla1[[#This Row],[TRABAJADOR]], 'Colaborador ID'!B:C, 2, FALSE))</f>
        <v>E0375</v>
      </c>
      <c r="C963" s="63" t="s">
        <v>1856</v>
      </c>
      <c r="D963" s="64" t="s">
        <v>1857</v>
      </c>
      <c r="E963" s="64"/>
      <c r="F963" s="57" t="e" vm="1">
        <v>#VALUE!</v>
      </c>
      <c r="G963" s="58"/>
      <c r="H963" s="57" t="e" vm="2">
        <v>#VALUE!</v>
      </c>
      <c r="I963" s="64"/>
      <c r="J963" s="57"/>
      <c r="K963" s="57"/>
      <c r="L963" s="4"/>
      <c r="M963" s="35"/>
    </row>
    <row r="964" spans="1:13" ht="15.9" customHeight="1" x14ac:dyDescent="0.3">
      <c r="A964" s="46">
        <v>961</v>
      </c>
      <c r="B964" s="57" t="str">
        <f>IF(Tabla1[[#This Row],[TRABAJADOR]]="", "", VLOOKUP(Tabla1[[#This Row],[TRABAJADOR]], 'Colaborador ID'!B:C, 2, FALSE))</f>
        <v>E1827</v>
      </c>
      <c r="C964" s="56" t="s">
        <v>1858</v>
      </c>
      <c r="D964" s="57" t="s">
        <v>1859</v>
      </c>
      <c r="E964" s="64" t="s">
        <v>19</v>
      </c>
      <c r="F964" s="49" t="e" vm="1">
        <v>#VALUE!</v>
      </c>
      <c r="G964" s="58">
        <v>45936</v>
      </c>
      <c r="H964" s="57" t="e" vm="2">
        <v>#VALUE!</v>
      </c>
      <c r="I964" s="57"/>
      <c r="J964" s="57"/>
      <c r="K964" s="57"/>
      <c r="L964" s="4"/>
      <c r="M964" s="35"/>
    </row>
    <row r="965" spans="1:13" ht="15.9" customHeight="1" x14ac:dyDescent="0.3">
      <c r="A965" s="46">
        <v>962</v>
      </c>
      <c r="B965" s="64" t="str">
        <f>IF(Tabla1[[#This Row],[TRABAJADOR]]="", "", VLOOKUP(Tabla1[[#This Row],[TRABAJADOR]], 'Colaborador ID'!B:C, 2, FALSE))</f>
        <v>E1067</v>
      </c>
      <c r="C965" s="63" t="s">
        <v>1860</v>
      </c>
      <c r="D965" s="64" t="s">
        <v>1861</v>
      </c>
      <c r="E965" s="64"/>
      <c r="F965" s="57" t="e" vm="1">
        <v>#VALUE!</v>
      </c>
      <c r="G965" s="58"/>
      <c r="H965" s="57" t="e" vm="2">
        <v>#VALUE!</v>
      </c>
      <c r="I965" s="64"/>
      <c r="J965" s="57"/>
      <c r="K965" s="57"/>
      <c r="L965" s="4"/>
      <c r="M965" s="35"/>
    </row>
    <row r="966" spans="1:13" ht="15.9" customHeight="1" x14ac:dyDescent="0.35">
      <c r="A966" s="46">
        <v>963</v>
      </c>
      <c r="B966" s="64" t="str">
        <f>IF(Tabla1[[#This Row],[TRABAJADOR]]="", "", VLOOKUP(Tabla1[[#This Row],[TRABAJADOR]], 'Colaborador ID'!B:C, 2, FALSE))</f>
        <v>E1068</v>
      </c>
      <c r="C966" s="63" t="s">
        <v>1862</v>
      </c>
      <c r="D966" s="64" t="s">
        <v>1863</v>
      </c>
      <c r="E966" s="64" t="s">
        <v>16</v>
      </c>
      <c r="F966" s="42" t="e" vm="1">
        <v>#VALUE!</v>
      </c>
      <c r="G966" s="58">
        <v>45783</v>
      </c>
      <c r="H966" s="40" t="e" vm="2">
        <v>#VALUE!</v>
      </c>
      <c r="I966" s="64"/>
      <c r="J966" s="57"/>
      <c r="K966" s="57"/>
      <c r="L966" s="4"/>
      <c r="M966" s="35"/>
    </row>
    <row r="967" spans="1:13" ht="15.9" customHeight="1" x14ac:dyDescent="0.3">
      <c r="A967" s="46">
        <v>964</v>
      </c>
      <c r="B967" s="57" t="str">
        <f>IF(Tabla1[[#This Row],[TRABAJADOR]]="", "", VLOOKUP(Tabla1[[#This Row],[TRABAJADOR]], 'Colaborador ID'!B:C, 2, FALSE))</f>
        <v>E1548</v>
      </c>
      <c r="C967" s="56" t="s">
        <v>4414</v>
      </c>
      <c r="D967" s="57" t="s">
        <v>5475</v>
      </c>
      <c r="E967" s="64"/>
      <c r="F967" s="49" t="e" vm="1">
        <v>#VALUE!</v>
      </c>
      <c r="G967" s="58">
        <v>46073</v>
      </c>
      <c r="H967" s="57" t="e" vm="3">
        <v>#VALUE!</v>
      </c>
      <c r="I967" s="57"/>
      <c r="J967" s="57"/>
      <c r="K967" s="57"/>
      <c r="L967" s="4"/>
      <c r="M967" s="35"/>
    </row>
    <row r="968" spans="1:13" ht="15.9" customHeight="1" x14ac:dyDescent="0.35">
      <c r="A968" s="46">
        <v>965</v>
      </c>
      <c r="B968" s="64" t="str">
        <f>IF(Tabla1[[#This Row],[TRABAJADOR]]="", "", VLOOKUP(Tabla1[[#This Row],[TRABAJADOR]], 'Colaborador ID'!B:C, 2, FALSE))</f>
        <v>E1320</v>
      </c>
      <c r="C968" s="63" t="s">
        <v>1864</v>
      </c>
      <c r="D968" s="64" t="s">
        <v>1865</v>
      </c>
      <c r="E968" s="64" t="s">
        <v>33</v>
      </c>
      <c r="F968" s="42" t="e" vm="1">
        <v>#VALUE!</v>
      </c>
      <c r="G968" s="58"/>
      <c r="H968" s="57" t="e" vm="2">
        <v>#VALUE!</v>
      </c>
      <c r="I968" s="64"/>
      <c r="J968" s="57"/>
      <c r="K968" s="57"/>
      <c r="L968" s="4"/>
      <c r="M968" s="35"/>
    </row>
    <row r="969" spans="1:13" ht="15.9" customHeight="1" x14ac:dyDescent="0.35">
      <c r="A969" s="46">
        <v>966</v>
      </c>
      <c r="B969" s="64" t="str">
        <f>IF(Tabla1[[#This Row],[TRABAJADOR]]="", "", VLOOKUP(Tabla1[[#This Row],[TRABAJADOR]], 'Colaborador ID'!B:C, 2, FALSE))</f>
        <v>E0478</v>
      </c>
      <c r="C969" s="63" t="s">
        <v>1866</v>
      </c>
      <c r="D969" s="64" t="s">
        <v>1867</v>
      </c>
      <c r="E969" s="64" t="s">
        <v>16</v>
      </c>
      <c r="F969" s="42" t="e" vm="1">
        <v>#VALUE!</v>
      </c>
      <c r="G969" s="58"/>
      <c r="H969" s="57" t="e" vm="2">
        <v>#VALUE!</v>
      </c>
      <c r="I969" s="64"/>
      <c r="J969" s="57"/>
      <c r="K969" s="57"/>
      <c r="L969" s="4"/>
      <c r="M969" s="35"/>
    </row>
    <row r="970" spans="1:13" ht="15.9" customHeight="1" x14ac:dyDescent="0.3">
      <c r="A970" s="46">
        <v>967</v>
      </c>
      <c r="B970" s="64" t="str">
        <f>IF(Tabla1[[#This Row],[TRABAJADOR]]="", "", VLOOKUP(Tabla1[[#This Row],[TRABAJADOR]], 'Colaborador ID'!B:C, 2, FALSE))</f>
        <v>E1049</v>
      </c>
      <c r="C970" s="63" t="s">
        <v>1868</v>
      </c>
      <c r="D970" s="64" t="s">
        <v>1869</v>
      </c>
      <c r="E970" s="64"/>
      <c r="F970" s="57" t="e" vm="1">
        <v>#VALUE!</v>
      </c>
      <c r="G970" s="58"/>
      <c r="H970" s="57" t="e" vm="2">
        <v>#VALUE!</v>
      </c>
      <c r="I970" s="64"/>
      <c r="J970" s="57"/>
      <c r="K970" s="57"/>
      <c r="L970" s="4"/>
      <c r="M970" s="35"/>
    </row>
    <row r="971" spans="1:13" ht="15.9" customHeight="1" x14ac:dyDescent="0.35">
      <c r="A971" s="46">
        <v>968</v>
      </c>
      <c r="B971" s="64" t="str">
        <f>IF(Tabla1[[#This Row],[TRABAJADOR]]="", "", VLOOKUP(Tabla1[[#This Row],[TRABAJADOR]], 'Colaborador ID'!B:C, 2, FALSE))</f>
        <v>E0693</v>
      </c>
      <c r="C971" s="63" t="s">
        <v>1870</v>
      </c>
      <c r="D971" s="64" t="s">
        <v>1871</v>
      </c>
      <c r="E971" s="64" t="s">
        <v>16</v>
      </c>
      <c r="F971" s="42" t="e" vm="1">
        <v>#VALUE!</v>
      </c>
      <c r="G971" s="58"/>
      <c r="H971" s="57" t="e" vm="2">
        <v>#VALUE!</v>
      </c>
      <c r="I971" s="64"/>
      <c r="J971" s="57"/>
      <c r="K971" s="57"/>
      <c r="L971" s="4"/>
      <c r="M971" s="35"/>
    </row>
    <row r="972" spans="1:13" ht="15.9" customHeight="1" x14ac:dyDescent="0.3">
      <c r="A972" s="46">
        <v>969</v>
      </c>
      <c r="B972" s="64" t="str">
        <f>IF(Tabla1[[#This Row],[TRABAJADOR]]="", "", VLOOKUP(Tabla1[[#This Row],[TRABAJADOR]], 'Colaborador ID'!B:C, 2, FALSE))</f>
        <v>E0425</v>
      </c>
      <c r="C972" s="63" t="s">
        <v>1872</v>
      </c>
      <c r="D972" s="64" t="s">
        <v>1873</v>
      </c>
      <c r="E972" s="64"/>
      <c r="F972" s="57" t="e" vm="1">
        <v>#VALUE!</v>
      </c>
      <c r="G972" s="58"/>
      <c r="H972" s="57" t="e" vm="2">
        <v>#VALUE!</v>
      </c>
      <c r="I972" s="64"/>
      <c r="J972" s="57"/>
      <c r="K972" s="57"/>
      <c r="L972" s="4"/>
      <c r="M972" s="35"/>
    </row>
    <row r="973" spans="1:13" ht="15.9" customHeight="1" x14ac:dyDescent="0.3">
      <c r="A973" s="46">
        <v>970</v>
      </c>
      <c r="B973" s="64" t="str">
        <f>IF(Tabla1[[#This Row],[TRABAJADOR]]="", "", VLOOKUP(Tabla1[[#This Row],[TRABAJADOR]], 'Colaborador ID'!B:C, 2, FALSE))</f>
        <v>E0025</v>
      </c>
      <c r="C973" s="63" t="s">
        <v>1874</v>
      </c>
      <c r="D973" s="64" t="s">
        <v>1875</v>
      </c>
      <c r="E973" s="64"/>
      <c r="F973" s="57" t="e" vm="1">
        <v>#VALUE!</v>
      </c>
      <c r="G973" s="58"/>
      <c r="H973" s="57" t="e" vm="2">
        <v>#VALUE!</v>
      </c>
      <c r="I973" s="64"/>
      <c r="J973" s="57"/>
      <c r="K973" s="57"/>
      <c r="L973" s="4"/>
      <c r="M973" s="35"/>
    </row>
    <row r="974" spans="1:13" ht="15.9" customHeight="1" x14ac:dyDescent="0.35">
      <c r="A974" s="46">
        <v>971</v>
      </c>
      <c r="B974" s="64" t="str">
        <f>IF(Tabla1[[#This Row],[TRABAJADOR]]="", "", VLOOKUP(Tabla1[[#This Row],[TRABAJADOR]], 'Colaborador ID'!B:C, 2, FALSE))</f>
        <v>E0584</v>
      </c>
      <c r="C974" s="63" t="s">
        <v>1876</v>
      </c>
      <c r="D974" s="64" t="s">
        <v>1877</v>
      </c>
      <c r="E974" s="64" t="s">
        <v>16</v>
      </c>
      <c r="F974" s="42" t="e" vm="1">
        <v>#VALUE!</v>
      </c>
      <c r="G974" s="58">
        <v>45750</v>
      </c>
      <c r="H974" s="40" t="e" vm="2">
        <v>#VALUE!</v>
      </c>
      <c r="I974" s="64"/>
      <c r="J974" s="57"/>
      <c r="K974" s="57"/>
      <c r="L974" s="4"/>
      <c r="M974" s="35"/>
    </row>
    <row r="975" spans="1:13" ht="15.9" customHeight="1" x14ac:dyDescent="0.3">
      <c r="A975" s="46">
        <v>972</v>
      </c>
      <c r="B975" s="57" t="str">
        <f>IF(Tabla1[[#This Row],[TRABAJADOR]]="", "", VLOOKUP(Tabla1[[#This Row],[TRABAJADOR]], 'Colaborador ID'!B:C, 2, FALSE))</f>
        <v>E0988</v>
      </c>
      <c r="C975" s="56" t="s">
        <v>1878</v>
      </c>
      <c r="D975" s="57" t="s">
        <v>1879</v>
      </c>
      <c r="E975" s="64" t="s">
        <v>16</v>
      </c>
      <c r="F975" s="49" t="e" vm="1">
        <v>#VALUE!</v>
      </c>
      <c r="G975" s="58">
        <v>45961</v>
      </c>
      <c r="H975" s="57" t="e" vm="2">
        <v>#VALUE!</v>
      </c>
      <c r="I975" s="64" t="s">
        <v>22</v>
      </c>
      <c r="J975" s="57"/>
      <c r="K975" s="57"/>
      <c r="L975" s="4"/>
      <c r="M975" s="35"/>
    </row>
    <row r="976" spans="1:13" ht="15.9" customHeight="1" x14ac:dyDescent="0.3">
      <c r="A976" s="46">
        <v>973</v>
      </c>
      <c r="B976" s="64" t="str">
        <f>IF(Tabla1[[#This Row],[TRABAJADOR]]="", "", VLOOKUP(Tabla1[[#This Row],[TRABAJADOR]], 'Colaborador ID'!B:C, 2, FALSE))</f>
        <v>E0641</v>
      </c>
      <c r="C976" s="63" t="s">
        <v>1880</v>
      </c>
      <c r="D976" s="64" t="s">
        <v>1881</v>
      </c>
      <c r="E976" s="64" t="s">
        <v>16</v>
      </c>
      <c r="F976" s="57" t="e" vm="1">
        <v>#VALUE!</v>
      </c>
      <c r="G976" s="58"/>
      <c r="H976" s="57" t="e" vm="2">
        <v>#VALUE!</v>
      </c>
      <c r="I976" s="64"/>
      <c r="J976" s="57"/>
      <c r="K976" s="57"/>
      <c r="L976" s="4"/>
      <c r="M976" s="35"/>
    </row>
    <row r="977" spans="1:13" ht="15.9" customHeight="1" x14ac:dyDescent="0.3">
      <c r="A977" s="46">
        <v>974</v>
      </c>
      <c r="B977" s="57" t="str">
        <f>IF(Tabla1[[#This Row],[TRABAJADOR]]="", "", VLOOKUP(Tabla1[[#This Row],[TRABAJADOR]], 'Colaborador ID'!B:C, 2, FALSE))</f>
        <v>E2132</v>
      </c>
      <c r="C977" s="56" t="s">
        <v>5428</v>
      </c>
      <c r="D977" s="57" t="s">
        <v>5476</v>
      </c>
      <c r="E977" s="64" t="s">
        <v>16</v>
      </c>
      <c r="F977" s="49" t="e" vm="1">
        <v>#VALUE!</v>
      </c>
      <c r="G977" s="58">
        <v>46073</v>
      </c>
      <c r="H977" s="57" t="e" vm="3">
        <v>#VALUE!</v>
      </c>
      <c r="I977" s="57"/>
      <c r="J977" s="57"/>
      <c r="K977" s="57"/>
      <c r="L977" s="4"/>
      <c r="M977" s="35"/>
    </row>
    <row r="978" spans="1:13" ht="15.9" customHeight="1" x14ac:dyDescent="0.3">
      <c r="A978" s="46">
        <v>975</v>
      </c>
      <c r="B978" s="64" t="str">
        <f>IF(Tabla1[[#This Row],[TRABAJADOR]]="", "", VLOOKUP(Tabla1[[#This Row],[TRABAJADOR]], 'Colaborador ID'!B:C, 2, FALSE))</f>
        <v>E1175</v>
      </c>
      <c r="C978" s="63" t="s">
        <v>1882</v>
      </c>
      <c r="D978" s="64" t="s">
        <v>1883</v>
      </c>
      <c r="E978" s="64"/>
      <c r="F978" s="57" t="e" vm="1">
        <v>#VALUE!</v>
      </c>
      <c r="G978" s="58"/>
      <c r="H978" s="57" t="e" vm="2">
        <v>#VALUE!</v>
      </c>
      <c r="I978" s="64"/>
      <c r="J978" s="57"/>
      <c r="K978" s="57"/>
      <c r="L978" s="4"/>
      <c r="M978" s="35"/>
    </row>
    <row r="979" spans="1:13" ht="15.9" customHeight="1" x14ac:dyDescent="0.35">
      <c r="A979" s="46">
        <v>976</v>
      </c>
      <c r="B979" s="64" t="str">
        <f>IF(Tabla1[[#This Row],[TRABAJADOR]]="", "", VLOOKUP(Tabla1[[#This Row],[TRABAJADOR]], 'Colaborador ID'!B:C, 2, FALSE))</f>
        <v>E0413</v>
      </c>
      <c r="C979" s="63" t="s">
        <v>1884</v>
      </c>
      <c r="D979" s="64" t="s">
        <v>1885</v>
      </c>
      <c r="E979" s="64" t="s">
        <v>16</v>
      </c>
      <c r="F979" s="42" t="e" vm="1">
        <v>#VALUE!</v>
      </c>
      <c r="G979" s="58"/>
      <c r="H979" s="57" t="e" vm="2">
        <v>#VALUE!</v>
      </c>
      <c r="I979" s="64"/>
      <c r="J979" s="57"/>
      <c r="K979" s="57"/>
      <c r="L979" s="4"/>
      <c r="M979" s="35"/>
    </row>
    <row r="980" spans="1:13" ht="15.9" customHeight="1" x14ac:dyDescent="0.3">
      <c r="A980" s="46">
        <v>977</v>
      </c>
      <c r="B980" s="64" t="str">
        <f>IF(Tabla1[[#This Row],[TRABAJADOR]]="", "", VLOOKUP(Tabla1[[#This Row],[TRABAJADOR]], 'Colaborador ID'!B:C, 2, FALSE))</f>
        <v>E0951</v>
      </c>
      <c r="C980" s="63" t="s">
        <v>1886</v>
      </c>
      <c r="D980" s="64" t="s">
        <v>1887</v>
      </c>
      <c r="E980" s="64"/>
      <c r="F980" s="57" t="e" vm="1">
        <v>#VALUE!</v>
      </c>
      <c r="G980" s="58"/>
      <c r="H980" s="57" t="e" vm="2">
        <v>#VALUE!</v>
      </c>
      <c r="I980" s="64"/>
      <c r="J980" s="57"/>
      <c r="K980" s="57"/>
      <c r="L980" s="4"/>
      <c r="M980" s="35"/>
    </row>
    <row r="981" spans="1:13" ht="15.9" customHeight="1" x14ac:dyDescent="0.3">
      <c r="A981" s="46">
        <v>978</v>
      </c>
      <c r="B981" s="64" t="str">
        <f>IF(Tabla1[[#This Row],[TRABAJADOR]]="", "", VLOOKUP(Tabla1[[#This Row],[TRABAJADOR]], 'Colaborador ID'!B:C, 2, FALSE))</f>
        <v>E0892</v>
      </c>
      <c r="C981" s="63" t="s">
        <v>1888</v>
      </c>
      <c r="D981" s="64" t="s">
        <v>1889</v>
      </c>
      <c r="E981" s="64"/>
      <c r="F981" s="57" t="e" vm="1">
        <v>#VALUE!</v>
      </c>
      <c r="G981" s="58"/>
      <c r="H981" s="57" t="e" vm="2">
        <v>#VALUE!</v>
      </c>
      <c r="I981" s="64"/>
      <c r="J981" s="57"/>
      <c r="K981" s="57"/>
      <c r="L981" s="4"/>
      <c r="M981" s="35"/>
    </row>
    <row r="982" spans="1:13" ht="15.9" customHeight="1" x14ac:dyDescent="0.3">
      <c r="A982" s="46">
        <v>979</v>
      </c>
      <c r="B982" s="64" t="str">
        <f>IF(Tabla1[[#This Row],[TRABAJADOR]]="", "", VLOOKUP(Tabla1[[#This Row],[TRABAJADOR]], 'Colaborador ID'!B:C, 2, FALSE))</f>
        <v>E0281</v>
      </c>
      <c r="C982" s="63" t="s">
        <v>1890</v>
      </c>
      <c r="D982" s="64" t="s">
        <v>1891</v>
      </c>
      <c r="E982" s="64" t="s">
        <v>16</v>
      </c>
      <c r="F982" s="57" t="e" vm="1">
        <v>#VALUE!</v>
      </c>
      <c r="G982" s="58"/>
      <c r="H982" s="57" t="e" vm="2">
        <v>#VALUE!</v>
      </c>
      <c r="I982" s="64"/>
      <c r="J982" s="57"/>
      <c r="K982" s="57"/>
      <c r="L982" s="4"/>
      <c r="M982" s="35"/>
    </row>
    <row r="983" spans="1:13" ht="15.9" customHeight="1" x14ac:dyDescent="0.3">
      <c r="A983" s="46">
        <v>980</v>
      </c>
      <c r="B983" s="57" t="str">
        <f>IF(Tabla1[[#This Row],[TRABAJADOR]]="", "", VLOOKUP(Tabla1[[#This Row],[TRABAJADOR]], 'Colaborador ID'!B:C, 2, FALSE))</f>
        <v>E1814</v>
      </c>
      <c r="C983" s="56" t="s">
        <v>1892</v>
      </c>
      <c r="D983" s="57" t="s">
        <v>1893</v>
      </c>
      <c r="E983" s="64" t="s">
        <v>16</v>
      </c>
      <c r="F983" s="49" t="e" vm="1">
        <v>#VALUE!</v>
      </c>
      <c r="G983" s="58">
        <v>45926</v>
      </c>
      <c r="H983" s="57" t="e" vm="2">
        <v>#VALUE!</v>
      </c>
      <c r="I983" s="57" t="s">
        <v>22</v>
      </c>
      <c r="J983" s="57"/>
      <c r="K983" s="57"/>
      <c r="L983" s="4"/>
      <c r="M983" s="35"/>
    </row>
    <row r="984" spans="1:13" ht="15.9" customHeight="1" x14ac:dyDescent="0.3">
      <c r="A984" s="46">
        <v>981</v>
      </c>
      <c r="B984" s="64" t="str">
        <f>IF(Tabla1[[#This Row],[TRABAJADOR]]="", "", VLOOKUP(Tabla1[[#This Row],[TRABAJADOR]], 'Colaborador ID'!B:C, 2, FALSE))</f>
        <v>E1422</v>
      </c>
      <c r="C984" s="63" t="s">
        <v>1894</v>
      </c>
      <c r="D984" s="64" t="s">
        <v>1895</v>
      </c>
      <c r="E984" s="64" t="s">
        <v>19</v>
      </c>
      <c r="F984" s="57" t="e" vm="1">
        <v>#VALUE!</v>
      </c>
      <c r="G984" s="58"/>
      <c r="H984" s="57" t="e" vm="2">
        <v>#VALUE!</v>
      </c>
      <c r="I984" s="64"/>
      <c r="J984" s="57"/>
      <c r="K984" s="57"/>
      <c r="L984" s="4"/>
      <c r="M984" s="35"/>
    </row>
    <row r="985" spans="1:13" ht="15.9" customHeight="1" x14ac:dyDescent="0.3">
      <c r="A985" s="46">
        <v>982</v>
      </c>
      <c r="B985" s="64" t="str">
        <f>IF(Tabla1[[#This Row],[TRABAJADOR]]="", "", VLOOKUP(Tabla1[[#This Row],[TRABAJADOR]], 'Colaborador ID'!B:C, 2, FALSE))</f>
        <v>E0259</v>
      </c>
      <c r="C985" s="63" t="s">
        <v>1896</v>
      </c>
      <c r="D985" s="64" t="s">
        <v>1897</v>
      </c>
      <c r="E985" s="64" t="s">
        <v>16</v>
      </c>
      <c r="F985" s="38" t="e" vm="1">
        <v>#VALUE!</v>
      </c>
      <c r="G985" s="58">
        <v>45783</v>
      </c>
      <c r="H985" s="57" t="e" vm="2">
        <v>#VALUE!</v>
      </c>
      <c r="I985" s="64"/>
      <c r="J985" s="57"/>
      <c r="K985" s="57"/>
      <c r="L985" s="4"/>
      <c r="M985" s="35"/>
    </row>
    <row r="986" spans="1:13" ht="15.9" customHeight="1" x14ac:dyDescent="0.3">
      <c r="A986" s="46">
        <v>983</v>
      </c>
      <c r="B986" s="64" t="str">
        <f>IF(Tabla1[[#This Row],[TRABAJADOR]]="", "", VLOOKUP(Tabla1[[#This Row],[TRABAJADOR]], 'Colaborador ID'!B:C, 2, FALSE))</f>
        <v>E1423</v>
      </c>
      <c r="C986" s="63" t="s">
        <v>1898</v>
      </c>
      <c r="D986" s="64" t="s">
        <v>5293</v>
      </c>
      <c r="E986" s="64" t="s">
        <v>16</v>
      </c>
      <c r="F986" s="38" t="e" vm="1">
        <v>#VALUE!</v>
      </c>
      <c r="G986" s="58">
        <v>46008</v>
      </c>
      <c r="H986" s="49" t="e" vm="2">
        <v>#VALUE!</v>
      </c>
      <c r="I986" s="64"/>
      <c r="J986" s="57"/>
      <c r="K986" s="57"/>
      <c r="L986" s="4"/>
      <c r="M986" s="35"/>
    </row>
    <row r="987" spans="1:13" ht="15.9" customHeight="1" x14ac:dyDescent="0.3">
      <c r="A987" s="46">
        <v>984</v>
      </c>
      <c r="B987" s="64" t="str">
        <f>IF(Tabla1[[#This Row],[TRABAJADOR]]="", "", VLOOKUP(Tabla1[[#This Row],[TRABAJADOR]], 'Colaborador ID'!B:C, 2, FALSE))</f>
        <v>E0051</v>
      </c>
      <c r="C987" s="63" t="s">
        <v>1899</v>
      </c>
      <c r="D987" s="64" t="s">
        <v>1900</v>
      </c>
      <c r="E987" s="64"/>
      <c r="F987" s="57" t="e" vm="1">
        <v>#VALUE!</v>
      </c>
      <c r="G987" s="58"/>
      <c r="H987" s="57" t="e" vm="2">
        <v>#VALUE!</v>
      </c>
      <c r="I987" s="64"/>
      <c r="J987" s="57"/>
      <c r="K987" s="57"/>
      <c r="L987" s="4"/>
      <c r="M987" s="35"/>
    </row>
    <row r="988" spans="1:13" ht="15.9" customHeight="1" x14ac:dyDescent="0.3">
      <c r="A988" s="46">
        <v>985</v>
      </c>
      <c r="B988" s="57" t="str">
        <f>IF(Tabla1[[#This Row],[TRABAJADOR]]="", "", VLOOKUP(Tabla1[[#This Row],[TRABAJADOR]], 'Colaborador ID'!B:C, 2, FALSE))</f>
        <v>E1813</v>
      </c>
      <c r="C988" s="56" t="s">
        <v>1901</v>
      </c>
      <c r="D988" s="57" t="s">
        <v>1902</v>
      </c>
      <c r="E988" s="64" t="s">
        <v>16</v>
      </c>
      <c r="F988" s="49" t="e" vm="1">
        <v>#VALUE!</v>
      </c>
      <c r="G988" s="58">
        <v>45930</v>
      </c>
      <c r="H988" s="57" t="e" vm="2">
        <v>#VALUE!</v>
      </c>
      <c r="I988" s="57" t="s">
        <v>22</v>
      </c>
      <c r="J988" s="57"/>
      <c r="K988" s="57"/>
      <c r="L988" s="4"/>
      <c r="M988" s="35"/>
    </row>
    <row r="989" spans="1:13" ht="15.9" customHeight="1" x14ac:dyDescent="0.3">
      <c r="A989" s="46">
        <v>986</v>
      </c>
      <c r="B989" s="64" t="str">
        <f>IF(Tabla1[[#This Row],[TRABAJADOR]]="", "", VLOOKUP(Tabla1[[#This Row],[TRABAJADOR]], 'Colaborador ID'!B:C, 2, FALSE))</f>
        <v>E1242</v>
      </c>
      <c r="C989" s="63" t="s">
        <v>1903</v>
      </c>
      <c r="D989" s="64" t="s">
        <v>1904</v>
      </c>
      <c r="E989" s="64"/>
      <c r="F989" s="57" t="e" vm="1">
        <v>#VALUE!</v>
      </c>
      <c r="G989" s="58"/>
      <c r="H989" s="57" t="e" vm="2">
        <v>#VALUE!</v>
      </c>
      <c r="I989" s="64"/>
      <c r="J989" s="57"/>
      <c r="K989" s="57"/>
      <c r="L989" s="4"/>
      <c r="M989" s="35"/>
    </row>
    <row r="990" spans="1:13" ht="15.9" customHeight="1" x14ac:dyDescent="0.3">
      <c r="A990" s="46">
        <v>987</v>
      </c>
      <c r="B990" s="64" t="str">
        <f>IF(Tabla1[[#This Row],[TRABAJADOR]]="", "", VLOOKUP(Tabla1[[#This Row],[TRABAJADOR]], 'Colaborador ID'!B:C, 2, FALSE))</f>
        <v>E0488</v>
      </c>
      <c r="C990" s="63" t="s">
        <v>1905</v>
      </c>
      <c r="D990" s="64" t="s">
        <v>1906</v>
      </c>
      <c r="E990" s="64"/>
      <c r="F990" s="57" t="e" vm="1">
        <v>#VALUE!</v>
      </c>
      <c r="G990" s="58"/>
      <c r="H990" s="57" t="e" vm="2">
        <v>#VALUE!</v>
      </c>
      <c r="I990" s="64"/>
      <c r="J990" s="57"/>
      <c r="K990" s="57"/>
      <c r="L990" s="4"/>
      <c r="M990" s="35"/>
    </row>
    <row r="991" spans="1:13" ht="15.9" customHeight="1" x14ac:dyDescent="0.3">
      <c r="A991" s="46">
        <v>988</v>
      </c>
      <c r="B991" s="57" t="str">
        <f>IF(Tabla1[[#This Row],[TRABAJADOR]]="", "", VLOOKUP(Tabla1[[#This Row],[TRABAJADOR]], 'Colaborador ID'!B:C, 2, FALSE))</f>
        <v>E1959</v>
      </c>
      <c r="C991" s="56" t="s">
        <v>1907</v>
      </c>
      <c r="D991" s="57" t="s">
        <v>1908</v>
      </c>
      <c r="E991" s="64" t="s">
        <v>13</v>
      </c>
      <c r="F991" s="49" t="e" vm="1">
        <v>#VALUE!</v>
      </c>
      <c r="G991" s="58">
        <v>45958</v>
      </c>
      <c r="H991" s="57" t="e" vm="2">
        <v>#VALUE!</v>
      </c>
      <c r="I991" s="57" t="s">
        <v>22</v>
      </c>
      <c r="J991" s="57"/>
      <c r="K991" s="57"/>
      <c r="L991" s="4"/>
      <c r="M991" s="35"/>
    </row>
    <row r="992" spans="1:13" ht="15.9" customHeight="1" x14ac:dyDescent="0.35">
      <c r="A992" s="46">
        <v>989</v>
      </c>
      <c r="B992" s="64" t="str">
        <f>IF(Tabla1[[#This Row],[TRABAJADOR]]="", "", VLOOKUP(Tabla1[[#This Row],[TRABAJADOR]], 'Colaborador ID'!B:C, 2, FALSE))</f>
        <v>E1314</v>
      </c>
      <c r="C992" s="63" t="s">
        <v>1909</v>
      </c>
      <c r="D992" s="64" t="s">
        <v>1910</v>
      </c>
      <c r="E992" s="64" t="s">
        <v>158</v>
      </c>
      <c r="F992" s="42" t="e" vm="1">
        <v>#VALUE!</v>
      </c>
      <c r="G992" s="58"/>
      <c r="H992" s="57" t="e" vm="2">
        <v>#VALUE!</v>
      </c>
      <c r="I992" s="64"/>
      <c r="J992" s="57"/>
      <c r="K992" s="57"/>
      <c r="L992" s="4"/>
      <c r="M992" s="35"/>
    </row>
    <row r="993" spans="1:13" ht="15.9" customHeight="1" x14ac:dyDescent="0.3">
      <c r="A993" s="46">
        <v>990</v>
      </c>
      <c r="B993" s="64" t="str">
        <f>IF(Tabla1[[#This Row],[TRABAJADOR]]="", "", VLOOKUP(Tabla1[[#This Row],[TRABAJADOR]], 'Colaborador ID'!B:C, 2, FALSE))</f>
        <v>E0541</v>
      </c>
      <c r="C993" s="63" t="s">
        <v>1911</v>
      </c>
      <c r="D993" s="64" t="s">
        <v>1912</v>
      </c>
      <c r="E993" s="64"/>
      <c r="F993" s="57" t="e" vm="1">
        <v>#VALUE!</v>
      </c>
      <c r="G993" s="58"/>
      <c r="H993" s="57" t="e" vm="2">
        <v>#VALUE!</v>
      </c>
      <c r="I993" s="64"/>
      <c r="J993" s="57"/>
      <c r="K993" s="57"/>
      <c r="L993" s="4"/>
      <c r="M993" s="35"/>
    </row>
    <row r="994" spans="1:13" ht="15.9" customHeight="1" x14ac:dyDescent="0.3">
      <c r="A994" s="46">
        <v>991</v>
      </c>
      <c r="B994" s="57" t="str">
        <f>IF(Tabla1[[#This Row],[TRABAJADOR]]="", "", VLOOKUP(Tabla1[[#This Row],[TRABAJADOR]], 'Colaborador ID'!B:C, 2, FALSE))</f>
        <v>E2139</v>
      </c>
      <c r="C994" s="56" t="s">
        <v>5444</v>
      </c>
      <c r="D994" s="57" t="s">
        <v>5493</v>
      </c>
      <c r="E994" s="57" t="s">
        <v>19</v>
      </c>
      <c r="F994" s="49" t="e" vm="1">
        <v>#VALUE!</v>
      </c>
      <c r="G994" s="58">
        <v>46073</v>
      </c>
      <c r="H994" s="57" t="e" vm="3">
        <v>#VALUE!</v>
      </c>
      <c r="I994" s="57"/>
      <c r="J994" s="57"/>
      <c r="K994" s="57"/>
      <c r="L994" s="4"/>
      <c r="M994" s="35"/>
    </row>
    <row r="995" spans="1:13" ht="15.9" customHeight="1" x14ac:dyDescent="0.3">
      <c r="A995" s="46">
        <v>992</v>
      </c>
      <c r="B995" s="64" t="str">
        <f>IF(Tabla1[[#This Row],[TRABAJADOR]]="", "", VLOOKUP(Tabla1[[#This Row],[TRABAJADOR]], 'Colaborador ID'!B:C, 2, FALSE))</f>
        <v>E1258</v>
      </c>
      <c r="C995" s="63" t="s">
        <v>1913</v>
      </c>
      <c r="D995" s="64" t="s">
        <v>1914</v>
      </c>
      <c r="E995" s="64" t="s">
        <v>35</v>
      </c>
      <c r="F995" s="38" t="e" vm="1">
        <v>#VALUE!</v>
      </c>
      <c r="G995" s="58">
        <v>45754</v>
      </c>
      <c r="H995" s="57" t="e" vm="2">
        <v>#VALUE!</v>
      </c>
      <c r="I995" s="64"/>
      <c r="J995" s="57"/>
      <c r="K995" s="57"/>
      <c r="L995" s="4"/>
      <c r="M995" s="35"/>
    </row>
    <row r="996" spans="1:13" ht="15.9" customHeight="1" x14ac:dyDescent="0.3">
      <c r="A996" s="46">
        <v>993</v>
      </c>
      <c r="B996" s="64" t="str">
        <f>IF(Tabla1[[#This Row],[TRABAJADOR]]="", "", VLOOKUP(Tabla1[[#This Row],[TRABAJADOR]], 'Colaborador ID'!B:C, 2, FALSE))</f>
        <v>E0027</v>
      </c>
      <c r="C996" s="63" t="s">
        <v>1915</v>
      </c>
      <c r="D996" s="64" t="s">
        <v>1916</v>
      </c>
      <c r="E996" s="64" t="s">
        <v>45</v>
      </c>
      <c r="F996" s="38" t="e" vm="1">
        <v>#VALUE!</v>
      </c>
      <c r="G996" s="58">
        <v>45783</v>
      </c>
      <c r="H996" s="57" t="e" vm="2">
        <v>#VALUE!</v>
      </c>
      <c r="I996" s="64"/>
      <c r="J996" s="57"/>
      <c r="K996" s="57"/>
      <c r="L996" s="4"/>
      <c r="M996" s="35"/>
    </row>
    <row r="997" spans="1:13" ht="15.9" customHeight="1" x14ac:dyDescent="0.3">
      <c r="A997" s="46">
        <v>994</v>
      </c>
      <c r="B997" s="64" t="str">
        <f>IF(Tabla1[[#This Row],[TRABAJADOR]]="", "", VLOOKUP(Tabla1[[#This Row],[TRABAJADOR]], 'Colaborador ID'!B:C, 2, FALSE))</f>
        <v>E0564</v>
      </c>
      <c r="C997" s="63" t="s">
        <v>1917</v>
      </c>
      <c r="D997" s="64" t="s">
        <v>1918</v>
      </c>
      <c r="E997" s="64" t="s">
        <v>13</v>
      </c>
      <c r="F997" s="38" t="e" vm="1">
        <v>#VALUE!</v>
      </c>
      <c r="G997" s="58">
        <v>45742</v>
      </c>
      <c r="H997" s="57" t="e" vm="2">
        <v>#VALUE!</v>
      </c>
      <c r="I997" s="64"/>
      <c r="J997" s="57"/>
      <c r="K997" s="57"/>
      <c r="L997" s="4"/>
      <c r="M997" s="35"/>
    </row>
    <row r="998" spans="1:13" ht="15.9" customHeight="1" x14ac:dyDescent="0.3">
      <c r="A998" s="46">
        <v>995</v>
      </c>
      <c r="B998" s="64" t="str">
        <f>IF(Tabla1[[#This Row],[TRABAJADOR]]="", "", VLOOKUP(Tabla1[[#This Row],[TRABAJADOR]], 'Colaborador ID'!B:C, 2, FALSE))</f>
        <v>E1681</v>
      </c>
      <c r="C998" s="63" t="s">
        <v>1919</v>
      </c>
      <c r="D998" s="64" t="s">
        <v>1920</v>
      </c>
      <c r="E998" s="64" t="s">
        <v>13</v>
      </c>
      <c r="F998" s="49" t="e" vm="1">
        <v>#VALUE!</v>
      </c>
      <c r="G998" s="58"/>
      <c r="H998" s="57" t="e" vm="2">
        <v>#VALUE!</v>
      </c>
      <c r="I998" s="64" t="s">
        <v>22</v>
      </c>
      <c r="J998" s="57"/>
      <c r="K998" s="57"/>
      <c r="L998" s="4"/>
      <c r="M998" s="35"/>
    </row>
    <row r="999" spans="1:13" ht="15.9" customHeight="1" x14ac:dyDescent="0.3">
      <c r="A999" s="46">
        <v>996</v>
      </c>
      <c r="B999" s="57" t="str">
        <f>IF(Tabla1[[#This Row],[TRABAJADOR]]="", "", VLOOKUP(Tabla1[[#This Row],[TRABAJADOR]], 'Colaborador ID'!B:C, 2, FALSE))</f>
        <v>E1866</v>
      </c>
      <c r="C999" s="56" t="s">
        <v>1921</v>
      </c>
      <c r="D999" s="57" t="s">
        <v>1922</v>
      </c>
      <c r="E999" s="64" t="s">
        <v>16</v>
      </c>
      <c r="F999" s="49" t="e" vm="1">
        <v>#VALUE!</v>
      </c>
      <c r="G999" s="58">
        <v>45974</v>
      </c>
      <c r="H999" s="57" t="e" vm="2">
        <v>#VALUE!</v>
      </c>
      <c r="I999" s="57"/>
      <c r="J999" s="57"/>
      <c r="K999" s="57"/>
      <c r="L999" s="4"/>
      <c r="M999" s="35"/>
    </row>
    <row r="1000" spans="1:13" ht="15.9" customHeight="1" x14ac:dyDescent="0.3">
      <c r="A1000" s="46">
        <v>997</v>
      </c>
      <c r="B1000" s="64" t="str">
        <f>IF(Tabla1[[#This Row],[TRABAJADOR]]="", "", VLOOKUP(Tabla1[[#This Row],[TRABAJADOR]], 'Colaborador ID'!B:C, 2, FALSE))</f>
        <v>E0344</v>
      </c>
      <c r="C1000" s="63" t="s">
        <v>1923</v>
      </c>
      <c r="D1000" s="64" t="s">
        <v>1924</v>
      </c>
      <c r="E1000" s="64"/>
      <c r="F1000" s="57" t="e" vm="1">
        <v>#VALUE!</v>
      </c>
      <c r="G1000" s="58"/>
      <c r="H1000" s="57" t="e" vm="2">
        <v>#VALUE!</v>
      </c>
      <c r="I1000" s="64"/>
      <c r="J1000" s="57"/>
      <c r="K1000" s="57"/>
      <c r="L1000" s="4"/>
      <c r="M1000" s="35"/>
    </row>
    <row r="1001" spans="1:13" ht="15.9" customHeight="1" x14ac:dyDescent="0.35">
      <c r="A1001" s="46">
        <v>998</v>
      </c>
      <c r="B1001" s="64" t="str">
        <f>IF(Tabla1[[#This Row],[TRABAJADOR]]="", "", VLOOKUP(Tabla1[[#This Row],[TRABAJADOR]], 'Colaborador ID'!B:C, 2, FALSE))</f>
        <v>E1266</v>
      </c>
      <c r="C1001" s="63" t="s">
        <v>1925</v>
      </c>
      <c r="D1001" s="64" t="s">
        <v>1926</v>
      </c>
      <c r="E1001" s="64" t="s">
        <v>16</v>
      </c>
      <c r="F1001" s="42" t="e" vm="1">
        <v>#VALUE!</v>
      </c>
      <c r="G1001" s="58"/>
      <c r="H1001" s="57" t="e" vm="2">
        <v>#VALUE!</v>
      </c>
      <c r="I1001" s="64"/>
      <c r="J1001" s="57"/>
      <c r="K1001" s="57"/>
      <c r="L1001" s="4"/>
      <c r="M1001" s="35"/>
    </row>
    <row r="1002" spans="1:13" ht="15.9" customHeight="1" x14ac:dyDescent="0.3">
      <c r="A1002" s="46">
        <v>999</v>
      </c>
      <c r="B1002" s="64" t="str">
        <f>IF(Tabla1[[#This Row],[TRABAJADOR]]="", "", VLOOKUP(Tabla1[[#This Row],[TRABAJADOR]], 'Colaborador ID'!B:C, 2, FALSE))</f>
        <v>E0131</v>
      </c>
      <c r="C1002" s="63" t="s">
        <v>1927</v>
      </c>
      <c r="D1002" s="64" t="s">
        <v>1928</v>
      </c>
      <c r="E1002" s="64" t="s">
        <v>33</v>
      </c>
      <c r="F1002" s="38" t="e" vm="1">
        <v>#VALUE!</v>
      </c>
      <c r="G1002" s="58">
        <v>45783</v>
      </c>
      <c r="H1002" s="57" t="e" vm="2">
        <v>#VALUE!</v>
      </c>
      <c r="I1002" s="64"/>
      <c r="J1002" s="57"/>
      <c r="K1002" s="57"/>
      <c r="L1002" s="4"/>
      <c r="M1002" s="35"/>
    </row>
    <row r="1003" spans="1:13" ht="15.9" customHeight="1" x14ac:dyDescent="0.3">
      <c r="A1003" s="46">
        <v>1000</v>
      </c>
      <c r="B1003" s="64" t="str">
        <f>IF(Tabla1[[#This Row],[TRABAJADOR]]="", "", VLOOKUP(Tabla1[[#This Row],[TRABAJADOR]], 'Colaborador ID'!B:C, 2, FALSE))</f>
        <v>E1203</v>
      </c>
      <c r="C1003" s="63" t="s">
        <v>1929</v>
      </c>
      <c r="D1003" s="64" t="s">
        <v>1930</v>
      </c>
      <c r="E1003" s="64" t="s">
        <v>16</v>
      </c>
      <c r="F1003" s="38" t="e" vm="1">
        <v>#VALUE!</v>
      </c>
      <c r="G1003" s="58">
        <v>45737</v>
      </c>
      <c r="H1003" s="57" t="e" vm="2">
        <v>#VALUE!</v>
      </c>
      <c r="I1003" s="64"/>
      <c r="J1003" s="57"/>
      <c r="K1003" s="57"/>
      <c r="L1003" s="4"/>
      <c r="M1003" s="35"/>
    </row>
    <row r="1004" spans="1:13" ht="15.9" customHeight="1" x14ac:dyDescent="0.35">
      <c r="A1004" s="46">
        <v>1001</v>
      </c>
      <c r="B1004" s="64" t="str">
        <f>IF(Tabla1[[#This Row],[TRABAJADOR]]="", "", VLOOKUP(Tabla1[[#This Row],[TRABAJADOR]], 'Colaborador ID'!B:C, 2, FALSE))</f>
        <v>E0066</v>
      </c>
      <c r="C1004" s="63" t="s">
        <v>1931</v>
      </c>
      <c r="D1004" s="64" t="s">
        <v>1932</v>
      </c>
      <c r="E1004" s="64" t="s">
        <v>16</v>
      </c>
      <c r="F1004" s="42" t="e" vm="1">
        <v>#VALUE!</v>
      </c>
      <c r="G1004" s="58"/>
      <c r="H1004" s="57" t="e" vm="2">
        <v>#VALUE!</v>
      </c>
      <c r="I1004" s="64"/>
      <c r="J1004" s="57"/>
      <c r="K1004" s="57"/>
      <c r="L1004" s="4"/>
      <c r="M1004" s="35"/>
    </row>
    <row r="1005" spans="1:13" ht="15.9" customHeight="1" x14ac:dyDescent="0.35">
      <c r="A1005" s="46">
        <v>1002</v>
      </c>
      <c r="B1005" s="64" t="e">
        <f>IF(Tabla1[[#This Row],[TRABAJADOR]]="", "", VLOOKUP(Tabla1[[#This Row],[TRABAJADOR]], 'Colaborador ID'!B:C, 2, FALSE))</f>
        <v>#N/A</v>
      </c>
      <c r="C1005" s="63" t="s">
        <v>1933</v>
      </c>
      <c r="D1005" s="64" t="s">
        <v>1934</v>
      </c>
      <c r="E1005" s="64" t="s">
        <v>13</v>
      </c>
      <c r="F1005" s="42" t="e" vm="1">
        <v>#VALUE!</v>
      </c>
      <c r="G1005" s="58"/>
      <c r="H1005" s="57" t="e" vm="2">
        <v>#VALUE!</v>
      </c>
      <c r="I1005" s="64"/>
      <c r="J1005" s="57"/>
      <c r="K1005" s="57"/>
      <c r="L1005" s="4"/>
      <c r="M1005" s="35"/>
    </row>
    <row r="1006" spans="1:13" ht="15.9" customHeight="1" x14ac:dyDescent="0.3">
      <c r="A1006" s="46">
        <v>1003</v>
      </c>
      <c r="B1006" s="64" t="str">
        <f>IF(Tabla1[[#This Row],[TRABAJADOR]]="", "", VLOOKUP(Tabla1[[#This Row],[TRABAJADOR]], 'Colaborador ID'!B:C, 2, FALSE))</f>
        <v>E0228</v>
      </c>
      <c r="C1006" s="63" t="s">
        <v>1935</v>
      </c>
      <c r="D1006" s="64" t="s">
        <v>1936</v>
      </c>
      <c r="E1006" s="64"/>
      <c r="F1006" s="57" t="e" vm="1">
        <v>#VALUE!</v>
      </c>
      <c r="G1006" s="58"/>
      <c r="H1006" s="57" t="e" vm="2">
        <v>#VALUE!</v>
      </c>
      <c r="I1006" s="64"/>
      <c r="J1006" s="57"/>
      <c r="K1006" s="57"/>
      <c r="L1006" s="4"/>
      <c r="M1006" s="35"/>
    </row>
    <row r="1007" spans="1:13" ht="15.9" customHeight="1" x14ac:dyDescent="0.3">
      <c r="A1007" s="46">
        <v>1004</v>
      </c>
      <c r="B1007" s="64" t="str">
        <f>IF(Tabla1[[#This Row],[TRABAJADOR]]="", "", VLOOKUP(Tabla1[[#This Row],[TRABAJADOR]], 'Colaborador ID'!B:C, 2, FALSE))</f>
        <v>E0765</v>
      </c>
      <c r="C1007" s="63" t="s">
        <v>1937</v>
      </c>
      <c r="D1007" s="64" t="s">
        <v>1938</v>
      </c>
      <c r="E1007" s="64"/>
      <c r="F1007" s="57" t="e" vm="1">
        <v>#VALUE!</v>
      </c>
      <c r="G1007" s="58"/>
      <c r="H1007" s="57" t="e" vm="2">
        <v>#VALUE!</v>
      </c>
      <c r="I1007" s="64"/>
      <c r="J1007" s="57"/>
      <c r="K1007" s="57"/>
      <c r="L1007" s="4"/>
      <c r="M1007" s="35"/>
    </row>
    <row r="1008" spans="1:13" ht="15.9" customHeight="1" x14ac:dyDescent="0.3">
      <c r="A1008" s="46">
        <v>1005</v>
      </c>
      <c r="B1008" s="57" t="str">
        <f>IF(Tabla1[[#This Row],[TRABAJADOR]]="", "", VLOOKUP(Tabla1[[#This Row],[TRABAJADOR]], 'Colaborador ID'!B:C, 2, FALSE))</f>
        <v>E1942</v>
      </c>
      <c r="C1008" s="56" t="s">
        <v>1939</v>
      </c>
      <c r="D1008" s="57" t="s">
        <v>5367</v>
      </c>
      <c r="E1008" s="64" t="s">
        <v>16</v>
      </c>
      <c r="F1008" s="49" t="e" vm="1">
        <v>#VALUE!</v>
      </c>
      <c r="G1008" s="58">
        <v>46051</v>
      </c>
      <c r="H1008" s="57" t="e" vm="2">
        <v>#VALUE!</v>
      </c>
      <c r="I1008" s="57"/>
      <c r="J1008" s="57"/>
      <c r="K1008" s="57"/>
      <c r="L1008" s="4"/>
      <c r="M1008" s="35"/>
    </row>
    <row r="1009" spans="1:13" ht="15.9" customHeight="1" x14ac:dyDescent="0.3">
      <c r="A1009" s="46">
        <v>1006</v>
      </c>
      <c r="B1009" s="64" t="str">
        <f>IF(Tabla1[[#This Row],[TRABAJADOR]]="", "", VLOOKUP(Tabla1[[#This Row],[TRABAJADOR]], 'Colaborador ID'!B:C, 2, FALSE))</f>
        <v>E0556</v>
      </c>
      <c r="C1009" s="63" t="s">
        <v>1940</v>
      </c>
      <c r="D1009" s="64" t="s">
        <v>1941</v>
      </c>
      <c r="E1009" s="64"/>
      <c r="F1009" s="57" t="e" vm="1">
        <v>#VALUE!</v>
      </c>
      <c r="G1009" s="58"/>
      <c r="H1009" s="57" t="e" vm="2">
        <v>#VALUE!</v>
      </c>
      <c r="I1009" s="64"/>
      <c r="J1009" s="57"/>
      <c r="K1009" s="57"/>
      <c r="L1009" s="4"/>
      <c r="M1009" s="35"/>
    </row>
    <row r="1010" spans="1:13" ht="15.9" customHeight="1" x14ac:dyDescent="0.3">
      <c r="A1010" s="46">
        <v>1007</v>
      </c>
      <c r="B1010" s="57" t="str">
        <f>IF(Tabla1[[#This Row],[TRABAJADOR]]="", "", VLOOKUP(Tabla1[[#This Row],[TRABAJADOR]], 'Colaborador ID'!B:C, 2, FALSE))</f>
        <v>E1785</v>
      </c>
      <c r="C1010" s="56" t="s">
        <v>1942</v>
      </c>
      <c r="D1010" s="57" t="s">
        <v>5315</v>
      </c>
      <c r="E1010" s="64" t="s">
        <v>16</v>
      </c>
      <c r="F1010" s="49" t="e" vm="1">
        <v>#VALUE!</v>
      </c>
      <c r="G1010" s="58">
        <v>46031</v>
      </c>
      <c r="H1010" s="49" t="e" vm="2">
        <v>#VALUE!</v>
      </c>
      <c r="I1010" s="57"/>
      <c r="J1010" s="57"/>
      <c r="K1010" s="57"/>
      <c r="L1010" s="4"/>
      <c r="M1010" s="35"/>
    </row>
    <row r="1011" spans="1:13" ht="15.9" customHeight="1" x14ac:dyDescent="0.3">
      <c r="A1011" s="46">
        <v>1008</v>
      </c>
      <c r="B1011" s="57" t="str">
        <f>IF(Tabla1[[#This Row],[TRABAJADOR]]="", "", VLOOKUP(Tabla1[[#This Row],[TRABAJADOR]], 'Colaborador ID'!B:C, 2, FALSE))</f>
        <v>E1953</v>
      </c>
      <c r="C1011" s="56" t="s">
        <v>1943</v>
      </c>
      <c r="D1011" s="57" t="s">
        <v>1944</v>
      </c>
      <c r="E1011" s="64" t="s">
        <v>13</v>
      </c>
      <c r="F1011" s="49" t="e" vm="1">
        <v>#VALUE!</v>
      </c>
      <c r="G1011" s="58">
        <v>45950</v>
      </c>
      <c r="H1011" s="57" t="e" vm="2">
        <v>#VALUE!</v>
      </c>
      <c r="I1011" s="57"/>
      <c r="J1011" s="57"/>
      <c r="K1011" s="57"/>
      <c r="L1011" s="4"/>
      <c r="M1011" s="35"/>
    </row>
    <row r="1012" spans="1:13" ht="15.9" customHeight="1" x14ac:dyDescent="0.35">
      <c r="A1012" s="46">
        <v>1009</v>
      </c>
      <c r="B1012" s="64" t="str">
        <f>IF(Tabla1[[#This Row],[TRABAJADOR]]="", "", VLOOKUP(Tabla1[[#This Row],[TRABAJADOR]], 'Colaborador ID'!B:C, 2, FALSE))</f>
        <v>E0514</v>
      </c>
      <c r="C1012" s="63" t="s">
        <v>1945</v>
      </c>
      <c r="D1012" s="64" t="s">
        <v>1946</v>
      </c>
      <c r="E1012" s="64" t="s">
        <v>16</v>
      </c>
      <c r="F1012" s="42" t="e" vm="1">
        <v>#VALUE!</v>
      </c>
      <c r="G1012" s="58"/>
      <c r="H1012" s="57" t="e" vm="2">
        <v>#VALUE!</v>
      </c>
      <c r="I1012" s="64"/>
      <c r="J1012" s="57"/>
      <c r="K1012" s="57"/>
      <c r="L1012" s="4"/>
      <c r="M1012" s="35"/>
    </row>
    <row r="1013" spans="1:13" ht="15.9" customHeight="1" x14ac:dyDescent="0.3">
      <c r="A1013" s="46">
        <v>1010</v>
      </c>
      <c r="B1013" s="57" t="str">
        <f>IF(Tabla1[[#This Row],[TRABAJADOR]]="", "", VLOOKUP(Tabla1[[#This Row],[TRABAJADOR]], 'Colaborador ID'!B:C, 2, FALSE))</f>
        <v>E1893</v>
      </c>
      <c r="C1013" s="56" t="s">
        <v>1947</v>
      </c>
      <c r="D1013" s="57" t="s">
        <v>1948</v>
      </c>
      <c r="E1013" s="64" t="s">
        <v>16</v>
      </c>
      <c r="F1013" s="49" t="e" vm="1">
        <v>#VALUE!</v>
      </c>
      <c r="G1013" s="58">
        <v>45959</v>
      </c>
      <c r="H1013" s="57" t="e" vm="2">
        <v>#VALUE!</v>
      </c>
      <c r="I1013" s="57" t="s">
        <v>22</v>
      </c>
      <c r="J1013" s="57"/>
      <c r="K1013" s="57"/>
      <c r="L1013" s="4"/>
      <c r="M1013" s="35"/>
    </row>
    <row r="1014" spans="1:13" ht="15.9" customHeight="1" x14ac:dyDescent="0.3">
      <c r="A1014" s="46">
        <v>1011</v>
      </c>
      <c r="B1014" s="64" t="str">
        <f>IF(Tabla1[[#This Row],[TRABAJADOR]]="", "", VLOOKUP(Tabla1[[#This Row],[TRABAJADOR]], 'Colaborador ID'!B:C, 2, FALSE))</f>
        <v>E1369</v>
      </c>
      <c r="C1014" s="63" t="s">
        <v>1949</v>
      </c>
      <c r="D1014" s="64" t="s">
        <v>1950</v>
      </c>
      <c r="E1014" s="64"/>
      <c r="F1014" s="57" t="e" vm="1">
        <v>#VALUE!</v>
      </c>
      <c r="G1014" s="58"/>
      <c r="H1014" s="57" t="e" vm="2">
        <v>#VALUE!</v>
      </c>
      <c r="I1014" s="64"/>
      <c r="J1014" s="57"/>
      <c r="K1014" s="57"/>
      <c r="L1014" s="4"/>
      <c r="M1014" s="35"/>
    </row>
    <row r="1015" spans="1:13" ht="15.9" customHeight="1" x14ac:dyDescent="0.3">
      <c r="A1015" s="46">
        <v>1012</v>
      </c>
      <c r="B1015" s="64" t="str">
        <f>IF(Tabla1[[#This Row],[TRABAJADOR]]="", "", VLOOKUP(Tabla1[[#This Row],[TRABAJADOR]], 'Colaborador ID'!B:C, 2, FALSE))</f>
        <v>E1552</v>
      </c>
      <c r="C1015" s="63" t="s">
        <v>1951</v>
      </c>
      <c r="D1015" s="64" t="s">
        <v>1952</v>
      </c>
      <c r="E1015" s="64" t="s">
        <v>13</v>
      </c>
      <c r="F1015" s="49" t="e" vm="1">
        <v>#VALUE!</v>
      </c>
      <c r="G1015" s="58"/>
      <c r="H1015" s="57" t="e" vm="2">
        <v>#VALUE!</v>
      </c>
      <c r="I1015" s="64" t="s">
        <v>22</v>
      </c>
      <c r="J1015" s="57"/>
      <c r="K1015" s="57"/>
      <c r="L1015" s="4"/>
      <c r="M1015" s="35"/>
    </row>
    <row r="1016" spans="1:13" ht="15.9" customHeight="1" x14ac:dyDescent="0.3">
      <c r="A1016" s="46">
        <v>1013</v>
      </c>
      <c r="B1016" s="57" t="str">
        <f>IF(Tabla1[[#This Row],[TRABAJADOR]]="", "", VLOOKUP(Tabla1[[#This Row],[TRABAJADOR]], 'Colaborador ID'!B:C, 2, FALSE))</f>
        <v>E2032</v>
      </c>
      <c r="C1016" s="63" t="s">
        <v>1953</v>
      </c>
      <c r="D1016" s="57" t="s">
        <v>5518</v>
      </c>
      <c r="E1016" s="64" t="s">
        <v>19</v>
      </c>
      <c r="F1016" s="49" t="e" vm="1">
        <v>#VALUE!</v>
      </c>
      <c r="G1016" s="58">
        <v>46094</v>
      </c>
      <c r="H1016" s="49" t="e" vm="2">
        <v>#VALUE!</v>
      </c>
      <c r="I1016" s="57"/>
      <c r="J1016" s="85"/>
      <c r="K1016" s="57"/>
      <c r="L1016" s="4"/>
      <c r="M1016" s="35"/>
    </row>
    <row r="1017" spans="1:13" ht="15.9" customHeight="1" x14ac:dyDescent="0.3">
      <c r="A1017" s="46">
        <v>1014</v>
      </c>
      <c r="B1017" s="64" t="str">
        <f>IF(Tabla1[[#This Row],[TRABAJADOR]]="", "", VLOOKUP(Tabla1[[#This Row],[TRABAJADOR]], 'Colaborador ID'!B:C, 2, FALSE))</f>
        <v>E1089</v>
      </c>
      <c r="C1017" s="63" t="s">
        <v>1954</v>
      </c>
      <c r="D1017" s="64" t="s">
        <v>1955</v>
      </c>
      <c r="E1017" s="64"/>
      <c r="F1017" s="57" t="e" vm="1">
        <v>#VALUE!</v>
      </c>
      <c r="G1017" s="58"/>
      <c r="H1017" s="57" t="e" vm="2">
        <v>#VALUE!</v>
      </c>
      <c r="I1017" s="64" t="s">
        <v>22</v>
      </c>
      <c r="J1017" s="57"/>
      <c r="K1017" s="57"/>
      <c r="L1017" s="4"/>
      <c r="M1017" s="35"/>
    </row>
    <row r="1018" spans="1:13" ht="15.9" customHeight="1" x14ac:dyDescent="0.3">
      <c r="A1018" s="46">
        <v>1015</v>
      </c>
      <c r="B1018" s="57" t="str">
        <f>IF(Tabla1[[#This Row],[TRABAJADOR]]="", "", VLOOKUP(Tabla1[[#This Row],[TRABAJADOR]], 'Colaborador ID'!B:C, 2, FALSE))</f>
        <v>E1873</v>
      </c>
      <c r="C1018" s="56" t="s">
        <v>1956</v>
      </c>
      <c r="D1018" s="57" t="s">
        <v>1957</v>
      </c>
      <c r="E1018" s="64" t="s">
        <v>16</v>
      </c>
      <c r="F1018" s="49" t="e" vm="1">
        <v>#VALUE!</v>
      </c>
      <c r="G1018" s="58">
        <v>45958</v>
      </c>
      <c r="H1018" s="57" t="e" vm="2">
        <v>#VALUE!</v>
      </c>
      <c r="I1018" s="57"/>
      <c r="J1018" s="57"/>
      <c r="K1018" s="57"/>
      <c r="L1018" s="4"/>
      <c r="M1018" s="35"/>
    </row>
    <row r="1019" spans="1:13" ht="15.9" customHeight="1" x14ac:dyDescent="0.35">
      <c r="A1019" s="46">
        <v>1016</v>
      </c>
      <c r="B1019" s="64" t="str">
        <f>IF(Tabla1[[#This Row],[TRABAJADOR]]="", "", VLOOKUP(Tabla1[[#This Row],[TRABAJADOR]], 'Colaborador ID'!B:C, 2, FALSE))</f>
        <v>E0095</v>
      </c>
      <c r="C1019" s="63" t="s">
        <v>1958</v>
      </c>
      <c r="D1019" s="64" t="s">
        <v>1959</v>
      </c>
      <c r="E1019" s="64" t="s">
        <v>16</v>
      </c>
      <c r="F1019" s="59" t="e" vm="1">
        <v>#VALUE!</v>
      </c>
      <c r="G1019" s="58"/>
      <c r="H1019" s="57" t="e" vm="2">
        <v>#VALUE!</v>
      </c>
      <c r="I1019" s="64"/>
      <c r="J1019" s="57"/>
      <c r="K1019" s="57"/>
      <c r="L1019" s="4"/>
      <c r="M1019" s="35"/>
    </row>
    <row r="1020" spans="1:13" ht="15.9" customHeight="1" x14ac:dyDescent="0.3">
      <c r="A1020" s="46">
        <v>1017</v>
      </c>
      <c r="B1020" s="57" t="str">
        <f>IF(Tabla1[[#This Row],[TRABAJADOR]]="", "", VLOOKUP(Tabla1[[#This Row],[TRABAJADOR]], 'Colaborador ID'!B:C, 2, FALSE))</f>
        <v>E2099</v>
      </c>
      <c r="C1020" s="56" t="s">
        <v>5351</v>
      </c>
      <c r="D1020" s="57" t="s">
        <v>5499</v>
      </c>
      <c r="E1020" s="64" t="s">
        <v>13</v>
      </c>
      <c r="F1020" s="49" t="e" vm="1">
        <v>#VALUE!</v>
      </c>
      <c r="G1020" s="58">
        <v>46084</v>
      </c>
      <c r="H1020" s="49" t="e" vm="2">
        <v>#VALUE!</v>
      </c>
      <c r="I1020" s="57"/>
      <c r="J1020" s="57"/>
      <c r="K1020" s="57"/>
      <c r="L1020" s="4"/>
      <c r="M1020" s="35"/>
    </row>
    <row r="1021" spans="1:13" ht="15.9" customHeight="1" x14ac:dyDescent="0.35">
      <c r="A1021" s="46">
        <v>1018</v>
      </c>
      <c r="B1021" s="64" t="str">
        <f>IF(Tabla1[[#This Row],[TRABAJADOR]]="", "", VLOOKUP(Tabla1[[#This Row],[TRABAJADOR]], 'Colaborador ID'!B:C, 2, FALSE))</f>
        <v>E1336</v>
      </c>
      <c r="C1021" s="63" t="s">
        <v>1960</v>
      </c>
      <c r="D1021" s="64" t="s">
        <v>1961</v>
      </c>
      <c r="E1021" s="64" t="s">
        <v>83</v>
      </c>
      <c r="F1021" s="42" t="e" vm="1">
        <v>#VALUE!</v>
      </c>
      <c r="G1021" s="58"/>
      <c r="H1021" s="57" t="e" vm="2">
        <v>#VALUE!</v>
      </c>
      <c r="I1021" s="64"/>
      <c r="J1021" s="57"/>
      <c r="K1021" s="57"/>
      <c r="L1021" s="4"/>
      <c r="M1021" s="35"/>
    </row>
    <row r="1022" spans="1:13" ht="15.9" customHeight="1" x14ac:dyDescent="0.3">
      <c r="A1022" s="46">
        <v>1019</v>
      </c>
      <c r="B1022" s="64" t="str">
        <f>IF(Tabla1[[#This Row],[TRABAJADOR]]="", "", VLOOKUP(Tabla1[[#This Row],[TRABAJADOR]], 'Colaborador ID'!B:C, 2, FALSE))</f>
        <v>E0319</v>
      </c>
      <c r="C1022" s="63" t="s">
        <v>1962</v>
      </c>
      <c r="D1022" s="64" t="s">
        <v>1963</v>
      </c>
      <c r="E1022" s="64"/>
      <c r="F1022" s="57" t="e" vm="1">
        <v>#VALUE!</v>
      </c>
      <c r="G1022" s="58"/>
      <c r="H1022" s="57" t="e" vm="2">
        <v>#VALUE!</v>
      </c>
      <c r="I1022" s="64"/>
      <c r="J1022" s="57"/>
      <c r="K1022" s="57"/>
      <c r="L1022" s="4"/>
      <c r="M1022" s="35"/>
    </row>
    <row r="1023" spans="1:13" ht="15.9" customHeight="1" x14ac:dyDescent="0.3">
      <c r="A1023" s="46">
        <v>1020</v>
      </c>
      <c r="B1023" s="64" t="str">
        <f>IF(Tabla1[[#This Row],[TRABAJADOR]]="", "", VLOOKUP(Tabla1[[#This Row],[TRABAJADOR]], 'Colaborador ID'!B:C, 2, FALSE))</f>
        <v>E0289</v>
      </c>
      <c r="C1023" s="63" t="s">
        <v>1964</v>
      </c>
      <c r="D1023" s="64" t="s">
        <v>1965</v>
      </c>
      <c r="E1023" s="64" t="s">
        <v>16</v>
      </c>
      <c r="F1023" s="49" t="e" vm="1">
        <v>#VALUE!</v>
      </c>
      <c r="G1023" s="58"/>
      <c r="H1023" s="57" t="e" vm="2">
        <v>#VALUE!</v>
      </c>
      <c r="I1023" s="64"/>
      <c r="J1023" s="57"/>
      <c r="K1023" s="57"/>
      <c r="L1023" s="4"/>
      <c r="M1023" s="35"/>
    </row>
    <row r="1024" spans="1:13" ht="15.9" customHeight="1" x14ac:dyDescent="0.3">
      <c r="A1024" s="46">
        <v>1021</v>
      </c>
      <c r="B1024" s="57" t="str">
        <f>IF(Tabla1[[#This Row],[TRABAJADOR]]="", "", VLOOKUP(Tabla1[[#This Row],[TRABAJADOR]], 'Colaborador ID'!B:C, 2, FALSE))</f>
        <v>E1767</v>
      </c>
      <c r="C1024" s="56" t="s">
        <v>1966</v>
      </c>
      <c r="D1024" s="57" t="s">
        <v>1967</v>
      </c>
      <c r="E1024" s="64" t="s">
        <v>33</v>
      </c>
      <c r="F1024" s="49" t="e" vm="1">
        <v>#VALUE!</v>
      </c>
      <c r="G1024" s="58">
        <v>45891</v>
      </c>
      <c r="H1024" s="57" t="e" vm="2">
        <v>#VALUE!</v>
      </c>
      <c r="I1024" s="57"/>
      <c r="J1024" s="57"/>
      <c r="K1024" s="57"/>
      <c r="L1024" s="4"/>
      <c r="M1024" s="35"/>
    </row>
    <row r="1025" spans="1:13" ht="15.9" customHeight="1" x14ac:dyDescent="0.3">
      <c r="A1025" s="46">
        <v>1022</v>
      </c>
      <c r="B1025" s="64" t="str">
        <f>IF(Tabla1[[#This Row],[TRABAJADOR]]="", "", VLOOKUP(Tabla1[[#This Row],[TRABAJADOR]], 'Colaborador ID'!B:C, 2, FALSE))</f>
        <v>E1207</v>
      </c>
      <c r="C1025" s="63" t="s">
        <v>1968</v>
      </c>
      <c r="D1025" s="64" t="s">
        <v>1969</v>
      </c>
      <c r="E1025" s="64" t="s">
        <v>16</v>
      </c>
      <c r="F1025" s="38" t="e" vm="1">
        <v>#VALUE!</v>
      </c>
      <c r="G1025" s="58">
        <v>45783</v>
      </c>
      <c r="H1025" s="57" t="e" vm="2">
        <v>#VALUE!</v>
      </c>
      <c r="I1025" s="64"/>
      <c r="J1025" s="57"/>
      <c r="K1025" s="57"/>
      <c r="L1025" s="4"/>
      <c r="M1025" s="35"/>
    </row>
    <row r="1026" spans="1:13" ht="15.9" customHeight="1" x14ac:dyDescent="0.3">
      <c r="A1026" s="46">
        <v>1023</v>
      </c>
      <c r="B1026" s="57" t="str">
        <f>IF(Tabla1[[#This Row],[TRABAJADOR]]="", "", VLOOKUP(Tabla1[[#This Row],[TRABAJADOR]], 'Colaborador ID'!B:C, 2, FALSE))</f>
        <v>E2116</v>
      </c>
      <c r="C1026" s="56" t="s">
        <v>5405</v>
      </c>
      <c r="D1026" s="57" t="s">
        <v>5505</v>
      </c>
      <c r="E1026" s="57"/>
      <c r="F1026" s="49" t="e" vm="1">
        <v>#VALUE!</v>
      </c>
      <c r="G1026" s="58">
        <v>46087</v>
      </c>
      <c r="H1026" s="57" t="e" vm="3">
        <v>#VALUE!</v>
      </c>
      <c r="I1026" s="57"/>
      <c r="J1026" s="57"/>
      <c r="K1026" s="57"/>
      <c r="L1026" s="4"/>
      <c r="M1026" s="35"/>
    </row>
    <row r="1027" spans="1:13" ht="15.9" customHeight="1" x14ac:dyDescent="0.3">
      <c r="A1027" s="46">
        <v>1024</v>
      </c>
      <c r="B1027" s="57" t="str">
        <f>IF(Tabla1[[#This Row],[TRABAJADOR]]="", "", VLOOKUP(Tabla1[[#This Row],[TRABAJADOR]], 'Colaborador ID'!B:C, 2, FALSE))</f>
        <v>E1737</v>
      </c>
      <c r="C1027" s="56" t="s">
        <v>1970</v>
      </c>
      <c r="D1027" s="57" t="s">
        <v>1971</v>
      </c>
      <c r="E1027" s="64"/>
      <c r="F1027" s="49" t="e" vm="1">
        <v>#VALUE!</v>
      </c>
      <c r="G1027" s="58">
        <v>45891</v>
      </c>
      <c r="H1027" s="57" t="e" vm="2">
        <v>#VALUE!</v>
      </c>
      <c r="I1027" s="57"/>
      <c r="J1027" s="57"/>
      <c r="K1027" s="57"/>
      <c r="L1027" s="4"/>
      <c r="M1027" s="35"/>
    </row>
    <row r="1028" spans="1:13" ht="15.9" customHeight="1" x14ac:dyDescent="0.3">
      <c r="A1028" s="46">
        <v>1025</v>
      </c>
      <c r="B1028" s="64" t="str">
        <f>IF(Tabla1[[#This Row],[TRABAJADOR]]="", "", VLOOKUP(Tabla1[[#This Row],[TRABAJADOR]], 'Colaborador ID'!B:C, 2, FALSE))</f>
        <v>E0118</v>
      </c>
      <c r="C1028" s="63" t="s">
        <v>1972</v>
      </c>
      <c r="D1028" s="64" t="s">
        <v>1973</v>
      </c>
      <c r="E1028" s="64"/>
      <c r="F1028" s="57" t="e" vm="1">
        <v>#VALUE!</v>
      </c>
      <c r="G1028" s="58"/>
      <c r="H1028" s="57" t="e" vm="2">
        <v>#VALUE!</v>
      </c>
      <c r="I1028" s="64"/>
      <c r="J1028" s="57"/>
      <c r="K1028" s="57"/>
      <c r="L1028" s="4"/>
      <c r="M1028" s="35"/>
    </row>
    <row r="1029" spans="1:13" ht="15.9" customHeight="1" x14ac:dyDescent="0.3">
      <c r="A1029" s="46">
        <v>1026</v>
      </c>
      <c r="B1029" s="57" t="str">
        <f>IF(Tabla1[[#This Row],[TRABAJADOR]]="", "", VLOOKUP(Tabla1[[#This Row],[TRABAJADOR]], 'Colaborador ID'!B:C, 2, FALSE))</f>
        <v>E2112</v>
      </c>
      <c r="C1029" s="56" t="s">
        <v>5380</v>
      </c>
      <c r="D1029" s="57" t="s">
        <v>5508</v>
      </c>
      <c r="E1029" s="57" t="s">
        <v>16</v>
      </c>
      <c r="F1029" s="49" t="e" vm="1">
        <v>#VALUE!</v>
      </c>
      <c r="G1029" s="58">
        <v>46087</v>
      </c>
      <c r="H1029" s="57" t="e" vm="3">
        <v>#VALUE!</v>
      </c>
      <c r="I1029" s="57"/>
      <c r="J1029" s="57"/>
      <c r="K1029" s="57"/>
      <c r="L1029" s="4"/>
      <c r="M1029" s="35"/>
    </row>
    <row r="1030" spans="1:13" ht="15.9" customHeight="1" x14ac:dyDescent="0.3">
      <c r="A1030" s="46">
        <v>1027</v>
      </c>
      <c r="B1030" s="64" t="str">
        <f>IF(Tabla1[[#This Row],[TRABAJADOR]]="", "", VLOOKUP(Tabla1[[#This Row],[TRABAJADOR]], 'Colaborador ID'!B:C, 2, FALSE))</f>
        <v>E0542</v>
      </c>
      <c r="C1030" s="63" t="s">
        <v>1974</v>
      </c>
      <c r="D1030" s="64" t="s">
        <v>1975</v>
      </c>
      <c r="E1030" s="64" t="s">
        <v>13</v>
      </c>
      <c r="F1030" s="38" t="e" vm="1">
        <v>#VALUE!</v>
      </c>
      <c r="G1030" s="58">
        <v>45828</v>
      </c>
      <c r="H1030" s="40" t="e" vm="2">
        <v>#VALUE!</v>
      </c>
      <c r="I1030" s="64"/>
      <c r="J1030" s="57"/>
      <c r="K1030" s="57"/>
      <c r="L1030" s="4"/>
      <c r="M1030" s="35"/>
    </row>
    <row r="1031" spans="1:13" ht="15.9" customHeight="1" x14ac:dyDescent="0.3">
      <c r="A1031" s="46">
        <v>1028</v>
      </c>
      <c r="B1031" s="57" t="str">
        <f>IF(Tabla1[[#This Row],[TRABAJADOR]]="", "", VLOOKUP(Tabla1[[#This Row],[TRABAJADOR]], 'Colaborador ID'!B:C, 2, FALSE))</f>
        <v>E1705</v>
      </c>
      <c r="C1031" s="56" t="s">
        <v>1976</v>
      </c>
      <c r="D1031" s="57" t="s">
        <v>1977</v>
      </c>
      <c r="E1031" s="64" t="s">
        <v>16</v>
      </c>
      <c r="F1031" s="49" t="e" vm="1">
        <v>#VALUE!</v>
      </c>
      <c r="G1031" s="58">
        <v>45940</v>
      </c>
      <c r="H1031" s="49" t="e" vm="2">
        <v>#VALUE!</v>
      </c>
      <c r="I1031" s="57"/>
      <c r="J1031" s="57"/>
      <c r="K1031" s="57"/>
      <c r="L1031" s="4"/>
      <c r="M1031" s="35"/>
    </row>
    <row r="1032" spans="1:13" ht="15.9" customHeight="1" x14ac:dyDescent="0.3">
      <c r="A1032" s="46">
        <v>1029</v>
      </c>
      <c r="B1032" s="64" t="str">
        <f>IF(Tabla1[[#This Row],[TRABAJADOR]]="", "", VLOOKUP(Tabla1[[#This Row],[TRABAJADOR]], 'Colaborador ID'!B:C, 2, FALSE))</f>
        <v>E0498</v>
      </c>
      <c r="C1032" s="63" t="s">
        <v>1978</v>
      </c>
      <c r="D1032" s="64" t="s">
        <v>1979</v>
      </c>
      <c r="E1032" s="64" t="s">
        <v>16</v>
      </c>
      <c r="F1032" s="38" t="e" vm="1">
        <v>#VALUE!</v>
      </c>
      <c r="G1032" s="58">
        <v>45820</v>
      </c>
      <c r="H1032" s="57" t="e" vm="2">
        <v>#VALUE!</v>
      </c>
      <c r="I1032" s="64"/>
      <c r="J1032" s="57"/>
      <c r="K1032" s="57"/>
      <c r="L1032" s="4"/>
      <c r="M1032" s="35"/>
    </row>
    <row r="1033" spans="1:13" ht="15.9" customHeight="1" x14ac:dyDescent="0.35">
      <c r="A1033" s="46">
        <v>1030</v>
      </c>
      <c r="B1033" s="64" t="str">
        <f>IF(Tabla1[[#This Row],[TRABAJADOR]]="", "", VLOOKUP(Tabla1[[#This Row],[TRABAJADOR]], 'Colaborador ID'!B:C, 2, FALSE))</f>
        <v>E1170</v>
      </c>
      <c r="C1033" s="63" t="s">
        <v>1980</v>
      </c>
      <c r="D1033" s="64" t="s">
        <v>1981</v>
      </c>
      <c r="E1033" s="64" t="s">
        <v>16</v>
      </c>
      <c r="F1033" s="42" t="e" vm="1">
        <v>#VALUE!</v>
      </c>
      <c r="G1033" s="58">
        <v>45722</v>
      </c>
      <c r="H1033" s="57" t="e" vm="2">
        <v>#VALUE!</v>
      </c>
      <c r="I1033" s="64"/>
      <c r="J1033" s="57"/>
      <c r="K1033" s="57"/>
      <c r="L1033" s="4"/>
      <c r="M1033" s="35"/>
    </row>
    <row r="1034" spans="1:13" ht="15.9" customHeight="1" x14ac:dyDescent="0.3">
      <c r="A1034" s="46">
        <v>1031</v>
      </c>
      <c r="B1034" s="64" t="str">
        <f>IF(Tabla1[[#This Row],[TRABAJADOR]]="", "", VLOOKUP(Tabla1[[#This Row],[TRABAJADOR]], 'Colaborador ID'!B:C, 2, FALSE))</f>
        <v>E0046</v>
      </c>
      <c r="C1034" s="63" t="s">
        <v>1982</v>
      </c>
      <c r="D1034" s="64" t="s">
        <v>1983</v>
      </c>
      <c r="E1034" s="64"/>
      <c r="F1034" s="57" t="e" vm="1">
        <v>#VALUE!</v>
      </c>
      <c r="G1034" s="58"/>
      <c r="H1034" s="57" t="e" vm="2">
        <v>#VALUE!</v>
      </c>
      <c r="I1034" s="64"/>
      <c r="J1034" s="57"/>
      <c r="K1034" s="57"/>
      <c r="L1034" s="4"/>
      <c r="M1034" s="35"/>
    </row>
    <row r="1035" spans="1:13" ht="15.9" customHeight="1" x14ac:dyDescent="0.3">
      <c r="A1035" s="46">
        <v>1032</v>
      </c>
      <c r="B1035" s="64" t="str">
        <f>IF(Tabla1[[#This Row],[TRABAJADOR]]="", "", VLOOKUP(Tabla1[[#This Row],[TRABAJADOR]], 'Colaborador ID'!B:C, 2, FALSE))</f>
        <v>E1191</v>
      </c>
      <c r="C1035" s="63" t="s">
        <v>1984</v>
      </c>
      <c r="D1035" s="64" t="s">
        <v>1985</v>
      </c>
      <c r="E1035" s="64" t="s">
        <v>16</v>
      </c>
      <c r="F1035" s="38" t="e" vm="1">
        <v>#VALUE!</v>
      </c>
      <c r="G1035" s="58">
        <v>45783</v>
      </c>
      <c r="H1035" s="57" t="e" vm="2">
        <v>#VALUE!</v>
      </c>
      <c r="I1035" s="64"/>
      <c r="J1035" s="57"/>
      <c r="K1035" s="57"/>
      <c r="L1035" s="4"/>
      <c r="M1035" s="35"/>
    </row>
    <row r="1036" spans="1:13" ht="15.9" customHeight="1" x14ac:dyDescent="0.3">
      <c r="A1036" s="46">
        <v>1033</v>
      </c>
      <c r="B1036" s="64" t="str">
        <f>IF(Tabla1[[#This Row],[TRABAJADOR]]="", "", VLOOKUP(Tabla1[[#This Row],[TRABAJADOR]], 'Colaborador ID'!B:C, 2, FALSE))</f>
        <v>E0099</v>
      </c>
      <c r="C1036" s="63" t="s">
        <v>1986</v>
      </c>
      <c r="D1036" s="64" t="s">
        <v>1987</v>
      </c>
      <c r="E1036" s="64" t="s">
        <v>13</v>
      </c>
      <c r="F1036" s="38" t="e" vm="1">
        <v>#VALUE!</v>
      </c>
      <c r="G1036" s="58">
        <v>45796</v>
      </c>
      <c r="H1036" s="57" t="e" vm="2">
        <v>#VALUE!</v>
      </c>
      <c r="I1036" s="64"/>
      <c r="J1036" s="57"/>
      <c r="K1036" s="57"/>
      <c r="L1036" s="4"/>
      <c r="M1036" s="35"/>
    </row>
    <row r="1037" spans="1:13" ht="15.9" customHeight="1" x14ac:dyDescent="0.3">
      <c r="A1037" s="46">
        <v>1034</v>
      </c>
      <c r="B1037" s="57" t="str">
        <f>IF(Tabla1[[#This Row],[TRABAJADOR]]="", "", VLOOKUP(Tabla1[[#This Row],[TRABAJADOR]], 'Colaborador ID'!B:C, 2, FALSE))</f>
        <v>E1846</v>
      </c>
      <c r="C1037" s="56" t="s">
        <v>1988</v>
      </c>
      <c r="D1037" s="57" t="s">
        <v>1989</v>
      </c>
      <c r="E1037" s="64" t="s">
        <v>33</v>
      </c>
      <c r="F1037" s="49" t="e" vm="1">
        <v>#VALUE!</v>
      </c>
      <c r="G1037" s="58">
        <v>45944</v>
      </c>
      <c r="H1037" s="57" t="e" vm="2">
        <v>#VALUE!</v>
      </c>
      <c r="I1037" s="57" t="s">
        <v>22</v>
      </c>
      <c r="J1037" s="57"/>
      <c r="K1037" s="57"/>
      <c r="L1037" s="4"/>
      <c r="M1037" s="35"/>
    </row>
    <row r="1038" spans="1:13" ht="15.9" customHeight="1" x14ac:dyDescent="0.3">
      <c r="A1038" s="46">
        <v>1035</v>
      </c>
      <c r="B1038" s="64" t="str">
        <f>IF(Tabla1[[#This Row],[TRABAJADOR]]="", "", VLOOKUP(Tabla1[[#This Row],[TRABAJADOR]], 'Colaborador ID'!B:C, 2, FALSE))</f>
        <v>E0374</v>
      </c>
      <c r="C1038" s="63" t="s">
        <v>1990</v>
      </c>
      <c r="D1038" s="64" t="s">
        <v>1991</v>
      </c>
      <c r="E1038" s="64"/>
      <c r="F1038" s="57" t="e" vm="1">
        <v>#VALUE!</v>
      </c>
      <c r="G1038" s="58"/>
      <c r="H1038" s="57" t="e" vm="2">
        <v>#VALUE!</v>
      </c>
      <c r="I1038" s="64"/>
      <c r="J1038" s="57"/>
      <c r="K1038" s="57"/>
      <c r="L1038" s="4"/>
      <c r="M1038" s="35"/>
    </row>
    <row r="1039" spans="1:13" ht="15.9" customHeight="1" x14ac:dyDescent="0.3">
      <c r="A1039" s="46">
        <v>1036</v>
      </c>
      <c r="B1039" s="57" t="str">
        <f>IF(Tabla1[[#This Row],[TRABAJADOR]]="", "", VLOOKUP(Tabla1[[#This Row],[TRABAJADOR]], 'Colaborador ID'!B:C, 2, FALSE))</f>
        <v>E1881</v>
      </c>
      <c r="C1039" s="56" t="s">
        <v>1992</v>
      </c>
      <c r="D1039" s="57" t="s">
        <v>1993</v>
      </c>
      <c r="E1039" s="64"/>
      <c r="F1039" s="49" t="e" vm="1">
        <v>#VALUE!</v>
      </c>
      <c r="G1039" s="58">
        <v>45959</v>
      </c>
      <c r="H1039" s="57" t="e" vm="2">
        <v>#VALUE!</v>
      </c>
      <c r="I1039" s="57" t="s">
        <v>22</v>
      </c>
      <c r="J1039" s="57"/>
      <c r="K1039" s="57"/>
      <c r="L1039" s="4"/>
      <c r="M1039" s="35"/>
    </row>
    <row r="1040" spans="1:13" ht="15.9" customHeight="1" x14ac:dyDescent="0.3">
      <c r="A1040" s="46">
        <v>1037</v>
      </c>
      <c r="B1040" s="57" t="str">
        <f>IF(Tabla1[[#This Row],[TRABAJADOR]]="", "", VLOOKUP(Tabla1[[#This Row],[TRABAJADOR]], 'Colaborador ID'!B:C, 2, FALSE))</f>
        <v>E2014</v>
      </c>
      <c r="C1040" s="56" t="s">
        <v>1994</v>
      </c>
      <c r="D1040" s="57" t="s">
        <v>1995</v>
      </c>
      <c r="E1040" s="64" t="s">
        <v>13</v>
      </c>
      <c r="F1040" s="49" t="e" vm="1">
        <v>#VALUE!</v>
      </c>
      <c r="G1040" s="58">
        <v>45996</v>
      </c>
      <c r="H1040" s="57" t="e" vm="2">
        <v>#VALUE!</v>
      </c>
      <c r="I1040" s="57"/>
      <c r="J1040" s="57" t="s">
        <v>1996</v>
      </c>
      <c r="K1040" s="57"/>
      <c r="L1040" s="4"/>
      <c r="M1040" s="35"/>
    </row>
    <row r="1041" spans="1:13" ht="15.9" customHeight="1" x14ac:dyDescent="0.3">
      <c r="A1041" s="46">
        <v>1038</v>
      </c>
      <c r="B1041" s="64" t="str">
        <f>IF(Tabla1[[#This Row],[TRABAJADOR]]="", "", VLOOKUP(Tabla1[[#This Row],[TRABAJADOR]], 'Colaborador ID'!B:C, 2, FALSE))</f>
        <v>E1229</v>
      </c>
      <c r="C1041" s="63" t="s">
        <v>1997</v>
      </c>
      <c r="D1041" s="64" t="s">
        <v>1998</v>
      </c>
      <c r="E1041" s="64" t="s">
        <v>33</v>
      </c>
      <c r="F1041" s="38" t="e" vm="1">
        <v>#VALUE!</v>
      </c>
      <c r="G1041" s="58">
        <v>45859</v>
      </c>
      <c r="H1041" s="57" t="e" vm="2">
        <v>#VALUE!</v>
      </c>
      <c r="I1041" s="64"/>
      <c r="J1041" s="57"/>
      <c r="K1041" s="57"/>
      <c r="L1041" s="4"/>
      <c r="M1041" s="35"/>
    </row>
    <row r="1042" spans="1:13" ht="15.9" customHeight="1" x14ac:dyDescent="0.3">
      <c r="A1042" s="46">
        <v>1039</v>
      </c>
      <c r="B1042" s="64" t="str">
        <f>IF(Tabla1[[#This Row],[TRABAJADOR]]="", "", VLOOKUP(Tabla1[[#This Row],[TRABAJADOR]], 'Colaborador ID'!B:C, 2, FALSE))</f>
        <v>E1081</v>
      </c>
      <c r="C1042" s="63" t="s">
        <v>1999</v>
      </c>
      <c r="D1042" s="64" t="s">
        <v>2000</v>
      </c>
      <c r="E1042" s="64" t="s">
        <v>16</v>
      </c>
      <c r="F1042" s="38" t="e" vm="1">
        <v>#VALUE!</v>
      </c>
      <c r="G1042" s="58">
        <v>45793</v>
      </c>
      <c r="H1042" s="57" t="e" vm="2">
        <v>#VALUE!</v>
      </c>
      <c r="I1042" s="64"/>
      <c r="J1042" s="57"/>
      <c r="K1042" s="57"/>
      <c r="L1042" s="4"/>
      <c r="M1042" s="35"/>
    </row>
    <row r="1043" spans="1:13" ht="15.9" customHeight="1" x14ac:dyDescent="0.3">
      <c r="A1043" s="46">
        <v>1040</v>
      </c>
      <c r="B1043" s="64" t="str">
        <f>IF(Tabla1[[#This Row],[TRABAJADOR]]="", "", VLOOKUP(Tabla1[[#This Row],[TRABAJADOR]], 'Colaborador ID'!B:C, 2, FALSE))</f>
        <v>E0838</v>
      </c>
      <c r="C1043" s="63" t="s">
        <v>2001</v>
      </c>
      <c r="D1043" s="64" t="s">
        <v>2002</v>
      </c>
      <c r="E1043" s="64" t="s">
        <v>33</v>
      </c>
      <c r="F1043" s="38" t="e" vm="1">
        <v>#VALUE!</v>
      </c>
      <c r="G1043" s="58">
        <v>45761</v>
      </c>
      <c r="H1043" s="57" t="e" vm="2">
        <v>#VALUE!</v>
      </c>
      <c r="I1043" s="64"/>
      <c r="J1043" s="57"/>
      <c r="K1043" s="57"/>
      <c r="L1043" s="4"/>
      <c r="M1043" s="35"/>
    </row>
    <row r="1044" spans="1:13" ht="15.9" customHeight="1" x14ac:dyDescent="0.3">
      <c r="A1044" s="46">
        <v>1041</v>
      </c>
      <c r="B1044" s="64" t="str">
        <f>IF(Tabla1[[#This Row],[TRABAJADOR]]="", "", VLOOKUP(Tabla1[[#This Row],[TRABAJADOR]], 'Colaborador ID'!B:C, 2, FALSE))</f>
        <v>E1269</v>
      </c>
      <c r="C1044" s="63" t="s">
        <v>2003</v>
      </c>
      <c r="D1044" s="64" t="s">
        <v>2004</v>
      </c>
      <c r="E1044" s="64" t="s">
        <v>16</v>
      </c>
      <c r="F1044" s="45" t="e" vm="1">
        <v>#VALUE!</v>
      </c>
      <c r="G1044" s="58">
        <v>45848</v>
      </c>
      <c r="H1044" s="57" t="e" vm="2">
        <v>#VALUE!</v>
      </c>
      <c r="I1044" s="64"/>
      <c r="J1044" s="57"/>
      <c r="K1044" s="57"/>
      <c r="L1044" s="4"/>
      <c r="M1044" s="35"/>
    </row>
    <row r="1045" spans="1:13" ht="15.9" customHeight="1" x14ac:dyDescent="0.3">
      <c r="A1045" s="46">
        <v>1042</v>
      </c>
      <c r="B1045" s="57" t="str">
        <f>IF(Tabla1[[#This Row],[TRABAJADOR]]="", "", VLOOKUP(Tabla1[[#This Row],[TRABAJADOR]], 'Colaborador ID'!B:C, 2, FALSE))</f>
        <v>E1919</v>
      </c>
      <c r="C1045" s="56" t="s">
        <v>2005</v>
      </c>
      <c r="D1045" s="57" t="s">
        <v>2006</v>
      </c>
      <c r="E1045" s="64" t="s">
        <v>19</v>
      </c>
      <c r="F1045" s="49" t="e" vm="1">
        <v>#VALUE!</v>
      </c>
      <c r="G1045" s="58">
        <v>45954</v>
      </c>
      <c r="H1045" s="57" t="e" vm="2">
        <v>#VALUE!</v>
      </c>
      <c r="I1045" s="57"/>
      <c r="J1045" s="57"/>
      <c r="K1045" s="57"/>
      <c r="L1045" s="4"/>
      <c r="M1045" s="35"/>
    </row>
    <row r="1046" spans="1:13" ht="15.9" customHeight="1" x14ac:dyDescent="0.3">
      <c r="A1046" s="46">
        <v>1043</v>
      </c>
      <c r="B1046" s="64" t="str">
        <f>IF(Tabla1[[#This Row],[TRABAJADOR]]="", "", VLOOKUP(Tabla1[[#This Row],[TRABAJADOR]], 'Colaborador ID'!B:C, 2, FALSE))</f>
        <v>E1247</v>
      </c>
      <c r="C1046" s="63" t="s">
        <v>2007</v>
      </c>
      <c r="D1046" s="64" t="s">
        <v>2008</v>
      </c>
      <c r="E1046" s="64" t="s">
        <v>33</v>
      </c>
      <c r="F1046" s="49" t="e" vm="1">
        <v>#VALUE!</v>
      </c>
      <c r="G1046" s="58"/>
      <c r="H1046" s="57" t="e" vm="2">
        <v>#VALUE!</v>
      </c>
      <c r="I1046" s="64" t="s">
        <v>22</v>
      </c>
      <c r="J1046" s="57"/>
      <c r="K1046" s="57"/>
      <c r="L1046" s="4"/>
      <c r="M1046" s="35"/>
    </row>
    <row r="1047" spans="1:13" ht="15.9" customHeight="1" x14ac:dyDescent="0.3">
      <c r="A1047" s="46">
        <v>1044</v>
      </c>
      <c r="B1047" s="64" t="str">
        <f>IF(Tabla1[[#This Row],[TRABAJADOR]]="", "", VLOOKUP(Tabla1[[#This Row],[TRABAJADOR]], 'Colaborador ID'!B:C, 2, FALSE))</f>
        <v>E0684</v>
      </c>
      <c r="C1047" s="63" t="s">
        <v>2009</v>
      </c>
      <c r="D1047" s="64" t="s">
        <v>2010</v>
      </c>
      <c r="E1047" s="64"/>
      <c r="F1047" s="57" t="e" vm="1">
        <v>#VALUE!</v>
      </c>
      <c r="G1047" s="58"/>
      <c r="H1047" s="57" t="e" vm="2">
        <v>#VALUE!</v>
      </c>
      <c r="I1047" s="64"/>
      <c r="J1047" s="57"/>
      <c r="K1047" s="57"/>
      <c r="L1047" s="4"/>
      <c r="M1047" s="35"/>
    </row>
    <row r="1048" spans="1:13" ht="15.9" customHeight="1" x14ac:dyDescent="0.3">
      <c r="A1048" s="46">
        <v>1045</v>
      </c>
      <c r="B1048" s="64" t="str">
        <f>IF(Tabla1[[#This Row],[TRABAJADOR]]="", "", VLOOKUP(Tabla1[[#This Row],[TRABAJADOR]], 'Colaborador ID'!B:C, 2, FALSE))</f>
        <v>E0549</v>
      </c>
      <c r="C1048" s="63" t="s">
        <v>2011</v>
      </c>
      <c r="D1048" s="64" t="s">
        <v>2012</v>
      </c>
      <c r="E1048" s="64" t="s">
        <v>16</v>
      </c>
      <c r="F1048" s="38" t="e" vm="1">
        <v>#VALUE!</v>
      </c>
      <c r="G1048" s="58">
        <v>45784</v>
      </c>
      <c r="H1048" s="40" t="e" vm="2">
        <v>#VALUE!</v>
      </c>
      <c r="I1048" s="64"/>
      <c r="J1048" s="57"/>
      <c r="K1048" s="57"/>
      <c r="L1048" s="4"/>
      <c r="M1048" s="35"/>
    </row>
    <row r="1049" spans="1:13" ht="15.9" customHeight="1" x14ac:dyDescent="0.3">
      <c r="A1049" s="46">
        <v>1046</v>
      </c>
      <c r="B1049" s="64" t="str">
        <f>IF(Tabla1[[#This Row],[TRABAJADOR]]="", "", VLOOKUP(Tabla1[[#This Row],[TRABAJADOR]], 'Colaborador ID'!B:C, 2, FALSE))</f>
        <v>E0258</v>
      </c>
      <c r="C1049" s="63" t="s">
        <v>2013</v>
      </c>
      <c r="D1049" s="64" t="s">
        <v>2014</v>
      </c>
      <c r="E1049" s="64"/>
      <c r="F1049" s="57" t="e" vm="1">
        <v>#VALUE!</v>
      </c>
      <c r="G1049" s="58"/>
      <c r="H1049" s="57" t="e" vm="2">
        <v>#VALUE!</v>
      </c>
      <c r="I1049" s="64"/>
      <c r="J1049" s="57"/>
      <c r="K1049" s="57"/>
      <c r="L1049" s="4"/>
      <c r="M1049" s="35"/>
    </row>
    <row r="1050" spans="1:13" ht="15.9" customHeight="1" x14ac:dyDescent="0.3">
      <c r="A1050" s="46">
        <v>1047</v>
      </c>
      <c r="B1050" s="57" t="str">
        <f>IF(Tabla1[[#This Row],[TRABAJADOR]]="", "", VLOOKUP(Tabla1[[#This Row],[TRABAJADOR]], 'Colaborador ID'!B:C, 2, FALSE))</f>
        <v>E1862</v>
      </c>
      <c r="C1050" s="56" t="s">
        <v>2015</v>
      </c>
      <c r="D1050" s="57" t="s">
        <v>2016</v>
      </c>
      <c r="E1050" s="64" t="s">
        <v>16</v>
      </c>
      <c r="F1050" s="49" t="e" vm="1">
        <v>#VALUE!</v>
      </c>
      <c r="G1050" s="58">
        <v>45930</v>
      </c>
      <c r="H1050" s="57" t="e" vm="2">
        <v>#VALUE!</v>
      </c>
      <c r="I1050" s="57"/>
      <c r="J1050" s="57"/>
      <c r="K1050" s="57"/>
      <c r="L1050" s="4"/>
      <c r="M1050" s="35"/>
    </row>
    <row r="1051" spans="1:13" ht="15.9" customHeight="1" x14ac:dyDescent="0.3">
      <c r="A1051" s="46">
        <v>1048</v>
      </c>
      <c r="B1051" s="64" t="str">
        <f>IF(Tabla1[[#This Row],[TRABAJADOR]]="", "", VLOOKUP(Tabla1[[#This Row],[TRABAJADOR]], 'Colaborador ID'!B:C, 2, FALSE))</f>
        <v>E0793</v>
      </c>
      <c r="C1051" s="63" t="s">
        <v>2017</v>
      </c>
      <c r="D1051" s="64" t="s">
        <v>2018</v>
      </c>
      <c r="E1051" s="64"/>
      <c r="F1051" s="57" t="e" vm="1">
        <v>#VALUE!</v>
      </c>
      <c r="G1051" s="58"/>
      <c r="H1051" s="57" t="e" vm="2">
        <v>#VALUE!</v>
      </c>
      <c r="I1051" s="64"/>
      <c r="J1051" s="57"/>
      <c r="K1051" s="57"/>
      <c r="L1051" s="4"/>
      <c r="M1051" s="35"/>
    </row>
    <row r="1052" spans="1:13" ht="15.9" customHeight="1" x14ac:dyDescent="0.35">
      <c r="A1052" s="46">
        <v>1049</v>
      </c>
      <c r="B1052" s="64" t="str">
        <f>IF(Tabla1[[#This Row],[TRABAJADOR]]="", "", VLOOKUP(Tabla1[[#This Row],[TRABAJADOR]], 'Colaborador ID'!B:C, 2, FALSE))</f>
        <v>E1359</v>
      </c>
      <c r="C1052" s="63" t="s">
        <v>2019</v>
      </c>
      <c r="D1052" s="64" t="s">
        <v>2020</v>
      </c>
      <c r="E1052" s="64"/>
      <c r="F1052" s="59" t="e" vm="1">
        <v>#VALUE!</v>
      </c>
      <c r="G1052" s="58"/>
      <c r="H1052" s="57" t="e" vm="2">
        <v>#VALUE!</v>
      </c>
      <c r="I1052" s="64"/>
      <c r="J1052" s="57"/>
      <c r="K1052" s="57"/>
      <c r="L1052" s="4"/>
      <c r="M1052" s="35"/>
    </row>
    <row r="1053" spans="1:13" ht="15.9" customHeight="1" x14ac:dyDescent="0.3">
      <c r="A1053" s="46">
        <v>1050</v>
      </c>
      <c r="B1053" s="64" t="str">
        <f>IF(Tabla1[[#This Row],[TRABAJADOR]]="", "", VLOOKUP(Tabla1[[#This Row],[TRABAJADOR]], 'Colaborador ID'!B:C, 2, FALSE))</f>
        <v>E0805</v>
      </c>
      <c r="C1053" s="63" t="s">
        <v>2021</v>
      </c>
      <c r="D1053" s="64" t="s">
        <v>2022</v>
      </c>
      <c r="E1053" s="64"/>
      <c r="F1053" s="57" t="e" vm="1">
        <v>#VALUE!</v>
      </c>
      <c r="G1053" s="58"/>
      <c r="H1053" s="57" t="e" vm="2">
        <v>#VALUE!</v>
      </c>
      <c r="I1053" s="64"/>
      <c r="J1053" s="57"/>
      <c r="K1053" s="57"/>
      <c r="L1053" s="4"/>
      <c r="M1053" s="35"/>
    </row>
    <row r="1054" spans="1:13" ht="15.9" customHeight="1" x14ac:dyDescent="0.3">
      <c r="A1054" s="46">
        <v>1051</v>
      </c>
      <c r="B1054" s="57" t="str">
        <f>IF(Tabla1[[#This Row],[TRABAJADOR]]="", "", VLOOKUP(Tabla1[[#This Row],[TRABAJADOR]], 'Colaborador ID'!B:C, 2, FALSE))</f>
        <v>E1745</v>
      </c>
      <c r="C1054" s="56" t="s">
        <v>2023</v>
      </c>
      <c r="D1054" s="57" t="s">
        <v>2024</v>
      </c>
      <c r="E1054" s="64" t="s">
        <v>40</v>
      </c>
      <c r="F1054" s="49" t="e" vm="1">
        <v>#VALUE!</v>
      </c>
      <c r="G1054" s="58">
        <v>45958</v>
      </c>
      <c r="H1054" s="57" t="e" vm="2">
        <v>#VALUE!</v>
      </c>
      <c r="I1054" s="57"/>
      <c r="J1054" s="57"/>
      <c r="K1054" s="57"/>
      <c r="L1054" s="4"/>
      <c r="M1054" s="35"/>
    </row>
    <row r="1055" spans="1:13" ht="15.9" customHeight="1" x14ac:dyDescent="0.3">
      <c r="A1055" s="46">
        <v>1052</v>
      </c>
      <c r="B1055" s="64" t="str">
        <f>IF(Tabla1[[#This Row],[TRABAJADOR]]="", "", VLOOKUP(Tabla1[[#This Row],[TRABAJADOR]], 'Colaborador ID'!B:C, 2, FALSE))</f>
        <v>E1554</v>
      </c>
      <c r="C1055" s="63" t="s">
        <v>2025</v>
      </c>
      <c r="D1055" s="64" t="s">
        <v>2026</v>
      </c>
      <c r="E1055" s="64"/>
      <c r="F1055" s="57" t="e" vm="1">
        <v>#VALUE!</v>
      </c>
      <c r="G1055" s="58"/>
      <c r="H1055" s="57" t="e" vm="2">
        <v>#VALUE!</v>
      </c>
      <c r="I1055" s="64" t="s">
        <v>22</v>
      </c>
      <c r="J1055" s="57"/>
      <c r="K1055" s="57"/>
      <c r="L1055" s="4"/>
      <c r="M1055" s="35"/>
    </row>
    <row r="1056" spans="1:13" ht="15.9" customHeight="1" x14ac:dyDescent="0.3">
      <c r="A1056" s="46">
        <v>1053</v>
      </c>
      <c r="B1056" s="64" t="str">
        <f>IF(Tabla1[[#This Row],[TRABAJADOR]]="", "", VLOOKUP(Tabla1[[#This Row],[TRABAJADOR]], 'Colaborador ID'!B:C, 2, FALSE))</f>
        <v>E1438</v>
      </c>
      <c r="C1056" s="63" t="s">
        <v>2027</v>
      </c>
      <c r="D1056" s="64" t="s">
        <v>2028</v>
      </c>
      <c r="E1056" s="64" t="s">
        <v>13</v>
      </c>
      <c r="F1056" s="38" t="e" vm="1">
        <v>#VALUE!</v>
      </c>
      <c r="G1056" s="58">
        <v>45838</v>
      </c>
      <c r="H1056" s="57" t="e" vm="2">
        <v>#VALUE!</v>
      </c>
      <c r="I1056" s="64"/>
      <c r="J1056" s="57"/>
      <c r="K1056" s="57"/>
      <c r="L1056" s="4"/>
      <c r="M1056" s="35"/>
    </row>
    <row r="1057" spans="1:13" ht="15.9" customHeight="1" x14ac:dyDescent="0.3">
      <c r="A1057" s="46">
        <v>1054</v>
      </c>
      <c r="B1057" s="57" t="str">
        <f>IF(Tabla1[[#This Row],[TRABAJADOR]]="", "", VLOOKUP(Tabla1[[#This Row],[TRABAJADOR]], 'Colaborador ID'!B:C, 2, FALSE))</f>
        <v>E1928</v>
      </c>
      <c r="C1057" s="56" t="s">
        <v>2029</v>
      </c>
      <c r="D1057" s="57" t="s">
        <v>2030</v>
      </c>
      <c r="E1057" s="64" t="s">
        <v>13</v>
      </c>
      <c r="F1057" s="49" t="e" vm="1">
        <v>#VALUE!</v>
      </c>
      <c r="G1057" s="58">
        <v>45957</v>
      </c>
      <c r="H1057" s="57" t="e" vm="2">
        <v>#VALUE!</v>
      </c>
      <c r="I1057" s="57" t="s">
        <v>22</v>
      </c>
      <c r="J1057" s="57"/>
      <c r="K1057" s="57"/>
      <c r="L1057" s="4"/>
      <c r="M1057" s="35"/>
    </row>
    <row r="1058" spans="1:13" ht="15.9" customHeight="1" x14ac:dyDescent="0.3">
      <c r="A1058" s="46">
        <v>1055</v>
      </c>
      <c r="B1058" s="57" t="str">
        <f>IF(Tabla1[[#This Row],[TRABAJADOR]]="", "", VLOOKUP(Tabla1[[#This Row],[TRABAJADOR]], 'Colaborador ID'!B:C, 2, FALSE))</f>
        <v>E1899</v>
      </c>
      <c r="C1058" s="56" t="s">
        <v>2031</v>
      </c>
      <c r="D1058" s="57" t="s">
        <v>2032</v>
      </c>
      <c r="E1058" s="64" t="s">
        <v>19</v>
      </c>
      <c r="F1058" s="49" t="e" vm="1">
        <v>#VALUE!</v>
      </c>
      <c r="G1058" s="58">
        <v>45975</v>
      </c>
      <c r="H1058" s="57" t="e" vm="2">
        <v>#VALUE!</v>
      </c>
      <c r="I1058" s="57"/>
      <c r="J1058" s="57"/>
      <c r="K1058" s="57"/>
      <c r="L1058" s="4"/>
      <c r="M1058" s="35"/>
    </row>
    <row r="1059" spans="1:13" ht="15.9" customHeight="1" x14ac:dyDescent="0.3">
      <c r="A1059" s="46">
        <v>1056</v>
      </c>
      <c r="B1059" s="64" t="str">
        <f>IF(Tabla1[[#This Row],[TRABAJADOR]]="", "", VLOOKUP(Tabla1[[#This Row],[TRABAJADOR]], 'Colaborador ID'!B:C, 2, FALSE))</f>
        <v>E0287</v>
      </c>
      <c r="C1059" s="63" t="s">
        <v>2033</v>
      </c>
      <c r="D1059" s="64" t="s">
        <v>2034</v>
      </c>
      <c r="E1059" s="64"/>
      <c r="F1059" s="57" t="e" vm="1">
        <v>#VALUE!</v>
      </c>
      <c r="G1059" s="58"/>
      <c r="H1059" s="57" t="e" vm="2">
        <v>#VALUE!</v>
      </c>
      <c r="I1059" s="64"/>
      <c r="J1059" s="57"/>
      <c r="K1059" s="57"/>
      <c r="L1059" s="4"/>
      <c r="M1059" s="35"/>
    </row>
    <row r="1060" spans="1:13" ht="15.9" customHeight="1" x14ac:dyDescent="0.3">
      <c r="A1060" s="46">
        <v>1057</v>
      </c>
      <c r="B1060" s="57" t="str">
        <f>IF(Tabla1[[#This Row],[TRABAJADOR]]="", "", VLOOKUP(Tabla1[[#This Row],[TRABAJADOR]], 'Colaborador ID'!B:C, 2, FALSE))</f>
        <v>E1797</v>
      </c>
      <c r="C1060" s="56" t="s">
        <v>2035</v>
      </c>
      <c r="D1060" s="57" t="s">
        <v>2036</v>
      </c>
      <c r="E1060" s="64"/>
      <c r="F1060" s="49" t="e" vm="1">
        <v>#VALUE!</v>
      </c>
      <c r="G1060" s="58">
        <v>45923</v>
      </c>
      <c r="H1060" s="57" t="e" vm="2">
        <v>#VALUE!</v>
      </c>
      <c r="I1060" s="57"/>
      <c r="J1060" s="57"/>
      <c r="K1060" s="57"/>
      <c r="L1060" s="4"/>
      <c r="M1060" s="35"/>
    </row>
    <row r="1061" spans="1:13" ht="15.9" customHeight="1" x14ac:dyDescent="0.3">
      <c r="A1061" s="46">
        <v>1058</v>
      </c>
      <c r="B1061" s="57" t="str">
        <f>IF(Tabla1[[#This Row],[TRABAJADOR]]="", "", VLOOKUP(Tabla1[[#This Row],[TRABAJADOR]], 'Colaborador ID'!B:C, 2, FALSE))</f>
        <v>E1910</v>
      </c>
      <c r="C1061" s="56" t="s">
        <v>2037</v>
      </c>
      <c r="D1061" s="57" t="s">
        <v>2038</v>
      </c>
      <c r="E1061" s="64" t="s">
        <v>19</v>
      </c>
      <c r="F1061" s="49" t="e" vm="1">
        <v>#VALUE!</v>
      </c>
      <c r="G1061" s="58">
        <v>45975</v>
      </c>
      <c r="H1061" s="57" t="e" vm="2">
        <v>#VALUE!</v>
      </c>
      <c r="I1061" s="57"/>
      <c r="J1061" s="57"/>
      <c r="K1061" s="57"/>
      <c r="L1061" s="4"/>
      <c r="M1061" s="35"/>
    </row>
    <row r="1062" spans="1:13" ht="15.9" customHeight="1" x14ac:dyDescent="0.3">
      <c r="A1062" s="46">
        <v>1059</v>
      </c>
      <c r="B1062" s="64" t="str">
        <f>IF(Tabla1[[#This Row],[TRABAJADOR]]="", "", VLOOKUP(Tabla1[[#This Row],[TRABAJADOR]], 'Colaborador ID'!B:C, 2, FALSE))</f>
        <v>E0704</v>
      </c>
      <c r="C1062" s="63" t="s">
        <v>2039</v>
      </c>
      <c r="D1062" s="64" t="s">
        <v>2040</v>
      </c>
      <c r="E1062" s="64"/>
      <c r="F1062" s="57" t="e" vm="1">
        <v>#VALUE!</v>
      </c>
      <c r="G1062" s="58"/>
      <c r="H1062" s="57" t="e" vm="2">
        <v>#VALUE!</v>
      </c>
      <c r="I1062" s="64"/>
      <c r="J1062" s="57"/>
      <c r="K1062" s="57"/>
      <c r="L1062" s="4"/>
      <c r="M1062" s="35"/>
    </row>
    <row r="1063" spans="1:13" ht="15.9" customHeight="1" x14ac:dyDescent="0.3">
      <c r="A1063" s="46">
        <v>1060</v>
      </c>
      <c r="B1063" s="57" t="str">
        <f>IF(Tabla1[[#This Row],[TRABAJADOR]]="", "", VLOOKUP(Tabla1[[#This Row],[TRABAJADOR]], 'Colaborador ID'!B:C, 2, FALSE))</f>
        <v>E2117</v>
      </c>
      <c r="C1063" s="56" t="s">
        <v>5395</v>
      </c>
      <c r="D1063" s="57" t="s">
        <v>5481</v>
      </c>
      <c r="E1063" s="64" t="s">
        <v>398</v>
      </c>
      <c r="F1063" s="49" t="e" vm="1">
        <v>#VALUE!</v>
      </c>
      <c r="G1063" s="58">
        <v>46073</v>
      </c>
      <c r="H1063" s="57" t="e" vm="3">
        <v>#VALUE!</v>
      </c>
      <c r="I1063" s="57"/>
      <c r="J1063" s="57"/>
      <c r="K1063" s="57"/>
      <c r="L1063" s="4"/>
      <c r="M1063" s="35"/>
    </row>
    <row r="1064" spans="1:13" ht="15.9" customHeight="1" x14ac:dyDescent="0.35">
      <c r="A1064" s="46">
        <v>1061</v>
      </c>
      <c r="B1064" s="64" t="str">
        <f>IF(Tabla1[[#This Row],[TRABAJADOR]]="", "", VLOOKUP(Tabla1[[#This Row],[TRABAJADOR]], 'Colaborador ID'!B:C, 2, FALSE))</f>
        <v>E1339</v>
      </c>
      <c r="C1064" s="63" t="s">
        <v>2041</v>
      </c>
      <c r="D1064" s="64" t="s">
        <v>2042</v>
      </c>
      <c r="E1064" s="64" t="s">
        <v>35</v>
      </c>
      <c r="F1064" s="42" t="e" vm="1">
        <v>#VALUE!</v>
      </c>
      <c r="G1064" s="58"/>
      <c r="H1064" s="57" t="e" vm="2">
        <v>#VALUE!</v>
      </c>
      <c r="I1064" s="64"/>
      <c r="J1064" s="57"/>
      <c r="K1064" s="57"/>
      <c r="L1064" s="4"/>
      <c r="M1064" s="35"/>
    </row>
    <row r="1065" spans="1:13" ht="15.9" customHeight="1" x14ac:dyDescent="0.35">
      <c r="A1065" s="46">
        <v>1062</v>
      </c>
      <c r="B1065" s="64" t="str">
        <f>IF(Tabla1[[#This Row],[TRABAJADOR]]="", "", VLOOKUP(Tabla1[[#This Row],[TRABAJADOR]], 'Colaborador ID'!B:C, 2, FALSE))</f>
        <v>E1267</v>
      </c>
      <c r="C1065" s="63" t="s">
        <v>2043</v>
      </c>
      <c r="D1065" s="64" t="s">
        <v>2044</v>
      </c>
      <c r="E1065" s="64" t="s">
        <v>16</v>
      </c>
      <c r="F1065" s="42" t="e" vm="1">
        <v>#VALUE!</v>
      </c>
      <c r="G1065" s="58"/>
      <c r="H1065" s="57" t="e" vm="2">
        <v>#VALUE!</v>
      </c>
      <c r="I1065" s="64"/>
      <c r="J1065" s="57"/>
      <c r="K1065" s="57"/>
      <c r="L1065" s="4"/>
      <c r="M1065" s="35"/>
    </row>
    <row r="1066" spans="1:13" ht="15.9" customHeight="1" x14ac:dyDescent="0.3">
      <c r="A1066" s="46">
        <v>1063</v>
      </c>
      <c r="B1066" s="64" t="str">
        <f>IF(Tabla1[[#This Row],[TRABAJADOR]]="", "", VLOOKUP(Tabla1[[#This Row],[TRABAJADOR]], 'Colaborador ID'!B:C, 2, FALSE))</f>
        <v>E2085</v>
      </c>
      <c r="C1066" s="63" t="s">
        <v>2045</v>
      </c>
      <c r="D1066" s="64" t="s">
        <v>2046</v>
      </c>
      <c r="E1066" s="64" t="s">
        <v>16</v>
      </c>
      <c r="F1066" s="49" t="e" vm="1">
        <v>#VALUE!</v>
      </c>
      <c r="G1066" s="58">
        <v>45951</v>
      </c>
      <c r="H1066" s="49" t="e" vm="2">
        <v>#VALUE!</v>
      </c>
      <c r="I1066" s="64"/>
      <c r="J1066" s="57"/>
      <c r="K1066" s="57"/>
      <c r="L1066" s="4"/>
      <c r="M1066" s="35"/>
    </row>
    <row r="1067" spans="1:13" ht="15.9" customHeight="1" x14ac:dyDescent="0.3">
      <c r="A1067" s="46">
        <v>1064</v>
      </c>
      <c r="B1067" s="64" t="str">
        <f>IF(Tabla1[[#This Row],[TRABAJADOR]]="", "", VLOOKUP(Tabla1[[#This Row],[TRABAJADOR]], 'Colaborador ID'!B:C, 2, FALSE))</f>
        <v>E0373</v>
      </c>
      <c r="C1067" s="63" t="s">
        <v>2047</v>
      </c>
      <c r="D1067" s="64" t="s">
        <v>2048</v>
      </c>
      <c r="E1067" s="64" t="s">
        <v>13</v>
      </c>
      <c r="F1067" s="38" t="e" vm="1">
        <v>#VALUE!</v>
      </c>
      <c r="G1067" s="58">
        <v>45735</v>
      </c>
      <c r="H1067" s="40" t="e" vm="2">
        <v>#VALUE!</v>
      </c>
      <c r="I1067" s="64"/>
      <c r="J1067" s="57"/>
      <c r="K1067" s="57"/>
      <c r="L1067" s="4"/>
      <c r="M1067" s="35"/>
    </row>
    <row r="1068" spans="1:13" ht="15.9" customHeight="1" x14ac:dyDescent="0.3">
      <c r="A1068" s="46">
        <v>1065</v>
      </c>
      <c r="B1068" s="64" t="str">
        <f>IF(Tabla1[[#This Row],[TRABAJADOR]]="", "", VLOOKUP(Tabla1[[#This Row],[TRABAJADOR]], 'Colaborador ID'!B:C, 2, FALSE))</f>
        <v>E0569</v>
      </c>
      <c r="C1068" s="63" t="s">
        <v>2049</v>
      </c>
      <c r="D1068" s="64" t="s">
        <v>2050</v>
      </c>
      <c r="E1068" s="64" t="s">
        <v>16</v>
      </c>
      <c r="F1068" s="38" t="e" vm="1">
        <v>#VALUE!</v>
      </c>
      <c r="G1068" s="58">
        <v>45757</v>
      </c>
      <c r="H1068" s="40" t="e" vm="2">
        <v>#VALUE!</v>
      </c>
      <c r="I1068" s="64"/>
      <c r="J1068" s="57"/>
      <c r="K1068" s="57"/>
      <c r="L1068" s="4"/>
      <c r="M1068" s="35"/>
    </row>
    <row r="1069" spans="1:13" ht="15.9" customHeight="1" x14ac:dyDescent="0.3">
      <c r="A1069" s="46">
        <v>1066</v>
      </c>
      <c r="B1069" s="64" t="str">
        <f>IF(Tabla1[[#This Row],[TRABAJADOR]]="", "", VLOOKUP(Tabla1[[#This Row],[TRABAJADOR]], 'Colaborador ID'!B:C, 2, FALSE))</f>
        <v>E1556</v>
      </c>
      <c r="C1069" s="63" t="s">
        <v>2051</v>
      </c>
      <c r="D1069" s="64" t="s">
        <v>2052</v>
      </c>
      <c r="E1069" s="64"/>
      <c r="F1069" s="57" t="e" vm="1">
        <v>#VALUE!</v>
      </c>
      <c r="G1069" s="58"/>
      <c r="H1069" s="57" t="e" vm="2">
        <v>#VALUE!</v>
      </c>
      <c r="I1069" s="64" t="s">
        <v>22</v>
      </c>
      <c r="J1069" s="57" t="s">
        <v>5519</v>
      </c>
      <c r="K1069" s="57"/>
      <c r="L1069" s="4"/>
      <c r="M1069" s="35"/>
    </row>
    <row r="1070" spans="1:13" ht="15.9" customHeight="1" x14ac:dyDescent="0.3">
      <c r="A1070" s="46">
        <v>1067</v>
      </c>
      <c r="B1070" s="64" t="str">
        <f>IF(Tabla1[[#This Row],[TRABAJADOR]]="", "", VLOOKUP(Tabla1[[#This Row],[TRABAJADOR]], 'Colaborador ID'!B:C, 2, FALSE))</f>
        <v>E0217</v>
      </c>
      <c r="C1070" s="63" t="s">
        <v>2053</v>
      </c>
      <c r="D1070" s="64" t="s">
        <v>2054</v>
      </c>
      <c r="E1070" s="64" t="s">
        <v>708</v>
      </c>
      <c r="F1070" s="57" t="e" vm="1">
        <v>#VALUE!</v>
      </c>
      <c r="G1070" s="58"/>
      <c r="H1070" s="57" t="e" vm="2">
        <v>#VALUE!</v>
      </c>
      <c r="I1070" s="64"/>
      <c r="J1070" s="57"/>
      <c r="K1070" s="57"/>
      <c r="L1070" s="4"/>
      <c r="M1070" s="35"/>
    </row>
    <row r="1071" spans="1:13" ht="15.9" customHeight="1" x14ac:dyDescent="0.3">
      <c r="A1071" s="46">
        <v>1068</v>
      </c>
      <c r="B1071" s="64" t="str">
        <f>IF(Tabla1[[#This Row],[TRABAJADOR]]="", "", VLOOKUP(Tabla1[[#This Row],[TRABAJADOR]], 'Colaborador ID'!B:C, 2, FALSE))</f>
        <v>E0121</v>
      </c>
      <c r="C1071" s="63" t="s">
        <v>2055</v>
      </c>
      <c r="D1071" s="64" t="s">
        <v>2056</v>
      </c>
      <c r="E1071" s="64"/>
      <c r="F1071" s="57" t="e" vm="1">
        <v>#VALUE!</v>
      </c>
      <c r="G1071" s="58"/>
      <c r="H1071" s="57" t="e" vm="2">
        <v>#VALUE!</v>
      </c>
      <c r="I1071" s="64"/>
      <c r="J1071" s="57"/>
      <c r="K1071" s="57"/>
      <c r="L1071" s="4"/>
      <c r="M1071" s="35"/>
    </row>
    <row r="1072" spans="1:13" ht="15.9" customHeight="1" x14ac:dyDescent="0.3">
      <c r="A1072" s="46">
        <v>1069</v>
      </c>
      <c r="B1072" s="57" t="str">
        <f>IF(Tabla1[[#This Row],[TRABAJADOR]]="", "", VLOOKUP(Tabla1[[#This Row],[TRABAJADOR]], 'Colaborador ID'!B:C, 2, FALSE))</f>
        <v>E2035</v>
      </c>
      <c r="C1072" s="56" t="s">
        <v>2057</v>
      </c>
      <c r="D1072" s="57" t="s">
        <v>2058</v>
      </c>
      <c r="E1072" s="64" t="s">
        <v>19</v>
      </c>
      <c r="F1072" s="49" t="e" vm="1">
        <v>#VALUE!</v>
      </c>
      <c r="G1072" s="58">
        <v>45993</v>
      </c>
      <c r="H1072" s="57" t="e" vm="2">
        <v>#VALUE!</v>
      </c>
      <c r="I1072" s="57"/>
      <c r="J1072" s="57"/>
      <c r="K1072" s="57"/>
      <c r="L1072" s="4"/>
      <c r="M1072" s="35"/>
    </row>
    <row r="1073" spans="1:13" ht="15.9" customHeight="1" x14ac:dyDescent="0.3">
      <c r="A1073" s="46">
        <v>1070</v>
      </c>
      <c r="B1073" s="64" t="str">
        <f>IF(Tabla1[[#This Row],[TRABAJADOR]]="", "", VLOOKUP(Tabla1[[#This Row],[TRABAJADOR]], 'Colaborador ID'!B:C, 2, FALSE))</f>
        <v>E0505</v>
      </c>
      <c r="C1073" s="63" t="s">
        <v>2059</v>
      </c>
      <c r="D1073" s="64" t="s">
        <v>2060</v>
      </c>
      <c r="E1073" s="64"/>
      <c r="F1073" s="57" t="e" vm="1">
        <v>#VALUE!</v>
      </c>
      <c r="G1073" s="58"/>
      <c r="H1073" s="57" t="e" vm="2">
        <v>#VALUE!</v>
      </c>
      <c r="I1073" s="64"/>
      <c r="J1073" s="57"/>
      <c r="K1073" s="57"/>
      <c r="L1073" s="4"/>
      <c r="M1073" s="35"/>
    </row>
    <row r="1074" spans="1:13" ht="15.9" customHeight="1" x14ac:dyDescent="0.3">
      <c r="A1074" s="46">
        <v>1071</v>
      </c>
      <c r="B1074" s="64" t="str">
        <f>IF(Tabla1[[#This Row],[TRABAJADOR]]="", "", VLOOKUP(Tabla1[[#This Row],[TRABAJADOR]], 'Colaborador ID'!B:C, 2, FALSE))</f>
        <v>E1440</v>
      </c>
      <c r="C1074" s="63" t="s">
        <v>2061</v>
      </c>
      <c r="D1074" s="64" t="s">
        <v>2062</v>
      </c>
      <c r="E1074" s="64" t="s">
        <v>19</v>
      </c>
      <c r="F1074" s="38" t="e" vm="1">
        <v>#VALUE!</v>
      </c>
      <c r="G1074" s="58">
        <v>45937</v>
      </c>
      <c r="H1074" s="49" t="e" vm="2">
        <v>#VALUE!</v>
      </c>
      <c r="I1074" s="64"/>
      <c r="J1074" s="57"/>
      <c r="K1074" s="57"/>
      <c r="L1074" s="4"/>
      <c r="M1074" s="35"/>
    </row>
    <row r="1075" spans="1:13" ht="15.9" customHeight="1" x14ac:dyDescent="0.3">
      <c r="A1075" s="46">
        <v>1072</v>
      </c>
      <c r="B1075" s="57" t="str">
        <f>IF(Tabla1[[#This Row],[TRABAJADOR]]="", "", VLOOKUP(Tabla1[[#This Row],[TRABAJADOR]], 'Colaborador ID'!B:C, 2, FALSE))</f>
        <v>E1917</v>
      </c>
      <c r="C1075" s="56" t="s">
        <v>2063</v>
      </c>
      <c r="D1075" s="57" t="s">
        <v>2064</v>
      </c>
      <c r="E1075" s="64" t="s">
        <v>16</v>
      </c>
      <c r="F1075" s="49" t="e" vm="1">
        <v>#VALUE!</v>
      </c>
      <c r="G1075" s="58">
        <v>45959</v>
      </c>
      <c r="H1075" s="57" t="e" vm="2">
        <v>#VALUE!</v>
      </c>
      <c r="I1075" s="57"/>
      <c r="J1075" s="57"/>
      <c r="K1075" s="57"/>
      <c r="L1075" s="4"/>
      <c r="M1075" s="35"/>
    </row>
    <row r="1076" spans="1:13" ht="15.9" customHeight="1" x14ac:dyDescent="0.3">
      <c r="A1076" s="46">
        <v>1073</v>
      </c>
      <c r="B1076" s="57" t="str">
        <f>IF(Tabla1[[#This Row],[TRABAJADOR]]="", "", VLOOKUP(Tabla1[[#This Row],[TRABAJADOR]], 'Colaborador ID'!B:C, 2, FALSE))</f>
        <v>E1836</v>
      </c>
      <c r="C1076" s="56" t="s">
        <v>2065</v>
      </c>
      <c r="D1076" s="57" t="s">
        <v>2066</v>
      </c>
      <c r="E1076" s="64" t="s">
        <v>16</v>
      </c>
      <c r="F1076" s="49" t="e" vm="1">
        <v>#VALUE!</v>
      </c>
      <c r="G1076" s="58">
        <v>45931</v>
      </c>
      <c r="H1076" s="57" t="e" vm="2">
        <v>#VALUE!</v>
      </c>
      <c r="I1076" s="57"/>
      <c r="J1076" s="57"/>
      <c r="K1076" s="57"/>
      <c r="L1076" s="4"/>
      <c r="M1076" s="35"/>
    </row>
    <row r="1077" spans="1:13" ht="15.9" customHeight="1" x14ac:dyDescent="0.3">
      <c r="A1077" s="46">
        <v>1074</v>
      </c>
      <c r="B1077" s="64" t="str">
        <f>IF(Tabla1[[#This Row],[TRABAJADOR]]="", "", VLOOKUP(Tabla1[[#This Row],[TRABAJADOR]], 'Colaborador ID'!B:C, 2, FALSE))</f>
        <v>E0467</v>
      </c>
      <c r="C1077" s="63" t="s">
        <v>2067</v>
      </c>
      <c r="D1077" s="64" t="s">
        <v>2068</v>
      </c>
      <c r="E1077" s="64" t="s">
        <v>16</v>
      </c>
      <c r="F1077" s="38" t="e" vm="1">
        <v>#VALUE!</v>
      </c>
      <c r="G1077" s="58">
        <v>45769</v>
      </c>
      <c r="H1077" s="57" t="e" vm="2">
        <v>#VALUE!</v>
      </c>
      <c r="I1077" s="64"/>
      <c r="J1077" s="57"/>
      <c r="K1077" s="57"/>
      <c r="L1077" s="4"/>
      <c r="M1077" s="35"/>
    </row>
    <row r="1078" spans="1:13" ht="15.9" customHeight="1" x14ac:dyDescent="0.3">
      <c r="A1078" s="46">
        <v>1075</v>
      </c>
      <c r="B1078" s="57" t="str">
        <f>IF(Tabla1[[#This Row],[TRABAJADOR]]="", "", VLOOKUP(Tabla1[[#This Row],[TRABAJADOR]], 'Colaborador ID'!B:C, 2, FALSE))</f>
        <v>E2016</v>
      </c>
      <c r="C1078" s="56" t="s">
        <v>2069</v>
      </c>
      <c r="D1078" s="57" t="s">
        <v>2070</v>
      </c>
      <c r="E1078" s="64" t="s">
        <v>16</v>
      </c>
      <c r="F1078" s="49" t="e" vm="1">
        <v>#VALUE!</v>
      </c>
      <c r="G1078" s="58">
        <v>45993</v>
      </c>
      <c r="H1078" s="57" t="e" vm="2">
        <v>#VALUE!</v>
      </c>
      <c r="I1078" s="57"/>
      <c r="J1078" s="57"/>
      <c r="K1078" s="57"/>
      <c r="L1078" s="4"/>
      <c r="M1078" s="35"/>
    </row>
    <row r="1079" spans="1:13" ht="15.9" customHeight="1" x14ac:dyDescent="0.3">
      <c r="A1079" s="46">
        <v>1076</v>
      </c>
      <c r="B1079" s="64" t="str">
        <f>IF(Tabla1[[#This Row],[TRABAJADOR]]="", "", VLOOKUP(Tabla1[[#This Row],[TRABAJADOR]], 'Colaborador ID'!B:C, 2, FALSE))</f>
        <v>E0471</v>
      </c>
      <c r="C1079" s="63" t="s">
        <v>2071</v>
      </c>
      <c r="D1079" s="64" t="s">
        <v>2072</v>
      </c>
      <c r="E1079" s="64" t="s">
        <v>33</v>
      </c>
      <c r="F1079" s="38" t="e" vm="1">
        <v>#VALUE!</v>
      </c>
      <c r="G1079" s="58">
        <v>45777</v>
      </c>
      <c r="H1079" s="40" t="e" vm="2">
        <v>#VALUE!</v>
      </c>
      <c r="I1079" s="64"/>
      <c r="J1079" s="57"/>
      <c r="K1079" s="57"/>
      <c r="L1079" s="4"/>
      <c r="M1079" s="35"/>
    </row>
    <row r="1080" spans="1:13" ht="15.9" customHeight="1" x14ac:dyDescent="0.35">
      <c r="A1080" s="46">
        <v>1077</v>
      </c>
      <c r="B1080" s="64" t="str">
        <f>IF(Tabla1[[#This Row],[TRABAJADOR]]="", "", VLOOKUP(Tabla1[[#This Row],[TRABAJADOR]], 'Colaborador ID'!B:C, 2, FALSE))</f>
        <v>E1327</v>
      </c>
      <c r="C1080" s="63" t="s">
        <v>2073</v>
      </c>
      <c r="D1080" s="64" t="s">
        <v>2074</v>
      </c>
      <c r="E1080" s="64" t="s">
        <v>158</v>
      </c>
      <c r="F1080" s="42" t="e" vm="1">
        <v>#VALUE!</v>
      </c>
      <c r="G1080" s="58"/>
      <c r="H1080" s="57" t="e" vm="2">
        <v>#VALUE!</v>
      </c>
      <c r="I1080" s="64"/>
      <c r="J1080" s="57"/>
      <c r="K1080" s="57"/>
      <c r="L1080" s="4"/>
      <c r="M1080" s="35"/>
    </row>
    <row r="1081" spans="1:13" ht="15.9" customHeight="1" x14ac:dyDescent="0.3">
      <c r="A1081" s="46">
        <v>1078</v>
      </c>
      <c r="B1081" s="64" t="str">
        <f>IF(Tabla1[[#This Row],[TRABAJADOR]]="", "", VLOOKUP(Tabla1[[#This Row],[TRABAJADOR]], 'Colaborador ID'!B:C, 2, FALSE))</f>
        <v>E1557</v>
      </c>
      <c r="C1081" s="63" t="s">
        <v>2075</v>
      </c>
      <c r="D1081" s="64" t="s">
        <v>2076</v>
      </c>
      <c r="E1081" s="64"/>
      <c r="F1081" s="57" t="e" vm="1">
        <v>#VALUE!</v>
      </c>
      <c r="G1081" s="58"/>
      <c r="H1081" s="57" t="e" vm="2">
        <v>#VALUE!</v>
      </c>
      <c r="I1081" s="64" t="s">
        <v>22</v>
      </c>
      <c r="J1081" s="57"/>
      <c r="K1081" s="57"/>
      <c r="L1081" s="4"/>
      <c r="M1081" s="35"/>
    </row>
    <row r="1082" spans="1:13" ht="15.9" customHeight="1" x14ac:dyDescent="0.3">
      <c r="A1082" s="46">
        <v>1079</v>
      </c>
      <c r="B1082" s="64" t="str">
        <f>IF(Tabla1[[#This Row],[TRABAJADOR]]="", "", VLOOKUP(Tabla1[[#This Row],[TRABAJADOR]], 'Colaborador ID'!B:C, 2, FALSE))</f>
        <v>E1558</v>
      </c>
      <c r="C1082" s="63" t="s">
        <v>2077</v>
      </c>
      <c r="D1082" s="64" t="s">
        <v>2078</v>
      </c>
      <c r="E1082" s="64"/>
      <c r="F1082" s="49" t="e" vm="1">
        <v>#VALUE!</v>
      </c>
      <c r="G1082" s="58">
        <v>45897</v>
      </c>
      <c r="H1082" s="57" t="e" vm="2">
        <v>#VALUE!</v>
      </c>
      <c r="I1082" s="64" t="s">
        <v>22</v>
      </c>
      <c r="J1082" s="57"/>
      <c r="K1082" s="57"/>
      <c r="L1082" s="4"/>
      <c r="M1082" s="35"/>
    </row>
    <row r="1083" spans="1:13" ht="15.9" customHeight="1" x14ac:dyDescent="0.3">
      <c r="A1083" s="46">
        <v>1080</v>
      </c>
      <c r="B1083" s="64" t="str">
        <f>IF(Tabla1[[#This Row],[TRABAJADOR]]="", "", VLOOKUP(Tabla1[[#This Row],[TRABAJADOR]], 'Colaborador ID'!B:C, 2, FALSE))</f>
        <v>E0366</v>
      </c>
      <c r="C1083" s="63" t="s">
        <v>2079</v>
      </c>
      <c r="D1083" s="64" t="s">
        <v>2080</v>
      </c>
      <c r="E1083" s="64" t="s">
        <v>19</v>
      </c>
      <c r="F1083" s="38" t="e" vm="1">
        <v>#VALUE!</v>
      </c>
      <c r="G1083" s="58">
        <v>45762</v>
      </c>
      <c r="H1083" s="57" t="e" vm="2">
        <v>#VALUE!</v>
      </c>
      <c r="I1083" s="64"/>
      <c r="J1083" s="57"/>
      <c r="K1083" s="57"/>
      <c r="L1083" s="4"/>
      <c r="M1083" s="35"/>
    </row>
    <row r="1084" spans="1:13" ht="15.9" customHeight="1" x14ac:dyDescent="0.3">
      <c r="A1084" s="46">
        <v>1081</v>
      </c>
      <c r="B1084" s="57" t="str">
        <f>IF(Tabla1[[#This Row],[TRABAJADOR]]="", "", VLOOKUP(Tabla1[[#This Row],[TRABAJADOR]], 'Colaborador ID'!B:C, 2, FALSE))</f>
        <v>E1941</v>
      </c>
      <c r="C1084" s="56" t="s">
        <v>2081</v>
      </c>
      <c r="D1084" s="57" t="s">
        <v>2082</v>
      </c>
      <c r="E1084" s="64" t="s">
        <v>19</v>
      </c>
      <c r="F1084" s="49" t="e" vm="1">
        <v>#VALUE!</v>
      </c>
      <c r="G1084" s="58">
        <v>45964</v>
      </c>
      <c r="H1084" s="57" t="e" vm="2">
        <v>#VALUE!</v>
      </c>
      <c r="I1084" s="57" t="s">
        <v>22</v>
      </c>
      <c r="J1084" s="57"/>
      <c r="K1084" s="57"/>
      <c r="L1084" s="4"/>
      <c r="M1084" s="35"/>
    </row>
    <row r="1085" spans="1:13" ht="15.9" customHeight="1" x14ac:dyDescent="0.3">
      <c r="A1085" s="46">
        <v>1082</v>
      </c>
      <c r="B1085" s="64" t="str">
        <f>IF(Tabla1[[#This Row],[TRABAJADOR]]="", "", VLOOKUP(Tabla1[[#This Row],[TRABAJADOR]], 'Colaborador ID'!B:C, 2, FALSE))</f>
        <v>E0521</v>
      </c>
      <c r="C1085" s="63" t="s">
        <v>2083</v>
      </c>
      <c r="D1085" s="64" t="s">
        <v>2084</v>
      </c>
      <c r="E1085" s="64"/>
      <c r="F1085" s="57" t="e" vm="1">
        <v>#VALUE!</v>
      </c>
      <c r="G1085" s="58"/>
      <c r="H1085" s="57" t="e" vm="2">
        <v>#VALUE!</v>
      </c>
      <c r="I1085" s="64" t="s">
        <v>22</v>
      </c>
      <c r="J1085" s="57"/>
      <c r="K1085" s="57"/>
      <c r="L1085" s="4"/>
      <c r="M1085" s="35"/>
    </row>
    <row r="1086" spans="1:13" ht="15.9" customHeight="1" x14ac:dyDescent="0.3">
      <c r="A1086" s="46">
        <v>1083</v>
      </c>
      <c r="B1086" s="64" t="str">
        <f>IF(Tabla1[[#This Row],[TRABAJADOR]]="", "", VLOOKUP(Tabla1[[#This Row],[TRABAJADOR]], 'Colaborador ID'!B:C, 2, FALSE))</f>
        <v>E0246</v>
      </c>
      <c r="C1086" s="63" t="s">
        <v>2085</v>
      </c>
      <c r="D1086" s="64" t="s">
        <v>2086</v>
      </c>
      <c r="E1086" s="64" t="s">
        <v>83</v>
      </c>
      <c r="F1086" s="38" t="e" vm="1">
        <v>#VALUE!</v>
      </c>
      <c r="G1086" s="58">
        <v>45820</v>
      </c>
      <c r="H1086" s="40" t="e" vm="2">
        <v>#VALUE!</v>
      </c>
      <c r="I1086" s="64"/>
      <c r="J1086" s="57"/>
      <c r="K1086" s="57"/>
      <c r="L1086" s="4"/>
      <c r="M1086" s="35"/>
    </row>
    <row r="1087" spans="1:13" ht="15.9" customHeight="1" x14ac:dyDescent="0.35">
      <c r="A1087" s="46">
        <v>1084</v>
      </c>
      <c r="B1087" s="64" t="str">
        <f>IF(Tabla1[[#This Row],[TRABAJADOR]]="", "", VLOOKUP(Tabla1[[#This Row],[TRABAJADOR]], 'Colaborador ID'!B:C, 2, FALSE))</f>
        <v>E0607</v>
      </c>
      <c r="C1087" s="63" t="s">
        <v>2087</v>
      </c>
      <c r="D1087" s="64" t="s">
        <v>2088</v>
      </c>
      <c r="E1087" s="64" t="s">
        <v>19</v>
      </c>
      <c r="F1087" s="42" t="e" vm="1">
        <v>#VALUE!</v>
      </c>
      <c r="G1087" s="58">
        <v>45798</v>
      </c>
      <c r="H1087" s="57" t="e" vm="2">
        <v>#VALUE!</v>
      </c>
      <c r="I1087" s="64"/>
      <c r="J1087" s="57"/>
      <c r="K1087" s="57"/>
      <c r="L1087" s="4"/>
      <c r="M1087" s="35"/>
    </row>
    <row r="1088" spans="1:13" ht="15.9" customHeight="1" x14ac:dyDescent="0.3">
      <c r="A1088" s="46">
        <v>1085</v>
      </c>
      <c r="B1088" s="64" t="str">
        <f>IF(Tabla1[[#This Row],[TRABAJADOR]]="", "", VLOOKUP(Tabla1[[#This Row],[TRABAJADOR]], 'Colaborador ID'!B:C, 2, FALSE))</f>
        <v>E0586</v>
      </c>
      <c r="C1088" s="63" t="s">
        <v>2089</v>
      </c>
      <c r="D1088" s="64" t="s">
        <v>2090</v>
      </c>
      <c r="E1088" s="64" t="s">
        <v>16</v>
      </c>
      <c r="F1088" s="49" t="e" vm="1">
        <v>#VALUE!</v>
      </c>
      <c r="G1088" s="58"/>
      <c r="H1088" s="57" t="e" vm="2">
        <v>#VALUE!</v>
      </c>
      <c r="I1088" s="64"/>
      <c r="J1088" s="57"/>
      <c r="K1088" s="57"/>
      <c r="L1088" s="4"/>
      <c r="M1088" s="35"/>
    </row>
    <row r="1089" spans="1:13" ht="15.9" customHeight="1" x14ac:dyDescent="0.3">
      <c r="A1089" s="46">
        <v>1086</v>
      </c>
      <c r="B1089" s="57" t="str">
        <f>IF(Tabla1[[#This Row],[TRABAJADOR]]="", "", VLOOKUP(Tabla1[[#This Row],[TRABAJADOR]], 'Colaborador ID'!B:C, 2, FALSE))</f>
        <v>E1727</v>
      </c>
      <c r="C1089" s="56" t="s">
        <v>2091</v>
      </c>
      <c r="D1089" s="57" t="s">
        <v>2092</v>
      </c>
      <c r="E1089" s="64" t="s">
        <v>16</v>
      </c>
      <c r="F1089" s="49" t="e" vm="1">
        <v>#VALUE!</v>
      </c>
      <c r="G1089" s="58">
        <v>45894</v>
      </c>
      <c r="H1089" s="57" t="e" vm="2">
        <v>#VALUE!</v>
      </c>
      <c r="I1089" s="57" t="s">
        <v>22</v>
      </c>
      <c r="J1089" s="57"/>
      <c r="K1089" s="57"/>
      <c r="L1089" s="4"/>
      <c r="M1089" s="35"/>
    </row>
    <row r="1090" spans="1:13" ht="15.9" customHeight="1" x14ac:dyDescent="0.35">
      <c r="A1090" s="46">
        <v>1087</v>
      </c>
      <c r="B1090" s="64" t="str">
        <f>IF(Tabla1[[#This Row],[TRABAJADOR]]="", "", VLOOKUP(Tabla1[[#This Row],[TRABAJADOR]], 'Colaborador ID'!B:C, 2, FALSE))</f>
        <v>E1338</v>
      </c>
      <c r="C1090" s="63" t="s">
        <v>2093</v>
      </c>
      <c r="D1090" s="64" t="s">
        <v>2094</v>
      </c>
      <c r="E1090" s="64" t="s">
        <v>104</v>
      </c>
      <c r="F1090" s="42" t="e" vm="1">
        <v>#VALUE!</v>
      </c>
      <c r="G1090" s="58"/>
      <c r="H1090" s="57" t="e" vm="2">
        <v>#VALUE!</v>
      </c>
      <c r="I1090" s="64"/>
      <c r="J1090" s="57"/>
      <c r="K1090" s="57"/>
      <c r="L1090" s="4"/>
      <c r="M1090" s="35"/>
    </row>
    <row r="1091" spans="1:13" ht="15.9" customHeight="1" x14ac:dyDescent="0.35">
      <c r="A1091" s="46">
        <v>1088</v>
      </c>
      <c r="B1091" s="64" t="str">
        <f>IF(Tabla1[[#This Row],[TRABAJADOR]]="", "", VLOOKUP(Tabla1[[#This Row],[TRABAJADOR]], 'Colaborador ID'!B:C, 2, FALSE))</f>
        <v>E1328</v>
      </c>
      <c r="C1091" s="63" t="s">
        <v>2095</v>
      </c>
      <c r="D1091" s="64" t="s">
        <v>2096</v>
      </c>
      <c r="E1091" s="64" t="s">
        <v>83</v>
      </c>
      <c r="F1091" s="42" t="e" vm="1">
        <v>#VALUE!</v>
      </c>
      <c r="G1091" s="58"/>
      <c r="H1091" s="57" t="e" vm="2">
        <v>#VALUE!</v>
      </c>
      <c r="I1091" s="64"/>
      <c r="J1091" s="57"/>
      <c r="K1091" s="57"/>
      <c r="L1091" s="4"/>
      <c r="M1091" s="35"/>
    </row>
    <row r="1092" spans="1:13" ht="15.9" customHeight="1" x14ac:dyDescent="0.3">
      <c r="A1092" s="46">
        <v>1089</v>
      </c>
      <c r="B1092" s="64" t="str">
        <f>IF(Tabla1[[#This Row],[TRABAJADOR]]="", "", VLOOKUP(Tabla1[[#This Row],[TRABAJADOR]], 'Colaborador ID'!B:C, 2, FALSE))</f>
        <v>E1638</v>
      </c>
      <c r="C1092" s="63" t="s">
        <v>2097</v>
      </c>
      <c r="D1092" s="64" t="s">
        <v>2098</v>
      </c>
      <c r="E1092" s="64" t="s">
        <v>83</v>
      </c>
      <c r="F1092" s="49" t="e" vm="1">
        <v>#VALUE!</v>
      </c>
      <c r="G1092" s="58"/>
      <c r="H1092" s="57" t="e" vm="2">
        <v>#VALUE!</v>
      </c>
      <c r="I1092" s="64" t="s">
        <v>22</v>
      </c>
      <c r="J1092" s="57"/>
      <c r="K1092" s="57"/>
      <c r="L1092" s="4"/>
      <c r="M1092" s="35"/>
    </row>
    <row r="1093" spans="1:13" ht="15.9" customHeight="1" x14ac:dyDescent="0.3">
      <c r="A1093" s="46">
        <v>1090</v>
      </c>
      <c r="B1093" s="64" t="str">
        <f>IF(Tabla1[[#This Row],[TRABAJADOR]]="", "", VLOOKUP(Tabla1[[#This Row],[TRABAJADOR]], 'Colaborador ID'!B:C, 2, FALSE))</f>
        <v>E0644</v>
      </c>
      <c r="C1093" s="63" t="s">
        <v>2099</v>
      </c>
      <c r="D1093" s="64" t="s">
        <v>2100</v>
      </c>
      <c r="E1093" s="64"/>
      <c r="F1093" s="57" t="e" vm="1">
        <v>#VALUE!</v>
      </c>
      <c r="G1093" s="58"/>
      <c r="H1093" s="57" t="e" vm="2">
        <v>#VALUE!</v>
      </c>
      <c r="I1093" s="64"/>
      <c r="J1093" s="57"/>
      <c r="K1093" s="57"/>
      <c r="L1093" s="4"/>
      <c r="M1093" s="35"/>
    </row>
    <row r="1094" spans="1:13" ht="15.9" customHeight="1" x14ac:dyDescent="0.3">
      <c r="A1094" s="46">
        <v>1091</v>
      </c>
      <c r="B1094" s="64" t="str">
        <f>IF(Tabla1[[#This Row],[TRABAJADOR]]="", "", VLOOKUP(Tabla1[[#This Row],[TRABAJADOR]], 'Colaborador ID'!B:C, 2, FALSE))</f>
        <v>E0945</v>
      </c>
      <c r="C1094" s="63" t="s">
        <v>2101</v>
      </c>
      <c r="D1094" s="64" t="s">
        <v>2102</v>
      </c>
      <c r="E1094" s="64"/>
      <c r="F1094" s="57" t="e" vm="1">
        <v>#VALUE!</v>
      </c>
      <c r="G1094" s="58"/>
      <c r="H1094" s="57" t="e" vm="2">
        <v>#VALUE!</v>
      </c>
      <c r="I1094" s="64"/>
      <c r="J1094" s="57"/>
      <c r="K1094" s="57"/>
      <c r="L1094" s="4"/>
      <c r="M1094" s="35"/>
    </row>
    <row r="1095" spans="1:13" ht="15.9" customHeight="1" x14ac:dyDescent="0.3">
      <c r="A1095" s="46">
        <v>1092</v>
      </c>
      <c r="B1095" s="64" t="str">
        <f>IF(Tabla1[[#This Row],[TRABAJADOR]]="", "", VLOOKUP(Tabla1[[#This Row],[TRABAJADOR]], 'Colaborador ID'!B:C, 2, FALSE))</f>
        <v>E0575</v>
      </c>
      <c r="C1095" s="63" t="s">
        <v>2103</v>
      </c>
      <c r="D1095" s="64" t="s">
        <v>2104</v>
      </c>
      <c r="E1095" s="64"/>
      <c r="F1095" s="57" t="e" vm="1">
        <v>#VALUE!</v>
      </c>
      <c r="G1095" s="58"/>
      <c r="H1095" s="57" t="e" vm="2">
        <v>#VALUE!</v>
      </c>
      <c r="I1095" s="64"/>
      <c r="J1095" s="57"/>
      <c r="K1095" s="57"/>
      <c r="L1095" s="4"/>
      <c r="M1095" s="35"/>
    </row>
    <row r="1096" spans="1:13" ht="15.9" customHeight="1" x14ac:dyDescent="0.3">
      <c r="A1096" s="46">
        <v>1093</v>
      </c>
      <c r="B1096" s="64" t="str">
        <f>IF(Tabla1[[#This Row],[TRABAJADOR]]="", "", VLOOKUP(Tabla1[[#This Row],[TRABAJADOR]], 'Colaborador ID'!B:C, 2, FALSE))</f>
        <v>E0207</v>
      </c>
      <c r="C1096" s="63" t="s">
        <v>2105</v>
      </c>
      <c r="D1096" s="64" t="s">
        <v>2106</v>
      </c>
      <c r="E1096" s="64"/>
      <c r="F1096" s="57" t="e" vm="1">
        <v>#VALUE!</v>
      </c>
      <c r="G1096" s="58"/>
      <c r="H1096" s="57" t="e" vm="2">
        <v>#VALUE!</v>
      </c>
      <c r="I1096" s="64"/>
      <c r="J1096" s="57"/>
      <c r="K1096" s="57"/>
      <c r="L1096" s="4"/>
      <c r="M1096" s="35"/>
    </row>
    <row r="1097" spans="1:13" ht="15.9" customHeight="1" x14ac:dyDescent="0.3">
      <c r="A1097" s="46">
        <v>1094</v>
      </c>
      <c r="B1097" s="57" t="str">
        <f>IF(Tabla1[[#This Row],[TRABAJADOR]]="", "", VLOOKUP(Tabla1[[#This Row],[TRABAJADOR]], 'Colaborador ID'!B:C, 2, FALSE))</f>
        <v>E1734</v>
      </c>
      <c r="C1097" s="56" t="s">
        <v>2107</v>
      </c>
      <c r="D1097" s="57" t="s">
        <v>2108</v>
      </c>
      <c r="E1097" s="64"/>
      <c r="F1097" s="49" t="e" vm="1">
        <v>#VALUE!</v>
      </c>
      <c r="G1097" s="58">
        <v>45895</v>
      </c>
      <c r="H1097" s="57" t="e" vm="2">
        <v>#VALUE!</v>
      </c>
      <c r="I1097" s="57"/>
      <c r="J1097" s="57"/>
      <c r="K1097" s="57"/>
      <c r="L1097" s="4"/>
      <c r="M1097" s="35"/>
    </row>
    <row r="1098" spans="1:13" ht="15.9" customHeight="1" x14ac:dyDescent="0.3">
      <c r="A1098" s="46">
        <v>1095</v>
      </c>
      <c r="B1098" s="57" t="str">
        <f>IF(Tabla1[[#This Row],[TRABAJADOR]]="", "", VLOOKUP(Tabla1[[#This Row],[TRABAJADOR]], 'Colaborador ID'!B:C, 2, FALSE))</f>
        <v>E1871</v>
      </c>
      <c r="C1098" s="56" t="s">
        <v>2109</v>
      </c>
      <c r="D1098" s="57" t="s">
        <v>2110</v>
      </c>
      <c r="E1098" s="64" t="s">
        <v>1193</v>
      </c>
      <c r="F1098" s="49" t="e" vm="1">
        <v>#VALUE!</v>
      </c>
      <c r="G1098" s="58">
        <v>45996</v>
      </c>
      <c r="H1098" s="49" t="e" vm="2">
        <v>#VALUE!</v>
      </c>
      <c r="I1098" s="57"/>
      <c r="J1098" s="57"/>
      <c r="K1098" s="57"/>
      <c r="L1098" s="4"/>
      <c r="M1098" s="35"/>
    </row>
    <row r="1099" spans="1:13" ht="15.9" customHeight="1" x14ac:dyDescent="0.3">
      <c r="A1099" s="46">
        <v>1096</v>
      </c>
      <c r="B1099" s="64" t="str">
        <f>IF(Tabla1[[#This Row],[TRABAJADOR]]="", "", VLOOKUP(Tabla1[[#This Row],[TRABAJADOR]], 'Colaborador ID'!B:C, 2, FALSE))</f>
        <v>E0147</v>
      </c>
      <c r="C1099" s="63" t="s">
        <v>2111</v>
      </c>
      <c r="D1099" s="64" t="s">
        <v>2112</v>
      </c>
      <c r="E1099" s="64"/>
      <c r="F1099" s="51" t="e" vm="1">
        <v>#VALUE!</v>
      </c>
      <c r="G1099" s="58"/>
      <c r="H1099" s="57" t="e" vm="2">
        <v>#VALUE!</v>
      </c>
      <c r="I1099" s="64"/>
      <c r="J1099" s="57"/>
      <c r="K1099" s="57"/>
      <c r="L1099" s="4"/>
      <c r="M1099" s="35"/>
    </row>
    <row r="1100" spans="1:13" ht="15.9" customHeight="1" x14ac:dyDescent="0.3">
      <c r="A1100" s="46">
        <v>1097</v>
      </c>
      <c r="B1100" s="64" t="str">
        <f>IF(Tabla1[[#This Row],[TRABAJADOR]]="", "", VLOOKUP(Tabla1[[#This Row],[TRABAJADOR]], 'Colaborador ID'!B:C, 2, FALSE))</f>
        <v>E1559</v>
      </c>
      <c r="C1100" s="63" t="s">
        <v>2113</v>
      </c>
      <c r="D1100" s="64" t="s">
        <v>2114</v>
      </c>
      <c r="E1100" s="64"/>
      <c r="F1100" s="49" t="e" vm="1">
        <v>#VALUE!</v>
      </c>
      <c r="G1100" s="58"/>
      <c r="H1100" s="57" t="e" vm="2">
        <v>#VALUE!</v>
      </c>
      <c r="I1100" s="64" t="s">
        <v>22</v>
      </c>
      <c r="J1100" s="57"/>
      <c r="K1100" s="57"/>
      <c r="L1100" s="4"/>
      <c r="M1100" s="35"/>
    </row>
    <row r="1101" spans="1:13" ht="15.9" customHeight="1" x14ac:dyDescent="0.3">
      <c r="A1101" s="46">
        <v>1098</v>
      </c>
      <c r="B1101" s="64" t="str">
        <f>IF(Tabla1[[#This Row],[TRABAJADOR]]="", "", VLOOKUP(Tabla1[[#This Row],[TRABAJADOR]], 'Colaborador ID'!B:C, 2, FALSE))</f>
        <v>E1262</v>
      </c>
      <c r="C1101" s="63" t="s">
        <v>2115</v>
      </c>
      <c r="D1101" s="64" t="s">
        <v>2116</v>
      </c>
      <c r="E1101" s="64" t="s">
        <v>33</v>
      </c>
      <c r="F1101" s="38" t="e" vm="1">
        <v>#VALUE!</v>
      </c>
      <c r="G1101" s="58">
        <v>45761</v>
      </c>
      <c r="H1101" s="57" t="e" vm="2">
        <v>#VALUE!</v>
      </c>
      <c r="I1101" s="64"/>
      <c r="J1101" s="57"/>
      <c r="K1101" s="57"/>
      <c r="L1101" s="4"/>
      <c r="M1101" s="35"/>
    </row>
    <row r="1102" spans="1:13" ht="15.9" customHeight="1" x14ac:dyDescent="0.3">
      <c r="A1102" s="46">
        <v>1099</v>
      </c>
      <c r="B1102" s="64" t="str">
        <f>IF(Tabla1[[#This Row],[TRABAJADOR]]="", "", VLOOKUP(Tabla1[[#This Row],[TRABAJADOR]], 'Colaborador ID'!B:C, 2, FALSE))</f>
        <v>E0003</v>
      </c>
      <c r="C1102" s="63" t="s">
        <v>2117</v>
      </c>
      <c r="D1102" s="64" t="s">
        <v>5325</v>
      </c>
      <c r="E1102" s="64" t="s">
        <v>45</v>
      </c>
      <c r="F1102" s="38" t="e" vm="1">
        <v>#VALUE!</v>
      </c>
      <c r="G1102" s="58">
        <v>46036</v>
      </c>
      <c r="H1102" s="49" t="e" vm="2">
        <v>#VALUE!</v>
      </c>
      <c r="I1102" s="57" t="s">
        <v>22</v>
      </c>
      <c r="J1102" s="57"/>
      <c r="K1102" s="57"/>
      <c r="L1102" s="4"/>
      <c r="M1102" s="35"/>
    </row>
    <row r="1103" spans="1:13" ht="15.9" customHeight="1" x14ac:dyDescent="0.3">
      <c r="A1103" s="46">
        <v>1100</v>
      </c>
      <c r="B1103" s="57" t="str">
        <f>IF(Tabla1[[#This Row],[TRABAJADOR]]="", "", VLOOKUP(Tabla1[[#This Row],[TRABAJADOR]], 'Colaborador ID'!B:C, 2, FALSE))</f>
        <v>E1994</v>
      </c>
      <c r="C1103" s="56" t="s">
        <v>2118</v>
      </c>
      <c r="D1103" s="57" t="s">
        <v>2119</v>
      </c>
      <c r="E1103" s="64" t="s">
        <v>13</v>
      </c>
      <c r="F1103" s="49" t="e" vm="1">
        <v>#VALUE!</v>
      </c>
      <c r="G1103" s="58">
        <v>45957</v>
      </c>
      <c r="H1103" s="57" t="e" vm="2">
        <v>#VALUE!</v>
      </c>
      <c r="I1103" s="57" t="s">
        <v>22</v>
      </c>
      <c r="J1103" s="57"/>
      <c r="K1103" s="57"/>
      <c r="L1103" s="4"/>
      <c r="M1103" s="35"/>
    </row>
    <row r="1104" spans="1:13" ht="15.9" customHeight="1" x14ac:dyDescent="0.3">
      <c r="A1104" s="46">
        <v>1101</v>
      </c>
      <c r="B1104" s="64" t="str">
        <f>IF(Tabla1[[#This Row],[TRABAJADOR]]="", "", VLOOKUP(Tabla1[[#This Row],[TRABAJADOR]], 'Colaborador ID'!B:C, 2, FALSE))</f>
        <v>E1639</v>
      </c>
      <c r="C1104" s="63" t="s">
        <v>2120</v>
      </c>
      <c r="D1104" s="64" t="s">
        <v>2121</v>
      </c>
      <c r="E1104" s="64" t="s">
        <v>19</v>
      </c>
      <c r="F1104" s="38" t="e" vm="1">
        <v>#VALUE!</v>
      </c>
      <c r="G1104" s="58">
        <v>45847</v>
      </c>
      <c r="H1104" s="57" t="e" vm="2">
        <v>#VALUE!</v>
      </c>
      <c r="I1104" s="64"/>
      <c r="J1104" s="57"/>
      <c r="K1104" s="57"/>
      <c r="L1104" s="4"/>
      <c r="M1104" s="35"/>
    </row>
    <row r="1105" spans="1:13" ht="15.9" customHeight="1" x14ac:dyDescent="0.4">
      <c r="A1105" s="46">
        <v>1102</v>
      </c>
      <c r="B1105" s="64" t="str">
        <f>IF(Tabla1[[#This Row],[TRABAJADOR]]="", "", VLOOKUP(Tabla1[[#This Row],[TRABAJADOR]], 'Colaborador ID'!B:C, 2, FALSE))</f>
        <v>E0883</v>
      </c>
      <c r="C1105" s="63" t="s">
        <v>2122</v>
      </c>
      <c r="D1105" s="64" t="s">
        <v>2123</v>
      </c>
      <c r="E1105" s="64" t="s">
        <v>13</v>
      </c>
      <c r="F1105" s="42" t="e" vm="1">
        <v>#VALUE!</v>
      </c>
      <c r="G1105" s="58">
        <v>45726</v>
      </c>
      <c r="H1105" s="39" t="e" vm="2">
        <v>#VALUE!</v>
      </c>
      <c r="I1105" s="64"/>
      <c r="J1105" s="57"/>
      <c r="K1105" s="57"/>
      <c r="L1105" s="4"/>
      <c r="M1105" s="35"/>
    </row>
    <row r="1106" spans="1:13" ht="15.9" customHeight="1" x14ac:dyDescent="0.3">
      <c r="A1106" s="46">
        <v>1103</v>
      </c>
      <c r="B1106" s="64" t="str">
        <f>IF(Tabla1[[#This Row],[TRABAJADOR]]="", "", VLOOKUP(Tabla1[[#This Row],[TRABAJADOR]], 'Colaborador ID'!B:C, 2, FALSE))</f>
        <v>E1230</v>
      </c>
      <c r="C1106" s="63" t="s">
        <v>2124</v>
      </c>
      <c r="D1106" s="64" t="s">
        <v>2125</v>
      </c>
      <c r="E1106" s="64" t="s">
        <v>19</v>
      </c>
      <c r="F1106" s="40" t="e" vm="1">
        <v>#VALUE!</v>
      </c>
      <c r="G1106" s="58"/>
      <c r="H1106" s="57" t="e" vm="2">
        <v>#VALUE!</v>
      </c>
      <c r="I1106" s="64"/>
      <c r="J1106" s="57"/>
      <c r="K1106" s="57"/>
      <c r="L1106" s="4"/>
      <c r="M1106" s="35"/>
    </row>
    <row r="1107" spans="1:13" ht="15.9" customHeight="1" x14ac:dyDescent="0.3">
      <c r="A1107" s="46">
        <v>1104</v>
      </c>
      <c r="B1107" s="64" t="str">
        <f>IF(Tabla1[[#This Row],[TRABAJADOR]]="", "", VLOOKUP(Tabla1[[#This Row],[TRABAJADOR]], 'Colaborador ID'!B:C, 2, FALSE))</f>
        <v>E0640</v>
      </c>
      <c r="C1107" s="63" t="s">
        <v>2126</v>
      </c>
      <c r="D1107" s="64" t="s">
        <v>2127</v>
      </c>
      <c r="E1107" s="64"/>
      <c r="F1107" s="57" t="e" vm="1">
        <v>#VALUE!</v>
      </c>
      <c r="G1107" s="58"/>
      <c r="H1107" s="57" t="e" vm="2">
        <v>#VALUE!</v>
      </c>
      <c r="I1107" s="64"/>
      <c r="J1107" s="57"/>
      <c r="K1107" s="57"/>
      <c r="L1107" s="4"/>
      <c r="M1107" s="35"/>
    </row>
    <row r="1108" spans="1:13" ht="15.9" customHeight="1" x14ac:dyDescent="0.3">
      <c r="A1108" s="46">
        <v>1105</v>
      </c>
      <c r="B1108" s="64" t="str">
        <f>IF(Tabla1[[#This Row],[TRABAJADOR]]="", "", VLOOKUP(Tabla1[[#This Row],[TRABAJADOR]], 'Colaborador ID'!B:C, 2, FALSE))</f>
        <v>E0464</v>
      </c>
      <c r="C1108" s="63" t="s">
        <v>2128</v>
      </c>
      <c r="D1108" s="64" t="s">
        <v>2129</v>
      </c>
      <c r="E1108" s="64" t="s">
        <v>16</v>
      </c>
      <c r="F1108" s="38" t="e" vm="1">
        <v>#VALUE!</v>
      </c>
      <c r="G1108" s="58">
        <v>45741</v>
      </c>
      <c r="H1108" s="57" t="e" vm="2">
        <v>#VALUE!</v>
      </c>
      <c r="I1108" s="64"/>
      <c r="J1108" s="57"/>
      <c r="K1108" s="57"/>
      <c r="L1108" s="4"/>
      <c r="M1108" s="35"/>
    </row>
    <row r="1109" spans="1:13" ht="15.9" customHeight="1" x14ac:dyDescent="0.35">
      <c r="A1109" s="46">
        <v>1106</v>
      </c>
      <c r="B1109" s="64" t="str">
        <f>IF(Tabla1[[#This Row],[TRABAJADOR]]="", "", VLOOKUP(Tabla1[[#This Row],[TRABAJADOR]], 'Colaborador ID'!B:C, 2, FALSE))</f>
        <v>E0780</v>
      </c>
      <c r="C1109" s="63" t="s">
        <v>2130</v>
      </c>
      <c r="D1109" s="64" t="s">
        <v>2131</v>
      </c>
      <c r="E1109" s="64" t="s">
        <v>33</v>
      </c>
      <c r="F1109" s="42" t="e" vm="1">
        <v>#VALUE!</v>
      </c>
      <c r="G1109" s="58"/>
      <c r="H1109" s="57" t="e" vm="2">
        <v>#VALUE!</v>
      </c>
      <c r="I1109" s="64"/>
      <c r="J1109" s="57"/>
      <c r="K1109" s="57"/>
      <c r="L1109" s="4"/>
      <c r="M1109" s="35"/>
    </row>
    <row r="1110" spans="1:13" ht="15.9" customHeight="1" x14ac:dyDescent="0.3">
      <c r="A1110" s="46">
        <v>1107</v>
      </c>
      <c r="B1110" s="57" t="str">
        <f>IF(Tabla1[[#This Row],[TRABAJADOR]]="", "", VLOOKUP(Tabla1[[#This Row],[TRABAJADOR]], 'Colaborador ID'!B:C, 2, FALSE))</f>
        <v>E1849</v>
      </c>
      <c r="C1110" s="56" t="s">
        <v>2132</v>
      </c>
      <c r="D1110" s="57" t="s">
        <v>2133</v>
      </c>
      <c r="E1110" s="64" t="s">
        <v>16</v>
      </c>
      <c r="F1110" s="49" t="e" vm="1">
        <v>#VALUE!</v>
      </c>
      <c r="G1110" s="58">
        <v>45930</v>
      </c>
      <c r="H1110" s="57" t="e" vm="2">
        <v>#VALUE!</v>
      </c>
      <c r="I1110" s="57"/>
      <c r="J1110" s="57"/>
      <c r="K1110" s="57"/>
      <c r="L1110" s="4"/>
      <c r="M1110" s="35"/>
    </row>
    <row r="1111" spans="1:13" ht="15.9" customHeight="1" x14ac:dyDescent="0.3">
      <c r="A1111" s="46">
        <v>1108</v>
      </c>
      <c r="B1111" s="64" t="str">
        <f>IF(Tabla1[[#This Row],[TRABAJADOR]]="", "", VLOOKUP(Tabla1[[#This Row],[TRABAJADOR]], 'Colaborador ID'!B:C, 2, FALSE))</f>
        <v>E0282</v>
      </c>
      <c r="C1111" s="63" t="s">
        <v>2134</v>
      </c>
      <c r="D1111" s="64" t="s">
        <v>2135</v>
      </c>
      <c r="E1111" s="64"/>
      <c r="F1111" s="57" t="e" vm="1">
        <v>#VALUE!</v>
      </c>
      <c r="G1111" s="58"/>
      <c r="H1111" s="57" t="e" vm="2">
        <v>#VALUE!</v>
      </c>
      <c r="I1111" s="64"/>
      <c r="J1111" s="57"/>
      <c r="K1111" s="57"/>
      <c r="L1111" s="4"/>
      <c r="M1111" s="35"/>
    </row>
    <row r="1112" spans="1:13" ht="15.9" customHeight="1" x14ac:dyDescent="0.4">
      <c r="A1112" s="46">
        <v>1109</v>
      </c>
      <c r="B1112" s="64" t="str">
        <f>IF(Tabla1[[#This Row],[TRABAJADOR]]="", "", VLOOKUP(Tabla1[[#This Row],[TRABAJADOR]], 'Colaborador ID'!B:C, 2, FALSE))</f>
        <v>E0485</v>
      </c>
      <c r="C1112" s="63" t="s">
        <v>2136</v>
      </c>
      <c r="D1112" s="64" t="s">
        <v>2137</v>
      </c>
      <c r="E1112" s="64" t="s">
        <v>13</v>
      </c>
      <c r="F1112" s="42" t="e" vm="1">
        <v>#VALUE!</v>
      </c>
      <c r="G1112" s="58"/>
      <c r="H1112" s="39" t="e" vm="2">
        <v>#VALUE!</v>
      </c>
      <c r="I1112" s="64"/>
      <c r="J1112" s="57"/>
      <c r="K1112" s="57"/>
      <c r="L1112" s="4"/>
      <c r="M1112" s="35"/>
    </row>
    <row r="1113" spans="1:13" ht="15.9" customHeight="1" x14ac:dyDescent="0.3">
      <c r="A1113" s="46">
        <v>1110</v>
      </c>
      <c r="B1113" s="64" t="str">
        <f>IF(Tabla1[[#This Row],[TRABAJADOR]]="", "", VLOOKUP(Tabla1[[#This Row],[TRABAJADOR]], 'Colaborador ID'!B:C, 2, FALSE))</f>
        <v>E1560</v>
      </c>
      <c r="C1113" s="63" t="s">
        <v>2138</v>
      </c>
      <c r="D1113" s="64" t="s">
        <v>2139</v>
      </c>
      <c r="E1113" s="64" t="s">
        <v>16</v>
      </c>
      <c r="F1113" s="57" t="e" vm="1">
        <v>#VALUE!</v>
      </c>
      <c r="G1113" s="58"/>
      <c r="H1113" s="57" t="e" vm="2">
        <v>#VALUE!</v>
      </c>
      <c r="I1113" s="64" t="s">
        <v>22</v>
      </c>
      <c r="J1113" s="57"/>
      <c r="K1113" s="57"/>
      <c r="L1113" s="4"/>
      <c r="M1113" s="35"/>
    </row>
    <row r="1114" spans="1:13" ht="15.9" customHeight="1" x14ac:dyDescent="0.3">
      <c r="A1114" s="46">
        <v>1111</v>
      </c>
      <c r="B1114" s="64" t="str">
        <f>IF(Tabla1[[#This Row],[TRABAJADOR]]="", "", VLOOKUP(Tabla1[[#This Row],[TRABAJADOR]], 'Colaborador ID'!B:C, 2, FALSE))</f>
        <v>E0218</v>
      </c>
      <c r="C1114" s="63" t="s">
        <v>2140</v>
      </c>
      <c r="D1114" s="64" t="s">
        <v>2141</v>
      </c>
      <c r="E1114" s="64" t="s">
        <v>16</v>
      </c>
      <c r="F1114" s="38" t="e" vm="1">
        <v>#VALUE!</v>
      </c>
      <c r="G1114" s="58">
        <v>45769</v>
      </c>
      <c r="H1114" s="57" t="e" vm="2">
        <v>#VALUE!</v>
      </c>
      <c r="I1114" s="64"/>
      <c r="J1114" s="57"/>
      <c r="K1114" s="57"/>
      <c r="L1114" s="4"/>
      <c r="M1114" s="35"/>
    </row>
    <row r="1115" spans="1:13" ht="15.9" customHeight="1" x14ac:dyDescent="0.3">
      <c r="A1115" s="46">
        <v>1112</v>
      </c>
      <c r="B1115" s="64" t="str">
        <f>IF(Tabla1[[#This Row],[TRABAJADOR]]="", "", VLOOKUP(Tabla1[[#This Row],[TRABAJADOR]], 'Colaborador ID'!B:C, 2, FALSE))</f>
        <v>E0480</v>
      </c>
      <c r="C1115" s="63" t="s">
        <v>2142</v>
      </c>
      <c r="D1115" s="64" t="s">
        <v>2143</v>
      </c>
      <c r="E1115" s="64"/>
      <c r="F1115" s="57" t="e" vm="1">
        <v>#VALUE!</v>
      </c>
      <c r="G1115" s="58"/>
      <c r="H1115" s="57" t="e" vm="2">
        <v>#VALUE!</v>
      </c>
      <c r="I1115" s="64"/>
      <c r="J1115" s="57"/>
      <c r="K1115" s="57"/>
      <c r="L1115" s="4"/>
      <c r="M1115" s="35"/>
    </row>
    <row r="1116" spans="1:13" ht="15.9" customHeight="1" x14ac:dyDescent="0.3">
      <c r="A1116" s="46">
        <v>1113</v>
      </c>
      <c r="B1116" s="64" t="str">
        <f>IF(Tabla1[[#This Row],[TRABAJADOR]]="", "", VLOOKUP(Tabla1[[#This Row],[TRABAJADOR]], 'Colaborador ID'!B:C, 2, FALSE))</f>
        <v>E1561</v>
      </c>
      <c r="C1116" s="66" t="s">
        <v>2144</v>
      </c>
      <c r="D1116" s="64" t="s">
        <v>2145</v>
      </c>
      <c r="E1116" s="64" t="s">
        <v>13</v>
      </c>
      <c r="F1116" s="49" t="e" vm="1">
        <v>#VALUE!</v>
      </c>
      <c r="G1116" s="58">
        <v>45882</v>
      </c>
      <c r="H1116" s="57" t="e" vm="2">
        <v>#VALUE!</v>
      </c>
      <c r="I1116" s="64"/>
      <c r="J1116" s="57"/>
      <c r="K1116" s="57"/>
      <c r="L1116" s="4"/>
      <c r="M1116" s="35"/>
    </row>
    <row r="1117" spans="1:13" ht="15.9" customHeight="1" x14ac:dyDescent="0.35">
      <c r="A1117" s="46">
        <v>1114</v>
      </c>
      <c r="B1117" s="64" t="str">
        <f>IF(Tabla1[[#This Row],[TRABAJADOR]]="", "", VLOOKUP(Tabla1[[#This Row],[TRABAJADOR]], 'Colaborador ID'!B:C, 2, FALSE))</f>
        <v>E0479</v>
      </c>
      <c r="C1117" s="63" t="s">
        <v>2146</v>
      </c>
      <c r="D1117" s="64" t="s">
        <v>2147</v>
      </c>
      <c r="E1117" s="64" t="s">
        <v>16</v>
      </c>
      <c r="F1117" s="42" t="e" vm="1">
        <v>#VALUE!</v>
      </c>
      <c r="G1117" s="58">
        <v>45723</v>
      </c>
      <c r="H1117" s="57" t="e" vm="2">
        <v>#VALUE!</v>
      </c>
      <c r="I1117" s="64"/>
      <c r="J1117" s="57"/>
      <c r="K1117" s="57"/>
      <c r="L1117" s="4"/>
      <c r="M1117" s="35"/>
    </row>
    <row r="1118" spans="1:13" ht="15.9" customHeight="1" x14ac:dyDescent="0.3">
      <c r="A1118" s="46">
        <v>1115</v>
      </c>
      <c r="B1118" s="64" t="str">
        <f>IF(Tabla1[[#This Row],[TRABAJADOR]]="", "", VLOOKUP(Tabla1[[#This Row],[TRABAJADOR]], 'Colaborador ID'!B:C, 2, FALSE))</f>
        <v>E0566</v>
      </c>
      <c r="C1118" s="63" t="s">
        <v>2148</v>
      </c>
      <c r="D1118" s="64" t="s">
        <v>2149</v>
      </c>
      <c r="E1118" s="64" t="s">
        <v>33</v>
      </c>
      <c r="F1118" s="38" t="e" vm="1">
        <v>#VALUE!</v>
      </c>
      <c r="G1118" s="58">
        <v>45783</v>
      </c>
      <c r="H1118" s="57" t="e" vm="2">
        <v>#VALUE!</v>
      </c>
      <c r="I1118" s="64"/>
      <c r="J1118" s="57"/>
      <c r="K1118" s="57"/>
      <c r="L1118" s="4"/>
      <c r="M1118" s="35"/>
    </row>
    <row r="1119" spans="1:13" ht="15.9" customHeight="1" x14ac:dyDescent="0.3">
      <c r="A1119" s="46">
        <v>1116</v>
      </c>
      <c r="B1119" s="64" t="str">
        <f>IF(Tabla1[[#This Row],[TRABAJADOR]]="", "", VLOOKUP(Tabla1[[#This Row],[TRABAJADOR]], 'Colaborador ID'!B:C, 2, FALSE))</f>
        <v>E0792</v>
      </c>
      <c r="C1119" s="63" t="s">
        <v>2150</v>
      </c>
      <c r="D1119" s="64" t="s">
        <v>2151</v>
      </c>
      <c r="E1119" s="64" t="s">
        <v>16</v>
      </c>
      <c r="F1119" s="38" t="e" vm="1">
        <v>#VALUE!</v>
      </c>
      <c r="G1119" s="58">
        <v>45741</v>
      </c>
      <c r="H1119" s="57" t="e" vm="2">
        <v>#VALUE!</v>
      </c>
      <c r="I1119" s="64"/>
      <c r="J1119" s="57"/>
      <c r="K1119" s="57"/>
      <c r="L1119" s="4"/>
      <c r="M1119" s="35"/>
    </row>
    <row r="1120" spans="1:13" ht="15.9" customHeight="1" x14ac:dyDescent="0.3">
      <c r="A1120" s="46">
        <v>1117</v>
      </c>
      <c r="B1120" s="64" t="str">
        <f>IF(Tabla1[[#This Row],[TRABAJADOR]]="", "", VLOOKUP(Tabla1[[#This Row],[TRABAJADOR]], 'Colaborador ID'!B:C, 2, FALSE))</f>
        <v>E0734</v>
      </c>
      <c r="C1120" s="63" t="s">
        <v>2152</v>
      </c>
      <c r="D1120" s="64" t="s">
        <v>2153</v>
      </c>
      <c r="E1120" s="64"/>
      <c r="F1120" s="57" t="e" vm="1">
        <v>#VALUE!</v>
      </c>
      <c r="G1120" s="58"/>
      <c r="H1120" s="57" t="e" vm="2">
        <v>#VALUE!</v>
      </c>
      <c r="I1120" s="64"/>
      <c r="J1120" s="57"/>
      <c r="K1120" s="57"/>
      <c r="L1120" s="4"/>
      <c r="M1120" s="35"/>
    </row>
    <row r="1121" spans="1:13" ht="15.9" customHeight="1" x14ac:dyDescent="0.3">
      <c r="A1121" s="46">
        <v>1118</v>
      </c>
      <c r="B1121" s="64" t="str">
        <f>IF(Tabla1[[#This Row],[TRABAJADOR]]="", "", VLOOKUP(Tabla1[[#This Row],[TRABAJADOR]], 'Colaborador ID'!B:C, 2, FALSE))</f>
        <v>E0019</v>
      </c>
      <c r="C1121" s="63" t="s">
        <v>2154</v>
      </c>
      <c r="D1121" s="64" t="s">
        <v>2155</v>
      </c>
      <c r="E1121" s="64"/>
      <c r="F1121" s="57" t="e" vm="1">
        <v>#VALUE!</v>
      </c>
      <c r="G1121" s="58"/>
      <c r="H1121" s="57" t="e" vm="2">
        <v>#VALUE!</v>
      </c>
      <c r="I1121" s="64"/>
      <c r="J1121" s="57"/>
      <c r="K1121" s="57"/>
      <c r="L1121" s="4"/>
      <c r="M1121" s="35"/>
    </row>
    <row r="1122" spans="1:13" ht="15.9" customHeight="1" x14ac:dyDescent="0.3">
      <c r="A1122" s="46">
        <v>1119</v>
      </c>
      <c r="B1122" s="57" t="str">
        <f>IF(Tabla1[[#This Row],[TRABAJADOR]]="", "", VLOOKUP(Tabla1[[#This Row],[TRABAJADOR]], 'Colaborador ID'!B:C, 2, FALSE))</f>
        <v>E1752</v>
      </c>
      <c r="C1122" s="56" t="s">
        <v>2156</v>
      </c>
      <c r="D1122" s="57" t="s">
        <v>2157</v>
      </c>
      <c r="E1122" s="64" t="s">
        <v>19</v>
      </c>
      <c r="F1122" s="49" t="e" vm="1">
        <v>#VALUE!</v>
      </c>
      <c r="G1122" s="58">
        <v>45931</v>
      </c>
      <c r="H1122" s="49" t="e" vm="2">
        <v>#VALUE!</v>
      </c>
      <c r="I1122" s="57" t="s">
        <v>22</v>
      </c>
      <c r="J1122" s="57"/>
      <c r="K1122" s="57"/>
      <c r="L1122" s="4"/>
      <c r="M1122" s="35"/>
    </row>
    <row r="1123" spans="1:13" ht="15.9" customHeight="1" x14ac:dyDescent="0.3">
      <c r="A1123" s="46">
        <v>1120</v>
      </c>
      <c r="B1123" s="64" t="str">
        <f>IF(Tabla1[[#This Row],[TRABAJADOR]]="", "", VLOOKUP(Tabla1[[#This Row],[TRABAJADOR]], 'Colaborador ID'!B:C, 2, FALSE))</f>
        <v>E0392</v>
      </c>
      <c r="C1123" s="63" t="s">
        <v>2158</v>
      </c>
      <c r="D1123" s="64" t="s">
        <v>2159</v>
      </c>
      <c r="E1123" s="64"/>
      <c r="F1123" s="57" t="e" vm="1">
        <v>#VALUE!</v>
      </c>
      <c r="G1123" s="58"/>
      <c r="H1123" s="57" t="e" vm="2">
        <v>#VALUE!</v>
      </c>
      <c r="I1123" s="64"/>
      <c r="J1123" s="57"/>
      <c r="K1123" s="57"/>
      <c r="L1123" s="4"/>
      <c r="M1123" s="35"/>
    </row>
    <row r="1124" spans="1:13" ht="15.9" customHeight="1" x14ac:dyDescent="0.3">
      <c r="A1124" s="46">
        <v>1121</v>
      </c>
      <c r="B1124" s="64" t="str">
        <f>IF(Tabla1[[#This Row],[TRABAJADOR]]="", "", VLOOKUP(Tabla1[[#This Row],[TRABAJADOR]], 'Colaborador ID'!B:C, 2, FALSE))</f>
        <v>E0372</v>
      </c>
      <c r="C1124" s="63" t="s">
        <v>2160</v>
      </c>
      <c r="D1124" s="64" t="s">
        <v>2161</v>
      </c>
      <c r="E1124" s="64"/>
      <c r="F1124" s="57" t="e" vm="1">
        <v>#VALUE!</v>
      </c>
      <c r="G1124" s="58"/>
      <c r="H1124" s="57" t="e" vm="2">
        <v>#VALUE!</v>
      </c>
      <c r="I1124" s="64"/>
      <c r="J1124" s="57"/>
      <c r="K1124" s="57"/>
      <c r="L1124" s="4"/>
      <c r="M1124" s="35"/>
    </row>
    <row r="1125" spans="1:13" ht="15.9" customHeight="1" x14ac:dyDescent="0.3">
      <c r="A1125" s="46">
        <v>1122</v>
      </c>
      <c r="B1125" s="64" t="str">
        <f>IF(Tabla1[[#This Row],[TRABAJADOR]]="", "", VLOOKUP(Tabla1[[#This Row],[TRABAJADOR]], 'Colaborador ID'!B:C, 2, FALSE))</f>
        <v>E0126</v>
      </c>
      <c r="C1125" s="63" t="s">
        <v>2162</v>
      </c>
      <c r="D1125" s="64" t="s">
        <v>2163</v>
      </c>
      <c r="E1125" s="64"/>
      <c r="F1125" s="49" t="e" vm="1">
        <v>#VALUE!</v>
      </c>
      <c r="G1125" s="58"/>
      <c r="H1125" s="57" t="e" vm="2">
        <v>#VALUE!</v>
      </c>
      <c r="I1125" s="64"/>
      <c r="J1125" s="57"/>
      <c r="K1125" s="57"/>
      <c r="L1125" s="4"/>
      <c r="M1125" s="35"/>
    </row>
    <row r="1126" spans="1:13" ht="15.9" customHeight="1" x14ac:dyDescent="0.3">
      <c r="A1126" s="46">
        <v>1123</v>
      </c>
      <c r="B1126" s="64" t="str">
        <f>IF(Tabla1[[#This Row],[TRABAJADOR]]="", "", VLOOKUP(Tabla1[[#This Row],[TRABAJADOR]], 'Colaborador ID'!B:C, 2, FALSE))</f>
        <v>E0204</v>
      </c>
      <c r="C1126" s="63" t="s">
        <v>2164</v>
      </c>
      <c r="D1126" s="64" t="s">
        <v>2165</v>
      </c>
      <c r="E1126" s="64" t="s">
        <v>13</v>
      </c>
      <c r="F1126" s="57" t="e" vm="1">
        <v>#VALUE!</v>
      </c>
      <c r="G1126" s="58"/>
      <c r="H1126" s="57" t="e" vm="2">
        <v>#VALUE!</v>
      </c>
      <c r="I1126" s="64" t="s">
        <v>22</v>
      </c>
      <c r="J1126" s="57"/>
      <c r="K1126" s="57"/>
      <c r="L1126" s="4"/>
      <c r="M1126" s="35"/>
    </row>
    <row r="1127" spans="1:13" ht="15.9" customHeight="1" x14ac:dyDescent="0.3">
      <c r="A1127" s="46">
        <v>1124</v>
      </c>
      <c r="B1127" s="57" t="str">
        <f>IF(Tabla1[[#This Row],[TRABAJADOR]]="", "", VLOOKUP(Tabla1[[#This Row],[TRABAJADOR]], 'Colaborador ID'!B:C, 2, FALSE))</f>
        <v>E1828</v>
      </c>
      <c r="C1127" s="56" t="s">
        <v>2166</v>
      </c>
      <c r="D1127" s="57" t="s">
        <v>2167</v>
      </c>
      <c r="E1127" s="64" t="s">
        <v>16</v>
      </c>
      <c r="F1127" s="49" t="e" vm="1">
        <v>#VALUE!</v>
      </c>
      <c r="G1127" s="58">
        <v>45940</v>
      </c>
      <c r="H1127" s="57" t="e" vm="2">
        <v>#VALUE!</v>
      </c>
      <c r="I1127" s="57" t="s">
        <v>22</v>
      </c>
      <c r="J1127" s="57"/>
      <c r="K1127" s="57"/>
      <c r="L1127" s="4"/>
      <c r="M1127" s="35"/>
    </row>
    <row r="1128" spans="1:13" ht="15.9" customHeight="1" x14ac:dyDescent="0.3">
      <c r="A1128" s="46">
        <v>1125</v>
      </c>
      <c r="B1128" s="57" t="str">
        <f>IF(Tabla1[[#This Row],[TRABAJADOR]]="", "", VLOOKUP(Tabla1[[#This Row],[TRABAJADOR]], 'Colaborador ID'!B:C, 2, FALSE))</f>
        <v>E2053</v>
      </c>
      <c r="C1128" s="56" t="s">
        <v>2168</v>
      </c>
      <c r="D1128" s="57" t="s">
        <v>2169</v>
      </c>
      <c r="E1128" s="64" t="s">
        <v>16</v>
      </c>
      <c r="F1128" s="49" t="e" vm="1">
        <v>#VALUE!</v>
      </c>
      <c r="G1128" s="58">
        <v>45993</v>
      </c>
      <c r="H1128" s="57" t="e" vm="2">
        <v>#VALUE!</v>
      </c>
      <c r="I1128" s="57"/>
      <c r="J1128" s="57"/>
      <c r="K1128" s="57"/>
      <c r="L1128" s="4"/>
      <c r="M1128" s="35"/>
    </row>
    <row r="1129" spans="1:13" ht="15.9" customHeight="1" x14ac:dyDescent="0.35">
      <c r="A1129" s="46">
        <v>1126</v>
      </c>
      <c r="B1129" s="64" t="str">
        <f>IF(Tabla1[[#This Row],[TRABAJADOR]]="", "", VLOOKUP(Tabla1[[#This Row],[TRABAJADOR]], 'Colaborador ID'!B:C, 2, FALSE))</f>
        <v>E0072</v>
      </c>
      <c r="C1129" s="63" t="s">
        <v>2170</v>
      </c>
      <c r="D1129" s="64" t="s">
        <v>2171</v>
      </c>
      <c r="E1129" s="64" t="s">
        <v>33</v>
      </c>
      <c r="F1129" s="42" t="e" vm="1">
        <v>#VALUE!</v>
      </c>
      <c r="G1129" s="58"/>
      <c r="H1129" s="57" t="e" vm="2">
        <v>#VALUE!</v>
      </c>
      <c r="I1129" s="64"/>
      <c r="J1129" s="57"/>
      <c r="K1129" s="57"/>
      <c r="L1129" s="4"/>
      <c r="M1129" s="35"/>
    </row>
    <row r="1130" spans="1:13" ht="15.9" customHeight="1" x14ac:dyDescent="0.3">
      <c r="A1130" s="46">
        <v>1127</v>
      </c>
      <c r="B1130" s="64" t="str">
        <f>IF(Tabla1[[#This Row],[TRABAJADOR]]="", "", VLOOKUP(Tabla1[[#This Row],[TRABAJADOR]], 'Colaborador ID'!B:C, 2, FALSE))</f>
        <v>E0652</v>
      </c>
      <c r="C1130" s="63" t="s">
        <v>2172</v>
      </c>
      <c r="D1130" s="64" t="s">
        <v>2173</v>
      </c>
      <c r="E1130" s="64"/>
      <c r="F1130" s="57" t="e" vm="1">
        <v>#VALUE!</v>
      </c>
      <c r="G1130" s="58"/>
      <c r="H1130" s="57" t="e" vm="2">
        <v>#VALUE!</v>
      </c>
      <c r="I1130" s="64"/>
      <c r="J1130" s="57"/>
      <c r="K1130" s="57"/>
      <c r="L1130" s="4"/>
      <c r="M1130" s="35"/>
    </row>
    <row r="1131" spans="1:13" ht="15.9" customHeight="1" x14ac:dyDescent="0.3">
      <c r="A1131" s="46">
        <v>1128</v>
      </c>
      <c r="B1131" s="64" t="str">
        <f>IF(Tabla1[[#This Row],[TRABAJADOR]]="", "", VLOOKUP(Tabla1[[#This Row],[TRABAJADOR]], 'Colaborador ID'!B:C, 2, FALSE))</f>
        <v>E1441</v>
      </c>
      <c r="C1131" s="63" t="s">
        <v>2174</v>
      </c>
      <c r="D1131" s="64" t="s">
        <v>2175</v>
      </c>
      <c r="E1131" s="64" t="s">
        <v>40</v>
      </c>
      <c r="F1131" s="38" t="e" vm="1">
        <v>#VALUE!</v>
      </c>
      <c r="G1131" s="58">
        <v>45936</v>
      </c>
      <c r="H1131" s="49" t="e" vm="2">
        <v>#VALUE!</v>
      </c>
      <c r="I1131" s="64"/>
      <c r="J1131" s="57"/>
      <c r="K1131" s="57"/>
      <c r="L1131" s="4"/>
      <c r="M1131" s="35"/>
    </row>
    <row r="1132" spans="1:13" ht="15.9" customHeight="1" x14ac:dyDescent="0.35">
      <c r="A1132" s="46">
        <v>1129</v>
      </c>
      <c r="B1132" s="64" t="str">
        <f>IF(Tabla1[[#This Row],[TRABAJADOR]]="", "", VLOOKUP(Tabla1[[#This Row],[TRABAJADOR]], 'Colaborador ID'!B:C, 2, FALSE))</f>
        <v>E1321</v>
      </c>
      <c r="C1132" s="63" t="s">
        <v>2176</v>
      </c>
      <c r="D1132" s="64" t="s">
        <v>2177</v>
      </c>
      <c r="E1132" s="64" t="s">
        <v>271</v>
      </c>
      <c r="F1132" s="42" t="e" vm="1">
        <v>#VALUE!</v>
      </c>
      <c r="G1132" s="58"/>
      <c r="H1132" s="57" t="e" vm="2">
        <v>#VALUE!</v>
      </c>
      <c r="I1132" s="64"/>
      <c r="J1132" s="57"/>
      <c r="K1132" s="57"/>
      <c r="L1132" s="4"/>
      <c r="M1132" s="35"/>
    </row>
    <row r="1133" spans="1:13" ht="15.9" customHeight="1" x14ac:dyDescent="0.3">
      <c r="A1133" s="46">
        <v>1130</v>
      </c>
      <c r="B1133" s="57" t="str">
        <f>IF(Tabla1[[#This Row],[TRABAJADOR]]="", "", VLOOKUP(Tabla1[[#This Row],[TRABAJADOR]], 'Colaborador ID'!B:C, 2, FALSE))</f>
        <v>E2088</v>
      </c>
      <c r="C1133" s="56" t="s">
        <v>5322</v>
      </c>
      <c r="D1133" s="57" t="s">
        <v>5418</v>
      </c>
      <c r="E1133" s="64" t="s">
        <v>19</v>
      </c>
      <c r="F1133" s="75" t="e" vm="1">
        <v>#VALUE!</v>
      </c>
      <c r="G1133" s="58">
        <v>46063</v>
      </c>
      <c r="H1133" s="57" t="e" vm="2">
        <v>#VALUE!</v>
      </c>
      <c r="I1133" s="57"/>
      <c r="J1133" s="57"/>
      <c r="K1133" s="57"/>
      <c r="L1133" s="4"/>
      <c r="M1133" s="35"/>
    </row>
    <row r="1134" spans="1:13" ht="15.9" customHeight="1" x14ac:dyDescent="0.4">
      <c r="A1134" s="46">
        <v>1131</v>
      </c>
      <c r="B1134" s="64" t="str">
        <f>IF(Tabla1[[#This Row],[TRABAJADOR]]="", "", VLOOKUP(Tabla1[[#This Row],[TRABAJADOR]], 'Colaborador ID'!B:C, 2, FALSE))</f>
        <v>E0603</v>
      </c>
      <c r="C1134" s="63" t="s">
        <v>2178</v>
      </c>
      <c r="D1134" s="64" t="s">
        <v>2179</v>
      </c>
      <c r="E1134" s="64" t="s">
        <v>2180</v>
      </c>
      <c r="F1134" s="38" t="e" vm="1">
        <v>#VALUE!</v>
      </c>
      <c r="G1134" s="58">
        <v>45722</v>
      </c>
      <c r="H1134" s="39" t="e" vm="2">
        <v>#VALUE!</v>
      </c>
      <c r="I1134" s="64"/>
      <c r="J1134" s="57"/>
      <c r="K1134" s="57"/>
      <c r="L1134" s="4"/>
      <c r="M1134" s="35"/>
    </row>
    <row r="1135" spans="1:13" ht="15.9" customHeight="1" x14ac:dyDescent="0.3">
      <c r="A1135" s="46">
        <v>1132</v>
      </c>
      <c r="B1135" s="64" t="str">
        <f>IF(Tabla1[[#This Row],[TRABAJADOR]]="", "", VLOOKUP(Tabla1[[#This Row],[TRABAJADOR]], 'Colaborador ID'!B:C, 2, FALSE))</f>
        <v>E0423</v>
      </c>
      <c r="C1135" s="63" t="s">
        <v>2181</v>
      </c>
      <c r="D1135" s="64" t="s">
        <v>5414</v>
      </c>
      <c r="E1135" s="64" t="s">
        <v>271</v>
      </c>
      <c r="F1135" s="49" t="e" vm="1">
        <v>#VALUE!</v>
      </c>
      <c r="G1135" s="58">
        <v>46059</v>
      </c>
      <c r="H1135" s="49" t="e" vm="2">
        <v>#VALUE!</v>
      </c>
      <c r="I1135" s="64"/>
      <c r="J1135" s="57"/>
      <c r="K1135" s="57"/>
      <c r="L1135" s="4"/>
      <c r="M1135" s="35"/>
    </row>
    <row r="1136" spans="1:13" ht="15.9" customHeight="1" x14ac:dyDescent="0.3">
      <c r="A1136" s="46">
        <v>1133</v>
      </c>
      <c r="B1136" s="64" t="str">
        <f>IF(Tabla1[[#This Row],[TRABAJADOR]]="", "", VLOOKUP(Tabla1[[#This Row],[TRABAJADOR]], 'Colaborador ID'!B:C, 2, FALSE))</f>
        <v>E0458</v>
      </c>
      <c r="C1136" s="63" t="s">
        <v>2182</v>
      </c>
      <c r="D1136" s="64" t="s">
        <v>2183</v>
      </c>
      <c r="E1136" s="64"/>
      <c r="F1136" s="57" t="e" vm="1">
        <v>#VALUE!</v>
      </c>
      <c r="G1136" s="58"/>
      <c r="H1136" s="57" t="e" vm="2">
        <v>#VALUE!</v>
      </c>
      <c r="I1136" s="64"/>
      <c r="J1136" s="57"/>
      <c r="K1136" s="57"/>
      <c r="L1136" s="4"/>
      <c r="M1136" s="35"/>
    </row>
    <row r="1137" spans="1:13" ht="15.9" customHeight="1" x14ac:dyDescent="0.3">
      <c r="A1137" s="46">
        <v>1134</v>
      </c>
      <c r="B1137" s="57" t="str">
        <f>IF(Tabla1[[#This Row],[TRABAJADOR]]="", "", VLOOKUP(Tabla1[[#This Row],[TRABAJADOR]], 'Colaborador ID'!B:C, 2, FALSE))</f>
        <v>E1720</v>
      </c>
      <c r="C1137" s="56" t="s">
        <v>2184</v>
      </c>
      <c r="D1137" s="57" t="s">
        <v>2185</v>
      </c>
      <c r="E1137" s="64" t="s">
        <v>19</v>
      </c>
      <c r="F1137" s="49" t="e" vm="1">
        <v>#VALUE!</v>
      </c>
      <c r="G1137" s="58">
        <v>45965</v>
      </c>
      <c r="H1137" s="49" t="e" vm="2">
        <v>#VALUE!</v>
      </c>
      <c r="I1137" s="57"/>
      <c r="J1137" s="57"/>
      <c r="K1137" s="57"/>
      <c r="L1137" s="4"/>
      <c r="M1137" s="35"/>
    </row>
    <row r="1138" spans="1:13" ht="15.9" customHeight="1" x14ac:dyDescent="0.3">
      <c r="A1138" s="46">
        <v>1135</v>
      </c>
      <c r="B1138" s="64" t="str">
        <f>IF(Tabla1[[#This Row],[TRABAJADOR]]="", "", VLOOKUP(Tabla1[[#This Row],[TRABAJADOR]], 'Colaborador ID'!B:C, 2, FALSE))</f>
        <v>E0149</v>
      </c>
      <c r="C1138" s="63" t="s">
        <v>2186</v>
      </c>
      <c r="D1138" s="64" t="s">
        <v>2187</v>
      </c>
      <c r="E1138" s="64" t="s">
        <v>19</v>
      </c>
      <c r="F1138" s="38" t="e" vm="1">
        <v>#VALUE!</v>
      </c>
      <c r="G1138" s="58">
        <v>45762</v>
      </c>
      <c r="H1138" s="57" t="e" vm="2">
        <v>#VALUE!</v>
      </c>
      <c r="I1138" s="64"/>
      <c r="J1138" s="57"/>
      <c r="K1138" s="57"/>
      <c r="L1138" s="4"/>
      <c r="M1138" s="35"/>
    </row>
    <row r="1139" spans="1:13" ht="15.9" customHeight="1" x14ac:dyDescent="0.3">
      <c r="A1139" s="46">
        <v>1136</v>
      </c>
      <c r="B1139" s="64" t="str">
        <f>IF(Tabla1[[#This Row],[TRABAJADOR]]="", "", VLOOKUP(Tabla1[[#This Row],[TRABAJADOR]], 'Colaborador ID'!B:C, 2, FALSE))</f>
        <v>E1442</v>
      </c>
      <c r="C1139" s="63" t="s">
        <v>2188</v>
      </c>
      <c r="D1139" s="64" t="s">
        <v>2189</v>
      </c>
      <c r="E1139" s="64" t="s">
        <v>13</v>
      </c>
      <c r="F1139" s="38" t="e" vm="1">
        <v>#VALUE!</v>
      </c>
      <c r="G1139" s="58">
        <v>45847</v>
      </c>
      <c r="H1139" s="57" t="e" vm="2">
        <v>#VALUE!</v>
      </c>
      <c r="I1139" s="64"/>
      <c r="J1139" s="57"/>
      <c r="K1139" s="57"/>
      <c r="L1139" s="4"/>
      <c r="M1139" s="35"/>
    </row>
    <row r="1140" spans="1:13" ht="15.9" customHeight="1" x14ac:dyDescent="0.3">
      <c r="A1140" s="46">
        <v>1137</v>
      </c>
      <c r="B1140" s="57" t="str">
        <f>IF(Tabla1[[#This Row],[TRABAJADOR]]="", "", VLOOKUP(Tabla1[[#This Row],[TRABAJADOR]], 'Colaborador ID'!B:C, 2, FALSE))</f>
        <v>E1780</v>
      </c>
      <c r="C1140" s="56" t="s">
        <v>2190</v>
      </c>
      <c r="D1140" s="57" t="s">
        <v>2191</v>
      </c>
      <c r="E1140" s="64" t="s">
        <v>16</v>
      </c>
      <c r="F1140" s="49" t="e" vm="1">
        <v>#VALUE!</v>
      </c>
      <c r="G1140" s="58">
        <v>45933</v>
      </c>
      <c r="H1140" s="57" t="e" vm="2">
        <v>#VALUE!</v>
      </c>
      <c r="I1140" s="57"/>
      <c r="J1140" s="57"/>
      <c r="K1140" s="57"/>
      <c r="L1140" s="4"/>
      <c r="M1140" s="35"/>
    </row>
    <row r="1141" spans="1:13" ht="15.9" customHeight="1" x14ac:dyDescent="0.3">
      <c r="A1141" s="46">
        <v>1138</v>
      </c>
      <c r="B1141" s="64" t="str">
        <f>IF(Tabla1[[#This Row],[TRABAJADOR]]="", "", VLOOKUP(Tabla1[[#This Row],[TRABAJADOR]], 'Colaborador ID'!B:C, 2, FALSE))</f>
        <v>E1562</v>
      </c>
      <c r="C1141" s="63" t="s">
        <v>2192</v>
      </c>
      <c r="D1141" s="64" t="s">
        <v>2193</v>
      </c>
      <c r="E1141" s="64"/>
      <c r="F1141" s="57" t="e" vm="1">
        <v>#VALUE!</v>
      </c>
      <c r="G1141" s="58"/>
      <c r="H1141" s="57" t="e" vm="2">
        <v>#VALUE!</v>
      </c>
      <c r="I1141" s="64" t="s">
        <v>22</v>
      </c>
      <c r="J1141" s="57"/>
      <c r="K1141" s="57"/>
      <c r="L1141" s="4"/>
      <c r="M1141" s="35"/>
    </row>
    <row r="1142" spans="1:13" ht="15.9" customHeight="1" x14ac:dyDescent="0.35">
      <c r="A1142" s="46">
        <v>1139</v>
      </c>
      <c r="B1142" s="64" t="str">
        <f>IF(Tabla1[[#This Row],[TRABAJADOR]]="", "", VLOOKUP(Tabla1[[#This Row],[TRABAJADOR]], 'Colaborador ID'!B:C, 2, FALSE))</f>
        <v>E0515</v>
      </c>
      <c r="C1142" s="63" t="s">
        <v>2194</v>
      </c>
      <c r="D1142" s="64" t="s">
        <v>2195</v>
      </c>
      <c r="E1142" s="64" t="s">
        <v>16</v>
      </c>
      <c r="F1142" s="42" t="e" vm="1">
        <v>#VALUE!</v>
      </c>
      <c r="G1142" s="58"/>
      <c r="H1142" s="57" t="e" vm="2">
        <v>#VALUE!</v>
      </c>
      <c r="I1142" s="64"/>
      <c r="J1142" s="57"/>
      <c r="K1142" s="57"/>
      <c r="L1142" s="4"/>
      <c r="M1142" s="35"/>
    </row>
    <row r="1143" spans="1:13" ht="15.9" customHeight="1" x14ac:dyDescent="0.3">
      <c r="A1143" s="46">
        <v>1140</v>
      </c>
      <c r="B1143" s="64" t="str">
        <f>IF(Tabla1[[#This Row],[TRABAJADOR]]="", "", VLOOKUP(Tabla1[[#This Row],[TRABAJADOR]], 'Colaborador ID'!B:C, 2, FALSE))</f>
        <v>E1672</v>
      </c>
      <c r="C1143" s="66" t="s">
        <v>2196</v>
      </c>
      <c r="D1143" s="64" t="s">
        <v>2197</v>
      </c>
      <c r="E1143" s="64" t="s">
        <v>19</v>
      </c>
      <c r="F1143" s="49" t="e" vm="1">
        <v>#VALUE!</v>
      </c>
      <c r="G1143" s="58">
        <v>45880</v>
      </c>
      <c r="H1143" s="57" t="e" vm="2">
        <v>#VALUE!</v>
      </c>
      <c r="I1143" s="64"/>
      <c r="J1143" s="57"/>
      <c r="K1143" s="57"/>
      <c r="L1143" s="4"/>
      <c r="M1143" s="35"/>
    </row>
    <row r="1144" spans="1:13" ht="15.9" customHeight="1" x14ac:dyDescent="0.3">
      <c r="A1144" s="46">
        <v>1141</v>
      </c>
      <c r="B1144" s="64" t="str">
        <f>IF(Tabla1[[#This Row],[TRABAJADOR]]="", "", VLOOKUP(Tabla1[[#This Row],[TRABAJADOR]], 'Colaborador ID'!B:C, 2, FALSE))</f>
        <v>E0635</v>
      </c>
      <c r="C1144" s="63" t="s">
        <v>2198</v>
      </c>
      <c r="D1144" s="64" t="s">
        <v>2199</v>
      </c>
      <c r="E1144" s="64" t="s">
        <v>16</v>
      </c>
      <c r="F1144" s="38" t="e" vm="1">
        <v>#VALUE!</v>
      </c>
      <c r="G1144" s="58">
        <v>45932</v>
      </c>
      <c r="H1144" s="40" t="e" vm="2">
        <v>#VALUE!</v>
      </c>
      <c r="I1144" s="64" t="s">
        <v>22</v>
      </c>
      <c r="J1144" s="57"/>
      <c r="K1144" s="57"/>
      <c r="L1144" s="4"/>
      <c r="M1144" s="35"/>
    </row>
    <row r="1145" spans="1:13" ht="15.9" customHeight="1" x14ac:dyDescent="0.3">
      <c r="A1145" s="46">
        <v>1142</v>
      </c>
      <c r="B1145" s="57" t="str">
        <f>IF(Tabla1[[#This Row],[TRABAJADOR]]="", "", VLOOKUP(Tabla1[[#This Row],[TRABAJADOR]], 'Colaborador ID'!B:C, 2, FALSE))</f>
        <v>E1802</v>
      </c>
      <c r="C1145" s="56" t="s">
        <v>2200</v>
      </c>
      <c r="D1145" s="57" t="s">
        <v>2201</v>
      </c>
      <c r="E1145" s="64" t="s">
        <v>16</v>
      </c>
      <c r="F1145" s="49" t="e" vm="1">
        <v>#VALUE!</v>
      </c>
      <c r="G1145" s="58">
        <v>45930</v>
      </c>
      <c r="H1145" s="57" t="e" vm="2">
        <v>#VALUE!</v>
      </c>
      <c r="I1145" s="57"/>
      <c r="J1145" s="57"/>
      <c r="K1145" s="57"/>
      <c r="L1145" s="4"/>
      <c r="M1145" s="35"/>
    </row>
    <row r="1146" spans="1:13" ht="15.9" customHeight="1" x14ac:dyDescent="0.3">
      <c r="A1146" s="46">
        <v>1143</v>
      </c>
      <c r="B1146" s="64" t="str">
        <f>IF(Tabla1[[#This Row],[TRABAJADOR]]="", "", VLOOKUP(Tabla1[[#This Row],[TRABAJADOR]], 'Colaborador ID'!B:C, 2, FALSE))</f>
        <v>E1227</v>
      </c>
      <c r="C1146" s="63" t="s">
        <v>2202</v>
      </c>
      <c r="D1146" s="64" t="s">
        <v>2203</v>
      </c>
      <c r="E1146" s="64"/>
      <c r="F1146" s="57" t="e" vm="1">
        <v>#VALUE!</v>
      </c>
      <c r="G1146" s="58"/>
      <c r="H1146" s="57" t="e" vm="2">
        <v>#VALUE!</v>
      </c>
      <c r="I1146" s="64"/>
      <c r="J1146" s="57"/>
      <c r="K1146" s="57"/>
      <c r="L1146" s="4"/>
      <c r="M1146" s="35"/>
    </row>
    <row r="1147" spans="1:13" ht="15.9" customHeight="1" x14ac:dyDescent="0.3">
      <c r="A1147" s="46">
        <v>1144</v>
      </c>
      <c r="B1147" s="57" t="str">
        <f>IF(Tabla1[[#This Row],[TRABAJADOR]]="", "", VLOOKUP(Tabla1[[#This Row],[TRABAJADOR]], 'Colaborador ID'!B:C, 2, FALSE))</f>
        <v>E1751</v>
      </c>
      <c r="C1147" s="56" t="s">
        <v>2204</v>
      </c>
      <c r="D1147" s="57" t="s">
        <v>2205</v>
      </c>
      <c r="E1147" s="64"/>
      <c r="F1147" s="49" t="e" vm="1">
        <v>#VALUE!</v>
      </c>
      <c r="G1147" s="58">
        <v>45903</v>
      </c>
      <c r="H1147" s="57" t="e" vm="2">
        <v>#VALUE!</v>
      </c>
      <c r="I1147" s="57"/>
      <c r="J1147" s="57"/>
      <c r="K1147" s="57"/>
      <c r="L1147" s="4"/>
      <c r="M1147" s="35"/>
    </row>
    <row r="1148" spans="1:13" ht="15.9" customHeight="1" x14ac:dyDescent="0.3">
      <c r="A1148" s="46">
        <v>1145</v>
      </c>
      <c r="B1148" s="64" t="str">
        <f>IF(Tabla1[[#This Row],[TRABAJADOR]]="", "", VLOOKUP(Tabla1[[#This Row],[TRABAJADOR]], 'Colaborador ID'!B:C, 2, FALSE))</f>
        <v>E0273</v>
      </c>
      <c r="C1148" s="63" t="s">
        <v>2206</v>
      </c>
      <c r="D1148" s="64" t="s">
        <v>2207</v>
      </c>
      <c r="E1148" s="64"/>
      <c r="F1148" s="57" t="e" vm="1">
        <v>#VALUE!</v>
      </c>
      <c r="G1148" s="58"/>
      <c r="H1148" s="57" t="e" vm="2">
        <v>#VALUE!</v>
      </c>
      <c r="I1148" s="64"/>
      <c r="J1148" s="57"/>
      <c r="K1148" s="57"/>
      <c r="L1148" s="4"/>
      <c r="M1148" s="35"/>
    </row>
    <row r="1149" spans="1:13" ht="15.9" customHeight="1" x14ac:dyDescent="0.3">
      <c r="A1149" s="46">
        <v>1146</v>
      </c>
      <c r="B1149" s="64" t="str">
        <f>IF(Tabla1[[#This Row],[TRABAJADOR]]="", "", VLOOKUP(Tabla1[[#This Row],[TRABAJADOR]], 'Colaborador ID'!B:C, 2, FALSE))</f>
        <v>E0526</v>
      </c>
      <c r="C1149" s="63" t="s">
        <v>2208</v>
      </c>
      <c r="D1149" s="64" t="s">
        <v>2209</v>
      </c>
      <c r="E1149" s="64" t="s">
        <v>13</v>
      </c>
      <c r="F1149" s="38" t="e" vm="1">
        <v>#VALUE!</v>
      </c>
      <c r="G1149" s="58">
        <v>45812</v>
      </c>
      <c r="H1149" s="57" t="e" vm="2">
        <v>#VALUE!</v>
      </c>
      <c r="I1149" s="64"/>
      <c r="J1149" s="57"/>
      <c r="K1149" s="57"/>
      <c r="L1149" s="4"/>
      <c r="M1149" s="35"/>
    </row>
    <row r="1150" spans="1:13" ht="15.9" customHeight="1" x14ac:dyDescent="0.3">
      <c r="A1150" s="46">
        <v>1147</v>
      </c>
      <c r="B1150" s="57" t="str">
        <f>IF(Tabla1[[#This Row],[TRABAJADOR]]="", "", VLOOKUP(Tabla1[[#This Row],[TRABAJADOR]], 'Colaborador ID'!B:C, 2, FALSE))</f>
        <v>E1714</v>
      </c>
      <c r="C1150" s="56" t="s">
        <v>2210</v>
      </c>
      <c r="D1150" s="57" t="s">
        <v>2211</v>
      </c>
      <c r="E1150" s="64" t="s">
        <v>13</v>
      </c>
      <c r="F1150" s="49" t="e" vm="1">
        <v>#VALUE!</v>
      </c>
      <c r="G1150" s="58">
        <v>45897</v>
      </c>
      <c r="H1150" s="57" t="e" vm="2">
        <v>#VALUE!</v>
      </c>
      <c r="I1150" s="57"/>
      <c r="J1150" s="57"/>
      <c r="K1150" s="57"/>
      <c r="L1150" s="4"/>
      <c r="M1150" s="35"/>
    </row>
    <row r="1151" spans="1:13" ht="15.9" customHeight="1" x14ac:dyDescent="0.3">
      <c r="A1151" s="46">
        <v>1148</v>
      </c>
      <c r="B1151" s="57" t="str">
        <f>IF(Tabla1[[#This Row],[TRABAJADOR]]="", "", VLOOKUP(Tabla1[[#This Row],[TRABAJADOR]], 'Colaborador ID'!B:C, 2, FALSE))</f>
        <v>E2009</v>
      </c>
      <c r="C1151" s="56" t="s">
        <v>2212</v>
      </c>
      <c r="D1151" s="57" t="s">
        <v>2213</v>
      </c>
      <c r="E1151" s="64" t="s">
        <v>271</v>
      </c>
      <c r="F1151" s="49" t="e" vm="1">
        <v>#VALUE!</v>
      </c>
      <c r="G1151" s="58">
        <v>45986</v>
      </c>
      <c r="H1151" s="57" t="e" vm="2">
        <v>#VALUE!</v>
      </c>
      <c r="I1151" s="57"/>
      <c r="J1151" s="57"/>
      <c r="K1151" s="57"/>
      <c r="L1151" s="4"/>
      <c r="M1151" s="35"/>
    </row>
    <row r="1152" spans="1:13" ht="15.9" customHeight="1" x14ac:dyDescent="0.3">
      <c r="A1152" s="46">
        <v>1149</v>
      </c>
      <c r="B1152" s="64" t="str">
        <f>IF(Tabla1[[#This Row],[TRABAJADOR]]="", "", VLOOKUP(Tabla1[[#This Row],[TRABAJADOR]], 'Colaborador ID'!B:C, 2, FALSE))</f>
        <v>E0595</v>
      </c>
      <c r="C1152" s="63" t="s">
        <v>2214</v>
      </c>
      <c r="D1152" s="64" t="s">
        <v>2215</v>
      </c>
      <c r="E1152" s="64"/>
      <c r="F1152" s="57" t="e" vm="1">
        <v>#VALUE!</v>
      </c>
      <c r="G1152" s="58"/>
      <c r="H1152" s="57" t="e" vm="2">
        <v>#VALUE!</v>
      </c>
      <c r="I1152" s="64"/>
      <c r="J1152" s="57"/>
      <c r="K1152" s="57"/>
      <c r="L1152" s="4"/>
      <c r="M1152" s="35"/>
    </row>
    <row r="1153" spans="1:13" ht="15.9" customHeight="1" x14ac:dyDescent="0.3">
      <c r="A1153" s="46">
        <v>1150</v>
      </c>
      <c r="B1153" s="64" t="str">
        <f>IF(Tabla1[[#This Row],[TRABAJADOR]]="", "", VLOOKUP(Tabla1[[#This Row],[TRABAJADOR]], 'Colaborador ID'!B:C, 2, FALSE))</f>
        <v>E1263</v>
      </c>
      <c r="C1153" s="63" t="s">
        <v>2216</v>
      </c>
      <c r="D1153" s="64" t="s">
        <v>2217</v>
      </c>
      <c r="E1153" s="64" t="s">
        <v>33</v>
      </c>
      <c r="F1153" s="38" t="e" vm="1">
        <v>#VALUE!</v>
      </c>
      <c r="G1153" s="58">
        <v>45761</v>
      </c>
      <c r="H1153" s="57" t="e" vm="2">
        <v>#VALUE!</v>
      </c>
      <c r="I1153" s="64"/>
      <c r="J1153" s="57"/>
      <c r="K1153" s="57"/>
      <c r="L1153" s="4"/>
      <c r="M1153" s="35"/>
    </row>
    <row r="1154" spans="1:13" ht="15.9" customHeight="1" x14ac:dyDescent="0.3">
      <c r="A1154" s="46">
        <v>1151</v>
      </c>
      <c r="B1154" s="64" t="str">
        <f>IF(Tabla1[[#This Row],[TRABAJADOR]]="", "", VLOOKUP(Tabla1[[#This Row],[TRABAJADOR]], 'Colaborador ID'!B:C, 2, FALSE))</f>
        <v>E0788</v>
      </c>
      <c r="C1154" s="63" t="s">
        <v>2218</v>
      </c>
      <c r="D1154" s="64" t="s">
        <v>2219</v>
      </c>
      <c r="E1154" s="64"/>
      <c r="F1154" s="57" t="e" vm="1">
        <v>#VALUE!</v>
      </c>
      <c r="G1154" s="58"/>
      <c r="H1154" s="57" t="e" vm="2">
        <v>#VALUE!</v>
      </c>
      <c r="I1154" s="64"/>
      <c r="J1154" s="57"/>
      <c r="K1154" s="57"/>
      <c r="L1154" s="4"/>
      <c r="M1154" s="35"/>
    </row>
    <row r="1155" spans="1:13" ht="15.9" customHeight="1" x14ac:dyDescent="0.3">
      <c r="A1155" s="46">
        <v>1152</v>
      </c>
      <c r="B1155" s="57" t="str">
        <f>IF(Tabla1[[#This Row],[TRABAJADOR]]="", "", VLOOKUP(Tabla1[[#This Row],[TRABAJADOR]], 'Colaborador ID'!B:C, 2, FALSE))</f>
        <v>E2007</v>
      </c>
      <c r="C1155" s="56" t="s">
        <v>2220</v>
      </c>
      <c r="D1155" s="57" t="s">
        <v>2221</v>
      </c>
      <c r="E1155" s="64" t="s">
        <v>13</v>
      </c>
      <c r="F1155" s="49" t="e" vm="1">
        <v>#VALUE!</v>
      </c>
      <c r="G1155" s="58">
        <v>45993</v>
      </c>
      <c r="H1155" s="57" t="e" vm="2">
        <v>#VALUE!</v>
      </c>
      <c r="I1155" s="57"/>
      <c r="J1155" s="57"/>
      <c r="K1155" s="57"/>
      <c r="L1155" s="4"/>
      <c r="M1155" s="35"/>
    </row>
    <row r="1156" spans="1:13" ht="15.9" customHeight="1" x14ac:dyDescent="0.3">
      <c r="A1156" s="46">
        <v>1153</v>
      </c>
      <c r="B1156" s="57" t="str">
        <f>IF(Tabla1[[#This Row],[TRABAJADOR]]="", "", VLOOKUP(Tabla1[[#This Row],[TRABAJADOR]], 'Colaborador ID'!B:C, 2, FALSE))</f>
        <v>E2143</v>
      </c>
      <c r="C1156" s="56" t="s">
        <v>5452</v>
      </c>
      <c r="D1156" s="57" t="s">
        <v>5492</v>
      </c>
      <c r="E1156" s="57" t="s">
        <v>19</v>
      </c>
      <c r="F1156" s="49" t="e" vm="1">
        <v>#VALUE!</v>
      </c>
      <c r="G1156" s="58">
        <v>46073</v>
      </c>
      <c r="H1156" s="57" t="e" vm="3">
        <v>#VALUE!</v>
      </c>
      <c r="I1156" s="57"/>
      <c r="J1156" s="57"/>
      <c r="K1156" s="57"/>
      <c r="L1156" s="4"/>
      <c r="M1156" s="35"/>
    </row>
    <row r="1157" spans="1:13" ht="15.9" customHeight="1" x14ac:dyDescent="0.3">
      <c r="A1157" s="46">
        <v>1154</v>
      </c>
      <c r="B1157" s="64" t="e">
        <f>IF(Tabla1[[#This Row],[TRABAJADOR]]="", "", VLOOKUP(Tabla1[[#This Row],[TRABAJADOR]], 'Colaborador ID'!B:C, 2, FALSE))</f>
        <v>#N/A</v>
      </c>
      <c r="C1157" s="63" t="s">
        <v>2222</v>
      </c>
      <c r="D1157" s="64" t="s">
        <v>2223</v>
      </c>
      <c r="E1157" s="64" t="s">
        <v>16</v>
      </c>
      <c r="F1157" s="38" t="e" vm="1">
        <v>#VALUE!</v>
      </c>
      <c r="G1157" s="58">
        <v>45733</v>
      </c>
      <c r="H1157" s="40" t="e" vm="2">
        <v>#VALUE!</v>
      </c>
      <c r="I1157" s="64"/>
      <c r="J1157" s="57"/>
      <c r="K1157" s="57"/>
      <c r="L1157" s="4"/>
      <c r="M1157" s="35"/>
    </row>
    <row r="1158" spans="1:13" ht="15.9" customHeight="1" x14ac:dyDescent="0.3">
      <c r="A1158" s="46">
        <v>1155</v>
      </c>
      <c r="B1158" s="64" t="str">
        <f>IF(Tabla1[[#This Row],[TRABAJADOR]]="", "", VLOOKUP(Tabla1[[#This Row],[TRABAJADOR]], 'Colaborador ID'!B:C, 2, FALSE))</f>
        <v>E0596</v>
      </c>
      <c r="C1158" s="63" t="s">
        <v>2224</v>
      </c>
      <c r="D1158" s="64" t="s">
        <v>2225</v>
      </c>
      <c r="E1158" s="64" t="s">
        <v>33</v>
      </c>
      <c r="F1158" s="38" t="e" vm="1">
        <v>#VALUE!</v>
      </c>
      <c r="G1158" s="58">
        <v>45763</v>
      </c>
      <c r="H1158" s="57" t="e" vm="2">
        <v>#VALUE!</v>
      </c>
      <c r="I1158" s="64"/>
      <c r="J1158" s="57"/>
      <c r="K1158" s="57"/>
      <c r="L1158" s="4"/>
      <c r="M1158" s="35"/>
    </row>
    <row r="1159" spans="1:13" ht="15.9" customHeight="1" x14ac:dyDescent="0.3">
      <c r="A1159" s="46">
        <v>1156</v>
      </c>
      <c r="B1159" s="64" t="str">
        <f>IF(Tabla1[[#This Row],[TRABAJADOR]]="", "", VLOOKUP(Tabla1[[#This Row],[TRABAJADOR]], 'Colaborador ID'!B:C, 2, FALSE))</f>
        <v>E1077</v>
      </c>
      <c r="C1159" s="63" t="s">
        <v>2226</v>
      </c>
      <c r="D1159" s="64" t="s">
        <v>2227</v>
      </c>
      <c r="E1159" s="64" t="s">
        <v>16</v>
      </c>
      <c r="F1159" s="38" t="e" vm="1">
        <v>#VALUE!</v>
      </c>
      <c r="G1159" s="58">
        <v>45786</v>
      </c>
      <c r="H1159" s="57" t="e" vm="2">
        <v>#VALUE!</v>
      </c>
      <c r="I1159" s="64"/>
      <c r="J1159" s="57"/>
      <c r="K1159" s="57"/>
      <c r="L1159" s="4"/>
      <c r="M1159" s="35"/>
    </row>
    <row r="1160" spans="1:13" ht="15.9" customHeight="1" x14ac:dyDescent="0.3">
      <c r="A1160" s="46">
        <v>1157</v>
      </c>
      <c r="B1160" s="64" t="str">
        <f>IF(Tabla1[[#This Row],[TRABAJADOR]]="", "", VLOOKUP(Tabla1[[#This Row],[TRABAJADOR]], 'Colaborador ID'!B:C, 2, FALSE))</f>
        <v>E1281</v>
      </c>
      <c r="C1160" s="63" t="s">
        <v>2228</v>
      </c>
      <c r="D1160" s="64" t="s">
        <v>2229</v>
      </c>
      <c r="E1160" s="64"/>
      <c r="F1160" s="57" t="e" vm="1">
        <v>#VALUE!</v>
      </c>
      <c r="G1160" s="58"/>
      <c r="H1160" s="57" t="e" vm="2">
        <v>#VALUE!</v>
      </c>
      <c r="I1160" s="64"/>
      <c r="J1160" s="57"/>
      <c r="K1160" s="57"/>
      <c r="L1160" s="4"/>
      <c r="M1160" s="35"/>
    </row>
    <row r="1161" spans="1:13" ht="15.9" customHeight="1" x14ac:dyDescent="0.3">
      <c r="A1161" s="46">
        <v>1158</v>
      </c>
      <c r="B1161" s="64" t="str">
        <f>IF(Tabla1[[#This Row],[TRABAJADOR]]="", "", VLOOKUP(Tabla1[[#This Row],[TRABAJADOR]], 'Colaborador ID'!B:C, 2, FALSE))</f>
        <v>E1563</v>
      </c>
      <c r="C1161" s="63" t="s">
        <v>2230</v>
      </c>
      <c r="D1161" s="64" t="s">
        <v>2231</v>
      </c>
      <c r="E1161" s="64" t="s">
        <v>16</v>
      </c>
      <c r="F1161" s="49" t="e" vm="1">
        <v>#VALUE!</v>
      </c>
      <c r="G1161" s="58"/>
      <c r="H1161" s="57" t="e" vm="2">
        <v>#VALUE!</v>
      </c>
      <c r="I1161" s="64" t="s">
        <v>22</v>
      </c>
      <c r="J1161" s="57"/>
      <c r="K1161" s="57"/>
      <c r="L1161" s="4"/>
      <c r="M1161" s="35"/>
    </row>
    <row r="1162" spans="1:13" ht="15.9" customHeight="1" x14ac:dyDescent="0.3">
      <c r="A1162" s="46">
        <v>1159</v>
      </c>
      <c r="B1162" s="64" t="str">
        <f>IF(Tabla1[[#This Row],[TRABAJADOR]]="", "", VLOOKUP(Tabla1[[#This Row],[TRABAJADOR]], 'Colaborador ID'!B:C, 2, FALSE))</f>
        <v>E0349</v>
      </c>
      <c r="C1162" s="63" t="s">
        <v>2232</v>
      </c>
      <c r="D1162" s="64" t="s">
        <v>2233</v>
      </c>
      <c r="E1162" s="64"/>
      <c r="F1162" s="57" t="e" vm="1">
        <v>#VALUE!</v>
      </c>
      <c r="G1162" s="58"/>
      <c r="H1162" s="57" t="e" vm="2">
        <v>#VALUE!</v>
      </c>
      <c r="I1162" s="64"/>
      <c r="J1162" s="57"/>
      <c r="K1162" s="57"/>
      <c r="L1162" s="4"/>
      <c r="M1162" s="35"/>
    </row>
    <row r="1163" spans="1:13" ht="15.9" customHeight="1" x14ac:dyDescent="0.3">
      <c r="A1163" s="46">
        <v>1160</v>
      </c>
      <c r="B1163" s="57" t="str">
        <f>IF(Tabla1[[#This Row],[TRABAJADOR]]="", "", VLOOKUP(Tabla1[[#This Row],[TRABAJADOR]], 'Colaborador ID'!B:C, 2, FALSE))</f>
        <v>E1940</v>
      </c>
      <c r="C1163" s="56" t="s">
        <v>2234</v>
      </c>
      <c r="D1163" s="57" t="s">
        <v>2235</v>
      </c>
      <c r="E1163" s="64" t="s">
        <v>16</v>
      </c>
      <c r="F1163" s="49" t="e" vm="1">
        <v>#VALUE!</v>
      </c>
      <c r="G1163" s="58">
        <v>45958</v>
      </c>
      <c r="H1163" s="57" t="e" vm="2">
        <v>#VALUE!</v>
      </c>
      <c r="I1163" s="57"/>
      <c r="J1163" s="57"/>
      <c r="K1163" s="57"/>
      <c r="L1163" s="4"/>
      <c r="M1163" s="35"/>
    </row>
    <row r="1164" spans="1:13" ht="15.9" customHeight="1" x14ac:dyDescent="0.3">
      <c r="A1164" s="46">
        <v>1161</v>
      </c>
      <c r="B1164" s="64" t="str">
        <f>IF(Tabla1[[#This Row],[TRABAJADOR]]="", "", VLOOKUP(Tabla1[[#This Row],[TRABAJADOR]], 'Colaborador ID'!B:C, 2, FALSE))</f>
        <v>E1564</v>
      </c>
      <c r="C1164" s="63" t="s">
        <v>2236</v>
      </c>
      <c r="D1164" s="64" t="s">
        <v>2237</v>
      </c>
      <c r="E1164" s="64" t="s">
        <v>16</v>
      </c>
      <c r="F1164" s="57" t="e" vm="1">
        <v>#VALUE!</v>
      </c>
      <c r="G1164" s="58"/>
      <c r="H1164" s="57" t="e" vm="2">
        <v>#VALUE!</v>
      </c>
      <c r="I1164" s="64" t="s">
        <v>22</v>
      </c>
      <c r="J1164" s="57"/>
      <c r="K1164" s="57"/>
      <c r="L1164" s="4"/>
      <c r="M1164" s="35"/>
    </row>
    <row r="1165" spans="1:13" ht="15.9" customHeight="1" x14ac:dyDescent="0.35">
      <c r="A1165" s="46">
        <v>1162</v>
      </c>
      <c r="B1165" s="64" t="str">
        <f>IF(Tabla1[[#This Row],[TRABAJADOR]]="", "", VLOOKUP(Tabla1[[#This Row],[TRABAJADOR]], 'Colaborador ID'!B:C, 2, FALSE))</f>
        <v>E0551</v>
      </c>
      <c r="C1165" s="63" t="s">
        <v>2238</v>
      </c>
      <c r="D1165" s="64" t="s">
        <v>2239</v>
      </c>
      <c r="E1165" s="64" t="s">
        <v>16</v>
      </c>
      <c r="F1165" s="42" t="e" vm="1">
        <v>#VALUE!</v>
      </c>
      <c r="G1165" s="58">
        <v>45839</v>
      </c>
      <c r="H1165" s="40" t="e" vm="2">
        <v>#VALUE!</v>
      </c>
      <c r="I1165" s="64"/>
      <c r="J1165" s="57"/>
      <c r="K1165" s="57"/>
      <c r="L1165" s="4"/>
      <c r="M1165" s="35"/>
    </row>
    <row r="1166" spans="1:13" ht="15.9" customHeight="1" x14ac:dyDescent="0.3">
      <c r="A1166" s="46">
        <v>1163</v>
      </c>
      <c r="B1166" s="64" t="str">
        <f>IF(Tabla1[[#This Row],[TRABAJADOR]]="", "", VLOOKUP(Tabla1[[#This Row],[TRABAJADOR]], 'Colaborador ID'!B:C, 2, FALSE))</f>
        <v>E0088</v>
      </c>
      <c r="C1166" s="68" t="s">
        <v>2240</v>
      </c>
      <c r="D1166" s="67" t="s">
        <v>2241</v>
      </c>
      <c r="E1166" s="67" t="s">
        <v>35</v>
      </c>
      <c r="F1166" s="38" t="e" vm="1">
        <v>#VALUE!</v>
      </c>
      <c r="G1166" s="58">
        <v>45833</v>
      </c>
      <c r="H1166" s="40" t="e" vm="2">
        <v>#VALUE!</v>
      </c>
      <c r="I1166" s="64"/>
      <c r="J1166" s="57"/>
      <c r="K1166" s="57"/>
      <c r="L1166" s="4"/>
      <c r="M1166" s="35"/>
    </row>
    <row r="1167" spans="1:13" ht="15.9" customHeight="1" x14ac:dyDescent="0.3">
      <c r="A1167" s="46">
        <v>1164</v>
      </c>
      <c r="B1167" s="57" t="str">
        <f>IF(Tabla1[[#This Row],[TRABAJADOR]]="", "", VLOOKUP(Tabla1[[#This Row],[TRABAJADOR]], 'Colaborador ID'!B:C, 2, FALSE))</f>
        <v>E1844</v>
      </c>
      <c r="C1167" s="61" t="s">
        <v>2242</v>
      </c>
      <c r="D1167" s="60" t="s">
        <v>2243</v>
      </c>
      <c r="E1167" s="67" t="s">
        <v>19</v>
      </c>
      <c r="F1167" s="49" t="e" vm="1">
        <v>#VALUE!</v>
      </c>
      <c r="G1167" s="58">
        <v>45943</v>
      </c>
      <c r="H1167" s="57" t="e" vm="2">
        <v>#VALUE!</v>
      </c>
      <c r="I1167" s="57"/>
      <c r="J1167" s="57"/>
      <c r="K1167" s="57"/>
      <c r="L1167" s="4"/>
      <c r="M1167" s="35"/>
    </row>
    <row r="1168" spans="1:13" ht="15.9" customHeight="1" x14ac:dyDescent="0.3">
      <c r="A1168" s="46">
        <v>1165</v>
      </c>
      <c r="B1168" s="64" t="str">
        <f>IF(Tabla1[[#This Row],[TRABAJADOR]]="", "", VLOOKUP(Tabla1[[#This Row],[TRABAJADOR]], 'Colaborador ID'!B:C, 2, FALSE))</f>
        <v>E0444</v>
      </c>
      <c r="C1168" s="63" t="s">
        <v>2244</v>
      </c>
      <c r="D1168" s="64" t="s">
        <v>2245</v>
      </c>
      <c r="E1168" s="64"/>
      <c r="F1168" s="57" t="e" vm="1">
        <v>#VALUE!</v>
      </c>
      <c r="G1168" s="58"/>
      <c r="H1168" s="57" t="e" vm="2">
        <v>#VALUE!</v>
      </c>
      <c r="I1168" s="64"/>
      <c r="J1168" s="57"/>
      <c r="K1168" s="57"/>
      <c r="L1168" s="4"/>
      <c r="M1168" s="35"/>
    </row>
    <row r="1169" spans="1:13" ht="15.9" customHeight="1" x14ac:dyDescent="0.3">
      <c r="A1169" s="46">
        <v>1166</v>
      </c>
      <c r="B1169" s="64" t="str">
        <f>IF(Tabla1[[#This Row],[TRABAJADOR]]="", "", VLOOKUP(Tabla1[[#This Row],[TRABAJADOR]], 'Colaborador ID'!B:C, 2, FALSE))</f>
        <v>E0447</v>
      </c>
      <c r="C1169" s="63" t="s">
        <v>2246</v>
      </c>
      <c r="D1169" s="64" t="s">
        <v>2247</v>
      </c>
      <c r="E1169" s="64"/>
      <c r="F1169" s="57" t="e" vm="1">
        <v>#VALUE!</v>
      </c>
      <c r="G1169" s="58"/>
      <c r="H1169" s="57" t="e" vm="2">
        <v>#VALUE!</v>
      </c>
      <c r="I1169" s="64"/>
      <c r="J1169" s="57"/>
      <c r="K1169" s="57"/>
      <c r="L1169" s="4"/>
      <c r="M1169" s="35"/>
    </row>
    <row r="1170" spans="1:13" ht="15.9" customHeight="1" x14ac:dyDescent="0.3">
      <c r="A1170" s="46">
        <v>1167</v>
      </c>
      <c r="B1170" s="64" t="str">
        <f>IF(Tabla1[[#This Row],[TRABAJADOR]]="", "", VLOOKUP(Tabla1[[#This Row],[TRABAJADOR]], 'Colaborador ID'!B:C, 2, FALSE))</f>
        <v>E0400</v>
      </c>
      <c r="C1170" s="63" t="s">
        <v>2248</v>
      </c>
      <c r="D1170" s="64" t="s">
        <v>2249</v>
      </c>
      <c r="E1170" s="64"/>
      <c r="F1170" s="57" t="e" vm="1">
        <v>#VALUE!</v>
      </c>
      <c r="G1170" s="58"/>
      <c r="H1170" s="57" t="e" vm="2">
        <v>#VALUE!</v>
      </c>
      <c r="I1170" s="64"/>
      <c r="J1170" s="57"/>
      <c r="K1170" s="57"/>
      <c r="L1170" s="4"/>
      <c r="M1170" s="35"/>
    </row>
    <row r="1171" spans="1:13" ht="15.9" customHeight="1" x14ac:dyDescent="0.3">
      <c r="A1171" s="46">
        <v>1168</v>
      </c>
      <c r="B1171" s="57" t="str">
        <f>IF(Tabla1[[#This Row],[TRABAJADOR]]="", "", VLOOKUP(Tabla1[[#This Row],[TRABAJADOR]], 'Colaborador ID'!B:C, 2, FALSE))</f>
        <v>E1754</v>
      </c>
      <c r="C1171" s="56" t="s">
        <v>2250</v>
      </c>
      <c r="D1171" s="57" t="s">
        <v>2251</v>
      </c>
      <c r="E1171" s="64" t="s">
        <v>16</v>
      </c>
      <c r="F1171" s="49" t="e" vm="1">
        <v>#VALUE!</v>
      </c>
      <c r="G1171" s="58">
        <v>45891</v>
      </c>
      <c r="H1171" s="57" t="e" vm="2">
        <v>#VALUE!</v>
      </c>
      <c r="I1171" s="57"/>
      <c r="J1171" s="57"/>
      <c r="K1171" s="57"/>
      <c r="L1171" s="4"/>
      <c r="M1171" s="35"/>
    </row>
    <row r="1172" spans="1:13" ht="15.9" customHeight="1" x14ac:dyDescent="0.3">
      <c r="A1172" s="46">
        <v>1169</v>
      </c>
      <c r="B1172" s="64" t="str">
        <f>IF(Tabla1[[#This Row],[TRABAJADOR]]="", "", VLOOKUP(Tabla1[[#This Row],[TRABAJADOR]], 'Colaborador ID'!B:C, 2, FALSE))</f>
        <v>E0638</v>
      </c>
      <c r="C1172" s="63" t="s">
        <v>2252</v>
      </c>
      <c r="D1172" s="64" t="s">
        <v>2253</v>
      </c>
      <c r="E1172" s="64" t="s">
        <v>16</v>
      </c>
      <c r="F1172" s="38" t="e" vm="1">
        <v>#VALUE!</v>
      </c>
      <c r="G1172" s="58">
        <v>45795</v>
      </c>
      <c r="H1172" s="57" t="e" vm="2">
        <v>#VALUE!</v>
      </c>
      <c r="I1172" s="64"/>
      <c r="J1172" s="57"/>
      <c r="K1172" s="57"/>
      <c r="L1172" s="4"/>
      <c r="M1172" s="35"/>
    </row>
    <row r="1173" spans="1:13" ht="15.9" customHeight="1" x14ac:dyDescent="0.3">
      <c r="A1173" s="46">
        <v>1170</v>
      </c>
      <c r="B1173" s="64" t="str">
        <f>IF(Tabla1[[#This Row],[TRABAJADOR]]="", "", VLOOKUP(Tabla1[[#This Row],[TRABAJADOR]], 'Colaborador ID'!B:C, 2, FALSE))</f>
        <v>E1076</v>
      </c>
      <c r="C1173" s="63" t="s">
        <v>2254</v>
      </c>
      <c r="D1173" s="64" t="s">
        <v>2255</v>
      </c>
      <c r="E1173" s="64" t="s">
        <v>16</v>
      </c>
      <c r="F1173" s="38" t="e" vm="1">
        <v>#VALUE!</v>
      </c>
      <c r="G1173" s="58">
        <v>45783</v>
      </c>
      <c r="H1173" s="40" t="e" vm="2">
        <v>#VALUE!</v>
      </c>
      <c r="I1173" s="64"/>
      <c r="J1173" s="57"/>
      <c r="K1173" s="57"/>
      <c r="L1173" s="4"/>
      <c r="M1173" s="35"/>
    </row>
    <row r="1174" spans="1:13" ht="15.9" customHeight="1" x14ac:dyDescent="0.3">
      <c r="A1174" s="46">
        <v>1171</v>
      </c>
      <c r="B1174" s="64" t="str">
        <f>IF(Tabla1[[#This Row],[TRABAJADOR]]="", "", VLOOKUP(Tabla1[[#This Row],[TRABAJADOR]], 'Colaborador ID'!B:C, 2, FALSE))</f>
        <v>E0726</v>
      </c>
      <c r="C1174" s="63" t="s">
        <v>2256</v>
      </c>
      <c r="D1174" s="64" t="s">
        <v>2257</v>
      </c>
      <c r="E1174" s="64"/>
      <c r="F1174" s="57" t="e" vm="1">
        <v>#VALUE!</v>
      </c>
      <c r="G1174" s="58"/>
      <c r="H1174" s="57" t="e" vm="2">
        <v>#VALUE!</v>
      </c>
      <c r="I1174" s="64"/>
      <c r="J1174" s="57"/>
      <c r="K1174" s="57"/>
      <c r="L1174" s="4"/>
      <c r="M1174" s="35"/>
    </row>
    <row r="1175" spans="1:13" ht="15.9" customHeight="1" x14ac:dyDescent="0.3">
      <c r="A1175" s="46">
        <v>1172</v>
      </c>
      <c r="B1175" s="57" t="str">
        <f>IF(Tabla1[[#This Row],[TRABAJADOR]]="", "", VLOOKUP(Tabla1[[#This Row],[TRABAJADOR]], 'Colaborador ID'!B:C, 2, FALSE))</f>
        <v>E2109</v>
      </c>
      <c r="C1175" s="56" t="s">
        <v>5370</v>
      </c>
      <c r="D1175" s="57" t="s">
        <v>5511</v>
      </c>
      <c r="E1175" s="57"/>
      <c r="F1175" s="49" t="e" vm="1">
        <v>#VALUE!</v>
      </c>
      <c r="G1175" s="58">
        <v>46087</v>
      </c>
      <c r="H1175" s="57" t="e" vm="3">
        <v>#VALUE!</v>
      </c>
      <c r="I1175" s="57"/>
      <c r="J1175" s="57"/>
      <c r="K1175" s="57"/>
      <c r="L1175" s="4"/>
      <c r="M1175" s="35"/>
    </row>
    <row r="1176" spans="1:13" ht="15.9" customHeight="1" x14ac:dyDescent="0.35">
      <c r="A1176" s="46">
        <v>1173</v>
      </c>
      <c r="B1176" s="64" t="str">
        <f>IF(Tabla1[[#This Row],[TRABAJADOR]]="", "", VLOOKUP(Tabla1[[#This Row],[TRABAJADOR]], 'Colaborador ID'!B:C, 2, FALSE))</f>
        <v>E1218</v>
      </c>
      <c r="C1176" s="63" t="s">
        <v>2258</v>
      </c>
      <c r="D1176" s="64" t="s">
        <v>2259</v>
      </c>
      <c r="E1176" s="64" t="s">
        <v>13</v>
      </c>
      <c r="F1176" s="42" t="e" vm="1">
        <v>#VALUE!</v>
      </c>
      <c r="G1176" s="58">
        <v>45771</v>
      </c>
      <c r="H1176" s="57" t="e" vm="2">
        <v>#VALUE!</v>
      </c>
      <c r="I1176" s="64"/>
      <c r="J1176" s="57"/>
      <c r="K1176" s="57"/>
      <c r="L1176" s="4"/>
      <c r="M1176" s="35"/>
    </row>
    <row r="1177" spans="1:13" ht="15.9" customHeight="1" x14ac:dyDescent="0.3">
      <c r="A1177" s="46">
        <v>1174</v>
      </c>
      <c r="B1177" s="57" t="str">
        <f>IF(Tabla1[[#This Row],[TRABAJADOR]]="", "", VLOOKUP(Tabla1[[#This Row],[TRABAJADOR]], 'Colaborador ID'!B:C, 2, FALSE))</f>
        <v>E1753</v>
      </c>
      <c r="C1177" s="56" t="s">
        <v>2260</v>
      </c>
      <c r="D1177" s="57" t="s">
        <v>2261</v>
      </c>
      <c r="E1177" s="64" t="s">
        <v>19</v>
      </c>
      <c r="F1177" s="49" t="e" vm="1">
        <v>#VALUE!</v>
      </c>
      <c r="G1177" s="58">
        <v>45958</v>
      </c>
      <c r="H1177" s="57" t="e" vm="2">
        <v>#VALUE!</v>
      </c>
      <c r="I1177" s="57" t="s">
        <v>22</v>
      </c>
      <c r="J1177" s="57"/>
      <c r="K1177" s="57"/>
      <c r="L1177" s="4"/>
      <c r="M1177" s="35"/>
    </row>
    <row r="1178" spans="1:13" ht="15.9" customHeight="1" x14ac:dyDescent="0.3">
      <c r="A1178" s="46">
        <v>1175</v>
      </c>
      <c r="B1178" s="64" t="str">
        <f>IF(Tabla1[[#This Row],[TRABAJADOR]]="", "", VLOOKUP(Tabla1[[#This Row],[TRABAJADOR]], 'Colaborador ID'!B:C, 2, FALSE))</f>
        <v>E0476</v>
      </c>
      <c r="C1178" s="63" t="s">
        <v>2262</v>
      </c>
      <c r="D1178" s="64" t="s">
        <v>2263</v>
      </c>
      <c r="E1178" s="64"/>
      <c r="F1178" s="57" t="e" vm="1">
        <v>#VALUE!</v>
      </c>
      <c r="G1178" s="58"/>
      <c r="H1178" s="57" t="e" vm="2">
        <v>#VALUE!</v>
      </c>
      <c r="I1178" s="64"/>
      <c r="J1178" s="57"/>
      <c r="K1178" s="57"/>
      <c r="L1178" s="4"/>
      <c r="M1178" s="35"/>
    </row>
    <row r="1179" spans="1:13" ht="15.9" customHeight="1" x14ac:dyDescent="0.3">
      <c r="A1179" s="46">
        <v>1176</v>
      </c>
      <c r="B1179" s="57" t="str">
        <f>IF(Tabla1[[#This Row],[TRABAJADOR]]="", "", VLOOKUP(Tabla1[[#This Row],[TRABAJADOR]], 'Colaborador ID'!B:C, 2, FALSE))</f>
        <v>E1877</v>
      </c>
      <c r="C1179" s="56" t="s">
        <v>2264</v>
      </c>
      <c r="D1179" s="57" t="s">
        <v>2265</v>
      </c>
      <c r="E1179" s="64" t="s">
        <v>19</v>
      </c>
      <c r="F1179" s="75" t="e" vm="1">
        <v>#VALUE!</v>
      </c>
      <c r="G1179" s="58">
        <v>45957</v>
      </c>
      <c r="H1179" s="57" t="e" vm="2">
        <v>#VALUE!</v>
      </c>
      <c r="I1179" s="57" t="s">
        <v>22</v>
      </c>
      <c r="J1179" s="57"/>
      <c r="K1179" s="57"/>
      <c r="L1179" s="4"/>
      <c r="M1179" s="35"/>
    </row>
    <row r="1180" spans="1:13" ht="15.9" customHeight="1" x14ac:dyDescent="0.35">
      <c r="A1180" s="46">
        <v>1177</v>
      </c>
      <c r="B1180" s="64" t="str">
        <f>IF(Tabla1[[#This Row],[TRABAJADOR]]="", "", VLOOKUP(Tabla1[[#This Row],[TRABAJADOR]], 'Colaborador ID'!B:C, 2, FALSE))</f>
        <v>E0023</v>
      </c>
      <c r="C1180" s="63" t="s">
        <v>2266</v>
      </c>
      <c r="D1180" s="64" t="s">
        <v>2267</v>
      </c>
      <c r="E1180" s="64" t="s">
        <v>13</v>
      </c>
      <c r="F1180" s="42" t="e" vm="1">
        <v>#VALUE!</v>
      </c>
      <c r="G1180" s="58">
        <v>45728</v>
      </c>
      <c r="H1180" s="57" t="e" vm="2">
        <v>#VALUE!</v>
      </c>
      <c r="I1180" s="64"/>
      <c r="J1180" s="57"/>
      <c r="K1180" s="57"/>
      <c r="L1180" s="4"/>
      <c r="M1180" s="35"/>
    </row>
    <row r="1181" spans="1:13" ht="15.9" customHeight="1" x14ac:dyDescent="0.3">
      <c r="A1181" s="46">
        <v>1178</v>
      </c>
      <c r="B1181" s="64" t="e">
        <f>IF(Tabla1[[#This Row],[TRABAJADOR]]="", "", VLOOKUP(Tabla1[[#This Row],[TRABAJADOR]], 'Colaborador ID'!B:C, 2, FALSE))</f>
        <v>#N/A</v>
      </c>
      <c r="C1181" s="63" t="s">
        <v>2268</v>
      </c>
      <c r="D1181" s="64" t="s">
        <v>2269</v>
      </c>
      <c r="E1181" s="64"/>
      <c r="F1181" s="57" t="e" vm="1">
        <v>#VALUE!</v>
      </c>
      <c r="G1181" s="58"/>
      <c r="H1181" s="57" t="e" vm="2">
        <v>#VALUE!</v>
      </c>
      <c r="I1181" s="64"/>
      <c r="J1181" s="57"/>
      <c r="K1181" s="57"/>
      <c r="L1181" s="4"/>
      <c r="M1181" s="35"/>
    </row>
    <row r="1182" spans="1:13" ht="15.9" customHeight="1" x14ac:dyDescent="0.3">
      <c r="A1182" s="46">
        <v>1179</v>
      </c>
      <c r="B1182" s="64" t="str">
        <f>IF(Tabla1[[#This Row],[TRABAJADOR]]="", "", VLOOKUP(Tabla1[[#This Row],[TRABAJADOR]], 'Colaborador ID'!B:C, 2, FALSE))</f>
        <v>E0367</v>
      </c>
      <c r="C1182" s="92" t="s">
        <v>2270</v>
      </c>
      <c r="D1182" s="94" t="s">
        <v>2271</v>
      </c>
      <c r="E1182" s="64" t="s">
        <v>119</v>
      </c>
      <c r="F1182" s="38" t="e" vm="1">
        <v>#VALUE!</v>
      </c>
      <c r="G1182" s="58">
        <v>45737</v>
      </c>
      <c r="H1182" s="57" t="e" vm="2">
        <v>#VALUE!</v>
      </c>
      <c r="I1182" s="64"/>
      <c r="J1182" s="57"/>
      <c r="K1182" s="57"/>
      <c r="L1182" s="4"/>
      <c r="M1182" s="35"/>
    </row>
    <row r="1183" spans="1:13" ht="15.9" customHeight="1" x14ac:dyDescent="0.3">
      <c r="A1183" s="46">
        <v>1180</v>
      </c>
      <c r="B1183" s="57" t="str">
        <f>IF(Tabla1[[#This Row],[TRABAJADOR]]="", "", VLOOKUP(Tabla1[[#This Row],[TRABAJADOR]], 'Colaborador ID'!B:C, 2, FALSE))</f>
        <v>E1913</v>
      </c>
      <c r="C1183" s="91" t="s">
        <v>2272</v>
      </c>
      <c r="D1183" s="93" t="s">
        <v>2273</v>
      </c>
      <c r="E1183" s="64" t="s">
        <v>13</v>
      </c>
      <c r="F1183" s="49" t="e" vm="1">
        <v>#VALUE!</v>
      </c>
      <c r="G1183" s="58">
        <v>45951</v>
      </c>
      <c r="H1183" s="57" t="e" vm="2">
        <v>#VALUE!</v>
      </c>
      <c r="I1183" s="57"/>
      <c r="J1183" s="57"/>
      <c r="K1183" s="57"/>
      <c r="L1183" s="4"/>
      <c r="M1183" s="35"/>
    </row>
    <row r="1184" spans="1:13" ht="15.9" customHeight="1" x14ac:dyDescent="0.3">
      <c r="A1184" s="46">
        <v>1181</v>
      </c>
      <c r="B1184" s="64" t="str">
        <f>IF(Tabla1[[#This Row],[TRABAJADOR]]="", "", VLOOKUP(Tabla1[[#This Row],[TRABAJADOR]], 'Colaborador ID'!B:C, 2, FALSE))</f>
        <v>E1566</v>
      </c>
      <c r="C1184" s="63" t="s">
        <v>2274</v>
      </c>
      <c r="D1184" s="64" t="s">
        <v>2275</v>
      </c>
      <c r="E1184" s="64"/>
      <c r="F1184" s="57" t="e" vm="1">
        <v>#VALUE!</v>
      </c>
      <c r="G1184" s="58"/>
      <c r="H1184" s="57" t="e" vm="2">
        <v>#VALUE!</v>
      </c>
      <c r="I1184" s="64" t="s">
        <v>22</v>
      </c>
      <c r="J1184" s="57"/>
      <c r="K1184" s="57"/>
      <c r="L1184" s="4"/>
      <c r="M1184" s="35"/>
    </row>
    <row r="1185" spans="1:13" ht="15.9" customHeight="1" x14ac:dyDescent="0.3">
      <c r="A1185" s="46">
        <v>1182</v>
      </c>
      <c r="B1185" s="64" t="str">
        <f>IF(Tabla1[[#This Row],[TRABAJADOR]]="", "", VLOOKUP(Tabla1[[#This Row],[TRABAJADOR]], 'Colaborador ID'!B:C, 2, FALSE))</f>
        <v>E0159</v>
      </c>
      <c r="C1185" s="63" t="s">
        <v>2276</v>
      </c>
      <c r="D1185" s="64" t="s">
        <v>2277</v>
      </c>
      <c r="E1185" s="64" t="s">
        <v>19</v>
      </c>
      <c r="F1185" s="32" t="e" vm="1">
        <v>#VALUE!</v>
      </c>
      <c r="G1185" s="58">
        <v>45784</v>
      </c>
      <c r="H1185" s="57" t="e" vm="2">
        <v>#VALUE!</v>
      </c>
      <c r="I1185" s="64"/>
      <c r="J1185" s="57"/>
      <c r="K1185" s="57"/>
      <c r="L1185" s="4"/>
      <c r="M1185" s="35"/>
    </row>
    <row r="1186" spans="1:13" ht="15.9" customHeight="1" x14ac:dyDescent="0.3">
      <c r="A1186" s="46">
        <v>1183</v>
      </c>
      <c r="B1186" s="64" t="str">
        <f>IF(Tabla1[[#This Row],[TRABAJADOR]]="", "", VLOOKUP(Tabla1[[#This Row],[TRABAJADOR]], 'Colaborador ID'!B:C, 2, FALSE))</f>
        <v>E1287</v>
      </c>
      <c r="C1186" s="63" t="s">
        <v>2278</v>
      </c>
      <c r="D1186" s="64" t="s">
        <v>2279</v>
      </c>
      <c r="E1186" s="64" t="s">
        <v>33</v>
      </c>
      <c r="F1186" s="38" t="e" vm="1">
        <v>#VALUE!</v>
      </c>
      <c r="G1186" s="58">
        <v>45847</v>
      </c>
      <c r="H1186" s="57" t="e" vm="2">
        <v>#VALUE!</v>
      </c>
      <c r="I1186" s="64"/>
      <c r="J1186" s="57"/>
      <c r="K1186" s="57"/>
      <c r="L1186" s="4"/>
      <c r="M1186" s="35"/>
    </row>
    <row r="1187" spans="1:13" ht="15.9" customHeight="1" x14ac:dyDescent="0.3">
      <c r="A1187" s="46">
        <v>1184</v>
      </c>
      <c r="B1187" s="64" t="str">
        <f>IF(Tabla1[[#This Row],[TRABAJADOR]]="", "", VLOOKUP(Tabla1[[#This Row],[TRABAJADOR]], 'Colaborador ID'!B:C, 2, FALSE))</f>
        <v>E0522</v>
      </c>
      <c r="C1187" s="63" t="s">
        <v>2280</v>
      </c>
      <c r="D1187" s="69" t="s">
        <v>2281</v>
      </c>
      <c r="E1187" s="64" t="s">
        <v>19</v>
      </c>
      <c r="F1187" s="49" t="e" vm="1">
        <v>#VALUE!</v>
      </c>
      <c r="G1187" s="58">
        <v>45890</v>
      </c>
      <c r="H1187" s="49" t="e" vm="2">
        <v>#VALUE!</v>
      </c>
      <c r="I1187" s="64" t="s">
        <v>22</v>
      </c>
      <c r="J1187" s="57"/>
      <c r="K1187" s="57"/>
      <c r="L1187" s="4"/>
      <c r="M1187" s="35"/>
    </row>
    <row r="1188" spans="1:13" ht="15.9" customHeight="1" x14ac:dyDescent="0.3">
      <c r="A1188" s="46">
        <v>1185</v>
      </c>
      <c r="B1188" s="64" t="str">
        <f>IF(Tabla1[[#This Row],[TRABAJADOR]]="", "", VLOOKUP(Tabla1[[#This Row],[TRABAJADOR]], 'Colaborador ID'!B:C, 2, FALSE))</f>
        <v>E0626</v>
      </c>
      <c r="C1188" s="63" t="s">
        <v>2282</v>
      </c>
      <c r="D1188" s="64" t="s">
        <v>2283</v>
      </c>
      <c r="E1188" s="64" t="s">
        <v>16</v>
      </c>
      <c r="F1188" s="38" t="e" vm="1">
        <v>#VALUE!</v>
      </c>
      <c r="G1188" s="58">
        <v>45847</v>
      </c>
      <c r="H1188" s="57" t="e" vm="2">
        <v>#VALUE!</v>
      </c>
      <c r="I1188" s="64"/>
      <c r="J1188" s="57"/>
      <c r="K1188" s="57"/>
      <c r="L1188" s="4"/>
      <c r="M1188" s="35"/>
    </row>
    <row r="1189" spans="1:13" ht="15.9" customHeight="1" x14ac:dyDescent="0.3">
      <c r="A1189" s="46">
        <v>1186</v>
      </c>
      <c r="B1189" s="64" t="str">
        <f>IF(Tabla1[[#This Row],[TRABAJADOR]]="", "", VLOOKUP(Tabla1[[#This Row],[TRABAJADOR]], 'Colaborador ID'!B:C, 2, FALSE))</f>
        <v>E1202</v>
      </c>
      <c r="C1189" s="63" t="s">
        <v>2284</v>
      </c>
      <c r="D1189" s="64" t="s">
        <v>2285</v>
      </c>
      <c r="E1189" s="64"/>
      <c r="F1189" s="57" t="e" vm="1">
        <v>#VALUE!</v>
      </c>
      <c r="G1189" s="58"/>
      <c r="H1189" s="57" t="e" vm="2">
        <v>#VALUE!</v>
      </c>
      <c r="I1189" s="64"/>
      <c r="J1189" s="57"/>
      <c r="K1189" s="57"/>
      <c r="L1189" s="4"/>
      <c r="M1189" s="35"/>
    </row>
    <row r="1190" spans="1:13" ht="15.9" customHeight="1" x14ac:dyDescent="0.3">
      <c r="A1190" s="46">
        <v>1187</v>
      </c>
      <c r="B1190" s="64" t="str">
        <f>IF(Tabla1[[#This Row],[TRABAJADOR]]="", "", VLOOKUP(Tabla1[[#This Row],[TRABAJADOR]], 'Colaborador ID'!B:C, 2, FALSE))</f>
        <v>E0241</v>
      </c>
      <c r="C1190" s="63" t="s">
        <v>2286</v>
      </c>
      <c r="D1190" s="64" t="s">
        <v>2287</v>
      </c>
      <c r="E1190" s="64" t="s">
        <v>16</v>
      </c>
      <c r="F1190" s="45" t="e" vm="1">
        <v>#VALUE!</v>
      </c>
      <c r="G1190" s="58">
        <v>45754</v>
      </c>
      <c r="H1190" s="40" t="e" vm="2">
        <v>#VALUE!</v>
      </c>
      <c r="I1190" s="64"/>
      <c r="J1190" s="57"/>
      <c r="K1190" s="57"/>
      <c r="L1190" s="4"/>
      <c r="M1190" s="35"/>
    </row>
    <row r="1191" spans="1:13" ht="15.9" customHeight="1" x14ac:dyDescent="0.3">
      <c r="A1191" s="46">
        <v>1188</v>
      </c>
      <c r="B1191" s="64" t="str">
        <f>IF(Tabla1[[#This Row],[TRABAJADOR]]="", "", VLOOKUP(Tabla1[[#This Row],[TRABAJADOR]], 'Colaborador ID'!B:C, 2, FALSE))</f>
        <v>E0371</v>
      </c>
      <c r="C1191" s="63" t="s">
        <v>2288</v>
      </c>
      <c r="D1191" s="64" t="s">
        <v>2289</v>
      </c>
      <c r="E1191" s="64" t="s">
        <v>16</v>
      </c>
      <c r="F1191" s="49" t="e" vm="1">
        <v>#VALUE!</v>
      </c>
      <c r="G1191" s="58">
        <v>45971</v>
      </c>
      <c r="H1191" s="49" t="e" vm="2">
        <v>#VALUE!</v>
      </c>
      <c r="I1191" s="64"/>
      <c r="J1191" s="57"/>
      <c r="K1191" s="57"/>
      <c r="L1191" s="4"/>
      <c r="M1191" s="35"/>
    </row>
    <row r="1192" spans="1:13" ht="15.9" customHeight="1" x14ac:dyDescent="0.3">
      <c r="A1192" s="46">
        <v>1189</v>
      </c>
      <c r="B1192" s="64" t="str">
        <f>IF(Tabla1[[#This Row],[TRABAJADOR]]="", "", VLOOKUP(Tabla1[[#This Row],[TRABAJADOR]], 'Colaborador ID'!B:C, 2, FALSE))</f>
        <v>E1289</v>
      </c>
      <c r="C1192" s="63" t="s">
        <v>2290</v>
      </c>
      <c r="D1192" s="64" t="s">
        <v>2291</v>
      </c>
      <c r="E1192" s="64" t="s">
        <v>13</v>
      </c>
      <c r="F1192" s="49" t="e" vm="1">
        <v>#VALUE!</v>
      </c>
      <c r="G1192" s="58"/>
      <c r="H1192" s="57" t="e" vm="2">
        <v>#VALUE!</v>
      </c>
      <c r="I1192" s="64" t="s">
        <v>22</v>
      </c>
      <c r="J1192" s="57"/>
      <c r="K1192" s="57"/>
      <c r="L1192" s="4"/>
      <c r="M1192" s="35"/>
    </row>
    <row r="1193" spans="1:13" ht="15.9" customHeight="1" x14ac:dyDescent="0.3">
      <c r="A1193" s="46">
        <v>1190</v>
      </c>
      <c r="B1193" s="64" t="str">
        <f>IF(Tabla1[[#This Row],[TRABAJADOR]]="", "", VLOOKUP(Tabla1[[#This Row],[TRABAJADOR]], 'Colaborador ID'!B:C, 2, FALSE))</f>
        <v>E0222</v>
      </c>
      <c r="C1193" s="63" t="s">
        <v>2292</v>
      </c>
      <c r="D1193" s="64" t="s">
        <v>2293</v>
      </c>
      <c r="E1193" s="64"/>
      <c r="F1193" s="57" t="e" vm="1">
        <v>#VALUE!</v>
      </c>
      <c r="G1193" s="58"/>
      <c r="H1193" s="57" t="e" vm="2">
        <v>#VALUE!</v>
      </c>
      <c r="I1193" s="64"/>
      <c r="J1193" s="57"/>
      <c r="K1193" s="57"/>
      <c r="L1193" s="4"/>
      <c r="M1193" s="35"/>
    </row>
    <row r="1194" spans="1:13" ht="15.9" customHeight="1" x14ac:dyDescent="0.3">
      <c r="A1194" s="46">
        <v>1191</v>
      </c>
      <c r="B1194" s="64" t="str">
        <f>IF(Tabla1[[#This Row],[TRABAJADOR]]="", "", VLOOKUP(Tabla1[[#This Row],[TRABAJADOR]], 'Colaborador ID'!B:C, 2, FALSE))</f>
        <v>E0345</v>
      </c>
      <c r="C1194" s="63" t="s">
        <v>2294</v>
      </c>
      <c r="D1194" s="64" t="s">
        <v>2295</v>
      </c>
      <c r="E1194" s="64" t="s">
        <v>16</v>
      </c>
      <c r="F1194" s="57" t="e" vm="1">
        <v>#VALUE!</v>
      </c>
      <c r="G1194" s="58"/>
      <c r="H1194" s="57" t="e" vm="2">
        <v>#VALUE!</v>
      </c>
      <c r="I1194" s="64"/>
      <c r="J1194" s="57"/>
      <c r="K1194" s="57"/>
      <c r="L1194" s="4"/>
      <c r="M1194" s="35"/>
    </row>
    <row r="1195" spans="1:13" ht="15.9" customHeight="1" x14ac:dyDescent="0.3">
      <c r="A1195" s="46">
        <v>1192</v>
      </c>
      <c r="B1195" s="64" t="str">
        <f>IF(Tabla1[[#This Row],[TRABAJADOR]]="", "", VLOOKUP(Tabla1[[#This Row],[TRABAJADOR]], 'Colaborador ID'!B:C, 2, FALSE))</f>
        <v>E0539</v>
      </c>
      <c r="C1195" s="63" t="s">
        <v>2296</v>
      </c>
      <c r="D1195" s="64" t="s">
        <v>2297</v>
      </c>
      <c r="E1195" s="64"/>
      <c r="F1195" s="57" t="e" vm="1">
        <v>#VALUE!</v>
      </c>
      <c r="G1195" s="58"/>
      <c r="H1195" s="57" t="e" vm="2">
        <v>#VALUE!</v>
      </c>
      <c r="I1195" s="64"/>
      <c r="J1195" s="57"/>
      <c r="K1195" s="57"/>
      <c r="L1195" s="4"/>
      <c r="M1195" s="35"/>
    </row>
    <row r="1196" spans="1:13" ht="15.9" customHeight="1" x14ac:dyDescent="0.3">
      <c r="A1196" s="46">
        <v>1193</v>
      </c>
      <c r="B1196" s="64" t="str">
        <f>IF(Tabla1[[#This Row],[TRABAJADOR]]="", "", VLOOKUP(Tabla1[[#This Row],[TRABAJADOR]], 'Colaborador ID'!B:C, 2, FALSE))</f>
        <v>E0326</v>
      </c>
      <c r="C1196" s="63" t="s">
        <v>2298</v>
      </c>
      <c r="D1196" s="64" t="s">
        <v>2299</v>
      </c>
      <c r="E1196" s="64"/>
      <c r="F1196" s="57" t="e" vm="1">
        <v>#VALUE!</v>
      </c>
      <c r="G1196" s="58"/>
      <c r="H1196" s="57" t="e" vm="2">
        <v>#VALUE!</v>
      </c>
      <c r="I1196" s="64"/>
      <c r="J1196" s="57"/>
      <c r="K1196" s="57"/>
      <c r="L1196" s="4"/>
      <c r="M1196" s="35"/>
    </row>
    <row r="1197" spans="1:13" ht="15.9" customHeight="1" x14ac:dyDescent="0.3">
      <c r="A1197" s="46">
        <v>1194</v>
      </c>
      <c r="B1197" s="64" t="str">
        <f>IF(Tabla1[[#This Row],[TRABAJADOR]]="", "", VLOOKUP(Tabla1[[#This Row],[TRABAJADOR]], 'Colaborador ID'!B:C, 2, FALSE))</f>
        <v>E0412</v>
      </c>
      <c r="C1197" s="63" t="s">
        <v>2300</v>
      </c>
      <c r="D1197" s="64" t="s">
        <v>2301</v>
      </c>
      <c r="E1197" s="64"/>
      <c r="F1197" s="57" t="e" vm="1">
        <v>#VALUE!</v>
      </c>
      <c r="G1197" s="58"/>
      <c r="H1197" s="57" t="e" vm="2">
        <v>#VALUE!</v>
      </c>
      <c r="I1197" s="64"/>
      <c r="J1197" s="57"/>
      <c r="K1197" s="57"/>
      <c r="L1197" s="4"/>
      <c r="M1197" s="35"/>
    </row>
    <row r="1198" spans="1:13" ht="15.9" customHeight="1" x14ac:dyDescent="0.3">
      <c r="A1198" s="46">
        <v>1195</v>
      </c>
      <c r="B1198" s="57" t="str">
        <f>IF(Tabla1[[#This Row],[TRABAJADOR]]="", "", VLOOKUP(Tabla1[[#This Row],[TRABAJADOR]], 'Colaborador ID'!B:C, 2, FALSE))</f>
        <v>E1719</v>
      </c>
      <c r="C1198" s="56" t="s">
        <v>2302</v>
      </c>
      <c r="D1198" s="57" t="s">
        <v>2303</v>
      </c>
      <c r="E1198" s="57" t="s">
        <v>16</v>
      </c>
      <c r="F1198" s="49" t="e" vm="1">
        <v>#VALUE!</v>
      </c>
      <c r="G1198" s="58">
        <v>45992</v>
      </c>
      <c r="H1198" s="49" t="e" vm="2">
        <v>#VALUE!</v>
      </c>
      <c r="I1198" s="57" t="s">
        <v>22</v>
      </c>
      <c r="J1198" s="57"/>
      <c r="K1198" s="57"/>
      <c r="L1198" s="4"/>
      <c r="M1198" s="35"/>
    </row>
    <row r="1199" spans="1:13" ht="15.9" customHeight="1" x14ac:dyDescent="0.3">
      <c r="A1199" s="46">
        <v>1196</v>
      </c>
      <c r="B1199" s="64" t="str">
        <f>IF(Tabla1[[#This Row],[TRABAJADOR]]="", "", VLOOKUP(Tabla1[[#This Row],[TRABAJADOR]], 'Colaborador ID'!B:C, 2, FALSE))</f>
        <v>E0453</v>
      </c>
      <c r="C1199" s="63" t="s">
        <v>2304</v>
      </c>
      <c r="D1199" s="64" t="s">
        <v>2305</v>
      </c>
      <c r="E1199" s="64"/>
      <c r="F1199" s="57" t="e" vm="1">
        <v>#VALUE!</v>
      </c>
      <c r="G1199" s="58"/>
      <c r="H1199" s="57" t="e" vm="2">
        <v>#VALUE!</v>
      </c>
      <c r="I1199" s="64"/>
      <c r="J1199" s="57"/>
      <c r="K1199" s="57"/>
      <c r="L1199" s="4"/>
      <c r="M1199" s="35"/>
    </row>
    <row r="1200" spans="1:13" ht="15.9" customHeight="1" x14ac:dyDescent="0.3">
      <c r="A1200" s="46">
        <v>1197</v>
      </c>
      <c r="B1200" s="64" t="str">
        <f>IF(Tabla1[[#This Row],[TRABAJADOR]]="", "", VLOOKUP(Tabla1[[#This Row],[TRABAJADOR]], 'Colaborador ID'!B:C, 2, FALSE))</f>
        <v>E0433</v>
      </c>
      <c r="C1200" s="63" t="s">
        <v>2306</v>
      </c>
      <c r="D1200" s="64" t="s">
        <v>2307</v>
      </c>
      <c r="E1200" s="64"/>
      <c r="F1200" s="57" t="e" vm="1">
        <v>#VALUE!</v>
      </c>
      <c r="G1200" s="58"/>
      <c r="H1200" s="57" t="e" vm="2">
        <v>#VALUE!</v>
      </c>
      <c r="I1200" s="64"/>
      <c r="J1200" s="57"/>
      <c r="K1200" s="57"/>
      <c r="L1200" s="4"/>
      <c r="M1200" s="35"/>
    </row>
    <row r="1201" spans="1:13" ht="15.9" customHeight="1" x14ac:dyDescent="0.3">
      <c r="A1201" s="46">
        <v>1198</v>
      </c>
      <c r="B1201" s="64" t="str">
        <f>IF(Tabla1[[#This Row],[TRABAJADOR]]="", "", VLOOKUP(Tabla1[[#This Row],[TRABAJADOR]], 'Colaborador ID'!B:C, 2, FALSE))</f>
        <v>E0172</v>
      </c>
      <c r="C1201" s="63" t="s">
        <v>2308</v>
      </c>
      <c r="D1201" s="64" t="s">
        <v>2309</v>
      </c>
      <c r="E1201" s="64"/>
      <c r="F1201" s="57" t="e" vm="1">
        <v>#VALUE!</v>
      </c>
      <c r="G1201" s="58"/>
      <c r="H1201" s="57" t="e" vm="2">
        <v>#VALUE!</v>
      </c>
      <c r="I1201" s="64" t="s">
        <v>22</v>
      </c>
      <c r="J1201" s="57"/>
      <c r="K1201" s="57"/>
      <c r="L1201" s="4"/>
      <c r="M1201" s="35"/>
    </row>
    <row r="1202" spans="1:13" ht="15.9" customHeight="1" x14ac:dyDescent="0.3">
      <c r="A1202" s="46">
        <v>1199</v>
      </c>
      <c r="B1202" s="64" t="str">
        <f>IF(Tabla1[[#This Row],[TRABAJADOR]]="", "", VLOOKUP(Tabla1[[#This Row],[TRABAJADOR]], 'Colaborador ID'!B:C, 2, FALSE))</f>
        <v>E1444</v>
      </c>
      <c r="C1202" s="63" t="s">
        <v>2310</v>
      </c>
      <c r="D1202" s="64" t="s">
        <v>2311</v>
      </c>
      <c r="E1202" s="64" t="s">
        <v>19</v>
      </c>
      <c r="F1202" s="57" t="e" vm="1">
        <v>#VALUE!</v>
      </c>
      <c r="G1202" s="58"/>
      <c r="H1202" s="57" t="e" vm="2">
        <v>#VALUE!</v>
      </c>
      <c r="I1202" s="64"/>
      <c r="J1202" s="57"/>
      <c r="K1202" s="57"/>
      <c r="L1202" s="4"/>
      <c r="M1202" s="35"/>
    </row>
    <row r="1203" spans="1:13" ht="15.9" customHeight="1" x14ac:dyDescent="0.3">
      <c r="A1203" s="46">
        <v>1200</v>
      </c>
      <c r="B1203" s="64" t="str">
        <f>IF(Tabla1[[#This Row],[TRABAJADOR]]="", "", VLOOKUP(Tabla1[[#This Row],[TRABAJADOR]], 'Colaborador ID'!B:C, 2, FALSE))</f>
        <v>E0465</v>
      </c>
      <c r="C1203" s="63" t="s">
        <v>2312</v>
      </c>
      <c r="D1203" s="64" t="s">
        <v>2313</v>
      </c>
      <c r="E1203" s="64" t="s">
        <v>16</v>
      </c>
      <c r="F1203" s="32" t="e" vm="1">
        <v>#VALUE!</v>
      </c>
      <c r="G1203" s="58">
        <v>45741</v>
      </c>
      <c r="H1203" s="57" t="e" vm="2">
        <v>#VALUE!</v>
      </c>
      <c r="I1203" s="64"/>
      <c r="J1203" s="57"/>
      <c r="K1203" s="57"/>
      <c r="L1203" s="4"/>
      <c r="M1203" s="35"/>
    </row>
    <row r="1204" spans="1:13" ht="15.9" customHeight="1" x14ac:dyDescent="0.3">
      <c r="A1204" s="46">
        <v>1201</v>
      </c>
      <c r="B1204" s="64" t="str">
        <f>IF(Tabla1[[#This Row],[TRABAJADOR]]="", "", VLOOKUP(Tabla1[[#This Row],[TRABAJADOR]], 'Colaborador ID'!B:C, 2, FALSE))</f>
        <v>E1569</v>
      </c>
      <c r="C1204" s="63" t="s">
        <v>2314</v>
      </c>
      <c r="D1204" s="64" t="s">
        <v>2315</v>
      </c>
      <c r="E1204" s="64"/>
      <c r="F1204" s="57" t="e" vm="1">
        <v>#VALUE!</v>
      </c>
      <c r="G1204" s="58"/>
      <c r="H1204" s="57" t="e" vm="2">
        <v>#VALUE!</v>
      </c>
      <c r="I1204" s="64" t="s">
        <v>22</v>
      </c>
      <c r="J1204" s="57"/>
      <c r="K1204" s="57"/>
      <c r="L1204" s="4"/>
      <c r="M1204" s="35"/>
    </row>
    <row r="1205" spans="1:13" ht="15.9" customHeight="1" x14ac:dyDescent="0.3">
      <c r="A1205" s="46">
        <v>1202</v>
      </c>
      <c r="B1205" s="64" t="str">
        <f>IF(Tabla1[[#This Row],[TRABAJADOR]]="", "", VLOOKUP(Tabla1[[#This Row],[TRABAJADOR]], 'Colaborador ID'!B:C, 2, FALSE))</f>
        <v>E0496</v>
      </c>
      <c r="C1205" s="63" t="s">
        <v>2316</v>
      </c>
      <c r="D1205" s="64" t="s">
        <v>2317</v>
      </c>
      <c r="E1205" s="64" t="s">
        <v>271</v>
      </c>
      <c r="F1205" s="38" t="e" vm="1">
        <v>#VALUE!</v>
      </c>
      <c r="G1205" s="58">
        <v>45842</v>
      </c>
      <c r="H1205" s="40" t="e" vm="2">
        <v>#VALUE!</v>
      </c>
      <c r="I1205" s="64"/>
      <c r="J1205" s="57"/>
      <c r="K1205" s="57"/>
      <c r="L1205" s="4"/>
      <c r="M1205" s="35"/>
    </row>
    <row r="1206" spans="1:13" ht="15.9" customHeight="1" x14ac:dyDescent="0.3">
      <c r="A1206" s="46">
        <v>1203</v>
      </c>
      <c r="B1206" s="57" t="str">
        <f>IF(Tabla1[[#This Row],[TRABAJADOR]]="", "", VLOOKUP(Tabla1[[#This Row],[TRABAJADOR]], 'Colaborador ID'!B:C, 2, FALSE))</f>
        <v>E1779</v>
      </c>
      <c r="C1206" s="56" t="s">
        <v>2318</v>
      </c>
      <c r="D1206" s="57" t="s">
        <v>2319</v>
      </c>
      <c r="E1206" s="64" t="s">
        <v>16</v>
      </c>
      <c r="F1206" s="49" t="e" vm="1">
        <v>#VALUE!</v>
      </c>
      <c r="G1206" s="58">
        <v>45895</v>
      </c>
      <c r="H1206" s="57" t="e" vm="2">
        <v>#VALUE!</v>
      </c>
      <c r="I1206" s="57"/>
      <c r="J1206" s="57"/>
      <c r="K1206" s="57"/>
      <c r="L1206" s="4"/>
      <c r="M1206" s="35"/>
    </row>
    <row r="1207" spans="1:13" ht="15.9" customHeight="1" x14ac:dyDescent="0.3">
      <c r="A1207" s="46">
        <v>1204</v>
      </c>
      <c r="B1207" s="64" t="str">
        <f>IF(Tabla1[[#This Row],[TRABAJADOR]]="", "", VLOOKUP(Tabla1[[#This Row],[TRABAJADOR]], 'Colaborador ID'!B:C, 2, FALSE))</f>
        <v>E0132</v>
      </c>
      <c r="C1207" s="63" t="s">
        <v>2320</v>
      </c>
      <c r="D1207" s="64" t="s">
        <v>2321</v>
      </c>
      <c r="E1207" s="64"/>
      <c r="F1207" s="57" t="e" vm="1">
        <v>#VALUE!</v>
      </c>
      <c r="G1207" s="58"/>
      <c r="H1207" s="57" t="e" vm="2">
        <v>#VALUE!</v>
      </c>
      <c r="I1207" s="64"/>
      <c r="J1207" s="57"/>
      <c r="K1207" s="57"/>
      <c r="L1207" s="4"/>
      <c r="M1207" s="35"/>
    </row>
    <row r="1208" spans="1:13" ht="15.9" customHeight="1" x14ac:dyDescent="0.3">
      <c r="A1208" s="46">
        <v>1205</v>
      </c>
      <c r="B1208" s="64" t="str">
        <f>IF(Tabla1[[#This Row],[TRABAJADOR]]="", "", VLOOKUP(Tabla1[[#This Row],[TRABAJADOR]], 'Colaborador ID'!B:C, 2, FALSE))</f>
        <v>E0220</v>
      </c>
      <c r="C1208" s="63" t="s">
        <v>2322</v>
      </c>
      <c r="D1208" s="64" t="s">
        <v>2323</v>
      </c>
      <c r="E1208" s="64" t="s">
        <v>83</v>
      </c>
      <c r="F1208" s="38" t="e" vm="1">
        <v>#VALUE!</v>
      </c>
      <c r="G1208" s="58">
        <v>45798</v>
      </c>
      <c r="H1208" s="57" t="e" vm="2">
        <v>#VALUE!</v>
      </c>
      <c r="I1208" s="64"/>
      <c r="J1208" s="57"/>
      <c r="K1208" s="57"/>
      <c r="L1208" s="4"/>
      <c r="M1208" s="35"/>
    </row>
    <row r="1209" spans="1:13" ht="15.9" customHeight="1" x14ac:dyDescent="0.3">
      <c r="A1209" s="46">
        <v>1206</v>
      </c>
      <c r="B1209" s="57" t="str">
        <f>IF(Tabla1[[#This Row],[TRABAJADOR]]="", "", VLOOKUP(Tabla1[[#This Row],[TRABAJADOR]], 'Colaborador ID'!B:C, 2, FALSE))</f>
        <v>E1800</v>
      </c>
      <c r="C1209" s="56" t="s">
        <v>2324</v>
      </c>
      <c r="D1209" s="57" t="s">
        <v>2325</v>
      </c>
      <c r="E1209" s="64" t="s">
        <v>16</v>
      </c>
      <c r="F1209" s="49" t="e" vm="1">
        <v>#VALUE!</v>
      </c>
      <c r="G1209" s="58">
        <v>45923</v>
      </c>
      <c r="H1209" s="57" t="e" vm="2">
        <v>#VALUE!</v>
      </c>
      <c r="I1209" s="57"/>
      <c r="J1209" s="57"/>
      <c r="K1209" s="57"/>
      <c r="L1209" s="4"/>
      <c r="M1209" s="35"/>
    </row>
    <row r="1210" spans="1:13" ht="15.9" customHeight="1" x14ac:dyDescent="0.3">
      <c r="A1210" s="46">
        <v>1207</v>
      </c>
      <c r="B1210" s="57" t="str">
        <f>IF(Tabla1[[#This Row],[TRABAJADOR]]="", "", VLOOKUP(Tabla1[[#This Row],[TRABAJADOR]], 'Colaborador ID'!B:C, 2, FALSE))</f>
        <v>E2096</v>
      </c>
      <c r="C1210" s="56" t="s">
        <v>5343</v>
      </c>
      <c r="D1210" s="57" t="s">
        <v>5388</v>
      </c>
      <c r="E1210" s="64" t="s">
        <v>16</v>
      </c>
      <c r="F1210" s="49" t="e" vm="1">
        <v>#VALUE!</v>
      </c>
      <c r="G1210" s="58">
        <v>46056</v>
      </c>
      <c r="H1210" s="57" t="e" vm="2">
        <v>#VALUE!</v>
      </c>
      <c r="I1210" s="57"/>
      <c r="J1210" s="57"/>
      <c r="K1210" s="57"/>
      <c r="L1210" s="4"/>
      <c r="M1210" s="35"/>
    </row>
    <row r="1211" spans="1:13" ht="15.9" customHeight="1" x14ac:dyDescent="0.3">
      <c r="A1211" s="46">
        <v>1208</v>
      </c>
      <c r="B1211" s="64" t="str">
        <f>IF(Tabla1[[#This Row],[TRABAJADOR]]="", "", VLOOKUP(Tabla1[[#This Row],[TRABAJADOR]], 'Colaborador ID'!B:C, 2, FALSE))</f>
        <v>E0245</v>
      </c>
      <c r="C1211" s="63" t="s">
        <v>2326</v>
      </c>
      <c r="D1211" s="64" t="s">
        <v>2327</v>
      </c>
      <c r="E1211" s="64"/>
      <c r="F1211" s="57" t="e" vm="1">
        <v>#VALUE!</v>
      </c>
      <c r="G1211" s="58"/>
      <c r="H1211" s="57" t="e" vm="2">
        <v>#VALUE!</v>
      </c>
      <c r="I1211" s="64"/>
      <c r="J1211" s="57"/>
      <c r="K1211" s="57"/>
      <c r="L1211" s="4"/>
      <c r="M1211" s="35"/>
    </row>
    <row r="1212" spans="1:13" ht="15.9" customHeight="1" x14ac:dyDescent="0.3">
      <c r="A1212" s="46">
        <v>1209</v>
      </c>
      <c r="B1212" s="64" t="str">
        <f>IF(Tabla1[[#This Row],[TRABAJADOR]]="", "", VLOOKUP(Tabla1[[#This Row],[TRABAJADOR]], 'Colaborador ID'!B:C, 2, FALSE))</f>
        <v>E0535</v>
      </c>
      <c r="C1212" s="63" t="s">
        <v>2328</v>
      </c>
      <c r="D1212" s="64" t="s">
        <v>2329</v>
      </c>
      <c r="E1212" s="64" t="s">
        <v>16</v>
      </c>
      <c r="F1212" s="38" t="e" vm="1">
        <v>#VALUE!</v>
      </c>
      <c r="G1212" s="58">
        <v>45783</v>
      </c>
      <c r="H1212" s="57" t="e" vm="2">
        <v>#VALUE!</v>
      </c>
      <c r="I1212" s="64"/>
      <c r="J1212" s="57"/>
      <c r="K1212" s="57"/>
      <c r="L1212" s="4"/>
      <c r="M1212" s="35"/>
    </row>
    <row r="1213" spans="1:13" ht="15.9" customHeight="1" x14ac:dyDescent="0.35">
      <c r="A1213" s="46">
        <v>1210</v>
      </c>
      <c r="B1213" s="64" t="str">
        <f>IF(Tabla1[[#This Row],[TRABAJADOR]]="", "", VLOOKUP(Tabla1[[#This Row],[TRABAJADOR]], 'Colaborador ID'!B:C, 2, FALSE))</f>
        <v>E0811</v>
      </c>
      <c r="C1213" s="63" t="s">
        <v>2330</v>
      </c>
      <c r="D1213" s="64" t="s">
        <v>2331</v>
      </c>
      <c r="E1213" s="64" t="s">
        <v>158</v>
      </c>
      <c r="F1213" s="42" t="e" vm="1">
        <v>#VALUE!</v>
      </c>
      <c r="G1213" s="58">
        <v>45860</v>
      </c>
      <c r="H1213" s="40" t="e" vm="2">
        <v>#VALUE!</v>
      </c>
      <c r="I1213" s="64"/>
      <c r="J1213" s="57"/>
      <c r="K1213" s="57"/>
      <c r="L1213" s="4"/>
      <c r="M1213" s="35"/>
    </row>
    <row r="1214" spans="1:13" ht="15.9" customHeight="1" x14ac:dyDescent="0.3">
      <c r="A1214" s="46">
        <v>1211</v>
      </c>
      <c r="B1214" s="57" t="str">
        <f>IF(Tabla1[[#This Row],[TRABAJADOR]]="", "", VLOOKUP(Tabla1[[#This Row],[TRABAJADOR]], 'Colaborador ID'!B:C, 2, FALSE))</f>
        <v>E2059</v>
      </c>
      <c r="C1214" s="56" t="s">
        <v>2332</v>
      </c>
      <c r="D1214" s="57" t="s">
        <v>2333</v>
      </c>
      <c r="E1214" s="64" t="s">
        <v>16</v>
      </c>
      <c r="F1214" s="51" t="e" vm="1">
        <v>#VALUE!</v>
      </c>
      <c r="G1214" s="58">
        <v>45993</v>
      </c>
      <c r="H1214" s="57" t="e" vm="2">
        <v>#VALUE!</v>
      </c>
      <c r="I1214" s="57"/>
      <c r="J1214" s="57"/>
      <c r="K1214" s="57"/>
      <c r="L1214" s="4"/>
      <c r="M1214" s="35"/>
    </row>
    <row r="1215" spans="1:13" ht="15.9" customHeight="1" x14ac:dyDescent="0.3">
      <c r="A1215" s="46">
        <v>1212</v>
      </c>
      <c r="B1215" s="64" t="str">
        <f>IF(Tabla1[[#This Row],[TRABAJADOR]]="", "", VLOOKUP(Tabla1[[#This Row],[TRABAJADOR]], 'Colaborador ID'!B:C, 2, FALSE))</f>
        <v>E1571</v>
      </c>
      <c r="C1215" s="63" t="s">
        <v>2334</v>
      </c>
      <c r="D1215" s="64" t="s">
        <v>2335</v>
      </c>
      <c r="E1215" s="64"/>
      <c r="F1215" s="57" t="e" vm="1">
        <v>#VALUE!</v>
      </c>
      <c r="G1215" s="58"/>
      <c r="H1215" s="57" t="e" vm="2">
        <v>#VALUE!</v>
      </c>
      <c r="I1215" s="64" t="s">
        <v>22</v>
      </c>
      <c r="J1215" s="57"/>
      <c r="K1215" s="57"/>
      <c r="L1215" s="4"/>
      <c r="M1215" s="35"/>
    </row>
    <row r="1216" spans="1:13" ht="15.9" customHeight="1" x14ac:dyDescent="0.3">
      <c r="A1216" s="46">
        <v>1213</v>
      </c>
      <c r="B1216" s="64" t="str">
        <f>IF(Tabla1[[#This Row],[TRABAJADOR]]="", "", VLOOKUP(Tabla1[[#This Row],[TRABAJADOR]], 'Colaborador ID'!B:C, 2, FALSE))</f>
        <v>E0748</v>
      </c>
      <c r="C1216" s="63" t="s">
        <v>2336</v>
      </c>
      <c r="D1216" s="64" t="s">
        <v>2337</v>
      </c>
      <c r="E1216" s="64"/>
      <c r="F1216" s="57" t="e" vm="1">
        <v>#VALUE!</v>
      </c>
      <c r="G1216" s="58"/>
      <c r="H1216" s="57" t="e" vm="2">
        <v>#VALUE!</v>
      </c>
      <c r="I1216" s="64"/>
      <c r="J1216" s="57"/>
      <c r="K1216" s="57"/>
      <c r="L1216" s="4"/>
      <c r="M1216" s="35"/>
    </row>
    <row r="1217" spans="1:13" ht="15.9" customHeight="1" x14ac:dyDescent="0.3">
      <c r="A1217" s="46">
        <v>1214</v>
      </c>
      <c r="B1217" s="57" t="str">
        <f>IF(Tabla1[[#This Row],[TRABAJADOR]]="", "", VLOOKUP(Tabla1[[#This Row],[TRABAJADOR]], 'Colaborador ID'!B:C, 2, FALSE))</f>
        <v>E2125</v>
      </c>
      <c r="C1217" s="56" t="s">
        <v>5412</v>
      </c>
      <c r="D1217" s="57" t="s">
        <v>5514</v>
      </c>
      <c r="E1217" s="57" t="s">
        <v>16</v>
      </c>
      <c r="F1217" s="49" t="e" vm="1">
        <v>#VALUE!</v>
      </c>
      <c r="G1217" s="58">
        <v>46090</v>
      </c>
      <c r="H1217" s="57" t="e" vm="3">
        <v>#VALUE!</v>
      </c>
      <c r="I1217" s="57"/>
      <c r="J1217" s="57"/>
      <c r="K1217" s="57"/>
      <c r="L1217" s="4"/>
      <c r="M1217" s="35"/>
    </row>
    <row r="1218" spans="1:13" ht="15.9" customHeight="1" x14ac:dyDescent="0.3">
      <c r="A1218" s="46">
        <v>1215</v>
      </c>
      <c r="B1218" s="64" t="str">
        <f>IF(Tabla1[[#This Row],[TRABAJADOR]]="", "", VLOOKUP(Tabla1[[#This Row],[TRABAJADOR]], 'Colaborador ID'!B:C, 2, FALSE))</f>
        <v>E1572</v>
      </c>
      <c r="C1218" s="63" t="s">
        <v>2338</v>
      </c>
      <c r="D1218" s="64" t="s">
        <v>2339</v>
      </c>
      <c r="E1218" s="64" t="s">
        <v>16</v>
      </c>
      <c r="F1218" s="49" t="e" vm="1">
        <v>#VALUE!</v>
      </c>
      <c r="G1218" s="58"/>
      <c r="H1218" s="57" t="e" vm="2">
        <v>#VALUE!</v>
      </c>
      <c r="I1218" s="64" t="s">
        <v>22</v>
      </c>
      <c r="J1218" s="57"/>
      <c r="K1218" s="57"/>
      <c r="L1218" s="4"/>
      <c r="M1218" s="35"/>
    </row>
    <row r="1219" spans="1:13" ht="15.9" customHeight="1" x14ac:dyDescent="0.35">
      <c r="A1219" s="46">
        <v>1216</v>
      </c>
      <c r="B1219" s="64" t="str">
        <f>IF(Tabla1[[#This Row],[TRABAJADOR]]="", "", VLOOKUP(Tabla1[[#This Row],[TRABAJADOR]], 'Colaborador ID'!B:C, 2, FALSE))</f>
        <v>E0074</v>
      </c>
      <c r="C1219" s="63" t="s">
        <v>2340</v>
      </c>
      <c r="D1219" s="64" t="s">
        <v>2341</v>
      </c>
      <c r="E1219" s="64" t="s">
        <v>13</v>
      </c>
      <c r="F1219" s="42" t="e" vm="1">
        <v>#VALUE!</v>
      </c>
      <c r="G1219" s="58">
        <v>45750</v>
      </c>
      <c r="H1219" s="40" t="e" vm="2">
        <v>#VALUE!</v>
      </c>
      <c r="I1219" s="64"/>
      <c r="J1219" s="57"/>
      <c r="K1219" s="57"/>
      <c r="L1219" s="4"/>
      <c r="M1219" s="35"/>
    </row>
    <row r="1220" spans="1:13" ht="15.9" customHeight="1" x14ac:dyDescent="0.3">
      <c r="A1220" s="46">
        <v>1217</v>
      </c>
      <c r="B1220" s="64" t="str">
        <f>IF(Tabla1[[#This Row],[TRABAJADOR]]="", "", VLOOKUP(Tabla1[[#This Row],[TRABAJADOR]], 'Colaborador ID'!B:C, 2, FALSE))</f>
        <v>E1424</v>
      </c>
      <c r="C1220" s="63" t="s">
        <v>2342</v>
      </c>
      <c r="D1220" s="64" t="s">
        <v>2343</v>
      </c>
      <c r="E1220" s="64" t="s">
        <v>19</v>
      </c>
      <c r="F1220" s="38" t="e" vm="1">
        <v>#VALUE!</v>
      </c>
      <c r="G1220" s="58">
        <v>45833</v>
      </c>
      <c r="H1220" s="57" t="e" vm="2">
        <v>#VALUE!</v>
      </c>
      <c r="I1220" s="64"/>
      <c r="J1220" s="57"/>
      <c r="K1220" s="57"/>
      <c r="L1220" s="4"/>
      <c r="M1220" s="35"/>
    </row>
    <row r="1221" spans="1:13" ht="15.9" customHeight="1" x14ac:dyDescent="0.35">
      <c r="A1221" s="46">
        <v>1218</v>
      </c>
      <c r="B1221" s="64" t="str">
        <f>IF(Tabla1[[#This Row],[TRABAJADOR]]="", "", VLOOKUP(Tabla1[[#This Row],[TRABAJADOR]], 'Colaborador ID'!B:C, 2, FALSE))</f>
        <v>E0598</v>
      </c>
      <c r="C1221" s="63" t="s">
        <v>2344</v>
      </c>
      <c r="D1221" s="64" t="s">
        <v>2345</v>
      </c>
      <c r="E1221" s="64" t="s">
        <v>16</v>
      </c>
      <c r="F1221" s="42" t="e" vm="1">
        <v>#VALUE!</v>
      </c>
      <c r="G1221" s="58">
        <v>45728</v>
      </c>
      <c r="H1221" s="57" t="e" vm="2">
        <v>#VALUE!</v>
      </c>
      <c r="I1221" s="64"/>
      <c r="J1221" s="57"/>
      <c r="K1221" s="57"/>
      <c r="L1221" s="4"/>
      <c r="M1221" s="35"/>
    </row>
    <row r="1222" spans="1:13" ht="15.9" customHeight="1" x14ac:dyDescent="0.3">
      <c r="A1222" s="46">
        <v>1219</v>
      </c>
      <c r="B1222" s="64" t="str">
        <f>IF(Tabla1[[#This Row],[TRABAJADOR]]="", "", VLOOKUP(Tabla1[[#This Row],[TRABAJADOR]], 'Colaborador ID'!B:C, 2, FALSE))</f>
        <v>E1445</v>
      </c>
      <c r="C1222" s="63" t="s">
        <v>2346</v>
      </c>
      <c r="D1222" s="64" t="s">
        <v>2347</v>
      </c>
      <c r="E1222" s="64" t="s">
        <v>83</v>
      </c>
      <c r="F1222" s="38" t="e" vm="1">
        <v>#VALUE!</v>
      </c>
      <c r="G1222" s="58">
        <v>45847</v>
      </c>
      <c r="H1222" s="57" t="e" vm="2">
        <v>#VALUE!</v>
      </c>
      <c r="I1222" s="64"/>
      <c r="J1222" s="57"/>
      <c r="K1222" s="57"/>
      <c r="L1222" s="4"/>
      <c r="M1222" s="35"/>
    </row>
    <row r="1223" spans="1:13" ht="15.9" customHeight="1" x14ac:dyDescent="0.3">
      <c r="A1223" s="46">
        <v>1220</v>
      </c>
      <c r="B1223" s="64" t="str">
        <f>IF(Tabla1[[#This Row],[TRABAJADOR]]="", "", VLOOKUP(Tabla1[[#This Row],[TRABAJADOR]], 'Colaborador ID'!B:C, 2, FALSE))</f>
        <v>E1573</v>
      </c>
      <c r="C1223" s="63" t="s">
        <v>2348</v>
      </c>
      <c r="D1223" s="64" t="s">
        <v>2349</v>
      </c>
      <c r="E1223" s="64"/>
      <c r="F1223" s="57" t="e" vm="1">
        <v>#VALUE!</v>
      </c>
      <c r="G1223" s="58"/>
      <c r="H1223" s="57" t="e" vm="2">
        <v>#VALUE!</v>
      </c>
      <c r="I1223" s="64" t="s">
        <v>22</v>
      </c>
      <c r="J1223" s="57"/>
      <c r="K1223" s="57"/>
      <c r="L1223" s="4"/>
      <c r="M1223" s="35"/>
    </row>
    <row r="1224" spans="1:13" ht="15.9" customHeight="1" x14ac:dyDescent="0.3">
      <c r="A1224" s="46">
        <v>1221</v>
      </c>
      <c r="B1224" s="64" t="str">
        <f>IF(Tabla1[[#This Row],[TRABAJADOR]]="", "", VLOOKUP(Tabla1[[#This Row],[TRABAJADOR]], 'Colaborador ID'!B:C, 2, FALSE))</f>
        <v>E1075</v>
      </c>
      <c r="C1224" s="63" t="s">
        <v>2350</v>
      </c>
      <c r="D1224" s="64" t="s">
        <v>2351</v>
      </c>
      <c r="E1224" s="64" t="s">
        <v>16</v>
      </c>
      <c r="F1224" s="38" t="e" vm="1">
        <v>#VALUE!</v>
      </c>
      <c r="G1224" s="58">
        <v>45784</v>
      </c>
      <c r="H1224" s="57" t="e" vm="2">
        <v>#VALUE!</v>
      </c>
      <c r="I1224" s="64"/>
      <c r="J1224" s="57"/>
      <c r="K1224" s="57"/>
      <c r="L1224" s="4"/>
      <c r="M1224" s="35"/>
    </row>
    <row r="1225" spans="1:13" ht="15.9" customHeight="1" x14ac:dyDescent="0.3">
      <c r="A1225" s="46">
        <v>1222</v>
      </c>
      <c r="B1225" s="57" t="str">
        <f>IF(Tabla1[[#This Row],[TRABAJADOR]]="", "", VLOOKUP(Tabla1[[#This Row],[TRABAJADOR]], 'Colaborador ID'!B:C, 2, FALSE))</f>
        <v>E1905</v>
      </c>
      <c r="C1225" s="56" t="s">
        <v>2352</v>
      </c>
      <c r="D1225" s="57" t="s">
        <v>2353</v>
      </c>
      <c r="E1225" s="64" t="s">
        <v>19</v>
      </c>
      <c r="F1225" s="49" t="e" vm="1">
        <v>#VALUE!</v>
      </c>
      <c r="G1225" s="58">
        <v>45943</v>
      </c>
      <c r="H1225" s="57" t="e" vm="2">
        <v>#VALUE!</v>
      </c>
      <c r="I1225" s="57" t="s">
        <v>22</v>
      </c>
      <c r="J1225" s="57"/>
      <c r="K1225" s="57"/>
      <c r="L1225" s="4"/>
      <c r="M1225" s="35"/>
    </row>
    <row r="1226" spans="1:13" ht="15.9" customHeight="1" x14ac:dyDescent="0.3">
      <c r="A1226" s="46">
        <v>1223</v>
      </c>
      <c r="B1226" s="64" t="str">
        <f>IF(Tabla1[[#This Row],[TRABAJADOR]]="", "", VLOOKUP(Tabla1[[#This Row],[TRABAJADOR]], 'Colaborador ID'!B:C, 2, FALSE))</f>
        <v>E0606</v>
      </c>
      <c r="C1226" s="63" t="s">
        <v>2354</v>
      </c>
      <c r="D1226" s="64" t="s">
        <v>2355</v>
      </c>
      <c r="E1226" s="64" t="s">
        <v>13</v>
      </c>
      <c r="F1226" s="38" t="e" vm="1">
        <v>#VALUE!</v>
      </c>
      <c r="G1226" s="58"/>
      <c r="H1226" s="57" t="e" vm="2">
        <v>#VALUE!</v>
      </c>
      <c r="I1226" s="64"/>
      <c r="J1226" s="57"/>
      <c r="K1226" s="57"/>
      <c r="L1226" s="4"/>
      <c r="M1226" s="35"/>
    </row>
    <row r="1227" spans="1:13" ht="15.9" customHeight="1" x14ac:dyDescent="0.3">
      <c r="A1227" s="46">
        <v>1224</v>
      </c>
      <c r="B1227" s="64" t="str">
        <f>IF(Tabla1[[#This Row],[TRABAJADOR]]="", "", VLOOKUP(Tabla1[[#This Row],[TRABAJADOR]], 'Colaborador ID'!B:C, 2, FALSE))</f>
        <v>E0531</v>
      </c>
      <c r="C1227" s="63" t="s">
        <v>2356</v>
      </c>
      <c r="D1227" s="64" t="s">
        <v>2357</v>
      </c>
      <c r="E1227" s="64" t="s">
        <v>19</v>
      </c>
      <c r="F1227" s="38" t="e" vm="1">
        <v>#VALUE!</v>
      </c>
      <c r="G1227" s="58">
        <v>45764</v>
      </c>
      <c r="H1227" s="57" t="e" vm="2">
        <v>#VALUE!</v>
      </c>
      <c r="I1227" s="64"/>
      <c r="J1227" s="57"/>
      <c r="K1227" s="57"/>
      <c r="L1227" s="4"/>
      <c r="M1227" s="35"/>
    </row>
    <row r="1228" spans="1:13" ht="15.9" customHeight="1" x14ac:dyDescent="0.3">
      <c r="A1228" s="46">
        <v>1225</v>
      </c>
      <c r="B1228" s="57" t="str">
        <f>IF(Tabla1[[#This Row],[TRABAJADOR]]="", "", VLOOKUP(Tabla1[[#This Row],[TRABAJADOR]], 'Colaborador ID'!B:C, 2, FALSE))</f>
        <v>E1996</v>
      </c>
      <c r="C1228" s="56" t="s">
        <v>2358</v>
      </c>
      <c r="D1228" s="57" t="s">
        <v>2359</v>
      </c>
      <c r="E1228" s="64" t="s">
        <v>16</v>
      </c>
      <c r="F1228" s="49" t="e" vm="1">
        <v>#VALUE!</v>
      </c>
      <c r="G1228" s="58">
        <v>45964</v>
      </c>
      <c r="H1228" s="57" t="e" vm="2">
        <v>#VALUE!</v>
      </c>
      <c r="I1228" s="57" t="s">
        <v>22</v>
      </c>
      <c r="J1228" s="57"/>
      <c r="K1228" s="57"/>
      <c r="L1228" s="4"/>
      <c r="M1228" s="35"/>
    </row>
    <row r="1229" spans="1:13" ht="15.9" customHeight="1" x14ac:dyDescent="0.3">
      <c r="A1229" s="46">
        <v>1226</v>
      </c>
      <c r="B1229" s="64" t="str">
        <f>IF(Tabla1[[#This Row],[TRABAJADOR]]="", "", VLOOKUP(Tabla1[[#This Row],[TRABAJADOR]], 'Colaborador ID'!B:C, 2, FALSE))</f>
        <v>E0616</v>
      </c>
      <c r="C1229" s="63" t="s">
        <v>2360</v>
      </c>
      <c r="D1229" s="64" t="s">
        <v>2361</v>
      </c>
      <c r="E1229" s="64" t="s">
        <v>16</v>
      </c>
      <c r="F1229" s="38" t="e" vm="1">
        <v>#VALUE!</v>
      </c>
      <c r="G1229" s="58">
        <v>45783</v>
      </c>
      <c r="H1229" s="57"/>
      <c r="I1229" s="64"/>
      <c r="J1229" s="57"/>
      <c r="K1229" s="57"/>
      <c r="L1229" s="4"/>
      <c r="M1229" s="35"/>
    </row>
    <row r="1230" spans="1:13" ht="15.9" customHeight="1" x14ac:dyDescent="0.3">
      <c r="A1230" s="46">
        <v>1227</v>
      </c>
      <c r="B1230" s="64" t="str">
        <f>IF(Tabla1[[#This Row],[TRABAJADOR]]="", "", VLOOKUP(Tabla1[[#This Row],[TRABAJADOR]], 'Colaborador ID'!B:C, 2, FALSE))</f>
        <v>E0664</v>
      </c>
      <c r="C1230" s="63" t="s">
        <v>2362</v>
      </c>
      <c r="D1230" s="64" t="s">
        <v>2363</v>
      </c>
      <c r="E1230" s="64"/>
      <c r="F1230" s="57" t="e" vm="1">
        <v>#VALUE!</v>
      </c>
      <c r="G1230" s="58"/>
      <c r="H1230" s="57" t="e" vm="2">
        <v>#VALUE!</v>
      </c>
      <c r="I1230" s="64"/>
      <c r="J1230" s="57"/>
      <c r="K1230" s="57"/>
      <c r="L1230" s="4"/>
      <c r="M1230" s="35"/>
    </row>
    <row r="1231" spans="1:13" ht="15.9" customHeight="1" x14ac:dyDescent="0.3">
      <c r="A1231" s="46">
        <v>1228</v>
      </c>
      <c r="B1231" s="64" t="str">
        <f>IF(Tabla1[[#This Row],[TRABAJADOR]]="", "", VLOOKUP(Tabla1[[#This Row],[TRABAJADOR]], 'Colaborador ID'!B:C, 2, FALSE))</f>
        <v>E0790</v>
      </c>
      <c r="C1231" s="63" t="s">
        <v>2364</v>
      </c>
      <c r="D1231" s="64" t="s">
        <v>2365</v>
      </c>
      <c r="E1231" s="64"/>
      <c r="F1231" s="57" t="e" vm="1">
        <v>#VALUE!</v>
      </c>
      <c r="G1231" s="58"/>
      <c r="H1231" s="57" t="e" vm="2">
        <v>#VALUE!</v>
      </c>
      <c r="I1231" s="64"/>
      <c r="J1231" s="57"/>
      <c r="K1231" s="57"/>
      <c r="L1231" s="4"/>
      <c r="M1231" s="35"/>
    </row>
    <row r="1232" spans="1:13" ht="15.9" customHeight="1" x14ac:dyDescent="0.3">
      <c r="A1232" s="46">
        <v>1229</v>
      </c>
      <c r="B1232" s="64" t="str">
        <f>IF(Tabla1[[#This Row],[TRABAJADOR]]="", "", VLOOKUP(Tabla1[[#This Row],[TRABAJADOR]], 'Colaborador ID'!B:C, 2, FALSE))</f>
        <v>E1574</v>
      </c>
      <c r="C1232" s="63" t="s">
        <v>2366</v>
      </c>
      <c r="D1232" s="64" t="s">
        <v>2367</v>
      </c>
      <c r="E1232" s="64"/>
      <c r="F1232" s="57" t="e" vm="1">
        <v>#VALUE!</v>
      </c>
      <c r="G1232" s="58"/>
      <c r="H1232" s="57" t="e" vm="2">
        <v>#VALUE!</v>
      </c>
      <c r="I1232" s="64" t="s">
        <v>22</v>
      </c>
      <c r="J1232" s="57"/>
      <c r="K1232" s="57"/>
      <c r="L1232" s="4"/>
      <c r="M1232" s="35"/>
    </row>
    <row r="1233" spans="1:13" ht="15.9" customHeight="1" x14ac:dyDescent="0.3">
      <c r="A1233" s="46">
        <v>1230</v>
      </c>
      <c r="B1233" s="64" t="str">
        <f>IF(Tabla1[[#This Row],[TRABAJADOR]]="", "", VLOOKUP(Tabla1[[#This Row],[TRABAJADOR]], 'Colaborador ID'!B:C, 2, FALSE))</f>
        <v>E1575</v>
      </c>
      <c r="C1233" s="63" t="s">
        <v>2368</v>
      </c>
      <c r="D1233" s="64" t="s">
        <v>2369</v>
      </c>
      <c r="E1233" s="64"/>
      <c r="F1233" s="57" t="e" vm="1">
        <v>#VALUE!</v>
      </c>
      <c r="G1233" s="58"/>
      <c r="H1233" s="57" t="e" vm="2">
        <v>#VALUE!</v>
      </c>
      <c r="I1233" s="64" t="s">
        <v>22</v>
      </c>
      <c r="J1233" s="57"/>
      <c r="K1233" s="57"/>
      <c r="L1233" s="4"/>
      <c r="M1233" s="35"/>
    </row>
    <row r="1234" spans="1:13" ht="15.9" customHeight="1" x14ac:dyDescent="0.3">
      <c r="A1234" s="46">
        <v>1231</v>
      </c>
      <c r="B1234" s="64" t="str">
        <f>IF(Tabla1[[#This Row],[TRABAJADOR]]="", "", VLOOKUP(Tabla1[[#This Row],[TRABAJADOR]], 'Colaborador ID'!B:C, 2, FALSE))</f>
        <v>E0486</v>
      </c>
      <c r="C1234" s="63" t="s">
        <v>2370</v>
      </c>
      <c r="D1234" s="64" t="s">
        <v>2371</v>
      </c>
      <c r="E1234" s="64" t="s">
        <v>16</v>
      </c>
      <c r="F1234" s="38" t="e" vm="1">
        <v>#VALUE!</v>
      </c>
      <c r="G1234" s="58">
        <v>45737</v>
      </c>
      <c r="H1234" s="57" t="e" vm="2">
        <v>#VALUE!</v>
      </c>
      <c r="I1234" s="64"/>
      <c r="J1234" s="57"/>
      <c r="K1234" s="57"/>
      <c r="L1234" s="4"/>
      <c r="M1234" s="35"/>
    </row>
    <row r="1235" spans="1:13" ht="15.9" customHeight="1" x14ac:dyDescent="0.3">
      <c r="A1235" s="46">
        <v>1232</v>
      </c>
      <c r="B1235" s="64" t="str">
        <f>IF(Tabla1[[#This Row],[TRABAJADOR]]="", "", VLOOKUP(Tabla1[[#This Row],[TRABAJADOR]], 'Colaborador ID'!B:C, 2, FALSE))</f>
        <v>E0200</v>
      </c>
      <c r="C1235" s="63" t="s">
        <v>2372</v>
      </c>
      <c r="D1235" s="64" t="s">
        <v>2373</v>
      </c>
      <c r="E1235" s="64" t="s">
        <v>16</v>
      </c>
      <c r="F1235" s="38" t="e" vm="1">
        <v>#VALUE!</v>
      </c>
      <c r="G1235" s="58">
        <v>45736</v>
      </c>
      <c r="H1235" s="57" t="e" vm="2">
        <v>#VALUE!</v>
      </c>
      <c r="I1235" s="64"/>
      <c r="J1235" s="57"/>
      <c r="K1235" s="57"/>
      <c r="L1235" s="4"/>
      <c r="M1235" s="35"/>
    </row>
    <row r="1236" spans="1:13" ht="15.9" customHeight="1" x14ac:dyDescent="0.3">
      <c r="A1236" s="46">
        <v>1233</v>
      </c>
      <c r="B1236" s="57" t="str">
        <f>IF(Tabla1[[#This Row],[TRABAJADOR]]="", "", VLOOKUP(Tabla1[[#This Row],[TRABAJADOR]], 'Colaborador ID'!B:C, 2, FALSE))</f>
        <v>E2060</v>
      </c>
      <c r="C1236" s="56" t="s">
        <v>2374</v>
      </c>
      <c r="D1236" s="57" t="s">
        <v>2375</v>
      </c>
      <c r="E1236" s="64" t="s">
        <v>19</v>
      </c>
      <c r="F1236" s="49" t="e" vm="1">
        <v>#VALUE!</v>
      </c>
      <c r="G1236" s="58">
        <v>45982</v>
      </c>
      <c r="H1236" s="57" t="e" vm="2">
        <v>#VALUE!</v>
      </c>
      <c r="I1236" s="57"/>
      <c r="J1236" s="57"/>
      <c r="K1236" s="57"/>
      <c r="L1236" s="4"/>
      <c r="M1236" s="35"/>
    </row>
    <row r="1237" spans="1:13" ht="15.9" customHeight="1" x14ac:dyDescent="0.3">
      <c r="A1237" s="46">
        <v>1234</v>
      </c>
      <c r="B1237" s="57" t="str">
        <f>IF(Tabla1[[#This Row],[TRABAJADOR]]="", "", VLOOKUP(Tabla1[[#This Row],[TRABAJADOR]], 'Colaborador ID'!B:C, 2, FALSE))</f>
        <v>E1816</v>
      </c>
      <c r="C1237" s="56" t="s">
        <v>2376</v>
      </c>
      <c r="D1237" s="57" t="s">
        <v>2377</v>
      </c>
      <c r="E1237" s="64" t="s">
        <v>16</v>
      </c>
      <c r="F1237" s="49" t="e" vm="1">
        <v>#VALUE!</v>
      </c>
      <c r="G1237" s="58">
        <v>45931</v>
      </c>
      <c r="H1237" s="57" t="e" vm="2">
        <v>#VALUE!</v>
      </c>
      <c r="I1237" s="57"/>
      <c r="J1237" s="57"/>
      <c r="K1237" s="57"/>
      <c r="L1237" s="4"/>
      <c r="M1237" s="35"/>
    </row>
    <row r="1238" spans="1:13" ht="15.9" customHeight="1" x14ac:dyDescent="0.35">
      <c r="A1238" s="46">
        <v>1235</v>
      </c>
      <c r="B1238" s="64" t="str">
        <f>IF(Tabla1[[#This Row],[TRABAJADOR]]="", "", VLOOKUP(Tabla1[[#This Row],[TRABAJADOR]], 'Colaborador ID'!B:C, 2, FALSE))</f>
        <v>E0327</v>
      </c>
      <c r="C1238" s="63" t="s">
        <v>2378</v>
      </c>
      <c r="D1238" s="64" t="s">
        <v>2379</v>
      </c>
      <c r="E1238" s="64" t="s">
        <v>16</v>
      </c>
      <c r="F1238" s="42" t="e" vm="1">
        <v>#VALUE!</v>
      </c>
      <c r="G1238" s="58"/>
      <c r="H1238" s="57" t="e" vm="2">
        <v>#VALUE!</v>
      </c>
      <c r="I1238" s="64"/>
      <c r="J1238" s="57"/>
      <c r="K1238" s="57"/>
      <c r="L1238" s="4"/>
      <c r="M1238" s="35"/>
    </row>
    <row r="1239" spans="1:13" ht="15.9" customHeight="1" x14ac:dyDescent="0.3">
      <c r="A1239" s="46">
        <v>1236</v>
      </c>
      <c r="B1239" s="64" t="str">
        <f>IF(Tabla1[[#This Row],[TRABAJADOR]]="", "", VLOOKUP(Tabla1[[#This Row],[TRABAJADOR]], 'Colaborador ID'!B:C, 2, FALSE))</f>
        <v>E0634</v>
      </c>
      <c r="C1239" s="63" t="s">
        <v>2380</v>
      </c>
      <c r="D1239" s="64" t="s">
        <v>2381</v>
      </c>
      <c r="E1239" s="64"/>
      <c r="F1239" s="57" t="e" vm="1">
        <v>#VALUE!</v>
      </c>
      <c r="G1239" s="58"/>
      <c r="H1239" s="57" t="e" vm="2">
        <v>#VALUE!</v>
      </c>
      <c r="I1239" s="64" t="s">
        <v>22</v>
      </c>
      <c r="J1239" s="57"/>
      <c r="K1239" s="57"/>
      <c r="L1239" s="4"/>
      <c r="M1239" s="35"/>
    </row>
    <row r="1240" spans="1:13" ht="15.9" customHeight="1" x14ac:dyDescent="0.3">
      <c r="A1240" s="46">
        <v>1237</v>
      </c>
      <c r="B1240" s="57" t="str">
        <f>IF(Tabla1[[#This Row],[TRABAJADOR]]="", "", VLOOKUP(Tabla1[[#This Row],[TRABAJADOR]], 'Colaborador ID'!B:C, 2, FALSE))</f>
        <v>E1729</v>
      </c>
      <c r="C1240" s="56" t="s">
        <v>2382</v>
      </c>
      <c r="D1240" s="57" t="s">
        <v>2383</v>
      </c>
      <c r="E1240" s="57" t="s">
        <v>16</v>
      </c>
      <c r="F1240" s="49" t="e" vm="1">
        <v>#VALUE!</v>
      </c>
      <c r="G1240" s="58">
        <v>45903</v>
      </c>
      <c r="H1240" s="57" t="e" vm="2">
        <v>#VALUE!</v>
      </c>
      <c r="I1240" s="57"/>
      <c r="J1240" s="57"/>
      <c r="K1240" s="57"/>
      <c r="L1240" s="4"/>
      <c r="M1240" s="35"/>
    </row>
    <row r="1241" spans="1:13" ht="15.9" customHeight="1" x14ac:dyDescent="0.3">
      <c r="A1241" s="46">
        <v>1238</v>
      </c>
      <c r="B1241" s="64" t="str">
        <f>IF(Tabla1[[#This Row],[TRABAJADOR]]="", "", VLOOKUP(Tabla1[[#This Row],[TRABAJADOR]], 'Colaborador ID'!B:C, 2, FALSE))</f>
        <v>E0290</v>
      </c>
      <c r="C1241" s="63" t="s">
        <v>2384</v>
      </c>
      <c r="D1241" s="64" t="s">
        <v>2385</v>
      </c>
      <c r="E1241" s="64"/>
      <c r="F1241" s="57" t="e" vm="1">
        <v>#VALUE!</v>
      </c>
      <c r="G1241" s="58"/>
      <c r="H1241" s="57" t="e" vm="2">
        <v>#VALUE!</v>
      </c>
      <c r="I1241" s="64"/>
      <c r="J1241" s="57"/>
      <c r="K1241" s="57"/>
      <c r="L1241" s="4"/>
      <c r="M1241" s="35"/>
    </row>
    <row r="1242" spans="1:13" ht="15.9" customHeight="1" x14ac:dyDescent="0.3">
      <c r="A1242" s="46">
        <v>1239</v>
      </c>
      <c r="B1242" s="57" t="str">
        <f>IF(Tabla1[[#This Row],[TRABAJADOR]]="", "", VLOOKUP(Tabla1[[#This Row],[TRABAJADOR]], 'Colaborador ID'!B:C, 2, FALSE))</f>
        <v>E1890</v>
      </c>
      <c r="C1242" s="56" t="s">
        <v>2386</v>
      </c>
      <c r="D1242" s="57" t="s">
        <v>2387</v>
      </c>
      <c r="E1242" s="64" t="s">
        <v>16</v>
      </c>
      <c r="F1242" s="49" t="e" vm="1">
        <v>#VALUE!</v>
      </c>
      <c r="G1242" s="58">
        <v>45945</v>
      </c>
      <c r="H1242" s="57" t="e" vm="2">
        <v>#VALUE!</v>
      </c>
      <c r="I1242" s="57" t="s">
        <v>22</v>
      </c>
      <c r="J1242" s="57"/>
      <c r="K1242" s="57"/>
      <c r="L1242" s="4"/>
      <c r="M1242" s="35"/>
    </row>
    <row r="1243" spans="1:13" ht="15.9" customHeight="1" x14ac:dyDescent="0.3">
      <c r="A1243" s="46">
        <v>1240</v>
      </c>
      <c r="B1243" s="57" t="str">
        <f>IF(Tabla1[[#This Row],[TRABAJADOR]]="", "", VLOOKUP(Tabla1[[#This Row],[TRABAJADOR]], 'Colaborador ID'!B:C, 2, FALSE))</f>
        <v>E1425</v>
      </c>
      <c r="C1243" s="56" t="s">
        <v>2388</v>
      </c>
      <c r="D1243" s="57" t="s">
        <v>2389</v>
      </c>
      <c r="E1243" s="64" t="s">
        <v>16</v>
      </c>
      <c r="F1243" s="49" t="e" vm="1">
        <v>#VALUE!</v>
      </c>
      <c r="G1243" s="58">
        <v>45896</v>
      </c>
      <c r="H1243" s="57" t="e" vm="2">
        <v>#VALUE!</v>
      </c>
      <c r="I1243" s="57" t="s">
        <v>22</v>
      </c>
      <c r="J1243" s="57"/>
      <c r="K1243" s="57"/>
      <c r="L1243" s="4"/>
      <c r="M1243" s="35"/>
    </row>
    <row r="1244" spans="1:13" ht="15.9" customHeight="1" x14ac:dyDescent="0.3">
      <c r="A1244" s="46">
        <v>1241</v>
      </c>
      <c r="B1244" s="64" t="str">
        <f>IF(Tabla1[[#This Row],[TRABAJADOR]]="", "", VLOOKUP(Tabla1[[#This Row],[TRABAJADOR]], 'Colaborador ID'!B:C, 2, FALSE))</f>
        <v>E0264</v>
      </c>
      <c r="C1244" s="63" t="s">
        <v>2390</v>
      </c>
      <c r="D1244" s="64" t="s">
        <v>2391</v>
      </c>
      <c r="E1244" s="64"/>
      <c r="F1244" s="57" t="e" vm="1">
        <v>#VALUE!</v>
      </c>
      <c r="G1244" s="58"/>
      <c r="H1244" s="57" t="e" vm="2">
        <v>#VALUE!</v>
      </c>
      <c r="I1244" s="64"/>
      <c r="J1244" s="57"/>
      <c r="K1244" s="57"/>
      <c r="L1244" s="4"/>
      <c r="M1244" s="35"/>
    </row>
    <row r="1245" spans="1:13" ht="15.9" customHeight="1" x14ac:dyDescent="0.3">
      <c r="A1245" s="46">
        <v>1242</v>
      </c>
      <c r="B1245" s="57" t="str">
        <f>IF(Tabla1[[#This Row],[TRABAJADOR]]="", "", VLOOKUP(Tabla1[[#This Row],[TRABAJADOR]], 'Colaborador ID'!B:C, 2, FALSE))</f>
        <v>E1977</v>
      </c>
      <c r="C1245" s="56" t="s">
        <v>2392</v>
      </c>
      <c r="D1245" s="57" t="s">
        <v>2393</v>
      </c>
      <c r="E1245" s="64" t="s">
        <v>16</v>
      </c>
      <c r="F1245" s="49" t="e" vm="1">
        <v>#VALUE!</v>
      </c>
      <c r="G1245" s="58">
        <v>45968</v>
      </c>
      <c r="H1245" s="57" t="e" vm="2">
        <v>#VALUE!</v>
      </c>
      <c r="I1245" s="57" t="s">
        <v>22</v>
      </c>
      <c r="J1245" s="57"/>
      <c r="K1245" s="57"/>
      <c r="L1245" s="4"/>
      <c r="M1245" s="35"/>
    </row>
    <row r="1246" spans="1:13" ht="15.9" customHeight="1" x14ac:dyDescent="0.3">
      <c r="A1246" s="46">
        <v>1243</v>
      </c>
      <c r="B1246" s="64" t="str">
        <f>IF(Tabla1[[#This Row],[TRABAJADOR]]="", "", VLOOKUP(Tabla1[[#This Row],[TRABAJADOR]], 'Colaborador ID'!B:C, 2, FALSE))</f>
        <v>E1576</v>
      </c>
      <c r="C1246" s="63" t="s">
        <v>2394</v>
      </c>
      <c r="D1246" s="64" t="s">
        <v>2395</v>
      </c>
      <c r="E1246" s="64" t="s">
        <v>16</v>
      </c>
      <c r="F1246" s="57" t="e" vm="1">
        <v>#VALUE!</v>
      </c>
      <c r="G1246" s="58"/>
      <c r="H1246" s="57" t="e" vm="2">
        <v>#VALUE!</v>
      </c>
      <c r="I1246" s="64" t="s">
        <v>22</v>
      </c>
      <c r="J1246" s="57"/>
      <c r="K1246" s="57"/>
      <c r="L1246" s="4"/>
      <c r="M1246" s="35"/>
    </row>
    <row r="1247" spans="1:13" ht="15.9" customHeight="1" x14ac:dyDescent="0.3">
      <c r="A1247" s="46">
        <v>1244</v>
      </c>
      <c r="B1247" s="57" t="str">
        <f>IF(Tabla1[[#This Row],[TRABAJADOR]]="", "", VLOOKUP(Tabla1[[#This Row],[TRABAJADOR]], 'Colaborador ID'!B:C, 2, FALSE))</f>
        <v>E2128</v>
      </c>
      <c r="C1247" s="56" t="s">
        <v>5421</v>
      </c>
      <c r="D1247" s="57" t="s">
        <v>5482</v>
      </c>
      <c r="E1247" s="64" t="s">
        <v>16</v>
      </c>
      <c r="F1247" s="49" t="e" vm="1">
        <v>#VALUE!</v>
      </c>
      <c r="G1247" s="58">
        <v>46073</v>
      </c>
      <c r="H1247" s="57" t="e" vm="3">
        <v>#VALUE!</v>
      </c>
      <c r="I1247" s="57"/>
      <c r="J1247" s="57"/>
      <c r="K1247" s="57"/>
      <c r="L1247" s="4"/>
      <c r="M1247" s="35"/>
    </row>
    <row r="1248" spans="1:13" ht="15.9" customHeight="1" x14ac:dyDescent="0.3">
      <c r="A1248" s="46">
        <v>1245</v>
      </c>
      <c r="B1248" s="64" t="str">
        <f>IF(Tabla1[[#This Row],[TRABAJADOR]]="", "", VLOOKUP(Tabla1[[#This Row],[TRABAJADOR]], 'Colaborador ID'!B:C, 2, FALSE))</f>
        <v>E0370</v>
      </c>
      <c r="C1248" s="63" t="s">
        <v>2396</v>
      </c>
      <c r="D1248" s="64" t="s">
        <v>2397</v>
      </c>
      <c r="E1248" s="64"/>
      <c r="F1248" s="57" t="e" vm="1">
        <v>#VALUE!</v>
      </c>
      <c r="G1248" s="58"/>
      <c r="H1248" s="57" t="e" vm="2">
        <v>#VALUE!</v>
      </c>
      <c r="I1248" s="64"/>
      <c r="J1248" s="57"/>
      <c r="K1248" s="57"/>
      <c r="L1248" s="4"/>
      <c r="M1248" s="35"/>
    </row>
    <row r="1249" spans="1:13" ht="15.9" customHeight="1" x14ac:dyDescent="0.3">
      <c r="A1249" s="46">
        <v>1246</v>
      </c>
      <c r="B1249" s="57" t="str">
        <f>IF(Tabla1[[#This Row],[TRABAJADOR]]="", "", VLOOKUP(Tabla1[[#This Row],[TRABAJADOR]], 'Colaborador ID'!B:C, 2, FALSE))</f>
        <v>E1791</v>
      </c>
      <c r="C1249" s="56" t="s">
        <v>2398</v>
      </c>
      <c r="D1249" s="57" t="s">
        <v>2399</v>
      </c>
      <c r="E1249" s="64" t="s">
        <v>19</v>
      </c>
      <c r="F1249" s="49" t="e" vm="1">
        <v>#VALUE!</v>
      </c>
      <c r="G1249" s="58">
        <v>45932</v>
      </c>
      <c r="H1249" s="57" t="e" vm="2">
        <v>#VALUE!</v>
      </c>
      <c r="I1249" s="57"/>
      <c r="J1249" s="57"/>
      <c r="K1249" s="57"/>
      <c r="L1249" s="4"/>
      <c r="M1249" s="35"/>
    </row>
    <row r="1250" spans="1:13" ht="15.9" customHeight="1" x14ac:dyDescent="0.3">
      <c r="A1250" s="46">
        <v>1247</v>
      </c>
      <c r="B1250" s="57" t="str">
        <f>IF(Tabla1[[#This Row],[TRABAJADOR]]="", "", VLOOKUP(Tabla1[[#This Row],[TRABAJADOR]], 'Colaborador ID'!B:C, 2, FALSE))</f>
        <v>E1789</v>
      </c>
      <c r="C1250" s="56" t="s">
        <v>2400</v>
      </c>
      <c r="D1250" s="57" t="s">
        <v>2401</v>
      </c>
      <c r="E1250" s="64" t="s">
        <v>16</v>
      </c>
      <c r="F1250" s="49" t="e" vm="1">
        <v>#VALUE!</v>
      </c>
      <c r="G1250" s="58">
        <v>45923</v>
      </c>
      <c r="H1250" s="57" t="e" vm="2">
        <v>#VALUE!</v>
      </c>
      <c r="I1250" s="57"/>
      <c r="J1250" s="57"/>
      <c r="K1250" s="57"/>
      <c r="L1250" s="4"/>
      <c r="M1250" s="35"/>
    </row>
    <row r="1251" spans="1:13" ht="15.9" customHeight="1" x14ac:dyDescent="0.3">
      <c r="A1251" s="46">
        <v>1248</v>
      </c>
      <c r="B1251" s="64" t="str">
        <f>IF(Tabla1[[#This Row],[TRABAJADOR]]="", "", VLOOKUP(Tabla1[[#This Row],[TRABAJADOR]], 'Colaborador ID'!B:C, 2, FALSE))</f>
        <v>E1171</v>
      </c>
      <c r="C1251" s="63" t="s">
        <v>2402</v>
      </c>
      <c r="D1251" s="64" t="s">
        <v>2403</v>
      </c>
      <c r="E1251" s="64"/>
      <c r="F1251" s="57" t="e" vm="1">
        <v>#VALUE!</v>
      </c>
      <c r="G1251" s="58"/>
      <c r="H1251" s="57" t="e" vm="2">
        <v>#VALUE!</v>
      </c>
      <c r="I1251" s="64"/>
      <c r="J1251" s="57"/>
      <c r="K1251" s="57"/>
      <c r="L1251" s="4"/>
      <c r="M1251" s="35"/>
    </row>
    <row r="1252" spans="1:13" ht="15.9" customHeight="1" x14ac:dyDescent="0.35">
      <c r="A1252" s="46">
        <v>1249</v>
      </c>
      <c r="B1252" s="64" t="str">
        <f>IF(Tabla1[[#This Row],[TRABAJADOR]]="", "", VLOOKUP(Tabla1[[#This Row],[TRABAJADOR]], 'Colaborador ID'!B:C, 2, FALSE))</f>
        <v>E1329</v>
      </c>
      <c r="C1252" s="63" t="s">
        <v>2404</v>
      </c>
      <c r="D1252" s="64" t="s">
        <v>2405</v>
      </c>
      <c r="E1252" s="64" t="s">
        <v>104</v>
      </c>
      <c r="F1252" s="42" t="e" vm="1">
        <v>#VALUE!</v>
      </c>
      <c r="G1252" s="58"/>
      <c r="H1252" s="57" t="e" vm="2">
        <v>#VALUE!</v>
      </c>
      <c r="I1252" s="64"/>
      <c r="J1252" s="57"/>
      <c r="K1252" s="57"/>
      <c r="L1252" s="4"/>
      <c r="M1252" s="35"/>
    </row>
    <row r="1253" spans="1:13" ht="15.9" customHeight="1" x14ac:dyDescent="0.3">
      <c r="A1253" s="46">
        <v>1250</v>
      </c>
      <c r="B1253" s="64" t="str">
        <f>IF(Tabla1[[#This Row],[TRABAJADOR]]="", "", VLOOKUP(Tabla1[[#This Row],[TRABAJADOR]], 'Colaborador ID'!B:C, 2, FALSE))</f>
        <v>E0462</v>
      </c>
      <c r="C1253" s="63" t="s">
        <v>2406</v>
      </c>
      <c r="D1253" s="64" t="s">
        <v>2407</v>
      </c>
      <c r="E1253" s="64"/>
      <c r="F1253" s="57" t="e" vm="1">
        <v>#VALUE!</v>
      </c>
      <c r="G1253" s="58"/>
      <c r="H1253" s="57" t="e" vm="2">
        <v>#VALUE!</v>
      </c>
      <c r="I1253" s="64"/>
      <c r="J1253" s="57"/>
      <c r="K1253" s="57"/>
      <c r="L1253" s="4"/>
      <c r="M1253" s="35"/>
    </row>
    <row r="1254" spans="1:13" ht="15.9" customHeight="1" x14ac:dyDescent="0.3">
      <c r="A1254" s="46">
        <v>1251</v>
      </c>
      <c r="B1254" s="64" t="str">
        <f>IF(Tabla1[[#This Row],[TRABAJADOR]]="", "", VLOOKUP(Tabla1[[#This Row],[TRABAJADOR]], 'Colaborador ID'!B:C, 2, FALSE))</f>
        <v>E0223</v>
      </c>
      <c r="C1254" s="63" t="s">
        <v>2409</v>
      </c>
      <c r="D1254" s="64" t="s">
        <v>2410</v>
      </c>
      <c r="E1254" s="64"/>
      <c r="F1254" s="57" t="e" vm="1">
        <v>#VALUE!</v>
      </c>
      <c r="G1254" s="58"/>
      <c r="H1254" s="57" t="e" vm="2">
        <v>#VALUE!</v>
      </c>
      <c r="I1254" s="64"/>
      <c r="J1254" s="57"/>
      <c r="K1254" s="57"/>
      <c r="L1254" s="4"/>
      <c r="M1254" s="35"/>
    </row>
    <row r="1255" spans="1:13" ht="15.9" customHeight="1" x14ac:dyDescent="0.3">
      <c r="A1255" s="46">
        <v>1252</v>
      </c>
      <c r="B1255" s="64" t="str">
        <f>IF(Tabla1[[#This Row],[TRABAJADOR]]="", "", VLOOKUP(Tabla1[[#This Row],[TRABAJADOR]], 'Colaborador ID'!B:C, 2, FALSE))</f>
        <v>E0048</v>
      </c>
      <c r="C1255" s="63" t="s">
        <v>2411</v>
      </c>
      <c r="D1255" s="64" t="s">
        <v>2412</v>
      </c>
      <c r="E1255" s="64" t="s">
        <v>16</v>
      </c>
      <c r="F1255" s="38" t="e" vm="1">
        <v>#VALUE!</v>
      </c>
      <c r="G1255" s="58"/>
      <c r="H1255" s="57" t="e" vm="2">
        <v>#VALUE!</v>
      </c>
      <c r="I1255" s="64"/>
      <c r="J1255" s="57"/>
      <c r="K1255" s="57"/>
      <c r="L1255" s="4"/>
      <c r="M1255" s="35"/>
    </row>
    <row r="1256" spans="1:13" ht="15.9" customHeight="1" x14ac:dyDescent="0.35">
      <c r="A1256" s="46">
        <v>1253</v>
      </c>
      <c r="B1256" s="64" t="str">
        <f>IF(Tabla1[[#This Row],[TRABAJADOR]]="", "", VLOOKUP(Tabla1[[#This Row],[TRABAJADOR]], 'Colaborador ID'!B:C, 2, FALSE))</f>
        <v>E0620</v>
      </c>
      <c r="C1256" s="63" t="s">
        <v>2413</v>
      </c>
      <c r="D1256" s="64" t="s">
        <v>2414</v>
      </c>
      <c r="E1256" s="64" t="s">
        <v>13</v>
      </c>
      <c r="F1256" s="42" t="e" vm="1">
        <v>#VALUE!</v>
      </c>
      <c r="G1256" s="58">
        <v>45733</v>
      </c>
      <c r="H1256" s="40" t="e" vm="2">
        <v>#VALUE!</v>
      </c>
      <c r="I1256" s="64"/>
      <c r="J1256" s="57"/>
      <c r="K1256" s="57"/>
      <c r="L1256" s="4"/>
      <c r="M1256" s="35"/>
    </row>
    <row r="1257" spans="1:13" ht="15.9" customHeight="1" x14ac:dyDescent="0.3">
      <c r="A1257" s="46">
        <v>1254</v>
      </c>
      <c r="B1257" s="64" t="str">
        <f>IF(Tabla1[[#This Row],[TRABAJADOR]]="", "", VLOOKUP(Tabla1[[#This Row],[TRABAJADOR]], 'Colaborador ID'!B:C, 2, FALSE))</f>
        <v>E0320</v>
      </c>
      <c r="C1257" s="63" t="s">
        <v>2415</v>
      </c>
      <c r="D1257" s="64" t="s">
        <v>2416</v>
      </c>
      <c r="E1257" s="64"/>
      <c r="F1257" s="57" t="e" vm="1">
        <v>#VALUE!</v>
      </c>
      <c r="G1257" s="58"/>
      <c r="H1257" s="57" t="e" vm="2">
        <v>#VALUE!</v>
      </c>
      <c r="I1257" s="64"/>
      <c r="J1257" s="57"/>
      <c r="K1257" s="57"/>
      <c r="L1257" s="4"/>
      <c r="M1257" s="35"/>
    </row>
    <row r="1258" spans="1:13" ht="15.9" customHeight="1" x14ac:dyDescent="0.35">
      <c r="A1258" s="46">
        <v>1255</v>
      </c>
      <c r="B1258" s="64" t="str">
        <f>IF(Tabla1[[#This Row],[TRABAJADOR]]="", "", VLOOKUP(Tabla1[[#This Row],[TRABAJADOR]], 'Colaborador ID'!B:C, 2, FALSE))</f>
        <v>E1426</v>
      </c>
      <c r="C1258" s="63" t="s">
        <v>2417</v>
      </c>
      <c r="D1258" s="64" t="s">
        <v>2418</v>
      </c>
      <c r="E1258" s="64" t="s">
        <v>19</v>
      </c>
      <c r="F1258" s="42" t="e" vm="1">
        <v>#VALUE!</v>
      </c>
      <c r="G1258" s="58">
        <v>45898</v>
      </c>
      <c r="H1258" s="49" t="e" vm="2">
        <v>#VALUE!</v>
      </c>
      <c r="I1258" s="64"/>
      <c r="J1258" s="64"/>
      <c r="K1258" s="57"/>
      <c r="L1258" s="4"/>
      <c r="M1258" s="35"/>
    </row>
    <row r="1259" spans="1:13" ht="15.9" customHeight="1" x14ac:dyDescent="0.3">
      <c r="A1259" s="46">
        <v>1256</v>
      </c>
      <c r="B1259" s="64" t="str">
        <f>IF(Tabla1[[#This Row],[TRABAJADOR]]="", "", VLOOKUP(Tabla1[[#This Row],[TRABAJADOR]], 'Colaborador ID'!B:C, 2, FALSE))</f>
        <v>E0448</v>
      </c>
      <c r="C1259" s="63" t="s">
        <v>2419</v>
      </c>
      <c r="D1259" s="64" t="s">
        <v>2420</v>
      </c>
      <c r="E1259" s="64"/>
      <c r="F1259" s="57" t="e" vm="1">
        <v>#VALUE!</v>
      </c>
      <c r="G1259" s="58"/>
      <c r="H1259" s="57" t="e" vm="2">
        <v>#VALUE!</v>
      </c>
      <c r="I1259" s="64"/>
      <c r="J1259" s="57"/>
      <c r="K1259" s="57"/>
      <c r="L1259" s="4"/>
      <c r="M1259" s="35"/>
    </row>
    <row r="1260" spans="1:13" ht="15.9" customHeight="1" x14ac:dyDescent="0.3">
      <c r="A1260" s="46">
        <v>1257</v>
      </c>
      <c r="B1260" s="64" t="str">
        <f>IF(Tabla1[[#This Row],[TRABAJADOR]]="", "", VLOOKUP(Tabla1[[#This Row],[TRABAJADOR]], 'Colaborador ID'!B:C, 2, FALSE))</f>
        <v>E0098</v>
      </c>
      <c r="C1260" s="63" t="s">
        <v>2421</v>
      </c>
      <c r="D1260" s="64" t="s">
        <v>2422</v>
      </c>
      <c r="E1260" s="64" t="s">
        <v>13</v>
      </c>
      <c r="F1260" s="38" t="e" vm="1">
        <v>#VALUE!</v>
      </c>
      <c r="G1260" s="58">
        <v>45792</v>
      </c>
      <c r="H1260" s="57" t="e" vm="2">
        <v>#VALUE!</v>
      </c>
      <c r="I1260" s="64"/>
      <c r="J1260" s="57"/>
      <c r="K1260" s="57"/>
      <c r="L1260" s="4"/>
      <c r="M1260" s="35"/>
    </row>
    <row r="1261" spans="1:13" ht="15.9" customHeight="1" x14ac:dyDescent="0.3">
      <c r="A1261" s="46">
        <v>1258</v>
      </c>
      <c r="B1261" s="57" t="str">
        <f>IF(Tabla1[[#This Row],[TRABAJADOR]]="", "", VLOOKUP(Tabla1[[#This Row],[TRABAJADOR]], 'Colaborador ID'!B:C, 2, FALSE))</f>
        <v>E2091</v>
      </c>
      <c r="C1261" s="56" t="s">
        <v>5333</v>
      </c>
      <c r="D1261" s="57" t="s">
        <v>5386</v>
      </c>
      <c r="E1261" s="64" t="s">
        <v>13</v>
      </c>
      <c r="F1261" s="49" t="e" vm="1">
        <v>#VALUE!</v>
      </c>
      <c r="G1261" s="58">
        <v>46056</v>
      </c>
      <c r="H1261" s="57" t="e" vm="2">
        <v>#VALUE!</v>
      </c>
      <c r="I1261" s="57"/>
      <c r="J1261" s="57"/>
      <c r="K1261" s="57"/>
      <c r="L1261" s="4"/>
      <c r="M1261" s="35"/>
    </row>
    <row r="1262" spans="1:13" ht="15.9" customHeight="1" x14ac:dyDescent="0.3">
      <c r="A1262" s="46">
        <v>1259</v>
      </c>
      <c r="B1262" s="57" t="str">
        <f>IF(Tabla1[[#This Row],[TRABAJADOR]]="", "", VLOOKUP(Tabla1[[#This Row],[TRABAJADOR]], 'Colaborador ID'!B:C, 2, FALSE))</f>
        <v>E2006</v>
      </c>
      <c r="C1262" s="56" t="s">
        <v>2423</v>
      </c>
      <c r="D1262" s="57" t="s">
        <v>2424</v>
      </c>
      <c r="E1262" s="64" t="s">
        <v>19</v>
      </c>
      <c r="F1262" s="49" t="e" vm="1">
        <v>#VALUE!</v>
      </c>
      <c r="G1262" s="58">
        <v>45993</v>
      </c>
      <c r="H1262" s="57" t="e" vm="2">
        <v>#VALUE!</v>
      </c>
      <c r="I1262" s="57"/>
      <c r="J1262" s="57"/>
      <c r="K1262" s="57"/>
      <c r="L1262" s="4"/>
      <c r="M1262" s="35"/>
    </row>
    <row r="1263" spans="1:13" ht="15.9" customHeight="1" x14ac:dyDescent="0.3">
      <c r="A1263" s="46">
        <v>1260</v>
      </c>
      <c r="B1263" s="64" t="str">
        <f>IF(Tabla1[[#This Row],[TRABAJADOR]]="", "", VLOOKUP(Tabla1[[#This Row],[TRABAJADOR]], 'Colaborador ID'!B:C, 2, FALSE))</f>
        <v>E0335</v>
      </c>
      <c r="C1263" s="63" t="s">
        <v>2425</v>
      </c>
      <c r="D1263" s="64" t="s">
        <v>2426</v>
      </c>
      <c r="E1263" s="64"/>
      <c r="F1263" s="57" t="e" vm="1">
        <v>#VALUE!</v>
      </c>
      <c r="G1263" s="58"/>
      <c r="H1263" s="57" t="e" vm="2">
        <v>#VALUE!</v>
      </c>
      <c r="I1263" s="64"/>
      <c r="J1263" s="57"/>
      <c r="K1263" s="57"/>
      <c r="L1263" s="4"/>
      <c r="M1263" s="35"/>
    </row>
    <row r="1264" spans="1:13" ht="15.9" customHeight="1" x14ac:dyDescent="0.3">
      <c r="A1264" s="46">
        <v>1261</v>
      </c>
      <c r="B1264" s="57" t="str">
        <f>IF(Tabla1[[#This Row],[TRABAJADOR]]="", "", VLOOKUP(Tabla1[[#This Row],[TRABAJADOR]], 'Colaborador ID'!B:C, 2, FALSE))</f>
        <v>E2146</v>
      </c>
      <c r="C1264" s="56" t="s">
        <v>5458</v>
      </c>
      <c r="D1264" s="57" t="s">
        <v>5506</v>
      </c>
      <c r="E1264" s="57" t="s">
        <v>19</v>
      </c>
      <c r="F1264" s="49" t="e" vm="1">
        <v>#VALUE!</v>
      </c>
      <c r="G1264" s="58">
        <v>46087</v>
      </c>
      <c r="H1264" s="57" t="e" vm="3">
        <v>#VALUE!</v>
      </c>
      <c r="I1264" s="57"/>
      <c r="J1264" s="57"/>
      <c r="K1264" s="57"/>
      <c r="L1264" s="4"/>
      <c r="M1264" s="35"/>
    </row>
    <row r="1265" spans="1:13" ht="15.9" customHeight="1" x14ac:dyDescent="0.3">
      <c r="A1265" s="46">
        <v>1262</v>
      </c>
      <c r="B1265" s="57" t="str">
        <f>IF(Tabla1[[#This Row],[TRABAJADOR]]="", "", VLOOKUP(Tabla1[[#This Row],[TRABAJADOR]], 'Colaborador ID'!B:C, 2, FALSE))</f>
        <v>E1906</v>
      </c>
      <c r="C1265" s="56" t="s">
        <v>2427</v>
      </c>
      <c r="D1265" s="57" t="s">
        <v>2428</v>
      </c>
      <c r="E1265" s="64" t="s">
        <v>16</v>
      </c>
      <c r="F1265" s="49" t="e" vm="1">
        <v>#VALUE!</v>
      </c>
      <c r="G1265" s="58">
        <v>45939</v>
      </c>
      <c r="H1265" s="57" t="e" vm="2">
        <v>#VALUE!</v>
      </c>
      <c r="I1265" s="57" t="s">
        <v>22</v>
      </c>
      <c r="J1265" s="57"/>
      <c r="K1265" s="57"/>
      <c r="L1265" s="4"/>
      <c r="M1265" s="35"/>
    </row>
    <row r="1266" spans="1:13" ht="15.9" customHeight="1" x14ac:dyDescent="0.3">
      <c r="A1266" s="46">
        <v>1263</v>
      </c>
      <c r="B1266" s="64" t="str">
        <f>IF(Tabla1[[#This Row],[TRABAJADOR]]="", "", VLOOKUP(Tabla1[[#This Row],[TRABAJADOR]], 'Colaborador ID'!B:C, 2, FALSE))</f>
        <v>E0749</v>
      </c>
      <c r="C1266" s="63" t="s">
        <v>2429</v>
      </c>
      <c r="D1266" s="64" t="s">
        <v>2430</v>
      </c>
      <c r="E1266" s="64" t="s">
        <v>13</v>
      </c>
      <c r="F1266" s="38" t="e" vm="1">
        <v>#VALUE!</v>
      </c>
      <c r="G1266" s="58">
        <v>45747</v>
      </c>
      <c r="H1266" s="57" t="e" vm="2">
        <v>#VALUE!</v>
      </c>
      <c r="I1266" s="64"/>
      <c r="J1266" s="57"/>
      <c r="K1266" s="57"/>
      <c r="L1266" s="4"/>
      <c r="M1266" s="35"/>
    </row>
    <row r="1267" spans="1:13" ht="15.9" customHeight="1" x14ac:dyDescent="0.3">
      <c r="A1267" s="46">
        <v>1264</v>
      </c>
      <c r="B1267" s="64" t="str">
        <f>IF(Tabla1[[#This Row],[TRABAJADOR]]="", "", VLOOKUP(Tabla1[[#This Row],[TRABAJADOR]], 'Colaborador ID'!B:C, 2, FALSE))</f>
        <v>E0008</v>
      </c>
      <c r="C1267" s="63" t="s">
        <v>2431</v>
      </c>
      <c r="D1267" s="64" t="s">
        <v>2432</v>
      </c>
      <c r="E1267" s="64"/>
      <c r="F1267" s="57" t="e" vm="1">
        <v>#VALUE!</v>
      </c>
      <c r="G1267" s="58"/>
      <c r="H1267" s="57" t="e" vm="2">
        <v>#VALUE!</v>
      </c>
      <c r="I1267" s="64"/>
      <c r="J1267" s="57"/>
      <c r="K1267" s="57"/>
      <c r="L1267" s="4"/>
      <c r="M1267" s="35"/>
    </row>
    <row r="1268" spans="1:13" ht="15.9" customHeight="1" x14ac:dyDescent="0.3">
      <c r="A1268" s="46">
        <v>1265</v>
      </c>
      <c r="B1268" s="57" t="str">
        <f>IF(Tabla1[[#This Row],[TRABAJADOR]]="", "", VLOOKUP(Tabla1[[#This Row],[TRABAJADOR]], 'Colaborador ID'!B:C, 2, FALSE))</f>
        <v>E1717</v>
      </c>
      <c r="C1268" s="56" t="s">
        <v>2433</v>
      </c>
      <c r="D1268" s="57" t="s">
        <v>2434</v>
      </c>
      <c r="E1268" s="64" t="s">
        <v>16</v>
      </c>
      <c r="F1268" s="49" t="e" vm="1">
        <v>#VALUE!</v>
      </c>
      <c r="G1268" s="58">
        <v>45891</v>
      </c>
      <c r="H1268" s="57" t="e" vm="2">
        <v>#VALUE!</v>
      </c>
      <c r="I1268" s="57"/>
      <c r="J1268" s="57"/>
      <c r="K1268" s="57"/>
      <c r="L1268" s="4"/>
      <c r="M1268" s="35"/>
    </row>
    <row r="1269" spans="1:13" ht="15.9" customHeight="1" x14ac:dyDescent="0.3">
      <c r="A1269" s="46">
        <v>1266</v>
      </c>
      <c r="B1269" s="64" t="e">
        <f>IF(Tabla1[[#This Row],[TRABAJADOR]]="", "", VLOOKUP(Tabla1[[#This Row],[TRABAJADOR]], 'Colaborador ID'!B:C, 2, FALSE))</f>
        <v>#N/A</v>
      </c>
      <c r="C1269" s="63" t="s">
        <v>2435</v>
      </c>
      <c r="D1269" s="64" t="s">
        <v>2436</v>
      </c>
      <c r="E1269" s="64" t="s">
        <v>40</v>
      </c>
      <c r="F1269" s="38" t="e" vm="1">
        <v>#VALUE!</v>
      </c>
      <c r="G1269" s="58">
        <v>45796</v>
      </c>
      <c r="H1269" s="57" t="e" vm="2">
        <v>#VALUE!</v>
      </c>
      <c r="I1269" s="64"/>
      <c r="J1269" s="57"/>
      <c r="K1269" s="57"/>
      <c r="L1269" s="4"/>
      <c r="M1269" s="35"/>
    </row>
    <row r="1270" spans="1:13" ht="15.9" customHeight="1" x14ac:dyDescent="0.3">
      <c r="A1270" s="46">
        <v>1267</v>
      </c>
      <c r="B1270" s="64" t="str">
        <f>IF(Tabla1[[#This Row],[TRABAJADOR]]="", "", VLOOKUP(Tabla1[[#This Row],[TRABAJADOR]], 'Colaborador ID'!B:C, 2, FALSE))</f>
        <v>E0580</v>
      </c>
      <c r="C1270" s="63" t="s">
        <v>2437</v>
      </c>
      <c r="D1270" s="64" t="s">
        <v>2438</v>
      </c>
      <c r="E1270" s="64"/>
      <c r="F1270" s="57" t="e" vm="1">
        <v>#VALUE!</v>
      </c>
      <c r="G1270" s="58"/>
      <c r="H1270" s="57" t="e" vm="2">
        <v>#VALUE!</v>
      </c>
      <c r="I1270" s="64"/>
      <c r="J1270" s="57"/>
      <c r="K1270" s="57"/>
      <c r="L1270" s="4"/>
      <c r="M1270" s="35"/>
    </row>
    <row r="1271" spans="1:13" ht="15.9" customHeight="1" x14ac:dyDescent="0.3">
      <c r="A1271" s="46">
        <v>1268</v>
      </c>
      <c r="B1271" s="57" t="str">
        <f>IF(Tabla1[[#This Row],[TRABAJADOR]]="", "", VLOOKUP(Tabla1[[#This Row],[TRABAJADOR]], 'Colaborador ID'!B:C, 2, FALSE))</f>
        <v>E1783</v>
      </c>
      <c r="C1271" s="56" t="s">
        <v>2439</v>
      </c>
      <c r="D1271" s="57" t="s">
        <v>2440</v>
      </c>
      <c r="E1271" s="64" t="s">
        <v>16</v>
      </c>
      <c r="F1271" s="49" t="e" vm="1">
        <v>#VALUE!</v>
      </c>
      <c r="G1271" s="58">
        <v>45930</v>
      </c>
      <c r="H1271" s="57" t="e" vm="2">
        <v>#VALUE!</v>
      </c>
      <c r="I1271" s="57" t="s">
        <v>22</v>
      </c>
      <c r="J1271" s="57"/>
      <c r="K1271" s="57"/>
      <c r="L1271" s="4"/>
      <c r="M1271" s="35"/>
    </row>
    <row r="1272" spans="1:13" ht="15.9" customHeight="1" x14ac:dyDescent="0.3">
      <c r="A1272" s="46">
        <v>1269</v>
      </c>
      <c r="B1272" s="64" t="str">
        <f>IF(Tabla1[[#This Row],[TRABAJADOR]]="", "", VLOOKUP(Tabla1[[#This Row],[TRABAJADOR]], 'Colaborador ID'!B:C, 2, FALSE))</f>
        <v>E1436</v>
      </c>
      <c r="C1272" s="63" t="s">
        <v>2441</v>
      </c>
      <c r="D1272" s="64" t="s">
        <v>2442</v>
      </c>
      <c r="E1272" s="64" t="s">
        <v>16</v>
      </c>
      <c r="F1272" s="38" t="e" vm="1">
        <v>#VALUE!</v>
      </c>
      <c r="G1272" s="58">
        <v>45848</v>
      </c>
      <c r="H1272" s="57" t="e" vm="2">
        <v>#VALUE!</v>
      </c>
      <c r="I1272" s="64"/>
      <c r="J1272" s="57"/>
      <c r="K1272" s="57"/>
      <c r="L1272" s="4"/>
      <c r="M1272" s="35"/>
    </row>
    <row r="1273" spans="1:13" ht="15.9" customHeight="1" x14ac:dyDescent="0.3">
      <c r="A1273" s="46">
        <v>1270</v>
      </c>
      <c r="B1273" s="64" t="str">
        <f>IF(Tabla1[[#This Row],[TRABAJADOR]]="", "", VLOOKUP(Tabla1[[#This Row],[TRABAJADOR]], 'Colaborador ID'!B:C, 2, FALSE))</f>
        <v>E0082</v>
      </c>
      <c r="C1273" s="63" t="s">
        <v>2443</v>
      </c>
      <c r="D1273" s="64" t="s">
        <v>2444</v>
      </c>
      <c r="E1273" s="64" t="s">
        <v>16</v>
      </c>
      <c r="F1273" s="38" t="e" vm="1">
        <v>#VALUE!</v>
      </c>
      <c r="G1273" s="58">
        <v>45785</v>
      </c>
      <c r="H1273" s="57" t="e" vm="2">
        <v>#VALUE!</v>
      </c>
      <c r="I1273" s="64"/>
      <c r="J1273" s="57"/>
      <c r="K1273" s="57"/>
      <c r="L1273" s="4"/>
      <c r="M1273" s="35"/>
    </row>
    <row r="1274" spans="1:13" ht="15.9" customHeight="1" x14ac:dyDescent="0.3">
      <c r="A1274" s="46">
        <v>1271</v>
      </c>
      <c r="B1274" s="57" t="str">
        <f>IF(Tabla1[[#This Row],[TRABAJADOR]]="", "", VLOOKUP(Tabla1[[#This Row],[TRABAJADOR]], 'Colaborador ID'!B:C, 2, FALSE))</f>
        <v>E1968</v>
      </c>
      <c r="C1274" s="56" t="s">
        <v>2445</v>
      </c>
      <c r="D1274" s="57" t="s">
        <v>2446</v>
      </c>
      <c r="E1274" s="64" t="s">
        <v>271</v>
      </c>
      <c r="F1274" s="49" t="e" vm="1">
        <v>#VALUE!</v>
      </c>
      <c r="G1274" s="58">
        <v>45958</v>
      </c>
      <c r="H1274" s="57" t="e" vm="2">
        <v>#VALUE!</v>
      </c>
      <c r="I1274" s="57"/>
      <c r="J1274" s="57"/>
      <c r="K1274" s="57"/>
      <c r="L1274" s="4"/>
      <c r="M1274" s="35"/>
    </row>
    <row r="1275" spans="1:13" ht="15.9" customHeight="1" x14ac:dyDescent="0.3">
      <c r="A1275" s="46">
        <v>1272</v>
      </c>
      <c r="B1275" s="64" t="str">
        <f>IF(Tabla1[[#This Row],[TRABAJADOR]]="", "", VLOOKUP(Tabla1[[#This Row],[TRABAJADOR]], 'Colaborador ID'!B:C, 2, FALSE))</f>
        <v>E0242</v>
      </c>
      <c r="C1275" s="63" t="s">
        <v>2447</v>
      </c>
      <c r="D1275" s="64" t="s">
        <v>2448</v>
      </c>
      <c r="E1275" s="64" t="s">
        <v>13</v>
      </c>
      <c r="F1275" s="38" t="e" vm="1">
        <v>#VALUE!</v>
      </c>
      <c r="G1275" s="58"/>
      <c r="H1275" s="57" t="e" vm="2">
        <v>#VALUE!</v>
      </c>
      <c r="I1275" s="64"/>
      <c r="J1275" s="57"/>
      <c r="K1275" s="57"/>
      <c r="L1275" s="4"/>
      <c r="M1275" s="35"/>
    </row>
    <row r="1276" spans="1:13" ht="15.9" customHeight="1" x14ac:dyDescent="0.3">
      <c r="A1276" s="46">
        <v>1273</v>
      </c>
      <c r="B1276" s="57" t="str">
        <f>IF(Tabla1[[#This Row],[TRABAJADOR]]="", "", VLOOKUP(Tabla1[[#This Row],[TRABAJADOR]], 'Colaborador ID'!B:C, 2, FALSE))</f>
        <v>E2047</v>
      </c>
      <c r="C1276" s="56" t="s">
        <v>2449</v>
      </c>
      <c r="D1276" s="57" t="s">
        <v>2450</v>
      </c>
      <c r="E1276" s="64" t="s">
        <v>19</v>
      </c>
      <c r="F1276" s="49" t="e" vm="1">
        <v>#VALUE!</v>
      </c>
      <c r="G1276" s="58">
        <v>45993</v>
      </c>
      <c r="H1276" s="57" t="e" vm="2">
        <v>#VALUE!</v>
      </c>
      <c r="I1276" s="57"/>
      <c r="J1276" s="57"/>
      <c r="K1276" s="57"/>
      <c r="L1276" s="4"/>
      <c r="M1276" s="35"/>
    </row>
    <row r="1277" spans="1:13" ht="15.9" customHeight="1" x14ac:dyDescent="0.3">
      <c r="A1277" s="46">
        <v>1274</v>
      </c>
      <c r="B1277" s="64" t="str">
        <f>IF(Tabla1[[#This Row],[TRABAJADOR]]="", "", VLOOKUP(Tabla1[[#This Row],[TRABAJADOR]], 'Colaborador ID'!B:C, 2, FALSE))</f>
        <v>E0680</v>
      </c>
      <c r="C1277" s="63" t="s">
        <v>2451</v>
      </c>
      <c r="D1277" s="64" t="s">
        <v>2452</v>
      </c>
      <c r="E1277" s="64"/>
      <c r="F1277" s="6" t="e" vm="1">
        <v>#VALUE!</v>
      </c>
      <c r="G1277" s="58"/>
      <c r="H1277" s="57" t="e" vm="2">
        <v>#VALUE!</v>
      </c>
      <c r="I1277" s="64"/>
      <c r="J1277" s="57"/>
      <c r="K1277" s="57"/>
      <c r="L1277" s="4"/>
      <c r="M1277" s="35"/>
    </row>
    <row r="1278" spans="1:13" ht="15.9" customHeight="1" x14ac:dyDescent="0.3">
      <c r="A1278" s="46">
        <v>1275</v>
      </c>
      <c r="B1278" s="64" t="str">
        <f>IF(Tabla1[[#This Row],[TRABAJADOR]]="", "", VLOOKUP(Tabla1[[#This Row],[TRABAJADOR]], 'Colaborador ID'!B:C, 2, FALSE))</f>
        <v>E0510</v>
      </c>
      <c r="C1278" s="63" t="s">
        <v>2453</v>
      </c>
      <c r="D1278" s="64" t="s">
        <v>2454</v>
      </c>
      <c r="E1278" s="64"/>
      <c r="F1278" s="57" t="e" vm="1">
        <v>#VALUE!</v>
      </c>
      <c r="G1278" s="58"/>
      <c r="H1278" s="57" t="e" vm="2">
        <v>#VALUE!</v>
      </c>
      <c r="I1278" s="64" t="s">
        <v>22</v>
      </c>
      <c r="J1278" s="57"/>
      <c r="K1278" s="57"/>
      <c r="L1278" s="4"/>
      <c r="M1278" s="35"/>
    </row>
    <row r="1279" spans="1:13" ht="15.9" customHeight="1" x14ac:dyDescent="0.3">
      <c r="A1279" s="46">
        <v>1276</v>
      </c>
      <c r="B1279" s="64" t="str">
        <f>IF(Tabla1[[#This Row],[TRABAJADOR]]="", "", VLOOKUP(Tabla1[[#This Row],[TRABAJADOR]], 'Colaborador ID'!B:C, 2, FALSE))</f>
        <v>E1354</v>
      </c>
      <c r="C1279" s="63" t="s">
        <v>2455</v>
      </c>
      <c r="D1279" s="64" t="s">
        <v>2456</v>
      </c>
      <c r="E1279" s="64"/>
      <c r="F1279" s="57" t="e" vm="1">
        <v>#VALUE!</v>
      </c>
      <c r="G1279" s="58"/>
      <c r="H1279" s="57" t="e" vm="2">
        <v>#VALUE!</v>
      </c>
      <c r="I1279" s="64"/>
      <c r="J1279" s="57"/>
      <c r="K1279" s="57"/>
      <c r="L1279" s="4"/>
      <c r="M1279" s="35"/>
    </row>
    <row r="1280" spans="1:13" ht="15.9" customHeight="1" x14ac:dyDescent="0.3">
      <c r="A1280" s="46">
        <v>1277</v>
      </c>
      <c r="B1280" s="57" t="str">
        <f>IF(Tabla1[[#This Row],[TRABAJADOR]]="", "", VLOOKUP(Tabla1[[#This Row],[TRABAJADOR]], 'Colaborador ID'!B:C, 2, FALSE))</f>
        <v>E2124</v>
      </c>
      <c r="C1280" s="56" t="s">
        <v>5410</v>
      </c>
      <c r="D1280" s="57" t="s">
        <v>5483</v>
      </c>
      <c r="E1280" s="64"/>
      <c r="F1280" s="49" t="e" vm="1">
        <v>#VALUE!</v>
      </c>
      <c r="G1280" s="58">
        <v>46073</v>
      </c>
      <c r="H1280" s="57" t="e" vm="3">
        <v>#VALUE!</v>
      </c>
      <c r="I1280" s="57"/>
      <c r="J1280" s="57"/>
      <c r="K1280" s="57"/>
      <c r="L1280" s="4"/>
      <c r="M1280" s="35"/>
    </row>
    <row r="1281" spans="1:13" ht="15.9" customHeight="1" x14ac:dyDescent="0.3">
      <c r="A1281" s="46">
        <v>1278</v>
      </c>
      <c r="B1281" s="64" t="str">
        <f>IF(Tabla1[[#This Row],[TRABAJADOR]]="", "", VLOOKUP(Tabla1[[#This Row],[TRABAJADOR]], 'Colaborador ID'!B:C, 2, FALSE))</f>
        <v>E0848</v>
      </c>
      <c r="C1281" s="63" t="s">
        <v>2457</v>
      </c>
      <c r="D1281" s="64" t="s">
        <v>2458</v>
      </c>
      <c r="E1281" s="64" t="s">
        <v>40</v>
      </c>
      <c r="F1281" s="38" t="e" vm="1">
        <v>#VALUE!</v>
      </c>
      <c r="G1281" s="58">
        <v>45783</v>
      </c>
      <c r="H1281" s="57" t="e" vm="2">
        <v>#VALUE!</v>
      </c>
      <c r="I1281" s="64"/>
      <c r="J1281" s="57"/>
      <c r="K1281" s="57"/>
      <c r="L1281" s="4"/>
      <c r="M1281" s="35"/>
    </row>
    <row r="1282" spans="1:13" ht="15.9" customHeight="1" x14ac:dyDescent="0.3">
      <c r="A1282" s="46">
        <v>1279</v>
      </c>
      <c r="B1282" s="57" t="str">
        <f>IF(Tabla1[[#This Row],[TRABAJADOR]]="", "", VLOOKUP(Tabla1[[#This Row],[TRABAJADOR]], 'Colaborador ID'!B:C, 2, FALSE))</f>
        <v>E1775</v>
      </c>
      <c r="C1282" s="56" t="s">
        <v>2459</v>
      </c>
      <c r="D1282" s="57" t="s">
        <v>2460</v>
      </c>
      <c r="E1282" s="64" t="s">
        <v>33</v>
      </c>
      <c r="F1282" s="49" t="e" vm="1">
        <v>#VALUE!</v>
      </c>
      <c r="G1282" s="58">
        <v>45930</v>
      </c>
      <c r="H1282" s="57" t="e" vm="2">
        <v>#VALUE!</v>
      </c>
      <c r="I1282" s="57"/>
      <c r="J1282" s="57"/>
      <c r="K1282" s="57"/>
      <c r="L1282" s="4"/>
      <c r="M1282" s="35"/>
    </row>
    <row r="1283" spans="1:13" ht="15.9" customHeight="1" x14ac:dyDescent="0.3">
      <c r="A1283" s="46">
        <v>1280</v>
      </c>
      <c r="B1283" s="57" t="str">
        <f>IF(Tabla1[[#This Row],[TRABAJADOR]]="", "", VLOOKUP(Tabla1[[#This Row],[TRABAJADOR]], 'Colaborador ID'!B:C, 2, FALSE))</f>
        <v>E1914</v>
      </c>
      <c r="C1283" s="56" t="s">
        <v>2461</v>
      </c>
      <c r="D1283" s="57" t="s">
        <v>2462</v>
      </c>
      <c r="E1283" s="64" t="s">
        <v>40</v>
      </c>
      <c r="F1283" s="49" t="e" vm="1">
        <v>#VALUE!</v>
      </c>
      <c r="G1283" s="58">
        <v>45959</v>
      </c>
      <c r="H1283" s="57" t="e" vm="2">
        <v>#VALUE!</v>
      </c>
      <c r="I1283" s="57" t="s">
        <v>22</v>
      </c>
      <c r="J1283" s="57"/>
      <c r="K1283" s="57"/>
      <c r="L1283" s="4"/>
      <c r="M1283" s="35"/>
    </row>
    <row r="1284" spans="1:13" ht="15.9" customHeight="1" x14ac:dyDescent="0.3">
      <c r="A1284" s="46">
        <v>1281</v>
      </c>
      <c r="B1284" s="57" t="str">
        <f>IF(Tabla1[[#This Row],[TRABAJADOR]]="", "", VLOOKUP(Tabla1[[#This Row],[TRABAJADOR]], 'Colaborador ID'!B:C, 2, FALSE))</f>
        <v>E1809</v>
      </c>
      <c r="C1284" s="56" t="s">
        <v>2463</v>
      </c>
      <c r="D1284" s="57" t="s">
        <v>2464</v>
      </c>
      <c r="E1284" s="64" t="s">
        <v>16</v>
      </c>
      <c r="F1284" s="49" t="e" vm="1">
        <v>#VALUE!</v>
      </c>
      <c r="G1284" s="58">
        <v>45930</v>
      </c>
      <c r="H1284" s="57" t="e" vm="2">
        <v>#VALUE!</v>
      </c>
      <c r="I1284" s="57" t="s">
        <v>22</v>
      </c>
      <c r="J1284" s="57"/>
      <c r="K1284" s="57"/>
      <c r="L1284" s="4"/>
      <c r="M1284" s="35"/>
    </row>
    <row r="1285" spans="1:13" ht="15.9" customHeight="1" x14ac:dyDescent="0.35">
      <c r="A1285" s="46">
        <v>1282</v>
      </c>
      <c r="B1285" s="64" t="str">
        <f>IF(Tabla1[[#This Row],[TRABAJADOR]]="", "", VLOOKUP(Tabla1[[#This Row],[TRABAJADOR]], 'Colaborador ID'!B:C, 2, FALSE))</f>
        <v>E0511</v>
      </c>
      <c r="C1285" s="63" t="s">
        <v>2465</v>
      </c>
      <c r="D1285" s="64" t="s">
        <v>2466</v>
      </c>
      <c r="E1285" s="64" t="s">
        <v>16</v>
      </c>
      <c r="F1285" s="37" t="e" vm="1">
        <v>#VALUE!</v>
      </c>
      <c r="G1285" s="58"/>
      <c r="H1285" s="57" t="e" vm="2">
        <v>#VALUE!</v>
      </c>
      <c r="I1285" s="64"/>
      <c r="J1285" s="57"/>
      <c r="K1285" s="57"/>
      <c r="L1285" s="4"/>
      <c r="M1285" s="35"/>
    </row>
    <row r="1286" spans="1:13" ht="15.9" customHeight="1" x14ac:dyDescent="0.4">
      <c r="A1286" s="46">
        <v>1283</v>
      </c>
      <c r="B1286" s="64" t="str">
        <f>IF(Tabla1[[#This Row],[TRABAJADOR]]="", "", VLOOKUP(Tabla1[[#This Row],[TRABAJADOR]], 'Colaborador ID'!B:C, 2, FALSE))</f>
        <v>E0538</v>
      </c>
      <c r="C1286" s="63" t="s">
        <v>2467</v>
      </c>
      <c r="D1286" s="64" t="s">
        <v>2468</v>
      </c>
      <c r="E1286" s="64" t="s">
        <v>16</v>
      </c>
      <c r="F1286" s="37" t="e" vm="1">
        <v>#VALUE!</v>
      </c>
      <c r="G1286" s="58"/>
      <c r="H1286" s="39" t="e" vm="2">
        <v>#VALUE!</v>
      </c>
      <c r="I1286" s="64"/>
      <c r="J1286" s="57"/>
      <c r="K1286" s="57"/>
      <c r="L1286" s="4"/>
      <c r="M1286" s="35"/>
    </row>
    <row r="1287" spans="1:13" ht="15.9" customHeight="1" x14ac:dyDescent="0.3">
      <c r="A1287" s="46">
        <v>1284</v>
      </c>
      <c r="B1287" s="57" t="str">
        <f>IF(Tabla1[[#This Row],[TRABAJADOR]]="", "", VLOOKUP(Tabla1[[#This Row],[TRABAJADOR]], 'Colaborador ID'!B:C, 2, FALSE))</f>
        <v>E2022</v>
      </c>
      <c r="C1287" s="56" t="s">
        <v>2469</v>
      </c>
      <c r="D1287" s="57" t="s">
        <v>2470</v>
      </c>
      <c r="E1287" s="64" t="s">
        <v>271</v>
      </c>
      <c r="F1287" s="49" t="e" vm="1">
        <v>#VALUE!</v>
      </c>
      <c r="G1287" s="58">
        <v>45993</v>
      </c>
      <c r="H1287" s="57" t="e" vm="2">
        <v>#VALUE!</v>
      </c>
      <c r="I1287" s="57"/>
      <c r="J1287" s="57"/>
      <c r="K1287" s="57"/>
      <c r="L1287" s="4"/>
      <c r="M1287" s="35"/>
    </row>
    <row r="1288" spans="1:13" ht="15.9" customHeight="1" x14ac:dyDescent="0.3">
      <c r="A1288" s="46">
        <v>1285</v>
      </c>
      <c r="B1288" s="64" t="str">
        <f>IF(Tabla1[[#This Row],[TRABAJADOR]]="", "", VLOOKUP(Tabla1[[#This Row],[TRABAJADOR]], 'Colaborador ID'!B:C, 2, FALSE))</f>
        <v>E0299</v>
      </c>
      <c r="C1288" s="63" t="s">
        <v>2471</v>
      </c>
      <c r="D1288" s="64" t="s">
        <v>2472</v>
      </c>
      <c r="E1288" s="64"/>
      <c r="F1288" s="57" t="e" vm="1">
        <v>#VALUE!</v>
      </c>
      <c r="G1288" s="58"/>
      <c r="H1288" s="57" t="e" vm="2">
        <v>#VALUE!</v>
      </c>
      <c r="I1288" s="64"/>
      <c r="J1288" s="57"/>
      <c r="K1288" s="57"/>
      <c r="L1288" s="4"/>
      <c r="M1288" s="35"/>
    </row>
    <row r="1289" spans="1:13" ht="15.9" customHeight="1" x14ac:dyDescent="0.3">
      <c r="A1289" s="46">
        <v>1286</v>
      </c>
      <c r="B1289" s="64" t="str">
        <f>IF(Tabla1[[#This Row],[TRABAJADOR]]="", "", VLOOKUP(Tabla1[[#This Row],[TRABAJADOR]], 'Colaborador ID'!B:C, 2, FALSE))</f>
        <v>E1678</v>
      </c>
      <c r="C1289" s="63" t="s">
        <v>2473</v>
      </c>
      <c r="D1289" s="64" t="s">
        <v>2474</v>
      </c>
      <c r="E1289" s="64" t="s">
        <v>13</v>
      </c>
      <c r="F1289" s="40" t="e" vm="1">
        <v>#VALUE!</v>
      </c>
      <c r="G1289" s="58">
        <v>45868</v>
      </c>
      <c r="H1289" s="57" t="e" vm="2">
        <v>#VALUE!</v>
      </c>
      <c r="I1289" s="64"/>
      <c r="J1289" s="57"/>
      <c r="K1289" s="57"/>
      <c r="L1289" s="4"/>
      <c r="M1289" s="35"/>
    </row>
    <row r="1290" spans="1:13" ht="15.9" customHeight="1" x14ac:dyDescent="0.3">
      <c r="A1290" s="46">
        <v>1287</v>
      </c>
      <c r="B1290" s="64" t="str">
        <f>IF(Tabla1[[#This Row],[TRABAJADOR]]="", "", VLOOKUP(Tabla1[[#This Row],[TRABAJADOR]], 'Colaborador ID'!B:C, 2, FALSE))</f>
        <v>E0563</v>
      </c>
      <c r="C1290" s="63" t="s">
        <v>2475</v>
      </c>
      <c r="D1290" s="64" t="s">
        <v>2476</v>
      </c>
      <c r="E1290" s="64" t="s">
        <v>13</v>
      </c>
      <c r="F1290" s="38" t="e" vm="1">
        <v>#VALUE!</v>
      </c>
      <c r="G1290" s="58">
        <v>45742</v>
      </c>
      <c r="H1290" s="57" t="e" vm="2">
        <v>#VALUE!</v>
      </c>
      <c r="I1290" s="64"/>
      <c r="J1290" s="57"/>
      <c r="K1290" s="57"/>
      <c r="L1290" s="4"/>
      <c r="M1290" s="35"/>
    </row>
    <row r="1291" spans="1:13" ht="15.9" customHeight="1" x14ac:dyDescent="0.3">
      <c r="A1291" s="46">
        <v>1288</v>
      </c>
      <c r="B1291" s="64" t="e">
        <f>IF(Tabla1[[#This Row],[TRABAJADOR]]="", "", VLOOKUP(Tabla1[[#This Row],[TRABAJADOR]], 'Colaborador ID'!B:C, 2, FALSE))</f>
        <v>#N/A</v>
      </c>
      <c r="C1291" s="63" t="s">
        <v>2477</v>
      </c>
      <c r="D1291" s="64" t="s">
        <v>2478</v>
      </c>
      <c r="E1291" s="64"/>
      <c r="F1291" s="57" t="e" vm="1">
        <v>#VALUE!</v>
      </c>
      <c r="G1291" s="58"/>
      <c r="H1291" s="57" t="e" vm="2">
        <v>#VALUE!</v>
      </c>
      <c r="I1291" s="64"/>
      <c r="J1291" s="57"/>
      <c r="K1291" s="57"/>
      <c r="L1291" s="4"/>
      <c r="M1291" s="35"/>
    </row>
    <row r="1292" spans="1:13" ht="15.9" customHeight="1" x14ac:dyDescent="0.35">
      <c r="A1292" s="46">
        <v>1289</v>
      </c>
      <c r="B1292" s="64" t="str">
        <f>IF(Tabla1[[#This Row],[TRABAJADOR]]="", "", VLOOKUP(Tabla1[[#This Row],[TRABAJADOR]], 'Colaborador ID'!B:C, 2, FALSE))</f>
        <v>E0005</v>
      </c>
      <c r="C1292" s="63" t="s">
        <v>2479</v>
      </c>
      <c r="D1292" s="64" t="s">
        <v>2480</v>
      </c>
      <c r="E1292" s="64" t="s">
        <v>33</v>
      </c>
      <c r="F1292" s="37" t="e" vm="1">
        <v>#VALUE!</v>
      </c>
      <c r="G1292" s="58">
        <v>45722</v>
      </c>
      <c r="H1292" s="57" t="e" vm="2">
        <v>#VALUE!</v>
      </c>
      <c r="I1292" s="64"/>
      <c r="J1292" s="57" t="s">
        <v>2481</v>
      </c>
      <c r="K1292" s="57"/>
      <c r="L1292" s="4"/>
      <c r="M1292" s="35"/>
    </row>
    <row r="1293" spans="1:13" ht="15.9" customHeight="1" x14ac:dyDescent="0.35">
      <c r="A1293" s="46">
        <v>1290</v>
      </c>
      <c r="B1293" s="64" t="str">
        <f>IF(Tabla1[[#This Row],[TRABAJADOR]]="", "", VLOOKUP(Tabla1[[#This Row],[TRABAJADOR]], 'Colaborador ID'!B:C, 2, FALSE))</f>
        <v>E0503</v>
      </c>
      <c r="C1293" s="63" t="s">
        <v>2482</v>
      </c>
      <c r="D1293" s="64" t="s">
        <v>2483</v>
      </c>
      <c r="E1293" s="64" t="s">
        <v>16</v>
      </c>
      <c r="F1293" s="37" t="e" vm="1">
        <v>#VALUE!</v>
      </c>
      <c r="G1293" s="58">
        <v>45966</v>
      </c>
      <c r="H1293" s="49" t="e" vm="2">
        <v>#VALUE!</v>
      </c>
      <c r="I1293" s="64"/>
      <c r="J1293" s="57"/>
      <c r="K1293" s="57"/>
      <c r="L1293" s="4"/>
      <c r="M1293" s="35"/>
    </row>
    <row r="1294" spans="1:13" ht="15.9" customHeight="1" x14ac:dyDescent="0.35">
      <c r="A1294" s="46">
        <v>1291</v>
      </c>
      <c r="B1294" s="64" t="str">
        <f>IF(Tabla1[[#This Row],[TRABAJADOR]]="", "", VLOOKUP(Tabla1[[#This Row],[TRABAJADOR]], 'Colaborador ID'!B:C, 2, FALSE))</f>
        <v>E1315</v>
      </c>
      <c r="C1294" s="63" t="s">
        <v>2484</v>
      </c>
      <c r="D1294" s="64" t="s">
        <v>2485</v>
      </c>
      <c r="E1294" s="64" t="s">
        <v>83</v>
      </c>
      <c r="F1294" s="37" t="e" vm="1">
        <v>#VALUE!</v>
      </c>
      <c r="G1294" s="58">
        <v>45777</v>
      </c>
      <c r="H1294" s="40" t="e" vm="2">
        <v>#VALUE!</v>
      </c>
      <c r="I1294" s="64"/>
      <c r="J1294" s="57"/>
      <c r="K1294" s="57"/>
      <c r="L1294" s="4"/>
      <c r="M1294" s="35"/>
    </row>
    <row r="1295" spans="1:13" ht="15.9" customHeight="1" x14ac:dyDescent="0.3">
      <c r="A1295" s="46">
        <v>1292</v>
      </c>
      <c r="B1295" s="57" t="str">
        <f>IF(Tabla1[[#This Row],[TRABAJADOR]]="", "", VLOOKUP(Tabla1[[#This Row],[TRABAJADOR]], 'Colaborador ID'!B:C, 2, FALSE))</f>
        <v>E1834</v>
      </c>
      <c r="C1295" s="56" t="s">
        <v>2486</v>
      </c>
      <c r="D1295" s="57" t="s">
        <v>2487</v>
      </c>
      <c r="E1295" s="64" t="s">
        <v>16</v>
      </c>
      <c r="F1295" s="57" t="e" vm="1">
        <v>#VALUE!</v>
      </c>
      <c r="G1295" s="58">
        <v>45951</v>
      </c>
      <c r="H1295" s="57" t="e" vm="2">
        <v>#VALUE!</v>
      </c>
      <c r="I1295" s="57" t="s">
        <v>22</v>
      </c>
      <c r="J1295" s="57"/>
      <c r="K1295" s="57"/>
      <c r="L1295" s="4"/>
      <c r="M1295" s="35"/>
    </row>
    <row r="1296" spans="1:13" ht="15.9" customHeight="1" x14ac:dyDescent="0.35">
      <c r="A1296" s="46">
        <v>1293</v>
      </c>
      <c r="B1296" s="64" t="str">
        <f>IF(Tabla1[[#This Row],[TRABAJADOR]]="", "", VLOOKUP(Tabla1[[#This Row],[TRABAJADOR]], 'Colaborador ID'!B:C, 2, FALSE))</f>
        <v>E1114</v>
      </c>
      <c r="C1296" s="63" t="s">
        <v>2488</v>
      </c>
      <c r="D1296" s="64" t="s">
        <v>2489</v>
      </c>
      <c r="E1296" s="64" t="s">
        <v>16</v>
      </c>
      <c r="F1296" s="37" t="e" vm="1">
        <v>#VALUE!</v>
      </c>
      <c r="G1296" s="58">
        <v>45721</v>
      </c>
      <c r="H1296" s="57" t="e" vm="2">
        <v>#VALUE!</v>
      </c>
      <c r="I1296" s="64"/>
      <c r="J1296" s="57"/>
      <c r="K1296" s="57"/>
      <c r="L1296" s="4"/>
      <c r="M1296" s="35"/>
    </row>
    <row r="1297" spans="1:13" ht="15.9" customHeight="1" x14ac:dyDescent="0.3">
      <c r="A1297" s="46">
        <v>1294</v>
      </c>
      <c r="B1297" s="64" t="e">
        <f>IF(Tabla1[[#This Row],[TRABAJADOR]]="", "", VLOOKUP(Tabla1[[#This Row],[TRABAJADOR]], 'Colaborador ID'!B:C, 2, FALSE))</f>
        <v>#N/A</v>
      </c>
      <c r="C1297" s="63" t="s">
        <v>2490</v>
      </c>
      <c r="D1297" s="64" t="s">
        <v>2491</v>
      </c>
      <c r="E1297" s="64" t="s">
        <v>16</v>
      </c>
      <c r="F1297" s="38" t="e" vm="1">
        <v>#VALUE!</v>
      </c>
      <c r="G1297" s="58">
        <v>45791</v>
      </c>
      <c r="H1297" s="40" t="e" vm="2">
        <v>#VALUE!</v>
      </c>
      <c r="I1297" s="64"/>
      <c r="J1297" s="57"/>
      <c r="K1297" s="57"/>
      <c r="L1297" s="4"/>
      <c r="M1297" s="35"/>
    </row>
    <row r="1298" spans="1:13" ht="15.9" customHeight="1" x14ac:dyDescent="0.3">
      <c r="A1298" s="46">
        <v>1295</v>
      </c>
      <c r="B1298" s="57" t="str">
        <f>IF(Tabla1[[#This Row],[TRABAJADOR]]="", "", VLOOKUP(Tabla1[[#This Row],[TRABAJADOR]], 'Colaborador ID'!B:C, 2, FALSE))</f>
        <v>E1578</v>
      </c>
      <c r="C1298" s="56" t="s">
        <v>2492</v>
      </c>
      <c r="D1298" s="57" t="s">
        <v>2493</v>
      </c>
      <c r="E1298" s="64"/>
      <c r="F1298" s="49" t="e" vm="1">
        <v>#VALUE!</v>
      </c>
      <c r="G1298" s="58"/>
      <c r="H1298" s="57" t="e" vm="2">
        <v>#VALUE!</v>
      </c>
      <c r="I1298" s="57"/>
      <c r="J1298" s="57"/>
      <c r="K1298" s="57"/>
      <c r="L1298" s="4"/>
      <c r="M1298" s="35"/>
    </row>
    <row r="1299" spans="1:13" ht="15.9" customHeight="1" x14ac:dyDescent="0.3">
      <c r="A1299" s="46">
        <v>1296</v>
      </c>
      <c r="B1299" s="64" t="str">
        <f>IF(Tabla1[[#This Row],[TRABAJADOR]]="", "", VLOOKUP(Tabla1[[#This Row],[TRABAJADOR]], 'Colaborador ID'!B:C, 2, FALSE))</f>
        <v>E0806</v>
      </c>
      <c r="C1299" s="63" t="s">
        <v>2494</v>
      </c>
      <c r="D1299" s="64" t="s">
        <v>2495</v>
      </c>
      <c r="E1299" s="64"/>
      <c r="F1299" s="57" t="e" vm="1">
        <v>#VALUE!</v>
      </c>
      <c r="G1299" s="58"/>
      <c r="H1299" s="57" t="e" vm="2">
        <v>#VALUE!</v>
      </c>
      <c r="I1299" s="64"/>
      <c r="J1299" s="57"/>
      <c r="K1299" s="57"/>
      <c r="L1299" s="4"/>
      <c r="M1299" s="35"/>
    </row>
    <row r="1300" spans="1:13" ht="15.9" customHeight="1" x14ac:dyDescent="0.3">
      <c r="A1300" s="46">
        <v>1297</v>
      </c>
      <c r="B1300" s="64" t="str">
        <f>IF(Tabla1[[#This Row],[TRABAJADOR]]="", "", VLOOKUP(Tabla1[[#This Row],[TRABAJADOR]], 'Colaborador ID'!B:C, 2, FALSE))</f>
        <v>E0116</v>
      </c>
      <c r="C1300" s="63" t="s">
        <v>2496</v>
      </c>
      <c r="D1300" s="64" t="s">
        <v>2497</v>
      </c>
      <c r="E1300" s="64" t="s">
        <v>13</v>
      </c>
      <c r="F1300" s="38" t="e" vm="1">
        <v>#VALUE!</v>
      </c>
      <c r="G1300" s="58">
        <v>45782</v>
      </c>
      <c r="H1300" s="57" t="e" vm="2">
        <v>#VALUE!</v>
      </c>
      <c r="I1300" s="64"/>
      <c r="J1300" s="57"/>
      <c r="K1300" s="57"/>
      <c r="L1300" s="4"/>
      <c r="M1300" s="35"/>
    </row>
    <row r="1301" spans="1:13" ht="15.9" customHeight="1" x14ac:dyDescent="0.35">
      <c r="A1301" s="46">
        <v>1298</v>
      </c>
      <c r="B1301" s="64" t="str">
        <f>IF(Tabla1[[#This Row],[TRABAJADOR]]="", "", VLOOKUP(Tabla1[[#This Row],[TRABAJADOR]], 'Colaborador ID'!B:C, 2, FALSE))</f>
        <v>E0602</v>
      </c>
      <c r="C1301" s="63" t="s">
        <v>2498</v>
      </c>
      <c r="D1301" s="64" t="s">
        <v>2499</v>
      </c>
      <c r="E1301" s="64" t="s">
        <v>16</v>
      </c>
      <c r="F1301" s="41" t="e" vm="1">
        <v>#VALUE!</v>
      </c>
      <c r="G1301" s="58"/>
      <c r="H1301" s="57" t="e" vm="2">
        <v>#VALUE!</v>
      </c>
      <c r="I1301" s="64"/>
      <c r="J1301" s="57"/>
      <c r="K1301" s="57"/>
      <c r="L1301" s="4"/>
      <c r="M1301" s="35"/>
    </row>
    <row r="1302" spans="1:13" ht="15.9" customHeight="1" x14ac:dyDescent="0.3">
      <c r="A1302" s="46">
        <v>1299</v>
      </c>
      <c r="B1302" s="64" t="str">
        <f>IF(Tabla1[[#This Row],[TRABAJADOR]]="", "", VLOOKUP(Tabla1[[#This Row],[TRABAJADOR]], 'Colaborador ID'!B:C, 2, FALSE))</f>
        <v>E0036</v>
      </c>
      <c r="C1302" s="63" t="s">
        <v>2500</v>
      </c>
      <c r="D1302" s="64" t="s">
        <v>2501</v>
      </c>
      <c r="E1302" s="64" t="s">
        <v>16</v>
      </c>
      <c r="F1302" s="49" t="e" vm="1">
        <v>#VALUE!</v>
      </c>
      <c r="G1302" s="58">
        <v>45933</v>
      </c>
      <c r="H1302" s="49" t="e" vm="2">
        <v>#VALUE!</v>
      </c>
      <c r="I1302" s="64"/>
      <c r="J1302" s="57"/>
      <c r="K1302" s="57"/>
      <c r="L1302" s="4"/>
      <c r="M1302" s="35"/>
    </row>
    <row r="1303" spans="1:13" ht="15.9" customHeight="1" x14ac:dyDescent="0.3">
      <c r="A1303" s="46">
        <v>1300</v>
      </c>
      <c r="B1303" s="64" t="str">
        <f>IF(Tabla1[[#This Row],[TRABAJADOR]]="", "", VLOOKUP(Tabla1[[#This Row],[TRABAJADOR]], 'Colaborador ID'!B:C, 2, FALSE))</f>
        <v>E0081</v>
      </c>
      <c r="C1303" s="63" t="s">
        <v>2502</v>
      </c>
      <c r="D1303" s="64" t="s">
        <v>2503</v>
      </c>
      <c r="E1303" s="64" t="s">
        <v>16</v>
      </c>
      <c r="F1303" s="38" t="e" vm="1">
        <v>#VALUE!</v>
      </c>
      <c r="G1303" s="58">
        <v>45783</v>
      </c>
      <c r="H1303" s="40" t="e" vm="2">
        <v>#VALUE!</v>
      </c>
      <c r="I1303" s="64"/>
      <c r="J1303" s="57"/>
      <c r="K1303" s="57"/>
      <c r="L1303" s="4"/>
      <c r="M1303" s="35"/>
    </row>
    <row r="1304" spans="1:13" ht="15.9" customHeight="1" x14ac:dyDescent="0.3">
      <c r="A1304" s="46">
        <v>1301</v>
      </c>
      <c r="B1304" s="64" t="str">
        <f>IF(Tabla1[[#This Row],[TRABAJADOR]]="", "", VLOOKUP(Tabla1[[#This Row],[TRABAJADOR]], 'Colaborador ID'!B:C, 2, FALSE))</f>
        <v>E0080</v>
      </c>
      <c r="C1304" s="63" t="s">
        <v>2504</v>
      </c>
      <c r="D1304" s="64" t="s">
        <v>2505</v>
      </c>
      <c r="E1304" s="64" t="s">
        <v>16</v>
      </c>
      <c r="F1304" s="38" t="e" vm="1">
        <v>#VALUE!</v>
      </c>
      <c r="G1304" s="58">
        <v>45783</v>
      </c>
      <c r="H1304" s="40" t="e" vm="2">
        <v>#VALUE!</v>
      </c>
      <c r="I1304" s="64"/>
      <c r="J1304" s="57"/>
      <c r="K1304" s="57"/>
      <c r="L1304" s="4"/>
      <c r="M1304" s="35"/>
    </row>
    <row r="1305" spans="1:13" ht="15.9" customHeight="1" x14ac:dyDescent="0.3">
      <c r="A1305" s="46">
        <v>1302</v>
      </c>
      <c r="B1305" s="57" t="str">
        <f>IF(Tabla1[[#This Row],[TRABAJADOR]]="", "", VLOOKUP(Tabla1[[#This Row],[TRABAJADOR]], 'Colaborador ID'!B:C, 2, FALSE))</f>
        <v>E2051</v>
      </c>
      <c r="C1305" s="56" t="s">
        <v>2506</v>
      </c>
      <c r="D1305" s="57" t="s">
        <v>2507</v>
      </c>
      <c r="E1305" s="64" t="s">
        <v>19</v>
      </c>
      <c r="F1305" s="49" t="e" vm="1">
        <v>#VALUE!</v>
      </c>
      <c r="G1305" s="58">
        <v>45993</v>
      </c>
      <c r="H1305" s="57" t="e" vm="2">
        <v>#VALUE!</v>
      </c>
      <c r="I1305" s="57"/>
      <c r="J1305" s="57"/>
      <c r="K1305" s="57"/>
      <c r="L1305" s="4"/>
      <c r="M1305" s="35"/>
    </row>
    <row r="1306" spans="1:13" ht="15.9" customHeight="1" x14ac:dyDescent="0.35">
      <c r="A1306" s="46">
        <v>1303</v>
      </c>
      <c r="B1306" s="64" t="e">
        <f>IF(Tabla1[[#This Row],[TRABAJADOR]]="", "", VLOOKUP(Tabla1[[#This Row],[TRABAJADOR]], 'Colaborador ID'!B:C, 2, FALSE))</f>
        <v>#N/A</v>
      </c>
      <c r="C1306" s="63" t="s">
        <v>2508</v>
      </c>
      <c r="D1306" s="64" t="s">
        <v>2509</v>
      </c>
      <c r="E1306" s="64" t="s">
        <v>13</v>
      </c>
      <c r="F1306" s="37" t="e" vm="1">
        <v>#VALUE!</v>
      </c>
      <c r="G1306" s="58">
        <v>45735</v>
      </c>
      <c r="H1306" s="57" t="e" vm="2">
        <v>#VALUE!</v>
      </c>
      <c r="I1306" s="64"/>
      <c r="J1306" s="57"/>
      <c r="K1306" s="57"/>
      <c r="L1306" s="4"/>
      <c r="M1306" s="35"/>
    </row>
    <row r="1307" spans="1:13" ht="15.9" customHeight="1" x14ac:dyDescent="0.3">
      <c r="A1307" s="46">
        <v>1304</v>
      </c>
      <c r="B1307" s="64" t="str">
        <f>IF(Tabla1[[#This Row],[TRABAJADOR]]="", "", VLOOKUP(Tabla1[[#This Row],[TRABAJADOR]], 'Colaborador ID'!B:C, 2, FALSE))</f>
        <v>E1259</v>
      </c>
      <c r="C1307" s="63" t="s">
        <v>2510</v>
      </c>
      <c r="D1307" s="64" t="s">
        <v>2511</v>
      </c>
      <c r="E1307" s="64" t="s">
        <v>158</v>
      </c>
      <c r="F1307" s="38" t="e" vm="1">
        <v>#VALUE!</v>
      </c>
      <c r="G1307" s="58">
        <v>45761</v>
      </c>
      <c r="H1307" s="57" t="e" vm="2">
        <v>#VALUE!</v>
      </c>
      <c r="I1307" s="64"/>
      <c r="J1307" s="57"/>
      <c r="K1307" s="57"/>
      <c r="L1307" s="4"/>
      <c r="M1307" s="35"/>
    </row>
    <row r="1308" spans="1:13" ht="15.9" customHeight="1" x14ac:dyDescent="0.3">
      <c r="A1308" s="46">
        <v>1305</v>
      </c>
      <c r="B1308" s="64" t="str">
        <f>IF(Tabla1[[#This Row],[TRABAJADOR]]="", "", VLOOKUP(Tabla1[[#This Row],[TRABAJADOR]], 'Colaborador ID'!B:C, 2, FALSE))</f>
        <v>E1072</v>
      </c>
      <c r="C1308" s="63" t="s">
        <v>2512</v>
      </c>
      <c r="D1308" s="64" t="s">
        <v>2513</v>
      </c>
      <c r="E1308" s="64" t="s">
        <v>16</v>
      </c>
      <c r="F1308" s="38" t="e" vm="1">
        <v>#VALUE!</v>
      </c>
      <c r="G1308" s="58">
        <v>45775</v>
      </c>
      <c r="H1308" s="57" t="e" vm="2">
        <v>#VALUE!</v>
      </c>
      <c r="I1308" s="64"/>
      <c r="J1308" s="57"/>
      <c r="K1308" s="57"/>
      <c r="L1308" s="4"/>
      <c r="M1308" s="35"/>
    </row>
    <row r="1309" spans="1:13" ht="15.9" customHeight="1" x14ac:dyDescent="0.3">
      <c r="A1309" s="46">
        <v>1306</v>
      </c>
      <c r="B1309" s="64" t="str">
        <f>IF(Tabla1[[#This Row],[TRABAJADOR]]="", "", VLOOKUP(Tabla1[[#This Row],[TRABAJADOR]], 'Colaborador ID'!B:C, 2, FALSE))</f>
        <v>E0678</v>
      </c>
      <c r="C1309" s="63" t="s">
        <v>2514</v>
      </c>
      <c r="D1309" s="64" t="s">
        <v>2515</v>
      </c>
      <c r="E1309" s="64"/>
      <c r="F1309" s="57" t="e" vm="1">
        <v>#VALUE!</v>
      </c>
      <c r="G1309" s="58"/>
      <c r="H1309" s="57" t="e" vm="2">
        <v>#VALUE!</v>
      </c>
      <c r="I1309" s="64"/>
      <c r="J1309" s="57"/>
      <c r="K1309" s="57"/>
      <c r="L1309" s="4"/>
      <c r="M1309" s="35"/>
    </row>
    <row r="1310" spans="1:13" ht="15.9" customHeight="1" x14ac:dyDescent="0.3">
      <c r="A1310" s="46">
        <v>1307</v>
      </c>
      <c r="B1310" s="57" t="str">
        <f>IF(Tabla1[[#This Row],[TRABAJADOR]]="", "", VLOOKUP(Tabla1[[#This Row],[TRABAJADOR]], 'Colaborador ID'!B:C, 2, FALSE))</f>
        <v>E1903</v>
      </c>
      <c r="C1310" s="56" t="s">
        <v>2516</v>
      </c>
      <c r="D1310" s="57" t="s">
        <v>2517</v>
      </c>
      <c r="E1310" s="64" t="s">
        <v>16</v>
      </c>
      <c r="F1310" s="49" t="e" vm="1">
        <v>#VALUE!</v>
      </c>
      <c r="G1310" s="58">
        <v>45959</v>
      </c>
      <c r="H1310" s="57" t="e" vm="2">
        <v>#VALUE!</v>
      </c>
      <c r="I1310" s="57" t="s">
        <v>22</v>
      </c>
      <c r="J1310" s="57"/>
      <c r="K1310" s="57"/>
      <c r="L1310" s="4"/>
      <c r="M1310" s="35"/>
    </row>
    <row r="1311" spans="1:13" ht="15.9" customHeight="1" x14ac:dyDescent="0.35">
      <c r="A1311" s="46">
        <v>1308</v>
      </c>
      <c r="B1311" s="64" t="str">
        <f>IF(Tabla1[[#This Row],[TRABAJADOR]]="", "", VLOOKUP(Tabla1[[#This Row],[TRABAJADOR]], 'Colaborador ID'!B:C, 2, FALSE))</f>
        <v>E0136</v>
      </c>
      <c r="C1311" s="63" t="s">
        <v>2518</v>
      </c>
      <c r="D1311" s="64" t="s">
        <v>2519</v>
      </c>
      <c r="E1311" s="64" t="s">
        <v>16</v>
      </c>
      <c r="F1311" s="37" t="e" vm="1">
        <v>#VALUE!</v>
      </c>
      <c r="G1311" s="58"/>
      <c r="H1311" s="57" t="e" vm="2">
        <v>#VALUE!</v>
      </c>
      <c r="I1311" s="64"/>
      <c r="J1311" s="57"/>
      <c r="K1311" s="57"/>
      <c r="L1311" s="4"/>
      <c r="M1311" s="35"/>
    </row>
    <row r="1312" spans="1:13" ht="15.9" customHeight="1" x14ac:dyDescent="0.3">
      <c r="A1312" s="46">
        <v>1309</v>
      </c>
      <c r="B1312" s="64" t="e">
        <f>IF(Tabla1[[#This Row],[TRABAJADOR]]="", "", VLOOKUP(Tabla1[[#This Row],[TRABAJADOR]], 'Colaborador ID'!B:C, 2, FALSE))</f>
        <v>#N/A</v>
      </c>
      <c r="C1312" s="63" t="s">
        <v>2520</v>
      </c>
      <c r="D1312" s="64" t="s">
        <v>2521</v>
      </c>
      <c r="E1312" s="64" t="s">
        <v>16</v>
      </c>
      <c r="F1312" s="38" t="e" vm="1">
        <v>#VALUE!</v>
      </c>
      <c r="G1312" s="58">
        <v>45779</v>
      </c>
      <c r="H1312" s="57" t="e" vm="2">
        <v>#VALUE!</v>
      </c>
      <c r="I1312" s="64"/>
      <c r="J1312" s="57"/>
      <c r="K1312" s="57"/>
      <c r="L1312" s="4"/>
      <c r="M1312" s="35"/>
    </row>
    <row r="1313" spans="1:13" ht="15.9" customHeight="1" x14ac:dyDescent="0.3">
      <c r="A1313" s="46">
        <v>1310</v>
      </c>
      <c r="B1313" s="64" t="str">
        <f>IF(Tabla1[[#This Row],[TRABAJADOR]]="", "", VLOOKUP(Tabla1[[#This Row],[TRABAJADOR]], 'Colaborador ID'!B:C, 2, FALSE))</f>
        <v>E0312</v>
      </c>
      <c r="C1313" s="63" t="s">
        <v>2522</v>
      </c>
      <c r="D1313" s="64" t="s">
        <v>2523</v>
      </c>
      <c r="E1313" s="64" t="s">
        <v>16</v>
      </c>
      <c r="F1313" s="38" t="e" vm="1">
        <v>#VALUE!</v>
      </c>
      <c r="G1313" s="58">
        <v>45938</v>
      </c>
      <c r="H1313" s="49" t="e" vm="2">
        <v>#VALUE!</v>
      </c>
      <c r="I1313" s="64"/>
      <c r="J1313" s="57"/>
      <c r="K1313" s="57"/>
      <c r="L1313" s="4"/>
      <c r="M1313" s="35"/>
    </row>
    <row r="1314" spans="1:13" ht="15.9" customHeight="1" x14ac:dyDescent="0.3">
      <c r="A1314" s="46">
        <v>1311</v>
      </c>
      <c r="B1314" s="57" t="str">
        <f>IF(Tabla1[[#This Row],[TRABAJADOR]]="", "", VLOOKUP(Tabla1[[#This Row],[TRABAJADOR]], 'Colaborador ID'!B:C, 2, FALSE))</f>
        <v>E1880</v>
      </c>
      <c r="C1314" s="56" t="s">
        <v>2524</v>
      </c>
      <c r="D1314" s="57" t="s">
        <v>2525</v>
      </c>
      <c r="E1314" s="64"/>
      <c r="F1314" s="49" t="e" vm="1">
        <v>#VALUE!</v>
      </c>
      <c r="G1314" s="58">
        <v>45959</v>
      </c>
      <c r="H1314" s="57" t="e" vm="2">
        <v>#VALUE!</v>
      </c>
      <c r="I1314" s="57" t="s">
        <v>22</v>
      </c>
      <c r="J1314" s="57"/>
      <c r="K1314" s="57"/>
      <c r="L1314" s="4"/>
      <c r="M1314" s="35"/>
    </row>
    <row r="1315" spans="1:13" ht="15.9" customHeight="1" x14ac:dyDescent="0.3">
      <c r="A1315" s="46">
        <v>1312</v>
      </c>
      <c r="B1315" s="64" t="str">
        <f>IF(Tabla1[[#This Row],[TRABAJADOR]]="", "", VLOOKUP(Tabla1[[#This Row],[TRABAJADOR]], 'Colaborador ID'!B:C, 2, FALSE))</f>
        <v>E1260</v>
      </c>
      <c r="C1315" s="63" t="s">
        <v>2526</v>
      </c>
      <c r="D1315" s="64" t="s">
        <v>2527</v>
      </c>
      <c r="E1315" s="64" t="s">
        <v>33</v>
      </c>
      <c r="F1315" s="38" t="e" vm="1">
        <v>#VALUE!</v>
      </c>
      <c r="G1315" s="58">
        <v>45761</v>
      </c>
      <c r="H1315" s="57" t="e" vm="2">
        <v>#VALUE!</v>
      </c>
      <c r="I1315" s="64"/>
      <c r="J1315" s="57"/>
      <c r="K1315" s="57"/>
      <c r="L1315" s="4"/>
      <c r="M1315" s="35"/>
    </row>
    <row r="1316" spans="1:13" ht="15.9" customHeight="1" x14ac:dyDescent="0.3">
      <c r="A1316" s="46">
        <v>1313</v>
      </c>
      <c r="B1316" s="64" t="str">
        <f>IF(Tabla1[[#This Row],[TRABAJADOR]]="", "", VLOOKUP(Tabla1[[#This Row],[TRABAJADOR]], 'Colaborador ID'!B:C, 2, FALSE))</f>
        <v>E0742</v>
      </c>
      <c r="C1316" s="63" t="s">
        <v>2528</v>
      </c>
      <c r="D1316" s="64" t="s">
        <v>2529</v>
      </c>
      <c r="E1316" s="64"/>
      <c r="F1316" s="57" t="e" vm="1">
        <v>#VALUE!</v>
      </c>
      <c r="G1316" s="58"/>
      <c r="H1316" s="57" t="e" vm="2">
        <v>#VALUE!</v>
      </c>
      <c r="I1316" s="64"/>
      <c r="J1316" s="57"/>
      <c r="K1316" s="57"/>
      <c r="L1316" s="4"/>
      <c r="M1316" s="35"/>
    </row>
    <row r="1317" spans="1:13" ht="15.9" customHeight="1" x14ac:dyDescent="0.3">
      <c r="A1317" s="46">
        <v>1314</v>
      </c>
      <c r="B1317" s="64" t="str">
        <f>IF(Tabla1[[#This Row],[TRABAJADOR]]="", "", VLOOKUP(Tabla1[[#This Row],[TRABAJADOR]], 'Colaborador ID'!B:C, 2, FALSE))</f>
        <v>E0018</v>
      </c>
      <c r="C1317" s="63" t="s">
        <v>2530</v>
      </c>
      <c r="D1317" s="64" t="s">
        <v>2531</v>
      </c>
      <c r="E1317" s="64"/>
      <c r="F1317" s="57" t="e" vm="1">
        <v>#VALUE!</v>
      </c>
      <c r="G1317" s="58"/>
      <c r="H1317" s="57" t="e" vm="2">
        <v>#VALUE!</v>
      </c>
      <c r="I1317" s="64"/>
      <c r="J1317" s="57"/>
      <c r="K1317" s="57"/>
      <c r="L1317" s="4"/>
      <c r="M1317" s="35"/>
    </row>
    <row r="1318" spans="1:13" ht="15.9" customHeight="1" x14ac:dyDescent="0.3">
      <c r="A1318" s="46">
        <v>1315</v>
      </c>
      <c r="B1318" s="64" t="str">
        <f>IF(Tabla1[[#This Row],[TRABAJADOR]]="", "", VLOOKUP(Tabla1[[#This Row],[TRABAJADOR]], 'Colaborador ID'!B:C, 2, FALSE))</f>
        <v>E0703</v>
      </c>
      <c r="C1318" s="63" t="s">
        <v>2532</v>
      </c>
      <c r="D1318" s="64" t="s">
        <v>2533</v>
      </c>
      <c r="E1318" s="64"/>
      <c r="F1318" s="57" t="e" vm="1">
        <v>#VALUE!</v>
      </c>
      <c r="G1318" s="58"/>
      <c r="H1318" s="57" t="e" vm="2">
        <v>#VALUE!</v>
      </c>
      <c r="I1318" s="64"/>
      <c r="J1318" s="57"/>
      <c r="K1318" s="57"/>
      <c r="L1318" s="4"/>
      <c r="M1318" s="35"/>
    </row>
    <row r="1319" spans="1:13" ht="15.9" customHeight="1" x14ac:dyDescent="0.3">
      <c r="A1319" s="46">
        <v>1316</v>
      </c>
      <c r="B1319" s="57" t="str">
        <f>IF(Tabla1[[#This Row],[TRABAJADOR]]="", "", VLOOKUP(Tabla1[[#This Row],[TRABAJADOR]], 'Colaborador ID'!B:C, 2, FALSE))</f>
        <v>E1702</v>
      </c>
      <c r="C1319" s="56" t="s">
        <v>2534</v>
      </c>
      <c r="D1319" s="57" t="s">
        <v>2535</v>
      </c>
      <c r="E1319" s="64" t="s">
        <v>16</v>
      </c>
      <c r="F1319" s="49" t="e" vm="1">
        <v>#VALUE!</v>
      </c>
      <c r="G1319" s="58">
        <v>45895</v>
      </c>
      <c r="H1319" s="57" t="e" vm="2">
        <v>#VALUE!</v>
      </c>
      <c r="I1319" s="57" t="s">
        <v>22</v>
      </c>
      <c r="J1319" s="57"/>
      <c r="K1319" s="57"/>
      <c r="L1319" s="4"/>
      <c r="M1319" s="35"/>
    </row>
    <row r="1320" spans="1:13" ht="15.9" customHeight="1" x14ac:dyDescent="0.3">
      <c r="A1320" s="46">
        <v>1317</v>
      </c>
      <c r="B1320" s="64" t="str">
        <f>IF(Tabla1[[#This Row],[TRABAJADOR]]="", "", VLOOKUP(Tabla1[[#This Row],[TRABAJADOR]], 'Colaborador ID'!B:C, 2, FALSE))</f>
        <v>E1579</v>
      </c>
      <c r="C1320" s="63" t="s">
        <v>2536</v>
      </c>
      <c r="D1320" s="64" t="s">
        <v>2537</v>
      </c>
      <c r="E1320" s="64"/>
      <c r="F1320" s="57" t="e" vm="1">
        <v>#VALUE!</v>
      </c>
      <c r="G1320" s="58"/>
      <c r="H1320" s="57" t="e" vm="2">
        <v>#VALUE!</v>
      </c>
      <c r="I1320" s="64" t="s">
        <v>22</v>
      </c>
      <c r="J1320" s="57"/>
      <c r="K1320" s="57"/>
      <c r="L1320" s="4"/>
      <c r="M1320" s="35"/>
    </row>
    <row r="1321" spans="1:13" ht="15.9" customHeight="1" x14ac:dyDescent="0.3">
      <c r="A1321" s="46">
        <v>1318</v>
      </c>
      <c r="B1321" s="57" t="str">
        <f>IF(Tabla1[[#This Row],[TRABAJADOR]]="", "", VLOOKUP(Tabla1[[#This Row],[TRABAJADOR]], 'Colaborador ID'!B:C, 2, FALSE))</f>
        <v>E1986</v>
      </c>
      <c r="C1321" s="56" t="s">
        <v>2538</v>
      </c>
      <c r="D1321" s="57" t="s">
        <v>2539</v>
      </c>
      <c r="E1321" s="64" t="s">
        <v>398</v>
      </c>
      <c r="F1321" s="49" t="e" vm="1">
        <v>#VALUE!</v>
      </c>
      <c r="G1321" s="58">
        <v>45958</v>
      </c>
      <c r="H1321" s="57" t="e" vm="2">
        <v>#VALUE!</v>
      </c>
      <c r="I1321" s="57"/>
      <c r="J1321" s="57"/>
      <c r="K1321" s="57"/>
      <c r="L1321" s="4"/>
      <c r="M1321" s="35"/>
    </row>
    <row r="1322" spans="1:13" ht="15.9" customHeight="1" x14ac:dyDescent="0.3">
      <c r="A1322" s="46">
        <v>1319</v>
      </c>
      <c r="B1322" s="64" t="str">
        <f>IF(Tabla1[[#This Row],[TRABAJADOR]]="", "", VLOOKUP(Tabla1[[#This Row],[TRABAJADOR]], 'Colaborador ID'!B:C, 2, FALSE))</f>
        <v>E1648</v>
      </c>
      <c r="C1322" s="63" t="s">
        <v>2540</v>
      </c>
      <c r="D1322" s="64" t="s">
        <v>2541</v>
      </c>
      <c r="E1322" s="64" t="s">
        <v>33</v>
      </c>
      <c r="F1322" s="38" t="e" vm="1">
        <v>#VALUE!</v>
      </c>
      <c r="G1322" s="58">
        <v>45853</v>
      </c>
      <c r="H1322" s="57" t="e" vm="2">
        <v>#VALUE!</v>
      </c>
      <c r="I1322" s="64"/>
      <c r="J1322" s="57"/>
      <c r="K1322" s="57"/>
      <c r="L1322" s="4"/>
      <c r="M1322" s="35"/>
    </row>
    <row r="1323" spans="1:13" ht="15.9" customHeight="1" x14ac:dyDescent="0.3">
      <c r="A1323" s="46">
        <v>1320</v>
      </c>
      <c r="B1323" s="64" t="str">
        <f>IF(Tabla1[[#This Row],[TRABAJADOR]]="", "", VLOOKUP(Tabla1[[#This Row],[TRABAJADOR]], 'Colaborador ID'!B:C, 2, FALSE))</f>
        <v>E1087</v>
      </c>
      <c r="C1323" s="63" t="s">
        <v>2542</v>
      </c>
      <c r="D1323" s="64" t="s">
        <v>2543</v>
      </c>
      <c r="E1323" s="64"/>
      <c r="F1323" s="57" t="e" vm="1">
        <v>#VALUE!</v>
      </c>
      <c r="G1323" s="58"/>
      <c r="H1323" s="57" t="e" vm="2">
        <v>#VALUE!</v>
      </c>
      <c r="I1323" s="64"/>
      <c r="J1323" s="57"/>
      <c r="K1323" s="57"/>
      <c r="L1323" s="4"/>
      <c r="M1323" s="35"/>
    </row>
    <row r="1324" spans="1:13" ht="15.9" customHeight="1" x14ac:dyDescent="0.3">
      <c r="A1324" s="46">
        <v>1321</v>
      </c>
      <c r="B1324" s="57" t="str">
        <f>IF(Tabla1[[#This Row],[TRABAJADOR]]="", "", VLOOKUP(Tabla1[[#This Row],[TRABAJADOR]], 'Colaborador ID'!B:C, 2, FALSE))</f>
        <v>E2068</v>
      </c>
      <c r="C1324" s="56" t="s">
        <v>2819</v>
      </c>
      <c r="D1324" s="57" t="s">
        <v>2820</v>
      </c>
      <c r="E1324" s="64" t="s">
        <v>16</v>
      </c>
      <c r="F1324" s="49" t="e" vm="1">
        <v>#VALUE!</v>
      </c>
      <c r="G1324" s="58">
        <v>46006</v>
      </c>
      <c r="H1324" s="57" t="e" vm="2">
        <v>#VALUE!</v>
      </c>
      <c r="I1324" s="57"/>
      <c r="J1324" s="57"/>
      <c r="K1324" s="57"/>
      <c r="L1324" s="4"/>
      <c r="M1324" s="35"/>
    </row>
    <row r="1325" spans="1:13" ht="15.9" customHeight="1" x14ac:dyDescent="0.3">
      <c r="A1325" s="46">
        <v>1322</v>
      </c>
      <c r="B1325" s="64" t="str">
        <f>IF(Tabla1[[#This Row],[TRABAJADOR]]="", "", VLOOKUP(Tabla1[[#This Row],[TRABAJADOR]], 'Colaborador ID'!B:C, 2, FALSE))</f>
        <v>E0224</v>
      </c>
      <c r="C1325" s="63" t="s">
        <v>2544</v>
      </c>
      <c r="D1325" s="64" t="s">
        <v>2545</v>
      </c>
      <c r="E1325" s="64"/>
      <c r="F1325" s="57" t="e" vm="1">
        <v>#VALUE!</v>
      </c>
      <c r="G1325" s="58"/>
      <c r="H1325" s="57" t="e" vm="2">
        <v>#VALUE!</v>
      </c>
      <c r="I1325" s="64"/>
      <c r="J1325" s="57" t="s">
        <v>513</v>
      </c>
      <c r="K1325" s="57"/>
      <c r="L1325" s="4"/>
      <c r="M1325" s="35"/>
    </row>
    <row r="1326" spans="1:13" ht="15.9" customHeight="1" x14ac:dyDescent="0.3">
      <c r="A1326" s="46">
        <v>1323</v>
      </c>
      <c r="B1326" s="57" t="str">
        <f>IF(Tabla1[[#This Row],[TRABAJADOR]]="", "", VLOOKUP(Tabla1[[#This Row],[TRABAJADOR]], 'Colaborador ID'!B:C, 2, FALSE))</f>
        <v>E1811</v>
      </c>
      <c r="C1326" s="56" t="s">
        <v>2546</v>
      </c>
      <c r="D1326" s="57" t="s">
        <v>2547</v>
      </c>
      <c r="E1326" s="64" t="s">
        <v>16</v>
      </c>
      <c r="F1326" s="49" t="e" vm="1">
        <v>#VALUE!</v>
      </c>
      <c r="G1326" s="58">
        <v>45958</v>
      </c>
      <c r="H1326" s="57" t="e" vm="2">
        <v>#VALUE!</v>
      </c>
      <c r="I1326" s="57"/>
      <c r="J1326" s="57"/>
      <c r="K1326" s="57"/>
      <c r="L1326" s="4"/>
      <c r="M1326" s="35"/>
    </row>
    <row r="1327" spans="1:13" ht="15.9" customHeight="1" x14ac:dyDescent="0.3">
      <c r="A1327" s="46">
        <v>1324</v>
      </c>
      <c r="B1327" s="64" t="str">
        <f>IF(Tabla1[[#This Row],[TRABAJADOR]]="", "", VLOOKUP(Tabla1[[#This Row],[TRABAJADOR]], 'Colaborador ID'!B:C, 2, FALSE))</f>
        <v>E0554</v>
      </c>
      <c r="C1327" s="63" t="s">
        <v>2548</v>
      </c>
      <c r="D1327" s="64" t="s">
        <v>2549</v>
      </c>
      <c r="E1327" s="64" t="s">
        <v>13</v>
      </c>
      <c r="F1327" s="38" t="e" vm="1">
        <v>#VALUE!</v>
      </c>
      <c r="G1327" s="58">
        <v>45784</v>
      </c>
      <c r="H1327" s="57" t="e" vm="2">
        <v>#VALUE!</v>
      </c>
      <c r="I1327" s="64"/>
      <c r="J1327" s="57"/>
      <c r="K1327" s="57"/>
      <c r="L1327" s="4"/>
      <c r="M1327" s="35"/>
    </row>
    <row r="1328" spans="1:13" ht="15.9" customHeight="1" x14ac:dyDescent="0.3">
      <c r="A1328" s="46">
        <v>1325</v>
      </c>
      <c r="B1328" s="57" t="str">
        <f>IF(Tabla1[[#This Row],[TRABAJADOR]]="", "", VLOOKUP(Tabla1[[#This Row],[TRABAJADOR]], 'Colaborador ID'!B:C, 2, FALSE))</f>
        <v>E1649</v>
      </c>
      <c r="C1328" s="56" t="s">
        <v>5500</v>
      </c>
      <c r="D1328" s="57" t="s">
        <v>2550</v>
      </c>
      <c r="E1328" s="64"/>
      <c r="F1328" s="57" t="e" vm="1">
        <v>#VALUE!</v>
      </c>
      <c r="G1328" s="58"/>
      <c r="H1328" s="57" t="e" vm="2">
        <v>#VALUE!</v>
      </c>
      <c r="I1328" s="57" t="s">
        <v>22</v>
      </c>
      <c r="J1328" s="57"/>
      <c r="K1328" s="57"/>
      <c r="L1328" s="4"/>
      <c r="M1328" s="35"/>
    </row>
    <row r="1329" spans="1:13" ht="15.9" customHeight="1" x14ac:dyDescent="0.3">
      <c r="A1329" s="46">
        <v>1326</v>
      </c>
      <c r="B1329" s="64" t="str">
        <f>IF(Tabla1[[#This Row],[TRABAJADOR]]="", "", VLOOKUP(Tabla1[[#This Row],[TRABAJADOR]], 'Colaborador ID'!B:C, 2, FALSE))</f>
        <v>E0916</v>
      </c>
      <c r="C1329" s="63" t="s">
        <v>2551</v>
      </c>
      <c r="D1329" s="64" t="s">
        <v>2552</v>
      </c>
      <c r="E1329" s="64"/>
      <c r="F1329" s="57" t="e" vm="1">
        <v>#VALUE!</v>
      </c>
      <c r="G1329" s="58"/>
      <c r="H1329" s="57" t="e" vm="2">
        <v>#VALUE!</v>
      </c>
      <c r="I1329" s="64"/>
      <c r="J1329" s="57"/>
      <c r="K1329" s="57"/>
      <c r="L1329" s="4"/>
      <c r="M1329" s="35"/>
    </row>
    <row r="1330" spans="1:13" ht="15.9" customHeight="1" x14ac:dyDescent="0.3">
      <c r="A1330" s="46">
        <v>1327</v>
      </c>
      <c r="B1330" s="64" t="str">
        <f>IF(Tabla1[[#This Row],[TRABAJADOR]]="", "", VLOOKUP(Tabla1[[#This Row],[TRABAJADOR]], 'Colaborador ID'!B:C, 2, FALSE))</f>
        <v>E1112</v>
      </c>
      <c r="C1330" s="63" t="s">
        <v>2553</v>
      </c>
      <c r="D1330" s="64" t="s">
        <v>2554</v>
      </c>
      <c r="E1330" s="64"/>
      <c r="F1330" s="57" t="e" vm="1">
        <v>#VALUE!</v>
      </c>
      <c r="G1330" s="58"/>
      <c r="H1330" s="57" t="e" vm="2">
        <v>#VALUE!</v>
      </c>
      <c r="I1330" s="64"/>
      <c r="J1330" s="57"/>
      <c r="K1330" s="57"/>
      <c r="L1330" s="4"/>
      <c r="M1330" s="35"/>
    </row>
    <row r="1331" spans="1:13" ht="15.9" customHeight="1" x14ac:dyDescent="0.3">
      <c r="A1331" s="46">
        <v>1328</v>
      </c>
      <c r="B1331" s="64" t="e">
        <f>IF(Tabla1[[#This Row],[TRABAJADOR]]="", "", VLOOKUP(Tabla1[[#This Row],[TRABAJADOR]], 'Colaborador ID'!B:C, 2, FALSE))</f>
        <v>#N/A</v>
      </c>
      <c r="C1331" s="63" t="s">
        <v>2555</v>
      </c>
      <c r="D1331" s="64" t="s">
        <v>2556</v>
      </c>
      <c r="E1331" s="64"/>
      <c r="F1331" s="57" t="e" vm="1">
        <v>#VALUE!</v>
      </c>
      <c r="G1331" s="58"/>
      <c r="H1331" s="57" t="e" vm="2">
        <v>#VALUE!</v>
      </c>
      <c r="I1331" s="64"/>
      <c r="J1331" s="57"/>
      <c r="K1331" s="57"/>
      <c r="L1331" s="4"/>
      <c r="M1331" s="35"/>
    </row>
    <row r="1332" spans="1:13" ht="15.9" customHeight="1" x14ac:dyDescent="0.3">
      <c r="A1332" s="46">
        <v>1329</v>
      </c>
      <c r="B1332" s="57" t="str">
        <f>IF(Tabla1[[#This Row],[TRABAJADOR]]="", "", VLOOKUP(Tabla1[[#This Row],[TRABAJADOR]], 'Colaborador ID'!B:C, 2, FALSE))</f>
        <v>E1768</v>
      </c>
      <c r="C1332" s="56" t="s">
        <v>2557</v>
      </c>
      <c r="D1332" s="57" t="s">
        <v>2558</v>
      </c>
      <c r="E1332" s="64" t="s">
        <v>19</v>
      </c>
      <c r="F1332" s="49" t="e" vm="1">
        <v>#VALUE!</v>
      </c>
      <c r="G1332" s="58">
        <v>45903</v>
      </c>
      <c r="H1332" s="57" t="e" vm="2">
        <v>#VALUE!</v>
      </c>
      <c r="I1332" s="57"/>
      <c r="J1332" s="57"/>
      <c r="K1332" s="57"/>
      <c r="L1332" s="4"/>
      <c r="M1332" s="35"/>
    </row>
    <row r="1333" spans="1:13" ht="15.9" customHeight="1" x14ac:dyDescent="0.3">
      <c r="A1333" s="46">
        <v>1330</v>
      </c>
      <c r="B1333" s="64" t="str">
        <f>IF(Tabla1[[#This Row],[TRABAJADOR]]="", "", VLOOKUP(Tabla1[[#This Row],[TRABAJADOR]], 'Colaborador ID'!B:C, 2, FALSE))</f>
        <v>E1286</v>
      </c>
      <c r="C1333" s="63" t="s">
        <v>2559</v>
      </c>
      <c r="D1333" s="64" t="s">
        <v>2560</v>
      </c>
      <c r="E1333" s="64" t="s">
        <v>13</v>
      </c>
      <c r="F1333" s="57" t="e" vm="1">
        <v>#VALUE!</v>
      </c>
      <c r="G1333" s="58"/>
      <c r="H1333" s="57" t="e" vm="2">
        <v>#VALUE!</v>
      </c>
      <c r="I1333" s="64"/>
      <c r="J1333" s="57"/>
      <c r="K1333" s="57"/>
      <c r="L1333" s="4"/>
      <c r="M1333" s="35"/>
    </row>
    <row r="1334" spans="1:13" ht="15.9" customHeight="1" x14ac:dyDescent="0.3">
      <c r="A1334" s="46">
        <v>1331</v>
      </c>
      <c r="B1334" s="64" t="str">
        <f>IF(Tabla1[[#This Row],[TRABAJADOR]]="", "", VLOOKUP(Tabla1[[#This Row],[TRABAJADOR]], 'Colaborador ID'!B:C, 2, FALSE))</f>
        <v>E1581</v>
      </c>
      <c r="C1334" s="63" t="s">
        <v>2561</v>
      </c>
      <c r="D1334" s="64" t="s">
        <v>2562</v>
      </c>
      <c r="E1334" s="64" t="s">
        <v>33</v>
      </c>
      <c r="F1334" s="49" t="e" vm="1">
        <v>#VALUE!</v>
      </c>
      <c r="G1334" s="58"/>
      <c r="H1334" s="57" t="e" vm="2">
        <v>#VALUE!</v>
      </c>
      <c r="I1334" s="64" t="s">
        <v>22</v>
      </c>
      <c r="J1334" s="57"/>
      <c r="K1334" s="57"/>
      <c r="L1334" s="4"/>
      <c r="M1334" s="35"/>
    </row>
    <row r="1335" spans="1:13" ht="15.9" customHeight="1" x14ac:dyDescent="0.4">
      <c r="A1335" s="46">
        <v>1332</v>
      </c>
      <c r="B1335" s="64" t="str">
        <f>IF(Tabla1[[#This Row],[TRABAJADOR]]="", "", VLOOKUP(Tabla1[[#This Row],[TRABAJADOR]], 'Colaborador ID'!B:C, 2, FALSE))</f>
        <v>E0523</v>
      </c>
      <c r="C1335" s="63" t="s">
        <v>2563</v>
      </c>
      <c r="D1335" s="64" t="s">
        <v>2564</v>
      </c>
      <c r="E1335" s="64" t="s">
        <v>16</v>
      </c>
      <c r="F1335" s="37" t="e" vm="1">
        <v>#VALUE!</v>
      </c>
      <c r="G1335" s="58"/>
      <c r="H1335" s="39" t="e" vm="2">
        <v>#VALUE!</v>
      </c>
      <c r="I1335" s="64"/>
      <c r="J1335" s="57"/>
      <c r="K1335" s="57"/>
      <c r="L1335" s="4"/>
      <c r="M1335" s="35"/>
    </row>
    <row r="1336" spans="1:13" ht="15.9" customHeight="1" x14ac:dyDescent="0.3">
      <c r="A1336" s="46">
        <v>1333</v>
      </c>
      <c r="B1336" s="64" t="str">
        <f>IF(Tabla1[[#This Row],[TRABAJADOR]]="", "", VLOOKUP(Tabla1[[#This Row],[TRABAJADOR]], 'Colaborador ID'!B:C, 2, FALSE))</f>
        <v>E0779</v>
      </c>
      <c r="C1336" s="63" t="s">
        <v>2565</v>
      </c>
      <c r="D1336" s="64" t="s">
        <v>2566</v>
      </c>
      <c r="E1336" s="64"/>
      <c r="F1336" s="57" t="e" vm="1">
        <v>#VALUE!</v>
      </c>
      <c r="G1336" s="58"/>
      <c r="H1336" s="57" t="e" vm="2">
        <v>#VALUE!</v>
      </c>
      <c r="I1336" s="64" t="s">
        <v>22</v>
      </c>
      <c r="J1336" s="57"/>
      <c r="K1336" s="57"/>
      <c r="L1336" s="4"/>
      <c r="M1336" s="35"/>
    </row>
    <row r="1337" spans="1:13" ht="15.9" customHeight="1" x14ac:dyDescent="0.3">
      <c r="A1337" s="46">
        <v>1334</v>
      </c>
      <c r="B1337" s="57" t="str">
        <f>IF(Tabla1[[#This Row],[TRABAJADOR]]="", "", VLOOKUP(Tabla1[[#This Row],[TRABAJADOR]], 'Colaborador ID'!B:C, 2, FALSE))</f>
        <v>E2136</v>
      </c>
      <c r="C1337" s="56" t="s">
        <v>5438</v>
      </c>
      <c r="D1337" s="57" t="s">
        <v>1462</v>
      </c>
      <c r="E1337" s="57"/>
      <c r="F1337" s="57" t="e" vm="1">
        <v>#VALUE!</v>
      </c>
      <c r="G1337" s="58"/>
      <c r="H1337" s="57" t="e" vm="3">
        <v>#VALUE!</v>
      </c>
      <c r="I1337" s="57"/>
      <c r="J1337" s="57"/>
      <c r="K1337" s="57"/>
      <c r="L1337" s="4"/>
      <c r="M1337" s="35"/>
    </row>
    <row r="1338" spans="1:13" ht="15.9" customHeight="1" x14ac:dyDescent="0.3">
      <c r="A1338" s="46">
        <v>1335</v>
      </c>
      <c r="B1338" s="57" t="str">
        <f>IF(Tabla1[[#This Row],[TRABAJADOR]]="", "", VLOOKUP(Tabla1[[#This Row],[TRABAJADOR]], 'Colaborador ID'!B:C, 2, FALSE))</f>
        <v>E1841</v>
      </c>
      <c r="C1338" s="56" t="s">
        <v>2567</v>
      </c>
      <c r="D1338" s="57" t="s">
        <v>2568</v>
      </c>
      <c r="E1338" s="64" t="s">
        <v>13</v>
      </c>
      <c r="F1338" s="49" t="e" vm="1">
        <v>#VALUE!</v>
      </c>
      <c r="G1338" s="58">
        <v>45958</v>
      </c>
      <c r="H1338" s="57" t="e" vm="2">
        <v>#VALUE!</v>
      </c>
      <c r="I1338" s="57"/>
      <c r="J1338" s="57"/>
      <c r="K1338" s="57"/>
      <c r="L1338" s="4"/>
      <c r="M1338" s="35"/>
    </row>
    <row r="1339" spans="1:13" ht="15.9" customHeight="1" x14ac:dyDescent="0.3">
      <c r="A1339" s="46">
        <v>1336</v>
      </c>
      <c r="B1339" s="64" t="str">
        <f>IF(Tabla1[[#This Row],[TRABAJADOR]]="", "", VLOOKUP(Tabla1[[#This Row],[TRABAJADOR]], 'Colaborador ID'!B:C, 2, FALSE))</f>
        <v>E0310</v>
      </c>
      <c r="C1339" s="63" t="s">
        <v>2569</v>
      </c>
      <c r="D1339" s="64" t="s">
        <v>2570</v>
      </c>
      <c r="E1339" s="64" t="s">
        <v>16</v>
      </c>
      <c r="F1339" s="38" t="e" vm="1">
        <v>#VALUE!</v>
      </c>
      <c r="G1339" s="58">
        <v>45756</v>
      </c>
      <c r="H1339" s="57" t="e" vm="2">
        <v>#VALUE!</v>
      </c>
      <c r="I1339" s="64"/>
      <c r="J1339" s="57"/>
      <c r="K1339" s="57"/>
      <c r="L1339" s="4"/>
      <c r="M1339" s="35"/>
    </row>
    <row r="1340" spans="1:13" ht="15.9" customHeight="1" x14ac:dyDescent="0.3">
      <c r="A1340" s="46">
        <v>1337</v>
      </c>
      <c r="B1340" s="64" t="str">
        <f>IF(Tabla1[[#This Row],[TRABAJADOR]]="", "", VLOOKUP(Tabla1[[#This Row],[TRABAJADOR]], 'Colaborador ID'!B:C, 2, FALSE))</f>
        <v>E1582</v>
      </c>
      <c r="C1340" s="63" t="s">
        <v>2571</v>
      </c>
      <c r="D1340" s="64" t="s">
        <v>2572</v>
      </c>
      <c r="E1340" s="64"/>
      <c r="F1340" s="49" t="e" vm="1">
        <v>#VALUE!</v>
      </c>
      <c r="G1340" s="58"/>
      <c r="H1340" s="57" t="e" vm="2">
        <v>#VALUE!</v>
      </c>
      <c r="I1340" s="64" t="s">
        <v>22</v>
      </c>
      <c r="J1340" s="57"/>
      <c r="K1340" s="57"/>
      <c r="L1340" s="4"/>
      <c r="M1340" s="35"/>
    </row>
    <row r="1341" spans="1:13" ht="15.9" customHeight="1" x14ac:dyDescent="0.3">
      <c r="A1341" s="46">
        <v>1338</v>
      </c>
      <c r="B1341" s="64" t="str">
        <f>IF(Tabla1[[#This Row],[TRABAJADOR]]="", "", VLOOKUP(Tabla1[[#This Row],[TRABAJADOR]], 'Colaborador ID'!B:C, 2, FALSE))</f>
        <v>E1443</v>
      </c>
      <c r="C1341" s="63" t="s">
        <v>2573</v>
      </c>
      <c r="D1341" s="64" t="s">
        <v>2574</v>
      </c>
      <c r="E1341" s="64" t="s">
        <v>33</v>
      </c>
      <c r="F1341" s="38" t="e" vm="1">
        <v>#VALUE!</v>
      </c>
      <c r="G1341" s="58">
        <v>45848</v>
      </c>
      <c r="H1341" s="57" t="e" vm="2">
        <v>#VALUE!</v>
      </c>
      <c r="I1341" s="64"/>
      <c r="J1341" s="57"/>
      <c r="K1341" s="57"/>
      <c r="L1341" s="4"/>
      <c r="M1341" s="35"/>
    </row>
    <row r="1342" spans="1:13" ht="15.9" customHeight="1" x14ac:dyDescent="0.3">
      <c r="A1342" s="46">
        <v>1339</v>
      </c>
      <c r="B1342" s="57" t="str">
        <f>IF(Tabla1[[#This Row],[TRABAJADOR]]="", "", VLOOKUP(Tabla1[[#This Row],[TRABAJADOR]], 'Colaborador ID'!B:C, 2, FALSE))</f>
        <v>E1738</v>
      </c>
      <c r="C1342" s="56" t="s">
        <v>2575</v>
      </c>
      <c r="D1342" s="57" t="s">
        <v>2576</v>
      </c>
      <c r="E1342" s="64"/>
      <c r="F1342" s="49" t="e" vm="1">
        <v>#VALUE!</v>
      </c>
      <c r="G1342" s="58">
        <v>45891</v>
      </c>
      <c r="H1342" s="57" t="e" vm="2">
        <v>#VALUE!</v>
      </c>
      <c r="I1342" s="57"/>
      <c r="J1342" s="57"/>
      <c r="K1342" s="57"/>
      <c r="L1342" s="4"/>
      <c r="M1342" s="35"/>
    </row>
    <row r="1343" spans="1:13" ht="15.9" customHeight="1" x14ac:dyDescent="0.3">
      <c r="A1343" s="46">
        <v>1340</v>
      </c>
      <c r="B1343" s="64" t="str">
        <f>IF(Tabla1[[#This Row],[TRABAJADOR]]="", "", VLOOKUP(Tabla1[[#This Row],[TRABAJADOR]], 'Colaborador ID'!B:C, 2, FALSE))</f>
        <v>E0315</v>
      </c>
      <c r="C1343" s="63" t="s">
        <v>2577</v>
      </c>
      <c r="D1343" s="64" t="s">
        <v>2578</v>
      </c>
      <c r="E1343" s="64" t="s">
        <v>16</v>
      </c>
      <c r="F1343" s="49" t="e" vm="1">
        <v>#VALUE!</v>
      </c>
      <c r="G1343" s="58"/>
      <c r="H1343" s="57" t="e" vm="2">
        <v>#VALUE!</v>
      </c>
      <c r="I1343" s="64"/>
      <c r="J1343" s="57"/>
      <c r="K1343" s="57"/>
      <c r="L1343" s="4"/>
      <c r="M1343" s="35"/>
    </row>
    <row r="1344" spans="1:13" ht="15.9" customHeight="1" x14ac:dyDescent="0.3">
      <c r="A1344" s="46">
        <v>1341</v>
      </c>
      <c r="B1344" s="64" t="str">
        <f>IF(Tabla1[[#This Row],[TRABAJADOR]]="", "", VLOOKUP(Tabla1[[#This Row],[TRABAJADOR]], 'Colaborador ID'!B:C, 2, FALSE))</f>
        <v>E0001</v>
      </c>
      <c r="C1344" s="63" t="s">
        <v>2579</v>
      </c>
      <c r="D1344" s="64" t="s">
        <v>2580</v>
      </c>
      <c r="E1344" s="64" t="s">
        <v>19</v>
      </c>
      <c r="F1344" s="49" t="e" vm="1">
        <v>#VALUE!</v>
      </c>
      <c r="G1344" s="58"/>
      <c r="H1344" s="57" t="e" vm="2">
        <v>#VALUE!</v>
      </c>
      <c r="I1344" s="64"/>
      <c r="J1344" s="57"/>
      <c r="K1344" s="57"/>
      <c r="L1344" s="4"/>
      <c r="M1344" s="35"/>
    </row>
    <row r="1345" spans="1:13" ht="15.9" customHeight="1" x14ac:dyDescent="0.3">
      <c r="A1345" s="46">
        <v>1342</v>
      </c>
      <c r="B1345" s="64" t="str">
        <f>IF(Tabla1[[#This Row],[TRABAJADOR]]="", "", VLOOKUP(Tabla1[[#This Row],[TRABAJADOR]], 'Colaborador ID'!B:C, 2, FALSE))</f>
        <v>E0445</v>
      </c>
      <c r="C1345" s="63" t="s">
        <v>2581</v>
      </c>
      <c r="D1345" s="64" t="s">
        <v>2582</v>
      </c>
      <c r="E1345" s="64" t="s">
        <v>16</v>
      </c>
      <c r="F1345" s="38" t="e" vm="1">
        <v>#VALUE!</v>
      </c>
      <c r="G1345" s="58">
        <v>45756</v>
      </c>
      <c r="H1345" s="57" t="e" vm="2">
        <v>#VALUE!</v>
      </c>
      <c r="I1345" s="64"/>
      <c r="J1345" s="57"/>
      <c r="K1345" s="57"/>
      <c r="L1345" s="4"/>
      <c r="M1345" s="35"/>
    </row>
    <row r="1346" spans="1:13" ht="15.9" customHeight="1" x14ac:dyDescent="0.3">
      <c r="A1346" s="46">
        <v>1343</v>
      </c>
      <c r="B1346" s="64" t="str">
        <f>IF(Tabla1[[#This Row],[TRABAJADOR]]="", "", VLOOKUP(Tabla1[[#This Row],[TRABAJADOR]], 'Colaborador ID'!B:C, 2, FALSE))</f>
        <v>E0650</v>
      </c>
      <c r="C1346" s="63" t="s">
        <v>2583</v>
      </c>
      <c r="D1346" s="64" t="s">
        <v>2584</v>
      </c>
      <c r="E1346" s="64" t="s">
        <v>13</v>
      </c>
      <c r="F1346" s="38" t="e" vm="1">
        <v>#VALUE!</v>
      </c>
      <c r="G1346" s="58">
        <v>45757</v>
      </c>
      <c r="H1346" s="40" t="e" vm="2">
        <v>#VALUE!</v>
      </c>
      <c r="I1346" s="64"/>
      <c r="J1346" s="57"/>
      <c r="K1346" s="57"/>
      <c r="L1346" s="4"/>
      <c r="M1346" s="35"/>
    </row>
    <row r="1347" spans="1:13" ht="15.9" customHeight="1" x14ac:dyDescent="0.35">
      <c r="A1347" s="46">
        <v>1344</v>
      </c>
      <c r="B1347" s="64" t="str">
        <f>IF(Tabla1[[#This Row],[TRABAJADOR]]="", "", VLOOKUP(Tabla1[[#This Row],[TRABAJADOR]], 'Colaborador ID'!B:C, 2, FALSE))</f>
        <v>E0422</v>
      </c>
      <c r="C1347" s="63" t="s">
        <v>2585</v>
      </c>
      <c r="D1347" s="64" t="s">
        <v>2586</v>
      </c>
      <c r="E1347" s="64" t="s">
        <v>16</v>
      </c>
      <c r="F1347" s="37" t="e" vm="1">
        <v>#VALUE!</v>
      </c>
      <c r="G1347" s="58"/>
      <c r="H1347" s="57" t="e" vm="2">
        <v>#VALUE!</v>
      </c>
      <c r="I1347" s="64"/>
      <c r="J1347" s="57"/>
      <c r="K1347" s="57"/>
      <c r="L1347" s="4"/>
      <c r="M1347" s="35"/>
    </row>
    <row r="1348" spans="1:13" ht="15.9" customHeight="1" x14ac:dyDescent="0.3">
      <c r="A1348" s="46">
        <v>1345</v>
      </c>
      <c r="B1348" s="64" t="str">
        <f>IF(Tabla1[[#This Row],[TRABAJADOR]]="", "", VLOOKUP(Tabla1[[#This Row],[TRABAJADOR]], 'Colaborador ID'!B:C, 2, FALSE))</f>
        <v>E0446</v>
      </c>
      <c r="C1348" s="63" t="s">
        <v>2587</v>
      </c>
      <c r="D1348" s="64" t="s">
        <v>2588</v>
      </c>
      <c r="E1348" s="64" t="s">
        <v>13</v>
      </c>
      <c r="F1348" s="38" t="e" vm="1">
        <v>#VALUE!</v>
      </c>
      <c r="G1348" s="58">
        <v>45793</v>
      </c>
      <c r="H1348" s="57" t="e" vm="2">
        <v>#VALUE!</v>
      </c>
      <c r="I1348" s="64"/>
      <c r="J1348" s="57"/>
      <c r="K1348" s="57"/>
      <c r="L1348" s="4"/>
      <c r="M1348" s="35"/>
    </row>
    <row r="1349" spans="1:13" ht="15.9" customHeight="1" x14ac:dyDescent="0.3">
      <c r="A1349" s="46">
        <v>1346</v>
      </c>
      <c r="B1349" s="64" t="str">
        <f>IF(Tabla1[[#This Row],[TRABAJADOR]]="", "", VLOOKUP(Tabla1[[#This Row],[TRABAJADOR]], 'Colaborador ID'!B:C, 2, FALSE))</f>
        <v>E0946</v>
      </c>
      <c r="C1349" s="63" t="s">
        <v>2589</v>
      </c>
      <c r="D1349" s="64" t="s">
        <v>2590</v>
      </c>
      <c r="E1349" s="64"/>
      <c r="F1349" s="57" t="e" vm="1">
        <v>#VALUE!</v>
      </c>
      <c r="G1349" s="58"/>
      <c r="H1349" s="57" t="e" vm="2">
        <v>#VALUE!</v>
      </c>
      <c r="I1349" s="64"/>
      <c r="J1349" s="57"/>
      <c r="K1349" s="57"/>
      <c r="L1349" s="4"/>
      <c r="M1349" s="35"/>
    </row>
    <row r="1350" spans="1:13" ht="15.9" customHeight="1" x14ac:dyDescent="0.35">
      <c r="A1350" s="46">
        <v>1347</v>
      </c>
      <c r="B1350" s="64" t="str">
        <f>IF(Tabla1[[#This Row],[TRABAJADOR]]="", "", VLOOKUP(Tabla1[[#This Row],[TRABAJADOR]], 'Colaborador ID'!B:C, 2, FALSE))</f>
        <v>E0588</v>
      </c>
      <c r="C1350" s="63" t="s">
        <v>2591</v>
      </c>
      <c r="D1350" s="64" t="s">
        <v>2592</v>
      </c>
      <c r="E1350" s="64" t="s">
        <v>13</v>
      </c>
      <c r="F1350" s="37" t="e" vm="1">
        <v>#VALUE!</v>
      </c>
      <c r="G1350" s="58">
        <v>45744</v>
      </c>
      <c r="H1350" s="40" t="e" vm="2">
        <v>#VALUE!</v>
      </c>
      <c r="I1350" s="64"/>
      <c r="J1350" s="57"/>
      <c r="K1350" s="57"/>
      <c r="L1350" s="4"/>
      <c r="M1350" s="35"/>
    </row>
    <row r="1351" spans="1:13" ht="15.9" customHeight="1" x14ac:dyDescent="0.3">
      <c r="A1351" s="46">
        <v>1348</v>
      </c>
      <c r="B1351" s="64" t="str">
        <f>IF(Tabla1[[#This Row],[TRABAJADOR]]="", "", VLOOKUP(Tabla1[[#This Row],[TRABAJADOR]], 'Colaborador ID'!B:C, 2, FALSE))</f>
        <v>E0457</v>
      </c>
      <c r="C1351" s="63" t="s">
        <v>2593</v>
      </c>
      <c r="D1351" s="64" t="s">
        <v>2594</v>
      </c>
      <c r="E1351" s="64" t="s">
        <v>19</v>
      </c>
      <c r="F1351" s="49" t="e" vm="1">
        <v>#VALUE!</v>
      </c>
      <c r="G1351" s="58"/>
      <c r="H1351" s="57" t="e" vm="2">
        <v>#VALUE!</v>
      </c>
      <c r="I1351" s="64"/>
      <c r="J1351" s="57"/>
      <c r="K1351" s="57"/>
      <c r="L1351" s="4"/>
      <c r="M1351" s="35"/>
    </row>
    <row r="1352" spans="1:13" ht="15.9" customHeight="1" x14ac:dyDescent="0.3">
      <c r="A1352" s="46">
        <v>1349</v>
      </c>
      <c r="B1352" s="64" t="str">
        <f>IF(Tabla1[[#This Row],[TRABAJADOR]]="", "", VLOOKUP(Tabla1[[#This Row],[TRABAJADOR]], 'Colaborador ID'!B:C, 2, FALSE))</f>
        <v>E0178</v>
      </c>
      <c r="C1352" s="63" t="s">
        <v>2595</v>
      </c>
      <c r="D1352" s="64" t="s">
        <v>2596</v>
      </c>
      <c r="E1352" s="64" t="s">
        <v>19</v>
      </c>
      <c r="F1352" s="49" t="e" vm="1">
        <v>#VALUE!</v>
      </c>
      <c r="G1352" s="58"/>
      <c r="H1352" s="57" t="e" vm="2">
        <v>#VALUE!</v>
      </c>
      <c r="I1352" s="64" t="s">
        <v>22</v>
      </c>
      <c r="J1352" s="57"/>
      <c r="K1352" s="57"/>
      <c r="L1352" s="4"/>
      <c r="M1352" s="35"/>
    </row>
    <row r="1353" spans="1:13" ht="15.9" customHeight="1" x14ac:dyDescent="0.3">
      <c r="A1353" s="46">
        <v>1350</v>
      </c>
      <c r="B1353" s="57" t="str">
        <f>IF(Tabla1[[#This Row],[TRABAJADOR]]="", "", VLOOKUP(Tabla1[[#This Row],[TRABAJADOR]], 'Colaborador ID'!B:C, 2, FALSE))</f>
        <v>E1733</v>
      </c>
      <c r="C1353" s="56" t="s">
        <v>2597</v>
      </c>
      <c r="D1353" s="57" t="s">
        <v>2598</v>
      </c>
      <c r="E1353" s="64" t="s">
        <v>16</v>
      </c>
      <c r="F1353" s="49" t="e" vm="1">
        <v>#VALUE!</v>
      </c>
      <c r="G1353" s="58">
        <v>45905</v>
      </c>
      <c r="H1353" s="57" t="e" vm="2">
        <v>#VALUE!</v>
      </c>
      <c r="I1353" s="57"/>
      <c r="J1353" s="57"/>
      <c r="K1353" s="57"/>
      <c r="L1353" s="4"/>
      <c r="M1353" s="35"/>
    </row>
    <row r="1354" spans="1:13" ht="15.9" customHeight="1" x14ac:dyDescent="0.3">
      <c r="A1354" s="46">
        <v>1351</v>
      </c>
      <c r="B1354" s="64" t="str">
        <f>IF(Tabla1[[#This Row],[TRABAJADOR]]="", "", VLOOKUP(Tabla1[[#This Row],[TRABAJADOR]], 'Colaborador ID'!B:C, 2, FALSE))</f>
        <v>E0061</v>
      </c>
      <c r="C1354" s="63" t="s">
        <v>2599</v>
      </c>
      <c r="D1354" s="64" t="s">
        <v>2600</v>
      </c>
      <c r="E1354" s="64" t="s">
        <v>16</v>
      </c>
      <c r="F1354" s="38" t="e" vm="1">
        <v>#VALUE!</v>
      </c>
      <c r="G1354" s="58">
        <v>45904</v>
      </c>
      <c r="H1354" s="49" t="e" vm="2">
        <v>#VALUE!</v>
      </c>
      <c r="I1354" s="64"/>
      <c r="J1354" s="57"/>
      <c r="K1354" s="57"/>
      <c r="L1354" s="4"/>
      <c r="M1354" s="35"/>
    </row>
    <row r="1355" spans="1:13" ht="15.9" customHeight="1" x14ac:dyDescent="0.4">
      <c r="A1355" s="46">
        <v>1352</v>
      </c>
      <c r="B1355" s="64" t="str">
        <f>IF(Tabla1[[#This Row],[TRABAJADOR]]="", "", VLOOKUP(Tabla1[[#This Row],[TRABAJADOR]], 'Colaborador ID'!B:C, 2, FALSE))</f>
        <v>E0751</v>
      </c>
      <c r="C1355" s="63" t="s">
        <v>2601</v>
      </c>
      <c r="D1355" s="64" t="s">
        <v>2602</v>
      </c>
      <c r="E1355" s="64" t="s">
        <v>16</v>
      </c>
      <c r="F1355" s="37" t="e" vm="1">
        <v>#VALUE!</v>
      </c>
      <c r="G1355" s="58">
        <v>45726</v>
      </c>
      <c r="H1355" s="39" t="e" vm="2">
        <v>#VALUE!</v>
      </c>
      <c r="I1355" s="64"/>
      <c r="J1355" s="57"/>
      <c r="K1355" s="57"/>
      <c r="L1355" s="4"/>
      <c r="M1355" s="35"/>
    </row>
    <row r="1356" spans="1:13" ht="15.9" customHeight="1" x14ac:dyDescent="0.3">
      <c r="A1356" s="46">
        <v>1353</v>
      </c>
      <c r="B1356" s="64" t="str">
        <f>IF(Tabla1[[#This Row],[TRABAJADOR]]="", "", VLOOKUP(Tabla1[[#This Row],[TRABAJADOR]], 'Colaborador ID'!B:C, 2, FALSE))</f>
        <v>E0583</v>
      </c>
      <c r="C1356" s="63" t="s">
        <v>2603</v>
      </c>
      <c r="D1356" s="64" t="s">
        <v>2604</v>
      </c>
      <c r="E1356" s="64"/>
      <c r="F1356" s="57" t="e" vm="1">
        <v>#VALUE!</v>
      </c>
      <c r="G1356" s="58"/>
      <c r="H1356" s="57" t="e" vm="2">
        <v>#VALUE!</v>
      </c>
      <c r="I1356" s="64"/>
      <c r="J1356" s="57"/>
      <c r="K1356" s="57"/>
      <c r="L1356" s="4"/>
      <c r="M1356" s="35"/>
    </row>
    <row r="1357" spans="1:13" ht="15.9" customHeight="1" x14ac:dyDescent="0.3">
      <c r="A1357" s="46">
        <v>1354</v>
      </c>
      <c r="B1357" s="57" t="str">
        <f>IF(Tabla1[[#This Row],[TRABAJADOR]]="", "", VLOOKUP(Tabla1[[#This Row],[TRABAJADOR]], 'Colaborador ID'!B:C, 2, FALSE))</f>
        <v>E1583</v>
      </c>
      <c r="C1357" s="56" t="s">
        <v>2605</v>
      </c>
      <c r="D1357" s="57" t="s">
        <v>2606</v>
      </c>
      <c r="E1357" s="64" t="s">
        <v>19</v>
      </c>
      <c r="F1357" s="49" t="e" vm="1">
        <v>#VALUE!</v>
      </c>
      <c r="G1357" s="58">
        <v>45931</v>
      </c>
      <c r="H1357" s="57" t="e" vm="2">
        <v>#VALUE!</v>
      </c>
      <c r="I1357" s="57"/>
      <c r="J1357" s="57"/>
      <c r="K1357" s="57"/>
      <c r="L1357" s="4"/>
      <c r="M1357" s="35"/>
    </row>
    <row r="1358" spans="1:13" ht="15.9" customHeight="1" x14ac:dyDescent="0.3">
      <c r="A1358" s="46">
        <v>1355</v>
      </c>
      <c r="B1358" s="64" t="str">
        <f>IF(Tabla1[[#This Row],[TRABAJADOR]]="", "", VLOOKUP(Tabla1[[#This Row],[TRABAJADOR]], 'Colaborador ID'!B:C, 2, FALSE))</f>
        <v>E1584</v>
      </c>
      <c r="C1358" s="63" t="s">
        <v>2607</v>
      </c>
      <c r="D1358" s="64" t="s">
        <v>2608</v>
      </c>
      <c r="E1358" s="64" t="s">
        <v>271</v>
      </c>
      <c r="F1358" s="51" t="e" vm="1">
        <v>#VALUE!</v>
      </c>
      <c r="G1358" s="58"/>
      <c r="H1358" s="57" t="e" vm="2">
        <v>#VALUE!</v>
      </c>
      <c r="I1358" s="64" t="s">
        <v>22</v>
      </c>
      <c r="J1358" s="57"/>
      <c r="K1358" s="57"/>
      <c r="L1358" s="4"/>
      <c r="M1358" s="35"/>
    </row>
    <row r="1359" spans="1:13" ht="15.9" customHeight="1" x14ac:dyDescent="0.3">
      <c r="A1359" s="46">
        <v>1356</v>
      </c>
      <c r="B1359" s="64" t="str">
        <f>IF(Tabla1[[#This Row],[TRABAJADOR]]="", "", VLOOKUP(Tabla1[[#This Row],[TRABAJADOR]], 'Colaborador ID'!B:C, 2, FALSE))</f>
        <v>E0576</v>
      </c>
      <c r="C1359" s="63" t="s">
        <v>2609</v>
      </c>
      <c r="D1359" s="64" t="s">
        <v>2610</v>
      </c>
      <c r="E1359" s="64" t="s">
        <v>16</v>
      </c>
      <c r="F1359" s="49" t="e" vm="1">
        <v>#VALUE!</v>
      </c>
      <c r="G1359" s="58">
        <v>45940</v>
      </c>
      <c r="H1359" s="49" t="e" vm="2">
        <v>#VALUE!</v>
      </c>
      <c r="I1359" s="64"/>
      <c r="J1359" s="57"/>
      <c r="K1359" s="57"/>
      <c r="L1359" s="4"/>
      <c r="M1359" s="35"/>
    </row>
    <row r="1360" spans="1:13" ht="15.9" customHeight="1" x14ac:dyDescent="0.3">
      <c r="A1360" s="46">
        <v>1357</v>
      </c>
      <c r="B1360" s="64" t="str">
        <f>IF(Tabla1[[#This Row],[TRABAJADOR]]="", "", VLOOKUP(Tabla1[[#This Row],[TRABAJADOR]], 'Colaborador ID'!B:C, 2, FALSE))</f>
        <v>E0316</v>
      </c>
      <c r="C1360" s="63" t="s">
        <v>2611</v>
      </c>
      <c r="D1360" s="64" t="s">
        <v>2612</v>
      </c>
      <c r="E1360" s="64" t="s">
        <v>16</v>
      </c>
      <c r="F1360" s="38" t="e" vm="1">
        <v>#VALUE!</v>
      </c>
      <c r="G1360" s="58">
        <v>45744</v>
      </c>
      <c r="H1360" s="57" t="e" vm="2">
        <v>#VALUE!</v>
      </c>
      <c r="I1360" s="64"/>
      <c r="J1360" s="57"/>
      <c r="K1360" s="57"/>
      <c r="L1360" s="4"/>
      <c r="M1360" s="35"/>
    </row>
    <row r="1361" spans="1:13" ht="15.9" customHeight="1" x14ac:dyDescent="0.3">
      <c r="A1361" s="46">
        <v>1358</v>
      </c>
      <c r="B1361" s="64" t="str">
        <f>IF(Tabla1[[#This Row],[TRABAJADOR]]="", "", VLOOKUP(Tabla1[[#This Row],[TRABAJADOR]], 'Colaborador ID'!B:C, 2, FALSE))</f>
        <v>E0807</v>
      </c>
      <c r="C1361" s="63" t="s">
        <v>2613</v>
      </c>
      <c r="D1361" s="64" t="s">
        <v>2614</v>
      </c>
      <c r="E1361" s="64" t="s">
        <v>19</v>
      </c>
      <c r="F1361" s="57" t="e" vm="1">
        <v>#VALUE!</v>
      </c>
      <c r="G1361" s="58"/>
      <c r="H1361" s="57" t="e" vm="2">
        <v>#VALUE!</v>
      </c>
      <c r="I1361" s="64"/>
      <c r="J1361" s="57"/>
      <c r="K1361" s="57"/>
      <c r="L1361" s="4"/>
      <c r="M1361" s="35"/>
    </row>
    <row r="1362" spans="1:13" ht="15.9" customHeight="1" x14ac:dyDescent="0.3">
      <c r="A1362" s="46">
        <v>1359</v>
      </c>
      <c r="B1362" s="57" t="str">
        <f>IF(Tabla1[[#This Row],[TRABAJADOR]]="", "", VLOOKUP(Tabla1[[#This Row],[TRABAJADOR]], 'Colaborador ID'!B:C, 2, FALSE))</f>
        <v>E1792</v>
      </c>
      <c r="C1362" s="56" t="s">
        <v>2615</v>
      </c>
      <c r="D1362" s="57" t="s">
        <v>5342</v>
      </c>
      <c r="E1362" s="64" t="s">
        <v>16</v>
      </c>
      <c r="F1362" s="49" t="e" vm="1">
        <v>#VALUE!</v>
      </c>
      <c r="G1362" s="58">
        <v>46044</v>
      </c>
      <c r="H1362" s="49" t="e" vm="2">
        <v>#VALUE!</v>
      </c>
      <c r="I1362" s="57"/>
      <c r="J1362" s="57"/>
      <c r="K1362" s="57"/>
      <c r="L1362" s="4"/>
      <c r="M1362" s="35"/>
    </row>
    <row r="1363" spans="1:13" ht="15.9" customHeight="1" x14ac:dyDescent="0.35">
      <c r="A1363" s="46">
        <v>1360</v>
      </c>
      <c r="B1363" s="64" t="str">
        <f>IF(Tabla1[[#This Row],[TRABAJADOR]]="", "", VLOOKUP(Tabla1[[#This Row],[TRABAJADOR]], 'Colaborador ID'!B:C, 2, FALSE))</f>
        <v>E1045</v>
      </c>
      <c r="C1363" s="63" t="s">
        <v>2616</v>
      </c>
      <c r="D1363" s="64" t="s">
        <v>2617</v>
      </c>
      <c r="E1363" s="64" t="s">
        <v>16</v>
      </c>
      <c r="F1363" s="37" t="e" vm="1">
        <v>#VALUE!</v>
      </c>
      <c r="G1363" s="58"/>
      <c r="H1363" s="57" t="e" vm="2">
        <v>#VALUE!</v>
      </c>
      <c r="I1363" s="64"/>
      <c r="J1363" s="57"/>
      <c r="K1363" s="57"/>
      <c r="L1363" s="4"/>
      <c r="M1363" s="35"/>
    </row>
    <row r="1364" spans="1:13" ht="15.9" customHeight="1" x14ac:dyDescent="0.3">
      <c r="A1364" s="46">
        <v>1361</v>
      </c>
      <c r="B1364" s="57" t="str">
        <f>IF(Tabla1[[#This Row],[TRABAJADOR]]="", "", VLOOKUP(Tabla1[[#This Row],[TRABAJADOR]], 'Colaborador ID'!B:C, 2, FALSE))</f>
        <v>E1741</v>
      </c>
      <c r="C1364" s="61" t="s">
        <v>2618</v>
      </c>
      <c r="D1364" s="60" t="s">
        <v>2619</v>
      </c>
      <c r="E1364" s="64" t="s">
        <v>13</v>
      </c>
      <c r="F1364" s="49" t="e" vm="1">
        <v>#VALUE!</v>
      </c>
      <c r="G1364" s="58">
        <v>45891</v>
      </c>
      <c r="H1364" s="57" t="e" vm="2">
        <v>#VALUE!</v>
      </c>
      <c r="I1364" s="60"/>
      <c r="J1364" s="60"/>
      <c r="K1364" s="60"/>
      <c r="L1364" s="4"/>
      <c r="M1364" s="35"/>
    </row>
    <row r="1365" spans="1:13" ht="15.9" customHeight="1" x14ac:dyDescent="0.35">
      <c r="A1365" s="46">
        <v>1362</v>
      </c>
      <c r="B1365" s="64" t="str">
        <f>IF(Tabla1[[#This Row],[TRABAJADOR]]="", "", VLOOKUP(Tabla1[[#This Row],[TRABAJADOR]], 'Colaborador ID'!B:C, 2, FALSE))</f>
        <v>E0047</v>
      </c>
      <c r="C1365" s="63" t="s">
        <v>2620</v>
      </c>
      <c r="D1365" s="64" t="s">
        <v>2621</v>
      </c>
      <c r="E1365" s="64" t="s">
        <v>271</v>
      </c>
      <c r="F1365" s="37" t="e" vm="1">
        <v>#VALUE!</v>
      </c>
      <c r="G1365" s="58"/>
      <c r="H1365" s="57" t="e" vm="2">
        <v>#VALUE!</v>
      </c>
      <c r="I1365" s="64"/>
      <c r="J1365" s="57"/>
      <c r="K1365" s="57"/>
      <c r="L1365" s="4"/>
      <c r="M1365" s="35"/>
    </row>
    <row r="1366" spans="1:13" ht="15.9" customHeight="1" x14ac:dyDescent="0.3">
      <c r="A1366" s="46">
        <v>1363</v>
      </c>
      <c r="B1366" s="64" t="str">
        <f>IF(Tabla1[[#This Row],[TRABAJADOR]]="", "", VLOOKUP(Tabla1[[#This Row],[TRABAJADOR]], 'Colaborador ID'!B:C, 2, FALSE))</f>
        <v>E0475</v>
      </c>
      <c r="C1366" s="63" t="s">
        <v>2622</v>
      </c>
      <c r="D1366" s="64" t="s">
        <v>2623</v>
      </c>
      <c r="E1366" s="64" t="s">
        <v>271</v>
      </c>
      <c r="F1366" s="38" t="e" vm="1">
        <v>#VALUE!</v>
      </c>
      <c r="G1366" s="58">
        <v>45758</v>
      </c>
      <c r="H1366" s="57" t="e" vm="2">
        <v>#VALUE!</v>
      </c>
      <c r="I1366" s="64"/>
      <c r="J1366" s="57"/>
      <c r="K1366" s="57"/>
      <c r="L1366" s="4"/>
      <c r="M1366" s="35"/>
    </row>
    <row r="1367" spans="1:13" ht="15.9" customHeight="1" x14ac:dyDescent="0.35">
      <c r="A1367" s="46">
        <v>1364</v>
      </c>
      <c r="B1367" s="64" t="str">
        <f>IF(Tabla1[[#This Row],[TRABAJADOR]]="", "", VLOOKUP(Tabla1[[#This Row],[TRABAJADOR]], 'Colaborador ID'!B:C, 2, FALSE))</f>
        <v>E0368</v>
      </c>
      <c r="C1367" s="63" t="s">
        <v>2624</v>
      </c>
      <c r="D1367" s="64" t="s">
        <v>2625</v>
      </c>
      <c r="E1367" s="64" t="s">
        <v>13</v>
      </c>
      <c r="F1367" s="37" t="e" vm="1">
        <v>#VALUE!</v>
      </c>
      <c r="G1367" s="58"/>
      <c r="H1367" s="57" t="e" vm="2">
        <v>#VALUE!</v>
      </c>
      <c r="I1367" s="64"/>
      <c r="J1367" s="57"/>
      <c r="K1367" s="57"/>
      <c r="L1367" s="4"/>
      <c r="M1367" s="35"/>
    </row>
    <row r="1368" spans="1:13" ht="15.9" customHeight="1" x14ac:dyDescent="0.3">
      <c r="A1368" s="46">
        <v>1365</v>
      </c>
      <c r="B1368" s="64" t="str">
        <f>IF(Tabla1[[#This Row],[TRABAJADOR]]="", "", VLOOKUP(Tabla1[[#This Row],[TRABAJADOR]], 'Colaborador ID'!B:C, 2, FALSE))</f>
        <v>E0393</v>
      </c>
      <c r="C1368" s="63" t="s">
        <v>2626</v>
      </c>
      <c r="D1368" s="64" t="s">
        <v>2627</v>
      </c>
      <c r="E1368" s="64" t="s">
        <v>16</v>
      </c>
      <c r="F1368" s="49" t="e" vm="1">
        <v>#VALUE!</v>
      </c>
      <c r="G1368" s="58"/>
      <c r="H1368" s="57" t="e" vm="2">
        <v>#VALUE!</v>
      </c>
      <c r="I1368" s="64"/>
      <c r="J1368" s="57"/>
      <c r="K1368" s="57"/>
      <c r="L1368" s="4"/>
      <c r="M1368" s="35"/>
    </row>
    <row r="1369" spans="1:13" ht="15.9" customHeight="1" x14ac:dyDescent="0.35">
      <c r="A1369" s="46">
        <v>1366</v>
      </c>
      <c r="B1369" s="64" t="str">
        <f>IF(Tabla1[[#This Row],[TRABAJADOR]]="", "", VLOOKUP(Tabla1[[#This Row],[TRABAJADOR]], 'Colaborador ID'!B:C, 2, FALSE))</f>
        <v>E1301</v>
      </c>
      <c r="C1369" s="63" t="s">
        <v>2628</v>
      </c>
      <c r="D1369" s="64" t="s">
        <v>2629</v>
      </c>
      <c r="E1369" s="64" t="s">
        <v>19</v>
      </c>
      <c r="F1369" s="37" t="e" vm="1">
        <v>#VALUE!</v>
      </c>
      <c r="G1369" s="58"/>
      <c r="H1369" s="57" t="e" vm="2">
        <v>#VALUE!</v>
      </c>
      <c r="I1369" s="64"/>
      <c r="J1369" s="57"/>
      <c r="K1369" s="57"/>
      <c r="L1369" s="4"/>
      <c r="M1369" s="35"/>
    </row>
    <row r="1370" spans="1:13" ht="15.9" customHeight="1" x14ac:dyDescent="0.35">
      <c r="A1370" s="46">
        <v>1367</v>
      </c>
      <c r="B1370" s="64" t="str">
        <f>IF(Tabla1[[#This Row],[TRABAJADOR]]="", "", VLOOKUP(Tabla1[[#This Row],[TRABAJADOR]], 'Colaborador ID'!B:C, 2, FALSE))</f>
        <v>E0343</v>
      </c>
      <c r="C1370" s="63" t="s">
        <v>2630</v>
      </c>
      <c r="D1370" s="69" t="s">
        <v>2631</v>
      </c>
      <c r="E1370" s="64" t="s">
        <v>16</v>
      </c>
      <c r="F1370" s="37" t="e" vm="1">
        <v>#VALUE!</v>
      </c>
      <c r="G1370" s="58">
        <v>45730</v>
      </c>
      <c r="H1370" s="57" t="e" vm="2">
        <v>#VALUE!</v>
      </c>
      <c r="I1370" s="64"/>
      <c r="J1370" s="57"/>
      <c r="K1370" s="57"/>
      <c r="L1370" s="4"/>
      <c r="M1370" s="35"/>
    </row>
    <row r="1371" spans="1:13" ht="15.9" customHeight="1" x14ac:dyDescent="0.3">
      <c r="A1371" s="46">
        <v>1368</v>
      </c>
      <c r="B1371" s="57" t="str">
        <f>IF(Tabla1[[#This Row],[TRABAJADOR]]="", "", VLOOKUP(Tabla1[[#This Row],[TRABAJADOR]], 'Colaborador ID'!B:C, 2, FALSE))</f>
        <v>E1920</v>
      </c>
      <c r="C1371" s="56" t="s">
        <v>2632</v>
      </c>
      <c r="D1371" s="57" t="s">
        <v>2633</v>
      </c>
      <c r="E1371" s="64" t="s">
        <v>19</v>
      </c>
      <c r="F1371" s="49" t="e" vm="1">
        <v>#VALUE!</v>
      </c>
      <c r="G1371" s="58">
        <v>45958</v>
      </c>
      <c r="H1371" s="57" t="e" vm="2">
        <v>#VALUE!</v>
      </c>
      <c r="I1371" s="57"/>
      <c r="J1371" s="57"/>
      <c r="K1371" s="57"/>
      <c r="L1371" s="4"/>
      <c r="M1371" s="35"/>
    </row>
    <row r="1372" spans="1:13" ht="15.9" customHeight="1" x14ac:dyDescent="0.3">
      <c r="A1372" s="46">
        <v>1369</v>
      </c>
      <c r="B1372" s="64" t="str">
        <f>IF(Tabla1[[#This Row],[TRABAJADOR]]="", "", VLOOKUP(Tabla1[[#This Row],[TRABAJADOR]], 'Colaborador ID'!B:C, 2, FALSE))</f>
        <v>E0653</v>
      </c>
      <c r="C1372" s="63" t="s">
        <v>2634</v>
      </c>
      <c r="D1372" s="64" t="s">
        <v>2635</v>
      </c>
      <c r="E1372" s="64" t="s">
        <v>16</v>
      </c>
      <c r="F1372" s="49" t="e" vm="1">
        <v>#VALUE!</v>
      </c>
      <c r="G1372" s="58"/>
      <c r="H1372" s="57" t="e" vm="2">
        <v>#VALUE!</v>
      </c>
      <c r="I1372" s="64"/>
      <c r="J1372" s="57"/>
      <c r="K1372" s="57"/>
      <c r="L1372" s="4"/>
      <c r="M1372" s="35"/>
    </row>
    <row r="1373" spans="1:13" ht="15.9" customHeight="1" x14ac:dyDescent="0.3">
      <c r="A1373" s="46">
        <v>1370</v>
      </c>
      <c r="B1373" s="57" t="str">
        <f>IF(Tabla1[[#This Row],[TRABAJADOR]]="", "", VLOOKUP(Tabla1[[#This Row],[TRABAJADOR]], 'Colaborador ID'!B:C, 2, FALSE))</f>
        <v>E2097</v>
      </c>
      <c r="C1373" s="56" t="s">
        <v>5347</v>
      </c>
      <c r="D1373" s="57" t="s">
        <v>5447</v>
      </c>
      <c r="E1373" s="64" t="s">
        <v>13</v>
      </c>
      <c r="F1373" s="49" t="e" vm="1">
        <v>#VALUE!</v>
      </c>
      <c r="G1373" s="58">
        <v>46069</v>
      </c>
      <c r="H1373" s="57" t="e" vm="2">
        <v>#VALUE!</v>
      </c>
      <c r="I1373" s="57"/>
      <c r="J1373" s="57"/>
      <c r="K1373" s="57"/>
      <c r="L1373" s="4"/>
      <c r="M1373" s="35"/>
    </row>
    <row r="1374" spans="1:13" ht="15.9" customHeight="1" x14ac:dyDescent="0.3">
      <c r="A1374" s="46">
        <v>1371</v>
      </c>
      <c r="B1374" s="57" t="str">
        <f>IF(Tabla1[[#This Row],[TRABAJADOR]]="", "", VLOOKUP(Tabla1[[#This Row],[TRABAJADOR]], 'Colaborador ID'!B:C, 2, FALSE))</f>
        <v>E1807</v>
      </c>
      <c r="C1374" s="56" t="s">
        <v>2636</v>
      </c>
      <c r="D1374" s="57" t="s">
        <v>2637</v>
      </c>
      <c r="E1374" s="64" t="s">
        <v>16</v>
      </c>
      <c r="F1374" s="49" t="e" vm="1">
        <v>#VALUE!</v>
      </c>
      <c r="G1374" s="58">
        <v>45930</v>
      </c>
      <c r="H1374" s="57" t="e" vm="2">
        <v>#VALUE!</v>
      </c>
      <c r="I1374" s="57" t="s">
        <v>22</v>
      </c>
      <c r="J1374" s="57"/>
      <c r="K1374" s="57"/>
      <c r="L1374" s="4"/>
      <c r="M1374" s="35"/>
    </row>
    <row r="1375" spans="1:13" ht="15.9" customHeight="1" x14ac:dyDescent="0.35">
      <c r="A1375" s="46">
        <v>1372</v>
      </c>
      <c r="B1375" s="64" t="str">
        <f>IF(Tabla1[[#This Row],[TRABAJADOR]]="", "", VLOOKUP(Tabla1[[#This Row],[TRABAJADOR]], 'Colaborador ID'!B:C, 2, FALSE))</f>
        <v>E0045</v>
      </c>
      <c r="C1375" s="63" t="s">
        <v>2638</v>
      </c>
      <c r="D1375" s="64" t="s">
        <v>2639</v>
      </c>
      <c r="E1375" s="64" t="s">
        <v>33</v>
      </c>
      <c r="F1375" s="37" t="e" vm="1">
        <v>#VALUE!</v>
      </c>
      <c r="G1375" s="58"/>
      <c r="H1375" s="57" t="e" vm="2">
        <v>#VALUE!</v>
      </c>
      <c r="I1375" s="64"/>
      <c r="J1375" s="57"/>
      <c r="K1375" s="57"/>
      <c r="L1375" s="4"/>
      <c r="M1375" s="35"/>
    </row>
    <row r="1376" spans="1:13" ht="15.9" customHeight="1" x14ac:dyDescent="0.3">
      <c r="A1376" s="46">
        <v>1373</v>
      </c>
      <c r="B1376" s="64" t="str">
        <f>IF(Tabla1[[#This Row],[TRABAJADOR]]="", "", VLOOKUP(Tabla1[[#This Row],[TRABAJADOR]], 'Colaborador ID'!B:C, 2, FALSE))</f>
        <v>E0262</v>
      </c>
      <c r="C1376" s="63" t="s">
        <v>2640</v>
      </c>
      <c r="D1376" s="64" t="s">
        <v>2641</v>
      </c>
      <c r="E1376" s="64" t="s">
        <v>19</v>
      </c>
      <c r="F1376" s="38" t="e" vm="1">
        <v>#VALUE!</v>
      </c>
      <c r="G1376" s="58">
        <v>45784</v>
      </c>
      <c r="H1376" s="57" t="e" vm="2">
        <v>#VALUE!</v>
      </c>
      <c r="I1376" s="64"/>
      <c r="J1376" s="57"/>
      <c r="K1376" s="57"/>
      <c r="L1376" s="4"/>
      <c r="M1376" s="35"/>
    </row>
    <row r="1377" spans="1:13" ht="15.9" customHeight="1" x14ac:dyDescent="0.3">
      <c r="A1377" s="46">
        <v>1374</v>
      </c>
      <c r="B1377" s="64" t="str">
        <f>IF(Tabla1[[#This Row],[TRABAJADOR]]="", "", VLOOKUP(Tabla1[[#This Row],[TRABAJADOR]], 'Colaborador ID'!B:C, 2, FALSE))</f>
        <v>E0288</v>
      </c>
      <c r="C1377" s="63" t="s">
        <v>2642</v>
      </c>
      <c r="D1377" s="64" t="s">
        <v>2643</v>
      </c>
      <c r="E1377" s="64" t="s">
        <v>16</v>
      </c>
      <c r="F1377" s="38" t="e" vm="1">
        <v>#VALUE!</v>
      </c>
      <c r="G1377" s="58">
        <v>45754</v>
      </c>
      <c r="H1377" s="40" t="e" vm="2">
        <v>#VALUE!</v>
      </c>
      <c r="I1377" s="64"/>
      <c r="J1377" s="57"/>
      <c r="K1377" s="57"/>
      <c r="L1377" s="4"/>
      <c r="M1377" s="35"/>
    </row>
    <row r="1378" spans="1:13" ht="15.9" customHeight="1" x14ac:dyDescent="0.3">
      <c r="A1378" s="46">
        <v>1375</v>
      </c>
      <c r="B1378" s="57" t="str">
        <f>IF(Tabla1[[#This Row],[TRABAJADOR]]="", "", VLOOKUP(Tabla1[[#This Row],[TRABAJADOR]], 'Colaborador ID'!B:C, 2, FALSE))</f>
        <v>E1955</v>
      </c>
      <c r="C1378" s="56" t="s">
        <v>2644</v>
      </c>
      <c r="D1378" s="57" t="s">
        <v>2645</v>
      </c>
      <c r="E1378" s="64" t="s">
        <v>16</v>
      </c>
      <c r="F1378" s="49" t="e" vm="1">
        <v>#VALUE!</v>
      </c>
      <c r="G1378" s="58">
        <v>45961</v>
      </c>
      <c r="H1378" s="57" t="e" vm="2">
        <v>#VALUE!</v>
      </c>
      <c r="I1378" s="64" t="s">
        <v>22</v>
      </c>
      <c r="J1378" s="57"/>
      <c r="K1378" s="57"/>
      <c r="L1378" s="4"/>
      <c r="M1378" s="35"/>
    </row>
    <row r="1379" spans="1:13" ht="15.9" customHeight="1" x14ac:dyDescent="0.3">
      <c r="A1379" s="46">
        <v>1376</v>
      </c>
      <c r="B1379" s="64" t="str">
        <f>IF(Tabla1[[#This Row],[TRABAJADOR]]="", "", VLOOKUP(Tabla1[[#This Row],[TRABAJADOR]], 'Colaborador ID'!B:C, 2, FALSE))</f>
        <v>E0577</v>
      </c>
      <c r="C1379" s="63" t="s">
        <v>2646</v>
      </c>
      <c r="D1379" s="64" t="s">
        <v>2647</v>
      </c>
      <c r="E1379" s="64" t="s">
        <v>83</v>
      </c>
      <c r="F1379" s="49" t="e" vm="1">
        <v>#VALUE!</v>
      </c>
      <c r="G1379" s="58"/>
      <c r="H1379" s="57" t="e" vm="2">
        <v>#VALUE!</v>
      </c>
      <c r="I1379" s="64"/>
      <c r="J1379" s="57"/>
      <c r="K1379" s="57"/>
      <c r="L1379" s="4"/>
      <c r="M1379" s="35"/>
    </row>
    <row r="1380" spans="1:13" ht="15.9" customHeight="1" x14ac:dyDescent="0.3">
      <c r="A1380" s="46">
        <v>1377</v>
      </c>
      <c r="B1380" s="64" t="str">
        <f>IF(Tabla1[[#This Row],[TRABAJADOR]]="", "", VLOOKUP(Tabla1[[#This Row],[TRABAJADOR]], 'Colaborador ID'!B:C, 2, FALSE))</f>
        <v>E0935</v>
      </c>
      <c r="C1380" s="63" t="s">
        <v>2648</v>
      </c>
      <c r="D1380" s="64" t="s">
        <v>2649</v>
      </c>
      <c r="E1380" s="64" t="s">
        <v>83</v>
      </c>
      <c r="F1380" s="49" t="e" vm="1">
        <v>#VALUE!</v>
      </c>
      <c r="G1380" s="58"/>
      <c r="H1380" s="57" t="e" vm="2">
        <v>#VALUE!</v>
      </c>
      <c r="I1380" s="64"/>
      <c r="J1380" s="57"/>
      <c r="K1380" s="57"/>
      <c r="L1380" s="4"/>
      <c r="M1380" s="35"/>
    </row>
    <row r="1381" spans="1:13" ht="15.9" customHeight="1" x14ac:dyDescent="0.3">
      <c r="A1381" s="46">
        <v>1378</v>
      </c>
      <c r="B1381" s="64" t="str">
        <f>IF(Tabla1[[#This Row],[TRABAJADOR]]="", "", VLOOKUP(Tabla1[[#This Row],[TRABAJADOR]], 'Colaborador ID'!B:C, 2, FALSE))</f>
        <v>E0612</v>
      </c>
      <c r="C1381" s="63" t="s">
        <v>2650</v>
      </c>
      <c r="D1381" s="64" t="s">
        <v>2651</v>
      </c>
      <c r="E1381" s="64" t="s">
        <v>16</v>
      </c>
      <c r="F1381" s="38" t="e" vm="1">
        <v>#VALUE!</v>
      </c>
      <c r="G1381" s="58">
        <v>45790</v>
      </c>
      <c r="H1381" s="57" t="e" vm="2">
        <v>#VALUE!</v>
      </c>
      <c r="I1381" s="64"/>
      <c r="J1381" s="57"/>
      <c r="K1381" s="57"/>
      <c r="L1381" s="4"/>
      <c r="M1381" s="35"/>
    </row>
    <row r="1382" spans="1:13" ht="15.9" customHeight="1" x14ac:dyDescent="0.3">
      <c r="A1382" s="46">
        <v>1379</v>
      </c>
      <c r="B1382" s="64" t="str">
        <f>IF(Tabla1[[#This Row],[TRABAJADOR]]="", "", VLOOKUP(Tabla1[[#This Row],[TRABAJADOR]], 'Colaborador ID'!B:C, 2, FALSE))</f>
        <v>E0582</v>
      </c>
      <c r="C1382" s="63" t="s">
        <v>2652</v>
      </c>
      <c r="D1382" s="64" t="s">
        <v>2653</v>
      </c>
      <c r="E1382" s="64"/>
      <c r="F1382" s="57" t="e" vm="1">
        <v>#VALUE!</v>
      </c>
      <c r="G1382" s="58"/>
      <c r="H1382" s="57" t="e" vm="2">
        <v>#VALUE!</v>
      </c>
      <c r="I1382" s="64"/>
      <c r="J1382" s="57"/>
      <c r="K1382" s="57"/>
      <c r="L1382" s="4"/>
      <c r="M1382" s="35"/>
    </row>
    <row r="1383" spans="1:13" ht="15.9" customHeight="1" x14ac:dyDescent="0.3">
      <c r="A1383" s="46">
        <v>1380</v>
      </c>
      <c r="B1383" s="64" t="str">
        <f>IF(Tabla1[[#This Row],[TRABAJADOR]]="", "", VLOOKUP(Tabla1[[#This Row],[TRABAJADOR]], 'Colaborador ID'!B:C, 2, FALSE))</f>
        <v>E0517</v>
      </c>
      <c r="C1383" s="63" t="s">
        <v>2654</v>
      </c>
      <c r="D1383" s="64" t="s">
        <v>2655</v>
      </c>
      <c r="E1383" s="64"/>
      <c r="F1383" s="57" t="e" vm="1">
        <v>#VALUE!</v>
      </c>
      <c r="G1383" s="58"/>
      <c r="H1383" s="57" t="e" vm="2">
        <v>#VALUE!</v>
      </c>
      <c r="I1383" s="64" t="s">
        <v>22</v>
      </c>
      <c r="J1383" s="57"/>
      <c r="K1383" s="57"/>
      <c r="L1383" s="4"/>
      <c r="M1383" s="35"/>
    </row>
    <row r="1384" spans="1:13" ht="15.9" customHeight="1" x14ac:dyDescent="0.3">
      <c r="A1384" s="46">
        <v>1381</v>
      </c>
      <c r="B1384" s="64" t="str">
        <f>IF(Tabla1[[#This Row],[TRABAJADOR]]="", "", VLOOKUP(Tabla1[[#This Row],[TRABAJADOR]], 'Colaborador ID'!B:C, 2, FALSE))</f>
        <v>E0455</v>
      </c>
      <c r="C1384" s="63" t="s">
        <v>2656</v>
      </c>
      <c r="D1384" s="64" t="s">
        <v>2657</v>
      </c>
      <c r="E1384" s="64" t="s">
        <v>104</v>
      </c>
      <c r="F1384" s="49" t="e" vm="1">
        <v>#VALUE!</v>
      </c>
      <c r="G1384" s="58"/>
      <c r="H1384" s="57" t="e" vm="2">
        <v>#VALUE!</v>
      </c>
      <c r="I1384" s="64"/>
      <c r="J1384" s="57"/>
      <c r="K1384" s="57"/>
      <c r="L1384" s="4"/>
      <c r="M1384" s="35"/>
    </row>
    <row r="1385" spans="1:13" ht="15.9" customHeight="1" x14ac:dyDescent="0.3">
      <c r="A1385" s="46">
        <v>1382</v>
      </c>
      <c r="B1385" s="64" t="str">
        <f>IF(Tabla1[[#This Row],[TRABAJADOR]]="", "", VLOOKUP(Tabla1[[#This Row],[TRABAJADOR]], 'Colaborador ID'!B:C, 2, FALSE))</f>
        <v>E1183</v>
      </c>
      <c r="C1385" s="63" t="s">
        <v>2658</v>
      </c>
      <c r="D1385" s="64" t="s">
        <v>2659</v>
      </c>
      <c r="E1385" s="64"/>
      <c r="F1385" s="57" t="e" vm="1">
        <v>#VALUE!</v>
      </c>
      <c r="G1385" s="58"/>
      <c r="H1385" s="57" t="e" vm="2">
        <v>#VALUE!</v>
      </c>
      <c r="I1385" s="64"/>
      <c r="J1385" s="57"/>
      <c r="K1385" s="57"/>
      <c r="L1385" s="4"/>
      <c r="M1385" s="35"/>
    </row>
    <row r="1386" spans="1:13" ht="15.9" customHeight="1" x14ac:dyDescent="0.3">
      <c r="A1386" s="46">
        <v>1383</v>
      </c>
      <c r="B1386" s="64" t="str">
        <f>IF(Tabla1[[#This Row],[TRABAJADOR]]="", "", VLOOKUP(Tabla1[[#This Row],[TRABAJADOR]], 'Colaborador ID'!B:C, 2, FALSE))</f>
        <v>E0092</v>
      </c>
      <c r="C1386" s="63" t="s">
        <v>2660</v>
      </c>
      <c r="D1386" s="64" t="s">
        <v>2661</v>
      </c>
      <c r="E1386" s="64" t="s">
        <v>35</v>
      </c>
      <c r="F1386" s="38" t="e" vm="1">
        <v>#VALUE!</v>
      </c>
      <c r="G1386" s="58">
        <v>45785</v>
      </c>
      <c r="H1386" s="40" t="e" vm="2">
        <v>#VALUE!</v>
      </c>
      <c r="I1386" s="64"/>
      <c r="J1386" s="57"/>
      <c r="K1386" s="57"/>
      <c r="L1386" s="4"/>
      <c r="M1386" s="35"/>
    </row>
    <row r="1387" spans="1:13" ht="15.9" customHeight="1" x14ac:dyDescent="0.35">
      <c r="A1387" s="46">
        <v>1384</v>
      </c>
      <c r="B1387" s="64" t="str">
        <f>IF(Tabla1[[#This Row],[TRABAJADOR]]="", "", VLOOKUP(Tabla1[[#This Row],[TRABAJADOR]], 'Colaborador ID'!B:C, 2, FALSE))</f>
        <v>E1337</v>
      </c>
      <c r="C1387" s="63" t="s">
        <v>2662</v>
      </c>
      <c r="D1387" s="64" t="s">
        <v>2663</v>
      </c>
      <c r="E1387" s="64" t="s">
        <v>35</v>
      </c>
      <c r="F1387" s="37" t="e" vm="1">
        <v>#VALUE!</v>
      </c>
      <c r="G1387" s="58"/>
      <c r="H1387" s="57" t="e" vm="2">
        <v>#VALUE!</v>
      </c>
      <c r="I1387" s="64"/>
      <c r="J1387" s="57"/>
      <c r="K1387" s="57"/>
      <c r="L1387" s="4"/>
      <c r="M1387" s="35"/>
    </row>
    <row r="1388" spans="1:13" ht="15.9" customHeight="1" x14ac:dyDescent="0.3">
      <c r="A1388" s="46">
        <v>1385</v>
      </c>
      <c r="B1388" s="57" t="str">
        <f>IF(Tabla1[[#This Row],[TRABAJADOR]]="", "", VLOOKUP(Tabla1[[#This Row],[TRABAJADOR]], 'Colaborador ID'!B:C, 2, FALSE))</f>
        <v>E1863</v>
      </c>
      <c r="C1388" s="56" t="s">
        <v>2664</v>
      </c>
      <c r="D1388" s="57" t="s">
        <v>2665</v>
      </c>
      <c r="E1388" s="64" t="s">
        <v>16</v>
      </c>
      <c r="F1388" s="49" t="e" vm="1">
        <v>#VALUE!</v>
      </c>
      <c r="G1388" s="58">
        <v>45937</v>
      </c>
      <c r="H1388" s="57" t="e" vm="2">
        <v>#VALUE!</v>
      </c>
      <c r="I1388" s="57"/>
      <c r="J1388" s="57"/>
      <c r="K1388" s="57"/>
      <c r="L1388" s="4"/>
      <c r="M1388" s="35"/>
    </row>
    <row r="1389" spans="1:13" ht="15.9" customHeight="1" x14ac:dyDescent="0.3">
      <c r="A1389" s="46">
        <v>1386</v>
      </c>
      <c r="B1389" s="57" t="str">
        <f>IF(Tabla1[[#This Row],[TRABAJADOR]]="", "", VLOOKUP(Tabla1[[#This Row],[TRABAJADOR]], 'Colaborador ID'!B:C, 2, FALSE))</f>
        <v>E1711</v>
      </c>
      <c r="C1389" s="56" t="s">
        <v>2666</v>
      </c>
      <c r="D1389" s="57" t="s">
        <v>2667</v>
      </c>
      <c r="E1389" s="64" t="s">
        <v>19</v>
      </c>
      <c r="F1389" s="49" t="e" vm="1">
        <v>#VALUE!</v>
      </c>
      <c r="G1389" s="58">
        <v>45901</v>
      </c>
      <c r="H1389" s="57" t="e" vm="2">
        <v>#VALUE!</v>
      </c>
      <c r="I1389" s="57"/>
      <c r="J1389" s="57"/>
      <c r="K1389" s="57"/>
      <c r="L1389" s="4"/>
      <c r="M1389" s="35"/>
    </row>
    <row r="1390" spans="1:13" ht="15.9" customHeight="1" x14ac:dyDescent="0.3">
      <c r="A1390" s="46">
        <v>1387</v>
      </c>
      <c r="B1390" s="57" t="str">
        <f>IF(Tabla1[[#This Row],[TRABAJADOR]]="", "", VLOOKUP(Tabla1[[#This Row],[TRABAJADOR]], 'Colaborador ID'!B:C, 2, FALSE))</f>
        <v>E1818</v>
      </c>
      <c r="C1390" s="56" t="s">
        <v>2668</v>
      </c>
      <c r="D1390" s="57" t="s">
        <v>2669</v>
      </c>
      <c r="E1390" s="64" t="s">
        <v>33</v>
      </c>
      <c r="F1390" s="49" t="e" vm="1">
        <v>#VALUE!</v>
      </c>
      <c r="G1390" s="58">
        <v>45930</v>
      </c>
      <c r="H1390" s="57" t="e" vm="2">
        <v>#VALUE!</v>
      </c>
      <c r="I1390" s="57"/>
      <c r="J1390" s="57"/>
      <c r="K1390" s="57"/>
      <c r="L1390" s="4"/>
      <c r="M1390" s="35"/>
    </row>
    <row r="1391" spans="1:13" ht="15.9" customHeight="1" x14ac:dyDescent="0.35">
      <c r="A1391" s="46">
        <v>1388</v>
      </c>
      <c r="B1391" s="64" t="str">
        <f>IF(Tabla1[[#This Row],[TRABAJADOR]]="", "", VLOOKUP(Tabla1[[#This Row],[TRABAJADOR]], 'Colaborador ID'!B:C, 2, FALSE))</f>
        <v>E1384</v>
      </c>
      <c r="C1391" s="63" t="s">
        <v>2670</v>
      </c>
      <c r="D1391" s="64" t="s">
        <v>2671</v>
      </c>
      <c r="E1391" s="64" t="s">
        <v>16</v>
      </c>
      <c r="F1391" s="37" t="e" vm="1">
        <v>#VALUE!</v>
      </c>
      <c r="G1391" s="58"/>
      <c r="H1391" s="57" t="e" vm="2">
        <v>#VALUE!</v>
      </c>
      <c r="I1391" s="64"/>
      <c r="J1391" s="57"/>
      <c r="K1391" s="57"/>
      <c r="L1391" s="4"/>
      <c r="M1391" s="35"/>
    </row>
    <row r="1392" spans="1:13" ht="15.9" customHeight="1" x14ac:dyDescent="0.3">
      <c r="A1392" s="46">
        <v>1389</v>
      </c>
      <c r="B1392" s="64" t="str">
        <f>IF(Tabla1[[#This Row],[TRABAJADOR]]="", "", VLOOKUP(Tabla1[[#This Row],[TRABAJADOR]], 'Colaborador ID'!B:C, 2, FALSE))</f>
        <v>E1195</v>
      </c>
      <c r="C1392" s="63" t="s">
        <v>2672</v>
      </c>
      <c r="D1392" s="64" t="s">
        <v>2673</v>
      </c>
      <c r="E1392" s="64" t="s">
        <v>19</v>
      </c>
      <c r="F1392" s="49" t="e" vm="1">
        <v>#VALUE!</v>
      </c>
      <c r="G1392" s="58"/>
      <c r="H1392" s="57" t="e" vm="2">
        <v>#VALUE!</v>
      </c>
      <c r="I1392" s="64"/>
      <c r="J1392" s="57"/>
      <c r="K1392" s="57"/>
      <c r="L1392" s="4"/>
      <c r="M1392" s="35"/>
    </row>
    <row r="1393" spans="1:13" ht="15.9" customHeight="1" x14ac:dyDescent="0.3">
      <c r="A1393" s="46">
        <v>1390</v>
      </c>
      <c r="B1393" s="64" t="str">
        <f>IF(Tabla1[[#This Row],[TRABAJADOR]]="", "", VLOOKUP(Tabla1[[#This Row],[TRABAJADOR]], 'Colaborador ID'!B:C, 2, FALSE))</f>
        <v>E0649</v>
      </c>
      <c r="C1393" s="63" t="s">
        <v>2674</v>
      </c>
      <c r="D1393" s="64" t="s">
        <v>2675</v>
      </c>
      <c r="E1393" s="64" t="s">
        <v>40</v>
      </c>
      <c r="F1393" s="38" t="e" vm="1">
        <v>#VALUE!</v>
      </c>
      <c r="G1393" s="58">
        <v>45776</v>
      </c>
      <c r="H1393" s="57" t="e" vm="2">
        <v>#VALUE!</v>
      </c>
      <c r="I1393" s="64"/>
      <c r="J1393" s="57"/>
      <c r="K1393" s="57"/>
      <c r="L1393" s="4"/>
      <c r="M1393" s="35"/>
    </row>
    <row r="1394" spans="1:13" ht="15.9" customHeight="1" x14ac:dyDescent="0.3">
      <c r="A1394" s="46">
        <v>1391</v>
      </c>
      <c r="B1394" s="64" t="str">
        <f>IF(Tabla1[[#This Row],[TRABAJADOR]]="", "", VLOOKUP(Tabla1[[#This Row],[TRABAJADOR]], 'Colaborador ID'!B:C, 2, FALSE))</f>
        <v>E0760</v>
      </c>
      <c r="C1394" s="63" t="s">
        <v>2676</v>
      </c>
      <c r="D1394" s="64" t="s">
        <v>2677</v>
      </c>
      <c r="E1394" s="64"/>
      <c r="F1394" s="57" t="e" vm="1">
        <v>#VALUE!</v>
      </c>
      <c r="G1394" s="58"/>
      <c r="H1394" s="57" t="e" vm="2">
        <v>#VALUE!</v>
      </c>
      <c r="I1394" s="64"/>
      <c r="J1394" s="57"/>
      <c r="K1394" s="57"/>
      <c r="L1394" s="4"/>
      <c r="M1394" s="35"/>
    </row>
    <row r="1395" spans="1:13" ht="15.9" customHeight="1" x14ac:dyDescent="0.3">
      <c r="A1395" s="46">
        <v>1392</v>
      </c>
      <c r="B1395" s="64" t="str">
        <f>IF(Tabla1[[#This Row],[TRABAJADOR]]="", "", VLOOKUP(Tabla1[[#This Row],[TRABAJADOR]], 'Colaborador ID'!B:C, 2, FALSE))</f>
        <v>E0070</v>
      </c>
      <c r="C1395" s="63" t="s">
        <v>2678</v>
      </c>
      <c r="D1395" s="64" t="s">
        <v>2679</v>
      </c>
      <c r="E1395" s="64"/>
      <c r="F1395" s="57" t="e" vm="1">
        <v>#VALUE!</v>
      </c>
      <c r="G1395" s="58"/>
      <c r="H1395" s="57" t="e" vm="2">
        <v>#VALUE!</v>
      </c>
      <c r="I1395" s="64"/>
      <c r="J1395" s="57"/>
      <c r="K1395" s="57"/>
      <c r="L1395" s="4"/>
      <c r="M1395" s="35"/>
    </row>
    <row r="1396" spans="1:13" ht="15.9" customHeight="1" x14ac:dyDescent="0.3">
      <c r="A1396" s="46">
        <v>1393</v>
      </c>
      <c r="B1396" s="57" t="str">
        <f>IF(Tabla1[[#This Row],[TRABAJADOR]]="", "", VLOOKUP(Tabla1[[#This Row],[TRABAJADOR]], 'Colaborador ID'!B:C, 2, FALSE))</f>
        <v>E1810</v>
      </c>
      <c r="C1396" s="56" t="s">
        <v>2680</v>
      </c>
      <c r="D1396" s="57" t="s">
        <v>2681</v>
      </c>
      <c r="E1396" s="64" t="s">
        <v>16</v>
      </c>
      <c r="F1396" s="49" t="e" vm="1">
        <v>#VALUE!</v>
      </c>
      <c r="G1396" s="58">
        <v>45930</v>
      </c>
      <c r="H1396" s="57" t="e" vm="2">
        <v>#VALUE!</v>
      </c>
      <c r="I1396" s="57" t="s">
        <v>22</v>
      </c>
      <c r="J1396" s="57"/>
      <c r="K1396" s="57"/>
      <c r="L1396" s="4"/>
      <c r="M1396" s="35"/>
    </row>
    <row r="1397" spans="1:13" ht="15.9" customHeight="1" x14ac:dyDescent="0.3">
      <c r="A1397" s="46">
        <v>1394</v>
      </c>
      <c r="B1397" s="64" t="str">
        <f>IF(Tabla1[[#This Row],[TRABAJADOR]]="", "", VLOOKUP(Tabla1[[#This Row],[TRABAJADOR]], 'Colaborador ID'!B:C, 2, FALSE))</f>
        <v>E0762</v>
      </c>
      <c r="C1397" s="63" t="s">
        <v>2682</v>
      </c>
      <c r="D1397" s="64" t="s">
        <v>2683</v>
      </c>
      <c r="E1397" s="64"/>
      <c r="F1397" s="57" t="e" vm="1">
        <v>#VALUE!</v>
      </c>
      <c r="G1397" s="58"/>
      <c r="H1397" s="57" t="e" vm="2">
        <v>#VALUE!</v>
      </c>
      <c r="I1397" s="64"/>
      <c r="J1397" s="57"/>
      <c r="K1397" s="57"/>
      <c r="L1397" s="4"/>
      <c r="M1397" s="35"/>
    </row>
    <row r="1398" spans="1:13" ht="15.9" customHeight="1" x14ac:dyDescent="0.3">
      <c r="A1398" s="46">
        <v>1395</v>
      </c>
      <c r="B1398" s="64" t="str">
        <f>IF(Tabla1[[#This Row],[TRABAJADOR]]="", "", VLOOKUP(Tabla1[[#This Row],[TRABAJADOR]], 'Colaborador ID'!B:C, 2, FALSE))</f>
        <v>E1196</v>
      </c>
      <c r="C1398" s="63" t="s">
        <v>2684</v>
      </c>
      <c r="D1398" s="64" t="s">
        <v>2685</v>
      </c>
      <c r="E1398" s="64"/>
      <c r="F1398" s="57" t="e" vm="1">
        <v>#VALUE!</v>
      </c>
      <c r="G1398" s="58"/>
      <c r="H1398" s="57" t="e" vm="2">
        <v>#VALUE!</v>
      </c>
      <c r="I1398" s="64"/>
      <c r="J1398" s="57"/>
      <c r="K1398" s="57"/>
      <c r="L1398" s="4"/>
      <c r="M1398" s="35"/>
    </row>
    <row r="1399" spans="1:13" ht="15.9" customHeight="1" x14ac:dyDescent="0.35">
      <c r="A1399" s="46">
        <v>1396</v>
      </c>
      <c r="B1399" s="64" t="str">
        <f>IF(Tabla1[[#This Row],[TRABAJADOR]]="", "", VLOOKUP(Tabla1[[#This Row],[TRABAJADOR]], 'Colaborador ID'!B:C, 2, FALSE))</f>
        <v>E0309</v>
      </c>
      <c r="C1399" s="63" t="s">
        <v>2686</v>
      </c>
      <c r="D1399" s="64" t="s">
        <v>2687</v>
      </c>
      <c r="E1399" s="64" t="s">
        <v>16</v>
      </c>
      <c r="F1399" s="37" t="e" vm="1">
        <v>#VALUE!</v>
      </c>
      <c r="G1399" s="58"/>
      <c r="H1399" s="57" t="e" vm="2">
        <v>#VALUE!</v>
      </c>
      <c r="I1399" s="64"/>
      <c r="J1399" s="57"/>
      <c r="K1399" s="57"/>
      <c r="L1399" s="4"/>
      <c r="M1399" s="35"/>
    </row>
    <row r="1400" spans="1:13" ht="15.9" customHeight="1" x14ac:dyDescent="0.3">
      <c r="A1400" s="46">
        <v>1397</v>
      </c>
      <c r="B1400" s="64" t="str">
        <f>IF(Tabla1[[#This Row],[TRABAJADOR]]="", "", VLOOKUP(Tabla1[[#This Row],[TRABAJADOR]], 'Colaborador ID'!B:C, 2, FALSE))</f>
        <v>E0091</v>
      </c>
      <c r="C1400" s="63" t="s">
        <v>2688</v>
      </c>
      <c r="D1400" s="64" t="s">
        <v>2689</v>
      </c>
      <c r="E1400" s="64" t="s">
        <v>35</v>
      </c>
      <c r="F1400" s="38" t="e" vm="1">
        <v>#VALUE!</v>
      </c>
      <c r="G1400" s="58">
        <v>45820</v>
      </c>
      <c r="H1400" s="40" t="e" vm="2">
        <v>#VALUE!</v>
      </c>
      <c r="I1400" s="64"/>
      <c r="J1400" s="57"/>
      <c r="K1400" s="57"/>
      <c r="L1400" s="4"/>
      <c r="M1400" s="35"/>
    </row>
    <row r="1401" spans="1:13" ht="15.9" customHeight="1" x14ac:dyDescent="0.3">
      <c r="A1401" s="46">
        <v>1398</v>
      </c>
      <c r="B1401" s="64" t="str">
        <f>IF(Tabla1[[#This Row],[TRABAJADOR]]="", "", VLOOKUP(Tabla1[[#This Row],[TRABAJADOR]], 'Colaborador ID'!B:C, 2, FALSE))</f>
        <v>E0075</v>
      </c>
      <c r="C1401" s="63" t="s">
        <v>2690</v>
      </c>
      <c r="D1401" s="64" t="s">
        <v>2691</v>
      </c>
      <c r="E1401" s="64" t="s">
        <v>13</v>
      </c>
      <c r="F1401" s="38" t="e" vm="1">
        <v>#VALUE!</v>
      </c>
      <c r="G1401" s="58">
        <v>45769</v>
      </c>
      <c r="H1401" s="57" t="e" vm="2">
        <v>#VALUE!</v>
      </c>
      <c r="I1401" s="64"/>
      <c r="J1401" s="57"/>
      <c r="K1401" s="57"/>
      <c r="L1401" s="4"/>
      <c r="M1401" s="35"/>
    </row>
    <row r="1402" spans="1:13" ht="15.9" customHeight="1" x14ac:dyDescent="0.3">
      <c r="A1402" s="46">
        <v>1399</v>
      </c>
      <c r="B1402" s="57" t="str">
        <f>IF(Tabla1[[#This Row],[TRABAJADOR]]="", "", VLOOKUP(Tabla1[[#This Row],[TRABAJADOR]], 'Colaborador ID'!B:C, 2, FALSE))</f>
        <v>E1939</v>
      </c>
      <c r="C1402" s="56" t="s">
        <v>2692</v>
      </c>
      <c r="D1402" s="57" t="s">
        <v>2693</v>
      </c>
      <c r="E1402" s="64" t="s">
        <v>13</v>
      </c>
      <c r="F1402" s="49" t="e" vm="1">
        <v>#VALUE!</v>
      </c>
      <c r="G1402" s="58">
        <v>45958</v>
      </c>
      <c r="H1402" s="57" t="e" vm="2">
        <v>#VALUE!</v>
      </c>
      <c r="I1402" s="57"/>
      <c r="J1402" s="57"/>
      <c r="K1402" s="57"/>
      <c r="L1402" s="4"/>
      <c r="M1402" s="35"/>
    </row>
    <row r="1403" spans="1:13" ht="15.9" customHeight="1" x14ac:dyDescent="0.3">
      <c r="A1403" s="46">
        <v>1400</v>
      </c>
      <c r="B1403" s="64" t="str">
        <f>IF(Tabla1[[#This Row],[TRABAJADOR]]="", "", VLOOKUP(Tabla1[[#This Row],[TRABAJADOR]], 'Colaborador ID'!B:C, 2, FALSE))</f>
        <v>E0610</v>
      </c>
      <c r="C1403" s="63" t="s">
        <v>2694</v>
      </c>
      <c r="D1403" s="64" t="s">
        <v>2695</v>
      </c>
      <c r="E1403" s="64"/>
      <c r="F1403" s="49" t="e" vm="1">
        <v>#VALUE!</v>
      </c>
      <c r="G1403" s="58"/>
      <c r="H1403" s="57" t="e" vm="2">
        <v>#VALUE!</v>
      </c>
      <c r="I1403" s="64"/>
      <c r="J1403" s="57"/>
      <c r="K1403" s="57"/>
      <c r="L1403" s="4"/>
      <c r="M1403" s="35"/>
    </row>
    <row r="1404" spans="1:13" ht="15.9" customHeight="1" x14ac:dyDescent="0.3">
      <c r="A1404" s="46">
        <v>1401</v>
      </c>
      <c r="B1404" s="57" t="str">
        <f>IF(Tabla1[[#This Row],[TRABAJADOR]]="", "", VLOOKUP(Tabla1[[#This Row],[TRABAJADOR]], 'Colaborador ID'!B:C, 2, FALSE))</f>
        <v>E1938</v>
      </c>
      <c r="C1404" s="56" t="s">
        <v>2696</v>
      </c>
      <c r="D1404" s="57" t="s">
        <v>2697</v>
      </c>
      <c r="E1404" s="64" t="s">
        <v>16</v>
      </c>
      <c r="F1404" s="49" t="e" vm="1">
        <v>#VALUE!</v>
      </c>
      <c r="G1404" s="58">
        <v>45966</v>
      </c>
      <c r="H1404" s="57" t="e" vm="2">
        <v>#VALUE!</v>
      </c>
      <c r="I1404" s="57"/>
      <c r="J1404" s="57"/>
      <c r="K1404" s="57"/>
      <c r="L1404" s="4"/>
      <c r="M1404" s="35"/>
    </row>
    <row r="1405" spans="1:13" ht="15.9" customHeight="1" x14ac:dyDescent="0.3">
      <c r="A1405" s="46">
        <v>1402</v>
      </c>
      <c r="B1405" s="57" t="str">
        <f>IF(Tabla1[[#This Row],[TRABAJADOR]]="", "", VLOOKUP(Tabla1[[#This Row],[TRABAJADOR]], 'Colaborador ID'!B:C, 2, FALSE))</f>
        <v>E1847</v>
      </c>
      <c r="C1405" s="56" t="s">
        <v>2698</v>
      </c>
      <c r="D1405" s="57" t="s">
        <v>2699</v>
      </c>
      <c r="E1405" s="64" t="s">
        <v>19</v>
      </c>
      <c r="F1405" s="49" t="e" vm="1">
        <v>#VALUE!</v>
      </c>
      <c r="G1405" s="58">
        <v>45936</v>
      </c>
      <c r="H1405" s="57" t="e" vm="2">
        <v>#VALUE!</v>
      </c>
      <c r="I1405" s="57"/>
      <c r="J1405" s="57"/>
      <c r="K1405" s="57"/>
      <c r="L1405" s="4"/>
      <c r="M1405" s="35"/>
    </row>
    <row r="1406" spans="1:13" ht="15.9" customHeight="1" x14ac:dyDescent="0.3">
      <c r="A1406" s="46">
        <v>1403</v>
      </c>
      <c r="B1406" s="64" t="str">
        <f>IF(Tabla1[[#This Row],[TRABAJADOR]]="", "", VLOOKUP(Tabla1[[#This Row],[TRABAJADOR]], 'Colaborador ID'!B:C, 2, FALSE))</f>
        <v>E0007</v>
      </c>
      <c r="C1406" s="63" t="s">
        <v>2700</v>
      </c>
      <c r="D1406" s="64" t="s">
        <v>2701</v>
      </c>
      <c r="E1406" s="64" t="s">
        <v>19</v>
      </c>
      <c r="F1406" s="49" t="e" vm="1">
        <v>#VALUE!</v>
      </c>
      <c r="G1406" s="58"/>
      <c r="H1406" s="57" t="e" vm="2">
        <v>#VALUE!</v>
      </c>
      <c r="I1406" s="64" t="s">
        <v>22</v>
      </c>
      <c r="J1406" s="57"/>
      <c r="K1406" s="57"/>
      <c r="L1406" s="4"/>
      <c r="M1406" s="35"/>
    </row>
    <row r="1407" spans="1:13" ht="15.9" customHeight="1" x14ac:dyDescent="0.3">
      <c r="A1407" s="46">
        <v>1404</v>
      </c>
      <c r="B1407" s="57" t="str">
        <f>IF(Tabla1[[#This Row],[TRABAJADOR]]="", "", VLOOKUP(Tabla1[[#This Row],[TRABAJADOR]], 'Colaborador ID'!B:C, 2, FALSE))</f>
        <v>E1949</v>
      </c>
      <c r="C1407" s="56" t="s">
        <v>2702</v>
      </c>
      <c r="D1407" s="57" t="s">
        <v>2703</v>
      </c>
      <c r="E1407" s="64" t="s">
        <v>19</v>
      </c>
      <c r="F1407" s="49" t="e" vm="1">
        <v>#VALUE!</v>
      </c>
      <c r="G1407" s="58">
        <v>45958</v>
      </c>
      <c r="H1407" s="57" t="e" vm="2">
        <v>#VALUE!</v>
      </c>
      <c r="I1407" s="57"/>
      <c r="J1407" s="57"/>
      <c r="K1407" s="57"/>
      <c r="L1407" s="4"/>
      <c r="M1407" s="35"/>
    </row>
    <row r="1408" spans="1:13" ht="15.9" customHeight="1" x14ac:dyDescent="0.3">
      <c r="A1408" s="46">
        <v>1405</v>
      </c>
      <c r="B1408" s="64" t="str">
        <f>IF(Tabla1[[#This Row],[TRABAJADOR]]="", "", VLOOKUP(Tabla1[[#This Row],[TRABAJADOR]], 'Colaborador ID'!B:C, 2, FALSE))</f>
        <v>E0700</v>
      </c>
      <c r="C1408" s="63" t="s">
        <v>2704</v>
      </c>
      <c r="D1408" s="64" t="s">
        <v>2705</v>
      </c>
      <c r="E1408" s="64" t="s">
        <v>33</v>
      </c>
      <c r="F1408" s="38" t="e" vm="1">
        <v>#VALUE!</v>
      </c>
      <c r="G1408" s="58">
        <v>45783</v>
      </c>
      <c r="H1408" s="40" t="e" vm="2">
        <v>#VALUE!</v>
      </c>
      <c r="I1408" s="64"/>
      <c r="J1408" s="57"/>
      <c r="K1408" s="57"/>
      <c r="L1408" s="4"/>
      <c r="M1408" s="35"/>
    </row>
    <row r="1409" spans="1:13" ht="15.9" customHeight="1" x14ac:dyDescent="0.35">
      <c r="A1409" s="46">
        <v>1406</v>
      </c>
      <c r="B1409" s="64" t="str">
        <f>IF(Tabla1[[#This Row],[TRABAJADOR]]="", "", VLOOKUP(Tabla1[[#This Row],[TRABAJADOR]], 'Colaborador ID'!B:C, 2, FALSE))</f>
        <v>E0234</v>
      </c>
      <c r="C1409" s="63" t="s">
        <v>2706</v>
      </c>
      <c r="D1409" s="64" t="s">
        <v>2707</v>
      </c>
      <c r="E1409" s="64" t="s">
        <v>13</v>
      </c>
      <c r="F1409" s="37" t="e" vm="1">
        <v>#VALUE!</v>
      </c>
      <c r="G1409" s="58">
        <v>45770</v>
      </c>
      <c r="H1409" s="40" t="e" vm="2">
        <v>#VALUE!</v>
      </c>
      <c r="I1409" s="64"/>
      <c r="J1409" s="57"/>
      <c r="K1409" s="57"/>
      <c r="L1409" s="4"/>
      <c r="M1409" s="35"/>
    </row>
    <row r="1410" spans="1:13" ht="15.9" customHeight="1" x14ac:dyDescent="0.35">
      <c r="A1410" s="46">
        <v>1407</v>
      </c>
      <c r="B1410" s="64" t="str">
        <f>IF(Tabla1[[#This Row],[TRABAJADOR]]="", "", VLOOKUP(Tabla1[[#This Row],[TRABAJADOR]], 'Colaborador ID'!B:C, 2, FALSE))</f>
        <v>E0520</v>
      </c>
      <c r="C1410" s="63" t="s">
        <v>2708</v>
      </c>
      <c r="D1410" s="64" t="s">
        <v>2709</v>
      </c>
      <c r="E1410" s="64" t="s">
        <v>16</v>
      </c>
      <c r="F1410" s="37" t="e" vm="1">
        <v>#VALUE!</v>
      </c>
      <c r="G1410" s="58"/>
      <c r="H1410" s="57" t="e" vm="2">
        <v>#VALUE!</v>
      </c>
      <c r="I1410" s="64"/>
      <c r="J1410" s="57"/>
      <c r="K1410" s="57"/>
      <c r="L1410" s="4"/>
      <c r="M1410" s="35"/>
    </row>
    <row r="1411" spans="1:13" ht="15.9" customHeight="1" x14ac:dyDescent="0.3">
      <c r="A1411" s="46">
        <v>1408</v>
      </c>
      <c r="B1411" s="64" t="str">
        <f>IF(Tabla1[[#This Row],[TRABAJADOR]]="", "", VLOOKUP(Tabla1[[#This Row],[TRABAJADOR]], 'Colaborador ID'!B:C, 2, FALSE))</f>
        <v>E0266</v>
      </c>
      <c r="C1411" s="68" t="s">
        <v>2710</v>
      </c>
      <c r="D1411" s="67" t="s">
        <v>2711</v>
      </c>
      <c r="E1411" s="64" t="s">
        <v>16</v>
      </c>
      <c r="F1411" s="77" t="e" vm="1">
        <v>#VALUE!</v>
      </c>
      <c r="G1411" s="62">
        <v>45929</v>
      </c>
      <c r="H1411" s="77" t="e" vm="2">
        <v>#VALUE!</v>
      </c>
      <c r="I1411" s="67"/>
      <c r="J1411" s="60"/>
      <c r="K1411" s="60"/>
      <c r="L1411" s="4"/>
      <c r="M1411" s="35"/>
    </row>
    <row r="1412" spans="1:13" ht="15.9" customHeight="1" x14ac:dyDescent="0.3">
      <c r="A1412" s="46">
        <v>1409</v>
      </c>
      <c r="B1412" s="57" t="str">
        <f>IF(Tabla1[[#This Row],[TRABAJADOR]]="", "", VLOOKUP(Tabla1[[#This Row],[TRABAJADOR]], 'Colaborador ID'!B:C, 2, FALSE))</f>
        <v>E1926</v>
      </c>
      <c r="C1412" s="56" t="s">
        <v>2712</v>
      </c>
      <c r="D1412" s="57" t="s">
        <v>2713</v>
      </c>
      <c r="E1412" s="64" t="s">
        <v>16</v>
      </c>
      <c r="F1412" s="77" t="e" vm="1">
        <v>#VALUE!</v>
      </c>
      <c r="G1412" s="62">
        <v>45954</v>
      </c>
      <c r="H1412" s="60" t="e" vm="2">
        <v>#VALUE!</v>
      </c>
      <c r="I1412" s="60" t="s">
        <v>22</v>
      </c>
      <c r="J1412" s="60"/>
      <c r="K1412" s="60"/>
      <c r="L1412" s="4"/>
      <c r="M1412" s="35"/>
    </row>
    <row r="1413" spans="1:13" ht="15.9" customHeight="1" x14ac:dyDescent="0.3">
      <c r="A1413" s="46">
        <v>1410</v>
      </c>
      <c r="B1413" s="57" t="str">
        <f>IF(Tabla1[[#This Row],[TRABAJADOR]]="", "", VLOOKUP(Tabla1[[#This Row],[TRABAJADOR]], 'Colaborador ID'!B:C, 2, FALSE))</f>
        <v>E2034</v>
      </c>
      <c r="C1413" s="56" t="s">
        <v>2714</v>
      </c>
      <c r="D1413" s="57" t="s">
        <v>2715</v>
      </c>
      <c r="E1413" s="64" t="s">
        <v>16</v>
      </c>
      <c r="F1413" s="77" t="e" vm="1">
        <v>#VALUE!</v>
      </c>
      <c r="G1413" s="62">
        <v>45993</v>
      </c>
      <c r="H1413" s="60" t="e" vm="2">
        <v>#VALUE!</v>
      </c>
      <c r="I1413" s="60"/>
      <c r="J1413" s="60"/>
      <c r="K1413" s="60"/>
      <c r="L1413" s="4"/>
      <c r="M1413" s="35"/>
    </row>
    <row r="1414" spans="1:13" ht="15.9" customHeight="1" x14ac:dyDescent="0.3">
      <c r="A1414" s="46">
        <v>1411</v>
      </c>
      <c r="B1414" s="64" t="str">
        <f>IF(Tabla1[[#This Row],[TRABAJADOR]]="", "", VLOOKUP(Tabla1[[#This Row],[TRABAJADOR]], 'Colaborador ID'!B:C, 2, FALSE))</f>
        <v>E0630</v>
      </c>
      <c r="C1414" s="63" t="s">
        <v>2716</v>
      </c>
      <c r="D1414" s="64" t="s">
        <v>2717</v>
      </c>
      <c r="E1414" s="64" t="s">
        <v>33</v>
      </c>
      <c r="F1414" s="78" t="e" vm="1">
        <v>#VALUE!</v>
      </c>
      <c r="G1414" s="62">
        <v>45852</v>
      </c>
      <c r="H1414" s="60" t="e" vm="2">
        <v>#VALUE!</v>
      </c>
      <c r="I1414" s="64"/>
      <c r="J1414" s="57"/>
      <c r="K1414" s="57"/>
      <c r="L1414" s="4"/>
      <c r="M1414" s="4"/>
    </row>
    <row r="1415" spans="1:13" ht="15.9" customHeight="1" x14ac:dyDescent="0.3">
      <c r="A1415" s="46">
        <v>1412</v>
      </c>
      <c r="B1415" s="64" t="str">
        <f>IF(Tabla1[[#This Row],[TRABAJADOR]]="", "", VLOOKUP(Tabla1[[#This Row],[TRABAJADOR]], 'Colaborador ID'!B:C, 2, FALSE))</f>
        <v>E1585</v>
      </c>
      <c r="C1415" s="63" t="s">
        <v>2718</v>
      </c>
      <c r="D1415" s="64" t="s">
        <v>5384</v>
      </c>
      <c r="E1415" s="64" t="s">
        <v>13</v>
      </c>
      <c r="F1415" s="77" t="e" vm="1">
        <v>#VALUE!</v>
      </c>
      <c r="G1415" s="62">
        <v>46056</v>
      </c>
      <c r="H1415" s="77" t="e" vm="2">
        <v>#VALUE!</v>
      </c>
      <c r="I1415" s="64" t="s">
        <v>22</v>
      </c>
      <c r="J1415" s="57"/>
      <c r="K1415" s="57"/>
      <c r="L1415" s="4"/>
      <c r="M1415" s="4"/>
    </row>
    <row r="1416" spans="1:13" ht="15.9" customHeight="1" x14ac:dyDescent="0.3">
      <c r="A1416" s="46">
        <v>1413</v>
      </c>
      <c r="B1416" s="57" t="str">
        <f>IF(Tabla1[[#This Row],[TRABAJADOR]]="", "", VLOOKUP(Tabla1[[#This Row],[TRABAJADOR]], 'Colaborador ID'!B:C, 2, FALSE))</f>
        <v>E1831</v>
      </c>
      <c r="C1416" s="56" t="s">
        <v>2719</v>
      </c>
      <c r="D1416" s="57" t="s">
        <v>2720</v>
      </c>
      <c r="E1416" s="64" t="s">
        <v>16</v>
      </c>
      <c r="F1416" s="77" t="e" vm="1">
        <v>#VALUE!</v>
      </c>
      <c r="G1416" s="62">
        <v>45931</v>
      </c>
      <c r="H1416" s="60" t="e" vm="2">
        <v>#VALUE!</v>
      </c>
      <c r="I1416" s="57"/>
      <c r="J1416" s="57"/>
      <c r="K1416" s="57"/>
      <c r="L1416" s="4"/>
      <c r="M1416" s="4"/>
    </row>
    <row r="1417" spans="1:13" ht="15.9" customHeight="1" x14ac:dyDescent="0.3">
      <c r="A1417" s="46">
        <v>1414</v>
      </c>
      <c r="B1417" s="57" t="str">
        <f>IF(Tabla1[[#This Row],[TRABAJADOR]]="", "", VLOOKUP(Tabla1[[#This Row],[TRABAJADOR]], 'Colaborador ID'!B:C, 2, FALSE))</f>
        <v>E1718</v>
      </c>
      <c r="C1417" s="56" t="s">
        <v>2721</v>
      </c>
      <c r="D1417" s="57" t="s">
        <v>2722</v>
      </c>
      <c r="E1417" s="64"/>
      <c r="F1417" s="77" t="e" vm="1">
        <v>#VALUE!</v>
      </c>
      <c r="G1417" s="62">
        <v>45905</v>
      </c>
      <c r="H1417" s="60" t="e" vm="2">
        <v>#VALUE!</v>
      </c>
      <c r="I1417" s="57"/>
      <c r="J1417" s="57"/>
      <c r="K1417" s="57"/>
      <c r="L1417" s="4"/>
      <c r="M1417" s="4"/>
    </row>
    <row r="1418" spans="1:13" ht="15.9" customHeight="1" x14ac:dyDescent="0.3">
      <c r="A1418" s="46">
        <v>1415</v>
      </c>
      <c r="B1418" s="64" t="e">
        <f>IF(Tabla1[[#This Row],[TRABAJADOR]]="", "", VLOOKUP(Tabla1[[#This Row],[TRABAJADOR]], 'Colaborador ID'!B:C, 2, FALSE))</f>
        <v>#N/A</v>
      </c>
      <c r="C1418" s="63" t="s">
        <v>2723</v>
      </c>
      <c r="D1418" s="64" t="s">
        <v>2724</v>
      </c>
      <c r="E1418" s="64" t="s">
        <v>13</v>
      </c>
      <c r="F1418" s="78" t="e" vm="1">
        <v>#VALUE!</v>
      </c>
      <c r="G1418" s="62">
        <v>45779</v>
      </c>
      <c r="H1418" s="60" t="e" vm="2">
        <v>#VALUE!</v>
      </c>
      <c r="I1418" s="64"/>
      <c r="J1418" s="57"/>
      <c r="K1418" s="57"/>
      <c r="L1418" s="4"/>
      <c r="M1418" s="4"/>
    </row>
    <row r="1419" spans="1:13" ht="15.9" customHeight="1" x14ac:dyDescent="0.3">
      <c r="A1419" s="46">
        <v>1416</v>
      </c>
      <c r="B1419" s="57" t="str">
        <f>IF(Tabla1[[#This Row],[TRABAJADOR]]="", "", VLOOKUP(Tabla1[[#This Row],[TRABAJADOR]], 'Colaborador ID'!B:C, 2, FALSE))</f>
        <v>E2058</v>
      </c>
      <c r="C1419" s="56" t="s">
        <v>2725</v>
      </c>
      <c r="D1419" s="57" t="s">
        <v>2726</v>
      </c>
      <c r="E1419" s="64" t="s">
        <v>13</v>
      </c>
      <c r="F1419" s="77" t="e" vm="1">
        <v>#VALUE!</v>
      </c>
      <c r="G1419" s="62">
        <v>45993</v>
      </c>
      <c r="H1419" s="60" t="e" vm="2">
        <v>#VALUE!</v>
      </c>
      <c r="I1419" s="57"/>
      <c r="J1419" s="57"/>
      <c r="K1419" s="57"/>
      <c r="L1419" s="4"/>
      <c r="M1419" s="4"/>
    </row>
    <row r="1420" spans="1:13" ht="15.9" customHeight="1" x14ac:dyDescent="0.3">
      <c r="A1420" s="46">
        <v>1417</v>
      </c>
      <c r="B1420" s="64" t="str">
        <f>IF(Tabla1[[#This Row],[TRABAJADOR]]="", "", VLOOKUP(Tabla1[[#This Row],[TRABAJADOR]], 'Colaborador ID'!B:C, 2, FALSE))</f>
        <v>E0493</v>
      </c>
      <c r="C1420" s="63" t="s">
        <v>2727</v>
      </c>
      <c r="D1420" s="64" t="s">
        <v>2728</v>
      </c>
      <c r="E1420" s="64" t="s">
        <v>33</v>
      </c>
      <c r="F1420" s="78" t="e" vm="1">
        <v>#VALUE!</v>
      </c>
      <c r="G1420" s="62">
        <v>45817</v>
      </c>
      <c r="H1420" s="60" t="e" vm="2">
        <v>#VALUE!</v>
      </c>
      <c r="I1420" s="64"/>
      <c r="J1420" s="57"/>
      <c r="K1420" s="57"/>
      <c r="L1420" s="4"/>
      <c r="M1420" s="4"/>
    </row>
    <row r="1421" spans="1:13" ht="15.9" customHeight="1" x14ac:dyDescent="0.35">
      <c r="A1421" s="46">
        <v>1418</v>
      </c>
      <c r="B1421" s="64" t="str">
        <f>IF(Tabla1[[#This Row],[TRABAJADOR]]="", "", VLOOKUP(Tabla1[[#This Row],[TRABAJADOR]], 'Colaborador ID'!B:C, 2, FALSE))</f>
        <v>E0296</v>
      </c>
      <c r="C1421" s="63" t="s">
        <v>2729</v>
      </c>
      <c r="D1421" s="64" t="s">
        <v>2730</v>
      </c>
      <c r="E1421" s="64" t="s">
        <v>16</v>
      </c>
      <c r="F1421" s="79" t="e" vm="1">
        <v>#VALUE!</v>
      </c>
      <c r="G1421" s="62">
        <v>45818</v>
      </c>
      <c r="H1421" s="86" t="e" vm="2">
        <v>#VALUE!</v>
      </c>
      <c r="I1421" s="64"/>
      <c r="J1421" s="57"/>
      <c r="K1421" s="57"/>
      <c r="L1421" s="4"/>
      <c r="M1421" s="4"/>
    </row>
    <row r="1422" spans="1:13" ht="15.9" customHeight="1" x14ac:dyDescent="0.3">
      <c r="A1422" s="46">
        <v>1419</v>
      </c>
      <c r="B1422" s="57" t="str">
        <f>IF(Tabla1[[#This Row],[TRABAJADOR]]="", "", VLOOKUP(Tabla1[[#This Row],[TRABAJADOR]], 'Colaborador ID'!B:C, 2, FALSE))</f>
        <v>E2031</v>
      </c>
      <c r="C1422" s="56" t="s">
        <v>2731</v>
      </c>
      <c r="D1422" s="57" t="s">
        <v>2732</v>
      </c>
      <c r="E1422" s="64" t="s">
        <v>16</v>
      </c>
      <c r="F1422" s="77" t="e" vm="1">
        <v>#VALUE!</v>
      </c>
      <c r="G1422" s="62">
        <v>45993</v>
      </c>
      <c r="H1422" s="60" t="e" vm="2">
        <v>#VALUE!</v>
      </c>
      <c r="I1422" s="57"/>
      <c r="J1422" s="57"/>
      <c r="K1422" s="57"/>
      <c r="L1422" s="4"/>
      <c r="M1422" s="4"/>
    </row>
    <row r="1423" spans="1:13" ht="15.9" customHeight="1" x14ac:dyDescent="0.3">
      <c r="A1423" s="46">
        <v>1420</v>
      </c>
      <c r="B1423" s="64" t="str">
        <f>IF(Tabla1[[#This Row],[TRABAJADOR]]="", "", VLOOKUP(Tabla1[[#This Row],[TRABAJADOR]], 'Colaborador ID'!B:C, 2, FALSE))</f>
        <v>E1357</v>
      </c>
      <c r="C1423" s="63" t="s">
        <v>2733</v>
      </c>
      <c r="D1423" s="64" t="s">
        <v>2734</v>
      </c>
      <c r="E1423" s="64"/>
      <c r="F1423" s="77" t="e" vm="1">
        <v>#VALUE!</v>
      </c>
      <c r="G1423" s="62"/>
      <c r="H1423" s="60" t="e" vm="2">
        <v>#VALUE!</v>
      </c>
      <c r="I1423" s="64" t="s">
        <v>22</v>
      </c>
      <c r="J1423" s="57"/>
      <c r="K1423" s="57"/>
      <c r="L1423" s="4"/>
      <c r="M1423" s="4"/>
    </row>
    <row r="1424" spans="1:13" ht="15.9" customHeight="1" x14ac:dyDescent="0.3">
      <c r="A1424" s="46">
        <v>1421</v>
      </c>
      <c r="B1424" s="64" t="str">
        <f>IF(Tabla1[[#This Row],[TRABAJADOR]]="", "", VLOOKUP(Tabla1[[#This Row],[TRABAJADOR]], 'Colaborador ID'!B:C, 2, FALSE))</f>
        <v>E1586</v>
      </c>
      <c r="C1424" s="63" t="s">
        <v>2735</v>
      </c>
      <c r="D1424" s="64" t="s">
        <v>2736</v>
      </c>
      <c r="E1424" s="64" t="s">
        <v>16</v>
      </c>
      <c r="F1424" s="77" t="e" vm="1">
        <v>#VALUE!</v>
      </c>
      <c r="G1424" s="62">
        <v>45882</v>
      </c>
      <c r="H1424" s="60" t="e" vm="2">
        <v>#VALUE!</v>
      </c>
      <c r="I1424" s="64"/>
      <c r="J1424" s="57"/>
      <c r="K1424" s="57"/>
      <c r="L1424" s="4"/>
      <c r="M1424" s="4"/>
    </row>
    <row r="1425" spans="1:13" ht="15.9" customHeight="1" x14ac:dyDescent="0.3">
      <c r="A1425" s="46">
        <v>1422</v>
      </c>
      <c r="B1425" s="64" t="str">
        <f>IF(Tabla1[[#This Row],[TRABAJADOR]]="", "", VLOOKUP(Tabla1[[#This Row],[TRABAJADOR]], 'Colaborador ID'!B:C, 2, FALSE))</f>
        <v>E1135</v>
      </c>
      <c r="C1425" s="63" t="s">
        <v>2737</v>
      </c>
      <c r="D1425" s="64" t="s">
        <v>2738</v>
      </c>
      <c r="E1425" s="64"/>
      <c r="F1425" s="60" t="e" vm="1">
        <v>#VALUE!</v>
      </c>
      <c r="G1425" s="62"/>
      <c r="H1425" s="60" t="e" vm="2">
        <v>#VALUE!</v>
      </c>
      <c r="I1425" s="64"/>
      <c r="J1425" s="57"/>
      <c r="K1425" s="57"/>
      <c r="L1425" s="4"/>
      <c r="M1425" s="4"/>
    </row>
    <row r="1426" spans="1:13" ht="15.9" customHeight="1" x14ac:dyDescent="0.35">
      <c r="A1426" s="46">
        <v>1423</v>
      </c>
      <c r="B1426" s="64" t="str">
        <f>IF(Tabla1[[#This Row],[TRABAJADOR]]="", "", VLOOKUP(Tabla1[[#This Row],[TRABAJADOR]], 'Colaborador ID'!B:C, 2, FALSE))</f>
        <v>E0519</v>
      </c>
      <c r="C1426" s="63" t="s">
        <v>2739</v>
      </c>
      <c r="D1426" s="64" t="s">
        <v>2740</v>
      </c>
      <c r="E1426" s="64" t="s">
        <v>16</v>
      </c>
      <c r="F1426" s="79" t="e" vm="1">
        <v>#VALUE!</v>
      </c>
      <c r="G1426" s="62"/>
      <c r="H1426" s="60" t="e" vm="2">
        <v>#VALUE!</v>
      </c>
      <c r="I1426" s="64"/>
      <c r="J1426" s="57"/>
      <c r="K1426" s="57"/>
      <c r="L1426" s="4"/>
      <c r="M1426" s="4"/>
    </row>
    <row r="1427" spans="1:13" ht="15.9" customHeight="1" x14ac:dyDescent="0.35">
      <c r="A1427" s="46">
        <v>1424</v>
      </c>
      <c r="B1427" s="64" t="str">
        <f>IF(Tabla1[[#This Row],[TRABAJADOR]]="", "", VLOOKUP(Tabla1[[#This Row],[TRABAJADOR]], 'Colaborador ID'!B:C, 2, FALSE))</f>
        <v>E0619</v>
      </c>
      <c r="C1427" s="63" t="s">
        <v>2741</v>
      </c>
      <c r="D1427" s="64" t="s">
        <v>2742</v>
      </c>
      <c r="E1427" s="64" t="s">
        <v>33</v>
      </c>
      <c r="F1427" s="79" t="e" vm="1">
        <v>#VALUE!</v>
      </c>
      <c r="G1427" s="62">
        <v>45782</v>
      </c>
      <c r="H1427" s="86" t="e" vm="2">
        <v>#VALUE!</v>
      </c>
      <c r="I1427" s="64"/>
      <c r="J1427" s="57"/>
      <c r="K1427" s="57"/>
      <c r="L1427" s="4"/>
      <c r="M1427" s="4"/>
    </row>
    <row r="1428" spans="1:13" ht="15.9" customHeight="1" x14ac:dyDescent="0.3">
      <c r="A1428" s="46">
        <v>1425</v>
      </c>
      <c r="B1428" s="64" t="str">
        <f>IF(Tabla1[[#This Row],[TRABAJADOR]]="", "", VLOOKUP(Tabla1[[#This Row],[TRABAJADOR]], 'Colaborador ID'!B:C, 2, FALSE))</f>
        <v>E0714</v>
      </c>
      <c r="C1428" s="63" t="s">
        <v>2743</v>
      </c>
      <c r="D1428" s="64" t="s">
        <v>2744</v>
      </c>
      <c r="E1428" s="64"/>
      <c r="F1428" s="60" t="e" vm="1">
        <v>#VALUE!</v>
      </c>
      <c r="G1428" s="62"/>
      <c r="H1428" s="60" t="e" vm="2">
        <v>#VALUE!</v>
      </c>
      <c r="I1428" s="64"/>
      <c r="J1428" s="57"/>
      <c r="K1428" s="57"/>
      <c r="L1428" s="4"/>
      <c r="M1428" s="4"/>
    </row>
    <row r="1429" spans="1:13" ht="15.9" customHeight="1" x14ac:dyDescent="0.4">
      <c r="A1429" s="46">
        <v>1426</v>
      </c>
      <c r="B1429" s="64" t="str">
        <f>IF(Tabla1[[#This Row],[TRABAJADOR]]="", "", VLOOKUP(Tabla1[[#This Row],[TRABAJADOR]], 'Colaborador ID'!B:C, 2, FALSE))</f>
        <v>E0317</v>
      </c>
      <c r="C1429" s="63" t="s">
        <v>2745</v>
      </c>
      <c r="D1429" s="64" t="s">
        <v>2746</v>
      </c>
      <c r="E1429" s="64" t="s">
        <v>13</v>
      </c>
      <c r="F1429" s="79" t="e" vm="1">
        <v>#VALUE!</v>
      </c>
      <c r="G1429" s="62">
        <v>45728</v>
      </c>
      <c r="H1429" s="81" t="e" vm="2">
        <v>#VALUE!</v>
      </c>
      <c r="I1429" s="64"/>
      <c r="J1429" s="57"/>
      <c r="K1429" s="57"/>
      <c r="L1429" s="4"/>
      <c r="M1429" s="4"/>
    </row>
    <row r="1430" spans="1:13" ht="15.9" customHeight="1" x14ac:dyDescent="0.3">
      <c r="A1430" s="46">
        <v>1427</v>
      </c>
      <c r="B1430" s="64" t="str">
        <f>IF(Tabla1[[#This Row],[TRABAJADOR]]="", "", VLOOKUP(Tabla1[[#This Row],[TRABAJADOR]], 'Colaborador ID'!B:C, 2, FALSE))</f>
        <v>E1587</v>
      </c>
      <c r="C1430" s="63" t="s">
        <v>2747</v>
      </c>
      <c r="D1430" s="64" t="s">
        <v>2748</v>
      </c>
      <c r="E1430" s="64" t="s">
        <v>16</v>
      </c>
      <c r="F1430" s="77" t="e" vm="1">
        <v>#VALUE!</v>
      </c>
      <c r="G1430" s="62"/>
      <c r="H1430" s="60" t="e" vm="2">
        <v>#VALUE!</v>
      </c>
      <c r="I1430" s="64" t="s">
        <v>22</v>
      </c>
      <c r="J1430" s="57"/>
      <c r="K1430" s="57"/>
      <c r="L1430" s="4"/>
      <c r="M1430" s="4"/>
    </row>
    <row r="1431" spans="1:13" ht="15.9" customHeight="1" x14ac:dyDescent="0.35">
      <c r="A1431" s="46">
        <v>1428</v>
      </c>
      <c r="B1431" s="64" t="str">
        <f>IF(Tabla1[[#This Row],[TRABAJADOR]]="", "", VLOOKUP(Tabla1[[#This Row],[TRABAJADOR]], 'Colaborador ID'!B:C, 2, FALSE))</f>
        <v>E1398</v>
      </c>
      <c r="C1431" s="63" t="s">
        <v>2749</v>
      </c>
      <c r="D1431" s="64" t="s">
        <v>2750</v>
      </c>
      <c r="E1431" s="64" t="s">
        <v>33</v>
      </c>
      <c r="F1431" s="96" t="e" vm="1">
        <v>#VALUE!</v>
      </c>
      <c r="G1431" s="62">
        <v>45833</v>
      </c>
      <c r="H1431" s="60" t="e" vm="2">
        <v>#VALUE!</v>
      </c>
      <c r="I1431" s="64"/>
      <c r="J1431" s="57"/>
      <c r="K1431" s="57"/>
      <c r="L1431" s="4"/>
      <c r="M1431" s="4"/>
    </row>
    <row r="1432" spans="1:13" ht="15.9" customHeight="1" x14ac:dyDescent="0.3">
      <c r="A1432" s="46">
        <v>1429</v>
      </c>
      <c r="B1432" s="64" t="str">
        <f>IF(Tabla1[[#This Row],[TRABAJADOR]]="", "", VLOOKUP(Tabla1[[#This Row],[TRABAJADOR]], 'Colaborador ID'!B:C, 2, FALSE))</f>
        <v>E0111</v>
      </c>
      <c r="C1432" s="63" t="s">
        <v>2751</v>
      </c>
      <c r="D1432" s="64" t="s">
        <v>2752</v>
      </c>
      <c r="E1432" s="64"/>
      <c r="F1432" s="60" t="e" vm="1">
        <v>#VALUE!</v>
      </c>
      <c r="G1432" s="62"/>
      <c r="H1432" s="60" t="e" vm="2">
        <v>#VALUE!</v>
      </c>
      <c r="I1432" s="64"/>
      <c r="J1432" s="57"/>
      <c r="K1432" s="57"/>
      <c r="L1432" s="4"/>
      <c r="M1432" s="4"/>
    </row>
    <row r="1433" spans="1:13" ht="15.9" customHeight="1" x14ac:dyDescent="0.3">
      <c r="A1433" s="46">
        <v>1430</v>
      </c>
      <c r="B1433" s="64" t="str">
        <f>IF(Tabla1[[#This Row],[TRABAJADOR]]="", "", VLOOKUP(Tabla1[[#This Row],[TRABAJADOR]], 'Colaborador ID'!B:C, 2, FALSE))</f>
        <v>E1371</v>
      </c>
      <c r="C1433" s="63" t="s">
        <v>2753</v>
      </c>
      <c r="D1433" s="64" t="s">
        <v>2754</v>
      </c>
      <c r="E1433" s="64" t="s">
        <v>16</v>
      </c>
      <c r="F1433" s="77" t="e" vm="1">
        <v>#VALUE!</v>
      </c>
      <c r="G1433" s="62"/>
      <c r="H1433" s="60" t="e" vm="2">
        <v>#VALUE!</v>
      </c>
      <c r="I1433" s="64"/>
      <c r="J1433" s="57"/>
      <c r="K1433" s="57"/>
      <c r="L1433" s="4"/>
      <c r="M1433" s="4"/>
    </row>
    <row r="1434" spans="1:13" ht="15.9" customHeight="1" x14ac:dyDescent="0.3">
      <c r="A1434" s="46">
        <v>1431</v>
      </c>
      <c r="B1434" s="57" t="str">
        <f>IF(Tabla1[[#This Row],[TRABAJADOR]]="", "", VLOOKUP(Tabla1[[#This Row],[TRABAJADOR]], 'Colaborador ID'!B:C, 2, FALSE))</f>
        <v>E1972</v>
      </c>
      <c r="C1434" s="56" t="s">
        <v>2755</v>
      </c>
      <c r="D1434" s="57" t="s">
        <v>2756</v>
      </c>
      <c r="E1434" s="64" t="s">
        <v>13</v>
      </c>
      <c r="F1434" s="77" t="e" vm="1">
        <v>#VALUE!</v>
      </c>
      <c r="G1434" s="62">
        <v>45958</v>
      </c>
      <c r="H1434" s="60" t="e" vm="2">
        <v>#VALUE!</v>
      </c>
      <c r="I1434" s="57"/>
      <c r="J1434" s="57"/>
      <c r="K1434" s="57"/>
      <c r="L1434" s="4"/>
      <c r="M1434" s="4"/>
    </row>
    <row r="1435" spans="1:13" ht="15.9" customHeight="1" x14ac:dyDescent="0.3">
      <c r="A1435" s="46">
        <v>1432</v>
      </c>
      <c r="B1435" s="57" t="str">
        <f>IF(Tabla1[[#This Row],[TRABAJADOR]]="", "", VLOOKUP(Tabla1[[#This Row],[TRABAJADOR]], 'Colaborador ID'!B:C, 2, FALSE))</f>
        <v>E1788</v>
      </c>
      <c r="C1435" s="56" t="s">
        <v>2757</v>
      </c>
      <c r="D1435" s="57" t="s">
        <v>2758</v>
      </c>
      <c r="E1435" s="64" t="s">
        <v>40</v>
      </c>
      <c r="F1435" s="77" t="e" vm="1">
        <v>#VALUE!</v>
      </c>
      <c r="G1435" s="62">
        <v>45930</v>
      </c>
      <c r="H1435" s="60" t="e" vm="2">
        <v>#VALUE!</v>
      </c>
      <c r="I1435" s="57"/>
      <c r="J1435" s="57"/>
      <c r="K1435" s="57"/>
      <c r="L1435" s="4"/>
      <c r="M1435" s="4"/>
    </row>
    <row r="1436" spans="1:13" ht="15.9" customHeight="1" x14ac:dyDescent="0.3">
      <c r="A1436" s="46">
        <v>1433</v>
      </c>
      <c r="B1436" s="64" t="e">
        <f>IF(Tabla1[[#This Row],[TRABAJADOR]]="", "", VLOOKUP(Tabla1[[#This Row],[TRABAJADOR]], 'Colaborador ID'!B:C, 2, FALSE))</f>
        <v>#N/A</v>
      </c>
      <c r="C1436" s="63" t="s">
        <v>2759</v>
      </c>
      <c r="D1436" s="64" t="s">
        <v>2760</v>
      </c>
      <c r="E1436" s="64" t="s">
        <v>271</v>
      </c>
      <c r="F1436" s="77" t="e" vm="1">
        <v>#VALUE!</v>
      </c>
      <c r="G1436" s="62"/>
      <c r="H1436" s="60" t="e" vm="2">
        <v>#VALUE!</v>
      </c>
      <c r="I1436" s="64"/>
      <c r="J1436" s="57"/>
      <c r="K1436" s="57"/>
      <c r="L1436" s="4"/>
      <c r="M1436" s="4"/>
    </row>
    <row r="1437" spans="1:13" ht="15.9" customHeight="1" x14ac:dyDescent="0.3">
      <c r="A1437" s="46">
        <v>1434</v>
      </c>
      <c r="B1437" s="64" t="str">
        <f>IF(Tabla1[[#This Row],[TRABAJADOR]]="", "", VLOOKUP(Tabla1[[#This Row],[TRABAJADOR]], 'Colaborador ID'!B:C, 2, FALSE))</f>
        <v>E1288</v>
      </c>
      <c r="C1437" s="68" t="s">
        <v>2761</v>
      </c>
      <c r="D1437" s="67" t="s">
        <v>2762</v>
      </c>
      <c r="E1437" s="64" t="s">
        <v>33</v>
      </c>
      <c r="F1437" s="77" t="e" vm="1">
        <v>#VALUE!</v>
      </c>
      <c r="G1437" s="62"/>
      <c r="H1437" s="60" t="e" vm="2">
        <v>#VALUE!</v>
      </c>
      <c r="I1437" s="67" t="s">
        <v>22</v>
      </c>
      <c r="J1437" s="60"/>
      <c r="K1437" s="60"/>
      <c r="L1437" s="4"/>
      <c r="M1437" s="4"/>
    </row>
    <row r="1438" spans="1:13" ht="15.9" customHeight="1" x14ac:dyDescent="0.3">
      <c r="A1438" s="46">
        <v>1435</v>
      </c>
      <c r="B1438" s="57" t="str">
        <f>IF(Tabla1[[#This Row],[TRABAJADOR]]="", "", VLOOKUP(Tabla1[[#This Row],[TRABAJADOR]], 'Colaborador ID'!B:C, 2, FALSE))</f>
        <v>E2123</v>
      </c>
      <c r="C1438" s="56" t="s">
        <v>5408</v>
      </c>
      <c r="D1438" s="57" t="s">
        <v>5484</v>
      </c>
      <c r="E1438" s="64" t="s">
        <v>13</v>
      </c>
      <c r="F1438" s="77" t="e" vm="1">
        <v>#VALUE!</v>
      </c>
      <c r="G1438" s="62">
        <v>46073</v>
      </c>
      <c r="H1438" s="60" t="e" vm="3">
        <v>#VALUE!</v>
      </c>
      <c r="I1438" s="57"/>
      <c r="J1438" s="57"/>
      <c r="K1438" s="57"/>
      <c r="L1438" s="4"/>
      <c r="M1438" s="4"/>
    </row>
    <row r="1439" spans="1:13" ht="15.9" customHeight="1" x14ac:dyDescent="0.3">
      <c r="A1439" s="46">
        <v>1436</v>
      </c>
      <c r="B1439" s="64" t="str">
        <f>IF(Tabla1[[#This Row],[TRABAJADOR]]="", "", VLOOKUP(Tabla1[[#This Row],[TRABAJADOR]], 'Colaborador ID'!B:C, 2, FALSE))</f>
        <v>E0230</v>
      </c>
      <c r="C1439" s="63" t="s">
        <v>2763</v>
      </c>
      <c r="D1439" s="64" t="s">
        <v>2764</v>
      </c>
      <c r="E1439" s="64" t="s">
        <v>19</v>
      </c>
      <c r="F1439" s="77" t="e" vm="1">
        <v>#VALUE!</v>
      </c>
      <c r="G1439" s="62"/>
      <c r="H1439" s="60" t="e" vm="2">
        <v>#VALUE!</v>
      </c>
      <c r="I1439" s="64"/>
      <c r="J1439" s="57"/>
      <c r="K1439" s="57"/>
      <c r="L1439" s="4"/>
      <c r="M1439" s="4"/>
    </row>
    <row r="1440" spans="1:13" ht="15.9" customHeight="1" x14ac:dyDescent="0.35">
      <c r="A1440" s="46">
        <v>1437</v>
      </c>
      <c r="B1440" s="64" t="str">
        <f>IF(Tabla1[[#This Row],[TRABAJADOR]]="", "", VLOOKUP(Tabla1[[#This Row],[TRABAJADOR]], 'Colaborador ID'!B:C, 2, FALSE))</f>
        <v>E0528</v>
      </c>
      <c r="C1440" s="63" t="s">
        <v>2765</v>
      </c>
      <c r="D1440" s="64" t="s">
        <v>2766</v>
      </c>
      <c r="E1440" s="64" t="s">
        <v>19</v>
      </c>
      <c r="F1440" s="79" t="e" vm="1">
        <v>#VALUE!</v>
      </c>
      <c r="G1440" s="62"/>
      <c r="H1440" s="60" t="e" vm="2">
        <v>#VALUE!</v>
      </c>
      <c r="I1440" s="64"/>
      <c r="J1440" s="57"/>
      <c r="K1440" s="57"/>
      <c r="L1440" s="4"/>
      <c r="M1440" s="4"/>
    </row>
    <row r="1441" spans="1:13" ht="15.9" customHeight="1" x14ac:dyDescent="0.3">
      <c r="A1441" s="46">
        <v>1438</v>
      </c>
      <c r="B1441" s="64" t="str">
        <f>IF(Tabla1[[#This Row],[TRABAJADOR]]="", "", VLOOKUP(Tabla1[[#This Row],[TRABAJADOR]], 'Colaborador ID'!B:C, 2, FALSE))</f>
        <v>E0636</v>
      </c>
      <c r="C1441" s="63" t="s">
        <v>2767</v>
      </c>
      <c r="D1441" s="64" t="s">
        <v>2768</v>
      </c>
      <c r="E1441" s="64" t="s">
        <v>19</v>
      </c>
      <c r="F1441" s="78" t="e" vm="1">
        <v>#VALUE!</v>
      </c>
      <c r="G1441" s="62">
        <v>45814</v>
      </c>
      <c r="H1441" s="60" t="e" vm="2">
        <v>#VALUE!</v>
      </c>
      <c r="I1441" s="64"/>
      <c r="J1441" s="57"/>
      <c r="K1441" s="57"/>
      <c r="L1441" s="4"/>
      <c r="M1441" s="4"/>
    </row>
    <row r="1442" spans="1:13" ht="15.9" customHeight="1" x14ac:dyDescent="0.3">
      <c r="A1442" s="46">
        <v>1439</v>
      </c>
      <c r="B1442" s="57" t="str">
        <f>IF(Tabla1[[#This Row],[TRABAJADOR]]="", "", VLOOKUP(Tabla1[[#This Row],[TRABAJADOR]], 'Colaborador ID'!B:C, 2, FALSE))</f>
        <v>E1739</v>
      </c>
      <c r="C1442" s="56" t="s">
        <v>2769</v>
      </c>
      <c r="D1442" s="57" t="s">
        <v>2770</v>
      </c>
      <c r="E1442" s="64" t="s">
        <v>19</v>
      </c>
      <c r="F1442" s="97" t="e" vm="1">
        <v>#VALUE!</v>
      </c>
      <c r="G1442" s="62">
        <v>45987</v>
      </c>
      <c r="H1442" s="77" t="e" vm="2">
        <v>#VALUE!</v>
      </c>
      <c r="I1442" s="64" t="s">
        <v>22</v>
      </c>
      <c r="J1442" s="57"/>
      <c r="K1442" s="57"/>
      <c r="L1442" s="4"/>
      <c r="M1442" s="4"/>
    </row>
    <row r="1443" spans="1:13" ht="15.9" customHeight="1" x14ac:dyDescent="0.3">
      <c r="A1443" s="46">
        <v>1440</v>
      </c>
      <c r="B1443" s="64" t="str">
        <f>IF(Tabla1[[#This Row],[TRABAJADOR]]="", "", VLOOKUP(Tabla1[[#This Row],[TRABAJADOR]], 'Colaborador ID'!B:C, 2, FALSE))</f>
        <v>E0469</v>
      </c>
      <c r="C1443" s="63" t="s">
        <v>2771</v>
      </c>
      <c r="D1443" s="64" t="s">
        <v>2772</v>
      </c>
      <c r="E1443" s="64"/>
      <c r="F1443" s="60" t="e" vm="1">
        <v>#VALUE!</v>
      </c>
      <c r="G1443" s="62"/>
      <c r="H1443" s="60" t="e" vm="2">
        <v>#VALUE!</v>
      </c>
      <c r="I1443" s="64"/>
      <c r="J1443" s="57"/>
      <c r="K1443" s="57"/>
      <c r="L1443" s="4"/>
      <c r="M1443" s="4"/>
    </row>
    <row r="1444" spans="1:13" ht="15.9" customHeight="1" x14ac:dyDescent="0.3">
      <c r="A1444" s="46">
        <v>1441</v>
      </c>
      <c r="B1444" s="57" t="str">
        <f>IF(Tabla1[[#This Row],[TRABAJADOR]]="", "", VLOOKUP(Tabla1[[#This Row],[TRABAJADOR]], 'Colaborador ID'!B:C, 2, FALSE))</f>
        <v>E2129</v>
      </c>
      <c r="C1444" s="56" t="s">
        <v>5423</v>
      </c>
      <c r="D1444" s="57" t="s">
        <v>5485</v>
      </c>
      <c r="E1444" s="64" t="s">
        <v>16</v>
      </c>
      <c r="F1444" s="77" t="e" vm="1">
        <v>#VALUE!</v>
      </c>
      <c r="G1444" s="62">
        <v>46073</v>
      </c>
      <c r="H1444" s="60" t="e" vm="3">
        <v>#VALUE!</v>
      </c>
      <c r="I1444" s="57"/>
      <c r="J1444" s="57"/>
      <c r="K1444" s="57"/>
      <c r="L1444" s="4"/>
      <c r="M1444" s="4"/>
    </row>
    <row r="1445" spans="1:13" ht="15.9" customHeight="1" x14ac:dyDescent="0.3">
      <c r="A1445" s="46">
        <v>1442</v>
      </c>
      <c r="B1445" s="64" t="str">
        <f>IF(Tabla1[[#This Row],[TRABAJADOR]]="", "", VLOOKUP(Tabla1[[#This Row],[TRABAJADOR]], 'Colaborador ID'!B:C, 2, FALSE))</f>
        <v>E0305</v>
      </c>
      <c r="C1445" s="63" t="s">
        <v>2773</v>
      </c>
      <c r="D1445" s="64" t="s">
        <v>2774</v>
      </c>
      <c r="E1445" s="64" t="s">
        <v>16</v>
      </c>
      <c r="F1445" s="78" t="e" vm="1">
        <v>#VALUE!</v>
      </c>
      <c r="G1445" s="62">
        <v>45978</v>
      </c>
      <c r="H1445" s="86" t="e" vm="2">
        <v>#VALUE!</v>
      </c>
      <c r="I1445" s="64" t="s">
        <v>22</v>
      </c>
      <c r="J1445" s="57"/>
      <c r="K1445" s="57"/>
      <c r="L1445" s="4"/>
      <c r="M1445" s="4"/>
    </row>
    <row r="1446" spans="1:13" ht="15.9" customHeight="1" x14ac:dyDescent="0.3">
      <c r="A1446" s="46">
        <v>1443</v>
      </c>
      <c r="B1446" s="64" t="e">
        <f>IF(Tabla1[[#This Row],[TRABAJADOR]]="", "", VLOOKUP(Tabla1[[#This Row],[TRABAJADOR]], 'Colaborador ID'!B:C, 2, FALSE))</f>
        <v>#N/A</v>
      </c>
      <c r="C1446" s="63" t="s">
        <v>2775</v>
      </c>
      <c r="D1446" s="64" t="s">
        <v>2776</v>
      </c>
      <c r="E1446" s="64" t="s">
        <v>16</v>
      </c>
      <c r="F1446" s="78" t="e" vm="1">
        <v>#VALUE!</v>
      </c>
      <c r="G1446" s="62">
        <v>45783</v>
      </c>
      <c r="H1446" s="60" t="e" vm="2">
        <v>#VALUE!</v>
      </c>
      <c r="I1446" s="64"/>
      <c r="J1446" s="57"/>
      <c r="K1446" s="57"/>
      <c r="L1446" s="4"/>
      <c r="M1446" s="4"/>
    </row>
    <row r="1447" spans="1:13" ht="15.9" customHeight="1" x14ac:dyDescent="0.3">
      <c r="A1447" s="46">
        <v>1444</v>
      </c>
      <c r="B1447" s="64" t="str">
        <f>IF(Tabla1[[#This Row],[TRABAJADOR]]="", "", VLOOKUP(Tabla1[[#This Row],[TRABAJADOR]], 'Colaborador ID'!B:C, 2, FALSE))</f>
        <v>E0411</v>
      </c>
      <c r="C1447" s="63" t="s">
        <v>2777</v>
      </c>
      <c r="D1447" s="64" t="s">
        <v>2778</v>
      </c>
      <c r="E1447" s="64"/>
      <c r="F1447" s="60" t="e" vm="1">
        <v>#VALUE!</v>
      </c>
      <c r="G1447" s="62"/>
      <c r="H1447" s="60" t="e" vm="2">
        <v>#VALUE!</v>
      </c>
      <c r="I1447" s="64"/>
      <c r="J1447" s="57"/>
      <c r="K1447" s="57"/>
      <c r="L1447" s="4"/>
      <c r="M1447" s="4"/>
    </row>
    <row r="1448" spans="1:13" ht="15.9" customHeight="1" x14ac:dyDescent="0.35">
      <c r="A1448" s="46">
        <v>1445</v>
      </c>
      <c r="B1448" s="64" t="str">
        <f>IF(Tabla1[[#This Row],[TRABAJADOR]]="", "", VLOOKUP(Tabla1[[#This Row],[TRABAJADOR]], 'Colaborador ID'!B:C, 2, FALSE))</f>
        <v>E0358</v>
      </c>
      <c r="C1448" s="63" t="s">
        <v>2779</v>
      </c>
      <c r="D1448" s="64" t="s">
        <v>2780</v>
      </c>
      <c r="E1448" s="64" t="s">
        <v>13</v>
      </c>
      <c r="F1448" s="79" t="e" vm="1">
        <v>#VALUE!</v>
      </c>
      <c r="G1448" s="62">
        <v>45818</v>
      </c>
      <c r="H1448" s="86" t="e" vm="2">
        <v>#VALUE!</v>
      </c>
      <c r="I1448" s="64"/>
      <c r="J1448" s="57"/>
      <c r="K1448" s="57"/>
      <c r="L1448" s="4"/>
      <c r="M1448" s="4"/>
    </row>
    <row r="1449" spans="1:13" ht="15.9" customHeight="1" x14ac:dyDescent="0.3">
      <c r="A1449" s="46">
        <v>1446</v>
      </c>
      <c r="B1449" s="64" t="str">
        <f>IF(Tabla1[[#This Row],[TRABAJADOR]]="", "", VLOOKUP(Tabla1[[#This Row],[TRABAJADOR]], 'Colaborador ID'!B:C, 2, FALSE))</f>
        <v>E0397</v>
      </c>
      <c r="C1449" s="63" t="s">
        <v>2781</v>
      </c>
      <c r="D1449" s="64" t="s">
        <v>2782</v>
      </c>
      <c r="E1449" s="64" t="s">
        <v>19</v>
      </c>
      <c r="F1449" s="77" t="e" vm="1">
        <v>#VALUE!</v>
      </c>
      <c r="G1449" s="62"/>
      <c r="H1449" s="60" t="e" vm="2">
        <v>#VALUE!</v>
      </c>
      <c r="I1449" s="64"/>
      <c r="J1449" s="57"/>
      <c r="K1449" s="57"/>
      <c r="L1449" s="4"/>
      <c r="M1449" s="4"/>
    </row>
    <row r="1450" spans="1:13" ht="15.9" customHeight="1" x14ac:dyDescent="0.3">
      <c r="A1450" s="46">
        <v>1447</v>
      </c>
      <c r="B1450" s="57" t="str">
        <f>IF(Tabla1[[#This Row],[TRABAJADOR]]="", "", VLOOKUP(Tabla1[[#This Row],[TRABAJADOR]], 'Colaborador ID'!B:C, 2, FALSE))</f>
        <v>E1830</v>
      </c>
      <c r="C1450" s="56" t="s">
        <v>2783</v>
      </c>
      <c r="D1450" s="57" t="s">
        <v>2784</v>
      </c>
      <c r="E1450" s="64" t="s">
        <v>19</v>
      </c>
      <c r="F1450" s="77" t="e" vm="1">
        <v>#VALUE!</v>
      </c>
      <c r="G1450" s="62">
        <v>45938</v>
      </c>
      <c r="H1450" s="60" t="e" vm="2">
        <v>#VALUE!</v>
      </c>
      <c r="I1450" s="57"/>
      <c r="J1450" s="57"/>
      <c r="K1450" s="57"/>
      <c r="L1450" s="4"/>
      <c r="M1450" s="4"/>
    </row>
    <row r="1451" spans="1:13" ht="15.9" customHeight="1" x14ac:dyDescent="0.3">
      <c r="A1451" s="46">
        <v>1448</v>
      </c>
      <c r="B1451" s="64" t="str">
        <f>IF(Tabla1[[#This Row],[TRABAJADOR]]="", "", VLOOKUP(Tabla1[[#This Row],[TRABAJADOR]], 'Colaborador ID'!B:C, 2, FALSE))</f>
        <v>E0589</v>
      </c>
      <c r="C1451" s="68" t="s">
        <v>2785</v>
      </c>
      <c r="D1451" s="67" t="s">
        <v>2786</v>
      </c>
      <c r="E1451" s="64" t="s">
        <v>13</v>
      </c>
      <c r="F1451" s="78" t="e" vm="1">
        <v>#VALUE!</v>
      </c>
      <c r="G1451" s="62">
        <v>45754</v>
      </c>
      <c r="H1451" s="60" t="e" vm="2">
        <v>#VALUE!</v>
      </c>
      <c r="I1451" s="67"/>
      <c r="J1451" s="60"/>
      <c r="K1451" s="60"/>
      <c r="L1451" s="4"/>
      <c r="M1451" s="4"/>
    </row>
    <row r="1452" spans="1:13" ht="15.9" customHeight="1" x14ac:dyDescent="0.3">
      <c r="A1452" s="46">
        <v>1449</v>
      </c>
      <c r="B1452" s="57" t="str">
        <f>IF(Tabla1[[#This Row],[TRABAJADOR]]="", "", VLOOKUP(Tabla1[[#This Row],[TRABAJADOR]], 'Colaborador ID'!B:C, 2, FALSE))</f>
        <v>E1886</v>
      </c>
      <c r="C1452" s="56" t="s">
        <v>2787</v>
      </c>
      <c r="D1452" s="57" t="s">
        <v>2788</v>
      </c>
      <c r="E1452" s="64"/>
      <c r="F1452" s="77" t="e" vm="1">
        <v>#VALUE!</v>
      </c>
      <c r="G1452" s="62">
        <v>45993</v>
      </c>
      <c r="H1452" s="60" t="e" vm="2">
        <v>#VALUE!</v>
      </c>
      <c r="I1452" s="57"/>
      <c r="J1452" s="57"/>
      <c r="K1452" s="57"/>
      <c r="L1452" s="4"/>
      <c r="M1452" s="4"/>
    </row>
    <row r="1453" spans="1:13" ht="15.9" customHeight="1" x14ac:dyDescent="0.3">
      <c r="A1453" s="46">
        <v>1450</v>
      </c>
      <c r="B1453" s="57" t="str">
        <f>IF(Tabla1[[#This Row],[TRABAJADOR]]="", "", VLOOKUP(Tabla1[[#This Row],[TRABAJADOR]], 'Colaborador ID'!B:C, 2, FALSE))</f>
        <v>E2063</v>
      </c>
      <c r="C1453" s="56" t="s">
        <v>5251</v>
      </c>
      <c r="D1453" s="57" t="s">
        <v>5486</v>
      </c>
      <c r="E1453" s="64" t="s">
        <v>16</v>
      </c>
      <c r="F1453" s="77" t="e" vm="1">
        <v>#VALUE!</v>
      </c>
      <c r="G1453" s="62">
        <v>46073</v>
      </c>
      <c r="H1453" s="60" t="e" vm="3">
        <v>#VALUE!</v>
      </c>
      <c r="I1453" s="57"/>
      <c r="J1453" s="57"/>
      <c r="K1453" s="57"/>
      <c r="L1453" s="4"/>
      <c r="M1453" s="4"/>
    </row>
    <row r="1454" spans="1:13" ht="15.9" customHeight="1" x14ac:dyDescent="0.3">
      <c r="A1454" s="46">
        <v>1451</v>
      </c>
      <c r="B1454" s="64" t="str">
        <f>IF(Tabla1[[#This Row],[TRABAJADOR]]="", "", VLOOKUP(Tabla1[[#This Row],[TRABAJADOR]], 'Colaborador ID'!B:C, 2, FALSE))</f>
        <v>E0633</v>
      </c>
      <c r="C1454" s="63" t="s">
        <v>2789</v>
      </c>
      <c r="D1454" s="64" t="s">
        <v>2790</v>
      </c>
      <c r="E1454" s="64" t="s">
        <v>19</v>
      </c>
      <c r="F1454" s="77" t="e" vm="1">
        <v>#VALUE!</v>
      </c>
      <c r="G1454" s="62"/>
      <c r="H1454" s="60" t="e" vm="2">
        <v>#VALUE!</v>
      </c>
      <c r="I1454" s="64"/>
      <c r="J1454" s="57"/>
      <c r="K1454" s="57"/>
      <c r="L1454" s="4"/>
      <c r="M1454" s="4"/>
    </row>
    <row r="1455" spans="1:13" ht="15.9" customHeight="1" x14ac:dyDescent="0.3">
      <c r="A1455" s="46">
        <v>1452</v>
      </c>
      <c r="B1455" s="64" t="str">
        <f>IF(Tabla1[[#This Row],[TRABAJADOR]]="", "", VLOOKUP(Tabla1[[#This Row],[TRABAJADOR]], 'Colaborador ID'!B:C, 2, FALSE))</f>
        <v>E0032</v>
      </c>
      <c r="C1455" s="63" t="s">
        <v>2791</v>
      </c>
      <c r="D1455" s="64" t="s">
        <v>2792</v>
      </c>
      <c r="E1455" s="64" t="s">
        <v>16</v>
      </c>
      <c r="F1455" s="78" t="e" vm="1">
        <v>#VALUE!</v>
      </c>
      <c r="G1455" s="62">
        <v>45825</v>
      </c>
      <c r="H1455" s="86" t="e" vm="2">
        <v>#VALUE!</v>
      </c>
      <c r="I1455" s="64"/>
      <c r="J1455" s="57"/>
      <c r="K1455" s="57"/>
      <c r="L1455" s="4"/>
      <c r="M1455" s="4"/>
    </row>
    <row r="1456" spans="1:13" ht="15.9" customHeight="1" x14ac:dyDescent="0.3">
      <c r="A1456" s="46">
        <v>1453</v>
      </c>
      <c r="B1456" s="64" t="str">
        <f>IF(Tabla1[[#This Row],[TRABAJADOR]]="", "", VLOOKUP(Tabla1[[#This Row],[TRABAJADOR]], 'Colaborador ID'!B:C, 2, FALSE))</f>
        <v>E0239</v>
      </c>
      <c r="C1456" s="63" t="s">
        <v>2793</v>
      </c>
      <c r="D1456" s="64" t="s">
        <v>2794</v>
      </c>
      <c r="E1456" s="64" t="s">
        <v>16</v>
      </c>
      <c r="F1456" s="78" t="e" vm="1">
        <v>#VALUE!</v>
      </c>
      <c r="G1456" s="62">
        <v>45800</v>
      </c>
      <c r="H1456" s="60" t="e" vm="2">
        <v>#VALUE!</v>
      </c>
      <c r="I1456" s="64"/>
      <c r="J1456" s="57"/>
      <c r="K1456" s="57"/>
      <c r="L1456" s="4"/>
      <c r="M1456" s="4"/>
    </row>
    <row r="1457" spans="1:13" ht="15.9" customHeight="1" x14ac:dyDescent="0.3">
      <c r="A1457" s="46">
        <v>1454</v>
      </c>
      <c r="B1457" s="64" t="str">
        <f>IF(Tabla1[[#This Row],[TRABAJADOR]]="", "", VLOOKUP(Tabla1[[#This Row],[TRABAJADOR]], 'Colaborador ID'!B:C, 2, FALSE))</f>
        <v>E0173</v>
      </c>
      <c r="C1457" s="63" t="s">
        <v>2795</v>
      </c>
      <c r="D1457" s="64" t="s">
        <v>2796</v>
      </c>
      <c r="E1457" s="64"/>
      <c r="F1457" s="60" t="e" vm="1">
        <v>#VALUE!</v>
      </c>
      <c r="G1457" s="62"/>
      <c r="H1457" s="60" t="e" vm="2">
        <v>#VALUE!</v>
      </c>
      <c r="I1457" s="64" t="s">
        <v>22</v>
      </c>
      <c r="J1457" s="57"/>
      <c r="K1457" s="57"/>
      <c r="L1457" s="4"/>
      <c r="M1457" s="4"/>
    </row>
    <row r="1458" spans="1:13" ht="15.9" customHeight="1" x14ac:dyDescent="0.3">
      <c r="A1458" s="46">
        <v>1455</v>
      </c>
      <c r="B1458" s="64" t="str">
        <f>IF(Tabla1[[#This Row],[TRABAJADOR]]="", "", VLOOKUP(Tabla1[[#This Row],[TRABAJADOR]], 'Colaborador ID'!B:C, 2, FALSE))</f>
        <v>E0791</v>
      </c>
      <c r="C1458" s="63" t="s">
        <v>2797</v>
      </c>
      <c r="D1458" s="64" t="s">
        <v>2798</v>
      </c>
      <c r="E1458" s="64" t="s">
        <v>16</v>
      </c>
      <c r="F1458" s="77" t="e" vm="1">
        <v>#VALUE!</v>
      </c>
      <c r="G1458" s="62">
        <v>45939</v>
      </c>
      <c r="H1458" s="77" t="e" vm="2">
        <v>#VALUE!</v>
      </c>
      <c r="I1458" s="64" t="s">
        <v>22</v>
      </c>
      <c r="J1458" s="57"/>
      <c r="K1458" s="57"/>
      <c r="L1458" s="4"/>
      <c r="M1458" s="4"/>
    </row>
    <row r="1459" spans="1:13" ht="15.9" customHeight="1" x14ac:dyDescent="0.3">
      <c r="A1459" s="46">
        <v>1456</v>
      </c>
      <c r="B1459" s="57" t="str">
        <f>IF(Tabla1[[#This Row],[TRABAJADOR]]="", "", VLOOKUP(Tabla1[[#This Row],[TRABAJADOR]], 'Colaborador ID'!B:C, 2, FALSE))</f>
        <v>E1945</v>
      </c>
      <c r="C1459" s="56" t="s">
        <v>2799</v>
      </c>
      <c r="D1459" s="57" t="s">
        <v>2800</v>
      </c>
      <c r="E1459" s="64" t="s">
        <v>16</v>
      </c>
      <c r="F1459" s="77" t="e" vm="1">
        <v>#VALUE!</v>
      </c>
      <c r="G1459" s="62">
        <v>45967</v>
      </c>
      <c r="H1459" s="60" t="e" vm="2">
        <v>#VALUE!</v>
      </c>
      <c r="I1459" s="57" t="s">
        <v>22</v>
      </c>
      <c r="J1459" s="57"/>
      <c r="K1459" s="57"/>
      <c r="L1459" s="4"/>
      <c r="M1459" s="4"/>
    </row>
    <row r="1460" spans="1:13" ht="15.9" customHeight="1" x14ac:dyDescent="0.3">
      <c r="A1460" s="46">
        <v>1457</v>
      </c>
      <c r="B1460" s="64" t="str">
        <f>IF(Tabla1[[#This Row],[TRABAJADOR]]="", "", VLOOKUP(Tabla1[[#This Row],[TRABAJADOR]], 'Colaborador ID'!B:C, 2, FALSE))</f>
        <v>E0350</v>
      </c>
      <c r="C1460" s="63" t="s">
        <v>2801</v>
      </c>
      <c r="D1460" s="64" t="s">
        <v>2802</v>
      </c>
      <c r="E1460" s="64" t="s">
        <v>16</v>
      </c>
      <c r="F1460" s="77" t="e" vm="1">
        <v>#VALUE!</v>
      </c>
      <c r="G1460" s="62"/>
      <c r="H1460" s="60" t="e" vm="2">
        <v>#VALUE!</v>
      </c>
      <c r="I1460" s="64" t="s">
        <v>22</v>
      </c>
      <c r="J1460" s="57"/>
      <c r="K1460" s="57"/>
      <c r="L1460" s="4"/>
      <c r="M1460" s="4"/>
    </row>
    <row r="1461" spans="1:13" ht="15.9" customHeight="1" x14ac:dyDescent="0.3">
      <c r="A1461" s="46">
        <v>1458</v>
      </c>
      <c r="B1461" s="64" t="str">
        <f>IF(Tabla1[[#This Row],[TRABAJADOR]]="", "", VLOOKUP(Tabla1[[#This Row],[TRABAJADOR]], 'Colaborador ID'!B:C, 2, FALSE))</f>
        <v>E0269</v>
      </c>
      <c r="C1461" s="63" t="s">
        <v>2803</v>
      </c>
      <c r="D1461" s="64" t="s">
        <v>2804</v>
      </c>
      <c r="E1461" s="64" t="s">
        <v>19</v>
      </c>
      <c r="F1461" s="77" t="e" vm="1">
        <v>#VALUE!</v>
      </c>
      <c r="G1461" s="62"/>
      <c r="H1461" s="60" t="e" vm="2">
        <v>#VALUE!</v>
      </c>
      <c r="I1461" s="64"/>
      <c r="J1461" s="57"/>
      <c r="K1461" s="57"/>
      <c r="L1461" s="4"/>
      <c r="M1461" s="4"/>
    </row>
    <row r="1462" spans="1:13" ht="15.9" customHeight="1" x14ac:dyDescent="0.3">
      <c r="A1462" s="46">
        <v>1459</v>
      </c>
      <c r="B1462" s="64" t="str">
        <f>IF(Tabla1[[#This Row],[TRABAJADOR]]="", "", VLOOKUP(Tabla1[[#This Row],[TRABAJADOR]], 'Colaborador ID'!B:C, 2, FALSE))</f>
        <v>E0758</v>
      </c>
      <c r="C1462" s="63" t="s">
        <v>2805</v>
      </c>
      <c r="D1462" s="64" t="s">
        <v>2806</v>
      </c>
      <c r="E1462" s="64"/>
      <c r="F1462" s="60" t="e" vm="1">
        <v>#VALUE!</v>
      </c>
      <c r="G1462" s="62"/>
      <c r="H1462" s="60" t="e" vm="2">
        <v>#VALUE!</v>
      </c>
      <c r="I1462" s="64"/>
      <c r="J1462" s="57"/>
      <c r="K1462" s="57"/>
      <c r="L1462" s="4"/>
      <c r="M1462" s="4"/>
    </row>
    <row r="1463" spans="1:13" ht="15.9" customHeight="1" x14ac:dyDescent="0.3">
      <c r="A1463" s="46">
        <v>1460</v>
      </c>
      <c r="B1463" s="57" t="str">
        <f>IF(Tabla1[[#This Row],[TRABAJADOR]]="", "", VLOOKUP(Tabla1[[#This Row],[TRABAJADOR]], 'Colaborador ID'!B:C, 2, FALSE))</f>
        <v>E2064</v>
      </c>
      <c r="C1463" s="56" t="s">
        <v>2818</v>
      </c>
      <c r="D1463" s="57" t="s">
        <v>5516</v>
      </c>
      <c r="E1463" s="64" t="s">
        <v>16</v>
      </c>
      <c r="F1463" s="77" t="e" vm="1">
        <v>#VALUE!</v>
      </c>
      <c r="G1463" s="62">
        <v>46092</v>
      </c>
      <c r="H1463" s="77" t="e" vm="2">
        <v>#VALUE!</v>
      </c>
      <c r="I1463" s="57"/>
      <c r="J1463" s="57"/>
      <c r="K1463" s="57"/>
      <c r="L1463" s="4"/>
      <c r="M1463" s="4"/>
    </row>
    <row r="1464" spans="1:13" ht="15.9" customHeight="1" x14ac:dyDescent="0.35">
      <c r="A1464" s="46">
        <v>1461</v>
      </c>
      <c r="B1464" s="64" t="str">
        <f>IF(Tabla1[[#This Row],[TRABAJADOR]]="", "", VLOOKUP(Tabla1[[#This Row],[TRABAJADOR]], 'Colaborador ID'!B:C, 2, FALSE))</f>
        <v>E0354</v>
      </c>
      <c r="C1464" s="63" t="s">
        <v>2807</v>
      </c>
      <c r="D1464" s="64" t="s">
        <v>2808</v>
      </c>
      <c r="E1464" s="64" t="s">
        <v>16</v>
      </c>
      <c r="F1464" s="79" t="e" vm="1">
        <v>#VALUE!</v>
      </c>
      <c r="G1464" s="62">
        <v>45728</v>
      </c>
      <c r="H1464" s="60" t="e" vm="2">
        <v>#VALUE!</v>
      </c>
      <c r="I1464" s="64"/>
      <c r="J1464" s="57" t="s">
        <v>2809</v>
      </c>
      <c r="K1464" s="57"/>
      <c r="L1464" s="4"/>
      <c r="M1464" s="4"/>
    </row>
    <row r="1465" spans="1:13" ht="15.9" customHeight="1" x14ac:dyDescent="0.4">
      <c r="A1465" s="46">
        <v>1462</v>
      </c>
      <c r="B1465" s="64" t="str">
        <f>IF(Tabla1[[#This Row],[TRABAJADOR]]="", "", VLOOKUP(Tabla1[[#This Row],[TRABAJADOR]], 'Colaborador ID'!B:C, 2, FALSE))</f>
        <v>E0405</v>
      </c>
      <c r="C1465" s="63" t="s">
        <v>2810</v>
      </c>
      <c r="D1465" s="64" t="s">
        <v>2811</v>
      </c>
      <c r="E1465" s="64" t="s">
        <v>19</v>
      </c>
      <c r="F1465" s="79" t="e" vm="1">
        <v>#VALUE!</v>
      </c>
      <c r="G1465" s="62">
        <v>45720</v>
      </c>
      <c r="H1465" s="81" t="e" vm="2">
        <v>#VALUE!</v>
      </c>
      <c r="I1465" s="64"/>
      <c r="J1465" s="57"/>
      <c r="K1465" s="57"/>
      <c r="L1465" s="4"/>
      <c r="M1465" s="4"/>
    </row>
    <row r="1466" spans="1:13" ht="15.9" customHeight="1" x14ac:dyDescent="0.4">
      <c r="A1466" s="46">
        <v>1463</v>
      </c>
      <c r="B1466" s="64" t="str">
        <f>IF(Tabla1[[#This Row],[TRABAJADOR]]="", "", VLOOKUP(Tabla1[[#This Row],[TRABAJADOR]], 'Colaborador ID'!B:C, 2, FALSE))</f>
        <v>E1055</v>
      </c>
      <c r="C1466" s="63" t="s">
        <v>2812</v>
      </c>
      <c r="D1466" s="64" t="s">
        <v>2813</v>
      </c>
      <c r="E1466" s="64" t="s">
        <v>19</v>
      </c>
      <c r="F1466" s="78" t="e" vm="1">
        <v>#VALUE!</v>
      </c>
      <c r="G1466" s="62"/>
      <c r="H1466" s="80" t="e" vm="2">
        <v>#VALUE!</v>
      </c>
      <c r="I1466" s="64"/>
      <c r="J1466" s="57"/>
      <c r="K1466" s="57"/>
      <c r="L1466" s="4"/>
      <c r="M1466" s="4"/>
    </row>
    <row r="1467" spans="1:13" ht="15.9" customHeight="1" x14ac:dyDescent="0.3">
      <c r="A1467" s="46">
        <v>1464</v>
      </c>
      <c r="B1467" s="64" t="str">
        <f>IF(Tabla1[[#This Row],[TRABAJADOR]]="", "", VLOOKUP(Tabla1[[#This Row],[TRABAJADOR]], 'Colaborador ID'!B:C, 2, FALSE))</f>
        <v>E0192</v>
      </c>
      <c r="C1467" s="63" t="s">
        <v>2814</v>
      </c>
      <c r="D1467" s="64" t="s">
        <v>2815</v>
      </c>
      <c r="E1467" s="64" t="s">
        <v>33</v>
      </c>
      <c r="F1467" s="77" t="e" vm="1">
        <v>#VALUE!</v>
      </c>
      <c r="G1467" s="62">
        <v>45897</v>
      </c>
      <c r="H1467" s="60" t="e" vm="2">
        <v>#VALUE!</v>
      </c>
      <c r="I1467" s="64" t="s">
        <v>22</v>
      </c>
      <c r="J1467" s="57"/>
      <c r="K1467" s="57"/>
      <c r="L1467" s="4"/>
      <c r="M1467" s="4"/>
    </row>
    <row r="1468" spans="1:13" ht="15.9" customHeight="1" x14ac:dyDescent="0.3">
      <c r="A1468" s="46">
        <v>1465</v>
      </c>
      <c r="B1468" s="57" t="str">
        <f>IF(Tabla1[[#This Row],[TRABAJADOR]]="", "", VLOOKUP(Tabla1[[#This Row],[TRABAJADOR]], 'Colaborador ID'!B:C, 2, FALSE))</f>
        <v/>
      </c>
      <c r="C1468" s="56"/>
      <c r="D1468" s="57"/>
      <c r="E1468" s="57"/>
      <c r="F1468" s="60" t="e" vm="1">
        <v>#VALUE!</v>
      </c>
      <c r="G1468" s="62"/>
      <c r="H1468" s="60" t="e" vm="3">
        <v>#VALUE!</v>
      </c>
      <c r="I1468" s="57"/>
      <c r="J1468" s="57"/>
      <c r="K1468" s="57"/>
      <c r="L1468" s="4"/>
      <c r="M1468" s="4"/>
    </row>
    <row r="1469" spans="1:13" ht="15.9" customHeight="1" x14ac:dyDescent="0.3">
      <c r="A1469" s="46">
        <v>1466</v>
      </c>
      <c r="B1469" s="57" t="str">
        <f>IF(Tabla1[[#This Row],[TRABAJADOR]]="", "", VLOOKUP(Tabla1[[#This Row],[TRABAJADOR]], 'Colaborador ID'!B:C, 2, FALSE))</f>
        <v/>
      </c>
      <c r="C1469" s="56"/>
      <c r="D1469" s="57"/>
      <c r="E1469" s="57"/>
      <c r="F1469" s="60" t="e" vm="1">
        <v>#VALUE!</v>
      </c>
      <c r="G1469" s="62"/>
      <c r="H1469" s="60" t="e" vm="3">
        <v>#VALUE!</v>
      </c>
      <c r="I1469" s="57"/>
      <c r="J1469" s="57"/>
      <c r="K1469" s="57"/>
      <c r="L1469" s="4"/>
      <c r="M1469" s="4"/>
    </row>
    <row r="1470" spans="1:13" ht="15.9" customHeight="1" x14ac:dyDescent="0.3">
      <c r="A1470" s="46">
        <v>1467</v>
      </c>
      <c r="B1470" s="57" t="str">
        <f>IF(Tabla1[[#This Row],[TRABAJADOR]]="", "", VLOOKUP(Tabla1[[#This Row],[TRABAJADOR]], 'Colaborador ID'!B:C, 2, FALSE))</f>
        <v/>
      </c>
      <c r="C1470" s="56"/>
      <c r="D1470" s="57"/>
      <c r="E1470" s="57"/>
      <c r="F1470" s="60" t="e" vm="1">
        <v>#VALUE!</v>
      </c>
      <c r="G1470" s="62"/>
      <c r="H1470" s="60" t="e" vm="3">
        <v>#VALUE!</v>
      </c>
      <c r="I1470" s="57"/>
      <c r="J1470" s="57"/>
      <c r="K1470" s="57"/>
      <c r="L1470" s="4"/>
      <c r="M1470" s="4"/>
    </row>
    <row r="1471" spans="1:13" ht="15.9" customHeight="1" x14ac:dyDescent="0.3">
      <c r="A1471" s="46">
        <v>1468</v>
      </c>
      <c r="B1471" s="57" t="str">
        <f>IF(Tabla1[[#This Row],[TRABAJADOR]]="", "", VLOOKUP(Tabla1[[#This Row],[TRABAJADOR]], 'Colaborador ID'!B:C, 2, FALSE))</f>
        <v/>
      </c>
      <c r="C1471" s="56"/>
      <c r="D1471" s="57"/>
      <c r="E1471" s="57"/>
      <c r="F1471" s="60" t="e" vm="1">
        <v>#VALUE!</v>
      </c>
      <c r="G1471" s="62"/>
      <c r="H1471" s="60" t="e" vm="3">
        <v>#VALUE!</v>
      </c>
      <c r="I1471" s="57"/>
      <c r="J1471" s="57"/>
      <c r="K1471" s="57"/>
      <c r="L1471" s="4"/>
      <c r="M1471" s="4"/>
    </row>
    <row r="1472" spans="1:13" ht="15.9" customHeight="1" x14ac:dyDescent="0.3">
      <c r="A1472" s="46">
        <v>1469</v>
      </c>
      <c r="B1472" s="57" t="str">
        <f>IF(Tabla1[[#This Row],[TRABAJADOR]]="", "", VLOOKUP(Tabla1[[#This Row],[TRABAJADOR]], 'Colaborador ID'!B:C, 2, FALSE))</f>
        <v/>
      </c>
      <c r="C1472" s="56"/>
      <c r="D1472" s="57"/>
      <c r="E1472" s="57"/>
      <c r="F1472" s="60" t="e" vm="1">
        <v>#VALUE!</v>
      </c>
      <c r="G1472" s="62"/>
      <c r="H1472" s="60" t="e" vm="3">
        <v>#VALUE!</v>
      </c>
      <c r="I1472" s="57"/>
      <c r="J1472" s="57"/>
      <c r="K1472" s="57"/>
      <c r="L1472" s="4"/>
      <c r="M1472" s="4"/>
    </row>
    <row r="1473" spans="1:13" ht="15.9" customHeight="1" x14ac:dyDescent="0.3">
      <c r="A1473" s="46">
        <v>1470</v>
      </c>
      <c r="B1473" s="57" t="str">
        <f>IF(Tabla1[[#This Row],[TRABAJADOR]]="", "", VLOOKUP(Tabla1[[#This Row],[TRABAJADOR]], 'Colaborador ID'!B:C, 2, FALSE))</f>
        <v/>
      </c>
      <c r="C1473" s="56"/>
      <c r="D1473" s="57"/>
      <c r="E1473" s="57"/>
      <c r="F1473" s="60" t="e" vm="1">
        <v>#VALUE!</v>
      </c>
      <c r="G1473" s="62"/>
      <c r="H1473" s="60" t="e" vm="3">
        <v>#VALUE!</v>
      </c>
      <c r="I1473" s="57"/>
      <c r="J1473" s="57"/>
      <c r="K1473" s="57"/>
      <c r="L1473" s="4"/>
      <c r="M1473" s="4"/>
    </row>
    <row r="1474" spans="1:13" ht="15.9" customHeight="1" x14ac:dyDescent="0.3">
      <c r="A1474" s="46">
        <v>1471</v>
      </c>
      <c r="B1474" s="57" t="str">
        <f>IF(Tabla1[[#This Row],[TRABAJADOR]]="", "", VLOOKUP(Tabla1[[#This Row],[TRABAJADOR]], 'Colaborador ID'!B:C, 2, FALSE))</f>
        <v/>
      </c>
      <c r="C1474" s="56"/>
      <c r="D1474" s="57"/>
      <c r="E1474" s="57"/>
      <c r="F1474" s="60" t="e" vm="1">
        <v>#VALUE!</v>
      </c>
      <c r="G1474" s="62"/>
      <c r="H1474" s="60" t="e" vm="3">
        <v>#VALUE!</v>
      </c>
      <c r="I1474" s="57"/>
      <c r="J1474" s="57"/>
      <c r="K1474" s="57"/>
      <c r="L1474" s="4"/>
      <c r="M1474" s="4"/>
    </row>
    <row r="1475" spans="1:13" ht="15.9" customHeight="1" x14ac:dyDescent="0.3">
      <c r="A1475" s="46">
        <v>1472</v>
      </c>
      <c r="B1475" s="57" t="str">
        <f>IF(Tabla1[[#This Row],[TRABAJADOR]]="", "", VLOOKUP(Tabla1[[#This Row],[TRABAJADOR]], 'Colaborador ID'!B:C, 2, FALSE))</f>
        <v/>
      </c>
      <c r="C1475" s="56"/>
      <c r="D1475" s="57"/>
      <c r="E1475" s="57"/>
      <c r="F1475" s="60" t="e" vm="1">
        <v>#VALUE!</v>
      </c>
      <c r="G1475" s="62"/>
      <c r="H1475" s="60" t="e" vm="3">
        <v>#VALUE!</v>
      </c>
      <c r="I1475" s="57"/>
      <c r="J1475" s="57"/>
      <c r="K1475" s="57"/>
      <c r="L1475" s="4"/>
      <c r="M1475" s="4"/>
    </row>
    <row r="1476" spans="1:13" ht="15.9" customHeight="1" x14ac:dyDescent="0.3">
      <c r="A1476" s="46">
        <v>1473</v>
      </c>
      <c r="B1476" s="57" t="str">
        <f>IF(Tabla1[[#This Row],[TRABAJADOR]]="", "", VLOOKUP(Tabla1[[#This Row],[TRABAJADOR]], 'Colaborador ID'!B:C, 2, FALSE))</f>
        <v/>
      </c>
      <c r="C1476" s="56"/>
      <c r="D1476" s="57"/>
      <c r="E1476" s="57"/>
      <c r="F1476" s="60" t="e" vm="1">
        <v>#VALUE!</v>
      </c>
      <c r="G1476" s="62"/>
      <c r="H1476" s="60" t="e" vm="3">
        <v>#VALUE!</v>
      </c>
      <c r="I1476" s="57"/>
      <c r="J1476" s="57"/>
      <c r="K1476" s="57"/>
      <c r="L1476" s="4"/>
      <c r="M1476" s="4"/>
    </row>
    <row r="1477" spans="1:13" ht="15.9" customHeight="1" x14ac:dyDescent="0.3">
      <c r="A1477" s="46">
        <v>1474</v>
      </c>
      <c r="B1477" s="57" t="str">
        <f>IF(Tabla1[[#This Row],[TRABAJADOR]]="", "", VLOOKUP(Tabla1[[#This Row],[TRABAJADOR]], 'Colaborador ID'!B:C, 2, FALSE))</f>
        <v/>
      </c>
      <c r="C1477" s="56"/>
      <c r="D1477" s="57"/>
      <c r="E1477" s="57"/>
      <c r="F1477" s="60" t="e" vm="1">
        <v>#VALUE!</v>
      </c>
      <c r="G1477" s="62"/>
      <c r="H1477" s="60" t="e" vm="3">
        <v>#VALUE!</v>
      </c>
      <c r="I1477" s="57"/>
      <c r="J1477" s="57"/>
      <c r="K1477" s="57"/>
      <c r="L1477" s="4"/>
      <c r="M1477" s="4"/>
    </row>
    <row r="1478" spans="1:13" ht="15.9" customHeight="1" x14ac:dyDescent="0.3">
      <c r="A1478" s="46">
        <v>1475</v>
      </c>
      <c r="B1478" s="57" t="str">
        <f>IF(Tabla1[[#This Row],[TRABAJADOR]]="", "", VLOOKUP(Tabla1[[#This Row],[TRABAJADOR]], 'Colaborador ID'!B:C, 2, FALSE))</f>
        <v/>
      </c>
      <c r="C1478" s="56"/>
      <c r="D1478" s="57"/>
      <c r="E1478" s="57"/>
      <c r="F1478" s="60" t="e" vm="1">
        <v>#VALUE!</v>
      </c>
      <c r="G1478" s="62"/>
      <c r="H1478" s="60" t="e" vm="3">
        <v>#VALUE!</v>
      </c>
      <c r="I1478" s="57"/>
      <c r="J1478" s="57"/>
      <c r="K1478" s="57"/>
      <c r="L1478" s="4"/>
      <c r="M1478" s="4"/>
    </row>
    <row r="1479" spans="1:13" ht="15.9" customHeight="1" x14ac:dyDescent="0.3">
      <c r="A1479" s="46">
        <v>1476</v>
      </c>
      <c r="B1479" s="57" t="str">
        <f>IF(Tabla1[[#This Row],[TRABAJADOR]]="", "", VLOOKUP(Tabla1[[#This Row],[TRABAJADOR]], 'Colaborador ID'!B:C, 2, FALSE))</f>
        <v/>
      </c>
      <c r="C1479" s="56"/>
      <c r="D1479" s="57"/>
      <c r="E1479" s="57"/>
      <c r="F1479" s="60" t="e" vm="1">
        <v>#VALUE!</v>
      </c>
      <c r="G1479" s="62"/>
      <c r="H1479" s="60" t="e" vm="3">
        <v>#VALUE!</v>
      </c>
      <c r="I1479" s="57"/>
      <c r="J1479" s="57"/>
      <c r="K1479" s="57"/>
      <c r="L1479" s="4"/>
      <c r="M1479" s="4"/>
    </row>
    <row r="1480" spans="1:13" ht="15.9" customHeight="1" x14ac:dyDescent="0.3">
      <c r="A1480" s="46">
        <v>1477</v>
      </c>
      <c r="B1480" s="57" t="str">
        <f>IF(Tabla1[[#This Row],[TRABAJADOR]]="", "", VLOOKUP(Tabla1[[#This Row],[TRABAJADOR]], 'Colaborador ID'!B:C, 2, FALSE))</f>
        <v/>
      </c>
      <c r="C1480" s="56"/>
      <c r="D1480" s="57"/>
      <c r="E1480" s="57"/>
      <c r="F1480" s="60" t="e" vm="1">
        <v>#VALUE!</v>
      </c>
      <c r="G1480" s="62"/>
      <c r="H1480" s="60" t="e" vm="3">
        <v>#VALUE!</v>
      </c>
      <c r="I1480" s="57"/>
      <c r="J1480" s="57"/>
      <c r="K1480" s="57"/>
      <c r="L1480" s="4"/>
      <c r="M1480" s="4"/>
    </row>
    <row r="1481" spans="1:13" ht="15.9" customHeight="1" x14ac:dyDescent="0.3">
      <c r="A1481" s="46">
        <v>1478</v>
      </c>
      <c r="B1481" s="57" t="str">
        <f>IF(Tabla1[[#This Row],[TRABAJADOR]]="", "", VLOOKUP(Tabla1[[#This Row],[TRABAJADOR]], 'Colaborador ID'!B:C, 2, FALSE))</f>
        <v/>
      </c>
      <c r="C1481" s="56"/>
      <c r="D1481" s="57"/>
      <c r="E1481" s="57"/>
      <c r="F1481" s="60" t="e" vm="1">
        <v>#VALUE!</v>
      </c>
      <c r="G1481" s="62"/>
      <c r="H1481" s="60" t="e" vm="3">
        <v>#VALUE!</v>
      </c>
      <c r="I1481" s="57"/>
      <c r="J1481" s="57"/>
      <c r="K1481" s="57"/>
      <c r="L1481" s="4"/>
      <c r="M1481" s="4"/>
    </row>
    <row r="1482" spans="1:13" ht="15.9" customHeight="1" x14ac:dyDescent="0.3">
      <c r="A1482" s="46">
        <v>1479</v>
      </c>
      <c r="B1482" s="57" t="str">
        <f>IF(Tabla1[[#This Row],[TRABAJADOR]]="", "", VLOOKUP(Tabla1[[#This Row],[TRABAJADOR]], 'Colaborador ID'!B:C, 2, FALSE))</f>
        <v/>
      </c>
      <c r="C1482" s="56"/>
      <c r="D1482" s="57"/>
      <c r="E1482" s="57"/>
      <c r="F1482" s="60" t="e" vm="1">
        <v>#VALUE!</v>
      </c>
      <c r="G1482" s="62"/>
      <c r="H1482" s="60" t="e" vm="3">
        <v>#VALUE!</v>
      </c>
      <c r="I1482" s="57"/>
      <c r="J1482" s="57"/>
      <c r="K1482" s="57"/>
      <c r="L1482" s="4"/>
      <c r="M1482" s="4"/>
    </row>
    <row r="1483" spans="1:13" ht="15.9" customHeight="1" x14ac:dyDescent="0.3">
      <c r="A1483" s="46">
        <v>1480</v>
      </c>
      <c r="B1483" s="57" t="str">
        <f>IF(Tabla1[[#This Row],[TRABAJADOR]]="", "", VLOOKUP(Tabla1[[#This Row],[TRABAJADOR]], 'Colaborador ID'!B:C, 2, FALSE))</f>
        <v/>
      </c>
      <c r="C1483" s="56"/>
      <c r="D1483" s="57"/>
      <c r="E1483" s="57"/>
      <c r="F1483" s="60" t="e" vm="1">
        <v>#VALUE!</v>
      </c>
      <c r="G1483" s="62"/>
      <c r="H1483" s="60" t="e" vm="3">
        <v>#VALUE!</v>
      </c>
      <c r="I1483" s="57"/>
      <c r="J1483" s="57"/>
      <c r="K1483" s="57"/>
      <c r="L1483" s="4"/>
      <c r="M1483" s="4"/>
    </row>
    <row r="1484" spans="1:13" ht="15.9" customHeight="1" x14ac:dyDescent="0.3">
      <c r="A1484" s="46">
        <v>1481</v>
      </c>
      <c r="B1484" s="57" t="str">
        <f>IF(Tabla1[[#This Row],[TRABAJADOR]]="", "", VLOOKUP(Tabla1[[#This Row],[TRABAJADOR]], 'Colaborador ID'!B:C, 2, FALSE))</f>
        <v/>
      </c>
      <c r="C1484" s="56"/>
      <c r="D1484" s="57"/>
      <c r="E1484" s="57"/>
      <c r="F1484" s="60" t="e" vm="1">
        <v>#VALUE!</v>
      </c>
      <c r="G1484" s="62"/>
      <c r="H1484" s="60" t="e" vm="3">
        <v>#VALUE!</v>
      </c>
      <c r="I1484" s="57"/>
      <c r="J1484" s="57"/>
      <c r="K1484" s="57"/>
      <c r="L1484" s="4"/>
      <c r="M1484" s="4"/>
    </row>
    <row r="1485" spans="1:13" ht="15.9" customHeight="1" x14ac:dyDescent="0.3">
      <c r="A1485" s="46">
        <v>1482</v>
      </c>
      <c r="B1485" s="57" t="str">
        <f>IF(Tabla1[[#This Row],[TRABAJADOR]]="", "", VLOOKUP(Tabla1[[#This Row],[TRABAJADOR]], 'Colaborador ID'!B:C, 2, FALSE))</f>
        <v/>
      </c>
      <c r="C1485" s="56"/>
      <c r="D1485" s="57"/>
      <c r="E1485" s="57"/>
      <c r="F1485" s="60" t="e" vm="1">
        <v>#VALUE!</v>
      </c>
      <c r="G1485" s="62"/>
      <c r="H1485" s="60" t="e" vm="3">
        <v>#VALUE!</v>
      </c>
      <c r="I1485" s="57"/>
      <c r="J1485" s="57"/>
      <c r="K1485" s="57"/>
      <c r="L1485" s="4"/>
      <c r="M1485" s="4"/>
    </row>
    <row r="1486" spans="1:13" ht="15.9" customHeight="1" x14ac:dyDescent="0.3">
      <c r="A1486" s="46">
        <v>1483</v>
      </c>
      <c r="B1486" s="57" t="str">
        <f>IF(Tabla1[[#This Row],[TRABAJADOR]]="", "", VLOOKUP(Tabla1[[#This Row],[TRABAJADOR]], 'Colaborador ID'!B:C, 2, FALSE))</f>
        <v/>
      </c>
      <c r="C1486" s="56"/>
      <c r="D1486" s="57"/>
      <c r="E1486" s="57"/>
      <c r="F1486" s="60" t="e" vm="1">
        <v>#VALUE!</v>
      </c>
      <c r="G1486" s="62"/>
      <c r="H1486" s="60" t="e" vm="3">
        <v>#VALUE!</v>
      </c>
      <c r="I1486" s="57"/>
      <c r="J1486" s="57"/>
      <c r="K1486" s="57"/>
      <c r="L1486" s="4"/>
      <c r="M1486" s="4"/>
    </row>
    <row r="1487" spans="1:13" ht="15.9" customHeight="1" x14ac:dyDescent="0.3">
      <c r="A1487" s="46">
        <v>1484</v>
      </c>
      <c r="B1487" s="57" t="str">
        <f>IF(Tabla1[[#This Row],[TRABAJADOR]]="", "", VLOOKUP(Tabla1[[#This Row],[TRABAJADOR]], 'Colaborador ID'!B:C, 2, FALSE))</f>
        <v/>
      </c>
      <c r="C1487" s="56"/>
      <c r="D1487" s="57"/>
      <c r="E1487" s="57"/>
      <c r="F1487" s="60" t="e" vm="1">
        <v>#VALUE!</v>
      </c>
      <c r="G1487" s="62"/>
      <c r="H1487" s="60" t="e" vm="3">
        <v>#VALUE!</v>
      </c>
      <c r="I1487" s="57"/>
      <c r="J1487" s="57"/>
      <c r="K1487" s="57"/>
      <c r="L1487" s="4"/>
      <c r="M1487" s="4"/>
    </row>
    <row r="1488" spans="1:13" ht="15.9" customHeight="1" x14ac:dyDescent="0.3">
      <c r="A1488" s="46">
        <v>1485</v>
      </c>
      <c r="B1488" s="57" t="str">
        <f>IF(Tabla1[[#This Row],[TRABAJADOR]]="", "", VLOOKUP(Tabla1[[#This Row],[TRABAJADOR]], 'Colaborador ID'!B:C, 2, FALSE))</f>
        <v/>
      </c>
      <c r="C1488" s="56"/>
      <c r="D1488" s="57"/>
      <c r="E1488" s="57"/>
      <c r="F1488" s="60" t="e" vm="1">
        <v>#VALUE!</v>
      </c>
      <c r="G1488" s="62"/>
      <c r="H1488" s="60" t="e" vm="3">
        <v>#VALUE!</v>
      </c>
      <c r="I1488" s="57"/>
      <c r="J1488" s="57"/>
      <c r="K1488" s="57"/>
      <c r="L1488" s="4"/>
      <c r="M1488" s="4"/>
    </row>
    <row r="1489" spans="1:13" ht="15.9" customHeight="1" x14ac:dyDescent="0.3">
      <c r="A1489" s="46">
        <v>1486</v>
      </c>
      <c r="B1489" s="57" t="str">
        <f>IF(Tabla1[[#This Row],[TRABAJADOR]]="", "", VLOOKUP(Tabla1[[#This Row],[TRABAJADOR]], 'Colaborador ID'!B:C, 2, FALSE))</f>
        <v/>
      </c>
      <c r="C1489" s="56"/>
      <c r="D1489" s="57"/>
      <c r="E1489" s="57"/>
      <c r="F1489" s="60" t="e" vm="1">
        <v>#VALUE!</v>
      </c>
      <c r="G1489" s="62"/>
      <c r="H1489" s="60" t="e" vm="3">
        <v>#VALUE!</v>
      </c>
      <c r="I1489" s="57"/>
      <c r="J1489" s="57"/>
      <c r="K1489" s="57"/>
      <c r="L1489" s="4"/>
      <c r="M1489" s="4"/>
    </row>
    <row r="1490" spans="1:13" ht="15.9" customHeight="1" x14ac:dyDescent="0.3">
      <c r="A1490" s="46">
        <v>1487</v>
      </c>
      <c r="B1490" s="57" t="str">
        <f>IF(Tabla1[[#This Row],[TRABAJADOR]]="", "", VLOOKUP(Tabla1[[#This Row],[TRABAJADOR]], 'Colaborador ID'!B:C, 2, FALSE))</f>
        <v/>
      </c>
      <c r="C1490" s="56"/>
      <c r="D1490" s="57"/>
      <c r="E1490" s="57"/>
      <c r="F1490" s="60" t="e" vm="1">
        <v>#VALUE!</v>
      </c>
      <c r="G1490" s="62"/>
      <c r="H1490" s="60" t="e" vm="3">
        <v>#VALUE!</v>
      </c>
      <c r="I1490" s="57"/>
      <c r="J1490" s="57"/>
      <c r="K1490" s="57"/>
      <c r="L1490" s="4"/>
      <c r="M1490" s="4"/>
    </row>
    <row r="1491" spans="1:13" ht="15.9" customHeight="1" x14ac:dyDescent="0.3">
      <c r="A1491" s="46">
        <v>1488</v>
      </c>
      <c r="B1491" s="57" t="str">
        <f>IF(Tabla1[[#This Row],[TRABAJADOR]]="", "", VLOOKUP(Tabla1[[#This Row],[TRABAJADOR]], 'Colaborador ID'!B:C, 2, FALSE))</f>
        <v/>
      </c>
      <c r="C1491" s="56"/>
      <c r="D1491" s="57"/>
      <c r="E1491" s="57"/>
      <c r="F1491" s="60" t="e" vm="1">
        <v>#VALUE!</v>
      </c>
      <c r="G1491" s="62"/>
      <c r="H1491" s="60" t="e" vm="3">
        <v>#VALUE!</v>
      </c>
      <c r="I1491" s="57"/>
      <c r="J1491" s="57"/>
      <c r="K1491" s="57"/>
      <c r="L1491" s="4"/>
      <c r="M1491" s="4"/>
    </row>
    <row r="1492" spans="1:13" ht="15.9" customHeight="1" x14ac:dyDescent="0.3">
      <c r="A1492" s="46">
        <v>1489</v>
      </c>
      <c r="B1492" s="57" t="str">
        <f>IF(Tabla1[[#This Row],[TRABAJADOR]]="", "", VLOOKUP(Tabla1[[#This Row],[TRABAJADOR]], 'Colaborador ID'!B:C, 2, FALSE))</f>
        <v/>
      </c>
      <c r="C1492" s="56"/>
      <c r="D1492" s="57"/>
      <c r="E1492" s="57"/>
      <c r="F1492" s="60" t="e" vm="1">
        <v>#VALUE!</v>
      </c>
      <c r="G1492" s="62"/>
      <c r="H1492" s="60" t="e" vm="3">
        <v>#VALUE!</v>
      </c>
      <c r="I1492" s="57"/>
      <c r="J1492" s="57"/>
      <c r="K1492" s="57"/>
      <c r="L1492" s="4"/>
      <c r="M1492" s="4"/>
    </row>
    <row r="1493" spans="1:13" ht="15.9" customHeight="1" x14ac:dyDescent="0.3">
      <c r="A1493" s="46">
        <v>1490</v>
      </c>
      <c r="B1493" s="57" t="str">
        <f>IF(Tabla1[[#This Row],[TRABAJADOR]]="", "", VLOOKUP(Tabla1[[#This Row],[TRABAJADOR]], 'Colaborador ID'!B:C, 2, FALSE))</f>
        <v/>
      </c>
      <c r="C1493" s="56"/>
      <c r="D1493" s="57"/>
      <c r="E1493" s="57"/>
      <c r="F1493" s="60" t="e" vm="1">
        <v>#VALUE!</v>
      </c>
      <c r="G1493" s="62"/>
      <c r="H1493" s="60" t="e" vm="3">
        <v>#VALUE!</v>
      </c>
      <c r="I1493" s="57"/>
      <c r="J1493" s="57"/>
      <c r="K1493" s="57"/>
      <c r="L1493" s="4"/>
      <c r="M1493" s="4"/>
    </row>
    <row r="1494" spans="1:13" ht="15.9" customHeight="1" x14ac:dyDescent="0.3">
      <c r="A1494" s="46">
        <v>1491</v>
      </c>
      <c r="B1494" s="57" t="str">
        <f>IF(Tabla1[[#This Row],[TRABAJADOR]]="", "", VLOOKUP(Tabla1[[#This Row],[TRABAJADOR]], 'Colaborador ID'!B:C, 2, FALSE))</f>
        <v/>
      </c>
      <c r="C1494" s="56"/>
      <c r="D1494" s="57"/>
      <c r="E1494" s="57"/>
      <c r="F1494" s="60" t="e" vm="1">
        <v>#VALUE!</v>
      </c>
      <c r="G1494" s="62"/>
      <c r="H1494" s="60" t="e" vm="3">
        <v>#VALUE!</v>
      </c>
      <c r="I1494" s="57"/>
      <c r="J1494" s="57"/>
      <c r="K1494" s="57"/>
      <c r="L1494" s="4"/>
      <c r="M1494" s="4"/>
    </row>
    <row r="1495" spans="1:13" ht="15.9" customHeight="1" x14ac:dyDescent="0.3">
      <c r="A1495" s="46">
        <v>1492</v>
      </c>
      <c r="B1495" s="57" t="str">
        <f>IF(Tabla1[[#This Row],[TRABAJADOR]]="", "", VLOOKUP(Tabla1[[#This Row],[TRABAJADOR]], 'Colaborador ID'!B:C, 2, FALSE))</f>
        <v/>
      </c>
      <c r="C1495" s="56"/>
      <c r="D1495" s="57"/>
      <c r="E1495" s="57"/>
      <c r="F1495" s="60" t="e" vm="1">
        <v>#VALUE!</v>
      </c>
      <c r="G1495" s="62"/>
      <c r="H1495" s="60" t="e" vm="3">
        <v>#VALUE!</v>
      </c>
      <c r="I1495" s="57"/>
      <c r="J1495" s="57"/>
      <c r="K1495" s="57"/>
      <c r="L1495" s="4"/>
      <c r="M1495" s="4"/>
    </row>
    <row r="1496" spans="1:13" ht="15.9" customHeight="1" x14ac:dyDescent="0.3">
      <c r="A1496" s="46">
        <v>1493</v>
      </c>
      <c r="B1496" s="57" t="str">
        <f>IF(Tabla1[[#This Row],[TRABAJADOR]]="", "", VLOOKUP(Tabla1[[#This Row],[TRABAJADOR]], 'Colaborador ID'!B:C, 2, FALSE))</f>
        <v/>
      </c>
      <c r="C1496" s="56"/>
      <c r="D1496" s="57"/>
      <c r="E1496" s="57"/>
      <c r="F1496" s="60" t="e" vm="1">
        <v>#VALUE!</v>
      </c>
      <c r="G1496" s="62"/>
      <c r="H1496" s="60" t="e" vm="3">
        <v>#VALUE!</v>
      </c>
      <c r="I1496" s="57"/>
      <c r="J1496" s="57"/>
      <c r="K1496" s="57"/>
      <c r="L1496" s="4"/>
      <c r="M1496" s="4"/>
    </row>
    <row r="1497" spans="1:13" ht="15.9" customHeight="1" x14ac:dyDescent="0.3">
      <c r="A1497" s="46">
        <v>1494</v>
      </c>
      <c r="B1497" s="57" t="str">
        <f>IF(Tabla1[[#This Row],[TRABAJADOR]]="", "", VLOOKUP(Tabla1[[#This Row],[TRABAJADOR]], 'Colaborador ID'!B:C, 2, FALSE))</f>
        <v/>
      </c>
      <c r="C1497" s="56"/>
      <c r="D1497" s="57"/>
      <c r="E1497" s="57"/>
      <c r="F1497" s="60" t="e" vm="1">
        <v>#VALUE!</v>
      </c>
      <c r="G1497" s="62"/>
      <c r="H1497" s="60" t="e" vm="3">
        <v>#VALUE!</v>
      </c>
      <c r="I1497" s="57"/>
      <c r="J1497" s="57"/>
      <c r="K1497" s="57"/>
      <c r="L1497" s="4"/>
      <c r="M1497" s="4"/>
    </row>
    <row r="1498" spans="1:13" ht="15.9" customHeight="1" x14ac:dyDescent="0.3">
      <c r="A1498" s="46">
        <v>1495</v>
      </c>
      <c r="B1498" s="57" t="str">
        <f>IF(Tabla1[[#This Row],[TRABAJADOR]]="", "", VLOOKUP(Tabla1[[#This Row],[TRABAJADOR]], 'Colaborador ID'!B:C, 2, FALSE))</f>
        <v/>
      </c>
      <c r="C1498" s="56"/>
      <c r="D1498" s="57"/>
      <c r="E1498" s="57"/>
      <c r="F1498" s="60" t="e" vm="1">
        <v>#VALUE!</v>
      </c>
      <c r="G1498" s="62"/>
      <c r="H1498" s="60" t="e" vm="3">
        <v>#VALUE!</v>
      </c>
      <c r="I1498" s="57"/>
      <c r="J1498" s="57"/>
      <c r="K1498" s="57"/>
      <c r="L1498" s="4"/>
      <c r="M1498" s="4"/>
    </row>
    <row r="1499" spans="1:13" ht="19.5" customHeight="1" x14ac:dyDescent="0.3">
      <c r="A1499" s="46">
        <v>1496</v>
      </c>
      <c r="B1499" s="57" t="str">
        <f>IF(Tabla1[[#This Row],[TRABAJADOR]]="", "", VLOOKUP(Tabla1[[#This Row],[TRABAJADOR]], 'Colaborador ID'!B:C, 2, FALSE))</f>
        <v/>
      </c>
      <c r="C1499" s="56"/>
      <c r="D1499" s="57"/>
      <c r="E1499" s="57"/>
      <c r="F1499" s="60" t="e" vm="1">
        <v>#VALUE!</v>
      </c>
      <c r="G1499" s="62"/>
      <c r="H1499" s="60" t="e" vm="3">
        <v>#VALUE!</v>
      </c>
      <c r="I1499" s="57"/>
      <c r="J1499" s="57"/>
      <c r="K1499" s="57"/>
      <c r="L1499" s="4"/>
      <c r="M1499" s="4"/>
    </row>
    <row r="1500" spans="1:13" ht="19.5" customHeight="1" x14ac:dyDescent="0.3">
      <c r="A1500" s="46">
        <v>1497</v>
      </c>
      <c r="B1500" s="57" t="str">
        <f>IF(Tabla1[[#This Row],[TRABAJADOR]]="", "", VLOOKUP(Tabla1[[#This Row],[TRABAJADOR]], 'Colaborador ID'!B:C, 2, FALSE))</f>
        <v/>
      </c>
      <c r="C1500" s="61"/>
      <c r="D1500" s="60"/>
      <c r="E1500" s="60"/>
      <c r="F1500" s="60" t="e" vm="1">
        <v>#VALUE!</v>
      </c>
      <c r="G1500" s="62"/>
      <c r="H1500" s="60" t="e" vm="3">
        <v>#VALUE!</v>
      </c>
      <c r="I1500" s="60"/>
      <c r="J1500" s="60"/>
      <c r="K1500" s="60"/>
      <c r="L1500" s="4"/>
      <c r="M1500" s="4"/>
    </row>
    <row r="1501" spans="1:13" ht="19.5" customHeight="1" x14ac:dyDescent="0.3">
      <c r="A1501" s="46">
        <v>1498</v>
      </c>
      <c r="B1501" s="57" t="str">
        <f>IF(Tabla1[[#This Row],[TRABAJADOR]]="", "", VLOOKUP(Tabla1[[#This Row],[TRABAJADOR]], 'Colaborador ID'!B:C, 2, FALSE))</f>
        <v/>
      </c>
      <c r="C1501" s="56"/>
      <c r="D1501" s="57"/>
      <c r="E1501" s="57"/>
      <c r="F1501" s="57"/>
      <c r="G1501" s="58"/>
      <c r="H1501" s="58"/>
      <c r="I1501" s="57"/>
      <c r="J1501" s="57"/>
      <c r="K1501" s="57"/>
      <c r="L1501" s="4"/>
      <c r="M1501" s="4"/>
    </row>
    <row r="1502" spans="1:13" ht="19.5" customHeight="1" x14ac:dyDescent="0.3">
      <c r="A1502" s="46">
        <v>1499</v>
      </c>
      <c r="B1502" s="57" t="str">
        <f>IF(Tabla1[[#This Row],[TRABAJADOR]]="", "", VLOOKUP(Tabla1[[#This Row],[TRABAJADOR]], 'Colaborador ID'!B:C, 2, FALSE))</f>
        <v/>
      </c>
      <c r="C1502" s="56"/>
      <c r="D1502" s="57"/>
      <c r="E1502" s="57"/>
      <c r="F1502" s="57"/>
      <c r="G1502" s="58"/>
      <c r="H1502" s="58"/>
      <c r="I1502" s="57"/>
      <c r="J1502" s="57"/>
      <c r="K1502" s="57"/>
    </row>
    <row r="1503" spans="1:13" ht="19.5" customHeight="1" x14ac:dyDescent="0.3">
      <c r="A1503" s="46">
        <v>1500</v>
      </c>
      <c r="B1503" s="57" t="str">
        <f>IF(Tabla1[[#This Row],[TRABAJADOR]]="", "", VLOOKUP(Tabla1[[#This Row],[TRABAJADOR]], 'Colaborador ID'!B:C, 2, FALSE))</f>
        <v/>
      </c>
      <c r="C1503" s="56"/>
      <c r="D1503" s="57"/>
      <c r="E1503" s="57"/>
      <c r="F1503" s="57"/>
      <c r="G1503" s="58"/>
      <c r="H1503" s="58"/>
      <c r="I1503" s="57"/>
      <c r="J1503" s="57"/>
      <c r="K1503" s="57"/>
    </row>
    <row r="1504" spans="1:13" ht="19.5" customHeight="1" x14ac:dyDescent="0.3">
      <c r="A1504" s="46">
        <v>1501</v>
      </c>
      <c r="B1504" s="57" t="str">
        <f>IF(Tabla1[[#This Row],[TRABAJADOR]]="", "", VLOOKUP(Tabla1[[#This Row],[TRABAJADOR]], 'Colaborador ID'!B:C, 2, FALSE))</f>
        <v/>
      </c>
      <c r="C1504" s="56"/>
      <c r="D1504" s="57"/>
      <c r="E1504" s="57"/>
      <c r="F1504" s="57"/>
      <c r="G1504" s="58"/>
      <c r="H1504" s="58"/>
      <c r="I1504" s="57"/>
      <c r="J1504" s="57"/>
      <c r="K1504" s="57"/>
    </row>
    <row r="1505" spans="1:11" ht="19.5" customHeight="1" x14ac:dyDescent="0.3">
      <c r="A1505" s="46">
        <v>1502</v>
      </c>
      <c r="B1505" s="57" t="str">
        <f>IF(Tabla1[[#This Row],[TRABAJADOR]]="", "", VLOOKUP(Tabla1[[#This Row],[TRABAJADOR]], 'Colaborador ID'!B:C, 2, FALSE))</f>
        <v/>
      </c>
      <c r="C1505" s="56"/>
      <c r="D1505" s="57"/>
      <c r="E1505" s="57"/>
      <c r="F1505" s="57"/>
      <c r="G1505" s="58"/>
      <c r="H1505" s="58"/>
      <c r="I1505" s="57"/>
      <c r="J1505" s="57"/>
      <c r="K1505" s="57"/>
    </row>
    <row r="1506" spans="1:11" ht="19.5" customHeight="1" x14ac:dyDescent="0.3">
      <c r="A1506" s="46">
        <v>1503</v>
      </c>
      <c r="B1506" s="57" t="str">
        <f>IF(Tabla1[[#This Row],[TRABAJADOR]]="", "", VLOOKUP(Tabla1[[#This Row],[TRABAJADOR]], 'Colaborador ID'!B:C, 2, FALSE))</f>
        <v/>
      </c>
      <c r="C1506" s="56"/>
      <c r="D1506" s="57"/>
      <c r="E1506" s="57"/>
      <c r="F1506" s="57"/>
      <c r="G1506" s="58"/>
      <c r="H1506" s="58"/>
      <c r="I1506" s="57"/>
      <c r="J1506" s="57"/>
      <c r="K1506" s="57"/>
    </row>
    <row r="1507" spans="1:11" ht="19.5" customHeight="1" x14ac:dyDescent="0.3">
      <c r="A1507" s="46">
        <v>1504</v>
      </c>
      <c r="B1507" s="57" t="str">
        <f>IF(Tabla1[[#This Row],[TRABAJADOR]]="", "", VLOOKUP(Tabla1[[#This Row],[TRABAJADOR]], 'Colaborador ID'!B:C, 2, FALSE))</f>
        <v/>
      </c>
      <c r="C1507" s="56"/>
      <c r="D1507" s="57"/>
      <c r="E1507" s="57"/>
      <c r="F1507" s="57"/>
      <c r="G1507" s="58"/>
      <c r="H1507" s="58"/>
      <c r="I1507" s="57"/>
      <c r="J1507" s="57"/>
      <c r="K1507" s="57"/>
    </row>
    <row r="1508" spans="1:11" ht="19.5" customHeight="1" x14ac:dyDescent="0.3">
      <c r="A1508" s="46">
        <v>1505</v>
      </c>
      <c r="B1508" s="57" t="str">
        <f>IF(Tabla1[[#This Row],[TRABAJADOR]]="", "", VLOOKUP(Tabla1[[#This Row],[TRABAJADOR]], 'Colaborador ID'!B:C, 2, FALSE))</f>
        <v/>
      </c>
      <c r="C1508" s="56"/>
      <c r="D1508" s="57"/>
      <c r="E1508" s="57"/>
      <c r="F1508" s="57"/>
      <c r="G1508" s="58"/>
      <c r="H1508" s="58"/>
      <c r="I1508" s="57"/>
      <c r="J1508" s="57"/>
      <c r="K1508" s="57"/>
    </row>
    <row r="1509" spans="1:11" ht="19.5" customHeight="1" x14ac:dyDescent="0.3">
      <c r="A1509" s="46">
        <v>1506</v>
      </c>
      <c r="B1509" s="57" t="str">
        <f>IF(Tabla1[[#This Row],[TRABAJADOR]]="", "", VLOOKUP(Tabla1[[#This Row],[TRABAJADOR]], 'Colaborador ID'!B:C, 2, FALSE))</f>
        <v/>
      </c>
      <c r="C1509" s="56"/>
      <c r="D1509" s="57"/>
      <c r="E1509" s="57"/>
      <c r="F1509" s="57"/>
      <c r="G1509" s="58"/>
      <c r="H1509" s="58"/>
      <c r="I1509" s="57"/>
      <c r="J1509" s="57"/>
      <c r="K1509" s="57"/>
    </row>
    <row r="1510" spans="1:11" ht="19.5" customHeight="1" x14ac:dyDescent="0.3">
      <c r="A1510" s="46">
        <v>1507</v>
      </c>
      <c r="B1510" s="57" t="str">
        <f>IF(Tabla1[[#This Row],[TRABAJADOR]]="", "", VLOOKUP(Tabla1[[#This Row],[TRABAJADOR]], 'Colaborador ID'!B:C, 2, FALSE))</f>
        <v/>
      </c>
      <c r="C1510" s="56"/>
      <c r="D1510" s="57"/>
      <c r="E1510" s="57"/>
      <c r="F1510" s="57"/>
      <c r="G1510" s="58"/>
      <c r="H1510" s="58"/>
      <c r="I1510" s="57"/>
      <c r="J1510" s="57"/>
      <c r="K1510" s="57"/>
    </row>
    <row r="1511" spans="1:11" ht="19.5" customHeight="1" x14ac:dyDescent="0.3">
      <c r="A1511" s="46">
        <v>1508</v>
      </c>
      <c r="B1511" s="57" t="str">
        <f>IF(Tabla1[[#This Row],[TRABAJADOR]]="", "", VLOOKUP(Tabla1[[#This Row],[TRABAJADOR]], 'Colaborador ID'!B:C, 2, FALSE))</f>
        <v/>
      </c>
      <c r="C1511" s="56"/>
      <c r="D1511" s="57"/>
      <c r="E1511" s="57"/>
      <c r="F1511" s="57"/>
      <c r="G1511" s="58"/>
      <c r="H1511" s="58"/>
      <c r="I1511" s="57"/>
      <c r="J1511" s="57"/>
      <c r="K1511" s="57"/>
    </row>
    <row r="1512" spans="1:11" ht="19.5" customHeight="1" x14ac:dyDescent="0.3">
      <c r="A1512" s="46">
        <v>1509</v>
      </c>
      <c r="B1512" s="57" t="str">
        <f>IF(Tabla1[[#This Row],[TRABAJADOR]]="", "", VLOOKUP(Tabla1[[#This Row],[TRABAJADOR]], 'Colaborador ID'!B:C, 2, FALSE))</f>
        <v/>
      </c>
      <c r="C1512" s="56"/>
      <c r="D1512" s="57"/>
      <c r="E1512" s="57"/>
      <c r="F1512" s="57"/>
      <c r="G1512" s="58"/>
      <c r="H1512" s="58"/>
      <c r="I1512" s="57"/>
      <c r="J1512" s="57"/>
      <c r="K1512" s="57"/>
    </row>
    <row r="1513" spans="1:11" ht="19.5" customHeight="1" x14ac:dyDescent="0.3">
      <c r="A1513" s="46">
        <v>1510</v>
      </c>
      <c r="B1513" s="57" t="str">
        <f>IF(Tabla1[[#This Row],[TRABAJADOR]]="", "", VLOOKUP(Tabla1[[#This Row],[TRABAJADOR]], 'Colaborador ID'!B:C, 2, FALSE))</f>
        <v/>
      </c>
      <c r="C1513" s="56"/>
      <c r="D1513" s="57"/>
      <c r="E1513" s="57"/>
      <c r="F1513" s="57"/>
      <c r="G1513" s="58"/>
      <c r="H1513" s="58"/>
      <c r="I1513" s="57"/>
      <c r="J1513" s="57"/>
      <c r="K1513" s="57"/>
    </row>
    <row r="1514" spans="1:11" ht="19.5" customHeight="1" x14ac:dyDescent="0.3">
      <c r="A1514" s="46">
        <v>1511</v>
      </c>
      <c r="B1514" s="57" t="str">
        <f>IF(Tabla1[[#This Row],[TRABAJADOR]]="", "", VLOOKUP(Tabla1[[#This Row],[TRABAJADOR]], 'Colaborador ID'!B:C, 2, FALSE))</f>
        <v/>
      </c>
      <c r="C1514" s="56"/>
      <c r="D1514" s="57"/>
      <c r="E1514" s="57"/>
      <c r="F1514" s="57"/>
      <c r="G1514" s="58"/>
      <c r="H1514" s="58"/>
      <c r="I1514" s="57"/>
      <c r="J1514" s="57"/>
      <c r="K1514" s="57"/>
    </row>
    <row r="1515" spans="1:11" ht="19.5" customHeight="1" x14ac:dyDescent="0.3">
      <c r="A1515" s="46">
        <v>1512</v>
      </c>
      <c r="B1515" s="57" t="str">
        <f>IF(Tabla1[[#This Row],[TRABAJADOR]]="", "", VLOOKUP(Tabla1[[#This Row],[TRABAJADOR]], 'Colaborador ID'!B:C, 2, FALSE))</f>
        <v/>
      </c>
      <c r="C1515" s="56"/>
      <c r="D1515" s="57"/>
      <c r="E1515" s="57"/>
      <c r="F1515" s="57"/>
      <c r="G1515" s="58"/>
      <c r="H1515" s="58"/>
      <c r="I1515" s="57"/>
      <c r="J1515" s="57"/>
      <c r="K1515" s="57"/>
    </row>
    <row r="1516" spans="1:11" ht="19.5" customHeight="1" x14ac:dyDescent="0.3">
      <c r="A1516" s="46">
        <v>1513</v>
      </c>
      <c r="B1516" s="57" t="str">
        <f>IF(Tabla1[[#This Row],[TRABAJADOR]]="", "", VLOOKUP(Tabla1[[#This Row],[TRABAJADOR]], 'Colaborador ID'!B:C, 2, FALSE))</f>
        <v/>
      </c>
      <c r="C1516" s="56"/>
      <c r="D1516" s="57"/>
      <c r="E1516" s="57"/>
      <c r="F1516" s="57"/>
      <c r="G1516" s="58"/>
      <c r="H1516" s="58"/>
      <c r="I1516" s="57"/>
      <c r="J1516" s="57"/>
      <c r="K1516" s="57"/>
    </row>
    <row r="1517" spans="1:11" ht="19.5" customHeight="1" x14ac:dyDescent="0.3">
      <c r="A1517" s="46">
        <v>1514</v>
      </c>
      <c r="B1517" s="57" t="str">
        <f>IF(Tabla1[[#This Row],[TRABAJADOR]]="", "", VLOOKUP(Tabla1[[#This Row],[TRABAJADOR]], 'Colaborador ID'!B:C, 2, FALSE))</f>
        <v/>
      </c>
      <c r="C1517" s="56"/>
      <c r="D1517" s="57"/>
      <c r="E1517" s="57"/>
      <c r="F1517" s="57"/>
      <c r="G1517" s="58"/>
      <c r="H1517" s="58"/>
      <c r="I1517" s="57"/>
      <c r="J1517" s="57"/>
      <c r="K1517" s="57"/>
    </row>
    <row r="1518" spans="1:11" ht="19.5" customHeight="1" x14ac:dyDescent="0.3">
      <c r="A1518" s="46">
        <v>1515</v>
      </c>
      <c r="B1518" s="57" t="str">
        <f>IF(Tabla1[[#This Row],[TRABAJADOR]]="", "", VLOOKUP(Tabla1[[#This Row],[TRABAJADOR]], 'Colaborador ID'!B:C, 2, FALSE))</f>
        <v/>
      </c>
      <c r="C1518" s="56"/>
      <c r="D1518" s="57"/>
      <c r="E1518" s="57"/>
      <c r="F1518" s="57"/>
      <c r="G1518" s="58"/>
      <c r="H1518" s="58"/>
      <c r="I1518" s="57"/>
      <c r="J1518" s="57"/>
      <c r="K1518" s="57"/>
    </row>
    <row r="1519" spans="1:11" ht="19.5" customHeight="1" x14ac:dyDescent="0.3">
      <c r="A1519" s="46">
        <v>1516</v>
      </c>
      <c r="B1519" s="57" t="str">
        <f>IF(Tabla1[[#This Row],[TRABAJADOR]]="", "", VLOOKUP(Tabla1[[#This Row],[TRABAJADOR]], 'Colaborador ID'!B:C, 2, FALSE))</f>
        <v/>
      </c>
      <c r="C1519" s="56"/>
      <c r="D1519" s="57"/>
      <c r="E1519" s="57"/>
      <c r="F1519" s="57"/>
      <c r="G1519" s="58"/>
      <c r="H1519" s="58"/>
      <c r="I1519" s="57"/>
      <c r="J1519" s="57"/>
      <c r="K1519" s="57"/>
    </row>
    <row r="1520" spans="1:11" ht="19.5" customHeight="1" x14ac:dyDescent="0.3">
      <c r="A1520" s="46">
        <v>1517</v>
      </c>
      <c r="B1520" s="57" t="str">
        <f>IF(Tabla1[[#This Row],[TRABAJADOR]]="", "", VLOOKUP(Tabla1[[#This Row],[TRABAJADOR]], 'Colaborador ID'!B:C, 2, FALSE))</f>
        <v/>
      </c>
      <c r="C1520" s="56"/>
      <c r="D1520" s="57"/>
      <c r="E1520" s="57"/>
      <c r="F1520" s="57"/>
      <c r="G1520" s="58"/>
      <c r="H1520" s="58"/>
      <c r="I1520" s="57"/>
      <c r="J1520" s="57"/>
      <c r="K1520" s="57"/>
    </row>
    <row r="1521" spans="1:11" ht="19.5" customHeight="1" x14ac:dyDescent="0.3">
      <c r="A1521" s="46">
        <v>1518</v>
      </c>
      <c r="B1521" s="57" t="str">
        <f>IF(Tabla1[[#This Row],[TRABAJADOR]]="", "", VLOOKUP(Tabla1[[#This Row],[TRABAJADOR]], 'Colaborador ID'!B:C, 2, FALSE))</f>
        <v/>
      </c>
      <c r="C1521" s="56"/>
      <c r="D1521" s="57"/>
      <c r="E1521" s="57"/>
      <c r="F1521" s="57"/>
      <c r="G1521" s="58"/>
      <c r="H1521" s="58"/>
      <c r="I1521" s="57"/>
      <c r="J1521" s="57"/>
      <c r="K1521" s="57"/>
    </row>
    <row r="1522" spans="1:11" ht="19.5" customHeight="1" x14ac:dyDescent="0.3">
      <c r="A1522" s="46">
        <v>1519</v>
      </c>
      <c r="B1522" s="57" t="str">
        <f>IF(Tabla1[[#This Row],[TRABAJADOR]]="", "", VLOOKUP(Tabla1[[#This Row],[TRABAJADOR]], 'Colaborador ID'!B:C, 2, FALSE))</f>
        <v/>
      </c>
      <c r="C1522" s="56"/>
      <c r="D1522" s="57"/>
      <c r="E1522" s="57"/>
      <c r="F1522" s="57"/>
      <c r="G1522" s="58"/>
      <c r="H1522" s="58"/>
      <c r="I1522" s="57"/>
      <c r="J1522" s="57"/>
      <c r="K1522" s="57"/>
    </row>
    <row r="1523" spans="1:11" ht="19.5" customHeight="1" x14ac:dyDescent="0.3">
      <c r="A1523" s="46">
        <v>1520</v>
      </c>
      <c r="B1523" s="57" t="str">
        <f>IF(Tabla1[[#This Row],[TRABAJADOR]]="", "", VLOOKUP(Tabla1[[#This Row],[TRABAJADOR]], 'Colaborador ID'!B:C, 2, FALSE))</f>
        <v/>
      </c>
      <c r="C1523" s="56"/>
      <c r="D1523" s="57"/>
      <c r="E1523" s="57"/>
      <c r="F1523" s="57"/>
      <c r="G1523" s="58"/>
      <c r="H1523" s="58"/>
      <c r="I1523" s="57"/>
      <c r="J1523" s="57"/>
      <c r="K1523" s="57"/>
    </row>
    <row r="1524" spans="1:11" ht="19.5" customHeight="1" x14ac:dyDescent="0.3">
      <c r="A1524" s="46">
        <v>1521</v>
      </c>
      <c r="B1524" s="57" t="str">
        <f>IF(Tabla1[[#This Row],[TRABAJADOR]]="", "", VLOOKUP(Tabla1[[#This Row],[TRABAJADOR]], 'Colaborador ID'!B:C, 2, FALSE))</f>
        <v/>
      </c>
      <c r="C1524" s="56"/>
      <c r="D1524" s="57"/>
      <c r="E1524" s="57"/>
      <c r="F1524" s="57"/>
      <c r="G1524" s="58"/>
      <c r="H1524" s="58"/>
      <c r="I1524" s="57"/>
      <c r="J1524" s="57"/>
      <c r="K1524" s="57"/>
    </row>
    <row r="1525" spans="1:11" ht="19.5" customHeight="1" x14ac:dyDescent="0.3">
      <c r="A1525" s="46">
        <v>1522</v>
      </c>
      <c r="B1525" s="57" t="str">
        <f>IF(Tabla1[[#This Row],[TRABAJADOR]]="", "", VLOOKUP(Tabla1[[#This Row],[TRABAJADOR]], 'Colaborador ID'!B:C, 2, FALSE))</f>
        <v/>
      </c>
      <c r="C1525" s="56"/>
      <c r="D1525" s="57"/>
      <c r="E1525" s="57"/>
      <c r="F1525" s="57"/>
      <c r="G1525" s="58"/>
      <c r="H1525" s="58"/>
      <c r="I1525" s="57"/>
      <c r="J1525" s="57"/>
      <c r="K1525" s="57"/>
    </row>
    <row r="1526" spans="1:11" ht="19.5" customHeight="1" x14ac:dyDescent="0.3">
      <c r="A1526" s="46">
        <v>1523</v>
      </c>
      <c r="B1526" s="57" t="str">
        <f>IF(Tabla1[[#This Row],[TRABAJADOR]]="", "", VLOOKUP(Tabla1[[#This Row],[TRABAJADOR]], 'Colaborador ID'!B:C, 2, FALSE))</f>
        <v/>
      </c>
      <c r="C1526" s="56"/>
      <c r="D1526" s="57"/>
      <c r="E1526" s="57"/>
      <c r="F1526" s="57"/>
      <c r="G1526" s="58"/>
      <c r="H1526" s="58"/>
      <c r="I1526" s="57"/>
      <c r="J1526" s="57"/>
      <c r="K1526" s="57"/>
    </row>
    <row r="1527" spans="1:11" ht="19.5" customHeight="1" x14ac:dyDescent="0.3">
      <c r="A1527" s="46">
        <v>1524</v>
      </c>
      <c r="B1527" s="57" t="str">
        <f>IF(Tabla1[[#This Row],[TRABAJADOR]]="", "", VLOOKUP(Tabla1[[#This Row],[TRABAJADOR]], 'Colaborador ID'!B:C, 2, FALSE))</f>
        <v/>
      </c>
      <c r="C1527" s="56"/>
      <c r="D1527" s="57"/>
      <c r="E1527" s="57"/>
      <c r="F1527" s="57"/>
      <c r="G1527" s="58"/>
      <c r="H1527" s="58"/>
      <c r="I1527" s="57"/>
      <c r="J1527" s="57"/>
      <c r="K1527" s="57"/>
    </row>
    <row r="1528" spans="1:11" ht="19.5" customHeight="1" x14ac:dyDescent="0.3">
      <c r="A1528" s="46">
        <v>1525</v>
      </c>
      <c r="B1528" s="57" t="str">
        <f>IF(Tabla1[[#This Row],[TRABAJADOR]]="", "", VLOOKUP(Tabla1[[#This Row],[TRABAJADOR]], 'Colaborador ID'!B:C, 2, FALSE))</f>
        <v/>
      </c>
      <c r="C1528" s="56"/>
      <c r="D1528" s="57"/>
      <c r="E1528" s="57"/>
      <c r="F1528" s="57"/>
      <c r="G1528" s="58"/>
      <c r="H1528" s="58"/>
      <c r="I1528" s="57"/>
      <c r="J1528" s="57"/>
      <c r="K1528" s="57"/>
    </row>
    <row r="1529" spans="1:11" ht="19.5" customHeight="1" x14ac:dyDescent="0.3">
      <c r="A1529" s="46">
        <v>1526</v>
      </c>
      <c r="B1529" s="57" t="str">
        <f>IF(Tabla1[[#This Row],[TRABAJADOR]]="", "", VLOOKUP(Tabla1[[#This Row],[TRABAJADOR]], 'Colaborador ID'!B:C, 2, FALSE))</f>
        <v/>
      </c>
      <c r="C1529" s="56"/>
      <c r="D1529" s="57"/>
      <c r="E1529" s="57"/>
      <c r="F1529" s="57"/>
      <c r="G1529" s="58"/>
      <c r="H1529" s="58"/>
      <c r="I1529" s="57"/>
      <c r="J1529" s="57"/>
      <c r="K1529" s="57"/>
    </row>
    <row r="1530" spans="1:11" ht="19.5" customHeight="1" x14ac:dyDescent="0.3">
      <c r="A1530" s="46">
        <v>1527</v>
      </c>
      <c r="B1530" s="57" t="str">
        <f>IF(Tabla1[[#This Row],[TRABAJADOR]]="", "", VLOOKUP(Tabla1[[#This Row],[TRABAJADOR]], 'Colaborador ID'!B:C, 2, FALSE))</f>
        <v/>
      </c>
      <c r="C1530" s="56"/>
      <c r="D1530" s="57"/>
      <c r="E1530" s="57"/>
      <c r="F1530" s="57"/>
      <c r="G1530" s="58"/>
      <c r="H1530" s="58"/>
      <c r="I1530" s="57"/>
      <c r="J1530" s="57"/>
      <c r="K1530" s="57"/>
    </row>
    <row r="1531" spans="1:11" ht="19.5" customHeight="1" x14ac:dyDescent="0.3">
      <c r="A1531" s="46">
        <v>1528</v>
      </c>
      <c r="B1531" s="57" t="str">
        <f>IF(Tabla1[[#This Row],[TRABAJADOR]]="", "", VLOOKUP(Tabla1[[#This Row],[TRABAJADOR]], 'Colaborador ID'!B:C, 2, FALSE))</f>
        <v/>
      </c>
      <c r="C1531" s="56"/>
      <c r="D1531" s="57"/>
      <c r="E1531" s="57"/>
      <c r="F1531" s="57"/>
      <c r="G1531" s="58"/>
      <c r="H1531" s="58"/>
      <c r="I1531" s="57"/>
      <c r="J1531" s="57"/>
      <c r="K1531" s="57"/>
    </row>
    <row r="1532" spans="1:11" ht="19.5" customHeight="1" x14ac:dyDescent="0.3">
      <c r="A1532" s="46">
        <v>1529</v>
      </c>
      <c r="B1532" s="57" t="str">
        <f>IF(Tabla1[[#This Row],[TRABAJADOR]]="", "", VLOOKUP(Tabla1[[#This Row],[TRABAJADOR]], 'Colaborador ID'!B:C, 2, FALSE))</f>
        <v/>
      </c>
      <c r="C1532" s="56"/>
      <c r="D1532" s="57"/>
      <c r="E1532" s="57"/>
      <c r="F1532" s="57"/>
      <c r="G1532" s="58"/>
      <c r="H1532" s="58"/>
      <c r="I1532" s="57"/>
      <c r="J1532" s="57"/>
      <c r="K1532" s="57"/>
    </row>
    <row r="1533" spans="1:11" ht="19.5" customHeight="1" x14ac:dyDescent="0.3">
      <c r="A1533" s="46">
        <v>1530</v>
      </c>
      <c r="B1533" s="57" t="str">
        <f>IF(Tabla1[[#This Row],[TRABAJADOR]]="", "", VLOOKUP(Tabla1[[#This Row],[TRABAJADOR]], 'Colaborador ID'!B:C, 2, FALSE))</f>
        <v/>
      </c>
      <c r="C1533" s="56"/>
      <c r="D1533" s="57"/>
      <c r="E1533" s="57"/>
      <c r="F1533" s="57"/>
      <c r="G1533" s="58"/>
      <c r="H1533" s="58"/>
      <c r="I1533" s="57"/>
      <c r="J1533" s="57"/>
      <c r="K1533" s="57"/>
    </row>
    <row r="1534" spans="1:11" ht="19.5" customHeight="1" x14ac:dyDescent="0.3">
      <c r="A1534" s="46">
        <v>1531</v>
      </c>
      <c r="B1534" s="57" t="str">
        <f>IF(Tabla1[[#This Row],[TRABAJADOR]]="", "", VLOOKUP(Tabla1[[#This Row],[TRABAJADOR]], 'Colaborador ID'!B:C, 2, FALSE))</f>
        <v/>
      </c>
      <c r="C1534" s="56"/>
      <c r="D1534" s="57"/>
      <c r="E1534" s="57"/>
      <c r="F1534" s="57"/>
      <c r="G1534" s="58"/>
      <c r="H1534" s="58"/>
      <c r="I1534" s="57"/>
      <c r="J1534" s="57"/>
      <c r="K1534" s="57"/>
    </row>
    <row r="1535" spans="1:11" ht="19.5" customHeight="1" x14ac:dyDescent="0.3">
      <c r="A1535" s="46">
        <v>1532</v>
      </c>
      <c r="B1535" s="57" t="str">
        <f>IF(Tabla1[[#This Row],[TRABAJADOR]]="", "", VLOOKUP(Tabla1[[#This Row],[TRABAJADOR]], 'Colaborador ID'!B:C, 2, FALSE))</f>
        <v/>
      </c>
      <c r="C1535" s="56"/>
      <c r="D1535" s="57"/>
      <c r="E1535" s="57"/>
      <c r="F1535" s="57"/>
      <c r="G1535" s="58"/>
      <c r="H1535" s="58"/>
      <c r="I1535" s="57"/>
      <c r="J1535" s="57"/>
      <c r="K1535" s="57"/>
    </row>
    <row r="1536" spans="1:11" ht="19.5" customHeight="1" x14ac:dyDescent="0.3">
      <c r="A1536" s="46">
        <v>1533</v>
      </c>
      <c r="B1536" s="57" t="str">
        <f>IF(Tabla1[[#This Row],[TRABAJADOR]]="", "", VLOOKUP(Tabla1[[#This Row],[TRABAJADOR]], 'Colaborador ID'!B:C, 2, FALSE))</f>
        <v/>
      </c>
      <c r="C1536" s="56"/>
      <c r="D1536" s="57"/>
      <c r="E1536" s="57"/>
      <c r="F1536" s="57"/>
      <c r="G1536" s="58"/>
      <c r="H1536" s="58"/>
      <c r="I1536" s="57"/>
      <c r="J1536" s="57"/>
      <c r="K1536" s="57"/>
    </row>
    <row r="1537" spans="1:11" ht="19.5" customHeight="1" x14ac:dyDescent="0.3">
      <c r="A1537" s="46">
        <v>1534</v>
      </c>
      <c r="B1537" s="57" t="str">
        <f>IF(Tabla1[[#This Row],[TRABAJADOR]]="", "", VLOOKUP(Tabla1[[#This Row],[TRABAJADOR]], 'Colaborador ID'!B:C, 2, FALSE))</f>
        <v/>
      </c>
      <c r="C1537" s="56"/>
      <c r="D1537" s="57"/>
      <c r="E1537" s="57"/>
      <c r="F1537" s="57"/>
      <c r="G1537" s="58"/>
      <c r="H1537" s="58"/>
      <c r="I1537" s="57"/>
      <c r="J1537" s="57"/>
      <c r="K1537" s="57"/>
    </row>
    <row r="1538" spans="1:11" ht="19.5" customHeight="1" x14ac:dyDescent="0.3">
      <c r="A1538" s="46">
        <v>1535</v>
      </c>
      <c r="B1538" s="57" t="str">
        <f>IF(Tabla1[[#This Row],[TRABAJADOR]]="", "", VLOOKUP(Tabla1[[#This Row],[TRABAJADOR]], 'Colaborador ID'!B:C, 2, FALSE))</f>
        <v/>
      </c>
      <c r="C1538" s="56"/>
      <c r="D1538" s="57"/>
      <c r="E1538" s="57"/>
      <c r="F1538" s="57"/>
      <c r="G1538" s="58"/>
      <c r="H1538" s="58"/>
      <c r="I1538" s="57"/>
      <c r="J1538" s="57"/>
      <c r="K1538" s="57"/>
    </row>
    <row r="1539" spans="1:11" ht="19.5" customHeight="1" x14ac:dyDescent="0.3">
      <c r="A1539" s="46">
        <v>1536</v>
      </c>
      <c r="B1539" s="57" t="str">
        <f>IF(Tabla1[[#This Row],[TRABAJADOR]]="", "", VLOOKUP(Tabla1[[#This Row],[TRABAJADOR]], 'Colaborador ID'!B:C, 2, FALSE))</f>
        <v/>
      </c>
      <c r="C1539" s="56"/>
      <c r="D1539" s="57"/>
      <c r="E1539" s="57"/>
      <c r="F1539" s="57"/>
      <c r="G1539" s="58"/>
      <c r="H1539" s="58"/>
      <c r="I1539" s="57"/>
      <c r="J1539" s="57"/>
      <c r="K1539" s="57"/>
    </row>
    <row r="1540" spans="1:11" ht="19.5" customHeight="1" x14ac:dyDescent="0.3">
      <c r="A1540" s="46">
        <v>1537</v>
      </c>
      <c r="B1540" s="57" t="str">
        <f>IF(Tabla1[[#This Row],[TRABAJADOR]]="", "", VLOOKUP(Tabla1[[#This Row],[TRABAJADOR]], 'Colaborador ID'!B:C, 2, FALSE))</f>
        <v/>
      </c>
      <c r="C1540" s="56"/>
      <c r="D1540" s="57"/>
      <c r="E1540" s="57"/>
      <c r="F1540" s="57"/>
      <c r="G1540" s="58"/>
      <c r="H1540" s="58"/>
      <c r="I1540" s="57"/>
      <c r="J1540" s="57"/>
      <c r="K1540" s="57"/>
    </row>
    <row r="1541" spans="1:11" ht="19.5" customHeight="1" x14ac:dyDescent="0.3">
      <c r="A1541" s="46">
        <v>1538</v>
      </c>
      <c r="B1541" s="57" t="str">
        <f>IF(Tabla1[[#This Row],[TRABAJADOR]]="", "", VLOOKUP(Tabla1[[#This Row],[TRABAJADOR]], 'Colaborador ID'!B:C, 2, FALSE))</f>
        <v/>
      </c>
      <c r="C1541" s="56"/>
      <c r="D1541" s="57"/>
      <c r="E1541" s="57"/>
      <c r="F1541" s="57"/>
      <c r="G1541" s="58"/>
      <c r="H1541" s="58"/>
      <c r="I1541" s="57"/>
      <c r="J1541" s="57"/>
      <c r="K1541" s="57"/>
    </row>
    <row r="1542" spans="1:11" ht="19.5" customHeight="1" x14ac:dyDescent="0.3">
      <c r="A1542" s="46">
        <v>1539</v>
      </c>
      <c r="B1542" s="57" t="str">
        <f>IF(Tabla1[[#This Row],[TRABAJADOR]]="", "", VLOOKUP(Tabla1[[#This Row],[TRABAJADOR]], 'Colaborador ID'!B:C, 2, FALSE))</f>
        <v/>
      </c>
      <c r="C1542" s="56"/>
      <c r="D1542" s="57"/>
      <c r="E1542" s="57"/>
      <c r="F1542" s="57"/>
      <c r="G1542" s="58"/>
      <c r="H1542" s="58"/>
      <c r="I1542" s="57"/>
      <c r="J1542" s="57"/>
      <c r="K1542" s="57"/>
    </row>
    <row r="1543" spans="1:11" ht="19.5" customHeight="1" x14ac:dyDescent="0.3">
      <c r="A1543" s="46">
        <v>1540</v>
      </c>
      <c r="B1543" s="57" t="str">
        <f>IF(Tabla1[[#This Row],[TRABAJADOR]]="", "", VLOOKUP(Tabla1[[#This Row],[TRABAJADOR]], 'Colaborador ID'!B:C, 2, FALSE))</f>
        <v/>
      </c>
      <c r="C1543" s="56"/>
      <c r="D1543" s="57"/>
      <c r="E1543" s="57"/>
      <c r="F1543" s="57"/>
      <c r="G1543" s="58"/>
      <c r="H1543" s="58"/>
      <c r="I1543" s="57"/>
      <c r="J1543" s="57"/>
      <c r="K1543" s="57"/>
    </row>
    <row r="1544" spans="1:11" ht="19.5" customHeight="1" x14ac:dyDescent="0.3">
      <c r="A1544" s="46">
        <v>1541</v>
      </c>
      <c r="B1544" s="57" t="str">
        <f>IF(Tabla1[[#This Row],[TRABAJADOR]]="", "", VLOOKUP(Tabla1[[#This Row],[TRABAJADOR]], 'Colaborador ID'!B:C, 2, FALSE))</f>
        <v/>
      </c>
      <c r="C1544" s="56"/>
      <c r="D1544" s="57"/>
      <c r="E1544" s="57"/>
      <c r="F1544" s="57"/>
      <c r="G1544" s="58"/>
      <c r="H1544" s="58"/>
      <c r="I1544" s="57"/>
      <c r="J1544" s="57"/>
      <c r="K1544" s="57"/>
    </row>
    <row r="1545" spans="1:11" ht="19.5" customHeight="1" x14ac:dyDescent="0.3">
      <c r="A1545" s="46">
        <v>1542</v>
      </c>
      <c r="B1545" s="57" t="str">
        <f>IF(Tabla1[[#This Row],[TRABAJADOR]]="", "", VLOOKUP(Tabla1[[#This Row],[TRABAJADOR]], 'Colaborador ID'!B:C, 2, FALSE))</f>
        <v/>
      </c>
      <c r="C1545" s="56"/>
      <c r="D1545" s="57"/>
      <c r="E1545" s="57"/>
      <c r="F1545" s="57"/>
      <c r="G1545" s="58"/>
      <c r="H1545" s="58"/>
      <c r="I1545" s="57"/>
      <c r="J1545" s="57"/>
      <c r="K1545" s="57"/>
    </row>
    <row r="1546" spans="1:11" ht="19.5" customHeight="1" x14ac:dyDescent="0.3">
      <c r="A1546" s="46">
        <v>1543</v>
      </c>
      <c r="B1546" s="57" t="str">
        <f>IF(Tabla1[[#This Row],[TRABAJADOR]]="", "", VLOOKUP(Tabla1[[#This Row],[TRABAJADOR]], 'Colaborador ID'!B:C, 2, FALSE))</f>
        <v/>
      </c>
      <c r="C1546" s="56"/>
      <c r="D1546" s="57"/>
      <c r="E1546" s="57"/>
      <c r="F1546" s="57"/>
      <c r="G1546" s="58"/>
      <c r="H1546" s="58"/>
      <c r="I1546" s="57"/>
      <c r="J1546" s="57"/>
      <c r="K1546" s="57"/>
    </row>
    <row r="1547" spans="1:11" ht="19.5" customHeight="1" x14ac:dyDescent="0.3">
      <c r="A1547" s="46">
        <v>1544</v>
      </c>
      <c r="B1547" s="57" t="str">
        <f>IF(Tabla1[[#This Row],[TRABAJADOR]]="", "", VLOOKUP(Tabla1[[#This Row],[TRABAJADOR]], 'Colaborador ID'!B:C, 2, FALSE))</f>
        <v/>
      </c>
      <c r="C1547" s="56"/>
      <c r="D1547" s="57"/>
      <c r="E1547" s="57"/>
      <c r="F1547" s="57"/>
      <c r="G1547" s="58"/>
      <c r="H1547" s="58"/>
      <c r="I1547" s="57"/>
      <c r="J1547" s="57"/>
      <c r="K1547" s="57"/>
    </row>
    <row r="1548" spans="1:11" ht="19.5" customHeight="1" x14ac:dyDescent="0.3">
      <c r="A1548" s="46">
        <v>1545</v>
      </c>
      <c r="B1548" s="57" t="str">
        <f>IF(Tabla1[[#This Row],[TRABAJADOR]]="", "", VLOOKUP(Tabla1[[#This Row],[TRABAJADOR]], 'Colaborador ID'!B:C, 2, FALSE))</f>
        <v/>
      </c>
      <c r="C1548" s="56"/>
      <c r="D1548" s="57"/>
      <c r="E1548" s="57"/>
      <c r="F1548" s="57"/>
      <c r="G1548" s="58"/>
      <c r="H1548" s="58"/>
      <c r="I1548" s="57"/>
      <c r="J1548" s="57"/>
      <c r="K1548" s="57"/>
    </row>
    <row r="1549" spans="1:11" ht="19.5" customHeight="1" x14ac:dyDescent="0.3">
      <c r="A1549" s="46">
        <v>1546</v>
      </c>
      <c r="B1549" s="57" t="str">
        <f>IF(Tabla1[[#This Row],[TRABAJADOR]]="", "", VLOOKUP(Tabla1[[#This Row],[TRABAJADOR]], 'Colaborador ID'!B:C, 2, FALSE))</f>
        <v/>
      </c>
      <c r="C1549" s="56"/>
      <c r="D1549" s="57"/>
      <c r="E1549" s="57"/>
      <c r="F1549" s="57"/>
      <c r="G1549" s="58"/>
      <c r="H1549" s="58"/>
      <c r="I1549" s="57"/>
      <c r="J1549" s="57"/>
      <c r="K1549" s="57"/>
    </row>
    <row r="1550" spans="1:11" ht="19.5" customHeight="1" x14ac:dyDescent="0.3">
      <c r="A1550" s="46">
        <v>1547</v>
      </c>
      <c r="B1550" s="57" t="str">
        <f>IF(Tabla1[[#This Row],[TRABAJADOR]]="", "", VLOOKUP(Tabla1[[#This Row],[TRABAJADOR]], 'Colaborador ID'!B:C, 2, FALSE))</f>
        <v/>
      </c>
      <c r="C1550" s="56"/>
      <c r="D1550" s="57"/>
      <c r="E1550" s="57"/>
      <c r="F1550" s="57"/>
      <c r="G1550" s="58"/>
      <c r="H1550" s="58"/>
      <c r="I1550" s="57"/>
      <c r="J1550" s="57"/>
      <c r="K1550" s="57"/>
    </row>
    <row r="1551" spans="1:11" ht="19.5" customHeight="1" x14ac:dyDescent="0.3">
      <c r="A1551" s="46">
        <v>1548</v>
      </c>
      <c r="B1551" s="57" t="str">
        <f>IF(Tabla1[[#This Row],[TRABAJADOR]]="", "", VLOOKUP(Tabla1[[#This Row],[TRABAJADOR]], 'Colaborador ID'!B:C, 2, FALSE))</f>
        <v/>
      </c>
      <c r="C1551" s="56"/>
      <c r="D1551" s="57"/>
      <c r="E1551" s="57"/>
      <c r="F1551" s="57"/>
      <c r="G1551" s="58"/>
      <c r="H1551" s="58"/>
      <c r="I1551" s="57"/>
      <c r="J1551" s="57"/>
      <c r="K1551" s="57"/>
    </row>
    <row r="1552" spans="1:11" ht="19.5" customHeight="1" x14ac:dyDescent="0.3">
      <c r="A1552" s="46">
        <v>1549</v>
      </c>
      <c r="B1552" s="57" t="str">
        <f>IF(Tabla1[[#This Row],[TRABAJADOR]]="", "", VLOOKUP(Tabla1[[#This Row],[TRABAJADOR]], 'Colaborador ID'!B:C, 2, FALSE))</f>
        <v/>
      </c>
      <c r="C1552" s="56"/>
      <c r="D1552" s="57"/>
      <c r="E1552" s="57"/>
      <c r="F1552" s="57"/>
      <c r="G1552" s="58"/>
      <c r="H1552" s="58"/>
      <c r="I1552" s="57"/>
      <c r="J1552" s="57"/>
      <c r="K1552" s="57"/>
    </row>
    <row r="1553" spans="1:11" ht="19.5" customHeight="1" x14ac:dyDescent="0.3">
      <c r="A1553" s="46">
        <v>1550</v>
      </c>
      <c r="B1553" s="57" t="str">
        <f>IF(Tabla1[[#This Row],[TRABAJADOR]]="", "", VLOOKUP(Tabla1[[#This Row],[TRABAJADOR]], 'Colaborador ID'!B:C, 2, FALSE))</f>
        <v/>
      </c>
      <c r="C1553" s="56"/>
      <c r="D1553" s="57"/>
      <c r="E1553" s="57"/>
      <c r="F1553" s="57"/>
      <c r="G1553" s="58"/>
      <c r="H1553" s="58"/>
      <c r="I1553" s="57"/>
      <c r="J1553" s="57"/>
      <c r="K1553" s="57"/>
    </row>
    <row r="1554" spans="1:11" ht="19.5" customHeight="1" x14ac:dyDescent="0.3">
      <c r="A1554" s="46">
        <v>1551</v>
      </c>
      <c r="B1554" s="57" t="str">
        <f>IF(Tabla1[[#This Row],[TRABAJADOR]]="", "", VLOOKUP(Tabla1[[#This Row],[TRABAJADOR]], 'Colaborador ID'!B:C, 2, FALSE))</f>
        <v/>
      </c>
      <c r="C1554" s="56"/>
      <c r="D1554" s="57"/>
      <c r="E1554" s="57"/>
      <c r="F1554" s="57"/>
      <c r="G1554" s="58"/>
      <c r="H1554" s="58"/>
      <c r="I1554" s="57"/>
      <c r="J1554" s="57"/>
      <c r="K1554" s="57"/>
    </row>
    <row r="1555" spans="1:11" ht="19.5" customHeight="1" x14ac:dyDescent="0.3">
      <c r="A1555" s="46">
        <v>1552</v>
      </c>
      <c r="B1555" s="57" t="str">
        <f>IF(Tabla1[[#This Row],[TRABAJADOR]]="", "", VLOOKUP(Tabla1[[#This Row],[TRABAJADOR]], 'Colaborador ID'!B:C, 2, FALSE))</f>
        <v/>
      </c>
      <c r="C1555" s="56"/>
      <c r="D1555" s="57"/>
      <c r="E1555" s="57"/>
      <c r="F1555" s="57"/>
      <c r="G1555" s="58"/>
      <c r="H1555" s="58"/>
      <c r="I1555" s="57"/>
      <c r="J1555" s="57"/>
      <c r="K1555" s="57"/>
    </row>
    <row r="1556" spans="1:11" ht="19.5" customHeight="1" x14ac:dyDescent="0.3">
      <c r="A1556" s="46">
        <v>1553</v>
      </c>
      <c r="B1556" s="57" t="str">
        <f>IF(Tabla1[[#This Row],[TRABAJADOR]]="", "", VLOOKUP(Tabla1[[#This Row],[TRABAJADOR]], 'Colaborador ID'!B:C, 2, FALSE))</f>
        <v/>
      </c>
      <c r="C1556" s="56"/>
      <c r="D1556" s="57"/>
      <c r="E1556" s="57"/>
      <c r="F1556" s="57"/>
      <c r="G1556" s="58"/>
      <c r="H1556" s="58"/>
      <c r="I1556" s="57"/>
      <c r="J1556" s="57"/>
      <c r="K1556" s="57"/>
    </row>
    <row r="1557" spans="1:11" ht="19.5" customHeight="1" x14ac:dyDescent="0.3">
      <c r="A1557" s="46">
        <v>1554</v>
      </c>
      <c r="B1557" s="57" t="str">
        <f>IF(Tabla1[[#This Row],[TRABAJADOR]]="", "", VLOOKUP(Tabla1[[#This Row],[TRABAJADOR]], 'Colaborador ID'!B:C, 2, FALSE))</f>
        <v/>
      </c>
      <c r="C1557" s="56"/>
      <c r="D1557" s="57"/>
      <c r="E1557" s="57"/>
      <c r="F1557" s="57"/>
      <c r="G1557" s="58"/>
      <c r="H1557" s="58"/>
      <c r="I1557" s="57"/>
      <c r="J1557" s="57"/>
      <c r="K1557" s="57"/>
    </row>
    <row r="1558" spans="1:11" ht="19.5" customHeight="1" x14ac:dyDescent="0.3">
      <c r="A1558" s="46">
        <v>1555</v>
      </c>
      <c r="B1558" s="57" t="str">
        <f>IF(Tabla1[[#This Row],[TRABAJADOR]]="", "", VLOOKUP(Tabla1[[#This Row],[TRABAJADOR]], 'Colaborador ID'!B:C, 2, FALSE))</f>
        <v/>
      </c>
      <c r="C1558" s="56"/>
      <c r="D1558" s="57"/>
      <c r="E1558" s="57"/>
      <c r="F1558" s="57"/>
      <c r="G1558" s="58"/>
      <c r="H1558" s="58"/>
      <c r="I1558" s="57"/>
      <c r="J1558" s="57"/>
      <c r="K1558" s="57"/>
    </row>
    <row r="1559" spans="1:11" ht="19.5" customHeight="1" x14ac:dyDescent="0.3">
      <c r="A1559" s="46">
        <v>1556</v>
      </c>
      <c r="B1559" s="57" t="str">
        <f>IF(Tabla1[[#This Row],[TRABAJADOR]]="", "", VLOOKUP(Tabla1[[#This Row],[TRABAJADOR]], 'Colaborador ID'!B:C, 2, FALSE))</f>
        <v/>
      </c>
      <c r="C1559" s="56"/>
      <c r="D1559" s="57"/>
      <c r="E1559" s="57"/>
      <c r="F1559" s="57"/>
      <c r="G1559" s="58"/>
      <c r="H1559" s="58"/>
      <c r="I1559" s="57"/>
      <c r="J1559" s="57"/>
      <c r="K1559" s="57"/>
    </row>
    <row r="1560" spans="1:11" ht="19.5" customHeight="1" x14ac:dyDescent="0.3">
      <c r="A1560" s="46">
        <v>1557</v>
      </c>
      <c r="B1560" s="57" t="str">
        <f>IF(Tabla1[[#This Row],[TRABAJADOR]]="", "", VLOOKUP(Tabla1[[#This Row],[TRABAJADOR]], 'Colaborador ID'!B:C, 2, FALSE))</f>
        <v/>
      </c>
      <c r="C1560" s="56"/>
      <c r="D1560" s="57"/>
      <c r="E1560" s="57"/>
      <c r="F1560" s="57"/>
      <c r="G1560" s="58"/>
      <c r="H1560" s="58"/>
      <c r="I1560" s="57"/>
      <c r="J1560" s="57"/>
      <c r="K1560" s="57"/>
    </row>
    <row r="1561" spans="1:11" ht="19.5" customHeight="1" x14ac:dyDescent="0.3">
      <c r="A1561" s="46">
        <v>1558</v>
      </c>
      <c r="B1561" s="57" t="str">
        <f>IF(Tabla1[[#This Row],[TRABAJADOR]]="", "", VLOOKUP(Tabla1[[#This Row],[TRABAJADOR]], 'Colaborador ID'!B:C, 2, FALSE))</f>
        <v/>
      </c>
      <c r="C1561" s="56"/>
      <c r="D1561" s="57"/>
      <c r="E1561" s="57"/>
      <c r="F1561" s="57"/>
      <c r="G1561" s="58"/>
      <c r="H1561" s="58"/>
      <c r="I1561" s="57"/>
      <c r="J1561" s="57"/>
      <c r="K1561" s="57"/>
    </row>
    <row r="1562" spans="1:11" ht="19.5" customHeight="1" x14ac:dyDescent="0.3">
      <c r="A1562" s="46">
        <v>1559</v>
      </c>
      <c r="B1562" s="57" t="str">
        <f>IF(Tabla1[[#This Row],[TRABAJADOR]]="", "", VLOOKUP(Tabla1[[#This Row],[TRABAJADOR]], 'Colaborador ID'!B:C, 2, FALSE))</f>
        <v/>
      </c>
      <c r="C1562" s="56"/>
      <c r="D1562" s="57"/>
      <c r="E1562" s="57"/>
      <c r="F1562" s="57"/>
      <c r="G1562" s="58"/>
      <c r="H1562" s="58"/>
      <c r="I1562" s="57"/>
      <c r="J1562" s="57"/>
      <c r="K1562" s="57"/>
    </row>
    <row r="1563" spans="1:11" ht="19.5" customHeight="1" x14ac:dyDescent="0.3">
      <c r="A1563" s="46">
        <v>1560</v>
      </c>
      <c r="B1563" s="57" t="str">
        <f>IF(Tabla1[[#This Row],[TRABAJADOR]]="", "", VLOOKUP(Tabla1[[#This Row],[TRABAJADOR]], 'Colaborador ID'!B:C, 2, FALSE))</f>
        <v/>
      </c>
      <c r="C1563" s="56"/>
      <c r="D1563" s="57"/>
      <c r="E1563" s="57"/>
      <c r="F1563" s="57"/>
      <c r="G1563" s="58"/>
      <c r="H1563" s="58"/>
      <c r="I1563" s="57"/>
      <c r="J1563" s="57"/>
      <c r="K1563" s="57"/>
    </row>
    <row r="1564" spans="1:11" ht="19.5" customHeight="1" x14ac:dyDescent="0.3">
      <c r="A1564" s="46">
        <v>1561</v>
      </c>
      <c r="B1564" s="57" t="str">
        <f>IF(Tabla1[[#This Row],[TRABAJADOR]]="", "", VLOOKUP(Tabla1[[#This Row],[TRABAJADOR]], 'Colaborador ID'!B:C, 2, FALSE))</f>
        <v/>
      </c>
      <c r="C1564" s="56"/>
      <c r="D1564" s="57"/>
      <c r="E1564" s="57"/>
      <c r="F1564" s="57"/>
      <c r="G1564" s="58"/>
      <c r="H1564" s="58"/>
      <c r="I1564" s="57"/>
      <c r="J1564" s="57"/>
      <c r="K1564" s="57"/>
    </row>
    <row r="1565" spans="1:11" ht="19.5" customHeight="1" x14ac:dyDescent="0.3">
      <c r="A1565" s="46">
        <v>1562</v>
      </c>
      <c r="B1565" s="57" t="str">
        <f>IF(Tabla1[[#This Row],[TRABAJADOR]]="", "", VLOOKUP(Tabla1[[#This Row],[TRABAJADOR]], 'Colaborador ID'!B:C, 2, FALSE))</f>
        <v/>
      </c>
      <c r="C1565" s="56"/>
      <c r="D1565" s="57"/>
      <c r="E1565" s="57"/>
      <c r="F1565" s="57"/>
      <c r="G1565" s="58"/>
      <c r="H1565" s="58"/>
      <c r="I1565" s="57"/>
      <c r="J1565" s="57"/>
      <c r="K1565" s="57"/>
    </row>
    <row r="1566" spans="1:11" ht="19.5" customHeight="1" x14ac:dyDescent="0.3">
      <c r="A1566" s="46">
        <v>1563</v>
      </c>
      <c r="B1566" s="57" t="str">
        <f>IF(Tabla1[[#This Row],[TRABAJADOR]]="", "", VLOOKUP(Tabla1[[#This Row],[TRABAJADOR]], 'Colaborador ID'!B:C, 2, FALSE))</f>
        <v/>
      </c>
      <c r="C1566" s="56"/>
      <c r="D1566" s="57"/>
      <c r="E1566" s="57"/>
      <c r="F1566" s="57"/>
      <c r="G1566" s="58"/>
      <c r="H1566" s="58"/>
      <c r="I1566" s="57"/>
      <c r="J1566" s="57"/>
      <c r="K1566" s="57"/>
    </row>
    <row r="1567" spans="1:11" ht="19.5" customHeight="1" x14ac:dyDescent="0.3">
      <c r="A1567" s="46">
        <v>1564</v>
      </c>
      <c r="B1567" s="57" t="str">
        <f>IF(Tabla1[[#This Row],[TRABAJADOR]]="", "", VLOOKUP(Tabla1[[#This Row],[TRABAJADOR]], 'Colaborador ID'!B:C, 2, FALSE))</f>
        <v/>
      </c>
      <c r="C1567" s="56"/>
      <c r="D1567" s="57"/>
      <c r="E1567" s="57"/>
      <c r="F1567" s="57"/>
      <c r="G1567" s="58"/>
      <c r="H1567" s="58"/>
      <c r="I1567" s="57"/>
      <c r="J1567" s="57"/>
      <c r="K1567" s="57"/>
    </row>
    <row r="1568" spans="1:11" ht="19.5" customHeight="1" x14ac:dyDescent="0.3">
      <c r="A1568" s="46">
        <v>1565</v>
      </c>
      <c r="B1568" s="57" t="str">
        <f>IF(Tabla1[[#This Row],[TRABAJADOR]]="", "", VLOOKUP(Tabla1[[#This Row],[TRABAJADOR]], 'Colaborador ID'!B:C, 2, FALSE))</f>
        <v/>
      </c>
      <c r="C1568" s="56"/>
      <c r="D1568" s="57"/>
      <c r="E1568" s="57"/>
      <c r="F1568" s="57"/>
      <c r="G1568" s="58"/>
      <c r="H1568" s="58"/>
      <c r="I1568" s="57"/>
      <c r="J1568" s="57"/>
      <c r="K1568" s="57"/>
    </row>
    <row r="1569" spans="1:11" ht="19.5" customHeight="1" x14ac:dyDescent="0.3">
      <c r="A1569" s="46">
        <v>1566</v>
      </c>
      <c r="B1569" s="57" t="str">
        <f>IF(Tabla1[[#This Row],[TRABAJADOR]]="", "", VLOOKUP(Tabla1[[#This Row],[TRABAJADOR]], 'Colaborador ID'!B:C, 2, FALSE))</f>
        <v/>
      </c>
      <c r="C1569" s="56"/>
      <c r="D1569" s="57"/>
      <c r="E1569" s="57"/>
      <c r="F1569" s="57"/>
      <c r="G1569" s="58"/>
      <c r="H1569" s="58"/>
      <c r="I1569" s="57"/>
      <c r="J1569" s="57"/>
      <c r="K1569" s="57"/>
    </row>
    <row r="1570" spans="1:11" ht="19.5" customHeight="1" x14ac:dyDescent="0.3">
      <c r="A1570" s="46">
        <v>1567</v>
      </c>
      <c r="B1570" s="57" t="str">
        <f>IF(Tabla1[[#This Row],[TRABAJADOR]]="", "", VLOOKUP(Tabla1[[#This Row],[TRABAJADOR]], 'Colaborador ID'!B:C, 2, FALSE))</f>
        <v/>
      </c>
      <c r="C1570" s="56"/>
      <c r="D1570" s="57"/>
      <c r="E1570" s="57"/>
      <c r="F1570" s="57"/>
      <c r="G1570" s="58"/>
      <c r="H1570" s="58"/>
      <c r="I1570" s="57"/>
      <c r="J1570" s="57"/>
      <c r="K1570" s="57"/>
    </row>
    <row r="1571" spans="1:11" ht="19.5" customHeight="1" x14ac:dyDescent="0.3">
      <c r="A1571" s="46">
        <v>1568</v>
      </c>
      <c r="B1571" s="57" t="str">
        <f>IF(Tabla1[[#This Row],[TRABAJADOR]]="", "", VLOOKUP(Tabla1[[#This Row],[TRABAJADOR]], 'Colaborador ID'!B:C, 2, FALSE))</f>
        <v/>
      </c>
      <c r="C1571" s="56"/>
      <c r="D1571" s="57"/>
      <c r="E1571" s="57"/>
      <c r="F1571" s="57"/>
      <c r="G1571" s="58"/>
      <c r="H1571" s="58"/>
      <c r="I1571" s="57"/>
      <c r="J1571" s="57"/>
      <c r="K1571" s="57"/>
    </row>
    <row r="1572" spans="1:11" ht="19.5" customHeight="1" x14ac:dyDescent="0.3">
      <c r="A1572" s="46">
        <v>1569</v>
      </c>
      <c r="B1572" s="57" t="str">
        <f>IF(Tabla1[[#This Row],[TRABAJADOR]]="", "", VLOOKUP(Tabla1[[#This Row],[TRABAJADOR]], 'Colaborador ID'!B:C, 2, FALSE))</f>
        <v/>
      </c>
      <c r="C1572" s="56"/>
      <c r="D1572" s="57"/>
      <c r="E1572" s="57"/>
      <c r="F1572" s="57"/>
      <c r="G1572" s="58"/>
      <c r="H1572" s="58"/>
      <c r="I1572" s="57"/>
      <c r="J1572" s="57"/>
      <c r="K1572" s="57"/>
    </row>
    <row r="1573" spans="1:11" ht="19.5" customHeight="1" x14ac:dyDescent="0.3">
      <c r="A1573" s="46">
        <v>1570</v>
      </c>
      <c r="B1573" s="57" t="str">
        <f>IF(Tabla1[[#This Row],[TRABAJADOR]]="", "", VLOOKUP(Tabla1[[#This Row],[TRABAJADOR]], 'Colaborador ID'!B:C, 2, FALSE))</f>
        <v/>
      </c>
      <c r="C1573" s="56"/>
      <c r="D1573" s="57"/>
      <c r="E1573" s="57"/>
      <c r="F1573" s="57"/>
      <c r="G1573" s="58"/>
      <c r="H1573" s="58"/>
      <c r="I1573" s="57"/>
      <c r="J1573" s="57"/>
      <c r="K1573" s="57"/>
    </row>
    <row r="1574" spans="1:11" ht="19.5" customHeight="1" x14ac:dyDescent="0.3">
      <c r="A1574" s="46">
        <v>1571</v>
      </c>
      <c r="B1574" s="57" t="str">
        <f>IF(Tabla1[[#This Row],[TRABAJADOR]]="", "", VLOOKUP(Tabla1[[#This Row],[TRABAJADOR]], 'Colaborador ID'!B:C, 2, FALSE))</f>
        <v/>
      </c>
      <c r="C1574" s="56"/>
      <c r="D1574" s="57"/>
      <c r="E1574" s="57"/>
      <c r="F1574" s="57"/>
      <c r="G1574" s="58"/>
      <c r="H1574" s="58"/>
      <c r="I1574" s="57"/>
      <c r="J1574" s="57"/>
      <c r="K1574" s="57"/>
    </row>
    <row r="1575" spans="1:11" ht="19.5" customHeight="1" x14ac:dyDescent="0.3">
      <c r="A1575" s="46">
        <v>1572</v>
      </c>
      <c r="B1575" s="57" t="str">
        <f>IF(Tabla1[[#This Row],[TRABAJADOR]]="", "", VLOOKUP(Tabla1[[#This Row],[TRABAJADOR]], 'Colaborador ID'!B:C, 2, FALSE))</f>
        <v/>
      </c>
      <c r="C1575" s="56"/>
      <c r="D1575" s="57"/>
      <c r="E1575" s="57"/>
      <c r="F1575" s="57"/>
      <c r="G1575" s="58"/>
      <c r="H1575" s="58"/>
      <c r="I1575" s="57"/>
      <c r="J1575" s="57"/>
      <c r="K1575" s="57"/>
    </row>
    <row r="1576" spans="1:11" ht="19.5" customHeight="1" x14ac:dyDescent="0.3">
      <c r="A1576" s="46">
        <v>1573</v>
      </c>
      <c r="B1576" s="57" t="str">
        <f>IF(Tabla1[[#This Row],[TRABAJADOR]]="", "", VLOOKUP(Tabla1[[#This Row],[TRABAJADOR]], 'Colaborador ID'!B:C, 2, FALSE))</f>
        <v/>
      </c>
      <c r="C1576" s="56"/>
      <c r="D1576" s="57"/>
      <c r="E1576" s="57"/>
      <c r="F1576" s="57"/>
      <c r="G1576" s="58"/>
      <c r="H1576" s="58"/>
      <c r="I1576" s="57"/>
      <c r="J1576" s="57"/>
      <c r="K1576" s="57"/>
    </row>
    <row r="1577" spans="1:11" ht="19.5" customHeight="1" x14ac:dyDescent="0.3">
      <c r="A1577" s="46">
        <v>1574</v>
      </c>
      <c r="B1577" s="57" t="str">
        <f>IF(Tabla1[[#This Row],[TRABAJADOR]]="", "", VLOOKUP(Tabla1[[#This Row],[TRABAJADOR]], 'Colaborador ID'!B:C, 2, FALSE))</f>
        <v/>
      </c>
      <c r="C1577" s="56"/>
      <c r="D1577" s="57"/>
      <c r="E1577" s="57"/>
      <c r="F1577" s="57"/>
      <c r="G1577" s="58"/>
      <c r="H1577" s="58"/>
      <c r="I1577" s="57"/>
      <c r="J1577" s="57"/>
      <c r="K1577" s="57"/>
    </row>
    <row r="1578" spans="1:11" ht="19.5" customHeight="1" x14ac:dyDescent="0.3">
      <c r="A1578" s="46">
        <v>1575</v>
      </c>
      <c r="B1578" s="57" t="str">
        <f>IF(Tabla1[[#This Row],[TRABAJADOR]]="", "", VLOOKUP(Tabla1[[#This Row],[TRABAJADOR]], 'Colaborador ID'!B:C, 2, FALSE))</f>
        <v/>
      </c>
      <c r="C1578" s="56"/>
      <c r="D1578" s="57"/>
      <c r="E1578" s="57"/>
      <c r="F1578" s="57"/>
      <c r="G1578" s="58"/>
      <c r="H1578" s="58"/>
      <c r="I1578" s="57"/>
      <c r="J1578" s="57"/>
      <c r="K1578" s="57"/>
    </row>
    <row r="1579" spans="1:11" ht="19.5" customHeight="1" x14ac:dyDescent="0.3">
      <c r="A1579" s="46">
        <v>1576</v>
      </c>
      <c r="B1579" s="57" t="str">
        <f>IF(Tabla1[[#This Row],[TRABAJADOR]]="", "", VLOOKUP(Tabla1[[#This Row],[TRABAJADOR]], 'Colaborador ID'!B:C, 2, FALSE))</f>
        <v/>
      </c>
      <c r="C1579" s="56"/>
      <c r="D1579" s="57"/>
      <c r="E1579" s="57"/>
      <c r="F1579" s="57"/>
      <c r="G1579" s="58"/>
      <c r="H1579" s="58"/>
      <c r="I1579" s="57"/>
      <c r="J1579" s="57"/>
      <c r="K1579" s="57"/>
    </row>
    <row r="1580" spans="1:11" ht="19.5" customHeight="1" x14ac:dyDescent="0.3">
      <c r="A1580" s="46">
        <v>1577</v>
      </c>
      <c r="B1580" s="57" t="str">
        <f>IF(Tabla1[[#This Row],[TRABAJADOR]]="", "", VLOOKUP(Tabla1[[#This Row],[TRABAJADOR]], 'Colaborador ID'!B:C, 2, FALSE))</f>
        <v/>
      </c>
      <c r="C1580" s="56"/>
      <c r="D1580" s="57"/>
      <c r="E1580" s="57"/>
      <c r="F1580" s="57"/>
      <c r="G1580" s="58"/>
      <c r="H1580" s="58"/>
      <c r="I1580" s="57"/>
      <c r="J1580" s="57"/>
      <c r="K1580" s="57"/>
    </row>
    <row r="1581" spans="1:11" ht="19.5" customHeight="1" x14ac:dyDescent="0.3">
      <c r="A1581" s="46">
        <v>1578</v>
      </c>
      <c r="B1581" s="57" t="str">
        <f>IF(Tabla1[[#This Row],[TRABAJADOR]]="", "", VLOOKUP(Tabla1[[#This Row],[TRABAJADOR]], 'Colaborador ID'!B:C, 2, FALSE))</f>
        <v/>
      </c>
      <c r="C1581" s="56"/>
      <c r="D1581" s="57"/>
      <c r="E1581" s="57"/>
      <c r="F1581" s="57"/>
      <c r="G1581" s="58"/>
      <c r="H1581" s="58"/>
      <c r="I1581" s="57"/>
      <c r="J1581" s="57"/>
      <c r="K1581" s="57"/>
    </row>
    <row r="1582" spans="1:11" ht="19.5" customHeight="1" x14ac:dyDescent="0.3">
      <c r="A1582" s="46">
        <v>1579</v>
      </c>
      <c r="B1582" s="57" t="str">
        <f>IF(Tabla1[[#This Row],[TRABAJADOR]]="", "", VLOOKUP(Tabla1[[#This Row],[TRABAJADOR]], 'Colaborador ID'!B:C, 2, FALSE))</f>
        <v/>
      </c>
      <c r="C1582" s="56"/>
      <c r="D1582" s="57"/>
      <c r="E1582" s="57"/>
      <c r="F1582" s="57"/>
      <c r="G1582" s="58"/>
      <c r="H1582" s="58"/>
      <c r="I1582" s="57"/>
      <c r="J1582" s="57"/>
      <c r="K1582" s="57"/>
    </row>
    <row r="1583" spans="1:11" ht="19.5" customHeight="1" x14ac:dyDescent="0.3">
      <c r="A1583" s="46">
        <v>1580</v>
      </c>
      <c r="B1583" s="57" t="str">
        <f>IF(Tabla1[[#This Row],[TRABAJADOR]]="", "", VLOOKUP(Tabla1[[#This Row],[TRABAJADOR]], 'Colaborador ID'!B:C, 2, FALSE))</f>
        <v/>
      </c>
      <c r="C1583" s="56"/>
      <c r="D1583" s="57"/>
      <c r="E1583" s="57"/>
      <c r="F1583" s="57"/>
      <c r="G1583" s="58"/>
      <c r="H1583" s="58"/>
      <c r="I1583" s="57"/>
      <c r="J1583" s="57"/>
      <c r="K1583" s="57"/>
    </row>
    <row r="1584" spans="1:11" ht="19.5" customHeight="1" x14ac:dyDescent="0.3">
      <c r="A1584" s="46">
        <v>1581</v>
      </c>
      <c r="B1584" s="57" t="str">
        <f>IF(Tabla1[[#This Row],[TRABAJADOR]]="", "", VLOOKUP(Tabla1[[#This Row],[TRABAJADOR]], 'Colaborador ID'!B:C, 2, FALSE))</f>
        <v/>
      </c>
      <c r="C1584" s="56"/>
      <c r="D1584" s="57"/>
      <c r="E1584" s="57"/>
      <c r="F1584" s="57"/>
      <c r="G1584" s="58"/>
      <c r="H1584" s="58"/>
      <c r="I1584" s="57"/>
      <c r="J1584" s="57"/>
      <c r="K1584" s="57"/>
    </row>
    <row r="1585" spans="1:11" ht="19.5" customHeight="1" x14ac:dyDescent="0.3">
      <c r="A1585" s="46">
        <v>1582</v>
      </c>
      <c r="B1585" s="57" t="str">
        <f>IF(Tabla1[[#This Row],[TRABAJADOR]]="", "", VLOOKUP(Tabla1[[#This Row],[TRABAJADOR]], 'Colaborador ID'!B:C, 2, FALSE))</f>
        <v/>
      </c>
      <c r="C1585" s="56"/>
      <c r="D1585" s="57"/>
      <c r="E1585" s="57"/>
      <c r="F1585" s="57"/>
      <c r="G1585" s="58"/>
      <c r="H1585" s="58"/>
      <c r="I1585" s="57"/>
      <c r="J1585" s="57"/>
      <c r="K1585" s="57"/>
    </row>
    <row r="1586" spans="1:11" ht="19.5" customHeight="1" x14ac:dyDescent="0.3">
      <c r="A1586" s="46">
        <v>1583</v>
      </c>
      <c r="B1586" s="57" t="str">
        <f>IF(Tabla1[[#This Row],[TRABAJADOR]]="", "", VLOOKUP(Tabla1[[#This Row],[TRABAJADOR]], 'Colaborador ID'!B:C, 2, FALSE))</f>
        <v/>
      </c>
      <c r="C1586" s="56"/>
      <c r="D1586" s="57"/>
      <c r="E1586" s="57"/>
      <c r="F1586" s="57"/>
      <c r="G1586" s="58"/>
      <c r="H1586" s="58"/>
      <c r="I1586" s="57"/>
      <c r="J1586" s="57"/>
      <c r="K1586" s="57"/>
    </row>
    <row r="1587" spans="1:11" ht="19.5" customHeight="1" x14ac:dyDescent="0.3">
      <c r="A1587" s="46">
        <v>1584</v>
      </c>
      <c r="B1587" s="57" t="str">
        <f>IF(Tabla1[[#This Row],[TRABAJADOR]]="", "", VLOOKUP(Tabla1[[#This Row],[TRABAJADOR]], 'Colaborador ID'!B:C, 2, FALSE))</f>
        <v/>
      </c>
      <c r="C1587" s="56"/>
      <c r="D1587" s="57"/>
      <c r="E1587" s="57"/>
      <c r="F1587" s="57"/>
      <c r="G1587" s="58"/>
      <c r="H1587" s="58"/>
      <c r="I1587" s="57"/>
      <c r="J1587" s="57"/>
      <c r="K1587" s="57"/>
    </row>
    <row r="1588" spans="1:11" ht="19.5" customHeight="1" x14ac:dyDescent="0.3">
      <c r="A1588" s="46">
        <v>1585</v>
      </c>
      <c r="B1588" s="57" t="str">
        <f>IF(Tabla1[[#This Row],[TRABAJADOR]]="", "", VLOOKUP(Tabla1[[#This Row],[TRABAJADOR]], 'Colaborador ID'!B:C, 2, FALSE))</f>
        <v/>
      </c>
      <c r="C1588" s="56"/>
      <c r="D1588" s="57"/>
      <c r="E1588" s="57"/>
      <c r="F1588" s="57"/>
      <c r="G1588" s="58"/>
      <c r="H1588" s="58"/>
      <c r="I1588" s="57"/>
      <c r="J1588" s="57"/>
      <c r="K1588" s="57"/>
    </row>
    <row r="1589" spans="1:11" ht="19.5" customHeight="1" x14ac:dyDescent="0.3">
      <c r="A1589" s="46">
        <v>1586</v>
      </c>
      <c r="B1589" s="57" t="str">
        <f>IF(Tabla1[[#This Row],[TRABAJADOR]]="", "", VLOOKUP(Tabla1[[#This Row],[TRABAJADOR]], 'Colaborador ID'!B:C, 2, FALSE))</f>
        <v/>
      </c>
      <c r="C1589" s="56"/>
      <c r="D1589" s="57"/>
      <c r="E1589" s="57"/>
      <c r="F1589" s="57"/>
      <c r="G1589" s="58"/>
      <c r="H1589" s="58"/>
      <c r="I1589" s="57"/>
      <c r="J1589" s="57"/>
      <c r="K1589" s="57"/>
    </row>
    <row r="1590" spans="1:11" ht="19.5" customHeight="1" x14ac:dyDescent="0.3">
      <c r="A1590" s="46">
        <v>1587</v>
      </c>
      <c r="B1590" s="57" t="str">
        <f>IF(Tabla1[[#This Row],[TRABAJADOR]]="", "", VLOOKUP(Tabla1[[#This Row],[TRABAJADOR]], 'Colaborador ID'!B:C, 2, FALSE))</f>
        <v/>
      </c>
      <c r="C1590" s="56"/>
      <c r="D1590" s="57"/>
      <c r="E1590" s="57"/>
      <c r="F1590" s="57"/>
      <c r="G1590" s="58"/>
      <c r="H1590" s="58"/>
      <c r="I1590" s="57"/>
      <c r="J1590" s="57"/>
      <c r="K1590" s="57"/>
    </row>
    <row r="1591" spans="1:11" ht="19.5" customHeight="1" x14ac:dyDescent="0.3">
      <c r="A1591" s="46">
        <v>1588</v>
      </c>
      <c r="B1591" s="57" t="str">
        <f>IF(Tabla1[[#This Row],[TRABAJADOR]]="", "", VLOOKUP(Tabla1[[#This Row],[TRABAJADOR]], 'Colaborador ID'!B:C, 2, FALSE))</f>
        <v/>
      </c>
      <c r="C1591" s="56"/>
      <c r="D1591" s="57"/>
      <c r="E1591" s="57"/>
      <c r="F1591" s="57"/>
      <c r="G1591" s="58"/>
      <c r="H1591" s="58"/>
      <c r="I1591" s="57"/>
      <c r="J1591" s="57"/>
      <c r="K1591" s="57"/>
    </row>
    <row r="1592" spans="1:11" ht="19.5" customHeight="1" x14ac:dyDescent="0.3">
      <c r="A1592" s="46">
        <v>1589</v>
      </c>
      <c r="B1592" s="57" t="str">
        <f>IF(Tabla1[[#This Row],[TRABAJADOR]]="", "", VLOOKUP(Tabla1[[#This Row],[TRABAJADOR]], 'Colaborador ID'!B:C, 2, FALSE))</f>
        <v/>
      </c>
      <c r="C1592" s="56"/>
      <c r="D1592" s="57"/>
      <c r="E1592" s="57"/>
      <c r="F1592" s="57"/>
      <c r="G1592" s="58"/>
      <c r="H1592" s="58"/>
      <c r="I1592" s="57"/>
      <c r="J1592" s="57"/>
      <c r="K1592" s="57"/>
    </row>
    <row r="1593" spans="1:11" ht="19.5" customHeight="1" x14ac:dyDescent="0.3">
      <c r="A1593" s="46">
        <v>1590</v>
      </c>
      <c r="B1593" s="57" t="str">
        <f>IF(Tabla1[[#This Row],[TRABAJADOR]]="", "", VLOOKUP(Tabla1[[#This Row],[TRABAJADOR]], 'Colaborador ID'!B:C, 2, FALSE))</f>
        <v/>
      </c>
      <c r="C1593" s="56"/>
      <c r="D1593" s="57"/>
      <c r="E1593" s="57"/>
      <c r="F1593" s="57"/>
      <c r="G1593" s="58"/>
      <c r="H1593" s="58"/>
      <c r="I1593" s="57"/>
      <c r="J1593" s="57"/>
      <c r="K1593" s="57"/>
    </row>
    <row r="1594" spans="1:11" ht="19.5" customHeight="1" x14ac:dyDescent="0.3">
      <c r="A1594" s="46">
        <v>1591</v>
      </c>
      <c r="B1594" s="57" t="str">
        <f>IF(Tabla1[[#This Row],[TRABAJADOR]]="", "", VLOOKUP(Tabla1[[#This Row],[TRABAJADOR]], 'Colaborador ID'!B:C, 2, FALSE))</f>
        <v/>
      </c>
      <c r="C1594" s="56"/>
      <c r="D1594" s="57"/>
      <c r="E1594" s="57"/>
      <c r="F1594" s="57"/>
      <c r="G1594" s="58"/>
      <c r="H1594" s="58"/>
      <c r="I1594" s="57"/>
      <c r="J1594" s="57"/>
      <c r="K1594" s="57"/>
    </row>
    <row r="1595" spans="1:11" ht="19.5" customHeight="1" x14ac:dyDescent="0.3">
      <c r="A1595" s="46">
        <v>1592</v>
      </c>
      <c r="B1595" s="57" t="str">
        <f>IF(Tabla1[[#This Row],[TRABAJADOR]]="", "", VLOOKUP(Tabla1[[#This Row],[TRABAJADOR]], 'Colaborador ID'!B:C, 2, FALSE))</f>
        <v/>
      </c>
      <c r="C1595" s="56"/>
      <c r="D1595" s="57"/>
      <c r="E1595" s="57"/>
      <c r="F1595" s="57"/>
      <c r="G1595" s="58"/>
      <c r="H1595" s="58"/>
      <c r="I1595" s="57"/>
      <c r="J1595" s="57"/>
      <c r="K1595" s="57"/>
    </row>
    <row r="1596" spans="1:11" ht="19.5" customHeight="1" x14ac:dyDescent="0.3">
      <c r="A1596" s="46">
        <v>1593</v>
      </c>
      <c r="B1596" s="57" t="str">
        <f>IF(Tabla1[[#This Row],[TRABAJADOR]]="", "", VLOOKUP(Tabla1[[#This Row],[TRABAJADOR]], 'Colaborador ID'!B:C, 2, FALSE))</f>
        <v/>
      </c>
      <c r="C1596" s="56"/>
      <c r="D1596" s="57"/>
      <c r="E1596" s="57"/>
      <c r="F1596" s="57"/>
      <c r="G1596" s="58"/>
      <c r="H1596" s="58"/>
      <c r="I1596" s="57"/>
      <c r="J1596" s="57"/>
      <c r="K1596" s="57"/>
    </row>
    <row r="1597" spans="1:11" ht="19.5" customHeight="1" x14ac:dyDescent="0.3">
      <c r="A1597" s="46">
        <v>1594</v>
      </c>
      <c r="B1597" s="57" t="str">
        <f>IF(Tabla1[[#This Row],[TRABAJADOR]]="", "", VLOOKUP(Tabla1[[#This Row],[TRABAJADOR]], 'Colaborador ID'!B:C, 2, FALSE))</f>
        <v/>
      </c>
      <c r="C1597" s="56"/>
      <c r="D1597" s="57"/>
      <c r="E1597" s="57"/>
      <c r="F1597" s="57"/>
      <c r="G1597" s="58"/>
      <c r="H1597" s="58"/>
      <c r="I1597" s="57"/>
      <c r="J1597" s="57"/>
      <c r="K1597" s="57"/>
    </row>
    <row r="1598" spans="1:11" ht="19.5" customHeight="1" x14ac:dyDescent="0.3">
      <c r="A1598" s="46">
        <v>1595</v>
      </c>
      <c r="B1598" s="57" t="str">
        <f>IF(Tabla1[[#This Row],[TRABAJADOR]]="", "", VLOOKUP(Tabla1[[#This Row],[TRABAJADOR]], 'Colaborador ID'!B:C, 2, FALSE))</f>
        <v/>
      </c>
      <c r="C1598" s="56"/>
      <c r="D1598" s="57"/>
      <c r="E1598" s="57"/>
      <c r="F1598" s="57"/>
      <c r="G1598" s="58"/>
      <c r="H1598" s="58"/>
      <c r="I1598" s="57"/>
      <c r="J1598" s="57"/>
      <c r="K1598" s="57"/>
    </row>
    <row r="1599" spans="1:11" ht="19.5" customHeight="1" x14ac:dyDescent="0.3">
      <c r="A1599" s="46">
        <v>1596</v>
      </c>
      <c r="B1599" s="57" t="str">
        <f>IF(Tabla1[[#This Row],[TRABAJADOR]]="", "", VLOOKUP(Tabla1[[#This Row],[TRABAJADOR]], 'Colaborador ID'!B:C, 2, FALSE))</f>
        <v/>
      </c>
      <c r="C1599" s="56"/>
      <c r="D1599" s="57"/>
      <c r="E1599" s="57"/>
      <c r="F1599" s="57"/>
      <c r="G1599" s="58"/>
      <c r="H1599" s="58"/>
      <c r="I1599" s="57"/>
      <c r="J1599" s="57"/>
      <c r="K1599" s="57"/>
    </row>
    <row r="1600" spans="1:11" ht="19.5" customHeight="1" x14ac:dyDescent="0.3">
      <c r="A1600" s="46">
        <v>1597</v>
      </c>
      <c r="B1600" s="57" t="str">
        <f>IF(Tabla1[[#This Row],[TRABAJADOR]]="", "", VLOOKUP(Tabla1[[#This Row],[TRABAJADOR]], 'Colaborador ID'!B:C, 2, FALSE))</f>
        <v/>
      </c>
      <c r="C1600" s="56"/>
      <c r="D1600" s="57"/>
      <c r="E1600" s="57"/>
      <c r="F1600" s="57"/>
      <c r="G1600" s="58"/>
      <c r="H1600" s="58"/>
      <c r="I1600" s="57"/>
      <c r="J1600" s="57"/>
      <c r="K1600" s="57"/>
    </row>
    <row r="1601" spans="1:11" ht="19.5" customHeight="1" x14ac:dyDescent="0.3">
      <c r="A1601" s="46">
        <v>1598</v>
      </c>
      <c r="B1601" s="57" t="str">
        <f>IF(Tabla1[[#This Row],[TRABAJADOR]]="", "", VLOOKUP(Tabla1[[#This Row],[TRABAJADOR]], 'Colaborador ID'!B:C, 2, FALSE))</f>
        <v/>
      </c>
      <c r="C1601" s="56"/>
      <c r="D1601" s="57"/>
      <c r="E1601" s="57"/>
      <c r="F1601" s="57"/>
      <c r="G1601" s="58"/>
      <c r="H1601" s="58"/>
      <c r="I1601" s="57"/>
      <c r="J1601" s="57"/>
      <c r="K1601" s="57"/>
    </row>
    <row r="1602" spans="1:11" ht="19.5" customHeight="1" x14ac:dyDescent="0.3">
      <c r="A1602" s="46">
        <v>1599</v>
      </c>
      <c r="B1602" s="57" t="str">
        <f>IF(Tabla1[[#This Row],[TRABAJADOR]]="", "", VLOOKUP(Tabla1[[#This Row],[TRABAJADOR]], 'Colaborador ID'!B:C, 2, FALSE))</f>
        <v/>
      </c>
      <c r="C1602" s="56"/>
      <c r="D1602" s="57"/>
      <c r="E1602" s="57"/>
      <c r="F1602" s="57"/>
      <c r="G1602" s="58"/>
      <c r="H1602" s="58"/>
      <c r="I1602" s="57"/>
      <c r="J1602" s="57"/>
      <c r="K1602" s="57"/>
    </row>
    <row r="1603" spans="1:11" ht="19.5" customHeight="1" x14ac:dyDescent="0.3">
      <c r="A1603" s="46">
        <v>1600</v>
      </c>
      <c r="B1603" s="57" t="str">
        <f>IF(Tabla1[[#This Row],[TRABAJADOR]]="", "", VLOOKUP(Tabla1[[#This Row],[TRABAJADOR]], 'Colaborador ID'!B:C, 2, FALSE))</f>
        <v/>
      </c>
      <c r="C1603" s="56"/>
      <c r="D1603" s="57"/>
      <c r="E1603" s="57"/>
      <c r="F1603" s="57"/>
      <c r="G1603" s="58"/>
      <c r="H1603" s="58"/>
      <c r="I1603" s="57"/>
      <c r="J1603" s="57"/>
      <c r="K1603" s="57"/>
    </row>
    <row r="1604" spans="1:11" ht="19.5" customHeight="1" x14ac:dyDescent="0.3">
      <c r="A1604" s="46">
        <v>1601</v>
      </c>
      <c r="B1604" s="57" t="str">
        <f>IF(Tabla1[[#This Row],[TRABAJADOR]]="", "", VLOOKUP(Tabla1[[#This Row],[TRABAJADOR]], 'Colaborador ID'!B:C, 2, FALSE))</f>
        <v/>
      </c>
      <c r="C1604" s="56"/>
      <c r="D1604" s="57"/>
      <c r="E1604" s="57"/>
      <c r="F1604" s="57"/>
      <c r="G1604" s="58"/>
      <c r="H1604" s="58"/>
      <c r="I1604" s="57"/>
      <c r="J1604" s="57"/>
      <c r="K1604" s="57"/>
    </row>
    <row r="1605" spans="1:11" ht="19.5" customHeight="1" x14ac:dyDescent="0.3">
      <c r="A1605" s="46">
        <v>1602</v>
      </c>
      <c r="B1605" s="57" t="str">
        <f>IF(Tabla1[[#This Row],[TRABAJADOR]]="", "", VLOOKUP(Tabla1[[#This Row],[TRABAJADOR]], 'Colaborador ID'!B:C, 2, FALSE))</f>
        <v/>
      </c>
      <c r="C1605" s="56"/>
      <c r="D1605" s="57"/>
      <c r="E1605" s="57"/>
      <c r="F1605" s="57"/>
      <c r="G1605" s="58"/>
      <c r="H1605" s="58"/>
      <c r="I1605" s="57"/>
      <c r="J1605" s="57"/>
      <c r="K1605" s="57"/>
    </row>
    <row r="1606" spans="1:11" ht="19.5" customHeight="1" x14ac:dyDescent="0.3">
      <c r="A1606" s="46">
        <v>1603</v>
      </c>
      <c r="B1606" s="57" t="str">
        <f>IF(Tabla1[[#This Row],[TRABAJADOR]]="", "", VLOOKUP(Tabla1[[#This Row],[TRABAJADOR]], 'Colaborador ID'!B:C, 2, FALSE))</f>
        <v/>
      </c>
      <c r="C1606" s="56"/>
      <c r="D1606" s="57"/>
      <c r="E1606" s="57"/>
      <c r="F1606" s="57"/>
      <c r="G1606" s="58"/>
      <c r="H1606" s="58"/>
      <c r="I1606" s="57"/>
      <c r="J1606" s="57"/>
      <c r="K1606" s="57"/>
    </row>
    <row r="1607" spans="1:11" ht="19.5" customHeight="1" x14ac:dyDescent="0.3">
      <c r="A1607" s="46">
        <v>1604</v>
      </c>
      <c r="B1607" s="57" t="str">
        <f>IF(Tabla1[[#This Row],[TRABAJADOR]]="", "", VLOOKUP(Tabla1[[#This Row],[TRABAJADOR]], 'Colaborador ID'!B:C, 2, FALSE))</f>
        <v/>
      </c>
      <c r="C1607" s="56"/>
      <c r="D1607" s="57"/>
      <c r="E1607" s="57"/>
      <c r="F1607" s="57"/>
      <c r="G1607" s="58"/>
      <c r="H1607" s="58"/>
      <c r="I1607" s="57"/>
      <c r="J1607" s="57"/>
      <c r="K1607" s="57"/>
    </row>
    <row r="1608" spans="1:11" ht="19.5" customHeight="1" x14ac:dyDescent="0.3">
      <c r="A1608" s="46">
        <v>1605</v>
      </c>
      <c r="B1608" s="57" t="str">
        <f>IF(Tabla1[[#This Row],[TRABAJADOR]]="", "", VLOOKUP(Tabla1[[#This Row],[TRABAJADOR]], 'Colaborador ID'!B:C, 2, FALSE))</f>
        <v/>
      </c>
      <c r="C1608" s="56"/>
      <c r="D1608" s="57"/>
      <c r="E1608" s="57"/>
      <c r="F1608" s="57"/>
      <c r="G1608" s="58"/>
      <c r="H1608" s="58"/>
      <c r="I1608" s="57"/>
      <c r="J1608" s="57"/>
      <c r="K1608" s="57"/>
    </row>
    <row r="1609" spans="1:11" ht="19.5" customHeight="1" x14ac:dyDescent="0.3">
      <c r="A1609" s="46">
        <v>1606</v>
      </c>
      <c r="B1609" s="57" t="str">
        <f>IF(Tabla1[[#This Row],[TRABAJADOR]]="", "", VLOOKUP(Tabla1[[#This Row],[TRABAJADOR]], 'Colaborador ID'!B:C, 2, FALSE))</f>
        <v/>
      </c>
      <c r="C1609" s="56"/>
      <c r="D1609" s="57"/>
      <c r="E1609" s="57"/>
      <c r="F1609" s="57"/>
      <c r="G1609" s="58"/>
      <c r="H1609" s="58"/>
      <c r="I1609" s="57"/>
      <c r="J1609" s="57"/>
      <c r="K1609" s="57"/>
    </row>
    <row r="1610" spans="1:11" ht="19.5" customHeight="1" x14ac:dyDescent="0.3">
      <c r="A1610" s="46">
        <v>1607</v>
      </c>
      <c r="B1610" s="57" t="str">
        <f>IF(Tabla1[[#This Row],[TRABAJADOR]]="", "", VLOOKUP(Tabla1[[#This Row],[TRABAJADOR]], 'Colaborador ID'!B:C, 2, FALSE))</f>
        <v/>
      </c>
      <c r="C1610" s="56"/>
      <c r="D1610" s="57"/>
      <c r="E1610" s="57"/>
      <c r="F1610" s="57"/>
      <c r="G1610" s="58"/>
      <c r="H1610" s="58"/>
      <c r="I1610" s="57"/>
      <c r="J1610" s="57"/>
      <c r="K1610" s="57"/>
    </row>
    <row r="1611" spans="1:11" ht="19.5" customHeight="1" x14ac:dyDescent="0.3">
      <c r="A1611" s="46">
        <v>1608</v>
      </c>
      <c r="B1611" s="57" t="str">
        <f>IF(Tabla1[[#This Row],[TRABAJADOR]]="", "", VLOOKUP(Tabla1[[#This Row],[TRABAJADOR]], 'Colaborador ID'!B:C, 2, FALSE))</f>
        <v/>
      </c>
      <c r="C1611" s="56"/>
      <c r="D1611" s="57"/>
      <c r="E1611" s="57"/>
      <c r="F1611" s="57"/>
      <c r="G1611" s="58"/>
      <c r="H1611" s="58"/>
      <c r="I1611" s="57"/>
      <c r="J1611" s="57"/>
      <c r="K1611" s="57"/>
    </row>
    <row r="1612" spans="1:11" ht="19.5" customHeight="1" x14ac:dyDescent="0.3">
      <c r="A1612" s="46">
        <v>1609</v>
      </c>
      <c r="B1612" s="57" t="str">
        <f>IF(Tabla1[[#This Row],[TRABAJADOR]]="", "", VLOOKUP(Tabla1[[#This Row],[TRABAJADOR]], 'Colaborador ID'!B:C, 2, FALSE))</f>
        <v/>
      </c>
      <c r="C1612" s="56"/>
      <c r="D1612" s="57"/>
      <c r="E1612" s="57"/>
      <c r="F1612" s="57"/>
      <c r="G1612" s="58"/>
      <c r="H1612" s="58"/>
      <c r="I1612" s="57"/>
      <c r="J1612" s="57"/>
      <c r="K1612" s="57"/>
    </row>
    <row r="1613" spans="1:11" ht="19.5" customHeight="1" x14ac:dyDescent="0.3">
      <c r="A1613" s="46">
        <v>1610</v>
      </c>
      <c r="B1613" s="57" t="str">
        <f>IF(Tabla1[[#This Row],[TRABAJADOR]]="", "", VLOOKUP(Tabla1[[#This Row],[TRABAJADOR]], 'Colaborador ID'!B:C, 2, FALSE))</f>
        <v/>
      </c>
      <c r="C1613" s="56"/>
      <c r="D1613" s="57"/>
      <c r="E1613" s="57"/>
      <c r="F1613" s="57"/>
      <c r="G1613" s="58"/>
      <c r="H1613" s="58"/>
      <c r="I1613" s="57"/>
      <c r="J1613" s="57"/>
      <c r="K1613" s="57"/>
    </row>
    <row r="1614" spans="1:11" ht="19.5" customHeight="1" x14ac:dyDescent="0.3">
      <c r="A1614" s="46">
        <v>1611</v>
      </c>
      <c r="B1614" s="57" t="str">
        <f>IF(Tabla1[[#This Row],[TRABAJADOR]]="", "", VLOOKUP(Tabla1[[#This Row],[TRABAJADOR]], 'Colaborador ID'!B:C, 2, FALSE))</f>
        <v/>
      </c>
      <c r="C1614" s="56"/>
      <c r="D1614" s="57"/>
      <c r="E1614" s="57"/>
      <c r="F1614" s="57"/>
      <c r="G1614" s="58"/>
      <c r="H1614" s="58"/>
      <c r="I1614" s="57"/>
      <c r="J1614" s="57"/>
      <c r="K1614" s="57"/>
    </row>
    <row r="1615" spans="1:11" ht="19.5" customHeight="1" x14ac:dyDescent="0.3">
      <c r="A1615" s="46">
        <v>1612</v>
      </c>
      <c r="B1615" s="57" t="str">
        <f>IF(Tabla1[[#This Row],[TRABAJADOR]]="", "", VLOOKUP(Tabla1[[#This Row],[TRABAJADOR]], 'Colaborador ID'!B:C, 2, FALSE))</f>
        <v/>
      </c>
      <c r="C1615" s="56"/>
      <c r="D1615" s="57"/>
      <c r="E1615" s="57"/>
      <c r="F1615" s="57"/>
      <c r="G1615" s="58"/>
      <c r="H1615" s="58"/>
      <c r="I1615" s="57"/>
      <c r="J1615" s="57"/>
      <c r="K1615" s="57"/>
    </row>
    <row r="1616" spans="1:11" ht="19.5" customHeight="1" x14ac:dyDescent="0.3">
      <c r="A1616" s="46">
        <v>1613</v>
      </c>
      <c r="B1616" s="57" t="str">
        <f>IF(Tabla1[[#This Row],[TRABAJADOR]]="", "", VLOOKUP(Tabla1[[#This Row],[TRABAJADOR]], 'Colaborador ID'!B:C, 2, FALSE))</f>
        <v/>
      </c>
      <c r="C1616" s="56"/>
      <c r="D1616" s="57"/>
      <c r="E1616" s="57"/>
      <c r="F1616" s="57"/>
      <c r="G1616" s="58"/>
      <c r="H1616" s="58"/>
      <c r="I1616" s="57"/>
      <c r="J1616" s="57"/>
      <c r="K1616" s="57"/>
    </row>
    <row r="1617" spans="1:11" ht="19.5" customHeight="1" x14ac:dyDescent="0.3">
      <c r="A1617" s="46">
        <v>1614</v>
      </c>
      <c r="B1617" s="57" t="str">
        <f>IF(Tabla1[[#This Row],[TRABAJADOR]]="", "", VLOOKUP(Tabla1[[#This Row],[TRABAJADOR]], 'Colaborador ID'!B:C, 2, FALSE))</f>
        <v/>
      </c>
      <c r="C1617" s="56"/>
      <c r="D1617" s="57"/>
      <c r="E1617" s="57"/>
      <c r="F1617" s="57"/>
      <c r="G1617" s="58"/>
      <c r="H1617" s="58"/>
      <c r="I1617" s="57"/>
      <c r="J1617" s="57"/>
      <c r="K1617" s="57"/>
    </row>
    <row r="1618" spans="1:11" ht="19.5" customHeight="1" x14ac:dyDescent="0.3">
      <c r="A1618" s="46">
        <v>1615</v>
      </c>
      <c r="B1618" s="57" t="str">
        <f>IF(Tabla1[[#This Row],[TRABAJADOR]]="", "", VLOOKUP(Tabla1[[#This Row],[TRABAJADOR]], 'Colaborador ID'!B:C, 2, FALSE))</f>
        <v/>
      </c>
      <c r="C1618" s="56"/>
      <c r="D1618" s="57"/>
      <c r="E1618" s="57"/>
      <c r="F1618" s="57"/>
      <c r="G1618" s="58"/>
      <c r="H1618" s="58"/>
      <c r="I1618" s="57"/>
      <c r="J1618" s="57"/>
      <c r="K1618" s="57"/>
    </row>
    <row r="1619" spans="1:11" ht="19.5" customHeight="1" x14ac:dyDescent="0.3">
      <c r="A1619" s="46">
        <v>1616</v>
      </c>
      <c r="B1619" s="57" t="str">
        <f>IF(Tabla1[[#This Row],[TRABAJADOR]]="", "", VLOOKUP(Tabla1[[#This Row],[TRABAJADOR]], 'Colaborador ID'!B:C, 2, FALSE))</f>
        <v/>
      </c>
      <c r="C1619" s="56"/>
      <c r="D1619" s="57"/>
      <c r="E1619" s="57"/>
      <c r="F1619" s="57"/>
      <c r="G1619" s="58"/>
      <c r="H1619" s="58"/>
      <c r="I1619" s="57"/>
      <c r="J1619" s="57"/>
      <c r="K1619" s="57"/>
    </row>
    <row r="1620" spans="1:11" ht="19.5" customHeight="1" x14ac:dyDescent="0.3">
      <c r="A1620" s="46">
        <v>1617</v>
      </c>
      <c r="B1620" s="57" t="str">
        <f>IF(Tabla1[[#This Row],[TRABAJADOR]]="", "", VLOOKUP(Tabla1[[#This Row],[TRABAJADOR]], 'Colaborador ID'!B:C, 2, FALSE))</f>
        <v/>
      </c>
      <c r="C1620" s="56"/>
      <c r="D1620" s="57"/>
      <c r="E1620" s="57"/>
      <c r="F1620" s="57"/>
      <c r="G1620" s="58"/>
      <c r="H1620" s="58"/>
      <c r="I1620" s="57"/>
      <c r="J1620" s="57"/>
      <c r="K1620" s="57"/>
    </row>
    <row r="1621" spans="1:11" ht="19.5" customHeight="1" x14ac:dyDescent="0.3">
      <c r="A1621" s="46">
        <v>1618</v>
      </c>
      <c r="B1621" s="57" t="str">
        <f>IF(Tabla1[[#This Row],[TRABAJADOR]]="", "", VLOOKUP(Tabla1[[#This Row],[TRABAJADOR]], 'Colaborador ID'!B:C, 2, FALSE))</f>
        <v/>
      </c>
      <c r="C1621" s="56"/>
      <c r="D1621" s="57"/>
      <c r="E1621" s="57"/>
      <c r="F1621" s="57"/>
      <c r="G1621" s="58"/>
      <c r="H1621" s="58"/>
      <c r="I1621" s="57"/>
      <c r="J1621" s="57"/>
      <c r="K1621" s="57"/>
    </row>
    <row r="1622" spans="1:11" ht="19.5" customHeight="1" x14ac:dyDescent="0.3">
      <c r="A1622" s="46">
        <v>1619</v>
      </c>
      <c r="B1622" s="57" t="str">
        <f>IF(Tabla1[[#This Row],[TRABAJADOR]]="", "", VLOOKUP(Tabla1[[#This Row],[TRABAJADOR]], 'Colaborador ID'!B:C, 2, FALSE))</f>
        <v/>
      </c>
      <c r="C1622" s="56"/>
      <c r="D1622" s="57"/>
      <c r="E1622" s="57"/>
      <c r="F1622" s="57"/>
      <c r="G1622" s="58"/>
      <c r="H1622" s="58"/>
      <c r="I1622" s="57"/>
      <c r="J1622" s="57"/>
      <c r="K1622" s="57"/>
    </row>
    <row r="1623" spans="1:11" ht="19.5" customHeight="1" x14ac:dyDescent="0.3">
      <c r="A1623" s="46">
        <v>1620</v>
      </c>
      <c r="B1623" s="57" t="str">
        <f>IF(Tabla1[[#This Row],[TRABAJADOR]]="", "", VLOOKUP(Tabla1[[#This Row],[TRABAJADOR]], 'Colaborador ID'!B:C, 2, FALSE))</f>
        <v/>
      </c>
      <c r="C1623" s="56"/>
      <c r="D1623" s="57"/>
      <c r="E1623" s="57"/>
      <c r="F1623" s="57"/>
      <c r="G1623" s="58"/>
      <c r="H1623" s="58"/>
      <c r="I1623" s="57"/>
      <c r="J1623" s="57"/>
      <c r="K1623" s="57"/>
    </row>
    <row r="1624" spans="1:11" ht="19.5" customHeight="1" x14ac:dyDescent="0.3">
      <c r="A1624" s="46">
        <v>1621</v>
      </c>
      <c r="B1624" s="57" t="str">
        <f>IF(Tabla1[[#This Row],[TRABAJADOR]]="", "", VLOOKUP(Tabla1[[#This Row],[TRABAJADOR]], 'Colaborador ID'!B:C, 2, FALSE))</f>
        <v/>
      </c>
      <c r="C1624" s="56"/>
      <c r="D1624" s="57"/>
      <c r="E1624" s="57"/>
      <c r="F1624" s="57"/>
      <c r="G1624" s="58"/>
      <c r="H1624" s="58"/>
      <c r="I1624" s="57"/>
      <c r="J1624" s="57"/>
      <c r="K1624" s="57"/>
    </row>
    <row r="1625" spans="1:11" ht="19.5" customHeight="1" x14ac:dyDescent="0.3">
      <c r="A1625" s="46">
        <v>1622</v>
      </c>
      <c r="B1625" s="57" t="str">
        <f>IF(Tabla1[[#This Row],[TRABAJADOR]]="", "", VLOOKUP(Tabla1[[#This Row],[TRABAJADOR]], 'Colaborador ID'!B:C, 2, FALSE))</f>
        <v/>
      </c>
      <c r="C1625" s="56"/>
      <c r="D1625" s="57"/>
      <c r="E1625" s="57"/>
      <c r="F1625" s="57"/>
      <c r="G1625" s="58"/>
      <c r="H1625" s="58"/>
      <c r="I1625" s="57"/>
      <c r="J1625" s="57"/>
      <c r="K1625" s="57"/>
    </row>
    <row r="1626" spans="1:11" ht="19.5" customHeight="1" x14ac:dyDescent="0.3">
      <c r="A1626" s="46">
        <v>1623</v>
      </c>
      <c r="B1626" s="57" t="str">
        <f>IF(Tabla1[[#This Row],[TRABAJADOR]]="", "", VLOOKUP(Tabla1[[#This Row],[TRABAJADOR]], 'Colaborador ID'!B:C, 2, FALSE))</f>
        <v/>
      </c>
      <c r="C1626" s="56"/>
      <c r="D1626" s="57"/>
      <c r="E1626" s="57"/>
      <c r="F1626" s="57"/>
      <c r="G1626" s="58"/>
      <c r="H1626" s="58"/>
      <c r="I1626" s="57"/>
      <c r="J1626" s="57"/>
      <c r="K1626" s="57"/>
    </row>
    <row r="1627" spans="1:11" ht="19.5" customHeight="1" x14ac:dyDescent="0.3">
      <c r="A1627" s="46">
        <v>1624</v>
      </c>
      <c r="B1627" s="57" t="str">
        <f>IF(Tabla1[[#This Row],[TRABAJADOR]]="", "", VLOOKUP(Tabla1[[#This Row],[TRABAJADOR]], 'Colaborador ID'!B:C, 2, FALSE))</f>
        <v/>
      </c>
      <c r="C1627" s="56"/>
      <c r="D1627" s="57"/>
      <c r="E1627" s="57"/>
      <c r="F1627" s="57"/>
      <c r="G1627" s="58"/>
      <c r="H1627" s="58"/>
      <c r="I1627" s="57"/>
      <c r="J1627" s="57"/>
      <c r="K1627" s="57"/>
    </row>
    <row r="1628" spans="1:11" ht="19.5" customHeight="1" x14ac:dyDescent="0.3">
      <c r="A1628" s="46">
        <v>1625</v>
      </c>
      <c r="B1628" s="57" t="str">
        <f>IF(Tabla1[[#This Row],[TRABAJADOR]]="", "", VLOOKUP(Tabla1[[#This Row],[TRABAJADOR]], 'Colaborador ID'!B:C, 2, FALSE))</f>
        <v/>
      </c>
      <c r="C1628" s="56"/>
      <c r="D1628" s="57"/>
      <c r="E1628" s="57"/>
      <c r="F1628" s="57"/>
      <c r="G1628" s="58"/>
      <c r="H1628" s="58"/>
      <c r="I1628" s="57"/>
      <c r="J1628" s="57"/>
      <c r="K1628" s="57"/>
    </row>
    <row r="1629" spans="1:11" ht="19.5" customHeight="1" x14ac:dyDescent="0.3">
      <c r="A1629" s="46">
        <v>1626</v>
      </c>
      <c r="B1629" s="57" t="str">
        <f>IF(Tabla1[[#This Row],[TRABAJADOR]]="", "", VLOOKUP(Tabla1[[#This Row],[TRABAJADOR]], 'Colaborador ID'!B:C, 2, FALSE))</f>
        <v/>
      </c>
      <c r="C1629" s="56"/>
      <c r="D1629" s="57"/>
      <c r="E1629" s="57"/>
      <c r="F1629" s="57"/>
      <c r="G1629" s="58"/>
      <c r="H1629" s="58"/>
      <c r="I1629" s="57"/>
      <c r="J1629" s="57"/>
      <c r="K1629" s="57"/>
    </row>
    <row r="1630" spans="1:11" ht="19.5" customHeight="1" x14ac:dyDescent="0.3">
      <c r="A1630" s="46">
        <v>1627</v>
      </c>
      <c r="B1630" s="57" t="str">
        <f>IF(Tabla1[[#This Row],[TRABAJADOR]]="", "", VLOOKUP(Tabla1[[#This Row],[TRABAJADOR]], 'Colaborador ID'!B:C, 2, FALSE))</f>
        <v/>
      </c>
      <c r="C1630" s="56"/>
      <c r="D1630" s="57"/>
      <c r="E1630" s="57"/>
      <c r="F1630" s="57"/>
      <c r="G1630" s="58"/>
      <c r="H1630" s="58"/>
      <c r="I1630" s="57"/>
      <c r="J1630" s="57"/>
      <c r="K1630" s="57"/>
    </row>
    <row r="1631" spans="1:11" ht="19.5" customHeight="1" x14ac:dyDescent="0.3">
      <c r="A1631" s="46">
        <v>1628</v>
      </c>
      <c r="B1631" s="57" t="str">
        <f>IF(Tabla1[[#This Row],[TRABAJADOR]]="", "", VLOOKUP(Tabla1[[#This Row],[TRABAJADOR]], 'Colaborador ID'!B:C, 2, FALSE))</f>
        <v/>
      </c>
      <c r="C1631" s="56"/>
      <c r="D1631" s="57"/>
      <c r="E1631" s="57"/>
      <c r="F1631" s="57"/>
      <c r="G1631" s="58"/>
      <c r="H1631" s="58"/>
      <c r="I1631" s="57"/>
      <c r="J1631" s="57"/>
      <c r="K1631" s="57"/>
    </row>
    <row r="1632" spans="1:11" ht="19.5" customHeight="1" x14ac:dyDescent="0.3">
      <c r="A1632" s="46">
        <v>1629</v>
      </c>
      <c r="B1632" s="57" t="str">
        <f>IF(Tabla1[[#This Row],[TRABAJADOR]]="", "", VLOOKUP(Tabla1[[#This Row],[TRABAJADOR]], 'Colaborador ID'!B:C, 2, FALSE))</f>
        <v/>
      </c>
      <c r="C1632" s="56"/>
      <c r="D1632" s="57"/>
      <c r="E1632" s="57"/>
      <c r="F1632" s="57"/>
      <c r="G1632" s="58"/>
      <c r="H1632" s="58"/>
      <c r="I1632" s="57"/>
      <c r="J1632" s="57"/>
      <c r="K1632" s="57"/>
    </row>
    <row r="1633" spans="1:11" ht="19.5" customHeight="1" x14ac:dyDescent="0.3">
      <c r="A1633" s="46">
        <v>1630</v>
      </c>
      <c r="B1633" s="57" t="str">
        <f>IF(Tabla1[[#This Row],[TRABAJADOR]]="", "", VLOOKUP(Tabla1[[#This Row],[TRABAJADOR]], 'Colaborador ID'!B:C, 2, FALSE))</f>
        <v/>
      </c>
      <c r="C1633" s="56"/>
      <c r="D1633" s="57"/>
      <c r="E1633" s="57"/>
      <c r="F1633" s="57"/>
      <c r="G1633" s="58"/>
      <c r="H1633" s="58"/>
      <c r="I1633" s="57"/>
      <c r="J1633" s="57"/>
      <c r="K1633" s="57"/>
    </row>
    <row r="1634" spans="1:11" ht="19.5" customHeight="1" x14ac:dyDescent="0.3">
      <c r="A1634" s="46">
        <v>1631</v>
      </c>
      <c r="B1634" s="57" t="str">
        <f>IF(Tabla1[[#This Row],[TRABAJADOR]]="", "", VLOOKUP(Tabla1[[#This Row],[TRABAJADOR]], 'Colaborador ID'!B:C, 2, FALSE))</f>
        <v/>
      </c>
      <c r="C1634" s="56"/>
      <c r="D1634" s="57"/>
      <c r="E1634" s="57"/>
      <c r="F1634" s="57"/>
      <c r="G1634" s="58"/>
      <c r="H1634" s="58"/>
      <c r="I1634" s="57"/>
      <c r="J1634" s="57"/>
      <c r="K1634" s="57"/>
    </row>
    <row r="1635" spans="1:11" ht="19.5" customHeight="1" x14ac:dyDescent="0.3">
      <c r="A1635" s="46">
        <v>1632</v>
      </c>
      <c r="B1635" s="57" t="str">
        <f>IF(Tabla1[[#This Row],[TRABAJADOR]]="", "", VLOOKUP(Tabla1[[#This Row],[TRABAJADOR]], 'Colaborador ID'!B:C, 2, FALSE))</f>
        <v/>
      </c>
      <c r="C1635" s="56"/>
      <c r="D1635" s="57"/>
      <c r="E1635" s="57"/>
      <c r="F1635" s="57"/>
      <c r="G1635" s="58"/>
      <c r="H1635" s="58"/>
      <c r="I1635" s="57"/>
      <c r="J1635" s="57"/>
      <c r="K1635" s="57"/>
    </row>
    <row r="1636" spans="1:11" ht="19.5" customHeight="1" x14ac:dyDescent="0.3">
      <c r="A1636" s="46">
        <v>1633</v>
      </c>
      <c r="B1636" s="57" t="str">
        <f>IF(Tabla1[[#This Row],[TRABAJADOR]]="", "", VLOOKUP(Tabla1[[#This Row],[TRABAJADOR]], 'Colaborador ID'!B:C, 2, FALSE))</f>
        <v/>
      </c>
      <c r="C1636" s="56"/>
      <c r="D1636" s="57"/>
      <c r="E1636" s="57"/>
      <c r="F1636" s="57"/>
      <c r="G1636" s="58"/>
      <c r="H1636" s="58"/>
      <c r="I1636" s="57"/>
      <c r="J1636" s="57"/>
      <c r="K1636" s="57"/>
    </row>
    <row r="1637" spans="1:11" ht="19.5" customHeight="1" x14ac:dyDescent="0.3">
      <c r="A1637" s="46">
        <v>1634</v>
      </c>
      <c r="B1637" s="57" t="str">
        <f>IF(Tabla1[[#This Row],[TRABAJADOR]]="", "", VLOOKUP(Tabla1[[#This Row],[TRABAJADOR]], 'Colaborador ID'!B:C, 2, FALSE))</f>
        <v/>
      </c>
      <c r="C1637" s="56"/>
      <c r="D1637" s="57"/>
      <c r="E1637" s="57"/>
      <c r="F1637" s="57"/>
      <c r="G1637" s="58"/>
      <c r="H1637" s="58"/>
      <c r="I1637" s="57"/>
      <c r="J1637" s="57"/>
      <c r="K1637" s="57"/>
    </row>
    <row r="1638" spans="1:11" ht="19.5" customHeight="1" x14ac:dyDescent="0.3">
      <c r="A1638" s="46">
        <v>1635</v>
      </c>
      <c r="B1638" s="57" t="str">
        <f>IF(Tabla1[[#This Row],[TRABAJADOR]]="", "", VLOOKUP(Tabla1[[#This Row],[TRABAJADOR]], 'Colaborador ID'!B:C, 2, FALSE))</f>
        <v/>
      </c>
      <c r="C1638" s="56"/>
      <c r="D1638" s="57"/>
      <c r="E1638" s="57"/>
      <c r="F1638" s="57"/>
      <c r="G1638" s="58"/>
      <c r="H1638" s="58"/>
      <c r="I1638" s="57"/>
      <c r="J1638" s="57"/>
      <c r="K1638" s="57"/>
    </row>
    <row r="1639" spans="1:11" ht="19.5" customHeight="1" x14ac:dyDescent="0.3">
      <c r="A1639" s="46">
        <v>1636</v>
      </c>
      <c r="B1639" s="57" t="str">
        <f>IF(Tabla1[[#This Row],[TRABAJADOR]]="", "", VLOOKUP(Tabla1[[#This Row],[TRABAJADOR]], 'Colaborador ID'!B:C, 2, FALSE))</f>
        <v/>
      </c>
      <c r="C1639" s="56"/>
      <c r="D1639" s="57"/>
      <c r="E1639" s="57"/>
      <c r="F1639" s="57"/>
      <c r="G1639" s="58"/>
      <c r="H1639" s="58"/>
      <c r="I1639" s="57"/>
      <c r="J1639" s="57"/>
      <c r="K1639" s="57"/>
    </row>
    <row r="1640" spans="1:11" ht="19.5" customHeight="1" x14ac:dyDescent="0.3">
      <c r="A1640" s="46">
        <v>1637</v>
      </c>
      <c r="B1640" s="57" t="str">
        <f>IF(Tabla1[[#This Row],[TRABAJADOR]]="", "", VLOOKUP(Tabla1[[#This Row],[TRABAJADOR]], 'Colaborador ID'!B:C, 2, FALSE))</f>
        <v/>
      </c>
      <c r="C1640" s="56"/>
      <c r="D1640" s="57"/>
      <c r="E1640" s="57"/>
      <c r="F1640" s="57"/>
      <c r="G1640" s="58"/>
      <c r="H1640" s="58"/>
      <c r="I1640" s="57"/>
      <c r="J1640" s="57"/>
      <c r="K1640" s="57"/>
    </row>
    <row r="1641" spans="1:11" ht="19.5" customHeight="1" x14ac:dyDescent="0.3">
      <c r="A1641" s="46">
        <v>1638</v>
      </c>
      <c r="B1641" s="57" t="str">
        <f>IF(Tabla1[[#This Row],[TRABAJADOR]]="", "", VLOOKUP(Tabla1[[#This Row],[TRABAJADOR]], 'Colaborador ID'!B:C, 2, FALSE))</f>
        <v/>
      </c>
      <c r="C1641" s="56"/>
      <c r="D1641" s="57"/>
      <c r="E1641" s="57"/>
      <c r="F1641" s="57"/>
      <c r="G1641" s="58"/>
      <c r="H1641" s="58"/>
      <c r="I1641" s="57"/>
      <c r="J1641" s="57"/>
      <c r="K1641" s="57"/>
    </row>
    <row r="1642" spans="1:11" ht="19.5" customHeight="1" x14ac:dyDescent="0.3">
      <c r="A1642" s="46">
        <v>1639</v>
      </c>
      <c r="B1642" s="57" t="str">
        <f>IF(Tabla1[[#This Row],[TRABAJADOR]]="", "", VLOOKUP(Tabla1[[#This Row],[TRABAJADOR]], 'Colaborador ID'!B:C, 2, FALSE))</f>
        <v/>
      </c>
      <c r="C1642" s="56"/>
      <c r="D1642" s="57"/>
      <c r="E1642" s="57"/>
      <c r="F1642" s="57"/>
      <c r="G1642" s="58"/>
      <c r="H1642" s="58"/>
      <c r="I1642" s="57"/>
      <c r="J1642" s="57"/>
      <c r="K1642" s="57"/>
    </row>
    <row r="1643" spans="1:11" ht="19.5" customHeight="1" x14ac:dyDescent="0.3">
      <c r="A1643" s="46">
        <v>1640</v>
      </c>
      <c r="B1643" s="57" t="str">
        <f>IF(Tabla1[[#This Row],[TRABAJADOR]]="", "", VLOOKUP(Tabla1[[#This Row],[TRABAJADOR]], 'Colaborador ID'!B:C, 2, FALSE))</f>
        <v/>
      </c>
      <c r="C1643" s="56"/>
      <c r="D1643" s="57"/>
      <c r="E1643" s="57"/>
      <c r="F1643" s="57"/>
      <c r="G1643" s="58"/>
      <c r="H1643" s="58"/>
      <c r="I1643" s="57"/>
      <c r="J1643" s="57"/>
      <c r="K1643" s="57"/>
    </row>
    <row r="1644" spans="1:11" ht="19.5" customHeight="1" x14ac:dyDescent="0.3">
      <c r="A1644" s="46">
        <v>1641</v>
      </c>
      <c r="B1644" s="57" t="str">
        <f>IF(Tabla1[[#This Row],[TRABAJADOR]]="", "", VLOOKUP(Tabla1[[#This Row],[TRABAJADOR]], 'Colaborador ID'!B:C, 2, FALSE))</f>
        <v/>
      </c>
      <c r="C1644" s="56"/>
      <c r="D1644" s="57"/>
      <c r="E1644" s="57"/>
      <c r="F1644" s="57"/>
      <c r="G1644" s="58"/>
      <c r="H1644" s="58"/>
      <c r="I1644" s="57"/>
      <c r="J1644" s="57"/>
      <c r="K1644" s="57"/>
    </row>
    <row r="1645" spans="1:11" ht="19.5" customHeight="1" x14ac:dyDescent="0.3">
      <c r="A1645" s="46">
        <v>1642</v>
      </c>
      <c r="B1645" s="57" t="str">
        <f>IF(Tabla1[[#This Row],[TRABAJADOR]]="", "", VLOOKUP(Tabla1[[#This Row],[TRABAJADOR]], 'Colaborador ID'!B:C, 2, FALSE))</f>
        <v/>
      </c>
      <c r="C1645" s="56"/>
      <c r="D1645" s="57"/>
      <c r="E1645" s="57"/>
      <c r="F1645" s="57"/>
      <c r="G1645" s="58"/>
      <c r="H1645" s="58"/>
      <c r="I1645" s="57"/>
      <c r="J1645" s="57"/>
      <c r="K1645" s="57"/>
    </row>
    <row r="1646" spans="1:11" ht="19.5" customHeight="1" x14ac:dyDescent="0.3">
      <c r="A1646" s="46">
        <v>1643</v>
      </c>
      <c r="B1646" s="57" t="str">
        <f>IF(Tabla1[[#This Row],[TRABAJADOR]]="", "", VLOOKUP(Tabla1[[#This Row],[TRABAJADOR]], 'Colaborador ID'!B:C, 2, FALSE))</f>
        <v/>
      </c>
      <c r="C1646" s="56"/>
      <c r="D1646" s="57"/>
      <c r="E1646" s="57"/>
      <c r="F1646" s="57"/>
      <c r="G1646" s="58"/>
      <c r="H1646" s="58"/>
      <c r="I1646" s="57"/>
      <c r="J1646" s="57"/>
      <c r="K1646" s="57"/>
    </row>
    <row r="1647" spans="1:11" ht="19.5" customHeight="1" x14ac:dyDescent="0.3">
      <c r="A1647" s="46">
        <v>1644</v>
      </c>
      <c r="B1647" s="57" t="str">
        <f>IF(Tabla1[[#This Row],[TRABAJADOR]]="", "", VLOOKUP(Tabla1[[#This Row],[TRABAJADOR]], 'Colaborador ID'!B:C, 2, FALSE))</f>
        <v/>
      </c>
      <c r="C1647" s="56"/>
      <c r="D1647" s="57"/>
      <c r="E1647" s="57"/>
      <c r="F1647" s="57"/>
      <c r="G1647" s="58"/>
      <c r="H1647" s="58"/>
      <c r="I1647" s="57"/>
      <c r="J1647" s="57"/>
      <c r="K1647" s="57"/>
    </row>
    <row r="1648" spans="1:11" ht="19.5" customHeight="1" x14ac:dyDescent="0.3">
      <c r="A1648" s="46">
        <v>1645</v>
      </c>
      <c r="B1648" s="57" t="str">
        <f>IF(Tabla1[[#This Row],[TRABAJADOR]]="", "", VLOOKUP(Tabla1[[#This Row],[TRABAJADOR]], 'Colaborador ID'!B:C, 2, FALSE))</f>
        <v/>
      </c>
      <c r="C1648" s="56"/>
      <c r="D1648" s="57"/>
      <c r="E1648" s="57"/>
      <c r="F1648" s="57"/>
      <c r="G1648" s="58"/>
      <c r="H1648" s="58"/>
      <c r="I1648" s="57"/>
      <c r="J1648" s="57"/>
      <c r="K1648" s="57"/>
    </row>
    <row r="1649" spans="1:11" ht="19.5" customHeight="1" x14ac:dyDescent="0.3">
      <c r="A1649" s="46">
        <v>1646</v>
      </c>
      <c r="B1649" s="57" t="str">
        <f>IF(Tabla1[[#This Row],[TRABAJADOR]]="", "", VLOOKUP(Tabla1[[#This Row],[TRABAJADOR]], 'Colaborador ID'!B:C, 2, FALSE))</f>
        <v/>
      </c>
      <c r="C1649" s="56"/>
      <c r="D1649" s="57"/>
      <c r="E1649" s="57"/>
      <c r="F1649" s="57"/>
      <c r="G1649" s="58"/>
      <c r="H1649" s="58"/>
      <c r="I1649" s="57"/>
      <c r="J1649" s="57"/>
      <c r="K1649" s="57"/>
    </row>
    <row r="1650" spans="1:11" ht="19.5" customHeight="1" x14ac:dyDescent="0.3">
      <c r="A1650" s="46">
        <v>1647</v>
      </c>
      <c r="B1650" s="57" t="str">
        <f>IF(Tabla1[[#This Row],[TRABAJADOR]]="", "", VLOOKUP(Tabla1[[#This Row],[TRABAJADOR]], 'Colaborador ID'!B:C, 2, FALSE))</f>
        <v/>
      </c>
      <c r="C1650" s="56"/>
      <c r="D1650" s="57"/>
      <c r="E1650" s="57"/>
      <c r="F1650" s="57"/>
      <c r="G1650" s="58"/>
      <c r="H1650" s="58"/>
      <c r="I1650" s="57"/>
      <c r="J1650" s="57"/>
      <c r="K1650" s="57"/>
    </row>
    <row r="1651" spans="1:11" ht="19.5" customHeight="1" x14ac:dyDescent="0.3">
      <c r="A1651" s="46">
        <v>1648</v>
      </c>
      <c r="B1651" s="57" t="str">
        <f>IF(Tabla1[[#This Row],[TRABAJADOR]]="", "", VLOOKUP(Tabla1[[#This Row],[TRABAJADOR]], 'Colaborador ID'!B:C, 2, FALSE))</f>
        <v/>
      </c>
      <c r="C1651" s="56"/>
      <c r="D1651" s="57"/>
      <c r="E1651" s="57"/>
      <c r="F1651" s="57"/>
      <c r="G1651" s="58"/>
      <c r="H1651" s="58"/>
      <c r="I1651" s="57"/>
      <c r="J1651" s="57"/>
      <c r="K1651" s="57"/>
    </row>
    <row r="1652" spans="1:11" ht="19.5" customHeight="1" x14ac:dyDescent="0.3">
      <c r="A1652" s="46">
        <v>1649</v>
      </c>
      <c r="B1652" s="57" t="str">
        <f>IF(Tabla1[[#This Row],[TRABAJADOR]]="", "", VLOOKUP(Tabla1[[#This Row],[TRABAJADOR]], 'Colaborador ID'!B:C, 2, FALSE))</f>
        <v/>
      </c>
      <c r="C1652" s="56"/>
      <c r="D1652" s="57"/>
      <c r="E1652" s="57"/>
      <c r="F1652" s="57"/>
      <c r="G1652" s="58"/>
      <c r="H1652" s="58"/>
      <c r="I1652" s="57"/>
      <c r="J1652" s="57"/>
      <c r="K1652" s="57"/>
    </row>
    <row r="1653" spans="1:11" ht="19.5" customHeight="1" x14ac:dyDescent="0.3">
      <c r="A1653" s="46">
        <v>1650</v>
      </c>
      <c r="B1653" s="57" t="str">
        <f>IF(Tabla1[[#This Row],[TRABAJADOR]]="", "", VLOOKUP(Tabla1[[#This Row],[TRABAJADOR]], 'Colaborador ID'!B:C, 2, FALSE))</f>
        <v/>
      </c>
      <c r="C1653" s="56"/>
      <c r="D1653" s="57"/>
      <c r="E1653" s="57"/>
      <c r="F1653" s="57"/>
      <c r="G1653" s="58"/>
      <c r="H1653" s="58"/>
      <c r="I1653" s="57"/>
      <c r="J1653" s="57"/>
      <c r="K1653" s="57"/>
    </row>
    <row r="1654" spans="1:11" ht="19.5" customHeight="1" x14ac:dyDescent="0.3">
      <c r="A1654" s="46">
        <v>1651</v>
      </c>
      <c r="B1654" s="57" t="str">
        <f>IF(Tabla1[[#This Row],[TRABAJADOR]]="", "", VLOOKUP(Tabla1[[#This Row],[TRABAJADOR]], 'Colaborador ID'!B:C, 2, FALSE))</f>
        <v/>
      </c>
      <c r="C1654" s="56"/>
      <c r="D1654" s="57"/>
      <c r="E1654" s="57"/>
      <c r="F1654" s="57"/>
      <c r="G1654" s="58"/>
      <c r="H1654" s="58"/>
      <c r="I1654" s="57"/>
      <c r="J1654" s="57"/>
      <c r="K1654" s="57"/>
    </row>
    <row r="1655" spans="1:11" ht="19.5" customHeight="1" x14ac:dyDescent="0.3">
      <c r="A1655" s="46">
        <v>1652</v>
      </c>
      <c r="B1655" s="57" t="str">
        <f>IF(Tabla1[[#This Row],[TRABAJADOR]]="", "", VLOOKUP(Tabla1[[#This Row],[TRABAJADOR]], 'Colaborador ID'!B:C, 2, FALSE))</f>
        <v/>
      </c>
      <c r="C1655" s="56"/>
      <c r="D1655" s="57"/>
      <c r="E1655" s="57"/>
      <c r="F1655" s="57"/>
      <c r="G1655" s="58"/>
      <c r="H1655" s="58"/>
      <c r="I1655" s="57"/>
      <c r="J1655" s="57"/>
      <c r="K1655" s="57"/>
    </row>
    <row r="1656" spans="1:11" ht="19.5" customHeight="1" x14ac:dyDescent="0.3">
      <c r="A1656" s="46">
        <v>1653</v>
      </c>
      <c r="B1656" s="57" t="str">
        <f>IF(Tabla1[[#This Row],[TRABAJADOR]]="", "", VLOOKUP(Tabla1[[#This Row],[TRABAJADOR]], 'Colaborador ID'!B:C, 2, FALSE))</f>
        <v/>
      </c>
      <c r="C1656" s="56"/>
      <c r="D1656" s="57"/>
      <c r="E1656" s="57"/>
      <c r="F1656" s="57"/>
      <c r="G1656" s="58"/>
      <c r="H1656" s="58"/>
      <c r="I1656" s="57"/>
      <c r="J1656" s="57"/>
      <c r="K1656" s="57"/>
    </row>
    <row r="1657" spans="1:11" ht="19.5" customHeight="1" x14ac:dyDescent="0.3">
      <c r="A1657" s="46">
        <v>1654</v>
      </c>
      <c r="B1657" s="57" t="str">
        <f>IF(Tabla1[[#This Row],[TRABAJADOR]]="", "", VLOOKUP(Tabla1[[#This Row],[TRABAJADOR]], 'Colaborador ID'!B:C, 2, FALSE))</f>
        <v/>
      </c>
      <c r="C1657" s="56"/>
      <c r="D1657" s="57"/>
      <c r="E1657" s="57"/>
      <c r="F1657" s="57"/>
      <c r="G1657" s="58"/>
      <c r="H1657" s="58"/>
      <c r="I1657" s="57"/>
      <c r="J1657" s="57"/>
      <c r="K1657" s="57"/>
    </row>
    <row r="1658" spans="1:11" ht="19.5" customHeight="1" x14ac:dyDescent="0.3">
      <c r="A1658" s="46">
        <v>1655</v>
      </c>
      <c r="B1658" s="57" t="str">
        <f>IF(Tabla1[[#This Row],[TRABAJADOR]]="", "", VLOOKUP(Tabla1[[#This Row],[TRABAJADOR]], 'Colaborador ID'!B:C, 2, FALSE))</f>
        <v/>
      </c>
      <c r="C1658" s="56"/>
      <c r="D1658" s="57"/>
      <c r="E1658" s="57"/>
      <c r="F1658" s="57"/>
      <c r="G1658" s="58"/>
      <c r="H1658" s="58"/>
      <c r="I1658" s="57"/>
      <c r="J1658" s="57"/>
      <c r="K1658" s="57"/>
    </row>
    <row r="1659" spans="1:11" ht="19.5" customHeight="1" x14ac:dyDescent="0.3">
      <c r="A1659" s="46">
        <v>1656</v>
      </c>
      <c r="B1659" s="57" t="str">
        <f>IF(Tabla1[[#This Row],[TRABAJADOR]]="", "", VLOOKUP(Tabla1[[#This Row],[TRABAJADOR]], 'Colaborador ID'!B:C, 2, FALSE))</f>
        <v/>
      </c>
      <c r="C1659" s="56"/>
      <c r="D1659" s="57"/>
      <c r="E1659" s="57"/>
      <c r="F1659" s="57"/>
      <c r="G1659" s="58"/>
      <c r="H1659" s="58"/>
      <c r="I1659" s="57"/>
      <c r="J1659" s="57"/>
      <c r="K1659" s="57"/>
    </row>
    <row r="1660" spans="1:11" ht="19.5" customHeight="1" x14ac:dyDescent="0.3">
      <c r="A1660" s="46">
        <v>1657</v>
      </c>
      <c r="B1660" s="57" t="str">
        <f>IF(Tabla1[[#This Row],[TRABAJADOR]]="", "", VLOOKUP(Tabla1[[#This Row],[TRABAJADOR]], 'Colaborador ID'!B:C, 2, FALSE))</f>
        <v/>
      </c>
      <c r="C1660" s="56"/>
      <c r="D1660" s="57"/>
      <c r="E1660" s="57"/>
      <c r="F1660" s="57"/>
      <c r="G1660" s="58"/>
      <c r="H1660" s="58"/>
      <c r="I1660" s="57"/>
      <c r="J1660" s="57"/>
      <c r="K1660" s="57"/>
    </row>
    <row r="1661" spans="1:11" ht="19.5" customHeight="1" x14ac:dyDescent="0.3">
      <c r="A1661" s="46">
        <v>1658</v>
      </c>
      <c r="B1661" s="57" t="str">
        <f>IF(Tabla1[[#This Row],[TRABAJADOR]]="", "", VLOOKUP(Tabla1[[#This Row],[TRABAJADOR]], 'Colaborador ID'!B:C, 2, FALSE))</f>
        <v/>
      </c>
      <c r="C1661" s="56"/>
      <c r="D1661" s="57"/>
      <c r="E1661" s="57"/>
      <c r="F1661" s="57"/>
      <c r="G1661" s="58"/>
      <c r="H1661" s="58"/>
      <c r="I1661" s="57"/>
      <c r="J1661" s="57"/>
      <c r="K1661" s="57"/>
    </row>
    <row r="1662" spans="1:11" ht="19.5" customHeight="1" x14ac:dyDescent="0.3">
      <c r="A1662" s="46">
        <v>1659</v>
      </c>
      <c r="B1662" s="57" t="str">
        <f>IF(Tabla1[[#This Row],[TRABAJADOR]]="", "", VLOOKUP(Tabla1[[#This Row],[TRABAJADOR]], 'Colaborador ID'!B:C, 2, FALSE))</f>
        <v/>
      </c>
      <c r="C1662" s="56"/>
      <c r="D1662" s="57"/>
      <c r="E1662" s="57"/>
      <c r="F1662" s="57"/>
      <c r="G1662" s="58"/>
      <c r="H1662" s="58"/>
      <c r="I1662" s="57"/>
      <c r="J1662" s="57"/>
      <c r="K1662" s="57"/>
    </row>
    <row r="1663" spans="1:11" ht="19.5" customHeight="1" x14ac:dyDescent="0.3">
      <c r="A1663" s="46">
        <v>1660</v>
      </c>
      <c r="B1663" s="57" t="str">
        <f>IF(Tabla1[[#This Row],[TRABAJADOR]]="", "", VLOOKUP(Tabla1[[#This Row],[TRABAJADOR]], 'Colaborador ID'!B:C, 2, FALSE))</f>
        <v/>
      </c>
      <c r="C1663" s="56"/>
      <c r="D1663" s="57"/>
      <c r="E1663" s="57"/>
      <c r="F1663" s="57"/>
      <c r="G1663" s="58"/>
      <c r="H1663" s="58"/>
      <c r="I1663" s="57"/>
      <c r="J1663" s="57"/>
      <c r="K1663" s="57"/>
    </row>
    <row r="1664" spans="1:11" ht="19.5" customHeight="1" x14ac:dyDescent="0.3">
      <c r="A1664" s="46">
        <v>1661</v>
      </c>
      <c r="B1664" s="57" t="str">
        <f>IF(Tabla1[[#This Row],[TRABAJADOR]]="", "", VLOOKUP(Tabla1[[#This Row],[TRABAJADOR]], 'Colaborador ID'!B:C, 2, FALSE))</f>
        <v/>
      </c>
      <c r="C1664" s="56"/>
      <c r="D1664" s="57"/>
      <c r="E1664" s="57"/>
      <c r="F1664" s="57"/>
      <c r="G1664" s="58"/>
      <c r="H1664" s="58"/>
      <c r="I1664" s="57"/>
      <c r="J1664" s="57"/>
      <c r="K1664" s="57"/>
    </row>
    <row r="1665" spans="1:11" ht="19.5" customHeight="1" x14ac:dyDescent="0.3">
      <c r="A1665" s="46">
        <v>1662</v>
      </c>
      <c r="B1665" s="57" t="str">
        <f>IF(Tabla1[[#This Row],[TRABAJADOR]]="", "", VLOOKUP(Tabla1[[#This Row],[TRABAJADOR]], 'Colaborador ID'!B:C, 2, FALSE))</f>
        <v/>
      </c>
      <c r="C1665" s="56"/>
      <c r="D1665" s="57"/>
      <c r="E1665" s="57"/>
      <c r="F1665" s="57"/>
      <c r="G1665" s="58"/>
      <c r="H1665" s="58"/>
      <c r="I1665" s="57"/>
      <c r="J1665" s="57"/>
      <c r="K1665" s="57"/>
    </row>
    <row r="1666" spans="1:11" ht="19.5" customHeight="1" x14ac:dyDescent="0.3">
      <c r="A1666" s="46">
        <v>1663</v>
      </c>
      <c r="B1666" s="57" t="str">
        <f>IF(Tabla1[[#This Row],[TRABAJADOR]]="", "", VLOOKUP(Tabla1[[#This Row],[TRABAJADOR]], 'Colaborador ID'!B:C, 2, FALSE))</f>
        <v/>
      </c>
      <c r="C1666" s="56"/>
      <c r="D1666" s="57"/>
      <c r="E1666" s="57"/>
      <c r="F1666" s="57"/>
      <c r="G1666" s="58"/>
      <c r="H1666" s="58"/>
      <c r="I1666" s="57"/>
      <c r="J1666" s="57"/>
      <c r="K1666" s="57"/>
    </row>
    <row r="1667" spans="1:11" ht="19.5" customHeight="1" x14ac:dyDescent="0.3">
      <c r="A1667" s="46">
        <v>1664</v>
      </c>
      <c r="B1667" s="57" t="str">
        <f>IF(Tabla1[[#This Row],[TRABAJADOR]]="", "", VLOOKUP(Tabla1[[#This Row],[TRABAJADOR]], 'Colaborador ID'!B:C, 2, FALSE))</f>
        <v/>
      </c>
      <c r="C1667" s="56"/>
      <c r="D1667" s="57"/>
      <c r="E1667" s="57"/>
      <c r="F1667" s="57"/>
      <c r="G1667" s="58"/>
      <c r="H1667" s="58"/>
      <c r="I1667" s="57"/>
      <c r="J1667" s="57"/>
      <c r="K1667" s="57"/>
    </row>
    <row r="1668" spans="1:11" ht="19.5" customHeight="1" x14ac:dyDescent="0.3">
      <c r="A1668" s="46">
        <v>1665</v>
      </c>
      <c r="B1668" s="57" t="str">
        <f>IF(Tabla1[[#This Row],[TRABAJADOR]]="", "", VLOOKUP(Tabla1[[#This Row],[TRABAJADOR]], 'Colaborador ID'!B:C, 2, FALSE))</f>
        <v/>
      </c>
      <c r="C1668" s="56"/>
      <c r="D1668" s="57"/>
      <c r="E1668" s="57"/>
      <c r="F1668" s="57"/>
      <c r="G1668" s="58"/>
      <c r="H1668" s="58"/>
      <c r="I1668" s="57"/>
      <c r="J1668" s="57"/>
      <c r="K1668" s="57"/>
    </row>
    <row r="1669" spans="1:11" ht="19.5" customHeight="1" x14ac:dyDescent="0.3">
      <c r="A1669" s="46">
        <v>1666</v>
      </c>
      <c r="B1669" s="57" t="str">
        <f>IF(Tabla1[[#This Row],[TRABAJADOR]]="", "", VLOOKUP(Tabla1[[#This Row],[TRABAJADOR]], 'Colaborador ID'!B:C, 2, FALSE))</f>
        <v/>
      </c>
      <c r="C1669" s="56"/>
      <c r="D1669" s="57"/>
      <c r="E1669" s="57"/>
      <c r="F1669" s="57"/>
      <c r="G1669" s="58"/>
      <c r="H1669" s="58"/>
      <c r="I1669" s="57"/>
      <c r="J1669" s="57"/>
      <c r="K1669" s="57"/>
    </row>
    <row r="1670" spans="1:11" ht="19.5" customHeight="1" x14ac:dyDescent="0.3">
      <c r="A1670" s="46">
        <v>1667</v>
      </c>
      <c r="B1670" s="57" t="str">
        <f>IF(Tabla1[[#This Row],[TRABAJADOR]]="", "", VLOOKUP(Tabla1[[#This Row],[TRABAJADOR]], 'Colaborador ID'!B:C, 2, FALSE))</f>
        <v/>
      </c>
      <c r="C1670" s="56"/>
      <c r="D1670" s="57"/>
      <c r="E1670" s="57"/>
      <c r="F1670" s="57"/>
      <c r="G1670" s="58"/>
      <c r="H1670" s="58"/>
      <c r="I1670" s="57"/>
      <c r="J1670" s="57"/>
      <c r="K1670" s="57"/>
    </row>
    <row r="1671" spans="1:11" ht="19.5" customHeight="1" x14ac:dyDescent="0.3">
      <c r="A1671" s="46">
        <v>1668</v>
      </c>
      <c r="B1671" s="57" t="str">
        <f>IF(Tabla1[[#This Row],[TRABAJADOR]]="", "", VLOOKUP(Tabla1[[#This Row],[TRABAJADOR]], 'Colaborador ID'!B:C, 2, FALSE))</f>
        <v/>
      </c>
      <c r="C1671" s="56"/>
      <c r="D1671" s="57"/>
      <c r="E1671" s="57"/>
      <c r="F1671" s="57"/>
      <c r="G1671" s="58"/>
      <c r="H1671" s="58"/>
      <c r="I1671" s="57"/>
      <c r="J1671" s="57"/>
      <c r="K1671" s="57"/>
    </row>
    <row r="1672" spans="1:11" ht="19.5" customHeight="1" x14ac:dyDescent="0.3">
      <c r="A1672" s="46">
        <v>1669</v>
      </c>
      <c r="B1672" s="57" t="str">
        <f>IF(Tabla1[[#This Row],[TRABAJADOR]]="", "", VLOOKUP(Tabla1[[#This Row],[TRABAJADOR]], 'Colaborador ID'!B:C, 2, FALSE))</f>
        <v/>
      </c>
      <c r="C1672" s="56"/>
      <c r="D1672" s="57"/>
      <c r="E1672" s="57"/>
      <c r="F1672" s="57"/>
      <c r="G1672" s="58"/>
      <c r="H1672" s="58"/>
      <c r="I1672" s="57"/>
      <c r="J1672" s="57"/>
      <c r="K1672" s="57"/>
    </row>
    <row r="1673" spans="1:11" ht="19.5" customHeight="1" x14ac:dyDescent="0.3">
      <c r="A1673" s="46">
        <v>1670</v>
      </c>
      <c r="B1673" s="57" t="str">
        <f>IF(Tabla1[[#This Row],[TRABAJADOR]]="", "", VLOOKUP(Tabla1[[#This Row],[TRABAJADOR]], 'Colaborador ID'!B:C, 2, FALSE))</f>
        <v/>
      </c>
      <c r="C1673" s="56"/>
      <c r="D1673" s="57"/>
      <c r="E1673" s="57"/>
      <c r="F1673" s="57"/>
      <c r="G1673" s="58"/>
      <c r="H1673" s="58"/>
      <c r="I1673" s="57"/>
      <c r="J1673" s="57"/>
      <c r="K1673" s="57"/>
    </row>
    <row r="1674" spans="1:11" ht="19.5" customHeight="1" x14ac:dyDescent="0.3">
      <c r="A1674" s="46">
        <v>1671</v>
      </c>
      <c r="B1674" s="57" t="str">
        <f>IF(Tabla1[[#This Row],[TRABAJADOR]]="", "", VLOOKUP(Tabla1[[#This Row],[TRABAJADOR]], 'Colaborador ID'!B:C, 2, FALSE))</f>
        <v/>
      </c>
      <c r="C1674" s="56"/>
      <c r="D1674" s="57"/>
      <c r="E1674" s="57"/>
      <c r="F1674" s="57"/>
      <c r="G1674" s="58"/>
      <c r="H1674" s="58"/>
      <c r="I1674" s="57"/>
      <c r="J1674" s="57"/>
      <c r="K1674" s="57"/>
    </row>
    <row r="1675" spans="1:11" ht="19.5" customHeight="1" x14ac:dyDescent="0.3">
      <c r="A1675" s="46">
        <v>1672</v>
      </c>
      <c r="B1675" s="57" t="str">
        <f>IF(Tabla1[[#This Row],[TRABAJADOR]]="", "", VLOOKUP(Tabla1[[#This Row],[TRABAJADOR]], 'Colaborador ID'!B:C, 2, FALSE))</f>
        <v/>
      </c>
      <c r="C1675" s="56"/>
      <c r="D1675" s="57"/>
      <c r="E1675" s="57"/>
      <c r="F1675" s="57"/>
      <c r="G1675" s="58"/>
      <c r="H1675" s="58"/>
      <c r="I1675" s="57"/>
      <c r="J1675" s="57"/>
      <c r="K1675" s="57"/>
    </row>
    <row r="1676" spans="1:11" ht="19.5" customHeight="1" x14ac:dyDescent="0.3">
      <c r="A1676" s="46">
        <v>1673</v>
      </c>
      <c r="B1676" s="57" t="str">
        <f>IF(Tabla1[[#This Row],[TRABAJADOR]]="", "", VLOOKUP(Tabla1[[#This Row],[TRABAJADOR]], 'Colaborador ID'!B:C, 2, FALSE))</f>
        <v/>
      </c>
      <c r="C1676" s="56"/>
      <c r="D1676" s="57"/>
      <c r="E1676" s="57"/>
      <c r="F1676" s="57"/>
      <c r="G1676" s="58"/>
      <c r="H1676" s="58"/>
      <c r="I1676" s="57"/>
      <c r="J1676" s="57"/>
      <c r="K1676" s="57"/>
    </row>
    <row r="1677" spans="1:11" ht="19.5" customHeight="1" x14ac:dyDescent="0.3">
      <c r="A1677" s="46">
        <v>1674</v>
      </c>
      <c r="B1677" s="57" t="str">
        <f>IF(Tabla1[[#This Row],[TRABAJADOR]]="", "", VLOOKUP(Tabla1[[#This Row],[TRABAJADOR]], 'Colaborador ID'!B:C, 2, FALSE))</f>
        <v/>
      </c>
      <c r="C1677" s="56"/>
      <c r="D1677" s="57"/>
      <c r="E1677" s="57"/>
      <c r="F1677" s="57"/>
      <c r="G1677" s="58"/>
      <c r="H1677" s="58"/>
      <c r="I1677" s="57"/>
      <c r="J1677" s="57"/>
      <c r="K1677" s="57"/>
    </row>
    <row r="1678" spans="1:11" ht="19.5" customHeight="1" x14ac:dyDescent="0.3">
      <c r="A1678" s="46">
        <v>1675</v>
      </c>
      <c r="B1678" s="57" t="str">
        <f>IF(Tabla1[[#This Row],[TRABAJADOR]]="", "", VLOOKUP(Tabla1[[#This Row],[TRABAJADOR]], 'Colaborador ID'!B:C, 2, FALSE))</f>
        <v/>
      </c>
      <c r="C1678" s="56"/>
      <c r="D1678" s="57"/>
      <c r="E1678" s="57"/>
      <c r="F1678" s="57"/>
      <c r="G1678" s="58"/>
      <c r="H1678" s="58"/>
      <c r="I1678" s="57"/>
      <c r="J1678" s="57"/>
      <c r="K1678" s="57"/>
    </row>
    <row r="1679" spans="1:11" ht="19.5" customHeight="1" x14ac:dyDescent="0.3">
      <c r="A1679" s="46">
        <v>1676</v>
      </c>
      <c r="B1679" s="57" t="str">
        <f>IF(Tabla1[[#This Row],[TRABAJADOR]]="", "", VLOOKUP(Tabla1[[#This Row],[TRABAJADOR]], 'Colaborador ID'!B:C, 2, FALSE))</f>
        <v/>
      </c>
      <c r="C1679" s="56"/>
      <c r="D1679" s="57"/>
      <c r="E1679" s="57"/>
      <c r="F1679" s="57"/>
      <c r="G1679" s="58"/>
      <c r="H1679" s="58"/>
      <c r="I1679" s="57"/>
      <c r="J1679" s="57"/>
      <c r="K1679" s="57"/>
    </row>
    <row r="1680" spans="1:11" ht="19.5" customHeight="1" x14ac:dyDescent="0.3">
      <c r="A1680" s="46">
        <v>1677</v>
      </c>
      <c r="B1680" s="57" t="str">
        <f>IF(Tabla1[[#This Row],[TRABAJADOR]]="", "", VLOOKUP(Tabla1[[#This Row],[TRABAJADOR]], 'Colaborador ID'!B:C, 2, FALSE))</f>
        <v/>
      </c>
      <c r="C1680" s="56"/>
      <c r="D1680" s="57"/>
      <c r="E1680" s="57"/>
      <c r="F1680" s="57"/>
      <c r="G1680" s="58"/>
      <c r="H1680" s="58"/>
      <c r="I1680" s="57"/>
      <c r="J1680" s="57"/>
      <c r="K1680" s="57"/>
    </row>
    <row r="1681" spans="1:11" ht="19.5" customHeight="1" x14ac:dyDescent="0.3">
      <c r="A1681" s="46">
        <v>1678</v>
      </c>
      <c r="B1681" s="57" t="str">
        <f>IF(Tabla1[[#This Row],[TRABAJADOR]]="", "", VLOOKUP(Tabla1[[#This Row],[TRABAJADOR]], 'Colaborador ID'!B:C, 2, FALSE))</f>
        <v/>
      </c>
      <c r="C1681" s="56"/>
      <c r="D1681" s="57"/>
      <c r="E1681" s="57"/>
      <c r="F1681" s="57"/>
      <c r="G1681" s="58"/>
      <c r="H1681" s="58"/>
      <c r="I1681" s="57"/>
      <c r="J1681" s="57"/>
      <c r="K1681" s="57"/>
    </row>
    <row r="1682" spans="1:11" ht="19.5" customHeight="1" x14ac:dyDescent="0.3">
      <c r="A1682" s="46">
        <v>1679</v>
      </c>
      <c r="B1682" s="57" t="str">
        <f>IF(Tabla1[[#This Row],[TRABAJADOR]]="", "", VLOOKUP(Tabla1[[#This Row],[TRABAJADOR]], 'Colaborador ID'!B:C, 2, FALSE))</f>
        <v/>
      </c>
      <c r="C1682" s="56"/>
      <c r="D1682" s="57"/>
      <c r="E1682" s="57"/>
      <c r="F1682" s="57"/>
      <c r="G1682" s="58"/>
      <c r="H1682" s="58"/>
      <c r="I1682" s="57"/>
      <c r="J1682" s="57"/>
      <c r="K1682" s="57"/>
    </row>
    <row r="1683" spans="1:11" ht="19.5" customHeight="1" x14ac:dyDescent="0.3">
      <c r="A1683" s="46">
        <v>1680</v>
      </c>
      <c r="B1683" s="57" t="str">
        <f>IF(Tabla1[[#This Row],[TRABAJADOR]]="", "", VLOOKUP(Tabla1[[#This Row],[TRABAJADOR]], 'Colaborador ID'!B:C, 2, FALSE))</f>
        <v/>
      </c>
      <c r="C1683" s="56"/>
      <c r="D1683" s="57"/>
      <c r="E1683" s="57"/>
      <c r="F1683" s="57"/>
      <c r="G1683" s="58"/>
      <c r="H1683" s="58"/>
      <c r="I1683" s="57"/>
      <c r="J1683" s="57"/>
      <c r="K1683" s="57"/>
    </row>
    <row r="1684" spans="1:11" ht="19.5" customHeight="1" x14ac:dyDescent="0.3">
      <c r="A1684" s="46">
        <v>1681</v>
      </c>
      <c r="B1684" s="57" t="str">
        <f>IF(Tabla1[[#This Row],[TRABAJADOR]]="", "", VLOOKUP(Tabla1[[#This Row],[TRABAJADOR]], 'Colaborador ID'!B:C, 2, FALSE))</f>
        <v/>
      </c>
      <c r="C1684" s="56"/>
      <c r="D1684" s="57"/>
      <c r="E1684" s="57"/>
      <c r="F1684" s="57"/>
      <c r="G1684" s="58"/>
      <c r="H1684" s="58"/>
      <c r="I1684" s="57"/>
      <c r="J1684" s="57"/>
      <c r="K1684" s="57"/>
    </row>
    <row r="1685" spans="1:11" ht="19.5" customHeight="1" x14ac:dyDescent="0.3">
      <c r="A1685" s="46">
        <v>1682</v>
      </c>
      <c r="B1685" s="57" t="str">
        <f>IF(Tabla1[[#This Row],[TRABAJADOR]]="", "", VLOOKUP(Tabla1[[#This Row],[TRABAJADOR]], 'Colaborador ID'!B:C, 2, FALSE))</f>
        <v/>
      </c>
      <c r="C1685" s="56"/>
      <c r="D1685" s="57"/>
      <c r="E1685" s="57"/>
      <c r="F1685" s="57"/>
      <c r="G1685" s="58"/>
      <c r="H1685" s="58"/>
      <c r="I1685" s="57"/>
      <c r="J1685" s="57"/>
      <c r="K1685" s="57"/>
    </row>
    <row r="1686" spans="1:11" ht="19.5" customHeight="1" x14ac:dyDescent="0.3">
      <c r="A1686" s="46">
        <v>1683</v>
      </c>
      <c r="B1686" s="57" t="str">
        <f>IF(Tabla1[[#This Row],[TRABAJADOR]]="", "", VLOOKUP(Tabla1[[#This Row],[TRABAJADOR]], 'Colaborador ID'!B:C, 2, FALSE))</f>
        <v/>
      </c>
      <c r="C1686" s="56"/>
      <c r="D1686" s="57"/>
      <c r="E1686" s="57"/>
      <c r="F1686" s="57"/>
      <c r="G1686" s="58"/>
      <c r="H1686" s="58"/>
      <c r="I1686" s="57"/>
      <c r="J1686" s="57"/>
      <c r="K1686" s="57"/>
    </row>
    <row r="1687" spans="1:11" ht="19.5" customHeight="1" x14ac:dyDescent="0.3">
      <c r="A1687" s="46">
        <v>1684</v>
      </c>
      <c r="B1687" s="57" t="str">
        <f>IF(Tabla1[[#This Row],[TRABAJADOR]]="", "", VLOOKUP(Tabla1[[#This Row],[TRABAJADOR]], 'Colaborador ID'!B:C, 2, FALSE))</f>
        <v/>
      </c>
      <c r="C1687" s="56"/>
      <c r="D1687" s="57"/>
      <c r="E1687" s="57"/>
      <c r="F1687" s="57"/>
      <c r="G1687" s="58"/>
      <c r="H1687" s="58"/>
      <c r="I1687" s="57"/>
      <c r="J1687" s="57"/>
      <c r="K1687" s="57"/>
    </row>
    <row r="1688" spans="1:11" ht="19.5" customHeight="1" x14ac:dyDescent="0.3">
      <c r="A1688" s="46">
        <v>1685</v>
      </c>
      <c r="B1688" s="57" t="str">
        <f>IF(Tabla1[[#This Row],[TRABAJADOR]]="", "", VLOOKUP(Tabla1[[#This Row],[TRABAJADOR]], 'Colaborador ID'!B:C, 2, FALSE))</f>
        <v/>
      </c>
      <c r="C1688" s="56"/>
      <c r="D1688" s="57"/>
      <c r="E1688" s="57"/>
      <c r="F1688" s="57"/>
      <c r="G1688" s="58"/>
      <c r="H1688" s="58"/>
      <c r="I1688" s="57"/>
      <c r="J1688" s="57"/>
      <c r="K1688" s="57"/>
    </row>
    <row r="1689" spans="1:11" ht="19.5" customHeight="1" x14ac:dyDescent="0.3">
      <c r="A1689" s="46">
        <v>1686</v>
      </c>
      <c r="B1689" s="57" t="str">
        <f>IF(Tabla1[[#This Row],[TRABAJADOR]]="", "", VLOOKUP(Tabla1[[#This Row],[TRABAJADOR]], 'Colaborador ID'!B:C, 2, FALSE))</f>
        <v/>
      </c>
      <c r="C1689" s="56"/>
      <c r="D1689" s="57"/>
      <c r="E1689" s="57"/>
      <c r="F1689" s="57"/>
      <c r="G1689" s="58"/>
      <c r="H1689" s="58"/>
      <c r="I1689" s="57"/>
      <c r="J1689" s="57"/>
      <c r="K1689" s="57"/>
    </row>
    <row r="1690" spans="1:11" ht="19.5" customHeight="1" x14ac:dyDescent="0.3">
      <c r="A1690" s="46">
        <v>1687</v>
      </c>
      <c r="B1690" s="57" t="str">
        <f>IF(Tabla1[[#This Row],[TRABAJADOR]]="", "", VLOOKUP(Tabla1[[#This Row],[TRABAJADOR]], 'Colaborador ID'!B:C, 2, FALSE))</f>
        <v/>
      </c>
      <c r="C1690" s="56"/>
      <c r="D1690" s="57"/>
      <c r="E1690" s="57"/>
      <c r="F1690" s="57"/>
      <c r="G1690" s="58"/>
      <c r="H1690" s="58"/>
      <c r="I1690" s="57"/>
      <c r="J1690" s="57"/>
      <c r="K1690" s="57"/>
    </row>
    <row r="1691" spans="1:11" ht="19.5" customHeight="1" x14ac:dyDescent="0.3">
      <c r="A1691" s="46">
        <v>1688</v>
      </c>
      <c r="B1691" s="57" t="str">
        <f>IF(Tabla1[[#This Row],[TRABAJADOR]]="", "", VLOOKUP(Tabla1[[#This Row],[TRABAJADOR]], 'Colaborador ID'!B:C, 2, FALSE))</f>
        <v/>
      </c>
      <c r="C1691" s="56"/>
      <c r="D1691" s="57"/>
      <c r="E1691" s="57"/>
      <c r="F1691" s="57"/>
      <c r="G1691" s="58"/>
      <c r="H1691" s="58"/>
      <c r="I1691" s="57"/>
      <c r="J1691" s="57"/>
      <c r="K1691" s="57"/>
    </row>
    <row r="1692" spans="1:11" ht="19.5" customHeight="1" x14ac:dyDescent="0.3">
      <c r="A1692" s="46">
        <v>1689</v>
      </c>
      <c r="B1692" s="57" t="str">
        <f>IF(Tabla1[[#This Row],[TRABAJADOR]]="", "", VLOOKUP(Tabla1[[#This Row],[TRABAJADOR]], 'Colaborador ID'!B:C, 2, FALSE))</f>
        <v/>
      </c>
      <c r="C1692" s="56"/>
      <c r="D1692" s="57"/>
      <c r="E1692" s="57"/>
      <c r="F1692" s="57"/>
      <c r="G1692" s="58"/>
      <c r="H1692" s="58"/>
      <c r="I1692" s="57"/>
      <c r="J1692" s="57"/>
      <c r="K1692" s="57"/>
    </row>
    <row r="1693" spans="1:11" ht="19.5" customHeight="1" x14ac:dyDescent="0.3">
      <c r="A1693" s="46">
        <v>1690</v>
      </c>
      <c r="B1693" s="57" t="str">
        <f>IF(Tabla1[[#This Row],[TRABAJADOR]]="", "", VLOOKUP(Tabla1[[#This Row],[TRABAJADOR]], 'Colaborador ID'!B:C, 2, FALSE))</f>
        <v/>
      </c>
      <c r="C1693" s="56"/>
      <c r="D1693" s="57"/>
      <c r="E1693" s="57"/>
      <c r="F1693" s="57"/>
      <c r="G1693" s="58"/>
      <c r="H1693" s="58"/>
      <c r="I1693" s="57"/>
      <c r="J1693" s="57"/>
      <c r="K1693" s="57"/>
    </row>
    <row r="1694" spans="1:11" ht="19.5" customHeight="1" x14ac:dyDescent="0.3">
      <c r="A1694" s="46">
        <v>1691</v>
      </c>
      <c r="B1694" s="57" t="str">
        <f>IF(Tabla1[[#This Row],[TRABAJADOR]]="", "", VLOOKUP(Tabla1[[#This Row],[TRABAJADOR]], 'Colaborador ID'!B:C, 2, FALSE))</f>
        <v/>
      </c>
      <c r="C1694" s="56"/>
      <c r="D1694" s="57"/>
      <c r="E1694" s="57"/>
      <c r="F1694" s="57"/>
      <c r="G1694" s="58"/>
      <c r="H1694" s="58"/>
      <c r="I1694" s="57"/>
      <c r="J1694" s="57"/>
      <c r="K1694" s="57"/>
    </row>
    <row r="1695" spans="1:11" ht="19.5" customHeight="1" x14ac:dyDescent="0.3">
      <c r="A1695" s="46">
        <v>1692</v>
      </c>
      <c r="B1695" s="57" t="str">
        <f>IF(Tabla1[[#This Row],[TRABAJADOR]]="", "", VLOOKUP(Tabla1[[#This Row],[TRABAJADOR]], 'Colaborador ID'!B:C, 2, FALSE))</f>
        <v/>
      </c>
      <c r="C1695" s="56"/>
      <c r="D1695" s="57"/>
      <c r="E1695" s="57"/>
      <c r="F1695" s="57"/>
      <c r="G1695" s="58"/>
      <c r="H1695" s="58"/>
      <c r="I1695" s="57"/>
      <c r="J1695" s="57"/>
      <c r="K1695" s="57"/>
    </row>
    <row r="1696" spans="1:11" ht="19.5" customHeight="1" x14ac:dyDescent="0.3">
      <c r="A1696" s="46">
        <v>1693</v>
      </c>
      <c r="B1696" s="57" t="str">
        <f>IF(Tabla1[[#This Row],[TRABAJADOR]]="", "", VLOOKUP(Tabla1[[#This Row],[TRABAJADOR]], 'Colaborador ID'!B:C, 2, FALSE))</f>
        <v/>
      </c>
      <c r="C1696" s="56"/>
      <c r="D1696" s="57"/>
      <c r="E1696" s="57"/>
      <c r="F1696" s="57"/>
      <c r="G1696" s="58"/>
      <c r="H1696" s="58"/>
      <c r="I1696" s="57"/>
      <c r="J1696" s="57"/>
      <c r="K1696" s="57"/>
    </row>
    <row r="1697" spans="1:11" ht="19.5" customHeight="1" x14ac:dyDescent="0.3">
      <c r="A1697" s="46">
        <v>1694</v>
      </c>
      <c r="B1697" s="57" t="str">
        <f>IF(Tabla1[[#This Row],[TRABAJADOR]]="", "", VLOOKUP(Tabla1[[#This Row],[TRABAJADOR]], 'Colaborador ID'!B:C, 2, FALSE))</f>
        <v/>
      </c>
      <c r="C1697" s="56"/>
      <c r="D1697" s="57"/>
      <c r="E1697" s="57"/>
      <c r="F1697" s="57"/>
      <c r="G1697" s="58"/>
      <c r="H1697" s="58"/>
      <c r="I1697" s="57"/>
      <c r="J1697" s="57"/>
      <c r="K1697" s="57"/>
    </row>
    <row r="1698" spans="1:11" ht="19.5" customHeight="1" x14ac:dyDescent="0.3">
      <c r="A1698" s="46">
        <v>1695</v>
      </c>
      <c r="B1698" s="57" t="str">
        <f>IF(Tabla1[[#This Row],[TRABAJADOR]]="", "", VLOOKUP(Tabla1[[#This Row],[TRABAJADOR]], 'Colaborador ID'!B:C, 2, FALSE))</f>
        <v/>
      </c>
      <c r="C1698" s="56"/>
      <c r="D1698" s="57"/>
      <c r="E1698" s="57"/>
      <c r="F1698" s="57"/>
      <c r="G1698" s="58"/>
      <c r="H1698" s="58"/>
      <c r="I1698" s="57"/>
      <c r="J1698" s="57"/>
      <c r="K1698" s="57"/>
    </row>
    <row r="1699" spans="1:11" ht="19.5" customHeight="1" x14ac:dyDescent="0.3">
      <c r="A1699" s="46">
        <v>1696</v>
      </c>
      <c r="B1699" s="57" t="str">
        <f>IF(Tabla1[[#This Row],[TRABAJADOR]]="", "", VLOOKUP(Tabla1[[#This Row],[TRABAJADOR]], 'Colaborador ID'!B:C, 2, FALSE))</f>
        <v/>
      </c>
      <c r="C1699" s="56"/>
      <c r="D1699" s="57"/>
      <c r="E1699" s="57"/>
      <c r="F1699" s="57"/>
      <c r="G1699" s="58"/>
      <c r="H1699" s="58"/>
      <c r="I1699" s="57"/>
      <c r="J1699" s="57"/>
      <c r="K1699" s="57"/>
    </row>
    <row r="1700" spans="1:11" ht="19.5" customHeight="1" x14ac:dyDescent="0.3">
      <c r="A1700" s="46">
        <v>1697</v>
      </c>
      <c r="B1700" s="57" t="str">
        <f>IF(Tabla1[[#This Row],[TRABAJADOR]]="", "", VLOOKUP(Tabla1[[#This Row],[TRABAJADOR]], 'Colaborador ID'!B:C, 2, FALSE))</f>
        <v/>
      </c>
      <c r="C1700" s="56"/>
      <c r="D1700" s="57"/>
      <c r="E1700" s="57"/>
      <c r="F1700" s="57"/>
      <c r="G1700" s="58"/>
      <c r="H1700" s="58"/>
      <c r="I1700" s="57"/>
      <c r="J1700" s="57"/>
      <c r="K1700" s="57"/>
    </row>
    <row r="1701" spans="1:11" ht="19.5" customHeight="1" x14ac:dyDescent="0.3">
      <c r="A1701" s="46">
        <v>1698</v>
      </c>
      <c r="B1701" s="57" t="str">
        <f>IF(Tabla1[[#This Row],[TRABAJADOR]]="", "", VLOOKUP(Tabla1[[#This Row],[TRABAJADOR]], 'Colaborador ID'!B:C, 2, FALSE))</f>
        <v/>
      </c>
      <c r="C1701" s="56"/>
      <c r="D1701" s="57"/>
      <c r="E1701" s="57"/>
      <c r="F1701" s="57"/>
      <c r="G1701" s="58"/>
      <c r="H1701" s="58"/>
      <c r="I1701" s="57"/>
      <c r="J1701" s="57"/>
      <c r="K1701" s="57"/>
    </row>
    <row r="1702" spans="1:11" ht="19.5" customHeight="1" x14ac:dyDescent="0.3">
      <c r="A1702" s="46">
        <v>1699</v>
      </c>
      <c r="B1702" s="57" t="str">
        <f>IF(Tabla1[[#This Row],[TRABAJADOR]]="", "", VLOOKUP(Tabla1[[#This Row],[TRABAJADOR]], 'Colaborador ID'!B:C, 2, FALSE))</f>
        <v/>
      </c>
      <c r="C1702" s="56"/>
      <c r="D1702" s="57"/>
      <c r="E1702" s="57"/>
      <c r="F1702" s="57"/>
      <c r="G1702" s="58"/>
      <c r="H1702" s="58"/>
      <c r="I1702" s="57"/>
      <c r="J1702" s="57"/>
      <c r="K1702" s="57"/>
    </row>
    <row r="1703" spans="1:11" ht="19.5" customHeight="1" x14ac:dyDescent="0.3">
      <c r="A1703" s="46">
        <v>1700</v>
      </c>
      <c r="B1703" s="57" t="str">
        <f>IF(Tabla1[[#This Row],[TRABAJADOR]]="", "", VLOOKUP(Tabla1[[#This Row],[TRABAJADOR]], 'Colaborador ID'!B:C, 2, FALSE))</f>
        <v/>
      </c>
      <c r="C1703" s="56"/>
      <c r="D1703" s="57"/>
      <c r="E1703" s="57"/>
      <c r="F1703" s="57"/>
      <c r="G1703" s="58"/>
      <c r="H1703" s="58"/>
      <c r="I1703" s="57"/>
      <c r="J1703" s="57"/>
      <c r="K1703" s="57"/>
    </row>
    <row r="1704" spans="1:11" ht="19.5" customHeight="1" x14ac:dyDescent="0.3">
      <c r="A1704" s="46">
        <v>1701</v>
      </c>
      <c r="B1704" s="57" t="str">
        <f>IF(Tabla1[[#This Row],[TRABAJADOR]]="", "", VLOOKUP(Tabla1[[#This Row],[TRABAJADOR]], 'Colaborador ID'!B:C, 2, FALSE))</f>
        <v/>
      </c>
      <c r="C1704" s="56"/>
      <c r="D1704" s="57"/>
      <c r="E1704" s="57"/>
      <c r="F1704" s="57"/>
      <c r="G1704" s="58"/>
      <c r="H1704" s="58"/>
      <c r="I1704" s="57"/>
      <c r="J1704" s="57"/>
      <c r="K1704" s="57"/>
    </row>
    <row r="1705" spans="1:11" ht="19.5" customHeight="1" x14ac:dyDescent="0.3">
      <c r="A1705" s="46">
        <v>1702</v>
      </c>
      <c r="B1705" s="57" t="str">
        <f>IF(Tabla1[[#This Row],[TRABAJADOR]]="", "", VLOOKUP(Tabla1[[#This Row],[TRABAJADOR]], 'Colaborador ID'!B:C, 2, FALSE))</f>
        <v/>
      </c>
      <c r="C1705" s="56"/>
      <c r="D1705" s="57"/>
      <c r="E1705" s="57"/>
      <c r="F1705" s="57"/>
      <c r="G1705" s="58"/>
      <c r="H1705" s="58"/>
      <c r="I1705" s="57"/>
      <c r="J1705" s="57"/>
      <c r="K1705" s="57"/>
    </row>
    <row r="1706" spans="1:11" ht="19.5" customHeight="1" x14ac:dyDescent="0.3">
      <c r="A1706" s="46">
        <v>1703</v>
      </c>
      <c r="B1706" s="57" t="str">
        <f>IF(Tabla1[[#This Row],[TRABAJADOR]]="", "", VLOOKUP(Tabla1[[#This Row],[TRABAJADOR]], 'Colaborador ID'!B:C, 2, FALSE))</f>
        <v/>
      </c>
      <c r="C1706" s="56"/>
      <c r="D1706" s="57"/>
      <c r="E1706" s="57"/>
      <c r="F1706" s="57"/>
      <c r="G1706" s="58"/>
      <c r="H1706" s="58"/>
      <c r="I1706" s="57"/>
      <c r="J1706" s="57"/>
      <c r="K1706" s="57"/>
    </row>
    <row r="1707" spans="1:11" ht="19.5" customHeight="1" x14ac:dyDescent="0.3">
      <c r="A1707" s="46">
        <v>1704</v>
      </c>
      <c r="B1707" s="57" t="str">
        <f>IF(Tabla1[[#This Row],[TRABAJADOR]]="", "", VLOOKUP(Tabla1[[#This Row],[TRABAJADOR]], 'Colaborador ID'!B:C, 2, FALSE))</f>
        <v/>
      </c>
      <c r="C1707" s="56"/>
      <c r="D1707" s="57"/>
      <c r="E1707" s="57"/>
      <c r="F1707" s="57"/>
      <c r="G1707" s="58"/>
      <c r="H1707" s="58"/>
      <c r="I1707" s="57"/>
      <c r="J1707" s="57"/>
      <c r="K1707" s="57"/>
    </row>
    <row r="1708" spans="1:11" ht="19.5" customHeight="1" x14ac:dyDescent="0.3">
      <c r="A1708" s="46">
        <v>1705</v>
      </c>
      <c r="B1708" s="57" t="str">
        <f>IF(Tabla1[[#This Row],[TRABAJADOR]]="", "", VLOOKUP(Tabla1[[#This Row],[TRABAJADOR]], 'Colaborador ID'!B:C, 2, FALSE))</f>
        <v/>
      </c>
      <c r="C1708" s="56"/>
      <c r="D1708" s="57"/>
      <c r="E1708" s="57"/>
      <c r="F1708" s="57"/>
      <c r="G1708" s="58"/>
      <c r="H1708" s="58"/>
      <c r="I1708" s="57"/>
      <c r="J1708" s="57"/>
      <c r="K1708" s="57"/>
    </row>
    <row r="1709" spans="1:11" ht="19.5" customHeight="1" x14ac:dyDescent="0.3">
      <c r="A1709" s="46">
        <v>1706</v>
      </c>
      <c r="B1709" s="57" t="str">
        <f>IF(Tabla1[[#This Row],[TRABAJADOR]]="", "", VLOOKUP(Tabla1[[#This Row],[TRABAJADOR]], 'Colaborador ID'!B:C, 2, FALSE))</f>
        <v/>
      </c>
      <c r="C1709" s="56"/>
      <c r="D1709" s="57"/>
      <c r="E1709" s="57"/>
      <c r="F1709" s="57"/>
      <c r="G1709" s="58"/>
      <c r="H1709" s="58"/>
      <c r="I1709" s="57"/>
      <c r="J1709" s="57"/>
      <c r="K1709" s="57"/>
    </row>
    <row r="1710" spans="1:11" ht="19.5" customHeight="1" x14ac:dyDescent="0.3">
      <c r="A1710" s="46">
        <v>1707</v>
      </c>
      <c r="B1710" s="57" t="str">
        <f>IF(Tabla1[[#This Row],[TRABAJADOR]]="", "", VLOOKUP(Tabla1[[#This Row],[TRABAJADOR]], 'Colaborador ID'!B:C, 2, FALSE))</f>
        <v/>
      </c>
      <c r="C1710" s="56"/>
      <c r="D1710" s="57"/>
      <c r="E1710" s="57"/>
      <c r="F1710" s="57"/>
      <c r="G1710" s="58"/>
      <c r="H1710" s="58"/>
      <c r="I1710" s="57"/>
      <c r="J1710" s="57"/>
      <c r="K1710" s="57"/>
    </row>
    <row r="1711" spans="1:11" ht="19.5" customHeight="1" x14ac:dyDescent="0.3">
      <c r="A1711" s="46">
        <v>1708</v>
      </c>
      <c r="B1711" s="57" t="str">
        <f>IF(Tabla1[[#This Row],[TRABAJADOR]]="", "", VLOOKUP(Tabla1[[#This Row],[TRABAJADOR]], 'Colaborador ID'!B:C, 2, FALSE))</f>
        <v/>
      </c>
      <c r="C1711" s="56"/>
      <c r="D1711" s="57"/>
      <c r="E1711" s="57"/>
      <c r="F1711" s="57"/>
      <c r="G1711" s="58"/>
      <c r="H1711" s="58"/>
      <c r="I1711" s="57"/>
      <c r="J1711" s="57"/>
      <c r="K1711" s="57"/>
    </row>
    <row r="1712" spans="1:11" ht="19.5" customHeight="1" x14ac:dyDescent="0.3">
      <c r="A1712" s="46">
        <v>1709</v>
      </c>
      <c r="B1712" s="57" t="str">
        <f>IF(Tabla1[[#This Row],[TRABAJADOR]]="", "", VLOOKUP(Tabla1[[#This Row],[TRABAJADOR]], 'Colaborador ID'!B:C, 2, FALSE))</f>
        <v/>
      </c>
      <c r="C1712" s="56"/>
      <c r="D1712" s="57"/>
      <c r="E1712" s="57"/>
      <c r="F1712" s="57"/>
      <c r="G1712" s="58"/>
      <c r="H1712" s="58"/>
      <c r="I1712" s="57"/>
      <c r="J1712" s="57"/>
      <c r="K1712" s="57"/>
    </row>
    <row r="1713" spans="1:11" ht="19.5" customHeight="1" x14ac:dyDescent="0.3">
      <c r="A1713" s="46">
        <v>1710</v>
      </c>
      <c r="B1713" s="57" t="str">
        <f>IF(Tabla1[[#This Row],[TRABAJADOR]]="", "", VLOOKUP(Tabla1[[#This Row],[TRABAJADOR]], 'Colaborador ID'!B:C, 2, FALSE))</f>
        <v/>
      </c>
      <c r="C1713" s="56"/>
      <c r="D1713" s="57"/>
      <c r="E1713" s="57"/>
      <c r="F1713" s="57"/>
      <c r="G1713" s="58"/>
      <c r="H1713" s="58"/>
      <c r="I1713" s="57"/>
      <c r="J1713" s="57"/>
      <c r="K1713" s="57"/>
    </row>
    <row r="1714" spans="1:11" ht="19.5" customHeight="1" x14ac:dyDescent="0.3">
      <c r="A1714" s="46">
        <v>1711</v>
      </c>
      <c r="B1714" s="57" t="str">
        <f>IF(Tabla1[[#This Row],[TRABAJADOR]]="", "", VLOOKUP(Tabla1[[#This Row],[TRABAJADOR]], 'Colaborador ID'!B:C, 2, FALSE))</f>
        <v/>
      </c>
      <c r="C1714" s="56"/>
      <c r="D1714" s="57"/>
      <c r="E1714" s="57"/>
      <c r="F1714" s="57"/>
      <c r="G1714" s="58"/>
      <c r="H1714" s="58"/>
      <c r="I1714" s="57"/>
      <c r="J1714" s="57"/>
      <c r="K1714" s="57"/>
    </row>
    <row r="1715" spans="1:11" ht="19.5" customHeight="1" x14ac:dyDescent="0.3">
      <c r="A1715" s="46">
        <v>1712</v>
      </c>
      <c r="B1715" s="57" t="str">
        <f>IF(Tabla1[[#This Row],[TRABAJADOR]]="", "", VLOOKUP(Tabla1[[#This Row],[TRABAJADOR]], 'Colaborador ID'!B:C, 2, FALSE))</f>
        <v/>
      </c>
      <c r="C1715" s="56"/>
      <c r="D1715" s="57"/>
      <c r="E1715" s="57"/>
      <c r="F1715" s="57"/>
      <c r="G1715" s="58"/>
      <c r="H1715" s="58"/>
      <c r="I1715" s="57"/>
      <c r="J1715" s="57"/>
      <c r="K1715" s="57"/>
    </row>
    <row r="1716" spans="1:11" ht="19.5" customHeight="1" x14ac:dyDescent="0.3">
      <c r="A1716" s="46">
        <v>1713</v>
      </c>
      <c r="B1716" s="57" t="str">
        <f>IF(Tabla1[[#This Row],[TRABAJADOR]]="", "", VLOOKUP(Tabla1[[#This Row],[TRABAJADOR]], 'Colaborador ID'!B:C, 2, FALSE))</f>
        <v/>
      </c>
      <c r="C1716" s="56"/>
      <c r="D1716" s="57"/>
      <c r="E1716" s="57"/>
      <c r="F1716" s="57"/>
      <c r="G1716" s="58"/>
      <c r="H1716" s="58"/>
      <c r="I1716" s="57"/>
      <c r="J1716" s="57"/>
      <c r="K1716" s="57"/>
    </row>
    <row r="1717" spans="1:11" ht="19.5" customHeight="1" x14ac:dyDescent="0.3">
      <c r="A1717" s="46">
        <v>1714</v>
      </c>
      <c r="B1717" s="57" t="str">
        <f>IF(Tabla1[[#This Row],[TRABAJADOR]]="", "", VLOOKUP(Tabla1[[#This Row],[TRABAJADOR]], 'Colaborador ID'!B:C, 2, FALSE))</f>
        <v/>
      </c>
      <c r="C1717" s="56"/>
      <c r="D1717" s="57"/>
      <c r="E1717" s="57"/>
      <c r="F1717" s="57"/>
      <c r="G1717" s="58"/>
      <c r="H1717" s="58"/>
      <c r="I1717" s="57"/>
      <c r="J1717" s="57"/>
      <c r="K1717" s="57"/>
    </row>
    <row r="1718" spans="1:11" ht="19.5" customHeight="1" x14ac:dyDescent="0.3">
      <c r="A1718" s="46">
        <v>1715</v>
      </c>
      <c r="B1718" s="57" t="str">
        <f>IF(Tabla1[[#This Row],[TRABAJADOR]]="", "", VLOOKUP(Tabla1[[#This Row],[TRABAJADOR]], 'Colaborador ID'!B:C, 2, FALSE))</f>
        <v/>
      </c>
      <c r="C1718" s="56"/>
      <c r="D1718" s="57"/>
      <c r="E1718" s="57"/>
      <c r="F1718" s="57"/>
      <c r="G1718" s="58"/>
      <c r="H1718" s="58"/>
      <c r="I1718" s="57"/>
      <c r="J1718" s="57"/>
      <c r="K1718" s="57"/>
    </row>
    <row r="1719" spans="1:11" ht="19.5" customHeight="1" x14ac:dyDescent="0.3">
      <c r="A1719" s="46">
        <v>1716</v>
      </c>
      <c r="B1719" s="57" t="str">
        <f>IF(Tabla1[[#This Row],[TRABAJADOR]]="", "", VLOOKUP(Tabla1[[#This Row],[TRABAJADOR]], 'Colaborador ID'!B:C, 2, FALSE))</f>
        <v/>
      </c>
      <c r="C1719" s="56"/>
      <c r="D1719" s="57"/>
      <c r="E1719" s="57"/>
      <c r="F1719" s="57"/>
      <c r="G1719" s="58"/>
      <c r="H1719" s="58"/>
      <c r="I1719" s="57"/>
      <c r="J1719" s="57"/>
      <c r="K1719" s="57"/>
    </row>
    <row r="1720" spans="1:11" ht="19.5" customHeight="1" x14ac:dyDescent="0.3">
      <c r="A1720" s="46">
        <v>1717</v>
      </c>
      <c r="B1720" s="57" t="str">
        <f>IF(Tabla1[[#This Row],[TRABAJADOR]]="", "", VLOOKUP(Tabla1[[#This Row],[TRABAJADOR]], 'Colaborador ID'!B:C, 2, FALSE))</f>
        <v/>
      </c>
      <c r="C1720" s="56"/>
      <c r="D1720" s="57"/>
      <c r="E1720" s="57"/>
      <c r="F1720" s="57"/>
      <c r="G1720" s="58"/>
      <c r="H1720" s="58"/>
      <c r="I1720" s="57"/>
      <c r="J1720" s="57"/>
      <c r="K1720" s="57"/>
    </row>
    <row r="1721" spans="1:11" ht="19.5" customHeight="1" x14ac:dyDescent="0.3">
      <c r="A1721" s="46">
        <v>1718</v>
      </c>
      <c r="B1721" s="57" t="str">
        <f>IF(Tabla1[[#This Row],[TRABAJADOR]]="", "", VLOOKUP(Tabla1[[#This Row],[TRABAJADOR]], 'Colaborador ID'!B:C, 2, FALSE))</f>
        <v/>
      </c>
      <c r="C1721" s="56"/>
      <c r="D1721" s="57"/>
      <c r="E1721" s="57"/>
      <c r="F1721" s="57"/>
      <c r="G1721" s="58"/>
      <c r="H1721" s="58"/>
      <c r="I1721" s="57"/>
      <c r="J1721" s="57"/>
      <c r="K1721" s="57"/>
    </row>
    <row r="1722" spans="1:11" ht="19.5" customHeight="1" x14ac:dyDescent="0.3">
      <c r="A1722" s="46">
        <v>1719</v>
      </c>
      <c r="B1722" s="57" t="str">
        <f>IF(Tabla1[[#This Row],[TRABAJADOR]]="", "", VLOOKUP(Tabla1[[#This Row],[TRABAJADOR]], 'Colaborador ID'!B:C, 2, FALSE))</f>
        <v/>
      </c>
      <c r="C1722" s="56"/>
      <c r="D1722" s="57"/>
      <c r="E1722" s="57"/>
      <c r="F1722" s="57"/>
      <c r="G1722" s="58"/>
      <c r="H1722" s="58"/>
      <c r="I1722" s="57"/>
      <c r="J1722" s="57"/>
      <c r="K1722" s="57"/>
    </row>
    <row r="1723" spans="1:11" ht="19.5" customHeight="1" x14ac:dyDescent="0.3">
      <c r="A1723" s="46">
        <v>1720</v>
      </c>
      <c r="B1723" s="57" t="str">
        <f>IF(Tabla1[[#This Row],[TRABAJADOR]]="", "", VLOOKUP(Tabla1[[#This Row],[TRABAJADOR]], 'Colaborador ID'!B:C, 2, FALSE))</f>
        <v/>
      </c>
      <c r="C1723" s="56"/>
      <c r="D1723" s="57"/>
      <c r="E1723" s="57"/>
      <c r="F1723" s="57"/>
      <c r="G1723" s="58"/>
      <c r="H1723" s="58"/>
      <c r="I1723" s="57"/>
      <c r="J1723" s="57"/>
      <c r="K1723" s="57"/>
    </row>
    <row r="1724" spans="1:11" ht="19.5" customHeight="1" x14ac:dyDescent="0.3">
      <c r="A1724" s="46">
        <v>1721</v>
      </c>
      <c r="B1724" s="57" t="str">
        <f>IF(Tabla1[[#This Row],[TRABAJADOR]]="", "", VLOOKUP(Tabla1[[#This Row],[TRABAJADOR]], 'Colaborador ID'!B:C, 2, FALSE))</f>
        <v/>
      </c>
      <c r="C1724" s="56"/>
      <c r="D1724" s="57"/>
      <c r="E1724" s="57"/>
      <c r="F1724" s="57"/>
      <c r="G1724" s="58"/>
      <c r="H1724" s="58"/>
      <c r="I1724" s="57"/>
      <c r="J1724" s="57"/>
      <c r="K1724" s="57"/>
    </row>
    <row r="1725" spans="1:11" ht="19.5" customHeight="1" x14ac:dyDescent="0.3">
      <c r="A1725" s="46">
        <v>1722</v>
      </c>
      <c r="B1725" s="57" t="str">
        <f>IF(Tabla1[[#This Row],[TRABAJADOR]]="", "", VLOOKUP(Tabla1[[#This Row],[TRABAJADOR]], 'Colaborador ID'!B:C, 2, FALSE))</f>
        <v/>
      </c>
      <c r="C1725" s="56"/>
      <c r="D1725" s="57"/>
      <c r="E1725" s="57"/>
      <c r="F1725" s="57"/>
      <c r="G1725" s="58"/>
      <c r="H1725" s="58"/>
      <c r="I1725" s="57"/>
      <c r="J1725" s="57"/>
      <c r="K1725" s="57"/>
    </row>
    <row r="1726" spans="1:11" ht="19.5" customHeight="1" x14ac:dyDescent="0.3">
      <c r="A1726" s="46">
        <v>1723</v>
      </c>
      <c r="B1726" s="57" t="str">
        <f>IF(Tabla1[[#This Row],[TRABAJADOR]]="", "", VLOOKUP(Tabla1[[#This Row],[TRABAJADOR]], 'Colaborador ID'!B:C, 2, FALSE))</f>
        <v/>
      </c>
      <c r="C1726" s="56"/>
      <c r="D1726" s="57"/>
      <c r="E1726" s="57"/>
      <c r="F1726" s="57"/>
      <c r="G1726" s="58"/>
      <c r="H1726" s="58"/>
      <c r="I1726" s="57"/>
      <c r="J1726" s="57"/>
      <c r="K1726" s="57"/>
    </row>
    <row r="1727" spans="1:11" ht="19.5" customHeight="1" x14ac:dyDescent="0.3">
      <c r="A1727" s="46">
        <v>1724</v>
      </c>
      <c r="B1727" s="57" t="str">
        <f>IF(Tabla1[[#This Row],[TRABAJADOR]]="", "", VLOOKUP(Tabla1[[#This Row],[TRABAJADOR]], 'Colaborador ID'!B:C, 2, FALSE))</f>
        <v/>
      </c>
      <c r="C1727" s="56"/>
      <c r="D1727" s="57"/>
      <c r="E1727" s="57"/>
      <c r="F1727" s="57"/>
      <c r="G1727" s="58"/>
      <c r="H1727" s="58"/>
      <c r="I1727" s="57"/>
      <c r="J1727" s="57"/>
      <c r="K1727" s="57"/>
    </row>
    <row r="1728" spans="1:11" ht="19.5" customHeight="1" x14ac:dyDescent="0.3">
      <c r="A1728" s="46">
        <v>1725</v>
      </c>
      <c r="B1728" s="57" t="str">
        <f>IF(Tabla1[[#This Row],[TRABAJADOR]]="", "", VLOOKUP(Tabla1[[#This Row],[TRABAJADOR]], 'Colaborador ID'!B:C, 2, FALSE))</f>
        <v/>
      </c>
      <c r="C1728" s="56"/>
      <c r="D1728" s="57"/>
      <c r="E1728" s="57"/>
      <c r="F1728" s="57"/>
      <c r="G1728" s="58"/>
      <c r="H1728" s="58"/>
      <c r="I1728" s="57"/>
      <c r="J1728" s="57"/>
      <c r="K1728" s="57"/>
    </row>
    <row r="1729" spans="1:11" ht="19.5" customHeight="1" x14ac:dyDescent="0.3">
      <c r="A1729" s="46">
        <v>1726</v>
      </c>
      <c r="B1729" s="57" t="str">
        <f>IF(Tabla1[[#This Row],[TRABAJADOR]]="", "", VLOOKUP(Tabla1[[#This Row],[TRABAJADOR]], 'Colaborador ID'!B:C, 2, FALSE))</f>
        <v/>
      </c>
      <c r="C1729" s="56"/>
      <c r="D1729" s="57"/>
      <c r="E1729" s="57"/>
      <c r="F1729" s="57"/>
      <c r="G1729" s="58"/>
      <c r="H1729" s="58"/>
      <c r="I1729" s="57"/>
      <c r="J1729" s="57"/>
      <c r="K1729" s="57"/>
    </row>
    <row r="1730" spans="1:11" ht="19.5" customHeight="1" x14ac:dyDescent="0.3">
      <c r="A1730" s="46">
        <v>1727</v>
      </c>
      <c r="B1730" s="57" t="str">
        <f>IF(Tabla1[[#This Row],[TRABAJADOR]]="", "", VLOOKUP(Tabla1[[#This Row],[TRABAJADOR]], 'Colaborador ID'!B:C, 2, FALSE))</f>
        <v/>
      </c>
      <c r="C1730" s="56"/>
      <c r="D1730" s="57"/>
      <c r="E1730" s="57"/>
      <c r="F1730" s="57"/>
      <c r="G1730" s="58"/>
      <c r="H1730" s="58"/>
      <c r="I1730" s="57"/>
      <c r="J1730" s="57"/>
      <c r="K1730" s="57"/>
    </row>
    <row r="1731" spans="1:11" ht="19.5" customHeight="1" x14ac:dyDescent="0.3">
      <c r="A1731" s="46">
        <v>1728</v>
      </c>
      <c r="B1731" s="57" t="str">
        <f>IF(Tabla1[[#This Row],[TRABAJADOR]]="", "", VLOOKUP(Tabla1[[#This Row],[TRABAJADOR]], 'Colaborador ID'!B:C, 2, FALSE))</f>
        <v/>
      </c>
      <c r="C1731" s="56"/>
      <c r="D1731" s="57"/>
      <c r="E1731" s="57"/>
      <c r="F1731" s="57"/>
      <c r="G1731" s="58"/>
      <c r="H1731" s="58"/>
      <c r="I1731" s="57"/>
      <c r="J1731" s="57"/>
      <c r="K1731" s="57"/>
    </row>
    <row r="1732" spans="1:11" ht="19.5" customHeight="1" x14ac:dyDescent="0.3">
      <c r="A1732" s="46">
        <v>1729</v>
      </c>
      <c r="B1732" s="57" t="str">
        <f>IF(Tabla1[[#This Row],[TRABAJADOR]]="", "", VLOOKUP(Tabla1[[#This Row],[TRABAJADOR]], 'Colaborador ID'!B:C, 2, FALSE))</f>
        <v/>
      </c>
      <c r="C1732" s="56"/>
      <c r="D1732" s="57"/>
      <c r="E1732" s="57"/>
      <c r="F1732" s="57"/>
      <c r="G1732" s="58"/>
      <c r="H1732" s="58"/>
      <c r="I1732" s="57"/>
      <c r="J1732" s="57"/>
      <c r="K1732" s="57"/>
    </row>
    <row r="1733" spans="1:11" ht="19.5" customHeight="1" x14ac:dyDescent="0.3">
      <c r="A1733" s="46">
        <v>1730</v>
      </c>
      <c r="B1733" s="57" t="str">
        <f>IF(Tabla1[[#This Row],[TRABAJADOR]]="", "", VLOOKUP(Tabla1[[#This Row],[TRABAJADOR]], 'Colaborador ID'!B:C, 2, FALSE))</f>
        <v/>
      </c>
      <c r="C1733" s="56"/>
      <c r="D1733" s="57"/>
      <c r="E1733" s="57"/>
      <c r="F1733" s="57"/>
      <c r="G1733" s="58"/>
      <c r="H1733" s="58"/>
      <c r="I1733" s="57"/>
      <c r="J1733" s="57"/>
      <c r="K1733" s="57"/>
    </row>
    <row r="1734" spans="1:11" ht="19.5" customHeight="1" x14ac:dyDescent="0.3">
      <c r="A1734" s="46">
        <v>1731</v>
      </c>
      <c r="B1734" s="57" t="str">
        <f>IF(Tabla1[[#This Row],[TRABAJADOR]]="", "", VLOOKUP(Tabla1[[#This Row],[TRABAJADOR]], 'Colaborador ID'!B:C, 2, FALSE))</f>
        <v/>
      </c>
      <c r="C1734" s="56"/>
      <c r="D1734" s="57"/>
      <c r="E1734" s="57"/>
      <c r="F1734" s="57"/>
      <c r="G1734" s="58"/>
      <c r="H1734" s="58"/>
      <c r="I1734" s="57"/>
      <c r="J1734" s="57"/>
      <c r="K1734" s="57"/>
    </row>
    <row r="1735" spans="1:11" ht="19.5" customHeight="1" x14ac:dyDescent="0.3">
      <c r="A1735" s="46">
        <v>1732</v>
      </c>
      <c r="B1735" s="57" t="str">
        <f>IF(Tabla1[[#This Row],[TRABAJADOR]]="", "", VLOOKUP(Tabla1[[#This Row],[TRABAJADOR]], 'Colaborador ID'!B:C, 2, FALSE))</f>
        <v/>
      </c>
      <c r="C1735" s="56"/>
      <c r="D1735" s="57"/>
      <c r="E1735" s="57"/>
      <c r="F1735" s="57"/>
      <c r="G1735" s="58"/>
      <c r="H1735" s="58"/>
      <c r="I1735" s="57"/>
      <c r="J1735" s="57"/>
      <c r="K1735" s="57"/>
    </row>
    <row r="1736" spans="1:11" ht="19.5" customHeight="1" x14ac:dyDescent="0.3">
      <c r="A1736" s="46">
        <v>1733</v>
      </c>
      <c r="B1736" s="57" t="str">
        <f>IF(Tabla1[[#This Row],[TRABAJADOR]]="", "", VLOOKUP(Tabla1[[#This Row],[TRABAJADOR]], 'Colaborador ID'!B:C, 2, FALSE))</f>
        <v/>
      </c>
      <c r="C1736" s="56"/>
      <c r="D1736" s="57"/>
      <c r="E1736" s="57"/>
      <c r="F1736" s="57"/>
      <c r="G1736" s="58"/>
      <c r="H1736" s="58"/>
      <c r="I1736" s="57"/>
      <c r="J1736" s="57"/>
      <c r="K1736" s="57"/>
    </row>
    <row r="1737" spans="1:11" ht="19.5" customHeight="1" x14ac:dyDescent="0.3">
      <c r="A1737" s="46">
        <v>1734</v>
      </c>
      <c r="B1737" s="57" t="str">
        <f>IF(Tabla1[[#This Row],[TRABAJADOR]]="", "", VLOOKUP(Tabla1[[#This Row],[TRABAJADOR]], 'Colaborador ID'!B:C, 2, FALSE))</f>
        <v/>
      </c>
      <c r="C1737" s="56"/>
      <c r="D1737" s="57"/>
      <c r="E1737" s="57"/>
      <c r="F1737" s="57"/>
      <c r="G1737" s="58"/>
      <c r="H1737" s="58"/>
      <c r="I1737" s="57"/>
      <c r="J1737" s="57"/>
      <c r="K1737" s="57"/>
    </row>
    <row r="1738" spans="1:11" ht="19.5" customHeight="1" x14ac:dyDescent="0.3">
      <c r="A1738" s="46">
        <v>1735</v>
      </c>
      <c r="B1738" s="57" t="str">
        <f>IF(Tabla1[[#This Row],[TRABAJADOR]]="", "", VLOOKUP(Tabla1[[#This Row],[TRABAJADOR]], 'Colaborador ID'!B:C, 2, FALSE))</f>
        <v/>
      </c>
      <c r="C1738" s="56"/>
      <c r="D1738" s="57"/>
      <c r="E1738" s="57"/>
      <c r="F1738" s="57"/>
      <c r="G1738" s="58"/>
      <c r="H1738" s="58"/>
      <c r="I1738" s="57"/>
      <c r="J1738" s="57"/>
      <c r="K1738" s="57"/>
    </row>
    <row r="1739" spans="1:11" ht="19.5" customHeight="1" x14ac:dyDescent="0.3">
      <c r="A1739" s="46">
        <v>1736</v>
      </c>
      <c r="B1739" s="57" t="str">
        <f>IF(Tabla1[[#This Row],[TRABAJADOR]]="", "", VLOOKUP(Tabla1[[#This Row],[TRABAJADOR]], 'Colaborador ID'!B:C, 2, FALSE))</f>
        <v/>
      </c>
      <c r="C1739" s="56"/>
      <c r="D1739" s="57"/>
      <c r="E1739" s="57"/>
      <c r="F1739" s="57"/>
      <c r="G1739" s="58"/>
      <c r="H1739" s="58"/>
      <c r="I1739" s="57"/>
      <c r="J1739" s="57"/>
      <c r="K1739" s="57"/>
    </row>
    <row r="1740" spans="1:11" ht="19.5" customHeight="1" x14ac:dyDescent="0.3">
      <c r="A1740" s="46">
        <v>1737</v>
      </c>
      <c r="B1740" s="57" t="str">
        <f>IF(Tabla1[[#This Row],[TRABAJADOR]]="", "", VLOOKUP(Tabla1[[#This Row],[TRABAJADOR]], 'Colaborador ID'!B:C, 2, FALSE))</f>
        <v/>
      </c>
      <c r="C1740" s="56"/>
      <c r="D1740" s="57"/>
      <c r="E1740" s="57"/>
      <c r="F1740" s="57"/>
      <c r="G1740" s="58"/>
      <c r="H1740" s="58"/>
      <c r="I1740" s="57"/>
      <c r="J1740" s="57"/>
      <c r="K1740" s="57"/>
    </row>
    <row r="1741" spans="1:11" ht="19.5" customHeight="1" x14ac:dyDescent="0.3">
      <c r="A1741" s="46">
        <v>1738</v>
      </c>
      <c r="B1741" s="57" t="str">
        <f>IF(Tabla1[[#This Row],[TRABAJADOR]]="", "", VLOOKUP(Tabla1[[#This Row],[TRABAJADOR]], 'Colaborador ID'!B:C, 2, FALSE))</f>
        <v/>
      </c>
      <c r="C1741" s="56"/>
      <c r="D1741" s="57"/>
      <c r="E1741" s="57"/>
      <c r="F1741" s="57"/>
      <c r="G1741" s="58"/>
      <c r="H1741" s="58"/>
      <c r="I1741" s="57"/>
      <c r="J1741" s="57"/>
      <c r="K1741" s="57"/>
    </row>
    <row r="1742" spans="1:11" ht="19.5" customHeight="1" x14ac:dyDescent="0.3">
      <c r="A1742" s="46">
        <v>1739</v>
      </c>
      <c r="B1742" s="57" t="str">
        <f>IF(Tabla1[[#This Row],[TRABAJADOR]]="", "", VLOOKUP(Tabla1[[#This Row],[TRABAJADOR]], 'Colaborador ID'!B:C, 2, FALSE))</f>
        <v/>
      </c>
      <c r="C1742" s="56"/>
      <c r="D1742" s="57"/>
      <c r="E1742" s="57"/>
      <c r="F1742" s="57"/>
      <c r="G1742" s="58"/>
      <c r="H1742" s="58"/>
      <c r="I1742" s="57"/>
      <c r="J1742" s="57"/>
      <c r="K1742" s="57"/>
    </row>
    <row r="1743" spans="1:11" ht="19.5" customHeight="1" x14ac:dyDescent="0.3">
      <c r="A1743" s="46">
        <v>1740</v>
      </c>
      <c r="B1743" s="57" t="str">
        <f>IF(Tabla1[[#This Row],[TRABAJADOR]]="", "", VLOOKUP(Tabla1[[#This Row],[TRABAJADOR]], 'Colaborador ID'!B:C, 2, FALSE))</f>
        <v/>
      </c>
      <c r="C1743" s="56"/>
      <c r="D1743" s="57"/>
      <c r="E1743" s="57"/>
      <c r="F1743" s="57"/>
      <c r="G1743" s="58"/>
      <c r="H1743" s="58"/>
      <c r="I1743" s="57"/>
      <c r="J1743" s="57"/>
      <c r="K1743" s="57"/>
    </row>
    <row r="1744" spans="1:11" ht="19.5" customHeight="1" x14ac:dyDescent="0.3">
      <c r="A1744" s="46">
        <v>1741</v>
      </c>
      <c r="B1744" s="57" t="str">
        <f>IF(Tabla1[[#This Row],[TRABAJADOR]]="", "", VLOOKUP(Tabla1[[#This Row],[TRABAJADOR]], 'Colaborador ID'!B:C, 2, FALSE))</f>
        <v/>
      </c>
      <c r="C1744" s="56"/>
      <c r="D1744" s="57"/>
      <c r="E1744" s="57"/>
      <c r="F1744" s="57"/>
      <c r="G1744" s="58"/>
      <c r="H1744" s="58"/>
      <c r="I1744" s="57"/>
      <c r="J1744" s="57"/>
      <c r="K1744" s="57"/>
    </row>
    <row r="1745" spans="1:11" ht="19.5" customHeight="1" x14ac:dyDescent="0.3">
      <c r="A1745" s="46">
        <v>1742</v>
      </c>
      <c r="B1745" s="57" t="str">
        <f>IF(Tabla1[[#This Row],[TRABAJADOR]]="", "", VLOOKUP(Tabla1[[#This Row],[TRABAJADOR]], 'Colaborador ID'!B:C, 2, FALSE))</f>
        <v/>
      </c>
      <c r="C1745" s="56"/>
      <c r="D1745" s="57"/>
      <c r="E1745" s="57"/>
      <c r="F1745" s="57"/>
      <c r="G1745" s="58"/>
      <c r="H1745" s="58"/>
      <c r="I1745" s="57"/>
      <c r="J1745" s="57"/>
      <c r="K1745" s="57"/>
    </row>
    <row r="1746" spans="1:11" ht="19.5" customHeight="1" x14ac:dyDescent="0.3">
      <c r="A1746" s="46">
        <v>1743</v>
      </c>
      <c r="B1746" s="57" t="str">
        <f>IF(Tabla1[[#This Row],[TRABAJADOR]]="", "", VLOOKUP(Tabla1[[#This Row],[TRABAJADOR]], 'Colaborador ID'!B:C, 2, FALSE))</f>
        <v/>
      </c>
      <c r="C1746" s="56"/>
      <c r="D1746" s="57"/>
      <c r="E1746" s="57"/>
      <c r="F1746" s="57"/>
      <c r="G1746" s="58"/>
      <c r="H1746" s="58"/>
      <c r="I1746" s="57"/>
      <c r="J1746" s="57"/>
      <c r="K1746" s="57"/>
    </row>
    <row r="1747" spans="1:11" ht="19.5" customHeight="1" x14ac:dyDescent="0.3">
      <c r="A1747" s="46">
        <v>1744</v>
      </c>
      <c r="B1747" s="57" t="str">
        <f>IF(Tabla1[[#This Row],[TRABAJADOR]]="", "", VLOOKUP(Tabla1[[#This Row],[TRABAJADOR]], 'Colaborador ID'!B:C, 2, FALSE))</f>
        <v/>
      </c>
      <c r="C1747" s="56"/>
      <c r="D1747" s="57"/>
      <c r="E1747" s="57"/>
      <c r="F1747" s="57"/>
      <c r="G1747" s="58"/>
      <c r="H1747" s="58"/>
      <c r="I1747" s="57"/>
      <c r="J1747" s="57"/>
      <c r="K1747" s="57"/>
    </row>
    <row r="1748" spans="1:11" ht="19.5" customHeight="1" x14ac:dyDescent="0.3">
      <c r="A1748" s="46">
        <v>1745</v>
      </c>
      <c r="B1748" s="57" t="str">
        <f>IF(Tabla1[[#This Row],[TRABAJADOR]]="", "", VLOOKUP(Tabla1[[#This Row],[TRABAJADOR]], 'Colaborador ID'!B:C, 2, FALSE))</f>
        <v/>
      </c>
      <c r="C1748" s="56"/>
      <c r="D1748" s="57"/>
      <c r="E1748" s="57"/>
      <c r="F1748" s="57"/>
      <c r="G1748" s="58"/>
      <c r="H1748" s="58"/>
      <c r="I1748" s="57"/>
      <c r="J1748" s="57"/>
      <c r="K1748" s="57"/>
    </row>
    <row r="1749" spans="1:11" ht="19.5" customHeight="1" x14ac:dyDescent="0.3">
      <c r="A1749" s="46">
        <v>1746</v>
      </c>
      <c r="B1749" s="57" t="str">
        <f>IF(Tabla1[[#This Row],[TRABAJADOR]]="", "", VLOOKUP(Tabla1[[#This Row],[TRABAJADOR]], 'Colaborador ID'!B:C, 2, FALSE))</f>
        <v/>
      </c>
      <c r="C1749" s="56"/>
      <c r="D1749" s="57"/>
      <c r="E1749" s="57"/>
      <c r="F1749" s="57"/>
      <c r="G1749" s="58"/>
      <c r="H1749" s="58"/>
      <c r="I1749" s="57"/>
      <c r="J1749" s="57"/>
      <c r="K1749" s="57"/>
    </row>
    <row r="1750" spans="1:11" ht="19.5" customHeight="1" x14ac:dyDescent="0.3">
      <c r="A1750" s="46">
        <v>1747</v>
      </c>
      <c r="B1750" s="57" t="str">
        <f>IF(Tabla1[[#This Row],[TRABAJADOR]]="", "", VLOOKUP(Tabla1[[#This Row],[TRABAJADOR]], 'Colaborador ID'!B:C, 2, FALSE))</f>
        <v/>
      </c>
      <c r="C1750" s="56"/>
      <c r="D1750" s="57"/>
      <c r="E1750" s="57"/>
      <c r="F1750" s="57"/>
      <c r="G1750" s="58"/>
      <c r="H1750" s="58"/>
      <c r="I1750" s="57"/>
      <c r="J1750" s="57"/>
      <c r="K1750" s="57"/>
    </row>
    <row r="1751" spans="1:11" ht="19.5" customHeight="1" x14ac:dyDescent="0.3">
      <c r="A1751" s="46">
        <v>1748</v>
      </c>
      <c r="B1751" s="57" t="str">
        <f>IF(Tabla1[[#This Row],[TRABAJADOR]]="", "", VLOOKUP(Tabla1[[#This Row],[TRABAJADOR]], 'Colaborador ID'!B:C, 2, FALSE))</f>
        <v/>
      </c>
      <c r="C1751" s="56"/>
      <c r="D1751" s="57"/>
      <c r="E1751" s="57"/>
      <c r="F1751" s="57"/>
      <c r="G1751" s="58"/>
      <c r="H1751" s="58"/>
      <c r="I1751" s="57"/>
      <c r="J1751" s="57"/>
      <c r="K1751" s="57"/>
    </row>
    <row r="1752" spans="1:11" ht="19.5" customHeight="1" x14ac:dyDescent="0.3">
      <c r="A1752" s="46">
        <v>1749</v>
      </c>
      <c r="B1752" s="57" t="str">
        <f>IF(Tabla1[[#This Row],[TRABAJADOR]]="", "", VLOOKUP(Tabla1[[#This Row],[TRABAJADOR]], 'Colaborador ID'!B:C, 2, FALSE))</f>
        <v/>
      </c>
      <c r="C1752" s="56"/>
      <c r="D1752" s="57"/>
      <c r="E1752" s="57"/>
      <c r="F1752" s="57"/>
      <c r="G1752" s="58"/>
      <c r="H1752" s="58"/>
      <c r="I1752" s="57"/>
      <c r="J1752" s="57"/>
      <c r="K1752" s="57"/>
    </row>
    <row r="1753" spans="1:11" ht="19.5" customHeight="1" x14ac:dyDescent="0.3">
      <c r="A1753" s="46">
        <v>1750</v>
      </c>
      <c r="B1753" s="57" t="str">
        <f>IF(Tabla1[[#This Row],[TRABAJADOR]]="", "", VLOOKUP(Tabla1[[#This Row],[TRABAJADOR]], 'Colaborador ID'!B:C, 2, FALSE))</f>
        <v/>
      </c>
      <c r="C1753" s="56"/>
      <c r="D1753" s="57"/>
      <c r="E1753" s="57"/>
      <c r="F1753" s="57"/>
      <c r="G1753" s="58"/>
      <c r="H1753" s="58"/>
      <c r="I1753" s="57"/>
      <c r="J1753" s="57"/>
      <c r="K1753" s="57"/>
    </row>
    <row r="1754" spans="1:11" ht="19.5" customHeight="1" x14ac:dyDescent="0.3">
      <c r="A1754" s="46">
        <v>1751</v>
      </c>
      <c r="B1754" s="57" t="str">
        <f>IF(Tabla1[[#This Row],[TRABAJADOR]]="", "", VLOOKUP(Tabla1[[#This Row],[TRABAJADOR]], 'Colaborador ID'!B:C, 2, FALSE))</f>
        <v/>
      </c>
      <c r="C1754" s="56"/>
      <c r="D1754" s="57"/>
      <c r="E1754" s="57"/>
      <c r="F1754" s="57"/>
      <c r="G1754" s="58"/>
      <c r="H1754" s="58"/>
      <c r="I1754" s="57"/>
      <c r="J1754" s="57"/>
      <c r="K1754" s="57"/>
    </row>
    <row r="1755" spans="1:11" ht="19.5" customHeight="1" x14ac:dyDescent="0.3">
      <c r="A1755" s="46">
        <v>1752</v>
      </c>
      <c r="B1755" s="57" t="str">
        <f>IF(Tabla1[[#This Row],[TRABAJADOR]]="", "", VLOOKUP(Tabla1[[#This Row],[TRABAJADOR]], 'Colaborador ID'!B:C, 2, FALSE))</f>
        <v/>
      </c>
      <c r="C1755" s="56"/>
      <c r="D1755" s="57"/>
      <c r="E1755" s="57"/>
      <c r="F1755" s="57"/>
      <c r="G1755" s="58"/>
      <c r="H1755" s="58"/>
      <c r="I1755" s="57"/>
      <c r="J1755" s="57"/>
      <c r="K1755" s="57"/>
    </row>
    <row r="1756" spans="1:11" ht="19.5" customHeight="1" x14ac:dyDescent="0.3">
      <c r="A1756" s="46">
        <v>1753</v>
      </c>
      <c r="B1756" s="57" t="str">
        <f>IF(Tabla1[[#This Row],[TRABAJADOR]]="", "", VLOOKUP(Tabla1[[#This Row],[TRABAJADOR]], 'Colaborador ID'!B:C, 2, FALSE))</f>
        <v/>
      </c>
      <c r="C1756" s="56"/>
      <c r="D1756" s="57"/>
      <c r="E1756" s="57"/>
      <c r="F1756" s="57"/>
      <c r="G1756" s="58"/>
      <c r="H1756" s="58"/>
      <c r="I1756" s="57"/>
      <c r="J1756" s="57"/>
      <c r="K1756" s="57"/>
    </row>
    <row r="1757" spans="1:11" ht="19.5" customHeight="1" x14ac:dyDescent="0.3">
      <c r="A1757" s="46">
        <v>1754</v>
      </c>
      <c r="B1757" s="57" t="str">
        <f>IF(Tabla1[[#This Row],[TRABAJADOR]]="", "", VLOOKUP(Tabla1[[#This Row],[TRABAJADOR]], 'Colaborador ID'!B:C, 2, FALSE))</f>
        <v/>
      </c>
      <c r="C1757" s="56"/>
      <c r="D1757" s="57"/>
      <c r="E1757" s="57"/>
      <c r="F1757" s="57"/>
      <c r="G1757" s="58"/>
      <c r="H1757" s="58"/>
      <c r="I1757" s="57"/>
      <c r="J1757" s="57"/>
      <c r="K1757" s="57"/>
    </row>
    <row r="1758" spans="1:11" ht="19.5" customHeight="1" x14ac:dyDescent="0.3">
      <c r="A1758" s="46">
        <v>1755</v>
      </c>
      <c r="B1758" s="57" t="str">
        <f>IF(Tabla1[[#This Row],[TRABAJADOR]]="", "", VLOOKUP(Tabla1[[#This Row],[TRABAJADOR]], 'Colaborador ID'!B:C, 2, FALSE))</f>
        <v/>
      </c>
      <c r="C1758" s="56"/>
      <c r="D1758" s="57"/>
      <c r="E1758" s="57"/>
      <c r="F1758" s="57"/>
      <c r="G1758" s="58"/>
      <c r="H1758" s="58"/>
      <c r="I1758" s="57"/>
      <c r="J1758" s="57"/>
      <c r="K1758" s="57"/>
    </row>
    <row r="1759" spans="1:11" ht="19.5" customHeight="1" x14ac:dyDescent="0.3">
      <c r="A1759" s="46">
        <v>1756</v>
      </c>
      <c r="B1759" s="57" t="str">
        <f>IF(Tabla1[[#This Row],[TRABAJADOR]]="", "", VLOOKUP(Tabla1[[#This Row],[TRABAJADOR]], 'Colaborador ID'!B:C, 2, FALSE))</f>
        <v/>
      </c>
      <c r="C1759" s="56"/>
      <c r="D1759" s="57"/>
      <c r="E1759" s="57"/>
      <c r="F1759" s="57"/>
      <c r="G1759" s="58"/>
      <c r="H1759" s="58"/>
      <c r="I1759" s="57"/>
      <c r="J1759" s="57"/>
      <c r="K1759" s="57"/>
    </row>
    <row r="1760" spans="1:11" ht="19.5" customHeight="1" x14ac:dyDescent="0.3">
      <c r="A1760" s="46">
        <v>1757</v>
      </c>
      <c r="B1760" s="57" t="str">
        <f>IF(Tabla1[[#This Row],[TRABAJADOR]]="", "", VLOOKUP(Tabla1[[#This Row],[TRABAJADOR]], 'Colaborador ID'!B:C, 2, FALSE))</f>
        <v/>
      </c>
      <c r="C1760" s="56"/>
      <c r="D1760" s="57"/>
      <c r="E1760" s="57"/>
      <c r="F1760" s="57"/>
      <c r="G1760" s="58"/>
      <c r="H1760" s="58"/>
      <c r="I1760" s="57"/>
      <c r="J1760" s="57"/>
      <c r="K1760" s="57"/>
    </row>
    <row r="1761" spans="1:11" ht="19.5" customHeight="1" x14ac:dyDescent="0.3">
      <c r="A1761" s="46">
        <v>1758</v>
      </c>
      <c r="B1761" s="57" t="str">
        <f>IF(Tabla1[[#This Row],[TRABAJADOR]]="", "", VLOOKUP(Tabla1[[#This Row],[TRABAJADOR]], 'Colaborador ID'!B:C, 2, FALSE))</f>
        <v/>
      </c>
      <c r="C1761" s="56"/>
      <c r="D1761" s="57"/>
      <c r="E1761" s="57"/>
      <c r="F1761" s="57"/>
      <c r="G1761" s="58"/>
      <c r="H1761" s="58"/>
      <c r="I1761" s="57"/>
      <c r="J1761" s="57"/>
      <c r="K1761" s="57"/>
    </row>
    <row r="1762" spans="1:11" ht="19.5" customHeight="1" x14ac:dyDescent="0.3">
      <c r="A1762" s="46">
        <v>1759</v>
      </c>
      <c r="B1762" s="57" t="str">
        <f>IF(Tabla1[[#This Row],[TRABAJADOR]]="", "", VLOOKUP(Tabla1[[#This Row],[TRABAJADOR]], 'Colaborador ID'!B:C, 2, FALSE))</f>
        <v/>
      </c>
      <c r="C1762" s="56"/>
      <c r="D1762" s="57"/>
      <c r="E1762" s="57"/>
      <c r="F1762" s="57"/>
      <c r="G1762" s="58"/>
      <c r="H1762" s="58"/>
      <c r="I1762" s="57"/>
      <c r="J1762" s="57"/>
      <c r="K1762" s="57"/>
    </row>
    <row r="1763" spans="1:11" ht="19.5" customHeight="1" x14ac:dyDescent="0.3">
      <c r="A1763" s="46">
        <v>1760</v>
      </c>
      <c r="B1763" s="57" t="str">
        <f>IF(Tabla1[[#This Row],[TRABAJADOR]]="", "", VLOOKUP(Tabla1[[#This Row],[TRABAJADOR]], 'Colaborador ID'!B:C, 2, FALSE))</f>
        <v/>
      </c>
      <c r="C1763" s="56"/>
      <c r="D1763" s="57"/>
      <c r="E1763" s="57"/>
      <c r="F1763" s="57"/>
      <c r="G1763" s="58"/>
      <c r="H1763" s="58"/>
      <c r="I1763" s="57"/>
      <c r="J1763" s="57"/>
      <c r="K1763" s="57"/>
    </row>
    <row r="1764" spans="1:11" ht="19.5" customHeight="1" x14ac:dyDescent="0.3">
      <c r="A1764" s="46">
        <v>1761</v>
      </c>
      <c r="B1764" s="57" t="str">
        <f>IF(Tabla1[[#This Row],[TRABAJADOR]]="", "", VLOOKUP(Tabla1[[#This Row],[TRABAJADOR]], 'Colaborador ID'!B:C, 2, FALSE))</f>
        <v/>
      </c>
      <c r="C1764" s="56"/>
      <c r="D1764" s="57"/>
      <c r="E1764" s="57"/>
      <c r="F1764" s="57"/>
      <c r="G1764" s="58"/>
      <c r="H1764" s="58"/>
      <c r="I1764" s="57"/>
      <c r="J1764" s="57"/>
      <c r="K1764" s="57"/>
    </row>
    <row r="1765" spans="1:11" ht="19.5" customHeight="1" x14ac:dyDescent="0.3">
      <c r="A1765" s="46">
        <v>1762</v>
      </c>
      <c r="B1765" s="57" t="str">
        <f>IF(Tabla1[[#This Row],[TRABAJADOR]]="", "", VLOOKUP(Tabla1[[#This Row],[TRABAJADOR]], 'Colaborador ID'!B:C, 2, FALSE))</f>
        <v/>
      </c>
      <c r="C1765" s="56"/>
      <c r="D1765" s="57"/>
      <c r="E1765" s="57"/>
      <c r="F1765" s="57"/>
      <c r="G1765" s="58"/>
      <c r="H1765" s="58"/>
      <c r="I1765" s="57"/>
      <c r="J1765" s="57"/>
      <c r="K1765" s="57"/>
    </row>
    <row r="1766" spans="1:11" ht="19.5" customHeight="1" x14ac:dyDescent="0.3">
      <c r="A1766" s="46">
        <v>1763</v>
      </c>
      <c r="B1766" s="57" t="str">
        <f>IF(Tabla1[[#This Row],[TRABAJADOR]]="", "", VLOOKUP(Tabla1[[#This Row],[TRABAJADOR]], 'Colaborador ID'!B:C, 2, FALSE))</f>
        <v/>
      </c>
      <c r="C1766" s="56"/>
      <c r="D1766" s="57"/>
      <c r="E1766" s="57"/>
      <c r="F1766" s="57"/>
      <c r="G1766" s="58"/>
      <c r="H1766" s="58"/>
      <c r="I1766" s="57"/>
      <c r="J1766" s="57"/>
      <c r="K1766" s="57"/>
    </row>
    <row r="1767" spans="1:11" ht="19.5" customHeight="1" x14ac:dyDescent="0.3">
      <c r="A1767" s="46">
        <v>1764</v>
      </c>
      <c r="B1767" s="57" t="str">
        <f>IF(Tabla1[[#This Row],[TRABAJADOR]]="", "", VLOOKUP(Tabla1[[#This Row],[TRABAJADOR]], 'Colaborador ID'!B:C, 2, FALSE))</f>
        <v/>
      </c>
      <c r="C1767" s="56"/>
      <c r="D1767" s="57"/>
      <c r="E1767" s="57"/>
      <c r="F1767" s="57"/>
      <c r="G1767" s="58"/>
      <c r="H1767" s="58"/>
      <c r="I1767" s="57"/>
      <c r="J1767" s="57"/>
      <c r="K1767" s="57"/>
    </row>
    <row r="1768" spans="1:11" ht="19.5" customHeight="1" x14ac:dyDescent="0.3">
      <c r="A1768" s="46">
        <v>1765</v>
      </c>
      <c r="B1768" s="57" t="str">
        <f>IF(Tabla1[[#This Row],[TRABAJADOR]]="", "", VLOOKUP(Tabla1[[#This Row],[TRABAJADOR]], 'Colaborador ID'!B:C, 2, FALSE))</f>
        <v/>
      </c>
      <c r="C1768" s="56"/>
      <c r="D1768" s="57"/>
      <c r="E1768" s="57"/>
      <c r="F1768" s="57"/>
      <c r="G1768" s="58"/>
      <c r="H1768" s="58"/>
      <c r="I1768" s="57"/>
      <c r="J1768" s="57"/>
      <c r="K1768" s="57"/>
    </row>
    <row r="1769" spans="1:11" ht="19.5" customHeight="1" x14ac:dyDescent="0.3">
      <c r="A1769" s="46">
        <v>1766</v>
      </c>
      <c r="B1769" s="57" t="str">
        <f>IF(Tabla1[[#This Row],[TRABAJADOR]]="", "", VLOOKUP(Tabla1[[#This Row],[TRABAJADOR]], 'Colaborador ID'!B:C, 2, FALSE))</f>
        <v/>
      </c>
      <c r="C1769" s="56"/>
      <c r="D1769" s="57"/>
      <c r="E1769" s="57"/>
      <c r="F1769" s="57"/>
      <c r="G1769" s="58"/>
      <c r="H1769" s="58"/>
      <c r="I1769" s="57"/>
      <c r="J1769" s="57"/>
      <c r="K1769" s="57"/>
    </row>
    <row r="1770" spans="1:11" ht="19.5" customHeight="1" x14ac:dyDescent="0.3">
      <c r="A1770" s="46">
        <v>1767</v>
      </c>
      <c r="B1770" s="57" t="str">
        <f>IF(Tabla1[[#This Row],[TRABAJADOR]]="", "", VLOOKUP(Tabla1[[#This Row],[TRABAJADOR]], 'Colaborador ID'!B:C, 2, FALSE))</f>
        <v/>
      </c>
      <c r="C1770" s="56"/>
      <c r="D1770" s="57"/>
      <c r="E1770" s="57"/>
      <c r="F1770" s="57"/>
      <c r="G1770" s="58"/>
      <c r="H1770" s="58"/>
      <c r="I1770" s="57"/>
      <c r="J1770" s="57"/>
      <c r="K1770" s="57"/>
    </row>
    <row r="1771" spans="1:11" ht="19.5" customHeight="1" x14ac:dyDescent="0.3">
      <c r="A1771" s="46">
        <v>1768</v>
      </c>
      <c r="B1771" s="57" t="str">
        <f>IF(Tabla1[[#This Row],[TRABAJADOR]]="", "", VLOOKUP(Tabla1[[#This Row],[TRABAJADOR]], 'Colaborador ID'!B:C, 2, FALSE))</f>
        <v/>
      </c>
      <c r="C1771" s="56"/>
      <c r="D1771" s="57"/>
      <c r="E1771" s="57"/>
      <c r="F1771" s="57"/>
      <c r="G1771" s="58"/>
      <c r="H1771" s="58"/>
      <c r="I1771" s="57"/>
      <c r="J1771" s="57"/>
      <c r="K1771" s="57"/>
    </row>
    <row r="1772" spans="1:11" ht="19.5" customHeight="1" x14ac:dyDescent="0.3">
      <c r="A1772" s="46">
        <v>1769</v>
      </c>
      <c r="B1772" s="57" t="str">
        <f>IF(Tabla1[[#This Row],[TRABAJADOR]]="", "", VLOOKUP(Tabla1[[#This Row],[TRABAJADOR]], 'Colaborador ID'!B:C, 2, FALSE))</f>
        <v/>
      </c>
      <c r="C1772" s="56"/>
      <c r="D1772" s="57"/>
      <c r="E1772" s="57"/>
      <c r="F1772" s="57"/>
      <c r="G1772" s="58"/>
      <c r="H1772" s="58"/>
      <c r="I1772" s="57"/>
      <c r="J1772" s="57"/>
      <c r="K1772" s="57"/>
    </row>
    <row r="1773" spans="1:11" ht="19.5" customHeight="1" x14ac:dyDescent="0.3">
      <c r="A1773" s="46">
        <v>1770</v>
      </c>
      <c r="B1773" s="57" t="str">
        <f>IF(Tabla1[[#This Row],[TRABAJADOR]]="", "", VLOOKUP(Tabla1[[#This Row],[TRABAJADOR]], 'Colaborador ID'!B:C, 2, FALSE))</f>
        <v/>
      </c>
      <c r="C1773" s="56"/>
      <c r="D1773" s="57"/>
      <c r="E1773" s="57"/>
      <c r="F1773" s="57"/>
      <c r="G1773" s="58"/>
      <c r="H1773" s="58"/>
      <c r="I1773" s="57"/>
      <c r="J1773" s="57"/>
      <c r="K1773" s="57"/>
    </row>
    <row r="1774" spans="1:11" ht="19.5" customHeight="1" x14ac:dyDescent="0.3">
      <c r="A1774" s="46">
        <v>1771</v>
      </c>
      <c r="B1774" s="57" t="str">
        <f>IF(Tabla1[[#This Row],[TRABAJADOR]]="", "", VLOOKUP(Tabla1[[#This Row],[TRABAJADOR]], 'Colaborador ID'!B:C, 2, FALSE))</f>
        <v/>
      </c>
      <c r="C1774" s="56"/>
      <c r="D1774" s="57"/>
      <c r="E1774" s="57"/>
      <c r="F1774" s="57"/>
      <c r="G1774" s="58"/>
      <c r="H1774" s="58"/>
      <c r="I1774" s="57"/>
      <c r="J1774" s="57"/>
      <c r="K1774" s="57"/>
    </row>
    <row r="1775" spans="1:11" ht="19.5" customHeight="1" x14ac:dyDescent="0.3">
      <c r="A1775" s="46">
        <v>1772</v>
      </c>
      <c r="B1775" s="57" t="str">
        <f>IF(Tabla1[[#This Row],[TRABAJADOR]]="", "", VLOOKUP(Tabla1[[#This Row],[TRABAJADOR]], 'Colaborador ID'!B:C, 2, FALSE))</f>
        <v/>
      </c>
      <c r="C1775" s="56"/>
      <c r="D1775" s="57"/>
      <c r="E1775" s="57"/>
      <c r="F1775" s="57"/>
      <c r="G1775" s="58"/>
      <c r="H1775" s="58"/>
      <c r="I1775" s="57"/>
      <c r="J1775" s="57"/>
      <c r="K1775" s="57"/>
    </row>
    <row r="1776" spans="1:11" ht="19.5" customHeight="1" x14ac:dyDescent="0.3">
      <c r="A1776" s="46">
        <v>1773</v>
      </c>
      <c r="B1776" s="57" t="str">
        <f>IF(Tabla1[[#This Row],[TRABAJADOR]]="", "", VLOOKUP(Tabla1[[#This Row],[TRABAJADOR]], 'Colaborador ID'!B:C, 2, FALSE))</f>
        <v/>
      </c>
      <c r="C1776" s="56"/>
      <c r="D1776" s="57"/>
      <c r="E1776" s="57"/>
      <c r="F1776" s="57"/>
      <c r="G1776" s="58"/>
      <c r="H1776" s="58"/>
      <c r="I1776" s="57"/>
      <c r="J1776" s="57"/>
      <c r="K1776" s="57"/>
    </row>
    <row r="1777" spans="1:11" ht="19.5" customHeight="1" x14ac:dyDescent="0.3">
      <c r="A1777" s="46">
        <v>1774</v>
      </c>
      <c r="B1777" s="57" t="str">
        <f>IF(Tabla1[[#This Row],[TRABAJADOR]]="", "", VLOOKUP(Tabla1[[#This Row],[TRABAJADOR]], 'Colaborador ID'!B:C, 2, FALSE))</f>
        <v/>
      </c>
      <c r="C1777" s="56"/>
      <c r="D1777" s="57"/>
      <c r="E1777" s="57"/>
      <c r="F1777" s="57"/>
      <c r="G1777" s="58"/>
      <c r="H1777" s="58"/>
      <c r="I1777" s="57"/>
      <c r="J1777" s="57"/>
      <c r="K1777" s="57"/>
    </row>
    <row r="1778" spans="1:11" ht="19.5" customHeight="1" x14ac:dyDescent="0.3">
      <c r="A1778" s="46">
        <v>1775</v>
      </c>
      <c r="B1778" s="57" t="str">
        <f>IF(Tabla1[[#This Row],[TRABAJADOR]]="", "", VLOOKUP(Tabla1[[#This Row],[TRABAJADOR]], 'Colaborador ID'!B:C, 2, FALSE))</f>
        <v/>
      </c>
      <c r="C1778" s="56"/>
      <c r="D1778" s="57"/>
      <c r="E1778" s="57"/>
      <c r="F1778" s="57"/>
      <c r="G1778" s="58"/>
      <c r="H1778" s="58"/>
      <c r="I1778" s="57"/>
      <c r="J1778" s="57"/>
      <c r="K1778" s="57"/>
    </row>
    <row r="1779" spans="1:11" ht="19.5" customHeight="1" x14ac:dyDescent="0.3">
      <c r="A1779" s="46">
        <v>1776</v>
      </c>
      <c r="B1779" s="57" t="str">
        <f>IF(Tabla1[[#This Row],[TRABAJADOR]]="", "", VLOOKUP(Tabla1[[#This Row],[TRABAJADOR]], 'Colaborador ID'!B:C, 2, FALSE))</f>
        <v/>
      </c>
      <c r="C1779" s="56"/>
      <c r="D1779" s="57"/>
      <c r="E1779" s="57"/>
      <c r="F1779" s="57"/>
      <c r="G1779" s="58"/>
      <c r="H1779" s="58"/>
      <c r="I1779" s="57"/>
      <c r="J1779" s="57"/>
      <c r="K1779" s="57"/>
    </row>
    <row r="1780" spans="1:11" ht="19.5" customHeight="1" x14ac:dyDescent="0.3">
      <c r="A1780" s="46">
        <v>1777</v>
      </c>
      <c r="B1780" s="57" t="str">
        <f>IF(Tabla1[[#This Row],[TRABAJADOR]]="", "", VLOOKUP(Tabla1[[#This Row],[TRABAJADOR]], 'Colaborador ID'!B:C, 2, FALSE))</f>
        <v/>
      </c>
      <c r="C1780" s="56"/>
      <c r="D1780" s="57"/>
      <c r="E1780" s="57"/>
      <c r="F1780" s="57"/>
      <c r="G1780" s="58"/>
      <c r="H1780" s="58"/>
      <c r="I1780" s="57"/>
      <c r="J1780" s="57"/>
      <c r="K1780" s="57"/>
    </row>
    <row r="1781" spans="1:11" ht="19.5" customHeight="1" x14ac:dyDescent="0.3">
      <c r="A1781" s="46">
        <v>1778</v>
      </c>
      <c r="B1781" s="57" t="str">
        <f>IF(Tabla1[[#This Row],[TRABAJADOR]]="", "", VLOOKUP(Tabla1[[#This Row],[TRABAJADOR]], 'Colaborador ID'!B:C, 2, FALSE))</f>
        <v/>
      </c>
      <c r="C1781" s="56"/>
      <c r="D1781" s="57"/>
      <c r="E1781" s="57"/>
      <c r="F1781" s="57"/>
      <c r="G1781" s="58"/>
      <c r="H1781" s="58"/>
      <c r="I1781" s="57"/>
      <c r="J1781" s="57"/>
      <c r="K1781" s="57"/>
    </row>
    <row r="1782" spans="1:11" ht="19.5" customHeight="1" x14ac:dyDescent="0.3">
      <c r="A1782" s="46">
        <v>1779</v>
      </c>
      <c r="B1782" s="57" t="str">
        <f>IF(Tabla1[[#This Row],[TRABAJADOR]]="", "", VLOOKUP(Tabla1[[#This Row],[TRABAJADOR]], 'Colaborador ID'!B:C, 2, FALSE))</f>
        <v/>
      </c>
      <c r="C1782" s="56"/>
      <c r="D1782" s="57"/>
      <c r="E1782" s="57"/>
      <c r="F1782" s="57"/>
      <c r="G1782" s="58"/>
      <c r="H1782" s="58"/>
      <c r="I1782" s="57"/>
      <c r="J1782" s="57"/>
      <c r="K1782" s="57"/>
    </row>
    <row r="1783" spans="1:11" ht="19.5" customHeight="1" x14ac:dyDescent="0.3">
      <c r="A1783" s="46">
        <v>1780</v>
      </c>
      <c r="B1783" s="57" t="str">
        <f>IF(Tabla1[[#This Row],[TRABAJADOR]]="", "", VLOOKUP(Tabla1[[#This Row],[TRABAJADOR]], 'Colaborador ID'!B:C, 2, FALSE))</f>
        <v/>
      </c>
      <c r="C1783" s="56"/>
      <c r="D1783" s="57"/>
      <c r="E1783" s="57"/>
      <c r="F1783" s="57"/>
      <c r="G1783" s="58"/>
      <c r="H1783" s="58"/>
      <c r="I1783" s="57"/>
      <c r="J1783" s="57"/>
      <c r="K1783" s="57"/>
    </row>
    <row r="1784" spans="1:11" ht="19.5" customHeight="1" x14ac:dyDescent="0.3">
      <c r="A1784" s="46">
        <v>1781</v>
      </c>
      <c r="B1784" s="57" t="str">
        <f>IF(Tabla1[[#This Row],[TRABAJADOR]]="", "", VLOOKUP(Tabla1[[#This Row],[TRABAJADOR]], 'Colaborador ID'!B:C, 2, FALSE))</f>
        <v/>
      </c>
      <c r="C1784" s="56"/>
      <c r="D1784" s="57"/>
      <c r="E1784" s="57"/>
      <c r="F1784" s="57"/>
      <c r="G1784" s="58"/>
      <c r="H1784" s="58"/>
      <c r="I1784" s="57"/>
      <c r="J1784" s="57"/>
      <c r="K1784" s="57"/>
    </row>
    <row r="1785" spans="1:11" ht="19.5" customHeight="1" x14ac:dyDescent="0.3">
      <c r="A1785" s="46">
        <v>1782</v>
      </c>
      <c r="B1785" s="57" t="str">
        <f>IF(Tabla1[[#This Row],[TRABAJADOR]]="", "", VLOOKUP(Tabla1[[#This Row],[TRABAJADOR]], 'Colaborador ID'!B:C, 2, FALSE))</f>
        <v/>
      </c>
      <c r="C1785" s="56"/>
      <c r="D1785" s="57"/>
      <c r="E1785" s="57"/>
      <c r="F1785" s="57"/>
      <c r="G1785" s="58"/>
      <c r="H1785" s="58"/>
      <c r="I1785" s="57"/>
      <c r="J1785" s="57"/>
      <c r="K1785" s="57"/>
    </row>
    <row r="1786" spans="1:11" ht="19.5" customHeight="1" x14ac:dyDescent="0.3">
      <c r="A1786" s="46">
        <v>1783</v>
      </c>
      <c r="B1786" s="57" t="str">
        <f>IF(Tabla1[[#This Row],[TRABAJADOR]]="", "", VLOOKUP(Tabla1[[#This Row],[TRABAJADOR]], 'Colaborador ID'!B:C, 2, FALSE))</f>
        <v/>
      </c>
      <c r="C1786" s="56"/>
      <c r="D1786" s="57"/>
      <c r="E1786" s="57"/>
      <c r="F1786" s="57"/>
      <c r="G1786" s="58"/>
      <c r="H1786" s="58"/>
      <c r="I1786" s="57"/>
      <c r="J1786" s="57"/>
      <c r="K1786" s="57"/>
    </row>
    <row r="1787" spans="1:11" ht="19.5" customHeight="1" x14ac:dyDescent="0.3">
      <c r="A1787" s="46">
        <v>1784</v>
      </c>
      <c r="B1787" s="57" t="str">
        <f>IF(Tabla1[[#This Row],[TRABAJADOR]]="", "", VLOOKUP(Tabla1[[#This Row],[TRABAJADOR]], 'Colaborador ID'!B:C, 2, FALSE))</f>
        <v/>
      </c>
      <c r="C1787" s="56"/>
      <c r="D1787" s="57"/>
      <c r="E1787" s="57"/>
      <c r="F1787" s="57"/>
      <c r="G1787" s="58"/>
      <c r="H1787" s="58"/>
      <c r="I1787" s="57"/>
      <c r="J1787" s="57"/>
      <c r="K1787" s="57"/>
    </row>
    <row r="1788" spans="1:11" ht="19.5" customHeight="1" x14ac:dyDescent="0.3">
      <c r="A1788" s="46">
        <v>1785</v>
      </c>
      <c r="B1788" s="57" t="str">
        <f>IF(Tabla1[[#This Row],[TRABAJADOR]]="", "", VLOOKUP(Tabla1[[#This Row],[TRABAJADOR]], 'Colaborador ID'!B:C, 2, FALSE))</f>
        <v/>
      </c>
      <c r="C1788" s="56"/>
      <c r="D1788" s="57"/>
      <c r="E1788" s="57"/>
      <c r="F1788" s="57"/>
      <c r="G1788" s="58"/>
      <c r="H1788" s="58"/>
      <c r="I1788" s="57"/>
      <c r="J1788" s="57"/>
      <c r="K1788" s="57"/>
    </row>
    <row r="1789" spans="1:11" ht="19.5" customHeight="1" x14ac:dyDescent="0.3">
      <c r="A1789" s="46">
        <v>1786</v>
      </c>
      <c r="B1789" s="57" t="str">
        <f>IF(Tabla1[[#This Row],[TRABAJADOR]]="", "", VLOOKUP(Tabla1[[#This Row],[TRABAJADOR]], 'Colaborador ID'!B:C, 2, FALSE))</f>
        <v/>
      </c>
      <c r="C1789" s="56"/>
      <c r="D1789" s="57"/>
      <c r="E1789" s="57"/>
      <c r="F1789" s="57"/>
      <c r="G1789" s="58"/>
      <c r="H1789" s="58"/>
      <c r="I1789" s="57"/>
      <c r="J1789" s="57"/>
      <c r="K1789" s="57"/>
    </row>
    <row r="1790" spans="1:11" ht="19.5" customHeight="1" x14ac:dyDescent="0.3">
      <c r="A1790" s="46">
        <v>1787</v>
      </c>
      <c r="B1790" s="57" t="str">
        <f>IF(Tabla1[[#This Row],[TRABAJADOR]]="", "", VLOOKUP(Tabla1[[#This Row],[TRABAJADOR]], 'Colaborador ID'!B:C, 2, FALSE))</f>
        <v/>
      </c>
      <c r="C1790" s="56"/>
      <c r="D1790" s="57"/>
      <c r="E1790" s="57"/>
      <c r="F1790" s="57"/>
      <c r="G1790" s="58"/>
      <c r="H1790" s="58"/>
      <c r="I1790" s="57"/>
      <c r="J1790" s="57"/>
      <c r="K1790" s="57"/>
    </row>
    <row r="1791" spans="1:11" ht="19.5" customHeight="1" x14ac:dyDescent="0.3">
      <c r="A1791" s="46">
        <v>1788</v>
      </c>
      <c r="B1791" s="57" t="str">
        <f>IF(Tabla1[[#This Row],[TRABAJADOR]]="", "", VLOOKUP(Tabla1[[#This Row],[TRABAJADOR]], 'Colaborador ID'!B:C, 2, FALSE))</f>
        <v/>
      </c>
      <c r="C1791" s="56"/>
      <c r="D1791" s="57"/>
      <c r="E1791" s="57"/>
      <c r="F1791" s="57"/>
      <c r="G1791" s="58"/>
      <c r="H1791" s="58"/>
      <c r="I1791" s="57"/>
      <c r="J1791" s="57"/>
      <c r="K1791" s="57"/>
    </row>
    <row r="1792" spans="1:11" ht="19.5" customHeight="1" x14ac:dyDescent="0.3">
      <c r="A1792" s="46">
        <v>1789</v>
      </c>
      <c r="B1792" s="57" t="str">
        <f>IF(Tabla1[[#This Row],[TRABAJADOR]]="", "", VLOOKUP(Tabla1[[#This Row],[TRABAJADOR]], 'Colaborador ID'!B:C, 2, FALSE))</f>
        <v/>
      </c>
      <c r="C1792" s="56"/>
      <c r="D1792" s="57"/>
      <c r="E1792" s="57"/>
      <c r="F1792" s="57"/>
      <c r="G1792" s="58"/>
      <c r="H1792" s="58"/>
      <c r="I1792" s="57"/>
      <c r="J1792" s="57"/>
      <c r="K1792" s="57"/>
    </row>
    <row r="1793" spans="1:11" ht="19.5" customHeight="1" x14ac:dyDescent="0.3">
      <c r="A1793" s="46">
        <v>1790</v>
      </c>
      <c r="B1793" s="57" t="str">
        <f>IF(Tabla1[[#This Row],[TRABAJADOR]]="", "", VLOOKUP(Tabla1[[#This Row],[TRABAJADOR]], 'Colaborador ID'!B:C, 2, FALSE))</f>
        <v/>
      </c>
      <c r="C1793" s="56"/>
      <c r="D1793" s="57"/>
      <c r="E1793" s="57"/>
      <c r="F1793" s="57"/>
      <c r="G1793" s="58"/>
      <c r="H1793" s="58"/>
      <c r="I1793" s="57"/>
      <c r="J1793" s="57"/>
      <c r="K1793" s="57"/>
    </row>
    <row r="1794" spans="1:11" ht="19.5" customHeight="1" x14ac:dyDescent="0.3">
      <c r="A1794" s="46">
        <v>1791</v>
      </c>
      <c r="B1794" s="57" t="str">
        <f>IF(Tabla1[[#This Row],[TRABAJADOR]]="", "", VLOOKUP(Tabla1[[#This Row],[TRABAJADOR]], 'Colaborador ID'!B:C, 2, FALSE))</f>
        <v/>
      </c>
      <c r="C1794" s="56"/>
      <c r="D1794" s="57"/>
      <c r="E1794" s="57"/>
      <c r="F1794" s="57"/>
      <c r="G1794" s="58"/>
      <c r="H1794" s="58"/>
      <c r="I1794" s="57"/>
      <c r="J1794" s="57"/>
      <c r="K1794" s="57"/>
    </row>
    <row r="1795" spans="1:11" ht="19.5" customHeight="1" x14ac:dyDescent="0.3">
      <c r="A1795" s="46">
        <v>1792</v>
      </c>
      <c r="B1795" s="57" t="str">
        <f>IF(Tabla1[[#This Row],[TRABAJADOR]]="", "", VLOOKUP(Tabla1[[#This Row],[TRABAJADOR]], 'Colaborador ID'!B:C, 2, FALSE))</f>
        <v/>
      </c>
      <c r="C1795" s="56"/>
      <c r="D1795" s="57"/>
      <c r="E1795" s="57"/>
      <c r="F1795" s="57"/>
      <c r="G1795" s="58"/>
      <c r="H1795" s="58"/>
      <c r="I1795" s="57"/>
      <c r="J1795" s="57"/>
      <c r="K1795" s="57"/>
    </row>
    <row r="1796" spans="1:11" ht="19.5" customHeight="1" x14ac:dyDescent="0.3">
      <c r="A1796" s="46">
        <v>1793</v>
      </c>
      <c r="B1796" s="57" t="str">
        <f>IF(Tabla1[[#This Row],[TRABAJADOR]]="", "", VLOOKUP(Tabla1[[#This Row],[TRABAJADOR]], 'Colaborador ID'!B:C, 2, FALSE))</f>
        <v/>
      </c>
      <c r="C1796" s="56"/>
      <c r="D1796" s="57"/>
      <c r="E1796" s="57"/>
      <c r="F1796" s="57"/>
      <c r="G1796" s="58"/>
      <c r="H1796" s="58"/>
      <c r="I1796" s="57"/>
      <c r="J1796" s="57"/>
      <c r="K1796" s="57"/>
    </row>
    <row r="1797" spans="1:11" ht="19.5" customHeight="1" x14ac:dyDescent="0.3">
      <c r="A1797" s="46">
        <v>1794</v>
      </c>
      <c r="B1797" s="57" t="str">
        <f>IF(Tabla1[[#This Row],[TRABAJADOR]]="", "", VLOOKUP(Tabla1[[#This Row],[TRABAJADOR]], 'Colaborador ID'!B:C, 2, FALSE))</f>
        <v/>
      </c>
      <c r="C1797" s="56"/>
      <c r="D1797" s="57"/>
      <c r="E1797" s="57"/>
      <c r="F1797" s="57"/>
      <c r="G1797" s="58"/>
      <c r="H1797" s="58"/>
      <c r="I1797" s="57"/>
      <c r="J1797" s="57"/>
      <c r="K1797" s="57"/>
    </row>
    <row r="1798" spans="1:11" ht="19.5" customHeight="1" x14ac:dyDescent="0.3">
      <c r="A1798" s="46">
        <v>1795</v>
      </c>
      <c r="B1798" s="57" t="str">
        <f>IF(Tabla1[[#This Row],[TRABAJADOR]]="", "", VLOOKUP(Tabla1[[#This Row],[TRABAJADOR]], 'Colaborador ID'!B:C, 2, FALSE))</f>
        <v/>
      </c>
      <c r="C1798" s="56"/>
      <c r="D1798" s="57"/>
      <c r="E1798" s="57"/>
      <c r="F1798" s="57"/>
      <c r="G1798" s="58"/>
      <c r="H1798" s="58"/>
      <c r="I1798" s="57"/>
      <c r="J1798" s="57"/>
      <c r="K1798" s="57"/>
    </row>
    <row r="1799" spans="1:11" ht="19.5" customHeight="1" x14ac:dyDescent="0.3">
      <c r="A1799" s="46">
        <v>1796</v>
      </c>
      <c r="B1799" s="57" t="str">
        <f>IF(Tabla1[[#This Row],[TRABAJADOR]]="", "", VLOOKUP(Tabla1[[#This Row],[TRABAJADOR]], 'Colaborador ID'!B:C, 2, FALSE))</f>
        <v/>
      </c>
      <c r="C1799" s="56"/>
      <c r="D1799" s="57"/>
      <c r="E1799" s="57"/>
      <c r="F1799" s="57"/>
      <c r="G1799" s="58"/>
      <c r="H1799" s="58"/>
      <c r="I1799" s="57"/>
      <c r="J1799" s="57"/>
      <c r="K1799" s="57"/>
    </row>
    <row r="1800" spans="1:11" ht="19.5" customHeight="1" x14ac:dyDescent="0.3">
      <c r="A1800" s="46">
        <v>1797</v>
      </c>
      <c r="B1800" s="57" t="str">
        <f>IF(Tabla1[[#This Row],[TRABAJADOR]]="", "", VLOOKUP(Tabla1[[#This Row],[TRABAJADOR]], 'Colaborador ID'!B:C, 2, FALSE))</f>
        <v/>
      </c>
      <c r="C1800" s="56"/>
      <c r="D1800" s="57"/>
      <c r="E1800" s="57"/>
      <c r="F1800" s="57"/>
      <c r="G1800" s="58"/>
      <c r="H1800" s="58"/>
      <c r="I1800" s="57"/>
      <c r="J1800" s="57"/>
      <c r="K1800" s="57"/>
    </row>
    <row r="1801" spans="1:11" ht="19.5" customHeight="1" x14ac:dyDescent="0.3">
      <c r="A1801" s="46">
        <v>1798</v>
      </c>
      <c r="B1801" s="57" t="str">
        <f>IF(Tabla1[[#This Row],[TRABAJADOR]]="", "", VLOOKUP(Tabla1[[#This Row],[TRABAJADOR]], 'Colaborador ID'!B:C, 2, FALSE))</f>
        <v/>
      </c>
      <c r="C1801" s="56"/>
      <c r="D1801" s="57"/>
      <c r="E1801" s="57"/>
      <c r="F1801" s="57"/>
      <c r="G1801" s="58"/>
      <c r="H1801" s="58"/>
      <c r="I1801" s="57"/>
      <c r="J1801" s="57"/>
      <c r="K1801" s="57"/>
    </row>
    <row r="1802" spans="1:11" ht="19.5" customHeight="1" x14ac:dyDescent="0.3">
      <c r="A1802" s="46">
        <v>1799</v>
      </c>
      <c r="B1802" s="57" t="str">
        <f>IF(Tabla1[[#This Row],[TRABAJADOR]]="", "", VLOOKUP(Tabla1[[#This Row],[TRABAJADOR]], 'Colaborador ID'!B:C, 2, FALSE))</f>
        <v/>
      </c>
      <c r="C1802" s="56"/>
      <c r="D1802" s="57"/>
      <c r="E1802" s="57"/>
      <c r="F1802" s="57"/>
      <c r="G1802" s="58"/>
      <c r="H1802" s="58"/>
      <c r="I1802" s="57"/>
      <c r="J1802" s="57"/>
      <c r="K1802" s="57"/>
    </row>
    <row r="1803" spans="1:11" ht="19.5" customHeight="1" x14ac:dyDescent="0.3">
      <c r="A1803" s="46">
        <v>1800</v>
      </c>
      <c r="B1803" s="57" t="str">
        <f>IF(Tabla1[[#This Row],[TRABAJADOR]]="", "", VLOOKUP(Tabla1[[#This Row],[TRABAJADOR]], 'Colaborador ID'!B:C, 2, FALSE))</f>
        <v/>
      </c>
      <c r="C1803" s="56"/>
      <c r="D1803" s="57"/>
      <c r="E1803" s="57"/>
      <c r="F1803" s="57"/>
      <c r="G1803" s="58"/>
      <c r="H1803" s="58"/>
      <c r="I1803" s="57"/>
      <c r="J1803" s="57"/>
      <c r="K1803" s="57"/>
    </row>
    <row r="1804" spans="1:11" ht="19.5" customHeight="1" x14ac:dyDescent="0.3">
      <c r="A1804" s="46">
        <v>1801</v>
      </c>
      <c r="B1804" s="57" t="str">
        <f>IF(Tabla1[[#This Row],[TRABAJADOR]]="", "", VLOOKUP(Tabla1[[#This Row],[TRABAJADOR]], 'Colaborador ID'!B:C, 2, FALSE))</f>
        <v/>
      </c>
      <c r="C1804" s="56"/>
      <c r="D1804" s="57"/>
      <c r="E1804" s="57"/>
      <c r="F1804" s="57"/>
      <c r="G1804" s="58"/>
      <c r="H1804" s="58"/>
      <c r="I1804" s="57"/>
      <c r="J1804" s="57"/>
      <c r="K1804" s="57"/>
    </row>
    <row r="1805" spans="1:11" ht="19.5" customHeight="1" x14ac:dyDescent="0.3">
      <c r="A1805" s="46">
        <v>1802</v>
      </c>
      <c r="B1805" s="57" t="str">
        <f>IF(Tabla1[[#This Row],[TRABAJADOR]]="", "", VLOOKUP(Tabla1[[#This Row],[TRABAJADOR]], 'Colaborador ID'!B:C, 2, FALSE))</f>
        <v/>
      </c>
      <c r="C1805" s="56"/>
      <c r="D1805" s="57"/>
      <c r="E1805" s="57"/>
      <c r="F1805" s="57"/>
      <c r="G1805" s="58"/>
      <c r="H1805" s="58"/>
      <c r="I1805" s="57"/>
      <c r="J1805" s="57"/>
      <c r="K1805" s="57"/>
    </row>
    <row r="1806" spans="1:11" ht="19.5" customHeight="1" x14ac:dyDescent="0.3">
      <c r="A1806" s="46">
        <v>1803</v>
      </c>
      <c r="B1806" s="57" t="str">
        <f>IF(Tabla1[[#This Row],[TRABAJADOR]]="", "", VLOOKUP(Tabla1[[#This Row],[TRABAJADOR]], 'Colaborador ID'!B:C, 2, FALSE))</f>
        <v/>
      </c>
      <c r="C1806" s="56"/>
      <c r="D1806" s="57"/>
      <c r="E1806" s="57"/>
      <c r="F1806" s="57"/>
      <c r="G1806" s="58"/>
      <c r="H1806" s="58"/>
      <c r="I1806" s="57"/>
      <c r="J1806" s="57"/>
      <c r="K1806" s="57"/>
    </row>
    <row r="1807" spans="1:11" ht="19.5" customHeight="1" x14ac:dyDescent="0.3">
      <c r="A1807" s="46">
        <v>1804</v>
      </c>
      <c r="B1807" s="57" t="str">
        <f>IF(Tabla1[[#This Row],[TRABAJADOR]]="", "", VLOOKUP(Tabla1[[#This Row],[TRABAJADOR]], 'Colaborador ID'!B:C, 2, FALSE))</f>
        <v/>
      </c>
      <c r="C1807" s="56"/>
      <c r="D1807" s="57"/>
      <c r="E1807" s="57"/>
      <c r="F1807" s="57"/>
      <c r="G1807" s="58"/>
      <c r="H1807" s="58"/>
      <c r="I1807" s="57"/>
      <c r="J1807" s="57"/>
      <c r="K1807" s="57"/>
    </row>
    <row r="1808" spans="1:11" ht="19.5" customHeight="1" x14ac:dyDescent="0.3">
      <c r="A1808" s="46">
        <v>1805</v>
      </c>
      <c r="B1808" s="57" t="str">
        <f>IF(Tabla1[[#This Row],[TRABAJADOR]]="", "", VLOOKUP(Tabla1[[#This Row],[TRABAJADOR]], 'Colaborador ID'!B:C, 2, FALSE))</f>
        <v/>
      </c>
      <c r="C1808" s="56"/>
      <c r="D1808" s="57"/>
      <c r="E1808" s="57"/>
      <c r="F1808" s="57"/>
      <c r="G1808" s="58"/>
      <c r="H1808" s="58"/>
      <c r="I1808" s="57"/>
      <c r="J1808" s="57"/>
      <c r="K1808" s="57"/>
    </row>
    <row r="1809" spans="1:11" ht="19.5" customHeight="1" x14ac:dyDescent="0.3">
      <c r="A1809" s="46">
        <v>1806</v>
      </c>
      <c r="B1809" s="57" t="str">
        <f>IF(Tabla1[[#This Row],[TRABAJADOR]]="", "", VLOOKUP(Tabla1[[#This Row],[TRABAJADOR]], 'Colaborador ID'!B:C, 2, FALSE))</f>
        <v/>
      </c>
      <c r="C1809" s="56"/>
      <c r="D1809" s="57"/>
      <c r="E1809" s="57"/>
      <c r="F1809" s="57"/>
      <c r="G1809" s="58"/>
      <c r="H1809" s="58"/>
      <c r="I1809" s="57"/>
      <c r="J1809" s="57"/>
      <c r="K1809" s="57"/>
    </row>
    <row r="1810" spans="1:11" ht="19.5" customHeight="1" x14ac:dyDescent="0.3">
      <c r="A1810" s="46">
        <v>1807</v>
      </c>
      <c r="B1810" s="57" t="str">
        <f>IF(Tabla1[[#This Row],[TRABAJADOR]]="", "", VLOOKUP(Tabla1[[#This Row],[TRABAJADOR]], 'Colaborador ID'!B:C, 2, FALSE))</f>
        <v/>
      </c>
      <c r="C1810" s="56"/>
      <c r="D1810" s="57"/>
      <c r="E1810" s="57"/>
      <c r="F1810" s="57"/>
      <c r="G1810" s="58"/>
      <c r="H1810" s="58"/>
      <c r="I1810" s="57"/>
      <c r="J1810" s="57"/>
      <c r="K1810" s="57"/>
    </row>
    <row r="1811" spans="1:11" ht="19.5" customHeight="1" x14ac:dyDescent="0.3">
      <c r="A1811" s="46">
        <v>1808</v>
      </c>
      <c r="B1811" s="57" t="str">
        <f>IF(Tabla1[[#This Row],[TRABAJADOR]]="", "", VLOOKUP(Tabla1[[#This Row],[TRABAJADOR]], 'Colaborador ID'!B:C, 2, FALSE))</f>
        <v/>
      </c>
      <c r="C1811" s="56"/>
      <c r="D1811" s="57"/>
      <c r="E1811" s="57"/>
      <c r="F1811" s="57"/>
      <c r="G1811" s="58"/>
      <c r="H1811" s="58"/>
      <c r="I1811" s="57"/>
      <c r="J1811" s="57"/>
      <c r="K1811" s="57"/>
    </row>
    <row r="1812" spans="1:11" ht="19.5" customHeight="1" x14ac:dyDescent="0.3">
      <c r="A1812" s="46">
        <v>1809</v>
      </c>
      <c r="B1812" s="57" t="str">
        <f>IF(Tabla1[[#This Row],[TRABAJADOR]]="", "", VLOOKUP(Tabla1[[#This Row],[TRABAJADOR]], 'Colaborador ID'!B:C, 2, FALSE))</f>
        <v/>
      </c>
      <c r="C1812" s="56"/>
      <c r="D1812" s="57"/>
      <c r="E1812" s="57"/>
      <c r="F1812" s="57"/>
      <c r="G1812" s="58"/>
      <c r="H1812" s="58"/>
      <c r="I1812" s="57"/>
      <c r="J1812" s="57"/>
      <c r="K1812" s="57"/>
    </row>
    <row r="1813" spans="1:11" ht="19.5" customHeight="1" x14ac:dyDescent="0.3">
      <c r="A1813" s="46">
        <v>1810</v>
      </c>
      <c r="B1813" s="57" t="str">
        <f>IF(Tabla1[[#This Row],[TRABAJADOR]]="", "", VLOOKUP(Tabla1[[#This Row],[TRABAJADOR]], 'Colaborador ID'!B:C, 2, FALSE))</f>
        <v/>
      </c>
      <c r="C1813" s="56"/>
      <c r="D1813" s="57"/>
      <c r="E1813" s="57"/>
      <c r="F1813" s="57"/>
      <c r="G1813" s="58"/>
      <c r="H1813" s="58"/>
      <c r="I1813" s="57"/>
      <c r="J1813" s="57"/>
      <c r="K1813" s="57"/>
    </row>
    <row r="1814" spans="1:11" ht="19.5" customHeight="1" x14ac:dyDescent="0.3">
      <c r="A1814" s="46">
        <v>1811</v>
      </c>
      <c r="B1814" s="57" t="str">
        <f>IF(Tabla1[[#This Row],[TRABAJADOR]]="", "", VLOOKUP(Tabla1[[#This Row],[TRABAJADOR]], 'Colaborador ID'!B:C, 2, FALSE))</f>
        <v/>
      </c>
      <c r="C1814" s="56"/>
      <c r="D1814" s="57"/>
      <c r="E1814" s="57"/>
      <c r="F1814" s="57"/>
      <c r="G1814" s="58"/>
      <c r="H1814" s="58"/>
      <c r="I1814" s="57"/>
      <c r="J1814" s="57"/>
      <c r="K1814" s="57"/>
    </row>
    <row r="1815" spans="1:11" ht="19.5" customHeight="1" x14ac:dyDescent="0.3">
      <c r="A1815" s="46">
        <v>1812</v>
      </c>
      <c r="B1815" s="57" t="str">
        <f>IF(Tabla1[[#This Row],[TRABAJADOR]]="", "", VLOOKUP(Tabla1[[#This Row],[TRABAJADOR]], 'Colaborador ID'!B:C, 2, FALSE))</f>
        <v/>
      </c>
      <c r="C1815" s="56"/>
      <c r="D1815" s="57"/>
      <c r="E1815" s="57"/>
      <c r="F1815" s="57"/>
      <c r="G1815" s="58"/>
      <c r="H1815" s="58"/>
      <c r="I1815" s="57"/>
      <c r="J1815" s="57"/>
      <c r="K1815" s="57"/>
    </row>
    <row r="1816" spans="1:11" ht="19.5" customHeight="1" x14ac:dyDescent="0.3">
      <c r="A1816" s="46">
        <v>1813</v>
      </c>
      <c r="B1816" s="57" t="str">
        <f>IF(Tabla1[[#This Row],[TRABAJADOR]]="", "", VLOOKUP(Tabla1[[#This Row],[TRABAJADOR]], 'Colaborador ID'!B:C, 2, FALSE))</f>
        <v/>
      </c>
      <c r="C1816" s="56"/>
      <c r="D1816" s="57"/>
      <c r="E1816" s="57"/>
      <c r="F1816" s="57"/>
      <c r="G1816" s="58"/>
      <c r="H1816" s="58"/>
      <c r="I1816" s="57"/>
      <c r="J1816" s="57"/>
      <c r="K1816" s="57"/>
    </row>
    <row r="1817" spans="1:11" ht="19.5" customHeight="1" x14ac:dyDescent="0.3">
      <c r="A1817" s="46">
        <v>1814</v>
      </c>
      <c r="B1817" s="57" t="str">
        <f>IF(Tabla1[[#This Row],[TRABAJADOR]]="", "", VLOOKUP(Tabla1[[#This Row],[TRABAJADOR]], 'Colaborador ID'!B:C, 2, FALSE))</f>
        <v/>
      </c>
      <c r="C1817" s="56"/>
      <c r="D1817" s="57"/>
      <c r="E1817" s="57"/>
      <c r="F1817" s="57"/>
      <c r="G1817" s="58"/>
      <c r="H1817" s="58"/>
      <c r="I1817" s="57"/>
      <c r="J1817" s="57"/>
      <c r="K1817" s="57"/>
    </row>
    <row r="1818" spans="1:11" ht="19.5" customHeight="1" x14ac:dyDescent="0.3">
      <c r="A1818" s="46">
        <v>1815</v>
      </c>
      <c r="B1818" s="57" t="str">
        <f>IF(Tabla1[[#This Row],[TRABAJADOR]]="", "", VLOOKUP(Tabla1[[#This Row],[TRABAJADOR]], 'Colaborador ID'!B:C, 2, FALSE))</f>
        <v/>
      </c>
      <c r="C1818" s="56"/>
      <c r="D1818" s="57"/>
      <c r="E1818" s="57"/>
      <c r="F1818" s="57"/>
      <c r="G1818" s="58"/>
      <c r="H1818" s="58"/>
      <c r="I1818" s="57"/>
      <c r="J1818" s="57"/>
      <c r="K1818" s="57"/>
    </row>
    <row r="1819" spans="1:11" ht="19.5" customHeight="1" x14ac:dyDescent="0.3">
      <c r="A1819" s="46">
        <v>1816</v>
      </c>
      <c r="B1819" s="57" t="str">
        <f>IF(Tabla1[[#This Row],[TRABAJADOR]]="", "", VLOOKUP(Tabla1[[#This Row],[TRABAJADOR]], 'Colaborador ID'!B:C, 2, FALSE))</f>
        <v/>
      </c>
      <c r="C1819" s="56"/>
      <c r="D1819" s="57"/>
      <c r="E1819" s="57"/>
      <c r="F1819" s="57"/>
      <c r="G1819" s="58"/>
      <c r="H1819" s="58"/>
      <c r="I1819" s="57"/>
      <c r="J1819" s="57"/>
      <c r="K1819" s="57"/>
    </row>
    <row r="1820" spans="1:11" ht="19.5" customHeight="1" x14ac:dyDescent="0.3">
      <c r="A1820" s="46">
        <v>1817</v>
      </c>
      <c r="B1820" s="57" t="str">
        <f>IF(Tabla1[[#This Row],[TRABAJADOR]]="", "", VLOOKUP(Tabla1[[#This Row],[TRABAJADOR]], 'Colaborador ID'!B:C, 2, FALSE))</f>
        <v/>
      </c>
      <c r="C1820" s="56"/>
      <c r="D1820" s="57"/>
      <c r="E1820" s="57"/>
      <c r="F1820" s="57"/>
      <c r="G1820" s="58"/>
      <c r="H1820" s="58"/>
      <c r="I1820" s="57"/>
      <c r="J1820" s="57"/>
      <c r="K1820" s="57"/>
    </row>
    <row r="1821" spans="1:11" ht="19.5" customHeight="1" x14ac:dyDescent="0.3">
      <c r="A1821" s="46">
        <v>1818</v>
      </c>
      <c r="B1821" s="57" t="str">
        <f>IF(Tabla1[[#This Row],[TRABAJADOR]]="", "", VLOOKUP(Tabla1[[#This Row],[TRABAJADOR]], 'Colaborador ID'!B:C, 2, FALSE))</f>
        <v/>
      </c>
      <c r="C1821" s="56"/>
      <c r="D1821" s="57"/>
      <c r="E1821" s="57"/>
      <c r="F1821" s="57"/>
      <c r="G1821" s="58"/>
      <c r="H1821" s="58"/>
      <c r="I1821" s="57"/>
      <c r="J1821" s="57"/>
      <c r="K1821" s="57"/>
    </row>
    <row r="1822" spans="1:11" ht="19.5" customHeight="1" x14ac:dyDescent="0.3">
      <c r="A1822" s="46">
        <v>1819</v>
      </c>
      <c r="B1822" s="57" t="str">
        <f>IF(Tabla1[[#This Row],[TRABAJADOR]]="", "", VLOOKUP(Tabla1[[#This Row],[TRABAJADOR]], 'Colaborador ID'!B:C, 2, FALSE))</f>
        <v/>
      </c>
      <c r="C1822" s="56"/>
      <c r="D1822" s="57"/>
      <c r="E1822" s="57"/>
      <c r="F1822" s="57"/>
      <c r="G1822" s="58"/>
      <c r="H1822" s="58"/>
      <c r="I1822" s="57"/>
      <c r="J1822" s="57"/>
      <c r="K1822" s="57"/>
    </row>
    <row r="1823" spans="1:11" ht="19.5" customHeight="1" x14ac:dyDescent="0.3">
      <c r="A1823" s="46">
        <v>1820</v>
      </c>
      <c r="B1823" s="57" t="str">
        <f>IF(Tabla1[[#This Row],[TRABAJADOR]]="", "", VLOOKUP(Tabla1[[#This Row],[TRABAJADOR]], 'Colaborador ID'!B:C, 2, FALSE))</f>
        <v/>
      </c>
      <c r="C1823" s="56"/>
      <c r="D1823" s="57"/>
      <c r="E1823" s="57"/>
      <c r="F1823" s="57"/>
      <c r="G1823" s="58"/>
      <c r="H1823" s="58"/>
      <c r="I1823" s="57"/>
      <c r="J1823" s="57"/>
      <c r="K1823" s="57"/>
    </row>
    <row r="1824" spans="1:11" ht="19.5" customHeight="1" x14ac:dyDescent="0.3">
      <c r="A1824" s="46">
        <v>1821</v>
      </c>
      <c r="B1824" s="57" t="str">
        <f>IF(Tabla1[[#This Row],[TRABAJADOR]]="", "", VLOOKUP(Tabla1[[#This Row],[TRABAJADOR]], 'Colaborador ID'!B:C, 2, FALSE))</f>
        <v/>
      </c>
      <c r="C1824" s="56"/>
      <c r="D1824" s="57"/>
      <c r="E1824" s="57"/>
      <c r="F1824" s="57"/>
      <c r="G1824" s="58"/>
      <c r="H1824" s="58"/>
      <c r="I1824" s="57"/>
      <c r="J1824" s="57"/>
      <c r="K1824" s="57"/>
    </row>
    <row r="1825" spans="1:11" ht="19.5" customHeight="1" x14ac:dyDescent="0.3">
      <c r="A1825" s="46">
        <v>1822</v>
      </c>
      <c r="B1825" s="57" t="str">
        <f>IF(Tabla1[[#This Row],[TRABAJADOR]]="", "", VLOOKUP(Tabla1[[#This Row],[TRABAJADOR]], 'Colaborador ID'!B:C, 2, FALSE))</f>
        <v/>
      </c>
      <c r="C1825" s="56"/>
      <c r="D1825" s="57"/>
      <c r="E1825" s="57"/>
      <c r="F1825" s="57"/>
      <c r="G1825" s="58"/>
      <c r="H1825" s="58"/>
      <c r="I1825" s="57"/>
      <c r="J1825" s="57"/>
      <c r="K1825" s="57"/>
    </row>
    <row r="1826" spans="1:11" ht="19.5" customHeight="1" x14ac:dyDescent="0.3">
      <c r="A1826" s="46">
        <v>1823</v>
      </c>
      <c r="B1826" s="57" t="str">
        <f>IF(Tabla1[[#This Row],[TRABAJADOR]]="", "", VLOOKUP(Tabla1[[#This Row],[TRABAJADOR]], 'Colaborador ID'!B:C, 2, FALSE))</f>
        <v/>
      </c>
      <c r="C1826" s="56"/>
      <c r="D1826" s="57"/>
      <c r="E1826" s="57"/>
      <c r="F1826" s="57"/>
      <c r="G1826" s="58"/>
      <c r="H1826" s="58"/>
      <c r="I1826" s="57"/>
      <c r="J1826" s="57"/>
      <c r="K1826" s="57"/>
    </row>
    <row r="1827" spans="1:11" ht="19.5" customHeight="1" x14ac:dyDescent="0.3">
      <c r="A1827" s="46">
        <v>1824</v>
      </c>
      <c r="B1827" s="57" t="str">
        <f>IF(Tabla1[[#This Row],[TRABAJADOR]]="", "", VLOOKUP(Tabla1[[#This Row],[TRABAJADOR]], 'Colaborador ID'!B:C, 2, FALSE))</f>
        <v/>
      </c>
      <c r="C1827" s="56"/>
      <c r="D1827" s="57"/>
      <c r="E1827" s="57"/>
      <c r="F1827" s="57"/>
      <c r="G1827" s="58"/>
      <c r="H1827" s="58"/>
      <c r="I1827" s="57"/>
      <c r="J1827" s="57"/>
      <c r="K1827" s="57"/>
    </row>
    <row r="1828" spans="1:11" ht="19.5" customHeight="1" x14ac:dyDescent="0.3">
      <c r="A1828" s="46">
        <v>1825</v>
      </c>
      <c r="B1828" s="57" t="str">
        <f>IF(Tabla1[[#This Row],[TRABAJADOR]]="", "", VLOOKUP(Tabla1[[#This Row],[TRABAJADOR]], 'Colaborador ID'!B:C, 2, FALSE))</f>
        <v/>
      </c>
      <c r="C1828" s="56"/>
      <c r="D1828" s="57"/>
      <c r="E1828" s="57"/>
      <c r="F1828" s="57"/>
      <c r="G1828" s="58"/>
      <c r="H1828" s="58"/>
      <c r="I1828" s="57"/>
      <c r="J1828" s="57"/>
      <c r="K1828" s="57"/>
    </row>
    <row r="1829" spans="1:11" ht="19.5" customHeight="1" x14ac:dyDescent="0.3">
      <c r="A1829" s="46">
        <v>1826</v>
      </c>
      <c r="B1829" s="57" t="str">
        <f>IF(Tabla1[[#This Row],[TRABAJADOR]]="", "", VLOOKUP(Tabla1[[#This Row],[TRABAJADOR]], 'Colaborador ID'!B:C, 2, FALSE))</f>
        <v/>
      </c>
      <c r="C1829" s="56"/>
      <c r="D1829" s="57"/>
      <c r="E1829" s="57"/>
      <c r="F1829" s="57"/>
      <c r="G1829" s="58"/>
      <c r="H1829" s="58"/>
      <c r="I1829" s="57"/>
      <c r="J1829" s="57"/>
      <c r="K1829" s="57"/>
    </row>
    <row r="1830" spans="1:11" ht="19.5" customHeight="1" x14ac:dyDescent="0.3">
      <c r="A1830" s="46">
        <v>1827</v>
      </c>
      <c r="B1830" s="57" t="str">
        <f>IF(Tabla1[[#This Row],[TRABAJADOR]]="", "", VLOOKUP(Tabla1[[#This Row],[TRABAJADOR]], 'Colaborador ID'!B:C, 2, FALSE))</f>
        <v/>
      </c>
      <c r="C1830" s="56"/>
      <c r="D1830" s="57"/>
      <c r="E1830" s="57"/>
      <c r="F1830" s="57"/>
      <c r="G1830" s="58"/>
      <c r="H1830" s="58"/>
      <c r="I1830" s="57"/>
      <c r="J1830" s="57"/>
      <c r="K1830" s="57"/>
    </row>
    <row r="1831" spans="1:11" ht="19.5" customHeight="1" x14ac:dyDescent="0.3">
      <c r="A1831" s="46">
        <v>1828</v>
      </c>
      <c r="B1831" s="57" t="str">
        <f>IF(Tabla1[[#This Row],[TRABAJADOR]]="", "", VLOOKUP(Tabla1[[#This Row],[TRABAJADOR]], 'Colaborador ID'!B:C, 2, FALSE))</f>
        <v/>
      </c>
      <c r="C1831" s="56"/>
      <c r="D1831" s="57"/>
      <c r="E1831" s="57"/>
      <c r="F1831" s="57"/>
      <c r="G1831" s="58"/>
      <c r="H1831" s="58"/>
      <c r="I1831" s="57"/>
      <c r="J1831" s="57"/>
      <c r="K1831" s="57"/>
    </row>
    <row r="1832" spans="1:11" ht="19.5" customHeight="1" x14ac:dyDescent="0.3">
      <c r="A1832" s="46">
        <v>1829</v>
      </c>
      <c r="B1832" s="57" t="str">
        <f>IF(Tabla1[[#This Row],[TRABAJADOR]]="", "", VLOOKUP(Tabla1[[#This Row],[TRABAJADOR]], 'Colaborador ID'!B:C, 2, FALSE))</f>
        <v/>
      </c>
      <c r="C1832" s="56"/>
      <c r="D1832" s="57"/>
      <c r="E1832" s="57"/>
      <c r="F1832" s="57"/>
      <c r="G1832" s="58"/>
      <c r="H1832" s="58"/>
      <c r="I1832" s="57"/>
      <c r="J1832" s="57"/>
      <c r="K1832" s="57"/>
    </row>
    <row r="1833" spans="1:11" ht="19.5" customHeight="1" x14ac:dyDescent="0.3">
      <c r="A1833" s="46">
        <v>1830</v>
      </c>
      <c r="B1833" s="57" t="str">
        <f>IF(Tabla1[[#This Row],[TRABAJADOR]]="", "", VLOOKUP(Tabla1[[#This Row],[TRABAJADOR]], 'Colaborador ID'!B:C, 2, FALSE))</f>
        <v/>
      </c>
      <c r="C1833" s="56"/>
      <c r="D1833" s="57"/>
      <c r="E1833" s="57"/>
      <c r="F1833" s="57"/>
      <c r="G1833" s="58"/>
      <c r="H1833" s="58"/>
      <c r="I1833" s="57"/>
      <c r="J1833" s="57"/>
      <c r="K1833" s="57"/>
    </row>
    <row r="1834" spans="1:11" ht="19.5" customHeight="1" x14ac:dyDescent="0.3">
      <c r="A1834" s="46">
        <v>1831</v>
      </c>
      <c r="B1834" s="57" t="str">
        <f>IF(Tabla1[[#This Row],[TRABAJADOR]]="", "", VLOOKUP(Tabla1[[#This Row],[TRABAJADOR]], 'Colaborador ID'!B:C, 2, FALSE))</f>
        <v/>
      </c>
      <c r="C1834" s="56"/>
      <c r="D1834" s="57"/>
      <c r="E1834" s="57"/>
      <c r="F1834" s="57"/>
      <c r="G1834" s="58"/>
      <c r="H1834" s="58"/>
      <c r="I1834" s="57"/>
      <c r="J1834" s="57"/>
      <c r="K1834" s="57"/>
    </row>
    <row r="1835" spans="1:11" ht="19.5" customHeight="1" x14ac:dyDescent="0.3">
      <c r="A1835" s="46">
        <v>1832</v>
      </c>
      <c r="B1835" s="57" t="str">
        <f>IF(Tabla1[[#This Row],[TRABAJADOR]]="", "", VLOOKUP(Tabla1[[#This Row],[TRABAJADOR]], 'Colaborador ID'!B:C, 2, FALSE))</f>
        <v/>
      </c>
      <c r="C1835" s="56"/>
      <c r="D1835" s="57"/>
      <c r="E1835" s="57"/>
      <c r="F1835" s="57"/>
      <c r="G1835" s="58"/>
      <c r="H1835" s="58"/>
      <c r="I1835" s="57"/>
      <c r="J1835" s="57"/>
      <c r="K1835" s="57"/>
    </row>
    <row r="1836" spans="1:11" ht="19.5" customHeight="1" x14ac:dyDescent="0.3">
      <c r="A1836" s="46">
        <v>1833</v>
      </c>
      <c r="B1836" s="57" t="str">
        <f>IF(Tabla1[[#This Row],[TRABAJADOR]]="", "", VLOOKUP(Tabla1[[#This Row],[TRABAJADOR]], 'Colaborador ID'!B:C, 2, FALSE))</f>
        <v/>
      </c>
      <c r="C1836" s="56"/>
      <c r="D1836" s="57"/>
      <c r="E1836" s="57"/>
      <c r="F1836" s="57"/>
      <c r="G1836" s="58"/>
      <c r="H1836" s="58"/>
      <c r="I1836" s="57"/>
      <c r="J1836" s="57"/>
      <c r="K1836" s="57"/>
    </row>
    <row r="1837" spans="1:11" ht="19.5" customHeight="1" x14ac:dyDescent="0.3">
      <c r="A1837" s="46">
        <v>1834</v>
      </c>
      <c r="B1837" s="57" t="str">
        <f>IF(Tabla1[[#This Row],[TRABAJADOR]]="", "", VLOOKUP(Tabla1[[#This Row],[TRABAJADOR]], 'Colaborador ID'!B:C, 2, FALSE))</f>
        <v/>
      </c>
      <c r="C1837" s="56"/>
      <c r="D1837" s="57"/>
      <c r="E1837" s="57"/>
      <c r="F1837" s="57"/>
      <c r="G1837" s="58"/>
      <c r="H1837" s="58"/>
      <c r="I1837" s="57"/>
      <c r="J1837" s="57"/>
      <c r="K1837" s="57"/>
    </row>
    <row r="1838" spans="1:11" ht="19.5" customHeight="1" x14ac:dyDescent="0.3">
      <c r="A1838" s="46">
        <v>1835</v>
      </c>
      <c r="B1838" s="57" t="str">
        <f>IF(Tabla1[[#This Row],[TRABAJADOR]]="", "", VLOOKUP(Tabla1[[#This Row],[TRABAJADOR]], 'Colaborador ID'!B:C, 2, FALSE))</f>
        <v/>
      </c>
      <c r="C1838" s="56"/>
      <c r="D1838" s="57"/>
      <c r="E1838" s="57"/>
      <c r="F1838" s="57"/>
      <c r="G1838" s="58"/>
      <c r="H1838" s="58"/>
      <c r="I1838" s="57"/>
      <c r="J1838" s="57"/>
      <c r="K1838" s="57"/>
    </row>
    <row r="1839" spans="1:11" ht="19.5" customHeight="1" x14ac:dyDescent="0.3">
      <c r="A1839" s="46">
        <v>1836</v>
      </c>
      <c r="B1839" s="57" t="str">
        <f>IF(Tabla1[[#This Row],[TRABAJADOR]]="", "", VLOOKUP(Tabla1[[#This Row],[TRABAJADOR]], 'Colaborador ID'!B:C, 2, FALSE))</f>
        <v/>
      </c>
      <c r="C1839" s="56"/>
      <c r="D1839" s="57"/>
      <c r="E1839" s="57"/>
      <c r="F1839" s="57"/>
      <c r="G1839" s="58"/>
      <c r="H1839" s="58"/>
      <c r="I1839" s="57"/>
      <c r="J1839" s="57"/>
      <c r="K1839" s="57"/>
    </row>
    <row r="1840" spans="1:11" ht="19.5" customHeight="1" x14ac:dyDescent="0.3">
      <c r="A1840" s="46">
        <v>1837</v>
      </c>
      <c r="B1840" s="57" t="str">
        <f>IF(Tabla1[[#This Row],[TRABAJADOR]]="", "", VLOOKUP(Tabla1[[#This Row],[TRABAJADOR]], 'Colaborador ID'!B:C, 2, FALSE))</f>
        <v/>
      </c>
      <c r="C1840" s="56"/>
      <c r="D1840" s="57"/>
      <c r="E1840" s="57"/>
      <c r="F1840" s="57"/>
      <c r="G1840" s="58"/>
      <c r="H1840" s="58"/>
      <c r="I1840" s="57"/>
      <c r="J1840" s="57"/>
      <c r="K1840" s="57"/>
    </row>
    <row r="1841" spans="1:11" ht="19.5" customHeight="1" x14ac:dyDescent="0.3">
      <c r="A1841" s="46">
        <v>1838</v>
      </c>
      <c r="B1841" s="57" t="str">
        <f>IF(Tabla1[[#This Row],[TRABAJADOR]]="", "", VLOOKUP(Tabla1[[#This Row],[TRABAJADOR]], 'Colaborador ID'!B:C, 2, FALSE))</f>
        <v/>
      </c>
      <c r="C1841" s="56"/>
      <c r="D1841" s="57"/>
      <c r="E1841" s="57"/>
      <c r="F1841" s="57"/>
      <c r="G1841" s="58"/>
      <c r="H1841" s="58"/>
      <c r="I1841" s="57"/>
      <c r="J1841" s="57"/>
      <c r="K1841" s="57"/>
    </row>
    <row r="1842" spans="1:11" ht="19.5" customHeight="1" x14ac:dyDescent="0.3">
      <c r="A1842" s="46">
        <v>1839</v>
      </c>
      <c r="B1842" s="57" t="str">
        <f>IF(Tabla1[[#This Row],[TRABAJADOR]]="", "", VLOOKUP(Tabla1[[#This Row],[TRABAJADOR]], 'Colaborador ID'!B:C, 2, FALSE))</f>
        <v/>
      </c>
      <c r="C1842" s="56"/>
      <c r="D1842" s="57"/>
      <c r="E1842" s="57"/>
      <c r="F1842" s="57"/>
      <c r="G1842" s="58"/>
      <c r="H1842" s="58"/>
      <c r="I1842" s="57"/>
      <c r="J1842" s="57"/>
      <c r="K1842" s="57"/>
    </row>
    <row r="1843" spans="1:11" ht="19.5" customHeight="1" x14ac:dyDescent="0.3">
      <c r="A1843" s="46">
        <v>1840</v>
      </c>
      <c r="B1843" s="57" t="str">
        <f>IF(Tabla1[[#This Row],[TRABAJADOR]]="", "", VLOOKUP(Tabla1[[#This Row],[TRABAJADOR]], 'Colaborador ID'!B:C, 2, FALSE))</f>
        <v/>
      </c>
      <c r="C1843" s="56"/>
      <c r="D1843" s="57"/>
      <c r="E1843" s="57"/>
      <c r="F1843" s="57"/>
      <c r="G1843" s="58"/>
      <c r="H1843" s="58"/>
      <c r="I1843" s="57"/>
      <c r="J1843" s="57"/>
      <c r="K1843" s="57"/>
    </row>
    <row r="1844" spans="1:11" ht="19.5" customHeight="1" x14ac:dyDescent="0.3">
      <c r="A1844" s="46">
        <v>1841</v>
      </c>
      <c r="B1844" s="57" t="str">
        <f>IF(Tabla1[[#This Row],[TRABAJADOR]]="", "", VLOOKUP(Tabla1[[#This Row],[TRABAJADOR]], 'Colaborador ID'!B:C, 2, FALSE))</f>
        <v/>
      </c>
      <c r="C1844" s="56"/>
      <c r="D1844" s="57"/>
      <c r="E1844" s="57"/>
      <c r="F1844" s="57"/>
      <c r="G1844" s="58"/>
      <c r="H1844" s="58"/>
      <c r="I1844" s="57"/>
      <c r="J1844" s="57"/>
      <c r="K1844" s="57"/>
    </row>
    <row r="1845" spans="1:11" ht="19.5" customHeight="1" x14ac:dyDescent="0.3">
      <c r="A1845" s="46">
        <v>1842</v>
      </c>
      <c r="B1845" s="57" t="str">
        <f>IF(Tabla1[[#This Row],[TRABAJADOR]]="", "", VLOOKUP(Tabla1[[#This Row],[TRABAJADOR]], 'Colaborador ID'!B:C, 2, FALSE))</f>
        <v/>
      </c>
      <c r="C1845" s="56"/>
      <c r="D1845" s="57"/>
      <c r="E1845" s="57"/>
      <c r="F1845" s="57"/>
      <c r="G1845" s="58"/>
      <c r="H1845" s="58"/>
      <c r="I1845" s="57"/>
      <c r="J1845" s="57"/>
      <c r="K1845" s="57"/>
    </row>
    <row r="1846" spans="1:11" ht="19.5" customHeight="1" x14ac:dyDescent="0.3">
      <c r="A1846" s="46">
        <v>1843</v>
      </c>
      <c r="B1846" s="57" t="str">
        <f>IF(Tabla1[[#This Row],[TRABAJADOR]]="", "", VLOOKUP(Tabla1[[#This Row],[TRABAJADOR]], 'Colaborador ID'!B:C, 2, FALSE))</f>
        <v/>
      </c>
      <c r="C1846" s="56"/>
      <c r="D1846" s="57"/>
      <c r="E1846" s="57"/>
      <c r="F1846" s="57"/>
      <c r="G1846" s="58"/>
      <c r="H1846" s="58"/>
      <c r="I1846" s="57"/>
      <c r="J1846" s="57"/>
      <c r="K1846" s="57"/>
    </row>
    <row r="1847" spans="1:11" ht="19.5" customHeight="1" x14ac:dyDescent="0.3">
      <c r="A1847" s="46">
        <v>1844</v>
      </c>
      <c r="B1847" s="57" t="str">
        <f>IF(Tabla1[[#This Row],[TRABAJADOR]]="", "", VLOOKUP(Tabla1[[#This Row],[TRABAJADOR]], 'Colaborador ID'!B:C, 2, FALSE))</f>
        <v/>
      </c>
      <c r="C1847" s="56"/>
      <c r="D1847" s="57"/>
      <c r="E1847" s="57"/>
      <c r="F1847" s="57"/>
      <c r="G1847" s="58"/>
      <c r="H1847" s="58"/>
      <c r="I1847" s="57"/>
      <c r="J1847" s="57"/>
      <c r="K1847" s="57"/>
    </row>
    <row r="1848" spans="1:11" ht="19.5" customHeight="1" x14ac:dyDescent="0.3">
      <c r="A1848" s="46">
        <v>1845</v>
      </c>
      <c r="B1848" s="57" t="str">
        <f>IF(Tabla1[[#This Row],[TRABAJADOR]]="", "", VLOOKUP(Tabla1[[#This Row],[TRABAJADOR]], 'Colaborador ID'!B:C, 2, FALSE))</f>
        <v/>
      </c>
      <c r="C1848" s="56"/>
      <c r="D1848" s="57"/>
      <c r="E1848" s="57"/>
      <c r="F1848" s="57"/>
      <c r="G1848" s="58"/>
      <c r="H1848" s="58"/>
      <c r="I1848" s="57"/>
      <c r="J1848" s="57"/>
      <c r="K1848" s="57"/>
    </row>
    <row r="1849" spans="1:11" ht="19.5" customHeight="1" x14ac:dyDescent="0.3">
      <c r="A1849" s="46">
        <v>1846</v>
      </c>
      <c r="B1849" s="57" t="str">
        <f>IF(Tabla1[[#This Row],[TRABAJADOR]]="", "", VLOOKUP(Tabla1[[#This Row],[TRABAJADOR]], 'Colaborador ID'!B:C, 2, FALSE))</f>
        <v/>
      </c>
      <c r="C1849" s="56"/>
      <c r="D1849" s="57"/>
      <c r="E1849" s="57"/>
      <c r="F1849" s="57"/>
      <c r="G1849" s="58"/>
      <c r="H1849" s="58"/>
      <c r="I1849" s="57"/>
      <c r="J1849" s="57"/>
      <c r="K1849" s="57"/>
    </row>
    <row r="1850" spans="1:11" ht="19.5" customHeight="1" x14ac:dyDescent="0.3">
      <c r="A1850" s="46">
        <v>1847</v>
      </c>
      <c r="B1850" s="57" t="str">
        <f>IF(Tabla1[[#This Row],[TRABAJADOR]]="", "", VLOOKUP(Tabla1[[#This Row],[TRABAJADOR]], 'Colaborador ID'!B:C, 2, FALSE))</f>
        <v/>
      </c>
      <c r="C1850" s="56"/>
      <c r="D1850" s="57"/>
      <c r="E1850" s="57"/>
      <c r="F1850" s="57"/>
      <c r="G1850" s="58"/>
      <c r="H1850" s="58"/>
      <c r="I1850" s="57"/>
      <c r="J1850" s="57"/>
      <c r="K1850" s="57"/>
    </row>
    <row r="1851" spans="1:11" ht="19.5" customHeight="1" x14ac:dyDescent="0.3">
      <c r="A1851" s="46">
        <v>1848</v>
      </c>
      <c r="B1851" s="57" t="str">
        <f>IF(Tabla1[[#This Row],[TRABAJADOR]]="", "", VLOOKUP(Tabla1[[#This Row],[TRABAJADOR]], 'Colaborador ID'!B:C, 2, FALSE))</f>
        <v/>
      </c>
      <c r="C1851" s="56"/>
      <c r="D1851" s="57"/>
      <c r="E1851" s="57"/>
      <c r="F1851" s="57"/>
      <c r="G1851" s="58"/>
      <c r="H1851" s="58"/>
      <c r="I1851" s="57"/>
      <c r="J1851" s="57"/>
      <c r="K1851" s="57"/>
    </row>
    <row r="1852" spans="1:11" ht="19.5" customHeight="1" x14ac:dyDescent="0.3">
      <c r="A1852" s="46">
        <v>1849</v>
      </c>
      <c r="B1852" s="57" t="str">
        <f>IF(Tabla1[[#This Row],[TRABAJADOR]]="", "", VLOOKUP(Tabla1[[#This Row],[TRABAJADOR]], 'Colaborador ID'!B:C, 2, FALSE))</f>
        <v/>
      </c>
      <c r="C1852" s="56"/>
      <c r="D1852" s="57"/>
      <c r="E1852" s="57"/>
      <c r="F1852" s="57"/>
      <c r="G1852" s="58"/>
      <c r="H1852" s="58"/>
      <c r="I1852" s="57"/>
      <c r="J1852" s="57"/>
      <c r="K1852" s="57"/>
    </row>
    <row r="1853" spans="1:11" ht="19.5" customHeight="1" x14ac:dyDescent="0.3">
      <c r="A1853" s="46">
        <v>1850</v>
      </c>
      <c r="B1853" s="57" t="str">
        <f>IF(Tabla1[[#This Row],[TRABAJADOR]]="", "", VLOOKUP(Tabla1[[#This Row],[TRABAJADOR]], 'Colaborador ID'!B:C, 2, FALSE))</f>
        <v/>
      </c>
      <c r="C1853" s="56"/>
      <c r="D1853" s="57"/>
      <c r="E1853" s="57"/>
      <c r="F1853" s="57"/>
      <c r="G1853" s="58"/>
      <c r="H1853" s="58"/>
      <c r="I1853" s="57"/>
      <c r="J1853" s="57"/>
      <c r="K1853" s="57"/>
    </row>
    <row r="1854" spans="1:11" ht="19.5" customHeight="1" x14ac:dyDescent="0.3">
      <c r="A1854" s="46">
        <v>1851</v>
      </c>
      <c r="B1854" s="57" t="str">
        <f>IF(Tabla1[[#This Row],[TRABAJADOR]]="", "", VLOOKUP(Tabla1[[#This Row],[TRABAJADOR]], 'Colaborador ID'!B:C, 2, FALSE))</f>
        <v/>
      </c>
      <c r="C1854" s="56"/>
      <c r="D1854" s="57"/>
      <c r="E1854" s="57"/>
      <c r="F1854" s="57"/>
      <c r="G1854" s="58"/>
      <c r="H1854" s="58"/>
      <c r="I1854" s="57"/>
      <c r="J1854" s="57"/>
      <c r="K1854" s="57"/>
    </row>
    <row r="1855" spans="1:11" ht="19.5" customHeight="1" x14ac:dyDescent="0.3">
      <c r="A1855" s="46">
        <v>1852</v>
      </c>
      <c r="B1855" s="57" t="str">
        <f>IF(Tabla1[[#This Row],[TRABAJADOR]]="", "", VLOOKUP(Tabla1[[#This Row],[TRABAJADOR]], 'Colaborador ID'!B:C, 2, FALSE))</f>
        <v/>
      </c>
      <c r="C1855" s="56"/>
      <c r="D1855" s="57"/>
      <c r="E1855" s="57"/>
      <c r="F1855" s="57"/>
      <c r="G1855" s="58"/>
      <c r="H1855" s="58"/>
      <c r="I1855" s="57"/>
      <c r="J1855" s="57"/>
      <c r="K1855" s="57"/>
    </row>
    <row r="1856" spans="1:11" ht="19.5" customHeight="1" x14ac:dyDescent="0.3">
      <c r="A1856" s="46">
        <v>1853</v>
      </c>
      <c r="B1856" s="57" t="str">
        <f>IF(Tabla1[[#This Row],[TRABAJADOR]]="", "", VLOOKUP(Tabla1[[#This Row],[TRABAJADOR]], 'Colaborador ID'!B:C, 2, FALSE))</f>
        <v/>
      </c>
      <c r="C1856" s="56"/>
      <c r="D1856" s="57"/>
      <c r="E1856" s="57"/>
      <c r="F1856" s="57"/>
      <c r="G1856" s="58"/>
      <c r="H1856" s="58"/>
      <c r="I1856" s="57"/>
      <c r="J1856" s="57"/>
      <c r="K1856" s="57"/>
    </row>
    <row r="1857" spans="1:11" ht="19.5" customHeight="1" x14ac:dyDescent="0.3">
      <c r="A1857" s="46">
        <v>1854</v>
      </c>
      <c r="B1857" s="57" t="str">
        <f>IF(Tabla1[[#This Row],[TRABAJADOR]]="", "", VLOOKUP(Tabla1[[#This Row],[TRABAJADOR]], 'Colaborador ID'!B:C, 2, FALSE))</f>
        <v/>
      </c>
      <c r="C1857" s="56"/>
      <c r="D1857" s="57"/>
      <c r="E1857" s="57"/>
      <c r="F1857" s="57"/>
      <c r="G1857" s="58"/>
      <c r="H1857" s="58"/>
      <c r="I1857" s="57"/>
      <c r="J1857" s="57"/>
      <c r="K1857" s="57"/>
    </row>
    <row r="1858" spans="1:11" ht="19.5" customHeight="1" x14ac:dyDescent="0.3">
      <c r="A1858" s="46">
        <v>1855</v>
      </c>
      <c r="B1858" s="57" t="str">
        <f>IF(Tabla1[[#This Row],[TRABAJADOR]]="", "", VLOOKUP(Tabla1[[#This Row],[TRABAJADOR]], 'Colaborador ID'!B:C, 2, FALSE))</f>
        <v/>
      </c>
      <c r="C1858" s="56"/>
      <c r="D1858" s="57"/>
      <c r="E1858" s="57"/>
      <c r="F1858" s="57"/>
      <c r="G1858" s="58"/>
      <c r="H1858" s="58"/>
      <c r="I1858" s="57"/>
      <c r="J1858" s="57"/>
      <c r="K1858" s="57"/>
    </row>
    <row r="1859" spans="1:11" ht="19.5" customHeight="1" x14ac:dyDescent="0.3">
      <c r="A1859" s="46">
        <v>1856</v>
      </c>
      <c r="B1859" s="57" t="str">
        <f>IF(Tabla1[[#This Row],[TRABAJADOR]]="", "", VLOOKUP(Tabla1[[#This Row],[TRABAJADOR]], 'Colaborador ID'!B:C, 2, FALSE))</f>
        <v/>
      </c>
      <c r="C1859" s="56"/>
      <c r="D1859" s="57"/>
      <c r="E1859" s="57"/>
      <c r="F1859" s="57"/>
      <c r="G1859" s="58"/>
      <c r="H1859" s="58"/>
      <c r="I1859" s="57"/>
      <c r="J1859" s="57"/>
      <c r="K1859" s="57"/>
    </row>
    <row r="1860" spans="1:11" ht="19.5" customHeight="1" x14ac:dyDescent="0.3">
      <c r="A1860" s="46">
        <v>1857</v>
      </c>
      <c r="B1860" s="57" t="str">
        <f>IF(Tabla1[[#This Row],[TRABAJADOR]]="", "", VLOOKUP(Tabla1[[#This Row],[TRABAJADOR]], 'Colaborador ID'!B:C, 2, FALSE))</f>
        <v/>
      </c>
      <c r="C1860" s="56"/>
      <c r="D1860" s="57"/>
      <c r="E1860" s="57"/>
      <c r="F1860" s="57"/>
      <c r="G1860" s="58"/>
      <c r="H1860" s="58"/>
      <c r="I1860" s="57"/>
      <c r="J1860" s="57"/>
      <c r="K1860" s="57"/>
    </row>
    <row r="1861" spans="1:11" ht="19.5" customHeight="1" x14ac:dyDescent="0.3">
      <c r="A1861" s="46">
        <v>1858</v>
      </c>
      <c r="B1861" s="57" t="str">
        <f>IF(Tabla1[[#This Row],[TRABAJADOR]]="", "", VLOOKUP(Tabla1[[#This Row],[TRABAJADOR]], 'Colaborador ID'!B:C, 2, FALSE))</f>
        <v/>
      </c>
      <c r="C1861" s="56"/>
      <c r="D1861" s="57"/>
      <c r="E1861" s="57"/>
      <c r="F1861" s="57"/>
      <c r="G1861" s="58"/>
      <c r="H1861" s="58"/>
      <c r="I1861" s="57"/>
      <c r="J1861" s="57"/>
      <c r="K1861" s="57"/>
    </row>
    <row r="1862" spans="1:11" ht="19.5" customHeight="1" x14ac:dyDescent="0.3">
      <c r="A1862" s="46">
        <v>1859</v>
      </c>
      <c r="B1862" s="57" t="str">
        <f>IF(Tabla1[[#This Row],[TRABAJADOR]]="", "", VLOOKUP(Tabla1[[#This Row],[TRABAJADOR]], 'Colaborador ID'!B:C, 2, FALSE))</f>
        <v/>
      </c>
      <c r="C1862" s="56"/>
      <c r="D1862" s="57"/>
      <c r="E1862" s="57"/>
      <c r="F1862" s="57"/>
      <c r="G1862" s="58"/>
      <c r="H1862" s="58"/>
      <c r="I1862" s="57"/>
      <c r="J1862" s="57"/>
      <c r="K1862" s="57"/>
    </row>
    <row r="1863" spans="1:11" ht="19.5" customHeight="1" x14ac:dyDescent="0.3">
      <c r="A1863" s="46">
        <v>1860</v>
      </c>
      <c r="B1863" s="57" t="str">
        <f>IF(Tabla1[[#This Row],[TRABAJADOR]]="", "", VLOOKUP(Tabla1[[#This Row],[TRABAJADOR]], 'Colaborador ID'!B:C, 2, FALSE))</f>
        <v/>
      </c>
      <c r="C1863" s="56"/>
      <c r="D1863" s="57"/>
      <c r="E1863" s="57"/>
      <c r="F1863" s="57"/>
      <c r="G1863" s="58"/>
      <c r="H1863" s="58"/>
      <c r="I1863" s="57"/>
      <c r="J1863" s="57"/>
      <c r="K1863" s="57"/>
    </row>
    <row r="1864" spans="1:11" ht="19.5" customHeight="1" x14ac:dyDescent="0.3">
      <c r="A1864" s="46">
        <v>1861</v>
      </c>
      <c r="B1864" s="57" t="str">
        <f>IF(Tabla1[[#This Row],[TRABAJADOR]]="", "", VLOOKUP(Tabla1[[#This Row],[TRABAJADOR]], 'Colaborador ID'!B:C, 2, FALSE))</f>
        <v/>
      </c>
      <c r="C1864" s="56"/>
      <c r="D1864" s="57"/>
      <c r="E1864" s="57"/>
      <c r="F1864" s="57"/>
      <c r="G1864" s="58"/>
      <c r="H1864" s="58"/>
      <c r="I1864" s="57"/>
      <c r="J1864" s="57"/>
      <c r="K1864" s="57"/>
    </row>
    <row r="1865" spans="1:11" ht="19.5" customHeight="1" x14ac:dyDescent="0.3">
      <c r="A1865" s="46">
        <v>1862</v>
      </c>
      <c r="B1865" s="57" t="str">
        <f>IF(Tabla1[[#This Row],[TRABAJADOR]]="", "", VLOOKUP(Tabla1[[#This Row],[TRABAJADOR]], 'Colaborador ID'!B:C, 2, FALSE))</f>
        <v/>
      </c>
      <c r="C1865" s="56"/>
      <c r="D1865" s="57"/>
      <c r="E1865" s="57"/>
      <c r="F1865" s="57"/>
      <c r="G1865" s="58"/>
      <c r="H1865" s="58"/>
      <c r="I1865" s="57"/>
      <c r="J1865" s="57"/>
      <c r="K1865" s="57"/>
    </row>
    <row r="1866" spans="1:11" ht="19.5" customHeight="1" x14ac:dyDescent="0.3">
      <c r="A1866" s="46">
        <v>1863</v>
      </c>
      <c r="B1866" s="57" t="str">
        <f>IF(Tabla1[[#This Row],[TRABAJADOR]]="", "", VLOOKUP(Tabla1[[#This Row],[TRABAJADOR]], 'Colaborador ID'!B:C, 2, FALSE))</f>
        <v/>
      </c>
      <c r="C1866" s="56"/>
      <c r="D1866" s="57"/>
      <c r="E1866" s="57"/>
      <c r="F1866" s="57"/>
      <c r="G1866" s="58"/>
      <c r="H1866" s="58"/>
      <c r="I1866" s="57"/>
      <c r="J1866" s="57"/>
      <c r="K1866" s="57"/>
    </row>
    <row r="1867" spans="1:11" ht="19.5" customHeight="1" x14ac:dyDescent="0.3">
      <c r="A1867" s="46">
        <v>1864</v>
      </c>
      <c r="B1867" s="57" t="str">
        <f>IF(Tabla1[[#This Row],[TRABAJADOR]]="", "", VLOOKUP(Tabla1[[#This Row],[TRABAJADOR]], 'Colaborador ID'!B:C, 2, FALSE))</f>
        <v/>
      </c>
      <c r="C1867" s="56"/>
      <c r="D1867" s="57"/>
      <c r="E1867" s="57"/>
      <c r="F1867" s="57"/>
      <c r="G1867" s="58"/>
      <c r="H1867" s="58"/>
      <c r="I1867" s="57"/>
      <c r="J1867" s="57"/>
      <c r="K1867" s="57"/>
    </row>
    <row r="1868" spans="1:11" ht="19.5" customHeight="1" x14ac:dyDescent="0.3">
      <c r="A1868" s="46">
        <v>1865</v>
      </c>
      <c r="B1868" s="57" t="str">
        <f>IF(Tabla1[[#This Row],[TRABAJADOR]]="", "", VLOOKUP(Tabla1[[#This Row],[TRABAJADOR]], 'Colaborador ID'!B:C, 2, FALSE))</f>
        <v/>
      </c>
      <c r="C1868" s="56"/>
      <c r="D1868" s="57"/>
      <c r="E1868" s="57"/>
      <c r="F1868" s="57"/>
      <c r="G1868" s="58"/>
      <c r="H1868" s="58"/>
      <c r="I1868" s="57"/>
      <c r="J1868" s="57"/>
      <c r="K1868" s="57"/>
    </row>
    <row r="1869" spans="1:11" ht="19.5" customHeight="1" x14ac:dyDescent="0.3">
      <c r="A1869" s="46">
        <v>1866</v>
      </c>
      <c r="B1869" s="57" t="str">
        <f>IF(Tabla1[[#This Row],[TRABAJADOR]]="", "", VLOOKUP(Tabla1[[#This Row],[TRABAJADOR]], 'Colaborador ID'!B:C, 2, FALSE))</f>
        <v/>
      </c>
      <c r="C1869" s="56"/>
      <c r="D1869" s="57"/>
      <c r="E1869" s="57"/>
      <c r="F1869" s="57"/>
      <c r="G1869" s="58"/>
      <c r="H1869" s="58"/>
      <c r="I1869" s="57"/>
      <c r="J1869" s="57"/>
      <c r="K1869" s="57"/>
    </row>
    <row r="1870" spans="1:11" ht="19.5" customHeight="1" x14ac:dyDescent="0.3">
      <c r="A1870" s="46">
        <v>1867</v>
      </c>
      <c r="B1870" s="57" t="str">
        <f>IF(Tabla1[[#This Row],[TRABAJADOR]]="", "", VLOOKUP(Tabla1[[#This Row],[TRABAJADOR]], 'Colaborador ID'!B:C, 2, FALSE))</f>
        <v/>
      </c>
      <c r="C1870" s="56"/>
      <c r="D1870" s="57"/>
      <c r="E1870" s="57"/>
      <c r="F1870" s="57"/>
      <c r="G1870" s="58"/>
      <c r="H1870" s="58"/>
      <c r="I1870" s="57"/>
      <c r="J1870" s="57"/>
      <c r="K1870" s="57"/>
    </row>
    <row r="1871" spans="1:11" ht="19.5" customHeight="1" x14ac:dyDescent="0.3">
      <c r="A1871" s="46">
        <v>1868</v>
      </c>
      <c r="B1871" s="57" t="str">
        <f>IF(Tabla1[[#This Row],[TRABAJADOR]]="", "", VLOOKUP(Tabla1[[#This Row],[TRABAJADOR]], 'Colaborador ID'!B:C, 2, FALSE))</f>
        <v/>
      </c>
      <c r="C1871" s="56"/>
      <c r="D1871" s="57"/>
      <c r="E1871" s="57"/>
      <c r="F1871" s="57"/>
      <c r="G1871" s="58"/>
      <c r="H1871" s="58"/>
      <c r="I1871" s="57"/>
      <c r="J1871" s="57"/>
      <c r="K1871" s="57"/>
    </row>
    <row r="1872" spans="1:11" ht="19.5" customHeight="1" x14ac:dyDescent="0.3">
      <c r="A1872" s="46">
        <v>1869</v>
      </c>
      <c r="B1872" s="57" t="str">
        <f>IF(Tabla1[[#This Row],[TRABAJADOR]]="", "", VLOOKUP(Tabla1[[#This Row],[TRABAJADOR]], 'Colaborador ID'!B:C, 2, FALSE))</f>
        <v/>
      </c>
      <c r="C1872" s="56"/>
      <c r="D1872" s="57"/>
      <c r="E1872" s="57"/>
      <c r="F1872" s="57"/>
      <c r="G1872" s="58"/>
      <c r="H1872" s="58"/>
      <c r="I1872" s="57"/>
      <c r="J1872" s="57"/>
      <c r="K1872" s="57"/>
    </row>
    <row r="1873" spans="1:11" ht="19.5" customHeight="1" x14ac:dyDescent="0.3">
      <c r="A1873" s="46">
        <v>1870</v>
      </c>
      <c r="B1873" s="57" t="str">
        <f>IF(Tabla1[[#This Row],[TRABAJADOR]]="", "", VLOOKUP(Tabla1[[#This Row],[TRABAJADOR]], 'Colaborador ID'!B:C, 2, FALSE))</f>
        <v/>
      </c>
      <c r="C1873" s="56"/>
      <c r="D1873" s="57"/>
      <c r="E1873" s="57"/>
      <c r="F1873" s="57"/>
      <c r="G1873" s="58"/>
      <c r="H1873" s="58"/>
      <c r="I1873" s="57"/>
      <c r="J1873" s="57"/>
      <c r="K1873" s="57"/>
    </row>
    <row r="1874" spans="1:11" ht="19.5" customHeight="1" x14ac:dyDescent="0.3">
      <c r="A1874" s="46">
        <v>1871</v>
      </c>
      <c r="B1874" s="57" t="str">
        <f>IF(Tabla1[[#This Row],[TRABAJADOR]]="", "", VLOOKUP(Tabla1[[#This Row],[TRABAJADOR]], 'Colaborador ID'!B:C, 2, FALSE))</f>
        <v/>
      </c>
      <c r="C1874" s="56"/>
      <c r="D1874" s="57"/>
      <c r="E1874" s="57"/>
      <c r="F1874" s="57"/>
      <c r="G1874" s="58"/>
      <c r="H1874" s="58"/>
      <c r="I1874" s="57"/>
      <c r="J1874" s="57"/>
      <c r="K1874" s="57"/>
    </row>
    <row r="1875" spans="1:11" ht="19.5" customHeight="1" x14ac:dyDescent="0.3">
      <c r="A1875" s="46">
        <v>1872</v>
      </c>
      <c r="B1875" s="57" t="str">
        <f>IF(Tabla1[[#This Row],[TRABAJADOR]]="", "", VLOOKUP(Tabla1[[#This Row],[TRABAJADOR]], 'Colaborador ID'!B:C, 2, FALSE))</f>
        <v/>
      </c>
      <c r="C1875" s="56"/>
      <c r="D1875" s="57"/>
      <c r="E1875" s="57"/>
      <c r="F1875" s="57"/>
      <c r="G1875" s="58"/>
      <c r="H1875" s="58"/>
      <c r="I1875" s="57"/>
      <c r="J1875" s="57"/>
      <c r="K1875" s="57"/>
    </row>
    <row r="1876" spans="1:11" ht="19.5" customHeight="1" x14ac:dyDescent="0.3">
      <c r="A1876" s="46">
        <v>1873</v>
      </c>
      <c r="B1876" s="57" t="str">
        <f>IF(Tabla1[[#This Row],[TRABAJADOR]]="", "", VLOOKUP(Tabla1[[#This Row],[TRABAJADOR]], 'Colaborador ID'!B:C, 2, FALSE))</f>
        <v/>
      </c>
      <c r="C1876" s="56"/>
      <c r="D1876" s="57"/>
      <c r="E1876" s="57"/>
      <c r="F1876" s="57"/>
      <c r="G1876" s="58"/>
      <c r="H1876" s="58"/>
      <c r="I1876" s="57"/>
      <c r="J1876" s="57"/>
      <c r="K1876" s="57"/>
    </row>
    <row r="1877" spans="1:11" ht="19.5" customHeight="1" x14ac:dyDescent="0.3">
      <c r="A1877" s="46">
        <v>1874</v>
      </c>
      <c r="B1877" s="57" t="str">
        <f>IF(Tabla1[[#This Row],[TRABAJADOR]]="", "", VLOOKUP(Tabla1[[#This Row],[TRABAJADOR]], 'Colaborador ID'!B:C, 2, FALSE))</f>
        <v/>
      </c>
      <c r="C1877" s="56"/>
      <c r="D1877" s="57"/>
      <c r="E1877" s="57"/>
      <c r="F1877" s="57"/>
      <c r="G1877" s="58"/>
      <c r="H1877" s="58"/>
      <c r="I1877" s="57"/>
      <c r="J1877" s="57"/>
      <c r="K1877" s="57"/>
    </row>
    <row r="1878" spans="1:11" ht="19.5" customHeight="1" x14ac:dyDescent="0.3">
      <c r="A1878" s="46">
        <v>1875</v>
      </c>
      <c r="B1878" s="57" t="str">
        <f>IF(Tabla1[[#This Row],[TRABAJADOR]]="", "", VLOOKUP(Tabla1[[#This Row],[TRABAJADOR]], 'Colaborador ID'!B:C, 2, FALSE))</f>
        <v/>
      </c>
      <c r="C1878" s="56"/>
      <c r="D1878" s="57"/>
      <c r="E1878" s="57"/>
      <c r="F1878" s="57"/>
      <c r="G1878" s="58"/>
      <c r="H1878" s="58"/>
      <c r="I1878" s="57"/>
      <c r="J1878" s="57"/>
      <c r="K1878" s="57"/>
    </row>
    <row r="1879" spans="1:11" ht="19.5" customHeight="1" x14ac:dyDescent="0.3">
      <c r="A1879" s="46">
        <v>1876</v>
      </c>
      <c r="B1879" s="57" t="str">
        <f>IF(Tabla1[[#This Row],[TRABAJADOR]]="", "", VLOOKUP(Tabla1[[#This Row],[TRABAJADOR]], 'Colaborador ID'!B:C, 2, FALSE))</f>
        <v/>
      </c>
      <c r="C1879" s="56"/>
      <c r="D1879" s="57"/>
      <c r="E1879" s="57"/>
      <c r="F1879" s="57"/>
      <c r="G1879" s="58"/>
      <c r="H1879" s="58"/>
      <c r="I1879" s="57"/>
      <c r="J1879" s="57"/>
      <c r="K1879" s="57"/>
    </row>
    <row r="1880" spans="1:11" ht="19.5" customHeight="1" x14ac:dyDescent="0.3">
      <c r="A1880" s="46">
        <v>1877</v>
      </c>
      <c r="B1880" s="57" t="str">
        <f>IF(Tabla1[[#This Row],[TRABAJADOR]]="", "", VLOOKUP(Tabla1[[#This Row],[TRABAJADOR]], 'Colaborador ID'!B:C, 2, FALSE))</f>
        <v/>
      </c>
      <c r="C1880" s="56"/>
      <c r="D1880" s="57"/>
      <c r="E1880" s="57"/>
      <c r="F1880" s="57"/>
      <c r="G1880" s="58"/>
      <c r="H1880" s="58"/>
      <c r="I1880" s="57"/>
      <c r="J1880" s="57"/>
      <c r="K1880" s="57"/>
    </row>
    <row r="1881" spans="1:11" ht="19.5" customHeight="1" x14ac:dyDescent="0.3">
      <c r="A1881" s="46">
        <v>1878</v>
      </c>
      <c r="B1881" s="57" t="str">
        <f>IF(Tabla1[[#This Row],[TRABAJADOR]]="", "", VLOOKUP(Tabla1[[#This Row],[TRABAJADOR]], 'Colaborador ID'!B:C, 2, FALSE))</f>
        <v/>
      </c>
      <c r="C1881" s="56"/>
      <c r="D1881" s="57"/>
      <c r="E1881" s="57"/>
      <c r="F1881" s="57"/>
      <c r="G1881" s="58"/>
      <c r="H1881" s="58"/>
      <c r="I1881" s="57"/>
      <c r="J1881" s="57"/>
      <c r="K1881" s="57"/>
    </row>
    <row r="1882" spans="1:11" ht="19.5" customHeight="1" x14ac:dyDescent="0.3">
      <c r="A1882" s="46">
        <v>1879</v>
      </c>
      <c r="B1882" s="57" t="str">
        <f>IF(Tabla1[[#This Row],[TRABAJADOR]]="", "", VLOOKUP(Tabla1[[#This Row],[TRABAJADOR]], 'Colaborador ID'!B:C, 2, FALSE))</f>
        <v/>
      </c>
      <c r="C1882" s="56"/>
      <c r="D1882" s="57"/>
      <c r="E1882" s="57"/>
      <c r="F1882" s="57"/>
      <c r="G1882" s="58"/>
      <c r="H1882" s="58"/>
      <c r="I1882" s="57"/>
      <c r="J1882" s="57"/>
      <c r="K1882" s="57"/>
    </row>
    <row r="1883" spans="1:11" ht="19.5" customHeight="1" x14ac:dyDescent="0.3">
      <c r="A1883" s="46">
        <v>1880</v>
      </c>
      <c r="B1883" s="57" t="str">
        <f>IF(Tabla1[[#This Row],[TRABAJADOR]]="", "", VLOOKUP(Tabla1[[#This Row],[TRABAJADOR]], 'Colaborador ID'!B:C, 2, FALSE))</f>
        <v/>
      </c>
      <c r="C1883" s="56"/>
      <c r="D1883" s="57"/>
      <c r="E1883" s="57"/>
      <c r="F1883" s="57"/>
      <c r="G1883" s="58"/>
      <c r="H1883" s="58"/>
      <c r="I1883" s="57"/>
      <c r="J1883" s="57"/>
      <c r="K1883" s="57"/>
    </row>
    <row r="1884" spans="1:11" ht="19.5" customHeight="1" x14ac:dyDescent="0.3">
      <c r="A1884" s="46">
        <v>1881</v>
      </c>
      <c r="B1884" s="57" t="str">
        <f>IF(Tabla1[[#This Row],[TRABAJADOR]]="", "", VLOOKUP(Tabla1[[#This Row],[TRABAJADOR]], 'Colaborador ID'!B:C, 2, FALSE))</f>
        <v/>
      </c>
      <c r="C1884" s="56"/>
      <c r="D1884" s="57"/>
      <c r="E1884" s="57"/>
      <c r="F1884" s="57"/>
      <c r="G1884" s="58"/>
      <c r="H1884" s="58"/>
      <c r="I1884" s="57"/>
      <c r="J1884" s="57"/>
      <c r="K1884" s="57"/>
    </row>
    <row r="1885" spans="1:11" ht="19.5" customHeight="1" x14ac:dyDescent="0.3">
      <c r="A1885" s="46">
        <v>1882</v>
      </c>
      <c r="B1885" s="57" t="str">
        <f>IF(Tabla1[[#This Row],[TRABAJADOR]]="", "", VLOOKUP(Tabla1[[#This Row],[TRABAJADOR]], 'Colaborador ID'!B:C, 2, FALSE))</f>
        <v/>
      </c>
      <c r="C1885" s="56"/>
      <c r="D1885" s="57"/>
      <c r="E1885" s="57"/>
      <c r="F1885" s="57"/>
      <c r="G1885" s="58"/>
      <c r="H1885" s="58"/>
      <c r="I1885" s="57"/>
      <c r="J1885" s="57"/>
      <c r="K1885" s="57"/>
    </row>
    <row r="1886" spans="1:11" ht="19.5" customHeight="1" x14ac:dyDescent="0.3">
      <c r="A1886" s="46">
        <v>1883</v>
      </c>
      <c r="B1886" s="57" t="str">
        <f>IF(Tabla1[[#This Row],[TRABAJADOR]]="", "", VLOOKUP(Tabla1[[#This Row],[TRABAJADOR]], 'Colaborador ID'!B:C, 2, FALSE))</f>
        <v/>
      </c>
      <c r="C1886" s="56"/>
      <c r="D1886" s="57"/>
      <c r="E1886" s="57"/>
      <c r="F1886" s="57"/>
      <c r="G1886" s="58"/>
      <c r="H1886" s="58"/>
      <c r="I1886" s="57"/>
      <c r="J1886" s="57"/>
      <c r="K1886" s="57"/>
    </row>
    <row r="1887" spans="1:11" ht="19.5" customHeight="1" x14ac:dyDescent="0.3">
      <c r="A1887" s="46">
        <v>1884</v>
      </c>
      <c r="B1887" s="57" t="str">
        <f>IF(Tabla1[[#This Row],[TRABAJADOR]]="", "", VLOOKUP(Tabla1[[#This Row],[TRABAJADOR]], 'Colaborador ID'!B:C, 2, FALSE))</f>
        <v/>
      </c>
      <c r="C1887" s="56"/>
      <c r="D1887" s="57"/>
      <c r="E1887" s="57"/>
      <c r="F1887" s="57"/>
      <c r="G1887" s="58"/>
      <c r="H1887" s="58"/>
      <c r="I1887" s="57"/>
      <c r="J1887" s="57"/>
      <c r="K1887" s="57"/>
    </row>
    <row r="1888" spans="1:11" ht="19.5" customHeight="1" x14ac:dyDescent="0.3">
      <c r="A1888" s="46">
        <v>1885</v>
      </c>
      <c r="B1888" s="57" t="str">
        <f>IF(Tabla1[[#This Row],[TRABAJADOR]]="", "", VLOOKUP(Tabla1[[#This Row],[TRABAJADOR]], 'Colaborador ID'!B:C, 2, FALSE))</f>
        <v/>
      </c>
      <c r="C1888" s="56"/>
      <c r="D1888" s="57"/>
      <c r="E1888" s="57"/>
      <c r="F1888" s="57"/>
      <c r="G1888" s="58"/>
      <c r="H1888" s="58"/>
      <c r="I1888" s="57"/>
      <c r="J1888" s="57"/>
      <c r="K1888" s="57"/>
    </row>
    <row r="1889" spans="1:11" ht="19.5" customHeight="1" x14ac:dyDescent="0.3">
      <c r="A1889" s="46">
        <v>1886</v>
      </c>
      <c r="B1889" s="57" t="str">
        <f>IF(Tabla1[[#This Row],[TRABAJADOR]]="", "", VLOOKUP(Tabla1[[#This Row],[TRABAJADOR]], 'Colaborador ID'!B:C, 2, FALSE))</f>
        <v/>
      </c>
      <c r="C1889" s="56"/>
      <c r="D1889" s="57"/>
      <c r="E1889" s="57"/>
      <c r="F1889" s="57"/>
      <c r="G1889" s="58"/>
      <c r="H1889" s="58"/>
      <c r="I1889" s="57"/>
      <c r="J1889" s="57"/>
      <c r="K1889" s="57"/>
    </row>
    <row r="1890" spans="1:11" ht="19.5" customHeight="1" x14ac:dyDescent="0.3">
      <c r="A1890" s="46">
        <v>1887</v>
      </c>
      <c r="B1890" s="57" t="str">
        <f>IF(Tabla1[[#This Row],[TRABAJADOR]]="", "", VLOOKUP(Tabla1[[#This Row],[TRABAJADOR]], 'Colaborador ID'!B:C, 2, FALSE))</f>
        <v/>
      </c>
      <c r="C1890" s="56"/>
      <c r="D1890" s="57"/>
      <c r="E1890" s="57"/>
      <c r="F1890" s="57"/>
      <c r="G1890" s="58"/>
      <c r="H1890" s="58"/>
      <c r="I1890" s="57"/>
      <c r="J1890" s="57"/>
      <c r="K1890" s="57"/>
    </row>
    <row r="1891" spans="1:11" ht="19.5" customHeight="1" x14ac:dyDescent="0.3">
      <c r="A1891" s="46">
        <v>1888</v>
      </c>
      <c r="B1891" s="57" t="str">
        <f>IF(Tabla1[[#This Row],[TRABAJADOR]]="", "", VLOOKUP(Tabla1[[#This Row],[TRABAJADOR]], 'Colaborador ID'!B:C, 2, FALSE))</f>
        <v/>
      </c>
      <c r="C1891" s="56"/>
      <c r="D1891" s="57"/>
      <c r="E1891" s="57"/>
      <c r="F1891" s="57"/>
      <c r="G1891" s="58"/>
      <c r="H1891" s="58"/>
      <c r="I1891" s="57"/>
      <c r="J1891" s="57"/>
      <c r="K1891" s="57"/>
    </row>
    <row r="1892" spans="1:11" ht="19.5" customHeight="1" x14ac:dyDescent="0.3">
      <c r="A1892" s="46">
        <v>1889</v>
      </c>
      <c r="B1892" s="57" t="str">
        <f>IF(Tabla1[[#This Row],[TRABAJADOR]]="", "", VLOOKUP(Tabla1[[#This Row],[TRABAJADOR]], 'Colaborador ID'!B:C, 2, FALSE))</f>
        <v/>
      </c>
      <c r="C1892" s="56"/>
      <c r="D1892" s="57"/>
      <c r="E1892" s="57"/>
      <c r="F1892" s="57"/>
      <c r="G1892" s="58"/>
      <c r="H1892" s="58"/>
      <c r="I1892" s="57"/>
      <c r="J1892" s="57"/>
      <c r="K1892" s="57"/>
    </row>
    <row r="1893" spans="1:11" ht="19.5" customHeight="1" x14ac:dyDescent="0.3">
      <c r="A1893" s="46">
        <v>1890</v>
      </c>
      <c r="B1893" s="57" t="str">
        <f>IF(Tabla1[[#This Row],[TRABAJADOR]]="", "", VLOOKUP(Tabla1[[#This Row],[TRABAJADOR]], 'Colaborador ID'!B:C, 2, FALSE))</f>
        <v/>
      </c>
      <c r="C1893" s="56"/>
      <c r="D1893" s="57"/>
      <c r="E1893" s="57"/>
      <c r="F1893" s="57"/>
      <c r="G1893" s="58"/>
      <c r="H1893" s="58"/>
      <c r="I1893" s="57"/>
      <c r="J1893" s="57"/>
      <c r="K1893" s="57"/>
    </row>
    <row r="1894" spans="1:11" ht="19.5" customHeight="1" x14ac:dyDescent="0.3">
      <c r="A1894" s="46">
        <v>1891</v>
      </c>
      <c r="B1894" s="57" t="str">
        <f>IF(Tabla1[[#This Row],[TRABAJADOR]]="", "", VLOOKUP(Tabla1[[#This Row],[TRABAJADOR]], 'Colaborador ID'!B:C, 2, FALSE))</f>
        <v/>
      </c>
      <c r="C1894" s="56"/>
      <c r="D1894" s="57"/>
      <c r="E1894" s="57"/>
      <c r="F1894" s="57"/>
      <c r="G1894" s="58"/>
      <c r="H1894" s="58"/>
      <c r="I1894" s="57"/>
      <c r="J1894" s="57"/>
      <c r="K1894" s="57"/>
    </row>
    <row r="1895" spans="1:11" ht="19.5" customHeight="1" x14ac:dyDescent="0.3">
      <c r="A1895" s="46">
        <v>1892</v>
      </c>
      <c r="B1895" s="57" t="str">
        <f>IF(Tabla1[[#This Row],[TRABAJADOR]]="", "", VLOOKUP(Tabla1[[#This Row],[TRABAJADOR]], 'Colaborador ID'!B:C, 2, FALSE))</f>
        <v/>
      </c>
      <c r="C1895" s="56"/>
      <c r="D1895" s="57"/>
      <c r="E1895" s="57"/>
      <c r="F1895" s="57"/>
      <c r="G1895" s="58"/>
      <c r="H1895" s="58"/>
      <c r="I1895" s="57"/>
      <c r="J1895" s="57"/>
      <c r="K1895" s="57"/>
    </row>
    <row r="1896" spans="1:11" ht="19.5" customHeight="1" x14ac:dyDescent="0.3">
      <c r="A1896" s="46">
        <v>1893</v>
      </c>
      <c r="B1896" s="57" t="str">
        <f>IF(Tabla1[[#This Row],[TRABAJADOR]]="", "", VLOOKUP(Tabla1[[#This Row],[TRABAJADOR]], 'Colaborador ID'!B:C, 2, FALSE))</f>
        <v/>
      </c>
      <c r="C1896" s="56"/>
      <c r="D1896" s="57"/>
      <c r="E1896" s="57"/>
      <c r="F1896" s="57"/>
      <c r="G1896" s="58"/>
      <c r="H1896" s="58"/>
      <c r="I1896" s="57"/>
      <c r="J1896" s="57"/>
      <c r="K1896" s="57"/>
    </row>
    <row r="1897" spans="1:11" ht="19.5" customHeight="1" x14ac:dyDescent="0.3">
      <c r="A1897" s="46">
        <v>1894</v>
      </c>
      <c r="B1897" s="57" t="str">
        <f>IF(Tabla1[[#This Row],[TRABAJADOR]]="", "", VLOOKUP(Tabla1[[#This Row],[TRABAJADOR]], 'Colaborador ID'!B:C, 2, FALSE))</f>
        <v/>
      </c>
      <c r="C1897" s="56"/>
      <c r="D1897" s="57"/>
      <c r="E1897" s="57"/>
      <c r="F1897" s="57"/>
      <c r="G1897" s="58"/>
      <c r="H1897" s="58"/>
      <c r="I1897" s="57"/>
      <c r="J1897" s="57"/>
      <c r="K1897" s="57"/>
    </row>
    <row r="1898" spans="1:11" ht="19.5" customHeight="1" x14ac:dyDescent="0.3">
      <c r="A1898" s="46">
        <v>1895</v>
      </c>
      <c r="B1898" s="57" t="str">
        <f>IF(Tabla1[[#This Row],[TRABAJADOR]]="", "", VLOOKUP(Tabla1[[#This Row],[TRABAJADOR]], 'Colaborador ID'!B:C, 2, FALSE))</f>
        <v/>
      </c>
      <c r="C1898" s="56"/>
      <c r="D1898" s="57"/>
      <c r="E1898" s="57"/>
      <c r="F1898" s="57"/>
      <c r="G1898" s="58"/>
      <c r="H1898" s="58"/>
      <c r="I1898" s="57"/>
      <c r="J1898" s="57"/>
      <c r="K1898" s="57"/>
    </row>
    <row r="1899" spans="1:11" ht="19.5" customHeight="1" x14ac:dyDescent="0.3">
      <c r="A1899" s="46">
        <v>1896</v>
      </c>
      <c r="B1899" s="57" t="str">
        <f>IF(Tabla1[[#This Row],[TRABAJADOR]]="", "", VLOOKUP(Tabla1[[#This Row],[TRABAJADOR]], 'Colaborador ID'!B:C, 2, FALSE))</f>
        <v/>
      </c>
      <c r="C1899" s="56"/>
      <c r="D1899" s="57"/>
      <c r="E1899" s="57"/>
      <c r="F1899" s="57"/>
      <c r="G1899" s="58"/>
      <c r="H1899" s="58"/>
      <c r="I1899" s="57"/>
      <c r="J1899" s="57"/>
      <c r="K1899" s="57"/>
    </row>
    <row r="1900" spans="1:11" ht="19.5" customHeight="1" x14ac:dyDescent="0.3">
      <c r="A1900" s="46">
        <v>1897</v>
      </c>
      <c r="B1900" s="57" t="str">
        <f>IF(Tabla1[[#This Row],[TRABAJADOR]]="", "", VLOOKUP(Tabla1[[#This Row],[TRABAJADOR]], 'Colaborador ID'!B:C, 2, FALSE))</f>
        <v/>
      </c>
      <c r="C1900" s="56"/>
      <c r="D1900" s="57"/>
      <c r="E1900" s="57"/>
      <c r="F1900" s="57"/>
      <c r="G1900" s="58"/>
      <c r="H1900" s="58"/>
      <c r="I1900" s="57"/>
      <c r="J1900" s="57"/>
      <c r="K1900" s="57"/>
    </row>
    <row r="1901" spans="1:11" ht="19.5" customHeight="1" x14ac:dyDescent="0.3">
      <c r="A1901" s="46">
        <v>1898</v>
      </c>
      <c r="B1901" s="57" t="str">
        <f>IF(Tabla1[[#This Row],[TRABAJADOR]]="", "", VLOOKUP(Tabla1[[#This Row],[TRABAJADOR]], 'Colaborador ID'!B:C, 2, FALSE))</f>
        <v/>
      </c>
      <c r="C1901" s="56"/>
      <c r="D1901" s="57"/>
      <c r="E1901" s="57"/>
      <c r="F1901" s="57"/>
      <c r="G1901" s="58"/>
      <c r="H1901" s="58"/>
      <c r="I1901" s="57"/>
      <c r="J1901" s="57"/>
      <c r="K1901" s="57"/>
    </row>
    <row r="1902" spans="1:11" ht="19.5" customHeight="1" x14ac:dyDescent="0.3">
      <c r="A1902" s="46">
        <v>1899</v>
      </c>
      <c r="B1902" s="57" t="str">
        <f>IF(Tabla1[[#This Row],[TRABAJADOR]]="", "", VLOOKUP(Tabla1[[#This Row],[TRABAJADOR]], 'Colaborador ID'!B:C, 2, FALSE))</f>
        <v/>
      </c>
      <c r="C1902" s="56"/>
      <c r="D1902" s="57"/>
      <c r="E1902" s="57"/>
      <c r="F1902" s="57"/>
      <c r="G1902" s="58"/>
      <c r="H1902" s="58"/>
      <c r="I1902" s="57"/>
      <c r="J1902" s="57"/>
      <c r="K1902" s="57"/>
    </row>
    <row r="1903" spans="1:11" ht="19.5" customHeight="1" x14ac:dyDescent="0.3">
      <c r="A1903" s="46">
        <v>1900</v>
      </c>
      <c r="B1903" s="57" t="str">
        <f>IF(Tabla1[[#This Row],[TRABAJADOR]]="", "", VLOOKUP(Tabla1[[#This Row],[TRABAJADOR]], 'Colaborador ID'!B:C, 2, FALSE))</f>
        <v/>
      </c>
      <c r="C1903" s="56"/>
      <c r="D1903" s="57"/>
      <c r="E1903" s="57"/>
      <c r="F1903" s="57"/>
      <c r="G1903" s="58"/>
      <c r="H1903" s="58"/>
      <c r="I1903" s="57"/>
      <c r="J1903" s="57"/>
      <c r="K1903" s="57"/>
    </row>
    <row r="1904" spans="1:11" ht="19.5" customHeight="1" x14ac:dyDescent="0.3">
      <c r="A1904" s="46">
        <v>1901</v>
      </c>
      <c r="B1904" s="57" t="str">
        <f>IF(Tabla1[[#This Row],[TRABAJADOR]]="", "", VLOOKUP(Tabla1[[#This Row],[TRABAJADOR]], 'Colaborador ID'!B:C, 2, FALSE))</f>
        <v/>
      </c>
      <c r="C1904" s="56"/>
      <c r="D1904" s="57"/>
      <c r="E1904" s="57"/>
      <c r="F1904" s="57"/>
      <c r="G1904" s="58"/>
      <c r="H1904" s="58"/>
      <c r="I1904" s="57"/>
      <c r="J1904" s="57"/>
      <c r="K1904" s="57"/>
    </row>
    <row r="1905" spans="1:11" ht="19.5" customHeight="1" x14ac:dyDescent="0.3">
      <c r="A1905" s="46">
        <v>1902</v>
      </c>
      <c r="B1905" s="57" t="str">
        <f>IF(Tabla1[[#This Row],[TRABAJADOR]]="", "", VLOOKUP(Tabla1[[#This Row],[TRABAJADOR]], 'Colaborador ID'!B:C, 2, FALSE))</f>
        <v/>
      </c>
      <c r="C1905" s="56"/>
      <c r="D1905" s="57"/>
      <c r="E1905" s="57"/>
      <c r="F1905" s="57"/>
      <c r="G1905" s="58"/>
      <c r="H1905" s="58"/>
      <c r="I1905" s="57"/>
      <c r="J1905" s="57"/>
      <c r="K1905" s="57"/>
    </row>
    <row r="1906" spans="1:11" ht="19.5" customHeight="1" x14ac:dyDescent="0.3">
      <c r="A1906" s="46">
        <v>1903</v>
      </c>
      <c r="B1906" s="57" t="str">
        <f>IF(Tabla1[[#This Row],[TRABAJADOR]]="", "", VLOOKUP(Tabla1[[#This Row],[TRABAJADOR]], 'Colaborador ID'!B:C, 2, FALSE))</f>
        <v/>
      </c>
      <c r="C1906" s="56"/>
      <c r="D1906" s="57"/>
      <c r="E1906" s="57"/>
      <c r="F1906" s="57"/>
      <c r="G1906" s="58"/>
      <c r="H1906" s="58"/>
      <c r="I1906" s="57"/>
      <c r="J1906" s="57"/>
      <c r="K1906" s="57"/>
    </row>
    <row r="1907" spans="1:11" ht="19.5" customHeight="1" x14ac:dyDescent="0.3">
      <c r="A1907" s="46">
        <v>1904</v>
      </c>
      <c r="B1907" s="57" t="str">
        <f>IF(Tabla1[[#This Row],[TRABAJADOR]]="", "", VLOOKUP(Tabla1[[#This Row],[TRABAJADOR]], 'Colaborador ID'!B:C, 2, FALSE))</f>
        <v/>
      </c>
      <c r="C1907" s="56"/>
      <c r="D1907" s="57"/>
      <c r="E1907" s="57"/>
      <c r="F1907" s="57"/>
      <c r="G1907" s="58"/>
      <c r="H1907" s="58"/>
      <c r="I1907" s="57"/>
      <c r="J1907" s="57"/>
      <c r="K1907" s="57"/>
    </row>
    <row r="1908" spans="1:11" ht="19.5" customHeight="1" x14ac:dyDescent="0.3">
      <c r="A1908" s="46">
        <v>1905</v>
      </c>
      <c r="B1908" s="57" t="str">
        <f>IF(Tabla1[[#This Row],[TRABAJADOR]]="", "", VLOOKUP(Tabla1[[#This Row],[TRABAJADOR]], 'Colaborador ID'!B:C, 2, FALSE))</f>
        <v/>
      </c>
      <c r="C1908" s="56"/>
      <c r="D1908" s="57"/>
      <c r="E1908" s="57"/>
      <c r="F1908" s="57"/>
      <c r="G1908" s="58"/>
      <c r="H1908" s="58"/>
      <c r="I1908" s="57"/>
      <c r="J1908" s="57"/>
      <c r="K1908" s="57"/>
    </row>
    <row r="1909" spans="1:11" ht="19.5" customHeight="1" x14ac:dyDescent="0.3">
      <c r="A1909" s="46">
        <v>1906</v>
      </c>
      <c r="B1909" s="57" t="str">
        <f>IF(Tabla1[[#This Row],[TRABAJADOR]]="", "", VLOOKUP(Tabla1[[#This Row],[TRABAJADOR]], 'Colaborador ID'!B:C, 2, FALSE))</f>
        <v/>
      </c>
      <c r="C1909" s="56"/>
      <c r="D1909" s="57"/>
      <c r="E1909" s="57"/>
      <c r="F1909" s="57"/>
      <c r="G1909" s="58"/>
      <c r="H1909" s="58"/>
      <c r="I1909" s="57"/>
      <c r="J1909" s="57"/>
      <c r="K1909" s="57"/>
    </row>
    <row r="1910" spans="1:11" ht="19.5" customHeight="1" x14ac:dyDescent="0.3">
      <c r="A1910" s="46">
        <v>1907</v>
      </c>
      <c r="B1910" s="57" t="str">
        <f>IF(Tabla1[[#This Row],[TRABAJADOR]]="", "", VLOOKUP(Tabla1[[#This Row],[TRABAJADOR]], 'Colaborador ID'!B:C, 2, FALSE))</f>
        <v/>
      </c>
      <c r="C1910" s="56"/>
      <c r="D1910" s="57"/>
      <c r="E1910" s="57"/>
      <c r="F1910" s="57"/>
      <c r="G1910" s="58"/>
      <c r="H1910" s="58"/>
      <c r="I1910" s="57"/>
      <c r="J1910" s="57"/>
      <c r="K1910" s="57"/>
    </row>
    <row r="1911" spans="1:11" ht="19.5" customHeight="1" x14ac:dyDescent="0.3">
      <c r="A1911" s="46">
        <v>1908</v>
      </c>
      <c r="B1911" s="57" t="str">
        <f>IF(Tabla1[[#This Row],[TRABAJADOR]]="", "", VLOOKUP(Tabla1[[#This Row],[TRABAJADOR]], 'Colaborador ID'!B:C, 2, FALSE))</f>
        <v/>
      </c>
      <c r="C1911" s="56"/>
      <c r="D1911" s="57"/>
      <c r="E1911" s="57"/>
      <c r="F1911" s="57"/>
      <c r="G1911" s="58"/>
      <c r="H1911" s="58"/>
      <c r="I1911" s="57"/>
      <c r="J1911" s="57"/>
      <c r="K1911" s="57"/>
    </row>
    <row r="1912" spans="1:11" ht="19.5" customHeight="1" x14ac:dyDescent="0.3">
      <c r="A1912" s="46">
        <v>1909</v>
      </c>
      <c r="B1912" s="57" t="str">
        <f>IF(Tabla1[[#This Row],[TRABAJADOR]]="", "", VLOOKUP(Tabla1[[#This Row],[TRABAJADOR]], 'Colaborador ID'!B:C, 2, FALSE))</f>
        <v/>
      </c>
      <c r="C1912" s="56"/>
      <c r="D1912" s="57"/>
      <c r="E1912" s="57"/>
      <c r="F1912" s="57"/>
      <c r="G1912" s="58"/>
      <c r="H1912" s="58"/>
      <c r="I1912" s="57"/>
      <c r="J1912" s="57"/>
      <c r="K1912" s="57"/>
    </row>
    <row r="1913" spans="1:11" ht="19.5" customHeight="1" x14ac:dyDescent="0.3">
      <c r="A1913" s="46">
        <v>1910</v>
      </c>
      <c r="B1913" s="57" t="str">
        <f>IF(Tabla1[[#This Row],[TRABAJADOR]]="", "", VLOOKUP(Tabla1[[#This Row],[TRABAJADOR]], 'Colaborador ID'!B:C, 2, FALSE))</f>
        <v/>
      </c>
      <c r="C1913" s="56"/>
      <c r="D1913" s="57"/>
      <c r="E1913" s="57"/>
      <c r="F1913" s="57"/>
      <c r="G1913" s="58"/>
      <c r="H1913" s="58"/>
      <c r="I1913" s="57"/>
      <c r="J1913" s="57"/>
      <c r="K1913" s="57"/>
    </row>
    <row r="1914" spans="1:11" ht="19.5" customHeight="1" x14ac:dyDescent="0.3">
      <c r="A1914" s="46">
        <v>1911</v>
      </c>
      <c r="B1914" s="57" t="str">
        <f>IF(Tabla1[[#This Row],[TRABAJADOR]]="", "", VLOOKUP(Tabla1[[#This Row],[TRABAJADOR]], 'Colaborador ID'!B:C, 2, FALSE))</f>
        <v/>
      </c>
      <c r="C1914" s="56"/>
      <c r="D1914" s="57"/>
      <c r="E1914" s="57"/>
      <c r="F1914" s="57"/>
      <c r="G1914" s="58"/>
      <c r="H1914" s="58"/>
      <c r="I1914" s="57"/>
      <c r="J1914" s="57"/>
      <c r="K1914" s="57"/>
    </row>
    <row r="1915" spans="1:11" ht="19.5" customHeight="1" x14ac:dyDescent="0.3">
      <c r="A1915" s="46">
        <v>1912</v>
      </c>
      <c r="B1915" s="57" t="str">
        <f>IF(Tabla1[[#This Row],[TRABAJADOR]]="", "", VLOOKUP(Tabla1[[#This Row],[TRABAJADOR]], 'Colaborador ID'!B:C, 2, FALSE))</f>
        <v/>
      </c>
      <c r="C1915" s="56"/>
      <c r="D1915" s="57"/>
      <c r="E1915" s="57"/>
      <c r="F1915" s="57"/>
      <c r="G1915" s="58"/>
      <c r="H1915" s="58"/>
      <c r="I1915" s="57"/>
      <c r="J1915" s="57"/>
      <c r="K1915" s="57"/>
    </row>
    <row r="1916" spans="1:11" ht="19.5" customHeight="1" x14ac:dyDescent="0.3">
      <c r="A1916" s="46">
        <v>1913</v>
      </c>
      <c r="B1916" s="57" t="str">
        <f>IF(Tabla1[[#This Row],[TRABAJADOR]]="", "", VLOOKUP(Tabla1[[#This Row],[TRABAJADOR]], 'Colaborador ID'!B:C, 2, FALSE))</f>
        <v/>
      </c>
      <c r="C1916" s="56"/>
      <c r="D1916" s="57"/>
      <c r="E1916" s="57"/>
      <c r="F1916" s="57"/>
      <c r="G1916" s="58"/>
      <c r="H1916" s="58"/>
      <c r="I1916" s="57"/>
      <c r="J1916" s="57"/>
      <c r="K1916" s="57"/>
    </row>
    <row r="1917" spans="1:11" ht="19.5" customHeight="1" x14ac:dyDescent="0.3">
      <c r="A1917" s="46">
        <v>1914</v>
      </c>
      <c r="B1917" s="57" t="str">
        <f>IF(Tabla1[[#This Row],[TRABAJADOR]]="", "", VLOOKUP(Tabla1[[#This Row],[TRABAJADOR]], 'Colaborador ID'!B:C, 2, FALSE))</f>
        <v/>
      </c>
      <c r="C1917" s="56"/>
      <c r="D1917" s="57"/>
      <c r="E1917" s="57"/>
      <c r="F1917" s="57"/>
      <c r="G1917" s="58"/>
      <c r="H1917" s="58"/>
      <c r="I1917" s="57"/>
      <c r="J1917" s="57"/>
      <c r="K1917" s="57"/>
    </row>
    <row r="1918" spans="1:11" ht="19.5" customHeight="1" x14ac:dyDescent="0.3">
      <c r="A1918" s="46">
        <v>1915</v>
      </c>
      <c r="B1918" s="57" t="str">
        <f>IF(Tabla1[[#This Row],[TRABAJADOR]]="", "", VLOOKUP(Tabla1[[#This Row],[TRABAJADOR]], 'Colaborador ID'!B:C, 2, FALSE))</f>
        <v/>
      </c>
      <c r="C1918" s="56"/>
      <c r="D1918" s="57"/>
      <c r="E1918" s="57"/>
      <c r="F1918" s="57"/>
      <c r="G1918" s="58"/>
      <c r="H1918" s="58"/>
      <c r="I1918" s="57"/>
      <c r="J1918" s="57"/>
      <c r="K1918" s="57"/>
    </row>
    <row r="1919" spans="1:11" ht="19.5" customHeight="1" x14ac:dyDescent="0.3">
      <c r="A1919" s="46">
        <v>1916</v>
      </c>
      <c r="B1919" s="57" t="str">
        <f>IF(Tabla1[[#This Row],[TRABAJADOR]]="", "", VLOOKUP(Tabla1[[#This Row],[TRABAJADOR]], 'Colaborador ID'!B:C, 2, FALSE))</f>
        <v/>
      </c>
      <c r="C1919" s="56"/>
      <c r="D1919" s="57"/>
      <c r="E1919" s="57"/>
      <c r="F1919" s="57"/>
      <c r="G1919" s="58"/>
      <c r="H1919" s="58"/>
      <c r="I1919" s="57"/>
      <c r="J1919" s="57"/>
      <c r="K1919" s="57"/>
    </row>
    <row r="1920" spans="1:11" ht="19.5" customHeight="1" x14ac:dyDescent="0.3">
      <c r="A1920" s="46">
        <v>1917</v>
      </c>
      <c r="B1920" s="57" t="str">
        <f>IF(Tabla1[[#This Row],[TRABAJADOR]]="", "", VLOOKUP(Tabla1[[#This Row],[TRABAJADOR]], 'Colaborador ID'!B:C, 2, FALSE))</f>
        <v/>
      </c>
      <c r="C1920" s="56"/>
      <c r="D1920" s="57"/>
      <c r="E1920" s="57"/>
      <c r="F1920" s="57"/>
      <c r="G1920" s="58"/>
      <c r="H1920" s="58"/>
      <c r="I1920" s="57"/>
      <c r="J1920" s="57"/>
      <c r="K1920" s="57"/>
    </row>
    <row r="1921" spans="1:11" ht="19.5" customHeight="1" x14ac:dyDescent="0.3">
      <c r="A1921" s="46">
        <v>1918</v>
      </c>
      <c r="B1921" s="57" t="str">
        <f>IF(Tabla1[[#This Row],[TRABAJADOR]]="", "", VLOOKUP(Tabla1[[#This Row],[TRABAJADOR]], 'Colaborador ID'!B:C, 2, FALSE))</f>
        <v/>
      </c>
      <c r="C1921" s="56"/>
      <c r="D1921" s="57"/>
      <c r="E1921" s="57"/>
      <c r="F1921" s="57"/>
      <c r="G1921" s="58"/>
      <c r="H1921" s="58"/>
      <c r="I1921" s="57"/>
      <c r="J1921" s="57"/>
      <c r="K1921" s="57"/>
    </row>
    <row r="1922" spans="1:11" ht="19.5" customHeight="1" x14ac:dyDescent="0.3">
      <c r="A1922" s="46">
        <v>1919</v>
      </c>
      <c r="B1922" s="57" t="str">
        <f>IF(Tabla1[[#This Row],[TRABAJADOR]]="", "", VLOOKUP(Tabla1[[#This Row],[TRABAJADOR]], 'Colaborador ID'!B:C, 2, FALSE))</f>
        <v/>
      </c>
      <c r="C1922" s="56"/>
      <c r="D1922" s="57"/>
      <c r="E1922" s="57"/>
      <c r="F1922" s="57"/>
      <c r="G1922" s="58"/>
      <c r="H1922" s="58"/>
      <c r="I1922" s="57"/>
      <c r="J1922" s="57"/>
      <c r="K1922" s="57"/>
    </row>
    <row r="1923" spans="1:11" ht="19.5" customHeight="1" x14ac:dyDescent="0.3">
      <c r="A1923" s="46">
        <v>1920</v>
      </c>
      <c r="B1923" s="57" t="str">
        <f>IF(Tabla1[[#This Row],[TRABAJADOR]]="", "", VLOOKUP(Tabla1[[#This Row],[TRABAJADOR]], 'Colaborador ID'!B:C, 2, FALSE))</f>
        <v/>
      </c>
      <c r="C1923" s="56"/>
      <c r="D1923" s="57"/>
      <c r="E1923" s="57"/>
      <c r="F1923" s="57"/>
      <c r="G1923" s="58"/>
      <c r="H1923" s="58"/>
      <c r="I1923" s="57"/>
      <c r="J1923" s="57"/>
      <c r="K1923" s="57"/>
    </row>
    <row r="1924" spans="1:11" ht="19.5" customHeight="1" x14ac:dyDescent="0.3">
      <c r="A1924" s="46">
        <v>1921</v>
      </c>
      <c r="B1924" s="57" t="str">
        <f>IF(Tabla1[[#This Row],[TRABAJADOR]]="", "", VLOOKUP(Tabla1[[#This Row],[TRABAJADOR]], 'Colaborador ID'!B:C, 2, FALSE))</f>
        <v/>
      </c>
      <c r="C1924" s="56"/>
      <c r="D1924" s="57"/>
      <c r="E1924" s="57"/>
      <c r="F1924" s="57"/>
      <c r="G1924" s="58"/>
      <c r="H1924" s="58"/>
      <c r="I1924" s="57"/>
      <c r="J1924" s="57"/>
      <c r="K1924" s="57"/>
    </row>
    <row r="1925" spans="1:11" ht="19.5" customHeight="1" x14ac:dyDescent="0.3">
      <c r="A1925" s="46">
        <v>1922</v>
      </c>
      <c r="B1925" s="57" t="str">
        <f>IF(Tabla1[[#This Row],[TRABAJADOR]]="", "", VLOOKUP(Tabla1[[#This Row],[TRABAJADOR]], 'Colaborador ID'!B:C, 2, FALSE))</f>
        <v/>
      </c>
      <c r="C1925" s="56"/>
      <c r="D1925" s="57"/>
      <c r="E1925" s="57"/>
      <c r="F1925" s="57"/>
      <c r="G1925" s="58"/>
      <c r="H1925" s="58"/>
      <c r="I1925" s="57"/>
      <c r="J1925" s="57"/>
      <c r="K1925" s="57"/>
    </row>
    <row r="1926" spans="1:11" ht="19.5" customHeight="1" x14ac:dyDescent="0.3">
      <c r="A1926" s="46">
        <v>1923</v>
      </c>
      <c r="B1926" s="57" t="str">
        <f>IF(Tabla1[[#This Row],[TRABAJADOR]]="", "", VLOOKUP(Tabla1[[#This Row],[TRABAJADOR]], 'Colaborador ID'!B:C, 2, FALSE))</f>
        <v/>
      </c>
      <c r="C1926" s="56"/>
      <c r="D1926" s="57"/>
      <c r="E1926" s="57"/>
      <c r="F1926" s="57"/>
      <c r="G1926" s="58"/>
      <c r="H1926" s="58"/>
      <c r="I1926" s="57"/>
      <c r="J1926" s="57"/>
      <c r="K1926" s="57"/>
    </row>
    <row r="1927" spans="1:11" ht="19.5" customHeight="1" x14ac:dyDescent="0.3">
      <c r="A1927" s="46">
        <v>1924</v>
      </c>
      <c r="B1927" s="57" t="str">
        <f>IF(Tabla1[[#This Row],[TRABAJADOR]]="", "", VLOOKUP(Tabla1[[#This Row],[TRABAJADOR]], 'Colaborador ID'!B:C, 2, FALSE))</f>
        <v/>
      </c>
      <c r="C1927" s="56"/>
      <c r="D1927" s="57"/>
      <c r="E1927" s="57"/>
      <c r="F1927" s="57"/>
      <c r="G1927" s="58"/>
      <c r="H1927" s="58"/>
      <c r="I1927" s="57"/>
      <c r="J1927" s="57"/>
      <c r="K1927" s="57"/>
    </row>
    <row r="1928" spans="1:11" ht="19.5" customHeight="1" x14ac:dyDescent="0.3">
      <c r="A1928" s="46">
        <v>1925</v>
      </c>
      <c r="B1928" s="57" t="str">
        <f>IF(Tabla1[[#This Row],[TRABAJADOR]]="", "", VLOOKUP(Tabla1[[#This Row],[TRABAJADOR]], 'Colaborador ID'!B:C, 2, FALSE))</f>
        <v/>
      </c>
      <c r="C1928" s="56"/>
      <c r="D1928" s="57"/>
      <c r="E1928" s="57"/>
      <c r="F1928" s="57"/>
      <c r="G1928" s="58"/>
      <c r="H1928" s="58"/>
      <c r="I1928" s="57"/>
      <c r="J1928" s="57"/>
      <c r="K1928" s="57"/>
    </row>
    <row r="1929" spans="1:11" ht="19.5" customHeight="1" x14ac:dyDescent="0.3">
      <c r="A1929" s="46">
        <v>1926</v>
      </c>
      <c r="B1929" s="57" t="str">
        <f>IF(Tabla1[[#This Row],[TRABAJADOR]]="", "", VLOOKUP(Tabla1[[#This Row],[TRABAJADOR]], 'Colaborador ID'!B:C, 2, FALSE))</f>
        <v/>
      </c>
      <c r="C1929" s="56"/>
      <c r="D1929" s="57"/>
      <c r="E1929" s="57"/>
      <c r="F1929" s="57"/>
      <c r="G1929" s="58"/>
      <c r="H1929" s="58"/>
      <c r="I1929" s="57"/>
      <c r="J1929" s="57"/>
      <c r="K1929" s="57"/>
    </row>
    <row r="1930" spans="1:11" ht="19.5" customHeight="1" x14ac:dyDescent="0.3">
      <c r="A1930" s="46">
        <v>1927</v>
      </c>
      <c r="B1930" s="57" t="str">
        <f>IF(Tabla1[[#This Row],[TRABAJADOR]]="", "", VLOOKUP(Tabla1[[#This Row],[TRABAJADOR]], 'Colaborador ID'!B:C, 2, FALSE))</f>
        <v/>
      </c>
      <c r="C1930" s="56"/>
      <c r="D1930" s="57"/>
      <c r="E1930" s="57"/>
      <c r="F1930" s="57"/>
      <c r="G1930" s="58"/>
      <c r="H1930" s="58"/>
      <c r="I1930" s="57"/>
      <c r="J1930" s="57"/>
      <c r="K1930" s="57"/>
    </row>
    <row r="1931" spans="1:11" ht="19.5" customHeight="1" x14ac:dyDescent="0.3">
      <c r="A1931" s="46">
        <v>1928</v>
      </c>
      <c r="B1931" s="57" t="str">
        <f>IF(Tabla1[[#This Row],[TRABAJADOR]]="", "", VLOOKUP(Tabla1[[#This Row],[TRABAJADOR]], 'Colaborador ID'!B:C, 2, FALSE))</f>
        <v/>
      </c>
      <c r="C1931" s="56"/>
      <c r="D1931" s="57"/>
      <c r="E1931" s="57"/>
      <c r="F1931" s="57"/>
      <c r="G1931" s="58"/>
      <c r="H1931" s="58"/>
      <c r="I1931" s="57"/>
      <c r="J1931" s="57"/>
      <c r="K1931" s="57"/>
    </row>
    <row r="1932" spans="1:11" ht="19.5" customHeight="1" x14ac:dyDescent="0.3">
      <c r="A1932" s="46">
        <v>1929</v>
      </c>
      <c r="B1932" s="57" t="str">
        <f>IF(Tabla1[[#This Row],[TRABAJADOR]]="", "", VLOOKUP(Tabla1[[#This Row],[TRABAJADOR]], 'Colaborador ID'!B:C, 2, FALSE))</f>
        <v/>
      </c>
      <c r="C1932" s="56"/>
      <c r="D1932" s="57"/>
      <c r="E1932" s="57"/>
      <c r="F1932" s="57"/>
      <c r="G1932" s="58"/>
      <c r="H1932" s="58"/>
      <c r="I1932" s="57"/>
      <c r="J1932" s="57"/>
      <c r="K1932" s="57"/>
    </row>
    <row r="1933" spans="1:11" ht="19.5" customHeight="1" x14ac:dyDescent="0.3">
      <c r="A1933" s="46">
        <v>1930</v>
      </c>
      <c r="B1933" s="57" t="str">
        <f>IF(Tabla1[[#This Row],[TRABAJADOR]]="", "", VLOOKUP(Tabla1[[#This Row],[TRABAJADOR]], 'Colaborador ID'!B:C, 2, FALSE))</f>
        <v/>
      </c>
      <c r="C1933" s="56"/>
      <c r="D1933" s="57"/>
      <c r="E1933" s="57"/>
      <c r="F1933" s="57"/>
      <c r="G1933" s="58"/>
      <c r="H1933" s="58"/>
      <c r="I1933" s="57"/>
      <c r="J1933" s="57"/>
      <c r="K1933" s="57"/>
    </row>
    <row r="1934" spans="1:11" ht="19.5" customHeight="1" x14ac:dyDescent="0.3">
      <c r="A1934" s="46">
        <v>1931</v>
      </c>
      <c r="B1934" s="57" t="str">
        <f>IF(Tabla1[[#This Row],[TRABAJADOR]]="", "", VLOOKUP(Tabla1[[#This Row],[TRABAJADOR]], 'Colaborador ID'!B:C, 2, FALSE))</f>
        <v/>
      </c>
      <c r="C1934" s="56"/>
      <c r="D1934" s="57"/>
      <c r="E1934" s="57"/>
      <c r="F1934" s="57"/>
      <c r="G1934" s="58"/>
      <c r="H1934" s="58"/>
      <c r="I1934" s="57"/>
      <c r="J1934" s="57"/>
      <c r="K1934" s="57"/>
    </row>
    <row r="1935" spans="1:11" ht="19.5" customHeight="1" x14ac:dyDescent="0.3">
      <c r="A1935" s="46">
        <v>1932</v>
      </c>
      <c r="B1935" s="57" t="str">
        <f>IF(Tabla1[[#This Row],[TRABAJADOR]]="", "", VLOOKUP(Tabla1[[#This Row],[TRABAJADOR]], 'Colaborador ID'!B:C, 2, FALSE))</f>
        <v/>
      </c>
      <c r="C1935" s="56"/>
      <c r="D1935" s="57"/>
      <c r="E1935" s="57"/>
      <c r="F1935" s="57"/>
      <c r="G1935" s="58"/>
      <c r="H1935" s="58"/>
      <c r="I1935" s="57"/>
      <c r="J1935" s="57"/>
      <c r="K1935" s="57"/>
    </row>
    <row r="1936" spans="1:11" ht="19.5" customHeight="1" x14ac:dyDescent="0.3">
      <c r="A1936" s="46">
        <v>1933</v>
      </c>
      <c r="B1936" s="57" t="str">
        <f>IF(Tabla1[[#This Row],[TRABAJADOR]]="", "", VLOOKUP(Tabla1[[#This Row],[TRABAJADOR]], 'Colaborador ID'!B:C, 2, FALSE))</f>
        <v/>
      </c>
      <c r="C1936" s="56"/>
      <c r="D1936" s="57"/>
      <c r="E1936" s="57"/>
      <c r="F1936" s="57"/>
      <c r="G1936" s="58"/>
      <c r="H1936" s="58"/>
      <c r="I1936" s="57"/>
      <c r="J1936" s="57"/>
      <c r="K1936" s="57"/>
    </row>
    <row r="1937" spans="1:11" ht="19.5" customHeight="1" x14ac:dyDescent="0.3">
      <c r="A1937" s="46">
        <v>1934</v>
      </c>
      <c r="B1937" s="57" t="str">
        <f>IF(Tabla1[[#This Row],[TRABAJADOR]]="", "", VLOOKUP(Tabla1[[#This Row],[TRABAJADOR]], 'Colaborador ID'!B:C, 2, FALSE))</f>
        <v/>
      </c>
      <c r="C1937" s="56"/>
      <c r="D1937" s="57"/>
      <c r="E1937" s="57"/>
      <c r="F1937" s="57"/>
      <c r="G1937" s="58"/>
      <c r="H1937" s="58"/>
      <c r="I1937" s="57"/>
      <c r="J1937" s="57"/>
      <c r="K1937" s="57"/>
    </row>
    <row r="1938" spans="1:11" ht="19.5" customHeight="1" x14ac:dyDescent="0.3">
      <c r="A1938" s="46">
        <v>1935</v>
      </c>
      <c r="B1938" s="57" t="str">
        <f>IF(Tabla1[[#This Row],[TRABAJADOR]]="", "", VLOOKUP(Tabla1[[#This Row],[TRABAJADOR]], 'Colaborador ID'!B:C, 2, FALSE))</f>
        <v/>
      </c>
      <c r="C1938" s="56"/>
      <c r="D1938" s="57"/>
      <c r="E1938" s="57"/>
      <c r="F1938" s="57"/>
      <c r="G1938" s="58"/>
      <c r="H1938" s="58"/>
      <c r="I1938" s="57"/>
      <c r="J1938" s="57"/>
      <c r="K1938" s="57"/>
    </row>
    <row r="1939" spans="1:11" ht="19.5" customHeight="1" x14ac:dyDescent="0.3">
      <c r="A1939" s="46">
        <v>1936</v>
      </c>
      <c r="B1939" s="57" t="str">
        <f>IF(Tabla1[[#This Row],[TRABAJADOR]]="", "", VLOOKUP(Tabla1[[#This Row],[TRABAJADOR]], 'Colaborador ID'!B:C, 2, FALSE))</f>
        <v/>
      </c>
      <c r="C1939" s="56"/>
      <c r="D1939" s="57"/>
      <c r="E1939" s="57"/>
      <c r="F1939" s="57"/>
      <c r="G1939" s="58"/>
      <c r="H1939" s="58"/>
      <c r="I1939" s="57"/>
      <c r="J1939" s="57"/>
      <c r="K1939" s="57"/>
    </row>
    <row r="1940" spans="1:11" ht="19.5" customHeight="1" x14ac:dyDescent="0.3">
      <c r="A1940" s="46">
        <v>1937</v>
      </c>
      <c r="B1940" s="57" t="str">
        <f>IF(Tabla1[[#This Row],[TRABAJADOR]]="", "", VLOOKUP(Tabla1[[#This Row],[TRABAJADOR]], 'Colaborador ID'!B:C, 2, FALSE))</f>
        <v/>
      </c>
      <c r="C1940" s="56"/>
      <c r="D1940" s="57"/>
      <c r="E1940" s="57"/>
      <c r="F1940" s="57"/>
      <c r="G1940" s="58"/>
      <c r="H1940" s="58"/>
      <c r="I1940" s="57"/>
      <c r="J1940" s="57"/>
      <c r="K1940" s="57"/>
    </row>
    <row r="1941" spans="1:11" ht="19.5" customHeight="1" x14ac:dyDescent="0.3">
      <c r="A1941" s="46">
        <v>1938</v>
      </c>
      <c r="B1941" s="57" t="str">
        <f>IF(Tabla1[[#This Row],[TRABAJADOR]]="", "", VLOOKUP(Tabla1[[#This Row],[TRABAJADOR]], 'Colaborador ID'!B:C, 2, FALSE))</f>
        <v/>
      </c>
      <c r="C1941" s="56"/>
      <c r="D1941" s="57"/>
      <c r="E1941" s="57"/>
      <c r="F1941" s="57"/>
      <c r="G1941" s="58"/>
      <c r="H1941" s="58"/>
      <c r="I1941" s="57"/>
      <c r="J1941" s="57"/>
      <c r="K1941" s="57"/>
    </row>
    <row r="1942" spans="1:11" ht="19.5" customHeight="1" x14ac:dyDescent="0.3">
      <c r="A1942" s="46">
        <v>1939</v>
      </c>
      <c r="B1942" s="57" t="str">
        <f>IF(Tabla1[[#This Row],[TRABAJADOR]]="", "", VLOOKUP(Tabla1[[#This Row],[TRABAJADOR]], 'Colaborador ID'!B:C, 2, FALSE))</f>
        <v/>
      </c>
      <c r="C1942" s="56"/>
      <c r="D1942" s="57"/>
      <c r="E1942" s="57"/>
      <c r="F1942" s="57"/>
      <c r="G1942" s="58"/>
      <c r="H1942" s="58"/>
      <c r="I1942" s="57"/>
      <c r="J1942" s="57"/>
      <c r="K1942" s="57"/>
    </row>
    <row r="1943" spans="1:11" ht="19.5" customHeight="1" x14ac:dyDescent="0.3">
      <c r="A1943" s="46">
        <v>1940</v>
      </c>
      <c r="B1943" s="57" t="str">
        <f>IF(Tabla1[[#This Row],[TRABAJADOR]]="", "", VLOOKUP(Tabla1[[#This Row],[TRABAJADOR]], 'Colaborador ID'!B:C, 2, FALSE))</f>
        <v/>
      </c>
      <c r="C1943" s="56"/>
      <c r="D1943" s="57"/>
      <c r="E1943" s="57"/>
      <c r="F1943" s="57"/>
      <c r="G1943" s="58"/>
      <c r="H1943" s="58"/>
      <c r="I1943" s="57"/>
      <c r="J1943" s="57"/>
      <c r="K1943" s="57"/>
    </row>
    <row r="1944" spans="1:11" ht="19.5" customHeight="1" x14ac:dyDescent="0.3">
      <c r="A1944" s="46">
        <v>1941</v>
      </c>
      <c r="B1944" s="57" t="str">
        <f>IF(Tabla1[[#This Row],[TRABAJADOR]]="", "", VLOOKUP(Tabla1[[#This Row],[TRABAJADOR]], 'Colaborador ID'!B:C, 2, FALSE))</f>
        <v/>
      </c>
      <c r="C1944" s="56"/>
      <c r="D1944" s="57"/>
      <c r="E1944" s="57"/>
      <c r="F1944" s="57"/>
      <c r="G1944" s="58"/>
      <c r="H1944" s="58"/>
      <c r="I1944" s="57"/>
      <c r="J1944" s="57"/>
      <c r="K1944" s="57"/>
    </row>
    <row r="1945" spans="1:11" ht="19.5" customHeight="1" x14ac:dyDescent="0.3">
      <c r="A1945" s="46">
        <v>1942</v>
      </c>
      <c r="B1945" s="57" t="str">
        <f>IF(Tabla1[[#This Row],[TRABAJADOR]]="", "", VLOOKUP(Tabla1[[#This Row],[TRABAJADOR]], 'Colaborador ID'!B:C, 2, FALSE))</f>
        <v/>
      </c>
      <c r="C1945" s="56"/>
      <c r="D1945" s="57"/>
      <c r="E1945" s="57"/>
      <c r="F1945" s="57"/>
      <c r="G1945" s="58"/>
      <c r="H1945" s="58"/>
      <c r="I1945" s="57"/>
      <c r="J1945" s="57"/>
      <c r="K1945" s="57"/>
    </row>
    <row r="1946" spans="1:11" ht="19.5" customHeight="1" x14ac:dyDescent="0.3">
      <c r="A1946" s="46">
        <v>1943</v>
      </c>
      <c r="B1946" s="57" t="str">
        <f>IF(Tabla1[[#This Row],[TRABAJADOR]]="", "", VLOOKUP(Tabla1[[#This Row],[TRABAJADOR]], 'Colaborador ID'!B:C, 2, FALSE))</f>
        <v/>
      </c>
      <c r="C1946" s="56"/>
      <c r="D1946" s="57"/>
      <c r="E1946" s="57"/>
      <c r="F1946" s="57"/>
      <c r="G1946" s="58"/>
      <c r="H1946" s="58"/>
      <c r="I1946" s="57"/>
      <c r="J1946" s="57"/>
      <c r="K1946" s="57"/>
    </row>
    <row r="1947" spans="1:11" ht="19.5" customHeight="1" x14ac:dyDescent="0.3">
      <c r="A1947" s="46">
        <v>1944</v>
      </c>
      <c r="B1947" s="57" t="str">
        <f>IF(Tabla1[[#This Row],[TRABAJADOR]]="", "", VLOOKUP(Tabla1[[#This Row],[TRABAJADOR]], 'Colaborador ID'!B:C, 2, FALSE))</f>
        <v/>
      </c>
      <c r="C1947" s="56"/>
      <c r="D1947" s="57"/>
      <c r="E1947" s="57"/>
      <c r="F1947" s="57"/>
      <c r="G1947" s="58"/>
      <c r="H1947" s="58"/>
      <c r="I1947" s="57"/>
      <c r="J1947" s="57"/>
      <c r="K1947" s="57"/>
    </row>
    <row r="1948" spans="1:11" ht="19.5" customHeight="1" x14ac:dyDescent="0.3">
      <c r="A1948" s="46">
        <v>1945</v>
      </c>
      <c r="B1948" s="57" t="str">
        <f>IF(Tabla1[[#This Row],[TRABAJADOR]]="", "", VLOOKUP(Tabla1[[#This Row],[TRABAJADOR]], 'Colaborador ID'!B:C, 2, FALSE))</f>
        <v/>
      </c>
      <c r="C1948" s="56"/>
      <c r="D1948" s="57"/>
      <c r="E1948" s="57"/>
      <c r="F1948" s="57"/>
      <c r="G1948" s="58"/>
      <c r="H1948" s="58"/>
      <c r="I1948" s="57"/>
      <c r="J1948" s="57"/>
      <c r="K1948" s="57"/>
    </row>
    <row r="1949" spans="1:11" ht="19.5" customHeight="1" x14ac:dyDescent="0.3">
      <c r="A1949" s="46">
        <v>1946</v>
      </c>
      <c r="B1949" s="57" t="str">
        <f>IF(Tabla1[[#This Row],[TRABAJADOR]]="", "", VLOOKUP(Tabla1[[#This Row],[TRABAJADOR]], 'Colaborador ID'!B:C, 2, FALSE))</f>
        <v/>
      </c>
      <c r="C1949" s="56"/>
      <c r="D1949" s="57"/>
      <c r="E1949" s="57"/>
      <c r="F1949" s="57"/>
      <c r="G1949" s="58"/>
      <c r="H1949" s="58"/>
      <c r="I1949" s="57"/>
      <c r="J1949" s="57"/>
      <c r="K1949" s="57"/>
    </row>
    <row r="1950" spans="1:11" ht="19.5" customHeight="1" x14ac:dyDescent="0.3">
      <c r="A1950" s="46">
        <v>1947</v>
      </c>
      <c r="B1950" s="57" t="str">
        <f>IF(Tabla1[[#This Row],[TRABAJADOR]]="", "", VLOOKUP(Tabla1[[#This Row],[TRABAJADOR]], 'Colaborador ID'!B:C, 2, FALSE))</f>
        <v/>
      </c>
      <c r="C1950" s="56"/>
      <c r="D1950" s="57"/>
      <c r="E1950" s="57"/>
      <c r="F1950" s="57"/>
      <c r="G1950" s="58"/>
      <c r="H1950" s="58"/>
      <c r="I1950" s="57"/>
      <c r="J1950" s="57"/>
      <c r="K1950" s="57"/>
    </row>
    <row r="1951" spans="1:11" ht="19.5" customHeight="1" x14ac:dyDescent="0.3">
      <c r="A1951" s="46">
        <v>1948</v>
      </c>
      <c r="B1951" s="57" t="str">
        <f>IF(Tabla1[[#This Row],[TRABAJADOR]]="", "", VLOOKUP(Tabla1[[#This Row],[TRABAJADOR]], 'Colaborador ID'!B:C, 2, FALSE))</f>
        <v/>
      </c>
      <c r="C1951" s="56"/>
      <c r="D1951" s="57"/>
      <c r="E1951" s="57"/>
      <c r="F1951" s="57"/>
      <c r="G1951" s="58"/>
      <c r="H1951" s="58"/>
      <c r="I1951" s="57"/>
      <c r="J1951" s="57"/>
      <c r="K1951" s="57"/>
    </row>
    <row r="1952" spans="1:11" ht="19.5" customHeight="1" x14ac:dyDescent="0.3">
      <c r="A1952" s="46">
        <v>1949</v>
      </c>
      <c r="B1952" s="57" t="str">
        <f>IF(Tabla1[[#This Row],[TRABAJADOR]]="", "", VLOOKUP(Tabla1[[#This Row],[TRABAJADOR]], 'Colaborador ID'!B:C, 2, FALSE))</f>
        <v/>
      </c>
      <c r="C1952" s="56"/>
      <c r="D1952" s="57"/>
      <c r="E1952" s="57"/>
      <c r="F1952" s="57"/>
      <c r="G1952" s="58"/>
      <c r="H1952" s="58"/>
      <c r="I1952" s="57"/>
      <c r="J1952" s="57"/>
      <c r="K1952" s="57"/>
    </row>
    <row r="1953" spans="1:11" ht="19.5" customHeight="1" x14ac:dyDescent="0.3">
      <c r="A1953" s="46">
        <v>1950</v>
      </c>
      <c r="B1953" s="57" t="str">
        <f>IF(Tabla1[[#This Row],[TRABAJADOR]]="", "", VLOOKUP(Tabla1[[#This Row],[TRABAJADOR]], 'Colaborador ID'!B:C, 2, FALSE))</f>
        <v/>
      </c>
      <c r="C1953" s="56"/>
      <c r="D1953" s="57"/>
      <c r="E1953" s="57"/>
      <c r="F1953" s="57"/>
      <c r="G1953" s="58"/>
      <c r="H1953" s="58"/>
      <c r="I1953" s="57"/>
      <c r="J1953" s="57"/>
      <c r="K1953" s="57"/>
    </row>
    <row r="1954" spans="1:11" ht="19.5" customHeight="1" x14ac:dyDescent="0.3">
      <c r="A1954" s="46">
        <v>1951</v>
      </c>
      <c r="B1954" s="57" t="str">
        <f>IF(Tabla1[[#This Row],[TRABAJADOR]]="", "", VLOOKUP(Tabla1[[#This Row],[TRABAJADOR]], 'Colaborador ID'!B:C, 2, FALSE))</f>
        <v/>
      </c>
      <c r="C1954" s="56"/>
      <c r="D1954" s="57"/>
      <c r="E1954" s="57"/>
      <c r="F1954" s="57"/>
      <c r="G1954" s="58"/>
      <c r="H1954" s="58"/>
      <c r="I1954" s="57"/>
      <c r="J1954" s="57"/>
      <c r="K1954" s="57"/>
    </row>
    <row r="1955" spans="1:11" ht="19.5" customHeight="1" x14ac:dyDescent="0.3">
      <c r="A1955" s="46">
        <v>1952</v>
      </c>
      <c r="B1955" s="57" t="str">
        <f>IF(Tabla1[[#This Row],[TRABAJADOR]]="", "", VLOOKUP(Tabla1[[#This Row],[TRABAJADOR]], 'Colaborador ID'!B:C, 2, FALSE))</f>
        <v/>
      </c>
      <c r="C1955" s="56"/>
      <c r="D1955" s="57"/>
      <c r="E1955" s="57"/>
      <c r="F1955" s="57"/>
      <c r="G1955" s="58"/>
      <c r="H1955" s="58"/>
      <c r="I1955" s="57"/>
      <c r="J1955" s="57"/>
      <c r="K1955" s="57"/>
    </row>
    <row r="1956" spans="1:11" ht="19.5" customHeight="1" x14ac:dyDescent="0.3">
      <c r="A1956" s="46">
        <v>1953</v>
      </c>
      <c r="B1956" s="57" t="str">
        <f>IF(Tabla1[[#This Row],[TRABAJADOR]]="", "", VLOOKUP(Tabla1[[#This Row],[TRABAJADOR]], 'Colaborador ID'!B:C, 2, FALSE))</f>
        <v/>
      </c>
      <c r="C1956" s="56"/>
      <c r="D1956" s="57"/>
      <c r="E1956" s="57"/>
      <c r="F1956" s="57"/>
      <c r="G1956" s="58"/>
      <c r="H1956" s="58"/>
      <c r="I1956" s="57"/>
      <c r="J1956" s="57"/>
      <c r="K1956" s="57"/>
    </row>
    <row r="1957" spans="1:11" ht="19.5" customHeight="1" x14ac:dyDescent="0.3">
      <c r="A1957" s="46">
        <v>1954</v>
      </c>
      <c r="B1957" s="57" t="str">
        <f>IF(Tabla1[[#This Row],[TRABAJADOR]]="", "", VLOOKUP(Tabla1[[#This Row],[TRABAJADOR]], 'Colaborador ID'!B:C, 2, FALSE))</f>
        <v/>
      </c>
      <c r="C1957" s="56"/>
      <c r="D1957" s="57"/>
      <c r="E1957" s="57"/>
      <c r="F1957" s="57"/>
      <c r="G1957" s="58"/>
      <c r="H1957" s="58"/>
      <c r="I1957" s="57"/>
      <c r="J1957" s="57"/>
      <c r="K1957" s="57"/>
    </row>
    <row r="1958" spans="1:11" ht="19.5" customHeight="1" x14ac:dyDescent="0.3">
      <c r="A1958" s="46">
        <v>1955</v>
      </c>
      <c r="B1958" s="57" t="str">
        <f>IF(Tabla1[[#This Row],[TRABAJADOR]]="", "", VLOOKUP(Tabla1[[#This Row],[TRABAJADOR]], 'Colaborador ID'!B:C, 2, FALSE))</f>
        <v/>
      </c>
      <c r="C1958" s="56"/>
      <c r="D1958" s="57"/>
      <c r="E1958" s="57"/>
      <c r="F1958" s="57"/>
      <c r="G1958" s="58"/>
      <c r="H1958" s="58"/>
      <c r="I1958" s="57"/>
      <c r="J1958" s="57"/>
      <c r="K1958" s="57"/>
    </row>
    <row r="1959" spans="1:11" ht="19.5" customHeight="1" x14ac:dyDescent="0.3">
      <c r="A1959" s="46">
        <v>1956</v>
      </c>
      <c r="B1959" s="57" t="str">
        <f>IF(Tabla1[[#This Row],[TRABAJADOR]]="", "", VLOOKUP(Tabla1[[#This Row],[TRABAJADOR]], 'Colaborador ID'!B:C, 2, FALSE))</f>
        <v/>
      </c>
      <c r="C1959" s="56"/>
      <c r="D1959" s="57"/>
      <c r="E1959" s="57"/>
      <c r="F1959" s="57"/>
      <c r="G1959" s="58"/>
      <c r="H1959" s="58"/>
      <c r="I1959" s="57"/>
      <c r="J1959" s="57"/>
      <c r="K1959" s="57"/>
    </row>
    <row r="1960" spans="1:11" ht="19.5" customHeight="1" x14ac:dyDescent="0.3">
      <c r="A1960" s="46">
        <v>1957</v>
      </c>
      <c r="B1960" s="57" t="str">
        <f>IF(Tabla1[[#This Row],[TRABAJADOR]]="", "", VLOOKUP(Tabla1[[#This Row],[TRABAJADOR]], 'Colaborador ID'!B:C, 2, FALSE))</f>
        <v/>
      </c>
      <c r="C1960" s="56"/>
      <c r="D1960" s="57"/>
      <c r="E1960" s="57"/>
      <c r="F1960" s="57"/>
      <c r="G1960" s="58"/>
      <c r="H1960" s="58"/>
      <c r="I1960" s="57"/>
      <c r="J1960" s="57"/>
      <c r="K1960" s="57"/>
    </row>
    <row r="1961" spans="1:11" ht="19.5" customHeight="1" x14ac:dyDescent="0.3">
      <c r="A1961" s="46">
        <v>1958</v>
      </c>
      <c r="B1961" s="57" t="str">
        <f>IF(Tabla1[[#This Row],[TRABAJADOR]]="", "", VLOOKUP(Tabla1[[#This Row],[TRABAJADOR]], 'Colaborador ID'!B:C, 2, FALSE))</f>
        <v/>
      </c>
      <c r="C1961" s="56"/>
      <c r="D1961" s="57"/>
      <c r="E1961" s="57"/>
      <c r="F1961" s="57"/>
      <c r="G1961" s="58"/>
      <c r="H1961" s="58"/>
      <c r="I1961" s="57"/>
      <c r="J1961" s="57"/>
      <c r="K1961" s="57"/>
    </row>
    <row r="1962" spans="1:11" ht="19.5" customHeight="1" x14ac:dyDescent="0.3">
      <c r="A1962" s="46">
        <v>1959</v>
      </c>
      <c r="B1962" s="57" t="str">
        <f>IF(Tabla1[[#This Row],[TRABAJADOR]]="", "", VLOOKUP(Tabla1[[#This Row],[TRABAJADOR]], 'Colaborador ID'!B:C, 2, FALSE))</f>
        <v/>
      </c>
      <c r="C1962" s="56"/>
      <c r="D1962" s="57"/>
      <c r="E1962" s="57"/>
      <c r="F1962" s="57"/>
      <c r="G1962" s="58"/>
      <c r="H1962" s="58"/>
      <c r="I1962" s="57"/>
      <c r="J1962" s="57"/>
      <c r="K1962" s="57"/>
    </row>
    <row r="1963" spans="1:11" ht="19.5" customHeight="1" x14ac:dyDescent="0.3">
      <c r="A1963" s="46">
        <v>1960</v>
      </c>
      <c r="B1963" s="57" t="str">
        <f>IF(Tabla1[[#This Row],[TRABAJADOR]]="", "", VLOOKUP(Tabla1[[#This Row],[TRABAJADOR]], 'Colaborador ID'!B:C, 2, FALSE))</f>
        <v/>
      </c>
      <c r="C1963" s="56"/>
      <c r="D1963" s="57"/>
      <c r="E1963" s="57"/>
      <c r="F1963" s="57"/>
      <c r="G1963" s="58"/>
      <c r="H1963" s="58"/>
      <c r="I1963" s="57"/>
      <c r="J1963" s="57"/>
      <c r="K1963" s="57"/>
    </row>
    <row r="1964" spans="1:11" ht="19.5" customHeight="1" x14ac:dyDescent="0.3">
      <c r="A1964" s="46">
        <v>1961</v>
      </c>
      <c r="B1964" s="57" t="str">
        <f>IF(Tabla1[[#This Row],[TRABAJADOR]]="", "", VLOOKUP(Tabla1[[#This Row],[TRABAJADOR]], 'Colaborador ID'!B:C, 2, FALSE))</f>
        <v/>
      </c>
      <c r="C1964" s="56"/>
      <c r="D1964" s="57"/>
      <c r="E1964" s="57"/>
      <c r="F1964" s="57"/>
      <c r="G1964" s="58"/>
      <c r="H1964" s="58"/>
      <c r="I1964" s="57"/>
      <c r="J1964" s="57"/>
      <c r="K1964" s="57"/>
    </row>
    <row r="1965" spans="1:11" ht="19.5" customHeight="1" x14ac:dyDescent="0.3">
      <c r="A1965" s="46">
        <v>1962</v>
      </c>
      <c r="B1965" s="57" t="str">
        <f>IF(Tabla1[[#This Row],[TRABAJADOR]]="", "", VLOOKUP(Tabla1[[#This Row],[TRABAJADOR]], 'Colaborador ID'!B:C, 2, FALSE))</f>
        <v/>
      </c>
      <c r="C1965" s="56"/>
      <c r="D1965" s="57"/>
      <c r="E1965" s="57"/>
      <c r="F1965" s="57"/>
      <c r="G1965" s="58"/>
      <c r="H1965" s="58"/>
      <c r="I1965" s="57"/>
      <c r="J1965" s="57"/>
      <c r="K1965" s="57"/>
    </row>
    <row r="1966" spans="1:11" ht="19.5" customHeight="1" x14ac:dyDescent="0.3">
      <c r="A1966" s="46">
        <v>1963</v>
      </c>
      <c r="B1966" s="57" t="str">
        <f>IF(Tabla1[[#This Row],[TRABAJADOR]]="", "", VLOOKUP(Tabla1[[#This Row],[TRABAJADOR]], 'Colaborador ID'!B:C, 2, FALSE))</f>
        <v/>
      </c>
      <c r="C1966" s="56"/>
      <c r="D1966" s="57"/>
      <c r="E1966" s="57"/>
      <c r="F1966" s="57"/>
      <c r="G1966" s="58"/>
      <c r="H1966" s="58"/>
      <c r="I1966" s="57"/>
      <c r="J1966" s="57"/>
      <c r="K1966" s="57"/>
    </row>
    <row r="1967" spans="1:11" ht="19.5" customHeight="1" x14ac:dyDescent="0.3">
      <c r="A1967" s="46">
        <v>1964</v>
      </c>
      <c r="B1967" s="57" t="str">
        <f>IF(Tabla1[[#This Row],[TRABAJADOR]]="", "", VLOOKUP(Tabla1[[#This Row],[TRABAJADOR]], 'Colaborador ID'!B:C, 2, FALSE))</f>
        <v/>
      </c>
      <c r="C1967" s="56"/>
      <c r="D1967" s="57"/>
      <c r="E1967" s="57"/>
      <c r="F1967" s="57"/>
      <c r="G1967" s="58"/>
      <c r="H1967" s="58"/>
      <c r="I1967" s="57"/>
      <c r="J1967" s="57"/>
      <c r="K1967" s="57"/>
    </row>
    <row r="1968" spans="1:11" ht="19.5" customHeight="1" x14ac:dyDescent="0.3">
      <c r="A1968" s="46">
        <v>1965</v>
      </c>
      <c r="B1968" s="57" t="str">
        <f>IF(Tabla1[[#This Row],[TRABAJADOR]]="", "", VLOOKUP(Tabla1[[#This Row],[TRABAJADOR]], 'Colaborador ID'!B:C, 2, FALSE))</f>
        <v/>
      </c>
      <c r="C1968" s="56"/>
      <c r="D1968" s="57"/>
      <c r="E1968" s="57"/>
      <c r="F1968" s="57"/>
      <c r="G1968" s="58"/>
      <c r="H1968" s="58"/>
      <c r="I1968" s="57"/>
      <c r="J1968" s="57"/>
      <c r="K1968" s="57"/>
    </row>
    <row r="1969" spans="1:11" ht="19.5" customHeight="1" x14ac:dyDescent="0.3">
      <c r="A1969" s="46">
        <v>1966</v>
      </c>
      <c r="B1969" s="57" t="str">
        <f>IF(Tabla1[[#This Row],[TRABAJADOR]]="", "", VLOOKUP(Tabla1[[#This Row],[TRABAJADOR]], 'Colaborador ID'!B:C, 2, FALSE))</f>
        <v/>
      </c>
      <c r="C1969" s="56"/>
      <c r="D1969" s="57"/>
      <c r="E1969" s="57"/>
      <c r="F1969" s="57"/>
      <c r="G1969" s="58"/>
      <c r="H1969" s="58"/>
      <c r="I1969" s="57"/>
      <c r="J1969" s="57"/>
      <c r="K1969" s="57"/>
    </row>
    <row r="1970" spans="1:11" ht="19.5" customHeight="1" x14ac:dyDescent="0.3">
      <c r="A1970" s="46">
        <v>1967</v>
      </c>
      <c r="B1970" s="57" t="str">
        <f>IF(Tabla1[[#This Row],[TRABAJADOR]]="", "", VLOOKUP(Tabla1[[#This Row],[TRABAJADOR]], 'Colaborador ID'!B:C, 2, FALSE))</f>
        <v/>
      </c>
      <c r="C1970" s="56"/>
      <c r="D1970" s="57"/>
      <c r="E1970" s="57"/>
      <c r="F1970" s="57"/>
      <c r="G1970" s="58"/>
      <c r="H1970" s="58"/>
      <c r="I1970" s="57"/>
      <c r="J1970" s="57"/>
      <c r="K1970" s="57"/>
    </row>
    <row r="1971" spans="1:11" ht="19.5" customHeight="1" x14ac:dyDescent="0.3">
      <c r="A1971" s="46">
        <v>1968</v>
      </c>
      <c r="B1971" s="57" t="str">
        <f>IF(Tabla1[[#This Row],[TRABAJADOR]]="", "", VLOOKUP(Tabla1[[#This Row],[TRABAJADOR]], 'Colaborador ID'!B:C, 2, FALSE))</f>
        <v/>
      </c>
      <c r="C1971" s="56"/>
      <c r="D1971" s="57"/>
      <c r="E1971" s="57"/>
      <c r="F1971" s="57"/>
      <c r="G1971" s="58"/>
      <c r="H1971" s="58"/>
      <c r="I1971" s="57"/>
      <c r="J1971" s="57"/>
      <c r="K1971" s="57"/>
    </row>
    <row r="1972" spans="1:11" ht="19.5" customHeight="1" x14ac:dyDescent="0.3">
      <c r="A1972" s="46">
        <v>1969</v>
      </c>
      <c r="B1972" s="57" t="str">
        <f>IF(Tabla1[[#This Row],[TRABAJADOR]]="", "", VLOOKUP(Tabla1[[#This Row],[TRABAJADOR]], 'Colaborador ID'!B:C, 2, FALSE))</f>
        <v/>
      </c>
      <c r="C1972" s="56"/>
      <c r="D1972" s="57"/>
      <c r="E1972" s="57"/>
      <c r="F1972" s="57"/>
      <c r="G1972" s="58"/>
      <c r="H1972" s="58"/>
      <c r="I1972" s="57"/>
      <c r="J1972" s="57"/>
      <c r="K1972" s="57"/>
    </row>
    <row r="1973" spans="1:11" ht="19.5" customHeight="1" x14ac:dyDescent="0.3">
      <c r="A1973" s="46">
        <v>1970</v>
      </c>
      <c r="B1973" s="57" t="str">
        <f>IF(Tabla1[[#This Row],[TRABAJADOR]]="", "", VLOOKUP(Tabla1[[#This Row],[TRABAJADOR]], 'Colaborador ID'!B:C, 2, FALSE))</f>
        <v/>
      </c>
      <c r="C1973" s="56"/>
      <c r="D1973" s="57"/>
      <c r="E1973" s="57"/>
      <c r="F1973" s="57"/>
      <c r="G1973" s="58"/>
      <c r="H1973" s="58"/>
      <c r="I1973" s="57"/>
      <c r="J1973" s="57"/>
      <c r="K1973" s="57"/>
    </row>
    <row r="1974" spans="1:11" ht="19.5" customHeight="1" x14ac:dyDescent="0.3">
      <c r="A1974" s="46">
        <v>1971</v>
      </c>
      <c r="B1974" s="57" t="str">
        <f>IF(Tabla1[[#This Row],[TRABAJADOR]]="", "", VLOOKUP(Tabla1[[#This Row],[TRABAJADOR]], 'Colaborador ID'!B:C, 2, FALSE))</f>
        <v/>
      </c>
      <c r="C1974" s="56"/>
      <c r="D1974" s="57"/>
      <c r="E1974" s="57"/>
      <c r="F1974" s="57"/>
      <c r="G1974" s="58"/>
      <c r="H1974" s="58"/>
      <c r="I1974" s="57"/>
      <c r="J1974" s="57"/>
      <c r="K1974" s="57"/>
    </row>
    <row r="1975" spans="1:11" ht="19.5" customHeight="1" x14ac:dyDescent="0.3">
      <c r="A1975" s="46">
        <v>1972</v>
      </c>
      <c r="B1975" s="57" t="str">
        <f>IF(Tabla1[[#This Row],[TRABAJADOR]]="", "", VLOOKUP(Tabla1[[#This Row],[TRABAJADOR]], 'Colaborador ID'!B:C, 2, FALSE))</f>
        <v/>
      </c>
      <c r="C1975" s="56"/>
      <c r="D1975" s="57"/>
      <c r="E1975" s="57"/>
      <c r="F1975" s="57"/>
      <c r="G1975" s="58"/>
      <c r="H1975" s="58"/>
      <c r="I1975" s="57"/>
      <c r="J1975" s="57"/>
      <c r="K1975" s="57"/>
    </row>
    <row r="1976" spans="1:11" ht="19.5" customHeight="1" x14ac:dyDescent="0.3">
      <c r="A1976" s="46">
        <v>1973</v>
      </c>
      <c r="B1976" s="57" t="str">
        <f>IF(Tabla1[[#This Row],[TRABAJADOR]]="", "", VLOOKUP(Tabla1[[#This Row],[TRABAJADOR]], 'Colaborador ID'!B:C, 2, FALSE))</f>
        <v/>
      </c>
      <c r="C1976" s="56"/>
      <c r="D1976" s="57"/>
      <c r="E1976" s="57"/>
      <c r="F1976" s="57"/>
      <c r="G1976" s="58"/>
      <c r="H1976" s="58"/>
      <c r="I1976" s="57"/>
      <c r="J1976" s="57"/>
      <c r="K1976" s="57"/>
    </row>
    <row r="1977" spans="1:11" ht="19.5" customHeight="1" x14ac:dyDescent="0.3">
      <c r="A1977" s="46">
        <v>1974</v>
      </c>
      <c r="B1977" s="57" t="str">
        <f>IF(Tabla1[[#This Row],[TRABAJADOR]]="", "", VLOOKUP(Tabla1[[#This Row],[TRABAJADOR]], 'Colaborador ID'!B:C, 2, FALSE))</f>
        <v/>
      </c>
      <c r="C1977" s="56"/>
      <c r="D1977" s="57"/>
      <c r="E1977" s="57"/>
      <c r="F1977" s="57"/>
      <c r="G1977" s="58"/>
      <c r="H1977" s="58"/>
      <c r="I1977" s="57"/>
      <c r="J1977" s="57"/>
      <c r="K1977" s="57"/>
    </row>
    <row r="1978" spans="1:11" ht="19.5" customHeight="1" x14ac:dyDescent="0.3">
      <c r="A1978" s="46">
        <v>1975</v>
      </c>
      <c r="B1978" s="57" t="str">
        <f>IF(Tabla1[[#This Row],[TRABAJADOR]]="", "", VLOOKUP(Tabla1[[#This Row],[TRABAJADOR]], 'Colaborador ID'!B:C, 2, FALSE))</f>
        <v/>
      </c>
      <c r="C1978" s="56"/>
      <c r="D1978" s="57"/>
      <c r="E1978" s="57"/>
      <c r="F1978" s="57"/>
      <c r="G1978" s="58"/>
      <c r="H1978" s="58"/>
      <c r="I1978" s="57"/>
      <c r="J1978" s="57"/>
      <c r="K1978" s="57"/>
    </row>
    <row r="1979" spans="1:11" ht="19.5" customHeight="1" x14ac:dyDescent="0.3">
      <c r="A1979" s="46">
        <v>1976</v>
      </c>
      <c r="B1979" s="57" t="str">
        <f>IF(Tabla1[[#This Row],[TRABAJADOR]]="", "", VLOOKUP(Tabla1[[#This Row],[TRABAJADOR]], 'Colaborador ID'!B:C, 2, FALSE))</f>
        <v/>
      </c>
      <c r="C1979" s="56"/>
      <c r="D1979" s="57"/>
      <c r="E1979" s="57"/>
      <c r="F1979" s="57"/>
      <c r="G1979" s="58"/>
      <c r="H1979" s="58"/>
      <c r="I1979" s="57"/>
      <c r="J1979" s="57"/>
      <c r="K1979" s="57"/>
    </row>
    <row r="1980" spans="1:11" ht="19.5" customHeight="1" x14ac:dyDescent="0.3">
      <c r="A1980" s="46">
        <v>1977</v>
      </c>
      <c r="B1980" s="57" t="str">
        <f>IF(Tabla1[[#This Row],[TRABAJADOR]]="", "", VLOOKUP(Tabla1[[#This Row],[TRABAJADOR]], 'Colaborador ID'!B:C, 2, FALSE))</f>
        <v/>
      </c>
      <c r="C1980" s="56"/>
      <c r="D1980" s="57"/>
      <c r="E1980" s="57"/>
      <c r="F1980" s="57"/>
      <c r="G1980" s="58"/>
      <c r="H1980" s="58"/>
      <c r="I1980" s="57"/>
      <c r="J1980" s="57"/>
      <c r="K1980" s="57"/>
    </row>
    <row r="1981" spans="1:11" ht="19.5" customHeight="1" x14ac:dyDescent="0.3">
      <c r="A1981" s="46">
        <v>1978</v>
      </c>
      <c r="B1981" s="57" t="str">
        <f>IF(Tabla1[[#This Row],[TRABAJADOR]]="", "", VLOOKUP(Tabla1[[#This Row],[TRABAJADOR]], 'Colaborador ID'!B:C, 2, FALSE))</f>
        <v/>
      </c>
      <c r="C1981" s="56"/>
      <c r="D1981" s="57"/>
      <c r="E1981" s="57"/>
      <c r="F1981" s="57"/>
      <c r="G1981" s="58"/>
      <c r="H1981" s="58"/>
      <c r="I1981" s="57"/>
      <c r="J1981" s="57"/>
      <c r="K1981" s="57"/>
    </row>
    <row r="1982" spans="1:11" ht="19.5" customHeight="1" x14ac:dyDescent="0.3">
      <c r="A1982" s="46">
        <v>1979</v>
      </c>
      <c r="B1982" s="57" t="str">
        <f>IF(Tabla1[[#This Row],[TRABAJADOR]]="", "", VLOOKUP(Tabla1[[#This Row],[TRABAJADOR]], 'Colaborador ID'!B:C, 2, FALSE))</f>
        <v/>
      </c>
      <c r="C1982" s="56"/>
      <c r="D1982" s="57"/>
      <c r="E1982" s="57"/>
      <c r="F1982" s="57"/>
      <c r="G1982" s="58"/>
      <c r="H1982" s="58"/>
      <c r="I1982" s="57"/>
      <c r="J1982" s="57"/>
      <c r="K1982" s="57"/>
    </row>
    <row r="1983" spans="1:11" ht="19.5" customHeight="1" x14ac:dyDescent="0.3">
      <c r="A1983" s="46">
        <v>1980</v>
      </c>
      <c r="B1983" s="57" t="str">
        <f>IF(Tabla1[[#This Row],[TRABAJADOR]]="", "", VLOOKUP(Tabla1[[#This Row],[TRABAJADOR]], 'Colaborador ID'!B:C, 2, FALSE))</f>
        <v/>
      </c>
      <c r="C1983" s="56"/>
      <c r="D1983" s="57"/>
      <c r="E1983" s="57"/>
      <c r="F1983" s="57"/>
      <c r="G1983" s="58"/>
      <c r="H1983" s="58"/>
      <c r="I1983" s="57"/>
      <c r="J1983" s="57"/>
      <c r="K1983" s="57"/>
    </row>
    <row r="1984" spans="1:11" ht="19.5" customHeight="1" x14ac:dyDescent="0.3">
      <c r="A1984" s="46">
        <v>1981</v>
      </c>
      <c r="B1984" s="57" t="str">
        <f>IF(Tabla1[[#This Row],[TRABAJADOR]]="", "", VLOOKUP(Tabla1[[#This Row],[TRABAJADOR]], 'Colaborador ID'!B:C, 2, FALSE))</f>
        <v/>
      </c>
      <c r="C1984" s="56"/>
      <c r="D1984" s="57"/>
      <c r="E1984" s="57"/>
      <c r="F1984" s="57"/>
      <c r="G1984" s="58"/>
      <c r="H1984" s="58"/>
      <c r="I1984" s="57"/>
      <c r="J1984" s="57"/>
      <c r="K1984" s="57"/>
    </row>
    <row r="1985" spans="1:11" ht="19.5" customHeight="1" x14ac:dyDescent="0.3">
      <c r="A1985" s="46">
        <v>1982</v>
      </c>
      <c r="B1985" s="57" t="str">
        <f>IF(Tabla1[[#This Row],[TRABAJADOR]]="", "", VLOOKUP(Tabla1[[#This Row],[TRABAJADOR]], 'Colaborador ID'!B:C, 2, FALSE))</f>
        <v/>
      </c>
      <c r="C1985" s="56"/>
      <c r="D1985" s="57"/>
      <c r="E1985" s="57"/>
      <c r="F1985" s="57"/>
      <c r="G1985" s="58"/>
      <c r="H1985" s="58"/>
      <c r="I1985" s="57"/>
      <c r="J1985" s="57"/>
      <c r="K1985" s="57"/>
    </row>
    <row r="1986" spans="1:11" ht="19.5" customHeight="1" x14ac:dyDescent="0.3">
      <c r="A1986" s="46">
        <v>1983</v>
      </c>
      <c r="B1986" s="57" t="str">
        <f>IF(Tabla1[[#This Row],[TRABAJADOR]]="", "", VLOOKUP(Tabla1[[#This Row],[TRABAJADOR]], 'Colaborador ID'!B:C, 2, FALSE))</f>
        <v/>
      </c>
      <c r="C1986" s="56"/>
      <c r="D1986" s="57"/>
      <c r="E1986" s="57"/>
      <c r="F1986" s="57"/>
      <c r="G1986" s="58"/>
      <c r="H1986" s="58"/>
      <c r="I1986" s="57"/>
      <c r="J1986" s="57"/>
      <c r="K1986" s="57"/>
    </row>
    <row r="1987" spans="1:11" ht="19.5" customHeight="1" x14ac:dyDescent="0.3">
      <c r="A1987" s="46">
        <v>1984</v>
      </c>
      <c r="B1987" s="57" t="str">
        <f>IF(Tabla1[[#This Row],[TRABAJADOR]]="", "", VLOOKUP(Tabla1[[#This Row],[TRABAJADOR]], 'Colaborador ID'!B:C, 2, FALSE))</f>
        <v/>
      </c>
      <c r="C1987" s="56"/>
      <c r="D1987" s="57"/>
      <c r="E1987" s="57"/>
      <c r="F1987" s="57"/>
      <c r="G1987" s="58"/>
      <c r="H1987" s="58"/>
      <c r="I1987" s="57"/>
      <c r="J1987" s="57"/>
      <c r="K1987" s="57"/>
    </row>
    <row r="1988" spans="1:11" ht="19.5" customHeight="1" x14ac:dyDescent="0.3">
      <c r="A1988" s="46">
        <v>1985</v>
      </c>
      <c r="B1988" s="57" t="str">
        <f>IF(Tabla1[[#This Row],[TRABAJADOR]]="", "", VLOOKUP(Tabla1[[#This Row],[TRABAJADOR]], 'Colaborador ID'!B:C, 2, FALSE))</f>
        <v/>
      </c>
      <c r="C1988" s="56"/>
      <c r="D1988" s="57"/>
      <c r="E1988" s="57"/>
      <c r="F1988" s="57"/>
      <c r="G1988" s="58"/>
      <c r="H1988" s="58"/>
      <c r="I1988" s="57"/>
      <c r="J1988" s="57"/>
      <c r="K1988" s="57"/>
    </row>
    <row r="1989" spans="1:11" ht="19.5" customHeight="1" x14ac:dyDescent="0.3">
      <c r="A1989" s="46">
        <v>1986</v>
      </c>
      <c r="B1989" s="57" t="str">
        <f>IF(Tabla1[[#This Row],[TRABAJADOR]]="", "", VLOOKUP(Tabla1[[#This Row],[TRABAJADOR]], 'Colaborador ID'!B:C, 2, FALSE))</f>
        <v/>
      </c>
      <c r="C1989" s="56"/>
      <c r="D1989" s="57"/>
      <c r="E1989" s="57"/>
      <c r="F1989" s="57"/>
      <c r="G1989" s="58"/>
      <c r="H1989" s="58"/>
      <c r="I1989" s="57"/>
      <c r="J1989" s="57"/>
      <c r="K1989" s="57"/>
    </row>
    <row r="1990" spans="1:11" ht="19.5" customHeight="1" x14ac:dyDescent="0.3">
      <c r="A1990" s="46">
        <v>1987</v>
      </c>
      <c r="B1990" s="57" t="str">
        <f>IF(Tabla1[[#This Row],[TRABAJADOR]]="", "", VLOOKUP(Tabla1[[#This Row],[TRABAJADOR]], 'Colaborador ID'!B:C, 2, FALSE))</f>
        <v/>
      </c>
      <c r="C1990" s="56"/>
      <c r="D1990" s="57"/>
      <c r="E1990" s="57"/>
      <c r="F1990" s="57"/>
      <c r="G1990" s="58"/>
      <c r="H1990" s="58"/>
      <c r="I1990" s="57"/>
      <c r="J1990" s="57"/>
      <c r="K1990" s="57"/>
    </row>
    <row r="1991" spans="1:11" ht="19.5" customHeight="1" x14ac:dyDescent="0.3">
      <c r="A1991" s="46">
        <v>1988</v>
      </c>
      <c r="B1991" s="57" t="str">
        <f>IF(Tabla1[[#This Row],[TRABAJADOR]]="", "", VLOOKUP(Tabla1[[#This Row],[TRABAJADOR]], 'Colaborador ID'!B:C, 2, FALSE))</f>
        <v/>
      </c>
      <c r="C1991" s="56"/>
      <c r="D1991" s="57"/>
      <c r="E1991" s="57"/>
      <c r="F1991" s="57"/>
      <c r="G1991" s="58"/>
      <c r="H1991" s="58"/>
      <c r="I1991" s="57"/>
      <c r="J1991" s="57"/>
      <c r="K1991" s="57"/>
    </row>
    <row r="1992" spans="1:11" ht="19.5" customHeight="1" x14ac:dyDescent="0.3">
      <c r="A1992" s="46">
        <v>1989</v>
      </c>
      <c r="B1992" s="57" t="str">
        <f>IF(Tabla1[[#This Row],[TRABAJADOR]]="", "", VLOOKUP(Tabla1[[#This Row],[TRABAJADOR]], 'Colaborador ID'!B:C, 2, FALSE))</f>
        <v/>
      </c>
      <c r="C1992" s="56"/>
      <c r="D1992" s="57"/>
      <c r="E1992" s="57"/>
      <c r="F1992" s="57"/>
      <c r="G1992" s="58"/>
      <c r="H1992" s="58"/>
      <c r="I1992" s="57"/>
      <c r="J1992" s="57"/>
      <c r="K1992" s="57"/>
    </row>
    <row r="1993" spans="1:11" ht="19.5" customHeight="1" x14ac:dyDescent="0.3">
      <c r="A1993" s="46">
        <v>1990</v>
      </c>
      <c r="B1993" s="57" t="str">
        <f>IF(Tabla1[[#This Row],[TRABAJADOR]]="", "", VLOOKUP(Tabla1[[#This Row],[TRABAJADOR]], 'Colaborador ID'!B:C, 2, FALSE))</f>
        <v/>
      </c>
      <c r="C1993" s="56"/>
      <c r="D1993" s="57"/>
      <c r="E1993" s="57"/>
      <c r="F1993" s="57"/>
      <c r="G1993" s="58"/>
      <c r="H1993" s="58"/>
      <c r="I1993" s="57"/>
      <c r="J1993" s="57"/>
      <c r="K1993" s="57"/>
    </row>
    <row r="1994" spans="1:11" ht="19.5" customHeight="1" x14ac:dyDescent="0.3">
      <c r="A1994" s="46">
        <v>1991</v>
      </c>
      <c r="B1994" s="57" t="str">
        <f>IF(Tabla1[[#This Row],[TRABAJADOR]]="", "", VLOOKUP(Tabla1[[#This Row],[TRABAJADOR]], 'Colaborador ID'!B:C, 2, FALSE))</f>
        <v/>
      </c>
      <c r="C1994" s="56"/>
      <c r="D1994" s="57"/>
      <c r="E1994" s="57"/>
      <c r="F1994" s="57"/>
      <c r="G1994" s="58"/>
      <c r="H1994" s="58"/>
      <c r="I1994" s="57"/>
      <c r="J1994" s="57"/>
      <c r="K1994" s="57"/>
    </row>
    <row r="1995" spans="1:11" ht="19.5" customHeight="1" x14ac:dyDescent="0.3">
      <c r="A1995" s="46">
        <v>1992</v>
      </c>
      <c r="B1995" s="57" t="str">
        <f>IF(Tabla1[[#This Row],[TRABAJADOR]]="", "", VLOOKUP(Tabla1[[#This Row],[TRABAJADOR]], 'Colaborador ID'!B:C, 2, FALSE))</f>
        <v/>
      </c>
      <c r="C1995" s="56"/>
      <c r="D1995" s="57"/>
      <c r="E1995" s="57"/>
      <c r="F1995" s="57"/>
      <c r="G1995" s="58"/>
      <c r="H1995" s="58"/>
      <c r="I1995" s="57"/>
      <c r="J1995" s="57"/>
      <c r="K1995" s="57"/>
    </row>
    <row r="1996" spans="1:11" ht="19.5" customHeight="1" x14ac:dyDescent="0.3">
      <c r="A1996" s="46">
        <v>1993</v>
      </c>
      <c r="B1996" s="57" t="str">
        <f>IF(Tabla1[[#This Row],[TRABAJADOR]]="", "", VLOOKUP(Tabla1[[#This Row],[TRABAJADOR]], 'Colaborador ID'!B:C, 2, FALSE))</f>
        <v/>
      </c>
      <c r="C1996" s="56"/>
      <c r="D1996" s="57"/>
      <c r="E1996" s="57"/>
      <c r="F1996" s="57"/>
      <c r="G1996" s="58"/>
      <c r="H1996" s="58"/>
      <c r="I1996" s="57"/>
      <c r="J1996" s="57"/>
      <c r="K1996" s="57"/>
    </row>
    <row r="1997" spans="1:11" ht="19.5" customHeight="1" x14ac:dyDescent="0.3">
      <c r="A1997" s="46">
        <v>1994</v>
      </c>
      <c r="B1997" s="57" t="str">
        <f>IF(Tabla1[[#This Row],[TRABAJADOR]]="", "", VLOOKUP(Tabla1[[#This Row],[TRABAJADOR]], 'Colaborador ID'!B:C, 2, FALSE))</f>
        <v/>
      </c>
      <c r="C1997" s="56"/>
      <c r="D1997" s="57"/>
      <c r="E1997" s="57"/>
      <c r="F1997" s="57"/>
      <c r="G1997" s="58"/>
      <c r="H1997" s="58"/>
      <c r="I1997" s="57"/>
      <c r="J1997" s="57"/>
      <c r="K1997" s="57"/>
    </row>
    <row r="1998" spans="1:11" ht="19.5" customHeight="1" x14ac:dyDescent="0.3">
      <c r="A1998" s="46">
        <v>1995</v>
      </c>
      <c r="B1998" s="57" t="str">
        <f>IF(Tabla1[[#This Row],[TRABAJADOR]]="", "", VLOOKUP(Tabla1[[#This Row],[TRABAJADOR]], 'Colaborador ID'!B:C, 2, FALSE))</f>
        <v/>
      </c>
      <c r="C1998" s="56"/>
      <c r="D1998" s="57"/>
      <c r="E1998" s="57"/>
      <c r="F1998" s="57"/>
      <c r="G1998" s="58"/>
      <c r="H1998" s="58"/>
      <c r="I1998" s="57"/>
      <c r="J1998" s="57"/>
      <c r="K1998" s="57"/>
    </row>
    <row r="1999" spans="1:11" ht="19.5" customHeight="1" x14ac:dyDescent="0.3">
      <c r="A1999" s="46">
        <v>1996</v>
      </c>
      <c r="B1999" s="57" t="str">
        <f>IF(Tabla1[[#This Row],[TRABAJADOR]]="", "", VLOOKUP(Tabla1[[#This Row],[TRABAJADOR]], 'Colaborador ID'!B:C, 2, FALSE))</f>
        <v/>
      </c>
      <c r="C1999" s="56"/>
      <c r="D1999" s="57"/>
      <c r="E1999" s="57"/>
      <c r="F1999" s="57"/>
      <c r="G1999" s="58"/>
      <c r="H1999" s="58"/>
      <c r="I1999" s="57"/>
      <c r="J1999" s="57"/>
      <c r="K1999" s="57"/>
    </row>
    <row r="2000" spans="1:11" ht="19.5" customHeight="1" x14ac:dyDescent="0.3">
      <c r="A2000" s="46">
        <v>1997</v>
      </c>
      <c r="B2000" s="57" t="str">
        <f>IF(Tabla1[[#This Row],[TRABAJADOR]]="", "", VLOOKUP(Tabla1[[#This Row],[TRABAJADOR]], 'Colaborador ID'!B:C, 2, FALSE))</f>
        <v/>
      </c>
      <c r="C2000" s="56"/>
      <c r="D2000" s="57"/>
      <c r="E2000" s="57"/>
      <c r="F2000" s="57"/>
      <c r="G2000" s="58"/>
      <c r="H2000" s="58"/>
      <c r="I2000" s="57"/>
      <c r="J2000" s="57"/>
      <c r="K2000" s="57"/>
    </row>
    <row r="2001" spans="1:1" ht="19.5" customHeight="1" x14ac:dyDescent="0.3">
      <c r="A2001" s="46">
        <v>1998</v>
      </c>
    </row>
    <row r="2002" spans="1:1" ht="19.5" customHeight="1" x14ac:dyDescent="0.3">
      <c r="A2002" s="46">
        <v>1999</v>
      </c>
    </row>
    <row r="2003" spans="1:1" ht="19.5" customHeight="1" x14ac:dyDescent="0.3">
      <c r="A2003" s="46">
        <v>2000</v>
      </c>
    </row>
  </sheetData>
  <phoneticPr fontId="4" type="noConversion"/>
  <conditionalFormatting sqref="C1:C1435 C1437:C1048576">
    <cfRule type="duplicateValues" dxfId="4" priority="4"/>
  </conditionalFormatting>
  <conditionalFormatting sqref="D1:D1048576">
    <cfRule type="containsText" dxfId="3" priority="10" operator="containsText" text="Pendiente">
      <formula>NOT(ISERROR(SEARCH("Pendiente",D1)))</formula>
    </cfRule>
  </conditionalFormatting>
  <conditionalFormatting sqref="G1:G1048576">
    <cfRule type="timePeriod" dxfId="2" priority="24" timePeriod="lastMonth">
      <formula>AND(MONTH(G1)=MONTH(EDATE(TODAY(),0-1)),YEAR(G1)=YEAR(EDATE(TODAY(),0-1)))</formula>
    </cfRule>
    <cfRule type="timePeriod" dxfId="1" priority="25" timePeriod="thisMonth">
      <formula>AND(MONTH(G1)=MONTH(TODAY()),YEAR(G1)=YEAR(TODAY()))</formula>
    </cfRule>
  </conditionalFormatting>
  <conditionalFormatting sqref="J60">
    <cfRule type="duplicateValues" dxfId="0" priority="1"/>
  </conditionalFormatting>
  <dataValidations count="6">
    <dataValidation type="list" allowBlank="1" showInputMessage="1" showErrorMessage="1" sqref="E1117:E1129 E1175:E1230 E1232:E1279 E1157:E1173 E1131:E1155" xr:uid="{63D6CA2E-159B-46A6-9C3C-09157ADBF15B}">
      <formula1>$E$4:$E$1116</formula1>
    </dataValidation>
    <dataValidation type="list" allowBlank="1" showInputMessage="1" showErrorMessage="1" sqref="E1231 E606:E717 E719:E858 E4:E604" xr:uid="{6CA26A7D-629E-466E-BCEF-7CBB3EB2FCD5}">
      <formula1>$E$4:$E$1411</formula1>
    </dataValidation>
    <dataValidation type="list" allowBlank="1" showInputMessage="1" showErrorMessage="1" sqref="E1174" xr:uid="{E2E297ED-2699-4EBC-94E0-244E16C1FE19}">
      <formula1>$E$4:$E$1174</formula1>
    </dataValidation>
    <dataValidation type="list" allowBlank="1" showInputMessage="1" showErrorMessage="1" sqref="E1280:E1451" xr:uid="{FE91F2E5-C613-4EF7-9605-F6DD7190C9E1}">
      <formula1>$E$4:$E$1496</formula1>
    </dataValidation>
    <dataValidation type="list" allowBlank="1" showInputMessage="1" showErrorMessage="1" sqref="I4:I1105" xr:uid="{DF2A824D-57A1-4ED1-8306-C2135201AB79}">
      <formula1>"KOTRIK, STOCCO, WISE"</formula1>
    </dataValidation>
    <dataValidation type="custom" allowBlank="1" showInputMessage="1" showErrorMessage="1" sqref="D1:D3 D1100:D1160 D1059:D1098 D1418:D1421 D1055:D1057 D1338:D1367 D718 D1174:D1181 D1162:D1171 D1465:D1048576 D1184:D1210 D1415:D1416 D1369:D1411 D1423:D1453 D1212:D1336 D859:D1015 D1017:D1053" xr:uid="{20046FF7-DDB9-4F13-8091-3491B51AD17B}">
      <formula1>COUNTIF(D:D, D1) = 1</formula1>
    </dataValidation>
  </dataValidations>
  <hyperlinks>
    <hyperlink ref="F12" r:id="rId1" display="Certificado Titularidad/AGNER MARTINEZ CARREAZO.pdf" xr:uid="{A013605F-1BAA-44AF-90AF-EFA65156D40B}"/>
    <hyperlink ref="F15" r:id="rId2" display="Certificado Titularidad/ALAN GERSON RAMIREZ ACARO.pdf" xr:uid="{3F703841-F0DB-4A3D-8344-0F9468CD9B40}"/>
    <hyperlink ref="H20" r:id="rId3" display="Documentos firmados cambio/ALBERTO DURAN.pdf" xr:uid="{CF0BE393-3ACC-4B6D-BE2E-B111DBDC6391}"/>
    <hyperlink ref="F62" r:id="rId4" display="Certificado Titularidad/ALVARO ENRIQUE ROJAS DE LA OSSA.pdf" xr:uid="{1DDA03D9-A3AE-4D38-B84A-F3DCF98BB352}"/>
    <hyperlink ref="H63" r:id="rId5" display="Documentos firmados cambio/ALVARO ESPINOSA ALCALDE-CAMBIO DE CUENTA.pdf" xr:uid="{1B3CCFB4-D33E-40D0-9545-CB80EED89677}"/>
    <hyperlink ref="F22" r:id="rId6" display="Certificado Titularidad/ALBERTO ISMAEL MENDIETA CACERES.pdf" xr:uid="{76022E66-CDFE-4D7F-A25A-73C3A944D1AA}"/>
    <hyperlink ref="F27" r:id="rId7" display="Certificado Titularidad/ALDO LUIS CHACON BALAREZO.pdf" xr:uid="{640AEA03-F18E-4B64-A157-1939A73DB664}"/>
    <hyperlink ref="F35" r:id="rId8" display="Certificado Titularidad/ALEX ALTAMAR CARMONA.pdf" xr:uid="{9B79CB57-579A-474F-A805-F61F287BCF89}"/>
    <hyperlink ref="F38" r:id="rId9" display="Certificado Titularidad/ALEX LUCAS SCHOROEDER.pdf" xr:uid="{94820E91-A11F-497E-A826-F3A5D088C963}"/>
    <hyperlink ref="H139" r:id="rId10" display="Documentos firmados cambio/BRAYAN ESTEBAN NIETO DIAZ.pdf" xr:uid="{FE9C3F2D-8C97-4F61-9BCB-09B7A2B45362}"/>
    <hyperlink ref="F49" r:id="rId11" display="Certificado Titularidad/ALEXANDRE BEZERRA DE OLIVEIRA.pdf" xr:uid="{6D01617B-2889-47DF-AB1A-9FC52637F843}"/>
    <hyperlink ref="F53" r:id="rId12" display="Certificado Titularidad/ALFREDO ENRIQUE RODRIGUEZ NOGUERA.pdf" xr:uid="{232C088D-ED6A-4534-A019-E71740222D78}"/>
    <hyperlink ref="F57" r:id="rId13" display="Certificado Titularidad/ALVARO ADRIAN GOMEZ CASTRO.pdf" xr:uid="{706C9395-1CCB-492F-B533-8F186145FD84}"/>
    <hyperlink ref="H145" r:id="rId14" display="Documentos firmados cambio/BREIDIS JOSE CARDOZO GALUE.pdf" xr:uid="{8C97B7AA-DC8D-499D-9B3F-38951D7BAC73}"/>
    <hyperlink ref="F71" r:id="rId15" display="Certificado Titularidad/ALYSON HENRIQUE SILVA NASCIMENTO.pdf" xr:uid="{F0CE57B8-3750-45B6-BF1F-46E6FCF94B13}"/>
    <hyperlink ref="F74" r:id="rId16" display="Certificado Titularidad/ANDERSON PIMIENTO RAMIREZ.pdf" xr:uid="{55B85FC5-A030-4186-B8C7-ABF1BB1A9305}"/>
    <hyperlink ref="F148" r:id="rId17" display="Certificado Titularidad/BRUNO DA COSTA FÉ.pdf" xr:uid="{BEEA3C75-0655-475B-B619-61446760E99F}"/>
    <hyperlink ref="F75" r:id="rId18" display="Certificado Titularidad/ANDERSSON CANAVAL NUÑEZ.pdf" xr:uid="{DAEAF974-804A-4057-85EF-731431DA5B97}"/>
    <hyperlink ref="F77" r:id="rId19" display="Certificado Titularidad/ANDRE DA SILVA ARAUJO.pdf" xr:uid="{D7F6F87C-F240-422E-ABDF-9FD3B2EB993A}"/>
    <hyperlink ref="F87" r:id="rId20" display="Certificado Titularidad/ANDRES FERNANDO MEDINA VALENCIA.pdf" xr:uid="{723BBC8E-9690-4AB3-AE84-C3F116463305}"/>
    <hyperlink ref="H159" r:id="rId21" display="Documentos firmados cambio/CARLOS ALBERTO CARTAGENA GONZALEZ.pdf" xr:uid="{395E3749-736A-421A-8D6F-79AB118487F1}"/>
    <hyperlink ref="F93" r:id="rId22" display="Certificado Titularidad/ANDY LYONEL CARRASCO VARGAS.pdf" xr:uid="{778081FE-B391-4D7C-A345-F1470D15BC06}"/>
    <hyperlink ref="F99" r:id="rId23" display="Certificado Titularidad/ANGERSON GIULLIANO DE OLIVEIRA DANTAS.pdf" xr:uid="{C8B521AF-7770-4D0E-8BD9-70432AE4419B}"/>
    <hyperlink ref="H193" r:id="rId24" display="Documentos firmados cambio/CARLOS JESUS ESCUDERO LUNA.pdf" xr:uid="{BFF006F2-B19A-4157-8C67-0D9D357CFBB1}"/>
    <hyperlink ref="F114" r:id="rId25" display="Certificado Titularidad/ARLEY DARIO PANTOJA CABRERA.pdf" xr:uid="{417A93E9-9DD6-4A1D-82AC-871371889153}"/>
    <hyperlink ref="F117" r:id="rId26" display="Certificado Titularidad/ARMANDO DENIS ENRIQUEZ BLAS.pdf" xr:uid="{0D860461-4D29-45A9-ACAC-26957B68FD77}"/>
    <hyperlink ref="H220" r:id="rId27" display="Documentos firmados cambio/CHRISTIAN ALBERTO VALENCIA LOBON.pdf" xr:uid="{00EE6BBF-0606-4080-B472-71BB65B98757}"/>
    <hyperlink ref="F134" r:id="rId28" display="Certificado Titularidad/BORIS ALI CHUNGA LUJAN.pdf" xr:uid="{55D1EFD0-BE1D-4F44-9F8A-0720095FAC6B}"/>
    <hyperlink ref="H235" r:id="rId29" display="Documentos firmados cambio/CRISTIAN DARIO VILLADA CATAÑO.pdf" xr:uid="{FF87D5EA-104B-4992-B3A0-5529FF490355}"/>
    <hyperlink ref="F137" r:id="rId30" display="Certificado Titularidad/BRAULIO JOSE ORTIZ LLORENTE.pdf" xr:uid="{AD18D2A9-E406-4083-B992-5470A88C9E7B}"/>
    <hyperlink ref="F139" r:id="rId31" display="Certificado Titularidad/BRAYAN ESTEBAN NIETO DIAZ.pdf" xr:uid="{ABFF19FA-24B4-4A11-AFE3-676D5E2A62B9}"/>
    <hyperlink ref="F145" r:id="rId32" display="Certificado Titularidad/BREIDIS JOSE CARDOZO GALUE.pdf" xr:uid="{E66EE9F8-85D2-4377-AB81-D454ED3752B4}"/>
    <hyperlink ref="H315" r:id="rId33" display="Documentos firmados cambio/EDGAR ALEXANDER VEGA CARDOZO.pdf" xr:uid="{2A400EAA-02D3-4DA9-AD12-9026613652C0}"/>
    <hyperlink ref="F159" r:id="rId34" display="Certificado Titularidad/CARLOS ALBERTO CARTAGENA GONZALEZ.pdf" xr:uid="{84B63E2C-1A16-4AD2-A55E-BBD9BA7189FE}"/>
    <hyperlink ref="F169" r:id="rId35" display="Certificado Titularidad/CARLOS ALFREDO ESCORCIA MORENO.pdf" xr:uid="{971F6899-97AD-4372-8BA0-7A5C9ACBD912}"/>
    <hyperlink ref="F182" r:id="rId36" display="Certificado Titularidad/CARLOS ARTURO GONZALEZ GOMEZ.pdf" xr:uid="{61482C5E-7FD6-4947-BDB4-EABB8BE13FD2}"/>
    <hyperlink ref="H356" r:id="rId37" display="Documentos firmados cambio/EDWARD IGNACIO DIAZ AVILA.pdf" xr:uid="{AF4AFF7A-CDBC-404F-A045-9D55F4918BB0}"/>
    <hyperlink ref="F184" r:id="rId38" display="Certificado Titularidad/CARLOS AUGUSTO SALDARRIAGA MONTEALBAN.pdf" xr:uid="{F7A12613-64AC-400A-B676-0FF5E398A88A}"/>
    <hyperlink ref="F190" r:id="rId39" display="Certificado Titularidad/CARLOS EMILIO MONSALVE MARIN.pdf" xr:uid="{3D0F6EAB-34FE-44A7-8231-AC578AB0BBB5}"/>
    <hyperlink ref="F195" r:id="rId40" display="Certificado Titularidad/CARLOS JOSUE CUMPA TALLEDO.pdf" xr:uid="{FAC8C614-68FB-4A94-A880-CB52061DC7C8}"/>
    <hyperlink ref="H401" r:id="rId41" display="Documentos firmados cambio/ENRIQUE PEREZ CARREAZO.pdf" xr:uid="{5DA1DB5E-4FA6-449A-95E6-BDDC032765D0}"/>
    <hyperlink ref="F201" r:id="rId42" display="Certificado Titularidad/CARLOS MARIO JARAMILLO LOPEZ.pdf" xr:uid="{C2079107-B442-4C86-9846-E8B9B6C74CBC}"/>
    <hyperlink ref="F220" r:id="rId43" display="Certificado Titularidad/CHRISTIAN ALBERTO VALENCIA LOBON.pdf" xr:uid="{B4C4FF88-E757-4531-9A05-68D70557BBA5}"/>
    <hyperlink ref="F235" r:id="rId44" display="Certificado Titularidad/CRISTIAN DARIO VILLADA CATANO.pdf" xr:uid="{3B770563-1156-4325-AD7C-707D4D962964}"/>
    <hyperlink ref="H419" r:id="rId45" display="Documentos firmados cambio/EVELIO ANGULO ANGULO.pdf" xr:uid="{2EAD93AE-6702-45E0-9F84-5CED9FC7F82C}"/>
    <hyperlink ref="F242" r:id="rId46" display="Certificado Titularidad/CRISTIAN RICARDO LLONTOP SANTISTEBAN.pdf" xr:uid="{4B330D7D-B1FB-4EC9-B5B8-64B598244AF0}"/>
    <hyperlink ref="F244" r:id="rId47" display="Certificado Titularidad/DAHIR GREGORIO MUNOZ GRANADOS.pdf" xr:uid="{CF0447AB-EFB7-4BDE-8B07-5739902A19C2}"/>
    <hyperlink ref="F252" r:id="rId48" display="Certificado Titularidad/DANIEL CHAVES SILVA.pdf" xr:uid="{E9C7B60C-6E14-4F46-91A1-F864B123FDBA}"/>
    <hyperlink ref="H676" r:id="rId49" display="Documentos firmados cambio/JEFERY YAZED LEON RAMOS.pdf" xr:uid="{F3288940-479C-40CF-A3FC-5589EE0D6383}"/>
    <hyperlink ref="F271" r:id="rId50" display="Certificado Titularidad/DAVID JONATHAN CHAMBILLA COAPAZA.pdf" xr:uid="{802D33FA-506E-4337-B892-E955CD508C6E}"/>
    <hyperlink ref="F284" r:id="rId51" display="Certificado Titularidad/DEYVIS HERNANDEZ DIAZ.pdf" xr:uid="{75834678-E41E-492D-87B6-3D48592FBCE9}"/>
    <hyperlink ref="F307" r:id="rId52" display="Certificado Titularidad/DUAN ANTONIO AVILA NORIEGA.pdf" xr:uid="{7CFC34E0-98B5-4231-918F-95515BDA9661}"/>
    <hyperlink ref="H727" r:id="rId53" display="Documentos firmados cambio/JHON JAIRO ADRIANZEN MEDRANO.pdf" xr:uid="{A1A0021E-97A9-4DB1-9FAC-CFFE804B355F}"/>
    <hyperlink ref="F315" r:id="rId54" display="Certificado Titularidad/EDGAR ALEXANDER VEGA CARDOZO.pdf" xr:uid="{ECDF00BC-1F7D-4D87-A69D-2AA38C25E837}"/>
    <hyperlink ref="F325" r:id="rId55" display="Certificado Titularidad/EDGARDO RAFAEL DE ARMAS URBANO.pdf" xr:uid="{7FA8B692-59E2-4830-9E18-671CA39C0408}"/>
    <hyperlink ref="F327" r:id="rId56" display="Certificado Titularidad/EDILBERTO DOMINGUEZ PEREIRA.pdf" xr:uid="{80D16247-26B8-4C99-9024-EE0B360A4F70}"/>
    <hyperlink ref="H855" r:id="rId57" display="Documentos firmados cambio/JOSE JAVIER CASTRO OBANDO.pdf" xr:uid="{3FC48C55-F4A2-45C7-9F3E-F067B60D9E39}"/>
    <hyperlink ref="F341" r:id="rId58" display="Certificado Titularidad/EDUARD YOVANNY LOZANO OSORIO.pdf" xr:uid="{3ADB18D2-E9AF-4747-BF43-B6347B121547}"/>
    <hyperlink ref="F349" r:id="rId59" display="Certificado Titularidad/EDUARDO ROBERTO GUZMAN.pdf" xr:uid="{6E7A79F6-CB44-40FB-8B78-17F4F64FBAC9}"/>
    <hyperlink ref="H870" r:id="rId60" display="Documentos firmados cambio/JOSE LUIS GONZALEZ ALVAREZ.pdf" xr:uid="{CB0FEB57-04BA-4973-AAB5-F1B4BD8015C7}"/>
    <hyperlink ref="H898" r:id="rId61" display="Documentos firmados cambio/JUAN CARLOS BENAVIDES RODRIGUEZ.pdf" xr:uid="{8A1C77AC-8389-4D76-B70A-F4E4C68D9802}"/>
    <hyperlink ref="H912" r:id="rId62" display="Documentos firmados cambio/JUAN DANIEL MORA PEÑALOZA.pdf" xr:uid="{188E9536-D055-49B6-8BCB-933CBA0C3C39}"/>
    <hyperlink ref="H924" r:id="rId63" display="Documentos firmados cambio/JUAN EUSEVIO VILELA SANDOVAL.pdf" xr:uid="{705609EC-E26E-4259-892B-50C920A77632}"/>
    <hyperlink ref="H954" r:id="rId64" display="Documentos firmados cambio/JULIAN OSWALDO CAMACHO SALAZAR.pdf" xr:uid="{0E670A3C-8E4D-4298-A788-F75438F4606F}"/>
    <hyperlink ref="H1105" r:id="rId65" display="Documentos firmados cambio/MICHAEL SANDOVAL CAMARGO.pdf" xr:uid="{29592357-F1E2-4FC2-ABD7-1F48E500AD49}"/>
    <hyperlink ref="H1112" r:id="rId66" display="Documentos firmados cambio/MIGUEL ANGEL MARTINEZ CHAVEZ.pdf" xr:uid="{1B9F0B59-67BB-479A-A797-64C73193E456}"/>
    <hyperlink ref="H1134" r:id="rId67" display="Documentos firmados cambio/MOISÉS NUNES FERREIRA.pdf" xr:uid="{A60C4711-64F7-4902-A7B3-223C404C70D0}"/>
    <hyperlink ref="F366" r:id="rId68" display="Certificado Titularidad/EDWIN DIAZ MARULANDA.pdf" xr:uid="{AD7562E3-985D-4ED0-AC3F-A67D098C2E80}"/>
    <hyperlink ref="H1286" r:id="rId69" display="Documentos firmados cambio/ROBINSON CAMILO CASTAÑEDA SALGADO.pdf" xr:uid="{C29C1EE3-F622-4477-B99C-3E100239FDB4}"/>
    <hyperlink ref="H1335" r:id="rId70" display="Documentos firmados cambio/SANDRO GONZALEZ ÑUSTES.pdf" xr:uid="{B5E7A6B5-BDF0-4BCC-AB1D-306604632F43}"/>
    <hyperlink ref="H1355" r:id="rId71" display="Documentos firmados cambio/SNEYDER JESUS ALCALA JIMENEZ.pdf" xr:uid="{B73A607F-3CE9-42DD-A76E-24B97978EAA0}"/>
    <hyperlink ref="H1429" r:id="rId72" display="Documentos firmados cambio/WILSON VALLEJO HERRERA.pdf" xr:uid="{1A17678F-B503-4C34-842D-360D4CDAF2B3}"/>
    <hyperlink ref="H1465" r:id="rId73" display="Documentos firmados cambio/YULDOR MAURICIO BOLAÑOS.pdf" xr:uid="{0DAC3FC1-7F25-4CB3-8D76-5C608CB85256}"/>
    <hyperlink ref="F370" r:id="rId74" display="Certificado Titularidad/EDWIN GARCES SINISTERRA.pdf" xr:uid="{F5B00C20-C6C6-48BC-B34D-748326632BF4}"/>
    <hyperlink ref="F381" r:id="rId75" display="Certificado Titularidad/EISON SALAS AHUMEDO.pdf" xr:uid="{734D23E2-9434-4219-A2CC-05254207DC00}"/>
    <hyperlink ref="F382" r:id="rId76" display="Certificado Titularidad/ELEOTERIO ESPINOZA HERRERA.pdf" xr:uid="{F4C5B190-7BC1-4724-998F-7F50A7139C88}"/>
    <hyperlink ref="F385" r:id="rId77" display="Certificado Titularidad/ELIS RAMON GARCIA DIAZ.pdf" xr:uid="{1A5E7543-5FCC-4E9B-8D03-27FFE47EB236}"/>
    <hyperlink ref="F388" r:id="rId78" display="Certificado Titularidad/ELKIN DE JESUS CERVANTES MANOTAS.pdf" xr:uid="{35908101-FCCD-439B-A368-FD1583EF28E7}"/>
    <hyperlink ref="F389" r:id="rId79" display="Certificado Titularidad/ELKIN GIOVANNI VALENZUELA DIAZ.pdf" xr:uid="{C0C979A9-8450-4B6D-B4C3-889C1CE4C28C}"/>
    <hyperlink ref="F391" r:id="rId80" display="Certificado Titularidad/ELMER JACKSON ROJAS CUMPA.pdf" xr:uid="{88E8D9F9-937E-4F05-B9EB-607BB116045A}"/>
    <hyperlink ref="F401" r:id="rId81" display="Certificado Titularidad/ENRIQUE PEREZ CARREAZO.pdf" xr:uid="{1C340BA6-6675-402D-97E0-34804EDA376E}"/>
    <hyperlink ref="F404" r:id="rId82" display="Certificado Titularidad/EON IVES ARAUJO REIS JUNIOR.pdf" xr:uid="{F72E339E-01D9-4ECA-B2FC-43F00FF784C4}"/>
    <hyperlink ref="F405" r:id="rId83" display="Certificado Titularidad/ERICKSON GOMES DA CUNHA.pdf" xr:uid="{592A9CA2-840F-407F-88B7-B3950A31C852}"/>
    <hyperlink ref="F413" r:id="rId84" display="Certificado Titularidad/ESNEIDER ALFONSO GALAN MENCO.pdf" xr:uid="{8D5E38FD-1A33-4632-95F8-71E77328F693}"/>
    <hyperlink ref="F417" r:id="rId85" display="Certificado Titularidad/EUSEBIO DE JESUS MEJIA DE LA ROSA.pdf" xr:uid="{C7758D8F-DC9E-4EA3-83D5-4F3C16B5B5B7}"/>
    <hyperlink ref="F1466" r:id="rId86" display="Certificado Titularidad/YUSSED MURADT CHAVES AMEZQUITA.pdf" xr:uid="{56AE07FE-A26A-45AB-8525-34F35D14F9B7}"/>
    <hyperlink ref="F420" r:id="rId87" display="Certificado Titularidad/EVERTH CASTRO GONZALEZ.pdf" xr:uid="{2EDC9E9F-1E9A-4DD5-835C-FADBB074CC7E}"/>
    <hyperlink ref="F1465" r:id="rId88" display="Certificado Titularidad/YULDOR MAURICIO BOLAÑOS.pdf" xr:uid="{E38403E7-1968-467F-993B-DCE062207DFA}"/>
    <hyperlink ref="F445" r:id="rId89" display="Certificado Titularidad/FELIPE SANTOS DA SILVA.pdf" xr:uid="{0162E039-A059-464C-BBDB-C2901B1D764A}"/>
    <hyperlink ref="F450" r:id="rId90" display="Certificado Titularidad/FERNANDO DA SILVA NOGAL.pdf" xr:uid="{80A8D093-CB60-4F12-B40D-22F87D26ABE7}"/>
    <hyperlink ref="F1464" r:id="rId91" display="Certificado Titularidad/YUBYINER SANTIAGO CELIS.pdf" xr:uid="{296123C0-9539-463E-9AF0-6FBAD7EA10AE}"/>
    <hyperlink ref="F458" r:id="rId92" display="Certificado Titularidad/FRANCISCO ALBERTO MARAVI CHUMBE.pdf" xr:uid="{F6DA2A37-E841-4982-B906-A9C893A6829B}"/>
    <hyperlink ref="F1448" r:id="rId93" display="Certificado Titularidad/YESID DAVID GOMEZ ARZUAGA.pdf" xr:uid="{35F4A209-D96E-4172-BAA0-77EC2094929E}"/>
    <hyperlink ref="F463" r:id="rId94" display="Certificado Titularidad/FRANCISCO MANUEL PASSOS.pdf" xr:uid="{52C6DB88-FC8F-45DE-8656-FFFD12456A8B}"/>
    <hyperlink ref="F490" r:id="rId95" display="Certificado Titularidad/GEORGE BILLY CIENFUEGOS SUAREZ.pdf" xr:uid="{72DD9C03-3BBF-4B07-965D-0106A4668B78}"/>
    <hyperlink ref="F502" r:id="rId96" display="Certificado Titularidad/GIOVANNI CHRISTIAN SALAZAR HIDALGO.pdf" xr:uid="{ADC123EA-3A09-4A92-A8D7-C3CA2FB88BB5}"/>
    <hyperlink ref="F505" r:id="rId97" display="Certificado Titularidad/GLEIDSON WASHINGTON SANTOS OLIVEIRA XAVIER.pdf" xr:uid="{13F9BC0E-2678-486E-976C-2AD1332EFDDB}"/>
    <hyperlink ref="F1440" r:id="rId98" display="Certificado Titularidad/YEFRY JAMIR DIAZ DIAZ.pdf" xr:uid="{1BC08F68-5F29-4499-B25C-12EA2BAFE51F}"/>
    <hyperlink ref="F1429" r:id="rId99" display="Certificado Titularidad/WILSON VALLEJO HERRERA.pdf" xr:uid="{A0050F19-3F4B-4FBD-8069-9735DCB2B958}"/>
    <hyperlink ref="F1427" r:id="rId100" display="Certificado Titularidad/WILSON FLORES ROMERO.pdf" xr:uid="{98CDA66C-A3F1-4FF0-B353-3D8A9031E1D5}"/>
    <hyperlink ref="F1426" r:id="rId101" display="Certificado Titularidad/WILSON DAVID HERNANDEZ SEGURA.pdf" xr:uid="{149B56BB-1041-46C4-9CDE-E6058B603C87}"/>
    <hyperlink ref="F515" r:id="rId102" display="Certificado Titularidad/GUERMAIN ISAAC SAJAMIN PANDURO.pdf" xr:uid="{39922CDD-7316-444F-BAA5-17F2BE2BDD2E}"/>
    <hyperlink ref="F1421" r:id="rId103" display="Certificado Titularidad/WILMER YANAYACO PINEDO.pdf" xr:uid="{F026E494-3D3F-4985-9577-564B119BB740}"/>
    <hyperlink ref="F526" r:id="rId104" display="Certificado Titularidad/GUSTAVO MENDES TEIXEIRA DA SILVA.pdf" xr:uid="{906F2B0F-CAE6-40E6-BE30-74270F2FD9CA}"/>
    <hyperlink ref="F535" r:id="rId105" display="Certificado Titularidad/HAROLD REFERTIN SERNAQUE CARRASCO.pdf" xr:uid="{4C2D5756-D276-4C08-88E4-AFC54A5B8DE9}"/>
    <hyperlink ref="F1410" r:id="rId106" display="Certificado Titularidad/WILMAN JOSE SANCHEZ ORTIZ.pdf" xr:uid="{1142CD71-D92F-4527-8C0A-426A6EE0A1EF}"/>
    <hyperlink ref="F579" r:id="rId107" display="Certificado Titularidad/HERNAN RODRIGUEZ CUY.pdf" xr:uid="{E4163681-DE19-4684-B4D8-782798F909B8}"/>
    <hyperlink ref="F598" r:id="rId108" display="Certificado Titularidad/ISAIAS MUNOZ MACHADO.pdf" xr:uid="{04CF2754-5F35-4022-886B-CC880ACC3B02}"/>
    <hyperlink ref="F1409" r:id="rId109" display="Certificado Titularidad/WILMAN DE AVILA MARRIAGA.pdf" xr:uid="{0D7B528C-7205-4CF9-99BD-4FDC1F9158F3}"/>
    <hyperlink ref="F600" r:id="rId110" display="Certificado Titularidad/ISHAK KASSA.pdf" xr:uid="{B4A3008E-24B0-4D31-A4EB-BBD9012EBC24}"/>
    <hyperlink ref="F624" r:id="rId111" display="Certificado Titularidad/JAIME ALEJANDRO RETIS TOLENTINO.pdf" xr:uid="{0916248D-31B0-45D6-983E-F7C2101AE045}"/>
    <hyperlink ref="F1399" r:id="rId112" display="Certificado Titularidad/WILLIAN HERNAN JARAMILLO RUIZ.pdf" xr:uid="{FE9CFDD8-701D-486A-9F0B-A2927C66E343}"/>
    <hyperlink ref="F628" r:id="rId113" display="Certificado Titularidad/JAIME CASTREJON CUEVA.pdf" xr:uid="{BD77C5E9-6FEE-4A69-AEBB-FAE361487F5C}"/>
    <hyperlink ref="F631" r:id="rId114" display="Certificado Titularidad/JAIME MANOLO ALVAREZ TORRES.pdf" xr:uid="{A52BABA6-E23D-4471-9AB6-E3F898274337}"/>
    <hyperlink ref="F1391" r:id="rId115" display="Certificado Titularidad/WILFREDO ALONSO QUISPESAYHUA CARRION.pdf" xr:uid="{B6C2BC1E-382E-45FC-9ABE-202853AC84F7}"/>
    <hyperlink ref="F1387" r:id="rId116" display="Certificado Titularidad/WAYSTEY SILVA SOUSA.pdf" xr:uid="{5E200ABA-3503-452E-829E-4A7BD7BDB9BC}"/>
    <hyperlink ref="F1375" r:id="rId117" display="Certificado Titularidad/VICTOR RAMON TUANAMA GARCIA.pdf" xr:uid="{037AE7C5-4560-49A4-8EDA-B389B0E4CC9E}"/>
    <hyperlink ref="F1370" r:id="rId118" display="Certificado Titularidad/VICTOR EDGARDO RAMIREZ GRANDA.pdf" xr:uid="{AEAD7122-BD3A-47A4-9A94-83A644376BB7}"/>
    <hyperlink ref="F1369" r:id="rId119" display="Certificado Titularidad/VICTOR DANIEL ARIAS GONZALEZ.pdf" xr:uid="{EE5BCAB5-2770-4EA7-922E-D0EDF617BD58}"/>
    <hyperlink ref="F633" r:id="rId120" display="Certificado Titularidad/JAIR HENRY REATEGUI DIAZ.pdf" xr:uid="{53BFF7B5-4097-4032-A26F-D12253B7D635}"/>
    <hyperlink ref="F1367" r:id="rId121" display="Certificado Titularidad/VICTOR AUGUSTO RAMIREZ GRANDA.pdf" xr:uid="{2CDC789F-1723-469E-B4E1-BAAF56987BFA}"/>
    <hyperlink ref="F1365" r:id="rId122" display="Certificado Titularidad/VICTOR ANGEL NIQUE YZAGUIRRE.pdf" xr:uid="{0780C58C-F26B-47AB-96D5-BBE5FFBA1B60}"/>
    <hyperlink ref="F666" r:id="rId123" display="Certificado Titularidad/JAVIER MURIEL SARREA.pdf" xr:uid="{4A832B29-15E9-40BB-9CDA-352DD4ABCDB5}"/>
    <hyperlink ref="F1363" r:id="rId124" display="Certificado Titularidad/VICTOR ALFONSO LUQUE CONDORI.pdf" xr:uid="{4EDD4658-3703-41B7-A951-872803925F63}"/>
    <hyperlink ref="F676" r:id="rId125" display="Certificado Titularidad/JEFERY LAZED LEON RAMOS.pdf" xr:uid="{B053F27B-DF6C-40DE-A27D-4263FF09EF1C}"/>
    <hyperlink ref="F680" r:id="rId126" display="Certificado Titularidad/JEFFERSON FABIAN MARTINEZ ALVAREZ.pdf" xr:uid="{7F096368-1F38-48F7-B9C6-C59D0D6B6B8F}"/>
    <hyperlink ref="F1355" r:id="rId127" display="Certificado Titularidad/SNEYDER JESUS ALCALA JIMENEZ.pdf" xr:uid="{97DEB9ED-DB5A-4DD3-95B5-F2DDE8B1B500}"/>
    <hyperlink ref="F683" r:id="rId128" display="Certificado Titularidad/JEHU AMADOR CACERES HERRERA.pdf" xr:uid="{ACC5386F-E806-48D0-B3A9-BF4C6E4C0782}"/>
    <hyperlink ref="F692" r:id="rId129" display="Certificado Titularidad/JESUS ALBERTO GONZALES FERNANDEZ.pdf" xr:uid="{9A4A8E6F-170F-462F-85E3-DDDFD3499DFD}"/>
    <hyperlink ref="F1350" r:id="rId130" display="Certificado Titularidad/SERGIO LUIS BELTRAN BALDOVINO.pdf" xr:uid="{1B36C4F0-C61F-4A3C-9425-E62B4BEAAE47}"/>
    <hyperlink ref="F695" r:id="rId131" display="Certificado Titularidad/JESUS ANTONIO PAJARO ARCIRIA.pdf" xr:uid="{C2DA3281-A38F-42AB-ABEB-F47D07151468}"/>
    <hyperlink ref="F702" r:id="rId132" display="Certificado Titularidad/JESUS JOEL ESPINOZA YOVERA.pdf" xr:uid="{07D7E906-44CA-43BE-8F75-9E5A25235DBC}"/>
    <hyperlink ref="F1347" r:id="rId133" display="Certificado Titularidad/SERGIO DANIEL GOMEZ ARAMBURO.pdf" xr:uid="{EBD684F5-6866-4EB7-AAF2-F06014F6514A}"/>
    <hyperlink ref="F707" r:id="rId134" display="Certificado Titularidad/JHEYSON DE LOS REYES MENDOZA RUIZ.pdf" xr:uid="{4982C7C9-FF37-4BF8-867D-D0AA4372AEE1}"/>
    <hyperlink ref="F1335" r:id="rId135" display="Certificado Titularidad/SANDRO GONZALEZ ÑUSTES.pdf" xr:uid="{A1677E03-BD19-45A6-9A83-679D36C99523}"/>
    <hyperlink ref="F720" r:id="rId136" display="Certificado Titularidad/JHON EDWARD FONSECA BOHORQUEZ.pdf" xr:uid="{00DBC735-49F9-4165-A9DE-670EEB45B317}"/>
    <hyperlink ref="F723" r:id="rId137" display="Certificado Titularidad/JHON ESTIVEN RUIZ ALZATE.pdf" xr:uid="{79AF5803-ED07-4028-8E7A-FCC70B8826CF}"/>
    <hyperlink ref="F1311" r:id="rId138" display="Certificado Titularidad/RONALD DEYVIS RONCEROS CARRIZALES.pdf" xr:uid="{42BBD8FA-2CD5-4E90-8B4F-E21856BC7C1B}"/>
    <hyperlink ref="F727" r:id="rId139" display="Certificado Titularidad/JHON JAIRO ADRIANZEN MEDRANO.pdf" xr:uid="{5E509C1C-0BD8-47DA-8EC5-A6A5869DF6A4}"/>
    <hyperlink ref="F1306" r:id="rId140" display="Certificado Titularidad/ROMULO JUAN SANDY CAHUACHI.pdf" xr:uid="{C4065349-9A59-4B40-977F-EEFD351BA457}"/>
    <hyperlink ref="F730" r:id="rId141" display="Certificado Titularidad/JHON JAIRO HERNANDEZ GUZMAN.pdf" xr:uid="{9093DFC5-77A0-4A21-AA1E-57DED61E1FE5}"/>
    <hyperlink ref="F748" r:id="rId142" display="Certificado Titularidad/JHONS WILFREDO RAMIREZ VIERA.pdf" xr:uid="{95BC1A2E-561F-460F-9F77-2BE4B8544A43}"/>
    <hyperlink ref="F755" r:id="rId143" display="Certificado Titularidad/JIMMY JHON SANDI CAHUACHI.pdf" xr:uid="{D7058855-E97B-4218-A34F-A62193E464A7}"/>
    <hyperlink ref="F1301" r:id="rId144" display="Certificado Titularidad/ROGGER EDUARDO LOPEZ AURAZO.pdf" xr:uid="{266439CC-45C5-4C93-BE7F-38CA8AA9AA8D}"/>
    <hyperlink ref="F761" r:id="rId145" display="Certificado Titularidad/JOHN ALEXANDER LUGO CUESTAS.pdf" xr:uid="{85EE1540-55FF-4451-BF88-EA718FBAD82E}"/>
    <hyperlink ref="F1296" r:id="rId146" display="Certificado Titularidad/RODRIGO PRADO SEPULVEDA.pdf" xr:uid="{E9FA5A2E-BE66-4C32-A7A4-867ECB9491A8}"/>
    <hyperlink ref="F764" r:id="rId147" display="Certificado Titularidad/JOHN FREDY CASTRO JIMENEZ.pdf" xr:uid="{A449D09F-326C-4ACD-B9DC-AFF3637D3A5E}"/>
    <hyperlink ref="F1294" r:id="rId148" display="Certificado Titularidad/RODRIGO DA COSTA MOREIRA.pdf" xr:uid="{D0B5D9FF-2D7A-41A8-9BE7-2EAB09D3836D}"/>
    <hyperlink ref="F771" r:id="rId149" display="Certificado Titularidad/JOHNNY JAVIER BORJA MANGA.pdf" xr:uid="{56905D81-2E52-407E-A5BA-6C70886109F3}"/>
    <hyperlink ref="F1293" r:id="rId150" display="Certificado Titularidad/RODRIGO ALEXANDRO AVILA DIEGO.pdf" xr:uid="{D480DA32-75B9-4027-93EA-17784AE33DF7}"/>
    <hyperlink ref="F781" r:id="rId151" display="Certificado Titularidad/JONATHAN BLANDON HINCAPIE.pdf" xr:uid="{154F02CE-F610-4B99-AC8F-F45161D9BDCC}"/>
    <hyperlink ref="F1292" r:id="rId152" display="Certificado Titularidad/RODOLFO ZAMBRANO LAJO.pdf" xr:uid="{5BC4B912-41F3-4161-893C-2B64EC042972}"/>
    <hyperlink ref="F782" r:id="rId153" display="Certificado Titularidad/JONATHAN EDUARDO RODRIGUEZ MADARIAGA.pdf" xr:uid="{A9E6B97A-2ED2-4069-BF45-999619A0FE23}"/>
    <hyperlink ref="F1286" r:id="rId154" display="Certificado Titularidad/ROBINSON CAMILO CASTAÑEDA SALGADO.pdf" xr:uid="{F5F5D12E-27B2-4C01-A367-0617578A8D99}"/>
    <hyperlink ref="F801" r:id="rId155" display="Certificado Titularidad/JORGE ENRIQUE LIEVANO ALZATE.pdf" xr:uid="{AD31B8FD-3664-4D81-9D51-708C24EFB3CC}"/>
    <hyperlink ref="F1285" r:id="rId156" display="Certificado Titularidad/ROBINSON ANGULO CAICEDO.pdf" xr:uid="{C1A53BF7-9861-4877-BCAC-6DCC31255F75}"/>
    <hyperlink ref="F825" r:id="rId157" display="Certificado Titularidad/JOSE ALFREDO GUTIERREZ LANCHEZ.pdf" xr:uid="{E87E51CC-E87E-4089-9D97-F61982029747}"/>
    <hyperlink ref="F831" r:id="rId158" display="Certificado Titularidad/JOSE ANTONIO MORALES HURTADO.pdf" xr:uid="{D421E0F1-1122-4302-BD27-55034C13C2D7}"/>
    <hyperlink ref="F834" r:id="rId159" display="Certificado Titularidad/JOSE CARBAJAL YAURI.pdf" xr:uid="{8B527BA5-4E26-4AFE-A320-C7184161857F}"/>
    <hyperlink ref="F848" r:id="rId160" display="Certificado Titularidad/JOSE GABRIEL GONZALEZ SUAREZ.pdf" xr:uid="{48A062B9-4B72-4F23-A56C-F4884A8CD98C}"/>
    <hyperlink ref="F855" r:id="rId161" display="Certificado Titularidad/JOSE JAVIER CASTRO OBANDO.pdf" xr:uid="{E32F552A-7035-4455-A9C7-F454436984E6}"/>
    <hyperlink ref="F1275" r:id="rId162" display="Certificado Titularidad/ROBERT SMITH HURTADO RODRIGUEZ.pdf" xr:uid="{14398A0E-D4AE-420F-A275-9140E33CDFD7}"/>
    <hyperlink ref="F865" r:id="rId163" display="Certificado Titularidad/JOSE LEONARDO MENESES LOPEZ.pdf" xr:uid="{DE0062E8-481B-4F09-8D60-782874FB880B}"/>
    <hyperlink ref="F870" r:id="rId164" display="Certificado Titularidad/JOSE LUIS GONZALEZ ALVAREZ.pdf" xr:uid="{251631B7-83CC-4C2E-B637-6428B8882AB8}"/>
    <hyperlink ref="F1256" r:id="rId165" display="Certificado Titularidad/REMY SENNDER FARIAS ACARO.pdf" xr:uid="{EC068C8E-4B45-496B-9A74-9C46B3D7F4CA}"/>
    <hyperlink ref="F1252" r:id="rId166" display="Certificado Titularidad/RAUL ROBERTO DA SILVA.pdf" xr:uid="{FBA2F3AA-A421-4E7D-B230-FC8481B43C73}"/>
    <hyperlink ref="F903" r:id="rId167" display="Certificado Titularidad/JUAN CARLOS HUAMAN RIVERA.pdf" xr:uid="{FFA89C5C-A399-492A-A6A9-ACCF67B1764D}"/>
    <hyperlink ref="F1238" r:id="rId168" display="Certificado Titularidad/RAFAEL ARTURO REYES ROMERO.pdf" xr:uid="{A31684BB-F11C-4563-BE1A-E20D2A7F851F}"/>
    <hyperlink ref="F909" r:id="rId169" display="Certificado Titularidad/JUAN CARLOS VERGARA VALDERRAMA.pdf" xr:uid="{2CE4CB71-4906-4B60-B8C8-79FA86AD49FF}"/>
    <hyperlink ref="F912" r:id="rId170" display="Certificado Titularidad/JUAN DANIEL MORA PEÑALOZA.pdf" xr:uid="{CB01CE59-FBB8-4543-8666-07BC1AF14EE4}"/>
    <hyperlink ref="F1221" r:id="rId171" display="Certificado Titularidad/PEDRO HERMOGENES GAMARRA ALBAN.pdf" xr:uid="{E89738D1-955F-48AC-B7B0-13431EC824ED}"/>
    <hyperlink ref="F924" r:id="rId172" display="Certificado Titularidad/JUAN EUSEVIO VILELA SANDOVAL.pdf" xr:uid="{ACBCC994-19BA-448C-9558-BAD077BE9FFE}"/>
    <hyperlink ref="F948" r:id="rId173" display="Certificado Titularidad/JULIAN EDUARDO ARCO SAENZ.pdf" xr:uid="{A3D4D904-07BE-499F-83BF-267F0D43975D}"/>
    <hyperlink ref="F1219" r:id="rId174" display="Certificado Titularidad/PEDRO CARLOS ARMENDARIZ.pdf" xr:uid="{EB0A7577-05CE-4BD7-B7EE-74F3F8573CD3}"/>
    <hyperlink ref="F954" r:id="rId175" display="Certificado Titularidad/JULIAN OSWALDO CAMACHO SALAZAR.pdf" xr:uid="{36C26D4F-D995-4B1A-97A5-93C1888C2EA0}"/>
    <hyperlink ref="F1213" r:id="rId176" display="Certificado Titularidad/PAULO MARQUES DE OLIVEIRA.pdf" xr:uid="{C57F1BB0-E5FF-434F-AD5B-B25FA98C1806}"/>
    <hyperlink ref="F958" r:id="rId177" display="Certificado Titularidad/JULIO CESAR ANTEQUERA ALMARALES.pdf" xr:uid="{43C55035-E18E-49E3-9870-7368BCEF4A9A}"/>
    <hyperlink ref="F968" r:id="rId178" display="Certificado Titularidad/KAIQUI SANTOS DE SOUZA.pdf" xr:uid="{8F6DC279-8B38-47B2-9324-05C2E76FB765}"/>
    <hyperlink ref="F969" r:id="rId179" display="Certificado Titularidad/KARLO CESAR COLONA CRUZ.pdf" xr:uid="{E15D45E9-3A4D-4FB8-8DED-23D26CA59397}"/>
    <hyperlink ref="F971" r:id="rId180" display="Certificado Titularidad/KEVIN ELI CACERES SOLARI.pdf" xr:uid="{A5FDBF55-FEB1-4FEE-8878-402D3F82CC5F}"/>
    <hyperlink ref="F974" r:id="rId181" display="Certificado Titularidad/KEVIN STEVEN RAMIREZ CARDONA.pdf" xr:uid="{8F70AE9F-BFE9-450A-88F3-960B72ACF091}"/>
    <hyperlink ref="F1180" r:id="rId182" display="Certificado Titularidad/OMAR FONTECHA HERNANDEZ.pdf" xr:uid="{3C803C67-3FA3-4E50-810B-717AB878C8AF}"/>
    <hyperlink ref="F979" r:id="rId183" display="Certificado Titularidad/LAISNERS GALICIA MORALES.pdf" xr:uid="{1FC284B2-F51F-47C1-B44A-E3C67C3B1A3E}"/>
    <hyperlink ref="F1176" r:id="rId184" display="Certificado Titularidad/OMAR ALFREDO OTERO OCHOA.pdf" xr:uid="{307082AA-B20E-46DA-A6BA-4776F8CD6532}"/>
    <hyperlink ref="F992" r:id="rId185" display="Certificado Titularidad/LUCAS SALES DE FARIA.pdf" xr:uid="{EA11ED2B-316A-477A-8038-0080F1A23BF6}"/>
    <hyperlink ref="F1001" r:id="rId186" display="Certificado Titularidad/LUIS ALBERTO FUNEZ COLLAZOS.pdf" xr:uid="{F2EC94EA-A013-4384-A3D6-38F8BA09E3EC}"/>
    <hyperlink ref="F1004" r:id="rId187" display="Certificado Titularidad/LUIS ALBERTO RAMIREZ PINEDO.pdf" xr:uid="{A733BF4E-CB80-49EB-A9AB-3253961EA24D}"/>
    <hyperlink ref="F1005" r:id="rId188" display="Certificado Titularidad/LUIS ALBERTO SABOGAL OROZCO.pdf" xr:uid="{23493F61-45B6-4081-8ECD-C65BFBA259C6}"/>
    <hyperlink ref="F1165" r:id="rId189" display="Certificado Titularidad/NILSON MOSQUERA GOMEZ.pdf" xr:uid="{0FA54E96-8DB6-483D-9C19-C5DFFD5F389D}"/>
    <hyperlink ref="F1142" r:id="rId190" display="Certificado Titularidad/NELSON ALBERTO SALCEDO RODRIGUEZ.pdf" xr:uid="{B462F29E-2778-4801-9634-F5B07F2305FE}"/>
    <hyperlink ref="F1134" r:id="rId191" display="Certificado Titularidad/MOISÉS NUNES FERREIRA.pdf" xr:uid="{E5F1E490-7A9E-46E2-8881-89860C6660BF}"/>
    <hyperlink ref="F1132" r:id="rId192" display="Certificado Titularidad/MOISES JOSÉ BARRETO ALMEIDA.pdf" xr:uid="{8FA2002F-4FF5-4FFB-88FB-283FDB1560AE}"/>
    <hyperlink ref="F1129" r:id="rId193" display="Certificado Titularidad/MOACIR DA SILVA.pdf" xr:uid="{08FCE6C1-DE19-4CFD-B7BC-D6FD5992F367}"/>
    <hyperlink ref="F1117" r:id="rId194" display="Certificado Titularidad/MIGUEL SUMIRE ROA.pdf" xr:uid="{67889D1B-C059-4C85-8EDD-8C0CF346C155}"/>
    <hyperlink ref="F1112" r:id="rId195" display="Certificado Titularidad/MIGUEL ANGEL MARTINEZ CHAVEZ.pdf" xr:uid="{C3895CDE-FCBA-4A50-901D-01624FC978C6}"/>
    <hyperlink ref="F1109" r:id="rId196" display="Certificado Titularidad/MIGUEL ANGEL CHUQUIZAPON VASQUEZ.pdf" xr:uid="{1981362C-A380-4994-8A42-AC6626DA8364}"/>
    <hyperlink ref="F1105" r:id="rId197" display="Certificado Titularidad/MICHAEL SANDOVAL CAMARGO.pdf" xr:uid="{F6C294CA-8363-487B-AD95-279A10E67738}"/>
    <hyperlink ref="F1091" r:id="rId198" display="Certificado Titularidad/MATHEUS FERREIRA DE OLIVEIRA.pdf" xr:uid="{B6183AAA-42E8-4FBD-9600-22F0B53A0A90}"/>
    <hyperlink ref="F1090" r:id="rId199" display="Certificado Titularidad/MATHEUS ALVES BARBOSA CASTRO.pdf" xr:uid="{35C43759-012B-4295-8F9D-2B06F8CF056B}"/>
    <hyperlink ref="F1087" r:id="rId200" display="Certificado Titularidad/MARTIN FRANCISCO ABACA.pdf" xr:uid="{E9A5B0C0-97EE-46DA-A842-8B6BC5DD24D9}"/>
    <hyperlink ref="F1012" r:id="rId201" display="Certificado Titularidad/LUIS ALFREDO RODRIGUEZ HERNANDEZ.pdf" xr:uid="{23184AE7-842B-49B4-B179-04ECD952051C}"/>
    <hyperlink ref="F1021" r:id="rId202" display="Certificado Titularidad/LUIS EDUARDO BRAGA TEIXEIRA VILELA VIDAL.pdf" xr:uid="{0B89A167-A2D1-48BA-8979-7629898C8925}"/>
    <hyperlink ref="F1080" r:id="rId203" display="Certificado Titularidad/MARLLON SALES DE FARIA.pdf" xr:uid="{D4383E0B-3D69-4A22-9861-7B7573C34B3B}"/>
    <hyperlink ref="F1033" r:id="rId204" display="Certificado Titularidad/LUIS FERNANDO DENIS BEJARANO.pdf" xr:uid="{45DFD91C-C04A-4C0D-9ED2-7D55440AF883}"/>
    <hyperlink ref="F1064" r:id="rId205" display="Certificado Titularidad/MARCELO NASCIMENTO COSME.pdf" xr:uid="{9EB5E241-5B9E-49CD-8B86-DEBCE79D47C7}"/>
    <hyperlink ref="F1065" r:id="rId206" display="Certificado Titularidad/MARCIAL RAUL ANCO GONZALES.pdf" xr:uid="{766A2800-10F4-4300-BD51-BF79C9F5B522}"/>
    <hyperlink ref="H365" r:id="rId207" display="Documentos firmados cambio/EDWIN DAYAN BENITEZ RIOS.pdf" xr:uid="{537BB5C7-1E3B-40F3-8756-D828DCDBB878}"/>
    <hyperlink ref="F120" r:id="rId208" display="Certificado Titularidad/ARNULFO ENRIQUE JIMENEZ BARRIOS.pdf" xr:uid="{8BC5F81A-A466-46BE-985E-940EE1925625}"/>
    <hyperlink ref="H1256" r:id="rId209" display="Documentos firmados cambio/REMY SENNDER FARIAS ACARO.pdf" xr:uid="{9AC9271D-4FD5-4ABE-8796-BA9077A44D98}"/>
    <hyperlink ref="F1157" r:id="rId210" display="Certificado Titularidad/NESTOR JULIAN BORRERO HERNANDEZ.pdf" xr:uid="{4429E9E8-B41B-40BB-A4CD-C0B253950F9D}"/>
    <hyperlink ref="H1157" r:id="rId211" display="Documentos firmados cambio/NESTOR JULIAN BORRERO HERNANDEZ.pdf" xr:uid="{423223F6-7BAB-49EF-9077-9F7C98D711A4}"/>
    <hyperlink ref="F280" r:id="rId212" display="Certificado Titularidad/DEIVIX ERIC MANUEL PRETEL RONCAL.pdf" xr:uid="{01D65D40-2C9D-48A3-8D85-539EF4F4BB2F}"/>
    <hyperlink ref="F399" r:id="rId213" display="Certificado Titularidad/ENRI JAIME CALDAS BERMUDES.pdf" xr:uid="{D41E0410-22ED-49D0-9E09-48A836F41AB6}"/>
    <hyperlink ref="H399" r:id="rId214" display="Documentos firmados cambio/ENRI JAIME CALDAS BERMUDES.pdf" xr:uid="{8371EDFE-2FE5-4C2E-9B40-9F76A8587C8E}"/>
    <hyperlink ref="H1067" r:id="rId215" display="Documentos firmados cambio/MARCO ANTONIO CRISTOBAL CALERO.pdf" xr:uid="{8D360E05-31C1-43E0-81BD-1B5EBE14475F}"/>
    <hyperlink ref="F1067" r:id="rId216" display="Certificado Titularidad/MARCO ANTONIO CRISTOBAL CALERO.pdf" xr:uid="{B008A631-68EC-4AF7-9A30-CE1D9DABD6B6}"/>
    <hyperlink ref="F499" r:id="rId217" display="Certificado Titularidad/GIAN CARLOS SAAVEDRA LAPA.pdf" xr:uid="{EBD9995B-494D-46B8-A4E3-2989B8F9E716}"/>
    <hyperlink ref="F431" r:id="rId218" display="Certificado Titularidad/FABIANO ANTUNES DE CARVALHO.pdf" xr:uid="{BC23D526-6FBC-47AD-B87C-32A0916AC91F}"/>
    <hyperlink ref="F1235" r:id="rId219" display="Certificado Titularidad/PERCY ROMEO SAAVEDRA VELASQUEZ.pdf" xr:uid="{72ED690E-E9F1-4EB6-92ED-DD342942A35B}"/>
    <hyperlink ref="F127" r:id="rId220" display="Certificado Titularidad/BENJAMIN MIGUEL VENTOCILLA CANDELARIO.pdf" xr:uid="{6DDCA80E-1922-45AB-8248-AD817B907B8E}"/>
    <hyperlink ref="F1234" r:id="rId221" display="Certificado Titularidad/PEDRO SARMIENTO ROBLES.pdf" xr:uid="{1D82F902-638C-4515-92F1-60D00CF96CCD}"/>
    <hyperlink ref="F1182" r:id="rId222" display="Certificado Titularidad/OMAR STEVEEN SANCHEZ ROJAS.pdf" xr:uid="{82557C11-4053-4143-8B38-67275AD066DA}"/>
    <hyperlink ref="F1003" r:id="rId223" display="Certificado Titularidad/LUIS ALBERTO MIRANDA ESPINOZA.pdf" xr:uid="{CAFA9793-32DF-4CF5-BF26-1D141E2727AA}"/>
    <hyperlink ref="F897" r:id="rId224" display="Certificado Titularidad/JUAN CARLOS ARCAYA NORIEGA.pdf" xr:uid="{A8C927FF-E7A0-4388-95C3-693918E49E10}"/>
    <hyperlink ref="F64" r:id="rId225" display="Certificado Titularidad/ALVARO FIGUEROA ARANGO.pdf" xr:uid="{758029AB-59AF-4AA6-B8D8-4706E790627C}"/>
    <hyperlink ref="F1108" r:id="rId226" display="Certificado Titularidad/MIGUEL ANGEL ARCAYA NORIEGA.pdf" xr:uid="{A39CBFCF-083F-494A-BE73-18F2CF5AF23A}"/>
    <hyperlink ref="F187" r:id="rId227" display="Certificado Titularidad/CARLOS EDUARDO CALDERON SALDARRIAGA.pdf" xr:uid="{6ED5FA9E-29CC-4AF0-ACA2-92FA388B009E}"/>
    <hyperlink ref="F123" r:id="rId228" display="Certificado Titularidad/AYRTON MAXIMO CUMPA SENADOR.pdf" xr:uid="{3B29D069-E4F9-4423-AC15-CE0A1FCD48E6}"/>
    <hyperlink ref="F1203" r:id="rId229" display="Certificado Titularidad/OSCAR JESUS MENDEZ BELLO.pdf" xr:uid="{061C16CA-B68A-485A-944D-655D91E6BFE2}"/>
    <hyperlink ref="F102" r:id="rId230" display="Certificado Titularidad/ANTERO UBALDO RAMIREZ MIRABAL.pdf" xr:uid="{2E82FC0D-5029-40A1-A8E4-CCAC7A5CA27B}"/>
    <hyperlink ref="F337" r:id="rId231" display="Certificado Titularidad/EDU PANDURO RUIZ.pdf" xr:uid="{7C438EDD-C471-4536-898F-B33A074C7929}"/>
    <hyperlink ref="F1119" r:id="rId232" display="Certificado Titularidad/MILTHON WALTER PORRAS JIMENEZ.pdf" xr:uid="{27AE9003-A95A-4D94-A46C-C1398266D30D}"/>
    <hyperlink ref="F372" r:id="rId233" display="Certificado Titularidad/EDWIN JOEL SILVA RAMOS.pdf" xr:uid="{0F6D9721-05F6-4399-8D4C-A5887EDC8411}"/>
    <hyperlink ref="F997" r:id="rId234" display="Certificado Titularidad/LUIS ALBERTO AMOROS SHUPINGAHUA.pdf" xr:uid="{BCAEC0C1-3255-4AAC-A3C1-DC2886D212E2}"/>
    <hyperlink ref="F704" r:id="rId235" display="Certificado Titularidad/JHEAN MARCOS CASTILLO CHUNAS.pdf" xr:uid="{CFBD8276-662B-41ED-88BA-11764716AED2}"/>
    <hyperlink ref="F409" r:id="rId236" display="Certificado Titularidad/ERICK SAUL JIMENEZ SORACA.pdf" xr:uid="{2CA9668D-9B72-4A95-99BF-47536A79C773}"/>
    <hyperlink ref="F273" r:id="rId237" display="Certificado Titularidad/DAWED JAIR AGUDELO PEREZ.pdf" xr:uid="{2ABC5DA2-3D54-429F-8C56-D601248602CC}"/>
    <hyperlink ref="F1297" r:id="rId238" display="Certificado Titularidad/ROGELIO EFRAIN CONDORI HUANCA.pdf" xr:uid="{10E9B70C-8DCA-46EB-921C-2A6E75DC0CAE}"/>
    <hyperlink ref="F1290" r:id="rId239" display="Certificado Titularidad/RODOLFO ALBERTO MARCHAN PALACIOS.pdf" xr:uid="{894113E0-66C8-47D9-AAA8-2A9491C2291B}"/>
    <hyperlink ref="F700" r:id="rId240" display="Certificado Titularidad/JESUS HEYBER YELA MELO.pdf" xr:uid="{F7331F7F-965D-48A8-8A3B-3E660E5EAA9C}"/>
    <hyperlink ref="F479" r:id="rId241" display="Certificado Titularidad/FREDIS ANTONIO MORELOS COLON.pdf" xr:uid="{D4C09AC8-90AE-4760-836F-6D0A695F847F}"/>
    <hyperlink ref="F1354" r:id="rId242" display="Certificado Titularidad/SIMION LUCIANO CHILINGANO PILLACA.pdf" xr:uid="{F6B04259-EED7-45B5-8237-9F25DD93B269}"/>
    <hyperlink ref="F204" r:id="rId243" display="Certificado Titularidad/CARLOS MITCHELL SANTOS.pdf" xr:uid="{154F02E3-A18D-4E99-A61C-2D1CC0BF2640}"/>
    <hyperlink ref="F103" r:id="rId244" display="Certificado Titularidad/ANTHONY JULIAN MORENO VALDERRAMA.pdf" xr:uid="{D3613906-019C-4D31-ABBD-50CB732E8180}"/>
    <hyperlink ref="F763" r:id="rId245" display="Certificado Titularidad/JOHN FREDDY PEREZ RUIZ.pdf" xr:uid="{30962853-9D4B-4DC6-BE7D-25D8DC1B76D2}"/>
    <hyperlink ref="F1360" r:id="rId246" display="Certificado Titularidad/ULISES HERNAN CORDOVA HERNANDEZ.pdf" xr:uid="{6BA3AAAE-310B-4894-8865-3E5A86189788}"/>
    <hyperlink ref="H1350" r:id="rId247" display="Documentos firmados cambio/SERGIO LUIS BELTRAN BALDOVINO.pdf" xr:uid="{5DA52167-A1C5-48FC-869F-ACF13732EF92}"/>
    <hyperlink ref="F1266" r:id="rId248" display="Certificado Titularidad/RICHARD FREDY CIENFUEGOS ARANA.pdf" xr:uid="{C48C7F57-43FE-450D-958A-142540409576}"/>
    <hyperlink ref="F947" r:id="rId249" display="Certificado Titularidad/JULIAN EDUARDO AGUILAR.pdf" xr:uid="{28E33ECA-0A20-4FC7-8EA4-8EC2A035AD40}"/>
    <hyperlink ref="F355" r:id="rId250" display="Certificado Titularidad/EDWARD FRANCISCO RAMIREZ JARAMILLO.pdf" xr:uid="{58748726-4275-43B0-A816-3FDED42EE155}"/>
    <hyperlink ref="F166" r:id="rId251" display="Certificado Titularidad/CARLOS ALBERTO PINTADO CARRION.pdf" xr:uid="{947F2DC2-D142-499A-BB73-8826D7F705C7}"/>
    <hyperlink ref="H974" r:id="rId252" display="Documentos firmados cambio/KEVIN STEVEN RAMIREZ CARDONA.pdf" xr:uid="{B89B4925-6227-4644-AF70-A5D1799F55BD}"/>
    <hyperlink ref="F694" r:id="rId253" display="Certificado Titularidad/JESUS ANTONIO HERNANDEZ ARISMENDY.pdf" xr:uid="{C34C8D0E-7829-439A-9014-179FF2357EBB}"/>
    <hyperlink ref="F552" r:id="rId254" display="Certificado Titularidad/HECTOR JULIAN MOSQUERA OROBIO.pdf" xr:uid="{048F89E3-A103-4210-9500-DA82139E7199}"/>
    <hyperlink ref="H1219" r:id="rId255" display="Documentos firmados cambio/PEDRO CARLOS ARMENDARIZ.pdf" xr:uid="{43DFEDAE-20E3-495F-B13D-703F75F74ACB}"/>
    <hyperlink ref="H552" r:id="rId256" display="Documentos firmados cambio/HECTOR JULIAN MOSQUERA OROBIO.pdf" xr:uid="{95F8165C-4BCF-4C97-BF63-9373FCA5E25F}"/>
    <hyperlink ref="F32" r:id="rId257" display="Certificado Titularidad/ALEJANDRO HERNANDEZ PIMIENTA.pdf" xr:uid="{145FBBB9-CF9F-4399-A4B6-404CF445CBD3}"/>
    <hyperlink ref="F42" r:id="rId258" display="Certificado Titularidad/ALEXANDER ANTHONY ZAMORA ALMENDARIZ.pdf" xr:uid="{03571F4C-7186-49EB-9C6B-E7E9A0664976}"/>
    <hyperlink ref="H385" r:id="rId259" display="Documentos firmados cambio/ELIS RAMON GARCIA DIAZ.pdf" xr:uid="{7FA7587C-C225-4FF8-A60F-58C2D47E99A5}"/>
    <hyperlink ref="F1377" r:id="rId260" display="Certificado Titularidad/WALDEMAR ALVAREZ SAENZ.pdf" xr:uid="{D978B777-65B3-46C8-B06B-EF38F7886876}"/>
    <hyperlink ref="F156" r:id="rId261" display="Certificado Titularidad/CARLOS ADRIAN CAMELO CALDERON.pdf" xr:uid="{19BFEED9-E3C8-40ED-A37A-71228918FD64}"/>
    <hyperlink ref="F1190" r:id="rId262" display="Certificado Titularidad/OSCAR ANDRES RIVAS ESCALANTE.pdf" xr:uid="{FBCFCC80-D11A-4697-ACB1-0D253CA50922}"/>
    <hyperlink ref="F1451" r:id="rId263" display="Certificado Titularidad/YEXID ELIAS JULIO LICONA.pdf" xr:uid="{8194988B-E339-4554-BCCD-F1CBD008D0EE}"/>
    <hyperlink ref="H1377" r:id="rId264" display="Documentos firmados cambio/WALDEMAR ALVAREZ SAENZ.pdf" xr:uid="{F4CFBC7E-1383-4C2D-A4B4-B299DA816C4A}"/>
    <hyperlink ref="F995" r:id="rId265" display="Certificado Titularidad/LUCIANO LOPES DE ALMEIDA.pdf" xr:uid="{F3B9AC41-2E34-4708-97A0-941F14B5FFEA}"/>
    <hyperlink ref="H848" r:id="rId266" display="Documentos firmados cambio/JOSE GABRIEL GONZALEZ SUAREZ.pdf" xr:uid="{1BA4ECDC-5C33-4299-A80D-CF5BEE31FB4E}"/>
    <hyperlink ref="H1190" r:id="rId267" display="Documentos firmados cambio/OSCAR ANDRES RIVAS ESCALANTE.pdf" xr:uid="{F8B20591-24BC-4DC1-89A7-B87B6C7935E9}"/>
    <hyperlink ref="F1339" r:id="rId268" display="Certificado Titularidad/SANTOS PAULO ARCAYA NORIEGA.pdf" xr:uid="{7DB41D1B-2F0D-440A-811E-C06F2344DD17}"/>
    <hyperlink ref="F669" r:id="rId269" display="Certificado Titularidad/JAVIER SAUL PEREA CAMARGO.pdf" xr:uid="{00423FC1-BF29-4A91-8590-A4BC03A6D873}"/>
    <hyperlink ref="F915" r:id="rId270" display="Certificado Titularidad/JUAN DAVID FLORES INGA.pdf" xr:uid="{1E6866DF-B074-4BBC-9B5A-33FCA5C2A518}"/>
    <hyperlink ref="F107" r:id="rId271" display="Certificado Titularidad/ANTONIO YESID MARRUGO JARAMILLO.pdf" xr:uid="{6D8250F5-1F95-4507-8965-FF479B45268F}"/>
    <hyperlink ref="F1345" r:id="rId272" display="Certificado Titularidad/SERGIO ANDRES LANDINES BARRIOS.pdf" xr:uid="{F7CC96E6-54C9-4EF3-9CE8-11BEDD027C89}"/>
    <hyperlink ref="F76" r:id="rId273" display="Certificado Titularidad/ANDERSSON DENILSON GOMEZ ASCENCIO.pdf" xr:uid="{19762E35-8DF7-4C59-A053-5DD41CEB56CA}"/>
    <hyperlink ref="F590" r:id="rId274" display="Certificado Titularidad/HUMBERTO ENRIQUE MARTINEZ.pdf" xr:uid="{FC280E86-9F0A-4994-B14C-A752E24E3336}"/>
    <hyperlink ref="F83" r:id="rId275" display="Certificado Titularidad/ANDRES FELIPE GOMEZ PUERTA.pdf" xr:uid="{880169FC-520B-4031-92E6-9CB26F3E0264}"/>
    <hyperlink ref="F1068" r:id="rId276" display="Certificado Titularidad/MARCO ANTONIO ROJAS CARBAJAL.pdf" xr:uid="{37B1C64F-15F6-4102-8EA8-04FB2E119517}"/>
    <hyperlink ref="F519" r:id="rId277" display="Certificado Titularidad/GUILLERMO LEON POSADA LONDONO.pdf" xr:uid="{5CAB04C1-FEED-4ED1-B0D9-2BE4E8685369}"/>
    <hyperlink ref="H909" r:id="rId278" display="Documentos firmados cambio/JUAN CARLOS VERGARA VALDERRAMA.pdf" xr:uid="{CEB4A6AA-6134-4B01-8BF8-B1054975AE56}"/>
    <hyperlink ref="F1346" r:id="rId279" display="Certificado Titularidad/SERGIO ANDRES LOBO BARRIOS.pdf" xr:uid="{770CEE7F-B878-495C-ADA7-253232820EF3}"/>
    <hyperlink ref="H1346" r:id="rId280" display="Documentos firmados cambio/SERGIO ANDRES LOBO BARRIOS.pdf" xr:uid="{6030B6ED-912E-4518-AC5D-9E12E85B16BA}"/>
    <hyperlink ref="F489" r:id="rId281" display="Certificado Titularidad/GENIER DE LA CRUZ RIQUETT.pdf" xr:uid="{1F281EF4-483A-449F-9F92-CEE5D06B6963}"/>
    <hyperlink ref="F1445" r:id="rId282" display="Certificado Titularidad/YEISON SAMIR CAICEDO.pdf" xr:uid="{65E92878-CD22-427B-9F68-D37ADA052187}"/>
    <hyperlink ref="F265" r:id="rId283" display="Certificado Titularidad/DARWIN JOSE VASQUEZ ORTEGA.pdf" xr:uid="{F630D324-92BE-4F6F-AFFC-DAC5F2D1878C}"/>
    <hyperlink ref="H1445" r:id="rId284" display="Documentos firmados cambio/YEISON SAMIR CAICEDO.pdf" xr:uid="{BE3E2F42-EC3E-4A2F-878F-3FE2F18F6C6C}"/>
    <hyperlink ref="F1102" r:id="rId285" display="Certificado Titularidad/MELBIN JULIO ALBOR SUAREZ.pdf" xr:uid="{BFCF58FB-4A08-4477-B799-A047D04F8823}"/>
    <hyperlink ref="F1366" r:id="rId286" display="Certificado Titularidad/VICTOR ARTURO GALVEZ PALACIOS.pdf" xr:uid="{D022538C-C6EA-4AA8-9BDF-193887225BD7}"/>
    <hyperlink ref="F887" r:id="rId287" display="Certificado Titularidad/JOSUE ENRIQUE ZEVALLOS BENITES.pdf" xr:uid="{1AE07678-4506-4C42-92C3-16B518EB3C2A}"/>
    <hyperlink ref="F272" r:id="rId288" display="Certificado Titularidad/DAVID RICARDO SANCHEZ ZAPATA.pdf" xr:uid="{1DCEAE4D-1788-4E1F-ACB3-02A7F8C2D91B}"/>
    <hyperlink ref="F1313" r:id="rId289" display="Certificado Titularidad/RONALD JAVIER MARCELO SEMINARIO.pdf" xr:uid="{C8D5E6BC-052D-43E0-9429-ACC1AB70F9C2}"/>
    <hyperlink ref="F588" r:id="rId290" display="Certificado Titularidad/HUGO MAMANI HERRERA.pdf" xr:uid="{8FB94E1E-3FEB-437F-88B8-16A3D6FD6C13}"/>
    <hyperlink ref="F416" r:id="rId291" display="Certificado Titularidad/EUSEBIO ANAMURO CUSI.pdf" xr:uid="{B3EB7723-BA2B-4A3E-A5D5-CE20E63C4484}"/>
    <hyperlink ref="F869" r:id="rId292" display="Certificado Titularidad/JOSE LUIS CHAVEZ PAUCAR.pdf" xr:uid="{379D987F-EAE0-4621-B18A-4C3A7726B285}"/>
    <hyperlink ref="F196" r:id="rId293" display="Certificado Titularidad/CARLOS JULIO ACOSTA CAMACHO.pdf" xr:uid="{A0B9CA56-94E8-4945-BBDE-C84614B43071}"/>
    <hyperlink ref="F959" r:id="rId294" display="Certificado Titularidad/JULIO CESAR CAICEDO BOLAÑOS.pdf" xr:uid="{774C798B-55EB-4EA1-AA83-A2F255CB7DC8}"/>
    <hyperlink ref="F34" r:id="rId295" display="Certificado Titularidad/ALESSANDRO SANTANA JESUS.pdf" xr:uid="{500D8462-63B0-44B6-89C2-712D1011D1F7}"/>
    <hyperlink ref="F602" r:id="rId296" display="Certificado Titularidad/ISMAEL DA SILVA.pdf" xr:uid="{5C04D92F-F17B-4CB6-876B-AFD73329AFEB}"/>
    <hyperlink ref="F281" r:id="rId297" display="Certificado Titularidad/DENYSVAN LIBERIO SILVA.pdf" xr:uid="{2763A7E3-AB7A-4764-BB4E-F7F999A5FF70}"/>
    <hyperlink ref="F227" r:id="rId298" display="Certificado Titularidad/CLEDISON NOVAIS.pdf" xr:uid="{3752EE6C-FEAC-4BD4-8E87-E0C0B25A13B7}"/>
    <hyperlink ref="F433" r:id="rId299" display="Certificado Titularidad/FABIO CEZAR BEZERRA.pdf" xr:uid="{6444071E-2A39-44F3-972F-F07B6D17A814}"/>
    <hyperlink ref="F305" r:id="rId300" display="Certificado Titularidad/DOMINGOS ADAO PASCOAL.pdf" xr:uid="{3F60E6EE-2093-4625-93C2-1F0D9E0A4D0D}"/>
    <hyperlink ref="F1307" r:id="rId301" display="Certificado Titularidad/ROMULO RIBEIRO MENDONCA.pdf" xr:uid="{39A1DBF9-BC3D-4BFF-B5BA-B59D9B7242CC}"/>
    <hyperlink ref="F1315" r:id="rId302" display="Certificado Titularidad/RONALDO DA SILVA PEREIRA.pdf" xr:uid="{6B0F336E-C80B-4DF4-8487-D1349B065263}"/>
    <hyperlink ref="F1153" r:id="rId303" display="Certificado Titularidad/NEIKER ARMANDO OVIEDO CANCHILLA.pdf" xr:uid="{75137F1C-CF3D-48BB-B82C-B7BE586A8D95}"/>
    <hyperlink ref="F1101" r:id="rId304" display="Certificado Titularidad/MEIKER SADAINER OVIEDO CANCHILA.pdf" xr:uid="{7E57801B-DC6F-453F-A3A7-666F7BE4D39B}"/>
    <hyperlink ref="F435" r:id="rId305" display="Certificado Titularidad/FABIO GOMES DOS ANJOS.pdf" xr:uid="{9E0391B5-2A68-4809-88BB-9A847D172513}"/>
    <hyperlink ref="F13" r:id="rId306" display="Certificado Titularidad/AGUINALDO JOSE SILVA SOUZA.pdf" xr:uid="{269E4842-65FE-4766-8D88-6F2E4FB5DF81}"/>
    <hyperlink ref="F1043" r:id="rId307" display="Certificado Titularidad/LUIS MANUEL MEJIA AYALA.pdf" xr:uid="{479D9C0D-5CD7-44A1-A526-276A592B4467}"/>
    <hyperlink ref="F411" r:id="rId308" display="Certificado Titularidad/ERMINSON OMAR INFANTE CASAS.pdf" xr:uid="{08114392-149F-4B86-95D4-61F9083EF9D2}"/>
    <hyperlink ref="F135" r:id="rId309" display="Certificado Titularidad/BRANDON ALEXANDER BAYONA CABALLERO.pdf" xr:uid="{01AA9852-13DE-4FA2-BFE8-6FA2B80440ED}"/>
    <hyperlink ref="F1138" r:id="rId310" display="Certificado Titularidad/NEIDER ALEXANDER MONTERO PAEZ.pdf" xr:uid="{49615497-BDCE-42FD-9964-D778170678D7}"/>
    <hyperlink ref="F213" r:id="rId311" display="Certificado Titularidad/CESAR EDUARDO GONZALES BARRIENTOS.pdf" xr:uid="{2846E611-7E29-42E3-9E88-B5F81912B5D7}"/>
    <hyperlink ref="F19" r:id="rId312" display="Certificado Titularidad/ALBERTO CCENHUA MICHCA.pdf" xr:uid="{1651CCC7-0F00-419E-A399-D4884B5DFD5A}"/>
    <hyperlink ref="F1083" r:id="rId313" display="Certificado Titularidad/MARLON SERNA URBANO.pdf" xr:uid="{0723E9B9-5146-4444-A740-DB4CCBEA3378}"/>
    <hyperlink ref="F129" r:id="rId314" display="Certificado Titularidad/BILLY STEFAN GONZALES DIAZ.pdf" xr:uid="{ECE0A701-0298-4C24-838C-F989A8802378}"/>
    <hyperlink ref="F1158" r:id="rId315" display="Certificado Titularidad/NESTOR RAUL RESTREPO POLO.pdf" xr:uid="{1B417B0C-F122-4E79-85F2-38B057F22EAD}"/>
    <hyperlink ref="F701" r:id="rId316" display="Certificado Titularidad/JESUS JAMES BALDEON ZUNIGA.pdf" xr:uid="{4DB13947-0703-4EFB-A8C3-69E964C25A97}"/>
    <hyperlink ref="F734" r:id="rId317" display="Certificado Titularidad/JHON KEVIN SOLIS IRRIBARREN.pdf" xr:uid="{9C8F240D-1824-4EEF-8952-57C0685C1D9D}"/>
    <hyperlink ref="F1304" r:id="rId318" display="Certificado Titularidad/ROMEL YBAN TUFINIO ZOCON.pdf" xr:uid="{609BD663-8923-4AF3-A39E-E91F86F8F14E}"/>
    <hyperlink ref="F1303" r:id="rId319" display="Certificado Titularidad/ROLFI ESTEBAN TORRES SOTELO.pdf" xr:uid="{23F46AB2-E336-4354-9A4A-A77334892C15}"/>
    <hyperlink ref="F891" r:id="rId320" display="Certificado Titularidad/JUAN ALBERTO RODRIGUEZ.pdf" xr:uid="{720C9B2D-872D-428E-BEBE-BA1D75F06A22}"/>
    <hyperlink ref="F1173" r:id="rId321" display="Certificado Titularidad/ODAR JOHN REYES RAMIREZ.pdf" xr:uid="{106C9FA9-2456-4345-86DE-7F4427A11157}"/>
    <hyperlink ref="F1227" r:id="rId322" display="Certificado Titularidad/PEDRO LUIS ORTEGA MULET.pdf" xr:uid="{AEA3488E-A273-43D8-821C-9BD0E5C06B21}"/>
    <hyperlink ref="F932" r:id="rId323" display="Certificado Titularidad/JUAN JESUS BARRANCA URIBE.pdf" xr:uid="{329EB1F9-A1E8-4502-8276-57EFBC26CEC4}"/>
    <hyperlink ref="F1401" r:id="rId324" display="Certificado Titularidad/WILLIAM NOE MANRIQUE MOREYRA.pdf" xr:uid="{3B355282-ADE1-4446-8D0F-E408722283F5}"/>
    <hyperlink ref="F1077" r:id="rId325" display="Certificado Titularidad/MARIO FERNANDO ALBERCA PUICON.pdf" xr:uid="{4C5D4C13-02CD-4D0D-8C04-8AF9938D34BE}"/>
    <hyperlink ref="F51" r:id="rId326" display="Certificado Titularidad/ALEXIS JESUS SUAREZ GONZALEZ.pdf" xr:uid="{FA269D04-C15B-4553-85FF-0DF965C7ABD3}"/>
    <hyperlink ref="F691" r:id="rId327" display="Certificado Titularidad/JERSON FARITH CHAPARRO VEGA.pdf" xr:uid="{FBF9A0D3-6707-4C41-8F58-790515B8D07D}"/>
    <hyperlink ref="F580" r:id="rId328" display="Certificado Titularidad/HERNANDO AUGUSTO GALINDO GOMEZ.pdf" xr:uid="{A2AF7680-A5A1-4F61-88A3-5EBAA6CAD9D3}"/>
    <hyperlink ref="F1114" r:id="rId329" display="Certificado Titularidad/MIGUEL ANGEL NUÑEZ PADILLA.pdf" xr:uid="{18C75026-C42F-4955-BA50-8379F54447D7}"/>
    <hyperlink ref="F595" r:id="rId330" display="Certificado Titularidad/IRVING JOEL MARTINEZ RUMICHE.pdf" xr:uid="{71B769AB-C081-4010-960E-406A31696AA9}"/>
    <hyperlink ref="F566" r:id="rId331" display="Certificado Titularidad/HENRRY CASTRO COLLACHAGUA.pdf" xr:uid="{9216D44E-8215-4C86-AEB5-508FD5AF47D0}"/>
    <hyperlink ref="F583" r:id="rId332" display="Certificado Titularidad/HEVERT CONDORHUAMAN GALLEGOS.pdf" xr:uid="{54E67374-B88D-48B5-9F00-89050587A554}"/>
    <hyperlink ref="F814" r:id="rId333" display="Certificado Titularidad/JORGE LUIS GONZALES VIERA.pdf" xr:uid="{8686C634-498E-4FA4-8A34-FCAFD9E103E1}"/>
    <hyperlink ref="F578" r:id="rId334" display="Certificado Titularidad/HERNAN GERONIMO ALEJANDRO TARAZONA.pdf" xr:uid="{155B6AE0-A171-47F5-9BF0-0013B479FF05}"/>
    <hyperlink ref="H1409" r:id="rId335" display="Documentos firmados cambio/WILMAN DE AVILA MARRIAGA.pdf" xr:uid="{A651862A-E6FF-4886-B287-FB7F8F0532A3}"/>
    <hyperlink ref="F67" r:id="rId336" display="Certificado Titularidad/ALVARO JUNIOR CERVANTES MELENDEZ.pdf" xr:uid="{E48BC0B5-6BB5-499C-AAEA-D17CAAFEBEDB}"/>
    <hyperlink ref="F615" r:id="rId337" display="Certificado Titularidad/IVER ALONSO TORRES MONTAÑO.pdf" xr:uid="{38AE7279-E2CE-4A17-AB43-46E2C4FB0C17}"/>
    <hyperlink ref="F936" r:id="rId338" display="Certificado Titularidad/JUAN PABLO MINA CHACON.pdf" xr:uid="{ADBFF09D-5678-455B-8727-D0011294AC57}"/>
    <hyperlink ref="F1308" r:id="rId339" display="Certificado Titularidad/RONAL TAYPE HUAMAN.pdf" xr:uid="{683C5A41-2232-4A69-BECD-00F8DD0B4BCF}"/>
    <hyperlink ref="F605" r:id="rId340" display="Certificado Titularidad/ISRAEL ANTHONY GARCIA MOREANO.pdf" xr:uid="{B0B69365-32EA-4814-9DB1-41A0146D4C65}"/>
    <hyperlink ref="F332" r:id="rId341" display="Certificado Titularidad/EDINSON HUARI HUAMAN.pdf" xr:uid="{E31E5712-8458-4DD0-B906-BDB4608C6C47}"/>
    <hyperlink ref="F329" r:id="rId342" display="Certificado Titularidad/EDILSON RODRIGUEZ MARTINEZ.pdf" xr:uid="{A4F871EB-93E7-4ACA-B526-58E770A883CB}"/>
    <hyperlink ref="F1393" r:id="rId343" display="Certificado Titularidad/WILIAN FERNANDO PIZARRO AMAYA.pdf" xr:uid="{4FEC8F2C-3FCD-40A9-90D3-C96FEF29DA69}"/>
    <hyperlink ref="H93" r:id="rId344" display="Documentos firmados cambio/ANDY LYONEL CARRASCO VARGAS.pdf" xr:uid="{E7C52A03-01D6-41A6-9382-F0F0B39CACAF}"/>
    <hyperlink ref="F1079" r:id="rId345" display="Certificado Titularidad/MARIO PEÑA HERNANDEZ.pdf" xr:uid="{D929A27A-4F05-49CB-A886-19545A7674D4}"/>
    <hyperlink ref="F818" r:id="rId346" display="Certificado Titularidad/JORGE NAYRO GARCIA OROZCO.pdf" xr:uid="{E135DDAC-C5E5-472E-96C9-2ADFDB1CE99C}"/>
    <hyperlink ref="H1079" r:id="rId347" display="Documentos firmados cambio/MARIO PEÑA HERNANDEZ.pdf" xr:uid="{8ED5F8F1-1ECB-43E3-A991-4733CE13DD05}"/>
    <hyperlink ref="H1294" r:id="rId348" display="Documentos firmados cambio/RODRIGO DA COSTA MOREIRA.pdf" xr:uid="{63F0A0C8-1787-4611-97D4-286E8976C456}"/>
    <hyperlink ref="F627" r:id="rId349" display="Certificado Titularidad/JAIME AUGUSTO JOYA BOTIA.pdf" xr:uid="{9B56D1F8-2974-4974-8A16-68B68742C5CB}"/>
    <hyperlink ref="F686" r:id="rId350" display="Certificado Titularidad/JEISON DAVID RONDON CARVAJAL.pdf" xr:uid="{47B556BC-AAE6-4CBB-A947-0F7E7BCB37EC}"/>
    <hyperlink ref="F496" r:id="rId351" display="Certificado Titularidad/GERMAN MAURICIO CARO CASTRO.pdf" xr:uid="{24DE4A65-BCDE-487D-AAC5-6C078D7BA8F0}"/>
    <hyperlink ref="H627" r:id="rId352" display="Documentos firmados cambio/JAIME AUGUSTO JOYA BOTIA.pdf" xr:uid="{104A17B9-E266-4566-9326-03FA9EE801E6}"/>
    <hyperlink ref="H686" r:id="rId353" display="Documentos firmados cambio/JEISON DAVID RONDON CARVAJAL.pdf" xr:uid="{9520B869-1F23-4CF8-BA42-5FC8F831EFF4}"/>
    <hyperlink ref="F157" r:id="rId354" display="Certificado Titularidad/CARLOS ALBERTO CABEZAS IBARGUEN.pdf" xr:uid="{76DAB4CE-D5E8-40A7-8CD9-FD7303FA5B50}"/>
    <hyperlink ref="H157" r:id="rId355" display="Documentos firmados cambio/CARLOS ALBERTO CABEZAS IBARGUEN.pdf" xr:uid="{7CC9C9DA-BDBB-4536-887D-58EDFFE20062}"/>
    <hyperlink ref="F1312" r:id="rId356" display="Certificado Titularidad/RONALD GARCIA GIRON.pdf" xr:uid="{94F2C4A3-4130-4447-92A1-E0333A0C835B}"/>
    <hyperlink ref="F39" r:id="rId357" display="Certificado Titularidad/ALEX MAURICIO CARDONA RAMIREZ.pdf" xr:uid="{9E395EEF-20F1-4B86-ABD6-A7E40BF1D556}"/>
    <hyperlink ref="F1418" r:id="rId358" display="Certificado Titularidad/WILMER RAUL NUÑEZ RAFAEL.pdf" xr:uid="{1F56ADD1-85EE-4311-A3BE-3FB5249B5F83}"/>
    <hyperlink ref="H695" r:id="rId359" display="Documentos firmados cambio/JESUS ANTONIO PAJARO ARCIRIA.pdf" xr:uid="{5DB72EDA-E491-45E9-B27E-927E0C32B215}"/>
    <hyperlink ref="F697" r:id="rId360" display="Certificado Titularidad/JESUS DAVID CARDENAS RIVERA.pdf" xr:uid="{0B020559-745C-470E-9C93-D0EE8BCED7A5}"/>
    <hyperlink ref="H1427" r:id="rId361" display="Documentos firmados cambio/WILSON FLORES ROMERO.pdf" xr:uid="{48301B3D-7365-441B-B3DD-4EF299538615}"/>
    <hyperlink ref="F28" r:id="rId362" display="Certificado Titularidad/ALDRUMAR CABALLERO MARTINEZ.pdf" xr:uid="{2E1A9F31-14CC-46CB-9A8E-1B0B5A17A9A0}"/>
    <hyperlink ref="F218" r:id="rId363" display="Certificado Titularidad/CESAR ORLANDO PEDRAZA LANCHEROS.pdf" xr:uid="{14C7494D-AEB8-4AAE-9A3B-974CB915B1DB}"/>
    <hyperlink ref="F1300" r:id="rId364" display="Certificado Titularidad/ROGER HALDER CHILCA LEON.pdf" xr:uid="{181093E4-3E3B-4B4A-9A38-25EE4161C43D}"/>
    <hyperlink ref="H218" r:id="rId365" display="Documentos firmados cambio/CESAR ORLANDO PEDRAZA LANCHEROS.pdf" xr:uid="{560228E8-63B8-4C36-B4C9-2B8B40301BC0}"/>
    <hyperlink ref="H1068" r:id="rId366" display="Documentos firmados cambio/MARCO ANTONIO ROJAS CARBAJAL.pdf" xr:uid="{529A0223-2622-4C91-97A1-EB152824F4DA}"/>
    <hyperlink ref="F787" r:id="rId367" display="Certificado Titularidad/JORDY ALEXANDER ALVA PAYAC.pdf" xr:uid="{BB0803BC-2A9A-4328-80BD-A7FE086E0EE4}"/>
    <hyperlink ref="H694" r:id="rId368" display="Documentos firmados cambio/JESUS ANTONIO HERNANDEZ ARISMENDY.pdf" xr:uid="{4CFA26AA-0B81-4EEB-8C40-AD007D1CAEB2}"/>
    <hyperlink ref="H1173" r:id="rId369" display="Documentos firmados cambio/ODAR JOHN REYES RAMIREZ.pdf" xr:uid="{916970C9-05DF-4806-B22F-9A69DADF2C1D}"/>
    <hyperlink ref="H1304" r:id="rId370" display="Documentos firmados cambio/ROMEL YBAN TUFINIO ZOCON.pdf" xr:uid="{BC6D55A5-4E7B-45CC-8DCA-B9831E73FD98}"/>
    <hyperlink ref="F706" r:id="rId371" display="Certificado Titularidad/JHESUAT EMANUEL DELGADO ALPALA.pdf" xr:uid="{D3707470-8A8D-4BE9-965A-B1EE74362C59}"/>
    <hyperlink ref="H1303" r:id="rId372" display="Documentos firmados cambio/ROLFI ESTEBAN TORRES SOTELO.pdf" xr:uid="{D0A32F19-2A21-4D81-B588-D6591A57519A}"/>
    <hyperlink ref="F140" r:id="rId373" display="Certificado Titularidad/BRAYAN JAIR SALAZAR ORTEGA.pdf" xr:uid="{B1DF8954-50CB-492D-9A38-E3B7E8B2F311}"/>
    <hyperlink ref="H140" r:id="rId374" display="Documentos firmados cambio/BRAYAN JAIR SALAZAR ORTEGA.pdf" xr:uid="{EFDEAFB6-73AD-4577-9F51-21D045D48110}"/>
    <hyperlink ref="F558" r:id="rId375" display="Certificado Titularidad/HECTOR SANCHEZ GUERRERO.pdf" xr:uid="{5356D727-AC71-459B-B8B7-6E7B5255715A}"/>
    <hyperlink ref="H22" r:id="rId376" display="Documentos firmados cambio/ALBERTO ISMAEL MENDIETA CACERES.pdf" xr:uid="{0269BFC9-A18A-4DBC-884F-84C1C81E218B}"/>
    <hyperlink ref="F966" r:id="rId377" display="Certificado Titularidad/JULIO ENRIQUE ZAMBRANO SANCHEZ.pdf" xr:uid="{434A06BD-BBBB-4A39-AF62-BABE3C5025A1}"/>
    <hyperlink ref="H966" r:id="rId378" display="Documentos firmados cambio/JULIO ENRIQUE ZAMBRANO SANCHEZ.pdf" xr:uid="{073027DF-E8A3-4DD0-838B-9C757CDA7890}"/>
    <hyperlink ref="F557" r:id="rId379" display="Certificado Titularidad/HECTOR ROMAN LUQUE CUTIPA.pdf" xr:uid="{AD59E532-405C-4406-9CD3-0469D4E67ACF}"/>
    <hyperlink ref="F539" r:id="rId380" display="Certificado Titularidad/HECTOR DAVID LEQUERNAQUE DIAZ.pdf" xr:uid="{70E2BA27-2A79-4E62-BFC7-74B2A39CD0E8}"/>
    <hyperlink ref="F1408" r:id="rId381" display="Certificado Titularidad/WILMAN ARBEY ROMERO GONZALEZ.pdf" xr:uid="{7BA76A96-8250-43CB-9FAD-A0491B2EF744}"/>
    <hyperlink ref="F162" r:id="rId382" display="Certificado Titularidad/CARLOS ALBERTO DOMINGUEZ CORDOVA.pdf" xr:uid="{EE394183-3D5F-417B-B963-4BD9EC5FC197}"/>
    <hyperlink ref="F750" r:id="rId383" display="Certificado Titularidad/JHONY WATSON SIANCAS MORALES.pdf" xr:uid="{CE7F5979-7A75-4225-879A-1483380A7E37}"/>
    <hyperlink ref="F1035" r:id="rId384" display="Certificado Titularidad/LUIS FERNANDO RIVERA PUERTA.pdf" xr:uid="{BCEFF5F3-7C8D-4206-B592-16FE694B5EEF}"/>
    <hyperlink ref="F883" r:id="rId385" display="Certificado Titularidad/JOSELIN GUZMAN CARRANZA.pdf" xr:uid="{E7CA6EC0-A5C7-44FB-B990-4CA37C0528C0}"/>
    <hyperlink ref="F540" r:id="rId386" display="Certificado Titularidad/HECTOR DAVID RAMOS BUHEZO.pdf" xr:uid="{8E969835-F497-4E13-BBA4-90E8CE943C35}"/>
    <hyperlink ref="F1281" r:id="rId387" display="Certificado Titularidad/ROBERTO RAMIREZ BELTRAN.pdf" xr:uid="{040B4517-2E85-4759-8CAE-451F55C37A81}"/>
    <hyperlink ref="F1002" r:id="rId388" display="Certificado Titularidad/LUIS ALBERTO MARTINEZ BLANQUICETT.pdf" xr:uid="{9253C128-1AAF-4997-AA6D-EDA27CC6B5C6}"/>
    <hyperlink ref="F547" r:id="rId389" display="Certificado Titularidad/HECTOR FABIO VIVAS GUTIERREZ.pdf" xr:uid="{890BB45B-3DC1-485F-91CD-6AFE74E01F3B}"/>
    <hyperlink ref="F530" r:id="rId390" display="Certificado Titularidad/HARLIM YAIR SILVA MIRANDA.pdf" xr:uid="{ABF29990-D48D-43E4-873D-FDFFD0A3E0A7}"/>
    <hyperlink ref="F1229" r:id="rId391" display="Certificado Titularidad/PEDRO MARTIN GUTIERREZ BARRIENTOS.pdf" xr:uid="{D96440CB-52DB-413A-8F14-27FE416ADE13}"/>
    <hyperlink ref="F996" r:id="rId392" display="Certificado Titularidad/LUIGUI ARMANDO QUINES GRANADOS.pdf" xr:uid="{14613B36-85EB-47B4-9A76-08048F3AFB28}"/>
    <hyperlink ref="F10" r:id="rId393" display="Certificado Titularidad/ADRIAN CAMILO PINILLA AGUIRRE.pdf" xr:uid="{BCA45ADD-114D-4CC2-A03F-9EA82E4BFEEF}"/>
    <hyperlink ref="F1446" r:id="rId394" display="Certificado Titularidad/YERSON GABRIEL ARISTIZABAL LOZANO.pdf" xr:uid="{5D7D6872-845C-4741-9668-C48A17E9B9FC}"/>
    <hyperlink ref="F1025" r:id="rId395" display="Certificado Titularidad/LUIS ENRIQUE GARRIDO CASTRO.pdf" xr:uid="{1789DAD0-6A8B-4712-9E16-892AE3F5D4AB}"/>
    <hyperlink ref="F377" r:id="rId396" display="Certificado Titularidad/EDWING ORTEGA BOSSIO.pdf" xr:uid="{D15F72DB-18EA-4E55-86C6-94AAF7EFD7A4}"/>
    <hyperlink ref="F1455" r:id="rId397" display="Certificado Titularidad/YOBER HUAMAN VELASQUE.pdf" xr:uid="{F4208B3B-D85D-4A0C-96B6-56A5CD7A9843}"/>
    <hyperlink ref="F292" r:id="rId398" display="Certificado Titularidad/DIEGO ARMANDO RAMIREZ ACEVEDO.pdf" xr:uid="{D46A2554-EA71-4B0C-893A-1E35897567EA}"/>
    <hyperlink ref="F1212" r:id="rId399" display="Certificado Titularidad/PAULO CESAR GOMEZ NAVARRETE.pdf" xr:uid="{95149870-3E2E-46F0-9543-84B0E3C6D643}"/>
    <hyperlink ref="H1408" r:id="rId400" display="Documentos firmados cambio/WILMAN ARBEY ROMERO GONZALEZ.pdf" xr:uid="{07372C4F-274E-415B-A72C-EC0ED54C5F77}"/>
    <hyperlink ref="F1118" r:id="rId401" display="Certificado Titularidad/MIJAEL CESAR JIMENEZ FERNANDEZ.pdf" xr:uid="{80311373-4D04-423D-B1BA-C032B105A682}"/>
    <hyperlink ref="F104" r:id="rId402" display="Certificado Titularidad/ANTHONY YESID BEDOYA TAQUINAS.pdf" xr:uid="{C23FD31E-2558-4921-B469-5CF48351B354}"/>
    <hyperlink ref="F837" r:id="rId403" display="Certificado Titularidad/JOSE DE JESUS MENDOZA PADILLA.pdf" xr:uid="{5C0F6922-BA73-4684-B488-54E0E1F253A3}"/>
    <hyperlink ref="F985" r:id="rId404" display="Certificado Titularidad/LENNER VICTOR RAMOS RUIZ.pdf" xr:uid="{AF8BE6F8-CBFA-4617-B6BE-3B8F2BF156B8}"/>
    <hyperlink ref="F613" r:id="rId405" display="Certificado Titularidad/IVAN PRADA LOPEZ.pdf" xr:uid="{FDF2031F-2DE0-481E-B2FA-A124FD00E16B}"/>
    <hyperlink ref="F1327" r:id="rId406" display="Certificado Titularidad/RUBEN PONCE PABLO.pdf" xr:uid="{8692C33D-76D6-4A40-96B8-7A0F986FBDFF}"/>
    <hyperlink ref="F1376" r:id="rId407" display="Certificado Titularidad/VLADIMIR CAMILO CASTRO MULFOR.pdf" xr:uid="{08A20CC4-92CC-46BA-BAE1-1BB9918CADB4}"/>
    <hyperlink ref="H837" r:id="rId408" display="Documentos firmados cambio/JOSE DE JESUS MENDOZA PADILLA.pdf" xr:uid="{5BC1F9C7-C8CF-4FCD-83BF-02645B326CE9}"/>
    <hyperlink ref="F1048" r:id="rId409" display="Certificado Titularidad/LUIS MIGUEL DIAZ GUTIERREZ.pdf" xr:uid="{1D4502B1-219B-4177-ADF6-7BFF234A8AF3}"/>
    <hyperlink ref="F1185" r:id="rId410" display="Certificado Titularidad/ORLANDO GOMEZ.pdf" xr:uid="{03BA150A-9C88-4023-8E9A-6D78F2253897}"/>
    <hyperlink ref="F97" r:id="rId411" display="Certificado Titularidad/ANGELO DE JESUS AGUDELO RESTREPO.pdf" xr:uid="{0D760FE2-6927-45B0-AC28-3B6DFBBD3B1F}"/>
    <hyperlink ref="F610" r:id="rId412" display="Certificado Titularidad/IVAN DARIO GONZALEZ PEREZ.pdf" xr:uid="{C411E6D7-8179-4426-B2D4-F08518170153}"/>
    <hyperlink ref="F1224" r:id="rId413" display="Certificado Titularidad/PEDRO JESUS SANCHEZ CHIRA.pdf" xr:uid="{8D2C5FCF-6879-4AA5-9449-210E4051DBB9}"/>
    <hyperlink ref="F454" r:id="rId414" display="Certificado Titularidad/FERNANDO VELEZ GIRALDO.pdf" xr:uid="{1172BE6A-538E-4C8F-A6F4-548C99F2C65F}"/>
    <hyperlink ref="F1273" r:id="rId415" display="Certificado Titularidad/ROBER HENRRY CHUMBES ROJAS.pdf" xr:uid="{9AECA893-FF47-4E92-B079-8C452735334F}"/>
    <hyperlink ref="H1048" r:id="rId416" display="Documentos firmados cambio/LUIS MIGUEL DIAZ GUTIERREZ.pdf" xr:uid="{FC499E2C-0024-4E1D-BB20-DFA270634427}"/>
    <hyperlink ref="F790" r:id="rId417" display="Certificado Titularidad/JORGE ANDRES MARTINEZ VEGA.pdf" xr:uid="{EF6DA52C-2BFB-45A9-B62A-029AC7EFF11F}"/>
    <hyperlink ref="F167" r:id="rId418" display="Certificado Titularidad/CARLOS ALBERTO RAMOS URBANO.pdf" xr:uid="{328ED142-B33F-47A8-A6C2-3C1520C7A161}"/>
    <hyperlink ref="F877" r:id="rId419" display="Certificado Titularidad/JOSE RAMON DAZA OROZCO.pdf" xr:uid="{9BEB5592-21C0-427F-A5EE-E83FC22A653D}"/>
    <hyperlink ref="F670" r:id="rId420" display="Certificado Titularidad/JAVIER STIVEN ORTIZ GALINDEZ.pdf" xr:uid="{2D156923-AC79-4B3F-BB1A-F1280C5A0B49}"/>
    <hyperlink ref="F1386" r:id="rId421" display="Certificado Titularidad/WAYNER IBARBO VERGARA.pdf" xr:uid="{25C3F0ED-8D52-4880-AD5A-0701EDEE34AC}"/>
    <hyperlink ref="H1386" r:id="rId422" display="Documentos firmados cambio/WAYNER IBARBO VERGARA.pdf" xr:uid="{7CC9418E-AEA8-4616-B2FD-8561B206504B}"/>
    <hyperlink ref="F1159" r:id="rId423" display="Certificado Titularidad/NEYDER GELVIS MAMANI HUAYCANI.pdf" xr:uid="{2C2C9FDA-D975-4E25-9A1A-7993CB416460}"/>
    <hyperlink ref="F150" r:id="rId424" display="Certificado Titularidad/BYRON  GIUSEPPE FONSECA DURAN.pdf" xr:uid="{20C26D04-F381-4309-9436-E2DB19DFD5F4}"/>
    <hyperlink ref="H818" r:id="rId425" display="Documentos firmados cambio/JORGE NAYRO GARCIA OROZCO.pdf" xr:uid="{34DDAA85-1DE2-4F41-8442-E0FFCDEAE4A1}"/>
    <hyperlink ref="F4" r:id="rId426" display="Certificado Titularidad/ABDELFAHAM OUBOUZID.pdf" xr:uid="{C68218A9-CC1B-4C6E-A6BD-B555E33A5D03}"/>
    <hyperlink ref="F1381" r:id="rId427" display="Certificado Titularidad/WALTER DAVID ZAGARRA RODRIGUEZ.pdf" xr:uid="{0D11BDA2-4CB7-4959-85AD-B1F83E0680EE}"/>
    <hyperlink ref="F892" r:id="rId428" display="Certificado Titularidad/JUAN ANDRES AGUILAR MARIN.pdf" xr:uid="{50E31D4C-6F65-4197-A019-23EC1AC8A873}"/>
    <hyperlink ref="H669" r:id="rId429" display="Documentos firmados cambio/JAVIER SAUL PEREA CAMARGO.pdf" xr:uid="{DE20E1AE-8F2F-47B5-B24B-40160D1780C7}"/>
    <hyperlink ref="H892" r:id="rId430" display="Documentos firmados cambio/JUAN ANDRES AGUILAR MARIN.pdf" xr:uid="{E0ECE606-D140-41E5-A84F-468C1544F6D9}"/>
    <hyperlink ref="H1297" r:id="rId431" display="Documentos firmados cambio/ROGELIO EFRAIN CONDORI HUANCA.pdf" xr:uid="{A6E31DDE-1A58-45A0-A715-CFD431187869}"/>
    <hyperlink ref="F494" r:id="rId432" display="Certificado Titularidad/GERMAN GASPAR GODOY.pdf" xr:uid="{8221BF98-971B-49AB-9596-E9F749D5339B}"/>
    <hyperlink ref="F1260" r:id="rId433" display="Certificado Titularidad/RICARDO MILLER SANCHEZ BECERRA.pdf" xr:uid="{498D810D-F6A2-4324-A318-48E62231ED5A}"/>
    <hyperlink ref="F546" r:id="rId434" display="Certificado Titularidad/HECTOR FABIO VASQUEZ MAYORGA.pdf" xr:uid="{9D670EA4-F59A-4EB1-8B5D-28C3938B78AE}"/>
    <hyperlink ref="F387" r:id="rId435" display="Certificado Titularidad/ELKIN ARMANDO GARZON LOPEZ.pdf" xr:uid="{1637CE57-7503-445C-AF2B-F25C1BE24E6A}"/>
    <hyperlink ref="F839" r:id="rId436" display="Certificado Titularidad/JOSE EDUARDO NUÑEZ ESCARATE.pdf" xr:uid="{22407E5E-389E-4156-8CD7-1167EFAB083A}"/>
    <hyperlink ref="F548" r:id="rId437" display="Certificado Titularidad/HECTOR GIOVANNI MORENO SUSA.pdf" xr:uid="{5B594525-0064-43BC-8B69-59DA0D3EBC58}"/>
    <hyperlink ref="F219" r:id="rId438" display="Certificado Titularidad/CHARLY PEREZ LORZA.pdf" xr:uid="{D76F6E8B-5370-498E-B583-A008DA8E20AC}"/>
    <hyperlink ref="F1042" r:id="rId439" display="Certificado Titularidad/LUIS JAVIER ZAMORA CANACHE.pdf" xr:uid="{D33A6C34-7145-4963-9152-393FE22B826C}"/>
    <hyperlink ref="H748" r:id="rId440" display="Documentos firmados cambio/JHONS WILFREDO RAMIREZ VIERA.pdf" xr:uid="{55F8D308-9B24-4D88-98F9-B6CDB18CE538}"/>
    <hyperlink ref="F442" r:id="rId441" display="Certificado Titularidad/FELIPE GUTIERREZ ALFARO.pdf" xr:uid="{723F7916-0F2F-45A1-89DF-CC3A30AB019E}"/>
    <hyperlink ref="F1348" r:id="rId442" display="Certificado Titularidad/SERGIO DAVID CORDOBA TUTA.pdf" xr:uid="{0F435830-D4B8-41E2-AD98-924A69B59473}"/>
    <hyperlink ref="F406" r:id="rId443" display="Certificado Titularidad/ERIK CHARLY GOMEZ RIOS.pdf" xr:uid="{AB3064C7-E97F-40DB-B44E-D998FFB42808}"/>
    <hyperlink ref="F850" r:id="rId444" display="Certificado Titularidad/JOSE GUILLERMO MARTINEZ QUINTERO.pdf" xr:uid="{DBBEB374-1BDD-4175-A65C-7EC6CDD72746}"/>
    <hyperlink ref="F1226" r:id="rId445" display="Certificado Titularidad/PEDRO LUIS ANGULO RODRIGUEZ.pdf" xr:uid="{7F3019FB-DBFE-4496-809E-C5FB4C5A45E9}"/>
    <hyperlink ref="F1036" r:id="rId446" display="Certificado Titularidad/LUIS FERNANDO TOVAR LLAMOZA.pdf" xr:uid="{7654699B-E17D-4670-A4B3-49692F4A451C}"/>
    <hyperlink ref="F1172" r:id="rId447" display="Certificado Titularidad/ODAIR JERONIMO GONZALEZ ESCORCIA.pdf" xr:uid="{8708BB43-19DA-4D94-9E9B-436C489181BE}"/>
    <hyperlink ref="F1269" r:id="rId448" display="Certificado Titularidad/RICHARD PILCO ATENCIO.pdf" xr:uid="{B6F7DB4B-5680-4C11-B3F6-A15BDDC136B5}"/>
    <hyperlink ref="F428" r:id="rId449" display="Certificado Titularidad/FABIAN LLERAR ROA MATEUS.pdf" xr:uid="{1572D512-6609-4AF8-9BF3-7E51B2AEBCB7}"/>
    <hyperlink ref="H502" r:id="rId450" display="Documentos firmados cambio/GIOVANNI CHRISTIAN SALAZAR HIDALGO.pdf" xr:uid="{16F7392A-45F6-4780-801B-15D99408E7A6}"/>
    <hyperlink ref="F1208" r:id="rId451" display="Certificado Titularidad/PABLO ANDRÉ DE PADUA MOTA.pdf" xr:uid="{F9D1367E-564A-4CEF-97ED-D4ED31303A81}"/>
    <hyperlink ref="F591" r:id="rId452" display="Certificado Titularidad/HUMBERTO HERRERA GAVIRIA.pdf" xr:uid="{05A214F8-996B-4AAC-BED9-814E013617D4}"/>
    <hyperlink ref="F26" r:id="rId453" display="Certificado Titularidad/ALDO IVAN AILIO LABBE.pdf" xr:uid="{683F5A43-0DD9-4CB3-B5E8-01B813703D77}"/>
    <hyperlink ref="F1456" r:id="rId454" display="Certificado Titularidad/YODARLI GONZALEZ BRAVO.pdf" xr:uid="{1E275DF8-E482-4C94-9E88-705C24C4C03B}"/>
    <hyperlink ref="F339" r:id="rId455" display="Certificado Titularidad/EDUAR MANUEL DAVILA CERON.pdf" xr:uid="{11A2A404-DB31-45EF-8E0F-E2F663DD13F0}"/>
    <hyperlink ref="H947" r:id="rId456" display="Documentos firmados cambio/JULIAN EDUARDO AGUILAR.pdf" xr:uid="{369C48A0-A2D5-4E26-87E6-4A2E2A9AF784}"/>
    <hyperlink ref="F664" r:id="rId457" display="Certificado Titularidad/JAVIER JAYO FUENTES.pdf" xr:uid="{9518EC79-99A7-4A84-B2A0-CCD71894FFE6}"/>
    <hyperlink ref="F415" r:id="rId458" display="Certificado Titularidad/ESTEBAN DARIO ACOSTA MARTINEZ.pdf" xr:uid="{6E129365-2EE5-4EA5-B250-CB50767049D7}"/>
    <hyperlink ref="F563" r:id="rId459" display="Certificado Titularidad/HELMUT WALTER ROSALES MURILLO.pdf" xr:uid="{1779539E-10BE-43ED-8F23-4365A44DABBE}"/>
    <hyperlink ref="F565" r:id="rId460" display="Certificado Titularidad/HENRIS ORTEGA BOSSIO.pdf" xr:uid="{D6E51578-1FBC-4694-A515-A5B96C8A4023}"/>
    <hyperlink ref="F430" r:id="rId461" display="Certificado Titularidad/FABIANIZ GIRADO MARTINEZ.pdf" xr:uid="{1D7AE021-F162-47D7-82D1-30D495CAA588}"/>
    <hyperlink ref="H430" r:id="rId462" display="Documentos firmados cambio/FABIANIZ GIRADO MARTINEZ.pdf" xr:uid="{3FCDB463-B562-4740-9886-F8131ED49E81}"/>
    <hyperlink ref="F179" r:id="rId463" display="Certificado Titularidad/CARLOS ANDRES RINCON USAQUEN.pdf" xr:uid="{338B982F-0850-448E-AD15-D6866BEAC892}"/>
    <hyperlink ref="F556" r:id="rId464" display="Certificado Titularidad/HECTOR REYNALDO CHAVEZ.pdf" xr:uid="{24686EDA-0660-45EB-BE5F-8C8E3FC74EE3}"/>
    <hyperlink ref="F819" r:id="rId465" display="Certificado Titularidad/JORGE REINALDO GOMEZ ROJAS.pdf" xr:uid="{D598D70E-4B68-4A8C-B9A2-B660EE4B64E3}"/>
    <hyperlink ref="F1149" r:id="rId466" display="Certificado Titularidad/NELSON RIANO VARGAS.pdf" xr:uid="{AFE94BD9-F47D-4ADC-8288-BDE6ADE10362}"/>
    <hyperlink ref="F407" r:id="rId467" display="Certificado Titularidad/ERIK DAVID ALEGRIA GRANJA.pdf" xr:uid="{E8104345-F861-4B97-963C-4843E7359564}"/>
    <hyperlink ref="F1441" r:id="rId468" display="Certificado Titularidad/YEISON ARLEY DIAZ CHAUX.pdf" xr:uid="{D6BEFAD6-1EBD-45B0-9618-85929B1A4250}"/>
    <hyperlink ref="F525" r:id="rId469" display="Certificado Titularidad/GUSTAVO DAMIAN DONOSO.pdf" xr:uid="{FB6D0ADA-5E41-41D0-9401-25A2817FD2A8}"/>
    <hyperlink ref="H366" r:id="rId470" display="Documentos firmados cambio/EDWIN DIAZ MARULANDA.pdf" xr:uid="{AE4133FA-2828-4728-9A0D-9C8BAF5FB3FD}"/>
    <hyperlink ref="H325" r:id="rId471" display="Documentos firmados cambio/EDGARDO RAFAEL DE ARMAS URBANO.pdf" xr:uid="{1749BBD7-EA03-4D85-B677-4BC1FB70D207}"/>
    <hyperlink ref="F928" r:id="rId472" display="Certificado Titularidad/JUAN GUILLERMO CASTRO.pdf" xr:uid="{AD0B4F63-DE30-4AF6-B181-0172A6DB7404}"/>
    <hyperlink ref="F1420" r:id="rId473" display="Certificado Titularidad/WILMER SIMANCA GOMEZ.pdf" xr:uid="{CCDB3F81-DB00-461F-96D9-B7A3DCEFA498}"/>
    <hyperlink ref="F778" r:id="rId474" display="Certificado Titularidad/JONATHAN ALEJANDRO MARTINEZ CASTIBLANCO.pdf" xr:uid="{A59FAB44-BCF2-4C99-89C4-DCF6CF747001}"/>
    <hyperlink ref="F66" r:id="rId475" display="Certificado Titularidad/ALVARO JOSE NAVARRETE GAMBOA.pdf" xr:uid="{79798267-C278-4999-A364-3D13A4A683E1}"/>
    <hyperlink ref="F347" r:id="rId476" display="Certificado Titularidad/EDUARDO JOSE SEQUEDA CONTRERAS.pdf" xr:uid="{DAEBE3C0-10F3-4FFE-8C6B-890036B5D0F1}"/>
    <hyperlink ref="F784" r:id="rId477" display="Certificado Titularidad/JONATHAN GONZALO RODRIGUEZ CABEZAS.pdf" xr:uid="{5D15C077-F5F6-4B34-A199-AD50F7CF4777}"/>
    <hyperlink ref="F161" r:id="rId478" display="Certificado Titularidad/CARLOS ALBERTO CORREA OREJUELA.pdf" xr:uid="{6A677356-C9FA-49BF-8CE3-49211FC8CD46}"/>
    <hyperlink ref="F100" r:id="rId479" display="Certificado Titularidad/ANGINSON ARTURO PETRO SUAREZ.pdf" xr:uid="{76D7AB47-A4E2-43C3-A146-B85EC5F3B035}"/>
    <hyperlink ref="F328" r:id="rId480" display="Certificado Titularidad/EDILSON FIERRO DAGUA.pdf" xr:uid="{C86991F9-21ED-4B04-8F5D-4A253DA0451E}"/>
    <hyperlink ref="H341" r:id="rId481" display="Documentos firmados cambio/EDUARD YOVANNY LOZANO OSORIO.pdf" xr:uid="{DC77FEBC-E7A4-4FB3-9E32-CF6420059D25}"/>
    <hyperlink ref="F554" r:id="rId482" display="Certificado Titularidad/HECTOR LUIS PARRAGA ZAVALA.pdf" xr:uid="{4DE247EA-6C69-4050-B7A4-B4D540337B5D}"/>
    <hyperlink ref="F731" r:id="rId483" display="Certificado Titularidad/JHON JAIRO MUÑOZ BARBOSA.pdf" xr:uid="{8BF8F85F-8201-4BBC-A0B5-1550A7C11520}"/>
    <hyperlink ref="H1448" r:id="rId484" display="Documentos firmados cambio/YESID DAVID GOMEZ ARZUAGA.pdf" xr:uid="{4C547E32-1ECF-4239-92E7-3602BE310FA8}"/>
    <hyperlink ref="F606" r:id="rId485" display="Certificado Titularidad/ISRAEL BENAVIDES PRECIADO.pdf" xr:uid="{D4764798-A924-4480-B975-959151DC7F18}"/>
    <hyperlink ref="F432" r:id="rId486" display="Certificado Titularidad/FABIO ANDRES LUJAN ARANGO.pdf" xr:uid="{DE33FAEF-37D4-45AA-A126-A061CC6DCDA5}"/>
    <hyperlink ref="H432" r:id="rId487" display="Documentos firmados cambio/FABIO ANDRES LUJAN ARANGO.pdf" xr:uid="{BB32FBEB-55BF-4A6B-A157-09E85567E221}"/>
    <hyperlink ref="H1421" r:id="rId488" display="Documentos firmados cambio/WILMER YANAYACO PINEDO.pdf" xr:uid="{2A9F740C-1B5B-42D4-B141-560D301F551B}"/>
    <hyperlink ref="F353" r:id="rId489" display="Certificado Titularidad/EDWAR VARGAS LOPEZ.pdf" xr:uid="{8F76EA29-B73B-470C-AB90-B8AB83995924}"/>
    <hyperlink ref="H117" r:id="rId490" display="Documentos firmados cambio/ARMANDO DENIS ENRIQUEZ BLAS.pdf" xr:uid="{4F7527CF-868A-4A82-B70A-C03D3BC5E33B}"/>
    <hyperlink ref="F357" r:id="rId491" display="Certificado Titularidad/EDWARD JEFRID OSPINA MANOSALVA.pdf" xr:uid="{F00E5430-3367-4491-9DAC-1B100B8D93A0}"/>
    <hyperlink ref="F1144" r:id="rId492" display="Certificado Titularidad/NELSON ENRIQUE MARTINEZ VEGA.pdf" xr:uid="{606CB68F-71D6-4733-8492-A57A327EAECF}"/>
    <hyperlink ref="F1205" r:id="rId493" display="Certificado Titularidad/OWIN ENRIQUE MORELO GOMEZ.pdf" xr:uid="{E3466089-8FE0-4C20-9830-A419087E77C5}"/>
    <hyperlink ref="F300" r:id="rId494" display="Certificado Titularidad/DIEGO NAHUEL ROMERO.pdf" xr:uid="{34D2C5DC-67A3-4F50-B0BB-2559DF7BAA67}"/>
    <hyperlink ref="F286" r:id="rId495" display="Certificado Titularidad/DIDIER JOSE CHOLES MIRANDA.pdf" xr:uid="{FFEAE683-579A-4BE2-A931-CE9AD3E48BFA}"/>
    <hyperlink ref="F923" r:id="rId496" display="Certificado Titularidad/JUAN ESTEBAN RUIZ GONZALEZ.pdf" xr:uid="{B5371BB9-E4D1-43A1-BF83-D4B4CBD1D1D4}"/>
    <hyperlink ref="F826" r:id="rId497" display="Certificado Titularidad/JOSE AMAURI DE SÁ.pdf" xr:uid="{21B28B8F-EEF8-42DB-AA91-3260B89EBA4B}"/>
    <hyperlink ref="F483" r:id="rId498" display="Certificado Titularidad/FREDY JAVIER CCALLA ROJAS.pdf" xr:uid="{C4672321-A201-4F0C-B5D6-2C9665ED9654}"/>
    <hyperlink ref="F603" r:id="rId499" display="Certificado Titularidad/ISMAEL JUNIO DOS SANTOS.pdf" xr:uid="{5AFF7F94-1658-4576-A3F7-FE545BA70CC9}"/>
    <hyperlink ref="F1086" r:id="rId500" display="Certificado Titularidad/MARTIN CAMILO SUAREZ BARRERA.pdf" xr:uid="{D861A96F-49EC-46EE-A80B-70B1D3F5A3B8}"/>
    <hyperlink ref="H1086" r:id="rId501" display="Documentos firmados cambio/MARTIN CAMILO SUAREZ BARRERA.pdf" xr:uid="{784303D9-1749-4C21-B5C2-E82E4B597B81}"/>
    <hyperlink ref="F1400" r:id="rId502" display="Certificado Titularidad/WILLIAM MORAIS DA SILVA.pdf" xr:uid="{7542C41D-A194-438C-BE45-F201E51EF7D1}"/>
    <hyperlink ref="F749" r:id="rId503" display="Certificado Titularidad/JHONSON MARLON DUTRA.pdf" xr:uid="{842715DF-9737-4743-AD52-0F2D0509293F}"/>
    <hyperlink ref="F1032" r:id="rId504" display="Certificado Titularidad/LUIS FERNANDO CAICEDO MOSQUERA.pdf" xr:uid="{E0A4F0C0-4B16-4D6B-A14F-BB17C12FBCCB}"/>
    <hyperlink ref="F84" r:id="rId505" display="Certificado Titularidad/ANDRES FELIPE LOPEZ FONTALVO.pdf" xr:uid="{E95D4B28-C13D-4FBF-AA70-0538082DB492}"/>
    <hyperlink ref="F926" r:id="rId506" display="Certificado Titularidad/JUAN GABRIEL GOEZ MESA.pdf" xr:uid="{BC46BDF7-A92A-4036-ACD5-7CCEAA524691}"/>
    <hyperlink ref="F1255" r:id="rId507" display="Certificado Titularidad/REINERD SALAZAR FAJARDO.pdf" xr:uid="{25E77F3B-24E1-4525-B6D3-2FEA4A83F911}"/>
    <hyperlink ref="H1400" r:id="rId508" display="Documentos firmados cambio/WILLIAM MORAIS DA SILVA.pdf" xr:uid="{BC757E7D-4C58-40F2-8D40-1526FCC6C47D}"/>
    <hyperlink ref="F520" r:id="rId509" display="Certificado Titularidad/GULFRAN ENRIQUE LUGO GUTIERREZ.pdf" xr:uid="{77BF5282-378D-4407-9973-1E48CC093768}"/>
    <hyperlink ref="H1455" r:id="rId510" display="Documentos firmados cambio/YOBER HUAMAN VELASQUE.pdf" xr:uid="{1680A13A-7C2F-4400-8697-9288118E3A3B}"/>
    <hyperlink ref="H787" r:id="rId511" display="Documentos firmados cambio/JORDY ALEXANDER ALVA PAYAC.pdf" xr:uid="{9C249A0D-513C-40E7-82AC-90E2B87E367A}"/>
    <hyperlink ref="F360" r:id="rId512" display="Certificado Titularidad/EDWIN ALBERTO HINESTROZA.pdf" xr:uid="{F75BA1F2-9373-4958-AC68-5501E246031A}"/>
    <hyperlink ref="F88" r:id="rId513" display="Certificado Titularidad/ANDRES FERNANDO MONCAYO FLOREZ.pdf" xr:uid="{91350078-FA33-4A95-A635-706A7391C492}"/>
    <hyperlink ref="F68" r:id="rId514" display="Certificado Titularidad/ALVARO PUERTA ESPITIA.pdf" xr:uid="{064C8BF3-DB2D-4E59-8DAD-9E68AA8E4963}"/>
    <hyperlink ref="H1144" r:id="rId515" display="Documentos firmados cambio/NELSON ENRIQUE MARTINEZ VEGA.pdf" xr:uid="{5124948E-8FCE-456E-A2C1-7BD7D231CA5F}"/>
    <hyperlink ref="F1030" r:id="rId516" display="Certificado Titularidad/LUIS FELIPE VALDERRAMA PALOMINO.pdf" xr:uid="{F8F6D2B5-70DF-431D-8A91-CF9A79883E4E}"/>
    <hyperlink ref="H1030" r:id="rId517" display="Documentos firmados cambio/LUIS FELIPE VALDERRAMA PALOMINO.pdf" xr:uid="{117C16A1-5BB5-4562-8B74-5DD30B9CB065}"/>
    <hyperlink ref="F146" r:id="rId518" display="Certificado Titularidad/BREINER MOLINA PELAEZ.pdf" xr:uid="{F788DDD7-202B-4EB1-8C37-38168E6510EA}"/>
    <hyperlink ref="H347" r:id="rId519" display="Documentos firmados cambio/EDUARDO JOSE SEQUEDA CONTRERAS.pdf" xr:uid="{28CA73C8-41B2-4198-8476-AD5049D6A25F}"/>
    <hyperlink ref="F660" r:id="rId520" display="Certificado Titularidad/JAVIER FRANCISCO BALDOVINO ORTEGA.pdf" xr:uid="{9A68B2AD-7296-4553-81D8-D65749656BA6}"/>
    <hyperlink ref="F1258" r:id="rId521" display="Certificado Titularidad/RENZO JUNIOR CHUNGA LUJAN.pdf" xr:uid="{47F964FE-0D57-4941-8641-CC085E08500D}"/>
    <hyperlink ref="F451" r:id="rId522" display="Certificado Titularidad/FERNANDO DARIO LUNA PINEDA.pdf" xr:uid="{9B93FCDE-89FB-4588-8139-21F6BE4DA37D}"/>
    <hyperlink ref="F1431" r:id="rId523" display="Certificado Titularidad/WILTON MANUEL CRUZ RAMIREZ.pdf" xr:uid="{AC0F3339-C2D2-4F08-A534-33900D4A0E80}"/>
    <hyperlink ref="F1166" r:id="rId524" display="Certificado Titularidad/NIVALDO MENDES DA SILVA.pdf" xr:uid="{737CAB8D-217B-4DCB-9F7D-51A551208FAE}"/>
    <hyperlink ref="F41" r:id="rId525" display="Certificado Titularidad/ALEXANDER ALONSO ROMERO.pdf" xr:uid="{0627C794-2D99-4404-B06C-000F028729F9}"/>
    <hyperlink ref="F1220" r:id="rId526" display="Certificado Titularidad/PEDRO DE JESUS DE LA HOZ SALCEDO.pdf" xr:uid="{7EC20E01-DC02-4633-B9FB-5541A2F95132}"/>
    <hyperlink ref="F488" r:id="rId527" display="Certificado Titularidad/GABRIEL OCHOA GAITAN.pdf" xr:uid="{EA0363CF-B63B-4C97-8003-865D6A116095}"/>
    <hyperlink ref="F124" r:id="rId528" display="Certificado Titularidad/BAIRON RENE BURBANO MORALES.pdf" xr:uid="{F0E53AEB-A044-49CD-954B-934A067DE4BC}"/>
    <hyperlink ref="F651" r:id="rId529" display="Certificado Titularidad/JARRINSON JOSE PATRON MARTINEZ.pdf" xr:uid="{7A339BA8-EC4D-4888-8844-C57B3C795C61}"/>
    <hyperlink ref="F623" r:id="rId530" display="Certificado Titularidad/JAIME ALBERTO QUIÑONES BLANDON.pdf" xr:uid="{13783FE8-5427-4895-8213-687CBF3DE089}"/>
    <hyperlink ref="H603" r:id="rId531" display="Documentos firmados cambio/ISMAEL JUNIO DOS SANTOS.pdf" xr:uid="{ABA6F1BC-AD30-45EF-9C89-2C84441A33DE}"/>
    <hyperlink ref="H1166" r:id="rId532" display="Documentos firmados cambio/NIVALDO MENDES DA SILVA.pdf" xr:uid="{FDE9048B-759E-4892-AE1D-E5748E34BE72}"/>
    <hyperlink ref="F1056" r:id="rId533" display="Certificado Titularidad/MAGUEY MAURICIO MUÑOZ CARDENAS.pdf" xr:uid="{16201915-34F4-4276-B43C-6ED6489EA0E6}"/>
    <hyperlink ref="F986" r:id="rId534" display="Certificado Titularidad/LENNIN JESUS CANON CARDENAS.pdf" xr:uid="{83230BDD-FEC4-415D-A67E-394716649D63}"/>
    <hyperlink ref="F534" r:id="rId535" display="Certificado Titularidad/HAROLD LLERENA BELTRAN.pdf" xr:uid="{7897D054-4CA9-402C-97EC-6DCA1EF5E1DC}"/>
    <hyperlink ref="H534" r:id="rId536" display="Documentos firmados cambio/HAROLD LLERENA BELTRAN.pdf" xr:uid="{AC46458D-D168-4D88-BBD0-512281979E8E}"/>
    <hyperlink ref="F807" r:id="rId537" display="Certificado Titularidad/JORGE IVAN TEHERAN CAUSADO.pdf" xr:uid="{3EA25B43-3536-4C01-94B6-98517E94D434}"/>
    <hyperlink ref="H807" r:id="rId538" display="Documentos firmados cambio/JORGE IVAN TEHERAN CAUSADO.pdf" xr:uid="{FA40440F-B375-4FD8-B4DE-28FEB90F24BE}"/>
    <hyperlink ref="H1165" r:id="rId539" display="Documentos firmados cambio/NILSON MOSQUERA GOMEZ.pdf" xr:uid="{1916A4FD-B1F5-4305-A8C4-22DC16A8C28A}"/>
    <hyperlink ref="H558" r:id="rId540" display="Documentos firmados cambio/HECTOR SANCHEZ GUERRERO.pdf" xr:uid="{AE2DC36D-4613-4D80-9984-DA1B9A77EBD2}"/>
    <hyperlink ref="H790" r:id="rId541" display="Documentos firmados cambio/JORGE ANDRES MARTINEZ VEGA.pdf" xr:uid="{F0EA1F70-7E33-4C47-A84A-54326B55D834}"/>
    <hyperlink ref="F643" r:id="rId542" display="Certificado Titularidad/JAIRO ERNESTO GAITAN GOMEZ.pdf" xr:uid="{58A7CFCC-67E4-45B5-9C23-CC8ABEA271CE}"/>
    <hyperlink ref="H643" r:id="rId543" display="Documentos firmados cambio/JAIRO ERNESTO GAITAN GOMEZ.pdf" xr:uid="{7B7CE32C-F0C2-4859-8CAF-FB31D85C292C}"/>
    <hyperlink ref="F504" r:id="rId544" display="Certificado Titularidad/GIOVANNY COBOS ROBLES.pdf" xr:uid="{7700B908-4853-4A41-A230-021A90F88D39}"/>
    <hyperlink ref="F549" r:id="rId545" display="Certificado Titularidad/HECTOR JAIME ROA CONTRERAS.pdf" xr:uid="{5434ECDA-E24E-46D2-9279-9C4FF0F3D36E}"/>
    <hyperlink ref="F111" r:id="rId546" display="Certificado Titularidad/ARFAXAD SALINAS TORRES.pdf" xr:uid="{5F26B6AF-2CDD-4EB7-9DCA-955BA8CDE50F}"/>
    <hyperlink ref="H111" r:id="rId547" display="Documentos firmados cambio/ARFAXAD SALINAS TORRES.pdf" xr:uid="{2258FD70-2809-43D9-A8C4-AF6FD86C28CB}"/>
    <hyperlink ref="H1205" r:id="rId548" display="Documentos firmados cambio/OWIN ENRIQUE MORELO GOMEZ.pdf" xr:uid="{0FAFD802-25A4-4D68-B253-4EFC2224D02F}"/>
    <hyperlink ref="F711" r:id="rId549" display="Certificado Titularidad/JHON ADAIMER MORALES MORALES.pdf" xr:uid="{1AFA16B5-7112-4DC9-927B-4A0B03723BEC}"/>
    <hyperlink ref="H190" r:id="rId550" display="Documentos firmados cambio/CARLOS EMILIO MONSALVE MARIN.pdf" xr:uid="{E980929B-E227-4767-87E4-C00E643885B7}"/>
    <hyperlink ref="F298" r:id="rId551" display="Certificado Titularidad/DIEGO JAVIER RAMIREZ MORENO.pdf" xr:uid="{D0072359-8343-42AF-91C3-15E26FA17933}"/>
    <hyperlink ref="F1188" r:id="rId552" display="Certificado Titularidad/ORLANDO RODRIGUEZ MADARIAGA.pdf" xr:uid="{BCE4F814-D6B3-407C-9889-05F5CF5F5393}"/>
    <hyperlink ref="F223" r:id="rId553" display="Certificado Titularidad/CHRISTIAN ZAMBRANO.pdf" xr:uid="{24B4283B-06A7-4B9F-8180-C6B3A29270AE}"/>
    <hyperlink ref="F1104" r:id="rId554" display="Certificado Titularidad/MICHAEL ANDRÉS PIZARRO LUNA.pdf" xr:uid="{EBFF4DF7-EA34-466F-8583-5CC5F7EDD6B6}"/>
    <hyperlink ref="F1074" r:id="rId555" display="Certificado Titularidad/MARIO ANDRES SUAREZ ACOSTA.pdf" xr:uid="{B6E58603-C2EA-4F13-B041-684412F874DD}"/>
    <hyperlink ref="F1139" r:id="rId556" display="Certificado Titularidad/NEIRON ENRIQUE CARCAMO REALES.pdf" xr:uid="{E333EC99-C70C-4799-94B4-6656485A96D7}"/>
    <hyperlink ref="F351" r:id="rId557" display="Certificado Titularidad/EDWAR ARIEL VELEZ POSADA.pdf" xr:uid="{59BA247A-8A6C-4F3B-A19B-B9EBA0EBA30E}"/>
    <hyperlink ref="F254" r:id="rId558" display="Certificado Titularidad/DANIEL ELIECER PEREZ ACEVEDO.pdf" xr:uid="{31A34A13-100F-49A4-9B42-641DD3ADA071}"/>
    <hyperlink ref="F1186" r:id="rId559" display="Certificado Titularidad/ORLANDO JANNCARLO ACEVEDO GUZMAN.pdf" xr:uid="{6D08D394-B5A5-497E-9D8A-E8225FDA12AE}"/>
    <hyperlink ref="F722" r:id="rId560" display="Certificado Titularidad/JHON EINER INSUASTI TULANDE.pdf" xr:uid="{5A4F9C40-02BC-4C1C-A028-6399B9833D42}"/>
    <hyperlink ref="F1222" r:id="rId561" display="Certificado Titularidad/PEDRO HUMBERTO CASTELLANOS.pdf" xr:uid="{D5E29F89-BB30-417B-AB3B-8DC88F670AE6}"/>
    <hyperlink ref="F1131" r:id="rId562" display="Certificado Titularidad/MOISES ESTUPINAN SANCHEZ.pdf" xr:uid="{5DF0B303-A249-4113-9F17-5DF175F576D8}"/>
    <hyperlink ref="F805" r:id="rId563" display="Certificado Titularidad/JORGE IVAN LOPEZ CORDOBA.pdf" xr:uid="{64AC7A81-D6CF-432E-A7FE-BB208314E9D2}"/>
    <hyperlink ref="F1341" r:id="rId564" display="Certificado Titularidad/SAULO GUIMARÃES LIMA.pdf" xr:uid="{327D64CE-FDB5-49F4-B947-5EC14622F226}"/>
    <hyperlink ref="H1293" r:id="rId565" display="Documentos firmados cambio/RODRIGO ALEXANDRO AVILA DIEGO.pdf" xr:uid="{E5C5F0F8-9BC1-4C6C-8D54-2C39C4792221}"/>
    <hyperlink ref="F1272" r:id="rId566" display="Certificado Titularidad/RIGOBERTO ROMERO REINA.pdf" xr:uid="{11F445D8-43E0-4F74-B7D3-E4A82932E1E9}"/>
    <hyperlink ref="F1044" r:id="rId567" display="Certificado Titularidad/LUIS MANUEL SALCEDO VITOLA.pdf" xr:uid="{A2BAFC8E-54C2-47F4-B735-46F71FB0C9FA}"/>
    <hyperlink ref="F340" r:id="rId568" display="Certificado Titularidad/EDUARD JAVIER JULIO INDABURO.pdf" xr:uid="{2AB98702-4753-4C28-B2EE-2A1EB40485AB}"/>
    <hyperlink ref="F174" r:id="rId569" display="Certificado Titularidad/CARLOS ANDRES MANTILLA URREGO.pdf" xr:uid="{E35D051C-E2FF-4172-AEA9-15AF474C3228}"/>
    <hyperlink ref="H623" r:id="rId570" display="Documentos firmados cambio/JAIME ALBERTO QUIÑONES BLANDON.pdf" xr:uid="{CD5EA79D-E2A4-44D3-95A1-3DF41484ED4E}"/>
    <hyperlink ref="F16" r:id="rId571" display="Certificado Titularidad/ALBEIRO CARDOZO HEREDIA.pdf" xr:uid="{97D2D272-BB69-40DB-8B2B-9929E3FC8D36}"/>
    <hyperlink ref="F718" r:id="rId572" display="Certificado Titularidad/JHON EDER CASTRO MONTAÑO.pdf" xr:uid="{6FCD3A20-CE5C-4BE1-B3D3-5F8ABA9BC10E}"/>
    <hyperlink ref="F857" r:id="rId573" display="Certificado Titularidad/JOSE JAVIER SAAVEDRA POLANIA.pdf" xr:uid="{A712C8DE-7F71-4BDC-A646-8710974DDF8A}"/>
    <hyperlink ref="F373" r:id="rId574" display="Certificado Titularidad/EDWIN RAFAEL CAMARGO RUIZ.pdf" xr:uid="{08E170C9-563E-4F0D-A9EA-438E735118A7}"/>
    <hyperlink ref="F1414" r:id="rId575" display="Certificado Titularidad/WILMER DE JESUS ARIZA MUÑOZ.pdf" xr:uid="{DC53E7CF-6A0D-4A81-B44B-535B20D17E5B}"/>
    <hyperlink ref="F1322" r:id="rId576" display="Certificado Titularidad/RUBEN DARIO MONSALVE RIVERO.pdf" xr:uid="{F6DE2DFF-4CC9-4F48-8939-4D19987D7356}"/>
    <hyperlink ref="F962" r:id="rId577" display="Certificado Titularidad/JULIO CESAR OROZCO MEDINA.pdf" xr:uid="{16718F19-ADBA-4AD6-8F95-7E222C948029}"/>
    <hyperlink ref="F561" r:id="rId578" display="Certificado Titularidad/HELKIN ANTONIO OJEDA DE LA CRUZ.pdf" xr:uid="{AE0DCD5E-EC4D-4A56-A0ED-9C001282DDED}"/>
    <hyperlink ref="H561" r:id="rId579" display="Documentos firmados cambio/HELKIN ANTONIO OJEDA DE LA CRUZ.pdf" xr:uid="{A973D7C2-E136-4966-AA58-87929FA4E6CF}"/>
    <hyperlink ref="H254" r:id="rId580" display="Documentos firmados cambio/DANIEL ELIECER PEREZ ACEVEDO.pdf" xr:uid="{887B0F98-BB12-494F-AE5E-5E8127A4F726}"/>
    <hyperlink ref="F813" r:id="rId581" display="Certificado Titularidad/JORGE LUIS FLOREZ RAMIREZ.pdf" xr:uid="{CAE0730E-80C8-488C-885F-AEBEEF556C6E}"/>
    <hyperlink ref="H813" r:id="rId582" display="Documentos firmados cambio/JORGE LUIS FLOREZ RAMIREZ.pdf" xr:uid="{79099079-BB33-4BCB-8513-83144265431F}"/>
    <hyperlink ref="F810" r:id="rId583" display="Certificado Titularidad/JORGE LUIS AVILA CASTRO.pdf" xr:uid="{8F81F923-9F13-43B4-A733-9B12CB5EB3D2}"/>
    <hyperlink ref="H814" r:id="rId584" display="Documentos firmados cambio/JORGE LUIS GONZALES VIERA.pdf" xr:uid="{87E33E84-7CB0-40F3-958F-4B8CF10368DF}"/>
    <hyperlink ref="F528" r:id="rId585" display="Certificado Titularidad/GUSTAVO YOLIAN MEJIA SALAZAR.pdf" xr:uid="{6C5D2496-32C3-4BE1-931F-67ABACEA9BB4}"/>
    <hyperlink ref="F828" r:id="rId586" display="Certificado Titularidad/JOSE ANDRES PEREZ RUIZ.pdf" xr:uid="{7F8D2D33-69E3-44AC-A174-4B549620F370}"/>
    <hyperlink ref="H891" r:id="rId587" display="Documentos firmados cambio/JUAN ALBERTO RODRIGUEZ.pdf" xr:uid="{6068CEC6-FA15-49A1-9EFD-CA34ACD73928}"/>
    <hyperlink ref="H272" r:id="rId588" display="Documentos firmados cambio/DAVID RICARDO SANCHEZ ZAPATA.pdf" xr:uid="{7E2DDA53-E5B1-4EF2-A77E-8CC724C3555F}"/>
    <hyperlink ref="F1041" r:id="rId589" display="Certificado Titularidad/LUIS HERNANDO LOPEZ MUÑOZ.pdf" xr:uid="{C480B6C7-8BF7-416C-83CF-72A545469774}"/>
    <hyperlink ref="H1213" r:id="rId590" display="Documentos firmados cambio/PAULO MARQUES DE OLIVEIRA.pdf" xr:uid="{EEDACCD4-1805-4707-B66C-70F96FE96E85}"/>
    <hyperlink ref="F804" r:id="rId591" display="Certificado Titularidad/JORGE HERNANDO AGUIRRE VELANDIA.pdf" xr:uid="{877F2D85-79A0-4C3A-BAE6-5CC7FA2ED475}"/>
    <hyperlink ref="F1106" r:id="rId592" display="Certificado Titularidad/MICHAEL YESID CUBILLOS CORTES.pdf" xr:uid="{8EBCA223-4020-4950-933C-73EF613D08A5}"/>
    <hyperlink ref="H962" r:id="rId593" display="Documentos firmados cambio/JULIO CESAR OROZCO MEDINA.pdf" xr:uid="{30ACB7B3-C80A-48D4-A885-4D5C41FF2081}"/>
    <hyperlink ref="F1289" r:id="rId594" display="Certificado Titularidad/RODNEY NEFTALI RODRIGUEZ HERRERA.pdf" xr:uid="{D7177718-DE5C-4BD3-B110-AE82283C9325}"/>
    <hyperlink ref="F689" r:id="rId595" display="Certificado Titularidad/JEREMY PAUL CABRERA CALDERON.pdf" xr:uid="{87108AB6-F621-4E1E-8566-F4D74F1C0674}"/>
    <hyperlink ref="F682" r:id="rId596" display="Certificado Titularidad/JEFFERSON STEVEN CARBALIDO VIDALES.pdf" xr:uid="{41382524-38C4-4330-85B6-4DC1FDDD2B8F}"/>
    <hyperlink ref="F459" r:id="rId597" display="Certificado Titularidad/FRANCISCO ALBERTO OCHOA GAITAN.pdf" xr:uid="{F20FDA26-00C9-49C8-9729-E5792663A221}"/>
    <hyperlink ref="F747" r:id="rId598" display="Certificado Titularidad/JHONNY RAFAEL LOPEZ FIGUEROA.pdf" xr:uid="{592BDE37-D2C6-4567-AC5C-E69F6E1FEA54}"/>
    <hyperlink ref="F648" r:id="rId599" display="Certificado Titularidad/JAN CESAR VILLEGAS MOSCOTE.pdf" xr:uid="{A6F187C5-49FC-40A6-9F76-09F80FA9FA21}"/>
    <hyperlink ref="F262" r:id="rId600" display="Certificado Titularidad/DARIO CARLOS MANUEL PEREIRA.pdf" xr:uid="{90CABFFD-DCA1-4AE7-B494-7588BA151FCD}"/>
    <hyperlink ref="F808" r:id="rId601" display="Certificado Titularidad/JORGE LEONARDO MACHUCA GARCIA.pdf" xr:uid="{8F26588A-3F75-40BC-A473-8A14D406DB1E}"/>
    <hyperlink ref="F930" r:id="rId602" display="Certificado Titularidad/JUAN GUILLERMO ZUÑIGA MAYOR.pdf" xr:uid="{7954B635-42CC-4ECC-8267-C615D26AA5E1}"/>
    <hyperlink ref="F234" r:id="rId603" display="Certificado Titularidad/CRISTIAN CAMILO CABALLERO CORREDOR.pdf" xr:uid="{30E2F83A-445C-4D90-9883-118B49616D9D}"/>
    <hyperlink ref="F1143" r:id="rId604" display="Certificado Titularidad/NELSON ENRIQUE CABALLERO CORREDOR.pdf" xr:uid="{F10D665A-8459-47A0-83B9-2AFB209A9941}"/>
    <hyperlink ref="F910" r:id="rId605" display="Certificado Titularidad/JUAN CARLOS VILLANUEVA DE LA HOZ.pdf" xr:uid="{2734950C-E0E1-4AD9-A87A-B74A2AB8ADD9}"/>
    <hyperlink ref="F914" r:id="rId606" display="Certificado Titularidad/JUAN DAVID ALTAMAR CHIQUILLO.pdf" xr:uid="{361BB493-C852-4A48-A8B7-C4EF2F02AFDE}"/>
    <hyperlink ref="F143" r:id="rId607" display="Certificado Titularidad/BRAYAN JOSE SALINAS MARTINEZ.pdf" xr:uid="{AAD0646B-BEA4-41F0-853D-A49C7C9E35F6}"/>
    <hyperlink ref="F175" r:id="rId608" display="Certificado Titularidad/CARLOS ANDRES PARRA ESPITIA.pdf" xr:uid="{931ACC0E-7ACB-4B96-A729-4F4E484C6E21}"/>
    <hyperlink ref="F296" r:id="rId609" display="Certificado Titularidad/DIEGO FERNANDO CHICUE RODRIGUEZ.pdf" xr:uid="{8FCFE467-23D9-4DD1-87EF-2D752FBB6687}"/>
    <hyperlink ref="F802" r:id="rId610" display="Certificado Titularidad/JORGE ENRIQUE SANABRIA MORENO.pdf" xr:uid="{66DCBE4D-0BFB-4DE8-9369-4C58648B6D75}"/>
    <hyperlink ref="F393" r:id="rId611" display="Certificado Titularidad/ELVIN AXEL POLO MANZANO.pdf" xr:uid="{919D9C8E-7C85-4A0E-8778-3F730677EE57}"/>
    <hyperlink ref="F1116" r:id="rId612" display="Certificado Titularidad/MIGUEL RICARDO URTEAGA GARCÍA.pdf" xr:uid="{574C26F5-2A01-43A7-8083-69B4312934F0}"/>
    <hyperlink ref="F888" r:id="rId613" display="Certificado Titularidad/JOSUE JUAN PINTO MACHACA.pdf" xr:uid="{6627F1EB-BF42-429A-B7E2-4E989CA375E0}"/>
    <hyperlink ref="F412" r:id="rId614" display="Certificado Titularidad/ERNESTO GERMAN HERRERA.pdf" xr:uid="{062BFB17-506B-47C9-BB5F-1D9628335F54}"/>
    <hyperlink ref="F1424" r:id="rId615" display="Certificado Titularidad/WILSON CHUQUIVIGUEL BRICEÑO.pdf" xr:uid="{C999A20C-B132-429C-A247-3EE600975540}"/>
    <hyperlink ref="H301" r:id="rId616" display="Documentos firmados cambio/DIEGO ROBERTO SOUZA SCAVACINI.pdf" xr:uid="{08F01569-983F-4185-B22B-4731E5C62F66}"/>
    <hyperlink ref="F36" r:id="rId617" display="Certificado Titularidad/ALEX DAVID GOMEZ VILLADA.pdf" xr:uid="{9CE9D414-A790-472F-AD37-F9F039E12C46}"/>
    <hyperlink ref="F797" r:id="rId618" display="Certificado Titularidad/JORGE EDUARDO OSPINO DURAN.pdf" xr:uid="{766342CD-3BAB-4E11-80C1-8B8CB6A08A62}"/>
    <hyperlink ref="F60" r:id="rId619" display="Certificado Titularidad/ALVARO ARIZA CONTRERAS.pdf" xr:uid="{0CA7FB24-2149-42E5-B309-14F2FE08E5A2}"/>
    <hyperlink ref="F634" r:id="rId620" display="Certificado Titularidad/JAIR PLAZA AGUILAR.pdf" xr:uid="{0DC8E2ED-3738-4BF0-95E9-CA5906546F2B}"/>
    <hyperlink ref="F1187" r:id="rId621" display="Certificado Titularidad/ORLANDO MONCAYO FLOREZ.pdf" xr:uid="{12EE14ED-6C99-4ECF-9B3E-85240E10969B}"/>
    <hyperlink ref="H1187" r:id="rId622" display="Documentos firmados cambio/ORLANDO MONCAYO FLOREZ.pdf" xr:uid="{3CB5CA56-54BD-4B01-AAB6-7F6CD270CE2F}"/>
    <hyperlink ref="F112" r:id="rId623" display="Certificado Titularidad/ARIEL SILVA GAMBOA.pdf" xr:uid="{AB2CB4CD-6666-4EAB-B45E-93135B23AE42}"/>
    <hyperlink ref="F115" r:id="rId624" display="Certificado Titularidad/ARLEY GUTIERREZ CORREDOR.pdf" xr:uid="{640BB392-066A-4DC4-AB8A-B440C6649A91}"/>
    <hyperlink ref="F163" r:id="rId625" display="Certificado Titularidad/CARLOS ALBERTO GUIA MONROY.pdf" xr:uid="{C32FF2DE-3096-4FA5-BA96-EEA4EC965D31}"/>
    <hyperlink ref="F176" r:id="rId626" display="Certificado Titularidad/CARLOS ANDRES PULIDO CHAVEZ.pdf" xr:uid="{9726DF21-9A73-485B-B898-406970B481F4}"/>
    <hyperlink ref="F275" r:id="rId627" display="Certificado Titularidad/DEIBIS ENRIQUE HERNANDEZ OROZCO.pdf" xr:uid="{409DB92A-4BFF-4483-9F3A-F6824E167585}"/>
    <hyperlink ref="F359" r:id="rId628" display="Certificado Titularidad/EDWIN ALBERTO CORTES GUERRERO.pdf" xr:uid="{440E3F2D-22B7-4FEA-B4F3-58D2B3005A8D}"/>
    <hyperlink ref="F659" r:id="rId629" display="Certificado Titularidad/JAVIER DE JESUS SALAS MARTINEZ.pdf" xr:uid="{A546AE1D-7BEE-4ABE-8E0F-3DE099CD2FBD}"/>
    <hyperlink ref="F862" r:id="rId630" display="Certificado Titularidad/JOSE JULIAN LEMOS ZUNIGA.pdf" xr:uid="{F4B88900-8B2B-4750-9F46-C586D9E30A65}"/>
    <hyperlink ref="F916" r:id="rId631" display="Certificado Titularidad/JUAN DAVID GOMEZ GUTIERREZ.pdf" xr:uid="{6BB7776F-AB6B-4B48-AEE3-5D837BD70B5F}"/>
    <hyperlink ref="F940" r:id="rId632" display="Certificado Titularidad/JUAN QUINTANA DE AVILA.pdf" xr:uid="{80017761-5BE9-4D79-8CC9-AD2B5F9A5BDD}"/>
    <hyperlink ref="F1024" r:id="rId633" display="Certificado Titularidad/LUIS EFRAIN ADRIANZEN MARCELO.pdf" xr:uid="{9F5E5D8B-1C64-467E-81B0-E4719476979B}"/>
    <hyperlink ref="F1027" r:id="rId634" display="Certificado Titularidad/LUIS ENRIQUE SILVA GAMBOA.pdf" xr:uid="{ECCA79E1-2B44-4877-935D-812D2A73C0FD}"/>
    <hyperlink ref="F1137" r:id="rId635" display="Certificado Titularidad/NEFER YASETH PESTANA CABALLERO.pdf" xr:uid="{FE4413BC-6F82-4A0B-BA16-0B0154DEB727}"/>
    <hyperlink ref="F1171" r:id="rId636" display="Certificado Titularidad/NORVEY GONZALEZ LOPEZ.pdf" xr:uid="{BCB2A639-CFA5-449D-BECF-EA2B930F2690}"/>
    <hyperlink ref="H594" r:id="rId637" display="Documentos firmados cambio/ILLERMAN DE LA HOZ PELAEZ.pdf" xr:uid="{FFFBB962-262A-4319-82CC-333CC3FF961C}"/>
    <hyperlink ref="F594" r:id="rId638" display="Certificado Titularidad/ILLERMAN DE LA HOZ PELAEZ.pdf" xr:uid="{960171B3-5E13-4A35-9BBD-73F24486EF9E}"/>
    <hyperlink ref="F9" r:id="rId639" display="Certificado Titularidad/ADILSON ESCOBAR OREJUELA.pdf" xr:uid="{3A94D5D0-C36B-4AB7-A236-55CFC6260BBC}"/>
    <hyperlink ref="H9" r:id="rId640" display="Documentos firmados cambio/ADILSON ESCOBAR OREJUELA.pdf" xr:uid="{1FF8657D-80A1-41DC-9433-19BC28DF5CF9}"/>
    <hyperlink ref="F383" r:id="rId641" display="Certificado Titularidad/ELICEO FUENTES PARRA.pdf" xr:uid="{B6122979-2494-4655-BAC4-1053265FE9EA}"/>
    <hyperlink ref="F1342" r:id="rId642" display="Certificado Titularidad/SEBASTIAN DAVID ARIAS CORREA.pdf" xr:uid="{876150A0-0961-4FBE-84D6-638CD4551FAB}"/>
    <hyperlink ref="F1364" r:id="rId643" display="Certificado Titularidad/VICTOR ALFONSO MINA QUIJANO.pdf" xr:uid="{D3CF5C77-2744-402D-A5FE-D563CE9D351D}"/>
    <hyperlink ref="F1389" r:id="rId644" display="Certificado Titularidad/WENDI ALBERTO GARCIA ARRIETA.pdf" xr:uid="{F3686ABD-4030-4ADB-A8BA-1849492A2880}"/>
    <hyperlink ref="F1268" r:id="rId645" display="Certificado Titularidad/RICHARD OMAR CASTRO CUEVAS.pdf" xr:uid="{E5D57FFE-F35D-4114-B33C-57A2A919A71A}"/>
    <hyperlink ref="F30" r:id="rId646" display="Certificado Titularidad/ALEJANDRO ERWIN ZAMBRANO AGUILERA.pdf" xr:uid="{19ED1FE9-45E4-4B47-A32A-6CFC34C2D814}"/>
    <hyperlink ref="F116" r:id="rId647" display="Certificado Titularidad/ARLINTON ENRIQUE CABALLERO PEDROZO.pdf" xr:uid="{6A93B111-18D4-4C0F-89B2-97E63E1B01AD}"/>
    <hyperlink ref="F543" r:id="rId648" display="Certificado Titularidad/HECTOR FABIO GOMEZ ROMAN.pdf" xr:uid="{78A87FF2-F797-4DF1-9FD0-D7F4591AE4DE}"/>
    <hyperlink ref="F640" r:id="rId649" display="Certificado Titularidad/JAIRO ALFONSO MUNOZ VALLE.pdf" xr:uid="{D6FBD270-B96C-41AC-A95C-5ED9554A6C37}"/>
    <hyperlink ref="F317" r:id="rId650" display="Certificado Titularidad/EDGAR DIAZ MACHADO.pdf" xr:uid="{F0EA4BEB-22B3-40CE-AF1E-C687FAD58658}"/>
    <hyperlink ref="F231" r:id="rId651" display="Certificado Titularidad/CRISTIAN ADRIAN QUIROS RAMOS.pdf" xr:uid="{728C1895-1530-44C2-AA49-11149F509009}"/>
    <hyperlink ref="F592" r:id="rId652" display="Certificado Titularidad/HUMBERTO OCHOA RIOS.pdf" xr:uid="{12A8C2CF-E7DA-44B2-A023-3CA38792708E}"/>
    <hyperlink ref="F1089" r:id="rId653" display="Certificado Titularidad/MATEO CANTILLO PAYARES.pdf" xr:uid="{D7F815EA-1C80-48DD-8571-22BB2EF9B77B}"/>
    <hyperlink ref="H592" r:id="rId654" display="Documentos firmados cambio/HUMBERTO OCHOA RIOS.pdf" xr:uid="{4B920778-D1D4-45E8-BB27-B2A005185473}"/>
    <hyperlink ref="F497" r:id="rId655" display="Certificado Titularidad/GERSON ANDRES LOPEZ LONDONO.pdf" xr:uid="{92F3E1EA-4B8B-4E8F-847C-98C3A9FE79A6}"/>
    <hyperlink ref="F551" r:id="rId656" display="Certificado Titularidad/HECTOR JESUS QUINONES PEREZ.pdf" xr:uid="{97D0F32F-CC0C-4A40-ABF0-53783FCEBEB8}"/>
    <hyperlink ref="F446" r:id="rId657" display="Certificado Titularidad/FELIX DARIO MAESTRE DEL GUERCIO.pdf" xr:uid="{4BFAAD3F-0598-4444-A601-AAD2F809BFE2}"/>
    <hyperlink ref="F918" r:id="rId658" display="Certificado Titularidad/JUAN DAVID MOLANO CARDONA.pdf" xr:uid="{B7075B4E-1F9C-4A59-AD04-6B5431AE5AB4}"/>
    <hyperlink ref="F1319" r:id="rId659" display="Certificado Titularidad/RUBEN DARIO GUAPACHA GUARIN.pdf" xr:uid="{A338C829-2EFF-42A0-82FA-2B1CD9C6BA99}"/>
    <hyperlink ref="F1206" r:id="rId660" display="Certificado Titularidad/PABLO ALBERTO RIANO BONILLA.pdf" xr:uid="{15218600-AA54-4701-B5F9-2BD6FB149C9A}"/>
    <hyperlink ref="F585" r:id="rId661" display="Certificado Titularidad/HUGO ALBENIZ PULIDO MARTINEZ.pdf" xr:uid="{F02953E4-3C57-4BF0-8C83-933665B462A5}"/>
    <hyperlink ref="F791" r:id="rId662" display="Certificado Titularidad/JORGE ANDRES VEGA DELGADO.pdf" xr:uid="{5CA6F718-1EF8-4325-AE59-A7FC85203210}"/>
    <hyperlink ref="F1097" r:id="rId663" display="Certificado Titularidad/MAURICIO ORTIZ CONTRERAS.pdf" xr:uid="{B0D3DEAB-574F-498B-B725-A82AAF2F600F}"/>
    <hyperlink ref="F253" r:id="rId664" display="Certificado Titularidad/DANIEL DOMINGO MARCHENA AGURTO.pdf" xr:uid="{10B33F2C-FC92-450F-8C2C-2715F7F33E5D}"/>
    <hyperlink ref="H253" r:id="rId665" display="Documentos firmados cambio/DANIEL DOMINGO MARCHENA AGURTO.pdf" xr:uid="{2C1BFD38-DFA7-4461-B5A8-CD518D567DBF}"/>
    <hyperlink ref="F710" r:id="rId666" display="Certificado Titularidad/JHOJAN ESNEIDER NIÑO PARRA.pdf" xr:uid="{BBC555E4-6045-4E6F-BAC8-5178AE11F175}"/>
    <hyperlink ref="F796" r:id="rId667" display="Certificado Titularidad/JORGE CAMILO QUINTERO OJEDA.pdf" xr:uid="{0165D123-1B1C-4189-A189-9ED8373304C7}"/>
    <hyperlink ref="F1243" r:id="rId668" display="Certificado Titularidad/RAMIRO ENRIQUE PEREIRA MEDINA.pdf" xr:uid="{7416613B-3BF0-428E-9F10-E2D16B0E5CF5}"/>
    <hyperlink ref="F73" r:id="rId669" display="Certificado Titularidad/ANDERSON CHELUVAY GONZALEZ TRUJILLO.pdf" xr:uid="{5E7762B0-6558-4837-B9D3-D5AA1ADE48A0}"/>
    <hyperlink ref="F368" r:id="rId670" display="Certificado Titularidad/EDWIN FERNEY MORENO PARADA.pdf" xr:uid="{90D85B0F-43D2-44C8-B88D-07A64A742203}"/>
    <hyperlink ref="F929" r:id="rId671" display="Certificado Titularidad/JUAN GUILLERMO RIOS PEREZ.pdf" xr:uid="{2959AA17-9504-4C12-A341-87AC1B92B67D}"/>
    <hyperlink ref="F375" r:id="rId672" display="Certificado Titularidad/EDWIN RODRIGO AVILA PENA.pdf" xr:uid="{F7A5097E-DDF4-4871-9F24-186EB6455F3F}"/>
    <hyperlink ref="F1122" r:id="rId673" display="Certificado Titularidad/MILTON DAVID MORALES LEITON.pdf" xr:uid="{13323B04-CC85-48EF-93A4-56E80FE0C313}"/>
    <hyperlink ref="F323" r:id="rId674" display="Certificado Titularidad/EDGARDO JOAN SUAREZ.pdf" xr:uid="{FBB51C81-6FAD-41A6-BB68-A6224AA9B7AD}"/>
    <hyperlink ref="F698" r:id="rId675" display="Certificado Titularidad/JESUS ELIECER ALVAREZ ORTIZ.pdf" xr:uid="{7D04E4EF-B8F7-4C6F-87F3-6D8EC00F50B0}"/>
    <hyperlink ref="F876" r:id="rId676" display="Certificado Titularidad/JOSE RAIMUNDO JIMENEZ ARRIETA.pdf" xr:uid="{297FEEBB-9383-4072-9170-5BC2B75EA305}"/>
    <hyperlink ref="F1150" r:id="rId677" display="Certificado Titularidad/NELSON ROBERTO HENAO BEDOYA.pdf" xr:uid="{83B71F31-244E-4B33-A98B-69C6BF0CDDAA}"/>
    <hyperlink ref="F509" r:id="rId678" display="Certificado Titularidad/GONZALO QUINTANA PIMIENTO.pdf" xr:uid="{F03B272B-C520-4B1F-9669-3F6874C8F26A}"/>
    <hyperlink ref="F775" r:id="rId679" display="Certificado Titularidad/JONAHTAN NONTOA HERNANDEZ.pdf" xr:uid="{7BAF0227-1CEA-46D3-B890-89D91C31B9ED}"/>
    <hyperlink ref="F662" r:id="rId680" display="Certificado Titularidad/JAVIER HERNANDO VALDERRAMA GUTIERREZ.pdf" xr:uid="{2A6565F9-4287-4503-A401-AA7CF3AD1959}"/>
    <hyperlink ref="F1298" r:id="rId681" display="Certificado Titularidad/ROGER ANTONIO GUERRA HERRERA.pdf" xr:uid="{A69F21C2-4763-427B-9B87-0D3EFF93394C}"/>
    <hyperlink ref="F1082" r:id="rId682" display="Certificado Titularidad/MARLON BUJATO SILVERA.pdf" xr:uid="{E0761095-1FEA-41C7-989D-B6BB7A5755B1}"/>
    <hyperlink ref="F324" r:id="rId683" display="Certificado Titularidad/EDGARDO LUIS GARCIA JULIO.pdf" xr:uid="{9D190180-AAC8-4F9B-B8BD-723A2DA7858C}"/>
    <hyperlink ref="H1258" r:id="rId684" display="Documentos firmados cambio/RENZO JUNIO CHUNGA LUJAN.pdf" xr:uid="{1A364DB4-9C6A-475C-B3F2-0F1D94D663E5}"/>
    <hyperlink ref="F229" r:id="rId685" display="Certificado Titularidad/CRISTHIAN ANDRES CURAY LAZARO.pdf" xr:uid="{E3403A8F-E658-4670-B642-122EAB2DC116}"/>
    <hyperlink ref="H229" r:id="rId686" display="Documentos firmados cambio/CRISTHIAN ANDRES CURAY LAZARO.pdf" xr:uid="{D6CB5508-E4BC-44FC-9A52-FE908C0887F9}"/>
    <hyperlink ref="F1467" r:id="rId687" display="Certificado Titularidad/YUVER RUSO CRUZ DAMIAN.pdf" xr:uid="{1733540C-44B3-4DD1-84EC-D98643015A08}"/>
    <hyperlink ref="F1147" r:id="rId688" display="Certificado Titularidad/NELSON JAIME PITRE CASTILLA.pdf" xr:uid="{82153899-131A-48BE-A689-F4E887C8A5A8}"/>
    <hyperlink ref="F209" r:id="rId689" display="Certificado Titularidad/CESAR AUGUSTO HOYOS SERNA.pdf" xr:uid="{B26BEF05-7506-4929-82D1-0ACD782E1E2E}"/>
    <hyperlink ref="F961" r:id="rId690" display="Certificado Titularidad/JULIO CESAR MANJARRES.pdf" xr:uid="{19F56C67-2488-4F24-8D78-0C07FA863CDD}"/>
    <hyperlink ref="F436" r:id="rId691" display="Certificado Titularidad/FABIO LEON OROZCO RODRIGUEZ.pdf" xr:uid="{66CAE062-6038-4DA8-9D07-F8CDEA59C71B}"/>
    <hyperlink ref="F1332" r:id="rId692" display="Certificado Titularidad/SAMUEL DAVID CARVAJAL SINISTERRA.pdf" xr:uid="{98628632-8B65-40AF-81C4-C3D42EC74A23}"/>
    <hyperlink ref="F1240" r:id="rId693" display="Certificado Titularidad/RAFAEL ELIAS VALDERRAMA VERGARA.pdf" xr:uid="{9587D68F-20F4-425C-B0D9-43F5D59F4A0A}"/>
    <hyperlink ref="F1198" r:id="rId694" display="Certificado Titularidad/OSCAR GIOVANNI DIAZ MARTINEZ.pdf" xr:uid="{F47C32BE-96BD-477F-B140-35C95ED85F65}"/>
    <hyperlink ref="F779" r:id="rId695" display="Certificado Titularidad/JONATHAN ALEXANDRE NEIRA SUAZO.pdf" xr:uid="{9B5F075F-BA04-4BFE-AB75-7157A029FC73}"/>
    <hyperlink ref="F276" r:id="rId696" display="Certificado Titularidad/DEINER MARIN ROCHA.pdf" xr:uid="{F0192C44-859C-4782-BC3B-AEDE0FE65CF4}"/>
    <hyperlink ref="H1354" r:id="rId697" display="Documentos firmados cambio/SIMION LUCIANO CHILINGANO PILLACA.pdf" xr:uid="{ED9BE947-C90D-4466-A81A-2F7F532A29F5}"/>
    <hyperlink ref="F1417" r:id="rId698" display="Certificado Titularidad/WILMER PEREZ CUSBA.pdf" xr:uid="{525FAA87-9F75-4F08-8709-4C1ADF13C17A}"/>
    <hyperlink ref="F1353" r:id="rId699" display="Certificado Titularidad/SHELBY ENRIQUE OSPINA MONTERROSA.pdf" xr:uid="{F213B0DD-2528-468D-A9F1-281B89627C7C}"/>
    <hyperlink ref="F312" r:id="rId700" display="Certificado Titularidad/DUVAN OVIEDO OREJUELA.pdf" xr:uid="{6EE1D26A-3490-4A79-B557-02196041A200}"/>
    <hyperlink ref="F1010" r:id="rId701" display="Certificado Titularidad/LUIS ALFREDO APONTE ANTON.pdf" xr:uid="{294B0220-0D60-46F0-9038-52DF391F69DC}"/>
    <hyperlink ref="F668" r:id="rId702" display="Certificado Titularidad/JAVIER RODRIGUEZ CONTRERAS.pdf" xr:uid="{704EB569-18B6-4E83-93C6-4A8401B2773F}"/>
    <hyperlink ref="H231" r:id="rId703" display="Documentos firmados cambio/CRISTIAN ADRIAN QUIROS RAMOS.pdf" xr:uid="{72FF9F7E-7DD9-43BB-84C1-11065A36B0D4}"/>
    <hyperlink ref="H124" r:id="rId704" display="Documentos firmados cambio/BAIRON RENE BURBANO MORALES.pdf" xr:uid="{A9019C91-F95C-4129-BA2E-43B4DECF2DCF}"/>
    <hyperlink ref="F141" r:id="rId705" display="Certificado Titularidad/BRAYAN JAVIER CHAVES NARVAEZ.pdf" xr:uid="{AC32D7AE-B153-425A-86A7-756FF7A0247C}"/>
    <hyperlink ref="H141" r:id="rId706" display="Documentos firmados cambio/BRAYAN JAVIER CHAVES NARVAEZ.pdf" xr:uid="{7276061D-8027-4774-851F-35472AEA7036}"/>
    <hyperlink ref="F364" r:id="rId707" display="Certificado Titularidad/EDWIN CASTANEDA HENAO.pdf" xr:uid="{484C1A6E-D896-4AEE-ACBC-C95730F39911}"/>
    <hyperlink ref="F1031" r:id="rId708" display="Certificado Titularidad/LUIS FERNANDO BENJUMEA ORTIZ.pdf" xr:uid="{FC99D6A3-6116-4A4A-921F-3CEEAC1AAFE6}"/>
    <hyperlink ref="F443" r:id="rId709" display="Certificado Titularidad/FELIPE LOAIZA CARDENAS.pdf" xr:uid="{5AC801A7-4040-443C-8848-451BF747B37C}"/>
    <hyperlink ref="F352" r:id="rId710" display="Certificado Titularidad/EDWAR GITERLY TORRES LIZARAZO.pdf" xr:uid="{88177B6B-0440-4B71-AF6C-53F03E88BDCA}"/>
    <hyperlink ref="F338" r:id="rId711" display="Certificado Titularidad/EDUAR DARIO MOSQUERA.pdf" xr:uid="{80306465-2B6A-4839-AE70-89E465204EF7}"/>
    <hyperlink ref="F118" r:id="rId712" display="Certificado Titularidad/ARMANDO QUIROGA JOVEN.pdf" xr:uid="{67D6B283-FD49-4C98-AC7A-1166F528D8A8}"/>
    <hyperlink ref="F501" r:id="rId713" display="Certificado Titularidad/GILMAR LUIS PARRILLA ALCANTARA.pdf" xr:uid="{0111891A-AD8F-4A34-9AE6-BF9D108DC3C4}"/>
    <hyperlink ref="F138" r:id="rId714" display="Certificado Titularidad/BRAYAN ALEXANDER CARABALI SANCHEZ.pdf" xr:uid="{FC2C052E-7312-4813-B1C3-A656983C5F30}"/>
    <hyperlink ref="F264" r:id="rId715" display="Certificado Titularidad/DARWIN GARCIA GUERRERO.pdf" xr:uid="{77E80B26-A346-4757-A72A-7DAF79E2D692}"/>
    <hyperlink ref="F562" r:id="rId716" display="Certificado Titularidad/HELMER STIWAR MONTAÑA.pdf" xr:uid="{EDC38F99-B18E-47DB-90D3-E409F9850FE1}"/>
    <hyperlink ref="F593" r:id="rId717" display="Certificado Titularidad/IGNACIO ANTONIO ROLDAN AREVALO.pdf" xr:uid="{4B24F481-9FDA-4BCE-B349-60F0F5189B9A}"/>
    <hyperlink ref="F803" r:id="rId718" display="Certificado Titularidad/JORGE FACEDT VANEGAS MEDINA.pdf" xr:uid="{9ABD59B9-AA80-48EB-917F-16BB96A45762}"/>
    <hyperlink ref="F1088" r:id="rId719" display="Certificado Titularidad/MARTINIANO ALFONSO DEANTONIO.pdf" xr:uid="{239E0DEA-8691-4CBC-930C-3646936A7457}"/>
    <hyperlink ref="F847" r:id="rId720" display="Certificado Titularidad/JOSE FRANCISCO PINEDO BERRIO.pdf" xr:uid="{BE63DB04-ACB1-4CDD-B97E-8FE40956D151}"/>
    <hyperlink ref="F1250" r:id="rId721" display="Certificado Titularidad/RAUL ERNESTO MORA MARTINEZ.pdf" xr:uid="{0F9ACA69-3415-4C92-BCC2-CC580D645208}"/>
    <hyperlink ref="F1362" r:id="rId722" display="Certificado Titularidad/VICENCIO VILLAMIZAR LEON.pdf" xr:uid="{61C7EEF5-C24A-4B7E-A907-D0A1CA510742}"/>
    <hyperlink ref="F1060" r:id="rId723" display="Certificado Titularidad/MANUEL TCHIMBINJA GOMBACASSI.pdf" xr:uid="{36EFAD51-C61D-423B-9DD5-2F3D09D18D7A}"/>
    <hyperlink ref="F1209" r:id="rId724" display="Certificado Titularidad/PABLO MANOLO ROMERO HUERTAS.pdf" xr:uid="{9DB83DF3-F2CE-417D-B81E-A81D1F69C64E}"/>
    <hyperlink ref="F322" r:id="rId725" display="Certificado Titularidad/EDGAR STEVEN PENAGOS CESPEDES.pdf" xr:uid="{2F9EBD61-1492-4443-899B-9D4B59F359FE}"/>
    <hyperlink ref="H322" r:id="rId726" display="Documentos firmados cambio/EDGAR STEVEN PENAGOS CESPEDES.pdf" xr:uid="{234D729E-D95E-4CE2-96BF-2B303C864A38}"/>
    <hyperlink ref="F21" r:id="rId727" display="Certificado Titularidad/ALBERTO ENRIQUE MACIAS TEHERAN.pdf" xr:uid="{1C3282CE-C132-48FC-BD5D-E0ED07EEBBDD}"/>
    <hyperlink ref="F983" r:id="rId728" display="Certificado Titularidad/LEISER DONCEL AVILA.pdf" xr:uid="{77E171BA-0948-4656-BA3E-A2AFF0C4FC6E}"/>
    <hyperlink ref="F724" r:id="rId729" display="Certificado Titularidad/JHON FREDDY CABRERA AGUILAR.pdf" xr:uid="{B7E8F19D-D035-4D05-9056-8687DDDF8DCA}"/>
    <hyperlink ref="H724" r:id="rId730" display="Documentos firmados cambio/JHON FREDDY CABRERA AGUILAR.pdf" xr:uid="{36C9A42D-8F8C-4317-8F89-CA8FDAA9D989}"/>
    <hyperlink ref="F514" r:id="rId731" display="Certificado Titularidad/GUBERNEY HURTADO SAUCEDO.pdf" xr:uid="{9C5FA6CB-5781-472B-AFF8-736CD9A17843}"/>
    <hyperlink ref="F667" r:id="rId732" display="Certificado Titularidad/JAVIER ORLANDO PINTO VIANCHA.pdf" xr:uid="{B2743818-9A55-4FDC-BA1E-F136AF14B834}"/>
    <hyperlink ref="H722" r:id="rId733" display="Documentos firmados cambio/JHON EINER INSUASTI TULANDE.pdf" xr:uid="{54F5BE49-D17A-4F23-AC53-484E150E759A}"/>
    <hyperlink ref="F1411" r:id="rId734" display="Certificado Titularidad/WILMAR ESTUPIÑAN ANGULO.pdf" xr:uid="{351EC4DF-91AC-4031-92D3-A2FE9A1053CF}"/>
    <hyperlink ref="H1411" r:id="rId735" display="Documentos firmados cambio/WILMAR ESTUPIÑAN ANGULO.pdf" xr:uid="{89B3EC07-C2C4-421E-BCD8-FEAD02C98C97}"/>
    <hyperlink ref="F183" r:id="rId736" display="Certificado Titularidad/CARLOS ARTURO RESTREPO RESTREPO.pdf" xr:uid="{E0605C76-AC57-4DB9-9F70-46C29E218A74}"/>
    <hyperlink ref="F524" r:id="rId737" display="Certificado Titularidad/GUSTAVO ANDRES PORRAS MORALES.pdf" xr:uid="{53B0A167-8069-4AAA-B1DE-B9F4C161497B}"/>
    <hyperlink ref="F882" r:id="rId738" display="Certificado Titularidad/JOSE YOVANNY LOZANO GOMEZ.pdf" xr:uid="{5C79FF42-F6FA-4405-A29C-CDCA08E77B73}"/>
    <hyperlink ref="F988" r:id="rId739" display="Certificado Titularidad/LEONARDO JAVIER RIOS CORREA.pdf" xr:uid="{BD999370-EB26-4F93-B45C-A0044AAC3DF0}"/>
    <hyperlink ref="F1050" r:id="rId740" display="Certificado Titularidad/LUIS SAUL ARIAS NAVA.pdf" xr:uid="{0759229F-2581-48B1-8674-01BB816C12D2}"/>
    <hyperlink ref="F1110" r:id="rId741" display="Certificado Titularidad/MIGUEL ANGEL GARCIA CASTRO.pdf" xr:uid="{70D43371-1467-44D4-AC36-B11ADD175C78}"/>
    <hyperlink ref="F1145" r:id="rId742" display="Certificado Titularidad/NELSON ENRIQUE MONTOYA BATISTA.pdf" xr:uid="{6CA3C2D5-56B9-4B8F-AE8F-333A315C79F5}"/>
    <hyperlink ref="F1271" r:id="rId743" display="Certificado Titularidad/RIGOBERTO RIOS PACHECO.pdf" xr:uid="{CE13E880-95B0-4FE6-94BC-5EE3760929B9}"/>
    <hyperlink ref="F1282" r:id="rId744" display="Certificado Titularidad/ROBERTO RICHARD OSCCO CHILINGANO.pdf" xr:uid="{F1BCECB2-5A2F-4F62-93B1-16FDC7D8D7C3}"/>
    <hyperlink ref="F1284" r:id="rId745" display="Certificado Titularidad/ROBIN JOSE TORRES VANEGAS.pdf" xr:uid="{30F79543-2F31-41DD-B678-CC99A4A60169}"/>
    <hyperlink ref="F1374" r:id="rId746" display="Certificado Titularidad/VICTOR MANUEL VELASQUEZ ARROYO.pdf" xr:uid="{D89FBA71-A772-41AB-81E4-09F4EC91E897}"/>
    <hyperlink ref="F1390" r:id="rId747" display="Certificado Titularidad/WILBER LOPEZ BALETA.pdf" xr:uid="{005A5C6F-DB52-4D34-A444-DE22640DF339}"/>
    <hyperlink ref="F1396" r:id="rId748" display="Certificado Titularidad/WILLIAM ALEXANDER JARA SANTOS.pdf" xr:uid="{8FCB3E69-7A25-4A4D-AA2D-8264CB419FDC}"/>
    <hyperlink ref="F122" r:id="rId749" display="Certificado Titularidad/ARTURO HANS VELARDE AVALOS.pdf" xr:uid="{BDEDC33E-5925-4302-A7F0-CFE9F88E99A2}"/>
    <hyperlink ref="F864" r:id="rId750" display="Certificado Titularidad/JOSE LEONARDO CALDERON MANZANO.pdf" xr:uid="{B67A6F1A-745A-4412-B686-281BB9CF8645}"/>
    <hyperlink ref="F1435" r:id="rId751" display="Certificado Titularidad/YANNY ALBERTO HERNANDEZ LOZANO.pdf" xr:uid="{33964AD0-3AA7-4C35-B8C3-79F78EB13457}"/>
    <hyperlink ref="H1122" r:id="rId752" display="Documentos firmados cambio/MILTON DAVID MORALES LEITON.pdf" xr:uid="{C73670D4-BFC4-49D5-A8B0-F7FEF41C75B3}"/>
    <hyperlink ref="F256" r:id="rId753" display="Certificado Titularidad/DANIEL MATEO AGUDELO RUEDA.pdf" xr:uid="{55EBA0F6-B56F-40F1-BE73-CEBFD562DF6A}"/>
    <hyperlink ref="F895" r:id="rId754" display="Certificado Titularidad/JUAN BETANCOUR MARTINEZJUAN BETANCOUR MARTINEZ.pdf" xr:uid="{45A971FE-159F-461C-AD9A-A402C470CF25}"/>
    <hyperlink ref="F1357" r:id="rId755" display="Certificado Titularidad/TAKAMU KAPHILAH AGUDELO CONTECHA.pdf" xr:uid="{098FDF88-F394-4C4A-A356-B323FB5DD20B}"/>
    <hyperlink ref="F1416" r:id="rId756" display="Certificado Titularidad/WILMER LEANDRO SANCHEZ.pdf" xr:uid="{34D12125-3469-462C-AE49-0508C56C0615}"/>
    <hyperlink ref="F1442" r:id="rId757" display="Certificado Titularidad/YEISON ARLEY TOBON MORENO.pdf" xr:uid="{BF8463DB-E10F-462E-B651-BCD97BF5B634}"/>
    <hyperlink ref="F533" r:id="rId758" display="Certificado Titularidad/HAROLD HEVER ALARCON MOLINA.pdf" xr:uid="{B99F71DB-0555-425C-89B9-40B7104398C0}"/>
    <hyperlink ref="F109" r:id="rId759" display="Certificado Titularidad/ANUAR JIMENEZ DELGADO.pdf" xr:uid="{778046A5-7BEA-4A6A-865E-C4F5F02234F1}"/>
    <hyperlink ref="F512" r:id="rId760" display="Certificado Titularidad/GREGORIO HERNAN ARIAS JARAMILLO.pdf" xr:uid="{EDA51404-4C1D-4555-8462-FB8CAE04979D}"/>
    <hyperlink ref="F559" r:id="rId761" display="Certificado Titularidad/HEDICXON OLIVIO QUINONES PEREZ.pdf" xr:uid="{AD83C96B-DD72-429A-8D62-6B4967880E1C}"/>
    <hyperlink ref="F198" r:id="rId762" display="Certificado Titularidad/CARLOS JULIO CANON SALCEDO.pdf" xr:uid="{2BDE512D-BFCE-4F47-A4A7-73F2DCB282AF}"/>
    <hyperlink ref="F874" r:id="rId763" display="Certificado Titularidad/JOSE MIGUEL ZACARIAS CHIRINOS.pdf" xr:uid="{9C643C19-83C2-4A6B-87C4-5CB8C603879F}"/>
    <hyperlink ref="F1076" r:id="rId764" display="Certificado Titularidad/MARIO ENRIQUE CHANTRE CALAMBAS.pdf" xr:uid="{BA895CEA-1253-46E6-A96A-61D76EDB0282}"/>
    <hyperlink ref="F1237" r:id="rId765" display="Certificado Titularidad/RAFAEL ALEJANDRO HERRERA URBANO.pdf" xr:uid="{709A0911-B302-43D9-8CD3-D4010EDE176C}"/>
    <hyperlink ref="F620" r:id="rId766" display="Certificado Titularidad/JAHIR SURLEY DELGADO AGREDO.pdf" xr:uid="{F322EE72-2811-4E49-A43D-03412E7BA3F1}"/>
    <hyperlink ref="H620" r:id="rId767" display="Documentos firmados cambio/JAHIR SURLEY DELGADO AGREDO.pdf" xr:uid="{413BC411-2D3B-4EC4-A03E-F6B09BF37F5D}"/>
    <hyperlink ref="F1249" r:id="rId768" display="Certificado Titularidad/RAUL AUGUSTO MIRANDA.pdf" xr:uid="{5C334F58-A98B-4A0E-A7BE-43EC44A6D390}"/>
    <hyperlink ref="F144" r:id="rId769" display="Certificado Titularidad/BRAYAN JULIAN GAZCON MARIN.pdf" xr:uid="{DEF6B32D-2567-4A30-8E6D-F196FCB91CE2}"/>
    <hyperlink ref="F575" r:id="rId770" display="Certificado Titularidad/HERMIDES VILLADIEGO DAGER.pdf" xr:uid="{648E686D-5F14-41DD-84C3-1526426B36E8}"/>
    <hyperlink ref="F1140" r:id="rId771" display="Certificado Titularidad/NELGER CARDONA NORIEGA.pdf" xr:uid="{F7EEE4AB-21CB-4F8D-9917-1A498BEC0024}"/>
    <hyperlink ref="H1302" r:id="rId772" display="Documentos firmados cambio/ROLANDO CATUNTA MAMANI.pdf" xr:uid="{46C927AF-679B-41F5-BF36-27CC5FEDE665}"/>
    <hyperlink ref="F1302" r:id="rId773" display="Certificado Titularidad/ROLANDO CATUNTA MAMANI.pdf" xr:uid="{79953D5D-BAFC-4DE2-B662-88AFA7BEBEAF}"/>
    <hyperlink ref="F225" r:id="rId774" display="Certificado Titularidad/CLAUBER FONSECA MARCIANO.pdf" xr:uid="{A665C7FA-6FD3-43D0-9491-D9BD6BB710E9}"/>
    <hyperlink ref="F964" r:id="rId775" display="Certificado Titularidad/JULIO CESAR VERA.pdf" xr:uid="{5B24D5DD-99EE-41D8-B981-031B51ABD7AE}"/>
    <hyperlink ref="F751" r:id="rId776" display="Certificado Titularidad/JHORMAN STEVEN PINTO QUITORA.pdf" xr:uid="{CE8C0578-9C1B-4B03-AC9C-1C5EAC06C0D5}"/>
    <hyperlink ref="H519" r:id="rId777" display="Documentos firmados cambio/GUILLERMO LEON POSADA LONDONO.pdf" xr:uid="{5A70AE05-AFD9-4800-BB4C-D0B7F067629E}"/>
    <hyperlink ref="F1405" r:id="rId778" display="Certificado Titularidad/WILLIAMS HUMBERTO ABAD MONTALBAN.pdf" xr:uid="{CA7C66E3-8D7E-42CF-A269-02B9375B278F}"/>
    <hyperlink ref="H1131" r:id="rId779" display="Documentos firmados cambio/MOISES ESTUPINAN SANCHEZ.pdf" xr:uid="{F2C3C7CC-8E6A-451B-9155-9FDFE838997A}"/>
    <hyperlink ref="F1098" r:id="rId780" display="Certificado Titularidad/MAURICIO TELLO RODRIGUEZ.pdf" xr:uid="{85B3A0B6-D79A-417A-AD52-5DA5578C8464}"/>
    <hyperlink ref="H1074" r:id="rId781" display="Documentos firmados cambio/MARIO ANDRES SUAREZ ACOSTA.pdf" xr:uid="{2D07EF1B-91FA-4E0F-A47E-B95ABBDA05D1}"/>
    <hyperlink ref="F1388" r:id="rId782" display="Certificado Titularidad/WEIMAR ALEXANDER RUA MESA.pdf" xr:uid="{841CE2EF-DB87-4BEE-A54D-49EB5075C5F4}"/>
    <hyperlink ref="F304" r:id="rId783" display="Certificado Titularidad/DOMINGO RAMON VEGA HUMANEZ.pdf" xr:uid="{269C6F27-875E-4B8E-A44B-6EA3D919BF0D}"/>
    <hyperlink ref="H540" r:id="rId784" display="Documentos firmados cambio/HECTOR DAVID RAMOS BUHEZO.pdf" xr:uid="{80F3079F-B0D2-413B-B1A1-794A43E64478}"/>
    <hyperlink ref="F1450" r:id="rId785" display="Certificado Titularidad/YESID RAFAEL ZARATE MANJARREZ.pdf" xr:uid="{06D3F893-1E56-48C0-B9FE-EBE87E9F38F6}"/>
    <hyperlink ref="F18" r:id="rId786" display="Certificado Titularidad/ALBEIRO OBANDO MICOLTA.pdf" xr:uid="{2B9C4DB0-6328-4CF6-8EF2-F2D9F2DE06A2}"/>
    <hyperlink ref="H18" r:id="rId787" display="Documentos firmados cambio/ALBEIRO OBANDO MICOLTA.pdf" xr:uid="{C8129430-9701-452D-989C-1829235F5249}"/>
    <hyperlink ref="F708" r:id="rId788" display="Certificado Titularidad/JHOAN DAVID JARA PINZON.pdf" xr:uid="{165D4E84-8F46-491A-B96F-AEAE2B4FCCC3}"/>
    <hyperlink ref="H1313" r:id="rId789" display="Documentos firmados cambio/RONALD JAVIER MARCELO SEMINARIO.pdf" xr:uid="{5884A385-26AE-4C3B-BCD7-A14C0ABC90E9}"/>
    <hyperlink ref="F890" r:id="rId790" display="Certificado Titularidad/JUAN ALBEIRO MONSALVE MARIN.pdf" xr:uid="{5FC47CDB-EB2D-4D68-AA08-5A89B44DCC83}"/>
    <hyperlink ref="H1458" r:id="rId791" display="Documentos firmados cambio/YOISER ALBERTO POLO MERCADO.pdf" xr:uid="{FCF4E2C9-42A3-4475-93AA-CB5BC3A74D6C}"/>
    <hyperlink ref="F1458" r:id="rId792" display="Certificado Titularidad/YOISER ALBERTO POLO MERCADO.pdf" xr:uid="{30513903-47C8-4474-A1E5-0618EC3AB7E0}"/>
    <hyperlink ref="H701" r:id="rId793" display="Documentos firmados cambio/JESUS JAMES BALDEON ZUNIGA.pdf" xr:uid="{F8539F25-6D5D-4B79-8FCD-C71AC99BCCEE}"/>
    <hyperlink ref="F917" r:id="rId794" display="Certificado Titularidad/JUAN DAVID GUALDRON REYES.pdf" xr:uid="{DABC72E4-7E07-4F1E-BF22-502A7F771424}"/>
    <hyperlink ref="H917" r:id="rId795" display="Documentos firmados cambio/JUAN DAVID GUALDRON REYES.pdf" xr:uid="{03876BED-6687-4F4D-A8DB-120016016E8C}"/>
    <hyperlink ref="F1265" r:id="rId796" display="Certificado Titularidad/RICHARD ANTONIO GUERRA HERRERA.pdf" xr:uid="{CB7B113C-4D14-42BA-AACC-4C868C6371A6}"/>
    <hyperlink ref="F318" r:id="rId797" display="Certificado Titularidad/EDGAR ENRIQUE TORRES RAMIREZ.pdf" xr:uid="{E06DFE76-68D6-4892-87C7-A6B451807D21}"/>
    <hyperlink ref="F1359" r:id="rId798" display="Certificado Titularidad/TIRZO GONZALEZ BOLIVAR.pdf" xr:uid="{C2F1C047-A7CE-4305-B868-D8DB6002F1E5}"/>
    <hyperlink ref="H1359" r:id="rId799" display="Documentos firmados cambio/TIRZO GONZALEZ BOLIVAR.pdf" xr:uid="{4DE2DF32-2AD5-4383-9144-AE3BEF130D14}"/>
    <hyperlink ref="H1031" r:id="rId800" display="Documentos firmados cambio/LUIS FERNANDO BENJUMEA ORTIZ.pdf" xr:uid="{4DC6427F-5C9D-4E45-9D6A-50F8E44085CD}"/>
    <hyperlink ref="F1127" r:id="rId801" display="Certificado Titularidad/MILTON SAA MILLAN.pdf" xr:uid="{07918B7B-527C-4B06-AB4D-EAEDA1159E9A}"/>
    <hyperlink ref="F957" r:id="rId802" display="Certificado Titularidad/JULIO ALEXANDER TOVAR BAQUERO.pdf" xr:uid="{B84BE210-E46E-4EAE-B496-30374F0FE037}"/>
    <hyperlink ref="H957" r:id="rId803" display="Documentos firmados cambio/JULIO ALEXANDER TOVAR BAQUERO.pdf" xr:uid="{B85D499F-F343-498C-9679-02F79D242599}"/>
    <hyperlink ref="F866" r:id="rId804" display="Certificado Titularidad/JOSE LISARDO LINARES.pdf" xr:uid="{7D4815AD-1593-43CC-91B3-12821CCB0AE1}"/>
    <hyperlink ref="F1167" r:id="rId805" display="Certificado Titularidad/NIXO ELIECER CHAVEZ GARCIA.pdf" xr:uid="{EDF7E708-8CF5-46B5-9DED-33CB9CA536B4}"/>
    <hyperlink ref="F1225" r:id="rId806" display="Certificado Titularidad/PEDRO JOSE PAEZ.pdf" xr:uid="{A6352A47-B7AE-417A-96E3-ABEEE2ABC567}"/>
    <hyperlink ref="F240" r:id="rId807" display="Certificado Titularidad/CHRISTIAN FELIPE QUINONEZ SALAZAR.pdf" xr:uid="{C3EB3598-A88C-43F3-AD1A-59586339AC1F}"/>
    <hyperlink ref="F735" r:id="rId808" display="Certificado Titularidad/JHON LUIS URBAY HURTADO.pdf" xr:uid="{B7F92595-C4AC-472F-9813-9B75EEF83D09}"/>
    <hyperlink ref="F485" r:id="rId809" display="Certificado Titularidad/FREDY RICARDO AGUDELO SALAMANCA.pdf" xr:uid="{08A147A0-B937-47C6-B155-DBDBDBC1C1DE}"/>
    <hyperlink ref="F199" r:id="rId810" display="Certificado Titularidad/CARLOS JULIO LOZANO SIERRA.pdf" xr:uid="{9702D55A-7E77-4537-B60E-5A988731A020}"/>
    <hyperlink ref="F468" r:id="rId811" display="Certificado Titularidad/FRANK ESNEIDER PEREZ TABARES.pdf" xr:uid="{D117F6D0-57EA-4208-9C89-266A4C073B52}"/>
    <hyperlink ref="F1037" r:id="rId812" display="Certificado Titularidad/LUIS FERNANDO VASQUEZ ALVARADO.pdf" xr:uid="{94CFE12B-8082-42A8-AE8A-10E71E0E9A15}"/>
    <hyperlink ref="F571" r:id="rId813" display="Certificado Titularidad/HERLEN DAVID RAMIREZ LACERA.pdf" xr:uid="{55CA69AA-25BD-40AE-86A7-D1DE45C3C8CB}"/>
    <hyperlink ref="F589" r:id="rId814" display="Certificado Titularidad/HUGO NELSON HERRERA MEDINA.pdf" xr:uid="{258BBF38-00F7-46BB-B66D-E821CEB8029D}"/>
    <hyperlink ref="F37" r:id="rId815" display="Certificado Titularidad/ALEX JAVIER LEONEL OTAVO.pdf" xr:uid="{3608A14F-E549-4C7E-9C64-DC815D2F8444}"/>
    <hyperlink ref="F743" r:id="rId816" display="Certificado Titularidad/JHONNATAN DE JESUS JIMENEZ SANCHEZ.pdf" xr:uid="{D87B6896-7EAB-41CF-8565-E82B2325453F}"/>
    <hyperlink ref="F72" r:id="rId817" display="Certificado Titularidad/AMADOR JOSE JIMENEZ.pdf" xr:uid="{5CDCE076-7994-4392-A139-ACBB2B2D71CD}"/>
    <hyperlink ref="F1242" r:id="rId818" display="Certificado Titularidad/RAFAEL SANTIAGO FADUL TONCEL.pdf" xr:uid="{1098B5E3-86CE-4DCA-94C8-84D90C6AC5DD}"/>
    <hyperlink ref="F820" r:id="rId819" display="Certificado Titularidad/JORGY VALLEJO SOLIS.pdf" xr:uid="{C89AA025-5982-47CA-9199-0E5161B1B35D}"/>
    <hyperlink ref="F658" r:id="rId820" display="Certificado Titularidad/JAVIER DAVID RODRIGUEZ BARRIOS.pdf" xr:uid="{8C28BDE2-C7ED-4A43-A76B-EFF839CE0D8A}"/>
    <hyperlink ref="F581" r:id="rId821" display="Certificado Titularidad/HERNANDO ENRIQUE MAESTRE CASTILLA.pdf" xr:uid="{F62816B5-830C-4938-880D-94115ADC3A30}"/>
    <hyperlink ref="F462" r:id="rId822" display="Certificado Titularidad/FRANCISCO JAVIER OJEDA MACHADO.pdf" xr:uid="{945D72AA-BAC4-4143-BF72-44E618C4C181}"/>
    <hyperlink ref="F1011" r:id="rId823" display="Certificado Titularidad/LUIS ALFREDO MALAVER CARDENAS.pdf" xr:uid="{2A95C071-85F9-4278-83C4-DF93E35468CE}"/>
    <hyperlink ref="F860" r:id="rId824" display="Certificado Titularidad/JOSE JOHN PEREZ TARRILLO.pdf" xr:uid="{F6D9B455-CAAF-4021-A719-D66CDC4423DB}"/>
    <hyperlink ref="F587" r:id="rId825" display="Certificado Titularidad/HUGO ARSENIO ORTEGA HERRERA.pdf" xr:uid="{1582EA00-A932-4FB7-8A3D-28D39596EB7E}"/>
    <hyperlink ref="H747" r:id="rId826" display="Documentos firmados cambio/JHONNY RAFAEL LOPEZ FIGUEROA.pdf" xr:uid="{F83D7C99-6820-47D8-9329-9C7B67D7ADBA}"/>
    <hyperlink ref="F725" r:id="rId827" display="Certificado Titularidad/JHON FREDY VELEIZANO PULIDO.pdf" xr:uid="{DFBF09ED-D529-4080-A85A-454141B7B620}"/>
    <hyperlink ref="H72" r:id="rId828" display="Documentos firmados cambio/AMADOR JOSE JIMENEZ.pdf" xr:uid="{E15CA58E-C83F-4683-9183-B5C714706094}"/>
    <hyperlink ref="F1183" r:id="rId829" display="Certificado Titularidad/OMAR YESID HERRERA LOPEZ.pdf" xr:uid="{CC4D2588-CD1D-48AD-8569-0B894520F159}"/>
    <hyperlink ref="F1066" r:id="rId830" display="Certificado Titularidad/MARCO ALEXIS VILLAMIL SUAREZ.pdf" xr:uid="{468983DF-494E-4204-BADE-8440E7BB3D8B}"/>
    <hyperlink ref="H1066" r:id="rId831" display="Documentos firmados cambio/MARCO ALEXIS VILLAMIL SUAREZ.pdf" xr:uid="{B4EDA878-56A8-44CA-A0F0-3C2F31342459}"/>
    <hyperlink ref="F447" r:id="rId832" display="Certificado Titularidad/FENIX DE JESUS BARBOSA COLORADO.pdf" xr:uid="{BB4C0C56-6E35-4CA9-B4AF-880353D88C7A}"/>
    <hyperlink ref="H447" r:id="rId833" display="Documentos firmados cambio/FENIX DE JESUS BARBOSA COLORADO.pdf" xr:uid="{9AFC94E9-504F-43AD-9D40-350277C57853}"/>
    <hyperlink ref="F817" r:id="rId834" display="Certificado Titularidad/JORGE LUIS ROMERO DE ANGEL.pdf" xr:uid="{54E62B8B-4619-48C0-96D5-98DBCC6B8B95}"/>
    <hyperlink ref="F358" r:id="rId835" display="Certificado Titularidad/EDWIN ALBERTO CABRERA AGUILAR.pdf" xr:uid="{7610F6CA-AEB5-4E9B-8BF2-33A438569B19}"/>
    <hyperlink ref="F344" r:id="rId836" display="Certificado Titularidad/EDUARDO DANIEL ESALAS MARTINEZ.pdf" xr:uid="{92D7E536-0E60-441E-BA11-91F11F95F91C}"/>
    <hyperlink ref="F737" r:id="rId837" display="Certificado Titularidad/JHON STHEVEEN MERINO ALVAREZ.pdf" xr:uid="{49CF1D1D-265E-4195-AEA3-00F9E6C51D0B}"/>
    <hyperlink ref="F23" r:id="rId838" display="Certificado Titularidad/ALBERTO LUIS MALDONADO BARRERA.pdf" xr:uid="{0EFCDA3C-E31B-4DF0-A658-5D0A7633C894}"/>
    <hyperlink ref="H23" r:id="rId839" display="Documentos firmados cambio/ALBERTO LUIS MALDONADO BARRERA.pdf" xr:uid="{5B3C898A-5AD8-426F-9483-3BB89353EA64}"/>
    <hyperlink ref="H791" r:id="rId840" display="Documentos firmados cambio/JORGE ANDRES VEGA DELGADO.pdf" xr:uid="{09258888-8A74-401B-879A-BC0C9F017FF7}"/>
    <hyperlink ref="F186" r:id="rId841" display="Certificado Titularidad/CARLOS DANIEL RODRIGUEZ PENA.pdf" xr:uid="{6510CA66-52AB-4F26-A32D-7AE2C03BF532}"/>
    <hyperlink ref="F448" r:id="rId842" display="Certificado Titularidad/FERNANDO ALFREDO VELEZ VALENCIA.pdf" xr:uid="{94296884-7DD4-47D1-94A4-7191BEF94A1C}"/>
    <hyperlink ref="F1412" r:id="rId843" display="Certificado Titularidad/WILMER ANDRES AREVALO MARIN.pdf" xr:uid="{E88BD084-C08A-424D-A8F2-56473BB8A717}"/>
    <hyperlink ref="F1045" r:id="rId844" display="Certificado Titularidad/LUIS MAURICIO RANGEL MENESES.pdf" xr:uid="{A575B00F-815C-44C4-A571-E26D357610DF}"/>
    <hyperlink ref="F872" r:id="rId845" display="Certificado Titularidad/JOSE MANUEL MARULANDA MEDINA.pdf" xr:uid="{DE758097-AE78-4377-AE08-2327A0DF5508}"/>
    <hyperlink ref="F661" r:id="rId846" display="Certificado Titularidad/JAVIER HERNANDEZ DEVIA.pdf" xr:uid="{525512AB-CDDE-467C-A4C9-ACD95739B294}"/>
    <hyperlink ref="F1057" r:id="rId847" display="Certificado Titularidad/MANUEL ANTONIO AHUMADA LEON.pdf" xr:uid="{615983CE-E0FA-47F3-BAD9-6C360DC486CC}"/>
    <hyperlink ref="F955" r:id="rId848" display="Certificado Titularidad/JULIAN STIVEN RUBIO HERNANDEZ.pdf" xr:uid="{99C60235-C90C-4066-ACA5-F11DF137C43D}"/>
    <hyperlink ref="F1103" r:id="rId849" display="Certificado Titularidad/MICHAEL ANDRES AHUMADA RUBIO.pdf" xr:uid="{3ADAF280-DC77-4438-9AD5-F9E829A2185B}"/>
    <hyperlink ref="F153" r:id="rId850" display="Certificado Titularidad/CAMILO ANDRES RUBIO LEON.pdf" xr:uid="{9A70D67E-C661-4B38-A770-1A84893FAC62}"/>
    <hyperlink ref="F1179" r:id="rId851" display="Certificado Titularidad/OMAR FERNANDO ANDRADE SANCHEZ.pdf" xr:uid="{266618DE-443F-4C7E-8A1C-0D6C575B794A}"/>
    <hyperlink ref="F177" r:id="rId852" display="Certificado Titularidad/CARLOS ANDRES QUINTERO ARCIA.pdf" xr:uid="{9968199F-1D4A-4AB4-B21A-6078366363B8}"/>
    <hyperlink ref="F69" r:id="rId853" display="Certificado Titularidad/ALVARO SEGOVIA TORRES.pdf" xr:uid="{8DB9A018-3072-4EF8-9052-65F098516090}"/>
    <hyperlink ref="F1321" r:id="rId854" display="Certificado Titularidad/RUBEN DARIO JIMENEZ ACOSTA.pdf" xr:uid="{D2E06D0D-F780-4175-8FAC-3FE7CAAC3319}"/>
    <hyperlink ref="F1274" r:id="rId855" display="Certificado Titularidad/ROBERT ALIRIO DUARTE SIERRA.pdf" xr:uid="{529435AD-8574-4A51-9B24-165AC1FA2734}"/>
    <hyperlink ref="F832" r:id="rId856" display="Certificado Titularidad/JOSE ANTONIO RUEDA CAMARGO.pdf" xr:uid="{8C736A0A-35A9-4869-BF7A-19D251A817AB}"/>
    <hyperlink ref="F314" r:id="rId857" display="Certificado Titularidad/EDDIE DE JESUS ZARATE IGUARAN.pdf" xr:uid="{51FB7C36-2D6E-4845-95F7-A6D49E3FE256}"/>
    <hyperlink ref="F999" r:id="rId858" display="Certificado Titularidad/LUIS ALBERTO CAMARGO NINO.pdf" xr:uid="{125EED51-0D09-445D-B70D-B17F73537959}"/>
    <hyperlink ref="F232" r:id="rId859" display="Certificado Titularidad/CRISTIAN ARIZA MARTINEZ.pdf" xr:uid="{18D1CD17-F9E1-41CB-B30C-B5A176337196}"/>
    <hyperlink ref="F934" r:id="rId860" display="Certificado Titularidad/JUAN OMAR ORDINOLA AGURTO.pdf" xr:uid="{5DE7CE2C-9E14-4430-8474-8ABEEE04A419}"/>
    <hyperlink ref="F477" r:id="rId861" display="Certificado Titularidad/FREDERICK AU BLANQUICETT.pdf" xr:uid="{EA82A321-B36B-4DFD-B4D6-F81DC8EE477B}"/>
    <hyperlink ref="F376" r:id="rId862" display="Certificado Titularidad/EDWIN ROMARIO RODRIGUEZ SANABRIA.pdf" xr:uid="{4B7C462A-B9B6-4790-A15A-5F804BB27CE8}"/>
    <hyperlink ref="F1402" r:id="rId863" display="Certificado Titularidad/WILLIAM NORBERTO MELO MELO.pdf" xr:uid="{33273016-8428-4352-A5C3-9459578FCDE4}"/>
    <hyperlink ref="F472" r:id="rId864" display="Certificado Titularidad/FRANKLYN OMAR DE LA CRUZ SERNAQUE.pdf" xr:uid="{77EE47CE-E332-4C3F-9705-C2B4201D3822}"/>
    <hyperlink ref="F1407" r:id="rId865" display="Certificado Titularidad/WILLIAN VARGAS CACERES.pdf" xr:uid="{6E42A39F-7AEC-4465-B3D6-E5B44DCACA19}"/>
    <hyperlink ref="F687" r:id="rId866" display="Certificado Titularidad/JEISON FARID LOPEZ AGREDO.pdf" xr:uid="{D1C71D37-7074-4839-AA89-B1F49637C8F8}"/>
    <hyperlink ref="F875" r:id="rId867" display="Certificado Titularidad/JOSE NEPSE LOPEZ RAMIREZ.pdf" xr:uid="{B24A7605-C65C-4235-91C0-4E51C2AE37FF}"/>
    <hyperlink ref="F854" r:id="rId868" display="Certificado Titularidad/JOSE IGNACIO VALDERRAMA JIMENEZ.pdf" xr:uid="{5D2C7A27-D19B-4384-8BBA-4A4CB0753A37}"/>
    <hyperlink ref="F991" r:id="rId869" display="Certificado Titularidad/LUBERMI JOSE MIRANDA PEREZ.pdf" xr:uid="{0104453A-0463-4F1D-AB46-0DCD847C149F}"/>
    <hyperlink ref="F716" r:id="rId870" display="Certificado Titularidad/JHON CARLOS ALCAZAR CASTRO.pdf" xr:uid="{B67A80DC-993A-47E3-A259-F9EC18B5192B}"/>
    <hyperlink ref="F1177" r:id="rId871" display="Certificado Titularidad/OMAR DAVID DIAZ MORALES.pdf" xr:uid="{0CB1F523-6A71-4738-B50B-EDFF6394BEDB}"/>
    <hyperlink ref="F5" r:id="rId872" display="Certificado Titularidad/ABDRUBAL FONSECA RINCON.pdf" xr:uid="{8F352CA0-B249-4E63-B554-FC7FCA1530CC}"/>
    <hyperlink ref="F1018" r:id="rId873" display="Certificado Titularidad/LUIS CARLOS CASTELLAR VILLAREAL.pdf" xr:uid="{467B33DA-3E05-4F42-950A-22EED4286D61}"/>
    <hyperlink ref="F1338" r:id="rId874" display="Certificado Titularidad/SANTIAGO HIGUITA ARBOLEDA.pdf" xr:uid="{0E5AFD7B-3AB7-4A2D-9D7E-DA3E68350496}"/>
    <hyperlink ref="F1054" r:id="rId875" display="Certificado Titularidad/LUYSMER DAVID PEÑARANDA CABRERA.pdf" xr:uid="{E0A3CFBD-BB35-4D74-95BF-7A564F66CFC9}"/>
    <hyperlink ref="F1326" r:id="rId876" display="Certificado Titularidad/RUBEN ERNESTO JARA SANTOS.pdf" xr:uid="{70165AA5-11DB-4D5D-BEEF-031A824230DE}"/>
    <hyperlink ref="F330" r:id="rId877" display="Certificado Titularidad/EDILSON TORRES SALCEDO.pdf" xr:uid="{25016114-98C6-471D-A947-C6922B2D25E6}"/>
    <hyperlink ref="F86" r:id="rId878" display="Certificado Titularidad/ANDRES FELIPE PULIDO GOMEZ.pdf" xr:uid="{77056EBE-AF70-4951-86A7-3F191B386F0A}"/>
    <hyperlink ref="F1434" r:id="rId879" display="Certificado Titularidad/YAN CARLOS RUIZ ROJAS.pdf" xr:uid="{CF82823F-110E-4930-906A-F00FC797983C}"/>
    <hyperlink ref="F1371" r:id="rId880" display="Certificado Titularidad/VICTOR EDUARDO VILLAFANE REVOLLO.pdf" xr:uid="{244933D0-F837-482E-87B4-33E6F4C413D9}"/>
    <hyperlink ref="F1163" r:id="rId881" display="Certificado Titularidad/NICXON GARCIA FIERRO.pdf" xr:uid="{F9739401-4BAB-4B1F-9C65-8367A7B81B23}"/>
    <hyperlink ref="F205" r:id="rId882" display="Certificado Titularidad/CARLOS ROBERTO SAAVEDRA ROJAS.pdf" xr:uid="{0FEE8EB8-1A92-42BD-B619-A6AA2DFEBA98}"/>
    <hyperlink ref="F656" r:id="rId883" display="Certificado Titularidad/JAVIER ALONSO LOPEZ AYALA.pdf" xr:uid="{F8340ABE-D5AC-4DAF-9579-E47FCFD7B7CB}"/>
    <hyperlink ref="F495" r:id="rId884" display="Certificado Titularidad/GERMAN JOSE GAMBOA FARIAS.pdf" xr:uid="{D0DC8C20-865E-4C0E-8850-5A8391379F37}"/>
    <hyperlink ref="F142" r:id="rId885" display="Certificado Titularidad/BRAYAN JOSE ALARCON MORALES.pdf" xr:uid="{DA8127FB-E35B-494C-A5C2-9132FCD59D98}"/>
    <hyperlink ref="F1039" r:id="rId886" display="Certificado Titularidad/LUIS GUILLERMO ARTEAGA AGUDELO.pdf" xr:uid="{A6EC0DAB-9245-4196-9E6E-5DC9194EBC19}"/>
    <hyperlink ref="F570" r:id="rId887" display="Certificado Titularidad/HENRY MARTINEZ CABEZAS.pdf" xr:uid="{EE07473D-4185-448D-B8F8-7C0DACC19E46}"/>
    <hyperlink ref="F1008" r:id="rId888" display="Certificado Titularidad/LUIS ALEXANDER SEPULVEDA GUERRERO.pdf" xr:uid="{4567F14F-9DE2-41D9-9625-AF929040294D}"/>
    <hyperlink ref="F310" r:id="rId889" display="Certificado Titularidad/DUVAN ALEXIS SUAREZ TRUJILLO.pdf" xr:uid="{E199ACC1-DF2E-4666-AA7B-A4F21C0C9E0A}"/>
    <hyperlink ref="F79" r:id="rId890" display="Certificado Titularidad/ANDRES ALEXANDER BEJARANO PEREZ.pdf" xr:uid="{17331715-0162-45E3-B7C4-9786AD1C594A}"/>
    <hyperlink ref="F688" r:id="rId891" display="Certificado Titularidad/JEISON HERRERA LOZANO.pdf" xr:uid="{1302A26C-8466-4DD3-A4E6-9B4F5006B0A7}"/>
    <hyperlink ref="F1075" r:id="rId892" display="Certificado Titularidad/MARIO ANTONIO HERRERA ORTEGA.pdf" xr:uid="{E255F1EF-044B-4D05-96B1-69F861D0A5CD}"/>
    <hyperlink ref="F1013" r:id="rId893" display="Certificado Titularidad/LUIS ANDRES MERCHAN VACA.pdf" xr:uid="{B6719302-E2A3-4413-844C-84F48AE4DDD1}"/>
    <hyperlink ref="F274" r:id="rId894" display="Certificado Titularidad/DAYAN CRISTOBAL ROMERO YARA.pdf" xr:uid="{097FCD8E-7E35-43AA-98A8-DE6572FE445A}"/>
    <hyperlink ref="F362" r:id="rId895" display="Certificado Titularidad/EDWIN ALFONSO ORTIZ DELGADO.pdf" xr:uid="{E90215BE-CF08-433C-A31D-A938C4BA892D}"/>
    <hyperlink ref="F1310" r:id="rId896" display="Certificado Titularidad/RONALD ALFONSO HERNANDEZ SALGADO.pdf" xr:uid="{29D18935-FFC1-426C-839B-3925F2FBAD7A}"/>
    <hyperlink ref="F754" r:id="rId897" display="Certificado Titularidad/JIMMY ALEXANDER CASTANEDA ROMERO.pdf" xr:uid="{CE4F535D-1A66-4A8D-B62A-CF0BCE6925DD}"/>
    <hyperlink ref="F1314" r:id="rId898" display="Certificado Titularidad/RONALD REY SEPULVEDA.pdf" xr:uid="{AC3F4414-14DF-4AB1-981E-5E23644B55AD}"/>
    <hyperlink ref="F132" r:id="rId899" display="Certificado Titularidad/BLAKIS ANTONIO BARBOZA TRUJILLO.pdf" xr:uid="{0EF25053-469F-40CB-9970-D59083462B11}"/>
    <hyperlink ref="F1283" r:id="rId900" display="Certificado Titularidad/ROBI DAVID OSORIO RANGEL.pdf" xr:uid="{E9013104-093F-4D43-961C-31AD6324658A}"/>
    <hyperlink ref="F233" r:id="rId901" display="Certificado Titularidad/CRISTIAN CAMILO BORRE SILVA.pdf" xr:uid="{8C47E551-419A-47BA-8D72-B25CB5709EA8}"/>
    <hyperlink ref="F449" r:id="rId902" display="Certificado Titularidad/FERNANDO ANTONIO CARDENAS CARDENAS.pdf" xr:uid="{A415FE30-DDB9-44C5-8A5F-DB6F44736E40}"/>
    <hyperlink ref="F211" r:id="rId903" display="Certificado Titularidad/CESAR AUGUSTO LONDONO USME.pdf" xr:uid="{8F97EBB5-7E82-42D5-BF50-A1ED0B81E1D5}"/>
    <hyperlink ref="F508" r:id="rId904" display="Certificado Titularidad/GONZALO MISAEL GOMEZ.pdf" xr:uid="{938E35AA-3C99-4393-A1B4-90C926481D42}"/>
    <hyperlink ref="F975" r:id="rId905" display="Certificado Titularidad/KEWIN RAFAEL RUMBO YEPES.pdf" xr:uid="{D32387DC-23EE-4E38-A926-8641E130556E}"/>
    <hyperlink ref="F438" r:id="rId906" display="Certificado Titularidad/FARID ENRIQUE DE LAS SALAS COGOLLO.pdf" xr:uid="{683BF3FA-70CA-4C6A-9B87-A0911F21F099}"/>
    <hyperlink ref="F736" r:id="rId907" display="Certificado Titularidad/JHON SEBASTIAN AHUMADA RUBIO.pdf" xr:uid="{4F784215-7BD4-41B7-A886-FDA2188BF7C7}"/>
    <hyperlink ref="F207" r:id="rId908" display="Certificado Titularidad/CESAR AUGUSTO ANGARITA RIVERA.pdf" xr:uid="{5B5B8A92-6683-49E5-B597-BBB2E55E833A}"/>
    <hyperlink ref="F758" r:id="rId909" display="Certificado Titularidad/JOHANS FERNANDO HERRERA VELASCO.pdf" xr:uid="{A04A4B46-1749-4B3F-B169-5992B60539AD}"/>
    <hyperlink ref="F1378" r:id="rId910" display="Certificado Titularidad/WALDO SEGUNDO BARRIGA DURAN.pdf" xr:uid="{FF540DDE-D3ED-45B8-B2A3-09B9FD527CC8}"/>
    <hyperlink ref="F635" r:id="rId911" display="Certificado Titularidad/JAIR SNAIDER MEZA GOMEZ.pdf" xr:uid="{B5E92ABC-613D-4EDC-88EB-5A94FDFBE0F8}"/>
    <hyperlink ref="F255" r:id="rId912" display="Certificado Titularidad/DANIEL FELIPE PATINO CANDELA.pdf" xr:uid="{16086F2C-8D75-40EC-99BE-4BA4DA447B53}"/>
    <hyperlink ref="F921" r:id="rId913" display="Certificado Titularidad/JUAN ESTEBAN QUINTERO MONSALVE.pdf" xr:uid="{23E8E062-3A03-4483-93D4-4E084433C332}"/>
    <hyperlink ref="F527" r:id="rId914" display="Certificado Titularidad/GUSTAVO RAFAEL CARRILLO NUNEZ.pdf" xr:uid="{DC771712-088C-4ABD-85EB-49D6AC184DD3}"/>
    <hyperlink ref="F52" r:id="rId915" display="Certificado Titularidad/ALFREDO ANTONIO OSPINO RANGEL.pdf" xr:uid="{CFA10085-DBDB-45F5-8840-5EA08C62AE56}"/>
    <hyperlink ref="F402" r:id="rId916" display="Certificado Titularidad/ENRIQUE RUBIANO AGUDELO.pdf" xr:uid="{66A70B87-6CA2-4450-9404-9D7CB2D51E8D}"/>
    <hyperlink ref="F1228" r:id="rId917" display="Certificado Titularidad/PEDRO LUIS PADILLA VALDEZ.pdf" xr:uid="{BA017F2E-566B-4EA0-9AF2-244B8C1F366F}"/>
    <hyperlink ref="H659" r:id="rId918" display="Documentos firmados cambio/JAVIER DE JESUS SALAS MARTINEZ.pdf" xr:uid="{AEC60822-5B4D-4354-898D-D0453365B1D0}"/>
    <hyperlink ref="F945" r:id="rId919" display="Certificado Titularidad/JULIAN ANDRES RODALLEGA RIVAS.pdf" xr:uid="{3CEA5E98-3739-4A9D-AE9A-AB09DC5369BE}"/>
    <hyperlink ref="H796" r:id="rId920" display="Documentos firmados cambio/JORGE CAMILO QUINTERO OJEDA.pdf" xr:uid="{4E7A75B8-B855-4242-A025-2104A32495C9}"/>
    <hyperlink ref="H1137" r:id="rId921" display="Documentos firmados cambio/NEFER YASETH PESTANA CABALLERO.pdf" xr:uid="{8F84D5ED-765B-4474-AC2E-8F15DB138F3E}"/>
    <hyperlink ref="F829" r:id="rId922" display="Certificado Titularidad/JOSE ANTONIO CASTRO BALANTA.pdf" xr:uid="{8C5471A2-66DC-44E4-BDAE-FAB11B1E5FDC}"/>
    <hyperlink ref="F933" r:id="rId923" display="Certificado Titularidad/JUAN MANUEL LOZADA GOICOCHEA.pdf" xr:uid="{A080BD9E-92B4-4AFF-84D7-E1A1D9181E19}"/>
    <hyperlink ref="F1092" r:id="rId924" display="Certificado Titularidad/MATHEUS RODRIGUES JOSE.pdf" xr:uid="{23B3B6F5-B55F-4A77-8DD7-AECCF2675CD7}"/>
    <hyperlink ref="F599" r:id="rId925" display="Certificado Titularidad/ISAQUE FRANCISCO DOS SANTOS OLIVEIRA.pdf" xr:uid="{B3496CC1-D080-43CE-B58F-2A80A1ABAF15}"/>
    <hyperlink ref="F868" r:id="rId926" display="Certificado Titularidad/JOSE LUIS CAUSADO TAMAYO.pdf" xr:uid="{EC20C7EE-B187-417F-B61F-347FA079FE95}"/>
    <hyperlink ref="F1334" r:id="rId927" display="Certificado Titularidad/SAMUEL JUSTO CARLOS DONAIRES.pdf" xr:uid="{8580C5D0-B6DA-4B9C-89CD-AB546693C501}"/>
    <hyperlink ref="F394" r:id="rId928" display="Certificado Titularidad/ELVIS WILLY VARGAS CASTILLO.pdf" xr:uid="{0D4D9DED-0052-4178-8F09-FDB6E53B644A}"/>
    <hyperlink ref="F214" r:id="rId929" display="Certificado Titularidad/CESAR EDUARDO RAMIREZ TOVAR.pdf" xr:uid="{3BCC561A-B352-4B80-8AC0-4DC9308A63D8}"/>
    <hyperlink ref="F439" r:id="rId930" display="Certificado Titularidad/FARID JOSE ROJAS GUERRA.pdf" xr:uid="{595291EF-B60C-4D24-B0F8-951B8995D14B}"/>
    <hyperlink ref="F550" r:id="rId931" display="Certificado Titularidad/HECTOR JAUMEN GUEVARA FORERO.pdf" xr:uid="{F25CBA90-3A97-4F43-85B4-D6A67884526D}"/>
    <hyperlink ref="F629" r:id="rId932" display="Certificado Titularidad/JAIME HERNAN ARANGO MONSALVE.pdf" xr:uid="{C8579D3C-6D68-4722-AF8D-07E163A71088}"/>
    <hyperlink ref="F937" r:id="rId933" display="Certificado Titularidad/JUAN PABLO PENA ZAPATA.pdf" xr:uid="{3D32A92E-FC93-4D7B-A13C-986349751543}"/>
    <hyperlink ref="F160" r:id="rId934" display="Certificado Titularidad/CARLOS ALBERTO CIFUENTES MIRANDA.pdf" xr:uid="{FAE0DB13-FFA7-4014-896F-080A85ABEA49}"/>
    <hyperlink ref="F1084" r:id="rId935" display="Certificado Titularidad/MARLON STIVEN MOLANO CARDONA.pdf" xr:uid="{41B294D2-60C1-4550-9C57-59B431A4D812}"/>
    <hyperlink ref="F1404" r:id="rId936" display="Certificado Titularidad/WILLIAM RAFAEL LEE HERNANDEZ.pdf" xr:uid="{EBFE613E-3C62-4FBF-B3B3-04B163CAF9F2}"/>
    <hyperlink ref="F851" r:id="rId937" display="Certificado Titularidad/JOSE GUILLERMO PENA BARRERA.pdf" xr:uid="{2F91C98B-D225-45BF-A0D6-B09ED94D8CA1}"/>
    <hyperlink ref="F257" r:id="rId938" display="Certificado Titularidad/DANIER CALDERON SALAS.pdf" xr:uid="{A77B641C-12AD-4232-A3A9-2E33E90B030C}"/>
    <hyperlink ref="F1430" r:id="rId939" display="Certificado Titularidad/WILSON YESID GUARIN GALAN.pdf" xr:uid="{1647D09F-12E8-45CF-9891-3AC8032FA7FB}"/>
    <hyperlink ref="F942" r:id="rId940" display="Certificado Titularidad/JUAN SEBASTIAN GARCIA GARCIA.pdf" xr:uid="{6C93AC1E-194F-4955-9255-111C42C29D1F}"/>
    <hyperlink ref="F1023" r:id="rId941" display="Certificado Titularidad/LUIS EDUARDO VALDEZ ELLES.pdf" xr:uid="{A996A155-2D72-4089-BEDB-81D0CD2266BB}"/>
    <hyperlink ref="F1161" r:id="rId942" display="Certificado Titularidad/NICOLAS MIGUEL PEDRAZA MENDOZA.pdf" xr:uid="{4D1EBF8C-361E-43A3-A42D-1BA91D515B05}"/>
    <hyperlink ref="F1340" r:id="rId943" display="Certificado Titularidad/SAUL RONDEROS VEGA.pdf" xr:uid="{672881C4-8368-4AD8-871B-E679CBCDFA03}"/>
    <hyperlink ref="F194" r:id="rId944" display="Certificado Titularidad/CARLOS JESÚS MENDIGUETE VILLA.pdf" xr:uid="{45E9F4CC-2456-46D4-9B0D-BD73A33B9AB0}"/>
    <hyperlink ref="F541" r:id="rId945" display="Certificado Titularidad/HECTOR EDUARDO RIVERO MANZANO.pdf" xr:uid="{DF7BD579-4C96-475E-9B46-75482D450741}"/>
    <hyperlink ref="F1192" r:id="rId946" display="Certificado Titularidad/OSCAR BALTAZAR GUTIERREZ PACHECO.pdf" xr:uid="{C6F6928C-0A8D-48EB-84C1-D880F24EBC80}"/>
    <hyperlink ref="F576" r:id="rId947" display="Certificado Titularidad/HERNAN ALONSO CONTRERAS MARROQUIN.pdf" xr:uid="{B1811A57-4B83-4CB7-9A89-BFBCD3A9C9D5}"/>
    <hyperlink ref="F586" r:id="rId948" display="Certificado Titularidad/HUGO ALEXANDER SERRANO ALCALDE.pdf" xr:uid="{3C3D3A30-A7BB-4C7F-8424-50E446DFBE24}"/>
    <hyperlink ref="F612" r:id="rId949" display="Certificado Titularidad/IVAN DE JESUS HERNANDEZ GARCIA.pdf" xr:uid="{1BAA1D05-28D9-43E1-B6A1-5DD065651F64}"/>
    <hyperlink ref="F617" r:id="rId950" display="Certificado Titularidad/JACH ANTONIO DONADO ZAMBRANO.pdf" xr:uid="{EADEF6DF-33D8-45A4-9AD5-5DB47CF00DDB}"/>
    <hyperlink ref="F619" r:id="rId951" display="Certificado Titularidad/JAEL ABRAHAM BAUTISTA GUZMAN.pdf" xr:uid="{3327FCE4-7D55-4448-A33C-386F6CBE4D15}"/>
    <hyperlink ref="F657" r:id="rId952" display="Certificado Titularidad/JAVIER ANTONIO BARROS RICO.pdf" xr:uid="{3E3104AA-81C9-411B-A7D0-95C69C280127}"/>
    <hyperlink ref="F738" r:id="rId953" display="Certificado Titularidad/JHONATAN CIFUENTES SANCHEZ.pdf" xr:uid="{8339E5F7-1761-4AE2-9B38-9D50AA6D2152}"/>
    <hyperlink ref="F739" r:id="rId954" display="Certificado Titularidad/JHONATAN DANIEL OSPINA OJEDA.pdf" xr:uid="{F4ABC8A2-B537-44ED-8D8E-16E117C9C5D6}"/>
    <hyperlink ref="F766" r:id="rId955" display="Certificado Titularidad/JOHN HAROLD PERENGUEZ CUARAN.pdf" xr:uid="{F718D80B-3530-465C-8198-B62314BC3C16}"/>
    <hyperlink ref="F792" r:id="rId956" display="Certificado Titularidad/JORGE ANTONIO RAMIREZ LUNA.pdf" xr:uid="{131DBE01-46BB-413B-8A14-EC0E5F26EFE3}"/>
    <hyperlink ref="F816" r:id="rId957" display="Certificado Titularidad/JORGE LUIS JIMENEZ BISCUMICHE.pdf" xr:uid="{6A716AA7-BD06-44C9-8A8E-42C5AE63845F}"/>
    <hyperlink ref="F843" r:id="rId958" display="Certificado Titularidad/JOSE ERMOGENES BARRIENTOS DIAZ.pdf" xr:uid="{DF48E9A5-2C1F-4DB2-A793-81AD1F9B86F3}"/>
    <hyperlink ref="F844" r:id="rId959" display="Certificado Titularidad/JOSE FERNANDO JARAMILLO HERNANDEZ.pdf" xr:uid="{681038F3-A6CC-4376-9326-DFD907A599C7}"/>
    <hyperlink ref="F859" r:id="rId960" display="Certificado Titularidad/JOSE JOAQUIM GARCIA MORALES.pdf" xr:uid="{7CFDE01B-E5F9-4A7C-A7E8-18FA3924D5A5}"/>
    <hyperlink ref="F871" r:id="rId961" display="Certificado Titularidad/JOSE LUIS SANCHEZ OLARTE.pdf" xr:uid="{6F5C6CDF-5ECD-456F-9FD4-EBA320CFE175}"/>
    <hyperlink ref="F1015" r:id="rId962" display="Certificado Titularidad/LUIS ANTONIO ORTEGA CRUZ.pdf" xr:uid="{8A539B1F-FEBD-411C-81C4-14874B88AF72}"/>
    <hyperlink ref="F1046" r:id="rId963" display="Certificado Titularidad/LUIS MERCEDES VILLALTA SUAREZ.pdf" xr:uid="{AB5899CC-9265-4EAE-B402-C679F7DA6843}"/>
    <hyperlink ref="F1100" r:id="rId964" display="Certificado Titularidad/MAYKOL GUILLERMO MAESTRE PEREIRA.pdf" xr:uid="{555EFC78-CE0B-4EC7-90DB-4D70A8F32E49}"/>
    <hyperlink ref="F1218" r:id="rId965" display="Certificado Titularidad/PEDRO AYALA RIVERA.pdf" xr:uid="{83796281-AB5C-448B-93A6-DA884046C875}"/>
    <hyperlink ref="F1358" r:id="rId966" display="Certificado Titularidad/THALISSON LUCAS SOUSA SILVA.pdf" xr:uid="{568A839A-BC5A-4B88-BC02-A0764D095C8A}"/>
    <hyperlink ref="F884" r:id="rId967" display="Certificado Titularidad/JOSEPH ESTIVENS NIETO FERNANDEZ.pdf" xr:uid="{DCBFDF69-9105-49D4-B7B3-C1DA9FF2740B}"/>
    <hyperlink ref="F776" r:id="rId968" display="Certificado Titularidad/JONATAN MAURICIO TOLEDO CHARRY.pdf" xr:uid="{F3501E53-5390-4643-B5AB-51C2A5AF642B}"/>
    <hyperlink ref="F345" r:id="rId969" display="Certificado Titularidad/EDUARDO JOSE MENDOZA ARIAS.pdf" xr:uid="{F09ADEA2-0A63-44B5-9811-DBD66E6F2CF2}"/>
    <hyperlink ref="F369" r:id="rId970" display="Certificado Titularidad/EDWIN FREDY SUAREZ CARDENAS.pdf" xr:uid="{575FDE55-706C-4708-99B5-1733774FF9B1}"/>
    <hyperlink ref="F390" r:id="rId971" display="Certificado Titularidad/ELKIN YAIR QUINTANA SILVA.pdf" xr:uid="{F041F33E-CBEC-48D3-98FE-019638D723D4}"/>
    <hyperlink ref="F553" r:id="rId972" display="Certificado Titularidad/HECTOR LUCIANO CAMELO BENAVIDES.pdf" xr:uid="{B2FBB9C8-9EE3-4441-B0C2-F263624DF7D9}"/>
    <hyperlink ref="F672" r:id="rId973" display="Certificado Titularidad/JEAN CARLO GARCIA GARCIA.pdf" xr:uid="{BF21262D-CA70-4820-970A-67A314957DC9}"/>
    <hyperlink ref="H672" r:id="rId974" display="Documentos firmados cambio/JEAN CARLO GARCIA GARCIA.pdf" xr:uid="{5829A607-5B27-402F-9870-933E7E4ADDC2}"/>
    <hyperlink ref="F674" r:id="rId975" display="Certificado Titularidad/JEAN CARLOS CARDONA SUAREZ.pdf" xr:uid="{7A0C01D1-6D88-4BF4-ADBB-9FD435C57EF8}"/>
    <hyperlink ref="F6" r:id="rId976" display="Certificado Titularidad/ABEL ANTONIO CUESTA CIFUENTES.pdf" xr:uid="{78FE0CC0-0E75-4D25-8300-657E9090B98C}"/>
    <hyperlink ref="F7" r:id="rId977" display="Certificado Titularidad/ABRAHAM DAVID HOYOS ALVAREZ.pdf" xr:uid="{F9344A2B-508A-46FE-B330-806D27263097}"/>
    <hyperlink ref="F8" r:id="rId978" display="Certificado Titularidad/ADALBERTO ARAGON GOMEZ.pdf" xr:uid="{C8C975A7-B112-4138-B283-B4950D8A6177}"/>
    <hyperlink ref="F11" r:id="rId979" display="Certificado Titularidad/ADRIAN CARLOSAMA CHAVEZ.pdf" xr:uid="{2CFDB831-C4CB-448D-97FF-A7E9F4B1EAF4}"/>
    <hyperlink ref="F14" r:id="rId980" display="Certificado Titularidad/ALAN FRANCISCO NAVAS DIAZ.pdf" xr:uid="{E132B55C-3061-49CE-834A-A26346EE86C1}"/>
    <hyperlink ref="F17" r:id="rId981" display="Certificado Titularidad/ALBEIRO ENRIQUE AMOR AGUILAR.pdf" xr:uid="{7A0A5013-741C-4F83-9103-B4D6929C97B9}"/>
    <hyperlink ref="F1459" r:id="rId982" display="Certificado Titularidad/YOLMAR MARULANDA PEREZ.pdf" xr:uid="{BD2FC755-2A71-4925-8371-39741C328E99}"/>
    <hyperlink ref="F1461" r:id="rId983" display="Certificado Titularidad/YONY ALEXANDER BERNAL ARCINIEGAS.pdf" xr:uid="{7CAF2C9B-884E-47B4-B48E-C7599F6192B7}"/>
    <hyperlink ref="F1460" r:id="rId984" display="Certificado Titularidad/YONNY ALEXANDER HERNANDEZ CHALACAN.pdf" xr:uid="{E8AD8913-43F4-4412-A6C6-06F4A6DC4BDA}"/>
    <hyperlink ref="F1454" r:id="rId985" display="Certificado Titularidad/YIMIS RAMIRO PEREZ ARRIETA.pdf" xr:uid="{98D9CAB5-0A3A-448A-BC38-178AB80651D9}"/>
    <hyperlink ref="F1449" r:id="rId986" display="Certificado Titularidad/YESID NIEVA.pdf" xr:uid="{BF46A569-2F28-418A-B8D0-BB67F214516D}"/>
    <hyperlink ref="F1439" r:id="rId987" display="Certificado Titularidad/YEFFERSON ZULUAGA BUITRAGO.pdf" xr:uid="{0CCDF959-0A2E-43B5-B605-4D150B927F76}"/>
    <hyperlink ref="F1437" r:id="rId988" display="Certificado Titularidad/YEEN LEONARD MARTINEZ YUPANQUI.pdf" xr:uid="{57B348FC-D481-4C41-B5CC-2FF5DE8476CB}"/>
    <hyperlink ref="F1436" r:id="rId989" display="Certificado Titularidad/YEDIN CASTILLO VASQUEZ.pdf" xr:uid="{E9007AA9-A5C3-40EE-B7BC-17B669A26522}"/>
    <hyperlink ref="F1433" r:id="rId990" display="Certificado Titularidad/YAMIR CUTIVA SANCHEZ.pdf" xr:uid="{9EA356B7-5CEC-4A34-8D8F-AA9DA68CA21D}"/>
    <hyperlink ref="F1423" r:id="rId991" display="Certificado Titularidad/WILSON CAMILO CHAPARRO CASTAÑEDA.pdf" xr:uid="{7769A3A2-829E-43AF-A001-568DD7E162B2}"/>
    <hyperlink ref="F1415" r:id="rId992" display="Certificado Titularidad/WILMER FERNANDO ROJAS RAMIREZ.pdf" xr:uid="{D5FFCC7D-A368-48CD-9476-19E277161665}"/>
    <hyperlink ref="F1406" r:id="rId993" display="Certificado Titularidad/WILLIAN ALFREDO RUSSO LINERO.pdf" xr:uid="{72A84B1E-C2BA-4238-8626-E18D36C1F108}"/>
    <hyperlink ref="F1403" r:id="rId994" display="Certificado Titularidad/WILLIAM PUENTES ANTOLINEZ.pdf" xr:uid="{5E907347-0C08-4DA3-BD8A-258BCD9185EE}"/>
    <hyperlink ref="F1392" r:id="rId995" display="Certificado Titularidad/WILFREDO MAYORGA DURAN.pdf" xr:uid="{B3F4C1F5-1C28-4277-8671-95F77563F4A4}"/>
    <hyperlink ref="F1384" r:id="rId996" display="Certificado Titularidad/WANDERSON FERREIRA LEMES.pdf" xr:uid="{C5B83F5B-1D2E-4276-9E27-76F2F987F650}"/>
    <hyperlink ref="F1380" r:id="rId997" display="Certificado Titularidad/WALLYSSON FEITOSA BARBOSA.pdf" xr:uid="{3C84FEAD-D968-493B-B1DF-07ADC0C83F98}"/>
    <hyperlink ref="F1379" r:id="rId998" display="Certificado Titularidad/WALLACE DA SILVA GOMES.pdf" xr:uid="{212C78DA-AB20-4B8A-9DD5-82F83C5C0763}"/>
    <hyperlink ref="F1372" r:id="rId999" display="Certificado Titularidad/VICTOR HUGO GOSSO.pdf" xr:uid="{D723CB48-031C-4747-90B1-3095460097F0}"/>
    <hyperlink ref="F1368" r:id="rId1000" display="Certificado Titularidad/VICTOR BLANCO BRAVO.pdf" xr:uid="{F5A4E2F3-0C71-4027-9638-617D3CD423B0}"/>
    <hyperlink ref="F1352" r:id="rId1001" display="Certificado Titularidad/SEVERO PABON CASTRO.pdf" xr:uid="{91EECF5C-C23B-49D6-95FB-E72D140EA8E4}"/>
    <hyperlink ref="F1351" r:id="rId1002" display="Certificado Titularidad/SERGIO TUNJANO GOMEZ.pdf" xr:uid="{EBB1E936-E386-4037-89E1-91779B45B3CA}"/>
    <hyperlink ref="F1344" r:id="rId1003" display="Certificado Titularidad/SERGIO ANDRES FLOREZ MARIN.pdf" xr:uid="{32186908-4545-4908-8BA6-00C91F19ABDA}"/>
    <hyperlink ref="F1343" r:id="rId1004" display="Certificado Titularidad/SERGIO ALONSO ANDRADE CASTRILLON.pdf" xr:uid="{5712358D-A302-4C27-B41F-F22CCF7FDE58}"/>
    <hyperlink ref="H143" r:id="rId1005" display="Documentos firmados cambio/BRAYAN JOSE SALINAS MARTINEZ.pdf" xr:uid="{5E9F12F2-0FF7-4378-A5F3-6D0A68EC82AF}"/>
    <hyperlink ref="F147" r:id="rId1006" display="Certificado Titularidad/BRUNO ARIEL WINTER COMANDO.pdf" xr:uid="{4368FC64-CAEC-4D49-8817-94AC1383716A}"/>
    <hyperlink ref="F149" r:id="rId1007" display="Certificado Titularidad/BRYAN ELIUT GAITAN GOMEZ.pdf" xr:uid="{C03D526D-B3FB-4A3D-81DC-EF3375A6F6D0}"/>
    <hyperlink ref="F152" r:id="rId1008" display="Certificado Titularidad/CAMILO ANDRES DUEÑAS NIÑO.pdf" xr:uid="{4D303ED8-24FB-4577-9023-FFA02A711827}"/>
    <hyperlink ref="F168" r:id="rId1009" display="Certificado Titularidad/CARLOS ALBERTO SALAZAR URBINA.pdf" xr:uid="{57966F48-B19F-42EC-B71C-F793F6E79EB0}"/>
    <hyperlink ref="F171" r:id="rId1010" display="Certificado Titularidad/CARLOS ANDRES GONZALEZ GUTIERREZ.pdf" xr:uid="{73858BE4-C365-4BFB-8C3F-E6F1CDCA33DF}"/>
    <hyperlink ref="F173" r:id="rId1011" display="Certificado Titularidad/CARLOS ANDRES JIMENEZ RAMIREZ.pdf" xr:uid="{47091CBC-2655-47AF-9B34-E884C809000E}"/>
    <hyperlink ref="F178" r:id="rId1012" display="Certificado Titularidad/CARLOS ANDRES RIBON PABON.pdf" xr:uid="{8EDAC9F9-0A29-4451-B30A-ACBA81A51FEC}"/>
    <hyperlink ref="F180" r:id="rId1013" display="Certificado Titularidad/CARLOS ANDRES ROJAS.pdf" xr:uid="{B0781155-C8DB-4416-A035-B5388B8C52BF}"/>
    <hyperlink ref="F188" r:id="rId1014" display="Certificado Titularidad/CARLOS EDUARDO CARDENAS ESPINOSA.pdf" xr:uid="{04A334B0-8355-4FC8-AF20-61E289B354D1}"/>
    <hyperlink ref="F189" r:id="rId1015" display="Certificado Titularidad/CARLOS EDUARDO FORBES MARIN.pdf" xr:uid="{3A236E36-F4CE-4014-995C-B03945FC1679}"/>
    <hyperlink ref="F191" r:id="rId1016" display="Certificado Titularidad/CARLOS FABIAN ACERO BAUTISTA.pdf" xr:uid="{F2CC3803-B0E8-4F52-9F0D-16928825EBF6}"/>
    <hyperlink ref="F192" r:id="rId1017" display="Certificado Titularidad/CARLOS GIOVANNI RONDEROS VEGA.pdf" xr:uid="{481E7A60-4C68-402C-8ABA-6F5ED197D321}"/>
    <hyperlink ref="F193" r:id="rId1018" display="Certificado Titularidad/CARLOS JESUS ESCUDERO LUNA.pdf" xr:uid="{463249DD-4DCB-40FC-AD42-F1540AA068DD}"/>
    <hyperlink ref="F200" r:id="rId1019" display="Certificado Titularidad/CARLOS JULIO MARTINEZ ESPINOSA.pdf" xr:uid="{64BE94B6-1B51-4DE7-BE2C-10581FACF267}"/>
    <hyperlink ref="F202" r:id="rId1020" display="Certificado Titularidad/CARLOS MARIO MOLINA.pdf" xr:uid="{C2B96507-26A9-4865-8B39-F9ED35ECB2CB}"/>
    <hyperlink ref="F208" r:id="rId1021" display="Certificado Titularidad/CESAR AUGUSTO ARCE GOMEZ.pdf" xr:uid="{603E9118-C539-4A14-8B51-75389C268785}"/>
    <hyperlink ref="F212" r:id="rId1022" display="Certificado Titularidad/CESAR AUGUSTO RAMIREZ TABERA.pdf" xr:uid="{EA21A1E0-6D92-4A0A-B896-75CF71B2568E}"/>
    <hyperlink ref="F215" r:id="rId1023" display="Certificado Titularidad/CESAR FARID PADILLA MORENO.pdf" xr:uid="{EF0D7868-7AD0-417F-953C-FB7785EB0939}"/>
    <hyperlink ref="F216" r:id="rId1024" display="Certificado Titularidad/CESAR GABRIEL TORRES MONTAÑEZ.pdf" xr:uid="{F29C95E4-FBEF-48E8-8139-47C34C3A332D}"/>
    <hyperlink ref="F221" r:id="rId1025" display="Certificado Titularidad/CHRISTIAN ANDRES IZQUIERDO LOURIDO.pdf" xr:uid="{53299B53-C9B1-40A0-B89A-2A10D75C00BE}"/>
    <hyperlink ref="F222" r:id="rId1026" display="Certificado Titularidad/CHRISTIAN NAYID SIMONDS GOMEZ.pdf" xr:uid="{89816B0E-DC2B-4988-84CB-A40D84239B19}"/>
    <hyperlink ref="F224" r:id="rId1027" display="Certificado Titularidad/CICERO LIMA BATISTA.pdf" xr:uid="{8C04210E-32F9-4D5D-933B-AE1A0C8A3E6B}"/>
    <hyperlink ref="F228" r:id="rId1028" display="Certificado Titularidad/CORIOLANO ALFREDO ROJAS MURILLO.pdf" xr:uid="{E453150A-9A0A-424A-ACF6-C4A83FC5D32B}"/>
    <hyperlink ref="F236" r:id="rId1029" display="Certificado Titularidad/CRISTIAN DAVID CADAVID MENESES.pdf" xr:uid="{C5029A82-291C-4ED3-B519-DA344697E73A}"/>
    <hyperlink ref="F237" r:id="rId1030" display="Certificado Titularidad/CRISTIAN DAVID MARIN ZAPATA.pdf" xr:uid="{B1265B06-2329-464D-82CD-6B024885B02E}"/>
    <hyperlink ref="F238" r:id="rId1031" display="Certificado Titularidad/CRISTIAN DAVID ORTIZ MADRID.pdf" xr:uid="{E5211614-8C34-4C98-BB31-E94B80E838E4}"/>
    <hyperlink ref="F239" r:id="rId1032" display="Certificado Titularidad/CRISTIAN DENNIS NARVAEZ CIFUENTES.pdf" xr:uid="{9529428B-EE35-45F2-9AF7-228B998F3385}"/>
    <hyperlink ref="F243" r:id="rId1033" display="Certificado Titularidad/DAGOBERTO OSPINO COLLANTE.pdf" xr:uid="{F6F8C91A-B791-4443-AFF5-E481A9A73F40}"/>
    <hyperlink ref="F245" r:id="rId1034" display="Certificado Titularidad/DALMIRO SOTO RAMOS.pdf" xr:uid="{5A2E2F3F-AE0C-40BE-81E7-E3FB5621D916}"/>
    <hyperlink ref="F246" r:id="rId1035" display="Certificado Titularidad/DAMIAN ZAMBRANO TULANDE.pdf" xr:uid="{524537AD-4251-40B1-B36E-17D01F0B1362}"/>
    <hyperlink ref="F250" r:id="rId1036" display="Certificado Titularidad/DANIEL ANDRES MARULANDA BOLAÑOS.pdf" xr:uid="{83288EB7-9582-4974-8224-4B7D7B87AF95}"/>
    <hyperlink ref="F251" r:id="rId1037" display="Certificado Titularidad/DANIEL CAICEDO BEDOYA.pdf" xr:uid="{D256A718-66D7-4B2B-8447-DFBB2360AD7F}"/>
    <hyperlink ref="F260" r:id="rId1038" display="Certificado Titularidad/DANIS PADILLA RODRIGUEZ.pdf" xr:uid="{EC302240-3D47-4E87-9B56-D7718AADCF04}"/>
    <hyperlink ref="F261" r:id="rId1039" display="Certificado Titularidad/DANNY  DANIEL CORREA CAMPOVERDE.pdf" xr:uid="{E5BD5CA2-39F2-40B0-AADF-DF17BE031B77}"/>
    <hyperlink ref="F604" r:id="rId1040" display="Certificado Titularidad/ISMAEL MENDEZ GAITAN.pdf" xr:uid="{9DCE92C6-D40A-4C43-8DC2-B988649BC682}"/>
    <hyperlink ref="F263" r:id="rId1041" display="Certificado Titularidad/DARWIN FAURICIO RAMIREZ JARAMILLO.pdf" xr:uid="{69B35BA1-3D0C-41A5-B04B-BC58F26118E0}"/>
    <hyperlink ref="F266" r:id="rId1042" display="Certificado Titularidad/DARWIN TORRES CRESPO.pdf" xr:uid="{A1E37B04-569B-4CFF-9747-1FF83C0932CD}"/>
    <hyperlink ref="F268" r:id="rId1043" display="Certificado Titularidad/DAVID ENRIQUE BUZON ARIAS.pdf" xr:uid="{74CBC793-6286-4B49-8B35-2CAD0B5BB1E0}"/>
    <hyperlink ref="F270" r:id="rId1044" display="Certificado Titularidad/DAVID GUSTAVO DE LOS ANGELES PATIÑO RAMOS.pdf" xr:uid="{5370F75C-93C4-4BDF-8B7B-0B793400D708}"/>
    <hyperlink ref="F277" r:id="rId1045" display="Certificado Titularidad/DEIVI STIVEN ORTIZ MONTENEGRO.pdf" xr:uid="{3E69B06B-601B-4B66-86CD-3E05E571BA88}"/>
    <hyperlink ref="F278" r:id="rId1046" display="Certificado Titularidad/DEIVIS DAVID CASTRO MARTINEZ.pdf" xr:uid="{37EEDCBB-001C-4A90-B1BC-E40E21041D8E}"/>
    <hyperlink ref="F279" r:id="rId1047" display="Certificado Titularidad/DEIVIS MUÑOZ TORRES.pdf" xr:uid="{45D484BC-8B16-4BAE-B449-FCEC7A3A4789}"/>
    <hyperlink ref="F283" r:id="rId1048" display="Certificado Titularidad/DEYBY DAVISON LOPEZ DIAZ.pdf" xr:uid="{EFED74DE-5AD7-494F-AFAA-2B53314A6FDF}"/>
    <hyperlink ref="H287" r:id="rId1049" display="Documentos firmados cambio/DIEGO ALEJANDRO CRUZ LOPEZ.pdf" xr:uid="{6DDAB1F6-2B4E-4D0D-ACF4-4035C415BFE5}"/>
    <hyperlink ref="F289" r:id="rId1050" display="Certificado Titularidad/DIEGO ANDRES SALCEDO BAUTISTA.pdf" xr:uid="{8A22E810-56B3-4DED-8C4B-EF5D44AB3232}"/>
    <hyperlink ref="F290" r:id="rId1051" display="Certificado Titularidad/DIEGO ARMANDO LEIVA SOTO.pdf" xr:uid="{641C3662-9EDA-436B-9410-4107B180D8B4}"/>
    <hyperlink ref="F291" r:id="rId1052" display="Certificado Titularidad/DIEGO ARMANDO PEDRAZA CHOQUE.pdf" xr:uid="{844759C0-1AAD-40F6-B05F-C7BE3647224B}"/>
    <hyperlink ref="F293" r:id="rId1053" display="Certificado Titularidad/DIEGO ARMANDO RIVERO MANZANO.pdf" xr:uid="{CB9EE841-1AEE-4947-8E46-69BD57E43F50}"/>
    <hyperlink ref="F294" r:id="rId1054" display="Certificado Titularidad/DIEGO DIAZ LUNA.pdf" xr:uid="{FC0DDADF-CE58-4294-B475-12DFA436FC8C}"/>
    <hyperlink ref="F301" r:id="rId1055" display="Certificado Titularidad/DIEGO ROBERTO SOUZA SCAVACINI.pdf" xr:uid="{5C6165AB-2153-43CB-B2A7-25438091F793}"/>
    <hyperlink ref="F302" r:id="rId1056" display="Certificado Titularidad/DIVIER HUMBERTO PAEZ MONROY.pdf" xr:uid="{67BEF9B4-50F9-4B6C-B55B-42D0DCE3BB89}"/>
    <hyperlink ref="F303" r:id="rId1057" display="Certificado Titularidad/DIVINSO JOSE LARA PERALTA.pdf" xr:uid="{9294E410-0DBB-4ED0-9A49-9927496F8317}"/>
    <hyperlink ref="F309" r:id="rId1058" display="Certificado Titularidad/DUMAR EFREN RAMIREZ MENDOZA.pdf" xr:uid="{84DBC2DE-8CD1-4F81-AC1C-B4C40D44B99B}"/>
    <hyperlink ref="F311" r:id="rId1059" display="Certificado Titularidad/DUVAN ANDRES BOSIGA SANCHEZ.pdf" xr:uid="{52B28C3A-FA70-4C55-B5FD-BBB89C0AF662}"/>
    <hyperlink ref="F313" r:id="rId1060" display="Certificado Titularidad/EDDER CARLOS ATENCIO VILLANUEVA.pdf" xr:uid="{B9FC9539-3399-4A06-9F11-DD9586918BA5}"/>
    <hyperlink ref="F326" r:id="rId1061" display="Certificado Titularidad/EDIE JAVIER GUERRERO SARMIENTO.pdf" xr:uid="{B45771F2-F2BB-4BEF-8FB2-0859B73ED52F}"/>
    <hyperlink ref="H326" r:id="rId1062" display="Documentos firmados cambio/EDIE JAVIER GUERRERO SARMIENTO.pdf" xr:uid="{FD44CA2A-5528-4E0D-BE1F-47D5D8BA969D}"/>
    <hyperlink ref="F333" r:id="rId1063" display="Certificado Titularidad/EDINSON LOZANO TELLEZ.pdf" xr:uid="{827AEED9-2331-4EB2-A697-D75B1B506175}"/>
    <hyperlink ref="F336" r:id="rId1064" display="Certificado Titularidad/EDSON MIULLER SANTANA ERAZO.pdf" xr:uid="{497D2C2B-07B1-417E-9BBE-90B902722C72}"/>
    <hyperlink ref="F343" r:id="rId1065" display="Certificado Titularidad/EDUARDO BAMBAREN CISTERNA.pdf" xr:uid="{0545E1FD-60F0-44A6-BB96-245938086FC0}"/>
    <hyperlink ref="F346" r:id="rId1066" display="Certificado Titularidad/EDUARDO JOSE RUSSO LINERO.pdf" xr:uid="{9892F6D8-66A0-4A05-A882-2A731DE914FC}"/>
    <hyperlink ref="F350" r:id="rId1067" display="Certificado Titularidad/EDWAR ANDRES BENACHI ARCE.pdf" xr:uid="{587F9161-CB5E-490B-83F9-10DAA2A047B8}"/>
    <hyperlink ref="F356" r:id="rId1068" display="Certificado Titularidad/EDWARD IGNACIO DIAZ AVILA.pdf" xr:uid="{545757EE-C7BA-40F4-9B70-4FF89AE9C395}"/>
    <hyperlink ref="F361" r:id="rId1069" display="Certificado Titularidad/EDWIN ALEXANDER DIAZ PITRE.pdf" xr:uid="{4A94A7FB-F073-48AF-BC2B-7E828D8BF28A}"/>
    <hyperlink ref="F363" r:id="rId1070" display="Certificado Titularidad/EDWIN BERNAL ARCINIEGAS.pdf" xr:uid="{1E3CA496-D116-46CB-A11D-496F05018F1B}"/>
    <hyperlink ref="F367" r:id="rId1071" display="Certificado Titularidad/EDWIN FERNANDO LINARES MACA.pdf" xr:uid="{04F708BF-604A-471A-8FF4-A0BAA23DE0A4}"/>
    <hyperlink ref="F371" r:id="rId1072" display="Certificado Titularidad/EDWIN GOMEZ ROJAS.pdf" xr:uid="{32276E8B-2FB3-4BBA-8783-06090EDEFF9D}"/>
    <hyperlink ref="F379" r:id="rId1073" display="Certificado Titularidad/EFRAIN MAXIMO CHILCA ORE.pdf" xr:uid="{B490C8BE-353F-446D-9B13-11107F811DE6}"/>
    <hyperlink ref="F384" r:id="rId1074" display="Certificado Titularidad/ELIECER ANTONIO ZURITA CORDDOBA.pdf" xr:uid="{CE6863DC-7B2C-4AE0-81F7-CCDD0DD30EDD}"/>
    <hyperlink ref="F392" r:id="rId1075" display="Certificado Titularidad/ELTON JHONNY GONGORA BELTRAN.pdf" xr:uid="{29A1CCD7-5FF1-40FB-9763-09C2288023DD}"/>
    <hyperlink ref="F395" r:id="rId1076" display="Certificado Titularidad/EMANUEL JOSE LOBOS GATICA.pdf" xr:uid="{11F9137D-2955-48FF-8B1D-D52C8042CA52}"/>
    <hyperlink ref="F396" r:id="rId1077" display="Certificado Titularidad/EMANUEL NICOLAS MUNOZ FERNANDEZ.pdf" xr:uid="{04F3F273-190C-45EB-8F5B-AD4A87F2C520}"/>
    <hyperlink ref="F398" r:id="rId1078" display="Certificado Titularidad/EMILIANO CUADROS LAGUADO.pdf" xr:uid="{DF63C041-06AD-453B-AD17-FA7227C0F40B}"/>
    <hyperlink ref="F403" r:id="rId1079" display="Certificado Titularidad/ENRIQUE SABALZA RODRIGUEZ.pdf" xr:uid="{A761400E-D8CA-4C80-A22D-129864D2E525}"/>
    <hyperlink ref="F408" r:id="rId1080" display="Certificado Titularidad/ERIK RUBEN RAMIREZ SIMANCAS.pdf" xr:uid="{EE448246-157B-4DF5-BFA2-31A5B946E4C4}"/>
    <hyperlink ref="F410" r:id="rId1081" display="Certificado Titularidad/ERLEIN GOMEZ RAMOS.pdf" xr:uid="{19F2ADA8-F7A4-4494-B083-386F96C64714}"/>
    <hyperlink ref="F414" r:id="rId1082" display="Certificado Titularidad/ESNEYDER TORRES ULLOA.pdf" xr:uid="{504E397B-4517-4B05-B314-2D775B171EE8}"/>
    <hyperlink ref="F423" r:id="rId1083" display="Certificado Titularidad/FABER FABIAN DE LA CRUZ RIQUETT.pdf" xr:uid="{843BF86C-299C-4E97-ACD6-46551AB4B50D}"/>
    <hyperlink ref="F425" r:id="rId1084" display="Certificado Titularidad/FABIAN ARTURO RUIZ GARCIA.pdf" xr:uid="{43AD8017-109C-4ECF-B632-26FF6A1EB454}"/>
    <hyperlink ref="F426" r:id="rId1085" display="Certificado Titularidad/FABIAN JARAMILLO MARIN.pdf" xr:uid="{7DF1F767-4812-4746-B084-D3AF244420DA}"/>
    <hyperlink ref="F437" r:id="rId1086" display="Certificado Titularidad/FANOR ENRIQUE BAHOS OVIEDO.pdf" xr:uid="{0230581A-A019-4B26-B9F4-955664057BC2}"/>
    <hyperlink ref="F440" r:id="rId1087" display="Certificado Titularidad/FARID SAMUEL URUETA HEREDIA.pdf" xr:uid="{12D4AB5D-9142-49B5-83D4-2A092071CBC0}"/>
    <hyperlink ref="F441" r:id="rId1088" display="Certificado Titularidad/FELIPE DOS SANTOS.pdf" xr:uid="{3013D44A-3332-403C-B2FB-78E84D5158CB}"/>
    <hyperlink ref="F452" r:id="rId1089" display="Certificado Titularidad/FERNANDO EMANUEL GUEVARAS.pdf" xr:uid="{D0712DE9-E8CD-425B-95CE-3575CB03A81E}"/>
    <hyperlink ref="F455" r:id="rId1090" display="Certificado Titularidad/FERNEY ALEXANDER VARGAS SERRANO.pdf" xr:uid="{53474DF8-7CF7-479E-A9A5-2CB0FFB265EC}"/>
    <hyperlink ref="F461" r:id="rId1091" display="Certificado Titularidad/FRANCISCO JAVIER MERCADO MELENDEZ.pdf" xr:uid="{9FD11543-90CB-4F7A-9A0A-DB30C74B1882}"/>
    <hyperlink ref="F1245" r:id="rId1092" display="Certificado Titularidad/RAMON GUILLERMO SANABRIA ECHARRI.pdf" xr:uid="{C36B7C97-83F2-4519-BB7A-7823E0930544}"/>
    <hyperlink ref="F434" r:id="rId1093" display="Certificado Titularidad/FABIO DOMINGUEZ BRAVO.pdf" xr:uid="{C341B549-A63D-436B-B562-D04DF03DB43E}"/>
    <hyperlink ref="F155" r:id="rId1094" display="Certificado Titularidad/CAMILO BUSTOS BECERRA.pdf" xr:uid="{D7585AAD-E4E9-4EA4-98ED-521364EBC067}"/>
    <hyperlink ref="F1191" r:id="rId1095" display="Certificado Titularidad/OSCAR ASTORGA MUÑOZ.pdf" xr:uid="{5C5751E0-F341-49D2-A702-75FEC9E37F2C}"/>
    <hyperlink ref="H1191" r:id="rId1096" display="Documentos firmados cambio/OSCAR ASTORGA MUÑOZ.pdf" xr:uid="{6EB05901-AD87-4F81-9D86-15E3C7519407}"/>
    <hyperlink ref="F476" r:id="rId1097" display="Certificado Titularidad/FREDDY ANDRES BAYONA CASTRO.pdf" xr:uid="{51B9F6D4-2F1D-4AA4-A0A4-49D021377D58}"/>
    <hyperlink ref="F757" r:id="rId1098" display="Certificado Titularidad/JOHAN ANDRES HERRERA RUGE.pdf" xr:uid="{631EA7DA-1A6E-4F9F-A7D2-A097FF7F09F6}"/>
    <hyperlink ref="H757" r:id="rId1099" display="Documentos firmados cambio/JOHAN ANDRES HERRERA RUGE.pdf" xr:uid="{D77F7451-E47B-4372-BDAA-0B04C2BD2769}"/>
    <hyperlink ref="H144" r:id="rId1100" display="Documentos firmados cambio/BRAYAN JULIAN GAZCON MARIN.pdf" xr:uid="{66789804-50AA-4ACD-85B3-380E503C76B7}"/>
    <hyperlink ref="F480" r:id="rId1101" display="Certificado Titularidad/FREDIS BARRIOS MARTINEZ.pdf" xr:uid="{FA5B7FB2-DD8B-46B9-B9A8-2BF7547FF4DF}"/>
    <hyperlink ref="F474" r:id="rId1102" display="Certificado Titularidad/FRAY DAVID GIL VALENCIA.pdf" xr:uid="{76DDF1FF-A0FB-483E-AC69-240A628CACDE}"/>
    <hyperlink ref="F342" r:id="rId1103" display="Certificado Titularidad/EDUARDO ANTONIO ALVARADO CASTILLO.pdf" xr:uid="{C04A0220-6ECC-4067-A64A-81CD85EE15A0}"/>
    <hyperlink ref="F465" r:id="rId1104" display="Certificado Titularidad/FRANCO CESAR GONZALES CUMPA.pdf" xr:uid="{325802EB-BE01-4356-B08F-667A906DDF80}"/>
    <hyperlink ref="F467" r:id="rId1105" display="Certificado Titularidad/FRANK ANTHONY QUIÑONES ALVARADO.pdf" xr:uid="{83FAF5CB-98B4-401C-B74D-BBCAB9E2CB71}"/>
    <hyperlink ref="F469" r:id="rId1106" display="Certificado Titularidad/FRANK PERDOMO YUCUMA.pdf" xr:uid="{FDFE1A0F-174E-4E55-A505-F0A7C8FC411D}"/>
    <hyperlink ref="F473" r:id="rId1107" display="Certificado Titularidad/FRANKY EXNEIDER ORDUZ NIÑO.pdf" xr:uid="{2594D080-3CFC-4B9F-AC9D-5C8E67F8ED24}"/>
    <hyperlink ref="F481" r:id="rId1108" display="Certificado Titularidad/FREDIS BOLAÑOS GARCIA.pdf" xr:uid="{195D53D3-84B1-459F-B979-2C3B14142017}"/>
    <hyperlink ref="F482" r:id="rId1109" display="Certificado Titularidad/FREDY ALEXANDER GÓMEZ CORTES.pdf" xr:uid="{9B339D00-7EA5-4756-B609-762A83D335E3}"/>
    <hyperlink ref="F484" r:id="rId1110" display="Certificado Titularidad/FREDY MANCERA URIBE.pdf" xr:uid="{687683F0-1B94-4119-846E-1A9B0DDD70BA}"/>
    <hyperlink ref="F486" r:id="rId1111" display="Certificado Titularidad/FREDY ULISES LEON SANTIAGO.pdf" xr:uid="{A10D0F96-06BD-437A-B761-97746067A3FE}"/>
    <hyperlink ref="F487" r:id="rId1112" display="Certificado Titularidad/FREILY JOSE CARO VILORIA.pdf" xr:uid="{3E493B05-94FD-4DD8-935F-664363EA4708}"/>
    <hyperlink ref="F498" r:id="rId1113" display="Certificado Titularidad/GERSON STEVENS BELTRAN CASTELLANOS.pdf" xr:uid="{FAF35947-F639-47D4-8689-71C5FB698CC5}"/>
    <hyperlink ref="F500" r:id="rId1114" display="Certificado Titularidad/GILBER MORA DIAZ.pdf" xr:uid="{431D5688-03FC-47C4-854E-31D2BD33E3D2}"/>
    <hyperlink ref="H506" r:id="rId1115" display="Documentos firmados cambio/GONZALO ARIEL NAVARRO.pdf" xr:uid="{BC69393F-50C7-4331-8131-CEC3C1AA0F36}"/>
    <hyperlink ref="F507" r:id="rId1116" display="Certificado Titularidad/GONZALO JAVIER CERON GARCIA.pdf" xr:uid="{AFE04C0C-206B-4E6E-82FB-0EA68C4729B9}"/>
    <hyperlink ref="F510" r:id="rId1117" display="Certificado Titularidad/GONZALO RENE RIVAS GAVIRIA.pdf" xr:uid="{621D93C0-B611-4642-A8C9-3E3EC1CC4A7F}"/>
    <hyperlink ref="F511" r:id="rId1118" display="Certificado Titularidad/GRAVIEL ISIDRO DIAZ OROPEZA.pdf" xr:uid="{A7FC1D63-DAC1-4C30-97B6-0F58B9F99787}"/>
    <hyperlink ref="F513" r:id="rId1119" display="Certificado Titularidad/GRISERIO COLLAZOS MURCIA.pdf" xr:uid="{F6C3EE3B-F2E7-4FEF-AF62-92641BE7977F}"/>
    <hyperlink ref="F516" r:id="rId1120" display="Certificado Titularidad/GUILLERMO ALFONSO CHACON BOHORQUEZ.pdf" xr:uid="{19303254-47FA-44B5-83D2-60A9225AA7C5}"/>
    <hyperlink ref="F517" r:id="rId1121" display="Certificado Titularidad/GUILLERMO ALFONSO TEJADA VILLAMIZAR.pdf" xr:uid="{9D65D8F3-77AB-4B96-8AD5-0C30CEE16FEA}"/>
    <hyperlink ref="F529" r:id="rId1122" display="Certificado Titularidad/HANNER STIVEN GUZMAN PENCUA.pdf" xr:uid="{EB1FA36F-3C72-4F7A-8A86-F5FEEC232BED}"/>
    <hyperlink ref="F531" r:id="rId1123" display="Certificado Titularidad/HARLYS ENRIQUE DOMINGUEZ ALGARIN.pdf" xr:uid="{7270BC29-1DF6-4244-9684-C6E8171BCF7C}"/>
    <hyperlink ref="F532" r:id="rId1124" display="Certificado Titularidad/HAROLD ALBERTO GRISALES ARRIETA.pdf" xr:uid="{73FA023D-14C2-4941-BA1D-19AEFEF7BAA9}"/>
    <hyperlink ref="F536" r:id="rId1125" display="Certificado Titularidad/HAROLD SMITH MAESTRE LEON.pdf" xr:uid="{E384CC8D-1322-4920-B003-BC4DF4A9A904}"/>
    <hyperlink ref="F544" r:id="rId1126" display="Certificado Titularidad/HECTOR FABIO GUZMAN CAICEDO.pdf" xr:uid="{65E35367-C740-42DF-AFA1-FAAB1BCBFEAA}"/>
    <hyperlink ref="F545" r:id="rId1127" display="Certificado Titularidad/HECTOR FABIO MAHETE CEDEÑO.pdf" xr:uid="{A5EF5BBD-9D5F-4E76-AB3E-9CE01E1994D1}"/>
    <hyperlink ref="H560" r:id="rId1128" display="Documentos firmados cambio/HEINER GONZALEZ ALAPE.pdf" xr:uid="{B45B86F9-66A7-472F-8E37-C4E4DAA2FFB5}"/>
    <hyperlink ref="F572" r:id="rId1129" display="Certificado Titularidad/HERLEY REYES AMAYA.pdf" xr:uid="{E1ABEA0F-78A9-4701-9225-68F5280F4755}"/>
    <hyperlink ref="F584" r:id="rId1130" display="Certificado Titularidad/HUERLIN MANGLIO ALVARADO GUZMÁN.pdf" xr:uid="{5D7481CB-F8E2-4A9B-9BFF-CB7F0F280284}"/>
    <hyperlink ref="F597" r:id="rId1131" display="Certificado Titularidad/ISAHAC EMILIO RADA BRUGES.pdf" xr:uid="{7B8E862B-971F-4C5B-8E1B-F5A4992AF526}"/>
    <hyperlink ref="F601" r:id="rId1132" display="Certificado Titularidad/ISMAEL ALBERTO MENESES VALDES.pdf" xr:uid="{1898CEBE-23E3-460F-94EB-77EF5AFD4DB9}"/>
    <hyperlink ref="F611" r:id="rId1133" display="Certificado Titularidad/IVAN DARIO VALLEJO BARRAZA.pdf" xr:uid="{C55F063C-AE97-4606-963B-1F4CE3C00564}"/>
    <hyperlink ref="F614" r:id="rId1134" display="Certificado Titularidad/IVANOR HERNANDEZ HERRERA.pdf" xr:uid="{F4D3F4D7-A3D7-482A-95A0-162E3B93E5F4}"/>
    <hyperlink ref="F618" r:id="rId1135" display="Certificado Titularidad/JADER ENRIQUE QUINONEZ HERRERA.pdf" xr:uid="{13C017AA-68F2-47E8-B323-83590FC26B75}"/>
    <hyperlink ref="F625" r:id="rId1136" display="Certificado Titularidad/JAIME ANDRES SILVA SABOGAL.pdf" xr:uid="{5FC04514-760A-4BFD-8A4A-4B0B5C566C95}"/>
    <hyperlink ref="F632" r:id="rId1137" display="Certificado Titularidad/JAIME NICOLAS GOYES.pdf" xr:uid="{A148F2B2-2168-4359-BDB7-3ADDBE7FA9F3}"/>
    <hyperlink ref="F636" r:id="rId1138" display="Certificado Titularidad/JAIRO ABRIL BEJARANO.pdf" xr:uid="{1FC8F207-2AC6-4381-B93C-B2F885D36773}"/>
    <hyperlink ref="F637" r:id="rId1139" display="Certificado Titularidad/JAIRO ALBERTO BOLAÑO PACHECO.pdf" xr:uid="{3B4436F4-DC49-4FF5-BE27-4EF689D9231A}"/>
    <hyperlink ref="H638" r:id="rId1140" display="Documentos firmados cambio/JAIRO ALBERTO GUZMAN REYES.pdf" xr:uid="{0043B90D-637F-4AF6-92E9-954CC68E823A}"/>
    <hyperlink ref="F673" r:id="rId1141" display="Certificado Titularidad/JEAN CARLO SUAREZ VALENCIA.pdf" xr:uid="{97AB0305-EDEA-4C93-9E56-4513A31743A8}"/>
    <hyperlink ref="F400" r:id="rId1142" display="Certificado Titularidad/ENRIQUE LIMA PUERTA.pdf" xr:uid="{E3CEA39D-19B9-461B-A1C2-4D075DD4A1A1}"/>
    <hyperlink ref="F523" r:id="rId1143" display="Certificado Titularidad/GUSTAVO ANDRES DUQUE CASTILLO.pdf" xr:uid="{6674E6DC-E7B0-4DF2-B45A-61A0C0CD2C53}"/>
    <hyperlink ref="F1058" r:id="rId1144" display="Certificado Titularidad/MANUEL FRANCISCO DE LA HOZ PEREZ.pdf" xr:uid="{D206B66E-D4DE-4F3C-ADAD-5E0CA67AB896}"/>
    <hyperlink ref="F1061" r:id="rId1145" display="Certificado Titularidad/MARCELO ALEJANDRO ROJAS CARRASCO.pdf" xr:uid="{87933F3F-0FED-4927-B3C9-6BEFADB3E766}"/>
    <hyperlink ref="F944" r:id="rId1146" display="Certificado Titularidad/JULIAN ANDRES LUCUMI CALERO.pdf" xr:uid="{761267AB-5553-4607-AC0D-36821757DCDA}"/>
    <hyperlink ref="F675" r:id="rId1147" display="Certificado Titularidad/JEENVINSON ADALBERTO IGUARAN GRANADILLO.pdf" xr:uid="{3618A01C-6638-4593-874B-C6F0F4B9B09B}"/>
    <hyperlink ref="F335" r:id="rId1148" display="Certificado Titularidad/EDINSON SIZA SANCHEZ.pdf" xr:uid="{23FB5327-366C-48EE-A1C1-B02E1E3A7A63}"/>
    <hyperlink ref="F960" r:id="rId1149" display="Certificado Titularidad/JULIO CESAR ELJACH BERROCAL.pdf" xr:uid="{01CDF3AC-7586-4708-A098-5B6AA40D2895}"/>
    <hyperlink ref="H960" r:id="rId1150" display="Documentos firmados cambio/JULIO CESAR ELJACH BERROCAL.pdf" xr:uid="{8049855C-F1CA-412C-8039-BF193AA4E84B}"/>
    <hyperlink ref="F1236" r:id="rId1151" display="Certificado Titularidad/PROSPERO SUAREZ PASTRAN.pdf" xr:uid="{653729E5-9B22-41A2-80F9-12C39AB0B572}"/>
    <hyperlink ref="H527" r:id="rId1152" display="Documentos firmados cambio/GUSTAVO RAFAEL CARRILO NUÑEZ.pdf" xr:uid="{8B5A4B61-9DE5-4043-AE73-6F80550C3DA0}"/>
    <hyperlink ref="F607" r:id="rId1153" display="Certificado Titularidad/IVAN ANDRES ORTIZ GALVAN.pdf" xr:uid="{41596A90-FA4B-49B2-9680-127B3736A8D1}"/>
    <hyperlink ref="H854" r:id="rId1154" display="Documentos firmados cambio/JOSE IGNACIO VALDERRAMA JIMENEZ.pdf" xr:uid="{40E6BBB8-0CDD-439F-A111-3D0580DF84C1}"/>
    <hyperlink ref="F568" r:id="rId1155" display="Certificado Titularidad/HENRY BOHORQUEZ VEGA.pdf" xr:uid="{889BC0F0-1301-470E-B5B3-8CBB87893599}"/>
    <hyperlink ref="F429" r:id="rId1156" display="Certificado Titularidad/FABIAN ORLANDO VARGAS RIOS.pdf" xr:uid="{D737F1DF-70B2-4924-B10F-495C749F8851}"/>
    <hyperlink ref="F1151" r:id="rId1157" display="Certificado Titularidad/NELSON RODRIGO MOSSOS ANDRADE.pdf" xr:uid="{DE9B3811-6E7C-47DC-B5B3-07A1C527745F}"/>
    <hyperlink ref="H675" r:id="rId1158" display="Documentos firmados cambio/JEENVINSON ADALBERTO IGUARAN GRANADILLO.pdf" xr:uid="{FB6F0C15-D14E-487C-934E-EC13A5CC61C6}"/>
    <hyperlink ref="H1442" r:id="rId1159" display="Documentos firmados cambio/YEISON ARLEY TOBON MORENO.pdf" xr:uid="{37CE744B-F603-42D0-AF0E-B8BFA44B1720}"/>
    <hyperlink ref="F616" r:id="rId1160" display="Certificado Titularidad/IVER MOISES ALVAREZ CORDOBA.pdf" xr:uid="{CF65633B-70A3-4C59-A0B1-B367C75FBD67}"/>
    <hyperlink ref="F170" r:id="rId1161" display="Certificado Titularidad/CARLOS ANDRES ARROYO BERTEL.pdf" xr:uid="{921D5E88-8E5E-450C-9AF4-BC6B23185750}"/>
    <hyperlink ref="H616" r:id="rId1162" display="Documentos firmados cambio/IVER MOISES ALVAREZ CORDOBA.pdf" xr:uid="{28C5EABF-C31E-4FA2-A6B7-F6EFEB88B95E}"/>
    <hyperlink ref="F518" r:id="rId1163" display="Certificado Titularidad/GUILLERMO ARCINIEGAS MURILLO.pdf" xr:uid="{1BCEFDA6-8238-41F9-B9C8-532F82F33ADC}"/>
    <hyperlink ref="H518" r:id="rId1164" display="Documentos firmados cambio/GUILLERMO ARCINIEGAS MURILLO.pdf" xr:uid="{324D07E7-6F67-4B1A-98E3-08607C81ED8C}"/>
    <hyperlink ref="F491" r:id="rId1165" display="Certificado Titularidad/GERARDO LARA GONZALEZ.pdf" xr:uid="{0E87DCF2-7D18-4AB2-9B82-62453004EF4B}"/>
    <hyperlink ref="H1198" r:id="rId1166" display="Documentos firmados cambio/OSCAR GIOVANNI DIAZ MARTINEZ.pdf" xr:uid="{4F68ED04-3116-4E14-9604-FE4645FFD630}"/>
    <hyperlink ref="F1276" r:id="rId1167" display="Certificado Titularidad/ROBERT STIVEN ESPINOSA PAREDES.pdf" xr:uid="{A4D4DECA-61F4-4AC5-921C-8BEEC34D96A5}"/>
    <hyperlink ref="F922" r:id="rId1168" display="Certificado Titularidad/JUAN ESTEBAN RANGEL HERNANDEZ.pdf" xr:uid="{C0B7CE06-22C1-4EC4-AB1B-B8BBDE70DC45}"/>
    <hyperlink ref="F714" r:id="rId1169" display="Certificado Titularidad/JHON ALEXANDER ARENAS CASTRILLON.pdf" xr:uid="{13315681-C6D6-42B7-9D4E-537EBC99B3C4}"/>
    <hyperlink ref="F1413" r:id="rId1170" display="Certificado Titularidad/WILMER ANTONIO BLANCO ALVAREZ.pdf" xr:uid="{C71C95AF-6E23-4D05-88C3-9A209EF9014A}"/>
    <hyperlink ref="F1128" r:id="rId1171" display="Certificado Titularidad/MISAEL SUAREZ SIJONA.pdf" xr:uid="{DC7D9100-CD49-4DC6-B3D8-FF1FA2814C8A}"/>
    <hyperlink ref="F925" r:id="rId1172" display="Certificado Titularidad/JUAN FERNANDO DUQUE CARDONA.pdf" xr:uid="{6801E1BF-EBDC-4E37-BB08-54E125708049}"/>
    <hyperlink ref="F830" r:id="rId1173" display="Certificado Titularidad/JOSE ANTONIO GUIZAO SANDOVAL.pdf" xr:uid="{39D938FC-3C53-4C48-8436-065E8F93B0A7}"/>
    <hyperlink ref="F1452" r:id="rId1174" display="Certificado Titularidad/YIMI ALEXANDER TRIANA FRANCO.pdf" xr:uid="{905B0BD8-FFDD-4211-A0B0-BDCEF17D2B8A}"/>
    <hyperlink ref="F1262" r:id="rId1175" display="Certificado Titularidad/RICHAR TAYLOR JIMENEZ CORONADO.pdf" xr:uid="{7D41755C-A8FF-4556-8068-D20C92BDB8AE}"/>
    <hyperlink ref="F1422" r:id="rId1176" display="Certificado Titularidad/WILSON ALEXANDER GOMEZ.pdf" xr:uid="{25D45A86-150B-4F08-A44D-A5DBFD4DA3AC}"/>
    <hyperlink ref="F1016" r:id="rId1177" display="Certificado Titularidad/LUIS ANTONIO SOTO VIDAL.pdf" xr:uid="{B36DC9FD-A62B-4559-A34B-29667726E960}"/>
    <hyperlink ref="F1078" r:id="rId1178" display="Certificado Titularidad/MARIO LUIS FERNANDO PEDEMONTE RUIZ.pdf" xr:uid="{98BC9A5A-5C81-4989-ADEA-97D7454F528C}"/>
    <hyperlink ref="F136" r:id="rId1179" display="Certificado Titularidad/BRANDON RAMIREZ ZAPATA.pdf" xr:uid="{4D2F6C32-C9F3-4F6F-8D30-5ACE60E21B50}"/>
    <hyperlink ref="F1419" r:id="rId1180" display="Certificado Titularidad/WILMER SEGOVIA GARCIA.pdf" xr:uid="{A00298D5-94BD-467E-998A-AEBBA8F5EA6E}"/>
    <hyperlink ref="F1155" r:id="rId1181" display="Certificado Titularidad/NESTOR ALEXANDER VIERA CANALES.pdf" xr:uid="{71A838A1-1D11-4B82-9F28-7E6BADE77390}"/>
    <hyperlink ref="F181" r:id="rId1182" display="Certificado Titularidad/CARLOS ANDRES SILVA CORREA.pdf" xr:uid="{95432742-6F50-47AC-B377-E957045F7A07}"/>
    <hyperlink ref="H523" r:id="rId1183" display="Documentos firmados cambio/GUSTAVO ANDRES DUQUE CASTILLO.pdf" xr:uid="{55CE2CE7-E9D6-4B8B-A58C-798A499CFE6C}"/>
    <hyperlink ref="F1214" r:id="rId1184" display="Certificado Titularidad/PAVEL FERNANDO GARCIA ZAPATA.pdf" xr:uid="{D0D54C07-9B81-4379-A30C-A73D31A5A87A}"/>
    <hyperlink ref="F1072" r:id="rId1185" display="Certificado Titularidad/MARIANO ONIAS TENORIO GALLO.pdf" xr:uid="{95A18B7A-C269-4889-A16B-67072F0FE586}"/>
    <hyperlink ref="F203" r:id="rId1186" display="Certificado Titularidad/CARLOS MARIO ROCHA ARIZ.pdf" xr:uid="{4C9A658D-7334-4BF8-AA5D-641213DE3546}"/>
    <hyperlink ref="F1305" r:id="rId1187" display="Certificado Titularidad/ROMER DAVID RODRIGUEZ GONZALEZ.pdf" xr:uid="{A9498A6D-4AA4-4D7A-88C3-38CAFE49A5D4}"/>
    <hyperlink ref="F1287" r:id="rId1188" display="Certificado Titularidad/ROBINSON DABIAN TABORDA ESCAMILLA.pdf" xr:uid="{2D8D02F8-5AB0-4937-8468-472F2CCA0EDA}"/>
    <hyperlink ref="F282" r:id="rId1189" display="Certificado Titularidad/DEWIN DE JESUS DE LEON BARRERA.pdf" xr:uid="{6192320D-EE24-45D5-BF43-620B6215E98B}"/>
    <hyperlink ref="F913" r:id="rId1190" display="Certificado Titularidad/JUAN DANIEL ROA ROSAS.pdf" xr:uid="{AA08D74C-86F8-4F75-AC89-3EE00E2A5160}"/>
    <hyperlink ref="H1098" r:id="rId1191" display="Documentos firmados cambio/MAURICIO TELLO RODRIGUEZ.pdf" xr:uid="{04037AD9-35E7-4044-BD63-A0279AFCE157}"/>
    <hyperlink ref="F1099" r:id="rId1192" display="Certificado Titularidad/MAURICIO TORO RAMIREZ.pdf" xr:uid="{4FEBA0D0-9FF6-4A07-B293-13EBF150D7F8}"/>
    <hyperlink ref="F1040" r:id="rId1193" display="Certificado Titularidad/LUIS HERNANDO HINESTROZA VALENCIA.pdf" xr:uid="{F63B9032-53C4-4F69-A353-81C31F5CF0AB}"/>
    <hyperlink ref="H233" r:id="rId1194" display="Documentos firmados cambio/CRISTIAN CAMILO BORRE SILVA.pdf" xr:uid="{C249E1D1-7F88-42B0-A43E-4D531D6C836F}"/>
    <hyperlink ref="H211" r:id="rId1195" display="Documentos firmados cambio/CESAR AUGUSTO LONDONO USME.pdf" xr:uid="{E3AD4377-1281-461B-BD0D-BAB61A44C64A}"/>
    <hyperlink ref="F456" r:id="rId1196" display="Certificado Titularidad/FERNEY TORRES LEDESMA.pdf" xr:uid="{325FC16E-C38E-4C3D-8197-7E109E69EECF}"/>
    <hyperlink ref="F1463" r:id="rId1197" display="Certificado Titularidad/YORVY RAFAEL MARTINEZ ROMERO.pdf" xr:uid="{C9E23CBB-8CF0-4AE0-A0B2-1B50DC903BD0}"/>
    <hyperlink ref="F1324" r:id="rId1198" display="Certificado Titularidad/RUBEN DARIO RINCON CORTES.pdf" xr:uid="{8A79B235-0891-4AB6-89B7-8B2FE5DB2EDD}"/>
    <hyperlink ref="F78" r:id="rId1199" display="Certificado Titularidad/ANDRES AGREDO ARBOLEDA.pdf" xr:uid="{32B637A6-2C15-43D1-BB00-6F8AF2856AB0}"/>
    <hyperlink ref="F569" r:id="rId1200" display="Certificado Titularidad/HENRY FIERRO MEDINA.pdf" xr:uid="{B62C44DD-3A66-4D82-814E-026BFE391CA2}"/>
    <hyperlink ref="H986" r:id="rId1201" display="Documentos firmados cambio/LENNIN JESUS CANON CARDENAS.pdf" xr:uid="{B8C3F670-F088-4684-B267-9C5CE1BA8FCA}"/>
    <hyperlink ref="F806" r:id="rId1202" display="Certificado Titularidad/JORGE IVAN SARRIA ORTIZ.pdf" xr:uid="{CEBBC2E7-F0AF-437D-8FA0-151F240E4A6F}"/>
    <hyperlink ref="H207" r:id="rId1203" display="Documentos firmados cambio/CESAR AUGUSTO ANGARITA RIVERA.pdf" xr:uid="{196D8C1C-E3A0-482F-8309-65682BF10507}"/>
    <hyperlink ref="H817" r:id="rId1204" display="Documentos firmados cambio/JORGE LUIS ROMERO DE ANGEL.pdf" xr:uid="{3C7DFCC5-2626-4F9A-8451-9B36DE31B133}"/>
    <hyperlink ref="F577" r:id="rId1205" display="Certificado Titularidad/HERNAN BERNARDO QUINTERO JARAMILLO.pdf" xr:uid="{C090B525-D81B-4B64-9374-B67ACD078058}"/>
    <hyperlink ref="F783" r:id="rId1206" display="Certificado Titularidad/JONATHAN FELACIO FISGATIVA.pdf" xr:uid="{F68E7B19-DAAC-431A-8BB4-B30D9B101059}"/>
    <hyperlink ref="H783" r:id="rId1207" display="Documentos firmados cambio/JONATHAN FELACIO FISGATIVA.pdf" xr:uid="{ACF9A8FB-FA03-4050-99E9-97F035E419FC}"/>
    <hyperlink ref="H607" r:id="rId1208" display="Documentos firmados cambio/IVAN ANDRES ORTIZ GALVAN.pdf" xr:uid="{BECB9F4B-B286-4B08-A162-C1D25848CF0C}"/>
    <hyperlink ref="H79" r:id="rId1209" display="Documentos firmados cambio/ANDRES ALEXANDER BEJARANO PEREZ.pdf" xr:uid="{59608079-DC34-4B6E-8E47-D12DA9ED95C4}"/>
    <hyperlink ref="H1010" r:id="rId1210" display="Documentos firmados cambio/LUIS ALFREDO APONTE ANTON.pdf" xr:uid="{C27B2284-7812-41EA-BAF3-58E91B72AF65}"/>
    <hyperlink ref="H161" r:id="rId1211" display="Documentos firmados cambio/CARLOS ALBERTO CORREA OREJUELA.pdf" xr:uid="{2766B5A6-B6AE-4FD5-A116-C7A3848D53CE}"/>
    <hyperlink ref="F555" r:id="rId1212" display="Certificado Titularidad/HECTOR MANUEL BUELVAS ZAMBRANO.pdf" xr:uid="{6F04F6F6-D837-4992-858B-546E5364A6C4}"/>
    <hyperlink ref="H555" r:id="rId1213" display="Documentos firmados cambio/HECTOR MANUEL BUELVAS ZAMBRANO.pdf" xr:uid="{C49CF1E1-2EC9-4B5F-88EF-8D0D9F9B9B60}"/>
    <hyperlink ref="F50" r:id="rId1214" display="Certificado Titularidad/ALEXIS ENRIQUE MORENO ARRIETA.pdf" xr:uid="{079B2230-1B01-4419-BA48-28DDFE7DE75E}"/>
    <hyperlink ref="F308" r:id="rId1215" display="Certificado Titularidad/DUBERNEY POSCUE FAJARDO.pdf" xr:uid="{8CA86FA6-0CFE-4995-856A-6D6DABDB9880}"/>
    <hyperlink ref="H345" r:id="rId1216" display="Documentos firmados cambio/EDUARDO JOSE MENDOZA ARIAS.pdf" xr:uid="{C3FB25DC-9585-42EF-B6AA-94BC6B1BDA0E}"/>
    <hyperlink ref="H1102" r:id="rId1217" display="Documentos firmados cambio/MELBIN JULIO ALBOR SUAREZ.pdf" xr:uid="{77956BD8-62BC-4A6F-AED3-5968AC255D8B}"/>
    <hyperlink ref="H590" r:id="rId1218" display="Documentos firmados cambio/HUMBERTO ENRIQUE MARTINEZ.pdf" xr:uid="{87CC23BB-82DE-4B8B-987F-5F4A416E5374}"/>
    <hyperlink ref="H806" r:id="rId1219" display="Documentos firmados cambio/JORGE IVAN SARRIA ORTIZ.pdf" xr:uid="{A0A6D495-2024-451C-8253-815885442C6A}"/>
    <hyperlink ref="H1362" r:id="rId1220" display="Documentos firmados cambio/VICENCIO VILLAMIZAR LEON.pdf" xr:uid="{8A7AE05E-0EF0-4769-B53A-478FCCDDA2B9}"/>
    <hyperlink ref="H926" r:id="rId1221" display="Documentos firmados cambio/JUAN GABRIEL GOEZ MESA.pdf" xr:uid="{749C902D-F1C1-4879-952C-04FA843DACF2}"/>
    <hyperlink ref="F121" r:id="rId1222" display="Certificado Titularidad/ARNULFO SANCHEZ RUEDA.pdf" xr:uid="{0055BF8C-461F-4AB2-A242-4373F5F47BF1}"/>
    <hyperlink ref="H121" r:id="rId1223" display="Documentos firmados cambio/ARNULFO SANCHEZ RUEDA.pdf" xr:uid="{BD462F67-94B0-4317-97AB-C84657997DB5}"/>
    <hyperlink ref="H1415" r:id="rId1224" display="Documentos firmados cambio/WILMER FERNANDO ROJAS RAMIREZ.pdf" xr:uid="{A85C6336-F387-44E2-856B-63B983674621}"/>
    <hyperlink ref="F316" r:id="rId1225" display="Certificado Titularidad/EDGAR CORRALES HOYOS.pdf" xr:uid="{884D4F04-8227-46AA-AEDF-F8DADCC04F2B}"/>
    <hyperlink ref="F1261" r:id="rId1226" display="Certificado Titularidad/RICARDO RAFAEL BONILLA BLANCO.pdf" xr:uid="{A5300F23-D813-4044-A550-2497C491EF5E}"/>
    <hyperlink ref="F197" r:id="rId1227" display="Certificado Titularidad/CARLOS JULIO CANON.pdf" xr:uid="{5EABCFF9-39E9-4D1B-AE2A-907BED834359}"/>
    <hyperlink ref="F1210" r:id="rId1228" display="Certificado Titularidad/PASTOR JOSE FERNANDEZ CANELO.pdf" xr:uid="{6700445D-A2C3-4568-A329-B4B15C2B420E}"/>
    <hyperlink ref="F44" r:id="rId1229" display="Certificado Titularidad/ALEXANDER GUZMAN.pdf" xr:uid="{47140856-81C4-4C7E-BE02-9E3648FC97CF}"/>
    <hyperlink ref="F1135" r:id="rId1230" display="Certificado Titularidad/NASSER MOHAMAD MERES LUNA.pdf" xr:uid="{ED175C2E-9C6B-4CCD-8737-8748AD4792E1}"/>
    <hyperlink ref="H1135" r:id="rId1231" display="Documentos firmados cambio/NASSER MOHAMAD MERES LUNA.pdf" xr:uid="{4FFD5E76-A862-4D8F-8D49-B8C21575A0CB}"/>
    <hyperlink ref="F1133" r:id="rId1232" display="Certificado Titularidad/MOISES MUNOZ ZAMBRANO.pdf" xr:uid="{9377A6F7-2AF2-4A28-99BE-C83F14286A07}"/>
    <hyperlink ref="F521" r:id="rId1233" display="Certificado Titularidad/GUSTAVO ADOLFO DEL ANGEL MONTERO.pdf" xr:uid="{D830E801-277C-4D59-A89A-E317E8660AD6}"/>
    <hyperlink ref="F998" r:id="rId1234" display="Certificado Titularidad/LUIS ALBERTO BUSTOS CALDERON.pdf" xr:uid="{C11EAC74-2459-4E9B-8565-6031801636B5}"/>
    <hyperlink ref="H62" r:id="rId1235" display="Documentos firmados cambio/ALVARO ENRIQUE ROJAS DE LA OSSA.pdf" xr:uid="{51BC2C2D-D880-4455-BCF8-EA24F7E84646}"/>
    <hyperlink ref="H327" r:id="rId1236" display="Documentos firmados cambio/EDILBERTO DOMINGUEZ PEREIRA.pdf" xr:uid="{49452E32-812C-4063-B8E8-94CF22D0B95F}"/>
    <hyperlink ref="F728" r:id="rId1237" display="Certificado Titularidad/JHON JAIRO CASTAÑO POSADA.pdf" xr:uid="{AAA0783D-3814-4D55-9847-9333C40DB6D9}"/>
    <hyperlink ref="F133" r:id="rId1238" display="Certificado Titularidad/BOLIVAR GABRIEL ALDANA RAMIREZ.pdf" xr:uid="{72F50470-0035-41E9-BCCB-73734D5C012E}"/>
    <hyperlink ref="F1373" r:id="rId1239" display="Certificado Titularidad/VICTOR JAVIER RIERA FLORES.pdf" xr:uid="{EF75ED0D-6E27-4534-8A64-2D14C335281D}"/>
    <hyperlink ref="F151" r:id="rId1240" display="Certificado Titularidad/BYRON YESID SUAREZ CUADRADO.pdf" xr:uid="{8B17C691-4A33-4F11-BFBE-83F94954FF7E}"/>
    <hyperlink ref="H201" r:id="rId1241" display="Documentos firmados cambio/CARLOS MARIO JARAMILLO LOPEZ.pdf" xr:uid="{F600DA12-192C-408E-85C4-F321784B39ED}"/>
    <hyperlink ref="F953" r:id="rId1242" display="Certificado Titularidad/JULIAN JAVIER PEARSON GUERRERO.pdf" xr:uid="{476BAF55-7725-4A65-B3CB-C1D7CE8A3DC0}"/>
    <hyperlink ref="F110" r:id="rId1243" display="Certificado Titularidad/APOLINAR GARCIA HERNANDEZ.pdf" xr:uid="{00CABC56-7F05-49A6-8963-304141892ED8}"/>
    <hyperlink ref="F217" r:id="rId1244" display="Certificado Titularidad/CESAR NORBEY PENAGOS DUQUE.pdf" xr:uid="{343C553B-56CC-4255-B4CA-3FB2FD40F8E1}"/>
    <hyperlink ref="F471" r:id="rId1245" display="Certificado Titularidad/FRANKLIN JOSE DIAZ LINCE.pdf" xr:uid="{A3C825BA-6A05-49AF-A833-17ED6D04C707}"/>
    <hyperlink ref="F693" r:id="rId1246" display="Certificado Titularidad/JESUS ALBERTO PENARANDA VILLALOBOS.pdf" xr:uid="{46DDE181-DF2A-483C-B8C7-072A4EA9DD13}"/>
    <hyperlink ref="F861" r:id="rId1247" display="Certificado Titularidad/JOSE JONATHAN CANO SALAZAR.pdf" xr:uid="{2789B9D4-1F39-4055-9BD2-D33AD9FC7875}"/>
    <hyperlink ref="F685" r:id="rId1248" display="Certificado Titularidad/JEISON ANDRES REYES PACHECO.pdf" xr:uid="{31EA9859-DB08-4AC6-A6C2-E51D5573AB30}"/>
    <hyperlink ref="F567" r:id="rId1249" display="Certificado Titularidad/HENRY ALEXANDER RAMIREZ.pdf" xr:uid="{77CD3CA8-12A0-4A5C-B26C-A29384F7D402}"/>
    <hyperlink ref="F899" r:id="rId1250" display="Certificado Titularidad/JUAN CARLOS CASTRO BARRAGAN.pdf" xr:uid="{B77F7C2E-C5E9-47F1-88CC-72F16E01760C}"/>
    <hyperlink ref="F906" r:id="rId1251" display="Certificado Titularidad/JUAN CARLOS RONDON COSSIO.pdf" xr:uid="{48C359B6-E5AA-4032-8836-1E47BEC0EBCB}"/>
    <hyperlink ref="F967" r:id="rId1252" display="Certificado Titularidad/JUSED CHAMORRO MENDEZ.pdf" xr:uid="{D5AFC4B4-833A-4EBF-BCBA-145EFB51D7BC}"/>
    <hyperlink ref="F977" r:id="rId1253" display="Certificado Titularidad/KLINSMANN ANDRE COLINA MARIN.pdf" xr:uid="{C6C5AE04-6699-4585-896A-C6DD2E0A2776}"/>
    <hyperlink ref="F1063" r:id="rId1254" display="Certificado Titularidad/MARCELO JAVIER GARCIA RUIZ DIAZ.pdf" xr:uid="{60AC8287-DAAB-40DD-A22D-22602B3B01DA}"/>
    <hyperlink ref="F1247" r:id="rId1255" display="Certificado Titularidad/RANDYS MIGUEL NIEBLES HURTADO.pdf" xr:uid="{F6D5AE2B-B409-4F06-86D6-144026FD1AA0}"/>
    <hyperlink ref="F1280" r:id="rId1256" display="Certificado Titularidad/ROBERTO CASTILLA JIMENEZ.pdf" xr:uid="{B8A08DAE-90AA-4C6B-9F7C-C47DF1BDC9DD}"/>
    <hyperlink ref="F1438" r:id="rId1257" display="Certificado Titularidad/YEFERSON DANIEL NEIRA ESPINOSA.pdf" xr:uid="{15CE5F49-B2B5-47BC-B626-9DA9AC42C9A3}"/>
    <hyperlink ref="F1444" r:id="rId1258" display="Certificado Titularidad/YEISON HUGO ANGEL CALDERON.pdf" xr:uid="{6C174282-5A15-4CD3-AA4C-38019C8D14F3}"/>
    <hyperlink ref="F1453" r:id="rId1259" display="Certificado Titularidad/YIMIS ALFREDO FERNANDEZ PENA.pdf" xr:uid="{956589F6-CAB2-42DA-AE6B-8070EC28F4A1}"/>
    <hyperlink ref="F24" r:id="rId1260" display="Certificado Titularidad/ALBERTO RICHELLI DA SILVA.pdf" xr:uid="{360E7378-5471-4D76-8F89-DBC623749836}"/>
    <hyperlink ref="F25" r:id="rId1261" display="Certificado Titularidad/ALDEMAR DOMINGUEZ CERCADO.pdf" xr:uid="{17F87925-94C2-448F-B552-BA613984CCA0}"/>
    <hyperlink ref="F226" r:id="rId1262" display="Certificado Titularidad/CLAUDEMIR DO NASCIMENTO FURTADO.pdf" xr:uid="{318D6005-4B1F-472A-91C0-D8A18B1E37FB}"/>
    <hyperlink ref="F108" r:id="rId1263" display="Certificado Titularidad/ANTONY ALEXANDER HERNANDEZ CHIRINOS.pdf" xr:uid="{1A1F162B-B085-46CE-BB83-4AA2A400456A}"/>
    <hyperlink ref="F907" r:id="rId1264" display="Certificado Titularidad/JUAN CARLOS TORRES LEON.pdf" xr:uid="{E491A4C9-C57D-4C06-8B9B-4892E043553F}"/>
    <hyperlink ref="F1156" r:id="rId1265" display="Certificado Titularidad/NESTOR JAVIER BARRIOS PENA.pdf" xr:uid="{CF398E0D-DA9E-434D-A3BB-E13623FD3CAE}"/>
    <hyperlink ref="F994" r:id="rId1266" display="Certificado Titularidad/LUCAS VINICIUS FRANCO NOVAKOWSKI.pdf" xr:uid="{6F9303AA-EE52-44B7-9831-5F7B6C1D1490}"/>
    <hyperlink ref="F1020" r:id="rId1267" display="Certificado Titularidad/LUIS DIOMEDES RODRIGUEZ USTARIS.pdf" xr:uid="{2350ED0B-972E-4E68-829A-93AAAD31C3BF}"/>
    <hyperlink ref="H1020" r:id="rId1268" display="Documentos firmados cambio/LUIS DIOMEDES RODRIGUEZ USTARIS.pdf" xr:uid="{63FC87DB-965E-4A61-B137-753B4DFD8C4B}"/>
    <hyperlink ref="F95" r:id="rId1269" display="Certificado Titularidad/ANGEL RAFAEL DIAZ GUTIERREZ.pdf" xr:uid="{F9EBF68D-2BA5-43D4-B683-AF6649A522D2}"/>
    <hyperlink ref="F786" r:id="rId1270" display="Certificado Titularidad/JONNY ENRIQUE CURA VARGAS.pdf" xr:uid="{BF8A8F09-F2B2-4BFC-9639-09881A69A286}"/>
    <hyperlink ref="F241" r:id="rId1271" display="Certificado Titularidad/CRISTIAN RAFAEL ORDONEZ AGUIRRE.pdf" xr:uid="{8F14544C-883F-440C-BBB4-246A13516B3F}"/>
    <hyperlink ref="F1026" r:id="rId1272" display="Certificado Titularidad/LUIS ENRIQUE LOPEZ CRESPO.pdf" xr:uid="{D1CB36B5-D73A-4F14-A4B6-4787DB3DF1C7}"/>
    <hyperlink ref="F684" r:id="rId1273" display="Certificado Titularidad/JEISON ALEXANDER GONZALEZ FARFAN.pdf" xr:uid="{70113285-C6C7-4351-88B0-B40E1CDF1771}"/>
    <hyperlink ref="F1029" r:id="rId1274" display="Certificado Titularidad/LUIS FELIPE TRILLOS NAVARRO.pdf" xr:uid="{CA281481-52F5-4CDD-A82F-D07E1F193D40}"/>
    <hyperlink ref="F380" r:id="rId1275" display="Certificado Titularidad/EISON RAFAEL IBARRA SIERRA.pdf" xr:uid="{AA7B8116-ECE5-4CE3-BE1E-523E2067A00F}"/>
    <hyperlink ref="F1175" r:id="rId1276" display="Certificado Titularidad/OLMEDO ARIEL HERNANDEZ GONZALEZ.pdf" xr:uid="{1D94DD4D-EDAF-4C7D-902F-B864E0B5AB21}"/>
    <hyperlink ref="F1264" r:id="rId1277" display="Certificado Titularidad/RICHARD ANDERSON RUIZ BARRETO.pdf" xr:uid="{DFF1E14A-2F2F-4AB3-9ADD-E8DC4C069F30}"/>
    <hyperlink ref="F822" r:id="rId1278" display="Certificado Titularidad/JOSE ALEXANDER CALDERON AGUDELO.pdf" xr:uid="{02E92A96-F86D-464D-87DE-D027389AA146}"/>
    <hyperlink ref="F158" r:id="rId1279" display="Certificado Titularidad/CARLOS ALBERTO CARDONA YAIMA.pdf" xr:uid="{6E4FF04B-9202-47C0-AE8D-F28F440FA2EE}"/>
    <hyperlink ref="F1217" r:id="rId1280" display="Certificado Titularidad/PEDRO ALEXANDER ROJAS RODRIGUEZ.pdf" xr:uid="{8D47636B-065D-44D9-BFE2-87AA0EC1C009}"/>
    <hyperlink ref="H1463" r:id="rId1281" display="Certificado Titularidad/YORVY RAFAEL MARTINEZ ROMERO.pdf" xr:uid="{BBB75769-30AB-4E05-896E-4E1701B0FF23}"/>
    <hyperlink ref="H1016" r:id="rId1282" display="Documentos firmados cambio/LUIS ANTONIO SOTO VIDAL.pdf" xr:uid="{07267A37-34BF-4200-BE4C-860C5D5A2466}"/>
    <hyperlink ref="F1125" r:id="rId1283" display="Certificado Titularidad/MILTON JONATHAN OSORIO MARTINEZ.pdf" xr:uid="{C4E861C3-15F2-45A3-B6CD-D7C0FA396D46}"/>
  </hyperlinks>
  <pageMargins left="0.7" right="0.7" top="0.75" bottom="0.75" header="0.3" footer="0.3"/>
  <pageSetup paperSize="9" orientation="portrait" r:id="rId1284"/>
  <drawing r:id="rId1285"/>
  <tableParts count="1">
    <tablePart r:id="rId128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50435D-92F2-4649-871D-731740AC483D}">
          <x14:formula1>
            <xm:f>'Colaborador ID'!$B$2:$B$1048576</xm:f>
          </x14:formula1>
          <xm:sqref>C917:C1181 C4:C915 J60 C1184:C1435 C1437:C1048576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542B-11BA-44F1-B2F1-32C78459015F}">
  <sheetPr codeName="Hoja3"/>
  <dimension ref="B1:C1989"/>
  <sheetViews>
    <sheetView showGridLines="0" topLeftCell="A1917" workbookViewId="0">
      <selection activeCell="B1949" sqref="B1949"/>
    </sheetView>
  </sheetViews>
  <sheetFormatPr defaultColWidth="11.44140625" defaultRowHeight="14.4" x14ac:dyDescent="0.3"/>
  <cols>
    <col min="2" max="2" width="45.6640625" bestFit="1" customWidth="1"/>
    <col min="3" max="3" width="14.88671875" bestFit="1" customWidth="1"/>
  </cols>
  <sheetData>
    <row r="1" spans="2:3" x14ac:dyDescent="0.3">
      <c r="B1" s="50" t="s">
        <v>2821</v>
      </c>
      <c r="C1" s="50" t="s">
        <v>2822</v>
      </c>
    </row>
    <row r="2" spans="2:3" x14ac:dyDescent="0.3">
      <c r="B2" t="s">
        <v>2823</v>
      </c>
      <c r="C2" t="s">
        <v>2824</v>
      </c>
    </row>
    <row r="3" spans="2:3" x14ac:dyDescent="0.3">
      <c r="B3" t="s">
        <v>11</v>
      </c>
      <c r="C3" t="s">
        <v>2825</v>
      </c>
    </row>
    <row r="4" spans="2:3" x14ac:dyDescent="0.3">
      <c r="B4" t="s">
        <v>2826</v>
      </c>
      <c r="C4" t="s">
        <v>2827</v>
      </c>
    </row>
    <row r="5" spans="2:3" x14ac:dyDescent="0.3">
      <c r="B5" t="s">
        <v>14</v>
      </c>
      <c r="C5" t="s">
        <v>2828</v>
      </c>
    </row>
    <row r="6" spans="2:3" x14ac:dyDescent="0.3">
      <c r="B6" t="s">
        <v>17</v>
      </c>
      <c r="C6" t="s">
        <v>2829</v>
      </c>
    </row>
    <row r="7" spans="2:3" x14ac:dyDescent="0.3">
      <c r="B7" t="s">
        <v>20</v>
      </c>
      <c r="C7" t="s">
        <v>2830</v>
      </c>
    </row>
    <row r="8" spans="2:3" x14ac:dyDescent="0.3">
      <c r="B8" t="s">
        <v>23</v>
      </c>
      <c r="C8" t="s">
        <v>2831</v>
      </c>
    </row>
    <row r="9" spans="2:3" x14ac:dyDescent="0.3">
      <c r="B9" t="s">
        <v>25</v>
      </c>
      <c r="C9" t="s">
        <v>2832</v>
      </c>
    </row>
    <row r="10" spans="2:3" x14ac:dyDescent="0.3">
      <c r="B10" t="s">
        <v>2833</v>
      </c>
      <c r="C10" t="s">
        <v>2834</v>
      </c>
    </row>
    <row r="11" spans="2:3" x14ac:dyDescent="0.3">
      <c r="B11" t="s">
        <v>27</v>
      </c>
      <c r="C11" t="s">
        <v>2835</v>
      </c>
    </row>
    <row r="12" spans="2:3" x14ac:dyDescent="0.3">
      <c r="B12" t="s">
        <v>29</v>
      </c>
      <c r="C12" t="s">
        <v>2836</v>
      </c>
    </row>
    <row r="13" spans="2:3" x14ac:dyDescent="0.3">
      <c r="B13" t="s">
        <v>2837</v>
      </c>
      <c r="C13" t="s">
        <v>2838</v>
      </c>
    </row>
    <row r="14" spans="2:3" x14ac:dyDescent="0.3">
      <c r="B14" t="s">
        <v>2839</v>
      </c>
      <c r="C14" t="s">
        <v>2840</v>
      </c>
    </row>
    <row r="15" spans="2:3" x14ac:dyDescent="0.3">
      <c r="B15" t="s">
        <v>31</v>
      </c>
      <c r="C15" t="s">
        <v>2841</v>
      </c>
    </row>
    <row r="16" spans="2:3" x14ac:dyDescent="0.3">
      <c r="B16" t="s">
        <v>5432</v>
      </c>
      <c r="C16" t="s">
        <v>2842</v>
      </c>
    </row>
    <row r="17" spans="2:3" x14ac:dyDescent="0.3">
      <c r="B17" t="s">
        <v>36</v>
      </c>
      <c r="C17" t="s">
        <v>2843</v>
      </c>
    </row>
    <row r="18" spans="2:3" x14ac:dyDescent="0.3">
      <c r="B18" t="s">
        <v>38</v>
      </c>
      <c r="C18" t="s">
        <v>2844</v>
      </c>
    </row>
    <row r="19" spans="2:3" x14ac:dyDescent="0.3">
      <c r="B19" t="s">
        <v>41</v>
      </c>
      <c r="C19" t="s">
        <v>2845</v>
      </c>
    </row>
    <row r="20" spans="2:3" x14ac:dyDescent="0.3">
      <c r="B20" t="s">
        <v>43</v>
      </c>
      <c r="C20" t="s">
        <v>2846</v>
      </c>
    </row>
    <row r="21" spans="2:3" x14ac:dyDescent="0.3">
      <c r="B21" t="s">
        <v>46</v>
      </c>
      <c r="C21" t="s">
        <v>2847</v>
      </c>
    </row>
    <row r="22" spans="2:3" x14ac:dyDescent="0.3">
      <c r="B22" t="s">
        <v>2848</v>
      </c>
      <c r="C22" t="s">
        <v>2849</v>
      </c>
    </row>
    <row r="23" spans="2:3" x14ac:dyDescent="0.3">
      <c r="B23" t="s">
        <v>48</v>
      </c>
      <c r="C23" t="s">
        <v>2850</v>
      </c>
    </row>
    <row r="24" spans="2:3" x14ac:dyDescent="0.3">
      <c r="B24" t="s">
        <v>50</v>
      </c>
      <c r="C24" t="s">
        <v>2851</v>
      </c>
    </row>
    <row r="25" spans="2:3" x14ac:dyDescent="0.3">
      <c r="B25" t="s">
        <v>52</v>
      </c>
      <c r="C25" t="s">
        <v>2852</v>
      </c>
    </row>
    <row r="26" spans="2:3" x14ac:dyDescent="0.3">
      <c r="B26" t="s">
        <v>54</v>
      </c>
      <c r="C26" t="s">
        <v>2853</v>
      </c>
    </row>
    <row r="27" spans="2:3" x14ac:dyDescent="0.3">
      <c r="B27" t="s">
        <v>55</v>
      </c>
      <c r="C27" t="s">
        <v>2854</v>
      </c>
    </row>
    <row r="28" spans="2:3" x14ac:dyDescent="0.3">
      <c r="B28" t="s">
        <v>5450</v>
      </c>
      <c r="C28" t="s">
        <v>5451</v>
      </c>
    </row>
    <row r="29" spans="2:3" x14ac:dyDescent="0.3">
      <c r="B29" t="s">
        <v>2855</v>
      </c>
      <c r="C29" t="s">
        <v>2856</v>
      </c>
    </row>
    <row r="30" spans="2:3" x14ac:dyDescent="0.3">
      <c r="B30" t="s">
        <v>5389</v>
      </c>
      <c r="C30" t="s">
        <v>5390</v>
      </c>
    </row>
    <row r="31" spans="2:3" x14ac:dyDescent="0.3">
      <c r="B31" t="s">
        <v>57</v>
      </c>
      <c r="C31" t="s">
        <v>2857</v>
      </c>
    </row>
    <row r="32" spans="2:3" x14ac:dyDescent="0.3">
      <c r="B32" t="s">
        <v>59</v>
      </c>
      <c r="C32" t="s">
        <v>2858</v>
      </c>
    </row>
    <row r="33" spans="2:3" x14ac:dyDescent="0.3">
      <c r="B33" t="s">
        <v>2859</v>
      </c>
      <c r="C33" t="s">
        <v>2860</v>
      </c>
    </row>
    <row r="34" spans="2:3" x14ac:dyDescent="0.3">
      <c r="B34" t="s">
        <v>61</v>
      </c>
      <c r="C34" t="s">
        <v>2861</v>
      </c>
    </row>
    <row r="35" spans="2:3" x14ac:dyDescent="0.3">
      <c r="B35" t="s">
        <v>63</v>
      </c>
      <c r="C35" t="s">
        <v>2862</v>
      </c>
    </row>
    <row r="36" spans="2:3" x14ac:dyDescent="0.3">
      <c r="B36" t="s">
        <v>65</v>
      </c>
      <c r="C36" t="s">
        <v>2863</v>
      </c>
    </row>
    <row r="37" spans="2:3" x14ac:dyDescent="0.3">
      <c r="B37" t="s">
        <v>67</v>
      </c>
      <c r="C37" t="s">
        <v>2864</v>
      </c>
    </row>
    <row r="38" spans="2:3" x14ac:dyDescent="0.3">
      <c r="B38" t="s">
        <v>69</v>
      </c>
      <c r="C38" t="s">
        <v>2865</v>
      </c>
    </row>
    <row r="39" spans="2:3" x14ac:dyDescent="0.3">
      <c r="B39" t="s">
        <v>71</v>
      </c>
      <c r="C39" t="s">
        <v>2866</v>
      </c>
    </row>
    <row r="40" spans="2:3" x14ac:dyDescent="0.3">
      <c r="B40" t="s">
        <v>2867</v>
      </c>
      <c r="C40" t="s">
        <v>2868</v>
      </c>
    </row>
    <row r="41" spans="2:3" x14ac:dyDescent="0.3">
      <c r="B41" t="s">
        <v>2869</v>
      </c>
      <c r="C41" t="s">
        <v>2870</v>
      </c>
    </row>
    <row r="42" spans="2:3" x14ac:dyDescent="0.3">
      <c r="B42" t="s">
        <v>73</v>
      </c>
      <c r="C42" t="s">
        <v>2871</v>
      </c>
    </row>
    <row r="43" spans="2:3" x14ac:dyDescent="0.3">
      <c r="B43" t="s">
        <v>75</v>
      </c>
      <c r="C43" t="s">
        <v>2872</v>
      </c>
    </row>
    <row r="44" spans="2:3" x14ac:dyDescent="0.3">
      <c r="B44" t="s">
        <v>77</v>
      </c>
      <c r="C44" t="s">
        <v>2873</v>
      </c>
    </row>
    <row r="45" spans="2:3" x14ac:dyDescent="0.3">
      <c r="B45" t="s">
        <v>79</v>
      </c>
      <c r="C45" t="s">
        <v>2874</v>
      </c>
    </row>
    <row r="46" spans="2:3" x14ac:dyDescent="0.3">
      <c r="B46" t="s">
        <v>81</v>
      </c>
      <c r="C46" t="s">
        <v>2875</v>
      </c>
    </row>
    <row r="47" spans="2:3" x14ac:dyDescent="0.3">
      <c r="B47" t="s">
        <v>84</v>
      </c>
      <c r="C47" t="s">
        <v>2876</v>
      </c>
    </row>
    <row r="48" spans="2:3" x14ac:dyDescent="0.3">
      <c r="B48" t="s">
        <v>86</v>
      </c>
      <c r="C48" t="s">
        <v>2877</v>
      </c>
    </row>
    <row r="49" spans="2:3" x14ac:dyDescent="0.3">
      <c r="B49" t="s">
        <v>2878</v>
      </c>
      <c r="C49" t="s">
        <v>2879</v>
      </c>
    </row>
    <row r="50" spans="2:3" x14ac:dyDescent="0.3">
      <c r="B50" t="s">
        <v>88</v>
      </c>
      <c r="C50" t="s">
        <v>2880</v>
      </c>
    </row>
    <row r="51" spans="2:3" x14ac:dyDescent="0.3">
      <c r="B51" t="s">
        <v>90</v>
      </c>
      <c r="C51" t="s">
        <v>2881</v>
      </c>
    </row>
    <row r="52" spans="2:3" x14ac:dyDescent="0.3">
      <c r="B52" t="s">
        <v>92</v>
      </c>
      <c r="C52" t="s">
        <v>2882</v>
      </c>
    </row>
    <row r="53" spans="2:3" x14ac:dyDescent="0.3">
      <c r="B53" t="s">
        <v>2883</v>
      </c>
      <c r="C53" t="s">
        <v>2884</v>
      </c>
    </row>
    <row r="54" spans="2:3" x14ac:dyDescent="0.3">
      <c r="B54" t="s">
        <v>2885</v>
      </c>
      <c r="C54" t="s">
        <v>2886</v>
      </c>
    </row>
    <row r="55" spans="2:3" x14ac:dyDescent="0.3">
      <c r="B55" t="s">
        <v>5349</v>
      </c>
      <c r="C55" t="s">
        <v>5350</v>
      </c>
    </row>
    <row r="56" spans="2:3" x14ac:dyDescent="0.3">
      <c r="B56" t="s">
        <v>2887</v>
      </c>
      <c r="C56" t="s">
        <v>2888</v>
      </c>
    </row>
    <row r="57" spans="2:3" x14ac:dyDescent="0.3">
      <c r="B57" t="s">
        <v>94</v>
      </c>
      <c r="C57" t="s">
        <v>2889</v>
      </c>
    </row>
    <row r="58" spans="2:3" x14ac:dyDescent="0.3">
      <c r="B58" t="s">
        <v>98</v>
      </c>
      <c r="C58" t="s">
        <v>2890</v>
      </c>
    </row>
    <row r="59" spans="2:3" x14ac:dyDescent="0.3">
      <c r="B59" t="s">
        <v>100</v>
      </c>
      <c r="C59" t="s">
        <v>2891</v>
      </c>
    </row>
    <row r="60" spans="2:3" x14ac:dyDescent="0.3">
      <c r="B60" t="s">
        <v>102</v>
      </c>
      <c r="C60" t="s">
        <v>2892</v>
      </c>
    </row>
    <row r="61" spans="2:3" x14ac:dyDescent="0.3">
      <c r="B61" t="s">
        <v>2893</v>
      </c>
      <c r="C61" t="s">
        <v>2894</v>
      </c>
    </row>
    <row r="62" spans="2:3" x14ac:dyDescent="0.3">
      <c r="B62" t="s">
        <v>2895</v>
      </c>
      <c r="C62" t="s">
        <v>2896</v>
      </c>
    </row>
    <row r="63" spans="2:3" x14ac:dyDescent="0.3">
      <c r="B63" t="s">
        <v>5303</v>
      </c>
      <c r="C63" t="s">
        <v>5304</v>
      </c>
    </row>
    <row r="64" spans="2:3" x14ac:dyDescent="0.3">
      <c r="B64" t="s">
        <v>2897</v>
      </c>
      <c r="C64" t="s">
        <v>2898</v>
      </c>
    </row>
    <row r="65" spans="2:3" x14ac:dyDescent="0.3">
      <c r="B65" t="s">
        <v>105</v>
      </c>
      <c r="C65" t="s">
        <v>2899</v>
      </c>
    </row>
    <row r="66" spans="2:3" x14ac:dyDescent="0.3">
      <c r="B66" t="s">
        <v>2900</v>
      </c>
      <c r="C66" t="s">
        <v>2901</v>
      </c>
    </row>
    <row r="67" spans="2:3" x14ac:dyDescent="0.3">
      <c r="B67" t="s">
        <v>2902</v>
      </c>
      <c r="C67" t="s">
        <v>2903</v>
      </c>
    </row>
    <row r="68" spans="2:3" x14ac:dyDescent="0.3">
      <c r="B68" t="s">
        <v>107</v>
      </c>
      <c r="C68" t="s">
        <v>2904</v>
      </c>
    </row>
    <row r="69" spans="2:3" x14ac:dyDescent="0.3">
      <c r="B69" t="s">
        <v>109</v>
      </c>
      <c r="C69" t="s">
        <v>2905</v>
      </c>
    </row>
    <row r="70" spans="2:3" x14ac:dyDescent="0.3">
      <c r="B70" t="s">
        <v>2906</v>
      </c>
      <c r="C70" t="s">
        <v>2907</v>
      </c>
    </row>
    <row r="71" spans="2:3" x14ac:dyDescent="0.3">
      <c r="B71" t="s">
        <v>111</v>
      </c>
      <c r="C71" t="s">
        <v>2908</v>
      </c>
    </row>
    <row r="72" spans="2:3" x14ac:dyDescent="0.3">
      <c r="B72" t="s">
        <v>113</v>
      </c>
      <c r="C72" t="s">
        <v>2909</v>
      </c>
    </row>
    <row r="73" spans="2:3" x14ac:dyDescent="0.3">
      <c r="B73" t="s">
        <v>2910</v>
      </c>
      <c r="C73" t="s">
        <v>2911</v>
      </c>
    </row>
    <row r="74" spans="2:3" x14ac:dyDescent="0.3">
      <c r="B74" t="s">
        <v>2912</v>
      </c>
      <c r="C74" t="s">
        <v>2913</v>
      </c>
    </row>
    <row r="75" spans="2:3" x14ac:dyDescent="0.3">
      <c r="B75" t="s">
        <v>115</v>
      </c>
      <c r="C75" t="s">
        <v>2914</v>
      </c>
    </row>
    <row r="76" spans="2:3" x14ac:dyDescent="0.3">
      <c r="B76" t="s">
        <v>117</v>
      </c>
      <c r="C76" t="s">
        <v>2915</v>
      </c>
    </row>
    <row r="77" spans="2:3" x14ac:dyDescent="0.3">
      <c r="B77" t="s">
        <v>120</v>
      </c>
      <c r="C77" t="s">
        <v>2916</v>
      </c>
    </row>
    <row r="78" spans="2:3" x14ac:dyDescent="0.3">
      <c r="B78" t="s">
        <v>122</v>
      </c>
      <c r="C78" t="s">
        <v>2917</v>
      </c>
    </row>
    <row r="79" spans="2:3" x14ac:dyDescent="0.3">
      <c r="B79" t="s">
        <v>124</v>
      </c>
      <c r="C79" t="s">
        <v>2918</v>
      </c>
    </row>
    <row r="80" spans="2:3" x14ac:dyDescent="0.3">
      <c r="B80" t="s">
        <v>126</v>
      </c>
      <c r="C80" t="s">
        <v>2919</v>
      </c>
    </row>
    <row r="81" spans="2:3" x14ac:dyDescent="0.3">
      <c r="B81" t="s">
        <v>2920</v>
      </c>
      <c r="C81" t="s">
        <v>2921</v>
      </c>
    </row>
    <row r="82" spans="2:3" x14ac:dyDescent="0.3">
      <c r="B82" t="s">
        <v>128</v>
      </c>
      <c r="C82" t="s">
        <v>2922</v>
      </c>
    </row>
    <row r="83" spans="2:3" x14ac:dyDescent="0.3">
      <c r="B83" t="s">
        <v>129</v>
      </c>
      <c r="C83" t="s">
        <v>2923</v>
      </c>
    </row>
    <row r="84" spans="2:3" x14ac:dyDescent="0.3">
      <c r="B84" t="s">
        <v>131</v>
      </c>
      <c r="C84" t="s">
        <v>2924</v>
      </c>
    </row>
    <row r="85" spans="2:3" x14ac:dyDescent="0.3">
      <c r="B85" t="s">
        <v>133</v>
      </c>
      <c r="C85" t="s">
        <v>5376</v>
      </c>
    </row>
    <row r="86" spans="2:3" x14ac:dyDescent="0.3">
      <c r="B86" t="s">
        <v>135</v>
      </c>
      <c r="C86" t="s">
        <v>2925</v>
      </c>
    </row>
    <row r="87" spans="2:3" x14ac:dyDescent="0.3">
      <c r="B87" t="s">
        <v>137</v>
      </c>
      <c r="C87" t="s">
        <v>2926</v>
      </c>
    </row>
    <row r="88" spans="2:3" x14ac:dyDescent="0.3">
      <c r="B88" t="s">
        <v>2927</v>
      </c>
      <c r="C88" t="s">
        <v>2928</v>
      </c>
    </row>
    <row r="89" spans="2:3" x14ac:dyDescent="0.3">
      <c r="B89" t="s">
        <v>139</v>
      </c>
      <c r="C89" t="s">
        <v>2929</v>
      </c>
    </row>
    <row r="90" spans="2:3" x14ac:dyDescent="0.3">
      <c r="B90" t="s">
        <v>140</v>
      </c>
      <c r="C90" t="s">
        <v>2930</v>
      </c>
    </row>
    <row r="91" spans="2:3" x14ac:dyDescent="0.3">
      <c r="B91" t="s">
        <v>142</v>
      </c>
      <c r="C91" t="s">
        <v>2931</v>
      </c>
    </row>
    <row r="92" spans="2:3" x14ac:dyDescent="0.3">
      <c r="B92" t="s">
        <v>144</v>
      </c>
      <c r="C92" t="s">
        <v>2932</v>
      </c>
    </row>
    <row r="93" spans="2:3" x14ac:dyDescent="0.3">
      <c r="B93" t="s">
        <v>146</v>
      </c>
      <c r="C93" t="s">
        <v>2933</v>
      </c>
    </row>
    <row r="94" spans="2:3" x14ac:dyDescent="0.3">
      <c r="B94" t="s">
        <v>148</v>
      </c>
      <c r="C94" t="s">
        <v>2934</v>
      </c>
    </row>
    <row r="95" spans="2:3" x14ac:dyDescent="0.3">
      <c r="B95" t="s">
        <v>2935</v>
      </c>
      <c r="C95" t="s">
        <v>2936</v>
      </c>
    </row>
    <row r="96" spans="2:3" x14ac:dyDescent="0.3">
      <c r="B96" t="s">
        <v>152</v>
      </c>
      <c r="C96" t="s">
        <v>2937</v>
      </c>
    </row>
    <row r="97" spans="2:3" x14ac:dyDescent="0.3">
      <c r="B97" t="s">
        <v>154</v>
      </c>
      <c r="C97" t="s">
        <v>2938</v>
      </c>
    </row>
    <row r="98" spans="2:3" x14ac:dyDescent="0.3">
      <c r="B98" t="s">
        <v>156</v>
      </c>
      <c r="C98" t="s">
        <v>2939</v>
      </c>
    </row>
    <row r="99" spans="2:3" x14ac:dyDescent="0.3">
      <c r="B99" t="s">
        <v>2940</v>
      </c>
      <c r="C99" t="s">
        <v>2941</v>
      </c>
    </row>
    <row r="100" spans="2:3" x14ac:dyDescent="0.3">
      <c r="B100" t="s">
        <v>159</v>
      </c>
      <c r="C100" t="s">
        <v>2942</v>
      </c>
    </row>
    <row r="101" spans="2:3" x14ac:dyDescent="0.3">
      <c r="B101" t="s">
        <v>160</v>
      </c>
      <c r="C101" t="s">
        <v>2943</v>
      </c>
    </row>
    <row r="102" spans="2:3" x14ac:dyDescent="0.3">
      <c r="B102" t="s">
        <v>2944</v>
      </c>
      <c r="C102" t="s">
        <v>2945</v>
      </c>
    </row>
    <row r="103" spans="2:3" x14ac:dyDescent="0.3">
      <c r="B103" t="s">
        <v>162</v>
      </c>
      <c r="C103" t="s">
        <v>2946</v>
      </c>
    </row>
    <row r="104" spans="2:3" x14ac:dyDescent="0.3">
      <c r="B104" t="s">
        <v>2947</v>
      </c>
      <c r="C104" t="s">
        <v>2948</v>
      </c>
    </row>
    <row r="105" spans="2:3" x14ac:dyDescent="0.3">
      <c r="B105" t="s">
        <v>2949</v>
      </c>
      <c r="C105" t="s">
        <v>2950</v>
      </c>
    </row>
    <row r="106" spans="2:3" x14ac:dyDescent="0.3">
      <c r="B106" t="s">
        <v>164</v>
      </c>
      <c r="C106" t="s">
        <v>2951</v>
      </c>
    </row>
    <row r="107" spans="2:3" x14ac:dyDescent="0.3">
      <c r="B107" t="s">
        <v>166</v>
      </c>
      <c r="C107" t="s">
        <v>2952</v>
      </c>
    </row>
    <row r="108" spans="2:3" x14ac:dyDescent="0.3">
      <c r="B108" t="s">
        <v>2953</v>
      </c>
      <c r="C108" t="s">
        <v>2954</v>
      </c>
    </row>
    <row r="109" spans="2:3" x14ac:dyDescent="0.3">
      <c r="B109" t="s">
        <v>168</v>
      </c>
      <c r="C109" t="s">
        <v>2955</v>
      </c>
    </row>
    <row r="110" spans="2:3" x14ac:dyDescent="0.3">
      <c r="B110" t="s">
        <v>170</v>
      </c>
      <c r="C110" t="s">
        <v>2956</v>
      </c>
    </row>
    <row r="111" spans="2:3" x14ac:dyDescent="0.3">
      <c r="B111" t="s">
        <v>172</v>
      </c>
      <c r="C111" t="s">
        <v>2957</v>
      </c>
    </row>
    <row r="112" spans="2:3" x14ac:dyDescent="0.3">
      <c r="B112" t="s">
        <v>174</v>
      </c>
      <c r="C112" t="s">
        <v>2958</v>
      </c>
    </row>
    <row r="113" spans="2:3" x14ac:dyDescent="0.3">
      <c r="B113" t="s">
        <v>176</v>
      </c>
      <c r="C113" t="s">
        <v>2959</v>
      </c>
    </row>
    <row r="114" spans="2:3" x14ac:dyDescent="0.3">
      <c r="B114" t="s">
        <v>5479</v>
      </c>
      <c r="C114" t="s">
        <v>5480</v>
      </c>
    </row>
    <row r="115" spans="2:3" x14ac:dyDescent="0.3">
      <c r="B115" t="s">
        <v>180</v>
      </c>
      <c r="C115" t="s">
        <v>2960</v>
      </c>
    </row>
    <row r="116" spans="2:3" x14ac:dyDescent="0.3">
      <c r="B116" t="s">
        <v>182</v>
      </c>
      <c r="C116" t="s">
        <v>2961</v>
      </c>
    </row>
    <row r="117" spans="2:3" x14ac:dyDescent="0.3">
      <c r="B117" t="s">
        <v>184</v>
      </c>
      <c r="C117" t="s">
        <v>2962</v>
      </c>
    </row>
    <row r="118" spans="2:3" x14ac:dyDescent="0.3">
      <c r="B118" t="s">
        <v>186</v>
      </c>
      <c r="C118" t="s">
        <v>2963</v>
      </c>
    </row>
    <row r="119" spans="2:3" x14ac:dyDescent="0.3">
      <c r="B119" t="s">
        <v>187</v>
      </c>
      <c r="C119" t="s">
        <v>2964</v>
      </c>
    </row>
    <row r="120" spans="2:3" x14ac:dyDescent="0.3">
      <c r="B120" t="s">
        <v>5498</v>
      </c>
      <c r="C120" t="s">
        <v>5501</v>
      </c>
    </row>
    <row r="121" spans="2:3" x14ac:dyDescent="0.3">
      <c r="B121" t="s">
        <v>189</v>
      </c>
      <c r="C121" t="s">
        <v>2965</v>
      </c>
    </row>
    <row r="122" spans="2:3" x14ac:dyDescent="0.3">
      <c r="B122" t="s">
        <v>191</v>
      </c>
      <c r="C122" t="s">
        <v>2966</v>
      </c>
    </row>
    <row r="123" spans="2:3" x14ac:dyDescent="0.3">
      <c r="B123" t="s">
        <v>193</v>
      </c>
      <c r="C123" t="s">
        <v>2967</v>
      </c>
    </row>
    <row r="124" spans="2:3" x14ac:dyDescent="0.3">
      <c r="B124" t="s">
        <v>195</v>
      </c>
      <c r="C124" t="s">
        <v>2968</v>
      </c>
    </row>
    <row r="125" spans="2:3" x14ac:dyDescent="0.3">
      <c r="B125" t="s">
        <v>197</v>
      </c>
      <c r="C125" t="s">
        <v>2969</v>
      </c>
    </row>
    <row r="126" spans="2:3" x14ac:dyDescent="0.3">
      <c r="B126" t="s">
        <v>199</v>
      </c>
      <c r="C126" t="s">
        <v>2970</v>
      </c>
    </row>
    <row r="127" spans="2:3" x14ac:dyDescent="0.3">
      <c r="B127" t="s">
        <v>203</v>
      </c>
      <c r="C127" t="s">
        <v>2971</v>
      </c>
    </row>
    <row r="128" spans="2:3" x14ac:dyDescent="0.3">
      <c r="B128" t="s">
        <v>205</v>
      </c>
      <c r="C128" t="s">
        <v>2972</v>
      </c>
    </row>
    <row r="129" spans="2:3" x14ac:dyDescent="0.3">
      <c r="B129" t="s">
        <v>2973</v>
      </c>
      <c r="C129" t="s">
        <v>2974</v>
      </c>
    </row>
    <row r="130" spans="2:3" x14ac:dyDescent="0.3">
      <c r="B130" t="s">
        <v>207</v>
      </c>
      <c r="C130" t="s">
        <v>5415</v>
      </c>
    </row>
    <row r="131" spans="2:3" x14ac:dyDescent="0.3">
      <c r="B131" t="s">
        <v>211</v>
      </c>
      <c r="C131" t="s">
        <v>2975</v>
      </c>
    </row>
    <row r="132" spans="2:3" x14ac:dyDescent="0.3">
      <c r="B132" t="s">
        <v>5440</v>
      </c>
      <c r="C132" t="s">
        <v>5441</v>
      </c>
    </row>
    <row r="133" spans="2:3" x14ac:dyDescent="0.3">
      <c r="B133" t="s">
        <v>213</v>
      </c>
      <c r="C133" t="s">
        <v>2976</v>
      </c>
    </row>
    <row r="134" spans="2:3" x14ac:dyDescent="0.3">
      <c r="B134" t="s">
        <v>5301</v>
      </c>
      <c r="C134" t="s">
        <v>5302</v>
      </c>
    </row>
    <row r="135" spans="2:3" x14ac:dyDescent="0.3">
      <c r="B135" t="s">
        <v>215</v>
      </c>
      <c r="C135" t="s">
        <v>2977</v>
      </c>
    </row>
    <row r="136" spans="2:3" x14ac:dyDescent="0.3">
      <c r="B136" t="s">
        <v>2978</v>
      </c>
      <c r="C136" t="s">
        <v>2979</v>
      </c>
    </row>
    <row r="137" spans="2:3" x14ac:dyDescent="0.3">
      <c r="B137" t="s">
        <v>217</v>
      </c>
      <c r="C137" t="s">
        <v>2980</v>
      </c>
    </row>
    <row r="138" spans="2:3" x14ac:dyDescent="0.3">
      <c r="B138" t="s">
        <v>219</v>
      </c>
      <c r="C138" t="s">
        <v>2981</v>
      </c>
    </row>
    <row r="139" spans="2:3" x14ac:dyDescent="0.3">
      <c r="B139" t="s">
        <v>221</v>
      </c>
      <c r="C139" t="s">
        <v>2982</v>
      </c>
    </row>
    <row r="140" spans="2:3" x14ac:dyDescent="0.3">
      <c r="B140" t="s">
        <v>223</v>
      </c>
      <c r="C140" t="s">
        <v>2983</v>
      </c>
    </row>
    <row r="141" spans="2:3" x14ac:dyDescent="0.3">
      <c r="B141" t="s">
        <v>225</v>
      </c>
      <c r="C141" t="s">
        <v>2984</v>
      </c>
    </row>
    <row r="142" spans="2:3" x14ac:dyDescent="0.3">
      <c r="B142" t="s">
        <v>227</v>
      </c>
      <c r="C142" t="s">
        <v>2985</v>
      </c>
    </row>
    <row r="143" spans="2:3" x14ac:dyDescent="0.3">
      <c r="B143" t="s">
        <v>229</v>
      </c>
      <c r="C143" t="s">
        <v>2986</v>
      </c>
    </row>
    <row r="144" spans="2:3" x14ac:dyDescent="0.3">
      <c r="B144" t="s">
        <v>2987</v>
      </c>
      <c r="C144" t="s">
        <v>2988</v>
      </c>
    </row>
    <row r="145" spans="2:3" x14ac:dyDescent="0.3">
      <c r="B145" t="s">
        <v>235</v>
      </c>
      <c r="C145" t="s">
        <v>2989</v>
      </c>
    </row>
    <row r="146" spans="2:3" x14ac:dyDescent="0.3">
      <c r="B146" t="s">
        <v>236</v>
      </c>
      <c r="C146" t="s">
        <v>2990</v>
      </c>
    </row>
    <row r="147" spans="2:3" x14ac:dyDescent="0.3">
      <c r="B147" t="s">
        <v>238</v>
      </c>
      <c r="C147" t="s">
        <v>2991</v>
      </c>
    </row>
    <row r="148" spans="2:3" x14ac:dyDescent="0.3">
      <c r="B148" t="s">
        <v>5406</v>
      </c>
      <c r="C148" t="s">
        <v>5407</v>
      </c>
    </row>
    <row r="149" spans="2:3" x14ac:dyDescent="0.3">
      <c r="B149" t="s">
        <v>240</v>
      </c>
      <c r="C149" t="s">
        <v>2992</v>
      </c>
    </row>
    <row r="150" spans="2:3" x14ac:dyDescent="0.3">
      <c r="B150" t="s">
        <v>2993</v>
      </c>
      <c r="C150" t="s">
        <v>2994</v>
      </c>
    </row>
    <row r="151" spans="2:3" x14ac:dyDescent="0.3">
      <c r="B151" t="s">
        <v>242</v>
      </c>
      <c r="C151" t="s">
        <v>2995</v>
      </c>
    </row>
    <row r="152" spans="2:3" x14ac:dyDescent="0.3">
      <c r="B152" t="s">
        <v>244</v>
      </c>
      <c r="C152" t="s">
        <v>2996</v>
      </c>
    </row>
    <row r="153" spans="2:3" x14ac:dyDescent="0.3">
      <c r="B153" t="s">
        <v>246</v>
      </c>
      <c r="C153" t="s">
        <v>2997</v>
      </c>
    </row>
    <row r="154" spans="2:3" x14ac:dyDescent="0.3">
      <c r="B154" t="s">
        <v>2998</v>
      </c>
      <c r="C154" t="s">
        <v>2999</v>
      </c>
    </row>
    <row r="155" spans="2:3" x14ac:dyDescent="0.3">
      <c r="B155" t="s">
        <v>3000</v>
      </c>
      <c r="C155" t="s">
        <v>3001</v>
      </c>
    </row>
    <row r="156" spans="2:3" x14ac:dyDescent="0.3">
      <c r="B156" t="s">
        <v>248</v>
      </c>
      <c r="C156" t="s">
        <v>3002</v>
      </c>
    </row>
    <row r="157" spans="2:3" x14ac:dyDescent="0.3">
      <c r="B157" t="s">
        <v>3003</v>
      </c>
      <c r="C157" t="s">
        <v>3004</v>
      </c>
    </row>
    <row r="158" spans="2:3" x14ac:dyDescent="0.3">
      <c r="B158" t="s">
        <v>252</v>
      </c>
      <c r="C158" t="s">
        <v>3005</v>
      </c>
    </row>
    <row r="159" spans="2:3" x14ac:dyDescent="0.3">
      <c r="B159" t="s">
        <v>254</v>
      </c>
      <c r="C159" t="s">
        <v>3006</v>
      </c>
    </row>
    <row r="160" spans="2:3" x14ac:dyDescent="0.3">
      <c r="B160" t="s">
        <v>256</v>
      </c>
      <c r="C160" t="s">
        <v>3007</v>
      </c>
    </row>
    <row r="161" spans="2:3" x14ac:dyDescent="0.3">
      <c r="B161" t="s">
        <v>5359</v>
      </c>
      <c r="C161" t="s">
        <v>5360</v>
      </c>
    </row>
    <row r="162" spans="2:3" x14ac:dyDescent="0.3">
      <c r="B162" t="s">
        <v>258</v>
      </c>
      <c r="C162" t="s">
        <v>3008</v>
      </c>
    </row>
    <row r="163" spans="2:3" x14ac:dyDescent="0.3">
      <c r="B163" t="s">
        <v>3009</v>
      </c>
      <c r="C163" t="s">
        <v>3010</v>
      </c>
    </row>
    <row r="164" spans="2:3" x14ac:dyDescent="0.3">
      <c r="B164" t="s">
        <v>260</v>
      </c>
      <c r="C164" t="s">
        <v>3011</v>
      </c>
    </row>
    <row r="165" spans="2:3" x14ac:dyDescent="0.3">
      <c r="B165" t="s">
        <v>263</v>
      </c>
      <c r="C165" t="s">
        <v>3012</v>
      </c>
    </row>
    <row r="166" spans="2:3" x14ac:dyDescent="0.3">
      <c r="B166" t="s">
        <v>265</v>
      </c>
      <c r="C166" t="s">
        <v>3013</v>
      </c>
    </row>
    <row r="167" spans="2:3" x14ac:dyDescent="0.3">
      <c r="B167" t="s">
        <v>3014</v>
      </c>
      <c r="C167" t="s">
        <v>3015</v>
      </c>
    </row>
    <row r="168" spans="2:3" x14ac:dyDescent="0.3">
      <c r="B168" t="s">
        <v>267</v>
      </c>
      <c r="C168" t="s">
        <v>3016</v>
      </c>
    </row>
    <row r="169" spans="2:3" x14ac:dyDescent="0.3">
      <c r="B169" t="s">
        <v>3017</v>
      </c>
      <c r="C169" t="s">
        <v>3018</v>
      </c>
    </row>
    <row r="170" spans="2:3" x14ac:dyDescent="0.3">
      <c r="B170" t="s">
        <v>3019</v>
      </c>
      <c r="C170" t="s">
        <v>3020</v>
      </c>
    </row>
    <row r="171" spans="2:3" x14ac:dyDescent="0.3">
      <c r="B171" t="s">
        <v>269</v>
      </c>
      <c r="C171" t="s">
        <v>3021</v>
      </c>
    </row>
    <row r="172" spans="2:3" x14ac:dyDescent="0.3">
      <c r="B172" t="s">
        <v>3022</v>
      </c>
      <c r="C172" t="s">
        <v>3023</v>
      </c>
    </row>
    <row r="173" spans="2:3" x14ac:dyDescent="0.3">
      <c r="B173" t="s">
        <v>272</v>
      </c>
      <c r="C173" t="s">
        <v>3024</v>
      </c>
    </row>
    <row r="174" spans="2:3" x14ac:dyDescent="0.3">
      <c r="B174" t="s">
        <v>274</v>
      </c>
      <c r="C174" t="s">
        <v>3025</v>
      </c>
    </row>
    <row r="175" spans="2:3" x14ac:dyDescent="0.3">
      <c r="B175" t="s">
        <v>276</v>
      </c>
      <c r="C175" t="s">
        <v>3026</v>
      </c>
    </row>
    <row r="176" spans="2:3" x14ac:dyDescent="0.3">
      <c r="B176" t="s">
        <v>278</v>
      </c>
      <c r="C176" t="s">
        <v>3027</v>
      </c>
    </row>
    <row r="177" spans="2:3" x14ac:dyDescent="0.3">
      <c r="B177" t="s">
        <v>280</v>
      </c>
      <c r="C177" t="s">
        <v>3028</v>
      </c>
    </row>
    <row r="178" spans="2:3" x14ac:dyDescent="0.3">
      <c r="B178" t="s">
        <v>3029</v>
      </c>
      <c r="C178" t="s">
        <v>3030</v>
      </c>
    </row>
    <row r="179" spans="2:3" x14ac:dyDescent="0.3">
      <c r="B179" t="s">
        <v>3031</v>
      </c>
      <c r="C179" t="s">
        <v>3032</v>
      </c>
    </row>
    <row r="180" spans="2:3" x14ac:dyDescent="0.3">
      <c r="B180" t="s">
        <v>282</v>
      </c>
      <c r="C180" t="s">
        <v>3033</v>
      </c>
    </row>
    <row r="181" spans="2:3" x14ac:dyDescent="0.3">
      <c r="B181" t="s">
        <v>284</v>
      </c>
      <c r="C181" t="s">
        <v>3034</v>
      </c>
    </row>
    <row r="182" spans="2:3" x14ac:dyDescent="0.3">
      <c r="B182" t="s">
        <v>286</v>
      </c>
      <c r="C182" t="s">
        <v>3035</v>
      </c>
    </row>
    <row r="183" spans="2:3" x14ac:dyDescent="0.3">
      <c r="B183" t="s">
        <v>288</v>
      </c>
      <c r="C183" t="s">
        <v>3036</v>
      </c>
    </row>
    <row r="184" spans="2:3" x14ac:dyDescent="0.3">
      <c r="B184" t="s">
        <v>3037</v>
      </c>
      <c r="C184" t="s">
        <v>3038</v>
      </c>
    </row>
    <row r="185" spans="2:3" x14ac:dyDescent="0.3">
      <c r="B185" t="s">
        <v>291</v>
      </c>
      <c r="C185" t="s">
        <v>3039</v>
      </c>
    </row>
    <row r="186" spans="2:3" x14ac:dyDescent="0.3">
      <c r="B186" t="s">
        <v>293</v>
      </c>
      <c r="C186" t="s">
        <v>3040</v>
      </c>
    </row>
    <row r="187" spans="2:3" x14ac:dyDescent="0.3">
      <c r="B187" t="s">
        <v>5338</v>
      </c>
      <c r="C187" t="s">
        <v>5339</v>
      </c>
    </row>
    <row r="188" spans="2:3" x14ac:dyDescent="0.3">
      <c r="B188" t="s">
        <v>295</v>
      </c>
      <c r="C188" t="s">
        <v>3041</v>
      </c>
    </row>
    <row r="189" spans="2:3" x14ac:dyDescent="0.3">
      <c r="B189" t="s">
        <v>3042</v>
      </c>
      <c r="C189" t="s">
        <v>3043</v>
      </c>
    </row>
    <row r="190" spans="2:3" x14ac:dyDescent="0.3">
      <c r="B190" t="s">
        <v>297</v>
      </c>
      <c r="C190" t="s">
        <v>3044</v>
      </c>
    </row>
    <row r="191" spans="2:3" x14ac:dyDescent="0.3">
      <c r="B191" t="s">
        <v>299</v>
      </c>
      <c r="C191" t="s">
        <v>3045</v>
      </c>
    </row>
    <row r="192" spans="2:3" x14ac:dyDescent="0.3">
      <c r="B192" t="s">
        <v>301</v>
      </c>
      <c r="C192" t="s">
        <v>3046</v>
      </c>
    </row>
    <row r="193" spans="2:3" x14ac:dyDescent="0.3">
      <c r="B193" t="s">
        <v>303</v>
      </c>
      <c r="C193" t="s">
        <v>3047</v>
      </c>
    </row>
    <row r="194" spans="2:3" x14ac:dyDescent="0.3">
      <c r="B194" t="s">
        <v>305</v>
      </c>
      <c r="C194" t="s">
        <v>3048</v>
      </c>
    </row>
    <row r="195" spans="2:3" x14ac:dyDescent="0.3">
      <c r="B195" t="s">
        <v>3049</v>
      </c>
      <c r="C195" t="s">
        <v>3050</v>
      </c>
    </row>
    <row r="196" spans="2:3" x14ac:dyDescent="0.3">
      <c r="B196" t="s">
        <v>307</v>
      </c>
      <c r="C196" t="s">
        <v>3051</v>
      </c>
    </row>
    <row r="197" spans="2:3" x14ac:dyDescent="0.3">
      <c r="B197" t="s">
        <v>309</v>
      </c>
      <c r="C197" t="s">
        <v>3052</v>
      </c>
    </row>
    <row r="198" spans="2:3" x14ac:dyDescent="0.3">
      <c r="B198" t="s">
        <v>311</v>
      </c>
      <c r="C198" t="s">
        <v>3053</v>
      </c>
    </row>
    <row r="199" spans="2:3" x14ac:dyDescent="0.3">
      <c r="B199" t="s">
        <v>5316</v>
      </c>
      <c r="C199" t="s">
        <v>3054</v>
      </c>
    </row>
    <row r="200" spans="2:3" x14ac:dyDescent="0.3">
      <c r="B200" t="s">
        <v>313</v>
      </c>
      <c r="C200" t="s">
        <v>3055</v>
      </c>
    </row>
    <row r="201" spans="2:3" x14ac:dyDescent="0.3">
      <c r="B201" t="s">
        <v>315</v>
      </c>
      <c r="C201" t="s">
        <v>3056</v>
      </c>
    </row>
    <row r="202" spans="2:3" x14ac:dyDescent="0.3">
      <c r="B202" t="s">
        <v>317</v>
      </c>
      <c r="C202" t="s">
        <v>3057</v>
      </c>
    </row>
    <row r="203" spans="2:3" x14ac:dyDescent="0.3">
      <c r="B203" t="s">
        <v>319</v>
      </c>
      <c r="C203" t="s">
        <v>3058</v>
      </c>
    </row>
    <row r="204" spans="2:3" x14ac:dyDescent="0.3">
      <c r="B204" t="s">
        <v>321</v>
      </c>
      <c r="C204" t="s">
        <v>3059</v>
      </c>
    </row>
    <row r="205" spans="2:3" x14ac:dyDescent="0.3">
      <c r="B205" t="s">
        <v>323</v>
      </c>
      <c r="C205" t="s">
        <v>3060</v>
      </c>
    </row>
    <row r="206" spans="2:3" x14ac:dyDescent="0.3">
      <c r="B206" t="s">
        <v>3061</v>
      </c>
      <c r="C206" t="s">
        <v>3062</v>
      </c>
    </row>
    <row r="207" spans="2:3" x14ac:dyDescent="0.3">
      <c r="B207" t="s">
        <v>325</v>
      </c>
      <c r="C207" t="s">
        <v>3063</v>
      </c>
    </row>
    <row r="208" spans="2:3" x14ac:dyDescent="0.3">
      <c r="B208" t="s">
        <v>5353</v>
      </c>
      <c r="C208" t="s">
        <v>5354</v>
      </c>
    </row>
    <row r="209" spans="2:3" x14ac:dyDescent="0.3">
      <c r="B209" t="s">
        <v>327</v>
      </c>
      <c r="C209" t="s">
        <v>3064</v>
      </c>
    </row>
    <row r="210" spans="2:3" x14ac:dyDescent="0.3">
      <c r="B210" t="s">
        <v>3065</v>
      </c>
      <c r="C210" t="s">
        <v>3066</v>
      </c>
    </row>
    <row r="211" spans="2:3" x14ac:dyDescent="0.3">
      <c r="B211" t="s">
        <v>329</v>
      </c>
      <c r="C211" t="s">
        <v>3067</v>
      </c>
    </row>
    <row r="212" spans="2:3" x14ac:dyDescent="0.3">
      <c r="B212" t="s">
        <v>331</v>
      </c>
      <c r="C212" t="s">
        <v>3068</v>
      </c>
    </row>
    <row r="213" spans="2:3" x14ac:dyDescent="0.3">
      <c r="B213" t="s">
        <v>333</v>
      </c>
      <c r="C213" t="s">
        <v>3069</v>
      </c>
    </row>
    <row r="214" spans="2:3" x14ac:dyDescent="0.3">
      <c r="B214" t="s">
        <v>335</v>
      </c>
      <c r="C214" t="s">
        <v>3070</v>
      </c>
    </row>
    <row r="215" spans="2:3" x14ac:dyDescent="0.3">
      <c r="B215" t="s">
        <v>337</v>
      </c>
      <c r="C215" t="s">
        <v>3071</v>
      </c>
    </row>
    <row r="216" spans="2:3" x14ac:dyDescent="0.3">
      <c r="B216" t="s">
        <v>339</v>
      </c>
      <c r="C216" t="s">
        <v>3072</v>
      </c>
    </row>
    <row r="217" spans="2:3" x14ac:dyDescent="0.3">
      <c r="B217" t="s">
        <v>341</v>
      </c>
      <c r="C217" t="s">
        <v>3073</v>
      </c>
    </row>
    <row r="218" spans="2:3" x14ac:dyDescent="0.3">
      <c r="B218" t="s">
        <v>343</v>
      </c>
      <c r="C218" t="s">
        <v>3074</v>
      </c>
    </row>
    <row r="219" spans="2:3" x14ac:dyDescent="0.3">
      <c r="B219" t="s">
        <v>345</v>
      </c>
      <c r="C219" t="s">
        <v>3075</v>
      </c>
    </row>
    <row r="220" spans="2:3" x14ac:dyDescent="0.3">
      <c r="B220" t="s">
        <v>347</v>
      </c>
      <c r="C220" t="s">
        <v>3076</v>
      </c>
    </row>
    <row r="221" spans="2:3" x14ac:dyDescent="0.3">
      <c r="B221" t="s">
        <v>349</v>
      </c>
      <c r="C221" t="s">
        <v>3077</v>
      </c>
    </row>
    <row r="222" spans="2:3" x14ac:dyDescent="0.3">
      <c r="B222" t="s">
        <v>3078</v>
      </c>
      <c r="C222" t="s">
        <v>3079</v>
      </c>
    </row>
    <row r="223" spans="2:3" x14ac:dyDescent="0.3">
      <c r="B223" t="s">
        <v>351</v>
      </c>
      <c r="C223" t="s">
        <v>3080</v>
      </c>
    </row>
    <row r="224" spans="2:3" x14ac:dyDescent="0.3">
      <c r="B224" t="s">
        <v>353</v>
      </c>
      <c r="C224" t="s">
        <v>3081</v>
      </c>
    </row>
    <row r="225" spans="2:3" x14ac:dyDescent="0.3">
      <c r="B225" t="s">
        <v>355</v>
      </c>
      <c r="C225" t="s">
        <v>3082</v>
      </c>
    </row>
    <row r="226" spans="2:3" x14ac:dyDescent="0.3">
      <c r="B226" t="s">
        <v>357</v>
      </c>
      <c r="C226" t="s">
        <v>3083</v>
      </c>
    </row>
    <row r="227" spans="2:3" x14ac:dyDescent="0.3">
      <c r="B227" t="s">
        <v>359</v>
      </c>
      <c r="C227" t="s">
        <v>3084</v>
      </c>
    </row>
    <row r="228" spans="2:3" x14ac:dyDescent="0.3">
      <c r="B228" t="s">
        <v>3085</v>
      </c>
      <c r="C228" t="s">
        <v>3086</v>
      </c>
    </row>
    <row r="229" spans="2:3" x14ac:dyDescent="0.3">
      <c r="B229" t="s">
        <v>361</v>
      </c>
      <c r="C229" t="s">
        <v>3087</v>
      </c>
    </row>
    <row r="230" spans="2:3" x14ac:dyDescent="0.3">
      <c r="B230" t="s">
        <v>363</v>
      </c>
      <c r="C230" t="s">
        <v>3088</v>
      </c>
    </row>
    <row r="231" spans="2:3" x14ac:dyDescent="0.3">
      <c r="B231" t="s">
        <v>365</v>
      </c>
      <c r="C231" t="s">
        <v>3089</v>
      </c>
    </row>
    <row r="232" spans="2:3" x14ac:dyDescent="0.3">
      <c r="B232" t="s">
        <v>3090</v>
      </c>
      <c r="C232" t="s">
        <v>3091</v>
      </c>
    </row>
    <row r="233" spans="2:3" x14ac:dyDescent="0.3">
      <c r="B233" t="s">
        <v>367</v>
      </c>
      <c r="C233" t="s">
        <v>3092</v>
      </c>
    </row>
    <row r="234" spans="2:3" x14ac:dyDescent="0.3">
      <c r="B234" t="s">
        <v>3093</v>
      </c>
      <c r="C234" t="s">
        <v>3094</v>
      </c>
    </row>
    <row r="235" spans="2:3" x14ac:dyDescent="0.3">
      <c r="B235" t="s">
        <v>369</v>
      </c>
      <c r="C235" t="s">
        <v>3095</v>
      </c>
    </row>
    <row r="236" spans="2:3" x14ac:dyDescent="0.3">
      <c r="B236" t="s">
        <v>3096</v>
      </c>
      <c r="C236" t="s">
        <v>3097</v>
      </c>
    </row>
    <row r="237" spans="2:3" x14ac:dyDescent="0.3">
      <c r="B237" t="s">
        <v>3098</v>
      </c>
      <c r="C237" t="s">
        <v>3099</v>
      </c>
    </row>
    <row r="238" spans="2:3" x14ac:dyDescent="0.3">
      <c r="B238" t="s">
        <v>371</v>
      </c>
      <c r="C238" t="s">
        <v>3100</v>
      </c>
    </row>
    <row r="239" spans="2:3" x14ac:dyDescent="0.3">
      <c r="B239" t="s">
        <v>3101</v>
      </c>
      <c r="C239" t="s">
        <v>3102</v>
      </c>
    </row>
    <row r="240" spans="2:3" x14ac:dyDescent="0.3">
      <c r="B240" t="s">
        <v>3103</v>
      </c>
      <c r="C240" t="s">
        <v>3104</v>
      </c>
    </row>
    <row r="241" spans="2:3" x14ac:dyDescent="0.3">
      <c r="B241" t="s">
        <v>373</v>
      </c>
      <c r="C241" t="s">
        <v>3105</v>
      </c>
    </row>
    <row r="242" spans="2:3" x14ac:dyDescent="0.3">
      <c r="B242" t="s">
        <v>5332</v>
      </c>
      <c r="C242" t="s">
        <v>3106</v>
      </c>
    </row>
    <row r="243" spans="2:3" x14ac:dyDescent="0.3">
      <c r="B243" t="s">
        <v>376</v>
      </c>
      <c r="C243" t="s">
        <v>3107</v>
      </c>
    </row>
    <row r="244" spans="2:3" x14ac:dyDescent="0.3">
      <c r="B244" t="s">
        <v>378</v>
      </c>
      <c r="C244" t="s">
        <v>3108</v>
      </c>
    </row>
    <row r="245" spans="2:3" x14ac:dyDescent="0.3">
      <c r="B245" t="s">
        <v>5340</v>
      </c>
      <c r="C245" t="s">
        <v>5341</v>
      </c>
    </row>
    <row r="246" spans="2:3" x14ac:dyDescent="0.3">
      <c r="B246" t="s">
        <v>380</v>
      </c>
      <c r="C246" t="s">
        <v>3109</v>
      </c>
    </row>
    <row r="247" spans="2:3" x14ac:dyDescent="0.3">
      <c r="B247" t="s">
        <v>382</v>
      </c>
      <c r="C247" t="s">
        <v>3110</v>
      </c>
    </row>
    <row r="248" spans="2:3" x14ac:dyDescent="0.3">
      <c r="B248" t="s">
        <v>384</v>
      </c>
      <c r="C248" t="s">
        <v>3111</v>
      </c>
    </row>
    <row r="249" spans="2:3" x14ac:dyDescent="0.3">
      <c r="B249" t="s">
        <v>386</v>
      </c>
      <c r="C249" t="s">
        <v>3112</v>
      </c>
    </row>
    <row r="250" spans="2:3" x14ac:dyDescent="0.3">
      <c r="B250" t="s">
        <v>387</v>
      </c>
      <c r="C250" t="s">
        <v>3113</v>
      </c>
    </row>
    <row r="251" spans="2:3" x14ac:dyDescent="0.3">
      <c r="B251" t="s">
        <v>389</v>
      </c>
      <c r="C251" t="s">
        <v>3114</v>
      </c>
    </row>
    <row r="252" spans="2:3" x14ac:dyDescent="0.3">
      <c r="B252" t="s">
        <v>391</v>
      </c>
      <c r="C252" t="s">
        <v>3115</v>
      </c>
    </row>
    <row r="253" spans="2:3" x14ac:dyDescent="0.3">
      <c r="B253" t="s">
        <v>3116</v>
      </c>
      <c r="C253" t="s">
        <v>3117</v>
      </c>
    </row>
    <row r="254" spans="2:3" x14ac:dyDescent="0.3">
      <c r="B254" t="s">
        <v>3118</v>
      </c>
      <c r="C254" t="s">
        <v>3119</v>
      </c>
    </row>
    <row r="255" spans="2:3" x14ac:dyDescent="0.3">
      <c r="B255" t="s">
        <v>393</v>
      </c>
      <c r="C255" t="s">
        <v>3120</v>
      </c>
    </row>
    <row r="256" spans="2:3" x14ac:dyDescent="0.3">
      <c r="B256" t="s">
        <v>3121</v>
      </c>
      <c r="C256" t="s">
        <v>3122</v>
      </c>
    </row>
    <row r="257" spans="2:3" x14ac:dyDescent="0.3">
      <c r="B257" t="s">
        <v>395</v>
      </c>
      <c r="C257" t="s">
        <v>3123</v>
      </c>
    </row>
    <row r="258" spans="2:3" x14ac:dyDescent="0.3">
      <c r="B258" t="s">
        <v>3124</v>
      </c>
      <c r="C258" t="s">
        <v>3125</v>
      </c>
    </row>
    <row r="259" spans="2:3" x14ac:dyDescent="0.3">
      <c r="B259" t="s">
        <v>3126</v>
      </c>
      <c r="C259" t="s">
        <v>3127</v>
      </c>
    </row>
    <row r="260" spans="2:3" x14ac:dyDescent="0.3">
      <c r="B260" t="s">
        <v>397</v>
      </c>
      <c r="C260" t="s">
        <v>3128</v>
      </c>
    </row>
    <row r="261" spans="2:3" x14ac:dyDescent="0.3">
      <c r="B261" t="s">
        <v>399</v>
      </c>
      <c r="C261" t="s">
        <v>3129</v>
      </c>
    </row>
    <row r="262" spans="2:3" x14ac:dyDescent="0.3">
      <c r="B262" t="s">
        <v>401</v>
      </c>
      <c r="C262" t="s">
        <v>3130</v>
      </c>
    </row>
    <row r="263" spans="2:3" x14ac:dyDescent="0.3">
      <c r="B263" t="s">
        <v>403</v>
      </c>
      <c r="C263" t="s">
        <v>3131</v>
      </c>
    </row>
    <row r="264" spans="2:3" x14ac:dyDescent="0.3">
      <c r="B264" t="s">
        <v>405</v>
      </c>
      <c r="C264" t="s">
        <v>3132</v>
      </c>
    </row>
    <row r="265" spans="2:3" x14ac:dyDescent="0.3">
      <c r="B265" t="s">
        <v>3133</v>
      </c>
      <c r="C265" t="s">
        <v>3134</v>
      </c>
    </row>
    <row r="266" spans="2:3" x14ac:dyDescent="0.3">
      <c r="B266" t="s">
        <v>3135</v>
      </c>
      <c r="C266" t="s">
        <v>3136</v>
      </c>
    </row>
    <row r="267" spans="2:3" x14ac:dyDescent="0.3">
      <c r="B267" t="s">
        <v>407</v>
      </c>
      <c r="C267" t="s">
        <v>3137</v>
      </c>
    </row>
    <row r="268" spans="2:3" x14ac:dyDescent="0.3">
      <c r="B268" t="s">
        <v>409</v>
      </c>
      <c r="C268" t="s">
        <v>3138</v>
      </c>
    </row>
    <row r="269" spans="2:3" x14ac:dyDescent="0.3">
      <c r="B269" t="s">
        <v>411</v>
      </c>
      <c r="C269" t="s">
        <v>3139</v>
      </c>
    </row>
    <row r="270" spans="2:3" x14ac:dyDescent="0.3">
      <c r="B270" t="s">
        <v>413</v>
      </c>
      <c r="C270" t="s">
        <v>3140</v>
      </c>
    </row>
    <row r="271" spans="2:3" x14ac:dyDescent="0.3">
      <c r="B271" t="s">
        <v>415</v>
      </c>
      <c r="C271" t="s">
        <v>3141</v>
      </c>
    </row>
    <row r="272" spans="2:3" x14ac:dyDescent="0.3">
      <c r="B272" t="s">
        <v>3142</v>
      </c>
      <c r="C272" t="s">
        <v>3143</v>
      </c>
    </row>
    <row r="273" spans="2:3" x14ac:dyDescent="0.3">
      <c r="B273" t="s">
        <v>3144</v>
      </c>
      <c r="C273" t="s">
        <v>3145</v>
      </c>
    </row>
    <row r="274" spans="2:3" x14ac:dyDescent="0.3">
      <c r="B274" t="s">
        <v>5401</v>
      </c>
      <c r="C274" t="s">
        <v>5402</v>
      </c>
    </row>
    <row r="275" spans="2:3" x14ac:dyDescent="0.3">
      <c r="B275" t="s">
        <v>417</v>
      </c>
      <c r="C275" t="s">
        <v>3146</v>
      </c>
    </row>
    <row r="276" spans="2:3" x14ac:dyDescent="0.3">
      <c r="B276" t="s">
        <v>3147</v>
      </c>
      <c r="C276" t="s">
        <v>3148</v>
      </c>
    </row>
    <row r="277" spans="2:3" x14ac:dyDescent="0.3">
      <c r="B277" t="s">
        <v>419</v>
      </c>
      <c r="C277" t="s">
        <v>3149</v>
      </c>
    </row>
    <row r="278" spans="2:3" x14ac:dyDescent="0.3">
      <c r="B278" t="s">
        <v>422</v>
      </c>
      <c r="C278" t="s">
        <v>3150</v>
      </c>
    </row>
    <row r="279" spans="2:3" x14ac:dyDescent="0.3">
      <c r="B279" t="s">
        <v>424</v>
      </c>
      <c r="C279" t="s">
        <v>3151</v>
      </c>
    </row>
    <row r="280" spans="2:3" x14ac:dyDescent="0.3">
      <c r="B280" t="s">
        <v>3152</v>
      </c>
      <c r="C280" t="s">
        <v>3153</v>
      </c>
    </row>
    <row r="281" spans="2:3" x14ac:dyDescent="0.3">
      <c r="B281" t="s">
        <v>426</v>
      </c>
      <c r="C281" t="s">
        <v>3154</v>
      </c>
    </row>
    <row r="282" spans="2:3" x14ac:dyDescent="0.3">
      <c r="B282" t="s">
        <v>428</v>
      </c>
      <c r="C282" t="s">
        <v>3155</v>
      </c>
    </row>
    <row r="283" spans="2:3" x14ac:dyDescent="0.3">
      <c r="B283" t="s">
        <v>430</v>
      </c>
      <c r="C283" t="s">
        <v>3156</v>
      </c>
    </row>
    <row r="284" spans="2:3" x14ac:dyDescent="0.3">
      <c r="B284" t="s">
        <v>432</v>
      </c>
      <c r="C284" t="s">
        <v>3157</v>
      </c>
    </row>
    <row r="285" spans="2:3" x14ac:dyDescent="0.3">
      <c r="B285" t="s">
        <v>5427</v>
      </c>
      <c r="C285" t="s">
        <v>5429</v>
      </c>
    </row>
    <row r="286" spans="2:3" x14ac:dyDescent="0.3">
      <c r="B286" t="s">
        <v>3158</v>
      </c>
      <c r="C286" t="s">
        <v>3159</v>
      </c>
    </row>
    <row r="287" spans="2:3" x14ac:dyDescent="0.3">
      <c r="B287" t="s">
        <v>3160</v>
      </c>
      <c r="C287" t="s">
        <v>3161</v>
      </c>
    </row>
    <row r="288" spans="2:3" x14ac:dyDescent="0.3">
      <c r="B288" t="s">
        <v>3162</v>
      </c>
      <c r="C288" t="s">
        <v>3163</v>
      </c>
    </row>
    <row r="289" spans="2:3" x14ac:dyDescent="0.3">
      <c r="B289" t="s">
        <v>434</v>
      </c>
      <c r="C289" t="s">
        <v>3164</v>
      </c>
    </row>
    <row r="290" spans="2:3" x14ac:dyDescent="0.3">
      <c r="B290" t="s">
        <v>3165</v>
      </c>
      <c r="C290" t="s">
        <v>3166</v>
      </c>
    </row>
    <row r="291" spans="2:3" x14ac:dyDescent="0.3">
      <c r="B291" t="s">
        <v>436</v>
      </c>
      <c r="C291" t="s">
        <v>3167</v>
      </c>
    </row>
    <row r="292" spans="2:3" x14ac:dyDescent="0.3">
      <c r="B292" t="s">
        <v>438</v>
      </c>
      <c r="C292" t="s">
        <v>3168</v>
      </c>
    </row>
    <row r="293" spans="2:3" x14ac:dyDescent="0.3">
      <c r="B293" t="s">
        <v>440</v>
      </c>
      <c r="C293" t="s">
        <v>3169</v>
      </c>
    </row>
    <row r="294" spans="2:3" x14ac:dyDescent="0.3">
      <c r="B294" t="s">
        <v>3170</v>
      </c>
      <c r="C294" t="s">
        <v>3171</v>
      </c>
    </row>
    <row r="295" spans="2:3" x14ac:dyDescent="0.3">
      <c r="B295" t="s">
        <v>442</v>
      </c>
      <c r="C295" t="s">
        <v>3172</v>
      </c>
    </row>
    <row r="296" spans="2:3" x14ac:dyDescent="0.3">
      <c r="B296" t="s">
        <v>3173</v>
      </c>
      <c r="C296" t="s">
        <v>3174</v>
      </c>
    </row>
    <row r="297" spans="2:3" x14ac:dyDescent="0.3">
      <c r="B297" t="s">
        <v>444</v>
      </c>
      <c r="C297" t="s">
        <v>3175</v>
      </c>
    </row>
    <row r="298" spans="2:3" x14ac:dyDescent="0.3">
      <c r="B298" t="s">
        <v>446</v>
      </c>
      <c r="C298" t="s">
        <v>3176</v>
      </c>
    </row>
    <row r="299" spans="2:3" x14ac:dyDescent="0.3">
      <c r="B299" t="s">
        <v>448</v>
      </c>
      <c r="C299" t="s">
        <v>3177</v>
      </c>
    </row>
    <row r="300" spans="2:3" x14ac:dyDescent="0.3">
      <c r="B300" t="s">
        <v>450</v>
      </c>
      <c r="C300" t="s">
        <v>3178</v>
      </c>
    </row>
    <row r="301" spans="2:3" x14ac:dyDescent="0.3">
      <c r="B301" t="s">
        <v>452</v>
      </c>
      <c r="C301" t="s">
        <v>3179</v>
      </c>
    </row>
    <row r="302" spans="2:3" x14ac:dyDescent="0.3">
      <c r="B302" t="s">
        <v>3180</v>
      </c>
      <c r="C302" t="s">
        <v>3181</v>
      </c>
    </row>
    <row r="303" spans="2:3" x14ac:dyDescent="0.3">
      <c r="B303" t="s">
        <v>454</v>
      </c>
      <c r="C303" t="s">
        <v>3182</v>
      </c>
    </row>
    <row r="304" spans="2:3" x14ac:dyDescent="0.3">
      <c r="B304" t="s">
        <v>456</v>
      </c>
      <c r="C304" t="s">
        <v>3183</v>
      </c>
    </row>
    <row r="305" spans="2:3" x14ac:dyDescent="0.3">
      <c r="B305" t="s">
        <v>3184</v>
      </c>
      <c r="C305" t="s">
        <v>3185</v>
      </c>
    </row>
    <row r="306" spans="2:3" x14ac:dyDescent="0.3">
      <c r="B306" t="s">
        <v>458</v>
      </c>
      <c r="C306" t="s">
        <v>3186</v>
      </c>
    </row>
    <row r="307" spans="2:3" x14ac:dyDescent="0.3">
      <c r="B307" t="s">
        <v>460</v>
      </c>
      <c r="C307" t="s">
        <v>3187</v>
      </c>
    </row>
    <row r="308" spans="2:3" x14ac:dyDescent="0.3">
      <c r="B308" t="s">
        <v>3188</v>
      </c>
      <c r="C308" t="s">
        <v>3189</v>
      </c>
    </row>
    <row r="309" spans="2:3" x14ac:dyDescent="0.3">
      <c r="B309" t="s">
        <v>5494</v>
      </c>
      <c r="C309" t="s">
        <v>5495</v>
      </c>
    </row>
    <row r="310" spans="2:3" x14ac:dyDescent="0.3">
      <c r="B310" t="s">
        <v>462</v>
      </c>
      <c r="C310" t="s">
        <v>3190</v>
      </c>
    </row>
    <row r="311" spans="2:3" x14ac:dyDescent="0.3">
      <c r="B311" t="s">
        <v>464</v>
      </c>
      <c r="C311" t="s">
        <v>3191</v>
      </c>
    </row>
    <row r="312" spans="2:3" x14ac:dyDescent="0.3">
      <c r="B312" t="s">
        <v>466</v>
      </c>
      <c r="C312" t="s">
        <v>3192</v>
      </c>
    </row>
    <row r="313" spans="2:3" x14ac:dyDescent="0.3">
      <c r="B313" t="s">
        <v>468</v>
      </c>
      <c r="C313" t="s">
        <v>3193</v>
      </c>
    </row>
    <row r="314" spans="2:3" x14ac:dyDescent="0.3">
      <c r="B314" t="s">
        <v>470</v>
      </c>
      <c r="C314" t="s">
        <v>3194</v>
      </c>
    </row>
    <row r="315" spans="2:3" x14ac:dyDescent="0.3">
      <c r="B315" t="s">
        <v>472</v>
      </c>
      <c r="C315" t="s">
        <v>3195</v>
      </c>
    </row>
    <row r="316" spans="2:3" x14ac:dyDescent="0.3">
      <c r="B316" t="s">
        <v>3196</v>
      </c>
      <c r="C316" t="s">
        <v>3197</v>
      </c>
    </row>
    <row r="317" spans="2:3" x14ac:dyDescent="0.3">
      <c r="B317" t="s">
        <v>476</v>
      </c>
      <c r="C317" t="s">
        <v>3198</v>
      </c>
    </row>
    <row r="318" spans="2:3" x14ac:dyDescent="0.3">
      <c r="B318" t="s">
        <v>478</v>
      </c>
      <c r="C318" t="s">
        <v>3199</v>
      </c>
    </row>
    <row r="319" spans="2:3" x14ac:dyDescent="0.3">
      <c r="B319" t="s">
        <v>480</v>
      </c>
      <c r="C319" t="s">
        <v>3200</v>
      </c>
    </row>
    <row r="320" spans="2:3" x14ac:dyDescent="0.3">
      <c r="B320" t="s">
        <v>482</v>
      </c>
      <c r="C320" t="s">
        <v>3201</v>
      </c>
    </row>
    <row r="321" spans="2:3" x14ac:dyDescent="0.3">
      <c r="B321" t="s">
        <v>484</v>
      </c>
      <c r="C321" t="s">
        <v>3202</v>
      </c>
    </row>
    <row r="322" spans="2:3" x14ac:dyDescent="0.3">
      <c r="B322" t="s">
        <v>486</v>
      </c>
      <c r="C322" t="s">
        <v>3203</v>
      </c>
    </row>
    <row r="323" spans="2:3" x14ac:dyDescent="0.3">
      <c r="B323" t="s">
        <v>488</v>
      </c>
      <c r="C323" t="s">
        <v>3204</v>
      </c>
    </row>
    <row r="324" spans="2:3" x14ac:dyDescent="0.3">
      <c r="B324" t="s">
        <v>3205</v>
      </c>
      <c r="C324" t="s">
        <v>3206</v>
      </c>
    </row>
    <row r="325" spans="2:3" x14ac:dyDescent="0.3">
      <c r="B325" t="s">
        <v>3207</v>
      </c>
      <c r="C325" t="s">
        <v>3208</v>
      </c>
    </row>
    <row r="326" spans="2:3" x14ac:dyDescent="0.3">
      <c r="B326" t="s">
        <v>3209</v>
      </c>
      <c r="C326" t="s">
        <v>3210</v>
      </c>
    </row>
    <row r="327" spans="2:3" x14ac:dyDescent="0.3">
      <c r="B327" t="s">
        <v>490</v>
      </c>
      <c r="C327" t="s">
        <v>3211</v>
      </c>
    </row>
    <row r="328" spans="2:3" x14ac:dyDescent="0.3">
      <c r="B328" t="s">
        <v>3212</v>
      </c>
      <c r="C328" t="s">
        <v>3213</v>
      </c>
    </row>
    <row r="329" spans="2:3" x14ac:dyDescent="0.3">
      <c r="B329" t="s">
        <v>492</v>
      </c>
      <c r="C329" t="s">
        <v>3214</v>
      </c>
    </row>
    <row r="330" spans="2:3" x14ac:dyDescent="0.3">
      <c r="B330" t="s">
        <v>494</v>
      </c>
      <c r="C330" t="s">
        <v>3215</v>
      </c>
    </row>
    <row r="331" spans="2:3" x14ac:dyDescent="0.3">
      <c r="B331" t="s">
        <v>496</v>
      </c>
      <c r="C331" t="s">
        <v>3216</v>
      </c>
    </row>
    <row r="332" spans="2:3" x14ac:dyDescent="0.3">
      <c r="B332" t="s">
        <v>498</v>
      </c>
      <c r="C332" t="s">
        <v>3217</v>
      </c>
    </row>
    <row r="333" spans="2:3" x14ac:dyDescent="0.3">
      <c r="B333" t="s">
        <v>500</v>
      </c>
      <c r="C333" t="s">
        <v>3218</v>
      </c>
    </row>
    <row r="334" spans="2:3" x14ac:dyDescent="0.3">
      <c r="B334" t="s">
        <v>3219</v>
      </c>
      <c r="C334" t="s">
        <v>3220</v>
      </c>
    </row>
    <row r="335" spans="2:3" x14ac:dyDescent="0.3">
      <c r="B335" t="s">
        <v>3221</v>
      </c>
      <c r="C335" t="s">
        <v>3222</v>
      </c>
    </row>
    <row r="336" spans="2:3" x14ac:dyDescent="0.3">
      <c r="B336" t="s">
        <v>3223</v>
      </c>
      <c r="C336" t="s">
        <v>3224</v>
      </c>
    </row>
    <row r="337" spans="2:3" x14ac:dyDescent="0.3">
      <c r="B337" t="s">
        <v>3225</v>
      </c>
      <c r="C337" t="s">
        <v>3226</v>
      </c>
    </row>
    <row r="338" spans="2:3" x14ac:dyDescent="0.3">
      <c r="B338" t="s">
        <v>502</v>
      </c>
      <c r="C338" t="s">
        <v>3227</v>
      </c>
    </row>
    <row r="339" spans="2:3" x14ac:dyDescent="0.3">
      <c r="B339" t="s">
        <v>3228</v>
      </c>
      <c r="C339" t="s">
        <v>3229</v>
      </c>
    </row>
    <row r="340" spans="2:3" x14ac:dyDescent="0.3">
      <c r="B340" t="s">
        <v>505</v>
      </c>
      <c r="C340" t="s">
        <v>3230</v>
      </c>
    </row>
    <row r="341" spans="2:3" x14ac:dyDescent="0.3">
      <c r="B341" t="s">
        <v>507</v>
      </c>
      <c r="C341" t="s">
        <v>3231</v>
      </c>
    </row>
    <row r="342" spans="2:3" x14ac:dyDescent="0.3">
      <c r="B342" t="s">
        <v>509</v>
      </c>
      <c r="C342" t="s">
        <v>3232</v>
      </c>
    </row>
    <row r="343" spans="2:3" x14ac:dyDescent="0.3">
      <c r="B343" t="s">
        <v>511</v>
      </c>
      <c r="C343" t="s">
        <v>3233</v>
      </c>
    </row>
    <row r="344" spans="2:3" x14ac:dyDescent="0.3">
      <c r="B344" t="s">
        <v>514</v>
      </c>
      <c r="C344" t="s">
        <v>3234</v>
      </c>
    </row>
    <row r="345" spans="2:3" x14ac:dyDescent="0.3">
      <c r="B345" t="s">
        <v>516</v>
      </c>
      <c r="C345" t="s">
        <v>3235</v>
      </c>
    </row>
    <row r="346" spans="2:3" x14ac:dyDescent="0.3">
      <c r="B346" t="s">
        <v>518</v>
      </c>
      <c r="C346" t="s">
        <v>3236</v>
      </c>
    </row>
    <row r="347" spans="2:3" x14ac:dyDescent="0.3">
      <c r="B347" t="s">
        <v>521</v>
      </c>
      <c r="C347" t="s">
        <v>3237</v>
      </c>
    </row>
    <row r="348" spans="2:3" x14ac:dyDescent="0.3">
      <c r="B348" t="s">
        <v>523</v>
      </c>
      <c r="C348" t="s">
        <v>3238</v>
      </c>
    </row>
    <row r="349" spans="2:3" x14ac:dyDescent="0.3">
      <c r="B349" t="s">
        <v>525</v>
      </c>
      <c r="C349" t="s">
        <v>3239</v>
      </c>
    </row>
    <row r="350" spans="2:3" x14ac:dyDescent="0.3">
      <c r="B350" t="s">
        <v>3240</v>
      </c>
      <c r="C350" t="s">
        <v>3241</v>
      </c>
    </row>
    <row r="351" spans="2:3" x14ac:dyDescent="0.3">
      <c r="B351" t="s">
        <v>527</v>
      </c>
      <c r="C351" t="s">
        <v>3242</v>
      </c>
    </row>
    <row r="352" spans="2:3" x14ac:dyDescent="0.3">
      <c r="B352" t="s">
        <v>529</v>
      </c>
      <c r="C352" t="s">
        <v>3243</v>
      </c>
    </row>
    <row r="353" spans="2:3" x14ac:dyDescent="0.3">
      <c r="B353" t="s">
        <v>531</v>
      </c>
      <c r="C353" t="s">
        <v>3244</v>
      </c>
    </row>
    <row r="354" spans="2:3" x14ac:dyDescent="0.3">
      <c r="B354" t="s">
        <v>3245</v>
      </c>
      <c r="C354" t="s">
        <v>3246</v>
      </c>
    </row>
    <row r="355" spans="2:3" x14ac:dyDescent="0.3">
      <c r="B355" t="s">
        <v>3247</v>
      </c>
      <c r="C355" t="s">
        <v>3248</v>
      </c>
    </row>
    <row r="356" spans="2:3" x14ac:dyDescent="0.3">
      <c r="B356" t="s">
        <v>533</v>
      </c>
      <c r="C356" t="s">
        <v>3249</v>
      </c>
    </row>
    <row r="357" spans="2:3" x14ac:dyDescent="0.3">
      <c r="B357" t="s">
        <v>535</v>
      </c>
      <c r="C357" t="s">
        <v>3250</v>
      </c>
    </row>
    <row r="358" spans="2:3" x14ac:dyDescent="0.3">
      <c r="B358" t="s">
        <v>3251</v>
      </c>
      <c r="C358" t="s">
        <v>3252</v>
      </c>
    </row>
    <row r="359" spans="2:3" x14ac:dyDescent="0.3">
      <c r="B359" t="s">
        <v>537</v>
      </c>
      <c r="C359" t="s">
        <v>3253</v>
      </c>
    </row>
    <row r="360" spans="2:3" x14ac:dyDescent="0.3">
      <c r="B360" t="s">
        <v>539</v>
      </c>
      <c r="C360" t="s">
        <v>3254</v>
      </c>
    </row>
    <row r="361" spans="2:3" x14ac:dyDescent="0.3">
      <c r="B361" t="s">
        <v>541</v>
      </c>
      <c r="C361" t="s">
        <v>3255</v>
      </c>
    </row>
    <row r="362" spans="2:3" x14ac:dyDescent="0.3">
      <c r="B362" t="s">
        <v>543</v>
      </c>
      <c r="C362" t="s">
        <v>3256</v>
      </c>
    </row>
    <row r="363" spans="2:3" x14ac:dyDescent="0.3">
      <c r="B363" t="s">
        <v>545</v>
      </c>
      <c r="C363" t="s">
        <v>3257</v>
      </c>
    </row>
    <row r="364" spans="2:3" x14ac:dyDescent="0.3">
      <c r="B364" t="s">
        <v>547</v>
      </c>
      <c r="C364" t="s">
        <v>3258</v>
      </c>
    </row>
    <row r="365" spans="2:3" x14ac:dyDescent="0.3">
      <c r="B365" t="s">
        <v>3259</v>
      </c>
      <c r="C365" t="s">
        <v>3260</v>
      </c>
    </row>
    <row r="366" spans="2:3" x14ac:dyDescent="0.3">
      <c r="B366" t="s">
        <v>549</v>
      </c>
      <c r="C366" t="s">
        <v>3261</v>
      </c>
    </row>
    <row r="367" spans="2:3" x14ac:dyDescent="0.3">
      <c r="B367" t="s">
        <v>551</v>
      </c>
      <c r="C367" t="s">
        <v>3262</v>
      </c>
    </row>
    <row r="368" spans="2:3" x14ac:dyDescent="0.3">
      <c r="B368" t="s">
        <v>3263</v>
      </c>
      <c r="C368" t="s">
        <v>3264</v>
      </c>
    </row>
    <row r="369" spans="2:3" x14ac:dyDescent="0.3">
      <c r="B369" t="s">
        <v>3265</v>
      </c>
      <c r="C369" t="s">
        <v>3266</v>
      </c>
    </row>
    <row r="370" spans="2:3" x14ac:dyDescent="0.3">
      <c r="B370" t="s">
        <v>553</v>
      </c>
      <c r="C370" t="s">
        <v>3267</v>
      </c>
    </row>
    <row r="371" spans="2:3" x14ac:dyDescent="0.3">
      <c r="B371" t="s">
        <v>555</v>
      </c>
      <c r="C371" t="s">
        <v>3268</v>
      </c>
    </row>
    <row r="372" spans="2:3" x14ac:dyDescent="0.3">
      <c r="B372" t="s">
        <v>557</v>
      </c>
      <c r="C372" t="s">
        <v>3269</v>
      </c>
    </row>
    <row r="373" spans="2:3" x14ac:dyDescent="0.3">
      <c r="B373" t="s">
        <v>559</v>
      </c>
      <c r="C373" t="s">
        <v>3270</v>
      </c>
    </row>
    <row r="374" spans="2:3" x14ac:dyDescent="0.3">
      <c r="B374" t="s">
        <v>3271</v>
      </c>
      <c r="C374" t="s">
        <v>3272</v>
      </c>
    </row>
    <row r="375" spans="2:3" x14ac:dyDescent="0.3">
      <c r="B375" t="s">
        <v>3273</v>
      </c>
      <c r="C375" t="s">
        <v>3274</v>
      </c>
    </row>
    <row r="376" spans="2:3" x14ac:dyDescent="0.3">
      <c r="B376" t="s">
        <v>561</v>
      </c>
      <c r="C376" t="s">
        <v>3275</v>
      </c>
    </row>
    <row r="377" spans="2:3" x14ac:dyDescent="0.3">
      <c r="B377" t="s">
        <v>563</v>
      </c>
      <c r="C377" t="s">
        <v>3276</v>
      </c>
    </row>
    <row r="378" spans="2:3" x14ac:dyDescent="0.3">
      <c r="B378" t="s">
        <v>565</v>
      </c>
      <c r="C378" t="s">
        <v>3277</v>
      </c>
    </row>
    <row r="379" spans="2:3" x14ac:dyDescent="0.3">
      <c r="B379" t="s">
        <v>567</v>
      </c>
      <c r="C379" t="s">
        <v>3278</v>
      </c>
    </row>
    <row r="380" spans="2:3" x14ac:dyDescent="0.3">
      <c r="B380" t="s">
        <v>3279</v>
      </c>
      <c r="C380" t="s">
        <v>3280</v>
      </c>
    </row>
    <row r="381" spans="2:3" x14ac:dyDescent="0.3">
      <c r="B381" t="s">
        <v>3281</v>
      </c>
      <c r="C381" t="s">
        <v>3282</v>
      </c>
    </row>
    <row r="382" spans="2:3" x14ac:dyDescent="0.3">
      <c r="B382" t="s">
        <v>569</v>
      </c>
      <c r="C382" t="s">
        <v>3283</v>
      </c>
    </row>
    <row r="383" spans="2:3" x14ac:dyDescent="0.3">
      <c r="B383" t="s">
        <v>571</v>
      </c>
      <c r="C383" t="s">
        <v>3284</v>
      </c>
    </row>
    <row r="384" spans="2:3" x14ac:dyDescent="0.3">
      <c r="B384" t="s">
        <v>3285</v>
      </c>
      <c r="C384" t="s">
        <v>3286</v>
      </c>
    </row>
    <row r="385" spans="2:3" x14ac:dyDescent="0.3">
      <c r="B385" t="s">
        <v>573</v>
      </c>
      <c r="C385" t="s">
        <v>3287</v>
      </c>
    </row>
    <row r="386" spans="2:3" x14ac:dyDescent="0.3">
      <c r="B386" t="s">
        <v>575</v>
      </c>
      <c r="C386" t="s">
        <v>3288</v>
      </c>
    </row>
    <row r="387" spans="2:3" x14ac:dyDescent="0.3">
      <c r="B387" t="s">
        <v>3289</v>
      </c>
      <c r="C387" t="s">
        <v>3290</v>
      </c>
    </row>
    <row r="388" spans="2:3" x14ac:dyDescent="0.3">
      <c r="B388" t="s">
        <v>577</v>
      </c>
      <c r="C388" t="s">
        <v>3291</v>
      </c>
    </row>
    <row r="389" spans="2:3" x14ac:dyDescent="0.3">
      <c r="B389" t="s">
        <v>3292</v>
      </c>
      <c r="C389" t="s">
        <v>3293</v>
      </c>
    </row>
    <row r="390" spans="2:3" x14ac:dyDescent="0.3">
      <c r="B390" t="s">
        <v>3294</v>
      </c>
      <c r="C390" t="s">
        <v>3295</v>
      </c>
    </row>
    <row r="391" spans="2:3" x14ac:dyDescent="0.3">
      <c r="B391" t="s">
        <v>581</v>
      </c>
      <c r="C391" t="s">
        <v>3296</v>
      </c>
    </row>
    <row r="392" spans="2:3" x14ac:dyDescent="0.3">
      <c r="B392" t="s">
        <v>583</v>
      </c>
      <c r="C392" t="s">
        <v>3297</v>
      </c>
    </row>
    <row r="393" spans="2:3" x14ac:dyDescent="0.3">
      <c r="B393" t="s">
        <v>3298</v>
      </c>
      <c r="C393" t="s">
        <v>3299</v>
      </c>
    </row>
    <row r="394" spans="2:3" x14ac:dyDescent="0.3">
      <c r="B394" t="s">
        <v>3300</v>
      </c>
      <c r="C394" t="s">
        <v>3301</v>
      </c>
    </row>
    <row r="395" spans="2:3" x14ac:dyDescent="0.3">
      <c r="B395" t="s">
        <v>585</v>
      </c>
      <c r="C395" t="s">
        <v>3302</v>
      </c>
    </row>
    <row r="396" spans="2:3" x14ac:dyDescent="0.3">
      <c r="B396" t="s">
        <v>587</v>
      </c>
      <c r="C396" t="s">
        <v>3303</v>
      </c>
    </row>
    <row r="397" spans="2:3" x14ac:dyDescent="0.3">
      <c r="B397" t="s">
        <v>589</v>
      </c>
      <c r="C397" t="s">
        <v>3304</v>
      </c>
    </row>
    <row r="398" spans="2:3" x14ac:dyDescent="0.3">
      <c r="B398" t="s">
        <v>591</v>
      </c>
      <c r="C398" t="s">
        <v>3305</v>
      </c>
    </row>
    <row r="399" spans="2:3" x14ac:dyDescent="0.3">
      <c r="B399" t="s">
        <v>3306</v>
      </c>
      <c r="C399" t="s">
        <v>3307</v>
      </c>
    </row>
    <row r="400" spans="2:3" x14ac:dyDescent="0.3">
      <c r="B400" t="s">
        <v>595</v>
      </c>
      <c r="C400" t="s">
        <v>3308</v>
      </c>
    </row>
    <row r="401" spans="2:3" x14ac:dyDescent="0.3">
      <c r="B401" t="s">
        <v>5305</v>
      </c>
      <c r="C401" t="s">
        <v>5306</v>
      </c>
    </row>
    <row r="402" spans="2:3" x14ac:dyDescent="0.3">
      <c r="B402" t="s">
        <v>3309</v>
      </c>
      <c r="C402" t="s">
        <v>3310</v>
      </c>
    </row>
    <row r="403" spans="2:3" x14ac:dyDescent="0.3">
      <c r="B403" t="s">
        <v>3311</v>
      </c>
      <c r="C403" t="s">
        <v>3312</v>
      </c>
    </row>
    <row r="404" spans="2:3" x14ac:dyDescent="0.3">
      <c r="B404" t="s">
        <v>597</v>
      </c>
      <c r="C404" t="s">
        <v>3313</v>
      </c>
    </row>
    <row r="405" spans="2:3" x14ac:dyDescent="0.3">
      <c r="B405" t="s">
        <v>599</v>
      </c>
      <c r="C405" t="s">
        <v>5433</v>
      </c>
    </row>
    <row r="406" spans="2:3" x14ac:dyDescent="0.3">
      <c r="B406" t="s">
        <v>3314</v>
      </c>
      <c r="C406" t="s">
        <v>5434</v>
      </c>
    </row>
    <row r="407" spans="2:3" x14ac:dyDescent="0.3">
      <c r="B407" t="s">
        <v>603</v>
      </c>
      <c r="C407" t="s">
        <v>3315</v>
      </c>
    </row>
    <row r="408" spans="2:3" x14ac:dyDescent="0.3">
      <c r="B408" t="s">
        <v>605</v>
      </c>
      <c r="C408" t="s">
        <v>3316</v>
      </c>
    </row>
    <row r="409" spans="2:3" x14ac:dyDescent="0.3">
      <c r="B409" t="s">
        <v>607</v>
      </c>
      <c r="C409" t="s">
        <v>3317</v>
      </c>
    </row>
    <row r="410" spans="2:3" x14ac:dyDescent="0.3">
      <c r="B410" t="s">
        <v>5477</v>
      </c>
      <c r="C410" t="s">
        <v>5478</v>
      </c>
    </row>
    <row r="411" spans="2:3" x14ac:dyDescent="0.3">
      <c r="B411" t="s">
        <v>609</v>
      </c>
      <c r="C411" t="s">
        <v>3318</v>
      </c>
    </row>
    <row r="412" spans="2:3" x14ac:dyDescent="0.3">
      <c r="B412" t="s">
        <v>5329</v>
      </c>
      <c r="C412" t="s">
        <v>5330</v>
      </c>
    </row>
    <row r="413" spans="2:3" x14ac:dyDescent="0.3">
      <c r="B413" t="s">
        <v>611</v>
      </c>
      <c r="C413" t="s">
        <v>3319</v>
      </c>
    </row>
    <row r="414" spans="2:3" x14ac:dyDescent="0.3">
      <c r="B414" t="s">
        <v>613</v>
      </c>
      <c r="C414" t="s">
        <v>3320</v>
      </c>
    </row>
    <row r="415" spans="2:3" x14ac:dyDescent="0.3">
      <c r="B415" t="s">
        <v>617</v>
      </c>
      <c r="C415" t="s">
        <v>3321</v>
      </c>
    </row>
    <row r="416" spans="2:3" x14ac:dyDescent="0.3">
      <c r="B416" t="s">
        <v>3322</v>
      </c>
      <c r="C416" t="s">
        <v>3323</v>
      </c>
    </row>
    <row r="417" spans="2:3" x14ac:dyDescent="0.3">
      <c r="B417" t="s">
        <v>619</v>
      </c>
      <c r="C417" t="s">
        <v>3324</v>
      </c>
    </row>
    <row r="418" spans="2:3" x14ac:dyDescent="0.3">
      <c r="B418" t="s">
        <v>5374</v>
      </c>
      <c r="C418" t="s">
        <v>5375</v>
      </c>
    </row>
    <row r="419" spans="2:3" x14ac:dyDescent="0.3">
      <c r="B419" t="s">
        <v>3325</v>
      </c>
      <c r="C419" t="s">
        <v>3326</v>
      </c>
    </row>
    <row r="420" spans="2:3" x14ac:dyDescent="0.3">
      <c r="B420" t="s">
        <v>3327</v>
      </c>
      <c r="C420" t="s">
        <v>3328</v>
      </c>
    </row>
    <row r="421" spans="2:3" x14ac:dyDescent="0.3">
      <c r="B421" t="s">
        <v>621</v>
      </c>
      <c r="C421" t="s">
        <v>3329</v>
      </c>
    </row>
    <row r="422" spans="2:3" x14ac:dyDescent="0.3">
      <c r="B422" t="s">
        <v>623</v>
      </c>
      <c r="C422" t="s">
        <v>3330</v>
      </c>
    </row>
    <row r="423" spans="2:3" x14ac:dyDescent="0.3">
      <c r="B423" t="s">
        <v>625</v>
      </c>
      <c r="C423" t="s">
        <v>3331</v>
      </c>
    </row>
    <row r="424" spans="2:3" x14ac:dyDescent="0.3">
      <c r="B424" t="s">
        <v>627</v>
      </c>
      <c r="C424" t="s">
        <v>3332</v>
      </c>
    </row>
    <row r="425" spans="2:3" x14ac:dyDescent="0.3">
      <c r="B425" t="s">
        <v>629</v>
      </c>
      <c r="C425" t="s">
        <v>3333</v>
      </c>
    </row>
    <row r="426" spans="2:3" x14ac:dyDescent="0.3">
      <c r="B426" t="s">
        <v>631</v>
      </c>
      <c r="C426" t="s">
        <v>3334</v>
      </c>
    </row>
    <row r="427" spans="2:3" x14ac:dyDescent="0.3">
      <c r="B427" t="s">
        <v>3335</v>
      </c>
      <c r="C427" t="s">
        <v>3336</v>
      </c>
    </row>
    <row r="428" spans="2:3" x14ac:dyDescent="0.3">
      <c r="B428" t="s">
        <v>3337</v>
      </c>
      <c r="C428" t="s">
        <v>3338</v>
      </c>
    </row>
    <row r="429" spans="2:3" x14ac:dyDescent="0.3">
      <c r="B429" t="s">
        <v>632</v>
      </c>
      <c r="C429" t="s">
        <v>3339</v>
      </c>
    </row>
    <row r="430" spans="2:3" x14ac:dyDescent="0.3">
      <c r="B430" t="s">
        <v>634</v>
      </c>
      <c r="C430" t="s">
        <v>3340</v>
      </c>
    </row>
    <row r="431" spans="2:3" x14ac:dyDescent="0.3">
      <c r="B431" t="s">
        <v>636</v>
      </c>
      <c r="C431" t="s">
        <v>3341</v>
      </c>
    </row>
    <row r="432" spans="2:3" x14ac:dyDescent="0.3">
      <c r="B432" t="s">
        <v>638</v>
      </c>
      <c r="C432" t="s">
        <v>3342</v>
      </c>
    </row>
    <row r="433" spans="2:3" x14ac:dyDescent="0.3">
      <c r="B433" t="s">
        <v>642</v>
      </c>
      <c r="C433" t="s">
        <v>3343</v>
      </c>
    </row>
    <row r="434" spans="2:3" x14ac:dyDescent="0.3">
      <c r="B434" t="s">
        <v>644</v>
      </c>
      <c r="C434" t="s">
        <v>3344</v>
      </c>
    </row>
    <row r="435" spans="2:3" x14ac:dyDescent="0.3">
      <c r="B435" t="s">
        <v>3345</v>
      </c>
      <c r="C435" t="s">
        <v>3346</v>
      </c>
    </row>
    <row r="436" spans="2:3" x14ac:dyDescent="0.3">
      <c r="B436" t="s">
        <v>646</v>
      </c>
      <c r="C436" t="s">
        <v>3347</v>
      </c>
    </row>
    <row r="437" spans="2:3" x14ac:dyDescent="0.3">
      <c r="B437" t="s">
        <v>649</v>
      </c>
      <c r="C437" t="s">
        <v>3348</v>
      </c>
    </row>
    <row r="438" spans="2:3" x14ac:dyDescent="0.3">
      <c r="B438" t="s">
        <v>651</v>
      </c>
      <c r="C438" t="s">
        <v>3349</v>
      </c>
    </row>
    <row r="439" spans="2:3" x14ac:dyDescent="0.3">
      <c r="B439" t="s">
        <v>653</v>
      </c>
      <c r="C439" t="s">
        <v>3350</v>
      </c>
    </row>
    <row r="440" spans="2:3" x14ac:dyDescent="0.3">
      <c r="B440" t="s">
        <v>655</v>
      </c>
      <c r="C440" t="s">
        <v>3351</v>
      </c>
    </row>
    <row r="441" spans="2:3" x14ac:dyDescent="0.3">
      <c r="B441" t="s">
        <v>657</v>
      </c>
      <c r="C441" t="s">
        <v>3352</v>
      </c>
    </row>
    <row r="442" spans="2:3" x14ac:dyDescent="0.3">
      <c r="B442" t="s">
        <v>659</v>
      </c>
      <c r="C442" t="s">
        <v>3353</v>
      </c>
    </row>
    <row r="443" spans="2:3" x14ac:dyDescent="0.3">
      <c r="B443" t="s">
        <v>661</v>
      </c>
      <c r="C443" t="s">
        <v>3354</v>
      </c>
    </row>
    <row r="444" spans="2:3" x14ac:dyDescent="0.3">
      <c r="B444" t="s">
        <v>663</v>
      </c>
      <c r="C444" t="s">
        <v>3355</v>
      </c>
    </row>
    <row r="445" spans="2:3" x14ac:dyDescent="0.3">
      <c r="B445" t="s">
        <v>665</v>
      </c>
      <c r="C445" t="s">
        <v>3356</v>
      </c>
    </row>
    <row r="446" spans="2:3" x14ac:dyDescent="0.3">
      <c r="B446" t="s">
        <v>3357</v>
      </c>
      <c r="C446" t="s">
        <v>3358</v>
      </c>
    </row>
    <row r="447" spans="2:3" x14ac:dyDescent="0.3">
      <c r="B447" t="s">
        <v>667</v>
      </c>
      <c r="C447" t="s">
        <v>3359</v>
      </c>
    </row>
    <row r="448" spans="2:3" x14ac:dyDescent="0.3">
      <c r="B448" t="s">
        <v>668</v>
      </c>
      <c r="C448" t="s">
        <v>3360</v>
      </c>
    </row>
    <row r="449" spans="2:3" x14ac:dyDescent="0.3">
      <c r="B449" t="s">
        <v>670</v>
      </c>
      <c r="C449" t="s">
        <v>3361</v>
      </c>
    </row>
    <row r="450" spans="2:3" x14ac:dyDescent="0.3">
      <c r="B450" t="s">
        <v>3362</v>
      </c>
      <c r="C450" t="s">
        <v>3363</v>
      </c>
    </row>
    <row r="451" spans="2:3" x14ac:dyDescent="0.3">
      <c r="B451" t="s">
        <v>672</v>
      </c>
      <c r="C451" t="s">
        <v>3364</v>
      </c>
    </row>
    <row r="452" spans="2:3" x14ac:dyDescent="0.3">
      <c r="B452" t="s">
        <v>674</v>
      </c>
      <c r="C452" t="s">
        <v>3365</v>
      </c>
    </row>
    <row r="453" spans="2:3" x14ac:dyDescent="0.3">
      <c r="B453" t="s">
        <v>676</v>
      </c>
      <c r="C453" t="s">
        <v>3366</v>
      </c>
    </row>
    <row r="454" spans="2:3" x14ac:dyDescent="0.3">
      <c r="B454" t="s">
        <v>678</v>
      </c>
      <c r="C454" t="s">
        <v>3367</v>
      </c>
    </row>
    <row r="455" spans="2:3" x14ac:dyDescent="0.3">
      <c r="B455" t="s">
        <v>680</v>
      </c>
      <c r="C455" t="s">
        <v>3368</v>
      </c>
    </row>
    <row r="456" spans="2:3" x14ac:dyDescent="0.3">
      <c r="B456" t="s">
        <v>682</v>
      </c>
      <c r="C456" t="s">
        <v>3369</v>
      </c>
    </row>
    <row r="457" spans="2:3" x14ac:dyDescent="0.3">
      <c r="B457" t="s">
        <v>3370</v>
      </c>
      <c r="C457" t="s">
        <v>3371</v>
      </c>
    </row>
    <row r="458" spans="2:3" x14ac:dyDescent="0.3">
      <c r="B458" t="s">
        <v>684</v>
      </c>
      <c r="C458" t="s">
        <v>3372</v>
      </c>
    </row>
    <row r="459" spans="2:3" x14ac:dyDescent="0.3">
      <c r="B459" t="s">
        <v>686</v>
      </c>
      <c r="C459" t="s">
        <v>3373</v>
      </c>
    </row>
    <row r="460" spans="2:3" x14ac:dyDescent="0.3">
      <c r="B460" t="s">
        <v>688</v>
      </c>
      <c r="C460" t="s">
        <v>3374</v>
      </c>
    </row>
    <row r="461" spans="2:3" x14ac:dyDescent="0.3">
      <c r="B461" t="s">
        <v>690</v>
      </c>
      <c r="C461" t="s">
        <v>3375</v>
      </c>
    </row>
    <row r="462" spans="2:3" x14ac:dyDescent="0.3">
      <c r="B462" t="s">
        <v>3376</v>
      </c>
      <c r="C462" t="s">
        <v>3377</v>
      </c>
    </row>
    <row r="463" spans="2:3" x14ac:dyDescent="0.3">
      <c r="B463" t="s">
        <v>692</v>
      </c>
      <c r="C463" t="s">
        <v>3378</v>
      </c>
    </row>
    <row r="464" spans="2:3" x14ac:dyDescent="0.3">
      <c r="B464" t="s">
        <v>694</v>
      </c>
      <c r="C464" t="s">
        <v>3379</v>
      </c>
    </row>
    <row r="465" spans="2:3" x14ac:dyDescent="0.3">
      <c r="B465" t="s">
        <v>696</v>
      </c>
      <c r="C465" t="s">
        <v>3380</v>
      </c>
    </row>
    <row r="466" spans="2:3" x14ac:dyDescent="0.3">
      <c r="B466" t="s">
        <v>698</v>
      </c>
      <c r="C466" t="s">
        <v>3381</v>
      </c>
    </row>
    <row r="467" spans="2:3" x14ac:dyDescent="0.3">
      <c r="B467" t="s">
        <v>3382</v>
      </c>
      <c r="C467" t="s">
        <v>3383</v>
      </c>
    </row>
    <row r="468" spans="2:3" x14ac:dyDescent="0.3">
      <c r="B468" t="s">
        <v>700</v>
      </c>
      <c r="C468" t="s">
        <v>3384</v>
      </c>
    </row>
    <row r="469" spans="2:3" x14ac:dyDescent="0.3">
      <c r="B469" t="s">
        <v>702</v>
      </c>
      <c r="C469" t="s">
        <v>3385</v>
      </c>
    </row>
    <row r="470" spans="2:3" x14ac:dyDescent="0.3">
      <c r="B470" t="s">
        <v>704</v>
      </c>
      <c r="C470" t="s">
        <v>3386</v>
      </c>
    </row>
    <row r="471" spans="2:3" x14ac:dyDescent="0.3">
      <c r="B471" t="s">
        <v>706</v>
      </c>
      <c r="C471" t="s">
        <v>3387</v>
      </c>
    </row>
    <row r="472" spans="2:3" x14ac:dyDescent="0.3">
      <c r="B472" t="s">
        <v>709</v>
      </c>
      <c r="C472" t="s">
        <v>3388</v>
      </c>
    </row>
    <row r="473" spans="2:3" x14ac:dyDescent="0.3">
      <c r="B473" t="s">
        <v>711</v>
      </c>
      <c r="C473" t="s">
        <v>3389</v>
      </c>
    </row>
    <row r="474" spans="2:3" x14ac:dyDescent="0.3">
      <c r="B474" t="s">
        <v>713</v>
      </c>
      <c r="C474" t="s">
        <v>3390</v>
      </c>
    </row>
    <row r="475" spans="2:3" x14ac:dyDescent="0.3">
      <c r="B475" t="s">
        <v>3391</v>
      </c>
      <c r="C475" t="s">
        <v>3392</v>
      </c>
    </row>
    <row r="476" spans="2:3" x14ac:dyDescent="0.3">
      <c r="B476" t="s">
        <v>715</v>
      </c>
      <c r="C476" t="s">
        <v>3393</v>
      </c>
    </row>
    <row r="477" spans="2:3" x14ac:dyDescent="0.3">
      <c r="B477" t="s">
        <v>717</v>
      </c>
      <c r="C477" t="s">
        <v>3394</v>
      </c>
    </row>
    <row r="478" spans="2:3" x14ac:dyDescent="0.3">
      <c r="B478" t="s">
        <v>719</v>
      </c>
      <c r="C478" t="s">
        <v>3395</v>
      </c>
    </row>
    <row r="479" spans="2:3" x14ac:dyDescent="0.3">
      <c r="B479" t="s">
        <v>721</v>
      </c>
      <c r="C479" t="s">
        <v>3396</v>
      </c>
    </row>
    <row r="480" spans="2:3" x14ac:dyDescent="0.3">
      <c r="B480" t="s">
        <v>3397</v>
      </c>
      <c r="C480" t="s">
        <v>3398</v>
      </c>
    </row>
    <row r="481" spans="2:3" x14ac:dyDescent="0.3">
      <c r="B481" t="s">
        <v>3399</v>
      </c>
      <c r="C481" t="s">
        <v>3400</v>
      </c>
    </row>
    <row r="482" spans="2:3" x14ac:dyDescent="0.3">
      <c r="B482" t="s">
        <v>725</v>
      </c>
      <c r="C482" t="s">
        <v>3401</v>
      </c>
    </row>
    <row r="483" spans="2:3" x14ac:dyDescent="0.3">
      <c r="B483" t="s">
        <v>727</v>
      </c>
      <c r="C483" t="s">
        <v>3402</v>
      </c>
    </row>
    <row r="484" spans="2:3" x14ac:dyDescent="0.3">
      <c r="B484" t="s">
        <v>729</v>
      </c>
      <c r="C484" t="s">
        <v>3403</v>
      </c>
    </row>
    <row r="485" spans="2:3" x14ac:dyDescent="0.3">
      <c r="B485" t="s">
        <v>733</v>
      </c>
      <c r="C485" t="s">
        <v>3404</v>
      </c>
    </row>
    <row r="486" spans="2:3" x14ac:dyDescent="0.3">
      <c r="B486" t="s">
        <v>735</v>
      </c>
      <c r="C486" t="s">
        <v>3405</v>
      </c>
    </row>
    <row r="487" spans="2:3" x14ac:dyDescent="0.3">
      <c r="B487" t="s">
        <v>3406</v>
      </c>
      <c r="C487" t="s">
        <v>3407</v>
      </c>
    </row>
    <row r="488" spans="2:3" x14ac:dyDescent="0.3">
      <c r="B488" t="s">
        <v>3408</v>
      </c>
      <c r="C488" t="s">
        <v>3409</v>
      </c>
    </row>
    <row r="489" spans="2:3" x14ac:dyDescent="0.3">
      <c r="B489" t="s">
        <v>3410</v>
      </c>
      <c r="C489" t="s">
        <v>3411</v>
      </c>
    </row>
    <row r="490" spans="2:3" x14ac:dyDescent="0.3">
      <c r="B490" t="s">
        <v>737</v>
      </c>
      <c r="C490" t="s">
        <v>3412</v>
      </c>
    </row>
    <row r="491" spans="2:3" x14ac:dyDescent="0.3">
      <c r="B491" t="s">
        <v>3413</v>
      </c>
      <c r="C491" t="s">
        <v>3414</v>
      </c>
    </row>
    <row r="492" spans="2:3" x14ac:dyDescent="0.3">
      <c r="B492" t="s">
        <v>3415</v>
      </c>
      <c r="C492" t="s">
        <v>3416</v>
      </c>
    </row>
    <row r="493" spans="2:3" x14ac:dyDescent="0.3">
      <c r="B493" t="s">
        <v>739</v>
      </c>
      <c r="C493" t="s">
        <v>3417</v>
      </c>
    </row>
    <row r="494" spans="2:3" x14ac:dyDescent="0.3">
      <c r="B494" t="s">
        <v>5448</v>
      </c>
      <c r="C494" t="s">
        <v>5449</v>
      </c>
    </row>
    <row r="495" spans="2:3" x14ac:dyDescent="0.3">
      <c r="B495" t="s">
        <v>3418</v>
      </c>
      <c r="C495" t="s">
        <v>3419</v>
      </c>
    </row>
    <row r="496" spans="2:3" x14ac:dyDescent="0.3">
      <c r="B496" t="s">
        <v>741</v>
      </c>
      <c r="C496" t="s">
        <v>3420</v>
      </c>
    </row>
    <row r="497" spans="2:3" x14ac:dyDescent="0.3">
      <c r="B497" t="s">
        <v>743</v>
      </c>
      <c r="C497" t="s">
        <v>3421</v>
      </c>
    </row>
    <row r="498" spans="2:3" x14ac:dyDescent="0.3">
      <c r="B498" t="s">
        <v>3422</v>
      </c>
      <c r="C498" t="s">
        <v>3423</v>
      </c>
    </row>
    <row r="499" spans="2:3" x14ac:dyDescent="0.3">
      <c r="B499" t="s">
        <v>745</v>
      </c>
      <c r="C499" t="s">
        <v>3424</v>
      </c>
    </row>
    <row r="500" spans="2:3" x14ac:dyDescent="0.3">
      <c r="B500" t="s">
        <v>749</v>
      </c>
      <c r="C500" t="s">
        <v>3425</v>
      </c>
    </row>
    <row r="501" spans="2:3" x14ac:dyDescent="0.3">
      <c r="B501" t="s">
        <v>751</v>
      </c>
      <c r="C501" t="s">
        <v>3426</v>
      </c>
    </row>
    <row r="502" spans="2:3" x14ac:dyDescent="0.3">
      <c r="B502" t="s">
        <v>753</v>
      </c>
      <c r="C502" t="s">
        <v>3427</v>
      </c>
    </row>
    <row r="503" spans="2:3" x14ac:dyDescent="0.3">
      <c r="B503" t="s">
        <v>3428</v>
      </c>
      <c r="C503" t="s">
        <v>3429</v>
      </c>
    </row>
    <row r="504" spans="2:3" x14ac:dyDescent="0.3">
      <c r="B504" t="s">
        <v>755</v>
      </c>
      <c r="C504" t="s">
        <v>3430</v>
      </c>
    </row>
    <row r="505" spans="2:3" x14ac:dyDescent="0.3">
      <c r="B505" t="s">
        <v>5473</v>
      </c>
      <c r="C505" t="s">
        <v>5474</v>
      </c>
    </row>
    <row r="506" spans="2:3" x14ac:dyDescent="0.3">
      <c r="B506" t="s">
        <v>757</v>
      </c>
      <c r="C506" t="s">
        <v>3431</v>
      </c>
    </row>
    <row r="507" spans="2:3" x14ac:dyDescent="0.3">
      <c r="B507" t="s">
        <v>759</v>
      </c>
      <c r="C507" t="s">
        <v>3432</v>
      </c>
    </row>
    <row r="508" spans="2:3" x14ac:dyDescent="0.3">
      <c r="B508" t="s">
        <v>761</v>
      </c>
      <c r="C508" t="s">
        <v>3433</v>
      </c>
    </row>
    <row r="509" spans="2:3" x14ac:dyDescent="0.3">
      <c r="B509" t="s">
        <v>3434</v>
      </c>
      <c r="C509" t="s">
        <v>3435</v>
      </c>
    </row>
    <row r="510" spans="2:3" x14ac:dyDescent="0.3">
      <c r="B510" t="s">
        <v>3436</v>
      </c>
      <c r="C510" t="s">
        <v>3437</v>
      </c>
    </row>
    <row r="511" spans="2:3" x14ac:dyDescent="0.3">
      <c r="B511" t="s">
        <v>763</v>
      </c>
      <c r="C511" t="s">
        <v>3438</v>
      </c>
    </row>
    <row r="512" spans="2:3" x14ac:dyDescent="0.3">
      <c r="B512" t="s">
        <v>765</v>
      </c>
      <c r="C512" t="s">
        <v>3439</v>
      </c>
    </row>
    <row r="513" spans="2:3" x14ac:dyDescent="0.3">
      <c r="B513" t="s">
        <v>767</v>
      </c>
      <c r="C513" t="s">
        <v>3440</v>
      </c>
    </row>
    <row r="514" spans="2:3" x14ac:dyDescent="0.3">
      <c r="B514" t="s">
        <v>769</v>
      </c>
      <c r="C514" t="s">
        <v>3441</v>
      </c>
    </row>
    <row r="515" spans="2:3" x14ac:dyDescent="0.3">
      <c r="B515" t="s">
        <v>771</v>
      </c>
      <c r="C515" t="s">
        <v>3442</v>
      </c>
    </row>
    <row r="516" spans="2:3" x14ac:dyDescent="0.3">
      <c r="B516" t="s">
        <v>3443</v>
      </c>
      <c r="C516" t="s">
        <v>3444</v>
      </c>
    </row>
    <row r="517" spans="2:3" x14ac:dyDescent="0.3">
      <c r="B517" t="s">
        <v>3445</v>
      </c>
      <c r="C517" t="s">
        <v>3446</v>
      </c>
    </row>
    <row r="518" spans="2:3" x14ac:dyDescent="0.3">
      <c r="B518" t="s">
        <v>773</v>
      </c>
      <c r="C518" t="s">
        <v>3447</v>
      </c>
    </row>
    <row r="519" spans="2:3" x14ac:dyDescent="0.3">
      <c r="B519" t="s">
        <v>775</v>
      </c>
      <c r="C519" t="s">
        <v>3448</v>
      </c>
    </row>
    <row r="520" spans="2:3" x14ac:dyDescent="0.3">
      <c r="B520" t="s">
        <v>777</v>
      </c>
      <c r="C520" t="s">
        <v>3449</v>
      </c>
    </row>
    <row r="521" spans="2:3" x14ac:dyDescent="0.3">
      <c r="B521" t="s">
        <v>779</v>
      </c>
      <c r="C521" t="s">
        <v>3450</v>
      </c>
    </row>
    <row r="522" spans="2:3" x14ac:dyDescent="0.3">
      <c r="B522" t="s">
        <v>781</v>
      </c>
      <c r="C522" t="s">
        <v>3451</v>
      </c>
    </row>
    <row r="523" spans="2:3" x14ac:dyDescent="0.3">
      <c r="B523" t="s">
        <v>783</v>
      </c>
      <c r="C523" t="s">
        <v>3452</v>
      </c>
    </row>
    <row r="524" spans="2:3" x14ac:dyDescent="0.3">
      <c r="B524" t="s">
        <v>3453</v>
      </c>
      <c r="C524" t="s">
        <v>3454</v>
      </c>
    </row>
    <row r="525" spans="2:3" x14ac:dyDescent="0.3">
      <c r="B525" t="s">
        <v>3455</v>
      </c>
      <c r="C525" t="s">
        <v>3456</v>
      </c>
    </row>
    <row r="526" spans="2:3" x14ac:dyDescent="0.3">
      <c r="B526" t="s">
        <v>3457</v>
      </c>
      <c r="C526" t="s">
        <v>3458</v>
      </c>
    </row>
    <row r="527" spans="2:3" x14ac:dyDescent="0.3">
      <c r="B527" t="s">
        <v>3459</v>
      </c>
      <c r="C527" t="s">
        <v>3460</v>
      </c>
    </row>
    <row r="528" spans="2:3" x14ac:dyDescent="0.3">
      <c r="B528" t="s">
        <v>3461</v>
      </c>
      <c r="C528" t="s">
        <v>3462</v>
      </c>
    </row>
    <row r="529" spans="2:3" x14ac:dyDescent="0.3">
      <c r="B529" t="s">
        <v>785</v>
      </c>
      <c r="C529" t="s">
        <v>3463</v>
      </c>
    </row>
    <row r="530" spans="2:3" x14ac:dyDescent="0.3">
      <c r="B530" t="s">
        <v>787</v>
      </c>
      <c r="C530" t="s">
        <v>3464</v>
      </c>
    </row>
    <row r="531" spans="2:3" x14ac:dyDescent="0.3">
      <c r="B531" t="s">
        <v>789</v>
      </c>
      <c r="C531" t="s">
        <v>3465</v>
      </c>
    </row>
    <row r="532" spans="2:3" x14ac:dyDescent="0.3">
      <c r="B532" t="s">
        <v>791</v>
      </c>
      <c r="C532" t="s">
        <v>3466</v>
      </c>
    </row>
    <row r="533" spans="2:3" x14ac:dyDescent="0.3">
      <c r="B533" t="s">
        <v>793</v>
      </c>
      <c r="C533" t="s">
        <v>3467</v>
      </c>
    </row>
    <row r="534" spans="2:3" x14ac:dyDescent="0.3">
      <c r="B534" t="s">
        <v>3468</v>
      </c>
      <c r="C534" t="s">
        <v>3469</v>
      </c>
    </row>
    <row r="535" spans="2:3" x14ac:dyDescent="0.3">
      <c r="B535" t="s">
        <v>795</v>
      </c>
      <c r="C535" t="s">
        <v>3470</v>
      </c>
    </row>
    <row r="536" spans="2:3" x14ac:dyDescent="0.3">
      <c r="B536" t="s">
        <v>797</v>
      </c>
      <c r="C536" t="s">
        <v>3471</v>
      </c>
    </row>
    <row r="537" spans="2:3" x14ac:dyDescent="0.3">
      <c r="B537" t="s">
        <v>800</v>
      </c>
      <c r="C537" t="s">
        <v>3472</v>
      </c>
    </row>
    <row r="538" spans="2:3" x14ac:dyDescent="0.3">
      <c r="B538" t="s">
        <v>803</v>
      </c>
      <c r="C538" t="s">
        <v>3473</v>
      </c>
    </row>
    <row r="539" spans="2:3" x14ac:dyDescent="0.3">
      <c r="B539" t="s">
        <v>805</v>
      </c>
      <c r="C539" t="s">
        <v>3474</v>
      </c>
    </row>
    <row r="540" spans="2:3" x14ac:dyDescent="0.3">
      <c r="B540" t="s">
        <v>807</v>
      </c>
      <c r="C540" t="s">
        <v>3475</v>
      </c>
    </row>
    <row r="541" spans="2:3" x14ac:dyDescent="0.3">
      <c r="B541" t="s">
        <v>3476</v>
      </c>
      <c r="C541" t="s">
        <v>3477</v>
      </c>
    </row>
    <row r="542" spans="2:3" x14ac:dyDescent="0.3">
      <c r="B542" t="s">
        <v>3478</v>
      </c>
      <c r="C542" t="s">
        <v>3479</v>
      </c>
    </row>
    <row r="543" spans="2:3" x14ac:dyDescent="0.3">
      <c r="B543" t="s">
        <v>811</v>
      </c>
      <c r="C543" t="s">
        <v>3480</v>
      </c>
    </row>
    <row r="544" spans="2:3" x14ac:dyDescent="0.3">
      <c r="B544" t="s">
        <v>3481</v>
      </c>
      <c r="C544" t="s">
        <v>3482</v>
      </c>
    </row>
    <row r="545" spans="2:3" x14ac:dyDescent="0.3">
      <c r="B545" t="s">
        <v>813</v>
      </c>
      <c r="C545" t="s">
        <v>3483</v>
      </c>
    </row>
    <row r="546" spans="2:3" x14ac:dyDescent="0.3">
      <c r="B546" t="s">
        <v>815</v>
      </c>
      <c r="C546" t="s">
        <v>3484</v>
      </c>
    </row>
    <row r="547" spans="2:3" x14ac:dyDescent="0.3">
      <c r="B547" t="s">
        <v>3485</v>
      </c>
      <c r="C547" t="s">
        <v>3486</v>
      </c>
    </row>
    <row r="548" spans="2:3" x14ac:dyDescent="0.3">
      <c r="B548" t="s">
        <v>817</v>
      </c>
      <c r="C548" t="s">
        <v>3487</v>
      </c>
    </row>
    <row r="549" spans="2:3" x14ac:dyDescent="0.3">
      <c r="B549" t="s">
        <v>819</v>
      </c>
      <c r="C549" t="s">
        <v>3488</v>
      </c>
    </row>
    <row r="550" spans="2:3" x14ac:dyDescent="0.3">
      <c r="B550" t="s">
        <v>3489</v>
      </c>
      <c r="C550" t="s">
        <v>3490</v>
      </c>
    </row>
    <row r="551" spans="2:3" x14ac:dyDescent="0.3">
      <c r="B551" t="s">
        <v>821</v>
      </c>
      <c r="C551" t="s">
        <v>3491</v>
      </c>
    </row>
    <row r="552" spans="2:3" x14ac:dyDescent="0.3">
      <c r="B552" t="s">
        <v>3492</v>
      </c>
      <c r="C552" t="s">
        <v>3493</v>
      </c>
    </row>
    <row r="553" spans="2:3" x14ac:dyDescent="0.3">
      <c r="B553" t="s">
        <v>3494</v>
      </c>
      <c r="C553" t="s">
        <v>3495</v>
      </c>
    </row>
    <row r="554" spans="2:3" x14ac:dyDescent="0.3">
      <c r="B554" t="s">
        <v>823</v>
      </c>
      <c r="C554" t="s">
        <v>3496</v>
      </c>
    </row>
    <row r="555" spans="2:3" x14ac:dyDescent="0.3">
      <c r="B555" t="s">
        <v>825</v>
      </c>
      <c r="C555" t="s">
        <v>3497</v>
      </c>
    </row>
    <row r="556" spans="2:3" x14ac:dyDescent="0.3">
      <c r="B556" t="s">
        <v>3498</v>
      </c>
      <c r="C556" t="s">
        <v>3499</v>
      </c>
    </row>
    <row r="557" spans="2:3" x14ac:dyDescent="0.3">
      <c r="B557" t="s">
        <v>827</v>
      </c>
      <c r="C557" t="s">
        <v>3500</v>
      </c>
    </row>
    <row r="558" spans="2:3" x14ac:dyDescent="0.3">
      <c r="B558" t="s">
        <v>3501</v>
      </c>
      <c r="C558" t="s">
        <v>3502</v>
      </c>
    </row>
    <row r="559" spans="2:3" x14ac:dyDescent="0.3">
      <c r="B559" t="s">
        <v>829</v>
      </c>
      <c r="C559" t="s">
        <v>3503</v>
      </c>
    </row>
    <row r="560" spans="2:3" x14ac:dyDescent="0.3">
      <c r="B560" t="s">
        <v>831</v>
      </c>
      <c r="C560" t="s">
        <v>3504</v>
      </c>
    </row>
    <row r="561" spans="2:3" x14ac:dyDescent="0.3">
      <c r="B561" t="s">
        <v>833</v>
      </c>
      <c r="C561" t="s">
        <v>3505</v>
      </c>
    </row>
    <row r="562" spans="2:3" x14ac:dyDescent="0.3">
      <c r="B562" t="s">
        <v>835</v>
      </c>
      <c r="C562" t="s">
        <v>3506</v>
      </c>
    </row>
    <row r="563" spans="2:3" x14ac:dyDescent="0.3">
      <c r="B563" t="s">
        <v>837</v>
      </c>
      <c r="C563" t="s">
        <v>3507</v>
      </c>
    </row>
    <row r="564" spans="2:3" x14ac:dyDescent="0.3">
      <c r="B564" t="s">
        <v>839</v>
      </c>
      <c r="C564" t="s">
        <v>3508</v>
      </c>
    </row>
    <row r="565" spans="2:3" x14ac:dyDescent="0.3">
      <c r="B565" t="s">
        <v>3509</v>
      </c>
      <c r="C565" t="s">
        <v>3510</v>
      </c>
    </row>
    <row r="566" spans="2:3" x14ac:dyDescent="0.3">
      <c r="B566" t="s">
        <v>841</v>
      </c>
      <c r="C566" t="s">
        <v>3511</v>
      </c>
    </row>
    <row r="567" spans="2:3" x14ac:dyDescent="0.3">
      <c r="B567" t="s">
        <v>843</v>
      </c>
      <c r="C567" t="s">
        <v>3512</v>
      </c>
    </row>
    <row r="568" spans="2:3" x14ac:dyDescent="0.3">
      <c r="B568" t="s">
        <v>845</v>
      </c>
      <c r="C568" t="s">
        <v>3513</v>
      </c>
    </row>
    <row r="569" spans="2:3" x14ac:dyDescent="0.3">
      <c r="B569" t="s">
        <v>3514</v>
      </c>
      <c r="C569" t="s">
        <v>3515</v>
      </c>
    </row>
    <row r="570" spans="2:3" x14ac:dyDescent="0.3">
      <c r="B570" t="s">
        <v>3516</v>
      </c>
      <c r="C570" t="s">
        <v>3517</v>
      </c>
    </row>
    <row r="571" spans="2:3" x14ac:dyDescent="0.3">
      <c r="B571" t="s">
        <v>847</v>
      </c>
      <c r="C571" t="s">
        <v>3518</v>
      </c>
    </row>
    <row r="572" spans="2:3" x14ac:dyDescent="0.3">
      <c r="B572" t="s">
        <v>849</v>
      </c>
      <c r="C572" t="s">
        <v>3519</v>
      </c>
    </row>
    <row r="573" spans="2:3" x14ac:dyDescent="0.3">
      <c r="B573" t="s">
        <v>3520</v>
      </c>
      <c r="C573" t="s">
        <v>3521</v>
      </c>
    </row>
    <row r="574" spans="2:3" x14ac:dyDescent="0.3">
      <c r="B574" t="s">
        <v>3522</v>
      </c>
      <c r="C574" t="s">
        <v>3523</v>
      </c>
    </row>
    <row r="575" spans="2:3" x14ac:dyDescent="0.3">
      <c r="B575" t="s">
        <v>3524</v>
      </c>
      <c r="C575" t="s">
        <v>3525</v>
      </c>
    </row>
    <row r="576" spans="2:3" x14ac:dyDescent="0.3">
      <c r="B576" t="s">
        <v>3526</v>
      </c>
      <c r="C576" t="s">
        <v>3527</v>
      </c>
    </row>
    <row r="577" spans="2:3" x14ac:dyDescent="0.3">
      <c r="B577" t="s">
        <v>3528</v>
      </c>
      <c r="C577" t="s">
        <v>3529</v>
      </c>
    </row>
    <row r="578" spans="2:3" x14ac:dyDescent="0.3">
      <c r="B578" t="s">
        <v>3530</v>
      </c>
      <c r="C578" t="s">
        <v>3531</v>
      </c>
    </row>
    <row r="579" spans="2:3" x14ac:dyDescent="0.3">
      <c r="B579" t="s">
        <v>851</v>
      </c>
      <c r="C579" t="s">
        <v>3532</v>
      </c>
    </row>
    <row r="580" spans="2:3" x14ac:dyDescent="0.3">
      <c r="B580" t="s">
        <v>853</v>
      </c>
      <c r="C580" t="s">
        <v>3533</v>
      </c>
    </row>
    <row r="581" spans="2:3" x14ac:dyDescent="0.3">
      <c r="B581" t="s">
        <v>855</v>
      </c>
      <c r="C581" t="s">
        <v>3534</v>
      </c>
    </row>
    <row r="582" spans="2:3" x14ac:dyDescent="0.3">
      <c r="B582" t="s">
        <v>857</v>
      </c>
      <c r="C582" t="s">
        <v>3535</v>
      </c>
    </row>
    <row r="583" spans="2:3" x14ac:dyDescent="0.3">
      <c r="B583" t="s">
        <v>3536</v>
      </c>
      <c r="C583" t="s">
        <v>3537</v>
      </c>
    </row>
    <row r="584" spans="2:3" x14ac:dyDescent="0.3">
      <c r="B584" t="s">
        <v>3538</v>
      </c>
      <c r="C584" t="s">
        <v>3539</v>
      </c>
    </row>
    <row r="585" spans="2:3" x14ac:dyDescent="0.3">
      <c r="B585" t="s">
        <v>861</v>
      </c>
      <c r="C585" t="s">
        <v>3540</v>
      </c>
    </row>
    <row r="586" spans="2:3" x14ac:dyDescent="0.3">
      <c r="B586" t="s">
        <v>863</v>
      </c>
      <c r="C586" t="s">
        <v>3541</v>
      </c>
    </row>
    <row r="587" spans="2:3" x14ac:dyDescent="0.3">
      <c r="B587" t="s">
        <v>865</v>
      </c>
      <c r="C587" t="s">
        <v>3542</v>
      </c>
    </row>
    <row r="588" spans="2:3" x14ac:dyDescent="0.3">
      <c r="B588" t="s">
        <v>867</v>
      </c>
      <c r="C588" t="s">
        <v>3543</v>
      </c>
    </row>
    <row r="589" spans="2:3" x14ac:dyDescent="0.3">
      <c r="B589" t="s">
        <v>869</v>
      </c>
      <c r="C589" t="s">
        <v>3544</v>
      </c>
    </row>
    <row r="590" spans="2:3" x14ac:dyDescent="0.3">
      <c r="B590" t="s">
        <v>3545</v>
      </c>
      <c r="C590" t="s">
        <v>3546</v>
      </c>
    </row>
    <row r="591" spans="2:3" x14ac:dyDescent="0.3">
      <c r="B591" t="s">
        <v>871</v>
      </c>
      <c r="C591" t="s">
        <v>3547</v>
      </c>
    </row>
    <row r="592" spans="2:3" x14ac:dyDescent="0.3">
      <c r="B592" t="s">
        <v>873</v>
      </c>
      <c r="C592" t="s">
        <v>3548</v>
      </c>
    </row>
    <row r="593" spans="2:3" x14ac:dyDescent="0.3">
      <c r="B593" t="s">
        <v>875</v>
      </c>
      <c r="C593" t="s">
        <v>3549</v>
      </c>
    </row>
    <row r="594" spans="2:3" x14ac:dyDescent="0.3">
      <c r="B594" t="s">
        <v>877</v>
      </c>
      <c r="C594" t="s">
        <v>3550</v>
      </c>
    </row>
    <row r="595" spans="2:3" x14ac:dyDescent="0.3">
      <c r="B595" t="s">
        <v>880</v>
      </c>
      <c r="C595" t="s">
        <v>3551</v>
      </c>
    </row>
    <row r="596" spans="2:3" x14ac:dyDescent="0.3">
      <c r="B596" t="s">
        <v>884</v>
      </c>
      <c r="C596" t="s">
        <v>3552</v>
      </c>
    </row>
    <row r="597" spans="2:3" x14ac:dyDescent="0.3">
      <c r="B597" t="s">
        <v>3553</v>
      </c>
      <c r="C597" t="s">
        <v>3554</v>
      </c>
    </row>
    <row r="598" spans="2:3" x14ac:dyDescent="0.3">
      <c r="B598" t="s">
        <v>3555</v>
      </c>
      <c r="C598" t="s">
        <v>3556</v>
      </c>
    </row>
    <row r="599" spans="2:3" x14ac:dyDescent="0.3">
      <c r="B599" t="s">
        <v>3557</v>
      </c>
      <c r="C599" t="s">
        <v>3558</v>
      </c>
    </row>
    <row r="600" spans="2:3" x14ac:dyDescent="0.3">
      <c r="B600" t="s">
        <v>888</v>
      </c>
      <c r="C600" t="s">
        <v>5377</v>
      </c>
    </row>
    <row r="601" spans="2:3" x14ac:dyDescent="0.3">
      <c r="B601" t="s">
        <v>2816</v>
      </c>
      <c r="C601" t="s">
        <v>3559</v>
      </c>
    </row>
    <row r="602" spans="2:3" x14ac:dyDescent="0.3">
      <c r="B602" t="s">
        <v>890</v>
      </c>
      <c r="C602" t="s">
        <v>3560</v>
      </c>
    </row>
    <row r="603" spans="2:3" x14ac:dyDescent="0.3">
      <c r="B603" t="s">
        <v>3561</v>
      </c>
      <c r="C603" t="s">
        <v>3562</v>
      </c>
    </row>
    <row r="604" spans="2:3" x14ac:dyDescent="0.3">
      <c r="B604" t="s">
        <v>3563</v>
      </c>
      <c r="C604" t="s">
        <v>3564</v>
      </c>
    </row>
    <row r="605" spans="2:3" x14ac:dyDescent="0.3">
      <c r="B605" t="s">
        <v>3565</v>
      </c>
      <c r="C605" t="s">
        <v>3566</v>
      </c>
    </row>
    <row r="606" spans="2:3" x14ac:dyDescent="0.3">
      <c r="B606" t="s">
        <v>3567</v>
      </c>
      <c r="C606" t="s">
        <v>3568</v>
      </c>
    </row>
    <row r="607" spans="2:3" x14ac:dyDescent="0.3">
      <c r="B607" t="s">
        <v>3569</v>
      </c>
      <c r="C607" t="s">
        <v>3570</v>
      </c>
    </row>
    <row r="608" spans="2:3" x14ac:dyDescent="0.3">
      <c r="B608" t="s">
        <v>3571</v>
      </c>
      <c r="C608" t="s">
        <v>3572</v>
      </c>
    </row>
    <row r="609" spans="2:3" x14ac:dyDescent="0.3">
      <c r="B609" t="s">
        <v>3573</v>
      </c>
      <c r="C609" t="s">
        <v>3574</v>
      </c>
    </row>
    <row r="610" spans="2:3" x14ac:dyDescent="0.3">
      <c r="B610" t="s">
        <v>892</v>
      </c>
      <c r="C610" t="s">
        <v>3575</v>
      </c>
    </row>
    <row r="611" spans="2:3" x14ac:dyDescent="0.3">
      <c r="B611" t="s">
        <v>894</v>
      </c>
      <c r="C611" t="s">
        <v>3576</v>
      </c>
    </row>
    <row r="612" spans="2:3" x14ac:dyDescent="0.3">
      <c r="B612" t="s">
        <v>3577</v>
      </c>
      <c r="C612" t="s">
        <v>3578</v>
      </c>
    </row>
    <row r="613" spans="2:3" x14ac:dyDescent="0.3">
      <c r="B613" t="s">
        <v>3579</v>
      </c>
      <c r="C613" t="s">
        <v>3580</v>
      </c>
    </row>
    <row r="614" spans="2:3" x14ac:dyDescent="0.3">
      <c r="B614" t="s">
        <v>3581</v>
      </c>
      <c r="C614" t="s">
        <v>3582</v>
      </c>
    </row>
    <row r="615" spans="2:3" x14ac:dyDescent="0.3">
      <c r="B615" t="s">
        <v>3583</v>
      </c>
      <c r="C615" t="s">
        <v>3584</v>
      </c>
    </row>
    <row r="616" spans="2:3" x14ac:dyDescent="0.3">
      <c r="B616" t="s">
        <v>896</v>
      </c>
      <c r="C616" t="s">
        <v>3585</v>
      </c>
    </row>
    <row r="617" spans="2:3" x14ac:dyDescent="0.3">
      <c r="B617" t="s">
        <v>898</v>
      </c>
      <c r="C617" t="s">
        <v>3586</v>
      </c>
    </row>
    <row r="618" spans="2:3" x14ac:dyDescent="0.3">
      <c r="B618" t="s">
        <v>900</v>
      </c>
      <c r="C618" t="s">
        <v>3587</v>
      </c>
    </row>
    <row r="619" spans="2:3" x14ac:dyDescent="0.3">
      <c r="B619" t="s">
        <v>3588</v>
      </c>
      <c r="C619" t="s">
        <v>3589</v>
      </c>
    </row>
    <row r="620" spans="2:3" x14ac:dyDescent="0.3">
      <c r="B620" t="s">
        <v>902</v>
      </c>
      <c r="C620" t="s">
        <v>3590</v>
      </c>
    </row>
    <row r="621" spans="2:3" x14ac:dyDescent="0.3">
      <c r="B621" t="s">
        <v>904</v>
      </c>
      <c r="C621" t="s">
        <v>3591</v>
      </c>
    </row>
    <row r="622" spans="2:3" x14ac:dyDescent="0.3">
      <c r="B622" t="s">
        <v>906</v>
      </c>
      <c r="C622" t="s">
        <v>3592</v>
      </c>
    </row>
    <row r="623" spans="2:3" x14ac:dyDescent="0.3">
      <c r="B623" t="s">
        <v>908</v>
      </c>
      <c r="C623" t="s">
        <v>3593</v>
      </c>
    </row>
    <row r="624" spans="2:3" x14ac:dyDescent="0.3">
      <c r="B624" t="s">
        <v>912</v>
      </c>
      <c r="C624" t="s">
        <v>3594</v>
      </c>
    </row>
    <row r="625" spans="2:3" x14ac:dyDescent="0.3">
      <c r="B625" t="s">
        <v>914</v>
      </c>
      <c r="C625" t="s">
        <v>3595</v>
      </c>
    </row>
    <row r="626" spans="2:3" x14ac:dyDescent="0.3">
      <c r="B626" t="s">
        <v>916</v>
      </c>
      <c r="C626" t="s">
        <v>3596</v>
      </c>
    </row>
    <row r="627" spans="2:3" x14ac:dyDescent="0.3">
      <c r="B627" t="s">
        <v>5391</v>
      </c>
      <c r="C627" t="s">
        <v>5392</v>
      </c>
    </row>
    <row r="628" spans="2:3" x14ac:dyDescent="0.3">
      <c r="B628" t="s">
        <v>3597</v>
      </c>
      <c r="C628" t="s">
        <v>3598</v>
      </c>
    </row>
    <row r="629" spans="2:3" x14ac:dyDescent="0.3">
      <c r="B629" t="s">
        <v>3599</v>
      </c>
      <c r="C629" t="s">
        <v>3600</v>
      </c>
    </row>
    <row r="630" spans="2:3" x14ac:dyDescent="0.3">
      <c r="B630" t="s">
        <v>918</v>
      </c>
      <c r="C630" t="s">
        <v>3601</v>
      </c>
    </row>
    <row r="631" spans="2:3" x14ac:dyDescent="0.3">
      <c r="B631" t="s">
        <v>920</v>
      </c>
      <c r="C631" t="s">
        <v>3602</v>
      </c>
    </row>
    <row r="632" spans="2:3" x14ac:dyDescent="0.3">
      <c r="B632" t="s">
        <v>922</v>
      </c>
      <c r="C632" t="s">
        <v>3603</v>
      </c>
    </row>
    <row r="633" spans="2:3" x14ac:dyDescent="0.3">
      <c r="B633" t="s">
        <v>924</v>
      </c>
      <c r="C633" t="s">
        <v>3604</v>
      </c>
    </row>
    <row r="634" spans="2:3" x14ac:dyDescent="0.3">
      <c r="B634" t="s">
        <v>3605</v>
      </c>
      <c r="C634" t="s">
        <v>3606</v>
      </c>
    </row>
    <row r="635" spans="2:3" x14ac:dyDescent="0.3">
      <c r="B635" t="s">
        <v>926</v>
      </c>
      <c r="C635" t="s">
        <v>3607</v>
      </c>
    </row>
    <row r="636" spans="2:3" x14ac:dyDescent="0.3">
      <c r="B636" t="s">
        <v>3608</v>
      </c>
      <c r="C636" t="s">
        <v>3609</v>
      </c>
    </row>
    <row r="637" spans="2:3" x14ac:dyDescent="0.3">
      <c r="B637" t="s">
        <v>928</v>
      </c>
      <c r="C637" t="s">
        <v>3610</v>
      </c>
    </row>
    <row r="638" spans="2:3" x14ac:dyDescent="0.3">
      <c r="B638" t="s">
        <v>930</v>
      </c>
      <c r="C638" t="s">
        <v>3611</v>
      </c>
    </row>
    <row r="639" spans="2:3" x14ac:dyDescent="0.3">
      <c r="B639" t="s">
        <v>932</v>
      </c>
      <c r="C639" t="s">
        <v>3612</v>
      </c>
    </row>
    <row r="640" spans="2:3" x14ac:dyDescent="0.3">
      <c r="B640" t="s">
        <v>934</v>
      </c>
      <c r="C640" t="s">
        <v>3613</v>
      </c>
    </row>
    <row r="641" spans="2:3" x14ac:dyDescent="0.3">
      <c r="B641" t="s">
        <v>936</v>
      </c>
      <c r="C641" t="s">
        <v>3614</v>
      </c>
    </row>
    <row r="642" spans="2:3" x14ac:dyDescent="0.3">
      <c r="B642" t="s">
        <v>3615</v>
      </c>
      <c r="C642" t="s">
        <v>3616</v>
      </c>
    </row>
    <row r="643" spans="2:3" x14ac:dyDescent="0.3">
      <c r="B643" t="s">
        <v>938</v>
      </c>
      <c r="C643" t="s">
        <v>3617</v>
      </c>
    </row>
    <row r="644" spans="2:3" x14ac:dyDescent="0.3">
      <c r="B644" t="s">
        <v>3618</v>
      </c>
      <c r="C644" t="s">
        <v>3619</v>
      </c>
    </row>
    <row r="645" spans="2:3" x14ac:dyDescent="0.3">
      <c r="B645" t="s">
        <v>940</v>
      </c>
      <c r="C645" t="s">
        <v>3620</v>
      </c>
    </row>
    <row r="646" spans="2:3" x14ac:dyDescent="0.3">
      <c r="B646" t="s">
        <v>942</v>
      </c>
      <c r="C646" t="s">
        <v>3621</v>
      </c>
    </row>
    <row r="647" spans="2:3" x14ac:dyDescent="0.3">
      <c r="B647" t="s">
        <v>3622</v>
      </c>
      <c r="C647" t="s">
        <v>3623</v>
      </c>
    </row>
    <row r="648" spans="2:3" x14ac:dyDescent="0.3">
      <c r="B648" t="s">
        <v>944</v>
      </c>
      <c r="C648" t="s">
        <v>3624</v>
      </c>
    </row>
    <row r="649" spans="2:3" x14ac:dyDescent="0.3">
      <c r="B649" t="s">
        <v>3625</v>
      </c>
      <c r="C649" t="s">
        <v>3626</v>
      </c>
    </row>
    <row r="650" spans="2:3" x14ac:dyDescent="0.3">
      <c r="B650" t="s">
        <v>946</v>
      </c>
      <c r="C650" t="s">
        <v>3627</v>
      </c>
    </row>
    <row r="651" spans="2:3" x14ac:dyDescent="0.3">
      <c r="B651" t="s">
        <v>948</v>
      </c>
      <c r="C651" t="s">
        <v>3628</v>
      </c>
    </row>
    <row r="652" spans="2:3" x14ac:dyDescent="0.3">
      <c r="B652" t="s">
        <v>950</v>
      </c>
      <c r="C652" t="s">
        <v>3629</v>
      </c>
    </row>
    <row r="653" spans="2:3" x14ac:dyDescent="0.3">
      <c r="B653" t="s">
        <v>5496</v>
      </c>
      <c r="C653" t="s">
        <v>5497</v>
      </c>
    </row>
    <row r="654" spans="2:3" x14ac:dyDescent="0.3">
      <c r="B654" t="s">
        <v>3630</v>
      </c>
      <c r="C654" t="s">
        <v>3631</v>
      </c>
    </row>
    <row r="655" spans="2:3" x14ac:dyDescent="0.3">
      <c r="B655" t="s">
        <v>3632</v>
      </c>
      <c r="C655" t="s">
        <v>3633</v>
      </c>
    </row>
    <row r="656" spans="2:3" x14ac:dyDescent="0.3">
      <c r="B656" t="s">
        <v>952</v>
      </c>
      <c r="C656" t="s">
        <v>3634</v>
      </c>
    </row>
    <row r="657" spans="2:3" x14ac:dyDescent="0.3">
      <c r="B657" t="s">
        <v>954</v>
      </c>
      <c r="C657" t="s">
        <v>3635</v>
      </c>
    </row>
    <row r="658" spans="2:3" x14ac:dyDescent="0.3">
      <c r="B658" t="s">
        <v>956</v>
      </c>
      <c r="C658" t="s">
        <v>3636</v>
      </c>
    </row>
    <row r="659" spans="2:3" x14ac:dyDescent="0.3">
      <c r="B659" t="s">
        <v>958</v>
      </c>
      <c r="C659" t="s">
        <v>3637</v>
      </c>
    </row>
    <row r="660" spans="2:3" x14ac:dyDescent="0.3">
      <c r="B660" t="s">
        <v>960</v>
      </c>
      <c r="C660" t="s">
        <v>3638</v>
      </c>
    </row>
    <row r="661" spans="2:3" x14ac:dyDescent="0.3">
      <c r="B661" t="s">
        <v>3639</v>
      </c>
      <c r="C661" t="s">
        <v>3640</v>
      </c>
    </row>
    <row r="662" spans="2:3" x14ac:dyDescent="0.3">
      <c r="B662" t="s">
        <v>962</v>
      </c>
      <c r="C662" t="s">
        <v>3641</v>
      </c>
    </row>
    <row r="663" spans="2:3" x14ac:dyDescent="0.3">
      <c r="B663" t="s">
        <v>964</v>
      </c>
      <c r="C663" t="s">
        <v>3642</v>
      </c>
    </row>
    <row r="664" spans="2:3" x14ac:dyDescent="0.3">
      <c r="B664" t="s">
        <v>3643</v>
      </c>
      <c r="C664" t="s">
        <v>3644</v>
      </c>
    </row>
    <row r="665" spans="2:3" x14ac:dyDescent="0.3">
      <c r="B665" t="s">
        <v>966</v>
      </c>
      <c r="C665" t="s">
        <v>3645</v>
      </c>
    </row>
    <row r="666" spans="2:3" x14ac:dyDescent="0.3">
      <c r="B666" t="s">
        <v>968</v>
      </c>
      <c r="C666" t="s">
        <v>3646</v>
      </c>
    </row>
    <row r="667" spans="2:3" x14ac:dyDescent="0.3">
      <c r="B667" t="s">
        <v>3647</v>
      </c>
      <c r="C667" t="s">
        <v>3648</v>
      </c>
    </row>
    <row r="668" spans="2:3" x14ac:dyDescent="0.3">
      <c r="B668" t="s">
        <v>970</v>
      </c>
      <c r="C668" t="s">
        <v>3649</v>
      </c>
    </row>
    <row r="669" spans="2:3" x14ac:dyDescent="0.3">
      <c r="B669" t="s">
        <v>972</v>
      </c>
      <c r="C669" t="s">
        <v>3650</v>
      </c>
    </row>
    <row r="670" spans="2:3" x14ac:dyDescent="0.3">
      <c r="B670" t="s">
        <v>3651</v>
      </c>
      <c r="C670" t="s">
        <v>3652</v>
      </c>
    </row>
    <row r="671" spans="2:3" x14ac:dyDescent="0.3">
      <c r="B671" t="s">
        <v>974</v>
      </c>
      <c r="C671" t="s">
        <v>3653</v>
      </c>
    </row>
    <row r="672" spans="2:3" x14ac:dyDescent="0.3">
      <c r="B672" t="s">
        <v>3654</v>
      </c>
      <c r="C672" t="s">
        <v>3655</v>
      </c>
    </row>
    <row r="673" spans="2:3" x14ac:dyDescent="0.3">
      <c r="B673" t="s">
        <v>3656</v>
      </c>
      <c r="C673" t="s">
        <v>3657</v>
      </c>
    </row>
    <row r="674" spans="2:3" x14ac:dyDescent="0.3">
      <c r="B674" t="s">
        <v>976</v>
      </c>
      <c r="C674" t="s">
        <v>3658</v>
      </c>
    </row>
    <row r="675" spans="2:3" x14ac:dyDescent="0.3">
      <c r="B675" t="s">
        <v>3659</v>
      </c>
      <c r="C675" t="s">
        <v>3660</v>
      </c>
    </row>
    <row r="676" spans="2:3" x14ac:dyDescent="0.3">
      <c r="B676" t="s">
        <v>978</v>
      </c>
      <c r="C676" t="s">
        <v>3661</v>
      </c>
    </row>
    <row r="677" spans="2:3" x14ac:dyDescent="0.3">
      <c r="B677" t="s">
        <v>980</v>
      </c>
      <c r="C677" t="s">
        <v>3662</v>
      </c>
    </row>
    <row r="678" spans="2:3" x14ac:dyDescent="0.3">
      <c r="B678" t="s">
        <v>982</v>
      </c>
      <c r="C678" t="s">
        <v>3663</v>
      </c>
    </row>
    <row r="679" spans="2:3" x14ac:dyDescent="0.3">
      <c r="B679" t="s">
        <v>3664</v>
      </c>
      <c r="C679" t="s">
        <v>3665</v>
      </c>
    </row>
    <row r="680" spans="2:3" x14ac:dyDescent="0.3">
      <c r="B680" t="s">
        <v>984</v>
      </c>
      <c r="C680" t="s">
        <v>3666</v>
      </c>
    </row>
    <row r="681" spans="2:3" x14ac:dyDescent="0.3">
      <c r="B681" t="s">
        <v>986</v>
      </c>
      <c r="C681" t="s">
        <v>3667</v>
      </c>
    </row>
    <row r="682" spans="2:3" x14ac:dyDescent="0.3">
      <c r="B682" t="s">
        <v>988</v>
      </c>
      <c r="C682" t="s">
        <v>3668</v>
      </c>
    </row>
    <row r="683" spans="2:3" x14ac:dyDescent="0.3">
      <c r="B683" t="s">
        <v>990</v>
      </c>
      <c r="C683" t="s">
        <v>3669</v>
      </c>
    </row>
    <row r="684" spans="2:3" x14ac:dyDescent="0.3">
      <c r="B684" t="s">
        <v>992</v>
      </c>
      <c r="C684" t="s">
        <v>3670</v>
      </c>
    </row>
    <row r="685" spans="2:3" x14ac:dyDescent="0.3">
      <c r="B685" t="s">
        <v>994</v>
      </c>
      <c r="C685" t="s">
        <v>3671</v>
      </c>
    </row>
    <row r="686" spans="2:3" x14ac:dyDescent="0.3">
      <c r="B686" t="s">
        <v>996</v>
      </c>
      <c r="C686" t="s">
        <v>3672</v>
      </c>
    </row>
    <row r="687" spans="2:3" x14ac:dyDescent="0.3">
      <c r="B687" t="s">
        <v>998</v>
      </c>
      <c r="C687" t="s">
        <v>3673</v>
      </c>
    </row>
    <row r="688" spans="2:3" x14ac:dyDescent="0.3">
      <c r="B688" t="s">
        <v>1000</v>
      </c>
      <c r="C688" t="s">
        <v>3674</v>
      </c>
    </row>
    <row r="689" spans="2:3" x14ac:dyDescent="0.3">
      <c r="B689" t="s">
        <v>3675</v>
      </c>
      <c r="C689" t="s">
        <v>3676</v>
      </c>
    </row>
    <row r="690" spans="2:3" x14ac:dyDescent="0.3">
      <c r="B690" t="s">
        <v>1002</v>
      </c>
      <c r="C690" t="s">
        <v>3677</v>
      </c>
    </row>
    <row r="691" spans="2:3" x14ac:dyDescent="0.3">
      <c r="B691" t="s">
        <v>1004</v>
      </c>
      <c r="C691" t="s">
        <v>3678</v>
      </c>
    </row>
    <row r="692" spans="2:3" x14ac:dyDescent="0.3">
      <c r="B692" t="s">
        <v>3679</v>
      </c>
      <c r="C692" t="s">
        <v>3680</v>
      </c>
    </row>
    <row r="693" spans="2:3" x14ac:dyDescent="0.3">
      <c r="B693" t="s">
        <v>5435</v>
      </c>
      <c r="C693" t="s">
        <v>3681</v>
      </c>
    </row>
    <row r="694" spans="2:3" x14ac:dyDescent="0.3">
      <c r="B694" t="s">
        <v>3682</v>
      </c>
      <c r="C694" t="s">
        <v>3683</v>
      </c>
    </row>
    <row r="695" spans="2:3" x14ac:dyDescent="0.3">
      <c r="B695" t="s">
        <v>1006</v>
      </c>
      <c r="C695" t="s">
        <v>3684</v>
      </c>
    </row>
    <row r="696" spans="2:3" x14ac:dyDescent="0.3">
      <c r="B696" t="s">
        <v>1008</v>
      </c>
      <c r="C696" t="s">
        <v>3685</v>
      </c>
    </row>
    <row r="697" spans="2:3" x14ac:dyDescent="0.3">
      <c r="B697" t="s">
        <v>3686</v>
      </c>
      <c r="C697" t="s">
        <v>3687</v>
      </c>
    </row>
    <row r="698" spans="2:3" x14ac:dyDescent="0.3">
      <c r="B698" t="s">
        <v>1010</v>
      </c>
      <c r="C698" t="s">
        <v>3688</v>
      </c>
    </row>
    <row r="699" spans="2:3" x14ac:dyDescent="0.3">
      <c r="B699" t="s">
        <v>1012</v>
      </c>
      <c r="C699" t="s">
        <v>3689</v>
      </c>
    </row>
    <row r="700" spans="2:3" x14ac:dyDescent="0.3">
      <c r="B700" t="s">
        <v>1013</v>
      </c>
      <c r="C700" t="s">
        <v>3690</v>
      </c>
    </row>
    <row r="701" spans="2:3" x14ac:dyDescent="0.3">
      <c r="B701" t="s">
        <v>5361</v>
      </c>
      <c r="C701" t="s">
        <v>5362</v>
      </c>
    </row>
    <row r="702" spans="2:3" x14ac:dyDescent="0.3">
      <c r="B702" t="s">
        <v>1015</v>
      </c>
      <c r="C702" t="s">
        <v>3691</v>
      </c>
    </row>
    <row r="703" spans="2:3" x14ac:dyDescent="0.3">
      <c r="B703" t="s">
        <v>3692</v>
      </c>
      <c r="C703" t="s">
        <v>3693</v>
      </c>
    </row>
    <row r="704" spans="2:3" x14ac:dyDescent="0.3">
      <c r="B704" t="s">
        <v>1017</v>
      </c>
      <c r="C704" t="s">
        <v>3694</v>
      </c>
    </row>
    <row r="705" spans="2:3" x14ac:dyDescent="0.3">
      <c r="B705" t="s">
        <v>1019</v>
      </c>
      <c r="C705" t="s">
        <v>3695</v>
      </c>
    </row>
    <row r="706" spans="2:3" x14ac:dyDescent="0.3">
      <c r="B706" t="s">
        <v>1021</v>
      </c>
      <c r="C706" t="s">
        <v>3696</v>
      </c>
    </row>
    <row r="707" spans="2:3" x14ac:dyDescent="0.3">
      <c r="B707" t="s">
        <v>3697</v>
      </c>
      <c r="C707" t="s">
        <v>3698</v>
      </c>
    </row>
    <row r="708" spans="2:3" x14ac:dyDescent="0.3">
      <c r="B708" t="s">
        <v>3699</v>
      </c>
      <c r="C708" t="s">
        <v>3700</v>
      </c>
    </row>
    <row r="709" spans="2:3" x14ac:dyDescent="0.3">
      <c r="B709" t="s">
        <v>1023</v>
      </c>
      <c r="C709" t="s">
        <v>3701</v>
      </c>
    </row>
    <row r="710" spans="2:3" x14ac:dyDescent="0.3">
      <c r="B710" t="s">
        <v>1025</v>
      </c>
      <c r="C710" t="s">
        <v>3702</v>
      </c>
    </row>
    <row r="711" spans="2:3" x14ac:dyDescent="0.3">
      <c r="B711" t="s">
        <v>3703</v>
      </c>
      <c r="C711" t="s">
        <v>3704</v>
      </c>
    </row>
    <row r="712" spans="2:3" x14ac:dyDescent="0.3">
      <c r="B712" t="s">
        <v>1027</v>
      </c>
      <c r="C712" t="s">
        <v>3705</v>
      </c>
    </row>
    <row r="713" spans="2:3" x14ac:dyDescent="0.3">
      <c r="B713" t="s">
        <v>3706</v>
      </c>
      <c r="C713" t="s">
        <v>3707</v>
      </c>
    </row>
    <row r="714" spans="2:3" x14ac:dyDescent="0.3">
      <c r="B714" t="s">
        <v>3708</v>
      </c>
      <c r="C714" t="s">
        <v>3709</v>
      </c>
    </row>
    <row r="715" spans="2:3" x14ac:dyDescent="0.3">
      <c r="B715" t="s">
        <v>1029</v>
      </c>
      <c r="C715" t="s">
        <v>3710</v>
      </c>
    </row>
    <row r="716" spans="2:3" x14ac:dyDescent="0.3">
      <c r="B716" t="s">
        <v>1033</v>
      </c>
      <c r="C716" t="s">
        <v>3711</v>
      </c>
    </row>
    <row r="717" spans="2:3" x14ac:dyDescent="0.3">
      <c r="B717" t="s">
        <v>1035</v>
      </c>
      <c r="C717" t="s">
        <v>3712</v>
      </c>
    </row>
    <row r="718" spans="2:3" x14ac:dyDescent="0.3">
      <c r="B718" t="s">
        <v>1037</v>
      </c>
      <c r="C718" t="s">
        <v>3713</v>
      </c>
    </row>
    <row r="719" spans="2:3" x14ac:dyDescent="0.3">
      <c r="B719" t="s">
        <v>1039</v>
      </c>
      <c r="C719" t="s">
        <v>3714</v>
      </c>
    </row>
    <row r="720" spans="2:3" x14ac:dyDescent="0.3">
      <c r="B720" t="s">
        <v>1041</v>
      </c>
      <c r="C720" t="s">
        <v>3715</v>
      </c>
    </row>
    <row r="721" spans="2:3" x14ac:dyDescent="0.3">
      <c r="B721" t="s">
        <v>1043</v>
      </c>
      <c r="C721" t="s">
        <v>3716</v>
      </c>
    </row>
    <row r="722" spans="2:3" x14ac:dyDescent="0.3">
      <c r="B722" t="s">
        <v>3717</v>
      </c>
      <c r="C722" t="s">
        <v>3718</v>
      </c>
    </row>
    <row r="723" spans="2:3" x14ac:dyDescent="0.3">
      <c r="B723" t="s">
        <v>1045</v>
      </c>
      <c r="C723" t="s">
        <v>3719</v>
      </c>
    </row>
    <row r="724" spans="2:3" x14ac:dyDescent="0.3">
      <c r="B724" t="s">
        <v>3720</v>
      </c>
      <c r="C724" t="s">
        <v>3721</v>
      </c>
    </row>
    <row r="725" spans="2:3" x14ac:dyDescent="0.3">
      <c r="B725" t="s">
        <v>5307</v>
      </c>
      <c r="C725" t="s">
        <v>5308</v>
      </c>
    </row>
    <row r="726" spans="2:3" x14ac:dyDescent="0.3">
      <c r="B726" t="s">
        <v>1049</v>
      </c>
      <c r="C726" t="s">
        <v>3722</v>
      </c>
    </row>
    <row r="727" spans="2:3" x14ac:dyDescent="0.3">
      <c r="B727" t="s">
        <v>1051</v>
      </c>
      <c r="C727" t="s">
        <v>3723</v>
      </c>
    </row>
    <row r="728" spans="2:3" x14ac:dyDescent="0.3">
      <c r="B728" t="s">
        <v>3724</v>
      </c>
      <c r="C728" t="s">
        <v>3725</v>
      </c>
    </row>
    <row r="729" spans="2:3" x14ac:dyDescent="0.3">
      <c r="B729" t="s">
        <v>1053</v>
      </c>
      <c r="C729" t="s">
        <v>3726</v>
      </c>
    </row>
    <row r="730" spans="2:3" x14ac:dyDescent="0.3">
      <c r="B730" t="s">
        <v>1055</v>
      </c>
      <c r="C730" t="s">
        <v>3727</v>
      </c>
    </row>
    <row r="731" spans="2:3" x14ac:dyDescent="0.3">
      <c r="B731" t="s">
        <v>1057</v>
      </c>
      <c r="C731" t="s">
        <v>3728</v>
      </c>
    </row>
    <row r="732" spans="2:3" x14ac:dyDescent="0.3">
      <c r="B732" t="s">
        <v>1059</v>
      </c>
      <c r="C732" t="s">
        <v>3729</v>
      </c>
    </row>
    <row r="733" spans="2:3" x14ac:dyDescent="0.3">
      <c r="B733" t="s">
        <v>3730</v>
      </c>
      <c r="C733" t="s">
        <v>3731</v>
      </c>
    </row>
    <row r="734" spans="2:3" x14ac:dyDescent="0.3">
      <c r="B734" t="s">
        <v>1061</v>
      </c>
      <c r="C734" t="s">
        <v>3732</v>
      </c>
    </row>
    <row r="735" spans="2:3" x14ac:dyDescent="0.3">
      <c r="B735" t="s">
        <v>1063</v>
      </c>
      <c r="C735" t="s">
        <v>3733</v>
      </c>
    </row>
    <row r="736" spans="2:3" x14ac:dyDescent="0.3">
      <c r="B736" t="s">
        <v>3734</v>
      </c>
      <c r="C736" t="s">
        <v>3735</v>
      </c>
    </row>
    <row r="737" spans="2:3" x14ac:dyDescent="0.3">
      <c r="B737" t="s">
        <v>1065</v>
      </c>
      <c r="C737" t="s">
        <v>3736</v>
      </c>
    </row>
    <row r="738" spans="2:3" x14ac:dyDescent="0.3">
      <c r="B738" t="s">
        <v>1067</v>
      </c>
      <c r="C738" t="s">
        <v>3737</v>
      </c>
    </row>
    <row r="739" spans="2:3" x14ac:dyDescent="0.3">
      <c r="B739" t="s">
        <v>1069</v>
      </c>
      <c r="C739" t="s">
        <v>3738</v>
      </c>
    </row>
    <row r="740" spans="2:3" x14ac:dyDescent="0.3">
      <c r="B740" t="s">
        <v>1071</v>
      </c>
      <c r="C740" t="s">
        <v>3739</v>
      </c>
    </row>
    <row r="741" spans="2:3" x14ac:dyDescent="0.3">
      <c r="B741" t="s">
        <v>1073</v>
      </c>
      <c r="C741" t="s">
        <v>3740</v>
      </c>
    </row>
    <row r="742" spans="2:3" x14ac:dyDescent="0.3">
      <c r="B742" t="s">
        <v>3741</v>
      </c>
      <c r="C742" t="s">
        <v>3742</v>
      </c>
    </row>
    <row r="743" spans="2:3" x14ac:dyDescent="0.3">
      <c r="B743" t="s">
        <v>1075</v>
      </c>
      <c r="C743" t="s">
        <v>3743</v>
      </c>
    </row>
    <row r="744" spans="2:3" x14ac:dyDescent="0.3">
      <c r="B744" t="s">
        <v>1077</v>
      </c>
      <c r="C744" t="s">
        <v>3744</v>
      </c>
    </row>
    <row r="745" spans="2:3" x14ac:dyDescent="0.3">
      <c r="B745" t="s">
        <v>1079</v>
      </c>
      <c r="C745" t="s">
        <v>5378</v>
      </c>
    </row>
    <row r="746" spans="2:3" x14ac:dyDescent="0.3">
      <c r="B746" t="s">
        <v>1080</v>
      </c>
      <c r="C746" t="s">
        <v>3745</v>
      </c>
    </row>
    <row r="747" spans="2:3" x14ac:dyDescent="0.3">
      <c r="B747" t="s">
        <v>1082</v>
      </c>
      <c r="C747" t="s">
        <v>3746</v>
      </c>
    </row>
    <row r="748" spans="2:3" x14ac:dyDescent="0.3">
      <c r="B748" t="s">
        <v>1084</v>
      </c>
      <c r="C748" t="s">
        <v>3747</v>
      </c>
    </row>
    <row r="749" spans="2:3" x14ac:dyDescent="0.3">
      <c r="B749" t="s">
        <v>1086</v>
      </c>
      <c r="C749" t="s">
        <v>3748</v>
      </c>
    </row>
    <row r="750" spans="2:3" x14ac:dyDescent="0.3">
      <c r="B750" t="s">
        <v>1088</v>
      </c>
      <c r="C750" t="s">
        <v>3749</v>
      </c>
    </row>
    <row r="751" spans="2:3" x14ac:dyDescent="0.3">
      <c r="B751" t="s">
        <v>1092</v>
      </c>
      <c r="C751" t="s">
        <v>3750</v>
      </c>
    </row>
    <row r="752" spans="2:3" x14ac:dyDescent="0.3">
      <c r="B752" t="s">
        <v>1094</v>
      </c>
      <c r="C752" t="s">
        <v>3751</v>
      </c>
    </row>
    <row r="753" spans="2:3" x14ac:dyDescent="0.3">
      <c r="B753" t="s">
        <v>1096</v>
      </c>
      <c r="C753" t="s">
        <v>3752</v>
      </c>
    </row>
    <row r="754" spans="2:3" x14ac:dyDescent="0.3">
      <c r="B754" t="s">
        <v>3753</v>
      </c>
      <c r="C754" t="s">
        <v>3754</v>
      </c>
    </row>
    <row r="755" spans="2:3" x14ac:dyDescent="0.3">
      <c r="B755" t="s">
        <v>1098</v>
      </c>
      <c r="C755" t="s">
        <v>3755</v>
      </c>
    </row>
    <row r="756" spans="2:3" x14ac:dyDescent="0.3">
      <c r="B756" t="s">
        <v>1100</v>
      </c>
      <c r="C756" t="s">
        <v>3756</v>
      </c>
    </row>
    <row r="757" spans="2:3" x14ac:dyDescent="0.3">
      <c r="B757" t="s">
        <v>3757</v>
      </c>
      <c r="C757" t="s">
        <v>3758</v>
      </c>
    </row>
    <row r="758" spans="2:3" x14ac:dyDescent="0.3">
      <c r="B758" t="s">
        <v>3759</v>
      </c>
      <c r="C758" t="s">
        <v>3760</v>
      </c>
    </row>
    <row r="759" spans="2:3" x14ac:dyDescent="0.3">
      <c r="B759" t="s">
        <v>1102</v>
      </c>
      <c r="C759" t="s">
        <v>3761</v>
      </c>
    </row>
    <row r="760" spans="2:3" x14ac:dyDescent="0.3">
      <c r="B760" t="s">
        <v>3762</v>
      </c>
      <c r="C760" t="s">
        <v>3763</v>
      </c>
    </row>
    <row r="761" spans="2:3" x14ac:dyDescent="0.3">
      <c r="B761" t="s">
        <v>1104</v>
      </c>
      <c r="C761" t="s">
        <v>3764</v>
      </c>
    </row>
    <row r="762" spans="2:3" x14ac:dyDescent="0.3">
      <c r="B762" t="s">
        <v>3765</v>
      </c>
      <c r="C762" t="s">
        <v>3766</v>
      </c>
    </row>
    <row r="763" spans="2:3" x14ac:dyDescent="0.3">
      <c r="B763" t="s">
        <v>3767</v>
      </c>
      <c r="C763" t="s">
        <v>3768</v>
      </c>
    </row>
    <row r="764" spans="2:3" x14ac:dyDescent="0.3">
      <c r="B764" t="s">
        <v>3769</v>
      </c>
      <c r="C764" t="s">
        <v>3770</v>
      </c>
    </row>
    <row r="765" spans="2:3" x14ac:dyDescent="0.3">
      <c r="B765" t="s">
        <v>1106</v>
      </c>
      <c r="C765" t="s">
        <v>3771</v>
      </c>
    </row>
    <row r="766" spans="2:3" x14ac:dyDescent="0.3">
      <c r="B766" t="s">
        <v>1108</v>
      </c>
      <c r="C766" t="s">
        <v>3772</v>
      </c>
    </row>
    <row r="767" spans="2:3" x14ac:dyDescent="0.3">
      <c r="B767" t="s">
        <v>1110</v>
      </c>
      <c r="C767" t="s">
        <v>3773</v>
      </c>
    </row>
    <row r="768" spans="2:3" x14ac:dyDescent="0.3">
      <c r="B768" t="s">
        <v>3774</v>
      </c>
      <c r="C768" t="s">
        <v>3775</v>
      </c>
    </row>
    <row r="769" spans="2:3" x14ac:dyDescent="0.3">
      <c r="B769" t="s">
        <v>3776</v>
      </c>
      <c r="C769" t="s">
        <v>3777</v>
      </c>
    </row>
    <row r="770" spans="2:3" x14ac:dyDescent="0.3">
      <c r="B770" t="s">
        <v>1112</v>
      </c>
      <c r="C770" t="s">
        <v>3778</v>
      </c>
    </row>
    <row r="771" spans="2:3" x14ac:dyDescent="0.3">
      <c r="B771" t="s">
        <v>1114</v>
      </c>
      <c r="C771" t="s">
        <v>3779</v>
      </c>
    </row>
    <row r="772" spans="2:3" x14ac:dyDescent="0.3">
      <c r="B772" t="s">
        <v>1116</v>
      </c>
      <c r="C772" t="s">
        <v>3780</v>
      </c>
    </row>
    <row r="773" spans="2:3" x14ac:dyDescent="0.3">
      <c r="B773" t="s">
        <v>3781</v>
      </c>
      <c r="C773" t="s">
        <v>3782</v>
      </c>
    </row>
    <row r="774" spans="2:3" x14ac:dyDescent="0.3">
      <c r="B774" t="s">
        <v>1118</v>
      </c>
      <c r="C774" t="s">
        <v>3783</v>
      </c>
    </row>
    <row r="775" spans="2:3" x14ac:dyDescent="0.3">
      <c r="B775" t="s">
        <v>1118</v>
      </c>
      <c r="C775" t="s">
        <v>3784</v>
      </c>
    </row>
    <row r="776" spans="2:3" x14ac:dyDescent="0.3">
      <c r="B776" t="s">
        <v>1120</v>
      </c>
      <c r="C776" t="s">
        <v>3785</v>
      </c>
    </row>
    <row r="777" spans="2:3" x14ac:dyDescent="0.3">
      <c r="B777" t="s">
        <v>1122</v>
      </c>
      <c r="C777" t="s">
        <v>3786</v>
      </c>
    </row>
    <row r="778" spans="2:3" x14ac:dyDescent="0.3">
      <c r="B778" t="s">
        <v>1124</v>
      </c>
      <c r="C778" t="s">
        <v>3787</v>
      </c>
    </row>
    <row r="779" spans="2:3" x14ac:dyDescent="0.3">
      <c r="B779" t="s">
        <v>1126</v>
      </c>
      <c r="C779" t="s">
        <v>3788</v>
      </c>
    </row>
    <row r="780" spans="2:3" x14ac:dyDescent="0.3">
      <c r="B780" t="s">
        <v>3789</v>
      </c>
      <c r="C780" t="s">
        <v>3790</v>
      </c>
    </row>
    <row r="781" spans="2:3" x14ac:dyDescent="0.3">
      <c r="B781" t="s">
        <v>1130</v>
      </c>
      <c r="C781" t="s">
        <v>3791</v>
      </c>
    </row>
    <row r="782" spans="2:3" x14ac:dyDescent="0.3">
      <c r="B782" t="s">
        <v>1132</v>
      </c>
      <c r="C782" t="s">
        <v>3792</v>
      </c>
    </row>
    <row r="783" spans="2:3" x14ac:dyDescent="0.3">
      <c r="B783" t="s">
        <v>1134</v>
      </c>
      <c r="C783" t="s">
        <v>3793</v>
      </c>
    </row>
    <row r="784" spans="2:3" x14ac:dyDescent="0.3">
      <c r="B784" t="s">
        <v>3794</v>
      </c>
      <c r="C784" t="s">
        <v>3795</v>
      </c>
    </row>
    <row r="785" spans="2:3" x14ac:dyDescent="0.3">
      <c r="B785" t="s">
        <v>1136</v>
      </c>
      <c r="C785" t="s">
        <v>3796</v>
      </c>
    </row>
    <row r="786" spans="2:3" x14ac:dyDescent="0.3">
      <c r="B786" t="s">
        <v>3797</v>
      </c>
      <c r="C786" t="s">
        <v>3798</v>
      </c>
    </row>
    <row r="787" spans="2:3" x14ac:dyDescent="0.3">
      <c r="B787" t="s">
        <v>1138</v>
      </c>
      <c r="C787" t="s">
        <v>3799</v>
      </c>
    </row>
    <row r="788" spans="2:3" x14ac:dyDescent="0.3">
      <c r="B788" t="s">
        <v>1140</v>
      </c>
      <c r="C788" t="s">
        <v>3800</v>
      </c>
    </row>
    <row r="789" spans="2:3" x14ac:dyDescent="0.3">
      <c r="B789" t="s">
        <v>1142</v>
      </c>
      <c r="C789" t="s">
        <v>3801</v>
      </c>
    </row>
    <row r="790" spans="2:3" x14ac:dyDescent="0.3">
      <c r="B790" t="s">
        <v>1143</v>
      </c>
      <c r="C790" t="s">
        <v>3802</v>
      </c>
    </row>
    <row r="791" spans="2:3" x14ac:dyDescent="0.3">
      <c r="B791" t="s">
        <v>3803</v>
      </c>
      <c r="C791" t="s">
        <v>3804</v>
      </c>
    </row>
    <row r="792" spans="2:3" x14ac:dyDescent="0.3">
      <c r="B792" t="s">
        <v>1145</v>
      </c>
      <c r="C792" t="s">
        <v>3805</v>
      </c>
    </row>
    <row r="793" spans="2:3" x14ac:dyDescent="0.3">
      <c r="B793" t="s">
        <v>3806</v>
      </c>
      <c r="C793" t="s">
        <v>3807</v>
      </c>
    </row>
    <row r="794" spans="2:3" x14ac:dyDescent="0.3">
      <c r="B794" t="s">
        <v>3808</v>
      </c>
      <c r="C794" t="s">
        <v>3809</v>
      </c>
    </row>
    <row r="795" spans="2:3" x14ac:dyDescent="0.3">
      <c r="B795" t="s">
        <v>1147</v>
      </c>
      <c r="C795" t="s">
        <v>3810</v>
      </c>
    </row>
    <row r="796" spans="2:3" x14ac:dyDescent="0.3">
      <c r="B796" t="s">
        <v>3811</v>
      </c>
      <c r="C796" t="s">
        <v>3812</v>
      </c>
    </row>
    <row r="797" spans="2:3" x14ac:dyDescent="0.3">
      <c r="B797" t="s">
        <v>3813</v>
      </c>
      <c r="C797" t="s">
        <v>3814</v>
      </c>
    </row>
    <row r="798" spans="2:3" x14ac:dyDescent="0.3">
      <c r="B798" t="s">
        <v>3815</v>
      </c>
      <c r="C798" t="s">
        <v>3816</v>
      </c>
    </row>
    <row r="799" spans="2:3" x14ac:dyDescent="0.3">
      <c r="B799" t="s">
        <v>1149</v>
      </c>
      <c r="C799" t="s">
        <v>3817</v>
      </c>
    </row>
    <row r="800" spans="2:3" x14ac:dyDescent="0.3">
      <c r="B800" t="s">
        <v>3818</v>
      </c>
      <c r="C800" t="s">
        <v>3819</v>
      </c>
    </row>
    <row r="801" spans="2:3" x14ac:dyDescent="0.3">
      <c r="B801" t="s">
        <v>1151</v>
      </c>
      <c r="C801" t="s">
        <v>3820</v>
      </c>
    </row>
    <row r="802" spans="2:3" x14ac:dyDescent="0.3">
      <c r="B802" t="s">
        <v>1153</v>
      </c>
      <c r="C802" t="s">
        <v>3821</v>
      </c>
    </row>
    <row r="803" spans="2:3" x14ac:dyDescent="0.3">
      <c r="B803" t="s">
        <v>3822</v>
      </c>
      <c r="C803" t="s">
        <v>3823</v>
      </c>
    </row>
    <row r="804" spans="2:3" x14ac:dyDescent="0.3">
      <c r="B804" t="s">
        <v>1155</v>
      </c>
      <c r="C804" t="s">
        <v>3824</v>
      </c>
    </row>
    <row r="805" spans="2:3" x14ac:dyDescent="0.3">
      <c r="B805" t="s">
        <v>1157</v>
      </c>
      <c r="C805" t="s">
        <v>3825</v>
      </c>
    </row>
    <row r="806" spans="2:3" x14ac:dyDescent="0.3">
      <c r="B806" t="s">
        <v>1159</v>
      </c>
      <c r="C806" t="s">
        <v>3826</v>
      </c>
    </row>
    <row r="807" spans="2:3" x14ac:dyDescent="0.3">
      <c r="B807" t="s">
        <v>1161</v>
      </c>
      <c r="C807" t="s">
        <v>3827</v>
      </c>
    </row>
    <row r="808" spans="2:3" x14ac:dyDescent="0.3">
      <c r="B808" t="s">
        <v>1163</v>
      </c>
      <c r="C808" t="s">
        <v>3828</v>
      </c>
    </row>
    <row r="809" spans="2:3" x14ac:dyDescent="0.3">
      <c r="B809" t="s">
        <v>1165</v>
      </c>
      <c r="C809" t="s">
        <v>3829</v>
      </c>
    </row>
    <row r="810" spans="2:3" x14ac:dyDescent="0.3">
      <c r="B810" t="s">
        <v>3830</v>
      </c>
      <c r="C810" t="s">
        <v>3831</v>
      </c>
    </row>
    <row r="811" spans="2:3" x14ac:dyDescent="0.3">
      <c r="B811" t="s">
        <v>1167</v>
      </c>
      <c r="C811" t="s">
        <v>3832</v>
      </c>
    </row>
    <row r="812" spans="2:3" x14ac:dyDescent="0.3">
      <c r="B812" t="s">
        <v>1169</v>
      </c>
      <c r="C812" t="s">
        <v>3833</v>
      </c>
    </row>
    <row r="813" spans="2:3" x14ac:dyDescent="0.3">
      <c r="B813" t="s">
        <v>3834</v>
      </c>
      <c r="C813" t="s">
        <v>3835</v>
      </c>
    </row>
    <row r="814" spans="2:3" x14ac:dyDescent="0.3">
      <c r="B814" t="s">
        <v>1171</v>
      </c>
      <c r="C814" t="s">
        <v>3836</v>
      </c>
    </row>
    <row r="815" spans="2:3" x14ac:dyDescent="0.3">
      <c r="B815" t="s">
        <v>1173</v>
      </c>
      <c r="C815" t="s">
        <v>3837</v>
      </c>
    </row>
    <row r="816" spans="2:3" x14ac:dyDescent="0.3">
      <c r="B816" t="s">
        <v>5298</v>
      </c>
      <c r="C816" t="s">
        <v>3838</v>
      </c>
    </row>
    <row r="817" spans="2:3" x14ac:dyDescent="0.3">
      <c r="B817" t="s">
        <v>1175</v>
      </c>
      <c r="C817" t="s">
        <v>3839</v>
      </c>
    </row>
    <row r="818" spans="2:3" x14ac:dyDescent="0.3">
      <c r="B818" t="s">
        <v>1177</v>
      </c>
      <c r="C818" t="s">
        <v>3840</v>
      </c>
    </row>
    <row r="819" spans="2:3" x14ac:dyDescent="0.3">
      <c r="B819" t="s">
        <v>1179</v>
      </c>
      <c r="C819" t="s">
        <v>3841</v>
      </c>
    </row>
    <row r="820" spans="2:3" x14ac:dyDescent="0.3">
      <c r="B820" t="s">
        <v>1181</v>
      </c>
      <c r="C820" t="s">
        <v>3842</v>
      </c>
    </row>
    <row r="821" spans="2:3" x14ac:dyDescent="0.3">
      <c r="B821" t="s">
        <v>1183</v>
      </c>
      <c r="C821" t="s">
        <v>3843</v>
      </c>
    </row>
    <row r="822" spans="2:3" x14ac:dyDescent="0.3">
      <c r="B822" t="s">
        <v>1185</v>
      </c>
      <c r="C822" t="s">
        <v>3844</v>
      </c>
    </row>
    <row r="823" spans="2:3" x14ac:dyDescent="0.3">
      <c r="B823" t="s">
        <v>1187</v>
      </c>
      <c r="C823" t="s">
        <v>3845</v>
      </c>
    </row>
    <row r="824" spans="2:3" x14ac:dyDescent="0.3">
      <c r="B824" t="s">
        <v>1189</v>
      </c>
      <c r="C824" t="s">
        <v>3846</v>
      </c>
    </row>
    <row r="825" spans="2:3" x14ac:dyDescent="0.3">
      <c r="B825" t="s">
        <v>1191</v>
      </c>
      <c r="C825" t="s">
        <v>3847</v>
      </c>
    </row>
    <row r="826" spans="2:3" x14ac:dyDescent="0.3">
      <c r="B826" t="s">
        <v>1194</v>
      </c>
      <c r="C826" t="s">
        <v>3848</v>
      </c>
    </row>
    <row r="827" spans="2:3" x14ac:dyDescent="0.3">
      <c r="B827" t="s">
        <v>1196</v>
      </c>
      <c r="C827" t="s">
        <v>3849</v>
      </c>
    </row>
    <row r="828" spans="2:3" x14ac:dyDescent="0.3">
      <c r="B828" t="s">
        <v>1198</v>
      </c>
      <c r="C828" t="s">
        <v>3850</v>
      </c>
    </row>
    <row r="829" spans="2:3" x14ac:dyDescent="0.3">
      <c r="B829" t="s">
        <v>1200</v>
      </c>
      <c r="C829" t="s">
        <v>3851</v>
      </c>
    </row>
    <row r="830" spans="2:3" x14ac:dyDescent="0.3">
      <c r="B830" t="s">
        <v>1201</v>
      </c>
      <c r="C830" t="s">
        <v>3852</v>
      </c>
    </row>
    <row r="831" spans="2:3" x14ac:dyDescent="0.3">
      <c r="B831" t="s">
        <v>3853</v>
      </c>
      <c r="C831" t="s">
        <v>3854</v>
      </c>
    </row>
    <row r="832" spans="2:3" x14ac:dyDescent="0.3">
      <c r="B832" t="s">
        <v>3855</v>
      </c>
      <c r="C832" t="s">
        <v>3856</v>
      </c>
    </row>
    <row r="833" spans="2:3" x14ac:dyDescent="0.3">
      <c r="B833" t="s">
        <v>1203</v>
      </c>
      <c r="C833" t="s">
        <v>3857</v>
      </c>
    </row>
    <row r="834" spans="2:3" x14ac:dyDescent="0.3">
      <c r="B834" t="s">
        <v>3858</v>
      </c>
      <c r="C834" t="s">
        <v>3859</v>
      </c>
    </row>
    <row r="835" spans="2:3" x14ac:dyDescent="0.3">
      <c r="B835" t="s">
        <v>1205</v>
      </c>
      <c r="C835" t="s">
        <v>3860</v>
      </c>
    </row>
    <row r="836" spans="2:3" x14ac:dyDescent="0.3">
      <c r="B836" t="s">
        <v>1207</v>
      </c>
      <c r="C836" t="s">
        <v>3861</v>
      </c>
    </row>
    <row r="837" spans="2:3" x14ac:dyDescent="0.3">
      <c r="B837" t="s">
        <v>1211</v>
      </c>
      <c r="C837" t="s">
        <v>3862</v>
      </c>
    </row>
    <row r="838" spans="2:3" x14ac:dyDescent="0.3">
      <c r="B838" t="s">
        <v>1213</v>
      </c>
      <c r="C838" t="s">
        <v>3863</v>
      </c>
    </row>
    <row r="839" spans="2:3" x14ac:dyDescent="0.3">
      <c r="B839" t="s">
        <v>1215</v>
      </c>
      <c r="C839" t="s">
        <v>3864</v>
      </c>
    </row>
    <row r="840" spans="2:3" x14ac:dyDescent="0.3">
      <c r="B840" t="s">
        <v>5331</v>
      </c>
      <c r="C840" t="s">
        <v>3865</v>
      </c>
    </row>
    <row r="841" spans="2:3" x14ac:dyDescent="0.3">
      <c r="B841" t="s">
        <v>1218</v>
      </c>
      <c r="C841" t="s">
        <v>3866</v>
      </c>
    </row>
    <row r="842" spans="2:3" x14ac:dyDescent="0.3">
      <c r="B842" t="s">
        <v>1220</v>
      </c>
      <c r="C842" t="s">
        <v>3867</v>
      </c>
    </row>
    <row r="843" spans="2:3" x14ac:dyDescent="0.3">
      <c r="B843" t="s">
        <v>1222</v>
      </c>
      <c r="C843" t="s">
        <v>3868</v>
      </c>
    </row>
    <row r="844" spans="2:3" x14ac:dyDescent="0.3">
      <c r="B844" t="s">
        <v>3869</v>
      </c>
      <c r="C844" t="s">
        <v>3870</v>
      </c>
    </row>
    <row r="845" spans="2:3" x14ac:dyDescent="0.3">
      <c r="B845" t="s">
        <v>1224</v>
      </c>
      <c r="C845" t="s">
        <v>3871</v>
      </c>
    </row>
    <row r="846" spans="2:3" x14ac:dyDescent="0.3">
      <c r="B846" t="s">
        <v>1226</v>
      </c>
      <c r="C846" t="s">
        <v>3872</v>
      </c>
    </row>
    <row r="847" spans="2:3" x14ac:dyDescent="0.3">
      <c r="B847" t="s">
        <v>1228</v>
      </c>
      <c r="C847" t="s">
        <v>3873</v>
      </c>
    </row>
    <row r="848" spans="2:3" x14ac:dyDescent="0.3">
      <c r="B848" t="s">
        <v>1230</v>
      </c>
      <c r="C848" t="s">
        <v>3874</v>
      </c>
    </row>
    <row r="849" spans="2:3" x14ac:dyDescent="0.3">
      <c r="B849" t="s">
        <v>1232</v>
      </c>
      <c r="C849" t="s">
        <v>3875</v>
      </c>
    </row>
    <row r="850" spans="2:3" x14ac:dyDescent="0.3">
      <c r="B850" t="s">
        <v>1234</v>
      </c>
      <c r="C850" t="s">
        <v>3876</v>
      </c>
    </row>
    <row r="851" spans="2:3" x14ac:dyDescent="0.3">
      <c r="B851" t="s">
        <v>1236</v>
      </c>
      <c r="C851" t="s">
        <v>3877</v>
      </c>
    </row>
    <row r="852" spans="2:3" x14ac:dyDescent="0.3">
      <c r="B852" t="s">
        <v>1238</v>
      </c>
      <c r="C852" t="s">
        <v>3878</v>
      </c>
    </row>
    <row r="853" spans="2:3" x14ac:dyDescent="0.3">
      <c r="B853" t="s">
        <v>1240</v>
      </c>
      <c r="C853" t="s">
        <v>3879</v>
      </c>
    </row>
    <row r="854" spans="2:3" x14ac:dyDescent="0.3">
      <c r="B854" t="s">
        <v>1242</v>
      </c>
      <c r="C854" t="s">
        <v>3880</v>
      </c>
    </row>
    <row r="855" spans="2:3" x14ac:dyDescent="0.3">
      <c r="B855" t="s">
        <v>1244</v>
      </c>
      <c r="C855" t="s">
        <v>3881</v>
      </c>
    </row>
    <row r="856" spans="2:3" x14ac:dyDescent="0.3">
      <c r="B856" t="s">
        <v>1246</v>
      </c>
      <c r="C856" t="s">
        <v>3882</v>
      </c>
    </row>
    <row r="857" spans="2:3" x14ac:dyDescent="0.3">
      <c r="B857" t="s">
        <v>3883</v>
      </c>
      <c r="C857" t="s">
        <v>3884</v>
      </c>
    </row>
    <row r="858" spans="2:3" x14ac:dyDescent="0.3">
      <c r="B858" t="s">
        <v>1248</v>
      </c>
      <c r="C858" t="s">
        <v>3885</v>
      </c>
    </row>
    <row r="859" spans="2:3" x14ac:dyDescent="0.3">
      <c r="B859" t="s">
        <v>1250</v>
      </c>
      <c r="C859" t="s">
        <v>3886</v>
      </c>
    </row>
    <row r="860" spans="2:3" x14ac:dyDescent="0.3">
      <c r="B860" t="s">
        <v>3887</v>
      </c>
      <c r="C860" t="s">
        <v>3888</v>
      </c>
    </row>
    <row r="861" spans="2:3" x14ac:dyDescent="0.3">
      <c r="B861" t="s">
        <v>1252</v>
      </c>
      <c r="C861" t="s">
        <v>3889</v>
      </c>
    </row>
    <row r="862" spans="2:3" x14ac:dyDescent="0.3">
      <c r="B862" t="s">
        <v>1254</v>
      </c>
      <c r="C862" t="s">
        <v>3890</v>
      </c>
    </row>
    <row r="863" spans="2:3" x14ac:dyDescent="0.3">
      <c r="B863" t="s">
        <v>1256</v>
      </c>
      <c r="C863" t="s">
        <v>3891</v>
      </c>
    </row>
    <row r="864" spans="2:3" x14ac:dyDescent="0.3">
      <c r="B864" t="s">
        <v>1258</v>
      </c>
      <c r="C864" t="s">
        <v>3892</v>
      </c>
    </row>
    <row r="865" spans="2:3" x14ac:dyDescent="0.3">
      <c r="B865" t="s">
        <v>3893</v>
      </c>
      <c r="C865" t="s">
        <v>3894</v>
      </c>
    </row>
    <row r="866" spans="2:3" x14ac:dyDescent="0.3">
      <c r="B866" t="s">
        <v>1260</v>
      </c>
      <c r="C866" t="s">
        <v>3895</v>
      </c>
    </row>
    <row r="867" spans="2:3" x14ac:dyDescent="0.3">
      <c r="B867" t="s">
        <v>1262</v>
      </c>
      <c r="C867" t="s">
        <v>3896</v>
      </c>
    </row>
    <row r="868" spans="2:3" x14ac:dyDescent="0.3">
      <c r="B868" t="s">
        <v>1264</v>
      </c>
      <c r="C868" t="s">
        <v>3897</v>
      </c>
    </row>
    <row r="869" spans="2:3" x14ac:dyDescent="0.3">
      <c r="B869" t="s">
        <v>1266</v>
      </c>
      <c r="C869" t="s">
        <v>3898</v>
      </c>
    </row>
    <row r="870" spans="2:3" x14ac:dyDescent="0.3">
      <c r="B870" t="s">
        <v>1268</v>
      </c>
      <c r="C870" t="s">
        <v>3899</v>
      </c>
    </row>
    <row r="871" spans="2:3" x14ac:dyDescent="0.3">
      <c r="B871" t="s">
        <v>1270</v>
      </c>
      <c r="C871" t="s">
        <v>3900</v>
      </c>
    </row>
    <row r="872" spans="2:3" x14ac:dyDescent="0.3">
      <c r="B872" t="s">
        <v>1272</v>
      </c>
      <c r="C872" t="s">
        <v>3901</v>
      </c>
    </row>
    <row r="873" spans="2:3" x14ac:dyDescent="0.3">
      <c r="B873" t="s">
        <v>1274</v>
      </c>
      <c r="C873" t="s">
        <v>3902</v>
      </c>
    </row>
    <row r="874" spans="2:3" x14ac:dyDescent="0.3">
      <c r="B874" t="s">
        <v>1276</v>
      </c>
      <c r="C874" t="s">
        <v>3903</v>
      </c>
    </row>
    <row r="875" spans="2:3" x14ac:dyDescent="0.3">
      <c r="B875" t="s">
        <v>3904</v>
      </c>
      <c r="C875" t="s">
        <v>3905</v>
      </c>
    </row>
    <row r="876" spans="2:3" x14ac:dyDescent="0.3">
      <c r="B876" t="s">
        <v>1278</v>
      </c>
      <c r="C876" t="s">
        <v>3906</v>
      </c>
    </row>
    <row r="877" spans="2:3" x14ac:dyDescent="0.3">
      <c r="B877" t="s">
        <v>1280</v>
      </c>
      <c r="C877" t="s">
        <v>3907</v>
      </c>
    </row>
    <row r="878" spans="2:3" x14ac:dyDescent="0.3">
      <c r="B878" t="s">
        <v>1282</v>
      </c>
      <c r="C878" t="s">
        <v>3908</v>
      </c>
    </row>
    <row r="879" spans="2:3" x14ac:dyDescent="0.3">
      <c r="B879" t="s">
        <v>1284</v>
      </c>
      <c r="C879" t="s">
        <v>3909</v>
      </c>
    </row>
    <row r="880" spans="2:3" x14ac:dyDescent="0.3">
      <c r="B880" t="s">
        <v>1284</v>
      </c>
      <c r="C880" t="s">
        <v>3910</v>
      </c>
    </row>
    <row r="881" spans="2:3" x14ac:dyDescent="0.3">
      <c r="B881" t="s">
        <v>1286</v>
      </c>
      <c r="C881" t="s">
        <v>3911</v>
      </c>
    </row>
    <row r="882" spans="2:3" x14ac:dyDescent="0.3">
      <c r="B882" t="s">
        <v>1288</v>
      </c>
      <c r="C882" t="s">
        <v>3912</v>
      </c>
    </row>
    <row r="883" spans="2:3" x14ac:dyDescent="0.3">
      <c r="B883" t="s">
        <v>3913</v>
      </c>
      <c r="C883" t="s">
        <v>3914</v>
      </c>
    </row>
    <row r="884" spans="2:3" x14ac:dyDescent="0.3">
      <c r="B884" t="s">
        <v>1292</v>
      </c>
      <c r="C884" t="s">
        <v>3915</v>
      </c>
    </row>
    <row r="885" spans="2:3" x14ac:dyDescent="0.3">
      <c r="B885" t="s">
        <v>1294</v>
      </c>
      <c r="C885" t="s">
        <v>3916</v>
      </c>
    </row>
    <row r="886" spans="2:3" x14ac:dyDescent="0.3">
      <c r="B886" t="s">
        <v>1296</v>
      </c>
      <c r="C886" t="s">
        <v>3917</v>
      </c>
    </row>
    <row r="887" spans="2:3" x14ac:dyDescent="0.3">
      <c r="B887" t="s">
        <v>1298</v>
      </c>
      <c r="C887" t="s">
        <v>3918</v>
      </c>
    </row>
    <row r="888" spans="2:3" x14ac:dyDescent="0.3">
      <c r="B888" t="s">
        <v>1300</v>
      </c>
      <c r="C888" t="s">
        <v>3919</v>
      </c>
    </row>
    <row r="889" spans="2:3" x14ac:dyDescent="0.3">
      <c r="B889" t="s">
        <v>3920</v>
      </c>
      <c r="C889" t="s">
        <v>3921</v>
      </c>
    </row>
    <row r="890" spans="2:3" x14ac:dyDescent="0.3">
      <c r="B890" t="s">
        <v>1302</v>
      </c>
      <c r="C890" t="s">
        <v>3922</v>
      </c>
    </row>
    <row r="891" spans="2:3" x14ac:dyDescent="0.3">
      <c r="B891" t="s">
        <v>1304</v>
      </c>
      <c r="C891" t="s">
        <v>3923</v>
      </c>
    </row>
    <row r="892" spans="2:3" x14ac:dyDescent="0.3">
      <c r="B892" t="s">
        <v>1306</v>
      </c>
      <c r="C892" t="s">
        <v>3924</v>
      </c>
    </row>
    <row r="893" spans="2:3" x14ac:dyDescent="0.3">
      <c r="B893" t="s">
        <v>3925</v>
      </c>
      <c r="C893" t="s">
        <v>3926</v>
      </c>
    </row>
    <row r="894" spans="2:3" x14ac:dyDescent="0.3">
      <c r="B894" t="s">
        <v>1308</v>
      </c>
      <c r="C894" t="s">
        <v>3927</v>
      </c>
    </row>
    <row r="895" spans="2:3" x14ac:dyDescent="0.3">
      <c r="B895" t="s">
        <v>3928</v>
      </c>
      <c r="C895" t="s">
        <v>3929</v>
      </c>
    </row>
    <row r="896" spans="2:3" x14ac:dyDescent="0.3">
      <c r="B896" t="s">
        <v>1310</v>
      </c>
      <c r="C896" t="s">
        <v>3930</v>
      </c>
    </row>
    <row r="897" spans="2:3" x14ac:dyDescent="0.3">
      <c r="B897" t="s">
        <v>1312</v>
      </c>
      <c r="C897" t="s">
        <v>3931</v>
      </c>
    </row>
    <row r="898" spans="2:3" x14ac:dyDescent="0.3">
      <c r="B898" t="s">
        <v>1314</v>
      </c>
      <c r="C898" t="s">
        <v>3932</v>
      </c>
    </row>
    <row r="899" spans="2:3" x14ac:dyDescent="0.3">
      <c r="B899" t="s">
        <v>1316</v>
      </c>
      <c r="C899" t="s">
        <v>3933</v>
      </c>
    </row>
    <row r="900" spans="2:3" x14ac:dyDescent="0.3">
      <c r="B900" t="s">
        <v>1318</v>
      </c>
      <c r="C900" t="s">
        <v>3934</v>
      </c>
    </row>
    <row r="901" spans="2:3" x14ac:dyDescent="0.3">
      <c r="B901" t="s">
        <v>1320</v>
      </c>
      <c r="C901" t="s">
        <v>3935</v>
      </c>
    </row>
    <row r="902" spans="2:3" x14ac:dyDescent="0.3">
      <c r="B902" t="s">
        <v>1322</v>
      </c>
      <c r="C902" t="s">
        <v>3936</v>
      </c>
    </row>
    <row r="903" spans="2:3" x14ac:dyDescent="0.3">
      <c r="B903" t="s">
        <v>1324</v>
      </c>
      <c r="C903" t="s">
        <v>3937</v>
      </c>
    </row>
    <row r="904" spans="2:3" x14ac:dyDescent="0.3">
      <c r="B904" t="s">
        <v>5372</v>
      </c>
      <c r="C904" t="s">
        <v>5373</v>
      </c>
    </row>
    <row r="905" spans="2:3" x14ac:dyDescent="0.3">
      <c r="B905" t="s">
        <v>5399</v>
      </c>
      <c r="C905" t="s">
        <v>5400</v>
      </c>
    </row>
    <row r="906" spans="2:3" x14ac:dyDescent="0.3">
      <c r="B906" t="s">
        <v>3938</v>
      </c>
      <c r="C906" t="s">
        <v>3939</v>
      </c>
    </row>
    <row r="907" spans="2:3" x14ac:dyDescent="0.3">
      <c r="B907" t="s">
        <v>1326</v>
      </c>
      <c r="C907" t="s">
        <v>3940</v>
      </c>
    </row>
    <row r="908" spans="2:3" x14ac:dyDescent="0.3">
      <c r="B908" t="s">
        <v>3941</v>
      </c>
      <c r="C908" t="s">
        <v>3942</v>
      </c>
    </row>
    <row r="909" spans="2:3" x14ac:dyDescent="0.3">
      <c r="B909" t="s">
        <v>1328</v>
      </c>
      <c r="C909" t="s">
        <v>3943</v>
      </c>
    </row>
    <row r="910" spans="2:3" x14ac:dyDescent="0.3">
      <c r="B910" t="s">
        <v>3944</v>
      </c>
      <c r="C910" t="s">
        <v>3945</v>
      </c>
    </row>
    <row r="911" spans="2:3" x14ac:dyDescent="0.3">
      <c r="B911" t="s">
        <v>1330</v>
      </c>
      <c r="C911" t="s">
        <v>3946</v>
      </c>
    </row>
    <row r="912" spans="2:3" x14ac:dyDescent="0.3">
      <c r="B912" t="s">
        <v>3947</v>
      </c>
      <c r="C912" t="s">
        <v>3948</v>
      </c>
    </row>
    <row r="913" spans="2:3" x14ac:dyDescent="0.3">
      <c r="B913" t="s">
        <v>3949</v>
      </c>
      <c r="C913" t="s">
        <v>3950</v>
      </c>
    </row>
    <row r="914" spans="2:3" x14ac:dyDescent="0.3">
      <c r="B914" t="s">
        <v>3951</v>
      </c>
      <c r="C914" t="s">
        <v>3952</v>
      </c>
    </row>
    <row r="915" spans="2:3" x14ac:dyDescent="0.3">
      <c r="B915" t="s">
        <v>1332</v>
      </c>
      <c r="C915" t="s">
        <v>3953</v>
      </c>
    </row>
    <row r="916" spans="2:3" x14ac:dyDescent="0.3">
      <c r="B916" t="s">
        <v>1334</v>
      </c>
      <c r="C916" t="s">
        <v>3954</v>
      </c>
    </row>
    <row r="917" spans="2:3" x14ac:dyDescent="0.3">
      <c r="B917" t="s">
        <v>1336</v>
      </c>
      <c r="C917" t="s">
        <v>3955</v>
      </c>
    </row>
    <row r="918" spans="2:3" x14ac:dyDescent="0.3">
      <c r="B918" t="s">
        <v>3956</v>
      </c>
      <c r="C918" t="s">
        <v>3957</v>
      </c>
    </row>
    <row r="919" spans="2:3" x14ac:dyDescent="0.3">
      <c r="B919" t="s">
        <v>1338</v>
      </c>
      <c r="C919" t="s">
        <v>3958</v>
      </c>
    </row>
    <row r="920" spans="2:3" x14ac:dyDescent="0.3">
      <c r="B920" t="s">
        <v>5403</v>
      </c>
      <c r="C920" t="s">
        <v>5404</v>
      </c>
    </row>
    <row r="921" spans="2:3" x14ac:dyDescent="0.3">
      <c r="B921" t="s">
        <v>3959</v>
      </c>
      <c r="C921" t="s">
        <v>3960</v>
      </c>
    </row>
    <row r="922" spans="2:3" x14ac:dyDescent="0.3">
      <c r="B922" t="s">
        <v>1340</v>
      </c>
      <c r="C922" t="s">
        <v>3961</v>
      </c>
    </row>
    <row r="923" spans="2:3" x14ac:dyDescent="0.3">
      <c r="B923" t="s">
        <v>1342</v>
      </c>
      <c r="C923" t="s">
        <v>3962</v>
      </c>
    </row>
    <row r="924" spans="2:3" x14ac:dyDescent="0.3">
      <c r="B924" t="s">
        <v>1344</v>
      </c>
      <c r="C924" t="s">
        <v>3963</v>
      </c>
    </row>
    <row r="925" spans="2:3" x14ac:dyDescent="0.3">
      <c r="B925" t="s">
        <v>1346</v>
      </c>
      <c r="C925" t="s">
        <v>3964</v>
      </c>
    </row>
    <row r="926" spans="2:3" x14ac:dyDescent="0.3">
      <c r="B926" t="s">
        <v>3965</v>
      </c>
      <c r="C926" t="s">
        <v>3966</v>
      </c>
    </row>
    <row r="927" spans="2:3" x14ac:dyDescent="0.3">
      <c r="B927" t="s">
        <v>3967</v>
      </c>
      <c r="C927" t="s">
        <v>3968</v>
      </c>
    </row>
    <row r="928" spans="2:3" x14ac:dyDescent="0.3">
      <c r="B928" t="s">
        <v>1348</v>
      </c>
      <c r="C928" t="s">
        <v>3969</v>
      </c>
    </row>
    <row r="929" spans="2:3" x14ac:dyDescent="0.3">
      <c r="B929" t="s">
        <v>3970</v>
      </c>
      <c r="C929" t="s">
        <v>3971</v>
      </c>
    </row>
    <row r="930" spans="2:3" x14ac:dyDescent="0.3">
      <c r="B930" t="s">
        <v>1350</v>
      </c>
      <c r="C930" t="s">
        <v>3972</v>
      </c>
    </row>
    <row r="931" spans="2:3" x14ac:dyDescent="0.3">
      <c r="B931" t="s">
        <v>1352</v>
      </c>
      <c r="C931" t="s">
        <v>3973</v>
      </c>
    </row>
    <row r="932" spans="2:3" x14ac:dyDescent="0.3">
      <c r="B932" t="s">
        <v>1354</v>
      </c>
      <c r="C932" t="s">
        <v>3974</v>
      </c>
    </row>
    <row r="933" spans="2:3" x14ac:dyDescent="0.3">
      <c r="B933" t="s">
        <v>1355</v>
      </c>
      <c r="C933" t="s">
        <v>3975</v>
      </c>
    </row>
    <row r="934" spans="2:3" x14ac:dyDescent="0.3">
      <c r="B934" t="s">
        <v>3976</v>
      </c>
      <c r="C934" t="s">
        <v>3977</v>
      </c>
    </row>
    <row r="935" spans="2:3" x14ac:dyDescent="0.3">
      <c r="B935" t="s">
        <v>1357</v>
      </c>
      <c r="C935" t="s">
        <v>3978</v>
      </c>
    </row>
    <row r="936" spans="2:3" x14ac:dyDescent="0.3">
      <c r="B936" t="s">
        <v>1359</v>
      </c>
      <c r="C936" t="s">
        <v>3979</v>
      </c>
    </row>
    <row r="937" spans="2:3" x14ac:dyDescent="0.3">
      <c r="B937" t="s">
        <v>5336</v>
      </c>
      <c r="C937" t="s">
        <v>5337</v>
      </c>
    </row>
    <row r="938" spans="2:3" x14ac:dyDescent="0.3">
      <c r="B938" t="s">
        <v>1361</v>
      </c>
      <c r="C938" t="s">
        <v>3980</v>
      </c>
    </row>
    <row r="939" spans="2:3" x14ac:dyDescent="0.3">
      <c r="B939" t="s">
        <v>1363</v>
      </c>
      <c r="C939" t="s">
        <v>3981</v>
      </c>
    </row>
    <row r="940" spans="2:3" x14ac:dyDescent="0.3">
      <c r="B940" t="s">
        <v>3982</v>
      </c>
      <c r="C940" t="s">
        <v>3983</v>
      </c>
    </row>
    <row r="941" spans="2:3" x14ac:dyDescent="0.3">
      <c r="B941" t="s">
        <v>1365</v>
      </c>
      <c r="C941" t="s">
        <v>3984</v>
      </c>
    </row>
    <row r="942" spans="2:3" x14ac:dyDescent="0.3">
      <c r="B942" t="s">
        <v>1367</v>
      </c>
      <c r="C942" t="s">
        <v>3985</v>
      </c>
    </row>
    <row r="943" spans="2:3" x14ac:dyDescent="0.3">
      <c r="B943" t="s">
        <v>1369</v>
      </c>
      <c r="C943" t="s">
        <v>3986</v>
      </c>
    </row>
    <row r="944" spans="2:3" x14ac:dyDescent="0.3">
      <c r="B944" t="s">
        <v>1371</v>
      </c>
      <c r="C944" t="s">
        <v>3987</v>
      </c>
    </row>
    <row r="945" spans="2:3" x14ac:dyDescent="0.3">
      <c r="B945" t="s">
        <v>1373</v>
      </c>
      <c r="C945" t="s">
        <v>3988</v>
      </c>
    </row>
    <row r="946" spans="2:3" x14ac:dyDescent="0.3">
      <c r="B946" t="s">
        <v>1375</v>
      </c>
      <c r="C946" t="s">
        <v>3989</v>
      </c>
    </row>
    <row r="947" spans="2:3" x14ac:dyDescent="0.3">
      <c r="B947" t="s">
        <v>1377</v>
      </c>
      <c r="C947" t="s">
        <v>3990</v>
      </c>
    </row>
    <row r="948" spans="2:3" x14ac:dyDescent="0.3">
      <c r="B948" t="s">
        <v>1379</v>
      </c>
      <c r="C948" t="s">
        <v>3991</v>
      </c>
    </row>
    <row r="949" spans="2:3" x14ac:dyDescent="0.3">
      <c r="B949" t="s">
        <v>3992</v>
      </c>
      <c r="C949" t="s">
        <v>3993</v>
      </c>
    </row>
    <row r="950" spans="2:3" x14ac:dyDescent="0.3">
      <c r="B950" t="s">
        <v>1381</v>
      </c>
      <c r="C950" t="s">
        <v>3994</v>
      </c>
    </row>
    <row r="951" spans="2:3" x14ac:dyDescent="0.3">
      <c r="B951" t="s">
        <v>1383</v>
      </c>
      <c r="C951" t="s">
        <v>3995</v>
      </c>
    </row>
    <row r="952" spans="2:3" x14ac:dyDescent="0.3">
      <c r="B952" t="s">
        <v>1385</v>
      </c>
      <c r="C952" t="s">
        <v>3996</v>
      </c>
    </row>
    <row r="953" spans="2:3" x14ac:dyDescent="0.3">
      <c r="B953" t="s">
        <v>1387</v>
      </c>
      <c r="C953" t="s">
        <v>3997</v>
      </c>
    </row>
    <row r="954" spans="2:3" x14ac:dyDescent="0.3">
      <c r="B954" t="s">
        <v>1391</v>
      </c>
      <c r="C954" t="s">
        <v>3998</v>
      </c>
    </row>
    <row r="955" spans="2:3" x14ac:dyDescent="0.3">
      <c r="B955" t="s">
        <v>1393</v>
      </c>
      <c r="C955" t="s">
        <v>3999</v>
      </c>
    </row>
    <row r="956" spans="2:3" x14ac:dyDescent="0.3">
      <c r="B956" t="s">
        <v>4000</v>
      </c>
      <c r="C956" t="s">
        <v>4001</v>
      </c>
    </row>
    <row r="957" spans="2:3" x14ac:dyDescent="0.3">
      <c r="B957" t="s">
        <v>1395</v>
      </c>
      <c r="C957" t="s">
        <v>4002</v>
      </c>
    </row>
    <row r="958" spans="2:3" x14ac:dyDescent="0.3">
      <c r="B958" t="s">
        <v>1397</v>
      </c>
      <c r="C958" t="s">
        <v>4003</v>
      </c>
    </row>
    <row r="959" spans="2:3" x14ac:dyDescent="0.3">
      <c r="B959" t="s">
        <v>4004</v>
      </c>
      <c r="C959" t="s">
        <v>4005</v>
      </c>
    </row>
    <row r="960" spans="2:3" x14ac:dyDescent="0.3">
      <c r="B960" t="s">
        <v>4006</v>
      </c>
      <c r="C960" t="s">
        <v>4007</v>
      </c>
    </row>
    <row r="961" spans="2:3" x14ac:dyDescent="0.3">
      <c r="B961" t="s">
        <v>1399</v>
      </c>
      <c r="C961" t="s">
        <v>4008</v>
      </c>
    </row>
    <row r="962" spans="2:3" x14ac:dyDescent="0.3">
      <c r="B962" t="s">
        <v>4009</v>
      </c>
      <c r="C962" t="s">
        <v>4010</v>
      </c>
    </row>
    <row r="963" spans="2:3" x14ac:dyDescent="0.3">
      <c r="B963" t="s">
        <v>1401</v>
      </c>
      <c r="C963" t="s">
        <v>4011</v>
      </c>
    </row>
    <row r="964" spans="2:3" x14ac:dyDescent="0.3">
      <c r="B964" t="s">
        <v>1403</v>
      </c>
      <c r="C964" t="s">
        <v>4012</v>
      </c>
    </row>
    <row r="965" spans="2:3" x14ac:dyDescent="0.3">
      <c r="B965" t="s">
        <v>1405</v>
      </c>
      <c r="C965" t="s">
        <v>4013</v>
      </c>
    </row>
    <row r="966" spans="2:3" x14ac:dyDescent="0.3">
      <c r="B966" t="s">
        <v>1407</v>
      </c>
      <c r="C966" t="s">
        <v>4014</v>
      </c>
    </row>
    <row r="967" spans="2:3" x14ac:dyDescent="0.3">
      <c r="B967" t="s">
        <v>4015</v>
      </c>
      <c r="C967" t="s">
        <v>4016</v>
      </c>
    </row>
    <row r="968" spans="2:3" x14ac:dyDescent="0.3">
      <c r="B968" t="s">
        <v>1409</v>
      </c>
      <c r="C968" t="s">
        <v>4017</v>
      </c>
    </row>
    <row r="969" spans="2:3" x14ac:dyDescent="0.3">
      <c r="B969" t="s">
        <v>1411</v>
      </c>
      <c r="C969" t="s">
        <v>4018</v>
      </c>
    </row>
    <row r="970" spans="2:3" x14ac:dyDescent="0.3">
      <c r="B970" t="s">
        <v>1413</v>
      </c>
      <c r="C970" t="s">
        <v>4019</v>
      </c>
    </row>
    <row r="971" spans="2:3" x14ac:dyDescent="0.3">
      <c r="B971" t="s">
        <v>1415</v>
      </c>
      <c r="C971" t="s">
        <v>4020</v>
      </c>
    </row>
    <row r="972" spans="2:3" x14ac:dyDescent="0.3">
      <c r="B972" t="s">
        <v>1419</v>
      </c>
      <c r="C972" t="s">
        <v>4021</v>
      </c>
    </row>
    <row r="973" spans="2:3" x14ac:dyDescent="0.3">
      <c r="B973" t="s">
        <v>4022</v>
      </c>
      <c r="C973" t="s">
        <v>4023</v>
      </c>
    </row>
    <row r="974" spans="2:3" x14ac:dyDescent="0.3">
      <c r="B974" t="s">
        <v>1421</v>
      </c>
      <c r="C974" t="s">
        <v>4024</v>
      </c>
    </row>
    <row r="975" spans="2:3" x14ac:dyDescent="0.3">
      <c r="B975" t="s">
        <v>4025</v>
      </c>
      <c r="C975" t="s">
        <v>4026</v>
      </c>
    </row>
    <row r="976" spans="2:3" x14ac:dyDescent="0.3">
      <c r="B976" t="s">
        <v>1423</v>
      </c>
      <c r="C976" t="s">
        <v>4027</v>
      </c>
    </row>
    <row r="977" spans="2:3" x14ac:dyDescent="0.3">
      <c r="B977" t="s">
        <v>4028</v>
      </c>
      <c r="C977" t="s">
        <v>4029</v>
      </c>
    </row>
    <row r="978" spans="2:3" x14ac:dyDescent="0.3">
      <c r="B978" t="s">
        <v>4030</v>
      </c>
      <c r="C978" t="s">
        <v>4031</v>
      </c>
    </row>
    <row r="979" spans="2:3" x14ac:dyDescent="0.3">
      <c r="B979" t="s">
        <v>1427</v>
      </c>
      <c r="C979" t="s">
        <v>4032</v>
      </c>
    </row>
    <row r="980" spans="2:3" x14ac:dyDescent="0.3">
      <c r="B980" t="s">
        <v>4033</v>
      </c>
      <c r="C980" t="s">
        <v>4034</v>
      </c>
    </row>
    <row r="981" spans="2:3" x14ac:dyDescent="0.3">
      <c r="B981" t="s">
        <v>4035</v>
      </c>
      <c r="C981" t="s">
        <v>4036</v>
      </c>
    </row>
    <row r="982" spans="2:3" x14ac:dyDescent="0.3">
      <c r="B982" t="s">
        <v>1429</v>
      </c>
      <c r="C982" t="s">
        <v>4037</v>
      </c>
    </row>
    <row r="983" spans="2:3" x14ac:dyDescent="0.3">
      <c r="B983" t="s">
        <v>4038</v>
      </c>
      <c r="C983" t="s">
        <v>4039</v>
      </c>
    </row>
    <row r="984" spans="2:3" x14ac:dyDescent="0.3">
      <c r="B984" t="s">
        <v>1431</v>
      </c>
      <c r="C984" t="s">
        <v>4040</v>
      </c>
    </row>
    <row r="985" spans="2:3" x14ac:dyDescent="0.3">
      <c r="B985" t="s">
        <v>1433</v>
      </c>
      <c r="C985" t="s">
        <v>4041</v>
      </c>
    </row>
    <row r="986" spans="2:3" x14ac:dyDescent="0.3">
      <c r="B986" t="s">
        <v>1435</v>
      </c>
      <c r="C986" t="s">
        <v>4042</v>
      </c>
    </row>
    <row r="987" spans="2:3" x14ac:dyDescent="0.3">
      <c r="B987" t="s">
        <v>1437</v>
      </c>
      <c r="C987" t="s">
        <v>4043</v>
      </c>
    </row>
    <row r="988" spans="2:3" x14ac:dyDescent="0.3">
      <c r="B988" t="s">
        <v>1439</v>
      </c>
      <c r="C988" t="s">
        <v>4044</v>
      </c>
    </row>
    <row r="989" spans="2:3" x14ac:dyDescent="0.3">
      <c r="B989" t="s">
        <v>1441</v>
      </c>
      <c r="C989" t="s">
        <v>4045</v>
      </c>
    </row>
    <row r="990" spans="2:3" x14ac:dyDescent="0.3">
      <c r="B990" t="s">
        <v>1443</v>
      </c>
      <c r="C990" t="s">
        <v>4046</v>
      </c>
    </row>
    <row r="991" spans="2:3" x14ac:dyDescent="0.3">
      <c r="B991" t="s">
        <v>1445</v>
      </c>
      <c r="C991" t="s">
        <v>4047</v>
      </c>
    </row>
    <row r="992" spans="2:3" x14ac:dyDescent="0.3">
      <c r="B992" t="s">
        <v>1447</v>
      </c>
      <c r="C992" t="s">
        <v>4048</v>
      </c>
    </row>
    <row r="993" spans="2:3" x14ac:dyDescent="0.3">
      <c r="B993" t="s">
        <v>1449</v>
      </c>
      <c r="C993" t="s">
        <v>4049</v>
      </c>
    </row>
    <row r="994" spans="2:3" x14ac:dyDescent="0.3">
      <c r="B994" t="s">
        <v>1451</v>
      </c>
      <c r="C994" t="s">
        <v>4050</v>
      </c>
    </row>
    <row r="995" spans="2:3" x14ac:dyDescent="0.3">
      <c r="B995" t="s">
        <v>4051</v>
      </c>
      <c r="C995" t="s">
        <v>4052</v>
      </c>
    </row>
    <row r="996" spans="2:3" x14ac:dyDescent="0.3">
      <c r="B996" t="s">
        <v>1453</v>
      </c>
      <c r="C996" t="s">
        <v>4053</v>
      </c>
    </row>
    <row r="997" spans="2:3" x14ac:dyDescent="0.3">
      <c r="B997" t="s">
        <v>1455</v>
      </c>
      <c r="C997" t="s">
        <v>4054</v>
      </c>
    </row>
    <row r="998" spans="2:3" x14ac:dyDescent="0.3">
      <c r="B998" t="s">
        <v>1457</v>
      </c>
      <c r="C998" t="s">
        <v>4055</v>
      </c>
    </row>
    <row r="999" spans="2:3" x14ac:dyDescent="0.3">
      <c r="B999" t="s">
        <v>4056</v>
      </c>
      <c r="C999" t="s">
        <v>4057</v>
      </c>
    </row>
    <row r="1000" spans="2:3" x14ac:dyDescent="0.3">
      <c r="B1000" t="s">
        <v>4058</v>
      </c>
      <c r="C1000" t="s">
        <v>4059</v>
      </c>
    </row>
    <row r="1001" spans="2:3" x14ac:dyDescent="0.3">
      <c r="B1001" t="s">
        <v>4060</v>
      </c>
      <c r="C1001" t="s">
        <v>4061</v>
      </c>
    </row>
    <row r="1002" spans="2:3" x14ac:dyDescent="0.3">
      <c r="B1002" t="s">
        <v>4062</v>
      </c>
      <c r="C1002" t="s">
        <v>4063</v>
      </c>
    </row>
    <row r="1003" spans="2:3" x14ac:dyDescent="0.3">
      <c r="B1003" t="s">
        <v>4064</v>
      </c>
      <c r="C1003" t="s">
        <v>4065</v>
      </c>
    </row>
    <row r="1004" spans="2:3" x14ac:dyDescent="0.3">
      <c r="B1004" t="s">
        <v>4066</v>
      </c>
      <c r="C1004" t="s">
        <v>4067</v>
      </c>
    </row>
    <row r="1005" spans="2:3" x14ac:dyDescent="0.3">
      <c r="B1005" t="s">
        <v>1461</v>
      </c>
      <c r="C1005" t="s">
        <v>4068</v>
      </c>
    </row>
    <row r="1006" spans="2:3" x14ac:dyDescent="0.3">
      <c r="B1006" t="s">
        <v>4069</v>
      </c>
      <c r="C1006" t="s">
        <v>4070</v>
      </c>
    </row>
    <row r="1007" spans="2:3" x14ac:dyDescent="0.3">
      <c r="B1007" t="s">
        <v>1463</v>
      </c>
      <c r="C1007" t="s">
        <v>4071</v>
      </c>
    </row>
    <row r="1008" spans="2:3" x14ac:dyDescent="0.3">
      <c r="B1008" t="s">
        <v>4072</v>
      </c>
      <c r="C1008" t="s">
        <v>4073</v>
      </c>
    </row>
    <row r="1009" spans="2:3" x14ac:dyDescent="0.3">
      <c r="B1009" t="s">
        <v>4074</v>
      </c>
      <c r="C1009" t="s">
        <v>4075</v>
      </c>
    </row>
    <row r="1010" spans="2:3" x14ac:dyDescent="0.3">
      <c r="B1010" t="s">
        <v>1465</v>
      </c>
      <c r="C1010" t="s">
        <v>4076</v>
      </c>
    </row>
    <row r="1011" spans="2:3" x14ac:dyDescent="0.3">
      <c r="B1011" t="s">
        <v>1467</v>
      </c>
      <c r="C1011" t="s">
        <v>4077</v>
      </c>
    </row>
    <row r="1012" spans="2:3" x14ac:dyDescent="0.3">
      <c r="B1012" t="s">
        <v>1469</v>
      </c>
      <c r="C1012" t="s">
        <v>4078</v>
      </c>
    </row>
    <row r="1013" spans="2:3" x14ac:dyDescent="0.3">
      <c r="B1013" t="s">
        <v>1471</v>
      </c>
      <c r="C1013" t="s">
        <v>4079</v>
      </c>
    </row>
    <row r="1014" spans="2:3" x14ac:dyDescent="0.3">
      <c r="B1014" t="s">
        <v>4080</v>
      </c>
      <c r="C1014" t="s">
        <v>4081</v>
      </c>
    </row>
    <row r="1015" spans="2:3" x14ac:dyDescent="0.3">
      <c r="B1015" t="s">
        <v>4082</v>
      </c>
      <c r="C1015" t="s">
        <v>4083</v>
      </c>
    </row>
    <row r="1016" spans="2:3" x14ac:dyDescent="0.3">
      <c r="B1016" t="s">
        <v>4084</v>
      </c>
      <c r="C1016" t="s">
        <v>4085</v>
      </c>
    </row>
    <row r="1017" spans="2:3" x14ac:dyDescent="0.3">
      <c r="B1017" t="s">
        <v>1473</v>
      </c>
      <c r="C1017" t="s">
        <v>4086</v>
      </c>
    </row>
    <row r="1018" spans="2:3" x14ac:dyDescent="0.3">
      <c r="B1018" t="s">
        <v>1475</v>
      </c>
      <c r="C1018" t="s">
        <v>4087</v>
      </c>
    </row>
    <row r="1019" spans="2:3" x14ac:dyDescent="0.3">
      <c r="B1019" t="s">
        <v>1477</v>
      </c>
      <c r="C1019" t="s">
        <v>4088</v>
      </c>
    </row>
    <row r="1020" spans="2:3" x14ac:dyDescent="0.3">
      <c r="B1020" t="s">
        <v>1479</v>
      </c>
      <c r="C1020" t="s">
        <v>4089</v>
      </c>
    </row>
    <row r="1021" spans="2:3" x14ac:dyDescent="0.3">
      <c r="B1021" t="s">
        <v>1480</v>
      </c>
      <c r="C1021" t="s">
        <v>4090</v>
      </c>
    </row>
    <row r="1022" spans="2:3" x14ac:dyDescent="0.3">
      <c r="B1022" t="s">
        <v>1482</v>
      </c>
      <c r="C1022" t="s">
        <v>4091</v>
      </c>
    </row>
    <row r="1023" spans="2:3" x14ac:dyDescent="0.3">
      <c r="B1023" t="s">
        <v>1484</v>
      </c>
      <c r="C1023" t="s">
        <v>4092</v>
      </c>
    </row>
    <row r="1024" spans="2:3" x14ac:dyDescent="0.3">
      <c r="B1024" t="s">
        <v>1486</v>
      </c>
      <c r="C1024" t="s">
        <v>4093</v>
      </c>
    </row>
    <row r="1025" spans="2:3" x14ac:dyDescent="0.3">
      <c r="B1025" t="s">
        <v>1488</v>
      </c>
      <c r="C1025" t="s">
        <v>4094</v>
      </c>
    </row>
    <row r="1026" spans="2:3" x14ac:dyDescent="0.3">
      <c r="B1026" t="s">
        <v>1490</v>
      </c>
      <c r="C1026" t="s">
        <v>4095</v>
      </c>
    </row>
    <row r="1027" spans="2:3" x14ac:dyDescent="0.3">
      <c r="B1027" t="s">
        <v>1492</v>
      </c>
      <c r="C1027" t="s">
        <v>4096</v>
      </c>
    </row>
    <row r="1028" spans="2:3" x14ac:dyDescent="0.3">
      <c r="B1028" t="s">
        <v>1494</v>
      </c>
      <c r="C1028" t="s">
        <v>4097</v>
      </c>
    </row>
    <row r="1029" spans="2:3" x14ac:dyDescent="0.3">
      <c r="B1029" t="s">
        <v>1498</v>
      </c>
      <c r="C1029" t="s">
        <v>4098</v>
      </c>
    </row>
    <row r="1030" spans="2:3" x14ac:dyDescent="0.3">
      <c r="B1030" t="s">
        <v>4099</v>
      </c>
      <c r="C1030" t="s">
        <v>4100</v>
      </c>
    </row>
    <row r="1031" spans="2:3" x14ac:dyDescent="0.3">
      <c r="B1031" t="s">
        <v>1500</v>
      </c>
      <c r="C1031" t="s">
        <v>4101</v>
      </c>
    </row>
    <row r="1032" spans="2:3" x14ac:dyDescent="0.3">
      <c r="B1032" t="s">
        <v>4102</v>
      </c>
      <c r="C1032" t="s">
        <v>4103</v>
      </c>
    </row>
    <row r="1033" spans="2:3" x14ac:dyDescent="0.3">
      <c r="B1033" t="s">
        <v>4104</v>
      </c>
      <c r="C1033" t="s">
        <v>4105</v>
      </c>
    </row>
    <row r="1034" spans="2:3" x14ac:dyDescent="0.3">
      <c r="B1034" t="s">
        <v>1502</v>
      </c>
      <c r="C1034" t="s">
        <v>4106</v>
      </c>
    </row>
    <row r="1035" spans="2:3" x14ac:dyDescent="0.3">
      <c r="B1035" t="s">
        <v>1504</v>
      </c>
      <c r="C1035" t="s">
        <v>4107</v>
      </c>
    </row>
    <row r="1036" spans="2:3" x14ac:dyDescent="0.3">
      <c r="B1036" t="s">
        <v>1506</v>
      </c>
      <c r="C1036" t="s">
        <v>4108</v>
      </c>
    </row>
    <row r="1037" spans="2:3" x14ac:dyDescent="0.3">
      <c r="B1037" t="s">
        <v>4109</v>
      </c>
      <c r="C1037" t="s">
        <v>4110</v>
      </c>
    </row>
    <row r="1038" spans="2:3" x14ac:dyDescent="0.3">
      <c r="B1038" t="s">
        <v>1508</v>
      </c>
      <c r="C1038" t="s">
        <v>4111</v>
      </c>
    </row>
    <row r="1039" spans="2:3" x14ac:dyDescent="0.3">
      <c r="B1039" t="s">
        <v>1510</v>
      </c>
      <c r="C1039" t="s">
        <v>4112</v>
      </c>
    </row>
    <row r="1040" spans="2:3" x14ac:dyDescent="0.3">
      <c r="B1040" t="s">
        <v>1512</v>
      </c>
      <c r="C1040" t="s">
        <v>4113</v>
      </c>
    </row>
    <row r="1041" spans="2:3" x14ac:dyDescent="0.3">
      <c r="B1041" t="s">
        <v>1514</v>
      </c>
      <c r="C1041" t="s">
        <v>4114</v>
      </c>
    </row>
    <row r="1042" spans="2:3" x14ac:dyDescent="0.3">
      <c r="B1042" t="s">
        <v>1515</v>
      </c>
      <c r="C1042" t="s">
        <v>4115</v>
      </c>
    </row>
    <row r="1043" spans="2:3" x14ac:dyDescent="0.3">
      <c r="B1043" t="s">
        <v>1517</v>
      </c>
      <c r="C1043" t="s">
        <v>4116</v>
      </c>
    </row>
    <row r="1044" spans="2:3" x14ac:dyDescent="0.3">
      <c r="B1044" t="s">
        <v>4117</v>
      </c>
      <c r="C1044" t="s">
        <v>4118</v>
      </c>
    </row>
    <row r="1045" spans="2:3" x14ac:dyDescent="0.3">
      <c r="B1045" t="s">
        <v>4119</v>
      </c>
      <c r="C1045" t="s">
        <v>4120</v>
      </c>
    </row>
    <row r="1046" spans="2:3" x14ac:dyDescent="0.3">
      <c r="B1046" t="s">
        <v>5382</v>
      </c>
      <c r="C1046" t="s">
        <v>5383</v>
      </c>
    </row>
    <row r="1047" spans="2:3" x14ac:dyDescent="0.3">
      <c r="B1047" t="s">
        <v>1519</v>
      </c>
      <c r="C1047" t="s">
        <v>4121</v>
      </c>
    </row>
    <row r="1048" spans="2:3" x14ac:dyDescent="0.3">
      <c r="B1048" t="s">
        <v>4122</v>
      </c>
      <c r="C1048" t="s">
        <v>4123</v>
      </c>
    </row>
    <row r="1049" spans="2:3" x14ac:dyDescent="0.3">
      <c r="B1049" t="s">
        <v>4124</v>
      </c>
      <c r="C1049" t="s">
        <v>4125</v>
      </c>
    </row>
    <row r="1050" spans="2:3" x14ac:dyDescent="0.3">
      <c r="B1050" t="s">
        <v>1521</v>
      </c>
      <c r="C1050" t="s">
        <v>4126</v>
      </c>
    </row>
    <row r="1051" spans="2:3" x14ac:dyDescent="0.3">
      <c r="B1051" t="s">
        <v>1523</v>
      </c>
      <c r="C1051" t="s">
        <v>4127</v>
      </c>
    </row>
    <row r="1052" spans="2:3" x14ac:dyDescent="0.3">
      <c r="B1052" t="s">
        <v>4128</v>
      </c>
      <c r="C1052" t="s">
        <v>4129</v>
      </c>
    </row>
    <row r="1053" spans="2:3" x14ac:dyDescent="0.3">
      <c r="B1053" t="s">
        <v>4130</v>
      </c>
      <c r="C1053" t="s">
        <v>4131</v>
      </c>
    </row>
    <row r="1054" spans="2:3" x14ac:dyDescent="0.3">
      <c r="B1054" t="s">
        <v>1525</v>
      </c>
      <c r="C1054" t="s">
        <v>4132</v>
      </c>
    </row>
    <row r="1055" spans="2:3" x14ac:dyDescent="0.3">
      <c r="B1055" t="s">
        <v>1527</v>
      </c>
      <c r="C1055" t="s">
        <v>4133</v>
      </c>
    </row>
    <row r="1056" spans="2:3" x14ac:dyDescent="0.3">
      <c r="B1056" t="s">
        <v>1529</v>
      </c>
      <c r="C1056" t="s">
        <v>4134</v>
      </c>
    </row>
    <row r="1057" spans="2:3" x14ac:dyDescent="0.3">
      <c r="B1057" t="s">
        <v>4135</v>
      </c>
      <c r="C1057" t="s">
        <v>4136</v>
      </c>
    </row>
    <row r="1058" spans="2:3" x14ac:dyDescent="0.3">
      <c r="B1058" t="s">
        <v>1531</v>
      </c>
      <c r="C1058" t="s">
        <v>4137</v>
      </c>
    </row>
    <row r="1059" spans="2:3" x14ac:dyDescent="0.3">
      <c r="B1059" t="s">
        <v>4138</v>
      </c>
      <c r="C1059" t="s">
        <v>4139</v>
      </c>
    </row>
    <row r="1060" spans="2:3" x14ac:dyDescent="0.3">
      <c r="B1060" t="s">
        <v>1533</v>
      </c>
      <c r="C1060" t="s">
        <v>4140</v>
      </c>
    </row>
    <row r="1061" spans="2:3" x14ac:dyDescent="0.3">
      <c r="B1061" t="s">
        <v>1535</v>
      </c>
      <c r="C1061" t="s">
        <v>4141</v>
      </c>
    </row>
    <row r="1062" spans="2:3" x14ac:dyDescent="0.3">
      <c r="B1062" t="s">
        <v>1537</v>
      </c>
      <c r="C1062" t="s">
        <v>4142</v>
      </c>
    </row>
    <row r="1063" spans="2:3" x14ac:dyDescent="0.3">
      <c r="B1063" t="s">
        <v>4143</v>
      </c>
      <c r="C1063" t="s">
        <v>4144</v>
      </c>
    </row>
    <row r="1064" spans="2:3" x14ac:dyDescent="0.3">
      <c r="B1064" t="s">
        <v>1539</v>
      </c>
      <c r="C1064" t="s">
        <v>4145</v>
      </c>
    </row>
    <row r="1065" spans="2:3" x14ac:dyDescent="0.3">
      <c r="B1065" t="s">
        <v>1541</v>
      </c>
      <c r="C1065" t="s">
        <v>4146</v>
      </c>
    </row>
    <row r="1066" spans="2:3" x14ac:dyDescent="0.3">
      <c r="B1066" t="s">
        <v>4147</v>
      </c>
      <c r="C1066" t="s">
        <v>4148</v>
      </c>
    </row>
    <row r="1067" spans="2:3" x14ac:dyDescent="0.3">
      <c r="B1067" t="s">
        <v>1543</v>
      </c>
      <c r="C1067" t="s">
        <v>4149</v>
      </c>
    </row>
    <row r="1068" spans="2:3" x14ac:dyDescent="0.3">
      <c r="B1068" t="s">
        <v>1545</v>
      </c>
      <c r="C1068" t="s">
        <v>4150</v>
      </c>
    </row>
    <row r="1069" spans="2:3" x14ac:dyDescent="0.3">
      <c r="B1069" t="s">
        <v>4151</v>
      </c>
      <c r="C1069" t="s">
        <v>4152</v>
      </c>
    </row>
    <row r="1070" spans="2:3" x14ac:dyDescent="0.3">
      <c r="B1070" t="s">
        <v>1547</v>
      </c>
      <c r="C1070" t="s">
        <v>4153</v>
      </c>
    </row>
    <row r="1071" spans="2:3" x14ac:dyDescent="0.3">
      <c r="B1071" t="s">
        <v>4154</v>
      </c>
      <c r="C1071" t="s">
        <v>4155</v>
      </c>
    </row>
    <row r="1072" spans="2:3" x14ac:dyDescent="0.3">
      <c r="B1072" t="s">
        <v>1549</v>
      </c>
      <c r="C1072" t="s">
        <v>4156</v>
      </c>
    </row>
    <row r="1073" spans="2:3" x14ac:dyDescent="0.3">
      <c r="B1073" t="s">
        <v>1551</v>
      </c>
      <c r="C1073" t="s">
        <v>4157</v>
      </c>
    </row>
    <row r="1074" spans="2:3" x14ac:dyDescent="0.3">
      <c r="B1074" t="s">
        <v>1553</v>
      </c>
      <c r="C1074" t="s">
        <v>4158</v>
      </c>
    </row>
    <row r="1075" spans="2:3" x14ac:dyDescent="0.3">
      <c r="B1075" t="s">
        <v>4159</v>
      </c>
      <c r="C1075" t="s">
        <v>4160</v>
      </c>
    </row>
    <row r="1076" spans="2:3" x14ac:dyDescent="0.3">
      <c r="B1076" t="s">
        <v>1555</v>
      </c>
      <c r="C1076" t="s">
        <v>4161</v>
      </c>
    </row>
    <row r="1077" spans="2:3" x14ac:dyDescent="0.3">
      <c r="B1077" t="s">
        <v>1557</v>
      </c>
      <c r="C1077" t="s">
        <v>4162</v>
      </c>
    </row>
    <row r="1078" spans="2:3" x14ac:dyDescent="0.3">
      <c r="B1078" t="s">
        <v>1558</v>
      </c>
      <c r="C1078" t="s">
        <v>4163</v>
      </c>
    </row>
    <row r="1079" spans="2:3" x14ac:dyDescent="0.3">
      <c r="B1079" t="s">
        <v>4164</v>
      </c>
      <c r="C1079" t="s">
        <v>4165</v>
      </c>
    </row>
    <row r="1080" spans="2:3" x14ac:dyDescent="0.3">
      <c r="B1080" t="s">
        <v>1560</v>
      </c>
      <c r="C1080" t="s">
        <v>4166</v>
      </c>
    </row>
    <row r="1081" spans="2:3" x14ac:dyDescent="0.3">
      <c r="B1081" t="s">
        <v>1562</v>
      </c>
      <c r="C1081" t="s">
        <v>4167</v>
      </c>
    </row>
    <row r="1082" spans="2:3" x14ac:dyDescent="0.3">
      <c r="B1082" t="s">
        <v>1564</v>
      </c>
      <c r="C1082" t="s">
        <v>4168</v>
      </c>
    </row>
    <row r="1083" spans="2:3" x14ac:dyDescent="0.3">
      <c r="B1083" t="s">
        <v>5454</v>
      </c>
      <c r="C1083" t="s">
        <v>5455</v>
      </c>
    </row>
    <row r="1084" spans="2:3" x14ac:dyDescent="0.3">
      <c r="B1084" t="s">
        <v>1566</v>
      </c>
      <c r="C1084" t="s">
        <v>4169</v>
      </c>
    </row>
    <row r="1085" spans="2:3" x14ac:dyDescent="0.3">
      <c r="B1085" t="s">
        <v>1568</v>
      </c>
      <c r="C1085" t="s">
        <v>4170</v>
      </c>
    </row>
    <row r="1086" spans="2:3" x14ac:dyDescent="0.3">
      <c r="B1086" t="s">
        <v>1570</v>
      </c>
      <c r="C1086" t="s">
        <v>4171</v>
      </c>
    </row>
    <row r="1087" spans="2:3" x14ac:dyDescent="0.3">
      <c r="B1087" t="s">
        <v>1570</v>
      </c>
      <c r="C1087" t="s">
        <v>4172</v>
      </c>
    </row>
    <row r="1088" spans="2:3" x14ac:dyDescent="0.3">
      <c r="B1088" t="s">
        <v>1572</v>
      </c>
      <c r="C1088" t="s">
        <v>4173</v>
      </c>
    </row>
    <row r="1089" spans="2:3" x14ac:dyDescent="0.3">
      <c r="B1089" t="s">
        <v>1574</v>
      </c>
      <c r="C1089" t="s">
        <v>4174</v>
      </c>
    </row>
    <row r="1090" spans="2:3" x14ac:dyDescent="0.3">
      <c r="B1090" t="s">
        <v>1576</v>
      </c>
      <c r="C1090" t="s">
        <v>4175</v>
      </c>
    </row>
    <row r="1091" spans="2:3" x14ac:dyDescent="0.3">
      <c r="B1091" t="s">
        <v>1578</v>
      </c>
      <c r="C1091" t="s">
        <v>4176</v>
      </c>
    </row>
    <row r="1092" spans="2:3" x14ac:dyDescent="0.3">
      <c r="B1092" t="s">
        <v>1579</v>
      </c>
      <c r="C1092" t="s">
        <v>4177</v>
      </c>
    </row>
    <row r="1093" spans="2:3" x14ac:dyDescent="0.3">
      <c r="B1093" t="s">
        <v>4178</v>
      </c>
      <c r="C1093" t="s">
        <v>4179</v>
      </c>
    </row>
    <row r="1094" spans="2:3" x14ac:dyDescent="0.3">
      <c r="B1094" t="s">
        <v>4180</v>
      </c>
      <c r="C1094" t="s">
        <v>4181</v>
      </c>
    </row>
    <row r="1095" spans="2:3" x14ac:dyDescent="0.3">
      <c r="B1095" t="s">
        <v>1580</v>
      </c>
      <c r="C1095" t="s">
        <v>4182</v>
      </c>
    </row>
    <row r="1096" spans="2:3" x14ac:dyDescent="0.3">
      <c r="B1096" t="s">
        <v>1582</v>
      </c>
      <c r="C1096" t="s">
        <v>4183</v>
      </c>
    </row>
    <row r="1097" spans="2:3" x14ac:dyDescent="0.3">
      <c r="B1097" t="s">
        <v>1582</v>
      </c>
      <c r="C1097" t="s">
        <v>5457</v>
      </c>
    </row>
    <row r="1098" spans="2:3" x14ac:dyDescent="0.3">
      <c r="B1098" t="s">
        <v>4184</v>
      </c>
      <c r="C1098" t="s">
        <v>4185</v>
      </c>
    </row>
    <row r="1099" spans="2:3" x14ac:dyDescent="0.3">
      <c r="B1099" t="s">
        <v>4186</v>
      </c>
      <c r="C1099" t="s">
        <v>4187</v>
      </c>
    </row>
    <row r="1100" spans="2:3" x14ac:dyDescent="0.3">
      <c r="B1100" t="s">
        <v>1584</v>
      </c>
      <c r="C1100" t="s">
        <v>4188</v>
      </c>
    </row>
    <row r="1101" spans="2:3" x14ac:dyDescent="0.3">
      <c r="B1101" t="s">
        <v>4189</v>
      </c>
      <c r="C1101" t="s">
        <v>4190</v>
      </c>
    </row>
    <row r="1102" spans="2:3" x14ac:dyDescent="0.3">
      <c r="B1102" t="s">
        <v>1586</v>
      </c>
      <c r="C1102" t="s">
        <v>4191</v>
      </c>
    </row>
    <row r="1103" spans="2:3" x14ac:dyDescent="0.3">
      <c r="B1103" t="s">
        <v>4192</v>
      </c>
      <c r="C1103" t="s">
        <v>4193</v>
      </c>
    </row>
    <row r="1104" spans="2:3" x14ac:dyDescent="0.3">
      <c r="B1104" t="s">
        <v>5365</v>
      </c>
      <c r="C1104" t="s">
        <v>5366</v>
      </c>
    </row>
    <row r="1105" spans="2:3" x14ac:dyDescent="0.3">
      <c r="B1105" t="s">
        <v>1588</v>
      </c>
      <c r="C1105" t="s">
        <v>4194</v>
      </c>
    </row>
    <row r="1106" spans="2:3" x14ac:dyDescent="0.3">
      <c r="B1106" t="s">
        <v>1590</v>
      </c>
      <c r="C1106" t="s">
        <v>4195</v>
      </c>
    </row>
    <row r="1107" spans="2:3" x14ac:dyDescent="0.3">
      <c r="B1107" t="s">
        <v>1592</v>
      </c>
      <c r="C1107" t="s">
        <v>4196</v>
      </c>
    </row>
    <row r="1108" spans="2:3" x14ac:dyDescent="0.3">
      <c r="B1108" t="s">
        <v>4197</v>
      </c>
      <c r="C1108" t="s">
        <v>4198</v>
      </c>
    </row>
    <row r="1109" spans="2:3" x14ac:dyDescent="0.3">
      <c r="B1109" t="s">
        <v>1594</v>
      </c>
      <c r="C1109" t="s">
        <v>4199</v>
      </c>
    </row>
    <row r="1110" spans="2:3" x14ac:dyDescent="0.3">
      <c r="B1110" t="s">
        <v>4200</v>
      </c>
      <c r="C1110" t="s">
        <v>4201</v>
      </c>
    </row>
    <row r="1111" spans="2:3" x14ac:dyDescent="0.3">
      <c r="B1111" t="s">
        <v>1596</v>
      </c>
      <c r="C1111" t="s">
        <v>4202</v>
      </c>
    </row>
    <row r="1112" spans="2:3" x14ac:dyDescent="0.3">
      <c r="B1112" t="s">
        <v>4203</v>
      </c>
      <c r="C1112" t="s">
        <v>4204</v>
      </c>
    </row>
    <row r="1113" spans="2:3" x14ac:dyDescent="0.3">
      <c r="B1113" t="s">
        <v>1598</v>
      </c>
      <c r="C1113" t="s">
        <v>4205</v>
      </c>
    </row>
    <row r="1114" spans="2:3" x14ac:dyDescent="0.3">
      <c r="B1114" t="s">
        <v>4206</v>
      </c>
      <c r="C1114" t="s">
        <v>4207</v>
      </c>
    </row>
    <row r="1115" spans="2:3" x14ac:dyDescent="0.3">
      <c r="B1115" t="s">
        <v>5311</v>
      </c>
      <c r="C1115" t="s">
        <v>5312</v>
      </c>
    </row>
    <row r="1116" spans="2:3" x14ac:dyDescent="0.3">
      <c r="B1116" t="s">
        <v>1600</v>
      </c>
      <c r="C1116" t="s">
        <v>4208</v>
      </c>
    </row>
    <row r="1117" spans="2:3" x14ac:dyDescent="0.3">
      <c r="B1117" t="s">
        <v>1602</v>
      </c>
      <c r="C1117" t="s">
        <v>4209</v>
      </c>
    </row>
    <row r="1118" spans="2:3" x14ac:dyDescent="0.3">
      <c r="B1118" t="s">
        <v>1604</v>
      </c>
      <c r="C1118" t="s">
        <v>4210</v>
      </c>
    </row>
    <row r="1119" spans="2:3" x14ac:dyDescent="0.3">
      <c r="B1119" t="s">
        <v>4211</v>
      </c>
      <c r="C1119" t="s">
        <v>4212</v>
      </c>
    </row>
    <row r="1120" spans="2:3" x14ac:dyDescent="0.3">
      <c r="B1120" t="s">
        <v>1606</v>
      </c>
      <c r="C1120" t="s">
        <v>4213</v>
      </c>
    </row>
    <row r="1121" spans="2:3" x14ac:dyDescent="0.3">
      <c r="B1121" t="s">
        <v>1608</v>
      </c>
      <c r="C1121" t="s">
        <v>4214</v>
      </c>
    </row>
    <row r="1122" spans="2:3" x14ac:dyDescent="0.3">
      <c r="B1122" t="s">
        <v>4215</v>
      </c>
      <c r="C1122" t="s">
        <v>4216</v>
      </c>
    </row>
    <row r="1123" spans="2:3" x14ac:dyDescent="0.3">
      <c r="B1123" t="s">
        <v>1609</v>
      </c>
      <c r="C1123" t="s">
        <v>4217</v>
      </c>
    </row>
    <row r="1124" spans="2:3" x14ac:dyDescent="0.3">
      <c r="B1124" t="s">
        <v>1611</v>
      </c>
      <c r="C1124" t="s">
        <v>4218</v>
      </c>
    </row>
    <row r="1125" spans="2:3" x14ac:dyDescent="0.3">
      <c r="B1125" t="s">
        <v>4219</v>
      </c>
      <c r="C1125" t="s">
        <v>4220</v>
      </c>
    </row>
    <row r="1126" spans="2:3" x14ac:dyDescent="0.3">
      <c r="B1126" t="s">
        <v>4221</v>
      </c>
      <c r="C1126" t="s">
        <v>4222</v>
      </c>
    </row>
    <row r="1127" spans="2:3" x14ac:dyDescent="0.3">
      <c r="B1127" t="s">
        <v>1613</v>
      </c>
      <c r="C1127" t="s">
        <v>4223</v>
      </c>
    </row>
    <row r="1128" spans="2:3" x14ac:dyDescent="0.3">
      <c r="B1128" t="s">
        <v>1615</v>
      </c>
      <c r="C1128" t="s">
        <v>4224</v>
      </c>
    </row>
    <row r="1129" spans="2:3" x14ac:dyDescent="0.3">
      <c r="B1129" t="s">
        <v>4225</v>
      </c>
      <c r="C1129" t="s">
        <v>4226</v>
      </c>
    </row>
    <row r="1130" spans="2:3" x14ac:dyDescent="0.3">
      <c r="B1130" t="s">
        <v>4227</v>
      </c>
      <c r="C1130" t="s">
        <v>4228</v>
      </c>
    </row>
    <row r="1131" spans="2:3" x14ac:dyDescent="0.3">
      <c r="B1131" t="s">
        <v>1617</v>
      </c>
      <c r="C1131" t="s">
        <v>4229</v>
      </c>
    </row>
    <row r="1132" spans="2:3" x14ac:dyDescent="0.3">
      <c r="B1132" t="s">
        <v>1619</v>
      </c>
      <c r="C1132" t="s">
        <v>4230</v>
      </c>
    </row>
    <row r="1133" spans="2:3" x14ac:dyDescent="0.3">
      <c r="B1133" t="s">
        <v>1621</v>
      </c>
      <c r="C1133" t="s">
        <v>4231</v>
      </c>
    </row>
    <row r="1134" spans="2:3" x14ac:dyDescent="0.3">
      <c r="B1134" t="s">
        <v>1623</v>
      </c>
      <c r="C1134" t="s">
        <v>4232</v>
      </c>
    </row>
    <row r="1135" spans="2:3" x14ac:dyDescent="0.3">
      <c r="B1135" t="s">
        <v>1625</v>
      </c>
      <c r="C1135" t="s">
        <v>4233</v>
      </c>
    </row>
    <row r="1136" spans="2:3" x14ac:dyDescent="0.3">
      <c r="B1136" t="s">
        <v>4234</v>
      </c>
      <c r="C1136" t="s">
        <v>4235</v>
      </c>
    </row>
    <row r="1137" spans="2:3" x14ac:dyDescent="0.3">
      <c r="B1137" t="s">
        <v>1627</v>
      </c>
      <c r="C1137" t="s">
        <v>4236</v>
      </c>
    </row>
    <row r="1138" spans="2:3" x14ac:dyDescent="0.3">
      <c r="B1138" t="s">
        <v>1629</v>
      </c>
      <c r="C1138" t="s">
        <v>4237</v>
      </c>
    </row>
    <row r="1139" spans="2:3" x14ac:dyDescent="0.3">
      <c r="B1139" t="s">
        <v>1631</v>
      </c>
      <c r="C1139" t="s">
        <v>4238</v>
      </c>
    </row>
    <row r="1140" spans="2:3" x14ac:dyDescent="0.3">
      <c r="B1140" t="s">
        <v>1633</v>
      </c>
      <c r="C1140" t="s">
        <v>4239</v>
      </c>
    </row>
    <row r="1141" spans="2:3" x14ac:dyDescent="0.3">
      <c r="B1141" t="s">
        <v>4240</v>
      </c>
      <c r="C1141" t="s">
        <v>4241</v>
      </c>
    </row>
    <row r="1142" spans="2:3" x14ac:dyDescent="0.3">
      <c r="B1142" t="s">
        <v>1635</v>
      </c>
      <c r="C1142" t="s">
        <v>4242</v>
      </c>
    </row>
    <row r="1143" spans="2:3" x14ac:dyDescent="0.3">
      <c r="B1143" t="s">
        <v>1637</v>
      </c>
      <c r="C1143" t="s">
        <v>4243</v>
      </c>
    </row>
    <row r="1144" spans="2:3" x14ac:dyDescent="0.3">
      <c r="B1144" t="s">
        <v>4244</v>
      </c>
      <c r="C1144" t="s">
        <v>4245</v>
      </c>
    </row>
    <row r="1145" spans="2:3" x14ac:dyDescent="0.3">
      <c r="B1145" t="s">
        <v>1639</v>
      </c>
      <c r="C1145" t="s">
        <v>4246</v>
      </c>
    </row>
    <row r="1146" spans="2:3" x14ac:dyDescent="0.3">
      <c r="B1146" t="s">
        <v>1642</v>
      </c>
      <c r="C1146" t="s">
        <v>4247</v>
      </c>
    </row>
    <row r="1147" spans="2:3" x14ac:dyDescent="0.3">
      <c r="B1147" t="s">
        <v>1644</v>
      </c>
      <c r="C1147" t="s">
        <v>4248</v>
      </c>
    </row>
    <row r="1148" spans="2:3" x14ac:dyDescent="0.3">
      <c r="B1148" t="s">
        <v>1646</v>
      </c>
      <c r="C1148" t="s">
        <v>4249</v>
      </c>
    </row>
    <row r="1149" spans="2:3" x14ac:dyDescent="0.3">
      <c r="B1149" t="s">
        <v>4250</v>
      </c>
      <c r="C1149" t="s">
        <v>4251</v>
      </c>
    </row>
    <row r="1150" spans="2:3" x14ac:dyDescent="0.3">
      <c r="B1150" t="s">
        <v>1648</v>
      </c>
      <c r="C1150" t="s">
        <v>4252</v>
      </c>
    </row>
    <row r="1151" spans="2:3" x14ac:dyDescent="0.3">
      <c r="B1151" t="s">
        <v>4253</v>
      </c>
      <c r="C1151" t="s">
        <v>4254</v>
      </c>
    </row>
    <row r="1152" spans="2:3" x14ac:dyDescent="0.3">
      <c r="B1152" t="s">
        <v>1650</v>
      </c>
      <c r="C1152" t="s">
        <v>4255</v>
      </c>
    </row>
    <row r="1153" spans="2:3" x14ac:dyDescent="0.3">
      <c r="B1153" t="s">
        <v>1652</v>
      </c>
      <c r="C1153" t="s">
        <v>4256</v>
      </c>
    </row>
    <row r="1154" spans="2:3" x14ac:dyDescent="0.3">
      <c r="B1154" t="s">
        <v>1654</v>
      </c>
      <c r="C1154" t="s">
        <v>4257</v>
      </c>
    </row>
    <row r="1155" spans="2:3" x14ac:dyDescent="0.3">
      <c r="B1155" t="s">
        <v>1656</v>
      </c>
      <c r="C1155" t="s">
        <v>4258</v>
      </c>
    </row>
    <row r="1156" spans="2:3" x14ac:dyDescent="0.3">
      <c r="B1156" t="s">
        <v>1658</v>
      </c>
      <c r="C1156" t="s">
        <v>4259</v>
      </c>
    </row>
    <row r="1157" spans="2:3" x14ac:dyDescent="0.3">
      <c r="B1157" t="s">
        <v>1660</v>
      </c>
      <c r="C1157" t="s">
        <v>4260</v>
      </c>
    </row>
    <row r="1158" spans="2:3" x14ac:dyDescent="0.3">
      <c r="B1158" t="s">
        <v>1662</v>
      </c>
      <c r="C1158" t="s">
        <v>4261</v>
      </c>
    </row>
    <row r="1159" spans="2:3" x14ac:dyDescent="0.3">
      <c r="B1159" t="s">
        <v>5355</v>
      </c>
      <c r="C1159" t="s">
        <v>5356</v>
      </c>
    </row>
    <row r="1160" spans="2:3" x14ac:dyDescent="0.3">
      <c r="B1160" t="s">
        <v>1664</v>
      </c>
      <c r="C1160" t="s">
        <v>4262</v>
      </c>
    </row>
    <row r="1161" spans="2:3" x14ac:dyDescent="0.3">
      <c r="B1161" t="s">
        <v>1666</v>
      </c>
      <c r="C1161" t="s">
        <v>4263</v>
      </c>
    </row>
    <row r="1162" spans="2:3" x14ac:dyDescent="0.3">
      <c r="B1162" t="s">
        <v>1668</v>
      </c>
      <c r="C1162" t="s">
        <v>4264</v>
      </c>
    </row>
    <row r="1163" spans="2:3" x14ac:dyDescent="0.3">
      <c r="B1163" t="s">
        <v>1670</v>
      </c>
      <c r="C1163" t="s">
        <v>4265</v>
      </c>
    </row>
    <row r="1164" spans="2:3" x14ac:dyDescent="0.3">
      <c r="B1164" t="s">
        <v>4266</v>
      </c>
      <c r="C1164" t="s">
        <v>4267</v>
      </c>
    </row>
    <row r="1165" spans="2:3" x14ac:dyDescent="0.3">
      <c r="B1165" t="s">
        <v>1672</v>
      </c>
      <c r="C1165" t="s">
        <v>4268</v>
      </c>
    </row>
    <row r="1166" spans="2:3" x14ac:dyDescent="0.3">
      <c r="B1166" t="s">
        <v>1674</v>
      </c>
      <c r="C1166" t="s">
        <v>4269</v>
      </c>
    </row>
    <row r="1167" spans="2:3" x14ac:dyDescent="0.3">
      <c r="B1167" t="s">
        <v>1676</v>
      </c>
      <c r="C1167" t="s">
        <v>4270</v>
      </c>
    </row>
    <row r="1168" spans="2:3" x14ac:dyDescent="0.3">
      <c r="B1168" t="s">
        <v>1680</v>
      </c>
      <c r="C1168" t="s">
        <v>4271</v>
      </c>
    </row>
    <row r="1169" spans="2:3" x14ac:dyDescent="0.3">
      <c r="B1169" t="s">
        <v>4272</v>
      </c>
      <c r="C1169" t="s">
        <v>4273</v>
      </c>
    </row>
    <row r="1170" spans="2:3" x14ac:dyDescent="0.3">
      <c r="B1170" t="s">
        <v>4274</v>
      </c>
      <c r="C1170" t="s">
        <v>4275</v>
      </c>
    </row>
    <row r="1171" spans="2:3" x14ac:dyDescent="0.3">
      <c r="B1171" t="s">
        <v>1682</v>
      </c>
      <c r="C1171" t="s">
        <v>4276</v>
      </c>
    </row>
    <row r="1172" spans="2:3" x14ac:dyDescent="0.3">
      <c r="B1172" t="s">
        <v>4277</v>
      </c>
      <c r="C1172" t="s">
        <v>4278</v>
      </c>
    </row>
    <row r="1173" spans="2:3" x14ac:dyDescent="0.3">
      <c r="B1173" t="s">
        <v>1684</v>
      </c>
      <c r="C1173" t="s">
        <v>4279</v>
      </c>
    </row>
    <row r="1174" spans="2:3" x14ac:dyDescent="0.3">
      <c r="B1174" t="s">
        <v>1686</v>
      </c>
      <c r="C1174" t="s">
        <v>4280</v>
      </c>
    </row>
    <row r="1175" spans="2:3" x14ac:dyDescent="0.3">
      <c r="B1175" t="s">
        <v>4281</v>
      </c>
      <c r="C1175" t="s">
        <v>4282</v>
      </c>
    </row>
    <row r="1176" spans="2:3" x14ac:dyDescent="0.3">
      <c r="B1176" t="s">
        <v>1688</v>
      </c>
      <c r="C1176" t="s">
        <v>4283</v>
      </c>
    </row>
    <row r="1177" spans="2:3" x14ac:dyDescent="0.3">
      <c r="B1177" t="s">
        <v>4284</v>
      </c>
      <c r="C1177" t="s">
        <v>4285</v>
      </c>
    </row>
    <row r="1178" spans="2:3" x14ac:dyDescent="0.3">
      <c r="B1178" t="s">
        <v>1690</v>
      </c>
      <c r="C1178" t="s">
        <v>4286</v>
      </c>
    </row>
    <row r="1179" spans="2:3" x14ac:dyDescent="0.3">
      <c r="B1179" t="s">
        <v>1692</v>
      </c>
      <c r="C1179" t="s">
        <v>4287</v>
      </c>
    </row>
    <row r="1180" spans="2:3" x14ac:dyDescent="0.3">
      <c r="B1180" t="s">
        <v>1694</v>
      </c>
      <c r="C1180" t="s">
        <v>4288</v>
      </c>
    </row>
    <row r="1181" spans="2:3" x14ac:dyDescent="0.3">
      <c r="B1181" t="s">
        <v>1696</v>
      </c>
      <c r="C1181" t="s">
        <v>4289</v>
      </c>
    </row>
    <row r="1182" spans="2:3" x14ac:dyDescent="0.3">
      <c r="B1182" t="s">
        <v>1698</v>
      </c>
      <c r="C1182" t="s">
        <v>4290</v>
      </c>
    </row>
    <row r="1183" spans="2:3" x14ac:dyDescent="0.3">
      <c r="B1183" t="s">
        <v>1700</v>
      </c>
      <c r="C1183" t="s">
        <v>4291</v>
      </c>
    </row>
    <row r="1184" spans="2:3" x14ac:dyDescent="0.3">
      <c r="B1184" t="s">
        <v>1702</v>
      </c>
      <c r="C1184" t="s">
        <v>4292</v>
      </c>
    </row>
    <row r="1185" spans="2:3" x14ac:dyDescent="0.3">
      <c r="B1185" t="s">
        <v>1704</v>
      </c>
      <c r="C1185" t="s">
        <v>4293</v>
      </c>
    </row>
    <row r="1186" spans="2:3" x14ac:dyDescent="0.3">
      <c r="B1186" t="s">
        <v>1706</v>
      </c>
      <c r="C1186" t="s">
        <v>4294</v>
      </c>
    </row>
    <row r="1187" spans="2:3" x14ac:dyDescent="0.3">
      <c r="B1187" t="s">
        <v>1708</v>
      </c>
      <c r="C1187" t="s">
        <v>4295</v>
      </c>
    </row>
    <row r="1188" spans="2:3" x14ac:dyDescent="0.3">
      <c r="B1188" t="s">
        <v>1710</v>
      </c>
      <c r="C1188" t="s">
        <v>4296</v>
      </c>
    </row>
    <row r="1189" spans="2:3" x14ac:dyDescent="0.3">
      <c r="B1189" t="s">
        <v>1712</v>
      </c>
      <c r="C1189" t="s">
        <v>4297</v>
      </c>
    </row>
    <row r="1190" spans="2:3" x14ac:dyDescent="0.3">
      <c r="B1190" t="s">
        <v>1714</v>
      </c>
      <c r="C1190" t="s">
        <v>4298</v>
      </c>
    </row>
    <row r="1191" spans="2:3" x14ac:dyDescent="0.3">
      <c r="B1191" t="s">
        <v>1716</v>
      </c>
      <c r="C1191" t="s">
        <v>4299</v>
      </c>
    </row>
    <row r="1192" spans="2:3" x14ac:dyDescent="0.3">
      <c r="B1192" t="s">
        <v>1718</v>
      </c>
      <c r="C1192" t="s">
        <v>4300</v>
      </c>
    </row>
    <row r="1193" spans="2:3" x14ac:dyDescent="0.3">
      <c r="B1193" t="s">
        <v>1720</v>
      </c>
      <c r="C1193" t="s">
        <v>4301</v>
      </c>
    </row>
    <row r="1194" spans="2:3" x14ac:dyDescent="0.3">
      <c r="B1194" t="s">
        <v>1722</v>
      </c>
      <c r="C1194" t="s">
        <v>4302</v>
      </c>
    </row>
    <row r="1195" spans="2:3" x14ac:dyDescent="0.3">
      <c r="B1195" t="s">
        <v>1724</v>
      </c>
      <c r="C1195" t="s">
        <v>4303</v>
      </c>
    </row>
    <row r="1196" spans="2:3" x14ac:dyDescent="0.3">
      <c r="B1196" t="s">
        <v>1726</v>
      </c>
      <c r="C1196" t="s">
        <v>4304</v>
      </c>
    </row>
    <row r="1197" spans="2:3" x14ac:dyDescent="0.3">
      <c r="B1197" t="s">
        <v>1728</v>
      </c>
      <c r="C1197" t="s">
        <v>4305</v>
      </c>
    </row>
    <row r="1198" spans="2:3" x14ac:dyDescent="0.3">
      <c r="B1198" t="s">
        <v>1730</v>
      </c>
      <c r="C1198" t="s">
        <v>4306</v>
      </c>
    </row>
    <row r="1199" spans="2:3" x14ac:dyDescent="0.3">
      <c r="B1199" t="s">
        <v>4307</v>
      </c>
      <c r="C1199" t="s">
        <v>4308</v>
      </c>
    </row>
    <row r="1200" spans="2:3" x14ac:dyDescent="0.3">
      <c r="B1200" t="s">
        <v>4309</v>
      </c>
      <c r="C1200" t="s">
        <v>4310</v>
      </c>
    </row>
    <row r="1201" spans="2:3" x14ac:dyDescent="0.3">
      <c r="B1201" t="s">
        <v>4311</v>
      </c>
      <c r="C1201" t="s">
        <v>4312</v>
      </c>
    </row>
    <row r="1202" spans="2:3" x14ac:dyDescent="0.3">
      <c r="B1202" t="s">
        <v>1732</v>
      </c>
      <c r="C1202" t="s">
        <v>4313</v>
      </c>
    </row>
    <row r="1203" spans="2:3" x14ac:dyDescent="0.3">
      <c r="B1203" t="s">
        <v>4314</v>
      </c>
      <c r="C1203" t="s">
        <v>4315</v>
      </c>
    </row>
    <row r="1204" spans="2:3" x14ac:dyDescent="0.3">
      <c r="B1204" t="s">
        <v>1734</v>
      </c>
      <c r="C1204" t="s">
        <v>4316</v>
      </c>
    </row>
    <row r="1205" spans="2:3" x14ac:dyDescent="0.3">
      <c r="B1205" t="s">
        <v>1736</v>
      </c>
      <c r="C1205" t="s">
        <v>4317</v>
      </c>
    </row>
    <row r="1206" spans="2:3" x14ac:dyDescent="0.3">
      <c r="B1206" t="s">
        <v>5397</v>
      </c>
      <c r="C1206" t="s">
        <v>5398</v>
      </c>
    </row>
    <row r="1207" spans="2:3" x14ac:dyDescent="0.3">
      <c r="B1207" t="s">
        <v>1738</v>
      </c>
      <c r="C1207" t="s">
        <v>4318</v>
      </c>
    </row>
    <row r="1208" spans="2:3" x14ac:dyDescent="0.3">
      <c r="B1208" t="s">
        <v>1740</v>
      </c>
      <c r="C1208" t="s">
        <v>4319</v>
      </c>
    </row>
    <row r="1209" spans="2:3" x14ac:dyDescent="0.3">
      <c r="B1209" t="s">
        <v>1742</v>
      </c>
      <c r="C1209" t="s">
        <v>4320</v>
      </c>
    </row>
    <row r="1210" spans="2:3" x14ac:dyDescent="0.3">
      <c r="B1210" t="s">
        <v>1744</v>
      </c>
      <c r="C1210" t="s">
        <v>4321</v>
      </c>
    </row>
    <row r="1211" spans="2:3" x14ac:dyDescent="0.3">
      <c r="B1211" t="s">
        <v>4322</v>
      </c>
      <c r="C1211" t="s">
        <v>4323</v>
      </c>
    </row>
    <row r="1212" spans="2:3" x14ac:dyDescent="0.3">
      <c r="B1212" t="s">
        <v>4324</v>
      </c>
      <c r="C1212" t="s">
        <v>4325</v>
      </c>
    </row>
    <row r="1213" spans="2:3" x14ac:dyDescent="0.3">
      <c r="B1213" t="s">
        <v>1746</v>
      </c>
      <c r="C1213" t="s">
        <v>4326</v>
      </c>
    </row>
    <row r="1214" spans="2:3" x14ac:dyDescent="0.3">
      <c r="B1214" t="s">
        <v>1748</v>
      </c>
      <c r="C1214" t="s">
        <v>4327</v>
      </c>
    </row>
    <row r="1215" spans="2:3" x14ac:dyDescent="0.3">
      <c r="B1215" t="s">
        <v>5299</v>
      </c>
      <c r="C1215" t="s">
        <v>5300</v>
      </c>
    </row>
    <row r="1216" spans="2:3" x14ac:dyDescent="0.3">
      <c r="B1216" t="s">
        <v>4328</v>
      </c>
      <c r="C1216" t="s">
        <v>4329</v>
      </c>
    </row>
    <row r="1217" spans="2:3" x14ac:dyDescent="0.3">
      <c r="B1217" t="s">
        <v>5363</v>
      </c>
      <c r="C1217" t="s">
        <v>5364</v>
      </c>
    </row>
    <row r="1218" spans="2:3" x14ac:dyDescent="0.3">
      <c r="B1218" t="s">
        <v>1750</v>
      </c>
      <c r="C1218" t="s">
        <v>4330</v>
      </c>
    </row>
    <row r="1219" spans="2:3" x14ac:dyDescent="0.3">
      <c r="B1219" t="s">
        <v>1752</v>
      </c>
      <c r="C1219" t="s">
        <v>4331</v>
      </c>
    </row>
    <row r="1220" spans="2:3" x14ac:dyDescent="0.3">
      <c r="B1220" t="s">
        <v>1754</v>
      </c>
      <c r="C1220" t="s">
        <v>4332</v>
      </c>
    </row>
    <row r="1221" spans="2:3" x14ac:dyDescent="0.3">
      <c r="B1221" t="s">
        <v>1756</v>
      </c>
      <c r="C1221" t="s">
        <v>4333</v>
      </c>
    </row>
    <row r="1222" spans="2:3" x14ac:dyDescent="0.3">
      <c r="B1222" t="s">
        <v>1758</v>
      </c>
      <c r="C1222" t="s">
        <v>4334</v>
      </c>
    </row>
    <row r="1223" spans="2:3" x14ac:dyDescent="0.3">
      <c r="B1223" t="s">
        <v>1760</v>
      </c>
      <c r="C1223" t="s">
        <v>4335</v>
      </c>
    </row>
    <row r="1224" spans="2:3" x14ac:dyDescent="0.3">
      <c r="B1224" t="s">
        <v>1762</v>
      </c>
      <c r="C1224" t="s">
        <v>4336</v>
      </c>
    </row>
    <row r="1225" spans="2:3" x14ac:dyDescent="0.3">
      <c r="B1225" t="s">
        <v>1764</v>
      </c>
      <c r="C1225" t="s">
        <v>4337</v>
      </c>
    </row>
    <row r="1226" spans="2:3" x14ac:dyDescent="0.3">
      <c r="B1226" t="s">
        <v>1766</v>
      </c>
      <c r="C1226" t="s">
        <v>4338</v>
      </c>
    </row>
    <row r="1227" spans="2:3" x14ac:dyDescent="0.3">
      <c r="B1227" t="s">
        <v>1768</v>
      </c>
      <c r="C1227" t="s">
        <v>4339</v>
      </c>
    </row>
    <row r="1228" spans="2:3" x14ac:dyDescent="0.3">
      <c r="B1228" t="s">
        <v>4340</v>
      </c>
      <c r="C1228" t="s">
        <v>4341</v>
      </c>
    </row>
    <row r="1229" spans="2:3" x14ac:dyDescent="0.3">
      <c r="B1229" t="s">
        <v>1770</v>
      </c>
      <c r="C1229" t="s">
        <v>4342</v>
      </c>
    </row>
    <row r="1230" spans="2:3" x14ac:dyDescent="0.3">
      <c r="B1230" t="s">
        <v>1772</v>
      </c>
      <c r="C1230" t="s">
        <v>4343</v>
      </c>
    </row>
    <row r="1231" spans="2:3" x14ac:dyDescent="0.3">
      <c r="B1231" t="s">
        <v>4344</v>
      </c>
      <c r="C1231" t="s">
        <v>4345</v>
      </c>
    </row>
    <row r="1232" spans="2:3" x14ac:dyDescent="0.3">
      <c r="B1232" t="s">
        <v>1774</v>
      </c>
      <c r="C1232" t="s">
        <v>4346</v>
      </c>
    </row>
    <row r="1233" spans="2:3" x14ac:dyDescent="0.3">
      <c r="B1233" t="s">
        <v>1776</v>
      </c>
      <c r="C1233" t="s">
        <v>4347</v>
      </c>
    </row>
    <row r="1234" spans="2:3" x14ac:dyDescent="0.3">
      <c r="B1234" t="s">
        <v>1778</v>
      </c>
      <c r="C1234" t="s">
        <v>4348</v>
      </c>
    </row>
    <row r="1235" spans="2:3" x14ac:dyDescent="0.3">
      <c r="B1235" t="s">
        <v>1780</v>
      </c>
      <c r="C1235" t="s">
        <v>4349</v>
      </c>
    </row>
    <row r="1236" spans="2:3" x14ac:dyDescent="0.3">
      <c r="B1236" t="s">
        <v>1782</v>
      </c>
      <c r="C1236" t="s">
        <v>4350</v>
      </c>
    </row>
    <row r="1237" spans="2:3" x14ac:dyDescent="0.3">
      <c r="B1237" t="s">
        <v>1784</v>
      </c>
      <c r="C1237" t="s">
        <v>4351</v>
      </c>
    </row>
    <row r="1238" spans="2:3" x14ac:dyDescent="0.3">
      <c r="B1238" t="s">
        <v>1786</v>
      </c>
      <c r="C1238" t="s">
        <v>4352</v>
      </c>
    </row>
    <row r="1239" spans="2:3" x14ac:dyDescent="0.3">
      <c r="B1239" t="s">
        <v>1787</v>
      </c>
      <c r="C1239" t="s">
        <v>4353</v>
      </c>
    </row>
    <row r="1240" spans="2:3" x14ac:dyDescent="0.3">
      <c r="B1240" t="s">
        <v>1789</v>
      </c>
      <c r="C1240" t="s">
        <v>4354</v>
      </c>
    </row>
    <row r="1241" spans="2:3" x14ac:dyDescent="0.3">
      <c r="B1241" t="s">
        <v>1791</v>
      </c>
      <c r="C1241" t="s">
        <v>4355</v>
      </c>
    </row>
    <row r="1242" spans="2:3" x14ac:dyDescent="0.3">
      <c r="B1242" t="s">
        <v>1793</v>
      </c>
      <c r="C1242" t="s">
        <v>4356</v>
      </c>
    </row>
    <row r="1243" spans="2:3" x14ac:dyDescent="0.3">
      <c r="B1243" t="s">
        <v>4357</v>
      </c>
      <c r="C1243" t="s">
        <v>4358</v>
      </c>
    </row>
    <row r="1244" spans="2:3" x14ac:dyDescent="0.3">
      <c r="B1244" t="s">
        <v>1795</v>
      </c>
      <c r="C1244" t="s">
        <v>4359</v>
      </c>
    </row>
    <row r="1245" spans="2:3" x14ac:dyDescent="0.3">
      <c r="B1245" t="s">
        <v>1797</v>
      </c>
      <c r="C1245" t="s">
        <v>4360</v>
      </c>
    </row>
    <row r="1246" spans="2:3" x14ac:dyDescent="0.3">
      <c r="B1246" t="s">
        <v>4361</v>
      </c>
      <c r="C1246" t="s">
        <v>4362</v>
      </c>
    </row>
    <row r="1247" spans="2:3" x14ac:dyDescent="0.3">
      <c r="B1247" t="s">
        <v>1799</v>
      </c>
      <c r="C1247" t="s">
        <v>4363</v>
      </c>
    </row>
    <row r="1248" spans="2:3" x14ac:dyDescent="0.3">
      <c r="B1248" t="s">
        <v>1801</v>
      </c>
      <c r="C1248" t="s">
        <v>4364</v>
      </c>
    </row>
    <row r="1249" spans="2:3" x14ac:dyDescent="0.3">
      <c r="B1249" t="s">
        <v>1803</v>
      </c>
      <c r="C1249" t="s">
        <v>4365</v>
      </c>
    </row>
    <row r="1250" spans="2:3" x14ac:dyDescent="0.3">
      <c r="B1250" t="s">
        <v>1805</v>
      </c>
      <c r="C1250" t="s">
        <v>4366</v>
      </c>
    </row>
    <row r="1251" spans="2:3" x14ac:dyDescent="0.3">
      <c r="B1251" t="s">
        <v>1807</v>
      </c>
      <c r="C1251" t="s">
        <v>4367</v>
      </c>
    </row>
    <row r="1252" spans="2:3" x14ac:dyDescent="0.3">
      <c r="B1252" t="s">
        <v>1809</v>
      </c>
      <c r="C1252" t="s">
        <v>4368</v>
      </c>
    </row>
    <row r="1253" spans="2:3" x14ac:dyDescent="0.3">
      <c r="B1253" t="s">
        <v>1811</v>
      </c>
      <c r="C1253" t="s">
        <v>4369</v>
      </c>
    </row>
    <row r="1254" spans="2:3" x14ac:dyDescent="0.3">
      <c r="B1254" t="s">
        <v>1813</v>
      </c>
      <c r="C1254" t="s">
        <v>4370</v>
      </c>
    </row>
    <row r="1255" spans="2:3" x14ac:dyDescent="0.3">
      <c r="B1255" t="s">
        <v>1815</v>
      </c>
      <c r="C1255" t="s">
        <v>4371</v>
      </c>
    </row>
    <row r="1256" spans="2:3" x14ac:dyDescent="0.3">
      <c r="B1256" t="s">
        <v>1817</v>
      </c>
      <c r="C1256" t="s">
        <v>4372</v>
      </c>
    </row>
    <row r="1257" spans="2:3" x14ac:dyDescent="0.3">
      <c r="B1257" t="s">
        <v>4373</v>
      </c>
      <c r="C1257" t="s">
        <v>4374</v>
      </c>
    </row>
    <row r="1258" spans="2:3" x14ac:dyDescent="0.3">
      <c r="B1258" t="s">
        <v>1819</v>
      </c>
      <c r="C1258" t="s">
        <v>4375</v>
      </c>
    </row>
    <row r="1259" spans="2:3" x14ac:dyDescent="0.3">
      <c r="B1259" t="s">
        <v>1821</v>
      </c>
      <c r="C1259" t="s">
        <v>4376</v>
      </c>
    </row>
    <row r="1260" spans="2:3" x14ac:dyDescent="0.3">
      <c r="B1260" t="s">
        <v>1823</v>
      </c>
      <c r="C1260" t="s">
        <v>4377</v>
      </c>
    </row>
    <row r="1261" spans="2:3" x14ac:dyDescent="0.3">
      <c r="B1261" t="s">
        <v>1825</v>
      </c>
      <c r="C1261" t="s">
        <v>4378</v>
      </c>
    </row>
    <row r="1262" spans="2:3" x14ac:dyDescent="0.3">
      <c r="B1262" t="s">
        <v>1827</v>
      </c>
      <c r="C1262" t="s">
        <v>4379</v>
      </c>
    </row>
    <row r="1263" spans="2:3" x14ac:dyDescent="0.3">
      <c r="B1263" t="s">
        <v>1829</v>
      </c>
      <c r="C1263" t="s">
        <v>4380</v>
      </c>
    </row>
    <row r="1264" spans="2:3" x14ac:dyDescent="0.3">
      <c r="B1264" t="s">
        <v>1831</v>
      </c>
      <c r="C1264" t="s">
        <v>4381</v>
      </c>
    </row>
    <row r="1265" spans="2:3" x14ac:dyDescent="0.3">
      <c r="B1265" t="s">
        <v>1833</v>
      </c>
      <c r="C1265" t="s">
        <v>4382</v>
      </c>
    </row>
    <row r="1266" spans="2:3" x14ac:dyDescent="0.3">
      <c r="B1266" t="s">
        <v>1835</v>
      </c>
      <c r="C1266" t="s">
        <v>4383</v>
      </c>
    </row>
    <row r="1267" spans="2:3" x14ac:dyDescent="0.3">
      <c r="B1267" t="s">
        <v>1837</v>
      </c>
      <c r="C1267" t="s">
        <v>4384</v>
      </c>
    </row>
    <row r="1268" spans="2:3" x14ac:dyDescent="0.3">
      <c r="B1268" t="s">
        <v>4385</v>
      </c>
      <c r="C1268" t="s">
        <v>4386</v>
      </c>
    </row>
    <row r="1269" spans="2:3" x14ac:dyDescent="0.3">
      <c r="B1269" t="s">
        <v>5309</v>
      </c>
      <c r="C1269" t="s">
        <v>5310</v>
      </c>
    </row>
    <row r="1270" spans="2:3" x14ac:dyDescent="0.3">
      <c r="B1270" t="s">
        <v>1839</v>
      </c>
      <c r="C1270" t="s">
        <v>4387</v>
      </c>
    </row>
    <row r="1271" spans="2:3" x14ac:dyDescent="0.3">
      <c r="B1271" t="s">
        <v>1841</v>
      </c>
      <c r="C1271" t="s">
        <v>4388</v>
      </c>
    </row>
    <row r="1272" spans="2:3" x14ac:dyDescent="0.3">
      <c r="B1272" t="s">
        <v>1843</v>
      </c>
      <c r="C1272" t="s">
        <v>4389</v>
      </c>
    </row>
    <row r="1273" spans="2:3" x14ac:dyDescent="0.3">
      <c r="B1273" t="s">
        <v>1845</v>
      </c>
      <c r="C1273" t="s">
        <v>4390</v>
      </c>
    </row>
    <row r="1274" spans="2:3" x14ac:dyDescent="0.3">
      <c r="B1274" t="s">
        <v>4391</v>
      </c>
      <c r="C1274" t="s">
        <v>4392</v>
      </c>
    </row>
    <row r="1275" spans="2:3" x14ac:dyDescent="0.3">
      <c r="B1275" t="s">
        <v>1847</v>
      </c>
      <c r="C1275" t="s">
        <v>4393</v>
      </c>
    </row>
    <row r="1276" spans="2:3" x14ac:dyDescent="0.3">
      <c r="B1276" t="s">
        <v>4394</v>
      </c>
      <c r="C1276" t="s">
        <v>4395</v>
      </c>
    </row>
    <row r="1277" spans="2:3" x14ac:dyDescent="0.3">
      <c r="B1277" t="s">
        <v>1849</v>
      </c>
      <c r="C1277" t="s">
        <v>4396</v>
      </c>
    </row>
    <row r="1278" spans="2:3" x14ac:dyDescent="0.3">
      <c r="B1278" t="s">
        <v>1851</v>
      </c>
      <c r="C1278" t="s">
        <v>4397</v>
      </c>
    </row>
    <row r="1279" spans="2:3" x14ac:dyDescent="0.3">
      <c r="B1279" t="s">
        <v>1853</v>
      </c>
      <c r="C1279" t="s">
        <v>4398</v>
      </c>
    </row>
    <row r="1280" spans="2:3" x14ac:dyDescent="0.3">
      <c r="B1280" t="s">
        <v>1855</v>
      </c>
      <c r="C1280" t="s">
        <v>4399</v>
      </c>
    </row>
    <row r="1281" spans="2:3" x14ac:dyDescent="0.3">
      <c r="B1281" t="s">
        <v>4400</v>
      </c>
      <c r="C1281" t="s">
        <v>4401</v>
      </c>
    </row>
    <row r="1282" spans="2:3" x14ac:dyDescent="0.3">
      <c r="B1282" t="s">
        <v>1856</v>
      </c>
      <c r="C1282" t="s">
        <v>4402</v>
      </c>
    </row>
    <row r="1283" spans="2:3" x14ac:dyDescent="0.3">
      <c r="B1283" t="s">
        <v>1858</v>
      </c>
      <c r="C1283" t="s">
        <v>4403</v>
      </c>
    </row>
    <row r="1284" spans="2:3" x14ac:dyDescent="0.3">
      <c r="B1284" t="s">
        <v>1860</v>
      </c>
      <c r="C1284" t="s">
        <v>4404</v>
      </c>
    </row>
    <row r="1285" spans="2:3" x14ac:dyDescent="0.3">
      <c r="B1285" t="s">
        <v>1862</v>
      </c>
      <c r="C1285" t="s">
        <v>4405</v>
      </c>
    </row>
    <row r="1286" spans="2:3" x14ac:dyDescent="0.3">
      <c r="B1286" t="s">
        <v>5460</v>
      </c>
      <c r="C1286" t="s">
        <v>5461</v>
      </c>
    </row>
    <row r="1287" spans="2:3" x14ac:dyDescent="0.3">
      <c r="B1287" t="s">
        <v>4406</v>
      </c>
      <c r="C1287" t="s">
        <v>4407</v>
      </c>
    </row>
    <row r="1288" spans="2:3" x14ac:dyDescent="0.3">
      <c r="B1288" t="s">
        <v>4408</v>
      </c>
      <c r="C1288" t="s">
        <v>4409</v>
      </c>
    </row>
    <row r="1289" spans="2:3" x14ac:dyDescent="0.3">
      <c r="B1289" t="s">
        <v>4410</v>
      </c>
      <c r="C1289" t="s">
        <v>4411</v>
      </c>
    </row>
    <row r="1290" spans="2:3" x14ac:dyDescent="0.3">
      <c r="B1290" t="s">
        <v>4412</v>
      </c>
      <c r="C1290" t="s">
        <v>4413</v>
      </c>
    </row>
    <row r="1291" spans="2:3" x14ac:dyDescent="0.3">
      <c r="B1291" t="s">
        <v>4414</v>
      </c>
      <c r="C1291" t="s">
        <v>4415</v>
      </c>
    </row>
    <row r="1292" spans="2:3" x14ac:dyDescent="0.3">
      <c r="B1292" t="s">
        <v>5425</v>
      </c>
      <c r="C1292" t="s">
        <v>5426</v>
      </c>
    </row>
    <row r="1293" spans="2:3" x14ac:dyDescent="0.3">
      <c r="B1293" t="s">
        <v>4416</v>
      </c>
      <c r="C1293" t="s">
        <v>4417</v>
      </c>
    </row>
    <row r="1294" spans="2:3" x14ac:dyDescent="0.3">
      <c r="B1294" t="s">
        <v>4418</v>
      </c>
      <c r="C1294" t="s">
        <v>4419</v>
      </c>
    </row>
    <row r="1295" spans="2:3" x14ac:dyDescent="0.3">
      <c r="B1295" t="s">
        <v>1864</v>
      </c>
      <c r="C1295" t="s">
        <v>4420</v>
      </c>
    </row>
    <row r="1296" spans="2:3" x14ac:dyDescent="0.3">
      <c r="B1296" t="s">
        <v>1866</v>
      </c>
      <c r="C1296" t="s">
        <v>4421</v>
      </c>
    </row>
    <row r="1297" spans="2:3" x14ac:dyDescent="0.3">
      <c r="B1297" t="s">
        <v>1868</v>
      </c>
      <c r="C1297" t="s">
        <v>4422</v>
      </c>
    </row>
    <row r="1298" spans="2:3" x14ac:dyDescent="0.3">
      <c r="B1298" t="s">
        <v>1870</v>
      </c>
      <c r="C1298" t="s">
        <v>4423</v>
      </c>
    </row>
    <row r="1299" spans="2:3" x14ac:dyDescent="0.3">
      <c r="B1299" t="s">
        <v>1872</v>
      </c>
      <c r="C1299" t="s">
        <v>4424</v>
      </c>
    </row>
    <row r="1300" spans="2:3" x14ac:dyDescent="0.3">
      <c r="B1300" t="s">
        <v>1874</v>
      </c>
      <c r="C1300" t="s">
        <v>4425</v>
      </c>
    </row>
    <row r="1301" spans="2:3" x14ac:dyDescent="0.3">
      <c r="B1301" t="s">
        <v>4426</v>
      </c>
      <c r="C1301" t="s">
        <v>4427</v>
      </c>
    </row>
    <row r="1302" spans="2:3" x14ac:dyDescent="0.3">
      <c r="B1302" t="s">
        <v>1876</v>
      </c>
      <c r="C1302" t="s">
        <v>4428</v>
      </c>
    </row>
    <row r="1303" spans="2:3" x14ac:dyDescent="0.3">
      <c r="B1303" t="s">
        <v>4429</v>
      </c>
      <c r="C1303" t="s">
        <v>4430</v>
      </c>
    </row>
    <row r="1304" spans="2:3" x14ac:dyDescent="0.3">
      <c r="B1304" t="s">
        <v>1878</v>
      </c>
      <c r="C1304" t="s">
        <v>4431</v>
      </c>
    </row>
    <row r="1305" spans="2:3" x14ac:dyDescent="0.3">
      <c r="B1305" t="s">
        <v>4432</v>
      </c>
      <c r="C1305" t="s">
        <v>4433</v>
      </c>
    </row>
    <row r="1306" spans="2:3" x14ac:dyDescent="0.3">
      <c r="B1306" t="s">
        <v>1880</v>
      </c>
      <c r="C1306" t="s">
        <v>4434</v>
      </c>
    </row>
    <row r="1307" spans="2:3" x14ac:dyDescent="0.3">
      <c r="B1307" t="s">
        <v>4435</v>
      </c>
      <c r="C1307" t="s">
        <v>4436</v>
      </c>
    </row>
    <row r="1308" spans="2:3" x14ac:dyDescent="0.3">
      <c r="B1308" t="s">
        <v>5428</v>
      </c>
      <c r="C1308" t="s">
        <v>5430</v>
      </c>
    </row>
    <row r="1309" spans="2:3" x14ac:dyDescent="0.3">
      <c r="B1309" t="s">
        <v>1882</v>
      </c>
      <c r="C1309" t="s">
        <v>4437</v>
      </c>
    </row>
    <row r="1310" spans="2:3" x14ac:dyDescent="0.3">
      <c r="B1310" t="s">
        <v>1884</v>
      </c>
      <c r="C1310" t="s">
        <v>4438</v>
      </c>
    </row>
    <row r="1311" spans="2:3" x14ac:dyDescent="0.3">
      <c r="B1311" t="s">
        <v>4439</v>
      </c>
      <c r="C1311" t="s">
        <v>4440</v>
      </c>
    </row>
    <row r="1312" spans="2:3" x14ac:dyDescent="0.3">
      <c r="B1312" t="s">
        <v>4441</v>
      </c>
      <c r="C1312" t="s">
        <v>4442</v>
      </c>
    </row>
    <row r="1313" spans="2:3" x14ac:dyDescent="0.3">
      <c r="B1313" t="s">
        <v>1886</v>
      </c>
      <c r="C1313" t="s">
        <v>4443</v>
      </c>
    </row>
    <row r="1314" spans="2:3" x14ac:dyDescent="0.3">
      <c r="B1314" t="s">
        <v>1888</v>
      </c>
      <c r="C1314" t="s">
        <v>4444</v>
      </c>
    </row>
    <row r="1315" spans="2:3" x14ac:dyDescent="0.3">
      <c r="B1315" t="s">
        <v>4445</v>
      </c>
      <c r="C1315" t="s">
        <v>4446</v>
      </c>
    </row>
    <row r="1316" spans="2:3" x14ac:dyDescent="0.3">
      <c r="B1316" t="s">
        <v>1890</v>
      </c>
      <c r="C1316" t="s">
        <v>4447</v>
      </c>
    </row>
    <row r="1317" spans="2:3" x14ac:dyDescent="0.3">
      <c r="B1317" t="s">
        <v>1892</v>
      </c>
      <c r="C1317" t="s">
        <v>4448</v>
      </c>
    </row>
    <row r="1318" spans="2:3" x14ac:dyDescent="0.3">
      <c r="B1318" t="s">
        <v>1894</v>
      </c>
      <c r="C1318" t="s">
        <v>4449</v>
      </c>
    </row>
    <row r="1319" spans="2:3" x14ac:dyDescent="0.3">
      <c r="B1319" t="s">
        <v>1896</v>
      </c>
      <c r="C1319" t="s">
        <v>4450</v>
      </c>
    </row>
    <row r="1320" spans="2:3" x14ac:dyDescent="0.3">
      <c r="B1320" t="s">
        <v>1898</v>
      </c>
      <c r="C1320" t="s">
        <v>4451</v>
      </c>
    </row>
    <row r="1321" spans="2:3" x14ac:dyDescent="0.3">
      <c r="B1321" t="s">
        <v>1899</v>
      </c>
      <c r="C1321" t="s">
        <v>4452</v>
      </c>
    </row>
    <row r="1322" spans="2:3" x14ac:dyDescent="0.3">
      <c r="B1322" t="s">
        <v>1901</v>
      </c>
      <c r="C1322" t="s">
        <v>4453</v>
      </c>
    </row>
    <row r="1323" spans="2:3" x14ac:dyDescent="0.3">
      <c r="B1323" t="s">
        <v>4454</v>
      </c>
      <c r="C1323" t="s">
        <v>4455</v>
      </c>
    </row>
    <row r="1324" spans="2:3" x14ac:dyDescent="0.3">
      <c r="B1324" t="s">
        <v>1903</v>
      </c>
      <c r="C1324" t="s">
        <v>4456</v>
      </c>
    </row>
    <row r="1325" spans="2:3" x14ac:dyDescent="0.3">
      <c r="B1325" t="s">
        <v>1905</v>
      </c>
      <c r="C1325" t="s">
        <v>4457</v>
      </c>
    </row>
    <row r="1326" spans="2:3" x14ac:dyDescent="0.3">
      <c r="B1326" t="s">
        <v>1907</v>
      </c>
      <c r="C1326" t="s">
        <v>4458</v>
      </c>
    </row>
    <row r="1327" spans="2:3" x14ac:dyDescent="0.3">
      <c r="B1327" t="s">
        <v>4459</v>
      </c>
      <c r="C1327" t="s">
        <v>4460</v>
      </c>
    </row>
    <row r="1328" spans="2:3" x14ac:dyDescent="0.3">
      <c r="B1328" t="s">
        <v>1909</v>
      </c>
      <c r="C1328" t="s">
        <v>4461</v>
      </c>
    </row>
    <row r="1329" spans="2:3" x14ac:dyDescent="0.3">
      <c r="B1329" t="s">
        <v>4462</v>
      </c>
      <c r="C1329" t="s">
        <v>4463</v>
      </c>
    </row>
    <row r="1330" spans="2:3" x14ac:dyDescent="0.3">
      <c r="B1330" t="s">
        <v>1911</v>
      </c>
      <c r="C1330" t="s">
        <v>4464</v>
      </c>
    </row>
    <row r="1331" spans="2:3" x14ac:dyDescent="0.3">
      <c r="B1331" t="s">
        <v>5444</v>
      </c>
      <c r="C1331" t="s">
        <v>5445</v>
      </c>
    </row>
    <row r="1332" spans="2:3" x14ac:dyDescent="0.3">
      <c r="B1332" t="s">
        <v>1913</v>
      </c>
      <c r="C1332" t="s">
        <v>4465</v>
      </c>
    </row>
    <row r="1333" spans="2:3" x14ac:dyDescent="0.3">
      <c r="B1333" t="s">
        <v>4466</v>
      </c>
      <c r="C1333" t="s">
        <v>4467</v>
      </c>
    </row>
    <row r="1334" spans="2:3" x14ac:dyDescent="0.3">
      <c r="B1334" t="s">
        <v>4468</v>
      </c>
      <c r="C1334" t="s">
        <v>4469</v>
      </c>
    </row>
    <row r="1335" spans="2:3" x14ac:dyDescent="0.3">
      <c r="B1335" t="s">
        <v>4470</v>
      </c>
      <c r="C1335" t="s">
        <v>4471</v>
      </c>
    </row>
    <row r="1336" spans="2:3" x14ac:dyDescent="0.3">
      <c r="B1336" t="s">
        <v>4472</v>
      </c>
      <c r="C1336" t="s">
        <v>4473</v>
      </c>
    </row>
    <row r="1337" spans="2:3" x14ac:dyDescent="0.3">
      <c r="B1337" t="s">
        <v>1915</v>
      </c>
      <c r="C1337" t="s">
        <v>4474</v>
      </c>
    </row>
    <row r="1338" spans="2:3" x14ac:dyDescent="0.3">
      <c r="B1338" t="s">
        <v>1917</v>
      </c>
      <c r="C1338" t="s">
        <v>4475</v>
      </c>
    </row>
    <row r="1339" spans="2:3" x14ac:dyDescent="0.3">
      <c r="B1339" t="s">
        <v>1919</v>
      </c>
      <c r="C1339" t="s">
        <v>4476</v>
      </c>
    </row>
    <row r="1340" spans="2:3" x14ac:dyDescent="0.3">
      <c r="B1340" t="s">
        <v>1921</v>
      </c>
      <c r="C1340" t="s">
        <v>4477</v>
      </c>
    </row>
    <row r="1341" spans="2:3" x14ac:dyDescent="0.3">
      <c r="B1341" t="s">
        <v>4478</v>
      </c>
      <c r="C1341" t="s">
        <v>4479</v>
      </c>
    </row>
    <row r="1342" spans="2:3" x14ac:dyDescent="0.3">
      <c r="B1342" t="s">
        <v>1923</v>
      </c>
      <c r="C1342" t="s">
        <v>4480</v>
      </c>
    </row>
    <row r="1343" spans="2:3" x14ac:dyDescent="0.3">
      <c r="B1343" t="s">
        <v>1925</v>
      </c>
      <c r="C1343" t="s">
        <v>4481</v>
      </c>
    </row>
    <row r="1344" spans="2:3" x14ac:dyDescent="0.3">
      <c r="B1344" t="s">
        <v>4482</v>
      </c>
      <c r="C1344" t="s">
        <v>4483</v>
      </c>
    </row>
    <row r="1345" spans="2:3" x14ac:dyDescent="0.3">
      <c r="B1345" t="s">
        <v>1927</v>
      </c>
      <c r="C1345" t="s">
        <v>4484</v>
      </c>
    </row>
    <row r="1346" spans="2:3" x14ac:dyDescent="0.3">
      <c r="B1346" t="s">
        <v>1929</v>
      </c>
      <c r="C1346" t="s">
        <v>4485</v>
      </c>
    </row>
    <row r="1347" spans="2:3" x14ac:dyDescent="0.3">
      <c r="B1347" t="s">
        <v>1931</v>
      </c>
      <c r="C1347" t="s">
        <v>4486</v>
      </c>
    </row>
    <row r="1348" spans="2:3" x14ac:dyDescent="0.3">
      <c r="B1348" t="s">
        <v>1931</v>
      </c>
      <c r="C1348" t="s">
        <v>5335</v>
      </c>
    </row>
    <row r="1349" spans="2:3" x14ac:dyDescent="0.3">
      <c r="B1349" t="s">
        <v>4487</v>
      </c>
      <c r="C1349" t="s">
        <v>4488</v>
      </c>
    </row>
    <row r="1350" spans="2:3" x14ac:dyDescent="0.3">
      <c r="B1350" t="s">
        <v>1935</v>
      </c>
      <c r="C1350" t="s">
        <v>4489</v>
      </c>
    </row>
    <row r="1351" spans="2:3" x14ac:dyDescent="0.3">
      <c r="B1351" t="s">
        <v>1937</v>
      </c>
      <c r="C1351" t="s">
        <v>4490</v>
      </c>
    </row>
    <row r="1352" spans="2:3" x14ac:dyDescent="0.3">
      <c r="B1352" t="s">
        <v>4491</v>
      </c>
      <c r="C1352" t="s">
        <v>4492</v>
      </c>
    </row>
    <row r="1353" spans="2:3" x14ac:dyDescent="0.3">
      <c r="B1353" t="s">
        <v>1939</v>
      </c>
      <c r="C1353" t="s">
        <v>4493</v>
      </c>
    </row>
    <row r="1354" spans="2:3" x14ac:dyDescent="0.3">
      <c r="B1354" t="s">
        <v>1940</v>
      </c>
      <c r="C1354" t="s">
        <v>4494</v>
      </c>
    </row>
    <row r="1355" spans="2:3" x14ac:dyDescent="0.3">
      <c r="B1355" t="s">
        <v>4495</v>
      </c>
      <c r="C1355" t="s">
        <v>4496</v>
      </c>
    </row>
    <row r="1356" spans="2:3" x14ac:dyDescent="0.3">
      <c r="B1356" t="s">
        <v>1942</v>
      </c>
      <c r="C1356" t="s">
        <v>4497</v>
      </c>
    </row>
    <row r="1357" spans="2:3" x14ac:dyDescent="0.3">
      <c r="B1357" t="s">
        <v>5416</v>
      </c>
      <c r="C1357" t="s">
        <v>5417</v>
      </c>
    </row>
    <row r="1358" spans="2:3" x14ac:dyDescent="0.3">
      <c r="B1358" t="s">
        <v>4498</v>
      </c>
      <c r="C1358" t="s">
        <v>4499</v>
      </c>
    </row>
    <row r="1359" spans="2:3" x14ac:dyDescent="0.3">
      <c r="B1359" t="s">
        <v>1943</v>
      </c>
      <c r="C1359" t="s">
        <v>4500</v>
      </c>
    </row>
    <row r="1360" spans="2:3" x14ac:dyDescent="0.3">
      <c r="B1360" t="s">
        <v>1945</v>
      </c>
      <c r="C1360" t="s">
        <v>4501</v>
      </c>
    </row>
    <row r="1361" spans="2:3" x14ac:dyDescent="0.3">
      <c r="B1361" t="s">
        <v>1947</v>
      </c>
      <c r="C1361" t="s">
        <v>4502</v>
      </c>
    </row>
    <row r="1362" spans="2:3" x14ac:dyDescent="0.3">
      <c r="B1362" t="s">
        <v>1949</v>
      </c>
      <c r="C1362" t="s">
        <v>4503</v>
      </c>
    </row>
    <row r="1363" spans="2:3" x14ac:dyDescent="0.3">
      <c r="B1363" t="s">
        <v>4504</v>
      </c>
      <c r="C1363" t="s">
        <v>4505</v>
      </c>
    </row>
    <row r="1364" spans="2:3" x14ac:dyDescent="0.3">
      <c r="B1364" t="s">
        <v>1951</v>
      </c>
      <c r="C1364" t="s">
        <v>4506</v>
      </c>
    </row>
    <row r="1365" spans="2:3" x14ac:dyDescent="0.3">
      <c r="B1365" t="s">
        <v>1953</v>
      </c>
      <c r="C1365" t="s">
        <v>4507</v>
      </c>
    </row>
    <row r="1366" spans="2:3" x14ac:dyDescent="0.3">
      <c r="B1366" t="s">
        <v>1954</v>
      </c>
      <c r="C1366" t="s">
        <v>4508</v>
      </c>
    </row>
    <row r="1367" spans="2:3" x14ac:dyDescent="0.3">
      <c r="B1367" t="s">
        <v>1956</v>
      </c>
      <c r="C1367" t="s">
        <v>4509</v>
      </c>
    </row>
    <row r="1368" spans="2:3" x14ac:dyDescent="0.3">
      <c r="B1368" t="s">
        <v>4510</v>
      </c>
      <c r="C1368" t="s">
        <v>4511</v>
      </c>
    </row>
    <row r="1369" spans="2:3" x14ac:dyDescent="0.3">
      <c r="B1369" t="s">
        <v>1958</v>
      </c>
      <c r="C1369" t="s">
        <v>4512</v>
      </c>
    </row>
    <row r="1370" spans="2:3" x14ac:dyDescent="0.3">
      <c r="B1370" t="s">
        <v>4513</v>
      </c>
      <c r="C1370" t="s">
        <v>4514</v>
      </c>
    </row>
    <row r="1371" spans="2:3" x14ac:dyDescent="0.3">
      <c r="B1371" t="s">
        <v>4515</v>
      </c>
      <c r="C1371" t="s">
        <v>4516</v>
      </c>
    </row>
    <row r="1372" spans="2:3" x14ac:dyDescent="0.3">
      <c r="B1372" t="s">
        <v>5351</v>
      </c>
      <c r="C1372" t="s">
        <v>5352</v>
      </c>
    </row>
    <row r="1373" spans="2:3" x14ac:dyDescent="0.3">
      <c r="B1373" t="s">
        <v>1960</v>
      </c>
      <c r="C1373" t="s">
        <v>4517</v>
      </c>
    </row>
    <row r="1374" spans="2:3" x14ac:dyDescent="0.3">
      <c r="B1374" t="s">
        <v>1962</v>
      </c>
      <c r="C1374" t="s">
        <v>4518</v>
      </c>
    </row>
    <row r="1375" spans="2:3" x14ac:dyDescent="0.3">
      <c r="B1375" t="s">
        <v>1964</v>
      </c>
      <c r="C1375" t="s">
        <v>4519</v>
      </c>
    </row>
    <row r="1376" spans="2:3" x14ac:dyDescent="0.3">
      <c r="B1376" t="s">
        <v>1966</v>
      </c>
      <c r="C1376" t="s">
        <v>4520</v>
      </c>
    </row>
    <row r="1377" spans="2:3" x14ac:dyDescent="0.3">
      <c r="B1377" t="s">
        <v>1968</v>
      </c>
      <c r="C1377" t="s">
        <v>4521</v>
      </c>
    </row>
    <row r="1378" spans="2:3" x14ac:dyDescent="0.3">
      <c r="B1378" t="s">
        <v>5405</v>
      </c>
      <c r="C1378" t="s">
        <v>5393</v>
      </c>
    </row>
    <row r="1379" spans="2:3" x14ac:dyDescent="0.3">
      <c r="B1379" t="s">
        <v>4522</v>
      </c>
      <c r="C1379" t="s">
        <v>4523</v>
      </c>
    </row>
    <row r="1380" spans="2:3" x14ac:dyDescent="0.3">
      <c r="B1380" t="s">
        <v>1970</v>
      </c>
      <c r="C1380" t="s">
        <v>4524</v>
      </c>
    </row>
    <row r="1381" spans="2:3" x14ac:dyDescent="0.3">
      <c r="B1381" t="s">
        <v>1972</v>
      </c>
      <c r="C1381" t="s">
        <v>4525</v>
      </c>
    </row>
    <row r="1382" spans="2:3" x14ac:dyDescent="0.3">
      <c r="B1382" t="s">
        <v>5380</v>
      </c>
      <c r="C1382" t="s">
        <v>5381</v>
      </c>
    </row>
    <row r="1383" spans="2:3" x14ac:dyDescent="0.3">
      <c r="B1383" t="s">
        <v>1974</v>
      </c>
      <c r="C1383" t="s">
        <v>4526</v>
      </c>
    </row>
    <row r="1384" spans="2:3" x14ac:dyDescent="0.3">
      <c r="B1384" t="s">
        <v>1976</v>
      </c>
      <c r="C1384" t="s">
        <v>4527</v>
      </c>
    </row>
    <row r="1385" spans="2:3" x14ac:dyDescent="0.3">
      <c r="B1385" t="s">
        <v>1978</v>
      </c>
      <c r="C1385" t="s">
        <v>4528</v>
      </c>
    </row>
    <row r="1386" spans="2:3" x14ac:dyDescent="0.3">
      <c r="B1386" t="s">
        <v>4529</v>
      </c>
      <c r="C1386" t="s">
        <v>4530</v>
      </c>
    </row>
    <row r="1387" spans="2:3" x14ac:dyDescent="0.3">
      <c r="B1387" t="s">
        <v>1980</v>
      </c>
      <c r="C1387" t="s">
        <v>4531</v>
      </c>
    </row>
    <row r="1388" spans="2:3" x14ac:dyDescent="0.3">
      <c r="B1388" t="s">
        <v>1982</v>
      </c>
      <c r="C1388" t="s">
        <v>4532</v>
      </c>
    </row>
    <row r="1389" spans="2:3" x14ac:dyDescent="0.3">
      <c r="B1389" t="s">
        <v>4533</v>
      </c>
      <c r="C1389" t="s">
        <v>4534</v>
      </c>
    </row>
    <row r="1390" spans="2:3" x14ac:dyDescent="0.3">
      <c r="B1390" t="s">
        <v>1984</v>
      </c>
      <c r="C1390" t="s">
        <v>4535</v>
      </c>
    </row>
    <row r="1391" spans="2:3" x14ac:dyDescent="0.3">
      <c r="B1391" t="s">
        <v>1986</v>
      </c>
      <c r="C1391" t="s">
        <v>4536</v>
      </c>
    </row>
    <row r="1392" spans="2:3" x14ac:dyDescent="0.3">
      <c r="B1392" t="s">
        <v>1988</v>
      </c>
      <c r="C1392" t="s">
        <v>4537</v>
      </c>
    </row>
    <row r="1393" spans="2:3" x14ac:dyDescent="0.3">
      <c r="B1393" t="s">
        <v>4538</v>
      </c>
      <c r="C1393" t="s">
        <v>4539</v>
      </c>
    </row>
    <row r="1394" spans="2:3" x14ac:dyDescent="0.3">
      <c r="B1394" t="s">
        <v>1990</v>
      </c>
      <c r="C1394" t="s">
        <v>4540</v>
      </c>
    </row>
    <row r="1395" spans="2:3" x14ac:dyDescent="0.3">
      <c r="B1395" t="s">
        <v>4541</v>
      </c>
      <c r="C1395" t="s">
        <v>4542</v>
      </c>
    </row>
    <row r="1396" spans="2:3" x14ac:dyDescent="0.3">
      <c r="B1396" t="s">
        <v>4543</v>
      </c>
      <c r="C1396" t="s">
        <v>4544</v>
      </c>
    </row>
    <row r="1397" spans="2:3" x14ac:dyDescent="0.3">
      <c r="B1397" t="s">
        <v>1992</v>
      </c>
      <c r="C1397" t="s">
        <v>4545</v>
      </c>
    </row>
    <row r="1398" spans="2:3" x14ac:dyDescent="0.3">
      <c r="B1398" t="s">
        <v>4546</v>
      </c>
      <c r="C1398" t="s">
        <v>4547</v>
      </c>
    </row>
    <row r="1399" spans="2:3" x14ac:dyDescent="0.3">
      <c r="B1399" t="s">
        <v>1994</v>
      </c>
      <c r="C1399" t="s">
        <v>4548</v>
      </c>
    </row>
    <row r="1400" spans="2:3" x14ac:dyDescent="0.3">
      <c r="B1400" t="s">
        <v>1997</v>
      </c>
      <c r="C1400" t="s">
        <v>4549</v>
      </c>
    </row>
    <row r="1401" spans="2:3" x14ac:dyDescent="0.3">
      <c r="B1401" t="s">
        <v>4550</v>
      </c>
      <c r="C1401" t="s">
        <v>4551</v>
      </c>
    </row>
    <row r="1402" spans="2:3" x14ac:dyDescent="0.3">
      <c r="B1402" t="s">
        <v>1999</v>
      </c>
      <c r="C1402" t="s">
        <v>4552</v>
      </c>
    </row>
    <row r="1403" spans="2:3" x14ac:dyDescent="0.3">
      <c r="B1403" t="s">
        <v>4553</v>
      </c>
      <c r="C1403" t="s">
        <v>4554</v>
      </c>
    </row>
    <row r="1404" spans="2:3" x14ac:dyDescent="0.3">
      <c r="B1404" t="s">
        <v>4555</v>
      </c>
      <c r="C1404" t="s">
        <v>4556</v>
      </c>
    </row>
    <row r="1405" spans="2:3" x14ac:dyDescent="0.3">
      <c r="B1405" t="s">
        <v>2001</v>
      </c>
      <c r="C1405" t="s">
        <v>4557</v>
      </c>
    </row>
    <row r="1406" spans="2:3" x14ac:dyDescent="0.3">
      <c r="B1406" t="s">
        <v>4558</v>
      </c>
      <c r="C1406" t="s">
        <v>4559</v>
      </c>
    </row>
    <row r="1407" spans="2:3" x14ac:dyDescent="0.3">
      <c r="B1407" t="s">
        <v>2003</v>
      </c>
      <c r="C1407" t="s">
        <v>4560</v>
      </c>
    </row>
    <row r="1408" spans="2:3" x14ac:dyDescent="0.3">
      <c r="B1408" t="s">
        <v>4561</v>
      </c>
      <c r="C1408" t="s">
        <v>4562</v>
      </c>
    </row>
    <row r="1409" spans="2:3" x14ac:dyDescent="0.3">
      <c r="B1409" t="s">
        <v>2005</v>
      </c>
      <c r="C1409" t="s">
        <v>4563</v>
      </c>
    </row>
    <row r="1410" spans="2:3" x14ac:dyDescent="0.3">
      <c r="B1410" t="s">
        <v>2007</v>
      </c>
      <c r="C1410" t="s">
        <v>4564</v>
      </c>
    </row>
    <row r="1411" spans="2:3" x14ac:dyDescent="0.3">
      <c r="B1411" t="s">
        <v>2009</v>
      </c>
      <c r="C1411" t="s">
        <v>4565</v>
      </c>
    </row>
    <row r="1412" spans="2:3" x14ac:dyDescent="0.3">
      <c r="B1412" t="s">
        <v>2011</v>
      </c>
      <c r="C1412" t="s">
        <v>4566</v>
      </c>
    </row>
    <row r="1413" spans="2:3" x14ac:dyDescent="0.3">
      <c r="B1413" t="s">
        <v>4567</v>
      </c>
      <c r="C1413" t="s">
        <v>4568</v>
      </c>
    </row>
    <row r="1414" spans="2:3" x14ac:dyDescent="0.3">
      <c r="B1414" t="s">
        <v>2013</v>
      </c>
      <c r="C1414" t="s">
        <v>4569</v>
      </c>
    </row>
    <row r="1415" spans="2:3" x14ac:dyDescent="0.3">
      <c r="B1415" t="s">
        <v>4570</v>
      </c>
      <c r="C1415" t="s">
        <v>4571</v>
      </c>
    </row>
    <row r="1416" spans="2:3" x14ac:dyDescent="0.3">
      <c r="B1416" t="s">
        <v>2015</v>
      </c>
      <c r="C1416" t="s">
        <v>4572</v>
      </c>
    </row>
    <row r="1417" spans="2:3" x14ac:dyDescent="0.3">
      <c r="B1417" t="s">
        <v>2017</v>
      </c>
      <c r="C1417" t="s">
        <v>4573</v>
      </c>
    </row>
    <row r="1418" spans="2:3" x14ac:dyDescent="0.3">
      <c r="B1418" t="s">
        <v>4574</v>
      </c>
      <c r="C1418" t="s">
        <v>4575</v>
      </c>
    </row>
    <row r="1419" spans="2:3" x14ac:dyDescent="0.3">
      <c r="B1419" t="s">
        <v>2019</v>
      </c>
      <c r="C1419" t="s">
        <v>4576</v>
      </c>
    </row>
    <row r="1420" spans="2:3" x14ac:dyDescent="0.3">
      <c r="B1420" t="s">
        <v>2021</v>
      </c>
      <c r="C1420" t="s">
        <v>4577</v>
      </c>
    </row>
    <row r="1421" spans="2:3" x14ac:dyDescent="0.3">
      <c r="B1421" t="s">
        <v>4578</v>
      </c>
      <c r="C1421" t="s">
        <v>4579</v>
      </c>
    </row>
    <row r="1422" spans="2:3" x14ac:dyDescent="0.3">
      <c r="B1422" t="s">
        <v>2023</v>
      </c>
      <c r="C1422" t="s">
        <v>4580</v>
      </c>
    </row>
    <row r="1423" spans="2:3" x14ac:dyDescent="0.3">
      <c r="B1423" t="s">
        <v>4581</v>
      </c>
      <c r="C1423" t="s">
        <v>4582</v>
      </c>
    </row>
    <row r="1424" spans="2:3" x14ac:dyDescent="0.3">
      <c r="B1424" t="s">
        <v>4583</v>
      </c>
      <c r="C1424" t="s">
        <v>4584</v>
      </c>
    </row>
    <row r="1425" spans="2:3" x14ac:dyDescent="0.3">
      <c r="B1425" t="s">
        <v>4585</v>
      </c>
      <c r="C1425" t="s">
        <v>4586</v>
      </c>
    </row>
    <row r="1426" spans="2:3" x14ac:dyDescent="0.3">
      <c r="B1426" t="s">
        <v>2025</v>
      </c>
      <c r="C1426" t="s">
        <v>4587</v>
      </c>
    </row>
    <row r="1427" spans="2:3" x14ac:dyDescent="0.3">
      <c r="B1427" t="s">
        <v>2027</v>
      </c>
      <c r="C1427" t="s">
        <v>4588</v>
      </c>
    </row>
    <row r="1428" spans="2:3" x14ac:dyDescent="0.3">
      <c r="B1428" t="s">
        <v>4589</v>
      </c>
      <c r="C1428" t="s">
        <v>4590</v>
      </c>
    </row>
    <row r="1429" spans="2:3" x14ac:dyDescent="0.3">
      <c r="B1429" t="s">
        <v>2029</v>
      </c>
      <c r="C1429" t="s">
        <v>4591</v>
      </c>
    </row>
    <row r="1430" spans="2:3" x14ac:dyDescent="0.3">
      <c r="B1430" t="s">
        <v>4592</v>
      </c>
      <c r="C1430" t="s">
        <v>4593</v>
      </c>
    </row>
    <row r="1431" spans="2:3" x14ac:dyDescent="0.3">
      <c r="B1431" t="s">
        <v>2031</v>
      </c>
      <c r="C1431" t="s">
        <v>4594</v>
      </c>
    </row>
    <row r="1432" spans="2:3" x14ac:dyDescent="0.3">
      <c r="B1432" t="s">
        <v>4595</v>
      </c>
      <c r="C1432" t="s">
        <v>4596</v>
      </c>
    </row>
    <row r="1433" spans="2:3" x14ac:dyDescent="0.3">
      <c r="B1433" t="s">
        <v>2033</v>
      </c>
      <c r="C1433" t="s">
        <v>4597</v>
      </c>
    </row>
    <row r="1434" spans="2:3" x14ac:dyDescent="0.3">
      <c r="B1434" t="s">
        <v>2035</v>
      </c>
      <c r="C1434" t="s">
        <v>4598</v>
      </c>
    </row>
    <row r="1435" spans="2:3" x14ac:dyDescent="0.3">
      <c r="B1435" t="s">
        <v>4599</v>
      </c>
      <c r="C1435" t="s">
        <v>4600</v>
      </c>
    </row>
    <row r="1436" spans="2:3" x14ac:dyDescent="0.3">
      <c r="B1436" t="s">
        <v>4601</v>
      </c>
      <c r="C1436" t="s">
        <v>4602</v>
      </c>
    </row>
    <row r="1437" spans="2:3" x14ac:dyDescent="0.3">
      <c r="B1437" t="s">
        <v>2037</v>
      </c>
      <c r="C1437" t="s">
        <v>4603</v>
      </c>
    </row>
    <row r="1438" spans="2:3" x14ac:dyDescent="0.3">
      <c r="B1438" t="s">
        <v>4604</v>
      </c>
      <c r="C1438" t="s">
        <v>4605</v>
      </c>
    </row>
    <row r="1439" spans="2:3" x14ac:dyDescent="0.3">
      <c r="B1439" t="s">
        <v>2039</v>
      </c>
      <c r="C1439" t="s">
        <v>4606</v>
      </c>
    </row>
    <row r="1440" spans="2:3" x14ac:dyDescent="0.3">
      <c r="B1440" t="s">
        <v>5395</v>
      </c>
      <c r="C1440" t="s">
        <v>5396</v>
      </c>
    </row>
    <row r="1441" spans="2:3" x14ac:dyDescent="0.3">
      <c r="B1441" t="s">
        <v>2041</v>
      </c>
      <c r="C1441" t="s">
        <v>4607</v>
      </c>
    </row>
    <row r="1442" spans="2:3" x14ac:dyDescent="0.3">
      <c r="B1442" t="s">
        <v>4608</v>
      </c>
      <c r="C1442" t="s">
        <v>4609</v>
      </c>
    </row>
    <row r="1443" spans="2:3" x14ac:dyDescent="0.3">
      <c r="B1443" t="s">
        <v>2043</v>
      </c>
      <c r="C1443" t="s">
        <v>4610</v>
      </c>
    </row>
    <row r="1444" spans="2:3" x14ac:dyDescent="0.3">
      <c r="B1444" t="s">
        <v>4611</v>
      </c>
      <c r="C1444" t="s">
        <v>4612</v>
      </c>
    </row>
    <row r="1445" spans="2:3" x14ac:dyDescent="0.3">
      <c r="B1445" t="s">
        <v>4613</v>
      </c>
      <c r="C1445" t="s">
        <v>4614</v>
      </c>
    </row>
    <row r="1446" spans="2:3" x14ac:dyDescent="0.3">
      <c r="B1446" t="s">
        <v>4615</v>
      </c>
      <c r="C1446" t="s">
        <v>4616</v>
      </c>
    </row>
    <row r="1447" spans="2:3" x14ac:dyDescent="0.3">
      <c r="B1447" t="s">
        <v>2045</v>
      </c>
      <c r="C1447" t="s">
        <v>5379</v>
      </c>
    </row>
    <row r="1448" spans="2:3" x14ac:dyDescent="0.3">
      <c r="B1448" t="s">
        <v>2047</v>
      </c>
      <c r="C1448" t="s">
        <v>4617</v>
      </c>
    </row>
    <row r="1449" spans="2:3" x14ac:dyDescent="0.3">
      <c r="B1449" t="s">
        <v>2049</v>
      </c>
      <c r="C1449" t="s">
        <v>4618</v>
      </c>
    </row>
    <row r="1450" spans="2:3" x14ac:dyDescent="0.3">
      <c r="B1450" t="s">
        <v>4619</v>
      </c>
      <c r="C1450" t="s">
        <v>4620</v>
      </c>
    </row>
    <row r="1451" spans="2:3" x14ac:dyDescent="0.3">
      <c r="B1451" t="s">
        <v>4621</v>
      </c>
      <c r="C1451" t="s">
        <v>4622</v>
      </c>
    </row>
    <row r="1452" spans="2:3" x14ac:dyDescent="0.3">
      <c r="B1452" t="s">
        <v>2051</v>
      </c>
      <c r="C1452" t="s">
        <v>4623</v>
      </c>
    </row>
    <row r="1453" spans="2:3" x14ac:dyDescent="0.3">
      <c r="B1453" t="s">
        <v>2053</v>
      </c>
      <c r="C1453" t="s">
        <v>4624</v>
      </c>
    </row>
    <row r="1454" spans="2:3" x14ac:dyDescent="0.3">
      <c r="B1454" t="s">
        <v>4625</v>
      </c>
      <c r="C1454" t="s">
        <v>4626</v>
      </c>
    </row>
    <row r="1455" spans="2:3" x14ac:dyDescent="0.3">
      <c r="B1455" t="s">
        <v>2055</v>
      </c>
      <c r="C1455" t="s">
        <v>4627</v>
      </c>
    </row>
    <row r="1456" spans="2:3" x14ac:dyDescent="0.3">
      <c r="B1456" t="s">
        <v>4628</v>
      </c>
      <c r="C1456" t="s">
        <v>4629</v>
      </c>
    </row>
    <row r="1457" spans="2:3" x14ac:dyDescent="0.3">
      <c r="B1457" t="s">
        <v>2057</v>
      </c>
      <c r="C1457" t="s">
        <v>4630</v>
      </c>
    </row>
    <row r="1458" spans="2:3" x14ac:dyDescent="0.3">
      <c r="B1458" t="s">
        <v>2059</v>
      </c>
      <c r="C1458" t="s">
        <v>4631</v>
      </c>
    </row>
    <row r="1459" spans="2:3" x14ac:dyDescent="0.3">
      <c r="B1459" t="s">
        <v>2061</v>
      </c>
      <c r="C1459" t="s">
        <v>4632</v>
      </c>
    </row>
    <row r="1460" spans="2:3" x14ac:dyDescent="0.3">
      <c r="B1460" t="s">
        <v>2063</v>
      </c>
      <c r="C1460" t="s">
        <v>4633</v>
      </c>
    </row>
    <row r="1461" spans="2:3" x14ac:dyDescent="0.3">
      <c r="B1461" t="s">
        <v>2065</v>
      </c>
      <c r="C1461" t="s">
        <v>4634</v>
      </c>
    </row>
    <row r="1462" spans="2:3" x14ac:dyDescent="0.3">
      <c r="B1462" t="s">
        <v>4635</v>
      </c>
      <c r="C1462" t="s">
        <v>4636</v>
      </c>
    </row>
    <row r="1463" spans="2:3" x14ac:dyDescent="0.3">
      <c r="B1463" t="s">
        <v>2067</v>
      </c>
      <c r="C1463" t="s">
        <v>4637</v>
      </c>
    </row>
    <row r="1464" spans="2:3" x14ac:dyDescent="0.3">
      <c r="B1464" t="s">
        <v>2069</v>
      </c>
      <c r="C1464" t="s">
        <v>4638</v>
      </c>
    </row>
    <row r="1465" spans="2:3" x14ac:dyDescent="0.3">
      <c r="B1465" t="s">
        <v>2071</v>
      </c>
      <c r="C1465" t="s">
        <v>4639</v>
      </c>
    </row>
    <row r="1466" spans="2:3" x14ac:dyDescent="0.3">
      <c r="B1466" t="s">
        <v>4640</v>
      </c>
      <c r="C1466" t="s">
        <v>4641</v>
      </c>
    </row>
    <row r="1467" spans="2:3" x14ac:dyDescent="0.3">
      <c r="B1467" t="s">
        <v>2073</v>
      </c>
      <c r="C1467" t="s">
        <v>4642</v>
      </c>
    </row>
    <row r="1468" spans="2:3" x14ac:dyDescent="0.3">
      <c r="B1468" t="s">
        <v>2075</v>
      </c>
      <c r="C1468" t="s">
        <v>4643</v>
      </c>
    </row>
    <row r="1469" spans="2:3" x14ac:dyDescent="0.3">
      <c r="B1469" t="s">
        <v>2077</v>
      </c>
      <c r="C1469" t="s">
        <v>4644</v>
      </c>
    </row>
    <row r="1470" spans="2:3" x14ac:dyDescent="0.3">
      <c r="B1470" t="s">
        <v>4645</v>
      </c>
      <c r="C1470" t="s">
        <v>4646</v>
      </c>
    </row>
    <row r="1471" spans="2:3" x14ac:dyDescent="0.3">
      <c r="B1471" t="s">
        <v>4647</v>
      </c>
      <c r="C1471" t="s">
        <v>4648</v>
      </c>
    </row>
    <row r="1472" spans="2:3" x14ac:dyDescent="0.3">
      <c r="B1472" t="s">
        <v>2079</v>
      </c>
      <c r="C1472" t="s">
        <v>4649</v>
      </c>
    </row>
    <row r="1473" spans="2:3" x14ac:dyDescent="0.3">
      <c r="B1473" t="s">
        <v>2081</v>
      </c>
      <c r="C1473" t="s">
        <v>4650</v>
      </c>
    </row>
    <row r="1474" spans="2:3" x14ac:dyDescent="0.3">
      <c r="B1474" t="s">
        <v>4651</v>
      </c>
      <c r="C1474" t="s">
        <v>4652</v>
      </c>
    </row>
    <row r="1475" spans="2:3" x14ac:dyDescent="0.3">
      <c r="B1475" t="s">
        <v>2083</v>
      </c>
      <c r="C1475" t="s">
        <v>4653</v>
      </c>
    </row>
    <row r="1476" spans="2:3" x14ac:dyDescent="0.3">
      <c r="B1476" t="s">
        <v>2085</v>
      </c>
      <c r="C1476" t="s">
        <v>4654</v>
      </c>
    </row>
    <row r="1477" spans="2:3" x14ac:dyDescent="0.3">
      <c r="B1477" t="s">
        <v>2087</v>
      </c>
      <c r="C1477" t="s">
        <v>4655</v>
      </c>
    </row>
    <row r="1478" spans="2:3" x14ac:dyDescent="0.3">
      <c r="B1478" t="s">
        <v>2089</v>
      </c>
      <c r="C1478" t="s">
        <v>4656</v>
      </c>
    </row>
    <row r="1479" spans="2:3" x14ac:dyDescent="0.3">
      <c r="B1479" t="s">
        <v>2091</v>
      </c>
      <c r="C1479" t="s">
        <v>4657</v>
      </c>
    </row>
    <row r="1480" spans="2:3" x14ac:dyDescent="0.3">
      <c r="B1480" t="s">
        <v>2093</v>
      </c>
      <c r="C1480" t="s">
        <v>4658</v>
      </c>
    </row>
    <row r="1481" spans="2:3" x14ac:dyDescent="0.3">
      <c r="B1481" t="s">
        <v>2095</v>
      </c>
      <c r="C1481" t="s">
        <v>4659</v>
      </c>
    </row>
    <row r="1482" spans="2:3" x14ac:dyDescent="0.3">
      <c r="B1482" t="s">
        <v>2097</v>
      </c>
      <c r="C1482" t="s">
        <v>4660</v>
      </c>
    </row>
    <row r="1483" spans="2:3" x14ac:dyDescent="0.3">
      <c r="B1483" t="s">
        <v>4661</v>
      </c>
      <c r="C1483" t="s">
        <v>4662</v>
      </c>
    </row>
    <row r="1484" spans="2:3" x14ac:dyDescent="0.3">
      <c r="B1484" t="s">
        <v>4663</v>
      </c>
      <c r="C1484" t="s">
        <v>4664</v>
      </c>
    </row>
    <row r="1485" spans="2:3" x14ac:dyDescent="0.3">
      <c r="B1485" t="s">
        <v>2099</v>
      </c>
      <c r="C1485" t="s">
        <v>4665</v>
      </c>
    </row>
    <row r="1486" spans="2:3" x14ac:dyDescent="0.3">
      <c r="B1486" t="s">
        <v>2101</v>
      </c>
      <c r="C1486" t="s">
        <v>4666</v>
      </c>
    </row>
    <row r="1487" spans="2:3" x14ac:dyDescent="0.3">
      <c r="B1487" t="s">
        <v>4667</v>
      </c>
      <c r="C1487" t="s">
        <v>4668</v>
      </c>
    </row>
    <row r="1488" spans="2:3" x14ac:dyDescent="0.3">
      <c r="B1488" t="s">
        <v>2103</v>
      </c>
      <c r="C1488" t="s">
        <v>4669</v>
      </c>
    </row>
    <row r="1489" spans="2:3" x14ac:dyDescent="0.3">
      <c r="B1489" t="s">
        <v>2105</v>
      </c>
      <c r="C1489" t="s">
        <v>4670</v>
      </c>
    </row>
    <row r="1490" spans="2:3" x14ac:dyDescent="0.3">
      <c r="B1490" t="s">
        <v>2107</v>
      </c>
      <c r="C1490" t="s">
        <v>4671</v>
      </c>
    </row>
    <row r="1491" spans="2:3" x14ac:dyDescent="0.3">
      <c r="B1491" t="s">
        <v>2109</v>
      </c>
      <c r="C1491" t="s">
        <v>4672</v>
      </c>
    </row>
    <row r="1492" spans="2:3" x14ac:dyDescent="0.3">
      <c r="B1492" t="s">
        <v>2111</v>
      </c>
      <c r="C1492" t="s">
        <v>4673</v>
      </c>
    </row>
    <row r="1493" spans="2:3" x14ac:dyDescent="0.3">
      <c r="B1493" t="s">
        <v>5368</v>
      </c>
      <c r="C1493" t="s">
        <v>5369</v>
      </c>
    </row>
    <row r="1494" spans="2:3" x14ac:dyDescent="0.3">
      <c r="B1494" t="s">
        <v>4674</v>
      </c>
      <c r="C1494" t="s">
        <v>4675</v>
      </c>
    </row>
    <row r="1495" spans="2:3" x14ac:dyDescent="0.3">
      <c r="B1495" t="s">
        <v>2113</v>
      </c>
      <c r="C1495" t="s">
        <v>4676</v>
      </c>
    </row>
    <row r="1496" spans="2:3" x14ac:dyDescent="0.3">
      <c r="B1496" t="s">
        <v>2115</v>
      </c>
      <c r="C1496" t="s">
        <v>4677</v>
      </c>
    </row>
    <row r="1497" spans="2:3" x14ac:dyDescent="0.3">
      <c r="B1497" t="s">
        <v>2117</v>
      </c>
      <c r="C1497" t="s">
        <v>4678</v>
      </c>
    </row>
    <row r="1498" spans="2:3" x14ac:dyDescent="0.3">
      <c r="B1498" t="s">
        <v>4679</v>
      </c>
      <c r="C1498" t="s">
        <v>4680</v>
      </c>
    </row>
    <row r="1499" spans="2:3" x14ac:dyDescent="0.3">
      <c r="B1499" t="s">
        <v>2118</v>
      </c>
      <c r="C1499" t="s">
        <v>4681</v>
      </c>
    </row>
    <row r="1500" spans="2:3" x14ac:dyDescent="0.3">
      <c r="B1500" t="s">
        <v>2120</v>
      </c>
      <c r="C1500" t="s">
        <v>4682</v>
      </c>
    </row>
    <row r="1501" spans="2:3" x14ac:dyDescent="0.3">
      <c r="B1501" t="s">
        <v>4683</v>
      </c>
      <c r="C1501" t="s">
        <v>4684</v>
      </c>
    </row>
    <row r="1502" spans="2:3" x14ac:dyDescent="0.3">
      <c r="B1502" t="s">
        <v>4685</v>
      </c>
      <c r="C1502" t="s">
        <v>4686</v>
      </c>
    </row>
    <row r="1503" spans="2:3" x14ac:dyDescent="0.3">
      <c r="B1503" t="s">
        <v>2122</v>
      </c>
      <c r="C1503" t="s">
        <v>4687</v>
      </c>
    </row>
    <row r="1504" spans="2:3" x14ac:dyDescent="0.3">
      <c r="B1504" t="s">
        <v>2124</v>
      </c>
      <c r="C1504" t="s">
        <v>4688</v>
      </c>
    </row>
    <row r="1505" spans="2:3" x14ac:dyDescent="0.3">
      <c r="B1505" t="s">
        <v>5357</v>
      </c>
      <c r="C1505" t="s">
        <v>5358</v>
      </c>
    </row>
    <row r="1506" spans="2:3" x14ac:dyDescent="0.3">
      <c r="B1506" t="s">
        <v>2126</v>
      </c>
      <c r="C1506" t="s">
        <v>4689</v>
      </c>
    </row>
    <row r="1507" spans="2:3" x14ac:dyDescent="0.3">
      <c r="B1507" t="s">
        <v>2128</v>
      </c>
      <c r="C1507" t="s">
        <v>4690</v>
      </c>
    </row>
    <row r="1508" spans="2:3" x14ac:dyDescent="0.3">
      <c r="B1508" t="s">
        <v>2130</v>
      </c>
      <c r="C1508" t="s">
        <v>4691</v>
      </c>
    </row>
    <row r="1509" spans="2:3" x14ac:dyDescent="0.3">
      <c r="B1509" t="s">
        <v>2132</v>
      </c>
      <c r="C1509" t="s">
        <v>4692</v>
      </c>
    </row>
    <row r="1510" spans="2:3" x14ac:dyDescent="0.3">
      <c r="B1510" t="s">
        <v>2134</v>
      </c>
      <c r="C1510" t="s">
        <v>4693</v>
      </c>
    </row>
    <row r="1511" spans="2:3" x14ac:dyDescent="0.3">
      <c r="B1511" t="s">
        <v>2136</v>
      </c>
      <c r="C1511" t="s">
        <v>4694</v>
      </c>
    </row>
    <row r="1512" spans="2:3" x14ac:dyDescent="0.3">
      <c r="B1512" t="s">
        <v>2138</v>
      </c>
      <c r="C1512" t="s">
        <v>4695</v>
      </c>
    </row>
    <row r="1513" spans="2:3" x14ac:dyDescent="0.3">
      <c r="B1513" t="s">
        <v>2140</v>
      </c>
      <c r="C1513" t="s">
        <v>4696</v>
      </c>
    </row>
    <row r="1514" spans="2:3" x14ac:dyDescent="0.3">
      <c r="B1514" t="s">
        <v>4697</v>
      </c>
      <c r="C1514" t="s">
        <v>4698</v>
      </c>
    </row>
    <row r="1515" spans="2:3" x14ac:dyDescent="0.3">
      <c r="B1515" t="s">
        <v>2142</v>
      </c>
      <c r="C1515" t="s">
        <v>4699</v>
      </c>
    </row>
    <row r="1516" spans="2:3" x14ac:dyDescent="0.3">
      <c r="B1516" t="s">
        <v>2144</v>
      </c>
      <c r="C1516" t="s">
        <v>4700</v>
      </c>
    </row>
    <row r="1517" spans="2:3" x14ac:dyDescent="0.3">
      <c r="B1517" t="s">
        <v>2146</v>
      </c>
      <c r="C1517" t="s">
        <v>4701</v>
      </c>
    </row>
    <row r="1518" spans="2:3" x14ac:dyDescent="0.3">
      <c r="B1518" t="s">
        <v>2148</v>
      </c>
      <c r="C1518" t="s">
        <v>4702</v>
      </c>
    </row>
    <row r="1519" spans="2:3" x14ac:dyDescent="0.3">
      <c r="B1519" t="s">
        <v>2150</v>
      </c>
      <c r="C1519" t="s">
        <v>4703</v>
      </c>
    </row>
    <row r="1520" spans="2:3" x14ac:dyDescent="0.3">
      <c r="B1520" t="s">
        <v>2152</v>
      </c>
      <c r="C1520" t="s">
        <v>4704</v>
      </c>
    </row>
    <row r="1521" spans="2:3" x14ac:dyDescent="0.3">
      <c r="B1521" t="s">
        <v>2154</v>
      </c>
      <c r="C1521" t="s">
        <v>4705</v>
      </c>
    </row>
    <row r="1522" spans="2:3" x14ac:dyDescent="0.3">
      <c r="B1522" t="s">
        <v>2156</v>
      </c>
      <c r="C1522" t="s">
        <v>4706</v>
      </c>
    </row>
    <row r="1523" spans="2:3" x14ac:dyDescent="0.3">
      <c r="B1523" t="s">
        <v>2158</v>
      </c>
      <c r="C1523" t="s">
        <v>4707</v>
      </c>
    </row>
    <row r="1524" spans="2:3" x14ac:dyDescent="0.3">
      <c r="B1524" t="s">
        <v>2160</v>
      </c>
      <c r="C1524" t="s">
        <v>4708</v>
      </c>
    </row>
    <row r="1525" spans="2:3" x14ac:dyDescent="0.3">
      <c r="B1525" t="s">
        <v>2162</v>
      </c>
      <c r="C1525" t="s">
        <v>4709</v>
      </c>
    </row>
    <row r="1526" spans="2:3" x14ac:dyDescent="0.3">
      <c r="B1526" t="s">
        <v>2164</v>
      </c>
      <c r="C1526" t="s">
        <v>4710</v>
      </c>
    </row>
    <row r="1527" spans="2:3" x14ac:dyDescent="0.3">
      <c r="B1527" t="s">
        <v>4711</v>
      </c>
      <c r="C1527" t="s">
        <v>4712</v>
      </c>
    </row>
    <row r="1528" spans="2:3" x14ac:dyDescent="0.3">
      <c r="B1528" t="s">
        <v>2166</v>
      </c>
      <c r="C1528" t="s">
        <v>4713</v>
      </c>
    </row>
    <row r="1529" spans="2:3" x14ac:dyDescent="0.3">
      <c r="B1529" t="s">
        <v>2168</v>
      </c>
      <c r="C1529" t="s">
        <v>4714</v>
      </c>
    </row>
    <row r="1530" spans="2:3" x14ac:dyDescent="0.3">
      <c r="B1530" t="s">
        <v>2170</v>
      </c>
      <c r="C1530" t="s">
        <v>4715</v>
      </c>
    </row>
    <row r="1531" spans="2:3" x14ac:dyDescent="0.3">
      <c r="B1531" t="s">
        <v>4716</v>
      </c>
      <c r="C1531" t="s">
        <v>4717</v>
      </c>
    </row>
    <row r="1532" spans="2:3" x14ac:dyDescent="0.3">
      <c r="B1532" t="s">
        <v>2172</v>
      </c>
      <c r="C1532" t="s">
        <v>4718</v>
      </c>
    </row>
    <row r="1533" spans="2:3" x14ac:dyDescent="0.3">
      <c r="B1533" t="s">
        <v>4719</v>
      </c>
      <c r="C1533" t="s">
        <v>4720</v>
      </c>
    </row>
    <row r="1534" spans="2:3" x14ac:dyDescent="0.3">
      <c r="B1534" t="s">
        <v>4721</v>
      </c>
      <c r="C1534" t="s">
        <v>4722</v>
      </c>
    </row>
    <row r="1535" spans="2:3" x14ac:dyDescent="0.3">
      <c r="B1535" t="s">
        <v>2174</v>
      </c>
      <c r="C1535" t="s">
        <v>4723</v>
      </c>
    </row>
    <row r="1536" spans="2:3" x14ac:dyDescent="0.3">
      <c r="B1536" t="s">
        <v>2176</v>
      </c>
      <c r="C1536" t="s">
        <v>4724</v>
      </c>
    </row>
    <row r="1537" spans="2:3" x14ac:dyDescent="0.3">
      <c r="B1537" t="s">
        <v>5322</v>
      </c>
      <c r="C1537" t="s">
        <v>5323</v>
      </c>
    </row>
    <row r="1538" spans="2:3" x14ac:dyDescent="0.3">
      <c r="B1538" t="s">
        <v>2178</v>
      </c>
      <c r="C1538" t="s">
        <v>4725</v>
      </c>
    </row>
    <row r="1539" spans="2:3" x14ac:dyDescent="0.3">
      <c r="B1539" t="s">
        <v>2181</v>
      </c>
      <c r="C1539" t="s">
        <v>4726</v>
      </c>
    </row>
    <row r="1540" spans="2:3" x14ac:dyDescent="0.3">
      <c r="B1540" t="s">
        <v>4727</v>
      </c>
      <c r="C1540" t="s">
        <v>4728</v>
      </c>
    </row>
    <row r="1541" spans="2:3" x14ac:dyDescent="0.3">
      <c r="B1541" t="s">
        <v>2182</v>
      </c>
      <c r="C1541" t="s">
        <v>4729</v>
      </c>
    </row>
    <row r="1542" spans="2:3" x14ac:dyDescent="0.3">
      <c r="B1542" t="s">
        <v>2184</v>
      </c>
      <c r="C1542" t="s">
        <v>4730</v>
      </c>
    </row>
    <row r="1543" spans="2:3" x14ac:dyDescent="0.3">
      <c r="B1543" t="s">
        <v>2186</v>
      </c>
      <c r="C1543" t="s">
        <v>4731</v>
      </c>
    </row>
    <row r="1544" spans="2:3" x14ac:dyDescent="0.3">
      <c r="B1544" t="s">
        <v>4732</v>
      </c>
      <c r="C1544" t="s">
        <v>4733</v>
      </c>
    </row>
    <row r="1545" spans="2:3" x14ac:dyDescent="0.3">
      <c r="B1545" t="s">
        <v>2188</v>
      </c>
      <c r="C1545" t="s">
        <v>4734</v>
      </c>
    </row>
    <row r="1546" spans="2:3" x14ac:dyDescent="0.3">
      <c r="B1546" t="s">
        <v>2190</v>
      </c>
      <c r="C1546" t="s">
        <v>4735</v>
      </c>
    </row>
    <row r="1547" spans="2:3" x14ac:dyDescent="0.3">
      <c r="B1547" t="s">
        <v>2192</v>
      </c>
      <c r="C1547" t="s">
        <v>4736</v>
      </c>
    </row>
    <row r="1548" spans="2:3" x14ac:dyDescent="0.3">
      <c r="B1548" t="s">
        <v>2194</v>
      </c>
      <c r="C1548" t="s">
        <v>4737</v>
      </c>
    </row>
    <row r="1549" spans="2:3" x14ac:dyDescent="0.3">
      <c r="B1549" t="s">
        <v>2196</v>
      </c>
      <c r="C1549" t="s">
        <v>4738</v>
      </c>
    </row>
    <row r="1550" spans="2:3" x14ac:dyDescent="0.3">
      <c r="B1550" t="s">
        <v>2198</v>
      </c>
      <c r="C1550" t="s">
        <v>4739</v>
      </c>
    </row>
    <row r="1551" spans="2:3" x14ac:dyDescent="0.3">
      <c r="B1551" t="s">
        <v>2200</v>
      </c>
      <c r="C1551" t="s">
        <v>4740</v>
      </c>
    </row>
    <row r="1552" spans="2:3" x14ac:dyDescent="0.3">
      <c r="B1552" t="s">
        <v>2202</v>
      </c>
      <c r="C1552" t="s">
        <v>4741</v>
      </c>
    </row>
    <row r="1553" spans="2:3" x14ac:dyDescent="0.3">
      <c r="B1553" t="s">
        <v>2204</v>
      </c>
      <c r="C1553" t="s">
        <v>4742</v>
      </c>
    </row>
    <row r="1554" spans="2:3" x14ac:dyDescent="0.3">
      <c r="B1554" t="s">
        <v>2206</v>
      </c>
      <c r="C1554" t="s">
        <v>4743</v>
      </c>
    </row>
    <row r="1555" spans="2:3" x14ac:dyDescent="0.3">
      <c r="B1555" t="s">
        <v>2208</v>
      </c>
      <c r="C1555" t="s">
        <v>4744</v>
      </c>
    </row>
    <row r="1556" spans="2:3" x14ac:dyDescent="0.3">
      <c r="B1556" t="s">
        <v>2210</v>
      </c>
      <c r="C1556" t="s">
        <v>4745</v>
      </c>
    </row>
    <row r="1557" spans="2:3" x14ac:dyDescent="0.3">
      <c r="B1557" t="s">
        <v>2212</v>
      </c>
      <c r="C1557" t="s">
        <v>4746</v>
      </c>
    </row>
    <row r="1558" spans="2:3" x14ac:dyDescent="0.3">
      <c r="B1558" t="s">
        <v>2214</v>
      </c>
      <c r="C1558" t="s">
        <v>4747</v>
      </c>
    </row>
    <row r="1559" spans="2:3" x14ac:dyDescent="0.3">
      <c r="B1559" t="s">
        <v>2216</v>
      </c>
      <c r="C1559" t="s">
        <v>4748</v>
      </c>
    </row>
    <row r="1560" spans="2:3" x14ac:dyDescent="0.3">
      <c r="B1560" t="s">
        <v>4749</v>
      </c>
      <c r="C1560" t="s">
        <v>4750</v>
      </c>
    </row>
    <row r="1561" spans="2:3" x14ac:dyDescent="0.3">
      <c r="B1561" t="s">
        <v>2218</v>
      </c>
      <c r="C1561" t="s">
        <v>4751</v>
      </c>
    </row>
    <row r="1562" spans="2:3" x14ac:dyDescent="0.3">
      <c r="B1562" t="s">
        <v>2220</v>
      </c>
      <c r="C1562" t="s">
        <v>4752</v>
      </c>
    </row>
    <row r="1563" spans="2:3" x14ac:dyDescent="0.3">
      <c r="B1563" t="s">
        <v>5452</v>
      </c>
      <c r="C1563" t="s">
        <v>5453</v>
      </c>
    </row>
    <row r="1564" spans="2:3" x14ac:dyDescent="0.3">
      <c r="B1564" t="s">
        <v>2224</v>
      </c>
      <c r="C1564" t="s">
        <v>4753</v>
      </c>
    </row>
    <row r="1565" spans="2:3" x14ac:dyDescent="0.3">
      <c r="B1565" t="s">
        <v>2226</v>
      </c>
      <c r="C1565" t="s">
        <v>4754</v>
      </c>
    </row>
    <row r="1566" spans="2:3" x14ac:dyDescent="0.3">
      <c r="B1566" t="s">
        <v>2228</v>
      </c>
      <c r="C1566" t="s">
        <v>4755</v>
      </c>
    </row>
    <row r="1567" spans="2:3" x14ac:dyDescent="0.3">
      <c r="B1567" t="s">
        <v>2230</v>
      </c>
      <c r="C1567" t="s">
        <v>4756</v>
      </c>
    </row>
    <row r="1568" spans="2:3" x14ac:dyDescent="0.3">
      <c r="B1568" t="s">
        <v>2232</v>
      </c>
      <c r="C1568" t="s">
        <v>4757</v>
      </c>
    </row>
    <row r="1569" spans="2:3" x14ac:dyDescent="0.3">
      <c r="B1569" t="s">
        <v>2234</v>
      </c>
      <c r="C1569" t="s">
        <v>4758</v>
      </c>
    </row>
    <row r="1570" spans="2:3" x14ac:dyDescent="0.3">
      <c r="B1570" t="s">
        <v>2236</v>
      </c>
      <c r="C1570" t="s">
        <v>4759</v>
      </c>
    </row>
    <row r="1571" spans="2:3" x14ac:dyDescent="0.3">
      <c r="B1571" t="s">
        <v>2238</v>
      </c>
      <c r="C1571" t="s">
        <v>4760</v>
      </c>
    </row>
    <row r="1572" spans="2:3" x14ac:dyDescent="0.3">
      <c r="B1572" t="s">
        <v>2240</v>
      </c>
      <c r="C1572" t="s">
        <v>4761</v>
      </c>
    </row>
    <row r="1573" spans="2:3" x14ac:dyDescent="0.3">
      <c r="B1573" t="s">
        <v>2242</v>
      </c>
      <c r="C1573" t="s">
        <v>4762</v>
      </c>
    </row>
    <row r="1574" spans="2:3" x14ac:dyDescent="0.3">
      <c r="B1574" t="s">
        <v>4763</v>
      </c>
      <c r="C1574" t="s">
        <v>4764</v>
      </c>
    </row>
    <row r="1575" spans="2:3" x14ac:dyDescent="0.3">
      <c r="B1575" t="s">
        <v>4765</v>
      </c>
      <c r="C1575" t="s">
        <v>4766</v>
      </c>
    </row>
    <row r="1576" spans="2:3" x14ac:dyDescent="0.3">
      <c r="B1576" t="s">
        <v>2244</v>
      </c>
      <c r="C1576" t="s">
        <v>4767</v>
      </c>
    </row>
    <row r="1577" spans="2:3" x14ac:dyDescent="0.3">
      <c r="B1577" t="s">
        <v>4768</v>
      </c>
      <c r="C1577" t="s">
        <v>4769</v>
      </c>
    </row>
    <row r="1578" spans="2:3" x14ac:dyDescent="0.3">
      <c r="B1578" t="s">
        <v>4770</v>
      </c>
      <c r="C1578" t="s">
        <v>4771</v>
      </c>
    </row>
    <row r="1579" spans="2:3" x14ac:dyDescent="0.3">
      <c r="B1579" t="s">
        <v>2246</v>
      </c>
      <c r="C1579" t="s">
        <v>4772</v>
      </c>
    </row>
    <row r="1580" spans="2:3" x14ac:dyDescent="0.3">
      <c r="B1580" t="s">
        <v>2248</v>
      </c>
      <c r="C1580" t="s">
        <v>4773</v>
      </c>
    </row>
    <row r="1581" spans="2:3" x14ac:dyDescent="0.3">
      <c r="B1581" t="s">
        <v>2250</v>
      </c>
      <c r="C1581" t="s">
        <v>4774</v>
      </c>
    </row>
    <row r="1582" spans="2:3" x14ac:dyDescent="0.3">
      <c r="B1582" t="s">
        <v>2252</v>
      </c>
      <c r="C1582" t="s">
        <v>4775</v>
      </c>
    </row>
    <row r="1583" spans="2:3" x14ac:dyDescent="0.3">
      <c r="B1583" t="s">
        <v>2254</v>
      </c>
      <c r="C1583" t="s">
        <v>4776</v>
      </c>
    </row>
    <row r="1584" spans="2:3" x14ac:dyDescent="0.3">
      <c r="B1584" t="s">
        <v>4777</v>
      </c>
      <c r="C1584" t="s">
        <v>4778</v>
      </c>
    </row>
    <row r="1585" spans="2:3" x14ac:dyDescent="0.3">
      <c r="B1585" t="s">
        <v>2256</v>
      </c>
      <c r="C1585" t="s">
        <v>4779</v>
      </c>
    </row>
    <row r="1586" spans="2:3" x14ac:dyDescent="0.3">
      <c r="B1586" t="s">
        <v>4780</v>
      </c>
      <c r="C1586" t="s">
        <v>4781</v>
      </c>
    </row>
    <row r="1587" spans="2:3" x14ac:dyDescent="0.3">
      <c r="B1587" t="s">
        <v>5370</v>
      </c>
      <c r="C1587" t="s">
        <v>5371</v>
      </c>
    </row>
    <row r="1588" spans="2:3" x14ac:dyDescent="0.3">
      <c r="B1588" t="s">
        <v>2258</v>
      </c>
      <c r="C1588" t="s">
        <v>4782</v>
      </c>
    </row>
    <row r="1589" spans="2:3" x14ac:dyDescent="0.3">
      <c r="B1589" t="s">
        <v>4783</v>
      </c>
      <c r="C1589" t="s">
        <v>4784</v>
      </c>
    </row>
    <row r="1590" spans="2:3" x14ac:dyDescent="0.3">
      <c r="B1590" t="s">
        <v>4785</v>
      </c>
      <c r="C1590" t="s">
        <v>4786</v>
      </c>
    </row>
    <row r="1591" spans="2:3" x14ac:dyDescent="0.3">
      <c r="B1591" t="s">
        <v>2260</v>
      </c>
      <c r="C1591" t="s">
        <v>4787</v>
      </c>
    </row>
    <row r="1592" spans="2:3" x14ac:dyDescent="0.3">
      <c r="B1592" t="s">
        <v>2262</v>
      </c>
      <c r="C1592" t="s">
        <v>4788</v>
      </c>
    </row>
    <row r="1593" spans="2:3" x14ac:dyDescent="0.3">
      <c r="B1593" t="s">
        <v>2264</v>
      </c>
      <c r="C1593" t="s">
        <v>4789</v>
      </c>
    </row>
    <row r="1594" spans="2:3" x14ac:dyDescent="0.3">
      <c r="B1594" t="s">
        <v>2266</v>
      </c>
      <c r="C1594" t="s">
        <v>4790</v>
      </c>
    </row>
    <row r="1595" spans="2:3" x14ac:dyDescent="0.3">
      <c r="B1595" t="s">
        <v>2270</v>
      </c>
      <c r="C1595" t="s">
        <v>4791</v>
      </c>
    </row>
    <row r="1596" spans="2:3" x14ac:dyDescent="0.3">
      <c r="B1596" t="s">
        <v>2272</v>
      </c>
      <c r="C1596" t="s">
        <v>4792</v>
      </c>
    </row>
    <row r="1597" spans="2:3" x14ac:dyDescent="0.3">
      <c r="B1597" t="s">
        <v>4793</v>
      </c>
      <c r="C1597" t="s">
        <v>4794</v>
      </c>
    </row>
    <row r="1598" spans="2:3" x14ac:dyDescent="0.3">
      <c r="B1598" t="s">
        <v>2274</v>
      </c>
      <c r="C1598" t="s">
        <v>4795</v>
      </c>
    </row>
    <row r="1599" spans="2:3" x14ac:dyDescent="0.3">
      <c r="B1599" t="s">
        <v>2276</v>
      </c>
      <c r="C1599" t="s">
        <v>4796</v>
      </c>
    </row>
    <row r="1600" spans="2:3" x14ac:dyDescent="0.3">
      <c r="B1600" t="s">
        <v>2278</v>
      </c>
      <c r="C1600" t="s">
        <v>4797</v>
      </c>
    </row>
    <row r="1601" spans="2:3" x14ac:dyDescent="0.3">
      <c r="B1601" t="s">
        <v>2280</v>
      </c>
      <c r="C1601" t="s">
        <v>4798</v>
      </c>
    </row>
    <row r="1602" spans="2:3" x14ac:dyDescent="0.3">
      <c r="B1602" t="s">
        <v>2282</v>
      </c>
      <c r="C1602" t="s">
        <v>4799</v>
      </c>
    </row>
    <row r="1603" spans="2:3" x14ac:dyDescent="0.3">
      <c r="B1603" t="s">
        <v>4800</v>
      </c>
      <c r="C1603" t="s">
        <v>4801</v>
      </c>
    </row>
    <row r="1604" spans="2:3" x14ac:dyDescent="0.3">
      <c r="B1604" t="s">
        <v>2284</v>
      </c>
      <c r="C1604" t="s">
        <v>4802</v>
      </c>
    </row>
    <row r="1605" spans="2:3" x14ac:dyDescent="0.3">
      <c r="B1605" t="s">
        <v>2286</v>
      </c>
      <c r="C1605" t="s">
        <v>4803</v>
      </c>
    </row>
    <row r="1606" spans="2:3" x14ac:dyDescent="0.3">
      <c r="B1606" t="s">
        <v>2288</v>
      </c>
      <c r="C1606" t="s">
        <v>4804</v>
      </c>
    </row>
    <row r="1607" spans="2:3" x14ac:dyDescent="0.3">
      <c r="B1607" t="s">
        <v>2290</v>
      </c>
      <c r="C1607" t="s">
        <v>4805</v>
      </c>
    </row>
    <row r="1608" spans="2:3" x14ac:dyDescent="0.3">
      <c r="B1608" t="s">
        <v>2292</v>
      </c>
      <c r="C1608" t="s">
        <v>4806</v>
      </c>
    </row>
    <row r="1609" spans="2:3" x14ac:dyDescent="0.3">
      <c r="B1609" t="s">
        <v>2294</v>
      </c>
      <c r="C1609" t="s">
        <v>4807</v>
      </c>
    </row>
    <row r="1610" spans="2:3" x14ac:dyDescent="0.3">
      <c r="B1610" t="s">
        <v>2296</v>
      </c>
      <c r="C1610" t="s">
        <v>4808</v>
      </c>
    </row>
    <row r="1611" spans="2:3" x14ac:dyDescent="0.3">
      <c r="B1611" t="s">
        <v>2298</v>
      </c>
      <c r="C1611" t="s">
        <v>4809</v>
      </c>
    </row>
    <row r="1612" spans="2:3" x14ac:dyDescent="0.3">
      <c r="B1612" t="s">
        <v>2300</v>
      </c>
      <c r="C1612" t="s">
        <v>4810</v>
      </c>
    </row>
    <row r="1613" spans="2:3" x14ac:dyDescent="0.3">
      <c r="B1613" t="s">
        <v>4811</v>
      </c>
      <c r="C1613" t="s">
        <v>4812</v>
      </c>
    </row>
    <row r="1614" spans="2:3" x14ac:dyDescent="0.3">
      <c r="B1614" t="s">
        <v>2302</v>
      </c>
      <c r="C1614" t="s">
        <v>4813</v>
      </c>
    </row>
    <row r="1615" spans="2:3" x14ac:dyDescent="0.3">
      <c r="B1615" t="s">
        <v>4814</v>
      </c>
      <c r="C1615" t="s">
        <v>4815</v>
      </c>
    </row>
    <row r="1616" spans="2:3" x14ac:dyDescent="0.3">
      <c r="B1616" t="s">
        <v>2304</v>
      </c>
      <c r="C1616" t="s">
        <v>4816</v>
      </c>
    </row>
    <row r="1617" spans="2:3" x14ac:dyDescent="0.3">
      <c r="B1617" t="s">
        <v>2306</v>
      </c>
      <c r="C1617" t="s">
        <v>4817</v>
      </c>
    </row>
    <row r="1618" spans="2:3" x14ac:dyDescent="0.3">
      <c r="B1618" t="s">
        <v>2308</v>
      </c>
      <c r="C1618" t="s">
        <v>4818</v>
      </c>
    </row>
    <row r="1619" spans="2:3" x14ac:dyDescent="0.3">
      <c r="B1619" t="s">
        <v>2310</v>
      </c>
      <c r="C1619" t="s">
        <v>4819</v>
      </c>
    </row>
    <row r="1620" spans="2:3" x14ac:dyDescent="0.3">
      <c r="B1620" t="s">
        <v>2312</v>
      </c>
      <c r="C1620" t="s">
        <v>4820</v>
      </c>
    </row>
    <row r="1621" spans="2:3" x14ac:dyDescent="0.3">
      <c r="B1621" t="s">
        <v>2314</v>
      </c>
      <c r="C1621" t="s">
        <v>4821</v>
      </c>
    </row>
    <row r="1622" spans="2:3" x14ac:dyDescent="0.3">
      <c r="B1622" t="s">
        <v>2316</v>
      </c>
      <c r="C1622" t="s">
        <v>4822</v>
      </c>
    </row>
    <row r="1623" spans="2:3" x14ac:dyDescent="0.3">
      <c r="B1623" t="s">
        <v>2318</v>
      </c>
      <c r="C1623" t="s">
        <v>4823</v>
      </c>
    </row>
    <row r="1624" spans="2:3" x14ac:dyDescent="0.3">
      <c r="B1624" t="s">
        <v>2320</v>
      </c>
      <c r="C1624" t="s">
        <v>4824</v>
      </c>
    </row>
    <row r="1625" spans="2:3" x14ac:dyDescent="0.3">
      <c r="B1625" t="s">
        <v>2322</v>
      </c>
      <c r="C1625" t="s">
        <v>4825</v>
      </c>
    </row>
    <row r="1626" spans="2:3" x14ac:dyDescent="0.3">
      <c r="B1626" t="s">
        <v>4826</v>
      </c>
      <c r="C1626" t="s">
        <v>4827</v>
      </c>
    </row>
    <row r="1627" spans="2:3" x14ac:dyDescent="0.3">
      <c r="B1627" t="s">
        <v>2324</v>
      </c>
      <c r="C1627" t="s">
        <v>4828</v>
      </c>
    </row>
    <row r="1628" spans="2:3" x14ac:dyDescent="0.3">
      <c r="B1628" t="s">
        <v>5343</v>
      </c>
      <c r="C1628" t="s">
        <v>5344</v>
      </c>
    </row>
    <row r="1629" spans="2:3" x14ac:dyDescent="0.3">
      <c r="B1629" t="s">
        <v>2326</v>
      </c>
      <c r="C1629" t="s">
        <v>4829</v>
      </c>
    </row>
    <row r="1630" spans="2:3" x14ac:dyDescent="0.3">
      <c r="B1630" t="s">
        <v>4830</v>
      </c>
      <c r="C1630" t="s">
        <v>4831</v>
      </c>
    </row>
    <row r="1631" spans="2:3" x14ac:dyDescent="0.3">
      <c r="B1631" t="s">
        <v>4832</v>
      </c>
      <c r="C1631" t="s">
        <v>4833</v>
      </c>
    </row>
    <row r="1632" spans="2:3" x14ac:dyDescent="0.3">
      <c r="B1632" t="s">
        <v>2328</v>
      </c>
      <c r="C1632" t="s">
        <v>4834</v>
      </c>
    </row>
    <row r="1633" spans="2:3" x14ac:dyDescent="0.3">
      <c r="B1633" t="s">
        <v>4835</v>
      </c>
      <c r="C1633" t="s">
        <v>4836</v>
      </c>
    </row>
    <row r="1634" spans="2:3" x14ac:dyDescent="0.3">
      <c r="B1634" t="s">
        <v>4837</v>
      </c>
      <c r="C1634" t="s">
        <v>4838</v>
      </c>
    </row>
    <row r="1635" spans="2:3" x14ac:dyDescent="0.3">
      <c r="B1635" t="s">
        <v>2330</v>
      </c>
      <c r="C1635" t="s">
        <v>4839</v>
      </c>
    </row>
    <row r="1636" spans="2:3" x14ac:dyDescent="0.3">
      <c r="B1636" t="s">
        <v>4840</v>
      </c>
      <c r="C1636" t="s">
        <v>4841</v>
      </c>
    </row>
    <row r="1637" spans="2:3" x14ac:dyDescent="0.3">
      <c r="B1637" t="s">
        <v>2332</v>
      </c>
      <c r="C1637" t="s">
        <v>4842</v>
      </c>
    </row>
    <row r="1638" spans="2:3" x14ac:dyDescent="0.3">
      <c r="B1638" t="s">
        <v>2334</v>
      </c>
      <c r="C1638" t="s">
        <v>4843</v>
      </c>
    </row>
    <row r="1639" spans="2:3" x14ac:dyDescent="0.3">
      <c r="B1639" t="s">
        <v>2336</v>
      </c>
      <c r="C1639" t="s">
        <v>4844</v>
      </c>
    </row>
    <row r="1640" spans="2:3" x14ac:dyDescent="0.3">
      <c r="B1640" t="s">
        <v>5412</v>
      </c>
      <c r="C1640" t="s">
        <v>5413</v>
      </c>
    </row>
    <row r="1641" spans="2:3" x14ac:dyDescent="0.3">
      <c r="B1641" t="s">
        <v>2338</v>
      </c>
      <c r="C1641" t="s">
        <v>4845</v>
      </c>
    </row>
    <row r="1642" spans="2:3" x14ac:dyDescent="0.3">
      <c r="B1642" t="s">
        <v>2340</v>
      </c>
      <c r="C1642" t="s">
        <v>4846</v>
      </c>
    </row>
    <row r="1643" spans="2:3" x14ac:dyDescent="0.3">
      <c r="B1643" t="s">
        <v>2342</v>
      </c>
      <c r="C1643" t="s">
        <v>4847</v>
      </c>
    </row>
    <row r="1644" spans="2:3" x14ac:dyDescent="0.3">
      <c r="B1644" t="s">
        <v>2344</v>
      </c>
      <c r="C1644" t="s">
        <v>4848</v>
      </c>
    </row>
    <row r="1645" spans="2:3" x14ac:dyDescent="0.3">
      <c r="B1645" t="s">
        <v>2346</v>
      </c>
      <c r="C1645" t="s">
        <v>4849</v>
      </c>
    </row>
    <row r="1646" spans="2:3" x14ac:dyDescent="0.3">
      <c r="B1646" t="s">
        <v>2348</v>
      </c>
      <c r="C1646" t="s">
        <v>4850</v>
      </c>
    </row>
    <row r="1647" spans="2:3" x14ac:dyDescent="0.3">
      <c r="B1647" t="s">
        <v>2350</v>
      </c>
      <c r="C1647" t="s">
        <v>4851</v>
      </c>
    </row>
    <row r="1648" spans="2:3" x14ac:dyDescent="0.3">
      <c r="B1648" t="s">
        <v>2352</v>
      </c>
      <c r="C1648" t="s">
        <v>4852</v>
      </c>
    </row>
    <row r="1649" spans="2:3" x14ac:dyDescent="0.3">
      <c r="B1649" t="s">
        <v>4853</v>
      </c>
      <c r="C1649" t="s">
        <v>4854</v>
      </c>
    </row>
    <row r="1650" spans="2:3" x14ac:dyDescent="0.3">
      <c r="B1650" t="s">
        <v>2354</v>
      </c>
      <c r="C1650" t="s">
        <v>4855</v>
      </c>
    </row>
    <row r="1651" spans="2:3" x14ac:dyDescent="0.3">
      <c r="B1651" t="s">
        <v>2356</v>
      </c>
      <c r="C1651" t="s">
        <v>4856</v>
      </c>
    </row>
    <row r="1652" spans="2:3" x14ac:dyDescent="0.3">
      <c r="B1652" t="s">
        <v>2358</v>
      </c>
      <c r="C1652" t="s">
        <v>4857</v>
      </c>
    </row>
    <row r="1653" spans="2:3" x14ac:dyDescent="0.3">
      <c r="B1653" t="s">
        <v>2360</v>
      </c>
      <c r="C1653" t="s">
        <v>4858</v>
      </c>
    </row>
    <row r="1654" spans="2:3" x14ac:dyDescent="0.3">
      <c r="B1654" t="s">
        <v>2362</v>
      </c>
      <c r="C1654" t="s">
        <v>4859</v>
      </c>
    </row>
    <row r="1655" spans="2:3" x14ac:dyDescent="0.3">
      <c r="B1655" t="s">
        <v>2364</v>
      </c>
      <c r="C1655" t="s">
        <v>4860</v>
      </c>
    </row>
    <row r="1656" spans="2:3" x14ac:dyDescent="0.3">
      <c r="B1656" t="s">
        <v>2366</v>
      </c>
      <c r="C1656" t="s">
        <v>4861</v>
      </c>
    </row>
    <row r="1657" spans="2:3" x14ac:dyDescent="0.3">
      <c r="B1657" t="s">
        <v>2368</v>
      </c>
      <c r="C1657" t="s">
        <v>4862</v>
      </c>
    </row>
    <row r="1658" spans="2:3" x14ac:dyDescent="0.3">
      <c r="B1658" t="s">
        <v>2370</v>
      </c>
      <c r="C1658" t="s">
        <v>4863</v>
      </c>
    </row>
    <row r="1659" spans="2:3" x14ac:dyDescent="0.3">
      <c r="B1659" t="s">
        <v>2372</v>
      </c>
      <c r="C1659" t="s">
        <v>4864</v>
      </c>
    </row>
    <row r="1660" spans="2:3" x14ac:dyDescent="0.3">
      <c r="B1660" t="s">
        <v>4865</v>
      </c>
      <c r="C1660" t="s">
        <v>4866</v>
      </c>
    </row>
    <row r="1661" spans="2:3" x14ac:dyDescent="0.3">
      <c r="B1661" t="s">
        <v>4867</v>
      </c>
      <c r="C1661" t="s">
        <v>4868</v>
      </c>
    </row>
    <row r="1662" spans="2:3" x14ac:dyDescent="0.3">
      <c r="B1662" t="s">
        <v>4869</v>
      </c>
      <c r="C1662" t="s">
        <v>4870</v>
      </c>
    </row>
    <row r="1663" spans="2:3" x14ac:dyDescent="0.3">
      <c r="B1663" t="s">
        <v>4871</v>
      </c>
      <c r="C1663" t="s">
        <v>4872</v>
      </c>
    </row>
    <row r="1664" spans="2:3" x14ac:dyDescent="0.3">
      <c r="B1664" t="s">
        <v>2374</v>
      </c>
      <c r="C1664" t="s">
        <v>4873</v>
      </c>
    </row>
    <row r="1665" spans="2:3" x14ac:dyDescent="0.3">
      <c r="B1665" t="s">
        <v>2376</v>
      </c>
      <c r="C1665" t="s">
        <v>4874</v>
      </c>
    </row>
    <row r="1666" spans="2:3" x14ac:dyDescent="0.3">
      <c r="B1666" t="s">
        <v>4875</v>
      </c>
      <c r="C1666" t="s">
        <v>4876</v>
      </c>
    </row>
    <row r="1667" spans="2:3" x14ac:dyDescent="0.3">
      <c r="B1667" t="s">
        <v>2378</v>
      </c>
      <c r="C1667" t="s">
        <v>4877</v>
      </c>
    </row>
    <row r="1668" spans="2:3" x14ac:dyDescent="0.3">
      <c r="B1668" t="s">
        <v>2380</v>
      </c>
      <c r="C1668" t="s">
        <v>4878</v>
      </c>
    </row>
    <row r="1669" spans="2:3" x14ac:dyDescent="0.3">
      <c r="B1669" t="s">
        <v>2382</v>
      </c>
      <c r="C1669" t="s">
        <v>4879</v>
      </c>
    </row>
    <row r="1670" spans="2:3" x14ac:dyDescent="0.3">
      <c r="B1670" t="s">
        <v>2384</v>
      </c>
      <c r="C1670" t="s">
        <v>4880</v>
      </c>
    </row>
    <row r="1671" spans="2:3" x14ac:dyDescent="0.3">
      <c r="B1671" t="s">
        <v>4881</v>
      </c>
      <c r="C1671" t="s">
        <v>4882</v>
      </c>
    </row>
    <row r="1672" spans="2:3" x14ac:dyDescent="0.3">
      <c r="B1672" t="s">
        <v>2386</v>
      </c>
      <c r="C1672" t="s">
        <v>4883</v>
      </c>
    </row>
    <row r="1673" spans="2:3" x14ac:dyDescent="0.3">
      <c r="B1673" t="s">
        <v>4884</v>
      </c>
      <c r="C1673" t="s">
        <v>4885</v>
      </c>
    </row>
    <row r="1674" spans="2:3" x14ac:dyDescent="0.3">
      <c r="B1674" t="s">
        <v>4886</v>
      </c>
      <c r="C1674" t="s">
        <v>4887</v>
      </c>
    </row>
    <row r="1675" spans="2:3" x14ac:dyDescent="0.3">
      <c r="B1675" t="s">
        <v>2388</v>
      </c>
      <c r="C1675" t="s">
        <v>4888</v>
      </c>
    </row>
    <row r="1676" spans="2:3" x14ac:dyDescent="0.3">
      <c r="B1676" t="s">
        <v>4889</v>
      </c>
      <c r="C1676" t="s">
        <v>4890</v>
      </c>
    </row>
    <row r="1677" spans="2:3" x14ac:dyDescent="0.3">
      <c r="B1677" t="s">
        <v>2390</v>
      </c>
      <c r="C1677" t="s">
        <v>4891</v>
      </c>
    </row>
    <row r="1678" spans="2:3" x14ac:dyDescent="0.3">
      <c r="B1678" t="s">
        <v>2392</v>
      </c>
      <c r="C1678" t="s">
        <v>4892</v>
      </c>
    </row>
    <row r="1679" spans="2:3" x14ac:dyDescent="0.3">
      <c r="B1679" t="s">
        <v>2394</v>
      </c>
      <c r="C1679" t="s">
        <v>4893</v>
      </c>
    </row>
    <row r="1680" spans="2:3" x14ac:dyDescent="0.3">
      <c r="B1680" t="s">
        <v>5421</v>
      </c>
      <c r="C1680" t="s">
        <v>5422</v>
      </c>
    </row>
    <row r="1681" spans="2:3" x14ac:dyDescent="0.3">
      <c r="B1681" t="s">
        <v>4894</v>
      </c>
      <c r="C1681" t="s">
        <v>4895</v>
      </c>
    </row>
    <row r="1682" spans="2:3" x14ac:dyDescent="0.3">
      <c r="B1682" t="s">
        <v>4896</v>
      </c>
      <c r="C1682" t="s">
        <v>4897</v>
      </c>
    </row>
    <row r="1683" spans="2:3" x14ac:dyDescent="0.3">
      <c r="B1683" t="s">
        <v>4898</v>
      </c>
      <c r="C1683" t="s">
        <v>4899</v>
      </c>
    </row>
    <row r="1684" spans="2:3" x14ac:dyDescent="0.3">
      <c r="B1684" t="s">
        <v>2396</v>
      </c>
      <c r="C1684" t="s">
        <v>4900</v>
      </c>
    </row>
    <row r="1685" spans="2:3" x14ac:dyDescent="0.3">
      <c r="B1685" t="s">
        <v>2398</v>
      </c>
      <c r="C1685" t="s">
        <v>4901</v>
      </c>
    </row>
    <row r="1686" spans="2:3" x14ac:dyDescent="0.3">
      <c r="B1686" t="s">
        <v>2400</v>
      </c>
      <c r="C1686" t="s">
        <v>4902</v>
      </c>
    </row>
    <row r="1687" spans="2:3" x14ac:dyDescent="0.3">
      <c r="B1687" t="s">
        <v>2402</v>
      </c>
      <c r="C1687" t="s">
        <v>4903</v>
      </c>
    </row>
    <row r="1688" spans="2:3" x14ac:dyDescent="0.3">
      <c r="B1688" t="s">
        <v>4904</v>
      </c>
      <c r="C1688" t="s">
        <v>4905</v>
      </c>
    </row>
    <row r="1689" spans="2:3" x14ac:dyDescent="0.3">
      <c r="B1689" t="s">
        <v>2404</v>
      </c>
      <c r="C1689" t="s">
        <v>4906</v>
      </c>
    </row>
    <row r="1690" spans="2:3" x14ac:dyDescent="0.3">
      <c r="B1690" t="s">
        <v>4907</v>
      </c>
      <c r="C1690" t="s">
        <v>4908</v>
      </c>
    </row>
    <row r="1691" spans="2:3" x14ac:dyDescent="0.3">
      <c r="B1691" t="s">
        <v>2406</v>
      </c>
      <c r="C1691" t="s">
        <v>4909</v>
      </c>
    </row>
    <row r="1692" spans="2:3" x14ac:dyDescent="0.3">
      <c r="B1692" t="s">
        <v>2408</v>
      </c>
      <c r="C1692" t="s">
        <v>4910</v>
      </c>
    </row>
    <row r="1693" spans="2:3" x14ac:dyDescent="0.3">
      <c r="B1693" t="s">
        <v>4911</v>
      </c>
      <c r="C1693" t="s">
        <v>4912</v>
      </c>
    </row>
    <row r="1694" spans="2:3" x14ac:dyDescent="0.3">
      <c r="B1694" t="s">
        <v>2409</v>
      </c>
      <c r="C1694" t="s">
        <v>4913</v>
      </c>
    </row>
    <row r="1695" spans="2:3" x14ac:dyDescent="0.3">
      <c r="B1695" t="s">
        <v>4914</v>
      </c>
      <c r="C1695" t="s">
        <v>4915</v>
      </c>
    </row>
    <row r="1696" spans="2:3" x14ac:dyDescent="0.3">
      <c r="B1696" t="s">
        <v>2411</v>
      </c>
      <c r="C1696" t="s">
        <v>4916</v>
      </c>
    </row>
    <row r="1697" spans="2:3" x14ac:dyDescent="0.3">
      <c r="B1697" t="s">
        <v>2413</v>
      </c>
      <c r="C1697" t="s">
        <v>4917</v>
      </c>
    </row>
    <row r="1698" spans="2:3" x14ac:dyDescent="0.3">
      <c r="B1698" t="s">
        <v>2415</v>
      </c>
      <c r="C1698" t="s">
        <v>4918</v>
      </c>
    </row>
    <row r="1699" spans="2:3" x14ac:dyDescent="0.3">
      <c r="B1699" t="s">
        <v>2417</v>
      </c>
      <c r="C1699" t="s">
        <v>4919</v>
      </c>
    </row>
    <row r="1700" spans="2:3" x14ac:dyDescent="0.3">
      <c r="B1700" t="s">
        <v>2419</v>
      </c>
      <c r="C1700" t="s">
        <v>4920</v>
      </c>
    </row>
    <row r="1701" spans="2:3" x14ac:dyDescent="0.3">
      <c r="B1701" t="s">
        <v>4921</v>
      </c>
      <c r="C1701" t="s">
        <v>4922</v>
      </c>
    </row>
    <row r="1702" spans="2:3" x14ac:dyDescent="0.3">
      <c r="B1702" t="s">
        <v>2421</v>
      </c>
      <c r="C1702" t="s">
        <v>4923</v>
      </c>
    </row>
    <row r="1703" spans="2:3" x14ac:dyDescent="0.3">
      <c r="B1703" t="s">
        <v>5333</v>
      </c>
      <c r="C1703" t="s">
        <v>5334</v>
      </c>
    </row>
    <row r="1704" spans="2:3" x14ac:dyDescent="0.3">
      <c r="B1704" t="s">
        <v>4924</v>
      </c>
      <c r="C1704" t="s">
        <v>4925</v>
      </c>
    </row>
    <row r="1705" spans="2:3" x14ac:dyDescent="0.3">
      <c r="B1705" t="s">
        <v>5442</v>
      </c>
      <c r="C1705" t="s">
        <v>5443</v>
      </c>
    </row>
    <row r="1706" spans="2:3" x14ac:dyDescent="0.3">
      <c r="B1706" t="s">
        <v>2423</v>
      </c>
      <c r="C1706" t="s">
        <v>4926</v>
      </c>
    </row>
    <row r="1707" spans="2:3" x14ac:dyDescent="0.3">
      <c r="B1707" t="s">
        <v>2425</v>
      </c>
      <c r="C1707" t="s">
        <v>4927</v>
      </c>
    </row>
    <row r="1708" spans="2:3" x14ac:dyDescent="0.3">
      <c r="B1708" t="s">
        <v>5458</v>
      </c>
      <c r="C1708" t="s">
        <v>5459</v>
      </c>
    </row>
    <row r="1709" spans="2:3" x14ac:dyDescent="0.3">
      <c r="B1709" t="s">
        <v>2427</v>
      </c>
      <c r="C1709" t="s">
        <v>4928</v>
      </c>
    </row>
    <row r="1710" spans="2:3" x14ac:dyDescent="0.3">
      <c r="B1710" t="s">
        <v>2429</v>
      </c>
      <c r="C1710" t="s">
        <v>4929</v>
      </c>
    </row>
    <row r="1711" spans="2:3" x14ac:dyDescent="0.3">
      <c r="B1711" t="s">
        <v>4930</v>
      </c>
      <c r="C1711" t="s">
        <v>4931</v>
      </c>
    </row>
    <row r="1712" spans="2:3" x14ac:dyDescent="0.3">
      <c r="B1712" t="s">
        <v>2431</v>
      </c>
      <c r="C1712" t="s">
        <v>4932</v>
      </c>
    </row>
    <row r="1713" spans="2:3" x14ac:dyDescent="0.3">
      <c r="B1713" t="s">
        <v>2433</v>
      </c>
      <c r="C1713" t="s">
        <v>4933</v>
      </c>
    </row>
    <row r="1714" spans="2:3" x14ac:dyDescent="0.3">
      <c r="B1714" t="s">
        <v>2437</v>
      </c>
      <c r="C1714" t="s">
        <v>4934</v>
      </c>
    </row>
    <row r="1715" spans="2:3" x14ac:dyDescent="0.3">
      <c r="B1715" t="s">
        <v>2439</v>
      </c>
      <c r="C1715" t="s">
        <v>4935</v>
      </c>
    </row>
    <row r="1716" spans="2:3" x14ac:dyDescent="0.3">
      <c r="B1716" t="s">
        <v>2441</v>
      </c>
      <c r="C1716" t="s">
        <v>4936</v>
      </c>
    </row>
    <row r="1717" spans="2:3" x14ac:dyDescent="0.3">
      <c r="B1717" t="s">
        <v>2443</v>
      </c>
      <c r="C1717" t="s">
        <v>4937</v>
      </c>
    </row>
    <row r="1718" spans="2:3" x14ac:dyDescent="0.3">
      <c r="B1718" t="s">
        <v>4938</v>
      </c>
      <c r="C1718" t="s">
        <v>4939</v>
      </c>
    </row>
    <row r="1719" spans="2:3" x14ac:dyDescent="0.3">
      <c r="B1719" t="s">
        <v>2445</v>
      </c>
      <c r="C1719" t="s">
        <v>4940</v>
      </c>
    </row>
    <row r="1720" spans="2:3" x14ac:dyDescent="0.3">
      <c r="B1720" t="s">
        <v>2447</v>
      </c>
      <c r="C1720" t="s">
        <v>4941</v>
      </c>
    </row>
    <row r="1721" spans="2:3" x14ac:dyDescent="0.3">
      <c r="B1721" t="s">
        <v>2449</v>
      </c>
      <c r="C1721" t="s">
        <v>4942</v>
      </c>
    </row>
    <row r="1722" spans="2:3" x14ac:dyDescent="0.3">
      <c r="B1722" t="s">
        <v>2451</v>
      </c>
      <c r="C1722" t="s">
        <v>4943</v>
      </c>
    </row>
    <row r="1723" spans="2:3" x14ac:dyDescent="0.3">
      <c r="B1723" t="s">
        <v>2453</v>
      </c>
      <c r="C1723" t="s">
        <v>4944</v>
      </c>
    </row>
    <row r="1724" spans="2:3" x14ac:dyDescent="0.3">
      <c r="B1724" t="s">
        <v>2455</v>
      </c>
      <c r="C1724" t="s">
        <v>4945</v>
      </c>
    </row>
    <row r="1725" spans="2:3" x14ac:dyDescent="0.3">
      <c r="B1725" t="s">
        <v>5410</v>
      </c>
      <c r="C1725" t="s">
        <v>5411</v>
      </c>
    </row>
    <row r="1726" spans="2:3" x14ac:dyDescent="0.3">
      <c r="B1726" t="s">
        <v>4946</v>
      </c>
      <c r="C1726" t="s">
        <v>4947</v>
      </c>
    </row>
    <row r="1727" spans="2:3" x14ac:dyDescent="0.3">
      <c r="B1727" t="s">
        <v>2457</v>
      </c>
      <c r="C1727" t="s">
        <v>4948</v>
      </c>
    </row>
    <row r="1728" spans="2:3" x14ac:dyDescent="0.3">
      <c r="B1728" t="s">
        <v>2459</v>
      </c>
      <c r="C1728" t="s">
        <v>4949</v>
      </c>
    </row>
    <row r="1729" spans="2:3" x14ac:dyDescent="0.3">
      <c r="B1729" t="s">
        <v>2461</v>
      </c>
      <c r="C1729" t="s">
        <v>4950</v>
      </c>
    </row>
    <row r="1730" spans="2:3" x14ac:dyDescent="0.3">
      <c r="B1730" t="s">
        <v>2463</v>
      </c>
      <c r="C1730" t="s">
        <v>4951</v>
      </c>
    </row>
    <row r="1731" spans="2:3" x14ac:dyDescent="0.3">
      <c r="B1731" t="s">
        <v>2465</v>
      </c>
      <c r="C1731" t="s">
        <v>4952</v>
      </c>
    </row>
    <row r="1732" spans="2:3" x14ac:dyDescent="0.3">
      <c r="B1732" t="s">
        <v>2467</v>
      </c>
      <c r="C1732" t="s">
        <v>4953</v>
      </c>
    </row>
    <row r="1733" spans="2:3" x14ac:dyDescent="0.3">
      <c r="B1733" t="s">
        <v>2469</v>
      </c>
      <c r="C1733" t="s">
        <v>4954</v>
      </c>
    </row>
    <row r="1734" spans="2:3" x14ac:dyDescent="0.3">
      <c r="B1734" t="s">
        <v>2471</v>
      </c>
      <c r="C1734" t="s">
        <v>4955</v>
      </c>
    </row>
    <row r="1735" spans="2:3" x14ac:dyDescent="0.3">
      <c r="B1735" t="s">
        <v>4956</v>
      </c>
      <c r="C1735" t="s">
        <v>4957</v>
      </c>
    </row>
    <row r="1736" spans="2:3" x14ac:dyDescent="0.3">
      <c r="B1736" t="s">
        <v>2473</v>
      </c>
      <c r="C1736" t="s">
        <v>4958</v>
      </c>
    </row>
    <row r="1737" spans="2:3" x14ac:dyDescent="0.3">
      <c r="B1737" t="s">
        <v>2475</v>
      </c>
      <c r="C1737" t="s">
        <v>4959</v>
      </c>
    </row>
    <row r="1738" spans="2:3" x14ac:dyDescent="0.3">
      <c r="B1738" t="s">
        <v>4960</v>
      </c>
      <c r="C1738" t="s">
        <v>4961</v>
      </c>
    </row>
    <row r="1739" spans="2:3" x14ac:dyDescent="0.3">
      <c r="B1739" t="s">
        <v>2479</v>
      </c>
      <c r="C1739" t="s">
        <v>4962</v>
      </c>
    </row>
    <row r="1740" spans="2:3" x14ac:dyDescent="0.3">
      <c r="B1740" t="s">
        <v>2482</v>
      </c>
      <c r="C1740" t="s">
        <v>4963</v>
      </c>
    </row>
    <row r="1741" spans="2:3" x14ac:dyDescent="0.3">
      <c r="B1741" t="s">
        <v>2484</v>
      </c>
      <c r="C1741" t="s">
        <v>4964</v>
      </c>
    </row>
    <row r="1742" spans="2:3" x14ac:dyDescent="0.3">
      <c r="B1742" t="s">
        <v>2486</v>
      </c>
      <c r="C1742" t="s">
        <v>4965</v>
      </c>
    </row>
    <row r="1743" spans="2:3" x14ac:dyDescent="0.3">
      <c r="B1743" t="s">
        <v>2488</v>
      </c>
      <c r="C1743" t="s">
        <v>4966</v>
      </c>
    </row>
    <row r="1744" spans="2:3" x14ac:dyDescent="0.3">
      <c r="B1744" t="s">
        <v>4967</v>
      </c>
      <c r="C1744" t="s">
        <v>4968</v>
      </c>
    </row>
    <row r="1745" spans="2:3" x14ac:dyDescent="0.3">
      <c r="B1745" t="s">
        <v>2492</v>
      </c>
      <c r="C1745" t="s">
        <v>4969</v>
      </c>
    </row>
    <row r="1746" spans="2:3" x14ac:dyDescent="0.3">
      <c r="B1746" t="s">
        <v>2494</v>
      </c>
      <c r="C1746" t="s">
        <v>4970</v>
      </c>
    </row>
    <row r="1747" spans="2:3" x14ac:dyDescent="0.3">
      <c r="B1747" t="s">
        <v>2496</v>
      </c>
      <c r="C1747" t="s">
        <v>4971</v>
      </c>
    </row>
    <row r="1748" spans="2:3" x14ac:dyDescent="0.3">
      <c r="B1748" t="s">
        <v>4972</v>
      </c>
      <c r="C1748" t="s">
        <v>4973</v>
      </c>
    </row>
    <row r="1749" spans="2:3" x14ac:dyDescent="0.3">
      <c r="B1749" t="s">
        <v>2498</v>
      </c>
      <c r="C1749" t="s">
        <v>4974</v>
      </c>
    </row>
    <row r="1750" spans="2:3" x14ac:dyDescent="0.3">
      <c r="B1750" t="s">
        <v>2500</v>
      </c>
      <c r="C1750" t="s">
        <v>4975</v>
      </c>
    </row>
    <row r="1751" spans="2:3" x14ac:dyDescent="0.3">
      <c r="B1751" t="s">
        <v>2502</v>
      </c>
      <c r="C1751" t="s">
        <v>4976</v>
      </c>
    </row>
    <row r="1752" spans="2:3" x14ac:dyDescent="0.3">
      <c r="B1752" t="s">
        <v>4977</v>
      </c>
      <c r="C1752" t="s">
        <v>4978</v>
      </c>
    </row>
    <row r="1753" spans="2:3" x14ac:dyDescent="0.3">
      <c r="B1753" t="s">
        <v>2504</v>
      </c>
      <c r="C1753" t="s">
        <v>4979</v>
      </c>
    </row>
    <row r="1754" spans="2:3" x14ac:dyDescent="0.3">
      <c r="B1754" t="s">
        <v>2506</v>
      </c>
      <c r="C1754" t="s">
        <v>4980</v>
      </c>
    </row>
    <row r="1755" spans="2:3" x14ac:dyDescent="0.3">
      <c r="B1755" t="s">
        <v>2510</v>
      </c>
      <c r="C1755" t="s">
        <v>4981</v>
      </c>
    </row>
    <row r="1756" spans="2:3" x14ac:dyDescent="0.3">
      <c r="B1756" t="s">
        <v>2512</v>
      </c>
      <c r="C1756" t="s">
        <v>4982</v>
      </c>
    </row>
    <row r="1757" spans="2:3" x14ac:dyDescent="0.3">
      <c r="B1757" t="s">
        <v>2514</v>
      </c>
      <c r="C1757" t="s">
        <v>4983</v>
      </c>
    </row>
    <row r="1758" spans="2:3" x14ac:dyDescent="0.3">
      <c r="B1758" t="s">
        <v>2516</v>
      </c>
      <c r="C1758" t="s">
        <v>4984</v>
      </c>
    </row>
    <row r="1759" spans="2:3" x14ac:dyDescent="0.3">
      <c r="B1759" t="s">
        <v>2518</v>
      </c>
      <c r="C1759" t="s">
        <v>4985</v>
      </c>
    </row>
    <row r="1760" spans="2:3" x14ac:dyDescent="0.3">
      <c r="B1760" t="s">
        <v>2522</v>
      </c>
      <c r="C1760" t="s">
        <v>4986</v>
      </c>
    </row>
    <row r="1761" spans="2:3" x14ac:dyDescent="0.3">
      <c r="B1761" t="s">
        <v>2524</v>
      </c>
      <c r="C1761" t="s">
        <v>4987</v>
      </c>
    </row>
    <row r="1762" spans="2:3" x14ac:dyDescent="0.3">
      <c r="B1762" t="s">
        <v>2526</v>
      </c>
      <c r="C1762" t="s">
        <v>4988</v>
      </c>
    </row>
    <row r="1763" spans="2:3" x14ac:dyDescent="0.3">
      <c r="B1763" t="s">
        <v>4989</v>
      </c>
      <c r="C1763" t="s">
        <v>4990</v>
      </c>
    </row>
    <row r="1764" spans="2:3" x14ac:dyDescent="0.3">
      <c r="B1764" t="s">
        <v>4991</v>
      </c>
      <c r="C1764" t="s">
        <v>4992</v>
      </c>
    </row>
    <row r="1765" spans="2:3" x14ac:dyDescent="0.3">
      <c r="B1765" t="s">
        <v>2528</v>
      </c>
      <c r="C1765" t="s">
        <v>4993</v>
      </c>
    </row>
    <row r="1766" spans="2:3" x14ac:dyDescent="0.3">
      <c r="B1766" t="s">
        <v>2530</v>
      </c>
      <c r="C1766" t="s">
        <v>4994</v>
      </c>
    </row>
    <row r="1767" spans="2:3" x14ac:dyDescent="0.3">
      <c r="B1767" t="s">
        <v>4995</v>
      </c>
      <c r="C1767" t="s">
        <v>4996</v>
      </c>
    </row>
    <row r="1768" spans="2:3" x14ac:dyDescent="0.3">
      <c r="B1768" t="s">
        <v>2532</v>
      </c>
      <c r="C1768" t="s">
        <v>4997</v>
      </c>
    </row>
    <row r="1769" spans="2:3" x14ac:dyDescent="0.3">
      <c r="B1769" t="s">
        <v>4998</v>
      </c>
      <c r="C1769" t="s">
        <v>4999</v>
      </c>
    </row>
    <row r="1770" spans="2:3" x14ac:dyDescent="0.3">
      <c r="B1770" t="s">
        <v>2534</v>
      </c>
      <c r="C1770" t="s">
        <v>5000</v>
      </c>
    </row>
    <row r="1771" spans="2:3" x14ac:dyDescent="0.3">
      <c r="B1771" t="s">
        <v>2536</v>
      </c>
      <c r="C1771" t="s">
        <v>5001</v>
      </c>
    </row>
    <row r="1772" spans="2:3" x14ac:dyDescent="0.3">
      <c r="B1772" t="s">
        <v>2538</v>
      </c>
      <c r="C1772" t="s">
        <v>5002</v>
      </c>
    </row>
    <row r="1773" spans="2:3" x14ac:dyDescent="0.3">
      <c r="B1773" t="s">
        <v>2540</v>
      </c>
      <c r="C1773" t="s">
        <v>5003</v>
      </c>
    </row>
    <row r="1774" spans="2:3" x14ac:dyDescent="0.3">
      <c r="B1774" t="s">
        <v>2542</v>
      </c>
      <c r="C1774" t="s">
        <v>5004</v>
      </c>
    </row>
    <row r="1775" spans="2:3" x14ac:dyDescent="0.3">
      <c r="B1775" t="s">
        <v>2819</v>
      </c>
      <c r="C1775" t="s">
        <v>5005</v>
      </c>
    </row>
    <row r="1776" spans="2:3" x14ac:dyDescent="0.3">
      <c r="B1776" t="s">
        <v>2544</v>
      </c>
      <c r="C1776" t="s">
        <v>5006</v>
      </c>
    </row>
    <row r="1777" spans="2:3" x14ac:dyDescent="0.3">
      <c r="B1777" t="s">
        <v>2546</v>
      </c>
      <c r="C1777" t="s">
        <v>5007</v>
      </c>
    </row>
    <row r="1778" spans="2:3" x14ac:dyDescent="0.3">
      <c r="B1778" t="s">
        <v>2548</v>
      </c>
      <c r="C1778" t="s">
        <v>5008</v>
      </c>
    </row>
    <row r="1779" spans="2:3" x14ac:dyDescent="0.3">
      <c r="B1779" t="s">
        <v>5009</v>
      </c>
      <c r="C1779" t="s">
        <v>5010</v>
      </c>
    </row>
    <row r="1780" spans="2:3" x14ac:dyDescent="0.3">
      <c r="B1780" t="s">
        <v>5011</v>
      </c>
      <c r="C1780" t="s">
        <v>5012</v>
      </c>
    </row>
    <row r="1781" spans="2:3" x14ac:dyDescent="0.3">
      <c r="B1781" t="s">
        <v>5013</v>
      </c>
      <c r="C1781" t="s">
        <v>5014</v>
      </c>
    </row>
    <row r="1782" spans="2:3" x14ac:dyDescent="0.3">
      <c r="B1782" t="s">
        <v>5500</v>
      </c>
      <c r="C1782" t="s">
        <v>5015</v>
      </c>
    </row>
    <row r="1783" spans="2:3" x14ac:dyDescent="0.3">
      <c r="B1783" t="s">
        <v>2551</v>
      </c>
      <c r="C1783" t="s">
        <v>5016</v>
      </c>
    </row>
    <row r="1784" spans="2:3" x14ac:dyDescent="0.3">
      <c r="B1784" t="s">
        <v>5017</v>
      </c>
      <c r="C1784" t="s">
        <v>5018</v>
      </c>
    </row>
    <row r="1785" spans="2:3" x14ac:dyDescent="0.3">
      <c r="B1785" t="s">
        <v>2553</v>
      </c>
      <c r="C1785" t="s">
        <v>5019</v>
      </c>
    </row>
    <row r="1786" spans="2:3" x14ac:dyDescent="0.3">
      <c r="B1786" t="s">
        <v>5020</v>
      </c>
      <c r="C1786" t="s">
        <v>5021</v>
      </c>
    </row>
    <row r="1787" spans="2:3" x14ac:dyDescent="0.3">
      <c r="B1787" t="s">
        <v>2557</v>
      </c>
      <c r="C1787" t="s">
        <v>5022</v>
      </c>
    </row>
    <row r="1788" spans="2:3" x14ac:dyDescent="0.3">
      <c r="B1788" t="s">
        <v>5023</v>
      </c>
      <c r="C1788" t="s">
        <v>5024</v>
      </c>
    </row>
    <row r="1789" spans="2:3" x14ac:dyDescent="0.3">
      <c r="B1789" t="s">
        <v>2559</v>
      </c>
      <c r="C1789" t="s">
        <v>5025</v>
      </c>
    </row>
    <row r="1790" spans="2:3" x14ac:dyDescent="0.3">
      <c r="B1790" t="s">
        <v>2561</v>
      </c>
      <c r="C1790" t="s">
        <v>5026</v>
      </c>
    </row>
    <row r="1791" spans="2:3" x14ac:dyDescent="0.3">
      <c r="B1791" t="s">
        <v>5027</v>
      </c>
      <c r="C1791" t="s">
        <v>5028</v>
      </c>
    </row>
    <row r="1792" spans="2:3" x14ac:dyDescent="0.3">
      <c r="B1792" t="s">
        <v>2563</v>
      </c>
      <c r="C1792" t="s">
        <v>5029</v>
      </c>
    </row>
    <row r="1793" spans="2:3" x14ac:dyDescent="0.3">
      <c r="B1793" t="s">
        <v>2565</v>
      </c>
      <c r="C1793" t="s">
        <v>5030</v>
      </c>
    </row>
    <row r="1794" spans="2:3" x14ac:dyDescent="0.3">
      <c r="B1794" t="s">
        <v>5438</v>
      </c>
      <c r="C1794" t="s">
        <v>5439</v>
      </c>
    </row>
    <row r="1795" spans="2:3" x14ac:dyDescent="0.3">
      <c r="B1795" t="s">
        <v>2567</v>
      </c>
      <c r="C1795" t="s">
        <v>5031</v>
      </c>
    </row>
    <row r="1796" spans="2:3" x14ac:dyDescent="0.3">
      <c r="B1796" t="s">
        <v>2569</v>
      </c>
      <c r="C1796" t="s">
        <v>5032</v>
      </c>
    </row>
    <row r="1797" spans="2:3" x14ac:dyDescent="0.3">
      <c r="B1797" t="s">
        <v>2571</v>
      </c>
      <c r="C1797" t="s">
        <v>5033</v>
      </c>
    </row>
    <row r="1798" spans="2:3" x14ac:dyDescent="0.3">
      <c r="B1798" t="s">
        <v>2573</v>
      </c>
      <c r="C1798" t="s">
        <v>5034</v>
      </c>
    </row>
    <row r="1799" spans="2:3" x14ac:dyDescent="0.3">
      <c r="B1799" t="s">
        <v>5035</v>
      </c>
      <c r="C1799" t="s">
        <v>5036</v>
      </c>
    </row>
    <row r="1800" spans="2:3" x14ac:dyDescent="0.3">
      <c r="B1800" t="s">
        <v>2575</v>
      </c>
      <c r="C1800" t="s">
        <v>5037</v>
      </c>
    </row>
    <row r="1801" spans="2:3" x14ac:dyDescent="0.3">
      <c r="B1801" t="s">
        <v>5038</v>
      </c>
      <c r="C1801" t="s">
        <v>5039</v>
      </c>
    </row>
    <row r="1802" spans="2:3" x14ac:dyDescent="0.3">
      <c r="B1802" t="s">
        <v>5040</v>
      </c>
      <c r="C1802" t="s">
        <v>5041</v>
      </c>
    </row>
    <row r="1803" spans="2:3" x14ac:dyDescent="0.3">
      <c r="B1803" t="s">
        <v>2577</v>
      </c>
      <c r="C1803" t="s">
        <v>5042</v>
      </c>
    </row>
    <row r="1804" spans="2:3" x14ac:dyDescent="0.3">
      <c r="B1804" t="s">
        <v>2579</v>
      </c>
      <c r="C1804" t="s">
        <v>5043</v>
      </c>
    </row>
    <row r="1805" spans="2:3" x14ac:dyDescent="0.3">
      <c r="B1805" t="s">
        <v>2581</v>
      </c>
      <c r="C1805" t="s">
        <v>5044</v>
      </c>
    </row>
    <row r="1806" spans="2:3" x14ac:dyDescent="0.3">
      <c r="B1806" t="s">
        <v>2583</v>
      </c>
      <c r="C1806" t="s">
        <v>5045</v>
      </c>
    </row>
    <row r="1807" spans="2:3" x14ac:dyDescent="0.3">
      <c r="B1807" t="s">
        <v>5046</v>
      </c>
      <c r="C1807" t="s">
        <v>5047</v>
      </c>
    </row>
    <row r="1808" spans="2:3" x14ac:dyDescent="0.3">
      <c r="B1808" t="s">
        <v>2585</v>
      </c>
      <c r="C1808" t="s">
        <v>5048</v>
      </c>
    </row>
    <row r="1809" spans="2:3" x14ac:dyDescent="0.3">
      <c r="B1809" t="s">
        <v>2587</v>
      </c>
      <c r="C1809" t="s">
        <v>5049</v>
      </c>
    </row>
    <row r="1810" spans="2:3" x14ac:dyDescent="0.3">
      <c r="B1810" t="s">
        <v>2589</v>
      </c>
      <c r="C1810" t="s">
        <v>5050</v>
      </c>
    </row>
    <row r="1811" spans="2:3" x14ac:dyDescent="0.3">
      <c r="B1811" t="s">
        <v>2591</v>
      </c>
      <c r="C1811" t="s">
        <v>5051</v>
      </c>
    </row>
    <row r="1812" spans="2:3" x14ac:dyDescent="0.3">
      <c r="B1812" t="s">
        <v>2593</v>
      </c>
      <c r="C1812" t="s">
        <v>5052</v>
      </c>
    </row>
    <row r="1813" spans="2:3" x14ac:dyDescent="0.3">
      <c r="B1813" t="s">
        <v>5053</v>
      </c>
      <c r="C1813" t="s">
        <v>5054</v>
      </c>
    </row>
    <row r="1814" spans="2:3" x14ac:dyDescent="0.3">
      <c r="B1814" t="s">
        <v>2595</v>
      </c>
      <c r="C1814" t="s">
        <v>5055</v>
      </c>
    </row>
    <row r="1815" spans="2:3" x14ac:dyDescent="0.3">
      <c r="B1815" t="s">
        <v>2597</v>
      </c>
      <c r="C1815" t="s">
        <v>5056</v>
      </c>
    </row>
    <row r="1816" spans="2:3" x14ac:dyDescent="0.3">
      <c r="B1816" t="s">
        <v>5057</v>
      </c>
      <c r="C1816" t="s">
        <v>5058</v>
      </c>
    </row>
    <row r="1817" spans="2:3" x14ac:dyDescent="0.3">
      <c r="B1817" t="s">
        <v>5059</v>
      </c>
      <c r="C1817" t="s">
        <v>5060</v>
      </c>
    </row>
    <row r="1818" spans="2:3" x14ac:dyDescent="0.3">
      <c r="B1818" t="s">
        <v>5061</v>
      </c>
      <c r="C1818" t="s">
        <v>5062</v>
      </c>
    </row>
    <row r="1819" spans="2:3" x14ac:dyDescent="0.3">
      <c r="B1819" t="s">
        <v>2599</v>
      </c>
      <c r="C1819" t="s">
        <v>5063</v>
      </c>
    </row>
    <row r="1820" spans="2:3" x14ac:dyDescent="0.3">
      <c r="B1820" t="s">
        <v>2601</v>
      </c>
      <c r="C1820" t="s">
        <v>5064</v>
      </c>
    </row>
    <row r="1821" spans="2:3" x14ac:dyDescent="0.3">
      <c r="B1821" t="s">
        <v>2603</v>
      </c>
      <c r="C1821" t="s">
        <v>5065</v>
      </c>
    </row>
    <row r="1822" spans="2:3" x14ac:dyDescent="0.3">
      <c r="B1822" t="s">
        <v>5066</v>
      </c>
      <c r="C1822" t="s">
        <v>5067</v>
      </c>
    </row>
    <row r="1823" spans="2:3" x14ac:dyDescent="0.3">
      <c r="B1823" t="s">
        <v>2605</v>
      </c>
      <c r="C1823" t="s">
        <v>5068</v>
      </c>
    </row>
    <row r="1824" spans="2:3" x14ac:dyDescent="0.3">
      <c r="B1824" t="s">
        <v>2605</v>
      </c>
      <c r="C1824" t="s">
        <v>5069</v>
      </c>
    </row>
    <row r="1825" spans="2:3" x14ac:dyDescent="0.3">
      <c r="B1825" t="s">
        <v>2607</v>
      </c>
      <c r="C1825" t="s">
        <v>5070</v>
      </c>
    </row>
    <row r="1826" spans="2:3" x14ac:dyDescent="0.3">
      <c r="B1826" t="s">
        <v>5071</v>
      </c>
      <c r="C1826" t="s">
        <v>5072</v>
      </c>
    </row>
    <row r="1827" spans="2:3" x14ac:dyDescent="0.3">
      <c r="B1827" t="s">
        <v>5073</v>
      </c>
      <c r="C1827" t="s">
        <v>5074</v>
      </c>
    </row>
    <row r="1828" spans="2:3" x14ac:dyDescent="0.3">
      <c r="B1828" t="s">
        <v>5075</v>
      </c>
      <c r="C1828" t="s">
        <v>5076</v>
      </c>
    </row>
    <row r="1829" spans="2:3" x14ac:dyDescent="0.3">
      <c r="B1829" t="s">
        <v>5077</v>
      </c>
      <c r="C1829" t="s">
        <v>5078</v>
      </c>
    </row>
    <row r="1830" spans="2:3" x14ac:dyDescent="0.3">
      <c r="B1830" t="s">
        <v>5079</v>
      </c>
      <c r="C1830" t="s">
        <v>5080</v>
      </c>
    </row>
    <row r="1831" spans="2:3" x14ac:dyDescent="0.3">
      <c r="B1831" t="s">
        <v>5081</v>
      </c>
      <c r="C1831" t="s">
        <v>5082</v>
      </c>
    </row>
    <row r="1832" spans="2:3" x14ac:dyDescent="0.3">
      <c r="B1832" t="s">
        <v>5083</v>
      </c>
      <c r="C1832" t="s">
        <v>5084</v>
      </c>
    </row>
    <row r="1833" spans="2:3" x14ac:dyDescent="0.3">
      <c r="B1833" t="s">
        <v>2609</v>
      </c>
      <c r="C1833" t="s">
        <v>5085</v>
      </c>
    </row>
    <row r="1834" spans="2:3" x14ac:dyDescent="0.3">
      <c r="B1834" t="s">
        <v>5086</v>
      </c>
      <c r="C1834" t="s">
        <v>5087</v>
      </c>
    </row>
    <row r="1835" spans="2:3" x14ac:dyDescent="0.3">
      <c r="B1835" t="s">
        <v>2611</v>
      </c>
      <c r="C1835" t="s">
        <v>5088</v>
      </c>
    </row>
    <row r="1836" spans="2:3" x14ac:dyDescent="0.3">
      <c r="B1836" t="s">
        <v>5089</v>
      </c>
      <c r="C1836" t="s">
        <v>5090</v>
      </c>
    </row>
    <row r="1837" spans="2:3" x14ac:dyDescent="0.3">
      <c r="B1837" t="s">
        <v>5091</v>
      </c>
      <c r="C1837" t="s">
        <v>5092</v>
      </c>
    </row>
    <row r="1838" spans="2:3" x14ac:dyDescent="0.3">
      <c r="B1838" t="s">
        <v>2613</v>
      </c>
      <c r="C1838" t="s">
        <v>5093</v>
      </c>
    </row>
    <row r="1839" spans="2:3" x14ac:dyDescent="0.3">
      <c r="B1839" t="s">
        <v>5094</v>
      </c>
      <c r="C1839" t="s">
        <v>5095</v>
      </c>
    </row>
    <row r="1840" spans="2:3" x14ac:dyDescent="0.3">
      <c r="B1840" t="s">
        <v>2615</v>
      </c>
      <c r="C1840" t="s">
        <v>5096</v>
      </c>
    </row>
    <row r="1841" spans="2:3" x14ac:dyDescent="0.3">
      <c r="B1841" t="s">
        <v>5097</v>
      </c>
      <c r="C1841" t="s">
        <v>5098</v>
      </c>
    </row>
    <row r="1842" spans="2:3" x14ac:dyDescent="0.3">
      <c r="B1842" t="s">
        <v>5327</v>
      </c>
      <c r="C1842" t="s">
        <v>5328</v>
      </c>
    </row>
    <row r="1843" spans="2:3" x14ac:dyDescent="0.3">
      <c r="B1843" t="s">
        <v>2616</v>
      </c>
      <c r="C1843" t="s">
        <v>5099</v>
      </c>
    </row>
    <row r="1844" spans="2:3" x14ac:dyDescent="0.3">
      <c r="B1844" t="s">
        <v>2618</v>
      </c>
      <c r="C1844" t="s">
        <v>5100</v>
      </c>
    </row>
    <row r="1845" spans="2:3" x14ac:dyDescent="0.3">
      <c r="B1845" t="s">
        <v>5101</v>
      </c>
      <c r="C1845" t="s">
        <v>5102</v>
      </c>
    </row>
    <row r="1846" spans="2:3" x14ac:dyDescent="0.3">
      <c r="B1846" t="s">
        <v>5103</v>
      </c>
      <c r="C1846" t="s">
        <v>5104</v>
      </c>
    </row>
    <row r="1847" spans="2:3" x14ac:dyDescent="0.3">
      <c r="B1847" t="s">
        <v>2620</v>
      </c>
      <c r="C1847" t="s">
        <v>5105</v>
      </c>
    </row>
    <row r="1848" spans="2:3" x14ac:dyDescent="0.3">
      <c r="B1848" t="s">
        <v>2622</v>
      </c>
      <c r="C1848" t="s">
        <v>5106</v>
      </c>
    </row>
    <row r="1849" spans="2:3" x14ac:dyDescent="0.3">
      <c r="B1849" t="s">
        <v>2624</v>
      </c>
      <c r="C1849" t="s">
        <v>5107</v>
      </c>
    </row>
    <row r="1850" spans="2:3" x14ac:dyDescent="0.3">
      <c r="B1850" t="s">
        <v>2626</v>
      </c>
      <c r="C1850" t="s">
        <v>5108</v>
      </c>
    </row>
    <row r="1851" spans="2:3" x14ac:dyDescent="0.3">
      <c r="B1851" t="s">
        <v>2628</v>
      </c>
      <c r="C1851" t="s">
        <v>5109</v>
      </c>
    </row>
    <row r="1852" spans="2:3" x14ac:dyDescent="0.3">
      <c r="B1852" t="s">
        <v>2630</v>
      </c>
      <c r="C1852" t="s">
        <v>5110</v>
      </c>
    </row>
    <row r="1853" spans="2:3" x14ac:dyDescent="0.3">
      <c r="B1853" t="s">
        <v>2632</v>
      </c>
      <c r="C1853" t="s">
        <v>5111</v>
      </c>
    </row>
    <row r="1854" spans="2:3" x14ac:dyDescent="0.3">
      <c r="B1854" t="s">
        <v>2634</v>
      </c>
      <c r="C1854" t="s">
        <v>5112</v>
      </c>
    </row>
    <row r="1855" spans="2:3" x14ac:dyDescent="0.3">
      <c r="B1855" t="s">
        <v>5347</v>
      </c>
      <c r="C1855" t="s">
        <v>5348</v>
      </c>
    </row>
    <row r="1856" spans="2:3" x14ac:dyDescent="0.3">
      <c r="B1856" t="s">
        <v>2636</v>
      </c>
      <c r="C1856" t="s">
        <v>5113</v>
      </c>
    </row>
    <row r="1857" spans="2:3" x14ac:dyDescent="0.3">
      <c r="B1857" t="s">
        <v>2638</v>
      </c>
      <c r="C1857" t="s">
        <v>5114</v>
      </c>
    </row>
    <row r="1858" spans="2:3" x14ac:dyDescent="0.3">
      <c r="B1858" t="s">
        <v>5115</v>
      </c>
      <c r="C1858" t="s">
        <v>5116</v>
      </c>
    </row>
    <row r="1859" spans="2:3" x14ac:dyDescent="0.3">
      <c r="B1859" t="s">
        <v>5117</v>
      </c>
      <c r="C1859" t="s">
        <v>5118</v>
      </c>
    </row>
    <row r="1860" spans="2:3" x14ac:dyDescent="0.3">
      <c r="B1860" t="s">
        <v>2640</v>
      </c>
      <c r="C1860" t="s">
        <v>5119</v>
      </c>
    </row>
    <row r="1861" spans="2:3" x14ac:dyDescent="0.3">
      <c r="B1861" t="s">
        <v>5120</v>
      </c>
      <c r="C1861" t="s">
        <v>5121</v>
      </c>
    </row>
    <row r="1862" spans="2:3" x14ac:dyDescent="0.3">
      <c r="B1862" t="s">
        <v>2642</v>
      </c>
      <c r="C1862" t="s">
        <v>5122</v>
      </c>
    </row>
    <row r="1863" spans="2:3" x14ac:dyDescent="0.3">
      <c r="B1863" t="s">
        <v>5123</v>
      </c>
      <c r="C1863" t="s">
        <v>5124</v>
      </c>
    </row>
    <row r="1864" spans="2:3" x14ac:dyDescent="0.3">
      <c r="B1864" t="s">
        <v>2644</v>
      </c>
      <c r="C1864" t="s">
        <v>5125</v>
      </c>
    </row>
    <row r="1865" spans="2:3" x14ac:dyDescent="0.3">
      <c r="B1865" t="s">
        <v>2646</v>
      </c>
      <c r="C1865" t="s">
        <v>5126</v>
      </c>
    </row>
    <row r="1866" spans="2:3" x14ac:dyDescent="0.3">
      <c r="B1866" t="s">
        <v>5127</v>
      </c>
      <c r="C1866" t="s">
        <v>5128</v>
      </c>
    </row>
    <row r="1867" spans="2:3" x14ac:dyDescent="0.3">
      <c r="B1867" t="s">
        <v>2648</v>
      </c>
      <c r="C1867" t="s">
        <v>5129</v>
      </c>
    </row>
    <row r="1868" spans="2:3" x14ac:dyDescent="0.3">
      <c r="B1868" t="s">
        <v>2650</v>
      </c>
      <c r="C1868" t="s">
        <v>5130</v>
      </c>
    </row>
    <row r="1869" spans="2:3" x14ac:dyDescent="0.3">
      <c r="B1869" t="s">
        <v>2652</v>
      </c>
      <c r="C1869" t="s">
        <v>5131</v>
      </c>
    </row>
    <row r="1870" spans="2:3" x14ac:dyDescent="0.3">
      <c r="B1870" t="s">
        <v>5132</v>
      </c>
      <c r="C1870" t="s">
        <v>5133</v>
      </c>
    </row>
    <row r="1871" spans="2:3" x14ac:dyDescent="0.3">
      <c r="B1871" t="s">
        <v>2654</v>
      </c>
      <c r="C1871" t="s">
        <v>5134</v>
      </c>
    </row>
    <row r="1872" spans="2:3" x14ac:dyDescent="0.3">
      <c r="B1872" t="s">
        <v>2656</v>
      </c>
      <c r="C1872" t="s">
        <v>5135</v>
      </c>
    </row>
    <row r="1873" spans="2:3" x14ac:dyDescent="0.3">
      <c r="B1873" t="s">
        <v>5136</v>
      </c>
      <c r="C1873" t="s">
        <v>5137</v>
      </c>
    </row>
    <row r="1874" spans="2:3" x14ac:dyDescent="0.3">
      <c r="B1874" t="s">
        <v>2658</v>
      </c>
      <c r="C1874" t="s">
        <v>5138</v>
      </c>
    </row>
    <row r="1875" spans="2:3" x14ac:dyDescent="0.3">
      <c r="B1875" t="s">
        <v>2660</v>
      </c>
      <c r="C1875" t="s">
        <v>5139</v>
      </c>
    </row>
    <row r="1876" spans="2:3" x14ac:dyDescent="0.3">
      <c r="B1876" t="s">
        <v>2662</v>
      </c>
      <c r="C1876" t="s">
        <v>5140</v>
      </c>
    </row>
    <row r="1877" spans="2:3" x14ac:dyDescent="0.3">
      <c r="B1877" t="s">
        <v>2664</v>
      </c>
      <c r="C1877" t="s">
        <v>5141</v>
      </c>
    </row>
    <row r="1878" spans="2:3" x14ac:dyDescent="0.3">
      <c r="B1878" t="s">
        <v>5142</v>
      </c>
      <c r="C1878" t="s">
        <v>5143</v>
      </c>
    </row>
    <row r="1879" spans="2:3" x14ac:dyDescent="0.3">
      <c r="B1879" t="s">
        <v>5144</v>
      </c>
      <c r="C1879" t="s">
        <v>5145</v>
      </c>
    </row>
    <row r="1880" spans="2:3" x14ac:dyDescent="0.3">
      <c r="B1880" t="s">
        <v>5146</v>
      </c>
      <c r="C1880" t="s">
        <v>5147</v>
      </c>
    </row>
    <row r="1881" spans="2:3" x14ac:dyDescent="0.3">
      <c r="B1881" t="s">
        <v>2666</v>
      </c>
      <c r="C1881" t="s">
        <v>5148</v>
      </c>
    </row>
    <row r="1882" spans="2:3" x14ac:dyDescent="0.3">
      <c r="B1882" t="s">
        <v>5149</v>
      </c>
      <c r="C1882" t="s">
        <v>5150</v>
      </c>
    </row>
    <row r="1883" spans="2:3" x14ac:dyDescent="0.3">
      <c r="B1883" t="s">
        <v>5151</v>
      </c>
      <c r="C1883" t="s">
        <v>5152</v>
      </c>
    </row>
    <row r="1884" spans="2:3" x14ac:dyDescent="0.3">
      <c r="B1884" t="s">
        <v>2668</v>
      </c>
      <c r="C1884" t="s">
        <v>5153</v>
      </c>
    </row>
    <row r="1885" spans="2:3" x14ac:dyDescent="0.3">
      <c r="B1885" t="s">
        <v>5154</v>
      </c>
      <c r="C1885" t="s">
        <v>5155</v>
      </c>
    </row>
    <row r="1886" spans="2:3" x14ac:dyDescent="0.3">
      <c r="B1886" t="s">
        <v>5156</v>
      </c>
      <c r="C1886" t="s">
        <v>5157</v>
      </c>
    </row>
    <row r="1887" spans="2:3" x14ac:dyDescent="0.3">
      <c r="B1887" t="s">
        <v>5158</v>
      </c>
      <c r="C1887" t="s">
        <v>5159</v>
      </c>
    </row>
    <row r="1888" spans="2:3" x14ac:dyDescent="0.3">
      <c r="B1888" t="s">
        <v>2670</v>
      </c>
      <c r="C1888" t="s">
        <v>5160</v>
      </c>
    </row>
    <row r="1889" spans="2:3" x14ac:dyDescent="0.3">
      <c r="B1889" t="s">
        <v>2672</v>
      </c>
      <c r="C1889" t="s">
        <v>5161</v>
      </c>
    </row>
    <row r="1890" spans="2:3" x14ac:dyDescent="0.3">
      <c r="B1890" t="s">
        <v>2674</v>
      </c>
      <c r="C1890" t="s">
        <v>5162</v>
      </c>
    </row>
    <row r="1891" spans="2:3" x14ac:dyDescent="0.3">
      <c r="B1891" t="s">
        <v>2676</v>
      </c>
      <c r="C1891" t="s">
        <v>5163</v>
      </c>
    </row>
    <row r="1892" spans="2:3" x14ac:dyDescent="0.3">
      <c r="B1892" t="s">
        <v>5164</v>
      </c>
      <c r="C1892" t="s">
        <v>5165</v>
      </c>
    </row>
    <row r="1893" spans="2:3" x14ac:dyDescent="0.3">
      <c r="B1893" t="s">
        <v>2678</v>
      </c>
      <c r="C1893" t="s">
        <v>5166</v>
      </c>
    </row>
    <row r="1894" spans="2:3" x14ac:dyDescent="0.3">
      <c r="B1894" t="s">
        <v>2680</v>
      </c>
      <c r="C1894" t="s">
        <v>5167</v>
      </c>
    </row>
    <row r="1895" spans="2:3" x14ac:dyDescent="0.3">
      <c r="B1895" t="s">
        <v>2682</v>
      </c>
      <c r="C1895" t="s">
        <v>5168</v>
      </c>
    </row>
    <row r="1896" spans="2:3" x14ac:dyDescent="0.3">
      <c r="B1896" t="s">
        <v>2684</v>
      </c>
      <c r="C1896" t="s">
        <v>5169</v>
      </c>
    </row>
    <row r="1897" spans="2:3" x14ac:dyDescent="0.3">
      <c r="B1897" t="s">
        <v>2686</v>
      </c>
      <c r="C1897" t="s">
        <v>5170</v>
      </c>
    </row>
    <row r="1898" spans="2:3" x14ac:dyDescent="0.3">
      <c r="B1898" t="s">
        <v>2688</v>
      </c>
      <c r="C1898" t="s">
        <v>5171</v>
      </c>
    </row>
    <row r="1899" spans="2:3" x14ac:dyDescent="0.3">
      <c r="B1899" t="s">
        <v>2690</v>
      </c>
      <c r="C1899" t="s">
        <v>5172</v>
      </c>
    </row>
    <row r="1900" spans="2:3" x14ac:dyDescent="0.3">
      <c r="B1900" t="s">
        <v>2692</v>
      </c>
      <c r="C1900" t="s">
        <v>5173</v>
      </c>
    </row>
    <row r="1901" spans="2:3" x14ac:dyDescent="0.3">
      <c r="B1901" t="s">
        <v>5174</v>
      </c>
      <c r="C1901" t="s">
        <v>5175</v>
      </c>
    </row>
    <row r="1902" spans="2:3" x14ac:dyDescent="0.3">
      <c r="B1902" t="s">
        <v>2694</v>
      </c>
      <c r="C1902" t="s">
        <v>5176</v>
      </c>
    </row>
    <row r="1903" spans="2:3" x14ac:dyDescent="0.3">
      <c r="B1903" t="s">
        <v>2696</v>
      </c>
      <c r="C1903" t="s">
        <v>5177</v>
      </c>
    </row>
    <row r="1904" spans="2:3" x14ac:dyDescent="0.3">
      <c r="B1904" t="s">
        <v>5178</v>
      </c>
      <c r="C1904" t="s">
        <v>5179</v>
      </c>
    </row>
    <row r="1905" spans="2:3" x14ac:dyDescent="0.3">
      <c r="B1905" t="s">
        <v>5180</v>
      </c>
      <c r="C1905" t="s">
        <v>5181</v>
      </c>
    </row>
    <row r="1906" spans="2:3" x14ac:dyDescent="0.3">
      <c r="B1906" t="s">
        <v>2698</v>
      </c>
      <c r="C1906" t="s">
        <v>5182</v>
      </c>
    </row>
    <row r="1907" spans="2:3" x14ac:dyDescent="0.3">
      <c r="B1907" t="s">
        <v>2700</v>
      </c>
      <c r="C1907" t="s">
        <v>5183</v>
      </c>
    </row>
    <row r="1908" spans="2:3" x14ac:dyDescent="0.3">
      <c r="B1908" t="s">
        <v>5184</v>
      </c>
      <c r="C1908" t="s">
        <v>5185</v>
      </c>
    </row>
    <row r="1909" spans="2:3" x14ac:dyDescent="0.3">
      <c r="B1909" t="s">
        <v>2702</v>
      </c>
      <c r="C1909" t="s">
        <v>5186</v>
      </c>
    </row>
    <row r="1910" spans="2:3" x14ac:dyDescent="0.3">
      <c r="B1910" t="s">
        <v>5187</v>
      </c>
      <c r="C1910" t="s">
        <v>5188</v>
      </c>
    </row>
    <row r="1911" spans="2:3" x14ac:dyDescent="0.3">
      <c r="B1911" t="s">
        <v>2704</v>
      </c>
      <c r="C1911" t="s">
        <v>5189</v>
      </c>
    </row>
    <row r="1912" spans="2:3" x14ac:dyDescent="0.3">
      <c r="B1912" t="s">
        <v>5190</v>
      </c>
      <c r="C1912" t="s">
        <v>5191</v>
      </c>
    </row>
    <row r="1913" spans="2:3" x14ac:dyDescent="0.3">
      <c r="B1913" t="s">
        <v>2706</v>
      </c>
      <c r="C1913" t="s">
        <v>5192</v>
      </c>
    </row>
    <row r="1914" spans="2:3" x14ac:dyDescent="0.3">
      <c r="B1914" t="s">
        <v>2708</v>
      </c>
      <c r="C1914" t="s">
        <v>5193</v>
      </c>
    </row>
    <row r="1915" spans="2:3" x14ac:dyDescent="0.3">
      <c r="B1915" t="s">
        <v>5194</v>
      </c>
      <c r="C1915" t="s">
        <v>5195</v>
      </c>
    </row>
    <row r="1916" spans="2:3" x14ac:dyDescent="0.3">
      <c r="B1916" t="s">
        <v>2710</v>
      </c>
      <c r="C1916" t="s">
        <v>5196</v>
      </c>
    </row>
    <row r="1917" spans="2:3" x14ac:dyDescent="0.3">
      <c r="B1917" t="s">
        <v>5197</v>
      </c>
      <c r="C1917" t="s">
        <v>5198</v>
      </c>
    </row>
    <row r="1918" spans="2:3" x14ac:dyDescent="0.3">
      <c r="B1918" t="s">
        <v>2712</v>
      </c>
      <c r="C1918" t="s">
        <v>5199</v>
      </c>
    </row>
    <row r="1919" spans="2:3" x14ac:dyDescent="0.3">
      <c r="B1919" t="s">
        <v>2714</v>
      </c>
      <c r="C1919" t="s">
        <v>5200</v>
      </c>
    </row>
    <row r="1920" spans="2:3" x14ac:dyDescent="0.3">
      <c r="B1920" t="s">
        <v>2716</v>
      </c>
      <c r="C1920" t="s">
        <v>5201</v>
      </c>
    </row>
    <row r="1921" spans="2:3" x14ac:dyDescent="0.3">
      <c r="B1921" t="s">
        <v>2718</v>
      </c>
      <c r="C1921" t="s">
        <v>5202</v>
      </c>
    </row>
    <row r="1922" spans="2:3" x14ac:dyDescent="0.3">
      <c r="B1922" t="s">
        <v>5203</v>
      </c>
      <c r="C1922" t="s">
        <v>5204</v>
      </c>
    </row>
    <row r="1923" spans="2:3" x14ac:dyDescent="0.3">
      <c r="B1923" t="s">
        <v>2719</v>
      </c>
      <c r="C1923" t="s">
        <v>5205</v>
      </c>
    </row>
    <row r="1924" spans="2:3" x14ac:dyDescent="0.3">
      <c r="B1924" t="s">
        <v>2721</v>
      </c>
      <c r="C1924" t="s">
        <v>5206</v>
      </c>
    </row>
    <row r="1925" spans="2:3" x14ac:dyDescent="0.3">
      <c r="B1925" t="s">
        <v>2725</v>
      </c>
      <c r="C1925" t="s">
        <v>5207</v>
      </c>
    </row>
    <row r="1926" spans="2:3" x14ac:dyDescent="0.3">
      <c r="B1926" t="s">
        <v>2727</v>
      </c>
      <c r="C1926" t="s">
        <v>5208</v>
      </c>
    </row>
    <row r="1927" spans="2:3" x14ac:dyDescent="0.3">
      <c r="B1927" t="s">
        <v>2729</v>
      </c>
      <c r="C1927" t="s">
        <v>5209</v>
      </c>
    </row>
    <row r="1928" spans="2:3" x14ac:dyDescent="0.3">
      <c r="B1928" t="s">
        <v>2731</v>
      </c>
      <c r="C1928" t="s">
        <v>5210</v>
      </c>
    </row>
    <row r="1929" spans="2:3" x14ac:dyDescent="0.3">
      <c r="B1929" t="s">
        <v>2733</v>
      </c>
      <c r="C1929" t="s">
        <v>5211</v>
      </c>
    </row>
    <row r="1930" spans="2:3" x14ac:dyDescent="0.3">
      <c r="B1930" t="s">
        <v>2735</v>
      </c>
      <c r="C1930" t="s">
        <v>5212</v>
      </c>
    </row>
    <row r="1931" spans="2:3" x14ac:dyDescent="0.3">
      <c r="B1931" t="s">
        <v>2737</v>
      </c>
      <c r="C1931" t="s">
        <v>5213</v>
      </c>
    </row>
    <row r="1932" spans="2:3" x14ac:dyDescent="0.3">
      <c r="B1932" t="s">
        <v>2739</v>
      </c>
      <c r="C1932" t="s">
        <v>5214</v>
      </c>
    </row>
    <row r="1933" spans="2:3" x14ac:dyDescent="0.3">
      <c r="B1933" t="s">
        <v>2741</v>
      </c>
      <c r="C1933" t="s">
        <v>5215</v>
      </c>
    </row>
    <row r="1934" spans="2:3" x14ac:dyDescent="0.3">
      <c r="B1934" t="s">
        <v>2743</v>
      </c>
      <c r="C1934" t="s">
        <v>5216</v>
      </c>
    </row>
    <row r="1935" spans="2:3" x14ac:dyDescent="0.3">
      <c r="B1935" t="s">
        <v>2745</v>
      </c>
      <c r="C1935" t="s">
        <v>5217</v>
      </c>
    </row>
    <row r="1936" spans="2:3" x14ac:dyDescent="0.3">
      <c r="B1936" t="s">
        <v>2747</v>
      </c>
      <c r="C1936" t="s">
        <v>5218</v>
      </c>
    </row>
    <row r="1937" spans="2:3" x14ac:dyDescent="0.3">
      <c r="B1937" t="s">
        <v>2749</v>
      </c>
      <c r="C1937" t="s">
        <v>5219</v>
      </c>
    </row>
    <row r="1938" spans="2:3" x14ac:dyDescent="0.3">
      <c r="B1938" t="s">
        <v>5220</v>
      </c>
      <c r="C1938" t="s">
        <v>5221</v>
      </c>
    </row>
    <row r="1939" spans="2:3" x14ac:dyDescent="0.3">
      <c r="B1939" t="s">
        <v>2751</v>
      </c>
      <c r="C1939" t="s">
        <v>5222</v>
      </c>
    </row>
    <row r="1940" spans="2:3" x14ac:dyDescent="0.3">
      <c r="B1940" t="s">
        <v>5223</v>
      </c>
      <c r="C1940" t="s">
        <v>5224</v>
      </c>
    </row>
    <row r="1941" spans="2:3" x14ac:dyDescent="0.3">
      <c r="B1941" t="s">
        <v>5225</v>
      </c>
      <c r="C1941" t="s">
        <v>5226</v>
      </c>
    </row>
    <row r="1942" spans="2:3" x14ac:dyDescent="0.3">
      <c r="B1942" t="s">
        <v>2753</v>
      </c>
      <c r="C1942" t="s">
        <v>5227</v>
      </c>
    </row>
    <row r="1943" spans="2:3" x14ac:dyDescent="0.3">
      <c r="B1943" t="s">
        <v>5228</v>
      </c>
      <c r="C1943" t="s">
        <v>5229</v>
      </c>
    </row>
    <row r="1944" spans="2:3" x14ac:dyDescent="0.3">
      <c r="B1944" t="s">
        <v>2755</v>
      </c>
      <c r="C1944" t="s">
        <v>5230</v>
      </c>
    </row>
    <row r="1945" spans="2:3" x14ac:dyDescent="0.3">
      <c r="B1945" t="s">
        <v>2757</v>
      </c>
      <c r="C1945" t="s">
        <v>5231</v>
      </c>
    </row>
    <row r="1946" spans="2:3" x14ac:dyDescent="0.3">
      <c r="B1946" t="s">
        <v>2761</v>
      </c>
      <c r="C1946" t="s">
        <v>5232</v>
      </c>
    </row>
    <row r="1947" spans="2:3" x14ac:dyDescent="0.3">
      <c r="B1947" t="s">
        <v>5408</v>
      </c>
      <c r="C1947" t="s">
        <v>5409</v>
      </c>
    </row>
    <row r="1948" spans="2:3" x14ac:dyDescent="0.3">
      <c r="B1948" t="s">
        <v>2763</v>
      </c>
      <c r="C1948" t="s">
        <v>5233</v>
      </c>
    </row>
    <row r="1949" spans="2:3" x14ac:dyDescent="0.3">
      <c r="B1949" t="s">
        <v>2765</v>
      </c>
      <c r="C1949" t="s">
        <v>5234</v>
      </c>
    </row>
    <row r="1950" spans="2:3" x14ac:dyDescent="0.3">
      <c r="B1950" t="s">
        <v>5235</v>
      </c>
      <c r="C1950" t="s">
        <v>5236</v>
      </c>
    </row>
    <row r="1951" spans="2:3" x14ac:dyDescent="0.3">
      <c r="B1951" t="s">
        <v>2767</v>
      </c>
      <c r="C1951" t="s">
        <v>5237</v>
      </c>
    </row>
    <row r="1952" spans="2:3" x14ac:dyDescent="0.3">
      <c r="B1952" t="s">
        <v>2769</v>
      </c>
      <c r="C1952" t="s">
        <v>5238</v>
      </c>
    </row>
    <row r="1953" spans="2:3" x14ac:dyDescent="0.3">
      <c r="B1953" t="s">
        <v>2771</v>
      </c>
      <c r="C1953" t="s">
        <v>5239</v>
      </c>
    </row>
    <row r="1954" spans="2:3" x14ac:dyDescent="0.3">
      <c r="B1954" t="s">
        <v>5423</v>
      </c>
      <c r="C1954" t="s">
        <v>5424</v>
      </c>
    </row>
    <row r="1955" spans="2:3" x14ac:dyDescent="0.3">
      <c r="B1955" t="s">
        <v>2773</v>
      </c>
      <c r="C1955" t="s">
        <v>5240</v>
      </c>
    </row>
    <row r="1956" spans="2:3" x14ac:dyDescent="0.3">
      <c r="B1956" t="s">
        <v>2777</v>
      </c>
      <c r="C1956" t="s">
        <v>5241</v>
      </c>
    </row>
    <row r="1957" spans="2:3" x14ac:dyDescent="0.3">
      <c r="B1957" t="s">
        <v>2779</v>
      </c>
      <c r="C1957" t="s">
        <v>5242</v>
      </c>
    </row>
    <row r="1958" spans="2:3" x14ac:dyDescent="0.3">
      <c r="B1958" t="s">
        <v>2781</v>
      </c>
      <c r="C1958" t="s">
        <v>5243</v>
      </c>
    </row>
    <row r="1959" spans="2:3" x14ac:dyDescent="0.3">
      <c r="B1959" t="s">
        <v>2783</v>
      </c>
      <c r="C1959" t="s">
        <v>5244</v>
      </c>
    </row>
    <row r="1960" spans="2:3" x14ac:dyDescent="0.3">
      <c r="B1960" t="s">
        <v>5245</v>
      </c>
      <c r="C1960" t="s">
        <v>5246</v>
      </c>
    </row>
    <row r="1961" spans="2:3" x14ac:dyDescent="0.3">
      <c r="B1961" t="s">
        <v>5247</v>
      </c>
      <c r="C1961" t="s">
        <v>5248</v>
      </c>
    </row>
    <row r="1962" spans="2:3" x14ac:dyDescent="0.3">
      <c r="B1962" t="s">
        <v>2785</v>
      </c>
      <c r="C1962" t="s">
        <v>5249</v>
      </c>
    </row>
    <row r="1963" spans="2:3" x14ac:dyDescent="0.3">
      <c r="B1963" t="s">
        <v>2787</v>
      </c>
      <c r="C1963" t="s">
        <v>5250</v>
      </c>
    </row>
    <row r="1964" spans="2:3" x14ac:dyDescent="0.3">
      <c r="B1964" t="s">
        <v>5251</v>
      </c>
      <c r="C1964" t="s">
        <v>5252</v>
      </c>
    </row>
    <row r="1965" spans="2:3" x14ac:dyDescent="0.3">
      <c r="B1965" t="s">
        <v>2789</v>
      </c>
      <c r="C1965" t="s">
        <v>5253</v>
      </c>
    </row>
    <row r="1966" spans="2:3" x14ac:dyDescent="0.3">
      <c r="B1966" t="s">
        <v>5254</v>
      </c>
      <c r="C1966" t="s">
        <v>5255</v>
      </c>
    </row>
    <row r="1967" spans="2:3" x14ac:dyDescent="0.3">
      <c r="B1967" t="s">
        <v>5256</v>
      </c>
      <c r="C1967" t="s">
        <v>5257</v>
      </c>
    </row>
    <row r="1968" spans="2:3" x14ac:dyDescent="0.3">
      <c r="B1968" t="s">
        <v>2791</v>
      </c>
      <c r="C1968" t="s">
        <v>5258</v>
      </c>
    </row>
    <row r="1969" spans="2:3" x14ac:dyDescent="0.3">
      <c r="B1969" t="s">
        <v>2793</v>
      </c>
      <c r="C1969" t="s">
        <v>5259</v>
      </c>
    </row>
    <row r="1970" spans="2:3" x14ac:dyDescent="0.3">
      <c r="B1970" t="s">
        <v>5260</v>
      </c>
      <c r="C1970" t="s">
        <v>5261</v>
      </c>
    </row>
    <row r="1971" spans="2:3" x14ac:dyDescent="0.3">
      <c r="B1971" t="s">
        <v>5262</v>
      </c>
      <c r="C1971" t="s">
        <v>5263</v>
      </c>
    </row>
    <row r="1972" spans="2:3" x14ac:dyDescent="0.3">
      <c r="B1972" t="s">
        <v>2795</v>
      </c>
      <c r="C1972" t="s">
        <v>5264</v>
      </c>
    </row>
    <row r="1973" spans="2:3" x14ac:dyDescent="0.3">
      <c r="B1973" t="s">
        <v>2797</v>
      </c>
      <c r="C1973" t="s">
        <v>5265</v>
      </c>
    </row>
    <row r="1974" spans="2:3" x14ac:dyDescent="0.3">
      <c r="B1974" t="s">
        <v>5266</v>
      </c>
      <c r="C1974" t="s">
        <v>5267</v>
      </c>
    </row>
    <row r="1975" spans="2:3" x14ac:dyDescent="0.3">
      <c r="B1975" t="s">
        <v>2799</v>
      </c>
      <c r="C1975" t="s">
        <v>5268</v>
      </c>
    </row>
    <row r="1976" spans="2:3" x14ac:dyDescent="0.3">
      <c r="B1976" t="s">
        <v>5269</v>
      </c>
      <c r="C1976" t="s">
        <v>5270</v>
      </c>
    </row>
    <row r="1977" spans="2:3" x14ac:dyDescent="0.3">
      <c r="B1977" t="s">
        <v>5271</v>
      </c>
      <c r="C1977" t="s">
        <v>5272</v>
      </c>
    </row>
    <row r="1978" spans="2:3" x14ac:dyDescent="0.3">
      <c r="B1978" t="s">
        <v>2801</v>
      </c>
      <c r="C1978" t="s">
        <v>5273</v>
      </c>
    </row>
    <row r="1979" spans="2:3" x14ac:dyDescent="0.3">
      <c r="B1979" t="s">
        <v>2803</v>
      </c>
      <c r="C1979" t="s">
        <v>5274</v>
      </c>
    </row>
    <row r="1980" spans="2:3" x14ac:dyDescent="0.3">
      <c r="B1980" t="s">
        <v>2805</v>
      </c>
      <c r="C1980" t="s">
        <v>5275</v>
      </c>
    </row>
    <row r="1981" spans="2:3" x14ac:dyDescent="0.3">
      <c r="B1981" t="s">
        <v>2818</v>
      </c>
      <c r="C1981" t="s">
        <v>5276</v>
      </c>
    </row>
    <row r="1982" spans="2:3" x14ac:dyDescent="0.3">
      <c r="B1982" t="s">
        <v>5277</v>
      </c>
      <c r="C1982" t="s">
        <v>5278</v>
      </c>
    </row>
    <row r="1983" spans="2:3" x14ac:dyDescent="0.3">
      <c r="B1983" t="s">
        <v>2807</v>
      </c>
      <c r="C1983" t="s">
        <v>5279</v>
      </c>
    </row>
    <row r="1984" spans="2:3" x14ac:dyDescent="0.3">
      <c r="B1984" t="s">
        <v>2810</v>
      </c>
      <c r="C1984" t="s">
        <v>5280</v>
      </c>
    </row>
    <row r="1985" spans="2:3" x14ac:dyDescent="0.3">
      <c r="B1985" t="s">
        <v>5281</v>
      </c>
      <c r="C1985" t="s">
        <v>5282</v>
      </c>
    </row>
    <row r="1986" spans="2:3" x14ac:dyDescent="0.3">
      <c r="B1986" t="s">
        <v>5283</v>
      </c>
      <c r="C1986" t="s">
        <v>5284</v>
      </c>
    </row>
    <row r="1987" spans="2:3" x14ac:dyDescent="0.3">
      <c r="B1987" t="s">
        <v>2812</v>
      </c>
      <c r="C1987" t="s">
        <v>5285</v>
      </c>
    </row>
    <row r="1988" spans="2:3" x14ac:dyDescent="0.3">
      <c r="B1988" t="s">
        <v>2814</v>
      </c>
      <c r="C1988" t="s">
        <v>5286</v>
      </c>
    </row>
    <row r="1989" spans="2:3" x14ac:dyDescent="0.3">
      <c r="B1989" t="s">
        <v>5287</v>
      </c>
      <c r="C1989" t="s">
        <v>5288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B255F141A0414687005C66570869E4" ma:contentTypeVersion="12" ma:contentTypeDescription="Create a new document." ma:contentTypeScope="" ma:versionID="58ddb9a3b4073b46448e65a66c552c49">
  <xsd:schema xmlns:xsd="http://www.w3.org/2001/XMLSchema" xmlns:xs="http://www.w3.org/2001/XMLSchema" xmlns:p="http://schemas.microsoft.com/office/2006/metadata/properties" xmlns:ns2="117f274a-ec4f-4a88-bccb-97be872b0aed" xmlns:ns3="c938adfa-5995-43a7-a5de-aaa3a1067be8" targetNamespace="http://schemas.microsoft.com/office/2006/metadata/properties" ma:root="true" ma:fieldsID="af7f5ed907adcd63d6468ffe2ee199b7" ns2:_="" ns3:_="">
    <xsd:import namespace="117f274a-ec4f-4a88-bccb-97be872b0aed"/>
    <xsd:import namespace="c938adfa-5995-43a7-a5de-aaa3a1067be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f274a-ec4f-4a88-bccb-97be872b0ae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39596d4-420b-4dce-b359-595568306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8adfa-5995-43a7-a5de-aaa3a1067be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293ac93-e40e-40a1-ac46-513e6a8fa681}" ma:internalName="TaxCatchAll" ma:showField="CatchAllData" ma:web="c938adfa-5995-43a7-a5de-aaa3a1067b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7f274a-ec4f-4a88-bccb-97be872b0aed">
      <Terms xmlns="http://schemas.microsoft.com/office/infopath/2007/PartnerControls"/>
    </lcf76f155ced4ddcb4097134ff3c332f>
    <TaxCatchAll xmlns="c938adfa-5995-43a7-a5de-aaa3a1067be8" xsi:nil="true"/>
  </documentManagement>
</p:properties>
</file>

<file path=customXml/itemProps1.xml><?xml version="1.0" encoding="utf-8"?>
<ds:datastoreItem xmlns:ds="http://schemas.openxmlformats.org/officeDocument/2006/customXml" ds:itemID="{8C3190CC-3F65-44FC-B142-08EDF2827BB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E077E47-015F-4051-9E51-E0486EB5C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7f274a-ec4f-4a88-bccb-97be872b0aed"/>
    <ds:schemaRef ds:uri="c938adfa-5995-43a7-a5de-aaa3a1067b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C5EB01-2A42-4866-85D6-90AC375268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B9F43D5-5170-4FB5-9EDD-6429B12FAB75}">
  <ds:schemaRefs>
    <ds:schemaRef ds:uri="http://www.w3.org/XML/1998/namespace"/>
    <ds:schemaRef ds:uri="c938adfa-5995-43a7-a5de-aaa3a1067be8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17f274a-ec4f-4a88-bccb-97be872b0aed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Informaciones</vt:lpstr>
      <vt:lpstr>Control General</vt:lpstr>
      <vt:lpstr>Colaborador 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Neckel</dc:creator>
  <cp:keywords/>
  <dc:description/>
  <cp:lastModifiedBy>Valter</cp:lastModifiedBy>
  <cp:revision/>
  <dcterms:created xsi:type="dcterms:W3CDTF">2025-02-21T09:25:36Z</dcterms:created>
  <dcterms:modified xsi:type="dcterms:W3CDTF">2026-03-23T12:00:03Z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0x01010054B255F141A0414687005C66570869E4</vt:lpwstr>
  </property>
  <property fmtid="{D5CDD505-2E9C-101B-9397-08002B2CF9AE}" pid="3" name="MediaServiceImageTags">
    <vt:lpwstr/>
  </property>
</Properties>
</file>